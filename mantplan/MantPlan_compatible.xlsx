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AJUSTES" sheetId="8" state="visible" r:id="rId8"/>
    <sheet name="PERFIL_HH" sheetId="9" state="visible" r:id="rId9"/>
    <sheet name="PLAN_SEMANAL" sheetId="10" state="visible" r:id="rId10"/>
    <sheet name="ADHERENCIA" sheetId="11" state="visible" r:id="rId11"/>
    <sheet name="COSTOS" sheetId="12" state="visible" r:id="rId12"/>
    <sheet name="BACKLOG" sheetId="13" state="visible" r:id="rId13"/>
    <sheet name="EQUIPOS_CRITICOS" sheetId="14" state="visible" r:id="rId14"/>
    <sheet name="VALIDACION" sheetId="15" state="visible" r:id="rId15"/>
    <sheet name="CAT_CENTROS_COSTO" sheetId="16" state="visible" r:id="rId16"/>
    <sheet name="CAT_PUESTOS" sheetId="17" state="visible" r:id="rId17"/>
    <sheet name="CAT_ACTIVIDADES" sheetId="18" state="visible" r:id="rId18"/>
    <sheet name="CAT_TIPOS_OT" sheetId="19" state="visible" r:id="rId19"/>
    <sheet name="CAT_ESTADOS_ERP" sheetId="20" state="visible" r:id="rId20"/>
    <sheet name="EXPORTAR" sheetId="21" state="visible" r:id="rId21"/>
    <sheet name="_COMPATIBILIDAD" sheetId="22" state="visible" r:id="rId22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lista_turnos">PARAMETROS!$E$5:$E$10</definedName>
    <definedName name="lista_no_disponible">PARAMETROS!$G$5:$G$6</definedName>
    <definedName name="lista_dias">PARAMETROS!$I$5:$I$11</definedName>
    <definedName name="lista_tecnicos">TECNICOS!$B$4:$B$15</definedName>
    <definedName name="_xlnm._FilterDatabase" localSheetId="9" hidden="1">'PLAN_SEMANAL'!$A$25:$M$1225</definedName>
    <definedName name="_xlnm.Print_Area" localSheetId="9">'PLAN_SEMANAL'!$A$1:$M$225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'PLAN_SEMANAL'!$T$4:$T$15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'PLAN_SEMANAL'!$U$4:$U$15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'PLAN_SEMANAL'!$R$4:$R$15</f>
            </numRef>
          </cat>
          <val>
            <numRef>
              <f>'PLAN_SEMANAL'!$V$4:$V$15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'COSTOS'!$B$9:$K$9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'COSTOS'!$B$17:$K$17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N1203" headerRowCount="1">
  <autoFilter ref="A3:AN1203"/>
  <tableColumns count="40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clasificacion"/>
    <tableColumn id="20" name="linea"/>
    <tableColumn id="21" name="area"/>
    <tableColumn id="22" name="coordinador"/>
    <tableColumn id="23" name="especialidad"/>
    <tableColumn id="24" name="actividad"/>
    <tableColumn id="25" name="backlog_dias"/>
    <tableColumn id="26" name="estado_backlog"/>
    <tableColumn id="27" name="en_plan"/>
    <tableColumn id="28" name="tecnico_asignado"/>
    <tableColumn id="29" name="turno_asignado"/>
    <tableColumn id="30" name="HHA"/>
    <tableColumn id="31" name="HHD"/>
    <tableColumn id="32" name="costo_servicio"/>
    <tableColumn id="33" name="costo_materiales"/>
    <tableColumn id="34" name="costo_total"/>
    <tableColumn id="35" name="permiso_requerido"/>
    <tableColumn id="36" name="bloqueo_energia"/>
    <tableColumn id="37" name="link_checklist"/>
    <tableColumn id="38" name="abrir_checklist"/>
    <tableColumn id="39" name="observaciones"/>
    <tableColumn id="40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F15" headerRowCount="1">
  <autoFilter ref="A3:F15"/>
  <tableColumns count="6">
    <tableColumn id="1" name="id"/>
    <tableColumn id="2" name="nombre"/>
    <tableColumn id="3" name="especialidad"/>
    <tableColumn id="4" name="area"/>
    <tableColumn id="5" name="coordinador"/>
    <tableColumn id="6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I339" headerRowCount="1">
  <autoFilter ref="A3:I339"/>
  <tableColumns count="9">
    <tableColumn id="1" name="semana"/>
    <tableColumn id="2" name="dia"/>
    <tableColumn id="3" name="tecnico"/>
    <tableColumn id="4" name="area"/>
    <tableColumn id="5" name="especialidad"/>
    <tableColumn id="6" name="turno"/>
    <tableColumn id="7" name="coordinador"/>
    <tableColumn id="8" name="horas_disponibles"/>
    <tableColumn id="9" name="cla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ECO" displayName="tblCECO" ref="A3:F9" headerRowCount="1">
  <autoFilter ref="A3:F9"/>
  <tableColumns count="6">
    <tableColumn id="1" name="codigo"/>
    <tableColumn id="2" name="descripcion"/>
    <tableColumn id="3" name="planta"/>
    <tableColumn id="4" name="area"/>
    <tableColumn id="5" name="linea"/>
    <tableColumn id="6" name="coordinad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2.2.0 · generado 2026-07-21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y los turnos de ASIGNACIONES; asigne técnicos en ORDENES.</t>
        </is>
      </c>
    </row>
    <row r="16">
      <c r="A16" s="3" t="inlineStr">
        <is>
          <t xml:space="preserve">     Los ajustes de duración van en AJUSTES por id_operacion: se re-aplican solos</t>
        </is>
      </c>
    </row>
    <row r="17">
      <c r="A17" s="3" t="inlineStr">
        <is>
          <t xml:space="preserve">     tras cada re-importación, sin importar el orden de las filas.</t>
        </is>
      </c>
    </row>
    <row r="18">
      <c r="A18" s="3" t="inlineStr">
        <is>
          <t xml:space="preserve">  5. Revise VALIDACION y trabaje con PERFIL_HH, PLAN_SEMANAL, ADHERENCIA, COSTOS y BACKLOG.</t>
        </is>
      </c>
    </row>
    <row r="19">
      <c r="A19" s="3" t="inlineStr"/>
    </row>
    <row r="20">
      <c r="A20" s="4" t="inlineStr">
        <is>
          <t>CONVENCIONES:</t>
        </is>
      </c>
    </row>
    <row r="21">
      <c r="A21" s="3" t="inlineStr">
        <is>
          <t xml:space="preserve">  · Celdas de texto azul = editables por el usuario. El resto se calcula solo.</t>
        </is>
      </c>
    </row>
    <row r="22">
      <c r="A22" s="3" t="inlineStr">
        <is>
          <t xml:space="preserve">  · El libro recalcula automáticamente al abrir (sin macros).</t>
        </is>
      </c>
    </row>
    <row r="23">
      <c r="A23" s="3" t="inlineStr">
        <is>
          <t xml:space="preserve">  · Las fórmulas usan XLOOKUP (Excel 2021/365). Para Excel 2016 vea la hoja _COMPATIBILIDAD.</t>
        </is>
      </c>
    </row>
    <row r="24">
      <c r="A24" s="3" t="inlineStr">
        <is>
          <t xml:space="preserve">  · Los filtros se hacen con los autofiltros de cada tabla y con los selectores de PLAN_SEMANAL.</t>
        </is>
      </c>
    </row>
    <row r="25">
      <c r="A25" s="3" t="inlineStr">
        <is>
          <t xml:space="preserve">  · ORDENES: HHA/HHD agregan las horas del técnico en ese día; HHD negativo (rojo) = sobreasignado.</t>
        </is>
      </c>
    </row>
    <row r="26">
      <c r="A26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E4" s="2" t="inlineStr">
        <is>
          <t>turnos y códigos de ausencia: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E5" s="3" t="inlineStr">
        <is>
          <t>B1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E6" s="3" t="inlineStr">
        <is>
          <t>T1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7</v>
      </c>
      <c r="C7" s="2" t="inlineStr">
        <is>
          <t>Horas de trabajo por técnico y día (REGLA-5).</t>
        </is>
      </c>
      <c r="E7" s="3" t="inlineStr">
        <is>
          <t>T2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E8" s="3" t="inlineStr">
        <is>
          <t>T3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B1,T1,T2,T3</t>
        </is>
      </c>
      <c r="C9" s="2" t="inlineStr">
        <is>
          <t>Códigos de turno válidos (lista auxiliar a la derecha).</t>
        </is>
      </c>
      <c r="E9" s="3" t="inlineStr">
        <is>
          <t>VAC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E10" s="3" t="inlineStr">
        <is>
          <t>X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3" t="inlineStr">
        <is>
          <t>top_tareas</t>
        </is>
      </c>
      <c r="B17" s="6" t="n">
        <v>5</v>
      </c>
      <c r="C17" s="2" t="inlineStr">
        <is>
          <t>Nº de tareas relevantes que lista el correo de EXPORTAR.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8" t="inlineStr">
        <is>
          <t>OT-000001</t>
        </is>
      </c>
      <c r="B9" s="8" t="inlineStr">
        <is>
          <t>0010</t>
        </is>
      </c>
      <c r="C9" s="8" t="inlineStr">
        <is>
          <t>Lubricación programada — EQ-102</t>
        </is>
      </c>
      <c r="D9" s="8" t="inlineStr">
        <is>
          <t>Lubricación programada en EQ-102</t>
        </is>
      </c>
      <c r="E9" s="8" t="inlineStr">
        <is>
          <t>EQ-102</t>
        </is>
      </c>
      <c r="F9" s="8" t="inlineStr">
        <is>
          <t>CC-110</t>
        </is>
      </c>
      <c r="G9" s="8" t="inlineStr">
        <is>
          <t>PU-MEC</t>
        </is>
      </c>
      <c r="H9" s="8" t="inlineStr">
        <is>
          <t>ACT-02</t>
        </is>
      </c>
      <c r="I9" s="8" t="inlineStr">
        <is>
          <t>TIPO-P2</t>
        </is>
      </c>
      <c r="J9" s="9" t="n">
        <v>46216</v>
      </c>
      <c r="K9" s="8" t="n">
        <v>10</v>
      </c>
      <c r="L9" s="8" t="n">
        <v>250</v>
      </c>
    </row>
    <row r="10">
      <c r="A10" s="8" t="inlineStr">
        <is>
          <t>OT-000002</t>
        </is>
      </c>
      <c r="B10" s="8" t="inlineStr">
        <is>
          <t>0010</t>
        </is>
      </c>
      <c r="C10" s="8" t="inlineStr">
        <is>
          <t>Análisis predictivo — EQ-108</t>
        </is>
      </c>
      <c r="D10" s="8" t="inlineStr">
        <is>
          <t>Análisis predictivo en EQ-108</t>
        </is>
      </c>
      <c r="E10" s="8" t="inlineStr">
        <is>
          <t>EQ-108</t>
        </is>
      </c>
      <c r="F10" s="8" t="inlineStr">
        <is>
          <t>CC-210</t>
        </is>
      </c>
      <c r="G10" s="8" t="inlineStr">
        <is>
          <t>PU-MEC</t>
        </is>
      </c>
      <c r="H10" s="8" t="inlineStr">
        <is>
          <t>ACT-04</t>
        </is>
      </c>
      <c r="I10" s="8" t="inlineStr">
        <is>
          <t>TIPO-P1</t>
        </is>
      </c>
      <c r="J10" s="9" t="n">
        <v>46217</v>
      </c>
      <c r="K10" s="8" t="n">
        <v>8</v>
      </c>
      <c r="L10" s="8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0" t="n">
        <v>100</v>
      </c>
      <c r="G9" s="10" t="n">
        <v>0</v>
      </c>
      <c r="H9" s="10" t="n">
        <v>250</v>
      </c>
      <c r="I9" s="3" t="inlineStr">
        <is>
          <t>LIBERADA</t>
        </is>
      </c>
      <c r="J9" s="3">
        <f>IF($A9="","",$A9&amp;IF($B9="","0010",$B9))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0" t="n">
        <v>80</v>
      </c>
      <c r="G10" s="10" t="n">
        <v>200</v>
      </c>
      <c r="H10" s="10" t="n">
        <v>200</v>
      </c>
      <c r="I10" s="3" t="inlineStr">
        <is>
          <t>CERRADA</t>
        </is>
      </c>
      <c r="J10" s="3">
        <f>IF($A10="","",$A10&amp;IF($B10="","0010",$B10))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0" t="n">
        <v>60</v>
      </c>
      <c r="G11" s="10" t="n">
        <v>150</v>
      </c>
      <c r="H11" s="10" t="n">
        <v>150</v>
      </c>
      <c r="I11" s="3" t="inlineStr">
        <is>
          <t>CERRADA</t>
        </is>
      </c>
      <c r="J11" s="3">
        <f>IF($A11="","",$A11&amp;IF($B11="","0010",$B11))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0" t="n">
        <v>100</v>
      </c>
      <c r="G12" s="10" t="n">
        <v>250</v>
      </c>
      <c r="H12" s="10" t="n">
        <v>250</v>
      </c>
      <c r="I12" s="3" t="inlineStr">
        <is>
          <t>CERRADA</t>
        </is>
      </c>
      <c r="J12" s="3">
        <f>IF($A12="","",$A12&amp;IF($B12="","0010",$B12))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0" t="n">
        <v>80</v>
      </c>
      <c r="G13" s="10" t="n">
        <v>200</v>
      </c>
      <c r="H13" s="10" t="n">
        <v>200</v>
      </c>
      <c r="I13" s="3" t="inlineStr">
        <is>
          <t>CERRADA</t>
        </is>
      </c>
      <c r="J13" s="3">
        <f>IF($A13="","",$A13&amp;IF($B13="","0010",$B13))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0" t="n">
        <v>60</v>
      </c>
      <c r="G14" s="10" t="n">
        <v>150</v>
      </c>
      <c r="H14" s="10" t="n">
        <v>150</v>
      </c>
      <c r="I14" s="3" t="inlineStr">
        <is>
          <t>CERRADA</t>
        </is>
      </c>
      <c r="J14" s="3">
        <f>IF($A14="","",$A14&amp;IF($B14="","0010",$B14))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0" t="n">
        <v>100</v>
      </c>
      <c r="G15" s="10" t="n">
        <v>250</v>
      </c>
      <c r="H15" s="10" t="n">
        <v>250</v>
      </c>
      <c r="I15" s="3" t="inlineStr">
        <is>
          <t>CERRADA</t>
        </is>
      </c>
      <c r="J15" s="3">
        <f>IF($A15="","",$A15&amp;IF($B15="","0010",$B15))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0" t="n">
        <v>80</v>
      </c>
      <c r="G16" s="10" t="n">
        <v>200</v>
      </c>
      <c r="H16" s="10" t="n">
        <v>200</v>
      </c>
      <c r="I16" s="3" t="inlineStr">
        <is>
          <t>CERRADA</t>
        </is>
      </c>
      <c r="J16" s="3">
        <f>IF($A16="","",$A16&amp;IF($B16="","0010",$B16))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0" t="n">
        <v>60</v>
      </c>
      <c r="G17" s="10" t="n">
        <v>150</v>
      </c>
      <c r="H17" s="10" t="n">
        <v>150</v>
      </c>
      <c r="I17" s="3" t="inlineStr">
        <is>
          <t>CERRADA</t>
        </is>
      </c>
      <c r="J17" s="3">
        <f>IF($A17="","",$A17&amp;IF($B17="","0010",$B17))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0" t="n">
        <v>80</v>
      </c>
      <c r="G18" s="10" t="n">
        <v>200</v>
      </c>
      <c r="H18" s="10" t="n">
        <v>200</v>
      </c>
      <c r="I18" s="3" t="inlineStr">
        <is>
          <t>CERRADA</t>
        </is>
      </c>
      <c r="J18" s="3">
        <f>IF($A18="","",$A18&amp;IF($B18="","0010",$B18))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0" t="n">
        <v>160</v>
      </c>
      <c r="G19" s="10" t="n">
        <v>400</v>
      </c>
      <c r="H19" s="10" t="n">
        <v>400</v>
      </c>
      <c r="I19" s="3" t="inlineStr">
        <is>
          <t>CERRADA</t>
        </is>
      </c>
      <c r="J19" s="3">
        <f>IF($A19="","",$A19&amp;IF($B19="","0010",$B19))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0" t="n">
        <v>160</v>
      </c>
      <c r="G20" s="10" t="n">
        <v>400</v>
      </c>
      <c r="H20" s="10" t="n">
        <v>400</v>
      </c>
      <c r="I20" s="3" t="inlineStr">
        <is>
          <t>CERRADA</t>
        </is>
      </c>
      <c r="J20" s="3">
        <f>IF($A20="","",$A20&amp;IF($B20="","0010",$B20))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0" t="n">
        <v>100</v>
      </c>
      <c r="G21" s="10" t="n">
        <v>250</v>
      </c>
      <c r="H21" s="10" t="n">
        <v>250</v>
      </c>
      <c r="I21" s="3" t="inlineStr">
        <is>
          <t>CERRADA</t>
        </is>
      </c>
      <c r="J21" s="3">
        <f>IF($A21="","",$A21&amp;IF($B21="","0010",$B21))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0" t="n">
        <v>80</v>
      </c>
      <c r="G22" s="10" t="n">
        <v>0</v>
      </c>
      <c r="H22" s="10" t="n">
        <v>200</v>
      </c>
      <c r="I22" s="3" t="inlineStr">
        <is>
          <t>EN EJECUCION</t>
        </is>
      </c>
      <c r="J22" s="3">
        <f>IF($A22="","",$A22&amp;IF($B22="","0010",$B22))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0" t="n">
        <v>60</v>
      </c>
      <c r="G23" s="10" t="n">
        <v>150</v>
      </c>
      <c r="H23" s="10" t="n">
        <v>150</v>
      </c>
      <c r="I23" s="3" t="inlineStr">
        <is>
          <t>CERRADA</t>
        </is>
      </c>
      <c r="J23" s="3">
        <f>IF($A23="","",$A23&amp;IF($B23="","0010",$B23))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0" t="n">
        <v>100</v>
      </c>
      <c r="G24" s="10" t="n">
        <v>0</v>
      </c>
      <c r="H24" s="10" t="n">
        <v>250</v>
      </c>
      <c r="I24" s="3" t="inlineStr">
        <is>
          <t>EN EJECUCION</t>
        </is>
      </c>
      <c r="J24" s="3">
        <f>IF($A24="","",$A24&amp;IF($B24="","0010",$B24))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0" t="n">
        <v>80</v>
      </c>
      <c r="G25" s="10" t="n">
        <v>200</v>
      </c>
      <c r="H25" s="10" t="n">
        <v>200</v>
      </c>
      <c r="I25" s="3" t="inlineStr">
        <is>
          <t>CERRADA</t>
        </is>
      </c>
      <c r="J25" s="3">
        <f>IF($A25="","",$A25&amp;IF($B25="","0010",$B25))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0" t="n">
        <v>60</v>
      </c>
      <c r="G26" s="10" t="n">
        <v>0</v>
      </c>
      <c r="H26" s="10" t="n">
        <v>150</v>
      </c>
      <c r="I26" s="3" t="inlineStr">
        <is>
          <t>EN EJECUCION</t>
        </is>
      </c>
      <c r="J26" s="3">
        <f>IF($A26="","",$A26&amp;IF($B26="","0010",$B26))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0" t="n">
        <v>100</v>
      </c>
      <c r="G27" s="10" t="n">
        <v>250</v>
      </c>
      <c r="H27" s="10" t="n">
        <v>250</v>
      </c>
      <c r="I27" s="3" t="inlineStr">
        <is>
          <t>CERRADA</t>
        </is>
      </c>
      <c r="J27" s="3">
        <f>IF($A27="","",$A27&amp;IF($B27="","0010",$B27))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0" t="n">
        <v>80</v>
      </c>
      <c r="G28" s="10" t="n">
        <v>0</v>
      </c>
      <c r="H28" s="10" t="n">
        <v>200</v>
      </c>
      <c r="I28" s="3" t="inlineStr">
        <is>
          <t>EN EJECUCION</t>
        </is>
      </c>
      <c r="J28" s="3">
        <f>IF($A28="","",$A28&amp;IF($B28="","0010",$B28))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0" t="n">
        <v>60</v>
      </c>
      <c r="G29" s="10" t="n">
        <v>150</v>
      </c>
      <c r="H29" s="10" t="n">
        <v>150</v>
      </c>
      <c r="I29" s="3" t="inlineStr">
        <is>
          <t>CERRADA</t>
        </is>
      </c>
      <c r="J29" s="3">
        <f>IF($A29="","",$A29&amp;IF($B29="","0010",$B29))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0" t="n">
        <v>80</v>
      </c>
      <c r="G30" s="10" t="n">
        <v>0</v>
      </c>
      <c r="H30" s="10" t="n">
        <v>200</v>
      </c>
      <c r="I30" s="3" t="inlineStr">
        <is>
          <t>EN EJECUCION</t>
        </is>
      </c>
      <c r="J30" s="3">
        <f>IF($A30="","",$A30&amp;IF($B30="","0010",$B30))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0" t="n">
        <v>160</v>
      </c>
      <c r="G31" s="10" t="n">
        <v>400</v>
      </c>
      <c r="H31" s="10" t="n">
        <v>400</v>
      </c>
      <c r="I31" s="3" t="inlineStr">
        <is>
          <t>CERRADA</t>
        </is>
      </c>
      <c r="J31" s="3">
        <f>IF($A31="","",$A31&amp;IF($B31="","0010",$B31))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0" t="n">
        <v>128</v>
      </c>
      <c r="G32" s="10" t="n">
        <v>0</v>
      </c>
      <c r="H32" s="10" t="n">
        <v>320</v>
      </c>
      <c r="I32" s="3" t="inlineStr">
        <is>
          <t>EN EJECUCION</t>
        </is>
      </c>
      <c r="J32" s="3">
        <f>IF($A32="","",$A32&amp;IF($B32="","0010",$B32))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0" t="n">
        <v>112</v>
      </c>
      <c r="G33" s="10" t="n">
        <v>280</v>
      </c>
      <c r="H33" s="10" t="n">
        <v>280</v>
      </c>
      <c r="I33" s="3" t="inlineStr">
        <is>
          <t>CERRADA</t>
        </is>
      </c>
      <c r="J33" s="3">
        <f>IF($A33="","",$A33&amp;IF($B33="","0010",$B33))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0" t="n">
        <v>80</v>
      </c>
      <c r="G34" s="10" t="n">
        <v>0</v>
      </c>
      <c r="H34" s="10" t="n">
        <v>200</v>
      </c>
      <c r="I34" s="3" t="inlineStr">
        <is>
          <t>LIBERADA</t>
        </is>
      </c>
      <c r="J34" s="3">
        <f>IF($A34="","",$A34&amp;IF($B34="","0010",$B34))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0" t="n">
        <v>100</v>
      </c>
      <c r="G35" s="10" t="n">
        <v>0</v>
      </c>
      <c r="H35" s="10" t="n">
        <v>250</v>
      </c>
      <c r="I35" s="3" t="inlineStr">
        <is>
          <t>LIBERADA</t>
        </is>
      </c>
      <c r="J35" s="3">
        <f>IF($A35="","",$A35&amp;IF($B35="","0010",$B35))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0" t="n">
        <v>60</v>
      </c>
      <c r="G36" s="10" t="n">
        <v>0</v>
      </c>
      <c r="H36" s="10" t="n">
        <v>150</v>
      </c>
      <c r="I36" s="3" t="inlineStr">
        <is>
          <t>LIBERADA</t>
        </is>
      </c>
      <c r="J36" s="3">
        <f>IF($A36="","",$A36&amp;IF($B36="","0010",$B36))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0" t="n">
        <v>80</v>
      </c>
      <c r="G37" s="10" t="n">
        <v>0</v>
      </c>
      <c r="H37" s="10" t="n">
        <v>200</v>
      </c>
      <c r="I37" s="3" t="inlineStr">
        <is>
          <t>LIBERADA</t>
        </is>
      </c>
      <c r="J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0" t="n">
        <v>80</v>
      </c>
      <c r="G38" s="10" t="n">
        <v>0</v>
      </c>
      <c r="H38" s="10" t="n">
        <v>200</v>
      </c>
      <c r="I38" s="3" t="inlineStr">
        <is>
          <t>LIBERADA</t>
        </is>
      </c>
      <c r="J38" s="3">
        <f>IF($A38="","",$A38&amp;IF($B38="","0010",$B38))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0" t="n">
        <v>160</v>
      </c>
      <c r="G39" s="10" t="n">
        <v>0</v>
      </c>
      <c r="H39" s="10" t="n">
        <v>400</v>
      </c>
      <c r="I39" s="3" t="inlineStr">
        <is>
          <t>LIBERADA</t>
        </is>
      </c>
      <c r="J39" s="3">
        <f>IF($A39="","",$A39&amp;IF($B39="","0010",$B39))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0" t="n">
        <v>80</v>
      </c>
      <c r="G40" s="10" t="n">
        <v>0</v>
      </c>
      <c r="H40" s="10" t="n">
        <v>200</v>
      </c>
      <c r="I40" s="3" t="inlineStr">
        <is>
          <t>LIBERADA</t>
        </is>
      </c>
      <c r="J40" s="3">
        <f>IF($A40="","",$A40&amp;IF($B40="","0010",$B40))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0" t="n">
        <v>100</v>
      </c>
      <c r="G41" s="10" t="n">
        <v>0</v>
      </c>
      <c r="H41" s="10" t="n">
        <v>250</v>
      </c>
      <c r="I41" s="3" t="inlineStr">
        <is>
          <t>LIBERADA</t>
        </is>
      </c>
      <c r="J41" s="3">
        <f>IF($A41="","",$A41&amp;IF($B41="","0010",$B41))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0" t="n">
        <v>60</v>
      </c>
      <c r="G42" s="10" t="n">
        <v>0</v>
      </c>
      <c r="H42" s="10" t="n">
        <v>150</v>
      </c>
      <c r="I42" s="3" t="inlineStr">
        <is>
          <t>LIBERADA</t>
        </is>
      </c>
      <c r="J42" s="3">
        <f>IF($A42="","",$A42&amp;IF($B42="","0010",$B42))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0" t="n">
        <v>80</v>
      </c>
      <c r="G43" s="10" t="n">
        <v>0</v>
      </c>
      <c r="H43" s="10" t="n">
        <v>200</v>
      </c>
      <c r="I43" s="3" t="inlineStr">
        <is>
          <t>LIBERADA</t>
        </is>
      </c>
      <c r="J43" s="3">
        <f>IF($A43="","",$A43&amp;IF($B43="","0010",$B43))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0" t="n">
        <v>160</v>
      </c>
      <c r="G44" s="10" t="n">
        <v>0</v>
      </c>
      <c r="H44" s="10" t="n">
        <v>400</v>
      </c>
      <c r="I44" s="3" t="inlineStr">
        <is>
          <t>LIBERADA</t>
        </is>
      </c>
      <c r="J44" s="3">
        <f>IF($A44="","",$A44&amp;IF($B44="","0010",$B44))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0" t="n">
        <v>100</v>
      </c>
      <c r="G45" s="10" t="n">
        <v>0</v>
      </c>
      <c r="H45" s="10" t="n">
        <v>250</v>
      </c>
      <c r="I45" s="3" t="inlineStr">
        <is>
          <t>LIBERADA</t>
        </is>
      </c>
      <c r="J45" s="3">
        <f>IF($A45="","",$A45&amp;IF($B45="","0010",$B45))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0" t="n">
        <v>80</v>
      </c>
      <c r="G46" s="10" t="n">
        <v>200</v>
      </c>
      <c r="H46" s="10" t="n">
        <v>200</v>
      </c>
      <c r="I46" s="3" t="inlineStr">
        <is>
          <t>CERRADA</t>
        </is>
      </c>
      <c r="J46" s="3">
        <f>IF($A46="","",$A46&amp;IF($B46="","0010",$B46))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0" t="n">
        <v>60</v>
      </c>
      <c r="G47" s="10" t="n">
        <v>150</v>
      </c>
      <c r="H47" s="10" t="n">
        <v>150</v>
      </c>
      <c r="I47" s="3" t="inlineStr">
        <is>
          <t>CERRADA</t>
        </is>
      </c>
      <c r="J47" s="3">
        <f>IF($A47="","",$A47&amp;IF($B47="","0010",$B47))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0" t="n">
        <v>100</v>
      </c>
      <c r="G48" s="10" t="n">
        <v>250</v>
      </c>
      <c r="H48" s="10" t="n">
        <v>250</v>
      </c>
      <c r="I48" s="3" t="inlineStr">
        <is>
          <t>CERRADA</t>
        </is>
      </c>
      <c r="J48" s="3">
        <f>IF($A48="","",$A48&amp;IF($B48="","0010",$B48))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0" t="n">
        <v>80</v>
      </c>
      <c r="G49" s="10" t="n">
        <v>200</v>
      </c>
      <c r="H49" s="10" t="n">
        <v>200</v>
      </c>
      <c r="I49" s="3" t="inlineStr">
        <is>
          <t>CERRADA</t>
        </is>
      </c>
      <c r="J49" s="3">
        <f>IF($A49="","",$A49&amp;IF($B49="","0010",$B49))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0" t="n">
        <v>60</v>
      </c>
      <c r="G50" s="10" t="n">
        <v>150</v>
      </c>
      <c r="H50" s="10" t="n">
        <v>150</v>
      </c>
      <c r="I50" s="3" t="inlineStr">
        <is>
          <t>CERRADA</t>
        </is>
      </c>
      <c r="J50" s="3">
        <f>IF($A50="","",$A50&amp;IF($B50="","0010",$B50))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0" t="n">
        <v>100</v>
      </c>
      <c r="G51" s="10" t="n">
        <v>250</v>
      </c>
      <c r="H51" s="10" t="n">
        <v>250</v>
      </c>
      <c r="I51" s="3" t="inlineStr">
        <is>
          <t>CERRADA</t>
        </is>
      </c>
      <c r="J51" s="3">
        <f>IF($A51="","",$A51&amp;IF($B51="","0010",$B51))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0" t="n">
        <v>20</v>
      </c>
      <c r="G52" s="10" t="n">
        <v>50</v>
      </c>
      <c r="H52" s="10" t="n">
        <v>50</v>
      </c>
      <c r="I52" s="3" t="inlineStr">
        <is>
          <t>CERRADA</t>
        </is>
      </c>
      <c r="J52" s="3">
        <f>IF($A52="","",$A52&amp;IF($B52="","0010",$B52))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0" t="n">
        <v>160</v>
      </c>
      <c r="G53" s="10" t="n">
        <v>400</v>
      </c>
      <c r="H53" s="10" t="n">
        <v>400</v>
      </c>
      <c r="I53" s="3" t="inlineStr">
        <is>
          <t>CERRADA</t>
        </is>
      </c>
      <c r="J53" s="3">
        <f>IF($A53="","",$A53&amp;IF($B53="","0010",$B53))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0" t="n">
        <v>80</v>
      </c>
      <c r="G54" s="10" t="n">
        <v>200</v>
      </c>
      <c r="H54" s="10" t="n">
        <v>200</v>
      </c>
      <c r="I54" s="3" t="inlineStr">
        <is>
          <t>CERRADA</t>
        </is>
      </c>
      <c r="J54" s="3">
        <f>IF($A54="","",$A54&amp;IF($B54="","0010",$B54))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0" t="n">
        <v>100</v>
      </c>
      <c r="G55" s="10" t="n">
        <v>250</v>
      </c>
      <c r="H55" s="10" t="n">
        <v>250</v>
      </c>
      <c r="I55" s="3" t="inlineStr">
        <is>
          <t>CERRADA</t>
        </is>
      </c>
      <c r="J55" s="3">
        <f>IF($A55="","",$A55&amp;IF($B55="","0010",$B55))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0" t="n">
        <v>80</v>
      </c>
      <c r="G56" s="10" t="n">
        <v>0</v>
      </c>
      <c r="H56" s="10" t="n">
        <v>200</v>
      </c>
      <c r="I56" s="3" t="inlineStr">
        <is>
          <t>EN EJECUCION</t>
        </is>
      </c>
      <c r="J56" s="3">
        <f>IF($A56="","",$A56&amp;IF($B56="","0010",$B56))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0" t="n">
        <v>60</v>
      </c>
      <c r="G57" s="10" t="n">
        <v>150</v>
      </c>
      <c r="H57" s="10" t="n">
        <v>150</v>
      </c>
      <c r="I57" s="3" t="inlineStr">
        <is>
          <t>CERRADA</t>
        </is>
      </c>
      <c r="J57" s="3">
        <f>IF($A57="","",$A57&amp;IF($B57="","0010",$B57))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0" t="n">
        <v>100</v>
      </c>
      <c r="G58" s="10" t="n">
        <v>0</v>
      </c>
      <c r="H58" s="10" t="n">
        <v>250</v>
      </c>
      <c r="I58" s="3" t="inlineStr">
        <is>
          <t>EN EJECUCION</t>
        </is>
      </c>
      <c r="J58" s="3">
        <f>IF($A58="","",$A58&amp;IF($B58="","0010",$B58))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0" t="n">
        <v>80</v>
      </c>
      <c r="G59" s="10" t="n">
        <v>200</v>
      </c>
      <c r="H59" s="10" t="n">
        <v>200</v>
      </c>
      <c r="I59" s="3" t="inlineStr">
        <is>
          <t>CERRADA</t>
        </is>
      </c>
      <c r="J59" s="3">
        <f>IF($A59="","",$A59&amp;IF($B59="","0010",$B59))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0" t="n">
        <v>60</v>
      </c>
      <c r="G60" s="10" t="n">
        <v>0</v>
      </c>
      <c r="H60" s="10" t="n">
        <v>150</v>
      </c>
      <c r="I60" s="3" t="inlineStr">
        <is>
          <t>EN EJECUCION</t>
        </is>
      </c>
      <c r="J60" s="3">
        <f>IF($A60="","",$A60&amp;IF($B60="","0010",$B60))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0" t="n">
        <v>100</v>
      </c>
      <c r="G61" s="10" t="n">
        <v>250</v>
      </c>
      <c r="H61" s="10" t="n">
        <v>250</v>
      </c>
      <c r="I61" s="3" t="inlineStr">
        <is>
          <t>CERRADA</t>
        </is>
      </c>
      <c r="J61" s="3">
        <f>IF($A61="","",$A61&amp;IF($B61="","0010",$B61))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0" t="n">
        <v>70</v>
      </c>
      <c r="G62" s="10" t="n">
        <v>0</v>
      </c>
      <c r="H62" s="10" t="n">
        <v>175</v>
      </c>
      <c r="I62" s="3" t="inlineStr">
        <is>
          <t>EN EJECUCION</t>
        </is>
      </c>
      <c r="J62" s="3">
        <f>IF($A62="","",$A62&amp;IF($B62="","0010",$B62))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0" t="n">
        <v>160</v>
      </c>
      <c r="G63" s="10" t="n">
        <v>400</v>
      </c>
      <c r="H63" s="10" t="n">
        <v>400</v>
      </c>
      <c r="I63" s="3" t="inlineStr">
        <is>
          <t>CERRADA</t>
        </is>
      </c>
      <c r="J63" s="3">
        <f>IF($A63="","",$A63&amp;IF($B63="","0010",$B63))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0" t="n">
        <v>160</v>
      </c>
      <c r="G64" s="10" t="n">
        <v>0</v>
      </c>
      <c r="H64" s="10" t="n">
        <v>400</v>
      </c>
      <c r="I64" s="3" t="inlineStr">
        <is>
          <t>EN EJECUCION</t>
        </is>
      </c>
      <c r="J64" s="3">
        <f>IF($A64="","",$A64&amp;IF($B64="","0010",$B64))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0" t="n">
        <v>100</v>
      </c>
      <c r="G65" s="10" t="n">
        <v>0</v>
      </c>
      <c r="H65" s="10" t="n">
        <v>250</v>
      </c>
      <c r="I65" s="3" t="inlineStr">
        <is>
          <t>LIBERADA</t>
        </is>
      </c>
      <c r="J65" s="3">
        <f>IF($A65="","",$A65&amp;IF($B65="","0010",$B65))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0" t="n">
        <v>60</v>
      </c>
      <c r="G66" s="10" t="n">
        <v>0</v>
      </c>
      <c r="H66" s="10" t="n">
        <v>150</v>
      </c>
      <c r="I66" s="3" t="inlineStr">
        <is>
          <t>LIBERADA</t>
        </is>
      </c>
      <c r="J66" s="3">
        <f>IF($A66="","",$A66&amp;IF($B66="","0010",$B66))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0" t="n">
        <v>80</v>
      </c>
      <c r="G67" s="10" t="n">
        <v>0</v>
      </c>
      <c r="H67" s="10" t="n">
        <v>200</v>
      </c>
      <c r="I67" s="3" t="inlineStr">
        <is>
          <t>LIBERADA</t>
        </is>
      </c>
      <c r="J67" s="3">
        <f>IF($A67="","",$A67&amp;IF($B67="","0010",$B67))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0" t="n">
        <v>100</v>
      </c>
      <c r="G68" s="10" t="n">
        <v>0</v>
      </c>
      <c r="H68" s="10" t="n">
        <v>250</v>
      </c>
      <c r="I68" s="3" t="inlineStr">
        <is>
          <t>LIBERADA</t>
        </is>
      </c>
      <c r="J68" s="3">
        <f>IF($A68="","",$A68&amp;IF($B68="","0010",$B68))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0" t="n">
        <v>160</v>
      </c>
      <c r="G69" s="10" t="n">
        <v>0</v>
      </c>
      <c r="H69" s="10" t="n">
        <v>400</v>
      </c>
      <c r="I69" s="3" t="inlineStr">
        <is>
          <t>LIBERADA</t>
        </is>
      </c>
      <c r="J69" s="3">
        <f>IF($A69="","",$A69&amp;IF($B69="","0010",$B69))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0" t="n">
        <v>80</v>
      </c>
      <c r="G70" s="10" t="n">
        <v>0</v>
      </c>
      <c r="H70" s="10" t="n">
        <v>200</v>
      </c>
      <c r="I70" s="3" t="inlineStr">
        <is>
          <t>LIBERADA</t>
        </is>
      </c>
      <c r="J70" s="3">
        <f>IF($A70="","",$A70&amp;IF($B70="","0010",$B70))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0" t="n">
        <v>100</v>
      </c>
      <c r="G71" s="10" t="n">
        <v>0</v>
      </c>
      <c r="H71" s="10" t="n">
        <v>250</v>
      </c>
      <c r="I71" s="3" t="inlineStr">
        <is>
          <t>LIBERADA</t>
        </is>
      </c>
      <c r="J71" s="3">
        <f>IF($A71="","",$A71&amp;IF($B71="","0010",$B71))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0" t="n">
        <v>80</v>
      </c>
      <c r="G72" s="10" t="n">
        <v>0</v>
      </c>
      <c r="H72" s="10" t="n">
        <v>200</v>
      </c>
      <c r="I72" s="3" t="inlineStr">
        <is>
          <t>LIBERADA</t>
        </is>
      </c>
      <c r="J72" s="3">
        <f>IF($A72="","",$A72&amp;IF($B72="","0010",$B72))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0" t="n">
        <v>100</v>
      </c>
      <c r="G73" s="10" t="n">
        <v>0</v>
      </c>
      <c r="H73" s="10" t="n">
        <v>250</v>
      </c>
      <c r="I73" s="3" t="inlineStr">
        <is>
          <t>LIBERADA</t>
        </is>
      </c>
      <c r="J73" s="3">
        <f>IF($A73="","",$A73&amp;IF($B73="","0010",$B73))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0" t="n">
        <v>80</v>
      </c>
      <c r="G74" s="10" t="n">
        <v>200</v>
      </c>
      <c r="H74" s="10" t="n">
        <v>200</v>
      </c>
      <c r="I74" s="3" t="inlineStr">
        <is>
          <t>CERRADA</t>
        </is>
      </c>
      <c r="J74" s="3">
        <f>IF($A74="","",$A74&amp;IF($B74="","0010",$B74))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0" t="n">
        <v>60</v>
      </c>
      <c r="G75" s="10" t="n">
        <v>150</v>
      </c>
      <c r="H75" s="10" t="n">
        <v>150</v>
      </c>
      <c r="I75" s="3" t="inlineStr">
        <is>
          <t>CERRADA</t>
        </is>
      </c>
      <c r="J75" s="3">
        <f>IF($A75="","",$A75&amp;IF($B75="","0010",$B75))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0" t="n">
        <v>100</v>
      </c>
      <c r="G76" s="10" t="n">
        <v>250</v>
      </c>
      <c r="H76" s="10" t="n">
        <v>250</v>
      </c>
      <c r="I76" s="3" t="inlineStr">
        <is>
          <t>CERRADA</t>
        </is>
      </c>
      <c r="J76" s="3">
        <f>IF($A76="","",$A76&amp;IF($B76="","0010",$B76))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0" t="n">
        <v>60</v>
      </c>
      <c r="G77" s="10" t="n">
        <v>150</v>
      </c>
      <c r="H77" s="10" t="n">
        <v>150</v>
      </c>
      <c r="I77" s="3" t="inlineStr">
        <is>
          <t>CERRADA</t>
        </is>
      </c>
      <c r="J77" s="3">
        <f>IF($A77="","",$A77&amp;IF($B77="","0010",$B77))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0" t="n">
        <v>160</v>
      </c>
      <c r="G78" s="10" t="n">
        <v>400</v>
      </c>
      <c r="H78" s="10" t="n">
        <v>400</v>
      </c>
      <c r="I78" s="3" t="inlineStr">
        <is>
          <t>CERRADA</t>
        </is>
      </c>
      <c r="J78" s="3">
        <f>IF($A78="","",$A78&amp;IF($B78="","0010",$B78))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0" t="n">
        <v>100</v>
      </c>
      <c r="G79" s="10" t="n">
        <v>250</v>
      </c>
      <c r="H79" s="10" t="n">
        <v>250</v>
      </c>
      <c r="I79" s="3" t="inlineStr">
        <is>
          <t>CERRADA</t>
        </is>
      </c>
      <c r="J79" s="3">
        <f>IF($A79="","",$A79&amp;IF($B79="","0010",$B79))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0" t="n">
        <v>80</v>
      </c>
      <c r="G80" s="10" t="n">
        <v>0</v>
      </c>
      <c r="H80" s="10" t="n">
        <v>200</v>
      </c>
      <c r="I80" s="3" t="inlineStr">
        <is>
          <t>EN EJECUCION</t>
        </is>
      </c>
      <c r="J80" s="3">
        <f>IF($A80="","",$A80&amp;IF($B80="","0010",$B80))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0" t="n">
        <v>60</v>
      </c>
      <c r="G81" s="10" t="n">
        <v>150</v>
      </c>
      <c r="H81" s="10" t="n">
        <v>150</v>
      </c>
      <c r="I81" s="3" t="inlineStr">
        <is>
          <t>CERRADA</t>
        </is>
      </c>
      <c r="J81" s="3">
        <f>IF($A81="","",$A81&amp;IF($B81="","0010",$B81))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0" t="n">
        <v>100</v>
      </c>
      <c r="G82" s="10" t="n">
        <v>0</v>
      </c>
      <c r="H82" s="10" t="n">
        <v>250</v>
      </c>
      <c r="I82" s="3" t="inlineStr">
        <is>
          <t>EN EJECUCION</t>
        </is>
      </c>
      <c r="J82" s="3">
        <f>IF($A82="","",$A82&amp;IF($B82="","0010",$B82))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0" t="n">
        <v>110</v>
      </c>
      <c r="G83" s="10" t="n">
        <v>275</v>
      </c>
      <c r="H83" s="10" t="n">
        <v>275</v>
      </c>
      <c r="I83" s="3" t="inlineStr">
        <is>
          <t>CERRADA</t>
        </is>
      </c>
      <c r="J83" s="3">
        <f>IF($A83="","",$A83&amp;IF($B83="","0010",$B83))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0" t="n">
        <v>160</v>
      </c>
      <c r="G84" s="10" t="n">
        <v>0</v>
      </c>
      <c r="H84" s="10" t="n">
        <v>400</v>
      </c>
      <c r="I84" s="3" t="inlineStr">
        <is>
          <t>EN EJECUCION</t>
        </is>
      </c>
      <c r="J84" s="3">
        <f>IF($A84="","",$A84&amp;IF($B84="","0010",$B84))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0" t="n">
        <v>100</v>
      </c>
      <c r="G85" s="10" t="n">
        <v>0</v>
      </c>
      <c r="H85" s="10" t="n">
        <v>250</v>
      </c>
      <c r="I85" s="3" t="inlineStr">
        <is>
          <t>LIBERADA</t>
        </is>
      </c>
      <c r="J85" s="3">
        <f>IF($A85="","",$A85&amp;IF($B85="","0010",$B85))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0" t="n">
        <v>60</v>
      </c>
      <c r="G86" s="10" t="n">
        <v>0</v>
      </c>
      <c r="H86" s="10" t="n">
        <v>150</v>
      </c>
      <c r="I86" s="3" t="inlineStr">
        <is>
          <t>LIBERADA</t>
        </is>
      </c>
      <c r="J86" s="3">
        <f>IF($A86="","",$A86&amp;IF($B86="","0010",$B86))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0" t="n">
        <v>112</v>
      </c>
      <c r="G87" s="10" t="n">
        <v>0</v>
      </c>
      <c r="H87" s="10" t="n">
        <v>280</v>
      </c>
      <c r="I87" s="3" t="inlineStr">
        <is>
          <t>LIBERADA</t>
        </is>
      </c>
      <c r="J87" s="3">
        <f>IF($A87="","",$A87&amp;IF($B87="","0010",$B87))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0" t="n">
        <v>80</v>
      </c>
      <c r="G88" s="10" t="n">
        <v>0</v>
      </c>
      <c r="H88" s="10" t="n">
        <v>200</v>
      </c>
      <c r="I88" s="3" t="inlineStr">
        <is>
          <t>LIBERADA</t>
        </is>
      </c>
      <c r="J88" s="3">
        <f>IF($A88="","",$A88&amp;IF($B88="","0010",$B88))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0" t="n">
        <v>60</v>
      </c>
      <c r="G89" s="10" t="n">
        <v>0</v>
      </c>
      <c r="H89" s="10" t="n">
        <v>150</v>
      </c>
      <c r="I89" s="3" t="inlineStr">
        <is>
          <t>LIBERADA</t>
        </is>
      </c>
      <c r="J89" s="3">
        <f>IF($A89="","",$A89&amp;IF($B89="","0010",$B89))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0" t="n">
        <v>100</v>
      </c>
      <c r="G90" s="10" t="n">
        <v>250</v>
      </c>
      <c r="H90" s="10" t="n">
        <v>250</v>
      </c>
      <c r="I90" s="3" t="inlineStr">
        <is>
          <t>CERRADA</t>
        </is>
      </c>
      <c r="J90" s="3">
        <f>IF($A90="","",$A90&amp;IF($B90="","0010",$B90))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CERR</t>
        </is>
      </c>
      <c r="D91" s="3" t="inlineStr">
        <is>
          <t>3-BAJA</t>
        </is>
      </c>
      <c r="E91" s="3" t="inlineStr">
        <is>
          <t>PARADO</t>
        </is>
      </c>
      <c r="F91" s="10" t="n">
        <v>80</v>
      </c>
      <c r="G91" s="10" t="n">
        <v>200</v>
      </c>
      <c r="H91" s="10" t="n">
        <v>200</v>
      </c>
      <c r="I91" s="3" t="inlineStr">
        <is>
          <t>CERRADA</t>
        </is>
      </c>
      <c r="J91" s="3">
        <f>IF($A91="","",$A91&amp;IF($B91="","0010",$B91))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0" t="n">
        <v>60</v>
      </c>
      <c r="G92" s="10" t="n">
        <v>0</v>
      </c>
      <c r="H92" s="10" t="n">
        <v>150</v>
      </c>
      <c r="I92" s="3" t="inlineStr">
        <is>
          <t>LIBERADA</t>
        </is>
      </c>
      <c r="J92" s="3">
        <f>IF($A92="","",$A92&amp;IF($B92="","0010",$B92))</f>
        <v/>
      </c>
    </row>
    <row r="93">
      <c r="A93" s="3" t="inlineStr">
        <is>
          <t>OT-000110</t>
        </is>
      </c>
      <c r="B93" s="3" t="inlineStr">
        <is>
          <t>0010</t>
        </is>
      </c>
      <c r="C93" s="3" t="inlineStr">
        <is>
          <t>CERR</t>
        </is>
      </c>
      <c r="D93" s="3" t="inlineStr">
        <is>
          <t>2-MEDIA</t>
        </is>
      </c>
      <c r="E93" s="3" t="inlineStr">
        <is>
          <t>PARADO</t>
        </is>
      </c>
      <c r="F93" s="10" t="n">
        <v>60</v>
      </c>
      <c r="G93" s="10" t="n">
        <v>150</v>
      </c>
      <c r="H93" s="10" t="n">
        <v>150</v>
      </c>
      <c r="I93" s="3" t="inlineStr">
        <is>
          <t>CERRADA</t>
        </is>
      </c>
      <c r="J93" s="3">
        <f>IF($A93="","",$A93&amp;IF($B93="","0010",$B93))</f>
        <v/>
      </c>
    </row>
    <row r="94">
      <c r="A94" s="3" t="inlineStr">
        <is>
          <t>OT-000111</t>
        </is>
      </c>
      <c r="B94" s="3" t="inlineStr">
        <is>
          <t>0010</t>
        </is>
      </c>
      <c r="C94" s="3" t="inlineStr">
        <is>
          <t>CERR</t>
        </is>
      </c>
      <c r="D94" s="3" t="inlineStr">
        <is>
          <t>3-BAJA</t>
        </is>
      </c>
      <c r="E94" s="3" t="inlineStr">
        <is>
          <t>OPERATIVO</t>
        </is>
      </c>
      <c r="F94" s="10" t="n">
        <v>128</v>
      </c>
      <c r="G94" s="10" t="n">
        <v>320</v>
      </c>
      <c r="H94" s="10" t="n">
        <v>320</v>
      </c>
      <c r="I94" s="3" t="inlineStr">
        <is>
          <t>CERRADA</t>
        </is>
      </c>
      <c r="J94" s="3">
        <f>IF($A94="","",$A94&amp;IF($B94="","0010",$B94))</f>
        <v/>
      </c>
    </row>
    <row r="95">
      <c r="A95" s="3" t="inlineStr">
        <is>
          <t>OT-000112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1-ALTA</t>
        </is>
      </c>
      <c r="E95" s="3" t="inlineStr">
        <is>
          <t>PARADO</t>
        </is>
      </c>
      <c r="F95" s="10" t="n">
        <v>100</v>
      </c>
      <c r="G95" s="10" t="n">
        <v>0</v>
      </c>
      <c r="H95" s="10" t="n">
        <v>250</v>
      </c>
      <c r="I95" s="3" t="inlineStr">
        <is>
          <t>EN EJECUCION</t>
        </is>
      </c>
      <c r="J95" s="3">
        <f>IF($A95="","",$A95&amp;IF($B95="","0010",$B95))</f>
        <v/>
      </c>
    </row>
    <row r="96">
      <c r="A96" s="3" t="inlineStr">
        <is>
          <t>OT-000113</t>
        </is>
      </c>
      <c r="B96" s="3" t="inlineStr">
        <is>
          <t>0010</t>
        </is>
      </c>
      <c r="C96" s="3" t="inlineStr">
        <is>
          <t>CERR</t>
        </is>
      </c>
      <c r="D96" s="3" t="inlineStr">
        <is>
          <t>2-MEDIA</t>
        </is>
      </c>
      <c r="E96" s="3" t="inlineStr">
        <is>
          <t>OPERATIVO</t>
        </is>
      </c>
      <c r="F96" s="10" t="n">
        <v>80</v>
      </c>
      <c r="G96" s="10" t="n">
        <v>200</v>
      </c>
      <c r="H96" s="10" t="n">
        <v>200</v>
      </c>
      <c r="I96" s="3" t="inlineStr">
        <is>
          <t>CERRADA</t>
        </is>
      </c>
      <c r="J96" s="3">
        <f>IF($A96="","",$A96&amp;IF($B96="","0010",$B96))</f>
        <v/>
      </c>
    </row>
    <row r="97">
      <c r="A97" s="3" t="inlineStr">
        <is>
          <t>OT-000114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3-BAJA</t>
        </is>
      </c>
      <c r="E97" s="3" t="inlineStr">
        <is>
          <t>PARADO</t>
        </is>
      </c>
      <c r="F97" s="10" t="n">
        <v>60</v>
      </c>
      <c r="G97" s="10" t="n">
        <v>0</v>
      </c>
      <c r="H97" s="10" t="n">
        <v>150</v>
      </c>
      <c r="I97" s="3" t="inlineStr">
        <is>
          <t>EN EJECUCION</t>
        </is>
      </c>
      <c r="J97" s="3">
        <f>IF($A97="","",$A97&amp;IF($B97="","0010",$B97))</f>
        <v/>
      </c>
    </row>
    <row r="98">
      <c r="A98" s="3" t="inlineStr">
        <is>
          <t>OT-000115</t>
        </is>
      </c>
      <c r="B98" s="3" t="inlineStr">
        <is>
          <t>0010</t>
        </is>
      </c>
      <c r="C98" s="3" t="inlineStr">
        <is>
          <t>CERR</t>
        </is>
      </c>
      <c r="D98" s="3" t="inlineStr">
        <is>
          <t>1-ALTA</t>
        </is>
      </c>
      <c r="E98" s="3" t="inlineStr">
        <is>
          <t>OPERATIVO</t>
        </is>
      </c>
      <c r="F98" s="10" t="n">
        <v>100</v>
      </c>
      <c r="G98" s="10" t="n">
        <v>250</v>
      </c>
      <c r="H98" s="10" t="n">
        <v>250</v>
      </c>
      <c r="I98" s="3" t="inlineStr">
        <is>
          <t>CERRADA</t>
        </is>
      </c>
      <c r="J98" s="3">
        <f>IF($A98="","",$A98&amp;IF($B98="","0010",$B98))</f>
        <v/>
      </c>
    </row>
    <row r="99">
      <c r="A99" s="3" t="inlineStr">
        <is>
          <t>OT-000116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2-MEDIA</t>
        </is>
      </c>
      <c r="E99" s="3" t="inlineStr">
        <is>
          <t>PARADO</t>
        </is>
      </c>
      <c r="F99" s="10" t="n">
        <v>20</v>
      </c>
      <c r="G99" s="10" t="n">
        <v>0</v>
      </c>
      <c r="H99" s="10" t="n">
        <v>50</v>
      </c>
      <c r="I99" s="3" t="inlineStr">
        <is>
          <t>EN EJECUCION</t>
        </is>
      </c>
      <c r="J99" s="3">
        <f>IF($A99="","",$A99&amp;IF($B99="","0010",$B99))</f>
        <v/>
      </c>
    </row>
    <row r="100">
      <c r="A100" s="3" t="inlineStr">
        <is>
          <t>OT-000117</t>
        </is>
      </c>
      <c r="B100" s="3" t="inlineStr">
        <is>
          <t>0010</t>
        </is>
      </c>
      <c r="C100" s="3" t="inlineStr">
        <is>
          <t>CERR</t>
        </is>
      </c>
      <c r="D100" s="3" t="inlineStr">
        <is>
          <t>3-BAJA</t>
        </is>
      </c>
      <c r="E100" s="3" t="inlineStr">
        <is>
          <t>OPERATIVO</t>
        </is>
      </c>
      <c r="F100" s="10" t="n">
        <v>144</v>
      </c>
      <c r="G100" s="10" t="n">
        <v>360</v>
      </c>
      <c r="H100" s="10" t="n">
        <v>360</v>
      </c>
      <c r="I100" s="3" t="inlineStr">
        <is>
          <t>CERRADA</t>
        </is>
      </c>
      <c r="J100" s="3">
        <f>IF($A100="","",$A100&amp;IF($B100="","0010",$B100))</f>
        <v/>
      </c>
    </row>
    <row r="101">
      <c r="A101" s="3" t="inlineStr">
        <is>
          <t>OT-000119</t>
        </is>
      </c>
      <c r="B101" s="3" t="inlineStr">
        <is>
          <t>0010</t>
        </is>
      </c>
      <c r="C101" s="3" t="inlineStr">
        <is>
          <t>LIB</t>
        </is>
      </c>
      <c r="D101" s="3" t="inlineStr">
        <is>
          <t>2-MEDIA</t>
        </is>
      </c>
      <c r="E101" s="3" t="inlineStr">
        <is>
          <t>OPERATIVO</t>
        </is>
      </c>
      <c r="F101" s="10" t="n">
        <v>80</v>
      </c>
      <c r="G101" s="10" t="n">
        <v>0</v>
      </c>
      <c r="H101" s="10" t="n">
        <v>200</v>
      </c>
      <c r="I101" s="3" t="inlineStr">
        <is>
          <t>LIBERADA</t>
        </is>
      </c>
      <c r="J101" s="3">
        <f>IF($A101="","",$A101&amp;IF($B101="","0010",$B101))</f>
        <v/>
      </c>
    </row>
    <row r="102">
      <c r="A102" s="3" t="inlineStr">
        <is>
          <t>OT-000121</t>
        </is>
      </c>
      <c r="B102" s="3" t="inlineStr">
        <is>
          <t>0010</t>
        </is>
      </c>
      <c r="C102" s="3" t="inlineStr">
        <is>
          <t>LIB</t>
        </is>
      </c>
      <c r="D102" s="3" t="inlineStr">
        <is>
          <t>1-ALTA</t>
        </is>
      </c>
      <c r="E102" s="3" t="inlineStr">
        <is>
          <t>OPERATIVO</t>
        </is>
      </c>
      <c r="F102" s="10" t="n">
        <v>112</v>
      </c>
      <c r="G102" s="10" t="n">
        <v>0</v>
      </c>
      <c r="H102" s="10" t="n">
        <v>280</v>
      </c>
      <c r="I102" s="3" t="inlineStr">
        <is>
          <t>LIBERADA</t>
        </is>
      </c>
      <c r="J102" s="3">
        <f>IF($A102="","",$A102&amp;IF($B102="","0010",$B102))</f>
        <v/>
      </c>
    </row>
    <row r="103">
      <c r="A103" s="3" t="inlineStr">
        <is>
          <t>OT-000123</t>
        </is>
      </c>
      <c r="B103" s="3" t="inlineStr">
        <is>
          <t>0010</t>
        </is>
      </c>
      <c r="C103" s="3" t="inlineStr">
        <is>
          <t>LIB</t>
        </is>
      </c>
      <c r="D103" s="3" t="inlineStr">
        <is>
          <t>3-BAJA</t>
        </is>
      </c>
      <c r="E103" s="3" t="inlineStr">
        <is>
          <t>OPERATIVO</t>
        </is>
      </c>
      <c r="F103" s="10" t="n">
        <v>80</v>
      </c>
      <c r="G103" s="10" t="n">
        <v>0</v>
      </c>
      <c r="H103" s="10" t="n">
        <v>200</v>
      </c>
      <c r="I103" s="3" t="inlineStr">
        <is>
          <t>LIBERADA</t>
        </is>
      </c>
      <c r="J103" s="3">
        <f>IF($A103="","",$A103&amp;IF($B103="","0010",$B103))</f>
        <v/>
      </c>
    </row>
    <row r="104">
      <c r="A104" s="3" t="inlineStr">
        <is>
          <t>OT-000125</t>
        </is>
      </c>
      <c r="B104" s="3" t="inlineStr">
        <is>
          <t>0010</t>
        </is>
      </c>
      <c r="C104" s="3" t="inlineStr">
        <is>
          <t>LIB</t>
        </is>
      </c>
      <c r="D104" s="3" t="inlineStr">
        <is>
          <t>2-MEDIA</t>
        </is>
      </c>
      <c r="E104" s="3" t="inlineStr">
        <is>
          <t>OPERATIVO</t>
        </is>
      </c>
      <c r="F104" s="10" t="n">
        <v>96</v>
      </c>
      <c r="G104" s="10" t="n">
        <v>0</v>
      </c>
      <c r="H104" s="10" t="n">
        <v>240</v>
      </c>
      <c r="I104" s="3" t="inlineStr">
        <is>
          <t>LIBERADA</t>
        </is>
      </c>
      <c r="J104" s="3">
        <f>IF($A104="","",$A104&amp;IF($B104="","0010",$B104))</f>
        <v/>
      </c>
    </row>
    <row r="105">
      <c r="A105" s="3" t="inlineStr">
        <is>
          <t>OT-000126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3-BAJA</t>
        </is>
      </c>
      <c r="E105" s="3" t="inlineStr">
        <is>
          <t>PARADO</t>
        </is>
      </c>
      <c r="F105" s="10" t="n">
        <v>100</v>
      </c>
      <c r="G105" s="10" t="n">
        <v>0</v>
      </c>
      <c r="H105" s="10" t="n">
        <v>250</v>
      </c>
      <c r="I105" s="3" t="inlineStr">
        <is>
          <t>EN EJECUCION</t>
        </is>
      </c>
      <c r="J105" s="3">
        <f>IF($A105="","",$A105&amp;IF($B105="","0010",$B105))</f>
        <v/>
      </c>
    </row>
    <row r="106">
      <c r="A106" s="3" t="inlineStr">
        <is>
          <t>OT-000127</t>
        </is>
      </c>
      <c r="B106" s="3" t="inlineStr">
        <is>
          <t>0010</t>
        </is>
      </c>
      <c r="C106" s="3" t="inlineStr">
        <is>
          <t>CERR</t>
        </is>
      </c>
      <c r="D106" s="3" t="inlineStr">
        <is>
          <t>1-ALTA</t>
        </is>
      </c>
      <c r="E106" s="3" t="inlineStr">
        <is>
          <t>OPERATIVO</t>
        </is>
      </c>
      <c r="F106" s="10" t="n">
        <v>60</v>
      </c>
      <c r="G106" s="10" t="n">
        <v>150</v>
      </c>
      <c r="H106" s="10" t="n">
        <v>150</v>
      </c>
      <c r="I106" s="3" t="inlineStr">
        <is>
          <t>CERRADA</t>
        </is>
      </c>
      <c r="J106" s="3">
        <f>IF($A106="","",$A106&amp;IF($B106="","0010",$B106))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LIB</t>
        </is>
      </c>
      <c r="D107" s="3" t="inlineStr">
        <is>
          <t>3-BAJA</t>
        </is>
      </c>
      <c r="E107" s="3" t="inlineStr">
        <is>
          <t>OPERATIVO</t>
        </is>
      </c>
      <c r="F107" s="10" t="n">
        <v>20</v>
      </c>
      <c r="G107" s="10" t="n">
        <v>0</v>
      </c>
      <c r="H107" s="10" t="n">
        <v>50</v>
      </c>
      <c r="I107" s="3" t="inlineStr">
        <is>
          <t>LIBERADA</t>
        </is>
      </c>
      <c r="J107" s="3">
        <f>IF($A107="","",$A107&amp;IF($B107="","0010",$B107))</f>
        <v/>
      </c>
    </row>
    <row r="108">
      <c r="A108" s="3" t="inlineStr">
        <is>
          <t>OT-000001</t>
        </is>
      </c>
      <c r="B108" s="3" t="inlineStr">
        <is>
          <t>0020</t>
        </is>
      </c>
      <c r="C108" s="3" t="inlineStr">
        <is>
          <t>CERR</t>
        </is>
      </c>
      <c r="D108" s="3" t="inlineStr">
        <is>
          <t>1-ALTA</t>
        </is>
      </c>
      <c r="E108" s="3" t="inlineStr">
        <is>
          <t>PARADO</t>
        </is>
      </c>
      <c r="F108" s="10" t="n">
        <v>20</v>
      </c>
      <c r="G108" s="10" t="n">
        <v>50</v>
      </c>
      <c r="H108" s="10" t="n">
        <v>50</v>
      </c>
      <c r="I108" s="3" t="inlineStr">
        <is>
          <t>CERRADA</t>
        </is>
      </c>
      <c r="J108" s="3">
        <f>IF($A108="","",$A108&amp;IF($B108="","0010",$B108))</f>
        <v/>
      </c>
    </row>
    <row r="109">
      <c r="A109" s="3" t="inlineStr">
        <is>
          <t>OT-000041</t>
        </is>
      </c>
      <c r="B109" s="3" t="inlineStr">
        <is>
          <t>0020</t>
        </is>
      </c>
      <c r="C109" s="3" t="inlineStr">
        <is>
          <t>LIB</t>
        </is>
      </c>
      <c r="D109" s="3" t="inlineStr">
        <is>
          <t>2-MEDIA</t>
        </is>
      </c>
      <c r="E109" s="3" t="inlineStr">
        <is>
          <t>OPERATIVO</t>
        </is>
      </c>
      <c r="F109" s="10" t="n">
        <v>20</v>
      </c>
      <c r="G109" s="10" t="n">
        <v>0</v>
      </c>
      <c r="H109" s="10" t="n">
        <v>50</v>
      </c>
      <c r="I109" s="3" t="inlineStr">
        <is>
          <t>LIBERADA</t>
        </is>
      </c>
      <c r="J109" s="3">
        <f>IF($A109="","",$A109&amp;IF($B109="","0010",$B109))</f>
        <v/>
      </c>
    </row>
    <row r="110">
      <c r="A110" s="3" t="inlineStr">
        <is>
          <t>OT-000121</t>
        </is>
      </c>
      <c r="B110" s="3" t="inlineStr">
        <is>
          <t>0020</t>
        </is>
      </c>
      <c r="C110" s="3" t="inlineStr">
        <is>
          <t>LIB</t>
        </is>
      </c>
      <c r="D110" s="3" t="inlineStr">
        <is>
          <t>1-ALTA</t>
        </is>
      </c>
      <c r="E110" s="3" t="inlineStr">
        <is>
          <t>OPERATIVO</t>
        </is>
      </c>
      <c r="F110" s="10" t="n">
        <v>32</v>
      </c>
      <c r="G110" s="10" t="n">
        <v>0</v>
      </c>
      <c r="H110" s="10" t="n">
        <v>80</v>
      </c>
      <c r="I110" s="3" t="inlineStr">
        <is>
          <t>LIBERADA</t>
        </is>
      </c>
      <c r="J110" s="3">
        <f>IF($A110="","",$A110&amp;IF($B110="","0010",$B110))</f>
        <v/>
      </c>
    </row>
    <row r="111">
      <c r="A111" s="3" t="inlineStr">
        <is>
          <t>OT-000134</t>
        </is>
      </c>
      <c r="B111" s="3" t="inlineStr">
        <is>
          <t>0010</t>
        </is>
      </c>
      <c r="C111" s="3" t="inlineStr">
        <is>
          <t>ABIE</t>
        </is>
      </c>
      <c r="D111" s="3" t="inlineStr">
        <is>
          <t>2-MEDIA</t>
        </is>
      </c>
      <c r="E111" s="3" t="inlineStr">
        <is>
          <t>PARADO</t>
        </is>
      </c>
      <c r="F111" s="10" t="n">
        <v>64</v>
      </c>
      <c r="G111" s="10" t="n">
        <v>0</v>
      </c>
      <c r="H111" s="10" t="n">
        <v>160</v>
      </c>
      <c r="I111" s="3" t="inlineStr">
        <is>
          <t>ABIERTA</t>
        </is>
      </c>
      <c r="J111" s="3">
        <f>IF($A111="","",$A111&amp;IF($B111="","0010",$B111))</f>
        <v/>
      </c>
    </row>
    <row r="112">
      <c r="A112" s="3" t="inlineStr">
        <is>
          <t>OT-000135</t>
        </is>
      </c>
      <c r="B112" s="3" t="inlineStr">
        <is>
          <t>0010</t>
        </is>
      </c>
      <c r="C112" s="3" t="inlineStr">
        <is>
          <t>EJEC</t>
        </is>
      </c>
      <c r="D112" s="3" t="inlineStr">
        <is>
          <t>3-BAJA</t>
        </is>
      </c>
      <c r="E112" s="3" t="inlineStr">
        <is>
          <t>OPERATIVO</t>
        </is>
      </c>
      <c r="F112" s="10" t="n">
        <v>96</v>
      </c>
      <c r="G112" s="10" t="n">
        <v>0</v>
      </c>
      <c r="H112" s="10" t="n">
        <v>240</v>
      </c>
      <c r="I112" s="3" t="inlineStr">
        <is>
          <t>EN EJECUCION</t>
        </is>
      </c>
      <c r="J112" s="3">
        <f>IF($A112="","",$A112&amp;IF($B112="","0010",$B112))</f>
        <v/>
      </c>
    </row>
    <row r="113">
      <c r="A113" s="3" t="inlineStr">
        <is>
          <t>OT-000136</t>
        </is>
      </c>
      <c r="B113" s="3" t="inlineStr">
        <is>
          <t>0010</t>
        </is>
      </c>
      <c r="C113" s="3" t="inlineStr">
        <is>
          <t>ABIE</t>
        </is>
      </c>
      <c r="D113" s="3" t="inlineStr">
        <is>
          <t>1-ALTA</t>
        </is>
      </c>
      <c r="E113" s="3" t="inlineStr">
        <is>
          <t>PARADO</t>
        </is>
      </c>
      <c r="F113" s="10" t="n">
        <v>128</v>
      </c>
      <c r="G113" s="10" t="n">
        <v>0</v>
      </c>
      <c r="H113" s="10" t="n">
        <v>320</v>
      </c>
      <c r="I113" s="3" t="inlineStr">
        <is>
          <t>ABIERTA</t>
        </is>
      </c>
      <c r="J113" s="3">
        <f>IF($A113="","",$A113&amp;IF($B113="","0010",$B113))</f>
        <v/>
      </c>
    </row>
    <row r="114">
      <c r="A114" s="3" t="inlineStr">
        <is>
          <t>OT-000137</t>
        </is>
      </c>
      <c r="B114" s="3" t="inlineStr">
        <is>
          <t>0010</t>
        </is>
      </c>
      <c r="C114" s="3" t="inlineStr">
        <is>
          <t>EJEC</t>
        </is>
      </c>
      <c r="D114" s="3" t="inlineStr">
        <is>
          <t>2-MEDIA</t>
        </is>
      </c>
      <c r="E114" s="3" t="inlineStr">
        <is>
          <t>OPERATIVO</t>
        </is>
      </c>
      <c r="F114" s="10" t="n">
        <v>40</v>
      </c>
      <c r="G114" s="10" t="n">
        <v>0</v>
      </c>
      <c r="H114" s="10" t="n">
        <v>100</v>
      </c>
      <c r="I114" s="3" t="inlineStr">
        <is>
          <t>EN EJECUCION</t>
        </is>
      </c>
      <c r="J114" s="3">
        <f>IF($A114="","",$A114&amp;IF($B114="","0010",$B114))</f>
        <v/>
      </c>
    </row>
    <row r="115">
      <c r="A115" s="3" t="inlineStr">
        <is>
          <t>OT-000138</t>
        </is>
      </c>
      <c r="B115" s="3" t="inlineStr">
        <is>
          <t>0010</t>
        </is>
      </c>
      <c r="C115" s="3" t="inlineStr">
        <is>
          <t>ABIE</t>
        </is>
      </c>
      <c r="D115" s="3" t="inlineStr">
        <is>
          <t>3-BAJA</t>
        </is>
      </c>
      <c r="E115" s="3" t="inlineStr">
        <is>
          <t>PARADO</t>
        </is>
      </c>
      <c r="F115" s="10" t="n">
        <v>96</v>
      </c>
      <c r="G115" s="10" t="n">
        <v>0</v>
      </c>
      <c r="H115" s="10" t="n">
        <v>240</v>
      </c>
      <c r="I115" s="3" t="inlineStr">
        <is>
          <t>ABIERTA</t>
        </is>
      </c>
      <c r="J115" s="3">
        <f>IF($A115="","",$A115&amp;IF($B115="","0010",$B115))</f>
        <v/>
      </c>
    </row>
    <row r="116">
      <c r="A116" s="3" t="inlineStr">
        <is>
          <t>OT-000139</t>
        </is>
      </c>
      <c r="B116" s="3" t="inlineStr">
        <is>
          <t>0010</t>
        </is>
      </c>
      <c r="C116" s="3" t="inlineStr">
        <is>
          <t>EJEC</t>
        </is>
      </c>
      <c r="D116" s="3" t="inlineStr">
        <is>
          <t>1-ALTA</t>
        </is>
      </c>
      <c r="E116" s="3" t="inlineStr">
        <is>
          <t>OPERATIVO</t>
        </is>
      </c>
      <c r="F116" s="10" t="n">
        <v>128</v>
      </c>
      <c r="G116" s="10" t="n">
        <v>0</v>
      </c>
      <c r="H116" s="10" t="n">
        <v>320</v>
      </c>
      <c r="I116" s="3" t="inlineStr">
        <is>
          <t>EN EJECUCION</t>
        </is>
      </c>
      <c r="J116" s="3">
        <f>IF($A116="","",$A116&amp;IF($B116="","0010",$B116))</f>
        <v/>
      </c>
    </row>
    <row r="117">
      <c r="A117" s="3" t="inlineStr">
        <is>
          <t>OT-000140</t>
        </is>
      </c>
      <c r="B117" s="3" t="inlineStr">
        <is>
          <t>0010</t>
        </is>
      </c>
      <c r="C117" s="3" t="inlineStr">
        <is>
          <t>ABIE</t>
        </is>
      </c>
      <c r="D117" s="3" t="inlineStr">
        <is>
          <t>2-MEDIA</t>
        </is>
      </c>
      <c r="E117" s="3" t="inlineStr">
        <is>
          <t>PARADO</t>
        </is>
      </c>
      <c r="F117" s="10" t="n">
        <v>64</v>
      </c>
      <c r="G117" s="10" t="n">
        <v>0</v>
      </c>
      <c r="H117" s="10" t="n">
        <v>160</v>
      </c>
      <c r="I117" s="3" t="inlineStr">
        <is>
          <t>ABIERTA</t>
        </is>
      </c>
      <c r="J117" s="3">
        <f>IF($A117="","",$A117&amp;IF($B117="","0010",$B117))</f>
        <v/>
      </c>
    </row>
    <row r="118">
      <c r="A118" s="3" t="inlineStr">
        <is>
          <t>OT-000141</t>
        </is>
      </c>
      <c r="B118" s="3" t="inlineStr">
        <is>
          <t>0010</t>
        </is>
      </c>
      <c r="C118" s="3" t="inlineStr">
        <is>
          <t>EJEC</t>
        </is>
      </c>
      <c r="D118" s="3" t="inlineStr">
        <is>
          <t>3-BAJA</t>
        </is>
      </c>
      <c r="E118" s="3" t="inlineStr">
        <is>
          <t>OPERATIVO</t>
        </is>
      </c>
      <c r="F118" s="10" t="n">
        <v>60</v>
      </c>
      <c r="G118" s="10" t="n">
        <v>0</v>
      </c>
      <c r="H118" s="10" t="n">
        <v>150</v>
      </c>
      <c r="I118" s="3" t="inlineStr">
        <is>
          <t>EN EJECUCION</t>
        </is>
      </c>
      <c r="J118" s="3">
        <f>IF($A118="","",$A118&amp;IF($B118="","0010",$B118))</f>
        <v/>
      </c>
    </row>
    <row r="119">
      <c r="A119" s="3" t="inlineStr">
        <is>
          <t>OT-000142</t>
        </is>
      </c>
      <c r="B119" s="3" t="inlineStr">
        <is>
          <t>0010</t>
        </is>
      </c>
      <c r="C119" s="3" t="inlineStr">
        <is>
          <t>ABIE</t>
        </is>
      </c>
      <c r="D119" s="3" t="inlineStr">
        <is>
          <t>1-ALTA</t>
        </is>
      </c>
      <c r="E119" s="3" t="inlineStr">
        <is>
          <t>PARADO</t>
        </is>
      </c>
      <c r="F119" s="10" t="n">
        <v>64</v>
      </c>
      <c r="G119" s="10" t="n">
        <v>0</v>
      </c>
      <c r="H119" s="10" t="n">
        <v>160</v>
      </c>
      <c r="I119" s="3" t="inlineStr">
        <is>
          <t>ABIERTA</t>
        </is>
      </c>
      <c r="J119" s="3">
        <f>IF($A119="","",$A119&amp;IF($B119="","0010",$B119))</f>
        <v/>
      </c>
    </row>
    <row r="120">
      <c r="A120" s="3" t="inlineStr">
        <is>
          <t>OT-000143</t>
        </is>
      </c>
      <c r="B120" s="3" t="inlineStr">
        <is>
          <t>0010</t>
        </is>
      </c>
      <c r="C120" s="3" t="inlineStr">
        <is>
          <t>EJEC</t>
        </is>
      </c>
      <c r="D120" s="3" t="inlineStr">
        <is>
          <t>2-MEDIA</t>
        </is>
      </c>
      <c r="E120" s="3" t="inlineStr">
        <is>
          <t>OPERATIVO</t>
        </is>
      </c>
      <c r="F120" s="10" t="n">
        <v>96</v>
      </c>
      <c r="G120" s="10" t="n">
        <v>0</v>
      </c>
      <c r="H120" s="10" t="n">
        <v>240</v>
      </c>
      <c r="I120" s="3" t="inlineStr">
        <is>
          <t>EN EJECUCION</t>
        </is>
      </c>
      <c r="J120" s="3">
        <f>IF($A120="","",$A120&amp;IF($B120="","0010",$B120))</f>
        <v/>
      </c>
    </row>
    <row r="121">
      <c r="A121" s="3" t="inlineStr">
        <is>
          <t>OT-000144</t>
        </is>
      </c>
      <c r="B121" s="3" t="inlineStr">
        <is>
          <t>0010</t>
        </is>
      </c>
      <c r="C121" s="3" t="inlineStr">
        <is>
          <t>ABIE</t>
        </is>
      </c>
      <c r="D121" s="3" t="inlineStr">
        <is>
          <t>3-BAJA</t>
        </is>
      </c>
      <c r="E121" s="3" t="inlineStr">
        <is>
          <t>PARADO</t>
        </is>
      </c>
      <c r="F121" s="10" t="n">
        <v>128</v>
      </c>
      <c r="G121" s="10" t="n">
        <v>0</v>
      </c>
      <c r="H121" s="10" t="n">
        <v>320</v>
      </c>
      <c r="I121" s="3" t="inlineStr">
        <is>
          <t>ABIERTA</t>
        </is>
      </c>
      <c r="J121" s="3">
        <f>IF($A121="","",$A121&amp;IF($B121="","0010",$B121))</f>
        <v/>
      </c>
    </row>
    <row r="122">
      <c r="A122" s="3" t="inlineStr">
        <is>
          <t>OT-000145</t>
        </is>
      </c>
      <c r="B122" s="3" t="inlineStr">
        <is>
          <t>0010</t>
        </is>
      </c>
      <c r="C122" s="3" t="inlineStr">
        <is>
          <t>EJEC</t>
        </is>
      </c>
      <c r="D122" s="3" t="inlineStr">
        <is>
          <t>1-ALTA</t>
        </is>
      </c>
      <c r="E122" s="3" t="inlineStr">
        <is>
          <t>OPERATIVO</t>
        </is>
      </c>
      <c r="F122" s="10" t="n">
        <v>40</v>
      </c>
      <c r="G122" s="10" t="n">
        <v>0</v>
      </c>
      <c r="H122" s="10" t="n">
        <v>100</v>
      </c>
      <c r="I122" s="3" t="inlineStr">
        <is>
          <t>EN EJECUCION</t>
        </is>
      </c>
      <c r="J122" s="3">
        <f>IF($A122="","",$A122&amp;IF($B122="","0010",$B122))</f>
        <v/>
      </c>
    </row>
    <row r="123">
      <c r="A123" s="3" t="inlineStr">
        <is>
          <t>OT-000146</t>
        </is>
      </c>
      <c r="B123" s="3" t="inlineStr">
        <is>
          <t>0010</t>
        </is>
      </c>
      <c r="C123" s="3" t="inlineStr">
        <is>
          <t>ABIE</t>
        </is>
      </c>
      <c r="D123" s="3" t="inlineStr">
        <is>
          <t>2-MEDIA</t>
        </is>
      </c>
      <c r="E123" s="3" t="inlineStr">
        <is>
          <t>PARADO</t>
        </is>
      </c>
      <c r="F123" s="10" t="n">
        <v>96</v>
      </c>
      <c r="G123" s="10" t="n">
        <v>0</v>
      </c>
      <c r="H123" s="10" t="n">
        <v>240</v>
      </c>
      <c r="I123" s="3" t="inlineStr">
        <is>
          <t>ABIERTA</t>
        </is>
      </c>
      <c r="J123" s="3">
        <f>IF($A123="","",$A123&amp;IF($B123="","0010",$B123))</f>
        <v/>
      </c>
    </row>
    <row r="124">
      <c r="A124" s="3" t="inlineStr">
        <is>
          <t>OT-000147</t>
        </is>
      </c>
      <c r="B124" s="3" t="inlineStr">
        <is>
          <t>0010</t>
        </is>
      </c>
      <c r="C124" s="3" t="inlineStr">
        <is>
          <t>EJEC</t>
        </is>
      </c>
      <c r="D124" s="3" t="inlineStr">
        <is>
          <t>3-BAJA</t>
        </is>
      </c>
      <c r="E124" s="3" t="inlineStr">
        <is>
          <t>OPERATIVO</t>
        </is>
      </c>
      <c r="F124" s="10" t="n">
        <v>128</v>
      </c>
      <c r="G124" s="10" t="n">
        <v>0</v>
      </c>
      <c r="H124" s="10" t="n">
        <v>320</v>
      </c>
      <c r="I124" s="3" t="inlineStr">
        <is>
          <t>EN EJECUCION</t>
        </is>
      </c>
      <c r="J124" s="3">
        <f>IF($A124="","",$A124&amp;IF($B124="","0010",$B124))</f>
        <v/>
      </c>
    </row>
    <row r="125">
      <c r="A125" s="3" t="inlineStr">
        <is>
          <t>OT-000148</t>
        </is>
      </c>
      <c r="B125" s="3" t="inlineStr">
        <is>
          <t>0010</t>
        </is>
      </c>
      <c r="C125" s="3" t="inlineStr">
        <is>
          <t>ABIE</t>
        </is>
      </c>
      <c r="D125" s="3" t="inlineStr">
        <is>
          <t>1-ALTA</t>
        </is>
      </c>
      <c r="E125" s="3" t="inlineStr">
        <is>
          <t>PARADO</t>
        </is>
      </c>
      <c r="F125" s="10" t="n">
        <v>64</v>
      </c>
      <c r="G125" s="10" t="n">
        <v>0</v>
      </c>
      <c r="H125" s="10" t="n">
        <v>160</v>
      </c>
      <c r="I125" s="3" t="inlineStr">
        <is>
          <t>ABIERTA</t>
        </is>
      </c>
      <c r="J125" s="3">
        <f>IF($A125="","",$A125&amp;IF($B125="","0010",$B125))</f>
        <v/>
      </c>
    </row>
    <row r="126">
      <c r="A126" s="3" t="inlineStr">
        <is>
          <t>OT-000149</t>
        </is>
      </c>
      <c r="B126" s="3" t="inlineStr">
        <is>
          <t>0010</t>
        </is>
      </c>
      <c r="C126" s="3" t="inlineStr">
        <is>
          <t>EJEC</t>
        </is>
      </c>
      <c r="D126" s="3" t="inlineStr">
        <is>
          <t>2-MEDIA</t>
        </is>
      </c>
      <c r="E126" s="3" t="inlineStr">
        <is>
          <t>OPERATIVO</t>
        </is>
      </c>
      <c r="F126" s="10" t="n">
        <v>96</v>
      </c>
      <c r="G126" s="10" t="n">
        <v>0</v>
      </c>
      <c r="H126" s="10" t="n">
        <v>240</v>
      </c>
      <c r="I126" s="3" t="inlineStr">
        <is>
          <t>EN EJECUCION</t>
        </is>
      </c>
      <c r="J126" s="3">
        <f>IF($A126="","",$A126&amp;IF($B126="","0010",$B126))</f>
        <v/>
      </c>
    </row>
    <row r="127">
      <c r="A127" s="3" t="inlineStr">
        <is>
          <t>OT-000150</t>
        </is>
      </c>
      <c r="B127" s="3" t="inlineStr">
        <is>
          <t>0010</t>
        </is>
      </c>
      <c r="C127" s="3" t="inlineStr">
        <is>
          <t>ABIE</t>
        </is>
      </c>
      <c r="D127" s="3" t="inlineStr">
        <is>
          <t>3-BAJA</t>
        </is>
      </c>
      <c r="E127" s="3" t="inlineStr">
        <is>
          <t>PARADO</t>
        </is>
      </c>
      <c r="F127" s="10" t="n">
        <v>128</v>
      </c>
      <c r="G127" s="10" t="n">
        <v>0</v>
      </c>
      <c r="H127" s="10" t="n">
        <v>320</v>
      </c>
      <c r="I127" s="3" t="inlineStr">
        <is>
          <t>ABIERTA</t>
        </is>
      </c>
      <c r="J127" s="3">
        <f>IF($A127="","",$A127&amp;IF($B127="","0010",$B127))</f>
        <v/>
      </c>
    </row>
    <row r="128">
      <c r="A128" s="3" t="inlineStr">
        <is>
          <t>OT-000151</t>
        </is>
      </c>
      <c r="B128" s="3" t="inlineStr">
        <is>
          <t>0010</t>
        </is>
      </c>
      <c r="C128" s="3" t="inlineStr">
        <is>
          <t>EJEC</t>
        </is>
      </c>
      <c r="D128" s="3" t="inlineStr">
        <is>
          <t>1-ALTA</t>
        </is>
      </c>
      <c r="E128" s="3" t="inlineStr">
        <is>
          <t>OPERATIVO</t>
        </is>
      </c>
      <c r="F128" s="10" t="n">
        <v>40</v>
      </c>
      <c r="G128" s="10" t="n">
        <v>0</v>
      </c>
      <c r="H128" s="10" t="n">
        <v>100</v>
      </c>
      <c r="I128" s="3" t="inlineStr">
        <is>
          <t>EN EJECUCION</t>
        </is>
      </c>
      <c r="J128" s="3">
        <f>IF($A128="","",$A128&amp;IF($B128="","0010",$B128))</f>
        <v/>
      </c>
    </row>
    <row r="129">
      <c r="A129" s="3" t="inlineStr">
        <is>
          <t>OT-000152</t>
        </is>
      </c>
      <c r="B129" s="3" t="inlineStr">
        <is>
          <t>0010</t>
        </is>
      </c>
      <c r="C129" s="3" t="inlineStr">
        <is>
          <t>ABIE</t>
        </is>
      </c>
      <c r="D129" s="3" t="inlineStr">
        <is>
          <t>2-MEDIA</t>
        </is>
      </c>
      <c r="E129" s="3" t="inlineStr">
        <is>
          <t>PARADO</t>
        </is>
      </c>
      <c r="F129" s="10" t="n">
        <v>96</v>
      </c>
      <c r="G129" s="10" t="n">
        <v>0</v>
      </c>
      <c r="H129" s="10" t="n">
        <v>240</v>
      </c>
      <c r="I129" s="3" t="inlineStr">
        <is>
          <t>ABIERTA</t>
        </is>
      </c>
      <c r="J129" s="3">
        <f>IF($A129="","",$A129&amp;IF($B129="","0010",$B129))</f>
        <v/>
      </c>
    </row>
    <row r="130">
      <c r="A130" s="3" t="inlineStr">
        <is>
          <t>OT-000153</t>
        </is>
      </c>
      <c r="B130" s="3" t="inlineStr">
        <is>
          <t>0010</t>
        </is>
      </c>
      <c r="C130" s="3" t="inlineStr">
        <is>
          <t>EJEC</t>
        </is>
      </c>
      <c r="D130" s="3" t="inlineStr">
        <is>
          <t>3-BAJA</t>
        </is>
      </c>
      <c r="E130" s="3" t="inlineStr">
        <is>
          <t>OPERATIVO</t>
        </is>
      </c>
      <c r="F130" s="10" t="n">
        <v>128</v>
      </c>
      <c r="G130" s="10" t="n">
        <v>0</v>
      </c>
      <c r="H130" s="10" t="n">
        <v>320</v>
      </c>
      <c r="I130" s="3" t="inlineStr">
        <is>
          <t>EN EJECUCION</t>
        </is>
      </c>
      <c r="J130" s="3">
        <f>IF($A130="","",$A130&amp;IF($B130="","0010",$B130))</f>
        <v/>
      </c>
    </row>
    <row r="131">
      <c r="A131" s="3" t="inlineStr">
        <is>
          <t>OT-000154</t>
        </is>
      </c>
      <c r="B131" s="3" t="inlineStr">
        <is>
          <t>0010</t>
        </is>
      </c>
      <c r="C131" s="3" t="inlineStr">
        <is>
          <t>ABIE</t>
        </is>
      </c>
      <c r="D131" s="3" t="inlineStr">
        <is>
          <t>1-ALTA</t>
        </is>
      </c>
      <c r="E131" s="3" t="inlineStr">
        <is>
          <t>PARADO</t>
        </is>
      </c>
      <c r="F131" s="10" t="n">
        <v>64</v>
      </c>
      <c r="G131" s="10" t="n">
        <v>0</v>
      </c>
      <c r="H131" s="10" t="n">
        <v>160</v>
      </c>
      <c r="I131" s="3" t="inlineStr">
        <is>
          <t>ABIERTA</t>
        </is>
      </c>
      <c r="J131" s="3">
        <f>IF($A131="","",$A131&amp;IF($B131="","0010",$B131))</f>
        <v/>
      </c>
    </row>
    <row r="132">
      <c r="A132" s="3" t="inlineStr">
        <is>
          <t>OT-000155</t>
        </is>
      </c>
      <c r="B132" s="3" t="inlineStr">
        <is>
          <t>0010</t>
        </is>
      </c>
      <c r="C132" s="3" t="inlineStr">
        <is>
          <t>EJEC</t>
        </is>
      </c>
      <c r="D132" s="3" t="inlineStr">
        <is>
          <t>2-MEDIA</t>
        </is>
      </c>
      <c r="E132" s="3" t="inlineStr">
        <is>
          <t>OPERATIVO</t>
        </is>
      </c>
      <c r="F132" s="10" t="n">
        <v>96</v>
      </c>
      <c r="G132" s="10" t="n">
        <v>0</v>
      </c>
      <c r="H132" s="10" t="n">
        <v>240</v>
      </c>
      <c r="I132" s="3" t="inlineStr">
        <is>
          <t>EN EJECUCION</t>
        </is>
      </c>
      <c r="J132" s="3">
        <f>IF($A132="","",$A132&amp;IF($B132="","0010",$B132))</f>
        <v/>
      </c>
    </row>
    <row r="133">
      <c r="A133" s="3" t="inlineStr">
        <is>
          <t>OT-000156</t>
        </is>
      </c>
      <c r="B133" s="3" t="inlineStr">
        <is>
          <t>0010</t>
        </is>
      </c>
      <c r="C133" s="3" t="inlineStr">
        <is>
          <t>ABIE</t>
        </is>
      </c>
      <c r="D133" s="3" t="inlineStr">
        <is>
          <t>3-BAJA</t>
        </is>
      </c>
      <c r="E133" s="3" t="inlineStr">
        <is>
          <t>PARADO</t>
        </is>
      </c>
      <c r="F133" s="10" t="n">
        <v>128</v>
      </c>
      <c r="G133" s="10" t="n">
        <v>0</v>
      </c>
      <c r="H133" s="10" t="n">
        <v>320</v>
      </c>
      <c r="I133" s="3" t="inlineStr">
        <is>
          <t>ABIERTA</t>
        </is>
      </c>
      <c r="J133" s="3">
        <f>IF($A133="","",$A133&amp;IF($B133="","0010",$B133))</f>
        <v/>
      </c>
    </row>
    <row r="134">
      <c r="A134" s="3" t="inlineStr">
        <is>
          <t>OT-000157</t>
        </is>
      </c>
      <c r="B134" s="3" t="inlineStr">
        <is>
          <t>0010</t>
        </is>
      </c>
      <c r="C134" s="3" t="inlineStr">
        <is>
          <t>EJEC</t>
        </is>
      </c>
      <c r="D134" s="3" t="inlineStr">
        <is>
          <t>1-ALTA</t>
        </is>
      </c>
      <c r="E134" s="3" t="inlineStr">
        <is>
          <t>OPERATIVO</t>
        </is>
      </c>
      <c r="F134" s="10" t="n">
        <v>40</v>
      </c>
      <c r="G134" s="10" t="n">
        <v>0</v>
      </c>
      <c r="H134" s="10" t="n">
        <v>100</v>
      </c>
      <c r="I134" s="3" t="inlineStr">
        <is>
          <t>EN EJECUCION</t>
        </is>
      </c>
      <c r="J134" s="3">
        <f>IF($A134="","",$A134&amp;IF($B134="","0010",$B134))</f>
        <v/>
      </c>
    </row>
    <row r="135">
      <c r="A135" s="3" t="inlineStr">
        <is>
          <t>OT-000158</t>
        </is>
      </c>
      <c r="B135" s="3" t="inlineStr">
        <is>
          <t>0010</t>
        </is>
      </c>
      <c r="C135" s="3" t="inlineStr">
        <is>
          <t>ABIE</t>
        </is>
      </c>
      <c r="D135" s="3" t="inlineStr">
        <is>
          <t>2-MEDIA</t>
        </is>
      </c>
      <c r="E135" s="3" t="inlineStr">
        <is>
          <t>PARADO</t>
        </is>
      </c>
      <c r="F135" s="10" t="n">
        <v>64</v>
      </c>
      <c r="G135" s="10" t="n">
        <v>0</v>
      </c>
      <c r="H135" s="10" t="n">
        <v>160</v>
      </c>
      <c r="I135" s="3" t="inlineStr">
        <is>
          <t>ABIERTA</t>
        </is>
      </c>
      <c r="J135" s="3">
        <f>IF($A135="","",$A135&amp;IF($B135="","0010",$B135))</f>
        <v/>
      </c>
    </row>
    <row r="136">
      <c r="A136" s="3" t="inlineStr">
        <is>
          <t>OT-000159</t>
        </is>
      </c>
      <c r="B136" s="3" t="inlineStr">
        <is>
          <t>0010</t>
        </is>
      </c>
      <c r="C136" s="3" t="inlineStr">
        <is>
          <t>EJEC</t>
        </is>
      </c>
      <c r="D136" s="3" t="inlineStr">
        <is>
          <t>3-BAJA</t>
        </is>
      </c>
      <c r="E136" s="3" t="inlineStr">
        <is>
          <t>OPERATIVO</t>
        </is>
      </c>
      <c r="F136" s="10" t="n">
        <v>96</v>
      </c>
      <c r="G136" s="10" t="n">
        <v>0</v>
      </c>
      <c r="H136" s="10" t="n">
        <v>240</v>
      </c>
      <c r="I136" s="3" t="inlineStr">
        <is>
          <t>EN EJECUCION</t>
        </is>
      </c>
      <c r="J136" s="3">
        <f>IF($A136="","",$A136&amp;IF($B136="","0010",$B136))</f>
        <v/>
      </c>
    </row>
    <row r="137">
      <c r="A137" s="3" t="inlineStr">
        <is>
          <t>OT-000160</t>
        </is>
      </c>
      <c r="B137" s="3" t="inlineStr">
        <is>
          <t>0010</t>
        </is>
      </c>
      <c r="C137" s="3" t="inlineStr">
        <is>
          <t>ABIE</t>
        </is>
      </c>
      <c r="D137" s="3" t="inlineStr">
        <is>
          <t>1-ALTA</t>
        </is>
      </c>
      <c r="E137" s="3" t="inlineStr">
        <is>
          <t>PARADO</t>
        </is>
      </c>
      <c r="F137" s="10" t="n">
        <v>128</v>
      </c>
      <c r="G137" s="10" t="n">
        <v>0</v>
      </c>
      <c r="H137" s="10" t="n">
        <v>320</v>
      </c>
      <c r="I137" s="3" t="inlineStr">
        <is>
          <t>ABIERTA</t>
        </is>
      </c>
      <c r="J137" s="3">
        <f>IF($A137="","",$A137&amp;IF($B137="","0010",$B137))</f>
        <v/>
      </c>
    </row>
    <row r="138">
      <c r="A138" s="3" t="inlineStr">
        <is>
          <t>OT-000161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2-MEDIA</t>
        </is>
      </c>
      <c r="E138" s="3" t="inlineStr">
        <is>
          <t>OPERATIVO</t>
        </is>
      </c>
      <c r="F138" s="10" t="n">
        <v>40</v>
      </c>
      <c r="G138" s="10" t="n">
        <v>0</v>
      </c>
      <c r="H138" s="10" t="n">
        <v>100</v>
      </c>
      <c r="I138" s="3" t="inlineStr">
        <is>
          <t>EN EJECUCION</t>
        </is>
      </c>
      <c r="J138" s="3">
        <f>IF($A138="","",$A138&amp;IF($B138="","0010",$B138))</f>
        <v/>
      </c>
    </row>
    <row r="139">
      <c r="A139" s="3" t="inlineStr">
        <is>
          <t>OT-000162</t>
        </is>
      </c>
      <c r="B139" s="3" t="inlineStr">
        <is>
          <t>0010</t>
        </is>
      </c>
      <c r="C139" s="3" t="inlineStr">
        <is>
          <t>CERR</t>
        </is>
      </c>
      <c r="D139" s="3" t="inlineStr">
        <is>
          <t>3-BAJA</t>
        </is>
      </c>
      <c r="E139" s="3" t="inlineStr">
        <is>
          <t>PARADO</t>
        </is>
      </c>
      <c r="F139" s="10" t="n">
        <v>200</v>
      </c>
      <c r="G139" s="10" t="n">
        <v>100</v>
      </c>
      <c r="H139" s="10" t="n">
        <v>100</v>
      </c>
      <c r="I139" s="3" t="inlineStr">
        <is>
          <t>CERRADA</t>
        </is>
      </c>
      <c r="J139" s="3">
        <f>IF($A139="","",$A139&amp;IF($B139="","0010",$B139))</f>
        <v/>
      </c>
    </row>
    <row r="140">
      <c r="A140" s="3" t="inlineStr">
        <is>
          <t>OT-000163</t>
        </is>
      </c>
      <c r="B140" s="3" t="inlineStr">
        <is>
          <t>0010</t>
        </is>
      </c>
      <c r="C140" s="3" t="inlineStr">
        <is>
          <t>CERR</t>
        </is>
      </c>
      <c r="D140" s="3" t="inlineStr">
        <is>
          <t>1-ALTA</t>
        </is>
      </c>
      <c r="E140" s="3" t="inlineStr">
        <is>
          <t>OPERATIVO</t>
        </is>
      </c>
      <c r="F140" s="10" t="n">
        <v>96</v>
      </c>
      <c r="G140" s="10" t="n">
        <v>240</v>
      </c>
      <c r="H140" s="10" t="n">
        <v>240</v>
      </c>
      <c r="I140" s="3" t="inlineStr">
        <is>
          <t>CERRADA</t>
        </is>
      </c>
      <c r="J140" s="3">
        <f>IF($A140="","",$A140&amp;IF($B140="","0010",$B140))</f>
        <v/>
      </c>
    </row>
    <row r="141">
      <c r="A141" s="3" t="inlineStr">
        <is>
          <t>OT-000164</t>
        </is>
      </c>
      <c r="B141" s="3" t="inlineStr">
        <is>
          <t>0010</t>
        </is>
      </c>
      <c r="C141" s="3" t="inlineStr">
        <is>
          <t>CERR</t>
        </is>
      </c>
      <c r="D141" s="3" t="inlineStr">
        <is>
          <t>2-MEDIA</t>
        </is>
      </c>
      <c r="E141" s="3" t="inlineStr">
        <is>
          <t>PARADO</t>
        </is>
      </c>
      <c r="F141" s="10" t="n">
        <v>80</v>
      </c>
      <c r="G141" s="10" t="n">
        <v>200</v>
      </c>
      <c r="H141" s="10" t="n">
        <v>200</v>
      </c>
      <c r="I141" s="3" t="inlineStr">
        <is>
          <t>CERRADA</t>
        </is>
      </c>
      <c r="J141" s="3">
        <f>IF($A141="","",$A141&amp;IF($B141="","0010",$B141))</f>
        <v/>
      </c>
    </row>
    <row r="142">
      <c r="A142" s="3" t="inlineStr">
        <is>
          <t>OT-000165</t>
        </is>
      </c>
      <c r="B142" s="3" t="inlineStr">
        <is>
          <t>0010</t>
        </is>
      </c>
      <c r="C142" s="3" t="inlineStr">
        <is>
          <t>CERR</t>
        </is>
      </c>
      <c r="D142" s="3" t="inlineStr">
        <is>
          <t>3-BAJA</t>
        </is>
      </c>
      <c r="E142" s="3" t="inlineStr">
        <is>
          <t>OPERATIVO</t>
        </is>
      </c>
      <c r="F142" s="10" t="n">
        <v>64</v>
      </c>
      <c r="G142" s="10" t="n">
        <v>160</v>
      </c>
      <c r="H142" s="10" t="n">
        <v>160</v>
      </c>
      <c r="I142" s="3" t="inlineStr">
        <is>
          <t>CERRADA</t>
        </is>
      </c>
      <c r="J142" s="3">
        <f>IF($A142="","",$A142&amp;IF($B142="","0010",$B142))</f>
        <v/>
      </c>
    </row>
    <row r="143">
      <c r="A143" s="3" t="inlineStr">
        <is>
          <t>OT-000166</t>
        </is>
      </c>
      <c r="B143" s="3" t="inlineStr">
        <is>
          <t>0010</t>
        </is>
      </c>
      <c r="C143" s="3" t="inlineStr">
        <is>
          <t>CERR</t>
        </is>
      </c>
      <c r="D143" s="3" t="inlineStr">
        <is>
          <t>1-ALTA</t>
        </is>
      </c>
      <c r="E143" s="3" t="inlineStr">
        <is>
          <t>PARADO</t>
        </is>
      </c>
      <c r="F143" s="10" t="n">
        <v>60</v>
      </c>
      <c r="G143" s="10" t="n">
        <v>150</v>
      </c>
      <c r="H143" s="10" t="n">
        <v>150</v>
      </c>
      <c r="I143" s="3" t="inlineStr">
        <is>
          <t>CERRADA</t>
        </is>
      </c>
      <c r="J143" s="3">
        <f>IF($A143="","",$A143&amp;IF($B143="","0010",$B143))</f>
        <v/>
      </c>
    </row>
    <row r="144">
      <c r="A144" s="3" t="inlineStr">
        <is>
          <t>OT-000167</t>
        </is>
      </c>
      <c r="B144" s="3" t="inlineStr">
        <is>
          <t>0010</t>
        </is>
      </c>
      <c r="C144" s="3" t="inlineStr">
        <is>
          <t>CERR</t>
        </is>
      </c>
      <c r="D144" s="3" t="inlineStr">
        <is>
          <t>2-MEDIA</t>
        </is>
      </c>
      <c r="E144" s="3" t="inlineStr">
        <is>
          <t>OPERATIVO</t>
        </is>
      </c>
      <c r="F144" s="10" t="n">
        <v>128</v>
      </c>
      <c r="G144" s="10" t="n">
        <v>320</v>
      </c>
      <c r="H144" s="10" t="n">
        <v>320</v>
      </c>
      <c r="I144" s="3" t="inlineStr">
        <is>
          <t>CERRADA</t>
        </is>
      </c>
      <c r="J144" s="3">
        <f>IF($A144="","",$A144&amp;IF($B144="","0010",$B144))</f>
        <v/>
      </c>
    </row>
    <row r="145">
      <c r="A145" s="3" t="inlineStr">
        <is>
          <t>OT-000168</t>
        </is>
      </c>
      <c r="B145" s="3" t="inlineStr">
        <is>
          <t>0010</t>
        </is>
      </c>
      <c r="C145" s="3" t="inlineStr">
        <is>
          <t>CERR</t>
        </is>
      </c>
      <c r="D145" s="3" t="inlineStr">
        <is>
          <t>3-BAJA</t>
        </is>
      </c>
      <c r="E145" s="3" t="inlineStr">
        <is>
          <t>PARADO</t>
        </is>
      </c>
      <c r="F145" s="10" t="n">
        <v>40</v>
      </c>
      <c r="G145" s="10" t="n">
        <v>100</v>
      </c>
      <c r="H145" s="10" t="n">
        <v>100</v>
      </c>
      <c r="I145" s="3" t="inlineStr">
        <is>
          <t>CERRADA</t>
        </is>
      </c>
      <c r="J145" s="3">
        <f>IF($A145="","",$A145&amp;IF($B145="","0010",$B145))</f>
        <v/>
      </c>
    </row>
    <row r="146">
      <c r="A146" s="3" t="inlineStr">
        <is>
          <t>OT-000169</t>
        </is>
      </c>
      <c r="B146" s="3" t="inlineStr">
        <is>
          <t>0010</t>
        </is>
      </c>
      <c r="C146" s="3" t="inlineStr">
        <is>
          <t>CERR</t>
        </is>
      </c>
      <c r="D146" s="3" t="inlineStr">
        <is>
          <t>1-ALTA</t>
        </is>
      </c>
      <c r="E146" s="3" t="inlineStr">
        <is>
          <t>OPERATIVO</t>
        </is>
      </c>
      <c r="F146" s="10" t="n">
        <v>340</v>
      </c>
      <c r="G146" s="10" t="n">
        <v>240</v>
      </c>
      <c r="H146" s="10" t="n">
        <v>240</v>
      </c>
      <c r="I146" s="3" t="inlineStr">
        <is>
          <t>CERRADA</t>
        </is>
      </c>
      <c r="J146" s="3">
        <f>IF($A146="","",$A146&amp;IF($B146="","0010",$B146))</f>
        <v/>
      </c>
    </row>
    <row r="147">
      <c r="A147" s="3" t="inlineStr">
        <is>
          <t>OT-000170</t>
        </is>
      </c>
      <c r="B147" s="3" t="inlineStr">
        <is>
          <t>0010</t>
        </is>
      </c>
      <c r="C147" s="3" t="inlineStr">
        <is>
          <t>CERR</t>
        </is>
      </c>
      <c r="D147" s="3" t="inlineStr">
        <is>
          <t>2-MEDIA</t>
        </is>
      </c>
      <c r="E147" s="3" t="inlineStr">
        <is>
          <t>PARADO</t>
        </is>
      </c>
      <c r="F147" s="10" t="n">
        <v>80</v>
      </c>
      <c r="G147" s="10" t="n">
        <v>200</v>
      </c>
      <c r="H147" s="10" t="n">
        <v>200</v>
      </c>
      <c r="I147" s="3" t="inlineStr">
        <is>
          <t>CERRADA</t>
        </is>
      </c>
      <c r="J147" s="3">
        <f>IF($A147="","",$A147&amp;IF($B147="","0010",$B147))</f>
        <v/>
      </c>
    </row>
    <row r="148">
      <c r="A148" s="3" t="inlineStr">
        <is>
          <t>OT-000171</t>
        </is>
      </c>
      <c r="B148" s="3" t="inlineStr">
        <is>
          <t>0010</t>
        </is>
      </c>
      <c r="C148" s="3" t="inlineStr">
        <is>
          <t>CERR</t>
        </is>
      </c>
      <c r="D148" s="3" t="inlineStr">
        <is>
          <t>3-BAJA</t>
        </is>
      </c>
      <c r="E148" s="3" t="inlineStr">
        <is>
          <t>OPERATIVO</t>
        </is>
      </c>
      <c r="F148" s="10" t="n">
        <v>64</v>
      </c>
      <c r="G148" s="10" t="n">
        <v>160</v>
      </c>
      <c r="H148" s="10" t="n">
        <v>160</v>
      </c>
      <c r="I148" s="3" t="inlineStr">
        <is>
          <t>CERRADA</t>
        </is>
      </c>
      <c r="J148" s="3">
        <f>IF($A148="","",$A148&amp;IF($B148="","0010",$B148))</f>
        <v/>
      </c>
    </row>
    <row r="149">
      <c r="A149" s="3" t="inlineStr">
        <is>
          <t>OT-000172</t>
        </is>
      </c>
      <c r="B149" s="3" t="inlineStr">
        <is>
          <t>0010</t>
        </is>
      </c>
      <c r="C149" s="3" t="inlineStr">
        <is>
          <t>CERR</t>
        </is>
      </c>
      <c r="D149" s="3" t="inlineStr">
        <is>
          <t>1-ALTA</t>
        </is>
      </c>
      <c r="E149" s="3" t="inlineStr">
        <is>
          <t>PARADO</t>
        </is>
      </c>
      <c r="F149" s="10" t="n">
        <v>60</v>
      </c>
      <c r="G149" s="10" t="n">
        <v>150</v>
      </c>
      <c r="H149" s="10" t="n">
        <v>150</v>
      </c>
      <c r="I149" s="3" t="inlineStr">
        <is>
          <t>CERRADA</t>
        </is>
      </c>
      <c r="J149" s="3">
        <f>IF($A149="","",$A149&amp;IF($B149="","0010",$B149))</f>
        <v/>
      </c>
    </row>
    <row r="150">
      <c r="A150" s="3" t="inlineStr">
        <is>
          <t>OT-000173</t>
        </is>
      </c>
      <c r="B150" s="3" t="inlineStr">
        <is>
          <t>0010</t>
        </is>
      </c>
      <c r="C150" s="3" t="inlineStr">
        <is>
          <t>CERR</t>
        </is>
      </c>
      <c r="D150" s="3" t="inlineStr">
        <is>
          <t>2-MEDIA</t>
        </is>
      </c>
      <c r="E150" s="3" t="inlineStr">
        <is>
          <t>OPERATIVO</t>
        </is>
      </c>
      <c r="F150" s="10" t="n">
        <v>128</v>
      </c>
      <c r="G150" s="10" t="n">
        <v>320</v>
      </c>
      <c r="H150" s="10" t="n">
        <v>320</v>
      </c>
      <c r="I150" s="3" t="inlineStr">
        <is>
          <t>CERRADA</t>
        </is>
      </c>
      <c r="J150" s="3">
        <f>IF($A150="","",$A150&amp;IF($B150="","0010",$B150))</f>
        <v/>
      </c>
    </row>
    <row r="151">
      <c r="A151" s="3" t="inlineStr">
        <is>
          <t>OT-000174</t>
        </is>
      </c>
      <c r="B151" s="3" t="inlineStr">
        <is>
          <t>0010</t>
        </is>
      </c>
      <c r="C151" s="3" t="inlineStr">
        <is>
          <t>CERR</t>
        </is>
      </c>
      <c r="D151" s="3" t="inlineStr">
        <is>
          <t>3-BAJA</t>
        </is>
      </c>
      <c r="E151" s="3" t="inlineStr">
        <is>
          <t>PARADO</t>
        </is>
      </c>
      <c r="F151" s="10" t="n">
        <v>40</v>
      </c>
      <c r="G151" s="10" t="n">
        <v>100</v>
      </c>
      <c r="H151" s="10" t="n">
        <v>100</v>
      </c>
      <c r="I151" s="3" t="inlineStr">
        <is>
          <t>CERRADA</t>
        </is>
      </c>
      <c r="J151" s="3">
        <f>IF($A151="","",$A151&amp;IF($B151="","0010",$B151))</f>
        <v/>
      </c>
    </row>
    <row r="152">
      <c r="A152" s="3" t="inlineStr">
        <is>
          <t>OT-000175</t>
        </is>
      </c>
      <c r="B152" s="3" t="inlineStr">
        <is>
          <t>0010</t>
        </is>
      </c>
      <c r="C152" s="3" t="inlineStr">
        <is>
          <t>CERR</t>
        </is>
      </c>
      <c r="D152" s="3" t="inlineStr">
        <is>
          <t>1-ALTA</t>
        </is>
      </c>
      <c r="E152" s="3" t="inlineStr">
        <is>
          <t>OPERATIVO</t>
        </is>
      </c>
      <c r="F152" s="10" t="n">
        <v>96</v>
      </c>
      <c r="G152" s="10" t="n">
        <v>240</v>
      </c>
      <c r="H152" s="10" t="n">
        <v>240</v>
      </c>
      <c r="I152" s="3" t="inlineStr">
        <is>
          <t>CERRADA</t>
        </is>
      </c>
      <c r="J152" s="3">
        <f>IF($A152="","",$A152&amp;IF($B152="","0010",$B152))</f>
        <v/>
      </c>
    </row>
    <row r="153">
      <c r="A153" s="3" t="inlineStr">
        <is>
          <t>OT-000176</t>
        </is>
      </c>
      <c r="B153" s="3" t="inlineStr">
        <is>
          <t>0010</t>
        </is>
      </c>
      <c r="C153" s="3" t="inlineStr">
        <is>
          <t>CERR</t>
        </is>
      </c>
      <c r="D153" s="3" t="inlineStr">
        <is>
          <t>2-MEDIA</t>
        </is>
      </c>
      <c r="E153" s="3" t="inlineStr">
        <is>
          <t>PARADO</t>
        </is>
      </c>
      <c r="F153" s="10" t="n">
        <v>80</v>
      </c>
      <c r="G153" s="10" t="n">
        <v>200</v>
      </c>
      <c r="H153" s="10" t="n">
        <v>200</v>
      </c>
      <c r="I153" s="3" t="inlineStr">
        <is>
          <t>CERRADA</t>
        </is>
      </c>
      <c r="J153" s="3">
        <f>IF($A153="","",$A153&amp;IF($B153="","0010",$B153))</f>
        <v/>
      </c>
    </row>
    <row r="154">
      <c r="A154" s="3" t="inlineStr">
        <is>
          <t>OT-000900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2-MEDIA</t>
        </is>
      </c>
      <c r="E154" s="3" t="inlineStr">
        <is>
          <t>OPERATIVO</t>
        </is>
      </c>
      <c r="F154" s="10" t="n">
        <v>96</v>
      </c>
      <c r="G154" s="10" t="n">
        <v>0</v>
      </c>
      <c r="H154" s="10" t="n">
        <v>240</v>
      </c>
      <c r="I154" s="3" t="inlineStr">
        <is>
          <t>EN EJECUCION</t>
        </is>
      </c>
      <c r="J154" s="3">
        <f>IF($A154="","",$A154&amp;IF($B154="","0010",$B154))</f>
        <v/>
      </c>
    </row>
    <row r="155">
      <c r="A155" s="3" t="inlineStr">
        <is>
          <t>OT-000903</t>
        </is>
      </c>
      <c r="B155" s="3" t="inlineStr">
        <is>
          <t>0010</t>
        </is>
      </c>
      <c r="C155" s="3" t="inlineStr">
        <is>
          <t>EJEC</t>
        </is>
      </c>
      <c r="D155" s="3" t="inlineStr">
        <is>
          <t>3-BAJA</t>
        </is>
      </c>
      <c r="E155" s="3" t="inlineStr">
        <is>
          <t>OPERATIVO</t>
        </is>
      </c>
      <c r="F155" s="10" t="n">
        <v>0</v>
      </c>
      <c r="G155" s="10" t="n">
        <v>0</v>
      </c>
      <c r="H155" s="10" t="n">
        <v>0</v>
      </c>
      <c r="I155" s="3" t="inlineStr">
        <is>
          <t>EN EJECUCION</t>
        </is>
      </c>
      <c r="J155" s="3">
        <f>IF($A155="","",$A155&amp;IF($B155="","0010",$B155))</f>
        <v/>
      </c>
    </row>
    <row r="156">
      <c r="A156" s="3" t="inlineStr">
        <is>
          <t>OT-000904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1-ALTA</t>
        </is>
      </c>
      <c r="E156" s="3" t="inlineStr">
        <is>
          <t>PARADO</t>
        </is>
      </c>
      <c r="F156" s="10" t="n">
        <v>0</v>
      </c>
      <c r="G156" s="10" t="n">
        <v>0</v>
      </c>
      <c r="H156" s="10" t="n">
        <v>0</v>
      </c>
      <c r="I156" s="3" t="inlineStr">
        <is>
          <t>EN EJECUCION</t>
        </is>
      </c>
      <c r="J156" s="3">
        <f>IF($A156="","",$A156&amp;IF($B156="","0010",$B156))</f>
        <v/>
      </c>
    </row>
    <row r="157">
      <c r="A157" s="3" t="inlineStr">
        <is>
          <t>OT-000905</t>
        </is>
      </c>
      <c r="B157" s="3" t="inlineStr">
        <is>
          <t>0010</t>
        </is>
      </c>
      <c r="C157" s="3" t="inlineStr">
        <is>
          <t>EJEC</t>
        </is>
      </c>
      <c r="D157" s="3" t="inlineStr">
        <is>
          <t>2-MEDIA</t>
        </is>
      </c>
      <c r="E157" s="3" t="inlineStr">
        <is>
          <t>OPERATIVO</t>
        </is>
      </c>
      <c r="F157" s="10" t="n">
        <v>64</v>
      </c>
      <c r="G157" s="10" t="n">
        <v>0</v>
      </c>
      <c r="H157" s="10" t="n">
        <v>160</v>
      </c>
      <c r="I157" s="3" t="inlineStr">
        <is>
          <t>EN EJECUCION</t>
        </is>
      </c>
      <c r="J157" s="3">
        <f>IF($A157="","",$A157&amp;IF($B157="","0010",$B157))</f>
        <v/>
      </c>
    </row>
    <row r="158">
      <c r="A158" s="3" t="inlineStr">
        <is>
          <t>OT-000906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3-BAJA</t>
        </is>
      </c>
      <c r="E158" s="3" t="inlineStr">
        <is>
          <t>PARADO</t>
        </is>
      </c>
      <c r="F158" s="10" t="n">
        <v>64</v>
      </c>
      <c r="G158" s="10" t="n">
        <v>0</v>
      </c>
      <c r="H158" s="10" t="n">
        <v>160</v>
      </c>
      <c r="I158" s="3" t="inlineStr">
        <is>
          <t>EN EJECUCION</t>
        </is>
      </c>
      <c r="J158" s="3">
        <f>IF($A158="","",$A158&amp;IF($B158="","0010",$B158))</f>
        <v/>
      </c>
    </row>
    <row r="159">
      <c r="A159" s="3" t="inlineStr">
        <is>
          <t>OT-000907</t>
        </is>
      </c>
      <c r="B159" s="3" t="inlineStr">
        <is>
          <t>0010</t>
        </is>
      </c>
      <c r="C159" s="3" t="inlineStr">
        <is>
          <t>EJEC</t>
        </is>
      </c>
      <c r="D159" s="3" t="inlineStr">
        <is>
          <t>1-ALTA</t>
        </is>
      </c>
      <c r="E159" s="3" t="inlineStr">
        <is>
          <t>OPERATIVO</t>
        </is>
      </c>
      <c r="F159" s="10" t="n">
        <v>64</v>
      </c>
      <c r="G159" s="10" t="n">
        <v>0</v>
      </c>
      <c r="H159" s="10" t="n">
        <v>160</v>
      </c>
      <c r="I159" s="3" t="inlineStr">
        <is>
          <t>EN EJECUCION</t>
        </is>
      </c>
      <c r="J159" s="3">
        <f>IF($A159="","",$A159&amp;IF($B159="","0010",$B159))</f>
        <v/>
      </c>
    </row>
    <row r="160">
      <c r="A160" s="3" t="inlineStr">
        <is>
          <t>OT-000908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2-MEDIA</t>
        </is>
      </c>
      <c r="E160" s="3" t="inlineStr">
        <is>
          <t>PARADO</t>
        </is>
      </c>
      <c r="F160" s="10" t="n">
        <v>64</v>
      </c>
      <c r="G160" s="10" t="n">
        <v>0</v>
      </c>
      <c r="H160" s="10" t="n">
        <v>160</v>
      </c>
      <c r="I160" s="3" t="inlineStr">
        <is>
          <t>EN EJECUCION</t>
        </is>
      </c>
      <c r="J160" s="3">
        <f>IF($A160="","",$A160&amp;IF($B160="","0010",$B160))</f>
        <v/>
      </c>
    </row>
    <row r="161">
      <c r="A161" s="3" t="inlineStr">
        <is>
          <t>OT-000909</t>
        </is>
      </c>
      <c r="B161" s="3" t="inlineStr">
        <is>
          <t>0010</t>
        </is>
      </c>
      <c r="C161" s="3" t="inlineStr">
        <is>
          <t>EJEC</t>
        </is>
      </c>
      <c r="D161" s="3" t="inlineStr">
        <is>
          <t>3-BAJA</t>
        </is>
      </c>
      <c r="E161" s="3" t="inlineStr">
        <is>
          <t>OPERATIVO</t>
        </is>
      </c>
      <c r="F161" s="10" t="n">
        <v>64</v>
      </c>
      <c r="G161" s="10" t="n">
        <v>0</v>
      </c>
      <c r="H161" s="10" t="n">
        <v>160</v>
      </c>
      <c r="I161" s="3" t="inlineStr">
        <is>
          <t>EN EJECUCION</t>
        </is>
      </c>
      <c r="J161" s="3">
        <f>IF($A161="","",$A161&amp;IF($B161="","0010",$B161))</f>
        <v/>
      </c>
    </row>
    <row r="162">
      <c r="A162" s="3" t="inlineStr">
        <is>
          <t>OT-000196</t>
        </is>
      </c>
      <c r="B162" s="3" t="inlineStr">
        <is>
          <t>0010</t>
        </is>
      </c>
      <c r="C162" s="3" t="inlineStr">
        <is>
          <t>ABIE</t>
        </is>
      </c>
      <c r="D162" s="3" t="inlineStr">
        <is>
          <t>1-ALTA</t>
        </is>
      </c>
      <c r="E162" s="3" t="inlineStr">
        <is>
          <t>PARADO</t>
        </is>
      </c>
      <c r="F162" s="10" t="n">
        <v>32</v>
      </c>
      <c r="G162" s="10" t="n">
        <v>0</v>
      </c>
      <c r="H162" s="10" t="n">
        <v>80</v>
      </c>
      <c r="I162" s="3" t="inlineStr">
        <is>
          <t>ABIERTA</t>
        </is>
      </c>
      <c r="J162" s="3">
        <f>IF($A162="","",$A162&amp;IF($B162="","0010",$B162))</f>
        <v/>
      </c>
    </row>
    <row r="163">
      <c r="A163" s="3" t="inlineStr">
        <is>
          <t>OT-000197</t>
        </is>
      </c>
      <c r="B163" s="3" t="inlineStr">
        <is>
          <t>0010</t>
        </is>
      </c>
      <c r="C163" s="3" t="inlineStr">
        <is>
          <t>EJEC</t>
        </is>
      </c>
      <c r="D163" s="3" t="inlineStr">
        <is>
          <t>2-MEDIA</t>
        </is>
      </c>
      <c r="E163" s="3" t="inlineStr">
        <is>
          <t>OPERATIVO</t>
        </is>
      </c>
      <c r="F163" s="10" t="n">
        <v>32</v>
      </c>
      <c r="G163" s="10" t="n">
        <v>0</v>
      </c>
      <c r="H163" s="10" t="n">
        <v>80</v>
      </c>
      <c r="I163" s="3" t="inlineStr">
        <is>
          <t>EN EJECUCION</t>
        </is>
      </c>
      <c r="J163" s="3">
        <f>IF($A163="","",$A163&amp;IF($B163="","0010",$B163))</f>
        <v/>
      </c>
    </row>
    <row r="164">
      <c r="A164" s="3" t="inlineStr">
        <is>
          <t>OT-000198</t>
        </is>
      </c>
      <c r="B164" s="3" t="inlineStr">
        <is>
          <t>0010</t>
        </is>
      </c>
      <c r="C164" s="3" t="inlineStr">
        <is>
          <t>ABIE</t>
        </is>
      </c>
      <c r="D164" s="3" t="inlineStr">
        <is>
          <t>3-BAJA</t>
        </is>
      </c>
      <c r="E164" s="3" t="inlineStr">
        <is>
          <t>PARADO</t>
        </is>
      </c>
      <c r="F164" s="10" t="n">
        <v>32</v>
      </c>
      <c r="G164" s="10" t="n">
        <v>0</v>
      </c>
      <c r="H164" s="10" t="n">
        <v>80</v>
      </c>
      <c r="I164" s="3" t="inlineStr">
        <is>
          <t>ABIERTA</t>
        </is>
      </c>
      <c r="J164" s="3">
        <f>IF($A164="","",$A164&amp;IF($B164="","0010",$B164))</f>
        <v/>
      </c>
    </row>
    <row r="165">
      <c r="A165" s="3" t="inlineStr">
        <is>
          <t>OT-000199</t>
        </is>
      </c>
      <c r="B165" s="3" t="inlineStr">
        <is>
          <t>0010</t>
        </is>
      </c>
      <c r="C165" s="3" t="inlineStr">
        <is>
          <t>EJEC</t>
        </is>
      </c>
      <c r="D165" s="3" t="inlineStr">
        <is>
          <t>1-ALTA</t>
        </is>
      </c>
      <c r="E165" s="3" t="inlineStr">
        <is>
          <t>OPERATIVO</t>
        </is>
      </c>
      <c r="F165" s="10" t="n">
        <v>32</v>
      </c>
      <c r="G165" s="10" t="n">
        <v>0</v>
      </c>
      <c r="H165" s="10" t="n">
        <v>80</v>
      </c>
      <c r="I165" s="3" t="inlineStr">
        <is>
          <t>EN EJECUCION</t>
        </is>
      </c>
      <c r="J165" s="3">
        <f>IF($A165="","",$A165&amp;IF($B165="","0010",$B165))</f>
        <v/>
      </c>
    </row>
    <row r="166">
      <c r="A166" s="3" t="inlineStr">
        <is>
          <t>OT-000200</t>
        </is>
      </c>
      <c r="B166" s="3" t="inlineStr">
        <is>
          <t>0010</t>
        </is>
      </c>
      <c r="C166" s="3" t="inlineStr">
        <is>
          <t>ABIE</t>
        </is>
      </c>
      <c r="D166" s="3" t="inlineStr">
        <is>
          <t>2-MEDIA</t>
        </is>
      </c>
      <c r="E166" s="3" t="inlineStr">
        <is>
          <t>PARADO</t>
        </is>
      </c>
      <c r="F166" s="10" t="n">
        <v>32</v>
      </c>
      <c r="G166" s="10" t="n">
        <v>0</v>
      </c>
      <c r="H166" s="10" t="n">
        <v>80</v>
      </c>
      <c r="I166" s="3" t="inlineStr">
        <is>
          <t>ABIERTA</t>
        </is>
      </c>
      <c r="J166" s="3">
        <f>IF($A166="","",$A166&amp;IF($B166="","0010",$B166))</f>
        <v/>
      </c>
    </row>
    <row r="167">
      <c r="A167" s="3" t="inlineStr">
        <is>
          <t>OT-000990</t>
        </is>
      </c>
      <c r="B167" s="3" t="inlineStr">
        <is>
          <t>0010</t>
        </is>
      </c>
      <c r="C167" s="3" t="inlineStr">
        <is>
          <t>LIB</t>
        </is>
      </c>
      <c r="D167" s="3" t="inlineStr">
        <is>
          <t>2-MEDIA</t>
        </is>
      </c>
      <c r="E167" s="3" t="inlineStr">
        <is>
          <t>OPERATIVO</t>
        </is>
      </c>
      <c r="F167" s="10" t="n">
        <v>50</v>
      </c>
      <c r="G167" s="10" t="n">
        <v>0</v>
      </c>
      <c r="H167" s="10" t="n">
        <v>150</v>
      </c>
      <c r="I167" s="3" t="inlineStr">
        <is>
          <t>LIBERADA</t>
        </is>
      </c>
      <c r="J167" s="3">
        <f>IF($A167="","",$A167&amp;IF($B167="","0010",$B167))</f>
        <v/>
      </c>
    </row>
    <row r="168">
      <c r="A168" s="3" t="inlineStr">
        <is>
          <t>OT-000991</t>
        </is>
      </c>
      <c r="B168" s="3" t="inlineStr">
        <is>
          <t>0010</t>
        </is>
      </c>
      <c r="C168" s="3" t="inlineStr">
        <is>
          <t>LIB</t>
        </is>
      </c>
      <c r="D168" s="3" t="inlineStr">
        <is>
          <t>2-MEDIA</t>
        </is>
      </c>
      <c r="E168" s="3" t="inlineStr">
        <is>
          <t>OPERATIVO</t>
        </is>
      </c>
      <c r="F168" s="10" t="n">
        <v>50</v>
      </c>
      <c r="G168" s="10" t="n">
        <v>0</v>
      </c>
      <c r="H168" s="10" t="n">
        <v>150</v>
      </c>
      <c r="I168" s="3" t="inlineStr">
        <is>
          <t>LIBERADA</t>
        </is>
      </c>
      <c r="J168" s="3">
        <f>IF($A168="","",$A168&amp;IF($B168="","0010",$B168))</f>
        <v/>
      </c>
    </row>
    <row r="169">
      <c r="A169" s="3" t="inlineStr">
        <is>
          <t>OT-000992</t>
        </is>
      </c>
      <c r="B169" s="3" t="inlineStr">
        <is>
          <t>0010</t>
        </is>
      </c>
      <c r="C169" s="3" t="inlineStr">
        <is>
          <t>LIB</t>
        </is>
      </c>
      <c r="D169" s="3" t="inlineStr">
        <is>
          <t>2-MEDIA</t>
        </is>
      </c>
      <c r="E169" s="3" t="inlineStr">
        <is>
          <t>OPERATIVO</t>
        </is>
      </c>
      <c r="F169" s="10" t="n">
        <v>50</v>
      </c>
      <c r="G169" s="10" t="n">
        <v>0</v>
      </c>
      <c r="H169" s="10" t="n">
        <v>150</v>
      </c>
      <c r="I169" s="3" t="inlineStr">
        <is>
          <t>LIBERADA</t>
        </is>
      </c>
      <c r="J169" s="3">
        <f>IF($A169="","",$A169&amp;IF($B169="","0010",$B169))</f>
        <v/>
      </c>
    </row>
    <row r="170">
      <c r="A170" s="3" t="n"/>
      <c r="B170" s="3" t="n"/>
      <c r="C170" s="3" t="n"/>
      <c r="D170" s="3" t="n"/>
      <c r="E170" s="3" t="n"/>
      <c r="F170" s="10" t="n"/>
      <c r="G170" s="10" t="n"/>
      <c r="H170" s="10" t="n"/>
      <c r="I170" s="3" t="n"/>
      <c r="J170" s="3">
        <f>IF($A170="","",$A170&amp;IF($B170="","0010",$B170))</f>
        <v/>
      </c>
    </row>
    <row r="171">
      <c r="A171" s="3" t="n"/>
      <c r="B171" s="3" t="n"/>
      <c r="C171" s="3" t="n"/>
      <c r="D171" s="3" t="n"/>
      <c r="E171" s="3" t="n"/>
      <c r="F171" s="10" t="n"/>
      <c r="G171" s="10" t="n"/>
      <c r="H171" s="10" t="n"/>
      <c r="I171" s="3" t="n"/>
      <c r="J171" s="3">
        <f>IF($A171="","",$A171&amp;IF($B171="","0010",$B171))</f>
        <v/>
      </c>
    </row>
    <row r="172">
      <c r="A172" s="3" t="n"/>
      <c r="B172" s="3" t="n"/>
      <c r="C172" s="3" t="n"/>
      <c r="D172" s="3" t="n"/>
      <c r="E172" s="3" t="n"/>
      <c r="F172" s="10" t="n"/>
      <c r="G172" s="10" t="n"/>
      <c r="H172" s="10" t="n"/>
      <c r="I172" s="3" t="n"/>
      <c r="J172" s="3">
        <f>IF($A172="","",$A172&amp;IF($B172="","0010",$B172))</f>
        <v/>
      </c>
    </row>
    <row r="173">
      <c r="A173" s="3" t="n"/>
      <c r="B173" s="3" t="n"/>
      <c r="C173" s="3" t="n"/>
      <c r="D173" s="3" t="n"/>
      <c r="E173" s="3" t="n"/>
      <c r="F173" s="10" t="n"/>
      <c r="G173" s="10" t="n"/>
      <c r="H173" s="10" t="n"/>
      <c r="I173" s="3" t="n"/>
      <c r="J173" s="3">
        <f>IF($A173="","",$A173&amp;IF($B173="","0010",$B173))</f>
        <v/>
      </c>
    </row>
    <row r="174">
      <c r="A174" s="3" t="n"/>
      <c r="B174" s="3" t="n"/>
      <c r="C174" s="3" t="n"/>
      <c r="D174" s="3" t="n"/>
      <c r="E174" s="3" t="n"/>
      <c r="F174" s="10" t="n"/>
      <c r="G174" s="10" t="n"/>
      <c r="H174" s="10" t="n"/>
      <c r="I174" s="3" t="n"/>
      <c r="J174" s="3">
        <f>IF($A174="","",$A174&amp;IF($B174="","0010",$B174))</f>
        <v/>
      </c>
    </row>
    <row r="175">
      <c r="A175" s="3" t="n"/>
      <c r="B175" s="3" t="n"/>
      <c r="C175" s="3" t="n"/>
      <c r="D175" s="3" t="n"/>
      <c r="E175" s="3" t="n"/>
      <c r="F175" s="10" t="n"/>
      <c r="G175" s="10" t="n"/>
      <c r="H175" s="10" t="n"/>
      <c r="I175" s="3" t="n"/>
      <c r="J175" s="3">
        <f>IF($A175="","",$A175&amp;IF($B175="","0010",$B175))</f>
        <v/>
      </c>
    </row>
    <row r="176">
      <c r="A176" s="3" t="n"/>
      <c r="B176" s="3" t="n"/>
      <c r="C176" s="3" t="n"/>
      <c r="D176" s="3" t="n"/>
      <c r="E176" s="3" t="n"/>
      <c r="F176" s="10" t="n"/>
      <c r="G176" s="10" t="n"/>
      <c r="H176" s="10" t="n"/>
      <c r="I176" s="3" t="n"/>
      <c r="J176" s="3">
        <f>IF($A176="","",$A176&amp;IF($B176="","0010",$B176))</f>
        <v/>
      </c>
    </row>
    <row r="177">
      <c r="A177" s="3" t="n"/>
      <c r="B177" s="3" t="n"/>
      <c r="C177" s="3" t="n"/>
      <c r="D177" s="3" t="n"/>
      <c r="E177" s="3" t="n"/>
      <c r="F177" s="10" t="n"/>
      <c r="G177" s="10" t="n"/>
      <c r="H177" s="10" t="n"/>
      <c r="I177" s="3" t="n"/>
      <c r="J177" s="3">
        <f>IF($A177="","",$A177&amp;IF($B177="","0010",$B177))</f>
        <v/>
      </c>
    </row>
    <row r="178">
      <c r="A178" s="3" t="n"/>
      <c r="B178" s="3" t="n"/>
      <c r="C178" s="3" t="n"/>
      <c r="D178" s="3" t="n"/>
      <c r="E178" s="3" t="n"/>
      <c r="F178" s="10" t="n"/>
      <c r="G178" s="10" t="n"/>
      <c r="H178" s="10" t="n"/>
      <c r="I178" s="3" t="n"/>
      <c r="J178" s="3">
        <f>IF($A178="","",$A178&amp;IF($B178="","0010",$B178))</f>
        <v/>
      </c>
    </row>
    <row r="179">
      <c r="A179" s="3" t="n"/>
      <c r="B179" s="3" t="n"/>
      <c r="C179" s="3" t="n"/>
      <c r="D179" s="3" t="n"/>
      <c r="E179" s="3" t="n"/>
      <c r="F179" s="10" t="n"/>
      <c r="G179" s="10" t="n"/>
      <c r="H179" s="10" t="n"/>
      <c r="I179" s="3" t="n"/>
      <c r="J179" s="3">
        <f>IF($A179="","",$A179&amp;IF($B179="","0010",$B179))</f>
        <v/>
      </c>
    </row>
    <row r="180">
      <c r="A180" s="3" t="n"/>
      <c r="B180" s="3" t="n"/>
      <c r="C180" s="3" t="n"/>
      <c r="D180" s="3" t="n"/>
      <c r="E180" s="3" t="n"/>
      <c r="F180" s="10" t="n"/>
      <c r="G180" s="10" t="n"/>
      <c r="H180" s="10" t="n"/>
      <c r="I180" s="3" t="n"/>
      <c r="J180" s="3">
        <f>IF($A180="","",$A180&amp;IF($B180="","0010",$B180))</f>
        <v/>
      </c>
    </row>
    <row r="181">
      <c r="A181" s="3" t="n"/>
      <c r="B181" s="3" t="n"/>
      <c r="C181" s="3" t="n"/>
      <c r="D181" s="3" t="n"/>
      <c r="E181" s="3" t="n"/>
      <c r="F181" s="10" t="n"/>
      <c r="G181" s="10" t="n"/>
      <c r="H181" s="10" t="n"/>
      <c r="I181" s="3" t="n"/>
      <c r="J181" s="3">
        <f>IF($A181="","",$A181&amp;IF($B181="","0010",$B181))</f>
        <v/>
      </c>
    </row>
    <row r="182">
      <c r="A182" s="3" t="n"/>
      <c r="B182" s="3" t="n"/>
      <c r="C182" s="3" t="n"/>
      <c r="D182" s="3" t="n"/>
      <c r="E182" s="3" t="n"/>
      <c r="F182" s="10" t="n"/>
      <c r="G182" s="10" t="n"/>
      <c r="H182" s="10" t="n"/>
      <c r="I182" s="3" t="n"/>
      <c r="J182" s="3">
        <f>IF($A182="","",$A182&amp;IF($B182="","0010",$B182))</f>
        <v/>
      </c>
    </row>
    <row r="183">
      <c r="A183" s="3" t="n"/>
      <c r="B183" s="3" t="n"/>
      <c r="C183" s="3" t="n"/>
      <c r="D183" s="3" t="n"/>
      <c r="E183" s="3" t="n"/>
      <c r="F183" s="10" t="n"/>
      <c r="G183" s="10" t="n"/>
      <c r="H183" s="10" t="n"/>
      <c r="I183" s="3" t="n"/>
      <c r="J183" s="3">
        <f>IF($A183="","",$A183&amp;IF($B183="","0010",$B183))</f>
        <v/>
      </c>
    </row>
    <row r="184">
      <c r="A184" s="3" t="n"/>
      <c r="B184" s="3" t="n"/>
      <c r="C184" s="3" t="n"/>
      <c r="D184" s="3" t="n"/>
      <c r="E184" s="3" t="n"/>
      <c r="F184" s="10" t="n"/>
      <c r="G184" s="10" t="n"/>
      <c r="H184" s="10" t="n"/>
      <c r="I184" s="3" t="n"/>
      <c r="J184" s="3">
        <f>IF($A184="","",$A184&amp;IF($B184="","0010",$B184))</f>
        <v/>
      </c>
    </row>
    <row r="185">
      <c r="A185" s="3" t="n"/>
      <c r="B185" s="3" t="n"/>
      <c r="C185" s="3" t="n"/>
      <c r="D185" s="3" t="n"/>
      <c r="E185" s="3" t="n"/>
      <c r="F185" s="10" t="n"/>
      <c r="G185" s="10" t="n"/>
      <c r="H185" s="10" t="n"/>
      <c r="I185" s="3" t="n"/>
      <c r="J185" s="3">
        <f>IF($A185="","",$A185&amp;IF($B185="","0010",$B185))</f>
        <v/>
      </c>
    </row>
    <row r="186">
      <c r="A186" s="3" t="n"/>
      <c r="B186" s="3" t="n"/>
      <c r="C186" s="3" t="n"/>
      <c r="D186" s="3" t="n"/>
      <c r="E186" s="3" t="n"/>
      <c r="F186" s="10" t="n"/>
      <c r="G186" s="10" t="n"/>
      <c r="H186" s="10" t="n"/>
      <c r="I186" s="3" t="n"/>
      <c r="J186" s="3">
        <f>IF($A186="","",$A186&amp;IF($B186="","0010",$B186))</f>
        <v/>
      </c>
    </row>
    <row r="187">
      <c r="A187" s="3" t="n"/>
      <c r="B187" s="3" t="n"/>
      <c r="C187" s="3" t="n"/>
      <c r="D187" s="3" t="n"/>
      <c r="E187" s="3" t="n"/>
      <c r="F187" s="10" t="n"/>
      <c r="G187" s="10" t="n"/>
      <c r="H187" s="10" t="n"/>
      <c r="I187" s="3" t="n"/>
      <c r="J187" s="3">
        <f>IF($A187="","",$A187&amp;IF($B187="","0010",$B187))</f>
        <v/>
      </c>
    </row>
    <row r="188">
      <c r="A188" s="3" t="n"/>
      <c r="B188" s="3" t="n"/>
      <c r="C188" s="3" t="n"/>
      <c r="D188" s="3" t="n"/>
      <c r="E188" s="3" t="n"/>
      <c r="F188" s="10" t="n"/>
      <c r="G188" s="10" t="n"/>
      <c r="H188" s="10" t="n"/>
      <c r="I188" s="3" t="n"/>
      <c r="J188" s="3">
        <f>IF($A188="","",$A188&amp;IF($B188="","0010",$B188))</f>
        <v/>
      </c>
    </row>
    <row r="189">
      <c r="A189" s="3" t="n"/>
      <c r="B189" s="3" t="n"/>
      <c r="C189" s="3" t="n"/>
      <c r="D189" s="3" t="n"/>
      <c r="E189" s="3" t="n"/>
      <c r="F189" s="10" t="n"/>
      <c r="G189" s="10" t="n"/>
      <c r="H189" s="10" t="n"/>
      <c r="I189" s="3" t="n"/>
      <c r="J189" s="3">
        <f>IF($A189="","",$A189&amp;IF($B189="","0010",$B189))</f>
        <v/>
      </c>
    </row>
    <row r="190">
      <c r="A190" s="3" t="n"/>
      <c r="B190" s="3" t="n"/>
      <c r="C190" s="3" t="n"/>
      <c r="D190" s="3" t="n"/>
      <c r="E190" s="3" t="n"/>
      <c r="F190" s="10" t="n"/>
      <c r="G190" s="10" t="n"/>
      <c r="H190" s="10" t="n"/>
      <c r="I190" s="3" t="n"/>
      <c r="J190" s="3">
        <f>IF($A190="","",$A190&amp;IF($B190="","0010",$B190))</f>
        <v/>
      </c>
    </row>
    <row r="191">
      <c r="A191" s="3" t="n"/>
      <c r="B191" s="3" t="n"/>
      <c r="C191" s="3" t="n"/>
      <c r="D191" s="3" t="n"/>
      <c r="E191" s="3" t="n"/>
      <c r="F191" s="10" t="n"/>
      <c r="G191" s="10" t="n"/>
      <c r="H191" s="10" t="n"/>
      <c r="I191" s="3" t="n"/>
      <c r="J191" s="3">
        <f>IF($A191="","",$A191&amp;IF($B191="","0010",$B191))</f>
        <v/>
      </c>
    </row>
    <row r="192">
      <c r="A192" s="3" t="n"/>
      <c r="B192" s="3" t="n"/>
      <c r="C192" s="3" t="n"/>
      <c r="D192" s="3" t="n"/>
      <c r="E192" s="3" t="n"/>
      <c r="F192" s="10" t="n"/>
      <c r="G192" s="10" t="n"/>
      <c r="H192" s="10" t="n"/>
      <c r="I192" s="3" t="n"/>
      <c r="J192" s="3">
        <f>IF($A192="","",$A192&amp;IF($B192="","0010",$B192))</f>
        <v/>
      </c>
    </row>
    <row r="193">
      <c r="A193" s="3" t="n"/>
      <c r="B193" s="3" t="n"/>
      <c r="C193" s="3" t="n"/>
      <c r="D193" s="3" t="n"/>
      <c r="E193" s="3" t="n"/>
      <c r="F193" s="10" t="n"/>
      <c r="G193" s="10" t="n"/>
      <c r="H193" s="10" t="n"/>
      <c r="I193" s="3" t="n"/>
      <c r="J193" s="3">
        <f>IF($A193="","",$A193&amp;IF($B193="","0010",$B193))</f>
        <v/>
      </c>
    </row>
    <row r="194">
      <c r="A194" s="3" t="n"/>
      <c r="B194" s="3" t="n"/>
      <c r="C194" s="3" t="n"/>
      <c r="D194" s="3" t="n"/>
      <c r="E194" s="3" t="n"/>
      <c r="F194" s="10" t="n"/>
      <c r="G194" s="10" t="n"/>
      <c r="H194" s="10" t="n"/>
      <c r="I194" s="3" t="n"/>
      <c r="J194" s="3">
        <f>IF($A194="","",$A194&amp;IF($B194="","0010",$B194))</f>
        <v/>
      </c>
    </row>
    <row r="195">
      <c r="A195" s="3" t="n"/>
      <c r="B195" s="3" t="n"/>
      <c r="C195" s="3" t="n"/>
      <c r="D195" s="3" t="n"/>
      <c r="E195" s="3" t="n"/>
      <c r="F195" s="10" t="n"/>
      <c r="G195" s="10" t="n"/>
      <c r="H195" s="10" t="n"/>
      <c r="I195" s="3" t="n"/>
      <c r="J195" s="3">
        <f>IF($A195="","",$A195&amp;IF($B195="","0010",$B195))</f>
        <v/>
      </c>
    </row>
    <row r="196">
      <c r="A196" s="3" t="n"/>
      <c r="B196" s="3" t="n"/>
      <c r="C196" s="3" t="n"/>
      <c r="D196" s="3" t="n"/>
      <c r="E196" s="3" t="n"/>
      <c r="F196" s="10" t="n"/>
      <c r="G196" s="10" t="n"/>
      <c r="H196" s="10" t="n"/>
      <c r="I196" s="3" t="n"/>
      <c r="J196" s="3">
        <f>IF($A196="","",$A196&amp;IF($B196="","0010",$B196))</f>
        <v/>
      </c>
    </row>
    <row r="197">
      <c r="A197" s="3" t="n"/>
      <c r="B197" s="3" t="n"/>
      <c r="C197" s="3" t="n"/>
      <c r="D197" s="3" t="n"/>
      <c r="E197" s="3" t="n"/>
      <c r="F197" s="10" t="n"/>
      <c r="G197" s="10" t="n"/>
      <c r="H197" s="10" t="n"/>
      <c r="I197" s="3" t="n"/>
      <c r="J197" s="3">
        <f>IF($A197="","",$A197&amp;IF($B197="","0010",$B197))</f>
        <v/>
      </c>
    </row>
    <row r="198">
      <c r="A198" s="3" t="n"/>
      <c r="B198" s="3" t="n"/>
      <c r="C198" s="3" t="n"/>
      <c r="D198" s="3" t="n"/>
      <c r="E198" s="3" t="n"/>
      <c r="F198" s="10" t="n"/>
      <c r="G198" s="10" t="n"/>
      <c r="H198" s="10" t="n"/>
      <c r="I198" s="3" t="n"/>
      <c r="J198" s="3">
        <f>IF($A198="","",$A198&amp;IF($B198="","0010",$B198))</f>
        <v/>
      </c>
    </row>
    <row r="199">
      <c r="A199" s="3" t="n"/>
      <c r="B199" s="3" t="n"/>
      <c r="C199" s="3" t="n"/>
      <c r="D199" s="3" t="n"/>
      <c r="E199" s="3" t="n"/>
      <c r="F199" s="10" t="n"/>
      <c r="G199" s="10" t="n"/>
      <c r="H199" s="10" t="n"/>
      <c r="I199" s="3" t="n"/>
      <c r="J199" s="3">
        <f>IF($A199="","",$A199&amp;IF($B199="","0010",$B199))</f>
        <v/>
      </c>
    </row>
    <row r="200">
      <c r="A200" s="3" t="n"/>
      <c r="B200" s="3" t="n"/>
      <c r="C200" s="3" t="n"/>
      <c r="D200" s="3" t="n"/>
      <c r="E200" s="3" t="n"/>
      <c r="F200" s="10" t="n"/>
      <c r="G200" s="10" t="n"/>
      <c r="H200" s="10" t="n"/>
      <c r="I200" s="3" t="n"/>
      <c r="J200" s="3">
        <f>IF($A200="","",$A200&amp;IF($B200="","0010",$B200))</f>
        <v/>
      </c>
    </row>
    <row r="201">
      <c r="A201" s="3" t="n"/>
      <c r="B201" s="3" t="n"/>
      <c r="C201" s="3" t="n"/>
      <c r="D201" s="3" t="n"/>
      <c r="E201" s="3" t="n"/>
      <c r="F201" s="10" t="n"/>
      <c r="G201" s="10" t="n"/>
      <c r="H201" s="10" t="n"/>
      <c r="I201" s="3" t="n"/>
      <c r="J201" s="3">
        <f>IF($A201="","",$A201&amp;IF($B201="","0010",$B201))</f>
        <v/>
      </c>
    </row>
    <row r="202">
      <c r="A202" s="3" t="n"/>
      <c r="B202" s="3" t="n"/>
      <c r="C202" s="3" t="n"/>
      <c r="D202" s="3" t="n"/>
      <c r="E202" s="3" t="n"/>
      <c r="F202" s="10" t="n"/>
      <c r="G202" s="10" t="n"/>
      <c r="H202" s="10" t="n"/>
      <c r="I202" s="3" t="n"/>
      <c r="J202" s="3">
        <f>IF($A202="","",$A202&amp;IF($B202="","0010",$B202))</f>
        <v/>
      </c>
    </row>
    <row r="203">
      <c r="A203" s="3" t="n"/>
      <c r="B203" s="3" t="n"/>
      <c r="C203" s="3" t="n"/>
      <c r="D203" s="3" t="n"/>
      <c r="E203" s="3" t="n"/>
      <c r="F203" s="10" t="n"/>
      <c r="G203" s="10" t="n"/>
      <c r="H203" s="10" t="n"/>
      <c r="I203" s="3" t="n"/>
      <c r="J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10" t="n"/>
      <c r="G204" s="10" t="n"/>
      <c r="H204" s="10" t="n"/>
      <c r="I204" s="3" t="n"/>
      <c r="J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10" t="n"/>
      <c r="G205" s="10" t="n"/>
      <c r="H205" s="10" t="n"/>
      <c r="I205" s="3" t="n"/>
      <c r="J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10" t="n"/>
      <c r="G206" s="10" t="n"/>
      <c r="H206" s="10" t="n"/>
      <c r="I206" s="3" t="n"/>
      <c r="J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10" t="n"/>
      <c r="G207" s="10" t="n"/>
      <c r="H207" s="10" t="n"/>
      <c r="I207" s="3" t="n"/>
      <c r="J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10" t="n"/>
      <c r="G208" s="10" t="n"/>
      <c r="H208" s="10" t="n"/>
      <c r="I208" s="3" t="n"/>
      <c r="J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10" t="n"/>
      <c r="G209" s="10" t="n"/>
      <c r="H209" s="10" t="n"/>
      <c r="I209" s="3" t="n"/>
      <c r="J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10" t="n"/>
      <c r="G210" s="10" t="n"/>
      <c r="H210" s="10" t="n"/>
      <c r="I210" s="3" t="n"/>
      <c r="J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10" t="n"/>
      <c r="G211" s="10" t="n"/>
      <c r="H211" s="10" t="n"/>
      <c r="I211" s="3" t="n"/>
      <c r="J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10" t="n"/>
      <c r="G212" s="10" t="n"/>
      <c r="H212" s="10" t="n"/>
      <c r="I212" s="3" t="n"/>
      <c r="J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10" t="n"/>
      <c r="G213" s="10" t="n"/>
      <c r="H213" s="10" t="n"/>
      <c r="I213" s="3" t="n"/>
      <c r="J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10" t="n"/>
      <c r="G214" s="10" t="n"/>
      <c r="H214" s="10" t="n"/>
      <c r="I214" s="3" t="n"/>
      <c r="J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10" t="n"/>
      <c r="G215" s="10" t="n"/>
      <c r="H215" s="10" t="n"/>
      <c r="I215" s="3" t="n"/>
      <c r="J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10" t="n"/>
      <c r="G216" s="10" t="n"/>
      <c r="H216" s="10" t="n"/>
      <c r="I216" s="3" t="n"/>
      <c r="J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10" t="n"/>
      <c r="G217" s="10" t="n"/>
      <c r="H217" s="10" t="n"/>
      <c r="I217" s="3" t="n"/>
      <c r="J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10" t="n"/>
      <c r="G218" s="10" t="n"/>
      <c r="H218" s="10" t="n"/>
      <c r="I218" s="3" t="n"/>
      <c r="J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10" t="n"/>
      <c r="G219" s="10" t="n"/>
      <c r="H219" s="10" t="n"/>
      <c r="I219" s="3" t="n"/>
      <c r="J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10" t="n"/>
      <c r="G220" s="10" t="n"/>
      <c r="H220" s="10" t="n"/>
      <c r="I220" s="3" t="n"/>
      <c r="J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10" t="n"/>
      <c r="G221" s="10" t="n"/>
      <c r="H221" s="10" t="n"/>
      <c r="I221" s="3" t="n"/>
      <c r="J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10" t="n"/>
      <c r="G222" s="10" t="n"/>
      <c r="H222" s="10" t="n"/>
      <c r="I222" s="3" t="n"/>
      <c r="J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10" t="n"/>
      <c r="G223" s="10" t="n"/>
      <c r="H223" s="10" t="n"/>
      <c r="I223" s="3" t="n"/>
      <c r="J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10" t="n"/>
      <c r="G224" s="10" t="n"/>
      <c r="H224" s="10" t="n"/>
      <c r="I224" s="3" t="n"/>
      <c r="J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10" t="n"/>
      <c r="G225" s="10" t="n"/>
      <c r="H225" s="10" t="n"/>
      <c r="I225" s="3" t="n"/>
      <c r="J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10" t="n"/>
      <c r="G226" s="10" t="n"/>
      <c r="H226" s="10" t="n"/>
      <c r="I226" s="3" t="n"/>
      <c r="J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10" t="n"/>
      <c r="G227" s="10" t="n"/>
      <c r="H227" s="10" t="n"/>
      <c r="I227" s="3" t="n"/>
      <c r="J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10" t="n"/>
      <c r="G228" s="10" t="n"/>
      <c r="H228" s="10" t="n"/>
      <c r="I228" s="3" t="n"/>
      <c r="J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10" t="n"/>
      <c r="G229" s="10" t="n"/>
      <c r="H229" s="10" t="n"/>
      <c r="I229" s="3" t="n"/>
      <c r="J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10" t="n"/>
      <c r="G230" s="10" t="n"/>
      <c r="H230" s="10" t="n"/>
      <c r="I230" s="3" t="n"/>
      <c r="J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10" t="n"/>
      <c r="G231" s="10" t="n"/>
      <c r="H231" s="10" t="n"/>
      <c r="I231" s="3" t="n"/>
      <c r="J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10" t="n"/>
      <c r="G232" s="10" t="n"/>
      <c r="H232" s="10" t="n"/>
      <c r="I232" s="3" t="n"/>
      <c r="J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10" t="n"/>
      <c r="G233" s="10" t="n"/>
      <c r="H233" s="10" t="n"/>
      <c r="I233" s="3" t="n"/>
      <c r="J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10" t="n"/>
      <c r="G234" s="10" t="n"/>
      <c r="H234" s="10" t="n"/>
      <c r="I234" s="3" t="n"/>
      <c r="J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10" t="n"/>
      <c r="G235" s="10" t="n"/>
      <c r="H235" s="10" t="n"/>
      <c r="I235" s="3" t="n"/>
      <c r="J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10" t="n"/>
      <c r="G236" s="10" t="n"/>
      <c r="H236" s="10" t="n"/>
      <c r="I236" s="3" t="n"/>
      <c r="J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10" t="n"/>
      <c r="G237" s="10" t="n"/>
      <c r="H237" s="10" t="n"/>
      <c r="I237" s="3" t="n"/>
      <c r="J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10" t="n"/>
      <c r="G238" s="10" t="n"/>
      <c r="H238" s="10" t="n"/>
      <c r="I238" s="3" t="n"/>
      <c r="J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10" t="n"/>
      <c r="G239" s="10" t="n"/>
      <c r="H239" s="10" t="n"/>
      <c r="I239" s="3" t="n"/>
      <c r="J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10" t="n"/>
      <c r="G240" s="10" t="n"/>
      <c r="H240" s="10" t="n"/>
      <c r="I240" s="3" t="n"/>
      <c r="J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10" t="n"/>
      <c r="G241" s="10" t="n"/>
      <c r="H241" s="10" t="n"/>
      <c r="I241" s="3" t="n"/>
      <c r="J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10" t="n"/>
      <c r="G242" s="10" t="n"/>
      <c r="H242" s="10" t="n"/>
      <c r="I242" s="3" t="n"/>
      <c r="J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10" t="n"/>
      <c r="G243" s="10" t="n"/>
      <c r="H243" s="10" t="n"/>
      <c r="I243" s="3" t="n"/>
      <c r="J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10" t="n"/>
      <c r="G244" s="10" t="n"/>
      <c r="H244" s="10" t="n"/>
      <c r="I244" s="3" t="n"/>
      <c r="J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10" t="n"/>
      <c r="G245" s="10" t="n"/>
      <c r="H245" s="10" t="n"/>
      <c r="I245" s="3" t="n"/>
      <c r="J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10" t="n"/>
      <c r="G246" s="10" t="n"/>
      <c r="H246" s="10" t="n"/>
      <c r="I246" s="3" t="n"/>
      <c r="J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10" t="n"/>
      <c r="G247" s="10" t="n"/>
      <c r="H247" s="10" t="n"/>
      <c r="I247" s="3" t="n"/>
      <c r="J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10" t="n"/>
      <c r="G248" s="10" t="n"/>
      <c r="H248" s="10" t="n"/>
      <c r="I248" s="3" t="n"/>
      <c r="J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10" t="n"/>
      <c r="G249" s="10" t="n"/>
      <c r="H249" s="10" t="n"/>
      <c r="I249" s="3" t="n"/>
      <c r="J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10" t="n"/>
      <c r="G250" s="10" t="n"/>
      <c r="H250" s="10" t="n"/>
      <c r="I250" s="3" t="n"/>
      <c r="J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10" t="n"/>
      <c r="G251" s="10" t="n"/>
      <c r="H251" s="10" t="n"/>
      <c r="I251" s="3" t="n"/>
      <c r="J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10" t="n"/>
      <c r="G252" s="10" t="n"/>
      <c r="H252" s="10" t="n"/>
      <c r="I252" s="3" t="n"/>
      <c r="J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10" t="n"/>
      <c r="G253" s="10" t="n"/>
      <c r="H253" s="10" t="n"/>
      <c r="I253" s="3" t="n"/>
      <c r="J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10" t="n"/>
      <c r="G254" s="10" t="n"/>
      <c r="H254" s="10" t="n"/>
      <c r="I254" s="3" t="n"/>
      <c r="J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10" t="n"/>
      <c r="G255" s="10" t="n"/>
      <c r="H255" s="10" t="n"/>
      <c r="I255" s="3" t="n"/>
      <c r="J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10" t="n"/>
      <c r="G256" s="10" t="n"/>
      <c r="H256" s="10" t="n"/>
      <c r="I256" s="3" t="n"/>
      <c r="J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10" t="n"/>
      <c r="G257" s="10" t="n"/>
      <c r="H257" s="10" t="n"/>
      <c r="I257" s="3" t="n"/>
      <c r="J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10" t="n"/>
      <c r="G258" s="10" t="n"/>
      <c r="H258" s="10" t="n"/>
      <c r="I258" s="3" t="n"/>
      <c r="J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10" t="n"/>
      <c r="G259" s="10" t="n"/>
      <c r="H259" s="10" t="n"/>
      <c r="I259" s="3" t="n"/>
      <c r="J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10" t="n"/>
      <c r="G260" s="10" t="n"/>
      <c r="H260" s="10" t="n"/>
      <c r="I260" s="3" t="n"/>
      <c r="J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10" t="n"/>
      <c r="G261" s="10" t="n"/>
      <c r="H261" s="10" t="n"/>
      <c r="I261" s="3" t="n"/>
      <c r="J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10" t="n"/>
      <c r="G262" s="10" t="n"/>
      <c r="H262" s="10" t="n"/>
      <c r="I262" s="3" t="n"/>
      <c r="J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10" t="n"/>
      <c r="G263" s="10" t="n"/>
      <c r="H263" s="10" t="n"/>
      <c r="I263" s="3" t="n"/>
      <c r="J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10" t="n"/>
      <c r="G264" s="10" t="n"/>
      <c r="H264" s="10" t="n"/>
      <c r="I264" s="3" t="n"/>
      <c r="J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10" t="n"/>
      <c r="G265" s="10" t="n"/>
      <c r="H265" s="10" t="n"/>
      <c r="I265" s="3" t="n"/>
      <c r="J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10" t="n"/>
      <c r="G266" s="10" t="n"/>
      <c r="H266" s="10" t="n"/>
      <c r="I266" s="3" t="n"/>
      <c r="J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10" t="n"/>
      <c r="G267" s="10" t="n"/>
      <c r="H267" s="10" t="n"/>
      <c r="I267" s="3" t="n"/>
      <c r="J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10" t="n"/>
      <c r="G268" s="10" t="n"/>
      <c r="H268" s="10" t="n"/>
      <c r="I268" s="3" t="n"/>
      <c r="J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10" t="n"/>
      <c r="G269" s="10" t="n"/>
      <c r="H269" s="10" t="n"/>
      <c r="I269" s="3" t="n"/>
      <c r="J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10" t="n"/>
      <c r="G270" s="10" t="n"/>
      <c r="H270" s="10" t="n"/>
      <c r="I270" s="3" t="n"/>
      <c r="J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10" t="n"/>
      <c r="G271" s="10" t="n"/>
      <c r="H271" s="10" t="n"/>
      <c r="I271" s="3" t="n"/>
      <c r="J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10" t="n"/>
      <c r="G272" s="10" t="n"/>
      <c r="H272" s="10" t="n"/>
      <c r="I272" s="3" t="n"/>
      <c r="J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10" t="n"/>
      <c r="G273" s="10" t="n"/>
      <c r="H273" s="10" t="n"/>
      <c r="I273" s="3" t="n"/>
      <c r="J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10" t="n"/>
      <c r="G274" s="10" t="n"/>
      <c r="H274" s="10" t="n"/>
      <c r="I274" s="3" t="n"/>
      <c r="J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10" t="n"/>
      <c r="G275" s="10" t="n"/>
      <c r="H275" s="10" t="n"/>
      <c r="I275" s="3" t="n"/>
      <c r="J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10" t="n"/>
      <c r="G276" s="10" t="n"/>
      <c r="H276" s="10" t="n"/>
      <c r="I276" s="3" t="n"/>
      <c r="J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10" t="n"/>
      <c r="G277" s="10" t="n"/>
      <c r="H277" s="10" t="n"/>
      <c r="I277" s="3" t="n"/>
      <c r="J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10" t="n"/>
      <c r="G278" s="10" t="n"/>
      <c r="H278" s="10" t="n"/>
      <c r="I278" s="3" t="n"/>
      <c r="J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10" t="n"/>
      <c r="G279" s="10" t="n"/>
      <c r="H279" s="10" t="n"/>
      <c r="I279" s="3" t="n"/>
      <c r="J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10" t="n"/>
      <c r="G280" s="10" t="n"/>
      <c r="H280" s="10" t="n"/>
      <c r="I280" s="3" t="n"/>
      <c r="J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10" t="n"/>
      <c r="G281" s="10" t="n"/>
      <c r="H281" s="10" t="n"/>
      <c r="I281" s="3" t="n"/>
      <c r="J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10" t="n"/>
      <c r="G282" s="10" t="n"/>
      <c r="H282" s="10" t="n"/>
      <c r="I282" s="3" t="n"/>
      <c r="J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10" t="n"/>
      <c r="G283" s="10" t="n"/>
      <c r="H283" s="10" t="n"/>
      <c r="I283" s="3" t="n"/>
      <c r="J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10" t="n"/>
      <c r="G284" s="10" t="n"/>
      <c r="H284" s="10" t="n"/>
      <c r="I284" s="3" t="n"/>
      <c r="J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10" t="n"/>
      <c r="G285" s="10" t="n"/>
      <c r="H285" s="10" t="n"/>
      <c r="I285" s="3" t="n"/>
      <c r="J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10" t="n"/>
      <c r="G286" s="10" t="n"/>
      <c r="H286" s="10" t="n"/>
      <c r="I286" s="3" t="n"/>
      <c r="J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10" t="n"/>
      <c r="G287" s="10" t="n"/>
      <c r="H287" s="10" t="n"/>
      <c r="I287" s="3" t="n"/>
      <c r="J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10" t="n"/>
      <c r="G288" s="10" t="n"/>
      <c r="H288" s="10" t="n"/>
      <c r="I288" s="3" t="n"/>
      <c r="J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10" t="n"/>
      <c r="G289" s="10" t="n"/>
      <c r="H289" s="10" t="n"/>
      <c r="I289" s="3" t="n"/>
      <c r="J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10" t="n"/>
      <c r="G290" s="10" t="n"/>
      <c r="H290" s="10" t="n"/>
      <c r="I290" s="3" t="n"/>
      <c r="J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10" t="n"/>
      <c r="G291" s="10" t="n"/>
      <c r="H291" s="10" t="n"/>
      <c r="I291" s="3" t="n"/>
      <c r="J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10" t="n"/>
      <c r="G292" s="10" t="n"/>
      <c r="H292" s="10" t="n"/>
      <c r="I292" s="3" t="n"/>
      <c r="J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10" t="n"/>
      <c r="G293" s="10" t="n"/>
      <c r="H293" s="10" t="n"/>
      <c r="I293" s="3" t="n"/>
      <c r="J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10" t="n"/>
      <c r="G294" s="10" t="n"/>
      <c r="H294" s="10" t="n"/>
      <c r="I294" s="3" t="n"/>
      <c r="J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10" t="n"/>
      <c r="G295" s="10" t="n"/>
      <c r="H295" s="10" t="n"/>
      <c r="I295" s="3" t="n"/>
      <c r="J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10" t="n"/>
      <c r="G296" s="10" t="n"/>
      <c r="H296" s="10" t="n"/>
      <c r="I296" s="3" t="n"/>
      <c r="J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10" t="n"/>
      <c r="G297" s="10" t="n"/>
      <c r="H297" s="10" t="n"/>
      <c r="I297" s="3" t="n"/>
      <c r="J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10" t="n"/>
      <c r="G298" s="10" t="n"/>
      <c r="H298" s="10" t="n"/>
      <c r="I298" s="3" t="n"/>
      <c r="J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10" t="n"/>
      <c r="G299" s="10" t="n"/>
      <c r="H299" s="10" t="n"/>
      <c r="I299" s="3" t="n"/>
      <c r="J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10" t="n"/>
      <c r="G300" s="10" t="n"/>
      <c r="H300" s="10" t="n"/>
      <c r="I300" s="3" t="n"/>
      <c r="J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10" t="n"/>
      <c r="G301" s="10" t="n"/>
      <c r="H301" s="10" t="n"/>
      <c r="I301" s="3" t="n"/>
      <c r="J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10" t="n"/>
      <c r="G302" s="10" t="n"/>
      <c r="H302" s="10" t="n"/>
      <c r="I302" s="3" t="n"/>
      <c r="J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10" t="n"/>
      <c r="G303" s="10" t="n"/>
      <c r="H303" s="10" t="n"/>
      <c r="I303" s="3" t="n"/>
      <c r="J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10" t="n"/>
      <c r="G304" s="10" t="n"/>
      <c r="H304" s="10" t="n"/>
      <c r="I304" s="3" t="n"/>
      <c r="J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10" t="n"/>
      <c r="G305" s="10" t="n"/>
      <c r="H305" s="10" t="n"/>
      <c r="I305" s="3" t="n"/>
      <c r="J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10" t="n"/>
      <c r="G306" s="10" t="n"/>
      <c r="H306" s="10" t="n"/>
      <c r="I306" s="3" t="n"/>
      <c r="J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10" t="n"/>
      <c r="G307" s="10" t="n"/>
      <c r="H307" s="10" t="n"/>
      <c r="I307" s="3" t="n"/>
      <c r="J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10" t="n"/>
      <c r="G308" s="10" t="n"/>
      <c r="H308" s="10" t="n"/>
      <c r="I308" s="3" t="n"/>
      <c r="J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10" t="n"/>
      <c r="G309" s="10" t="n"/>
      <c r="H309" s="10" t="n"/>
      <c r="I309" s="3" t="n"/>
      <c r="J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10" t="n"/>
      <c r="G310" s="10" t="n"/>
      <c r="H310" s="10" t="n"/>
      <c r="I310" s="3" t="n"/>
      <c r="J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10" t="n"/>
      <c r="G311" s="10" t="n"/>
      <c r="H311" s="10" t="n"/>
      <c r="I311" s="3" t="n"/>
      <c r="J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10" t="n"/>
      <c r="G312" s="10" t="n"/>
      <c r="H312" s="10" t="n"/>
      <c r="I312" s="3" t="n"/>
      <c r="J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10" t="n"/>
      <c r="G313" s="10" t="n"/>
      <c r="H313" s="10" t="n"/>
      <c r="I313" s="3" t="n"/>
      <c r="J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10" t="n"/>
      <c r="G314" s="10" t="n"/>
      <c r="H314" s="10" t="n"/>
      <c r="I314" s="3" t="n"/>
      <c r="J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10" t="n"/>
      <c r="G315" s="10" t="n"/>
      <c r="H315" s="10" t="n"/>
      <c r="I315" s="3" t="n"/>
      <c r="J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10" t="n"/>
      <c r="G316" s="10" t="n"/>
      <c r="H316" s="10" t="n"/>
      <c r="I316" s="3" t="n"/>
      <c r="J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10" t="n"/>
      <c r="G317" s="10" t="n"/>
      <c r="H317" s="10" t="n"/>
      <c r="I317" s="3" t="n"/>
      <c r="J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10" t="n"/>
      <c r="G318" s="10" t="n"/>
      <c r="H318" s="10" t="n"/>
      <c r="I318" s="3" t="n"/>
      <c r="J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10" t="n"/>
      <c r="G319" s="10" t="n"/>
      <c r="H319" s="10" t="n"/>
      <c r="I319" s="3" t="n"/>
      <c r="J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10" t="n"/>
      <c r="G320" s="10" t="n"/>
      <c r="H320" s="10" t="n"/>
      <c r="I320" s="3" t="n"/>
      <c r="J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10" t="n"/>
      <c r="G321" s="10" t="n"/>
      <c r="H321" s="10" t="n"/>
      <c r="I321" s="3" t="n"/>
      <c r="J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10" t="n"/>
      <c r="G322" s="10" t="n"/>
      <c r="H322" s="10" t="n"/>
      <c r="I322" s="3" t="n"/>
      <c r="J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10" t="n"/>
      <c r="G323" s="10" t="n"/>
      <c r="H323" s="10" t="n"/>
      <c r="I323" s="3" t="n"/>
      <c r="J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10" t="n"/>
      <c r="G324" s="10" t="n"/>
      <c r="H324" s="10" t="n"/>
      <c r="I324" s="3" t="n"/>
      <c r="J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10" t="n"/>
      <c r="G325" s="10" t="n"/>
      <c r="H325" s="10" t="n"/>
      <c r="I325" s="3" t="n"/>
      <c r="J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10" t="n"/>
      <c r="G326" s="10" t="n"/>
      <c r="H326" s="10" t="n"/>
      <c r="I326" s="3" t="n"/>
      <c r="J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10" t="n"/>
      <c r="G327" s="10" t="n"/>
      <c r="H327" s="10" t="n"/>
      <c r="I327" s="3" t="n"/>
      <c r="J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10" t="n"/>
      <c r="G328" s="10" t="n"/>
      <c r="H328" s="10" t="n"/>
      <c r="I328" s="3" t="n"/>
      <c r="J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10" t="n"/>
      <c r="G329" s="10" t="n"/>
      <c r="H329" s="10" t="n"/>
      <c r="I329" s="3" t="n"/>
      <c r="J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10" t="n"/>
      <c r="G330" s="10" t="n"/>
      <c r="H330" s="10" t="n"/>
      <c r="I330" s="3" t="n"/>
      <c r="J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10" t="n"/>
      <c r="G331" s="10" t="n"/>
      <c r="H331" s="10" t="n"/>
      <c r="I331" s="3" t="n"/>
      <c r="J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10" t="n"/>
      <c r="G332" s="10" t="n"/>
      <c r="H332" s="10" t="n"/>
      <c r="I332" s="3" t="n"/>
      <c r="J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10" t="n"/>
      <c r="G333" s="10" t="n"/>
      <c r="H333" s="10" t="n"/>
      <c r="I333" s="3" t="n"/>
      <c r="J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10" t="n"/>
      <c r="G334" s="10" t="n"/>
      <c r="H334" s="10" t="n"/>
      <c r="I334" s="3" t="n"/>
      <c r="J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10" t="n"/>
      <c r="G335" s="10" t="n"/>
      <c r="H335" s="10" t="n"/>
      <c r="I335" s="3" t="n"/>
      <c r="J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10" t="n"/>
      <c r="G336" s="10" t="n"/>
      <c r="H336" s="10" t="n"/>
      <c r="I336" s="3" t="n"/>
      <c r="J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10" t="n"/>
      <c r="G337" s="10" t="n"/>
      <c r="H337" s="10" t="n"/>
      <c r="I337" s="3" t="n"/>
      <c r="J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10" t="n"/>
      <c r="G338" s="10" t="n"/>
      <c r="H338" s="10" t="n"/>
      <c r="I338" s="3" t="n"/>
      <c r="J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10" t="n"/>
      <c r="G339" s="10" t="n"/>
      <c r="H339" s="10" t="n"/>
      <c r="I339" s="3" t="n"/>
      <c r="J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10" t="n"/>
      <c r="G340" s="10" t="n"/>
      <c r="H340" s="10" t="n"/>
      <c r="I340" s="3" t="n"/>
      <c r="J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10" t="n"/>
      <c r="G341" s="10" t="n"/>
      <c r="H341" s="10" t="n"/>
      <c r="I341" s="3" t="n"/>
      <c r="J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10" t="n"/>
      <c r="G342" s="10" t="n"/>
      <c r="H342" s="10" t="n"/>
      <c r="I342" s="3" t="n"/>
      <c r="J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10" t="n"/>
      <c r="G343" s="10" t="n"/>
      <c r="H343" s="10" t="n"/>
      <c r="I343" s="3" t="n"/>
      <c r="J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10" t="n"/>
      <c r="G344" s="10" t="n"/>
      <c r="H344" s="10" t="n"/>
      <c r="I344" s="3" t="n"/>
      <c r="J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10" t="n"/>
      <c r="G345" s="10" t="n"/>
      <c r="H345" s="10" t="n"/>
      <c r="I345" s="3" t="n"/>
      <c r="J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10" t="n"/>
      <c r="G346" s="10" t="n"/>
      <c r="H346" s="10" t="n"/>
      <c r="I346" s="3" t="n"/>
      <c r="J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10" t="n"/>
      <c r="G347" s="10" t="n"/>
      <c r="H347" s="10" t="n"/>
      <c r="I347" s="3" t="n"/>
      <c r="J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10" t="n"/>
      <c r="G348" s="10" t="n"/>
      <c r="H348" s="10" t="n"/>
      <c r="I348" s="3" t="n"/>
      <c r="J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10" t="n"/>
      <c r="G349" s="10" t="n"/>
      <c r="H349" s="10" t="n"/>
      <c r="I349" s="3" t="n"/>
      <c r="J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10" t="n"/>
      <c r="G350" s="10" t="n"/>
      <c r="H350" s="10" t="n"/>
      <c r="I350" s="3" t="n"/>
      <c r="J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10" t="n"/>
      <c r="G351" s="10" t="n"/>
      <c r="H351" s="10" t="n"/>
      <c r="I351" s="3" t="n"/>
      <c r="J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10" t="n"/>
      <c r="G352" s="10" t="n"/>
      <c r="H352" s="10" t="n"/>
      <c r="I352" s="3" t="n"/>
      <c r="J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10" t="n"/>
      <c r="G353" s="10" t="n"/>
      <c r="H353" s="10" t="n"/>
      <c r="I353" s="3" t="n"/>
      <c r="J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10" t="n"/>
      <c r="G354" s="10" t="n"/>
      <c r="H354" s="10" t="n"/>
      <c r="I354" s="3" t="n"/>
      <c r="J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10" t="n"/>
      <c r="G355" s="10" t="n"/>
      <c r="H355" s="10" t="n"/>
      <c r="I355" s="3" t="n"/>
      <c r="J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10" t="n"/>
      <c r="G356" s="10" t="n"/>
      <c r="H356" s="10" t="n"/>
      <c r="I356" s="3" t="n"/>
      <c r="J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10" t="n"/>
      <c r="G357" s="10" t="n"/>
      <c r="H357" s="10" t="n"/>
      <c r="I357" s="3" t="n"/>
      <c r="J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10" t="n"/>
      <c r="G358" s="10" t="n"/>
      <c r="H358" s="10" t="n"/>
      <c r="I358" s="3" t="n"/>
      <c r="J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10" t="n"/>
      <c r="G359" s="10" t="n"/>
      <c r="H359" s="10" t="n"/>
      <c r="I359" s="3" t="n"/>
      <c r="J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10" t="n"/>
      <c r="G360" s="10" t="n"/>
      <c r="H360" s="10" t="n"/>
      <c r="I360" s="3" t="n"/>
      <c r="J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10" t="n"/>
      <c r="G361" s="10" t="n"/>
      <c r="H361" s="10" t="n"/>
      <c r="I361" s="3" t="n"/>
      <c r="J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10" t="n"/>
      <c r="G362" s="10" t="n"/>
      <c r="H362" s="10" t="n"/>
      <c r="I362" s="3" t="n"/>
      <c r="J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10" t="n"/>
      <c r="G363" s="10" t="n"/>
      <c r="H363" s="10" t="n"/>
      <c r="I363" s="3" t="n"/>
      <c r="J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10" t="n"/>
      <c r="G364" s="10" t="n"/>
      <c r="H364" s="10" t="n"/>
      <c r="I364" s="3" t="n"/>
      <c r="J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10" t="n"/>
      <c r="G365" s="10" t="n"/>
      <c r="H365" s="10" t="n"/>
      <c r="I365" s="3" t="n"/>
      <c r="J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10" t="n"/>
      <c r="G366" s="10" t="n"/>
      <c r="H366" s="10" t="n"/>
      <c r="I366" s="3" t="n"/>
      <c r="J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10" t="n"/>
      <c r="G367" s="10" t="n"/>
      <c r="H367" s="10" t="n"/>
      <c r="I367" s="3" t="n"/>
      <c r="J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10" t="n"/>
      <c r="G368" s="10" t="n"/>
      <c r="H368" s="10" t="n"/>
      <c r="I368" s="3" t="n"/>
      <c r="J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10" t="n"/>
      <c r="G369" s="10" t="n"/>
      <c r="H369" s="10" t="n"/>
      <c r="I369" s="3" t="n"/>
      <c r="J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10" t="n"/>
      <c r="G370" s="10" t="n"/>
      <c r="H370" s="10" t="n"/>
      <c r="I370" s="3" t="n"/>
      <c r="J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10" t="n"/>
      <c r="G371" s="10" t="n"/>
      <c r="H371" s="10" t="n"/>
      <c r="I371" s="3" t="n"/>
      <c r="J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10" t="n"/>
      <c r="G372" s="10" t="n"/>
      <c r="H372" s="10" t="n"/>
      <c r="I372" s="3" t="n"/>
      <c r="J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10" t="n"/>
      <c r="G373" s="10" t="n"/>
      <c r="H373" s="10" t="n"/>
      <c r="I373" s="3" t="n"/>
      <c r="J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10" t="n"/>
      <c r="G374" s="10" t="n"/>
      <c r="H374" s="10" t="n"/>
      <c r="I374" s="3" t="n"/>
      <c r="J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10" t="n"/>
      <c r="G375" s="10" t="n"/>
      <c r="H375" s="10" t="n"/>
      <c r="I375" s="3" t="n"/>
      <c r="J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10" t="n"/>
      <c r="G376" s="10" t="n"/>
      <c r="H376" s="10" t="n"/>
      <c r="I376" s="3" t="n"/>
      <c r="J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10" t="n"/>
      <c r="G377" s="10" t="n"/>
      <c r="H377" s="10" t="n"/>
      <c r="I377" s="3" t="n"/>
      <c r="J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10" t="n"/>
      <c r="G378" s="10" t="n"/>
      <c r="H378" s="10" t="n"/>
      <c r="I378" s="3" t="n"/>
      <c r="J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10" t="n"/>
      <c r="G379" s="10" t="n"/>
      <c r="H379" s="10" t="n"/>
      <c r="I379" s="3" t="n"/>
      <c r="J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10" t="n"/>
      <c r="G380" s="10" t="n"/>
      <c r="H380" s="10" t="n"/>
      <c r="I380" s="3" t="n"/>
      <c r="J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10" t="n"/>
      <c r="G381" s="10" t="n"/>
      <c r="H381" s="10" t="n"/>
      <c r="I381" s="3" t="n"/>
      <c r="J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10" t="n"/>
      <c r="G382" s="10" t="n"/>
      <c r="H382" s="10" t="n"/>
      <c r="I382" s="3" t="n"/>
      <c r="J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10" t="n"/>
      <c r="G383" s="10" t="n"/>
      <c r="H383" s="10" t="n"/>
      <c r="I383" s="3" t="n"/>
      <c r="J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10" t="n"/>
      <c r="G384" s="10" t="n"/>
      <c r="H384" s="10" t="n"/>
      <c r="I384" s="3" t="n"/>
      <c r="J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10" t="n"/>
      <c r="G385" s="10" t="n"/>
      <c r="H385" s="10" t="n"/>
      <c r="I385" s="3" t="n"/>
      <c r="J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10" t="n"/>
      <c r="G386" s="10" t="n"/>
      <c r="H386" s="10" t="n"/>
      <c r="I386" s="3" t="n"/>
      <c r="J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10" t="n"/>
      <c r="G387" s="10" t="n"/>
      <c r="H387" s="10" t="n"/>
      <c r="I387" s="3" t="n"/>
      <c r="J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10" t="n"/>
      <c r="G388" s="10" t="n"/>
      <c r="H388" s="10" t="n"/>
      <c r="I388" s="3" t="n"/>
      <c r="J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10" t="n"/>
      <c r="G389" s="10" t="n"/>
      <c r="H389" s="10" t="n"/>
      <c r="I389" s="3" t="n"/>
      <c r="J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10" t="n"/>
      <c r="G390" s="10" t="n"/>
      <c r="H390" s="10" t="n"/>
      <c r="I390" s="3" t="n"/>
      <c r="J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10" t="n"/>
      <c r="G391" s="10" t="n"/>
      <c r="H391" s="10" t="n"/>
      <c r="I391" s="3" t="n"/>
      <c r="J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10" t="n"/>
      <c r="G392" s="10" t="n"/>
      <c r="H392" s="10" t="n"/>
      <c r="I392" s="3" t="n"/>
      <c r="J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10" t="n"/>
      <c r="G393" s="10" t="n"/>
      <c r="H393" s="10" t="n"/>
      <c r="I393" s="3" t="n"/>
      <c r="J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10" t="n"/>
      <c r="G394" s="10" t="n"/>
      <c r="H394" s="10" t="n"/>
      <c r="I394" s="3" t="n"/>
      <c r="J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10" t="n"/>
      <c r="G395" s="10" t="n"/>
      <c r="H395" s="10" t="n"/>
      <c r="I395" s="3" t="n"/>
      <c r="J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10" t="n"/>
      <c r="G396" s="10" t="n"/>
      <c r="H396" s="10" t="n"/>
      <c r="I396" s="3" t="n"/>
      <c r="J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10" t="n"/>
      <c r="G397" s="10" t="n"/>
      <c r="H397" s="10" t="n"/>
      <c r="I397" s="3" t="n"/>
      <c r="J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10" t="n"/>
      <c r="G398" s="10" t="n"/>
      <c r="H398" s="10" t="n"/>
      <c r="I398" s="3" t="n"/>
      <c r="J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10" t="n"/>
      <c r="G399" s="10" t="n"/>
      <c r="H399" s="10" t="n"/>
      <c r="I399" s="3" t="n"/>
      <c r="J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10" t="n"/>
      <c r="G400" s="10" t="n"/>
      <c r="H400" s="10" t="n"/>
      <c r="I400" s="3" t="n"/>
      <c r="J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10" t="n"/>
      <c r="G401" s="10" t="n"/>
      <c r="H401" s="10" t="n"/>
      <c r="I401" s="3" t="n"/>
      <c r="J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10" t="n"/>
      <c r="G402" s="10" t="n"/>
      <c r="H402" s="10" t="n"/>
      <c r="I402" s="3" t="n"/>
      <c r="J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10" t="n"/>
      <c r="G403" s="10" t="n"/>
      <c r="H403" s="10" t="n"/>
      <c r="I403" s="3" t="n"/>
      <c r="J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10" t="n"/>
      <c r="G404" s="10" t="n"/>
      <c r="H404" s="10" t="n"/>
      <c r="I404" s="3" t="n"/>
      <c r="J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10" t="n"/>
      <c r="G405" s="10" t="n"/>
      <c r="H405" s="10" t="n"/>
      <c r="I405" s="3" t="n"/>
      <c r="J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10" t="n"/>
      <c r="G406" s="10" t="n"/>
      <c r="H406" s="10" t="n"/>
      <c r="I406" s="3" t="n"/>
      <c r="J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10" t="n"/>
      <c r="G407" s="10" t="n"/>
      <c r="H407" s="10" t="n"/>
      <c r="I407" s="3" t="n"/>
      <c r="J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10" t="n"/>
      <c r="G408" s="10" t="n"/>
      <c r="H408" s="10" t="n"/>
      <c r="I408" s="3" t="n"/>
      <c r="J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10" t="n"/>
      <c r="G409" s="10" t="n"/>
      <c r="H409" s="10" t="n"/>
      <c r="I409" s="3" t="n"/>
      <c r="J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10" t="n"/>
      <c r="G410" s="10" t="n"/>
      <c r="H410" s="10" t="n"/>
      <c r="I410" s="3" t="n"/>
      <c r="J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10" t="n"/>
      <c r="G411" s="10" t="n"/>
      <c r="H411" s="10" t="n"/>
      <c r="I411" s="3" t="n"/>
      <c r="J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10" t="n"/>
      <c r="G412" s="10" t="n"/>
      <c r="H412" s="10" t="n"/>
      <c r="I412" s="3" t="n"/>
      <c r="J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10" t="n"/>
      <c r="G413" s="10" t="n"/>
      <c r="H413" s="10" t="n"/>
      <c r="I413" s="3" t="n"/>
      <c r="J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10" t="n"/>
      <c r="G414" s="10" t="n"/>
      <c r="H414" s="10" t="n"/>
      <c r="I414" s="3" t="n"/>
      <c r="J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10" t="n"/>
      <c r="G415" s="10" t="n"/>
      <c r="H415" s="10" t="n"/>
      <c r="I415" s="3" t="n"/>
      <c r="J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10" t="n"/>
      <c r="G416" s="10" t="n"/>
      <c r="H416" s="10" t="n"/>
      <c r="I416" s="3" t="n"/>
      <c r="J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10" t="n"/>
      <c r="G417" s="10" t="n"/>
      <c r="H417" s="10" t="n"/>
      <c r="I417" s="3" t="n"/>
      <c r="J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10" t="n"/>
      <c r="G418" s="10" t="n"/>
      <c r="H418" s="10" t="n"/>
      <c r="I418" s="3" t="n"/>
      <c r="J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10" t="n"/>
      <c r="G419" s="10" t="n"/>
      <c r="H419" s="10" t="n"/>
      <c r="I419" s="3" t="n"/>
      <c r="J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10" t="n"/>
      <c r="G420" s="10" t="n"/>
      <c r="H420" s="10" t="n"/>
      <c r="I420" s="3" t="n"/>
      <c r="J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10" t="n"/>
      <c r="G421" s="10" t="n"/>
      <c r="H421" s="10" t="n"/>
      <c r="I421" s="3" t="n"/>
      <c r="J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10" t="n"/>
      <c r="G422" s="10" t="n"/>
      <c r="H422" s="10" t="n"/>
      <c r="I422" s="3" t="n"/>
      <c r="J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10" t="n"/>
      <c r="G423" s="10" t="n"/>
      <c r="H423" s="10" t="n"/>
      <c r="I423" s="3" t="n"/>
      <c r="J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10" t="n"/>
      <c r="G424" s="10" t="n"/>
      <c r="H424" s="10" t="n"/>
      <c r="I424" s="3" t="n"/>
      <c r="J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10" t="n"/>
      <c r="G425" s="10" t="n"/>
      <c r="H425" s="10" t="n"/>
      <c r="I425" s="3" t="n"/>
      <c r="J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10" t="n"/>
      <c r="G426" s="10" t="n"/>
      <c r="H426" s="10" t="n"/>
      <c r="I426" s="3" t="n"/>
      <c r="J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10" t="n"/>
      <c r="G427" s="10" t="n"/>
      <c r="H427" s="10" t="n"/>
      <c r="I427" s="3" t="n"/>
      <c r="J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10" t="n"/>
      <c r="G428" s="10" t="n"/>
      <c r="H428" s="10" t="n"/>
      <c r="I428" s="3" t="n"/>
      <c r="J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10" t="n"/>
      <c r="G429" s="10" t="n"/>
      <c r="H429" s="10" t="n"/>
      <c r="I429" s="3" t="n"/>
      <c r="J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10" t="n"/>
      <c r="G430" s="10" t="n"/>
      <c r="H430" s="10" t="n"/>
      <c r="I430" s="3" t="n"/>
      <c r="J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10" t="n"/>
      <c r="G431" s="10" t="n"/>
      <c r="H431" s="10" t="n"/>
      <c r="I431" s="3" t="n"/>
      <c r="J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10" t="n"/>
      <c r="G432" s="10" t="n"/>
      <c r="H432" s="10" t="n"/>
      <c r="I432" s="3" t="n"/>
      <c r="J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10" t="n"/>
      <c r="G433" s="10" t="n"/>
      <c r="H433" s="10" t="n"/>
      <c r="I433" s="3" t="n"/>
      <c r="J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10" t="n"/>
      <c r="G434" s="10" t="n"/>
      <c r="H434" s="10" t="n"/>
      <c r="I434" s="3" t="n"/>
      <c r="J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10" t="n"/>
      <c r="G435" s="10" t="n"/>
      <c r="H435" s="10" t="n"/>
      <c r="I435" s="3" t="n"/>
      <c r="J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10" t="n"/>
      <c r="G436" s="10" t="n"/>
      <c r="H436" s="10" t="n"/>
      <c r="I436" s="3" t="n"/>
      <c r="J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10" t="n"/>
      <c r="G437" s="10" t="n"/>
      <c r="H437" s="10" t="n"/>
      <c r="I437" s="3" t="n"/>
      <c r="J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10" t="n"/>
      <c r="G438" s="10" t="n"/>
      <c r="H438" s="10" t="n"/>
      <c r="I438" s="3" t="n"/>
      <c r="J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10" t="n"/>
      <c r="G439" s="10" t="n"/>
      <c r="H439" s="10" t="n"/>
      <c r="I439" s="3" t="n"/>
      <c r="J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10" t="n"/>
      <c r="G440" s="10" t="n"/>
      <c r="H440" s="10" t="n"/>
      <c r="I440" s="3" t="n"/>
      <c r="J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10" t="n"/>
      <c r="G441" s="10" t="n"/>
      <c r="H441" s="10" t="n"/>
      <c r="I441" s="3" t="n"/>
      <c r="J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10" t="n"/>
      <c r="G442" s="10" t="n"/>
      <c r="H442" s="10" t="n"/>
      <c r="I442" s="3" t="n"/>
      <c r="J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10" t="n"/>
      <c r="G443" s="10" t="n"/>
      <c r="H443" s="10" t="n"/>
      <c r="I443" s="3" t="n"/>
      <c r="J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10" t="n"/>
      <c r="G444" s="10" t="n"/>
      <c r="H444" s="10" t="n"/>
      <c r="I444" s="3" t="n"/>
      <c r="J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10" t="n"/>
      <c r="G445" s="10" t="n"/>
      <c r="H445" s="10" t="n"/>
      <c r="I445" s="3" t="n"/>
      <c r="J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10" t="n"/>
      <c r="G446" s="10" t="n"/>
      <c r="H446" s="10" t="n"/>
      <c r="I446" s="3" t="n"/>
      <c r="J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10" t="n"/>
      <c r="G447" s="10" t="n"/>
      <c r="H447" s="10" t="n"/>
      <c r="I447" s="3" t="n"/>
      <c r="J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10" t="n"/>
      <c r="G448" s="10" t="n"/>
      <c r="H448" s="10" t="n"/>
      <c r="I448" s="3" t="n"/>
      <c r="J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10" t="n"/>
      <c r="G449" s="10" t="n"/>
      <c r="H449" s="10" t="n"/>
      <c r="I449" s="3" t="n"/>
      <c r="J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10" t="n"/>
      <c r="G450" s="10" t="n"/>
      <c r="H450" s="10" t="n"/>
      <c r="I450" s="3" t="n"/>
      <c r="J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10" t="n"/>
      <c r="G451" s="10" t="n"/>
      <c r="H451" s="10" t="n"/>
      <c r="I451" s="3" t="n"/>
      <c r="J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10" t="n"/>
      <c r="G452" s="10" t="n"/>
      <c r="H452" s="10" t="n"/>
      <c r="I452" s="3" t="n"/>
      <c r="J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10" t="n"/>
      <c r="G453" s="10" t="n"/>
      <c r="H453" s="10" t="n"/>
      <c r="I453" s="3" t="n"/>
      <c r="J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10" t="n"/>
      <c r="G454" s="10" t="n"/>
      <c r="H454" s="10" t="n"/>
      <c r="I454" s="3" t="n"/>
      <c r="J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10" t="n"/>
      <c r="G455" s="10" t="n"/>
      <c r="H455" s="10" t="n"/>
      <c r="I455" s="3" t="n"/>
      <c r="J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10" t="n"/>
      <c r="G456" s="10" t="n"/>
      <c r="H456" s="10" t="n"/>
      <c r="I456" s="3" t="n"/>
      <c r="J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10" t="n"/>
      <c r="G457" s="10" t="n"/>
      <c r="H457" s="10" t="n"/>
      <c r="I457" s="3" t="n"/>
      <c r="J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10" t="n"/>
      <c r="G458" s="10" t="n"/>
      <c r="H458" s="10" t="n"/>
      <c r="I458" s="3" t="n"/>
      <c r="J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10" t="n"/>
      <c r="G459" s="10" t="n"/>
      <c r="H459" s="10" t="n"/>
      <c r="I459" s="3" t="n"/>
      <c r="J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10" t="n"/>
      <c r="G460" s="10" t="n"/>
      <c r="H460" s="10" t="n"/>
      <c r="I460" s="3" t="n"/>
      <c r="J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10" t="n"/>
      <c r="G461" s="10" t="n"/>
      <c r="H461" s="10" t="n"/>
      <c r="I461" s="3" t="n"/>
      <c r="J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10" t="n"/>
      <c r="G462" s="10" t="n"/>
      <c r="H462" s="10" t="n"/>
      <c r="I462" s="3" t="n"/>
      <c r="J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10" t="n"/>
      <c r="G463" s="10" t="n"/>
      <c r="H463" s="10" t="n"/>
      <c r="I463" s="3" t="n"/>
      <c r="J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10" t="n"/>
      <c r="G464" s="10" t="n"/>
      <c r="H464" s="10" t="n"/>
      <c r="I464" s="3" t="n"/>
      <c r="J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10" t="n"/>
      <c r="G465" s="10" t="n"/>
      <c r="H465" s="10" t="n"/>
      <c r="I465" s="3" t="n"/>
      <c r="J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10" t="n"/>
      <c r="G466" s="10" t="n"/>
      <c r="H466" s="10" t="n"/>
      <c r="I466" s="3" t="n"/>
      <c r="J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10" t="n"/>
      <c r="G467" s="10" t="n"/>
      <c r="H467" s="10" t="n"/>
      <c r="I467" s="3" t="n"/>
      <c r="J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10" t="n"/>
      <c r="G468" s="10" t="n"/>
      <c r="H468" s="10" t="n"/>
      <c r="I468" s="3" t="n"/>
      <c r="J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10" t="n"/>
      <c r="G469" s="10" t="n"/>
      <c r="H469" s="10" t="n"/>
      <c r="I469" s="3" t="n"/>
      <c r="J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10" t="n"/>
      <c r="G470" s="10" t="n"/>
      <c r="H470" s="10" t="n"/>
      <c r="I470" s="3" t="n"/>
      <c r="J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10" t="n"/>
      <c r="G471" s="10" t="n"/>
      <c r="H471" s="10" t="n"/>
      <c r="I471" s="3" t="n"/>
      <c r="J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10" t="n"/>
      <c r="G472" s="10" t="n"/>
      <c r="H472" s="10" t="n"/>
      <c r="I472" s="3" t="n"/>
      <c r="J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10" t="n"/>
      <c r="G473" s="10" t="n"/>
      <c r="H473" s="10" t="n"/>
      <c r="I473" s="3" t="n"/>
      <c r="J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10" t="n"/>
      <c r="G474" s="10" t="n"/>
      <c r="H474" s="10" t="n"/>
      <c r="I474" s="3" t="n"/>
      <c r="J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10" t="n"/>
      <c r="G475" s="10" t="n"/>
      <c r="H475" s="10" t="n"/>
      <c r="I475" s="3" t="n"/>
      <c r="J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10" t="n"/>
      <c r="G476" s="10" t="n"/>
      <c r="H476" s="10" t="n"/>
      <c r="I476" s="3" t="n"/>
      <c r="J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10" t="n"/>
      <c r="G477" s="10" t="n"/>
      <c r="H477" s="10" t="n"/>
      <c r="I477" s="3" t="n"/>
      <c r="J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10" t="n"/>
      <c r="G478" s="10" t="n"/>
      <c r="H478" s="10" t="n"/>
      <c r="I478" s="3" t="n"/>
      <c r="J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10" t="n"/>
      <c r="G479" s="10" t="n"/>
      <c r="H479" s="10" t="n"/>
      <c r="I479" s="3" t="n"/>
      <c r="J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10" t="n"/>
      <c r="G480" s="10" t="n"/>
      <c r="H480" s="10" t="n"/>
      <c r="I480" s="3" t="n"/>
      <c r="J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10" t="n"/>
      <c r="G481" s="10" t="n"/>
      <c r="H481" s="10" t="n"/>
      <c r="I481" s="3" t="n"/>
      <c r="J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10" t="n"/>
      <c r="G482" s="10" t="n"/>
      <c r="H482" s="10" t="n"/>
      <c r="I482" s="3" t="n"/>
      <c r="J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10" t="n"/>
      <c r="G483" s="10" t="n"/>
      <c r="H483" s="10" t="n"/>
      <c r="I483" s="3" t="n"/>
      <c r="J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10" t="n"/>
      <c r="G484" s="10" t="n"/>
      <c r="H484" s="10" t="n"/>
      <c r="I484" s="3" t="n"/>
      <c r="J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10" t="n"/>
      <c r="G485" s="10" t="n"/>
      <c r="H485" s="10" t="n"/>
      <c r="I485" s="3" t="n"/>
      <c r="J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10" t="n"/>
      <c r="G486" s="10" t="n"/>
      <c r="H486" s="10" t="n"/>
      <c r="I486" s="3" t="n"/>
      <c r="J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10" t="n"/>
      <c r="G487" s="10" t="n"/>
      <c r="H487" s="10" t="n"/>
      <c r="I487" s="3" t="n"/>
      <c r="J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10" t="n"/>
      <c r="G488" s="10" t="n"/>
      <c r="H488" s="10" t="n"/>
      <c r="I488" s="3" t="n"/>
      <c r="J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10" t="n"/>
      <c r="G489" s="10" t="n"/>
      <c r="H489" s="10" t="n"/>
      <c r="I489" s="3" t="n"/>
      <c r="J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10" t="n"/>
      <c r="G490" s="10" t="n"/>
      <c r="H490" s="10" t="n"/>
      <c r="I490" s="3" t="n"/>
      <c r="J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10" t="n"/>
      <c r="G491" s="10" t="n"/>
      <c r="H491" s="10" t="n"/>
      <c r="I491" s="3" t="n"/>
      <c r="J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10" t="n"/>
      <c r="G492" s="10" t="n"/>
      <c r="H492" s="10" t="n"/>
      <c r="I492" s="3" t="n"/>
      <c r="J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10" t="n"/>
      <c r="G493" s="10" t="n"/>
      <c r="H493" s="10" t="n"/>
      <c r="I493" s="3" t="n"/>
      <c r="J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10" t="n"/>
      <c r="G494" s="10" t="n"/>
      <c r="H494" s="10" t="n"/>
      <c r="I494" s="3" t="n"/>
      <c r="J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10" t="n"/>
      <c r="G495" s="10" t="n"/>
      <c r="H495" s="10" t="n"/>
      <c r="I495" s="3" t="n"/>
      <c r="J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10" t="n"/>
      <c r="G496" s="10" t="n"/>
      <c r="H496" s="10" t="n"/>
      <c r="I496" s="3" t="n"/>
      <c r="J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10" t="n"/>
      <c r="G497" s="10" t="n"/>
      <c r="H497" s="10" t="n"/>
      <c r="I497" s="3" t="n"/>
      <c r="J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10" t="n"/>
      <c r="G498" s="10" t="n"/>
      <c r="H498" s="10" t="n"/>
      <c r="I498" s="3" t="n"/>
      <c r="J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10" t="n"/>
      <c r="G499" s="10" t="n"/>
      <c r="H499" s="10" t="n"/>
      <c r="I499" s="3" t="n"/>
      <c r="J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10" t="n"/>
      <c r="G500" s="10" t="n"/>
      <c r="H500" s="10" t="n"/>
      <c r="I500" s="3" t="n"/>
      <c r="J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10" t="n"/>
      <c r="G501" s="10" t="n"/>
      <c r="H501" s="10" t="n"/>
      <c r="I501" s="3" t="n"/>
      <c r="J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10" t="n"/>
      <c r="G502" s="10" t="n"/>
      <c r="H502" s="10" t="n"/>
      <c r="I502" s="3" t="n"/>
      <c r="J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10" t="n"/>
      <c r="G503" s="10" t="n"/>
      <c r="H503" s="10" t="n"/>
      <c r="I503" s="3" t="n"/>
      <c r="J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10" t="n"/>
      <c r="G504" s="10" t="n"/>
      <c r="H504" s="10" t="n"/>
      <c r="I504" s="3" t="n"/>
      <c r="J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10" t="n"/>
      <c r="G505" s="10" t="n"/>
      <c r="H505" s="10" t="n"/>
      <c r="I505" s="3" t="n"/>
      <c r="J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10" t="n"/>
      <c r="G506" s="10" t="n"/>
      <c r="H506" s="10" t="n"/>
      <c r="I506" s="3" t="n"/>
      <c r="J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10" t="n"/>
      <c r="G507" s="10" t="n"/>
      <c r="H507" s="10" t="n"/>
      <c r="I507" s="3" t="n"/>
      <c r="J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10" t="n"/>
      <c r="G508" s="10" t="n"/>
      <c r="H508" s="10" t="n"/>
      <c r="I508" s="3" t="n"/>
      <c r="J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10" t="n"/>
      <c r="G509" s="10" t="n"/>
      <c r="H509" s="10" t="n"/>
      <c r="I509" s="3" t="n"/>
      <c r="J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10" t="n"/>
      <c r="G510" s="10" t="n"/>
      <c r="H510" s="10" t="n"/>
      <c r="I510" s="3" t="n"/>
      <c r="J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10" t="n"/>
      <c r="G511" s="10" t="n"/>
      <c r="H511" s="10" t="n"/>
      <c r="I511" s="3" t="n"/>
      <c r="J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10" t="n"/>
      <c r="G512" s="10" t="n"/>
      <c r="H512" s="10" t="n"/>
      <c r="I512" s="3" t="n"/>
      <c r="J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10" t="n"/>
      <c r="G513" s="10" t="n"/>
      <c r="H513" s="10" t="n"/>
      <c r="I513" s="3" t="n"/>
      <c r="J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10" t="n"/>
      <c r="G514" s="10" t="n"/>
      <c r="H514" s="10" t="n"/>
      <c r="I514" s="3" t="n"/>
      <c r="J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10" t="n"/>
      <c r="G515" s="10" t="n"/>
      <c r="H515" s="10" t="n"/>
      <c r="I515" s="3" t="n"/>
      <c r="J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10" t="n"/>
      <c r="G516" s="10" t="n"/>
      <c r="H516" s="10" t="n"/>
      <c r="I516" s="3" t="n"/>
      <c r="J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10" t="n"/>
      <c r="G517" s="10" t="n"/>
      <c r="H517" s="10" t="n"/>
      <c r="I517" s="3" t="n"/>
      <c r="J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10" t="n"/>
      <c r="G518" s="10" t="n"/>
      <c r="H518" s="10" t="n"/>
      <c r="I518" s="3" t="n"/>
      <c r="J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10" t="n"/>
      <c r="G519" s="10" t="n"/>
      <c r="H519" s="10" t="n"/>
      <c r="I519" s="3" t="n"/>
      <c r="J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10" t="n"/>
      <c r="G520" s="10" t="n"/>
      <c r="H520" s="10" t="n"/>
      <c r="I520" s="3" t="n"/>
      <c r="J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10" t="n"/>
      <c r="G521" s="10" t="n"/>
      <c r="H521" s="10" t="n"/>
      <c r="I521" s="3" t="n"/>
      <c r="J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10" t="n"/>
      <c r="G522" s="10" t="n"/>
      <c r="H522" s="10" t="n"/>
      <c r="I522" s="3" t="n"/>
      <c r="J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10" t="n"/>
      <c r="G523" s="10" t="n"/>
      <c r="H523" s="10" t="n"/>
      <c r="I523" s="3" t="n"/>
      <c r="J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10" t="n"/>
      <c r="G524" s="10" t="n"/>
      <c r="H524" s="10" t="n"/>
      <c r="I524" s="3" t="n"/>
      <c r="J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10" t="n"/>
      <c r="G525" s="10" t="n"/>
      <c r="H525" s="10" t="n"/>
      <c r="I525" s="3" t="n"/>
      <c r="J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10" t="n"/>
      <c r="G526" s="10" t="n"/>
      <c r="H526" s="10" t="n"/>
      <c r="I526" s="3" t="n"/>
      <c r="J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10" t="n"/>
      <c r="G527" s="10" t="n"/>
      <c r="H527" s="10" t="n"/>
      <c r="I527" s="3" t="n"/>
      <c r="J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10" t="n"/>
      <c r="G528" s="10" t="n"/>
      <c r="H528" s="10" t="n"/>
      <c r="I528" s="3" t="n"/>
      <c r="J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10" t="n"/>
      <c r="G529" s="10" t="n"/>
      <c r="H529" s="10" t="n"/>
      <c r="I529" s="3" t="n"/>
      <c r="J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10" t="n"/>
      <c r="G530" s="10" t="n"/>
      <c r="H530" s="10" t="n"/>
      <c r="I530" s="3" t="n"/>
      <c r="J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10" t="n"/>
      <c r="G531" s="10" t="n"/>
      <c r="H531" s="10" t="n"/>
      <c r="I531" s="3" t="n"/>
      <c r="J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10" t="n"/>
      <c r="G532" s="10" t="n"/>
      <c r="H532" s="10" t="n"/>
      <c r="I532" s="3" t="n"/>
      <c r="J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10" t="n"/>
      <c r="G533" s="10" t="n"/>
      <c r="H533" s="10" t="n"/>
      <c r="I533" s="3" t="n"/>
      <c r="J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10" t="n"/>
      <c r="G534" s="10" t="n"/>
      <c r="H534" s="10" t="n"/>
      <c r="I534" s="3" t="n"/>
      <c r="J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10" t="n"/>
      <c r="G535" s="10" t="n"/>
      <c r="H535" s="10" t="n"/>
      <c r="I535" s="3" t="n"/>
      <c r="J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10" t="n"/>
      <c r="G536" s="10" t="n"/>
      <c r="H536" s="10" t="n"/>
      <c r="I536" s="3" t="n"/>
      <c r="J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10" t="n"/>
      <c r="G537" s="10" t="n"/>
      <c r="H537" s="10" t="n"/>
      <c r="I537" s="3" t="n"/>
      <c r="J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10" t="n"/>
      <c r="G538" s="10" t="n"/>
      <c r="H538" s="10" t="n"/>
      <c r="I538" s="3" t="n"/>
      <c r="J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10" t="n"/>
      <c r="G539" s="10" t="n"/>
      <c r="H539" s="10" t="n"/>
      <c r="I539" s="3" t="n"/>
      <c r="J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10" t="n"/>
      <c r="G540" s="10" t="n"/>
      <c r="H540" s="10" t="n"/>
      <c r="I540" s="3" t="n"/>
      <c r="J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10" t="n"/>
      <c r="G541" s="10" t="n"/>
      <c r="H541" s="10" t="n"/>
      <c r="I541" s="3" t="n"/>
      <c r="J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10" t="n"/>
      <c r="G542" s="10" t="n"/>
      <c r="H542" s="10" t="n"/>
      <c r="I542" s="3" t="n"/>
      <c r="J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10" t="n"/>
      <c r="G543" s="10" t="n"/>
      <c r="H543" s="10" t="n"/>
      <c r="I543" s="3" t="n"/>
      <c r="J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10" t="n"/>
      <c r="G544" s="10" t="n"/>
      <c r="H544" s="10" t="n"/>
      <c r="I544" s="3" t="n"/>
      <c r="J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10" t="n"/>
      <c r="G545" s="10" t="n"/>
      <c r="H545" s="10" t="n"/>
      <c r="I545" s="3" t="n"/>
      <c r="J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10" t="n"/>
      <c r="G546" s="10" t="n"/>
      <c r="H546" s="10" t="n"/>
      <c r="I546" s="3" t="n"/>
      <c r="J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10" t="n"/>
      <c r="G547" s="10" t="n"/>
      <c r="H547" s="10" t="n"/>
      <c r="I547" s="3" t="n"/>
      <c r="J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10" t="n"/>
      <c r="G548" s="10" t="n"/>
      <c r="H548" s="10" t="n"/>
      <c r="I548" s="3" t="n"/>
      <c r="J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10" t="n"/>
      <c r="G549" s="10" t="n"/>
      <c r="H549" s="10" t="n"/>
      <c r="I549" s="3" t="n"/>
      <c r="J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10" t="n"/>
      <c r="G550" s="10" t="n"/>
      <c r="H550" s="10" t="n"/>
      <c r="I550" s="3" t="n"/>
      <c r="J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10" t="n"/>
      <c r="G551" s="10" t="n"/>
      <c r="H551" s="10" t="n"/>
      <c r="I551" s="3" t="n"/>
      <c r="J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10" t="n"/>
      <c r="G552" s="10" t="n"/>
      <c r="H552" s="10" t="n"/>
      <c r="I552" s="3" t="n"/>
      <c r="J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10" t="n"/>
      <c r="G553" s="10" t="n"/>
      <c r="H553" s="10" t="n"/>
      <c r="I553" s="3" t="n"/>
      <c r="J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10" t="n"/>
      <c r="G554" s="10" t="n"/>
      <c r="H554" s="10" t="n"/>
      <c r="I554" s="3" t="n"/>
      <c r="J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10" t="n"/>
      <c r="G555" s="10" t="n"/>
      <c r="H555" s="10" t="n"/>
      <c r="I555" s="3" t="n"/>
      <c r="J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10" t="n"/>
      <c r="G556" s="10" t="n"/>
      <c r="H556" s="10" t="n"/>
      <c r="I556" s="3" t="n"/>
      <c r="J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10" t="n"/>
      <c r="G557" s="10" t="n"/>
      <c r="H557" s="10" t="n"/>
      <c r="I557" s="3" t="n"/>
      <c r="J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10" t="n"/>
      <c r="G558" s="10" t="n"/>
      <c r="H558" s="10" t="n"/>
      <c r="I558" s="3" t="n"/>
      <c r="J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10" t="n"/>
      <c r="G559" s="10" t="n"/>
      <c r="H559" s="10" t="n"/>
      <c r="I559" s="3" t="n"/>
      <c r="J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10" t="n"/>
      <c r="G560" s="10" t="n"/>
      <c r="H560" s="10" t="n"/>
      <c r="I560" s="3" t="n"/>
      <c r="J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10" t="n"/>
      <c r="G561" s="10" t="n"/>
      <c r="H561" s="10" t="n"/>
      <c r="I561" s="3" t="n"/>
      <c r="J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10" t="n"/>
      <c r="G562" s="10" t="n"/>
      <c r="H562" s="10" t="n"/>
      <c r="I562" s="3" t="n"/>
      <c r="J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10" t="n"/>
      <c r="G563" s="10" t="n"/>
      <c r="H563" s="10" t="n"/>
      <c r="I563" s="3" t="n"/>
      <c r="J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10" t="n"/>
      <c r="G564" s="10" t="n"/>
      <c r="H564" s="10" t="n"/>
      <c r="I564" s="3" t="n"/>
      <c r="J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10" t="n"/>
      <c r="G565" s="10" t="n"/>
      <c r="H565" s="10" t="n"/>
      <c r="I565" s="3" t="n"/>
      <c r="J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10" t="n"/>
      <c r="G566" s="10" t="n"/>
      <c r="H566" s="10" t="n"/>
      <c r="I566" s="3" t="n"/>
      <c r="J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10" t="n"/>
      <c r="G567" s="10" t="n"/>
      <c r="H567" s="10" t="n"/>
      <c r="I567" s="3" t="n"/>
      <c r="J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10" t="n"/>
      <c r="G568" s="10" t="n"/>
      <c r="H568" s="10" t="n"/>
      <c r="I568" s="3" t="n"/>
      <c r="J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10" t="n"/>
      <c r="G569" s="10" t="n"/>
      <c r="H569" s="10" t="n"/>
      <c r="I569" s="3" t="n"/>
      <c r="J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10" t="n"/>
      <c r="G570" s="10" t="n"/>
      <c r="H570" s="10" t="n"/>
      <c r="I570" s="3" t="n"/>
      <c r="J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10" t="n"/>
      <c r="G571" s="10" t="n"/>
      <c r="H571" s="10" t="n"/>
      <c r="I571" s="3" t="n"/>
      <c r="J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10" t="n"/>
      <c r="G572" s="10" t="n"/>
      <c r="H572" s="10" t="n"/>
      <c r="I572" s="3" t="n"/>
      <c r="J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10" t="n"/>
      <c r="G573" s="10" t="n"/>
      <c r="H573" s="10" t="n"/>
      <c r="I573" s="3" t="n"/>
      <c r="J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10" t="n"/>
      <c r="G574" s="10" t="n"/>
      <c r="H574" s="10" t="n"/>
      <c r="I574" s="3" t="n"/>
      <c r="J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10" t="n"/>
      <c r="G575" s="10" t="n"/>
      <c r="H575" s="10" t="n"/>
      <c r="I575" s="3" t="n"/>
      <c r="J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10" t="n"/>
      <c r="G576" s="10" t="n"/>
      <c r="H576" s="10" t="n"/>
      <c r="I576" s="3" t="n"/>
      <c r="J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10" t="n"/>
      <c r="G577" s="10" t="n"/>
      <c r="H577" s="10" t="n"/>
      <c r="I577" s="3" t="n"/>
      <c r="J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10" t="n"/>
      <c r="G578" s="10" t="n"/>
      <c r="H578" s="10" t="n"/>
      <c r="I578" s="3" t="n"/>
      <c r="J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10" t="n"/>
      <c r="G579" s="10" t="n"/>
      <c r="H579" s="10" t="n"/>
      <c r="I579" s="3" t="n"/>
      <c r="J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10" t="n"/>
      <c r="G580" s="10" t="n"/>
      <c r="H580" s="10" t="n"/>
      <c r="I580" s="3" t="n"/>
      <c r="J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10" t="n"/>
      <c r="G581" s="10" t="n"/>
      <c r="H581" s="10" t="n"/>
      <c r="I581" s="3" t="n"/>
      <c r="J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10" t="n"/>
      <c r="G582" s="10" t="n"/>
      <c r="H582" s="10" t="n"/>
      <c r="I582" s="3" t="n"/>
      <c r="J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10" t="n"/>
      <c r="G583" s="10" t="n"/>
      <c r="H583" s="10" t="n"/>
      <c r="I583" s="3" t="n"/>
      <c r="J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10" t="n"/>
      <c r="G584" s="10" t="n"/>
      <c r="H584" s="10" t="n"/>
      <c r="I584" s="3" t="n"/>
      <c r="J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10" t="n"/>
      <c r="G585" s="10" t="n"/>
      <c r="H585" s="10" t="n"/>
      <c r="I585" s="3" t="n"/>
      <c r="J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10" t="n"/>
      <c r="G586" s="10" t="n"/>
      <c r="H586" s="10" t="n"/>
      <c r="I586" s="3" t="n"/>
      <c r="J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10" t="n"/>
      <c r="G587" s="10" t="n"/>
      <c r="H587" s="10" t="n"/>
      <c r="I587" s="3" t="n"/>
      <c r="J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10" t="n"/>
      <c r="G588" s="10" t="n"/>
      <c r="H588" s="10" t="n"/>
      <c r="I588" s="3" t="n"/>
      <c r="J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10" t="n"/>
      <c r="G589" s="10" t="n"/>
      <c r="H589" s="10" t="n"/>
      <c r="I589" s="3" t="n"/>
      <c r="J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10" t="n"/>
      <c r="G590" s="10" t="n"/>
      <c r="H590" s="10" t="n"/>
      <c r="I590" s="3" t="n"/>
      <c r="J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10" t="n"/>
      <c r="G591" s="10" t="n"/>
      <c r="H591" s="10" t="n"/>
      <c r="I591" s="3" t="n"/>
      <c r="J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10" t="n"/>
      <c r="G592" s="10" t="n"/>
      <c r="H592" s="10" t="n"/>
      <c r="I592" s="3" t="n"/>
      <c r="J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10" t="n"/>
      <c r="G593" s="10" t="n"/>
      <c r="H593" s="10" t="n"/>
      <c r="I593" s="3" t="n"/>
      <c r="J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10" t="n"/>
      <c r="G594" s="10" t="n"/>
      <c r="H594" s="10" t="n"/>
      <c r="I594" s="3" t="n"/>
      <c r="J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10" t="n"/>
      <c r="G595" s="10" t="n"/>
      <c r="H595" s="10" t="n"/>
      <c r="I595" s="3" t="n"/>
      <c r="J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10" t="n"/>
      <c r="G596" s="10" t="n"/>
      <c r="H596" s="10" t="n"/>
      <c r="I596" s="3" t="n"/>
      <c r="J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10" t="n"/>
      <c r="G597" s="10" t="n"/>
      <c r="H597" s="10" t="n"/>
      <c r="I597" s="3" t="n"/>
      <c r="J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10" t="n"/>
      <c r="G598" s="10" t="n"/>
      <c r="H598" s="10" t="n"/>
      <c r="I598" s="3" t="n"/>
      <c r="J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10" t="n"/>
      <c r="G599" s="10" t="n"/>
      <c r="H599" s="10" t="n"/>
      <c r="I599" s="3" t="n"/>
      <c r="J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10" t="n"/>
      <c r="G600" s="10" t="n"/>
      <c r="H600" s="10" t="n"/>
      <c r="I600" s="3" t="n"/>
      <c r="J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10" t="n"/>
      <c r="G601" s="10" t="n"/>
      <c r="H601" s="10" t="n"/>
      <c r="I601" s="3" t="n"/>
      <c r="J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10" t="n"/>
      <c r="G602" s="10" t="n"/>
      <c r="H602" s="10" t="n"/>
      <c r="I602" s="3" t="n"/>
      <c r="J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10" t="n"/>
      <c r="G603" s="10" t="n"/>
      <c r="H603" s="10" t="n"/>
      <c r="I603" s="3" t="n"/>
      <c r="J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10" t="n"/>
      <c r="G604" s="10" t="n"/>
      <c r="H604" s="10" t="n"/>
      <c r="I604" s="3" t="n"/>
      <c r="J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10" t="n"/>
      <c r="G605" s="10" t="n"/>
      <c r="H605" s="10" t="n"/>
      <c r="I605" s="3" t="n"/>
      <c r="J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10" t="n"/>
      <c r="G606" s="10" t="n"/>
      <c r="H606" s="10" t="n"/>
      <c r="I606" s="3" t="n"/>
      <c r="J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10" t="n"/>
      <c r="G607" s="10" t="n"/>
      <c r="H607" s="10" t="n"/>
      <c r="I607" s="3" t="n"/>
      <c r="J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10" t="n"/>
      <c r="G608" s="10" t="n"/>
      <c r="H608" s="10" t="n"/>
      <c r="I608" s="3" t="n"/>
      <c r="J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10" t="n"/>
      <c r="G609" s="10" t="n"/>
      <c r="H609" s="10" t="n"/>
      <c r="I609" s="3" t="n"/>
      <c r="J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10" t="n"/>
      <c r="G610" s="10" t="n"/>
      <c r="H610" s="10" t="n"/>
      <c r="I610" s="3" t="n"/>
      <c r="J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10" t="n"/>
      <c r="G611" s="10" t="n"/>
      <c r="H611" s="10" t="n"/>
      <c r="I611" s="3" t="n"/>
      <c r="J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10" t="n"/>
      <c r="G612" s="10" t="n"/>
      <c r="H612" s="10" t="n"/>
      <c r="I612" s="3" t="n"/>
      <c r="J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10" t="n"/>
      <c r="G613" s="10" t="n"/>
      <c r="H613" s="10" t="n"/>
      <c r="I613" s="3" t="n"/>
      <c r="J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10" t="n"/>
      <c r="G614" s="10" t="n"/>
      <c r="H614" s="10" t="n"/>
      <c r="I614" s="3" t="n"/>
      <c r="J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10" t="n"/>
      <c r="G615" s="10" t="n"/>
      <c r="H615" s="10" t="n"/>
      <c r="I615" s="3" t="n"/>
      <c r="J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10" t="n"/>
      <c r="G616" s="10" t="n"/>
      <c r="H616" s="10" t="n"/>
      <c r="I616" s="3" t="n"/>
      <c r="J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10" t="n"/>
      <c r="G617" s="10" t="n"/>
      <c r="H617" s="10" t="n"/>
      <c r="I617" s="3" t="n"/>
      <c r="J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10" t="n"/>
      <c r="G618" s="10" t="n"/>
      <c r="H618" s="10" t="n"/>
      <c r="I618" s="3" t="n"/>
      <c r="J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10" t="n"/>
      <c r="G619" s="10" t="n"/>
      <c r="H619" s="10" t="n"/>
      <c r="I619" s="3" t="n"/>
      <c r="J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10" t="n"/>
      <c r="G620" s="10" t="n"/>
      <c r="H620" s="10" t="n"/>
      <c r="I620" s="3" t="n"/>
      <c r="J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10" t="n"/>
      <c r="G621" s="10" t="n"/>
      <c r="H621" s="10" t="n"/>
      <c r="I621" s="3" t="n"/>
      <c r="J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10" t="n"/>
      <c r="G622" s="10" t="n"/>
      <c r="H622" s="10" t="n"/>
      <c r="I622" s="3" t="n"/>
      <c r="J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10" t="n"/>
      <c r="G623" s="10" t="n"/>
      <c r="H623" s="10" t="n"/>
      <c r="I623" s="3" t="n"/>
      <c r="J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10" t="n"/>
      <c r="G624" s="10" t="n"/>
      <c r="H624" s="10" t="n"/>
      <c r="I624" s="3" t="n"/>
      <c r="J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10" t="n"/>
      <c r="G625" s="10" t="n"/>
      <c r="H625" s="10" t="n"/>
      <c r="I625" s="3" t="n"/>
      <c r="J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10" t="n"/>
      <c r="G626" s="10" t="n"/>
      <c r="H626" s="10" t="n"/>
      <c r="I626" s="3" t="n"/>
      <c r="J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10" t="n"/>
      <c r="G627" s="10" t="n"/>
      <c r="H627" s="10" t="n"/>
      <c r="I627" s="3" t="n"/>
      <c r="J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10" t="n"/>
      <c r="G628" s="10" t="n"/>
      <c r="H628" s="10" t="n"/>
      <c r="I628" s="3" t="n"/>
      <c r="J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10" t="n"/>
      <c r="G629" s="10" t="n"/>
      <c r="H629" s="10" t="n"/>
      <c r="I629" s="3" t="n"/>
      <c r="J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10" t="n"/>
      <c r="G630" s="10" t="n"/>
      <c r="H630" s="10" t="n"/>
      <c r="I630" s="3" t="n"/>
      <c r="J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10" t="n"/>
      <c r="G631" s="10" t="n"/>
      <c r="H631" s="10" t="n"/>
      <c r="I631" s="3" t="n"/>
      <c r="J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10" t="n"/>
      <c r="G632" s="10" t="n"/>
      <c r="H632" s="10" t="n"/>
      <c r="I632" s="3" t="n"/>
      <c r="J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10" t="n"/>
      <c r="G633" s="10" t="n"/>
      <c r="H633" s="10" t="n"/>
      <c r="I633" s="3" t="n"/>
      <c r="J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10" t="n"/>
      <c r="G634" s="10" t="n"/>
      <c r="H634" s="10" t="n"/>
      <c r="I634" s="3" t="n"/>
      <c r="J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10" t="n"/>
      <c r="G635" s="10" t="n"/>
      <c r="H635" s="10" t="n"/>
      <c r="I635" s="3" t="n"/>
      <c r="J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10" t="n"/>
      <c r="G636" s="10" t="n"/>
      <c r="H636" s="10" t="n"/>
      <c r="I636" s="3" t="n"/>
      <c r="J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10" t="n"/>
      <c r="G637" s="10" t="n"/>
      <c r="H637" s="10" t="n"/>
      <c r="I637" s="3" t="n"/>
      <c r="J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10" t="n"/>
      <c r="G638" s="10" t="n"/>
      <c r="H638" s="10" t="n"/>
      <c r="I638" s="3" t="n"/>
      <c r="J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10" t="n"/>
      <c r="G639" s="10" t="n"/>
      <c r="H639" s="10" t="n"/>
      <c r="I639" s="3" t="n"/>
      <c r="J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10" t="n"/>
      <c r="G640" s="10" t="n"/>
      <c r="H640" s="10" t="n"/>
      <c r="I640" s="3" t="n"/>
      <c r="J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10" t="n"/>
      <c r="G641" s="10" t="n"/>
      <c r="H641" s="10" t="n"/>
      <c r="I641" s="3" t="n"/>
      <c r="J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10" t="n"/>
      <c r="G642" s="10" t="n"/>
      <c r="H642" s="10" t="n"/>
      <c r="I642" s="3" t="n"/>
      <c r="J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10" t="n"/>
      <c r="G643" s="10" t="n"/>
      <c r="H643" s="10" t="n"/>
      <c r="I643" s="3" t="n"/>
      <c r="J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10" t="n"/>
      <c r="G644" s="10" t="n"/>
      <c r="H644" s="10" t="n"/>
      <c r="I644" s="3" t="n"/>
      <c r="J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10" t="n"/>
      <c r="G645" s="10" t="n"/>
      <c r="H645" s="10" t="n"/>
      <c r="I645" s="3" t="n"/>
      <c r="J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10" t="n"/>
      <c r="G646" s="10" t="n"/>
      <c r="H646" s="10" t="n"/>
      <c r="I646" s="3" t="n"/>
      <c r="J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10" t="n"/>
      <c r="G647" s="10" t="n"/>
      <c r="H647" s="10" t="n"/>
      <c r="I647" s="3" t="n"/>
      <c r="J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10" t="n"/>
      <c r="G648" s="10" t="n"/>
      <c r="H648" s="10" t="n"/>
      <c r="I648" s="3" t="n"/>
      <c r="J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10" t="n"/>
      <c r="G649" s="10" t="n"/>
      <c r="H649" s="10" t="n"/>
      <c r="I649" s="3" t="n"/>
      <c r="J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10" t="n"/>
      <c r="G650" s="10" t="n"/>
      <c r="H650" s="10" t="n"/>
      <c r="I650" s="3" t="n"/>
      <c r="J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10" t="n"/>
      <c r="G651" s="10" t="n"/>
      <c r="H651" s="10" t="n"/>
      <c r="I651" s="3" t="n"/>
      <c r="J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10" t="n"/>
      <c r="G652" s="10" t="n"/>
      <c r="H652" s="10" t="n"/>
      <c r="I652" s="3" t="n"/>
      <c r="J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10" t="n"/>
      <c r="G653" s="10" t="n"/>
      <c r="H653" s="10" t="n"/>
      <c r="I653" s="3" t="n"/>
      <c r="J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10" t="n"/>
      <c r="G654" s="10" t="n"/>
      <c r="H654" s="10" t="n"/>
      <c r="I654" s="3" t="n"/>
      <c r="J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10" t="n"/>
      <c r="G655" s="10" t="n"/>
      <c r="H655" s="10" t="n"/>
      <c r="I655" s="3" t="n"/>
      <c r="J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10" t="n"/>
      <c r="G656" s="10" t="n"/>
      <c r="H656" s="10" t="n"/>
      <c r="I656" s="3" t="n"/>
      <c r="J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10" t="n"/>
      <c r="G657" s="10" t="n"/>
      <c r="H657" s="10" t="n"/>
      <c r="I657" s="3" t="n"/>
      <c r="J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10" t="n"/>
      <c r="G658" s="10" t="n"/>
      <c r="H658" s="10" t="n"/>
      <c r="I658" s="3" t="n"/>
      <c r="J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10" t="n"/>
      <c r="G659" s="10" t="n"/>
      <c r="H659" s="10" t="n"/>
      <c r="I659" s="3" t="n"/>
      <c r="J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10" t="n"/>
      <c r="G660" s="10" t="n"/>
      <c r="H660" s="10" t="n"/>
      <c r="I660" s="3" t="n"/>
      <c r="J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10" t="n"/>
      <c r="G661" s="10" t="n"/>
      <c r="H661" s="10" t="n"/>
      <c r="I661" s="3" t="n"/>
      <c r="J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10" t="n"/>
      <c r="G662" s="10" t="n"/>
      <c r="H662" s="10" t="n"/>
      <c r="I662" s="3" t="n"/>
      <c r="J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10" t="n"/>
      <c r="G663" s="10" t="n"/>
      <c r="H663" s="10" t="n"/>
      <c r="I663" s="3" t="n"/>
      <c r="J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10" t="n"/>
      <c r="G664" s="10" t="n"/>
      <c r="H664" s="10" t="n"/>
      <c r="I664" s="3" t="n"/>
      <c r="J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10" t="n"/>
      <c r="G665" s="10" t="n"/>
      <c r="H665" s="10" t="n"/>
      <c r="I665" s="3" t="n"/>
      <c r="J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10" t="n"/>
      <c r="G666" s="10" t="n"/>
      <c r="H666" s="10" t="n"/>
      <c r="I666" s="3" t="n"/>
      <c r="J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10" t="n"/>
      <c r="G667" s="10" t="n"/>
      <c r="H667" s="10" t="n"/>
      <c r="I667" s="3" t="n"/>
      <c r="J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10" t="n"/>
      <c r="G668" s="10" t="n"/>
      <c r="H668" s="10" t="n"/>
      <c r="I668" s="3" t="n"/>
      <c r="J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10" t="n"/>
      <c r="G669" s="10" t="n"/>
      <c r="H669" s="10" t="n"/>
      <c r="I669" s="3" t="n"/>
      <c r="J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10" t="n"/>
      <c r="G670" s="10" t="n"/>
      <c r="H670" s="10" t="n"/>
      <c r="I670" s="3" t="n"/>
      <c r="J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10" t="n"/>
      <c r="G671" s="10" t="n"/>
      <c r="H671" s="10" t="n"/>
      <c r="I671" s="3" t="n"/>
      <c r="J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10" t="n"/>
      <c r="G672" s="10" t="n"/>
      <c r="H672" s="10" t="n"/>
      <c r="I672" s="3" t="n"/>
      <c r="J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10" t="n"/>
      <c r="G673" s="10" t="n"/>
      <c r="H673" s="10" t="n"/>
      <c r="I673" s="3" t="n"/>
      <c r="J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10" t="n"/>
      <c r="G674" s="10" t="n"/>
      <c r="H674" s="10" t="n"/>
      <c r="I674" s="3" t="n"/>
      <c r="J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10" t="n"/>
      <c r="G675" s="10" t="n"/>
      <c r="H675" s="10" t="n"/>
      <c r="I675" s="3" t="n"/>
      <c r="J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10" t="n"/>
      <c r="G676" s="10" t="n"/>
      <c r="H676" s="10" t="n"/>
      <c r="I676" s="3" t="n"/>
      <c r="J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10" t="n"/>
      <c r="G677" s="10" t="n"/>
      <c r="H677" s="10" t="n"/>
      <c r="I677" s="3" t="n"/>
      <c r="J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10" t="n"/>
      <c r="G678" s="10" t="n"/>
      <c r="H678" s="10" t="n"/>
      <c r="I678" s="3" t="n"/>
      <c r="J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10" t="n"/>
      <c r="G679" s="10" t="n"/>
      <c r="H679" s="10" t="n"/>
      <c r="I679" s="3" t="n"/>
      <c r="J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10" t="n"/>
      <c r="G680" s="10" t="n"/>
      <c r="H680" s="10" t="n"/>
      <c r="I680" s="3" t="n"/>
      <c r="J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10" t="n"/>
      <c r="G681" s="10" t="n"/>
      <c r="H681" s="10" t="n"/>
      <c r="I681" s="3" t="n"/>
      <c r="J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10" t="n"/>
      <c r="G682" s="10" t="n"/>
      <c r="H682" s="10" t="n"/>
      <c r="I682" s="3" t="n"/>
      <c r="J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10" t="n"/>
      <c r="G683" s="10" t="n"/>
      <c r="H683" s="10" t="n"/>
      <c r="I683" s="3" t="n"/>
      <c r="J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10" t="n"/>
      <c r="G684" s="10" t="n"/>
      <c r="H684" s="10" t="n"/>
      <c r="I684" s="3" t="n"/>
      <c r="J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10" t="n"/>
      <c r="G685" s="10" t="n"/>
      <c r="H685" s="10" t="n"/>
      <c r="I685" s="3" t="n"/>
      <c r="J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10" t="n"/>
      <c r="G686" s="10" t="n"/>
      <c r="H686" s="10" t="n"/>
      <c r="I686" s="3" t="n"/>
      <c r="J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10" t="n"/>
      <c r="G687" s="10" t="n"/>
      <c r="H687" s="10" t="n"/>
      <c r="I687" s="3" t="n"/>
      <c r="J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10" t="n"/>
      <c r="G688" s="10" t="n"/>
      <c r="H688" s="10" t="n"/>
      <c r="I688" s="3" t="n"/>
      <c r="J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10" t="n"/>
      <c r="G689" s="10" t="n"/>
      <c r="H689" s="10" t="n"/>
      <c r="I689" s="3" t="n"/>
      <c r="J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10" t="n"/>
      <c r="G690" s="10" t="n"/>
      <c r="H690" s="10" t="n"/>
      <c r="I690" s="3" t="n"/>
      <c r="J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10" t="n"/>
      <c r="G691" s="10" t="n"/>
      <c r="H691" s="10" t="n"/>
      <c r="I691" s="3" t="n"/>
      <c r="J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10" t="n"/>
      <c r="G692" s="10" t="n"/>
      <c r="H692" s="10" t="n"/>
      <c r="I692" s="3" t="n"/>
      <c r="J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10" t="n"/>
      <c r="G693" s="10" t="n"/>
      <c r="H693" s="10" t="n"/>
      <c r="I693" s="3" t="n"/>
      <c r="J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10" t="n"/>
      <c r="G694" s="10" t="n"/>
      <c r="H694" s="10" t="n"/>
      <c r="I694" s="3" t="n"/>
      <c r="J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10" t="n"/>
      <c r="G695" s="10" t="n"/>
      <c r="H695" s="10" t="n"/>
      <c r="I695" s="3" t="n"/>
      <c r="J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10" t="n"/>
      <c r="G696" s="10" t="n"/>
      <c r="H696" s="10" t="n"/>
      <c r="I696" s="3" t="n"/>
      <c r="J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10" t="n"/>
      <c r="G697" s="10" t="n"/>
      <c r="H697" s="10" t="n"/>
      <c r="I697" s="3" t="n"/>
      <c r="J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10" t="n"/>
      <c r="G698" s="10" t="n"/>
      <c r="H698" s="10" t="n"/>
      <c r="I698" s="3" t="n"/>
      <c r="J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10" t="n"/>
      <c r="G699" s="10" t="n"/>
      <c r="H699" s="10" t="n"/>
      <c r="I699" s="3" t="n"/>
      <c r="J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10" t="n"/>
      <c r="G700" s="10" t="n"/>
      <c r="H700" s="10" t="n"/>
      <c r="I700" s="3" t="n"/>
      <c r="J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10" t="n"/>
      <c r="G701" s="10" t="n"/>
      <c r="H701" s="10" t="n"/>
      <c r="I701" s="3" t="n"/>
      <c r="J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10" t="n"/>
      <c r="G702" s="10" t="n"/>
      <c r="H702" s="10" t="n"/>
      <c r="I702" s="3" t="n"/>
      <c r="J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10" t="n"/>
      <c r="G703" s="10" t="n"/>
      <c r="H703" s="10" t="n"/>
      <c r="I703" s="3" t="n"/>
      <c r="J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10" t="n"/>
      <c r="G704" s="10" t="n"/>
      <c r="H704" s="10" t="n"/>
      <c r="I704" s="3" t="n"/>
      <c r="J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10" t="n"/>
      <c r="G705" s="10" t="n"/>
      <c r="H705" s="10" t="n"/>
      <c r="I705" s="3" t="n"/>
      <c r="J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10" t="n"/>
      <c r="G706" s="10" t="n"/>
      <c r="H706" s="10" t="n"/>
      <c r="I706" s="3" t="n"/>
      <c r="J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10" t="n"/>
      <c r="G707" s="10" t="n"/>
      <c r="H707" s="10" t="n"/>
      <c r="I707" s="3" t="n"/>
      <c r="J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10" t="n"/>
      <c r="G708" s="10" t="n"/>
      <c r="H708" s="10" t="n"/>
      <c r="I708" s="3" t="n"/>
      <c r="J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10" t="n"/>
      <c r="G709" s="10" t="n"/>
      <c r="H709" s="10" t="n"/>
      <c r="I709" s="3" t="n"/>
      <c r="J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10" t="n"/>
      <c r="G710" s="10" t="n"/>
      <c r="H710" s="10" t="n"/>
      <c r="I710" s="3" t="n"/>
      <c r="J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10" t="n"/>
      <c r="G711" s="10" t="n"/>
      <c r="H711" s="10" t="n"/>
      <c r="I711" s="3" t="n"/>
      <c r="J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10" t="n"/>
      <c r="G712" s="10" t="n"/>
      <c r="H712" s="10" t="n"/>
      <c r="I712" s="3" t="n"/>
      <c r="J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10" t="n"/>
      <c r="G713" s="10" t="n"/>
      <c r="H713" s="10" t="n"/>
      <c r="I713" s="3" t="n"/>
      <c r="J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10" t="n"/>
      <c r="G714" s="10" t="n"/>
      <c r="H714" s="10" t="n"/>
      <c r="I714" s="3" t="n"/>
      <c r="J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10" t="n"/>
      <c r="G715" s="10" t="n"/>
      <c r="H715" s="10" t="n"/>
      <c r="I715" s="3" t="n"/>
      <c r="J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10" t="n"/>
      <c r="G716" s="10" t="n"/>
      <c r="H716" s="10" t="n"/>
      <c r="I716" s="3" t="n"/>
      <c r="J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10" t="n"/>
      <c r="G717" s="10" t="n"/>
      <c r="H717" s="10" t="n"/>
      <c r="I717" s="3" t="n"/>
      <c r="J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10" t="n"/>
      <c r="G718" s="10" t="n"/>
      <c r="H718" s="10" t="n"/>
      <c r="I718" s="3" t="n"/>
      <c r="J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10" t="n"/>
      <c r="G719" s="10" t="n"/>
      <c r="H719" s="10" t="n"/>
      <c r="I719" s="3" t="n"/>
      <c r="J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10" t="n"/>
      <c r="G720" s="10" t="n"/>
      <c r="H720" s="10" t="n"/>
      <c r="I720" s="3" t="n"/>
      <c r="J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10" t="n"/>
      <c r="G721" s="10" t="n"/>
      <c r="H721" s="10" t="n"/>
      <c r="I721" s="3" t="n"/>
      <c r="J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10" t="n"/>
      <c r="G722" s="10" t="n"/>
      <c r="H722" s="10" t="n"/>
      <c r="I722" s="3" t="n"/>
      <c r="J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10" t="n"/>
      <c r="G723" s="10" t="n"/>
      <c r="H723" s="10" t="n"/>
      <c r="I723" s="3" t="n"/>
      <c r="J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10" t="n"/>
      <c r="G724" s="10" t="n"/>
      <c r="H724" s="10" t="n"/>
      <c r="I724" s="3" t="n"/>
      <c r="J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10" t="n"/>
      <c r="G725" s="10" t="n"/>
      <c r="H725" s="10" t="n"/>
      <c r="I725" s="3" t="n"/>
      <c r="J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10" t="n"/>
      <c r="G726" s="10" t="n"/>
      <c r="H726" s="10" t="n"/>
      <c r="I726" s="3" t="n"/>
      <c r="J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10" t="n"/>
      <c r="G727" s="10" t="n"/>
      <c r="H727" s="10" t="n"/>
      <c r="I727" s="3" t="n"/>
      <c r="J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10" t="n"/>
      <c r="G728" s="10" t="n"/>
      <c r="H728" s="10" t="n"/>
      <c r="I728" s="3" t="n"/>
      <c r="J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10" t="n"/>
      <c r="G729" s="10" t="n"/>
      <c r="H729" s="10" t="n"/>
      <c r="I729" s="3" t="n"/>
      <c r="J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10" t="n"/>
      <c r="G730" s="10" t="n"/>
      <c r="H730" s="10" t="n"/>
      <c r="I730" s="3" t="n"/>
      <c r="J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10" t="n"/>
      <c r="G731" s="10" t="n"/>
      <c r="H731" s="10" t="n"/>
      <c r="I731" s="3" t="n"/>
      <c r="J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10" t="n"/>
      <c r="G732" s="10" t="n"/>
      <c r="H732" s="10" t="n"/>
      <c r="I732" s="3" t="n"/>
      <c r="J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10" t="n"/>
      <c r="G733" s="10" t="n"/>
      <c r="H733" s="10" t="n"/>
      <c r="I733" s="3" t="n"/>
      <c r="J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10" t="n"/>
      <c r="G734" s="10" t="n"/>
      <c r="H734" s="10" t="n"/>
      <c r="I734" s="3" t="n"/>
      <c r="J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10" t="n"/>
      <c r="G735" s="10" t="n"/>
      <c r="H735" s="10" t="n"/>
      <c r="I735" s="3" t="n"/>
      <c r="J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10" t="n"/>
      <c r="G736" s="10" t="n"/>
      <c r="H736" s="10" t="n"/>
      <c r="I736" s="3" t="n"/>
      <c r="J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10" t="n"/>
      <c r="G737" s="10" t="n"/>
      <c r="H737" s="10" t="n"/>
      <c r="I737" s="3" t="n"/>
      <c r="J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10" t="n"/>
      <c r="G738" s="10" t="n"/>
      <c r="H738" s="10" t="n"/>
      <c r="I738" s="3" t="n"/>
      <c r="J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10" t="n"/>
      <c r="G739" s="10" t="n"/>
      <c r="H739" s="10" t="n"/>
      <c r="I739" s="3" t="n"/>
      <c r="J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10" t="n"/>
      <c r="G740" s="10" t="n"/>
      <c r="H740" s="10" t="n"/>
      <c r="I740" s="3" t="n"/>
      <c r="J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10" t="n"/>
      <c r="G741" s="10" t="n"/>
      <c r="H741" s="10" t="n"/>
      <c r="I741" s="3" t="n"/>
      <c r="J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10" t="n"/>
      <c r="G742" s="10" t="n"/>
      <c r="H742" s="10" t="n"/>
      <c r="I742" s="3" t="n"/>
      <c r="J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10" t="n"/>
      <c r="G743" s="10" t="n"/>
      <c r="H743" s="10" t="n"/>
      <c r="I743" s="3" t="n"/>
      <c r="J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10" t="n"/>
      <c r="G744" s="10" t="n"/>
      <c r="H744" s="10" t="n"/>
      <c r="I744" s="3" t="n"/>
      <c r="J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10" t="n"/>
      <c r="G745" s="10" t="n"/>
      <c r="H745" s="10" t="n"/>
      <c r="I745" s="3" t="n"/>
      <c r="J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10" t="n"/>
      <c r="G746" s="10" t="n"/>
      <c r="H746" s="10" t="n"/>
      <c r="I746" s="3" t="n"/>
      <c r="J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10" t="n"/>
      <c r="G747" s="10" t="n"/>
      <c r="H747" s="10" t="n"/>
      <c r="I747" s="3" t="n"/>
      <c r="J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10" t="n"/>
      <c r="G748" s="10" t="n"/>
      <c r="H748" s="10" t="n"/>
      <c r="I748" s="3" t="n"/>
      <c r="J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10" t="n"/>
      <c r="G749" s="10" t="n"/>
      <c r="H749" s="10" t="n"/>
      <c r="I749" s="3" t="n"/>
      <c r="J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10" t="n"/>
      <c r="G750" s="10" t="n"/>
      <c r="H750" s="10" t="n"/>
      <c r="I750" s="3" t="n"/>
      <c r="J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10" t="n"/>
      <c r="G751" s="10" t="n"/>
      <c r="H751" s="10" t="n"/>
      <c r="I751" s="3" t="n"/>
      <c r="J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10" t="n"/>
      <c r="G752" s="10" t="n"/>
      <c r="H752" s="10" t="n"/>
      <c r="I752" s="3" t="n"/>
      <c r="J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10" t="n"/>
      <c r="G753" s="10" t="n"/>
      <c r="H753" s="10" t="n"/>
      <c r="I753" s="3" t="n"/>
      <c r="J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10" t="n"/>
      <c r="G754" s="10" t="n"/>
      <c r="H754" s="10" t="n"/>
      <c r="I754" s="3" t="n"/>
      <c r="J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10" t="n"/>
      <c r="G755" s="10" t="n"/>
      <c r="H755" s="10" t="n"/>
      <c r="I755" s="3" t="n"/>
      <c r="J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10" t="n"/>
      <c r="G756" s="10" t="n"/>
      <c r="H756" s="10" t="n"/>
      <c r="I756" s="3" t="n"/>
      <c r="J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10" t="n"/>
      <c r="G757" s="10" t="n"/>
      <c r="H757" s="10" t="n"/>
      <c r="I757" s="3" t="n"/>
      <c r="J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10" t="n"/>
      <c r="G758" s="10" t="n"/>
      <c r="H758" s="10" t="n"/>
      <c r="I758" s="3" t="n"/>
      <c r="J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10" t="n"/>
      <c r="G759" s="10" t="n"/>
      <c r="H759" s="10" t="n"/>
      <c r="I759" s="3" t="n"/>
      <c r="J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10" t="n"/>
      <c r="G760" s="10" t="n"/>
      <c r="H760" s="10" t="n"/>
      <c r="I760" s="3" t="n"/>
      <c r="J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10" t="n"/>
      <c r="G761" s="10" t="n"/>
      <c r="H761" s="10" t="n"/>
      <c r="I761" s="3" t="n"/>
      <c r="J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10" t="n"/>
      <c r="G762" s="10" t="n"/>
      <c r="H762" s="10" t="n"/>
      <c r="I762" s="3" t="n"/>
      <c r="J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10" t="n"/>
      <c r="G763" s="10" t="n"/>
      <c r="H763" s="10" t="n"/>
      <c r="I763" s="3" t="n"/>
      <c r="J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10" t="n"/>
      <c r="G764" s="10" t="n"/>
      <c r="H764" s="10" t="n"/>
      <c r="I764" s="3" t="n"/>
      <c r="J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10" t="n"/>
      <c r="G765" s="10" t="n"/>
      <c r="H765" s="10" t="n"/>
      <c r="I765" s="3" t="n"/>
      <c r="J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10" t="n"/>
      <c r="G766" s="10" t="n"/>
      <c r="H766" s="10" t="n"/>
      <c r="I766" s="3" t="n"/>
      <c r="J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10" t="n"/>
      <c r="G767" s="10" t="n"/>
      <c r="H767" s="10" t="n"/>
      <c r="I767" s="3" t="n"/>
      <c r="J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10" t="n"/>
      <c r="G768" s="10" t="n"/>
      <c r="H768" s="10" t="n"/>
      <c r="I768" s="3" t="n"/>
      <c r="J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10" t="n"/>
      <c r="G769" s="10" t="n"/>
      <c r="H769" s="10" t="n"/>
      <c r="I769" s="3" t="n"/>
      <c r="J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10" t="n"/>
      <c r="G770" s="10" t="n"/>
      <c r="H770" s="10" t="n"/>
      <c r="I770" s="3" t="n"/>
      <c r="J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10" t="n"/>
      <c r="G771" s="10" t="n"/>
      <c r="H771" s="10" t="n"/>
      <c r="I771" s="3" t="n"/>
      <c r="J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10" t="n"/>
      <c r="G772" s="10" t="n"/>
      <c r="H772" s="10" t="n"/>
      <c r="I772" s="3" t="n"/>
      <c r="J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10" t="n"/>
      <c r="G773" s="10" t="n"/>
      <c r="H773" s="10" t="n"/>
      <c r="I773" s="3" t="n"/>
      <c r="J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10" t="n"/>
      <c r="G774" s="10" t="n"/>
      <c r="H774" s="10" t="n"/>
      <c r="I774" s="3" t="n"/>
      <c r="J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10" t="n"/>
      <c r="G775" s="10" t="n"/>
      <c r="H775" s="10" t="n"/>
      <c r="I775" s="3" t="n"/>
      <c r="J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10" t="n"/>
      <c r="G776" s="10" t="n"/>
      <c r="H776" s="10" t="n"/>
      <c r="I776" s="3" t="n"/>
      <c r="J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10" t="n"/>
      <c r="G777" s="10" t="n"/>
      <c r="H777" s="10" t="n"/>
      <c r="I777" s="3" t="n"/>
      <c r="J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10" t="n"/>
      <c r="G778" s="10" t="n"/>
      <c r="H778" s="10" t="n"/>
      <c r="I778" s="3" t="n"/>
      <c r="J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10" t="n"/>
      <c r="G779" s="10" t="n"/>
      <c r="H779" s="10" t="n"/>
      <c r="I779" s="3" t="n"/>
      <c r="J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10" t="n"/>
      <c r="G780" s="10" t="n"/>
      <c r="H780" s="10" t="n"/>
      <c r="I780" s="3" t="n"/>
      <c r="J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10" t="n"/>
      <c r="G781" s="10" t="n"/>
      <c r="H781" s="10" t="n"/>
      <c r="I781" s="3" t="n"/>
      <c r="J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10" t="n"/>
      <c r="G782" s="10" t="n"/>
      <c r="H782" s="10" t="n"/>
      <c r="I782" s="3" t="n"/>
      <c r="J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10" t="n"/>
      <c r="G783" s="10" t="n"/>
      <c r="H783" s="10" t="n"/>
      <c r="I783" s="3" t="n"/>
      <c r="J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10" t="n"/>
      <c r="G784" s="10" t="n"/>
      <c r="H784" s="10" t="n"/>
      <c r="I784" s="3" t="n"/>
      <c r="J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10" t="n"/>
      <c r="G785" s="10" t="n"/>
      <c r="H785" s="10" t="n"/>
      <c r="I785" s="3" t="n"/>
      <c r="J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10" t="n"/>
      <c r="G786" s="10" t="n"/>
      <c r="H786" s="10" t="n"/>
      <c r="I786" s="3" t="n"/>
      <c r="J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10" t="n"/>
      <c r="G787" s="10" t="n"/>
      <c r="H787" s="10" t="n"/>
      <c r="I787" s="3" t="n"/>
      <c r="J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10" t="n"/>
      <c r="G788" s="10" t="n"/>
      <c r="H788" s="10" t="n"/>
      <c r="I788" s="3" t="n"/>
      <c r="J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10" t="n"/>
      <c r="G789" s="10" t="n"/>
      <c r="H789" s="10" t="n"/>
      <c r="I789" s="3" t="n"/>
      <c r="J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10" t="n"/>
      <c r="G790" s="10" t="n"/>
      <c r="H790" s="10" t="n"/>
      <c r="I790" s="3" t="n"/>
      <c r="J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10" t="n"/>
      <c r="G791" s="10" t="n"/>
      <c r="H791" s="10" t="n"/>
      <c r="I791" s="3" t="n"/>
      <c r="J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10" t="n"/>
      <c r="G792" s="10" t="n"/>
      <c r="H792" s="10" t="n"/>
      <c r="I792" s="3" t="n"/>
      <c r="J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10" t="n"/>
      <c r="G793" s="10" t="n"/>
      <c r="H793" s="10" t="n"/>
      <c r="I793" s="3" t="n"/>
      <c r="J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10" t="n"/>
      <c r="G794" s="10" t="n"/>
      <c r="H794" s="10" t="n"/>
      <c r="I794" s="3" t="n"/>
      <c r="J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10" t="n"/>
      <c r="G795" s="10" t="n"/>
      <c r="H795" s="10" t="n"/>
      <c r="I795" s="3" t="n"/>
      <c r="J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10" t="n"/>
      <c r="G796" s="10" t="n"/>
      <c r="H796" s="10" t="n"/>
      <c r="I796" s="3" t="n"/>
      <c r="J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10" t="n"/>
      <c r="G797" s="10" t="n"/>
      <c r="H797" s="10" t="n"/>
      <c r="I797" s="3" t="n"/>
      <c r="J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10" t="n"/>
      <c r="G798" s="10" t="n"/>
      <c r="H798" s="10" t="n"/>
      <c r="I798" s="3" t="n"/>
      <c r="J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10" t="n"/>
      <c r="G799" s="10" t="n"/>
      <c r="H799" s="10" t="n"/>
      <c r="I799" s="3" t="n"/>
      <c r="J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10" t="n"/>
      <c r="G800" s="10" t="n"/>
      <c r="H800" s="10" t="n"/>
      <c r="I800" s="3" t="n"/>
      <c r="J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10" t="n"/>
      <c r="G801" s="10" t="n"/>
      <c r="H801" s="10" t="n"/>
      <c r="I801" s="3" t="n"/>
      <c r="J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10" t="n"/>
      <c r="G802" s="10" t="n"/>
      <c r="H802" s="10" t="n"/>
      <c r="I802" s="3" t="n"/>
      <c r="J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10" t="n"/>
      <c r="G803" s="10" t="n"/>
      <c r="H803" s="10" t="n"/>
      <c r="I803" s="3" t="n"/>
      <c r="J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10" t="n"/>
      <c r="G804" s="10" t="n"/>
      <c r="H804" s="10" t="n"/>
      <c r="I804" s="3" t="n"/>
      <c r="J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10" t="n"/>
      <c r="G805" s="10" t="n"/>
      <c r="H805" s="10" t="n"/>
      <c r="I805" s="3" t="n"/>
      <c r="J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10" t="n"/>
      <c r="G806" s="10" t="n"/>
      <c r="H806" s="10" t="n"/>
      <c r="I806" s="3" t="n"/>
      <c r="J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10" t="n"/>
      <c r="G807" s="10" t="n"/>
      <c r="H807" s="10" t="n"/>
      <c r="I807" s="3" t="n"/>
      <c r="J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10" t="n"/>
      <c r="G808" s="10" t="n"/>
      <c r="H808" s="10" t="n"/>
      <c r="I808" s="3" t="n"/>
      <c r="J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10" t="n"/>
      <c r="G809" s="10" t="n"/>
      <c r="H809" s="10" t="n"/>
      <c r="I809" s="3" t="n"/>
      <c r="J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10" t="n"/>
      <c r="G810" s="10" t="n"/>
      <c r="H810" s="10" t="n"/>
      <c r="I810" s="3" t="n"/>
      <c r="J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10" t="n"/>
      <c r="G811" s="10" t="n"/>
      <c r="H811" s="10" t="n"/>
      <c r="I811" s="3" t="n"/>
      <c r="J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10" t="n"/>
      <c r="G812" s="10" t="n"/>
      <c r="H812" s="10" t="n"/>
      <c r="I812" s="3" t="n"/>
      <c r="J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10" t="n"/>
      <c r="G813" s="10" t="n"/>
      <c r="H813" s="10" t="n"/>
      <c r="I813" s="3" t="n"/>
      <c r="J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10" t="n"/>
      <c r="G814" s="10" t="n"/>
      <c r="H814" s="10" t="n"/>
      <c r="I814" s="3" t="n"/>
      <c r="J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10" t="n"/>
      <c r="G815" s="10" t="n"/>
      <c r="H815" s="10" t="n"/>
      <c r="I815" s="3" t="n"/>
      <c r="J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10" t="n"/>
      <c r="G816" s="10" t="n"/>
      <c r="H816" s="10" t="n"/>
      <c r="I816" s="3" t="n"/>
      <c r="J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10" t="n"/>
      <c r="G817" s="10" t="n"/>
      <c r="H817" s="10" t="n"/>
      <c r="I817" s="3" t="n"/>
      <c r="J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10" t="n"/>
      <c r="G818" s="10" t="n"/>
      <c r="H818" s="10" t="n"/>
      <c r="I818" s="3" t="n"/>
      <c r="J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10" t="n"/>
      <c r="G819" s="10" t="n"/>
      <c r="H819" s="10" t="n"/>
      <c r="I819" s="3" t="n"/>
      <c r="J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10" t="n"/>
      <c r="G820" s="10" t="n"/>
      <c r="H820" s="10" t="n"/>
      <c r="I820" s="3" t="n"/>
      <c r="J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10" t="n"/>
      <c r="G821" s="10" t="n"/>
      <c r="H821" s="10" t="n"/>
      <c r="I821" s="3" t="n"/>
      <c r="J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10" t="n"/>
      <c r="G822" s="10" t="n"/>
      <c r="H822" s="10" t="n"/>
      <c r="I822" s="3" t="n"/>
      <c r="J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10" t="n"/>
      <c r="G823" s="10" t="n"/>
      <c r="H823" s="10" t="n"/>
      <c r="I823" s="3" t="n"/>
      <c r="J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10" t="n"/>
      <c r="G824" s="10" t="n"/>
      <c r="H824" s="10" t="n"/>
      <c r="I824" s="3" t="n"/>
      <c r="J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10" t="n"/>
      <c r="G825" s="10" t="n"/>
      <c r="H825" s="10" t="n"/>
      <c r="I825" s="3" t="n"/>
      <c r="J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10" t="n"/>
      <c r="G826" s="10" t="n"/>
      <c r="H826" s="10" t="n"/>
      <c r="I826" s="3" t="n"/>
      <c r="J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10" t="n"/>
      <c r="G827" s="10" t="n"/>
      <c r="H827" s="10" t="n"/>
      <c r="I827" s="3" t="n"/>
      <c r="J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10" t="n"/>
      <c r="G828" s="10" t="n"/>
      <c r="H828" s="10" t="n"/>
      <c r="I828" s="3" t="n"/>
      <c r="J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10" t="n"/>
      <c r="G829" s="10" t="n"/>
      <c r="H829" s="10" t="n"/>
      <c r="I829" s="3" t="n"/>
      <c r="J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10" t="n"/>
      <c r="G830" s="10" t="n"/>
      <c r="H830" s="10" t="n"/>
      <c r="I830" s="3" t="n"/>
      <c r="J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10" t="n"/>
      <c r="G831" s="10" t="n"/>
      <c r="H831" s="10" t="n"/>
      <c r="I831" s="3" t="n"/>
      <c r="J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10" t="n"/>
      <c r="G832" s="10" t="n"/>
      <c r="H832" s="10" t="n"/>
      <c r="I832" s="3" t="n"/>
      <c r="J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10" t="n"/>
      <c r="G833" s="10" t="n"/>
      <c r="H833" s="10" t="n"/>
      <c r="I833" s="3" t="n"/>
      <c r="J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10" t="n"/>
      <c r="G834" s="10" t="n"/>
      <c r="H834" s="10" t="n"/>
      <c r="I834" s="3" t="n"/>
      <c r="J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10" t="n"/>
      <c r="G835" s="10" t="n"/>
      <c r="H835" s="10" t="n"/>
      <c r="I835" s="3" t="n"/>
      <c r="J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10" t="n"/>
      <c r="G836" s="10" t="n"/>
      <c r="H836" s="10" t="n"/>
      <c r="I836" s="3" t="n"/>
      <c r="J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10" t="n"/>
      <c r="G837" s="10" t="n"/>
      <c r="H837" s="10" t="n"/>
      <c r="I837" s="3" t="n"/>
      <c r="J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10" t="n"/>
      <c r="G838" s="10" t="n"/>
      <c r="H838" s="10" t="n"/>
      <c r="I838" s="3" t="n"/>
      <c r="J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10" t="n"/>
      <c r="G839" s="10" t="n"/>
      <c r="H839" s="10" t="n"/>
      <c r="I839" s="3" t="n"/>
      <c r="J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10" t="n"/>
      <c r="G840" s="10" t="n"/>
      <c r="H840" s="10" t="n"/>
      <c r="I840" s="3" t="n"/>
      <c r="J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10" t="n"/>
      <c r="G841" s="10" t="n"/>
      <c r="H841" s="10" t="n"/>
      <c r="I841" s="3" t="n"/>
      <c r="J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10" t="n"/>
      <c r="G842" s="10" t="n"/>
      <c r="H842" s="10" t="n"/>
      <c r="I842" s="3" t="n"/>
      <c r="J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10" t="n"/>
      <c r="G843" s="10" t="n"/>
      <c r="H843" s="10" t="n"/>
      <c r="I843" s="3" t="n"/>
      <c r="J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10" t="n"/>
      <c r="G844" s="10" t="n"/>
      <c r="H844" s="10" t="n"/>
      <c r="I844" s="3" t="n"/>
      <c r="J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10" t="n"/>
      <c r="G845" s="10" t="n"/>
      <c r="H845" s="10" t="n"/>
      <c r="I845" s="3" t="n"/>
      <c r="J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10" t="n"/>
      <c r="G846" s="10" t="n"/>
      <c r="H846" s="10" t="n"/>
      <c r="I846" s="3" t="n"/>
      <c r="J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10" t="n"/>
      <c r="G847" s="10" t="n"/>
      <c r="H847" s="10" t="n"/>
      <c r="I847" s="3" t="n"/>
      <c r="J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10" t="n"/>
      <c r="G848" s="10" t="n"/>
      <c r="H848" s="10" t="n"/>
      <c r="I848" s="3" t="n"/>
      <c r="J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10" t="n"/>
      <c r="G849" s="10" t="n"/>
      <c r="H849" s="10" t="n"/>
      <c r="I849" s="3" t="n"/>
      <c r="J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10" t="n"/>
      <c r="G850" s="10" t="n"/>
      <c r="H850" s="10" t="n"/>
      <c r="I850" s="3" t="n"/>
      <c r="J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10" t="n"/>
      <c r="G851" s="10" t="n"/>
      <c r="H851" s="10" t="n"/>
      <c r="I851" s="3" t="n"/>
      <c r="J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10" t="n"/>
      <c r="G852" s="10" t="n"/>
      <c r="H852" s="10" t="n"/>
      <c r="I852" s="3" t="n"/>
      <c r="J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10" t="n"/>
      <c r="G853" s="10" t="n"/>
      <c r="H853" s="10" t="n"/>
      <c r="I853" s="3" t="n"/>
      <c r="J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10" t="n"/>
      <c r="G854" s="10" t="n"/>
      <c r="H854" s="10" t="n"/>
      <c r="I854" s="3" t="n"/>
      <c r="J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10" t="n"/>
      <c r="G855" s="10" t="n"/>
      <c r="H855" s="10" t="n"/>
      <c r="I855" s="3" t="n"/>
      <c r="J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10" t="n"/>
      <c r="G856" s="10" t="n"/>
      <c r="H856" s="10" t="n"/>
      <c r="I856" s="3" t="n"/>
      <c r="J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10" t="n"/>
      <c r="G857" s="10" t="n"/>
      <c r="H857" s="10" t="n"/>
      <c r="I857" s="3" t="n"/>
      <c r="J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10" t="n"/>
      <c r="G858" s="10" t="n"/>
      <c r="H858" s="10" t="n"/>
      <c r="I858" s="3" t="n"/>
      <c r="J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10" t="n"/>
      <c r="G859" s="10" t="n"/>
      <c r="H859" s="10" t="n"/>
      <c r="I859" s="3" t="n"/>
      <c r="J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10" t="n"/>
      <c r="G860" s="10" t="n"/>
      <c r="H860" s="10" t="n"/>
      <c r="I860" s="3" t="n"/>
      <c r="J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10" t="n"/>
      <c r="G861" s="10" t="n"/>
      <c r="H861" s="10" t="n"/>
      <c r="I861" s="3" t="n"/>
      <c r="J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10" t="n"/>
      <c r="G862" s="10" t="n"/>
      <c r="H862" s="10" t="n"/>
      <c r="I862" s="3" t="n"/>
      <c r="J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10" t="n"/>
      <c r="G863" s="10" t="n"/>
      <c r="H863" s="10" t="n"/>
      <c r="I863" s="3" t="n"/>
      <c r="J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10" t="n"/>
      <c r="G864" s="10" t="n"/>
      <c r="H864" s="10" t="n"/>
      <c r="I864" s="3" t="n"/>
      <c r="J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10" t="n"/>
      <c r="G865" s="10" t="n"/>
      <c r="H865" s="10" t="n"/>
      <c r="I865" s="3" t="n"/>
      <c r="J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10" t="n"/>
      <c r="G866" s="10" t="n"/>
      <c r="H866" s="10" t="n"/>
      <c r="I866" s="3" t="n"/>
      <c r="J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10" t="n"/>
      <c r="G867" s="10" t="n"/>
      <c r="H867" s="10" t="n"/>
      <c r="I867" s="3" t="n"/>
      <c r="J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10" t="n"/>
      <c r="G868" s="10" t="n"/>
      <c r="H868" s="10" t="n"/>
      <c r="I868" s="3" t="n"/>
      <c r="J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10" t="n"/>
      <c r="G869" s="10" t="n"/>
      <c r="H869" s="10" t="n"/>
      <c r="I869" s="3" t="n"/>
      <c r="J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10" t="n"/>
      <c r="G870" s="10" t="n"/>
      <c r="H870" s="10" t="n"/>
      <c r="I870" s="3" t="n"/>
      <c r="J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10" t="n"/>
      <c r="G871" s="10" t="n"/>
      <c r="H871" s="10" t="n"/>
      <c r="I871" s="3" t="n"/>
      <c r="J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10" t="n"/>
      <c r="G872" s="10" t="n"/>
      <c r="H872" s="10" t="n"/>
      <c r="I872" s="3" t="n"/>
      <c r="J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10" t="n"/>
      <c r="G873" s="10" t="n"/>
      <c r="H873" s="10" t="n"/>
      <c r="I873" s="3" t="n"/>
      <c r="J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10" t="n"/>
      <c r="G874" s="10" t="n"/>
      <c r="H874" s="10" t="n"/>
      <c r="I874" s="3" t="n"/>
      <c r="J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10" t="n"/>
      <c r="G875" s="10" t="n"/>
      <c r="H875" s="10" t="n"/>
      <c r="I875" s="3" t="n"/>
      <c r="J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10" t="n"/>
      <c r="G876" s="10" t="n"/>
      <c r="H876" s="10" t="n"/>
      <c r="I876" s="3" t="n"/>
      <c r="J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10" t="n"/>
      <c r="G877" s="10" t="n"/>
      <c r="H877" s="10" t="n"/>
      <c r="I877" s="3" t="n"/>
      <c r="J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10" t="n"/>
      <c r="G878" s="10" t="n"/>
      <c r="H878" s="10" t="n"/>
      <c r="I878" s="3" t="n"/>
      <c r="J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10" t="n"/>
      <c r="G879" s="10" t="n"/>
      <c r="H879" s="10" t="n"/>
      <c r="I879" s="3" t="n"/>
      <c r="J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10" t="n"/>
      <c r="G880" s="10" t="n"/>
      <c r="H880" s="10" t="n"/>
      <c r="I880" s="3" t="n"/>
      <c r="J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10" t="n"/>
      <c r="G881" s="10" t="n"/>
      <c r="H881" s="10" t="n"/>
      <c r="I881" s="3" t="n"/>
      <c r="J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10" t="n"/>
      <c r="G882" s="10" t="n"/>
      <c r="H882" s="10" t="n"/>
      <c r="I882" s="3" t="n"/>
      <c r="J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10" t="n"/>
      <c r="G883" s="10" t="n"/>
      <c r="H883" s="10" t="n"/>
      <c r="I883" s="3" t="n"/>
      <c r="J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10" t="n"/>
      <c r="G884" s="10" t="n"/>
      <c r="H884" s="10" t="n"/>
      <c r="I884" s="3" t="n"/>
      <c r="J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10" t="n"/>
      <c r="G885" s="10" t="n"/>
      <c r="H885" s="10" t="n"/>
      <c r="I885" s="3" t="n"/>
      <c r="J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10" t="n"/>
      <c r="G886" s="10" t="n"/>
      <c r="H886" s="10" t="n"/>
      <c r="I886" s="3" t="n"/>
      <c r="J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10" t="n"/>
      <c r="G887" s="10" t="n"/>
      <c r="H887" s="10" t="n"/>
      <c r="I887" s="3" t="n"/>
      <c r="J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10" t="n"/>
      <c r="G888" s="10" t="n"/>
      <c r="H888" s="10" t="n"/>
      <c r="I888" s="3" t="n"/>
      <c r="J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10" t="n"/>
      <c r="G889" s="10" t="n"/>
      <c r="H889" s="10" t="n"/>
      <c r="I889" s="3" t="n"/>
      <c r="J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10" t="n"/>
      <c r="G890" s="10" t="n"/>
      <c r="H890" s="10" t="n"/>
      <c r="I890" s="3" t="n"/>
      <c r="J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10" t="n"/>
      <c r="G891" s="10" t="n"/>
      <c r="H891" s="10" t="n"/>
      <c r="I891" s="3" t="n"/>
      <c r="J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10" t="n"/>
      <c r="G892" s="10" t="n"/>
      <c r="H892" s="10" t="n"/>
      <c r="I892" s="3" t="n"/>
      <c r="J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10" t="n"/>
      <c r="G893" s="10" t="n"/>
      <c r="H893" s="10" t="n"/>
      <c r="I893" s="3" t="n"/>
      <c r="J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10" t="n"/>
      <c r="G894" s="10" t="n"/>
      <c r="H894" s="10" t="n"/>
      <c r="I894" s="3" t="n"/>
      <c r="J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10" t="n"/>
      <c r="G895" s="10" t="n"/>
      <c r="H895" s="10" t="n"/>
      <c r="I895" s="3" t="n"/>
      <c r="J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10" t="n"/>
      <c r="G896" s="10" t="n"/>
      <c r="H896" s="10" t="n"/>
      <c r="I896" s="3" t="n"/>
      <c r="J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10" t="n"/>
      <c r="G897" s="10" t="n"/>
      <c r="H897" s="10" t="n"/>
      <c r="I897" s="3" t="n"/>
      <c r="J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10" t="n"/>
      <c r="G898" s="10" t="n"/>
      <c r="H898" s="10" t="n"/>
      <c r="I898" s="3" t="n"/>
      <c r="J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10" t="n"/>
      <c r="G899" s="10" t="n"/>
      <c r="H899" s="10" t="n"/>
      <c r="I899" s="3" t="n"/>
      <c r="J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10" t="n"/>
      <c r="G900" s="10" t="n"/>
      <c r="H900" s="10" t="n"/>
      <c r="I900" s="3" t="n"/>
      <c r="J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10" t="n"/>
      <c r="G901" s="10" t="n"/>
      <c r="H901" s="10" t="n"/>
      <c r="I901" s="3" t="n"/>
      <c r="J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10" t="n"/>
      <c r="G902" s="10" t="n"/>
      <c r="H902" s="10" t="n"/>
      <c r="I902" s="3" t="n"/>
      <c r="J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10" t="n"/>
      <c r="G903" s="10" t="n"/>
      <c r="H903" s="10" t="n"/>
      <c r="I903" s="3" t="n"/>
      <c r="J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10" t="n"/>
      <c r="G904" s="10" t="n"/>
      <c r="H904" s="10" t="n"/>
      <c r="I904" s="3" t="n"/>
      <c r="J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10" t="n"/>
      <c r="G905" s="10" t="n"/>
      <c r="H905" s="10" t="n"/>
      <c r="I905" s="3" t="n"/>
      <c r="J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10" t="n"/>
      <c r="G906" s="10" t="n"/>
      <c r="H906" s="10" t="n"/>
      <c r="I906" s="3" t="n"/>
      <c r="J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10" t="n"/>
      <c r="G907" s="10" t="n"/>
      <c r="H907" s="10" t="n"/>
      <c r="I907" s="3" t="n"/>
      <c r="J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10" t="n"/>
      <c r="G908" s="10" t="n"/>
      <c r="H908" s="10" t="n"/>
      <c r="I908" s="3" t="n"/>
      <c r="J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10" t="n"/>
      <c r="G909" s="10" t="n"/>
      <c r="H909" s="10" t="n"/>
      <c r="I909" s="3" t="n"/>
      <c r="J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10" t="n"/>
      <c r="G910" s="10" t="n"/>
      <c r="H910" s="10" t="n"/>
      <c r="I910" s="3" t="n"/>
      <c r="J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10" t="n"/>
      <c r="G911" s="10" t="n"/>
      <c r="H911" s="10" t="n"/>
      <c r="I911" s="3" t="n"/>
      <c r="J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10" t="n"/>
      <c r="G912" s="10" t="n"/>
      <c r="H912" s="10" t="n"/>
      <c r="I912" s="3" t="n"/>
      <c r="J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10" t="n"/>
      <c r="G913" s="10" t="n"/>
      <c r="H913" s="10" t="n"/>
      <c r="I913" s="3" t="n"/>
      <c r="J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10" t="n"/>
      <c r="G914" s="10" t="n"/>
      <c r="H914" s="10" t="n"/>
      <c r="I914" s="3" t="n"/>
      <c r="J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10" t="n"/>
      <c r="G915" s="10" t="n"/>
      <c r="H915" s="10" t="n"/>
      <c r="I915" s="3" t="n"/>
      <c r="J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10" t="n"/>
      <c r="G916" s="10" t="n"/>
      <c r="H916" s="10" t="n"/>
      <c r="I916" s="3" t="n"/>
      <c r="J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10" t="n"/>
      <c r="G917" s="10" t="n"/>
      <c r="H917" s="10" t="n"/>
      <c r="I917" s="3" t="n"/>
      <c r="J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10" t="n"/>
      <c r="G918" s="10" t="n"/>
      <c r="H918" s="10" t="n"/>
      <c r="I918" s="3" t="n"/>
      <c r="J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10" t="n"/>
      <c r="G919" s="10" t="n"/>
      <c r="H919" s="10" t="n"/>
      <c r="I919" s="3" t="n"/>
      <c r="J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10" t="n"/>
      <c r="G920" s="10" t="n"/>
      <c r="H920" s="10" t="n"/>
      <c r="I920" s="3" t="n"/>
      <c r="J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10" t="n"/>
      <c r="G921" s="10" t="n"/>
      <c r="H921" s="10" t="n"/>
      <c r="I921" s="3" t="n"/>
      <c r="J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10" t="n"/>
      <c r="G922" s="10" t="n"/>
      <c r="H922" s="10" t="n"/>
      <c r="I922" s="3" t="n"/>
      <c r="J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10" t="n"/>
      <c r="G923" s="10" t="n"/>
      <c r="H923" s="10" t="n"/>
      <c r="I923" s="3" t="n"/>
      <c r="J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10" t="n"/>
      <c r="G924" s="10" t="n"/>
      <c r="H924" s="10" t="n"/>
      <c r="I924" s="3" t="n"/>
      <c r="J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10" t="n"/>
      <c r="G925" s="10" t="n"/>
      <c r="H925" s="10" t="n"/>
      <c r="I925" s="3" t="n"/>
      <c r="J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10" t="n"/>
      <c r="G926" s="10" t="n"/>
      <c r="H926" s="10" t="n"/>
      <c r="I926" s="3" t="n"/>
      <c r="J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10" t="n"/>
      <c r="G927" s="10" t="n"/>
      <c r="H927" s="10" t="n"/>
      <c r="I927" s="3" t="n"/>
      <c r="J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10" t="n"/>
      <c r="G928" s="10" t="n"/>
      <c r="H928" s="10" t="n"/>
      <c r="I928" s="3" t="n"/>
      <c r="J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10" t="n"/>
      <c r="G929" s="10" t="n"/>
      <c r="H929" s="10" t="n"/>
      <c r="I929" s="3" t="n"/>
      <c r="J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10" t="n"/>
      <c r="G930" s="10" t="n"/>
      <c r="H930" s="10" t="n"/>
      <c r="I930" s="3" t="n"/>
      <c r="J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10" t="n"/>
      <c r="G931" s="10" t="n"/>
      <c r="H931" s="10" t="n"/>
      <c r="I931" s="3" t="n"/>
      <c r="J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10" t="n"/>
      <c r="G932" s="10" t="n"/>
      <c r="H932" s="10" t="n"/>
      <c r="I932" s="3" t="n"/>
      <c r="J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10" t="n"/>
      <c r="G933" s="10" t="n"/>
      <c r="H933" s="10" t="n"/>
      <c r="I933" s="3" t="n"/>
      <c r="J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10" t="n"/>
      <c r="G934" s="10" t="n"/>
      <c r="H934" s="10" t="n"/>
      <c r="I934" s="3" t="n"/>
      <c r="J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10" t="n"/>
      <c r="G935" s="10" t="n"/>
      <c r="H935" s="10" t="n"/>
      <c r="I935" s="3" t="n"/>
      <c r="J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10" t="n"/>
      <c r="G936" s="10" t="n"/>
      <c r="H936" s="10" t="n"/>
      <c r="I936" s="3" t="n"/>
      <c r="J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10" t="n"/>
      <c r="G937" s="10" t="n"/>
      <c r="H937" s="10" t="n"/>
      <c r="I937" s="3" t="n"/>
      <c r="J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10" t="n"/>
      <c r="G938" s="10" t="n"/>
      <c r="H938" s="10" t="n"/>
      <c r="I938" s="3" t="n"/>
      <c r="J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10" t="n"/>
      <c r="G939" s="10" t="n"/>
      <c r="H939" s="10" t="n"/>
      <c r="I939" s="3" t="n"/>
      <c r="J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10" t="n"/>
      <c r="G940" s="10" t="n"/>
      <c r="H940" s="10" t="n"/>
      <c r="I940" s="3" t="n"/>
      <c r="J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10" t="n"/>
      <c r="G941" s="10" t="n"/>
      <c r="H941" s="10" t="n"/>
      <c r="I941" s="3" t="n"/>
      <c r="J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10" t="n"/>
      <c r="G942" s="10" t="n"/>
      <c r="H942" s="10" t="n"/>
      <c r="I942" s="3" t="n"/>
      <c r="J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10" t="n"/>
      <c r="G943" s="10" t="n"/>
      <c r="H943" s="10" t="n"/>
      <c r="I943" s="3" t="n"/>
      <c r="J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10" t="n"/>
      <c r="G944" s="10" t="n"/>
      <c r="H944" s="10" t="n"/>
      <c r="I944" s="3" t="n"/>
      <c r="J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10" t="n"/>
      <c r="G945" s="10" t="n"/>
      <c r="H945" s="10" t="n"/>
      <c r="I945" s="3" t="n"/>
      <c r="J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10" t="n"/>
      <c r="G946" s="10" t="n"/>
      <c r="H946" s="10" t="n"/>
      <c r="I946" s="3" t="n"/>
      <c r="J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10" t="n"/>
      <c r="G947" s="10" t="n"/>
      <c r="H947" s="10" t="n"/>
      <c r="I947" s="3" t="n"/>
      <c r="J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10" t="n"/>
      <c r="G948" s="10" t="n"/>
      <c r="H948" s="10" t="n"/>
      <c r="I948" s="3" t="n"/>
      <c r="J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10" t="n"/>
      <c r="G949" s="10" t="n"/>
      <c r="H949" s="10" t="n"/>
      <c r="I949" s="3" t="n"/>
      <c r="J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10" t="n"/>
      <c r="G950" s="10" t="n"/>
      <c r="H950" s="10" t="n"/>
      <c r="I950" s="3" t="n"/>
      <c r="J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10" t="n"/>
      <c r="G951" s="10" t="n"/>
      <c r="H951" s="10" t="n"/>
      <c r="I951" s="3" t="n"/>
      <c r="J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10" t="n"/>
      <c r="G952" s="10" t="n"/>
      <c r="H952" s="10" t="n"/>
      <c r="I952" s="3" t="n"/>
      <c r="J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10" t="n"/>
      <c r="G953" s="10" t="n"/>
      <c r="H953" s="10" t="n"/>
      <c r="I953" s="3" t="n"/>
      <c r="J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10" t="n"/>
      <c r="G954" s="10" t="n"/>
      <c r="H954" s="10" t="n"/>
      <c r="I954" s="3" t="n"/>
      <c r="J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10" t="n"/>
      <c r="G955" s="10" t="n"/>
      <c r="H955" s="10" t="n"/>
      <c r="I955" s="3" t="n"/>
      <c r="J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10" t="n"/>
      <c r="G956" s="10" t="n"/>
      <c r="H956" s="10" t="n"/>
      <c r="I956" s="3" t="n"/>
      <c r="J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10" t="n"/>
      <c r="G957" s="10" t="n"/>
      <c r="H957" s="10" t="n"/>
      <c r="I957" s="3" t="n"/>
      <c r="J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10" t="n"/>
      <c r="G958" s="10" t="n"/>
      <c r="H958" s="10" t="n"/>
      <c r="I958" s="3" t="n"/>
      <c r="J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10" t="n"/>
      <c r="G959" s="10" t="n"/>
      <c r="H959" s="10" t="n"/>
      <c r="I959" s="3" t="n"/>
      <c r="J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10" t="n"/>
      <c r="G960" s="10" t="n"/>
      <c r="H960" s="10" t="n"/>
      <c r="I960" s="3" t="n"/>
      <c r="J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10" t="n"/>
      <c r="G961" s="10" t="n"/>
      <c r="H961" s="10" t="n"/>
      <c r="I961" s="3" t="n"/>
      <c r="J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10" t="n"/>
      <c r="G962" s="10" t="n"/>
      <c r="H962" s="10" t="n"/>
      <c r="I962" s="3" t="n"/>
      <c r="J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10" t="n"/>
      <c r="G963" s="10" t="n"/>
      <c r="H963" s="10" t="n"/>
      <c r="I963" s="3" t="n"/>
      <c r="J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10" t="n"/>
      <c r="G964" s="10" t="n"/>
      <c r="H964" s="10" t="n"/>
      <c r="I964" s="3" t="n"/>
      <c r="J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10" t="n"/>
      <c r="G965" s="10" t="n"/>
      <c r="H965" s="10" t="n"/>
      <c r="I965" s="3" t="n"/>
      <c r="J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10" t="n"/>
      <c r="G966" s="10" t="n"/>
      <c r="H966" s="10" t="n"/>
      <c r="I966" s="3" t="n"/>
      <c r="J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10" t="n"/>
      <c r="G967" s="10" t="n"/>
      <c r="H967" s="10" t="n"/>
      <c r="I967" s="3" t="n"/>
      <c r="J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10" t="n"/>
      <c r="G968" s="10" t="n"/>
      <c r="H968" s="10" t="n"/>
      <c r="I968" s="3" t="n"/>
      <c r="J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10" t="n"/>
      <c r="G969" s="10" t="n"/>
      <c r="H969" s="10" t="n"/>
      <c r="I969" s="3" t="n"/>
      <c r="J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10" t="n"/>
      <c r="G970" s="10" t="n"/>
      <c r="H970" s="10" t="n"/>
      <c r="I970" s="3" t="n"/>
      <c r="J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10" t="n"/>
      <c r="G971" s="10" t="n"/>
      <c r="H971" s="10" t="n"/>
      <c r="I971" s="3" t="n"/>
      <c r="J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10" t="n"/>
      <c r="G972" s="10" t="n"/>
      <c r="H972" s="10" t="n"/>
      <c r="I972" s="3" t="n"/>
      <c r="J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10" t="n"/>
      <c r="G973" s="10" t="n"/>
      <c r="H973" s="10" t="n"/>
      <c r="I973" s="3" t="n"/>
      <c r="J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10" t="n"/>
      <c r="G974" s="10" t="n"/>
      <c r="H974" s="10" t="n"/>
      <c r="I974" s="3" t="n"/>
      <c r="J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10" t="n"/>
      <c r="G975" s="10" t="n"/>
      <c r="H975" s="10" t="n"/>
      <c r="I975" s="3" t="n"/>
      <c r="J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10" t="n"/>
      <c r="G976" s="10" t="n"/>
      <c r="H976" s="10" t="n"/>
      <c r="I976" s="3" t="n"/>
      <c r="J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10" t="n"/>
      <c r="G977" s="10" t="n"/>
      <c r="H977" s="10" t="n"/>
      <c r="I977" s="3" t="n"/>
      <c r="J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10" t="n"/>
      <c r="G978" s="10" t="n"/>
      <c r="H978" s="10" t="n"/>
      <c r="I978" s="3" t="n"/>
      <c r="J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10" t="n"/>
      <c r="G979" s="10" t="n"/>
      <c r="H979" s="10" t="n"/>
      <c r="I979" s="3" t="n"/>
      <c r="J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10" t="n"/>
      <c r="G980" s="10" t="n"/>
      <c r="H980" s="10" t="n"/>
      <c r="I980" s="3" t="n"/>
      <c r="J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10" t="n"/>
      <c r="G981" s="10" t="n"/>
      <c r="H981" s="10" t="n"/>
      <c r="I981" s="3" t="n"/>
      <c r="J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10" t="n"/>
      <c r="G982" s="10" t="n"/>
      <c r="H982" s="10" t="n"/>
      <c r="I982" s="3" t="n"/>
      <c r="J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10" t="n"/>
      <c r="G983" s="10" t="n"/>
      <c r="H983" s="10" t="n"/>
      <c r="I983" s="3" t="n"/>
      <c r="J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10" t="n"/>
      <c r="G984" s="10" t="n"/>
      <c r="H984" s="10" t="n"/>
      <c r="I984" s="3" t="n"/>
      <c r="J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10" t="n"/>
      <c r="G985" s="10" t="n"/>
      <c r="H985" s="10" t="n"/>
      <c r="I985" s="3" t="n"/>
      <c r="J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10" t="n"/>
      <c r="G986" s="10" t="n"/>
      <c r="H986" s="10" t="n"/>
      <c r="I986" s="3" t="n"/>
      <c r="J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10" t="n"/>
      <c r="G987" s="10" t="n"/>
      <c r="H987" s="10" t="n"/>
      <c r="I987" s="3" t="n"/>
      <c r="J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10" t="n"/>
      <c r="G988" s="10" t="n"/>
      <c r="H988" s="10" t="n"/>
      <c r="I988" s="3" t="n"/>
      <c r="J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10" t="n"/>
      <c r="G989" s="10" t="n"/>
      <c r="H989" s="10" t="n"/>
      <c r="I989" s="3" t="n"/>
      <c r="J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10" t="n"/>
      <c r="G990" s="10" t="n"/>
      <c r="H990" s="10" t="n"/>
      <c r="I990" s="3" t="n"/>
      <c r="J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10" t="n"/>
      <c r="G991" s="10" t="n"/>
      <c r="H991" s="10" t="n"/>
      <c r="I991" s="3" t="n"/>
      <c r="J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10" t="n"/>
      <c r="G992" s="10" t="n"/>
      <c r="H992" s="10" t="n"/>
      <c r="I992" s="3" t="n"/>
      <c r="J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10" t="n"/>
      <c r="G993" s="10" t="n"/>
      <c r="H993" s="10" t="n"/>
      <c r="I993" s="3" t="n"/>
      <c r="J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10" t="n"/>
      <c r="G994" s="10" t="n"/>
      <c r="H994" s="10" t="n"/>
      <c r="I994" s="3" t="n"/>
      <c r="J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10" t="n"/>
      <c r="G995" s="10" t="n"/>
      <c r="H995" s="10" t="n"/>
      <c r="I995" s="3" t="n"/>
      <c r="J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10" t="n"/>
      <c r="G996" s="10" t="n"/>
      <c r="H996" s="10" t="n"/>
      <c r="I996" s="3" t="n"/>
      <c r="J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10" t="n"/>
      <c r="G997" s="10" t="n"/>
      <c r="H997" s="10" t="n"/>
      <c r="I997" s="3" t="n"/>
      <c r="J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10" t="n"/>
      <c r="G998" s="10" t="n"/>
      <c r="H998" s="10" t="n"/>
      <c r="I998" s="3" t="n"/>
      <c r="J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10" t="n"/>
      <c r="G999" s="10" t="n"/>
      <c r="H999" s="10" t="n"/>
      <c r="I999" s="3" t="n"/>
      <c r="J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10" t="n"/>
      <c r="G1000" s="10" t="n"/>
      <c r="H1000" s="10" t="n"/>
      <c r="I1000" s="3" t="n"/>
      <c r="J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10" t="n"/>
      <c r="G1001" s="10" t="n"/>
      <c r="H1001" s="10" t="n"/>
      <c r="I1001" s="3" t="n"/>
      <c r="J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10" t="n"/>
      <c r="G1002" s="10" t="n"/>
      <c r="H1002" s="10" t="n"/>
      <c r="I1002" s="3" t="n"/>
      <c r="J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10" t="n"/>
      <c r="G1003" s="10" t="n"/>
      <c r="H1003" s="10" t="n"/>
      <c r="I1003" s="3" t="n"/>
      <c r="J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10" t="n"/>
      <c r="G1004" s="10" t="n"/>
      <c r="H1004" s="10" t="n"/>
      <c r="I1004" s="3" t="n"/>
      <c r="J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10" t="n"/>
      <c r="G1005" s="10" t="n"/>
      <c r="H1005" s="10" t="n"/>
      <c r="I1005" s="3" t="n"/>
      <c r="J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10" t="n"/>
      <c r="G1006" s="10" t="n"/>
      <c r="H1006" s="10" t="n"/>
      <c r="I1006" s="3" t="n"/>
      <c r="J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10" t="n"/>
      <c r="G1007" s="10" t="n"/>
      <c r="H1007" s="10" t="n"/>
      <c r="I1007" s="3" t="n"/>
      <c r="J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10" t="n"/>
      <c r="G1008" s="10" t="n"/>
      <c r="H1008" s="10" t="n"/>
      <c r="I1008" s="3" t="n"/>
      <c r="J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10" t="n"/>
      <c r="G1009" s="10" t="n"/>
      <c r="H1009" s="10" t="n"/>
      <c r="I1009" s="3" t="n"/>
      <c r="J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10" t="n"/>
      <c r="G1010" s="10" t="n"/>
      <c r="H1010" s="10" t="n"/>
      <c r="I1010" s="3" t="n"/>
      <c r="J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10" t="n"/>
      <c r="G1011" s="10" t="n"/>
      <c r="H1011" s="10" t="n"/>
      <c r="I1011" s="3" t="n"/>
      <c r="J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10" t="n"/>
      <c r="G1012" s="10" t="n"/>
      <c r="H1012" s="10" t="n"/>
      <c r="I1012" s="3" t="n"/>
      <c r="J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10" t="n"/>
      <c r="G1013" s="10" t="n"/>
      <c r="H1013" s="10" t="n"/>
      <c r="I1013" s="3" t="n"/>
      <c r="J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10" t="n"/>
      <c r="G1014" s="10" t="n"/>
      <c r="H1014" s="10" t="n"/>
      <c r="I1014" s="3" t="n"/>
      <c r="J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10" t="n"/>
      <c r="G1015" s="10" t="n"/>
      <c r="H1015" s="10" t="n"/>
      <c r="I1015" s="3" t="n"/>
      <c r="J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10" t="n"/>
      <c r="G1016" s="10" t="n"/>
      <c r="H1016" s="10" t="n"/>
      <c r="I1016" s="3" t="n"/>
      <c r="J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10" t="n"/>
      <c r="G1017" s="10" t="n"/>
      <c r="H1017" s="10" t="n"/>
      <c r="I1017" s="3" t="n"/>
      <c r="J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10" t="n"/>
      <c r="G1018" s="10" t="n"/>
      <c r="H1018" s="10" t="n"/>
      <c r="I1018" s="3" t="n"/>
      <c r="J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10" t="n"/>
      <c r="G1019" s="10" t="n"/>
      <c r="H1019" s="10" t="n"/>
      <c r="I1019" s="3" t="n"/>
      <c r="J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10" t="n"/>
      <c r="G1020" s="10" t="n"/>
      <c r="H1020" s="10" t="n"/>
      <c r="I1020" s="3" t="n"/>
      <c r="J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10" t="n"/>
      <c r="G1021" s="10" t="n"/>
      <c r="H1021" s="10" t="n"/>
      <c r="I1021" s="3" t="n"/>
      <c r="J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10" t="n"/>
      <c r="G1022" s="10" t="n"/>
      <c r="H1022" s="10" t="n"/>
      <c r="I1022" s="3" t="n"/>
      <c r="J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10" t="n"/>
      <c r="G1023" s="10" t="n"/>
      <c r="H1023" s="10" t="n"/>
      <c r="I1023" s="3" t="n"/>
      <c r="J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10" t="n"/>
      <c r="G1024" s="10" t="n"/>
      <c r="H1024" s="10" t="n"/>
      <c r="I1024" s="3" t="n"/>
      <c r="J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10" t="n"/>
      <c r="G1025" s="10" t="n"/>
      <c r="H1025" s="10" t="n"/>
      <c r="I1025" s="3" t="n"/>
      <c r="J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10" t="n"/>
      <c r="G1026" s="10" t="n"/>
      <c r="H1026" s="10" t="n"/>
      <c r="I1026" s="3" t="n"/>
      <c r="J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10" t="n"/>
      <c r="G1027" s="10" t="n"/>
      <c r="H1027" s="10" t="n"/>
      <c r="I1027" s="3" t="n"/>
      <c r="J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10" t="n"/>
      <c r="G1028" s="10" t="n"/>
      <c r="H1028" s="10" t="n"/>
      <c r="I1028" s="3" t="n"/>
      <c r="J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10" t="n"/>
      <c r="G1029" s="10" t="n"/>
      <c r="H1029" s="10" t="n"/>
      <c r="I1029" s="3" t="n"/>
      <c r="J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10" t="n"/>
      <c r="G1030" s="10" t="n"/>
      <c r="H1030" s="10" t="n"/>
      <c r="I1030" s="3" t="n"/>
      <c r="J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10" t="n"/>
      <c r="G1031" s="10" t="n"/>
      <c r="H1031" s="10" t="n"/>
      <c r="I1031" s="3" t="n"/>
      <c r="J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10" t="n"/>
      <c r="G1032" s="10" t="n"/>
      <c r="H1032" s="10" t="n"/>
      <c r="I1032" s="3" t="n"/>
      <c r="J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10" t="n"/>
      <c r="G1033" s="10" t="n"/>
      <c r="H1033" s="10" t="n"/>
      <c r="I1033" s="3" t="n"/>
      <c r="J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10" t="n"/>
      <c r="G1034" s="10" t="n"/>
      <c r="H1034" s="10" t="n"/>
      <c r="I1034" s="3" t="n"/>
      <c r="J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10" t="n"/>
      <c r="G1035" s="10" t="n"/>
      <c r="H1035" s="10" t="n"/>
      <c r="I1035" s="3" t="n"/>
      <c r="J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10" t="n"/>
      <c r="G1036" s="10" t="n"/>
      <c r="H1036" s="10" t="n"/>
      <c r="I1036" s="3" t="n"/>
      <c r="J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10" t="n"/>
      <c r="G1037" s="10" t="n"/>
      <c r="H1037" s="10" t="n"/>
      <c r="I1037" s="3" t="n"/>
      <c r="J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10" t="n"/>
      <c r="G1038" s="10" t="n"/>
      <c r="H1038" s="10" t="n"/>
      <c r="I1038" s="3" t="n"/>
      <c r="J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10" t="n"/>
      <c r="G1039" s="10" t="n"/>
      <c r="H1039" s="10" t="n"/>
      <c r="I1039" s="3" t="n"/>
      <c r="J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10" t="n"/>
      <c r="G1040" s="10" t="n"/>
      <c r="H1040" s="10" t="n"/>
      <c r="I1040" s="3" t="n"/>
      <c r="J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10" t="n"/>
      <c r="G1041" s="10" t="n"/>
      <c r="H1041" s="10" t="n"/>
      <c r="I1041" s="3" t="n"/>
      <c r="J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10" t="n"/>
      <c r="G1042" s="10" t="n"/>
      <c r="H1042" s="10" t="n"/>
      <c r="I1042" s="3" t="n"/>
      <c r="J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10" t="n"/>
      <c r="G1043" s="10" t="n"/>
      <c r="H1043" s="10" t="n"/>
      <c r="I1043" s="3" t="n"/>
      <c r="J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10" t="n"/>
      <c r="G1044" s="10" t="n"/>
      <c r="H1044" s="10" t="n"/>
      <c r="I1044" s="3" t="n"/>
      <c r="J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10" t="n"/>
      <c r="G1045" s="10" t="n"/>
      <c r="H1045" s="10" t="n"/>
      <c r="I1045" s="3" t="n"/>
      <c r="J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10" t="n"/>
      <c r="G1046" s="10" t="n"/>
      <c r="H1046" s="10" t="n"/>
      <c r="I1046" s="3" t="n"/>
      <c r="J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10" t="n"/>
      <c r="G1047" s="10" t="n"/>
      <c r="H1047" s="10" t="n"/>
      <c r="I1047" s="3" t="n"/>
      <c r="J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10" t="n"/>
      <c r="G1048" s="10" t="n"/>
      <c r="H1048" s="10" t="n"/>
      <c r="I1048" s="3" t="n"/>
      <c r="J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10" t="n"/>
      <c r="G1049" s="10" t="n"/>
      <c r="H1049" s="10" t="n"/>
      <c r="I1049" s="3" t="n"/>
      <c r="J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10" t="n"/>
      <c r="G1050" s="10" t="n"/>
      <c r="H1050" s="10" t="n"/>
      <c r="I1050" s="3" t="n"/>
      <c r="J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10" t="n"/>
      <c r="G1051" s="10" t="n"/>
      <c r="H1051" s="10" t="n"/>
      <c r="I1051" s="3" t="n"/>
      <c r="J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10" t="n"/>
      <c r="G1052" s="10" t="n"/>
      <c r="H1052" s="10" t="n"/>
      <c r="I1052" s="3" t="n"/>
      <c r="J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10" t="n"/>
      <c r="G1053" s="10" t="n"/>
      <c r="H1053" s="10" t="n"/>
      <c r="I1053" s="3" t="n"/>
      <c r="J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10" t="n"/>
      <c r="G1054" s="10" t="n"/>
      <c r="H1054" s="10" t="n"/>
      <c r="I1054" s="3" t="n"/>
      <c r="J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10" t="n"/>
      <c r="G1055" s="10" t="n"/>
      <c r="H1055" s="10" t="n"/>
      <c r="I1055" s="3" t="n"/>
      <c r="J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10" t="n"/>
      <c r="G1056" s="10" t="n"/>
      <c r="H1056" s="10" t="n"/>
      <c r="I1056" s="3" t="n"/>
      <c r="J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10" t="n"/>
      <c r="G1057" s="10" t="n"/>
      <c r="H1057" s="10" t="n"/>
      <c r="I1057" s="3" t="n"/>
      <c r="J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10" t="n"/>
      <c r="G1058" s="10" t="n"/>
      <c r="H1058" s="10" t="n"/>
      <c r="I1058" s="3" t="n"/>
      <c r="J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10" t="n"/>
      <c r="G1059" s="10" t="n"/>
      <c r="H1059" s="10" t="n"/>
      <c r="I1059" s="3" t="n"/>
      <c r="J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10" t="n"/>
      <c r="G1060" s="10" t="n"/>
      <c r="H1060" s="10" t="n"/>
      <c r="I1060" s="3" t="n"/>
      <c r="J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10" t="n"/>
      <c r="G1061" s="10" t="n"/>
      <c r="H1061" s="10" t="n"/>
      <c r="I1061" s="3" t="n"/>
      <c r="J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10" t="n"/>
      <c r="G1062" s="10" t="n"/>
      <c r="H1062" s="10" t="n"/>
      <c r="I1062" s="3" t="n"/>
      <c r="J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10" t="n"/>
      <c r="G1063" s="10" t="n"/>
      <c r="H1063" s="10" t="n"/>
      <c r="I1063" s="3" t="n"/>
      <c r="J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10" t="n"/>
      <c r="G1064" s="10" t="n"/>
      <c r="H1064" s="10" t="n"/>
      <c r="I1064" s="3" t="n"/>
      <c r="J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10" t="n"/>
      <c r="G1065" s="10" t="n"/>
      <c r="H1065" s="10" t="n"/>
      <c r="I1065" s="3" t="n"/>
      <c r="J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10" t="n"/>
      <c r="G1066" s="10" t="n"/>
      <c r="H1066" s="10" t="n"/>
      <c r="I1066" s="3" t="n"/>
      <c r="J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10" t="n"/>
      <c r="G1067" s="10" t="n"/>
      <c r="H1067" s="10" t="n"/>
      <c r="I1067" s="3" t="n"/>
      <c r="J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10" t="n"/>
      <c r="G1068" s="10" t="n"/>
      <c r="H1068" s="10" t="n"/>
      <c r="I1068" s="3" t="n"/>
      <c r="J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10" t="n"/>
      <c r="G1069" s="10" t="n"/>
      <c r="H1069" s="10" t="n"/>
      <c r="I1069" s="3" t="n"/>
      <c r="J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10" t="n"/>
      <c r="G1070" s="10" t="n"/>
      <c r="H1070" s="10" t="n"/>
      <c r="I1070" s="3" t="n"/>
      <c r="J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10" t="n"/>
      <c r="G1071" s="10" t="n"/>
      <c r="H1071" s="10" t="n"/>
      <c r="I1071" s="3" t="n"/>
      <c r="J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10" t="n"/>
      <c r="G1072" s="10" t="n"/>
      <c r="H1072" s="10" t="n"/>
      <c r="I1072" s="3" t="n"/>
      <c r="J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10" t="n"/>
      <c r="G1073" s="10" t="n"/>
      <c r="H1073" s="10" t="n"/>
      <c r="I1073" s="3" t="n"/>
      <c r="J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10" t="n"/>
      <c r="G1074" s="10" t="n"/>
      <c r="H1074" s="10" t="n"/>
      <c r="I1074" s="3" t="n"/>
      <c r="J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10" t="n"/>
      <c r="G1075" s="10" t="n"/>
      <c r="H1075" s="10" t="n"/>
      <c r="I1075" s="3" t="n"/>
      <c r="J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10" t="n"/>
      <c r="G1076" s="10" t="n"/>
      <c r="H1076" s="10" t="n"/>
      <c r="I1076" s="3" t="n"/>
      <c r="J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10" t="n"/>
      <c r="G1077" s="10" t="n"/>
      <c r="H1077" s="10" t="n"/>
      <c r="I1077" s="3" t="n"/>
      <c r="J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10" t="n"/>
      <c r="G1078" s="10" t="n"/>
      <c r="H1078" s="10" t="n"/>
      <c r="I1078" s="3" t="n"/>
      <c r="J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10" t="n"/>
      <c r="G1079" s="10" t="n"/>
      <c r="H1079" s="10" t="n"/>
      <c r="I1079" s="3" t="n"/>
      <c r="J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10" t="n"/>
      <c r="G1080" s="10" t="n"/>
      <c r="H1080" s="10" t="n"/>
      <c r="I1080" s="3" t="n"/>
      <c r="J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10" t="n"/>
      <c r="G1081" s="10" t="n"/>
      <c r="H1081" s="10" t="n"/>
      <c r="I1081" s="3" t="n"/>
      <c r="J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10" t="n"/>
      <c r="G1082" s="10" t="n"/>
      <c r="H1082" s="10" t="n"/>
      <c r="I1082" s="3" t="n"/>
      <c r="J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10" t="n"/>
      <c r="G1083" s="10" t="n"/>
      <c r="H1083" s="10" t="n"/>
      <c r="I1083" s="3" t="n"/>
      <c r="J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10" t="n"/>
      <c r="G1084" s="10" t="n"/>
      <c r="H1084" s="10" t="n"/>
      <c r="I1084" s="3" t="n"/>
      <c r="J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10" t="n"/>
      <c r="G1085" s="10" t="n"/>
      <c r="H1085" s="10" t="n"/>
      <c r="I1085" s="3" t="n"/>
      <c r="J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10" t="n"/>
      <c r="G1086" s="10" t="n"/>
      <c r="H1086" s="10" t="n"/>
      <c r="I1086" s="3" t="n"/>
      <c r="J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10" t="n"/>
      <c r="G1087" s="10" t="n"/>
      <c r="H1087" s="10" t="n"/>
      <c r="I1087" s="3" t="n"/>
      <c r="J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10" t="n"/>
      <c r="G1088" s="10" t="n"/>
      <c r="H1088" s="10" t="n"/>
      <c r="I1088" s="3" t="n"/>
      <c r="J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10" t="n"/>
      <c r="G1089" s="10" t="n"/>
      <c r="H1089" s="10" t="n"/>
      <c r="I1089" s="3" t="n"/>
      <c r="J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10" t="n"/>
      <c r="G1090" s="10" t="n"/>
      <c r="H1090" s="10" t="n"/>
      <c r="I1090" s="3" t="n"/>
      <c r="J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10" t="n"/>
      <c r="G1091" s="10" t="n"/>
      <c r="H1091" s="10" t="n"/>
      <c r="I1091" s="3" t="n"/>
      <c r="J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10" t="n"/>
      <c r="G1092" s="10" t="n"/>
      <c r="H1092" s="10" t="n"/>
      <c r="I1092" s="3" t="n"/>
      <c r="J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10" t="n"/>
      <c r="G1093" s="10" t="n"/>
      <c r="H1093" s="10" t="n"/>
      <c r="I1093" s="3" t="n"/>
      <c r="J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10" t="n"/>
      <c r="G1094" s="10" t="n"/>
      <c r="H1094" s="10" t="n"/>
      <c r="I1094" s="3" t="n"/>
      <c r="J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10" t="n"/>
      <c r="G1095" s="10" t="n"/>
      <c r="H1095" s="10" t="n"/>
      <c r="I1095" s="3" t="n"/>
      <c r="J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10" t="n"/>
      <c r="G1096" s="10" t="n"/>
      <c r="H1096" s="10" t="n"/>
      <c r="I1096" s="3" t="n"/>
      <c r="J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10" t="n"/>
      <c r="G1097" s="10" t="n"/>
      <c r="H1097" s="10" t="n"/>
      <c r="I1097" s="3" t="n"/>
      <c r="J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10" t="n"/>
      <c r="G1098" s="10" t="n"/>
      <c r="H1098" s="10" t="n"/>
      <c r="I1098" s="3" t="n"/>
      <c r="J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10" t="n"/>
      <c r="G1099" s="10" t="n"/>
      <c r="H1099" s="10" t="n"/>
      <c r="I1099" s="3" t="n"/>
      <c r="J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10" t="n"/>
      <c r="G1100" s="10" t="n"/>
      <c r="H1100" s="10" t="n"/>
      <c r="I1100" s="3" t="n"/>
      <c r="J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10" t="n"/>
      <c r="G1101" s="10" t="n"/>
      <c r="H1101" s="10" t="n"/>
      <c r="I1101" s="3" t="n"/>
      <c r="J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10" t="n"/>
      <c r="G1102" s="10" t="n"/>
      <c r="H1102" s="10" t="n"/>
      <c r="I1102" s="3" t="n"/>
      <c r="J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10" t="n"/>
      <c r="G1103" s="10" t="n"/>
      <c r="H1103" s="10" t="n"/>
      <c r="I1103" s="3" t="n"/>
      <c r="J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10" t="n"/>
      <c r="G1104" s="10" t="n"/>
      <c r="H1104" s="10" t="n"/>
      <c r="I1104" s="3" t="n"/>
      <c r="J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10" t="n"/>
      <c r="G1105" s="10" t="n"/>
      <c r="H1105" s="10" t="n"/>
      <c r="I1105" s="3" t="n"/>
      <c r="J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10" t="n"/>
      <c r="G1106" s="10" t="n"/>
      <c r="H1106" s="10" t="n"/>
      <c r="I1106" s="3" t="n"/>
      <c r="J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10" t="n"/>
      <c r="G1107" s="10" t="n"/>
      <c r="H1107" s="10" t="n"/>
      <c r="I1107" s="3" t="n"/>
      <c r="J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10" t="n"/>
      <c r="G1108" s="10" t="n"/>
      <c r="H1108" s="10" t="n"/>
      <c r="I1108" s="3" t="n"/>
      <c r="J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10" t="n"/>
      <c r="G1109" s="10" t="n"/>
      <c r="H1109" s="10" t="n"/>
      <c r="I1109" s="3" t="n"/>
      <c r="J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10" t="n"/>
      <c r="G1110" s="10" t="n"/>
      <c r="H1110" s="10" t="n"/>
      <c r="I1110" s="3" t="n"/>
      <c r="J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10" t="n"/>
      <c r="G1111" s="10" t="n"/>
      <c r="H1111" s="10" t="n"/>
      <c r="I1111" s="3" t="n"/>
      <c r="J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10" t="n"/>
      <c r="G1112" s="10" t="n"/>
      <c r="H1112" s="10" t="n"/>
      <c r="I1112" s="3" t="n"/>
      <c r="J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10" t="n"/>
      <c r="G1113" s="10" t="n"/>
      <c r="H1113" s="10" t="n"/>
      <c r="I1113" s="3" t="n"/>
      <c r="J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10" t="n"/>
      <c r="G1114" s="10" t="n"/>
      <c r="H1114" s="10" t="n"/>
      <c r="I1114" s="3" t="n"/>
      <c r="J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10" t="n"/>
      <c r="G1115" s="10" t="n"/>
      <c r="H1115" s="10" t="n"/>
      <c r="I1115" s="3" t="n"/>
      <c r="J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10" t="n"/>
      <c r="G1116" s="10" t="n"/>
      <c r="H1116" s="10" t="n"/>
      <c r="I1116" s="3" t="n"/>
      <c r="J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10" t="n"/>
      <c r="G1117" s="10" t="n"/>
      <c r="H1117" s="10" t="n"/>
      <c r="I1117" s="3" t="n"/>
      <c r="J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10" t="n"/>
      <c r="G1118" s="10" t="n"/>
      <c r="H1118" s="10" t="n"/>
      <c r="I1118" s="3" t="n"/>
      <c r="J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10" t="n"/>
      <c r="G1119" s="10" t="n"/>
      <c r="H1119" s="10" t="n"/>
      <c r="I1119" s="3" t="n"/>
      <c r="J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10" t="n"/>
      <c r="G1120" s="10" t="n"/>
      <c r="H1120" s="10" t="n"/>
      <c r="I1120" s="3" t="n"/>
      <c r="J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10" t="n"/>
      <c r="G1121" s="10" t="n"/>
      <c r="H1121" s="10" t="n"/>
      <c r="I1121" s="3" t="n"/>
      <c r="J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10" t="n"/>
      <c r="G1122" s="10" t="n"/>
      <c r="H1122" s="10" t="n"/>
      <c r="I1122" s="3" t="n"/>
      <c r="J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10" t="n"/>
      <c r="G1123" s="10" t="n"/>
      <c r="H1123" s="10" t="n"/>
      <c r="I1123" s="3" t="n"/>
      <c r="J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10" t="n"/>
      <c r="G1124" s="10" t="n"/>
      <c r="H1124" s="10" t="n"/>
      <c r="I1124" s="3" t="n"/>
      <c r="J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10" t="n"/>
      <c r="G1125" s="10" t="n"/>
      <c r="H1125" s="10" t="n"/>
      <c r="I1125" s="3" t="n"/>
      <c r="J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10" t="n"/>
      <c r="G1126" s="10" t="n"/>
      <c r="H1126" s="10" t="n"/>
      <c r="I1126" s="3" t="n"/>
      <c r="J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10" t="n"/>
      <c r="G1127" s="10" t="n"/>
      <c r="H1127" s="10" t="n"/>
      <c r="I1127" s="3" t="n"/>
      <c r="J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10" t="n"/>
      <c r="G1128" s="10" t="n"/>
      <c r="H1128" s="10" t="n"/>
      <c r="I1128" s="3" t="n"/>
      <c r="J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10" t="n"/>
      <c r="G1129" s="10" t="n"/>
      <c r="H1129" s="10" t="n"/>
      <c r="I1129" s="3" t="n"/>
      <c r="J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10" t="n"/>
      <c r="G1130" s="10" t="n"/>
      <c r="H1130" s="10" t="n"/>
      <c r="I1130" s="3" t="n"/>
      <c r="J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10" t="n"/>
      <c r="G1131" s="10" t="n"/>
      <c r="H1131" s="10" t="n"/>
      <c r="I1131" s="3" t="n"/>
      <c r="J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10" t="n"/>
      <c r="G1132" s="10" t="n"/>
      <c r="H1132" s="10" t="n"/>
      <c r="I1132" s="3" t="n"/>
      <c r="J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10" t="n"/>
      <c r="G1133" s="10" t="n"/>
      <c r="H1133" s="10" t="n"/>
      <c r="I1133" s="3" t="n"/>
      <c r="J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10" t="n"/>
      <c r="G1134" s="10" t="n"/>
      <c r="H1134" s="10" t="n"/>
      <c r="I1134" s="3" t="n"/>
      <c r="J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10" t="n"/>
      <c r="G1135" s="10" t="n"/>
      <c r="H1135" s="10" t="n"/>
      <c r="I1135" s="3" t="n"/>
      <c r="J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10" t="n"/>
      <c r="G1136" s="10" t="n"/>
      <c r="H1136" s="10" t="n"/>
      <c r="I1136" s="3" t="n"/>
      <c r="J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10" t="n"/>
      <c r="G1137" s="10" t="n"/>
      <c r="H1137" s="10" t="n"/>
      <c r="I1137" s="3" t="n"/>
      <c r="J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10" t="n"/>
      <c r="G1138" s="10" t="n"/>
      <c r="H1138" s="10" t="n"/>
      <c r="I1138" s="3" t="n"/>
      <c r="J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10" t="n"/>
      <c r="G1139" s="10" t="n"/>
      <c r="H1139" s="10" t="n"/>
      <c r="I1139" s="3" t="n"/>
      <c r="J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10" t="n"/>
      <c r="G1140" s="10" t="n"/>
      <c r="H1140" s="10" t="n"/>
      <c r="I1140" s="3" t="n"/>
      <c r="J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10" t="n"/>
      <c r="G1141" s="10" t="n"/>
      <c r="H1141" s="10" t="n"/>
      <c r="I1141" s="3" t="n"/>
      <c r="J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10" t="n"/>
      <c r="G1142" s="10" t="n"/>
      <c r="H1142" s="10" t="n"/>
      <c r="I1142" s="3" t="n"/>
      <c r="J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10" t="n"/>
      <c r="G1143" s="10" t="n"/>
      <c r="H1143" s="10" t="n"/>
      <c r="I1143" s="3" t="n"/>
      <c r="J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10" t="n"/>
      <c r="G1144" s="10" t="n"/>
      <c r="H1144" s="10" t="n"/>
      <c r="I1144" s="3" t="n"/>
      <c r="J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10" t="n"/>
      <c r="G1145" s="10" t="n"/>
      <c r="H1145" s="10" t="n"/>
      <c r="I1145" s="3" t="n"/>
      <c r="J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10" t="n"/>
      <c r="G1146" s="10" t="n"/>
      <c r="H1146" s="10" t="n"/>
      <c r="I1146" s="3" t="n"/>
      <c r="J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10" t="n"/>
      <c r="G1147" s="10" t="n"/>
      <c r="H1147" s="10" t="n"/>
      <c r="I1147" s="3" t="n"/>
      <c r="J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10" t="n"/>
      <c r="G1148" s="10" t="n"/>
      <c r="H1148" s="10" t="n"/>
      <c r="I1148" s="3" t="n"/>
      <c r="J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10" t="n"/>
      <c r="G1149" s="10" t="n"/>
      <c r="H1149" s="10" t="n"/>
      <c r="I1149" s="3" t="n"/>
      <c r="J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10" t="n"/>
      <c r="G1150" s="10" t="n"/>
      <c r="H1150" s="10" t="n"/>
      <c r="I1150" s="3" t="n"/>
      <c r="J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10" t="n"/>
      <c r="G1151" s="10" t="n"/>
      <c r="H1151" s="10" t="n"/>
      <c r="I1151" s="3" t="n"/>
      <c r="J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10" t="n"/>
      <c r="G1152" s="10" t="n"/>
      <c r="H1152" s="10" t="n"/>
      <c r="I1152" s="3" t="n"/>
      <c r="J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10" t="n"/>
      <c r="G1153" s="10" t="n"/>
      <c r="H1153" s="10" t="n"/>
      <c r="I1153" s="3" t="n"/>
      <c r="J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10" t="n"/>
      <c r="G1154" s="10" t="n"/>
      <c r="H1154" s="10" t="n"/>
      <c r="I1154" s="3" t="n"/>
      <c r="J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10" t="n"/>
      <c r="G1155" s="10" t="n"/>
      <c r="H1155" s="10" t="n"/>
      <c r="I1155" s="3" t="n"/>
      <c r="J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10" t="n"/>
      <c r="G1156" s="10" t="n"/>
      <c r="H1156" s="10" t="n"/>
      <c r="I1156" s="3" t="n"/>
      <c r="J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10" t="n"/>
      <c r="G1157" s="10" t="n"/>
      <c r="H1157" s="10" t="n"/>
      <c r="I1157" s="3" t="n"/>
      <c r="J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10" t="n"/>
      <c r="G1158" s="10" t="n"/>
      <c r="H1158" s="10" t="n"/>
      <c r="I1158" s="3" t="n"/>
      <c r="J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10" t="n"/>
      <c r="G1159" s="10" t="n"/>
      <c r="H1159" s="10" t="n"/>
      <c r="I1159" s="3" t="n"/>
      <c r="J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10" t="n"/>
      <c r="G1160" s="10" t="n"/>
      <c r="H1160" s="10" t="n"/>
      <c r="I1160" s="3" t="n"/>
      <c r="J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10" t="n"/>
      <c r="G1161" s="10" t="n"/>
      <c r="H1161" s="10" t="n"/>
      <c r="I1161" s="3" t="n"/>
      <c r="J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10" t="n"/>
      <c r="G1162" s="10" t="n"/>
      <c r="H1162" s="10" t="n"/>
      <c r="I1162" s="3" t="n"/>
      <c r="J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10" t="n"/>
      <c r="G1163" s="10" t="n"/>
      <c r="H1163" s="10" t="n"/>
      <c r="I1163" s="3" t="n"/>
      <c r="J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10" t="n"/>
      <c r="G1164" s="10" t="n"/>
      <c r="H1164" s="10" t="n"/>
      <c r="I1164" s="3" t="n"/>
      <c r="J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10" t="n"/>
      <c r="G1165" s="10" t="n"/>
      <c r="H1165" s="10" t="n"/>
      <c r="I1165" s="3" t="n"/>
      <c r="J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10" t="n"/>
      <c r="G1166" s="10" t="n"/>
      <c r="H1166" s="10" t="n"/>
      <c r="I1166" s="3" t="n"/>
      <c r="J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10" t="n"/>
      <c r="G1167" s="10" t="n"/>
      <c r="H1167" s="10" t="n"/>
      <c r="I1167" s="3" t="n"/>
      <c r="J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10" t="n"/>
      <c r="G1168" s="10" t="n"/>
      <c r="H1168" s="10" t="n"/>
      <c r="I1168" s="3" t="n"/>
      <c r="J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10" t="n"/>
      <c r="G1169" s="10" t="n"/>
      <c r="H1169" s="10" t="n"/>
      <c r="I1169" s="3" t="n"/>
      <c r="J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10" t="n"/>
      <c r="G1170" s="10" t="n"/>
      <c r="H1170" s="10" t="n"/>
      <c r="I1170" s="3" t="n"/>
      <c r="J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10" t="n"/>
      <c r="G1171" s="10" t="n"/>
      <c r="H1171" s="10" t="n"/>
      <c r="I1171" s="3" t="n"/>
      <c r="J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10" t="n"/>
      <c r="G1172" s="10" t="n"/>
      <c r="H1172" s="10" t="n"/>
      <c r="I1172" s="3" t="n"/>
      <c r="J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10" t="n"/>
      <c r="G1173" s="10" t="n"/>
      <c r="H1173" s="10" t="n"/>
      <c r="I1173" s="3" t="n"/>
      <c r="J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10" t="n"/>
      <c r="G1174" s="10" t="n"/>
      <c r="H1174" s="10" t="n"/>
      <c r="I1174" s="3" t="n"/>
      <c r="J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10" t="n"/>
      <c r="G1175" s="10" t="n"/>
      <c r="H1175" s="10" t="n"/>
      <c r="I1175" s="3" t="n"/>
      <c r="J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10" t="n"/>
      <c r="G1176" s="10" t="n"/>
      <c r="H1176" s="10" t="n"/>
      <c r="I1176" s="3" t="n"/>
      <c r="J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10" t="n"/>
      <c r="G1177" s="10" t="n"/>
      <c r="H1177" s="10" t="n"/>
      <c r="I1177" s="3" t="n"/>
      <c r="J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10" t="n"/>
      <c r="G1178" s="10" t="n"/>
      <c r="H1178" s="10" t="n"/>
      <c r="I1178" s="3" t="n"/>
      <c r="J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10" t="n"/>
      <c r="G1179" s="10" t="n"/>
      <c r="H1179" s="10" t="n"/>
      <c r="I1179" s="3" t="n"/>
      <c r="J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10" t="n"/>
      <c r="G1180" s="10" t="n"/>
      <c r="H1180" s="10" t="n"/>
      <c r="I1180" s="3" t="n"/>
      <c r="J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10" t="n"/>
      <c r="G1181" s="10" t="n"/>
      <c r="H1181" s="10" t="n"/>
      <c r="I1181" s="3" t="n"/>
      <c r="J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10" t="n"/>
      <c r="G1182" s="10" t="n"/>
      <c r="H1182" s="10" t="n"/>
      <c r="I1182" s="3" t="n"/>
      <c r="J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10" t="n"/>
      <c r="G1183" s="10" t="n"/>
      <c r="H1183" s="10" t="n"/>
      <c r="I1183" s="3" t="n"/>
      <c r="J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10" t="n"/>
      <c r="G1184" s="10" t="n"/>
      <c r="H1184" s="10" t="n"/>
      <c r="I1184" s="3" t="n"/>
      <c r="J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10" t="n"/>
      <c r="G1185" s="10" t="n"/>
      <c r="H1185" s="10" t="n"/>
      <c r="I1185" s="3" t="n"/>
      <c r="J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10" t="n"/>
      <c r="G1186" s="10" t="n"/>
      <c r="H1186" s="10" t="n"/>
      <c r="I1186" s="3" t="n"/>
      <c r="J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10" t="n"/>
      <c r="G1187" s="10" t="n"/>
      <c r="H1187" s="10" t="n"/>
      <c r="I1187" s="3" t="n"/>
      <c r="J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10" t="n"/>
      <c r="G1188" s="10" t="n"/>
      <c r="H1188" s="10" t="n"/>
      <c r="I1188" s="3" t="n"/>
      <c r="J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10" t="n"/>
      <c r="G1189" s="10" t="n"/>
      <c r="H1189" s="10" t="n"/>
      <c r="I1189" s="3" t="n"/>
      <c r="J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10" t="n"/>
      <c r="G1190" s="10" t="n"/>
      <c r="H1190" s="10" t="n"/>
      <c r="I1190" s="3" t="n"/>
      <c r="J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10" t="n"/>
      <c r="G1191" s="10" t="n"/>
      <c r="H1191" s="10" t="n"/>
      <c r="I1191" s="3" t="n"/>
      <c r="J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10" t="n"/>
      <c r="G1192" s="10" t="n"/>
      <c r="H1192" s="10" t="n"/>
      <c r="I1192" s="3" t="n"/>
      <c r="J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10" t="n"/>
      <c r="G1193" s="10" t="n"/>
      <c r="H1193" s="10" t="n"/>
      <c r="I1193" s="3" t="n"/>
      <c r="J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10" t="n"/>
      <c r="G1194" s="10" t="n"/>
      <c r="H1194" s="10" t="n"/>
      <c r="I1194" s="3" t="n"/>
      <c r="J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10" t="n"/>
      <c r="G1195" s="10" t="n"/>
      <c r="H1195" s="10" t="n"/>
      <c r="I1195" s="3" t="n"/>
      <c r="J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10" t="n"/>
      <c r="G1196" s="10" t="n"/>
      <c r="H1196" s="10" t="n"/>
      <c r="I1196" s="3" t="n"/>
      <c r="J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10" t="n"/>
      <c r="G1197" s="10" t="n"/>
      <c r="H1197" s="10" t="n"/>
      <c r="I1197" s="3" t="n"/>
      <c r="J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10" t="n"/>
      <c r="G1198" s="10" t="n"/>
      <c r="H1198" s="10" t="n"/>
      <c r="I1198" s="3" t="n"/>
      <c r="J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10" t="n"/>
      <c r="G1199" s="10" t="n"/>
      <c r="H1199" s="10" t="n"/>
      <c r="I1199" s="3" t="n"/>
      <c r="J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10" t="n"/>
      <c r="G1200" s="10" t="n"/>
      <c r="H1200" s="10" t="n"/>
      <c r="I1200" s="3" t="n"/>
      <c r="J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10" t="n"/>
      <c r="G1201" s="10" t="n"/>
      <c r="H1201" s="10" t="n"/>
      <c r="I1201" s="3" t="n"/>
      <c r="J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10" t="n"/>
      <c r="G1202" s="10" t="n"/>
      <c r="H1202" s="10" t="n"/>
      <c r="I1202" s="3" t="n"/>
      <c r="J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10" t="n"/>
      <c r="G1203" s="10" t="n"/>
      <c r="H1203" s="10" t="n"/>
      <c r="I1203" s="3" t="n"/>
      <c r="J1203" s="3">
        <f>IF($A1203="","",$A1203&amp;IF($B1203="","0010",$B1203))</f>
        <v/>
      </c>
    </row>
    <row r="1204">
      <c r="A1204" s="3" t="n"/>
      <c r="B1204" s="3" t="n"/>
      <c r="C1204" s="3" t="n"/>
      <c r="D1204" s="3" t="n"/>
      <c r="E1204" s="3" t="n"/>
      <c r="F1204" s="10" t="n"/>
      <c r="G1204" s="10" t="n"/>
      <c r="H1204" s="10" t="n"/>
      <c r="I1204" s="3" t="n"/>
      <c r="J1204" s="3">
        <f>IF($A1204="","",$A1204&amp;IF($B1204="","0010",$B1204))</f>
        <v/>
      </c>
    </row>
    <row r="1205">
      <c r="A1205" s="3" t="n"/>
      <c r="B1205" s="3" t="n"/>
      <c r="C1205" s="3" t="n"/>
      <c r="D1205" s="3" t="n"/>
      <c r="E1205" s="3" t="n"/>
      <c r="F1205" s="10" t="n"/>
      <c r="G1205" s="10" t="n"/>
      <c r="H1205" s="10" t="n"/>
      <c r="I1205" s="3" t="n"/>
      <c r="J1205" s="3">
        <f>IF($A1205="","",$A1205&amp;IF($B1205="","0010",$B1205))</f>
        <v/>
      </c>
    </row>
    <row r="1206">
      <c r="A1206" s="3" t="n"/>
      <c r="B1206" s="3" t="n"/>
      <c r="C1206" s="3" t="n"/>
      <c r="D1206" s="3" t="n"/>
      <c r="E1206" s="3" t="n"/>
      <c r="F1206" s="10" t="n"/>
      <c r="G1206" s="10" t="n"/>
      <c r="H1206" s="10" t="n"/>
      <c r="I1206" s="3" t="n"/>
      <c r="J1206" s="3">
        <f>IF($A1206="","",$A1206&amp;IF($B1206="","0010",$B1206))</f>
        <v/>
      </c>
    </row>
    <row r="1207">
      <c r="A1207" s="3" t="n"/>
      <c r="B1207" s="3" t="n"/>
      <c r="C1207" s="3" t="n"/>
      <c r="D1207" s="3" t="n"/>
      <c r="E1207" s="3" t="n"/>
      <c r="F1207" s="10" t="n"/>
      <c r="G1207" s="10" t="n"/>
      <c r="H1207" s="10" t="n"/>
      <c r="I1207" s="3" t="n"/>
      <c r="J1207" s="3">
        <f>IF($A1207="","",$A1207&amp;IF($B1207="","0010",$B1207))</f>
        <v/>
      </c>
    </row>
    <row r="1208">
      <c r="A1208" s="3" t="n"/>
      <c r="B1208" s="3" t="n"/>
      <c r="C1208" s="3" t="n"/>
      <c r="D1208" s="3" t="n"/>
      <c r="E1208" s="3" t="n"/>
      <c r="F1208" s="10" t="n"/>
      <c r="G1208" s="10" t="n"/>
      <c r="H1208" s="10" t="n"/>
      <c r="I1208" s="3" t="n"/>
      <c r="J1208" s="3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N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2" customWidth="1" min="27" max="27"/>
    <col width="14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5" customWidth="1" min="40" max="40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clasificacion</t>
        </is>
      </c>
      <c r="T3" s="5" t="inlineStr">
        <is>
          <t>linea</t>
        </is>
      </c>
      <c r="U3" s="5" t="inlineStr">
        <is>
          <t>area</t>
        </is>
      </c>
      <c r="V3" s="5" t="inlineStr">
        <is>
          <t>coordinador</t>
        </is>
      </c>
      <c r="W3" s="5" t="inlineStr">
        <is>
          <t>especialidad</t>
        </is>
      </c>
      <c r="X3" s="5" t="inlineStr">
        <is>
          <t>actividad</t>
        </is>
      </c>
      <c r="Y3" s="5" t="inlineStr">
        <is>
          <t>backlog_dias</t>
        </is>
      </c>
      <c r="Z3" s="5" t="inlineStr">
        <is>
          <t>estado_backlog</t>
        </is>
      </c>
      <c r="AA3" s="5" t="inlineStr">
        <is>
          <t>en_plan</t>
        </is>
      </c>
      <c r="AB3" s="5" t="inlineStr">
        <is>
          <t>tecnico_asignado</t>
        </is>
      </c>
      <c r="AC3" s="5" t="inlineStr">
        <is>
          <t>turno_asignado</t>
        </is>
      </c>
      <c r="AD3" s="5" t="inlineStr">
        <is>
          <t>HHA</t>
        </is>
      </c>
      <c r="AE3" s="5" t="inlineStr">
        <is>
          <t>HHD</t>
        </is>
      </c>
      <c r="AF3" s="5" t="inlineStr">
        <is>
          <t>costo_servicio</t>
        </is>
      </c>
      <c r="AG3" s="5" t="inlineStr">
        <is>
          <t>costo_materiales</t>
        </is>
      </c>
      <c r="AH3" s="5" t="inlineStr">
        <is>
          <t>costo_total</t>
        </is>
      </c>
      <c r="AI3" s="5" t="inlineStr">
        <is>
          <t>permiso_requerido</t>
        </is>
      </c>
      <c r="AJ3" s="5" t="inlineStr">
        <is>
          <t>bloqueo_energia</t>
        </is>
      </c>
      <c r="AK3" s="5" t="inlineStr">
        <is>
          <t>link_checklist</t>
        </is>
      </c>
      <c r="AL3" s="5" t="inlineStr">
        <is>
          <t>abrir_checklist</t>
        </is>
      </c>
      <c r="AM3" s="5" t="inlineStr">
        <is>
          <t>observaciones</t>
        </is>
      </c>
      <c r="AN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1" t="n">
        <v>46216</v>
      </c>
      <c r="K4" s="3" t="n">
        <v>10</v>
      </c>
      <c r="L4" s="10" t="n">
        <v>250</v>
      </c>
      <c r="M4" s="3">
        <f>IF($A4="","",IFERROR(INDEX('AJUSTES'!$B$4:$B$303,MATCH($AN4,'AJUSTES'!$A$4:$A$303,0)),IF($K4="","",$K4)))</f>
        <v/>
      </c>
      <c r="N4" s="3">
        <f>IF($A4="","",IFERROR(INDEX('CAT_ESTADOS_ERP'!$B$4:$B$7,MATCH(IFERROR(INDEX('2_IMPORTAR_EJECUCION'!$C$9:$C$1208,MATCH($AN4,'2_IMPORTAR_EJECUCION'!$J$9:$J$1208,0)),""),'CAT_ESTADOS_ERP'!$A$4:$A$7,0)),"Pendiente"))</f>
        <v/>
      </c>
      <c r="O4" s="3">
        <f>IF($J4="","",YEAR($J4+4-WEEKDAY($J4,2))&amp;"-S"&amp;TEXT(_xlfn.ISOWEEKNUM($J4),"00"))</f>
        <v/>
      </c>
      <c r="P4" s="3">
        <f>IF($J4="","",YEAR($J4))</f>
        <v/>
      </c>
      <c r="Q4" s="3">
        <f>IF($J4="","",MONTH($J4))</f>
        <v/>
      </c>
      <c r="R4" s="3">
        <f>IF($J4="","",INDEX(lista_dias,WEEKDAY($J4,2)))</f>
        <v/>
      </c>
      <c r="S4" s="3">
        <f>IF($I4="","",IFERROR(INDEX('CAT_TIPOS_OT'!$C$4:$C$7,MATCH($I4,'CAT_TIPOS_OT'!$A$4:$A$7,0)),"sin_clasificar"))</f>
        <v/>
      </c>
      <c r="T4" s="3">
        <f>IF($F4="","",IFERROR(INDEX('CAT_CENTROS_COSTO'!$E$4:$E$9,MATCH($F4,'CAT_CENTROS_COSTO'!$A$4:$A$9,0)),"(sin catálogo)"))</f>
        <v/>
      </c>
      <c r="U4" s="3">
        <f>IF($F4="","",IFERROR(INDEX('CAT_CENTROS_COSTO'!$D$4:$D$9,MATCH($F4,'CAT_CENTROS_COSTO'!$A$4:$A$9,0)),"(sin catálogo)"))</f>
        <v/>
      </c>
      <c r="V4" s="3">
        <f>IF($F4="","",IFERROR(INDEX('CAT_CENTROS_COSTO'!$F$4:$F$9,MATCH($F4,'CAT_CENTROS_COSTO'!$A$4:$A$9,0)),"(sin catálogo)"))</f>
        <v/>
      </c>
      <c r="W4" s="3">
        <f>IF($G4="","",IFERROR(INDEX('CAT_PUESTOS'!$B$4:$B$8,MATCH($G4,'CAT_PUESTOS'!$A$4:$A$8,0)),"(sin catálogo)"))</f>
        <v/>
      </c>
      <c r="X4" s="3">
        <f>IF($H4="","",IFERROR(INDEX('CAT_ACTIVIDADES'!$B$4:$B$8,MATCH($H4,'CAT_ACTIVIDADES'!$A$4:$A$8,0)),"(sin catálogo)"))</f>
        <v/>
      </c>
      <c r="Y4" s="12">
        <f>IF($J4="","",TODAY()-$J4)</f>
        <v/>
      </c>
      <c r="Z4" s="3">
        <f>IF($Y4="","",IF($Y4&lt;0,"FUTURO",IF($Y4&gt;p_dias_backlog_max,"BACKLOG","MES CORRIENTE")))</f>
        <v/>
      </c>
      <c r="AA4" s="3">
        <f>IF($Y4="",FALSE,AND($Y4&gt;p_dias_backlog_min,$Y4&lt;=p_dias_backlog_max))</f>
        <v/>
      </c>
      <c r="AB4" s="6" t="inlineStr">
        <is>
          <t>Técnico 01</t>
        </is>
      </c>
      <c r="AC4" s="3">
        <f>IF($AB4="","",IFERROR(INDEX('ASIGNACIONES'!$F$4:$F$339,MATCH($O4&amp;"|"&amp;$R4&amp;"|"&amp;$AB4,'ASIGNACIONES'!$I$4:$I$339,0)),""))</f>
        <v/>
      </c>
      <c r="AD4" s="13">
        <f>IF($AB4="","",SUMIFS('ORDENES'!$M$4:$M$1203,'ORDENES'!$AB$4:$AB$1203,$AB4,'ORDENES'!$O$4:$O$1203,$O4,'ORDENES'!$R$4:$R$1203,$R4))</f>
        <v/>
      </c>
      <c r="AE4" s="13">
        <f>IF($AD4="","",p_factor_productividad*IFERROR(INDEX('ASIGNACIONES'!$H$4:$H$339,MATCH($O4&amp;"|"&amp;$R4&amp;"|"&amp;$AB4,'ASIGNACIONES'!$I$4:$I$339,0)),0)-$AD4)</f>
        <v/>
      </c>
      <c r="AF4" s="10">
        <f>IF($A4="","",IFERROR(INDEX('2_IMPORTAR_EJECUCION'!$F$9:$F$1208,MATCH($AN4,'2_IMPORTAR_EJECUCION'!$J$9:$J$1208,0)),0))</f>
        <v/>
      </c>
      <c r="AG4" s="10">
        <f>IF($A4="","",MAX(0,IFERROR(INDEX('2_IMPORTAR_EJECUCION'!$H$9:$H$1208,MATCH($AN4,'2_IMPORTAR_EJECUCION'!$J$9:$J$1208,0)),0)-$AF4))</f>
        <v/>
      </c>
      <c r="AH4" s="10">
        <f>IF($A4="","",$AF4+$AG4)</f>
        <v/>
      </c>
      <c r="AI4" s="6" t="inlineStr"/>
      <c r="AJ4" s="6" t="inlineStr"/>
      <c r="AK4" s="6" t="inlineStr">
        <is>
          <t>ACT-02.pdf</t>
        </is>
      </c>
      <c r="AL4" s="3">
        <f>IF($AK4="","",HYPERLINK(p_ruta_base_checklists&amp;$AK4,"abrir"))</f>
        <v/>
      </c>
      <c r="AM4" s="6" t="inlineStr"/>
      <c r="AN4" s="3">
        <f>IF($A4="","",$A4&amp;IF($B4="","0010",$B4))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1" t="n">
        <v>46217</v>
      </c>
      <c r="K5" s="3" t="n">
        <v>8</v>
      </c>
      <c r="L5" s="10" t="n">
        <v>200</v>
      </c>
      <c r="M5" s="3">
        <f>IF($A5="","",IFERROR(INDEX('AJUSTES'!$B$4:$B$303,MATCH($AN5,'AJUSTES'!$A$4:$A$303,0)),IF($K5="","",$K5)))</f>
        <v/>
      </c>
      <c r="N5" s="3">
        <f>IF($A5="","",IFERROR(INDEX('CAT_ESTADOS_ERP'!$B$4:$B$7,MATCH(IFERROR(INDEX('2_IMPORTAR_EJECUCION'!$C$9:$C$1208,MATCH($AN5,'2_IMPORTAR_EJECUCION'!$J$9:$J$1208,0)),""),'CAT_ESTADOS_ERP'!$A$4:$A$7,0)),"Pendiente"))</f>
        <v/>
      </c>
      <c r="O5" s="3">
        <f>IF($J5="","",YEAR($J5+4-WEEKDAY($J5,2))&amp;"-S"&amp;TEXT(_xlfn.ISOWEEKNUM($J5),"00"))</f>
        <v/>
      </c>
      <c r="P5" s="3">
        <f>IF($J5="","",YEAR($J5))</f>
        <v/>
      </c>
      <c r="Q5" s="3">
        <f>IF($J5="","",MONTH($J5))</f>
        <v/>
      </c>
      <c r="R5" s="3">
        <f>IF($J5="","",INDEX(lista_dias,WEEKDAY($J5,2)))</f>
        <v/>
      </c>
      <c r="S5" s="3">
        <f>IF($I5="","",IFERROR(INDEX('CAT_TIPOS_OT'!$C$4:$C$7,MATCH($I5,'CAT_TIPOS_OT'!$A$4:$A$7,0)),"sin_clasificar"))</f>
        <v/>
      </c>
      <c r="T5" s="3">
        <f>IF($F5="","",IFERROR(INDEX('CAT_CENTROS_COSTO'!$E$4:$E$9,MATCH($F5,'CAT_CENTROS_COSTO'!$A$4:$A$9,0)),"(sin catálogo)"))</f>
        <v/>
      </c>
      <c r="U5" s="3">
        <f>IF($F5="","",IFERROR(INDEX('CAT_CENTROS_COSTO'!$D$4:$D$9,MATCH($F5,'CAT_CENTROS_COSTO'!$A$4:$A$9,0)),"(sin catálogo)"))</f>
        <v/>
      </c>
      <c r="V5" s="3">
        <f>IF($F5="","",IFERROR(INDEX('CAT_CENTROS_COSTO'!$F$4:$F$9,MATCH($F5,'CAT_CENTROS_COSTO'!$A$4:$A$9,0)),"(sin catálogo)"))</f>
        <v/>
      </c>
      <c r="W5" s="3">
        <f>IF($G5="","",IFERROR(INDEX('CAT_PUESTOS'!$B$4:$B$8,MATCH($G5,'CAT_PUESTOS'!$A$4:$A$8,0)),"(sin catálogo)"))</f>
        <v/>
      </c>
      <c r="X5" s="3">
        <f>IF($H5="","",IFERROR(INDEX('CAT_ACTIVIDADES'!$B$4:$B$8,MATCH($H5,'CAT_ACTIVIDADES'!$A$4:$A$8,0)),"(sin catálogo)"))</f>
        <v/>
      </c>
      <c r="Y5" s="12">
        <f>IF($J5="","",TODAY()-$J5)</f>
        <v/>
      </c>
      <c r="Z5" s="3">
        <f>IF($Y5="","",IF($Y5&lt;0,"FUTURO",IF($Y5&gt;p_dias_backlog_max,"BACKLOG","MES CORRIENTE")))</f>
        <v/>
      </c>
      <c r="AA5" s="3">
        <f>IF($Y5="",FALSE,AND($Y5&gt;p_dias_backlog_min,$Y5&lt;=p_dias_backlog_max))</f>
        <v/>
      </c>
      <c r="AB5" s="6" t="inlineStr">
        <is>
          <t>Técnico 02</t>
        </is>
      </c>
      <c r="AC5" s="3">
        <f>IF($AB5="","",IFERROR(INDEX('ASIGNACIONES'!$F$4:$F$339,MATCH($O5&amp;"|"&amp;$R5&amp;"|"&amp;$AB5,'ASIGNACIONES'!$I$4:$I$339,0)),""))</f>
        <v/>
      </c>
      <c r="AD5" s="13">
        <f>IF($AB5="","",SUMIFS('ORDENES'!$M$4:$M$1203,'ORDENES'!$AB$4:$AB$1203,$AB5,'ORDENES'!$O$4:$O$1203,$O5,'ORDENES'!$R$4:$R$1203,$R5))</f>
        <v/>
      </c>
      <c r="AE5" s="13">
        <f>IF($AD5="","",p_factor_productividad*IFERROR(INDEX('ASIGNACIONES'!$H$4:$H$339,MATCH($O5&amp;"|"&amp;$R5&amp;"|"&amp;$AB5,'ASIGNACIONES'!$I$4:$I$339,0)),0)-$AD5)</f>
        <v/>
      </c>
      <c r="AF5" s="10">
        <f>IF($A5="","",IFERROR(INDEX('2_IMPORTAR_EJECUCION'!$F$9:$F$1208,MATCH($AN5,'2_IMPORTAR_EJECUCION'!$J$9:$J$1208,0)),0))</f>
        <v/>
      </c>
      <c r="AG5" s="10">
        <f>IF($A5="","",MAX(0,IFERROR(INDEX('2_IMPORTAR_EJECUCION'!$H$9:$H$1208,MATCH($AN5,'2_IMPORTAR_EJECUCION'!$J$9:$J$1208,0)),0)-$AF5))</f>
        <v/>
      </c>
      <c r="AH5" s="10">
        <f>IF($A5="","",$AF5+$AG5)</f>
        <v/>
      </c>
      <c r="AI5" s="6" t="inlineStr"/>
      <c r="AJ5" s="6" t="inlineStr"/>
      <c r="AK5" s="6" t="inlineStr">
        <is>
          <t>ACT-04.pdf</t>
        </is>
      </c>
      <c r="AL5" s="3">
        <f>IF($AK5="","",HYPERLINK(p_ruta_base_checklists&amp;$AK5,"abrir"))</f>
        <v/>
      </c>
      <c r="AM5" s="6" t="inlineStr"/>
      <c r="AN5" s="3">
        <f>IF($A5="","",$A5&amp;IF($B5="","0010",$B5))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1" t="n">
        <v>46218</v>
      </c>
      <c r="K6" s="3" t="n">
        <v>6</v>
      </c>
      <c r="L6" s="10" t="n">
        <v>150</v>
      </c>
      <c r="M6" s="3">
        <f>IF($A6="","",IFERROR(INDEX('AJUSTES'!$B$4:$B$303,MATCH($AN6,'AJUSTES'!$A$4:$A$303,0)),IF($K6="","",$K6)))</f>
        <v/>
      </c>
      <c r="N6" s="3">
        <f>IF($A6="","",IFERROR(INDEX('CAT_ESTADOS_ERP'!$B$4:$B$7,MATCH(IFERROR(INDEX('2_IMPORTAR_EJECUCION'!$C$9:$C$1208,MATCH($AN6,'2_IMPORTAR_EJECUCION'!$J$9:$J$1208,0)),""),'CAT_ESTADOS_ERP'!$A$4:$A$7,0)),"Pendiente"))</f>
        <v/>
      </c>
      <c r="O6" s="3">
        <f>IF($J6="","",YEAR($J6+4-WEEKDAY($J6,2))&amp;"-S"&amp;TEXT(_xlfn.ISOWEEKNUM($J6),"00"))</f>
        <v/>
      </c>
      <c r="P6" s="3">
        <f>IF($J6="","",YEAR($J6))</f>
        <v/>
      </c>
      <c r="Q6" s="3">
        <f>IF($J6="","",MONTH($J6))</f>
        <v/>
      </c>
      <c r="R6" s="3">
        <f>IF($J6="","",INDEX(lista_dias,WEEKDAY($J6,2)))</f>
        <v/>
      </c>
      <c r="S6" s="3">
        <f>IF($I6="","",IFERROR(INDEX('CAT_TIPOS_OT'!$C$4:$C$7,MATCH($I6,'CAT_TIPOS_OT'!$A$4:$A$7,0)),"sin_clasificar"))</f>
        <v/>
      </c>
      <c r="T6" s="3">
        <f>IF($F6="","",IFERROR(INDEX('CAT_CENTROS_COSTO'!$E$4:$E$9,MATCH($F6,'CAT_CENTROS_COSTO'!$A$4:$A$9,0)),"(sin catálogo)"))</f>
        <v/>
      </c>
      <c r="U6" s="3">
        <f>IF($F6="","",IFERROR(INDEX('CAT_CENTROS_COSTO'!$D$4:$D$9,MATCH($F6,'CAT_CENTROS_COSTO'!$A$4:$A$9,0)),"(sin catálogo)"))</f>
        <v/>
      </c>
      <c r="V6" s="3">
        <f>IF($F6="","",IFERROR(INDEX('CAT_CENTROS_COSTO'!$F$4:$F$9,MATCH($F6,'CAT_CENTROS_COSTO'!$A$4:$A$9,0)),"(sin catálogo)"))</f>
        <v/>
      </c>
      <c r="W6" s="3">
        <f>IF($G6="","",IFERROR(INDEX('CAT_PUESTOS'!$B$4:$B$8,MATCH($G6,'CAT_PUESTOS'!$A$4:$A$8,0)),"(sin catálogo)"))</f>
        <v/>
      </c>
      <c r="X6" s="3">
        <f>IF($H6="","",IFERROR(INDEX('CAT_ACTIVIDADES'!$B$4:$B$8,MATCH($H6,'CAT_ACTIVIDADES'!$A$4:$A$8,0)),"(sin catálogo)"))</f>
        <v/>
      </c>
      <c r="Y6" s="12">
        <f>IF($J6="","",TODAY()-$J6)</f>
        <v/>
      </c>
      <c r="Z6" s="3">
        <f>IF($Y6="","",IF($Y6&lt;0,"FUTURO",IF($Y6&gt;p_dias_backlog_max,"BACKLOG","MES CORRIENTE")))</f>
        <v/>
      </c>
      <c r="AA6" s="3">
        <f>IF($Y6="",FALSE,AND($Y6&gt;p_dias_backlog_min,$Y6&lt;=p_dias_backlog_max))</f>
        <v/>
      </c>
      <c r="AB6" s="6" t="inlineStr">
        <is>
          <t>Técnico 03</t>
        </is>
      </c>
      <c r="AC6" s="3">
        <f>IF($AB6="","",IFERROR(INDEX('ASIGNACIONES'!$F$4:$F$339,MATCH($O6&amp;"|"&amp;$R6&amp;"|"&amp;$AB6,'ASIGNACIONES'!$I$4:$I$339,0)),""))</f>
        <v/>
      </c>
      <c r="AD6" s="13">
        <f>IF($AB6="","",SUMIFS('ORDENES'!$M$4:$M$1203,'ORDENES'!$AB$4:$AB$1203,$AB6,'ORDENES'!$O$4:$O$1203,$O6,'ORDENES'!$R$4:$R$1203,$R6))</f>
        <v/>
      </c>
      <c r="AE6" s="13">
        <f>IF($AD6="","",p_factor_productividad*IFERROR(INDEX('ASIGNACIONES'!$H$4:$H$339,MATCH($O6&amp;"|"&amp;$R6&amp;"|"&amp;$AB6,'ASIGNACIONES'!$I$4:$I$339,0)),0)-$AD6)</f>
        <v/>
      </c>
      <c r="AF6" s="10">
        <f>IF($A6="","",IFERROR(INDEX('2_IMPORTAR_EJECUCION'!$F$9:$F$1208,MATCH($AN6,'2_IMPORTAR_EJECUCION'!$J$9:$J$1208,0)),0))</f>
        <v/>
      </c>
      <c r="AG6" s="10">
        <f>IF($A6="","",MAX(0,IFERROR(INDEX('2_IMPORTAR_EJECUCION'!$H$9:$H$1208,MATCH($AN6,'2_IMPORTAR_EJECUCION'!$J$9:$J$1208,0)),0)-$AF6))</f>
        <v/>
      </c>
      <c r="AH6" s="10">
        <f>IF($A6="","",$AF6+$AG6)</f>
        <v/>
      </c>
      <c r="AI6" s="6" t="inlineStr"/>
      <c r="AJ6" s="6" t="inlineStr"/>
      <c r="AK6" s="6" t="inlineStr">
        <is>
          <t>ACT-01.pdf</t>
        </is>
      </c>
      <c r="AL6" s="3">
        <f>IF($AK6="","",HYPERLINK(p_ruta_base_checklists&amp;$AK6,"abrir"))</f>
        <v/>
      </c>
      <c r="AM6" s="6" t="inlineStr"/>
      <c r="AN6" s="3">
        <f>IF($A6="","",$A6&amp;IF($B6="","0010",$B6))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1" t="n">
        <v>46219</v>
      </c>
      <c r="K7" s="3" t="n">
        <v>10</v>
      </c>
      <c r="L7" s="10" t="n">
        <v>250</v>
      </c>
      <c r="M7" s="3">
        <f>IF($A7="","",IFERROR(INDEX('AJUSTES'!$B$4:$B$303,MATCH($AN7,'AJUSTES'!$A$4:$A$303,0)),IF($K7="","",$K7)))</f>
        <v/>
      </c>
      <c r="N7" s="3">
        <f>IF($A7="","",IFERROR(INDEX('CAT_ESTADOS_ERP'!$B$4:$B$7,MATCH(IFERROR(INDEX('2_IMPORTAR_EJECUCION'!$C$9:$C$1208,MATCH($AN7,'2_IMPORTAR_EJECUCION'!$J$9:$J$1208,0)),""),'CAT_ESTADOS_ERP'!$A$4:$A$7,0)),"Pendiente"))</f>
        <v/>
      </c>
      <c r="O7" s="3">
        <f>IF($J7="","",YEAR($J7+4-WEEKDAY($J7,2))&amp;"-S"&amp;TEXT(_xlfn.ISOWEEKNUM($J7),"00"))</f>
        <v/>
      </c>
      <c r="P7" s="3">
        <f>IF($J7="","",YEAR($J7))</f>
        <v/>
      </c>
      <c r="Q7" s="3">
        <f>IF($J7="","",MONTH($J7))</f>
        <v/>
      </c>
      <c r="R7" s="3">
        <f>IF($J7="","",INDEX(lista_dias,WEEKDAY($J7,2)))</f>
        <v/>
      </c>
      <c r="S7" s="3">
        <f>IF($I7="","",IFERROR(INDEX('CAT_TIPOS_OT'!$C$4:$C$7,MATCH($I7,'CAT_TIPOS_OT'!$A$4:$A$7,0)),"sin_clasificar"))</f>
        <v/>
      </c>
      <c r="T7" s="3">
        <f>IF($F7="","",IFERROR(INDEX('CAT_CENTROS_COSTO'!$E$4:$E$9,MATCH($F7,'CAT_CENTROS_COSTO'!$A$4:$A$9,0)),"(sin catálogo)"))</f>
        <v/>
      </c>
      <c r="U7" s="3">
        <f>IF($F7="","",IFERROR(INDEX('CAT_CENTROS_COSTO'!$D$4:$D$9,MATCH($F7,'CAT_CENTROS_COSTO'!$A$4:$A$9,0)),"(sin catálogo)"))</f>
        <v/>
      </c>
      <c r="V7" s="3">
        <f>IF($F7="","",IFERROR(INDEX('CAT_CENTROS_COSTO'!$F$4:$F$9,MATCH($F7,'CAT_CENTROS_COSTO'!$A$4:$A$9,0)),"(sin catálogo)"))</f>
        <v/>
      </c>
      <c r="W7" s="3">
        <f>IF($G7="","",IFERROR(INDEX('CAT_PUESTOS'!$B$4:$B$8,MATCH($G7,'CAT_PUESTOS'!$A$4:$A$8,0)),"(sin catálogo)"))</f>
        <v/>
      </c>
      <c r="X7" s="3">
        <f>IF($H7="","",IFERROR(INDEX('CAT_ACTIVIDADES'!$B$4:$B$8,MATCH($H7,'CAT_ACTIVIDADES'!$A$4:$A$8,0)),"(sin catálogo)"))</f>
        <v/>
      </c>
      <c r="Y7" s="12">
        <f>IF($J7="","",TODAY()-$J7)</f>
        <v/>
      </c>
      <c r="Z7" s="3">
        <f>IF($Y7="","",IF($Y7&lt;0,"FUTURO",IF($Y7&gt;p_dias_backlog_max,"BACKLOG","MES CORRIENTE")))</f>
        <v/>
      </c>
      <c r="AA7" s="3">
        <f>IF($Y7="",FALSE,AND($Y7&gt;p_dias_backlog_min,$Y7&lt;=p_dias_backlog_max))</f>
        <v/>
      </c>
      <c r="AB7" s="6" t="inlineStr">
        <is>
          <t>Técnico 04</t>
        </is>
      </c>
      <c r="AC7" s="3">
        <f>IF($AB7="","",IFERROR(INDEX('ASIGNACIONES'!$F$4:$F$339,MATCH($O7&amp;"|"&amp;$R7&amp;"|"&amp;$AB7,'ASIGNACIONES'!$I$4:$I$339,0)),""))</f>
        <v/>
      </c>
      <c r="AD7" s="13">
        <f>IF($AB7="","",SUMIFS('ORDENES'!$M$4:$M$1203,'ORDENES'!$AB$4:$AB$1203,$AB7,'ORDENES'!$O$4:$O$1203,$O7,'ORDENES'!$R$4:$R$1203,$R7))</f>
        <v/>
      </c>
      <c r="AE7" s="13">
        <f>IF($AD7="","",p_factor_productividad*IFERROR(INDEX('ASIGNACIONES'!$H$4:$H$339,MATCH($O7&amp;"|"&amp;$R7&amp;"|"&amp;$AB7,'ASIGNACIONES'!$I$4:$I$339,0)),0)-$AD7)</f>
        <v/>
      </c>
      <c r="AF7" s="10">
        <f>IF($A7="","",IFERROR(INDEX('2_IMPORTAR_EJECUCION'!$F$9:$F$1208,MATCH($AN7,'2_IMPORTAR_EJECUCION'!$J$9:$J$1208,0)),0))</f>
        <v/>
      </c>
      <c r="AG7" s="10">
        <f>IF($A7="","",MAX(0,IFERROR(INDEX('2_IMPORTAR_EJECUCION'!$H$9:$H$1208,MATCH($AN7,'2_IMPORTAR_EJECUCION'!$J$9:$J$1208,0)),0)-$AF7))</f>
        <v/>
      </c>
      <c r="AH7" s="10">
        <f>IF($A7="","",$AF7+$AG7)</f>
        <v/>
      </c>
      <c r="AI7" s="6" t="inlineStr"/>
      <c r="AJ7" s="6" t="inlineStr"/>
      <c r="AK7" s="6" t="inlineStr">
        <is>
          <t>ACT-02.pdf</t>
        </is>
      </c>
      <c r="AL7" s="3">
        <f>IF($AK7="","",HYPERLINK(p_ruta_base_checklists&amp;$AK7,"abrir"))</f>
        <v/>
      </c>
      <c r="AM7" s="6" t="inlineStr"/>
      <c r="AN7" s="3">
        <f>IF($A7="","",$A7&amp;IF($B7="","0010",$B7))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1" t="n">
        <v>46220</v>
      </c>
      <c r="K8" s="3" t="n">
        <v>8</v>
      </c>
      <c r="L8" s="10" t="n">
        <v>200</v>
      </c>
      <c r="M8" s="3">
        <f>IF($A8="","",IFERROR(INDEX('AJUSTES'!$B$4:$B$303,MATCH($AN8,'AJUSTES'!$A$4:$A$303,0)),IF($K8="","",$K8)))</f>
        <v/>
      </c>
      <c r="N8" s="3">
        <f>IF($A8="","",IFERROR(INDEX('CAT_ESTADOS_ERP'!$B$4:$B$7,MATCH(IFERROR(INDEX('2_IMPORTAR_EJECUCION'!$C$9:$C$1208,MATCH($AN8,'2_IMPORTAR_EJECUCION'!$J$9:$J$1208,0)),""),'CAT_ESTADOS_ERP'!$A$4:$A$7,0)),"Pendiente"))</f>
        <v/>
      </c>
      <c r="O8" s="3">
        <f>IF($J8="","",YEAR($J8+4-WEEKDAY($J8,2))&amp;"-S"&amp;TEXT(_xlfn.ISOWEEKNUM($J8),"00"))</f>
        <v/>
      </c>
      <c r="P8" s="3">
        <f>IF($J8="","",YEAR($J8))</f>
        <v/>
      </c>
      <c r="Q8" s="3">
        <f>IF($J8="","",MONTH($J8))</f>
        <v/>
      </c>
      <c r="R8" s="3">
        <f>IF($J8="","",INDEX(lista_dias,WEEKDAY($J8,2)))</f>
        <v/>
      </c>
      <c r="S8" s="3">
        <f>IF($I8="","",IFERROR(INDEX('CAT_TIPOS_OT'!$C$4:$C$7,MATCH($I8,'CAT_TIPOS_OT'!$A$4:$A$7,0)),"sin_clasificar"))</f>
        <v/>
      </c>
      <c r="T8" s="3">
        <f>IF($F8="","",IFERROR(INDEX('CAT_CENTROS_COSTO'!$E$4:$E$9,MATCH($F8,'CAT_CENTROS_COSTO'!$A$4:$A$9,0)),"(sin catálogo)"))</f>
        <v/>
      </c>
      <c r="U8" s="3">
        <f>IF($F8="","",IFERROR(INDEX('CAT_CENTROS_COSTO'!$D$4:$D$9,MATCH($F8,'CAT_CENTROS_COSTO'!$A$4:$A$9,0)),"(sin catálogo)"))</f>
        <v/>
      </c>
      <c r="V8" s="3">
        <f>IF($F8="","",IFERROR(INDEX('CAT_CENTROS_COSTO'!$F$4:$F$9,MATCH($F8,'CAT_CENTROS_COSTO'!$A$4:$A$9,0)),"(sin catálogo)"))</f>
        <v/>
      </c>
      <c r="W8" s="3">
        <f>IF($G8="","",IFERROR(INDEX('CAT_PUESTOS'!$B$4:$B$8,MATCH($G8,'CAT_PUESTOS'!$A$4:$A$8,0)),"(sin catálogo)"))</f>
        <v/>
      </c>
      <c r="X8" s="3">
        <f>IF($H8="","",IFERROR(INDEX('CAT_ACTIVIDADES'!$B$4:$B$8,MATCH($H8,'CAT_ACTIVIDADES'!$A$4:$A$8,0)),"(sin catálogo)"))</f>
        <v/>
      </c>
      <c r="Y8" s="12">
        <f>IF($J8="","",TODAY()-$J8)</f>
        <v/>
      </c>
      <c r="Z8" s="3">
        <f>IF($Y8="","",IF($Y8&lt;0,"FUTURO",IF($Y8&gt;p_dias_backlog_max,"BACKLOG","MES CORRIENTE")))</f>
        <v/>
      </c>
      <c r="AA8" s="3">
        <f>IF($Y8="",FALSE,AND($Y8&gt;p_dias_backlog_min,$Y8&lt;=p_dias_backlog_max))</f>
        <v/>
      </c>
      <c r="AB8" s="6" t="inlineStr">
        <is>
          <t>Técnico 01</t>
        </is>
      </c>
      <c r="AC8" s="3">
        <f>IF($AB8="","",IFERROR(INDEX('ASIGNACIONES'!$F$4:$F$339,MATCH($O8&amp;"|"&amp;$R8&amp;"|"&amp;$AB8,'ASIGNACIONES'!$I$4:$I$339,0)),""))</f>
        <v/>
      </c>
      <c r="AD8" s="13">
        <f>IF($AB8="","",SUMIFS('ORDENES'!$M$4:$M$1203,'ORDENES'!$AB$4:$AB$1203,$AB8,'ORDENES'!$O$4:$O$1203,$O8,'ORDENES'!$R$4:$R$1203,$R8))</f>
        <v/>
      </c>
      <c r="AE8" s="13">
        <f>IF($AD8="","",p_factor_productividad*IFERROR(INDEX('ASIGNACIONES'!$H$4:$H$339,MATCH($O8&amp;"|"&amp;$R8&amp;"|"&amp;$AB8,'ASIGNACIONES'!$I$4:$I$339,0)),0)-$AD8)</f>
        <v/>
      </c>
      <c r="AF8" s="10">
        <f>IF($A8="","",IFERROR(INDEX('2_IMPORTAR_EJECUCION'!$F$9:$F$1208,MATCH($AN8,'2_IMPORTAR_EJECUCION'!$J$9:$J$1208,0)),0))</f>
        <v/>
      </c>
      <c r="AG8" s="10">
        <f>IF($A8="","",MAX(0,IFERROR(INDEX('2_IMPORTAR_EJECUCION'!$H$9:$H$1208,MATCH($AN8,'2_IMPORTAR_EJECUCION'!$J$9:$J$1208,0)),0)-$AF8))</f>
        <v/>
      </c>
      <c r="AH8" s="10">
        <f>IF($A8="","",$AF8+$AG8)</f>
        <v/>
      </c>
      <c r="AI8" s="6" t="inlineStr"/>
      <c r="AJ8" s="6" t="inlineStr"/>
      <c r="AK8" s="6" t="inlineStr">
        <is>
          <t>ACT-04.pdf</t>
        </is>
      </c>
      <c r="AL8" s="3">
        <f>IF($AK8="","",HYPERLINK(p_ruta_base_checklists&amp;$AK8,"abrir"))</f>
        <v/>
      </c>
      <c r="AM8" s="6" t="inlineStr"/>
      <c r="AN8" s="3">
        <f>IF($A8="","",$A8&amp;IF($B8="","0010",$B8))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1" t="n">
        <v>46216</v>
      </c>
      <c r="K9" s="3" t="n">
        <v>6</v>
      </c>
      <c r="L9" s="10" t="n">
        <v>150</v>
      </c>
      <c r="M9" s="3">
        <f>IF($A9="","",IFERROR(INDEX('AJUSTES'!$B$4:$B$303,MATCH($AN9,'AJUSTES'!$A$4:$A$303,0)),IF($K9="","",$K9)))</f>
        <v/>
      </c>
      <c r="N9" s="3">
        <f>IF($A9="","",IFERROR(INDEX('CAT_ESTADOS_ERP'!$B$4:$B$7,MATCH(IFERROR(INDEX('2_IMPORTAR_EJECUCION'!$C$9:$C$1208,MATCH($AN9,'2_IMPORTAR_EJECUCION'!$J$9:$J$1208,0)),""),'CAT_ESTADOS_ERP'!$A$4:$A$7,0)),"Pendiente"))</f>
        <v/>
      </c>
      <c r="O9" s="3">
        <f>IF($J9="","",YEAR($J9+4-WEEKDAY($J9,2))&amp;"-S"&amp;TEXT(_xlfn.ISOWEEKNUM($J9),"00"))</f>
        <v/>
      </c>
      <c r="P9" s="3">
        <f>IF($J9="","",YEAR($J9))</f>
        <v/>
      </c>
      <c r="Q9" s="3">
        <f>IF($J9="","",MONTH($J9))</f>
        <v/>
      </c>
      <c r="R9" s="3">
        <f>IF($J9="","",INDEX(lista_dias,WEEKDAY($J9,2)))</f>
        <v/>
      </c>
      <c r="S9" s="3">
        <f>IF($I9="","",IFERROR(INDEX('CAT_TIPOS_OT'!$C$4:$C$7,MATCH($I9,'CAT_TIPOS_OT'!$A$4:$A$7,0)),"sin_clasificar"))</f>
        <v/>
      </c>
      <c r="T9" s="3">
        <f>IF($F9="","",IFERROR(INDEX('CAT_CENTROS_COSTO'!$E$4:$E$9,MATCH($F9,'CAT_CENTROS_COSTO'!$A$4:$A$9,0)),"(sin catálogo)"))</f>
        <v/>
      </c>
      <c r="U9" s="3">
        <f>IF($F9="","",IFERROR(INDEX('CAT_CENTROS_COSTO'!$D$4:$D$9,MATCH($F9,'CAT_CENTROS_COSTO'!$A$4:$A$9,0)),"(sin catálogo)"))</f>
        <v/>
      </c>
      <c r="V9" s="3">
        <f>IF($F9="","",IFERROR(INDEX('CAT_CENTROS_COSTO'!$F$4:$F$9,MATCH($F9,'CAT_CENTROS_COSTO'!$A$4:$A$9,0)),"(sin catálogo)"))</f>
        <v/>
      </c>
      <c r="W9" s="3">
        <f>IF($G9="","",IFERROR(INDEX('CAT_PUESTOS'!$B$4:$B$8,MATCH($G9,'CAT_PUESTOS'!$A$4:$A$8,0)),"(sin catálogo)"))</f>
        <v/>
      </c>
      <c r="X9" s="3">
        <f>IF($H9="","",IFERROR(INDEX('CAT_ACTIVIDADES'!$B$4:$B$8,MATCH($H9,'CAT_ACTIVIDADES'!$A$4:$A$8,0)),"(sin catálogo)"))</f>
        <v/>
      </c>
      <c r="Y9" s="12">
        <f>IF($J9="","",TODAY()-$J9)</f>
        <v/>
      </c>
      <c r="Z9" s="3">
        <f>IF($Y9="","",IF($Y9&lt;0,"FUTURO",IF($Y9&gt;p_dias_backlog_max,"BACKLOG","MES CORRIENTE")))</f>
        <v/>
      </c>
      <c r="AA9" s="3">
        <f>IF($Y9="",FALSE,AND($Y9&gt;p_dias_backlog_min,$Y9&lt;=p_dias_backlog_max))</f>
        <v/>
      </c>
      <c r="AB9" s="6" t="inlineStr">
        <is>
          <t>Técnico 02</t>
        </is>
      </c>
      <c r="AC9" s="3">
        <f>IF($AB9="","",IFERROR(INDEX('ASIGNACIONES'!$F$4:$F$339,MATCH($O9&amp;"|"&amp;$R9&amp;"|"&amp;$AB9,'ASIGNACIONES'!$I$4:$I$339,0)),""))</f>
        <v/>
      </c>
      <c r="AD9" s="13">
        <f>IF($AB9="","",SUMIFS('ORDENES'!$M$4:$M$1203,'ORDENES'!$AB$4:$AB$1203,$AB9,'ORDENES'!$O$4:$O$1203,$O9,'ORDENES'!$R$4:$R$1203,$R9))</f>
        <v/>
      </c>
      <c r="AE9" s="13">
        <f>IF($AD9="","",p_factor_productividad*IFERROR(INDEX('ASIGNACIONES'!$H$4:$H$339,MATCH($O9&amp;"|"&amp;$R9&amp;"|"&amp;$AB9,'ASIGNACIONES'!$I$4:$I$339,0)),0)-$AD9)</f>
        <v/>
      </c>
      <c r="AF9" s="10">
        <f>IF($A9="","",IFERROR(INDEX('2_IMPORTAR_EJECUCION'!$F$9:$F$1208,MATCH($AN9,'2_IMPORTAR_EJECUCION'!$J$9:$J$1208,0)),0))</f>
        <v/>
      </c>
      <c r="AG9" s="10">
        <f>IF($A9="","",MAX(0,IFERROR(INDEX('2_IMPORTAR_EJECUCION'!$H$9:$H$1208,MATCH($AN9,'2_IMPORTAR_EJECUCION'!$J$9:$J$1208,0)),0)-$AF9))</f>
        <v/>
      </c>
      <c r="AH9" s="10">
        <f>IF($A9="","",$AF9+$AG9)</f>
        <v/>
      </c>
      <c r="AI9" s="6" t="inlineStr"/>
      <c r="AJ9" s="6" t="inlineStr"/>
      <c r="AK9" s="6" t="inlineStr">
        <is>
          <t>ACT-01.pdf</t>
        </is>
      </c>
      <c r="AL9" s="3">
        <f>IF($AK9="","",HYPERLINK(p_ruta_base_checklists&amp;$AK9,"abrir"))</f>
        <v/>
      </c>
      <c r="AM9" s="6" t="inlineStr"/>
      <c r="AN9" s="3">
        <f>IF($A9="","",$A9&amp;IF($B9="","0010",$B9))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1" t="n">
        <v>46217</v>
      </c>
      <c r="K10" s="3" t="n">
        <v>10</v>
      </c>
      <c r="L10" s="10" t="n">
        <v>250</v>
      </c>
      <c r="M10" s="3">
        <f>IF($A10="","",IFERROR(INDEX('AJUSTES'!$B$4:$B$303,MATCH($AN10,'AJUSTES'!$A$4:$A$303,0)),IF($K10="","",$K10)))</f>
        <v/>
      </c>
      <c r="N10" s="3">
        <f>IF($A10="","",IFERROR(INDEX('CAT_ESTADOS_ERP'!$B$4:$B$7,MATCH(IFERROR(INDEX('2_IMPORTAR_EJECUCION'!$C$9:$C$1208,MATCH($AN10,'2_IMPORTAR_EJECUCION'!$J$9:$J$1208,0)),""),'CAT_ESTADOS_ERP'!$A$4:$A$7,0)),"Pendiente"))</f>
        <v/>
      </c>
      <c r="O10" s="3">
        <f>IF($J10="","",YEAR($J10+4-WEEKDAY($J10,2))&amp;"-S"&amp;TEXT(_xlfn.ISOWEEKNUM($J10),"00"))</f>
        <v/>
      </c>
      <c r="P10" s="3">
        <f>IF($J10="","",YEAR($J10))</f>
        <v/>
      </c>
      <c r="Q10" s="3">
        <f>IF($J10="","",MONTH($J10))</f>
        <v/>
      </c>
      <c r="R10" s="3">
        <f>IF($J10="","",INDEX(lista_dias,WEEKDAY($J10,2)))</f>
        <v/>
      </c>
      <c r="S10" s="3">
        <f>IF($I10="","",IFERROR(INDEX('CAT_TIPOS_OT'!$C$4:$C$7,MATCH($I10,'CAT_TIPOS_OT'!$A$4:$A$7,0)),"sin_clasificar"))</f>
        <v/>
      </c>
      <c r="T10" s="3">
        <f>IF($F10="","",IFERROR(INDEX('CAT_CENTROS_COSTO'!$E$4:$E$9,MATCH($F10,'CAT_CENTROS_COSTO'!$A$4:$A$9,0)),"(sin catálogo)"))</f>
        <v/>
      </c>
      <c r="U10" s="3">
        <f>IF($F10="","",IFERROR(INDEX('CAT_CENTROS_COSTO'!$D$4:$D$9,MATCH($F10,'CAT_CENTROS_COSTO'!$A$4:$A$9,0)),"(sin catálogo)"))</f>
        <v/>
      </c>
      <c r="V10" s="3">
        <f>IF($F10="","",IFERROR(INDEX('CAT_CENTROS_COSTO'!$F$4:$F$9,MATCH($F10,'CAT_CENTROS_COSTO'!$A$4:$A$9,0)),"(sin catálogo)"))</f>
        <v/>
      </c>
      <c r="W10" s="3">
        <f>IF($G10="","",IFERROR(INDEX('CAT_PUESTOS'!$B$4:$B$8,MATCH($G10,'CAT_PUESTOS'!$A$4:$A$8,0)),"(sin catálogo)"))</f>
        <v/>
      </c>
      <c r="X10" s="3">
        <f>IF($H10="","",IFERROR(INDEX('CAT_ACTIVIDADES'!$B$4:$B$8,MATCH($H10,'CAT_ACTIVIDADES'!$A$4:$A$8,0)),"(sin catálogo)"))</f>
        <v/>
      </c>
      <c r="Y10" s="12">
        <f>IF($J10="","",TODAY()-$J10)</f>
        <v/>
      </c>
      <c r="Z10" s="3">
        <f>IF($Y10="","",IF($Y10&lt;0,"FUTURO",IF($Y10&gt;p_dias_backlog_max,"BACKLOG","MES CORRIENTE")))</f>
        <v/>
      </c>
      <c r="AA10" s="3">
        <f>IF($Y10="",FALSE,AND($Y10&gt;p_dias_backlog_min,$Y10&lt;=p_dias_backlog_max))</f>
        <v/>
      </c>
      <c r="AB10" s="6" t="inlineStr">
        <is>
          <t>Técnico 03</t>
        </is>
      </c>
      <c r="AC10" s="3">
        <f>IF($AB10="","",IFERROR(INDEX('ASIGNACIONES'!$F$4:$F$339,MATCH($O10&amp;"|"&amp;$R10&amp;"|"&amp;$AB10,'ASIGNACIONES'!$I$4:$I$339,0)),""))</f>
        <v/>
      </c>
      <c r="AD10" s="13">
        <f>IF($AB10="","",SUMIFS('ORDENES'!$M$4:$M$1203,'ORDENES'!$AB$4:$AB$1203,$AB10,'ORDENES'!$O$4:$O$1203,$O10,'ORDENES'!$R$4:$R$1203,$R10))</f>
        <v/>
      </c>
      <c r="AE10" s="13">
        <f>IF($AD10="","",p_factor_productividad*IFERROR(INDEX('ASIGNACIONES'!$H$4:$H$339,MATCH($O10&amp;"|"&amp;$R10&amp;"|"&amp;$AB10,'ASIGNACIONES'!$I$4:$I$339,0)),0)-$AD10)</f>
        <v/>
      </c>
      <c r="AF10" s="10">
        <f>IF($A10="","",IFERROR(INDEX('2_IMPORTAR_EJECUCION'!$F$9:$F$1208,MATCH($AN10,'2_IMPORTAR_EJECUCION'!$J$9:$J$1208,0)),0))</f>
        <v/>
      </c>
      <c r="AG10" s="10">
        <f>IF($A10="","",MAX(0,IFERROR(INDEX('2_IMPORTAR_EJECUCION'!$H$9:$H$1208,MATCH($AN10,'2_IMPORTAR_EJECUCION'!$J$9:$J$1208,0)),0)-$AF10))</f>
        <v/>
      </c>
      <c r="AH10" s="10">
        <f>IF($A10="","",$AF10+$AG10)</f>
        <v/>
      </c>
      <c r="AI10" s="6" t="inlineStr"/>
      <c r="AJ10" s="6" t="inlineStr"/>
      <c r="AK10" s="6" t="inlineStr">
        <is>
          <t>ACT-02.pdf</t>
        </is>
      </c>
      <c r="AL10" s="3">
        <f>IF($AK10="","",HYPERLINK(p_ruta_base_checklists&amp;$AK10,"abrir"))</f>
        <v/>
      </c>
      <c r="AM10" s="6" t="inlineStr"/>
      <c r="AN10" s="3">
        <f>IF($A10="","",$A10&amp;IF($B10="","0010",$B10))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1" t="n">
        <v>46218</v>
      </c>
      <c r="K11" s="3" t="n">
        <v>8</v>
      </c>
      <c r="L11" s="10" t="n">
        <v>200</v>
      </c>
      <c r="M11" s="3">
        <f>IF($A11="","",IFERROR(INDEX('AJUSTES'!$B$4:$B$303,MATCH($AN11,'AJUSTES'!$A$4:$A$303,0)),IF($K11="","",$K11)))</f>
        <v/>
      </c>
      <c r="N11" s="3">
        <f>IF($A11="","",IFERROR(INDEX('CAT_ESTADOS_ERP'!$B$4:$B$7,MATCH(IFERROR(INDEX('2_IMPORTAR_EJECUCION'!$C$9:$C$1208,MATCH($AN11,'2_IMPORTAR_EJECUCION'!$J$9:$J$1208,0)),""),'CAT_ESTADOS_ERP'!$A$4:$A$7,0)),"Pendiente"))</f>
        <v/>
      </c>
      <c r="O11" s="3">
        <f>IF($J11="","",YEAR($J11+4-WEEKDAY($J11,2))&amp;"-S"&amp;TEXT(_xlfn.ISOWEEKNUM($J11),"00"))</f>
        <v/>
      </c>
      <c r="P11" s="3">
        <f>IF($J11="","",YEAR($J11))</f>
        <v/>
      </c>
      <c r="Q11" s="3">
        <f>IF($J11="","",MONTH($J11))</f>
        <v/>
      </c>
      <c r="R11" s="3">
        <f>IF($J11="","",INDEX(lista_dias,WEEKDAY($J11,2)))</f>
        <v/>
      </c>
      <c r="S11" s="3">
        <f>IF($I11="","",IFERROR(INDEX('CAT_TIPOS_OT'!$C$4:$C$7,MATCH($I11,'CAT_TIPOS_OT'!$A$4:$A$7,0)),"sin_clasificar"))</f>
        <v/>
      </c>
      <c r="T11" s="3">
        <f>IF($F11="","",IFERROR(INDEX('CAT_CENTROS_COSTO'!$E$4:$E$9,MATCH($F11,'CAT_CENTROS_COSTO'!$A$4:$A$9,0)),"(sin catálogo)"))</f>
        <v/>
      </c>
      <c r="U11" s="3">
        <f>IF($F11="","",IFERROR(INDEX('CAT_CENTROS_COSTO'!$D$4:$D$9,MATCH($F11,'CAT_CENTROS_COSTO'!$A$4:$A$9,0)),"(sin catálogo)"))</f>
        <v/>
      </c>
      <c r="V11" s="3">
        <f>IF($F11="","",IFERROR(INDEX('CAT_CENTROS_COSTO'!$F$4:$F$9,MATCH($F11,'CAT_CENTROS_COSTO'!$A$4:$A$9,0)),"(sin catálogo)"))</f>
        <v/>
      </c>
      <c r="W11" s="3">
        <f>IF($G11="","",IFERROR(INDEX('CAT_PUESTOS'!$B$4:$B$8,MATCH($G11,'CAT_PUESTOS'!$A$4:$A$8,0)),"(sin catálogo)"))</f>
        <v/>
      </c>
      <c r="X11" s="3">
        <f>IF($H11="","",IFERROR(INDEX('CAT_ACTIVIDADES'!$B$4:$B$8,MATCH($H11,'CAT_ACTIVIDADES'!$A$4:$A$8,0)),"(sin catálogo)"))</f>
        <v/>
      </c>
      <c r="Y11" s="12">
        <f>IF($J11="","",TODAY()-$J11)</f>
        <v/>
      </c>
      <c r="Z11" s="3">
        <f>IF($Y11="","",IF($Y11&lt;0,"FUTURO",IF($Y11&gt;p_dias_backlog_max,"BACKLOG","MES CORRIENTE")))</f>
        <v/>
      </c>
      <c r="AA11" s="3">
        <f>IF($Y11="",FALSE,AND($Y11&gt;p_dias_backlog_min,$Y11&lt;=p_dias_backlog_max))</f>
        <v/>
      </c>
      <c r="AB11" s="6" t="inlineStr">
        <is>
          <t>Técnico 04</t>
        </is>
      </c>
      <c r="AC11" s="3">
        <f>IF($AB11="","",IFERROR(INDEX('ASIGNACIONES'!$F$4:$F$339,MATCH($O11&amp;"|"&amp;$R11&amp;"|"&amp;$AB11,'ASIGNACIONES'!$I$4:$I$339,0)),""))</f>
        <v/>
      </c>
      <c r="AD11" s="13">
        <f>IF($AB11="","",SUMIFS('ORDENES'!$M$4:$M$1203,'ORDENES'!$AB$4:$AB$1203,$AB11,'ORDENES'!$O$4:$O$1203,$O11,'ORDENES'!$R$4:$R$1203,$R11))</f>
        <v/>
      </c>
      <c r="AE11" s="13">
        <f>IF($AD11="","",p_factor_productividad*IFERROR(INDEX('ASIGNACIONES'!$H$4:$H$339,MATCH($O11&amp;"|"&amp;$R11&amp;"|"&amp;$AB11,'ASIGNACIONES'!$I$4:$I$339,0)),0)-$AD11)</f>
        <v/>
      </c>
      <c r="AF11" s="10">
        <f>IF($A11="","",IFERROR(INDEX('2_IMPORTAR_EJECUCION'!$F$9:$F$1208,MATCH($AN11,'2_IMPORTAR_EJECUCION'!$J$9:$J$1208,0)),0))</f>
        <v/>
      </c>
      <c r="AG11" s="10">
        <f>IF($A11="","",MAX(0,IFERROR(INDEX('2_IMPORTAR_EJECUCION'!$H$9:$H$1208,MATCH($AN11,'2_IMPORTAR_EJECUCION'!$J$9:$J$1208,0)),0)-$AF11))</f>
        <v/>
      </c>
      <c r="AH11" s="10">
        <f>IF($A11="","",$AF11+$AG11)</f>
        <v/>
      </c>
      <c r="AI11" s="6" t="inlineStr"/>
      <c r="AJ11" s="6" t="inlineStr"/>
      <c r="AK11" s="6" t="inlineStr">
        <is>
          <t>ACT-04.pdf</t>
        </is>
      </c>
      <c r="AL11" s="3">
        <f>IF($AK11="","",HYPERLINK(p_ruta_base_checklists&amp;$AK11,"abrir"))</f>
        <v/>
      </c>
      <c r="AM11" s="6" t="inlineStr"/>
      <c r="AN11" s="3">
        <f>IF($A11="","",$A11&amp;IF($B11="","0010",$B11))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1" t="n">
        <v>46219</v>
      </c>
      <c r="K12" s="3" t="n">
        <v>6</v>
      </c>
      <c r="L12" s="10" t="n">
        <v>150</v>
      </c>
      <c r="M12" s="3">
        <f>IF($A12="","",IFERROR(INDEX('AJUSTES'!$B$4:$B$303,MATCH($AN12,'AJUSTES'!$A$4:$A$303,0)),IF($K12="","",$K12)))</f>
        <v/>
      </c>
      <c r="N12" s="3">
        <f>IF($A12="","",IFERROR(INDEX('CAT_ESTADOS_ERP'!$B$4:$B$7,MATCH(IFERROR(INDEX('2_IMPORTAR_EJECUCION'!$C$9:$C$1208,MATCH($AN12,'2_IMPORTAR_EJECUCION'!$J$9:$J$1208,0)),""),'CAT_ESTADOS_ERP'!$A$4:$A$7,0)),"Pendiente"))</f>
        <v/>
      </c>
      <c r="O12" s="3">
        <f>IF($J12="","",YEAR($J12+4-WEEKDAY($J12,2))&amp;"-S"&amp;TEXT(_xlfn.ISOWEEKNUM($J12),"00"))</f>
        <v/>
      </c>
      <c r="P12" s="3">
        <f>IF($J12="","",YEAR($J12))</f>
        <v/>
      </c>
      <c r="Q12" s="3">
        <f>IF($J12="","",MONTH($J12))</f>
        <v/>
      </c>
      <c r="R12" s="3">
        <f>IF($J12="","",INDEX(lista_dias,WEEKDAY($J12,2)))</f>
        <v/>
      </c>
      <c r="S12" s="3">
        <f>IF($I12="","",IFERROR(INDEX('CAT_TIPOS_OT'!$C$4:$C$7,MATCH($I12,'CAT_TIPOS_OT'!$A$4:$A$7,0)),"sin_clasificar"))</f>
        <v/>
      </c>
      <c r="T12" s="3">
        <f>IF($F12="","",IFERROR(INDEX('CAT_CENTROS_COSTO'!$E$4:$E$9,MATCH($F12,'CAT_CENTROS_COSTO'!$A$4:$A$9,0)),"(sin catálogo)"))</f>
        <v/>
      </c>
      <c r="U12" s="3">
        <f>IF($F12="","",IFERROR(INDEX('CAT_CENTROS_COSTO'!$D$4:$D$9,MATCH($F12,'CAT_CENTROS_COSTO'!$A$4:$A$9,0)),"(sin catálogo)"))</f>
        <v/>
      </c>
      <c r="V12" s="3">
        <f>IF($F12="","",IFERROR(INDEX('CAT_CENTROS_COSTO'!$F$4:$F$9,MATCH($F12,'CAT_CENTROS_COSTO'!$A$4:$A$9,0)),"(sin catálogo)"))</f>
        <v/>
      </c>
      <c r="W12" s="3">
        <f>IF($G12="","",IFERROR(INDEX('CAT_PUESTOS'!$B$4:$B$8,MATCH($G12,'CAT_PUESTOS'!$A$4:$A$8,0)),"(sin catálogo)"))</f>
        <v/>
      </c>
      <c r="X12" s="3">
        <f>IF($H12="","",IFERROR(INDEX('CAT_ACTIVIDADES'!$B$4:$B$8,MATCH($H12,'CAT_ACTIVIDADES'!$A$4:$A$8,0)),"(sin catálogo)"))</f>
        <v/>
      </c>
      <c r="Y12" s="12">
        <f>IF($J12="","",TODAY()-$J12)</f>
        <v/>
      </c>
      <c r="Z12" s="3">
        <f>IF($Y12="","",IF($Y12&lt;0,"FUTURO",IF($Y12&gt;p_dias_backlog_max,"BACKLOG","MES CORRIENTE")))</f>
        <v/>
      </c>
      <c r="AA12" s="3">
        <f>IF($Y12="",FALSE,AND($Y12&gt;p_dias_backlog_min,$Y12&lt;=p_dias_backlog_max))</f>
        <v/>
      </c>
      <c r="AB12" s="6" t="inlineStr">
        <is>
          <t>Técnico 01</t>
        </is>
      </c>
      <c r="AC12" s="3">
        <f>IF($AB12="","",IFERROR(INDEX('ASIGNACIONES'!$F$4:$F$339,MATCH($O12&amp;"|"&amp;$R12&amp;"|"&amp;$AB12,'ASIGNACIONES'!$I$4:$I$339,0)),""))</f>
        <v/>
      </c>
      <c r="AD12" s="13">
        <f>IF($AB12="","",SUMIFS('ORDENES'!$M$4:$M$1203,'ORDENES'!$AB$4:$AB$1203,$AB12,'ORDENES'!$O$4:$O$1203,$O12,'ORDENES'!$R$4:$R$1203,$R12))</f>
        <v/>
      </c>
      <c r="AE12" s="13">
        <f>IF($AD12="","",p_factor_productividad*IFERROR(INDEX('ASIGNACIONES'!$H$4:$H$339,MATCH($O12&amp;"|"&amp;$R12&amp;"|"&amp;$AB12,'ASIGNACIONES'!$I$4:$I$339,0)),0)-$AD12)</f>
        <v/>
      </c>
      <c r="AF12" s="10">
        <f>IF($A12="","",IFERROR(INDEX('2_IMPORTAR_EJECUCION'!$F$9:$F$1208,MATCH($AN12,'2_IMPORTAR_EJECUCION'!$J$9:$J$1208,0)),0))</f>
        <v/>
      </c>
      <c r="AG12" s="10">
        <f>IF($A12="","",MAX(0,IFERROR(INDEX('2_IMPORTAR_EJECUCION'!$H$9:$H$1208,MATCH($AN12,'2_IMPORTAR_EJECUCION'!$J$9:$J$1208,0)),0)-$AF12))</f>
        <v/>
      </c>
      <c r="AH12" s="10">
        <f>IF($A12="","",$AF12+$AG12)</f>
        <v/>
      </c>
      <c r="AI12" s="6" t="inlineStr"/>
      <c r="AJ12" s="6" t="inlineStr"/>
      <c r="AK12" s="6" t="inlineStr">
        <is>
          <t>ACT-01.pdf</t>
        </is>
      </c>
      <c r="AL12" s="3">
        <f>IF($AK12="","",HYPERLINK(p_ruta_base_checklists&amp;$AK12,"abrir"))</f>
        <v/>
      </c>
      <c r="AM12" s="6" t="inlineStr"/>
      <c r="AN12" s="3">
        <f>IF($A12="","",$A12&amp;IF($B12="","0010",$B12))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1" t="n">
        <v>46220</v>
      </c>
      <c r="K13" s="3" t="n">
        <v>8</v>
      </c>
      <c r="L13" s="10" t="n">
        <v>200</v>
      </c>
      <c r="M13" s="3">
        <f>IF($A13="","",IFERROR(INDEX('AJUSTES'!$B$4:$B$303,MATCH($AN13,'AJUSTES'!$A$4:$A$303,0)),IF($K13="","",$K13)))</f>
        <v/>
      </c>
      <c r="N13" s="3">
        <f>IF($A13="","",IFERROR(INDEX('CAT_ESTADOS_ERP'!$B$4:$B$7,MATCH(IFERROR(INDEX('2_IMPORTAR_EJECUCION'!$C$9:$C$1208,MATCH($AN13,'2_IMPORTAR_EJECUCION'!$J$9:$J$1208,0)),""),'CAT_ESTADOS_ERP'!$A$4:$A$7,0)),"Pendiente"))</f>
        <v/>
      </c>
      <c r="O13" s="3">
        <f>IF($J13="","",YEAR($J13+4-WEEKDAY($J13,2))&amp;"-S"&amp;TEXT(_xlfn.ISOWEEKNUM($J13),"00"))</f>
        <v/>
      </c>
      <c r="P13" s="3">
        <f>IF($J13="","",YEAR($J13))</f>
        <v/>
      </c>
      <c r="Q13" s="3">
        <f>IF($J13="","",MONTH($J13))</f>
        <v/>
      </c>
      <c r="R13" s="3">
        <f>IF($J13="","",INDEX(lista_dias,WEEKDAY($J13,2)))</f>
        <v/>
      </c>
      <c r="S13" s="3">
        <f>IF($I13="","",IFERROR(INDEX('CAT_TIPOS_OT'!$C$4:$C$7,MATCH($I13,'CAT_TIPOS_OT'!$A$4:$A$7,0)),"sin_clasificar"))</f>
        <v/>
      </c>
      <c r="T13" s="3">
        <f>IF($F13="","",IFERROR(INDEX('CAT_CENTROS_COSTO'!$E$4:$E$9,MATCH($F13,'CAT_CENTROS_COSTO'!$A$4:$A$9,0)),"(sin catálogo)"))</f>
        <v/>
      </c>
      <c r="U13" s="3">
        <f>IF($F13="","",IFERROR(INDEX('CAT_CENTROS_COSTO'!$D$4:$D$9,MATCH($F13,'CAT_CENTROS_COSTO'!$A$4:$A$9,0)),"(sin catálogo)"))</f>
        <v/>
      </c>
      <c r="V13" s="3">
        <f>IF($F13="","",IFERROR(INDEX('CAT_CENTROS_COSTO'!$F$4:$F$9,MATCH($F13,'CAT_CENTROS_COSTO'!$A$4:$A$9,0)),"(sin catálogo)"))</f>
        <v/>
      </c>
      <c r="W13" s="3">
        <f>IF($G13="","",IFERROR(INDEX('CAT_PUESTOS'!$B$4:$B$8,MATCH($G13,'CAT_PUESTOS'!$A$4:$A$8,0)),"(sin catálogo)"))</f>
        <v/>
      </c>
      <c r="X13" s="3">
        <f>IF($H13="","",IFERROR(INDEX('CAT_ACTIVIDADES'!$B$4:$B$8,MATCH($H13,'CAT_ACTIVIDADES'!$A$4:$A$8,0)),"(sin catálogo)"))</f>
        <v/>
      </c>
      <c r="Y13" s="12">
        <f>IF($J13="","",TODAY()-$J13)</f>
        <v/>
      </c>
      <c r="Z13" s="3">
        <f>IF($Y13="","",IF($Y13&lt;0,"FUTURO",IF($Y13&gt;p_dias_backlog_max,"BACKLOG","MES CORRIENTE")))</f>
        <v/>
      </c>
      <c r="AA13" s="3">
        <f>IF($Y13="",FALSE,AND($Y13&gt;p_dias_backlog_min,$Y13&lt;=p_dias_backlog_max))</f>
        <v/>
      </c>
      <c r="AB13" s="6" t="inlineStr">
        <is>
          <t>Técnico 02</t>
        </is>
      </c>
      <c r="AC13" s="3">
        <f>IF($AB13="","",IFERROR(INDEX('ASIGNACIONES'!$F$4:$F$339,MATCH($O13&amp;"|"&amp;$R13&amp;"|"&amp;$AB13,'ASIGNACIONES'!$I$4:$I$339,0)),""))</f>
        <v/>
      </c>
      <c r="AD13" s="13">
        <f>IF($AB13="","",SUMIFS('ORDENES'!$M$4:$M$1203,'ORDENES'!$AB$4:$AB$1203,$AB13,'ORDENES'!$O$4:$O$1203,$O13,'ORDENES'!$R$4:$R$1203,$R13))</f>
        <v/>
      </c>
      <c r="AE13" s="13">
        <f>IF($AD13="","",p_factor_productividad*IFERROR(INDEX('ASIGNACIONES'!$H$4:$H$339,MATCH($O13&amp;"|"&amp;$R13&amp;"|"&amp;$AB13,'ASIGNACIONES'!$I$4:$I$339,0)),0)-$AD13)</f>
        <v/>
      </c>
      <c r="AF13" s="10">
        <f>IF($A13="","",IFERROR(INDEX('2_IMPORTAR_EJECUCION'!$F$9:$F$1208,MATCH($AN13,'2_IMPORTAR_EJECUCION'!$J$9:$J$1208,0)),0))</f>
        <v/>
      </c>
      <c r="AG13" s="10">
        <f>IF($A13="","",MAX(0,IFERROR(INDEX('2_IMPORTAR_EJECUCION'!$H$9:$H$1208,MATCH($AN13,'2_IMPORTAR_EJECUCION'!$J$9:$J$1208,0)),0)-$AF13))</f>
        <v/>
      </c>
      <c r="AH13" s="10">
        <f>IF($A13="","",$AF13+$AG13)</f>
        <v/>
      </c>
      <c r="AI13" s="6" t="inlineStr"/>
      <c r="AJ13" s="6" t="inlineStr"/>
      <c r="AK13" s="6" t="inlineStr">
        <is>
          <t>ACT-02.pdf</t>
        </is>
      </c>
      <c r="AL13" s="3">
        <f>IF($AK13="","",HYPERLINK(p_ruta_base_checklists&amp;$AK13,"abrir"))</f>
        <v/>
      </c>
      <c r="AM13" s="6" t="inlineStr"/>
      <c r="AN13" s="3">
        <f>IF($A13="","",$A13&amp;IF($B13="","0010",$B13))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1" t="n">
        <v>46216</v>
      </c>
      <c r="K14" s="3" t="n">
        <v>10</v>
      </c>
      <c r="L14" s="10" t="n">
        <v>400</v>
      </c>
      <c r="M14" s="3">
        <f>IF($A14="","",IFERROR(INDEX('AJUSTES'!$B$4:$B$303,MATCH($AN14,'AJUSTES'!$A$4:$A$303,0)),IF($K14="","",$K14)))</f>
        <v/>
      </c>
      <c r="N14" s="3">
        <f>IF($A14="","",IFERROR(INDEX('CAT_ESTADOS_ERP'!$B$4:$B$7,MATCH(IFERROR(INDEX('2_IMPORTAR_EJECUCION'!$C$9:$C$1208,MATCH($AN14,'2_IMPORTAR_EJECUCION'!$J$9:$J$1208,0)),""),'CAT_ESTADOS_ERP'!$A$4:$A$7,0)),"Pendiente"))</f>
        <v/>
      </c>
      <c r="O14" s="3">
        <f>IF($J14="","",YEAR($J14+4-WEEKDAY($J14,2))&amp;"-S"&amp;TEXT(_xlfn.ISOWEEKNUM($J14),"00"))</f>
        <v/>
      </c>
      <c r="P14" s="3">
        <f>IF($J14="","",YEAR($J14))</f>
        <v/>
      </c>
      <c r="Q14" s="3">
        <f>IF($J14="","",MONTH($J14))</f>
        <v/>
      </c>
      <c r="R14" s="3">
        <f>IF($J14="","",INDEX(lista_dias,WEEKDAY($J14,2)))</f>
        <v/>
      </c>
      <c r="S14" s="3">
        <f>IF($I14="","",IFERROR(INDEX('CAT_TIPOS_OT'!$C$4:$C$7,MATCH($I14,'CAT_TIPOS_OT'!$A$4:$A$7,0)),"sin_clasificar"))</f>
        <v/>
      </c>
      <c r="T14" s="3">
        <f>IF($F14="","",IFERROR(INDEX('CAT_CENTROS_COSTO'!$E$4:$E$9,MATCH($F14,'CAT_CENTROS_COSTO'!$A$4:$A$9,0)),"(sin catálogo)"))</f>
        <v/>
      </c>
      <c r="U14" s="3">
        <f>IF($F14="","",IFERROR(INDEX('CAT_CENTROS_COSTO'!$D$4:$D$9,MATCH($F14,'CAT_CENTROS_COSTO'!$A$4:$A$9,0)),"(sin catálogo)"))</f>
        <v/>
      </c>
      <c r="V14" s="3">
        <f>IF($F14="","",IFERROR(INDEX('CAT_CENTROS_COSTO'!$F$4:$F$9,MATCH($F14,'CAT_CENTROS_COSTO'!$A$4:$A$9,0)),"(sin catálogo)"))</f>
        <v/>
      </c>
      <c r="W14" s="3">
        <f>IF($G14="","",IFERROR(INDEX('CAT_PUESTOS'!$B$4:$B$8,MATCH($G14,'CAT_PUESTOS'!$A$4:$A$8,0)),"(sin catálogo)"))</f>
        <v/>
      </c>
      <c r="X14" s="3">
        <f>IF($H14="","",IFERROR(INDEX('CAT_ACTIVIDADES'!$B$4:$B$8,MATCH($H14,'CAT_ACTIVIDADES'!$A$4:$A$8,0)),"(sin catálogo)"))</f>
        <v/>
      </c>
      <c r="Y14" s="12">
        <f>IF($J14="","",TODAY()-$J14)</f>
        <v/>
      </c>
      <c r="Z14" s="3">
        <f>IF($Y14="","",IF($Y14&lt;0,"FUTURO",IF($Y14&gt;p_dias_backlog_max,"BACKLOG","MES CORRIENTE")))</f>
        <v/>
      </c>
      <c r="AA14" s="3">
        <f>IF($Y14="",FALSE,AND($Y14&gt;p_dias_backlog_min,$Y14&lt;=p_dias_backlog_max))</f>
        <v/>
      </c>
      <c r="AB14" s="6" t="inlineStr">
        <is>
          <t>Técnico 03</t>
        </is>
      </c>
      <c r="AC14" s="3">
        <f>IF($AB14="","",IFERROR(INDEX('ASIGNACIONES'!$F$4:$F$339,MATCH($O14&amp;"|"&amp;$R14&amp;"|"&amp;$AB14,'ASIGNACIONES'!$I$4:$I$339,0)),""))</f>
        <v/>
      </c>
      <c r="AD14" s="13">
        <f>IF($AB14="","",SUMIFS('ORDENES'!$M$4:$M$1203,'ORDENES'!$AB$4:$AB$1203,$AB14,'ORDENES'!$O$4:$O$1203,$O14,'ORDENES'!$R$4:$R$1203,$R14))</f>
        <v/>
      </c>
      <c r="AE14" s="13">
        <f>IF($AD14="","",p_factor_productividad*IFERROR(INDEX('ASIGNACIONES'!$H$4:$H$339,MATCH($O14&amp;"|"&amp;$R14&amp;"|"&amp;$AB14,'ASIGNACIONES'!$I$4:$I$339,0)),0)-$AD14)</f>
        <v/>
      </c>
      <c r="AF14" s="10">
        <f>IF($A14="","",IFERROR(INDEX('2_IMPORTAR_EJECUCION'!$F$9:$F$1208,MATCH($AN14,'2_IMPORTAR_EJECUCION'!$J$9:$J$1208,0)),0))</f>
        <v/>
      </c>
      <c r="AG14" s="10">
        <f>IF($A14="","",MAX(0,IFERROR(INDEX('2_IMPORTAR_EJECUCION'!$H$9:$H$1208,MATCH($AN14,'2_IMPORTAR_EJECUCION'!$J$9:$J$1208,0)),0)-$AF14))</f>
        <v/>
      </c>
      <c r="AH14" s="10">
        <f>IF($A14="","",$AF14+$AG14)</f>
        <v/>
      </c>
      <c r="AI14" s="6" t="inlineStr"/>
      <c r="AJ14" s="6" t="inlineStr"/>
      <c r="AK14" s="6" t="inlineStr"/>
      <c r="AL14" s="3">
        <f>IF($AK14="","",HYPERLINK(p_ruta_base_checklists&amp;$AK14,"abrir"))</f>
        <v/>
      </c>
      <c r="AM14" s="6" t="inlineStr"/>
      <c r="AN14" s="3">
        <f>IF($A14="","",$A14&amp;IF($B14="","0010",$B14))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1" t="n">
        <v>46217</v>
      </c>
      <c r="K15" s="3" t="n">
        <v>10</v>
      </c>
      <c r="L15" s="10" t="n">
        <v>400</v>
      </c>
      <c r="M15" s="3">
        <f>IF($A15="","",IFERROR(INDEX('AJUSTES'!$B$4:$B$303,MATCH($AN15,'AJUSTES'!$A$4:$A$303,0)),IF($K15="","",$K15)))</f>
        <v/>
      </c>
      <c r="N15" s="3">
        <f>IF($A15="","",IFERROR(INDEX('CAT_ESTADOS_ERP'!$B$4:$B$7,MATCH(IFERROR(INDEX('2_IMPORTAR_EJECUCION'!$C$9:$C$1208,MATCH($AN15,'2_IMPORTAR_EJECUCION'!$J$9:$J$1208,0)),""),'CAT_ESTADOS_ERP'!$A$4:$A$7,0)),"Pendiente"))</f>
        <v/>
      </c>
      <c r="O15" s="3">
        <f>IF($J15="","",YEAR($J15+4-WEEKDAY($J15,2))&amp;"-S"&amp;TEXT(_xlfn.ISOWEEKNUM($J15),"00"))</f>
        <v/>
      </c>
      <c r="P15" s="3">
        <f>IF($J15="","",YEAR($J15))</f>
        <v/>
      </c>
      <c r="Q15" s="3">
        <f>IF($J15="","",MONTH($J15))</f>
        <v/>
      </c>
      <c r="R15" s="3">
        <f>IF($J15="","",INDEX(lista_dias,WEEKDAY($J15,2)))</f>
        <v/>
      </c>
      <c r="S15" s="3">
        <f>IF($I15="","",IFERROR(INDEX('CAT_TIPOS_OT'!$C$4:$C$7,MATCH($I15,'CAT_TIPOS_OT'!$A$4:$A$7,0)),"sin_clasificar"))</f>
        <v/>
      </c>
      <c r="T15" s="3">
        <f>IF($F15="","",IFERROR(INDEX('CAT_CENTROS_COSTO'!$E$4:$E$9,MATCH($F15,'CAT_CENTROS_COSTO'!$A$4:$A$9,0)),"(sin catálogo)"))</f>
        <v/>
      </c>
      <c r="U15" s="3">
        <f>IF($F15="","",IFERROR(INDEX('CAT_CENTROS_COSTO'!$D$4:$D$9,MATCH($F15,'CAT_CENTROS_COSTO'!$A$4:$A$9,0)),"(sin catálogo)"))</f>
        <v/>
      </c>
      <c r="V15" s="3">
        <f>IF($F15="","",IFERROR(INDEX('CAT_CENTROS_COSTO'!$F$4:$F$9,MATCH($F15,'CAT_CENTROS_COSTO'!$A$4:$A$9,0)),"(sin catálogo)"))</f>
        <v/>
      </c>
      <c r="W15" s="3">
        <f>IF($G15="","",IFERROR(INDEX('CAT_PUESTOS'!$B$4:$B$8,MATCH($G15,'CAT_PUESTOS'!$A$4:$A$8,0)),"(sin catálogo)"))</f>
        <v/>
      </c>
      <c r="X15" s="3">
        <f>IF($H15="","",IFERROR(INDEX('CAT_ACTIVIDADES'!$B$4:$B$8,MATCH($H15,'CAT_ACTIVIDADES'!$A$4:$A$8,0)),"(sin catálogo)"))</f>
        <v/>
      </c>
      <c r="Y15" s="12">
        <f>IF($J15="","",TODAY()-$J15)</f>
        <v/>
      </c>
      <c r="Z15" s="3">
        <f>IF($Y15="","",IF($Y15&lt;0,"FUTURO",IF($Y15&gt;p_dias_backlog_max,"BACKLOG","MES CORRIENTE")))</f>
        <v/>
      </c>
      <c r="AA15" s="3">
        <f>IF($Y15="",FALSE,AND($Y15&gt;p_dias_backlog_min,$Y15&lt;=p_dias_backlog_max))</f>
        <v/>
      </c>
      <c r="AB15" s="6" t="inlineStr"/>
      <c r="AC15" s="3">
        <f>IF($AB15="","",IFERROR(INDEX('ASIGNACIONES'!$F$4:$F$339,MATCH($O15&amp;"|"&amp;$R15&amp;"|"&amp;$AB15,'ASIGNACIONES'!$I$4:$I$339,0)),""))</f>
        <v/>
      </c>
      <c r="AD15" s="13">
        <f>IF($AB15="","",SUMIFS('ORDENES'!$M$4:$M$1203,'ORDENES'!$AB$4:$AB$1203,$AB15,'ORDENES'!$O$4:$O$1203,$O15,'ORDENES'!$R$4:$R$1203,$R15))</f>
        <v/>
      </c>
      <c r="AE15" s="13">
        <f>IF($AD15="","",p_factor_productividad*IFERROR(INDEX('ASIGNACIONES'!$H$4:$H$339,MATCH($O15&amp;"|"&amp;$R15&amp;"|"&amp;$AB15,'ASIGNACIONES'!$I$4:$I$339,0)),0)-$AD15)</f>
        <v/>
      </c>
      <c r="AF15" s="10">
        <f>IF($A15="","",IFERROR(INDEX('2_IMPORTAR_EJECUCION'!$F$9:$F$1208,MATCH($AN15,'2_IMPORTAR_EJECUCION'!$J$9:$J$1208,0)),0))</f>
        <v/>
      </c>
      <c r="AG15" s="10">
        <f>IF($A15="","",MAX(0,IFERROR(INDEX('2_IMPORTAR_EJECUCION'!$H$9:$H$1208,MATCH($AN15,'2_IMPORTAR_EJECUCION'!$J$9:$J$1208,0)),0)-$AF15))</f>
        <v/>
      </c>
      <c r="AH15" s="10">
        <f>IF($A15="","",$AF15+$AG15)</f>
        <v/>
      </c>
      <c r="AI15" s="6" t="inlineStr">
        <is>
          <t>PT-CALIENTE</t>
        </is>
      </c>
      <c r="AJ15" s="6" t="inlineStr">
        <is>
          <t>LOTO</t>
        </is>
      </c>
      <c r="AK15" s="6" t="inlineStr"/>
      <c r="AL15" s="3">
        <f>IF($AK15="","",HYPERLINK(p_ruta_base_checklists&amp;$AK15,"abrir"))</f>
        <v/>
      </c>
      <c r="AM15" s="6" t="inlineStr"/>
      <c r="AN15" s="3">
        <f>IF($A15="","",$A15&amp;IF($B15="","0010",$B15))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1" t="n">
        <v>46225</v>
      </c>
      <c r="K16" s="3" t="n">
        <v>10</v>
      </c>
      <c r="L16" s="10" t="n">
        <v>250</v>
      </c>
      <c r="M16" s="3">
        <f>IF($A16="","",IFERROR(INDEX('AJUSTES'!$B$4:$B$303,MATCH($AN16,'AJUSTES'!$A$4:$A$303,0)),IF($K16="","",$K16)))</f>
        <v/>
      </c>
      <c r="N16" s="3">
        <f>IF($A16="","",IFERROR(INDEX('CAT_ESTADOS_ERP'!$B$4:$B$7,MATCH(IFERROR(INDEX('2_IMPORTAR_EJECUCION'!$C$9:$C$1208,MATCH($AN16,'2_IMPORTAR_EJECUCION'!$J$9:$J$1208,0)),""),'CAT_ESTADOS_ERP'!$A$4:$A$7,0)),"Pendiente"))</f>
        <v/>
      </c>
      <c r="O16" s="3">
        <f>IF($J16="","",YEAR($J16+4-WEEKDAY($J16,2))&amp;"-S"&amp;TEXT(_xlfn.ISOWEEKNUM($J16),"00"))</f>
        <v/>
      </c>
      <c r="P16" s="3">
        <f>IF($J16="","",YEAR($J16))</f>
        <v/>
      </c>
      <c r="Q16" s="3">
        <f>IF($J16="","",MONTH($J16))</f>
        <v/>
      </c>
      <c r="R16" s="3">
        <f>IF($J16="","",INDEX(lista_dias,WEEKDAY($J16,2)))</f>
        <v/>
      </c>
      <c r="S16" s="3">
        <f>IF($I16="","",IFERROR(INDEX('CAT_TIPOS_OT'!$C$4:$C$7,MATCH($I16,'CAT_TIPOS_OT'!$A$4:$A$7,0)),"sin_clasificar"))</f>
        <v/>
      </c>
      <c r="T16" s="3">
        <f>IF($F16="","",IFERROR(INDEX('CAT_CENTROS_COSTO'!$E$4:$E$9,MATCH($F16,'CAT_CENTROS_COSTO'!$A$4:$A$9,0)),"(sin catálogo)"))</f>
        <v/>
      </c>
      <c r="U16" s="3">
        <f>IF($F16="","",IFERROR(INDEX('CAT_CENTROS_COSTO'!$D$4:$D$9,MATCH($F16,'CAT_CENTROS_COSTO'!$A$4:$A$9,0)),"(sin catálogo)"))</f>
        <v/>
      </c>
      <c r="V16" s="3">
        <f>IF($F16="","",IFERROR(INDEX('CAT_CENTROS_COSTO'!$F$4:$F$9,MATCH($F16,'CAT_CENTROS_COSTO'!$A$4:$A$9,0)),"(sin catálogo)"))</f>
        <v/>
      </c>
      <c r="W16" s="3">
        <f>IF($G16="","",IFERROR(INDEX('CAT_PUESTOS'!$B$4:$B$8,MATCH($G16,'CAT_PUESTOS'!$A$4:$A$8,0)),"(sin catálogo)"))</f>
        <v/>
      </c>
      <c r="X16" s="3">
        <f>IF($H16="","",IFERROR(INDEX('CAT_ACTIVIDADES'!$B$4:$B$8,MATCH($H16,'CAT_ACTIVIDADES'!$A$4:$A$8,0)),"(sin catálogo)"))</f>
        <v/>
      </c>
      <c r="Y16" s="12">
        <f>IF($J16="","",TODAY()-$J16)</f>
        <v/>
      </c>
      <c r="Z16" s="3">
        <f>IF($Y16="","",IF($Y16&lt;0,"FUTURO",IF($Y16&gt;p_dias_backlog_max,"BACKLOG","MES CORRIENTE")))</f>
        <v/>
      </c>
      <c r="AA16" s="3">
        <f>IF($Y16="",FALSE,AND($Y16&gt;p_dias_backlog_min,$Y16&lt;=p_dias_backlog_max))</f>
        <v/>
      </c>
      <c r="AB16" s="6" t="inlineStr">
        <is>
          <t>Técnico 01</t>
        </is>
      </c>
      <c r="AC16" s="3">
        <f>IF($AB16="","",IFERROR(INDEX('ASIGNACIONES'!$F$4:$F$339,MATCH($O16&amp;"|"&amp;$R16&amp;"|"&amp;$AB16,'ASIGNACIONES'!$I$4:$I$339,0)),""))</f>
        <v/>
      </c>
      <c r="AD16" s="13">
        <f>IF($AB16="","",SUMIFS('ORDENES'!$M$4:$M$1203,'ORDENES'!$AB$4:$AB$1203,$AB16,'ORDENES'!$O$4:$O$1203,$O16,'ORDENES'!$R$4:$R$1203,$R16))</f>
        <v/>
      </c>
      <c r="AE16" s="13">
        <f>IF($AD16="","",p_factor_productividad*IFERROR(INDEX('ASIGNACIONES'!$H$4:$H$339,MATCH($O16&amp;"|"&amp;$R16&amp;"|"&amp;$AB16,'ASIGNACIONES'!$I$4:$I$339,0)),0)-$AD16)</f>
        <v/>
      </c>
      <c r="AF16" s="10">
        <f>IF($A16="","",IFERROR(INDEX('2_IMPORTAR_EJECUCION'!$F$9:$F$1208,MATCH($AN16,'2_IMPORTAR_EJECUCION'!$J$9:$J$1208,0)),0))</f>
        <v/>
      </c>
      <c r="AG16" s="10">
        <f>IF($A16="","",MAX(0,IFERROR(INDEX('2_IMPORTAR_EJECUCION'!$H$9:$H$1208,MATCH($AN16,'2_IMPORTAR_EJECUCION'!$J$9:$J$1208,0)),0)-$AF16))</f>
        <v/>
      </c>
      <c r="AH16" s="10">
        <f>IF($A16="","",$AF16+$AG16)</f>
        <v/>
      </c>
      <c r="AI16" s="6" t="inlineStr"/>
      <c r="AJ16" s="6" t="inlineStr"/>
      <c r="AK16" s="6" t="inlineStr">
        <is>
          <t>ACT-02.pdf</t>
        </is>
      </c>
      <c r="AL16" s="3">
        <f>IF($AK16="","",HYPERLINK(p_ruta_base_checklists&amp;$AK16,"abrir"))</f>
        <v/>
      </c>
      <c r="AM16" s="6" t="inlineStr"/>
      <c r="AN16" s="3">
        <f>IF($A16="","",$A16&amp;IF($B16="","0010",$B16))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1" t="n">
        <v>46226</v>
      </c>
      <c r="K17" s="3" t="n">
        <v>8</v>
      </c>
      <c r="L17" s="10" t="n">
        <v>200</v>
      </c>
      <c r="M17" s="3">
        <f>IF($A17="","",IFERROR(INDEX('AJUSTES'!$B$4:$B$303,MATCH($AN17,'AJUSTES'!$A$4:$A$303,0)),IF($K17="","",$K17)))</f>
        <v/>
      </c>
      <c r="N17" s="3">
        <f>IF($A17="","",IFERROR(INDEX('CAT_ESTADOS_ERP'!$B$4:$B$7,MATCH(IFERROR(INDEX('2_IMPORTAR_EJECUCION'!$C$9:$C$1208,MATCH($AN17,'2_IMPORTAR_EJECUCION'!$J$9:$J$1208,0)),""),'CAT_ESTADOS_ERP'!$A$4:$A$7,0)),"Pendiente"))</f>
        <v/>
      </c>
      <c r="O17" s="3">
        <f>IF($J17="","",YEAR($J17+4-WEEKDAY($J17,2))&amp;"-S"&amp;TEXT(_xlfn.ISOWEEKNUM($J17),"00"))</f>
        <v/>
      </c>
      <c r="P17" s="3">
        <f>IF($J17="","",YEAR($J17))</f>
        <v/>
      </c>
      <c r="Q17" s="3">
        <f>IF($J17="","",MONTH($J17))</f>
        <v/>
      </c>
      <c r="R17" s="3">
        <f>IF($J17="","",INDEX(lista_dias,WEEKDAY($J17,2)))</f>
        <v/>
      </c>
      <c r="S17" s="3">
        <f>IF($I17="","",IFERROR(INDEX('CAT_TIPOS_OT'!$C$4:$C$7,MATCH($I17,'CAT_TIPOS_OT'!$A$4:$A$7,0)),"sin_clasificar"))</f>
        <v/>
      </c>
      <c r="T17" s="3">
        <f>IF($F17="","",IFERROR(INDEX('CAT_CENTROS_COSTO'!$E$4:$E$9,MATCH($F17,'CAT_CENTROS_COSTO'!$A$4:$A$9,0)),"(sin catálogo)"))</f>
        <v/>
      </c>
      <c r="U17" s="3">
        <f>IF($F17="","",IFERROR(INDEX('CAT_CENTROS_COSTO'!$D$4:$D$9,MATCH($F17,'CAT_CENTROS_COSTO'!$A$4:$A$9,0)),"(sin catálogo)"))</f>
        <v/>
      </c>
      <c r="V17" s="3">
        <f>IF($F17="","",IFERROR(INDEX('CAT_CENTROS_COSTO'!$F$4:$F$9,MATCH($F17,'CAT_CENTROS_COSTO'!$A$4:$A$9,0)),"(sin catálogo)"))</f>
        <v/>
      </c>
      <c r="W17" s="3">
        <f>IF($G17="","",IFERROR(INDEX('CAT_PUESTOS'!$B$4:$B$8,MATCH($G17,'CAT_PUESTOS'!$A$4:$A$8,0)),"(sin catálogo)"))</f>
        <v/>
      </c>
      <c r="X17" s="3">
        <f>IF($H17="","",IFERROR(INDEX('CAT_ACTIVIDADES'!$B$4:$B$8,MATCH($H17,'CAT_ACTIVIDADES'!$A$4:$A$8,0)),"(sin catálogo)"))</f>
        <v/>
      </c>
      <c r="Y17" s="12">
        <f>IF($J17="","",TODAY()-$J17)</f>
        <v/>
      </c>
      <c r="Z17" s="3">
        <f>IF($Y17="","",IF($Y17&lt;0,"FUTURO",IF($Y17&gt;p_dias_backlog_max,"BACKLOG","MES CORRIENTE")))</f>
        <v/>
      </c>
      <c r="AA17" s="3">
        <f>IF($Y17="",FALSE,AND($Y17&gt;p_dias_backlog_min,$Y17&lt;=p_dias_backlog_max))</f>
        <v/>
      </c>
      <c r="AB17" s="6" t="inlineStr">
        <is>
          <t>Técnico 02</t>
        </is>
      </c>
      <c r="AC17" s="3">
        <f>IF($AB17="","",IFERROR(INDEX('ASIGNACIONES'!$F$4:$F$339,MATCH($O17&amp;"|"&amp;$R17&amp;"|"&amp;$AB17,'ASIGNACIONES'!$I$4:$I$339,0)),""))</f>
        <v/>
      </c>
      <c r="AD17" s="13">
        <f>IF($AB17="","",SUMIFS('ORDENES'!$M$4:$M$1203,'ORDENES'!$AB$4:$AB$1203,$AB17,'ORDENES'!$O$4:$O$1203,$O17,'ORDENES'!$R$4:$R$1203,$R17))</f>
        <v/>
      </c>
      <c r="AE17" s="13">
        <f>IF($AD17="","",p_factor_productividad*IFERROR(INDEX('ASIGNACIONES'!$H$4:$H$339,MATCH($O17&amp;"|"&amp;$R17&amp;"|"&amp;$AB17,'ASIGNACIONES'!$I$4:$I$339,0)),0)-$AD17)</f>
        <v/>
      </c>
      <c r="AF17" s="10">
        <f>IF($A17="","",IFERROR(INDEX('2_IMPORTAR_EJECUCION'!$F$9:$F$1208,MATCH($AN17,'2_IMPORTAR_EJECUCION'!$J$9:$J$1208,0)),0))</f>
        <v/>
      </c>
      <c r="AG17" s="10">
        <f>IF($A17="","",MAX(0,IFERROR(INDEX('2_IMPORTAR_EJECUCION'!$H$9:$H$1208,MATCH($AN17,'2_IMPORTAR_EJECUCION'!$J$9:$J$1208,0)),0)-$AF17))</f>
        <v/>
      </c>
      <c r="AH17" s="10">
        <f>IF($A17="","",$AF17+$AG17)</f>
        <v/>
      </c>
      <c r="AI17" s="6" t="inlineStr"/>
      <c r="AJ17" s="6" t="inlineStr"/>
      <c r="AK17" s="6" t="inlineStr">
        <is>
          <t>ACT-04.pdf</t>
        </is>
      </c>
      <c r="AL17" s="3">
        <f>IF($AK17="","",HYPERLINK(p_ruta_base_checklists&amp;$AK17,"abrir"))</f>
        <v/>
      </c>
      <c r="AM17" s="6" t="inlineStr"/>
      <c r="AN17" s="3">
        <f>IF($A17="","",$A17&amp;IF($B17="","0010",$B17))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1" t="n">
        <v>46227</v>
      </c>
      <c r="K18" s="3" t="n">
        <v>6</v>
      </c>
      <c r="L18" s="10" t="n">
        <v>150</v>
      </c>
      <c r="M18" s="3">
        <f>IF($A18="","",IFERROR(INDEX('AJUSTES'!$B$4:$B$303,MATCH($AN18,'AJUSTES'!$A$4:$A$303,0)),IF($K18="","",$K18)))</f>
        <v/>
      </c>
      <c r="N18" s="3">
        <f>IF($A18="","",IFERROR(INDEX('CAT_ESTADOS_ERP'!$B$4:$B$7,MATCH(IFERROR(INDEX('2_IMPORTAR_EJECUCION'!$C$9:$C$1208,MATCH($AN18,'2_IMPORTAR_EJECUCION'!$J$9:$J$1208,0)),""),'CAT_ESTADOS_ERP'!$A$4:$A$7,0)),"Pendiente"))</f>
        <v/>
      </c>
      <c r="O18" s="3">
        <f>IF($J18="","",YEAR($J18+4-WEEKDAY($J18,2))&amp;"-S"&amp;TEXT(_xlfn.ISOWEEKNUM($J18),"00"))</f>
        <v/>
      </c>
      <c r="P18" s="3">
        <f>IF($J18="","",YEAR($J18))</f>
        <v/>
      </c>
      <c r="Q18" s="3">
        <f>IF($J18="","",MONTH($J18))</f>
        <v/>
      </c>
      <c r="R18" s="3">
        <f>IF($J18="","",INDEX(lista_dias,WEEKDAY($J18,2)))</f>
        <v/>
      </c>
      <c r="S18" s="3">
        <f>IF($I18="","",IFERROR(INDEX('CAT_TIPOS_OT'!$C$4:$C$7,MATCH($I18,'CAT_TIPOS_OT'!$A$4:$A$7,0)),"sin_clasificar"))</f>
        <v/>
      </c>
      <c r="T18" s="3">
        <f>IF($F18="","",IFERROR(INDEX('CAT_CENTROS_COSTO'!$E$4:$E$9,MATCH($F18,'CAT_CENTROS_COSTO'!$A$4:$A$9,0)),"(sin catálogo)"))</f>
        <v/>
      </c>
      <c r="U18" s="3">
        <f>IF($F18="","",IFERROR(INDEX('CAT_CENTROS_COSTO'!$D$4:$D$9,MATCH($F18,'CAT_CENTROS_COSTO'!$A$4:$A$9,0)),"(sin catálogo)"))</f>
        <v/>
      </c>
      <c r="V18" s="3">
        <f>IF($F18="","",IFERROR(INDEX('CAT_CENTROS_COSTO'!$F$4:$F$9,MATCH($F18,'CAT_CENTROS_COSTO'!$A$4:$A$9,0)),"(sin catálogo)"))</f>
        <v/>
      </c>
      <c r="W18" s="3">
        <f>IF($G18="","",IFERROR(INDEX('CAT_PUESTOS'!$B$4:$B$8,MATCH($G18,'CAT_PUESTOS'!$A$4:$A$8,0)),"(sin catálogo)"))</f>
        <v/>
      </c>
      <c r="X18" s="3">
        <f>IF($H18="","",IFERROR(INDEX('CAT_ACTIVIDADES'!$B$4:$B$8,MATCH($H18,'CAT_ACTIVIDADES'!$A$4:$A$8,0)),"(sin catálogo)"))</f>
        <v/>
      </c>
      <c r="Y18" s="12">
        <f>IF($J18="","",TODAY()-$J18)</f>
        <v/>
      </c>
      <c r="Z18" s="3">
        <f>IF($Y18="","",IF($Y18&lt;0,"FUTURO",IF($Y18&gt;p_dias_backlog_max,"BACKLOG","MES CORRIENTE")))</f>
        <v/>
      </c>
      <c r="AA18" s="3">
        <f>IF($Y18="",FALSE,AND($Y18&gt;p_dias_backlog_min,$Y18&lt;=p_dias_backlog_max))</f>
        <v/>
      </c>
      <c r="AB18" s="6" t="inlineStr">
        <is>
          <t>Técnico 03</t>
        </is>
      </c>
      <c r="AC18" s="3">
        <f>IF($AB18="","",IFERROR(INDEX('ASIGNACIONES'!$F$4:$F$339,MATCH($O18&amp;"|"&amp;$R18&amp;"|"&amp;$AB18,'ASIGNACIONES'!$I$4:$I$339,0)),""))</f>
        <v/>
      </c>
      <c r="AD18" s="13">
        <f>IF($AB18="","",SUMIFS('ORDENES'!$M$4:$M$1203,'ORDENES'!$AB$4:$AB$1203,$AB18,'ORDENES'!$O$4:$O$1203,$O18,'ORDENES'!$R$4:$R$1203,$R18))</f>
        <v/>
      </c>
      <c r="AE18" s="13">
        <f>IF($AD18="","",p_factor_productividad*IFERROR(INDEX('ASIGNACIONES'!$H$4:$H$339,MATCH($O18&amp;"|"&amp;$R18&amp;"|"&amp;$AB18,'ASIGNACIONES'!$I$4:$I$339,0)),0)-$AD18)</f>
        <v/>
      </c>
      <c r="AF18" s="10">
        <f>IF($A18="","",IFERROR(INDEX('2_IMPORTAR_EJECUCION'!$F$9:$F$1208,MATCH($AN18,'2_IMPORTAR_EJECUCION'!$J$9:$J$1208,0)),0))</f>
        <v/>
      </c>
      <c r="AG18" s="10">
        <f>IF($A18="","",MAX(0,IFERROR(INDEX('2_IMPORTAR_EJECUCION'!$H$9:$H$1208,MATCH($AN18,'2_IMPORTAR_EJECUCION'!$J$9:$J$1208,0)),0)-$AF18))</f>
        <v/>
      </c>
      <c r="AH18" s="10">
        <f>IF($A18="","",$AF18+$AG18)</f>
        <v/>
      </c>
      <c r="AI18" s="6" t="inlineStr"/>
      <c r="AJ18" s="6" t="inlineStr"/>
      <c r="AK18" s="6" t="inlineStr">
        <is>
          <t>ACT-01.pdf</t>
        </is>
      </c>
      <c r="AL18" s="3">
        <f>IF($AK18="","",HYPERLINK(p_ruta_base_checklists&amp;$AK18,"abrir"))</f>
        <v/>
      </c>
      <c r="AM18" s="6" t="inlineStr"/>
      <c r="AN18" s="3">
        <f>IF($A18="","",$A18&amp;IF($B18="","0010",$B18))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1" t="n">
        <v>46223</v>
      </c>
      <c r="K19" s="3" t="n">
        <v>10</v>
      </c>
      <c r="L19" s="10" t="n">
        <v>250</v>
      </c>
      <c r="M19" s="3">
        <f>IF($A19="","",IFERROR(INDEX('AJUSTES'!$B$4:$B$303,MATCH($AN19,'AJUSTES'!$A$4:$A$303,0)),IF($K19="","",$K19)))</f>
        <v/>
      </c>
      <c r="N19" s="3">
        <f>IF($A19="","",IFERROR(INDEX('CAT_ESTADOS_ERP'!$B$4:$B$7,MATCH(IFERROR(INDEX('2_IMPORTAR_EJECUCION'!$C$9:$C$1208,MATCH($AN19,'2_IMPORTAR_EJECUCION'!$J$9:$J$1208,0)),""),'CAT_ESTADOS_ERP'!$A$4:$A$7,0)),"Pendiente"))</f>
        <v/>
      </c>
      <c r="O19" s="3">
        <f>IF($J19="","",YEAR($J19+4-WEEKDAY($J19,2))&amp;"-S"&amp;TEXT(_xlfn.ISOWEEKNUM($J19),"00"))</f>
        <v/>
      </c>
      <c r="P19" s="3">
        <f>IF($J19="","",YEAR($J19))</f>
        <v/>
      </c>
      <c r="Q19" s="3">
        <f>IF($J19="","",MONTH($J19))</f>
        <v/>
      </c>
      <c r="R19" s="3">
        <f>IF($J19="","",INDEX(lista_dias,WEEKDAY($J19,2)))</f>
        <v/>
      </c>
      <c r="S19" s="3">
        <f>IF($I19="","",IFERROR(INDEX('CAT_TIPOS_OT'!$C$4:$C$7,MATCH($I19,'CAT_TIPOS_OT'!$A$4:$A$7,0)),"sin_clasificar"))</f>
        <v/>
      </c>
      <c r="T19" s="3">
        <f>IF($F19="","",IFERROR(INDEX('CAT_CENTROS_COSTO'!$E$4:$E$9,MATCH($F19,'CAT_CENTROS_COSTO'!$A$4:$A$9,0)),"(sin catálogo)"))</f>
        <v/>
      </c>
      <c r="U19" s="3">
        <f>IF($F19="","",IFERROR(INDEX('CAT_CENTROS_COSTO'!$D$4:$D$9,MATCH($F19,'CAT_CENTROS_COSTO'!$A$4:$A$9,0)),"(sin catálogo)"))</f>
        <v/>
      </c>
      <c r="V19" s="3">
        <f>IF($F19="","",IFERROR(INDEX('CAT_CENTROS_COSTO'!$F$4:$F$9,MATCH($F19,'CAT_CENTROS_COSTO'!$A$4:$A$9,0)),"(sin catálogo)"))</f>
        <v/>
      </c>
      <c r="W19" s="3">
        <f>IF($G19="","",IFERROR(INDEX('CAT_PUESTOS'!$B$4:$B$8,MATCH($G19,'CAT_PUESTOS'!$A$4:$A$8,0)),"(sin catálogo)"))</f>
        <v/>
      </c>
      <c r="X19" s="3">
        <f>IF($H19="","",IFERROR(INDEX('CAT_ACTIVIDADES'!$B$4:$B$8,MATCH($H19,'CAT_ACTIVIDADES'!$A$4:$A$8,0)),"(sin catálogo)"))</f>
        <v/>
      </c>
      <c r="Y19" s="12">
        <f>IF($J19="","",TODAY()-$J19)</f>
        <v/>
      </c>
      <c r="Z19" s="3">
        <f>IF($Y19="","",IF($Y19&lt;0,"FUTURO",IF($Y19&gt;p_dias_backlog_max,"BACKLOG","MES CORRIENTE")))</f>
        <v/>
      </c>
      <c r="AA19" s="3">
        <f>IF($Y19="",FALSE,AND($Y19&gt;p_dias_backlog_min,$Y19&lt;=p_dias_backlog_max))</f>
        <v/>
      </c>
      <c r="AB19" s="6" t="inlineStr">
        <is>
          <t>Técnico 04</t>
        </is>
      </c>
      <c r="AC19" s="3">
        <f>IF($AB19="","",IFERROR(INDEX('ASIGNACIONES'!$F$4:$F$339,MATCH($O19&amp;"|"&amp;$R19&amp;"|"&amp;$AB19,'ASIGNACIONES'!$I$4:$I$339,0)),""))</f>
        <v/>
      </c>
      <c r="AD19" s="13">
        <f>IF($AB19="","",SUMIFS('ORDENES'!$M$4:$M$1203,'ORDENES'!$AB$4:$AB$1203,$AB19,'ORDENES'!$O$4:$O$1203,$O19,'ORDENES'!$R$4:$R$1203,$R19))</f>
        <v/>
      </c>
      <c r="AE19" s="13">
        <f>IF($AD19="","",p_factor_productividad*IFERROR(INDEX('ASIGNACIONES'!$H$4:$H$339,MATCH($O19&amp;"|"&amp;$R19&amp;"|"&amp;$AB19,'ASIGNACIONES'!$I$4:$I$339,0)),0)-$AD19)</f>
        <v/>
      </c>
      <c r="AF19" s="10">
        <f>IF($A19="","",IFERROR(INDEX('2_IMPORTAR_EJECUCION'!$F$9:$F$1208,MATCH($AN19,'2_IMPORTAR_EJECUCION'!$J$9:$J$1208,0)),0))</f>
        <v/>
      </c>
      <c r="AG19" s="10">
        <f>IF($A19="","",MAX(0,IFERROR(INDEX('2_IMPORTAR_EJECUCION'!$H$9:$H$1208,MATCH($AN19,'2_IMPORTAR_EJECUCION'!$J$9:$J$1208,0)),0)-$AF19))</f>
        <v/>
      </c>
      <c r="AH19" s="10">
        <f>IF($A19="","",$AF19+$AG19)</f>
        <v/>
      </c>
      <c r="AI19" s="6" t="inlineStr"/>
      <c r="AJ19" s="6" t="inlineStr"/>
      <c r="AK19" s="6" t="inlineStr">
        <is>
          <t>ACT-02.pdf</t>
        </is>
      </c>
      <c r="AL19" s="3">
        <f>IF($AK19="","",HYPERLINK(p_ruta_base_checklists&amp;$AK19,"abrir"))</f>
        <v/>
      </c>
      <c r="AM19" s="6" t="inlineStr"/>
      <c r="AN19" s="3">
        <f>IF($A19="","",$A19&amp;IF($B19="","0010",$B19))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1" t="n">
        <v>46224</v>
      </c>
      <c r="K20" s="3" t="n">
        <v>8</v>
      </c>
      <c r="L20" s="10" t="n">
        <v>200</v>
      </c>
      <c r="M20" s="3">
        <f>IF($A20="","",IFERROR(INDEX('AJUSTES'!$B$4:$B$303,MATCH($AN20,'AJUSTES'!$A$4:$A$303,0)),IF($K20="","",$K20)))</f>
        <v/>
      </c>
      <c r="N20" s="3">
        <f>IF($A20="","",IFERROR(INDEX('CAT_ESTADOS_ERP'!$B$4:$B$7,MATCH(IFERROR(INDEX('2_IMPORTAR_EJECUCION'!$C$9:$C$1208,MATCH($AN20,'2_IMPORTAR_EJECUCION'!$J$9:$J$1208,0)),""),'CAT_ESTADOS_ERP'!$A$4:$A$7,0)),"Pendiente"))</f>
        <v/>
      </c>
      <c r="O20" s="3">
        <f>IF($J20="","",YEAR($J20+4-WEEKDAY($J20,2))&amp;"-S"&amp;TEXT(_xlfn.ISOWEEKNUM($J20),"00"))</f>
        <v/>
      </c>
      <c r="P20" s="3">
        <f>IF($J20="","",YEAR($J20))</f>
        <v/>
      </c>
      <c r="Q20" s="3">
        <f>IF($J20="","",MONTH($J20))</f>
        <v/>
      </c>
      <c r="R20" s="3">
        <f>IF($J20="","",INDEX(lista_dias,WEEKDAY($J20,2)))</f>
        <v/>
      </c>
      <c r="S20" s="3">
        <f>IF($I20="","",IFERROR(INDEX('CAT_TIPOS_OT'!$C$4:$C$7,MATCH($I20,'CAT_TIPOS_OT'!$A$4:$A$7,0)),"sin_clasificar"))</f>
        <v/>
      </c>
      <c r="T20" s="3">
        <f>IF($F20="","",IFERROR(INDEX('CAT_CENTROS_COSTO'!$E$4:$E$9,MATCH($F20,'CAT_CENTROS_COSTO'!$A$4:$A$9,0)),"(sin catálogo)"))</f>
        <v/>
      </c>
      <c r="U20" s="3">
        <f>IF($F20="","",IFERROR(INDEX('CAT_CENTROS_COSTO'!$D$4:$D$9,MATCH($F20,'CAT_CENTROS_COSTO'!$A$4:$A$9,0)),"(sin catálogo)"))</f>
        <v/>
      </c>
      <c r="V20" s="3">
        <f>IF($F20="","",IFERROR(INDEX('CAT_CENTROS_COSTO'!$F$4:$F$9,MATCH($F20,'CAT_CENTROS_COSTO'!$A$4:$A$9,0)),"(sin catálogo)"))</f>
        <v/>
      </c>
      <c r="W20" s="3">
        <f>IF($G20="","",IFERROR(INDEX('CAT_PUESTOS'!$B$4:$B$8,MATCH($G20,'CAT_PUESTOS'!$A$4:$A$8,0)),"(sin catálogo)"))</f>
        <v/>
      </c>
      <c r="X20" s="3">
        <f>IF($H20="","",IFERROR(INDEX('CAT_ACTIVIDADES'!$B$4:$B$8,MATCH($H20,'CAT_ACTIVIDADES'!$A$4:$A$8,0)),"(sin catálogo)"))</f>
        <v/>
      </c>
      <c r="Y20" s="12">
        <f>IF($J20="","",TODAY()-$J20)</f>
        <v/>
      </c>
      <c r="Z20" s="3">
        <f>IF($Y20="","",IF($Y20&lt;0,"FUTURO",IF($Y20&gt;p_dias_backlog_max,"BACKLOG","MES CORRIENTE")))</f>
        <v/>
      </c>
      <c r="AA20" s="3">
        <f>IF($Y20="",FALSE,AND($Y20&gt;p_dias_backlog_min,$Y20&lt;=p_dias_backlog_max))</f>
        <v/>
      </c>
      <c r="AB20" s="6" t="inlineStr">
        <is>
          <t>Técnico 01</t>
        </is>
      </c>
      <c r="AC20" s="3">
        <f>IF($AB20="","",IFERROR(INDEX('ASIGNACIONES'!$F$4:$F$339,MATCH($O20&amp;"|"&amp;$R20&amp;"|"&amp;$AB20,'ASIGNACIONES'!$I$4:$I$339,0)),""))</f>
        <v/>
      </c>
      <c r="AD20" s="13">
        <f>IF($AB20="","",SUMIFS('ORDENES'!$M$4:$M$1203,'ORDENES'!$AB$4:$AB$1203,$AB20,'ORDENES'!$O$4:$O$1203,$O20,'ORDENES'!$R$4:$R$1203,$R20))</f>
        <v/>
      </c>
      <c r="AE20" s="13">
        <f>IF($AD20="","",p_factor_productividad*IFERROR(INDEX('ASIGNACIONES'!$H$4:$H$339,MATCH($O20&amp;"|"&amp;$R20&amp;"|"&amp;$AB20,'ASIGNACIONES'!$I$4:$I$339,0)),0)-$AD20)</f>
        <v/>
      </c>
      <c r="AF20" s="10">
        <f>IF($A20="","",IFERROR(INDEX('2_IMPORTAR_EJECUCION'!$F$9:$F$1208,MATCH($AN20,'2_IMPORTAR_EJECUCION'!$J$9:$J$1208,0)),0))</f>
        <v/>
      </c>
      <c r="AG20" s="10">
        <f>IF($A20="","",MAX(0,IFERROR(INDEX('2_IMPORTAR_EJECUCION'!$H$9:$H$1208,MATCH($AN20,'2_IMPORTAR_EJECUCION'!$J$9:$J$1208,0)),0)-$AF20))</f>
        <v/>
      </c>
      <c r="AH20" s="10">
        <f>IF($A20="","",$AF20+$AG20)</f>
        <v/>
      </c>
      <c r="AI20" s="6" t="inlineStr"/>
      <c r="AJ20" s="6" t="inlineStr"/>
      <c r="AK20" s="6" t="inlineStr">
        <is>
          <t>ACT-04.pdf</t>
        </is>
      </c>
      <c r="AL20" s="3">
        <f>IF($AK20="","",HYPERLINK(p_ruta_base_checklists&amp;$AK20,"abrir"))</f>
        <v/>
      </c>
      <c r="AM20" s="6" t="inlineStr">
        <is>
          <t>Ajuste 8 → 12 h en hoja AJUSTES</t>
        </is>
      </c>
      <c r="AN20" s="3">
        <f>IF($A20="","",$A20&amp;IF($B20="","0010",$B20))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1" t="n">
        <v>46225</v>
      </c>
      <c r="K21" s="3" t="n">
        <v>6</v>
      </c>
      <c r="L21" s="10" t="n">
        <v>150</v>
      </c>
      <c r="M21" s="3">
        <f>IF($A21="","",IFERROR(INDEX('AJUSTES'!$B$4:$B$303,MATCH($AN21,'AJUSTES'!$A$4:$A$303,0)),IF($K21="","",$K21)))</f>
        <v/>
      </c>
      <c r="N21" s="3">
        <f>IF($A21="","",IFERROR(INDEX('CAT_ESTADOS_ERP'!$B$4:$B$7,MATCH(IFERROR(INDEX('2_IMPORTAR_EJECUCION'!$C$9:$C$1208,MATCH($AN21,'2_IMPORTAR_EJECUCION'!$J$9:$J$1208,0)),""),'CAT_ESTADOS_ERP'!$A$4:$A$7,0)),"Pendiente"))</f>
        <v/>
      </c>
      <c r="O21" s="3">
        <f>IF($J21="","",YEAR($J21+4-WEEKDAY($J21,2))&amp;"-S"&amp;TEXT(_xlfn.ISOWEEKNUM($J21),"00"))</f>
        <v/>
      </c>
      <c r="P21" s="3">
        <f>IF($J21="","",YEAR($J21))</f>
        <v/>
      </c>
      <c r="Q21" s="3">
        <f>IF($J21="","",MONTH($J21))</f>
        <v/>
      </c>
      <c r="R21" s="3">
        <f>IF($J21="","",INDEX(lista_dias,WEEKDAY($J21,2)))</f>
        <v/>
      </c>
      <c r="S21" s="3">
        <f>IF($I21="","",IFERROR(INDEX('CAT_TIPOS_OT'!$C$4:$C$7,MATCH($I21,'CAT_TIPOS_OT'!$A$4:$A$7,0)),"sin_clasificar"))</f>
        <v/>
      </c>
      <c r="T21" s="3">
        <f>IF($F21="","",IFERROR(INDEX('CAT_CENTROS_COSTO'!$E$4:$E$9,MATCH($F21,'CAT_CENTROS_COSTO'!$A$4:$A$9,0)),"(sin catálogo)"))</f>
        <v/>
      </c>
      <c r="U21" s="3">
        <f>IF($F21="","",IFERROR(INDEX('CAT_CENTROS_COSTO'!$D$4:$D$9,MATCH($F21,'CAT_CENTROS_COSTO'!$A$4:$A$9,0)),"(sin catálogo)"))</f>
        <v/>
      </c>
      <c r="V21" s="3">
        <f>IF($F21="","",IFERROR(INDEX('CAT_CENTROS_COSTO'!$F$4:$F$9,MATCH($F21,'CAT_CENTROS_COSTO'!$A$4:$A$9,0)),"(sin catálogo)"))</f>
        <v/>
      </c>
      <c r="W21" s="3">
        <f>IF($G21="","",IFERROR(INDEX('CAT_PUESTOS'!$B$4:$B$8,MATCH($G21,'CAT_PUESTOS'!$A$4:$A$8,0)),"(sin catálogo)"))</f>
        <v/>
      </c>
      <c r="X21" s="3">
        <f>IF($H21="","",IFERROR(INDEX('CAT_ACTIVIDADES'!$B$4:$B$8,MATCH($H21,'CAT_ACTIVIDADES'!$A$4:$A$8,0)),"(sin catálogo)"))</f>
        <v/>
      </c>
      <c r="Y21" s="12">
        <f>IF($J21="","",TODAY()-$J21)</f>
        <v/>
      </c>
      <c r="Z21" s="3">
        <f>IF($Y21="","",IF($Y21&lt;0,"FUTURO",IF($Y21&gt;p_dias_backlog_max,"BACKLOG","MES CORRIENTE")))</f>
        <v/>
      </c>
      <c r="AA21" s="3">
        <f>IF($Y21="",FALSE,AND($Y21&gt;p_dias_backlog_min,$Y21&lt;=p_dias_backlog_max))</f>
        <v/>
      </c>
      <c r="AB21" s="6" t="inlineStr">
        <is>
          <t>Técnico 02</t>
        </is>
      </c>
      <c r="AC21" s="3">
        <f>IF($AB21="","",IFERROR(INDEX('ASIGNACIONES'!$F$4:$F$339,MATCH($O21&amp;"|"&amp;$R21&amp;"|"&amp;$AB21,'ASIGNACIONES'!$I$4:$I$339,0)),""))</f>
        <v/>
      </c>
      <c r="AD21" s="13">
        <f>IF($AB21="","",SUMIFS('ORDENES'!$M$4:$M$1203,'ORDENES'!$AB$4:$AB$1203,$AB21,'ORDENES'!$O$4:$O$1203,$O21,'ORDENES'!$R$4:$R$1203,$R21))</f>
        <v/>
      </c>
      <c r="AE21" s="13">
        <f>IF($AD21="","",p_factor_productividad*IFERROR(INDEX('ASIGNACIONES'!$H$4:$H$339,MATCH($O21&amp;"|"&amp;$R21&amp;"|"&amp;$AB21,'ASIGNACIONES'!$I$4:$I$339,0)),0)-$AD21)</f>
        <v/>
      </c>
      <c r="AF21" s="10">
        <f>IF($A21="","",IFERROR(INDEX('2_IMPORTAR_EJECUCION'!$F$9:$F$1208,MATCH($AN21,'2_IMPORTAR_EJECUCION'!$J$9:$J$1208,0)),0))</f>
        <v/>
      </c>
      <c r="AG21" s="10">
        <f>IF($A21="","",MAX(0,IFERROR(INDEX('2_IMPORTAR_EJECUCION'!$H$9:$H$1208,MATCH($AN21,'2_IMPORTAR_EJECUCION'!$J$9:$J$1208,0)),0)-$AF21))</f>
        <v/>
      </c>
      <c r="AH21" s="10">
        <f>IF($A21="","",$AF21+$AG21)</f>
        <v/>
      </c>
      <c r="AI21" s="6" t="inlineStr"/>
      <c r="AJ21" s="6" t="inlineStr"/>
      <c r="AK21" s="6" t="inlineStr">
        <is>
          <t>ACT-01.pdf</t>
        </is>
      </c>
      <c r="AL21" s="3">
        <f>IF($AK21="","",HYPERLINK(p_ruta_base_checklists&amp;$AK21,"abrir"))</f>
        <v/>
      </c>
      <c r="AM21" s="6" t="inlineStr"/>
      <c r="AN21" s="3">
        <f>IF($A21="","",$A21&amp;IF($B21="","0010",$B21))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1" t="n">
        <v>46226</v>
      </c>
      <c r="K22" s="3" t="n">
        <v>10</v>
      </c>
      <c r="L22" s="10" t="n">
        <v>250</v>
      </c>
      <c r="M22" s="3">
        <f>IF($A22="","",IFERROR(INDEX('AJUSTES'!$B$4:$B$303,MATCH($AN22,'AJUSTES'!$A$4:$A$303,0)),IF($K22="","",$K22)))</f>
        <v/>
      </c>
      <c r="N22" s="3">
        <f>IF($A22="","",IFERROR(INDEX('CAT_ESTADOS_ERP'!$B$4:$B$7,MATCH(IFERROR(INDEX('2_IMPORTAR_EJECUCION'!$C$9:$C$1208,MATCH($AN22,'2_IMPORTAR_EJECUCION'!$J$9:$J$1208,0)),""),'CAT_ESTADOS_ERP'!$A$4:$A$7,0)),"Pendiente"))</f>
        <v/>
      </c>
      <c r="O22" s="3">
        <f>IF($J22="","",YEAR($J22+4-WEEKDAY($J22,2))&amp;"-S"&amp;TEXT(_xlfn.ISOWEEKNUM($J22),"00"))</f>
        <v/>
      </c>
      <c r="P22" s="3">
        <f>IF($J22="","",YEAR($J22))</f>
        <v/>
      </c>
      <c r="Q22" s="3">
        <f>IF($J22="","",MONTH($J22))</f>
        <v/>
      </c>
      <c r="R22" s="3">
        <f>IF($J22="","",INDEX(lista_dias,WEEKDAY($J22,2)))</f>
        <v/>
      </c>
      <c r="S22" s="3">
        <f>IF($I22="","",IFERROR(INDEX('CAT_TIPOS_OT'!$C$4:$C$7,MATCH($I22,'CAT_TIPOS_OT'!$A$4:$A$7,0)),"sin_clasificar"))</f>
        <v/>
      </c>
      <c r="T22" s="3">
        <f>IF($F22="","",IFERROR(INDEX('CAT_CENTROS_COSTO'!$E$4:$E$9,MATCH($F22,'CAT_CENTROS_COSTO'!$A$4:$A$9,0)),"(sin catálogo)"))</f>
        <v/>
      </c>
      <c r="U22" s="3">
        <f>IF($F22="","",IFERROR(INDEX('CAT_CENTROS_COSTO'!$D$4:$D$9,MATCH($F22,'CAT_CENTROS_COSTO'!$A$4:$A$9,0)),"(sin catálogo)"))</f>
        <v/>
      </c>
      <c r="V22" s="3">
        <f>IF($F22="","",IFERROR(INDEX('CAT_CENTROS_COSTO'!$F$4:$F$9,MATCH($F22,'CAT_CENTROS_COSTO'!$A$4:$A$9,0)),"(sin catálogo)"))</f>
        <v/>
      </c>
      <c r="W22" s="3">
        <f>IF($G22="","",IFERROR(INDEX('CAT_PUESTOS'!$B$4:$B$8,MATCH($G22,'CAT_PUESTOS'!$A$4:$A$8,0)),"(sin catálogo)"))</f>
        <v/>
      </c>
      <c r="X22" s="3">
        <f>IF($H22="","",IFERROR(INDEX('CAT_ACTIVIDADES'!$B$4:$B$8,MATCH($H22,'CAT_ACTIVIDADES'!$A$4:$A$8,0)),"(sin catálogo)"))</f>
        <v/>
      </c>
      <c r="Y22" s="12">
        <f>IF($J22="","",TODAY()-$J22)</f>
        <v/>
      </c>
      <c r="Z22" s="3">
        <f>IF($Y22="","",IF($Y22&lt;0,"FUTURO",IF($Y22&gt;p_dias_backlog_max,"BACKLOG","MES CORRIENTE")))</f>
        <v/>
      </c>
      <c r="AA22" s="3">
        <f>IF($Y22="",FALSE,AND($Y22&gt;p_dias_backlog_min,$Y22&lt;=p_dias_backlog_max))</f>
        <v/>
      </c>
      <c r="AB22" s="6" t="inlineStr">
        <is>
          <t>Técnico 03</t>
        </is>
      </c>
      <c r="AC22" s="3">
        <f>IF($AB22="","",IFERROR(INDEX('ASIGNACIONES'!$F$4:$F$339,MATCH($O22&amp;"|"&amp;$R22&amp;"|"&amp;$AB22,'ASIGNACIONES'!$I$4:$I$339,0)),""))</f>
        <v/>
      </c>
      <c r="AD22" s="13">
        <f>IF($AB22="","",SUMIFS('ORDENES'!$M$4:$M$1203,'ORDENES'!$AB$4:$AB$1203,$AB22,'ORDENES'!$O$4:$O$1203,$O22,'ORDENES'!$R$4:$R$1203,$R22))</f>
        <v/>
      </c>
      <c r="AE22" s="13">
        <f>IF($AD22="","",p_factor_productividad*IFERROR(INDEX('ASIGNACIONES'!$H$4:$H$339,MATCH($O22&amp;"|"&amp;$R22&amp;"|"&amp;$AB22,'ASIGNACIONES'!$I$4:$I$339,0)),0)-$AD22)</f>
        <v/>
      </c>
      <c r="AF22" s="10">
        <f>IF($A22="","",IFERROR(INDEX('2_IMPORTAR_EJECUCION'!$F$9:$F$1208,MATCH($AN22,'2_IMPORTAR_EJECUCION'!$J$9:$J$1208,0)),0))</f>
        <v/>
      </c>
      <c r="AG22" s="10">
        <f>IF($A22="","",MAX(0,IFERROR(INDEX('2_IMPORTAR_EJECUCION'!$H$9:$H$1208,MATCH($AN22,'2_IMPORTAR_EJECUCION'!$J$9:$J$1208,0)),0)-$AF22))</f>
        <v/>
      </c>
      <c r="AH22" s="10">
        <f>IF($A22="","",$AF22+$AG22)</f>
        <v/>
      </c>
      <c r="AI22" s="6" t="inlineStr"/>
      <c r="AJ22" s="6" t="inlineStr"/>
      <c r="AK22" s="6" t="inlineStr">
        <is>
          <t>ACT-02.pdf</t>
        </is>
      </c>
      <c r="AL22" s="3">
        <f>IF($AK22="","",HYPERLINK(p_ruta_base_checklists&amp;$AK22,"abrir"))</f>
        <v/>
      </c>
      <c r="AM22" s="6" t="inlineStr"/>
      <c r="AN22" s="3">
        <f>IF($A22="","",$A22&amp;IF($B22="","0010",$B22))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1" t="n">
        <v>46227</v>
      </c>
      <c r="K23" s="3" t="n">
        <v>8</v>
      </c>
      <c r="L23" s="10" t="n">
        <v>200</v>
      </c>
      <c r="M23" s="3">
        <f>IF($A23="","",IFERROR(INDEX('AJUSTES'!$B$4:$B$303,MATCH($AN23,'AJUSTES'!$A$4:$A$303,0)),IF($K23="","",$K23)))</f>
        <v/>
      </c>
      <c r="N23" s="3">
        <f>IF($A23="","",IFERROR(INDEX('CAT_ESTADOS_ERP'!$B$4:$B$7,MATCH(IFERROR(INDEX('2_IMPORTAR_EJECUCION'!$C$9:$C$1208,MATCH($AN23,'2_IMPORTAR_EJECUCION'!$J$9:$J$1208,0)),""),'CAT_ESTADOS_ERP'!$A$4:$A$7,0)),"Pendiente"))</f>
        <v/>
      </c>
      <c r="O23" s="3">
        <f>IF($J23="","",YEAR($J23+4-WEEKDAY($J23,2))&amp;"-S"&amp;TEXT(_xlfn.ISOWEEKNUM($J23),"00"))</f>
        <v/>
      </c>
      <c r="P23" s="3">
        <f>IF($J23="","",YEAR($J23))</f>
        <v/>
      </c>
      <c r="Q23" s="3">
        <f>IF($J23="","",MONTH($J23))</f>
        <v/>
      </c>
      <c r="R23" s="3">
        <f>IF($J23="","",INDEX(lista_dias,WEEKDAY($J23,2)))</f>
        <v/>
      </c>
      <c r="S23" s="3">
        <f>IF($I23="","",IFERROR(INDEX('CAT_TIPOS_OT'!$C$4:$C$7,MATCH($I23,'CAT_TIPOS_OT'!$A$4:$A$7,0)),"sin_clasificar"))</f>
        <v/>
      </c>
      <c r="T23" s="3">
        <f>IF($F23="","",IFERROR(INDEX('CAT_CENTROS_COSTO'!$E$4:$E$9,MATCH($F23,'CAT_CENTROS_COSTO'!$A$4:$A$9,0)),"(sin catálogo)"))</f>
        <v/>
      </c>
      <c r="U23" s="3">
        <f>IF($F23="","",IFERROR(INDEX('CAT_CENTROS_COSTO'!$D$4:$D$9,MATCH($F23,'CAT_CENTROS_COSTO'!$A$4:$A$9,0)),"(sin catálogo)"))</f>
        <v/>
      </c>
      <c r="V23" s="3">
        <f>IF($F23="","",IFERROR(INDEX('CAT_CENTROS_COSTO'!$F$4:$F$9,MATCH($F23,'CAT_CENTROS_COSTO'!$A$4:$A$9,0)),"(sin catálogo)"))</f>
        <v/>
      </c>
      <c r="W23" s="3">
        <f>IF($G23="","",IFERROR(INDEX('CAT_PUESTOS'!$B$4:$B$8,MATCH($G23,'CAT_PUESTOS'!$A$4:$A$8,0)),"(sin catálogo)"))</f>
        <v/>
      </c>
      <c r="X23" s="3">
        <f>IF($H23="","",IFERROR(INDEX('CAT_ACTIVIDADES'!$B$4:$B$8,MATCH($H23,'CAT_ACTIVIDADES'!$A$4:$A$8,0)),"(sin catálogo)"))</f>
        <v/>
      </c>
      <c r="Y23" s="12">
        <f>IF($J23="","",TODAY()-$J23)</f>
        <v/>
      </c>
      <c r="Z23" s="3">
        <f>IF($Y23="","",IF($Y23&lt;0,"FUTURO",IF($Y23&gt;p_dias_backlog_max,"BACKLOG","MES CORRIENTE")))</f>
        <v/>
      </c>
      <c r="AA23" s="3">
        <f>IF($Y23="",FALSE,AND($Y23&gt;p_dias_backlog_min,$Y23&lt;=p_dias_backlog_max))</f>
        <v/>
      </c>
      <c r="AB23" s="6" t="inlineStr">
        <is>
          <t>Técnico 04</t>
        </is>
      </c>
      <c r="AC23" s="3">
        <f>IF($AB23="","",IFERROR(INDEX('ASIGNACIONES'!$F$4:$F$339,MATCH($O23&amp;"|"&amp;$R23&amp;"|"&amp;$AB23,'ASIGNACIONES'!$I$4:$I$339,0)),""))</f>
        <v/>
      </c>
      <c r="AD23" s="13">
        <f>IF($AB23="","",SUMIFS('ORDENES'!$M$4:$M$1203,'ORDENES'!$AB$4:$AB$1203,$AB23,'ORDENES'!$O$4:$O$1203,$O23,'ORDENES'!$R$4:$R$1203,$R23))</f>
        <v/>
      </c>
      <c r="AE23" s="13">
        <f>IF($AD23="","",p_factor_productividad*IFERROR(INDEX('ASIGNACIONES'!$H$4:$H$339,MATCH($O23&amp;"|"&amp;$R23&amp;"|"&amp;$AB23,'ASIGNACIONES'!$I$4:$I$339,0)),0)-$AD23)</f>
        <v/>
      </c>
      <c r="AF23" s="10">
        <f>IF($A23="","",IFERROR(INDEX('2_IMPORTAR_EJECUCION'!$F$9:$F$1208,MATCH($AN23,'2_IMPORTAR_EJECUCION'!$J$9:$J$1208,0)),0))</f>
        <v/>
      </c>
      <c r="AG23" s="10">
        <f>IF($A23="","",MAX(0,IFERROR(INDEX('2_IMPORTAR_EJECUCION'!$H$9:$H$1208,MATCH($AN23,'2_IMPORTAR_EJECUCION'!$J$9:$J$1208,0)),0)-$AF23))</f>
        <v/>
      </c>
      <c r="AH23" s="10">
        <f>IF($A23="","",$AF23+$AG23)</f>
        <v/>
      </c>
      <c r="AI23" s="6" t="inlineStr"/>
      <c r="AJ23" s="6" t="inlineStr"/>
      <c r="AK23" s="6" t="inlineStr">
        <is>
          <t>ACT-04.pdf</t>
        </is>
      </c>
      <c r="AL23" s="3">
        <f>IF($AK23="","",HYPERLINK(p_ruta_base_checklists&amp;$AK23,"abrir"))</f>
        <v/>
      </c>
      <c r="AM23" s="6" t="inlineStr"/>
      <c r="AN23" s="3">
        <f>IF($A23="","",$A23&amp;IF($B23="","0010",$B23))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1" t="n">
        <v>46223</v>
      </c>
      <c r="K24" s="3" t="n">
        <v>6</v>
      </c>
      <c r="L24" s="10" t="n">
        <v>150</v>
      </c>
      <c r="M24" s="3">
        <f>IF($A24="","",IFERROR(INDEX('AJUSTES'!$B$4:$B$303,MATCH($AN24,'AJUSTES'!$A$4:$A$303,0)),IF($K24="","",$K24)))</f>
        <v/>
      </c>
      <c r="N24" s="3">
        <f>IF($A24="","",IFERROR(INDEX('CAT_ESTADOS_ERP'!$B$4:$B$7,MATCH(IFERROR(INDEX('2_IMPORTAR_EJECUCION'!$C$9:$C$1208,MATCH($AN24,'2_IMPORTAR_EJECUCION'!$J$9:$J$1208,0)),""),'CAT_ESTADOS_ERP'!$A$4:$A$7,0)),"Pendiente"))</f>
        <v/>
      </c>
      <c r="O24" s="3">
        <f>IF($J24="","",YEAR($J24+4-WEEKDAY($J24,2))&amp;"-S"&amp;TEXT(_xlfn.ISOWEEKNUM($J24),"00"))</f>
        <v/>
      </c>
      <c r="P24" s="3">
        <f>IF($J24="","",YEAR($J24))</f>
        <v/>
      </c>
      <c r="Q24" s="3">
        <f>IF($J24="","",MONTH($J24))</f>
        <v/>
      </c>
      <c r="R24" s="3">
        <f>IF($J24="","",INDEX(lista_dias,WEEKDAY($J24,2)))</f>
        <v/>
      </c>
      <c r="S24" s="3">
        <f>IF($I24="","",IFERROR(INDEX('CAT_TIPOS_OT'!$C$4:$C$7,MATCH($I24,'CAT_TIPOS_OT'!$A$4:$A$7,0)),"sin_clasificar"))</f>
        <v/>
      </c>
      <c r="T24" s="3">
        <f>IF($F24="","",IFERROR(INDEX('CAT_CENTROS_COSTO'!$E$4:$E$9,MATCH($F24,'CAT_CENTROS_COSTO'!$A$4:$A$9,0)),"(sin catálogo)"))</f>
        <v/>
      </c>
      <c r="U24" s="3">
        <f>IF($F24="","",IFERROR(INDEX('CAT_CENTROS_COSTO'!$D$4:$D$9,MATCH($F24,'CAT_CENTROS_COSTO'!$A$4:$A$9,0)),"(sin catálogo)"))</f>
        <v/>
      </c>
      <c r="V24" s="3">
        <f>IF($F24="","",IFERROR(INDEX('CAT_CENTROS_COSTO'!$F$4:$F$9,MATCH($F24,'CAT_CENTROS_COSTO'!$A$4:$A$9,0)),"(sin catálogo)"))</f>
        <v/>
      </c>
      <c r="W24" s="3">
        <f>IF($G24="","",IFERROR(INDEX('CAT_PUESTOS'!$B$4:$B$8,MATCH($G24,'CAT_PUESTOS'!$A$4:$A$8,0)),"(sin catálogo)"))</f>
        <v/>
      </c>
      <c r="X24" s="3">
        <f>IF($H24="","",IFERROR(INDEX('CAT_ACTIVIDADES'!$B$4:$B$8,MATCH($H24,'CAT_ACTIVIDADES'!$A$4:$A$8,0)),"(sin catálogo)"))</f>
        <v/>
      </c>
      <c r="Y24" s="12">
        <f>IF($J24="","",TODAY()-$J24)</f>
        <v/>
      </c>
      <c r="Z24" s="3">
        <f>IF($Y24="","",IF($Y24&lt;0,"FUTURO",IF($Y24&gt;p_dias_backlog_max,"BACKLOG","MES CORRIENTE")))</f>
        <v/>
      </c>
      <c r="AA24" s="3">
        <f>IF($Y24="",FALSE,AND($Y24&gt;p_dias_backlog_min,$Y24&lt;=p_dias_backlog_max))</f>
        <v/>
      </c>
      <c r="AB24" s="6" t="inlineStr">
        <is>
          <t>Técnico 01</t>
        </is>
      </c>
      <c r="AC24" s="3">
        <f>IF($AB24="","",IFERROR(INDEX('ASIGNACIONES'!$F$4:$F$339,MATCH($O24&amp;"|"&amp;$R24&amp;"|"&amp;$AB24,'ASIGNACIONES'!$I$4:$I$339,0)),""))</f>
        <v/>
      </c>
      <c r="AD24" s="13">
        <f>IF($AB24="","",SUMIFS('ORDENES'!$M$4:$M$1203,'ORDENES'!$AB$4:$AB$1203,$AB24,'ORDENES'!$O$4:$O$1203,$O24,'ORDENES'!$R$4:$R$1203,$R24))</f>
        <v/>
      </c>
      <c r="AE24" s="13">
        <f>IF($AD24="","",p_factor_productividad*IFERROR(INDEX('ASIGNACIONES'!$H$4:$H$339,MATCH($O24&amp;"|"&amp;$R24&amp;"|"&amp;$AB24,'ASIGNACIONES'!$I$4:$I$339,0)),0)-$AD24)</f>
        <v/>
      </c>
      <c r="AF24" s="10">
        <f>IF($A24="","",IFERROR(INDEX('2_IMPORTAR_EJECUCION'!$F$9:$F$1208,MATCH($AN24,'2_IMPORTAR_EJECUCION'!$J$9:$J$1208,0)),0))</f>
        <v/>
      </c>
      <c r="AG24" s="10">
        <f>IF($A24="","",MAX(0,IFERROR(INDEX('2_IMPORTAR_EJECUCION'!$H$9:$H$1208,MATCH($AN24,'2_IMPORTAR_EJECUCION'!$J$9:$J$1208,0)),0)-$AF24))</f>
        <v/>
      </c>
      <c r="AH24" s="10">
        <f>IF($A24="","",$AF24+$AG24)</f>
        <v/>
      </c>
      <c r="AI24" s="6" t="inlineStr"/>
      <c r="AJ24" s="6" t="inlineStr"/>
      <c r="AK24" s="6" t="inlineStr">
        <is>
          <t>ACT-01.pdf</t>
        </is>
      </c>
      <c r="AL24" s="3">
        <f>IF($AK24="","",HYPERLINK(p_ruta_base_checklists&amp;$AK24,"abrir"))</f>
        <v/>
      </c>
      <c r="AM24" s="6" t="inlineStr"/>
      <c r="AN24" s="3">
        <f>IF($A24="","",$A24&amp;IF($B24="","0010",$B24))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1" t="n">
        <v>46224</v>
      </c>
      <c r="K25" s="3" t="n">
        <v>8</v>
      </c>
      <c r="L25" s="10" t="n">
        <v>200</v>
      </c>
      <c r="M25" s="3">
        <f>IF($A25="","",IFERROR(INDEX('AJUSTES'!$B$4:$B$303,MATCH($AN25,'AJUSTES'!$A$4:$A$303,0)),IF($K25="","",$K25)))</f>
        <v/>
      </c>
      <c r="N25" s="3">
        <f>IF($A25="","",IFERROR(INDEX('CAT_ESTADOS_ERP'!$B$4:$B$7,MATCH(IFERROR(INDEX('2_IMPORTAR_EJECUCION'!$C$9:$C$1208,MATCH($AN25,'2_IMPORTAR_EJECUCION'!$J$9:$J$1208,0)),""),'CAT_ESTADOS_ERP'!$A$4:$A$7,0)),"Pendiente"))</f>
        <v/>
      </c>
      <c r="O25" s="3">
        <f>IF($J25="","",YEAR($J25+4-WEEKDAY($J25,2))&amp;"-S"&amp;TEXT(_xlfn.ISOWEEKNUM($J25),"00"))</f>
        <v/>
      </c>
      <c r="P25" s="3">
        <f>IF($J25="","",YEAR($J25))</f>
        <v/>
      </c>
      <c r="Q25" s="3">
        <f>IF($J25="","",MONTH($J25))</f>
        <v/>
      </c>
      <c r="R25" s="3">
        <f>IF($J25="","",INDEX(lista_dias,WEEKDAY($J25,2)))</f>
        <v/>
      </c>
      <c r="S25" s="3">
        <f>IF($I25="","",IFERROR(INDEX('CAT_TIPOS_OT'!$C$4:$C$7,MATCH($I25,'CAT_TIPOS_OT'!$A$4:$A$7,0)),"sin_clasificar"))</f>
        <v/>
      </c>
      <c r="T25" s="3">
        <f>IF($F25="","",IFERROR(INDEX('CAT_CENTROS_COSTO'!$E$4:$E$9,MATCH($F25,'CAT_CENTROS_COSTO'!$A$4:$A$9,0)),"(sin catálogo)"))</f>
        <v/>
      </c>
      <c r="U25" s="3">
        <f>IF($F25="","",IFERROR(INDEX('CAT_CENTROS_COSTO'!$D$4:$D$9,MATCH($F25,'CAT_CENTROS_COSTO'!$A$4:$A$9,0)),"(sin catálogo)"))</f>
        <v/>
      </c>
      <c r="V25" s="3">
        <f>IF($F25="","",IFERROR(INDEX('CAT_CENTROS_COSTO'!$F$4:$F$9,MATCH($F25,'CAT_CENTROS_COSTO'!$A$4:$A$9,0)),"(sin catálogo)"))</f>
        <v/>
      </c>
      <c r="W25" s="3">
        <f>IF($G25="","",IFERROR(INDEX('CAT_PUESTOS'!$B$4:$B$8,MATCH($G25,'CAT_PUESTOS'!$A$4:$A$8,0)),"(sin catálogo)"))</f>
        <v/>
      </c>
      <c r="X25" s="3">
        <f>IF($H25="","",IFERROR(INDEX('CAT_ACTIVIDADES'!$B$4:$B$8,MATCH($H25,'CAT_ACTIVIDADES'!$A$4:$A$8,0)),"(sin catálogo)"))</f>
        <v/>
      </c>
      <c r="Y25" s="12">
        <f>IF($J25="","",TODAY()-$J25)</f>
        <v/>
      </c>
      <c r="Z25" s="3">
        <f>IF($Y25="","",IF($Y25&lt;0,"FUTURO",IF($Y25&gt;p_dias_backlog_max,"BACKLOG","MES CORRIENTE")))</f>
        <v/>
      </c>
      <c r="AA25" s="3">
        <f>IF($Y25="",FALSE,AND($Y25&gt;p_dias_backlog_min,$Y25&lt;=p_dias_backlog_max))</f>
        <v/>
      </c>
      <c r="AB25" s="6" t="inlineStr">
        <is>
          <t>Técnico 02</t>
        </is>
      </c>
      <c r="AC25" s="3">
        <f>IF($AB25="","",IFERROR(INDEX('ASIGNACIONES'!$F$4:$F$339,MATCH($O25&amp;"|"&amp;$R25&amp;"|"&amp;$AB25,'ASIGNACIONES'!$I$4:$I$339,0)),""))</f>
        <v/>
      </c>
      <c r="AD25" s="13">
        <f>IF($AB25="","",SUMIFS('ORDENES'!$M$4:$M$1203,'ORDENES'!$AB$4:$AB$1203,$AB25,'ORDENES'!$O$4:$O$1203,$O25,'ORDENES'!$R$4:$R$1203,$R25))</f>
        <v/>
      </c>
      <c r="AE25" s="13">
        <f>IF($AD25="","",p_factor_productividad*IFERROR(INDEX('ASIGNACIONES'!$H$4:$H$339,MATCH($O25&amp;"|"&amp;$R25&amp;"|"&amp;$AB25,'ASIGNACIONES'!$I$4:$I$339,0)),0)-$AD25)</f>
        <v/>
      </c>
      <c r="AF25" s="10">
        <f>IF($A25="","",IFERROR(INDEX('2_IMPORTAR_EJECUCION'!$F$9:$F$1208,MATCH($AN25,'2_IMPORTAR_EJECUCION'!$J$9:$J$1208,0)),0))</f>
        <v/>
      </c>
      <c r="AG25" s="10">
        <f>IF($A25="","",MAX(0,IFERROR(INDEX('2_IMPORTAR_EJECUCION'!$H$9:$H$1208,MATCH($AN25,'2_IMPORTAR_EJECUCION'!$J$9:$J$1208,0)),0)-$AF25))</f>
        <v/>
      </c>
      <c r="AH25" s="10">
        <f>IF($A25="","",$AF25+$AG25)</f>
        <v/>
      </c>
      <c r="AI25" s="6" t="inlineStr"/>
      <c r="AJ25" s="6" t="inlineStr"/>
      <c r="AK25" s="6" t="inlineStr">
        <is>
          <t>ACT-02.pdf</t>
        </is>
      </c>
      <c r="AL25" s="3">
        <f>IF($AK25="","",HYPERLINK(p_ruta_base_checklists&amp;$AK25,"abrir"))</f>
        <v/>
      </c>
      <c r="AM25" s="6" t="inlineStr"/>
      <c r="AN25" s="3">
        <f>IF($A25="","",$A25&amp;IF($B25="","0010",$B25))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1" t="n">
        <v>46225</v>
      </c>
      <c r="K26" s="3" t="n">
        <v>10</v>
      </c>
      <c r="L26" s="10" t="n">
        <v>400</v>
      </c>
      <c r="M26" s="3">
        <f>IF($A26="","",IFERROR(INDEX('AJUSTES'!$B$4:$B$303,MATCH($AN26,'AJUSTES'!$A$4:$A$303,0)),IF($K26="","",$K26)))</f>
        <v/>
      </c>
      <c r="N26" s="3">
        <f>IF($A26="","",IFERROR(INDEX('CAT_ESTADOS_ERP'!$B$4:$B$7,MATCH(IFERROR(INDEX('2_IMPORTAR_EJECUCION'!$C$9:$C$1208,MATCH($AN26,'2_IMPORTAR_EJECUCION'!$J$9:$J$1208,0)),""),'CAT_ESTADOS_ERP'!$A$4:$A$7,0)),"Pendiente"))</f>
        <v/>
      </c>
      <c r="O26" s="3">
        <f>IF($J26="","",YEAR($J26+4-WEEKDAY($J26,2))&amp;"-S"&amp;TEXT(_xlfn.ISOWEEKNUM($J26),"00"))</f>
        <v/>
      </c>
      <c r="P26" s="3">
        <f>IF($J26="","",YEAR($J26))</f>
        <v/>
      </c>
      <c r="Q26" s="3">
        <f>IF($J26="","",MONTH($J26))</f>
        <v/>
      </c>
      <c r="R26" s="3">
        <f>IF($J26="","",INDEX(lista_dias,WEEKDAY($J26,2)))</f>
        <v/>
      </c>
      <c r="S26" s="3">
        <f>IF($I26="","",IFERROR(INDEX('CAT_TIPOS_OT'!$C$4:$C$7,MATCH($I26,'CAT_TIPOS_OT'!$A$4:$A$7,0)),"sin_clasificar"))</f>
        <v/>
      </c>
      <c r="T26" s="3">
        <f>IF($F26="","",IFERROR(INDEX('CAT_CENTROS_COSTO'!$E$4:$E$9,MATCH($F26,'CAT_CENTROS_COSTO'!$A$4:$A$9,0)),"(sin catálogo)"))</f>
        <v/>
      </c>
      <c r="U26" s="3">
        <f>IF($F26="","",IFERROR(INDEX('CAT_CENTROS_COSTO'!$D$4:$D$9,MATCH($F26,'CAT_CENTROS_COSTO'!$A$4:$A$9,0)),"(sin catálogo)"))</f>
        <v/>
      </c>
      <c r="V26" s="3">
        <f>IF($F26="","",IFERROR(INDEX('CAT_CENTROS_COSTO'!$F$4:$F$9,MATCH($F26,'CAT_CENTROS_COSTO'!$A$4:$A$9,0)),"(sin catálogo)"))</f>
        <v/>
      </c>
      <c r="W26" s="3">
        <f>IF($G26="","",IFERROR(INDEX('CAT_PUESTOS'!$B$4:$B$8,MATCH($G26,'CAT_PUESTOS'!$A$4:$A$8,0)),"(sin catálogo)"))</f>
        <v/>
      </c>
      <c r="X26" s="3">
        <f>IF($H26="","",IFERROR(INDEX('CAT_ACTIVIDADES'!$B$4:$B$8,MATCH($H26,'CAT_ACTIVIDADES'!$A$4:$A$8,0)),"(sin catálogo)"))</f>
        <v/>
      </c>
      <c r="Y26" s="12">
        <f>IF($J26="","",TODAY()-$J26)</f>
        <v/>
      </c>
      <c r="Z26" s="3">
        <f>IF($Y26="","",IF($Y26&lt;0,"FUTURO",IF($Y26&gt;p_dias_backlog_max,"BACKLOG","MES CORRIENTE")))</f>
        <v/>
      </c>
      <c r="AA26" s="3">
        <f>IF($Y26="",FALSE,AND($Y26&gt;p_dias_backlog_min,$Y26&lt;=p_dias_backlog_max))</f>
        <v/>
      </c>
      <c r="AB26" s="6" t="inlineStr">
        <is>
          <t>Técnico 03</t>
        </is>
      </c>
      <c r="AC26" s="3">
        <f>IF($AB26="","",IFERROR(INDEX('ASIGNACIONES'!$F$4:$F$339,MATCH($O26&amp;"|"&amp;$R26&amp;"|"&amp;$AB26,'ASIGNACIONES'!$I$4:$I$339,0)),""))</f>
        <v/>
      </c>
      <c r="AD26" s="13">
        <f>IF($AB26="","",SUMIFS('ORDENES'!$M$4:$M$1203,'ORDENES'!$AB$4:$AB$1203,$AB26,'ORDENES'!$O$4:$O$1203,$O26,'ORDENES'!$R$4:$R$1203,$R26))</f>
        <v/>
      </c>
      <c r="AE26" s="13">
        <f>IF($AD26="","",p_factor_productividad*IFERROR(INDEX('ASIGNACIONES'!$H$4:$H$339,MATCH($O26&amp;"|"&amp;$R26&amp;"|"&amp;$AB26,'ASIGNACIONES'!$I$4:$I$339,0)),0)-$AD26)</f>
        <v/>
      </c>
      <c r="AF26" s="10">
        <f>IF($A26="","",IFERROR(INDEX('2_IMPORTAR_EJECUCION'!$F$9:$F$1208,MATCH($AN26,'2_IMPORTAR_EJECUCION'!$J$9:$J$1208,0)),0))</f>
        <v/>
      </c>
      <c r="AG26" s="10">
        <f>IF($A26="","",MAX(0,IFERROR(INDEX('2_IMPORTAR_EJECUCION'!$H$9:$H$1208,MATCH($AN26,'2_IMPORTAR_EJECUCION'!$J$9:$J$1208,0)),0)-$AF26))</f>
        <v/>
      </c>
      <c r="AH26" s="10">
        <f>IF($A26="","",$AF26+$AG26)</f>
        <v/>
      </c>
      <c r="AI26" s="6" t="inlineStr"/>
      <c r="AJ26" s="6" t="inlineStr"/>
      <c r="AK26" s="6" t="inlineStr"/>
      <c r="AL26" s="3">
        <f>IF($AK26="","",HYPERLINK(p_ruta_base_checklists&amp;$AK26,"abrir"))</f>
        <v/>
      </c>
      <c r="AM26" s="6" t="inlineStr"/>
      <c r="AN26" s="3">
        <f>IF($A26="","",$A26&amp;IF($B26="","0010",$B26))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1" t="n">
        <v>46226</v>
      </c>
      <c r="K27" s="3" t="n">
        <v>8</v>
      </c>
      <c r="L27" s="10" t="n">
        <v>320</v>
      </c>
      <c r="M27" s="3">
        <f>IF($A27="","",IFERROR(INDEX('AJUSTES'!$B$4:$B$303,MATCH($AN27,'AJUSTES'!$A$4:$A$303,0)),IF($K27="","",$K27)))</f>
        <v/>
      </c>
      <c r="N27" s="3">
        <f>IF($A27="","",IFERROR(INDEX('CAT_ESTADOS_ERP'!$B$4:$B$7,MATCH(IFERROR(INDEX('2_IMPORTAR_EJECUCION'!$C$9:$C$1208,MATCH($AN27,'2_IMPORTAR_EJECUCION'!$J$9:$J$1208,0)),""),'CAT_ESTADOS_ERP'!$A$4:$A$7,0)),"Pendiente"))</f>
        <v/>
      </c>
      <c r="O27" s="3">
        <f>IF($J27="","",YEAR($J27+4-WEEKDAY($J27,2))&amp;"-S"&amp;TEXT(_xlfn.ISOWEEKNUM($J27),"00"))</f>
        <v/>
      </c>
      <c r="P27" s="3">
        <f>IF($J27="","",YEAR($J27))</f>
        <v/>
      </c>
      <c r="Q27" s="3">
        <f>IF($J27="","",MONTH($J27))</f>
        <v/>
      </c>
      <c r="R27" s="3">
        <f>IF($J27="","",INDEX(lista_dias,WEEKDAY($J27,2)))</f>
        <v/>
      </c>
      <c r="S27" s="3">
        <f>IF($I27="","",IFERROR(INDEX('CAT_TIPOS_OT'!$C$4:$C$7,MATCH($I27,'CAT_TIPOS_OT'!$A$4:$A$7,0)),"sin_clasificar"))</f>
        <v/>
      </c>
      <c r="T27" s="3">
        <f>IF($F27="","",IFERROR(INDEX('CAT_CENTROS_COSTO'!$E$4:$E$9,MATCH($F27,'CAT_CENTROS_COSTO'!$A$4:$A$9,0)),"(sin catálogo)"))</f>
        <v/>
      </c>
      <c r="U27" s="3">
        <f>IF($F27="","",IFERROR(INDEX('CAT_CENTROS_COSTO'!$D$4:$D$9,MATCH($F27,'CAT_CENTROS_COSTO'!$A$4:$A$9,0)),"(sin catálogo)"))</f>
        <v/>
      </c>
      <c r="V27" s="3">
        <f>IF($F27="","",IFERROR(INDEX('CAT_CENTROS_COSTO'!$F$4:$F$9,MATCH($F27,'CAT_CENTROS_COSTO'!$A$4:$A$9,0)),"(sin catálogo)"))</f>
        <v/>
      </c>
      <c r="W27" s="3">
        <f>IF($G27="","",IFERROR(INDEX('CAT_PUESTOS'!$B$4:$B$8,MATCH($G27,'CAT_PUESTOS'!$A$4:$A$8,0)),"(sin catálogo)"))</f>
        <v/>
      </c>
      <c r="X27" s="3">
        <f>IF($H27="","",IFERROR(INDEX('CAT_ACTIVIDADES'!$B$4:$B$8,MATCH($H27,'CAT_ACTIVIDADES'!$A$4:$A$8,0)),"(sin catálogo)"))</f>
        <v/>
      </c>
      <c r="Y27" s="12">
        <f>IF($J27="","",TODAY()-$J27)</f>
        <v/>
      </c>
      <c r="Z27" s="3">
        <f>IF($Y27="","",IF($Y27&lt;0,"FUTURO",IF($Y27&gt;p_dias_backlog_max,"BACKLOG","MES CORRIENTE")))</f>
        <v/>
      </c>
      <c r="AA27" s="3">
        <f>IF($Y27="",FALSE,AND($Y27&gt;p_dias_backlog_min,$Y27&lt;=p_dias_backlog_max))</f>
        <v/>
      </c>
      <c r="AB27" s="6" t="inlineStr"/>
      <c r="AC27" s="3">
        <f>IF($AB27="","",IFERROR(INDEX('ASIGNACIONES'!$F$4:$F$339,MATCH($O27&amp;"|"&amp;$R27&amp;"|"&amp;$AB27,'ASIGNACIONES'!$I$4:$I$339,0)),""))</f>
        <v/>
      </c>
      <c r="AD27" s="13">
        <f>IF($AB27="","",SUMIFS('ORDENES'!$M$4:$M$1203,'ORDENES'!$AB$4:$AB$1203,$AB27,'ORDENES'!$O$4:$O$1203,$O27,'ORDENES'!$R$4:$R$1203,$R27))</f>
        <v/>
      </c>
      <c r="AE27" s="13">
        <f>IF($AD27="","",p_factor_productividad*IFERROR(INDEX('ASIGNACIONES'!$H$4:$H$339,MATCH($O27&amp;"|"&amp;$R27&amp;"|"&amp;$AB27,'ASIGNACIONES'!$I$4:$I$339,0)),0)-$AD27)</f>
        <v/>
      </c>
      <c r="AF27" s="10">
        <f>IF($A27="","",IFERROR(INDEX('2_IMPORTAR_EJECUCION'!$F$9:$F$1208,MATCH($AN27,'2_IMPORTAR_EJECUCION'!$J$9:$J$1208,0)),0))</f>
        <v/>
      </c>
      <c r="AG27" s="10">
        <f>IF($A27="","",MAX(0,IFERROR(INDEX('2_IMPORTAR_EJECUCION'!$H$9:$H$1208,MATCH($AN27,'2_IMPORTAR_EJECUCION'!$J$9:$J$1208,0)),0)-$AF27))</f>
        <v/>
      </c>
      <c r="AH27" s="10">
        <f>IF($A27="","",$AF27+$AG27)</f>
        <v/>
      </c>
      <c r="AI27" s="6" t="inlineStr">
        <is>
          <t>PT-CALIENTE</t>
        </is>
      </c>
      <c r="AJ27" s="6" t="inlineStr">
        <is>
          <t>LOTO</t>
        </is>
      </c>
      <c r="AK27" s="6" t="inlineStr"/>
      <c r="AL27" s="3">
        <f>IF($AK27="","",HYPERLINK(p_ruta_base_checklists&amp;$AK27,"abrir"))</f>
        <v/>
      </c>
      <c r="AM27" s="6" t="inlineStr"/>
      <c r="AN27" s="3">
        <f>IF($A27="","",$A27&amp;IF($B27="","0010",$B27))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1" t="n">
        <v>46227</v>
      </c>
      <c r="K28" s="3" t="n">
        <v>7</v>
      </c>
      <c r="L28" s="10" t="n">
        <v>280</v>
      </c>
      <c r="M28" s="3">
        <f>IF($A28="","",IFERROR(INDEX('AJUSTES'!$B$4:$B$303,MATCH($AN28,'AJUSTES'!$A$4:$A$303,0)),IF($K28="","",$K28)))</f>
        <v/>
      </c>
      <c r="N28" s="3">
        <f>IF($A28="","",IFERROR(INDEX('CAT_ESTADOS_ERP'!$B$4:$B$7,MATCH(IFERROR(INDEX('2_IMPORTAR_EJECUCION'!$C$9:$C$1208,MATCH($AN28,'2_IMPORTAR_EJECUCION'!$J$9:$J$1208,0)),""),'CAT_ESTADOS_ERP'!$A$4:$A$7,0)),"Pendiente"))</f>
        <v/>
      </c>
      <c r="O28" s="3">
        <f>IF($J28="","",YEAR($J28+4-WEEKDAY($J28,2))&amp;"-S"&amp;TEXT(_xlfn.ISOWEEKNUM($J28),"00"))</f>
        <v/>
      </c>
      <c r="P28" s="3">
        <f>IF($J28="","",YEAR($J28))</f>
        <v/>
      </c>
      <c r="Q28" s="3">
        <f>IF($J28="","",MONTH($J28))</f>
        <v/>
      </c>
      <c r="R28" s="3">
        <f>IF($J28="","",INDEX(lista_dias,WEEKDAY($J28,2)))</f>
        <v/>
      </c>
      <c r="S28" s="3">
        <f>IF($I28="","",IFERROR(INDEX('CAT_TIPOS_OT'!$C$4:$C$7,MATCH($I28,'CAT_TIPOS_OT'!$A$4:$A$7,0)),"sin_clasificar"))</f>
        <v/>
      </c>
      <c r="T28" s="3">
        <f>IF($F28="","",IFERROR(INDEX('CAT_CENTROS_COSTO'!$E$4:$E$9,MATCH($F28,'CAT_CENTROS_COSTO'!$A$4:$A$9,0)),"(sin catálogo)"))</f>
        <v/>
      </c>
      <c r="U28" s="3">
        <f>IF($F28="","",IFERROR(INDEX('CAT_CENTROS_COSTO'!$D$4:$D$9,MATCH($F28,'CAT_CENTROS_COSTO'!$A$4:$A$9,0)),"(sin catálogo)"))</f>
        <v/>
      </c>
      <c r="V28" s="3">
        <f>IF($F28="","",IFERROR(INDEX('CAT_CENTROS_COSTO'!$F$4:$F$9,MATCH($F28,'CAT_CENTROS_COSTO'!$A$4:$A$9,0)),"(sin catálogo)"))</f>
        <v/>
      </c>
      <c r="W28" s="3">
        <f>IF($G28="","",IFERROR(INDEX('CAT_PUESTOS'!$B$4:$B$8,MATCH($G28,'CAT_PUESTOS'!$A$4:$A$8,0)),"(sin catálogo)"))</f>
        <v/>
      </c>
      <c r="X28" s="3">
        <f>IF($H28="","",IFERROR(INDEX('CAT_ACTIVIDADES'!$B$4:$B$8,MATCH($H28,'CAT_ACTIVIDADES'!$A$4:$A$8,0)),"(sin catálogo)"))</f>
        <v/>
      </c>
      <c r="Y28" s="12">
        <f>IF($J28="","",TODAY()-$J28)</f>
        <v/>
      </c>
      <c r="Z28" s="3">
        <f>IF($Y28="","",IF($Y28&lt;0,"FUTURO",IF($Y28&gt;p_dias_backlog_max,"BACKLOG","MES CORRIENTE")))</f>
        <v/>
      </c>
      <c r="AA28" s="3">
        <f>IF($Y28="",FALSE,AND($Y28&gt;p_dias_backlog_min,$Y28&lt;=p_dias_backlog_max))</f>
        <v/>
      </c>
      <c r="AB28" s="6" t="inlineStr">
        <is>
          <t>Técnico 01</t>
        </is>
      </c>
      <c r="AC28" s="3">
        <f>IF($AB28="","",IFERROR(INDEX('ASIGNACIONES'!$F$4:$F$339,MATCH($O28&amp;"|"&amp;$R28&amp;"|"&amp;$AB28,'ASIGNACIONES'!$I$4:$I$339,0)),""))</f>
        <v/>
      </c>
      <c r="AD28" s="13">
        <f>IF($AB28="","",SUMIFS('ORDENES'!$M$4:$M$1203,'ORDENES'!$AB$4:$AB$1203,$AB28,'ORDENES'!$O$4:$O$1203,$O28,'ORDENES'!$R$4:$R$1203,$R28))</f>
        <v/>
      </c>
      <c r="AE28" s="13">
        <f>IF($AD28="","",p_factor_productividad*IFERROR(INDEX('ASIGNACIONES'!$H$4:$H$339,MATCH($O28&amp;"|"&amp;$R28&amp;"|"&amp;$AB28,'ASIGNACIONES'!$I$4:$I$339,0)),0)-$AD28)</f>
        <v/>
      </c>
      <c r="AF28" s="10">
        <f>IF($A28="","",IFERROR(INDEX('2_IMPORTAR_EJECUCION'!$F$9:$F$1208,MATCH($AN28,'2_IMPORTAR_EJECUCION'!$J$9:$J$1208,0)),0))</f>
        <v/>
      </c>
      <c r="AG28" s="10">
        <f>IF($A28="","",MAX(0,IFERROR(INDEX('2_IMPORTAR_EJECUCION'!$H$9:$H$1208,MATCH($AN28,'2_IMPORTAR_EJECUCION'!$J$9:$J$1208,0)),0)-$AF28))</f>
        <v/>
      </c>
      <c r="AH28" s="10">
        <f>IF($A28="","",$AF28+$AG28)</f>
        <v/>
      </c>
      <c r="AI28" s="6" t="inlineStr"/>
      <c r="AJ28" s="6" t="inlineStr"/>
      <c r="AK28" s="6" t="inlineStr"/>
      <c r="AL28" s="3">
        <f>IF($AK28="","",HYPERLINK(p_ruta_base_checklists&amp;$AK28,"abrir"))</f>
        <v/>
      </c>
      <c r="AM28" s="6" t="inlineStr"/>
      <c r="AN28" s="3">
        <f>IF($A28="","",$A28&amp;IF($B28="","0010",$B28))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1" t="n">
        <v>46230</v>
      </c>
      <c r="K29" s="3" t="n">
        <v>10</v>
      </c>
      <c r="L29" s="10" t="n">
        <v>250</v>
      </c>
      <c r="M29" s="3">
        <f>IF($A29="","",IFERROR(INDEX('AJUSTES'!$B$4:$B$303,MATCH($AN29,'AJUSTES'!$A$4:$A$303,0)),IF($K29="","",$K29)))</f>
        <v/>
      </c>
      <c r="N29" s="3">
        <f>IF($A29="","",IFERROR(INDEX('CAT_ESTADOS_ERP'!$B$4:$B$7,MATCH(IFERROR(INDEX('2_IMPORTAR_EJECUCION'!$C$9:$C$1208,MATCH($AN29,'2_IMPORTAR_EJECUCION'!$J$9:$J$1208,0)),""),'CAT_ESTADOS_ERP'!$A$4:$A$7,0)),"Pendiente"))</f>
        <v/>
      </c>
      <c r="O29" s="3">
        <f>IF($J29="","",YEAR($J29+4-WEEKDAY($J29,2))&amp;"-S"&amp;TEXT(_xlfn.ISOWEEKNUM($J29),"00"))</f>
        <v/>
      </c>
      <c r="P29" s="3">
        <f>IF($J29="","",YEAR($J29))</f>
        <v/>
      </c>
      <c r="Q29" s="3">
        <f>IF($J29="","",MONTH($J29))</f>
        <v/>
      </c>
      <c r="R29" s="3">
        <f>IF($J29="","",INDEX(lista_dias,WEEKDAY($J29,2)))</f>
        <v/>
      </c>
      <c r="S29" s="3">
        <f>IF($I29="","",IFERROR(INDEX('CAT_TIPOS_OT'!$C$4:$C$7,MATCH($I29,'CAT_TIPOS_OT'!$A$4:$A$7,0)),"sin_clasificar"))</f>
        <v/>
      </c>
      <c r="T29" s="3">
        <f>IF($F29="","",IFERROR(INDEX('CAT_CENTROS_COSTO'!$E$4:$E$9,MATCH($F29,'CAT_CENTROS_COSTO'!$A$4:$A$9,0)),"(sin catálogo)"))</f>
        <v/>
      </c>
      <c r="U29" s="3">
        <f>IF($F29="","",IFERROR(INDEX('CAT_CENTROS_COSTO'!$D$4:$D$9,MATCH($F29,'CAT_CENTROS_COSTO'!$A$4:$A$9,0)),"(sin catálogo)"))</f>
        <v/>
      </c>
      <c r="V29" s="3">
        <f>IF($F29="","",IFERROR(INDEX('CAT_CENTROS_COSTO'!$F$4:$F$9,MATCH($F29,'CAT_CENTROS_COSTO'!$A$4:$A$9,0)),"(sin catálogo)"))</f>
        <v/>
      </c>
      <c r="W29" s="3">
        <f>IF($G29="","",IFERROR(INDEX('CAT_PUESTOS'!$B$4:$B$8,MATCH($G29,'CAT_PUESTOS'!$A$4:$A$8,0)),"(sin catálogo)"))</f>
        <v/>
      </c>
      <c r="X29" s="3">
        <f>IF($H29="","",IFERROR(INDEX('CAT_ACTIVIDADES'!$B$4:$B$8,MATCH($H29,'CAT_ACTIVIDADES'!$A$4:$A$8,0)),"(sin catálogo)"))</f>
        <v/>
      </c>
      <c r="Y29" s="12">
        <f>IF($J29="","",TODAY()-$J29)</f>
        <v/>
      </c>
      <c r="Z29" s="3">
        <f>IF($Y29="","",IF($Y29&lt;0,"FUTURO",IF($Y29&gt;p_dias_backlog_max,"BACKLOG","MES CORRIENTE")))</f>
        <v/>
      </c>
      <c r="AA29" s="3">
        <f>IF($Y29="",FALSE,AND($Y29&gt;p_dias_backlog_min,$Y29&lt;=p_dias_backlog_max))</f>
        <v/>
      </c>
      <c r="AB29" s="6" t="inlineStr">
        <is>
          <t>Técnico 04</t>
        </is>
      </c>
      <c r="AC29" s="3">
        <f>IF($AB29="","",IFERROR(INDEX('ASIGNACIONES'!$F$4:$F$339,MATCH($O29&amp;"|"&amp;$R29&amp;"|"&amp;$AB29,'ASIGNACIONES'!$I$4:$I$339,0)),""))</f>
        <v/>
      </c>
      <c r="AD29" s="13">
        <f>IF($AB29="","",SUMIFS('ORDENES'!$M$4:$M$1203,'ORDENES'!$AB$4:$AB$1203,$AB29,'ORDENES'!$O$4:$O$1203,$O29,'ORDENES'!$R$4:$R$1203,$R29))</f>
        <v/>
      </c>
      <c r="AE29" s="13">
        <f>IF($AD29="","",p_factor_productividad*IFERROR(INDEX('ASIGNACIONES'!$H$4:$H$339,MATCH($O29&amp;"|"&amp;$R29&amp;"|"&amp;$AB29,'ASIGNACIONES'!$I$4:$I$339,0)),0)-$AD29)</f>
        <v/>
      </c>
      <c r="AF29" s="10">
        <f>IF($A29="","",IFERROR(INDEX('2_IMPORTAR_EJECUCION'!$F$9:$F$1208,MATCH($AN29,'2_IMPORTAR_EJECUCION'!$J$9:$J$1208,0)),0))</f>
        <v/>
      </c>
      <c r="AG29" s="10">
        <f>IF($A29="","",MAX(0,IFERROR(INDEX('2_IMPORTAR_EJECUCION'!$H$9:$H$1208,MATCH($AN29,'2_IMPORTAR_EJECUCION'!$J$9:$J$1208,0)),0)-$AF29))</f>
        <v/>
      </c>
      <c r="AH29" s="10">
        <f>IF($A29="","",$AF29+$AG29)</f>
        <v/>
      </c>
      <c r="AI29" s="6" t="inlineStr"/>
      <c r="AJ29" s="6" t="inlineStr"/>
      <c r="AK29" s="6" t="inlineStr">
        <is>
          <t>ACT-04.pdf</t>
        </is>
      </c>
      <c r="AL29" s="3">
        <f>IF($AK29="","",HYPERLINK(p_ruta_base_checklists&amp;$AK29,"abrir"))</f>
        <v/>
      </c>
      <c r="AM29" s="6" t="inlineStr">
        <is>
          <t>Demo: asignada a técnico de vacaciones (HHD = −HHA)</t>
        </is>
      </c>
      <c r="AN29" s="3">
        <f>IF($A29="","",$A29&amp;IF($B29="","0010",$B29))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1" t="n">
        <v>46231</v>
      </c>
      <c r="K30" s="3" t="n">
        <v>8</v>
      </c>
      <c r="L30" s="10" t="n">
        <v>200</v>
      </c>
      <c r="M30" s="3">
        <f>IF($A30="","",IFERROR(INDEX('AJUSTES'!$B$4:$B$303,MATCH($AN30,'AJUSTES'!$A$4:$A$303,0)),IF($K30="","",$K30)))</f>
        <v/>
      </c>
      <c r="N30" s="3">
        <f>IF($A30="","",IFERROR(INDEX('CAT_ESTADOS_ERP'!$B$4:$B$7,MATCH(IFERROR(INDEX('2_IMPORTAR_EJECUCION'!$C$9:$C$1208,MATCH($AN30,'2_IMPORTAR_EJECUCION'!$J$9:$J$1208,0)),""),'CAT_ESTADOS_ERP'!$A$4:$A$7,0)),"Pendiente"))</f>
        <v/>
      </c>
      <c r="O30" s="3">
        <f>IF($J30="","",YEAR($J30+4-WEEKDAY($J30,2))&amp;"-S"&amp;TEXT(_xlfn.ISOWEEKNUM($J30),"00"))</f>
        <v/>
      </c>
      <c r="P30" s="3">
        <f>IF($J30="","",YEAR($J30))</f>
        <v/>
      </c>
      <c r="Q30" s="3">
        <f>IF($J30="","",MONTH($J30))</f>
        <v/>
      </c>
      <c r="R30" s="3">
        <f>IF($J30="","",INDEX(lista_dias,WEEKDAY($J30,2)))</f>
        <v/>
      </c>
      <c r="S30" s="3">
        <f>IF($I30="","",IFERROR(INDEX('CAT_TIPOS_OT'!$C$4:$C$7,MATCH($I30,'CAT_TIPOS_OT'!$A$4:$A$7,0)),"sin_clasificar"))</f>
        <v/>
      </c>
      <c r="T30" s="3">
        <f>IF($F30="","",IFERROR(INDEX('CAT_CENTROS_COSTO'!$E$4:$E$9,MATCH($F30,'CAT_CENTROS_COSTO'!$A$4:$A$9,0)),"(sin catálogo)"))</f>
        <v/>
      </c>
      <c r="U30" s="3">
        <f>IF($F30="","",IFERROR(INDEX('CAT_CENTROS_COSTO'!$D$4:$D$9,MATCH($F30,'CAT_CENTROS_COSTO'!$A$4:$A$9,0)),"(sin catálogo)"))</f>
        <v/>
      </c>
      <c r="V30" s="3">
        <f>IF($F30="","",IFERROR(INDEX('CAT_CENTROS_COSTO'!$F$4:$F$9,MATCH($F30,'CAT_CENTROS_COSTO'!$A$4:$A$9,0)),"(sin catálogo)"))</f>
        <v/>
      </c>
      <c r="W30" s="3">
        <f>IF($G30="","",IFERROR(INDEX('CAT_PUESTOS'!$B$4:$B$8,MATCH($G30,'CAT_PUESTOS'!$A$4:$A$8,0)),"(sin catálogo)"))</f>
        <v/>
      </c>
      <c r="X30" s="3">
        <f>IF($H30="","",IFERROR(INDEX('CAT_ACTIVIDADES'!$B$4:$B$8,MATCH($H30,'CAT_ACTIVIDADES'!$A$4:$A$8,0)),"(sin catálogo)"))</f>
        <v/>
      </c>
      <c r="Y30" s="12">
        <f>IF($J30="","",TODAY()-$J30)</f>
        <v/>
      </c>
      <c r="Z30" s="3">
        <f>IF($Y30="","",IF($Y30&lt;0,"FUTURO",IF($Y30&gt;p_dias_backlog_max,"BACKLOG","MES CORRIENTE")))</f>
        <v/>
      </c>
      <c r="AA30" s="3">
        <f>IF($Y30="",FALSE,AND($Y30&gt;p_dias_backlog_min,$Y30&lt;=p_dias_backlog_max))</f>
        <v/>
      </c>
      <c r="AB30" s="6" t="inlineStr">
        <is>
          <t>Técnico 03</t>
        </is>
      </c>
      <c r="AC30" s="3">
        <f>IF($AB30="","",IFERROR(INDEX('ASIGNACIONES'!$F$4:$F$339,MATCH($O30&amp;"|"&amp;$R30&amp;"|"&amp;$AB30,'ASIGNACIONES'!$I$4:$I$339,0)),""))</f>
        <v/>
      </c>
      <c r="AD30" s="13">
        <f>IF($AB30="","",SUMIFS('ORDENES'!$M$4:$M$1203,'ORDENES'!$AB$4:$AB$1203,$AB30,'ORDENES'!$O$4:$O$1203,$O30,'ORDENES'!$R$4:$R$1203,$R30))</f>
        <v/>
      </c>
      <c r="AE30" s="13">
        <f>IF($AD30="","",p_factor_productividad*IFERROR(INDEX('ASIGNACIONES'!$H$4:$H$339,MATCH($O30&amp;"|"&amp;$R30&amp;"|"&amp;$AB30,'ASIGNACIONES'!$I$4:$I$339,0)),0)-$AD30)</f>
        <v/>
      </c>
      <c r="AF30" s="10">
        <f>IF($A30="","",IFERROR(INDEX('2_IMPORTAR_EJECUCION'!$F$9:$F$1208,MATCH($AN30,'2_IMPORTAR_EJECUCION'!$J$9:$J$1208,0)),0))</f>
        <v/>
      </c>
      <c r="AG30" s="10">
        <f>IF($A30="","",MAX(0,IFERROR(INDEX('2_IMPORTAR_EJECUCION'!$H$9:$H$1208,MATCH($AN30,'2_IMPORTAR_EJECUCION'!$J$9:$J$1208,0)),0)-$AF30))</f>
        <v/>
      </c>
      <c r="AH30" s="10">
        <f>IF($A30="","",$AF30+$AG30)</f>
        <v/>
      </c>
      <c r="AI30" s="6" t="inlineStr"/>
      <c r="AJ30" s="6" t="inlineStr"/>
      <c r="AK30" s="6" t="inlineStr">
        <is>
          <t>ACT-01.pdf</t>
        </is>
      </c>
      <c r="AL30" s="3">
        <f>IF($AK30="","",HYPERLINK(p_ruta_base_checklists&amp;$AK30,"abrir"))</f>
        <v/>
      </c>
      <c r="AM30" s="6" t="inlineStr"/>
      <c r="AN30" s="3">
        <f>IF($A30="","",$A30&amp;IF($B30="","0010",$B30))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1" t="n">
        <v>46232</v>
      </c>
      <c r="K31" s="3" t="n">
        <v>6</v>
      </c>
      <c r="L31" s="10" t="n">
        <v>150</v>
      </c>
      <c r="M31" s="3">
        <f>IF($A31="","",IFERROR(INDEX('AJUSTES'!$B$4:$B$303,MATCH($AN31,'AJUSTES'!$A$4:$A$303,0)),IF($K31="","",$K31)))</f>
        <v/>
      </c>
      <c r="N31" s="3">
        <f>IF($A31="","",IFERROR(INDEX('CAT_ESTADOS_ERP'!$B$4:$B$7,MATCH(IFERROR(INDEX('2_IMPORTAR_EJECUCION'!$C$9:$C$1208,MATCH($AN31,'2_IMPORTAR_EJECUCION'!$J$9:$J$1208,0)),""),'CAT_ESTADOS_ERP'!$A$4:$A$7,0)),"Pendiente"))</f>
        <v/>
      </c>
      <c r="O31" s="3">
        <f>IF($J31="","",YEAR($J31+4-WEEKDAY($J31,2))&amp;"-S"&amp;TEXT(_xlfn.ISOWEEKNUM($J31),"00"))</f>
        <v/>
      </c>
      <c r="P31" s="3">
        <f>IF($J31="","",YEAR($J31))</f>
        <v/>
      </c>
      <c r="Q31" s="3">
        <f>IF($J31="","",MONTH($J31))</f>
        <v/>
      </c>
      <c r="R31" s="3">
        <f>IF($J31="","",INDEX(lista_dias,WEEKDAY($J31,2)))</f>
        <v/>
      </c>
      <c r="S31" s="3">
        <f>IF($I31="","",IFERROR(INDEX('CAT_TIPOS_OT'!$C$4:$C$7,MATCH($I31,'CAT_TIPOS_OT'!$A$4:$A$7,0)),"sin_clasificar"))</f>
        <v/>
      </c>
      <c r="T31" s="3">
        <f>IF($F31="","",IFERROR(INDEX('CAT_CENTROS_COSTO'!$E$4:$E$9,MATCH($F31,'CAT_CENTROS_COSTO'!$A$4:$A$9,0)),"(sin catálogo)"))</f>
        <v/>
      </c>
      <c r="U31" s="3">
        <f>IF($F31="","",IFERROR(INDEX('CAT_CENTROS_COSTO'!$D$4:$D$9,MATCH($F31,'CAT_CENTROS_COSTO'!$A$4:$A$9,0)),"(sin catálogo)"))</f>
        <v/>
      </c>
      <c r="V31" s="3">
        <f>IF($F31="","",IFERROR(INDEX('CAT_CENTROS_COSTO'!$F$4:$F$9,MATCH($F31,'CAT_CENTROS_COSTO'!$A$4:$A$9,0)),"(sin catálogo)"))</f>
        <v/>
      </c>
      <c r="W31" s="3">
        <f>IF($G31="","",IFERROR(INDEX('CAT_PUESTOS'!$B$4:$B$8,MATCH($G31,'CAT_PUESTOS'!$A$4:$A$8,0)),"(sin catálogo)"))</f>
        <v/>
      </c>
      <c r="X31" s="3">
        <f>IF($H31="","",IFERROR(INDEX('CAT_ACTIVIDADES'!$B$4:$B$8,MATCH($H31,'CAT_ACTIVIDADES'!$A$4:$A$8,0)),"(sin catálogo)"))</f>
        <v/>
      </c>
      <c r="Y31" s="12">
        <f>IF($J31="","",TODAY()-$J31)</f>
        <v/>
      </c>
      <c r="Z31" s="3">
        <f>IF($Y31="","",IF($Y31&lt;0,"FUTURO",IF($Y31&gt;p_dias_backlog_max,"BACKLOG","MES CORRIENTE")))</f>
        <v/>
      </c>
      <c r="AA31" s="3">
        <f>IF($Y31="",FALSE,AND($Y31&gt;p_dias_backlog_min,$Y31&lt;=p_dias_backlog_max))</f>
        <v/>
      </c>
      <c r="AB31" s="6" t="inlineStr">
        <is>
          <t>Técnico 01</t>
        </is>
      </c>
      <c r="AC31" s="3">
        <f>IF($AB31="","",IFERROR(INDEX('ASIGNACIONES'!$F$4:$F$339,MATCH($O31&amp;"|"&amp;$R31&amp;"|"&amp;$AB31,'ASIGNACIONES'!$I$4:$I$339,0)),""))</f>
        <v/>
      </c>
      <c r="AD31" s="13">
        <f>IF($AB31="","",SUMIFS('ORDENES'!$M$4:$M$1203,'ORDENES'!$AB$4:$AB$1203,$AB31,'ORDENES'!$O$4:$O$1203,$O31,'ORDENES'!$R$4:$R$1203,$R31))</f>
        <v/>
      </c>
      <c r="AE31" s="13">
        <f>IF($AD31="","",p_factor_productividad*IFERROR(INDEX('ASIGNACIONES'!$H$4:$H$339,MATCH($O31&amp;"|"&amp;$R31&amp;"|"&amp;$AB31,'ASIGNACIONES'!$I$4:$I$339,0)),0)-$AD31)</f>
        <v/>
      </c>
      <c r="AF31" s="10">
        <f>IF($A31="","",IFERROR(INDEX('2_IMPORTAR_EJECUCION'!$F$9:$F$1208,MATCH($AN31,'2_IMPORTAR_EJECUCION'!$J$9:$J$1208,0)),0))</f>
        <v/>
      </c>
      <c r="AG31" s="10">
        <f>IF($A31="","",MAX(0,IFERROR(INDEX('2_IMPORTAR_EJECUCION'!$H$9:$H$1208,MATCH($AN31,'2_IMPORTAR_EJECUCION'!$J$9:$J$1208,0)),0)-$AF31))</f>
        <v/>
      </c>
      <c r="AH31" s="10">
        <f>IF($A31="","",$AF31+$AG31)</f>
        <v/>
      </c>
      <c r="AI31" s="6" t="inlineStr"/>
      <c r="AJ31" s="6" t="inlineStr"/>
      <c r="AK31" s="6" t="inlineStr">
        <is>
          <t>ACT-02.pdf</t>
        </is>
      </c>
      <c r="AL31" s="3">
        <f>IF($AK31="","",HYPERLINK(p_ruta_base_checklists&amp;$AK31,"abrir"))</f>
        <v/>
      </c>
      <c r="AM31" s="6" t="inlineStr"/>
      <c r="AN31" s="3">
        <f>IF($A31="","",$A31&amp;IF($B31="","0010",$B31))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1" t="n">
        <v>46233</v>
      </c>
      <c r="K32" s="3" t="n">
        <v>10</v>
      </c>
      <c r="L32" s="10" t="n">
        <v>250</v>
      </c>
      <c r="M32" s="3">
        <f>IF($A32="","",IFERROR(INDEX('AJUSTES'!$B$4:$B$303,MATCH($AN32,'AJUSTES'!$A$4:$A$303,0)),IF($K32="","",$K32)))</f>
        <v/>
      </c>
      <c r="N32" s="3">
        <f>IF($A32="","",IFERROR(INDEX('CAT_ESTADOS_ERP'!$B$4:$B$7,MATCH(IFERROR(INDEX('2_IMPORTAR_EJECUCION'!$C$9:$C$1208,MATCH($AN32,'2_IMPORTAR_EJECUCION'!$J$9:$J$1208,0)),""),'CAT_ESTADOS_ERP'!$A$4:$A$7,0)),"Pendiente"))</f>
        <v/>
      </c>
      <c r="O32" s="3">
        <f>IF($J32="","",YEAR($J32+4-WEEKDAY($J32,2))&amp;"-S"&amp;TEXT(_xlfn.ISOWEEKNUM($J32),"00"))</f>
        <v/>
      </c>
      <c r="P32" s="3">
        <f>IF($J32="","",YEAR($J32))</f>
        <v/>
      </c>
      <c r="Q32" s="3">
        <f>IF($J32="","",MONTH($J32))</f>
        <v/>
      </c>
      <c r="R32" s="3">
        <f>IF($J32="","",INDEX(lista_dias,WEEKDAY($J32,2)))</f>
        <v/>
      </c>
      <c r="S32" s="3">
        <f>IF($I32="","",IFERROR(INDEX('CAT_TIPOS_OT'!$C$4:$C$7,MATCH($I32,'CAT_TIPOS_OT'!$A$4:$A$7,0)),"sin_clasificar"))</f>
        <v/>
      </c>
      <c r="T32" s="3">
        <f>IF($F32="","",IFERROR(INDEX('CAT_CENTROS_COSTO'!$E$4:$E$9,MATCH($F32,'CAT_CENTROS_COSTO'!$A$4:$A$9,0)),"(sin catálogo)"))</f>
        <v/>
      </c>
      <c r="U32" s="3">
        <f>IF($F32="","",IFERROR(INDEX('CAT_CENTROS_COSTO'!$D$4:$D$9,MATCH($F32,'CAT_CENTROS_COSTO'!$A$4:$A$9,0)),"(sin catálogo)"))</f>
        <v/>
      </c>
      <c r="V32" s="3">
        <f>IF($F32="","",IFERROR(INDEX('CAT_CENTROS_COSTO'!$F$4:$F$9,MATCH($F32,'CAT_CENTROS_COSTO'!$A$4:$A$9,0)),"(sin catálogo)"))</f>
        <v/>
      </c>
      <c r="W32" s="3">
        <f>IF($G32="","",IFERROR(INDEX('CAT_PUESTOS'!$B$4:$B$8,MATCH($G32,'CAT_PUESTOS'!$A$4:$A$8,0)),"(sin catálogo)"))</f>
        <v/>
      </c>
      <c r="X32" s="3">
        <f>IF($H32="","",IFERROR(INDEX('CAT_ACTIVIDADES'!$B$4:$B$8,MATCH($H32,'CAT_ACTIVIDADES'!$A$4:$A$8,0)),"(sin catálogo)"))</f>
        <v/>
      </c>
      <c r="Y32" s="12">
        <f>IF($J32="","",TODAY()-$J32)</f>
        <v/>
      </c>
      <c r="Z32" s="3">
        <f>IF($Y32="","",IF($Y32&lt;0,"FUTURO",IF($Y32&gt;p_dias_backlog_max,"BACKLOG","MES CORRIENTE")))</f>
        <v/>
      </c>
      <c r="AA32" s="3">
        <f>IF($Y32="",FALSE,AND($Y32&gt;p_dias_backlog_min,$Y32&lt;=p_dias_backlog_max))</f>
        <v/>
      </c>
      <c r="AB32" s="6" t="inlineStr">
        <is>
          <t>Técnico 02</t>
        </is>
      </c>
      <c r="AC32" s="3">
        <f>IF($AB32="","",IFERROR(INDEX('ASIGNACIONES'!$F$4:$F$339,MATCH($O32&amp;"|"&amp;$R32&amp;"|"&amp;$AB32,'ASIGNACIONES'!$I$4:$I$339,0)),""))</f>
        <v/>
      </c>
      <c r="AD32" s="13">
        <f>IF($AB32="","",SUMIFS('ORDENES'!$M$4:$M$1203,'ORDENES'!$AB$4:$AB$1203,$AB32,'ORDENES'!$O$4:$O$1203,$O32,'ORDENES'!$R$4:$R$1203,$R32))</f>
        <v/>
      </c>
      <c r="AE32" s="13">
        <f>IF($AD32="","",p_factor_productividad*IFERROR(INDEX('ASIGNACIONES'!$H$4:$H$339,MATCH($O32&amp;"|"&amp;$R32&amp;"|"&amp;$AB32,'ASIGNACIONES'!$I$4:$I$339,0)),0)-$AD32)</f>
        <v/>
      </c>
      <c r="AF32" s="10">
        <f>IF($A32="","",IFERROR(INDEX('2_IMPORTAR_EJECUCION'!$F$9:$F$1208,MATCH($AN32,'2_IMPORTAR_EJECUCION'!$J$9:$J$1208,0)),0))</f>
        <v/>
      </c>
      <c r="AG32" s="10">
        <f>IF($A32="","",MAX(0,IFERROR(INDEX('2_IMPORTAR_EJECUCION'!$H$9:$H$1208,MATCH($AN32,'2_IMPORTAR_EJECUCION'!$J$9:$J$1208,0)),0)-$AF32))</f>
        <v/>
      </c>
      <c r="AH32" s="10">
        <f>IF($A32="","",$AF32+$AG32)</f>
        <v/>
      </c>
      <c r="AI32" s="6" t="inlineStr"/>
      <c r="AJ32" s="6" t="inlineStr"/>
      <c r="AK32" s="6" t="inlineStr">
        <is>
          <t>ACT-04.pdf</t>
        </is>
      </c>
      <c r="AL32" s="3">
        <f>IF($AK32="","",HYPERLINK(p_ruta_base_checklists&amp;$AK32,"abrir"))</f>
        <v/>
      </c>
      <c r="AM32" s="6" t="inlineStr"/>
      <c r="AN32" s="3">
        <f>IF($A32="","",$A32&amp;IF($B32="","0010",$B32))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1" t="n">
        <v>46234</v>
      </c>
      <c r="K33" s="3" t="n">
        <v>8</v>
      </c>
      <c r="L33" s="10" t="n">
        <v>200</v>
      </c>
      <c r="M33" s="3">
        <f>IF($A33="","",IFERROR(INDEX('AJUSTES'!$B$4:$B$303,MATCH($AN33,'AJUSTES'!$A$4:$A$303,0)),IF($K33="","",$K33)))</f>
        <v/>
      </c>
      <c r="N33" s="3">
        <f>IF($A33="","",IFERROR(INDEX('CAT_ESTADOS_ERP'!$B$4:$B$7,MATCH(IFERROR(INDEX('2_IMPORTAR_EJECUCION'!$C$9:$C$1208,MATCH($AN33,'2_IMPORTAR_EJECUCION'!$J$9:$J$1208,0)),""),'CAT_ESTADOS_ERP'!$A$4:$A$7,0)),"Pendiente"))</f>
        <v/>
      </c>
      <c r="O33" s="3">
        <f>IF($J33="","",YEAR($J33+4-WEEKDAY($J33,2))&amp;"-S"&amp;TEXT(_xlfn.ISOWEEKNUM($J33),"00"))</f>
        <v/>
      </c>
      <c r="P33" s="3">
        <f>IF($J33="","",YEAR($J33))</f>
        <v/>
      </c>
      <c r="Q33" s="3">
        <f>IF($J33="","",MONTH($J33))</f>
        <v/>
      </c>
      <c r="R33" s="3">
        <f>IF($J33="","",INDEX(lista_dias,WEEKDAY($J33,2)))</f>
        <v/>
      </c>
      <c r="S33" s="3">
        <f>IF($I33="","",IFERROR(INDEX('CAT_TIPOS_OT'!$C$4:$C$7,MATCH($I33,'CAT_TIPOS_OT'!$A$4:$A$7,0)),"sin_clasificar"))</f>
        <v/>
      </c>
      <c r="T33" s="3">
        <f>IF($F33="","",IFERROR(INDEX('CAT_CENTROS_COSTO'!$E$4:$E$9,MATCH($F33,'CAT_CENTROS_COSTO'!$A$4:$A$9,0)),"(sin catálogo)"))</f>
        <v/>
      </c>
      <c r="U33" s="3">
        <f>IF($F33="","",IFERROR(INDEX('CAT_CENTROS_COSTO'!$D$4:$D$9,MATCH($F33,'CAT_CENTROS_COSTO'!$A$4:$A$9,0)),"(sin catálogo)"))</f>
        <v/>
      </c>
      <c r="V33" s="3">
        <f>IF($F33="","",IFERROR(INDEX('CAT_CENTROS_COSTO'!$F$4:$F$9,MATCH($F33,'CAT_CENTROS_COSTO'!$A$4:$A$9,0)),"(sin catálogo)"))</f>
        <v/>
      </c>
      <c r="W33" s="3">
        <f>IF($G33="","",IFERROR(INDEX('CAT_PUESTOS'!$B$4:$B$8,MATCH($G33,'CAT_PUESTOS'!$A$4:$A$8,0)),"(sin catálogo)"))</f>
        <v/>
      </c>
      <c r="X33" s="3">
        <f>IF($H33="","",IFERROR(INDEX('CAT_ACTIVIDADES'!$B$4:$B$8,MATCH($H33,'CAT_ACTIVIDADES'!$A$4:$A$8,0)),"(sin catálogo)"))</f>
        <v/>
      </c>
      <c r="Y33" s="12">
        <f>IF($J33="","",TODAY()-$J33)</f>
        <v/>
      </c>
      <c r="Z33" s="3">
        <f>IF($Y33="","",IF($Y33&lt;0,"FUTURO",IF($Y33&gt;p_dias_backlog_max,"BACKLOG","MES CORRIENTE")))</f>
        <v/>
      </c>
      <c r="AA33" s="3">
        <f>IF($Y33="",FALSE,AND($Y33&gt;p_dias_backlog_min,$Y33&lt;=p_dias_backlog_max))</f>
        <v/>
      </c>
      <c r="AB33" s="6" t="inlineStr">
        <is>
          <t>Técnico 03</t>
        </is>
      </c>
      <c r="AC33" s="3">
        <f>IF($AB33="","",IFERROR(INDEX('ASIGNACIONES'!$F$4:$F$339,MATCH($O33&amp;"|"&amp;$R33&amp;"|"&amp;$AB33,'ASIGNACIONES'!$I$4:$I$339,0)),""))</f>
        <v/>
      </c>
      <c r="AD33" s="13">
        <f>IF($AB33="","",SUMIFS('ORDENES'!$M$4:$M$1203,'ORDENES'!$AB$4:$AB$1203,$AB33,'ORDENES'!$O$4:$O$1203,$O33,'ORDENES'!$R$4:$R$1203,$R33))</f>
        <v/>
      </c>
      <c r="AE33" s="13">
        <f>IF($AD33="","",p_factor_productividad*IFERROR(INDEX('ASIGNACIONES'!$H$4:$H$339,MATCH($O33&amp;"|"&amp;$R33&amp;"|"&amp;$AB33,'ASIGNACIONES'!$I$4:$I$339,0)),0)-$AD33)</f>
        <v/>
      </c>
      <c r="AF33" s="10">
        <f>IF($A33="","",IFERROR(INDEX('2_IMPORTAR_EJECUCION'!$F$9:$F$1208,MATCH($AN33,'2_IMPORTAR_EJECUCION'!$J$9:$J$1208,0)),0))</f>
        <v/>
      </c>
      <c r="AG33" s="10">
        <f>IF($A33="","",MAX(0,IFERROR(INDEX('2_IMPORTAR_EJECUCION'!$H$9:$H$1208,MATCH($AN33,'2_IMPORTAR_EJECUCION'!$J$9:$J$1208,0)),0)-$AF33))</f>
        <v/>
      </c>
      <c r="AH33" s="10">
        <f>IF($A33="","",$AF33+$AG33)</f>
        <v/>
      </c>
      <c r="AI33" s="6" t="inlineStr"/>
      <c r="AJ33" s="6" t="inlineStr"/>
      <c r="AK33" s="6" t="inlineStr">
        <is>
          <t>ACT-01.pdf</t>
        </is>
      </c>
      <c r="AL33" s="3">
        <f>IF($AK33="","",HYPERLINK(p_ruta_base_checklists&amp;$AK33,"abrir"))</f>
        <v/>
      </c>
      <c r="AM33" s="6" t="inlineStr"/>
      <c r="AN33" s="3">
        <f>IF($A33="","",$A33&amp;IF($B33="","0010",$B33))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1" t="n">
        <v>46230</v>
      </c>
      <c r="K34" s="3" t="n">
        <v>6</v>
      </c>
      <c r="L34" s="10" t="n">
        <v>150</v>
      </c>
      <c r="M34" s="3">
        <f>IF($A34="","",IFERROR(INDEX('AJUSTES'!$B$4:$B$303,MATCH($AN34,'AJUSTES'!$A$4:$A$303,0)),IF($K34="","",$K34)))</f>
        <v/>
      </c>
      <c r="N34" s="3">
        <f>IF($A34="","",IFERROR(INDEX('CAT_ESTADOS_ERP'!$B$4:$B$7,MATCH(IFERROR(INDEX('2_IMPORTAR_EJECUCION'!$C$9:$C$1208,MATCH($AN34,'2_IMPORTAR_EJECUCION'!$J$9:$J$1208,0)),""),'CAT_ESTADOS_ERP'!$A$4:$A$7,0)),"Pendiente"))</f>
        <v/>
      </c>
      <c r="O34" s="3">
        <f>IF($J34="","",YEAR($J34+4-WEEKDAY($J34,2))&amp;"-S"&amp;TEXT(_xlfn.ISOWEEKNUM($J34),"00"))</f>
        <v/>
      </c>
      <c r="P34" s="3">
        <f>IF($J34="","",YEAR($J34))</f>
        <v/>
      </c>
      <c r="Q34" s="3">
        <f>IF($J34="","",MONTH($J34))</f>
        <v/>
      </c>
      <c r="R34" s="3">
        <f>IF($J34="","",INDEX(lista_dias,WEEKDAY($J34,2)))</f>
        <v/>
      </c>
      <c r="S34" s="3">
        <f>IF($I34="","",IFERROR(INDEX('CAT_TIPOS_OT'!$C$4:$C$7,MATCH($I34,'CAT_TIPOS_OT'!$A$4:$A$7,0)),"sin_clasificar"))</f>
        <v/>
      </c>
      <c r="T34" s="3">
        <f>IF($F34="","",IFERROR(INDEX('CAT_CENTROS_COSTO'!$E$4:$E$9,MATCH($F34,'CAT_CENTROS_COSTO'!$A$4:$A$9,0)),"(sin catálogo)"))</f>
        <v/>
      </c>
      <c r="U34" s="3">
        <f>IF($F34="","",IFERROR(INDEX('CAT_CENTROS_COSTO'!$D$4:$D$9,MATCH($F34,'CAT_CENTROS_COSTO'!$A$4:$A$9,0)),"(sin catálogo)"))</f>
        <v/>
      </c>
      <c r="V34" s="3">
        <f>IF($F34="","",IFERROR(INDEX('CAT_CENTROS_COSTO'!$F$4:$F$9,MATCH($F34,'CAT_CENTROS_COSTO'!$A$4:$A$9,0)),"(sin catálogo)"))</f>
        <v/>
      </c>
      <c r="W34" s="3">
        <f>IF($G34="","",IFERROR(INDEX('CAT_PUESTOS'!$B$4:$B$8,MATCH($G34,'CAT_PUESTOS'!$A$4:$A$8,0)),"(sin catálogo)"))</f>
        <v/>
      </c>
      <c r="X34" s="3">
        <f>IF($H34="","",IFERROR(INDEX('CAT_ACTIVIDADES'!$B$4:$B$8,MATCH($H34,'CAT_ACTIVIDADES'!$A$4:$A$8,0)),"(sin catálogo)"))</f>
        <v/>
      </c>
      <c r="Y34" s="12">
        <f>IF($J34="","",TODAY()-$J34)</f>
        <v/>
      </c>
      <c r="Z34" s="3">
        <f>IF($Y34="","",IF($Y34&lt;0,"FUTURO",IF($Y34&gt;p_dias_backlog_max,"BACKLOG","MES CORRIENTE")))</f>
        <v/>
      </c>
      <c r="AA34" s="3">
        <f>IF($Y34="",FALSE,AND($Y34&gt;p_dias_backlog_min,$Y34&lt;=p_dias_backlog_max))</f>
        <v/>
      </c>
      <c r="AB34" s="6" t="inlineStr">
        <is>
          <t>Técnico 01</t>
        </is>
      </c>
      <c r="AC34" s="3">
        <f>IF($AB34="","",IFERROR(INDEX('ASIGNACIONES'!$F$4:$F$339,MATCH($O34&amp;"|"&amp;$R34&amp;"|"&amp;$AB34,'ASIGNACIONES'!$I$4:$I$339,0)),""))</f>
        <v/>
      </c>
      <c r="AD34" s="13">
        <f>IF($AB34="","",SUMIFS('ORDENES'!$M$4:$M$1203,'ORDENES'!$AB$4:$AB$1203,$AB34,'ORDENES'!$O$4:$O$1203,$O34,'ORDENES'!$R$4:$R$1203,$R34))</f>
        <v/>
      </c>
      <c r="AE34" s="13">
        <f>IF($AD34="","",p_factor_productividad*IFERROR(INDEX('ASIGNACIONES'!$H$4:$H$339,MATCH($O34&amp;"|"&amp;$R34&amp;"|"&amp;$AB34,'ASIGNACIONES'!$I$4:$I$339,0)),0)-$AD34)</f>
        <v/>
      </c>
      <c r="AF34" s="10">
        <f>IF($A34="","",IFERROR(INDEX('2_IMPORTAR_EJECUCION'!$F$9:$F$1208,MATCH($AN34,'2_IMPORTAR_EJECUCION'!$J$9:$J$1208,0)),0))</f>
        <v/>
      </c>
      <c r="AG34" s="10">
        <f>IF($A34="","",MAX(0,IFERROR(INDEX('2_IMPORTAR_EJECUCION'!$H$9:$H$1208,MATCH($AN34,'2_IMPORTAR_EJECUCION'!$J$9:$J$1208,0)),0)-$AF34))</f>
        <v/>
      </c>
      <c r="AH34" s="10">
        <f>IF($A34="","",$AF34+$AG34)</f>
        <v/>
      </c>
      <c r="AI34" s="6" t="inlineStr"/>
      <c r="AJ34" s="6" t="inlineStr"/>
      <c r="AK34" s="6" t="inlineStr">
        <is>
          <t>ACT-02.pdf</t>
        </is>
      </c>
      <c r="AL34" s="3">
        <f>IF($AK34="","",HYPERLINK(p_ruta_base_checklists&amp;$AK34,"abrir"))</f>
        <v/>
      </c>
      <c r="AM34" s="6" t="inlineStr"/>
      <c r="AN34" s="3">
        <f>IF($A34="","",$A34&amp;IF($B34="","0010",$B34))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1" t="n">
        <v>46231</v>
      </c>
      <c r="K35" s="3" t="n">
        <v>10</v>
      </c>
      <c r="L35" s="10" t="n">
        <v>250</v>
      </c>
      <c r="M35" s="3">
        <f>IF($A35="","",IFERROR(INDEX('AJUSTES'!$B$4:$B$303,MATCH($AN35,'AJUSTES'!$A$4:$A$303,0)),IF($K35="","",$K35)))</f>
        <v/>
      </c>
      <c r="N35" s="3">
        <f>IF($A35="","",IFERROR(INDEX('CAT_ESTADOS_ERP'!$B$4:$B$7,MATCH(IFERROR(INDEX('2_IMPORTAR_EJECUCION'!$C$9:$C$1208,MATCH($AN35,'2_IMPORTAR_EJECUCION'!$J$9:$J$1208,0)),""),'CAT_ESTADOS_ERP'!$A$4:$A$7,0)),"Pendiente"))</f>
        <v/>
      </c>
      <c r="O35" s="3">
        <f>IF($J35="","",YEAR($J35+4-WEEKDAY($J35,2))&amp;"-S"&amp;TEXT(_xlfn.ISOWEEKNUM($J35),"00"))</f>
        <v/>
      </c>
      <c r="P35" s="3">
        <f>IF($J35="","",YEAR($J35))</f>
        <v/>
      </c>
      <c r="Q35" s="3">
        <f>IF($J35="","",MONTH($J35))</f>
        <v/>
      </c>
      <c r="R35" s="3">
        <f>IF($J35="","",INDEX(lista_dias,WEEKDAY($J35,2)))</f>
        <v/>
      </c>
      <c r="S35" s="3">
        <f>IF($I35="","",IFERROR(INDEX('CAT_TIPOS_OT'!$C$4:$C$7,MATCH($I35,'CAT_TIPOS_OT'!$A$4:$A$7,0)),"sin_clasificar"))</f>
        <v/>
      </c>
      <c r="T35" s="3">
        <f>IF($F35="","",IFERROR(INDEX('CAT_CENTROS_COSTO'!$E$4:$E$9,MATCH($F35,'CAT_CENTROS_COSTO'!$A$4:$A$9,0)),"(sin catálogo)"))</f>
        <v/>
      </c>
      <c r="U35" s="3">
        <f>IF($F35="","",IFERROR(INDEX('CAT_CENTROS_COSTO'!$D$4:$D$9,MATCH($F35,'CAT_CENTROS_COSTO'!$A$4:$A$9,0)),"(sin catálogo)"))</f>
        <v/>
      </c>
      <c r="V35" s="3">
        <f>IF($F35="","",IFERROR(INDEX('CAT_CENTROS_COSTO'!$F$4:$F$9,MATCH($F35,'CAT_CENTROS_COSTO'!$A$4:$A$9,0)),"(sin catálogo)"))</f>
        <v/>
      </c>
      <c r="W35" s="3">
        <f>IF($G35="","",IFERROR(INDEX('CAT_PUESTOS'!$B$4:$B$8,MATCH($G35,'CAT_PUESTOS'!$A$4:$A$8,0)),"(sin catálogo)"))</f>
        <v/>
      </c>
      <c r="X35" s="3">
        <f>IF($H35="","",IFERROR(INDEX('CAT_ACTIVIDADES'!$B$4:$B$8,MATCH($H35,'CAT_ACTIVIDADES'!$A$4:$A$8,0)),"(sin catálogo)"))</f>
        <v/>
      </c>
      <c r="Y35" s="12">
        <f>IF($J35="","",TODAY()-$J35)</f>
        <v/>
      </c>
      <c r="Z35" s="3">
        <f>IF($Y35="","",IF($Y35&lt;0,"FUTURO",IF($Y35&gt;p_dias_backlog_max,"BACKLOG","MES CORRIENTE")))</f>
        <v/>
      </c>
      <c r="AA35" s="3">
        <f>IF($Y35="",FALSE,AND($Y35&gt;p_dias_backlog_min,$Y35&lt;=p_dias_backlog_max))</f>
        <v/>
      </c>
      <c r="AB35" s="6" t="inlineStr">
        <is>
          <t>Técnico 02</t>
        </is>
      </c>
      <c r="AC35" s="3">
        <f>IF($AB35="","",IFERROR(INDEX('ASIGNACIONES'!$F$4:$F$339,MATCH($O35&amp;"|"&amp;$R35&amp;"|"&amp;$AB35,'ASIGNACIONES'!$I$4:$I$339,0)),""))</f>
        <v/>
      </c>
      <c r="AD35" s="13">
        <f>IF($AB35="","",SUMIFS('ORDENES'!$M$4:$M$1203,'ORDENES'!$AB$4:$AB$1203,$AB35,'ORDENES'!$O$4:$O$1203,$O35,'ORDENES'!$R$4:$R$1203,$R35))</f>
        <v/>
      </c>
      <c r="AE35" s="13">
        <f>IF($AD35="","",p_factor_productividad*IFERROR(INDEX('ASIGNACIONES'!$H$4:$H$339,MATCH($O35&amp;"|"&amp;$R35&amp;"|"&amp;$AB35,'ASIGNACIONES'!$I$4:$I$339,0)),0)-$AD35)</f>
        <v/>
      </c>
      <c r="AF35" s="10">
        <f>IF($A35="","",IFERROR(INDEX('2_IMPORTAR_EJECUCION'!$F$9:$F$1208,MATCH($AN35,'2_IMPORTAR_EJECUCION'!$J$9:$J$1208,0)),0))</f>
        <v/>
      </c>
      <c r="AG35" s="10">
        <f>IF($A35="","",MAX(0,IFERROR(INDEX('2_IMPORTAR_EJECUCION'!$H$9:$H$1208,MATCH($AN35,'2_IMPORTAR_EJECUCION'!$J$9:$J$1208,0)),0)-$AF35))</f>
        <v/>
      </c>
      <c r="AH35" s="10">
        <f>IF($A35="","",$AF35+$AG35)</f>
        <v/>
      </c>
      <c r="AI35" s="6" t="inlineStr"/>
      <c r="AJ35" s="6" t="inlineStr"/>
      <c r="AK35" s="6" t="inlineStr">
        <is>
          <t>ACT-04.pdf</t>
        </is>
      </c>
      <c r="AL35" s="3">
        <f>IF($AK35="","",HYPERLINK(p_ruta_base_checklists&amp;$AK35,"abrir"))</f>
        <v/>
      </c>
      <c r="AM35" s="6" t="inlineStr"/>
      <c r="AN35" s="3">
        <f>IF($A35="","",$A35&amp;IF($B35="","0010",$B35))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1" t="n">
        <v>46232</v>
      </c>
      <c r="K36" s="3" t="n">
        <v>8</v>
      </c>
      <c r="L36" s="10" t="n">
        <v>200</v>
      </c>
      <c r="M36" s="3">
        <f>IF($A36="","",IFERROR(INDEX('AJUSTES'!$B$4:$B$303,MATCH($AN36,'AJUSTES'!$A$4:$A$303,0)),IF($K36="","",$K36)))</f>
        <v/>
      </c>
      <c r="N36" s="3">
        <f>IF($A36="","",IFERROR(INDEX('CAT_ESTADOS_ERP'!$B$4:$B$7,MATCH(IFERROR(INDEX('2_IMPORTAR_EJECUCION'!$C$9:$C$1208,MATCH($AN36,'2_IMPORTAR_EJECUCION'!$J$9:$J$1208,0)),""),'CAT_ESTADOS_ERP'!$A$4:$A$7,0)),"Pendiente"))</f>
        <v/>
      </c>
      <c r="O36" s="3">
        <f>IF($J36="","",YEAR($J36+4-WEEKDAY($J36,2))&amp;"-S"&amp;TEXT(_xlfn.ISOWEEKNUM($J36),"00"))</f>
        <v/>
      </c>
      <c r="P36" s="3">
        <f>IF($J36="","",YEAR($J36))</f>
        <v/>
      </c>
      <c r="Q36" s="3">
        <f>IF($J36="","",MONTH($J36))</f>
        <v/>
      </c>
      <c r="R36" s="3">
        <f>IF($J36="","",INDEX(lista_dias,WEEKDAY($J36,2)))</f>
        <v/>
      </c>
      <c r="S36" s="3">
        <f>IF($I36="","",IFERROR(INDEX('CAT_TIPOS_OT'!$C$4:$C$7,MATCH($I36,'CAT_TIPOS_OT'!$A$4:$A$7,0)),"sin_clasificar"))</f>
        <v/>
      </c>
      <c r="T36" s="3">
        <f>IF($F36="","",IFERROR(INDEX('CAT_CENTROS_COSTO'!$E$4:$E$9,MATCH($F36,'CAT_CENTROS_COSTO'!$A$4:$A$9,0)),"(sin catálogo)"))</f>
        <v/>
      </c>
      <c r="U36" s="3">
        <f>IF($F36="","",IFERROR(INDEX('CAT_CENTROS_COSTO'!$D$4:$D$9,MATCH($F36,'CAT_CENTROS_COSTO'!$A$4:$A$9,0)),"(sin catálogo)"))</f>
        <v/>
      </c>
      <c r="V36" s="3">
        <f>IF($F36="","",IFERROR(INDEX('CAT_CENTROS_COSTO'!$F$4:$F$9,MATCH($F36,'CAT_CENTROS_COSTO'!$A$4:$A$9,0)),"(sin catálogo)"))</f>
        <v/>
      </c>
      <c r="W36" s="3">
        <f>IF($G36="","",IFERROR(INDEX('CAT_PUESTOS'!$B$4:$B$8,MATCH($G36,'CAT_PUESTOS'!$A$4:$A$8,0)),"(sin catálogo)"))</f>
        <v/>
      </c>
      <c r="X36" s="3">
        <f>IF($H36="","",IFERROR(INDEX('CAT_ACTIVIDADES'!$B$4:$B$8,MATCH($H36,'CAT_ACTIVIDADES'!$A$4:$A$8,0)),"(sin catálogo)"))</f>
        <v/>
      </c>
      <c r="Y36" s="12">
        <f>IF($J36="","",TODAY()-$J36)</f>
        <v/>
      </c>
      <c r="Z36" s="3">
        <f>IF($Y36="","",IF($Y36&lt;0,"FUTURO",IF($Y36&gt;p_dias_backlog_max,"BACKLOG","MES CORRIENTE")))</f>
        <v/>
      </c>
      <c r="AA36" s="3">
        <f>IF($Y36="",FALSE,AND($Y36&gt;p_dias_backlog_min,$Y36&lt;=p_dias_backlog_max))</f>
        <v/>
      </c>
      <c r="AB36" s="6" t="inlineStr">
        <is>
          <t>Técnico 03</t>
        </is>
      </c>
      <c r="AC36" s="3">
        <f>IF($AB36="","",IFERROR(INDEX('ASIGNACIONES'!$F$4:$F$339,MATCH($O36&amp;"|"&amp;$R36&amp;"|"&amp;$AB36,'ASIGNACIONES'!$I$4:$I$339,0)),""))</f>
        <v/>
      </c>
      <c r="AD36" s="13">
        <f>IF($AB36="","",SUMIFS('ORDENES'!$M$4:$M$1203,'ORDENES'!$AB$4:$AB$1203,$AB36,'ORDENES'!$O$4:$O$1203,$O36,'ORDENES'!$R$4:$R$1203,$R36))</f>
        <v/>
      </c>
      <c r="AE36" s="13">
        <f>IF($AD36="","",p_factor_productividad*IFERROR(INDEX('ASIGNACIONES'!$H$4:$H$339,MATCH($O36&amp;"|"&amp;$R36&amp;"|"&amp;$AB36,'ASIGNACIONES'!$I$4:$I$339,0)),0)-$AD36)</f>
        <v/>
      </c>
      <c r="AF36" s="10">
        <f>IF($A36="","",IFERROR(INDEX('2_IMPORTAR_EJECUCION'!$F$9:$F$1208,MATCH($AN36,'2_IMPORTAR_EJECUCION'!$J$9:$J$1208,0)),0))</f>
        <v/>
      </c>
      <c r="AG36" s="10">
        <f>IF($A36="","",MAX(0,IFERROR(INDEX('2_IMPORTAR_EJECUCION'!$H$9:$H$1208,MATCH($AN36,'2_IMPORTAR_EJECUCION'!$J$9:$J$1208,0)),0)-$AF36))</f>
        <v/>
      </c>
      <c r="AH36" s="10">
        <f>IF($A36="","",$AF36+$AG36)</f>
        <v/>
      </c>
      <c r="AI36" s="6" t="inlineStr"/>
      <c r="AJ36" s="6" t="inlineStr"/>
      <c r="AK36" s="6" t="inlineStr">
        <is>
          <t>ACT-01.pdf</t>
        </is>
      </c>
      <c r="AL36" s="3">
        <f>IF($AK36="","",HYPERLINK(p_ruta_base_checklists&amp;$AK36,"abrir"))</f>
        <v/>
      </c>
      <c r="AM36" s="6" t="inlineStr"/>
      <c r="AN36" s="3">
        <f>IF($A36="","",$A36&amp;IF($B36="","0010",$B36))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1" t="n">
        <v>46233</v>
      </c>
      <c r="K37" s="3" t="n">
        <v>6</v>
      </c>
      <c r="L37" s="10" t="n">
        <v>150</v>
      </c>
      <c r="M37" s="3">
        <f>IF($A37="","",IFERROR(INDEX('AJUSTES'!$B$4:$B$303,MATCH($AN37,'AJUSTES'!$A$4:$A$303,0)),IF($K37="","",$K37)))</f>
        <v/>
      </c>
      <c r="N37" s="3">
        <f>IF($A37="","",IFERROR(INDEX('CAT_ESTADOS_ERP'!$B$4:$B$7,MATCH(IFERROR(INDEX('2_IMPORTAR_EJECUCION'!$C$9:$C$1208,MATCH($AN37,'2_IMPORTAR_EJECUCION'!$J$9:$J$1208,0)),""),'CAT_ESTADOS_ERP'!$A$4:$A$7,0)),"Pendiente"))</f>
        <v/>
      </c>
      <c r="O37" s="3">
        <f>IF($J37="","",YEAR($J37+4-WEEKDAY($J37,2))&amp;"-S"&amp;TEXT(_xlfn.ISOWEEKNUM($J37),"00"))</f>
        <v/>
      </c>
      <c r="P37" s="3">
        <f>IF($J37="","",YEAR($J37))</f>
        <v/>
      </c>
      <c r="Q37" s="3">
        <f>IF($J37="","",MONTH($J37))</f>
        <v/>
      </c>
      <c r="R37" s="3">
        <f>IF($J37="","",INDEX(lista_dias,WEEKDAY($J37,2)))</f>
        <v/>
      </c>
      <c r="S37" s="3">
        <f>IF($I37="","",IFERROR(INDEX('CAT_TIPOS_OT'!$C$4:$C$7,MATCH($I37,'CAT_TIPOS_OT'!$A$4:$A$7,0)),"sin_clasificar"))</f>
        <v/>
      </c>
      <c r="T37" s="3">
        <f>IF($F37="","",IFERROR(INDEX('CAT_CENTROS_COSTO'!$E$4:$E$9,MATCH($F37,'CAT_CENTROS_COSTO'!$A$4:$A$9,0)),"(sin catálogo)"))</f>
        <v/>
      </c>
      <c r="U37" s="3">
        <f>IF($F37="","",IFERROR(INDEX('CAT_CENTROS_COSTO'!$D$4:$D$9,MATCH($F37,'CAT_CENTROS_COSTO'!$A$4:$A$9,0)),"(sin catálogo)"))</f>
        <v/>
      </c>
      <c r="V37" s="3">
        <f>IF($F37="","",IFERROR(INDEX('CAT_CENTROS_COSTO'!$F$4:$F$9,MATCH($F37,'CAT_CENTROS_COSTO'!$A$4:$A$9,0)),"(sin catálogo)"))</f>
        <v/>
      </c>
      <c r="W37" s="3">
        <f>IF($G37="","",IFERROR(INDEX('CAT_PUESTOS'!$B$4:$B$8,MATCH($G37,'CAT_PUESTOS'!$A$4:$A$8,0)),"(sin catálogo)"))</f>
        <v/>
      </c>
      <c r="X37" s="3">
        <f>IF($H37="","",IFERROR(INDEX('CAT_ACTIVIDADES'!$B$4:$B$8,MATCH($H37,'CAT_ACTIVIDADES'!$A$4:$A$8,0)),"(sin catálogo)"))</f>
        <v/>
      </c>
      <c r="Y37" s="12">
        <f>IF($J37="","",TODAY()-$J37)</f>
        <v/>
      </c>
      <c r="Z37" s="3">
        <f>IF($Y37="","",IF($Y37&lt;0,"FUTURO",IF($Y37&gt;p_dias_backlog_max,"BACKLOG","MES CORRIENTE")))</f>
        <v/>
      </c>
      <c r="AA37" s="3">
        <f>IF($Y37="",FALSE,AND($Y37&gt;p_dias_backlog_min,$Y37&lt;=p_dias_backlog_max))</f>
        <v/>
      </c>
      <c r="AB37" s="6" t="inlineStr">
        <is>
          <t>Técnico 01</t>
        </is>
      </c>
      <c r="AC37" s="3">
        <f>IF($AB37="","",IFERROR(INDEX('ASIGNACIONES'!$F$4:$F$339,MATCH($O37&amp;"|"&amp;$R37&amp;"|"&amp;$AB37,'ASIGNACIONES'!$I$4:$I$339,0)),""))</f>
        <v/>
      </c>
      <c r="AD37" s="13">
        <f>IF($AB37="","",SUMIFS('ORDENES'!$M$4:$M$1203,'ORDENES'!$AB$4:$AB$1203,$AB37,'ORDENES'!$O$4:$O$1203,$O37,'ORDENES'!$R$4:$R$1203,$R37))</f>
        <v/>
      </c>
      <c r="AE37" s="13">
        <f>IF($AD37="","",p_factor_productividad*IFERROR(INDEX('ASIGNACIONES'!$H$4:$H$339,MATCH($O37&amp;"|"&amp;$R37&amp;"|"&amp;$AB37,'ASIGNACIONES'!$I$4:$I$339,0)),0)-$AD37)</f>
        <v/>
      </c>
      <c r="AF37" s="10">
        <f>IF($A37="","",IFERROR(INDEX('2_IMPORTAR_EJECUCION'!$F$9:$F$1208,MATCH($AN37,'2_IMPORTAR_EJECUCION'!$J$9:$J$1208,0)),0))</f>
        <v/>
      </c>
      <c r="AG37" s="10">
        <f>IF($A37="","",MAX(0,IFERROR(INDEX('2_IMPORTAR_EJECUCION'!$H$9:$H$1208,MATCH($AN37,'2_IMPORTAR_EJECUCION'!$J$9:$J$1208,0)),0)-$AF37))</f>
        <v/>
      </c>
      <c r="AH37" s="10">
        <f>IF($A37="","",$AF37+$AG37)</f>
        <v/>
      </c>
      <c r="AI37" s="6" t="inlineStr"/>
      <c r="AJ37" s="6" t="inlineStr"/>
      <c r="AK37" s="6" t="inlineStr">
        <is>
          <t>ACT-02.pdf</t>
        </is>
      </c>
      <c r="AL37" s="3">
        <f>IF($AK37="","",HYPERLINK(p_ruta_base_checklists&amp;$AK37,"abrir"))</f>
        <v/>
      </c>
      <c r="AM37" s="6" t="inlineStr"/>
      <c r="AN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1" t="n">
        <v>46234</v>
      </c>
      <c r="K38" s="3" t="n">
        <v>8</v>
      </c>
      <c r="L38" s="10" t="n">
        <v>200</v>
      </c>
      <c r="M38" s="3">
        <f>IF($A38="","",IFERROR(INDEX('AJUSTES'!$B$4:$B$303,MATCH($AN38,'AJUSTES'!$A$4:$A$303,0)),IF($K38="","",$K38)))</f>
        <v/>
      </c>
      <c r="N38" s="3">
        <f>IF($A38="","",IFERROR(INDEX('CAT_ESTADOS_ERP'!$B$4:$B$7,MATCH(IFERROR(INDEX('2_IMPORTAR_EJECUCION'!$C$9:$C$1208,MATCH($AN38,'2_IMPORTAR_EJECUCION'!$J$9:$J$1208,0)),""),'CAT_ESTADOS_ERP'!$A$4:$A$7,0)),"Pendiente"))</f>
        <v/>
      </c>
      <c r="O38" s="3">
        <f>IF($J38="","",YEAR($J38+4-WEEKDAY($J38,2))&amp;"-S"&amp;TEXT(_xlfn.ISOWEEKNUM($J38),"00"))</f>
        <v/>
      </c>
      <c r="P38" s="3">
        <f>IF($J38="","",YEAR($J38))</f>
        <v/>
      </c>
      <c r="Q38" s="3">
        <f>IF($J38="","",MONTH($J38))</f>
        <v/>
      </c>
      <c r="R38" s="3">
        <f>IF($J38="","",INDEX(lista_dias,WEEKDAY($J38,2)))</f>
        <v/>
      </c>
      <c r="S38" s="3">
        <f>IF($I38="","",IFERROR(INDEX('CAT_TIPOS_OT'!$C$4:$C$7,MATCH($I38,'CAT_TIPOS_OT'!$A$4:$A$7,0)),"sin_clasificar"))</f>
        <v/>
      </c>
      <c r="T38" s="3">
        <f>IF($F38="","",IFERROR(INDEX('CAT_CENTROS_COSTO'!$E$4:$E$9,MATCH($F38,'CAT_CENTROS_COSTO'!$A$4:$A$9,0)),"(sin catálogo)"))</f>
        <v/>
      </c>
      <c r="U38" s="3">
        <f>IF($F38="","",IFERROR(INDEX('CAT_CENTROS_COSTO'!$D$4:$D$9,MATCH($F38,'CAT_CENTROS_COSTO'!$A$4:$A$9,0)),"(sin catálogo)"))</f>
        <v/>
      </c>
      <c r="V38" s="3">
        <f>IF($F38="","",IFERROR(INDEX('CAT_CENTROS_COSTO'!$F$4:$F$9,MATCH($F38,'CAT_CENTROS_COSTO'!$A$4:$A$9,0)),"(sin catálogo)"))</f>
        <v/>
      </c>
      <c r="W38" s="3">
        <f>IF($G38="","",IFERROR(INDEX('CAT_PUESTOS'!$B$4:$B$8,MATCH($G38,'CAT_PUESTOS'!$A$4:$A$8,0)),"(sin catálogo)"))</f>
        <v/>
      </c>
      <c r="X38" s="3">
        <f>IF($H38="","",IFERROR(INDEX('CAT_ACTIVIDADES'!$B$4:$B$8,MATCH($H38,'CAT_ACTIVIDADES'!$A$4:$A$8,0)),"(sin catálogo)"))</f>
        <v/>
      </c>
      <c r="Y38" s="12">
        <f>IF($J38="","",TODAY()-$J38)</f>
        <v/>
      </c>
      <c r="Z38" s="3">
        <f>IF($Y38="","",IF($Y38&lt;0,"FUTURO",IF($Y38&gt;p_dias_backlog_max,"BACKLOG","MES CORRIENTE")))</f>
        <v/>
      </c>
      <c r="AA38" s="3">
        <f>IF($Y38="",FALSE,AND($Y38&gt;p_dias_backlog_min,$Y38&lt;=p_dias_backlog_max))</f>
        <v/>
      </c>
      <c r="AB38" s="6" t="inlineStr">
        <is>
          <t>Técnico 02</t>
        </is>
      </c>
      <c r="AC38" s="3">
        <f>IF($AB38="","",IFERROR(INDEX('ASIGNACIONES'!$F$4:$F$339,MATCH($O38&amp;"|"&amp;$R38&amp;"|"&amp;$AB38,'ASIGNACIONES'!$I$4:$I$339,0)),""))</f>
        <v/>
      </c>
      <c r="AD38" s="13">
        <f>IF($AB38="","",SUMIFS('ORDENES'!$M$4:$M$1203,'ORDENES'!$AB$4:$AB$1203,$AB38,'ORDENES'!$O$4:$O$1203,$O38,'ORDENES'!$R$4:$R$1203,$R38))</f>
        <v/>
      </c>
      <c r="AE38" s="13">
        <f>IF($AD38="","",p_factor_productividad*IFERROR(INDEX('ASIGNACIONES'!$H$4:$H$339,MATCH($O38&amp;"|"&amp;$R38&amp;"|"&amp;$AB38,'ASIGNACIONES'!$I$4:$I$339,0)),0)-$AD38)</f>
        <v/>
      </c>
      <c r="AF38" s="10">
        <f>IF($A38="","",IFERROR(INDEX('2_IMPORTAR_EJECUCION'!$F$9:$F$1208,MATCH($AN38,'2_IMPORTAR_EJECUCION'!$J$9:$J$1208,0)),0))</f>
        <v/>
      </c>
      <c r="AG38" s="10">
        <f>IF($A38="","",MAX(0,IFERROR(INDEX('2_IMPORTAR_EJECUCION'!$H$9:$H$1208,MATCH($AN38,'2_IMPORTAR_EJECUCION'!$J$9:$J$1208,0)),0)-$AF38))</f>
        <v/>
      </c>
      <c r="AH38" s="10">
        <f>IF($A38="","",$AF38+$AG38)</f>
        <v/>
      </c>
      <c r="AI38" s="6" t="inlineStr"/>
      <c r="AJ38" s="6" t="inlineStr"/>
      <c r="AK38" s="6" t="inlineStr">
        <is>
          <t>ACT-04.pdf</t>
        </is>
      </c>
      <c r="AL38" s="3">
        <f>IF($AK38="","",HYPERLINK(p_ruta_base_checklists&amp;$AK38,"abrir"))</f>
        <v/>
      </c>
      <c r="AM38" s="6" t="inlineStr"/>
      <c r="AN38" s="3">
        <f>IF($A38="","",$A38&amp;IF($B38="","0010",$B38))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1" t="n">
        <v>46230</v>
      </c>
      <c r="K39" s="3" t="n">
        <v>10</v>
      </c>
      <c r="L39" s="10" t="n">
        <v>400</v>
      </c>
      <c r="M39" s="3">
        <f>IF($A39="","",IFERROR(INDEX('AJUSTES'!$B$4:$B$303,MATCH($AN39,'AJUSTES'!$A$4:$A$303,0)),IF($K39="","",$K39)))</f>
        <v/>
      </c>
      <c r="N39" s="3">
        <f>IF($A39="","",IFERROR(INDEX('CAT_ESTADOS_ERP'!$B$4:$B$7,MATCH(IFERROR(INDEX('2_IMPORTAR_EJECUCION'!$C$9:$C$1208,MATCH($AN39,'2_IMPORTAR_EJECUCION'!$J$9:$J$1208,0)),""),'CAT_ESTADOS_ERP'!$A$4:$A$7,0)),"Pendiente"))</f>
        <v/>
      </c>
      <c r="O39" s="3">
        <f>IF($J39="","",YEAR($J39+4-WEEKDAY($J39,2))&amp;"-S"&amp;TEXT(_xlfn.ISOWEEKNUM($J39),"00"))</f>
        <v/>
      </c>
      <c r="P39" s="3">
        <f>IF($J39="","",YEAR($J39))</f>
        <v/>
      </c>
      <c r="Q39" s="3">
        <f>IF($J39="","",MONTH($J39))</f>
        <v/>
      </c>
      <c r="R39" s="3">
        <f>IF($J39="","",INDEX(lista_dias,WEEKDAY($J39,2)))</f>
        <v/>
      </c>
      <c r="S39" s="3">
        <f>IF($I39="","",IFERROR(INDEX('CAT_TIPOS_OT'!$C$4:$C$7,MATCH($I39,'CAT_TIPOS_OT'!$A$4:$A$7,0)),"sin_clasificar"))</f>
        <v/>
      </c>
      <c r="T39" s="3">
        <f>IF($F39="","",IFERROR(INDEX('CAT_CENTROS_COSTO'!$E$4:$E$9,MATCH($F39,'CAT_CENTROS_COSTO'!$A$4:$A$9,0)),"(sin catálogo)"))</f>
        <v/>
      </c>
      <c r="U39" s="3">
        <f>IF($F39="","",IFERROR(INDEX('CAT_CENTROS_COSTO'!$D$4:$D$9,MATCH($F39,'CAT_CENTROS_COSTO'!$A$4:$A$9,0)),"(sin catálogo)"))</f>
        <v/>
      </c>
      <c r="V39" s="3">
        <f>IF($F39="","",IFERROR(INDEX('CAT_CENTROS_COSTO'!$F$4:$F$9,MATCH($F39,'CAT_CENTROS_COSTO'!$A$4:$A$9,0)),"(sin catálogo)"))</f>
        <v/>
      </c>
      <c r="W39" s="3">
        <f>IF($G39="","",IFERROR(INDEX('CAT_PUESTOS'!$B$4:$B$8,MATCH($G39,'CAT_PUESTOS'!$A$4:$A$8,0)),"(sin catálogo)"))</f>
        <v/>
      </c>
      <c r="X39" s="3">
        <f>IF($H39="","",IFERROR(INDEX('CAT_ACTIVIDADES'!$B$4:$B$8,MATCH($H39,'CAT_ACTIVIDADES'!$A$4:$A$8,0)),"(sin catálogo)"))</f>
        <v/>
      </c>
      <c r="Y39" s="12">
        <f>IF($J39="","",TODAY()-$J39)</f>
        <v/>
      </c>
      <c r="Z39" s="3">
        <f>IF($Y39="","",IF($Y39&lt;0,"FUTURO",IF($Y39&gt;p_dias_backlog_max,"BACKLOG","MES CORRIENTE")))</f>
        <v/>
      </c>
      <c r="AA39" s="3">
        <f>IF($Y39="",FALSE,AND($Y39&gt;p_dias_backlog_min,$Y39&lt;=p_dias_backlog_max))</f>
        <v/>
      </c>
      <c r="AB39" s="6" t="inlineStr"/>
      <c r="AC39" s="3">
        <f>IF($AB39="","",IFERROR(INDEX('ASIGNACIONES'!$F$4:$F$339,MATCH($O39&amp;"|"&amp;$R39&amp;"|"&amp;$AB39,'ASIGNACIONES'!$I$4:$I$339,0)),""))</f>
        <v/>
      </c>
      <c r="AD39" s="13">
        <f>IF($AB39="","",SUMIFS('ORDENES'!$M$4:$M$1203,'ORDENES'!$AB$4:$AB$1203,$AB39,'ORDENES'!$O$4:$O$1203,$O39,'ORDENES'!$R$4:$R$1203,$R39))</f>
        <v/>
      </c>
      <c r="AE39" s="13">
        <f>IF($AD39="","",p_factor_productividad*IFERROR(INDEX('ASIGNACIONES'!$H$4:$H$339,MATCH($O39&amp;"|"&amp;$R39&amp;"|"&amp;$AB39,'ASIGNACIONES'!$I$4:$I$339,0)),0)-$AD39)</f>
        <v/>
      </c>
      <c r="AF39" s="10">
        <f>IF($A39="","",IFERROR(INDEX('2_IMPORTAR_EJECUCION'!$F$9:$F$1208,MATCH($AN39,'2_IMPORTAR_EJECUCION'!$J$9:$J$1208,0)),0))</f>
        <v/>
      </c>
      <c r="AG39" s="10">
        <f>IF($A39="","",MAX(0,IFERROR(INDEX('2_IMPORTAR_EJECUCION'!$H$9:$H$1208,MATCH($AN39,'2_IMPORTAR_EJECUCION'!$J$9:$J$1208,0)),0)-$AF39))</f>
        <v/>
      </c>
      <c r="AH39" s="10">
        <f>IF($A39="","",$AF39+$AG39)</f>
        <v/>
      </c>
      <c r="AI39" s="6" t="inlineStr">
        <is>
          <t>PT-CALIENTE</t>
        </is>
      </c>
      <c r="AJ39" s="6" t="inlineStr">
        <is>
          <t>LOTO</t>
        </is>
      </c>
      <c r="AK39" s="6" t="inlineStr"/>
      <c r="AL39" s="3">
        <f>IF($AK39="","",HYPERLINK(p_ruta_base_checklists&amp;$AK39,"abrir"))</f>
        <v/>
      </c>
      <c r="AM39" s="6" t="inlineStr"/>
      <c r="AN39" s="3">
        <f>IF($A39="","",$A39&amp;IF($B39="","0010",$B39))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1" t="n">
        <v>46231</v>
      </c>
      <c r="K40" s="3" t="n">
        <v>10</v>
      </c>
      <c r="L40" s="10" t="n">
        <v>400</v>
      </c>
      <c r="M40" s="3">
        <f>IF($A40="","",IFERROR(INDEX('AJUSTES'!$B$4:$B$303,MATCH($AN40,'AJUSTES'!$A$4:$A$303,0)),IF($K40="","",$K40)))</f>
        <v/>
      </c>
      <c r="N40" s="3">
        <f>IF($A40="","",IFERROR(INDEX('CAT_ESTADOS_ERP'!$B$4:$B$7,MATCH(IFERROR(INDEX('2_IMPORTAR_EJECUCION'!$C$9:$C$1208,MATCH($AN40,'2_IMPORTAR_EJECUCION'!$J$9:$J$1208,0)),""),'CAT_ESTADOS_ERP'!$A$4:$A$7,0)),"Pendiente"))</f>
        <v/>
      </c>
      <c r="O40" s="3">
        <f>IF($J40="","",YEAR($J40+4-WEEKDAY($J40,2))&amp;"-S"&amp;TEXT(_xlfn.ISOWEEKNUM($J40),"00"))</f>
        <v/>
      </c>
      <c r="P40" s="3">
        <f>IF($J40="","",YEAR($J40))</f>
        <v/>
      </c>
      <c r="Q40" s="3">
        <f>IF($J40="","",MONTH($J40))</f>
        <v/>
      </c>
      <c r="R40" s="3">
        <f>IF($J40="","",INDEX(lista_dias,WEEKDAY($J40,2)))</f>
        <v/>
      </c>
      <c r="S40" s="3">
        <f>IF($I40="","",IFERROR(INDEX('CAT_TIPOS_OT'!$C$4:$C$7,MATCH($I40,'CAT_TIPOS_OT'!$A$4:$A$7,0)),"sin_clasificar"))</f>
        <v/>
      </c>
      <c r="T40" s="3">
        <f>IF($F40="","",IFERROR(INDEX('CAT_CENTROS_COSTO'!$E$4:$E$9,MATCH($F40,'CAT_CENTROS_COSTO'!$A$4:$A$9,0)),"(sin catálogo)"))</f>
        <v/>
      </c>
      <c r="U40" s="3">
        <f>IF($F40="","",IFERROR(INDEX('CAT_CENTROS_COSTO'!$D$4:$D$9,MATCH($F40,'CAT_CENTROS_COSTO'!$A$4:$A$9,0)),"(sin catálogo)"))</f>
        <v/>
      </c>
      <c r="V40" s="3">
        <f>IF($F40="","",IFERROR(INDEX('CAT_CENTROS_COSTO'!$F$4:$F$9,MATCH($F40,'CAT_CENTROS_COSTO'!$A$4:$A$9,0)),"(sin catálogo)"))</f>
        <v/>
      </c>
      <c r="W40" s="3">
        <f>IF($G40="","",IFERROR(INDEX('CAT_PUESTOS'!$B$4:$B$8,MATCH($G40,'CAT_PUESTOS'!$A$4:$A$8,0)),"(sin catálogo)"))</f>
        <v/>
      </c>
      <c r="X40" s="3">
        <f>IF($H40="","",IFERROR(INDEX('CAT_ACTIVIDADES'!$B$4:$B$8,MATCH($H40,'CAT_ACTIVIDADES'!$A$4:$A$8,0)),"(sin catálogo)"))</f>
        <v/>
      </c>
      <c r="Y40" s="12">
        <f>IF($J40="","",TODAY()-$J40)</f>
        <v/>
      </c>
      <c r="Z40" s="3">
        <f>IF($Y40="","",IF($Y40&lt;0,"FUTURO",IF($Y40&gt;p_dias_backlog_max,"BACKLOG","MES CORRIENTE")))</f>
        <v/>
      </c>
      <c r="AA40" s="3">
        <f>IF($Y40="",FALSE,AND($Y40&gt;p_dias_backlog_min,$Y40&lt;=p_dias_backlog_max))</f>
        <v/>
      </c>
      <c r="AB40" s="6" t="inlineStr">
        <is>
          <t>Técnico 01</t>
        </is>
      </c>
      <c r="AC40" s="3">
        <f>IF($AB40="","",IFERROR(INDEX('ASIGNACIONES'!$F$4:$F$339,MATCH($O40&amp;"|"&amp;$R40&amp;"|"&amp;$AB40,'ASIGNACIONES'!$I$4:$I$339,0)),""))</f>
        <v/>
      </c>
      <c r="AD40" s="13">
        <f>IF($AB40="","",SUMIFS('ORDENES'!$M$4:$M$1203,'ORDENES'!$AB$4:$AB$1203,$AB40,'ORDENES'!$O$4:$O$1203,$O40,'ORDENES'!$R$4:$R$1203,$R40))</f>
        <v/>
      </c>
      <c r="AE40" s="13">
        <f>IF($AD40="","",p_factor_productividad*IFERROR(INDEX('ASIGNACIONES'!$H$4:$H$339,MATCH($O40&amp;"|"&amp;$R40&amp;"|"&amp;$AB40,'ASIGNACIONES'!$I$4:$I$339,0)),0)-$AD40)</f>
        <v/>
      </c>
      <c r="AF40" s="10">
        <f>IF($A40="","",IFERROR(INDEX('2_IMPORTAR_EJECUCION'!$F$9:$F$1208,MATCH($AN40,'2_IMPORTAR_EJECUCION'!$J$9:$J$1208,0)),0))</f>
        <v/>
      </c>
      <c r="AG40" s="10">
        <f>IF($A40="","",MAX(0,IFERROR(INDEX('2_IMPORTAR_EJECUCION'!$H$9:$H$1208,MATCH($AN40,'2_IMPORTAR_EJECUCION'!$J$9:$J$1208,0)),0)-$AF40))</f>
        <v/>
      </c>
      <c r="AH40" s="10">
        <f>IF($A40="","",$AF40+$AG40)</f>
        <v/>
      </c>
      <c r="AI40" s="6" t="inlineStr"/>
      <c r="AJ40" s="6" t="inlineStr"/>
      <c r="AK40" s="6" t="inlineStr"/>
      <c r="AL40" s="3">
        <f>IF($AK40="","",HYPERLINK(p_ruta_base_checklists&amp;$AK40,"abrir"))</f>
        <v/>
      </c>
      <c r="AM40" s="6" t="inlineStr"/>
      <c r="AN40" s="3">
        <f>IF($A40="","",$A40&amp;IF($B40="","0010",$B40))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1" t="n">
        <v>46239</v>
      </c>
      <c r="K41" s="3" t="n">
        <v>10</v>
      </c>
      <c r="L41" s="10" t="n">
        <v>250</v>
      </c>
      <c r="M41" s="3">
        <f>IF($A41="","",IFERROR(INDEX('AJUSTES'!$B$4:$B$303,MATCH($AN41,'AJUSTES'!$A$4:$A$303,0)),IF($K41="","",$K41)))</f>
        <v/>
      </c>
      <c r="N41" s="3">
        <f>IF($A41="","",IFERROR(INDEX('CAT_ESTADOS_ERP'!$B$4:$B$7,MATCH(IFERROR(INDEX('2_IMPORTAR_EJECUCION'!$C$9:$C$1208,MATCH($AN41,'2_IMPORTAR_EJECUCION'!$J$9:$J$1208,0)),""),'CAT_ESTADOS_ERP'!$A$4:$A$7,0)),"Pendiente"))</f>
        <v/>
      </c>
      <c r="O41" s="3">
        <f>IF($J41="","",YEAR($J41+4-WEEKDAY($J41,2))&amp;"-S"&amp;TEXT(_xlfn.ISOWEEKNUM($J41),"00"))</f>
        <v/>
      </c>
      <c r="P41" s="3">
        <f>IF($J41="","",YEAR($J41))</f>
        <v/>
      </c>
      <c r="Q41" s="3">
        <f>IF($J41="","",MONTH($J41))</f>
        <v/>
      </c>
      <c r="R41" s="3">
        <f>IF($J41="","",INDEX(lista_dias,WEEKDAY($J41,2)))</f>
        <v/>
      </c>
      <c r="S41" s="3">
        <f>IF($I41="","",IFERROR(INDEX('CAT_TIPOS_OT'!$C$4:$C$7,MATCH($I41,'CAT_TIPOS_OT'!$A$4:$A$7,0)),"sin_clasificar"))</f>
        <v/>
      </c>
      <c r="T41" s="3">
        <f>IF($F41="","",IFERROR(INDEX('CAT_CENTROS_COSTO'!$E$4:$E$9,MATCH($F41,'CAT_CENTROS_COSTO'!$A$4:$A$9,0)),"(sin catálogo)"))</f>
        <v/>
      </c>
      <c r="U41" s="3">
        <f>IF($F41="","",IFERROR(INDEX('CAT_CENTROS_COSTO'!$D$4:$D$9,MATCH($F41,'CAT_CENTROS_COSTO'!$A$4:$A$9,0)),"(sin catálogo)"))</f>
        <v/>
      </c>
      <c r="V41" s="3">
        <f>IF($F41="","",IFERROR(INDEX('CAT_CENTROS_COSTO'!$F$4:$F$9,MATCH($F41,'CAT_CENTROS_COSTO'!$A$4:$A$9,0)),"(sin catálogo)"))</f>
        <v/>
      </c>
      <c r="W41" s="3">
        <f>IF($G41="","",IFERROR(INDEX('CAT_PUESTOS'!$B$4:$B$8,MATCH($G41,'CAT_PUESTOS'!$A$4:$A$8,0)),"(sin catálogo)"))</f>
        <v/>
      </c>
      <c r="X41" s="3">
        <f>IF($H41="","",IFERROR(INDEX('CAT_ACTIVIDADES'!$B$4:$B$8,MATCH($H41,'CAT_ACTIVIDADES'!$A$4:$A$8,0)),"(sin catálogo)"))</f>
        <v/>
      </c>
      <c r="Y41" s="12">
        <f>IF($J41="","",TODAY()-$J41)</f>
        <v/>
      </c>
      <c r="Z41" s="3">
        <f>IF($Y41="","",IF($Y41&lt;0,"FUTURO",IF($Y41&gt;p_dias_backlog_max,"BACKLOG","MES CORRIENTE")))</f>
        <v/>
      </c>
      <c r="AA41" s="3">
        <f>IF($Y41="",FALSE,AND($Y41&gt;p_dias_backlog_min,$Y41&lt;=p_dias_backlog_max))</f>
        <v/>
      </c>
      <c r="AB41" s="6" t="inlineStr">
        <is>
          <t>Técnico 02</t>
        </is>
      </c>
      <c r="AC41" s="3">
        <f>IF($AB41="","",IFERROR(INDEX('ASIGNACIONES'!$F$4:$F$339,MATCH($O41&amp;"|"&amp;$R41&amp;"|"&amp;$AB41,'ASIGNACIONES'!$I$4:$I$339,0)),""))</f>
        <v/>
      </c>
      <c r="AD41" s="13">
        <f>IF($AB41="","",SUMIFS('ORDENES'!$M$4:$M$1203,'ORDENES'!$AB$4:$AB$1203,$AB41,'ORDENES'!$O$4:$O$1203,$O41,'ORDENES'!$R$4:$R$1203,$R41))</f>
        <v/>
      </c>
      <c r="AE41" s="13">
        <f>IF($AD41="","",p_factor_productividad*IFERROR(INDEX('ASIGNACIONES'!$H$4:$H$339,MATCH($O41&amp;"|"&amp;$R41&amp;"|"&amp;$AB41,'ASIGNACIONES'!$I$4:$I$339,0)),0)-$AD41)</f>
        <v/>
      </c>
      <c r="AF41" s="10">
        <f>IF($A41="","",IFERROR(INDEX('2_IMPORTAR_EJECUCION'!$F$9:$F$1208,MATCH($AN41,'2_IMPORTAR_EJECUCION'!$J$9:$J$1208,0)),0))</f>
        <v/>
      </c>
      <c r="AG41" s="10">
        <f>IF($A41="","",MAX(0,IFERROR(INDEX('2_IMPORTAR_EJECUCION'!$H$9:$H$1208,MATCH($AN41,'2_IMPORTAR_EJECUCION'!$J$9:$J$1208,0)),0)-$AF41))</f>
        <v/>
      </c>
      <c r="AH41" s="10">
        <f>IF($A41="","",$AF41+$AG41)</f>
        <v/>
      </c>
      <c r="AI41" s="6" t="inlineStr"/>
      <c r="AJ41" s="6" t="inlineStr"/>
      <c r="AK41" s="6" t="inlineStr">
        <is>
          <t>ACT-04.pdf</t>
        </is>
      </c>
      <c r="AL41" s="3">
        <f>IF($AK41="","",HYPERLINK(p_ruta_base_checklists&amp;$AK41,"abrir"))</f>
        <v/>
      </c>
      <c r="AM41" s="6" t="inlineStr"/>
      <c r="AN41" s="3">
        <f>IF($A41="","",$A41&amp;IF($B41="","0010",$B41))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1" t="n">
        <v>46240</v>
      </c>
      <c r="K42" s="3" t="n">
        <v>8</v>
      </c>
      <c r="L42" s="10" t="n">
        <v>200</v>
      </c>
      <c r="M42" s="3">
        <f>IF($A42="","",IFERROR(INDEX('AJUSTES'!$B$4:$B$303,MATCH($AN42,'AJUSTES'!$A$4:$A$303,0)),IF($K42="","",$K42)))</f>
        <v/>
      </c>
      <c r="N42" s="3">
        <f>IF($A42="","",IFERROR(INDEX('CAT_ESTADOS_ERP'!$B$4:$B$7,MATCH(IFERROR(INDEX('2_IMPORTAR_EJECUCION'!$C$9:$C$1208,MATCH($AN42,'2_IMPORTAR_EJECUCION'!$J$9:$J$1208,0)),""),'CAT_ESTADOS_ERP'!$A$4:$A$7,0)),"Pendiente"))</f>
        <v/>
      </c>
      <c r="O42" s="3">
        <f>IF($J42="","",YEAR($J42+4-WEEKDAY($J42,2))&amp;"-S"&amp;TEXT(_xlfn.ISOWEEKNUM($J42),"00"))</f>
        <v/>
      </c>
      <c r="P42" s="3">
        <f>IF($J42="","",YEAR($J42))</f>
        <v/>
      </c>
      <c r="Q42" s="3">
        <f>IF($J42="","",MONTH($J42))</f>
        <v/>
      </c>
      <c r="R42" s="3">
        <f>IF($J42="","",INDEX(lista_dias,WEEKDAY($J42,2)))</f>
        <v/>
      </c>
      <c r="S42" s="3">
        <f>IF($I42="","",IFERROR(INDEX('CAT_TIPOS_OT'!$C$4:$C$7,MATCH($I42,'CAT_TIPOS_OT'!$A$4:$A$7,0)),"sin_clasificar"))</f>
        <v/>
      </c>
      <c r="T42" s="3">
        <f>IF($F42="","",IFERROR(INDEX('CAT_CENTROS_COSTO'!$E$4:$E$9,MATCH($F42,'CAT_CENTROS_COSTO'!$A$4:$A$9,0)),"(sin catálogo)"))</f>
        <v/>
      </c>
      <c r="U42" s="3">
        <f>IF($F42="","",IFERROR(INDEX('CAT_CENTROS_COSTO'!$D$4:$D$9,MATCH($F42,'CAT_CENTROS_COSTO'!$A$4:$A$9,0)),"(sin catálogo)"))</f>
        <v/>
      </c>
      <c r="V42" s="3">
        <f>IF($F42="","",IFERROR(INDEX('CAT_CENTROS_COSTO'!$F$4:$F$9,MATCH($F42,'CAT_CENTROS_COSTO'!$A$4:$A$9,0)),"(sin catálogo)"))</f>
        <v/>
      </c>
      <c r="W42" s="3">
        <f>IF($G42="","",IFERROR(INDEX('CAT_PUESTOS'!$B$4:$B$8,MATCH($G42,'CAT_PUESTOS'!$A$4:$A$8,0)),"(sin catálogo)"))</f>
        <v/>
      </c>
      <c r="X42" s="3">
        <f>IF($H42="","",IFERROR(INDEX('CAT_ACTIVIDADES'!$B$4:$B$8,MATCH($H42,'CAT_ACTIVIDADES'!$A$4:$A$8,0)),"(sin catálogo)"))</f>
        <v/>
      </c>
      <c r="Y42" s="12">
        <f>IF($J42="","",TODAY()-$J42)</f>
        <v/>
      </c>
      <c r="Z42" s="3">
        <f>IF($Y42="","",IF($Y42&lt;0,"FUTURO",IF($Y42&gt;p_dias_backlog_max,"BACKLOG","MES CORRIENTE")))</f>
        <v/>
      </c>
      <c r="AA42" s="3">
        <f>IF($Y42="",FALSE,AND($Y42&gt;p_dias_backlog_min,$Y42&lt;=p_dias_backlog_max))</f>
        <v/>
      </c>
      <c r="AB42" s="6" t="inlineStr">
        <is>
          <t>Técnico 03</t>
        </is>
      </c>
      <c r="AC42" s="3">
        <f>IF($AB42="","",IFERROR(INDEX('ASIGNACIONES'!$F$4:$F$339,MATCH($O42&amp;"|"&amp;$R42&amp;"|"&amp;$AB42,'ASIGNACIONES'!$I$4:$I$339,0)),""))</f>
        <v/>
      </c>
      <c r="AD42" s="13">
        <f>IF($AB42="","",SUMIFS('ORDENES'!$M$4:$M$1203,'ORDENES'!$AB$4:$AB$1203,$AB42,'ORDENES'!$O$4:$O$1203,$O42,'ORDENES'!$R$4:$R$1203,$R42))</f>
        <v/>
      </c>
      <c r="AE42" s="13">
        <f>IF($AD42="","",p_factor_productividad*IFERROR(INDEX('ASIGNACIONES'!$H$4:$H$339,MATCH($O42&amp;"|"&amp;$R42&amp;"|"&amp;$AB42,'ASIGNACIONES'!$I$4:$I$339,0)),0)-$AD42)</f>
        <v/>
      </c>
      <c r="AF42" s="10">
        <f>IF($A42="","",IFERROR(INDEX('2_IMPORTAR_EJECUCION'!$F$9:$F$1208,MATCH($AN42,'2_IMPORTAR_EJECUCION'!$J$9:$J$1208,0)),0))</f>
        <v/>
      </c>
      <c r="AG42" s="10">
        <f>IF($A42="","",MAX(0,IFERROR(INDEX('2_IMPORTAR_EJECUCION'!$H$9:$H$1208,MATCH($AN42,'2_IMPORTAR_EJECUCION'!$J$9:$J$1208,0)),0)-$AF42))</f>
        <v/>
      </c>
      <c r="AH42" s="10">
        <f>IF($A42="","",$AF42+$AG42)</f>
        <v/>
      </c>
      <c r="AI42" s="6" t="inlineStr"/>
      <c r="AJ42" s="6" t="inlineStr"/>
      <c r="AK42" s="6" t="inlineStr">
        <is>
          <t>ACT-01.pdf</t>
        </is>
      </c>
      <c r="AL42" s="3">
        <f>IF($AK42="","",HYPERLINK(p_ruta_base_checklists&amp;$AK42,"abrir"))</f>
        <v/>
      </c>
      <c r="AM42" s="6" t="inlineStr"/>
      <c r="AN42" s="3">
        <f>IF($A42="","",$A42&amp;IF($B42="","0010",$B42))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1" t="n">
        <v>46241</v>
      </c>
      <c r="K43" s="3" t="n">
        <v>6</v>
      </c>
      <c r="L43" s="10" t="n">
        <v>150</v>
      </c>
      <c r="M43" s="3">
        <f>IF($A43="","",IFERROR(INDEX('AJUSTES'!$B$4:$B$303,MATCH($AN43,'AJUSTES'!$A$4:$A$303,0)),IF($K43="","",$K43)))</f>
        <v/>
      </c>
      <c r="N43" s="3">
        <f>IF($A43="","",IFERROR(INDEX('CAT_ESTADOS_ERP'!$B$4:$B$7,MATCH(IFERROR(INDEX('2_IMPORTAR_EJECUCION'!$C$9:$C$1208,MATCH($AN43,'2_IMPORTAR_EJECUCION'!$J$9:$J$1208,0)),""),'CAT_ESTADOS_ERP'!$A$4:$A$7,0)),"Pendiente"))</f>
        <v/>
      </c>
      <c r="O43" s="3">
        <f>IF($J43="","",YEAR($J43+4-WEEKDAY($J43,2))&amp;"-S"&amp;TEXT(_xlfn.ISOWEEKNUM($J43),"00"))</f>
        <v/>
      </c>
      <c r="P43" s="3">
        <f>IF($J43="","",YEAR($J43))</f>
        <v/>
      </c>
      <c r="Q43" s="3">
        <f>IF($J43="","",MONTH($J43))</f>
        <v/>
      </c>
      <c r="R43" s="3">
        <f>IF($J43="","",INDEX(lista_dias,WEEKDAY($J43,2)))</f>
        <v/>
      </c>
      <c r="S43" s="3">
        <f>IF($I43="","",IFERROR(INDEX('CAT_TIPOS_OT'!$C$4:$C$7,MATCH($I43,'CAT_TIPOS_OT'!$A$4:$A$7,0)),"sin_clasificar"))</f>
        <v/>
      </c>
      <c r="T43" s="3">
        <f>IF($F43="","",IFERROR(INDEX('CAT_CENTROS_COSTO'!$E$4:$E$9,MATCH($F43,'CAT_CENTROS_COSTO'!$A$4:$A$9,0)),"(sin catálogo)"))</f>
        <v/>
      </c>
      <c r="U43" s="3">
        <f>IF($F43="","",IFERROR(INDEX('CAT_CENTROS_COSTO'!$D$4:$D$9,MATCH($F43,'CAT_CENTROS_COSTO'!$A$4:$A$9,0)),"(sin catálogo)"))</f>
        <v/>
      </c>
      <c r="V43" s="3">
        <f>IF($F43="","",IFERROR(INDEX('CAT_CENTROS_COSTO'!$F$4:$F$9,MATCH($F43,'CAT_CENTROS_COSTO'!$A$4:$A$9,0)),"(sin catálogo)"))</f>
        <v/>
      </c>
      <c r="W43" s="3">
        <f>IF($G43="","",IFERROR(INDEX('CAT_PUESTOS'!$B$4:$B$8,MATCH($G43,'CAT_PUESTOS'!$A$4:$A$8,0)),"(sin catálogo)"))</f>
        <v/>
      </c>
      <c r="X43" s="3">
        <f>IF($H43="","",IFERROR(INDEX('CAT_ACTIVIDADES'!$B$4:$B$8,MATCH($H43,'CAT_ACTIVIDADES'!$A$4:$A$8,0)),"(sin catálogo)"))</f>
        <v/>
      </c>
      <c r="Y43" s="12">
        <f>IF($J43="","",TODAY()-$J43)</f>
        <v/>
      </c>
      <c r="Z43" s="3">
        <f>IF($Y43="","",IF($Y43&lt;0,"FUTURO",IF($Y43&gt;p_dias_backlog_max,"BACKLOG","MES CORRIENTE")))</f>
        <v/>
      </c>
      <c r="AA43" s="3">
        <f>IF($Y43="",FALSE,AND($Y43&gt;p_dias_backlog_min,$Y43&lt;=p_dias_backlog_max))</f>
        <v/>
      </c>
      <c r="AB43" s="6" t="inlineStr">
        <is>
          <t>Técnico 04</t>
        </is>
      </c>
      <c r="AC43" s="3">
        <f>IF($AB43="","",IFERROR(INDEX('ASIGNACIONES'!$F$4:$F$339,MATCH($O43&amp;"|"&amp;$R43&amp;"|"&amp;$AB43,'ASIGNACIONES'!$I$4:$I$339,0)),""))</f>
        <v/>
      </c>
      <c r="AD43" s="13">
        <f>IF($AB43="","",SUMIFS('ORDENES'!$M$4:$M$1203,'ORDENES'!$AB$4:$AB$1203,$AB43,'ORDENES'!$O$4:$O$1203,$O43,'ORDENES'!$R$4:$R$1203,$R43))</f>
        <v/>
      </c>
      <c r="AE43" s="13">
        <f>IF($AD43="","",p_factor_productividad*IFERROR(INDEX('ASIGNACIONES'!$H$4:$H$339,MATCH($O43&amp;"|"&amp;$R43&amp;"|"&amp;$AB43,'ASIGNACIONES'!$I$4:$I$339,0)),0)-$AD43)</f>
        <v/>
      </c>
      <c r="AF43" s="10">
        <f>IF($A43="","",IFERROR(INDEX('2_IMPORTAR_EJECUCION'!$F$9:$F$1208,MATCH($AN43,'2_IMPORTAR_EJECUCION'!$J$9:$J$1208,0)),0))</f>
        <v/>
      </c>
      <c r="AG43" s="10">
        <f>IF($A43="","",MAX(0,IFERROR(INDEX('2_IMPORTAR_EJECUCION'!$H$9:$H$1208,MATCH($AN43,'2_IMPORTAR_EJECUCION'!$J$9:$J$1208,0)),0)-$AF43))</f>
        <v/>
      </c>
      <c r="AH43" s="10">
        <f>IF($A43="","",$AF43+$AG43)</f>
        <v/>
      </c>
      <c r="AI43" s="6" t="inlineStr"/>
      <c r="AJ43" s="6" t="inlineStr"/>
      <c r="AK43" s="6" t="inlineStr">
        <is>
          <t>ACT-02.pdf</t>
        </is>
      </c>
      <c r="AL43" s="3">
        <f>IF($AK43="","",HYPERLINK(p_ruta_base_checklists&amp;$AK43,"abrir"))</f>
        <v/>
      </c>
      <c r="AM43" s="6" t="inlineStr"/>
      <c r="AN43" s="3">
        <f>IF($A43="","",$A43&amp;IF($B43="","0010",$B43))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1" t="n">
        <v>46237</v>
      </c>
      <c r="K44" s="3" t="n">
        <v>10</v>
      </c>
      <c r="L44" s="10" t="n">
        <v>250</v>
      </c>
      <c r="M44" s="3">
        <f>IF($A44="","",IFERROR(INDEX('AJUSTES'!$B$4:$B$303,MATCH($AN44,'AJUSTES'!$A$4:$A$303,0)),IF($K44="","",$K44)))</f>
        <v/>
      </c>
      <c r="N44" s="3">
        <f>IF($A44="","",IFERROR(INDEX('CAT_ESTADOS_ERP'!$B$4:$B$7,MATCH(IFERROR(INDEX('2_IMPORTAR_EJECUCION'!$C$9:$C$1208,MATCH($AN44,'2_IMPORTAR_EJECUCION'!$J$9:$J$1208,0)),""),'CAT_ESTADOS_ERP'!$A$4:$A$7,0)),"Pendiente"))</f>
        <v/>
      </c>
      <c r="O44" s="3">
        <f>IF($J44="","",YEAR($J44+4-WEEKDAY($J44,2))&amp;"-S"&amp;TEXT(_xlfn.ISOWEEKNUM($J44),"00"))</f>
        <v/>
      </c>
      <c r="P44" s="3">
        <f>IF($J44="","",YEAR($J44))</f>
        <v/>
      </c>
      <c r="Q44" s="3">
        <f>IF($J44="","",MONTH($J44))</f>
        <v/>
      </c>
      <c r="R44" s="3">
        <f>IF($J44="","",INDEX(lista_dias,WEEKDAY($J44,2)))</f>
        <v/>
      </c>
      <c r="S44" s="3">
        <f>IF($I44="","",IFERROR(INDEX('CAT_TIPOS_OT'!$C$4:$C$7,MATCH($I44,'CAT_TIPOS_OT'!$A$4:$A$7,0)),"sin_clasificar"))</f>
        <v/>
      </c>
      <c r="T44" s="3">
        <f>IF($F44="","",IFERROR(INDEX('CAT_CENTROS_COSTO'!$E$4:$E$9,MATCH($F44,'CAT_CENTROS_COSTO'!$A$4:$A$9,0)),"(sin catálogo)"))</f>
        <v/>
      </c>
      <c r="U44" s="3">
        <f>IF($F44="","",IFERROR(INDEX('CAT_CENTROS_COSTO'!$D$4:$D$9,MATCH($F44,'CAT_CENTROS_COSTO'!$A$4:$A$9,0)),"(sin catálogo)"))</f>
        <v/>
      </c>
      <c r="V44" s="3">
        <f>IF($F44="","",IFERROR(INDEX('CAT_CENTROS_COSTO'!$F$4:$F$9,MATCH($F44,'CAT_CENTROS_COSTO'!$A$4:$A$9,0)),"(sin catálogo)"))</f>
        <v/>
      </c>
      <c r="W44" s="3">
        <f>IF($G44="","",IFERROR(INDEX('CAT_PUESTOS'!$B$4:$B$8,MATCH($G44,'CAT_PUESTOS'!$A$4:$A$8,0)),"(sin catálogo)"))</f>
        <v/>
      </c>
      <c r="X44" s="3">
        <f>IF($H44="","",IFERROR(INDEX('CAT_ACTIVIDADES'!$B$4:$B$8,MATCH($H44,'CAT_ACTIVIDADES'!$A$4:$A$8,0)),"(sin catálogo)"))</f>
        <v/>
      </c>
      <c r="Y44" s="12">
        <f>IF($J44="","",TODAY()-$J44)</f>
        <v/>
      </c>
      <c r="Z44" s="3">
        <f>IF($Y44="","",IF($Y44&lt;0,"FUTURO",IF($Y44&gt;p_dias_backlog_max,"BACKLOG","MES CORRIENTE")))</f>
        <v/>
      </c>
      <c r="AA44" s="3">
        <f>IF($Y44="",FALSE,AND($Y44&gt;p_dias_backlog_min,$Y44&lt;=p_dias_backlog_max))</f>
        <v/>
      </c>
      <c r="AB44" s="6" t="inlineStr">
        <is>
          <t>Técnico 01</t>
        </is>
      </c>
      <c r="AC44" s="3">
        <f>IF($AB44="","",IFERROR(INDEX('ASIGNACIONES'!$F$4:$F$339,MATCH($O44&amp;"|"&amp;$R44&amp;"|"&amp;$AB44,'ASIGNACIONES'!$I$4:$I$339,0)),""))</f>
        <v/>
      </c>
      <c r="AD44" s="13">
        <f>IF($AB44="","",SUMIFS('ORDENES'!$M$4:$M$1203,'ORDENES'!$AB$4:$AB$1203,$AB44,'ORDENES'!$O$4:$O$1203,$O44,'ORDENES'!$R$4:$R$1203,$R44))</f>
        <v/>
      </c>
      <c r="AE44" s="13">
        <f>IF($AD44="","",p_factor_productividad*IFERROR(INDEX('ASIGNACIONES'!$H$4:$H$339,MATCH($O44&amp;"|"&amp;$R44&amp;"|"&amp;$AB44,'ASIGNACIONES'!$I$4:$I$339,0)),0)-$AD44)</f>
        <v/>
      </c>
      <c r="AF44" s="10">
        <f>IF($A44="","",IFERROR(INDEX('2_IMPORTAR_EJECUCION'!$F$9:$F$1208,MATCH($AN44,'2_IMPORTAR_EJECUCION'!$J$9:$J$1208,0)),0))</f>
        <v/>
      </c>
      <c r="AG44" s="10">
        <f>IF($A44="","",MAX(0,IFERROR(INDEX('2_IMPORTAR_EJECUCION'!$H$9:$H$1208,MATCH($AN44,'2_IMPORTAR_EJECUCION'!$J$9:$J$1208,0)),0)-$AF44))</f>
        <v/>
      </c>
      <c r="AH44" s="10">
        <f>IF($A44="","",$AF44+$AG44)</f>
        <v/>
      </c>
      <c r="AI44" s="6" t="inlineStr"/>
      <c r="AJ44" s="6" t="inlineStr"/>
      <c r="AK44" s="6" t="inlineStr">
        <is>
          <t>ACT-04.pdf</t>
        </is>
      </c>
      <c r="AL44" s="3">
        <f>IF($AK44="","",HYPERLINK(p_ruta_base_checklists&amp;$AK44,"abrir"))</f>
        <v/>
      </c>
      <c r="AM44" s="6" t="inlineStr"/>
      <c r="AN44" s="3">
        <f>IF($A44="","",$A44&amp;IF($B44="","0010",$B44))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1" t="n">
        <v>46238</v>
      </c>
      <c r="K45" s="3" t="n">
        <v>8</v>
      </c>
      <c r="L45" s="10" t="n">
        <v>200</v>
      </c>
      <c r="M45" s="3">
        <f>IF($A45="","",IFERROR(INDEX('AJUSTES'!$B$4:$B$303,MATCH($AN45,'AJUSTES'!$A$4:$A$303,0)),IF($K45="","",$K45)))</f>
        <v/>
      </c>
      <c r="N45" s="3">
        <f>IF($A45="","",IFERROR(INDEX('CAT_ESTADOS_ERP'!$B$4:$B$7,MATCH(IFERROR(INDEX('2_IMPORTAR_EJECUCION'!$C$9:$C$1208,MATCH($AN45,'2_IMPORTAR_EJECUCION'!$J$9:$J$1208,0)),""),'CAT_ESTADOS_ERP'!$A$4:$A$7,0)),"Pendiente"))</f>
        <v/>
      </c>
      <c r="O45" s="3">
        <f>IF($J45="","",YEAR($J45+4-WEEKDAY($J45,2))&amp;"-S"&amp;TEXT(_xlfn.ISOWEEKNUM($J45),"00"))</f>
        <v/>
      </c>
      <c r="P45" s="3">
        <f>IF($J45="","",YEAR($J45))</f>
        <v/>
      </c>
      <c r="Q45" s="3">
        <f>IF($J45="","",MONTH($J45))</f>
        <v/>
      </c>
      <c r="R45" s="3">
        <f>IF($J45="","",INDEX(lista_dias,WEEKDAY($J45,2)))</f>
        <v/>
      </c>
      <c r="S45" s="3">
        <f>IF($I45="","",IFERROR(INDEX('CAT_TIPOS_OT'!$C$4:$C$7,MATCH($I45,'CAT_TIPOS_OT'!$A$4:$A$7,0)),"sin_clasificar"))</f>
        <v/>
      </c>
      <c r="T45" s="3">
        <f>IF($F45="","",IFERROR(INDEX('CAT_CENTROS_COSTO'!$E$4:$E$9,MATCH($F45,'CAT_CENTROS_COSTO'!$A$4:$A$9,0)),"(sin catálogo)"))</f>
        <v/>
      </c>
      <c r="U45" s="3">
        <f>IF($F45="","",IFERROR(INDEX('CAT_CENTROS_COSTO'!$D$4:$D$9,MATCH($F45,'CAT_CENTROS_COSTO'!$A$4:$A$9,0)),"(sin catálogo)"))</f>
        <v/>
      </c>
      <c r="V45" s="3">
        <f>IF($F45="","",IFERROR(INDEX('CAT_CENTROS_COSTO'!$F$4:$F$9,MATCH($F45,'CAT_CENTROS_COSTO'!$A$4:$A$9,0)),"(sin catálogo)"))</f>
        <v/>
      </c>
      <c r="W45" s="3">
        <f>IF($G45="","",IFERROR(INDEX('CAT_PUESTOS'!$B$4:$B$8,MATCH($G45,'CAT_PUESTOS'!$A$4:$A$8,0)),"(sin catálogo)"))</f>
        <v/>
      </c>
      <c r="X45" s="3">
        <f>IF($H45="","",IFERROR(INDEX('CAT_ACTIVIDADES'!$B$4:$B$8,MATCH($H45,'CAT_ACTIVIDADES'!$A$4:$A$8,0)),"(sin catálogo)"))</f>
        <v/>
      </c>
      <c r="Y45" s="12">
        <f>IF($J45="","",TODAY()-$J45)</f>
        <v/>
      </c>
      <c r="Z45" s="3">
        <f>IF($Y45="","",IF($Y45&lt;0,"FUTURO",IF($Y45&gt;p_dias_backlog_max,"BACKLOG","MES CORRIENTE")))</f>
        <v/>
      </c>
      <c r="AA45" s="3">
        <f>IF($Y45="",FALSE,AND($Y45&gt;p_dias_backlog_min,$Y45&lt;=p_dias_backlog_max))</f>
        <v/>
      </c>
      <c r="AB45" s="6" t="inlineStr">
        <is>
          <t>Técnico 02</t>
        </is>
      </c>
      <c r="AC45" s="3">
        <f>IF($AB45="","",IFERROR(INDEX('ASIGNACIONES'!$F$4:$F$339,MATCH($O45&amp;"|"&amp;$R45&amp;"|"&amp;$AB45,'ASIGNACIONES'!$I$4:$I$339,0)),""))</f>
        <v/>
      </c>
      <c r="AD45" s="13">
        <f>IF($AB45="","",SUMIFS('ORDENES'!$M$4:$M$1203,'ORDENES'!$AB$4:$AB$1203,$AB45,'ORDENES'!$O$4:$O$1203,$O45,'ORDENES'!$R$4:$R$1203,$R45))</f>
        <v/>
      </c>
      <c r="AE45" s="13">
        <f>IF($AD45="","",p_factor_productividad*IFERROR(INDEX('ASIGNACIONES'!$H$4:$H$339,MATCH($O45&amp;"|"&amp;$R45&amp;"|"&amp;$AB45,'ASIGNACIONES'!$I$4:$I$339,0)),0)-$AD45)</f>
        <v/>
      </c>
      <c r="AF45" s="10">
        <f>IF($A45="","",IFERROR(INDEX('2_IMPORTAR_EJECUCION'!$F$9:$F$1208,MATCH($AN45,'2_IMPORTAR_EJECUCION'!$J$9:$J$1208,0)),0))</f>
        <v/>
      </c>
      <c r="AG45" s="10">
        <f>IF($A45="","",MAX(0,IFERROR(INDEX('2_IMPORTAR_EJECUCION'!$H$9:$H$1208,MATCH($AN45,'2_IMPORTAR_EJECUCION'!$J$9:$J$1208,0)),0)-$AF45))</f>
        <v/>
      </c>
      <c r="AH45" s="10">
        <f>IF($A45="","",$AF45+$AG45)</f>
        <v/>
      </c>
      <c r="AI45" s="6" t="inlineStr"/>
      <c r="AJ45" s="6" t="inlineStr"/>
      <c r="AK45" s="6" t="inlineStr">
        <is>
          <t>ACT-01.pdf</t>
        </is>
      </c>
      <c r="AL45" s="3">
        <f>IF($AK45="","",HYPERLINK(p_ruta_base_checklists&amp;$AK45,"abrir"))</f>
        <v/>
      </c>
      <c r="AM45" s="6" t="inlineStr"/>
      <c r="AN45" s="3">
        <f>IF($A45="","",$A45&amp;IF($B45="","0010",$B45))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1" t="n">
        <v>46239</v>
      </c>
      <c r="K46" s="3" t="n">
        <v>6</v>
      </c>
      <c r="L46" s="10" t="n">
        <v>150</v>
      </c>
      <c r="M46" s="3">
        <f>IF($A46="","",IFERROR(INDEX('AJUSTES'!$B$4:$B$303,MATCH($AN46,'AJUSTES'!$A$4:$A$303,0)),IF($K46="","",$K46)))</f>
        <v/>
      </c>
      <c r="N46" s="3">
        <f>IF($A46="","",IFERROR(INDEX('CAT_ESTADOS_ERP'!$B$4:$B$7,MATCH(IFERROR(INDEX('2_IMPORTAR_EJECUCION'!$C$9:$C$1208,MATCH($AN46,'2_IMPORTAR_EJECUCION'!$J$9:$J$1208,0)),""),'CAT_ESTADOS_ERP'!$A$4:$A$7,0)),"Pendiente"))</f>
        <v/>
      </c>
      <c r="O46" s="3">
        <f>IF($J46="","",YEAR($J46+4-WEEKDAY($J46,2))&amp;"-S"&amp;TEXT(_xlfn.ISOWEEKNUM($J46),"00"))</f>
        <v/>
      </c>
      <c r="P46" s="3">
        <f>IF($J46="","",YEAR($J46))</f>
        <v/>
      </c>
      <c r="Q46" s="3">
        <f>IF($J46="","",MONTH($J46))</f>
        <v/>
      </c>
      <c r="R46" s="3">
        <f>IF($J46="","",INDEX(lista_dias,WEEKDAY($J46,2)))</f>
        <v/>
      </c>
      <c r="S46" s="3">
        <f>IF($I46="","",IFERROR(INDEX('CAT_TIPOS_OT'!$C$4:$C$7,MATCH($I46,'CAT_TIPOS_OT'!$A$4:$A$7,0)),"sin_clasificar"))</f>
        <v/>
      </c>
      <c r="T46" s="3">
        <f>IF($F46="","",IFERROR(INDEX('CAT_CENTROS_COSTO'!$E$4:$E$9,MATCH($F46,'CAT_CENTROS_COSTO'!$A$4:$A$9,0)),"(sin catálogo)"))</f>
        <v/>
      </c>
      <c r="U46" s="3">
        <f>IF($F46="","",IFERROR(INDEX('CAT_CENTROS_COSTO'!$D$4:$D$9,MATCH($F46,'CAT_CENTROS_COSTO'!$A$4:$A$9,0)),"(sin catálogo)"))</f>
        <v/>
      </c>
      <c r="V46" s="3">
        <f>IF($F46="","",IFERROR(INDEX('CAT_CENTROS_COSTO'!$F$4:$F$9,MATCH($F46,'CAT_CENTROS_COSTO'!$A$4:$A$9,0)),"(sin catálogo)"))</f>
        <v/>
      </c>
      <c r="W46" s="3">
        <f>IF($G46="","",IFERROR(INDEX('CAT_PUESTOS'!$B$4:$B$8,MATCH($G46,'CAT_PUESTOS'!$A$4:$A$8,0)),"(sin catálogo)"))</f>
        <v/>
      </c>
      <c r="X46" s="3">
        <f>IF($H46="","",IFERROR(INDEX('CAT_ACTIVIDADES'!$B$4:$B$8,MATCH($H46,'CAT_ACTIVIDADES'!$A$4:$A$8,0)),"(sin catálogo)"))</f>
        <v/>
      </c>
      <c r="Y46" s="12">
        <f>IF($J46="","",TODAY()-$J46)</f>
        <v/>
      </c>
      <c r="Z46" s="3">
        <f>IF($Y46="","",IF($Y46&lt;0,"FUTURO",IF($Y46&gt;p_dias_backlog_max,"BACKLOG","MES CORRIENTE")))</f>
        <v/>
      </c>
      <c r="AA46" s="3">
        <f>IF($Y46="",FALSE,AND($Y46&gt;p_dias_backlog_min,$Y46&lt;=p_dias_backlog_max))</f>
        <v/>
      </c>
      <c r="AB46" s="6" t="inlineStr">
        <is>
          <t>Técnico 03</t>
        </is>
      </c>
      <c r="AC46" s="3">
        <f>IF($AB46="","",IFERROR(INDEX('ASIGNACIONES'!$F$4:$F$339,MATCH($O46&amp;"|"&amp;$R46&amp;"|"&amp;$AB46,'ASIGNACIONES'!$I$4:$I$339,0)),""))</f>
        <v/>
      </c>
      <c r="AD46" s="13">
        <f>IF($AB46="","",SUMIFS('ORDENES'!$M$4:$M$1203,'ORDENES'!$AB$4:$AB$1203,$AB46,'ORDENES'!$O$4:$O$1203,$O46,'ORDENES'!$R$4:$R$1203,$R46))</f>
        <v/>
      </c>
      <c r="AE46" s="13">
        <f>IF($AD46="","",p_factor_productividad*IFERROR(INDEX('ASIGNACIONES'!$H$4:$H$339,MATCH($O46&amp;"|"&amp;$R46&amp;"|"&amp;$AB46,'ASIGNACIONES'!$I$4:$I$339,0)),0)-$AD46)</f>
        <v/>
      </c>
      <c r="AF46" s="10">
        <f>IF($A46="","",IFERROR(INDEX('2_IMPORTAR_EJECUCION'!$F$9:$F$1208,MATCH($AN46,'2_IMPORTAR_EJECUCION'!$J$9:$J$1208,0)),0))</f>
        <v/>
      </c>
      <c r="AG46" s="10">
        <f>IF($A46="","",MAX(0,IFERROR(INDEX('2_IMPORTAR_EJECUCION'!$H$9:$H$1208,MATCH($AN46,'2_IMPORTAR_EJECUCION'!$J$9:$J$1208,0)),0)-$AF46))</f>
        <v/>
      </c>
      <c r="AH46" s="10">
        <f>IF($A46="","",$AF46+$AG46)</f>
        <v/>
      </c>
      <c r="AI46" s="6" t="inlineStr"/>
      <c r="AJ46" s="6" t="inlineStr"/>
      <c r="AK46" s="6" t="inlineStr">
        <is>
          <t>ACT-02.pdf</t>
        </is>
      </c>
      <c r="AL46" s="3">
        <f>IF($AK46="","",HYPERLINK(p_ruta_base_checklists&amp;$AK46,"abrir"))</f>
        <v/>
      </c>
      <c r="AM46" s="6" t="inlineStr"/>
      <c r="AN46" s="3">
        <f>IF($A46="","",$A46&amp;IF($B46="","0010",$B46))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1" t="n">
        <v>46240</v>
      </c>
      <c r="K47" s="3" t="n">
        <v>10</v>
      </c>
      <c r="L47" s="10" t="n">
        <v>250</v>
      </c>
      <c r="M47" s="3">
        <f>IF($A47="","",IFERROR(INDEX('AJUSTES'!$B$4:$B$303,MATCH($AN47,'AJUSTES'!$A$4:$A$303,0)),IF($K47="","",$K47)))</f>
        <v/>
      </c>
      <c r="N47" s="3">
        <f>IF($A47="","",IFERROR(INDEX('CAT_ESTADOS_ERP'!$B$4:$B$7,MATCH(IFERROR(INDEX('2_IMPORTAR_EJECUCION'!$C$9:$C$1208,MATCH($AN47,'2_IMPORTAR_EJECUCION'!$J$9:$J$1208,0)),""),'CAT_ESTADOS_ERP'!$A$4:$A$7,0)),"Pendiente"))</f>
        <v/>
      </c>
      <c r="O47" s="3">
        <f>IF($J47="","",YEAR($J47+4-WEEKDAY($J47,2))&amp;"-S"&amp;TEXT(_xlfn.ISOWEEKNUM($J47),"00"))</f>
        <v/>
      </c>
      <c r="P47" s="3">
        <f>IF($J47="","",YEAR($J47))</f>
        <v/>
      </c>
      <c r="Q47" s="3">
        <f>IF($J47="","",MONTH($J47))</f>
        <v/>
      </c>
      <c r="R47" s="3">
        <f>IF($J47="","",INDEX(lista_dias,WEEKDAY($J47,2)))</f>
        <v/>
      </c>
      <c r="S47" s="3">
        <f>IF($I47="","",IFERROR(INDEX('CAT_TIPOS_OT'!$C$4:$C$7,MATCH($I47,'CAT_TIPOS_OT'!$A$4:$A$7,0)),"sin_clasificar"))</f>
        <v/>
      </c>
      <c r="T47" s="3">
        <f>IF($F47="","",IFERROR(INDEX('CAT_CENTROS_COSTO'!$E$4:$E$9,MATCH($F47,'CAT_CENTROS_COSTO'!$A$4:$A$9,0)),"(sin catálogo)"))</f>
        <v/>
      </c>
      <c r="U47" s="3">
        <f>IF($F47="","",IFERROR(INDEX('CAT_CENTROS_COSTO'!$D$4:$D$9,MATCH($F47,'CAT_CENTROS_COSTO'!$A$4:$A$9,0)),"(sin catálogo)"))</f>
        <v/>
      </c>
      <c r="V47" s="3">
        <f>IF($F47="","",IFERROR(INDEX('CAT_CENTROS_COSTO'!$F$4:$F$9,MATCH($F47,'CAT_CENTROS_COSTO'!$A$4:$A$9,0)),"(sin catálogo)"))</f>
        <v/>
      </c>
      <c r="W47" s="3">
        <f>IF($G47="","",IFERROR(INDEX('CAT_PUESTOS'!$B$4:$B$8,MATCH($G47,'CAT_PUESTOS'!$A$4:$A$8,0)),"(sin catálogo)"))</f>
        <v/>
      </c>
      <c r="X47" s="3">
        <f>IF($H47="","",IFERROR(INDEX('CAT_ACTIVIDADES'!$B$4:$B$8,MATCH($H47,'CAT_ACTIVIDADES'!$A$4:$A$8,0)),"(sin catálogo)"))</f>
        <v/>
      </c>
      <c r="Y47" s="12">
        <f>IF($J47="","",TODAY()-$J47)</f>
        <v/>
      </c>
      <c r="Z47" s="3">
        <f>IF($Y47="","",IF($Y47&lt;0,"FUTURO",IF($Y47&gt;p_dias_backlog_max,"BACKLOG","MES CORRIENTE")))</f>
        <v/>
      </c>
      <c r="AA47" s="3">
        <f>IF($Y47="",FALSE,AND($Y47&gt;p_dias_backlog_min,$Y47&lt;=p_dias_backlog_max))</f>
        <v/>
      </c>
      <c r="AB47" s="6" t="inlineStr">
        <is>
          <t>Técnico 04</t>
        </is>
      </c>
      <c r="AC47" s="3">
        <f>IF($AB47="","",IFERROR(INDEX('ASIGNACIONES'!$F$4:$F$339,MATCH($O47&amp;"|"&amp;$R47&amp;"|"&amp;$AB47,'ASIGNACIONES'!$I$4:$I$339,0)),""))</f>
        <v/>
      </c>
      <c r="AD47" s="13">
        <f>IF($AB47="","",SUMIFS('ORDENES'!$M$4:$M$1203,'ORDENES'!$AB$4:$AB$1203,$AB47,'ORDENES'!$O$4:$O$1203,$O47,'ORDENES'!$R$4:$R$1203,$R47))</f>
        <v/>
      </c>
      <c r="AE47" s="13">
        <f>IF($AD47="","",p_factor_productividad*IFERROR(INDEX('ASIGNACIONES'!$H$4:$H$339,MATCH($O47&amp;"|"&amp;$R47&amp;"|"&amp;$AB47,'ASIGNACIONES'!$I$4:$I$339,0)),0)-$AD47)</f>
        <v/>
      </c>
      <c r="AF47" s="10">
        <f>IF($A47="","",IFERROR(INDEX('2_IMPORTAR_EJECUCION'!$F$9:$F$1208,MATCH($AN47,'2_IMPORTAR_EJECUCION'!$J$9:$J$1208,0)),0))</f>
        <v/>
      </c>
      <c r="AG47" s="10">
        <f>IF($A47="","",MAX(0,IFERROR(INDEX('2_IMPORTAR_EJECUCION'!$H$9:$H$1208,MATCH($AN47,'2_IMPORTAR_EJECUCION'!$J$9:$J$1208,0)),0)-$AF47))</f>
        <v/>
      </c>
      <c r="AH47" s="10">
        <f>IF($A47="","",$AF47+$AG47)</f>
        <v/>
      </c>
      <c r="AI47" s="6" t="inlineStr"/>
      <c r="AJ47" s="6" t="inlineStr"/>
      <c r="AK47" s="6" t="inlineStr">
        <is>
          <t>ACT-04.pdf</t>
        </is>
      </c>
      <c r="AL47" s="3">
        <f>IF($AK47="","",HYPERLINK(p_ruta_base_checklists&amp;$AK47,"abrir"))</f>
        <v/>
      </c>
      <c r="AM47" s="6" t="inlineStr"/>
      <c r="AN47" s="3">
        <f>IF($A47="","",$A47&amp;IF($B47="","0010",$B47))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1" t="n">
        <v>46241</v>
      </c>
      <c r="K48" s="3" t="n">
        <v>8</v>
      </c>
      <c r="L48" s="10" t="n">
        <v>200</v>
      </c>
      <c r="M48" s="3">
        <f>IF($A48="","",IFERROR(INDEX('AJUSTES'!$B$4:$B$303,MATCH($AN48,'AJUSTES'!$A$4:$A$303,0)),IF($K48="","",$K48)))</f>
        <v/>
      </c>
      <c r="N48" s="3">
        <f>IF($A48="","",IFERROR(INDEX('CAT_ESTADOS_ERP'!$B$4:$B$7,MATCH(IFERROR(INDEX('2_IMPORTAR_EJECUCION'!$C$9:$C$1208,MATCH($AN48,'2_IMPORTAR_EJECUCION'!$J$9:$J$1208,0)),""),'CAT_ESTADOS_ERP'!$A$4:$A$7,0)),"Pendiente"))</f>
        <v/>
      </c>
      <c r="O48" s="3">
        <f>IF($J48="","",YEAR($J48+4-WEEKDAY($J48,2))&amp;"-S"&amp;TEXT(_xlfn.ISOWEEKNUM($J48),"00"))</f>
        <v/>
      </c>
      <c r="P48" s="3">
        <f>IF($J48="","",YEAR($J48))</f>
        <v/>
      </c>
      <c r="Q48" s="3">
        <f>IF($J48="","",MONTH($J48))</f>
        <v/>
      </c>
      <c r="R48" s="3">
        <f>IF($J48="","",INDEX(lista_dias,WEEKDAY($J48,2)))</f>
        <v/>
      </c>
      <c r="S48" s="3">
        <f>IF($I48="","",IFERROR(INDEX('CAT_TIPOS_OT'!$C$4:$C$7,MATCH($I48,'CAT_TIPOS_OT'!$A$4:$A$7,0)),"sin_clasificar"))</f>
        <v/>
      </c>
      <c r="T48" s="3">
        <f>IF($F48="","",IFERROR(INDEX('CAT_CENTROS_COSTO'!$E$4:$E$9,MATCH($F48,'CAT_CENTROS_COSTO'!$A$4:$A$9,0)),"(sin catálogo)"))</f>
        <v/>
      </c>
      <c r="U48" s="3">
        <f>IF($F48="","",IFERROR(INDEX('CAT_CENTROS_COSTO'!$D$4:$D$9,MATCH($F48,'CAT_CENTROS_COSTO'!$A$4:$A$9,0)),"(sin catálogo)"))</f>
        <v/>
      </c>
      <c r="V48" s="3">
        <f>IF($F48="","",IFERROR(INDEX('CAT_CENTROS_COSTO'!$F$4:$F$9,MATCH($F48,'CAT_CENTROS_COSTO'!$A$4:$A$9,0)),"(sin catálogo)"))</f>
        <v/>
      </c>
      <c r="W48" s="3">
        <f>IF($G48="","",IFERROR(INDEX('CAT_PUESTOS'!$B$4:$B$8,MATCH($G48,'CAT_PUESTOS'!$A$4:$A$8,0)),"(sin catálogo)"))</f>
        <v/>
      </c>
      <c r="X48" s="3">
        <f>IF($H48="","",IFERROR(INDEX('CAT_ACTIVIDADES'!$B$4:$B$8,MATCH($H48,'CAT_ACTIVIDADES'!$A$4:$A$8,0)),"(sin catálogo)"))</f>
        <v/>
      </c>
      <c r="Y48" s="12">
        <f>IF($J48="","",TODAY()-$J48)</f>
        <v/>
      </c>
      <c r="Z48" s="3">
        <f>IF($Y48="","",IF($Y48&lt;0,"FUTURO",IF($Y48&gt;p_dias_backlog_max,"BACKLOG","MES CORRIENTE")))</f>
        <v/>
      </c>
      <c r="AA48" s="3">
        <f>IF($Y48="",FALSE,AND($Y48&gt;p_dias_backlog_min,$Y48&lt;=p_dias_backlog_max))</f>
        <v/>
      </c>
      <c r="AB48" s="6" t="inlineStr">
        <is>
          <t>Técnico 01</t>
        </is>
      </c>
      <c r="AC48" s="3">
        <f>IF($AB48="","",IFERROR(INDEX('ASIGNACIONES'!$F$4:$F$339,MATCH($O48&amp;"|"&amp;$R48&amp;"|"&amp;$AB48,'ASIGNACIONES'!$I$4:$I$339,0)),""))</f>
        <v/>
      </c>
      <c r="AD48" s="13">
        <f>IF($AB48="","",SUMIFS('ORDENES'!$M$4:$M$1203,'ORDENES'!$AB$4:$AB$1203,$AB48,'ORDENES'!$O$4:$O$1203,$O48,'ORDENES'!$R$4:$R$1203,$R48))</f>
        <v/>
      </c>
      <c r="AE48" s="13">
        <f>IF($AD48="","",p_factor_productividad*IFERROR(INDEX('ASIGNACIONES'!$H$4:$H$339,MATCH($O48&amp;"|"&amp;$R48&amp;"|"&amp;$AB48,'ASIGNACIONES'!$I$4:$I$339,0)),0)-$AD48)</f>
        <v/>
      </c>
      <c r="AF48" s="10">
        <f>IF($A48="","",IFERROR(INDEX('2_IMPORTAR_EJECUCION'!$F$9:$F$1208,MATCH($AN48,'2_IMPORTAR_EJECUCION'!$J$9:$J$1208,0)),0))</f>
        <v/>
      </c>
      <c r="AG48" s="10">
        <f>IF($A48="","",MAX(0,IFERROR(INDEX('2_IMPORTAR_EJECUCION'!$H$9:$H$1208,MATCH($AN48,'2_IMPORTAR_EJECUCION'!$J$9:$J$1208,0)),0)-$AF48))</f>
        <v/>
      </c>
      <c r="AH48" s="10">
        <f>IF($A48="","",$AF48+$AG48)</f>
        <v/>
      </c>
      <c r="AI48" s="6" t="inlineStr"/>
      <c r="AJ48" s="6" t="inlineStr"/>
      <c r="AK48" s="6" t="inlineStr">
        <is>
          <t>ACT-01.pdf</t>
        </is>
      </c>
      <c r="AL48" s="3">
        <f>IF($AK48="","",HYPERLINK(p_ruta_base_checklists&amp;$AK48,"abrir"))</f>
        <v/>
      </c>
      <c r="AM48" s="6" t="inlineStr"/>
      <c r="AN48" s="3">
        <f>IF($A48="","",$A48&amp;IF($B48="","0010",$B48))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1" t="n">
        <v>46237</v>
      </c>
      <c r="K49" s="3" t="n">
        <v>4</v>
      </c>
      <c r="L49" s="10" t="n">
        <v>100</v>
      </c>
      <c r="M49" s="3">
        <f>IF($A49="","",IFERROR(INDEX('AJUSTES'!$B$4:$B$303,MATCH($AN49,'AJUSTES'!$A$4:$A$303,0)),IF($K49="","",$K49)))</f>
        <v/>
      </c>
      <c r="N49" s="3">
        <f>IF($A49="","",IFERROR(INDEX('CAT_ESTADOS_ERP'!$B$4:$B$7,MATCH(IFERROR(INDEX('2_IMPORTAR_EJECUCION'!$C$9:$C$1208,MATCH($AN49,'2_IMPORTAR_EJECUCION'!$J$9:$J$1208,0)),""),'CAT_ESTADOS_ERP'!$A$4:$A$7,0)),"Pendiente"))</f>
        <v/>
      </c>
      <c r="O49" s="3">
        <f>IF($J49="","",YEAR($J49+4-WEEKDAY($J49,2))&amp;"-S"&amp;TEXT(_xlfn.ISOWEEKNUM($J49),"00"))</f>
        <v/>
      </c>
      <c r="P49" s="3">
        <f>IF($J49="","",YEAR($J49))</f>
        <v/>
      </c>
      <c r="Q49" s="3">
        <f>IF($J49="","",MONTH($J49))</f>
        <v/>
      </c>
      <c r="R49" s="3">
        <f>IF($J49="","",INDEX(lista_dias,WEEKDAY($J49,2)))</f>
        <v/>
      </c>
      <c r="S49" s="3">
        <f>IF($I49="","",IFERROR(INDEX('CAT_TIPOS_OT'!$C$4:$C$7,MATCH($I49,'CAT_TIPOS_OT'!$A$4:$A$7,0)),"sin_clasificar"))</f>
        <v/>
      </c>
      <c r="T49" s="3">
        <f>IF($F49="","",IFERROR(INDEX('CAT_CENTROS_COSTO'!$E$4:$E$9,MATCH($F49,'CAT_CENTROS_COSTO'!$A$4:$A$9,0)),"(sin catálogo)"))</f>
        <v/>
      </c>
      <c r="U49" s="3">
        <f>IF($F49="","",IFERROR(INDEX('CAT_CENTROS_COSTO'!$D$4:$D$9,MATCH($F49,'CAT_CENTROS_COSTO'!$A$4:$A$9,0)),"(sin catálogo)"))</f>
        <v/>
      </c>
      <c r="V49" s="3">
        <f>IF($F49="","",IFERROR(INDEX('CAT_CENTROS_COSTO'!$F$4:$F$9,MATCH($F49,'CAT_CENTROS_COSTO'!$A$4:$A$9,0)),"(sin catálogo)"))</f>
        <v/>
      </c>
      <c r="W49" s="3">
        <f>IF($G49="","",IFERROR(INDEX('CAT_PUESTOS'!$B$4:$B$8,MATCH($G49,'CAT_PUESTOS'!$A$4:$A$8,0)),"(sin catálogo)"))</f>
        <v/>
      </c>
      <c r="X49" s="3">
        <f>IF($H49="","",IFERROR(INDEX('CAT_ACTIVIDADES'!$B$4:$B$8,MATCH($H49,'CAT_ACTIVIDADES'!$A$4:$A$8,0)),"(sin catálogo)"))</f>
        <v/>
      </c>
      <c r="Y49" s="12">
        <f>IF($J49="","",TODAY()-$J49)</f>
        <v/>
      </c>
      <c r="Z49" s="3">
        <f>IF($Y49="","",IF($Y49&lt;0,"FUTURO",IF($Y49&gt;p_dias_backlog_max,"BACKLOG","MES CORRIENTE")))</f>
        <v/>
      </c>
      <c r="AA49" s="3">
        <f>IF($Y49="",FALSE,AND($Y49&gt;p_dias_backlog_min,$Y49&lt;=p_dias_backlog_max))</f>
        <v/>
      </c>
      <c r="AB49" s="6" t="inlineStr">
        <is>
          <t>Técnico 02</t>
        </is>
      </c>
      <c r="AC49" s="3">
        <f>IF($AB49="","",IFERROR(INDEX('ASIGNACIONES'!$F$4:$F$339,MATCH($O49&amp;"|"&amp;$R49&amp;"|"&amp;$AB49,'ASIGNACIONES'!$I$4:$I$339,0)),""))</f>
        <v/>
      </c>
      <c r="AD49" s="13">
        <f>IF($AB49="","",SUMIFS('ORDENES'!$M$4:$M$1203,'ORDENES'!$AB$4:$AB$1203,$AB49,'ORDENES'!$O$4:$O$1203,$O49,'ORDENES'!$R$4:$R$1203,$R49))</f>
        <v/>
      </c>
      <c r="AE49" s="13">
        <f>IF($AD49="","",p_factor_productividad*IFERROR(INDEX('ASIGNACIONES'!$H$4:$H$339,MATCH($O49&amp;"|"&amp;$R49&amp;"|"&amp;$AB49,'ASIGNACIONES'!$I$4:$I$339,0)),0)-$AD49)</f>
        <v/>
      </c>
      <c r="AF49" s="10">
        <f>IF($A49="","",IFERROR(INDEX('2_IMPORTAR_EJECUCION'!$F$9:$F$1208,MATCH($AN49,'2_IMPORTAR_EJECUCION'!$J$9:$J$1208,0)),0))</f>
        <v/>
      </c>
      <c r="AG49" s="10">
        <f>IF($A49="","",MAX(0,IFERROR(INDEX('2_IMPORTAR_EJECUCION'!$H$9:$H$1208,MATCH($AN49,'2_IMPORTAR_EJECUCION'!$J$9:$J$1208,0)),0)-$AF49))</f>
        <v/>
      </c>
      <c r="AH49" s="10">
        <f>IF($A49="","",$AF49+$AG49)</f>
        <v/>
      </c>
      <c r="AI49" s="6" t="inlineStr"/>
      <c r="AJ49" s="6" t="inlineStr"/>
      <c r="AK49" s="6" t="inlineStr">
        <is>
          <t>ACT-02.pdf</t>
        </is>
      </c>
      <c r="AL49" s="3">
        <f>IF($AK49="","",HYPERLINK(p_ruta_base_checklists&amp;$AK49,"abrir"))</f>
        <v/>
      </c>
      <c r="AM49" s="6" t="inlineStr"/>
      <c r="AN49" s="3">
        <f>IF($A49="","",$A49&amp;IF($B49="","0010",$B49))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1" t="n">
        <v>46238</v>
      </c>
      <c r="K50" s="3" t="n">
        <v>10</v>
      </c>
      <c r="L50" s="10" t="n">
        <v>400</v>
      </c>
      <c r="M50" s="3">
        <f>IF($A50="","",IFERROR(INDEX('AJUSTES'!$B$4:$B$303,MATCH($AN50,'AJUSTES'!$A$4:$A$303,0)),IF($K50="","",$K50)))</f>
        <v/>
      </c>
      <c r="N50" s="3">
        <f>IF($A50="","",IFERROR(INDEX('CAT_ESTADOS_ERP'!$B$4:$B$7,MATCH(IFERROR(INDEX('2_IMPORTAR_EJECUCION'!$C$9:$C$1208,MATCH($AN50,'2_IMPORTAR_EJECUCION'!$J$9:$J$1208,0)),""),'CAT_ESTADOS_ERP'!$A$4:$A$7,0)),"Pendiente"))</f>
        <v/>
      </c>
      <c r="O50" s="3">
        <f>IF($J50="","",YEAR($J50+4-WEEKDAY($J50,2))&amp;"-S"&amp;TEXT(_xlfn.ISOWEEKNUM($J50),"00"))</f>
        <v/>
      </c>
      <c r="P50" s="3">
        <f>IF($J50="","",YEAR($J50))</f>
        <v/>
      </c>
      <c r="Q50" s="3">
        <f>IF($J50="","",MONTH($J50))</f>
        <v/>
      </c>
      <c r="R50" s="3">
        <f>IF($J50="","",INDEX(lista_dias,WEEKDAY($J50,2)))</f>
        <v/>
      </c>
      <c r="S50" s="3">
        <f>IF($I50="","",IFERROR(INDEX('CAT_TIPOS_OT'!$C$4:$C$7,MATCH($I50,'CAT_TIPOS_OT'!$A$4:$A$7,0)),"sin_clasificar"))</f>
        <v/>
      </c>
      <c r="T50" s="3">
        <f>IF($F50="","",IFERROR(INDEX('CAT_CENTROS_COSTO'!$E$4:$E$9,MATCH($F50,'CAT_CENTROS_COSTO'!$A$4:$A$9,0)),"(sin catálogo)"))</f>
        <v/>
      </c>
      <c r="U50" s="3">
        <f>IF($F50="","",IFERROR(INDEX('CAT_CENTROS_COSTO'!$D$4:$D$9,MATCH($F50,'CAT_CENTROS_COSTO'!$A$4:$A$9,0)),"(sin catálogo)"))</f>
        <v/>
      </c>
      <c r="V50" s="3">
        <f>IF($F50="","",IFERROR(INDEX('CAT_CENTROS_COSTO'!$F$4:$F$9,MATCH($F50,'CAT_CENTROS_COSTO'!$A$4:$A$9,0)),"(sin catálogo)"))</f>
        <v/>
      </c>
      <c r="W50" s="3">
        <f>IF($G50="","",IFERROR(INDEX('CAT_PUESTOS'!$B$4:$B$8,MATCH($G50,'CAT_PUESTOS'!$A$4:$A$8,0)),"(sin catálogo)"))</f>
        <v/>
      </c>
      <c r="X50" s="3">
        <f>IF($H50="","",IFERROR(INDEX('CAT_ACTIVIDADES'!$B$4:$B$8,MATCH($H50,'CAT_ACTIVIDADES'!$A$4:$A$8,0)),"(sin catálogo)"))</f>
        <v/>
      </c>
      <c r="Y50" s="12">
        <f>IF($J50="","",TODAY()-$J50)</f>
        <v/>
      </c>
      <c r="Z50" s="3">
        <f>IF($Y50="","",IF($Y50&lt;0,"FUTURO",IF($Y50&gt;p_dias_backlog_max,"BACKLOG","MES CORRIENTE")))</f>
        <v/>
      </c>
      <c r="AA50" s="3">
        <f>IF($Y50="",FALSE,AND($Y50&gt;p_dias_backlog_min,$Y50&lt;=p_dias_backlog_max))</f>
        <v/>
      </c>
      <c r="AB50" s="6" t="inlineStr">
        <is>
          <t>Técnico 03</t>
        </is>
      </c>
      <c r="AC50" s="3">
        <f>IF($AB50="","",IFERROR(INDEX('ASIGNACIONES'!$F$4:$F$339,MATCH($O50&amp;"|"&amp;$R50&amp;"|"&amp;$AB50,'ASIGNACIONES'!$I$4:$I$339,0)),""))</f>
        <v/>
      </c>
      <c r="AD50" s="13">
        <f>IF($AB50="","",SUMIFS('ORDENES'!$M$4:$M$1203,'ORDENES'!$AB$4:$AB$1203,$AB50,'ORDENES'!$O$4:$O$1203,$O50,'ORDENES'!$R$4:$R$1203,$R50))</f>
        <v/>
      </c>
      <c r="AE50" s="13">
        <f>IF($AD50="","",p_factor_productividad*IFERROR(INDEX('ASIGNACIONES'!$H$4:$H$339,MATCH($O50&amp;"|"&amp;$R50&amp;"|"&amp;$AB50,'ASIGNACIONES'!$I$4:$I$339,0)),0)-$AD50)</f>
        <v/>
      </c>
      <c r="AF50" s="10">
        <f>IF($A50="","",IFERROR(INDEX('2_IMPORTAR_EJECUCION'!$F$9:$F$1208,MATCH($AN50,'2_IMPORTAR_EJECUCION'!$J$9:$J$1208,0)),0))</f>
        <v/>
      </c>
      <c r="AG50" s="10">
        <f>IF($A50="","",MAX(0,IFERROR(INDEX('2_IMPORTAR_EJECUCION'!$H$9:$H$1208,MATCH($AN50,'2_IMPORTAR_EJECUCION'!$J$9:$J$1208,0)),0)-$AF50))</f>
        <v/>
      </c>
      <c r="AH50" s="10">
        <f>IF($A50="","",$AF50+$AG50)</f>
        <v/>
      </c>
      <c r="AI50" s="6" t="inlineStr"/>
      <c r="AJ50" s="6" t="inlineStr"/>
      <c r="AK50" s="6" t="inlineStr"/>
      <c r="AL50" s="3">
        <f>IF($AK50="","",HYPERLINK(p_ruta_base_checklists&amp;$AK50,"abrir"))</f>
        <v/>
      </c>
      <c r="AM50" s="6" t="inlineStr"/>
      <c r="AN50" s="3">
        <f>IF($A50="","",$A50&amp;IF($B50="","0010",$B50))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1" t="n">
        <v>46239</v>
      </c>
      <c r="K51" s="3" t="n">
        <v>4</v>
      </c>
      <c r="L51" s="10" t="n">
        <v>160</v>
      </c>
      <c r="M51" s="3">
        <f>IF($A51="","",IFERROR(INDEX('AJUSTES'!$B$4:$B$303,MATCH($AN51,'AJUSTES'!$A$4:$A$303,0)),IF($K51="","",$K51)))</f>
        <v/>
      </c>
      <c r="N51" s="3">
        <f>IF($A51="","",IFERROR(INDEX('CAT_ESTADOS_ERP'!$B$4:$B$7,MATCH(IFERROR(INDEX('2_IMPORTAR_EJECUCION'!$C$9:$C$1208,MATCH($AN51,'2_IMPORTAR_EJECUCION'!$J$9:$J$1208,0)),""),'CAT_ESTADOS_ERP'!$A$4:$A$7,0)),"Pendiente"))</f>
        <v/>
      </c>
      <c r="O51" s="3">
        <f>IF($J51="","",YEAR($J51+4-WEEKDAY($J51,2))&amp;"-S"&amp;TEXT(_xlfn.ISOWEEKNUM($J51),"00"))</f>
        <v/>
      </c>
      <c r="P51" s="3">
        <f>IF($J51="","",YEAR($J51))</f>
        <v/>
      </c>
      <c r="Q51" s="3">
        <f>IF($J51="","",MONTH($J51))</f>
        <v/>
      </c>
      <c r="R51" s="3">
        <f>IF($J51="","",INDEX(lista_dias,WEEKDAY($J51,2)))</f>
        <v/>
      </c>
      <c r="S51" s="3">
        <f>IF($I51="","",IFERROR(INDEX('CAT_TIPOS_OT'!$C$4:$C$7,MATCH($I51,'CAT_TIPOS_OT'!$A$4:$A$7,0)),"sin_clasificar"))</f>
        <v/>
      </c>
      <c r="T51" s="3">
        <f>IF($F51="","",IFERROR(INDEX('CAT_CENTROS_COSTO'!$E$4:$E$9,MATCH($F51,'CAT_CENTROS_COSTO'!$A$4:$A$9,0)),"(sin catálogo)"))</f>
        <v/>
      </c>
      <c r="U51" s="3">
        <f>IF($F51="","",IFERROR(INDEX('CAT_CENTROS_COSTO'!$D$4:$D$9,MATCH($F51,'CAT_CENTROS_COSTO'!$A$4:$A$9,0)),"(sin catálogo)"))</f>
        <v/>
      </c>
      <c r="V51" s="3">
        <f>IF($F51="","",IFERROR(INDEX('CAT_CENTROS_COSTO'!$F$4:$F$9,MATCH($F51,'CAT_CENTROS_COSTO'!$A$4:$A$9,0)),"(sin catálogo)"))</f>
        <v/>
      </c>
      <c r="W51" s="3">
        <f>IF($G51="","",IFERROR(INDEX('CAT_PUESTOS'!$B$4:$B$8,MATCH($G51,'CAT_PUESTOS'!$A$4:$A$8,0)),"(sin catálogo)"))</f>
        <v/>
      </c>
      <c r="X51" s="3">
        <f>IF($H51="","",IFERROR(INDEX('CAT_ACTIVIDADES'!$B$4:$B$8,MATCH($H51,'CAT_ACTIVIDADES'!$A$4:$A$8,0)),"(sin catálogo)"))</f>
        <v/>
      </c>
      <c r="Y51" s="12">
        <f>IF($J51="","",TODAY()-$J51)</f>
        <v/>
      </c>
      <c r="Z51" s="3">
        <f>IF($Y51="","",IF($Y51&lt;0,"FUTURO",IF($Y51&gt;p_dias_backlog_max,"BACKLOG","MES CORRIENTE")))</f>
        <v/>
      </c>
      <c r="AA51" s="3">
        <f>IF($Y51="",FALSE,AND($Y51&gt;p_dias_backlog_min,$Y51&lt;=p_dias_backlog_max))</f>
        <v/>
      </c>
      <c r="AB51" s="6" t="inlineStr"/>
      <c r="AC51" s="3">
        <f>IF($AB51="","",IFERROR(INDEX('ASIGNACIONES'!$F$4:$F$339,MATCH($O51&amp;"|"&amp;$R51&amp;"|"&amp;$AB51,'ASIGNACIONES'!$I$4:$I$339,0)),""))</f>
        <v/>
      </c>
      <c r="AD51" s="13">
        <f>IF($AB51="","",SUMIFS('ORDENES'!$M$4:$M$1203,'ORDENES'!$AB$4:$AB$1203,$AB51,'ORDENES'!$O$4:$O$1203,$O51,'ORDENES'!$R$4:$R$1203,$R51))</f>
        <v/>
      </c>
      <c r="AE51" s="13">
        <f>IF($AD51="","",p_factor_productividad*IFERROR(INDEX('ASIGNACIONES'!$H$4:$H$339,MATCH($O51&amp;"|"&amp;$R51&amp;"|"&amp;$AB51,'ASIGNACIONES'!$I$4:$I$339,0)),0)-$AD51)</f>
        <v/>
      </c>
      <c r="AF51" s="10">
        <f>IF($A51="","",IFERROR(INDEX('2_IMPORTAR_EJECUCION'!$F$9:$F$1208,MATCH($AN51,'2_IMPORTAR_EJECUCION'!$J$9:$J$1208,0)),0))</f>
        <v/>
      </c>
      <c r="AG51" s="10">
        <f>IF($A51="","",MAX(0,IFERROR(INDEX('2_IMPORTAR_EJECUCION'!$H$9:$H$1208,MATCH($AN51,'2_IMPORTAR_EJECUCION'!$J$9:$J$1208,0)),0)-$AF51))</f>
        <v/>
      </c>
      <c r="AH51" s="10">
        <f>IF($A51="","",$AF51+$AG51)</f>
        <v/>
      </c>
      <c r="AI51" s="6" t="inlineStr">
        <is>
          <t>PT-CALIENTE</t>
        </is>
      </c>
      <c r="AJ51" s="6" t="inlineStr">
        <is>
          <t>LOTO</t>
        </is>
      </c>
      <c r="AK51" s="6" t="inlineStr"/>
      <c r="AL51" s="3">
        <f>IF($AK51="","",HYPERLINK(p_ruta_base_checklists&amp;$AK51,"abrir"))</f>
        <v/>
      </c>
      <c r="AM51" s="6" t="inlineStr"/>
      <c r="AN51" s="3">
        <f>IF($A51="","",$A51&amp;IF($B51="","0010",$B51))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1" t="n">
        <v>46219</v>
      </c>
      <c r="K52" s="3" t="n">
        <v>10</v>
      </c>
      <c r="L52" s="10" t="n">
        <v>250</v>
      </c>
      <c r="M52" s="3">
        <f>IF($A52="","",IFERROR(INDEX('AJUSTES'!$B$4:$B$303,MATCH($AN52,'AJUSTES'!$A$4:$A$303,0)),IF($K52="","",$K52)))</f>
        <v/>
      </c>
      <c r="N52" s="3">
        <f>IF($A52="","",IFERROR(INDEX('CAT_ESTADOS_ERP'!$B$4:$B$7,MATCH(IFERROR(INDEX('2_IMPORTAR_EJECUCION'!$C$9:$C$1208,MATCH($AN52,'2_IMPORTAR_EJECUCION'!$J$9:$J$1208,0)),""),'CAT_ESTADOS_ERP'!$A$4:$A$7,0)),"Pendiente"))</f>
        <v/>
      </c>
      <c r="O52" s="3">
        <f>IF($J52="","",YEAR($J52+4-WEEKDAY($J52,2))&amp;"-S"&amp;TEXT(_xlfn.ISOWEEKNUM($J52),"00"))</f>
        <v/>
      </c>
      <c r="P52" s="3">
        <f>IF($J52="","",YEAR($J52))</f>
        <v/>
      </c>
      <c r="Q52" s="3">
        <f>IF($J52="","",MONTH($J52))</f>
        <v/>
      </c>
      <c r="R52" s="3">
        <f>IF($J52="","",INDEX(lista_dias,WEEKDAY($J52,2)))</f>
        <v/>
      </c>
      <c r="S52" s="3">
        <f>IF($I52="","",IFERROR(INDEX('CAT_TIPOS_OT'!$C$4:$C$7,MATCH($I52,'CAT_TIPOS_OT'!$A$4:$A$7,0)),"sin_clasificar"))</f>
        <v/>
      </c>
      <c r="T52" s="3">
        <f>IF($F52="","",IFERROR(INDEX('CAT_CENTROS_COSTO'!$E$4:$E$9,MATCH($F52,'CAT_CENTROS_COSTO'!$A$4:$A$9,0)),"(sin catálogo)"))</f>
        <v/>
      </c>
      <c r="U52" s="3">
        <f>IF($F52="","",IFERROR(INDEX('CAT_CENTROS_COSTO'!$D$4:$D$9,MATCH($F52,'CAT_CENTROS_COSTO'!$A$4:$A$9,0)),"(sin catálogo)"))</f>
        <v/>
      </c>
      <c r="V52" s="3">
        <f>IF($F52="","",IFERROR(INDEX('CAT_CENTROS_COSTO'!$F$4:$F$9,MATCH($F52,'CAT_CENTROS_COSTO'!$A$4:$A$9,0)),"(sin catálogo)"))</f>
        <v/>
      </c>
      <c r="W52" s="3">
        <f>IF($G52="","",IFERROR(INDEX('CAT_PUESTOS'!$B$4:$B$8,MATCH($G52,'CAT_PUESTOS'!$A$4:$A$8,0)),"(sin catálogo)"))</f>
        <v/>
      </c>
      <c r="X52" s="3">
        <f>IF($H52="","",IFERROR(INDEX('CAT_ACTIVIDADES'!$B$4:$B$8,MATCH($H52,'CAT_ACTIVIDADES'!$A$4:$A$8,0)),"(sin catálogo)"))</f>
        <v/>
      </c>
      <c r="Y52" s="12">
        <f>IF($J52="","",TODAY()-$J52)</f>
        <v/>
      </c>
      <c r="Z52" s="3">
        <f>IF($Y52="","",IF($Y52&lt;0,"FUTURO",IF($Y52&gt;p_dias_backlog_max,"BACKLOG","MES CORRIENTE")))</f>
        <v/>
      </c>
      <c r="AA52" s="3">
        <f>IF($Y52="",FALSE,AND($Y52&gt;p_dias_backlog_min,$Y52&lt;=p_dias_backlog_max))</f>
        <v/>
      </c>
      <c r="AB52" s="6" t="inlineStr">
        <is>
          <t>Técnico 05</t>
        </is>
      </c>
      <c r="AC52" s="3">
        <f>IF($AB52="","",IFERROR(INDEX('ASIGNACIONES'!$F$4:$F$339,MATCH($O52&amp;"|"&amp;$R52&amp;"|"&amp;$AB52,'ASIGNACIONES'!$I$4:$I$339,0)),""))</f>
        <v/>
      </c>
      <c r="AD52" s="13">
        <f>IF($AB52="","",SUMIFS('ORDENES'!$M$4:$M$1203,'ORDENES'!$AB$4:$AB$1203,$AB52,'ORDENES'!$O$4:$O$1203,$O52,'ORDENES'!$R$4:$R$1203,$R52))</f>
        <v/>
      </c>
      <c r="AE52" s="13">
        <f>IF($AD52="","",p_factor_productividad*IFERROR(INDEX('ASIGNACIONES'!$H$4:$H$339,MATCH($O52&amp;"|"&amp;$R52&amp;"|"&amp;$AB52,'ASIGNACIONES'!$I$4:$I$339,0)),0)-$AD52)</f>
        <v/>
      </c>
      <c r="AF52" s="10">
        <f>IF($A52="","",IFERROR(INDEX('2_IMPORTAR_EJECUCION'!$F$9:$F$1208,MATCH($AN52,'2_IMPORTAR_EJECUCION'!$J$9:$J$1208,0)),0))</f>
        <v/>
      </c>
      <c r="AG52" s="10">
        <f>IF($A52="","",MAX(0,IFERROR(INDEX('2_IMPORTAR_EJECUCION'!$H$9:$H$1208,MATCH($AN52,'2_IMPORTAR_EJECUCION'!$J$9:$J$1208,0)),0)-$AF52))</f>
        <v/>
      </c>
      <c r="AH52" s="10">
        <f>IF($A52="","",$AF52+$AG52)</f>
        <v/>
      </c>
      <c r="AI52" s="6" t="inlineStr"/>
      <c r="AJ52" s="6" t="inlineStr"/>
      <c r="AK52" s="6" t="inlineStr">
        <is>
          <t>ACT-02.pdf</t>
        </is>
      </c>
      <c r="AL52" s="3">
        <f>IF($AK52="","",HYPERLINK(p_ruta_base_checklists&amp;$AK52,"abrir"))</f>
        <v/>
      </c>
      <c r="AM52" s="6" t="inlineStr"/>
      <c r="AN52" s="3">
        <f>IF($A52="","",$A52&amp;IF($B52="","0010",$B52))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1" t="n">
        <v>46220</v>
      </c>
      <c r="K53" s="3" t="n">
        <v>8</v>
      </c>
      <c r="L53" s="10" t="n">
        <v>200</v>
      </c>
      <c r="M53" s="3">
        <f>IF($A53="","",IFERROR(INDEX('AJUSTES'!$B$4:$B$303,MATCH($AN53,'AJUSTES'!$A$4:$A$303,0)),IF($K53="","",$K53)))</f>
        <v/>
      </c>
      <c r="N53" s="3">
        <f>IF($A53="","",IFERROR(INDEX('CAT_ESTADOS_ERP'!$B$4:$B$7,MATCH(IFERROR(INDEX('2_IMPORTAR_EJECUCION'!$C$9:$C$1208,MATCH($AN53,'2_IMPORTAR_EJECUCION'!$J$9:$J$1208,0)),""),'CAT_ESTADOS_ERP'!$A$4:$A$7,0)),"Pendiente"))</f>
        <v/>
      </c>
      <c r="O53" s="3">
        <f>IF($J53="","",YEAR($J53+4-WEEKDAY($J53,2))&amp;"-S"&amp;TEXT(_xlfn.ISOWEEKNUM($J53),"00"))</f>
        <v/>
      </c>
      <c r="P53" s="3">
        <f>IF($J53="","",YEAR($J53))</f>
        <v/>
      </c>
      <c r="Q53" s="3">
        <f>IF($J53="","",MONTH($J53))</f>
        <v/>
      </c>
      <c r="R53" s="3">
        <f>IF($J53="","",INDEX(lista_dias,WEEKDAY($J53,2)))</f>
        <v/>
      </c>
      <c r="S53" s="3">
        <f>IF($I53="","",IFERROR(INDEX('CAT_TIPOS_OT'!$C$4:$C$7,MATCH($I53,'CAT_TIPOS_OT'!$A$4:$A$7,0)),"sin_clasificar"))</f>
        <v/>
      </c>
      <c r="T53" s="3">
        <f>IF($F53="","",IFERROR(INDEX('CAT_CENTROS_COSTO'!$E$4:$E$9,MATCH($F53,'CAT_CENTROS_COSTO'!$A$4:$A$9,0)),"(sin catálogo)"))</f>
        <v/>
      </c>
      <c r="U53" s="3">
        <f>IF($F53="","",IFERROR(INDEX('CAT_CENTROS_COSTO'!$D$4:$D$9,MATCH($F53,'CAT_CENTROS_COSTO'!$A$4:$A$9,0)),"(sin catálogo)"))</f>
        <v/>
      </c>
      <c r="V53" s="3">
        <f>IF($F53="","",IFERROR(INDEX('CAT_CENTROS_COSTO'!$F$4:$F$9,MATCH($F53,'CAT_CENTROS_COSTO'!$A$4:$A$9,0)),"(sin catálogo)"))</f>
        <v/>
      </c>
      <c r="W53" s="3">
        <f>IF($G53="","",IFERROR(INDEX('CAT_PUESTOS'!$B$4:$B$8,MATCH($G53,'CAT_PUESTOS'!$A$4:$A$8,0)),"(sin catálogo)"))</f>
        <v/>
      </c>
      <c r="X53" s="3">
        <f>IF($H53="","",IFERROR(INDEX('CAT_ACTIVIDADES'!$B$4:$B$8,MATCH($H53,'CAT_ACTIVIDADES'!$A$4:$A$8,0)),"(sin catálogo)"))</f>
        <v/>
      </c>
      <c r="Y53" s="12">
        <f>IF($J53="","",TODAY()-$J53)</f>
        <v/>
      </c>
      <c r="Z53" s="3">
        <f>IF($Y53="","",IF($Y53&lt;0,"FUTURO",IF($Y53&gt;p_dias_backlog_max,"BACKLOG","MES CORRIENTE")))</f>
        <v/>
      </c>
      <c r="AA53" s="3">
        <f>IF($Y53="",FALSE,AND($Y53&gt;p_dias_backlog_min,$Y53&lt;=p_dias_backlog_max))</f>
        <v/>
      </c>
      <c r="AB53" s="6" t="inlineStr">
        <is>
          <t>Técnico 06</t>
        </is>
      </c>
      <c r="AC53" s="3">
        <f>IF($AB53="","",IFERROR(INDEX('ASIGNACIONES'!$F$4:$F$339,MATCH($O53&amp;"|"&amp;$R53&amp;"|"&amp;$AB53,'ASIGNACIONES'!$I$4:$I$339,0)),""))</f>
        <v/>
      </c>
      <c r="AD53" s="13">
        <f>IF($AB53="","",SUMIFS('ORDENES'!$M$4:$M$1203,'ORDENES'!$AB$4:$AB$1203,$AB53,'ORDENES'!$O$4:$O$1203,$O53,'ORDENES'!$R$4:$R$1203,$R53))</f>
        <v/>
      </c>
      <c r="AE53" s="13">
        <f>IF($AD53="","",p_factor_productividad*IFERROR(INDEX('ASIGNACIONES'!$H$4:$H$339,MATCH($O53&amp;"|"&amp;$R53&amp;"|"&amp;$AB53,'ASIGNACIONES'!$I$4:$I$339,0)),0)-$AD53)</f>
        <v/>
      </c>
      <c r="AF53" s="10">
        <f>IF($A53="","",IFERROR(INDEX('2_IMPORTAR_EJECUCION'!$F$9:$F$1208,MATCH($AN53,'2_IMPORTAR_EJECUCION'!$J$9:$J$1208,0)),0))</f>
        <v/>
      </c>
      <c r="AG53" s="10">
        <f>IF($A53="","",MAX(0,IFERROR(INDEX('2_IMPORTAR_EJECUCION'!$H$9:$H$1208,MATCH($AN53,'2_IMPORTAR_EJECUCION'!$J$9:$J$1208,0)),0)-$AF53))</f>
        <v/>
      </c>
      <c r="AH53" s="10">
        <f>IF($A53="","",$AF53+$AG53)</f>
        <v/>
      </c>
      <c r="AI53" s="6" t="inlineStr"/>
      <c r="AJ53" s="6" t="inlineStr"/>
      <c r="AK53" s="6" t="inlineStr">
        <is>
          <t>ACT-04.pdf</t>
        </is>
      </c>
      <c r="AL53" s="3">
        <f>IF($AK53="","",HYPERLINK(p_ruta_base_checklists&amp;$AK53,"abrir"))</f>
        <v/>
      </c>
      <c r="AM53" s="6" t="inlineStr"/>
      <c r="AN53" s="3">
        <f>IF($A53="","",$A53&amp;IF($B53="","0010",$B53))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1" t="n">
        <v>46216</v>
      </c>
      <c r="K54" s="3" t="n">
        <v>6</v>
      </c>
      <c r="L54" s="10" t="n">
        <v>150</v>
      </c>
      <c r="M54" s="3">
        <f>IF($A54="","",IFERROR(INDEX('AJUSTES'!$B$4:$B$303,MATCH($AN54,'AJUSTES'!$A$4:$A$303,0)),IF($K54="","",$K54)))</f>
        <v/>
      </c>
      <c r="N54" s="3">
        <f>IF($A54="","",IFERROR(INDEX('CAT_ESTADOS_ERP'!$B$4:$B$7,MATCH(IFERROR(INDEX('2_IMPORTAR_EJECUCION'!$C$9:$C$1208,MATCH($AN54,'2_IMPORTAR_EJECUCION'!$J$9:$J$1208,0)),""),'CAT_ESTADOS_ERP'!$A$4:$A$7,0)),"Pendiente"))</f>
        <v/>
      </c>
      <c r="O54" s="3">
        <f>IF($J54="","",YEAR($J54+4-WEEKDAY($J54,2))&amp;"-S"&amp;TEXT(_xlfn.ISOWEEKNUM($J54),"00"))</f>
        <v/>
      </c>
      <c r="P54" s="3">
        <f>IF($J54="","",YEAR($J54))</f>
        <v/>
      </c>
      <c r="Q54" s="3">
        <f>IF($J54="","",MONTH($J54))</f>
        <v/>
      </c>
      <c r="R54" s="3">
        <f>IF($J54="","",INDEX(lista_dias,WEEKDAY($J54,2)))</f>
        <v/>
      </c>
      <c r="S54" s="3">
        <f>IF($I54="","",IFERROR(INDEX('CAT_TIPOS_OT'!$C$4:$C$7,MATCH($I54,'CAT_TIPOS_OT'!$A$4:$A$7,0)),"sin_clasificar"))</f>
        <v/>
      </c>
      <c r="T54" s="3">
        <f>IF($F54="","",IFERROR(INDEX('CAT_CENTROS_COSTO'!$E$4:$E$9,MATCH($F54,'CAT_CENTROS_COSTO'!$A$4:$A$9,0)),"(sin catálogo)"))</f>
        <v/>
      </c>
      <c r="U54" s="3">
        <f>IF($F54="","",IFERROR(INDEX('CAT_CENTROS_COSTO'!$D$4:$D$9,MATCH($F54,'CAT_CENTROS_COSTO'!$A$4:$A$9,0)),"(sin catálogo)"))</f>
        <v/>
      </c>
      <c r="V54" s="3">
        <f>IF($F54="","",IFERROR(INDEX('CAT_CENTROS_COSTO'!$F$4:$F$9,MATCH($F54,'CAT_CENTROS_COSTO'!$A$4:$A$9,0)),"(sin catálogo)"))</f>
        <v/>
      </c>
      <c r="W54" s="3">
        <f>IF($G54="","",IFERROR(INDEX('CAT_PUESTOS'!$B$4:$B$8,MATCH($G54,'CAT_PUESTOS'!$A$4:$A$8,0)),"(sin catálogo)"))</f>
        <v/>
      </c>
      <c r="X54" s="3">
        <f>IF($H54="","",IFERROR(INDEX('CAT_ACTIVIDADES'!$B$4:$B$8,MATCH($H54,'CAT_ACTIVIDADES'!$A$4:$A$8,0)),"(sin catálogo)"))</f>
        <v/>
      </c>
      <c r="Y54" s="12">
        <f>IF($J54="","",TODAY()-$J54)</f>
        <v/>
      </c>
      <c r="Z54" s="3">
        <f>IF($Y54="","",IF($Y54&lt;0,"FUTURO",IF($Y54&gt;p_dias_backlog_max,"BACKLOG","MES CORRIENTE")))</f>
        <v/>
      </c>
      <c r="AA54" s="3">
        <f>IF($Y54="",FALSE,AND($Y54&gt;p_dias_backlog_min,$Y54&lt;=p_dias_backlog_max))</f>
        <v/>
      </c>
      <c r="AB54" s="6" t="inlineStr">
        <is>
          <t>Técnico 07</t>
        </is>
      </c>
      <c r="AC54" s="3">
        <f>IF($AB54="","",IFERROR(INDEX('ASIGNACIONES'!$F$4:$F$339,MATCH($O54&amp;"|"&amp;$R54&amp;"|"&amp;$AB54,'ASIGNACIONES'!$I$4:$I$339,0)),""))</f>
        <v/>
      </c>
      <c r="AD54" s="13">
        <f>IF($AB54="","",SUMIFS('ORDENES'!$M$4:$M$1203,'ORDENES'!$AB$4:$AB$1203,$AB54,'ORDENES'!$O$4:$O$1203,$O54,'ORDENES'!$R$4:$R$1203,$R54))</f>
        <v/>
      </c>
      <c r="AE54" s="13">
        <f>IF($AD54="","",p_factor_productividad*IFERROR(INDEX('ASIGNACIONES'!$H$4:$H$339,MATCH($O54&amp;"|"&amp;$R54&amp;"|"&amp;$AB54,'ASIGNACIONES'!$I$4:$I$339,0)),0)-$AD54)</f>
        <v/>
      </c>
      <c r="AF54" s="10">
        <f>IF($A54="","",IFERROR(INDEX('2_IMPORTAR_EJECUCION'!$F$9:$F$1208,MATCH($AN54,'2_IMPORTAR_EJECUCION'!$J$9:$J$1208,0)),0))</f>
        <v/>
      </c>
      <c r="AG54" s="10">
        <f>IF($A54="","",MAX(0,IFERROR(INDEX('2_IMPORTAR_EJECUCION'!$H$9:$H$1208,MATCH($AN54,'2_IMPORTAR_EJECUCION'!$J$9:$J$1208,0)),0)-$AF54))</f>
        <v/>
      </c>
      <c r="AH54" s="10">
        <f>IF($A54="","",$AF54+$AG54)</f>
        <v/>
      </c>
      <c r="AI54" s="6" t="inlineStr"/>
      <c r="AJ54" s="6" t="inlineStr"/>
      <c r="AK54" s="6" t="inlineStr">
        <is>
          <t>ACT-01.pdf</t>
        </is>
      </c>
      <c r="AL54" s="3">
        <f>IF($AK54="","",HYPERLINK(p_ruta_base_checklists&amp;$AK54,"abrir"))</f>
        <v/>
      </c>
      <c r="AM54" s="6" t="inlineStr"/>
      <c r="AN54" s="3">
        <f>IF($A54="","",$A54&amp;IF($B54="","0010",$B54))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1" t="n">
        <v>46217</v>
      </c>
      <c r="K55" s="3" t="n">
        <v>10</v>
      </c>
      <c r="L55" s="10" t="n">
        <v>250</v>
      </c>
      <c r="M55" s="3">
        <f>IF($A55="","",IFERROR(INDEX('AJUSTES'!$B$4:$B$303,MATCH($AN55,'AJUSTES'!$A$4:$A$303,0)),IF($K55="","",$K55)))</f>
        <v/>
      </c>
      <c r="N55" s="3">
        <f>IF($A55="","",IFERROR(INDEX('CAT_ESTADOS_ERP'!$B$4:$B$7,MATCH(IFERROR(INDEX('2_IMPORTAR_EJECUCION'!$C$9:$C$1208,MATCH($AN55,'2_IMPORTAR_EJECUCION'!$J$9:$J$1208,0)),""),'CAT_ESTADOS_ERP'!$A$4:$A$7,0)),"Pendiente"))</f>
        <v/>
      </c>
      <c r="O55" s="3">
        <f>IF($J55="","",YEAR($J55+4-WEEKDAY($J55,2))&amp;"-S"&amp;TEXT(_xlfn.ISOWEEKNUM($J55),"00"))</f>
        <v/>
      </c>
      <c r="P55" s="3">
        <f>IF($J55="","",YEAR($J55))</f>
        <v/>
      </c>
      <c r="Q55" s="3">
        <f>IF($J55="","",MONTH($J55))</f>
        <v/>
      </c>
      <c r="R55" s="3">
        <f>IF($J55="","",INDEX(lista_dias,WEEKDAY($J55,2)))</f>
        <v/>
      </c>
      <c r="S55" s="3">
        <f>IF($I55="","",IFERROR(INDEX('CAT_TIPOS_OT'!$C$4:$C$7,MATCH($I55,'CAT_TIPOS_OT'!$A$4:$A$7,0)),"sin_clasificar"))</f>
        <v/>
      </c>
      <c r="T55" s="3">
        <f>IF($F55="","",IFERROR(INDEX('CAT_CENTROS_COSTO'!$E$4:$E$9,MATCH($F55,'CAT_CENTROS_COSTO'!$A$4:$A$9,0)),"(sin catálogo)"))</f>
        <v/>
      </c>
      <c r="U55" s="3">
        <f>IF($F55="","",IFERROR(INDEX('CAT_CENTROS_COSTO'!$D$4:$D$9,MATCH($F55,'CAT_CENTROS_COSTO'!$A$4:$A$9,0)),"(sin catálogo)"))</f>
        <v/>
      </c>
      <c r="V55" s="3">
        <f>IF($F55="","",IFERROR(INDEX('CAT_CENTROS_COSTO'!$F$4:$F$9,MATCH($F55,'CAT_CENTROS_COSTO'!$A$4:$A$9,0)),"(sin catálogo)"))</f>
        <v/>
      </c>
      <c r="W55" s="3">
        <f>IF($G55="","",IFERROR(INDEX('CAT_PUESTOS'!$B$4:$B$8,MATCH($G55,'CAT_PUESTOS'!$A$4:$A$8,0)),"(sin catálogo)"))</f>
        <v/>
      </c>
      <c r="X55" s="3">
        <f>IF($H55="","",IFERROR(INDEX('CAT_ACTIVIDADES'!$B$4:$B$8,MATCH($H55,'CAT_ACTIVIDADES'!$A$4:$A$8,0)),"(sin catálogo)"))</f>
        <v/>
      </c>
      <c r="Y55" s="12">
        <f>IF($J55="","",TODAY()-$J55)</f>
        <v/>
      </c>
      <c r="Z55" s="3">
        <f>IF($Y55="","",IF($Y55&lt;0,"FUTURO",IF($Y55&gt;p_dias_backlog_max,"BACKLOG","MES CORRIENTE")))</f>
        <v/>
      </c>
      <c r="AA55" s="3">
        <f>IF($Y55="",FALSE,AND($Y55&gt;p_dias_backlog_min,$Y55&lt;=p_dias_backlog_max))</f>
        <v/>
      </c>
      <c r="AB55" s="6" t="inlineStr">
        <is>
          <t>Técnico 05</t>
        </is>
      </c>
      <c r="AC55" s="3">
        <f>IF($AB55="","",IFERROR(INDEX('ASIGNACIONES'!$F$4:$F$339,MATCH($O55&amp;"|"&amp;$R55&amp;"|"&amp;$AB55,'ASIGNACIONES'!$I$4:$I$339,0)),""))</f>
        <v/>
      </c>
      <c r="AD55" s="13">
        <f>IF($AB55="","",SUMIFS('ORDENES'!$M$4:$M$1203,'ORDENES'!$AB$4:$AB$1203,$AB55,'ORDENES'!$O$4:$O$1203,$O55,'ORDENES'!$R$4:$R$1203,$R55))</f>
        <v/>
      </c>
      <c r="AE55" s="13">
        <f>IF($AD55="","",p_factor_productividad*IFERROR(INDEX('ASIGNACIONES'!$H$4:$H$339,MATCH($O55&amp;"|"&amp;$R55&amp;"|"&amp;$AB55,'ASIGNACIONES'!$I$4:$I$339,0)),0)-$AD55)</f>
        <v/>
      </c>
      <c r="AF55" s="10">
        <f>IF($A55="","",IFERROR(INDEX('2_IMPORTAR_EJECUCION'!$F$9:$F$1208,MATCH($AN55,'2_IMPORTAR_EJECUCION'!$J$9:$J$1208,0)),0))</f>
        <v/>
      </c>
      <c r="AG55" s="10">
        <f>IF($A55="","",MAX(0,IFERROR(INDEX('2_IMPORTAR_EJECUCION'!$H$9:$H$1208,MATCH($AN55,'2_IMPORTAR_EJECUCION'!$J$9:$J$1208,0)),0)-$AF55))</f>
        <v/>
      </c>
      <c r="AH55" s="10">
        <f>IF($A55="","",$AF55+$AG55)</f>
        <v/>
      </c>
      <c r="AI55" s="6" t="inlineStr"/>
      <c r="AJ55" s="6" t="inlineStr"/>
      <c r="AK55" s="6" t="inlineStr">
        <is>
          <t>ACT-02.pdf</t>
        </is>
      </c>
      <c r="AL55" s="3">
        <f>IF($AK55="","",HYPERLINK(p_ruta_base_checklists&amp;$AK55,"abrir"))</f>
        <v/>
      </c>
      <c r="AM55" s="6" t="inlineStr"/>
      <c r="AN55" s="3">
        <f>IF($A55="","",$A55&amp;IF($B55="","0010",$B55))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1" t="n">
        <v>46218</v>
      </c>
      <c r="K56" s="3" t="n">
        <v>8</v>
      </c>
      <c r="L56" s="10" t="n">
        <v>200</v>
      </c>
      <c r="M56" s="3">
        <f>IF($A56="","",IFERROR(INDEX('AJUSTES'!$B$4:$B$303,MATCH($AN56,'AJUSTES'!$A$4:$A$303,0)),IF($K56="","",$K56)))</f>
        <v/>
      </c>
      <c r="N56" s="3">
        <f>IF($A56="","",IFERROR(INDEX('CAT_ESTADOS_ERP'!$B$4:$B$7,MATCH(IFERROR(INDEX('2_IMPORTAR_EJECUCION'!$C$9:$C$1208,MATCH($AN56,'2_IMPORTAR_EJECUCION'!$J$9:$J$1208,0)),""),'CAT_ESTADOS_ERP'!$A$4:$A$7,0)),"Pendiente"))</f>
        <v/>
      </c>
      <c r="O56" s="3">
        <f>IF($J56="","",YEAR($J56+4-WEEKDAY($J56,2))&amp;"-S"&amp;TEXT(_xlfn.ISOWEEKNUM($J56),"00"))</f>
        <v/>
      </c>
      <c r="P56" s="3">
        <f>IF($J56="","",YEAR($J56))</f>
        <v/>
      </c>
      <c r="Q56" s="3">
        <f>IF($J56="","",MONTH($J56))</f>
        <v/>
      </c>
      <c r="R56" s="3">
        <f>IF($J56="","",INDEX(lista_dias,WEEKDAY($J56,2)))</f>
        <v/>
      </c>
      <c r="S56" s="3">
        <f>IF($I56="","",IFERROR(INDEX('CAT_TIPOS_OT'!$C$4:$C$7,MATCH($I56,'CAT_TIPOS_OT'!$A$4:$A$7,0)),"sin_clasificar"))</f>
        <v/>
      </c>
      <c r="T56" s="3">
        <f>IF($F56="","",IFERROR(INDEX('CAT_CENTROS_COSTO'!$E$4:$E$9,MATCH($F56,'CAT_CENTROS_COSTO'!$A$4:$A$9,0)),"(sin catálogo)"))</f>
        <v/>
      </c>
      <c r="U56" s="3">
        <f>IF($F56="","",IFERROR(INDEX('CAT_CENTROS_COSTO'!$D$4:$D$9,MATCH($F56,'CAT_CENTROS_COSTO'!$A$4:$A$9,0)),"(sin catálogo)"))</f>
        <v/>
      </c>
      <c r="V56" s="3">
        <f>IF($F56="","",IFERROR(INDEX('CAT_CENTROS_COSTO'!$F$4:$F$9,MATCH($F56,'CAT_CENTROS_COSTO'!$A$4:$A$9,0)),"(sin catálogo)"))</f>
        <v/>
      </c>
      <c r="W56" s="3">
        <f>IF($G56="","",IFERROR(INDEX('CAT_PUESTOS'!$B$4:$B$8,MATCH($G56,'CAT_PUESTOS'!$A$4:$A$8,0)),"(sin catálogo)"))</f>
        <v/>
      </c>
      <c r="X56" s="3">
        <f>IF($H56="","",IFERROR(INDEX('CAT_ACTIVIDADES'!$B$4:$B$8,MATCH($H56,'CAT_ACTIVIDADES'!$A$4:$A$8,0)),"(sin catálogo)"))</f>
        <v/>
      </c>
      <c r="Y56" s="12">
        <f>IF($J56="","",TODAY()-$J56)</f>
        <v/>
      </c>
      <c r="Z56" s="3">
        <f>IF($Y56="","",IF($Y56&lt;0,"FUTURO",IF($Y56&gt;p_dias_backlog_max,"BACKLOG","MES CORRIENTE")))</f>
        <v/>
      </c>
      <c r="AA56" s="3">
        <f>IF($Y56="",FALSE,AND($Y56&gt;p_dias_backlog_min,$Y56&lt;=p_dias_backlog_max))</f>
        <v/>
      </c>
      <c r="AB56" s="6" t="inlineStr">
        <is>
          <t>Técnico 06</t>
        </is>
      </c>
      <c r="AC56" s="3">
        <f>IF($AB56="","",IFERROR(INDEX('ASIGNACIONES'!$F$4:$F$339,MATCH($O56&amp;"|"&amp;$R56&amp;"|"&amp;$AB56,'ASIGNACIONES'!$I$4:$I$339,0)),""))</f>
        <v/>
      </c>
      <c r="AD56" s="13">
        <f>IF($AB56="","",SUMIFS('ORDENES'!$M$4:$M$1203,'ORDENES'!$AB$4:$AB$1203,$AB56,'ORDENES'!$O$4:$O$1203,$O56,'ORDENES'!$R$4:$R$1203,$R56))</f>
        <v/>
      </c>
      <c r="AE56" s="13">
        <f>IF($AD56="","",p_factor_productividad*IFERROR(INDEX('ASIGNACIONES'!$H$4:$H$339,MATCH($O56&amp;"|"&amp;$R56&amp;"|"&amp;$AB56,'ASIGNACIONES'!$I$4:$I$339,0)),0)-$AD56)</f>
        <v/>
      </c>
      <c r="AF56" s="10">
        <f>IF($A56="","",IFERROR(INDEX('2_IMPORTAR_EJECUCION'!$F$9:$F$1208,MATCH($AN56,'2_IMPORTAR_EJECUCION'!$J$9:$J$1208,0)),0))</f>
        <v/>
      </c>
      <c r="AG56" s="10">
        <f>IF($A56="","",MAX(0,IFERROR(INDEX('2_IMPORTAR_EJECUCION'!$H$9:$H$1208,MATCH($AN56,'2_IMPORTAR_EJECUCION'!$J$9:$J$1208,0)),0)-$AF56))</f>
        <v/>
      </c>
      <c r="AH56" s="10">
        <f>IF($A56="","",$AF56+$AG56)</f>
        <v/>
      </c>
      <c r="AI56" s="6" t="inlineStr"/>
      <c r="AJ56" s="6" t="inlineStr"/>
      <c r="AK56" s="6" t="inlineStr">
        <is>
          <t>ACT-04.pdf</t>
        </is>
      </c>
      <c r="AL56" s="3">
        <f>IF($AK56="","",HYPERLINK(p_ruta_base_checklists&amp;$AK56,"abrir"))</f>
        <v/>
      </c>
      <c r="AM56" s="6" t="inlineStr"/>
      <c r="AN56" s="3">
        <f>IF($A56="","",$A56&amp;IF($B56="","0010",$B56))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1" t="n">
        <v>46219</v>
      </c>
      <c r="K57" s="3" t="n">
        <v>6</v>
      </c>
      <c r="L57" s="10" t="n">
        <v>150</v>
      </c>
      <c r="M57" s="3">
        <f>IF($A57="","",IFERROR(INDEX('AJUSTES'!$B$4:$B$303,MATCH($AN57,'AJUSTES'!$A$4:$A$303,0)),IF($K57="","",$K57)))</f>
        <v/>
      </c>
      <c r="N57" s="3">
        <f>IF($A57="","",IFERROR(INDEX('CAT_ESTADOS_ERP'!$B$4:$B$7,MATCH(IFERROR(INDEX('2_IMPORTAR_EJECUCION'!$C$9:$C$1208,MATCH($AN57,'2_IMPORTAR_EJECUCION'!$J$9:$J$1208,0)),""),'CAT_ESTADOS_ERP'!$A$4:$A$7,0)),"Pendiente"))</f>
        <v/>
      </c>
      <c r="O57" s="3">
        <f>IF($J57="","",YEAR($J57+4-WEEKDAY($J57,2))&amp;"-S"&amp;TEXT(_xlfn.ISOWEEKNUM($J57),"00"))</f>
        <v/>
      </c>
      <c r="P57" s="3">
        <f>IF($J57="","",YEAR($J57))</f>
        <v/>
      </c>
      <c r="Q57" s="3">
        <f>IF($J57="","",MONTH($J57))</f>
        <v/>
      </c>
      <c r="R57" s="3">
        <f>IF($J57="","",INDEX(lista_dias,WEEKDAY($J57,2)))</f>
        <v/>
      </c>
      <c r="S57" s="3">
        <f>IF($I57="","",IFERROR(INDEX('CAT_TIPOS_OT'!$C$4:$C$7,MATCH($I57,'CAT_TIPOS_OT'!$A$4:$A$7,0)),"sin_clasificar"))</f>
        <v/>
      </c>
      <c r="T57" s="3">
        <f>IF($F57="","",IFERROR(INDEX('CAT_CENTROS_COSTO'!$E$4:$E$9,MATCH($F57,'CAT_CENTROS_COSTO'!$A$4:$A$9,0)),"(sin catálogo)"))</f>
        <v/>
      </c>
      <c r="U57" s="3">
        <f>IF($F57="","",IFERROR(INDEX('CAT_CENTROS_COSTO'!$D$4:$D$9,MATCH($F57,'CAT_CENTROS_COSTO'!$A$4:$A$9,0)),"(sin catálogo)"))</f>
        <v/>
      </c>
      <c r="V57" s="3">
        <f>IF($F57="","",IFERROR(INDEX('CAT_CENTROS_COSTO'!$F$4:$F$9,MATCH($F57,'CAT_CENTROS_COSTO'!$A$4:$A$9,0)),"(sin catálogo)"))</f>
        <v/>
      </c>
      <c r="W57" s="3">
        <f>IF($G57="","",IFERROR(INDEX('CAT_PUESTOS'!$B$4:$B$8,MATCH($G57,'CAT_PUESTOS'!$A$4:$A$8,0)),"(sin catálogo)"))</f>
        <v/>
      </c>
      <c r="X57" s="3">
        <f>IF($H57="","",IFERROR(INDEX('CAT_ACTIVIDADES'!$B$4:$B$8,MATCH($H57,'CAT_ACTIVIDADES'!$A$4:$A$8,0)),"(sin catálogo)"))</f>
        <v/>
      </c>
      <c r="Y57" s="12">
        <f>IF($J57="","",TODAY()-$J57)</f>
        <v/>
      </c>
      <c r="Z57" s="3">
        <f>IF($Y57="","",IF($Y57&lt;0,"FUTURO",IF($Y57&gt;p_dias_backlog_max,"BACKLOG","MES CORRIENTE")))</f>
        <v/>
      </c>
      <c r="AA57" s="3">
        <f>IF($Y57="",FALSE,AND($Y57&gt;p_dias_backlog_min,$Y57&lt;=p_dias_backlog_max))</f>
        <v/>
      </c>
      <c r="AB57" s="6" t="inlineStr">
        <is>
          <t>Técnico 07</t>
        </is>
      </c>
      <c r="AC57" s="3">
        <f>IF($AB57="","",IFERROR(INDEX('ASIGNACIONES'!$F$4:$F$339,MATCH($O57&amp;"|"&amp;$R57&amp;"|"&amp;$AB57,'ASIGNACIONES'!$I$4:$I$339,0)),""))</f>
        <v/>
      </c>
      <c r="AD57" s="13">
        <f>IF($AB57="","",SUMIFS('ORDENES'!$M$4:$M$1203,'ORDENES'!$AB$4:$AB$1203,$AB57,'ORDENES'!$O$4:$O$1203,$O57,'ORDENES'!$R$4:$R$1203,$R57))</f>
        <v/>
      </c>
      <c r="AE57" s="13">
        <f>IF($AD57="","",p_factor_productividad*IFERROR(INDEX('ASIGNACIONES'!$H$4:$H$339,MATCH($O57&amp;"|"&amp;$R57&amp;"|"&amp;$AB57,'ASIGNACIONES'!$I$4:$I$339,0)),0)-$AD57)</f>
        <v/>
      </c>
      <c r="AF57" s="10">
        <f>IF($A57="","",IFERROR(INDEX('2_IMPORTAR_EJECUCION'!$F$9:$F$1208,MATCH($AN57,'2_IMPORTAR_EJECUCION'!$J$9:$J$1208,0)),0))</f>
        <v/>
      </c>
      <c r="AG57" s="10">
        <f>IF($A57="","",MAX(0,IFERROR(INDEX('2_IMPORTAR_EJECUCION'!$H$9:$H$1208,MATCH($AN57,'2_IMPORTAR_EJECUCION'!$J$9:$J$1208,0)),0)-$AF57))</f>
        <v/>
      </c>
      <c r="AH57" s="10">
        <f>IF($A57="","",$AF57+$AG57)</f>
        <v/>
      </c>
      <c r="AI57" s="6" t="inlineStr"/>
      <c r="AJ57" s="6" t="inlineStr"/>
      <c r="AK57" s="6" t="inlineStr">
        <is>
          <t>ACT-01.pdf</t>
        </is>
      </c>
      <c r="AL57" s="3">
        <f>IF($AK57="","",HYPERLINK(p_ruta_base_checklists&amp;$AK57,"abrir"))</f>
        <v/>
      </c>
      <c r="AM57" s="6" t="inlineStr"/>
      <c r="AN57" s="3">
        <f>IF($A57="","",$A57&amp;IF($B57="","0010",$B57))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1" t="n">
        <v>46220</v>
      </c>
      <c r="K58" s="3" t="n">
        <v>10</v>
      </c>
      <c r="L58" s="10" t="n">
        <v>250</v>
      </c>
      <c r="M58" s="3">
        <f>IF($A58="","",IFERROR(INDEX('AJUSTES'!$B$4:$B$303,MATCH($AN58,'AJUSTES'!$A$4:$A$303,0)),IF($K58="","",$K58)))</f>
        <v/>
      </c>
      <c r="N58" s="3">
        <f>IF($A58="","",IFERROR(INDEX('CAT_ESTADOS_ERP'!$B$4:$B$7,MATCH(IFERROR(INDEX('2_IMPORTAR_EJECUCION'!$C$9:$C$1208,MATCH($AN58,'2_IMPORTAR_EJECUCION'!$J$9:$J$1208,0)),""),'CAT_ESTADOS_ERP'!$A$4:$A$7,0)),"Pendiente"))</f>
        <v/>
      </c>
      <c r="O58" s="3">
        <f>IF($J58="","",YEAR($J58+4-WEEKDAY($J58,2))&amp;"-S"&amp;TEXT(_xlfn.ISOWEEKNUM($J58),"00"))</f>
        <v/>
      </c>
      <c r="P58" s="3">
        <f>IF($J58="","",YEAR($J58))</f>
        <v/>
      </c>
      <c r="Q58" s="3">
        <f>IF($J58="","",MONTH($J58))</f>
        <v/>
      </c>
      <c r="R58" s="3">
        <f>IF($J58="","",INDEX(lista_dias,WEEKDAY($J58,2)))</f>
        <v/>
      </c>
      <c r="S58" s="3">
        <f>IF($I58="","",IFERROR(INDEX('CAT_TIPOS_OT'!$C$4:$C$7,MATCH($I58,'CAT_TIPOS_OT'!$A$4:$A$7,0)),"sin_clasificar"))</f>
        <v/>
      </c>
      <c r="T58" s="3">
        <f>IF($F58="","",IFERROR(INDEX('CAT_CENTROS_COSTO'!$E$4:$E$9,MATCH($F58,'CAT_CENTROS_COSTO'!$A$4:$A$9,0)),"(sin catálogo)"))</f>
        <v/>
      </c>
      <c r="U58" s="3">
        <f>IF($F58="","",IFERROR(INDEX('CAT_CENTROS_COSTO'!$D$4:$D$9,MATCH($F58,'CAT_CENTROS_COSTO'!$A$4:$A$9,0)),"(sin catálogo)"))</f>
        <v/>
      </c>
      <c r="V58" s="3">
        <f>IF($F58="","",IFERROR(INDEX('CAT_CENTROS_COSTO'!$F$4:$F$9,MATCH($F58,'CAT_CENTROS_COSTO'!$A$4:$A$9,0)),"(sin catálogo)"))</f>
        <v/>
      </c>
      <c r="W58" s="3">
        <f>IF($G58="","",IFERROR(INDEX('CAT_PUESTOS'!$B$4:$B$8,MATCH($G58,'CAT_PUESTOS'!$A$4:$A$8,0)),"(sin catálogo)"))</f>
        <v/>
      </c>
      <c r="X58" s="3">
        <f>IF($H58="","",IFERROR(INDEX('CAT_ACTIVIDADES'!$B$4:$B$8,MATCH($H58,'CAT_ACTIVIDADES'!$A$4:$A$8,0)),"(sin catálogo)"))</f>
        <v/>
      </c>
      <c r="Y58" s="12">
        <f>IF($J58="","",TODAY()-$J58)</f>
        <v/>
      </c>
      <c r="Z58" s="3">
        <f>IF($Y58="","",IF($Y58&lt;0,"FUTURO",IF($Y58&gt;p_dias_backlog_max,"BACKLOG","MES CORRIENTE")))</f>
        <v/>
      </c>
      <c r="AA58" s="3">
        <f>IF($Y58="",FALSE,AND($Y58&gt;p_dias_backlog_min,$Y58&lt;=p_dias_backlog_max))</f>
        <v/>
      </c>
      <c r="AB58" s="6" t="inlineStr">
        <is>
          <t>Técnico 05</t>
        </is>
      </c>
      <c r="AC58" s="3">
        <f>IF($AB58="","",IFERROR(INDEX('ASIGNACIONES'!$F$4:$F$339,MATCH($O58&amp;"|"&amp;$R58&amp;"|"&amp;$AB58,'ASIGNACIONES'!$I$4:$I$339,0)),""))</f>
        <v/>
      </c>
      <c r="AD58" s="13">
        <f>IF($AB58="","",SUMIFS('ORDENES'!$M$4:$M$1203,'ORDENES'!$AB$4:$AB$1203,$AB58,'ORDENES'!$O$4:$O$1203,$O58,'ORDENES'!$R$4:$R$1203,$R58))</f>
        <v/>
      </c>
      <c r="AE58" s="13">
        <f>IF($AD58="","",p_factor_productividad*IFERROR(INDEX('ASIGNACIONES'!$H$4:$H$339,MATCH($O58&amp;"|"&amp;$R58&amp;"|"&amp;$AB58,'ASIGNACIONES'!$I$4:$I$339,0)),0)-$AD58)</f>
        <v/>
      </c>
      <c r="AF58" s="10">
        <f>IF($A58="","",IFERROR(INDEX('2_IMPORTAR_EJECUCION'!$F$9:$F$1208,MATCH($AN58,'2_IMPORTAR_EJECUCION'!$J$9:$J$1208,0)),0))</f>
        <v/>
      </c>
      <c r="AG58" s="10">
        <f>IF($A58="","",MAX(0,IFERROR(INDEX('2_IMPORTAR_EJECUCION'!$H$9:$H$1208,MATCH($AN58,'2_IMPORTAR_EJECUCION'!$J$9:$J$1208,0)),0)-$AF58))</f>
        <v/>
      </c>
      <c r="AH58" s="10">
        <f>IF($A58="","",$AF58+$AG58)</f>
        <v/>
      </c>
      <c r="AI58" s="6" t="inlineStr"/>
      <c r="AJ58" s="6" t="inlineStr"/>
      <c r="AK58" s="6" t="inlineStr">
        <is>
          <t>ACT-02.pdf</t>
        </is>
      </c>
      <c r="AL58" s="3">
        <f>IF($AK58="","",HYPERLINK(p_ruta_base_checklists&amp;$AK58,"abrir"))</f>
        <v/>
      </c>
      <c r="AM58" s="6" t="inlineStr"/>
      <c r="AN58" s="3">
        <f>IF($A58="","",$A58&amp;IF($B58="","0010",$B58))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1" t="n">
        <v>46216</v>
      </c>
      <c r="K59" s="3" t="n">
        <v>2</v>
      </c>
      <c r="L59" s="10" t="n">
        <v>50</v>
      </c>
      <c r="M59" s="3">
        <f>IF($A59="","",IFERROR(INDEX('AJUSTES'!$B$4:$B$303,MATCH($AN59,'AJUSTES'!$A$4:$A$303,0)),IF($K59="","",$K59)))</f>
        <v/>
      </c>
      <c r="N59" s="3">
        <f>IF($A59="","",IFERROR(INDEX('CAT_ESTADOS_ERP'!$B$4:$B$7,MATCH(IFERROR(INDEX('2_IMPORTAR_EJECUCION'!$C$9:$C$1208,MATCH($AN59,'2_IMPORTAR_EJECUCION'!$J$9:$J$1208,0)),""),'CAT_ESTADOS_ERP'!$A$4:$A$7,0)),"Pendiente"))</f>
        <v/>
      </c>
      <c r="O59" s="3">
        <f>IF($J59="","",YEAR($J59+4-WEEKDAY($J59,2))&amp;"-S"&amp;TEXT(_xlfn.ISOWEEKNUM($J59),"00"))</f>
        <v/>
      </c>
      <c r="P59" s="3">
        <f>IF($J59="","",YEAR($J59))</f>
        <v/>
      </c>
      <c r="Q59" s="3">
        <f>IF($J59="","",MONTH($J59))</f>
        <v/>
      </c>
      <c r="R59" s="3">
        <f>IF($J59="","",INDEX(lista_dias,WEEKDAY($J59,2)))</f>
        <v/>
      </c>
      <c r="S59" s="3">
        <f>IF($I59="","",IFERROR(INDEX('CAT_TIPOS_OT'!$C$4:$C$7,MATCH($I59,'CAT_TIPOS_OT'!$A$4:$A$7,0)),"sin_clasificar"))</f>
        <v/>
      </c>
      <c r="T59" s="3">
        <f>IF($F59="","",IFERROR(INDEX('CAT_CENTROS_COSTO'!$E$4:$E$9,MATCH($F59,'CAT_CENTROS_COSTO'!$A$4:$A$9,0)),"(sin catálogo)"))</f>
        <v/>
      </c>
      <c r="U59" s="3">
        <f>IF($F59="","",IFERROR(INDEX('CAT_CENTROS_COSTO'!$D$4:$D$9,MATCH($F59,'CAT_CENTROS_COSTO'!$A$4:$A$9,0)),"(sin catálogo)"))</f>
        <v/>
      </c>
      <c r="V59" s="3">
        <f>IF($F59="","",IFERROR(INDEX('CAT_CENTROS_COSTO'!$F$4:$F$9,MATCH($F59,'CAT_CENTROS_COSTO'!$A$4:$A$9,0)),"(sin catálogo)"))</f>
        <v/>
      </c>
      <c r="W59" s="3">
        <f>IF($G59="","",IFERROR(INDEX('CAT_PUESTOS'!$B$4:$B$8,MATCH($G59,'CAT_PUESTOS'!$A$4:$A$8,0)),"(sin catálogo)"))</f>
        <v/>
      </c>
      <c r="X59" s="3">
        <f>IF($H59="","",IFERROR(INDEX('CAT_ACTIVIDADES'!$B$4:$B$8,MATCH($H59,'CAT_ACTIVIDADES'!$A$4:$A$8,0)),"(sin catálogo)"))</f>
        <v/>
      </c>
      <c r="Y59" s="12">
        <f>IF($J59="","",TODAY()-$J59)</f>
        <v/>
      </c>
      <c r="Z59" s="3">
        <f>IF($Y59="","",IF($Y59&lt;0,"FUTURO",IF($Y59&gt;p_dias_backlog_max,"BACKLOG","MES CORRIENTE")))</f>
        <v/>
      </c>
      <c r="AA59" s="3">
        <f>IF($Y59="",FALSE,AND($Y59&gt;p_dias_backlog_min,$Y59&lt;=p_dias_backlog_max))</f>
        <v/>
      </c>
      <c r="AB59" s="6" t="inlineStr">
        <is>
          <t>Técnico 06</t>
        </is>
      </c>
      <c r="AC59" s="3">
        <f>IF($AB59="","",IFERROR(INDEX('ASIGNACIONES'!$F$4:$F$339,MATCH($O59&amp;"|"&amp;$R59&amp;"|"&amp;$AB59,'ASIGNACIONES'!$I$4:$I$339,0)),""))</f>
        <v/>
      </c>
      <c r="AD59" s="13">
        <f>IF($AB59="","",SUMIFS('ORDENES'!$M$4:$M$1203,'ORDENES'!$AB$4:$AB$1203,$AB59,'ORDENES'!$O$4:$O$1203,$O59,'ORDENES'!$R$4:$R$1203,$R59))</f>
        <v/>
      </c>
      <c r="AE59" s="13">
        <f>IF($AD59="","",p_factor_productividad*IFERROR(INDEX('ASIGNACIONES'!$H$4:$H$339,MATCH($O59&amp;"|"&amp;$R59&amp;"|"&amp;$AB59,'ASIGNACIONES'!$I$4:$I$339,0)),0)-$AD59)</f>
        <v/>
      </c>
      <c r="AF59" s="10">
        <f>IF($A59="","",IFERROR(INDEX('2_IMPORTAR_EJECUCION'!$F$9:$F$1208,MATCH($AN59,'2_IMPORTAR_EJECUCION'!$J$9:$J$1208,0)),0))</f>
        <v/>
      </c>
      <c r="AG59" s="10">
        <f>IF($A59="","",MAX(0,IFERROR(INDEX('2_IMPORTAR_EJECUCION'!$H$9:$H$1208,MATCH($AN59,'2_IMPORTAR_EJECUCION'!$J$9:$J$1208,0)),0)-$AF59))</f>
        <v/>
      </c>
      <c r="AH59" s="10">
        <f>IF($A59="","",$AF59+$AG59)</f>
        <v/>
      </c>
      <c r="AI59" s="6" t="inlineStr"/>
      <c r="AJ59" s="6" t="inlineStr"/>
      <c r="AK59" s="6" t="inlineStr">
        <is>
          <t>ACT-04.pdf</t>
        </is>
      </c>
      <c r="AL59" s="3">
        <f>IF($AK59="","",HYPERLINK(p_ruta_base_checklists&amp;$AK59,"abrir"))</f>
        <v/>
      </c>
      <c r="AM59" s="6" t="inlineStr"/>
      <c r="AN59" s="3">
        <f>IF($A59="","",$A59&amp;IF($B59="","0010",$B59))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1" t="n">
        <v>46217</v>
      </c>
      <c r="K60" s="3" t="n">
        <v>10</v>
      </c>
      <c r="L60" s="10" t="n">
        <v>400</v>
      </c>
      <c r="M60" s="3">
        <f>IF($A60="","",IFERROR(INDEX('AJUSTES'!$B$4:$B$303,MATCH($AN60,'AJUSTES'!$A$4:$A$303,0)),IF($K60="","",$K60)))</f>
        <v/>
      </c>
      <c r="N60" s="3">
        <f>IF($A60="","",IFERROR(INDEX('CAT_ESTADOS_ERP'!$B$4:$B$7,MATCH(IFERROR(INDEX('2_IMPORTAR_EJECUCION'!$C$9:$C$1208,MATCH($AN60,'2_IMPORTAR_EJECUCION'!$J$9:$J$1208,0)),""),'CAT_ESTADOS_ERP'!$A$4:$A$7,0)),"Pendiente"))</f>
        <v/>
      </c>
      <c r="O60" s="3">
        <f>IF($J60="","",YEAR($J60+4-WEEKDAY($J60,2))&amp;"-S"&amp;TEXT(_xlfn.ISOWEEKNUM($J60),"00"))</f>
        <v/>
      </c>
      <c r="P60" s="3">
        <f>IF($J60="","",YEAR($J60))</f>
        <v/>
      </c>
      <c r="Q60" s="3">
        <f>IF($J60="","",MONTH($J60))</f>
        <v/>
      </c>
      <c r="R60" s="3">
        <f>IF($J60="","",INDEX(lista_dias,WEEKDAY($J60,2)))</f>
        <v/>
      </c>
      <c r="S60" s="3">
        <f>IF($I60="","",IFERROR(INDEX('CAT_TIPOS_OT'!$C$4:$C$7,MATCH($I60,'CAT_TIPOS_OT'!$A$4:$A$7,0)),"sin_clasificar"))</f>
        <v/>
      </c>
      <c r="T60" s="3">
        <f>IF($F60="","",IFERROR(INDEX('CAT_CENTROS_COSTO'!$E$4:$E$9,MATCH($F60,'CAT_CENTROS_COSTO'!$A$4:$A$9,0)),"(sin catálogo)"))</f>
        <v/>
      </c>
      <c r="U60" s="3">
        <f>IF($F60="","",IFERROR(INDEX('CAT_CENTROS_COSTO'!$D$4:$D$9,MATCH($F60,'CAT_CENTROS_COSTO'!$A$4:$A$9,0)),"(sin catálogo)"))</f>
        <v/>
      </c>
      <c r="V60" s="3">
        <f>IF($F60="","",IFERROR(INDEX('CAT_CENTROS_COSTO'!$F$4:$F$9,MATCH($F60,'CAT_CENTROS_COSTO'!$A$4:$A$9,0)),"(sin catálogo)"))</f>
        <v/>
      </c>
      <c r="W60" s="3">
        <f>IF($G60="","",IFERROR(INDEX('CAT_PUESTOS'!$B$4:$B$8,MATCH($G60,'CAT_PUESTOS'!$A$4:$A$8,0)),"(sin catálogo)"))</f>
        <v/>
      </c>
      <c r="X60" s="3">
        <f>IF($H60="","",IFERROR(INDEX('CAT_ACTIVIDADES'!$B$4:$B$8,MATCH($H60,'CAT_ACTIVIDADES'!$A$4:$A$8,0)),"(sin catálogo)"))</f>
        <v/>
      </c>
      <c r="Y60" s="12">
        <f>IF($J60="","",TODAY()-$J60)</f>
        <v/>
      </c>
      <c r="Z60" s="3">
        <f>IF($Y60="","",IF($Y60&lt;0,"FUTURO",IF($Y60&gt;p_dias_backlog_max,"BACKLOG","MES CORRIENTE")))</f>
        <v/>
      </c>
      <c r="AA60" s="3">
        <f>IF($Y60="",FALSE,AND($Y60&gt;p_dias_backlog_min,$Y60&lt;=p_dias_backlog_max))</f>
        <v/>
      </c>
      <c r="AB60" s="6" t="inlineStr">
        <is>
          <t>Técnico 07</t>
        </is>
      </c>
      <c r="AC60" s="3">
        <f>IF($AB60="","",IFERROR(INDEX('ASIGNACIONES'!$F$4:$F$339,MATCH($O60&amp;"|"&amp;$R60&amp;"|"&amp;$AB60,'ASIGNACIONES'!$I$4:$I$339,0)),""))</f>
        <v/>
      </c>
      <c r="AD60" s="13">
        <f>IF($AB60="","",SUMIFS('ORDENES'!$M$4:$M$1203,'ORDENES'!$AB$4:$AB$1203,$AB60,'ORDENES'!$O$4:$O$1203,$O60,'ORDENES'!$R$4:$R$1203,$R60))</f>
        <v/>
      </c>
      <c r="AE60" s="13">
        <f>IF($AD60="","",p_factor_productividad*IFERROR(INDEX('ASIGNACIONES'!$H$4:$H$339,MATCH($O60&amp;"|"&amp;$R60&amp;"|"&amp;$AB60,'ASIGNACIONES'!$I$4:$I$339,0)),0)-$AD60)</f>
        <v/>
      </c>
      <c r="AF60" s="10">
        <f>IF($A60="","",IFERROR(INDEX('2_IMPORTAR_EJECUCION'!$F$9:$F$1208,MATCH($AN60,'2_IMPORTAR_EJECUCION'!$J$9:$J$1208,0)),0))</f>
        <v/>
      </c>
      <c r="AG60" s="10">
        <f>IF($A60="","",MAX(0,IFERROR(INDEX('2_IMPORTAR_EJECUCION'!$H$9:$H$1208,MATCH($AN60,'2_IMPORTAR_EJECUCION'!$J$9:$J$1208,0)),0)-$AF60))</f>
        <v/>
      </c>
      <c r="AH60" s="10">
        <f>IF($A60="","",$AF60+$AG60)</f>
        <v/>
      </c>
      <c r="AI60" s="6" t="inlineStr"/>
      <c r="AJ60" s="6" t="inlineStr"/>
      <c r="AK60" s="6" t="inlineStr"/>
      <c r="AL60" s="3">
        <f>IF($AK60="","",HYPERLINK(p_ruta_base_checklists&amp;$AK60,"abrir"))</f>
        <v/>
      </c>
      <c r="AM60" s="6" t="inlineStr"/>
      <c r="AN60" s="3">
        <f>IF($A60="","",$A60&amp;IF($B60="","0010",$B60))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1" t="n">
        <v>46218</v>
      </c>
      <c r="K61" s="3" t="n">
        <v>5</v>
      </c>
      <c r="L61" s="10" t="n">
        <v>200</v>
      </c>
      <c r="M61" s="3">
        <f>IF($A61="","",IFERROR(INDEX('AJUSTES'!$B$4:$B$303,MATCH($AN61,'AJUSTES'!$A$4:$A$303,0)),IF($K61="","",$K61)))</f>
        <v/>
      </c>
      <c r="N61" s="3">
        <f>IF($A61="","",IFERROR(INDEX('CAT_ESTADOS_ERP'!$B$4:$B$7,MATCH(IFERROR(INDEX('2_IMPORTAR_EJECUCION'!$C$9:$C$1208,MATCH($AN61,'2_IMPORTAR_EJECUCION'!$J$9:$J$1208,0)),""),'CAT_ESTADOS_ERP'!$A$4:$A$7,0)),"Pendiente"))</f>
        <v/>
      </c>
      <c r="O61" s="3">
        <f>IF($J61="","",YEAR($J61+4-WEEKDAY($J61,2))&amp;"-S"&amp;TEXT(_xlfn.ISOWEEKNUM($J61),"00"))</f>
        <v/>
      </c>
      <c r="P61" s="3">
        <f>IF($J61="","",YEAR($J61))</f>
        <v/>
      </c>
      <c r="Q61" s="3">
        <f>IF($J61="","",MONTH($J61))</f>
        <v/>
      </c>
      <c r="R61" s="3">
        <f>IF($J61="","",INDEX(lista_dias,WEEKDAY($J61,2)))</f>
        <v/>
      </c>
      <c r="S61" s="3">
        <f>IF($I61="","",IFERROR(INDEX('CAT_TIPOS_OT'!$C$4:$C$7,MATCH($I61,'CAT_TIPOS_OT'!$A$4:$A$7,0)),"sin_clasificar"))</f>
        <v/>
      </c>
      <c r="T61" s="3">
        <f>IF($F61="","",IFERROR(INDEX('CAT_CENTROS_COSTO'!$E$4:$E$9,MATCH($F61,'CAT_CENTROS_COSTO'!$A$4:$A$9,0)),"(sin catálogo)"))</f>
        <v/>
      </c>
      <c r="U61" s="3">
        <f>IF($F61="","",IFERROR(INDEX('CAT_CENTROS_COSTO'!$D$4:$D$9,MATCH($F61,'CAT_CENTROS_COSTO'!$A$4:$A$9,0)),"(sin catálogo)"))</f>
        <v/>
      </c>
      <c r="V61" s="3">
        <f>IF($F61="","",IFERROR(INDEX('CAT_CENTROS_COSTO'!$F$4:$F$9,MATCH($F61,'CAT_CENTROS_COSTO'!$A$4:$A$9,0)),"(sin catálogo)"))</f>
        <v/>
      </c>
      <c r="W61" s="3">
        <f>IF($G61="","",IFERROR(INDEX('CAT_PUESTOS'!$B$4:$B$8,MATCH($G61,'CAT_PUESTOS'!$A$4:$A$8,0)),"(sin catálogo)"))</f>
        <v/>
      </c>
      <c r="X61" s="3">
        <f>IF($H61="","",IFERROR(INDEX('CAT_ACTIVIDADES'!$B$4:$B$8,MATCH($H61,'CAT_ACTIVIDADES'!$A$4:$A$8,0)),"(sin catálogo)"))</f>
        <v/>
      </c>
      <c r="Y61" s="12">
        <f>IF($J61="","",TODAY()-$J61)</f>
        <v/>
      </c>
      <c r="Z61" s="3">
        <f>IF($Y61="","",IF($Y61&lt;0,"FUTURO",IF($Y61&gt;p_dias_backlog_max,"BACKLOG","MES CORRIENTE")))</f>
        <v/>
      </c>
      <c r="AA61" s="3">
        <f>IF($Y61="",FALSE,AND($Y61&gt;p_dias_backlog_min,$Y61&lt;=p_dias_backlog_max))</f>
        <v/>
      </c>
      <c r="AB61" s="6" t="inlineStr">
        <is>
          <t>Técnico 05</t>
        </is>
      </c>
      <c r="AC61" s="3">
        <f>IF($AB61="","",IFERROR(INDEX('ASIGNACIONES'!$F$4:$F$339,MATCH($O61&amp;"|"&amp;$R61&amp;"|"&amp;$AB61,'ASIGNACIONES'!$I$4:$I$339,0)),""))</f>
        <v/>
      </c>
      <c r="AD61" s="13">
        <f>IF($AB61="","",SUMIFS('ORDENES'!$M$4:$M$1203,'ORDENES'!$AB$4:$AB$1203,$AB61,'ORDENES'!$O$4:$O$1203,$O61,'ORDENES'!$R$4:$R$1203,$R61))</f>
        <v/>
      </c>
      <c r="AE61" s="13">
        <f>IF($AD61="","",p_factor_productividad*IFERROR(INDEX('ASIGNACIONES'!$H$4:$H$339,MATCH($O61&amp;"|"&amp;$R61&amp;"|"&amp;$AB61,'ASIGNACIONES'!$I$4:$I$339,0)),0)-$AD61)</f>
        <v/>
      </c>
      <c r="AF61" s="10">
        <f>IF($A61="","",IFERROR(INDEX('2_IMPORTAR_EJECUCION'!$F$9:$F$1208,MATCH($AN61,'2_IMPORTAR_EJECUCION'!$J$9:$J$1208,0)),0))</f>
        <v/>
      </c>
      <c r="AG61" s="10">
        <f>IF($A61="","",MAX(0,IFERROR(INDEX('2_IMPORTAR_EJECUCION'!$H$9:$H$1208,MATCH($AN61,'2_IMPORTAR_EJECUCION'!$J$9:$J$1208,0)),0)-$AF61))</f>
        <v/>
      </c>
      <c r="AH61" s="10">
        <f>IF($A61="","",$AF61+$AG61)</f>
        <v/>
      </c>
      <c r="AI61" s="6" t="inlineStr"/>
      <c r="AJ61" s="6" t="inlineStr"/>
      <c r="AK61" s="6" t="inlineStr"/>
      <c r="AL61" s="3">
        <f>IF($AK61="","",HYPERLINK(p_ruta_base_checklists&amp;$AK61,"abrir"))</f>
        <v/>
      </c>
      <c r="AM61" s="6" t="inlineStr"/>
      <c r="AN61" s="3">
        <f>IF($A61="","",$A61&amp;IF($B61="","0010",$B61))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1" t="n">
        <v>46226</v>
      </c>
      <c r="K62" s="3" t="n">
        <v>10</v>
      </c>
      <c r="L62" s="10" t="n">
        <v>250</v>
      </c>
      <c r="M62" s="3">
        <f>IF($A62="","",IFERROR(INDEX('AJUSTES'!$B$4:$B$303,MATCH($AN62,'AJUSTES'!$A$4:$A$303,0)),IF($K62="","",$K62)))</f>
        <v/>
      </c>
      <c r="N62" s="3">
        <f>IF($A62="","",IFERROR(INDEX('CAT_ESTADOS_ERP'!$B$4:$B$7,MATCH(IFERROR(INDEX('2_IMPORTAR_EJECUCION'!$C$9:$C$1208,MATCH($AN62,'2_IMPORTAR_EJECUCION'!$J$9:$J$1208,0)),""),'CAT_ESTADOS_ERP'!$A$4:$A$7,0)),"Pendiente"))</f>
        <v/>
      </c>
      <c r="O62" s="3">
        <f>IF($J62="","",YEAR($J62+4-WEEKDAY($J62,2))&amp;"-S"&amp;TEXT(_xlfn.ISOWEEKNUM($J62),"00"))</f>
        <v/>
      </c>
      <c r="P62" s="3">
        <f>IF($J62="","",YEAR($J62))</f>
        <v/>
      </c>
      <c r="Q62" s="3">
        <f>IF($J62="","",MONTH($J62))</f>
        <v/>
      </c>
      <c r="R62" s="3">
        <f>IF($J62="","",INDEX(lista_dias,WEEKDAY($J62,2)))</f>
        <v/>
      </c>
      <c r="S62" s="3">
        <f>IF($I62="","",IFERROR(INDEX('CAT_TIPOS_OT'!$C$4:$C$7,MATCH($I62,'CAT_TIPOS_OT'!$A$4:$A$7,0)),"sin_clasificar"))</f>
        <v/>
      </c>
      <c r="T62" s="3">
        <f>IF($F62="","",IFERROR(INDEX('CAT_CENTROS_COSTO'!$E$4:$E$9,MATCH($F62,'CAT_CENTROS_COSTO'!$A$4:$A$9,0)),"(sin catálogo)"))</f>
        <v/>
      </c>
      <c r="U62" s="3">
        <f>IF($F62="","",IFERROR(INDEX('CAT_CENTROS_COSTO'!$D$4:$D$9,MATCH($F62,'CAT_CENTROS_COSTO'!$A$4:$A$9,0)),"(sin catálogo)"))</f>
        <v/>
      </c>
      <c r="V62" s="3">
        <f>IF($F62="","",IFERROR(INDEX('CAT_CENTROS_COSTO'!$F$4:$F$9,MATCH($F62,'CAT_CENTROS_COSTO'!$A$4:$A$9,0)),"(sin catálogo)"))</f>
        <v/>
      </c>
      <c r="W62" s="3">
        <f>IF($G62="","",IFERROR(INDEX('CAT_PUESTOS'!$B$4:$B$8,MATCH($G62,'CAT_PUESTOS'!$A$4:$A$8,0)),"(sin catálogo)"))</f>
        <v/>
      </c>
      <c r="X62" s="3">
        <f>IF($H62="","",IFERROR(INDEX('CAT_ACTIVIDADES'!$B$4:$B$8,MATCH($H62,'CAT_ACTIVIDADES'!$A$4:$A$8,0)),"(sin catálogo)"))</f>
        <v/>
      </c>
      <c r="Y62" s="12">
        <f>IF($J62="","",TODAY()-$J62)</f>
        <v/>
      </c>
      <c r="Z62" s="3">
        <f>IF($Y62="","",IF($Y62&lt;0,"FUTURO",IF($Y62&gt;p_dias_backlog_max,"BACKLOG","MES CORRIENTE")))</f>
        <v/>
      </c>
      <c r="AA62" s="3">
        <f>IF($Y62="",FALSE,AND($Y62&gt;p_dias_backlog_min,$Y62&lt;=p_dias_backlog_max))</f>
        <v/>
      </c>
      <c r="AB62" s="6" t="inlineStr">
        <is>
          <t>Técnico 06</t>
        </is>
      </c>
      <c r="AC62" s="3">
        <f>IF($AB62="","",IFERROR(INDEX('ASIGNACIONES'!$F$4:$F$339,MATCH($O62&amp;"|"&amp;$R62&amp;"|"&amp;$AB62,'ASIGNACIONES'!$I$4:$I$339,0)),""))</f>
        <v/>
      </c>
      <c r="AD62" s="13">
        <f>IF($AB62="","",SUMIFS('ORDENES'!$M$4:$M$1203,'ORDENES'!$AB$4:$AB$1203,$AB62,'ORDENES'!$O$4:$O$1203,$O62,'ORDENES'!$R$4:$R$1203,$R62))</f>
        <v/>
      </c>
      <c r="AE62" s="13">
        <f>IF($AD62="","",p_factor_productividad*IFERROR(INDEX('ASIGNACIONES'!$H$4:$H$339,MATCH($O62&amp;"|"&amp;$R62&amp;"|"&amp;$AB62,'ASIGNACIONES'!$I$4:$I$339,0)),0)-$AD62)</f>
        <v/>
      </c>
      <c r="AF62" s="10">
        <f>IF($A62="","",IFERROR(INDEX('2_IMPORTAR_EJECUCION'!$F$9:$F$1208,MATCH($AN62,'2_IMPORTAR_EJECUCION'!$J$9:$J$1208,0)),0))</f>
        <v/>
      </c>
      <c r="AG62" s="10">
        <f>IF($A62="","",MAX(0,IFERROR(INDEX('2_IMPORTAR_EJECUCION'!$H$9:$H$1208,MATCH($AN62,'2_IMPORTAR_EJECUCION'!$J$9:$J$1208,0)),0)-$AF62))</f>
        <v/>
      </c>
      <c r="AH62" s="10">
        <f>IF($A62="","",$AF62+$AG62)</f>
        <v/>
      </c>
      <c r="AI62" s="6" t="inlineStr"/>
      <c r="AJ62" s="6" t="inlineStr"/>
      <c r="AK62" s="6" t="inlineStr">
        <is>
          <t>ACT-04.pdf</t>
        </is>
      </c>
      <c r="AL62" s="3">
        <f>IF($AK62="","",HYPERLINK(p_ruta_base_checklists&amp;$AK62,"abrir"))</f>
        <v/>
      </c>
      <c r="AM62" s="6" t="inlineStr"/>
      <c r="AN62" s="3">
        <f>IF($A62="","",$A62&amp;IF($B62="","0010",$B62))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1" t="n">
        <v>46226</v>
      </c>
      <c r="K63" s="3" t="n">
        <v>8</v>
      </c>
      <c r="L63" s="10" t="n">
        <v>200</v>
      </c>
      <c r="M63" s="3">
        <f>IF($A63="","",IFERROR(INDEX('AJUSTES'!$B$4:$B$303,MATCH($AN63,'AJUSTES'!$A$4:$A$303,0)),IF($K63="","",$K63)))</f>
        <v/>
      </c>
      <c r="N63" s="3">
        <f>IF($A63="","",IFERROR(INDEX('CAT_ESTADOS_ERP'!$B$4:$B$7,MATCH(IFERROR(INDEX('2_IMPORTAR_EJECUCION'!$C$9:$C$1208,MATCH($AN63,'2_IMPORTAR_EJECUCION'!$J$9:$J$1208,0)),""),'CAT_ESTADOS_ERP'!$A$4:$A$7,0)),"Pendiente"))</f>
        <v/>
      </c>
      <c r="O63" s="3">
        <f>IF($J63="","",YEAR($J63+4-WEEKDAY($J63,2))&amp;"-S"&amp;TEXT(_xlfn.ISOWEEKNUM($J63),"00"))</f>
        <v/>
      </c>
      <c r="P63" s="3">
        <f>IF($J63="","",YEAR($J63))</f>
        <v/>
      </c>
      <c r="Q63" s="3">
        <f>IF($J63="","",MONTH($J63))</f>
        <v/>
      </c>
      <c r="R63" s="3">
        <f>IF($J63="","",INDEX(lista_dias,WEEKDAY($J63,2)))</f>
        <v/>
      </c>
      <c r="S63" s="3">
        <f>IF($I63="","",IFERROR(INDEX('CAT_TIPOS_OT'!$C$4:$C$7,MATCH($I63,'CAT_TIPOS_OT'!$A$4:$A$7,0)),"sin_clasificar"))</f>
        <v/>
      </c>
      <c r="T63" s="3">
        <f>IF($F63="","",IFERROR(INDEX('CAT_CENTROS_COSTO'!$E$4:$E$9,MATCH($F63,'CAT_CENTROS_COSTO'!$A$4:$A$9,0)),"(sin catálogo)"))</f>
        <v/>
      </c>
      <c r="U63" s="3">
        <f>IF($F63="","",IFERROR(INDEX('CAT_CENTROS_COSTO'!$D$4:$D$9,MATCH($F63,'CAT_CENTROS_COSTO'!$A$4:$A$9,0)),"(sin catálogo)"))</f>
        <v/>
      </c>
      <c r="V63" s="3">
        <f>IF($F63="","",IFERROR(INDEX('CAT_CENTROS_COSTO'!$F$4:$F$9,MATCH($F63,'CAT_CENTROS_COSTO'!$A$4:$A$9,0)),"(sin catálogo)"))</f>
        <v/>
      </c>
      <c r="W63" s="3">
        <f>IF($G63="","",IFERROR(INDEX('CAT_PUESTOS'!$B$4:$B$8,MATCH($G63,'CAT_PUESTOS'!$A$4:$A$8,0)),"(sin catálogo)"))</f>
        <v/>
      </c>
      <c r="X63" s="3">
        <f>IF($H63="","",IFERROR(INDEX('CAT_ACTIVIDADES'!$B$4:$B$8,MATCH($H63,'CAT_ACTIVIDADES'!$A$4:$A$8,0)),"(sin catálogo)"))</f>
        <v/>
      </c>
      <c r="Y63" s="12">
        <f>IF($J63="","",TODAY()-$J63)</f>
        <v/>
      </c>
      <c r="Z63" s="3">
        <f>IF($Y63="","",IF($Y63&lt;0,"FUTURO",IF($Y63&gt;p_dias_backlog_max,"BACKLOG","MES CORRIENTE")))</f>
        <v/>
      </c>
      <c r="AA63" s="3">
        <f>IF($Y63="",FALSE,AND($Y63&gt;p_dias_backlog_min,$Y63&lt;=p_dias_backlog_max))</f>
        <v/>
      </c>
      <c r="AB63" s="6" t="inlineStr"/>
      <c r="AC63" s="3">
        <f>IF($AB63="","",IFERROR(INDEX('ASIGNACIONES'!$F$4:$F$339,MATCH($O63&amp;"|"&amp;$R63&amp;"|"&amp;$AB63,'ASIGNACIONES'!$I$4:$I$339,0)),""))</f>
        <v/>
      </c>
      <c r="AD63" s="13">
        <f>IF($AB63="","",SUMIFS('ORDENES'!$M$4:$M$1203,'ORDENES'!$AB$4:$AB$1203,$AB63,'ORDENES'!$O$4:$O$1203,$O63,'ORDENES'!$R$4:$R$1203,$R63))</f>
        <v/>
      </c>
      <c r="AE63" s="13">
        <f>IF($AD63="","",p_factor_productividad*IFERROR(INDEX('ASIGNACIONES'!$H$4:$H$339,MATCH($O63&amp;"|"&amp;$R63&amp;"|"&amp;$AB63,'ASIGNACIONES'!$I$4:$I$339,0)),0)-$AD63)</f>
        <v/>
      </c>
      <c r="AF63" s="10">
        <f>IF($A63="","",IFERROR(INDEX('2_IMPORTAR_EJECUCION'!$F$9:$F$1208,MATCH($AN63,'2_IMPORTAR_EJECUCION'!$J$9:$J$1208,0)),0))</f>
        <v/>
      </c>
      <c r="AG63" s="10">
        <f>IF($A63="","",MAX(0,IFERROR(INDEX('2_IMPORTAR_EJECUCION'!$H$9:$H$1208,MATCH($AN63,'2_IMPORTAR_EJECUCION'!$J$9:$J$1208,0)),0)-$AF63))</f>
        <v/>
      </c>
      <c r="AH63" s="10">
        <f>IF($A63="","",$AF63+$AG63)</f>
        <v/>
      </c>
      <c r="AI63" s="6" t="inlineStr"/>
      <c r="AJ63" s="6" t="inlineStr"/>
      <c r="AK63" s="6" t="inlineStr">
        <is>
          <t>ACT-01.pdf</t>
        </is>
      </c>
      <c r="AL63" s="3">
        <f>IF($AK63="","",HYPERLINK(p_ruta_base_checklists&amp;$AK63,"abrir"))</f>
        <v/>
      </c>
      <c r="AM63" s="6" t="inlineStr"/>
      <c r="AN63" s="3">
        <f>IF($A63="","",$A63&amp;IF($B63="","0010",$B63))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1" t="n">
        <v>46223</v>
      </c>
      <c r="K64" s="3" t="n">
        <v>6</v>
      </c>
      <c r="L64" s="10" t="n">
        <v>150</v>
      </c>
      <c r="M64" s="3">
        <f>IF($A64="","",IFERROR(INDEX('AJUSTES'!$B$4:$B$303,MATCH($AN64,'AJUSTES'!$A$4:$A$303,0)),IF($K64="","",$K64)))</f>
        <v/>
      </c>
      <c r="N64" s="3">
        <f>IF($A64="","",IFERROR(INDEX('CAT_ESTADOS_ERP'!$B$4:$B$7,MATCH(IFERROR(INDEX('2_IMPORTAR_EJECUCION'!$C$9:$C$1208,MATCH($AN64,'2_IMPORTAR_EJECUCION'!$J$9:$J$1208,0)),""),'CAT_ESTADOS_ERP'!$A$4:$A$7,0)),"Pendiente"))</f>
        <v/>
      </c>
      <c r="O64" s="3">
        <f>IF($J64="","",YEAR($J64+4-WEEKDAY($J64,2))&amp;"-S"&amp;TEXT(_xlfn.ISOWEEKNUM($J64),"00"))</f>
        <v/>
      </c>
      <c r="P64" s="3">
        <f>IF($J64="","",YEAR($J64))</f>
        <v/>
      </c>
      <c r="Q64" s="3">
        <f>IF($J64="","",MONTH($J64))</f>
        <v/>
      </c>
      <c r="R64" s="3">
        <f>IF($J64="","",INDEX(lista_dias,WEEKDAY($J64,2)))</f>
        <v/>
      </c>
      <c r="S64" s="3">
        <f>IF($I64="","",IFERROR(INDEX('CAT_TIPOS_OT'!$C$4:$C$7,MATCH($I64,'CAT_TIPOS_OT'!$A$4:$A$7,0)),"sin_clasificar"))</f>
        <v/>
      </c>
      <c r="T64" s="3">
        <f>IF($F64="","",IFERROR(INDEX('CAT_CENTROS_COSTO'!$E$4:$E$9,MATCH($F64,'CAT_CENTROS_COSTO'!$A$4:$A$9,0)),"(sin catálogo)"))</f>
        <v/>
      </c>
      <c r="U64" s="3">
        <f>IF($F64="","",IFERROR(INDEX('CAT_CENTROS_COSTO'!$D$4:$D$9,MATCH($F64,'CAT_CENTROS_COSTO'!$A$4:$A$9,0)),"(sin catálogo)"))</f>
        <v/>
      </c>
      <c r="V64" s="3">
        <f>IF($F64="","",IFERROR(INDEX('CAT_CENTROS_COSTO'!$F$4:$F$9,MATCH($F64,'CAT_CENTROS_COSTO'!$A$4:$A$9,0)),"(sin catálogo)"))</f>
        <v/>
      </c>
      <c r="W64" s="3">
        <f>IF($G64="","",IFERROR(INDEX('CAT_PUESTOS'!$B$4:$B$8,MATCH($G64,'CAT_PUESTOS'!$A$4:$A$8,0)),"(sin catálogo)"))</f>
        <v/>
      </c>
      <c r="X64" s="3">
        <f>IF($H64="","",IFERROR(INDEX('CAT_ACTIVIDADES'!$B$4:$B$8,MATCH($H64,'CAT_ACTIVIDADES'!$A$4:$A$8,0)),"(sin catálogo)"))</f>
        <v/>
      </c>
      <c r="Y64" s="12">
        <f>IF($J64="","",TODAY()-$J64)</f>
        <v/>
      </c>
      <c r="Z64" s="3">
        <f>IF($Y64="","",IF($Y64&lt;0,"FUTURO",IF($Y64&gt;p_dias_backlog_max,"BACKLOG","MES CORRIENTE")))</f>
        <v/>
      </c>
      <c r="AA64" s="3">
        <f>IF($Y64="",FALSE,AND($Y64&gt;p_dias_backlog_min,$Y64&lt;=p_dias_backlog_max))</f>
        <v/>
      </c>
      <c r="AB64" s="6" t="inlineStr">
        <is>
          <t>Técnico 05</t>
        </is>
      </c>
      <c r="AC64" s="3">
        <f>IF($AB64="","",IFERROR(INDEX('ASIGNACIONES'!$F$4:$F$339,MATCH($O64&amp;"|"&amp;$R64&amp;"|"&amp;$AB64,'ASIGNACIONES'!$I$4:$I$339,0)),""))</f>
        <v/>
      </c>
      <c r="AD64" s="13">
        <f>IF($AB64="","",SUMIFS('ORDENES'!$M$4:$M$1203,'ORDENES'!$AB$4:$AB$1203,$AB64,'ORDENES'!$O$4:$O$1203,$O64,'ORDENES'!$R$4:$R$1203,$R64))</f>
        <v/>
      </c>
      <c r="AE64" s="13">
        <f>IF($AD64="","",p_factor_productividad*IFERROR(INDEX('ASIGNACIONES'!$H$4:$H$339,MATCH($O64&amp;"|"&amp;$R64&amp;"|"&amp;$AB64,'ASIGNACIONES'!$I$4:$I$339,0)),0)-$AD64)</f>
        <v/>
      </c>
      <c r="AF64" s="10">
        <f>IF($A64="","",IFERROR(INDEX('2_IMPORTAR_EJECUCION'!$F$9:$F$1208,MATCH($AN64,'2_IMPORTAR_EJECUCION'!$J$9:$J$1208,0)),0))</f>
        <v/>
      </c>
      <c r="AG64" s="10">
        <f>IF($A64="","",MAX(0,IFERROR(INDEX('2_IMPORTAR_EJECUCION'!$H$9:$H$1208,MATCH($AN64,'2_IMPORTAR_EJECUCION'!$J$9:$J$1208,0)),0)-$AF64))</f>
        <v/>
      </c>
      <c r="AH64" s="10">
        <f>IF($A64="","",$AF64+$AG64)</f>
        <v/>
      </c>
      <c r="AI64" s="6" t="inlineStr"/>
      <c r="AJ64" s="6" t="inlineStr"/>
      <c r="AK64" s="6" t="inlineStr">
        <is>
          <t>ACT-02.pdf</t>
        </is>
      </c>
      <c r="AL64" s="3">
        <f>IF($AK64="","",HYPERLINK(p_ruta_base_checklists&amp;$AK64,"abrir"))</f>
        <v/>
      </c>
      <c r="AM64" s="6" t="inlineStr">
        <is>
          <t>Ajuste 6 → 4 h en hoja AJUSTES</t>
        </is>
      </c>
      <c r="AN64" s="3">
        <f>IF($A64="","",$A64&amp;IF($B64="","0010",$B64))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1" t="n">
        <v>46224</v>
      </c>
      <c r="K65" s="3" t="n">
        <v>10</v>
      </c>
      <c r="L65" s="10" t="n">
        <v>250</v>
      </c>
      <c r="M65" s="3">
        <f>IF($A65="","",IFERROR(INDEX('AJUSTES'!$B$4:$B$303,MATCH($AN65,'AJUSTES'!$A$4:$A$303,0)),IF($K65="","",$K65)))</f>
        <v/>
      </c>
      <c r="N65" s="3">
        <f>IF($A65="","",IFERROR(INDEX('CAT_ESTADOS_ERP'!$B$4:$B$7,MATCH(IFERROR(INDEX('2_IMPORTAR_EJECUCION'!$C$9:$C$1208,MATCH($AN65,'2_IMPORTAR_EJECUCION'!$J$9:$J$1208,0)),""),'CAT_ESTADOS_ERP'!$A$4:$A$7,0)),"Pendiente"))</f>
        <v/>
      </c>
      <c r="O65" s="3">
        <f>IF($J65="","",YEAR($J65+4-WEEKDAY($J65,2))&amp;"-S"&amp;TEXT(_xlfn.ISOWEEKNUM($J65),"00"))</f>
        <v/>
      </c>
      <c r="P65" s="3">
        <f>IF($J65="","",YEAR($J65))</f>
        <v/>
      </c>
      <c r="Q65" s="3">
        <f>IF($J65="","",MONTH($J65))</f>
        <v/>
      </c>
      <c r="R65" s="3">
        <f>IF($J65="","",INDEX(lista_dias,WEEKDAY($J65,2)))</f>
        <v/>
      </c>
      <c r="S65" s="3">
        <f>IF($I65="","",IFERROR(INDEX('CAT_TIPOS_OT'!$C$4:$C$7,MATCH($I65,'CAT_TIPOS_OT'!$A$4:$A$7,0)),"sin_clasificar"))</f>
        <v/>
      </c>
      <c r="T65" s="3">
        <f>IF($F65="","",IFERROR(INDEX('CAT_CENTROS_COSTO'!$E$4:$E$9,MATCH($F65,'CAT_CENTROS_COSTO'!$A$4:$A$9,0)),"(sin catálogo)"))</f>
        <v/>
      </c>
      <c r="U65" s="3">
        <f>IF($F65="","",IFERROR(INDEX('CAT_CENTROS_COSTO'!$D$4:$D$9,MATCH($F65,'CAT_CENTROS_COSTO'!$A$4:$A$9,0)),"(sin catálogo)"))</f>
        <v/>
      </c>
      <c r="V65" s="3">
        <f>IF($F65="","",IFERROR(INDEX('CAT_CENTROS_COSTO'!$F$4:$F$9,MATCH($F65,'CAT_CENTROS_COSTO'!$A$4:$A$9,0)),"(sin catálogo)"))</f>
        <v/>
      </c>
      <c r="W65" s="3">
        <f>IF($G65="","",IFERROR(INDEX('CAT_PUESTOS'!$B$4:$B$8,MATCH($G65,'CAT_PUESTOS'!$A$4:$A$8,0)),"(sin catálogo)"))</f>
        <v/>
      </c>
      <c r="X65" s="3">
        <f>IF($H65="","",IFERROR(INDEX('CAT_ACTIVIDADES'!$B$4:$B$8,MATCH($H65,'CAT_ACTIVIDADES'!$A$4:$A$8,0)),"(sin catálogo)"))</f>
        <v/>
      </c>
      <c r="Y65" s="12">
        <f>IF($J65="","",TODAY()-$J65)</f>
        <v/>
      </c>
      <c r="Z65" s="3">
        <f>IF($Y65="","",IF($Y65&lt;0,"FUTURO",IF($Y65&gt;p_dias_backlog_max,"BACKLOG","MES CORRIENTE")))</f>
        <v/>
      </c>
      <c r="AA65" s="3">
        <f>IF($Y65="",FALSE,AND($Y65&gt;p_dias_backlog_min,$Y65&lt;=p_dias_backlog_max))</f>
        <v/>
      </c>
      <c r="AB65" s="6" t="inlineStr">
        <is>
          <t>Técnico 06</t>
        </is>
      </c>
      <c r="AC65" s="3">
        <f>IF($AB65="","",IFERROR(INDEX('ASIGNACIONES'!$F$4:$F$339,MATCH($O65&amp;"|"&amp;$R65&amp;"|"&amp;$AB65,'ASIGNACIONES'!$I$4:$I$339,0)),""))</f>
        <v/>
      </c>
      <c r="AD65" s="13">
        <f>IF($AB65="","",SUMIFS('ORDENES'!$M$4:$M$1203,'ORDENES'!$AB$4:$AB$1203,$AB65,'ORDENES'!$O$4:$O$1203,$O65,'ORDENES'!$R$4:$R$1203,$R65))</f>
        <v/>
      </c>
      <c r="AE65" s="13">
        <f>IF($AD65="","",p_factor_productividad*IFERROR(INDEX('ASIGNACIONES'!$H$4:$H$339,MATCH($O65&amp;"|"&amp;$R65&amp;"|"&amp;$AB65,'ASIGNACIONES'!$I$4:$I$339,0)),0)-$AD65)</f>
        <v/>
      </c>
      <c r="AF65" s="10">
        <f>IF($A65="","",IFERROR(INDEX('2_IMPORTAR_EJECUCION'!$F$9:$F$1208,MATCH($AN65,'2_IMPORTAR_EJECUCION'!$J$9:$J$1208,0)),0))</f>
        <v/>
      </c>
      <c r="AG65" s="10">
        <f>IF($A65="","",MAX(0,IFERROR(INDEX('2_IMPORTAR_EJECUCION'!$H$9:$H$1208,MATCH($AN65,'2_IMPORTAR_EJECUCION'!$J$9:$J$1208,0)),0)-$AF65))</f>
        <v/>
      </c>
      <c r="AH65" s="10">
        <f>IF($A65="","",$AF65+$AG65)</f>
        <v/>
      </c>
      <c r="AI65" s="6" t="inlineStr"/>
      <c r="AJ65" s="6" t="inlineStr"/>
      <c r="AK65" s="6" t="inlineStr">
        <is>
          <t>ACT-04.pdf</t>
        </is>
      </c>
      <c r="AL65" s="3">
        <f>IF($AK65="","",HYPERLINK(p_ruta_base_checklists&amp;$AK65,"abrir"))</f>
        <v/>
      </c>
      <c r="AM65" s="6" t="inlineStr"/>
      <c r="AN65" s="3">
        <f>IF($A65="","",$A65&amp;IF($B65="","0010",$B65))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1" t="n">
        <v>46225</v>
      </c>
      <c r="K66" s="3" t="n">
        <v>8</v>
      </c>
      <c r="L66" s="10" t="n">
        <v>200</v>
      </c>
      <c r="M66" s="3">
        <f>IF($A66="","",IFERROR(INDEX('AJUSTES'!$B$4:$B$303,MATCH($AN66,'AJUSTES'!$A$4:$A$303,0)),IF($K66="","",$K66)))</f>
        <v/>
      </c>
      <c r="N66" s="3">
        <f>IF($A66="","",IFERROR(INDEX('CAT_ESTADOS_ERP'!$B$4:$B$7,MATCH(IFERROR(INDEX('2_IMPORTAR_EJECUCION'!$C$9:$C$1208,MATCH($AN66,'2_IMPORTAR_EJECUCION'!$J$9:$J$1208,0)),""),'CAT_ESTADOS_ERP'!$A$4:$A$7,0)),"Pendiente"))</f>
        <v/>
      </c>
      <c r="O66" s="3">
        <f>IF($J66="","",YEAR($J66+4-WEEKDAY($J66,2))&amp;"-S"&amp;TEXT(_xlfn.ISOWEEKNUM($J66),"00"))</f>
        <v/>
      </c>
      <c r="P66" s="3">
        <f>IF($J66="","",YEAR($J66))</f>
        <v/>
      </c>
      <c r="Q66" s="3">
        <f>IF($J66="","",MONTH($J66))</f>
        <v/>
      </c>
      <c r="R66" s="3">
        <f>IF($J66="","",INDEX(lista_dias,WEEKDAY($J66,2)))</f>
        <v/>
      </c>
      <c r="S66" s="3">
        <f>IF($I66="","",IFERROR(INDEX('CAT_TIPOS_OT'!$C$4:$C$7,MATCH($I66,'CAT_TIPOS_OT'!$A$4:$A$7,0)),"sin_clasificar"))</f>
        <v/>
      </c>
      <c r="T66" s="3">
        <f>IF($F66="","",IFERROR(INDEX('CAT_CENTROS_COSTO'!$E$4:$E$9,MATCH($F66,'CAT_CENTROS_COSTO'!$A$4:$A$9,0)),"(sin catálogo)"))</f>
        <v/>
      </c>
      <c r="U66" s="3">
        <f>IF($F66="","",IFERROR(INDEX('CAT_CENTROS_COSTO'!$D$4:$D$9,MATCH($F66,'CAT_CENTROS_COSTO'!$A$4:$A$9,0)),"(sin catálogo)"))</f>
        <v/>
      </c>
      <c r="V66" s="3">
        <f>IF($F66="","",IFERROR(INDEX('CAT_CENTROS_COSTO'!$F$4:$F$9,MATCH($F66,'CAT_CENTROS_COSTO'!$A$4:$A$9,0)),"(sin catálogo)"))</f>
        <v/>
      </c>
      <c r="W66" s="3">
        <f>IF($G66="","",IFERROR(INDEX('CAT_PUESTOS'!$B$4:$B$8,MATCH($G66,'CAT_PUESTOS'!$A$4:$A$8,0)),"(sin catálogo)"))</f>
        <v/>
      </c>
      <c r="X66" s="3">
        <f>IF($H66="","",IFERROR(INDEX('CAT_ACTIVIDADES'!$B$4:$B$8,MATCH($H66,'CAT_ACTIVIDADES'!$A$4:$A$8,0)),"(sin catálogo)"))</f>
        <v/>
      </c>
      <c r="Y66" s="12">
        <f>IF($J66="","",TODAY()-$J66)</f>
        <v/>
      </c>
      <c r="Z66" s="3">
        <f>IF($Y66="","",IF($Y66&lt;0,"FUTURO",IF($Y66&gt;p_dias_backlog_max,"BACKLOG","MES CORRIENTE")))</f>
        <v/>
      </c>
      <c r="AA66" s="3">
        <f>IF($Y66="",FALSE,AND($Y66&gt;p_dias_backlog_min,$Y66&lt;=p_dias_backlog_max))</f>
        <v/>
      </c>
      <c r="AB66" s="6" t="inlineStr">
        <is>
          <t>Técnico 07</t>
        </is>
      </c>
      <c r="AC66" s="3">
        <f>IF($AB66="","",IFERROR(INDEX('ASIGNACIONES'!$F$4:$F$339,MATCH($O66&amp;"|"&amp;$R66&amp;"|"&amp;$AB66,'ASIGNACIONES'!$I$4:$I$339,0)),""))</f>
        <v/>
      </c>
      <c r="AD66" s="13">
        <f>IF($AB66="","",SUMIFS('ORDENES'!$M$4:$M$1203,'ORDENES'!$AB$4:$AB$1203,$AB66,'ORDENES'!$O$4:$O$1203,$O66,'ORDENES'!$R$4:$R$1203,$R66))</f>
        <v/>
      </c>
      <c r="AE66" s="13">
        <f>IF($AD66="","",p_factor_productividad*IFERROR(INDEX('ASIGNACIONES'!$H$4:$H$339,MATCH($O66&amp;"|"&amp;$R66&amp;"|"&amp;$AB66,'ASIGNACIONES'!$I$4:$I$339,0)),0)-$AD66)</f>
        <v/>
      </c>
      <c r="AF66" s="10">
        <f>IF($A66="","",IFERROR(INDEX('2_IMPORTAR_EJECUCION'!$F$9:$F$1208,MATCH($AN66,'2_IMPORTAR_EJECUCION'!$J$9:$J$1208,0)),0))</f>
        <v/>
      </c>
      <c r="AG66" s="10">
        <f>IF($A66="","",MAX(0,IFERROR(INDEX('2_IMPORTAR_EJECUCION'!$H$9:$H$1208,MATCH($AN66,'2_IMPORTAR_EJECUCION'!$J$9:$J$1208,0)),0)-$AF66))</f>
        <v/>
      </c>
      <c r="AH66" s="10">
        <f>IF($A66="","",$AF66+$AG66)</f>
        <v/>
      </c>
      <c r="AI66" s="6" t="inlineStr"/>
      <c r="AJ66" s="6" t="inlineStr"/>
      <c r="AK66" s="6" t="inlineStr">
        <is>
          <t>ACT-01.pdf</t>
        </is>
      </c>
      <c r="AL66" s="3">
        <f>IF($AK66="","",HYPERLINK(p_ruta_base_checklists&amp;$AK66,"abrir"))</f>
        <v/>
      </c>
      <c r="AM66" s="6" t="inlineStr"/>
      <c r="AN66" s="3">
        <f>IF($A66="","",$A66&amp;IF($B66="","0010",$B66))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1" t="n">
        <v>46226</v>
      </c>
      <c r="K67" s="3" t="n">
        <v>6</v>
      </c>
      <c r="L67" s="10" t="n">
        <v>150</v>
      </c>
      <c r="M67" s="3">
        <f>IF($A67="","",IFERROR(INDEX('AJUSTES'!$B$4:$B$303,MATCH($AN67,'AJUSTES'!$A$4:$A$303,0)),IF($K67="","",$K67)))</f>
        <v/>
      </c>
      <c r="N67" s="3">
        <f>IF($A67="","",IFERROR(INDEX('CAT_ESTADOS_ERP'!$B$4:$B$7,MATCH(IFERROR(INDEX('2_IMPORTAR_EJECUCION'!$C$9:$C$1208,MATCH($AN67,'2_IMPORTAR_EJECUCION'!$J$9:$J$1208,0)),""),'CAT_ESTADOS_ERP'!$A$4:$A$7,0)),"Pendiente"))</f>
        <v/>
      </c>
      <c r="O67" s="3">
        <f>IF($J67="","",YEAR($J67+4-WEEKDAY($J67,2))&amp;"-S"&amp;TEXT(_xlfn.ISOWEEKNUM($J67),"00"))</f>
        <v/>
      </c>
      <c r="P67" s="3">
        <f>IF($J67="","",YEAR($J67))</f>
        <v/>
      </c>
      <c r="Q67" s="3">
        <f>IF($J67="","",MONTH($J67))</f>
        <v/>
      </c>
      <c r="R67" s="3">
        <f>IF($J67="","",INDEX(lista_dias,WEEKDAY($J67,2)))</f>
        <v/>
      </c>
      <c r="S67" s="3">
        <f>IF($I67="","",IFERROR(INDEX('CAT_TIPOS_OT'!$C$4:$C$7,MATCH($I67,'CAT_TIPOS_OT'!$A$4:$A$7,0)),"sin_clasificar"))</f>
        <v/>
      </c>
      <c r="T67" s="3">
        <f>IF($F67="","",IFERROR(INDEX('CAT_CENTROS_COSTO'!$E$4:$E$9,MATCH($F67,'CAT_CENTROS_COSTO'!$A$4:$A$9,0)),"(sin catálogo)"))</f>
        <v/>
      </c>
      <c r="U67" s="3">
        <f>IF($F67="","",IFERROR(INDEX('CAT_CENTROS_COSTO'!$D$4:$D$9,MATCH($F67,'CAT_CENTROS_COSTO'!$A$4:$A$9,0)),"(sin catálogo)"))</f>
        <v/>
      </c>
      <c r="V67" s="3">
        <f>IF($F67="","",IFERROR(INDEX('CAT_CENTROS_COSTO'!$F$4:$F$9,MATCH($F67,'CAT_CENTROS_COSTO'!$A$4:$A$9,0)),"(sin catálogo)"))</f>
        <v/>
      </c>
      <c r="W67" s="3">
        <f>IF($G67="","",IFERROR(INDEX('CAT_PUESTOS'!$B$4:$B$8,MATCH($G67,'CAT_PUESTOS'!$A$4:$A$8,0)),"(sin catálogo)"))</f>
        <v/>
      </c>
      <c r="X67" s="3">
        <f>IF($H67="","",IFERROR(INDEX('CAT_ACTIVIDADES'!$B$4:$B$8,MATCH($H67,'CAT_ACTIVIDADES'!$A$4:$A$8,0)),"(sin catálogo)"))</f>
        <v/>
      </c>
      <c r="Y67" s="12">
        <f>IF($J67="","",TODAY()-$J67)</f>
        <v/>
      </c>
      <c r="Z67" s="3">
        <f>IF($Y67="","",IF($Y67&lt;0,"FUTURO",IF($Y67&gt;p_dias_backlog_max,"BACKLOG","MES CORRIENTE")))</f>
        <v/>
      </c>
      <c r="AA67" s="3">
        <f>IF($Y67="",FALSE,AND($Y67&gt;p_dias_backlog_min,$Y67&lt;=p_dias_backlog_max))</f>
        <v/>
      </c>
      <c r="AB67" s="6" t="inlineStr">
        <is>
          <t>Técnico 05</t>
        </is>
      </c>
      <c r="AC67" s="3">
        <f>IF($AB67="","",IFERROR(INDEX('ASIGNACIONES'!$F$4:$F$339,MATCH($O67&amp;"|"&amp;$R67&amp;"|"&amp;$AB67,'ASIGNACIONES'!$I$4:$I$339,0)),""))</f>
        <v/>
      </c>
      <c r="AD67" s="13">
        <f>IF($AB67="","",SUMIFS('ORDENES'!$M$4:$M$1203,'ORDENES'!$AB$4:$AB$1203,$AB67,'ORDENES'!$O$4:$O$1203,$O67,'ORDENES'!$R$4:$R$1203,$R67))</f>
        <v/>
      </c>
      <c r="AE67" s="13">
        <f>IF($AD67="","",p_factor_productividad*IFERROR(INDEX('ASIGNACIONES'!$H$4:$H$339,MATCH($O67&amp;"|"&amp;$R67&amp;"|"&amp;$AB67,'ASIGNACIONES'!$I$4:$I$339,0)),0)-$AD67)</f>
        <v/>
      </c>
      <c r="AF67" s="10">
        <f>IF($A67="","",IFERROR(INDEX('2_IMPORTAR_EJECUCION'!$F$9:$F$1208,MATCH($AN67,'2_IMPORTAR_EJECUCION'!$J$9:$J$1208,0)),0))</f>
        <v/>
      </c>
      <c r="AG67" s="10">
        <f>IF($A67="","",MAX(0,IFERROR(INDEX('2_IMPORTAR_EJECUCION'!$H$9:$H$1208,MATCH($AN67,'2_IMPORTAR_EJECUCION'!$J$9:$J$1208,0)),0)-$AF67))</f>
        <v/>
      </c>
      <c r="AH67" s="10">
        <f>IF($A67="","",$AF67+$AG67)</f>
        <v/>
      </c>
      <c r="AI67" s="6" t="inlineStr"/>
      <c r="AJ67" s="6" t="inlineStr"/>
      <c r="AK67" s="6" t="inlineStr">
        <is>
          <t>ACT-02.pdf</t>
        </is>
      </c>
      <c r="AL67" s="3">
        <f>IF($AK67="","",HYPERLINK(p_ruta_base_checklists&amp;$AK67,"abrir"))</f>
        <v/>
      </c>
      <c r="AM67" s="6" t="inlineStr"/>
      <c r="AN67" s="3">
        <f>IF($A67="","",$A67&amp;IF($B67="","0010",$B67))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1" t="n">
        <v>46227</v>
      </c>
      <c r="K68" s="3" t="n">
        <v>10</v>
      </c>
      <c r="L68" s="10" t="n">
        <v>250</v>
      </c>
      <c r="M68" s="3">
        <f>IF($A68="","",IFERROR(INDEX('AJUSTES'!$B$4:$B$303,MATCH($AN68,'AJUSTES'!$A$4:$A$303,0)),IF($K68="","",$K68)))</f>
        <v/>
      </c>
      <c r="N68" s="3">
        <f>IF($A68="","",IFERROR(INDEX('CAT_ESTADOS_ERP'!$B$4:$B$7,MATCH(IFERROR(INDEX('2_IMPORTAR_EJECUCION'!$C$9:$C$1208,MATCH($AN68,'2_IMPORTAR_EJECUCION'!$J$9:$J$1208,0)),""),'CAT_ESTADOS_ERP'!$A$4:$A$7,0)),"Pendiente"))</f>
        <v/>
      </c>
      <c r="O68" s="3">
        <f>IF($J68="","",YEAR($J68+4-WEEKDAY($J68,2))&amp;"-S"&amp;TEXT(_xlfn.ISOWEEKNUM($J68),"00"))</f>
        <v/>
      </c>
      <c r="P68" s="3">
        <f>IF($J68="","",YEAR($J68))</f>
        <v/>
      </c>
      <c r="Q68" s="3">
        <f>IF($J68="","",MONTH($J68))</f>
        <v/>
      </c>
      <c r="R68" s="3">
        <f>IF($J68="","",INDEX(lista_dias,WEEKDAY($J68,2)))</f>
        <v/>
      </c>
      <c r="S68" s="3">
        <f>IF($I68="","",IFERROR(INDEX('CAT_TIPOS_OT'!$C$4:$C$7,MATCH($I68,'CAT_TIPOS_OT'!$A$4:$A$7,0)),"sin_clasificar"))</f>
        <v/>
      </c>
      <c r="T68" s="3">
        <f>IF($F68="","",IFERROR(INDEX('CAT_CENTROS_COSTO'!$E$4:$E$9,MATCH($F68,'CAT_CENTROS_COSTO'!$A$4:$A$9,0)),"(sin catálogo)"))</f>
        <v/>
      </c>
      <c r="U68" s="3">
        <f>IF($F68="","",IFERROR(INDEX('CAT_CENTROS_COSTO'!$D$4:$D$9,MATCH($F68,'CAT_CENTROS_COSTO'!$A$4:$A$9,0)),"(sin catálogo)"))</f>
        <v/>
      </c>
      <c r="V68" s="3">
        <f>IF($F68="","",IFERROR(INDEX('CAT_CENTROS_COSTO'!$F$4:$F$9,MATCH($F68,'CAT_CENTROS_COSTO'!$A$4:$A$9,0)),"(sin catálogo)"))</f>
        <v/>
      </c>
      <c r="W68" s="3">
        <f>IF($G68="","",IFERROR(INDEX('CAT_PUESTOS'!$B$4:$B$8,MATCH($G68,'CAT_PUESTOS'!$A$4:$A$8,0)),"(sin catálogo)"))</f>
        <v/>
      </c>
      <c r="X68" s="3">
        <f>IF($H68="","",IFERROR(INDEX('CAT_ACTIVIDADES'!$B$4:$B$8,MATCH($H68,'CAT_ACTIVIDADES'!$A$4:$A$8,0)),"(sin catálogo)"))</f>
        <v/>
      </c>
      <c r="Y68" s="12">
        <f>IF($J68="","",TODAY()-$J68)</f>
        <v/>
      </c>
      <c r="Z68" s="3">
        <f>IF($Y68="","",IF($Y68&lt;0,"FUTURO",IF($Y68&gt;p_dias_backlog_max,"BACKLOG","MES CORRIENTE")))</f>
        <v/>
      </c>
      <c r="AA68" s="3">
        <f>IF($Y68="",FALSE,AND($Y68&gt;p_dias_backlog_min,$Y68&lt;=p_dias_backlog_max))</f>
        <v/>
      </c>
      <c r="AB68" s="6" t="inlineStr">
        <is>
          <t>Técnico 06</t>
        </is>
      </c>
      <c r="AC68" s="3">
        <f>IF($AB68="","",IFERROR(INDEX('ASIGNACIONES'!$F$4:$F$339,MATCH($O68&amp;"|"&amp;$R68&amp;"|"&amp;$AB68,'ASIGNACIONES'!$I$4:$I$339,0)),""))</f>
        <v/>
      </c>
      <c r="AD68" s="13">
        <f>IF($AB68="","",SUMIFS('ORDENES'!$M$4:$M$1203,'ORDENES'!$AB$4:$AB$1203,$AB68,'ORDENES'!$O$4:$O$1203,$O68,'ORDENES'!$R$4:$R$1203,$R68))</f>
        <v/>
      </c>
      <c r="AE68" s="13">
        <f>IF($AD68="","",p_factor_productividad*IFERROR(INDEX('ASIGNACIONES'!$H$4:$H$339,MATCH($O68&amp;"|"&amp;$R68&amp;"|"&amp;$AB68,'ASIGNACIONES'!$I$4:$I$339,0)),0)-$AD68)</f>
        <v/>
      </c>
      <c r="AF68" s="10">
        <f>IF($A68="","",IFERROR(INDEX('2_IMPORTAR_EJECUCION'!$F$9:$F$1208,MATCH($AN68,'2_IMPORTAR_EJECUCION'!$J$9:$J$1208,0)),0))</f>
        <v/>
      </c>
      <c r="AG68" s="10">
        <f>IF($A68="","",MAX(0,IFERROR(INDEX('2_IMPORTAR_EJECUCION'!$H$9:$H$1208,MATCH($AN68,'2_IMPORTAR_EJECUCION'!$J$9:$J$1208,0)),0)-$AF68))</f>
        <v/>
      </c>
      <c r="AH68" s="10">
        <f>IF($A68="","",$AF68+$AG68)</f>
        <v/>
      </c>
      <c r="AI68" s="6" t="inlineStr"/>
      <c r="AJ68" s="6" t="inlineStr"/>
      <c r="AK68" s="6" t="inlineStr">
        <is>
          <t>ACT-04.pdf</t>
        </is>
      </c>
      <c r="AL68" s="3">
        <f>IF($AK68="","",HYPERLINK(p_ruta_base_checklists&amp;$AK68,"abrir"))</f>
        <v/>
      </c>
      <c r="AM68" s="6" t="inlineStr"/>
      <c r="AN68" s="3">
        <f>IF($A68="","",$A68&amp;IF($B68="","0010",$B68))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1" t="n">
        <v>46223</v>
      </c>
      <c r="K69" s="3" t="n">
        <v>7</v>
      </c>
      <c r="L69" s="10" t="n">
        <v>175</v>
      </c>
      <c r="M69" s="3">
        <f>IF($A69="","",IFERROR(INDEX('AJUSTES'!$B$4:$B$303,MATCH($AN69,'AJUSTES'!$A$4:$A$303,0)),IF($K69="","",$K69)))</f>
        <v/>
      </c>
      <c r="N69" s="3">
        <f>IF($A69="","",IFERROR(INDEX('CAT_ESTADOS_ERP'!$B$4:$B$7,MATCH(IFERROR(INDEX('2_IMPORTAR_EJECUCION'!$C$9:$C$1208,MATCH($AN69,'2_IMPORTAR_EJECUCION'!$J$9:$J$1208,0)),""),'CAT_ESTADOS_ERP'!$A$4:$A$7,0)),"Pendiente"))</f>
        <v/>
      </c>
      <c r="O69" s="3">
        <f>IF($J69="","",YEAR($J69+4-WEEKDAY($J69,2))&amp;"-S"&amp;TEXT(_xlfn.ISOWEEKNUM($J69),"00"))</f>
        <v/>
      </c>
      <c r="P69" s="3">
        <f>IF($J69="","",YEAR($J69))</f>
        <v/>
      </c>
      <c r="Q69" s="3">
        <f>IF($J69="","",MONTH($J69))</f>
        <v/>
      </c>
      <c r="R69" s="3">
        <f>IF($J69="","",INDEX(lista_dias,WEEKDAY($J69,2)))</f>
        <v/>
      </c>
      <c r="S69" s="3">
        <f>IF($I69="","",IFERROR(INDEX('CAT_TIPOS_OT'!$C$4:$C$7,MATCH($I69,'CAT_TIPOS_OT'!$A$4:$A$7,0)),"sin_clasificar"))</f>
        <v/>
      </c>
      <c r="T69" s="3">
        <f>IF($F69="","",IFERROR(INDEX('CAT_CENTROS_COSTO'!$E$4:$E$9,MATCH($F69,'CAT_CENTROS_COSTO'!$A$4:$A$9,0)),"(sin catálogo)"))</f>
        <v/>
      </c>
      <c r="U69" s="3">
        <f>IF($F69="","",IFERROR(INDEX('CAT_CENTROS_COSTO'!$D$4:$D$9,MATCH($F69,'CAT_CENTROS_COSTO'!$A$4:$A$9,0)),"(sin catálogo)"))</f>
        <v/>
      </c>
      <c r="V69" s="3">
        <f>IF($F69="","",IFERROR(INDEX('CAT_CENTROS_COSTO'!$F$4:$F$9,MATCH($F69,'CAT_CENTROS_COSTO'!$A$4:$A$9,0)),"(sin catálogo)"))</f>
        <v/>
      </c>
      <c r="W69" s="3">
        <f>IF($G69="","",IFERROR(INDEX('CAT_PUESTOS'!$B$4:$B$8,MATCH($G69,'CAT_PUESTOS'!$A$4:$A$8,0)),"(sin catálogo)"))</f>
        <v/>
      </c>
      <c r="X69" s="3">
        <f>IF($H69="","",IFERROR(INDEX('CAT_ACTIVIDADES'!$B$4:$B$8,MATCH($H69,'CAT_ACTIVIDADES'!$A$4:$A$8,0)),"(sin catálogo)"))</f>
        <v/>
      </c>
      <c r="Y69" s="12">
        <f>IF($J69="","",TODAY()-$J69)</f>
        <v/>
      </c>
      <c r="Z69" s="3">
        <f>IF($Y69="","",IF($Y69&lt;0,"FUTURO",IF($Y69&gt;p_dias_backlog_max,"BACKLOG","MES CORRIENTE")))</f>
        <v/>
      </c>
      <c r="AA69" s="3">
        <f>IF($Y69="",FALSE,AND($Y69&gt;p_dias_backlog_min,$Y69&lt;=p_dias_backlog_max))</f>
        <v/>
      </c>
      <c r="AB69" s="6" t="inlineStr">
        <is>
          <t>Técnico 07</t>
        </is>
      </c>
      <c r="AC69" s="3">
        <f>IF($AB69="","",IFERROR(INDEX('ASIGNACIONES'!$F$4:$F$339,MATCH($O69&amp;"|"&amp;$R69&amp;"|"&amp;$AB69,'ASIGNACIONES'!$I$4:$I$339,0)),""))</f>
        <v/>
      </c>
      <c r="AD69" s="13">
        <f>IF($AB69="","",SUMIFS('ORDENES'!$M$4:$M$1203,'ORDENES'!$AB$4:$AB$1203,$AB69,'ORDENES'!$O$4:$O$1203,$O69,'ORDENES'!$R$4:$R$1203,$R69))</f>
        <v/>
      </c>
      <c r="AE69" s="13">
        <f>IF($AD69="","",p_factor_productividad*IFERROR(INDEX('ASIGNACIONES'!$H$4:$H$339,MATCH($O69&amp;"|"&amp;$R69&amp;"|"&amp;$AB69,'ASIGNACIONES'!$I$4:$I$339,0)),0)-$AD69)</f>
        <v/>
      </c>
      <c r="AF69" s="10">
        <f>IF($A69="","",IFERROR(INDEX('2_IMPORTAR_EJECUCION'!$F$9:$F$1208,MATCH($AN69,'2_IMPORTAR_EJECUCION'!$J$9:$J$1208,0)),0))</f>
        <v/>
      </c>
      <c r="AG69" s="10">
        <f>IF($A69="","",MAX(0,IFERROR(INDEX('2_IMPORTAR_EJECUCION'!$H$9:$H$1208,MATCH($AN69,'2_IMPORTAR_EJECUCION'!$J$9:$J$1208,0)),0)-$AF69))</f>
        <v/>
      </c>
      <c r="AH69" s="10">
        <f>IF($A69="","",$AF69+$AG69)</f>
        <v/>
      </c>
      <c r="AI69" s="6" t="inlineStr"/>
      <c r="AJ69" s="6" t="inlineStr"/>
      <c r="AK69" s="6" t="inlineStr">
        <is>
          <t>ACT-01.pdf</t>
        </is>
      </c>
      <c r="AL69" s="3">
        <f>IF($AK69="","",HYPERLINK(p_ruta_base_checklists&amp;$AK69,"abrir"))</f>
        <v/>
      </c>
      <c r="AM69" s="6" t="inlineStr"/>
      <c r="AN69" s="3">
        <f>IF($A69="","",$A69&amp;IF($B69="","0010",$B69))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1" t="n">
        <v>46224</v>
      </c>
      <c r="K70" s="3" t="n">
        <v>10</v>
      </c>
      <c r="L70" s="10" t="n">
        <v>400</v>
      </c>
      <c r="M70" s="3">
        <f>IF($A70="","",IFERROR(INDEX('AJUSTES'!$B$4:$B$303,MATCH($AN70,'AJUSTES'!$A$4:$A$303,0)),IF($K70="","",$K70)))</f>
        <v/>
      </c>
      <c r="N70" s="3">
        <f>IF($A70="","",IFERROR(INDEX('CAT_ESTADOS_ERP'!$B$4:$B$7,MATCH(IFERROR(INDEX('2_IMPORTAR_EJECUCION'!$C$9:$C$1208,MATCH($AN70,'2_IMPORTAR_EJECUCION'!$J$9:$J$1208,0)),""),'CAT_ESTADOS_ERP'!$A$4:$A$7,0)),"Pendiente"))</f>
        <v/>
      </c>
      <c r="O70" s="3">
        <f>IF($J70="","",YEAR($J70+4-WEEKDAY($J70,2))&amp;"-S"&amp;TEXT(_xlfn.ISOWEEKNUM($J70),"00"))</f>
        <v/>
      </c>
      <c r="P70" s="3">
        <f>IF($J70="","",YEAR($J70))</f>
        <v/>
      </c>
      <c r="Q70" s="3">
        <f>IF($J70="","",MONTH($J70))</f>
        <v/>
      </c>
      <c r="R70" s="3">
        <f>IF($J70="","",INDEX(lista_dias,WEEKDAY($J70,2)))</f>
        <v/>
      </c>
      <c r="S70" s="3">
        <f>IF($I70="","",IFERROR(INDEX('CAT_TIPOS_OT'!$C$4:$C$7,MATCH($I70,'CAT_TIPOS_OT'!$A$4:$A$7,0)),"sin_clasificar"))</f>
        <v/>
      </c>
      <c r="T70" s="3">
        <f>IF($F70="","",IFERROR(INDEX('CAT_CENTROS_COSTO'!$E$4:$E$9,MATCH($F70,'CAT_CENTROS_COSTO'!$A$4:$A$9,0)),"(sin catálogo)"))</f>
        <v/>
      </c>
      <c r="U70" s="3">
        <f>IF($F70="","",IFERROR(INDEX('CAT_CENTROS_COSTO'!$D$4:$D$9,MATCH($F70,'CAT_CENTROS_COSTO'!$A$4:$A$9,0)),"(sin catálogo)"))</f>
        <v/>
      </c>
      <c r="V70" s="3">
        <f>IF($F70="","",IFERROR(INDEX('CAT_CENTROS_COSTO'!$F$4:$F$9,MATCH($F70,'CAT_CENTROS_COSTO'!$A$4:$A$9,0)),"(sin catálogo)"))</f>
        <v/>
      </c>
      <c r="W70" s="3">
        <f>IF($G70="","",IFERROR(INDEX('CAT_PUESTOS'!$B$4:$B$8,MATCH($G70,'CAT_PUESTOS'!$A$4:$A$8,0)),"(sin catálogo)"))</f>
        <v/>
      </c>
      <c r="X70" s="3">
        <f>IF($H70="","",IFERROR(INDEX('CAT_ACTIVIDADES'!$B$4:$B$8,MATCH($H70,'CAT_ACTIVIDADES'!$A$4:$A$8,0)),"(sin catálogo)"))</f>
        <v/>
      </c>
      <c r="Y70" s="12">
        <f>IF($J70="","",TODAY()-$J70)</f>
        <v/>
      </c>
      <c r="Z70" s="3">
        <f>IF($Y70="","",IF($Y70&lt;0,"FUTURO",IF($Y70&gt;p_dias_backlog_max,"BACKLOG","MES CORRIENTE")))</f>
        <v/>
      </c>
      <c r="AA70" s="3">
        <f>IF($Y70="",FALSE,AND($Y70&gt;p_dias_backlog_min,$Y70&lt;=p_dias_backlog_max))</f>
        <v/>
      </c>
      <c r="AB70" s="6" t="inlineStr">
        <is>
          <t>Técnico 05</t>
        </is>
      </c>
      <c r="AC70" s="3">
        <f>IF($AB70="","",IFERROR(INDEX('ASIGNACIONES'!$F$4:$F$339,MATCH($O70&amp;"|"&amp;$R70&amp;"|"&amp;$AB70,'ASIGNACIONES'!$I$4:$I$339,0)),""))</f>
        <v/>
      </c>
      <c r="AD70" s="13">
        <f>IF($AB70="","",SUMIFS('ORDENES'!$M$4:$M$1203,'ORDENES'!$AB$4:$AB$1203,$AB70,'ORDENES'!$O$4:$O$1203,$O70,'ORDENES'!$R$4:$R$1203,$R70))</f>
        <v/>
      </c>
      <c r="AE70" s="13">
        <f>IF($AD70="","",p_factor_productividad*IFERROR(INDEX('ASIGNACIONES'!$H$4:$H$339,MATCH($O70&amp;"|"&amp;$R70&amp;"|"&amp;$AB70,'ASIGNACIONES'!$I$4:$I$339,0)),0)-$AD70)</f>
        <v/>
      </c>
      <c r="AF70" s="10">
        <f>IF($A70="","",IFERROR(INDEX('2_IMPORTAR_EJECUCION'!$F$9:$F$1208,MATCH($AN70,'2_IMPORTAR_EJECUCION'!$J$9:$J$1208,0)),0))</f>
        <v/>
      </c>
      <c r="AG70" s="10">
        <f>IF($A70="","",MAX(0,IFERROR(INDEX('2_IMPORTAR_EJECUCION'!$H$9:$H$1208,MATCH($AN70,'2_IMPORTAR_EJECUCION'!$J$9:$J$1208,0)),0)-$AF70))</f>
        <v/>
      </c>
      <c r="AH70" s="10">
        <f>IF($A70="","",$AF70+$AG70)</f>
        <v/>
      </c>
      <c r="AI70" s="6" t="inlineStr"/>
      <c r="AJ70" s="6" t="inlineStr"/>
      <c r="AK70" s="6" t="inlineStr"/>
      <c r="AL70" s="3">
        <f>IF($AK70="","",HYPERLINK(p_ruta_base_checklists&amp;$AK70,"abrir"))</f>
        <v/>
      </c>
      <c r="AM70" s="6" t="inlineStr"/>
      <c r="AN70" s="3">
        <f>IF($A70="","",$A70&amp;IF($B70="","0010",$B70))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1" t="n">
        <v>46225</v>
      </c>
      <c r="K71" s="3" t="n">
        <v>10</v>
      </c>
      <c r="L71" s="10" t="n">
        <v>400</v>
      </c>
      <c r="M71" s="3">
        <f>IF($A71="","",IFERROR(INDEX('AJUSTES'!$B$4:$B$303,MATCH($AN71,'AJUSTES'!$A$4:$A$303,0)),IF($K71="","",$K71)))</f>
        <v/>
      </c>
      <c r="N71" s="3">
        <f>IF($A71="","",IFERROR(INDEX('CAT_ESTADOS_ERP'!$B$4:$B$7,MATCH(IFERROR(INDEX('2_IMPORTAR_EJECUCION'!$C$9:$C$1208,MATCH($AN71,'2_IMPORTAR_EJECUCION'!$J$9:$J$1208,0)),""),'CAT_ESTADOS_ERP'!$A$4:$A$7,0)),"Pendiente"))</f>
        <v/>
      </c>
      <c r="O71" s="3">
        <f>IF($J71="","",YEAR($J71+4-WEEKDAY($J71,2))&amp;"-S"&amp;TEXT(_xlfn.ISOWEEKNUM($J71),"00"))</f>
        <v/>
      </c>
      <c r="P71" s="3">
        <f>IF($J71="","",YEAR($J71))</f>
        <v/>
      </c>
      <c r="Q71" s="3">
        <f>IF($J71="","",MONTH($J71))</f>
        <v/>
      </c>
      <c r="R71" s="3">
        <f>IF($J71="","",INDEX(lista_dias,WEEKDAY($J71,2)))</f>
        <v/>
      </c>
      <c r="S71" s="3">
        <f>IF($I71="","",IFERROR(INDEX('CAT_TIPOS_OT'!$C$4:$C$7,MATCH($I71,'CAT_TIPOS_OT'!$A$4:$A$7,0)),"sin_clasificar"))</f>
        <v/>
      </c>
      <c r="T71" s="3">
        <f>IF($F71="","",IFERROR(INDEX('CAT_CENTROS_COSTO'!$E$4:$E$9,MATCH($F71,'CAT_CENTROS_COSTO'!$A$4:$A$9,0)),"(sin catálogo)"))</f>
        <v/>
      </c>
      <c r="U71" s="3">
        <f>IF($F71="","",IFERROR(INDEX('CAT_CENTROS_COSTO'!$D$4:$D$9,MATCH($F71,'CAT_CENTROS_COSTO'!$A$4:$A$9,0)),"(sin catálogo)"))</f>
        <v/>
      </c>
      <c r="V71" s="3">
        <f>IF($F71="","",IFERROR(INDEX('CAT_CENTROS_COSTO'!$F$4:$F$9,MATCH($F71,'CAT_CENTROS_COSTO'!$A$4:$A$9,0)),"(sin catálogo)"))</f>
        <v/>
      </c>
      <c r="W71" s="3">
        <f>IF($G71="","",IFERROR(INDEX('CAT_PUESTOS'!$B$4:$B$8,MATCH($G71,'CAT_PUESTOS'!$A$4:$A$8,0)),"(sin catálogo)"))</f>
        <v/>
      </c>
      <c r="X71" s="3">
        <f>IF($H71="","",IFERROR(INDEX('CAT_ACTIVIDADES'!$B$4:$B$8,MATCH($H71,'CAT_ACTIVIDADES'!$A$4:$A$8,0)),"(sin catálogo)"))</f>
        <v/>
      </c>
      <c r="Y71" s="12">
        <f>IF($J71="","",TODAY()-$J71)</f>
        <v/>
      </c>
      <c r="Z71" s="3">
        <f>IF($Y71="","",IF($Y71&lt;0,"FUTURO",IF($Y71&gt;p_dias_backlog_max,"BACKLOG","MES CORRIENTE")))</f>
        <v/>
      </c>
      <c r="AA71" s="3">
        <f>IF($Y71="",FALSE,AND($Y71&gt;p_dias_backlog_min,$Y71&lt;=p_dias_backlog_max))</f>
        <v/>
      </c>
      <c r="AB71" s="6" t="inlineStr">
        <is>
          <t>Técnico 06</t>
        </is>
      </c>
      <c r="AC71" s="3">
        <f>IF($AB71="","",IFERROR(INDEX('ASIGNACIONES'!$F$4:$F$339,MATCH($O71&amp;"|"&amp;$R71&amp;"|"&amp;$AB71,'ASIGNACIONES'!$I$4:$I$339,0)),""))</f>
        <v/>
      </c>
      <c r="AD71" s="13">
        <f>IF($AB71="","",SUMIFS('ORDENES'!$M$4:$M$1203,'ORDENES'!$AB$4:$AB$1203,$AB71,'ORDENES'!$O$4:$O$1203,$O71,'ORDENES'!$R$4:$R$1203,$R71))</f>
        <v/>
      </c>
      <c r="AE71" s="13">
        <f>IF($AD71="","",p_factor_productividad*IFERROR(INDEX('ASIGNACIONES'!$H$4:$H$339,MATCH($O71&amp;"|"&amp;$R71&amp;"|"&amp;$AB71,'ASIGNACIONES'!$I$4:$I$339,0)),0)-$AD71)</f>
        <v/>
      </c>
      <c r="AF71" s="10">
        <f>IF($A71="","",IFERROR(INDEX('2_IMPORTAR_EJECUCION'!$F$9:$F$1208,MATCH($AN71,'2_IMPORTAR_EJECUCION'!$J$9:$J$1208,0)),0))</f>
        <v/>
      </c>
      <c r="AG71" s="10">
        <f>IF($A71="","",MAX(0,IFERROR(INDEX('2_IMPORTAR_EJECUCION'!$H$9:$H$1208,MATCH($AN71,'2_IMPORTAR_EJECUCION'!$J$9:$J$1208,0)),0)-$AF71))</f>
        <v/>
      </c>
      <c r="AH71" s="10">
        <f>IF($A71="","",$AF71+$AG71)</f>
        <v/>
      </c>
      <c r="AI71" s="6" t="inlineStr">
        <is>
          <t>PT-CALIENTE</t>
        </is>
      </c>
      <c r="AJ71" s="6" t="inlineStr">
        <is>
          <t>LOTO</t>
        </is>
      </c>
      <c r="AK71" s="6" t="inlineStr"/>
      <c r="AL71" s="3">
        <f>IF($AK71="","",HYPERLINK(p_ruta_base_checklists&amp;$AK71,"abrir"))</f>
        <v/>
      </c>
      <c r="AM71" s="6" t="inlineStr"/>
      <c r="AN71" s="3">
        <f>IF($A71="","",$A71&amp;IF($B71="","0010",$B71))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1" t="n">
        <v>46233</v>
      </c>
      <c r="K72" s="3" t="n">
        <v>10</v>
      </c>
      <c r="L72" s="10" t="n">
        <v>250</v>
      </c>
      <c r="M72" s="3">
        <f>IF($A72="","",IFERROR(INDEX('AJUSTES'!$B$4:$B$303,MATCH($AN72,'AJUSTES'!$A$4:$A$303,0)),IF($K72="","",$K72)))</f>
        <v/>
      </c>
      <c r="N72" s="3">
        <f>IF($A72="","",IFERROR(INDEX('CAT_ESTADOS_ERP'!$B$4:$B$7,MATCH(IFERROR(INDEX('2_IMPORTAR_EJECUCION'!$C$9:$C$1208,MATCH($AN72,'2_IMPORTAR_EJECUCION'!$J$9:$J$1208,0)),""),'CAT_ESTADOS_ERP'!$A$4:$A$7,0)),"Pendiente"))</f>
        <v/>
      </c>
      <c r="O72" s="3">
        <f>IF($J72="","",YEAR($J72+4-WEEKDAY($J72,2))&amp;"-S"&amp;TEXT(_xlfn.ISOWEEKNUM($J72),"00"))</f>
        <v/>
      </c>
      <c r="P72" s="3">
        <f>IF($J72="","",YEAR($J72))</f>
        <v/>
      </c>
      <c r="Q72" s="3">
        <f>IF($J72="","",MONTH($J72))</f>
        <v/>
      </c>
      <c r="R72" s="3">
        <f>IF($J72="","",INDEX(lista_dias,WEEKDAY($J72,2)))</f>
        <v/>
      </c>
      <c r="S72" s="3">
        <f>IF($I72="","",IFERROR(INDEX('CAT_TIPOS_OT'!$C$4:$C$7,MATCH($I72,'CAT_TIPOS_OT'!$A$4:$A$7,0)),"sin_clasificar"))</f>
        <v/>
      </c>
      <c r="T72" s="3">
        <f>IF($F72="","",IFERROR(INDEX('CAT_CENTROS_COSTO'!$E$4:$E$9,MATCH($F72,'CAT_CENTROS_COSTO'!$A$4:$A$9,0)),"(sin catálogo)"))</f>
        <v/>
      </c>
      <c r="U72" s="3">
        <f>IF($F72="","",IFERROR(INDEX('CAT_CENTROS_COSTO'!$D$4:$D$9,MATCH($F72,'CAT_CENTROS_COSTO'!$A$4:$A$9,0)),"(sin catálogo)"))</f>
        <v/>
      </c>
      <c r="V72" s="3">
        <f>IF($F72="","",IFERROR(INDEX('CAT_CENTROS_COSTO'!$F$4:$F$9,MATCH($F72,'CAT_CENTROS_COSTO'!$A$4:$A$9,0)),"(sin catálogo)"))</f>
        <v/>
      </c>
      <c r="W72" s="3">
        <f>IF($G72="","",IFERROR(INDEX('CAT_PUESTOS'!$B$4:$B$8,MATCH($G72,'CAT_PUESTOS'!$A$4:$A$8,0)),"(sin catálogo)"))</f>
        <v/>
      </c>
      <c r="X72" s="3">
        <f>IF($H72="","",IFERROR(INDEX('CAT_ACTIVIDADES'!$B$4:$B$8,MATCH($H72,'CAT_ACTIVIDADES'!$A$4:$A$8,0)),"(sin catálogo)"))</f>
        <v/>
      </c>
      <c r="Y72" s="12">
        <f>IF($J72="","",TODAY()-$J72)</f>
        <v/>
      </c>
      <c r="Z72" s="3">
        <f>IF($Y72="","",IF($Y72&lt;0,"FUTURO",IF($Y72&gt;p_dias_backlog_max,"BACKLOG","MES CORRIENTE")))</f>
        <v/>
      </c>
      <c r="AA72" s="3">
        <f>IF($Y72="",FALSE,AND($Y72&gt;p_dias_backlog_min,$Y72&lt;=p_dias_backlog_max))</f>
        <v/>
      </c>
      <c r="AB72" s="6" t="inlineStr">
        <is>
          <t>Técnico 07</t>
        </is>
      </c>
      <c r="AC72" s="3">
        <f>IF($AB72="","",IFERROR(INDEX('ASIGNACIONES'!$F$4:$F$339,MATCH($O72&amp;"|"&amp;$R72&amp;"|"&amp;$AB72,'ASIGNACIONES'!$I$4:$I$339,0)),""))</f>
        <v/>
      </c>
      <c r="AD72" s="13">
        <f>IF($AB72="","",SUMIFS('ORDENES'!$M$4:$M$1203,'ORDENES'!$AB$4:$AB$1203,$AB72,'ORDENES'!$O$4:$O$1203,$O72,'ORDENES'!$R$4:$R$1203,$R72))</f>
        <v/>
      </c>
      <c r="AE72" s="13">
        <f>IF($AD72="","",p_factor_productividad*IFERROR(INDEX('ASIGNACIONES'!$H$4:$H$339,MATCH($O72&amp;"|"&amp;$R72&amp;"|"&amp;$AB72,'ASIGNACIONES'!$I$4:$I$339,0)),0)-$AD72)</f>
        <v/>
      </c>
      <c r="AF72" s="10">
        <f>IF($A72="","",IFERROR(INDEX('2_IMPORTAR_EJECUCION'!$F$9:$F$1208,MATCH($AN72,'2_IMPORTAR_EJECUCION'!$J$9:$J$1208,0)),0))</f>
        <v/>
      </c>
      <c r="AG72" s="10">
        <f>IF($A72="","",MAX(0,IFERROR(INDEX('2_IMPORTAR_EJECUCION'!$H$9:$H$1208,MATCH($AN72,'2_IMPORTAR_EJECUCION'!$J$9:$J$1208,0)),0)-$AF72))</f>
        <v/>
      </c>
      <c r="AH72" s="10">
        <f>IF($A72="","",$AF72+$AG72)</f>
        <v/>
      </c>
      <c r="AI72" s="6" t="inlineStr"/>
      <c r="AJ72" s="6" t="inlineStr"/>
      <c r="AK72" s="6" t="inlineStr">
        <is>
          <t>ACT-01.pdf</t>
        </is>
      </c>
      <c r="AL72" s="3">
        <f>IF($AK72="","",HYPERLINK(p_ruta_base_checklists&amp;$AK72,"abrir"))</f>
        <v/>
      </c>
      <c r="AM72" s="6" t="inlineStr"/>
      <c r="AN72" s="3">
        <f>IF($A72="","",$A72&amp;IF($B72="","0010",$B72))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1" t="n">
        <v>46234</v>
      </c>
      <c r="K73" s="3" t="n">
        <v>8</v>
      </c>
      <c r="L73" s="10" t="n">
        <v>200</v>
      </c>
      <c r="M73" s="3">
        <f>IF($A73="","",IFERROR(INDEX('AJUSTES'!$B$4:$B$303,MATCH($AN73,'AJUSTES'!$A$4:$A$303,0)),IF($K73="","",$K73)))</f>
        <v/>
      </c>
      <c r="N73" s="3">
        <f>IF($A73="","",IFERROR(INDEX('CAT_ESTADOS_ERP'!$B$4:$B$7,MATCH(IFERROR(INDEX('2_IMPORTAR_EJECUCION'!$C$9:$C$1208,MATCH($AN73,'2_IMPORTAR_EJECUCION'!$J$9:$J$1208,0)),""),'CAT_ESTADOS_ERP'!$A$4:$A$7,0)),"Pendiente"))</f>
        <v/>
      </c>
      <c r="O73" s="3">
        <f>IF($J73="","",YEAR($J73+4-WEEKDAY($J73,2))&amp;"-S"&amp;TEXT(_xlfn.ISOWEEKNUM($J73),"00"))</f>
        <v/>
      </c>
      <c r="P73" s="3">
        <f>IF($J73="","",YEAR($J73))</f>
        <v/>
      </c>
      <c r="Q73" s="3">
        <f>IF($J73="","",MONTH($J73))</f>
        <v/>
      </c>
      <c r="R73" s="3">
        <f>IF($J73="","",INDEX(lista_dias,WEEKDAY($J73,2)))</f>
        <v/>
      </c>
      <c r="S73" s="3">
        <f>IF($I73="","",IFERROR(INDEX('CAT_TIPOS_OT'!$C$4:$C$7,MATCH($I73,'CAT_TIPOS_OT'!$A$4:$A$7,0)),"sin_clasificar"))</f>
        <v/>
      </c>
      <c r="T73" s="3">
        <f>IF($F73="","",IFERROR(INDEX('CAT_CENTROS_COSTO'!$E$4:$E$9,MATCH($F73,'CAT_CENTROS_COSTO'!$A$4:$A$9,0)),"(sin catálogo)"))</f>
        <v/>
      </c>
      <c r="U73" s="3">
        <f>IF($F73="","",IFERROR(INDEX('CAT_CENTROS_COSTO'!$D$4:$D$9,MATCH($F73,'CAT_CENTROS_COSTO'!$A$4:$A$9,0)),"(sin catálogo)"))</f>
        <v/>
      </c>
      <c r="V73" s="3">
        <f>IF($F73="","",IFERROR(INDEX('CAT_CENTROS_COSTO'!$F$4:$F$9,MATCH($F73,'CAT_CENTROS_COSTO'!$A$4:$A$9,0)),"(sin catálogo)"))</f>
        <v/>
      </c>
      <c r="W73" s="3">
        <f>IF($G73="","",IFERROR(INDEX('CAT_PUESTOS'!$B$4:$B$8,MATCH($G73,'CAT_PUESTOS'!$A$4:$A$8,0)),"(sin catálogo)"))</f>
        <v/>
      </c>
      <c r="X73" s="3">
        <f>IF($H73="","",IFERROR(INDEX('CAT_ACTIVIDADES'!$B$4:$B$8,MATCH($H73,'CAT_ACTIVIDADES'!$A$4:$A$8,0)),"(sin catálogo)"))</f>
        <v/>
      </c>
      <c r="Y73" s="12">
        <f>IF($J73="","",TODAY()-$J73)</f>
        <v/>
      </c>
      <c r="Z73" s="3">
        <f>IF($Y73="","",IF($Y73&lt;0,"FUTURO",IF($Y73&gt;p_dias_backlog_max,"BACKLOG","MES CORRIENTE")))</f>
        <v/>
      </c>
      <c r="AA73" s="3">
        <f>IF($Y73="",FALSE,AND($Y73&gt;p_dias_backlog_min,$Y73&lt;=p_dias_backlog_max))</f>
        <v/>
      </c>
      <c r="AB73" s="6" t="inlineStr">
        <is>
          <t>Técnico 05</t>
        </is>
      </c>
      <c r="AC73" s="3">
        <f>IF($AB73="","",IFERROR(INDEX('ASIGNACIONES'!$F$4:$F$339,MATCH($O73&amp;"|"&amp;$R73&amp;"|"&amp;$AB73,'ASIGNACIONES'!$I$4:$I$339,0)),""))</f>
        <v/>
      </c>
      <c r="AD73" s="13">
        <f>IF($AB73="","",SUMIFS('ORDENES'!$M$4:$M$1203,'ORDENES'!$AB$4:$AB$1203,$AB73,'ORDENES'!$O$4:$O$1203,$O73,'ORDENES'!$R$4:$R$1203,$R73))</f>
        <v/>
      </c>
      <c r="AE73" s="13">
        <f>IF($AD73="","",p_factor_productividad*IFERROR(INDEX('ASIGNACIONES'!$H$4:$H$339,MATCH($O73&amp;"|"&amp;$R73&amp;"|"&amp;$AB73,'ASIGNACIONES'!$I$4:$I$339,0)),0)-$AD73)</f>
        <v/>
      </c>
      <c r="AF73" s="10">
        <f>IF($A73="","",IFERROR(INDEX('2_IMPORTAR_EJECUCION'!$F$9:$F$1208,MATCH($AN73,'2_IMPORTAR_EJECUCION'!$J$9:$J$1208,0)),0))</f>
        <v/>
      </c>
      <c r="AG73" s="10">
        <f>IF($A73="","",MAX(0,IFERROR(INDEX('2_IMPORTAR_EJECUCION'!$H$9:$H$1208,MATCH($AN73,'2_IMPORTAR_EJECUCION'!$J$9:$J$1208,0)),0)-$AF73))</f>
        <v/>
      </c>
      <c r="AH73" s="10">
        <f>IF($A73="","",$AF73+$AG73)</f>
        <v/>
      </c>
      <c r="AI73" s="6" t="inlineStr"/>
      <c r="AJ73" s="6" t="inlineStr"/>
      <c r="AK73" s="6" t="inlineStr">
        <is>
          <t>ACT-02.pdf</t>
        </is>
      </c>
      <c r="AL73" s="3">
        <f>IF($AK73="","",HYPERLINK(p_ruta_base_checklists&amp;$AK73,"abrir"))</f>
        <v/>
      </c>
      <c r="AM73" s="6" t="inlineStr"/>
      <c r="AN73" s="3">
        <f>IF($A73="","",$A73&amp;IF($B73="","0010",$B73))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1" t="n">
        <v>46230</v>
      </c>
      <c r="K74" s="3" t="n">
        <v>6</v>
      </c>
      <c r="L74" s="10" t="n">
        <v>150</v>
      </c>
      <c r="M74" s="3">
        <f>IF($A74="","",IFERROR(INDEX('AJUSTES'!$B$4:$B$303,MATCH($AN74,'AJUSTES'!$A$4:$A$303,0)),IF($K74="","",$K74)))</f>
        <v/>
      </c>
      <c r="N74" s="3">
        <f>IF($A74="","",IFERROR(INDEX('CAT_ESTADOS_ERP'!$B$4:$B$7,MATCH(IFERROR(INDEX('2_IMPORTAR_EJECUCION'!$C$9:$C$1208,MATCH($AN74,'2_IMPORTAR_EJECUCION'!$J$9:$J$1208,0)),""),'CAT_ESTADOS_ERP'!$A$4:$A$7,0)),"Pendiente"))</f>
        <v/>
      </c>
      <c r="O74" s="3">
        <f>IF($J74="","",YEAR($J74+4-WEEKDAY($J74,2))&amp;"-S"&amp;TEXT(_xlfn.ISOWEEKNUM($J74),"00"))</f>
        <v/>
      </c>
      <c r="P74" s="3">
        <f>IF($J74="","",YEAR($J74))</f>
        <v/>
      </c>
      <c r="Q74" s="3">
        <f>IF($J74="","",MONTH($J74))</f>
        <v/>
      </c>
      <c r="R74" s="3">
        <f>IF($J74="","",INDEX(lista_dias,WEEKDAY($J74,2)))</f>
        <v/>
      </c>
      <c r="S74" s="3">
        <f>IF($I74="","",IFERROR(INDEX('CAT_TIPOS_OT'!$C$4:$C$7,MATCH($I74,'CAT_TIPOS_OT'!$A$4:$A$7,0)),"sin_clasificar"))</f>
        <v/>
      </c>
      <c r="T74" s="3">
        <f>IF($F74="","",IFERROR(INDEX('CAT_CENTROS_COSTO'!$E$4:$E$9,MATCH($F74,'CAT_CENTROS_COSTO'!$A$4:$A$9,0)),"(sin catálogo)"))</f>
        <v/>
      </c>
      <c r="U74" s="3">
        <f>IF($F74="","",IFERROR(INDEX('CAT_CENTROS_COSTO'!$D$4:$D$9,MATCH($F74,'CAT_CENTROS_COSTO'!$A$4:$A$9,0)),"(sin catálogo)"))</f>
        <v/>
      </c>
      <c r="V74" s="3">
        <f>IF($F74="","",IFERROR(INDEX('CAT_CENTROS_COSTO'!$F$4:$F$9,MATCH($F74,'CAT_CENTROS_COSTO'!$A$4:$A$9,0)),"(sin catálogo)"))</f>
        <v/>
      </c>
      <c r="W74" s="3">
        <f>IF($G74="","",IFERROR(INDEX('CAT_PUESTOS'!$B$4:$B$8,MATCH($G74,'CAT_PUESTOS'!$A$4:$A$8,0)),"(sin catálogo)"))</f>
        <v/>
      </c>
      <c r="X74" s="3">
        <f>IF($H74="","",IFERROR(INDEX('CAT_ACTIVIDADES'!$B$4:$B$8,MATCH($H74,'CAT_ACTIVIDADES'!$A$4:$A$8,0)),"(sin catálogo)"))</f>
        <v/>
      </c>
      <c r="Y74" s="12">
        <f>IF($J74="","",TODAY()-$J74)</f>
        <v/>
      </c>
      <c r="Z74" s="3">
        <f>IF($Y74="","",IF($Y74&lt;0,"FUTURO",IF($Y74&gt;p_dias_backlog_max,"BACKLOG","MES CORRIENTE")))</f>
        <v/>
      </c>
      <c r="AA74" s="3">
        <f>IF($Y74="",FALSE,AND($Y74&gt;p_dias_backlog_min,$Y74&lt;=p_dias_backlog_max))</f>
        <v/>
      </c>
      <c r="AB74" s="6" t="inlineStr">
        <is>
          <t>Técnico 06</t>
        </is>
      </c>
      <c r="AC74" s="3">
        <f>IF($AB74="","",IFERROR(INDEX('ASIGNACIONES'!$F$4:$F$339,MATCH($O74&amp;"|"&amp;$R74&amp;"|"&amp;$AB74,'ASIGNACIONES'!$I$4:$I$339,0)),""))</f>
        <v/>
      </c>
      <c r="AD74" s="13">
        <f>IF($AB74="","",SUMIFS('ORDENES'!$M$4:$M$1203,'ORDENES'!$AB$4:$AB$1203,$AB74,'ORDENES'!$O$4:$O$1203,$O74,'ORDENES'!$R$4:$R$1203,$R74))</f>
        <v/>
      </c>
      <c r="AE74" s="13">
        <f>IF($AD74="","",p_factor_productividad*IFERROR(INDEX('ASIGNACIONES'!$H$4:$H$339,MATCH($O74&amp;"|"&amp;$R74&amp;"|"&amp;$AB74,'ASIGNACIONES'!$I$4:$I$339,0)),0)-$AD74)</f>
        <v/>
      </c>
      <c r="AF74" s="10">
        <f>IF($A74="","",IFERROR(INDEX('2_IMPORTAR_EJECUCION'!$F$9:$F$1208,MATCH($AN74,'2_IMPORTAR_EJECUCION'!$J$9:$J$1208,0)),0))</f>
        <v/>
      </c>
      <c r="AG74" s="10">
        <f>IF($A74="","",MAX(0,IFERROR(INDEX('2_IMPORTAR_EJECUCION'!$H$9:$H$1208,MATCH($AN74,'2_IMPORTAR_EJECUCION'!$J$9:$J$1208,0)),0)-$AF74))</f>
        <v/>
      </c>
      <c r="AH74" s="10">
        <f>IF($A74="","",$AF74+$AG74)</f>
        <v/>
      </c>
      <c r="AI74" s="6" t="inlineStr"/>
      <c r="AJ74" s="6" t="inlineStr"/>
      <c r="AK74" s="6" t="inlineStr">
        <is>
          <t>ACT-04.pdf</t>
        </is>
      </c>
      <c r="AL74" s="3">
        <f>IF($AK74="","",HYPERLINK(p_ruta_base_checklists&amp;$AK74,"abrir"))</f>
        <v/>
      </c>
      <c r="AM74" s="6" t="inlineStr"/>
      <c r="AN74" s="3">
        <f>IF($A74="","",$A74&amp;IF($B74="","0010",$B74))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1" t="n">
        <v>46231</v>
      </c>
      <c r="K75" s="3" t="n">
        <v>10</v>
      </c>
      <c r="L75" s="10" t="n">
        <v>250</v>
      </c>
      <c r="M75" s="3">
        <f>IF($A75="","",IFERROR(INDEX('AJUSTES'!$B$4:$B$303,MATCH($AN75,'AJUSTES'!$A$4:$A$303,0)),IF($K75="","",$K75)))</f>
        <v/>
      </c>
      <c r="N75" s="3">
        <f>IF($A75="","",IFERROR(INDEX('CAT_ESTADOS_ERP'!$B$4:$B$7,MATCH(IFERROR(INDEX('2_IMPORTAR_EJECUCION'!$C$9:$C$1208,MATCH($AN75,'2_IMPORTAR_EJECUCION'!$J$9:$J$1208,0)),""),'CAT_ESTADOS_ERP'!$A$4:$A$7,0)),"Pendiente"))</f>
        <v/>
      </c>
      <c r="O75" s="3">
        <f>IF($J75="","",YEAR($J75+4-WEEKDAY($J75,2))&amp;"-S"&amp;TEXT(_xlfn.ISOWEEKNUM($J75),"00"))</f>
        <v/>
      </c>
      <c r="P75" s="3">
        <f>IF($J75="","",YEAR($J75))</f>
        <v/>
      </c>
      <c r="Q75" s="3">
        <f>IF($J75="","",MONTH($J75))</f>
        <v/>
      </c>
      <c r="R75" s="3">
        <f>IF($J75="","",INDEX(lista_dias,WEEKDAY($J75,2)))</f>
        <v/>
      </c>
      <c r="S75" s="3">
        <f>IF($I75="","",IFERROR(INDEX('CAT_TIPOS_OT'!$C$4:$C$7,MATCH($I75,'CAT_TIPOS_OT'!$A$4:$A$7,0)),"sin_clasificar"))</f>
        <v/>
      </c>
      <c r="T75" s="3">
        <f>IF($F75="","",IFERROR(INDEX('CAT_CENTROS_COSTO'!$E$4:$E$9,MATCH($F75,'CAT_CENTROS_COSTO'!$A$4:$A$9,0)),"(sin catálogo)"))</f>
        <v/>
      </c>
      <c r="U75" s="3">
        <f>IF($F75="","",IFERROR(INDEX('CAT_CENTROS_COSTO'!$D$4:$D$9,MATCH($F75,'CAT_CENTROS_COSTO'!$A$4:$A$9,0)),"(sin catálogo)"))</f>
        <v/>
      </c>
      <c r="V75" s="3">
        <f>IF($F75="","",IFERROR(INDEX('CAT_CENTROS_COSTO'!$F$4:$F$9,MATCH($F75,'CAT_CENTROS_COSTO'!$A$4:$A$9,0)),"(sin catálogo)"))</f>
        <v/>
      </c>
      <c r="W75" s="3">
        <f>IF($G75="","",IFERROR(INDEX('CAT_PUESTOS'!$B$4:$B$8,MATCH($G75,'CAT_PUESTOS'!$A$4:$A$8,0)),"(sin catálogo)"))</f>
        <v/>
      </c>
      <c r="X75" s="3">
        <f>IF($H75="","",IFERROR(INDEX('CAT_ACTIVIDADES'!$B$4:$B$8,MATCH($H75,'CAT_ACTIVIDADES'!$A$4:$A$8,0)),"(sin catálogo)"))</f>
        <v/>
      </c>
      <c r="Y75" s="12">
        <f>IF($J75="","",TODAY()-$J75)</f>
        <v/>
      </c>
      <c r="Z75" s="3">
        <f>IF($Y75="","",IF($Y75&lt;0,"FUTURO",IF($Y75&gt;p_dias_backlog_max,"BACKLOG","MES CORRIENTE")))</f>
        <v/>
      </c>
      <c r="AA75" s="3">
        <f>IF($Y75="",FALSE,AND($Y75&gt;p_dias_backlog_min,$Y75&lt;=p_dias_backlog_max))</f>
        <v/>
      </c>
      <c r="AB75" s="6" t="inlineStr"/>
      <c r="AC75" s="3">
        <f>IF($AB75="","",IFERROR(INDEX('ASIGNACIONES'!$F$4:$F$339,MATCH($O75&amp;"|"&amp;$R75&amp;"|"&amp;$AB75,'ASIGNACIONES'!$I$4:$I$339,0)),""))</f>
        <v/>
      </c>
      <c r="AD75" s="13">
        <f>IF($AB75="","",SUMIFS('ORDENES'!$M$4:$M$1203,'ORDENES'!$AB$4:$AB$1203,$AB75,'ORDENES'!$O$4:$O$1203,$O75,'ORDENES'!$R$4:$R$1203,$R75))</f>
        <v/>
      </c>
      <c r="AE75" s="13">
        <f>IF($AD75="","",p_factor_productividad*IFERROR(INDEX('ASIGNACIONES'!$H$4:$H$339,MATCH($O75&amp;"|"&amp;$R75&amp;"|"&amp;$AB75,'ASIGNACIONES'!$I$4:$I$339,0)),0)-$AD75)</f>
        <v/>
      </c>
      <c r="AF75" s="10">
        <f>IF($A75="","",IFERROR(INDEX('2_IMPORTAR_EJECUCION'!$F$9:$F$1208,MATCH($AN75,'2_IMPORTAR_EJECUCION'!$J$9:$J$1208,0)),0))</f>
        <v/>
      </c>
      <c r="AG75" s="10">
        <f>IF($A75="","",MAX(0,IFERROR(INDEX('2_IMPORTAR_EJECUCION'!$H$9:$H$1208,MATCH($AN75,'2_IMPORTAR_EJECUCION'!$J$9:$J$1208,0)),0)-$AF75))</f>
        <v/>
      </c>
      <c r="AH75" s="10">
        <f>IF($A75="","",$AF75+$AG75)</f>
        <v/>
      </c>
      <c r="AI75" s="6" t="inlineStr"/>
      <c r="AJ75" s="6" t="inlineStr"/>
      <c r="AK75" s="6" t="inlineStr">
        <is>
          <t>ACT-01.pdf</t>
        </is>
      </c>
      <c r="AL75" s="3">
        <f>IF($AK75="","",HYPERLINK(p_ruta_base_checklists&amp;$AK75,"abrir"))</f>
        <v/>
      </c>
      <c r="AM75" s="6" t="inlineStr"/>
      <c r="AN75" s="3">
        <f>IF($A75="","",$A75&amp;IF($B75="","0010",$B75))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1" t="n">
        <v>46232</v>
      </c>
      <c r="K76" s="3" t="n">
        <v>8</v>
      </c>
      <c r="L76" s="10" t="n">
        <v>200</v>
      </c>
      <c r="M76" s="3">
        <f>IF($A76="","",IFERROR(INDEX('AJUSTES'!$B$4:$B$303,MATCH($AN76,'AJUSTES'!$A$4:$A$303,0)),IF($K76="","",$K76)))</f>
        <v/>
      </c>
      <c r="N76" s="3">
        <f>IF($A76="","",IFERROR(INDEX('CAT_ESTADOS_ERP'!$B$4:$B$7,MATCH(IFERROR(INDEX('2_IMPORTAR_EJECUCION'!$C$9:$C$1208,MATCH($AN76,'2_IMPORTAR_EJECUCION'!$J$9:$J$1208,0)),""),'CAT_ESTADOS_ERP'!$A$4:$A$7,0)),"Pendiente"))</f>
        <v/>
      </c>
      <c r="O76" s="3">
        <f>IF($J76="","",YEAR($J76+4-WEEKDAY($J76,2))&amp;"-S"&amp;TEXT(_xlfn.ISOWEEKNUM($J76),"00"))</f>
        <v/>
      </c>
      <c r="P76" s="3">
        <f>IF($J76="","",YEAR($J76))</f>
        <v/>
      </c>
      <c r="Q76" s="3">
        <f>IF($J76="","",MONTH($J76))</f>
        <v/>
      </c>
      <c r="R76" s="3">
        <f>IF($J76="","",INDEX(lista_dias,WEEKDAY($J76,2)))</f>
        <v/>
      </c>
      <c r="S76" s="3">
        <f>IF($I76="","",IFERROR(INDEX('CAT_TIPOS_OT'!$C$4:$C$7,MATCH($I76,'CAT_TIPOS_OT'!$A$4:$A$7,0)),"sin_clasificar"))</f>
        <v/>
      </c>
      <c r="T76" s="3">
        <f>IF($F76="","",IFERROR(INDEX('CAT_CENTROS_COSTO'!$E$4:$E$9,MATCH($F76,'CAT_CENTROS_COSTO'!$A$4:$A$9,0)),"(sin catálogo)"))</f>
        <v/>
      </c>
      <c r="U76" s="3">
        <f>IF($F76="","",IFERROR(INDEX('CAT_CENTROS_COSTO'!$D$4:$D$9,MATCH($F76,'CAT_CENTROS_COSTO'!$A$4:$A$9,0)),"(sin catálogo)"))</f>
        <v/>
      </c>
      <c r="V76" s="3">
        <f>IF($F76="","",IFERROR(INDEX('CAT_CENTROS_COSTO'!$F$4:$F$9,MATCH($F76,'CAT_CENTROS_COSTO'!$A$4:$A$9,0)),"(sin catálogo)"))</f>
        <v/>
      </c>
      <c r="W76" s="3">
        <f>IF($G76="","",IFERROR(INDEX('CAT_PUESTOS'!$B$4:$B$8,MATCH($G76,'CAT_PUESTOS'!$A$4:$A$8,0)),"(sin catálogo)"))</f>
        <v/>
      </c>
      <c r="X76" s="3">
        <f>IF($H76="","",IFERROR(INDEX('CAT_ACTIVIDADES'!$B$4:$B$8,MATCH($H76,'CAT_ACTIVIDADES'!$A$4:$A$8,0)),"(sin catálogo)"))</f>
        <v/>
      </c>
      <c r="Y76" s="12">
        <f>IF($J76="","",TODAY()-$J76)</f>
        <v/>
      </c>
      <c r="Z76" s="3">
        <f>IF($Y76="","",IF($Y76&lt;0,"FUTURO",IF($Y76&gt;p_dias_backlog_max,"BACKLOG","MES CORRIENTE")))</f>
        <v/>
      </c>
      <c r="AA76" s="3">
        <f>IF($Y76="",FALSE,AND($Y76&gt;p_dias_backlog_min,$Y76&lt;=p_dias_backlog_max))</f>
        <v/>
      </c>
      <c r="AB76" s="6" t="inlineStr">
        <is>
          <t>Técnico 05</t>
        </is>
      </c>
      <c r="AC76" s="3">
        <f>IF($AB76="","",IFERROR(INDEX('ASIGNACIONES'!$F$4:$F$339,MATCH($O76&amp;"|"&amp;$R76&amp;"|"&amp;$AB76,'ASIGNACIONES'!$I$4:$I$339,0)),""))</f>
        <v/>
      </c>
      <c r="AD76" s="13">
        <f>IF($AB76="","",SUMIFS('ORDENES'!$M$4:$M$1203,'ORDENES'!$AB$4:$AB$1203,$AB76,'ORDENES'!$O$4:$O$1203,$O76,'ORDENES'!$R$4:$R$1203,$R76))</f>
        <v/>
      </c>
      <c r="AE76" s="13">
        <f>IF($AD76="","",p_factor_productividad*IFERROR(INDEX('ASIGNACIONES'!$H$4:$H$339,MATCH($O76&amp;"|"&amp;$R76&amp;"|"&amp;$AB76,'ASIGNACIONES'!$I$4:$I$339,0)),0)-$AD76)</f>
        <v/>
      </c>
      <c r="AF76" s="10">
        <f>IF($A76="","",IFERROR(INDEX('2_IMPORTAR_EJECUCION'!$F$9:$F$1208,MATCH($AN76,'2_IMPORTAR_EJECUCION'!$J$9:$J$1208,0)),0))</f>
        <v/>
      </c>
      <c r="AG76" s="10">
        <f>IF($A76="","",MAX(0,IFERROR(INDEX('2_IMPORTAR_EJECUCION'!$H$9:$H$1208,MATCH($AN76,'2_IMPORTAR_EJECUCION'!$J$9:$J$1208,0)),0)-$AF76))</f>
        <v/>
      </c>
      <c r="AH76" s="10">
        <f>IF($A76="","",$AF76+$AG76)</f>
        <v/>
      </c>
      <c r="AI76" s="6" t="inlineStr"/>
      <c r="AJ76" s="6" t="inlineStr"/>
      <c r="AK76" s="6" t="inlineStr">
        <is>
          <t>ACT-02.pdf</t>
        </is>
      </c>
      <c r="AL76" s="3">
        <f>IF($AK76="","",HYPERLINK(p_ruta_base_checklists&amp;$AK76,"abrir"))</f>
        <v/>
      </c>
      <c r="AM76" s="6" t="inlineStr"/>
      <c r="AN76" s="3">
        <f>IF($A76="","",$A76&amp;IF($B76="","0010",$B76))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1" t="n">
        <v>46233</v>
      </c>
      <c r="K77" s="3" t="n">
        <v>6</v>
      </c>
      <c r="L77" s="10" t="n">
        <v>150</v>
      </c>
      <c r="M77" s="3">
        <f>IF($A77="","",IFERROR(INDEX('AJUSTES'!$B$4:$B$303,MATCH($AN77,'AJUSTES'!$A$4:$A$303,0)),IF($K77="","",$K77)))</f>
        <v/>
      </c>
      <c r="N77" s="3">
        <f>IF($A77="","",IFERROR(INDEX('CAT_ESTADOS_ERP'!$B$4:$B$7,MATCH(IFERROR(INDEX('2_IMPORTAR_EJECUCION'!$C$9:$C$1208,MATCH($AN77,'2_IMPORTAR_EJECUCION'!$J$9:$J$1208,0)),""),'CAT_ESTADOS_ERP'!$A$4:$A$7,0)),"Pendiente"))</f>
        <v/>
      </c>
      <c r="O77" s="3">
        <f>IF($J77="","",YEAR($J77+4-WEEKDAY($J77,2))&amp;"-S"&amp;TEXT(_xlfn.ISOWEEKNUM($J77),"00"))</f>
        <v/>
      </c>
      <c r="P77" s="3">
        <f>IF($J77="","",YEAR($J77))</f>
        <v/>
      </c>
      <c r="Q77" s="3">
        <f>IF($J77="","",MONTH($J77))</f>
        <v/>
      </c>
      <c r="R77" s="3">
        <f>IF($J77="","",INDEX(lista_dias,WEEKDAY($J77,2)))</f>
        <v/>
      </c>
      <c r="S77" s="3">
        <f>IF($I77="","",IFERROR(INDEX('CAT_TIPOS_OT'!$C$4:$C$7,MATCH($I77,'CAT_TIPOS_OT'!$A$4:$A$7,0)),"sin_clasificar"))</f>
        <v/>
      </c>
      <c r="T77" s="3">
        <f>IF($F77="","",IFERROR(INDEX('CAT_CENTROS_COSTO'!$E$4:$E$9,MATCH($F77,'CAT_CENTROS_COSTO'!$A$4:$A$9,0)),"(sin catálogo)"))</f>
        <v/>
      </c>
      <c r="U77" s="3">
        <f>IF($F77="","",IFERROR(INDEX('CAT_CENTROS_COSTO'!$D$4:$D$9,MATCH($F77,'CAT_CENTROS_COSTO'!$A$4:$A$9,0)),"(sin catálogo)"))</f>
        <v/>
      </c>
      <c r="V77" s="3">
        <f>IF($F77="","",IFERROR(INDEX('CAT_CENTROS_COSTO'!$F$4:$F$9,MATCH($F77,'CAT_CENTROS_COSTO'!$A$4:$A$9,0)),"(sin catálogo)"))</f>
        <v/>
      </c>
      <c r="W77" s="3">
        <f>IF($G77="","",IFERROR(INDEX('CAT_PUESTOS'!$B$4:$B$8,MATCH($G77,'CAT_PUESTOS'!$A$4:$A$8,0)),"(sin catálogo)"))</f>
        <v/>
      </c>
      <c r="X77" s="3">
        <f>IF($H77="","",IFERROR(INDEX('CAT_ACTIVIDADES'!$B$4:$B$8,MATCH($H77,'CAT_ACTIVIDADES'!$A$4:$A$8,0)),"(sin catálogo)"))</f>
        <v/>
      </c>
      <c r="Y77" s="12">
        <f>IF($J77="","",TODAY()-$J77)</f>
        <v/>
      </c>
      <c r="Z77" s="3">
        <f>IF($Y77="","",IF($Y77&lt;0,"FUTURO",IF($Y77&gt;p_dias_backlog_max,"BACKLOG","MES CORRIENTE")))</f>
        <v/>
      </c>
      <c r="AA77" s="3">
        <f>IF($Y77="",FALSE,AND($Y77&gt;p_dias_backlog_min,$Y77&lt;=p_dias_backlog_max))</f>
        <v/>
      </c>
      <c r="AB77" s="6" t="inlineStr">
        <is>
          <t>Técnico 06</t>
        </is>
      </c>
      <c r="AC77" s="3">
        <f>IF($AB77="","",IFERROR(INDEX('ASIGNACIONES'!$F$4:$F$339,MATCH($O77&amp;"|"&amp;$R77&amp;"|"&amp;$AB77,'ASIGNACIONES'!$I$4:$I$339,0)),""))</f>
        <v/>
      </c>
      <c r="AD77" s="13">
        <f>IF($AB77="","",SUMIFS('ORDENES'!$M$4:$M$1203,'ORDENES'!$AB$4:$AB$1203,$AB77,'ORDENES'!$O$4:$O$1203,$O77,'ORDENES'!$R$4:$R$1203,$R77))</f>
        <v/>
      </c>
      <c r="AE77" s="13">
        <f>IF($AD77="","",p_factor_productividad*IFERROR(INDEX('ASIGNACIONES'!$H$4:$H$339,MATCH($O77&amp;"|"&amp;$R77&amp;"|"&amp;$AB77,'ASIGNACIONES'!$I$4:$I$339,0)),0)-$AD77)</f>
        <v/>
      </c>
      <c r="AF77" s="10">
        <f>IF($A77="","",IFERROR(INDEX('2_IMPORTAR_EJECUCION'!$F$9:$F$1208,MATCH($AN77,'2_IMPORTAR_EJECUCION'!$J$9:$J$1208,0)),0))</f>
        <v/>
      </c>
      <c r="AG77" s="10">
        <f>IF($A77="","",MAX(0,IFERROR(INDEX('2_IMPORTAR_EJECUCION'!$H$9:$H$1208,MATCH($AN77,'2_IMPORTAR_EJECUCION'!$J$9:$J$1208,0)),0)-$AF77))</f>
        <v/>
      </c>
      <c r="AH77" s="10">
        <f>IF($A77="","",$AF77+$AG77)</f>
        <v/>
      </c>
      <c r="AI77" s="6" t="inlineStr"/>
      <c r="AJ77" s="6" t="inlineStr"/>
      <c r="AK77" s="6" t="inlineStr">
        <is>
          <t>ACT-04.pdf</t>
        </is>
      </c>
      <c r="AL77" s="3">
        <f>IF($AK77="","",HYPERLINK(p_ruta_base_checklists&amp;$AK77,"abrir"))</f>
        <v/>
      </c>
      <c r="AM77" s="6" t="inlineStr"/>
      <c r="AN77" s="3">
        <f>IF($A77="","",$A77&amp;IF($B77="","0010",$B77))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1" t="n">
        <v>46234</v>
      </c>
      <c r="K78" s="3" t="n">
        <v>10</v>
      </c>
      <c r="L78" s="10" t="n">
        <v>250</v>
      </c>
      <c r="M78" s="3">
        <f>IF($A78="","",IFERROR(INDEX('AJUSTES'!$B$4:$B$303,MATCH($AN78,'AJUSTES'!$A$4:$A$303,0)),IF($K78="","",$K78)))</f>
        <v/>
      </c>
      <c r="N78" s="3">
        <f>IF($A78="","",IFERROR(INDEX('CAT_ESTADOS_ERP'!$B$4:$B$7,MATCH(IFERROR(INDEX('2_IMPORTAR_EJECUCION'!$C$9:$C$1208,MATCH($AN78,'2_IMPORTAR_EJECUCION'!$J$9:$J$1208,0)),""),'CAT_ESTADOS_ERP'!$A$4:$A$7,0)),"Pendiente"))</f>
        <v/>
      </c>
      <c r="O78" s="3">
        <f>IF($J78="","",YEAR($J78+4-WEEKDAY($J78,2))&amp;"-S"&amp;TEXT(_xlfn.ISOWEEKNUM($J78),"00"))</f>
        <v/>
      </c>
      <c r="P78" s="3">
        <f>IF($J78="","",YEAR($J78))</f>
        <v/>
      </c>
      <c r="Q78" s="3">
        <f>IF($J78="","",MONTH($J78))</f>
        <v/>
      </c>
      <c r="R78" s="3">
        <f>IF($J78="","",INDEX(lista_dias,WEEKDAY($J78,2)))</f>
        <v/>
      </c>
      <c r="S78" s="3">
        <f>IF($I78="","",IFERROR(INDEX('CAT_TIPOS_OT'!$C$4:$C$7,MATCH($I78,'CAT_TIPOS_OT'!$A$4:$A$7,0)),"sin_clasificar"))</f>
        <v/>
      </c>
      <c r="T78" s="3">
        <f>IF($F78="","",IFERROR(INDEX('CAT_CENTROS_COSTO'!$E$4:$E$9,MATCH($F78,'CAT_CENTROS_COSTO'!$A$4:$A$9,0)),"(sin catálogo)"))</f>
        <v/>
      </c>
      <c r="U78" s="3">
        <f>IF($F78="","",IFERROR(INDEX('CAT_CENTROS_COSTO'!$D$4:$D$9,MATCH($F78,'CAT_CENTROS_COSTO'!$A$4:$A$9,0)),"(sin catálogo)"))</f>
        <v/>
      </c>
      <c r="V78" s="3">
        <f>IF($F78="","",IFERROR(INDEX('CAT_CENTROS_COSTO'!$F$4:$F$9,MATCH($F78,'CAT_CENTROS_COSTO'!$A$4:$A$9,0)),"(sin catálogo)"))</f>
        <v/>
      </c>
      <c r="W78" s="3">
        <f>IF($G78="","",IFERROR(INDEX('CAT_PUESTOS'!$B$4:$B$8,MATCH($G78,'CAT_PUESTOS'!$A$4:$A$8,0)),"(sin catálogo)"))</f>
        <v/>
      </c>
      <c r="X78" s="3">
        <f>IF($H78="","",IFERROR(INDEX('CAT_ACTIVIDADES'!$B$4:$B$8,MATCH($H78,'CAT_ACTIVIDADES'!$A$4:$A$8,0)),"(sin catálogo)"))</f>
        <v/>
      </c>
      <c r="Y78" s="12">
        <f>IF($J78="","",TODAY()-$J78)</f>
        <v/>
      </c>
      <c r="Z78" s="3">
        <f>IF($Y78="","",IF($Y78&lt;0,"FUTURO",IF($Y78&gt;p_dias_backlog_max,"BACKLOG","MES CORRIENTE")))</f>
        <v/>
      </c>
      <c r="AA78" s="3">
        <f>IF($Y78="",FALSE,AND($Y78&gt;p_dias_backlog_min,$Y78&lt;=p_dias_backlog_max))</f>
        <v/>
      </c>
      <c r="AB78" s="6" t="inlineStr">
        <is>
          <t>Técnico 07</t>
        </is>
      </c>
      <c r="AC78" s="3">
        <f>IF($AB78="","",IFERROR(INDEX('ASIGNACIONES'!$F$4:$F$339,MATCH($O78&amp;"|"&amp;$R78&amp;"|"&amp;$AB78,'ASIGNACIONES'!$I$4:$I$339,0)),""))</f>
        <v/>
      </c>
      <c r="AD78" s="13">
        <f>IF($AB78="","",SUMIFS('ORDENES'!$M$4:$M$1203,'ORDENES'!$AB$4:$AB$1203,$AB78,'ORDENES'!$O$4:$O$1203,$O78,'ORDENES'!$R$4:$R$1203,$R78))</f>
        <v/>
      </c>
      <c r="AE78" s="13">
        <f>IF($AD78="","",p_factor_productividad*IFERROR(INDEX('ASIGNACIONES'!$H$4:$H$339,MATCH($O78&amp;"|"&amp;$R78&amp;"|"&amp;$AB78,'ASIGNACIONES'!$I$4:$I$339,0)),0)-$AD78)</f>
        <v/>
      </c>
      <c r="AF78" s="10">
        <f>IF($A78="","",IFERROR(INDEX('2_IMPORTAR_EJECUCION'!$F$9:$F$1208,MATCH($AN78,'2_IMPORTAR_EJECUCION'!$J$9:$J$1208,0)),0))</f>
        <v/>
      </c>
      <c r="AG78" s="10">
        <f>IF($A78="","",MAX(0,IFERROR(INDEX('2_IMPORTAR_EJECUCION'!$H$9:$H$1208,MATCH($AN78,'2_IMPORTAR_EJECUCION'!$J$9:$J$1208,0)),0)-$AF78))</f>
        <v/>
      </c>
      <c r="AH78" s="10">
        <f>IF($A78="","",$AF78+$AG78)</f>
        <v/>
      </c>
      <c r="AI78" s="6" t="inlineStr"/>
      <c r="AJ78" s="6" t="inlineStr"/>
      <c r="AK78" s="6" t="inlineStr">
        <is>
          <t>ACT-01.pdf</t>
        </is>
      </c>
      <c r="AL78" s="3">
        <f>IF($AK78="","",HYPERLINK(p_ruta_base_checklists&amp;$AK78,"abrir"))</f>
        <v/>
      </c>
      <c r="AM78" s="6" t="inlineStr"/>
      <c r="AN78" s="3">
        <f>IF($A78="","",$A78&amp;IF($B78="","0010",$B78))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1" t="n">
        <v>46230</v>
      </c>
      <c r="K79" s="3" t="n">
        <v>2</v>
      </c>
      <c r="L79" s="10" t="n">
        <v>50</v>
      </c>
      <c r="M79" s="3">
        <f>IF($A79="","",IFERROR(INDEX('AJUSTES'!$B$4:$B$303,MATCH($AN79,'AJUSTES'!$A$4:$A$303,0)),IF($K79="","",$K79)))</f>
        <v/>
      </c>
      <c r="N79" s="3">
        <f>IF($A79="","",IFERROR(INDEX('CAT_ESTADOS_ERP'!$B$4:$B$7,MATCH(IFERROR(INDEX('2_IMPORTAR_EJECUCION'!$C$9:$C$1208,MATCH($AN79,'2_IMPORTAR_EJECUCION'!$J$9:$J$1208,0)),""),'CAT_ESTADOS_ERP'!$A$4:$A$7,0)),"Pendiente"))</f>
        <v/>
      </c>
      <c r="O79" s="3">
        <f>IF($J79="","",YEAR($J79+4-WEEKDAY($J79,2))&amp;"-S"&amp;TEXT(_xlfn.ISOWEEKNUM($J79),"00"))</f>
        <v/>
      </c>
      <c r="P79" s="3">
        <f>IF($J79="","",YEAR($J79))</f>
        <v/>
      </c>
      <c r="Q79" s="3">
        <f>IF($J79="","",MONTH($J79))</f>
        <v/>
      </c>
      <c r="R79" s="3">
        <f>IF($J79="","",INDEX(lista_dias,WEEKDAY($J79,2)))</f>
        <v/>
      </c>
      <c r="S79" s="3">
        <f>IF($I79="","",IFERROR(INDEX('CAT_TIPOS_OT'!$C$4:$C$7,MATCH($I79,'CAT_TIPOS_OT'!$A$4:$A$7,0)),"sin_clasificar"))</f>
        <v/>
      </c>
      <c r="T79" s="3">
        <f>IF($F79="","",IFERROR(INDEX('CAT_CENTROS_COSTO'!$E$4:$E$9,MATCH($F79,'CAT_CENTROS_COSTO'!$A$4:$A$9,0)),"(sin catálogo)"))</f>
        <v/>
      </c>
      <c r="U79" s="3">
        <f>IF($F79="","",IFERROR(INDEX('CAT_CENTROS_COSTO'!$D$4:$D$9,MATCH($F79,'CAT_CENTROS_COSTO'!$A$4:$A$9,0)),"(sin catálogo)"))</f>
        <v/>
      </c>
      <c r="V79" s="3">
        <f>IF($F79="","",IFERROR(INDEX('CAT_CENTROS_COSTO'!$F$4:$F$9,MATCH($F79,'CAT_CENTROS_COSTO'!$A$4:$A$9,0)),"(sin catálogo)"))</f>
        <v/>
      </c>
      <c r="W79" s="3">
        <f>IF($G79="","",IFERROR(INDEX('CAT_PUESTOS'!$B$4:$B$8,MATCH($G79,'CAT_PUESTOS'!$A$4:$A$8,0)),"(sin catálogo)"))</f>
        <v/>
      </c>
      <c r="X79" s="3">
        <f>IF($H79="","",IFERROR(INDEX('CAT_ACTIVIDADES'!$B$4:$B$8,MATCH($H79,'CAT_ACTIVIDADES'!$A$4:$A$8,0)),"(sin catálogo)"))</f>
        <v/>
      </c>
      <c r="Y79" s="12">
        <f>IF($J79="","",TODAY()-$J79)</f>
        <v/>
      </c>
      <c r="Z79" s="3">
        <f>IF($Y79="","",IF($Y79&lt;0,"FUTURO",IF($Y79&gt;p_dias_backlog_max,"BACKLOG","MES CORRIENTE")))</f>
        <v/>
      </c>
      <c r="AA79" s="3">
        <f>IF($Y79="",FALSE,AND($Y79&gt;p_dias_backlog_min,$Y79&lt;=p_dias_backlog_max))</f>
        <v/>
      </c>
      <c r="AB79" s="6" t="inlineStr">
        <is>
          <t>Técnico 05</t>
        </is>
      </c>
      <c r="AC79" s="3">
        <f>IF($AB79="","",IFERROR(INDEX('ASIGNACIONES'!$F$4:$F$339,MATCH($O79&amp;"|"&amp;$R79&amp;"|"&amp;$AB79,'ASIGNACIONES'!$I$4:$I$339,0)),""))</f>
        <v/>
      </c>
      <c r="AD79" s="13">
        <f>IF($AB79="","",SUMIFS('ORDENES'!$M$4:$M$1203,'ORDENES'!$AB$4:$AB$1203,$AB79,'ORDENES'!$O$4:$O$1203,$O79,'ORDENES'!$R$4:$R$1203,$R79))</f>
        <v/>
      </c>
      <c r="AE79" s="13">
        <f>IF($AD79="","",p_factor_productividad*IFERROR(INDEX('ASIGNACIONES'!$H$4:$H$339,MATCH($O79&amp;"|"&amp;$R79&amp;"|"&amp;$AB79,'ASIGNACIONES'!$I$4:$I$339,0)),0)-$AD79)</f>
        <v/>
      </c>
      <c r="AF79" s="10">
        <f>IF($A79="","",IFERROR(INDEX('2_IMPORTAR_EJECUCION'!$F$9:$F$1208,MATCH($AN79,'2_IMPORTAR_EJECUCION'!$J$9:$J$1208,0)),0))</f>
        <v/>
      </c>
      <c r="AG79" s="10">
        <f>IF($A79="","",MAX(0,IFERROR(INDEX('2_IMPORTAR_EJECUCION'!$H$9:$H$1208,MATCH($AN79,'2_IMPORTAR_EJECUCION'!$J$9:$J$1208,0)),0)-$AF79))</f>
        <v/>
      </c>
      <c r="AH79" s="10">
        <f>IF($A79="","",$AF79+$AG79)</f>
        <v/>
      </c>
      <c r="AI79" s="6" t="inlineStr"/>
      <c r="AJ79" s="6" t="inlineStr"/>
      <c r="AK79" s="6" t="inlineStr">
        <is>
          <t>ACT-02.pdf</t>
        </is>
      </c>
      <c r="AL79" s="3">
        <f>IF($AK79="","",HYPERLINK(p_ruta_base_checklists&amp;$AK79,"abrir"))</f>
        <v/>
      </c>
      <c r="AM79" s="6" t="inlineStr"/>
      <c r="AN79" s="3">
        <f>IF($A79="","",$A79&amp;IF($B79="","0010",$B79))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1" t="n">
        <v>46231</v>
      </c>
      <c r="K80" s="3" t="n">
        <v>10</v>
      </c>
      <c r="L80" s="10" t="n">
        <v>400</v>
      </c>
      <c r="M80" s="3">
        <f>IF($A80="","",IFERROR(INDEX('AJUSTES'!$B$4:$B$303,MATCH($AN80,'AJUSTES'!$A$4:$A$303,0)),IF($K80="","",$K80)))</f>
        <v/>
      </c>
      <c r="N80" s="3">
        <f>IF($A80="","",IFERROR(INDEX('CAT_ESTADOS_ERP'!$B$4:$B$7,MATCH(IFERROR(INDEX('2_IMPORTAR_EJECUCION'!$C$9:$C$1208,MATCH($AN80,'2_IMPORTAR_EJECUCION'!$J$9:$J$1208,0)),""),'CAT_ESTADOS_ERP'!$A$4:$A$7,0)),"Pendiente"))</f>
        <v/>
      </c>
      <c r="O80" s="3">
        <f>IF($J80="","",YEAR($J80+4-WEEKDAY($J80,2))&amp;"-S"&amp;TEXT(_xlfn.ISOWEEKNUM($J80),"00"))</f>
        <v/>
      </c>
      <c r="P80" s="3">
        <f>IF($J80="","",YEAR($J80))</f>
        <v/>
      </c>
      <c r="Q80" s="3">
        <f>IF($J80="","",MONTH($J80))</f>
        <v/>
      </c>
      <c r="R80" s="3">
        <f>IF($J80="","",INDEX(lista_dias,WEEKDAY($J80,2)))</f>
        <v/>
      </c>
      <c r="S80" s="3">
        <f>IF($I80="","",IFERROR(INDEX('CAT_TIPOS_OT'!$C$4:$C$7,MATCH($I80,'CAT_TIPOS_OT'!$A$4:$A$7,0)),"sin_clasificar"))</f>
        <v/>
      </c>
      <c r="T80" s="3">
        <f>IF($F80="","",IFERROR(INDEX('CAT_CENTROS_COSTO'!$E$4:$E$9,MATCH($F80,'CAT_CENTROS_COSTO'!$A$4:$A$9,0)),"(sin catálogo)"))</f>
        <v/>
      </c>
      <c r="U80" s="3">
        <f>IF($F80="","",IFERROR(INDEX('CAT_CENTROS_COSTO'!$D$4:$D$9,MATCH($F80,'CAT_CENTROS_COSTO'!$A$4:$A$9,0)),"(sin catálogo)"))</f>
        <v/>
      </c>
      <c r="V80" s="3">
        <f>IF($F80="","",IFERROR(INDEX('CAT_CENTROS_COSTO'!$F$4:$F$9,MATCH($F80,'CAT_CENTROS_COSTO'!$A$4:$A$9,0)),"(sin catálogo)"))</f>
        <v/>
      </c>
      <c r="W80" s="3">
        <f>IF($G80="","",IFERROR(INDEX('CAT_PUESTOS'!$B$4:$B$8,MATCH($G80,'CAT_PUESTOS'!$A$4:$A$8,0)),"(sin catálogo)"))</f>
        <v/>
      </c>
      <c r="X80" s="3">
        <f>IF($H80="","",IFERROR(INDEX('CAT_ACTIVIDADES'!$B$4:$B$8,MATCH($H80,'CAT_ACTIVIDADES'!$A$4:$A$8,0)),"(sin catálogo)"))</f>
        <v/>
      </c>
      <c r="Y80" s="12">
        <f>IF($J80="","",TODAY()-$J80)</f>
        <v/>
      </c>
      <c r="Z80" s="3">
        <f>IF($Y80="","",IF($Y80&lt;0,"FUTURO",IF($Y80&gt;p_dias_backlog_max,"BACKLOG","MES CORRIENTE")))</f>
        <v/>
      </c>
      <c r="AA80" s="3">
        <f>IF($Y80="",FALSE,AND($Y80&gt;p_dias_backlog_min,$Y80&lt;=p_dias_backlog_max))</f>
        <v/>
      </c>
      <c r="AB80" s="6" t="inlineStr">
        <is>
          <t>Técnico 06</t>
        </is>
      </c>
      <c r="AC80" s="3">
        <f>IF($AB80="","",IFERROR(INDEX('ASIGNACIONES'!$F$4:$F$339,MATCH($O80&amp;"|"&amp;$R80&amp;"|"&amp;$AB80,'ASIGNACIONES'!$I$4:$I$339,0)),""))</f>
        <v/>
      </c>
      <c r="AD80" s="13">
        <f>IF($AB80="","",SUMIFS('ORDENES'!$M$4:$M$1203,'ORDENES'!$AB$4:$AB$1203,$AB80,'ORDENES'!$O$4:$O$1203,$O80,'ORDENES'!$R$4:$R$1203,$R80))</f>
        <v/>
      </c>
      <c r="AE80" s="13">
        <f>IF($AD80="","",p_factor_productividad*IFERROR(INDEX('ASIGNACIONES'!$H$4:$H$339,MATCH($O80&amp;"|"&amp;$R80&amp;"|"&amp;$AB80,'ASIGNACIONES'!$I$4:$I$339,0)),0)-$AD80)</f>
        <v/>
      </c>
      <c r="AF80" s="10">
        <f>IF($A80="","",IFERROR(INDEX('2_IMPORTAR_EJECUCION'!$F$9:$F$1208,MATCH($AN80,'2_IMPORTAR_EJECUCION'!$J$9:$J$1208,0)),0))</f>
        <v/>
      </c>
      <c r="AG80" s="10">
        <f>IF($A80="","",MAX(0,IFERROR(INDEX('2_IMPORTAR_EJECUCION'!$H$9:$H$1208,MATCH($AN80,'2_IMPORTAR_EJECUCION'!$J$9:$J$1208,0)),0)-$AF80))</f>
        <v/>
      </c>
      <c r="AH80" s="10">
        <f>IF($A80="","",$AF80+$AG80)</f>
        <v/>
      </c>
      <c r="AI80" s="6" t="inlineStr"/>
      <c r="AJ80" s="6" t="inlineStr"/>
      <c r="AK80" s="6" t="inlineStr"/>
      <c r="AL80" s="3">
        <f>IF($AK80="","",HYPERLINK(p_ruta_base_checklists&amp;$AK80,"abrir"))</f>
        <v/>
      </c>
      <c r="AM80" s="6" t="inlineStr"/>
      <c r="AN80" s="3">
        <f>IF($A80="","",$A80&amp;IF($B80="","0010",$B80))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1" t="n">
        <v>46239</v>
      </c>
      <c r="K81" s="3" t="n">
        <v>10</v>
      </c>
      <c r="L81" s="10" t="n">
        <v>250</v>
      </c>
      <c r="M81" s="3">
        <f>IF($A81="","",IFERROR(INDEX('AJUSTES'!$B$4:$B$303,MATCH($AN81,'AJUSTES'!$A$4:$A$303,0)),IF($K81="","",$K81)))</f>
        <v/>
      </c>
      <c r="N81" s="3">
        <f>IF($A81="","",IFERROR(INDEX('CAT_ESTADOS_ERP'!$B$4:$B$7,MATCH(IFERROR(INDEX('2_IMPORTAR_EJECUCION'!$C$9:$C$1208,MATCH($AN81,'2_IMPORTAR_EJECUCION'!$J$9:$J$1208,0)),""),'CAT_ESTADOS_ERP'!$A$4:$A$7,0)),"Pendiente"))</f>
        <v/>
      </c>
      <c r="O81" s="3">
        <f>IF($J81="","",YEAR($J81+4-WEEKDAY($J81,2))&amp;"-S"&amp;TEXT(_xlfn.ISOWEEKNUM($J81),"00"))</f>
        <v/>
      </c>
      <c r="P81" s="3">
        <f>IF($J81="","",YEAR($J81))</f>
        <v/>
      </c>
      <c r="Q81" s="3">
        <f>IF($J81="","",MONTH($J81))</f>
        <v/>
      </c>
      <c r="R81" s="3">
        <f>IF($J81="","",INDEX(lista_dias,WEEKDAY($J81,2)))</f>
        <v/>
      </c>
      <c r="S81" s="3">
        <f>IF($I81="","",IFERROR(INDEX('CAT_TIPOS_OT'!$C$4:$C$7,MATCH($I81,'CAT_TIPOS_OT'!$A$4:$A$7,0)),"sin_clasificar"))</f>
        <v/>
      </c>
      <c r="T81" s="3">
        <f>IF($F81="","",IFERROR(INDEX('CAT_CENTROS_COSTO'!$E$4:$E$9,MATCH($F81,'CAT_CENTROS_COSTO'!$A$4:$A$9,0)),"(sin catálogo)"))</f>
        <v/>
      </c>
      <c r="U81" s="3">
        <f>IF($F81="","",IFERROR(INDEX('CAT_CENTROS_COSTO'!$D$4:$D$9,MATCH($F81,'CAT_CENTROS_COSTO'!$A$4:$A$9,0)),"(sin catálogo)"))</f>
        <v/>
      </c>
      <c r="V81" s="3">
        <f>IF($F81="","",IFERROR(INDEX('CAT_CENTROS_COSTO'!$F$4:$F$9,MATCH($F81,'CAT_CENTROS_COSTO'!$A$4:$A$9,0)),"(sin catálogo)"))</f>
        <v/>
      </c>
      <c r="W81" s="3">
        <f>IF($G81="","",IFERROR(INDEX('CAT_PUESTOS'!$B$4:$B$8,MATCH($G81,'CAT_PUESTOS'!$A$4:$A$8,0)),"(sin catálogo)"))</f>
        <v/>
      </c>
      <c r="X81" s="3">
        <f>IF($H81="","",IFERROR(INDEX('CAT_ACTIVIDADES'!$B$4:$B$8,MATCH($H81,'CAT_ACTIVIDADES'!$A$4:$A$8,0)),"(sin catálogo)"))</f>
        <v/>
      </c>
      <c r="Y81" s="12">
        <f>IF($J81="","",TODAY()-$J81)</f>
        <v/>
      </c>
      <c r="Z81" s="3">
        <f>IF($Y81="","",IF($Y81&lt;0,"FUTURO",IF($Y81&gt;p_dias_backlog_max,"BACKLOG","MES CORRIENTE")))</f>
        <v/>
      </c>
      <c r="AA81" s="3">
        <f>IF($Y81="",FALSE,AND($Y81&gt;p_dias_backlog_min,$Y81&lt;=p_dias_backlog_max))</f>
        <v/>
      </c>
      <c r="AB81" s="6" t="inlineStr">
        <is>
          <t>Técnico 07</t>
        </is>
      </c>
      <c r="AC81" s="3">
        <f>IF($AB81="","",IFERROR(INDEX('ASIGNACIONES'!$F$4:$F$339,MATCH($O81&amp;"|"&amp;$R81&amp;"|"&amp;$AB81,'ASIGNACIONES'!$I$4:$I$339,0)),""))</f>
        <v/>
      </c>
      <c r="AD81" s="13">
        <f>IF($AB81="","",SUMIFS('ORDENES'!$M$4:$M$1203,'ORDENES'!$AB$4:$AB$1203,$AB81,'ORDENES'!$O$4:$O$1203,$O81,'ORDENES'!$R$4:$R$1203,$R81))</f>
        <v/>
      </c>
      <c r="AE81" s="13">
        <f>IF($AD81="","",p_factor_productividad*IFERROR(INDEX('ASIGNACIONES'!$H$4:$H$339,MATCH($O81&amp;"|"&amp;$R81&amp;"|"&amp;$AB81,'ASIGNACIONES'!$I$4:$I$339,0)),0)-$AD81)</f>
        <v/>
      </c>
      <c r="AF81" s="10">
        <f>IF($A81="","",IFERROR(INDEX('2_IMPORTAR_EJECUCION'!$F$9:$F$1208,MATCH($AN81,'2_IMPORTAR_EJECUCION'!$J$9:$J$1208,0)),0))</f>
        <v/>
      </c>
      <c r="AG81" s="10">
        <f>IF($A81="","",MAX(0,IFERROR(INDEX('2_IMPORTAR_EJECUCION'!$H$9:$H$1208,MATCH($AN81,'2_IMPORTAR_EJECUCION'!$J$9:$J$1208,0)),0)-$AF81))</f>
        <v/>
      </c>
      <c r="AH81" s="10">
        <f>IF($A81="","",$AF81+$AG81)</f>
        <v/>
      </c>
      <c r="AI81" s="6" t="inlineStr"/>
      <c r="AJ81" s="6" t="inlineStr"/>
      <c r="AK81" s="6" t="inlineStr">
        <is>
          <t>ACT-01.pdf</t>
        </is>
      </c>
      <c r="AL81" s="3">
        <f>IF($AK81="","",HYPERLINK(p_ruta_base_checklists&amp;$AK81,"abrir"))</f>
        <v/>
      </c>
      <c r="AM81" s="6" t="inlineStr"/>
      <c r="AN81" s="3">
        <f>IF($A81="","",$A81&amp;IF($B81="","0010",$B81))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1" t="n">
        <v>46240</v>
      </c>
      <c r="K82" s="3" t="n">
        <v>8</v>
      </c>
      <c r="L82" s="10" t="n">
        <v>200</v>
      </c>
      <c r="M82" s="3">
        <f>IF($A82="","",IFERROR(INDEX('AJUSTES'!$B$4:$B$303,MATCH($AN82,'AJUSTES'!$A$4:$A$303,0)),IF($K82="","",$K82)))</f>
        <v/>
      </c>
      <c r="N82" s="3">
        <f>IF($A82="","",IFERROR(INDEX('CAT_ESTADOS_ERP'!$B$4:$B$7,MATCH(IFERROR(INDEX('2_IMPORTAR_EJECUCION'!$C$9:$C$1208,MATCH($AN82,'2_IMPORTAR_EJECUCION'!$J$9:$J$1208,0)),""),'CAT_ESTADOS_ERP'!$A$4:$A$7,0)),"Pendiente"))</f>
        <v/>
      </c>
      <c r="O82" s="3">
        <f>IF($J82="","",YEAR($J82+4-WEEKDAY($J82,2))&amp;"-S"&amp;TEXT(_xlfn.ISOWEEKNUM($J82),"00"))</f>
        <v/>
      </c>
      <c r="P82" s="3">
        <f>IF($J82="","",YEAR($J82))</f>
        <v/>
      </c>
      <c r="Q82" s="3">
        <f>IF($J82="","",MONTH($J82))</f>
        <v/>
      </c>
      <c r="R82" s="3">
        <f>IF($J82="","",INDEX(lista_dias,WEEKDAY($J82,2)))</f>
        <v/>
      </c>
      <c r="S82" s="3">
        <f>IF($I82="","",IFERROR(INDEX('CAT_TIPOS_OT'!$C$4:$C$7,MATCH($I82,'CAT_TIPOS_OT'!$A$4:$A$7,0)),"sin_clasificar"))</f>
        <v/>
      </c>
      <c r="T82" s="3">
        <f>IF($F82="","",IFERROR(INDEX('CAT_CENTROS_COSTO'!$E$4:$E$9,MATCH($F82,'CAT_CENTROS_COSTO'!$A$4:$A$9,0)),"(sin catálogo)"))</f>
        <v/>
      </c>
      <c r="U82" s="3">
        <f>IF($F82="","",IFERROR(INDEX('CAT_CENTROS_COSTO'!$D$4:$D$9,MATCH($F82,'CAT_CENTROS_COSTO'!$A$4:$A$9,0)),"(sin catálogo)"))</f>
        <v/>
      </c>
      <c r="V82" s="3">
        <f>IF($F82="","",IFERROR(INDEX('CAT_CENTROS_COSTO'!$F$4:$F$9,MATCH($F82,'CAT_CENTROS_COSTO'!$A$4:$A$9,0)),"(sin catálogo)"))</f>
        <v/>
      </c>
      <c r="W82" s="3">
        <f>IF($G82="","",IFERROR(INDEX('CAT_PUESTOS'!$B$4:$B$8,MATCH($G82,'CAT_PUESTOS'!$A$4:$A$8,0)),"(sin catálogo)"))</f>
        <v/>
      </c>
      <c r="X82" s="3">
        <f>IF($H82="","",IFERROR(INDEX('CAT_ACTIVIDADES'!$B$4:$B$8,MATCH($H82,'CAT_ACTIVIDADES'!$A$4:$A$8,0)),"(sin catálogo)"))</f>
        <v/>
      </c>
      <c r="Y82" s="12">
        <f>IF($J82="","",TODAY()-$J82)</f>
        <v/>
      </c>
      <c r="Z82" s="3">
        <f>IF($Y82="","",IF($Y82&lt;0,"FUTURO",IF($Y82&gt;p_dias_backlog_max,"BACKLOG","MES CORRIENTE")))</f>
        <v/>
      </c>
      <c r="AA82" s="3">
        <f>IF($Y82="",FALSE,AND($Y82&gt;p_dias_backlog_min,$Y82&lt;=p_dias_backlog_max))</f>
        <v/>
      </c>
      <c r="AB82" s="6" t="inlineStr">
        <is>
          <t>Técnico 05</t>
        </is>
      </c>
      <c r="AC82" s="3">
        <f>IF($AB82="","",IFERROR(INDEX('ASIGNACIONES'!$F$4:$F$339,MATCH($O82&amp;"|"&amp;$R82&amp;"|"&amp;$AB82,'ASIGNACIONES'!$I$4:$I$339,0)),""))</f>
        <v/>
      </c>
      <c r="AD82" s="13">
        <f>IF($AB82="","",SUMIFS('ORDENES'!$M$4:$M$1203,'ORDENES'!$AB$4:$AB$1203,$AB82,'ORDENES'!$O$4:$O$1203,$O82,'ORDENES'!$R$4:$R$1203,$R82))</f>
        <v/>
      </c>
      <c r="AE82" s="13">
        <f>IF($AD82="","",p_factor_productividad*IFERROR(INDEX('ASIGNACIONES'!$H$4:$H$339,MATCH($O82&amp;"|"&amp;$R82&amp;"|"&amp;$AB82,'ASIGNACIONES'!$I$4:$I$339,0)),0)-$AD82)</f>
        <v/>
      </c>
      <c r="AF82" s="10">
        <f>IF($A82="","",IFERROR(INDEX('2_IMPORTAR_EJECUCION'!$F$9:$F$1208,MATCH($AN82,'2_IMPORTAR_EJECUCION'!$J$9:$J$1208,0)),0))</f>
        <v/>
      </c>
      <c r="AG82" s="10">
        <f>IF($A82="","",MAX(0,IFERROR(INDEX('2_IMPORTAR_EJECUCION'!$H$9:$H$1208,MATCH($AN82,'2_IMPORTAR_EJECUCION'!$J$9:$J$1208,0)),0)-$AF82))</f>
        <v/>
      </c>
      <c r="AH82" s="10">
        <f>IF($A82="","",$AF82+$AG82)</f>
        <v/>
      </c>
      <c r="AI82" s="6" t="inlineStr"/>
      <c r="AJ82" s="6" t="inlineStr"/>
      <c r="AK82" s="6" t="inlineStr">
        <is>
          <t>ACT-02.pdf</t>
        </is>
      </c>
      <c r="AL82" s="3">
        <f>IF($AK82="","",HYPERLINK(p_ruta_base_checklists&amp;$AK82,"abrir"))</f>
        <v/>
      </c>
      <c r="AM82" s="6" t="inlineStr"/>
      <c r="AN82" s="3">
        <f>IF($A82="","",$A82&amp;IF($B82="","0010",$B82))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1" t="n">
        <v>46241</v>
      </c>
      <c r="K83" s="3" t="n">
        <v>6</v>
      </c>
      <c r="L83" s="10" t="n">
        <v>150</v>
      </c>
      <c r="M83" s="3">
        <f>IF($A83="","",IFERROR(INDEX('AJUSTES'!$B$4:$B$303,MATCH($AN83,'AJUSTES'!$A$4:$A$303,0)),IF($K83="","",$K83)))</f>
        <v/>
      </c>
      <c r="N83" s="3">
        <f>IF($A83="","",IFERROR(INDEX('CAT_ESTADOS_ERP'!$B$4:$B$7,MATCH(IFERROR(INDEX('2_IMPORTAR_EJECUCION'!$C$9:$C$1208,MATCH($AN83,'2_IMPORTAR_EJECUCION'!$J$9:$J$1208,0)),""),'CAT_ESTADOS_ERP'!$A$4:$A$7,0)),"Pendiente"))</f>
        <v/>
      </c>
      <c r="O83" s="3">
        <f>IF($J83="","",YEAR($J83+4-WEEKDAY($J83,2))&amp;"-S"&amp;TEXT(_xlfn.ISOWEEKNUM($J83),"00"))</f>
        <v/>
      </c>
      <c r="P83" s="3">
        <f>IF($J83="","",YEAR($J83))</f>
        <v/>
      </c>
      <c r="Q83" s="3">
        <f>IF($J83="","",MONTH($J83))</f>
        <v/>
      </c>
      <c r="R83" s="3">
        <f>IF($J83="","",INDEX(lista_dias,WEEKDAY($J83,2)))</f>
        <v/>
      </c>
      <c r="S83" s="3">
        <f>IF($I83="","",IFERROR(INDEX('CAT_TIPOS_OT'!$C$4:$C$7,MATCH($I83,'CAT_TIPOS_OT'!$A$4:$A$7,0)),"sin_clasificar"))</f>
        <v/>
      </c>
      <c r="T83" s="3">
        <f>IF($F83="","",IFERROR(INDEX('CAT_CENTROS_COSTO'!$E$4:$E$9,MATCH($F83,'CAT_CENTROS_COSTO'!$A$4:$A$9,0)),"(sin catálogo)"))</f>
        <v/>
      </c>
      <c r="U83" s="3">
        <f>IF($F83="","",IFERROR(INDEX('CAT_CENTROS_COSTO'!$D$4:$D$9,MATCH($F83,'CAT_CENTROS_COSTO'!$A$4:$A$9,0)),"(sin catálogo)"))</f>
        <v/>
      </c>
      <c r="V83" s="3">
        <f>IF($F83="","",IFERROR(INDEX('CAT_CENTROS_COSTO'!$F$4:$F$9,MATCH($F83,'CAT_CENTROS_COSTO'!$A$4:$A$9,0)),"(sin catálogo)"))</f>
        <v/>
      </c>
      <c r="W83" s="3">
        <f>IF($G83="","",IFERROR(INDEX('CAT_PUESTOS'!$B$4:$B$8,MATCH($G83,'CAT_PUESTOS'!$A$4:$A$8,0)),"(sin catálogo)"))</f>
        <v/>
      </c>
      <c r="X83" s="3">
        <f>IF($H83="","",IFERROR(INDEX('CAT_ACTIVIDADES'!$B$4:$B$8,MATCH($H83,'CAT_ACTIVIDADES'!$A$4:$A$8,0)),"(sin catálogo)"))</f>
        <v/>
      </c>
      <c r="Y83" s="12">
        <f>IF($J83="","",TODAY()-$J83)</f>
        <v/>
      </c>
      <c r="Z83" s="3">
        <f>IF($Y83="","",IF($Y83&lt;0,"FUTURO",IF($Y83&gt;p_dias_backlog_max,"BACKLOG","MES CORRIENTE")))</f>
        <v/>
      </c>
      <c r="AA83" s="3">
        <f>IF($Y83="",FALSE,AND($Y83&gt;p_dias_backlog_min,$Y83&lt;=p_dias_backlog_max))</f>
        <v/>
      </c>
      <c r="AB83" s="6" t="inlineStr">
        <is>
          <t>Técnico 06</t>
        </is>
      </c>
      <c r="AC83" s="3">
        <f>IF($AB83="","",IFERROR(INDEX('ASIGNACIONES'!$F$4:$F$339,MATCH($O83&amp;"|"&amp;$R83&amp;"|"&amp;$AB83,'ASIGNACIONES'!$I$4:$I$339,0)),""))</f>
        <v/>
      </c>
      <c r="AD83" s="13">
        <f>IF($AB83="","",SUMIFS('ORDENES'!$M$4:$M$1203,'ORDENES'!$AB$4:$AB$1203,$AB83,'ORDENES'!$O$4:$O$1203,$O83,'ORDENES'!$R$4:$R$1203,$R83))</f>
        <v/>
      </c>
      <c r="AE83" s="13">
        <f>IF($AD83="","",p_factor_productividad*IFERROR(INDEX('ASIGNACIONES'!$H$4:$H$339,MATCH($O83&amp;"|"&amp;$R83&amp;"|"&amp;$AB83,'ASIGNACIONES'!$I$4:$I$339,0)),0)-$AD83)</f>
        <v/>
      </c>
      <c r="AF83" s="10">
        <f>IF($A83="","",IFERROR(INDEX('2_IMPORTAR_EJECUCION'!$F$9:$F$1208,MATCH($AN83,'2_IMPORTAR_EJECUCION'!$J$9:$J$1208,0)),0))</f>
        <v/>
      </c>
      <c r="AG83" s="10">
        <f>IF($A83="","",MAX(0,IFERROR(INDEX('2_IMPORTAR_EJECUCION'!$H$9:$H$1208,MATCH($AN83,'2_IMPORTAR_EJECUCION'!$J$9:$J$1208,0)),0)-$AF83))</f>
        <v/>
      </c>
      <c r="AH83" s="10">
        <f>IF($A83="","",$AF83+$AG83)</f>
        <v/>
      </c>
      <c r="AI83" s="6" t="inlineStr"/>
      <c r="AJ83" s="6" t="inlineStr"/>
      <c r="AK83" s="6" t="inlineStr">
        <is>
          <t>ACT-04.pdf</t>
        </is>
      </c>
      <c r="AL83" s="3">
        <f>IF($AK83="","",HYPERLINK(p_ruta_base_checklists&amp;$AK83,"abrir"))</f>
        <v/>
      </c>
      <c r="AM83" s="6" t="inlineStr"/>
      <c r="AN83" s="3">
        <f>IF($A83="","",$A83&amp;IF($B83="","0010",$B83))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1" t="n">
        <v>46237</v>
      </c>
      <c r="K84" s="3" t="n">
        <v>10</v>
      </c>
      <c r="L84" s="10" t="n">
        <v>250</v>
      </c>
      <c r="M84" s="3">
        <f>IF($A84="","",IFERROR(INDEX('AJUSTES'!$B$4:$B$303,MATCH($AN84,'AJUSTES'!$A$4:$A$303,0)),IF($K84="","",$K84)))</f>
        <v/>
      </c>
      <c r="N84" s="3">
        <f>IF($A84="","",IFERROR(INDEX('CAT_ESTADOS_ERP'!$B$4:$B$7,MATCH(IFERROR(INDEX('2_IMPORTAR_EJECUCION'!$C$9:$C$1208,MATCH($AN84,'2_IMPORTAR_EJECUCION'!$J$9:$J$1208,0)),""),'CAT_ESTADOS_ERP'!$A$4:$A$7,0)),"Pendiente"))</f>
        <v/>
      </c>
      <c r="O84" s="3">
        <f>IF($J84="","",YEAR($J84+4-WEEKDAY($J84,2))&amp;"-S"&amp;TEXT(_xlfn.ISOWEEKNUM($J84),"00"))</f>
        <v/>
      </c>
      <c r="P84" s="3">
        <f>IF($J84="","",YEAR($J84))</f>
        <v/>
      </c>
      <c r="Q84" s="3">
        <f>IF($J84="","",MONTH($J84))</f>
        <v/>
      </c>
      <c r="R84" s="3">
        <f>IF($J84="","",INDEX(lista_dias,WEEKDAY($J84,2)))</f>
        <v/>
      </c>
      <c r="S84" s="3">
        <f>IF($I84="","",IFERROR(INDEX('CAT_TIPOS_OT'!$C$4:$C$7,MATCH($I84,'CAT_TIPOS_OT'!$A$4:$A$7,0)),"sin_clasificar"))</f>
        <v/>
      </c>
      <c r="T84" s="3">
        <f>IF($F84="","",IFERROR(INDEX('CAT_CENTROS_COSTO'!$E$4:$E$9,MATCH($F84,'CAT_CENTROS_COSTO'!$A$4:$A$9,0)),"(sin catálogo)"))</f>
        <v/>
      </c>
      <c r="U84" s="3">
        <f>IF($F84="","",IFERROR(INDEX('CAT_CENTROS_COSTO'!$D$4:$D$9,MATCH($F84,'CAT_CENTROS_COSTO'!$A$4:$A$9,0)),"(sin catálogo)"))</f>
        <v/>
      </c>
      <c r="V84" s="3">
        <f>IF($F84="","",IFERROR(INDEX('CAT_CENTROS_COSTO'!$F$4:$F$9,MATCH($F84,'CAT_CENTROS_COSTO'!$A$4:$A$9,0)),"(sin catálogo)"))</f>
        <v/>
      </c>
      <c r="W84" s="3">
        <f>IF($G84="","",IFERROR(INDEX('CAT_PUESTOS'!$B$4:$B$8,MATCH($G84,'CAT_PUESTOS'!$A$4:$A$8,0)),"(sin catálogo)"))</f>
        <v/>
      </c>
      <c r="X84" s="3">
        <f>IF($H84="","",IFERROR(INDEX('CAT_ACTIVIDADES'!$B$4:$B$8,MATCH($H84,'CAT_ACTIVIDADES'!$A$4:$A$8,0)),"(sin catálogo)"))</f>
        <v/>
      </c>
      <c r="Y84" s="12">
        <f>IF($J84="","",TODAY()-$J84)</f>
        <v/>
      </c>
      <c r="Z84" s="3">
        <f>IF($Y84="","",IF($Y84&lt;0,"FUTURO",IF($Y84&gt;p_dias_backlog_max,"BACKLOG","MES CORRIENTE")))</f>
        <v/>
      </c>
      <c r="AA84" s="3">
        <f>IF($Y84="",FALSE,AND($Y84&gt;p_dias_backlog_min,$Y84&lt;=p_dias_backlog_max))</f>
        <v/>
      </c>
      <c r="AB84" s="6" t="inlineStr">
        <is>
          <t>Técnico 07</t>
        </is>
      </c>
      <c r="AC84" s="3">
        <f>IF($AB84="","",IFERROR(INDEX('ASIGNACIONES'!$F$4:$F$339,MATCH($O84&amp;"|"&amp;$R84&amp;"|"&amp;$AB84,'ASIGNACIONES'!$I$4:$I$339,0)),""))</f>
        <v/>
      </c>
      <c r="AD84" s="13">
        <f>IF($AB84="","",SUMIFS('ORDENES'!$M$4:$M$1203,'ORDENES'!$AB$4:$AB$1203,$AB84,'ORDENES'!$O$4:$O$1203,$O84,'ORDENES'!$R$4:$R$1203,$R84))</f>
        <v/>
      </c>
      <c r="AE84" s="13">
        <f>IF($AD84="","",p_factor_productividad*IFERROR(INDEX('ASIGNACIONES'!$H$4:$H$339,MATCH($O84&amp;"|"&amp;$R84&amp;"|"&amp;$AB84,'ASIGNACIONES'!$I$4:$I$339,0)),0)-$AD84)</f>
        <v/>
      </c>
      <c r="AF84" s="10">
        <f>IF($A84="","",IFERROR(INDEX('2_IMPORTAR_EJECUCION'!$F$9:$F$1208,MATCH($AN84,'2_IMPORTAR_EJECUCION'!$J$9:$J$1208,0)),0))</f>
        <v/>
      </c>
      <c r="AG84" s="10">
        <f>IF($A84="","",MAX(0,IFERROR(INDEX('2_IMPORTAR_EJECUCION'!$H$9:$H$1208,MATCH($AN84,'2_IMPORTAR_EJECUCION'!$J$9:$J$1208,0)),0)-$AF84))</f>
        <v/>
      </c>
      <c r="AH84" s="10">
        <f>IF($A84="","",$AF84+$AG84)</f>
        <v/>
      </c>
      <c r="AI84" s="6" t="inlineStr"/>
      <c r="AJ84" s="6" t="inlineStr"/>
      <c r="AK84" s="6" t="inlineStr">
        <is>
          <t>ACT-01.pdf</t>
        </is>
      </c>
      <c r="AL84" s="3">
        <f>IF($AK84="","",HYPERLINK(p_ruta_base_checklists&amp;$AK84,"abrir"))</f>
        <v/>
      </c>
      <c r="AM84" s="6" t="inlineStr"/>
      <c r="AN84" s="3">
        <f>IF($A84="","",$A84&amp;IF($B84="","0010",$B84))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1" t="n">
        <v>46238</v>
      </c>
      <c r="K85" s="3" t="n">
        <v>8</v>
      </c>
      <c r="L85" s="10" t="n">
        <v>200</v>
      </c>
      <c r="M85" s="3">
        <f>IF($A85="","",IFERROR(INDEX('AJUSTES'!$B$4:$B$303,MATCH($AN85,'AJUSTES'!$A$4:$A$303,0)),IF($K85="","",$K85)))</f>
        <v/>
      </c>
      <c r="N85" s="3">
        <f>IF($A85="","",IFERROR(INDEX('CAT_ESTADOS_ERP'!$B$4:$B$7,MATCH(IFERROR(INDEX('2_IMPORTAR_EJECUCION'!$C$9:$C$1208,MATCH($AN85,'2_IMPORTAR_EJECUCION'!$J$9:$J$1208,0)),""),'CAT_ESTADOS_ERP'!$A$4:$A$7,0)),"Pendiente"))</f>
        <v/>
      </c>
      <c r="O85" s="3">
        <f>IF($J85="","",YEAR($J85+4-WEEKDAY($J85,2))&amp;"-S"&amp;TEXT(_xlfn.ISOWEEKNUM($J85),"00"))</f>
        <v/>
      </c>
      <c r="P85" s="3">
        <f>IF($J85="","",YEAR($J85))</f>
        <v/>
      </c>
      <c r="Q85" s="3">
        <f>IF($J85="","",MONTH($J85))</f>
        <v/>
      </c>
      <c r="R85" s="3">
        <f>IF($J85="","",INDEX(lista_dias,WEEKDAY($J85,2)))</f>
        <v/>
      </c>
      <c r="S85" s="3">
        <f>IF($I85="","",IFERROR(INDEX('CAT_TIPOS_OT'!$C$4:$C$7,MATCH($I85,'CAT_TIPOS_OT'!$A$4:$A$7,0)),"sin_clasificar"))</f>
        <v/>
      </c>
      <c r="T85" s="3">
        <f>IF($F85="","",IFERROR(INDEX('CAT_CENTROS_COSTO'!$E$4:$E$9,MATCH($F85,'CAT_CENTROS_COSTO'!$A$4:$A$9,0)),"(sin catálogo)"))</f>
        <v/>
      </c>
      <c r="U85" s="3">
        <f>IF($F85="","",IFERROR(INDEX('CAT_CENTROS_COSTO'!$D$4:$D$9,MATCH($F85,'CAT_CENTROS_COSTO'!$A$4:$A$9,0)),"(sin catálogo)"))</f>
        <v/>
      </c>
      <c r="V85" s="3">
        <f>IF($F85="","",IFERROR(INDEX('CAT_CENTROS_COSTO'!$F$4:$F$9,MATCH($F85,'CAT_CENTROS_COSTO'!$A$4:$A$9,0)),"(sin catálogo)"))</f>
        <v/>
      </c>
      <c r="W85" s="3">
        <f>IF($G85="","",IFERROR(INDEX('CAT_PUESTOS'!$B$4:$B$8,MATCH($G85,'CAT_PUESTOS'!$A$4:$A$8,0)),"(sin catálogo)"))</f>
        <v/>
      </c>
      <c r="X85" s="3">
        <f>IF($H85="","",IFERROR(INDEX('CAT_ACTIVIDADES'!$B$4:$B$8,MATCH($H85,'CAT_ACTIVIDADES'!$A$4:$A$8,0)),"(sin catálogo)"))</f>
        <v/>
      </c>
      <c r="Y85" s="12">
        <f>IF($J85="","",TODAY()-$J85)</f>
        <v/>
      </c>
      <c r="Z85" s="3">
        <f>IF($Y85="","",IF($Y85&lt;0,"FUTURO",IF($Y85&gt;p_dias_backlog_max,"BACKLOG","MES CORRIENTE")))</f>
        <v/>
      </c>
      <c r="AA85" s="3">
        <f>IF($Y85="",FALSE,AND($Y85&gt;p_dias_backlog_min,$Y85&lt;=p_dias_backlog_max))</f>
        <v/>
      </c>
      <c r="AB85" s="6" t="inlineStr">
        <is>
          <t>Técnico 05</t>
        </is>
      </c>
      <c r="AC85" s="3">
        <f>IF($AB85="","",IFERROR(INDEX('ASIGNACIONES'!$F$4:$F$339,MATCH($O85&amp;"|"&amp;$R85&amp;"|"&amp;$AB85,'ASIGNACIONES'!$I$4:$I$339,0)),""))</f>
        <v/>
      </c>
      <c r="AD85" s="13">
        <f>IF($AB85="","",SUMIFS('ORDENES'!$M$4:$M$1203,'ORDENES'!$AB$4:$AB$1203,$AB85,'ORDENES'!$O$4:$O$1203,$O85,'ORDENES'!$R$4:$R$1203,$R85))</f>
        <v/>
      </c>
      <c r="AE85" s="13">
        <f>IF($AD85="","",p_factor_productividad*IFERROR(INDEX('ASIGNACIONES'!$H$4:$H$339,MATCH($O85&amp;"|"&amp;$R85&amp;"|"&amp;$AB85,'ASIGNACIONES'!$I$4:$I$339,0)),0)-$AD85)</f>
        <v/>
      </c>
      <c r="AF85" s="10">
        <f>IF($A85="","",IFERROR(INDEX('2_IMPORTAR_EJECUCION'!$F$9:$F$1208,MATCH($AN85,'2_IMPORTAR_EJECUCION'!$J$9:$J$1208,0)),0))</f>
        <v/>
      </c>
      <c r="AG85" s="10">
        <f>IF($A85="","",MAX(0,IFERROR(INDEX('2_IMPORTAR_EJECUCION'!$H$9:$H$1208,MATCH($AN85,'2_IMPORTAR_EJECUCION'!$J$9:$J$1208,0)),0)-$AF85))</f>
        <v/>
      </c>
      <c r="AH85" s="10">
        <f>IF($A85="","",$AF85+$AG85)</f>
        <v/>
      </c>
      <c r="AI85" s="6" t="inlineStr"/>
      <c r="AJ85" s="6" t="inlineStr"/>
      <c r="AK85" s="6" t="inlineStr">
        <is>
          <t>ACT-02.pdf</t>
        </is>
      </c>
      <c r="AL85" s="3">
        <f>IF($AK85="","",HYPERLINK(p_ruta_base_checklists&amp;$AK85,"abrir"))</f>
        <v/>
      </c>
      <c r="AM85" s="6" t="inlineStr"/>
      <c r="AN85" s="3">
        <f>IF($A85="","",$A85&amp;IF($B85="","0010",$B85))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1" t="n">
        <v>46239</v>
      </c>
      <c r="K86" s="3" t="n">
        <v>8</v>
      </c>
      <c r="L86" s="10" t="n">
        <v>200</v>
      </c>
      <c r="M86" s="3">
        <f>IF($A86="","",IFERROR(INDEX('AJUSTES'!$B$4:$B$303,MATCH($AN86,'AJUSTES'!$A$4:$A$303,0)),IF($K86="","",$K86)))</f>
        <v/>
      </c>
      <c r="N86" s="3">
        <f>IF($A86="","",IFERROR(INDEX('CAT_ESTADOS_ERP'!$B$4:$B$7,MATCH(IFERROR(INDEX('2_IMPORTAR_EJECUCION'!$C$9:$C$1208,MATCH($AN86,'2_IMPORTAR_EJECUCION'!$J$9:$J$1208,0)),""),'CAT_ESTADOS_ERP'!$A$4:$A$7,0)),"Pendiente"))</f>
        <v/>
      </c>
      <c r="O86" s="3">
        <f>IF($J86="","",YEAR($J86+4-WEEKDAY($J86,2))&amp;"-S"&amp;TEXT(_xlfn.ISOWEEKNUM($J86),"00"))</f>
        <v/>
      </c>
      <c r="P86" s="3">
        <f>IF($J86="","",YEAR($J86))</f>
        <v/>
      </c>
      <c r="Q86" s="3">
        <f>IF($J86="","",MONTH($J86))</f>
        <v/>
      </c>
      <c r="R86" s="3">
        <f>IF($J86="","",INDEX(lista_dias,WEEKDAY($J86,2)))</f>
        <v/>
      </c>
      <c r="S86" s="3">
        <f>IF($I86="","",IFERROR(INDEX('CAT_TIPOS_OT'!$C$4:$C$7,MATCH($I86,'CAT_TIPOS_OT'!$A$4:$A$7,0)),"sin_clasificar"))</f>
        <v/>
      </c>
      <c r="T86" s="3">
        <f>IF($F86="","",IFERROR(INDEX('CAT_CENTROS_COSTO'!$E$4:$E$9,MATCH($F86,'CAT_CENTROS_COSTO'!$A$4:$A$9,0)),"(sin catálogo)"))</f>
        <v/>
      </c>
      <c r="U86" s="3">
        <f>IF($F86="","",IFERROR(INDEX('CAT_CENTROS_COSTO'!$D$4:$D$9,MATCH($F86,'CAT_CENTROS_COSTO'!$A$4:$A$9,0)),"(sin catálogo)"))</f>
        <v/>
      </c>
      <c r="V86" s="3">
        <f>IF($F86="","",IFERROR(INDEX('CAT_CENTROS_COSTO'!$F$4:$F$9,MATCH($F86,'CAT_CENTROS_COSTO'!$A$4:$A$9,0)),"(sin catálogo)"))</f>
        <v/>
      </c>
      <c r="W86" s="3">
        <f>IF($G86="","",IFERROR(INDEX('CAT_PUESTOS'!$B$4:$B$8,MATCH($G86,'CAT_PUESTOS'!$A$4:$A$8,0)),"(sin catálogo)"))</f>
        <v/>
      </c>
      <c r="X86" s="3">
        <f>IF($H86="","",IFERROR(INDEX('CAT_ACTIVIDADES'!$B$4:$B$8,MATCH($H86,'CAT_ACTIVIDADES'!$A$4:$A$8,0)),"(sin catálogo)"))</f>
        <v/>
      </c>
      <c r="Y86" s="12">
        <f>IF($J86="","",TODAY()-$J86)</f>
        <v/>
      </c>
      <c r="Z86" s="3">
        <f>IF($Y86="","",IF($Y86&lt;0,"FUTURO",IF($Y86&gt;p_dias_backlog_max,"BACKLOG","MES CORRIENTE")))</f>
        <v/>
      </c>
      <c r="AA86" s="3">
        <f>IF($Y86="",FALSE,AND($Y86&gt;p_dias_backlog_min,$Y86&lt;=p_dias_backlog_max))</f>
        <v/>
      </c>
      <c r="AB86" s="6" t="inlineStr">
        <is>
          <t>Técnico 06</t>
        </is>
      </c>
      <c r="AC86" s="3">
        <f>IF($AB86="","",IFERROR(INDEX('ASIGNACIONES'!$F$4:$F$339,MATCH($O86&amp;"|"&amp;$R86&amp;"|"&amp;$AB86,'ASIGNACIONES'!$I$4:$I$339,0)),""))</f>
        <v/>
      </c>
      <c r="AD86" s="13">
        <f>IF($AB86="","",SUMIFS('ORDENES'!$M$4:$M$1203,'ORDENES'!$AB$4:$AB$1203,$AB86,'ORDENES'!$O$4:$O$1203,$O86,'ORDENES'!$R$4:$R$1203,$R86))</f>
        <v/>
      </c>
      <c r="AE86" s="13">
        <f>IF($AD86="","",p_factor_productividad*IFERROR(INDEX('ASIGNACIONES'!$H$4:$H$339,MATCH($O86&amp;"|"&amp;$R86&amp;"|"&amp;$AB86,'ASIGNACIONES'!$I$4:$I$339,0)),0)-$AD86)</f>
        <v/>
      </c>
      <c r="AF86" s="10">
        <f>IF($A86="","",IFERROR(INDEX('2_IMPORTAR_EJECUCION'!$F$9:$F$1208,MATCH($AN86,'2_IMPORTAR_EJECUCION'!$J$9:$J$1208,0)),0))</f>
        <v/>
      </c>
      <c r="AG86" s="10">
        <f>IF($A86="","",MAX(0,IFERROR(INDEX('2_IMPORTAR_EJECUCION'!$H$9:$H$1208,MATCH($AN86,'2_IMPORTAR_EJECUCION'!$J$9:$J$1208,0)),0)-$AF86))</f>
        <v/>
      </c>
      <c r="AH86" s="10">
        <f>IF($A86="","",$AF86+$AG86)</f>
        <v/>
      </c>
      <c r="AI86" s="6" t="inlineStr"/>
      <c r="AJ86" s="6" t="inlineStr"/>
      <c r="AK86" s="6" t="inlineStr">
        <is>
          <t>ACT-04.pdf</t>
        </is>
      </c>
      <c r="AL86" s="3">
        <f>IF($AK86="","",HYPERLINK(p_ruta_base_checklists&amp;$AK86,"abrir"))</f>
        <v/>
      </c>
      <c r="AM86" s="6" t="inlineStr"/>
      <c r="AN86" s="3">
        <f>IF($A86="","",$A86&amp;IF($B86="","0010",$B86))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1" t="n">
        <v>46240</v>
      </c>
      <c r="K87" s="3" t="n">
        <v>10</v>
      </c>
      <c r="L87" s="10" t="n">
        <v>400</v>
      </c>
      <c r="M87" s="3">
        <f>IF($A87="","",IFERROR(INDEX('AJUSTES'!$B$4:$B$303,MATCH($AN87,'AJUSTES'!$A$4:$A$303,0)),IF($K87="","",$K87)))</f>
        <v/>
      </c>
      <c r="N87" s="3">
        <f>IF($A87="","",IFERROR(INDEX('CAT_ESTADOS_ERP'!$B$4:$B$7,MATCH(IFERROR(INDEX('2_IMPORTAR_EJECUCION'!$C$9:$C$1208,MATCH($AN87,'2_IMPORTAR_EJECUCION'!$J$9:$J$1208,0)),""),'CAT_ESTADOS_ERP'!$A$4:$A$7,0)),"Pendiente"))</f>
        <v/>
      </c>
      <c r="O87" s="3">
        <f>IF($J87="","",YEAR($J87+4-WEEKDAY($J87,2))&amp;"-S"&amp;TEXT(_xlfn.ISOWEEKNUM($J87),"00"))</f>
        <v/>
      </c>
      <c r="P87" s="3">
        <f>IF($J87="","",YEAR($J87))</f>
        <v/>
      </c>
      <c r="Q87" s="3">
        <f>IF($J87="","",MONTH($J87))</f>
        <v/>
      </c>
      <c r="R87" s="3">
        <f>IF($J87="","",INDEX(lista_dias,WEEKDAY($J87,2)))</f>
        <v/>
      </c>
      <c r="S87" s="3">
        <f>IF($I87="","",IFERROR(INDEX('CAT_TIPOS_OT'!$C$4:$C$7,MATCH($I87,'CAT_TIPOS_OT'!$A$4:$A$7,0)),"sin_clasificar"))</f>
        <v/>
      </c>
      <c r="T87" s="3">
        <f>IF($F87="","",IFERROR(INDEX('CAT_CENTROS_COSTO'!$E$4:$E$9,MATCH($F87,'CAT_CENTROS_COSTO'!$A$4:$A$9,0)),"(sin catálogo)"))</f>
        <v/>
      </c>
      <c r="U87" s="3">
        <f>IF($F87="","",IFERROR(INDEX('CAT_CENTROS_COSTO'!$D$4:$D$9,MATCH($F87,'CAT_CENTROS_COSTO'!$A$4:$A$9,0)),"(sin catálogo)"))</f>
        <v/>
      </c>
      <c r="V87" s="3">
        <f>IF($F87="","",IFERROR(INDEX('CAT_CENTROS_COSTO'!$F$4:$F$9,MATCH($F87,'CAT_CENTROS_COSTO'!$A$4:$A$9,0)),"(sin catálogo)"))</f>
        <v/>
      </c>
      <c r="W87" s="3">
        <f>IF($G87="","",IFERROR(INDEX('CAT_PUESTOS'!$B$4:$B$8,MATCH($G87,'CAT_PUESTOS'!$A$4:$A$8,0)),"(sin catálogo)"))</f>
        <v/>
      </c>
      <c r="X87" s="3">
        <f>IF($H87="","",IFERROR(INDEX('CAT_ACTIVIDADES'!$B$4:$B$8,MATCH($H87,'CAT_ACTIVIDADES'!$A$4:$A$8,0)),"(sin catálogo)"))</f>
        <v/>
      </c>
      <c r="Y87" s="12">
        <f>IF($J87="","",TODAY()-$J87)</f>
        <v/>
      </c>
      <c r="Z87" s="3">
        <f>IF($Y87="","",IF($Y87&lt;0,"FUTURO",IF($Y87&gt;p_dias_backlog_max,"BACKLOG","MES CORRIENTE")))</f>
        <v/>
      </c>
      <c r="AA87" s="3">
        <f>IF($Y87="",FALSE,AND($Y87&gt;p_dias_backlog_min,$Y87&lt;=p_dias_backlog_max))</f>
        <v/>
      </c>
      <c r="AB87" s="6" t="inlineStr"/>
      <c r="AC87" s="3">
        <f>IF($AB87="","",IFERROR(INDEX('ASIGNACIONES'!$F$4:$F$339,MATCH($O87&amp;"|"&amp;$R87&amp;"|"&amp;$AB87,'ASIGNACIONES'!$I$4:$I$339,0)),""))</f>
        <v/>
      </c>
      <c r="AD87" s="13">
        <f>IF($AB87="","",SUMIFS('ORDENES'!$M$4:$M$1203,'ORDENES'!$AB$4:$AB$1203,$AB87,'ORDENES'!$O$4:$O$1203,$O87,'ORDENES'!$R$4:$R$1203,$R87))</f>
        <v/>
      </c>
      <c r="AE87" s="13">
        <f>IF($AD87="","",p_factor_productividad*IFERROR(INDEX('ASIGNACIONES'!$H$4:$H$339,MATCH($O87&amp;"|"&amp;$R87&amp;"|"&amp;$AB87,'ASIGNACIONES'!$I$4:$I$339,0)),0)-$AD87)</f>
        <v/>
      </c>
      <c r="AF87" s="10">
        <f>IF($A87="","",IFERROR(INDEX('2_IMPORTAR_EJECUCION'!$F$9:$F$1208,MATCH($AN87,'2_IMPORTAR_EJECUCION'!$J$9:$J$1208,0)),0))</f>
        <v/>
      </c>
      <c r="AG87" s="10">
        <f>IF($A87="","",MAX(0,IFERROR(INDEX('2_IMPORTAR_EJECUCION'!$H$9:$H$1208,MATCH($AN87,'2_IMPORTAR_EJECUCION'!$J$9:$J$1208,0)),0)-$AF87))</f>
        <v/>
      </c>
      <c r="AH87" s="10">
        <f>IF($A87="","",$AF87+$AG87)</f>
        <v/>
      </c>
      <c r="AI87" s="6" t="inlineStr">
        <is>
          <t>PT-CALIENTE</t>
        </is>
      </c>
      <c r="AJ87" s="6" t="inlineStr">
        <is>
          <t>LOTO</t>
        </is>
      </c>
      <c r="AK87" s="6" t="inlineStr"/>
      <c r="AL87" s="3">
        <f>IF($AK87="","",HYPERLINK(p_ruta_base_checklists&amp;$AK87,"abrir"))</f>
        <v/>
      </c>
      <c r="AM87" s="6" t="inlineStr"/>
      <c r="AN87" s="3">
        <f>IF($A87="","",$A87&amp;IF($B87="","0010",$B87))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1" t="n">
        <v>46220</v>
      </c>
      <c r="K88" s="3" t="n">
        <v>10</v>
      </c>
      <c r="L88" s="10" t="n">
        <v>250</v>
      </c>
      <c r="M88" s="3">
        <f>IF($A88="","",IFERROR(INDEX('AJUSTES'!$B$4:$B$303,MATCH($AN88,'AJUSTES'!$A$4:$A$303,0)),IF($K88="","",$K88)))</f>
        <v/>
      </c>
      <c r="N88" s="3">
        <f>IF($A88="","",IFERROR(INDEX('CAT_ESTADOS_ERP'!$B$4:$B$7,MATCH(IFERROR(INDEX('2_IMPORTAR_EJECUCION'!$C$9:$C$1208,MATCH($AN88,'2_IMPORTAR_EJECUCION'!$J$9:$J$1208,0)),""),'CAT_ESTADOS_ERP'!$A$4:$A$7,0)),"Pendiente"))</f>
        <v/>
      </c>
      <c r="O88" s="3">
        <f>IF($J88="","",YEAR($J88+4-WEEKDAY($J88,2))&amp;"-S"&amp;TEXT(_xlfn.ISOWEEKNUM($J88),"00"))</f>
        <v/>
      </c>
      <c r="P88" s="3">
        <f>IF($J88="","",YEAR($J88))</f>
        <v/>
      </c>
      <c r="Q88" s="3">
        <f>IF($J88="","",MONTH($J88))</f>
        <v/>
      </c>
      <c r="R88" s="3">
        <f>IF($J88="","",INDEX(lista_dias,WEEKDAY($J88,2)))</f>
        <v/>
      </c>
      <c r="S88" s="3">
        <f>IF($I88="","",IFERROR(INDEX('CAT_TIPOS_OT'!$C$4:$C$7,MATCH($I88,'CAT_TIPOS_OT'!$A$4:$A$7,0)),"sin_clasificar"))</f>
        <v/>
      </c>
      <c r="T88" s="3">
        <f>IF($F88="","",IFERROR(INDEX('CAT_CENTROS_COSTO'!$E$4:$E$9,MATCH($F88,'CAT_CENTROS_COSTO'!$A$4:$A$9,0)),"(sin catálogo)"))</f>
        <v/>
      </c>
      <c r="U88" s="3">
        <f>IF($F88="","",IFERROR(INDEX('CAT_CENTROS_COSTO'!$D$4:$D$9,MATCH($F88,'CAT_CENTROS_COSTO'!$A$4:$A$9,0)),"(sin catálogo)"))</f>
        <v/>
      </c>
      <c r="V88" s="3">
        <f>IF($F88="","",IFERROR(INDEX('CAT_CENTROS_COSTO'!$F$4:$F$9,MATCH($F88,'CAT_CENTROS_COSTO'!$A$4:$A$9,0)),"(sin catálogo)"))</f>
        <v/>
      </c>
      <c r="W88" s="3">
        <f>IF($G88="","",IFERROR(INDEX('CAT_PUESTOS'!$B$4:$B$8,MATCH($G88,'CAT_PUESTOS'!$A$4:$A$8,0)),"(sin catálogo)"))</f>
        <v/>
      </c>
      <c r="X88" s="3">
        <f>IF($H88="","",IFERROR(INDEX('CAT_ACTIVIDADES'!$B$4:$B$8,MATCH($H88,'CAT_ACTIVIDADES'!$A$4:$A$8,0)),"(sin catálogo)"))</f>
        <v/>
      </c>
      <c r="Y88" s="12">
        <f>IF($J88="","",TODAY()-$J88)</f>
        <v/>
      </c>
      <c r="Z88" s="3">
        <f>IF($Y88="","",IF($Y88&lt;0,"FUTURO",IF($Y88&gt;p_dias_backlog_max,"BACKLOG","MES CORRIENTE")))</f>
        <v/>
      </c>
      <c r="AA88" s="3">
        <f>IF($Y88="",FALSE,AND($Y88&gt;p_dias_backlog_min,$Y88&lt;=p_dias_backlog_max))</f>
        <v/>
      </c>
      <c r="AB88" s="6" t="inlineStr">
        <is>
          <t>Técnico 08</t>
        </is>
      </c>
      <c r="AC88" s="3">
        <f>IF($AB88="","",IFERROR(INDEX('ASIGNACIONES'!$F$4:$F$339,MATCH($O88&amp;"|"&amp;$R88&amp;"|"&amp;$AB88,'ASIGNACIONES'!$I$4:$I$339,0)),""))</f>
        <v/>
      </c>
      <c r="AD88" s="13">
        <f>IF($AB88="","",SUMIFS('ORDENES'!$M$4:$M$1203,'ORDENES'!$AB$4:$AB$1203,$AB88,'ORDENES'!$O$4:$O$1203,$O88,'ORDENES'!$R$4:$R$1203,$R88))</f>
        <v/>
      </c>
      <c r="AE88" s="13">
        <f>IF($AD88="","",p_factor_productividad*IFERROR(INDEX('ASIGNACIONES'!$H$4:$H$339,MATCH($O88&amp;"|"&amp;$R88&amp;"|"&amp;$AB88,'ASIGNACIONES'!$I$4:$I$339,0)),0)-$AD88)</f>
        <v/>
      </c>
      <c r="AF88" s="10">
        <f>IF($A88="","",IFERROR(INDEX('2_IMPORTAR_EJECUCION'!$F$9:$F$1208,MATCH($AN88,'2_IMPORTAR_EJECUCION'!$J$9:$J$1208,0)),0))</f>
        <v/>
      </c>
      <c r="AG88" s="10">
        <f>IF($A88="","",MAX(0,IFERROR(INDEX('2_IMPORTAR_EJECUCION'!$H$9:$H$1208,MATCH($AN88,'2_IMPORTAR_EJECUCION'!$J$9:$J$1208,0)),0)-$AF88))</f>
        <v/>
      </c>
      <c r="AH88" s="10">
        <f>IF($A88="","",$AF88+$AG88)</f>
        <v/>
      </c>
      <c r="AI88" s="6" t="inlineStr"/>
      <c r="AJ88" s="6" t="inlineStr"/>
      <c r="AK88" s="6" t="inlineStr">
        <is>
          <t>ACT-02.pdf</t>
        </is>
      </c>
      <c r="AL88" s="3">
        <f>IF($AK88="","",HYPERLINK(p_ruta_base_checklists&amp;$AK88,"abrir"))</f>
        <v/>
      </c>
      <c r="AM88" s="6" t="inlineStr"/>
      <c r="AN88" s="3">
        <f>IF($A88="","",$A88&amp;IF($B88="","0010",$B88))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1" t="n">
        <v>46216</v>
      </c>
      <c r="K89" s="3" t="n">
        <v>8</v>
      </c>
      <c r="L89" s="10" t="n">
        <v>200</v>
      </c>
      <c r="M89" s="3">
        <f>IF($A89="","",IFERROR(INDEX('AJUSTES'!$B$4:$B$303,MATCH($AN89,'AJUSTES'!$A$4:$A$303,0)),IF($K89="","",$K89)))</f>
        <v/>
      </c>
      <c r="N89" s="3">
        <f>IF($A89="","",IFERROR(INDEX('CAT_ESTADOS_ERP'!$B$4:$B$7,MATCH(IFERROR(INDEX('2_IMPORTAR_EJECUCION'!$C$9:$C$1208,MATCH($AN89,'2_IMPORTAR_EJECUCION'!$J$9:$J$1208,0)),""),'CAT_ESTADOS_ERP'!$A$4:$A$7,0)),"Pendiente"))</f>
        <v/>
      </c>
      <c r="O89" s="3">
        <f>IF($J89="","",YEAR($J89+4-WEEKDAY($J89,2))&amp;"-S"&amp;TEXT(_xlfn.ISOWEEKNUM($J89),"00"))</f>
        <v/>
      </c>
      <c r="P89" s="3">
        <f>IF($J89="","",YEAR($J89))</f>
        <v/>
      </c>
      <c r="Q89" s="3">
        <f>IF($J89="","",MONTH($J89))</f>
        <v/>
      </c>
      <c r="R89" s="3">
        <f>IF($J89="","",INDEX(lista_dias,WEEKDAY($J89,2)))</f>
        <v/>
      </c>
      <c r="S89" s="3">
        <f>IF($I89="","",IFERROR(INDEX('CAT_TIPOS_OT'!$C$4:$C$7,MATCH($I89,'CAT_TIPOS_OT'!$A$4:$A$7,0)),"sin_clasificar"))</f>
        <v/>
      </c>
      <c r="T89" s="3">
        <f>IF($F89="","",IFERROR(INDEX('CAT_CENTROS_COSTO'!$E$4:$E$9,MATCH($F89,'CAT_CENTROS_COSTO'!$A$4:$A$9,0)),"(sin catálogo)"))</f>
        <v/>
      </c>
      <c r="U89" s="3">
        <f>IF($F89="","",IFERROR(INDEX('CAT_CENTROS_COSTO'!$D$4:$D$9,MATCH($F89,'CAT_CENTROS_COSTO'!$A$4:$A$9,0)),"(sin catálogo)"))</f>
        <v/>
      </c>
      <c r="V89" s="3">
        <f>IF($F89="","",IFERROR(INDEX('CAT_CENTROS_COSTO'!$F$4:$F$9,MATCH($F89,'CAT_CENTROS_COSTO'!$A$4:$A$9,0)),"(sin catálogo)"))</f>
        <v/>
      </c>
      <c r="W89" s="3">
        <f>IF($G89="","",IFERROR(INDEX('CAT_PUESTOS'!$B$4:$B$8,MATCH($G89,'CAT_PUESTOS'!$A$4:$A$8,0)),"(sin catálogo)"))</f>
        <v/>
      </c>
      <c r="X89" s="3">
        <f>IF($H89="","",IFERROR(INDEX('CAT_ACTIVIDADES'!$B$4:$B$8,MATCH($H89,'CAT_ACTIVIDADES'!$A$4:$A$8,0)),"(sin catálogo)"))</f>
        <v/>
      </c>
      <c r="Y89" s="12">
        <f>IF($J89="","",TODAY()-$J89)</f>
        <v/>
      </c>
      <c r="Z89" s="3">
        <f>IF($Y89="","",IF($Y89&lt;0,"FUTURO",IF($Y89&gt;p_dias_backlog_max,"BACKLOG","MES CORRIENTE")))</f>
        <v/>
      </c>
      <c r="AA89" s="3">
        <f>IF($Y89="",FALSE,AND($Y89&gt;p_dias_backlog_min,$Y89&lt;=p_dias_backlog_max))</f>
        <v/>
      </c>
      <c r="AB89" s="6" t="inlineStr">
        <is>
          <t>Técnico 09</t>
        </is>
      </c>
      <c r="AC89" s="3">
        <f>IF($AB89="","",IFERROR(INDEX('ASIGNACIONES'!$F$4:$F$339,MATCH($O89&amp;"|"&amp;$R89&amp;"|"&amp;$AB89,'ASIGNACIONES'!$I$4:$I$339,0)),""))</f>
        <v/>
      </c>
      <c r="AD89" s="13">
        <f>IF($AB89="","",SUMIFS('ORDENES'!$M$4:$M$1203,'ORDENES'!$AB$4:$AB$1203,$AB89,'ORDENES'!$O$4:$O$1203,$O89,'ORDENES'!$R$4:$R$1203,$R89))</f>
        <v/>
      </c>
      <c r="AE89" s="13">
        <f>IF($AD89="","",p_factor_productividad*IFERROR(INDEX('ASIGNACIONES'!$H$4:$H$339,MATCH($O89&amp;"|"&amp;$R89&amp;"|"&amp;$AB89,'ASIGNACIONES'!$I$4:$I$339,0)),0)-$AD89)</f>
        <v/>
      </c>
      <c r="AF89" s="10">
        <f>IF($A89="","",IFERROR(INDEX('2_IMPORTAR_EJECUCION'!$F$9:$F$1208,MATCH($AN89,'2_IMPORTAR_EJECUCION'!$J$9:$J$1208,0)),0))</f>
        <v/>
      </c>
      <c r="AG89" s="10">
        <f>IF($A89="","",MAX(0,IFERROR(INDEX('2_IMPORTAR_EJECUCION'!$H$9:$H$1208,MATCH($AN89,'2_IMPORTAR_EJECUCION'!$J$9:$J$1208,0)),0)-$AF89))</f>
        <v/>
      </c>
      <c r="AH89" s="10">
        <f>IF($A89="","",$AF89+$AG89)</f>
        <v/>
      </c>
      <c r="AI89" s="6" t="inlineStr"/>
      <c r="AJ89" s="6" t="inlineStr"/>
      <c r="AK89" s="6" t="inlineStr">
        <is>
          <t>ACT-04.pdf</t>
        </is>
      </c>
      <c r="AL89" s="3">
        <f>IF($AK89="","",HYPERLINK(p_ruta_base_checklists&amp;$AK89,"abrir"))</f>
        <v/>
      </c>
      <c r="AM89" s="6" t="inlineStr"/>
      <c r="AN89" s="3">
        <f>IF($A89="","",$A89&amp;IF($B89="","0010",$B89))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1" t="n">
        <v>46217</v>
      </c>
      <c r="K90" s="3" t="n">
        <v>6</v>
      </c>
      <c r="L90" s="10" t="n">
        <v>150</v>
      </c>
      <c r="M90" s="3">
        <f>IF($A90="","",IFERROR(INDEX('AJUSTES'!$B$4:$B$303,MATCH($AN90,'AJUSTES'!$A$4:$A$303,0)),IF($K90="","",$K90)))</f>
        <v/>
      </c>
      <c r="N90" s="3">
        <f>IF($A90="","",IFERROR(INDEX('CAT_ESTADOS_ERP'!$B$4:$B$7,MATCH(IFERROR(INDEX('2_IMPORTAR_EJECUCION'!$C$9:$C$1208,MATCH($AN90,'2_IMPORTAR_EJECUCION'!$J$9:$J$1208,0)),""),'CAT_ESTADOS_ERP'!$A$4:$A$7,0)),"Pendiente"))</f>
        <v/>
      </c>
      <c r="O90" s="3">
        <f>IF($J90="","",YEAR($J90+4-WEEKDAY($J90,2))&amp;"-S"&amp;TEXT(_xlfn.ISOWEEKNUM($J90),"00"))</f>
        <v/>
      </c>
      <c r="P90" s="3">
        <f>IF($J90="","",YEAR($J90))</f>
        <v/>
      </c>
      <c r="Q90" s="3">
        <f>IF($J90="","",MONTH($J90))</f>
        <v/>
      </c>
      <c r="R90" s="3">
        <f>IF($J90="","",INDEX(lista_dias,WEEKDAY($J90,2)))</f>
        <v/>
      </c>
      <c r="S90" s="3">
        <f>IF($I90="","",IFERROR(INDEX('CAT_TIPOS_OT'!$C$4:$C$7,MATCH($I90,'CAT_TIPOS_OT'!$A$4:$A$7,0)),"sin_clasificar"))</f>
        <v/>
      </c>
      <c r="T90" s="3">
        <f>IF($F90="","",IFERROR(INDEX('CAT_CENTROS_COSTO'!$E$4:$E$9,MATCH($F90,'CAT_CENTROS_COSTO'!$A$4:$A$9,0)),"(sin catálogo)"))</f>
        <v/>
      </c>
      <c r="U90" s="3">
        <f>IF($F90="","",IFERROR(INDEX('CAT_CENTROS_COSTO'!$D$4:$D$9,MATCH($F90,'CAT_CENTROS_COSTO'!$A$4:$A$9,0)),"(sin catálogo)"))</f>
        <v/>
      </c>
      <c r="V90" s="3">
        <f>IF($F90="","",IFERROR(INDEX('CAT_CENTROS_COSTO'!$F$4:$F$9,MATCH($F90,'CAT_CENTROS_COSTO'!$A$4:$A$9,0)),"(sin catálogo)"))</f>
        <v/>
      </c>
      <c r="W90" s="3">
        <f>IF($G90="","",IFERROR(INDEX('CAT_PUESTOS'!$B$4:$B$8,MATCH($G90,'CAT_PUESTOS'!$A$4:$A$8,0)),"(sin catálogo)"))</f>
        <v/>
      </c>
      <c r="X90" s="3">
        <f>IF($H90="","",IFERROR(INDEX('CAT_ACTIVIDADES'!$B$4:$B$8,MATCH($H90,'CAT_ACTIVIDADES'!$A$4:$A$8,0)),"(sin catálogo)"))</f>
        <v/>
      </c>
      <c r="Y90" s="12">
        <f>IF($J90="","",TODAY()-$J90)</f>
        <v/>
      </c>
      <c r="Z90" s="3">
        <f>IF($Y90="","",IF($Y90&lt;0,"FUTURO",IF($Y90&gt;p_dias_backlog_max,"BACKLOG","MES CORRIENTE")))</f>
        <v/>
      </c>
      <c r="AA90" s="3">
        <f>IF($Y90="",FALSE,AND($Y90&gt;p_dias_backlog_min,$Y90&lt;=p_dias_backlog_max))</f>
        <v/>
      </c>
      <c r="AB90" s="6" t="inlineStr">
        <is>
          <t>Técnico 08</t>
        </is>
      </c>
      <c r="AC90" s="3">
        <f>IF($AB90="","",IFERROR(INDEX('ASIGNACIONES'!$F$4:$F$339,MATCH($O90&amp;"|"&amp;$R90&amp;"|"&amp;$AB90,'ASIGNACIONES'!$I$4:$I$339,0)),""))</f>
        <v/>
      </c>
      <c r="AD90" s="13">
        <f>IF($AB90="","",SUMIFS('ORDENES'!$M$4:$M$1203,'ORDENES'!$AB$4:$AB$1203,$AB90,'ORDENES'!$O$4:$O$1203,$O90,'ORDENES'!$R$4:$R$1203,$R90))</f>
        <v/>
      </c>
      <c r="AE90" s="13">
        <f>IF($AD90="","",p_factor_productividad*IFERROR(INDEX('ASIGNACIONES'!$H$4:$H$339,MATCH($O90&amp;"|"&amp;$R90&amp;"|"&amp;$AB90,'ASIGNACIONES'!$I$4:$I$339,0)),0)-$AD90)</f>
        <v/>
      </c>
      <c r="AF90" s="10">
        <f>IF($A90="","",IFERROR(INDEX('2_IMPORTAR_EJECUCION'!$F$9:$F$1208,MATCH($AN90,'2_IMPORTAR_EJECUCION'!$J$9:$J$1208,0)),0))</f>
        <v/>
      </c>
      <c r="AG90" s="10">
        <f>IF($A90="","",MAX(0,IFERROR(INDEX('2_IMPORTAR_EJECUCION'!$H$9:$H$1208,MATCH($AN90,'2_IMPORTAR_EJECUCION'!$J$9:$J$1208,0)),0)-$AF90))</f>
        <v/>
      </c>
      <c r="AH90" s="10">
        <f>IF($A90="","",$AF90+$AG90)</f>
        <v/>
      </c>
      <c r="AI90" s="6" t="inlineStr"/>
      <c r="AJ90" s="6" t="inlineStr"/>
      <c r="AK90" s="6" t="inlineStr">
        <is>
          <t>ACT-01.pdf</t>
        </is>
      </c>
      <c r="AL90" s="3">
        <f>IF($AK90="","",HYPERLINK(p_ruta_base_checklists&amp;$AK90,"abrir"))</f>
        <v/>
      </c>
      <c r="AM90" s="6" t="inlineStr"/>
      <c r="AN90" s="3">
        <f>IF($A90="","",$A90&amp;IF($B90="","0010",$B90))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1" t="n">
        <v>46218</v>
      </c>
      <c r="K91" s="3" t="n">
        <v>10</v>
      </c>
      <c r="L91" s="10" t="n">
        <v>250</v>
      </c>
      <c r="M91" s="3">
        <f>IF($A91="","",IFERROR(INDEX('AJUSTES'!$B$4:$B$303,MATCH($AN91,'AJUSTES'!$A$4:$A$303,0)),IF($K91="","",$K91)))</f>
        <v/>
      </c>
      <c r="N91" s="3">
        <f>IF($A91="","",IFERROR(INDEX('CAT_ESTADOS_ERP'!$B$4:$B$7,MATCH(IFERROR(INDEX('2_IMPORTAR_EJECUCION'!$C$9:$C$1208,MATCH($AN91,'2_IMPORTAR_EJECUCION'!$J$9:$J$1208,0)),""),'CAT_ESTADOS_ERP'!$A$4:$A$7,0)),"Pendiente"))</f>
        <v/>
      </c>
      <c r="O91" s="3">
        <f>IF($J91="","",YEAR($J91+4-WEEKDAY($J91,2))&amp;"-S"&amp;TEXT(_xlfn.ISOWEEKNUM($J91),"00"))</f>
        <v/>
      </c>
      <c r="P91" s="3">
        <f>IF($J91="","",YEAR($J91))</f>
        <v/>
      </c>
      <c r="Q91" s="3">
        <f>IF($J91="","",MONTH($J91))</f>
        <v/>
      </c>
      <c r="R91" s="3">
        <f>IF($J91="","",INDEX(lista_dias,WEEKDAY($J91,2)))</f>
        <v/>
      </c>
      <c r="S91" s="3">
        <f>IF($I91="","",IFERROR(INDEX('CAT_TIPOS_OT'!$C$4:$C$7,MATCH($I91,'CAT_TIPOS_OT'!$A$4:$A$7,0)),"sin_clasificar"))</f>
        <v/>
      </c>
      <c r="T91" s="3">
        <f>IF($F91="","",IFERROR(INDEX('CAT_CENTROS_COSTO'!$E$4:$E$9,MATCH($F91,'CAT_CENTROS_COSTO'!$A$4:$A$9,0)),"(sin catálogo)"))</f>
        <v/>
      </c>
      <c r="U91" s="3">
        <f>IF($F91="","",IFERROR(INDEX('CAT_CENTROS_COSTO'!$D$4:$D$9,MATCH($F91,'CAT_CENTROS_COSTO'!$A$4:$A$9,0)),"(sin catálogo)"))</f>
        <v/>
      </c>
      <c r="V91" s="3">
        <f>IF($F91="","",IFERROR(INDEX('CAT_CENTROS_COSTO'!$F$4:$F$9,MATCH($F91,'CAT_CENTROS_COSTO'!$A$4:$A$9,0)),"(sin catálogo)"))</f>
        <v/>
      </c>
      <c r="W91" s="3">
        <f>IF($G91="","",IFERROR(INDEX('CAT_PUESTOS'!$B$4:$B$8,MATCH($G91,'CAT_PUESTOS'!$A$4:$A$8,0)),"(sin catálogo)"))</f>
        <v/>
      </c>
      <c r="X91" s="3">
        <f>IF($H91="","",IFERROR(INDEX('CAT_ACTIVIDADES'!$B$4:$B$8,MATCH($H91,'CAT_ACTIVIDADES'!$A$4:$A$8,0)),"(sin catálogo)"))</f>
        <v/>
      </c>
      <c r="Y91" s="12">
        <f>IF($J91="","",TODAY()-$J91)</f>
        <v/>
      </c>
      <c r="Z91" s="3">
        <f>IF($Y91="","",IF($Y91&lt;0,"FUTURO",IF($Y91&gt;p_dias_backlog_max,"BACKLOG","MES CORRIENTE")))</f>
        <v/>
      </c>
      <c r="AA91" s="3">
        <f>IF($Y91="",FALSE,AND($Y91&gt;p_dias_backlog_min,$Y91&lt;=p_dias_backlog_max))</f>
        <v/>
      </c>
      <c r="AB91" s="6" t="inlineStr">
        <is>
          <t>Técnico 09</t>
        </is>
      </c>
      <c r="AC91" s="3">
        <f>IF($AB91="","",IFERROR(INDEX('ASIGNACIONES'!$F$4:$F$339,MATCH($O91&amp;"|"&amp;$R91&amp;"|"&amp;$AB91,'ASIGNACIONES'!$I$4:$I$339,0)),""))</f>
        <v/>
      </c>
      <c r="AD91" s="13">
        <f>IF($AB91="","",SUMIFS('ORDENES'!$M$4:$M$1203,'ORDENES'!$AB$4:$AB$1203,$AB91,'ORDENES'!$O$4:$O$1203,$O91,'ORDENES'!$R$4:$R$1203,$R91))</f>
        <v/>
      </c>
      <c r="AE91" s="13">
        <f>IF($AD91="","",p_factor_productividad*IFERROR(INDEX('ASIGNACIONES'!$H$4:$H$339,MATCH($O91&amp;"|"&amp;$R91&amp;"|"&amp;$AB91,'ASIGNACIONES'!$I$4:$I$339,0)),0)-$AD91)</f>
        <v/>
      </c>
      <c r="AF91" s="10">
        <f>IF($A91="","",IFERROR(INDEX('2_IMPORTAR_EJECUCION'!$F$9:$F$1208,MATCH($AN91,'2_IMPORTAR_EJECUCION'!$J$9:$J$1208,0)),0))</f>
        <v/>
      </c>
      <c r="AG91" s="10">
        <f>IF($A91="","",MAX(0,IFERROR(INDEX('2_IMPORTAR_EJECUCION'!$H$9:$H$1208,MATCH($AN91,'2_IMPORTAR_EJECUCION'!$J$9:$J$1208,0)),0)-$AF91))</f>
        <v/>
      </c>
      <c r="AH91" s="10">
        <f>IF($A91="","",$AF91+$AG91)</f>
        <v/>
      </c>
      <c r="AI91" s="6" t="inlineStr"/>
      <c r="AJ91" s="6" t="inlineStr"/>
      <c r="AK91" s="6" t="inlineStr">
        <is>
          <t>ACT-02.pdf</t>
        </is>
      </c>
      <c r="AL91" s="3">
        <f>IF($AK91="","",HYPERLINK(p_ruta_base_checklists&amp;$AK91,"abrir"))</f>
        <v/>
      </c>
      <c r="AM91" s="6" t="inlineStr"/>
      <c r="AN91" s="3">
        <f>IF($A91="","",$A91&amp;IF($B91="","0010",$B91))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1" t="n">
        <v>46219</v>
      </c>
      <c r="K92" s="3" t="n">
        <v>6</v>
      </c>
      <c r="L92" s="10" t="n">
        <v>150</v>
      </c>
      <c r="M92" s="3">
        <f>IF($A92="","",IFERROR(INDEX('AJUSTES'!$B$4:$B$303,MATCH($AN92,'AJUSTES'!$A$4:$A$303,0)),IF($K92="","",$K92)))</f>
        <v/>
      </c>
      <c r="N92" s="3">
        <f>IF($A92="","",IFERROR(INDEX('CAT_ESTADOS_ERP'!$B$4:$B$7,MATCH(IFERROR(INDEX('2_IMPORTAR_EJECUCION'!$C$9:$C$1208,MATCH($AN92,'2_IMPORTAR_EJECUCION'!$J$9:$J$1208,0)),""),'CAT_ESTADOS_ERP'!$A$4:$A$7,0)),"Pendiente"))</f>
        <v/>
      </c>
      <c r="O92" s="3">
        <f>IF($J92="","",YEAR($J92+4-WEEKDAY($J92,2))&amp;"-S"&amp;TEXT(_xlfn.ISOWEEKNUM($J92),"00"))</f>
        <v/>
      </c>
      <c r="P92" s="3">
        <f>IF($J92="","",YEAR($J92))</f>
        <v/>
      </c>
      <c r="Q92" s="3">
        <f>IF($J92="","",MONTH($J92))</f>
        <v/>
      </c>
      <c r="R92" s="3">
        <f>IF($J92="","",INDEX(lista_dias,WEEKDAY($J92,2)))</f>
        <v/>
      </c>
      <c r="S92" s="3">
        <f>IF($I92="","",IFERROR(INDEX('CAT_TIPOS_OT'!$C$4:$C$7,MATCH($I92,'CAT_TIPOS_OT'!$A$4:$A$7,0)),"sin_clasificar"))</f>
        <v/>
      </c>
      <c r="T92" s="3">
        <f>IF($F92="","",IFERROR(INDEX('CAT_CENTROS_COSTO'!$E$4:$E$9,MATCH($F92,'CAT_CENTROS_COSTO'!$A$4:$A$9,0)),"(sin catálogo)"))</f>
        <v/>
      </c>
      <c r="U92" s="3">
        <f>IF($F92="","",IFERROR(INDEX('CAT_CENTROS_COSTO'!$D$4:$D$9,MATCH($F92,'CAT_CENTROS_COSTO'!$A$4:$A$9,0)),"(sin catálogo)"))</f>
        <v/>
      </c>
      <c r="V92" s="3">
        <f>IF($F92="","",IFERROR(INDEX('CAT_CENTROS_COSTO'!$F$4:$F$9,MATCH($F92,'CAT_CENTROS_COSTO'!$A$4:$A$9,0)),"(sin catálogo)"))</f>
        <v/>
      </c>
      <c r="W92" s="3">
        <f>IF($G92="","",IFERROR(INDEX('CAT_PUESTOS'!$B$4:$B$8,MATCH($G92,'CAT_PUESTOS'!$A$4:$A$8,0)),"(sin catálogo)"))</f>
        <v/>
      </c>
      <c r="X92" s="3">
        <f>IF($H92="","",IFERROR(INDEX('CAT_ACTIVIDADES'!$B$4:$B$8,MATCH($H92,'CAT_ACTIVIDADES'!$A$4:$A$8,0)),"(sin catálogo)"))</f>
        <v/>
      </c>
      <c r="Y92" s="12">
        <f>IF($J92="","",TODAY()-$J92)</f>
        <v/>
      </c>
      <c r="Z92" s="3">
        <f>IF($Y92="","",IF($Y92&lt;0,"FUTURO",IF($Y92&gt;p_dias_backlog_max,"BACKLOG","MES CORRIENTE")))</f>
        <v/>
      </c>
      <c r="AA92" s="3">
        <f>IF($Y92="",FALSE,AND($Y92&gt;p_dias_backlog_min,$Y92&lt;=p_dias_backlog_max))</f>
        <v/>
      </c>
      <c r="AB92" s="6" t="inlineStr">
        <is>
          <t>Técnico 08</t>
        </is>
      </c>
      <c r="AC92" s="3">
        <f>IF($AB92="","",IFERROR(INDEX('ASIGNACIONES'!$F$4:$F$339,MATCH($O92&amp;"|"&amp;$R92&amp;"|"&amp;$AB92,'ASIGNACIONES'!$I$4:$I$339,0)),""))</f>
        <v/>
      </c>
      <c r="AD92" s="13">
        <f>IF($AB92="","",SUMIFS('ORDENES'!$M$4:$M$1203,'ORDENES'!$AB$4:$AB$1203,$AB92,'ORDENES'!$O$4:$O$1203,$O92,'ORDENES'!$R$4:$R$1203,$R92))</f>
        <v/>
      </c>
      <c r="AE92" s="13">
        <f>IF($AD92="","",p_factor_productividad*IFERROR(INDEX('ASIGNACIONES'!$H$4:$H$339,MATCH($O92&amp;"|"&amp;$R92&amp;"|"&amp;$AB92,'ASIGNACIONES'!$I$4:$I$339,0)),0)-$AD92)</f>
        <v/>
      </c>
      <c r="AF92" s="10">
        <f>IF($A92="","",IFERROR(INDEX('2_IMPORTAR_EJECUCION'!$F$9:$F$1208,MATCH($AN92,'2_IMPORTAR_EJECUCION'!$J$9:$J$1208,0)),0))</f>
        <v/>
      </c>
      <c r="AG92" s="10">
        <f>IF($A92="","",MAX(0,IFERROR(INDEX('2_IMPORTAR_EJECUCION'!$H$9:$H$1208,MATCH($AN92,'2_IMPORTAR_EJECUCION'!$J$9:$J$1208,0)),0)-$AF92))</f>
        <v/>
      </c>
      <c r="AH92" s="10">
        <f>IF($A92="","",$AF92+$AG92)</f>
        <v/>
      </c>
      <c r="AI92" s="6" t="inlineStr"/>
      <c r="AJ92" s="6" t="inlineStr"/>
      <c r="AK92" s="6" t="inlineStr">
        <is>
          <t>ACT-04.pdf</t>
        </is>
      </c>
      <c r="AL92" s="3">
        <f>IF($AK92="","",HYPERLINK(p_ruta_base_checklists&amp;$AK92,"abrir"))</f>
        <v/>
      </c>
      <c r="AM92" s="6" t="inlineStr"/>
      <c r="AN92" s="3">
        <f>IF($A92="","",$A92&amp;IF($B92="","0010",$B92))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1" t="n">
        <v>46220</v>
      </c>
      <c r="K93" s="3" t="n">
        <v>10</v>
      </c>
      <c r="L93" s="10" t="n">
        <v>400</v>
      </c>
      <c r="M93" s="3">
        <f>IF($A93="","",IFERROR(INDEX('AJUSTES'!$B$4:$B$303,MATCH($AN93,'AJUSTES'!$A$4:$A$303,0)),IF($K93="","",$K93)))</f>
        <v/>
      </c>
      <c r="N93" s="3">
        <f>IF($A93="","",IFERROR(INDEX('CAT_ESTADOS_ERP'!$B$4:$B$7,MATCH(IFERROR(INDEX('2_IMPORTAR_EJECUCION'!$C$9:$C$1208,MATCH($AN93,'2_IMPORTAR_EJECUCION'!$J$9:$J$1208,0)),""),'CAT_ESTADOS_ERP'!$A$4:$A$7,0)),"Pendiente"))</f>
        <v/>
      </c>
      <c r="O93" s="3">
        <f>IF($J93="","",YEAR($J93+4-WEEKDAY($J93,2))&amp;"-S"&amp;TEXT(_xlfn.ISOWEEKNUM($J93),"00"))</f>
        <v/>
      </c>
      <c r="P93" s="3">
        <f>IF($J93="","",YEAR($J93))</f>
        <v/>
      </c>
      <c r="Q93" s="3">
        <f>IF($J93="","",MONTH($J93))</f>
        <v/>
      </c>
      <c r="R93" s="3">
        <f>IF($J93="","",INDEX(lista_dias,WEEKDAY($J93,2)))</f>
        <v/>
      </c>
      <c r="S93" s="3">
        <f>IF($I93="","",IFERROR(INDEX('CAT_TIPOS_OT'!$C$4:$C$7,MATCH($I93,'CAT_TIPOS_OT'!$A$4:$A$7,0)),"sin_clasificar"))</f>
        <v/>
      </c>
      <c r="T93" s="3">
        <f>IF($F93="","",IFERROR(INDEX('CAT_CENTROS_COSTO'!$E$4:$E$9,MATCH($F93,'CAT_CENTROS_COSTO'!$A$4:$A$9,0)),"(sin catálogo)"))</f>
        <v/>
      </c>
      <c r="U93" s="3">
        <f>IF($F93="","",IFERROR(INDEX('CAT_CENTROS_COSTO'!$D$4:$D$9,MATCH($F93,'CAT_CENTROS_COSTO'!$A$4:$A$9,0)),"(sin catálogo)"))</f>
        <v/>
      </c>
      <c r="V93" s="3">
        <f>IF($F93="","",IFERROR(INDEX('CAT_CENTROS_COSTO'!$F$4:$F$9,MATCH($F93,'CAT_CENTROS_COSTO'!$A$4:$A$9,0)),"(sin catálogo)"))</f>
        <v/>
      </c>
      <c r="W93" s="3">
        <f>IF($G93="","",IFERROR(INDEX('CAT_PUESTOS'!$B$4:$B$8,MATCH($G93,'CAT_PUESTOS'!$A$4:$A$8,0)),"(sin catálogo)"))</f>
        <v/>
      </c>
      <c r="X93" s="3">
        <f>IF($H93="","",IFERROR(INDEX('CAT_ACTIVIDADES'!$B$4:$B$8,MATCH($H93,'CAT_ACTIVIDADES'!$A$4:$A$8,0)),"(sin catálogo)"))</f>
        <v/>
      </c>
      <c r="Y93" s="12">
        <f>IF($J93="","",TODAY()-$J93)</f>
        <v/>
      </c>
      <c r="Z93" s="3">
        <f>IF($Y93="","",IF($Y93&lt;0,"FUTURO",IF($Y93&gt;p_dias_backlog_max,"BACKLOG","MES CORRIENTE")))</f>
        <v/>
      </c>
      <c r="AA93" s="3">
        <f>IF($Y93="",FALSE,AND($Y93&gt;p_dias_backlog_min,$Y93&lt;=p_dias_backlog_max))</f>
        <v/>
      </c>
      <c r="AB93" s="6" t="inlineStr">
        <is>
          <t>Técnico 09</t>
        </is>
      </c>
      <c r="AC93" s="3">
        <f>IF($AB93="","",IFERROR(INDEX('ASIGNACIONES'!$F$4:$F$339,MATCH($O93&amp;"|"&amp;$R93&amp;"|"&amp;$AB93,'ASIGNACIONES'!$I$4:$I$339,0)),""))</f>
        <v/>
      </c>
      <c r="AD93" s="13">
        <f>IF($AB93="","",SUMIFS('ORDENES'!$M$4:$M$1203,'ORDENES'!$AB$4:$AB$1203,$AB93,'ORDENES'!$O$4:$O$1203,$O93,'ORDENES'!$R$4:$R$1203,$R93))</f>
        <v/>
      </c>
      <c r="AE93" s="13">
        <f>IF($AD93="","",p_factor_productividad*IFERROR(INDEX('ASIGNACIONES'!$H$4:$H$339,MATCH($O93&amp;"|"&amp;$R93&amp;"|"&amp;$AB93,'ASIGNACIONES'!$I$4:$I$339,0)),0)-$AD93)</f>
        <v/>
      </c>
      <c r="AF93" s="10">
        <f>IF($A93="","",IFERROR(INDEX('2_IMPORTAR_EJECUCION'!$F$9:$F$1208,MATCH($AN93,'2_IMPORTAR_EJECUCION'!$J$9:$J$1208,0)),0))</f>
        <v/>
      </c>
      <c r="AG93" s="10">
        <f>IF($A93="","",MAX(0,IFERROR(INDEX('2_IMPORTAR_EJECUCION'!$H$9:$H$1208,MATCH($AN93,'2_IMPORTAR_EJECUCION'!$J$9:$J$1208,0)),0)-$AF93))</f>
        <v/>
      </c>
      <c r="AH93" s="10">
        <f>IF($A93="","",$AF93+$AG93)</f>
        <v/>
      </c>
      <c r="AI93" s="6" t="inlineStr"/>
      <c r="AJ93" s="6" t="inlineStr"/>
      <c r="AK93" s="6" t="inlineStr"/>
      <c r="AL93" s="3">
        <f>IF($AK93="","",HYPERLINK(p_ruta_base_checklists&amp;$AK93,"abrir"))</f>
        <v/>
      </c>
      <c r="AM93" s="6" t="inlineStr"/>
      <c r="AN93" s="3">
        <f>IF($A93="","",$A93&amp;IF($B93="","0010",$B93))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1" t="n">
        <v>46223</v>
      </c>
      <c r="K94" s="3" t="n">
        <v>10</v>
      </c>
      <c r="L94" s="10" t="n">
        <v>250</v>
      </c>
      <c r="M94" s="3">
        <f>IF($A94="","",IFERROR(INDEX('AJUSTES'!$B$4:$B$303,MATCH($AN94,'AJUSTES'!$A$4:$A$303,0)),IF($K94="","",$K94)))</f>
        <v/>
      </c>
      <c r="N94" s="3">
        <f>IF($A94="","",IFERROR(INDEX('CAT_ESTADOS_ERP'!$B$4:$B$7,MATCH(IFERROR(INDEX('2_IMPORTAR_EJECUCION'!$C$9:$C$1208,MATCH($AN94,'2_IMPORTAR_EJECUCION'!$J$9:$J$1208,0)),""),'CAT_ESTADOS_ERP'!$A$4:$A$7,0)),"Pendiente"))</f>
        <v/>
      </c>
      <c r="O94" s="3">
        <f>IF($J94="","",YEAR($J94+4-WEEKDAY($J94,2))&amp;"-S"&amp;TEXT(_xlfn.ISOWEEKNUM($J94),"00"))</f>
        <v/>
      </c>
      <c r="P94" s="3">
        <f>IF($J94="","",YEAR($J94))</f>
        <v/>
      </c>
      <c r="Q94" s="3">
        <f>IF($J94="","",MONTH($J94))</f>
        <v/>
      </c>
      <c r="R94" s="3">
        <f>IF($J94="","",INDEX(lista_dias,WEEKDAY($J94,2)))</f>
        <v/>
      </c>
      <c r="S94" s="3">
        <f>IF($I94="","",IFERROR(INDEX('CAT_TIPOS_OT'!$C$4:$C$7,MATCH($I94,'CAT_TIPOS_OT'!$A$4:$A$7,0)),"sin_clasificar"))</f>
        <v/>
      </c>
      <c r="T94" s="3">
        <f>IF($F94="","",IFERROR(INDEX('CAT_CENTROS_COSTO'!$E$4:$E$9,MATCH($F94,'CAT_CENTROS_COSTO'!$A$4:$A$9,0)),"(sin catálogo)"))</f>
        <v/>
      </c>
      <c r="U94" s="3">
        <f>IF($F94="","",IFERROR(INDEX('CAT_CENTROS_COSTO'!$D$4:$D$9,MATCH($F94,'CAT_CENTROS_COSTO'!$A$4:$A$9,0)),"(sin catálogo)"))</f>
        <v/>
      </c>
      <c r="V94" s="3">
        <f>IF($F94="","",IFERROR(INDEX('CAT_CENTROS_COSTO'!$F$4:$F$9,MATCH($F94,'CAT_CENTROS_COSTO'!$A$4:$A$9,0)),"(sin catálogo)"))</f>
        <v/>
      </c>
      <c r="W94" s="3">
        <f>IF($G94="","",IFERROR(INDEX('CAT_PUESTOS'!$B$4:$B$8,MATCH($G94,'CAT_PUESTOS'!$A$4:$A$8,0)),"(sin catálogo)"))</f>
        <v/>
      </c>
      <c r="X94" s="3">
        <f>IF($H94="","",IFERROR(INDEX('CAT_ACTIVIDADES'!$B$4:$B$8,MATCH($H94,'CAT_ACTIVIDADES'!$A$4:$A$8,0)),"(sin catálogo)"))</f>
        <v/>
      </c>
      <c r="Y94" s="12">
        <f>IF($J94="","",TODAY()-$J94)</f>
        <v/>
      </c>
      <c r="Z94" s="3">
        <f>IF($Y94="","",IF($Y94&lt;0,"FUTURO",IF($Y94&gt;p_dias_backlog_max,"BACKLOG","MES CORRIENTE")))</f>
        <v/>
      </c>
      <c r="AA94" s="3">
        <f>IF($Y94="",FALSE,AND($Y94&gt;p_dias_backlog_min,$Y94&lt;=p_dias_backlog_max))</f>
        <v/>
      </c>
      <c r="AB94" s="6" t="inlineStr">
        <is>
          <t>Técnico 08</t>
        </is>
      </c>
      <c r="AC94" s="3">
        <f>IF($AB94="","",IFERROR(INDEX('ASIGNACIONES'!$F$4:$F$339,MATCH($O94&amp;"|"&amp;$R94&amp;"|"&amp;$AB94,'ASIGNACIONES'!$I$4:$I$339,0)),""))</f>
        <v/>
      </c>
      <c r="AD94" s="13">
        <f>IF($AB94="","",SUMIFS('ORDENES'!$M$4:$M$1203,'ORDENES'!$AB$4:$AB$1203,$AB94,'ORDENES'!$O$4:$O$1203,$O94,'ORDENES'!$R$4:$R$1203,$R94))</f>
        <v/>
      </c>
      <c r="AE94" s="13">
        <f>IF($AD94="","",p_factor_productividad*IFERROR(INDEX('ASIGNACIONES'!$H$4:$H$339,MATCH($O94&amp;"|"&amp;$R94&amp;"|"&amp;$AB94,'ASIGNACIONES'!$I$4:$I$339,0)),0)-$AD94)</f>
        <v/>
      </c>
      <c r="AF94" s="10">
        <f>IF($A94="","",IFERROR(INDEX('2_IMPORTAR_EJECUCION'!$F$9:$F$1208,MATCH($AN94,'2_IMPORTAR_EJECUCION'!$J$9:$J$1208,0)),0))</f>
        <v/>
      </c>
      <c r="AG94" s="10">
        <f>IF($A94="","",MAX(0,IFERROR(INDEX('2_IMPORTAR_EJECUCION'!$H$9:$H$1208,MATCH($AN94,'2_IMPORTAR_EJECUCION'!$J$9:$J$1208,0)),0)-$AF94))</f>
        <v/>
      </c>
      <c r="AH94" s="10">
        <f>IF($A94="","",$AF94+$AG94)</f>
        <v/>
      </c>
      <c r="AI94" s="6" t="inlineStr"/>
      <c r="AJ94" s="6" t="inlineStr"/>
      <c r="AK94" s="6" t="inlineStr">
        <is>
          <t>ACT-02.pdf</t>
        </is>
      </c>
      <c r="AL94" s="3">
        <f>IF($AK94="","",HYPERLINK(p_ruta_base_checklists&amp;$AK94,"abrir"))</f>
        <v/>
      </c>
      <c r="AM94" s="6" t="inlineStr"/>
      <c r="AN94" s="3">
        <f>IF($A94="","",$A94&amp;IF($B94="","0010",$B94))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1" t="n">
        <v>46224</v>
      </c>
      <c r="K95" s="3" t="n">
        <v>8</v>
      </c>
      <c r="L95" s="10" t="n">
        <v>200</v>
      </c>
      <c r="M95" s="3">
        <f>IF($A95="","",IFERROR(INDEX('AJUSTES'!$B$4:$B$303,MATCH($AN95,'AJUSTES'!$A$4:$A$303,0)),IF($K95="","",$K95)))</f>
        <v/>
      </c>
      <c r="N95" s="3">
        <f>IF($A95="","",IFERROR(INDEX('CAT_ESTADOS_ERP'!$B$4:$B$7,MATCH(IFERROR(INDEX('2_IMPORTAR_EJECUCION'!$C$9:$C$1208,MATCH($AN95,'2_IMPORTAR_EJECUCION'!$J$9:$J$1208,0)),""),'CAT_ESTADOS_ERP'!$A$4:$A$7,0)),"Pendiente"))</f>
        <v/>
      </c>
      <c r="O95" s="3">
        <f>IF($J95="","",YEAR($J95+4-WEEKDAY($J95,2))&amp;"-S"&amp;TEXT(_xlfn.ISOWEEKNUM($J95),"00"))</f>
        <v/>
      </c>
      <c r="P95" s="3">
        <f>IF($J95="","",YEAR($J95))</f>
        <v/>
      </c>
      <c r="Q95" s="3">
        <f>IF($J95="","",MONTH($J95))</f>
        <v/>
      </c>
      <c r="R95" s="3">
        <f>IF($J95="","",INDEX(lista_dias,WEEKDAY($J95,2)))</f>
        <v/>
      </c>
      <c r="S95" s="3">
        <f>IF($I95="","",IFERROR(INDEX('CAT_TIPOS_OT'!$C$4:$C$7,MATCH($I95,'CAT_TIPOS_OT'!$A$4:$A$7,0)),"sin_clasificar"))</f>
        <v/>
      </c>
      <c r="T95" s="3">
        <f>IF($F95="","",IFERROR(INDEX('CAT_CENTROS_COSTO'!$E$4:$E$9,MATCH($F95,'CAT_CENTROS_COSTO'!$A$4:$A$9,0)),"(sin catálogo)"))</f>
        <v/>
      </c>
      <c r="U95" s="3">
        <f>IF($F95="","",IFERROR(INDEX('CAT_CENTROS_COSTO'!$D$4:$D$9,MATCH($F95,'CAT_CENTROS_COSTO'!$A$4:$A$9,0)),"(sin catálogo)"))</f>
        <v/>
      </c>
      <c r="V95" s="3">
        <f>IF($F95="","",IFERROR(INDEX('CAT_CENTROS_COSTO'!$F$4:$F$9,MATCH($F95,'CAT_CENTROS_COSTO'!$A$4:$A$9,0)),"(sin catálogo)"))</f>
        <v/>
      </c>
      <c r="W95" s="3">
        <f>IF($G95="","",IFERROR(INDEX('CAT_PUESTOS'!$B$4:$B$8,MATCH($G95,'CAT_PUESTOS'!$A$4:$A$8,0)),"(sin catálogo)"))</f>
        <v/>
      </c>
      <c r="X95" s="3">
        <f>IF($H95="","",IFERROR(INDEX('CAT_ACTIVIDADES'!$B$4:$B$8,MATCH($H95,'CAT_ACTIVIDADES'!$A$4:$A$8,0)),"(sin catálogo)"))</f>
        <v/>
      </c>
      <c r="Y95" s="12">
        <f>IF($J95="","",TODAY()-$J95)</f>
        <v/>
      </c>
      <c r="Z95" s="3">
        <f>IF($Y95="","",IF($Y95&lt;0,"FUTURO",IF($Y95&gt;p_dias_backlog_max,"BACKLOG","MES CORRIENTE")))</f>
        <v/>
      </c>
      <c r="AA95" s="3">
        <f>IF($Y95="",FALSE,AND($Y95&gt;p_dias_backlog_min,$Y95&lt;=p_dias_backlog_max))</f>
        <v/>
      </c>
      <c r="AB95" s="6" t="inlineStr">
        <is>
          <t>Técnico 09</t>
        </is>
      </c>
      <c r="AC95" s="3">
        <f>IF($AB95="","",IFERROR(INDEX('ASIGNACIONES'!$F$4:$F$339,MATCH($O95&amp;"|"&amp;$R95&amp;"|"&amp;$AB95,'ASIGNACIONES'!$I$4:$I$339,0)),""))</f>
        <v/>
      </c>
      <c r="AD95" s="13">
        <f>IF($AB95="","",SUMIFS('ORDENES'!$M$4:$M$1203,'ORDENES'!$AB$4:$AB$1203,$AB95,'ORDENES'!$O$4:$O$1203,$O95,'ORDENES'!$R$4:$R$1203,$R95))</f>
        <v/>
      </c>
      <c r="AE95" s="13">
        <f>IF($AD95="","",p_factor_productividad*IFERROR(INDEX('ASIGNACIONES'!$H$4:$H$339,MATCH($O95&amp;"|"&amp;$R95&amp;"|"&amp;$AB95,'ASIGNACIONES'!$I$4:$I$339,0)),0)-$AD95)</f>
        <v/>
      </c>
      <c r="AF95" s="10">
        <f>IF($A95="","",IFERROR(INDEX('2_IMPORTAR_EJECUCION'!$F$9:$F$1208,MATCH($AN95,'2_IMPORTAR_EJECUCION'!$J$9:$J$1208,0)),0))</f>
        <v/>
      </c>
      <c r="AG95" s="10">
        <f>IF($A95="","",MAX(0,IFERROR(INDEX('2_IMPORTAR_EJECUCION'!$H$9:$H$1208,MATCH($AN95,'2_IMPORTAR_EJECUCION'!$J$9:$J$1208,0)),0)-$AF95))</f>
        <v/>
      </c>
      <c r="AH95" s="10">
        <f>IF($A95="","",$AF95+$AG95)</f>
        <v/>
      </c>
      <c r="AI95" s="6" t="inlineStr"/>
      <c r="AJ95" s="6" t="inlineStr"/>
      <c r="AK95" s="6" t="inlineStr">
        <is>
          <t>ACT-04.pdf</t>
        </is>
      </c>
      <c r="AL95" s="3">
        <f>IF($AK95="","",HYPERLINK(p_ruta_base_checklists&amp;$AK95,"abrir"))</f>
        <v/>
      </c>
      <c r="AM95" s="6" t="inlineStr"/>
      <c r="AN95" s="3">
        <f>IF($A95="","",$A95&amp;IF($B95="","0010",$B95))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1" t="n">
        <v>46225</v>
      </c>
      <c r="K96" s="3" t="n">
        <v>6</v>
      </c>
      <c r="L96" s="10" t="n">
        <v>150</v>
      </c>
      <c r="M96" s="3">
        <f>IF($A96="","",IFERROR(INDEX('AJUSTES'!$B$4:$B$303,MATCH($AN96,'AJUSTES'!$A$4:$A$303,0)),IF($K96="","",$K96)))</f>
        <v/>
      </c>
      <c r="N96" s="3">
        <f>IF($A96="","",IFERROR(INDEX('CAT_ESTADOS_ERP'!$B$4:$B$7,MATCH(IFERROR(INDEX('2_IMPORTAR_EJECUCION'!$C$9:$C$1208,MATCH($AN96,'2_IMPORTAR_EJECUCION'!$J$9:$J$1208,0)),""),'CAT_ESTADOS_ERP'!$A$4:$A$7,0)),"Pendiente"))</f>
        <v/>
      </c>
      <c r="O96" s="3">
        <f>IF($J96="","",YEAR($J96+4-WEEKDAY($J96,2))&amp;"-S"&amp;TEXT(_xlfn.ISOWEEKNUM($J96),"00"))</f>
        <v/>
      </c>
      <c r="P96" s="3">
        <f>IF($J96="","",YEAR($J96))</f>
        <v/>
      </c>
      <c r="Q96" s="3">
        <f>IF($J96="","",MONTH($J96))</f>
        <v/>
      </c>
      <c r="R96" s="3">
        <f>IF($J96="","",INDEX(lista_dias,WEEKDAY($J96,2)))</f>
        <v/>
      </c>
      <c r="S96" s="3">
        <f>IF($I96="","",IFERROR(INDEX('CAT_TIPOS_OT'!$C$4:$C$7,MATCH($I96,'CAT_TIPOS_OT'!$A$4:$A$7,0)),"sin_clasificar"))</f>
        <v/>
      </c>
      <c r="T96" s="3">
        <f>IF($F96="","",IFERROR(INDEX('CAT_CENTROS_COSTO'!$E$4:$E$9,MATCH($F96,'CAT_CENTROS_COSTO'!$A$4:$A$9,0)),"(sin catálogo)"))</f>
        <v/>
      </c>
      <c r="U96" s="3">
        <f>IF($F96="","",IFERROR(INDEX('CAT_CENTROS_COSTO'!$D$4:$D$9,MATCH($F96,'CAT_CENTROS_COSTO'!$A$4:$A$9,0)),"(sin catálogo)"))</f>
        <v/>
      </c>
      <c r="V96" s="3">
        <f>IF($F96="","",IFERROR(INDEX('CAT_CENTROS_COSTO'!$F$4:$F$9,MATCH($F96,'CAT_CENTROS_COSTO'!$A$4:$A$9,0)),"(sin catálogo)"))</f>
        <v/>
      </c>
      <c r="W96" s="3">
        <f>IF($G96="","",IFERROR(INDEX('CAT_PUESTOS'!$B$4:$B$8,MATCH($G96,'CAT_PUESTOS'!$A$4:$A$8,0)),"(sin catálogo)"))</f>
        <v/>
      </c>
      <c r="X96" s="3">
        <f>IF($H96="","",IFERROR(INDEX('CAT_ACTIVIDADES'!$B$4:$B$8,MATCH($H96,'CAT_ACTIVIDADES'!$A$4:$A$8,0)),"(sin catálogo)"))</f>
        <v/>
      </c>
      <c r="Y96" s="12">
        <f>IF($J96="","",TODAY()-$J96)</f>
        <v/>
      </c>
      <c r="Z96" s="3">
        <f>IF($Y96="","",IF($Y96&lt;0,"FUTURO",IF($Y96&gt;p_dias_backlog_max,"BACKLOG","MES CORRIENTE")))</f>
        <v/>
      </c>
      <c r="AA96" s="3">
        <f>IF($Y96="",FALSE,AND($Y96&gt;p_dias_backlog_min,$Y96&lt;=p_dias_backlog_max))</f>
        <v/>
      </c>
      <c r="AB96" s="6" t="inlineStr">
        <is>
          <t>Técnico 08</t>
        </is>
      </c>
      <c r="AC96" s="3">
        <f>IF($AB96="","",IFERROR(INDEX('ASIGNACIONES'!$F$4:$F$339,MATCH($O96&amp;"|"&amp;$R96&amp;"|"&amp;$AB96,'ASIGNACIONES'!$I$4:$I$339,0)),""))</f>
        <v/>
      </c>
      <c r="AD96" s="13">
        <f>IF($AB96="","",SUMIFS('ORDENES'!$M$4:$M$1203,'ORDENES'!$AB$4:$AB$1203,$AB96,'ORDENES'!$O$4:$O$1203,$O96,'ORDENES'!$R$4:$R$1203,$R96))</f>
        <v/>
      </c>
      <c r="AE96" s="13">
        <f>IF($AD96="","",p_factor_productividad*IFERROR(INDEX('ASIGNACIONES'!$H$4:$H$339,MATCH($O96&amp;"|"&amp;$R96&amp;"|"&amp;$AB96,'ASIGNACIONES'!$I$4:$I$339,0)),0)-$AD96)</f>
        <v/>
      </c>
      <c r="AF96" s="10">
        <f>IF($A96="","",IFERROR(INDEX('2_IMPORTAR_EJECUCION'!$F$9:$F$1208,MATCH($AN96,'2_IMPORTAR_EJECUCION'!$J$9:$J$1208,0)),0))</f>
        <v/>
      </c>
      <c r="AG96" s="10">
        <f>IF($A96="","",MAX(0,IFERROR(INDEX('2_IMPORTAR_EJECUCION'!$H$9:$H$1208,MATCH($AN96,'2_IMPORTAR_EJECUCION'!$J$9:$J$1208,0)),0)-$AF96))</f>
        <v/>
      </c>
      <c r="AH96" s="10">
        <f>IF($A96="","",$AF96+$AG96)</f>
        <v/>
      </c>
      <c r="AI96" s="6" t="inlineStr"/>
      <c r="AJ96" s="6" t="inlineStr"/>
      <c r="AK96" s="6" t="inlineStr">
        <is>
          <t>ACT-01.pdf</t>
        </is>
      </c>
      <c r="AL96" s="3">
        <f>IF($AK96="","",HYPERLINK(p_ruta_base_checklists&amp;$AK96,"abrir"))</f>
        <v/>
      </c>
      <c r="AM96" s="6" t="inlineStr"/>
      <c r="AN96" s="3">
        <f>IF($A96="","",$A96&amp;IF($B96="","0010",$B96))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1" t="n">
        <v>46226</v>
      </c>
      <c r="K97" s="3" t="n">
        <v>10</v>
      </c>
      <c r="L97" s="10" t="n">
        <v>250</v>
      </c>
      <c r="M97" s="3">
        <f>IF($A97="","",IFERROR(INDEX('AJUSTES'!$B$4:$B$303,MATCH($AN97,'AJUSTES'!$A$4:$A$303,0)),IF($K97="","",$K97)))</f>
        <v/>
      </c>
      <c r="N97" s="3">
        <f>IF($A97="","",IFERROR(INDEX('CAT_ESTADOS_ERP'!$B$4:$B$7,MATCH(IFERROR(INDEX('2_IMPORTAR_EJECUCION'!$C$9:$C$1208,MATCH($AN97,'2_IMPORTAR_EJECUCION'!$J$9:$J$1208,0)),""),'CAT_ESTADOS_ERP'!$A$4:$A$7,0)),"Pendiente"))</f>
        <v/>
      </c>
      <c r="O97" s="3">
        <f>IF($J97="","",YEAR($J97+4-WEEKDAY($J97,2))&amp;"-S"&amp;TEXT(_xlfn.ISOWEEKNUM($J97),"00"))</f>
        <v/>
      </c>
      <c r="P97" s="3">
        <f>IF($J97="","",YEAR($J97))</f>
        <v/>
      </c>
      <c r="Q97" s="3">
        <f>IF($J97="","",MONTH($J97))</f>
        <v/>
      </c>
      <c r="R97" s="3">
        <f>IF($J97="","",INDEX(lista_dias,WEEKDAY($J97,2)))</f>
        <v/>
      </c>
      <c r="S97" s="3">
        <f>IF($I97="","",IFERROR(INDEX('CAT_TIPOS_OT'!$C$4:$C$7,MATCH($I97,'CAT_TIPOS_OT'!$A$4:$A$7,0)),"sin_clasificar"))</f>
        <v/>
      </c>
      <c r="T97" s="3">
        <f>IF($F97="","",IFERROR(INDEX('CAT_CENTROS_COSTO'!$E$4:$E$9,MATCH($F97,'CAT_CENTROS_COSTO'!$A$4:$A$9,0)),"(sin catálogo)"))</f>
        <v/>
      </c>
      <c r="U97" s="3">
        <f>IF($F97="","",IFERROR(INDEX('CAT_CENTROS_COSTO'!$D$4:$D$9,MATCH($F97,'CAT_CENTROS_COSTO'!$A$4:$A$9,0)),"(sin catálogo)"))</f>
        <v/>
      </c>
      <c r="V97" s="3">
        <f>IF($F97="","",IFERROR(INDEX('CAT_CENTROS_COSTO'!$F$4:$F$9,MATCH($F97,'CAT_CENTROS_COSTO'!$A$4:$A$9,0)),"(sin catálogo)"))</f>
        <v/>
      </c>
      <c r="W97" s="3">
        <f>IF($G97="","",IFERROR(INDEX('CAT_PUESTOS'!$B$4:$B$8,MATCH($G97,'CAT_PUESTOS'!$A$4:$A$8,0)),"(sin catálogo)"))</f>
        <v/>
      </c>
      <c r="X97" s="3">
        <f>IF($H97="","",IFERROR(INDEX('CAT_ACTIVIDADES'!$B$4:$B$8,MATCH($H97,'CAT_ACTIVIDADES'!$A$4:$A$8,0)),"(sin catálogo)"))</f>
        <v/>
      </c>
      <c r="Y97" s="12">
        <f>IF($J97="","",TODAY()-$J97)</f>
        <v/>
      </c>
      <c r="Z97" s="3">
        <f>IF($Y97="","",IF($Y97&lt;0,"FUTURO",IF($Y97&gt;p_dias_backlog_max,"BACKLOG","MES CORRIENTE")))</f>
        <v/>
      </c>
      <c r="AA97" s="3">
        <f>IF($Y97="",FALSE,AND($Y97&gt;p_dias_backlog_min,$Y97&lt;=p_dias_backlog_max))</f>
        <v/>
      </c>
      <c r="AB97" s="6" t="inlineStr">
        <is>
          <t>Técnico 09</t>
        </is>
      </c>
      <c r="AC97" s="3">
        <f>IF($AB97="","",IFERROR(INDEX('ASIGNACIONES'!$F$4:$F$339,MATCH($O97&amp;"|"&amp;$R97&amp;"|"&amp;$AB97,'ASIGNACIONES'!$I$4:$I$339,0)),""))</f>
        <v/>
      </c>
      <c r="AD97" s="13">
        <f>IF($AB97="","",SUMIFS('ORDENES'!$M$4:$M$1203,'ORDENES'!$AB$4:$AB$1203,$AB97,'ORDENES'!$O$4:$O$1203,$O97,'ORDENES'!$R$4:$R$1203,$R97))</f>
        <v/>
      </c>
      <c r="AE97" s="13">
        <f>IF($AD97="","",p_factor_productividad*IFERROR(INDEX('ASIGNACIONES'!$H$4:$H$339,MATCH($O97&amp;"|"&amp;$R97&amp;"|"&amp;$AB97,'ASIGNACIONES'!$I$4:$I$339,0)),0)-$AD97)</f>
        <v/>
      </c>
      <c r="AF97" s="10">
        <f>IF($A97="","",IFERROR(INDEX('2_IMPORTAR_EJECUCION'!$F$9:$F$1208,MATCH($AN97,'2_IMPORTAR_EJECUCION'!$J$9:$J$1208,0)),0))</f>
        <v/>
      </c>
      <c r="AG97" s="10">
        <f>IF($A97="","",MAX(0,IFERROR(INDEX('2_IMPORTAR_EJECUCION'!$H$9:$H$1208,MATCH($AN97,'2_IMPORTAR_EJECUCION'!$J$9:$J$1208,0)),0)-$AF97))</f>
        <v/>
      </c>
      <c r="AH97" s="10">
        <f>IF($A97="","",$AF97+$AG97)</f>
        <v/>
      </c>
      <c r="AI97" s="6" t="inlineStr"/>
      <c r="AJ97" s="6" t="inlineStr"/>
      <c r="AK97" s="6" t="inlineStr">
        <is>
          <t>ACT-02.pdf</t>
        </is>
      </c>
      <c r="AL97" s="3">
        <f>IF($AK97="","",HYPERLINK(p_ruta_base_checklists&amp;$AK97,"abrir"))</f>
        <v/>
      </c>
      <c r="AM97" s="6" t="inlineStr"/>
      <c r="AN97" s="3">
        <f>IF($A97="","",$A97&amp;IF($B97="","0010",$B97))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1" t="n">
        <v>46227</v>
      </c>
      <c r="K98" s="3" t="n">
        <v>11</v>
      </c>
      <c r="L98" s="10" t="n">
        <v>275</v>
      </c>
      <c r="M98" s="3">
        <f>IF($A98="","",IFERROR(INDEX('AJUSTES'!$B$4:$B$303,MATCH($AN98,'AJUSTES'!$A$4:$A$303,0)),IF($K98="","",$K98)))</f>
        <v/>
      </c>
      <c r="N98" s="3">
        <f>IF($A98="","",IFERROR(INDEX('CAT_ESTADOS_ERP'!$B$4:$B$7,MATCH(IFERROR(INDEX('2_IMPORTAR_EJECUCION'!$C$9:$C$1208,MATCH($AN98,'2_IMPORTAR_EJECUCION'!$J$9:$J$1208,0)),""),'CAT_ESTADOS_ERP'!$A$4:$A$7,0)),"Pendiente"))</f>
        <v/>
      </c>
      <c r="O98" s="3">
        <f>IF($J98="","",YEAR($J98+4-WEEKDAY($J98,2))&amp;"-S"&amp;TEXT(_xlfn.ISOWEEKNUM($J98),"00"))</f>
        <v/>
      </c>
      <c r="P98" s="3">
        <f>IF($J98="","",YEAR($J98))</f>
        <v/>
      </c>
      <c r="Q98" s="3">
        <f>IF($J98="","",MONTH($J98))</f>
        <v/>
      </c>
      <c r="R98" s="3">
        <f>IF($J98="","",INDEX(lista_dias,WEEKDAY($J98,2)))</f>
        <v/>
      </c>
      <c r="S98" s="3">
        <f>IF($I98="","",IFERROR(INDEX('CAT_TIPOS_OT'!$C$4:$C$7,MATCH($I98,'CAT_TIPOS_OT'!$A$4:$A$7,0)),"sin_clasificar"))</f>
        <v/>
      </c>
      <c r="T98" s="3">
        <f>IF($F98="","",IFERROR(INDEX('CAT_CENTROS_COSTO'!$E$4:$E$9,MATCH($F98,'CAT_CENTROS_COSTO'!$A$4:$A$9,0)),"(sin catálogo)"))</f>
        <v/>
      </c>
      <c r="U98" s="3">
        <f>IF($F98="","",IFERROR(INDEX('CAT_CENTROS_COSTO'!$D$4:$D$9,MATCH($F98,'CAT_CENTROS_COSTO'!$A$4:$A$9,0)),"(sin catálogo)"))</f>
        <v/>
      </c>
      <c r="V98" s="3">
        <f>IF($F98="","",IFERROR(INDEX('CAT_CENTROS_COSTO'!$F$4:$F$9,MATCH($F98,'CAT_CENTROS_COSTO'!$A$4:$A$9,0)),"(sin catálogo)"))</f>
        <v/>
      </c>
      <c r="W98" s="3">
        <f>IF($G98="","",IFERROR(INDEX('CAT_PUESTOS'!$B$4:$B$8,MATCH($G98,'CAT_PUESTOS'!$A$4:$A$8,0)),"(sin catálogo)"))</f>
        <v/>
      </c>
      <c r="X98" s="3">
        <f>IF($H98="","",IFERROR(INDEX('CAT_ACTIVIDADES'!$B$4:$B$8,MATCH($H98,'CAT_ACTIVIDADES'!$A$4:$A$8,0)),"(sin catálogo)"))</f>
        <v/>
      </c>
      <c r="Y98" s="12">
        <f>IF($J98="","",TODAY()-$J98)</f>
        <v/>
      </c>
      <c r="Z98" s="3">
        <f>IF($Y98="","",IF($Y98&lt;0,"FUTURO",IF($Y98&gt;p_dias_backlog_max,"BACKLOG","MES CORRIENTE")))</f>
        <v/>
      </c>
      <c r="AA98" s="3">
        <f>IF($Y98="",FALSE,AND($Y98&gt;p_dias_backlog_min,$Y98&lt;=p_dias_backlog_max))</f>
        <v/>
      </c>
      <c r="AB98" s="6" t="inlineStr">
        <is>
          <t>Técnico 08</t>
        </is>
      </c>
      <c r="AC98" s="3">
        <f>IF($AB98="","",IFERROR(INDEX('ASIGNACIONES'!$F$4:$F$339,MATCH($O98&amp;"|"&amp;$R98&amp;"|"&amp;$AB98,'ASIGNACIONES'!$I$4:$I$339,0)),""))</f>
        <v/>
      </c>
      <c r="AD98" s="13">
        <f>IF($AB98="","",SUMIFS('ORDENES'!$M$4:$M$1203,'ORDENES'!$AB$4:$AB$1203,$AB98,'ORDENES'!$O$4:$O$1203,$O98,'ORDENES'!$R$4:$R$1203,$R98))</f>
        <v/>
      </c>
      <c r="AE98" s="13">
        <f>IF($AD98="","",p_factor_productividad*IFERROR(INDEX('ASIGNACIONES'!$H$4:$H$339,MATCH($O98&amp;"|"&amp;$R98&amp;"|"&amp;$AB98,'ASIGNACIONES'!$I$4:$I$339,0)),0)-$AD98)</f>
        <v/>
      </c>
      <c r="AF98" s="10">
        <f>IF($A98="","",IFERROR(INDEX('2_IMPORTAR_EJECUCION'!$F$9:$F$1208,MATCH($AN98,'2_IMPORTAR_EJECUCION'!$J$9:$J$1208,0)),0))</f>
        <v/>
      </c>
      <c r="AG98" s="10">
        <f>IF($A98="","",MAX(0,IFERROR(INDEX('2_IMPORTAR_EJECUCION'!$H$9:$H$1208,MATCH($AN98,'2_IMPORTAR_EJECUCION'!$J$9:$J$1208,0)),0)-$AF98))</f>
        <v/>
      </c>
      <c r="AH98" s="10">
        <f>IF($A98="","",$AF98+$AG98)</f>
        <v/>
      </c>
      <c r="AI98" s="6" t="inlineStr"/>
      <c r="AJ98" s="6" t="inlineStr"/>
      <c r="AK98" s="6" t="inlineStr">
        <is>
          <t>ACT-04.pdf</t>
        </is>
      </c>
      <c r="AL98" s="3">
        <f>IF($AK98="","",HYPERLINK(p_ruta_base_checklists&amp;$AK98,"abrir"))</f>
        <v/>
      </c>
      <c r="AM98" s="6" t="inlineStr"/>
      <c r="AN98" s="3">
        <f>IF($A98="","",$A98&amp;IF($B98="","0010",$B98))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1" t="n">
        <v>46223</v>
      </c>
      <c r="K99" s="3" t="n">
        <v>10</v>
      </c>
      <c r="L99" s="10" t="n">
        <v>400</v>
      </c>
      <c r="M99" s="3">
        <f>IF($A99="","",IFERROR(INDEX('AJUSTES'!$B$4:$B$303,MATCH($AN99,'AJUSTES'!$A$4:$A$303,0)),IF($K99="","",$K99)))</f>
        <v/>
      </c>
      <c r="N99" s="3">
        <f>IF($A99="","",IFERROR(INDEX('CAT_ESTADOS_ERP'!$B$4:$B$7,MATCH(IFERROR(INDEX('2_IMPORTAR_EJECUCION'!$C$9:$C$1208,MATCH($AN99,'2_IMPORTAR_EJECUCION'!$J$9:$J$1208,0)),""),'CAT_ESTADOS_ERP'!$A$4:$A$7,0)),"Pendiente"))</f>
        <v/>
      </c>
      <c r="O99" s="3">
        <f>IF($J99="","",YEAR($J99+4-WEEKDAY($J99,2))&amp;"-S"&amp;TEXT(_xlfn.ISOWEEKNUM($J99),"00"))</f>
        <v/>
      </c>
      <c r="P99" s="3">
        <f>IF($J99="","",YEAR($J99))</f>
        <v/>
      </c>
      <c r="Q99" s="3">
        <f>IF($J99="","",MONTH($J99))</f>
        <v/>
      </c>
      <c r="R99" s="3">
        <f>IF($J99="","",INDEX(lista_dias,WEEKDAY($J99,2)))</f>
        <v/>
      </c>
      <c r="S99" s="3">
        <f>IF($I99="","",IFERROR(INDEX('CAT_TIPOS_OT'!$C$4:$C$7,MATCH($I99,'CAT_TIPOS_OT'!$A$4:$A$7,0)),"sin_clasificar"))</f>
        <v/>
      </c>
      <c r="T99" s="3">
        <f>IF($F99="","",IFERROR(INDEX('CAT_CENTROS_COSTO'!$E$4:$E$9,MATCH($F99,'CAT_CENTROS_COSTO'!$A$4:$A$9,0)),"(sin catálogo)"))</f>
        <v/>
      </c>
      <c r="U99" s="3">
        <f>IF($F99="","",IFERROR(INDEX('CAT_CENTROS_COSTO'!$D$4:$D$9,MATCH($F99,'CAT_CENTROS_COSTO'!$A$4:$A$9,0)),"(sin catálogo)"))</f>
        <v/>
      </c>
      <c r="V99" s="3">
        <f>IF($F99="","",IFERROR(INDEX('CAT_CENTROS_COSTO'!$F$4:$F$9,MATCH($F99,'CAT_CENTROS_COSTO'!$A$4:$A$9,0)),"(sin catálogo)"))</f>
        <v/>
      </c>
      <c r="W99" s="3">
        <f>IF($G99="","",IFERROR(INDEX('CAT_PUESTOS'!$B$4:$B$8,MATCH($G99,'CAT_PUESTOS'!$A$4:$A$8,0)),"(sin catálogo)"))</f>
        <v/>
      </c>
      <c r="X99" s="3">
        <f>IF($H99="","",IFERROR(INDEX('CAT_ACTIVIDADES'!$B$4:$B$8,MATCH($H99,'CAT_ACTIVIDADES'!$A$4:$A$8,0)),"(sin catálogo)"))</f>
        <v/>
      </c>
      <c r="Y99" s="12">
        <f>IF($J99="","",TODAY()-$J99)</f>
        <v/>
      </c>
      <c r="Z99" s="3">
        <f>IF($Y99="","",IF($Y99&lt;0,"FUTURO",IF($Y99&gt;p_dias_backlog_max,"BACKLOG","MES CORRIENTE")))</f>
        <v/>
      </c>
      <c r="AA99" s="3">
        <f>IF($Y99="",FALSE,AND($Y99&gt;p_dias_backlog_min,$Y99&lt;=p_dias_backlog_max))</f>
        <v/>
      </c>
      <c r="AB99" s="6" t="inlineStr"/>
      <c r="AC99" s="3">
        <f>IF($AB99="","",IFERROR(INDEX('ASIGNACIONES'!$F$4:$F$339,MATCH($O99&amp;"|"&amp;$R99&amp;"|"&amp;$AB99,'ASIGNACIONES'!$I$4:$I$339,0)),""))</f>
        <v/>
      </c>
      <c r="AD99" s="13">
        <f>IF($AB99="","",SUMIFS('ORDENES'!$M$4:$M$1203,'ORDENES'!$AB$4:$AB$1203,$AB99,'ORDENES'!$O$4:$O$1203,$O99,'ORDENES'!$R$4:$R$1203,$R99))</f>
        <v/>
      </c>
      <c r="AE99" s="13">
        <f>IF($AD99="","",p_factor_productividad*IFERROR(INDEX('ASIGNACIONES'!$H$4:$H$339,MATCH($O99&amp;"|"&amp;$R99&amp;"|"&amp;$AB99,'ASIGNACIONES'!$I$4:$I$339,0)),0)-$AD99)</f>
        <v/>
      </c>
      <c r="AF99" s="10">
        <f>IF($A99="","",IFERROR(INDEX('2_IMPORTAR_EJECUCION'!$F$9:$F$1208,MATCH($AN99,'2_IMPORTAR_EJECUCION'!$J$9:$J$1208,0)),0))</f>
        <v/>
      </c>
      <c r="AG99" s="10">
        <f>IF($A99="","",MAX(0,IFERROR(INDEX('2_IMPORTAR_EJECUCION'!$H$9:$H$1208,MATCH($AN99,'2_IMPORTAR_EJECUCION'!$J$9:$J$1208,0)),0)-$AF99))</f>
        <v/>
      </c>
      <c r="AH99" s="10">
        <f>IF($A99="","",$AF99+$AG99)</f>
        <v/>
      </c>
      <c r="AI99" s="6" t="inlineStr">
        <is>
          <t>PT-CALIENTE</t>
        </is>
      </c>
      <c r="AJ99" s="6" t="inlineStr">
        <is>
          <t>LOTO</t>
        </is>
      </c>
      <c r="AK99" s="6" t="inlineStr"/>
      <c r="AL99" s="3">
        <f>IF($AK99="","",HYPERLINK(p_ruta_base_checklists&amp;$AK99,"abrir"))</f>
        <v/>
      </c>
      <c r="AM99" s="6" t="inlineStr"/>
      <c r="AN99" s="3">
        <f>IF($A99="","",$A99&amp;IF($B99="","0010",$B99))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1" t="n">
        <v>46231</v>
      </c>
      <c r="K100" s="3" t="n">
        <v>10</v>
      </c>
      <c r="L100" s="10" t="n">
        <v>250</v>
      </c>
      <c r="M100" s="3">
        <f>IF($A100="","",IFERROR(INDEX('AJUSTES'!$B$4:$B$303,MATCH($AN100,'AJUSTES'!$A$4:$A$303,0)),IF($K100="","",$K100)))</f>
        <v/>
      </c>
      <c r="N100" s="3">
        <f>IF($A100="","",IFERROR(INDEX('CAT_ESTADOS_ERP'!$B$4:$B$7,MATCH(IFERROR(INDEX('2_IMPORTAR_EJECUCION'!$C$9:$C$1208,MATCH($AN100,'2_IMPORTAR_EJECUCION'!$J$9:$J$1208,0)),""),'CAT_ESTADOS_ERP'!$A$4:$A$7,0)),"Pendiente"))</f>
        <v/>
      </c>
      <c r="O100" s="3">
        <f>IF($J100="","",YEAR($J100+4-WEEKDAY($J100,2))&amp;"-S"&amp;TEXT(_xlfn.ISOWEEKNUM($J100),"00"))</f>
        <v/>
      </c>
      <c r="P100" s="3">
        <f>IF($J100="","",YEAR($J100))</f>
        <v/>
      </c>
      <c r="Q100" s="3">
        <f>IF($J100="","",MONTH($J100))</f>
        <v/>
      </c>
      <c r="R100" s="3">
        <f>IF($J100="","",INDEX(lista_dias,WEEKDAY($J100,2)))</f>
        <v/>
      </c>
      <c r="S100" s="3">
        <f>IF($I100="","",IFERROR(INDEX('CAT_TIPOS_OT'!$C$4:$C$7,MATCH($I100,'CAT_TIPOS_OT'!$A$4:$A$7,0)),"sin_clasificar"))</f>
        <v/>
      </c>
      <c r="T100" s="3">
        <f>IF($F100="","",IFERROR(INDEX('CAT_CENTROS_COSTO'!$E$4:$E$9,MATCH($F100,'CAT_CENTROS_COSTO'!$A$4:$A$9,0)),"(sin catálogo)"))</f>
        <v/>
      </c>
      <c r="U100" s="3">
        <f>IF($F100="","",IFERROR(INDEX('CAT_CENTROS_COSTO'!$D$4:$D$9,MATCH($F100,'CAT_CENTROS_COSTO'!$A$4:$A$9,0)),"(sin catálogo)"))</f>
        <v/>
      </c>
      <c r="V100" s="3">
        <f>IF($F100="","",IFERROR(INDEX('CAT_CENTROS_COSTO'!$F$4:$F$9,MATCH($F100,'CAT_CENTROS_COSTO'!$A$4:$A$9,0)),"(sin catálogo)"))</f>
        <v/>
      </c>
      <c r="W100" s="3">
        <f>IF($G100="","",IFERROR(INDEX('CAT_PUESTOS'!$B$4:$B$8,MATCH($G100,'CAT_PUESTOS'!$A$4:$A$8,0)),"(sin catálogo)"))</f>
        <v/>
      </c>
      <c r="X100" s="3">
        <f>IF($H100="","",IFERROR(INDEX('CAT_ACTIVIDADES'!$B$4:$B$8,MATCH($H100,'CAT_ACTIVIDADES'!$A$4:$A$8,0)),"(sin catálogo)"))</f>
        <v/>
      </c>
      <c r="Y100" s="12">
        <f>IF($J100="","",TODAY()-$J100)</f>
        <v/>
      </c>
      <c r="Z100" s="3">
        <f>IF($Y100="","",IF($Y100&lt;0,"FUTURO",IF($Y100&gt;p_dias_backlog_max,"BACKLOG","MES CORRIENTE")))</f>
        <v/>
      </c>
      <c r="AA100" s="3">
        <f>IF($Y100="",FALSE,AND($Y100&gt;p_dias_backlog_min,$Y100&lt;=p_dias_backlog_max))</f>
        <v/>
      </c>
      <c r="AB100" s="6" t="inlineStr">
        <is>
          <t>Técnico 08</t>
        </is>
      </c>
      <c r="AC100" s="3">
        <f>IF($AB100="","",IFERROR(INDEX('ASIGNACIONES'!$F$4:$F$339,MATCH($O100&amp;"|"&amp;$R100&amp;"|"&amp;$AB100,'ASIGNACIONES'!$I$4:$I$339,0)),""))</f>
        <v/>
      </c>
      <c r="AD100" s="13">
        <f>IF($AB100="","",SUMIFS('ORDENES'!$M$4:$M$1203,'ORDENES'!$AB$4:$AB$1203,$AB100,'ORDENES'!$O$4:$O$1203,$O100,'ORDENES'!$R$4:$R$1203,$R100))</f>
        <v/>
      </c>
      <c r="AE100" s="13">
        <f>IF($AD100="","",p_factor_productividad*IFERROR(INDEX('ASIGNACIONES'!$H$4:$H$339,MATCH($O100&amp;"|"&amp;$R100&amp;"|"&amp;$AB100,'ASIGNACIONES'!$I$4:$I$339,0)),0)-$AD100)</f>
        <v/>
      </c>
      <c r="AF100" s="10">
        <f>IF($A100="","",IFERROR(INDEX('2_IMPORTAR_EJECUCION'!$F$9:$F$1208,MATCH($AN100,'2_IMPORTAR_EJECUCION'!$J$9:$J$1208,0)),0))</f>
        <v/>
      </c>
      <c r="AG100" s="10">
        <f>IF($A100="","",MAX(0,IFERROR(INDEX('2_IMPORTAR_EJECUCION'!$H$9:$H$1208,MATCH($AN100,'2_IMPORTAR_EJECUCION'!$J$9:$J$1208,0)),0)-$AF100))</f>
        <v/>
      </c>
      <c r="AH100" s="10">
        <f>IF($A100="","",$AF100+$AG100)</f>
        <v/>
      </c>
      <c r="AI100" s="6" t="inlineStr"/>
      <c r="AJ100" s="6" t="inlineStr"/>
      <c r="AK100" s="6" t="inlineStr">
        <is>
          <t>ACT-02.pdf</t>
        </is>
      </c>
      <c r="AL100" s="3">
        <f>IF($AK100="","",HYPERLINK(p_ruta_base_checklists&amp;$AK100,"abrir"))</f>
        <v/>
      </c>
      <c r="AM100" s="6" t="inlineStr"/>
      <c r="AN100" s="3">
        <f>IF($A100="","",$A100&amp;IF($B100="","0010",$B100))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1" t="n">
        <v>46232</v>
      </c>
      <c r="K101" s="3" t="n">
        <v>8</v>
      </c>
      <c r="L101" s="10" t="n">
        <v>200</v>
      </c>
      <c r="M101" s="3">
        <f>IF($A101="","",IFERROR(INDEX('AJUSTES'!$B$4:$B$303,MATCH($AN101,'AJUSTES'!$A$4:$A$303,0)),IF($K101="","",$K101)))</f>
        <v/>
      </c>
      <c r="N101" s="3">
        <f>IF($A101="","",IFERROR(INDEX('CAT_ESTADOS_ERP'!$B$4:$B$7,MATCH(IFERROR(INDEX('2_IMPORTAR_EJECUCION'!$C$9:$C$1208,MATCH($AN101,'2_IMPORTAR_EJECUCION'!$J$9:$J$1208,0)),""),'CAT_ESTADOS_ERP'!$A$4:$A$7,0)),"Pendiente"))</f>
        <v/>
      </c>
      <c r="O101" s="3">
        <f>IF($J101="","",YEAR($J101+4-WEEKDAY($J101,2))&amp;"-S"&amp;TEXT(_xlfn.ISOWEEKNUM($J101),"00"))</f>
        <v/>
      </c>
      <c r="P101" s="3">
        <f>IF($J101="","",YEAR($J101))</f>
        <v/>
      </c>
      <c r="Q101" s="3">
        <f>IF($J101="","",MONTH($J101))</f>
        <v/>
      </c>
      <c r="R101" s="3">
        <f>IF($J101="","",INDEX(lista_dias,WEEKDAY($J101,2)))</f>
        <v/>
      </c>
      <c r="S101" s="3">
        <f>IF($I101="","",IFERROR(INDEX('CAT_TIPOS_OT'!$C$4:$C$7,MATCH($I101,'CAT_TIPOS_OT'!$A$4:$A$7,0)),"sin_clasificar"))</f>
        <v/>
      </c>
      <c r="T101" s="3">
        <f>IF($F101="","",IFERROR(INDEX('CAT_CENTROS_COSTO'!$E$4:$E$9,MATCH($F101,'CAT_CENTROS_COSTO'!$A$4:$A$9,0)),"(sin catálogo)"))</f>
        <v/>
      </c>
      <c r="U101" s="3">
        <f>IF($F101="","",IFERROR(INDEX('CAT_CENTROS_COSTO'!$D$4:$D$9,MATCH($F101,'CAT_CENTROS_COSTO'!$A$4:$A$9,0)),"(sin catálogo)"))</f>
        <v/>
      </c>
      <c r="V101" s="3">
        <f>IF($F101="","",IFERROR(INDEX('CAT_CENTROS_COSTO'!$F$4:$F$9,MATCH($F101,'CAT_CENTROS_COSTO'!$A$4:$A$9,0)),"(sin catálogo)"))</f>
        <v/>
      </c>
      <c r="W101" s="3">
        <f>IF($G101="","",IFERROR(INDEX('CAT_PUESTOS'!$B$4:$B$8,MATCH($G101,'CAT_PUESTOS'!$A$4:$A$8,0)),"(sin catálogo)"))</f>
        <v/>
      </c>
      <c r="X101" s="3">
        <f>IF($H101="","",IFERROR(INDEX('CAT_ACTIVIDADES'!$B$4:$B$8,MATCH($H101,'CAT_ACTIVIDADES'!$A$4:$A$8,0)),"(sin catálogo)"))</f>
        <v/>
      </c>
      <c r="Y101" s="12">
        <f>IF($J101="","",TODAY()-$J101)</f>
        <v/>
      </c>
      <c r="Z101" s="3">
        <f>IF($Y101="","",IF($Y101&lt;0,"FUTURO",IF($Y101&gt;p_dias_backlog_max,"BACKLOG","MES CORRIENTE")))</f>
        <v/>
      </c>
      <c r="AA101" s="3">
        <f>IF($Y101="",FALSE,AND($Y101&gt;p_dias_backlog_min,$Y101&lt;=p_dias_backlog_max))</f>
        <v/>
      </c>
      <c r="AB101" s="6" t="inlineStr">
        <is>
          <t>Técnico 09</t>
        </is>
      </c>
      <c r="AC101" s="3">
        <f>IF($AB101="","",IFERROR(INDEX('ASIGNACIONES'!$F$4:$F$339,MATCH($O101&amp;"|"&amp;$R101&amp;"|"&amp;$AB101,'ASIGNACIONES'!$I$4:$I$339,0)),""))</f>
        <v/>
      </c>
      <c r="AD101" s="13">
        <f>IF($AB101="","",SUMIFS('ORDENES'!$M$4:$M$1203,'ORDENES'!$AB$4:$AB$1203,$AB101,'ORDENES'!$O$4:$O$1203,$O101,'ORDENES'!$R$4:$R$1203,$R101))</f>
        <v/>
      </c>
      <c r="AE101" s="13">
        <f>IF($AD101="","",p_factor_productividad*IFERROR(INDEX('ASIGNACIONES'!$H$4:$H$339,MATCH($O101&amp;"|"&amp;$R101&amp;"|"&amp;$AB101,'ASIGNACIONES'!$I$4:$I$339,0)),0)-$AD101)</f>
        <v/>
      </c>
      <c r="AF101" s="10">
        <f>IF($A101="","",IFERROR(INDEX('2_IMPORTAR_EJECUCION'!$F$9:$F$1208,MATCH($AN101,'2_IMPORTAR_EJECUCION'!$J$9:$J$1208,0)),0))</f>
        <v/>
      </c>
      <c r="AG101" s="10">
        <f>IF($A101="","",MAX(0,IFERROR(INDEX('2_IMPORTAR_EJECUCION'!$H$9:$H$1208,MATCH($AN101,'2_IMPORTAR_EJECUCION'!$J$9:$J$1208,0)),0)-$AF101))</f>
        <v/>
      </c>
      <c r="AH101" s="10">
        <f>IF($A101="","",$AF101+$AG101)</f>
        <v/>
      </c>
      <c r="AI101" s="6" t="inlineStr"/>
      <c r="AJ101" s="6" t="inlineStr"/>
      <c r="AK101" s="6" t="inlineStr">
        <is>
          <t>ACT-04.pdf</t>
        </is>
      </c>
      <c r="AL101" s="3">
        <f>IF($AK101="","",HYPERLINK(p_ruta_base_checklists&amp;$AK101,"abrir"))</f>
        <v/>
      </c>
      <c r="AM101" s="6" t="inlineStr"/>
      <c r="AN101" s="3">
        <f>IF($A101="","",$A101&amp;IF($B101="","0010",$B101))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1" t="n">
        <v>46233</v>
      </c>
      <c r="K102" s="3" t="n">
        <v>6</v>
      </c>
      <c r="L102" s="10" t="n">
        <v>150</v>
      </c>
      <c r="M102" s="3">
        <f>IF($A102="","",IFERROR(INDEX('AJUSTES'!$B$4:$B$303,MATCH($AN102,'AJUSTES'!$A$4:$A$303,0)),IF($K102="","",$K102)))</f>
        <v/>
      </c>
      <c r="N102" s="3">
        <f>IF($A102="","",IFERROR(INDEX('CAT_ESTADOS_ERP'!$B$4:$B$7,MATCH(IFERROR(INDEX('2_IMPORTAR_EJECUCION'!$C$9:$C$1208,MATCH($AN102,'2_IMPORTAR_EJECUCION'!$J$9:$J$1208,0)),""),'CAT_ESTADOS_ERP'!$A$4:$A$7,0)),"Pendiente"))</f>
        <v/>
      </c>
      <c r="O102" s="3">
        <f>IF($J102="","",YEAR($J102+4-WEEKDAY($J102,2))&amp;"-S"&amp;TEXT(_xlfn.ISOWEEKNUM($J102),"00"))</f>
        <v/>
      </c>
      <c r="P102" s="3">
        <f>IF($J102="","",YEAR($J102))</f>
        <v/>
      </c>
      <c r="Q102" s="3">
        <f>IF($J102="","",MONTH($J102))</f>
        <v/>
      </c>
      <c r="R102" s="3">
        <f>IF($J102="","",INDEX(lista_dias,WEEKDAY($J102,2)))</f>
        <v/>
      </c>
      <c r="S102" s="3">
        <f>IF($I102="","",IFERROR(INDEX('CAT_TIPOS_OT'!$C$4:$C$7,MATCH($I102,'CAT_TIPOS_OT'!$A$4:$A$7,0)),"sin_clasificar"))</f>
        <v/>
      </c>
      <c r="T102" s="3">
        <f>IF($F102="","",IFERROR(INDEX('CAT_CENTROS_COSTO'!$E$4:$E$9,MATCH($F102,'CAT_CENTROS_COSTO'!$A$4:$A$9,0)),"(sin catálogo)"))</f>
        <v/>
      </c>
      <c r="U102" s="3">
        <f>IF($F102="","",IFERROR(INDEX('CAT_CENTROS_COSTO'!$D$4:$D$9,MATCH($F102,'CAT_CENTROS_COSTO'!$A$4:$A$9,0)),"(sin catálogo)"))</f>
        <v/>
      </c>
      <c r="V102" s="3">
        <f>IF($F102="","",IFERROR(INDEX('CAT_CENTROS_COSTO'!$F$4:$F$9,MATCH($F102,'CAT_CENTROS_COSTO'!$A$4:$A$9,0)),"(sin catálogo)"))</f>
        <v/>
      </c>
      <c r="W102" s="3">
        <f>IF($G102="","",IFERROR(INDEX('CAT_PUESTOS'!$B$4:$B$8,MATCH($G102,'CAT_PUESTOS'!$A$4:$A$8,0)),"(sin catálogo)"))</f>
        <v/>
      </c>
      <c r="X102" s="3">
        <f>IF($H102="","",IFERROR(INDEX('CAT_ACTIVIDADES'!$B$4:$B$8,MATCH($H102,'CAT_ACTIVIDADES'!$A$4:$A$8,0)),"(sin catálogo)"))</f>
        <v/>
      </c>
      <c r="Y102" s="12">
        <f>IF($J102="","",TODAY()-$J102)</f>
        <v/>
      </c>
      <c r="Z102" s="3">
        <f>IF($Y102="","",IF($Y102&lt;0,"FUTURO",IF($Y102&gt;p_dias_backlog_max,"BACKLOG","MES CORRIENTE")))</f>
        <v/>
      </c>
      <c r="AA102" s="3">
        <f>IF($Y102="",FALSE,AND($Y102&gt;p_dias_backlog_min,$Y102&lt;=p_dias_backlog_max))</f>
        <v/>
      </c>
      <c r="AB102" s="6" t="inlineStr">
        <is>
          <t>Técnico 08</t>
        </is>
      </c>
      <c r="AC102" s="3">
        <f>IF($AB102="","",IFERROR(INDEX('ASIGNACIONES'!$F$4:$F$339,MATCH($O102&amp;"|"&amp;$R102&amp;"|"&amp;$AB102,'ASIGNACIONES'!$I$4:$I$339,0)),""))</f>
        <v/>
      </c>
      <c r="AD102" s="13">
        <f>IF($AB102="","",SUMIFS('ORDENES'!$M$4:$M$1203,'ORDENES'!$AB$4:$AB$1203,$AB102,'ORDENES'!$O$4:$O$1203,$O102,'ORDENES'!$R$4:$R$1203,$R102))</f>
        <v/>
      </c>
      <c r="AE102" s="13">
        <f>IF($AD102="","",p_factor_productividad*IFERROR(INDEX('ASIGNACIONES'!$H$4:$H$339,MATCH($O102&amp;"|"&amp;$R102&amp;"|"&amp;$AB102,'ASIGNACIONES'!$I$4:$I$339,0)),0)-$AD102)</f>
        <v/>
      </c>
      <c r="AF102" s="10">
        <f>IF($A102="","",IFERROR(INDEX('2_IMPORTAR_EJECUCION'!$F$9:$F$1208,MATCH($AN102,'2_IMPORTAR_EJECUCION'!$J$9:$J$1208,0)),0))</f>
        <v/>
      </c>
      <c r="AG102" s="10">
        <f>IF($A102="","",MAX(0,IFERROR(INDEX('2_IMPORTAR_EJECUCION'!$H$9:$H$1208,MATCH($AN102,'2_IMPORTAR_EJECUCION'!$J$9:$J$1208,0)),0)-$AF102))</f>
        <v/>
      </c>
      <c r="AH102" s="10">
        <f>IF($A102="","",$AF102+$AG102)</f>
        <v/>
      </c>
      <c r="AI102" s="6" t="inlineStr"/>
      <c r="AJ102" s="6" t="inlineStr"/>
      <c r="AK102" s="6" t="inlineStr">
        <is>
          <t>ACT-01.pdf</t>
        </is>
      </c>
      <c r="AL102" s="3">
        <f>IF($AK102="","",HYPERLINK(p_ruta_base_checklists&amp;$AK102,"abrir"))</f>
        <v/>
      </c>
      <c r="AM102" s="6" t="inlineStr"/>
      <c r="AN102" s="3">
        <f>IF($A102="","",$A102&amp;IF($B102="","0010",$B102))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1" t="n">
        <v>46234</v>
      </c>
      <c r="K103" s="3" t="n">
        <v>11</v>
      </c>
      <c r="L103" s="10" t="n">
        <v>275</v>
      </c>
      <c r="M103" s="3">
        <f>IF($A103="","",IFERROR(INDEX('AJUSTES'!$B$4:$B$303,MATCH($AN103,'AJUSTES'!$A$4:$A$303,0)),IF($K103="","",$K103)))</f>
        <v/>
      </c>
      <c r="N103" s="3">
        <f>IF($A103="","",IFERROR(INDEX('CAT_ESTADOS_ERP'!$B$4:$B$7,MATCH(IFERROR(INDEX('2_IMPORTAR_EJECUCION'!$C$9:$C$1208,MATCH($AN103,'2_IMPORTAR_EJECUCION'!$J$9:$J$1208,0)),""),'CAT_ESTADOS_ERP'!$A$4:$A$7,0)),"Pendiente"))</f>
        <v/>
      </c>
      <c r="O103" s="3">
        <f>IF($J103="","",YEAR($J103+4-WEEKDAY($J103,2))&amp;"-S"&amp;TEXT(_xlfn.ISOWEEKNUM($J103),"00"))</f>
        <v/>
      </c>
      <c r="P103" s="3">
        <f>IF($J103="","",YEAR($J103))</f>
        <v/>
      </c>
      <c r="Q103" s="3">
        <f>IF($J103="","",MONTH($J103))</f>
        <v/>
      </c>
      <c r="R103" s="3">
        <f>IF($J103="","",INDEX(lista_dias,WEEKDAY($J103,2)))</f>
        <v/>
      </c>
      <c r="S103" s="3">
        <f>IF($I103="","",IFERROR(INDEX('CAT_TIPOS_OT'!$C$4:$C$7,MATCH($I103,'CAT_TIPOS_OT'!$A$4:$A$7,0)),"sin_clasificar"))</f>
        <v/>
      </c>
      <c r="T103" s="3">
        <f>IF($F103="","",IFERROR(INDEX('CAT_CENTROS_COSTO'!$E$4:$E$9,MATCH($F103,'CAT_CENTROS_COSTO'!$A$4:$A$9,0)),"(sin catálogo)"))</f>
        <v/>
      </c>
      <c r="U103" s="3">
        <f>IF($F103="","",IFERROR(INDEX('CAT_CENTROS_COSTO'!$D$4:$D$9,MATCH($F103,'CAT_CENTROS_COSTO'!$A$4:$A$9,0)),"(sin catálogo)"))</f>
        <v/>
      </c>
      <c r="V103" s="3">
        <f>IF($F103="","",IFERROR(INDEX('CAT_CENTROS_COSTO'!$F$4:$F$9,MATCH($F103,'CAT_CENTROS_COSTO'!$A$4:$A$9,0)),"(sin catálogo)"))</f>
        <v/>
      </c>
      <c r="W103" s="3">
        <f>IF($G103="","",IFERROR(INDEX('CAT_PUESTOS'!$B$4:$B$8,MATCH($G103,'CAT_PUESTOS'!$A$4:$A$8,0)),"(sin catálogo)"))</f>
        <v/>
      </c>
      <c r="X103" s="3">
        <f>IF($H103="","",IFERROR(INDEX('CAT_ACTIVIDADES'!$B$4:$B$8,MATCH($H103,'CAT_ACTIVIDADES'!$A$4:$A$8,0)),"(sin catálogo)"))</f>
        <v/>
      </c>
      <c r="Y103" s="12">
        <f>IF($J103="","",TODAY()-$J103)</f>
        <v/>
      </c>
      <c r="Z103" s="3">
        <f>IF($Y103="","",IF($Y103&lt;0,"FUTURO",IF($Y103&gt;p_dias_backlog_max,"BACKLOG","MES CORRIENTE")))</f>
        <v/>
      </c>
      <c r="AA103" s="3">
        <f>IF($Y103="",FALSE,AND($Y103&gt;p_dias_backlog_min,$Y103&lt;=p_dias_backlog_max))</f>
        <v/>
      </c>
      <c r="AB103" s="6" t="inlineStr">
        <is>
          <t>Técnico 09</t>
        </is>
      </c>
      <c r="AC103" s="3">
        <f>IF($AB103="","",IFERROR(INDEX('ASIGNACIONES'!$F$4:$F$339,MATCH($O103&amp;"|"&amp;$R103&amp;"|"&amp;$AB103,'ASIGNACIONES'!$I$4:$I$339,0)),""))</f>
        <v/>
      </c>
      <c r="AD103" s="13">
        <f>IF($AB103="","",SUMIFS('ORDENES'!$M$4:$M$1203,'ORDENES'!$AB$4:$AB$1203,$AB103,'ORDENES'!$O$4:$O$1203,$O103,'ORDENES'!$R$4:$R$1203,$R103))</f>
        <v/>
      </c>
      <c r="AE103" s="13">
        <f>IF($AD103="","",p_factor_productividad*IFERROR(INDEX('ASIGNACIONES'!$H$4:$H$339,MATCH($O103&amp;"|"&amp;$R103&amp;"|"&amp;$AB103,'ASIGNACIONES'!$I$4:$I$339,0)),0)-$AD103)</f>
        <v/>
      </c>
      <c r="AF103" s="10">
        <f>IF($A103="","",IFERROR(INDEX('2_IMPORTAR_EJECUCION'!$F$9:$F$1208,MATCH($AN103,'2_IMPORTAR_EJECUCION'!$J$9:$J$1208,0)),0))</f>
        <v/>
      </c>
      <c r="AG103" s="10">
        <f>IF($A103="","",MAX(0,IFERROR(INDEX('2_IMPORTAR_EJECUCION'!$H$9:$H$1208,MATCH($AN103,'2_IMPORTAR_EJECUCION'!$J$9:$J$1208,0)),0)-$AF103))</f>
        <v/>
      </c>
      <c r="AH103" s="10">
        <f>IF($A103="","",$AF103+$AG103)</f>
        <v/>
      </c>
      <c r="AI103" s="6" t="inlineStr"/>
      <c r="AJ103" s="6" t="inlineStr"/>
      <c r="AK103" s="6" t="inlineStr">
        <is>
          <t>ACT-02.pdf</t>
        </is>
      </c>
      <c r="AL103" s="3">
        <f>IF($AK103="","",HYPERLINK(p_ruta_base_checklists&amp;$AK103,"abrir"))</f>
        <v/>
      </c>
      <c r="AM103" s="6" t="inlineStr"/>
      <c r="AN103" s="3">
        <f>IF($A103="","",$A103&amp;IF($B103="","0010",$B103))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1" t="n">
        <v>46230</v>
      </c>
      <c r="K104" s="3" t="n">
        <v>7</v>
      </c>
      <c r="L104" s="10" t="n">
        <v>280</v>
      </c>
      <c r="M104" s="3">
        <f>IF($A104="","",IFERROR(INDEX('AJUSTES'!$B$4:$B$303,MATCH($AN104,'AJUSTES'!$A$4:$A$303,0)),IF($K104="","",$K104)))</f>
        <v/>
      </c>
      <c r="N104" s="3">
        <f>IF($A104="","",IFERROR(INDEX('CAT_ESTADOS_ERP'!$B$4:$B$7,MATCH(IFERROR(INDEX('2_IMPORTAR_EJECUCION'!$C$9:$C$1208,MATCH($AN104,'2_IMPORTAR_EJECUCION'!$J$9:$J$1208,0)),""),'CAT_ESTADOS_ERP'!$A$4:$A$7,0)),"Pendiente"))</f>
        <v/>
      </c>
      <c r="O104" s="3">
        <f>IF($J104="","",YEAR($J104+4-WEEKDAY($J104,2))&amp;"-S"&amp;TEXT(_xlfn.ISOWEEKNUM($J104),"00"))</f>
        <v/>
      </c>
      <c r="P104" s="3">
        <f>IF($J104="","",YEAR($J104))</f>
        <v/>
      </c>
      <c r="Q104" s="3">
        <f>IF($J104="","",MONTH($J104))</f>
        <v/>
      </c>
      <c r="R104" s="3">
        <f>IF($J104="","",INDEX(lista_dias,WEEKDAY($J104,2)))</f>
        <v/>
      </c>
      <c r="S104" s="3">
        <f>IF($I104="","",IFERROR(INDEX('CAT_TIPOS_OT'!$C$4:$C$7,MATCH($I104,'CAT_TIPOS_OT'!$A$4:$A$7,0)),"sin_clasificar"))</f>
        <v/>
      </c>
      <c r="T104" s="3">
        <f>IF($F104="","",IFERROR(INDEX('CAT_CENTROS_COSTO'!$E$4:$E$9,MATCH($F104,'CAT_CENTROS_COSTO'!$A$4:$A$9,0)),"(sin catálogo)"))</f>
        <v/>
      </c>
      <c r="U104" s="3">
        <f>IF($F104="","",IFERROR(INDEX('CAT_CENTROS_COSTO'!$D$4:$D$9,MATCH($F104,'CAT_CENTROS_COSTO'!$A$4:$A$9,0)),"(sin catálogo)"))</f>
        <v/>
      </c>
      <c r="V104" s="3">
        <f>IF($F104="","",IFERROR(INDEX('CAT_CENTROS_COSTO'!$F$4:$F$9,MATCH($F104,'CAT_CENTROS_COSTO'!$A$4:$A$9,0)),"(sin catálogo)"))</f>
        <v/>
      </c>
      <c r="W104" s="3">
        <f>IF($G104="","",IFERROR(INDEX('CAT_PUESTOS'!$B$4:$B$8,MATCH($G104,'CAT_PUESTOS'!$A$4:$A$8,0)),"(sin catálogo)"))</f>
        <v/>
      </c>
      <c r="X104" s="3">
        <f>IF($H104="","",IFERROR(INDEX('CAT_ACTIVIDADES'!$B$4:$B$8,MATCH($H104,'CAT_ACTIVIDADES'!$A$4:$A$8,0)),"(sin catálogo)"))</f>
        <v/>
      </c>
      <c r="Y104" s="12">
        <f>IF($J104="","",TODAY()-$J104)</f>
        <v/>
      </c>
      <c r="Z104" s="3">
        <f>IF($Y104="","",IF($Y104&lt;0,"FUTURO",IF($Y104&gt;p_dias_backlog_max,"BACKLOG","MES CORRIENTE")))</f>
        <v/>
      </c>
      <c r="AA104" s="3">
        <f>IF($Y104="",FALSE,AND($Y104&gt;p_dias_backlog_min,$Y104&lt;=p_dias_backlog_max))</f>
        <v/>
      </c>
      <c r="AB104" s="6" t="inlineStr">
        <is>
          <t>Técnico 08</t>
        </is>
      </c>
      <c r="AC104" s="3">
        <f>IF($AB104="","",IFERROR(INDEX('ASIGNACIONES'!$F$4:$F$339,MATCH($O104&amp;"|"&amp;$R104&amp;"|"&amp;$AB104,'ASIGNACIONES'!$I$4:$I$339,0)),""))</f>
        <v/>
      </c>
      <c r="AD104" s="13">
        <f>IF($AB104="","",SUMIFS('ORDENES'!$M$4:$M$1203,'ORDENES'!$AB$4:$AB$1203,$AB104,'ORDENES'!$O$4:$O$1203,$O104,'ORDENES'!$R$4:$R$1203,$R104))</f>
        <v/>
      </c>
      <c r="AE104" s="13">
        <f>IF($AD104="","",p_factor_productividad*IFERROR(INDEX('ASIGNACIONES'!$H$4:$H$339,MATCH($O104&amp;"|"&amp;$R104&amp;"|"&amp;$AB104,'ASIGNACIONES'!$I$4:$I$339,0)),0)-$AD104)</f>
        <v/>
      </c>
      <c r="AF104" s="10">
        <f>IF($A104="","",IFERROR(INDEX('2_IMPORTAR_EJECUCION'!$F$9:$F$1208,MATCH($AN104,'2_IMPORTAR_EJECUCION'!$J$9:$J$1208,0)),0))</f>
        <v/>
      </c>
      <c r="AG104" s="10">
        <f>IF($A104="","",MAX(0,IFERROR(INDEX('2_IMPORTAR_EJECUCION'!$H$9:$H$1208,MATCH($AN104,'2_IMPORTAR_EJECUCION'!$J$9:$J$1208,0)),0)-$AF104))</f>
        <v/>
      </c>
      <c r="AH104" s="10">
        <f>IF($A104="","",$AF104+$AG104)</f>
        <v/>
      </c>
      <c r="AI104" s="6" t="inlineStr"/>
      <c r="AJ104" s="6" t="inlineStr"/>
      <c r="AK104" s="6" t="inlineStr"/>
      <c r="AL104" s="3">
        <f>IF($AK104="","",HYPERLINK(p_ruta_base_checklists&amp;$AK104,"abrir"))</f>
        <v/>
      </c>
      <c r="AM104" s="6" t="inlineStr"/>
      <c r="AN104" s="3">
        <f>IF($A104="","",$A104&amp;IF($B104="","0010",$B104))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1" t="n">
        <v>46238</v>
      </c>
      <c r="K105" s="3" t="n">
        <v>10</v>
      </c>
      <c r="L105" s="10" t="n">
        <v>250</v>
      </c>
      <c r="M105" s="3">
        <f>IF($A105="","",IFERROR(INDEX('AJUSTES'!$B$4:$B$303,MATCH($AN105,'AJUSTES'!$A$4:$A$303,0)),IF($K105="","",$K105)))</f>
        <v/>
      </c>
      <c r="N105" s="3">
        <f>IF($A105="","",IFERROR(INDEX('CAT_ESTADOS_ERP'!$B$4:$B$7,MATCH(IFERROR(INDEX('2_IMPORTAR_EJECUCION'!$C$9:$C$1208,MATCH($AN105,'2_IMPORTAR_EJECUCION'!$J$9:$J$1208,0)),""),'CAT_ESTADOS_ERP'!$A$4:$A$7,0)),"Pendiente"))</f>
        <v/>
      </c>
      <c r="O105" s="3">
        <f>IF($J105="","",YEAR($J105+4-WEEKDAY($J105,2))&amp;"-S"&amp;TEXT(_xlfn.ISOWEEKNUM($J105),"00"))</f>
        <v/>
      </c>
      <c r="P105" s="3">
        <f>IF($J105="","",YEAR($J105))</f>
        <v/>
      </c>
      <c r="Q105" s="3">
        <f>IF($J105="","",MONTH($J105))</f>
        <v/>
      </c>
      <c r="R105" s="3">
        <f>IF($J105="","",INDEX(lista_dias,WEEKDAY($J105,2)))</f>
        <v/>
      </c>
      <c r="S105" s="3">
        <f>IF($I105="","",IFERROR(INDEX('CAT_TIPOS_OT'!$C$4:$C$7,MATCH($I105,'CAT_TIPOS_OT'!$A$4:$A$7,0)),"sin_clasificar"))</f>
        <v/>
      </c>
      <c r="T105" s="3">
        <f>IF($F105="","",IFERROR(INDEX('CAT_CENTROS_COSTO'!$E$4:$E$9,MATCH($F105,'CAT_CENTROS_COSTO'!$A$4:$A$9,0)),"(sin catálogo)"))</f>
        <v/>
      </c>
      <c r="U105" s="3">
        <f>IF($F105="","",IFERROR(INDEX('CAT_CENTROS_COSTO'!$D$4:$D$9,MATCH($F105,'CAT_CENTROS_COSTO'!$A$4:$A$9,0)),"(sin catálogo)"))</f>
        <v/>
      </c>
      <c r="V105" s="3">
        <f>IF($F105="","",IFERROR(INDEX('CAT_CENTROS_COSTO'!$F$4:$F$9,MATCH($F105,'CAT_CENTROS_COSTO'!$A$4:$A$9,0)),"(sin catálogo)"))</f>
        <v/>
      </c>
      <c r="W105" s="3">
        <f>IF($G105="","",IFERROR(INDEX('CAT_PUESTOS'!$B$4:$B$8,MATCH($G105,'CAT_PUESTOS'!$A$4:$A$8,0)),"(sin catálogo)"))</f>
        <v/>
      </c>
      <c r="X105" s="3">
        <f>IF($H105="","",IFERROR(INDEX('CAT_ACTIVIDADES'!$B$4:$B$8,MATCH($H105,'CAT_ACTIVIDADES'!$A$4:$A$8,0)),"(sin catálogo)"))</f>
        <v/>
      </c>
      <c r="Y105" s="12">
        <f>IF($J105="","",TODAY()-$J105)</f>
        <v/>
      </c>
      <c r="Z105" s="3">
        <f>IF($Y105="","",IF($Y105&lt;0,"FUTURO",IF($Y105&gt;p_dias_backlog_max,"BACKLOG","MES CORRIENTE")))</f>
        <v/>
      </c>
      <c r="AA105" s="3">
        <f>IF($Y105="",FALSE,AND($Y105&gt;p_dias_backlog_min,$Y105&lt;=p_dias_backlog_max))</f>
        <v/>
      </c>
      <c r="AB105" s="6" t="inlineStr">
        <is>
          <t>Técnico 09</t>
        </is>
      </c>
      <c r="AC105" s="3">
        <f>IF($AB105="","",IFERROR(INDEX('ASIGNACIONES'!$F$4:$F$339,MATCH($O105&amp;"|"&amp;$R105&amp;"|"&amp;$AB105,'ASIGNACIONES'!$I$4:$I$339,0)),""))</f>
        <v/>
      </c>
      <c r="AD105" s="13">
        <f>IF($AB105="","",SUMIFS('ORDENES'!$M$4:$M$1203,'ORDENES'!$AB$4:$AB$1203,$AB105,'ORDENES'!$O$4:$O$1203,$O105,'ORDENES'!$R$4:$R$1203,$R105))</f>
        <v/>
      </c>
      <c r="AE105" s="13">
        <f>IF($AD105="","",p_factor_productividad*IFERROR(INDEX('ASIGNACIONES'!$H$4:$H$339,MATCH($O105&amp;"|"&amp;$R105&amp;"|"&amp;$AB105,'ASIGNACIONES'!$I$4:$I$339,0)),0)-$AD105)</f>
        <v/>
      </c>
      <c r="AF105" s="10">
        <f>IF($A105="","",IFERROR(INDEX('2_IMPORTAR_EJECUCION'!$F$9:$F$1208,MATCH($AN105,'2_IMPORTAR_EJECUCION'!$J$9:$J$1208,0)),0))</f>
        <v/>
      </c>
      <c r="AG105" s="10">
        <f>IF($A105="","",MAX(0,IFERROR(INDEX('2_IMPORTAR_EJECUCION'!$H$9:$H$1208,MATCH($AN105,'2_IMPORTAR_EJECUCION'!$J$9:$J$1208,0)),0)-$AF105))</f>
        <v/>
      </c>
      <c r="AH105" s="10">
        <f>IF($A105="","",$AF105+$AG105)</f>
        <v/>
      </c>
      <c r="AI105" s="6" t="inlineStr"/>
      <c r="AJ105" s="6" t="inlineStr"/>
      <c r="AK105" s="6" t="inlineStr">
        <is>
          <t>ACT-01.pdf</t>
        </is>
      </c>
      <c r="AL105" s="3">
        <f>IF($AK105="","",HYPERLINK(p_ruta_base_checklists&amp;$AK105,"abrir"))</f>
        <v/>
      </c>
      <c r="AM105" s="6" t="inlineStr"/>
      <c r="AN105" s="3">
        <f>IF($A105="","",$A105&amp;IF($B105="","0010",$B105))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1" t="n">
        <v>46239</v>
      </c>
      <c r="K106" s="3" t="n">
        <v>8</v>
      </c>
      <c r="L106" s="10" t="n">
        <v>200</v>
      </c>
      <c r="M106" s="3">
        <f>IF($A106="","",IFERROR(INDEX('AJUSTES'!$B$4:$B$303,MATCH($AN106,'AJUSTES'!$A$4:$A$303,0)),IF($K106="","",$K106)))</f>
        <v/>
      </c>
      <c r="N106" s="3">
        <f>IF($A106="","",IFERROR(INDEX('CAT_ESTADOS_ERP'!$B$4:$B$7,MATCH(IFERROR(INDEX('2_IMPORTAR_EJECUCION'!$C$9:$C$1208,MATCH($AN106,'2_IMPORTAR_EJECUCION'!$J$9:$J$1208,0)),""),'CAT_ESTADOS_ERP'!$A$4:$A$7,0)),"Pendiente"))</f>
        <v/>
      </c>
      <c r="O106" s="3">
        <f>IF($J106="","",YEAR($J106+4-WEEKDAY($J106,2))&amp;"-S"&amp;TEXT(_xlfn.ISOWEEKNUM($J106),"00"))</f>
        <v/>
      </c>
      <c r="P106" s="3">
        <f>IF($J106="","",YEAR($J106))</f>
        <v/>
      </c>
      <c r="Q106" s="3">
        <f>IF($J106="","",MONTH($J106))</f>
        <v/>
      </c>
      <c r="R106" s="3">
        <f>IF($J106="","",INDEX(lista_dias,WEEKDAY($J106,2)))</f>
        <v/>
      </c>
      <c r="S106" s="3">
        <f>IF($I106="","",IFERROR(INDEX('CAT_TIPOS_OT'!$C$4:$C$7,MATCH($I106,'CAT_TIPOS_OT'!$A$4:$A$7,0)),"sin_clasificar"))</f>
        <v/>
      </c>
      <c r="T106" s="3">
        <f>IF($F106="","",IFERROR(INDEX('CAT_CENTROS_COSTO'!$E$4:$E$9,MATCH($F106,'CAT_CENTROS_COSTO'!$A$4:$A$9,0)),"(sin catálogo)"))</f>
        <v/>
      </c>
      <c r="U106" s="3">
        <f>IF($F106="","",IFERROR(INDEX('CAT_CENTROS_COSTO'!$D$4:$D$9,MATCH($F106,'CAT_CENTROS_COSTO'!$A$4:$A$9,0)),"(sin catálogo)"))</f>
        <v/>
      </c>
      <c r="V106" s="3">
        <f>IF($F106="","",IFERROR(INDEX('CAT_CENTROS_COSTO'!$F$4:$F$9,MATCH($F106,'CAT_CENTROS_COSTO'!$A$4:$A$9,0)),"(sin catálogo)"))</f>
        <v/>
      </c>
      <c r="W106" s="3">
        <f>IF($G106="","",IFERROR(INDEX('CAT_PUESTOS'!$B$4:$B$8,MATCH($G106,'CAT_PUESTOS'!$A$4:$A$8,0)),"(sin catálogo)"))</f>
        <v/>
      </c>
      <c r="X106" s="3">
        <f>IF($H106="","",IFERROR(INDEX('CAT_ACTIVIDADES'!$B$4:$B$8,MATCH($H106,'CAT_ACTIVIDADES'!$A$4:$A$8,0)),"(sin catálogo)"))</f>
        <v/>
      </c>
      <c r="Y106" s="12">
        <f>IF($J106="","",TODAY()-$J106)</f>
        <v/>
      </c>
      <c r="Z106" s="3">
        <f>IF($Y106="","",IF($Y106&lt;0,"FUTURO",IF($Y106&gt;p_dias_backlog_max,"BACKLOG","MES CORRIENTE")))</f>
        <v/>
      </c>
      <c r="AA106" s="3">
        <f>IF($Y106="",FALSE,AND($Y106&gt;p_dias_backlog_min,$Y106&lt;=p_dias_backlog_max))</f>
        <v/>
      </c>
      <c r="AB106" s="6" t="inlineStr">
        <is>
          <t>Técnico 08</t>
        </is>
      </c>
      <c r="AC106" s="3">
        <f>IF($AB106="","",IFERROR(INDEX('ASIGNACIONES'!$F$4:$F$339,MATCH($O106&amp;"|"&amp;$R106&amp;"|"&amp;$AB106,'ASIGNACIONES'!$I$4:$I$339,0)),""))</f>
        <v/>
      </c>
      <c r="AD106" s="13">
        <f>IF($AB106="","",SUMIFS('ORDENES'!$M$4:$M$1203,'ORDENES'!$AB$4:$AB$1203,$AB106,'ORDENES'!$O$4:$O$1203,$O106,'ORDENES'!$R$4:$R$1203,$R106))</f>
        <v/>
      </c>
      <c r="AE106" s="13">
        <f>IF($AD106="","",p_factor_productividad*IFERROR(INDEX('ASIGNACIONES'!$H$4:$H$339,MATCH($O106&amp;"|"&amp;$R106&amp;"|"&amp;$AB106,'ASIGNACIONES'!$I$4:$I$339,0)),0)-$AD106)</f>
        <v/>
      </c>
      <c r="AF106" s="10">
        <f>IF($A106="","",IFERROR(INDEX('2_IMPORTAR_EJECUCION'!$F$9:$F$1208,MATCH($AN106,'2_IMPORTAR_EJECUCION'!$J$9:$J$1208,0)),0))</f>
        <v/>
      </c>
      <c r="AG106" s="10">
        <f>IF($A106="","",MAX(0,IFERROR(INDEX('2_IMPORTAR_EJECUCION'!$H$9:$H$1208,MATCH($AN106,'2_IMPORTAR_EJECUCION'!$J$9:$J$1208,0)),0)-$AF106))</f>
        <v/>
      </c>
      <c r="AH106" s="10">
        <f>IF($A106="","",$AF106+$AG106)</f>
        <v/>
      </c>
      <c r="AI106" s="6" t="inlineStr"/>
      <c r="AJ106" s="6" t="inlineStr"/>
      <c r="AK106" s="6" t="inlineStr">
        <is>
          <t>ACT-02.pdf</t>
        </is>
      </c>
      <c r="AL106" s="3">
        <f>IF($AK106="","",HYPERLINK(p_ruta_base_checklists&amp;$AK106,"abrir"))</f>
        <v/>
      </c>
      <c r="AM106" s="6" t="inlineStr"/>
      <c r="AN106" s="3">
        <f>IF($A106="","",$A106&amp;IF($B106="","0010",$B106))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1" t="n">
        <v>46240</v>
      </c>
      <c r="K107" s="3" t="n">
        <v>6</v>
      </c>
      <c r="L107" s="10" t="n">
        <v>150</v>
      </c>
      <c r="M107" s="3">
        <f>IF($A107="","",IFERROR(INDEX('AJUSTES'!$B$4:$B$303,MATCH($AN107,'AJUSTES'!$A$4:$A$303,0)),IF($K107="","",$K107)))</f>
        <v/>
      </c>
      <c r="N107" s="3">
        <f>IF($A107="","",IFERROR(INDEX('CAT_ESTADOS_ERP'!$B$4:$B$7,MATCH(IFERROR(INDEX('2_IMPORTAR_EJECUCION'!$C$9:$C$1208,MATCH($AN107,'2_IMPORTAR_EJECUCION'!$J$9:$J$1208,0)),""),'CAT_ESTADOS_ERP'!$A$4:$A$7,0)),"Pendiente"))</f>
        <v/>
      </c>
      <c r="O107" s="3">
        <f>IF($J107="","",YEAR($J107+4-WEEKDAY($J107,2))&amp;"-S"&amp;TEXT(_xlfn.ISOWEEKNUM($J107),"00"))</f>
        <v/>
      </c>
      <c r="P107" s="3">
        <f>IF($J107="","",YEAR($J107))</f>
        <v/>
      </c>
      <c r="Q107" s="3">
        <f>IF($J107="","",MONTH($J107))</f>
        <v/>
      </c>
      <c r="R107" s="3">
        <f>IF($J107="","",INDEX(lista_dias,WEEKDAY($J107,2)))</f>
        <v/>
      </c>
      <c r="S107" s="3">
        <f>IF($I107="","",IFERROR(INDEX('CAT_TIPOS_OT'!$C$4:$C$7,MATCH($I107,'CAT_TIPOS_OT'!$A$4:$A$7,0)),"sin_clasificar"))</f>
        <v/>
      </c>
      <c r="T107" s="3">
        <f>IF($F107="","",IFERROR(INDEX('CAT_CENTROS_COSTO'!$E$4:$E$9,MATCH($F107,'CAT_CENTROS_COSTO'!$A$4:$A$9,0)),"(sin catálogo)"))</f>
        <v/>
      </c>
      <c r="U107" s="3">
        <f>IF($F107="","",IFERROR(INDEX('CAT_CENTROS_COSTO'!$D$4:$D$9,MATCH($F107,'CAT_CENTROS_COSTO'!$A$4:$A$9,0)),"(sin catálogo)"))</f>
        <v/>
      </c>
      <c r="V107" s="3">
        <f>IF($F107="","",IFERROR(INDEX('CAT_CENTROS_COSTO'!$F$4:$F$9,MATCH($F107,'CAT_CENTROS_COSTO'!$A$4:$A$9,0)),"(sin catálogo)"))</f>
        <v/>
      </c>
      <c r="W107" s="3">
        <f>IF($G107="","",IFERROR(INDEX('CAT_PUESTOS'!$B$4:$B$8,MATCH($G107,'CAT_PUESTOS'!$A$4:$A$8,0)),"(sin catálogo)"))</f>
        <v/>
      </c>
      <c r="X107" s="3">
        <f>IF($H107="","",IFERROR(INDEX('CAT_ACTIVIDADES'!$B$4:$B$8,MATCH($H107,'CAT_ACTIVIDADES'!$A$4:$A$8,0)),"(sin catálogo)"))</f>
        <v/>
      </c>
      <c r="Y107" s="12">
        <f>IF($J107="","",TODAY()-$J107)</f>
        <v/>
      </c>
      <c r="Z107" s="3">
        <f>IF($Y107="","",IF($Y107&lt;0,"FUTURO",IF($Y107&gt;p_dias_backlog_max,"BACKLOG","MES CORRIENTE")))</f>
        <v/>
      </c>
      <c r="AA107" s="3">
        <f>IF($Y107="",FALSE,AND($Y107&gt;p_dias_backlog_min,$Y107&lt;=p_dias_backlog_max))</f>
        <v/>
      </c>
      <c r="AB107" s="6" t="inlineStr">
        <is>
          <t>Técnico 09</t>
        </is>
      </c>
      <c r="AC107" s="3">
        <f>IF($AB107="","",IFERROR(INDEX('ASIGNACIONES'!$F$4:$F$339,MATCH($O107&amp;"|"&amp;$R107&amp;"|"&amp;$AB107,'ASIGNACIONES'!$I$4:$I$339,0)),""))</f>
        <v/>
      </c>
      <c r="AD107" s="13">
        <f>IF($AB107="","",SUMIFS('ORDENES'!$M$4:$M$1203,'ORDENES'!$AB$4:$AB$1203,$AB107,'ORDENES'!$O$4:$O$1203,$O107,'ORDENES'!$R$4:$R$1203,$R107))</f>
        <v/>
      </c>
      <c r="AE107" s="13">
        <f>IF($AD107="","",p_factor_productividad*IFERROR(INDEX('ASIGNACIONES'!$H$4:$H$339,MATCH($O107&amp;"|"&amp;$R107&amp;"|"&amp;$AB107,'ASIGNACIONES'!$I$4:$I$339,0)),0)-$AD107)</f>
        <v/>
      </c>
      <c r="AF107" s="10">
        <f>IF($A107="","",IFERROR(INDEX('2_IMPORTAR_EJECUCION'!$F$9:$F$1208,MATCH($AN107,'2_IMPORTAR_EJECUCION'!$J$9:$J$1208,0)),0))</f>
        <v/>
      </c>
      <c r="AG107" s="10">
        <f>IF($A107="","",MAX(0,IFERROR(INDEX('2_IMPORTAR_EJECUCION'!$H$9:$H$1208,MATCH($AN107,'2_IMPORTAR_EJECUCION'!$J$9:$J$1208,0)),0)-$AF107))</f>
        <v/>
      </c>
      <c r="AH107" s="10">
        <f>IF($A107="","",$AF107+$AG107)</f>
        <v/>
      </c>
      <c r="AI107" s="6" t="inlineStr"/>
      <c r="AJ107" s="6" t="inlineStr"/>
      <c r="AK107" s="6" t="inlineStr">
        <is>
          <t>ACT-04.pdf</t>
        </is>
      </c>
      <c r="AL107" s="3">
        <f>IF($AK107="","",HYPERLINK(p_ruta_base_checklists&amp;$AK107,"abrir"))</f>
        <v/>
      </c>
      <c r="AM107" s="6" t="inlineStr"/>
      <c r="AN107" s="3">
        <f>IF($A107="","",$A107&amp;IF($B107="","0010",$B107))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1" t="n">
        <v>46241</v>
      </c>
      <c r="K108" s="3" t="n">
        <v>6</v>
      </c>
      <c r="L108" s="10" t="n">
        <v>150</v>
      </c>
      <c r="M108" s="3">
        <f>IF($A108="","",IFERROR(INDEX('AJUSTES'!$B$4:$B$303,MATCH($AN108,'AJUSTES'!$A$4:$A$303,0)),IF($K108="","",$K108)))</f>
        <v/>
      </c>
      <c r="N108" s="3">
        <f>IF($A108="","",IFERROR(INDEX('CAT_ESTADOS_ERP'!$B$4:$B$7,MATCH(IFERROR(INDEX('2_IMPORTAR_EJECUCION'!$C$9:$C$1208,MATCH($AN108,'2_IMPORTAR_EJECUCION'!$J$9:$J$1208,0)),""),'CAT_ESTADOS_ERP'!$A$4:$A$7,0)),"Pendiente"))</f>
        <v/>
      </c>
      <c r="O108" s="3">
        <f>IF($J108="","",YEAR($J108+4-WEEKDAY($J108,2))&amp;"-S"&amp;TEXT(_xlfn.ISOWEEKNUM($J108),"00"))</f>
        <v/>
      </c>
      <c r="P108" s="3">
        <f>IF($J108="","",YEAR($J108))</f>
        <v/>
      </c>
      <c r="Q108" s="3">
        <f>IF($J108="","",MONTH($J108))</f>
        <v/>
      </c>
      <c r="R108" s="3">
        <f>IF($J108="","",INDEX(lista_dias,WEEKDAY($J108,2)))</f>
        <v/>
      </c>
      <c r="S108" s="3">
        <f>IF($I108="","",IFERROR(INDEX('CAT_TIPOS_OT'!$C$4:$C$7,MATCH($I108,'CAT_TIPOS_OT'!$A$4:$A$7,0)),"sin_clasificar"))</f>
        <v/>
      </c>
      <c r="T108" s="3">
        <f>IF($F108="","",IFERROR(INDEX('CAT_CENTROS_COSTO'!$E$4:$E$9,MATCH($F108,'CAT_CENTROS_COSTO'!$A$4:$A$9,0)),"(sin catálogo)"))</f>
        <v/>
      </c>
      <c r="U108" s="3">
        <f>IF($F108="","",IFERROR(INDEX('CAT_CENTROS_COSTO'!$D$4:$D$9,MATCH($F108,'CAT_CENTROS_COSTO'!$A$4:$A$9,0)),"(sin catálogo)"))</f>
        <v/>
      </c>
      <c r="V108" s="3">
        <f>IF($F108="","",IFERROR(INDEX('CAT_CENTROS_COSTO'!$F$4:$F$9,MATCH($F108,'CAT_CENTROS_COSTO'!$A$4:$A$9,0)),"(sin catálogo)"))</f>
        <v/>
      </c>
      <c r="W108" s="3">
        <f>IF($G108="","",IFERROR(INDEX('CAT_PUESTOS'!$B$4:$B$8,MATCH($G108,'CAT_PUESTOS'!$A$4:$A$8,0)),"(sin catálogo)"))</f>
        <v/>
      </c>
      <c r="X108" s="3">
        <f>IF($H108="","",IFERROR(INDEX('CAT_ACTIVIDADES'!$B$4:$B$8,MATCH($H108,'CAT_ACTIVIDADES'!$A$4:$A$8,0)),"(sin catálogo)"))</f>
        <v/>
      </c>
      <c r="Y108" s="12">
        <f>IF($J108="","",TODAY()-$J108)</f>
        <v/>
      </c>
      <c r="Z108" s="3">
        <f>IF($Y108="","",IF($Y108&lt;0,"FUTURO",IF($Y108&gt;p_dias_backlog_max,"BACKLOG","MES CORRIENTE")))</f>
        <v/>
      </c>
      <c r="AA108" s="3">
        <f>IF($Y108="",FALSE,AND($Y108&gt;p_dias_backlog_min,$Y108&lt;=p_dias_backlog_max))</f>
        <v/>
      </c>
      <c r="AB108" s="6" t="inlineStr">
        <is>
          <t>Técnico 08</t>
        </is>
      </c>
      <c r="AC108" s="3">
        <f>IF($AB108="","",IFERROR(INDEX('ASIGNACIONES'!$F$4:$F$339,MATCH($O108&amp;"|"&amp;$R108&amp;"|"&amp;$AB108,'ASIGNACIONES'!$I$4:$I$339,0)),""))</f>
        <v/>
      </c>
      <c r="AD108" s="13">
        <f>IF($AB108="","",SUMIFS('ORDENES'!$M$4:$M$1203,'ORDENES'!$AB$4:$AB$1203,$AB108,'ORDENES'!$O$4:$O$1203,$O108,'ORDENES'!$R$4:$R$1203,$R108))</f>
        <v/>
      </c>
      <c r="AE108" s="13">
        <f>IF($AD108="","",p_factor_productividad*IFERROR(INDEX('ASIGNACIONES'!$H$4:$H$339,MATCH($O108&amp;"|"&amp;$R108&amp;"|"&amp;$AB108,'ASIGNACIONES'!$I$4:$I$339,0)),0)-$AD108)</f>
        <v/>
      </c>
      <c r="AF108" s="10">
        <f>IF($A108="","",IFERROR(INDEX('2_IMPORTAR_EJECUCION'!$F$9:$F$1208,MATCH($AN108,'2_IMPORTAR_EJECUCION'!$J$9:$J$1208,0)),0))</f>
        <v/>
      </c>
      <c r="AG108" s="10">
        <f>IF($A108="","",MAX(0,IFERROR(INDEX('2_IMPORTAR_EJECUCION'!$H$9:$H$1208,MATCH($AN108,'2_IMPORTAR_EJECUCION'!$J$9:$J$1208,0)),0)-$AF108))</f>
        <v/>
      </c>
      <c r="AH108" s="10">
        <f>IF($A108="","",$AF108+$AG108)</f>
        <v/>
      </c>
      <c r="AI108" s="6" t="inlineStr"/>
      <c r="AJ108" s="6" t="inlineStr"/>
      <c r="AK108" s="6" t="inlineStr">
        <is>
          <t>ACT-01.pdf</t>
        </is>
      </c>
      <c r="AL108" s="3">
        <f>IF($AK108="","",HYPERLINK(p_ruta_base_checklists&amp;$AK108,"abrir"))</f>
        <v/>
      </c>
      <c r="AM108" s="6" t="inlineStr"/>
      <c r="AN108" s="3">
        <f>IF($A108="","",$A108&amp;IF($B108="","0010",$B108))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1" t="n">
        <v>46237</v>
      </c>
      <c r="K109" s="3" t="n">
        <v>6</v>
      </c>
      <c r="L109" s="10" t="n">
        <v>240</v>
      </c>
      <c r="M109" s="3">
        <f>IF($A109="","",IFERROR(INDEX('AJUSTES'!$B$4:$B$303,MATCH($AN109,'AJUSTES'!$A$4:$A$303,0)),IF($K109="","",$K109)))</f>
        <v/>
      </c>
      <c r="N109" s="3">
        <f>IF($A109="","",IFERROR(INDEX('CAT_ESTADOS_ERP'!$B$4:$B$7,MATCH(IFERROR(INDEX('2_IMPORTAR_EJECUCION'!$C$9:$C$1208,MATCH($AN109,'2_IMPORTAR_EJECUCION'!$J$9:$J$1208,0)),""),'CAT_ESTADOS_ERP'!$A$4:$A$7,0)),"Pendiente"))</f>
        <v/>
      </c>
      <c r="O109" s="3">
        <f>IF($J109="","",YEAR($J109+4-WEEKDAY($J109,2))&amp;"-S"&amp;TEXT(_xlfn.ISOWEEKNUM($J109),"00"))</f>
        <v/>
      </c>
      <c r="P109" s="3">
        <f>IF($J109="","",YEAR($J109))</f>
        <v/>
      </c>
      <c r="Q109" s="3">
        <f>IF($J109="","",MONTH($J109))</f>
        <v/>
      </c>
      <c r="R109" s="3">
        <f>IF($J109="","",INDEX(lista_dias,WEEKDAY($J109,2)))</f>
        <v/>
      </c>
      <c r="S109" s="3">
        <f>IF($I109="","",IFERROR(INDEX('CAT_TIPOS_OT'!$C$4:$C$7,MATCH($I109,'CAT_TIPOS_OT'!$A$4:$A$7,0)),"sin_clasificar"))</f>
        <v/>
      </c>
      <c r="T109" s="3">
        <f>IF($F109="","",IFERROR(INDEX('CAT_CENTROS_COSTO'!$E$4:$E$9,MATCH($F109,'CAT_CENTROS_COSTO'!$A$4:$A$9,0)),"(sin catálogo)"))</f>
        <v/>
      </c>
      <c r="U109" s="3">
        <f>IF($F109="","",IFERROR(INDEX('CAT_CENTROS_COSTO'!$D$4:$D$9,MATCH($F109,'CAT_CENTROS_COSTO'!$A$4:$A$9,0)),"(sin catálogo)"))</f>
        <v/>
      </c>
      <c r="V109" s="3">
        <f>IF($F109="","",IFERROR(INDEX('CAT_CENTROS_COSTO'!$F$4:$F$9,MATCH($F109,'CAT_CENTROS_COSTO'!$A$4:$A$9,0)),"(sin catálogo)"))</f>
        <v/>
      </c>
      <c r="W109" s="3">
        <f>IF($G109="","",IFERROR(INDEX('CAT_PUESTOS'!$B$4:$B$8,MATCH($G109,'CAT_PUESTOS'!$A$4:$A$8,0)),"(sin catálogo)"))</f>
        <v/>
      </c>
      <c r="X109" s="3">
        <f>IF($H109="","",IFERROR(INDEX('CAT_ACTIVIDADES'!$B$4:$B$8,MATCH($H109,'CAT_ACTIVIDADES'!$A$4:$A$8,0)),"(sin catálogo)"))</f>
        <v/>
      </c>
      <c r="Y109" s="12">
        <f>IF($J109="","",TODAY()-$J109)</f>
        <v/>
      </c>
      <c r="Z109" s="3">
        <f>IF($Y109="","",IF($Y109&lt;0,"FUTURO",IF($Y109&gt;p_dias_backlog_max,"BACKLOG","MES CORRIENTE")))</f>
        <v/>
      </c>
      <c r="AA109" s="3">
        <f>IF($Y109="",FALSE,AND($Y109&gt;p_dias_backlog_min,$Y109&lt;=p_dias_backlog_max))</f>
        <v/>
      </c>
      <c r="AB109" s="6" t="inlineStr">
        <is>
          <t>Técnico 09</t>
        </is>
      </c>
      <c r="AC109" s="3">
        <f>IF($AB109="","",IFERROR(INDEX('ASIGNACIONES'!$F$4:$F$339,MATCH($O109&amp;"|"&amp;$R109&amp;"|"&amp;$AB109,'ASIGNACIONES'!$I$4:$I$339,0)),""))</f>
        <v/>
      </c>
      <c r="AD109" s="13">
        <f>IF($AB109="","",SUMIFS('ORDENES'!$M$4:$M$1203,'ORDENES'!$AB$4:$AB$1203,$AB109,'ORDENES'!$O$4:$O$1203,$O109,'ORDENES'!$R$4:$R$1203,$R109))</f>
        <v/>
      </c>
      <c r="AE109" s="13">
        <f>IF($AD109="","",p_factor_productividad*IFERROR(INDEX('ASIGNACIONES'!$H$4:$H$339,MATCH($O109&amp;"|"&amp;$R109&amp;"|"&amp;$AB109,'ASIGNACIONES'!$I$4:$I$339,0)),0)-$AD109)</f>
        <v/>
      </c>
      <c r="AF109" s="10">
        <f>IF($A109="","",IFERROR(INDEX('2_IMPORTAR_EJECUCION'!$F$9:$F$1208,MATCH($AN109,'2_IMPORTAR_EJECUCION'!$J$9:$J$1208,0)),0))</f>
        <v/>
      </c>
      <c r="AG109" s="10">
        <f>IF($A109="","",MAX(0,IFERROR(INDEX('2_IMPORTAR_EJECUCION'!$H$9:$H$1208,MATCH($AN109,'2_IMPORTAR_EJECUCION'!$J$9:$J$1208,0)),0)-$AF109))</f>
        <v/>
      </c>
      <c r="AH109" s="10">
        <f>IF($A109="","",$AF109+$AG109)</f>
        <v/>
      </c>
      <c r="AI109" s="6" t="inlineStr"/>
      <c r="AJ109" s="6" t="inlineStr"/>
      <c r="AK109" s="6" t="inlineStr"/>
      <c r="AL109" s="3">
        <f>IF($AK109="","",HYPERLINK(p_ruta_base_checklists&amp;$AK109,"abrir"))</f>
        <v/>
      </c>
      <c r="AM109" s="6" t="inlineStr"/>
      <c r="AN109" s="3">
        <f>IF($A109="","",$A109&amp;IF($B109="","0010",$B109))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Análisis predictivo — EQ-109</t>
        </is>
      </c>
      <c r="D110" s="3" t="inlineStr">
        <is>
          <t>Análisis predictivo en EQ-109</t>
        </is>
      </c>
      <c r="E110" s="3" t="inlineStr">
        <is>
          <t>EQ-109</t>
        </is>
      </c>
      <c r="F110" s="3" t="inlineStr">
        <is>
          <t>CC-210</t>
        </is>
      </c>
      <c r="G110" s="3" t="inlineStr">
        <is>
          <t>PU-OP</t>
        </is>
      </c>
      <c r="H110" s="3" t="inlineStr">
        <is>
          <t>ACT-04</t>
        </is>
      </c>
      <c r="I110" s="3" t="inlineStr">
        <is>
          <t>TIPO-P2</t>
        </is>
      </c>
      <c r="J110" s="11" t="n">
        <v>46217</v>
      </c>
      <c r="K110" s="3" t="n">
        <v>10</v>
      </c>
      <c r="L110" s="10" t="n">
        <v>250</v>
      </c>
      <c r="M110" s="3">
        <f>IF($A110="","",IFERROR(INDEX('AJUSTES'!$B$4:$B$303,MATCH($AN110,'AJUSTES'!$A$4:$A$303,0)),IF($K110="","",$K110)))</f>
        <v/>
      </c>
      <c r="N110" s="3">
        <f>IF($A110="","",IFERROR(INDEX('CAT_ESTADOS_ERP'!$B$4:$B$7,MATCH(IFERROR(INDEX('2_IMPORTAR_EJECUCION'!$C$9:$C$1208,MATCH($AN110,'2_IMPORTAR_EJECUCION'!$J$9:$J$1208,0)),""),'CAT_ESTADOS_ERP'!$A$4:$A$7,0)),"Pendiente"))</f>
        <v/>
      </c>
      <c r="O110" s="3">
        <f>IF($J110="","",YEAR($J110+4-WEEKDAY($J110,2))&amp;"-S"&amp;TEXT(_xlfn.ISOWEEKNUM($J110),"00"))</f>
        <v/>
      </c>
      <c r="P110" s="3">
        <f>IF($J110="","",YEAR($J110))</f>
        <v/>
      </c>
      <c r="Q110" s="3">
        <f>IF($J110="","",MONTH($J110))</f>
        <v/>
      </c>
      <c r="R110" s="3">
        <f>IF($J110="","",INDEX(lista_dias,WEEKDAY($J110,2)))</f>
        <v/>
      </c>
      <c r="S110" s="3">
        <f>IF($I110="","",IFERROR(INDEX('CAT_TIPOS_OT'!$C$4:$C$7,MATCH($I110,'CAT_TIPOS_OT'!$A$4:$A$7,0)),"sin_clasificar"))</f>
        <v/>
      </c>
      <c r="T110" s="3">
        <f>IF($F110="","",IFERROR(INDEX('CAT_CENTROS_COSTO'!$E$4:$E$9,MATCH($F110,'CAT_CENTROS_COSTO'!$A$4:$A$9,0)),"(sin catálogo)"))</f>
        <v/>
      </c>
      <c r="U110" s="3">
        <f>IF($F110="","",IFERROR(INDEX('CAT_CENTROS_COSTO'!$D$4:$D$9,MATCH($F110,'CAT_CENTROS_COSTO'!$A$4:$A$9,0)),"(sin catálogo)"))</f>
        <v/>
      </c>
      <c r="V110" s="3">
        <f>IF($F110="","",IFERROR(INDEX('CAT_CENTROS_COSTO'!$F$4:$F$9,MATCH($F110,'CAT_CENTROS_COSTO'!$A$4:$A$9,0)),"(sin catálogo)"))</f>
        <v/>
      </c>
      <c r="W110" s="3">
        <f>IF($G110="","",IFERROR(INDEX('CAT_PUESTOS'!$B$4:$B$8,MATCH($G110,'CAT_PUESTOS'!$A$4:$A$8,0)),"(sin catálogo)"))</f>
        <v/>
      </c>
      <c r="X110" s="3">
        <f>IF($H110="","",IFERROR(INDEX('CAT_ACTIVIDADES'!$B$4:$B$8,MATCH($H110,'CAT_ACTIVIDADES'!$A$4:$A$8,0)),"(sin catálogo)"))</f>
        <v/>
      </c>
      <c r="Y110" s="12">
        <f>IF($J110="","",TODAY()-$J110)</f>
        <v/>
      </c>
      <c r="Z110" s="3">
        <f>IF($Y110="","",IF($Y110&lt;0,"FUTURO",IF($Y110&gt;p_dias_backlog_max,"BACKLOG","MES CORRIENTE")))</f>
        <v/>
      </c>
      <c r="AA110" s="3">
        <f>IF($Y110="",FALSE,AND($Y110&gt;p_dias_backlog_min,$Y110&lt;=p_dias_backlog_max))</f>
        <v/>
      </c>
      <c r="AB110" s="6" t="inlineStr">
        <is>
          <t>Técnico 11</t>
        </is>
      </c>
      <c r="AC110" s="3">
        <f>IF($AB110="","",IFERROR(INDEX('ASIGNACIONES'!$F$4:$F$339,MATCH($O110&amp;"|"&amp;$R110&amp;"|"&amp;$AB110,'ASIGNACIONES'!$I$4:$I$339,0)),""))</f>
        <v/>
      </c>
      <c r="AD110" s="13">
        <f>IF($AB110="","",SUMIFS('ORDENES'!$M$4:$M$1203,'ORDENES'!$AB$4:$AB$1203,$AB110,'ORDENES'!$O$4:$O$1203,$O110,'ORDENES'!$R$4:$R$1203,$R110))</f>
        <v/>
      </c>
      <c r="AE110" s="13">
        <f>IF($AD110="","",p_factor_productividad*IFERROR(INDEX('ASIGNACIONES'!$H$4:$H$339,MATCH($O110&amp;"|"&amp;$R110&amp;"|"&amp;$AB110,'ASIGNACIONES'!$I$4:$I$339,0)),0)-$AD110)</f>
        <v/>
      </c>
      <c r="AF110" s="10">
        <f>IF($A110="","",IFERROR(INDEX('2_IMPORTAR_EJECUCION'!$F$9:$F$1208,MATCH($AN110,'2_IMPORTAR_EJECUCION'!$J$9:$J$1208,0)),0))</f>
        <v/>
      </c>
      <c r="AG110" s="10">
        <f>IF($A110="","",MAX(0,IFERROR(INDEX('2_IMPORTAR_EJECUCION'!$H$9:$H$1208,MATCH($AN110,'2_IMPORTAR_EJECUCION'!$J$9:$J$1208,0)),0)-$AF110))</f>
        <v/>
      </c>
      <c r="AH110" s="10">
        <f>IF($A110="","",$AF110+$AG110)</f>
        <v/>
      </c>
      <c r="AI110" s="6" t="inlineStr"/>
      <c r="AJ110" s="6" t="inlineStr"/>
      <c r="AK110" s="6" t="inlineStr">
        <is>
          <t>ACT-04.pdf</t>
        </is>
      </c>
      <c r="AL110" s="3">
        <f>IF($AK110="","",HYPERLINK(p_ruta_base_checklists&amp;$AK110,"abrir"))</f>
        <v/>
      </c>
      <c r="AM110" s="6" t="inlineStr"/>
      <c r="AN110" s="3">
        <f>IF($A110="","",$A110&amp;IF($B110="","0010",$B110))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Inspección de rutina — EQ-110</t>
        </is>
      </c>
      <c r="D111" s="3" t="inlineStr">
        <is>
          <t>Inspección de rutina en EQ-110</t>
        </is>
      </c>
      <c r="E111" s="3" t="inlineStr">
        <is>
          <t>EQ-110</t>
        </is>
      </c>
      <c r="F111" s="3" t="inlineStr">
        <is>
          <t>CC-320</t>
        </is>
      </c>
      <c r="G111" s="3" t="inlineStr">
        <is>
          <t>PU-OP</t>
        </is>
      </c>
      <c r="H111" s="3" t="inlineStr">
        <is>
          <t>ACT-01</t>
        </is>
      </c>
      <c r="I111" s="3" t="inlineStr">
        <is>
          <t>TIPO-P1</t>
        </is>
      </c>
      <c r="J111" s="11" t="n">
        <v>46218</v>
      </c>
      <c r="K111" s="3" t="n">
        <v>8</v>
      </c>
      <c r="L111" s="10" t="n">
        <v>200</v>
      </c>
      <c r="M111" s="3">
        <f>IF($A111="","",IFERROR(INDEX('AJUSTES'!$B$4:$B$303,MATCH($AN111,'AJUSTES'!$A$4:$A$303,0)),IF($K111="","",$K111)))</f>
        <v/>
      </c>
      <c r="N111" s="3">
        <f>IF($A111="","",IFERROR(INDEX('CAT_ESTADOS_ERP'!$B$4:$B$7,MATCH(IFERROR(INDEX('2_IMPORTAR_EJECUCION'!$C$9:$C$1208,MATCH($AN111,'2_IMPORTAR_EJECUCION'!$J$9:$J$1208,0)),""),'CAT_ESTADOS_ERP'!$A$4:$A$7,0)),"Pendiente"))</f>
        <v/>
      </c>
      <c r="O111" s="3">
        <f>IF($J111="","",YEAR($J111+4-WEEKDAY($J111,2))&amp;"-S"&amp;TEXT(_xlfn.ISOWEEKNUM($J111),"00"))</f>
        <v/>
      </c>
      <c r="P111" s="3">
        <f>IF($J111="","",YEAR($J111))</f>
        <v/>
      </c>
      <c r="Q111" s="3">
        <f>IF($J111="","",MONTH($J111))</f>
        <v/>
      </c>
      <c r="R111" s="3">
        <f>IF($J111="","",INDEX(lista_dias,WEEKDAY($J111,2)))</f>
        <v/>
      </c>
      <c r="S111" s="3">
        <f>IF($I111="","",IFERROR(INDEX('CAT_TIPOS_OT'!$C$4:$C$7,MATCH($I111,'CAT_TIPOS_OT'!$A$4:$A$7,0)),"sin_clasificar"))</f>
        <v/>
      </c>
      <c r="T111" s="3">
        <f>IF($F111="","",IFERROR(INDEX('CAT_CENTROS_COSTO'!$E$4:$E$9,MATCH($F111,'CAT_CENTROS_COSTO'!$A$4:$A$9,0)),"(sin catálogo)"))</f>
        <v/>
      </c>
      <c r="U111" s="3">
        <f>IF($F111="","",IFERROR(INDEX('CAT_CENTROS_COSTO'!$D$4:$D$9,MATCH($F111,'CAT_CENTROS_COSTO'!$A$4:$A$9,0)),"(sin catálogo)"))</f>
        <v/>
      </c>
      <c r="V111" s="3">
        <f>IF($F111="","",IFERROR(INDEX('CAT_CENTROS_COSTO'!$F$4:$F$9,MATCH($F111,'CAT_CENTROS_COSTO'!$A$4:$A$9,0)),"(sin catálogo)"))</f>
        <v/>
      </c>
      <c r="W111" s="3">
        <f>IF($G111="","",IFERROR(INDEX('CAT_PUESTOS'!$B$4:$B$8,MATCH($G111,'CAT_PUESTOS'!$A$4:$A$8,0)),"(sin catálogo)"))</f>
        <v/>
      </c>
      <c r="X111" s="3">
        <f>IF($H111="","",IFERROR(INDEX('CAT_ACTIVIDADES'!$B$4:$B$8,MATCH($H111,'CAT_ACTIVIDADES'!$A$4:$A$8,0)),"(sin catálogo)"))</f>
        <v/>
      </c>
      <c r="Y111" s="12">
        <f>IF($J111="","",TODAY()-$J111)</f>
        <v/>
      </c>
      <c r="Z111" s="3">
        <f>IF($Y111="","",IF($Y111&lt;0,"FUTURO",IF($Y111&gt;p_dias_backlog_max,"BACKLOG","MES CORRIENTE")))</f>
        <v/>
      </c>
      <c r="AA111" s="3">
        <f>IF($Y111="",FALSE,AND($Y111&gt;p_dias_backlog_min,$Y111&lt;=p_dias_backlog_max))</f>
        <v/>
      </c>
      <c r="AB111" s="6" t="inlineStr"/>
      <c r="AC111" s="3">
        <f>IF($AB111="","",IFERROR(INDEX('ASIGNACIONES'!$F$4:$F$339,MATCH($O111&amp;"|"&amp;$R111&amp;"|"&amp;$AB111,'ASIGNACIONES'!$I$4:$I$339,0)),""))</f>
        <v/>
      </c>
      <c r="AD111" s="13">
        <f>IF($AB111="","",SUMIFS('ORDENES'!$M$4:$M$1203,'ORDENES'!$AB$4:$AB$1203,$AB111,'ORDENES'!$O$4:$O$1203,$O111,'ORDENES'!$R$4:$R$1203,$R111))</f>
        <v/>
      </c>
      <c r="AE111" s="13">
        <f>IF($AD111="","",p_factor_productividad*IFERROR(INDEX('ASIGNACIONES'!$H$4:$H$339,MATCH($O111&amp;"|"&amp;$R111&amp;"|"&amp;$AB111,'ASIGNACIONES'!$I$4:$I$339,0)),0)-$AD111)</f>
        <v/>
      </c>
      <c r="AF111" s="10">
        <f>IF($A111="","",IFERROR(INDEX('2_IMPORTAR_EJECUCION'!$F$9:$F$1208,MATCH($AN111,'2_IMPORTAR_EJECUCION'!$J$9:$J$1208,0)),0))</f>
        <v/>
      </c>
      <c r="AG111" s="10">
        <f>IF($A111="","",MAX(0,IFERROR(INDEX('2_IMPORTAR_EJECUCION'!$H$9:$H$1208,MATCH($AN111,'2_IMPORTAR_EJECUCION'!$J$9:$J$1208,0)),0)-$AF111))</f>
        <v/>
      </c>
      <c r="AH111" s="10">
        <f>IF($A111="","",$AF111+$AG111)</f>
        <v/>
      </c>
      <c r="AI111" s="6" t="inlineStr"/>
      <c r="AJ111" s="6" t="inlineStr"/>
      <c r="AK111" s="6" t="inlineStr">
        <is>
          <t>ACT-01.pdf</t>
        </is>
      </c>
      <c r="AL111" s="3">
        <f>IF($AK111="","",HYPERLINK(p_ruta_base_checklists&amp;$AK111,"abrir"))</f>
        <v/>
      </c>
      <c r="AM111" s="6" t="inlineStr"/>
      <c r="AN111" s="3">
        <f>IF($A111="","",$A111&amp;IF($B111="","0010",$B111))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Lubricación programada — EQ-105</t>
        </is>
      </c>
      <c r="D112" s="3" t="inlineStr">
        <is>
          <t>Lubricación programada en EQ-105</t>
        </is>
      </c>
      <c r="E112" s="3" t="inlineStr">
        <is>
          <t>EQ-105</t>
        </is>
      </c>
      <c r="F112" s="3" t="inlineStr">
        <is>
          <t>CC-120</t>
        </is>
      </c>
      <c r="G112" s="3" t="inlineStr">
        <is>
          <t>PU-OP</t>
        </is>
      </c>
      <c r="H112" s="3" t="inlineStr">
        <is>
          <t>ACT-02</t>
        </is>
      </c>
      <c r="I112" s="3" t="inlineStr">
        <is>
          <t>TIPO-P2</t>
        </is>
      </c>
      <c r="J112" s="11" t="n">
        <v>46219</v>
      </c>
      <c r="K112" s="3" t="n">
        <v>6</v>
      </c>
      <c r="L112" s="10" t="n">
        <v>150</v>
      </c>
      <c r="M112" s="3">
        <f>IF($A112="","",IFERROR(INDEX('AJUSTES'!$B$4:$B$303,MATCH($AN112,'AJUSTES'!$A$4:$A$303,0)),IF($K112="","",$K112)))</f>
        <v/>
      </c>
      <c r="N112" s="3">
        <f>IF($A112="","",IFERROR(INDEX('CAT_ESTADOS_ERP'!$B$4:$B$7,MATCH(IFERROR(INDEX('2_IMPORTAR_EJECUCION'!$C$9:$C$1208,MATCH($AN112,'2_IMPORTAR_EJECUCION'!$J$9:$J$1208,0)),""),'CAT_ESTADOS_ERP'!$A$4:$A$7,0)),"Pendiente"))</f>
        <v/>
      </c>
      <c r="O112" s="3">
        <f>IF($J112="","",YEAR($J112+4-WEEKDAY($J112,2))&amp;"-S"&amp;TEXT(_xlfn.ISOWEEKNUM($J112),"00"))</f>
        <v/>
      </c>
      <c r="P112" s="3">
        <f>IF($J112="","",YEAR($J112))</f>
        <v/>
      </c>
      <c r="Q112" s="3">
        <f>IF($J112="","",MONTH($J112))</f>
        <v/>
      </c>
      <c r="R112" s="3">
        <f>IF($J112="","",INDEX(lista_dias,WEEKDAY($J112,2)))</f>
        <v/>
      </c>
      <c r="S112" s="3">
        <f>IF($I112="","",IFERROR(INDEX('CAT_TIPOS_OT'!$C$4:$C$7,MATCH($I112,'CAT_TIPOS_OT'!$A$4:$A$7,0)),"sin_clasificar"))</f>
        <v/>
      </c>
      <c r="T112" s="3">
        <f>IF($F112="","",IFERROR(INDEX('CAT_CENTROS_COSTO'!$E$4:$E$9,MATCH($F112,'CAT_CENTROS_COSTO'!$A$4:$A$9,0)),"(sin catálogo)"))</f>
        <v/>
      </c>
      <c r="U112" s="3">
        <f>IF($F112="","",IFERROR(INDEX('CAT_CENTROS_COSTO'!$D$4:$D$9,MATCH($F112,'CAT_CENTROS_COSTO'!$A$4:$A$9,0)),"(sin catálogo)"))</f>
        <v/>
      </c>
      <c r="V112" s="3">
        <f>IF($F112="","",IFERROR(INDEX('CAT_CENTROS_COSTO'!$F$4:$F$9,MATCH($F112,'CAT_CENTROS_COSTO'!$A$4:$A$9,0)),"(sin catálogo)"))</f>
        <v/>
      </c>
      <c r="W112" s="3">
        <f>IF($G112="","",IFERROR(INDEX('CAT_PUESTOS'!$B$4:$B$8,MATCH($G112,'CAT_PUESTOS'!$A$4:$A$8,0)),"(sin catálogo)"))</f>
        <v/>
      </c>
      <c r="X112" s="3">
        <f>IF($H112="","",IFERROR(INDEX('CAT_ACTIVIDADES'!$B$4:$B$8,MATCH($H112,'CAT_ACTIVIDADES'!$A$4:$A$8,0)),"(sin catálogo)"))</f>
        <v/>
      </c>
      <c r="Y112" s="12">
        <f>IF($J112="","",TODAY()-$J112)</f>
        <v/>
      </c>
      <c r="Z112" s="3">
        <f>IF($Y112="","",IF($Y112&lt;0,"FUTURO",IF($Y112&gt;p_dias_backlog_max,"BACKLOG","MES CORRIENTE")))</f>
        <v/>
      </c>
      <c r="AA112" s="3">
        <f>IF($Y112="",FALSE,AND($Y112&gt;p_dias_backlog_min,$Y112&lt;=p_dias_backlog_max))</f>
        <v/>
      </c>
      <c r="AB112" s="6" t="inlineStr">
        <is>
          <t>Técnico 10</t>
        </is>
      </c>
      <c r="AC112" s="3">
        <f>IF($AB112="","",IFERROR(INDEX('ASIGNACIONES'!$F$4:$F$339,MATCH($O112&amp;"|"&amp;$R112&amp;"|"&amp;$AB112,'ASIGNACIONES'!$I$4:$I$339,0)),""))</f>
        <v/>
      </c>
      <c r="AD112" s="13">
        <f>IF($AB112="","",SUMIFS('ORDENES'!$M$4:$M$1203,'ORDENES'!$AB$4:$AB$1203,$AB112,'ORDENES'!$O$4:$O$1203,$O112,'ORDENES'!$R$4:$R$1203,$R112))</f>
        <v/>
      </c>
      <c r="AE112" s="13">
        <f>IF($AD112="","",p_factor_productividad*IFERROR(INDEX('ASIGNACIONES'!$H$4:$H$339,MATCH($O112&amp;"|"&amp;$R112&amp;"|"&amp;$AB112,'ASIGNACIONES'!$I$4:$I$339,0)),0)-$AD112)</f>
        <v/>
      </c>
      <c r="AF112" s="10">
        <f>IF($A112="","",IFERROR(INDEX('2_IMPORTAR_EJECUCION'!$F$9:$F$1208,MATCH($AN112,'2_IMPORTAR_EJECUCION'!$J$9:$J$1208,0)),0))</f>
        <v/>
      </c>
      <c r="AG112" s="10">
        <f>IF($A112="","",MAX(0,IFERROR(INDEX('2_IMPORTAR_EJECUCION'!$H$9:$H$1208,MATCH($AN112,'2_IMPORTAR_EJECUCION'!$J$9:$J$1208,0)),0)-$AF112))</f>
        <v/>
      </c>
      <c r="AH112" s="10">
        <f>IF($A112="","",$AF112+$AG112)</f>
        <v/>
      </c>
      <c r="AI112" s="6" t="inlineStr"/>
      <c r="AJ112" s="6" t="inlineStr"/>
      <c r="AK112" s="6" t="inlineStr">
        <is>
          <t>ACT-02.pdf</t>
        </is>
      </c>
      <c r="AL112" s="3">
        <f>IF($AK112="","",HYPERLINK(p_ruta_base_checklists&amp;$AK112,"abrir"))</f>
        <v/>
      </c>
      <c r="AM112" s="6" t="inlineStr"/>
      <c r="AN112" s="3">
        <f>IF($A112="","",$A112&amp;IF($B112="","0010",$B112))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Análisis predictivo — EQ-108</t>
        </is>
      </c>
      <c r="D113" s="3" t="inlineStr">
        <is>
          <t>Análisis predictivo en EQ-108</t>
        </is>
      </c>
      <c r="E113" s="3" t="inlineStr">
        <is>
          <t>EQ-108</t>
        </is>
      </c>
      <c r="F113" s="3" t="inlineStr">
        <is>
          <t>CC-210</t>
        </is>
      </c>
      <c r="G113" s="3" t="inlineStr">
        <is>
          <t>PU-OP</t>
        </is>
      </c>
      <c r="H113" s="3" t="inlineStr">
        <is>
          <t>ACT-04</t>
        </is>
      </c>
      <c r="I113" s="3" t="inlineStr">
        <is>
          <t>TIPO-P1</t>
        </is>
      </c>
      <c r="J113" s="11" t="n">
        <v>46220</v>
      </c>
      <c r="K113" s="3" t="n">
        <v>6</v>
      </c>
      <c r="L113" s="10" t="n">
        <v>150</v>
      </c>
      <c r="M113" s="3">
        <f>IF($A113="","",IFERROR(INDEX('AJUSTES'!$B$4:$B$303,MATCH($AN113,'AJUSTES'!$A$4:$A$303,0)),IF($K113="","",$K113)))</f>
        <v/>
      </c>
      <c r="N113" s="3">
        <f>IF($A113="","",IFERROR(INDEX('CAT_ESTADOS_ERP'!$B$4:$B$7,MATCH(IFERROR(INDEX('2_IMPORTAR_EJECUCION'!$C$9:$C$1208,MATCH($AN113,'2_IMPORTAR_EJECUCION'!$J$9:$J$1208,0)),""),'CAT_ESTADOS_ERP'!$A$4:$A$7,0)),"Pendiente"))</f>
        <v/>
      </c>
      <c r="O113" s="3">
        <f>IF($J113="","",YEAR($J113+4-WEEKDAY($J113,2))&amp;"-S"&amp;TEXT(_xlfn.ISOWEEKNUM($J113),"00"))</f>
        <v/>
      </c>
      <c r="P113" s="3">
        <f>IF($J113="","",YEAR($J113))</f>
        <v/>
      </c>
      <c r="Q113" s="3">
        <f>IF($J113="","",MONTH($J113))</f>
        <v/>
      </c>
      <c r="R113" s="3">
        <f>IF($J113="","",INDEX(lista_dias,WEEKDAY($J113,2)))</f>
        <v/>
      </c>
      <c r="S113" s="3">
        <f>IF($I113="","",IFERROR(INDEX('CAT_TIPOS_OT'!$C$4:$C$7,MATCH($I113,'CAT_TIPOS_OT'!$A$4:$A$7,0)),"sin_clasificar"))</f>
        <v/>
      </c>
      <c r="T113" s="3">
        <f>IF($F113="","",IFERROR(INDEX('CAT_CENTROS_COSTO'!$E$4:$E$9,MATCH($F113,'CAT_CENTROS_COSTO'!$A$4:$A$9,0)),"(sin catálogo)"))</f>
        <v/>
      </c>
      <c r="U113" s="3">
        <f>IF($F113="","",IFERROR(INDEX('CAT_CENTROS_COSTO'!$D$4:$D$9,MATCH($F113,'CAT_CENTROS_COSTO'!$A$4:$A$9,0)),"(sin catálogo)"))</f>
        <v/>
      </c>
      <c r="V113" s="3">
        <f>IF($F113="","",IFERROR(INDEX('CAT_CENTROS_COSTO'!$F$4:$F$9,MATCH($F113,'CAT_CENTROS_COSTO'!$A$4:$A$9,0)),"(sin catálogo)"))</f>
        <v/>
      </c>
      <c r="W113" s="3">
        <f>IF($G113="","",IFERROR(INDEX('CAT_PUESTOS'!$B$4:$B$8,MATCH($G113,'CAT_PUESTOS'!$A$4:$A$8,0)),"(sin catálogo)"))</f>
        <v/>
      </c>
      <c r="X113" s="3">
        <f>IF($H113="","",IFERROR(INDEX('CAT_ACTIVIDADES'!$B$4:$B$8,MATCH($H113,'CAT_ACTIVIDADES'!$A$4:$A$8,0)),"(sin catálogo)"))</f>
        <v/>
      </c>
      <c r="Y113" s="12">
        <f>IF($J113="","",TODAY()-$J113)</f>
        <v/>
      </c>
      <c r="Z113" s="3">
        <f>IF($Y113="","",IF($Y113&lt;0,"FUTURO",IF($Y113&gt;p_dias_backlog_max,"BACKLOG","MES CORRIENTE")))</f>
        <v/>
      </c>
      <c r="AA113" s="3">
        <f>IF($Y113="",FALSE,AND($Y113&gt;p_dias_backlog_min,$Y113&lt;=p_dias_backlog_max))</f>
        <v/>
      </c>
      <c r="AB113" s="6" t="inlineStr">
        <is>
          <t>Técnico 11</t>
        </is>
      </c>
      <c r="AC113" s="3">
        <f>IF($AB113="","",IFERROR(INDEX('ASIGNACIONES'!$F$4:$F$339,MATCH($O113&amp;"|"&amp;$R113&amp;"|"&amp;$AB113,'ASIGNACIONES'!$I$4:$I$339,0)),""))</f>
        <v/>
      </c>
      <c r="AD113" s="13">
        <f>IF($AB113="","",SUMIFS('ORDENES'!$M$4:$M$1203,'ORDENES'!$AB$4:$AB$1203,$AB113,'ORDENES'!$O$4:$O$1203,$O113,'ORDENES'!$R$4:$R$1203,$R113))</f>
        <v/>
      </c>
      <c r="AE113" s="13">
        <f>IF($AD113="","",p_factor_productividad*IFERROR(INDEX('ASIGNACIONES'!$H$4:$H$339,MATCH($O113&amp;"|"&amp;$R113&amp;"|"&amp;$AB113,'ASIGNACIONES'!$I$4:$I$339,0)),0)-$AD113)</f>
        <v/>
      </c>
      <c r="AF113" s="10">
        <f>IF($A113="","",IFERROR(INDEX('2_IMPORTAR_EJECUCION'!$F$9:$F$1208,MATCH($AN113,'2_IMPORTAR_EJECUCION'!$J$9:$J$1208,0)),0))</f>
        <v/>
      </c>
      <c r="AG113" s="10">
        <f>IF($A113="","",MAX(0,IFERROR(INDEX('2_IMPORTAR_EJECUCION'!$H$9:$H$1208,MATCH($AN113,'2_IMPORTAR_EJECUCION'!$J$9:$J$1208,0)),0)-$AF113))</f>
        <v/>
      </c>
      <c r="AH113" s="10">
        <f>IF($A113="","",$AF113+$AG113)</f>
        <v/>
      </c>
      <c r="AI113" s="6" t="inlineStr"/>
      <c r="AJ113" s="6" t="inlineStr"/>
      <c r="AK113" s="6" t="inlineStr">
        <is>
          <t>ACT-04.pdf</t>
        </is>
      </c>
      <c r="AL113" s="3">
        <f>IF($AK113="","",HYPERLINK(p_ruta_base_checklists&amp;$AK113,"abrir"))</f>
        <v/>
      </c>
      <c r="AM113" s="6" t="inlineStr"/>
      <c r="AN113" s="3">
        <f>IF($A113="","",$A113&amp;IF($B113="","0010",$B113))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EQ-110</t>
        </is>
      </c>
      <c r="D114" s="3" t="inlineStr">
        <is>
          <t>Reparación de falla en EQ-110</t>
        </is>
      </c>
      <c r="E114" s="3" t="inlineStr">
        <is>
          <t>EQ-110</t>
        </is>
      </c>
      <c r="F114" s="3" t="inlineStr">
        <is>
          <t>CC-320</t>
        </is>
      </c>
      <c r="G114" s="3" t="inlineStr">
        <is>
          <t>PU-OP</t>
        </is>
      </c>
      <c r="H114" s="3" t="inlineStr">
        <is>
          <t>ACT-03</t>
        </is>
      </c>
      <c r="I114" s="3" t="inlineStr">
        <is>
          <t>TIPO-C2</t>
        </is>
      </c>
      <c r="J114" s="11" t="n">
        <v>46216</v>
      </c>
      <c r="K114" s="3" t="n">
        <v>8</v>
      </c>
      <c r="L114" s="10" t="n">
        <v>320</v>
      </c>
      <c r="M114" s="3">
        <f>IF($A114="","",IFERROR(INDEX('AJUSTES'!$B$4:$B$303,MATCH($AN114,'AJUSTES'!$A$4:$A$303,0)),IF($K114="","",$K114)))</f>
        <v/>
      </c>
      <c r="N114" s="3">
        <f>IF($A114="","",IFERROR(INDEX('CAT_ESTADOS_ERP'!$B$4:$B$7,MATCH(IFERROR(INDEX('2_IMPORTAR_EJECUCION'!$C$9:$C$1208,MATCH($AN114,'2_IMPORTAR_EJECUCION'!$J$9:$J$1208,0)),""),'CAT_ESTADOS_ERP'!$A$4:$A$7,0)),"Pendiente"))</f>
        <v/>
      </c>
      <c r="O114" s="3">
        <f>IF($J114="","",YEAR($J114+4-WEEKDAY($J114,2))&amp;"-S"&amp;TEXT(_xlfn.ISOWEEKNUM($J114),"00"))</f>
        <v/>
      </c>
      <c r="P114" s="3">
        <f>IF($J114="","",YEAR($J114))</f>
        <v/>
      </c>
      <c r="Q114" s="3">
        <f>IF($J114="","",MONTH($J114))</f>
        <v/>
      </c>
      <c r="R114" s="3">
        <f>IF($J114="","",INDEX(lista_dias,WEEKDAY($J114,2)))</f>
        <v/>
      </c>
      <c r="S114" s="3">
        <f>IF($I114="","",IFERROR(INDEX('CAT_TIPOS_OT'!$C$4:$C$7,MATCH($I114,'CAT_TIPOS_OT'!$A$4:$A$7,0)),"sin_clasificar"))</f>
        <v/>
      </c>
      <c r="T114" s="3">
        <f>IF($F114="","",IFERROR(INDEX('CAT_CENTROS_COSTO'!$E$4:$E$9,MATCH($F114,'CAT_CENTROS_COSTO'!$A$4:$A$9,0)),"(sin catálogo)"))</f>
        <v/>
      </c>
      <c r="U114" s="3">
        <f>IF($F114="","",IFERROR(INDEX('CAT_CENTROS_COSTO'!$D$4:$D$9,MATCH($F114,'CAT_CENTROS_COSTO'!$A$4:$A$9,0)),"(sin catálogo)"))</f>
        <v/>
      </c>
      <c r="V114" s="3">
        <f>IF($F114="","",IFERROR(INDEX('CAT_CENTROS_COSTO'!$F$4:$F$9,MATCH($F114,'CAT_CENTROS_COSTO'!$A$4:$A$9,0)),"(sin catálogo)"))</f>
        <v/>
      </c>
      <c r="W114" s="3">
        <f>IF($G114="","",IFERROR(INDEX('CAT_PUESTOS'!$B$4:$B$8,MATCH($G114,'CAT_PUESTOS'!$A$4:$A$8,0)),"(sin catálogo)"))</f>
        <v/>
      </c>
      <c r="X114" s="3">
        <f>IF($H114="","",IFERROR(INDEX('CAT_ACTIVIDADES'!$B$4:$B$8,MATCH($H114,'CAT_ACTIVIDADES'!$A$4:$A$8,0)),"(sin catálogo)"))</f>
        <v/>
      </c>
      <c r="Y114" s="12">
        <f>IF($J114="","",TODAY()-$J114)</f>
        <v/>
      </c>
      <c r="Z114" s="3">
        <f>IF($Y114="","",IF($Y114&lt;0,"FUTURO",IF($Y114&gt;p_dias_backlog_max,"BACKLOG","MES CORRIENTE")))</f>
        <v/>
      </c>
      <c r="AA114" s="3">
        <f>IF($Y114="",FALSE,AND($Y114&gt;p_dias_backlog_min,$Y114&lt;=p_dias_backlog_max))</f>
        <v/>
      </c>
      <c r="AB114" s="6" t="inlineStr">
        <is>
          <t>Técnico 12</t>
        </is>
      </c>
      <c r="AC114" s="3">
        <f>IF($AB114="","",IFERROR(INDEX('ASIGNACIONES'!$F$4:$F$339,MATCH($O114&amp;"|"&amp;$R114&amp;"|"&amp;$AB114,'ASIGNACIONES'!$I$4:$I$339,0)),""))</f>
        <v/>
      </c>
      <c r="AD114" s="13">
        <f>IF($AB114="","",SUMIFS('ORDENES'!$M$4:$M$1203,'ORDENES'!$AB$4:$AB$1203,$AB114,'ORDENES'!$O$4:$O$1203,$O114,'ORDENES'!$R$4:$R$1203,$R114))</f>
        <v/>
      </c>
      <c r="AE114" s="13">
        <f>IF($AD114="","",p_factor_productividad*IFERROR(INDEX('ASIGNACIONES'!$H$4:$H$339,MATCH($O114&amp;"|"&amp;$R114&amp;"|"&amp;$AB114,'ASIGNACIONES'!$I$4:$I$339,0)),0)-$AD114)</f>
        <v/>
      </c>
      <c r="AF114" s="10">
        <f>IF($A114="","",IFERROR(INDEX('2_IMPORTAR_EJECUCION'!$F$9:$F$1208,MATCH($AN114,'2_IMPORTAR_EJECUCION'!$J$9:$J$1208,0)),0))</f>
        <v/>
      </c>
      <c r="AG114" s="10">
        <f>IF($A114="","",MAX(0,IFERROR(INDEX('2_IMPORTAR_EJECUCION'!$H$9:$H$1208,MATCH($AN114,'2_IMPORTAR_EJECUCION'!$J$9:$J$1208,0)),0)-$AF114))</f>
        <v/>
      </c>
      <c r="AH114" s="10">
        <f>IF($A114="","",$AF114+$AG114)</f>
        <v/>
      </c>
      <c r="AI114" s="6" t="inlineStr"/>
      <c r="AJ114" s="6" t="inlineStr"/>
      <c r="AK114" s="6" t="inlineStr"/>
      <c r="AL114" s="3">
        <f>IF($AK114="","",HYPERLINK(p_ruta_base_checklists&amp;$AK114,"abrir"))</f>
        <v/>
      </c>
      <c r="AM114" s="6" t="inlineStr"/>
      <c r="AN114" s="3">
        <f>IF($A114="","",$A114&amp;IF($B114="","0010",$B114))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Lubricación programada — EQ-103</t>
        </is>
      </c>
      <c r="D115" s="3" t="inlineStr">
        <is>
          <t>Lubricación programada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PU-OP</t>
        </is>
      </c>
      <c r="H115" s="3" t="inlineStr">
        <is>
          <t>ACT-02</t>
        </is>
      </c>
      <c r="I115" s="3" t="inlineStr">
        <is>
          <t>TIPO-P1</t>
        </is>
      </c>
      <c r="J115" s="11" t="n">
        <v>46224</v>
      </c>
      <c r="K115" s="3" t="n">
        <v>10</v>
      </c>
      <c r="L115" s="10" t="n">
        <v>250</v>
      </c>
      <c r="M115" s="3">
        <f>IF($A115="","",IFERROR(INDEX('AJUSTES'!$B$4:$B$303,MATCH($AN115,'AJUSTES'!$A$4:$A$303,0)),IF($K115="","",$K115)))</f>
        <v/>
      </c>
      <c r="N115" s="3">
        <f>IF($A115="","",IFERROR(INDEX('CAT_ESTADOS_ERP'!$B$4:$B$7,MATCH(IFERROR(INDEX('2_IMPORTAR_EJECUCION'!$C$9:$C$1208,MATCH($AN115,'2_IMPORTAR_EJECUCION'!$J$9:$J$1208,0)),""),'CAT_ESTADOS_ERP'!$A$4:$A$7,0)),"Pendiente"))</f>
        <v/>
      </c>
      <c r="O115" s="3">
        <f>IF($J115="","",YEAR($J115+4-WEEKDAY($J115,2))&amp;"-S"&amp;TEXT(_xlfn.ISOWEEKNUM($J115),"00"))</f>
        <v/>
      </c>
      <c r="P115" s="3">
        <f>IF($J115="","",YEAR($J115))</f>
        <v/>
      </c>
      <c r="Q115" s="3">
        <f>IF($J115="","",MONTH($J115))</f>
        <v/>
      </c>
      <c r="R115" s="3">
        <f>IF($J115="","",INDEX(lista_dias,WEEKDAY($J115,2)))</f>
        <v/>
      </c>
      <c r="S115" s="3">
        <f>IF($I115="","",IFERROR(INDEX('CAT_TIPOS_OT'!$C$4:$C$7,MATCH($I115,'CAT_TIPOS_OT'!$A$4:$A$7,0)),"sin_clasificar"))</f>
        <v/>
      </c>
      <c r="T115" s="3">
        <f>IF($F115="","",IFERROR(INDEX('CAT_CENTROS_COSTO'!$E$4:$E$9,MATCH($F115,'CAT_CENTROS_COSTO'!$A$4:$A$9,0)),"(sin catálogo)"))</f>
        <v/>
      </c>
      <c r="U115" s="3">
        <f>IF($F115="","",IFERROR(INDEX('CAT_CENTROS_COSTO'!$D$4:$D$9,MATCH($F115,'CAT_CENTROS_COSTO'!$A$4:$A$9,0)),"(sin catálogo)"))</f>
        <v/>
      </c>
      <c r="V115" s="3">
        <f>IF($F115="","",IFERROR(INDEX('CAT_CENTROS_COSTO'!$F$4:$F$9,MATCH($F115,'CAT_CENTROS_COSTO'!$A$4:$A$9,0)),"(sin catálogo)"))</f>
        <v/>
      </c>
      <c r="W115" s="3">
        <f>IF($G115="","",IFERROR(INDEX('CAT_PUESTOS'!$B$4:$B$8,MATCH($G115,'CAT_PUESTOS'!$A$4:$A$8,0)),"(sin catálogo)"))</f>
        <v/>
      </c>
      <c r="X115" s="3">
        <f>IF($H115="","",IFERROR(INDEX('CAT_ACTIVIDADES'!$B$4:$B$8,MATCH($H115,'CAT_ACTIVIDADES'!$A$4:$A$8,0)),"(sin catálogo)"))</f>
        <v/>
      </c>
      <c r="Y115" s="12">
        <f>IF($J115="","",TODAY()-$J115)</f>
        <v/>
      </c>
      <c r="Z115" s="3">
        <f>IF($Y115="","",IF($Y115&lt;0,"FUTURO",IF($Y115&gt;p_dias_backlog_max,"BACKLOG","MES CORRIENTE")))</f>
        <v/>
      </c>
      <c r="AA115" s="3">
        <f>IF($Y115="",FALSE,AND($Y115&gt;p_dias_backlog_min,$Y115&lt;=p_dias_backlog_max))</f>
        <v/>
      </c>
      <c r="AB115" s="6" t="inlineStr">
        <is>
          <t>Técnico 10</t>
        </is>
      </c>
      <c r="AC115" s="3">
        <f>IF($AB115="","",IFERROR(INDEX('ASIGNACIONES'!$F$4:$F$339,MATCH($O115&amp;"|"&amp;$R115&amp;"|"&amp;$AB115,'ASIGNACIONES'!$I$4:$I$339,0)),""))</f>
        <v/>
      </c>
      <c r="AD115" s="13">
        <f>IF($AB115="","",SUMIFS('ORDENES'!$M$4:$M$1203,'ORDENES'!$AB$4:$AB$1203,$AB115,'ORDENES'!$O$4:$O$1203,$O115,'ORDENES'!$R$4:$R$1203,$R115))</f>
        <v/>
      </c>
      <c r="AE115" s="13">
        <f>IF($AD115="","",p_factor_productividad*IFERROR(INDEX('ASIGNACIONES'!$H$4:$H$339,MATCH($O115&amp;"|"&amp;$R115&amp;"|"&amp;$AB115,'ASIGNACIONES'!$I$4:$I$339,0)),0)-$AD115)</f>
        <v/>
      </c>
      <c r="AF115" s="10">
        <f>IF($A115="","",IFERROR(INDEX('2_IMPORTAR_EJECUCION'!$F$9:$F$1208,MATCH($AN115,'2_IMPORTAR_EJECUCION'!$J$9:$J$1208,0)),0))</f>
        <v/>
      </c>
      <c r="AG115" s="10">
        <f>IF($A115="","",MAX(0,IFERROR(INDEX('2_IMPORTAR_EJECUCION'!$H$9:$H$1208,MATCH($AN115,'2_IMPORTAR_EJECUCION'!$J$9:$J$1208,0)),0)-$AF115))</f>
        <v/>
      </c>
      <c r="AH115" s="10">
        <f>IF($A115="","",$AF115+$AG115)</f>
        <v/>
      </c>
      <c r="AI115" s="6" t="inlineStr"/>
      <c r="AJ115" s="6" t="inlineStr"/>
      <c r="AK115" s="6" t="inlineStr">
        <is>
          <t>ACT-02.pdf</t>
        </is>
      </c>
      <c r="AL115" s="3">
        <f>IF($AK115="","",HYPERLINK(p_ruta_base_checklists&amp;$AK115,"abrir"))</f>
        <v/>
      </c>
      <c r="AM115" s="6" t="inlineStr"/>
      <c r="AN115" s="3">
        <f>IF($A115="","",$A115&amp;IF($B115="","0010",$B115))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Análisis predictivo — EQ-107</t>
        </is>
      </c>
      <c r="D116" s="3" t="inlineStr">
        <is>
          <t>Análisis predictivo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PU-OP</t>
        </is>
      </c>
      <c r="H116" s="3" t="inlineStr">
        <is>
          <t>ACT-04</t>
        </is>
      </c>
      <c r="I116" s="3" t="inlineStr">
        <is>
          <t>TIPO-P2</t>
        </is>
      </c>
      <c r="J116" s="11" t="n">
        <v>46225</v>
      </c>
      <c r="K116" s="3" t="n">
        <v>8</v>
      </c>
      <c r="L116" s="10" t="n">
        <v>200</v>
      </c>
      <c r="M116" s="3">
        <f>IF($A116="","",IFERROR(INDEX('AJUSTES'!$B$4:$B$303,MATCH($AN116,'AJUSTES'!$A$4:$A$303,0)),IF($K116="","",$K116)))</f>
        <v/>
      </c>
      <c r="N116" s="3">
        <f>IF($A116="","",IFERROR(INDEX('CAT_ESTADOS_ERP'!$B$4:$B$7,MATCH(IFERROR(INDEX('2_IMPORTAR_EJECUCION'!$C$9:$C$1208,MATCH($AN116,'2_IMPORTAR_EJECUCION'!$J$9:$J$1208,0)),""),'CAT_ESTADOS_ERP'!$A$4:$A$7,0)),"Pendiente"))</f>
        <v/>
      </c>
      <c r="O116" s="3">
        <f>IF($J116="","",YEAR($J116+4-WEEKDAY($J116,2))&amp;"-S"&amp;TEXT(_xlfn.ISOWEEKNUM($J116),"00"))</f>
        <v/>
      </c>
      <c r="P116" s="3">
        <f>IF($J116="","",YEAR($J116))</f>
        <v/>
      </c>
      <c r="Q116" s="3">
        <f>IF($J116="","",MONTH($J116))</f>
        <v/>
      </c>
      <c r="R116" s="3">
        <f>IF($J116="","",INDEX(lista_dias,WEEKDAY($J116,2)))</f>
        <v/>
      </c>
      <c r="S116" s="3">
        <f>IF($I116="","",IFERROR(INDEX('CAT_TIPOS_OT'!$C$4:$C$7,MATCH($I116,'CAT_TIPOS_OT'!$A$4:$A$7,0)),"sin_clasificar"))</f>
        <v/>
      </c>
      <c r="T116" s="3">
        <f>IF($F116="","",IFERROR(INDEX('CAT_CENTROS_COSTO'!$E$4:$E$9,MATCH($F116,'CAT_CENTROS_COSTO'!$A$4:$A$9,0)),"(sin catálogo)"))</f>
        <v/>
      </c>
      <c r="U116" s="3">
        <f>IF($F116="","",IFERROR(INDEX('CAT_CENTROS_COSTO'!$D$4:$D$9,MATCH($F116,'CAT_CENTROS_COSTO'!$A$4:$A$9,0)),"(sin catálogo)"))</f>
        <v/>
      </c>
      <c r="V116" s="3">
        <f>IF($F116="","",IFERROR(INDEX('CAT_CENTROS_COSTO'!$F$4:$F$9,MATCH($F116,'CAT_CENTROS_COSTO'!$A$4:$A$9,0)),"(sin catálogo)"))</f>
        <v/>
      </c>
      <c r="W116" s="3">
        <f>IF($G116="","",IFERROR(INDEX('CAT_PUESTOS'!$B$4:$B$8,MATCH($G116,'CAT_PUESTOS'!$A$4:$A$8,0)),"(sin catálogo)"))</f>
        <v/>
      </c>
      <c r="X116" s="3">
        <f>IF($H116="","",IFERROR(INDEX('CAT_ACTIVIDADES'!$B$4:$B$8,MATCH($H116,'CAT_ACTIVIDADES'!$A$4:$A$8,0)),"(sin catálogo)"))</f>
        <v/>
      </c>
      <c r="Y116" s="12">
        <f>IF($J116="","",TODAY()-$J116)</f>
        <v/>
      </c>
      <c r="Z116" s="3">
        <f>IF($Y116="","",IF($Y116&lt;0,"FUTURO",IF($Y116&gt;p_dias_backlog_max,"BACKLOG","MES CORRIENTE")))</f>
        <v/>
      </c>
      <c r="AA116" s="3">
        <f>IF($Y116="",FALSE,AND($Y116&gt;p_dias_backlog_min,$Y116&lt;=p_dias_backlog_max))</f>
        <v/>
      </c>
      <c r="AB116" s="6" t="inlineStr">
        <is>
          <t>Técnico 11</t>
        </is>
      </c>
      <c r="AC116" s="3">
        <f>IF($AB116="","",IFERROR(INDEX('ASIGNACIONES'!$F$4:$F$339,MATCH($O116&amp;"|"&amp;$R116&amp;"|"&amp;$AB116,'ASIGNACIONES'!$I$4:$I$339,0)),""))</f>
        <v/>
      </c>
      <c r="AD116" s="13">
        <f>IF($AB116="","",SUMIFS('ORDENES'!$M$4:$M$1203,'ORDENES'!$AB$4:$AB$1203,$AB116,'ORDENES'!$O$4:$O$1203,$O116,'ORDENES'!$R$4:$R$1203,$R116))</f>
        <v/>
      </c>
      <c r="AE116" s="13">
        <f>IF($AD116="","",p_factor_productividad*IFERROR(INDEX('ASIGNACIONES'!$H$4:$H$339,MATCH($O116&amp;"|"&amp;$R116&amp;"|"&amp;$AB116,'ASIGNACIONES'!$I$4:$I$339,0)),0)-$AD116)</f>
        <v/>
      </c>
      <c r="AF116" s="10">
        <f>IF($A116="","",IFERROR(INDEX('2_IMPORTAR_EJECUCION'!$F$9:$F$1208,MATCH($AN116,'2_IMPORTAR_EJECUCION'!$J$9:$J$1208,0)),0))</f>
        <v/>
      </c>
      <c r="AG116" s="10">
        <f>IF($A116="","",MAX(0,IFERROR(INDEX('2_IMPORTAR_EJECUCION'!$H$9:$H$1208,MATCH($AN116,'2_IMPORTAR_EJECUCION'!$J$9:$J$1208,0)),0)-$AF116))</f>
        <v/>
      </c>
      <c r="AH116" s="10">
        <f>IF($A116="","",$AF116+$AG116)</f>
        <v/>
      </c>
      <c r="AI116" s="6" t="inlineStr"/>
      <c r="AJ116" s="6" t="inlineStr"/>
      <c r="AK116" s="6" t="inlineStr">
        <is>
          <t>ACT-04.pdf</t>
        </is>
      </c>
      <c r="AL116" s="3">
        <f>IF($AK116="","",HYPERLINK(p_ruta_base_checklists&amp;$AK116,"abrir"))</f>
        <v/>
      </c>
      <c r="AM116" s="6" t="inlineStr"/>
      <c r="AN116" s="3">
        <f>IF($A116="","",$A116&amp;IF($B116="","0010",$B116))</f>
        <v/>
      </c>
    </row>
    <row r="117">
      <c r="A117" s="3" t="inlineStr">
        <is>
          <t>OT-000114</t>
        </is>
      </c>
      <c r="B117" s="3" t="inlineStr">
        <is>
          <t>0010</t>
        </is>
      </c>
      <c r="C117" s="3" t="inlineStr">
        <is>
          <t>Inspección de rutina — EQ-110</t>
        </is>
      </c>
      <c r="D117" s="3" t="inlineStr">
        <is>
          <t>Inspección de rutina en EQ-110</t>
        </is>
      </c>
      <c r="E117" s="3" t="inlineStr">
        <is>
          <t>EQ-110</t>
        </is>
      </c>
      <c r="F117" s="3" t="inlineStr">
        <is>
          <t>CC-320</t>
        </is>
      </c>
      <c r="G117" s="3" t="inlineStr">
        <is>
          <t>PU-OP</t>
        </is>
      </c>
      <c r="H117" s="3" t="inlineStr">
        <is>
          <t>ACT-01</t>
        </is>
      </c>
      <c r="I117" s="3" t="inlineStr">
        <is>
          <t>TIPO-P1</t>
        </is>
      </c>
      <c r="J117" s="11" t="n">
        <v>46226</v>
      </c>
      <c r="K117" s="3" t="n">
        <v>6</v>
      </c>
      <c r="L117" s="10" t="n">
        <v>150</v>
      </c>
      <c r="M117" s="3">
        <f>IF($A117="","",IFERROR(INDEX('AJUSTES'!$B$4:$B$303,MATCH($AN117,'AJUSTES'!$A$4:$A$303,0)),IF($K117="","",$K117)))</f>
        <v/>
      </c>
      <c r="N117" s="3">
        <f>IF($A117="","",IFERROR(INDEX('CAT_ESTADOS_ERP'!$B$4:$B$7,MATCH(IFERROR(INDEX('2_IMPORTAR_EJECUCION'!$C$9:$C$1208,MATCH($AN117,'2_IMPORTAR_EJECUCION'!$J$9:$J$1208,0)),""),'CAT_ESTADOS_ERP'!$A$4:$A$7,0)),"Pendiente"))</f>
        <v/>
      </c>
      <c r="O117" s="3">
        <f>IF($J117="","",YEAR($J117+4-WEEKDAY($J117,2))&amp;"-S"&amp;TEXT(_xlfn.ISOWEEKNUM($J117),"00"))</f>
        <v/>
      </c>
      <c r="P117" s="3">
        <f>IF($J117="","",YEAR($J117))</f>
        <v/>
      </c>
      <c r="Q117" s="3">
        <f>IF($J117="","",MONTH($J117))</f>
        <v/>
      </c>
      <c r="R117" s="3">
        <f>IF($J117="","",INDEX(lista_dias,WEEKDAY($J117,2)))</f>
        <v/>
      </c>
      <c r="S117" s="3">
        <f>IF($I117="","",IFERROR(INDEX('CAT_TIPOS_OT'!$C$4:$C$7,MATCH($I117,'CAT_TIPOS_OT'!$A$4:$A$7,0)),"sin_clasificar"))</f>
        <v/>
      </c>
      <c r="T117" s="3">
        <f>IF($F117="","",IFERROR(INDEX('CAT_CENTROS_COSTO'!$E$4:$E$9,MATCH($F117,'CAT_CENTROS_COSTO'!$A$4:$A$9,0)),"(sin catálogo)"))</f>
        <v/>
      </c>
      <c r="U117" s="3">
        <f>IF($F117="","",IFERROR(INDEX('CAT_CENTROS_COSTO'!$D$4:$D$9,MATCH($F117,'CAT_CENTROS_COSTO'!$A$4:$A$9,0)),"(sin catálogo)"))</f>
        <v/>
      </c>
      <c r="V117" s="3">
        <f>IF($F117="","",IFERROR(INDEX('CAT_CENTROS_COSTO'!$F$4:$F$9,MATCH($F117,'CAT_CENTROS_COSTO'!$A$4:$A$9,0)),"(sin catálogo)"))</f>
        <v/>
      </c>
      <c r="W117" s="3">
        <f>IF($G117="","",IFERROR(INDEX('CAT_PUESTOS'!$B$4:$B$8,MATCH($G117,'CAT_PUESTOS'!$A$4:$A$8,0)),"(sin catálogo)"))</f>
        <v/>
      </c>
      <c r="X117" s="3">
        <f>IF($H117="","",IFERROR(INDEX('CAT_ACTIVIDADES'!$B$4:$B$8,MATCH($H117,'CAT_ACTIVIDADES'!$A$4:$A$8,0)),"(sin catálogo)"))</f>
        <v/>
      </c>
      <c r="Y117" s="12">
        <f>IF($J117="","",TODAY()-$J117)</f>
        <v/>
      </c>
      <c r="Z117" s="3">
        <f>IF($Y117="","",IF($Y117&lt;0,"FUTURO",IF($Y117&gt;p_dias_backlog_max,"BACKLOG","MES CORRIENTE")))</f>
        <v/>
      </c>
      <c r="AA117" s="3">
        <f>IF($Y117="",FALSE,AND($Y117&gt;p_dias_backlog_min,$Y117&lt;=p_dias_backlog_max))</f>
        <v/>
      </c>
      <c r="AB117" s="6" t="inlineStr">
        <is>
          <t>Técnico 12</t>
        </is>
      </c>
      <c r="AC117" s="3">
        <f>IF($AB117="","",IFERROR(INDEX('ASIGNACIONES'!$F$4:$F$339,MATCH($O117&amp;"|"&amp;$R117&amp;"|"&amp;$AB117,'ASIGNACIONES'!$I$4:$I$339,0)),""))</f>
        <v/>
      </c>
      <c r="AD117" s="13">
        <f>IF($AB117="","",SUMIFS('ORDENES'!$M$4:$M$1203,'ORDENES'!$AB$4:$AB$1203,$AB117,'ORDENES'!$O$4:$O$1203,$O117,'ORDENES'!$R$4:$R$1203,$R117))</f>
        <v/>
      </c>
      <c r="AE117" s="13">
        <f>IF($AD117="","",p_factor_productividad*IFERROR(INDEX('ASIGNACIONES'!$H$4:$H$339,MATCH($O117&amp;"|"&amp;$R117&amp;"|"&amp;$AB117,'ASIGNACIONES'!$I$4:$I$339,0)),0)-$AD117)</f>
        <v/>
      </c>
      <c r="AF117" s="10">
        <f>IF($A117="","",IFERROR(INDEX('2_IMPORTAR_EJECUCION'!$F$9:$F$1208,MATCH($AN117,'2_IMPORTAR_EJECUCION'!$J$9:$J$1208,0)),0))</f>
        <v/>
      </c>
      <c r="AG117" s="10">
        <f>IF($A117="","",MAX(0,IFERROR(INDEX('2_IMPORTAR_EJECUCION'!$H$9:$H$1208,MATCH($AN117,'2_IMPORTAR_EJECUCION'!$J$9:$J$1208,0)),0)-$AF117))</f>
        <v/>
      </c>
      <c r="AH117" s="10">
        <f>IF($A117="","",$AF117+$AG117)</f>
        <v/>
      </c>
      <c r="AI117" s="6" t="inlineStr"/>
      <c r="AJ117" s="6" t="inlineStr"/>
      <c r="AK117" s="6" t="inlineStr">
        <is>
          <t>ACT-01.pdf</t>
        </is>
      </c>
      <c r="AL117" s="3">
        <f>IF($AK117="","",HYPERLINK(p_ruta_base_checklists&amp;$AK117,"abrir"))</f>
        <v/>
      </c>
      <c r="AM117" s="6" t="inlineStr"/>
      <c r="AN117" s="3">
        <f>IF($A117="","",$A117&amp;IF($B117="","0010",$B117))</f>
        <v/>
      </c>
    </row>
    <row r="118">
      <c r="A118" s="3" t="inlineStr">
        <is>
          <t>OT-000115</t>
        </is>
      </c>
      <c r="B118" s="3" t="inlineStr">
        <is>
          <t>0010</t>
        </is>
      </c>
      <c r="C118" s="3" t="inlineStr">
        <is>
          <t>Lubricación programada — EQ-101</t>
        </is>
      </c>
      <c r="D118" s="3" t="inlineStr">
        <is>
          <t>Lubricación programada en EQ-101</t>
        </is>
      </c>
      <c r="E118" s="3" t="inlineStr">
        <is>
          <t>EQ-101</t>
        </is>
      </c>
      <c r="F118" s="3" t="inlineStr">
        <is>
          <t>CC-120</t>
        </is>
      </c>
      <c r="G118" s="3" t="inlineStr">
        <is>
          <t>PU-OP</t>
        </is>
      </c>
      <c r="H118" s="3" t="inlineStr">
        <is>
          <t>ACT-02</t>
        </is>
      </c>
      <c r="I118" s="3" t="inlineStr">
        <is>
          <t>TIPO-P2</t>
        </is>
      </c>
      <c r="J118" s="11" t="n">
        <v>46227</v>
      </c>
      <c r="K118" s="3" t="n">
        <v>10</v>
      </c>
      <c r="L118" s="10" t="n">
        <v>250</v>
      </c>
      <c r="M118" s="3">
        <f>IF($A118="","",IFERROR(INDEX('AJUSTES'!$B$4:$B$303,MATCH($AN118,'AJUSTES'!$A$4:$A$303,0)),IF($K118="","",$K118)))</f>
        <v/>
      </c>
      <c r="N118" s="3">
        <f>IF($A118="","",IFERROR(INDEX('CAT_ESTADOS_ERP'!$B$4:$B$7,MATCH(IFERROR(INDEX('2_IMPORTAR_EJECUCION'!$C$9:$C$1208,MATCH($AN118,'2_IMPORTAR_EJECUCION'!$J$9:$J$1208,0)),""),'CAT_ESTADOS_ERP'!$A$4:$A$7,0)),"Pendiente"))</f>
        <v/>
      </c>
      <c r="O118" s="3">
        <f>IF($J118="","",YEAR($J118+4-WEEKDAY($J118,2))&amp;"-S"&amp;TEXT(_xlfn.ISOWEEKNUM($J118),"00"))</f>
        <v/>
      </c>
      <c r="P118" s="3">
        <f>IF($J118="","",YEAR($J118))</f>
        <v/>
      </c>
      <c r="Q118" s="3">
        <f>IF($J118="","",MONTH($J118))</f>
        <v/>
      </c>
      <c r="R118" s="3">
        <f>IF($J118="","",INDEX(lista_dias,WEEKDAY($J118,2)))</f>
        <v/>
      </c>
      <c r="S118" s="3">
        <f>IF($I118="","",IFERROR(INDEX('CAT_TIPOS_OT'!$C$4:$C$7,MATCH($I118,'CAT_TIPOS_OT'!$A$4:$A$7,0)),"sin_clasificar"))</f>
        <v/>
      </c>
      <c r="T118" s="3">
        <f>IF($F118="","",IFERROR(INDEX('CAT_CENTROS_COSTO'!$E$4:$E$9,MATCH($F118,'CAT_CENTROS_COSTO'!$A$4:$A$9,0)),"(sin catálogo)"))</f>
        <v/>
      </c>
      <c r="U118" s="3">
        <f>IF($F118="","",IFERROR(INDEX('CAT_CENTROS_COSTO'!$D$4:$D$9,MATCH($F118,'CAT_CENTROS_COSTO'!$A$4:$A$9,0)),"(sin catálogo)"))</f>
        <v/>
      </c>
      <c r="V118" s="3">
        <f>IF($F118="","",IFERROR(INDEX('CAT_CENTROS_COSTO'!$F$4:$F$9,MATCH($F118,'CAT_CENTROS_COSTO'!$A$4:$A$9,0)),"(sin catálogo)"))</f>
        <v/>
      </c>
      <c r="W118" s="3">
        <f>IF($G118="","",IFERROR(INDEX('CAT_PUESTOS'!$B$4:$B$8,MATCH($G118,'CAT_PUESTOS'!$A$4:$A$8,0)),"(sin catálogo)"))</f>
        <v/>
      </c>
      <c r="X118" s="3">
        <f>IF($H118="","",IFERROR(INDEX('CAT_ACTIVIDADES'!$B$4:$B$8,MATCH($H118,'CAT_ACTIVIDADES'!$A$4:$A$8,0)),"(sin catálogo)"))</f>
        <v/>
      </c>
      <c r="Y118" s="12">
        <f>IF($J118="","",TODAY()-$J118)</f>
        <v/>
      </c>
      <c r="Z118" s="3">
        <f>IF($Y118="","",IF($Y118&lt;0,"FUTURO",IF($Y118&gt;p_dias_backlog_max,"BACKLOG","MES CORRIENTE")))</f>
        <v/>
      </c>
      <c r="AA118" s="3">
        <f>IF($Y118="",FALSE,AND($Y118&gt;p_dias_backlog_min,$Y118&lt;=p_dias_backlog_max))</f>
        <v/>
      </c>
      <c r="AB118" s="6" t="inlineStr">
        <is>
          <t>Técnico 10</t>
        </is>
      </c>
      <c r="AC118" s="3">
        <f>IF($AB118="","",IFERROR(INDEX('ASIGNACIONES'!$F$4:$F$339,MATCH($O118&amp;"|"&amp;$R118&amp;"|"&amp;$AB118,'ASIGNACIONES'!$I$4:$I$339,0)),""))</f>
        <v/>
      </c>
      <c r="AD118" s="13">
        <f>IF($AB118="","",SUMIFS('ORDENES'!$M$4:$M$1203,'ORDENES'!$AB$4:$AB$1203,$AB118,'ORDENES'!$O$4:$O$1203,$O118,'ORDENES'!$R$4:$R$1203,$R118))</f>
        <v/>
      </c>
      <c r="AE118" s="13">
        <f>IF($AD118="","",p_factor_productividad*IFERROR(INDEX('ASIGNACIONES'!$H$4:$H$339,MATCH($O118&amp;"|"&amp;$R118&amp;"|"&amp;$AB118,'ASIGNACIONES'!$I$4:$I$339,0)),0)-$AD118)</f>
        <v/>
      </c>
      <c r="AF118" s="10">
        <f>IF($A118="","",IFERROR(INDEX('2_IMPORTAR_EJECUCION'!$F$9:$F$1208,MATCH($AN118,'2_IMPORTAR_EJECUCION'!$J$9:$J$1208,0)),0))</f>
        <v/>
      </c>
      <c r="AG118" s="10">
        <f>IF($A118="","",MAX(0,IFERROR(INDEX('2_IMPORTAR_EJECUCION'!$H$9:$H$1208,MATCH($AN118,'2_IMPORTAR_EJECUCION'!$J$9:$J$1208,0)),0)-$AF118))</f>
        <v/>
      </c>
      <c r="AH118" s="10">
        <f>IF($A118="","",$AF118+$AG118)</f>
        <v/>
      </c>
      <c r="AI118" s="6" t="inlineStr"/>
      <c r="AJ118" s="6" t="inlineStr"/>
      <c r="AK118" s="6" t="inlineStr">
        <is>
          <t>ACT-02.pdf</t>
        </is>
      </c>
      <c r="AL118" s="3">
        <f>IF($AK118="","",HYPERLINK(p_ruta_base_checklists&amp;$AK118,"abrir"))</f>
        <v/>
      </c>
      <c r="AM118" s="6" t="inlineStr"/>
      <c r="AN118" s="3">
        <f>IF($A118="","",$A118&amp;IF($B118="","0010",$B118))</f>
        <v/>
      </c>
    </row>
    <row r="119">
      <c r="A119" s="3" t="inlineStr">
        <is>
          <t>OT-000116</t>
        </is>
      </c>
      <c r="B119" s="3" t="inlineStr">
        <is>
          <t>0010</t>
        </is>
      </c>
      <c r="C119" s="3" t="inlineStr">
        <is>
          <t>Análisis predictivo — EQ-106</t>
        </is>
      </c>
      <c r="D119" s="3" t="inlineStr">
        <is>
          <t>Análisis predictivo en EQ-106</t>
        </is>
      </c>
      <c r="E119" s="3" t="inlineStr">
        <is>
          <t>EQ-106</t>
        </is>
      </c>
      <c r="F119" s="3" t="inlineStr">
        <is>
          <t>CC-210</t>
        </is>
      </c>
      <c r="G119" s="3" t="inlineStr">
        <is>
          <t>PU-OP</t>
        </is>
      </c>
      <c r="H119" s="3" t="inlineStr">
        <is>
          <t>ACT-04</t>
        </is>
      </c>
      <c r="I119" s="3" t="inlineStr">
        <is>
          <t>TIPO-P1</t>
        </is>
      </c>
      <c r="J119" s="11" t="n">
        <v>46223</v>
      </c>
      <c r="K119" s="3" t="n">
        <v>2</v>
      </c>
      <c r="L119" s="10" t="n">
        <v>50</v>
      </c>
      <c r="M119" s="3">
        <f>IF($A119="","",IFERROR(INDEX('AJUSTES'!$B$4:$B$303,MATCH($AN119,'AJUSTES'!$A$4:$A$303,0)),IF($K119="","",$K119)))</f>
        <v/>
      </c>
      <c r="N119" s="3">
        <f>IF($A119="","",IFERROR(INDEX('CAT_ESTADOS_ERP'!$B$4:$B$7,MATCH(IFERROR(INDEX('2_IMPORTAR_EJECUCION'!$C$9:$C$1208,MATCH($AN119,'2_IMPORTAR_EJECUCION'!$J$9:$J$1208,0)),""),'CAT_ESTADOS_ERP'!$A$4:$A$7,0)),"Pendiente"))</f>
        <v/>
      </c>
      <c r="O119" s="3">
        <f>IF($J119="","",YEAR($J119+4-WEEKDAY($J119,2))&amp;"-S"&amp;TEXT(_xlfn.ISOWEEKNUM($J119),"00"))</f>
        <v/>
      </c>
      <c r="P119" s="3">
        <f>IF($J119="","",YEAR($J119))</f>
        <v/>
      </c>
      <c r="Q119" s="3">
        <f>IF($J119="","",MONTH($J119))</f>
        <v/>
      </c>
      <c r="R119" s="3">
        <f>IF($J119="","",INDEX(lista_dias,WEEKDAY($J119,2)))</f>
        <v/>
      </c>
      <c r="S119" s="3">
        <f>IF($I119="","",IFERROR(INDEX('CAT_TIPOS_OT'!$C$4:$C$7,MATCH($I119,'CAT_TIPOS_OT'!$A$4:$A$7,0)),"sin_clasificar"))</f>
        <v/>
      </c>
      <c r="T119" s="3">
        <f>IF($F119="","",IFERROR(INDEX('CAT_CENTROS_COSTO'!$E$4:$E$9,MATCH($F119,'CAT_CENTROS_COSTO'!$A$4:$A$9,0)),"(sin catálogo)"))</f>
        <v/>
      </c>
      <c r="U119" s="3">
        <f>IF($F119="","",IFERROR(INDEX('CAT_CENTROS_COSTO'!$D$4:$D$9,MATCH($F119,'CAT_CENTROS_COSTO'!$A$4:$A$9,0)),"(sin catálogo)"))</f>
        <v/>
      </c>
      <c r="V119" s="3">
        <f>IF($F119="","",IFERROR(INDEX('CAT_CENTROS_COSTO'!$F$4:$F$9,MATCH($F119,'CAT_CENTROS_COSTO'!$A$4:$A$9,0)),"(sin catálogo)"))</f>
        <v/>
      </c>
      <c r="W119" s="3">
        <f>IF($G119="","",IFERROR(INDEX('CAT_PUESTOS'!$B$4:$B$8,MATCH($G119,'CAT_PUESTOS'!$A$4:$A$8,0)),"(sin catálogo)"))</f>
        <v/>
      </c>
      <c r="X119" s="3">
        <f>IF($H119="","",IFERROR(INDEX('CAT_ACTIVIDADES'!$B$4:$B$8,MATCH($H119,'CAT_ACTIVIDADES'!$A$4:$A$8,0)),"(sin catálogo)"))</f>
        <v/>
      </c>
      <c r="Y119" s="12">
        <f>IF($J119="","",TODAY()-$J119)</f>
        <v/>
      </c>
      <c r="Z119" s="3">
        <f>IF($Y119="","",IF($Y119&lt;0,"FUTURO",IF($Y119&gt;p_dias_backlog_max,"BACKLOG","MES CORRIENTE")))</f>
        <v/>
      </c>
      <c r="AA119" s="3">
        <f>IF($Y119="",FALSE,AND($Y119&gt;p_dias_backlog_min,$Y119&lt;=p_dias_backlog_max))</f>
        <v/>
      </c>
      <c r="AB119" s="6" t="inlineStr">
        <is>
          <t>Técnico 11</t>
        </is>
      </c>
      <c r="AC119" s="3">
        <f>IF($AB119="","",IFERROR(INDEX('ASIGNACIONES'!$F$4:$F$339,MATCH($O119&amp;"|"&amp;$R119&amp;"|"&amp;$AB119,'ASIGNACIONES'!$I$4:$I$339,0)),""))</f>
        <v/>
      </c>
      <c r="AD119" s="13">
        <f>IF($AB119="","",SUMIFS('ORDENES'!$M$4:$M$1203,'ORDENES'!$AB$4:$AB$1203,$AB119,'ORDENES'!$O$4:$O$1203,$O119,'ORDENES'!$R$4:$R$1203,$R119))</f>
        <v/>
      </c>
      <c r="AE119" s="13">
        <f>IF($AD119="","",p_factor_productividad*IFERROR(INDEX('ASIGNACIONES'!$H$4:$H$339,MATCH($O119&amp;"|"&amp;$R119&amp;"|"&amp;$AB119,'ASIGNACIONES'!$I$4:$I$339,0)),0)-$AD119)</f>
        <v/>
      </c>
      <c r="AF119" s="10">
        <f>IF($A119="","",IFERROR(INDEX('2_IMPORTAR_EJECUCION'!$F$9:$F$1208,MATCH($AN119,'2_IMPORTAR_EJECUCION'!$J$9:$J$1208,0)),0))</f>
        <v/>
      </c>
      <c r="AG119" s="10">
        <f>IF($A119="","",MAX(0,IFERROR(INDEX('2_IMPORTAR_EJECUCION'!$H$9:$H$1208,MATCH($AN119,'2_IMPORTAR_EJECUCION'!$J$9:$J$1208,0)),0)-$AF119))</f>
        <v/>
      </c>
      <c r="AH119" s="10">
        <f>IF($A119="","",$AF119+$AG119)</f>
        <v/>
      </c>
      <c r="AI119" s="6" t="inlineStr"/>
      <c r="AJ119" s="6" t="inlineStr"/>
      <c r="AK119" s="6" t="inlineStr">
        <is>
          <t>ACT-04.pdf</t>
        </is>
      </c>
      <c r="AL119" s="3">
        <f>IF($AK119="","",HYPERLINK(p_ruta_base_checklists&amp;$AK119,"abrir"))</f>
        <v/>
      </c>
      <c r="AM119" s="6" t="inlineStr"/>
      <c r="AN119" s="3">
        <f>IF($A119="","",$A119&amp;IF($B119="","0010",$B119))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EQ-110</t>
        </is>
      </c>
      <c r="D120" s="3" t="inlineStr">
        <is>
          <t>Reparación de falla en EQ-110</t>
        </is>
      </c>
      <c r="E120" s="3" t="inlineStr">
        <is>
          <t>EQ-110</t>
        </is>
      </c>
      <c r="F120" s="3" t="inlineStr">
        <is>
          <t>CC-320</t>
        </is>
      </c>
      <c r="G120" s="3" t="inlineStr">
        <is>
          <t>PU-OP</t>
        </is>
      </c>
      <c r="H120" s="3" t="inlineStr">
        <is>
          <t>ACT-03</t>
        </is>
      </c>
      <c r="I120" s="3" t="inlineStr">
        <is>
          <t>TIPO-C2</t>
        </is>
      </c>
      <c r="J120" s="11" t="n">
        <v>46224</v>
      </c>
      <c r="K120" s="3" t="n">
        <v>9</v>
      </c>
      <c r="L120" s="10" t="n">
        <v>360</v>
      </c>
      <c r="M120" s="3">
        <f>IF($A120="","",IFERROR(INDEX('AJUSTES'!$B$4:$B$303,MATCH($AN120,'AJUSTES'!$A$4:$A$303,0)),IF($K120="","",$K120)))</f>
        <v/>
      </c>
      <c r="N120" s="3">
        <f>IF($A120="","",IFERROR(INDEX('CAT_ESTADOS_ERP'!$B$4:$B$7,MATCH(IFERROR(INDEX('2_IMPORTAR_EJECUCION'!$C$9:$C$1208,MATCH($AN120,'2_IMPORTAR_EJECUCION'!$J$9:$J$1208,0)),""),'CAT_ESTADOS_ERP'!$A$4:$A$7,0)),"Pendiente"))</f>
        <v/>
      </c>
      <c r="O120" s="3">
        <f>IF($J120="","",YEAR($J120+4-WEEKDAY($J120,2))&amp;"-S"&amp;TEXT(_xlfn.ISOWEEKNUM($J120),"00"))</f>
        <v/>
      </c>
      <c r="P120" s="3">
        <f>IF($J120="","",YEAR($J120))</f>
        <v/>
      </c>
      <c r="Q120" s="3">
        <f>IF($J120="","",MONTH($J120))</f>
        <v/>
      </c>
      <c r="R120" s="3">
        <f>IF($J120="","",INDEX(lista_dias,WEEKDAY($J120,2)))</f>
        <v/>
      </c>
      <c r="S120" s="3">
        <f>IF($I120="","",IFERROR(INDEX('CAT_TIPOS_OT'!$C$4:$C$7,MATCH($I120,'CAT_TIPOS_OT'!$A$4:$A$7,0)),"sin_clasificar"))</f>
        <v/>
      </c>
      <c r="T120" s="3">
        <f>IF($F120="","",IFERROR(INDEX('CAT_CENTROS_COSTO'!$E$4:$E$9,MATCH($F120,'CAT_CENTROS_COSTO'!$A$4:$A$9,0)),"(sin catálogo)"))</f>
        <v/>
      </c>
      <c r="U120" s="3">
        <f>IF($F120="","",IFERROR(INDEX('CAT_CENTROS_COSTO'!$D$4:$D$9,MATCH($F120,'CAT_CENTROS_COSTO'!$A$4:$A$9,0)),"(sin catálogo)"))</f>
        <v/>
      </c>
      <c r="V120" s="3">
        <f>IF($F120="","",IFERROR(INDEX('CAT_CENTROS_COSTO'!$F$4:$F$9,MATCH($F120,'CAT_CENTROS_COSTO'!$A$4:$A$9,0)),"(sin catálogo)"))</f>
        <v/>
      </c>
      <c r="W120" s="3">
        <f>IF($G120="","",IFERROR(INDEX('CAT_PUESTOS'!$B$4:$B$8,MATCH($G120,'CAT_PUESTOS'!$A$4:$A$8,0)),"(sin catálogo)"))</f>
        <v/>
      </c>
      <c r="X120" s="3">
        <f>IF($H120="","",IFERROR(INDEX('CAT_ACTIVIDADES'!$B$4:$B$8,MATCH($H120,'CAT_ACTIVIDADES'!$A$4:$A$8,0)),"(sin catálogo)"))</f>
        <v/>
      </c>
      <c r="Y120" s="12">
        <f>IF($J120="","",TODAY()-$J120)</f>
        <v/>
      </c>
      <c r="Z120" s="3">
        <f>IF($Y120="","",IF($Y120&lt;0,"FUTURO",IF($Y120&gt;p_dias_backlog_max,"BACKLOG","MES CORRIENTE")))</f>
        <v/>
      </c>
      <c r="AA120" s="3">
        <f>IF($Y120="",FALSE,AND($Y120&gt;p_dias_backlog_min,$Y120&lt;=p_dias_backlog_max))</f>
        <v/>
      </c>
      <c r="AB120" s="6" t="inlineStr">
        <is>
          <t>Técnico 12</t>
        </is>
      </c>
      <c r="AC120" s="3">
        <f>IF($AB120="","",IFERROR(INDEX('ASIGNACIONES'!$F$4:$F$339,MATCH($O120&amp;"|"&amp;$R120&amp;"|"&amp;$AB120,'ASIGNACIONES'!$I$4:$I$339,0)),""))</f>
        <v/>
      </c>
      <c r="AD120" s="13">
        <f>IF($AB120="","",SUMIFS('ORDENES'!$M$4:$M$1203,'ORDENES'!$AB$4:$AB$1203,$AB120,'ORDENES'!$O$4:$O$1203,$O120,'ORDENES'!$R$4:$R$1203,$R120))</f>
        <v/>
      </c>
      <c r="AE120" s="13">
        <f>IF($AD120="","",p_factor_productividad*IFERROR(INDEX('ASIGNACIONES'!$H$4:$H$339,MATCH($O120&amp;"|"&amp;$R120&amp;"|"&amp;$AB120,'ASIGNACIONES'!$I$4:$I$339,0)),0)-$AD120)</f>
        <v/>
      </c>
      <c r="AF120" s="10">
        <f>IF($A120="","",IFERROR(INDEX('2_IMPORTAR_EJECUCION'!$F$9:$F$1208,MATCH($AN120,'2_IMPORTAR_EJECUCION'!$J$9:$J$1208,0)),0))</f>
        <v/>
      </c>
      <c r="AG120" s="10">
        <f>IF($A120="","",MAX(0,IFERROR(INDEX('2_IMPORTAR_EJECUCION'!$H$9:$H$1208,MATCH($AN120,'2_IMPORTAR_EJECUCION'!$J$9:$J$1208,0)),0)-$AF120))</f>
        <v/>
      </c>
      <c r="AH120" s="10">
        <f>IF($A120="","",$AF120+$AG120)</f>
        <v/>
      </c>
      <c r="AI120" s="6" t="inlineStr"/>
      <c r="AJ120" s="6" t="inlineStr"/>
      <c r="AK120" s="6" t="inlineStr"/>
      <c r="AL120" s="3">
        <f>IF($AK120="","",HYPERLINK(p_ruta_base_checklists&amp;$AK120,"abrir"))</f>
        <v/>
      </c>
      <c r="AM120" s="6" t="inlineStr"/>
      <c r="AN120" s="3">
        <f>IF($A120="","",$A120&amp;IF($B120="","0010",$B120))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Lubricación programada — EQ-104</t>
        </is>
      </c>
      <c r="D121" s="3" t="inlineStr">
        <is>
          <t>Lubricación programada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PU-OP</t>
        </is>
      </c>
      <c r="H121" s="3" t="inlineStr">
        <is>
          <t>ACT-02</t>
        </is>
      </c>
      <c r="I121" s="3" t="inlineStr">
        <is>
          <t>TIPO-P1</t>
        </is>
      </c>
      <c r="J121" s="11" t="n">
        <v>46232</v>
      </c>
      <c r="K121" s="3" t="n">
        <v>10</v>
      </c>
      <c r="L121" s="10" t="n">
        <v>250</v>
      </c>
      <c r="M121" s="3">
        <f>IF($A121="","",IFERROR(INDEX('AJUSTES'!$B$4:$B$303,MATCH($AN121,'AJUSTES'!$A$4:$A$303,0)),IF($K121="","",$K121)))</f>
        <v/>
      </c>
      <c r="N121" s="3">
        <f>IF($A121="","",IFERROR(INDEX('CAT_ESTADOS_ERP'!$B$4:$B$7,MATCH(IFERROR(INDEX('2_IMPORTAR_EJECUCION'!$C$9:$C$1208,MATCH($AN121,'2_IMPORTAR_EJECUCION'!$J$9:$J$1208,0)),""),'CAT_ESTADOS_ERP'!$A$4:$A$7,0)),"Pendiente"))</f>
        <v/>
      </c>
      <c r="O121" s="3">
        <f>IF($J121="","",YEAR($J121+4-WEEKDAY($J121,2))&amp;"-S"&amp;TEXT(_xlfn.ISOWEEKNUM($J121),"00"))</f>
        <v/>
      </c>
      <c r="P121" s="3">
        <f>IF($J121="","",YEAR($J121))</f>
        <v/>
      </c>
      <c r="Q121" s="3">
        <f>IF($J121="","",MONTH($J121))</f>
        <v/>
      </c>
      <c r="R121" s="3">
        <f>IF($J121="","",INDEX(lista_dias,WEEKDAY($J121,2)))</f>
        <v/>
      </c>
      <c r="S121" s="3">
        <f>IF($I121="","",IFERROR(INDEX('CAT_TIPOS_OT'!$C$4:$C$7,MATCH($I121,'CAT_TIPOS_OT'!$A$4:$A$7,0)),"sin_clasificar"))</f>
        <v/>
      </c>
      <c r="T121" s="3">
        <f>IF($F121="","",IFERROR(INDEX('CAT_CENTROS_COSTO'!$E$4:$E$9,MATCH($F121,'CAT_CENTROS_COSTO'!$A$4:$A$9,0)),"(sin catálogo)"))</f>
        <v/>
      </c>
      <c r="U121" s="3">
        <f>IF($F121="","",IFERROR(INDEX('CAT_CENTROS_COSTO'!$D$4:$D$9,MATCH($F121,'CAT_CENTROS_COSTO'!$A$4:$A$9,0)),"(sin catálogo)"))</f>
        <v/>
      </c>
      <c r="V121" s="3">
        <f>IF($F121="","",IFERROR(INDEX('CAT_CENTROS_COSTO'!$F$4:$F$9,MATCH($F121,'CAT_CENTROS_COSTO'!$A$4:$A$9,0)),"(sin catálogo)"))</f>
        <v/>
      </c>
      <c r="W121" s="3">
        <f>IF($G121="","",IFERROR(INDEX('CAT_PUESTOS'!$B$4:$B$8,MATCH($G121,'CAT_PUESTOS'!$A$4:$A$8,0)),"(sin catálogo)"))</f>
        <v/>
      </c>
      <c r="X121" s="3">
        <f>IF($H121="","",IFERROR(INDEX('CAT_ACTIVIDADES'!$B$4:$B$8,MATCH($H121,'CAT_ACTIVIDADES'!$A$4:$A$8,0)),"(sin catálogo)"))</f>
        <v/>
      </c>
      <c r="Y121" s="12">
        <f>IF($J121="","",TODAY()-$J121)</f>
        <v/>
      </c>
      <c r="Z121" s="3">
        <f>IF($Y121="","",IF($Y121&lt;0,"FUTURO",IF($Y121&gt;p_dias_backlog_max,"BACKLOG","MES CORRIENTE")))</f>
        <v/>
      </c>
      <c r="AA121" s="3">
        <f>IF($Y121="",FALSE,AND($Y121&gt;p_dias_backlog_min,$Y121&lt;=p_dias_backlog_max))</f>
        <v/>
      </c>
      <c r="AB121" s="6" t="inlineStr">
        <is>
          <t>Técnico 10</t>
        </is>
      </c>
      <c r="AC121" s="3">
        <f>IF($AB121="","",IFERROR(INDEX('ASIGNACIONES'!$F$4:$F$339,MATCH($O121&amp;"|"&amp;$R121&amp;"|"&amp;$AB121,'ASIGNACIONES'!$I$4:$I$339,0)),""))</f>
        <v/>
      </c>
      <c r="AD121" s="13">
        <f>IF($AB121="","",SUMIFS('ORDENES'!$M$4:$M$1203,'ORDENES'!$AB$4:$AB$1203,$AB121,'ORDENES'!$O$4:$O$1203,$O121,'ORDENES'!$R$4:$R$1203,$R121))</f>
        <v/>
      </c>
      <c r="AE121" s="13">
        <f>IF($AD121="","",p_factor_productividad*IFERROR(INDEX('ASIGNACIONES'!$H$4:$H$339,MATCH($O121&amp;"|"&amp;$R121&amp;"|"&amp;$AB121,'ASIGNACIONES'!$I$4:$I$339,0)),0)-$AD121)</f>
        <v/>
      </c>
      <c r="AF121" s="10">
        <f>IF($A121="","",IFERROR(INDEX('2_IMPORTAR_EJECUCION'!$F$9:$F$1208,MATCH($AN121,'2_IMPORTAR_EJECUCION'!$J$9:$J$1208,0)),0))</f>
        <v/>
      </c>
      <c r="AG121" s="10">
        <f>IF($A121="","",MAX(0,IFERROR(INDEX('2_IMPORTAR_EJECUCION'!$H$9:$H$1208,MATCH($AN121,'2_IMPORTAR_EJECUCION'!$J$9:$J$1208,0)),0)-$AF121))</f>
        <v/>
      </c>
      <c r="AH121" s="10">
        <f>IF($A121="","",$AF121+$AG121)</f>
        <v/>
      </c>
      <c r="AI121" s="6" t="inlineStr"/>
      <c r="AJ121" s="6" t="inlineStr"/>
      <c r="AK121" s="6" t="inlineStr">
        <is>
          <t>ACT-02.pdf</t>
        </is>
      </c>
      <c r="AL121" s="3">
        <f>IF($AK121="","",HYPERLINK(p_ruta_base_checklists&amp;$AK121,"abrir"))</f>
        <v/>
      </c>
      <c r="AM121" s="6" t="inlineStr"/>
      <c r="AN121" s="3">
        <f>IF($A121="","",$A121&amp;IF($B121="","0010",$B121))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Análisis predictivo — EQ-109</t>
        </is>
      </c>
      <c r="D122" s="3" t="inlineStr">
        <is>
          <t>Análisis predictivo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PU-OP</t>
        </is>
      </c>
      <c r="H122" s="3" t="inlineStr">
        <is>
          <t>ACT-04</t>
        </is>
      </c>
      <c r="I122" s="3" t="inlineStr">
        <is>
          <t>TIPO-P2</t>
        </is>
      </c>
      <c r="J122" s="11" t="n">
        <v>46233</v>
      </c>
      <c r="K122" s="3" t="n">
        <v>8</v>
      </c>
      <c r="L122" s="10" t="n">
        <v>200</v>
      </c>
      <c r="M122" s="3">
        <f>IF($A122="","",IFERROR(INDEX('AJUSTES'!$B$4:$B$303,MATCH($AN122,'AJUSTES'!$A$4:$A$303,0)),IF($K122="","",$K122)))</f>
        <v/>
      </c>
      <c r="N122" s="3">
        <f>IF($A122="","",IFERROR(INDEX('CAT_ESTADOS_ERP'!$B$4:$B$7,MATCH(IFERROR(INDEX('2_IMPORTAR_EJECUCION'!$C$9:$C$1208,MATCH($AN122,'2_IMPORTAR_EJECUCION'!$J$9:$J$1208,0)),""),'CAT_ESTADOS_ERP'!$A$4:$A$7,0)),"Pendiente"))</f>
        <v/>
      </c>
      <c r="O122" s="3">
        <f>IF($J122="","",YEAR($J122+4-WEEKDAY($J122,2))&amp;"-S"&amp;TEXT(_xlfn.ISOWEEKNUM($J122),"00"))</f>
        <v/>
      </c>
      <c r="P122" s="3">
        <f>IF($J122="","",YEAR($J122))</f>
        <v/>
      </c>
      <c r="Q122" s="3">
        <f>IF($J122="","",MONTH($J122))</f>
        <v/>
      </c>
      <c r="R122" s="3">
        <f>IF($J122="","",INDEX(lista_dias,WEEKDAY($J122,2)))</f>
        <v/>
      </c>
      <c r="S122" s="3">
        <f>IF($I122="","",IFERROR(INDEX('CAT_TIPOS_OT'!$C$4:$C$7,MATCH($I122,'CAT_TIPOS_OT'!$A$4:$A$7,0)),"sin_clasificar"))</f>
        <v/>
      </c>
      <c r="T122" s="3">
        <f>IF($F122="","",IFERROR(INDEX('CAT_CENTROS_COSTO'!$E$4:$E$9,MATCH($F122,'CAT_CENTROS_COSTO'!$A$4:$A$9,0)),"(sin catálogo)"))</f>
        <v/>
      </c>
      <c r="U122" s="3">
        <f>IF($F122="","",IFERROR(INDEX('CAT_CENTROS_COSTO'!$D$4:$D$9,MATCH($F122,'CAT_CENTROS_COSTO'!$A$4:$A$9,0)),"(sin catálogo)"))</f>
        <v/>
      </c>
      <c r="V122" s="3">
        <f>IF($F122="","",IFERROR(INDEX('CAT_CENTROS_COSTO'!$F$4:$F$9,MATCH($F122,'CAT_CENTROS_COSTO'!$A$4:$A$9,0)),"(sin catálogo)"))</f>
        <v/>
      </c>
      <c r="W122" s="3">
        <f>IF($G122="","",IFERROR(INDEX('CAT_PUESTOS'!$B$4:$B$8,MATCH($G122,'CAT_PUESTOS'!$A$4:$A$8,0)),"(sin catálogo)"))</f>
        <v/>
      </c>
      <c r="X122" s="3">
        <f>IF($H122="","",IFERROR(INDEX('CAT_ACTIVIDADES'!$B$4:$B$8,MATCH($H122,'CAT_ACTIVIDADES'!$A$4:$A$8,0)),"(sin catálogo)"))</f>
        <v/>
      </c>
      <c r="Y122" s="12">
        <f>IF($J122="","",TODAY()-$J122)</f>
        <v/>
      </c>
      <c r="Z122" s="3">
        <f>IF($Y122="","",IF($Y122&lt;0,"FUTURO",IF($Y122&gt;p_dias_backlog_max,"BACKLOG","MES CORRIENTE")))</f>
        <v/>
      </c>
      <c r="AA122" s="3">
        <f>IF($Y122="",FALSE,AND($Y122&gt;p_dias_backlog_min,$Y122&lt;=p_dias_backlog_max))</f>
        <v/>
      </c>
      <c r="AB122" s="6" t="inlineStr">
        <is>
          <t>Técnico 11</t>
        </is>
      </c>
      <c r="AC122" s="3">
        <f>IF($AB122="","",IFERROR(INDEX('ASIGNACIONES'!$F$4:$F$339,MATCH($O122&amp;"|"&amp;$R122&amp;"|"&amp;$AB122,'ASIGNACIONES'!$I$4:$I$339,0)),""))</f>
        <v/>
      </c>
      <c r="AD122" s="13">
        <f>IF($AB122="","",SUMIFS('ORDENES'!$M$4:$M$1203,'ORDENES'!$AB$4:$AB$1203,$AB122,'ORDENES'!$O$4:$O$1203,$O122,'ORDENES'!$R$4:$R$1203,$R122))</f>
        <v/>
      </c>
      <c r="AE122" s="13">
        <f>IF($AD122="","",p_factor_productividad*IFERROR(INDEX('ASIGNACIONES'!$H$4:$H$339,MATCH($O122&amp;"|"&amp;$R122&amp;"|"&amp;$AB122,'ASIGNACIONES'!$I$4:$I$339,0)),0)-$AD122)</f>
        <v/>
      </c>
      <c r="AF122" s="10">
        <f>IF($A122="","",IFERROR(INDEX('2_IMPORTAR_EJECUCION'!$F$9:$F$1208,MATCH($AN122,'2_IMPORTAR_EJECUCION'!$J$9:$J$1208,0)),0))</f>
        <v/>
      </c>
      <c r="AG122" s="10">
        <f>IF($A122="","",MAX(0,IFERROR(INDEX('2_IMPORTAR_EJECUCION'!$H$9:$H$1208,MATCH($AN122,'2_IMPORTAR_EJECUCION'!$J$9:$J$1208,0)),0)-$AF122))</f>
        <v/>
      </c>
      <c r="AH122" s="10">
        <f>IF($A122="","",$AF122+$AG122)</f>
        <v/>
      </c>
      <c r="AI122" s="6" t="inlineStr"/>
      <c r="AJ122" s="6" t="inlineStr"/>
      <c r="AK122" s="6" t="inlineStr">
        <is>
          <t>ACT-04.pdf</t>
        </is>
      </c>
      <c r="AL122" s="3">
        <f>IF($AK122="","",HYPERLINK(p_ruta_base_checklists&amp;$AK122,"abrir"))</f>
        <v/>
      </c>
      <c r="AM122" s="6" t="inlineStr"/>
      <c r="AN122" s="3">
        <f>IF($A122="","",$A122&amp;IF($B122="","0010",$B122))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EQ-110</t>
        </is>
      </c>
      <c r="D123" s="3" t="inlineStr">
        <is>
          <t>Inspección de rutina en EQ-110</t>
        </is>
      </c>
      <c r="E123" s="3" t="inlineStr">
        <is>
          <t>EQ-110</t>
        </is>
      </c>
      <c r="F123" s="3" t="inlineStr">
        <is>
          <t>CC-320</t>
        </is>
      </c>
      <c r="G123" s="3" t="inlineStr">
        <is>
          <t>PU-OP</t>
        </is>
      </c>
      <c r="H123" s="3" t="inlineStr">
        <is>
          <t>ACT-01</t>
        </is>
      </c>
      <c r="I123" s="3" t="inlineStr">
        <is>
          <t>TIPO-P1</t>
        </is>
      </c>
      <c r="J123" s="11" t="n">
        <v>46234</v>
      </c>
      <c r="K123" s="3" t="n">
        <v>10</v>
      </c>
      <c r="L123" s="10" t="n">
        <v>250</v>
      </c>
      <c r="M123" s="3">
        <f>IF($A123="","",IFERROR(INDEX('AJUSTES'!$B$4:$B$303,MATCH($AN123,'AJUSTES'!$A$4:$A$303,0)),IF($K123="","",$K123)))</f>
        <v/>
      </c>
      <c r="N123" s="3">
        <f>IF($A123="","",IFERROR(INDEX('CAT_ESTADOS_ERP'!$B$4:$B$7,MATCH(IFERROR(INDEX('2_IMPORTAR_EJECUCION'!$C$9:$C$1208,MATCH($AN123,'2_IMPORTAR_EJECUCION'!$J$9:$J$1208,0)),""),'CAT_ESTADOS_ERP'!$A$4:$A$7,0)),"Pendiente"))</f>
        <v/>
      </c>
      <c r="O123" s="3">
        <f>IF($J123="","",YEAR($J123+4-WEEKDAY($J123,2))&amp;"-S"&amp;TEXT(_xlfn.ISOWEEKNUM($J123),"00"))</f>
        <v/>
      </c>
      <c r="P123" s="3">
        <f>IF($J123="","",YEAR($J123))</f>
        <v/>
      </c>
      <c r="Q123" s="3">
        <f>IF($J123="","",MONTH($J123))</f>
        <v/>
      </c>
      <c r="R123" s="3">
        <f>IF($J123="","",INDEX(lista_dias,WEEKDAY($J123,2)))</f>
        <v/>
      </c>
      <c r="S123" s="3">
        <f>IF($I123="","",IFERROR(INDEX('CAT_TIPOS_OT'!$C$4:$C$7,MATCH($I123,'CAT_TIPOS_OT'!$A$4:$A$7,0)),"sin_clasificar"))</f>
        <v/>
      </c>
      <c r="T123" s="3">
        <f>IF($F123="","",IFERROR(INDEX('CAT_CENTROS_COSTO'!$E$4:$E$9,MATCH($F123,'CAT_CENTROS_COSTO'!$A$4:$A$9,0)),"(sin catálogo)"))</f>
        <v/>
      </c>
      <c r="U123" s="3">
        <f>IF($F123="","",IFERROR(INDEX('CAT_CENTROS_COSTO'!$D$4:$D$9,MATCH($F123,'CAT_CENTROS_COSTO'!$A$4:$A$9,0)),"(sin catálogo)"))</f>
        <v/>
      </c>
      <c r="V123" s="3">
        <f>IF($F123="","",IFERROR(INDEX('CAT_CENTROS_COSTO'!$F$4:$F$9,MATCH($F123,'CAT_CENTROS_COSTO'!$A$4:$A$9,0)),"(sin catálogo)"))</f>
        <v/>
      </c>
      <c r="W123" s="3">
        <f>IF($G123="","",IFERROR(INDEX('CAT_PUESTOS'!$B$4:$B$8,MATCH($G123,'CAT_PUESTOS'!$A$4:$A$8,0)),"(sin catálogo)"))</f>
        <v/>
      </c>
      <c r="X123" s="3">
        <f>IF($H123="","",IFERROR(INDEX('CAT_ACTIVIDADES'!$B$4:$B$8,MATCH($H123,'CAT_ACTIVIDADES'!$A$4:$A$8,0)),"(sin catálogo)"))</f>
        <v/>
      </c>
      <c r="Y123" s="12">
        <f>IF($J123="","",TODAY()-$J123)</f>
        <v/>
      </c>
      <c r="Z123" s="3">
        <f>IF($Y123="","",IF($Y123&lt;0,"FUTURO",IF($Y123&gt;p_dias_backlog_max,"BACKLOG","MES CORRIENTE")))</f>
        <v/>
      </c>
      <c r="AA123" s="3">
        <f>IF($Y123="",FALSE,AND($Y123&gt;p_dias_backlog_min,$Y123&lt;=p_dias_backlog_max))</f>
        <v/>
      </c>
      <c r="AB123" s="6" t="inlineStr"/>
      <c r="AC123" s="3">
        <f>IF($AB123="","",IFERROR(INDEX('ASIGNACIONES'!$F$4:$F$339,MATCH($O123&amp;"|"&amp;$R123&amp;"|"&amp;$AB123,'ASIGNACIONES'!$I$4:$I$339,0)),""))</f>
        <v/>
      </c>
      <c r="AD123" s="13">
        <f>IF($AB123="","",SUMIFS('ORDENES'!$M$4:$M$1203,'ORDENES'!$AB$4:$AB$1203,$AB123,'ORDENES'!$O$4:$O$1203,$O123,'ORDENES'!$R$4:$R$1203,$R123))</f>
        <v/>
      </c>
      <c r="AE123" s="13">
        <f>IF($AD123="","",p_factor_productividad*IFERROR(INDEX('ASIGNACIONES'!$H$4:$H$339,MATCH($O123&amp;"|"&amp;$R123&amp;"|"&amp;$AB123,'ASIGNACIONES'!$I$4:$I$339,0)),0)-$AD123)</f>
        <v/>
      </c>
      <c r="AF123" s="10">
        <f>IF($A123="","",IFERROR(INDEX('2_IMPORTAR_EJECUCION'!$F$9:$F$1208,MATCH($AN123,'2_IMPORTAR_EJECUCION'!$J$9:$J$1208,0)),0))</f>
        <v/>
      </c>
      <c r="AG123" s="10">
        <f>IF($A123="","",MAX(0,IFERROR(INDEX('2_IMPORTAR_EJECUCION'!$H$9:$H$1208,MATCH($AN123,'2_IMPORTAR_EJECUCION'!$J$9:$J$1208,0)),0)-$AF123))</f>
        <v/>
      </c>
      <c r="AH123" s="10">
        <f>IF($A123="","",$AF123+$AG123)</f>
        <v/>
      </c>
      <c r="AI123" s="6" t="inlineStr"/>
      <c r="AJ123" s="6" t="inlineStr"/>
      <c r="AK123" s="6" t="inlineStr">
        <is>
          <t>ACT-01.pdf</t>
        </is>
      </c>
      <c r="AL123" s="3">
        <f>IF($AK123="","",HYPERLINK(p_ruta_base_checklists&amp;$AK123,"abrir"))</f>
        <v/>
      </c>
      <c r="AM123" s="6" t="inlineStr"/>
      <c r="AN123" s="3">
        <f>IF($A123="","",$A123&amp;IF($B123="","0010",$B123))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EQ-102</t>
        </is>
      </c>
      <c r="D124" s="3" t="inlineStr">
        <is>
          <t>Reparación de falla en EQ-102</t>
        </is>
      </c>
      <c r="E124" s="3" t="inlineStr">
        <is>
          <t>EQ-102</t>
        </is>
      </c>
      <c r="F124" s="3" t="inlineStr">
        <is>
          <t>CC-120</t>
        </is>
      </c>
      <c r="G124" s="3" t="inlineStr">
        <is>
          <t>PU-OP</t>
        </is>
      </c>
      <c r="H124" s="3" t="inlineStr">
        <is>
          <t>ACT-03</t>
        </is>
      </c>
      <c r="I124" s="3" t="inlineStr">
        <is>
          <t>TIPO-C2</t>
        </is>
      </c>
      <c r="J124" s="11" t="n">
        <v>46230</v>
      </c>
      <c r="K124" s="3" t="n">
        <v>7</v>
      </c>
      <c r="L124" s="10" t="n">
        <v>280</v>
      </c>
      <c r="M124" s="3">
        <f>IF($A124="","",IFERROR(INDEX('AJUSTES'!$B$4:$B$303,MATCH($AN124,'AJUSTES'!$A$4:$A$303,0)),IF($K124="","",$K124)))</f>
        <v/>
      </c>
      <c r="N124" s="3">
        <f>IF($A124="","",IFERROR(INDEX('CAT_ESTADOS_ERP'!$B$4:$B$7,MATCH(IFERROR(INDEX('2_IMPORTAR_EJECUCION'!$C$9:$C$1208,MATCH($AN124,'2_IMPORTAR_EJECUCION'!$J$9:$J$1208,0)),""),'CAT_ESTADOS_ERP'!$A$4:$A$7,0)),"Pendiente"))</f>
        <v/>
      </c>
      <c r="O124" s="3">
        <f>IF($J124="","",YEAR($J124+4-WEEKDAY($J124,2))&amp;"-S"&amp;TEXT(_xlfn.ISOWEEKNUM($J124),"00"))</f>
        <v/>
      </c>
      <c r="P124" s="3">
        <f>IF($J124="","",YEAR($J124))</f>
        <v/>
      </c>
      <c r="Q124" s="3">
        <f>IF($J124="","",MONTH($J124))</f>
        <v/>
      </c>
      <c r="R124" s="3">
        <f>IF($J124="","",INDEX(lista_dias,WEEKDAY($J124,2)))</f>
        <v/>
      </c>
      <c r="S124" s="3">
        <f>IF($I124="","",IFERROR(INDEX('CAT_TIPOS_OT'!$C$4:$C$7,MATCH($I124,'CAT_TIPOS_OT'!$A$4:$A$7,0)),"sin_clasificar"))</f>
        <v/>
      </c>
      <c r="T124" s="3">
        <f>IF($F124="","",IFERROR(INDEX('CAT_CENTROS_COSTO'!$E$4:$E$9,MATCH($F124,'CAT_CENTROS_COSTO'!$A$4:$A$9,0)),"(sin catálogo)"))</f>
        <v/>
      </c>
      <c r="U124" s="3">
        <f>IF($F124="","",IFERROR(INDEX('CAT_CENTROS_COSTO'!$D$4:$D$9,MATCH($F124,'CAT_CENTROS_COSTO'!$A$4:$A$9,0)),"(sin catálogo)"))</f>
        <v/>
      </c>
      <c r="V124" s="3">
        <f>IF($F124="","",IFERROR(INDEX('CAT_CENTROS_COSTO'!$F$4:$F$9,MATCH($F124,'CAT_CENTROS_COSTO'!$A$4:$A$9,0)),"(sin catálogo)"))</f>
        <v/>
      </c>
      <c r="W124" s="3">
        <f>IF($G124="","",IFERROR(INDEX('CAT_PUESTOS'!$B$4:$B$8,MATCH($G124,'CAT_PUESTOS'!$A$4:$A$8,0)),"(sin catálogo)"))</f>
        <v/>
      </c>
      <c r="X124" s="3">
        <f>IF($H124="","",IFERROR(INDEX('CAT_ACTIVIDADES'!$B$4:$B$8,MATCH($H124,'CAT_ACTIVIDADES'!$A$4:$A$8,0)),"(sin catálogo)"))</f>
        <v/>
      </c>
      <c r="Y124" s="12">
        <f>IF($J124="","",TODAY()-$J124)</f>
        <v/>
      </c>
      <c r="Z124" s="3">
        <f>IF($Y124="","",IF($Y124&lt;0,"FUTURO",IF($Y124&gt;p_dias_backlog_max,"BACKLOG","MES CORRIENTE")))</f>
        <v/>
      </c>
      <c r="AA124" s="3">
        <f>IF($Y124="",FALSE,AND($Y124&gt;p_dias_backlog_min,$Y124&lt;=p_dias_backlog_max))</f>
        <v/>
      </c>
      <c r="AB124" s="6" t="inlineStr">
        <is>
          <t>Técnico 10</t>
        </is>
      </c>
      <c r="AC124" s="3">
        <f>IF($AB124="","",IFERROR(INDEX('ASIGNACIONES'!$F$4:$F$339,MATCH($O124&amp;"|"&amp;$R124&amp;"|"&amp;$AB124,'ASIGNACIONES'!$I$4:$I$339,0)),""))</f>
        <v/>
      </c>
      <c r="AD124" s="13">
        <f>IF($AB124="","",SUMIFS('ORDENES'!$M$4:$M$1203,'ORDENES'!$AB$4:$AB$1203,$AB124,'ORDENES'!$O$4:$O$1203,$O124,'ORDENES'!$R$4:$R$1203,$R124))</f>
        <v/>
      </c>
      <c r="AE124" s="13">
        <f>IF($AD124="","",p_factor_productividad*IFERROR(INDEX('ASIGNACIONES'!$H$4:$H$339,MATCH($O124&amp;"|"&amp;$R124&amp;"|"&amp;$AB124,'ASIGNACIONES'!$I$4:$I$339,0)),0)-$AD124)</f>
        <v/>
      </c>
      <c r="AF124" s="10">
        <f>IF($A124="","",IFERROR(INDEX('2_IMPORTAR_EJECUCION'!$F$9:$F$1208,MATCH($AN124,'2_IMPORTAR_EJECUCION'!$J$9:$J$1208,0)),0))</f>
        <v/>
      </c>
      <c r="AG124" s="10">
        <f>IF($A124="","",MAX(0,IFERROR(INDEX('2_IMPORTAR_EJECUCION'!$H$9:$H$1208,MATCH($AN124,'2_IMPORTAR_EJECUCION'!$J$9:$J$1208,0)),0)-$AF124))</f>
        <v/>
      </c>
      <c r="AH124" s="10">
        <f>IF($A124="","",$AF124+$AG124)</f>
        <v/>
      </c>
      <c r="AI124" s="6" t="inlineStr"/>
      <c r="AJ124" s="6" t="inlineStr"/>
      <c r="AK124" s="6" t="inlineStr"/>
      <c r="AL124" s="3">
        <f>IF($AK124="","",HYPERLINK(p_ruta_base_checklists&amp;$AK124,"abrir"))</f>
        <v/>
      </c>
      <c r="AM124" s="6" t="inlineStr"/>
      <c r="AN124" s="3">
        <f>IF($A124="","",$A124&amp;IF($B124="","0010",$B124))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Análisis predictivo — EQ-108</t>
        </is>
      </c>
      <c r="D125" s="3" t="inlineStr">
        <is>
          <t>Análisis predictivo en EQ-108</t>
        </is>
      </c>
      <c r="E125" s="3" t="inlineStr">
        <is>
          <t>EQ-108</t>
        </is>
      </c>
      <c r="F125" s="3" t="inlineStr">
        <is>
          <t>CC-210</t>
        </is>
      </c>
      <c r="G125" s="3" t="inlineStr">
        <is>
          <t>PU-OP</t>
        </is>
      </c>
      <c r="H125" s="3" t="inlineStr">
        <is>
          <t>ACT-04</t>
        </is>
      </c>
      <c r="I125" s="3" t="inlineStr">
        <is>
          <t>TIPO-P1</t>
        </is>
      </c>
      <c r="J125" s="11" t="n">
        <v>46238</v>
      </c>
      <c r="K125" s="3" t="n">
        <v>10</v>
      </c>
      <c r="L125" s="10" t="n">
        <v>250</v>
      </c>
      <c r="M125" s="3">
        <f>IF($A125="","",IFERROR(INDEX('AJUSTES'!$B$4:$B$303,MATCH($AN125,'AJUSTES'!$A$4:$A$303,0)),IF($K125="","",$K125)))</f>
        <v/>
      </c>
      <c r="N125" s="3">
        <f>IF($A125="","",IFERROR(INDEX('CAT_ESTADOS_ERP'!$B$4:$B$7,MATCH(IFERROR(INDEX('2_IMPORTAR_EJECUCION'!$C$9:$C$1208,MATCH($AN125,'2_IMPORTAR_EJECUCION'!$J$9:$J$1208,0)),""),'CAT_ESTADOS_ERP'!$A$4:$A$7,0)),"Pendiente"))</f>
        <v/>
      </c>
      <c r="O125" s="3">
        <f>IF($J125="","",YEAR($J125+4-WEEKDAY($J125,2))&amp;"-S"&amp;TEXT(_xlfn.ISOWEEKNUM($J125),"00"))</f>
        <v/>
      </c>
      <c r="P125" s="3">
        <f>IF($J125="","",YEAR($J125))</f>
        <v/>
      </c>
      <c r="Q125" s="3">
        <f>IF($J125="","",MONTH($J125))</f>
        <v/>
      </c>
      <c r="R125" s="3">
        <f>IF($J125="","",INDEX(lista_dias,WEEKDAY($J125,2)))</f>
        <v/>
      </c>
      <c r="S125" s="3">
        <f>IF($I125="","",IFERROR(INDEX('CAT_TIPOS_OT'!$C$4:$C$7,MATCH($I125,'CAT_TIPOS_OT'!$A$4:$A$7,0)),"sin_clasificar"))</f>
        <v/>
      </c>
      <c r="T125" s="3">
        <f>IF($F125="","",IFERROR(INDEX('CAT_CENTROS_COSTO'!$E$4:$E$9,MATCH($F125,'CAT_CENTROS_COSTO'!$A$4:$A$9,0)),"(sin catálogo)"))</f>
        <v/>
      </c>
      <c r="U125" s="3">
        <f>IF($F125="","",IFERROR(INDEX('CAT_CENTROS_COSTO'!$D$4:$D$9,MATCH($F125,'CAT_CENTROS_COSTO'!$A$4:$A$9,0)),"(sin catálogo)"))</f>
        <v/>
      </c>
      <c r="V125" s="3">
        <f>IF($F125="","",IFERROR(INDEX('CAT_CENTROS_COSTO'!$F$4:$F$9,MATCH($F125,'CAT_CENTROS_COSTO'!$A$4:$A$9,0)),"(sin catálogo)"))</f>
        <v/>
      </c>
      <c r="W125" s="3">
        <f>IF($G125="","",IFERROR(INDEX('CAT_PUESTOS'!$B$4:$B$8,MATCH($G125,'CAT_PUESTOS'!$A$4:$A$8,0)),"(sin catálogo)"))</f>
        <v/>
      </c>
      <c r="X125" s="3">
        <f>IF($H125="","",IFERROR(INDEX('CAT_ACTIVIDADES'!$B$4:$B$8,MATCH($H125,'CAT_ACTIVIDADES'!$A$4:$A$8,0)),"(sin catálogo)"))</f>
        <v/>
      </c>
      <c r="Y125" s="12">
        <f>IF($J125="","",TODAY()-$J125)</f>
        <v/>
      </c>
      <c r="Z125" s="3">
        <f>IF($Y125="","",IF($Y125&lt;0,"FUTURO",IF($Y125&gt;p_dias_backlog_max,"BACKLOG","MES CORRIENTE")))</f>
        <v/>
      </c>
      <c r="AA125" s="3">
        <f>IF($Y125="",FALSE,AND($Y125&gt;p_dias_backlog_min,$Y125&lt;=p_dias_backlog_max))</f>
        <v/>
      </c>
      <c r="AB125" s="6" t="inlineStr">
        <is>
          <t>Técnico 11</t>
        </is>
      </c>
      <c r="AC125" s="3">
        <f>IF($AB125="","",IFERROR(INDEX('ASIGNACIONES'!$F$4:$F$339,MATCH($O125&amp;"|"&amp;$R125&amp;"|"&amp;$AB125,'ASIGNACIONES'!$I$4:$I$339,0)),""))</f>
        <v/>
      </c>
      <c r="AD125" s="13">
        <f>IF($AB125="","",SUMIFS('ORDENES'!$M$4:$M$1203,'ORDENES'!$AB$4:$AB$1203,$AB125,'ORDENES'!$O$4:$O$1203,$O125,'ORDENES'!$R$4:$R$1203,$R125))</f>
        <v/>
      </c>
      <c r="AE125" s="13">
        <f>IF($AD125="","",p_factor_productividad*IFERROR(INDEX('ASIGNACIONES'!$H$4:$H$339,MATCH($O125&amp;"|"&amp;$R125&amp;"|"&amp;$AB125,'ASIGNACIONES'!$I$4:$I$339,0)),0)-$AD125)</f>
        <v/>
      </c>
      <c r="AF125" s="10">
        <f>IF($A125="","",IFERROR(INDEX('2_IMPORTAR_EJECUCION'!$F$9:$F$1208,MATCH($AN125,'2_IMPORTAR_EJECUCION'!$J$9:$J$1208,0)),0))</f>
        <v/>
      </c>
      <c r="AG125" s="10">
        <f>IF($A125="","",MAX(0,IFERROR(INDEX('2_IMPORTAR_EJECUCION'!$H$9:$H$1208,MATCH($AN125,'2_IMPORTAR_EJECUCION'!$J$9:$J$1208,0)),0)-$AF125))</f>
        <v/>
      </c>
      <c r="AH125" s="10">
        <f>IF($A125="","",$AF125+$AG125)</f>
        <v/>
      </c>
      <c r="AI125" s="6" t="inlineStr"/>
      <c r="AJ125" s="6" t="inlineStr"/>
      <c r="AK125" s="6" t="inlineStr">
        <is>
          <t>ACT-04.pdf</t>
        </is>
      </c>
      <c r="AL125" s="3">
        <f>IF($AK125="","",HYPERLINK(p_ruta_base_checklists&amp;$AK125,"abrir"))</f>
        <v/>
      </c>
      <c r="AM125" s="6" t="inlineStr"/>
      <c r="AN125" s="3">
        <f>IF($A125="","",$A125&amp;IF($B125="","0010",$B125))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Inspección de rutina — EQ-110</t>
        </is>
      </c>
      <c r="D126" s="3" t="inlineStr">
        <is>
          <t>Inspección de rutina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PU-OP</t>
        </is>
      </c>
      <c r="H126" s="3" t="inlineStr">
        <is>
          <t>ACT-01</t>
        </is>
      </c>
      <c r="I126" s="3" t="inlineStr">
        <is>
          <t>TIPO-P2</t>
        </is>
      </c>
      <c r="J126" s="11" t="n">
        <v>46239</v>
      </c>
      <c r="K126" s="3" t="n">
        <v>8</v>
      </c>
      <c r="L126" s="10" t="n">
        <v>200</v>
      </c>
      <c r="M126" s="3">
        <f>IF($A126="","",IFERROR(INDEX('AJUSTES'!$B$4:$B$303,MATCH($AN126,'AJUSTES'!$A$4:$A$303,0)),IF($K126="","",$K126)))</f>
        <v/>
      </c>
      <c r="N126" s="3">
        <f>IF($A126="","",IFERROR(INDEX('CAT_ESTADOS_ERP'!$B$4:$B$7,MATCH(IFERROR(INDEX('2_IMPORTAR_EJECUCION'!$C$9:$C$1208,MATCH($AN126,'2_IMPORTAR_EJECUCION'!$J$9:$J$1208,0)),""),'CAT_ESTADOS_ERP'!$A$4:$A$7,0)),"Pendiente"))</f>
        <v/>
      </c>
      <c r="O126" s="3">
        <f>IF($J126="","",YEAR($J126+4-WEEKDAY($J126,2))&amp;"-S"&amp;TEXT(_xlfn.ISOWEEKNUM($J126),"00"))</f>
        <v/>
      </c>
      <c r="P126" s="3">
        <f>IF($J126="","",YEAR($J126))</f>
        <v/>
      </c>
      <c r="Q126" s="3">
        <f>IF($J126="","",MONTH($J126))</f>
        <v/>
      </c>
      <c r="R126" s="3">
        <f>IF($J126="","",INDEX(lista_dias,WEEKDAY($J126,2)))</f>
        <v/>
      </c>
      <c r="S126" s="3">
        <f>IF($I126="","",IFERROR(INDEX('CAT_TIPOS_OT'!$C$4:$C$7,MATCH($I126,'CAT_TIPOS_OT'!$A$4:$A$7,0)),"sin_clasificar"))</f>
        <v/>
      </c>
      <c r="T126" s="3">
        <f>IF($F126="","",IFERROR(INDEX('CAT_CENTROS_COSTO'!$E$4:$E$9,MATCH($F126,'CAT_CENTROS_COSTO'!$A$4:$A$9,0)),"(sin catálogo)"))</f>
        <v/>
      </c>
      <c r="U126" s="3">
        <f>IF($F126="","",IFERROR(INDEX('CAT_CENTROS_COSTO'!$D$4:$D$9,MATCH($F126,'CAT_CENTROS_COSTO'!$A$4:$A$9,0)),"(sin catálogo)"))</f>
        <v/>
      </c>
      <c r="V126" s="3">
        <f>IF($F126="","",IFERROR(INDEX('CAT_CENTROS_COSTO'!$F$4:$F$9,MATCH($F126,'CAT_CENTROS_COSTO'!$A$4:$A$9,0)),"(sin catálogo)"))</f>
        <v/>
      </c>
      <c r="W126" s="3">
        <f>IF($G126="","",IFERROR(INDEX('CAT_PUESTOS'!$B$4:$B$8,MATCH($G126,'CAT_PUESTOS'!$A$4:$A$8,0)),"(sin catálogo)"))</f>
        <v/>
      </c>
      <c r="X126" s="3">
        <f>IF($H126="","",IFERROR(INDEX('CAT_ACTIVIDADES'!$B$4:$B$8,MATCH($H126,'CAT_ACTIVIDADES'!$A$4:$A$8,0)),"(sin catálogo)"))</f>
        <v/>
      </c>
      <c r="Y126" s="12">
        <f>IF($J126="","",TODAY()-$J126)</f>
        <v/>
      </c>
      <c r="Z126" s="3">
        <f>IF($Y126="","",IF($Y126&lt;0,"FUTURO",IF($Y126&gt;p_dias_backlog_max,"BACKLOG","MES CORRIENTE")))</f>
        <v/>
      </c>
      <c r="AA126" s="3">
        <f>IF($Y126="",FALSE,AND($Y126&gt;p_dias_backlog_min,$Y126&lt;=p_dias_backlog_max))</f>
        <v/>
      </c>
      <c r="AB126" s="6" t="inlineStr">
        <is>
          <t>Técnico 12</t>
        </is>
      </c>
      <c r="AC126" s="3">
        <f>IF($AB126="","",IFERROR(INDEX('ASIGNACIONES'!$F$4:$F$339,MATCH($O126&amp;"|"&amp;$R126&amp;"|"&amp;$AB126,'ASIGNACIONES'!$I$4:$I$339,0)),""))</f>
        <v/>
      </c>
      <c r="AD126" s="13">
        <f>IF($AB126="","",SUMIFS('ORDENES'!$M$4:$M$1203,'ORDENES'!$AB$4:$AB$1203,$AB126,'ORDENES'!$O$4:$O$1203,$O126,'ORDENES'!$R$4:$R$1203,$R126))</f>
        <v/>
      </c>
      <c r="AE126" s="13">
        <f>IF($AD126="","",p_factor_productividad*IFERROR(INDEX('ASIGNACIONES'!$H$4:$H$339,MATCH($O126&amp;"|"&amp;$R126&amp;"|"&amp;$AB126,'ASIGNACIONES'!$I$4:$I$339,0)),0)-$AD126)</f>
        <v/>
      </c>
      <c r="AF126" s="10">
        <f>IF($A126="","",IFERROR(INDEX('2_IMPORTAR_EJECUCION'!$F$9:$F$1208,MATCH($AN126,'2_IMPORTAR_EJECUCION'!$J$9:$J$1208,0)),0))</f>
        <v/>
      </c>
      <c r="AG126" s="10">
        <f>IF($A126="","",MAX(0,IFERROR(INDEX('2_IMPORTAR_EJECUCION'!$H$9:$H$1208,MATCH($AN126,'2_IMPORTAR_EJECUCION'!$J$9:$J$1208,0)),0)-$AF126))</f>
        <v/>
      </c>
      <c r="AH126" s="10">
        <f>IF($A126="","",$AF126+$AG126)</f>
        <v/>
      </c>
      <c r="AI126" s="6" t="inlineStr"/>
      <c r="AJ126" s="6" t="inlineStr"/>
      <c r="AK126" s="6" t="inlineStr">
        <is>
          <t>ACT-01.pdf</t>
        </is>
      </c>
      <c r="AL126" s="3">
        <f>IF($AK126="","",HYPERLINK(p_ruta_base_checklists&amp;$AK126,"abrir"))</f>
        <v/>
      </c>
      <c r="AM126" s="6" t="inlineStr"/>
      <c r="AN126" s="3">
        <f>IF($A126="","",$A126&amp;IF($B126="","0010",$B126))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EQ-105</t>
        </is>
      </c>
      <c r="D127" s="3" t="inlineStr">
        <is>
          <t>Lubricación programada en EQ-105</t>
        </is>
      </c>
      <c r="E127" s="3" t="inlineStr">
        <is>
          <t>EQ-105</t>
        </is>
      </c>
      <c r="F127" s="3" t="inlineStr">
        <is>
          <t>CC-120</t>
        </is>
      </c>
      <c r="G127" s="3" t="inlineStr">
        <is>
          <t>PU-OP</t>
        </is>
      </c>
      <c r="H127" s="3" t="inlineStr">
        <is>
          <t>ACT-02</t>
        </is>
      </c>
      <c r="I127" s="3" t="inlineStr">
        <is>
          <t>TIPO-P1</t>
        </is>
      </c>
      <c r="J127" s="11" t="n">
        <v>46240</v>
      </c>
      <c r="K127" s="3" t="n">
        <v>6</v>
      </c>
      <c r="L127" s="10" t="n">
        <v>150</v>
      </c>
      <c r="M127" s="3">
        <f>IF($A127="","",IFERROR(INDEX('AJUSTES'!$B$4:$B$303,MATCH($AN127,'AJUSTES'!$A$4:$A$303,0)),IF($K127="","",$K127)))</f>
        <v/>
      </c>
      <c r="N127" s="3">
        <f>IF($A127="","",IFERROR(INDEX('CAT_ESTADOS_ERP'!$B$4:$B$7,MATCH(IFERROR(INDEX('2_IMPORTAR_EJECUCION'!$C$9:$C$1208,MATCH($AN127,'2_IMPORTAR_EJECUCION'!$J$9:$J$1208,0)),""),'CAT_ESTADOS_ERP'!$A$4:$A$7,0)),"Pendiente"))</f>
        <v/>
      </c>
      <c r="O127" s="3">
        <f>IF($J127="","",YEAR($J127+4-WEEKDAY($J127,2))&amp;"-S"&amp;TEXT(_xlfn.ISOWEEKNUM($J127),"00"))</f>
        <v/>
      </c>
      <c r="P127" s="3">
        <f>IF($J127="","",YEAR($J127))</f>
        <v/>
      </c>
      <c r="Q127" s="3">
        <f>IF($J127="","",MONTH($J127))</f>
        <v/>
      </c>
      <c r="R127" s="3">
        <f>IF($J127="","",INDEX(lista_dias,WEEKDAY($J127,2)))</f>
        <v/>
      </c>
      <c r="S127" s="3">
        <f>IF($I127="","",IFERROR(INDEX('CAT_TIPOS_OT'!$C$4:$C$7,MATCH($I127,'CAT_TIPOS_OT'!$A$4:$A$7,0)),"sin_clasificar"))</f>
        <v/>
      </c>
      <c r="T127" s="3">
        <f>IF($F127="","",IFERROR(INDEX('CAT_CENTROS_COSTO'!$E$4:$E$9,MATCH($F127,'CAT_CENTROS_COSTO'!$A$4:$A$9,0)),"(sin catálogo)"))</f>
        <v/>
      </c>
      <c r="U127" s="3">
        <f>IF($F127="","",IFERROR(INDEX('CAT_CENTROS_COSTO'!$D$4:$D$9,MATCH($F127,'CAT_CENTROS_COSTO'!$A$4:$A$9,0)),"(sin catálogo)"))</f>
        <v/>
      </c>
      <c r="V127" s="3">
        <f>IF($F127="","",IFERROR(INDEX('CAT_CENTROS_COSTO'!$F$4:$F$9,MATCH($F127,'CAT_CENTROS_COSTO'!$A$4:$A$9,0)),"(sin catálogo)"))</f>
        <v/>
      </c>
      <c r="W127" s="3">
        <f>IF($G127="","",IFERROR(INDEX('CAT_PUESTOS'!$B$4:$B$8,MATCH($G127,'CAT_PUESTOS'!$A$4:$A$8,0)),"(sin catálogo)"))</f>
        <v/>
      </c>
      <c r="X127" s="3">
        <f>IF($H127="","",IFERROR(INDEX('CAT_ACTIVIDADES'!$B$4:$B$8,MATCH($H127,'CAT_ACTIVIDADES'!$A$4:$A$8,0)),"(sin catálogo)"))</f>
        <v/>
      </c>
      <c r="Y127" s="12">
        <f>IF($J127="","",TODAY()-$J127)</f>
        <v/>
      </c>
      <c r="Z127" s="3">
        <f>IF($Y127="","",IF($Y127&lt;0,"FUTURO",IF($Y127&gt;p_dias_backlog_max,"BACKLOG","MES CORRIENTE")))</f>
        <v/>
      </c>
      <c r="AA127" s="3">
        <f>IF($Y127="",FALSE,AND($Y127&gt;p_dias_backlog_min,$Y127&lt;=p_dias_backlog_max))</f>
        <v/>
      </c>
      <c r="AB127" s="6" t="inlineStr">
        <is>
          <t>Técnico 10</t>
        </is>
      </c>
      <c r="AC127" s="3">
        <f>IF($AB127="","",IFERROR(INDEX('ASIGNACIONES'!$F$4:$F$339,MATCH($O127&amp;"|"&amp;$R127&amp;"|"&amp;$AB127,'ASIGNACIONES'!$I$4:$I$339,0)),""))</f>
        <v/>
      </c>
      <c r="AD127" s="13">
        <f>IF($AB127="","",SUMIFS('ORDENES'!$M$4:$M$1203,'ORDENES'!$AB$4:$AB$1203,$AB127,'ORDENES'!$O$4:$O$1203,$O127,'ORDENES'!$R$4:$R$1203,$R127))</f>
        <v/>
      </c>
      <c r="AE127" s="13">
        <f>IF($AD127="","",p_factor_productividad*IFERROR(INDEX('ASIGNACIONES'!$H$4:$H$339,MATCH($O127&amp;"|"&amp;$R127&amp;"|"&amp;$AB127,'ASIGNACIONES'!$I$4:$I$339,0)),0)-$AD127)</f>
        <v/>
      </c>
      <c r="AF127" s="10">
        <f>IF($A127="","",IFERROR(INDEX('2_IMPORTAR_EJECUCION'!$F$9:$F$1208,MATCH($AN127,'2_IMPORTAR_EJECUCION'!$J$9:$J$1208,0)),0))</f>
        <v/>
      </c>
      <c r="AG127" s="10">
        <f>IF($A127="","",MAX(0,IFERROR(INDEX('2_IMPORTAR_EJECUCION'!$H$9:$H$1208,MATCH($AN127,'2_IMPORTAR_EJECUCION'!$J$9:$J$1208,0)),0)-$AF127))</f>
        <v/>
      </c>
      <c r="AH127" s="10">
        <f>IF($A127="","",$AF127+$AG127)</f>
        <v/>
      </c>
      <c r="AI127" s="6" t="inlineStr"/>
      <c r="AJ127" s="6" t="inlineStr"/>
      <c r="AK127" s="6" t="inlineStr">
        <is>
          <t>ACT-02.pdf</t>
        </is>
      </c>
      <c r="AL127" s="3">
        <f>IF($AK127="","",HYPERLINK(p_ruta_base_checklists&amp;$AK127,"abrir"))</f>
        <v/>
      </c>
      <c r="AM127" s="6" t="inlineStr"/>
      <c r="AN127" s="3">
        <f>IF($A127="","",$A127&amp;IF($B127="","0010",$B127))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EQ-107</t>
        </is>
      </c>
      <c r="D128" s="3" t="inlineStr">
        <is>
          <t>Reparación de falla en EQ-107</t>
        </is>
      </c>
      <c r="E128" s="3" t="inlineStr">
        <is>
          <t>EQ-107</t>
        </is>
      </c>
      <c r="F128" s="3" t="inlineStr">
        <is>
          <t>CC-210</t>
        </is>
      </c>
      <c r="G128" s="3" t="inlineStr">
        <is>
          <t>PU-OP</t>
        </is>
      </c>
      <c r="H128" s="3" t="inlineStr">
        <is>
          <t>ACT-03</t>
        </is>
      </c>
      <c r="I128" s="3" t="inlineStr">
        <is>
          <t>TIPO-C2</t>
        </is>
      </c>
      <c r="J128" s="11" t="n">
        <v>46241</v>
      </c>
      <c r="K128" s="3" t="n">
        <v>6</v>
      </c>
      <c r="L128" s="10" t="n">
        <v>240</v>
      </c>
      <c r="M128" s="3">
        <f>IF($A128="","",IFERROR(INDEX('AJUSTES'!$B$4:$B$303,MATCH($AN128,'AJUSTES'!$A$4:$A$303,0)),IF($K128="","",$K128)))</f>
        <v/>
      </c>
      <c r="N128" s="3">
        <f>IF($A128="","",IFERROR(INDEX('CAT_ESTADOS_ERP'!$B$4:$B$7,MATCH(IFERROR(INDEX('2_IMPORTAR_EJECUCION'!$C$9:$C$1208,MATCH($AN128,'2_IMPORTAR_EJECUCION'!$J$9:$J$1208,0)),""),'CAT_ESTADOS_ERP'!$A$4:$A$7,0)),"Pendiente"))</f>
        <v/>
      </c>
      <c r="O128" s="3">
        <f>IF($J128="","",YEAR($J128+4-WEEKDAY($J128,2))&amp;"-S"&amp;TEXT(_xlfn.ISOWEEKNUM($J128),"00"))</f>
        <v/>
      </c>
      <c r="P128" s="3">
        <f>IF($J128="","",YEAR($J128))</f>
        <v/>
      </c>
      <c r="Q128" s="3">
        <f>IF($J128="","",MONTH($J128))</f>
        <v/>
      </c>
      <c r="R128" s="3">
        <f>IF($J128="","",INDEX(lista_dias,WEEKDAY($J128,2)))</f>
        <v/>
      </c>
      <c r="S128" s="3">
        <f>IF($I128="","",IFERROR(INDEX('CAT_TIPOS_OT'!$C$4:$C$7,MATCH($I128,'CAT_TIPOS_OT'!$A$4:$A$7,0)),"sin_clasificar"))</f>
        <v/>
      </c>
      <c r="T128" s="3">
        <f>IF($F128="","",IFERROR(INDEX('CAT_CENTROS_COSTO'!$E$4:$E$9,MATCH($F128,'CAT_CENTROS_COSTO'!$A$4:$A$9,0)),"(sin catálogo)"))</f>
        <v/>
      </c>
      <c r="U128" s="3">
        <f>IF($F128="","",IFERROR(INDEX('CAT_CENTROS_COSTO'!$D$4:$D$9,MATCH($F128,'CAT_CENTROS_COSTO'!$A$4:$A$9,0)),"(sin catálogo)"))</f>
        <v/>
      </c>
      <c r="V128" s="3">
        <f>IF($F128="","",IFERROR(INDEX('CAT_CENTROS_COSTO'!$F$4:$F$9,MATCH($F128,'CAT_CENTROS_COSTO'!$A$4:$A$9,0)),"(sin catálogo)"))</f>
        <v/>
      </c>
      <c r="W128" s="3">
        <f>IF($G128="","",IFERROR(INDEX('CAT_PUESTOS'!$B$4:$B$8,MATCH($G128,'CAT_PUESTOS'!$A$4:$A$8,0)),"(sin catálogo)"))</f>
        <v/>
      </c>
      <c r="X128" s="3">
        <f>IF($H128="","",IFERROR(INDEX('CAT_ACTIVIDADES'!$B$4:$B$8,MATCH($H128,'CAT_ACTIVIDADES'!$A$4:$A$8,0)),"(sin catálogo)"))</f>
        <v/>
      </c>
      <c r="Y128" s="12">
        <f>IF($J128="","",TODAY()-$J128)</f>
        <v/>
      </c>
      <c r="Z128" s="3">
        <f>IF($Y128="","",IF($Y128&lt;0,"FUTURO",IF($Y128&gt;p_dias_backlog_max,"BACKLOG","MES CORRIENTE")))</f>
        <v/>
      </c>
      <c r="AA128" s="3">
        <f>IF($Y128="",FALSE,AND($Y128&gt;p_dias_backlog_min,$Y128&lt;=p_dias_backlog_max))</f>
        <v/>
      </c>
      <c r="AB128" s="6" t="inlineStr">
        <is>
          <t>Técnico 11</t>
        </is>
      </c>
      <c r="AC128" s="3">
        <f>IF($AB128="","",IFERROR(INDEX('ASIGNACIONES'!$F$4:$F$339,MATCH($O128&amp;"|"&amp;$R128&amp;"|"&amp;$AB128,'ASIGNACIONES'!$I$4:$I$339,0)),""))</f>
        <v/>
      </c>
      <c r="AD128" s="13">
        <f>IF($AB128="","",SUMIFS('ORDENES'!$M$4:$M$1203,'ORDENES'!$AB$4:$AB$1203,$AB128,'ORDENES'!$O$4:$O$1203,$O128,'ORDENES'!$R$4:$R$1203,$R128))</f>
        <v/>
      </c>
      <c r="AE128" s="13">
        <f>IF($AD128="","",p_factor_productividad*IFERROR(INDEX('ASIGNACIONES'!$H$4:$H$339,MATCH($O128&amp;"|"&amp;$R128&amp;"|"&amp;$AB128,'ASIGNACIONES'!$I$4:$I$339,0)),0)-$AD128)</f>
        <v/>
      </c>
      <c r="AF128" s="10">
        <f>IF($A128="","",IFERROR(INDEX('2_IMPORTAR_EJECUCION'!$F$9:$F$1208,MATCH($AN128,'2_IMPORTAR_EJECUCION'!$J$9:$J$1208,0)),0))</f>
        <v/>
      </c>
      <c r="AG128" s="10">
        <f>IF($A128="","",MAX(0,IFERROR(INDEX('2_IMPORTAR_EJECUCION'!$H$9:$H$1208,MATCH($AN128,'2_IMPORTAR_EJECUCION'!$J$9:$J$1208,0)),0)-$AF128))</f>
        <v/>
      </c>
      <c r="AH128" s="10">
        <f>IF($A128="","",$AF128+$AG128)</f>
        <v/>
      </c>
      <c r="AI128" s="6" t="inlineStr"/>
      <c r="AJ128" s="6" t="inlineStr"/>
      <c r="AK128" s="6" t="inlineStr"/>
      <c r="AL128" s="3">
        <f>IF($AK128="","",HYPERLINK(p_ruta_base_checklists&amp;$AK128,"abrir"))</f>
        <v/>
      </c>
      <c r="AM128" s="6" t="inlineStr"/>
      <c r="AN128" s="3">
        <f>IF($A128="","",$A128&amp;IF($B128="","0010",$B128))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Certificación legal — EQ-110</t>
        </is>
      </c>
      <c r="D129" s="3" t="inlineStr">
        <is>
          <t>Certificación legal en EQ-110</t>
        </is>
      </c>
      <c r="E129" s="3" t="inlineStr">
        <is>
          <t>EQ-110</t>
        </is>
      </c>
      <c r="F129" s="3" t="inlineStr">
        <is>
          <t>CC-310</t>
        </is>
      </c>
      <c r="G129" s="3" t="inlineStr">
        <is>
          <t>PU-TER</t>
        </is>
      </c>
      <c r="H129" s="3" t="inlineStr">
        <is>
          <t>ACT-05</t>
        </is>
      </c>
      <c r="I129" s="3" t="inlineStr">
        <is>
          <t>TIPO-P2</t>
        </is>
      </c>
      <c r="J129" s="11" t="n">
        <v>46223</v>
      </c>
      <c r="K129" s="3" t="n">
        <v>10</v>
      </c>
      <c r="L129" s="10" t="n">
        <v>250</v>
      </c>
      <c r="M129" s="3">
        <f>IF($A129="","",IFERROR(INDEX('AJUSTES'!$B$4:$B$303,MATCH($AN129,'AJUSTES'!$A$4:$A$303,0)),IF($K129="","",$K129)))</f>
        <v/>
      </c>
      <c r="N129" s="3">
        <f>IF($A129="","",IFERROR(INDEX('CAT_ESTADOS_ERP'!$B$4:$B$7,MATCH(IFERROR(INDEX('2_IMPORTAR_EJECUCION'!$C$9:$C$1208,MATCH($AN129,'2_IMPORTAR_EJECUCION'!$J$9:$J$1208,0)),""),'CAT_ESTADOS_ERP'!$A$4:$A$7,0)),"Pendiente"))</f>
        <v/>
      </c>
      <c r="O129" s="3">
        <f>IF($J129="","",YEAR($J129+4-WEEKDAY($J129,2))&amp;"-S"&amp;TEXT(_xlfn.ISOWEEKNUM($J129),"00"))</f>
        <v/>
      </c>
      <c r="P129" s="3">
        <f>IF($J129="","",YEAR($J129))</f>
        <v/>
      </c>
      <c r="Q129" s="3">
        <f>IF($J129="","",MONTH($J129))</f>
        <v/>
      </c>
      <c r="R129" s="3">
        <f>IF($J129="","",INDEX(lista_dias,WEEKDAY($J129,2)))</f>
        <v/>
      </c>
      <c r="S129" s="3">
        <f>IF($I129="","",IFERROR(INDEX('CAT_TIPOS_OT'!$C$4:$C$7,MATCH($I129,'CAT_TIPOS_OT'!$A$4:$A$7,0)),"sin_clasificar"))</f>
        <v/>
      </c>
      <c r="T129" s="3">
        <f>IF($F129="","",IFERROR(INDEX('CAT_CENTROS_COSTO'!$E$4:$E$9,MATCH($F129,'CAT_CENTROS_COSTO'!$A$4:$A$9,0)),"(sin catálogo)"))</f>
        <v/>
      </c>
      <c r="U129" s="3">
        <f>IF($F129="","",IFERROR(INDEX('CAT_CENTROS_COSTO'!$D$4:$D$9,MATCH($F129,'CAT_CENTROS_COSTO'!$A$4:$A$9,0)),"(sin catálogo)"))</f>
        <v/>
      </c>
      <c r="V129" s="3">
        <f>IF($F129="","",IFERROR(INDEX('CAT_CENTROS_COSTO'!$F$4:$F$9,MATCH($F129,'CAT_CENTROS_COSTO'!$A$4:$A$9,0)),"(sin catálogo)"))</f>
        <v/>
      </c>
      <c r="W129" s="3">
        <f>IF($G129="","",IFERROR(INDEX('CAT_PUESTOS'!$B$4:$B$8,MATCH($G129,'CAT_PUESTOS'!$A$4:$A$8,0)),"(sin catálogo)"))</f>
        <v/>
      </c>
      <c r="X129" s="3">
        <f>IF($H129="","",IFERROR(INDEX('CAT_ACTIVIDADES'!$B$4:$B$8,MATCH($H129,'CAT_ACTIVIDADES'!$A$4:$A$8,0)),"(sin catálogo)"))</f>
        <v/>
      </c>
      <c r="Y129" s="12">
        <f>IF($J129="","",TODAY()-$J129)</f>
        <v/>
      </c>
      <c r="Z129" s="3">
        <f>IF($Y129="","",IF($Y129&lt;0,"FUTURO",IF($Y129&gt;p_dias_backlog_max,"BACKLOG","MES CORRIENTE")))</f>
        <v/>
      </c>
      <c r="AA129" s="3">
        <f>IF($Y129="",FALSE,AND($Y129&gt;p_dias_backlog_min,$Y129&lt;=p_dias_backlog_max))</f>
        <v/>
      </c>
      <c r="AB129" s="6" t="inlineStr"/>
      <c r="AC129" s="3">
        <f>IF($AB129="","",IFERROR(INDEX('ASIGNACIONES'!$F$4:$F$339,MATCH($O129&amp;"|"&amp;$R129&amp;"|"&amp;$AB129,'ASIGNACIONES'!$I$4:$I$339,0)),""))</f>
        <v/>
      </c>
      <c r="AD129" s="13">
        <f>IF($AB129="","",SUMIFS('ORDENES'!$M$4:$M$1203,'ORDENES'!$AB$4:$AB$1203,$AB129,'ORDENES'!$O$4:$O$1203,$O129,'ORDENES'!$R$4:$R$1203,$R129))</f>
        <v/>
      </c>
      <c r="AE129" s="13">
        <f>IF($AD129="","",p_factor_productividad*IFERROR(INDEX('ASIGNACIONES'!$H$4:$H$339,MATCH($O129&amp;"|"&amp;$R129&amp;"|"&amp;$AB129,'ASIGNACIONES'!$I$4:$I$339,0)),0)-$AD129)</f>
        <v/>
      </c>
      <c r="AF129" s="10">
        <f>IF($A129="","",IFERROR(INDEX('2_IMPORTAR_EJECUCION'!$F$9:$F$1208,MATCH($AN129,'2_IMPORTAR_EJECUCION'!$J$9:$J$1208,0)),0))</f>
        <v/>
      </c>
      <c r="AG129" s="10">
        <f>IF($A129="","",MAX(0,IFERROR(INDEX('2_IMPORTAR_EJECUCION'!$H$9:$H$1208,MATCH($AN129,'2_IMPORTAR_EJECUCION'!$J$9:$J$1208,0)),0)-$AF129))</f>
        <v/>
      </c>
      <c r="AH129" s="10">
        <f>IF($A129="","",$AF129+$AG129)</f>
        <v/>
      </c>
      <c r="AI129" s="6" t="inlineStr"/>
      <c r="AJ129" s="6" t="inlineStr"/>
      <c r="AK129" s="6" t="inlineStr"/>
      <c r="AL129" s="3">
        <f>IF($AK129="","",HYPERLINK(p_ruta_base_checklists&amp;$AK129,"abrir"))</f>
        <v/>
      </c>
      <c r="AM129" s="6" t="inlineStr"/>
      <c r="AN129" s="3">
        <f>IF($A129="","",$A129&amp;IF($B129="","0010",$B129))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Certificación legal — EQ-111</t>
        </is>
      </c>
      <c r="D130" s="3" t="inlineStr">
        <is>
          <t>Certificación legal en EQ-111</t>
        </is>
      </c>
      <c r="E130" s="3" t="inlineStr">
        <is>
          <t>EQ-111</t>
        </is>
      </c>
      <c r="F130" s="3" t="inlineStr">
        <is>
          <t>CC-310</t>
        </is>
      </c>
      <c r="G130" s="3" t="inlineStr">
        <is>
          <t>PU-TER</t>
        </is>
      </c>
      <c r="H130" s="3" t="inlineStr">
        <is>
          <t>ACT-05</t>
        </is>
      </c>
      <c r="I130" s="3" t="inlineStr">
        <is>
          <t>TIPO-P2</t>
        </is>
      </c>
      <c r="J130" s="11" t="n">
        <v>46224</v>
      </c>
      <c r="K130" s="3" t="n">
        <v>6</v>
      </c>
      <c r="L130" s="10" t="n">
        <v>150</v>
      </c>
      <c r="M130" s="3">
        <f>IF($A130="","",IFERROR(INDEX('AJUSTES'!$B$4:$B$303,MATCH($AN130,'AJUSTES'!$A$4:$A$303,0)),IF($K130="","",$K130)))</f>
        <v/>
      </c>
      <c r="N130" s="3">
        <f>IF($A130="","",IFERROR(INDEX('CAT_ESTADOS_ERP'!$B$4:$B$7,MATCH(IFERROR(INDEX('2_IMPORTAR_EJECUCION'!$C$9:$C$1208,MATCH($AN130,'2_IMPORTAR_EJECUCION'!$J$9:$J$1208,0)),""),'CAT_ESTADOS_ERP'!$A$4:$A$7,0)),"Pendiente"))</f>
        <v/>
      </c>
      <c r="O130" s="3">
        <f>IF($J130="","",YEAR($J130+4-WEEKDAY($J130,2))&amp;"-S"&amp;TEXT(_xlfn.ISOWEEKNUM($J130),"00"))</f>
        <v/>
      </c>
      <c r="P130" s="3">
        <f>IF($J130="","",YEAR($J130))</f>
        <v/>
      </c>
      <c r="Q130" s="3">
        <f>IF($J130="","",MONTH($J130))</f>
        <v/>
      </c>
      <c r="R130" s="3">
        <f>IF($J130="","",INDEX(lista_dias,WEEKDAY($J130,2)))</f>
        <v/>
      </c>
      <c r="S130" s="3">
        <f>IF($I130="","",IFERROR(INDEX('CAT_TIPOS_OT'!$C$4:$C$7,MATCH($I130,'CAT_TIPOS_OT'!$A$4:$A$7,0)),"sin_clasificar"))</f>
        <v/>
      </c>
      <c r="T130" s="3">
        <f>IF($F130="","",IFERROR(INDEX('CAT_CENTROS_COSTO'!$E$4:$E$9,MATCH($F130,'CAT_CENTROS_COSTO'!$A$4:$A$9,0)),"(sin catálogo)"))</f>
        <v/>
      </c>
      <c r="U130" s="3">
        <f>IF($F130="","",IFERROR(INDEX('CAT_CENTROS_COSTO'!$D$4:$D$9,MATCH($F130,'CAT_CENTROS_COSTO'!$A$4:$A$9,0)),"(sin catálogo)"))</f>
        <v/>
      </c>
      <c r="V130" s="3">
        <f>IF($F130="","",IFERROR(INDEX('CAT_CENTROS_COSTO'!$F$4:$F$9,MATCH($F130,'CAT_CENTROS_COSTO'!$A$4:$A$9,0)),"(sin catálogo)"))</f>
        <v/>
      </c>
      <c r="W130" s="3">
        <f>IF($G130="","",IFERROR(INDEX('CAT_PUESTOS'!$B$4:$B$8,MATCH($G130,'CAT_PUESTOS'!$A$4:$A$8,0)),"(sin catálogo)"))</f>
        <v/>
      </c>
      <c r="X130" s="3">
        <f>IF($H130="","",IFERROR(INDEX('CAT_ACTIVIDADES'!$B$4:$B$8,MATCH($H130,'CAT_ACTIVIDADES'!$A$4:$A$8,0)),"(sin catálogo)"))</f>
        <v/>
      </c>
      <c r="Y130" s="12">
        <f>IF($J130="","",TODAY()-$J130)</f>
        <v/>
      </c>
      <c r="Z130" s="3">
        <f>IF($Y130="","",IF($Y130&lt;0,"FUTURO",IF($Y130&gt;p_dias_backlog_max,"BACKLOG","MES CORRIENTE")))</f>
        <v/>
      </c>
      <c r="AA130" s="3">
        <f>IF($Y130="",FALSE,AND($Y130&gt;p_dias_backlog_min,$Y130&lt;=p_dias_backlog_max))</f>
        <v/>
      </c>
      <c r="AB130" s="6" t="inlineStr"/>
      <c r="AC130" s="3">
        <f>IF($AB130="","",IFERROR(INDEX('ASIGNACIONES'!$F$4:$F$339,MATCH($O130&amp;"|"&amp;$R130&amp;"|"&amp;$AB130,'ASIGNACIONES'!$I$4:$I$339,0)),""))</f>
        <v/>
      </c>
      <c r="AD130" s="13">
        <f>IF($AB130="","",SUMIFS('ORDENES'!$M$4:$M$1203,'ORDENES'!$AB$4:$AB$1203,$AB130,'ORDENES'!$O$4:$O$1203,$O130,'ORDENES'!$R$4:$R$1203,$R130))</f>
        <v/>
      </c>
      <c r="AE130" s="13">
        <f>IF($AD130="","",p_factor_productividad*IFERROR(INDEX('ASIGNACIONES'!$H$4:$H$339,MATCH($O130&amp;"|"&amp;$R130&amp;"|"&amp;$AB130,'ASIGNACIONES'!$I$4:$I$339,0)),0)-$AD130)</f>
        <v/>
      </c>
      <c r="AF130" s="10">
        <f>IF($A130="","",IFERROR(INDEX('2_IMPORTAR_EJECUCION'!$F$9:$F$1208,MATCH($AN130,'2_IMPORTAR_EJECUCION'!$J$9:$J$1208,0)),0))</f>
        <v/>
      </c>
      <c r="AG130" s="10">
        <f>IF($A130="","",MAX(0,IFERROR(INDEX('2_IMPORTAR_EJECUCION'!$H$9:$H$1208,MATCH($AN130,'2_IMPORTAR_EJECUCION'!$J$9:$J$1208,0)),0)-$AF130))</f>
        <v/>
      </c>
      <c r="AH130" s="10">
        <f>IF($A130="","",$AF130+$AG130)</f>
        <v/>
      </c>
      <c r="AI130" s="6" t="inlineStr"/>
      <c r="AJ130" s="6" t="inlineStr"/>
      <c r="AK130" s="6" t="inlineStr"/>
      <c r="AL130" s="3">
        <f>IF($AK130="","",HYPERLINK(p_ruta_base_checklists&amp;$AK130,"abrir"))</f>
        <v/>
      </c>
      <c r="AM130" s="6" t="inlineStr"/>
      <c r="AN130" s="3">
        <f>IF($A130="","",$A130&amp;IF($B130="","0010",$B130))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Certificación legal — EQ-112</t>
        </is>
      </c>
      <c r="D131" s="3" t="inlineStr">
        <is>
          <t>Certificación legal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PU-TER</t>
        </is>
      </c>
      <c r="H131" s="3" t="inlineStr">
        <is>
          <t>ACT-05</t>
        </is>
      </c>
      <c r="I131" s="3" t="inlineStr">
        <is>
          <t>TIPO-P2</t>
        </is>
      </c>
      <c r="J131" s="11" t="n">
        <v>46230</v>
      </c>
      <c r="K131" s="3" t="n">
        <v>10</v>
      </c>
      <c r="L131" s="10" t="n">
        <v>250</v>
      </c>
      <c r="M131" s="3">
        <f>IF($A131="","",IFERROR(INDEX('AJUSTES'!$B$4:$B$303,MATCH($AN131,'AJUSTES'!$A$4:$A$303,0)),IF($K131="","",$K131)))</f>
        <v/>
      </c>
      <c r="N131" s="3">
        <f>IF($A131="","",IFERROR(INDEX('CAT_ESTADOS_ERP'!$B$4:$B$7,MATCH(IFERROR(INDEX('2_IMPORTAR_EJECUCION'!$C$9:$C$1208,MATCH($AN131,'2_IMPORTAR_EJECUCION'!$J$9:$J$1208,0)),""),'CAT_ESTADOS_ERP'!$A$4:$A$7,0)),"Pendiente"))</f>
        <v/>
      </c>
      <c r="O131" s="3">
        <f>IF($J131="","",YEAR($J131+4-WEEKDAY($J131,2))&amp;"-S"&amp;TEXT(_xlfn.ISOWEEKNUM($J131),"00"))</f>
        <v/>
      </c>
      <c r="P131" s="3">
        <f>IF($J131="","",YEAR($J131))</f>
        <v/>
      </c>
      <c r="Q131" s="3">
        <f>IF($J131="","",MONTH($J131))</f>
        <v/>
      </c>
      <c r="R131" s="3">
        <f>IF($J131="","",INDEX(lista_dias,WEEKDAY($J131,2)))</f>
        <v/>
      </c>
      <c r="S131" s="3">
        <f>IF($I131="","",IFERROR(INDEX('CAT_TIPOS_OT'!$C$4:$C$7,MATCH($I131,'CAT_TIPOS_OT'!$A$4:$A$7,0)),"sin_clasificar"))</f>
        <v/>
      </c>
      <c r="T131" s="3">
        <f>IF($F131="","",IFERROR(INDEX('CAT_CENTROS_COSTO'!$E$4:$E$9,MATCH($F131,'CAT_CENTROS_COSTO'!$A$4:$A$9,0)),"(sin catálogo)"))</f>
        <v/>
      </c>
      <c r="U131" s="3">
        <f>IF($F131="","",IFERROR(INDEX('CAT_CENTROS_COSTO'!$D$4:$D$9,MATCH($F131,'CAT_CENTROS_COSTO'!$A$4:$A$9,0)),"(sin catálogo)"))</f>
        <v/>
      </c>
      <c r="V131" s="3">
        <f>IF($F131="","",IFERROR(INDEX('CAT_CENTROS_COSTO'!$F$4:$F$9,MATCH($F131,'CAT_CENTROS_COSTO'!$A$4:$A$9,0)),"(sin catálogo)"))</f>
        <v/>
      </c>
      <c r="W131" s="3">
        <f>IF($G131="","",IFERROR(INDEX('CAT_PUESTOS'!$B$4:$B$8,MATCH($G131,'CAT_PUESTOS'!$A$4:$A$8,0)),"(sin catálogo)"))</f>
        <v/>
      </c>
      <c r="X131" s="3">
        <f>IF($H131="","",IFERROR(INDEX('CAT_ACTIVIDADES'!$B$4:$B$8,MATCH($H131,'CAT_ACTIVIDADES'!$A$4:$A$8,0)),"(sin catálogo)"))</f>
        <v/>
      </c>
      <c r="Y131" s="12">
        <f>IF($J131="","",TODAY()-$J131)</f>
        <v/>
      </c>
      <c r="Z131" s="3">
        <f>IF($Y131="","",IF($Y131&lt;0,"FUTURO",IF($Y131&gt;p_dias_backlog_max,"BACKLOG","MES CORRIENTE")))</f>
        <v/>
      </c>
      <c r="AA131" s="3">
        <f>IF($Y131="",FALSE,AND($Y131&gt;p_dias_backlog_min,$Y131&lt;=p_dias_backlog_max))</f>
        <v/>
      </c>
      <c r="AB131" s="6" t="inlineStr"/>
      <c r="AC131" s="3">
        <f>IF($AB131="","",IFERROR(INDEX('ASIGNACIONES'!$F$4:$F$339,MATCH($O131&amp;"|"&amp;$R131&amp;"|"&amp;$AB131,'ASIGNACIONES'!$I$4:$I$339,0)),""))</f>
        <v/>
      </c>
      <c r="AD131" s="13">
        <f>IF($AB131="","",SUMIFS('ORDENES'!$M$4:$M$1203,'ORDENES'!$AB$4:$AB$1203,$AB131,'ORDENES'!$O$4:$O$1203,$O131,'ORDENES'!$R$4:$R$1203,$R131))</f>
        <v/>
      </c>
      <c r="AE131" s="13">
        <f>IF($AD131="","",p_factor_productividad*IFERROR(INDEX('ASIGNACIONES'!$H$4:$H$339,MATCH($O131&amp;"|"&amp;$R131&amp;"|"&amp;$AB131,'ASIGNACIONES'!$I$4:$I$339,0)),0)-$AD131)</f>
        <v/>
      </c>
      <c r="AF131" s="10">
        <f>IF($A131="","",IFERROR(INDEX('2_IMPORTAR_EJECUCION'!$F$9:$F$1208,MATCH($AN131,'2_IMPORTAR_EJECUCION'!$J$9:$J$1208,0)),0))</f>
        <v/>
      </c>
      <c r="AG131" s="10">
        <f>IF($A131="","",MAX(0,IFERROR(INDEX('2_IMPORTAR_EJECUCION'!$H$9:$H$1208,MATCH($AN131,'2_IMPORTAR_EJECUCION'!$J$9:$J$1208,0)),0)-$AF131))</f>
        <v/>
      </c>
      <c r="AH131" s="10">
        <f>IF($A131="","",$AF131+$AG131)</f>
        <v/>
      </c>
      <c r="AI131" s="6" t="inlineStr"/>
      <c r="AJ131" s="6" t="inlineStr"/>
      <c r="AK131" s="6" t="inlineStr"/>
      <c r="AL131" s="3">
        <f>IF($AK131="","",HYPERLINK(p_ruta_base_checklists&amp;$AK131,"abrir"))</f>
        <v/>
      </c>
      <c r="AM131" s="6" t="inlineStr"/>
      <c r="AN131" s="3">
        <f>IF($A131="","",$A131&amp;IF($B131="","0010",$B131))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Certificación legal — EQ-110</t>
        </is>
      </c>
      <c r="D132" s="3" t="inlineStr">
        <is>
          <t>Certificación legal en EQ-110</t>
        </is>
      </c>
      <c r="E132" s="3" t="inlineStr">
        <is>
          <t>EQ-110</t>
        </is>
      </c>
      <c r="F132" s="3" t="inlineStr">
        <is>
          <t>CC-310</t>
        </is>
      </c>
      <c r="G132" s="3" t="inlineStr">
        <is>
          <t>PU-TER</t>
        </is>
      </c>
      <c r="H132" s="3" t="inlineStr">
        <is>
          <t>ACT-05</t>
        </is>
      </c>
      <c r="I132" s="3" t="inlineStr">
        <is>
          <t>TIPO-P2</t>
        </is>
      </c>
      <c r="J132" s="11" t="n">
        <v>46231</v>
      </c>
      <c r="K132" s="3" t="n">
        <v>2</v>
      </c>
      <c r="L132" s="10" t="n">
        <v>50</v>
      </c>
      <c r="M132" s="3">
        <f>IF($A132="","",IFERROR(INDEX('AJUSTES'!$B$4:$B$303,MATCH($AN132,'AJUSTES'!$A$4:$A$303,0)),IF($K132="","",$K132)))</f>
        <v/>
      </c>
      <c r="N132" s="3">
        <f>IF($A132="","",IFERROR(INDEX('CAT_ESTADOS_ERP'!$B$4:$B$7,MATCH(IFERROR(INDEX('2_IMPORTAR_EJECUCION'!$C$9:$C$1208,MATCH($AN132,'2_IMPORTAR_EJECUCION'!$J$9:$J$1208,0)),""),'CAT_ESTADOS_ERP'!$A$4:$A$7,0)),"Pendiente"))</f>
        <v/>
      </c>
      <c r="O132" s="3">
        <f>IF($J132="","",YEAR($J132+4-WEEKDAY($J132,2))&amp;"-S"&amp;TEXT(_xlfn.ISOWEEKNUM($J132),"00"))</f>
        <v/>
      </c>
      <c r="P132" s="3">
        <f>IF($J132="","",YEAR($J132))</f>
        <v/>
      </c>
      <c r="Q132" s="3">
        <f>IF($J132="","",MONTH($J132))</f>
        <v/>
      </c>
      <c r="R132" s="3">
        <f>IF($J132="","",INDEX(lista_dias,WEEKDAY($J132,2)))</f>
        <v/>
      </c>
      <c r="S132" s="3">
        <f>IF($I132="","",IFERROR(INDEX('CAT_TIPOS_OT'!$C$4:$C$7,MATCH($I132,'CAT_TIPOS_OT'!$A$4:$A$7,0)),"sin_clasificar"))</f>
        <v/>
      </c>
      <c r="T132" s="3">
        <f>IF($F132="","",IFERROR(INDEX('CAT_CENTROS_COSTO'!$E$4:$E$9,MATCH($F132,'CAT_CENTROS_COSTO'!$A$4:$A$9,0)),"(sin catálogo)"))</f>
        <v/>
      </c>
      <c r="U132" s="3">
        <f>IF($F132="","",IFERROR(INDEX('CAT_CENTROS_COSTO'!$D$4:$D$9,MATCH($F132,'CAT_CENTROS_COSTO'!$A$4:$A$9,0)),"(sin catálogo)"))</f>
        <v/>
      </c>
      <c r="V132" s="3">
        <f>IF($F132="","",IFERROR(INDEX('CAT_CENTROS_COSTO'!$F$4:$F$9,MATCH($F132,'CAT_CENTROS_COSTO'!$A$4:$A$9,0)),"(sin catálogo)"))</f>
        <v/>
      </c>
      <c r="W132" s="3">
        <f>IF($G132="","",IFERROR(INDEX('CAT_PUESTOS'!$B$4:$B$8,MATCH($G132,'CAT_PUESTOS'!$A$4:$A$8,0)),"(sin catálogo)"))</f>
        <v/>
      </c>
      <c r="X132" s="3">
        <f>IF($H132="","",IFERROR(INDEX('CAT_ACTIVIDADES'!$B$4:$B$8,MATCH($H132,'CAT_ACTIVIDADES'!$A$4:$A$8,0)),"(sin catálogo)"))</f>
        <v/>
      </c>
      <c r="Y132" s="12">
        <f>IF($J132="","",TODAY()-$J132)</f>
        <v/>
      </c>
      <c r="Z132" s="3">
        <f>IF($Y132="","",IF($Y132&lt;0,"FUTURO",IF($Y132&gt;p_dias_backlog_max,"BACKLOG","MES CORRIENTE")))</f>
        <v/>
      </c>
      <c r="AA132" s="3">
        <f>IF($Y132="",FALSE,AND($Y132&gt;p_dias_backlog_min,$Y132&lt;=p_dias_backlog_max))</f>
        <v/>
      </c>
      <c r="AB132" s="6" t="inlineStr"/>
      <c r="AC132" s="3">
        <f>IF($AB132="","",IFERROR(INDEX('ASIGNACIONES'!$F$4:$F$339,MATCH($O132&amp;"|"&amp;$R132&amp;"|"&amp;$AB132,'ASIGNACIONES'!$I$4:$I$339,0)),""))</f>
        <v/>
      </c>
      <c r="AD132" s="13">
        <f>IF($AB132="","",SUMIFS('ORDENES'!$M$4:$M$1203,'ORDENES'!$AB$4:$AB$1203,$AB132,'ORDENES'!$O$4:$O$1203,$O132,'ORDENES'!$R$4:$R$1203,$R132))</f>
        <v/>
      </c>
      <c r="AE132" s="13">
        <f>IF($AD132="","",p_factor_productividad*IFERROR(INDEX('ASIGNACIONES'!$H$4:$H$339,MATCH($O132&amp;"|"&amp;$R132&amp;"|"&amp;$AB132,'ASIGNACIONES'!$I$4:$I$339,0)),0)-$AD132)</f>
        <v/>
      </c>
      <c r="AF132" s="10">
        <f>IF($A132="","",IFERROR(INDEX('2_IMPORTAR_EJECUCION'!$F$9:$F$1208,MATCH($AN132,'2_IMPORTAR_EJECUCION'!$J$9:$J$1208,0)),0))</f>
        <v/>
      </c>
      <c r="AG132" s="10">
        <f>IF($A132="","",MAX(0,IFERROR(INDEX('2_IMPORTAR_EJECUCION'!$H$9:$H$1208,MATCH($AN132,'2_IMPORTAR_EJECUCION'!$J$9:$J$1208,0)),0)-$AF132))</f>
        <v/>
      </c>
      <c r="AH132" s="10">
        <f>IF($A132="","",$AF132+$AG132)</f>
        <v/>
      </c>
      <c r="AI132" s="6" t="inlineStr"/>
      <c r="AJ132" s="6" t="inlineStr"/>
      <c r="AK132" s="6" t="inlineStr"/>
      <c r="AL132" s="3">
        <f>IF($AK132="","",HYPERLINK(p_ruta_base_checklists&amp;$AK132,"abrir"))</f>
        <v/>
      </c>
      <c r="AM132" s="6" t="inlineStr"/>
      <c r="AN132" s="3">
        <f>IF($A132="","",$A132&amp;IF($B132="","0010",$B132))</f>
        <v/>
      </c>
    </row>
    <row r="133">
      <c r="A133" s="3" t="inlineStr">
        <is>
          <t>OT-000001</t>
        </is>
      </c>
      <c r="B133" s="3" t="inlineStr">
        <is>
          <t>0020</t>
        </is>
      </c>
      <c r="C133" s="3" t="inlineStr">
        <is>
          <t>Lubricación programada — EQ-102</t>
        </is>
      </c>
      <c r="D133" s="3" t="inlineStr">
        <is>
          <t>Segunda operación — EQ-102</t>
        </is>
      </c>
      <c r="E133" s="3" t="inlineStr">
        <is>
          <t>EQ-102</t>
        </is>
      </c>
      <c r="F133" s="3" t="inlineStr">
        <is>
          <t>CC-110</t>
        </is>
      </c>
      <c r="G133" s="3" t="inlineStr">
        <is>
          <t>PU-MEC</t>
        </is>
      </c>
      <c r="H133" s="3" t="inlineStr">
        <is>
          <t>ACT-02</t>
        </is>
      </c>
      <c r="I133" s="3" t="inlineStr">
        <is>
          <t>TIPO-P2</t>
        </is>
      </c>
      <c r="J133" s="11" t="n">
        <v>46216</v>
      </c>
      <c r="K133" s="3" t="n">
        <v>2</v>
      </c>
      <c r="L133" s="10" t="n">
        <v>50</v>
      </c>
      <c r="M133" s="3">
        <f>IF($A133="","",IFERROR(INDEX('AJUSTES'!$B$4:$B$303,MATCH($AN133,'AJUSTES'!$A$4:$A$303,0)),IF($K133="","",$K133)))</f>
        <v/>
      </c>
      <c r="N133" s="3">
        <f>IF($A133="","",IFERROR(INDEX('CAT_ESTADOS_ERP'!$B$4:$B$7,MATCH(IFERROR(INDEX('2_IMPORTAR_EJECUCION'!$C$9:$C$1208,MATCH($AN133,'2_IMPORTAR_EJECUCION'!$J$9:$J$1208,0)),""),'CAT_ESTADOS_ERP'!$A$4:$A$7,0)),"Pendiente"))</f>
        <v/>
      </c>
      <c r="O133" s="3">
        <f>IF($J133="","",YEAR($J133+4-WEEKDAY($J133,2))&amp;"-S"&amp;TEXT(_xlfn.ISOWEEKNUM($J133),"00"))</f>
        <v/>
      </c>
      <c r="P133" s="3">
        <f>IF($J133="","",YEAR($J133))</f>
        <v/>
      </c>
      <c r="Q133" s="3">
        <f>IF($J133="","",MONTH($J133))</f>
        <v/>
      </c>
      <c r="R133" s="3">
        <f>IF($J133="","",INDEX(lista_dias,WEEKDAY($J133,2)))</f>
        <v/>
      </c>
      <c r="S133" s="3">
        <f>IF($I133="","",IFERROR(INDEX('CAT_TIPOS_OT'!$C$4:$C$7,MATCH($I133,'CAT_TIPOS_OT'!$A$4:$A$7,0)),"sin_clasificar"))</f>
        <v/>
      </c>
      <c r="T133" s="3">
        <f>IF($F133="","",IFERROR(INDEX('CAT_CENTROS_COSTO'!$E$4:$E$9,MATCH($F133,'CAT_CENTROS_COSTO'!$A$4:$A$9,0)),"(sin catálogo)"))</f>
        <v/>
      </c>
      <c r="U133" s="3">
        <f>IF($F133="","",IFERROR(INDEX('CAT_CENTROS_COSTO'!$D$4:$D$9,MATCH($F133,'CAT_CENTROS_COSTO'!$A$4:$A$9,0)),"(sin catálogo)"))</f>
        <v/>
      </c>
      <c r="V133" s="3">
        <f>IF($F133="","",IFERROR(INDEX('CAT_CENTROS_COSTO'!$F$4:$F$9,MATCH($F133,'CAT_CENTROS_COSTO'!$A$4:$A$9,0)),"(sin catálogo)"))</f>
        <v/>
      </c>
      <c r="W133" s="3">
        <f>IF($G133="","",IFERROR(INDEX('CAT_PUESTOS'!$B$4:$B$8,MATCH($G133,'CAT_PUESTOS'!$A$4:$A$8,0)),"(sin catálogo)"))</f>
        <v/>
      </c>
      <c r="X133" s="3">
        <f>IF($H133="","",IFERROR(INDEX('CAT_ACTIVIDADES'!$B$4:$B$8,MATCH($H133,'CAT_ACTIVIDADES'!$A$4:$A$8,0)),"(sin catálogo)"))</f>
        <v/>
      </c>
      <c r="Y133" s="12">
        <f>IF($J133="","",TODAY()-$J133)</f>
        <v/>
      </c>
      <c r="Z133" s="3">
        <f>IF($Y133="","",IF($Y133&lt;0,"FUTURO",IF($Y133&gt;p_dias_backlog_max,"BACKLOG","MES CORRIENTE")))</f>
        <v/>
      </c>
      <c r="AA133" s="3">
        <f>IF($Y133="",FALSE,AND($Y133&gt;p_dias_backlog_min,$Y133&lt;=p_dias_backlog_max))</f>
        <v/>
      </c>
      <c r="AB133" s="6" t="inlineStr">
        <is>
          <t>Técnico 01</t>
        </is>
      </c>
      <c r="AC133" s="3">
        <f>IF($AB133="","",IFERROR(INDEX('ASIGNACIONES'!$F$4:$F$339,MATCH($O133&amp;"|"&amp;$R133&amp;"|"&amp;$AB133,'ASIGNACIONES'!$I$4:$I$339,0)),""))</f>
        <v/>
      </c>
      <c r="AD133" s="13">
        <f>IF($AB133="","",SUMIFS('ORDENES'!$M$4:$M$1203,'ORDENES'!$AB$4:$AB$1203,$AB133,'ORDENES'!$O$4:$O$1203,$O133,'ORDENES'!$R$4:$R$1203,$R133))</f>
        <v/>
      </c>
      <c r="AE133" s="13">
        <f>IF($AD133="","",p_factor_productividad*IFERROR(INDEX('ASIGNACIONES'!$H$4:$H$339,MATCH($O133&amp;"|"&amp;$R133&amp;"|"&amp;$AB133,'ASIGNACIONES'!$I$4:$I$339,0)),0)-$AD133)</f>
        <v/>
      </c>
      <c r="AF133" s="10">
        <f>IF($A133="","",IFERROR(INDEX('2_IMPORTAR_EJECUCION'!$F$9:$F$1208,MATCH($AN133,'2_IMPORTAR_EJECUCION'!$J$9:$J$1208,0)),0))</f>
        <v/>
      </c>
      <c r="AG133" s="10">
        <f>IF($A133="","",MAX(0,IFERROR(INDEX('2_IMPORTAR_EJECUCION'!$H$9:$H$1208,MATCH($AN133,'2_IMPORTAR_EJECUCION'!$J$9:$J$1208,0)),0)-$AF133))</f>
        <v/>
      </c>
      <c r="AH133" s="10">
        <f>IF($A133="","",$AF133+$AG133)</f>
        <v/>
      </c>
      <c r="AI133" s="6" t="inlineStr"/>
      <c r="AJ133" s="6" t="inlineStr"/>
      <c r="AK133" s="6" t="inlineStr"/>
      <c r="AL133" s="3">
        <f>IF($AK133="","",HYPERLINK(p_ruta_base_checklists&amp;$AK133,"abrir"))</f>
        <v/>
      </c>
      <c r="AM133" s="6" t="inlineStr"/>
      <c r="AN133" s="3">
        <f>IF($A133="","",$A133&amp;IF($B133="","0010",$B133))</f>
        <v/>
      </c>
    </row>
    <row r="134">
      <c r="A134" s="3" t="inlineStr">
        <is>
          <t>OT-000041</t>
        </is>
      </c>
      <c r="B134" s="3" t="inlineStr">
        <is>
          <t>0020</t>
        </is>
      </c>
      <c r="C134" s="3" t="inlineStr">
        <is>
          <t>Análisis predictivo — EQ-107</t>
        </is>
      </c>
      <c r="D134" s="3" t="inlineStr">
        <is>
          <t>Segunda operación — EQ-107</t>
        </is>
      </c>
      <c r="E134" s="3" t="inlineStr">
        <is>
          <t>EQ-107</t>
        </is>
      </c>
      <c r="F134" s="3" t="inlineStr">
        <is>
          <t>CC-210</t>
        </is>
      </c>
      <c r="G134" s="3" t="inlineStr">
        <is>
          <t>PU-MEC</t>
        </is>
      </c>
      <c r="H134" s="3" t="inlineStr">
        <is>
          <t>ACT-04</t>
        </is>
      </c>
      <c r="I134" s="3" t="inlineStr">
        <is>
          <t>TIPO-P2</t>
        </is>
      </c>
      <c r="J134" s="11" t="n">
        <v>46237</v>
      </c>
      <c r="K134" s="3" t="n">
        <v>2</v>
      </c>
      <c r="L134" s="10" t="n">
        <v>50</v>
      </c>
      <c r="M134" s="3">
        <f>IF($A134="","",IFERROR(INDEX('AJUSTES'!$B$4:$B$303,MATCH($AN134,'AJUSTES'!$A$4:$A$303,0)),IF($K134="","",$K134)))</f>
        <v/>
      </c>
      <c r="N134" s="3">
        <f>IF($A134="","",IFERROR(INDEX('CAT_ESTADOS_ERP'!$B$4:$B$7,MATCH(IFERROR(INDEX('2_IMPORTAR_EJECUCION'!$C$9:$C$1208,MATCH($AN134,'2_IMPORTAR_EJECUCION'!$J$9:$J$1208,0)),""),'CAT_ESTADOS_ERP'!$A$4:$A$7,0)),"Pendiente"))</f>
        <v/>
      </c>
      <c r="O134" s="3">
        <f>IF($J134="","",YEAR($J134+4-WEEKDAY($J134,2))&amp;"-S"&amp;TEXT(_xlfn.ISOWEEKNUM($J134),"00"))</f>
        <v/>
      </c>
      <c r="P134" s="3">
        <f>IF($J134="","",YEAR($J134))</f>
        <v/>
      </c>
      <c r="Q134" s="3">
        <f>IF($J134="","",MONTH($J134))</f>
        <v/>
      </c>
      <c r="R134" s="3">
        <f>IF($J134="","",INDEX(lista_dias,WEEKDAY($J134,2)))</f>
        <v/>
      </c>
      <c r="S134" s="3">
        <f>IF($I134="","",IFERROR(INDEX('CAT_TIPOS_OT'!$C$4:$C$7,MATCH($I134,'CAT_TIPOS_OT'!$A$4:$A$7,0)),"sin_clasificar"))</f>
        <v/>
      </c>
      <c r="T134" s="3">
        <f>IF($F134="","",IFERROR(INDEX('CAT_CENTROS_COSTO'!$E$4:$E$9,MATCH($F134,'CAT_CENTROS_COSTO'!$A$4:$A$9,0)),"(sin catálogo)"))</f>
        <v/>
      </c>
      <c r="U134" s="3">
        <f>IF($F134="","",IFERROR(INDEX('CAT_CENTROS_COSTO'!$D$4:$D$9,MATCH($F134,'CAT_CENTROS_COSTO'!$A$4:$A$9,0)),"(sin catálogo)"))</f>
        <v/>
      </c>
      <c r="V134" s="3">
        <f>IF($F134="","",IFERROR(INDEX('CAT_CENTROS_COSTO'!$F$4:$F$9,MATCH($F134,'CAT_CENTROS_COSTO'!$A$4:$A$9,0)),"(sin catálogo)"))</f>
        <v/>
      </c>
      <c r="W134" s="3">
        <f>IF($G134="","",IFERROR(INDEX('CAT_PUESTOS'!$B$4:$B$8,MATCH($G134,'CAT_PUESTOS'!$A$4:$A$8,0)),"(sin catálogo)"))</f>
        <v/>
      </c>
      <c r="X134" s="3">
        <f>IF($H134="","",IFERROR(INDEX('CAT_ACTIVIDADES'!$B$4:$B$8,MATCH($H134,'CAT_ACTIVIDADES'!$A$4:$A$8,0)),"(sin catálogo)"))</f>
        <v/>
      </c>
      <c r="Y134" s="12">
        <f>IF($J134="","",TODAY()-$J134)</f>
        <v/>
      </c>
      <c r="Z134" s="3">
        <f>IF($Y134="","",IF($Y134&lt;0,"FUTURO",IF($Y134&gt;p_dias_backlog_max,"BACKLOG","MES CORRIENTE")))</f>
        <v/>
      </c>
      <c r="AA134" s="3">
        <f>IF($Y134="",FALSE,AND($Y134&gt;p_dias_backlog_min,$Y134&lt;=p_dias_backlog_max))</f>
        <v/>
      </c>
      <c r="AB134" s="6" t="inlineStr">
        <is>
          <t>Técnico 01</t>
        </is>
      </c>
      <c r="AC134" s="3">
        <f>IF($AB134="","",IFERROR(INDEX('ASIGNACIONES'!$F$4:$F$339,MATCH($O134&amp;"|"&amp;$R134&amp;"|"&amp;$AB134,'ASIGNACIONES'!$I$4:$I$339,0)),""))</f>
        <v/>
      </c>
      <c r="AD134" s="13">
        <f>IF($AB134="","",SUMIFS('ORDENES'!$M$4:$M$1203,'ORDENES'!$AB$4:$AB$1203,$AB134,'ORDENES'!$O$4:$O$1203,$O134,'ORDENES'!$R$4:$R$1203,$R134))</f>
        <v/>
      </c>
      <c r="AE134" s="13">
        <f>IF($AD134="","",p_factor_productividad*IFERROR(INDEX('ASIGNACIONES'!$H$4:$H$339,MATCH($O134&amp;"|"&amp;$R134&amp;"|"&amp;$AB134,'ASIGNACIONES'!$I$4:$I$339,0)),0)-$AD134)</f>
        <v/>
      </c>
      <c r="AF134" s="10">
        <f>IF($A134="","",IFERROR(INDEX('2_IMPORTAR_EJECUCION'!$F$9:$F$1208,MATCH($AN134,'2_IMPORTAR_EJECUCION'!$J$9:$J$1208,0)),0))</f>
        <v/>
      </c>
      <c r="AG134" s="10">
        <f>IF($A134="","",MAX(0,IFERROR(INDEX('2_IMPORTAR_EJECUCION'!$H$9:$H$1208,MATCH($AN134,'2_IMPORTAR_EJECUCION'!$J$9:$J$1208,0)),0)-$AF134))</f>
        <v/>
      </c>
      <c r="AH134" s="10">
        <f>IF($A134="","",$AF134+$AG134)</f>
        <v/>
      </c>
      <c r="AI134" s="6" t="inlineStr"/>
      <c r="AJ134" s="6" t="inlineStr"/>
      <c r="AK134" s="6" t="inlineStr"/>
      <c r="AL134" s="3">
        <f>IF($AK134="","",HYPERLINK(p_ruta_base_checklists&amp;$AK134,"abrir"))</f>
        <v/>
      </c>
      <c r="AM134" s="6" t="inlineStr"/>
      <c r="AN134" s="3">
        <f>IF($A134="","",$A134&amp;IF($B134="","0010",$B134))</f>
        <v/>
      </c>
    </row>
    <row r="135">
      <c r="A135" s="3" t="inlineStr">
        <is>
          <t>OT-000081</t>
        </is>
      </c>
      <c r="B135" s="3" t="inlineStr">
        <is>
          <t>0020</t>
        </is>
      </c>
      <c r="C135" s="3" t="inlineStr">
        <is>
          <t>Inspección de rutina — EQ-102</t>
        </is>
      </c>
      <c r="D135" s="3" t="inlineStr">
        <is>
          <t>Segunda operación — EQ-102</t>
        </is>
      </c>
      <c r="E135" s="3" t="inlineStr">
        <is>
          <t>EQ-102</t>
        </is>
      </c>
      <c r="F135" s="3" t="inlineStr">
        <is>
          <t>CC-120</t>
        </is>
      </c>
      <c r="G135" s="3" t="inlineStr">
        <is>
          <t>PU-ELE</t>
        </is>
      </c>
      <c r="H135" s="3" t="inlineStr">
        <is>
          <t>ACT-01</t>
        </is>
      </c>
      <c r="I135" s="3" t="inlineStr">
        <is>
          <t>TIPO-P2</t>
        </is>
      </c>
      <c r="J135" s="11" t="n">
        <v>46237</v>
      </c>
      <c r="K135" s="3" t="n">
        <v>2</v>
      </c>
      <c r="L135" s="10" t="n">
        <v>50</v>
      </c>
      <c r="M135" s="3">
        <f>IF($A135="","",IFERROR(INDEX('AJUSTES'!$B$4:$B$303,MATCH($AN135,'AJUSTES'!$A$4:$A$303,0)),IF($K135="","",$K135)))</f>
        <v/>
      </c>
      <c r="N135" s="3">
        <f>IF($A135="","",IFERROR(INDEX('CAT_ESTADOS_ERP'!$B$4:$B$7,MATCH(IFERROR(INDEX('2_IMPORTAR_EJECUCION'!$C$9:$C$1208,MATCH($AN135,'2_IMPORTAR_EJECUCION'!$J$9:$J$1208,0)),""),'CAT_ESTADOS_ERP'!$A$4:$A$7,0)),"Pendiente"))</f>
        <v/>
      </c>
      <c r="O135" s="3">
        <f>IF($J135="","",YEAR($J135+4-WEEKDAY($J135,2))&amp;"-S"&amp;TEXT(_xlfn.ISOWEEKNUM($J135),"00"))</f>
        <v/>
      </c>
      <c r="P135" s="3">
        <f>IF($J135="","",YEAR($J135))</f>
        <v/>
      </c>
      <c r="Q135" s="3">
        <f>IF($J135="","",MONTH($J135))</f>
        <v/>
      </c>
      <c r="R135" s="3">
        <f>IF($J135="","",INDEX(lista_dias,WEEKDAY($J135,2)))</f>
        <v/>
      </c>
      <c r="S135" s="3">
        <f>IF($I135="","",IFERROR(INDEX('CAT_TIPOS_OT'!$C$4:$C$7,MATCH($I135,'CAT_TIPOS_OT'!$A$4:$A$7,0)),"sin_clasificar"))</f>
        <v/>
      </c>
      <c r="T135" s="3">
        <f>IF($F135="","",IFERROR(INDEX('CAT_CENTROS_COSTO'!$E$4:$E$9,MATCH($F135,'CAT_CENTROS_COSTO'!$A$4:$A$9,0)),"(sin catálogo)"))</f>
        <v/>
      </c>
      <c r="U135" s="3">
        <f>IF($F135="","",IFERROR(INDEX('CAT_CENTROS_COSTO'!$D$4:$D$9,MATCH($F135,'CAT_CENTROS_COSTO'!$A$4:$A$9,0)),"(sin catálogo)"))</f>
        <v/>
      </c>
      <c r="V135" s="3">
        <f>IF($F135="","",IFERROR(INDEX('CAT_CENTROS_COSTO'!$F$4:$F$9,MATCH($F135,'CAT_CENTROS_COSTO'!$A$4:$A$9,0)),"(sin catálogo)"))</f>
        <v/>
      </c>
      <c r="W135" s="3">
        <f>IF($G135="","",IFERROR(INDEX('CAT_PUESTOS'!$B$4:$B$8,MATCH($G135,'CAT_PUESTOS'!$A$4:$A$8,0)),"(sin catálogo)"))</f>
        <v/>
      </c>
      <c r="X135" s="3">
        <f>IF($H135="","",IFERROR(INDEX('CAT_ACTIVIDADES'!$B$4:$B$8,MATCH($H135,'CAT_ACTIVIDADES'!$A$4:$A$8,0)),"(sin catálogo)"))</f>
        <v/>
      </c>
      <c r="Y135" s="12">
        <f>IF($J135="","",TODAY()-$J135)</f>
        <v/>
      </c>
      <c r="Z135" s="3">
        <f>IF($Y135="","",IF($Y135&lt;0,"FUTURO",IF($Y135&gt;p_dias_backlog_max,"BACKLOG","MES CORRIENTE")))</f>
        <v/>
      </c>
      <c r="AA135" s="3">
        <f>IF($Y135="",FALSE,AND($Y135&gt;p_dias_backlog_min,$Y135&lt;=p_dias_backlog_max))</f>
        <v/>
      </c>
      <c r="AB135" s="6" t="inlineStr">
        <is>
          <t>Técnico 07</t>
        </is>
      </c>
      <c r="AC135" s="3">
        <f>IF($AB135="","",IFERROR(INDEX('ASIGNACIONES'!$F$4:$F$339,MATCH($O135&amp;"|"&amp;$R135&amp;"|"&amp;$AB135,'ASIGNACIONES'!$I$4:$I$339,0)),""))</f>
        <v/>
      </c>
      <c r="AD135" s="13">
        <f>IF($AB135="","",SUMIFS('ORDENES'!$M$4:$M$1203,'ORDENES'!$AB$4:$AB$1203,$AB135,'ORDENES'!$O$4:$O$1203,$O135,'ORDENES'!$R$4:$R$1203,$R135))</f>
        <v/>
      </c>
      <c r="AE135" s="13">
        <f>IF($AD135="","",p_factor_productividad*IFERROR(INDEX('ASIGNACIONES'!$H$4:$H$339,MATCH($O135&amp;"|"&amp;$R135&amp;"|"&amp;$AB135,'ASIGNACIONES'!$I$4:$I$339,0)),0)-$AD135)</f>
        <v/>
      </c>
      <c r="AF135" s="10">
        <f>IF($A135="","",IFERROR(INDEX('2_IMPORTAR_EJECUCION'!$F$9:$F$1208,MATCH($AN135,'2_IMPORTAR_EJECUCION'!$J$9:$J$1208,0)),0))</f>
        <v/>
      </c>
      <c r="AG135" s="10">
        <f>IF($A135="","",MAX(0,IFERROR(INDEX('2_IMPORTAR_EJECUCION'!$H$9:$H$1208,MATCH($AN135,'2_IMPORTAR_EJECUCION'!$J$9:$J$1208,0)),0)-$AF135))</f>
        <v/>
      </c>
      <c r="AH135" s="10">
        <f>IF($A135="","",$AF135+$AG135)</f>
        <v/>
      </c>
      <c r="AI135" s="6" t="inlineStr"/>
      <c r="AJ135" s="6" t="inlineStr"/>
      <c r="AK135" s="6" t="inlineStr"/>
      <c r="AL135" s="3">
        <f>IF($AK135="","",HYPERLINK(p_ruta_base_checklists&amp;$AK135,"abrir"))</f>
        <v/>
      </c>
      <c r="AM135" s="6" t="inlineStr"/>
      <c r="AN135" s="3">
        <f>IF($A135="","",$A135&amp;IF($B135="","0010",$B135))</f>
        <v/>
      </c>
    </row>
    <row r="136">
      <c r="A136" s="3" t="inlineStr">
        <is>
          <t>OT-000121</t>
        </is>
      </c>
      <c r="B136" s="3" t="inlineStr">
        <is>
          <t>0020</t>
        </is>
      </c>
      <c r="C136" s="3" t="inlineStr">
        <is>
          <t>Reparación de falla — EQ-102</t>
        </is>
      </c>
      <c r="D136" s="3" t="inlineStr">
        <is>
          <t>Segunda operación — EQ-102</t>
        </is>
      </c>
      <c r="E136" s="3" t="inlineStr">
        <is>
          <t>EQ-102</t>
        </is>
      </c>
      <c r="F136" s="3" t="inlineStr">
        <is>
          <t>CC-120</t>
        </is>
      </c>
      <c r="G136" s="3" t="inlineStr">
        <is>
          <t>PU-OP</t>
        </is>
      </c>
      <c r="H136" s="3" t="inlineStr">
        <is>
          <t>ACT-03</t>
        </is>
      </c>
      <c r="I136" s="3" t="inlineStr">
        <is>
          <t>TIPO-C2</t>
        </is>
      </c>
      <c r="J136" s="11" t="n">
        <v>46230</v>
      </c>
      <c r="K136" s="3" t="n">
        <v>2</v>
      </c>
      <c r="L136" s="10" t="n">
        <v>80</v>
      </c>
      <c r="M136" s="3">
        <f>IF($A136="","",IFERROR(INDEX('AJUSTES'!$B$4:$B$303,MATCH($AN136,'AJUSTES'!$A$4:$A$303,0)),IF($K136="","",$K136)))</f>
        <v/>
      </c>
      <c r="N136" s="3">
        <f>IF($A136="","",IFERROR(INDEX('CAT_ESTADOS_ERP'!$B$4:$B$7,MATCH(IFERROR(INDEX('2_IMPORTAR_EJECUCION'!$C$9:$C$1208,MATCH($AN136,'2_IMPORTAR_EJECUCION'!$J$9:$J$1208,0)),""),'CAT_ESTADOS_ERP'!$A$4:$A$7,0)),"Pendiente"))</f>
        <v/>
      </c>
      <c r="O136" s="3">
        <f>IF($J136="","",YEAR($J136+4-WEEKDAY($J136,2))&amp;"-S"&amp;TEXT(_xlfn.ISOWEEKNUM($J136),"00"))</f>
        <v/>
      </c>
      <c r="P136" s="3">
        <f>IF($J136="","",YEAR($J136))</f>
        <v/>
      </c>
      <c r="Q136" s="3">
        <f>IF($J136="","",MONTH($J136))</f>
        <v/>
      </c>
      <c r="R136" s="3">
        <f>IF($J136="","",INDEX(lista_dias,WEEKDAY($J136,2)))</f>
        <v/>
      </c>
      <c r="S136" s="3">
        <f>IF($I136="","",IFERROR(INDEX('CAT_TIPOS_OT'!$C$4:$C$7,MATCH($I136,'CAT_TIPOS_OT'!$A$4:$A$7,0)),"sin_clasificar"))</f>
        <v/>
      </c>
      <c r="T136" s="3">
        <f>IF($F136="","",IFERROR(INDEX('CAT_CENTROS_COSTO'!$E$4:$E$9,MATCH($F136,'CAT_CENTROS_COSTO'!$A$4:$A$9,0)),"(sin catálogo)"))</f>
        <v/>
      </c>
      <c r="U136" s="3">
        <f>IF($F136="","",IFERROR(INDEX('CAT_CENTROS_COSTO'!$D$4:$D$9,MATCH($F136,'CAT_CENTROS_COSTO'!$A$4:$A$9,0)),"(sin catálogo)"))</f>
        <v/>
      </c>
      <c r="V136" s="3">
        <f>IF($F136="","",IFERROR(INDEX('CAT_CENTROS_COSTO'!$F$4:$F$9,MATCH($F136,'CAT_CENTROS_COSTO'!$A$4:$A$9,0)),"(sin catálogo)"))</f>
        <v/>
      </c>
      <c r="W136" s="3">
        <f>IF($G136="","",IFERROR(INDEX('CAT_PUESTOS'!$B$4:$B$8,MATCH($G136,'CAT_PUESTOS'!$A$4:$A$8,0)),"(sin catálogo)"))</f>
        <v/>
      </c>
      <c r="X136" s="3">
        <f>IF($H136="","",IFERROR(INDEX('CAT_ACTIVIDADES'!$B$4:$B$8,MATCH($H136,'CAT_ACTIVIDADES'!$A$4:$A$8,0)),"(sin catálogo)"))</f>
        <v/>
      </c>
      <c r="Y136" s="12">
        <f>IF($J136="","",TODAY()-$J136)</f>
        <v/>
      </c>
      <c r="Z136" s="3">
        <f>IF($Y136="","",IF($Y136&lt;0,"FUTURO",IF($Y136&gt;p_dias_backlog_max,"BACKLOG","MES CORRIENTE")))</f>
        <v/>
      </c>
      <c r="AA136" s="3">
        <f>IF($Y136="",FALSE,AND($Y136&gt;p_dias_backlog_min,$Y136&lt;=p_dias_backlog_max))</f>
        <v/>
      </c>
      <c r="AB136" s="6" t="inlineStr">
        <is>
          <t>Técnico 10</t>
        </is>
      </c>
      <c r="AC136" s="3">
        <f>IF($AB136="","",IFERROR(INDEX('ASIGNACIONES'!$F$4:$F$339,MATCH($O136&amp;"|"&amp;$R136&amp;"|"&amp;$AB136,'ASIGNACIONES'!$I$4:$I$339,0)),""))</f>
        <v/>
      </c>
      <c r="AD136" s="13">
        <f>IF($AB136="","",SUMIFS('ORDENES'!$M$4:$M$1203,'ORDENES'!$AB$4:$AB$1203,$AB136,'ORDENES'!$O$4:$O$1203,$O136,'ORDENES'!$R$4:$R$1203,$R136))</f>
        <v/>
      </c>
      <c r="AE136" s="13">
        <f>IF($AD136="","",p_factor_productividad*IFERROR(INDEX('ASIGNACIONES'!$H$4:$H$339,MATCH($O136&amp;"|"&amp;$R136&amp;"|"&amp;$AB136,'ASIGNACIONES'!$I$4:$I$339,0)),0)-$AD136)</f>
        <v/>
      </c>
      <c r="AF136" s="10">
        <f>IF($A136="","",IFERROR(INDEX('2_IMPORTAR_EJECUCION'!$F$9:$F$1208,MATCH($AN136,'2_IMPORTAR_EJECUCION'!$J$9:$J$1208,0)),0))</f>
        <v/>
      </c>
      <c r="AG136" s="10">
        <f>IF($A136="","",MAX(0,IFERROR(INDEX('2_IMPORTAR_EJECUCION'!$H$9:$H$1208,MATCH($AN136,'2_IMPORTAR_EJECUCION'!$J$9:$J$1208,0)),0)-$AF136))</f>
        <v/>
      </c>
      <c r="AH136" s="10">
        <f>IF($A136="","",$AF136+$AG136)</f>
        <v/>
      </c>
      <c r="AI136" s="6" t="inlineStr"/>
      <c r="AJ136" s="6" t="inlineStr"/>
      <c r="AK136" s="6" t="inlineStr"/>
      <c r="AL136" s="3">
        <f>IF($AK136="","",HYPERLINK(p_ruta_base_checklists&amp;$AK136,"abrir"))</f>
        <v/>
      </c>
      <c r="AM136" s="6" t="inlineStr"/>
      <c r="AN136" s="3">
        <f>IF($A136="","",$A136&amp;IF($B136="","0010",$B136))</f>
        <v/>
      </c>
    </row>
    <row r="137">
      <c r="A137" s="3" t="inlineStr">
        <is>
          <t>OT-000134</t>
        </is>
      </c>
      <c r="B137" s="3" t="inlineStr">
        <is>
          <t>0010</t>
        </is>
      </c>
      <c r="C137" s="3" t="inlineStr">
        <is>
          <t>Reparación de falla — EQ-105</t>
        </is>
      </c>
      <c r="D137" s="3" t="inlineStr">
        <is>
          <t>Reparación de falla en EQ-105</t>
        </is>
      </c>
      <c r="E137" s="3" t="inlineStr">
        <is>
          <t>EQ-105</t>
        </is>
      </c>
      <c r="F137" s="3" t="inlineStr">
        <is>
          <t>CC-110</t>
        </is>
      </c>
      <c r="G137" s="3" t="inlineStr">
        <is>
          <t>PU-MEC</t>
        </is>
      </c>
      <c r="H137" s="3" t="inlineStr">
        <is>
          <t>ACT-03</t>
        </is>
      </c>
      <c r="I137" s="3" t="inlineStr">
        <is>
          <t>TIPO-C1</t>
        </is>
      </c>
      <c r="J137" s="11" t="n">
        <v>46179</v>
      </c>
      <c r="K137" s="3" t="n">
        <v>4</v>
      </c>
      <c r="L137" s="10" t="n">
        <v>160</v>
      </c>
      <c r="M137" s="3">
        <f>IF($A137="","",IFERROR(INDEX('AJUSTES'!$B$4:$B$303,MATCH($AN137,'AJUSTES'!$A$4:$A$303,0)),IF($K137="","",$K137)))</f>
        <v/>
      </c>
      <c r="N137" s="3">
        <f>IF($A137="","",IFERROR(INDEX('CAT_ESTADOS_ERP'!$B$4:$B$7,MATCH(IFERROR(INDEX('2_IMPORTAR_EJECUCION'!$C$9:$C$1208,MATCH($AN137,'2_IMPORTAR_EJECUCION'!$J$9:$J$1208,0)),""),'CAT_ESTADOS_ERP'!$A$4:$A$7,0)),"Pendiente"))</f>
        <v/>
      </c>
      <c r="O137" s="3">
        <f>IF($J137="","",YEAR($J137+4-WEEKDAY($J137,2))&amp;"-S"&amp;TEXT(_xlfn.ISOWEEKNUM($J137),"00"))</f>
        <v/>
      </c>
      <c r="P137" s="3">
        <f>IF($J137="","",YEAR($J137))</f>
        <v/>
      </c>
      <c r="Q137" s="3">
        <f>IF($J137="","",MONTH($J137))</f>
        <v/>
      </c>
      <c r="R137" s="3">
        <f>IF($J137="","",INDEX(lista_dias,WEEKDAY($J137,2)))</f>
        <v/>
      </c>
      <c r="S137" s="3">
        <f>IF($I137="","",IFERROR(INDEX('CAT_TIPOS_OT'!$C$4:$C$7,MATCH($I137,'CAT_TIPOS_OT'!$A$4:$A$7,0)),"sin_clasificar"))</f>
        <v/>
      </c>
      <c r="T137" s="3">
        <f>IF($F137="","",IFERROR(INDEX('CAT_CENTROS_COSTO'!$E$4:$E$9,MATCH($F137,'CAT_CENTROS_COSTO'!$A$4:$A$9,0)),"(sin catálogo)"))</f>
        <v/>
      </c>
      <c r="U137" s="3">
        <f>IF($F137="","",IFERROR(INDEX('CAT_CENTROS_COSTO'!$D$4:$D$9,MATCH($F137,'CAT_CENTROS_COSTO'!$A$4:$A$9,0)),"(sin catálogo)"))</f>
        <v/>
      </c>
      <c r="V137" s="3">
        <f>IF($F137="","",IFERROR(INDEX('CAT_CENTROS_COSTO'!$F$4:$F$9,MATCH($F137,'CAT_CENTROS_COSTO'!$A$4:$A$9,0)),"(sin catálogo)"))</f>
        <v/>
      </c>
      <c r="W137" s="3">
        <f>IF($G137="","",IFERROR(INDEX('CAT_PUESTOS'!$B$4:$B$8,MATCH($G137,'CAT_PUESTOS'!$A$4:$A$8,0)),"(sin catálogo)"))</f>
        <v/>
      </c>
      <c r="X137" s="3">
        <f>IF($H137="","",IFERROR(INDEX('CAT_ACTIVIDADES'!$B$4:$B$8,MATCH($H137,'CAT_ACTIVIDADES'!$A$4:$A$8,0)),"(sin catálogo)"))</f>
        <v/>
      </c>
      <c r="Y137" s="12">
        <f>IF($J137="","",TODAY()-$J137)</f>
        <v/>
      </c>
      <c r="Z137" s="3">
        <f>IF($Y137="","",IF($Y137&lt;0,"FUTURO",IF($Y137&gt;p_dias_backlog_max,"BACKLOG","MES CORRIENTE")))</f>
        <v/>
      </c>
      <c r="AA137" s="3">
        <f>IF($Y137="",FALSE,AND($Y137&gt;p_dias_backlog_min,$Y137&lt;=p_dias_backlog_max))</f>
        <v/>
      </c>
      <c r="AB137" s="6" t="inlineStr"/>
      <c r="AC137" s="3">
        <f>IF($AB137="","",IFERROR(INDEX('ASIGNACIONES'!$F$4:$F$339,MATCH($O137&amp;"|"&amp;$R137&amp;"|"&amp;$AB137,'ASIGNACIONES'!$I$4:$I$339,0)),""))</f>
        <v/>
      </c>
      <c r="AD137" s="13">
        <f>IF($AB137="","",SUMIFS('ORDENES'!$M$4:$M$1203,'ORDENES'!$AB$4:$AB$1203,$AB137,'ORDENES'!$O$4:$O$1203,$O137,'ORDENES'!$R$4:$R$1203,$R137))</f>
        <v/>
      </c>
      <c r="AE137" s="13">
        <f>IF($AD137="","",p_factor_productividad*IFERROR(INDEX('ASIGNACIONES'!$H$4:$H$339,MATCH($O137&amp;"|"&amp;$R137&amp;"|"&amp;$AB137,'ASIGNACIONES'!$I$4:$I$339,0)),0)-$AD137)</f>
        <v/>
      </c>
      <c r="AF137" s="10">
        <f>IF($A137="","",IFERROR(INDEX('2_IMPORTAR_EJECUCION'!$F$9:$F$1208,MATCH($AN137,'2_IMPORTAR_EJECUCION'!$J$9:$J$1208,0)),0))</f>
        <v/>
      </c>
      <c r="AG137" s="10">
        <f>IF($A137="","",MAX(0,IFERROR(INDEX('2_IMPORTAR_EJECUCION'!$H$9:$H$1208,MATCH($AN137,'2_IMPORTAR_EJECUCION'!$J$9:$J$1208,0)),0)-$AF137))</f>
        <v/>
      </c>
      <c r="AH137" s="10">
        <f>IF($A137="","",$AF137+$AG137)</f>
        <v/>
      </c>
      <c r="AI137" s="6" t="inlineStr"/>
      <c r="AJ137" s="6" t="inlineStr"/>
      <c r="AK137" s="6" t="inlineStr"/>
      <c r="AL137" s="3">
        <f>IF($AK137="","",HYPERLINK(p_ruta_base_checklists&amp;$AK137,"abrir"))</f>
        <v/>
      </c>
      <c r="AM137" s="6" t="inlineStr"/>
      <c r="AN137" s="3">
        <f>IF($A137="","",$A137&amp;IF($B137="","0010",$B137))</f>
        <v/>
      </c>
    </row>
    <row r="138">
      <c r="A138" s="3" t="inlineStr">
        <is>
          <t>OT-000135</t>
        </is>
      </c>
      <c r="B138" s="3" t="inlineStr">
        <is>
          <t>0010</t>
        </is>
      </c>
      <c r="C138" s="3" t="inlineStr">
        <is>
          <t>Reparación de falla — EQ-101</t>
        </is>
      </c>
      <c r="D138" s="3" t="inlineStr">
        <is>
          <t>Reparación de falla en EQ-101</t>
        </is>
      </c>
      <c r="E138" s="3" t="inlineStr">
        <is>
          <t>EQ-101</t>
        </is>
      </c>
      <c r="F138" s="3" t="inlineStr">
        <is>
          <t>CC-120</t>
        </is>
      </c>
      <c r="G138" s="3" t="inlineStr">
        <is>
          <t>PU-ELE</t>
        </is>
      </c>
      <c r="H138" s="3" t="inlineStr">
        <is>
          <t>ACT-03</t>
        </is>
      </c>
      <c r="I138" s="3" t="inlineStr">
        <is>
          <t>TIPO-C2</t>
        </is>
      </c>
      <c r="J138" s="11" t="n">
        <v>46179</v>
      </c>
      <c r="K138" s="3" t="n">
        <v>6</v>
      </c>
      <c r="L138" s="10" t="n">
        <v>240</v>
      </c>
      <c r="M138" s="3">
        <f>IF($A138="","",IFERROR(INDEX('AJUSTES'!$B$4:$B$303,MATCH($AN138,'AJUSTES'!$A$4:$A$303,0)),IF($K138="","",$K138)))</f>
        <v/>
      </c>
      <c r="N138" s="3">
        <f>IF($A138="","",IFERROR(INDEX('CAT_ESTADOS_ERP'!$B$4:$B$7,MATCH(IFERROR(INDEX('2_IMPORTAR_EJECUCION'!$C$9:$C$1208,MATCH($AN138,'2_IMPORTAR_EJECUCION'!$J$9:$J$1208,0)),""),'CAT_ESTADOS_ERP'!$A$4:$A$7,0)),"Pendiente"))</f>
        <v/>
      </c>
      <c r="O138" s="3">
        <f>IF($J138="","",YEAR($J138+4-WEEKDAY($J138,2))&amp;"-S"&amp;TEXT(_xlfn.ISOWEEKNUM($J138),"00"))</f>
        <v/>
      </c>
      <c r="P138" s="3">
        <f>IF($J138="","",YEAR($J138))</f>
        <v/>
      </c>
      <c r="Q138" s="3">
        <f>IF($J138="","",MONTH($J138))</f>
        <v/>
      </c>
      <c r="R138" s="3">
        <f>IF($J138="","",INDEX(lista_dias,WEEKDAY($J138,2)))</f>
        <v/>
      </c>
      <c r="S138" s="3">
        <f>IF($I138="","",IFERROR(INDEX('CAT_TIPOS_OT'!$C$4:$C$7,MATCH($I138,'CAT_TIPOS_OT'!$A$4:$A$7,0)),"sin_clasificar"))</f>
        <v/>
      </c>
      <c r="T138" s="3">
        <f>IF($F138="","",IFERROR(INDEX('CAT_CENTROS_COSTO'!$E$4:$E$9,MATCH($F138,'CAT_CENTROS_COSTO'!$A$4:$A$9,0)),"(sin catálogo)"))</f>
        <v/>
      </c>
      <c r="U138" s="3">
        <f>IF($F138="","",IFERROR(INDEX('CAT_CENTROS_COSTO'!$D$4:$D$9,MATCH($F138,'CAT_CENTROS_COSTO'!$A$4:$A$9,0)),"(sin catálogo)"))</f>
        <v/>
      </c>
      <c r="V138" s="3">
        <f>IF($F138="","",IFERROR(INDEX('CAT_CENTROS_COSTO'!$F$4:$F$9,MATCH($F138,'CAT_CENTROS_COSTO'!$A$4:$A$9,0)),"(sin catálogo)"))</f>
        <v/>
      </c>
      <c r="W138" s="3">
        <f>IF($G138="","",IFERROR(INDEX('CAT_PUESTOS'!$B$4:$B$8,MATCH($G138,'CAT_PUESTOS'!$A$4:$A$8,0)),"(sin catálogo)"))</f>
        <v/>
      </c>
      <c r="X138" s="3">
        <f>IF($H138="","",IFERROR(INDEX('CAT_ACTIVIDADES'!$B$4:$B$8,MATCH($H138,'CAT_ACTIVIDADES'!$A$4:$A$8,0)),"(sin catálogo)"))</f>
        <v/>
      </c>
      <c r="Y138" s="12">
        <f>IF($J138="","",TODAY()-$J138)</f>
        <v/>
      </c>
      <c r="Z138" s="3">
        <f>IF($Y138="","",IF($Y138&lt;0,"FUTURO",IF($Y138&gt;p_dias_backlog_max,"BACKLOG","MES CORRIENTE")))</f>
        <v/>
      </c>
      <c r="AA138" s="3">
        <f>IF($Y138="",FALSE,AND($Y138&gt;p_dias_backlog_min,$Y138&lt;=p_dias_backlog_max))</f>
        <v/>
      </c>
      <c r="AB138" s="6" t="inlineStr"/>
      <c r="AC138" s="3">
        <f>IF($AB138="","",IFERROR(INDEX('ASIGNACIONES'!$F$4:$F$339,MATCH($O138&amp;"|"&amp;$R138&amp;"|"&amp;$AB138,'ASIGNACIONES'!$I$4:$I$339,0)),""))</f>
        <v/>
      </c>
      <c r="AD138" s="13">
        <f>IF($AB138="","",SUMIFS('ORDENES'!$M$4:$M$1203,'ORDENES'!$AB$4:$AB$1203,$AB138,'ORDENES'!$O$4:$O$1203,$O138,'ORDENES'!$R$4:$R$1203,$R138))</f>
        <v/>
      </c>
      <c r="AE138" s="13">
        <f>IF($AD138="","",p_factor_productividad*IFERROR(INDEX('ASIGNACIONES'!$H$4:$H$339,MATCH($O138&amp;"|"&amp;$R138&amp;"|"&amp;$AB138,'ASIGNACIONES'!$I$4:$I$339,0)),0)-$AD138)</f>
        <v/>
      </c>
      <c r="AF138" s="10">
        <f>IF($A138="","",IFERROR(INDEX('2_IMPORTAR_EJECUCION'!$F$9:$F$1208,MATCH($AN138,'2_IMPORTAR_EJECUCION'!$J$9:$J$1208,0)),0))</f>
        <v/>
      </c>
      <c r="AG138" s="10">
        <f>IF($A138="","",MAX(0,IFERROR(INDEX('2_IMPORTAR_EJECUCION'!$H$9:$H$1208,MATCH($AN138,'2_IMPORTAR_EJECUCION'!$J$9:$J$1208,0)),0)-$AF138))</f>
        <v/>
      </c>
      <c r="AH138" s="10">
        <f>IF($A138="","",$AF138+$AG138)</f>
        <v/>
      </c>
      <c r="AI138" s="6" t="inlineStr"/>
      <c r="AJ138" s="6" t="inlineStr"/>
      <c r="AK138" s="6" t="inlineStr"/>
      <c r="AL138" s="3">
        <f>IF($AK138="","",HYPERLINK(p_ruta_base_checklists&amp;$AK138,"abrir"))</f>
        <v/>
      </c>
      <c r="AM138" s="6" t="inlineStr"/>
      <c r="AN138" s="3">
        <f>IF($A138="","",$A138&amp;IF($B138="","0010",$B138))</f>
        <v/>
      </c>
    </row>
    <row r="139">
      <c r="A139" s="3" t="inlineStr">
        <is>
          <t>OT-000136</t>
        </is>
      </c>
      <c r="B139" s="3" t="inlineStr">
        <is>
          <t>0010</t>
        </is>
      </c>
      <c r="C139" s="3" t="inlineStr">
        <is>
          <t>Reparación de falla — EQ-106</t>
        </is>
      </c>
      <c r="D139" s="3" t="inlineStr">
        <is>
          <t>Reparación de falla en EQ-106</t>
        </is>
      </c>
      <c r="E139" s="3" t="inlineStr">
        <is>
          <t>EQ-106</t>
        </is>
      </c>
      <c r="F139" s="3" t="inlineStr">
        <is>
          <t>CC-210</t>
        </is>
      </c>
      <c r="G139" s="3" t="inlineStr">
        <is>
          <t>PU-AUT</t>
        </is>
      </c>
      <c r="H139" s="3" t="inlineStr">
        <is>
          <t>ACT-03</t>
        </is>
      </c>
      <c r="I139" s="3" t="inlineStr">
        <is>
          <t>TIPO-C1</t>
        </is>
      </c>
      <c r="J139" s="11" t="n">
        <v>46179</v>
      </c>
      <c r="K139" s="3" t="n">
        <v>8</v>
      </c>
      <c r="L139" s="10" t="n">
        <v>320</v>
      </c>
      <c r="M139" s="3">
        <f>IF($A139="","",IFERROR(INDEX('AJUSTES'!$B$4:$B$303,MATCH($AN139,'AJUSTES'!$A$4:$A$303,0)),IF($K139="","",$K139)))</f>
        <v/>
      </c>
      <c r="N139" s="3">
        <f>IF($A139="","",IFERROR(INDEX('CAT_ESTADOS_ERP'!$B$4:$B$7,MATCH(IFERROR(INDEX('2_IMPORTAR_EJECUCION'!$C$9:$C$1208,MATCH($AN139,'2_IMPORTAR_EJECUCION'!$J$9:$J$1208,0)),""),'CAT_ESTADOS_ERP'!$A$4:$A$7,0)),"Pendiente"))</f>
        <v/>
      </c>
      <c r="O139" s="3">
        <f>IF($J139="","",YEAR($J139+4-WEEKDAY($J139,2))&amp;"-S"&amp;TEXT(_xlfn.ISOWEEKNUM($J139),"00"))</f>
        <v/>
      </c>
      <c r="P139" s="3">
        <f>IF($J139="","",YEAR($J139))</f>
        <v/>
      </c>
      <c r="Q139" s="3">
        <f>IF($J139="","",MONTH($J139))</f>
        <v/>
      </c>
      <c r="R139" s="3">
        <f>IF($J139="","",INDEX(lista_dias,WEEKDAY($J139,2)))</f>
        <v/>
      </c>
      <c r="S139" s="3">
        <f>IF($I139="","",IFERROR(INDEX('CAT_TIPOS_OT'!$C$4:$C$7,MATCH($I139,'CAT_TIPOS_OT'!$A$4:$A$7,0)),"sin_clasificar"))</f>
        <v/>
      </c>
      <c r="T139" s="3">
        <f>IF($F139="","",IFERROR(INDEX('CAT_CENTROS_COSTO'!$E$4:$E$9,MATCH($F139,'CAT_CENTROS_COSTO'!$A$4:$A$9,0)),"(sin catálogo)"))</f>
        <v/>
      </c>
      <c r="U139" s="3">
        <f>IF($F139="","",IFERROR(INDEX('CAT_CENTROS_COSTO'!$D$4:$D$9,MATCH($F139,'CAT_CENTROS_COSTO'!$A$4:$A$9,0)),"(sin catálogo)"))</f>
        <v/>
      </c>
      <c r="V139" s="3">
        <f>IF($F139="","",IFERROR(INDEX('CAT_CENTROS_COSTO'!$F$4:$F$9,MATCH($F139,'CAT_CENTROS_COSTO'!$A$4:$A$9,0)),"(sin catálogo)"))</f>
        <v/>
      </c>
      <c r="W139" s="3">
        <f>IF($G139="","",IFERROR(INDEX('CAT_PUESTOS'!$B$4:$B$8,MATCH($G139,'CAT_PUESTOS'!$A$4:$A$8,0)),"(sin catálogo)"))</f>
        <v/>
      </c>
      <c r="X139" s="3">
        <f>IF($H139="","",IFERROR(INDEX('CAT_ACTIVIDADES'!$B$4:$B$8,MATCH($H139,'CAT_ACTIVIDADES'!$A$4:$A$8,0)),"(sin catálogo)"))</f>
        <v/>
      </c>
      <c r="Y139" s="12">
        <f>IF($J139="","",TODAY()-$J139)</f>
        <v/>
      </c>
      <c r="Z139" s="3">
        <f>IF($Y139="","",IF($Y139&lt;0,"FUTURO",IF($Y139&gt;p_dias_backlog_max,"BACKLOG","MES CORRIENTE")))</f>
        <v/>
      </c>
      <c r="AA139" s="3">
        <f>IF($Y139="",FALSE,AND($Y139&gt;p_dias_backlog_min,$Y139&lt;=p_dias_backlog_max))</f>
        <v/>
      </c>
      <c r="AB139" s="6" t="inlineStr"/>
      <c r="AC139" s="3">
        <f>IF($AB139="","",IFERROR(INDEX('ASIGNACIONES'!$F$4:$F$339,MATCH($O139&amp;"|"&amp;$R139&amp;"|"&amp;$AB139,'ASIGNACIONES'!$I$4:$I$339,0)),""))</f>
        <v/>
      </c>
      <c r="AD139" s="13">
        <f>IF($AB139="","",SUMIFS('ORDENES'!$M$4:$M$1203,'ORDENES'!$AB$4:$AB$1203,$AB139,'ORDENES'!$O$4:$O$1203,$O139,'ORDENES'!$R$4:$R$1203,$R139))</f>
        <v/>
      </c>
      <c r="AE139" s="13">
        <f>IF($AD139="","",p_factor_productividad*IFERROR(INDEX('ASIGNACIONES'!$H$4:$H$339,MATCH($O139&amp;"|"&amp;$R139&amp;"|"&amp;$AB139,'ASIGNACIONES'!$I$4:$I$339,0)),0)-$AD139)</f>
        <v/>
      </c>
      <c r="AF139" s="10">
        <f>IF($A139="","",IFERROR(INDEX('2_IMPORTAR_EJECUCION'!$F$9:$F$1208,MATCH($AN139,'2_IMPORTAR_EJECUCION'!$J$9:$J$1208,0)),0))</f>
        <v/>
      </c>
      <c r="AG139" s="10">
        <f>IF($A139="","",MAX(0,IFERROR(INDEX('2_IMPORTAR_EJECUCION'!$H$9:$H$1208,MATCH($AN139,'2_IMPORTAR_EJECUCION'!$J$9:$J$1208,0)),0)-$AF139))</f>
        <v/>
      </c>
      <c r="AH139" s="10">
        <f>IF($A139="","",$AF139+$AG139)</f>
        <v/>
      </c>
      <c r="AI139" s="6" t="inlineStr"/>
      <c r="AJ139" s="6" t="inlineStr"/>
      <c r="AK139" s="6" t="inlineStr"/>
      <c r="AL139" s="3">
        <f>IF($AK139="","",HYPERLINK(p_ruta_base_checklists&amp;$AK139,"abrir"))</f>
        <v/>
      </c>
      <c r="AM139" s="6" t="inlineStr"/>
      <c r="AN139" s="3">
        <f>IF($A139="","",$A139&amp;IF($B139="","0010",$B139))</f>
        <v/>
      </c>
    </row>
    <row r="140">
      <c r="A140" s="3" t="inlineStr">
        <is>
          <t>OT-000137</t>
        </is>
      </c>
      <c r="B140" s="3" t="inlineStr">
        <is>
          <t>0010</t>
        </is>
      </c>
      <c r="C140" s="3" t="inlineStr">
        <is>
          <t>Análisis predictivo — EQ-107</t>
        </is>
      </c>
      <c r="D140" s="3" t="inlineStr">
        <is>
          <t>Análisis predictivo en EQ-107</t>
        </is>
      </c>
      <c r="E140" s="3" t="inlineStr">
        <is>
          <t>EQ-107</t>
        </is>
      </c>
      <c r="F140" s="3" t="inlineStr">
        <is>
          <t>CC-220</t>
        </is>
      </c>
      <c r="G140" s="3" t="inlineStr">
        <is>
          <t>PU-OP</t>
        </is>
      </c>
      <c r="H140" s="3" t="inlineStr">
        <is>
          <t>ACT-04</t>
        </is>
      </c>
      <c r="I140" s="3" t="inlineStr">
        <is>
          <t>TIPO-P2</t>
        </is>
      </c>
      <c r="J140" s="11" t="n">
        <v>46179</v>
      </c>
      <c r="K140" s="3" t="n">
        <v>4</v>
      </c>
      <c r="L140" s="10" t="n">
        <v>100</v>
      </c>
      <c r="M140" s="3">
        <f>IF($A140="","",IFERROR(INDEX('AJUSTES'!$B$4:$B$303,MATCH($AN140,'AJUSTES'!$A$4:$A$303,0)),IF($K140="","",$K140)))</f>
        <v/>
      </c>
      <c r="N140" s="3">
        <f>IF($A140="","",IFERROR(INDEX('CAT_ESTADOS_ERP'!$B$4:$B$7,MATCH(IFERROR(INDEX('2_IMPORTAR_EJECUCION'!$C$9:$C$1208,MATCH($AN140,'2_IMPORTAR_EJECUCION'!$J$9:$J$1208,0)),""),'CAT_ESTADOS_ERP'!$A$4:$A$7,0)),"Pendiente"))</f>
        <v/>
      </c>
      <c r="O140" s="3">
        <f>IF($J140="","",YEAR($J140+4-WEEKDAY($J140,2))&amp;"-S"&amp;TEXT(_xlfn.ISOWEEKNUM($J140),"00"))</f>
        <v/>
      </c>
      <c r="P140" s="3">
        <f>IF($J140="","",YEAR($J140))</f>
        <v/>
      </c>
      <c r="Q140" s="3">
        <f>IF($J140="","",MONTH($J140))</f>
        <v/>
      </c>
      <c r="R140" s="3">
        <f>IF($J140="","",INDEX(lista_dias,WEEKDAY($J140,2)))</f>
        <v/>
      </c>
      <c r="S140" s="3">
        <f>IF($I140="","",IFERROR(INDEX('CAT_TIPOS_OT'!$C$4:$C$7,MATCH($I140,'CAT_TIPOS_OT'!$A$4:$A$7,0)),"sin_clasificar"))</f>
        <v/>
      </c>
      <c r="T140" s="3">
        <f>IF($F140="","",IFERROR(INDEX('CAT_CENTROS_COSTO'!$E$4:$E$9,MATCH($F140,'CAT_CENTROS_COSTO'!$A$4:$A$9,0)),"(sin catálogo)"))</f>
        <v/>
      </c>
      <c r="U140" s="3">
        <f>IF($F140="","",IFERROR(INDEX('CAT_CENTROS_COSTO'!$D$4:$D$9,MATCH($F140,'CAT_CENTROS_COSTO'!$A$4:$A$9,0)),"(sin catálogo)"))</f>
        <v/>
      </c>
      <c r="V140" s="3">
        <f>IF($F140="","",IFERROR(INDEX('CAT_CENTROS_COSTO'!$F$4:$F$9,MATCH($F140,'CAT_CENTROS_COSTO'!$A$4:$A$9,0)),"(sin catálogo)"))</f>
        <v/>
      </c>
      <c r="W140" s="3">
        <f>IF($G140="","",IFERROR(INDEX('CAT_PUESTOS'!$B$4:$B$8,MATCH($G140,'CAT_PUESTOS'!$A$4:$A$8,0)),"(sin catálogo)"))</f>
        <v/>
      </c>
      <c r="X140" s="3">
        <f>IF($H140="","",IFERROR(INDEX('CAT_ACTIVIDADES'!$B$4:$B$8,MATCH($H140,'CAT_ACTIVIDADES'!$A$4:$A$8,0)),"(sin catálogo)"))</f>
        <v/>
      </c>
      <c r="Y140" s="12">
        <f>IF($J140="","",TODAY()-$J140)</f>
        <v/>
      </c>
      <c r="Z140" s="3">
        <f>IF($Y140="","",IF($Y140&lt;0,"FUTURO",IF($Y140&gt;p_dias_backlog_max,"BACKLOG","MES CORRIENTE")))</f>
        <v/>
      </c>
      <c r="AA140" s="3">
        <f>IF($Y140="",FALSE,AND($Y140&gt;p_dias_backlog_min,$Y140&lt;=p_dias_backlog_max))</f>
        <v/>
      </c>
      <c r="AB140" s="6" t="inlineStr"/>
      <c r="AC140" s="3">
        <f>IF($AB140="","",IFERROR(INDEX('ASIGNACIONES'!$F$4:$F$339,MATCH($O140&amp;"|"&amp;$R140&amp;"|"&amp;$AB140,'ASIGNACIONES'!$I$4:$I$339,0)),""))</f>
        <v/>
      </c>
      <c r="AD140" s="13">
        <f>IF($AB140="","",SUMIFS('ORDENES'!$M$4:$M$1203,'ORDENES'!$AB$4:$AB$1203,$AB140,'ORDENES'!$O$4:$O$1203,$O140,'ORDENES'!$R$4:$R$1203,$R140))</f>
        <v/>
      </c>
      <c r="AE140" s="13">
        <f>IF($AD140="","",p_factor_productividad*IFERROR(INDEX('ASIGNACIONES'!$H$4:$H$339,MATCH($O140&amp;"|"&amp;$R140&amp;"|"&amp;$AB140,'ASIGNACIONES'!$I$4:$I$339,0)),0)-$AD140)</f>
        <v/>
      </c>
      <c r="AF140" s="10">
        <f>IF($A140="","",IFERROR(INDEX('2_IMPORTAR_EJECUCION'!$F$9:$F$1208,MATCH($AN140,'2_IMPORTAR_EJECUCION'!$J$9:$J$1208,0)),0))</f>
        <v/>
      </c>
      <c r="AG140" s="10">
        <f>IF($A140="","",MAX(0,IFERROR(INDEX('2_IMPORTAR_EJECUCION'!$H$9:$H$1208,MATCH($AN140,'2_IMPORTAR_EJECUCION'!$J$9:$J$1208,0)),0)-$AF140))</f>
        <v/>
      </c>
      <c r="AH140" s="10">
        <f>IF($A140="","",$AF140+$AG140)</f>
        <v/>
      </c>
      <c r="AI140" s="6" t="inlineStr"/>
      <c r="AJ140" s="6" t="inlineStr"/>
      <c r="AK140" s="6" t="inlineStr"/>
      <c r="AL140" s="3">
        <f>IF($AK140="","",HYPERLINK(p_ruta_base_checklists&amp;$AK140,"abrir"))</f>
        <v/>
      </c>
      <c r="AM140" s="6" t="inlineStr"/>
      <c r="AN140" s="3">
        <f>IF($A140="","",$A140&amp;IF($B140="","0010",$B140))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EQ-110</t>
        </is>
      </c>
      <c r="D141" s="3" t="inlineStr">
        <is>
          <t>Reparación de falla en EQ-110</t>
        </is>
      </c>
      <c r="E141" s="3" t="inlineStr">
        <is>
          <t>EQ-110</t>
        </is>
      </c>
      <c r="F141" s="3" t="inlineStr">
        <is>
          <t>CC-310</t>
        </is>
      </c>
      <c r="G141" s="3" t="inlineStr">
        <is>
          <t>PU-MEC</t>
        </is>
      </c>
      <c r="H141" s="3" t="inlineStr">
        <is>
          <t>ACT-03</t>
        </is>
      </c>
      <c r="I141" s="3" t="inlineStr">
        <is>
          <t>TIPO-C1</t>
        </is>
      </c>
      <c r="J141" s="11" t="n">
        <v>46179</v>
      </c>
      <c r="K141" s="3" t="n">
        <v>6</v>
      </c>
      <c r="L141" s="10" t="n">
        <v>240</v>
      </c>
      <c r="M141" s="3">
        <f>IF($A141="","",IFERROR(INDEX('AJUSTES'!$B$4:$B$303,MATCH($AN141,'AJUSTES'!$A$4:$A$303,0)),IF($K141="","",$K141)))</f>
        <v/>
      </c>
      <c r="N141" s="3">
        <f>IF($A141="","",IFERROR(INDEX('CAT_ESTADOS_ERP'!$B$4:$B$7,MATCH(IFERROR(INDEX('2_IMPORTAR_EJECUCION'!$C$9:$C$1208,MATCH($AN141,'2_IMPORTAR_EJECUCION'!$J$9:$J$1208,0)),""),'CAT_ESTADOS_ERP'!$A$4:$A$7,0)),"Pendiente"))</f>
        <v/>
      </c>
      <c r="O141" s="3">
        <f>IF($J141="","",YEAR($J141+4-WEEKDAY($J141,2))&amp;"-S"&amp;TEXT(_xlfn.ISOWEEKNUM($J141),"00"))</f>
        <v/>
      </c>
      <c r="P141" s="3">
        <f>IF($J141="","",YEAR($J141))</f>
        <v/>
      </c>
      <c r="Q141" s="3">
        <f>IF($J141="","",MONTH($J141))</f>
        <v/>
      </c>
      <c r="R141" s="3">
        <f>IF($J141="","",INDEX(lista_dias,WEEKDAY($J141,2)))</f>
        <v/>
      </c>
      <c r="S141" s="3">
        <f>IF($I141="","",IFERROR(INDEX('CAT_TIPOS_OT'!$C$4:$C$7,MATCH($I141,'CAT_TIPOS_OT'!$A$4:$A$7,0)),"sin_clasificar"))</f>
        <v/>
      </c>
      <c r="T141" s="3">
        <f>IF($F141="","",IFERROR(INDEX('CAT_CENTROS_COSTO'!$E$4:$E$9,MATCH($F141,'CAT_CENTROS_COSTO'!$A$4:$A$9,0)),"(sin catálogo)"))</f>
        <v/>
      </c>
      <c r="U141" s="3">
        <f>IF($F141="","",IFERROR(INDEX('CAT_CENTROS_COSTO'!$D$4:$D$9,MATCH($F141,'CAT_CENTROS_COSTO'!$A$4:$A$9,0)),"(sin catálogo)"))</f>
        <v/>
      </c>
      <c r="V141" s="3">
        <f>IF($F141="","",IFERROR(INDEX('CAT_CENTROS_COSTO'!$F$4:$F$9,MATCH($F141,'CAT_CENTROS_COSTO'!$A$4:$A$9,0)),"(sin catálogo)"))</f>
        <v/>
      </c>
      <c r="W141" s="3">
        <f>IF($G141="","",IFERROR(INDEX('CAT_PUESTOS'!$B$4:$B$8,MATCH($G141,'CAT_PUESTOS'!$A$4:$A$8,0)),"(sin catálogo)"))</f>
        <v/>
      </c>
      <c r="X141" s="3">
        <f>IF($H141="","",IFERROR(INDEX('CAT_ACTIVIDADES'!$B$4:$B$8,MATCH($H141,'CAT_ACTIVIDADES'!$A$4:$A$8,0)),"(sin catálogo)"))</f>
        <v/>
      </c>
      <c r="Y141" s="12">
        <f>IF($J141="","",TODAY()-$J141)</f>
        <v/>
      </c>
      <c r="Z141" s="3">
        <f>IF($Y141="","",IF($Y141&lt;0,"FUTURO",IF($Y141&gt;p_dias_backlog_max,"BACKLOG","MES CORRIENTE")))</f>
        <v/>
      </c>
      <c r="AA141" s="3">
        <f>IF($Y141="",FALSE,AND($Y141&gt;p_dias_backlog_min,$Y141&lt;=p_dias_backlog_max))</f>
        <v/>
      </c>
      <c r="AB141" s="6" t="inlineStr"/>
      <c r="AC141" s="3">
        <f>IF($AB141="","",IFERROR(INDEX('ASIGNACIONES'!$F$4:$F$339,MATCH($O141&amp;"|"&amp;$R141&amp;"|"&amp;$AB141,'ASIGNACIONES'!$I$4:$I$339,0)),""))</f>
        <v/>
      </c>
      <c r="AD141" s="13">
        <f>IF($AB141="","",SUMIFS('ORDENES'!$M$4:$M$1203,'ORDENES'!$AB$4:$AB$1203,$AB141,'ORDENES'!$O$4:$O$1203,$O141,'ORDENES'!$R$4:$R$1203,$R141))</f>
        <v/>
      </c>
      <c r="AE141" s="13">
        <f>IF($AD141="","",p_factor_productividad*IFERROR(INDEX('ASIGNACIONES'!$H$4:$H$339,MATCH($O141&amp;"|"&amp;$R141&amp;"|"&amp;$AB141,'ASIGNACIONES'!$I$4:$I$339,0)),0)-$AD141)</f>
        <v/>
      </c>
      <c r="AF141" s="10">
        <f>IF($A141="","",IFERROR(INDEX('2_IMPORTAR_EJECUCION'!$F$9:$F$1208,MATCH($AN141,'2_IMPORTAR_EJECUCION'!$J$9:$J$1208,0)),0))</f>
        <v/>
      </c>
      <c r="AG141" s="10">
        <f>IF($A141="","",MAX(0,IFERROR(INDEX('2_IMPORTAR_EJECUCION'!$H$9:$H$1208,MATCH($AN141,'2_IMPORTAR_EJECUCION'!$J$9:$J$1208,0)),0)-$AF141))</f>
        <v/>
      </c>
      <c r="AH141" s="10">
        <f>IF($A141="","",$AF141+$AG141)</f>
        <v/>
      </c>
      <c r="AI141" s="6" t="inlineStr"/>
      <c r="AJ141" s="6" t="inlineStr"/>
      <c r="AK141" s="6" t="inlineStr"/>
      <c r="AL141" s="3">
        <f>IF($AK141="","",HYPERLINK(p_ruta_base_checklists&amp;$AK141,"abrir"))</f>
        <v/>
      </c>
      <c r="AM141" s="6" t="inlineStr"/>
      <c r="AN141" s="3">
        <f>IF($A141="","",$A141&amp;IF($B141="","0010",$B141))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EQ-111</t>
        </is>
      </c>
      <c r="D142" s="3" t="inlineStr">
        <is>
          <t>Reparación de falla en EQ-111</t>
        </is>
      </c>
      <c r="E142" s="3" t="inlineStr">
        <is>
          <t>EQ-111</t>
        </is>
      </c>
      <c r="F142" s="3" t="inlineStr">
        <is>
          <t>CC-320</t>
        </is>
      </c>
      <c r="G142" s="3" t="inlineStr">
        <is>
          <t>PU-ELE</t>
        </is>
      </c>
      <c r="H142" s="3" t="inlineStr">
        <is>
          <t>ACT-03</t>
        </is>
      </c>
      <c r="I142" s="3" t="inlineStr">
        <is>
          <t>TIPO-C2</t>
        </is>
      </c>
      <c r="J142" s="11" t="n">
        <v>46179</v>
      </c>
      <c r="K142" s="3" t="n">
        <v>8</v>
      </c>
      <c r="L142" s="10" t="n">
        <v>320</v>
      </c>
      <c r="M142" s="3">
        <f>IF($A142="","",IFERROR(INDEX('AJUSTES'!$B$4:$B$303,MATCH($AN142,'AJUSTES'!$A$4:$A$303,0)),IF($K142="","",$K142)))</f>
        <v/>
      </c>
      <c r="N142" s="3">
        <f>IF($A142="","",IFERROR(INDEX('CAT_ESTADOS_ERP'!$B$4:$B$7,MATCH(IFERROR(INDEX('2_IMPORTAR_EJECUCION'!$C$9:$C$1208,MATCH($AN142,'2_IMPORTAR_EJECUCION'!$J$9:$J$1208,0)),""),'CAT_ESTADOS_ERP'!$A$4:$A$7,0)),"Pendiente"))</f>
        <v/>
      </c>
      <c r="O142" s="3">
        <f>IF($J142="","",YEAR($J142+4-WEEKDAY($J142,2))&amp;"-S"&amp;TEXT(_xlfn.ISOWEEKNUM($J142),"00"))</f>
        <v/>
      </c>
      <c r="P142" s="3">
        <f>IF($J142="","",YEAR($J142))</f>
        <v/>
      </c>
      <c r="Q142" s="3">
        <f>IF($J142="","",MONTH($J142))</f>
        <v/>
      </c>
      <c r="R142" s="3">
        <f>IF($J142="","",INDEX(lista_dias,WEEKDAY($J142,2)))</f>
        <v/>
      </c>
      <c r="S142" s="3">
        <f>IF($I142="","",IFERROR(INDEX('CAT_TIPOS_OT'!$C$4:$C$7,MATCH($I142,'CAT_TIPOS_OT'!$A$4:$A$7,0)),"sin_clasificar"))</f>
        <v/>
      </c>
      <c r="T142" s="3">
        <f>IF($F142="","",IFERROR(INDEX('CAT_CENTROS_COSTO'!$E$4:$E$9,MATCH($F142,'CAT_CENTROS_COSTO'!$A$4:$A$9,0)),"(sin catálogo)"))</f>
        <v/>
      </c>
      <c r="U142" s="3">
        <f>IF($F142="","",IFERROR(INDEX('CAT_CENTROS_COSTO'!$D$4:$D$9,MATCH($F142,'CAT_CENTROS_COSTO'!$A$4:$A$9,0)),"(sin catálogo)"))</f>
        <v/>
      </c>
      <c r="V142" s="3">
        <f>IF($F142="","",IFERROR(INDEX('CAT_CENTROS_COSTO'!$F$4:$F$9,MATCH($F142,'CAT_CENTROS_COSTO'!$A$4:$A$9,0)),"(sin catálogo)"))</f>
        <v/>
      </c>
      <c r="W142" s="3">
        <f>IF($G142="","",IFERROR(INDEX('CAT_PUESTOS'!$B$4:$B$8,MATCH($G142,'CAT_PUESTOS'!$A$4:$A$8,0)),"(sin catálogo)"))</f>
        <v/>
      </c>
      <c r="X142" s="3">
        <f>IF($H142="","",IFERROR(INDEX('CAT_ACTIVIDADES'!$B$4:$B$8,MATCH($H142,'CAT_ACTIVIDADES'!$A$4:$A$8,0)),"(sin catálogo)"))</f>
        <v/>
      </c>
      <c r="Y142" s="12">
        <f>IF($J142="","",TODAY()-$J142)</f>
        <v/>
      </c>
      <c r="Z142" s="3">
        <f>IF($Y142="","",IF($Y142&lt;0,"FUTURO",IF($Y142&gt;p_dias_backlog_max,"BACKLOG","MES CORRIENTE")))</f>
        <v/>
      </c>
      <c r="AA142" s="3">
        <f>IF($Y142="",FALSE,AND($Y142&gt;p_dias_backlog_min,$Y142&lt;=p_dias_backlog_max))</f>
        <v/>
      </c>
      <c r="AB142" s="6" t="inlineStr"/>
      <c r="AC142" s="3">
        <f>IF($AB142="","",IFERROR(INDEX('ASIGNACIONES'!$F$4:$F$339,MATCH($O142&amp;"|"&amp;$R142&amp;"|"&amp;$AB142,'ASIGNACIONES'!$I$4:$I$339,0)),""))</f>
        <v/>
      </c>
      <c r="AD142" s="13">
        <f>IF($AB142="","",SUMIFS('ORDENES'!$M$4:$M$1203,'ORDENES'!$AB$4:$AB$1203,$AB142,'ORDENES'!$O$4:$O$1203,$O142,'ORDENES'!$R$4:$R$1203,$R142))</f>
        <v/>
      </c>
      <c r="AE142" s="13">
        <f>IF($AD142="","",p_factor_productividad*IFERROR(INDEX('ASIGNACIONES'!$H$4:$H$339,MATCH($O142&amp;"|"&amp;$R142&amp;"|"&amp;$AB142,'ASIGNACIONES'!$I$4:$I$339,0)),0)-$AD142)</f>
        <v/>
      </c>
      <c r="AF142" s="10">
        <f>IF($A142="","",IFERROR(INDEX('2_IMPORTAR_EJECUCION'!$F$9:$F$1208,MATCH($AN142,'2_IMPORTAR_EJECUCION'!$J$9:$J$1208,0)),0))</f>
        <v/>
      </c>
      <c r="AG142" s="10">
        <f>IF($A142="","",MAX(0,IFERROR(INDEX('2_IMPORTAR_EJECUCION'!$H$9:$H$1208,MATCH($AN142,'2_IMPORTAR_EJECUCION'!$J$9:$J$1208,0)),0)-$AF142))</f>
        <v/>
      </c>
      <c r="AH142" s="10">
        <f>IF($A142="","",$AF142+$AG142)</f>
        <v/>
      </c>
      <c r="AI142" s="6" t="inlineStr"/>
      <c r="AJ142" s="6" t="inlineStr"/>
      <c r="AK142" s="6" t="inlineStr"/>
      <c r="AL142" s="3">
        <f>IF($AK142="","",HYPERLINK(p_ruta_base_checklists&amp;$AK142,"abrir"))</f>
        <v/>
      </c>
      <c r="AM142" s="6" t="inlineStr"/>
      <c r="AN142" s="3">
        <f>IF($A142="","",$A142&amp;IF($B142="","0010",$B142))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Reparación de falla — EQ-101</t>
        </is>
      </c>
      <c r="D143" s="3" t="inlineStr">
        <is>
          <t>Reparación de falla en EQ-101</t>
        </is>
      </c>
      <c r="E143" s="3" t="inlineStr">
        <is>
          <t>EQ-101</t>
        </is>
      </c>
      <c r="F143" s="3" t="inlineStr">
        <is>
          <t>CC-110</t>
        </is>
      </c>
      <c r="G143" s="3" t="inlineStr">
        <is>
          <t>PU-AUT</t>
        </is>
      </c>
      <c r="H143" s="3" t="inlineStr">
        <is>
          <t>ACT-03</t>
        </is>
      </c>
      <c r="I143" s="3" t="inlineStr">
        <is>
          <t>TIPO-C1</t>
        </is>
      </c>
      <c r="J143" s="11" t="n">
        <v>46179</v>
      </c>
      <c r="K143" s="3" t="n">
        <v>4</v>
      </c>
      <c r="L143" s="10" t="n">
        <v>160</v>
      </c>
      <c r="M143" s="3">
        <f>IF($A143="","",IFERROR(INDEX('AJUSTES'!$B$4:$B$303,MATCH($AN143,'AJUSTES'!$A$4:$A$303,0)),IF($K143="","",$K143)))</f>
        <v/>
      </c>
      <c r="N143" s="3">
        <f>IF($A143="","",IFERROR(INDEX('CAT_ESTADOS_ERP'!$B$4:$B$7,MATCH(IFERROR(INDEX('2_IMPORTAR_EJECUCION'!$C$9:$C$1208,MATCH($AN143,'2_IMPORTAR_EJECUCION'!$J$9:$J$1208,0)),""),'CAT_ESTADOS_ERP'!$A$4:$A$7,0)),"Pendiente"))</f>
        <v/>
      </c>
      <c r="O143" s="3">
        <f>IF($J143="","",YEAR($J143+4-WEEKDAY($J143,2))&amp;"-S"&amp;TEXT(_xlfn.ISOWEEKNUM($J143),"00"))</f>
        <v/>
      </c>
      <c r="P143" s="3">
        <f>IF($J143="","",YEAR($J143))</f>
        <v/>
      </c>
      <c r="Q143" s="3">
        <f>IF($J143="","",MONTH($J143))</f>
        <v/>
      </c>
      <c r="R143" s="3">
        <f>IF($J143="","",INDEX(lista_dias,WEEKDAY($J143,2)))</f>
        <v/>
      </c>
      <c r="S143" s="3">
        <f>IF($I143="","",IFERROR(INDEX('CAT_TIPOS_OT'!$C$4:$C$7,MATCH($I143,'CAT_TIPOS_OT'!$A$4:$A$7,0)),"sin_clasificar"))</f>
        <v/>
      </c>
      <c r="T143" s="3">
        <f>IF($F143="","",IFERROR(INDEX('CAT_CENTROS_COSTO'!$E$4:$E$9,MATCH($F143,'CAT_CENTROS_COSTO'!$A$4:$A$9,0)),"(sin catálogo)"))</f>
        <v/>
      </c>
      <c r="U143" s="3">
        <f>IF($F143="","",IFERROR(INDEX('CAT_CENTROS_COSTO'!$D$4:$D$9,MATCH($F143,'CAT_CENTROS_COSTO'!$A$4:$A$9,0)),"(sin catálogo)"))</f>
        <v/>
      </c>
      <c r="V143" s="3">
        <f>IF($F143="","",IFERROR(INDEX('CAT_CENTROS_COSTO'!$F$4:$F$9,MATCH($F143,'CAT_CENTROS_COSTO'!$A$4:$A$9,0)),"(sin catálogo)"))</f>
        <v/>
      </c>
      <c r="W143" s="3">
        <f>IF($G143="","",IFERROR(INDEX('CAT_PUESTOS'!$B$4:$B$8,MATCH($G143,'CAT_PUESTOS'!$A$4:$A$8,0)),"(sin catálogo)"))</f>
        <v/>
      </c>
      <c r="X143" s="3">
        <f>IF($H143="","",IFERROR(INDEX('CAT_ACTIVIDADES'!$B$4:$B$8,MATCH($H143,'CAT_ACTIVIDADES'!$A$4:$A$8,0)),"(sin catálogo)"))</f>
        <v/>
      </c>
      <c r="Y143" s="12">
        <f>IF($J143="","",TODAY()-$J143)</f>
        <v/>
      </c>
      <c r="Z143" s="3">
        <f>IF($Y143="","",IF($Y143&lt;0,"FUTURO",IF($Y143&gt;p_dias_backlog_max,"BACKLOG","MES CORRIENTE")))</f>
        <v/>
      </c>
      <c r="AA143" s="3">
        <f>IF($Y143="",FALSE,AND($Y143&gt;p_dias_backlog_min,$Y143&lt;=p_dias_backlog_max))</f>
        <v/>
      </c>
      <c r="AB143" s="6" t="inlineStr"/>
      <c r="AC143" s="3">
        <f>IF($AB143="","",IFERROR(INDEX('ASIGNACIONES'!$F$4:$F$339,MATCH($O143&amp;"|"&amp;$R143&amp;"|"&amp;$AB143,'ASIGNACIONES'!$I$4:$I$339,0)),""))</f>
        <v/>
      </c>
      <c r="AD143" s="13">
        <f>IF($AB143="","",SUMIFS('ORDENES'!$M$4:$M$1203,'ORDENES'!$AB$4:$AB$1203,$AB143,'ORDENES'!$O$4:$O$1203,$O143,'ORDENES'!$R$4:$R$1203,$R143))</f>
        <v/>
      </c>
      <c r="AE143" s="13">
        <f>IF($AD143="","",p_factor_productividad*IFERROR(INDEX('ASIGNACIONES'!$H$4:$H$339,MATCH($O143&amp;"|"&amp;$R143&amp;"|"&amp;$AB143,'ASIGNACIONES'!$I$4:$I$339,0)),0)-$AD143)</f>
        <v/>
      </c>
      <c r="AF143" s="10">
        <f>IF($A143="","",IFERROR(INDEX('2_IMPORTAR_EJECUCION'!$F$9:$F$1208,MATCH($AN143,'2_IMPORTAR_EJECUCION'!$J$9:$J$1208,0)),0))</f>
        <v/>
      </c>
      <c r="AG143" s="10">
        <f>IF($A143="","",MAX(0,IFERROR(INDEX('2_IMPORTAR_EJECUCION'!$H$9:$H$1208,MATCH($AN143,'2_IMPORTAR_EJECUCION'!$J$9:$J$1208,0)),0)-$AF143))</f>
        <v/>
      </c>
      <c r="AH143" s="10">
        <f>IF($A143="","",$AF143+$AG143)</f>
        <v/>
      </c>
      <c r="AI143" s="6" t="inlineStr"/>
      <c r="AJ143" s="6" t="inlineStr"/>
      <c r="AK143" s="6" t="inlineStr"/>
      <c r="AL143" s="3">
        <f>IF($AK143="","",HYPERLINK(p_ruta_base_checklists&amp;$AK143,"abrir"))</f>
        <v/>
      </c>
      <c r="AM143" s="6" t="inlineStr"/>
      <c r="AN143" s="3">
        <f>IF($A143="","",$A143&amp;IF($B143="","0010",$B143))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Inspección de rutina — EQ-102</t>
        </is>
      </c>
      <c r="D144" s="3" t="inlineStr">
        <is>
          <t>Inspección de rutina en EQ-102</t>
        </is>
      </c>
      <c r="E144" s="3" t="inlineStr">
        <is>
          <t>EQ-102</t>
        </is>
      </c>
      <c r="F144" s="3" t="inlineStr">
        <is>
          <t>CC-120</t>
        </is>
      </c>
      <c r="G144" s="3" t="inlineStr">
        <is>
          <t>PU-OP</t>
        </is>
      </c>
      <c r="H144" s="3" t="inlineStr">
        <is>
          <t>ACT-01</t>
        </is>
      </c>
      <c r="I144" s="3" t="inlineStr">
        <is>
          <t>TIPO-P2</t>
        </is>
      </c>
      <c r="J144" s="11" t="n">
        <v>46179</v>
      </c>
      <c r="K144" s="3" t="n">
        <v>6</v>
      </c>
      <c r="L144" s="10" t="n">
        <v>150</v>
      </c>
      <c r="M144" s="3">
        <f>IF($A144="","",IFERROR(INDEX('AJUSTES'!$B$4:$B$303,MATCH($AN144,'AJUSTES'!$A$4:$A$303,0)),IF($K144="","",$K144)))</f>
        <v/>
      </c>
      <c r="N144" s="3">
        <f>IF($A144="","",IFERROR(INDEX('CAT_ESTADOS_ERP'!$B$4:$B$7,MATCH(IFERROR(INDEX('2_IMPORTAR_EJECUCION'!$C$9:$C$1208,MATCH($AN144,'2_IMPORTAR_EJECUCION'!$J$9:$J$1208,0)),""),'CAT_ESTADOS_ERP'!$A$4:$A$7,0)),"Pendiente"))</f>
        <v/>
      </c>
      <c r="O144" s="3">
        <f>IF($J144="","",YEAR($J144+4-WEEKDAY($J144,2))&amp;"-S"&amp;TEXT(_xlfn.ISOWEEKNUM($J144),"00"))</f>
        <v/>
      </c>
      <c r="P144" s="3">
        <f>IF($J144="","",YEAR($J144))</f>
        <v/>
      </c>
      <c r="Q144" s="3">
        <f>IF($J144="","",MONTH($J144))</f>
        <v/>
      </c>
      <c r="R144" s="3">
        <f>IF($J144="","",INDEX(lista_dias,WEEKDAY($J144,2)))</f>
        <v/>
      </c>
      <c r="S144" s="3">
        <f>IF($I144="","",IFERROR(INDEX('CAT_TIPOS_OT'!$C$4:$C$7,MATCH($I144,'CAT_TIPOS_OT'!$A$4:$A$7,0)),"sin_clasificar"))</f>
        <v/>
      </c>
      <c r="T144" s="3">
        <f>IF($F144="","",IFERROR(INDEX('CAT_CENTROS_COSTO'!$E$4:$E$9,MATCH($F144,'CAT_CENTROS_COSTO'!$A$4:$A$9,0)),"(sin catálogo)"))</f>
        <v/>
      </c>
      <c r="U144" s="3">
        <f>IF($F144="","",IFERROR(INDEX('CAT_CENTROS_COSTO'!$D$4:$D$9,MATCH($F144,'CAT_CENTROS_COSTO'!$A$4:$A$9,0)),"(sin catálogo)"))</f>
        <v/>
      </c>
      <c r="V144" s="3">
        <f>IF($F144="","",IFERROR(INDEX('CAT_CENTROS_COSTO'!$F$4:$F$9,MATCH($F144,'CAT_CENTROS_COSTO'!$A$4:$A$9,0)),"(sin catálogo)"))</f>
        <v/>
      </c>
      <c r="W144" s="3">
        <f>IF($G144="","",IFERROR(INDEX('CAT_PUESTOS'!$B$4:$B$8,MATCH($G144,'CAT_PUESTOS'!$A$4:$A$8,0)),"(sin catálogo)"))</f>
        <v/>
      </c>
      <c r="X144" s="3">
        <f>IF($H144="","",IFERROR(INDEX('CAT_ACTIVIDADES'!$B$4:$B$8,MATCH($H144,'CAT_ACTIVIDADES'!$A$4:$A$8,0)),"(sin catálogo)"))</f>
        <v/>
      </c>
      <c r="Y144" s="12">
        <f>IF($J144="","",TODAY()-$J144)</f>
        <v/>
      </c>
      <c r="Z144" s="3">
        <f>IF($Y144="","",IF($Y144&lt;0,"FUTURO",IF($Y144&gt;p_dias_backlog_max,"BACKLOG","MES CORRIENTE")))</f>
        <v/>
      </c>
      <c r="AA144" s="3">
        <f>IF($Y144="",FALSE,AND($Y144&gt;p_dias_backlog_min,$Y144&lt;=p_dias_backlog_max))</f>
        <v/>
      </c>
      <c r="AB144" s="6" t="inlineStr"/>
      <c r="AC144" s="3">
        <f>IF($AB144="","",IFERROR(INDEX('ASIGNACIONES'!$F$4:$F$339,MATCH($O144&amp;"|"&amp;$R144&amp;"|"&amp;$AB144,'ASIGNACIONES'!$I$4:$I$339,0)),""))</f>
        <v/>
      </c>
      <c r="AD144" s="13">
        <f>IF($AB144="","",SUMIFS('ORDENES'!$M$4:$M$1203,'ORDENES'!$AB$4:$AB$1203,$AB144,'ORDENES'!$O$4:$O$1203,$O144,'ORDENES'!$R$4:$R$1203,$R144))</f>
        <v/>
      </c>
      <c r="AE144" s="13">
        <f>IF($AD144="","",p_factor_productividad*IFERROR(INDEX('ASIGNACIONES'!$H$4:$H$339,MATCH($O144&amp;"|"&amp;$R144&amp;"|"&amp;$AB144,'ASIGNACIONES'!$I$4:$I$339,0)),0)-$AD144)</f>
        <v/>
      </c>
      <c r="AF144" s="10">
        <f>IF($A144="","",IFERROR(INDEX('2_IMPORTAR_EJECUCION'!$F$9:$F$1208,MATCH($AN144,'2_IMPORTAR_EJECUCION'!$J$9:$J$1208,0)),0))</f>
        <v/>
      </c>
      <c r="AG144" s="10">
        <f>IF($A144="","",MAX(0,IFERROR(INDEX('2_IMPORTAR_EJECUCION'!$H$9:$H$1208,MATCH($AN144,'2_IMPORTAR_EJECUCION'!$J$9:$J$1208,0)),0)-$AF144))</f>
        <v/>
      </c>
      <c r="AH144" s="10">
        <f>IF($A144="","",$AF144+$AG144)</f>
        <v/>
      </c>
      <c r="AI144" s="6" t="inlineStr"/>
      <c r="AJ144" s="6" t="inlineStr"/>
      <c r="AK144" s="6" t="inlineStr"/>
      <c r="AL144" s="3">
        <f>IF($AK144="","",HYPERLINK(p_ruta_base_checklists&amp;$AK144,"abrir"))</f>
        <v/>
      </c>
      <c r="AM144" s="6" t="inlineStr"/>
      <c r="AN144" s="3">
        <f>IF($A144="","",$A144&amp;IF($B144="","0010",$B144))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EQ-103</t>
        </is>
      </c>
      <c r="D145" s="3" t="inlineStr">
        <is>
          <t>Reparación de falla en EQ-103</t>
        </is>
      </c>
      <c r="E145" s="3" t="inlineStr">
        <is>
          <t>EQ-103</t>
        </is>
      </c>
      <c r="F145" s="3" t="inlineStr">
        <is>
          <t>CC-120</t>
        </is>
      </c>
      <c r="G145" s="3" t="inlineStr">
        <is>
          <t>PU-ELE</t>
        </is>
      </c>
      <c r="H145" s="3" t="inlineStr">
        <is>
          <t>ACT-03</t>
        </is>
      </c>
      <c r="I145" s="3" t="inlineStr">
        <is>
          <t>TIPO-C1</t>
        </is>
      </c>
      <c r="J145" s="11" t="n">
        <v>46149</v>
      </c>
      <c r="K145" s="3" t="n">
        <v>4</v>
      </c>
      <c r="L145" s="10" t="n">
        <v>160</v>
      </c>
      <c r="M145" s="3">
        <f>IF($A145="","",IFERROR(INDEX('AJUSTES'!$B$4:$B$303,MATCH($AN145,'AJUSTES'!$A$4:$A$303,0)),IF($K145="","",$K145)))</f>
        <v/>
      </c>
      <c r="N145" s="3">
        <f>IF($A145="","",IFERROR(INDEX('CAT_ESTADOS_ERP'!$B$4:$B$7,MATCH(IFERROR(INDEX('2_IMPORTAR_EJECUCION'!$C$9:$C$1208,MATCH($AN145,'2_IMPORTAR_EJECUCION'!$J$9:$J$1208,0)),""),'CAT_ESTADOS_ERP'!$A$4:$A$7,0)),"Pendiente"))</f>
        <v/>
      </c>
      <c r="O145" s="3">
        <f>IF($J145="","",YEAR($J145+4-WEEKDAY($J145,2))&amp;"-S"&amp;TEXT(_xlfn.ISOWEEKNUM($J145),"00"))</f>
        <v/>
      </c>
      <c r="P145" s="3">
        <f>IF($J145="","",YEAR($J145))</f>
        <v/>
      </c>
      <c r="Q145" s="3">
        <f>IF($J145="","",MONTH($J145))</f>
        <v/>
      </c>
      <c r="R145" s="3">
        <f>IF($J145="","",INDEX(lista_dias,WEEKDAY($J145,2)))</f>
        <v/>
      </c>
      <c r="S145" s="3">
        <f>IF($I145="","",IFERROR(INDEX('CAT_TIPOS_OT'!$C$4:$C$7,MATCH($I145,'CAT_TIPOS_OT'!$A$4:$A$7,0)),"sin_clasificar"))</f>
        <v/>
      </c>
      <c r="T145" s="3">
        <f>IF($F145="","",IFERROR(INDEX('CAT_CENTROS_COSTO'!$E$4:$E$9,MATCH($F145,'CAT_CENTROS_COSTO'!$A$4:$A$9,0)),"(sin catálogo)"))</f>
        <v/>
      </c>
      <c r="U145" s="3">
        <f>IF($F145="","",IFERROR(INDEX('CAT_CENTROS_COSTO'!$D$4:$D$9,MATCH($F145,'CAT_CENTROS_COSTO'!$A$4:$A$9,0)),"(sin catálogo)"))</f>
        <v/>
      </c>
      <c r="V145" s="3">
        <f>IF($F145="","",IFERROR(INDEX('CAT_CENTROS_COSTO'!$F$4:$F$9,MATCH($F145,'CAT_CENTROS_COSTO'!$A$4:$A$9,0)),"(sin catálogo)"))</f>
        <v/>
      </c>
      <c r="W145" s="3">
        <f>IF($G145="","",IFERROR(INDEX('CAT_PUESTOS'!$B$4:$B$8,MATCH($G145,'CAT_PUESTOS'!$A$4:$A$8,0)),"(sin catálogo)"))</f>
        <v/>
      </c>
      <c r="X145" s="3">
        <f>IF($H145="","",IFERROR(INDEX('CAT_ACTIVIDADES'!$B$4:$B$8,MATCH($H145,'CAT_ACTIVIDADES'!$A$4:$A$8,0)),"(sin catálogo)"))</f>
        <v/>
      </c>
      <c r="Y145" s="12">
        <f>IF($J145="","",TODAY()-$J145)</f>
        <v/>
      </c>
      <c r="Z145" s="3">
        <f>IF($Y145="","",IF($Y145&lt;0,"FUTURO",IF($Y145&gt;p_dias_backlog_max,"BACKLOG","MES CORRIENTE")))</f>
        <v/>
      </c>
      <c r="AA145" s="3">
        <f>IF($Y145="",FALSE,AND($Y145&gt;p_dias_backlog_min,$Y145&lt;=p_dias_backlog_max))</f>
        <v/>
      </c>
      <c r="AB145" s="6" t="inlineStr"/>
      <c r="AC145" s="3">
        <f>IF($AB145="","",IFERROR(INDEX('ASIGNACIONES'!$F$4:$F$339,MATCH($O145&amp;"|"&amp;$R145&amp;"|"&amp;$AB145,'ASIGNACIONES'!$I$4:$I$339,0)),""))</f>
        <v/>
      </c>
      <c r="AD145" s="13">
        <f>IF($AB145="","",SUMIFS('ORDENES'!$M$4:$M$1203,'ORDENES'!$AB$4:$AB$1203,$AB145,'ORDENES'!$O$4:$O$1203,$O145,'ORDENES'!$R$4:$R$1203,$R145))</f>
        <v/>
      </c>
      <c r="AE145" s="13">
        <f>IF($AD145="","",p_factor_productividad*IFERROR(INDEX('ASIGNACIONES'!$H$4:$H$339,MATCH($O145&amp;"|"&amp;$R145&amp;"|"&amp;$AB145,'ASIGNACIONES'!$I$4:$I$339,0)),0)-$AD145)</f>
        <v/>
      </c>
      <c r="AF145" s="10">
        <f>IF($A145="","",IFERROR(INDEX('2_IMPORTAR_EJECUCION'!$F$9:$F$1208,MATCH($AN145,'2_IMPORTAR_EJECUCION'!$J$9:$J$1208,0)),0))</f>
        <v/>
      </c>
      <c r="AG145" s="10">
        <f>IF($A145="","",MAX(0,IFERROR(INDEX('2_IMPORTAR_EJECUCION'!$H$9:$H$1208,MATCH($AN145,'2_IMPORTAR_EJECUCION'!$J$9:$J$1208,0)),0)-$AF145))</f>
        <v/>
      </c>
      <c r="AH145" s="10">
        <f>IF($A145="","",$AF145+$AG145)</f>
        <v/>
      </c>
      <c r="AI145" s="6" t="inlineStr"/>
      <c r="AJ145" s="6" t="inlineStr"/>
      <c r="AK145" s="6" t="inlineStr"/>
      <c r="AL145" s="3">
        <f>IF($AK145="","",HYPERLINK(p_ruta_base_checklists&amp;$AK145,"abrir"))</f>
        <v/>
      </c>
      <c r="AM145" s="6" t="inlineStr"/>
      <c r="AN145" s="3">
        <f>IF($A145="","",$A145&amp;IF($B145="","0010",$B145))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EQ-109</t>
        </is>
      </c>
      <c r="D146" s="3" t="inlineStr">
        <is>
          <t>Reparación de falla en EQ-109</t>
        </is>
      </c>
      <c r="E146" s="3" t="inlineStr">
        <is>
          <t>EQ-109</t>
        </is>
      </c>
      <c r="F146" s="3" t="inlineStr">
        <is>
          <t>CC-210</t>
        </is>
      </c>
      <c r="G146" s="3" t="inlineStr">
        <is>
          <t>PU-AUT</t>
        </is>
      </c>
      <c r="H146" s="3" t="inlineStr">
        <is>
          <t>ACT-03</t>
        </is>
      </c>
      <c r="I146" s="3" t="inlineStr">
        <is>
          <t>TIPO-C2</t>
        </is>
      </c>
      <c r="J146" s="11" t="n">
        <v>46149</v>
      </c>
      <c r="K146" s="3" t="n">
        <v>6</v>
      </c>
      <c r="L146" s="10" t="n">
        <v>240</v>
      </c>
      <c r="M146" s="3">
        <f>IF($A146="","",IFERROR(INDEX('AJUSTES'!$B$4:$B$303,MATCH($AN146,'AJUSTES'!$A$4:$A$303,0)),IF($K146="","",$K146)))</f>
        <v/>
      </c>
      <c r="N146" s="3">
        <f>IF($A146="","",IFERROR(INDEX('CAT_ESTADOS_ERP'!$B$4:$B$7,MATCH(IFERROR(INDEX('2_IMPORTAR_EJECUCION'!$C$9:$C$1208,MATCH($AN146,'2_IMPORTAR_EJECUCION'!$J$9:$J$1208,0)),""),'CAT_ESTADOS_ERP'!$A$4:$A$7,0)),"Pendiente"))</f>
        <v/>
      </c>
      <c r="O146" s="3">
        <f>IF($J146="","",YEAR($J146+4-WEEKDAY($J146,2))&amp;"-S"&amp;TEXT(_xlfn.ISOWEEKNUM($J146),"00"))</f>
        <v/>
      </c>
      <c r="P146" s="3">
        <f>IF($J146="","",YEAR($J146))</f>
        <v/>
      </c>
      <c r="Q146" s="3">
        <f>IF($J146="","",MONTH($J146))</f>
        <v/>
      </c>
      <c r="R146" s="3">
        <f>IF($J146="","",INDEX(lista_dias,WEEKDAY($J146,2)))</f>
        <v/>
      </c>
      <c r="S146" s="3">
        <f>IF($I146="","",IFERROR(INDEX('CAT_TIPOS_OT'!$C$4:$C$7,MATCH($I146,'CAT_TIPOS_OT'!$A$4:$A$7,0)),"sin_clasificar"))</f>
        <v/>
      </c>
      <c r="T146" s="3">
        <f>IF($F146="","",IFERROR(INDEX('CAT_CENTROS_COSTO'!$E$4:$E$9,MATCH($F146,'CAT_CENTROS_COSTO'!$A$4:$A$9,0)),"(sin catálogo)"))</f>
        <v/>
      </c>
      <c r="U146" s="3">
        <f>IF($F146="","",IFERROR(INDEX('CAT_CENTROS_COSTO'!$D$4:$D$9,MATCH($F146,'CAT_CENTROS_COSTO'!$A$4:$A$9,0)),"(sin catálogo)"))</f>
        <v/>
      </c>
      <c r="V146" s="3">
        <f>IF($F146="","",IFERROR(INDEX('CAT_CENTROS_COSTO'!$F$4:$F$9,MATCH($F146,'CAT_CENTROS_COSTO'!$A$4:$A$9,0)),"(sin catálogo)"))</f>
        <v/>
      </c>
      <c r="W146" s="3">
        <f>IF($G146="","",IFERROR(INDEX('CAT_PUESTOS'!$B$4:$B$8,MATCH($G146,'CAT_PUESTOS'!$A$4:$A$8,0)),"(sin catálogo)"))</f>
        <v/>
      </c>
      <c r="X146" s="3">
        <f>IF($H146="","",IFERROR(INDEX('CAT_ACTIVIDADES'!$B$4:$B$8,MATCH($H146,'CAT_ACTIVIDADES'!$A$4:$A$8,0)),"(sin catálogo)"))</f>
        <v/>
      </c>
      <c r="Y146" s="12">
        <f>IF($J146="","",TODAY()-$J146)</f>
        <v/>
      </c>
      <c r="Z146" s="3">
        <f>IF($Y146="","",IF($Y146&lt;0,"FUTURO",IF($Y146&gt;p_dias_backlog_max,"BACKLOG","MES CORRIENTE")))</f>
        <v/>
      </c>
      <c r="AA146" s="3">
        <f>IF($Y146="",FALSE,AND($Y146&gt;p_dias_backlog_min,$Y146&lt;=p_dias_backlog_max))</f>
        <v/>
      </c>
      <c r="AB146" s="6" t="inlineStr"/>
      <c r="AC146" s="3">
        <f>IF($AB146="","",IFERROR(INDEX('ASIGNACIONES'!$F$4:$F$339,MATCH($O146&amp;"|"&amp;$R146&amp;"|"&amp;$AB146,'ASIGNACIONES'!$I$4:$I$339,0)),""))</f>
        <v/>
      </c>
      <c r="AD146" s="13">
        <f>IF($AB146="","",SUMIFS('ORDENES'!$M$4:$M$1203,'ORDENES'!$AB$4:$AB$1203,$AB146,'ORDENES'!$O$4:$O$1203,$O146,'ORDENES'!$R$4:$R$1203,$R146))</f>
        <v/>
      </c>
      <c r="AE146" s="13">
        <f>IF($AD146="","",p_factor_productividad*IFERROR(INDEX('ASIGNACIONES'!$H$4:$H$339,MATCH($O146&amp;"|"&amp;$R146&amp;"|"&amp;$AB146,'ASIGNACIONES'!$I$4:$I$339,0)),0)-$AD146)</f>
        <v/>
      </c>
      <c r="AF146" s="10">
        <f>IF($A146="","",IFERROR(INDEX('2_IMPORTAR_EJECUCION'!$F$9:$F$1208,MATCH($AN146,'2_IMPORTAR_EJECUCION'!$J$9:$J$1208,0)),0))</f>
        <v/>
      </c>
      <c r="AG146" s="10">
        <f>IF($A146="","",MAX(0,IFERROR(INDEX('2_IMPORTAR_EJECUCION'!$H$9:$H$1208,MATCH($AN146,'2_IMPORTAR_EJECUCION'!$J$9:$J$1208,0)),0)-$AF146))</f>
        <v/>
      </c>
      <c r="AH146" s="10">
        <f>IF($A146="","",$AF146+$AG146)</f>
        <v/>
      </c>
      <c r="AI146" s="6" t="inlineStr"/>
      <c r="AJ146" s="6" t="inlineStr"/>
      <c r="AK146" s="6" t="inlineStr"/>
      <c r="AL146" s="3">
        <f>IF($AK146="","",HYPERLINK(p_ruta_base_checklists&amp;$AK146,"abrir"))</f>
        <v/>
      </c>
      <c r="AM146" s="6" t="inlineStr"/>
      <c r="AN146" s="3">
        <f>IF($A146="","",$A146&amp;IF($B146="","0010",$B146))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Reparación de falla — EQ-106</t>
        </is>
      </c>
      <c r="D147" s="3" t="inlineStr">
        <is>
          <t>Reparación de falla en EQ-106</t>
        </is>
      </c>
      <c r="E147" s="3" t="inlineStr">
        <is>
          <t>EQ-106</t>
        </is>
      </c>
      <c r="F147" s="3" t="inlineStr">
        <is>
          <t>CC-220</t>
        </is>
      </c>
      <c r="G147" s="3" t="inlineStr">
        <is>
          <t>PU-OP</t>
        </is>
      </c>
      <c r="H147" s="3" t="inlineStr">
        <is>
          <t>ACT-03</t>
        </is>
      </c>
      <c r="I147" s="3" t="inlineStr">
        <is>
          <t>TIPO-C1</t>
        </is>
      </c>
      <c r="J147" s="11" t="n">
        <v>46149</v>
      </c>
      <c r="K147" s="3" t="n">
        <v>8</v>
      </c>
      <c r="L147" s="10" t="n">
        <v>320</v>
      </c>
      <c r="M147" s="3">
        <f>IF($A147="","",IFERROR(INDEX('AJUSTES'!$B$4:$B$303,MATCH($AN147,'AJUSTES'!$A$4:$A$303,0)),IF($K147="","",$K147)))</f>
        <v/>
      </c>
      <c r="N147" s="3">
        <f>IF($A147="","",IFERROR(INDEX('CAT_ESTADOS_ERP'!$B$4:$B$7,MATCH(IFERROR(INDEX('2_IMPORTAR_EJECUCION'!$C$9:$C$1208,MATCH($AN147,'2_IMPORTAR_EJECUCION'!$J$9:$J$1208,0)),""),'CAT_ESTADOS_ERP'!$A$4:$A$7,0)),"Pendiente"))</f>
        <v/>
      </c>
      <c r="O147" s="3">
        <f>IF($J147="","",YEAR($J147+4-WEEKDAY($J147,2))&amp;"-S"&amp;TEXT(_xlfn.ISOWEEKNUM($J147),"00"))</f>
        <v/>
      </c>
      <c r="P147" s="3">
        <f>IF($J147="","",YEAR($J147))</f>
        <v/>
      </c>
      <c r="Q147" s="3">
        <f>IF($J147="","",MONTH($J147))</f>
        <v/>
      </c>
      <c r="R147" s="3">
        <f>IF($J147="","",INDEX(lista_dias,WEEKDAY($J147,2)))</f>
        <v/>
      </c>
      <c r="S147" s="3">
        <f>IF($I147="","",IFERROR(INDEX('CAT_TIPOS_OT'!$C$4:$C$7,MATCH($I147,'CAT_TIPOS_OT'!$A$4:$A$7,0)),"sin_clasificar"))</f>
        <v/>
      </c>
      <c r="T147" s="3">
        <f>IF($F147="","",IFERROR(INDEX('CAT_CENTROS_COSTO'!$E$4:$E$9,MATCH($F147,'CAT_CENTROS_COSTO'!$A$4:$A$9,0)),"(sin catálogo)"))</f>
        <v/>
      </c>
      <c r="U147" s="3">
        <f>IF($F147="","",IFERROR(INDEX('CAT_CENTROS_COSTO'!$D$4:$D$9,MATCH($F147,'CAT_CENTROS_COSTO'!$A$4:$A$9,0)),"(sin catálogo)"))</f>
        <v/>
      </c>
      <c r="V147" s="3">
        <f>IF($F147="","",IFERROR(INDEX('CAT_CENTROS_COSTO'!$F$4:$F$9,MATCH($F147,'CAT_CENTROS_COSTO'!$A$4:$A$9,0)),"(sin catálogo)"))</f>
        <v/>
      </c>
      <c r="W147" s="3">
        <f>IF($G147="","",IFERROR(INDEX('CAT_PUESTOS'!$B$4:$B$8,MATCH($G147,'CAT_PUESTOS'!$A$4:$A$8,0)),"(sin catálogo)"))</f>
        <v/>
      </c>
      <c r="X147" s="3">
        <f>IF($H147="","",IFERROR(INDEX('CAT_ACTIVIDADES'!$B$4:$B$8,MATCH($H147,'CAT_ACTIVIDADES'!$A$4:$A$8,0)),"(sin catálogo)"))</f>
        <v/>
      </c>
      <c r="Y147" s="12">
        <f>IF($J147="","",TODAY()-$J147)</f>
        <v/>
      </c>
      <c r="Z147" s="3">
        <f>IF($Y147="","",IF($Y147&lt;0,"FUTURO",IF($Y147&gt;p_dias_backlog_max,"BACKLOG","MES CORRIENTE")))</f>
        <v/>
      </c>
      <c r="AA147" s="3">
        <f>IF($Y147="",FALSE,AND($Y147&gt;p_dias_backlog_min,$Y147&lt;=p_dias_backlog_max))</f>
        <v/>
      </c>
      <c r="AB147" s="6" t="inlineStr"/>
      <c r="AC147" s="3">
        <f>IF($AB147="","",IFERROR(INDEX('ASIGNACIONES'!$F$4:$F$339,MATCH($O147&amp;"|"&amp;$R147&amp;"|"&amp;$AB147,'ASIGNACIONES'!$I$4:$I$339,0)),""))</f>
        <v/>
      </c>
      <c r="AD147" s="13">
        <f>IF($AB147="","",SUMIFS('ORDENES'!$M$4:$M$1203,'ORDENES'!$AB$4:$AB$1203,$AB147,'ORDENES'!$O$4:$O$1203,$O147,'ORDENES'!$R$4:$R$1203,$R147))</f>
        <v/>
      </c>
      <c r="AE147" s="13">
        <f>IF($AD147="","",p_factor_productividad*IFERROR(INDEX('ASIGNACIONES'!$H$4:$H$339,MATCH($O147&amp;"|"&amp;$R147&amp;"|"&amp;$AB147,'ASIGNACIONES'!$I$4:$I$339,0)),0)-$AD147)</f>
        <v/>
      </c>
      <c r="AF147" s="10">
        <f>IF($A147="","",IFERROR(INDEX('2_IMPORTAR_EJECUCION'!$F$9:$F$1208,MATCH($AN147,'2_IMPORTAR_EJECUCION'!$J$9:$J$1208,0)),0))</f>
        <v/>
      </c>
      <c r="AG147" s="10">
        <f>IF($A147="","",MAX(0,IFERROR(INDEX('2_IMPORTAR_EJECUCION'!$H$9:$H$1208,MATCH($AN147,'2_IMPORTAR_EJECUCION'!$J$9:$J$1208,0)),0)-$AF147))</f>
        <v/>
      </c>
      <c r="AH147" s="10">
        <f>IF($A147="","",$AF147+$AG147)</f>
        <v/>
      </c>
      <c r="AI147" s="6" t="inlineStr"/>
      <c r="AJ147" s="6" t="inlineStr"/>
      <c r="AK147" s="6" t="inlineStr"/>
      <c r="AL147" s="3">
        <f>IF($AK147="","",HYPERLINK(p_ruta_base_checklists&amp;$AK147,"abrir"))</f>
        <v/>
      </c>
      <c r="AM147" s="6" t="inlineStr"/>
      <c r="AN147" s="3">
        <f>IF($A147="","",$A147&amp;IF($B147="","0010",$B147))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EQ-111</t>
        </is>
      </c>
      <c r="D148" s="3" t="inlineStr">
        <is>
          <t>Lubricación programada en EQ-111</t>
        </is>
      </c>
      <c r="E148" s="3" t="inlineStr">
        <is>
          <t>EQ-111</t>
        </is>
      </c>
      <c r="F148" s="3" t="inlineStr">
        <is>
          <t>CC-310</t>
        </is>
      </c>
      <c r="G148" s="3" t="inlineStr">
        <is>
          <t>PU-MEC</t>
        </is>
      </c>
      <c r="H148" s="3" t="inlineStr">
        <is>
          <t>ACT-02</t>
        </is>
      </c>
      <c r="I148" s="3" t="inlineStr">
        <is>
          <t>TIPO-P2</t>
        </is>
      </c>
      <c r="J148" s="11" t="n">
        <v>46149</v>
      </c>
      <c r="K148" s="3" t="n">
        <v>4</v>
      </c>
      <c r="L148" s="10" t="n">
        <v>100</v>
      </c>
      <c r="M148" s="3">
        <f>IF($A148="","",IFERROR(INDEX('AJUSTES'!$B$4:$B$303,MATCH($AN148,'AJUSTES'!$A$4:$A$303,0)),IF($K148="","",$K148)))</f>
        <v/>
      </c>
      <c r="N148" s="3">
        <f>IF($A148="","",IFERROR(INDEX('CAT_ESTADOS_ERP'!$B$4:$B$7,MATCH(IFERROR(INDEX('2_IMPORTAR_EJECUCION'!$C$9:$C$1208,MATCH($AN148,'2_IMPORTAR_EJECUCION'!$J$9:$J$1208,0)),""),'CAT_ESTADOS_ERP'!$A$4:$A$7,0)),"Pendiente"))</f>
        <v/>
      </c>
      <c r="O148" s="3">
        <f>IF($J148="","",YEAR($J148+4-WEEKDAY($J148,2))&amp;"-S"&amp;TEXT(_xlfn.ISOWEEKNUM($J148),"00"))</f>
        <v/>
      </c>
      <c r="P148" s="3">
        <f>IF($J148="","",YEAR($J148))</f>
        <v/>
      </c>
      <c r="Q148" s="3">
        <f>IF($J148="","",MONTH($J148))</f>
        <v/>
      </c>
      <c r="R148" s="3">
        <f>IF($J148="","",INDEX(lista_dias,WEEKDAY($J148,2)))</f>
        <v/>
      </c>
      <c r="S148" s="3">
        <f>IF($I148="","",IFERROR(INDEX('CAT_TIPOS_OT'!$C$4:$C$7,MATCH($I148,'CAT_TIPOS_OT'!$A$4:$A$7,0)),"sin_clasificar"))</f>
        <v/>
      </c>
      <c r="T148" s="3">
        <f>IF($F148="","",IFERROR(INDEX('CAT_CENTROS_COSTO'!$E$4:$E$9,MATCH($F148,'CAT_CENTROS_COSTO'!$A$4:$A$9,0)),"(sin catálogo)"))</f>
        <v/>
      </c>
      <c r="U148" s="3">
        <f>IF($F148="","",IFERROR(INDEX('CAT_CENTROS_COSTO'!$D$4:$D$9,MATCH($F148,'CAT_CENTROS_COSTO'!$A$4:$A$9,0)),"(sin catálogo)"))</f>
        <v/>
      </c>
      <c r="V148" s="3">
        <f>IF($F148="","",IFERROR(INDEX('CAT_CENTROS_COSTO'!$F$4:$F$9,MATCH($F148,'CAT_CENTROS_COSTO'!$A$4:$A$9,0)),"(sin catálogo)"))</f>
        <v/>
      </c>
      <c r="W148" s="3">
        <f>IF($G148="","",IFERROR(INDEX('CAT_PUESTOS'!$B$4:$B$8,MATCH($G148,'CAT_PUESTOS'!$A$4:$A$8,0)),"(sin catálogo)"))</f>
        <v/>
      </c>
      <c r="X148" s="3">
        <f>IF($H148="","",IFERROR(INDEX('CAT_ACTIVIDADES'!$B$4:$B$8,MATCH($H148,'CAT_ACTIVIDADES'!$A$4:$A$8,0)),"(sin catálogo)"))</f>
        <v/>
      </c>
      <c r="Y148" s="12">
        <f>IF($J148="","",TODAY()-$J148)</f>
        <v/>
      </c>
      <c r="Z148" s="3">
        <f>IF($Y148="","",IF($Y148&lt;0,"FUTURO",IF($Y148&gt;p_dias_backlog_max,"BACKLOG","MES CORRIENTE")))</f>
        <v/>
      </c>
      <c r="AA148" s="3">
        <f>IF($Y148="",FALSE,AND($Y148&gt;p_dias_backlog_min,$Y148&lt;=p_dias_backlog_max))</f>
        <v/>
      </c>
      <c r="AB148" s="6" t="inlineStr"/>
      <c r="AC148" s="3">
        <f>IF($AB148="","",IFERROR(INDEX('ASIGNACIONES'!$F$4:$F$339,MATCH($O148&amp;"|"&amp;$R148&amp;"|"&amp;$AB148,'ASIGNACIONES'!$I$4:$I$339,0)),""))</f>
        <v/>
      </c>
      <c r="AD148" s="13">
        <f>IF($AB148="","",SUMIFS('ORDENES'!$M$4:$M$1203,'ORDENES'!$AB$4:$AB$1203,$AB148,'ORDENES'!$O$4:$O$1203,$O148,'ORDENES'!$R$4:$R$1203,$R148))</f>
        <v/>
      </c>
      <c r="AE148" s="13">
        <f>IF($AD148="","",p_factor_productividad*IFERROR(INDEX('ASIGNACIONES'!$H$4:$H$339,MATCH($O148&amp;"|"&amp;$R148&amp;"|"&amp;$AB148,'ASIGNACIONES'!$I$4:$I$339,0)),0)-$AD148)</f>
        <v/>
      </c>
      <c r="AF148" s="10">
        <f>IF($A148="","",IFERROR(INDEX('2_IMPORTAR_EJECUCION'!$F$9:$F$1208,MATCH($AN148,'2_IMPORTAR_EJECUCION'!$J$9:$J$1208,0)),0))</f>
        <v/>
      </c>
      <c r="AG148" s="10">
        <f>IF($A148="","",MAX(0,IFERROR(INDEX('2_IMPORTAR_EJECUCION'!$H$9:$H$1208,MATCH($AN148,'2_IMPORTAR_EJECUCION'!$J$9:$J$1208,0)),0)-$AF148))</f>
        <v/>
      </c>
      <c r="AH148" s="10">
        <f>IF($A148="","",$AF148+$AG148)</f>
        <v/>
      </c>
      <c r="AI148" s="6" t="inlineStr"/>
      <c r="AJ148" s="6" t="inlineStr"/>
      <c r="AK148" s="6" t="inlineStr"/>
      <c r="AL148" s="3">
        <f>IF($AK148="","",HYPERLINK(p_ruta_base_checklists&amp;$AK148,"abrir"))</f>
        <v/>
      </c>
      <c r="AM148" s="6" t="inlineStr"/>
      <c r="AN148" s="3">
        <f>IF($A148="","",$A148&amp;IF($B148="","0010",$B148))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EQ-112</t>
        </is>
      </c>
      <c r="D149" s="3" t="inlineStr">
        <is>
          <t>Reparación de falla en EQ-112</t>
        </is>
      </c>
      <c r="E149" s="3" t="inlineStr">
        <is>
          <t>EQ-112</t>
        </is>
      </c>
      <c r="F149" s="3" t="inlineStr">
        <is>
          <t>CC-320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1" t="n">
        <v>46149</v>
      </c>
      <c r="K149" s="3" t="n">
        <v>6</v>
      </c>
      <c r="L149" s="10" t="n">
        <v>240</v>
      </c>
      <c r="M149" s="3">
        <f>IF($A149="","",IFERROR(INDEX('AJUSTES'!$B$4:$B$303,MATCH($AN149,'AJUSTES'!$A$4:$A$303,0)),IF($K149="","",$K149)))</f>
        <v/>
      </c>
      <c r="N149" s="3">
        <f>IF($A149="","",IFERROR(INDEX('CAT_ESTADOS_ERP'!$B$4:$B$7,MATCH(IFERROR(INDEX('2_IMPORTAR_EJECUCION'!$C$9:$C$1208,MATCH($AN149,'2_IMPORTAR_EJECUCION'!$J$9:$J$1208,0)),""),'CAT_ESTADOS_ERP'!$A$4:$A$7,0)),"Pendiente"))</f>
        <v/>
      </c>
      <c r="O149" s="3">
        <f>IF($J149="","",YEAR($J149+4-WEEKDAY($J149,2))&amp;"-S"&amp;TEXT(_xlfn.ISOWEEKNUM($J149),"00"))</f>
        <v/>
      </c>
      <c r="P149" s="3">
        <f>IF($J149="","",YEAR($J149))</f>
        <v/>
      </c>
      <c r="Q149" s="3">
        <f>IF($J149="","",MONTH($J149))</f>
        <v/>
      </c>
      <c r="R149" s="3">
        <f>IF($J149="","",INDEX(lista_dias,WEEKDAY($J149,2)))</f>
        <v/>
      </c>
      <c r="S149" s="3">
        <f>IF($I149="","",IFERROR(INDEX('CAT_TIPOS_OT'!$C$4:$C$7,MATCH($I149,'CAT_TIPOS_OT'!$A$4:$A$7,0)),"sin_clasificar"))</f>
        <v/>
      </c>
      <c r="T149" s="3">
        <f>IF($F149="","",IFERROR(INDEX('CAT_CENTROS_COSTO'!$E$4:$E$9,MATCH($F149,'CAT_CENTROS_COSTO'!$A$4:$A$9,0)),"(sin catálogo)"))</f>
        <v/>
      </c>
      <c r="U149" s="3">
        <f>IF($F149="","",IFERROR(INDEX('CAT_CENTROS_COSTO'!$D$4:$D$9,MATCH($F149,'CAT_CENTROS_COSTO'!$A$4:$A$9,0)),"(sin catálogo)"))</f>
        <v/>
      </c>
      <c r="V149" s="3">
        <f>IF($F149="","",IFERROR(INDEX('CAT_CENTROS_COSTO'!$F$4:$F$9,MATCH($F149,'CAT_CENTROS_COSTO'!$A$4:$A$9,0)),"(sin catálogo)"))</f>
        <v/>
      </c>
      <c r="W149" s="3">
        <f>IF($G149="","",IFERROR(INDEX('CAT_PUESTOS'!$B$4:$B$8,MATCH($G149,'CAT_PUESTOS'!$A$4:$A$8,0)),"(sin catálogo)"))</f>
        <v/>
      </c>
      <c r="X149" s="3">
        <f>IF($H149="","",IFERROR(INDEX('CAT_ACTIVIDADES'!$B$4:$B$8,MATCH($H149,'CAT_ACTIVIDADES'!$A$4:$A$8,0)),"(sin catálogo)"))</f>
        <v/>
      </c>
      <c r="Y149" s="12">
        <f>IF($J149="","",TODAY()-$J149)</f>
        <v/>
      </c>
      <c r="Z149" s="3">
        <f>IF($Y149="","",IF($Y149&lt;0,"FUTURO",IF($Y149&gt;p_dias_backlog_max,"BACKLOG","MES CORRIENTE")))</f>
        <v/>
      </c>
      <c r="AA149" s="3">
        <f>IF($Y149="",FALSE,AND($Y149&gt;p_dias_backlog_min,$Y149&lt;=p_dias_backlog_max))</f>
        <v/>
      </c>
      <c r="AB149" s="6" t="inlineStr"/>
      <c r="AC149" s="3">
        <f>IF($AB149="","",IFERROR(INDEX('ASIGNACIONES'!$F$4:$F$339,MATCH($O149&amp;"|"&amp;$R149&amp;"|"&amp;$AB149,'ASIGNACIONES'!$I$4:$I$339,0)),""))</f>
        <v/>
      </c>
      <c r="AD149" s="13">
        <f>IF($AB149="","",SUMIFS('ORDENES'!$M$4:$M$1203,'ORDENES'!$AB$4:$AB$1203,$AB149,'ORDENES'!$O$4:$O$1203,$O149,'ORDENES'!$R$4:$R$1203,$R149))</f>
        <v/>
      </c>
      <c r="AE149" s="13">
        <f>IF($AD149="","",p_factor_productividad*IFERROR(INDEX('ASIGNACIONES'!$H$4:$H$339,MATCH($O149&amp;"|"&amp;$R149&amp;"|"&amp;$AB149,'ASIGNACIONES'!$I$4:$I$339,0)),0)-$AD149)</f>
        <v/>
      </c>
      <c r="AF149" s="10">
        <f>IF($A149="","",IFERROR(INDEX('2_IMPORTAR_EJECUCION'!$F$9:$F$1208,MATCH($AN149,'2_IMPORTAR_EJECUCION'!$J$9:$J$1208,0)),0))</f>
        <v/>
      </c>
      <c r="AG149" s="10">
        <f>IF($A149="","",MAX(0,IFERROR(INDEX('2_IMPORTAR_EJECUCION'!$H$9:$H$1208,MATCH($AN149,'2_IMPORTAR_EJECUCION'!$J$9:$J$1208,0)),0)-$AF149))</f>
        <v/>
      </c>
      <c r="AH149" s="10">
        <f>IF($A149="","",$AF149+$AG149)</f>
        <v/>
      </c>
      <c r="AI149" s="6" t="inlineStr"/>
      <c r="AJ149" s="6" t="inlineStr"/>
      <c r="AK149" s="6" t="inlineStr"/>
      <c r="AL149" s="3">
        <f>IF($AK149="","",HYPERLINK(p_ruta_base_checklists&amp;$AK149,"abrir"))</f>
        <v/>
      </c>
      <c r="AM149" s="6" t="inlineStr"/>
      <c r="AN149" s="3">
        <f>IF($A149="","",$A149&amp;IF($B149="","0010",$B149))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Reparación de falla — EQ-103</t>
        </is>
      </c>
      <c r="D150" s="3" t="inlineStr">
        <is>
          <t>Reparación de falla en EQ-103</t>
        </is>
      </c>
      <c r="E150" s="3" t="inlineStr">
        <is>
          <t>EQ-103</t>
        </is>
      </c>
      <c r="F150" s="3" t="inlineStr">
        <is>
          <t>CC-110</t>
        </is>
      </c>
      <c r="G150" s="3" t="inlineStr">
        <is>
          <t>PU-AUT</t>
        </is>
      </c>
      <c r="H150" s="3" t="inlineStr">
        <is>
          <t>ACT-03</t>
        </is>
      </c>
      <c r="I150" s="3" t="inlineStr">
        <is>
          <t>TIPO-C2</t>
        </is>
      </c>
      <c r="J150" s="11" t="n">
        <v>46149</v>
      </c>
      <c r="K150" s="3" t="n">
        <v>8</v>
      </c>
      <c r="L150" s="10" t="n">
        <v>320</v>
      </c>
      <c r="M150" s="3">
        <f>IF($A150="","",IFERROR(INDEX('AJUSTES'!$B$4:$B$303,MATCH($AN150,'AJUSTES'!$A$4:$A$303,0)),IF($K150="","",$K150)))</f>
        <v/>
      </c>
      <c r="N150" s="3">
        <f>IF($A150="","",IFERROR(INDEX('CAT_ESTADOS_ERP'!$B$4:$B$7,MATCH(IFERROR(INDEX('2_IMPORTAR_EJECUCION'!$C$9:$C$1208,MATCH($AN150,'2_IMPORTAR_EJECUCION'!$J$9:$J$1208,0)),""),'CAT_ESTADOS_ERP'!$A$4:$A$7,0)),"Pendiente"))</f>
        <v/>
      </c>
      <c r="O150" s="3">
        <f>IF($J150="","",YEAR($J150+4-WEEKDAY($J150,2))&amp;"-S"&amp;TEXT(_xlfn.ISOWEEKNUM($J150),"00"))</f>
        <v/>
      </c>
      <c r="P150" s="3">
        <f>IF($J150="","",YEAR($J150))</f>
        <v/>
      </c>
      <c r="Q150" s="3">
        <f>IF($J150="","",MONTH($J150))</f>
        <v/>
      </c>
      <c r="R150" s="3">
        <f>IF($J150="","",INDEX(lista_dias,WEEKDAY($J150,2)))</f>
        <v/>
      </c>
      <c r="S150" s="3">
        <f>IF($I150="","",IFERROR(INDEX('CAT_TIPOS_OT'!$C$4:$C$7,MATCH($I150,'CAT_TIPOS_OT'!$A$4:$A$7,0)),"sin_clasificar"))</f>
        <v/>
      </c>
      <c r="T150" s="3">
        <f>IF($F150="","",IFERROR(INDEX('CAT_CENTROS_COSTO'!$E$4:$E$9,MATCH($F150,'CAT_CENTROS_COSTO'!$A$4:$A$9,0)),"(sin catálogo)"))</f>
        <v/>
      </c>
      <c r="U150" s="3">
        <f>IF($F150="","",IFERROR(INDEX('CAT_CENTROS_COSTO'!$D$4:$D$9,MATCH($F150,'CAT_CENTROS_COSTO'!$A$4:$A$9,0)),"(sin catálogo)"))</f>
        <v/>
      </c>
      <c r="V150" s="3">
        <f>IF($F150="","",IFERROR(INDEX('CAT_CENTROS_COSTO'!$F$4:$F$9,MATCH($F150,'CAT_CENTROS_COSTO'!$A$4:$A$9,0)),"(sin catálogo)"))</f>
        <v/>
      </c>
      <c r="W150" s="3">
        <f>IF($G150="","",IFERROR(INDEX('CAT_PUESTOS'!$B$4:$B$8,MATCH($G150,'CAT_PUESTOS'!$A$4:$A$8,0)),"(sin catálogo)"))</f>
        <v/>
      </c>
      <c r="X150" s="3">
        <f>IF($H150="","",IFERROR(INDEX('CAT_ACTIVIDADES'!$B$4:$B$8,MATCH($H150,'CAT_ACTIVIDADES'!$A$4:$A$8,0)),"(sin catálogo)"))</f>
        <v/>
      </c>
      <c r="Y150" s="12">
        <f>IF($J150="","",TODAY()-$J150)</f>
        <v/>
      </c>
      <c r="Z150" s="3">
        <f>IF($Y150="","",IF($Y150&lt;0,"FUTURO",IF($Y150&gt;p_dias_backlog_max,"BACKLOG","MES CORRIENTE")))</f>
        <v/>
      </c>
      <c r="AA150" s="3">
        <f>IF($Y150="",FALSE,AND($Y150&gt;p_dias_backlog_min,$Y150&lt;=p_dias_backlog_max))</f>
        <v/>
      </c>
      <c r="AB150" s="6" t="inlineStr"/>
      <c r="AC150" s="3">
        <f>IF($AB150="","",IFERROR(INDEX('ASIGNACIONES'!$F$4:$F$339,MATCH($O150&amp;"|"&amp;$R150&amp;"|"&amp;$AB150,'ASIGNACIONES'!$I$4:$I$339,0)),""))</f>
        <v/>
      </c>
      <c r="AD150" s="13">
        <f>IF($AB150="","",SUMIFS('ORDENES'!$M$4:$M$1203,'ORDENES'!$AB$4:$AB$1203,$AB150,'ORDENES'!$O$4:$O$1203,$O150,'ORDENES'!$R$4:$R$1203,$R150))</f>
        <v/>
      </c>
      <c r="AE150" s="13">
        <f>IF($AD150="","",p_factor_productividad*IFERROR(INDEX('ASIGNACIONES'!$H$4:$H$339,MATCH($O150&amp;"|"&amp;$R150&amp;"|"&amp;$AB150,'ASIGNACIONES'!$I$4:$I$339,0)),0)-$AD150)</f>
        <v/>
      </c>
      <c r="AF150" s="10">
        <f>IF($A150="","",IFERROR(INDEX('2_IMPORTAR_EJECUCION'!$F$9:$F$1208,MATCH($AN150,'2_IMPORTAR_EJECUCION'!$J$9:$J$1208,0)),0))</f>
        <v/>
      </c>
      <c r="AG150" s="10">
        <f>IF($A150="","",MAX(0,IFERROR(INDEX('2_IMPORTAR_EJECUCION'!$H$9:$H$1208,MATCH($AN150,'2_IMPORTAR_EJECUCION'!$J$9:$J$1208,0)),0)-$AF150))</f>
        <v/>
      </c>
      <c r="AH150" s="10">
        <f>IF($A150="","",$AF150+$AG150)</f>
        <v/>
      </c>
      <c r="AI150" s="6" t="inlineStr"/>
      <c r="AJ150" s="6" t="inlineStr"/>
      <c r="AK150" s="6" t="inlineStr"/>
      <c r="AL150" s="3">
        <f>IF($AK150="","",HYPERLINK(p_ruta_base_checklists&amp;$AK150,"abrir"))</f>
        <v/>
      </c>
      <c r="AM150" s="6" t="inlineStr"/>
      <c r="AN150" s="3">
        <f>IF($A150="","",$A150&amp;IF($B150="","0010",$B150))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CC-210</t>
        </is>
      </c>
      <c r="G151" s="3" t="inlineStr">
        <is>
          <t>PU-AUT</t>
        </is>
      </c>
      <c r="H151" s="3" t="inlineStr">
        <is>
          <t>ACT-03</t>
        </is>
      </c>
      <c r="I151" s="3" t="inlineStr">
        <is>
          <t>TIPO-C1</t>
        </is>
      </c>
      <c r="J151" s="11" t="n">
        <v>46124</v>
      </c>
      <c r="K151" s="3" t="n">
        <v>4</v>
      </c>
      <c r="L151" s="10" t="n">
        <v>160</v>
      </c>
      <c r="M151" s="3">
        <f>IF($A151="","",IFERROR(INDEX('AJUSTES'!$B$4:$B$303,MATCH($AN151,'AJUSTES'!$A$4:$A$303,0)),IF($K151="","",$K151)))</f>
        <v/>
      </c>
      <c r="N151" s="3">
        <f>IF($A151="","",IFERROR(INDEX('CAT_ESTADOS_ERP'!$B$4:$B$7,MATCH(IFERROR(INDEX('2_IMPORTAR_EJECUCION'!$C$9:$C$1208,MATCH($AN151,'2_IMPORTAR_EJECUCION'!$J$9:$J$1208,0)),""),'CAT_ESTADOS_ERP'!$A$4:$A$7,0)),"Pendiente"))</f>
        <v/>
      </c>
      <c r="O151" s="3">
        <f>IF($J151="","",YEAR($J151+4-WEEKDAY($J151,2))&amp;"-S"&amp;TEXT(_xlfn.ISOWEEKNUM($J151),"00"))</f>
        <v/>
      </c>
      <c r="P151" s="3">
        <f>IF($J151="","",YEAR($J151))</f>
        <v/>
      </c>
      <c r="Q151" s="3">
        <f>IF($J151="","",MONTH($J151))</f>
        <v/>
      </c>
      <c r="R151" s="3">
        <f>IF($J151="","",INDEX(lista_dias,WEEKDAY($J151,2)))</f>
        <v/>
      </c>
      <c r="S151" s="3">
        <f>IF($I151="","",IFERROR(INDEX('CAT_TIPOS_OT'!$C$4:$C$7,MATCH($I151,'CAT_TIPOS_OT'!$A$4:$A$7,0)),"sin_clasificar"))</f>
        <v/>
      </c>
      <c r="T151" s="3">
        <f>IF($F151="","",IFERROR(INDEX('CAT_CENTROS_COSTO'!$E$4:$E$9,MATCH($F151,'CAT_CENTROS_COSTO'!$A$4:$A$9,0)),"(sin catálogo)"))</f>
        <v/>
      </c>
      <c r="U151" s="3">
        <f>IF($F151="","",IFERROR(INDEX('CAT_CENTROS_COSTO'!$D$4:$D$9,MATCH($F151,'CAT_CENTROS_COSTO'!$A$4:$A$9,0)),"(sin catálogo)"))</f>
        <v/>
      </c>
      <c r="V151" s="3">
        <f>IF($F151="","",IFERROR(INDEX('CAT_CENTROS_COSTO'!$F$4:$F$9,MATCH($F151,'CAT_CENTROS_COSTO'!$A$4:$A$9,0)),"(sin catálogo)"))</f>
        <v/>
      </c>
      <c r="W151" s="3">
        <f>IF($G151="","",IFERROR(INDEX('CAT_PUESTOS'!$B$4:$B$8,MATCH($G151,'CAT_PUESTOS'!$A$4:$A$8,0)),"(sin catálogo)"))</f>
        <v/>
      </c>
      <c r="X151" s="3">
        <f>IF($H151="","",IFERROR(INDEX('CAT_ACTIVIDADES'!$B$4:$B$8,MATCH($H151,'CAT_ACTIVIDADES'!$A$4:$A$8,0)),"(sin catálogo)"))</f>
        <v/>
      </c>
      <c r="Y151" s="12">
        <f>IF($J151="","",TODAY()-$J151)</f>
        <v/>
      </c>
      <c r="Z151" s="3">
        <f>IF($Y151="","",IF($Y151&lt;0,"FUTURO",IF($Y151&gt;p_dias_backlog_max,"BACKLOG","MES CORRIENTE")))</f>
        <v/>
      </c>
      <c r="AA151" s="3">
        <f>IF($Y151="",FALSE,AND($Y151&gt;p_dias_backlog_min,$Y151&lt;=p_dias_backlog_max))</f>
        <v/>
      </c>
      <c r="AB151" s="6" t="inlineStr"/>
      <c r="AC151" s="3">
        <f>IF($AB151="","",IFERROR(INDEX('ASIGNACIONES'!$F$4:$F$339,MATCH($O151&amp;"|"&amp;$R151&amp;"|"&amp;$AB151,'ASIGNACIONES'!$I$4:$I$339,0)),""))</f>
        <v/>
      </c>
      <c r="AD151" s="13">
        <f>IF($AB151="","",SUMIFS('ORDENES'!$M$4:$M$1203,'ORDENES'!$AB$4:$AB$1203,$AB151,'ORDENES'!$O$4:$O$1203,$O151,'ORDENES'!$R$4:$R$1203,$R151))</f>
        <v/>
      </c>
      <c r="AE151" s="13">
        <f>IF($AD151="","",p_factor_productividad*IFERROR(INDEX('ASIGNACIONES'!$H$4:$H$339,MATCH($O151&amp;"|"&amp;$R151&amp;"|"&amp;$AB151,'ASIGNACIONES'!$I$4:$I$339,0)),0)-$AD151)</f>
        <v/>
      </c>
      <c r="AF151" s="10">
        <f>IF($A151="","",IFERROR(INDEX('2_IMPORTAR_EJECUCION'!$F$9:$F$1208,MATCH($AN151,'2_IMPORTAR_EJECUCION'!$J$9:$J$1208,0)),0))</f>
        <v/>
      </c>
      <c r="AG151" s="10">
        <f>IF($A151="","",MAX(0,IFERROR(INDEX('2_IMPORTAR_EJECUCION'!$H$9:$H$1208,MATCH($AN151,'2_IMPORTAR_EJECUCION'!$J$9:$J$1208,0)),0)-$AF151))</f>
        <v/>
      </c>
      <c r="AH151" s="10">
        <f>IF($A151="","",$AF151+$AG151)</f>
        <v/>
      </c>
      <c r="AI151" s="6" t="inlineStr"/>
      <c r="AJ151" s="6" t="inlineStr"/>
      <c r="AK151" s="6" t="inlineStr"/>
      <c r="AL151" s="3">
        <f>IF($AK151="","",HYPERLINK(p_ruta_base_checklists&amp;$AK151,"abrir"))</f>
        <v/>
      </c>
      <c r="AM151" s="6" t="inlineStr"/>
      <c r="AN151" s="3">
        <f>IF($A151="","",$A151&amp;IF($B151="","0010",$B151))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Reparación de falla — EQ-107</t>
        </is>
      </c>
      <c r="D152" s="3" t="inlineStr">
        <is>
          <t>Reparación de falla en EQ-107</t>
        </is>
      </c>
      <c r="E152" s="3" t="inlineStr">
        <is>
          <t>EQ-107</t>
        </is>
      </c>
      <c r="F152" s="3" t="inlineStr">
        <is>
          <t>CC-220</t>
        </is>
      </c>
      <c r="G152" s="3" t="inlineStr">
        <is>
          <t>PU-OP</t>
        </is>
      </c>
      <c r="H152" s="3" t="inlineStr">
        <is>
          <t>ACT-03</t>
        </is>
      </c>
      <c r="I152" s="3" t="inlineStr">
        <is>
          <t>TIPO-C2</t>
        </is>
      </c>
      <c r="J152" s="11" t="n">
        <v>46124</v>
      </c>
      <c r="K152" s="3" t="n">
        <v>6</v>
      </c>
      <c r="L152" s="10" t="n">
        <v>240</v>
      </c>
      <c r="M152" s="3">
        <f>IF($A152="","",IFERROR(INDEX('AJUSTES'!$B$4:$B$303,MATCH($AN152,'AJUSTES'!$A$4:$A$303,0)),IF($K152="","",$K152)))</f>
        <v/>
      </c>
      <c r="N152" s="3">
        <f>IF($A152="","",IFERROR(INDEX('CAT_ESTADOS_ERP'!$B$4:$B$7,MATCH(IFERROR(INDEX('2_IMPORTAR_EJECUCION'!$C$9:$C$1208,MATCH($AN152,'2_IMPORTAR_EJECUCION'!$J$9:$J$1208,0)),""),'CAT_ESTADOS_ERP'!$A$4:$A$7,0)),"Pendiente"))</f>
        <v/>
      </c>
      <c r="O152" s="3">
        <f>IF($J152="","",YEAR($J152+4-WEEKDAY($J152,2))&amp;"-S"&amp;TEXT(_xlfn.ISOWEEKNUM($J152),"00"))</f>
        <v/>
      </c>
      <c r="P152" s="3">
        <f>IF($J152="","",YEAR($J152))</f>
        <v/>
      </c>
      <c r="Q152" s="3">
        <f>IF($J152="","",MONTH($J152))</f>
        <v/>
      </c>
      <c r="R152" s="3">
        <f>IF($J152="","",INDEX(lista_dias,WEEKDAY($J152,2)))</f>
        <v/>
      </c>
      <c r="S152" s="3">
        <f>IF($I152="","",IFERROR(INDEX('CAT_TIPOS_OT'!$C$4:$C$7,MATCH($I152,'CAT_TIPOS_OT'!$A$4:$A$7,0)),"sin_clasificar"))</f>
        <v/>
      </c>
      <c r="T152" s="3">
        <f>IF($F152="","",IFERROR(INDEX('CAT_CENTROS_COSTO'!$E$4:$E$9,MATCH($F152,'CAT_CENTROS_COSTO'!$A$4:$A$9,0)),"(sin catálogo)"))</f>
        <v/>
      </c>
      <c r="U152" s="3">
        <f>IF($F152="","",IFERROR(INDEX('CAT_CENTROS_COSTO'!$D$4:$D$9,MATCH($F152,'CAT_CENTROS_COSTO'!$A$4:$A$9,0)),"(sin catálogo)"))</f>
        <v/>
      </c>
      <c r="V152" s="3">
        <f>IF($F152="","",IFERROR(INDEX('CAT_CENTROS_COSTO'!$F$4:$F$9,MATCH($F152,'CAT_CENTROS_COSTO'!$A$4:$A$9,0)),"(sin catálogo)"))</f>
        <v/>
      </c>
      <c r="W152" s="3">
        <f>IF($G152="","",IFERROR(INDEX('CAT_PUESTOS'!$B$4:$B$8,MATCH($G152,'CAT_PUESTOS'!$A$4:$A$8,0)),"(sin catálogo)"))</f>
        <v/>
      </c>
      <c r="X152" s="3">
        <f>IF($H152="","",IFERROR(INDEX('CAT_ACTIVIDADES'!$B$4:$B$8,MATCH($H152,'CAT_ACTIVIDADES'!$A$4:$A$8,0)),"(sin catálogo)"))</f>
        <v/>
      </c>
      <c r="Y152" s="12">
        <f>IF($J152="","",TODAY()-$J152)</f>
        <v/>
      </c>
      <c r="Z152" s="3">
        <f>IF($Y152="","",IF($Y152&lt;0,"FUTURO",IF($Y152&gt;p_dias_backlog_max,"BACKLOG","MES CORRIENTE")))</f>
        <v/>
      </c>
      <c r="AA152" s="3">
        <f>IF($Y152="",FALSE,AND($Y152&gt;p_dias_backlog_min,$Y152&lt;=p_dias_backlog_max))</f>
        <v/>
      </c>
      <c r="AB152" s="6" t="inlineStr"/>
      <c r="AC152" s="3">
        <f>IF($AB152="","",IFERROR(INDEX('ASIGNACIONES'!$F$4:$F$339,MATCH($O152&amp;"|"&amp;$R152&amp;"|"&amp;$AB152,'ASIGNACIONES'!$I$4:$I$339,0)),""))</f>
        <v/>
      </c>
      <c r="AD152" s="13">
        <f>IF($AB152="","",SUMIFS('ORDENES'!$M$4:$M$1203,'ORDENES'!$AB$4:$AB$1203,$AB152,'ORDENES'!$O$4:$O$1203,$O152,'ORDENES'!$R$4:$R$1203,$R152))</f>
        <v/>
      </c>
      <c r="AE152" s="13">
        <f>IF($AD152="","",p_factor_productividad*IFERROR(INDEX('ASIGNACIONES'!$H$4:$H$339,MATCH($O152&amp;"|"&amp;$R152&amp;"|"&amp;$AB152,'ASIGNACIONES'!$I$4:$I$339,0)),0)-$AD152)</f>
        <v/>
      </c>
      <c r="AF152" s="10">
        <f>IF($A152="","",IFERROR(INDEX('2_IMPORTAR_EJECUCION'!$F$9:$F$1208,MATCH($AN152,'2_IMPORTAR_EJECUCION'!$J$9:$J$1208,0)),0))</f>
        <v/>
      </c>
      <c r="AG152" s="10">
        <f>IF($A152="","",MAX(0,IFERROR(INDEX('2_IMPORTAR_EJECUCION'!$H$9:$H$1208,MATCH($AN152,'2_IMPORTAR_EJECUCION'!$J$9:$J$1208,0)),0)-$AF152))</f>
        <v/>
      </c>
      <c r="AH152" s="10">
        <f>IF($A152="","",$AF152+$AG152)</f>
        <v/>
      </c>
      <c r="AI152" s="6" t="inlineStr"/>
      <c r="AJ152" s="6" t="inlineStr"/>
      <c r="AK152" s="6" t="inlineStr"/>
      <c r="AL152" s="3">
        <f>IF($AK152="","",HYPERLINK(p_ruta_base_checklists&amp;$AK152,"abrir"))</f>
        <v/>
      </c>
      <c r="AM152" s="6" t="inlineStr"/>
      <c r="AN152" s="3">
        <f>IF($A152="","",$A152&amp;IF($B152="","0010",$B152))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CC-310</t>
        </is>
      </c>
      <c r="G153" s="3" t="inlineStr">
        <is>
          <t>PU-MEC</t>
        </is>
      </c>
      <c r="H153" s="3" t="inlineStr">
        <is>
          <t>ACT-03</t>
        </is>
      </c>
      <c r="I153" s="3" t="inlineStr">
        <is>
          <t>TIPO-C1</t>
        </is>
      </c>
      <c r="J153" s="11" t="n">
        <v>46124</v>
      </c>
      <c r="K153" s="3" t="n">
        <v>8</v>
      </c>
      <c r="L153" s="10" t="n">
        <v>320</v>
      </c>
      <c r="M153" s="3">
        <f>IF($A153="","",IFERROR(INDEX('AJUSTES'!$B$4:$B$303,MATCH($AN153,'AJUSTES'!$A$4:$A$303,0)),IF($K153="","",$K153)))</f>
        <v/>
      </c>
      <c r="N153" s="3">
        <f>IF($A153="","",IFERROR(INDEX('CAT_ESTADOS_ERP'!$B$4:$B$7,MATCH(IFERROR(INDEX('2_IMPORTAR_EJECUCION'!$C$9:$C$1208,MATCH($AN153,'2_IMPORTAR_EJECUCION'!$J$9:$J$1208,0)),""),'CAT_ESTADOS_ERP'!$A$4:$A$7,0)),"Pendiente"))</f>
        <v/>
      </c>
      <c r="O153" s="3">
        <f>IF($J153="","",YEAR($J153+4-WEEKDAY($J153,2))&amp;"-S"&amp;TEXT(_xlfn.ISOWEEKNUM($J153),"00"))</f>
        <v/>
      </c>
      <c r="P153" s="3">
        <f>IF($J153="","",YEAR($J153))</f>
        <v/>
      </c>
      <c r="Q153" s="3">
        <f>IF($J153="","",MONTH($J153))</f>
        <v/>
      </c>
      <c r="R153" s="3">
        <f>IF($J153="","",INDEX(lista_dias,WEEKDAY($J153,2)))</f>
        <v/>
      </c>
      <c r="S153" s="3">
        <f>IF($I153="","",IFERROR(INDEX('CAT_TIPOS_OT'!$C$4:$C$7,MATCH($I153,'CAT_TIPOS_OT'!$A$4:$A$7,0)),"sin_clasificar"))</f>
        <v/>
      </c>
      <c r="T153" s="3">
        <f>IF($F153="","",IFERROR(INDEX('CAT_CENTROS_COSTO'!$E$4:$E$9,MATCH($F153,'CAT_CENTROS_COSTO'!$A$4:$A$9,0)),"(sin catálogo)"))</f>
        <v/>
      </c>
      <c r="U153" s="3">
        <f>IF($F153="","",IFERROR(INDEX('CAT_CENTROS_COSTO'!$D$4:$D$9,MATCH($F153,'CAT_CENTROS_COSTO'!$A$4:$A$9,0)),"(sin catálogo)"))</f>
        <v/>
      </c>
      <c r="V153" s="3">
        <f>IF($F153="","",IFERROR(INDEX('CAT_CENTROS_COSTO'!$F$4:$F$9,MATCH($F153,'CAT_CENTROS_COSTO'!$A$4:$A$9,0)),"(sin catálogo)"))</f>
        <v/>
      </c>
      <c r="W153" s="3">
        <f>IF($G153="","",IFERROR(INDEX('CAT_PUESTOS'!$B$4:$B$8,MATCH($G153,'CAT_PUESTOS'!$A$4:$A$8,0)),"(sin catálogo)"))</f>
        <v/>
      </c>
      <c r="X153" s="3">
        <f>IF($H153="","",IFERROR(INDEX('CAT_ACTIVIDADES'!$B$4:$B$8,MATCH($H153,'CAT_ACTIVIDADES'!$A$4:$A$8,0)),"(sin catálogo)"))</f>
        <v/>
      </c>
      <c r="Y153" s="12">
        <f>IF($J153="","",TODAY()-$J153)</f>
        <v/>
      </c>
      <c r="Z153" s="3">
        <f>IF($Y153="","",IF($Y153&lt;0,"FUTURO",IF($Y153&gt;p_dias_backlog_max,"BACKLOG","MES CORRIENTE")))</f>
        <v/>
      </c>
      <c r="AA153" s="3">
        <f>IF($Y153="",FALSE,AND($Y153&gt;p_dias_backlog_min,$Y153&lt;=p_dias_backlog_max))</f>
        <v/>
      </c>
      <c r="AB153" s="6" t="inlineStr"/>
      <c r="AC153" s="3">
        <f>IF($AB153="","",IFERROR(INDEX('ASIGNACIONES'!$F$4:$F$339,MATCH($O153&amp;"|"&amp;$R153&amp;"|"&amp;$AB153,'ASIGNACIONES'!$I$4:$I$339,0)),""))</f>
        <v/>
      </c>
      <c r="AD153" s="13">
        <f>IF($AB153="","",SUMIFS('ORDENES'!$M$4:$M$1203,'ORDENES'!$AB$4:$AB$1203,$AB153,'ORDENES'!$O$4:$O$1203,$O153,'ORDENES'!$R$4:$R$1203,$R153))</f>
        <v/>
      </c>
      <c r="AE153" s="13">
        <f>IF($AD153="","",p_factor_productividad*IFERROR(INDEX('ASIGNACIONES'!$H$4:$H$339,MATCH($O153&amp;"|"&amp;$R153&amp;"|"&amp;$AB153,'ASIGNACIONES'!$I$4:$I$339,0)),0)-$AD153)</f>
        <v/>
      </c>
      <c r="AF153" s="10">
        <f>IF($A153="","",IFERROR(INDEX('2_IMPORTAR_EJECUCION'!$F$9:$F$1208,MATCH($AN153,'2_IMPORTAR_EJECUCION'!$J$9:$J$1208,0)),0))</f>
        <v/>
      </c>
      <c r="AG153" s="10">
        <f>IF($A153="","",MAX(0,IFERROR(INDEX('2_IMPORTAR_EJECUCION'!$H$9:$H$1208,MATCH($AN153,'2_IMPORTAR_EJECUCION'!$J$9:$J$1208,0)),0)-$AF153))</f>
        <v/>
      </c>
      <c r="AH153" s="10">
        <f>IF($A153="","",$AF153+$AG153)</f>
        <v/>
      </c>
      <c r="AI153" s="6" t="inlineStr"/>
      <c r="AJ153" s="6" t="inlineStr"/>
      <c r="AK153" s="6" t="inlineStr"/>
      <c r="AL153" s="3">
        <f>IF($AK153="","",HYPERLINK(p_ruta_base_checklists&amp;$AK153,"abrir"))</f>
        <v/>
      </c>
      <c r="AM153" s="6" t="inlineStr"/>
      <c r="AN153" s="3">
        <f>IF($A153="","",$A153&amp;IF($B153="","0010",$B153))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Lubricación programada — EQ-111</t>
        </is>
      </c>
      <c r="D154" s="3" t="inlineStr">
        <is>
          <t>Lubricación programada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PU-ELE</t>
        </is>
      </c>
      <c r="H154" s="3" t="inlineStr">
        <is>
          <t>ACT-02</t>
        </is>
      </c>
      <c r="I154" s="3" t="inlineStr">
        <is>
          <t>TIPO-P2</t>
        </is>
      </c>
      <c r="J154" s="11" t="n">
        <v>46124</v>
      </c>
      <c r="K154" s="3" t="n">
        <v>4</v>
      </c>
      <c r="L154" s="10" t="n">
        <v>100</v>
      </c>
      <c r="M154" s="3">
        <f>IF($A154="","",IFERROR(INDEX('AJUSTES'!$B$4:$B$303,MATCH($AN154,'AJUSTES'!$A$4:$A$303,0)),IF($K154="","",$K154)))</f>
        <v/>
      </c>
      <c r="N154" s="3">
        <f>IF($A154="","",IFERROR(INDEX('CAT_ESTADOS_ERP'!$B$4:$B$7,MATCH(IFERROR(INDEX('2_IMPORTAR_EJECUCION'!$C$9:$C$1208,MATCH($AN154,'2_IMPORTAR_EJECUCION'!$J$9:$J$1208,0)),""),'CAT_ESTADOS_ERP'!$A$4:$A$7,0)),"Pendiente"))</f>
        <v/>
      </c>
      <c r="O154" s="3">
        <f>IF($J154="","",YEAR($J154+4-WEEKDAY($J154,2))&amp;"-S"&amp;TEXT(_xlfn.ISOWEEKNUM($J154),"00"))</f>
        <v/>
      </c>
      <c r="P154" s="3">
        <f>IF($J154="","",YEAR($J154))</f>
        <v/>
      </c>
      <c r="Q154" s="3">
        <f>IF($J154="","",MONTH($J154))</f>
        <v/>
      </c>
      <c r="R154" s="3">
        <f>IF($J154="","",INDEX(lista_dias,WEEKDAY($J154,2)))</f>
        <v/>
      </c>
      <c r="S154" s="3">
        <f>IF($I154="","",IFERROR(INDEX('CAT_TIPOS_OT'!$C$4:$C$7,MATCH($I154,'CAT_TIPOS_OT'!$A$4:$A$7,0)),"sin_clasificar"))</f>
        <v/>
      </c>
      <c r="T154" s="3">
        <f>IF($F154="","",IFERROR(INDEX('CAT_CENTROS_COSTO'!$E$4:$E$9,MATCH($F154,'CAT_CENTROS_COSTO'!$A$4:$A$9,0)),"(sin catálogo)"))</f>
        <v/>
      </c>
      <c r="U154" s="3">
        <f>IF($F154="","",IFERROR(INDEX('CAT_CENTROS_COSTO'!$D$4:$D$9,MATCH($F154,'CAT_CENTROS_COSTO'!$A$4:$A$9,0)),"(sin catálogo)"))</f>
        <v/>
      </c>
      <c r="V154" s="3">
        <f>IF($F154="","",IFERROR(INDEX('CAT_CENTROS_COSTO'!$F$4:$F$9,MATCH($F154,'CAT_CENTROS_COSTO'!$A$4:$A$9,0)),"(sin catálogo)"))</f>
        <v/>
      </c>
      <c r="W154" s="3">
        <f>IF($G154="","",IFERROR(INDEX('CAT_PUESTOS'!$B$4:$B$8,MATCH($G154,'CAT_PUESTOS'!$A$4:$A$8,0)),"(sin catálogo)"))</f>
        <v/>
      </c>
      <c r="X154" s="3">
        <f>IF($H154="","",IFERROR(INDEX('CAT_ACTIVIDADES'!$B$4:$B$8,MATCH($H154,'CAT_ACTIVIDADES'!$A$4:$A$8,0)),"(sin catálogo)"))</f>
        <v/>
      </c>
      <c r="Y154" s="12">
        <f>IF($J154="","",TODAY()-$J154)</f>
        <v/>
      </c>
      <c r="Z154" s="3">
        <f>IF($Y154="","",IF($Y154&lt;0,"FUTURO",IF($Y154&gt;p_dias_backlog_max,"BACKLOG","MES CORRIENTE")))</f>
        <v/>
      </c>
      <c r="AA154" s="3">
        <f>IF($Y154="",FALSE,AND($Y154&gt;p_dias_backlog_min,$Y154&lt;=p_dias_backlog_max))</f>
        <v/>
      </c>
      <c r="AB154" s="6" t="inlineStr"/>
      <c r="AC154" s="3">
        <f>IF($AB154="","",IFERROR(INDEX('ASIGNACIONES'!$F$4:$F$339,MATCH($O154&amp;"|"&amp;$R154&amp;"|"&amp;$AB154,'ASIGNACIONES'!$I$4:$I$339,0)),""))</f>
        <v/>
      </c>
      <c r="AD154" s="13">
        <f>IF($AB154="","",SUMIFS('ORDENES'!$M$4:$M$1203,'ORDENES'!$AB$4:$AB$1203,$AB154,'ORDENES'!$O$4:$O$1203,$O154,'ORDENES'!$R$4:$R$1203,$R154))</f>
        <v/>
      </c>
      <c r="AE154" s="13">
        <f>IF($AD154="","",p_factor_productividad*IFERROR(INDEX('ASIGNACIONES'!$H$4:$H$339,MATCH($O154&amp;"|"&amp;$R154&amp;"|"&amp;$AB154,'ASIGNACIONES'!$I$4:$I$339,0)),0)-$AD154)</f>
        <v/>
      </c>
      <c r="AF154" s="10">
        <f>IF($A154="","",IFERROR(INDEX('2_IMPORTAR_EJECUCION'!$F$9:$F$1208,MATCH($AN154,'2_IMPORTAR_EJECUCION'!$J$9:$J$1208,0)),0))</f>
        <v/>
      </c>
      <c r="AG154" s="10">
        <f>IF($A154="","",MAX(0,IFERROR(INDEX('2_IMPORTAR_EJECUCION'!$H$9:$H$1208,MATCH($AN154,'2_IMPORTAR_EJECUCION'!$J$9:$J$1208,0)),0)-$AF154))</f>
        <v/>
      </c>
      <c r="AH154" s="10">
        <f>IF($A154="","",$AF154+$AG154)</f>
        <v/>
      </c>
      <c r="AI154" s="6" t="inlineStr"/>
      <c r="AJ154" s="6" t="inlineStr"/>
      <c r="AK154" s="6" t="inlineStr"/>
      <c r="AL154" s="3">
        <f>IF($AK154="","",HYPERLINK(p_ruta_base_checklists&amp;$AK154,"abrir"))</f>
        <v/>
      </c>
      <c r="AM154" s="6" t="inlineStr"/>
      <c r="AN154" s="3">
        <f>IF($A154="","",$A154&amp;IF($B154="","0010",$B154))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EQ-103</t>
        </is>
      </c>
      <c r="D155" s="3" t="inlineStr">
        <is>
          <t>Reparación de falla en EQ-103</t>
        </is>
      </c>
      <c r="E155" s="3" t="inlineStr">
        <is>
          <t>EQ-103</t>
        </is>
      </c>
      <c r="F155" s="3" t="inlineStr">
        <is>
          <t>CC-110</t>
        </is>
      </c>
      <c r="G155" s="3" t="inlineStr">
        <is>
          <t>PU-AUT</t>
        </is>
      </c>
      <c r="H155" s="3" t="inlineStr">
        <is>
          <t>ACT-03</t>
        </is>
      </c>
      <c r="I155" s="3" t="inlineStr">
        <is>
          <t>TIPO-C1</t>
        </is>
      </c>
      <c r="J155" s="11" t="n">
        <v>46124</v>
      </c>
      <c r="K155" s="3" t="n">
        <v>6</v>
      </c>
      <c r="L155" s="10" t="n">
        <v>240</v>
      </c>
      <c r="M155" s="3">
        <f>IF($A155="","",IFERROR(INDEX('AJUSTES'!$B$4:$B$303,MATCH($AN155,'AJUSTES'!$A$4:$A$303,0)),IF($K155="","",$K155)))</f>
        <v/>
      </c>
      <c r="N155" s="3">
        <f>IF($A155="","",IFERROR(INDEX('CAT_ESTADOS_ERP'!$B$4:$B$7,MATCH(IFERROR(INDEX('2_IMPORTAR_EJECUCION'!$C$9:$C$1208,MATCH($AN155,'2_IMPORTAR_EJECUCION'!$J$9:$J$1208,0)),""),'CAT_ESTADOS_ERP'!$A$4:$A$7,0)),"Pendiente"))</f>
        <v/>
      </c>
      <c r="O155" s="3">
        <f>IF($J155="","",YEAR($J155+4-WEEKDAY($J155,2))&amp;"-S"&amp;TEXT(_xlfn.ISOWEEKNUM($J155),"00"))</f>
        <v/>
      </c>
      <c r="P155" s="3">
        <f>IF($J155="","",YEAR($J155))</f>
        <v/>
      </c>
      <c r="Q155" s="3">
        <f>IF($J155="","",MONTH($J155))</f>
        <v/>
      </c>
      <c r="R155" s="3">
        <f>IF($J155="","",INDEX(lista_dias,WEEKDAY($J155,2)))</f>
        <v/>
      </c>
      <c r="S155" s="3">
        <f>IF($I155="","",IFERROR(INDEX('CAT_TIPOS_OT'!$C$4:$C$7,MATCH($I155,'CAT_TIPOS_OT'!$A$4:$A$7,0)),"sin_clasificar"))</f>
        <v/>
      </c>
      <c r="T155" s="3">
        <f>IF($F155="","",IFERROR(INDEX('CAT_CENTROS_COSTO'!$E$4:$E$9,MATCH($F155,'CAT_CENTROS_COSTO'!$A$4:$A$9,0)),"(sin catálogo)"))</f>
        <v/>
      </c>
      <c r="U155" s="3">
        <f>IF($F155="","",IFERROR(INDEX('CAT_CENTROS_COSTO'!$D$4:$D$9,MATCH($F155,'CAT_CENTROS_COSTO'!$A$4:$A$9,0)),"(sin catálogo)"))</f>
        <v/>
      </c>
      <c r="V155" s="3">
        <f>IF($F155="","",IFERROR(INDEX('CAT_CENTROS_COSTO'!$F$4:$F$9,MATCH($F155,'CAT_CENTROS_COSTO'!$A$4:$A$9,0)),"(sin catálogo)"))</f>
        <v/>
      </c>
      <c r="W155" s="3">
        <f>IF($G155="","",IFERROR(INDEX('CAT_PUESTOS'!$B$4:$B$8,MATCH($G155,'CAT_PUESTOS'!$A$4:$A$8,0)),"(sin catálogo)"))</f>
        <v/>
      </c>
      <c r="X155" s="3">
        <f>IF($H155="","",IFERROR(INDEX('CAT_ACTIVIDADES'!$B$4:$B$8,MATCH($H155,'CAT_ACTIVIDADES'!$A$4:$A$8,0)),"(sin catálogo)"))</f>
        <v/>
      </c>
      <c r="Y155" s="12">
        <f>IF($J155="","",TODAY()-$J155)</f>
        <v/>
      </c>
      <c r="Z155" s="3">
        <f>IF($Y155="","",IF($Y155&lt;0,"FUTURO",IF($Y155&gt;p_dias_backlog_max,"BACKLOG","MES CORRIENTE")))</f>
        <v/>
      </c>
      <c r="AA155" s="3">
        <f>IF($Y155="",FALSE,AND($Y155&gt;p_dias_backlog_min,$Y155&lt;=p_dias_backlog_max))</f>
        <v/>
      </c>
      <c r="AB155" s="6" t="inlineStr"/>
      <c r="AC155" s="3">
        <f>IF($AB155="","",IFERROR(INDEX('ASIGNACIONES'!$F$4:$F$339,MATCH($O155&amp;"|"&amp;$R155&amp;"|"&amp;$AB155,'ASIGNACIONES'!$I$4:$I$339,0)),""))</f>
        <v/>
      </c>
      <c r="AD155" s="13">
        <f>IF($AB155="","",SUMIFS('ORDENES'!$M$4:$M$1203,'ORDENES'!$AB$4:$AB$1203,$AB155,'ORDENES'!$O$4:$O$1203,$O155,'ORDENES'!$R$4:$R$1203,$R155))</f>
        <v/>
      </c>
      <c r="AE155" s="13">
        <f>IF($AD155="","",p_factor_productividad*IFERROR(INDEX('ASIGNACIONES'!$H$4:$H$339,MATCH($O155&amp;"|"&amp;$R155&amp;"|"&amp;$AB155,'ASIGNACIONES'!$I$4:$I$339,0)),0)-$AD155)</f>
        <v/>
      </c>
      <c r="AF155" s="10">
        <f>IF($A155="","",IFERROR(INDEX('2_IMPORTAR_EJECUCION'!$F$9:$F$1208,MATCH($AN155,'2_IMPORTAR_EJECUCION'!$J$9:$J$1208,0)),0))</f>
        <v/>
      </c>
      <c r="AG155" s="10">
        <f>IF($A155="","",MAX(0,IFERROR(INDEX('2_IMPORTAR_EJECUCION'!$H$9:$H$1208,MATCH($AN155,'2_IMPORTAR_EJECUCION'!$J$9:$J$1208,0)),0)-$AF155))</f>
        <v/>
      </c>
      <c r="AH155" s="10">
        <f>IF($A155="","",$AF155+$AG155)</f>
        <v/>
      </c>
      <c r="AI155" s="6" t="inlineStr"/>
      <c r="AJ155" s="6" t="inlineStr"/>
      <c r="AK155" s="6" t="inlineStr"/>
      <c r="AL155" s="3">
        <f>IF($AK155="","",HYPERLINK(p_ruta_base_checklists&amp;$AK155,"abrir"))</f>
        <v/>
      </c>
      <c r="AM155" s="6" t="inlineStr"/>
      <c r="AN155" s="3">
        <f>IF($A155="","",$A155&amp;IF($B155="","0010",$B155))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Reparación de falla — EQ-104</t>
        </is>
      </c>
      <c r="D156" s="3" t="inlineStr">
        <is>
          <t>Reparación de falla en EQ-104</t>
        </is>
      </c>
      <c r="E156" s="3" t="inlineStr">
        <is>
          <t>EQ-104</t>
        </is>
      </c>
      <c r="F156" s="3" t="inlineStr">
        <is>
          <t>CC-120</t>
        </is>
      </c>
      <c r="G156" s="3" t="inlineStr">
        <is>
          <t>PU-OP</t>
        </is>
      </c>
      <c r="H156" s="3" t="inlineStr">
        <is>
          <t>ACT-03</t>
        </is>
      </c>
      <c r="I156" s="3" t="inlineStr">
        <is>
          <t>TIPO-C2</t>
        </is>
      </c>
      <c r="J156" s="11" t="n">
        <v>46124</v>
      </c>
      <c r="K156" s="3" t="n">
        <v>8</v>
      </c>
      <c r="L156" s="10" t="n">
        <v>320</v>
      </c>
      <c r="M156" s="3">
        <f>IF($A156="","",IFERROR(INDEX('AJUSTES'!$B$4:$B$303,MATCH($AN156,'AJUSTES'!$A$4:$A$303,0)),IF($K156="","",$K156)))</f>
        <v/>
      </c>
      <c r="N156" s="3">
        <f>IF($A156="","",IFERROR(INDEX('CAT_ESTADOS_ERP'!$B$4:$B$7,MATCH(IFERROR(INDEX('2_IMPORTAR_EJECUCION'!$C$9:$C$1208,MATCH($AN156,'2_IMPORTAR_EJECUCION'!$J$9:$J$1208,0)),""),'CAT_ESTADOS_ERP'!$A$4:$A$7,0)),"Pendiente"))</f>
        <v/>
      </c>
      <c r="O156" s="3">
        <f>IF($J156="","",YEAR($J156+4-WEEKDAY($J156,2))&amp;"-S"&amp;TEXT(_xlfn.ISOWEEKNUM($J156),"00"))</f>
        <v/>
      </c>
      <c r="P156" s="3">
        <f>IF($J156="","",YEAR($J156))</f>
        <v/>
      </c>
      <c r="Q156" s="3">
        <f>IF($J156="","",MONTH($J156))</f>
        <v/>
      </c>
      <c r="R156" s="3">
        <f>IF($J156="","",INDEX(lista_dias,WEEKDAY($J156,2)))</f>
        <v/>
      </c>
      <c r="S156" s="3">
        <f>IF($I156="","",IFERROR(INDEX('CAT_TIPOS_OT'!$C$4:$C$7,MATCH($I156,'CAT_TIPOS_OT'!$A$4:$A$7,0)),"sin_clasificar"))</f>
        <v/>
      </c>
      <c r="T156" s="3">
        <f>IF($F156="","",IFERROR(INDEX('CAT_CENTROS_COSTO'!$E$4:$E$9,MATCH($F156,'CAT_CENTROS_COSTO'!$A$4:$A$9,0)),"(sin catálogo)"))</f>
        <v/>
      </c>
      <c r="U156" s="3">
        <f>IF($F156="","",IFERROR(INDEX('CAT_CENTROS_COSTO'!$D$4:$D$9,MATCH($F156,'CAT_CENTROS_COSTO'!$A$4:$A$9,0)),"(sin catálogo)"))</f>
        <v/>
      </c>
      <c r="V156" s="3">
        <f>IF($F156="","",IFERROR(INDEX('CAT_CENTROS_COSTO'!$F$4:$F$9,MATCH($F156,'CAT_CENTROS_COSTO'!$A$4:$A$9,0)),"(sin catálogo)"))</f>
        <v/>
      </c>
      <c r="W156" s="3">
        <f>IF($G156="","",IFERROR(INDEX('CAT_PUESTOS'!$B$4:$B$8,MATCH($G156,'CAT_PUESTOS'!$A$4:$A$8,0)),"(sin catálogo)"))</f>
        <v/>
      </c>
      <c r="X156" s="3">
        <f>IF($H156="","",IFERROR(INDEX('CAT_ACTIVIDADES'!$B$4:$B$8,MATCH($H156,'CAT_ACTIVIDADES'!$A$4:$A$8,0)),"(sin catálogo)"))</f>
        <v/>
      </c>
      <c r="Y156" s="12">
        <f>IF($J156="","",TODAY()-$J156)</f>
        <v/>
      </c>
      <c r="Z156" s="3">
        <f>IF($Y156="","",IF($Y156&lt;0,"FUTURO",IF($Y156&gt;p_dias_backlog_max,"BACKLOG","MES CORRIENTE")))</f>
        <v/>
      </c>
      <c r="AA156" s="3">
        <f>IF($Y156="",FALSE,AND($Y156&gt;p_dias_backlog_min,$Y156&lt;=p_dias_backlog_max))</f>
        <v/>
      </c>
      <c r="AB156" s="6" t="inlineStr"/>
      <c r="AC156" s="3">
        <f>IF($AB156="","",IFERROR(INDEX('ASIGNACIONES'!$F$4:$F$339,MATCH($O156&amp;"|"&amp;$R156&amp;"|"&amp;$AB156,'ASIGNACIONES'!$I$4:$I$339,0)),""))</f>
        <v/>
      </c>
      <c r="AD156" s="13">
        <f>IF($AB156="","",SUMIFS('ORDENES'!$M$4:$M$1203,'ORDENES'!$AB$4:$AB$1203,$AB156,'ORDENES'!$O$4:$O$1203,$O156,'ORDENES'!$R$4:$R$1203,$R156))</f>
        <v/>
      </c>
      <c r="AE156" s="13">
        <f>IF($AD156="","",p_factor_productividad*IFERROR(INDEX('ASIGNACIONES'!$H$4:$H$339,MATCH($O156&amp;"|"&amp;$R156&amp;"|"&amp;$AB156,'ASIGNACIONES'!$I$4:$I$339,0)),0)-$AD156)</f>
        <v/>
      </c>
      <c r="AF156" s="10">
        <f>IF($A156="","",IFERROR(INDEX('2_IMPORTAR_EJECUCION'!$F$9:$F$1208,MATCH($AN156,'2_IMPORTAR_EJECUCION'!$J$9:$J$1208,0)),0))</f>
        <v/>
      </c>
      <c r="AG156" s="10">
        <f>IF($A156="","",MAX(0,IFERROR(INDEX('2_IMPORTAR_EJECUCION'!$H$9:$H$1208,MATCH($AN156,'2_IMPORTAR_EJECUCION'!$J$9:$J$1208,0)),0)-$AF156))</f>
        <v/>
      </c>
      <c r="AH156" s="10">
        <f>IF($A156="","",$AF156+$AG156)</f>
        <v/>
      </c>
      <c r="AI156" s="6" t="inlineStr"/>
      <c r="AJ156" s="6" t="inlineStr"/>
      <c r="AK156" s="6" t="inlineStr"/>
      <c r="AL156" s="3">
        <f>IF($AK156="","",HYPERLINK(p_ruta_base_checklists&amp;$AK156,"abrir"))</f>
        <v/>
      </c>
      <c r="AM156" s="6" t="inlineStr"/>
      <c r="AN156" s="3">
        <f>IF($A156="","",$A156&amp;IF($B156="","0010",$B156))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EQ-108</t>
        </is>
      </c>
      <c r="D157" s="3" t="inlineStr">
        <is>
          <t>Reparación de falla en EQ-108</t>
        </is>
      </c>
      <c r="E157" s="3" t="inlineStr">
        <is>
          <t>EQ-108</t>
        </is>
      </c>
      <c r="F157" s="3" t="inlineStr">
        <is>
          <t>CC-220</t>
        </is>
      </c>
      <c r="G157" s="3" t="inlineStr">
        <is>
          <t>PU-OP</t>
        </is>
      </c>
      <c r="H157" s="3" t="inlineStr">
        <is>
          <t>ACT-03</t>
        </is>
      </c>
      <c r="I157" s="3" t="inlineStr">
        <is>
          <t>TIPO-C1</t>
        </is>
      </c>
      <c r="J157" s="11" t="n">
        <v>46104</v>
      </c>
      <c r="K157" s="3" t="n">
        <v>4</v>
      </c>
      <c r="L157" s="10" t="n">
        <v>160</v>
      </c>
      <c r="M157" s="3">
        <f>IF($A157="","",IFERROR(INDEX('AJUSTES'!$B$4:$B$303,MATCH($AN157,'AJUSTES'!$A$4:$A$303,0)),IF($K157="","",$K157)))</f>
        <v/>
      </c>
      <c r="N157" s="3">
        <f>IF($A157="","",IFERROR(INDEX('CAT_ESTADOS_ERP'!$B$4:$B$7,MATCH(IFERROR(INDEX('2_IMPORTAR_EJECUCION'!$C$9:$C$1208,MATCH($AN157,'2_IMPORTAR_EJECUCION'!$J$9:$J$1208,0)),""),'CAT_ESTADOS_ERP'!$A$4:$A$7,0)),"Pendiente"))</f>
        <v/>
      </c>
      <c r="O157" s="3">
        <f>IF($J157="","",YEAR($J157+4-WEEKDAY($J157,2))&amp;"-S"&amp;TEXT(_xlfn.ISOWEEKNUM($J157),"00"))</f>
        <v/>
      </c>
      <c r="P157" s="3">
        <f>IF($J157="","",YEAR($J157))</f>
        <v/>
      </c>
      <c r="Q157" s="3">
        <f>IF($J157="","",MONTH($J157))</f>
        <v/>
      </c>
      <c r="R157" s="3">
        <f>IF($J157="","",INDEX(lista_dias,WEEKDAY($J157,2)))</f>
        <v/>
      </c>
      <c r="S157" s="3">
        <f>IF($I157="","",IFERROR(INDEX('CAT_TIPOS_OT'!$C$4:$C$7,MATCH($I157,'CAT_TIPOS_OT'!$A$4:$A$7,0)),"sin_clasificar"))</f>
        <v/>
      </c>
      <c r="T157" s="3">
        <f>IF($F157="","",IFERROR(INDEX('CAT_CENTROS_COSTO'!$E$4:$E$9,MATCH($F157,'CAT_CENTROS_COSTO'!$A$4:$A$9,0)),"(sin catálogo)"))</f>
        <v/>
      </c>
      <c r="U157" s="3">
        <f>IF($F157="","",IFERROR(INDEX('CAT_CENTROS_COSTO'!$D$4:$D$9,MATCH($F157,'CAT_CENTROS_COSTO'!$A$4:$A$9,0)),"(sin catálogo)"))</f>
        <v/>
      </c>
      <c r="V157" s="3">
        <f>IF($F157="","",IFERROR(INDEX('CAT_CENTROS_COSTO'!$F$4:$F$9,MATCH($F157,'CAT_CENTROS_COSTO'!$A$4:$A$9,0)),"(sin catálogo)"))</f>
        <v/>
      </c>
      <c r="W157" s="3">
        <f>IF($G157="","",IFERROR(INDEX('CAT_PUESTOS'!$B$4:$B$8,MATCH($G157,'CAT_PUESTOS'!$A$4:$A$8,0)),"(sin catálogo)"))</f>
        <v/>
      </c>
      <c r="X157" s="3">
        <f>IF($H157="","",IFERROR(INDEX('CAT_ACTIVIDADES'!$B$4:$B$8,MATCH($H157,'CAT_ACTIVIDADES'!$A$4:$A$8,0)),"(sin catálogo)"))</f>
        <v/>
      </c>
      <c r="Y157" s="12">
        <f>IF($J157="","",TODAY()-$J157)</f>
        <v/>
      </c>
      <c r="Z157" s="3">
        <f>IF($Y157="","",IF($Y157&lt;0,"FUTURO",IF($Y157&gt;p_dias_backlog_max,"BACKLOG","MES CORRIENTE")))</f>
        <v/>
      </c>
      <c r="AA157" s="3">
        <f>IF($Y157="",FALSE,AND($Y157&gt;p_dias_backlog_min,$Y157&lt;=p_dias_backlog_max))</f>
        <v/>
      </c>
      <c r="AB157" s="6" t="inlineStr"/>
      <c r="AC157" s="3">
        <f>IF($AB157="","",IFERROR(INDEX('ASIGNACIONES'!$F$4:$F$339,MATCH($O157&amp;"|"&amp;$R157&amp;"|"&amp;$AB157,'ASIGNACIONES'!$I$4:$I$339,0)),""))</f>
        <v/>
      </c>
      <c r="AD157" s="13">
        <f>IF($AB157="","",SUMIFS('ORDENES'!$M$4:$M$1203,'ORDENES'!$AB$4:$AB$1203,$AB157,'ORDENES'!$O$4:$O$1203,$O157,'ORDENES'!$R$4:$R$1203,$R157))</f>
        <v/>
      </c>
      <c r="AE157" s="13">
        <f>IF($AD157="","",p_factor_productividad*IFERROR(INDEX('ASIGNACIONES'!$H$4:$H$339,MATCH($O157&amp;"|"&amp;$R157&amp;"|"&amp;$AB157,'ASIGNACIONES'!$I$4:$I$339,0)),0)-$AD157)</f>
        <v/>
      </c>
      <c r="AF157" s="10">
        <f>IF($A157="","",IFERROR(INDEX('2_IMPORTAR_EJECUCION'!$F$9:$F$1208,MATCH($AN157,'2_IMPORTAR_EJECUCION'!$J$9:$J$1208,0)),0))</f>
        <v/>
      </c>
      <c r="AG157" s="10">
        <f>IF($A157="","",MAX(0,IFERROR(INDEX('2_IMPORTAR_EJECUCION'!$H$9:$H$1208,MATCH($AN157,'2_IMPORTAR_EJECUCION'!$J$9:$J$1208,0)),0)-$AF157))</f>
        <v/>
      </c>
      <c r="AH157" s="10">
        <f>IF($A157="","",$AF157+$AG157)</f>
        <v/>
      </c>
      <c r="AI157" s="6" t="inlineStr"/>
      <c r="AJ157" s="6" t="inlineStr"/>
      <c r="AK157" s="6" t="inlineStr"/>
      <c r="AL157" s="3">
        <f>IF($AK157="","",HYPERLINK(p_ruta_base_checklists&amp;$AK157,"abrir"))</f>
        <v/>
      </c>
      <c r="AM157" s="6" t="inlineStr"/>
      <c r="AN157" s="3">
        <f>IF($A157="","",$A157&amp;IF($B157="","0010",$B157))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Reparación de falla — EQ-112</t>
        </is>
      </c>
      <c r="D158" s="3" t="inlineStr">
        <is>
          <t>Reparación de falla en EQ-112</t>
        </is>
      </c>
      <c r="E158" s="3" t="inlineStr">
        <is>
          <t>EQ-112</t>
        </is>
      </c>
      <c r="F158" s="3" t="inlineStr">
        <is>
          <t>CC-310</t>
        </is>
      </c>
      <c r="G158" s="3" t="inlineStr">
        <is>
          <t>PU-MEC</t>
        </is>
      </c>
      <c r="H158" s="3" t="inlineStr">
        <is>
          <t>ACT-03</t>
        </is>
      </c>
      <c r="I158" s="3" t="inlineStr">
        <is>
          <t>TIPO-C2</t>
        </is>
      </c>
      <c r="J158" s="11" t="n">
        <v>46104</v>
      </c>
      <c r="K158" s="3" t="n">
        <v>6</v>
      </c>
      <c r="L158" s="10" t="n">
        <v>240</v>
      </c>
      <c r="M158" s="3">
        <f>IF($A158="","",IFERROR(INDEX('AJUSTES'!$B$4:$B$303,MATCH($AN158,'AJUSTES'!$A$4:$A$303,0)),IF($K158="","",$K158)))</f>
        <v/>
      </c>
      <c r="N158" s="3">
        <f>IF($A158="","",IFERROR(INDEX('CAT_ESTADOS_ERP'!$B$4:$B$7,MATCH(IFERROR(INDEX('2_IMPORTAR_EJECUCION'!$C$9:$C$1208,MATCH($AN158,'2_IMPORTAR_EJECUCION'!$J$9:$J$1208,0)),""),'CAT_ESTADOS_ERP'!$A$4:$A$7,0)),"Pendiente"))</f>
        <v/>
      </c>
      <c r="O158" s="3">
        <f>IF($J158="","",YEAR($J158+4-WEEKDAY($J158,2))&amp;"-S"&amp;TEXT(_xlfn.ISOWEEKNUM($J158),"00"))</f>
        <v/>
      </c>
      <c r="P158" s="3">
        <f>IF($J158="","",YEAR($J158))</f>
        <v/>
      </c>
      <c r="Q158" s="3">
        <f>IF($J158="","",MONTH($J158))</f>
        <v/>
      </c>
      <c r="R158" s="3">
        <f>IF($J158="","",INDEX(lista_dias,WEEKDAY($J158,2)))</f>
        <v/>
      </c>
      <c r="S158" s="3">
        <f>IF($I158="","",IFERROR(INDEX('CAT_TIPOS_OT'!$C$4:$C$7,MATCH($I158,'CAT_TIPOS_OT'!$A$4:$A$7,0)),"sin_clasificar"))</f>
        <v/>
      </c>
      <c r="T158" s="3">
        <f>IF($F158="","",IFERROR(INDEX('CAT_CENTROS_COSTO'!$E$4:$E$9,MATCH($F158,'CAT_CENTROS_COSTO'!$A$4:$A$9,0)),"(sin catálogo)"))</f>
        <v/>
      </c>
      <c r="U158" s="3">
        <f>IF($F158="","",IFERROR(INDEX('CAT_CENTROS_COSTO'!$D$4:$D$9,MATCH($F158,'CAT_CENTROS_COSTO'!$A$4:$A$9,0)),"(sin catálogo)"))</f>
        <v/>
      </c>
      <c r="V158" s="3">
        <f>IF($F158="","",IFERROR(INDEX('CAT_CENTROS_COSTO'!$F$4:$F$9,MATCH($F158,'CAT_CENTROS_COSTO'!$A$4:$A$9,0)),"(sin catálogo)"))</f>
        <v/>
      </c>
      <c r="W158" s="3">
        <f>IF($G158="","",IFERROR(INDEX('CAT_PUESTOS'!$B$4:$B$8,MATCH($G158,'CAT_PUESTOS'!$A$4:$A$8,0)),"(sin catálogo)"))</f>
        <v/>
      </c>
      <c r="X158" s="3">
        <f>IF($H158="","",IFERROR(INDEX('CAT_ACTIVIDADES'!$B$4:$B$8,MATCH($H158,'CAT_ACTIVIDADES'!$A$4:$A$8,0)),"(sin catálogo)"))</f>
        <v/>
      </c>
      <c r="Y158" s="12">
        <f>IF($J158="","",TODAY()-$J158)</f>
        <v/>
      </c>
      <c r="Z158" s="3">
        <f>IF($Y158="","",IF($Y158&lt;0,"FUTURO",IF($Y158&gt;p_dias_backlog_max,"BACKLOG","MES CORRIENTE")))</f>
        <v/>
      </c>
      <c r="AA158" s="3">
        <f>IF($Y158="",FALSE,AND($Y158&gt;p_dias_backlog_min,$Y158&lt;=p_dias_backlog_max))</f>
        <v/>
      </c>
      <c r="AB158" s="6" t="inlineStr"/>
      <c r="AC158" s="3">
        <f>IF($AB158="","",IFERROR(INDEX('ASIGNACIONES'!$F$4:$F$339,MATCH($O158&amp;"|"&amp;$R158&amp;"|"&amp;$AB158,'ASIGNACIONES'!$I$4:$I$339,0)),""))</f>
        <v/>
      </c>
      <c r="AD158" s="13">
        <f>IF($AB158="","",SUMIFS('ORDENES'!$M$4:$M$1203,'ORDENES'!$AB$4:$AB$1203,$AB158,'ORDENES'!$O$4:$O$1203,$O158,'ORDENES'!$R$4:$R$1203,$R158))</f>
        <v/>
      </c>
      <c r="AE158" s="13">
        <f>IF($AD158="","",p_factor_productividad*IFERROR(INDEX('ASIGNACIONES'!$H$4:$H$339,MATCH($O158&amp;"|"&amp;$R158&amp;"|"&amp;$AB158,'ASIGNACIONES'!$I$4:$I$339,0)),0)-$AD158)</f>
        <v/>
      </c>
      <c r="AF158" s="10">
        <f>IF($A158="","",IFERROR(INDEX('2_IMPORTAR_EJECUCION'!$F$9:$F$1208,MATCH($AN158,'2_IMPORTAR_EJECUCION'!$J$9:$J$1208,0)),0))</f>
        <v/>
      </c>
      <c r="AG158" s="10">
        <f>IF($A158="","",MAX(0,IFERROR(INDEX('2_IMPORTAR_EJECUCION'!$H$9:$H$1208,MATCH($AN158,'2_IMPORTAR_EJECUCION'!$J$9:$J$1208,0)),0)-$AF158))</f>
        <v/>
      </c>
      <c r="AH158" s="10">
        <f>IF($A158="","",$AF158+$AG158)</f>
        <v/>
      </c>
      <c r="AI158" s="6" t="inlineStr"/>
      <c r="AJ158" s="6" t="inlineStr"/>
      <c r="AK158" s="6" t="inlineStr"/>
      <c r="AL158" s="3">
        <f>IF($AK158="","",HYPERLINK(p_ruta_base_checklists&amp;$AK158,"abrir"))</f>
        <v/>
      </c>
      <c r="AM158" s="6" t="inlineStr"/>
      <c r="AN158" s="3">
        <f>IF($A158="","",$A158&amp;IF($B158="","0010",$B158))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EQ-110</t>
        </is>
      </c>
      <c r="D159" s="3" t="inlineStr">
        <is>
          <t>Reparación de falla en EQ-110</t>
        </is>
      </c>
      <c r="E159" s="3" t="inlineStr">
        <is>
          <t>EQ-110</t>
        </is>
      </c>
      <c r="F159" s="3" t="inlineStr">
        <is>
          <t>CC-320</t>
        </is>
      </c>
      <c r="G159" s="3" t="inlineStr">
        <is>
          <t>PU-ELE</t>
        </is>
      </c>
      <c r="H159" s="3" t="inlineStr">
        <is>
          <t>ACT-03</t>
        </is>
      </c>
      <c r="I159" s="3" t="inlineStr">
        <is>
          <t>TIPO-C1</t>
        </is>
      </c>
      <c r="J159" s="11" t="n">
        <v>46104</v>
      </c>
      <c r="K159" s="3" t="n">
        <v>8</v>
      </c>
      <c r="L159" s="10" t="n">
        <v>320</v>
      </c>
      <c r="M159" s="3">
        <f>IF($A159="","",IFERROR(INDEX('AJUSTES'!$B$4:$B$303,MATCH($AN159,'AJUSTES'!$A$4:$A$303,0)),IF($K159="","",$K159)))</f>
        <v/>
      </c>
      <c r="N159" s="3">
        <f>IF($A159="","",IFERROR(INDEX('CAT_ESTADOS_ERP'!$B$4:$B$7,MATCH(IFERROR(INDEX('2_IMPORTAR_EJECUCION'!$C$9:$C$1208,MATCH($AN159,'2_IMPORTAR_EJECUCION'!$J$9:$J$1208,0)),""),'CAT_ESTADOS_ERP'!$A$4:$A$7,0)),"Pendiente"))</f>
        <v/>
      </c>
      <c r="O159" s="3">
        <f>IF($J159="","",YEAR($J159+4-WEEKDAY($J159,2))&amp;"-S"&amp;TEXT(_xlfn.ISOWEEKNUM($J159),"00"))</f>
        <v/>
      </c>
      <c r="P159" s="3">
        <f>IF($J159="","",YEAR($J159))</f>
        <v/>
      </c>
      <c r="Q159" s="3">
        <f>IF($J159="","",MONTH($J159))</f>
        <v/>
      </c>
      <c r="R159" s="3">
        <f>IF($J159="","",INDEX(lista_dias,WEEKDAY($J159,2)))</f>
        <v/>
      </c>
      <c r="S159" s="3">
        <f>IF($I159="","",IFERROR(INDEX('CAT_TIPOS_OT'!$C$4:$C$7,MATCH($I159,'CAT_TIPOS_OT'!$A$4:$A$7,0)),"sin_clasificar"))</f>
        <v/>
      </c>
      <c r="T159" s="3">
        <f>IF($F159="","",IFERROR(INDEX('CAT_CENTROS_COSTO'!$E$4:$E$9,MATCH($F159,'CAT_CENTROS_COSTO'!$A$4:$A$9,0)),"(sin catálogo)"))</f>
        <v/>
      </c>
      <c r="U159" s="3">
        <f>IF($F159="","",IFERROR(INDEX('CAT_CENTROS_COSTO'!$D$4:$D$9,MATCH($F159,'CAT_CENTROS_COSTO'!$A$4:$A$9,0)),"(sin catálogo)"))</f>
        <v/>
      </c>
      <c r="V159" s="3">
        <f>IF($F159="","",IFERROR(INDEX('CAT_CENTROS_COSTO'!$F$4:$F$9,MATCH($F159,'CAT_CENTROS_COSTO'!$A$4:$A$9,0)),"(sin catálogo)"))</f>
        <v/>
      </c>
      <c r="W159" s="3">
        <f>IF($G159="","",IFERROR(INDEX('CAT_PUESTOS'!$B$4:$B$8,MATCH($G159,'CAT_PUESTOS'!$A$4:$A$8,0)),"(sin catálogo)"))</f>
        <v/>
      </c>
      <c r="X159" s="3">
        <f>IF($H159="","",IFERROR(INDEX('CAT_ACTIVIDADES'!$B$4:$B$8,MATCH($H159,'CAT_ACTIVIDADES'!$A$4:$A$8,0)),"(sin catálogo)"))</f>
        <v/>
      </c>
      <c r="Y159" s="12">
        <f>IF($J159="","",TODAY()-$J159)</f>
        <v/>
      </c>
      <c r="Z159" s="3">
        <f>IF($Y159="","",IF($Y159&lt;0,"FUTURO",IF($Y159&gt;p_dias_backlog_max,"BACKLOG","MES CORRIENTE")))</f>
        <v/>
      </c>
      <c r="AA159" s="3">
        <f>IF($Y159="",FALSE,AND($Y159&gt;p_dias_backlog_min,$Y159&lt;=p_dias_backlog_max))</f>
        <v/>
      </c>
      <c r="AB159" s="6" t="inlineStr"/>
      <c r="AC159" s="3">
        <f>IF($AB159="","",IFERROR(INDEX('ASIGNACIONES'!$F$4:$F$339,MATCH($O159&amp;"|"&amp;$R159&amp;"|"&amp;$AB159,'ASIGNACIONES'!$I$4:$I$339,0)),""))</f>
        <v/>
      </c>
      <c r="AD159" s="13">
        <f>IF($AB159="","",SUMIFS('ORDENES'!$M$4:$M$1203,'ORDENES'!$AB$4:$AB$1203,$AB159,'ORDENES'!$O$4:$O$1203,$O159,'ORDENES'!$R$4:$R$1203,$R159))</f>
        <v/>
      </c>
      <c r="AE159" s="13">
        <f>IF($AD159="","",p_factor_productividad*IFERROR(INDEX('ASIGNACIONES'!$H$4:$H$339,MATCH($O159&amp;"|"&amp;$R159&amp;"|"&amp;$AB159,'ASIGNACIONES'!$I$4:$I$339,0)),0)-$AD159)</f>
        <v/>
      </c>
      <c r="AF159" s="10">
        <f>IF($A159="","",IFERROR(INDEX('2_IMPORTAR_EJECUCION'!$F$9:$F$1208,MATCH($AN159,'2_IMPORTAR_EJECUCION'!$J$9:$J$1208,0)),0))</f>
        <v/>
      </c>
      <c r="AG159" s="10">
        <f>IF($A159="","",MAX(0,IFERROR(INDEX('2_IMPORTAR_EJECUCION'!$H$9:$H$1208,MATCH($AN159,'2_IMPORTAR_EJECUCION'!$J$9:$J$1208,0)),0)-$AF159))</f>
        <v/>
      </c>
      <c r="AH159" s="10">
        <f>IF($A159="","",$AF159+$AG159)</f>
        <v/>
      </c>
      <c r="AI159" s="6" t="inlineStr"/>
      <c r="AJ159" s="6" t="inlineStr"/>
      <c r="AK159" s="6" t="inlineStr"/>
      <c r="AL159" s="3">
        <f>IF($AK159="","",HYPERLINK(p_ruta_base_checklists&amp;$AK159,"abrir"))</f>
        <v/>
      </c>
      <c r="AM159" s="6" t="inlineStr"/>
      <c r="AN159" s="3">
        <f>IF($A159="","",$A159&amp;IF($B159="","0010",$B159))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Lubricación programada — EQ-103</t>
        </is>
      </c>
      <c r="D160" s="3" t="inlineStr">
        <is>
          <t>Lubricación programada en EQ-103</t>
        </is>
      </c>
      <c r="E160" s="3" t="inlineStr">
        <is>
          <t>EQ-103</t>
        </is>
      </c>
      <c r="F160" s="3" t="inlineStr">
        <is>
          <t>CC-110</t>
        </is>
      </c>
      <c r="G160" s="3" t="inlineStr">
        <is>
          <t>PU-AUT</t>
        </is>
      </c>
      <c r="H160" s="3" t="inlineStr">
        <is>
          <t>ACT-02</t>
        </is>
      </c>
      <c r="I160" s="3" t="inlineStr">
        <is>
          <t>TIPO-P2</t>
        </is>
      </c>
      <c r="J160" s="11" t="n">
        <v>46104</v>
      </c>
      <c r="K160" s="3" t="n">
        <v>4</v>
      </c>
      <c r="L160" s="10" t="n">
        <v>100</v>
      </c>
      <c r="M160" s="3">
        <f>IF($A160="","",IFERROR(INDEX('AJUSTES'!$B$4:$B$303,MATCH($AN160,'AJUSTES'!$A$4:$A$303,0)),IF($K160="","",$K160)))</f>
        <v/>
      </c>
      <c r="N160" s="3">
        <f>IF($A160="","",IFERROR(INDEX('CAT_ESTADOS_ERP'!$B$4:$B$7,MATCH(IFERROR(INDEX('2_IMPORTAR_EJECUCION'!$C$9:$C$1208,MATCH($AN160,'2_IMPORTAR_EJECUCION'!$J$9:$J$1208,0)),""),'CAT_ESTADOS_ERP'!$A$4:$A$7,0)),"Pendiente"))</f>
        <v/>
      </c>
      <c r="O160" s="3">
        <f>IF($J160="","",YEAR($J160+4-WEEKDAY($J160,2))&amp;"-S"&amp;TEXT(_xlfn.ISOWEEKNUM($J160),"00"))</f>
        <v/>
      </c>
      <c r="P160" s="3">
        <f>IF($J160="","",YEAR($J160))</f>
        <v/>
      </c>
      <c r="Q160" s="3">
        <f>IF($J160="","",MONTH($J160))</f>
        <v/>
      </c>
      <c r="R160" s="3">
        <f>IF($J160="","",INDEX(lista_dias,WEEKDAY($J160,2)))</f>
        <v/>
      </c>
      <c r="S160" s="3">
        <f>IF($I160="","",IFERROR(INDEX('CAT_TIPOS_OT'!$C$4:$C$7,MATCH($I160,'CAT_TIPOS_OT'!$A$4:$A$7,0)),"sin_clasificar"))</f>
        <v/>
      </c>
      <c r="T160" s="3">
        <f>IF($F160="","",IFERROR(INDEX('CAT_CENTROS_COSTO'!$E$4:$E$9,MATCH($F160,'CAT_CENTROS_COSTO'!$A$4:$A$9,0)),"(sin catálogo)"))</f>
        <v/>
      </c>
      <c r="U160" s="3">
        <f>IF($F160="","",IFERROR(INDEX('CAT_CENTROS_COSTO'!$D$4:$D$9,MATCH($F160,'CAT_CENTROS_COSTO'!$A$4:$A$9,0)),"(sin catálogo)"))</f>
        <v/>
      </c>
      <c r="V160" s="3">
        <f>IF($F160="","",IFERROR(INDEX('CAT_CENTROS_COSTO'!$F$4:$F$9,MATCH($F160,'CAT_CENTROS_COSTO'!$A$4:$A$9,0)),"(sin catálogo)"))</f>
        <v/>
      </c>
      <c r="W160" s="3">
        <f>IF($G160="","",IFERROR(INDEX('CAT_PUESTOS'!$B$4:$B$8,MATCH($G160,'CAT_PUESTOS'!$A$4:$A$8,0)),"(sin catálogo)"))</f>
        <v/>
      </c>
      <c r="X160" s="3">
        <f>IF($H160="","",IFERROR(INDEX('CAT_ACTIVIDADES'!$B$4:$B$8,MATCH($H160,'CAT_ACTIVIDADES'!$A$4:$A$8,0)),"(sin catálogo)"))</f>
        <v/>
      </c>
      <c r="Y160" s="12">
        <f>IF($J160="","",TODAY()-$J160)</f>
        <v/>
      </c>
      <c r="Z160" s="3">
        <f>IF($Y160="","",IF($Y160&lt;0,"FUTURO",IF($Y160&gt;p_dias_backlog_max,"BACKLOG","MES CORRIENTE")))</f>
        <v/>
      </c>
      <c r="AA160" s="3">
        <f>IF($Y160="",FALSE,AND($Y160&gt;p_dias_backlog_min,$Y160&lt;=p_dias_backlog_max))</f>
        <v/>
      </c>
      <c r="AB160" s="6" t="inlineStr"/>
      <c r="AC160" s="3">
        <f>IF($AB160="","",IFERROR(INDEX('ASIGNACIONES'!$F$4:$F$339,MATCH($O160&amp;"|"&amp;$R160&amp;"|"&amp;$AB160,'ASIGNACIONES'!$I$4:$I$339,0)),""))</f>
        <v/>
      </c>
      <c r="AD160" s="13">
        <f>IF($AB160="","",SUMIFS('ORDENES'!$M$4:$M$1203,'ORDENES'!$AB$4:$AB$1203,$AB160,'ORDENES'!$O$4:$O$1203,$O160,'ORDENES'!$R$4:$R$1203,$R160))</f>
        <v/>
      </c>
      <c r="AE160" s="13">
        <f>IF($AD160="","",p_factor_productividad*IFERROR(INDEX('ASIGNACIONES'!$H$4:$H$339,MATCH($O160&amp;"|"&amp;$R160&amp;"|"&amp;$AB160,'ASIGNACIONES'!$I$4:$I$339,0)),0)-$AD160)</f>
        <v/>
      </c>
      <c r="AF160" s="10">
        <f>IF($A160="","",IFERROR(INDEX('2_IMPORTAR_EJECUCION'!$F$9:$F$1208,MATCH($AN160,'2_IMPORTAR_EJECUCION'!$J$9:$J$1208,0)),0))</f>
        <v/>
      </c>
      <c r="AG160" s="10">
        <f>IF($A160="","",MAX(0,IFERROR(INDEX('2_IMPORTAR_EJECUCION'!$H$9:$H$1208,MATCH($AN160,'2_IMPORTAR_EJECUCION'!$J$9:$J$1208,0)),0)-$AF160))</f>
        <v/>
      </c>
      <c r="AH160" s="10">
        <f>IF($A160="","",$AF160+$AG160)</f>
        <v/>
      </c>
      <c r="AI160" s="6" t="inlineStr"/>
      <c r="AJ160" s="6" t="inlineStr"/>
      <c r="AK160" s="6" t="inlineStr"/>
      <c r="AL160" s="3">
        <f>IF($AK160="","",HYPERLINK(p_ruta_base_checklists&amp;$AK160,"abrir"))</f>
        <v/>
      </c>
      <c r="AM160" s="6" t="inlineStr"/>
      <c r="AN160" s="3">
        <f>IF($A160="","",$A160&amp;IF($B160="","0010",$B160))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EQ-112</t>
        </is>
      </c>
      <c r="D161" s="3" t="inlineStr">
        <is>
          <t>Reparación de falla en EQ-112</t>
        </is>
      </c>
      <c r="E161" s="3" t="inlineStr">
        <is>
          <t>EQ-112</t>
        </is>
      </c>
      <c r="F161" s="3" t="inlineStr">
        <is>
          <t>CC-310</t>
        </is>
      </c>
      <c r="G161" s="3" t="inlineStr">
        <is>
          <t>PU-MEC</t>
        </is>
      </c>
      <c r="H161" s="3" t="inlineStr">
        <is>
          <t>ACT-03</t>
        </is>
      </c>
      <c r="I161" s="3" t="inlineStr">
        <is>
          <t>TIPO-C1</t>
        </is>
      </c>
      <c r="J161" s="11" t="n">
        <v>46074</v>
      </c>
      <c r="K161" s="3" t="n">
        <v>4</v>
      </c>
      <c r="L161" s="10" t="n">
        <v>160</v>
      </c>
      <c r="M161" s="3">
        <f>IF($A161="","",IFERROR(INDEX('AJUSTES'!$B$4:$B$303,MATCH($AN161,'AJUSTES'!$A$4:$A$303,0)),IF($K161="","",$K161)))</f>
        <v/>
      </c>
      <c r="N161" s="3">
        <f>IF($A161="","",IFERROR(INDEX('CAT_ESTADOS_ERP'!$B$4:$B$7,MATCH(IFERROR(INDEX('2_IMPORTAR_EJECUCION'!$C$9:$C$1208,MATCH($AN161,'2_IMPORTAR_EJECUCION'!$J$9:$J$1208,0)),""),'CAT_ESTADOS_ERP'!$A$4:$A$7,0)),"Pendiente"))</f>
        <v/>
      </c>
      <c r="O161" s="3">
        <f>IF($J161="","",YEAR($J161+4-WEEKDAY($J161,2))&amp;"-S"&amp;TEXT(_xlfn.ISOWEEKNUM($J161),"00"))</f>
        <v/>
      </c>
      <c r="P161" s="3">
        <f>IF($J161="","",YEAR($J161))</f>
        <v/>
      </c>
      <c r="Q161" s="3">
        <f>IF($J161="","",MONTH($J161))</f>
        <v/>
      </c>
      <c r="R161" s="3">
        <f>IF($J161="","",INDEX(lista_dias,WEEKDAY($J161,2)))</f>
        <v/>
      </c>
      <c r="S161" s="3">
        <f>IF($I161="","",IFERROR(INDEX('CAT_TIPOS_OT'!$C$4:$C$7,MATCH($I161,'CAT_TIPOS_OT'!$A$4:$A$7,0)),"sin_clasificar"))</f>
        <v/>
      </c>
      <c r="T161" s="3">
        <f>IF($F161="","",IFERROR(INDEX('CAT_CENTROS_COSTO'!$E$4:$E$9,MATCH($F161,'CAT_CENTROS_COSTO'!$A$4:$A$9,0)),"(sin catálogo)"))</f>
        <v/>
      </c>
      <c r="U161" s="3">
        <f>IF($F161="","",IFERROR(INDEX('CAT_CENTROS_COSTO'!$D$4:$D$9,MATCH($F161,'CAT_CENTROS_COSTO'!$A$4:$A$9,0)),"(sin catálogo)"))</f>
        <v/>
      </c>
      <c r="V161" s="3">
        <f>IF($F161="","",IFERROR(INDEX('CAT_CENTROS_COSTO'!$F$4:$F$9,MATCH($F161,'CAT_CENTROS_COSTO'!$A$4:$A$9,0)),"(sin catálogo)"))</f>
        <v/>
      </c>
      <c r="W161" s="3">
        <f>IF($G161="","",IFERROR(INDEX('CAT_PUESTOS'!$B$4:$B$8,MATCH($G161,'CAT_PUESTOS'!$A$4:$A$8,0)),"(sin catálogo)"))</f>
        <v/>
      </c>
      <c r="X161" s="3">
        <f>IF($H161="","",IFERROR(INDEX('CAT_ACTIVIDADES'!$B$4:$B$8,MATCH($H161,'CAT_ACTIVIDADES'!$A$4:$A$8,0)),"(sin catálogo)"))</f>
        <v/>
      </c>
      <c r="Y161" s="12">
        <f>IF($J161="","",TODAY()-$J161)</f>
        <v/>
      </c>
      <c r="Z161" s="3">
        <f>IF($Y161="","",IF($Y161&lt;0,"FUTURO",IF($Y161&gt;p_dias_backlog_max,"BACKLOG","MES CORRIENTE")))</f>
        <v/>
      </c>
      <c r="AA161" s="3">
        <f>IF($Y161="",FALSE,AND($Y161&gt;p_dias_backlog_min,$Y161&lt;=p_dias_backlog_max))</f>
        <v/>
      </c>
      <c r="AB161" s="6" t="inlineStr"/>
      <c r="AC161" s="3">
        <f>IF($AB161="","",IFERROR(INDEX('ASIGNACIONES'!$F$4:$F$339,MATCH($O161&amp;"|"&amp;$R161&amp;"|"&amp;$AB161,'ASIGNACIONES'!$I$4:$I$339,0)),""))</f>
        <v/>
      </c>
      <c r="AD161" s="13">
        <f>IF($AB161="","",SUMIFS('ORDENES'!$M$4:$M$1203,'ORDENES'!$AB$4:$AB$1203,$AB161,'ORDENES'!$O$4:$O$1203,$O161,'ORDENES'!$R$4:$R$1203,$R161))</f>
        <v/>
      </c>
      <c r="AE161" s="13">
        <f>IF($AD161="","",p_factor_productividad*IFERROR(INDEX('ASIGNACIONES'!$H$4:$H$339,MATCH($O161&amp;"|"&amp;$R161&amp;"|"&amp;$AB161,'ASIGNACIONES'!$I$4:$I$339,0)),0)-$AD161)</f>
        <v/>
      </c>
      <c r="AF161" s="10">
        <f>IF($A161="","",IFERROR(INDEX('2_IMPORTAR_EJECUCION'!$F$9:$F$1208,MATCH($AN161,'2_IMPORTAR_EJECUCION'!$J$9:$J$1208,0)),0))</f>
        <v/>
      </c>
      <c r="AG161" s="10">
        <f>IF($A161="","",MAX(0,IFERROR(INDEX('2_IMPORTAR_EJECUCION'!$H$9:$H$1208,MATCH($AN161,'2_IMPORTAR_EJECUCION'!$J$9:$J$1208,0)),0)-$AF161))</f>
        <v/>
      </c>
      <c r="AH161" s="10">
        <f>IF($A161="","",$AF161+$AG161)</f>
        <v/>
      </c>
      <c r="AI161" s="6" t="inlineStr"/>
      <c r="AJ161" s="6" t="inlineStr"/>
      <c r="AK161" s="6" t="inlineStr"/>
      <c r="AL161" s="3">
        <f>IF($AK161="","",HYPERLINK(p_ruta_base_checklists&amp;$AK161,"abrir"))</f>
        <v/>
      </c>
      <c r="AM161" s="6" t="inlineStr"/>
      <c r="AN161" s="3">
        <f>IF($A161="","",$A161&amp;IF($B161="","0010",$B161))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Reparación de falla — EQ-110</t>
        </is>
      </c>
      <c r="D162" s="3" t="inlineStr">
        <is>
          <t>Reparación de falla en EQ-110</t>
        </is>
      </c>
      <c r="E162" s="3" t="inlineStr">
        <is>
          <t>EQ-110</t>
        </is>
      </c>
      <c r="F162" s="3" t="inlineStr">
        <is>
          <t>CC-320</t>
        </is>
      </c>
      <c r="G162" s="3" t="inlineStr">
        <is>
          <t>PU-ELE</t>
        </is>
      </c>
      <c r="H162" s="3" t="inlineStr">
        <is>
          <t>ACT-03</t>
        </is>
      </c>
      <c r="I162" s="3" t="inlineStr">
        <is>
          <t>TIPO-C2</t>
        </is>
      </c>
      <c r="J162" s="11" t="n">
        <v>46074</v>
      </c>
      <c r="K162" s="3" t="n">
        <v>6</v>
      </c>
      <c r="L162" s="10" t="n">
        <v>240</v>
      </c>
      <c r="M162" s="3">
        <f>IF($A162="","",IFERROR(INDEX('AJUSTES'!$B$4:$B$303,MATCH($AN162,'AJUSTES'!$A$4:$A$303,0)),IF($K162="","",$K162)))</f>
        <v/>
      </c>
      <c r="N162" s="3">
        <f>IF($A162="","",IFERROR(INDEX('CAT_ESTADOS_ERP'!$B$4:$B$7,MATCH(IFERROR(INDEX('2_IMPORTAR_EJECUCION'!$C$9:$C$1208,MATCH($AN162,'2_IMPORTAR_EJECUCION'!$J$9:$J$1208,0)),""),'CAT_ESTADOS_ERP'!$A$4:$A$7,0)),"Pendiente"))</f>
        <v/>
      </c>
      <c r="O162" s="3">
        <f>IF($J162="","",YEAR($J162+4-WEEKDAY($J162,2))&amp;"-S"&amp;TEXT(_xlfn.ISOWEEKNUM($J162),"00"))</f>
        <v/>
      </c>
      <c r="P162" s="3">
        <f>IF($J162="","",YEAR($J162))</f>
        <v/>
      </c>
      <c r="Q162" s="3">
        <f>IF($J162="","",MONTH($J162))</f>
        <v/>
      </c>
      <c r="R162" s="3">
        <f>IF($J162="","",INDEX(lista_dias,WEEKDAY($J162,2)))</f>
        <v/>
      </c>
      <c r="S162" s="3">
        <f>IF($I162="","",IFERROR(INDEX('CAT_TIPOS_OT'!$C$4:$C$7,MATCH($I162,'CAT_TIPOS_OT'!$A$4:$A$7,0)),"sin_clasificar"))</f>
        <v/>
      </c>
      <c r="T162" s="3">
        <f>IF($F162="","",IFERROR(INDEX('CAT_CENTROS_COSTO'!$E$4:$E$9,MATCH($F162,'CAT_CENTROS_COSTO'!$A$4:$A$9,0)),"(sin catálogo)"))</f>
        <v/>
      </c>
      <c r="U162" s="3">
        <f>IF($F162="","",IFERROR(INDEX('CAT_CENTROS_COSTO'!$D$4:$D$9,MATCH($F162,'CAT_CENTROS_COSTO'!$A$4:$A$9,0)),"(sin catálogo)"))</f>
        <v/>
      </c>
      <c r="V162" s="3">
        <f>IF($F162="","",IFERROR(INDEX('CAT_CENTROS_COSTO'!$F$4:$F$9,MATCH($F162,'CAT_CENTROS_COSTO'!$A$4:$A$9,0)),"(sin catálogo)"))</f>
        <v/>
      </c>
      <c r="W162" s="3">
        <f>IF($G162="","",IFERROR(INDEX('CAT_PUESTOS'!$B$4:$B$8,MATCH($G162,'CAT_PUESTOS'!$A$4:$A$8,0)),"(sin catálogo)"))</f>
        <v/>
      </c>
      <c r="X162" s="3">
        <f>IF($H162="","",IFERROR(INDEX('CAT_ACTIVIDADES'!$B$4:$B$8,MATCH($H162,'CAT_ACTIVIDADES'!$A$4:$A$8,0)),"(sin catálogo)"))</f>
        <v/>
      </c>
      <c r="Y162" s="12">
        <f>IF($J162="","",TODAY()-$J162)</f>
        <v/>
      </c>
      <c r="Z162" s="3">
        <f>IF($Y162="","",IF($Y162&lt;0,"FUTURO",IF($Y162&gt;p_dias_backlog_max,"BACKLOG","MES CORRIENTE")))</f>
        <v/>
      </c>
      <c r="AA162" s="3">
        <f>IF($Y162="",FALSE,AND($Y162&gt;p_dias_backlog_min,$Y162&lt;=p_dias_backlog_max))</f>
        <v/>
      </c>
      <c r="AB162" s="6" t="inlineStr"/>
      <c r="AC162" s="3">
        <f>IF($AB162="","",IFERROR(INDEX('ASIGNACIONES'!$F$4:$F$339,MATCH($O162&amp;"|"&amp;$R162&amp;"|"&amp;$AB162,'ASIGNACIONES'!$I$4:$I$339,0)),""))</f>
        <v/>
      </c>
      <c r="AD162" s="13">
        <f>IF($AB162="","",SUMIFS('ORDENES'!$M$4:$M$1203,'ORDENES'!$AB$4:$AB$1203,$AB162,'ORDENES'!$O$4:$O$1203,$O162,'ORDENES'!$R$4:$R$1203,$R162))</f>
        <v/>
      </c>
      <c r="AE162" s="13">
        <f>IF($AD162="","",p_factor_productividad*IFERROR(INDEX('ASIGNACIONES'!$H$4:$H$339,MATCH($O162&amp;"|"&amp;$R162&amp;"|"&amp;$AB162,'ASIGNACIONES'!$I$4:$I$339,0)),0)-$AD162)</f>
        <v/>
      </c>
      <c r="AF162" s="10">
        <f>IF($A162="","",IFERROR(INDEX('2_IMPORTAR_EJECUCION'!$F$9:$F$1208,MATCH($AN162,'2_IMPORTAR_EJECUCION'!$J$9:$J$1208,0)),0))</f>
        <v/>
      </c>
      <c r="AG162" s="10">
        <f>IF($A162="","",MAX(0,IFERROR(INDEX('2_IMPORTAR_EJECUCION'!$H$9:$H$1208,MATCH($AN162,'2_IMPORTAR_EJECUCION'!$J$9:$J$1208,0)),0)-$AF162))</f>
        <v/>
      </c>
      <c r="AH162" s="10">
        <f>IF($A162="","",$AF162+$AG162)</f>
        <v/>
      </c>
      <c r="AI162" s="6" t="inlineStr"/>
      <c r="AJ162" s="6" t="inlineStr"/>
      <c r="AK162" s="6" t="inlineStr"/>
      <c r="AL162" s="3">
        <f>IF($AK162="","",HYPERLINK(p_ruta_base_checklists&amp;$AK162,"abrir"))</f>
        <v/>
      </c>
      <c r="AM162" s="6" t="inlineStr"/>
      <c r="AN162" s="3">
        <f>IF($A162="","",$A162&amp;IF($B162="","0010",$B162))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Reparación de falla — EQ-101</t>
        </is>
      </c>
      <c r="D163" s="3" t="inlineStr">
        <is>
          <t>Reparación de falla en EQ-101</t>
        </is>
      </c>
      <c r="E163" s="3" t="inlineStr">
        <is>
          <t>EQ-101</t>
        </is>
      </c>
      <c r="F163" s="3" t="inlineStr">
        <is>
          <t>CC-110</t>
        </is>
      </c>
      <c r="G163" s="3" t="inlineStr">
        <is>
          <t>PU-AUT</t>
        </is>
      </c>
      <c r="H163" s="3" t="inlineStr">
        <is>
          <t>ACT-03</t>
        </is>
      </c>
      <c r="I163" s="3" t="inlineStr">
        <is>
          <t>TIPO-C1</t>
        </is>
      </c>
      <c r="J163" s="11" t="n">
        <v>46074</v>
      </c>
      <c r="K163" s="3" t="n">
        <v>8</v>
      </c>
      <c r="L163" s="10" t="n">
        <v>320</v>
      </c>
      <c r="M163" s="3">
        <f>IF($A163="","",IFERROR(INDEX('AJUSTES'!$B$4:$B$303,MATCH($AN163,'AJUSTES'!$A$4:$A$303,0)),IF($K163="","",$K163)))</f>
        <v/>
      </c>
      <c r="N163" s="3">
        <f>IF($A163="","",IFERROR(INDEX('CAT_ESTADOS_ERP'!$B$4:$B$7,MATCH(IFERROR(INDEX('2_IMPORTAR_EJECUCION'!$C$9:$C$1208,MATCH($AN163,'2_IMPORTAR_EJECUCION'!$J$9:$J$1208,0)),""),'CAT_ESTADOS_ERP'!$A$4:$A$7,0)),"Pendiente"))</f>
        <v/>
      </c>
      <c r="O163" s="3">
        <f>IF($J163="","",YEAR($J163+4-WEEKDAY($J163,2))&amp;"-S"&amp;TEXT(_xlfn.ISOWEEKNUM($J163),"00"))</f>
        <v/>
      </c>
      <c r="P163" s="3">
        <f>IF($J163="","",YEAR($J163))</f>
        <v/>
      </c>
      <c r="Q163" s="3">
        <f>IF($J163="","",MONTH($J163))</f>
        <v/>
      </c>
      <c r="R163" s="3">
        <f>IF($J163="","",INDEX(lista_dias,WEEKDAY($J163,2)))</f>
        <v/>
      </c>
      <c r="S163" s="3">
        <f>IF($I163="","",IFERROR(INDEX('CAT_TIPOS_OT'!$C$4:$C$7,MATCH($I163,'CAT_TIPOS_OT'!$A$4:$A$7,0)),"sin_clasificar"))</f>
        <v/>
      </c>
      <c r="T163" s="3">
        <f>IF($F163="","",IFERROR(INDEX('CAT_CENTROS_COSTO'!$E$4:$E$9,MATCH($F163,'CAT_CENTROS_COSTO'!$A$4:$A$9,0)),"(sin catálogo)"))</f>
        <v/>
      </c>
      <c r="U163" s="3">
        <f>IF($F163="","",IFERROR(INDEX('CAT_CENTROS_COSTO'!$D$4:$D$9,MATCH($F163,'CAT_CENTROS_COSTO'!$A$4:$A$9,0)),"(sin catálogo)"))</f>
        <v/>
      </c>
      <c r="V163" s="3">
        <f>IF($F163="","",IFERROR(INDEX('CAT_CENTROS_COSTO'!$F$4:$F$9,MATCH($F163,'CAT_CENTROS_COSTO'!$A$4:$A$9,0)),"(sin catálogo)"))</f>
        <v/>
      </c>
      <c r="W163" s="3">
        <f>IF($G163="","",IFERROR(INDEX('CAT_PUESTOS'!$B$4:$B$8,MATCH($G163,'CAT_PUESTOS'!$A$4:$A$8,0)),"(sin catálogo)"))</f>
        <v/>
      </c>
      <c r="X163" s="3">
        <f>IF($H163="","",IFERROR(INDEX('CAT_ACTIVIDADES'!$B$4:$B$8,MATCH($H163,'CAT_ACTIVIDADES'!$A$4:$A$8,0)),"(sin catálogo)"))</f>
        <v/>
      </c>
      <c r="Y163" s="12">
        <f>IF($J163="","",TODAY()-$J163)</f>
        <v/>
      </c>
      <c r="Z163" s="3">
        <f>IF($Y163="","",IF($Y163&lt;0,"FUTURO",IF($Y163&gt;p_dias_backlog_max,"BACKLOG","MES CORRIENTE")))</f>
        <v/>
      </c>
      <c r="AA163" s="3">
        <f>IF($Y163="",FALSE,AND($Y163&gt;p_dias_backlog_min,$Y163&lt;=p_dias_backlog_max))</f>
        <v/>
      </c>
      <c r="AB163" s="6" t="inlineStr"/>
      <c r="AC163" s="3">
        <f>IF($AB163="","",IFERROR(INDEX('ASIGNACIONES'!$F$4:$F$339,MATCH($O163&amp;"|"&amp;$R163&amp;"|"&amp;$AB163,'ASIGNACIONES'!$I$4:$I$339,0)),""))</f>
        <v/>
      </c>
      <c r="AD163" s="13">
        <f>IF($AB163="","",SUMIFS('ORDENES'!$M$4:$M$1203,'ORDENES'!$AB$4:$AB$1203,$AB163,'ORDENES'!$O$4:$O$1203,$O163,'ORDENES'!$R$4:$R$1203,$R163))</f>
        <v/>
      </c>
      <c r="AE163" s="13">
        <f>IF($AD163="","",p_factor_productividad*IFERROR(INDEX('ASIGNACIONES'!$H$4:$H$339,MATCH($O163&amp;"|"&amp;$R163&amp;"|"&amp;$AB163,'ASIGNACIONES'!$I$4:$I$339,0)),0)-$AD163)</f>
        <v/>
      </c>
      <c r="AF163" s="10">
        <f>IF($A163="","",IFERROR(INDEX('2_IMPORTAR_EJECUCION'!$F$9:$F$1208,MATCH($AN163,'2_IMPORTAR_EJECUCION'!$J$9:$J$1208,0)),0))</f>
        <v/>
      </c>
      <c r="AG163" s="10">
        <f>IF($A163="","",MAX(0,IFERROR(INDEX('2_IMPORTAR_EJECUCION'!$H$9:$H$1208,MATCH($AN163,'2_IMPORTAR_EJECUCION'!$J$9:$J$1208,0)),0)-$AF163))</f>
        <v/>
      </c>
      <c r="AH163" s="10">
        <f>IF($A163="","",$AF163+$AG163)</f>
        <v/>
      </c>
      <c r="AI163" s="6" t="inlineStr"/>
      <c r="AJ163" s="6" t="inlineStr"/>
      <c r="AK163" s="6" t="inlineStr"/>
      <c r="AL163" s="3">
        <f>IF($AK163="","",HYPERLINK(p_ruta_base_checklists&amp;$AK163,"abrir"))</f>
        <v/>
      </c>
      <c r="AM163" s="6" t="inlineStr"/>
      <c r="AN163" s="3">
        <f>IF($A163="","",$A163&amp;IF($B163="","0010",$B163))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EQ-102</t>
        </is>
      </c>
      <c r="D164" s="3" t="inlineStr">
        <is>
          <t>Análisis predictivo en EQ-102</t>
        </is>
      </c>
      <c r="E164" s="3" t="inlineStr">
        <is>
          <t>EQ-102</t>
        </is>
      </c>
      <c r="F164" s="3" t="inlineStr">
        <is>
          <t>CC-120</t>
        </is>
      </c>
      <c r="G164" s="3" t="inlineStr">
        <is>
          <t>PU-OP</t>
        </is>
      </c>
      <c r="H164" s="3" t="inlineStr">
        <is>
          <t>ACT-04</t>
        </is>
      </c>
      <c r="I164" s="3" t="inlineStr">
        <is>
          <t>TIPO-P2</t>
        </is>
      </c>
      <c r="J164" s="11" t="n">
        <v>46074</v>
      </c>
      <c r="K164" s="3" t="n">
        <v>4</v>
      </c>
      <c r="L164" s="10" t="n">
        <v>100</v>
      </c>
      <c r="M164" s="3">
        <f>IF($A164="","",IFERROR(INDEX('AJUSTES'!$B$4:$B$303,MATCH($AN164,'AJUSTES'!$A$4:$A$303,0)),IF($K164="","",$K164)))</f>
        <v/>
      </c>
      <c r="N164" s="3">
        <f>IF($A164="","",IFERROR(INDEX('CAT_ESTADOS_ERP'!$B$4:$B$7,MATCH(IFERROR(INDEX('2_IMPORTAR_EJECUCION'!$C$9:$C$1208,MATCH($AN164,'2_IMPORTAR_EJECUCION'!$J$9:$J$1208,0)),""),'CAT_ESTADOS_ERP'!$A$4:$A$7,0)),"Pendiente"))</f>
        <v/>
      </c>
      <c r="O164" s="3">
        <f>IF($J164="","",YEAR($J164+4-WEEKDAY($J164,2))&amp;"-S"&amp;TEXT(_xlfn.ISOWEEKNUM($J164),"00"))</f>
        <v/>
      </c>
      <c r="P164" s="3">
        <f>IF($J164="","",YEAR($J164))</f>
        <v/>
      </c>
      <c r="Q164" s="3">
        <f>IF($J164="","",MONTH($J164))</f>
        <v/>
      </c>
      <c r="R164" s="3">
        <f>IF($J164="","",INDEX(lista_dias,WEEKDAY($J164,2)))</f>
        <v/>
      </c>
      <c r="S164" s="3">
        <f>IF($I164="","",IFERROR(INDEX('CAT_TIPOS_OT'!$C$4:$C$7,MATCH($I164,'CAT_TIPOS_OT'!$A$4:$A$7,0)),"sin_clasificar"))</f>
        <v/>
      </c>
      <c r="T164" s="3">
        <f>IF($F164="","",IFERROR(INDEX('CAT_CENTROS_COSTO'!$E$4:$E$9,MATCH($F164,'CAT_CENTROS_COSTO'!$A$4:$A$9,0)),"(sin catálogo)"))</f>
        <v/>
      </c>
      <c r="U164" s="3">
        <f>IF($F164="","",IFERROR(INDEX('CAT_CENTROS_COSTO'!$D$4:$D$9,MATCH($F164,'CAT_CENTROS_COSTO'!$A$4:$A$9,0)),"(sin catálogo)"))</f>
        <v/>
      </c>
      <c r="V164" s="3">
        <f>IF($F164="","",IFERROR(INDEX('CAT_CENTROS_COSTO'!$F$4:$F$9,MATCH($F164,'CAT_CENTROS_COSTO'!$A$4:$A$9,0)),"(sin catálogo)"))</f>
        <v/>
      </c>
      <c r="W164" s="3">
        <f>IF($G164="","",IFERROR(INDEX('CAT_PUESTOS'!$B$4:$B$8,MATCH($G164,'CAT_PUESTOS'!$A$4:$A$8,0)),"(sin catálogo)"))</f>
        <v/>
      </c>
      <c r="X164" s="3">
        <f>IF($H164="","",IFERROR(INDEX('CAT_ACTIVIDADES'!$B$4:$B$8,MATCH($H164,'CAT_ACTIVIDADES'!$A$4:$A$8,0)),"(sin catálogo)"))</f>
        <v/>
      </c>
      <c r="Y164" s="12">
        <f>IF($J164="","",TODAY()-$J164)</f>
        <v/>
      </c>
      <c r="Z164" s="3">
        <f>IF($Y164="","",IF($Y164&lt;0,"FUTURO",IF($Y164&gt;p_dias_backlog_max,"BACKLOG","MES CORRIENTE")))</f>
        <v/>
      </c>
      <c r="AA164" s="3">
        <f>IF($Y164="",FALSE,AND($Y164&gt;p_dias_backlog_min,$Y164&lt;=p_dias_backlog_max))</f>
        <v/>
      </c>
      <c r="AB164" s="6" t="inlineStr"/>
      <c r="AC164" s="3">
        <f>IF($AB164="","",IFERROR(INDEX('ASIGNACIONES'!$F$4:$F$339,MATCH($O164&amp;"|"&amp;$R164&amp;"|"&amp;$AB164,'ASIGNACIONES'!$I$4:$I$339,0)),""))</f>
        <v/>
      </c>
      <c r="AD164" s="13">
        <f>IF($AB164="","",SUMIFS('ORDENES'!$M$4:$M$1203,'ORDENES'!$AB$4:$AB$1203,$AB164,'ORDENES'!$O$4:$O$1203,$O164,'ORDENES'!$R$4:$R$1203,$R164))</f>
        <v/>
      </c>
      <c r="AE164" s="13">
        <f>IF($AD164="","",p_factor_productividad*IFERROR(INDEX('ASIGNACIONES'!$H$4:$H$339,MATCH($O164&amp;"|"&amp;$R164&amp;"|"&amp;$AB164,'ASIGNACIONES'!$I$4:$I$339,0)),0)-$AD164)</f>
        <v/>
      </c>
      <c r="AF164" s="10">
        <f>IF($A164="","",IFERROR(INDEX('2_IMPORTAR_EJECUCION'!$F$9:$F$1208,MATCH($AN164,'2_IMPORTAR_EJECUCION'!$J$9:$J$1208,0)),0))</f>
        <v/>
      </c>
      <c r="AG164" s="10">
        <f>IF($A164="","",MAX(0,IFERROR(INDEX('2_IMPORTAR_EJECUCION'!$H$9:$H$1208,MATCH($AN164,'2_IMPORTAR_EJECUCION'!$J$9:$J$1208,0)),0)-$AF164))</f>
        <v/>
      </c>
      <c r="AH164" s="10">
        <f>IF($A164="","",$AF164+$AG164)</f>
        <v/>
      </c>
      <c r="AI164" s="6" t="inlineStr"/>
      <c r="AJ164" s="6" t="inlineStr"/>
      <c r="AK164" s="6" t="inlineStr"/>
      <c r="AL164" s="3">
        <f>IF($AK164="","",HYPERLINK(p_ruta_base_checklists&amp;$AK164,"abrir"))</f>
        <v/>
      </c>
      <c r="AM164" s="6" t="inlineStr"/>
      <c r="AN164" s="3">
        <f>IF($A164="","",$A164&amp;IF($B164="","0010",$B164))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Inspección de rutina — EQ-103</t>
        </is>
      </c>
      <c r="D165" s="3" t="inlineStr">
        <is>
          <t>Inspección de rutina en EQ-103</t>
        </is>
      </c>
      <c r="E165" s="3" t="inlineStr">
        <is>
          <t>EQ-103</t>
        </is>
      </c>
      <c r="F165" s="3" t="inlineStr">
        <is>
          <t>CC-110</t>
        </is>
      </c>
      <c r="G165" s="3" t="inlineStr">
        <is>
          <t>PU-MEC</t>
        </is>
      </c>
      <c r="H165" s="3" t="inlineStr">
        <is>
          <t>ACT-01</t>
        </is>
      </c>
      <c r="I165" s="3" t="inlineStr">
        <is>
          <t>TIPO-P1</t>
        </is>
      </c>
      <c r="J165" s="11" t="n">
        <v>46184</v>
      </c>
      <c r="K165" s="3" t="n">
        <v>4</v>
      </c>
      <c r="L165" s="10" t="n">
        <v>100</v>
      </c>
      <c r="M165" s="3">
        <f>IF($A165="","",IFERROR(INDEX('AJUSTES'!$B$4:$B$303,MATCH($AN165,'AJUSTES'!$A$4:$A$303,0)),IF($K165="","",$K165)))</f>
        <v/>
      </c>
      <c r="N165" s="3">
        <f>IF($A165="","",IFERROR(INDEX('CAT_ESTADOS_ERP'!$B$4:$B$7,MATCH(IFERROR(INDEX('2_IMPORTAR_EJECUCION'!$C$9:$C$1208,MATCH($AN165,'2_IMPORTAR_EJECUCION'!$J$9:$J$1208,0)),""),'CAT_ESTADOS_ERP'!$A$4:$A$7,0)),"Pendiente"))</f>
        <v/>
      </c>
      <c r="O165" s="3">
        <f>IF($J165="","",YEAR($J165+4-WEEKDAY($J165,2))&amp;"-S"&amp;TEXT(_xlfn.ISOWEEKNUM($J165),"00"))</f>
        <v/>
      </c>
      <c r="P165" s="3">
        <f>IF($J165="","",YEAR($J165))</f>
        <v/>
      </c>
      <c r="Q165" s="3">
        <f>IF($J165="","",MONTH($J165))</f>
        <v/>
      </c>
      <c r="R165" s="3">
        <f>IF($J165="","",INDEX(lista_dias,WEEKDAY($J165,2)))</f>
        <v/>
      </c>
      <c r="S165" s="3">
        <f>IF($I165="","",IFERROR(INDEX('CAT_TIPOS_OT'!$C$4:$C$7,MATCH($I165,'CAT_TIPOS_OT'!$A$4:$A$7,0)),"sin_clasificar"))</f>
        <v/>
      </c>
      <c r="T165" s="3">
        <f>IF($F165="","",IFERROR(INDEX('CAT_CENTROS_COSTO'!$E$4:$E$9,MATCH($F165,'CAT_CENTROS_COSTO'!$A$4:$A$9,0)),"(sin catálogo)"))</f>
        <v/>
      </c>
      <c r="U165" s="3">
        <f>IF($F165="","",IFERROR(INDEX('CAT_CENTROS_COSTO'!$D$4:$D$9,MATCH($F165,'CAT_CENTROS_COSTO'!$A$4:$A$9,0)),"(sin catálogo)"))</f>
        <v/>
      </c>
      <c r="V165" s="3">
        <f>IF($F165="","",IFERROR(INDEX('CAT_CENTROS_COSTO'!$F$4:$F$9,MATCH($F165,'CAT_CENTROS_COSTO'!$A$4:$A$9,0)),"(sin catálogo)"))</f>
        <v/>
      </c>
      <c r="W165" s="3">
        <f>IF($G165="","",IFERROR(INDEX('CAT_PUESTOS'!$B$4:$B$8,MATCH($G165,'CAT_PUESTOS'!$A$4:$A$8,0)),"(sin catálogo)"))</f>
        <v/>
      </c>
      <c r="X165" s="3">
        <f>IF($H165="","",IFERROR(INDEX('CAT_ACTIVIDADES'!$B$4:$B$8,MATCH($H165,'CAT_ACTIVIDADES'!$A$4:$A$8,0)),"(sin catálogo)"))</f>
        <v/>
      </c>
      <c r="Y165" s="12">
        <f>IF($J165="","",TODAY()-$J165)</f>
        <v/>
      </c>
      <c r="Z165" s="3">
        <f>IF($Y165="","",IF($Y165&lt;0,"FUTURO",IF($Y165&gt;p_dias_backlog_max,"BACKLOG","MES CORRIENTE")))</f>
        <v/>
      </c>
      <c r="AA165" s="3">
        <f>IF($Y165="",FALSE,AND($Y165&gt;p_dias_backlog_min,$Y165&lt;=p_dias_backlog_max))</f>
        <v/>
      </c>
      <c r="AB165" s="6" t="inlineStr"/>
      <c r="AC165" s="3">
        <f>IF($AB165="","",IFERROR(INDEX('ASIGNACIONES'!$F$4:$F$339,MATCH($O165&amp;"|"&amp;$R165&amp;"|"&amp;$AB165,'ASIGNACIONES'!$I$4:$I$339,0)),""))</f>
        <v/>
      </c>
      <c r="AD165" s="13">
        <f>IF($AB165="","",SUMIFS('ORDENES'!$M$4:$M$1203,'ORDENES'!$AB$4:$AB$1203,$AB165,'ORDENES'!$O$4:$O$1203,$O165,'ORDENES'!$R$4:$R$1203,$R165))</f>
        <v/>
      </c>
      <c r="AE165" s="13">
        <f>IF($AD165="","",p_factor_productividad*IFERROR(INDEX('ASIGNACIONES'!$H$4:$H$339,MATCH($O165&amp;"|"&amp;$R165&amp;"|"&amp;$AB165,'ASIGNACIONES'!$I$4:$I$339,0)),0)-$AD165)</f>
        <v/>
      </c>
      <c r="AF165" s="10">
        <f>IF($A165="","",IFERROR(INDEX('2_IMPORTAR_EJECUCION'!$F$9:$F$1208,MATCH($AN165,'2_IMPORTAR_EJECUCION'!$J$9:$J$1208,0)),0))</f>
        <v/>
      </c>
      <c r="AG165" s="10">
        <f>IF($A165="","",MAX(0,IFERROR(INDEX('2_IMPORTAR_EJECUCION'!$H$9:$H$1208,MATCH($AN165,'2_IMPORTAR_EJECUCION'!$J$9:$J$1208,0)),0)-$AF165))</f>
        <v/>
      </c>
      <c r="AH165" s="10">
        <f>IF($A165="","",$AF165+$AG165)</f>
        <v/>
      </c>
      <c r="AI165" s="6" t="inlineStr"/>
      <c r="AJ165" s="6" t="inlineStr"/>
      <c r="AK165" s="6" t="inlineStr"/>
      <c r="AL165" s="3">
        <f>IF($AK165="","",HYPERLINK(p_ruta_base_checklists&amp;$AK165,"abrir"))</f>
        <v/>
      </c>
      <c r="AM165" s="6" t="inlineStr"/>
      <c r="AN165" s="3">
        <f>IF($A165="","",$A165&amp;IF($B165="","0010",$B165))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Reparación de falla — EQ-104</t>
        </is>
      </c>
      <c r="D166" s="3" t="inlineStr">
        <is>
          <t>Reparación de falla en EQ-104</t>
        </is>
      </c>
      <c r="E166" s="3" t="inlineStr">
        <is>
          <t>EQ-104</t>
        </is>
      </c>
      <c r="F166" s="3" t="inlineStr">
        <is>
          <t>CC-120</t>
        </is>
      </c>
      <c r="G166" s="3" t="inlineStr">
        <is>
          <t>PU-ELE</t>
        </is>
      </c>
      <c r="H166" s="3" t="inlineStr">
        <is>
          <t>ACT-03</t>
        </is>
      </c>
      <c r="I166" s="3" t="inlineStr">
        <is>
          <t>TIPO-C2</t>
        </is>
      </c>
      <c r="J166" s="11" t="n">
        <v>46177</v>
      </c>
      <c r="K166" s="3" t="n">
        <v>6</v>
      </c>
      <c r="L166" s="10" t="n">
        <v>240</v>
      </c>
      <c r="M166" s="3">
        <f>IF($A166="","",IFERROR(INDEX('AJUSTES'!$B$4:$B$303,MATCH($AN166,'AJUSTES'!$A$4:$A$303,0)),IF($K166="","",$K166)))</f>
        <v/>
      </c>
      <c r="N166" s="3">
        <f>IF($A166="","",IFERROR(INDEX('CAT_ESTADOS_ERP'!$B$4:$B$7,MATCH(IFERROR(INDEX('2_IMPORTAR_EJECUCION'!$C$9:$C$1208,MATCH($AN166,'2_IMPORTAR_EJECUCION'!$J$9:$J$1208,0)),""),'CAT_ESTADOS_ERP'!$A$4:$A$7,0)),"Pendiente"))</f>
        <v/>
      </c>
      <c r="O166" s="3">
        <f>IF($J166="","",YEAR($J166+4-WEEKDAY($J166,2))&amp;"-S"&amp;TEXT(_xlfn.ISOWEEKNUM($J166),"00"))</f>
        <v/>
      </c>
      <c r="P166" s="3">
        <f>IF($J166="","",YEAR($J166))</f>
        <v/>
      </c>
      <c r="Q166" s="3">
        <f>IF($J166="","",MONTH($J166))</f>
        <v/>
      </c>
      <c r="R166" s="3">
        <f>IF($J166="","",INDEX(lista_dias,WEEKDAY($J166,2)))</f>
        <v/>
      </c>
      <c r="S166" s="3">
        <f>IF($I166="","",IFERROR(INDEX('CAT_TIPOS_OT'!$C$4:$C$7,MATCH($I166,'CAT_TIPOS_OT'!$A$4:$A$7,0)),"sin_clasificar"))</f>
        <v/>
      </c>
      <c r="T166" s="3">
        <f>IF($F166="","",IFERROR(INDEX('CAT_CENTROS_COSTO'!$E$4:$E$9,MATCH($F166,'CAT_CENTROS_COSTO'!$A$4:$A$9,0)),"(sin catálogo)"))</f>
        <v/>
      </c>
      <c r="U166" s="3">
        <f>IF($F166="","",IFERROR(INDEX('CAT_CENTROS_COSTO'!$D$4:$D$9,MATCH($F166,'CAT_CENTROS_COSTO'!$A$4:$A$9,0)),"(sin catálogo)"))</f>
        <v/>
      </c>
      <c r="V166" s="3">
        <f>IF($F166="","",IFERROR(INDEX('CAT_CENTROS_COSTO'!$F$4:$F$9,MATCH($F166,'CAT_CENTROS_COSTO'!$A$4:$A$9,0)),"(sin catálogo)"))</f>
        <v/>
      </c>
      <c r="W166" s="3">
        <f>IF($G166="","",IFERROR(INDEX('CAT_PUESTOS'!$B$4:$B$8,MATCH($G166,'CAT_PUESTOS'!$A$4:$A$8,0)),"(sin catálogo)"))</f>
        <v/>
      </c>
      <c r="X166" s="3">
        <f>IF($H166="","",IFERROR(INDEX('CAT_ACTIVIDADES'!$B$4:$B$8,MATCH($H166,'CAT_ACTIVIDADES'!$A$4:$A$8,0)),"(sin catálogo)"))</f>
        <v/>
      </c>
      <c r="Y166" s="12">
        <f>IF($J166="","",TODAY()-$J166)</f>
        <v/>
      </c>
      <c r="Z166" s="3">
        <f>IF($Y166="","",IF($Y166&lt;0,"FUTURO",IF($Y166&gt;p_dias_backlog_max,"BACKLOG","MES CORRIENTE")))</f>
        <v/>
      </c>
      <c r="AA166" s="3">
        <f>IF($Y166="",FALSE,AND($Y166&gt;p_dias_backlog_min,$Y166&lt;=p_dias_backlog_max))</f>
        <v/>
      </c>
      <c r="AB166" s="6" t="inlineStr"/>
      <c r="AC166" s="3">
        <f>IF($AB166="","",IFERROR(INDEX('ASIGNACIONES'!$F$4:$F$339,MATCH($O166&amp;"|"&amp;$R166&amp;"|"&amp;$AB166,'ASIGNACIONES'!$I$4:$I$339,0)),""))</f>
        <v/>
      </c>
      <c r="AD166" s="13">
        <f>IF($AB166="","",SUMIFS('ORDENES'!$M$4:$M$1203,'ORDENES'!$AB$4:$AB$1203,$AB166,'ORDENES'!$O$4:$O$1203,$O166,'ORDENES'!$R$4:$R$1203,$R166))</f>
        <v/>
      </c>
      <c r="AE166" s="13">
        <f>IF($AD166="","",p_factor_productividad*IFERROR(INDEX('ASIGNACIONES'!$H$4:$H$339,MATCH($O166&amp;"|"&amp;$R166&amp;"|"&amp;$AB166,'ASIGNACIONES'!$I$4:$I$339,0)),0)-$AD166)</f>
        <v/>
      </c>
      <c r="AF166" s="10">
        <f>IF($A166="","",IFERROR(INDEX('2_IMPORTAR_EJECUCION'!$F$9:$F$1208,MATCH($AN166,'2_IMPORTAR_EJECUCION'!$J$9:$J$1208,0)),0))</f>
        <v/>
      </c>
      <c r="AG166" s="10">
        <f>IF($A166="","",MAX(0,IFERROR(INDEX('2_IMPORTAR_EJECUCION'!$H$9:$H$1208,MATCH($AN166,'2_IMPORTAR_EJECUCION'!$J$9:$J$1208,0)),0)-$AF166))</f>
        <v/>
      </c>
      <c r="AH166" s="10">
        <f>IF($A166="","",$AF166+$AG166)</f>
        <v/>
      </c>
      <c r="AI166" s="6" t="inlineStr"/>
      <c r="AJ166" s="6" t="inlineStr"/>
      <c r="AK166" s="6" t="inlineStr"/>
      <c r="AL166" s="3">
        <f>IF($AK166="","",HYPERLINK(p_ruta_base_checklists&amp;$AK166,"abrir"))</f>
        <v/>
      </c>
      <c r="AM166" s="6" t="inlineStr"/>
      <c r="AN166" s="3">
        <f>IF($A166="","",$A166&amp;IF($B166="","0010",$B166))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Análisis predictivo — EQ-106</t>
        </is>
      </c>
      <c r="D167" s="3" t="inlineStr">
        <is>
          <t>Análisis predictivo en EQ-106</t>
        </is>
      </c>
      <c r="E167" s="3" t="inlineStr">
        <is>
          <t>EQ-106</t>
        </is>
      </c>
      <c r="F167" s="3" t="inlineStr">
        <is>
          <t>CC-210</t>
        </is>
      </c>
      <c r="G167" s="3" t="inlineStr">
        <is>
          <t>PU-AUT</t>
        </is>
      </c>
      <c r="H167" s="3" t="inlineStr">
        <is>
          <t>ACT-04</t>
        </is>
      </c>
      <c r="I167" s="3" t="inlineStr">
        <is>
          <t>TIPO-P1</t>
        </is>
      </c>
      <c r="J167" s="11" t="n">
        <v>46170</v>
      </c>
      <c r="K167" s="3" t="n">
        <v>8</v>
      </c>
      <c r="L167" s="10" t="n">
        <v>200</v>
      </c>
      <c r="M167" s="3">
        <f>IF($A167="","",IFERROR(INDEX('AJUSTES'!$B$4:$B$303,MATCH($AN167,'AJUSTES'!$A$4:$A$303,0)),IF($K167="","",$K167)))</f>
        <v/>
      </c>
      <c r="N167" s="3">
        <f>IF($A167="","",IFERROR(INDEX('CAT_ESTADOS_ERP'!$B$4:$B$7,MATCH(IFERROR(INDEX('2_IMPORTAR_EJECUCION'!$C$9:$C$1208,MATCH($AN167,'2_IMPORTAR_EJECUCION'!$J$9:$J$1208,0)),""),'CAT_ESTADOS_ERP'!$A$4:$A$7,0)),"Pendiente"))</f>
        <v/>
      </c>
      <c r="O167" s="3">
        <f>IF($J167="","",YEAR($J167+4-WEEKDAY($J167,2))&amp;"-S"&amp;TEXT(_xlfn.ISOWEEKNUM($J167),"00"))</f>
        <v/>
      </c>
      <c r="P167" s="3">
        <f>IF($J167="","",YEAR($J167))</f>
        <v/>
      </c>
      <c r="Q167" s="3">
        <f>IF($J167="","",MONTH($J167))</f>
        <v/>
      </c>
      <c r="R167" s="3">
        <f>IF($J167="","",INDEX(lista_dias,WEEKDAY($J167,2)))</f>
        <v/>
      </c>
      <c r="S167" s="3">
        <f>IF($I167="","",IFERROR(INDEX('CAT_TIPOS_OT'!$C$4:$C$7,MATCH($I167,'CAT_TIPOS_OT'!$A$4:$A$7,0)),"sin_clasificar"))</f>
        <v/>
      </c>
      <c r="T167" s="3">
        <f>IF($F167="","",IFERROR(INDEX('CAT_CENTROS_COSTO'!$E$4:$E$9,MATCH($F167,'CAT_CENTROS_COSTO'!$A$4:$A$9,0)),"(sin catálogo)"))</f>
        <v/>
      </c>
      <c r="U167" s="3">
        <f>IF($F167="","",IFERROR(INDEX('CAT_CENTROS_COSTO'!$D$4:$D$9,MATCH($F167,'CAT_CENTROS_COSTO'!$A$4:$A$9,0)),"(sin catálogo)"))</f>
        <v/>
      </c>
      <c r="V167" s="3">
        <f>IF($F167="","",IFERROR(INDEX('CAT_CENTROS_COSTO'!$F$4:$F$9,MATCH($F167,'CAT_CENTROS_COSTO'!$A$4:$A$9,0)),"(sin catálogo)"))</f>
        <v/>
      </c>
      <c r="W167" s="3">
        <f>IF($G167="","",IFERROR(INDEX('CAT_PUESTOS'!$B$4:$B$8,MATCH($G167,'CAT_PUESTOS'!$A$4:$A$8,0)),"(sin catálogo)"))</f>
        <v/>
      </c>
      <c r="X167" s="3">
        <f>IF($H167="","",IFERROR(INDEX('CAT_ACTIVIDADES'!$B$4:$B$8,MATCH($H167,'CAT_ACTIVIDADES'!$A$4:$A$8,0)),"(sin catálogo)"))</f>
        <v/>
      </c>
      <c r="Y167" s="12">
        <f>IF($J167="","",TODAY()-$J167)</f>
        <v/>
      </c>
      <c r="Z167" s="3">
        <f>IF($Y167="","",IF($Y167&lt;0,"FUTURO",IF($Y167&gt;p_dias_backlog_max,"BACKLOG","MES CORRIENTE")))</f>
        <v/>
      </c>
      <c r="AA167" s="3">
        <f>IF($Y167="",FALSE,AND($Y167&gt;p_dias_backlog_min,$Y167&lt;=p_dias_backlog_max))</f>
        <v/>
      </c>
      <c r="AB167" s="6" t="inlineStr"/>
      <c r="AC167" s="3">
        <f>IF($AB167="","",IFERROR(INDEX('ASIGNACIONES'!$F$4:$F$339,MATCH($O167&amp;"|"&amp;$R167&amp;"|"&amp;$AB167,'ASIGNACIONES'!$I$4:$I$339,0)),""))</f>
        <v/>
      </c>
      <c r="AD167" s="13">
        <f>IF($AB167="","",SUMIFS('ORDENES'!$M$4:$M$1203,'ORDENES'!$AB$4:$AB$1203,$AB167,'ORDENES'!$O$4:$O$1203,$O167,'ORDENES'!$R$4:$R$1203,$R167))</f>
        <v/>
      </c>
      <c r="AE167" s="13">
        <f>IF($AD167="","",p_factor_productividad*IFERROR(INDEX('ASIGNACIONES'!$H$4:$H$339,MATCH($O167&amp;"|"&amp;$R167&amp;"|"&amp;$AB167,'ASIGNACIONES'!$I$4:$I$339,0)),0)-$AD167)</f>
        <v/>
      </c>
      <c r="AF167" s="10">
        <f>IF($A167="","",IFERROR(INDEX('2_IMPORTAR_EJECUCION'!$F$9:$F$1208,MATCH($AN167,'2_IMPORTAR_EJECUCION'!$J$9:$J$1208,0)),0))</f>
        <v/>
      </c>
      <c r="AG167" s="10">
        <f>IF($A167="","",MAX(0,IFERROR(INDEX('2_IMPORTAR_EJECUCION'!$H$9:$H$1208,MATCH($AN167,'2_IMPORTAR_EJECUCION'!$J$9:$J$1208,0)),0)-$AF167))</f>
        <v/>
      </c>
      <c r="AH167" s="10">
        <f>IF($A167="","",$AF167+$AG167)</f>
        <v/>
      </c>
      <c r="AI167" s="6" t="inlineStr"/>
      <c r="AJ167" s="6" t="inlineStr"/>
      <c r="AK167" s="6" t="inlineStr"/>
      <c r="AL167" s="3">
        <f>IF($AK167="","",HYPERLINK(p_ruta_base_checklists&amp;$AK167,"abrir"))</f>
        <v/>
      </c>
      <c r="AM167" s="6" t="inlineStr"/>
      <c r="AN167" s="3">
        <f>IF($A167="","",$A167&amp;IF($B167="","0010",$B167))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Reparación de falla — EQ-107</t>
        </is>
      </c>
      <c r="D168" s="3" t="inlineStr">
        <is>
          <t>Reparación de falla en EQ-107</t>
        </is>
      </c>
      <c r="E168" s="3" t="inlineStr">
        <is>
          <t>EQ-107</t>
        </is>
      </c>
      <c r="F168" s="3" t="inlineStr">
        <is>
          <t>CC-220</t>
        </is>
      </c>
      <c r="G168" s="3" t="inlineStr">
        <is>
          <t>PU-OP</t>
        </is>
      </c>
      <c r="H168" s="3" t="inlineStr">
        <is>
          <t>ACT-03</t>
        </is>
      </c>
      <c r="I168" s="3" t="inlineStr">
        <is>
          <t>TIPO-C2</t>
        </is>
      </c>
      <c r="J168" s="11" t="n">
        <v>46163</v>
      </c>
      <c r="K168" s="3" t="n">
        <v>4</v>
      </c>
      <c r="L168" s="10" t="n">
        <v>160</v>
      </c>
      <c r="M168" s="3">
        <f>IF($A168="","",IFERROR(INDEX('AJUSTES'!$B$4:$B$303,MATCH($AN168,'AJUSTES'!$A$4:$A$303,0)),IF($K168="","",$K168)))</f>
        <v/>
      </c>
      <c r="N168" s="3">
        <f>IF($A168="","",IFERROR(INDEX('CAT_ESTADOS_ERP'!$B$4:$B$7,MATCH(IFERROR(INDEX('2_IMPORTAR_EJECUCION'!$C$9:$C$1208,MATCH($AN168,'2_IMPORTAR_EJECUCION'!$J$9:$J$1208,0)),""),'CAT_ESTADOS_ERP'!$A$4:$A$7,0)),"Pendiente"))</f>
        <v/>
      </c>
      <c r="O168" s="3">
        <f>IF($J168="","",YEAR($J168+4-WEEKDAY($J168,2))&amp;"-S"&amp;TEXT(_xlfn.ISOWEEKNUM($J168),"00"))</f>
        <v/>
      </c>
      <c r="P168" s="3">
        <f>IF($J168="","",YEAR($J168))</f>
        <v/>
      </c>
      <c r="Q168" s="3">
        <f>IF($J168="","",MONTH($J168))</f>
        <v/>
      </c>
      <c r="R168" s="3">
        <f>IF($J168="","",INDEX(lista_dias,WEEKDAY($J168,2)))</f>
        <v/>
      </c>
      <c r="S168" s="3">
        <f>IF($I168="","",IFERROR(INDEX('CAT_TIPOS_OT'!$C$4:$C$7,MATCH($I168,'CAT_TIPOS_OT'!$A$4:$A$7,0)),"sin_clasificar"))</f>
        <v/>
      </c>
      <c r="T168" s="3">
        <f>IF($F168="","",IFERROR(INDEX('CAT_CENTROS_COSTO'!$E$4:$E$9,MATCH($F168,'CAT_CENTROS_COSTO'!$A$4:$A$9,0)),"(sin catálogo)"))</f>
        <v/>
      </c>
      <c r="U168" s="3">
        <f>IF($F168="","",IFERROR(INDEX('CAT_CENTROS_COSTO'!$D$4:$D$9,MATCH($F168,'CAT_CENTROS_COSTO'!$A$4:$A$9,0)),"(sin catálogo)"))</f>
        <v/>
      </c>
      <c r="V168" s="3">
        <f>IF($F168="","",IFERROR(INDEX('CAT_CENTROS_COSTO'!$F$4:$F$9,MATCH($F168,'CAT_CENTROS_COSTO'!$A$4:$A$9,0)),"(sin catálogo)"))</f>
        <v/>
      </c>
      <c r="W168" s="3">
        <f>IF($G168="","",IFERROR(INDEX('CAT_PUESTOS'!$B$4:$B$8,MATCH($G168,'CAT_PUESTOS'!$A$4:$A$8,0)),"(sin catálogo)"))</f>
        <v/>
      </c>
      <c r="X168" s="3">
        <f>IF($H168="","",IFERROR(INDEX('CAT_ACTIVIDADES'!$B$4:$B$8,MATCH($H168,'CAT_ACTIVIDADES'!$A$4:$A$8,0)),"(sin catálogo)"))</f>
        <v/>
      </c>
      <c r="Y168" s="12">
        <f>IF($J168="","",TODAY()-$J168)</f>
        <v/>
      </c>
      <c r="Z168" s="3">
        <f>IF($Y168="","",IF($Y168&lt;0,"FUTURO",IF($Y168&gt;p_dias_backlog_max,"BACKLOG","MES CORRIENTE")))</f>
        <v/>
      </c>
      <c r="AA168" s="3">
        <f>IF($Y168="",FALSE,AND($Y168&gt;p_dias_backlog_min,$Y168&lt;=p_dias_backlog_max))</f>
        <v/>
      </c>
      <c r="AB168" s="6" t="inlineStr"/>
      <c r="AC168" s="3">
        <f>IF($AB168="","",IFERROR(INDEX('ASIGNACIONES'!$F$4:$F$339,MATCH($O168&amp;"|"&amp;$R168&amp;"|"&amp;$AB168,'ASIGNACIONES'!$I$4:$I$339,0)),""))</f>
        <v/>
      </c>
      <c r="AD168" s="13">
        <f>IF($AB168="","",SUMIFS('ORDENES'!$M$4:$M$1203,'ORDENES'!$AB$4:$AB$1203,$AB168,'ORDENES'!$O$4:$O$1203,$O168,'ORDENES'!$R$4:$R$1203,$R168))</f>
        <v/>
      </c>
      <c r="AE168" s="13">
        <f>IF($AD168="","",p_factor_productividad*IFERROR(INDEX('ASIGNACIONES'!$H$4:$H$339,MATCH($O168&amp;"|"&amp;$R168&amp;"|"&amp;$AB168,'ASIGNACIONES'!$I$4:$I$339,0)),0)-$AD168)</f>
        <v/>
      </c>
      <c r="AF168" s="10">
        <f>IF($A168="","",IFERROR(INDEX('2_IMPORTAR_EJECUCION'!$F$9:$F$1208,MATCH($AN168,'2_IMPORTAR_EJECUCION'!$J$9:$J$1208,0)),0))</f>
        <v/>
      </c>
      <c r="AG168" s="10">
        <f>IF($A168="","",MAX(0,IFERROR(INDEX('2_IMPORTAR_EJECUCION'!$H$9:$H$1208,MATCH($AN168,'2_IMPORTAR_EJECUCION'!$J$9:$J$1208,0)),0)-$AF168))</f>
        <v/>
      </c>
      <c r="AH168" s="10">
        <f>IF($A168="","",$AF168+$AG168)</f>
        <v/>
      </c>
      <c r="AI168" s="6" t="inlineStr"/>
      <c r="AJ168" s="6" t="inlineStr"/>
      <c r="AK168" s="6" t="inlineStr"/>
      <c r="AL168" s="3">
        <f>IF($AK168="","",HYPERLINK(p_ruta_base_checklists&amp;$AK168,"abrir"))</f>
        <v/>
      </c>
      <c r="AM168" s="6" t="inlineStr"/>
      <c r="AN168" s="3">
        <f>IF($A168="","",$A168&amp;IF($B168="","0010",$B168))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EQ-111</t>
        </is>
      </c>
      <c r="D169" s="3" t="inlineStr">
        <is>
          <t>Lubricación programada en EQ-111</t>
        </is>
      </c>
      <c r="E169" s="3" t="inlineStr">
        <is>
          <t>EQ-111</t>
        </is>
      </c>
      <c r="F169" s="3" t="inlineStr">
        <is>
          <t>CC-310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1" t="n">
        <v>46156</v>
      </c>
      <c r="K169" s="3" t="n">
        <v>6</v>
      </c>
      <c r="L169" s="10" t="n">
        <v>150</v>
      </c>
      <c r="M169" s="3">
        <f>IF($A169="","",IFERROR(INDEX('AJUSTES'!$B$4:$B$303,MATCH($AN169,'AJUSTES'!$A$4:$A$303,0)),IF($K169="","",$K169)))</f>
        <v/>
      </c>
      <c r="N169" s="3">
        <f>IF($A169="","",IFERROR(INDEX('CAT_ESTADOS_ERP'!$B$4:$B$7,MATCH(IFERROR(INDEX('2_IMPORTAR_EJECUCION'!$C$9:$C$1208,MATCH($AN169,'2_IMPORTAR_EJECUCION'!$J$9:$J$1208,0)),""),'CAT_ESTADOS_ERP'!$A$4:$A$7,0)),"Pendiente"))</f>
        <v/>
      </c>
      <c r="O169" s="3">
        <f>IF($J169="","",YEAR($J169+4-WEEKDAY($J169,2))&amp;"-S"&amp;TEXT(_xlfn.ISOWEEKNUM($J169),"00"))</f>
        <v/>
      </c>
      <c r="P169" s="3">
        <f>IF($J169="","",YEAR($J169))</f>
        <v/>
      </c>
      <c r="Q169" s="3">
        <f>IF($J169="","",MONTH($J169))</f>
        <v/>
      </c>
      <c r="R169" s="3">
        <f>IF($J169="","",INDEX(lista_dias,WEEKDAY($J169,2)))</f>
        <v/>
      </c>
      <c r="S169" s="3">
        <f>IF($I169="","",IFERROR(INDEX('CAT_TIPOS_OT'!$C$4:$C$7,MATCH($I169,'CAT_TIPOS_OT'!$A$4:$A$7,0)),"sin_clasificar"))</f>
        <v/>
      </c>
      <c r="T169" s="3">
        <f>IF($F169="","",IFERROR(INDEX('CAT_CENTROS_COSTO'!$E$4:$E$9,MATCH($F169,'CAT_CENTROS_COSTO'!$A$4:$A$9,0)),"(sin catálogo)"))</f>
        <v/>
      </c>
      <c r="U169" s="3">
        <f>IF($F169="","",IFERROR(INDEX('CAT_CENTROS_COSTO'!$D$4:$D$9,MATCH($F169,'CAT_CENTROS_COSTO'!$A$4:$A$9,0)),"(sin catálogo)"))</f>
        <v/>
      </c>
      <c r="V169" s="3">
        <f>IF($F169="","",IFERROR(INDEX('CAT_CENTROS_COSTO'!$F$4:$F$9,MATCH($F169,'CAT_CENTROS_COSTO'!$A$4:$A$9,0)),"(sin catálogo)"))</f>
        <v/>
      </c>
      <c r="W169" s="3">
        <f>IF($G169="","",IFERROR(INDEX('CAT_PUESTOS'!$B$4:$B$8,MATCH($G169,'CAT_PUESTOS'!$A$4:$A$8,0)),"(sin catálogo)"))</f>
        <v/>
      </c>
      <c r="X169" s="3">
        <f>IF($H169="","",IFERROR(INDEX('CAT_ACTIVIDADES'!$B$4:$B$8,MATCH($H169,'CAT_ACTIVIDADES'!$A$4:$A$8,0)),"(sin catálogo)"))</f>
        <v/>
      </c>
      <c r="Y169" s="12">
        <f>IF($J169="","",TODAY()-$J169)</f>
        <v/>
      </c>
      <c r="Z169" s="3">
        <f>IF($Y169="","",IF($Y169&lt;0,"FUTURO",IF($Y169&gt;p_dias_backlog_max,"BACKLOG","MES CORRIENTE")))</f>
        <v/>
      </c>
      <c r="AA169" s="3">
        <f>IF($Y169="",FALSE,AND($Y169&gt;p_dias_backlog_min,$Y169&lt;=p_dias_backlog_max))</f>
        <v/>
      </c>
      <c r="AB169" s="6" t="inlineStr"/>
      <c r="AC169" s="3">
        <f>IF($AB169="","",IFERROR(INDEX('ASIGNACIONES'!$F$4:$F$339,MATCH($O169&amp;"|"&amp;$R169&amp;"|"&amp;$AB169,'ASIGNACIONES'!$I$4:$I$339,0)),""))</f>
        <v/>
      </c>
      <c r="AD169" s="13">
        <f>IF($AB169="","",SUMIFS('ORDENES'!$M$4:$M$1203,'ORDENES'!$AB$4:$AB$1203,$AB169,'ORDENES'!$O$4:$O$1203,$O169,'ORDENES'!$R$4:$R$1203,$R169))</f>
        <v/>
      </c>
      <c r="AE169" s="13">
        <f>IF($AD169="","",p_factor_productividad*IFERROR(INDEX('ASIGNACIONES'!$H$4:$H$339,MATCH($O169&amp;"|"&amp;$R169&amp;"|"&amp;$AB169,'ASIGNACIONES'!$I$4:$I$339,0)),0)-$AD169)</f>
        <v/>
      </c>
      <c r="AF169" s="10">
        <f>IF($A169="","",IFERROR(INDEX('2_IMPORTAR_EJECUCION'!$F$9:$F$1208,MATCH($AN169,'2_IMPORTAR_EJECUCION'!$J$9:$J$1208,0)),0))</f>
        <v/>
      </c>
      <c r="AG169" s="10">
        <f>IF($A169="","",MAX(0,IFERROR(INDEX('2_IMPORTAR_EJECUCION'!$H$9:$H$1208,MATCH($AN169,'2_IMPORTAR_EJECUCION'!$J$9:$J$1208,0)),0)-$AF169))</f>
        <v/>
      </c>
      <c r="AH169" s="10">
        <f>IF($A169="","",$AF169+$AG169)</f>
        <v/>
      </c>
      <c r="AI169" s="6" t="inlineStr"/>
      <c r="AJ169" s="6" t="inlineStr"/>
      <c r="AK169" s="6" t="inlineStr"/>
      <c r="AL169" s="3">
        <f>IF($AK169="","",HYPERLINK(p_ruta_base_checklists&amp;$AK169,"abrir"))</f>
        <v/>
      </c>
      <c r="AM169" s="6" t="inlineStr"/>
      <c r="AN169" s="3">
        <f>IF($A169="","",$A169&amp;IF($B169="","0010",$B169))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Reparación de falla — EQ-112</t>
        </is>
      </c>
      <c r="D170" s="3" t="inlineStr">
        <is>
          <t>Reparación de falla en EQ-112</t>
        </is>
      </c>
      <c r="E170" s="3" t="inlineStr">
        <is>
          <t>EQ-112</t>
        </is>
      </c>
      <c r="F170" s="3" t="inlineStr">
        <is>
          <t>CC-320</t>
        </is>
      </c>
      <c r="G170" s="3" t="inlineStr">
        <is>
          <t>PU-ELE</t>
        </is>
      </c>
      <c r="H170" s="3" t="inlineStr">
        <is>
          <t>ACT-03</t>
        </is>
      </c>
      <c r="I170" s="3" t="inlineStr">
        <is>
          <t>TIPO-C2</t>
        </is>
      </c>
      <c r="J170" s="11" t="n">
        <v>46149</v>
      </c>
      <c r="K170" s="3" t="n">
        <v>8</v>
      </c>
      <c r="L170" s="10" t="n">
        <v>320</v>
      </c>
      <c r="M170" s="3">
        <f>IF($A170="","",IFERROR(INDEX('AJUSTES'!$B$4:$B$303,MATCH($AN170,'AJUSTES'!$A$4:$A$303,0)),IF($K170="","",$K170)))</f>
        <v/>
      </c>
      <c r="N170" s="3">
        <f>IF($A170="","",IFERROR(INDEX('CAT_ESTADOS_ERP'!$B$4:$B$7,MATCH(IFERROR(INDEX('2_IMPORTAR_EJECUCION'!$C$9:$C$1208,MATCH($AN170,'2_IMPORTAR_EJECUCION'!$J$9:$J$1208,0)),""),'CAT_ESTADOS_ERP'!$A$4:$A$7,0)),"Pendiente"))</f>
        <v/>
      </c>
      <c r="O170" s="3">
        <f>IF($J170="","",YEAR($J170+4-WEEKDAY($J170,2))&amp;"-S"&amp;TEXT(_xlfn.ISOWEEKNUM($J170),"00"))</f>
        <v/>
      </c>
      <c r="P170" s="3">
        <f>IF($J170="","",YEAR($J170))</f>
        <v/>
      </c>
      <c r="Q170" s="3">
        <f>IF($J170="","",MONTH($J170))</f>
        <v/>
      </c>
      <c r="R170" s="3">
        <f>IF($J170="","",INDEX(lista_dias,WEEKDAY($J170,2)))</f>
        <v/>
      </c>
      <c r="S170" s="3">
        <f>IF($I170="","",IFERROR(INDEX('CAT_TIPOS_OT'!$C$4:$C$7,MATCH($I170,'CAT_TIPOS_OT'!$A$4:$A$7,0)),"sin_clasificar"))</f>
        <v/>
      </c>
      <c r="T170" s="3">
        <f>IF($F170="","",IFERROR(INDEX('CAT_CENTROS_COSTO'!$E$4:$E$9,MATCH($F170,'CAT_CENTROS_COSTO'!$A$4:$A$9,0)),"(sin catálogo)"))</f>
        <v/>
      </c>
      <c r="U170" s="3">
        <f>IF($F170="","",IFERROR(INDEX('CAT_CENTROS_COSTO'!$D$4:$D$9,MATCH($F170,'CAT_CENTROS_COSTO'!$A$4:$A$9,0)),"(sin catálogo)"))</f>
        <v/>
      </c>
      <c r="V170" s="3">
        <f>IF($F170="","",IFERROR(INDEX('CAT_CENTROS_COSTO'!$F$4:$F$9,MATCH($F170,'CAT_CENTROS_COSTO'!$A$4:$A$9,0)),"(sin catálogo)"))</f>
        <v/>
      </c>
      <c r="W170" s="3">
        <f>IF($G170="","",IFERROR(INDEX('CAT_PUESTOS'!$B$4:$B$8,MATCH($G170,'CAT_PUESTOS'!$A$4:$A$8,0)),"(sin catálogo)"))</f>
        <v/>
      </c>
      <c r="X170" s="3">
        <f>IF($H170="","",IFERROR(INDEX('CAT_ACTIVIDADES'!$B$4:$B$8,MATCH($H170,'CAT_ACTIVIDADES'!$A$4:$A$8,0)),"(sin catálogo)"))</f>
        <v/>
      </c>
      <c r="Y170" s="12">
        <f>IF($J170="","",TODAY()-$J170)</f>
        <v/>
      </c>
      <c r="Z170" s="3">
        <f>IF($Y170="","",IF($Y170&lt;0,"FUTURO",IF($Y170&gt;p_dias_backlog_max,"BACKLOG","MES CORRIENTE")))</f>
        <v/>
      </c>
      <c r="AA170" s="3">
        <f>IF($Y170="",FALSE,AND($Y170&gt;p_dias_backlog_min,$Y170&lt;=p_dias_backlog_max))</f>
        <v/>
      </c>
      <c r="AB170" s="6" t="inlineStr"/>
      <c r="AC170" s="3">
        <f>IF($AB170="","",IFERROR(INDEX('ASIGNACIONES'!$F$4:$F$339,MATCH($O170&amp;"|"&amp;$R170&amp;"|"&amp;$AB170,'ASIGNACIONES'!$I$4:$I$339,0)),""))</f>
        <v/>
      </c>
      <c r="AD170" s="13">
        <f>IF($AB170="","",SUMIFS('ORDENES'!$M$4:$M$1203,'ORDENES'!$AB$4:$AB$1203,$AB170,'ORDENES'!$O$4:$O$1203,$O170,'ORDENES'!$R$4:$R$1203,$R170))</f>
        <v/>
      </c>
      <c r="AE170" s="13">
        <f>IF($AD170="","",p_factor_productividad*IFERROR(INDEX('ASIGNACIONES'!$H$4:$H$339,MATCH($O170&amp;"|"&amp;$R170&amp;"|"&amp;$AB170,'ASIGNACIONES'!$I$4:$I$339,0)),0)-$AD170)</f>
        <v/>
      </c>
      <c r="AF170" s="10">
        <f>IF($A170="","",IFERROR(INDEX('2_IMPORTAR_EJECUCION'!$F$9:$F$1208,MATCH($AN170,'2_IMPORTAR_EJECUCION'!$J$9:$J$1208,0)),0))</f>
        <v/>
      </c>
      <c r="AG170" s="10">
        <f>IF($A170="","",MAX(0,IFERROR(INDEX('2_IMPORTAR_EJECUCION'!$H$9:$H$1208,MATCH($AN170,'2_IMPORTAR_EJECUCION'!$J$9:$J$1208,0)),0)-$AF170))</f>
        <v/>
      </c>
      <c r="AH170" s="10">
        <f>IF($A170="","",$AF170+$AG170)</f>
        <v/>
      </c>
      <c r="AI170" s="6" t="inlineStr"/>
      <c r="AJ170" s="6" t="inlineStr"/>
      <c r="AK170" s="6" t="inlineStr"/>
      <c r="AL170" s="3">
        <f>IF($AK170="","",HYPERLINK(p_ruta_base_checklists&amp;$AK170,"abrir"))</f>
        <v/>
      </c>
      <c r="AM170" s="6" t="inlineStr"/>
      <c r="AN170" s="3">
        <f>IF($A170="","",$A170&amp;IF($B170="","0010",$B170))</f>
        <v/>
      </c>
    </row>
    <row r="171">
      <c r="A171" s="3" t="inlineStr">
        <is>
          <t>OT-000168</t>
        </is>
      </c>
      <c r="B171" s="3" t="inlineStr">
        <is>
          <t>0010</t>
        </is>
      </c>
      <c r="C171" s="3" t="inlineStr">
        <is>
          <t>Inspección de rutina — EQ-104</t>
        </is>
      </c>
      <c r="D171" s="3" t="inlineStr">
        <is>
          <t>Inspección de rutina en EQ-104</t>
        </is>
      </c>
      <c r="E171" s="3" t="inlineStr">
        <is>
          <t>EQ-104</t>
        </is>
      </c>
      <c r="F171" s="3" t="inlineStr">
        <is>
          <t>CC-110</t>
        </is>
      </c>
      <c r="G171" s="3" t="inlineStr">
        <is>
          <t>PU-AUT</t>
        </is>
      </c>
      <c r="H171" s="3" t="inlineStr">
        <is>
          <t>ACT-01</t>
        </is>
      </c>
      <c r="I171" s="3" t="inlineStr">
        <is>
          <t>TIPO-P1</t>
        </is>
      </c>
      <c r="J171" s="11" t="n">
        <v>46142</v>
      </c>
      <c r="K171" s="3" t="n">
        <v>4</v>
      </c>
      <c r="L171" s="10" t="n">
        <v>100</v>
      </c>
      <c r="M171" s="3">
        <f>IF($A171="","",IFERROR(INDEX('AJUSTES'!$B$4:$B$303,MATCH($AN171,'AJUSTES'!$A$4:$A$303,0)),IF($K171="","",$K171)))</f>
        <v/>
      </c>
      <c r="N171" s="3">
        <f>IF($A171="","",IFERROR(INDEX('CAT_ESTADOS_ERP'!$B$4:$B$7,MATCH(IFERROR(INDEX('2_IMPORTAR_EJECUCION'!$C$9:$C$1208,MATCH($AN171,'2_IMPORTAR_EJECUCION'!$J$9:$J$1208,0)),""),'CAT_ESTADOS_ERP'!$A$4:$A$7,0)),"Pendiente"))</f>
        <v/>
      </c>
      <c r="O171" s="3">
        <f>IF($J171="","",YEAR($J171+4-WEEKDAY($J171,2))&amp;"-S"&amp;TEXT(_xlfn.ISOWEEKNUM($J171),"00"))</f>
        <v/>
      </c>
      <c r="P171" s="3">
        <f>IF($J171="","",YEAR($J171))</f>
        <v/>
      </c>
      <c r="Q171" s="3">
        <f>IF($J171="","",MONTH($J171))</f>
        <v/>
      </c>
      <c r="R171" s="3">
        <f>IF($J171="","",INDEX(lista_dias,WEEKDAY($J171,2)))</f>
        <v/>
      </c>
      <c r="S171" s="3">
        <f>IF($I171="","",IFERROR(INDEX('CAT_TIPOS_OT'!$C$4:$C$7,MATCH($I171,'CAT_TIPOS_OT'!$A$4:$A$7,0)),"sin_clasificar"))</f>
        <v/>
      </c>
      <c r="T171" s="3">
        <f>IF($F171="","",IFERROR(INDEX('CAT_CENTROS_COSTO'!$E$4:$E$9,MATCH($F171,'CAT_CENTROS_COSTO'!$A$4:$A$9,0)),"(sin catálogo)"))</f>
        <v/>
      </c>
      <c r="U171" s="3">
        <f>IF($F171="","",IFERROR(INDEX('CAT_CENTROS_COSTO'!$D$4:$D$9,MATCH($F171,'CAT_CENTROS_COSTO'!$A$4:$A$9,0)),"(sin catálogo)"))</f>
        <v/>
      </c>
      <c r="V171" s="3">
        <f>IF($F171="","",IFERROR(INDEX('CAT_CENTROS_COSTO'!$F$4:$F$9,MATCH($F171,'CAT_CENTROS_COSTO'!$A$4:$A$9,0)),"(sin catálogo)"))</f>
        <v/>
      </c>
      <c r="W171" s="3">
        <f>IF($G171="","",IFERROR(INDEX('CAT_PUESTOS'!$B$4:$B$8,MATCH($G171,'CAT_PUESTOS'!$A$4:$A$8,0)),"(sin catálogo)"))</f>
        <v/>
      </c>
      <c r="X171" s="3">
        <f>IF($H171="","",IFERROR(INDEX('CAT_ACTIVIDADES'!$B$4:$B$8,MATCH($H171,'CAT_ACTIVIDADES'!$A$4:$A$8,0)),"(sin catálogo)"))</f>
        <v/>
      </c>
      <c r="Y171" s="12">
        <f>IF($J171="","",TODAY()-$J171)</f>
        <v/>
      </c>
      <c r="Z171" s="3">
        <f>IF($Y171="","",IF($Y171&lt;0,"FUTURO",IF($Y171&gt;p_dias_backlog_max,"BACKLOG","MES CORRIENTE")))</f>
        <v/>
      </c>
      <c r="AA171" s="3">
        <f>IF($Y171="",FALSE,AND($Y171&gt;p_dias_backlog_min,$Y171&lt;=p_dias_backlog_max))</f>
        <v/>
      </c>
      <c r="AB171" s="6" t="inlineStr"/>
      <c r="AC171" s="3">
        <f>IF($AB171="","",IFERROR(INDEX('ASIGNACIONES'!$F$4:$F$339,MATCH($O171&amp;"|"&amp;$R171&amp;"|"&amp;$AB171,'ASIGNACIONES'!$I$4:$I$339,0)),""))</f>
        <v/>
      </c>
      <c r="AD171" s="13">
        <f>IF($AB171="","",SUMIFS('ORDENES'!$M$4:$M$1203,'ORDENES'!$AB$4:$AB$1203,$AB171,'ORDENES'!$O$4:$O$1203,$O171,'ORDENES'!$R$4:$R$1203,$R171))</f>
        <v/>
      </c>
      <c r="AE171" s="13">
        <f>IF($AD171="","",p_factor_productividad*IFERROR(INDEX('ASIGNACIONES'!$H$4:$H$339,MATCH($O171&amp;"|"&amp;$R171&amp;"|"&amp;$AB171,'ASIGNACIONES'!$I$4:$I$339,0)),0)-$AD171)</f>
        <v/>
      </c>
      <c r="AF171" s="10">
        <f>IF($A171="","",IFERROR(INDEX('2_IMPORTAR_EJECUCION'!$F$9:$F$1208,MATCH($AN171,'2_IMPORTAR_EJECUCION'!$J$9:$J$1208,0)),0))</f>
        <v/>
      </c>
      <c r="AG171" s="10">
        <f>IF($A171="","",MAX(0,IFERROR(INDEX('2_IMPORTAR_EJECUCION'!$H$9:$H$1208,MATCH($AN171,'2_IMPORTAR_EJECUCION'!$J$9:$J$1208,0)),0)-$AF171))</f>
        <v/>
      </c>
      <c r="AH171" s="10">
        <f>IF($A171="","",$AF171+$AG171)</f>
        <v/>
      </c>
      <c r="AI171" s="6" t="inlineStr"/>
      <c r="AJ171" s="6" t="inlineStr"/>
      <c r="AK171" s="6" t="inlineStr"/>
      <c r="AL171" s="3">
        <f>IF($AK171="","",HYPERLINK(p_ruta_base_checklists&amp;$AK171,"abrir"))</f>
        <v/>
      </c>
      <c r="AM171" s="6" t="inlineStr"/>
      <c r="AN171" s="3">
        <f>IF($A171="","",$A171&amp;IF($B171="","0010",$B171))</f>
        <v/>
      </c>
    </row>
    <row r="172">
      <c r="A172" s="3" t="inlineStr">
        <is>
          <t>OT-000169</t>
        </is>
      </c>
      <c r="B172" s="3" t="inlineStr">
        <is>
          <t>0010</t>
        </is>
      </c>
      <c r="C172" s="3" t="inlineStr">
        <is>
          <t>Reparación de falla — EQ-105</t>
        </is>
      </c>
      <c r="D172" s="3" t="inlineStr">
        <is>
          <t>Reparación de falla en EQ-105</t>
        </is>
      </c>
      <c r="E172" s="3" t="inlineStr">
        <is>
          <t>EQ-105</t>
        </is>
      </c>
      <c r="F172" s="3" t="inlineStr">
        <is>
          <t>CC-120</t>
        </is>
      </c>
      <c r="G172" s="3" t="inlineStr">
        <is>
          <t>PU-OP</t>
        </is>
      </c>
      <c r="H172" s="3" t="inlineStr">
        <is>
          <t>ACT-03</t>
        </is>
      </c>
      <c r="I172" s="3" t="inlineStr">
        <is>
          <t>TIPO-C2</t>
        </is>
      </c>
      <c r="J172" s="11" t="n">
        <v>46135</v>
      </c>
      <c r="K172" s="3" t="n">
        <v>6</v>
      </c>
      <c r="L172" s="10" t="n">
        <v>240</v>
      </c>
      <c r="M172" s="3">
        <f>IF($A172="","",IFERROR(INDEX('AJUSTES'!$B$4:$B$303,MATCH($AN172,'AJUSTES'!$A$4:$A$303,0)),IF($K172="","",$K172)))</f>
        <v/>
      </c>
      <c r="N172" s="3">
        <f>IF($A172="","",IFERROR(INDEX('CAT_ESTADOS_ERP'!$B$4:$B$7,MATCH(IFERROR(INDEX('2_IMPORTAR_EJECUCION'!$C$9:$C$1208,MATCH($AN172,'2_IMPORTAR_EJECUCION'!$J$9:$J$1208,0)),""),'CAT_ESTADOS_ERP'!$A$4:$A$7,0)),"Pendiente"))</f>
        <v/>
      </c>
      <c r="O172" s="3">
        <f>IF($J172="","",YEAR($J172+4-WEEKDAY($J172,2))&amp;"-S"&amp;TEXT(_xlfn.ISOWEEKNUM($J172),"00"))</f>
        <v/>
      </c>
      <c r="P172" s="3">
        <f>IF($J172="","",YEAR($J172))</f>
        <v/>
      </c>
      <c r="Q172" s="3">
        <f>IF($J172="","",MONTH($J172))</f>
        <v/>
      </c>
      <c r="R172" s="3">
        <f>IF($J172="","",INDEX(lista_dias,WEEKDAY($J172,2)))</f>
        <v/>
      </c>
      <c r="S172" s="3">
        <f>IF($I172="","",IFERROR(INDEX('CAT_TIPOS_OT'!$C$4:$C$7,MATCH($I172,'CAT_TIPOS_OT'!$A$4:$A$7,0)),"sin_clasificar"))</f>
        <v/>
      </c>
      <c r="T172" s="3">
        <f>IF($F172="","",IFERROR(INDEX('CAT_CENTROS_COSTO'!$E$4:$E$9,MATCH($F172,'CAT_CENTROS_COSTO'!$A$4:$A$9,0)),"(sin catálogo)"))</f>
        <v/>
      </c>
      <c r="U172" s="3">
        <f>IF($F172="","",IFERROR(INDEX('CAT_CENTROS_COSTO'!$D$4:$D$9,MATCH($F172,'CAT_CENTROS_COSTO'!$A$4:$A$9,0)),"(sin catálogo)"))</f>
        <v/>
      </c>
      <c r="V172" s="3">
        <f>IF($F172="","",IFERROR(INDEX('CAT_CENTROS_COSTO'!$F$4:$F$9,MATCH($F172,'CAT_CENTROS_COSTO'!$A$4:$A$9,0)),"(sin catálogo)"))</f>
        <v/>
      </c>
      <c r="W172" s="3">
        <f>IF($G172="","",IFERROR(INDEX('CAT_PUESTOS'!$B$4:$B$8,MATCH($G172,'CAT_PUESTOS'!$A$4:$A$8,0)),"(sin catálogo)"))</f>
        <v/>
      </c>
      <c r="X172" s="3">
        <f>IF($H172="","",IFERROR(INDEX('CAT_ACTIVIDADES'!$B$4:$B$8,MATCH($H172,'CAT_ACTIVIDADES'!$A$4:$A$8,0)),"(sin catálogo)"))</f>
        <v/>
      </c>
      <c r="Y172" s="12">
        <f>IF($J172="","",TODAY()-$J172)</f>
        <v/>
      </c>
      <c r="Z172" s="3">
        <f>IF($Y172="","",IF($Y172&lt;0,"FUTURO",IF($Y172&gt;p_dias_backlog_max,"BACKLOG","MES CORRIENTE")))</f>
        <v/>
      </c>
      <c r="AA172" s="3">
        <f>IF($Y172="",FALSE,AND($Y172&gt;p_dias_backlog_min,$Y172&lt;=p_dias_backlog_max))</f>
        <v/>
      </c>
      <c r="AB172" s="6" t="inlineStr"/>
      <c r="AC172" s="3">
        <f>IF($AB172="","",IFERROR(INDEX('ASIGNACIONES'!$F$4:$F$339,MATCH($O172&amp;"|"&amp;$R172&amp;"|"&amp;$AB172,'ASIGNACIONES'!$I$4:$I$339,0)),""))</f>
        <v/>
      </c>
      <c r="AD172" s="13">
        <f>IF($AB172="","",SUMIFS('ORDENES'!$M$4:$M$1203,'ORDENES'!$AB$4:$AB$1203,$AB172,'ORDENES'!$O$4:$O$1203,$O172,'ORDENES'!$R$4:$R$1203,$R172))</f>
        <v/>
      </c>
      <c r="AE172" s="13">
        <f>IF($AD172="","",p_factor_productividad*IFERROR(INDEX('ASIGNACIONES'!$H$4:$H$339,MATCH($O172&amp;"|"&amp;$R172&amp;"|"&amp;$AB172,'ASIGNACIONES'!$I$4:$I$339,0)),0)-$AD172)</f>
        <v/>
      </c>
      <c r="AF172" s="10">
        <f>IF($A172="","",IFERROR(INDEX('2_IMPORTAR_EJECUCION'!$F$9:$F$1208,MATCH($AN172,'2_IMPORTAR_EJECUCION'!$J$9:$J$1208,0)),0))</f>
        <v/>
      </c>
      <c r="AG172" s="10">
        <f>IF($A172="","",MAX(0,IFERROR(INDEX('2_IMPORTAR_EJECUCION'!$H$9:$H$1208,MATCH($AN172,'2_IMPORTAR_EJECUCION'!$J$9:$J$1208,0)),0)-$AF172))</f>
        <v/>
      </c>
      <c r="AH172" s="10">
        <f>IF($A172="","",$AF172+$AG172)</f>
        <v/>
      </c>
      <c r="AI172" s="6" t="inlineStr"/>
      <c r="AJ172" s="6" t="inlineStr"/>
      <c r="AK172" s="6" t="inlineStr"/>
      <c r="AL172" s="3">
        <f>IF($AK172="","",HYPERLINK(p_ruta_base_checklists&amp;$AK172,"abrir"))</f>
        <v/>
      </c>
      <c r="AM172" s="6" t="inlineStr"/>
      <c r="AN172" s="3">
        <f>IF($A172="","",$A172&amp;IF($B172="","0010",$B172))</f>
        <v/>
      </c>
    </row>
    <row r="173">
      <c r="A173" s="3" t="inlineStr">
        <is>
          <t>OT-000170</t>
        </is>
      </c>
      <c r="B173" s="3" t="inlineStr">
        <is>
          <t>0010</t>
        </is>
      </c>
      <c r="C173" s="3" t="inlineStr">
        <is>
          <t>Análisis predictivo — EQ-108</t>
        </is>
      </c>
      <c r="D173" s="3" t="inlineStr">
        <is>
          <t>Análisis predictivo en EQ-108</t>
        </is>
      </c>
      <c r="E173" s="3" t="inlineStr">
        <is>
          <t>EQ-108</t>
        </is>
      </c>
      <c r="F173" s="3" t="inlineStr">
        <is>
          <t>CC-210</t>
        </is>
      </c>
      <c r="G173" s="3" t="inlineStr">
        <is>
          <t>PU-MEC</t>
        </is>
      </c>
      <c r="H173" s="3" t="inlineStr">
        <is>
          <t>ACT-04</t>
        </is>
      </c>
      <c r="I173" s="3" t="inlineStr">
        <is>
          <t>TIPO-P1</t>
        </is>
      </c>
      <c r="J173" s="11" t="n">
        <v>46128</v>
      </c>
      <c r="K173" s="3" t="n">
        <v>8</v>
      </c>
      <c r="L173" s="10" t="n">
        <v>200</v>
      </c>
      <c r="M173" s="3">
        <f>IF($A173="","",IFERROR(INDEX('AJUSTES'!$B$4:$B$303,MATCH($AN173,'AJUSTES'!$A$4:$A$303,0)),IF($K173="","",$K173)))</f>
        <v/>
      </c>
      <c r="N173" s="3">
        <f>IF($A173="","",IFERROR(INDEX('CAT_ESTADOS_ERP'!$B$4:$B$7,MATCH(IFERROR(INDEX('2_IMPORTAR_EJECUCION'!$C$9:$C$1208,MATCH($AN173,'2_IMPORTAR_EJECUCION'!$J$9:$J$1208,0)),""),'CAT_ESTADOS_ERP'!$A$4:$A$7,0)),"Pendiente"))</f>
        <v/>
      </c>
      <c r="O173" s="3">
        <f>IF($J173="","",YEAR($J173+4-WEEKDAY($J173,2))&amp;"-S"&amp;TEXT(_xlfn.ISOWEEKNUM($J173),"00"))</f>
        <v/>
      </c>
      <c r="P173" s="3">
        <f>IF($J173="","",YEAR($J173))</f>
        <v/>
      </c>
      <c r="Q173" s="3">
        <f>IF($J173="","",MONTH($J173))</f>
        <v/>
      </c>
      <c r="R173" s="3">
        <f>IF($J173="","",INDEX(lista_dias,WEEKDAY($J173,2)))</f>
        <v/>
      </c>
      <c r="S173" s="3">
        <f>IF($I173="","",IFERROR(INDEX('CAT_TIPOS_OT'!$C$4:$C$7,MATCH($I173,'CAT_TIPOS_OT'!$A$4:$A$7,0)),"sin_clasificar"))</f>
        <v/>
      </c>
      <c r="T173" s="3">
        <f>IF($F173="","",IFERROR(INDEX('CAT_CENTROS_COSTO'!$E$4:$E$9,MATCH($F173,'CAT_CENTROS_COSTO'!$A$4:$A$9,0)),"(sin catálogo)"))</f>
        <v/>
      </c>
      <c r="U173" s="3">
        <f>IF($F173="","",IFERROR(INDEX('CAT_CENTROS_COSTO'!$D$4:$D$9,MATCH($F173,'CAT_CENTROS_COSTO'!$A$4:$A$9,0)),"(sin catálogo)"))</f>
        <v/>
      </c>
      <c r="V173" s="3">
        <f>IF($F173="","",IFERROR(INDEX('CAT_CENTROS_COSTO'!$F$4:$F$9,MATCH($F173,'CAT_CENTROS_COSTO'!$A$4:$A$9,0)),"(sin catálogo)"))</f>
        <v/>
      </c>
      <c r="W173" s="3">
        <f>IF($G173="","",IFERROR(INDEX('CAT_PUESTOS'!$B$4:$B$8,MATCH($G173,'CAT_PUESTOS'!$A$4:$A$8,0)),"(sin catálogo)"))</f>
        <v/>
      </c>
      <c r="X173" s="3">
        <f>IF($H173="","",IFERROR(INDEX('CAT_ACTIVIDADES'!$B$4:$B$8,MATCH($H173,'CAT_ACTIVIDADES'!$A$4:$A$8,0)),"(sin catálogo)"))</f>
        <v/>
      </c>
      <c r="Y173" s="12">
        <f>IF($J173="","",TODAY()-$J173)</f>
        <v/>
      </c>
      <c r="Z173" s="3">
        <f>IF($Y173="","",IF($Y173&lt;0,"FUTURO",IF($Y173&gt;p_dias_backlog_max,"BACKLOG","MES CORRIENTE")))</f>
        <v/>
      </c>
      <c r="AA173" s="3">
        <f>IF($Y173="",FALSE,AND($Y173&gt;p_dias_backlog_min,$Y173&lt;=p_dias_backlog_max))</f>
        <v/>
      </c>
      <c r="AB173" s="6" t="inlineStr"/>
      <c r="AC173" s="3">
        <f>IF($AB173="","",IFERROR(INDEX('ASIGNACIONES'!$F$4:$F$339,MATCH($O173&amp;"|"&amp;$R173&amp;"|"&amp;$AB173,'ASIGNACIONES'!$I$4:$I$339,0)),""))</f>
        <v/>
      </c>
      <c r="AD173" s="13">
        <f>IF($AB173="","",SUMIFS('ORDENES'!$M$4:$M$1203,'ORDENES'!$AB$4:$AB$1203,$AB173,'ORDENES'!$O$4:$O$1203,$O173,'ORDENES'!$R$4:$R$1203,$R173))</f>
        <v/>
      </c>
      <c r="AE173" s="13">
        <f>IF($AD173="","",p_factor_productividad*IFERROR(INDEX('ASIGNACIONES'!$H$4:$H$339,MATCH($O173&amp;"|"&amp;$R173&amp;"|"&amp;$AB173,'ASIGNACIONES'!$I$4:$I$339,0)),0)-$AD173)</f>
        <v/>
      </c>
      <c r="AF173" s="10">
        <f>IF($A173="","",IFERROR(INDEX('2_IMPORTAR_EJECUCION'!$F$9:$F$1208,MATCH($AN173,'2_IMPORTAR_EJECUCION'!$J$9:$J$1208,0)),0))</f>
        <v/>
      </c>
      <c r="AG173" s="10">
        <f>IF($A173="","",MAX(0,IFERROR(INDEX('2_IMPORTAR_EJECUCION'!$H$9:$H$1208,MATCH($AN173,'2_IMPORTAR_EJECUCION'!$J$9:$J$1208,0)),0)-$AF173))</f>
        <v/>
      </c>
      <c r="AH173" s="10">
        <f>IF($A173="","",$AF173+$AG173)</f>
        <v/>
      </c>
      <c r="AI173" s="6" t="inlineStr"/>
      <c r="AJ173" s="6" t="inlineStr"/>
      <c r="AK173" s="6" t="inlineStr"/>
      <c r="AL173" s="3">
        <f>IF($AK173="","",HYPERLINK(p_ruta_base_checklists&amp;$AK173,"abrir"))</f>
        <v/>
      </c>
      <c r="AM173" s="6" t="inlineStr"/>
      <c r="AN173" s="3">
        <f>IF($A173="","",$A173&amp;IF($B173="","0010",$B173))</f>
        <v/>
      </c>
    </row>
    <row r="174">
      <c r="A174" s="3" t="inlineStr">
        <is>
          <t>OT-000171</t>
        </is>
      </c>
      <c r="B174" s="3" t="inlineStr">
        <is>
          <t>0010</t>
        </is>
      </c>
      <c r="C174" s="3" t="inlineStr">
        <is>
          <t>Reparación de falla — EQ-109</t>
        </is>
      </c>
      <c r="D174" s="3" t="inlineStr">
        <is>
          <t>Reparación de falla en EQ-109</t>
        </is>
      </c>
      <c r="E174" s="3" t="inlineStr">
        <is>
          <t>EQ-109</t>
        </is>
      </c>
      <c r="F174" s="3" t="inlineStr">
        <is>
          <t>CC-220</t>
        </is>
      </c>
      <c r="G174" s="3" t="inlineStr">
        <is>
          <t>PU-ELE</t>
        </is>
      </c>
      <c r="H174" s="3" t="inlineStr">
        <is>
          <t>ACT-03</t>
        </is>
      </c>
      <c r="I174" s="3" t="inlineStr">
        <is>
          <t>TIPO-C2</t>
        </is>
      </c>
      <c r="J174" s="11" t="n">
        <v>46121</v>
      </c>
      <c r="K174" s="3" t="n">
        <v>4</v>
      </c>
      <c r="L174" s="10" t="n">
        <v>160</v>
      </c>
      <c r="M174" s="3">
        <f>IF($A174="","",IFERROR(INDEX('AJUSTES'!$B$4:$B$303,MATCH($AN174,'AJUSTES'!$A$4:$A$303,0)),IF($K174="","",$K174)))</f>
        <v/>
      </c>
      <c r="N174" s="3">
        <f>IF($A174="","",IFERROR(INDEX('CAT_ESTADOS_ERP'!$B$4:$B$7,MATCH(IFERROR(INDEX('2_IMPORTAR_EJECUCION'!$C$9:$C$1208,MATCH($AN174,'2_IMPORTAR_EJECUCION'!$J$9:$J$1208,0)),""),'CAT_ESTADOS_ERP'!$A$4:$A$7,0)),"Pendiente"))</f>
        <v/>
      </c>
      <c r="O174" s="3">
        <f>IF($J174="","",YEAR($J174+4-WEEKDAY($J174,2))&amp;"-S"&amp;TEXT(_xlfn.ISOWEEKNUM($J174),"00"))</f>
        <v/>
      </c>
      <c r="P174" s="3">
        <f>IF($J174="","",YEAR($J174))</f>
        <v/>
      </c>
      <c r="Q174" s="3">
        <f>IF($J174="","",MONTH($J174))</f>
        <v/>
      </c>
      <c r="R174" s="3">
        <f>IF($J174="","",INDEX(lista_dias,WEEKDAY($J174,2)))</f>
        <v/>
      </c>
      <c r="S174" s="3">
        <f>IF($I174="","",IFERROR(INDEX('CAT_TIPOS_OT'!$C$4:$C$7,MATCH($I174,'CAT_TIPOS_OT'!$A$4:$A$7,0)),"sin_clasificar"))</f>
        <v/>
      </c>
      <c r="T174" s="3">
        <f>IF($F174="","",IFERROR(INDEX('CAT_CENTROS_COSTO'!$E$4:$E$9,MATCH($F174,'CAT_CENTROS_COSTO'!$A$4:$A$9,0)),"(sin catálogo)"))</f>
        <v/>
      </c>
      <c r="U174" s="3">
        <f>IF($F174="","",IFERROR(INDEX('CAT_CENTROS_COSTO'!$D$4:$D$9,MATCH($F174,'CAT_CENTROS_COSTO'!$A$4:$A$9,0)),"(sin catálogo)"))</f>
        <v/>
      </c>
      <c r="V174" s="3">
        <f>IF($F174="","",IFERROR(INDEX('CAT_CENTROS_COSTO'!$F$4:$F$9,MATCH($F174,'CAT_CENTROS_COSTO'!$A$4:$A$9,0)),"(sin catálogo)"))</f>
        <v/>
      </c>
      <c r="W174" s="3">
        <f>IF($G174="","",IFERROR(INDEX('CAT_PUESTOS'!$B$4:$B$8,MATCH($G174,'CAT_PUESTOS'!$A$4:$A$8,0)),"(sin catálogo)"))</f>
        <v/>
      </c>
      <c r="X174" s="3">
        <f>IF($H174="","",IFERROR(INDEX('CAT_ACTIVIDADES'!$B$4:$B$8,MATCH($H174,'CAT_ACTIVIDADES'!$A$4:$A$8,0)),"(sin catálogo)"))</f>
        <v/>
      </c>
      <c r="Y174" s="12">
        <f>IF($J174="","",TODAY()-$J174)</f>
        <v/>
      </c>
      <c r="Z174" s="3">
        <f>IF($Y174="","",IF($Y174&lt;0,"FUTURO",IF($Y174&gt;p_dias_backlog_max,"BACKLOG","MES CORRIENTE")))</f>
        <v/>
      </c>
      <c r="AA174" s="3">
        <f>IF($Y174="",FALSE,AND($Y174&gt;p_dias_backlog_min,$Y174&lt;=p_dias_backlog_max))</f>
        <v/>
      </c>
      <c r="AB174" s="6" t="inlineStr"/>
      <c r="AC174" s="3">
        <f>IF($AB174="","",IFERROR(INDEX('ASIGNACIONES'!$F$4:$F$339,MATCH($O174&amp;"|"&amp;$R174&amp;"|"&amp;$AB174,'ASIGNACIONES'!$I$4:$I$339,0)),""))</f>
        <v/>
      </c>
      <c r="AD174" s="13">
        <f>IF($AB174="","",SUMIFS('ORDENES'!$M$4:$M$1203,'ORDENES'!$AB$4:$AB$1203,$AB174,'ORDENES'!$O$4:$O$1203,$O174,'ORDENES'!$R$4:$R$1203,$R174))</f>
        <v/>
      </c>
      <c r="AE174" s="13">
        <f>IF($AD174="","",p_factor_productividad*IFERROR(INDEX('ASIGNACIONES'!$H$4:$H$339,MATCH($O174&amp;"|"&amp;$R174&amp;"|"&amp;$AB174,'ASIGNACIONES'!$I$4:$I$339,0)),0)-$AD174)</f>
        <v/>
      </c>
      <c r="AF174" s="10">
        <f>IF($A174="","",IFERROR(INDEX('2_IMPORTAR_EJECUCION'!$F$9:$F$1208,MATCH($AN174,'2_IMPORTAR_EJECUCION'!$J$9:$J$1208,0)),0))</f>
        <v/>
      </c>
      <c r="AG174" s="10">
        <f>IF($A174="","",MAX(0,IFERROR(INDEX('2_IMPORTAR_EJECUCION'!$H$9:$H$1208,MATCH($AN174,'2_IMPORTAR_EJECUCION'!$J$9:$J$1208,0)),0)-$AF174))</f>
        <v/>
      </c>
      <c r="AH174" s="10">
        <f>IF($A174="","",$AF174+$AG174)</f>
        <v/>
      </c>
      <c r="AI174" s="6" t="inlineStr"/>
      <c r="AJ174" s="6" t="inlineStr"/>
      <c r="AK174" s="6" t="inlineStr"/>
      <c r="AL174" s="3">
        <f>IF($AK174="","",HYPERLINK(p_ruta_base_checklists&amp;$AK174,"abrir"))</f>
        <v/>
      </c>
      <c r="AM174" s="6" t="inlineStr"/>
      <c r="AN174" s="3">
        <f>IF($A174="","",$A174&amp;IF($B174="","0010",$B174))</f>
        <v/>
      </c>
    </row>
    <row r="175">
      <c r="A175" s="3" t="inlineStr">
        <is>
          <t>OT-000172</t>
        </is>
      </c>
      <c r="B175" s="3" t="inlineStr">
        <is>
          <t>0010</t>
        </is>
      </c>
      <c r="C175" s="3" t="inlineStr">
        <is>
          <t>Lubricación programada — EQ-111</t>
        </is>
      </c>
      <c r="D175" s="3" t="inlineStr">
        <is>
          <t>Lubricación programada en EQ-111</t>
        </is>
      </c>
      <c r="E175" s="3" t="inlineStr">
        <is>
          <t>EQ-111</t>
        </is>
      </c>
      <c r="F175" s="3" t="inlineStr">
        <is>
          <t>CC-310</t>
        </is>
      </c>
      <c r="G175" s="3" t="inlineStr">
        <is>
          <t>PU-AUT</t>
        </is>
      </c>
      <c r="H175" s="3" t="inlineStr">
        <is>
          <t>ACT-02</t>
        </is>
      </c>
      <c r="I175" s="3" t="inlineStr">
        <is>
          <t>TIPO-P1</t>
        </is>
      </c>
      <c r="J175" s="11" t="n">
        <v>46114</v>
      </c>
      <c r="K175" s="3" t="n">
        <v>6</v>
      </c>
      <c r="L175" s="10" t="n">
        <v>150</v>
      </c>
      <c r="M175" s="3">
        <f>IF($A175="","",IFERROR(INDEX('AJUSTES'!$B$4:$B$303,MATCH($AN175,'AJUSTES'!$A$4:$A$303,0)),IF($K175="","",$K175)))</f>
        <v/>
      </c>
      <c r="N175" s="3">
        <f>IF($A175="","",IFERROR(INDEX('CAT_ESTADOS_ERP'!$B$4:$B$7,MATCH(IFERROR(INDEX('2_IMPORTAR_EJECUCION'!$C$9:$C$1208,MATCH($AN175,'2_IMPORTAR_EJECUCION'!$J$9:$J$1208,0)),""),'CAT_ESTADOS_ERP'!$A$4:$A$7,0)),"Pendiente"))</f>
        <v/>
      </c>
      <c r="O175" s="3">
        <f>IF($J175="","",YEAR($J175+4-WEEKDAY($J175,2))&amp;"-S"&amp;TEXT(_xlfn.ISOWEEKNUM($J175),"00"))</f>
        <v/>
      </c>
      <c r="P175" s="3">
        <f>IF($J175="","",YEAR($J175))</f>
        <v/>
      </c>
      <c r="Q175" s="3">
        <f>IF($J175="","",MONTH($J175))</f>
        <v/>
      </c>
      <c r="R175" s="3">
        <f>IF($J175="","",INDEX(lista_dias,WEEKDAY($J175,2)))</f>
        <v/>
      </c>
      <c r="S175" s="3">
        <f>IF($I175="","",IFERROR(INDEX('CAT_TIPOS_OT'!$C$4:$C$7,MATCH($I175,'CAT_TIPOS_OT'!$A$4:$A$7,0)),"sin_clasificar"))</f>
        <v/>
      </c>
      <c r="T175" s="3">
        <f>IF($F175="","",IFERROR(INDEX('CAT_CENTROS_COSTO'!$E$4:$E$9,MATCH($F175,'CAT_CENTROS_COSTO'!$A$4:$A$9,0)),"(sin catálogo)"))</f>
        <v/>
      </c>
      <c r="U175" s="3">
        <f>IF($F175="","",IFERROR(INDEX('CAT_CENTROS_COSTO'!$D$4:$D$9,MATCH($F175,'CAT_CENTROS_COSTO'!$A$4:$A$9,0)),"(sin catálogo)"))</f>
        <v/>
      </c>
      <c r="V175" s="3">
        <f>IF($F175="","",IFERROR(INDEX('CAT_CENTROS_COSTO'!$F$4:$F$9,MATCH($F175,'CAT_CENTROS_COSTO'!$A$4:$A$9,0)),"(sin catálogo)"))</f>
        <v/>
      </c>
      <c r="W175" s="3">
        <f>IF($G175="","",IFERROR(INDEX('CAT_PUESTOS'!$B$4:$B$8,MATCH($G175,'CAT_PUESTOS'!$A$4:$A$8,0)),"(sin catálogo)"))</f>
        <v/>
      </c>
      <c r="X175" s="3">
        <f>IF($H175="","",IFERROR(INDEX('CAT_ACTIVIDADES'!$B$4:$B$8,MATCH($H175,'CAT_ACTIVIDADES'!$A$4:$A$8,0)),"(sin catálogo)"))</f>
        <v/>
      </c>
      <c r="Y175" s="12">
        <f>IF($J175="","",TODAY()-$J175)</f>
        <v/>
      </c>
      <c r="Z175" s="3">
        <f>IF($Y175="","",IF($Y175&lt;0,"FUTURO",IF($Y175&gt;p_dias_backlog_max,"BACKLOG","MES CORRIENTE")))</f>
        <v/>
      </c>
      <c r="AA175" s="3">
        <f>IF($Y175="",FALSE,AND($Y175&gt;p_dias_backlog_min,$Y175&lt;=p_dias_backlog_max))</f>
        <v/>
      </c>
      <c r="AB175" s="6" t="inlineStr"/>
      <c r="AC175" s="3">
        <f>IF($AB175="","",IFERROR(INDEX('ASIGNACIONES'!$F$4:$F$339,MATCH($O175&amp;"|"&amp;$R175&amp;"|"&amp;$AB175,'ASIGNACIONES'!$I$4:$I$339,0)),""))</f>
        <v/>
      </c>
      <c r="AD175" s="13">
        <f>IF($AB175="","",SUMIFS('ORDENES'!$M$4:$M$1203,'ORDENES'!$AB$4:$AB$1203,$AB175,'ORDENES'!$O$4:$O$1203,$O175,'ORDENES'!$R$4:$R$1203,$R175))</f>
        <v/>
      </c>
      <c r="AE175" s="13">
        <f>IF($AD175="","",p_factor_productividad*IFERROR(INDEX('ASIGNACIONES'!$H$4:$H$339,MATCH($O175&amp;"|"&amp;$R175&amp;"|"&amp;$AB175,'ASIGNACIONES'!$I$4:$I$339,0)),0)-$AD175)</f>
        <v/>
      </c>
      <c r="AF175" s="10">
        <f>IF($A175="","",IFERROR(INDEX('2_IMPORTAR_EJECUCION'!$F$9:$F$1208,MATCH($AN175,'2_IMPORTAR_EJECUCION'!$J$9:$J$1208,0)),0))</f>
        <v/>
      </c>
      <c r="AG175" s="10">
        <f>IF($A175="","",MAX(0,IFERROR(INDEX('2_IMPORTAR_EJECUCION'!$H$9:$H$1208,MATCH($AN175,'2_IMPORTAR_EJECUCION'!$J$9:$J$1208,0)),0)-$AF175))</f>
        <v/>
      </c>
      <c r="AH175" s="10">
        <f>IF($A175="","",$AF175+$AG175)</f>
        <v/>
      </c>
      <c r="AI175" s="6" t="inlineStr"/>
      <c r="AJ175" s="6" t="inlineStr"/>
      <c r="AK175" s="6" t="inlineStr"/>
      <c r="AL175" s="3">
        <f>IF($AK175="","",HYPERLINK(p_ruta_base_checklists&amp;$AK175,"abrir"))</f>
        <v/>
      </c>
      <c r="AM175" s="6" t="inlineStr"/>
      <c r="AN175" s="3">
        <f>IF($A175="","",$A175&amp;IF($B175="","0010",$B175))</f>
        <v/>
      </c>
    </row>
    <row r="176">
      <c r="A176" s="3" t="inlineStr">
        <is>
          <t>OT-000173</t>
        </is>
      </c>
      <c r="B176" s="3" t="inlineStr">
        <is>
          <t>0010</t>
        </is>
      </c>
      <c r="C176" s="3" t="inlineStr">
        <is>
          <t>Reparación de falla — EQ-112</t>
        </is>
      </c>
      <c r="D176" s="3" t="inlineStr">
        <is>
          <t>Reparación de falla en EQ-112</t>
        </is>
      </c>
      <c r="E176" s="3" t="inlineStr">
        <is>
          <t>EQ-112</t>
        </is>
      </c>
      <c r="F176" s="3" t="inlineStr">
        <is>
          <t>CC-320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1" t="n">
        <v>46107</v>
      </c>
      <c r="K176" s="3" t="n">
        <v>8</v>
      </c>
      <c r="L176" s="10" t="n">
        <v>320</v>
      </c>
      <c r="M176" s="3">
        <f>IF($A176="","",IFERROR(INDEX('AJUSTES'!$B$4:$B$303,MATCH($AN176,'AJUSTES'!$A$4:$A$303,0)),IF($K176="","",$K176)))</f>
        <v/>
      </c>
      <c r="N176" s="3">
        <f>IF($A176="","",IFERROR(INDEX('CAT_ESTADOS_ERP'!$B$4:$B$7,MATCH(IFERROR(INDEX('2_IMPORTAR_EJECUCION'!$C$9:$C$1208,MATCH($AN176,'2_IMPORTAR_EJECUCION'!$J$9:$J$1208,0)),""),'CAT_ESTADOS_ERP'!$A$4:$A$7,0)),"Pendiente"))</f>
        <v/>
      </c>
      <c r="O176" s="3">
        <f>IF($J176="","",YEAR($J176+4-WEEKDAY($J176,2))&amp;"-S"&amp;TEXT(_xlfn.ISOWEEKNUM($J176),"00"))</f>
        <v/>
      </c>
      <c r="P176" s="3">
        <f>IF($J176="","",YEAR($J176))</f>
        <v/>
      </c>
      <c r="Q176" s="3">
        <f>IF($J176="","",MONTH($J176))</f>
        <v/>
      </c>
      <c r="R176" s="3">
        <f>IF($J176="","",INDEX(lista_dias,WEEKDAY($J176,2)))</f>
        <v/>
      </c>
      <c r="S176" s="3">
        <f>IF($I176="","",IFERROR(INDEX('CAT_TIPOS_OT'!$C$4:$C$7,MATCH($I176,'CAT_TIPOS_OT'!$A$4:$A$7,0)),"sin_clasificar"))</f>
        <v/>
      </c>
      <c r="T176" s="3">
        <f>IF($F176="","",IFERROR(INDEX('CAT_CENTROS_COSTO'!$E$4:$E$9,MATCH($F176,'CAT_CENTROS_COSTO'!$A$4:$A$9,0)),"(sin catálogo)"))</f>
        <v/>
      </c>
      <c r="U176" s="3">
        <f>IF($F176="","",IFERROR(INDEX('CAT_CENTROS_COSTO'!$D$4:$D$9,MATCH($F176,'CAT_CENTROS_COSTO'!$A$4:$A$9,0)),"(sin catálogo)"))</f>
        <v/>
      </c>
      <c r="V176" s="3">
        <f>IF($F176="","",IFERROR(INDEX('CAT_CENTROS_COSTO'!$F$4:$F$9,MATCH($F176,'CAT_CENTROS_COSTO'!$A$4:$A$9,0)),"(sin catálogo)"))</f>
        <v/>
      </c>
      <c r="W176" s="3">
        <f>IF($G176="","",IFERROR(INDEX('CAT_PUESTOS'!$B$4:$B$8,MATCH($G176,'CAT_PUESTOS'!$A$4:$A$8,0)),"(sin catálogo)"))</f>
        <v/>
      </c>
      <c r="X176" s="3">
        <f>IF($H176="","",IFERROR(INDEX('CAT_ACTIVIDADES'!$B$4:$B$8,MATCH($H176,'CAT_ACTIVIDADES'!$A$4:$A$8,0)),"(sin catálogo)"))</f>
        <v/>
      </c>
      <c r="Y176" s="12">
        <f>IF($J176="","",TODAY()-$J176)</f>
        <v/>
      </c>
      <c r="Z176" s="3">
        <f>IF($Y176="","",IF($Y176&lt;0,"FUTURO",IF($Y176&gt;p_dias_backlog_max,"BACKLOG","MES CORRIENTE")))</f>
        <v/>
      </c>
      <c r="AA176" s="3">
        <f>IF($Y176="",FALSE,AND($Y176&gt;p_dias_backlog_min,$Y176&lt;=p_dias_backlog_max))</f>
        <v/>
      </c>
      <c r="AB176" s="6" t="inlineStr"/>
      <c r="AC176" s="3">
        <f>IF($AB176="","",IFERROR(INDEX('ASIGNACIONES'!$F$4:$F$339,MATCH($O176&amp;"|"&amp;$R176&amp;"|"&amp;$AB176,'ASIGNACIONES'!$I$4:$I$339,0)),""))</f>
        <v/>
      </c>
      <c r="AD176" s="13">
        <f>IF($AB176="","",SUMIFS('ORDENES'!$M$4:$M$1203,'ORDENES'!$AB$4:$AB$1203,$AB176,'ORDENES'!$O$4:$O$1203,$O176,'ORDENES'!$R$4:$R$1203,$R176))</f>
        <v/>
      </c>
      <c r="AE176" s="13">
        <f>IF($AD176="","",p_factor_productividad*IFERROR(INDEX('ASIGNACIONES'!$H$4:$H$339,MATCH($O176&amp;"|"&amp;$R176&amp;"|"&amp;$AB176,'ASIGNACIONES'!$I$4:$I$339,0)),0)-$AD176)</f>
        <v/>
      </c>
      <c r="AF176" s="10">
        <f>IF($A176="","",IFERROR(INDEX('2_IMPORTAR_EJECUCION'!$F$9:$F$1208,MATCH($AN176,'2_IMPORTAR_EJECUCION'!$J$9:$J$1208,0)),0))</f>
        <v/>
      </c>
      <c r="AG176" s="10">
        <f>IF($A176="","",MAX(0,IFERROR(INDEX('2_IMPORTAR_EJECUCION'!$H$9:$H$1208,MATCH($AN176,'2_IMPORTAR_EJECUCION'!$J$9:$J$1208,0)),0)-$AF176))</f>
        <v/>
      </c>
      <c r="AH176" s="10">
        <f>IF($A176="","",$AF176+$AG176)</f>
        <v/>
      </c>
      <c r="AI176" s="6" t="inlineStr"/>
      <c r="AJ176" s="6" t="inlineStr"/>
      <c r="AK176" s="6" t="inlineStr"/>
      <c r="AL176" s="3">
        <f>IF($AK176="","",HYPERLINK(p_ruta_base_checklists&amp;$AK176,"abrir"))</f>
        <v/>
      </c>
      <c r="AM176" s="6" t="inlineStr"/>
      <c r="AN176" s="3">
        <f>IF($A176="","",$A176&amp;IF($B176="","0010",$B176))</f>
        <v/>
      </c>
    </row>
    <row r="177">
      <c r="A177" s="3" t="inlineStr">
        <is>
          <t>OT-000174</t>
        </is>
      </c>
      <c r="B177" s="3" t="inlineStr">
        <is>
          <t>0010</t>
        </is>
      </c>
      <c r="C177" s="3" t="inlineStr">
        <is>
          <t>Inspección de rutina — EQ-105</t>
        </is>
      </c>
      <c r="D177" s="3" t="inlineStr">
        <is>
          <t>Inspección de rutina en EQ-105</t>
        </is>
      </c>
      <c r="E177" s="3" t="inlineStr">
        <is>
          <t>EQ-105</t>
        </is>
      </c>
      <c r="F177" s="3" t="inlineStr">
        <is>
          <t>CC-110</t>
        </is>
      </c>
      <c r="G177" s="3" t="inlineStr">
        <is>
          <t>PU-MEC</t>
        </is>
      </c>
      <c r="H177" s="3" t="inlineStr">
        <is>
          <t>ACT-01</t>
        </is>
      </c>
      <c r="I177" s="3" t="inlineStr">
        <is>
          <t>TIPO-P1</t>
        </is>
      </c>
      <c r="J177" s="11" t="n">
        <v>46100</v>
      </c>
      <c r="K177" s="3" t="n">
        <v>4</v>
      </c>
      <c r="L177" s="10" t="n">
        <v>100</v>
      </c>
      <c r="M177" s="3">
        <f>IF($A177="","",IFERROR(INDEX('AJUSTES'!$B$4:$B$303,MATCH($AN177,'AJUSTES'!$A$4:$A$303,0)),IF($K177="","",$K177)))</f>
        <v/>
      </c>
      <c r="N177" s="3">
        <f>IF($A177="","",IFERROR(INDEX('CAT_ESTADOS_ERP'!$B$4:$B$7,MATCH(IFERROR(INDEX('2_IMPORTAR_EJECUCION'!$C$9:$C$1208,MATCH($AN177,'2_IMPORTAR_EJECUCION'!$J$9:$J$1208,0)),""),'CAT_ESTADOS_ERP'!$A$4:$A$7,0)),"Pendiente"))</f>
        <v/>
      </c>
      <c r="O177" s="3">
        <f>IF($J177="","",YEAR($J177+4-WEEKDAY($J177,2))&amp;"-S"&amp;TEXT(_xlfn.ISOWEEKNUM($J177),"00"))</f>
        <v/>
      </c>
      <c r="P177" s="3">
        <f>IF($J177="","",YEAR($J177))</f>
        <v/>
      </c>
      <c r="Q177" s="3">
        <f>IF($J177="","",MONTH($J177))</f>
        <v/>
      </c>
      <c r="R177" s="3">
        <f>IF($J177="","",INDEX(lista_dias,WEEKDAY($J177,2)))</f>
        <v/>
      </c>
      <c r="S177" s="3">
        <f>IF($I177="","",IFERROR(INDEX('CAT_TIPOS_OT'!$C$4:$C$7,MATCH($I177,'CAT_TIPOS_OT'!$A$4:$A$7,0)),"sin_clasificar"))</f>
        <v/>
      </c>
      <c r="T177" s="3">
        <f>IF($F177="","",IFERROR(INDEX('CAT_CENTROS_COSTO'!$E$4:$E$9,MATCH($F177,'CAT_CENTROS_COSTO'!$A$4:$A$9,0)),"(sin catálogo)"))</f>
        <v/>
      </c>
      <c r="U177" s="3">
        <f>IF($F177="","",IFERROR(INDEX('CAT_CENTROS_COSTO'!$D$4:$D$9,MATCH($F177,'CAT_CENTROS_COSTO'!$A$4:$A$9,0)),"(sin catálogo)"))</f>
        <v/>
      </c>
      <c r="V177" s="3">
        <f>IF($F177="","",IFERROR(INDEX('CAT_CENTROS_COSTO'!$F$4:$F$9,MATCH($F177,'CAT_CENTROS_COSTO'!$A$4:$A$9,0)),"(sin catálogo)"))</f>
        <v/>
      </c>
      <c r="W177" s="3">
        <f>IF($G177="","",IFERROR(INDEX('CAT_PUESTOS'!$B$4:$B$8,MATCH($G177,'CAT_PUESTOS'!$A$4:$A$8,0)),"(sin catálogo)"))</f>
        <v/>
      </c>
      <c r="X177" s="3">
        <f>IF($H177="","",IFERROR(INDEX('CAT_ACTIVIDADES'!$B$4:$B$8,MATCH($H177,'CAT_ACTIVIDADES'!$A$4:$A$8,0)),"(sin catálogo)"))</f>
        <v/>
      </c>
      <c r="Y177" s="12">
        <f>IF($J177="","",TODAY()-$J177)</f>
        <v/>
      </c>
      <c r="Z177" s="3">
        <f>IF($Y177="","",IF($Y177&lt;0,"FUTURO",IF($Y177&gt;p_dias_backlog_max,"BACKLOG","MES CORRIENTE")))</f>
        <v/>
      </c>
      <c r="AA177" s="3">
        <f>IF($Y177="",FALSE,AND($Y177&gt;p_dias_backlog_min,$Y177&lt;=p_dias_backlog_max))</f>
        <v/>
      </c>
      <c r="AB177" s="6" t="inlineStr"/>
      <c r="AC177" s="3">
        <f>IF($AB177="","",IFERROR(INDEX('ASIGNACIONES'!$F$4:$F$339,MATCH($O177&amp;"|"&amp;$R177&amp;"|"&amp;$AB177,'ASIGNACIONES'!$I$4:$I$339,0)),""))</f>
        <v/>
      </c>
      <c r="AD177" s="13">
        <f>IF($AB177="","",SUMIFS('ORDENES'!$M$4:$M$1203,'ORDENES'!$AB$4:$AB$1203,$AB177,'ORDENES'!$O$4:$O$1203,$O177,'ORDENES'!$R$4:$R$1203,$R177))</f>
        <v/>
      </c>
      <c r="AE177" s="13">
        <f>IF($AD177="","",p_factor_productividad*IFERROR(INDEX('ASIGNACIONES'!$H$4:$H$339,MATCH($O177&amp;"|"&amp;$R177&amp;"|"&amp;$AB177,'ASIGNACIONES'!$I$4:$I$339,0)),0)-$AD177)</f>
        <v/>
      </c>
      <c r="AF177" s="10">
        <f>IF($A177="","",IFERROR(INDEX('2_IMPORTAR_EJECUCION'!$F$9:$F$1208,MATCH($AN177,'2_IMPORTAR_EJECUCION'!$J$9:$J$1208,0)),0))</f>
        <v/>
      </c>
      <c r="AG177" s="10">
        <f>IF($A177="","",MAX(0,IFERROR(INDEX('2_IMPORTAR_EJECUCION'!$H$9:$H$1208,MATCH($AN177,'2_IMPORTAR_EJECUCION'!$J$9:$J$1208,0)),0)-$AF177))</f>
        <v/>
      </c>
      <c r="AH177" s="10">
        <f>IF($A177="","",$AF177+$AG177)</f>
        <v/>
      </c>
      <c r="AI177" s="6" t="inlineStr"/>
      <c r="AJ177" s="6" t="inlineStr"/>
      <c r="AK177" s="6" t="inlineStr"/>
      <c r="AL177" s="3">
        <f>IF($AK177="","",HYPERLINK(p_ruta_base_checklists&amp;$AK177,"abrir"))</f>
        <v/>
      </c>
      <c r="AM177" s="6" t="inlineStr"/>
      <c r="AN177" s="3">
        <f>IF($A177="","",$A177&amp;IF($B177="","0010",$B177))</f>
        <v/>
      </c>
    </row>
    <row r="178">
      <c r="A178" s="3" t="inlineStr">
        <is>
          <t>OT-000175</t>
        </is>
      </c>
      <c r="B178" s="3" t="inlineStr">
        <is>
          <t>0010</t>
        </is>
      </c>
      <c r="C178" s="3" t="inlineStr">
        <is>
          <t>Reparación de falla — EQ-101</t>
        </is>
      </c>
      <c r="D178" s="3" t="inlineStr">
        <is>
          <t>Reparación de falla en EQ-101</t>
        </is>
      </c>
      <c r="E178" s="3" t="inlineStr">
        <is>
          <t>EQ-101</t>
        </is>
      </c>
      <c r="F178" s="3" t="inlineStr">
        <is>
          <t>CC-120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TIPO-C2</t>
        </is>
      </c>
      <c r="J178" s="11" t="n">
        <v>46093</v>
      </c>
      <c r="K178" s="3" t="n">
        <v>6</v>
      </c>
      <c r="L178" s="10" t="n">
        <v>240</v>
      </c>
      <c r="M178" s="3">
        <f>IF($A178="","",IFERROR(INDEX('AJUSTES'!$B$4:$B$303,MATCH($AN178,'AJUSTES'!$A$4:$A$303,0)),IF($K178="","",$K178)))</f>
        <v/>
      </c>
      <c r="N178" s="3">
        <f>IF($A178="","",IFERROR(INDEX('CAT_ESTADOS_ERP'!$B$4:$B$7,MATCH(IFERROR(INDEX('2_IMPORTAR_EJECUCION'!$C$9:$C$1208,MATCH($AN178,'2_IMPORTAR_EJECUCION'!$J$9:$J$1208,0)),""),'CAT_ESTADOS_ERP'!$A$4:$A$7,0)),"Pendiente"))</f>
        <v/>
      </c>
      <c r="O178" s="3">
        <f>IF($J178="","",YEAR($J178+4-WEEKDAY($J178,2))&amp;"-S"&amp;TEXT(_xlfn.ISOWEEKNUM($J178),"00"))</f>
        <v/>
      </c>
      <c r="P178" s="3">
        <f>IF($J178="","",YEAR($J178))</f>
        <v/>
      </c>
      <c r="Q178" s="3">
        <f>IF($J178="","",MONTH($J178))</f>
        <v/>
      </c>
      <c r="R178" s="3">
        <f>IF($J178="","",INDEX(lista_dias,WEEKDAY($J178,2)))</f>
        <v/>
      </c>
      <c r="S178" s="3">
        <f>IF($I178="","",IFERROR(INDEX('CAT_TIPOS_OT'!$C$4:$C$7,MATCH($I178,'CAT_TIPOS_OT'!$A$4:$A$7,0)),"sin_clasificar"))</f>
        <v/>
      </c>
      <c r="T178" s="3">
        <f>IF($F178="","",IFERROR(INDEX('CAT_CENTROS_COSTO'!$E$4:$E$9,MATCH($F178,'CAT_CENTROS_COSTO'!$A$4:$A$9,0)),"(sin catálogo)"))</f>
        <v/>
      </c>
      <c r="U178" s="3">
        <f>IF($F178="","",IFERROR(INDEX('CAT_CENTROS_COSTO'!$D$4:$D$9,MATCH($F178,'CAT_CENTROS_COSTO'!$A$4:$A$9,0)),"(sin catálogo)"))</f>
        <v/>
      </c>
      <c r="V178" s="3">
        <f>IF($F178="","",IFERROR(INDEX('CAT_CENTROS_COSTO'!$F$4:$F$9,MATCH($F178,'CAT_CENTROS_COSTO'!$A$4:$A$9,0)),"(sin catálogo)"))</f>
        <v/>
      </c>
      <c r="W178" s="3">
        <f>IF($G178="","",IFERROR(INDEX('CAT_PUESTOS'!$B$4:$B$8,MATCH($G178,'CAT_PUESTOS'!$A$4:$A$8,0)),"(sin catálogo)"))</f>
        <v/>
      </c>
      <c r="X178" s="3">
        <f>IF($H178="","",IFERROR(INDEX('CAT_ACTIVIDADES'!$B$4:$B$8,MATCH($H178,'CAT_ACTIVIDADES'!$A$4:$A$8,0)),"(sin catálogo)"))</f>
        <v/>
      </c>
      <c r="Y178" s="12">
        <f>IF($J178="","",TODAY()-$J178)</f>
        <v/>
      </c>
      <c r="Z178" s="3">
        <f>IF($Y178="","",IF($Y178&lt;0,"FUTURO",IF($Y178&gt;p_dias_backlog_max,"BACKLOG","MES CORRIENTE")))</f>
        <v/>
      </c>
      <c r="AA178" s="3">
        <f>IF($Y178="",FALSE,AND($Y178&gt;p_dias_backlog_min,$Y178&lt;=p_dias_backlog_max))</f>
        <v/>
      </c>
      <c r="AB178" s="6" t="inlineStr"/>
      <c r="AC178" s="3">
        <f>IF($AB178="","",IFERROR(INDEX('ASIGNACIONES'!$F$4:$F$339,MATCH($O178&amp;"|"&amp;$R178&amp;"|"&amp;$AB178,'ASIGNACIONES'!$I$4:$I$339,0)),""))</f>
        <v/>
      </c>
      <c r="AD178" s="13">
        <f>IF($AB178="","",SUMIFS('ORDENES'!$M$4:$M$1203,'ORDENES'!$AB$4:$AB$1203,$AB178,'ORDENES'!$O$4:$O$1203,$O178,'ORDENES'!$R$4:$R$1203,$R178))</f>
        <v/>
      </c>
      <c r="AE178" s="13">
        <f>IF($AD178="","",p_factor_productividad*IFERROR(INDEX('ASIGNACIONES'!$H$4:$H$339,MATCH($O178&amp;"|"&amp;$R178&amp;"|"&amp;$AB178,'ASIGNACIONES'!$I$4:$I$339,0)),0)-$AD178)</f>
        <v/>
      </c>
      <c r="AF178" s="10">
        <f>IF($A178="","",IFERROR(INDEX('2_IMPORTAR_EJECUCION'!$F$9:$F$1208,MATCH($AN178,'2_IMPORTAR_EJECUCION'!$J$9:$J$1208,0)),0))</f>
        <v/>
      </c>
      <c r="AG178" s="10">
        <f>IF($A178="","",MAX(0,IFERROR(INDEX('2_IMPORTAR_EJECUCION'!$H$9:$H$1208,MATCH($AN178,'2_IMPORTAR_EJECUCION'!$J$9:$J$1208,0)),0)-$AF178))</f>
        <v/>
      </c>
      <c r="AH178" s="10">
        <f>IF($A178="","",$AF178+$AG178)</f>
        <v/>
      </c>
      <c r="AI178" s="6" t="inlineStr"/>
      <c r="AJ178" s="6" t="inlineStr"/>
      <c r="AK178" s="6" t="inlineStr"/>
      <c r="AL178" s="3">
        <f>IF($AK178="","",HYPERLINK(p_ruta_base_checklists&amp;$AK178,"abrir"))</f>
        <v/>
      </c>
      <c r="AM178" s="6" t="inlineStr"/>
      <c r="AN178" s="3">
        <f>IF($A178="","",$A178&amp;IF($B178="","0010",$B178))</f>
        <v/>
      </c>
    </row>
    <row r="179">
      <c r="A179" s="3" t="inlineStr">
        <is>
          <t>OT-000176</t>
        </is>
      </c>
      <c r="B179" s="3" t="inlineStr">
        <is>
          <t>0010</t>
        </is>
      </c>
      <c r="C179" s="3" t="inlineStr">
        <is>
          <t>Análisis predictivo — EQ-106</t>
        </is>
      </c>
      <c r="D179" s="3" t="inlineStr">
        <is>
          <t>Análisis predictivo en EQ-106</t>
        </is>
      </c>
      <c r="E179" s="3" t="inlineStr">
        <is>
          <t>EQ-106</t>
        </is>
      </c>
      <c r="F179" s="3" t="inlineStr">
        <is>
          <t>CC-210</t>
        </is>
      </c>
      <c r="G179" s="3" t="inlineStr">
        <is>
          <t>PU-AUT</t>
        </is>
      </c>
      <c r="H179" s="3" t="inlineStr">
        <is>
          <t>ACT-04</t>
        </is>
      </c>
      <c r="I179" s="3" t="inlineStr">
        <is>
          <t>TIPO-P1</t>
        </is>
      </c>
      <c r="J179" s="11" t="n">
        <v>46086</v>
      </c>
      <c r="K179" s="3" t="n">
        <v>8</v>
      </c>
      <c r="L179" s="10" t="n">
        <v>200</v>
      </c>
      <c r="M179" s="3">
        <f>IF($A179="","",IFERROR(INDEX('AJUSTES'!$B$4:$B$303,MATCH($AN179,'AJUSTES'!$A$4:$A$303,0)),IF($K179="","",$K179)))</f>
        <v/>
      </c>
      <c r="N179" s="3">
        <f>IF($A179="","",IFERROR(INDEX('CAT_ESTADOS_ERP'!$B$4:$B$7,MATCH(IFERROR(INDEX('2_IMPORTAR_EJECUCION'!$C$9:$C$1208,MATCH($AN179,'2_IMPORTAR_EJECUCION'!$J$9:$J$1208,0)),""),'CAT_ESTADOS_ERP'!$A$4:$A$7,0)),"Pendiente"))</f>
        <v/>
      </c>
      <c r="O179" s="3">
        <f>IF($J179="","",YEAR($J179+4-WEEKDAY($J179,2))&amp;"-S"&amp;TEXT(_xlfn.ISOWEEKNUM($J179),"00"))</f>
        <v/>
      </c>
      <c r="P179" s="3">
        <f>IF($J179="","",YEAR($J179))</f>
        <v/>
      </c>
      <c r="Q179" s="3">
        <f>IF($J179="","",MONTH($J179))</f>
        <v/>
      </c>
      <c r="R179" s="3">
        <f>IF($J179="","",INDEX(lista_dias,WEEKDAY($J179,2)))</f>
        <v/>
      </c>
      <c r="S179" s="3">
        <f>IF($I179="","",IFERROR(INDEX('CAT_TIPOS_OT'!$C$4:$C$7,MATCH($I179,'CAT_TIPOS_OT'!$A$4:$A$7,0)),"sin_clasificar"))</f>
        <v/>
      </c>
      <c r="T179" s="3">
        <f>IF($F179="","",IFERROR(INDEX('CAT_CENTROS_COSTO'!$E$4:$E$9,MATCH($F179,'CAT_CENTROS_COSTO'!$A$4:$A$9,0)),"(sin catálogo)"))</f>
        <v/>
      </c>
      <c r="U179" s="3">
        <f>IF($F179="","",IFERROR(INDEX('CAT_CENTROS_COSTO'!$D$4:$D$9,MATCH($F179,'CAT_CENTROS_COSTO'!$A$4:$A$9,0)),"(sin catálogo)"))</f>
        <v/>
      </c>
      <c r="V179" s="3">
        <f>IF($F179="","",IFERROR(INDEX('CAT_CENTROS_COSTO'!$F$4:$F$9,MATCH($F179,'CAT_CENTROS_COSTO'!$A$4:$A$9,0)),"(sin catálogo)"))</f>
        <v/>
      </c>
      <c r="W179" s="3">
        <f>IF($G179="","",IFERROR(INDEX('CAT_PUESTOS'!$B$4:$B$8,MATCH($G179,'CAT_PUESTOS'!$A$4:$A$8,0)),"(sin catálogo)"))</f>
        <v/>
      </c>
      <c r="X179" s="3">
        <f>IF($H179="","",IFERROR(INDEX('CAT_ACTIVIDADES'!$B$4:$B$8,MATCH($H179,'CAT_ACTIVIDADES'!$A$4:$A$8,0)),"(sin catálogo)"))</f>
        <v/>
      </c>
      <c r="Y179" s="12">
        <f>IF($J179="","",TODAY()-$J179)</f>
        <v/>
      </c>
      <c r="Z179" s="3">
        <f>IF($Y179="","",IF($Y179&lt;0,"FUTURO",IF($Y179&gt;p_dias_backlog_max,"BACKLOG","MES CORRIENTE")))</f>
        <v/>
      </c>
      <c r="AA179" s="3">
        <f>IF($Y179="",FALSE,AND($Y179&gt;p_dias_backlog_min,$Y179&lt;=p_dias_backlog_max))</f>
        <v/>
      </c>
      <c r="AB179" s="6" t="inlineStr"/>
      <c r="AC179" s="3">
        <f>IF($AB179="","",IFERROR(INDEX('ASIGNACIONES'!$F$4:$F$339,MATCH($O179&amp;"|"&amp;$R179&amp;"|"&amp;$AB179,'ASIGNACIONES'!$I$4:$I$339,0)),""))</f>
        <v/>
      </c>
      <c r="AD179" s="13">
        <f>IF($AB179="","",SUMIFS('ORDENES'!$M$4:$M$1203,'ORDENES'!$AB$4:$AB$1203,$AB179,'ORDENES'!$O$4:$O$1203,$O179,'ORDENES'!$R$4:$R$1203,$R179))</f>
        <v/>
      </c>
      <c r="AE179" s="13">
        <f>IF($AD179="","",p_factor_productividad*IFERROR(INDEX('ASIGNACIONES'!$H$4:$H$339,MATCH($O179&amp;"|"&amp;$R179&amp;"|"&amp;$AB179,'ASIGNACIONES'!$I$4:$I$339,0)),0)-$AD179)</f>
        <v/>
      </c>
      <c r="AF179" s="10">
        <f>IF($A179="","",IFERROR(INDEX('2_IMPORTAR_EJECUCION'!$F$9:$F$1208,MATCH($AN179,'2_IMPORTAR_EJECUCION'!$J$9:$J$1208,0)),0))</f>
        <v/>
      </c>
      <c r="AG179" s="10">
        <f>IF($A179="","",MAX(0,IFERROR(INDEX('2_IMPORTAR_EJECUCION'!$H$9:$H$1208,MATCH($AN179,'2_IMPORTAR_EJECUCION'!$J$9:$J$1208,0)),0)-$AF179))</f>
        <v/>
      </c>
      <c r="AH179" s="10">
        <f>IF($A179="","",$AF179+$AG179)</f>
        <v/>
      </c>
      <c r="AI179" s="6" t="inlineStr"/>
      <c r="AJ179" s="6" t="inlineStr"/>
      <c r="AK179" s="6" t="inlineStr"/>
      <c r="AL179" s="3">
        <f>IF($AK179="","",HYPERLINK(p_ruta_base_checklists&amp;$AK179,"abrir"))</f>
        <v/>
      </c>
      <c r="AM179" s="6" t="inlineStr"/>
      <c r="AN179" s="3">
        <f>IF($A179="","",$A179&amp;IF($B179="","0010",$B179))</f>
        <v/>
      </c>
    </row>
    <row r="180">
      <c r="A180" s="3" t="inlineStr">
        <is>
          <t>OT-000177</t>
        </is>
      </c>
      <c r="B180" s="3" t="inlineStr">
        <is>
          <t>0010</t>
        </is>
      </c>
      <c r="C180" s="3" t="inlineStr">
        <is>
          <t>Inspección de rutina — EQ-103</t>
        </is>
      </c>
      <c r="D180" s="3" t="inlineStr">
        <is>
          <t>Inspección de rutina en EQ-103</t>
        </is>
      </c>
      <c r="E180" s="3" t="inlineStr">
        <is>
          <t>EQ-103</t>
        </is>
      </c>
      <c r="F180" s="3" t="inlineStr">
        <is>
          <t>CC-110</t>
        </is>
      </c>
      <c r="G180" s="3" t="inlineStr">
        <is>
          <t>PU-MEC</t>
        </is>
      </c>
      <c r="H180" s="3" t="inlineStr">
        <is>
          <t>ACT-01</t>
        </is>
      </c>
      <c r="I180" s="3" t="inlineStr">
        <is>
          <t>TIPO-P2</t>
        </is>
      </c>
      <c r="J180" s="11" t="n">
        <v>46264</v>
      </c>
      <c r="K180" s="3" t="n">
        <v>6</v>
      </c>
      <c r="L180" s="10" t="n">
        <v>150</v>
      </c>
      <c r="M180" s="3">
        <f>IF($A180="","",IFERROR(INDEX('AJUSTES'!$B$4:$B$303,MATCH($AN180,'AJUSTES'!$A$4:$A$303,0)),IF($K180="","",$K180)))</f>
        <v/>
      </c>
      <c r="N180" s="3">
        <f>IF($A180="","",IFERROR(INDEX('CAT_ESTADOS_ERP'!$B$4:$B$7,MATCH(IFERROR(INDEX('2_IMPORTAR_EJECUCION'!$C$9:$C$1208,MATCH($AN180,'2_IMPORTAR_EJECUCION'!$J$9:$J$1208,0)),""),'CAT_ESTADOS_ERP'!$A$4:$A$7,0)),"Pendiente"))</f>
        <v/>
      </c>
      <c r="O180" s="3">
        <f>IF($J180="","",YEAR($J180+4-WEEKDAY($J180,2))&amp;"-S"&amp;TEXT(_xlfn.ISOWEEKNUM($J180),"00"))</f>
        <v/>
      </c>
      <c r="P180" s="3">
        <f>IF($J180="","",YEAR($J180))</f>
        <v/>
      </c>
      <c r="Q180" s="3">
        <f>IF($J180="","",MONTH($J180))</f>
        <v/>
      </c>
      <c r="R180" s="3">
        <f>IF($J180="","",INDEX(lista_dias,WEEKDAY($J180,2)))</f>
        <v/>
      </c>
      <c r="S180" s="3">
        <f>IF($I180="","",IFERROR(INDEX('CAT_TIPOS_OT'!$C$4:$C$7,MATCH($I180,'CAT_TIPOS_OT'!$A$4:$A$7,0)),"sin_clasificar"))</f>
        <v/>
      </c>
      <c r="T180" s="3">
        <f>IF($F180="","",IFERROR(INDEX('CAT_CENTROS_COSTO'!$E$4:$E$9,MATCH($F180,'CAT_CENTROS_COSTO'!$A$4:$A$9,0)),"(sin catálogo)"))</f>
        <v/>
      </c>
      <c r="U180" s="3">
        <f>IF($F180="","",IFERROR(INDEX('CAT_CENTROS_COSTO'!$D$4:$D$9,MATCH($F180,'CAT_CENTROS_COSTO'!$A$4:$A$9,0)),"(sin catálogo)"))</f>
        <v/>
      </c>
      <c r="V180" s="3">
        <f>IF($F180="","",IFERROR(INDEX('CAT_CENTROS_COSTO'!$F$4:$F$9,MATCH($F180,'CAT_CENTROS_COSTO'!$A$4:$A$9,0)),"(sin catálogo)"))</f>
        <v/>
      </c>
      <c r="W180" s="3">
        <f>IF($G180="","",IFERROR(INDEX('CAT_PUESTOS'!$B$4:$B$8,MATCH($G180,'CAT_PUESTOS'!$A$4:$A$8,0)),"(sin catálogo)"))</f>
        <v/>
      </c>
      <c r="X180" s="3">
        <f>IF($H180="","",IFERROR(INDEX('CAT_ACTIVIDADES'!$B$4:$B$8,MATCH($H180,'CAT_ACTIVIDADES'!$A$4:$A$8,0)),"(sin catálogo)"))</f>
        <v/>
      </c>
      <c r="Y180" s="12">
        <f>IF($J180="","",TODAY()-$J180)</f>
        <v/>
      </c>
      <c r="Z180" s="3">
        <f>IF($Y180="","",IF($Y180&lt;0,"FUTURO",IF($Y180&gt;p_dias_backlog_max,"BACKLOG","MES CORRIENTE")))</f>
        <v/>
      </c>
      <c r="AA180" s="3">
        <f>IF($Y180="",FALSE,AND($Y180&gt;p_dias_backlog_min,$Y180&lt;=p_dias_backlog_max))</f>
        <v/>
      </c>
      <c r="AB180" s="6" t="inlineStr"/>
      <c r="AC180" s="3">
        <f>IF($AB180="","",IFERROR(INDEX('ASIGNACIONES'!$F$4:$F$339,MATCH($O180&amp;"|"&amp;$R180&amp;"|"&amp;$AB180,'ASIGNACIONES'!$I$4:$I$339,0)),""))</f>
        <v/>
      </c>
      <c r="AD180" s="13">
        <f>IF($AB180="","",SUMIFS('ORDENES'!$M$4:$M$1203,'ORDENES'!$AB$4:$AB$1203,$AB180,'ORDENES'!$O$4:$O$1203,$O180,'ORDENES'!$R$4:$R$1203,$R180))</f>
        <v/>
      </c>
      <c r="AE180" s="13">
        <f>IF($AD180="","",p_factor_productividad*IFERROR(INDEX('ASIGNACIONES'!$H$4:$H$339,MATCH($O180&amp;"|"&amp;$R180&amp;"|"&amp;$AB180,'ASIGNACIONES'!$I$4:$I$339,0)),0)-$AD180)</f>
        <v/>
      </c>
      <c r="AF180" s="10">
        <f>IF($A180="","",IFERROR(INDEX('2_IMPORTAR_EJECUCION'!$F$9:$F$1208,MATCH($AN180,'2_IMPORTAR_EJECUCION'!$J$9:$J$1208,0)),0))</f>
        <v/>
      </c>
      <c r="AG180" s="10">
        <f>IF($A180="","",MAX(0,IFERROR(INDEX('2_IMPORTAR_EJECUCION'!$H$9:$H$1208,MATCH($AN180,'2_IMPORTAR_EJECUCION'!$J$9:$J$1208,0)),0)-$AF180))</f>
        <v/>
      </c>
      <c r="AH180" s="10">
        <f>IF($A180="","",$AF180+$AG180)</f>
        <v/>
      </c>
      <c r="AI180" s="6" t="inlineStr"/>
      <c r="AJ180" s="6" t="inlineStr"/>
      <c r="AK180" s="6" t="inlineStr"/>
      <c r="AL180" s="3">
        <f>IF($AK180="","",HYPERLINK(p_ruta_base_checklists&amp;$AK180,"abrir"))</f>
        <v/>
      </c>
      <c r="AM180" s="6" t="inlineStr"/>
      <c r="AN180" s="3">
        <f>IF($A180="","",$A180&amp;IF($B180="","0010",$B180))</f>
        <v/>
      </c>
    </row>
    <row r="181">
      <c r="A181" s="3" t="inlineStr">
        <is>
          <t>OT-000178</t>
        </is>
      </c>
      <c r="B181" s="3" t="inlineStr">
        <is>
          <t>0010</t>
        </is>
      </c>
      <c r="C181" s="3" t="inlineStr">
        <is>
          <t>Lubricación programada — EQ-104</t>
        </is>
      </c>
      <c r="D181" s="3" t="inlineStr">
        <is>
          <t>Lubricación programada en EQ-104</t>
        </is>
      </c>
      <c r="E181" s="3" t="inlineStr">
        <is>
          <t>EQ-104</t>
        </is>
      </c>
      <c r="F181" s="3" t="inlineStr">
        <is>
          <t>CC-110</t>
        </is>
      </c>
      <c r="G181" s="3" t="inlineStr">
        <is>
          <t>PU-MEC</t>
        </is>
      </c>
      <c r="H181" s="3" t="inlineStr">
        <is>
          <t>ACT-02</t>
        </is>
      </c>
      <c r="I181" s="3" t="inlineStr">
        <is>
          <t>TIPO-P1</t>
        </is>
      </c>
      <c r="J181" s="11" t="n">
        <v>46264</v>
      </c>
      <c r="K181" s="3" t="n">
        <v>6</v>
      </c>
      <c r="L181" s="10" t="n">
        <v>150</v>
      </c>
      <c r="M181" s="3">
        <f>IF($A181="","",IFERROR(INDEX('AJUSTES'!$B$4:$B$303,MATCH($AN181,'AJUSTES'!$A$4:$A$303,0)),IF($K181="","",$K181)))</f>
        <v/>
      </c>
      <c r="N181" s="3">
        <f>IF($A181="","",IFERROR(INDEX('CAT_ESTADOS_ERP'!$B$4:$B$7,MATCH(IFERROR(INDEX('2_IMPORTAR_EJECUCION'!$C$9:$C$1208,MATCH($AN181,'2_IMPORTAR_EJECUCION'!$J$9:$J$1208,0)),""),'CAT_ESTADOS_ERP'!$A$4:$A$7,0)),"Pendiente"))</f>
        <v/>
      </c>
      <c r="O181" s="3">
        <f>IF($J181="","",YEAR($J181+4-WEEKDAY($J181,2))&amp;"-S"&amp;TEXT(_xlfn.ISOWEEKNUM($J181),"00"))</f>
        <v/>
      </c>
      <c r="P181" s="3">
        <f>IF($J181="","",YEAR($J181))</f>
        <v/>
      </c>
      <c r="Q181" s="3">
        <f>IF($J181="","",MONTH($J181))</f>
        <v/>
      </c>
      <c r="R181" s="3">
        <f>IF($J181="","",INDEX(lista_dias,WEEKDAY($J181,2)))</f>
        <v/>
      </c>
      <c r="S181" s="3">
        <f>IF($I181="","",IFERROR(INDEX('CAT_TIPOS_OT'!$C$4:$C$7,MATCH($I181,'CAT_TIPOS_OT'!$A$4:$A$7,0)),"sin_clasificar"))</f>
        <v/>
      </c>
      <c r="T181" s="3">
        <f>IF($F181="","",IFERROR(INDEX('CAT_CENTROS_COSTO'!$E$4:$E$9,MATCH($F181,'CAT_CENTROS_COSTO'!$A$4:$A$9,0)),"(sin catálogo)"))</f>
        <v/>
      </c>
      <c r="U181" s="3">
        <f>IF($F181="","",IFERROR(INDEX('CAT_CENTROS_COSTO'!$D$4:$D$9,MATCH($F181,'CAT_CENTROS_COSTO'!$A$4:$A$9,0)),"(sin catálogo)"))</f>
        <v/>
      </c>
      <c r="V181" s="3">
        <f>IF($F181="","",IFERROR(INDEX('CAT_CENTROS_COSTO'!$F$4:$F$9,MATCH($F181,'CAT_CENTROS_COSTO'!$A$4:$A$9,0)),"(sin catálogo)"))</f>
        <v/>
      </c>
      <c r="W181" s="3">
        <f>IF($G181="","",IFERROR(INDEX('CAT_PUESTOS'!$B$4:$B$8,MATCH($G181,'CAT_PUESTOS'!$A$4:$A$8,0)),"(sin catálogo)"))</f>
        <v/>
      </c>
      <c r="X181" s="3">
        <f>IF($H181="","",IFERROR(INDEX('CAT_ACTIVIDADES'!$B$4:$B$8,MATCH($H181,'CAT_ACTIVIDADES'!$A$4:$A$8,0)),"(sin catálogo)"))</f>
        <v/>
      </c>
      <c r="Y181" s="12">
        <f>IF($J181="","",TODAY()-$J181)</f>
        <v/>
      </c>
      <c r="Z181" s="3">
        <f>IF($Y181="","",IF($Y181&lt;0,"FUTURO",IF($Y181&gt;p_dias_backlog_max,"BACKLOG","MES CORRIENTE")))</f>
        <v/>
      </c>
      <c r="AA181" s="3">
        <f>IF($Y181="",FALSE,AND($Y181&gt;p_dias_backlog_min,$Y181&lt;=p_dias_backlog_max))</f>
        <v/>
      </c>
      <c r="AB181" s="6" t="inlineStr"/>
      <c r="AC181" s="3">
        <f>IF($AB181="","",IFERROR(INDEX('ASIGNACIONES'!$F$4:$F$339,MATCH($O181&amp;"|"&amp;$R181&amp;"|"&amp;$AB181,'ASIGNACIONES'!$I$4:$I$339,0)),""))</f>
        <v/>
      </c>
      <c r="AD181" s="13">
        <f>IF($AB181="","",SUMIFS('ORDENES'!$M$4:$M$1203,'ORDENES'!$AB$4:$AB$1203,$AB181,'ORDENES'!$O$4:$O$1203,$O181,'ORDENES'!$R$4:$R$1203,$R181))</f>
        <v/>
      </c>
      <c r="AE181" s="13">
        <f>IF($AD181="","",p_factor_productividad*IFERROR(INDEX('ASIGNACIONES'!$H$4:$H$339,MATCH($O181&amp;"|"&amp;$R181&amp;"|"&amp;$AB181,'ASIGNACIONES'!$I$4:$I$339,0)),0)-$AD181)</f>
        <v/>
      </c>
      <c r="AF181" s="10">
        <f>IF($A181="","",IFERROR(INDEX('2_IMPORTAR_EJECUCION'!$F$9:$F$1208,MATCH($AN181,'2_IMPORTAR_EJECUCION'!$J$9:$J$1208,0)),0))</f>
        <v/>
      </c>
      <c r="AG181" s="10">
        <f>IF($A181="","",MAX(0,IFERROR(INDEX('2_IMPORTAR_EJECUCION'!$H$9:$H$1208,MATCH($AN181,'2_IMPORTAR_EJECUCION'!$J$9:$J$1208,0)),0)-$AF181))</f>
        <v/>
      </c>
      <c r="AH181" s="10">
        <f>IF($A181="","",$AF181+$AG181)</f>
        <v/>
      </c>
      <c r="AI181" s="6" t="inlineStr"/>
      <c r="AJ181" s="6" t="inlineStr"/>
      <c r="AK181" s="6" t="inlineStr"/>
      <c r="AL181" s="3">
        <f>IF($AK181="","",HYPERLINK(p_ruta_base_checklists&amp;$AK181,"abrir"))</f>
        <v/>
      </c>
      <c r="AM181" s="6" t="inlineStr"/>
      <c r="AN181" s="3">
        <f>IF($A181="","",$A181&amp;IF($B181="","0010",$B181))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Análisis predictivo — EQ-105</t>
        </is>
      </c>
      <c r="D182" s="3" t="inlineStr">
        <is>
          <t>Análisis predictivo en EQ-105</t>
        </is>
      </c>
      <c r="E182" s="3" t="inlineStr">
        <is>
          <t>EQ-105</t>
        </is>
      </c>
      <c r="F182" s="3" t="inlineStr">
        <is>
          <t>CC-110</t>
        </is>
      </c>
      <c r="G182" s="3" t="inlineStr">
        <is>
          <t>PU-MEC</t>
        </is>
      </c>
      <c r="H182" s="3" t="inlineStr">
        <is>
          <t>ACT-04</t>
        </is>
      </c>
      <c r="I182" s="3" t="inlineStr">
        <is>
          <t>TIPO-P2</t>
        </is>
      </c>
      <c r="J182" s="11" t="n">
        <v>46264</v>
      </c>
      <c r="K182" s="3" t="n">
        <v>6</v>
      </c>
      <c r="L182" s="10" t="n">
        <v>150</v>
      </c>
      <c r="M182" s="3">
        <f>IF($A182="","",IFERROR(INDEX('AJUSTES'!$B$4:$B$303,MATCH($AN182,'AJUSTES'!$A$4:$A$303,0)),IF($K182="","",$K182)))</f>
        <v/>
      </c>
      <c r="N182" s="3">
        <f>IF($A182="","",IFERROR(INDEX('CAT_ESTADOS_ERP'!$B$4:$B$7,MATCH(IFERROR(INDEX('2_IMPORTAR_EJECUCION'!$C$9:$C$1208,MATCH($AN182,'2_IMPORTAR_EJECUCION'!$J$9:$J$1208,0)),""),'CAT_ESTADOS_ERP'!$A$4:$A$7,0)),"Pendiente"))</f>
        <v/>
      </c>
      <c r="O182" s="3">
        <f>IF($J182="","",YEAR($J182+4-WEEKDAY($J182,2))&amp;"-S"&amp;TEXT(_xlfn.ISOWEEKNUM($J182),"00"))</f>
        <v/>
      </c>
      <c r="P182" s="3">
        <f>IF($J182="","",YEAR($J182))</f>
        <v/>
      </c>
      <c r="Q182" s="3">
        <f>IF($J182="","",MONTH($J182))</f>
        <v/>
      </c>
      <c r="R182" s="3">
        <f>IF($J182="","",INDEX(lista_dias,WEEKDAY($J182,2)))</f>
        <v/>
      </c>
      <c r="S182" s="3">
        <f>IF($I182="","",IFERROR(INDEX('CAT_TIPOS_OT'!$C$4:$C$7,MATCH($I182,'CAT_TIPOS_OT'!$A$4:$A$7,0)),"sin_clasificar"))</f>
        <v/>
      </c>
      <c r="T182" s="3">
        <f>IF($F182="","",IFERROR(INDEX('CAT_CENTROS_COSTO'!$E$4:$E$9,MATCH($F182,'CAT_CENTROS_COSTO'!$A$4:$A$9,0)),"(sin catálogo)"))</f>
        <v/>
      </c>
      <c r="U182" s="3">
        <f>IF($F182="","",IFERROR(INDEX('CAT_CENTROS_COSTO'!$D$4:$D$9,MATCH($F182,'CAT_CENTROS_COSTO'!$A$4:$A$9,0)),"(sin catálogo)"))</f>
        <v/>
      </c>
      <c r="V182" s="3">
        <f>IF($F182="","",IFERROR(INDEX('CAT_CENTROS_COSTO'!$F$4:$F$9,MATCH($F182,'CAT_CENTROS_COSTO'!$A$4:$A$9,0)),"(sin catálogo)"))</f>
        <v/>
      </c>
      <c r="W182" s="3">
        <f>IF($G182="","",IFERROR(INDEX('CAT_PUESTOS'!$B$4:$B$8,MATCH($G182,'CAT_PUESTOS'!$A$4:$A$8,0)),"(sin catálogo)"))</f>
        <v/>
      </c>
      <c r="X182" s="3">
        <f>IF($H182="","",IFERROR(INDEX('CAT_ACTIVIDADES'!$B$4:$B$8,MATCH($H182,'CAT_ACTIVIDADES'!$A$4:$A$8,0)),"(sin catálogo)"))</f>
        <v/>
      </c>
      <c r="Y182" s="12">
        <f>IF($J182="","",TODAY()-$J182)</f>
        <v/>
      </c>
      <c r="Z182" s="3">
        <f>IF($Y182="","",IF($Y182&lt;0,"FUTURO",IF($Y182&gt;p_dias_backlog_max,"BACKLOG","MES CORRIENTE")))</f>
        <v/>
      </c>
      <c r="AA182" s="3">
        <f>IF($Y182="",FALSE,AND($Y182&gt;p_dias_backlog_min,$Y182&lt;=p_dias_backlog_max))</f>
        <v/>
      </c>
      <c r="AB182" s="6" t="inlineStr"/>
      <c r="AC182" s="3">
        <f>IF($AB182="","",IFERROR(INDEX('ASIGNACIONES'!$F$4:$F$339,MATCH($O182&amp;"|"&amp;$R182&amp;"|"&amp;$AB182,'ASIGNACIONES'!$I$4:$I$339,0)),""))</f>
        <v/>
      </c>
      <c r="AD182" s="13">
        <f>IF($AB182="","",SUMIFS('ORDENES'!$M$4:$M$1203,'ORDENES'!$AB$4:$AB$1203,$AB182,'ORDENES'!$O$4:$O$1203,$O182,'ORDENES'!$R$4:$R$1203,$R182))</f>
        <v/>
      </c>
      <c r="AE182" s="13">
        <f>IF($AD182="","",p_factor_productividad*IFERROR(INDEX('ASIGNACIONES'!$H$4:$H$339,MATCH($O182&amp;"|"&amp;$R182&amp;"|"&amp;$AB182,'ASIGNACIONES'!$I$4:$I$339,0)),0)-$AD182)</f>
        <v/>
      </c>
      <c r="AF182" s="10">
        <f>IF($A182="","",IFERROR(INDEX('2_IMPORTAR_EJECUCION'!$F$9:$F$1208,MATCH($AN182,'2_IMPORTAR_EJECUCION'!$J$9:$J$1208,0)),0))</f>
        <v/>
      </c>
      <c r="AG182" s="10">
        <f>IF($A182="","",MAX(0,IFERROR(INDEX('2_IMPORTAR_EJECUCION'!$H$9:$H$1208,MATCH($AN182,'2_IMPORTAR_EJECUCION'!$J$9:$J$1208,0)),0)-$AF182))</f>
        <v/>
      </c>
      <c r="AH182" s="10">
        <f>IF($A182="","",$AF182+$AG182)</f>
        <v/>
      </c>
      <c r="AI182" s="6" t="inlineStr"/>
      <c r="AJ182" s="6" t="inlineStr"/>
      <c r="AK182" s="6" t="inlineStr"/>
      <c r="AL182" s="3">
        <f>IF($AK182="","",HYPERLINK(p_ruta_base_checklists&amp;$AK182,"abrir"))</f>
        <v/>
      </c>
      <c r="AM182" s="6" t="inlineStr"/>
      <c r="AN182" s="3">
        <f>IF($A182="","",$A182&amp;IF($B182="","0010",$B182))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Inspección de rutina — EQ-101</t>
        </is>
      </c>
      <c r="D183" s="3" t="inlineStr">
        <is>
          <t>Inspección de rutina en EQ-101</t>
        </is>
      </c>
      <c r="E183" s="3" t="inlineStr">
        <is>
          <t>EQ-101</t>
        </is>
      </c>
      <c r="F183" s="3" t="inlineStr">
        <is>
          <t>CC-110</t>
        </is>
      </c>
      <c r="G183" s="3" t="inlineStr">
        <is>
          <t>PU-ELE</t>
        </is>
      </c>
      <c r="H183" s="3" t="inlineStr">
        <is>
          <t>ACT-01</t>
        </is>
      </c>
      <c r="I183" s="3" t="inlineStr">
        <is>
          <t>TIPO-P1</t>
        </is>
      </c>
      <c r="J183" s="11" t="n">
        <v>46324</v>
      </c>
      <c r="K183" s="3" t="n">
        <v>6</v>
      </c>
      <c r="L183" s="10" t="n">
        <v>150</v>
      </c>
      <c r="M183" s="3">
        <f>IF($A183="","",IFERROR(INDEX('AJUSTES'!$B$4:$B$303,MATCH($AN183,'AJUSTES'!$A$4:$A$303,0)),IF($K183="","",$K183)))</f>
        <v/>
      </c>
      <c r="N183" s="3">
        <f>IF($A183="","",IFERROR(INDEX('CAT_ESTADOS_ERP'!$B$4:$B$7,MATCH(IFERROR(INDEX('2_IMPORTAR_EJECUCION'!$C$9:$C$1208,MATCH($AN183,'2_IMPORTAR_EJECUCION'!$J$9:$J$1208,0)),""),'CAT_ESTADOS_ERP'!$A$4:$A$7,0)),"Pendiente"))</f>
        <v/>
      </c>
      <c r="O183" s="3">
        <f>IF($J183="","",YEAR($J183+4-WEEKDAY($J183,2))&amp;"-S"&amp;TEXT(_xlfn.ISOWEEKNUM($J183),"00"))</f>
        <v/>
      </c>
      <c r="P183" s="3">
        <f>IF($J183="","",YEAR($J183))</f>
        <v/>
      </c>
      <c r="Q183" s="3">
        <f>IF($J183="","",MONTH($J183))</f>
        <v/>
      </c>
      <c r="R183" s="3">
        <f>IF($J183="","",INDEX(lista_dias,WEEKDAY($J183,2)))</f>
        <v/>
      </c>
      <c r="S183" s="3">
        <f>IF($I183="","",IFERROR(INDEX('CAT_TIPOS_OT'!$C$4:$C$7,MATCH($I183,'CAT_TIPOS_OT'!$A$4:$A$7,0)),"sin_clasificar"))</f>
        <v/>
      </c>
      <c r="T183" s="3">
        <f>IF($F183="","",IFERROR(INDEX('CAT_CENTROS_COSTO'!$E$4:$E$9,MATCH($F183,'CAT_CENTROS_COSTO'!$A$4:$A$9,0)),"(sin catálogo)"))</f>
        <v/>
      </c>
      <c r="U183" s="3">
        <f>IF($F183="","",IFERROR(INDEX('CAT_CENTROS_COSTO'!$D$4:$D$9,MATCH($F183,'CAT_CENTROS_COSTO'!$A$4:$A$9,0)),"(sin catálogo)"))</f>
        <v/>
      </c>
      <c r="V183" s="3">
        <f>IF($F183="","",IFERROR(INDEX('CAT_CENTROS_COSTO'!$F$4:$F$9,MATCH($F183,'CAT_CENTROS_COSTO'!$A$4:$A$9,0)),"(sin catálogo)"))</f>
        <v/>
      </c>
      <c r="W183" s="3">
        <f>IF($G183="","",IFERROR(INDEX('CAT_PUESTOS'!$B$4:$B$8,MATCH($G183,'CAT_PUESTOS'!$A$4:$A$8,0)),"(sin catálogo)"))</f>
        <v/>
      </c>
      <c r="X183" s="3">
        <f>IF($H183="","",IFERROR(INDEX('CAT_ACTIVIDADES'!$B$4:$B$8,MATCH($H183,'CAT_ACTIVIDADES'!$A$4:$A$8,0)),"(sin catálogo)"))</f>
        <v/>
      </c>
      <c r="Y183" s="12">
        <f>IF($J183="","",TODAY()-$J183)</f>
        <v/>
      </c>
      <c r="Z183" s="3">
        <f>IF($Y183="","",IF($Y183&lt;0,"FUTURO",IF($Y183&gt;p_dias_backlog_max,"BACKLOG","MES CORRIENTE")))</f>
        <v/>
      </c>
      <c r="AA183" s="3">
        <f>IF($Y183="",FALSE,AND($Y183&gt;p_dias_backlog_min,$Y183&lt;=p_dias_backlog_max))</f>
        <v/>
      </c>
      <c r="AB183" s="6" t="inlineStr"/>
      <c r="AC183" s="3">
        <f>IF($AB183="","",IFERROR(INDEX('ASIGNACIONES'!$F$4:$F$339,MATCH($O183&amp;"|"&amp;$R183&amp;"|"&amp;$AB183,'ASIGNACIONES'!$I$4:$I$339,0)),""))</f>
        <v/>
      </c>
      <c r="AD183" s="13">
        <f>IF($AB183="","",SUMIFS('ORDENES'!$M$4:$M$1203,'ORDENES'!$AB$4:$AB$1203,$AB183,'ORDENES'!$O$4:$O$1203,$O183,'ORDENES'!$R$4:$R$1203,$R183))</f>
        <v/>
      </c>
      <c r="AE183" s="13">
        <f>IF($AD183="","",p_factor_productividad*IFERROR(INDEX('ASIGNACIONES'!$H$4:$H$339,MATCH($O183&amp;"|"&amp;$R183&amp;"|"&amp;$AB183,'ASIGNACIONES'!$I$4:$I$339,0)),0)-$AD183)</f>
        <v/>
      </c>
      <c r="AF183" s="10">
        <f>IF($A183="","",IFERROR(INDEX('2_IMPORTAR_EJECUCION'!$F$9:$F$1208,MATCH($AN183,'2_IMPORTAR_EJECUCION'!$J$9:$J$1208,0)),0))</f>
        <v/>
      </c>
      <c r="AG183" s="10">
        <f>IF($A183="","",MAX(0,IFERROR(INDEX('2_IMPORTAR_EJECUCION'!$H$9:$H$1208,MATCH($AN183,'2_IMPORTAR_EJECUCION'!$J$9:$J$1208,0)),0)-$AF183))</f>
        <v/>
      </c>
      <c r="AH183" s="10">
        <f>IF($A183="","",$AF183+$AG183)</f>
        <v/>
      </c>
      <c r="AI183" s="6" t="inlineStr"/>
      <c r="AJ183" s="6" t="inlineStr"/>
      <c r="AK183" s="6" t="inlineStr"/>
      <c r="AL183" s="3">
        <f>IF($AK183="","",HYPERLINK(p_ruta_base_checklists&amp;$AK183,"abrir"))</f>
        <v/>
      </c>
      <c r="AM183" s="6" t="inlineStr"/>
      <c r="AN183" s="3">
        <f>IF($A183="","",$A183&amp;IF($B183="","0010",$B183))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Lubricación programada — EQ-102</t>
        </is>
      </c>
      <c r="D184" s="3" t="inlineStr">
        <is>
          <t>Lubricación programada en EQ-102</t>
        </is>
      </c>
      <c r="E184" s="3" t="inlineStr">
        <is>
          <t>EQ-102</t>
        </is>
      </c>
      <c r="F184" s="3" t="inlineStr">
        <is>
          <t>CC-110</t>
        </is>
      </c>
      <c r="G184" s="3" t="inlineStr">
        <is>
          <t>PU-ELE</t>
        </is>
      </c>
      <c r="H184" s="3" t="inlineStr">
        <is>
          <t>ACT-02</t>
        </is>
      </c>
      <c r="I184" s="3" t="inlineStr">
        <is>
          <t>TIPO-P2</t>
        </is>
      </c>
      <c r="J184" s="11" t="n">
        <v>46324</v>
      </c>
      <c r="K184" s="3" t="n">
        <v>6</v>
      </c>
      <c r="L184" s="10" t="n">
        <v>150</v>
      </c>
      <c r="M184" s="3">
        <f>IF($A184="","",IFERROR(INDEX('AJUSTES'!$B$4:$B$303,MATCH($AN184,'AJUSTES'!$A$4:$A$303,0)),IF($K184="","",$K184)))</f>
        <v/>
      </c>
      <c r="N184" s="3">
        <f>IF($A184="","",IFERROR(INDEX('CAT_ESTADOS_ERP'!$B$4:$B$7,MATCH(IFERROR(INDEX('2_IMPORTAR_EJECUCION'!$C$9:$C$1208,MATCH($AN184,'2_IMPORTAR_EJECUCION'!$J$9:$J$1208,0)),""),'CAT_ESTADOS_ERP'!$A$4:$A$7,0)),"Pendiente"))</f>
        <v/>
      </c>
      <c r="O184" s="3">
        <f>IF($J184="","",YEAR($J184+4-WEEKDAY($J184,2))&amp;"-S"&amp;TEXT(_xlfn.ISOWEEKNUM($J184),"00"))</f>
        <v/>
      </c>
      <c r="P184" s="3">
        <f>IF($J184="","",YEAR($J184))</f>
        <v/>
      </c>
      <c r="Q184" s="3">
        <f>IF($J184="","",MONTH($J184))</f>
        <v/>
      </c>
      <c r="R184" s="3">
        <f>IF($J184="","",INDEX(lista_dias,WEEKDAY($J184,2)))</f>
        <v/>
      </c>
      <c r="S184" s="3">
        <f>IF($I184="","",IFERROR(INDEX('CAT_TIPOS_OT'!$C$4:$C$7,MATCH($I184,'CAT_TIPOS_OT'!$A$4:$A$7,0)),"sin_clasificar"))</f>
        <v/>
      </c>
      <c r="T184" s="3">
        <f>IF($F184="","",IFERROR(INDEX('CAT_CENTROS_COSTO'!$E$4:$E$9,MATCH($F184,'CAT_CENTROS_COSTO'!$A$4:$A$9,0)),"(sin catálogo)"))</f>
        <v/>
      </c>
      <c r="U184" s="3">
        <f>IF($F184="","",IFERROR(INDEX('CAT_CENTROS_COSTO'!$D$4:$D$9,MATCH($F184,'CAT_CENTROS_COSTO'!$A$4:$A$9,0)),"(sin catálogo)"))</f>
        <v/>
      </c>
      <c r="V184" s="3">
        <f>IF($F184="","",IFERROR(INDEX('CAT_CENTROS_COSTO'!$F$4:$F$9,MATCH($F184,'CAT_CENTROS_COSTO'!$A$4:$A$9,0)),"(sin catálogo)"))</f>
        <v/>
      </c>
      <c r="W184" s="3">
        <f>IF($G184="","",IFERROR(INDEX('CAT_PUESTOS'!$B$4:$B$8,MATCH($G184,'CAT_PUESTOS'!$A$4:$A$8,0)),"(sin catálogo)"))</f>
        <v/>
      </c>
      <c r="X184" s="3">
        <f>IF($H184="","",IFERROR(INDEX('CAT_ACTIVIDADES'!$B$4:$B$8,MATCH($H184,'CAT_ACTIVIDADES'!$A$4:$A$8,0)),"(sin catálogo)"))</f>
        <v/>
      </c>
      <c r="Y184" s="12">
        <f>IF($J184="","",TODAY()-$J184)</f>
        <v/>
      </c>
      <c r="Z184" s="3">
        <f>IF($Y184="","",IF($Y184&lt;0,"FUTURO",IF($Y184&gt;p_dias_backlog_max,"BACKLOG","MES CORRIENTE")))</f>
        <v/>
      </c>
      <c r="AA184" s="3">
        <f>IF($Y184="",FALSE,AND($Y184&gt;p_dias_backlog_min,$Y184&lt;=p_dias_backlog_max))</f>
        <v/>
      </c>
      <c r="AB184" s="6" t="inlineStr"/>
      <c r="AC184" s="3">
        <f>IF($AB184="","",IFERROR(INDEX('ASIGNACIONES'!$F$4:$F$339,MATCH($O184&amp;"|"&amp;$R184&amp;"|"&amp;$AB184,'ASIGNACIONES'!$I$4:$I$339,0)),""))</f>
        <v/>
      </c>
      <c r="AD184" s="13">
        <f>IF($AB184="","",SUMIFS('ORDENES'!$M$4:$M$1203,'ORDENES'!$AB$4:$AB$1203,$AB184,'ORDENES'!$O$4:$O$1203,$O184,'ORDENES'!$R$4:$R$1203,$R184))</f>
        <v/>
      </c>
      <c r="AE184" s="13">
        <f>IF($AD184="","",p_factor_productividad*IFERROR(INDEX('ASIGNACIONES'!$H$4:$H$339,MATCH($O184&amp;"|"&amp;$R184&amp;"|"&amp;$AB184,'ASIGNACIONES'!$I$4:$I$339,0)),0)-$AD184)</f>
        <v/>
      </c>
      <c r="AF184" s="10">
        <f>IF($A184="","",IFERROR(INDEX('2_IMPORTAR_EJECUCION'!$F$9:$F$1208,MATCH($AN184,'2_IMPORTAR_EJECUCION'!$J$9:$J$1208,0)),0))</f>
        <v/>
      </c>
      <c r="AG184" s="10">
        <f>IF($A184="","",MAX(0,IFERROR(INDEX('2_IMPORTAR_EJECUCION'!$H$9:$H$1208,MATCH($AN184,'2_IMPORTAR_EJECUCION'!$J$9:$J$1208,0)),0)-$AF184))</f>
        <v/>
      </c>
      <c r="AH184" s="10">
        <f>IF($A184="","",$AF184+$AG184)</f>
        <v/>
      </c>
      <c r="AI184" s="6" t="inlineStr"/>
      <c r="AJ184" s="6" t="inlineStr"/>
      <c r="AK184" s="6" t="inlineStr"/>
      <c r="AL184" s="3">
        <f>IF($AK184="","",HYPERLINK(p_ruta_base_checklists&amp;$AK184,"abrir"))</f>
        <v/>
      </c>
      <c r="AM184" s="6" t="inlineStr"/>
      <c r="AN184" s="3">
        <f>IF($A184="","",$A184&amp;IF($B184="","0010",$B184))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Análisis predictivo — EQ-103</t>
        </is>
      </c>
      <c r="D185" s="3" t="inlineStr">
        <is>
          <t>Análisis predictivo en EQ-103</t>
        </is>
      </c>
      <c r="E185" s="3" t="inlineStr">
        <is>
          <t>EQ-103</t>
        </is>
      </c>
      <c r="F185" s="3" t="inlineStr">
        <is>
          <t>CC-110</t>
        </is>
      </c>
      <c r="G185" s="3" t="inlineStr">
        <is>
          <t>PU-AUT</t>
        </is>
      </c>
      <c r="H185" s="3" t="inlineStr">
        <is>
          <t>ACT-04</t>
        </is>
      </c>
      <c r="I185" s="3" t="inlineStr">
        <is>
          <t>TIPO-P1</t>
        </is>
      </c>
      <c r="J185" s="11" t="n">
        <v>46385</v>
      </c>
      <c r="K185" s="3" t="n">
        <v>4</v>
      </c>
      <c r="L185" s="10" t="n">
        <v>100</v>
      </c>
      <c r="M185" s="3">
        <f>IF($A185="","",IFERROR(INDEX('AJUSTES'!$B$4:$B$303,MATCH($AN185,'AJUSTES'!$A$4:$A$303,0)),IF($K185="","",$K185)))</f>
        <v/>
      </c>
      <c r="N185" s="3">
        <f>IF($A185="","",IFERROR(INDEX('CAT_ESTADOS_ERP'!$B$4:$B$7,MATCH(IFERROR(INDEX('2_IMPORTAR_EJECUCION'!$C$9:$C$1208,MATCH($AN185,'2_IMPORTAR_EJECUCION'!$J$9:$J$1208,0)),""),'CAT_ESTADOS_ERP'!$A$4:$A$7,0)),"Pendiente"))</f>
        <v/>
      </c>
      <c r="O185" s="3">
        <f>IF($J185="","",YEAR($J185+4-WEEKDAY($J185,2))&amp;"-S"&amp;TEXT(_xlfn.ISOWEEKNUM($J185),"00"))</f>
        <v/>
      </c>
      <c r="P185" s="3">
        <f>IF($J185="","",YEAR($J185))</f>
        <v/>
      </c>
      <c r="Q185" s="3">
        <f>IF($J185="","",MONTH($J185))</f>
        <v/>
      </c>
      <c r="R185" s="3">
        <f>IF($J185="","",INDEX(lista_dias,WEEKDAY($J185,2)))</f>
        <v/>
      </c>
      <c r="S185" s="3">
        <f>IF($I185="","",IFERROR(INDEX('CAT_TIPOS_OT'!$C$4:$C$7,MATCH($I185,'CAT_TIPOS_OT'!$A$4:$A$7,0)),"sin_clasificar"))</f>
        <v/>
      </c>
      <c r="T185" s="3">
        <f>IF($F185="","",IFERROR(INDEX('CAT_CENTROS_COSTO'!$E$4:$E$9,MATCH($F185,'CAT_CENTROS_COSTO'!$A$4:$A$9,0)),"(sin catálogo)"))</f>
        <v/>
      </c>
      <c r="U185" s="3">
        <f>IF($F185="","",IFERROR(INDEX('CAT_CENTROS_COSTO'!$D$4:$D$9,MATCH($F185,'CAT_CENTROS_COSTO'!$A$4:$A$9,0)),"(sin catálogo)"))</f>
        <v/>
      </c>
      <c r="V185" s="3">
        <f>IF($F185="","",IFERROR(INDEX('CAT_CENTROS_COSTO'!$F$4:$F$9,MATCH($F185,'CAT_CENTROS_COSTO'!$A$4:$A$9,0)),"(sin catálogo)"))</f>
        <v/>
      </c>
      <c r="W185" s="3">
        <f>IF($G185="","",IFERROR(INDEX('CAT_PUESTOS'!$B$4:$B$8,MATCH($G185,'CAT_PUESTOS'!$A$4:$A$8,0)),"(sin catálogo)"))</f>
        <v/>
      </c>
      <c r="X185" s="3">
        <f>IF($H185="","",IFERROR(INDEX('CAT_ACTIVIDADES'!$B$4:$B$8,MATCH($H185,'CAT_ACTIVIDADES'!$A$4:$A$8,0)),"(sin catálogo)"))</f>
        <v/>
      </c>
      <c r="Y185" s="12">
        <f>IF($J185="","",TODAY()-$J185)</f>
        <v/>
      </c>
      <c r="Z185" s="3">
        <f>IF($Y185="","",IF($Y185&lt;0,"FUTURO",IF($Y185&gt;p_dias_backlog_max,"BACKLOG","MES CORRIENTE")))</f>
        <v/>
      </c>
      <c r="AA185" s="3">
        <f>IF($Y185="",FALSE,AND($Y185&gt;p_dias_backlog_min,$Y185&lt;=p_dias_backlog_max))</f>
        <v/>
      </c>
      <c r="AB185" s="6" t="inlineStr"/>
      <c r="AC185" s="3">
        <f>IF($AB185="","",IFERROR(INDEX('ASIGNACIONES'!$F$4:$F$339,MATCH($O185&amp;"|"&amp;$R185&amp;"|"&amp;$AB185,'ASIGNACIONES'!$I$4:$I$339,0)),""))</f>
        <v/>
      </c>
      <c r="AD185" s="13">
        <f>IF($AB185="","",SUMIFS('ORDENES'!$M$4:$M$1203,'ORDENES'!$AB$4:$AB$1203,$AB185,'ORDENES'!$O$4:$O$1203,$O185,'ORDENES'!$R$4:$R$1203,$R185))</f>
        <v/>
      </c>
      <c r="AE185" s="13">
        <f>IF($AD185="","",p_factor_productividad*IFERROR(INDEX('ASIGNACIONES'!$H$4:$H$339,MATCH($O185&amp;"|"&amp;$R185&amp;"|"&amp;$AB185,'ASIGNACIONES'!$I$4:$I$339,0)),0)-$AD185)</f>
        <v/>
      </c>
      <c r="AF185" s="10">
        <f>IF($A185="","",IFERROR(INDEX('2_IMPORTAR_EJECUCION'!$F$9:$F$1208,MATCH($AN185,'2_IMPORTAR_EJECUCION'!$J$9:$J$1208,0)),0))</f>
        <v/>
      </c>
      <c r="AG185" s="10">
        <f>IF($A185="","",MAX(0,IFERROR(INDEX('2_IMPORTAR_EJECUCION'!$H$9:$H$1208,MATCH($AN185,'2_IMPORTAR_EJECUCION'!$J$9:$J$1208,0)),0)-$AF185))</f>
        <v/>
      </c>
      <c r="AH185" s="10">
        <f>IF($A185="","",$AF185+$AG185)</f>
        <v/>
      </c>
      <c r="AI185" s="6" t="inlineStr"/>
      <c r="AJ185" s="6" t="inlineStr"/>
      <c r="AK185" s="6" t="inlineStr"/>
      <c r="AL185" s="3">
        <f>IF($AK185="","",HYPERLINK(p_ruta_base_checklists&amp;$AK185,"abrir"))</f>
        <v/>
      </c>
      <c r="AM185" s="6" t="inlineStr"/>
      <c r="AN185" s="3">
        <f>IF($A185="","",$A185&amp;IF($B185="","0010",$B185))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Inspección de rutina — EQ-104</t>
        </is>
      </c>
      <c r="D186" s="3" t="inlineStr">
        <is>
          <t>Inspección de rutina en EQ-104</t>
        </is>
      </c>
      <c r="E186" s="3" t="inlineStr">
        <is>
          <t>EQ-104</t>
        </is>
      </c>
      <c r="F186" s="3" t="inlineStr">
        <is>
          <t>CC-110</t>
        </is>
      </c>
      <c r="G186" s="3" t="inlineStr">
        <is>
          <t>PU-MEC</t>
        </is>
      </c>
      <c r="H186" s="3" t="inlineStr">
        <is>
          <t>ACT-01</t>
        </is>
      </c>
      <c r="I186" s="3" t="inlineStr">
        <is>
          <t>TIPO-P2</t>
        </is>
      </c>
      <c r="J186" s="11" t="n">
        <v>46388</v>
      </c>
      <c r="K186" s="3" t="n">
        <v>4</v>
      </c>
      <c r="L186" s="10" t="n">
        <v>100</v>
      </c>
      <c r="M186" s="3">
        <f>IF($A186="","",IFERROR(INDEX('AJUSTES'!$B$4:$B$303,MATCH($AN186,'AJUSTES'!$A$4:$A$303,0)),IF($K186="","",$K186)))</f>
        <v/>
      </c>
      <c r="N186" s="3">
        <f>IF($A186="","",IFERROR(INDEX('CAT_ESTADOS_ERP'!$B$4:$B$7,MATCH(IFERROR(INDEX('2_IMPORTAR_EJECUCION'!$C$9:$C$1208,MATCH($AN186,'2_IMPORTAR_EJECUCION'!$J$9:$J$1208,0)),""),'CAT_ESTADOS_ERP'!$A$4:$A$7,0)),"Pendiente"))</f>
        <v/>
      </c>
      <c r="O186" s="3">
        <f>IF($J186="","",YEAR($J186+4-WEEKDAY($J186,2))&amp;"-S"&amp;TEXT(_xlfn.ISOWEEKNUM($J186),"00"))</f>
        <v/>
      </c>
      <c r="P186" s="3">
        <f>IF($J186="","",YEAR($J186))</f>
        <v/>
      </c>
      <c r="Q186" s="3">
        <f>IF($J186="","",MONTH($J186))</f>
        <v/>
      </c>
      <c r="R186" s="3">
        <f>IF($J186="","",INDEX(lista_dias,WEEKDAY($J186,2)))</f>
        <v/>
      </c>
      <c r="S186" s="3">
        <f>IF($I186="","",IFERROR(INDEX('CAT_TIPOS_OT'!$C$4:$C$7,MATCH($I186,'CAT_TIPOS_OT'!$A$4:$A$7,0)),"sin_clasificar"))</f>
        <v/>
      </c>
      <c r="T186" s="3">
        <f>IF($F186="","",IFERROR(INDEX('CAT_CENTROS_COSTO'!$E$4:$E$9,MATCH($F186,'CAT_CENTROS_COSTO'!$A$4:$A$9,0)),"(sin catálogo)"))</f>
        <v/>
      </c>
      <c r="U186" s="3">
        <f>IF($F186="","",IFERROR(INDEX('CAT_CENTROS_COSTO'!$D$4:$D$9,MATCH($F186,'CAT_CENTROS_COSTO'!$A$4:$A$9,0)),"(sin catálogo)"))</f>
        <v/>
      </c>
      <c r="V186" s="3">
        <f>IF($F186="","",IFERROR(INDEX('CAT_CENTROS_COSTO'!$F$4:$F$9,MATCH($F186,'CAT_CENTROS_COSTO'!$A$4:$A$9,0)),"(sin catálogo)"))</f>
        <v/>
      </c>
      <c r="W186" s="3">
        <f>IF($G186="","",IFERROR(INDEX('CAT_PUESTOS'!$B$4:$B$8,MATCH($G186,'CAT_PUESTOS'!$A$4:$A$8,0)),"(sin catálogo)"))</f>
        <v/>
      </c>
      <c r="X186" s="3">
        <f>IF($H186="","",IFERROR(INDEX('CAT_ACTIVIDADES'!$B$4:$B$8,MATCH($H186,'CAT_ACTIVIDADES'!$A$4:$A$8,0)),"(sin catálogo)"))</f>
        <v/>
      </c>
      <c r="Y186" s="12">
        <f>IF($J186="","",TODAY()-$J186)</f>
        <v/>
      </c>
      <c r="Z186" s="3">
        <f>IF($Y186="","",IF($Y186&lt;0,"FUTURO",IF($Y186&gt;p_dias_backlog_max,"BACKLOG","MES CORRIENTE")))</f>
        <v/>
      </c>
      <c r="AA186" s="3">
        <f>IF($Y186="",FALSE,AND($Y186&gt;p_dias_backlog_min,$Y186&lt;=p_dias_backlog_max))</f>
        <v/>
      </c>
      <c r="AB186" s="6" t="inlineStr"/>
      <c r="AC186" s="3">
        <f>IF($AB186="","",IFERROR(INDEX('ASIGNACIONES'!$F$4:$F$339,MATCH($O186&amp;"|"&amp;$R186&amp;"|"&amp;$AB186,'ASIGNACIONES'!$I$4:$I$339,0)),""))</f>
        <v/>
      </c>
      <c r="AD186" s="13">
        <f>IF($AB186="","",SUMIFS('ORDENES'!$M$4:$M$1203,'ORDENES'!$AB$4:$AB$1203,$AB186,'ORDENES'!$O$4:$O$1203,$O186,'ORDENES'!$R$4:$R$1203,$R186))</f>
        <v/>
      </c>
      <c r="AE186" s="13">
        <f>IF($AD186="","",p_factor_productividad*IFERROR(INDEX('ASIGNACIONES'!$H$4:$H$339,MATCH($O186&amp;"|"&amp;$R186&amp;"|"&amp;$AB186,'ASIGNACIONES'!$I$4:$I$339,0)),0)-$AD186)</f>
        <v/>
      </c>
      <c r="AF186" s="10">
        <f>IF($A186="","",IFERROR(INDEX('2_IMPORTAR_EJECUCION'!$F$9:$F$1208,MATCH($AN186,'2_IMPORTAR_EJECUCION'!$J$9:$J$1208,0)),0))</f>
        <v/>
      </c>
      <c r="AG186" s="10">
        <f>IF($A186="","",MAX(0,IFERROR(INDEX('2_IMPORTAR_EJECUCION'!$H$9:$H$1208,MATCH($AN186,'2_IMPORTAR_EJECUCION'!$J$9:$J$1208,0)),0)-$AF186))</f>
        <v/>
      </c>
      <c r="AH186" s="10">
        <f>IF($A186="","",$AF186+$AG186)</f>
        <v/>
      </c>
      <c r="AI186" s="6" t="inlineStr"/>
      <c r="AJ186" s="6" t="inlineStr"/>
      <c r="AK186" s="6" t="inlineStr"/>
      <c r="AL186" s="3">
        <f>IF($AK186="","",HYPERLINK(p_ruta_base_checklists&amp;$AK186,"abrir"))</f>
        <v/>
      </c>
      <c r="AM186" s="6" t="inlineStr"/>
      <c r="AN186" s="3">
        <f>IF($A186="","",$A186&amp;IF($B186="","0010",$B186))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Lubricación programada — EQ-105</t>
        </is>
      </c>
      <c r="D187" s="3" t="inlineStr">
        <is>
          <t>Lubricación programada en EQ-105</t>
        </is>
      </c>
      <c r="E187" s="3" t="inlineStr">
        <is>
          <t>EQ-105</t>
        </is>
      </c>
      <c r="F187" s="3" t="inlineStr">
        <is>
          <t>CC-110</t>
        </is>
      </c>
      <c r="G187" s="3" t="inlineStr">
        <is>
          <t>PU-ELE</t>
        </is>
      </c>
      <c r="H187" s="3" t="inlineStr">
        <is>
          <t>ACT-02</t>
        </is>
      </c>
      <c r="I187" s="3" t="inlineStr">
        <is>
          <t>TIPO-P1</t>
        </is>
      </c>
      <c r="J187" s="11" t="n">
        <v>46392</v>
      </c>
      <c r="K187" s="3" t="n">
        <v>4</v>
      </c>
      <c r="L187" s="10" t="n">
        <v>100</v>
      </c>
      <c r="M187" s="3">
        <f>IF($A187="","",IFERROR(INDEX('AJUSTES'!$B$4:$B$303,MATCH($AN187,'AJUSTES'!$A$4:$A$303,0)),IF($K187="","",$K187)))</f>
        <v/>
      </c>
      <c r="N187" s="3">
        <f>IF($A187="","",IFERROR(INDEX('CAT_ESTADOS_ERP'!$B$4:$B$7,MATCH(IFERROR(INDEX('2_IMPORTAR_EJECUCION'!$C$9:$C$1208,MATCH($AN187,'2_IMPORTAR_EJECUCION'!$J$9:$J$1208,0)),""),'CAT_ESTADOS_ERP'!$A$4:$A$7,0)),"Pendiente"))</f>
        <v/>
      </c>
      <c r="O187" s="3">
        <f>IF($J187="","",YEAR($J187+4-WEEKDAY($J187,2))&amp;"-S"&amp;TEXT(_xlfn.ISOWEEKNUM($J187),"00"))</f>
        <v/>
      </c>
      <c r="P187" s="3">
        <f>IF($J187="","",YEAR($J187))</f>
        <v/>
      </c>
      <c r="Q187" s="3">
        <f>IF($J187="","",MONTH($J187))</f>
        <v/>
      </c>
      <c r="R187" s="3">
        <f>IF($J187="","",INDEX(lista_dias,WEEKDAY($J187,2)))</f>
        <v/>
      </c>
      <c r="S187" s="3">
        <f>IF($I187="","",IFERROR(INDEX('CAT_TIPOS_OT'!$C$4:$C$7,MATCH($I187,'CAT_TIPOS_OT'!$A$4:$A$7,0)),"sin_clasificar"))</f>
        <v/>
      </c>
      <c r="T187" s="3">
        <f>IF($F187="","",IFERROR(INDEX('CAT_CENTROS_COSTO'!$E$4:$E$9,MATCH($F187,'CAT_CENTROS_COSTO'!$A$4:$A$9,0)),"(sin catálogo)"))</f>
        <v/>
      </c>
      <c r="U187" s="3">
        <f>IF($F187="","",IFERROR(INDEX('CAT_CENTROS_COSTO'!$D$4:$D$9,MATCH($F187,'CAT_CENTROS_COSTO'!$A$4:$A$9,0)),"(sin catálogo)"))</f>
        <v/>
      </c>
      <c r="V187" s="3">
        <f>IF($F187="","",IFERROR(INDEX('CAT_CENTROS_COSTO'!$F$4:$F$9,MATCH($F187,'CAT_CENTROS_COSTO'!$A$4:$A$9,0)),"(sin catálogo)"))</f>
        <v/>
      </c>
      <c r="W187" s="3">
        <f>IF($G187="","",IFERROR(INDEX('CAT_PUESTOS'!$B$4:$B$8,MATCH($G187,'CAT_PUESTOS'!$A$4:$A$8,0)),"(sin catálogo)"))</f>
        <v/>
      </c>
      <c r="X187" s="3">
        <f>IF($H187="","",IFERROR(INDEX('CAT_ACTIVIDADES'!$B$4:$B$8,MATCH($H187,'CAT_ACTIVIDADES'!$A$4:$A$8,0)),"(sin catálogo)"))</f>
        <v/>
      </c>
      <c r="Y187" s="12">
        <f>IF($J187="","",TODAY()-$J187)</f>
        <v/>
      </c>
      <c r="Z187" s="3">
        <f>IF($Y187="","",IF($Y187&lt;0,"FUTURO",IF($Y187&gt;p_dias_backlog_max,"BACKLOG","MES CORRIENTE")))</f>
        <v/>
      </c>
      <c r="AA187" s="3">
        <f>IF($Y187="",FALSE,AND($Y187&gt;p_dias_backlog_min,$Y187&lt;=p_dias_backlog_max))</f>
        <v/>
      </c>
      <c r="AB187" s="6" t="inlineStr"/>
      <c r="AC187" s="3">
        <f>IF($AB187="","",IFERROR(INDEX('ASIGNACIONES'!$F$4:$F$339,MATCH($O187&amp;"|"&amp;$R187&amp;"|"&amp;$AB187,'ASIGNACIONES'!$I$4:$I$339,0)),""))</f>
        <v/>
      </c>
      <c r="AD187" s="13">
        <f>IF($AB187="","",SUMIFS('ORDENES'!$M$4:$M$1203,'ORDENES'!$AB$4:$AB$1203,$AB187,'ORDENES'!$O$4:$O$1203,$O187,'ORDENES'!$R$4:$R$1203,$R187))</f>
        <v/>
      </c>
      <c r="AE187" s="13">
        <f>IF($AD187="","",p_factor_productividad*IFERROR(INDEX('ASIGNACIONES'!$H$4:$H$339,MATCH($O187&amp;"|"&amp;$R187&amp;"|"&amp;$AB187,'ASIGNACIONES'!$I$4:$I$339,0)),0)-$AD187)</f>
        <v/>
      </c>
      <c r="AF187" s="10">
        <f>IF($A187="","",IFERROR(INDEX('2_IMPORTAR_EJECUCION'!$F$9:$F$1208,MATCH($AN187,'2_IMPORTAR_EJECUCION'!$J$9:$J$1208,0)),0))</f>
        <v/>
      </c>
      <c r="AG187" s="10">
        <f>IF($A187="","",MAX(0,IFERROR(INDEX('2_IMPORTAR_EJECUCION'!$H$9:$H$1208,MATCH($AN187,'2_IMPORTAR_EJECUCION'!$J$9:$J$1208,0)),0)-$AF187))</f>
        <v/>
      </c>
      <c r="AH187" s="10">
        <f>IF($A187="","",$AF187+$AG187)</f>
        <v/>
      </c>
      <c r="AI187" s="6" t="inlineStr"/>
      <c r="AJ187" s="6" t="inlineStr"/>
      <c r="AK187" s="6" t="inlineStr"/>
      <c r="AL187" s="3">
        <f>IF($AK187="","",HYPERLINK(p_ruta_base_checklists&amp;$AK187,"abrir"))</f>
        <v/>
      </c>
      <c r="AM187" s="6" t="inlineStr"/>
      <c r="AN187" s="3">
        <f>IF($A187="","",$A187&amp;IF($B187="","0010",$B187))</f>
        <v/>
      </c>
    </row>
    <row r="188">
      <c r="A188" s="3" t="inlineStr">
        <is>
          <t>OT-000900</t>
        </is>
      </c>
      <c r="B188" s="3" t="inlineStr">
        <is>
          <t>0010</t>
        </is>
      </c>
      <c r="C188" s="3" t="inlineStr">
        <is>
          <t>Reparación de falla — EQ-101</t>
        </is>
      </c>
      <c r="D188" s="3" t="inlineStr">
        <is>
          <t>Reparación de falla en EQ-101</t>
        </is>
      </c>
      <c r="E188" s="3" t="inlineStr">
        <is>
          <t>EQ-101</t>
        </is>
      </c>
      <c r="F188" s="3" t="inlineStr">
        <is>
          <t>CC-110</t>
        </is>
      </c>
      <c r="G188" s="3" t="inlineStr">
        <is>
          <t>PU-MEC</t>
        </is>
      </c>
      <c r="H188" s="3" t="inlineStr">
        <is>
          <t>ACT-03</t>
        </is>
      </c>
      <c r="I188" s="3" t="inlineStr">
        <is>
          <t>TIPO-C2</t>
        </is>
      </c>
      <c r="J188" s="11" t="n">
        <v>46174</v>
      </c>
      <c r="K188" s="3" t="n">
        <v>6</v>
      </c>
      <c r="L188" s="10" t="n">
        <v>240</v>
      </c>
      <c r="M188" s="3">
        <f>IF($A188="","",IFERROR(INDEX('AJUSTES'!$B$4:$B$303,MATCH($AN188,'AJUSTES'!$A$4:$A$303,0)),IF($K188="","",$K188)))</f>
        <v/>
      </c>
      <c r="N188" s="3">
        <f>IF($A188="","",IFERROR(INDEX('CAT_ESTADOS_ERP'!$B$4:$B$7,MATCH(IFERROR(INDEX('2_IMPORTAR_EJECUCION'!$C$9:$C$1208,MATCH($AN188,'2_IMPORTAR_EJECUCION'!$J$9:$J$1208,0)),""),'CAT_ESTADOS_ERP'!$A$4:$A$7,0)),"Pendiente"))</f>
        <v/>
      </c>
      <c r="O188" s="3">
        <f>IF($J188="","",YEAR($J188+4-WEEKDAY($J188,2))&amp;"-S"&amp;TEXT(_xlfn.ISOWEEKNUM($J188),"00"))</f>
        <v/>
      </c>
      <c r="P188" s="3">
        <f>IF($J188="","",YEAR($J188))</f>
        <v/>
      </c>
      <c r="Q188" s="3">
        <f>IF($J188="","",MONTH($J188))</f>
        <v/>
      </c>
      <c r="R188" s="3">
        <f>IF($J188="","",INDEX(lista_dias,WEEKDAY($J188,2)))</f>
        <v/>
      </c>
      <c r="S188" s="3">
        <f>IF($I188="","",IFERROR(INDEX('CAT_TIPOS_OT'!$C$4:$C$7,MATCH($I188,'CAT_TIPOS_OT'!$A$4:$A$7,0)),"sin_clasificar"))</f>
        <v/>
      </c>
      <c r="T188" s="3">
        <f>IF($F188="","",IFERROR(INDEX('CAT_CENTROS_COSTO'!$E$4:$E$9,MATCH($F188,'CAT_CENTROS_COSTO'!$A$4:$A$9,0)),"(sin catálogo)"))</f>
        <v/>
      </c>
      <c r="U188" s="3">
        <f>IF($F188="","",IFERROR(INDEX('CAT_CENTROS_COSTO'!$D$4:$D$9,MATCH($F188,'CAT_CENTROS_COSTO'!$A$4:$A$9,0)),"(sin catálogo)"))</f>
        <v/>
      </c>
      <c r="V188" s="3">
        <f>IF($F188="","",IFERROR(INDEX('CAT_CENTROS_COSTO'!$F$4:$F$9,MATCH($F188,'CAT_CENTROS_COSTO'!$A$4:$A$9,0)),"(sin catálogo)"))</f>
        <v/>
      </c>
      <c r="W188" s="3">
        <f>IF($G188="","",IFERROR(INDEX('CAT_PUESTOS'!$B$4:$B$8,MATCH($G188,'CAT_PUESTOS'!$A$4:$A$8,0)),"(sin catálogo)"))</f>
        <v/>
      </c>
      <c r="X188" s="3">
        <f>IF($H188="","",IFERROR(INDEX('CAT_ACTIVIDADES'!$B$4:$B$8,MATCH($H188,'CAT_ACTIVIDADES'!$A$4:$A$8,0)),"(sin catálogo)"))</f>
        <v/>
      </c>
      <c r="Y188" s="12">
        <f>IF($J188="","",TODAY()-$J188)</f>
        <v/>
      </c>
      <c r="Z188" s="3">
        <f>IF($Y188="","",IF($Y188&lt;0,"FUTURO",IF($Y188&gt;p_dias_backlog_max,"BACKLOG","MES CORRIENTE")))</f>
        <v/>
      </c>
      <c r="AA188" s="3">
        <f>IF($Y188="",FALSE,AND($Y188&gt;p_dias_backlog_min,$Y188&lt;=p_dias_backlog_max))</f>
        <v/>
      </c>
      <c r="AB188" s="6" t="inlineStr"/>
      <c r="AC188" s="3">
        <f>IF($AB188="","",IFERROR(INDEX('ASIGNACIONES'!$F$4:$F$339,MATCH($O188&amp;"|"&amp;$R188&amp;"|"&amp;$AB188,'ASIGNACIONES'!$I$4:$I$339,0)),""))</f>
        <v/>
      </c>
      <c r="AD188" s="13">
        <f>IF($AB188="","",SUMIFS('ORDENES'!$M$4:$M$1203,'ORDENES'!$AB$4:$AB$1203,$AB188,'ORDENES'!$O$4:$O$1203,$O188,'ORDENES'!$R$4:$R$1203,$R188))</f>
        <v/>
      </c>
      <c r="AE188" s="13">
        <f>IF($AD188="","",p_factor_productividad*IFERROR(INDEX('ASIGNACIONES'!$H$4:$H$339,MATCH($O188&amp;"|"&amp;$R188&amp;"|"&amp;$AB188,'ASIGNACIONES'!$I$4:$I$339,0)),0)-$AD188)</f>
        <v/>
      </c>
      <c r="AF188" s="10">
        <f>IF($A188="","",IFERROR(INDEX('2_IMPORTAR_EJECUCION'!$F$9:$F$1208,MATCH($AN188,'2_IMPORTAR_EJECUCION'!$J$9:$J$1208,0)),0))</f>
        <v/>
      </c>
      <c r="AG188" s="10">
        <f>IF($A188="","",MAX(0,IFERROR(INDEX('2_IMPORTAR_EJECUCION'!$H$9:$H$1208,MATCH($AN188,'2_IMPORTAR_EJECUCION'!$J$9:$J$1208,0)),0)-$AF188))</f>
        <v/>
      </c>
      <c r="AH188" s="10">
        <f>IF($A188="","",$AF188+$AG188)</f>
        <v/>
      </c>
      <c r="AI188" s="6" t="inlineStr"/>
      <c r="AJ188" s="6" t="inlineStr"/>
      <c r="AK188" s="6" t="inlineStr"/>
      <c r="AL188" s="3">
        <f>IF($AK188="","",HYPERLINK(p_ruta_base_checklists&amp;$AK188,"abrir"))</f>
        <v/>
      </c>
      <c r="AM188" s="6" t="inlineStr"/>
      <c r="AN188" s="3">
        <f>IF($A188="","",$A188&amp;IF($B188="","0010",$B188))</f>
        <v/>
      </c>
    </row>
    <row r="189">
      <c r="A189" s="3" t="inlineStr">
        <is>
          <t>OT-000900</t>
        </is>
      </c>
      <c r="B189" s="3" t="inlineStr">
        <is>
          <t>0010</t>
        </is>
      </c>
      <c r="C189" s="3" t="inlineStr">
        <is>
          <t>Reparación de falla — EQ-101</t>
        </is>
      </c>
      <c r="D189" s="3" t="inlineStr">
        <is>
          <t>Reparación de falla en EQ-101</t>
        </is>
      </c>
      <c r="E189" s="3" t="inlineStr">
        <is>
          <t>EQ-101</t>
        </is>
      </c>
      <c r="F189" s="3" t="inlineStr">
        <is>
          <t>CC-110</t>
        </is>
      </c>
      <c r="G189" s="3" t="inlineStr">
        <is>
          <t>PU-MEC</t>
        </is>
      </c>
      <c r="H189" s="3" t="inlineStr">
        <is>
          <t>ACT-03</t>
        </is>
      </c>
      <c r="I189" s="3" t="inlineStr">
        <is>
          <t>TIPO-C2</t>
        </is>
      </c>
      <c r="J189" s="11" t="n">
        <v>46174</v>
      </c>
      <c r="K189" s="3" t="n">
        <v>6</v>
      </c>
      <c r="L189" s="10" t="n">
        <v>240</v>
      </c>
      <c r="M189" s="3">
        <f>IF($A189="","",IFERROR(INDEX('AJUSTES'!$B$4:$B$303,MATCH($AN189,'AJUSTES'!$A$4:$A$303,0)),IF($K189="","",$K189)))</f>
        <v/>
      </c>
      <c r="N189" s="3">
        <f>IF($A189="","",IFERROR(INDEX('CAT_ESTADOS_ERP'!$B$4:$B$7,MATCH(IFERROR(INDEX('2_IMPORTAR_EJECUCION'!$C$9:$C$1208,MATCH($AN189,'2_IMPORTAR_EJECUCION'!$J$9:$J$1208,0)),""),'CAT_ESTADOS_ERP'!$A$4:$A$7,0)),"Pendiente"))</f>
        <v/>
      </c>
      <c r="O189" s="3">
        <f>IF($J189="","",YEAR($J189+4-WEEKDAY($J189,2))&amp;"-S"&amp;TEXT(_xlfn.ISOWEEKNUM($J189),"00"))</f>
        <v/>
      </c>
      <c r="P189" s="3">
        <f>IF($J189="","",YEAR($J189))</f>
        <v/>
      </c>
      <c r="Q189" s="3">
        <f>IF($J189="","",MONTH($J189))</f>
        <v/>
      </c>
      <c r="R189" s="3">
        <f>IF($J189="","",INDEX(lista_dias,WEEKDAY($J189,2)))</f>
        <v/>
      </c>
      <c r="S189" s="3">
        <f>IF($I189="","",IFERROR(INDEX('CAT_TIPOS_OT'!$C$4:$C$7,MATCH($I189,'CAT_TIPOS_OT'!$A$4:$A$7,0)),"sin_clasificar"))</f>
        <v/>
      </c>
      <c r="T189" s="3">
        <f>IF($F189="","",IFERROR(INDEX('CAT_CENTROS_COSTO'!$E$4:$E$9,MATCH($F189,'CAT_CENTROS_COSTO'!$A$4:$A$9,0)),"(sin catálogo)"))</f>
        <v/>
      </c>
      <c r="U189" s="3">
        <f>IF($F189="","",IFERROR(INDEX('CAT_CENTROS_COSTO'!$D$4:$D$9,MATCH($F189,'CAT_CENTROS_COSTO'!$A$4:$A$9,0)),"(sin catálogo)"))</f>
        <v/>
      </c>
      <c r="V189" s="3">
        <f>IF($F189="","",IFERROR(INDEX('CAT_CENTROS_COSTO'!$F$4:$F$9,MATCH($F189,'CAT_CENTROS_COSTO'!$A$4:$A$9,0)),"(sin catálogo)"))</f>
        <v/>
      </c>
      <c r="W189" s="3">
        <f>IF($G189="","",IFERROR(INDEX('CAT_PUESTOS'!$B$4:$B$8,MATCH($G189,'CAT_PUESTOS'!$A$4:$A$8,0)),"(sin catálogo)"))</f>
        <v/>
      </c>
      <c r="X189" s="3">
        <f>IF($H189="","",IFERROR(INDEX('CAT_ACTIVIDADES'!$B$4:$B$8,MATCH($H189,'CAT_ACTIVIDADES'!$A$4:$A$8,0)),"(sin catálogo)"))</f>
        <v/>
      </c>
      <c r="Y189" s="12">
        <f>IF($J189="","",TODAY()-$J189)</f>
        <v/>
      </c>
      <c r="Z189" s="3">
        <f>IF($Y189="","",IF($Y189&lt;0,"FUTURO",IF($Y189&gt;p_dias_backlog_max,"BACKLOG","MES CORRIENTE")))</f>
        <v/>
      </c>
      <c r="AA189" s="3">
        <f>IF($Y189="",FALSE,AND($Y189&gt;p_dias_backlog_min,$Y189&lt;=p_dias_backlog_max))</f>
        <v/>
      </c>
      <c r="AB189" s="6" t="inlineStr"/>
      <c r="AC189" s="3">
        <f>IF($AB189="","",IFERROR(INDEX('ASIGNACIONES'!$F$4:$F$339,MATCH($O189&amp;"|"&amp;$R189&amp;"|"&amp;$AB189,'ASIGNACIONES'!$I$4:$I$339,0)),""))</f>
        <v/>
      </c>
      <c r="AD189" s="13">
        <f>IF($AB189="","",SUMIFS('ORDENES'!$M$4:$M$1203,'ORDENES'!$AB$4:$AB$1203,$AB189,'ORDENES'!$O$4:$O$1203,$O189,'ORDENES'!$R$4:$R$1203,$R189))</f>
        <v/>
      </c>
      <c r="AE189" s="13">
        <f>IF($AD189="","",p_factor_productividad*IFERROR(INDEX('ASIGNACIONES'!$H$4:$H$339,MATCH($O189&amp;"|"&amp;$R189&amp;"|"&amp;$AB189,'ASIGNACIONES'!$I$4:$I$339,0)),0)-$AD189)</f>
        <v/>
      </c>
      <c r="AF189" s="10">
        <f>IF($A189="","",IFERROR(INDEX('2_IMPORTAR_EJECUCION'!$F$9:$F$1208,MATCH($AN189,'2_IMPORTAR_EJECUCION'!$J$9:$J$1208,0)),0))</f>
        <v/>
      </c>
      <c r="AG189" s="10">
        <f>IF($A189="","",MAX(0,IFERROR(INDEX('2_IMPORTAR_EJECUCION'!$H$9:$H$1208,MATCH($AN189,'2_IMPORTAR_EJECUCION'!$J$9:$J$1208,0)),0)-$AF189))</f>
        <v/>
      </c>
      <c r="AH189" s="10">
        <f>IF($A189="","",$AF189+$AG189)</f>
        <v/>
      </c>
      <c r="AI189" s="6" t="inlineStr"/>
      <c r="AJ189" s="6" t="inlineStr"/>
      <c r="AK189" s="6" t="inlineStr"/>
      <c r="AL189" s="3">
        <f>IF($AK189="","",HYPERLINK(p_ruta_base_checklists&amp;$AK189,"abrir"))</f>
        <v/>
      </c>
      <c r="AM189" s="6" t="inlineStr"/>
      <c r="AN189" s="3">
        <f>IF($A189="","",$A189&amp;IF($B189="","0010",$B189))</f>
        <v/>
      </c>
    </row>
    <row r="190">
      <c r="A190" s="3" t="inlineStr">
        <is>
          <t>OT-000901</t>
        </is>
      </c>
      <c r="B190" s="3" t="inlineStr">
        <is>
          <t>0010</t>
        </is>
      </c>
      <c r="C190" s="3" t="inlineStr">
        <is>
          <t>Reparación de falla — EQ-103</t>
        </is>
      </c>
      <c r="D190" s="3" t="inlineStr">
        <is>
          <t>Reparación de falla en EQ-103</t>
        </is>
      </c>
      <c r="E190" s="3" t="inlineStr">
        <is>
          <t>EQ-103</t>
        </is>
      </c>
      <c r="F190" s="3" t="inlineStr">
        <is>
          <t>CC-110</t>
        </is>
      </c>
      <c r="G190" s="3" t="inlineStr">
        <is>
          <t>PU-ELE</t>
        </is>
      </c>
      <c r="H190" s="3" t="inlineStr">
        <is>
          <t>ACT-03</t>
        </is>
      </c>
      <c r="I190" s="3" t="inlineStr">
        <is>
          <t>TIPO-C2</t>
        </is>
      </c>
      <c r="J190" s="11" t="n"/>
      <c r="K190" s="3" t="n">
        <v>4</v>
      </c>
      <c r="L190" s="10" t="n">
        <v>160</v>
      </c>
      <c r="M190" s="3">
        <f>IF($A190="","",IFERROR(INDEX('AJUSTES'!$B$4:$B$303,MATCH($AN190,'AJUSTES'!$A$4:$A$303,0)),IF($K190="","",$K190)))</f>
        <v/>
      </c>
      <c r="N190" s="3">
        <f>IF($A190="","",IFERROR(INDEX('CAT_ESTADOS_ERP'!$B$4:$B$7,MATCH(IFERROR(INDEX('2_IMPORTAR_EJECUCION'!$C$9:$C$1208,MATCH($AN190,'2_IMPORTAR_EJECUCION'!$J$9:$J$1208,0)),""),'CAT_ESTADOS_ERP'!$A$4:$A$7,0)),"Pendiente"))</f>
        <v/>
      </c>
      <c r="O190" s="3">
        <f>IF($J190="","",YEAR($J190+4-WEEKDAY($J190,2))&amp;"-S"&amp;TEXT(_xlfn.ISOWEEKNUM($J190),"00"))</f>
        <v/>
      </c>
      <c r="P190" s="3">
        <f>IF($J190="","",YEAR($J190))</f>
        <v/>
      </c>
      <c r="Q190" s="3">
        <f>IF($J190="","",MONTH($J190))</f>
        <v/>
      </c>
      <c r="R190" s="3">
        <f>IF($J190="","",INDEX(lista_dias,WEEKDAY($J190,2)))</f>
        <v/>
      </c>
      <c r="S190" s="3">
        <f>IF($I190="","",IFERROR(INDEX('CAT_TIPOS_OT'!$C$4:$C$7,MATCH($I190,'CAT_TIPOS_OT'!$A$4:$A$7,0)),"sin_clasificar"))</f>
        <v/>
      </c>
      <c r="T190" s="3">
        <f>IF($F190="","",IFERROR(INDEX('CAT_CENTROS_COSTO'!$E$4:$E$9,MATCH($F190,'CAT_CENTROS_COSTO'!$A$4:$A$9,0)),"(sin catálogo)"))</f>
        <v/>
      </c>
      <c r="U190" s="3">
        <f>IF($F190="","",IFERROR(INDEX('CAT_CENTROS_COSTO'!$D$4:$D$9,MATCH($F190,'CAT_CENTROS_COSTO'!$A$4:$A$9,0)),"(sin catálogo)"))</f>
        <v/>
      </c>
      <c r="V190" s="3">
        <f>IF($F190="","",IFERROR(INDEX('CAT_CENTROS_COSTO'!$F$4:$F$9,MATCH($F190,'CAT_CENTROS_COSTO'!$A$4:$A$9,0)),"(sin catálogo)"))</f>
        <v/>
      </c>
      <c r="W190" s="3">
        <f>IF($G190="","",IFERROR(INDEX('CAT_PUESTOS'!$B$4:$B$8,MATCH($G190,'CAT_PUESTOS'!$A$4:$A$8,0)),"(sin catálogo)"))</f>
        <v/>
      </c>
      <c r="X190" s="3">
        <f>IF($H190="","",IFERROR(INDEX('CAT_ACTIVIDADES'!$B$4:$B$8,MATCH($H190,'CAT_ACTIVIDADES'!$A$4:$A$8,0)),"(sin catálogo)"))</f>
        <v/>
      </c>
      <c r="Y190" s="12">
        <f>IF($J190="","",TODAY()-$J190)</f>
        <v/>
      </c>
      <c r="Z190" s="3">
        <f>IF($Y190="","",IF($Y190&lt;0,"FUTURO",IF($Y190&gt;p_dias_backlog_max,"BACKLOG","MES CORRIENTE")))</f>
        <v/>
      </c>
      <c r="AA190" s="3">
        <f>IF($Y190="",FALSE,AND($Y190&gt;p_dias_backlog_min,$Y190&lt;=p_dias_backlog_max))</f>
        <v/>
      </c>
      <c r="AB190" s="6" t="inlineStr"/>
      <c r="AC190" s="3">
        <f>IF($AB190="","",IFERROR(INDEX('ASIGNACIONES'!$F$4:$F$339,MATCH($O190&amp;"|"&amp;$R190&amp;"|"&amp;$AB190,'ASIGNACIONES'!$I$4:$I$339,0)),""))</f>
        <v/>
      </c>
      <c r="AD190" s="13">
        <f>IF($AB190="","",SUMIFS('ORDENES'!$M$4:$M$1203,'ORDENES'!$AB$4:$AB$1203,$AB190,'ORDENES'!$O$4:$O$1203,$O190,'ORDENES'!$R$4:$R$1203,$R190))</f>
        <v/>
      </c>
      <c r="AE190" s="13">
        <f>IF($AD190="","",p_factor_productividad*IFERROR(INDEX('ASIGNACIONES'!$H$4:$H$339,MATCH($O190&amp;"|"&amp;$R190&amp;"|"&amp;$AB190,'ASIGNACIONES'!$I$4:$I$339,0)),0)-$AD190)</f>
        <v/>
      </c>
      <c r="AF190" s="10">
        <f>IF($A190="","",IFERROR(INDEX('2_IMPORTAR_EJECUCION'!$F$9:$F$1208,MATCH($AN190,'2_IMPORTAR_EJECUCION'!$J$9:$J$1208,0)),0))</f>
        <v/>
      </c>
      <c r="AG190" s="10">
        <f>IF($A190="","",MAX(0,IFERROR(INDEX('2_IMPORTAR_EJECUCION'!$H$9:$H$1208,MATCH($AN190,'2_IMPORTAR_EJECUCION'!$J$9:$J$1208,0)),0)-$AF190))</f>
        <v/>
      </c>
      <c r="AH190" s="10">
        <f>IF($A190="","",$AF190+$AG190)</f>
        <v/>
      </c>
      <c r="AI190" s="6" t="inlineStr"/>
      <c r="AJ190" s="6" t="inlineStr"/>
      <c r="AK190" s="6" t="inlineStr"/>
      <c r="AL190" s="3">
        <f>IF($AK190="","",HYPERLINK(p_ruta_base_checklists&amp;$AK190,"abrir"))</f>
        <v/>
      </c>
      <c r="AM190" s="6" t="inlineStr"/>
      <c r="AN190" s="3">
        <f>IF($A190="","",$A190&amp;IF($B190="","0010",$B190))</f>
        <v/>
      </c>
    </row>
    <row r="191">
      <c r="A191" s="3" t="inlineStr">
        <is>
          <t>OT-000902</t>
        </is>
      </c>
      <c r="B191" s="3" t="inlineStr">
        <is>
          <t>0010</t>
        </is>
      </c>
      <c r="C191" s="3" t="inlineStr">
        <is>
          <t>Análisis predictivo — EQ-104</t>
        </is>
      </c>
      <c r="D191" s="3" t="inlineStr">
        <is>
          <t>Análisis predictivo en EQ-104</t>
        </is>
      </c>
      <c r="E191" s="3" t="inlineStr">
        <is>
          <t>EQ-104</t>
        </is>
      </c>
      <c r="F191" s="3" t="inlineStr">
        <is>
          <t>CC-110</t>
        </is>
      </c>
      <c r="G191" s="3" t="inlineStr">
        <is>
          <t>PU-MEC</t>
        </is>
      </c>
      <c r="H191" s="3" t="inlineStr">
        <is>
          <t>ACT-04</t>
        </is>
      </c>
      <c r="I191" s="3" t="inlineStr">
        <is>
          <t>TIPO-P1</t>
        </is>
      </c>
      <c r="J191" s="11" t="n"/>
      <c r="K191" s="3" t="n">
        <v>6</v>
      </c>
      <c r="L191" s="10" t="n">
        <v>150</v>
      </c>
      <c r="M191" s="3">
        <f>IF($A191="","",IFERROR(INDEX('AJUSTES'!$B$4:$B$303,MATCH($AN191,'AJUSTES'!$A$4:$A$303,0)),IF($K191="","",$K191)))</f>
        <v/>
      </c>
      <c r="N191" s="3">
        <f>IF($A191="","",IFERROR(INDEX('CAT_ESTADOS_ERP'!$B$4:$B$7,MATCH(IFERROR(INDEX('2_IMPORTAR_EJECUCION'!$C$9:$C$1208,MATCH($AN191,'2_IMPORTAR_EJECUCION'!$J$9:$J$1208,0)),""),'CAT_ESTADOS_ERP'!$A$4:$A$7,0)),"Pendiente"))</f>
        <v/>
      </c>
      <c r="O191" s="3">
        <f>IF($J191="","",YEAR($J191+4-WEEKDAY($J191,2))&amp;"-S"&amp;TEXT(_xlfn.ISOWEEKNUM($J191),"00"))</f>
        <v/>
      </c>
      <c r="P191" s="3">
        <f>IF($J191="","",YEAR($J191))</f>
        <v/>
      </c>
      <c r="Q191" s="3">
        <f>IF($J191="","",MONTH($J191))</f>
        <v/>
      </c>
      <c r="R191" s="3">
        <f>IF($J191="","",INDEX(lista_dias,WEEKDAY($J191,2)))</f>
        <v/>
      </c>
      <c r="S191" s="3">
        <f>IF($I191="","",IFERROR(INDEX('CAT_TIPOS_OT'!$C$4:$C$7,MATCH($I191,'CAT_TIPOS_OT'!$A$4:$A$7,0)),"sin_clasificar"))</f>
        <v/>
      </c>
      <c r="T191" s="3">
        <f>IF($F191="","",IFERROR(INDEX('CAT_CENTROS_COSTO'!$E$4:$E$9,MATCH($F191,'CAT_CENTROS_COSTO'!$A$4:$A$9,0)),"(sin catálogo)"))</f>
        <v/>
      </c>
      <c r="U191" s="3">
        <f>IF($F191="","",IFERROR(INDEX('CAT_CENTROS_COSTO'!$D$4:$D$9,MATCH($F191,'CAT_CENTROS_COSTO'!$A$4:$A$9,0)),"(sin catálogo)"))</f>
        <v/>
      </c>
      <c r="V191" s="3">
        <f>IF($F191="","",IFERROR(INDEX('CAT_CENTROS_COSTO'!$F$4:$F$9,MATCH($F191,'CAT_CENTROS_COSTO'!$A$4:$A$9,0)),"(sin catálogo)"))</f>
        <v/>
      </c>
      <c r="W191" s="3">
        <f>IF($G191="","",IFERROR(INDEX('CAT_PUESTOS'!$B$4:$B$8,MATCH($G191,'CAT_PUESTOS'!$A$4:$A$8,0)),"(sin catálogo)"))</f>
        <v/>
      </c>
      <c r="X191" s="3">
        <f>IF($H191="","",IFERROR(INDEX('CAT_ACTIVIDADES'!$B$4:$B$8,MATCH($H191,'CAT_ACTIVIDADES'!$A$4:$A$8,0)),"(sin catálogo)"))</f>
        <v/>
      </c>
      <c r="Y191" s="12">
        <f>IF($J191="","",TODAY()-$J191)</f>
        <v/>
      </c>
      <c r="Z191" s="3">
        <f>IF($Y191="","",IF($Y191&lt;0,"FUTURO",IF($Y191&gt;p_dias_backlog_max,"BACKLOG","MES CORRIENTE")))</f>
        <v/>
      </c>
      <c r="AA191" s="3">
        <f>IF($Y191="",FALSE,AND($Y191&gt;p_dias_backlog_min,$Y191&lt;=p_dias_backlog_max))</f>
        <v/>
      </c>
      <c r="AB191" s="6" t="inlineStr"/>
      <c r="AC191" s="3">
        <f>IF($AB191="","",IFERROR(INDEX('ASIGNACIONES'!$F$4:$F$339,MATCH($O191&amp;"|"&amp;$R191&amp;"|"&amp;$AB191,'ASIGNACIONES'!$I$4:$I$339,0)),""))</f>
        <v/>
      </c>
      <c r="AD191" s="13">
        <f>IF($AB191="","",SUMIFS('ORDENES'!$M$4:$M$1203,'ORDENES'!$AB$4:$AB$1203,$AB191,'ORDENES'!$O$4:$O$1203,$O191,'ORDENES'!$R$4:$R$1203,$R191))</f>
        <v/>
      </c>
      <c r="AE191" s="13">
        <f>IF($AD191="","",p_factor_productividad*IFERROR(INDEX('ASIGNACIONES'!$H$4:$H$339,MATCH($O191&amp;"|"&amp;$R191&amp;"|"&amp;$AB191,'ASIGNACIONES'!$I$4:$I$339,0)),0)-$AD191)</f>
        <v/>
      </c>
      <c r="AF191" s="10">
        <f>IF($A191="","",IFERROR(INDEX('2_IMPORTAR_EJECUCION'!$F$9:$F$1208,MATCH($AN191,'2_IMPORTAR_EJECUCION'!$J$9:$J$1208,0)),0))</f>
        <v/>
      </c>
      <c r="AG191" s="10">
        <f>IF($A191="","",MAX(0,IFERROR(INDEX('2_IMPORTAR_EJECUCION'!$H$9:$H$1208,MATCH($AN191,'2_IMPORTAR_EJECUCION'!$J$9:$J$1208,0)),0)-$AF191))</f>
        <v/>
      </c>
      <c r="AH191" s="10">
        <f>IF($A191="","",$AF191+$AG191)</f>
        <v/>
      </c>
      <c r="AI191" s="6" t="inlineStr"/>
      <c r="AJ191" s="6" t="inlineStr"/>
      <c r="AK191" s="6" t="inlineStr"/>
      <c r="AL191" s="3">
        <f>IF($AK191="","",HYPERLINK(p_ruta_base_checklists&amp;$AK191,"abrir"))</f>
        <v/>
      </c>
      <c r="AM191" s="6" t="inlineStr"/>
      <c r="AN191" s="3">
        <f>IF($A191="","",$A191&amp;IF($B191="","0010",$B191))</f>
        <v/>
      </c>
    </row>
    <row r="192">
      <c r="A192" s="3" t="inlineStr">
        <is>
          <t>OT-000903</t>
        </is>
      </c>
      <c r="B192" s="3" t="inlineStr">
        <is>
          <t>0010</t>
        </is>
      </c>
      <c r="C192" s="3" t="inlineStr">
        <is>
          <t>Reparación de falla — EQ-105</t>
        </is>
      </c>
      <c r="D192" s="3" t="inlineStr">
        <is>
          <t>Reparación de falla en EQ-105</t>
        </is>
      </c>
      <c r="E192" s="3" t="inlineStr">
        <is>
          <t>EQ-105</t>
        </is>
      </c>
      <c r="F192" s="3" t="inlineStr">
        <is>
          <t>CC-110</t>
        </is>
      </c>
      <c r="G192" s="3" t="inlineStr">
        <is>
          <t>PU-AUT</t>
        </is>
      </c>
      <c r="H192" s="3" t="inlineStr">
        <is>
          <t>ACT-03</t>
        </is>
      </c>
      <c r="I192" s="3" t="inlineStr">
        <is>
          <t>TIPO-C2</t>
        </is>
      </c>
      <c r="J192" s="11" t="n">
        <v>46169</v>
      </c>
      <c r="K192" s="3" t="n"/>
      <c r="L192" s="10" t="n">
        <v>0</v>
      </c>
      <c r="M192" s="3">
        <f>IF($A192="","",IFERROR(INDEX('AJUSTES'!$B$4:$B$303,MATCH($AN192,'AJUSTES'!$A$4:$A$303,0)),IF($K192="","",$K192)))</f>
        <v/>
      </c>
      <c r="N192" s="3">
        <f>IF($A192="","",IFERROR(INDEX('CAT_ESTADOS_ERP'!$B$4:$B$7,MATCH(IFERROR(INDEX('2_IMPORTAR_EJECUCION'!$C$9:$C$1208,MATCH($AN192,'2_IMPORTAR_EJECUCION'!$J$9:$J$1208,0)),""),'CAT_ESTADOS_ERP'!$A$4:$A$7,0)),"Pendiente"))</f>
        <v/>
      </c>
      <c r="O192" s="3">
        <f>IF($J192="","",YEAR($J192+4-WEEKDAY($J192,2))&amp;"-S"&amp;TEXT(_xlfn.ISOWEEKNUM($J192),"00"))</f>
        <v/>
      </c>
      <c r="P192" s="3">
        <f>IF($J192="","",YEAR($J192))</f>
        <v/>
      </c>
      <c r="Q192" s="3">
        <f>IF($J192="","",MONTH($J192))</f>
        <v/>
      </c>
      <c r="R192" s="3">
        <f>IF($J192="","",INDEX(lista_dias,WEEKDAY($J192,2)))</f>
        <v/>
      </c>
      <c r="S192" s="3">
        <f>IF($I192="","",IFERROR(INDEX('CAT_TIPOS_OT'!$C$4:$C$7,MATCH($I192,'CAT_TIPOS_OT'!$A$4:$A$7,0)),"sin_clasificar"))</f>
        <v/>
      </c>
      <c r="T192" s="3">
        <f>IF($F192="","",IFERROR(INDEX('CAT_CENTROS_COSTO'!$E$4:$E$9,MATCH($F192,'CAT_CENTROS_COSTO'!$A$4:$A$9,0)),"(sin catálogo)"))</f>
        <v/>
      </c>
      <c r="U192" s="3">
        <f>IF($F192="","",IFERROR(INDEX('CAT_CENTROS_COSTO'!$D$4:$D$9,MATCH($F192,'CAT_CENTROS_COSTO'!$A$4:$A$9,0)),"(sin catálogo)"))</f>
        <v/>
      </c>
      <c r="V192" s="3">
        <f>IF($F192="","",IFERROR(INDEX('CAT_CENTROS_COSTO'!$F$4:$F$9,MATCH($F192,'CAT_CENTROS_COSTO'!$A$4:$A$9,0)),"(sin catálogo)"))</f>
        <v/>
      </c>
      <c r="W192" s="3">
        <f>IF($G192="","",IFERROR(INDEX('CAT_PUESTOS'!$B$4:$B$8,MATCH($G192,'CAT_PUESTOS'!$A$4:$A$8,0)),"(sin catálogo)"))</f>
        <v/>
      </c>
      <c r="X192" s="3">
        <f>IF($H192="","",IFERROR(INDEX('CAT_ACTIVIDADES'!$B$4:$B$8,MATCH($H192,'CAT_ACTIVIDADES'!$A$4:$A$8,0)),"(sin catálogo)"))</f>
        <v/>
      </c>
      <c r="Y192" s="12">
        <f>IF($J192="","",TODAY()-$J192)</f>
        <v/>
      </c>
      <c r="Z192" s="3">
        <f>IF($Y192="","",IF($Y192&lt;0,"FUTURO",IF($Y192&gt;p_dias_backlog_max,"BACKLOG","MES CORRIENTE")))</f>
        <v/>
      </c>
      <c r="AA192" s="3">
        <f>IF($Y192="",FALSE,AND($Y192&gt;p_dias_backlog_min,$Y192&lt;=p_dias_backlog_max))</f>
        <v/>
      </c>
      <c r="AB192" s="6" t="inlineStr"/>
      <c r="AC192" s="3">
        <f>IF($AB192="","",IFERROR(INDEX('ASIGNACIONES'!$F$4:$F$339,MATCH($O192&amp;"|"&amp;$R192&amp;"|"&amp;$AB192,'ASIGNACIONES'!$I$4:$I$339,0)),""))</f>
        <v/>
      </c>
      <c r="AD192" s="13">
        <f>IF($AB192="","",SUMIFS('ORDENES'!$M$4:$M$1203,'ORDENES'!$AB$4:$AB$1203,$AB192,'ORDENES'!$O$4:$O$1203,$O192,'ORDENES'!$R$4:$R$1203,$R192))</f>
        <v/>
      </c>
      <c r="AE192" s="13">
        <f>IF($AD192="","",p_factor_productividad*IFERROR(INDEX('ASIGNACIONES'!$H$4:$H$339,MATCH($O192&amp;"|"&amp;$R192&amp;"|"&amp;$AB192,'ASIGNACIONES'!$I$4:$I$339,0)),0)-$AD192)</f>
        <v/>
      </c>
      <c r="AF192" s="10">
        <f>IF($A192="","",IFERROR(INDEX('2_IMPORTAR_EJECUCION'!$F$9:$F$1208,MATCH($AN192,'2_IMPORTAR_EJECUCION'!$J$9:$J$1208,0)),0))</f>
        <v/>
      </c>
      <c r="AG192" s="10">
        <f>IF($A192="","",MAX(0,IFERROR(INDEX('2_IMPORTAR_EJECUCION'!$H$9:$H$1208,MATCH($AN192,'2_IMPORTAR_EJECUCION'!$J$9:$J$1208,0)),0)-$AF192))</f>
        <v/>
      </c>
      <c r="AH192" s="10">
        <f>IF($A192="","",$AF192+$AG192)</f>
        <v/>
      </c>
      <c r="AI192" s="6" t="inlineStr"/>
      <c r="AJ192" s="6" t="inlineStr"/>
      <c r="AK192" s="6" t="inlineStr"/>
      <c r="AL192" s="3">
        <f>IF($AK192="","",HYPERLINK(p_ruta_base_checklists&amp;$AK192,"abrir"))</f>
        <v/>
      </c>
      <c r="AM192" s="6" t="inlineStr"/>
      <c r="AN192" s="3">
        <f>IF($A192="","",$A192&amp;IF($B192="","0010",$B192))</f>
        <v/>
      </c>
    </row>
    <row r="193">
      <c r="A193" s="3" t="inlineStr">
        <is>
          <t>OT-000904</t>
        </is>
      </c>
      <c r="B193" s="3" t="inlineStr">
        <is>
          <t>0010</t>
        </is>
      </c>
      <c r="C193" s="3" t="inlineStr">
        <is>
          <t>Reparación de falla — EQ-101</t>
        </is>
      </c>
      <c r="D193" s="3" t="inlineStr">
        <is>
          <t>Reparación de falla en EQ-101</t>
        </is>
      </c>
      <c r="E193" s="3" t="inlineStr">
        <is>
          <t>EQ-101</t>
        </is>
      </c>
      <c r="F193" s="3" t="inlineStr">
        <is>
          <t>CC-110</t>
        </is>
      </c>
      <c r="G193" s="3" t="inlineStr">
        <is>
          <t>PU-OP</t>
        </is>
      </c>
      <c r="H193" s="3" t="inlineStr">
        <is>
          <t>ACT-03</t>
        </is>
      </c>
      <c r="I193" s="3" t="inlineStr">
        <is>
          <t>TIPO-C1</t>
        </is>
      </c>
      <c r="J193" s="11" t="n">
        <v>46169</v>
      </c>
      <c r="K193" s="3" t="n"/>
      <c r="L193" s="10" t="n">
        <v>0</v>
      </c>
      <c r="M193" s="3">
        <f>IF($A193="","",IFERROR(INDEX('AJUSTES'!$B$4:$B$303,MATCH($AN193,'AJUSTES'!$A$4:$A$303,0)),IF($K193="","",$K193)))</f>
        <v/>
      </c>
      <c r="N193" s="3">
        <f>IF($A193="","",IFERROR(INDEX('CAT_ESTADOS_ERP'!$B$4:$B$7,MATCH(IFERROR(INDEX('2_IMPORTAR_EJECUCION'!$C$9:$C$1208,MATCH($AN193,'2_IMPORTAR_EJECUCION'!$J$9:$J$1208,0)),""),'CAT_ESTADOS_ERP'!$A$4:$A$7,0)),"Pendiente"))</f>
        <v/>
      </c>
      <c r="O193" s="3">
        <f>IF($J193="","",YEAR($J193+4-WEEKDAY($J193,2))&amp;"-S"&amp;TEXT(_xlfn.ISOWEEKNUM($J193),"00"))</f>
        <v/>
      </c>
      <c r="P193" s="3">
        <f>IF($J193="","",YEAR($J193))</f>
        <v/>
      </c>
      <c r="Q193" s="3">
        <f>IF($J193="","",MONTH($J193))</f>
        <v/>
      </c>
      <c r="R193" s="3">
        <f>IF($J193="","",INDEX(lista_dias,WEEKDAY($J193,2)))</f>
        <v/>
      </c>
      <c r="S193" s="3">
        <f>IF($I193="","",IFERROR(INDEX('CAT_TIPOS_OT'!$C$4:$C$7,MATCH($I193,'CAT_TIPOS_OT'!$A$4:$A$7,0)),"sin_clasificar"))</f>
        <v/>
      </c>
      <c r="T193" s="3">
        <f>IF($F193="","",IFERROR(INDEX('CAT_CENTROS_COSTO'!$E$4:$E$9,MATCH($F193,'CAT_CENTROS_COSTO'!$A$4:$A$9,0)),"(sin catálogo)"))</f>
        <v/>
      </c>
      <c r="U193" s="3">
        <f>IF($F193="","",IFERROR(INDEX('CAT_CENTROS_COSTO'!$D$4:$D$9,MATCH($F193,'CAT_CENTROS_COSTO'!$A$4:$A$9,0)),"(sin catálogo)"))</f>
        <v/>
      </c>
      <c r="V193" s="3">
        <f>IF($F193="","",IFERROR(INDEX('CAT_CENTROS_COSTO'!$F$4:$F$9,MATCH($F193,'CAT_CENTROS_COSTO'!$A$4:$A$9,0)),"(sin catálogo)"))</f>
        <v/>
      </c>
      <c r="W193" s="3">
        <f>IF($G193="","",IFERROR(INDEX('CAT_PUESTOS'!$B$4:$B$8,MATCH($G193,'CAT_PUESTOS'!$A$4:$A$8,0)),"(sin catálogo)"))</f>
        <v/>
      </c>
      <c r="X193" s="3">
        <f>IF($H193="","",IFERROR(INDEX('CAT_ACTIVIDADES'!$B$4:$B$8,MATCH($H193,'CAT_ACTIVIDADES'!$A$4:$A$8,0)),"(sin catálogo)"))</f>
        <v/>
      </c>
      <c r="Y193" s="12">
        <f>IF($J193="","",TODAY()-$J193)</f>
        <v/>
      </c>
      <c r="Z193" s="3">
        <f>IF($Y193="","",IF($Y193&lt;0,"FUTURO",IF($Y193&gt;p_dias_backlog_max,"BACKLOG","MES CORRIENTE")))</f>
        <v/>
      </c>
      <c r="AA193" s="3">
        <f>IF($Y193="",FALSE,AND($Y193&gt;p_dias_backlog_min,$Y193&lt;=p_dias_backlog_max))</f>
        <v/>
      </c>
      <c r="AB193" s="6" t="inlineStr"/>
      <c r="AC193" s="3">
        <f>IF($AB193="","",IFERROR(INDEX('ASIGNACIONES'!$F$4:$F$339,MATCH($O193&amp;"|"&amp;$R193&amp;"|"&amp;$AB193,'ASIGNACIONES'!$I$4:$I$339,0)),""))</f>
        <v/>
      </c>
      <c r="AD193" s="13">
        <f>IF($AB193="","",SUMIFS('ORDENES'!$M$4:$M$1203,'ORDENES'!$AB$4:$AB$1203,$AB193,'ORDENES'!$O$4:$O$1203,$O193,'ORDENES'!$R$4:$R$1203,$R193))</f>
        <v/>
      </c>
      <c r="AE193" s="13">
        <f>IF($AD193="","",p_factor_productividad*IFERROR(INDEX('ASIGNACIONES'!$H$4:$H$339,MATCH($O193&amp;"|"&amp;$R193&amp;"|"&amp;$AB193,'ASIGNACIONES'!$I$4:$I$339,0)),0)-$AD193)</f>
        <v/>
      </c>
      <c r="AF193" s="10">
        <f>IF($A193="","",IFERROR(INDEX('2_IMPORTAR_EJECUCION'!$F$9:$F$1208,MATCH($AN193,'2_IMPORTAR_EJECUCION'!$J$9:$J$1208,0)),0))</f>
        <v/>
      </c>
      <c r="AG193" s="10">
        <f>IF($A193="","",MAX(0,IFERROR(INDEX('2_IMPORTAR_EJECUCION'!$H$9:$H$1208,MATCH($AN193,'2_IMPORTAR_EJECUCION'!$J$9:$J$1208,0)),0)-$AF193))</f>
        <v/>
      </c>
      <c r="AH193" s="10">
        <f>IF($A193="","",$AF193+$AG193)</f>
        <v/>
      </c>
      <c r="AI193" s="6" t="inlineStr"/>
      <c r="AJ193" s="6" t="inlineStr"/>
      <c r="AK193" s="6" t="inlineStr"/>
      <c r="AL193" s="3">
        <f>IF($AK193="","",HYPERLINK(p_ruta_base_checklists&amp;$AK193,"abrir"))</f>
        <v/>
      </c>
      <c r="AM193" s="6" t="inlineStr"/>
      <c r="AN193" s="3">
        <f>IF($A193="","",$A193&amp;IF($B193="","0010",$B193))</f>
        <v/>
      </c>
    </row>
    <row r="194">
      <c r="A194" s="3" t="inlineStr">
        <is>
          <t>OT-000905</t>
        </is>
      </c>
      <c r="B194" s="3" t="inlineStr">
        <is>
          <t>0010</t>
        </is>
      </c>
      <c r="C194" s="3" t="inlineStr">
        <is>
          <t>Reparación de falla — EQ-102</t>
        </is>
      </c>
      <c r="D194" s="3" t="inlineStr">
        <is>
          <t>Reparación de falla en EQ-102</t>
        </is>
      </c>
      <c r="E194" s="3" t="inlineStr">
        <is>
          <t>EQ-102</t>
        </is>
      </c>
      <c r="F194" s="3" t="inlineStr">
        <is>
          <t>CC-110</t>
        </is>
      </c>
      <c r="G194" s="3" t="inlineStr">
        <is>
          <t>PU-MEC</t>
        </is>
      </c>
      <c r="H194" s="3" t="inlineStr">
        <is>
          <t>ACT-03</t>
        </is>
      </c>
      <c r="I194" s="3" t="inlineStr">
        <is>
          <t>TIPO-X9</t>
        </is>
      </c>
      <c r="J194" s="11" t="n">
        <v>46164</v>
      </c>
      <c r="K194" s="3" t="n">
        <v>4</v>
      </c>
      <c r="L194" s="10" t="n">
        <v>160</v>
      </c>
      <c r="M194" s="3">
        <f>IF($A194="","",IFERROR(INDEX('AJUSTES'!$B$4:$B$303,MATCH($AN194,'AJUSTES'!$A$4:$A$303,0)),IF($K194="","",$K194)))</f>
        <v/>
      </c>
      <c r="N194" s="3">
        <f>IF($A194="","",IFERROR(INDEX('CAT_ESTADOS_ERP'!$B$4:$B$7,MATCH(IFERROR(INDEX('2_IMPORTAR_EJECUCION'!$C$9:$C$1208,MATCH($AN194,'2_IMPORTAR_EJECUCION'!$J$9:$J$1208,0)),""),'CAT_ESTADOS_ERP'!$A$4:$A$7,0)),"Pendiente"))</f>
        <v/>
      </c>
      <c r="O194" s="3">
        <f>IF($J194="","",YEAR($J194+4-WEEKDAY($J194,2))&amp;"-S"&amp;TEXT(_xlfn.ISOWEEKNUM($J194),"00"))</f>
        <v/>
      </c>
      <c r="P194" s="3">
        <f>IF($J194="","",YEAR($J194))</f>
        <v/>
      </c>
      <c r="Q194" s="3">
        <f>IF($J194="","",MONTH($J194))</f>
        <v/>
      </c>
      <c r="R194" s="3">
        <f>IF($J194="","",INDEX(lista_dias,WEEKDAY($J194,2)))</f>
        <v/>
      </c>
      <c r="S194" s="3">
        <f>IF($I194="","",IFERROR(INDEX('CAT_TIPOS_OT'!$C$4:$C$7,MATCH($I194,'CAT_TIPOS_OT'!$A$4:$A$7,0)),"sin_clasificar"))</f>
        <v/>
      </c>
      <c r="T194" s="3">
        <f>IF($F194="","",IFERROR(INDEX('CAT_CENTROS_COSTO'!$E$4:$E$9,MATCH($F194,'CAT_CENTROS_COSTO'!$A$4:$A$9,0)),"(sin catálogo)"))</f>
        <v/>
      </c>
      <c r="U194" s="3">
        <f>IF($F194="","",IFERROR(INDEX('CAT_CENTROS_COSTO'!$D$4:$D$9,MATCH($F194,'CAT_CENTROS_COSTO'!$A$4:$A$9,0)),"(sin catálogo)"))</f>
        <v/>
      </c>
      <c r="V194" s="3">
        <f>IF($F194="","",IFERROR(INDEX('CAT_CENTROS_COSTO'!$F$4:$F$9,MATCH($F194,'CAT_CENTROS_COSTO'!$A$4:$A$9,0)),"(sin catálogo)"))</f>
        <v/>
      </c>
      <c r="W194" s="3">
        <f>IF($G194="","",IFERROR(INDEX('CAT_PUESTOS'!$B$4:$B$8,MATCH($G194,'CAT_PUESTOS'!$A$4:$A$8,0)),"(sin catálogo)"))</f>
        <v/>
      </c>
      <c r="X194" s="3">
        <f>IF($H194="","",IFERROR(INDEX('CAT_ACTIVIDADES'!$B$4:$B$8,MATCH($H194,'CAT_ACTIVIDADES'!$A$4:$A$8,0)),"(sin catálogo)"))</f>
        <v/>
      </c>
      <c r="Y194" s="12">
        <f>IF($J194="","",TODAY()-$J194)</f>
        <v/>
      </c>
      <c r="Z194" s="3">
        <f>IF($Y194="","",IF($Y194&lt;0,"FUTURO",IF($Y194&gt;p_dias_backlog_max,"BACKLOG","MES CORRIENTE")))</f>
        <v/>
      </c>
      <c r="AA194" s="3">
        <f>IF($Y194="",FALSE,AND($Y194&gt;p_dias_backlog_min,$Y194&lt;=p_dias_backlog_max))</f>
        <v/>
      </c>
      <c r="AB194" s="6" t="inlineStr"/>
      <c r="AC194" s="3">
        <f>IF($AB194="","",IFERROR(INDEX('ASIGNACIONES'!$F$4:$F$339,MATCH($O194&amp;"|"&amp;$R194&amp;"|"&amp;$AB194,'ASIGNACIONES'!$I$4:$I$339,0)),""))</f>
        <v/>
      </c>
      <c r="AD194" s="13">
        <f>IF($AB194="","",SUMIFS('ORDENES'!$M$4:$M$1203,'ORDENES'!$AB$4:$AB$1203,$AB194,'ORDENES'!$O$4:$O$1203,$O194,'ORDENES'!$R$4:$R$1203,$R194))</f>
        <v/>
      </c>
      <c r="AE194" s="13">
        <f>IF($AD194="","",p_factor_productividad*IFERROR(INDEX('ASIGNACIONES'!$H$4:$H$339,MATCH($O194&amp;"|"&amp;$R194&amp;"|"&amp;$AB194,'ASIGNACIONES'!$I$4:$I$339,0)),0)-$AD194)</f>
        <v/>
      </c>
      <c r="AF194" s="10">
        <f>IF($A194="","",IFERROR(INDEX('2_IMPORTAR_EJECUCION'!$F$9:$F$1208,MATCH($AN194,'2_IMPORTAR_EJECUCION'!$J$9:$J$1208,0)),0))</f>
        <v/>
      </c>
      <c r="AG194" s="10">
        <f>IF($A194="","",MAX(0,IFERROR(INDEX('2_IMPORTAR_EJECUCION'!$H$9:$H$1208,MATCH($AN194,'2_IMPORTAR_EJECUCION'!$J$9:$J$1208,0)),0)-$AF194))</f>
        <v/>
      </c>
      <c r="AH194" s="10">
        <f>IF($A194="","",$AF194+$AG194)</f>
        <v/>
      </c>
      <c r="AI194" s="6" t="inlineStr"/>
      <c r="AJ194" s="6" t="inlineStr"/>
      <c r="AK194" s="6" t="inlineStr"/>
      <c r="AL194" s="3">
        <f>IF($AK194="","",HYPERLINK(p_ruta_base_checklists&amp;$AK194,"abrir"))</f>
        <v/>
      </c>
      <c r="AM194" s="6" t="inlineStr"/>
      <c r="AN194" s="3">
        <f>IF($A194="","",$A194&amp;IF($B194="","0010",$B194))</f>
        <v/>
      </c>
    </row>
    <row r="195">
      <c r="A195" s="3" t="inlineStr">
        <is>
          <t>OT-000906</t>
        </is>
      </c>
      <c r="B195" s="3" t="inlineStr">
        <is>
          <t>0010</t>
        </is>
      </c>
      <c r="C195" s="3" t="inlineStr">
        <is>
          <t>Reparación de falla — EQ-103</t>
        </is>
      </c>
      <c r="D195" s="3" t="inlineStr">
        <is>
          <t>Reparación de falla en EQ-103</t>
        </is>
      </c>
      <c r="E195" s="3" t="inlineStr">
        <is>
          <t>EQ-103</t>
        </is>
      </c>
      <c r="F195" s="3" t="inlineStr">
        <is>
          <t>CC-110</t>
        </is>
      </c>
      <c r="G195" s="3" t="inlineStr">
        <is>
          <t>PU-ELE</t>
        </is>
      </c>
      <c r="H195" s="3" t="inlineStr">
        <is>
          <t>ACT-03</t>
        </is>
      </c>
      <c r="I195" s="3" t="inlineStr">
        <is>
          <t>TIPO-X9</t>
        </is>
      </c>
      <c r="J195" s="11" t="n">
        <v>46164</v>
      </c>
      <c r="K195" s="3" t="n">
        <v>4</v>
      </c>
      <c r="L195" s="10" t="n">
        <v>160</v>
      </c>
      <c r="M195" s="3">
        <f>IF($A195="","",IFERROR(INDEX('AJUSTES'!$B$4:$B$303,MATCH($AN195,'AJUSTES'!$A$4:$A$303,0)),IF($K195="","",$K195)))</f>
        <v/>
      </c>
      <c r="N195" s="3">
        <f>IF($A195="","",IFERROR(INDEX('CAT_ESTADOS_ERP'!$B$4:$B$7,MATCH(IFERROR(INDEX('2_IMPORTAR_EJECUCION'!$C$9:$C$1208,MATCH($AN195,'2_IMPORTAR_EJECUCION'!$J$9:$J$1208,0)),""),'CAT_ESTADOS_ERP'!$A$4:$A$7,0)),"Pendiente"))</f>
        <v/>
      </c>
      <c r="O195" s="3">
        <f>IF($J195="","",YEAR($J195+4-WEEKDAY($J195,2))&amp;"-S"&amp;TEXT(_xlfn.ISOWEEKNUM($J195),"00"))</f>
        <v/>
      </c>
      <c r="P195" s="3">
        <f>IF($J195="","",YEAR($J195))</f>
        <v/>
      </c>
      <c r="Q195" s="3">
        <f>IF($J195="","",MONTH($J195))</f>
        <v/>
      </c>
      <c r="R195" s="3">
        <f>IF($J195="","",INDEX(lista_dias,WEEKDAY($J195,2)))</f>
        <v/>
      </c>
      <c r="S195" s="3">
        <f>IF($I195="","",IFERROR(INDEX('CAT_TIPOS_OT'!$C$4:$C$7,MATCH($I195,'CAT_TIPOS_OT'!$A$4:$A$7,0)),"sin_clasificar"))</f>
        <v/>
      </c>
      <c r="T195" s="3">
        <f>IF($F195="","",IFERROR(INDEX('CAT_CENTROS_COSTO'!$E$4:$E$9,MATCH($F195,'CAT_CENTROS_COSTO'!$A$4:$A$9,0)),"(sin catálogo)"))</f>
        <v/>
      </c>
      <c r="U195" s="3">
        <f>IF($F195="","",IFERROR(INDEX('CAT_CENTROS_COSTO'!$D$4:$D$9,MATCH($F195,'CAT_CENTROS_COSTO'!$A$4:$A$9,0)),"(sin catálogo)"))</f>
        <v/>
      </c>
      <c r="V195" s="3">
        <f>IF($F195="","",IFERROR(INDEX('CAT_CENTROS_COSTO'!$F$4:$F$9,MATCH($F195,'CAT_CENTROS_COSTO'!$A$4:$A$9,0)),"(sin catálogo)"))</f>
        <v/>
      </c>
      <c r="W195" s="3">
        <f>IF($G195="","",IFERROR(INDEX('CAT_PUESTOS'!$B$4:$B$8,MATCH($G195,'CAT_PUESTOS'!$A$4:$A$8,0)),"(sin catálogo)"))</f>
        <v/>
      </c>
      <c r="X195" s="3">
        <f>IF($H195="","",IFERROR(INDEX('CAT_ACTIVIDADES'!$B$4:$B$8,MATCH($H195,'CAT_ACTIVIDADES'!$A$4:$A$8,0)),"(sin catálogo)"))</f>
        <v/>
      </c>
      <c r="Y195" s="12">
        <f>IF($J195="","",TODAY()-$J195)</f>
        <v/>
      </c>
      <c r="Z195" s="3">
        <f>IF($Y195="","",IF($Y195&lt;0,"FUTURO",IF($Y195&gt;p_dias_backlog_max,"BACKLOG","MES CORRIENTE")))</f>
        <v/>
      </c>
      <c r="AA195" s="3">
        <f>IF($Y195="",FALSE,AND($Y195&gt;p_dias_backlog_min,$Y195&lt;=p_dias_backlog_max))</f>
        <v/>
      </c>
      <c r="AB195" s="6" t="inlineStr"/>
      <c r="AC195" s="3">
        <f>IF($AB195="","",IFERROR(INDEX('ASIGNACIONES'!$F$4:$F$339,MATCH($O195&amp;"|"&amp;$R195&amp;"|"&amp;$AB195,'ASIGNACIONES'!$I$4:$I$339,0)),""))</f>
        <v/>
      </c>
      <c r="AD195" s="13">
        <f>IF($AB195="","",SUMIFS('ORDENES'!$M$4:$M$1203,'ORDENES'!$AB$4:$AB$1203,$AB195,'ORDENES'!$O$4:$O$1203,$O195,'ORDENES'!$R$4:$R$1203,$R195))</f>
        <v/>
      </c>
      <c r="AE195" s="13">
        <f>IF($AD195="","",p_factor_productividad*IFERROR(INDEX('ASIGNACIONES'!$H$4:$H$339,MATCH($O195&amp;"|"&amp;$R195&amp;"|"&amp;$AB195,'ASIGNACIONES'!$I$4:$I$339,0)),0)-$AD195)</f>
        <v/>
      </c>
      <c r="AF195" s="10">
        <f>IF($A195="","",IFERROR(INDEX('2_IMPORTAR_EJECUCION'!$F$9:$F$1208,MATCH($AN195,'2_IMPORTAR_EJECUCION'!$J$9:$J$1208,0)),0))</f>
        <v/>
      </c>
      <c r="AG195" s="10">
        <f>IF($A195="","",MAX(0,IFERROR(INDEX('2_IMPORTAR_EJECUCION'!$H$9:$H$1208,MATCH($AN195,'2_IMPORTAR_EJECUCION'!$J$9:$J$1208,0)),0)-$AF195))</f>
        <v/>
      </c>
      <c r="AH195" s="10">
        <f>IF($A195="","",$AF195+$AG195)</f>
        <v/>
      </c>
      <c r="AI195" s="6" t="inlineStr"/>
      <c r="AJ195" s="6" t="inlineStr"/>
      <c r="AK195" s="6" t="inlineStr"/>
      <c r="AL195" s="3">
        <f>IF($AK195="","",HYPERLINK(p_ruta_base_checklists&amp;$AK195,"abrir"))</f>
        <v/>
      </c>
      <c r="AM195" s="6" t="inlineStr"/>
      <c r="AN195" s="3">
        <f>IF($A195="","",$A195&amp;IF($B195="","0010",$B195))</f>
        <v/>
      </c>
    </row>
    <row r="196">
      <c r="A196" s="3" t="inlineStr">
        <is>
          <t>OT-000907</t>
        </is>
      </c>
      <c r="B196" s="3" t="inlineStr">
        <is>
          <t>0010</t>
        </is>
      </c>
      <c r="C196" s="3" t="inlineStr">
        <is>
          <t>Reparación de falla — EQ-104</t>
        </is>
      </c>
      <c r="D196" s="3" t="inlineStr">
        <is>
          <t>Reparación de falla en EQ-104</t>
        </is>
      </c>
      <c r="E196" s="3" t="inlineStr">
        <is>
          <t>EQ-104</t>
        </is>
      </c>
      <c r="F196" s="3" t="inlineStr">
        <is>
          <t>CC-999</t>
        </is>
      </c>
      <c r="G196" s="3" t="inlineStr">
        <is>
          <t>PU-MEC</t>
        </is>
      </c>
      <c r="H196" s="3" t="inlineStr">
        <is>
          <t>ACT-03</t>
        </is>
      </c>
      <c r="I196" s="3" t="inlineStr">
        <is>
          <t>TIPO-C2</t>
        </is>
      </c>
      <c r="J196" s="11" t="n">
        <v>46162</v>
      </c>
      <c r="K196" s="3" t="n">
        <v>4</v>
      </c>
      <c r="L196" s="10" t="n">
        <v>160</v>
      </c>
      <c r="M196" s="3">
        <f>IF($A196="","",IFERROR(INDEX('AJUSTES'!$B$4:$B$303,MATCH($AN196,'AJUSTES'!$A$4:$A$303,0)),IF($K196="","",$K196)))</f>
        <v/>
      </c>
      <c r="N196" s="3">
        <f>IF($A196="","",IFERROR(INDEX('CAT_ESTADOS_ERP'!$B$4:$B$7,MATCH(IFERROR(INDEX('2_IMPORTAR_EJECUCION'!$C$9:$C$1208,MATCH($AN196,'2_IMPORTAR_EJECUCION'!$J$9:$J$1208,0)),""),'CAT_ESTADOS_ERP'!$A$4:$A$7,0)),"Pendiente"))</f>
        <v/>
      </c>
      <c r="O196" s="3">
        <f>IF($J196="","",YEAR($J196+4-WEEKDAY($J196,2))&amp;"-S"&amp;TEXT(_xlfn.ISOWEEKNUM($J196),"00"))</f>
        <v/>
      </c>
      <c r="P196" s="3">
        <f>IF($J196="","",YEAR($J196))</f>
        <v/>
      </c>
      <c r="Q196" s="3">
        <f>IF($J196="","",MONTH($J196))</f>
        <v/>
      </c>
      <c r="R196" s="3">
        <f>IF($J196="","",INDEX(lista_dias,WEEKDAY($J196,2)))</f>
        <v/>
      </c>
      <c r="S196" s="3">
        <f>IF($I196="","",IFERROR(INDEX('CAT_TIPOS_OT'!$C$4:$C$7,MATCH($I196,'CAT_TIPOS_OT'!$A$4:$A$7,0)),"sin_clasificar"))</f>
        <v/>
      </c>
      <c r="T196" s="3">
        <f>IF($F196="","",IFERROR(INDEX('CAT_CENTROS_COSTO'!$E$4:$E$9,MATCH($F196,'CAT_CENTROS_COSTO'!$A$4:$A$9,0)),"(sin catálogo)"))</f>
        <v/>
      </c>
      <c r="U196" s="3">
        <f>IF($F196="","",IFERROR(INDEX('CAT_CENTROS_COSTO'!$D$4:$D$9,MATCH($F196,'CAT_CENTROS_COSTO'!$A$4:$A$9,0)),"(sin catálogo)"))</f>
        <v/>
      </c>
      <c r="V196" s="3">
        <f>IF($F196="","",IFERROR(INDEX('CAT_CENTROS_COSTO'!$F$4:$F$9,MATCH($F196,'CAT_CENTROS_COSTO'!$A$4:$A$9,0)),"(sin catálogo)"))</f>
        <v/>
      </c>
      <c r="W196" s="3">
        <f>IF($G196="","",IFERROR(INDEX('CAT_PUESTOS'!$B$4:$B$8,MATCH($G196,'CAT_PUESTOS'!$A$4:$A$8,0)),"(sin catálogo)"))</f>
        <v/>
      </c>
      <c r="X196" s="3">
        <f>IF($H196="","",IFERROR(INDEX('CAT_ACTIVIDADES'!$B$4:$B$8,MATCH($H196,'CAT_ACTIVIDADES'!$A$4:$A$8,0)),"(sin catálogo)"))</f>
        <v/>
      </c>
      <c r="Y196" s="12">
        <f>IF($J196="","",TODAY()-$J196)</f>
        <v/>
      </c>
      <c r="Z196" s="3">
        <f>IF($Y196="","",IF($Y196&lt;0,"FUTURO",IF($Y196&gt;p_dias_backlog_max,"BACKLOG","MES CORRIENTE")))</f>
        <v/>
      </c>
      <c r="AA196" s="3">
        <f>IF($Y196="",FALSE,AND($Y196&gt;p_dias_backlog_min,$Y196&lt;=p_dias_backlog_max))</f>
        <v/>
      </c>
      <c r="AB196" s="6" t="inlineStr"/>
      <c r="AC196" s="3">
        <f>IF($AB196="","",IFERROR(INDEX('ASIGNACIONES'!$F$4:$F$339,MATCH($O196&amp;"|"&amp;$R196&amp;"|"&amp;$AB196,'ASIGNACIONES'!$I$4:$I$339,0)),""))</f>
        <v/>
      </c>
      <c r="AD196" s="13">
        <f>IF($AB196="","",SUMIFS('ORDENES'!$M$4:$M$1203,'ORDENES'!$AB$4:$AB$1203,$AB196,'ORDENES'!$O$4:$O$1203,$O196,'ORDENES'!$R$4:$R$1203,$R196))</f>
        <v/>
      </c>
      <c r="AE196" s="13">
        <f>IF($AD196="","",p_factor_productividad*IFERROR(INDEX('ASIGNACIONES'!$H$4:$H$339,MATCH($O196&amp;"|"&amp;$R196&amp;"|"&amp;$AB196,'ASIGNACIONES'!$I$4:$I$339,0)),0)-$AD196)</f>
        <v/>
      </c>
      <c r="AF196" s="10">
        <f>IF($A196="","",IFERROR(INDEX('2_IMPORTAR_EJECUCION'!$F$9:$F$1208,MATCH($AN196,'2_IMPORTAR_EJECUCION'!$J$9:$J$1208,0)),0))</f>
        <v/>
      </c>
      <c r="AG196" s="10">
        <f>IF($A196="","",MAX(0,IFERROR(INDEX('2_IMPORTAR_EJECUCION'!$H$9:$H$1208,MATCH($AN196,'2_IMPORTAR_EJECUCION'!$J$9:$J$1208,0)),0)-$AF196))</f>
        <v/>
      </c>
      <c r="AH196" s="10">
        <f>IF($A196="","",$AF196+$AG196)</f>
        <v/>
      </c>
      <c r="AI196" s="6" t="inlineStr"/>
      <c r="AJ196" s="6" t="inlineStr"/>
      <c r="AK196" s="6" t="inlineStr"/>
      <c r="AL196" s="3">
        <f>IF($AK196="","",HYPERLINK(p_ruta_base_checklists&amp;$AK196,"abrir"))</f>
        <v/>
      </c>
      <c r="AM196" s="6" t="inlineStr"/>
      <c r="AN196" s="3">
        <f>IF($A196="","",$A196&amp;IF($B196="","0010",$B196))</f>
        <v/>
      </c>
    </row>
    <row r="197">
      <c r="A197" s="3" t="inlineStr">
        <is>
          <t>OT-000908</t>
        </is>
      </c>
      <c r="B197" s="3" t="inlineStr">
        <is>
          <t>0010</t>
        </is>
      </c>
      <c r="C197" s="3" t="inlineStr">
        <is>
          <t>Reparación de falla — EQ-105</t>
        </is>
      </c>
      <c r="D197" s="3" t="inlineStr">
        <is>
          <t>Reparación de falla en EQ-105</t>
        </is>
      </c>
      <c r="E197" s="3" t="inlineStr">
        <is>
          <t>EQ-105</t>
        </is>
      </c>
      <c r="F197" s="3" t="inlineStr">
        <is>
          <t>CC-110</t>
        </is>
      </c>
      <c r="G197" s="3" t="inlineStr">
        <is>
          <t>PU-XXX</t>
        </is>
      </c>
      <c r="H197" s="3" t="inlineStr">
        <is>
          <t>ACT-03</t>
        </is>
      </c>
      <c r="I197" s="3" t="inlineStr">
        <is>
          <t>TIPO-C1</t>
        </is>
      </c>
      <c r="J197" s="11" t="n">
        <v>46162</v>
      </c>
      <c r="K197" s="3" t="n">
        <v>4</v>
      </c>
      <c r="L197" s="10" t="n">
        <v>160</v>
      </c>
      <c r="M197" s="3">
        <f>IF($A197="","",IFERROR(INDEX('AJUSTES'!$B$4:$B$303,MATCH($AN197,'AJUSTES'!$A$4:$A$303,0)),IF($K197="","",$K197)))</f>
        <v/>
      </c>
      <c r="N197" s="3">
        <f>IF($A197="","",IFERROR(INDEX('CAT_ESTADOS_ERP'!$B$4:$B$7,MATCH(IFERROR(INDEX('2_IMPORTAR_EJECUCION'!$C$9:$C$1208,MATCH($AN197,'2_IMPORTAR_EJECUCION'!$J$9:$J$1208,0)),""),'CAT_ESTADOS_ERP'!$A$4:$A$7,0)),"Pendiente"))</f>
        <v/>
      </c>
      <c r="O197" s="3">
        <f>IF($J197="","",YEAR($J197+4-WEEKDAY($J197,2))&amp;"-S"&amp;TEXT(_xlfn.ISOWEEKNUM($J197),"00"))</f>
        <v/>
      </c>
      <c r="P197" s="3">
        <f>IF($J197="","",YEAR($J197))</f>
        <v/>
      </c>
      <c r="Q197" s="3">
        <f>IF($J197="","",MONTH($J197))</f>
        <v/>
      </c>
      <c r="R197" s="3">
        <f>IF($J197="","",INDEX(lista_dias,WEEKDAY($J197,2)))</f>
        <v/>
      </c>
      <c r="S197" s="3">
        <f>IF($I197="","",IFERROR(INDEX('CAT_TIPOS_OT'!$C$4:$C$7,MATCH($I197,'CAT_TIPOS_OT'!$A$4:$A$7,0)),"sin_clasificar"))</f>
        <v/>
      </c>
      <c r="T197" s="3">
        <f>IF($F197="","",IFERROR(INDEX('CAT_CENTROS_COSTO'!$E$4:$E$9,MATCH($F197,'CAT_CENTROS_COSTO'!$A$4:$A$9,0)),"(sin catálogo)"))</f>
        <v/>
      </c>
      <c r="U197" s="3">
        <f>IF($F197="","",IFERROR(INDEX('CAT_CENTROS_COSTO'!$D$4:$D$9,MATCH($F197,'CAT_CENTROS_COSTO'!$A$4:$A$9,0)),"(sin catálogo)"))</f>
        <v/>
      </c>
      <c r="V197" s="3">
        <f>IF($F197="","",IFERROR(INDEX('CAT_CENTROS_COSTO'!$F$4:$F$9,MATCH($F197,'CAT_CENTROS_COSTO'!$A$4:$A$9,0)),"(sin catálogo)"))</f>
        <v/>
      </c>
      <c r="W197" s="3">
        <f>IF($G197="","",IFERROR(INDEX('CAT_PUESTOS'!$B$4:$B$8,MATCH($G197,'CAT_PUESTOS'!$A$4:$A$8,0)),"(sin catálogo)"))</f>
        <v/>
      </c>
      <c r="X197" s="3">
        <f>IF($H197="","",IFERROR(INDEX('CAT_ACTIVIDADES'!$B$4:$B$8,MATCH($H197,'CAT_ACTIVIDADES'!$A$4:$A$8,0)),"(sin catálogo)"))</f>
        <v/>
      </c>
      <c r="Y197" s="12">
        <f>IF($J197="","",TODAY()-$J197)</f>
        <v/>
      </c>
      <c r="Z197" s="3">
        <f>IF($Y197="","",IF($Y197&lt;0,"FUTURO",IF($Y197&gt;p_dias_backlog_max,"BACKLOG","MES CORRIENTE")))</f>
        <v/>
      </c>
      <c r="AA197" s="3">
        <f>IF($Y197="",FALSE,AND($Y197&gt;p_dias_backlog_min,$Y197&lt;=p_dias_backlog_max))</f>
        <v/>
      </c>
      <c r="AB197" s="6" t="inlineStr"/>
      <c r="AC197" s="3">
        <f>IF($AB197="","",IFERROR(INDEX('ASIGNACIONES'!$F$4:$F$339,MATCH($O197&amp;"|"&amp;$R197&amp;"|"&amp;$AB197,'ASIGNACIONES'!$I$4:$I$339,0)),""))</f>
        <v/>
      </c>
      <c r="AD197" s="13">
        <f>IF($AB197="","",SUMIFS('ORDENES'!$M$4:$M$1203,'ORDENES'!$AB$4:$AB$1203,$AB197,'ORDENES'!$O$4:$O$1203,$O197,'ORDENES'!$R$4:$R$1203,$R197))</f>
        <v/>
      </c>
      <c r="AE197" s="13">
        <f>IF($AD197="","",p_factor_productividad*IFERROR(INDEX('ASIGNACIONES'!$H$4:$H$339,MATCH($O197&amp;"|"&amp;$R197&amp;"|"&amp;$AB197,'ASIGNACIONES'!$I$4:$I$339,0)),0)-$AD197)</f>
        <v/>
      </c>
      <c r="AF197" s="10">
        <f>IF($A197="","",IFERROR(INDEX('2_IMPORTAR_EJECUCION'!$F$9:$F$1208,MATCH($AN197,'2_IMPORTAR_EJECUCION'!$J$9:$J$1208,0)),0))</f>
        <v/>
      </c>
      <c r="AG197" s="10">
        <f>IF($A197="","",MAX(0,IFERROR(INDEX('2_IMPORTAR_EJECUCION'!$H$9:$H$1208,MATCH($AN197,'2_IMPORTAR_EJECUCION'!$J$9:$J$1208,0)),0)-$AF197))</f>
        <v/>
      </c>
      <c r="AH197" s="10">
        <f>IF($A197="","",$AF197+$AG197)</f>
        <v/>
      </c>
      <c r="AI197" s="6" t="inlineStr"/>
      <c r="AJ197" s="6" t="inlineStr"/>
      <c r="AK197" s="6" t="inlineStr"/>
      <c r="AL197" s="3">
        <f>IF($AK197="","",HYPERLINK(p_ruta_base_checklists&amp;$AK197,"abrir"))</f>
        <v/>
      </c>
      <c r="AM197" s="6" t="inlineStr"/>
      <c r="AN197" s="3">
        <f>IF($A197="","",$A197&amp;IF($B197="","0010",$B197))</f>
        <v/>
      </c>
    </row>
    <row r="198">
      <c r="A198" s="3" t="inlineStr">
        <is>
          <t>OT-000909</t>
        </is>
      </c>
      <c r="B198" s="3" t="inlineStr">
        <is>
          <t>0010</t>
        </is>
      </c>
      <c r="C198" s="3" t="inlineStr">
        <is>
          <t>Reparación de falla — EQ-101</t>
        </is>
      </c>
      <c r="D198" s="3" t="inlineStr">
        <is>
          <t>Reparación de falla en EQ-101</t>
        </is>
      </c>
      <c r="E198" s="3" t="inlineStr">
        <is>
          <t>EQ-101</t>
        </is>
      </c>
      <c r="F198" s="3" t="inlineStr">
        <is>
          <t>CC-110</t>
        </is>
      </c>
      <c r="G198" s="3" t="inlineStr">
        <is>
          <t>PU-AUT</t>
        </is>
      </c>
      <c r="H198" s="3" t="inlineStr">
        <is>
          <t>ACT-99</t>
        </is>
      </c>
      <c r="I198" s="3" t="inlineStr">
        <is>
          <t>TIPO-C2</t>
        </is>
      </c>
      <c r="J198" s="11" t="n">
        <v>46160</v>
      </c>
      <c r="K198" s="3" t="n">
        <v>4</v>
      </c>
      <c r="L198" s="10" t="n">
        <v>160</v>
      </c>
      <c r="M198" s="3">
        <f>IF($A198="","",IFERROR(INDEX('AJUSTES'!$B$4:$B$303,MATCH($AN198,'AJUSTES'!$A$4:$A$303,0)),IF($K198="","",$K198)))</f>
        <v/>
      </c>
      <c r="N198" s="3">
        <f>IF($A198="","",IFERROR(INDEX('CAT_ESTADOS_ERP'!$B$4:$B$7,MATCH(IFERROR(INDEX('2_IMPORTAR_EJECUCION'!$C$9:$C$1208,MATCH($AN198,'2_IMPORTAR_EJECUCION'!$J$9:$J$1208,0)),""),'CAT_ESTADOS_ERP'!$A$4:$A$7,0)),"Pendiente"))</f>
        <v/>
      </c>
      <c r="O198" s="3">
        <f>IF($J198="","",YEAR($J198+4-WEEKDAY($J198,2))&amp;"-S"&amp;TEXT(_xlfn.ISOWEEKNUM($J198),"00"))</f>
        <v/>
      </c>
      <c r="P198" s="3">
        <f>IF($J198="","",YEAR($J198))</f>
        <v/>
      </c>
      <c r="Q198" s="3">
        <f>IF($J198="","",MONTH($J198))</f>
        <v/>
      </c>
      <c r="R198" s="3">
        <f>IF($J198="","",INDEX(lista_dias,WEEKDAY($J198,2)))</f>
        <v/>
      </c>
      <c r="S198" s="3">
        <f>IF($I198="","",IFERROR(INDEX('CAT_TIPOS_OT'!$C$4:$C$7,MATCH($I198,'CAT_TIPOS_OT'!$A$4:$A$7,0)),"sin_clasificar"))</f>
        <v/>
      </c>
      <c r="T198" s="3">
        <f>IF($F198="","",IFERROR(INDEX('CAT_CENTROS_COSTO'!$E$4:$E$9,MATCH($F198,'CAT_CENTROS_COSTO'!$A$4:$A$9,0)),"(sin catálogo)"))</f>
        <v/>
      </c>
      <c r="U198" s="3">
        <f>IF($F198="","",IFERROR(INDEX('CAT_CENTROS_COSTO'!$D$4:$D$9,MATCH($F198,'CAT_CENTROS_COSTO'!$A$4:$A$9,0)),"(sin catálogo)"))</f>
        <v/>
      </c>
      <c r="V198" s="3">
        <f>IF($F198="","",IFERROR(INDEX('CAT_CENTROS_COSTO'!$F$4:$F$9,MATCH($F198,'CAT_CENTROS_COSTO'!$A$4:$A$9,0)),"(sin catálogo)"))</f>
        <v/>
      </c>
      <c r="W198" s="3">
        <f>IF($G198="","",IFERROR(INDEX('CAT_PUESTOS'!$B$4:$B$8,MATCH($G198,'CAT_PUESTOS'!$A$4:$A$8,0)),"(sin catálogo)"))</f>
        <v/>
      </c>
      <c r="X198" s="3">
        <f>IF($H198="","",IFERROR(INDEX('CAT_ACTIVIDADES'!$B$4:$B$8,MATCH($H198,'CAT_ACTIVIDADES'!$A$4:$A$8,0)),"(sin catálogo)"))</f>
        <v/>
      </c>
      <c r="Y198" s="12">
        <f>IF($J198="","",TODAY()-$J198)</f>
        <v/>
      </c>
      <c r="Z198" s="3">
        <f>IF($Y198="","",IF($Y198&lt;0,"FUTURO",IF($Y198&gt;p_dias_backlog_max,"BACKLOG","MES CORRIENTE")))</f>
        <v/>
      </c>
      <c r="AA198" s="3">
        <f>IF($Y198="",FALSE,AND($Y198&gt;p_dias_backlog_min,$Y198&lt;=p_dias_backlog_max))</f>
        <v/>
      </c>
      <c r="AB198" s="6" t="inlineStr"/>
      <c r="AC198" s="3">
        <f>IF($AB198="","",IFERROR(INDEX('ASIGNACIONES'!$F$4:$F$339,MATCH($O198&amp;"|"&amp;$R198&amp;"|"&amp;$AB198,'ASIGNACIONES'!$I$4:$I$339,0)),""))</f>
        <v/>
      </c>
      <c r="AD198" s="13">
        <f>IF($AB198="","",SUMIFS('ORDENES'!$M$4:$M$1203,'ORDENES'!$AB$4:$AB$1203,$AB198,'ORDENES'!$O$4:$O$1203,$O198,'ORDENES'!$R$4:$R$1203,$R198))</f>
        <v/>
      </c>
      <c r="AE198" s="13">
        <f>IF($AD198="","",p_factor_productividad*IFERROR(INDEX('ASIGNACIONES'!$H$4:$H$339,MATCH($O198&amp;"|"&amp;$R198&amp;"|"&amp;$AB198,'ASIGNACIONES'!$I$4:$I$339,0)),0)-$AD198)</f>
        <v/>
      </c>
      <c r="AF198" s="10">
        <f>IF($A198="","",IFERROR(INDEX('2_IMPORTAR_EJECUCION'!$F$9:$F$1208,MATCH($AN198,'2_IMPORTAR_EJECUCION'!$J$9:$J$1208,0)),0))</f>
        <v/>
      </c>
      <c r="AG198" s="10">
        <f>IF($A198="","",MAX(0,IFERROR(INDEX('2_IMPORTAR_EJECUCION'!$H$9:$H$1208,MATCH($AN198,'2_IMPORTAR_EJECUCION'!$J$9:$J$1208,0)),0)-$AF198))</f>
        <v/>
      </c>
      <c r="AH198" s="10">
        <f>IF($A198="","",$AF198+$AG198)</f>
        <v/>
      </c>
      <c r="AI198" s="6" t="inlineStr"/>
      <c r="AJ198" s="6" t="inlineStr"/>
      <c r="AK198" s="6" t="inlineStr"/>
      <c r="AL198" s="3">
        <f>IF($AK198="","",HYPERLINK(p_ruta_base_checklists&amp;$AK198,"abrir"))</f>
        <v/>
      </c>
      <c r="AM198" s="6" t="inlineStr"/>
      <c r="AN198" s="3">
        <f>IF($A198="","",$A198&amp;IF($B198="","0010",$B198))</f>
        <v/>
      </c>
    </row>
    <row r="199">
      <c r="A199" s="3" t="inlineStr">
        <is>
          <t>OT-000196</t>
        </is>
      </c>
      <c r="B199" s="3" t="inlineStr">
        <is>
          <t>0010</t>
        </is>
      </c>
      <c r="C199" s="3" t="inlineStr">
        <is>
          <t>Reparación de falla — EQ-106</t>
        </is>
      </c>
      <c r="D199" s="3" t="inlineStr">
        <is>
          <t>Reparación de falla en EQ-106</t>
        </is>
      </c>
      <c r="E199" s="3" t="inlineStr">
        <is>
          <t>EQ-106</t>
        </is>
      </c>
      <c r="F199" s="3" t="inlineStr">
        <is>
          <t>CC-220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TIPO-C1</t>
        </is>
      </c>
      <c r="J199" s="11" t="n">
        <v>46189</v>
      </c>
      <c r="K199" s="3" t="n">
        <v>2</v>
      </c>
      <c r="L199" s="10" t="n">
        <v>80</v>
      </c>
      <c r="M199" s="3">
        <f>IF($A199="","",IFERROR(INDEX('AJUSTES'!$B$4:$B$303,MATCH($AN199,'AJUSTES'!$A$4:$A$303,0)),IF($K199="","",$K199)))</f>
        <v/>
      </c>
      <c r="N199" s="3">
        <f>IF($A199="","",IFERROR(INDEX('CAT_ESTADOS_ERP'!$B$4:$B$7,MATCH(IFERROR(INDEX('2_IMPORTAR_EJECUCION'!$C$9:$C$1208,MATCH($AN199,'2_IMPORTAR_EJECUCION'!$J$9:$J$1208,0)),""),'CAT_ESTADOS_ERP'!$A$4:$A$7,0)),"Pendiente"))</f>
        <v/>
      </c>
      <c r="O199" s="3">
        <f>IF($J199="","",YEAR($J199+4-WEEKDAY($J199,2))&amp;"-S"&amp;TEXT(_xlfn.ISOWEEKNUM($J199),"00"))</f>
        <v/>
      </c>
      <c r="P199" s="3">
        <f>IF($J199="","",YEAR($J199))</f>
        <v/>
      </c>
      <c r="Q199" s="3">
        <f>IF($J199="","",MONTH($J199))</f>
        <v/>
      </c>
      <c r="R199" s="3">
        <f>IF($J199="","",INDEX(lista_dias,WEEKDAY($J199,2)))</f>
        <v/>
      </c>
      <c r="S199" s="3">
        <f>IF($I199="","",IFERROR(INDEX('CAT_TIPOS_OT'!$C$4:$C$7,MATCH($I199,'CAT_TIPOS_OT'!$A$4:$A$7,0)),"sin_clasificar"))</f>
        <v/>
      </c>
      <c r="T199" s="3">
        <f>IF($F199="","",IFERROR(INDEX('CAT_CENTROS_COSTO'!$E$4:$E$9,MATCH($F199,'CAT_CENTROS_COSTO'!$A$4:$A$9,0)),"(sin catálogo)"))</f>
        <v/>
      </c>
      <c r="U199" s="3">
        <f>IF($F199="","",IFERROR(INDEX('CAT_CENTROS_COSTO'!$D$4:$D$9,MATCH($F199,'CAT_CENTROS_COSTO'!$A$4:$A$9,0)),"(sin catálogo)"))</f>
        <v/>
      </c>
      <c r="V199" s="3">
        <f>IF($F199="","",IFERROR(INDEX('CAT_CENTROS_COSTO'!$F$4:$F$9,MATCH($F199,'CAT_CENTROS_COSTO'!$A$4:$A$9,0)),"(sin catálogo)"))</f>
        <v/>
      </c>
      <c r="W199" s="3">
        <f>IF($G199="","",IFERROR(INDEX('CAT_PUESTOS'!$B$4:$B$8,MATCH($G199,'CAT_PUESTOS'!$A$4:$A$8,0)),"(sin catálogo)"))</f>
        <v/>
      </c>
      <c r="X199" s="3">
        <f>IF($H199="","",IFERROR(INDEX('CAT_ACTIVIDADES'!$B$4:$B$8,MATCH($H199,'CAT_ACTIVIDADES'!$A$4:$A$8,0)),"(sin catálogo)"))</f>
        <v/>
      </c>
      <c r="Y199" s="12">
        <f>IF($J199="","",TODAY()-$J199)</f>
        <v/>
      </c>
      <c r="Z199" s="3">
        <f>IF($Y199="","",IF($Y199&lt;0,"FUTURO",IF($Y199&gt;p_dias_backlog_max,"BACKLOG","MES CORRIENTE")))</f>
        <v/>
      </c>
      <c r="AA199" s="3">
        <f>IF($Y199="",FALSE,AND($Y199&gt;p_dias_backlog_min,$Y199&lt;=p_dias_backlog_max))</f>
        <v/>
      </c>
      <c r="AB199" s="6" t="inlineStr"/>
      <c r="AC199" s="3">
        <f>IF($AB199="","",IFERROR(INDEX('ASIGNACIONES'!$F$4:$F$339,MATCH($O199&amp;"|"&amp;$R199&amp;"|"&amp;$AB199,'ASIGNACIONES'!$I$4:$I$339,0)),""))</f>
        <v/>
      </c>
      <c r="AD199" s="13">
        <f>IF($AB199="","",SUMIFS('ORDENES'!$M$4:$M$1203,'ORDENES'!$AB$4:$AB$1203,$AB199,'ORDENES'!$O$4:$O$1203,$O199,'ORDENES'!$R$4:$R$1203,$R199))</f>
        <v/>
      </c>
      <c r="AE199" s="13">
        <f>IF($AD199="","",p_factor_productividad*IFERROR(INDEX('ASIGNACIONES'!$H$4:$H$339,MATCH($O199&amp;"|"&amp;$R199&amp;"|"&amp;$AB199,'ASIGNACIONES'!$I$4:$I$339,0)),0)-$AD199)</f>
        <v/>
      </c>
      <c r="AF199" s="10">
        <f>IF($A199="","",IFERROR(INDEX('2_IMPORTAR_EJECUCION'!$F$9:$F$1208,MATCH($AN199,'2_IMPORTAR_EJECUCION'!$J$9:$J$1208,0)),0))</f>
        <v/>
      </c>
      <c r="AG199" s="10">
        <f>IF($A199="","",MAX(0,IFERROR(INDEX('2_IMPORTAR_EJECUCION'!$H$9:$H$1208,MATCH($AN199,'2_IMPORTAR_EJECUCION'!$J$9:$J$1208,0)),0)-$AF199))</f>
        <v/>
      </c>
      <c r="AH199" s="10">
        <f>IF($A199="","",$AF199+$AG199)</f>
        <v/>
      </c>
      <c r="AI199" s="6" t="inlineStr"/>
      <c r="AJ199" s="6" t="inlineStr"/>
      <c r="AK199" s="6" t="inlineStr"/>
      <c r="AL199" s="3">
        <f>IF($AK199="","",HYPERLINK(p_ruta_base_checklists&amp;$AK199,"abrir"))</f>
        <v/>
      </c>
      <c r="AM199" s="6" t="inlineStr"/>
      <c r="AN199" s="3">
        <f>IF($A199="","",$A199&amp;IF($B199="","0010",$B199))</f>
        <v/>
      </c>
    </row>
    <row r="200">
      <c r="A200" s="3" t="inlineStr">
        <is>
          <t>OT-000197</t>
        </is>
      </c>
      <c r="B200" s="3" t="inlineStr">
        <is>
          <t>0010</t>
        </is>
      </c>
      <c r="C200" s="3" t="inlineStr">
        <is>
          <t>Reparación de falla — EQ-107</t>
        </is>
      </c>
      <c r="D200" s="3" t="inlineStr">
        <is>
          <t>Reparación de falla en EQ-107</t>
        </is>
      </c>
      <c r="E200" s="3" t="inlineStr">
        <is>
          <t>EQ-107</t>
        </is>
      </c>
      <c r="F200" s="3" t="inlineStr">
        <is>
          <t>CC-220</t>
        </is>
      </c>
      <c r="G200" s="3" t="inlineStr">
        <is>
          <t>PU-ELE</t>
        </is>
      </c>
      <c r="H200" s="3" t="inlineStr">
        <is>
          <t>ACT-03</t>
        </is>
      </c>
      <c r="I200" s="3" t="inlineStr">
        <is>
          <t>TIPO-C2</t>
        </is>
      </c>
      <c r="J200" s="11" t="n">
        <v>46188</v>
      </c>
      <c r="K200" s="3" t="n">
        <v>2</v>
      </c>
      <c r="L200" s="10" t="n">
        <v>80</v>
      </c>
      <c r="M200" s="3">
        <f>IF($A200="","",IFERROR(INDEX('AJUSTES'!$B$4:$B$303,MATCH($AN200,'AJUSTES'!$A$4:$A$303,0)),IF($K200="","",$K200)))</f>
        <v/>
      </c>
      <c r="N200" s="3">
        <f>IF($A200="","",IFERROR(INDEX('CAT_ESTADOS_ERP'!$B$4:$B$7,MATCH(IFERROR(INDEX('2_IMPORTAR_EJECUCION'!$C$9:$C$1208,MATCH($AN200,'2_IMPORTAR_EJECUCION'!$J$9:$J$1208,0)),""),'CAT_ESTADOS_ERP'!$A$4:$A$7,0)),"Pendiente"))</f>
        <v/>
      </c>
      <c r="O200" s="3">
        <f>IF($J200="","",YEAR($J200+4-WEEKDAY($J200,2))&amp;"-S"&amp;TEXT(_xlfn.ISOWEEKNUM($J200),"00"))</f>
        <v/>
      </c>
      <c r="P200" s="3">
        <f>IF($J200="","",YEAR($J200))</f>
        <v/>
      </c>
      <c r="Q200" s="3">
        <f>IF($J200="","",MONTH($J200))</f>
        <v/>
      </c>
      <c r="R200" s="3">
        <f>IF($J200="","",INDEX(lista_dias,WEEKDAY($J200,2)))</f>
        <v/>
      </c>
      <c r="S200" s="3">
        <f>IF($I200="","",IFERROR(INDEX('CAT_TIPOS_OT'!$C$4:$C$7,MATCH($I200,'CAT_TIPOS_OT'!$A$4:$A$7,0)),"sin_clasificar"))</f>
        <v/>
      </c>
      <c r="T200" s="3">
        <f>IF($F200="","",IFERROR(INDEX('CAT_CENTROS_COSTO'!$E$4:$E$9,MATCH($F200,'CAT_CENTROS_COSTO'!$A$4:$A$9,0)),"(sin catálogo)"))</f>
        <v/>
      </c>
      <c r="U200" s="3">
        <f>IF($F200="","",IFERROR(INDEX('CAT_CENTROS_COSTO'!$D$4:$D$9,MATCH($F200,'CAT_CENTROS_COSTO'!$A$4:$A$9,0)),"(sin catálogo)"))</f>
        <v/>
      </c>
      <c r="V200" s="3">
        <f>IF($F200="","",IFERROR(INDEX('CAT_CENTROS_COSTO'!$F$4:$F$9,MATCH($F200,'CAT_CENTROS_COSTO'!$A$4:$A$9,0)),"(sin catálogo)"))</f>
        <v/>
      </c>
      <c r="W200" s="3">
        <f>IF($G200="","",IFERROR(INDEX('CAT_PUESTOS'!$B$4:$B$8,MATCH($G200,'CAT_PUESTOS'!$A$4:$A$8,0)),"(sin catálogo)"))</f>
        <v/>
      </c>
      <c r="X200" s="3">
        <f>IF($H200="","",IFERROR(INDEX('CAT_ACTIVIDADES'!$B$4:$B$8,MATCH($H200,'CAT_ACTIVIDADES'!$A$4:$A$8,0)),"(sin catálogo)"))</f>
        <v/>
      </c>
      <c r="Y200" s="12">
        <f>IF($J200="","",TODAY()-$J200)</f>
        <v/>
      </c>
      <c r="Z200" s="3">
        <f>IF($Y200="","",IF($Y200&lt;0,"FUTURO",IF($Y200&gt;p_dias_backlog_max,"BACKLOG","MES CORRIENTE")))</f>
        <v/>
      </c>
      <c r="AA200" s="3">
        <f>IF($Y200="",FALSE,AND($Y200&gt;p_dias_backlog_min,$Y200&lt;=p_dias_backlog_max))</f>
        <v/>
      </c>
      <c r="AB200" s="6" t="inlineStr"/>
      <c r="AC200" s="3">
        <f>IF($AB200="","",IFERROR(INDEX('ASIGNACIONES'!$F$4:$F$339,MATCH($O200&amp;"|"&amp;$R200&amp;"|"&amp;$AB200,'ASIGNACIONES'!$I$4:$I$339,0)),""))</f>
        <v/>
      </c>
      <c r="AD200" s="13">
        <f>IF($AB200="","",SUMIFS('ORDENES'!$M$4:$M$1203,'ORDENES'!$AB$4:$AB$1203,$AB200,'ORDENES'!$O$4:$O$1203,$O200,'ORDENES'!$R$4:$R$1203,$R200))</f>
        <v/>
      </c>
      <c r="AE200" s="13">
        <f>IF($AD200="","",p_factor_productividad*IFERROR(INDEX('ASIGNACIONES'!$H$4:$H$339,MATCH($O200&amp;"|"&amp;$R200&amp;"|"&amp;$AB200,'ASIGNACIONES'!$I$4:$I$339,0)),0)-$AD200)</f>
        <v/>
      </c>
      <c r="AF200" s="10">
        <f>IF($A200="","",IFERROR(INDEX('2_IMPORTAR_EJECUCION'!$F$9:$F$1208,MATCH($AN200,'2_IMPORTAR_EJECUCION'!$J$9:$J$1208,0)),0))</f>
        <v/>
      </c>
      <c r="AG200" s="10">
        <f>IF($A200="","",MAX(0,IFERROR(INDEX('2_IMPORTAR_EJECUCION'!$H$9:$H$1208,MATCH($AN200,'2_IMPORTAR_EJECUCION'!$J$9:$J$1208,0)),0)-$AF200))</f>
        <v/>
      </c>
      <c r="AH200" s="10">
        <f>IF($A200="","",$AF200+$AG200)</f>
        <v/>
      </c>
      <c r="AI200" s="6" t="inlineStr"/>
      <c r="AJ200" s="6" t="inlineStr"/>
      <c r="AK200" s="6" t="inlineStr"/>
      <c r="AL200" s="3">
        <f>IF($AK200="","",HYPERLINK(p_ruta_base_checklists&amp;$AK200,"abrir"))</f>
        <v/>
      </c>
      <c r="AM200" s="6" t="inlineStr"/>
      <c r="AN200" s="3">
        <f>IF($A200="","",$A200&amp;IF($B200="","0010",$B200))</f>
        <v/>
      </c>
    </row>
    <row r="201">
      <c r="A201" s="3" t="inlineStr">
        <is>
          <t>OT-000198</t>
        </is>
      </c>
      <c r="B201" s="3" t="inlineStr">
        <is>
          <t>0010</t>
        </is>
      </c>
      <c r="C201" s="3" t="inlineStr">
        <is>
          <t>Reparación de falla — EQ-108</t>
        </is>
      </c>
      <c r="D201" s="3" t="inlineStr">
        <is>
          <t>Reparación de falla en EQ-108</t>
        </is>
      </c>
      <c r="E201" s="3" t="inlineStr">
        <is>
          <t>EQ-108</t>
        </is>
      </c>
      <c r="F201" s="3" t="inlineStr">
        <is>
          <t>CC-220</t>
        </is>
      </c>
      <c r="G201" s="3" t="inlineStr">
        <is>
          <t>PU-ELE</t>
        </is>
      </c>
      <c r="H201" s="3" t="inlineStr">
        <is>
          <t>ACT-03</t>
        </is>
      </c>
      <c r="I201" s="3" t="inlineStr">
        <is>
          <t>TIPO-C1</t>
        </is>
      </c>
      <c r="J201" s="11" t="n">
        <v>46187</v>
      </c>
      <c r="K201" s="3" t="n">
        <v>2</v>
      </c>
      <c r="L201" s="10" t="n">
        <v>80</v>
      </c>
      <c r="M201" s="3">
        <f>IF($A201="","",IFERROR(INDEX('AJUSTES'!$B$4:$B$303,MATCH($AN201,'AJUSTES'!$A$4:$A$303,0)),IF($K201="","",$K201)))</f>
        <v/>
      </c>
      <c r="N201" s="3">
        <f>IF($A201="","",IFERROR(INDEX('CAT_ESTADOS_ERP'!$B$4:$B$7,MATCH(IFERROR(INDEX('2_IMPORTAR_EJECUCION'!$C$9:$C$1208,MATCH($AN201,'2_IMPORTAR_EJECUCION'!$J$9:$J$1208,0)),""),'CAT_ESTADOS_ERP'!$A$4:$A$7,0)),"Pendiente"))</f>
        <v/>
      </c>
      <c r="O201" s="3">
        <f>IF($J201="","",YEAR($J201+4-WEEKDAY($J201,2))&amp;"-S"&amp;TEXT(_xlfn.ISOWEEKNUM($J201),"00"))</f>
        <v/>
      </c>
      <c r="P201" s="3">
        <f>IF($J201="","",YEAR($J201))</f>
        <v/>
      </c>
      <c r="Q201" s="3">
        <f>IF($J201="","",MONTH($J201))</f>
        <v/>
      </c>
      <c r="R201" s="3">
        <f>IF($J201="","",INDEX(lista_dias,WEEKDAY($J201,2)))</f>
        <v/>
      </c>
      <c r="S201" s="3">
        <f>IF($I201="","",IFERROR(INDEX('CAT_TIPOS_OT'!$C$4:$C$7,MATCH($I201,'CAT_TIPOS_OT'!$A$4:$A$7,0)),"sin_clasificar"))</f>
        <v/>
      </c>
      <c r="T201" s="3">
        <f>IF($F201="","",IFERROR(INDEX('CAT_CENTROS_COSTO'!$E$4:$E$9,MATCH($F201,'CAT_CENTROS_COSTO'!$A$4:$A$9,0)),"(sin catálogo)"))</f>
        <v/>
      </c>
      <c r="U201" s="3">
        <f>IF($F201="","",IFERROR(INDEX('CAT_CENTROS_COSTO'!$D$4:$D$9,MATCH($F201,'CAT_CENTROS_COSTO'!$A$4:$A$9,0)),"(sin catálogo)"))</f>
        <v/>
      </c>
      <c r="V201" s="3">
        <f>IF($F201="","",IFERROR(INDEX('CAT_CENTROS_COSTO'!$F$4:$F$9,MATCH($F201,'CAT_CENTROS_COSTO'!$A$4:$A$9,0)),"(sin catálogo)"))</f>
        <v/>
      </c>
      <c r="W201" s="3">
        <f>IF($G201="","",IFERROR(INDEX('CAT_PUESTOS'!$B$4:$B$8,MATCH($G201,'CAT_PUESTOS'!$A$4:$A$8,0)),"(sin catálogo)"))</f>
        <v/>
      </c>
      <c r="X201" s="3">
        <f>IF($H201="","",IFERROR(INDEX('CAT_ACTIVIDADES'!$B$4:$B$8,MATCH($H201,'CAT_ACTIVIDADES'!$A$4:$A$8,0)),"(sin catálogo)"))</f>
        <v/>
      </c>
      <c r="Y201" s="12">
        <f>IF($J201="","",TODAY()-$J201)</f>
        <v/>
      </c>
      <c r="Z201" s="3">
        <f>IF($Y201="","",IF($Y201&lt;0,"FUTURO",IF($Y201&gt;p_dias_backlog_max,"BACKLOG","MES CORRIENTE")))</f>
        <v/>
      </c>
      <c r="AA201" s="3">
        <f>IF($Y201="",FALSE,AND($Y201&gt;p_dias_backlog_min,$Y201&lt;=p_dias_backlog_max))</f>
        <v/>
      </c>
      <c r="AB201" s="6" t="inlineStr"/>
      <c r="AC201" s="3">
        <f>IF($AB201="","",IFERROR(INDEX('ASIGNACIONES'!$F$4:$F$339,MATCH($O201&amp;"|"&amp;$R201&amp;"|"&amp;$AB201,'ASIGNACIONES'!$I$4:$I$339,0)),""))</f>
        <v/>
      </c>
      <c r="AD201" s="13">
        <f>IF($AB201="","",SUMIFS('ORDENES'!$M$4:$M$1203,'ORDENES'!$AB$4:$AB$1203,$AB201,'ORDENES'!$O$4:$O$1203,$O201,'ORDENES'!$R$4:$R$1203,$R201))</f>
        <v/>
      </c>
      <c r="AE201" s="13">
        <f>IF($AD201="","",p_factor_productividad*IFERROR(INDEX('ASIGNACIONES'!$H$4:$H$339,MATCH($O201&amp;"|"&amp;$R201&amp;"|"&amp;$AB201,'ASIGNACIONES'!$I$4:$I$339,0)),0)-$AD201)</f>
        <v/>
      </c>
      <c r="AF201" s="10">
        <f>IF($A201="","",IFERROR(INDEX('2_IMPORTAR_EJECUCION'!$F$9:$F$1208,MATCH($AN201,'2_IMPORTAR_EJECUCION'!$J$9:$J$1208,0)),0))</f>
        <v/>
      </c>
      <c r="AG201" s="10">
        <f>IF($A201="","",MAX(0,IFERROR(INDEX('2_IMPORTAR_EJECUCION'!$H$9:$H$1208,MATCH($AN201,'2_IMPORTAR_EJECUCION'!$J$9:$J$1208,0)),0)-$AF201))</f>
        <v/>
      </c>
      <c r="AH201" s="10">
        <f>IF($A201="","",$AF201+$AG201)</f>
        <v/>
      </c>
      <c r="AI201" s="6" t="inlineStr"/>
      <c r="AJ201" s="6" t="inlineStr"/>
      <c r="AK201" s="6" t="inlineStr"/>
      <c r="AL201" s="3">
        <f>IF($AK201="","",HYPERLINK(p_ruta_base_checklists&amp;$AK201,"abrir"))</f>
        <v/>
      </c>
      <c r="AM201" s="6" t="inlineStr"/>
      <c r="AN201" s="3">
        <f>IF($A201="","",$A201&amp;IF($B201="","0010",$B201))</f>
        <v/>
      </c>
    </row>
    <row r="202">
      <c r="A202" s="3" t="inlineStr">
        <is>
          <t>OT-000199</t>
        </is>
      </c>
      <c r="B202" s="3" t="inlineStr">
        <is>
          <t>0010</t>
        </is>
      </c>
      <c r="C202" s="3" t="inlineStr">
        <is>
          <t>Reparación de falla — EQ-109</t>
        </is>
      </c>
      <c r="D202" s="3" t="inlineStr">
        <is>
          <t>Reparación de falla en EQ-109</t>
        </is>
      </c>
      <c r="E202" s="3" t="inlineStr">
        <is>
          <t>EQ-109</t>
        </is>
      </c>
      <c r="F202" s="3" t="inlineStr">
        <is>
          <t>CC-220</t>
        </is>
      </c>
      <c r="G202" s="3" t="inlineStr">
        <is>
          <t>PU-ELE</t>
        </is>
      </c>
      <c r="H202" s="3" t="inlineStr">
        <is>
          <t>ACT-03</t>
        </is>
      </c>
      <c r="I202" s="3" t="inlineStr">
        <is>
          <t>TIPO-C2</t>
        </is>
      </c>
      <c r="J202" s="11" t="n">
        <v>46186</v>
      </c>
      <c r="K202" s="3" t="n">
        <v>2</v>
      </c>
      <c r="L202" s="10" t="n">
        <v>80</v>
      </c>
      <c r="M202" s="3">
        <f>IF($A202="","",IFERROR(INDEX('AJUSTES'!$B$4:$B$303,MATCH($AN202,'AJUSTES'!$A$4:$A$303,0)),IF($K202="","",$K202)))</f>
        <v/>
      </c>
      <c r="N202" s="3">
        <f>IF($A202="","",IFERROR(INDEX('CAT_ESTADOS_ERP'!$B$4:$B$7,MATCH(IFERROR(INDEX('2_IMPORTAR_EJECUCION'!$C$9:$C$1208,MATCH($AN202,'2_IMPORTAR_EJECUCION'!$J$9:$J$1208,0)),""),'CAT_ESTADOS_ERP'!$A$4:$A$7,0)),"Pendiente"))</f>
        <v/>
      </c>
      <c r="O202" s="3">
        <f>IF($J202="","",YEAR($J202+4-WEEKDAY($J202,2))&amp;"-S"&amp;TEXT(_xlfn.ISOWEEKNUM($J202),"00"))</f>
        <v/>
      </c>
      <c r="P202" s="3">
        <f>IF($J202="","",YEAR($J202))</f>
        <v/>
      </c>
      <c r="Q202" s="3">
        <f>IF($J202="","",MONTH($J202))</f>
        <v/>
      </c>
      <c r="R202" s="3">
        <f>IF($J202="","",INDEX(lista_dias,WEEKDAY($J202,2)))</f>
        <v/>
      </c>
      <c r="S202" s="3">
        <f>IF($I202="","",IFERROR(INDEX('CAT_TIPOS_OT'!$C$4:$C$7,MATCH($I202,'CAT_TIPOS_OT'!$A$4:$A$7,0)),"sin_clasificar"))</f>
        <v/>
      </c>
      <c r="T202" s="3">
        <f>IF($F202="","",IFERROR(INDEX('CAT_CENTROS_COSTO'!$E$4:$E$9,MATCH($F202,'CAT_CENTROS_COSTO'!$A$4:$A$9,0)),"(sin catálogo)"))</f>
        <v/>
      </c>
      <c r="U202" s="3">
        <f>IF($F202="","",IFERROR(INDEX('CAT_CENTROS_COSTO'!$D$4:$D$9,MATCH($F202,'CAT_CENTROS_COSTO'!$A$4:$A$9,0)),"(sin catálogo)"))</f>
        <v/>
      </c>
      <c r="V202" s="3">
        <f>IF($F202="","",IFERROR(INDEX('CAT_CENTROS_COSTO'!$F$4:$F$9,MATCH($F202,'CAT_CENTROS_COSTO'!$A$4:$A$9,0)),"(sin catálogo)"))</f>
        <v/>
      </c>
      <c r="W202" s="3">
        <f>IF($G202="","",IFERROR(INDEX('CAT_PUESTOS'!$B$4:$B$8,MATCH($G202,'CAT_PUESTOS'!$A$4:$A$8,0)),"(sin catálogo)"))</f>
        <v/>
      </c>
      <c r="X202" s="3">
        <f>IF($H202="","",IFERROR(INDEX('CAT_ACTIVIDADES'!$B$4:$B$8,MATCH($H202,'CAT_ACTIVIDADES'!$A$4:$A$8,0)),"(sin catálogo)"))</f>
        <v/>
      </c>
      <c r="Y202" s="12">
        <f>IF($J202="","",TODAY()-$J202)</f>
        <v/>
      </c>
      <c r="Z202" s="3">
        <f>IF($Y202="","",IF($Y202&lt;0,"FUTURO",IF($Y202&gt;p_dias_backlog_max,"BACKLOG","MES CORRIENTE")))</f>
        <v/>
      </c>
      <c r="AA202" s="3">
        <f>IF($Y202="",FALSE,AND($Y202&gt;p_dias_backlog_min,$Y202&lt;=p_dias_backlog_max))</f>
        <v/>
      </c>
      <c r="AB202" s="6" t="inlineStr"/>
      <c r="AC202" s="3">
        <f>IF($AB202="","",IFERROR(INDEX('ASIGNACIONES'!$F$4:$F$339,MATCH($O202&amp;"|"&amp;$R202&amp;"|"&amp;$AB202,'ASIGNACIONES'!$I$4:$I$339,0)),""))</f>
        <v/>
      </c>
      <c r="AD202" s="13">
        <f>IF($AB202="","",SUMIFS('ORDENES'!$M$4:$M$1203,'ORDENES'!$AB$4:$AB$1203,$AB202,'ORDENES'!$O$4:$O$1203,$O202,'ORDENES'!$R$4:$R$1203,$R202))</f>
        <v/>
      </c>
      <c r="AE202" s="13">
        <f>IF($AD202="","",p_factor_productividad*IFERROR(INDEX('ASIGNACIONES'!$H$4:$H$339,MATCH($O202&amp;"|"&amp;$R202&amp;"|"&amp;$AB202,'ASIGNACIONES'!$I$4:$I$339,0)),0)-$AD202)</f>
        <v/>
      </c>
      <c r="AF202" s="10">
        <f>IF($A202="","",IFERROR(INDEX('2_IMPORTAR_EJECUCION'!$F$9:$F$1208,MATCH($AN202,'2_IMPORTAR_EJECUCION'!$J$9:$J$1208,0)),0))</f>
        <v/>
      </c>
      <c r="AG202" s="10">
        <f>IF($A202="","",MAX(0,IFERROR(INDEX('2_IMPORTAR_EJECUCION'!$H$9:$H$1208,MATCH($AN202,'2_IMPORTAR_EJECUCION'!$J$9:$J$1208,0)),0)-$AF202))</f>
        <v/>
      </c>
      <c r="AH202" s="10">
        <f>IF($A202="","",$AF202+$AG202)</f>
        <v/>
      </c>
      <c r="AI202" s="6" t="inlineStr"/>
      <c r="AJ202" s="6" t="inlineStr"/>
      <c r="AK202" s="6" t="inlineStr"/>
      <c r="AL202" s="3">
        <f>IF($AK202="","",HYPERLINK(p_ruta_base_checklists&amp;$AK202,"abrir"))</f>
        <v/>
      </c>
      <c r="AM202" s="6" t="inlineStr"/>
      <c r="AN202" s="3">
        <f>IF($A202="","",$A202&amp;IF($B202="","0010",$B202))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1" t="n">
        <v>46185</v>
      </c>
      <c r="K203" s="3" t="n">
        <v>2</v>
      </c>
      <c r="L203" s="10" t="n">
        <v>80</v>
      </c>
      <c r="M203" s="3">
        <f>IF($A203="","",IFERROR(INDEX('AJUSTES'!$B$4:$B$303,MATCH($AN203,'AJUSTES'!$A$4:$A$303,0)),IF($K203="","",$K203)))</f>
        <v/>
      </c>
      <c r="N203" s="3">
        <f>IF($A203="","",IFERROR(INDEX('CAT_ESTADOS_ERP'!$B$4:$B$7,MATCH(IFERROR(INDEX('2_IMPORTAR_EJECUCION'!$C$9:$C$1208,MATCH($AN203,'2_IMPORTAR_EJECUCION'!$J$9:$J$1208,0)),""),'CAT_ESTADOS_ERP'!$A$4:$A$7,0)),"Pendiente"))</f>
        <v/>
      </c>
      <c r="O203" s="3">
        <f>IF($J203="","",YEAR($J203+4-WEEKDAY($J203,2))&amp;"-S"&amp;TEXT(_xlfn.ISOWEEKNUM($J203),"00"))</f>
        <v/>
      </c>
      <c r="P203" s="3">
        <f>IF($J203="","",YEAR($J203))</f>
        <v/>
      </c>
      <c r="Q203" s="3">
        <f>IF($J203="","",MONTH($J203))</f>
        <v/>
      </c>
      <c r="R203" s="3">
        <f>IF($J203="","",INDEX(lista_dias,WEEKDAY($J203,2)))</f>
        <v/>
      </c>
      <c r="S203" s="3">
        <f>IF($I203="","",IFERROR(INDEX('CAT_TIPOS_OT'!$C$4:$C$7,MATCH($I203,'CAT_TIPOS_OT'!$A$4:$A$7,0)),"sin_clasificar"))</f>
        <v/>
      </c>
      <c r="T203" s="3">
        <f>IF($F203="","",IFERROR(INDEX('CAT_CENTROS_COSTO'!$E$4:$E$9,MATCH($F203,'CAT_CENTROS_COSTO'!$A$4:$A$9,0)),"(sin catálogo)"))</f>
        <v/>
      </c>
      <c r="U203" s="3">
        <f>IF($F203="","",IFERROR(INDEX('CAT_CENTROS_COSTO'!$D$4:$D$9,MATCH($F203,'CAT_CENTROS_COSTO'!$A$4:$A$9,0)),"(sin catálogo)"))</f>
        <v/>
      </c>
      <c r="V203" s="3">
        <f>IF($F203="","",IFERROR(INDEX('CAT_CENTROS_COSTO'!$F$4:$F$9,MATCH($F203,'CAT_CENTROS_COSTO'!$A$4:$A$9,0)),"(sin catálogo)"))</f>
        <v/>
      </c>
      <c r="W203" s="3">
        <f>IF($G203="","",IFERROR(INDEX('CAT_PUESTOS'!$B$4:$B$8,MATCH($G203,'CAT_PUESTOS'!$A$4:$A$8,0)),"(sin catálogo)"))</f>
        <v/>
      </c>
      <c r="X203" s="3">
        <f>IF($H203="","",IFERROR(INDEX('CAT_ACTIVIDADES'!$B$4:$B$8,MATCH($H203,'CAT_ACTIVIDADES'!$A$4:$A$8,0)),"(sin catálogo)"))</f>
        <v/>
      </c>
      <c r="Y203" s="12">
        <f>IF($J203="","",TODAY()-$J203)</f>
        <v/>
      </c>
      <c r="Z203" s="3">
        <f>IF($Y203="","",IF($Y203&lt;0,"FUTURO",IF($Y203&gt;p_dias_backlog_max,"BACKLOG","MES CORRIENTE")))</f>
        <v/>
      </c>
      <c r="AA203" s="3">
        <f>IF($Y203="",FALSE,AND($Y203&gt;p_dias_backlog_min,$Y203&lt;=p_dias_backlog_max))</f>
        <v/>
      </c>
      <c r="AB203" s="6" t="inlineStr"/>
      <c r="AC203" s="3">
        <f>IF($AB203="","",IFERROR(INDEX('ASIGNACIONES'!$F$4:$F$339,MATCH($O203&amp;"|"&amp;$R203&amp;"|"&amp;$AB203,'ASIGNACIONES'!$I$4:$I$339,0)),""))</f>
        <v/>
      </c>
      <c r="AD203" s="13">
        <f>IF($AB203="","",SUMIFS('ORDENES'!$M$4:$M$1203,'ORDENES'!$AB$4:$AB$1203,$AB203,'ORDENES'!$O$4:$O$1203,$O203,'ORDENES'!$R$4:$R$1203,$R203))</f>
        <v/>
      </c>
      <c r="AE203" s="13">
        <f>IF($AD203="","",p_factor_productividad*IFERROR(INDEX('ASIGNACIONES'!$H$4:$H$339,MATCH($O203&amp;"|"&amp;$R203&amp;"|"&amp;$AB203,'ASIGNACIONES'!$I$4:$I$339,0)),0)-$AD203)</f>
        <v/>
      </c>
      <c r="AF203" s="10">
        <f>IF($A203="","",IFERROR(INDEX('2_IMPORTAR_EJECUCION'!$F$9:$F$1208,MATCH($AN203,'2_IMPORTAR_EJECUCION'!$J$9:$J$1208,0)),0))</f>
        <v/>
      </c>
      <c r="AG203" s="10">
        <f>IF($A203="","",MAX(0,IFERROR(INDEX('2_IMPORTAR_EJECUCION'!$H$9:$H$1208,MATCH($AN203,'2_IMPORTAR_EJECUCION'!$J$9:$J$1208,0)),0)-$AF203))</f>
        <v/>
      </c>
      <c r="AH203" s="10">
        <f>IF($A203="","",$AF203+$AG203)</f>
        <v/>
      </c>
      <c r="AI203" s="6" t="inlineStr"/>
      <c r="AJ203" s="6" t="inlineStr"/>
      <c r="AK203" s="6" t="inlineStr"/>
      <c r="AL203" s="3">
        <f>IF($AK203="","",HYPERLINK(p_ruta_base_checklists&amp;$AK203,"abrir"))</f>
        <v/>
      </c>
      <c r="AM203" s="6" t="inlineStr"/>
      <c r="AN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1" t="n"/>
      <c r="K204" s="3" t="n"/>
      <c r="L204" s="10" t="n"/>
      <c r="M204" s="3">
        <f>IF($A204="","",IFERROR(INDEX('AJUSTES'!$B$4:$B$303,MATCH($AN204,'AJUSTES'!$A$4:$A$303,0)),IF($K204="","",$K204)))</f>
        <v/>
      </c>
      <c r="N204" s="3">
        <f>IF($A204="","",IFERROR(INDEX('CAT_ESTADOS_ERP'!$B$4:$B$7,MATCH(IFERROR(INDEX('2_IMPORTAR_EJECUCION'!$C$9:$C$1208,MATCH($AN204,'2_IMPORTAR_EJECUCION'!$J$9:$J$1208,0)),""),'CAT_ESTADOS_ERP'!$A$4:$A$7,0)),"Pendiente"))</f>
        <v/>
      </c>
      <c r="O204" s="3">
        <f>IF($J204="","",YEAR($J204+4-WEEKDAY($J204,2))&amp;"-S"&amp;TEXT(_xlfn.ISOWEEKNUM($J204),"00"))</f>
        <v/>
      </c>
      <c r="P204" s="3">
        <f>IF($J204="","",YEAR($J204))</f>
        <v/>
      </c>
      <c r="Q204" s="3">
        <f>IF($J204="","",MONTH($J204))</f>
        <v/>
      </c>
      <c r="R204" s="3">
        <f>IF($J204="","",INDEX(lista_dias,WEEKDAY($J204,2)))</f>
        <v/>
      </c>
      <c r="S204" s="3">
        <f>IF($I204="","",IFERROR(INDEX('CAT_TIPOS_OT'!$C$4:$C$7,MATCH($I204,'CAT_TIPOS_OT'!$A$4:$A$7,0)),"sin_clasificar"))</f>
        <v/>
      </c>
      <c r="T204" s="3">
        <f>IF($F204="","",IFERROR(INDEX('CAT_CENTROS_COSTO'!$E$4:$E$9,MATCH($F204,'CAT_CENTROS_COSTO'!$A$4:$A$9,0)),"(sin catálogo)"))</f>
        <v/>
      </c>
      <c r="U204" s="3">
        <f>IF($F204="","",IFERROR(INDEX('CAT_CENTROS_COSTO'!$D$4:$D$9,MATCH($F204,'CAT_CENTROS_COSTO'!$A$4:$A$9,0)),"(sin catálogo)"))</f>
        <v/>
      </c>
      <c r="V204" s="3">
        <f>IF($F204="","",IFERROR(INDEX('CAT_CENTROS_COSTO'!$F$4:$F$9,MATCH($F204,'CAT_CENTROS_COSTO'!$A$4:$A$9,0)),"(sin catálogo)"))</f>
        <v/>
      </c>
      <c r="W204" s="3">
        <f>IF($G204="","",IFERROR(INDEX('CAT_PUESTOS'!$B$4:$B$8,MATCH($G204,'CAT_PUESTOS'!$A$4:$A$8,0)),"(sin catálogo)"))</f>
        <v/>
      </c>
      <c r="X204" s="3">
        <f>IF($H204="","",IFERROR(INDEX('CAT_ACTIVIDADES'!$B$4:$B$8,MATCH($H204,'CAT_ACTIVIDADES'!$A$4:$A$8,0)),"(sin catálogo)"))</f>
        <v/>
      </c>
      <c r="Y204" s="12">
        <f>IF($J204="","",TODAY()-$J204)</f>
        <v/>
      </c>
      <c r="Z204" s="3">
        <f>IF($Y204="","",IF($Y204&lt;0,"FUTURO",IF($Y204&gt;p_dias_backlog_max,"BACKLOG","MES CORRIENTE")))</f>
        <v/>
      </c>
      <c r="AA204" s="3">
        <f>IF($Y204="",FALSE,AND($Y204&gt;p_dias_backlog_min,$Y204&lt;=p_dias_backlog_max))</f>
        <v/>
      </c>
      <c r="AB204" s="6" t="n"/>
      <c r="AC204" s="3">
        <f>IF($AB204="","",IFERROR(INDEX('ASIGNACIONES'!$F$4:$F$339,MATCH($O204&amp;"|"&amp;$R204&amp;"|"&amp;$AB204,'ASIGNACIONES'!$I$4:$I$339,0)),""))</f>
        <v/>
      </c>
      <c r="AD204" s="13">
        <f>IF($AB204="","",SUMIFS('ORDENES'!$M$4:$M$1203,'ORDENES'!$AB$4:$AB$1203,$AB204,'ORDENES'!$O$4:$O$1203,$O204,'ORDENES'!$R$4:$R$1203,$R204))</f>
        <v/>
      </c>
      <c r="AE204" s="13">
        <f>IF($AD204="","",p_factor_productividad*IFERROR(INDEX('ASIGNACIONES'!$H$4:$H$339,MATCH($O204&amp;"|"&amp;$R204&amp;"|"&amp;$AB204,'ASIGNACIONES'!$I$4:$I$339,0)),0)-$AD204)</f>
        <v/>
      </c>
      <c r="AF204" s="10">
        <f>IF($A204="","",IFERROR(INDEX('2_IMPORTAR_EJECUCION'!$F$9:$F$1208,MATCH($AN204,'2_IMPORTAR_EJECUCION'!$J$9:$J$1208,0)),0))</f>
        <v/>
      </c>
      <c r="AG204" s="10">
        <f>IF($A204="","",MAX(0,IFERROR(INDEX('2_IMPORTAR_EJECUCION'!$H$9:$H$1208,MATCH($AN204,'2_IMPORTAR_EJECUCION'!$J$9:$J$1208,0)),0)-$AF204))</f>
        <v/>
      </c>
      <c r="AH204" s="10">
        <f>IF($A204="","",$AF204+$AG204)</f>
        <v/>
      </c>
      <c r="AI204" s="6" t="n"/>
      <c r="AJ204" s="6" t="n"/>
      <c r="AK204" s="6" t="n"/>
      <c r="AL204" s="3">
        <f>IF($AK204="","",HYPERLINK(p_ruta_base_checklists&amp;$AK204,"abrir"))</f>
        <v/>
      </c>
      <c r="AM204" s="6" t="n"/>
      <c r="AN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1" t="n"/>
      <c r="K205" s="3" t="n"/>
      <c r="L205" s="10" t="n"/>
      <c r="M205" s="3">
        <f>IF($A205="","",IFERROR(INDEX('AJUSTES'!$B$4:$B$303,MATCH($AN205,'AJUSTES'!$A$4:$A$303,0)),IF($K205="","",$K205)))</f>
        <v/>
      </c>
      <c r="N205" s="3">
        <f>IF($A205="","",IFERROR(INDEX('CAT_ESTADOS_ERP'!$B$4:$B$7,MATCH(IFERROR(INDEX('2_IMPORTAR_EJECUCION'!$C$9:$C$1208,MATCH($AN205,'2_IMPORTAR_EJECUCION'!$J$9:$J$1208,0)),""),'CAT_ESTADOS_ERP'!$A$4:$A$7,0)),"Pendiente"))</f>
        <v/>
      </c>
      <c r="O205" s="3">
        <f>IF($J205="","",YEAR($J205+4-WEEKDAY($J205,2))&amp;"-S"&amp;TEXT(_xlfn.ISOWEEKNUM($J205),"00"))</f>
        <v/>
      </c>
      <c r="P205" s="3">
        <f>IF($J205="","",YEAR($J205))</f>
        <v/>
      </c>
      <c r="Q205" s="3">
        <f>IF($J205="","",MONTH($J205))</f>
        <v/>
      </c>
      <c r="R205" s="3">
        <f>IF($J205="","",INDEX(lista_dias,WEEKDAY($J205,2)))</f>
        <v/>
      </c>
      <c r="S205" s="3">
        <f>IF($I205="","",IFERROR(INDEX('CAT_TIPOS_OT'!$C$4:$C$7,MATCH($I205,'CAT_TIPOS_OT'!$A$4:$A$7,0)),"sin_clasificar"))</f>
        <v/>
      </c>
      <c r="T205" s="3">
        <f>IF($F205="","",IFERROR(INDEX('CAT_CENTROS_COSTO'!$E$4:$E$9,MATCH($F205,'CAT_CENTROS_COSTO'!$A$4:$A$9,0)),"(sin catálogo)"))</f>
        <v/>
      </c>
      <c r="U205" s="3">
        <f>IF($F205="","",IFERROR(INDEX('CAT_CENTROS_COSTO'!$D$4:$D$9,MATCH($F205,'CAT_CENTROS_COSTO'!$A$4:$A$9,0)),"(sin catálogo)"))</f>
        <v/>
      </c>
      <c r="V205" s="3">
        <f>IF($F205="","",IFERROR(INDEX('CAT_CENTROS_COSTO'!$F$4:$F$9,MATCH($F205,'CAT_CENTROS_COSTO'!$A$4:$A$9,0)),"(sin catálogo)"))</f>
        <v/>
      </c>
      <c r="W205" s="3">
        <f>IF($G205="","",IFERROR(INDEX('CAT_PUESTOS'!$B$4:$B$8,MATCH($G205,'CAT_PUESTOS'!$A$4:$A$8,0)),"(sin catálogo)"))</f>
        <v/>
      </c>
      <c r="X205" s="3">
        <f>IF($H205="","",IFERROR(INDEX('CAT_ACTIVIDADES'!$B$4:$B$8,MATCH($H205,'CAT_ACTIVIDADES'!$A$4:$A$8,0)),"(sin catálogo)"))</f>
        <v/>
      </c>
      <c r="Y205" s="12">
        <f>IF($J205="","",TODAY()-$J205)</f>
        <v/>
      </c>
      <c r="Z205" s="3">
        <f>IF($Y205="","",IF($Y205&lt;0,"FUTURO",IF($Y205&gt;p_dias_backlog_max,"BACKLOG","MES CORRIENTE")))</f>
        <v/>
      </c>
      <c r="AA205" s="3">
        <f>IF($Y205="",FALSE,AND($Y205&gt;p_dias_backlog_min,$Y205&lt;=p_dias_backlog_max))</f>
        <v/>
      </c>
      <c r="AB205" s="6" t="n"/>
      <c r="AC205" s="3">
        <f>IF($AB205="","",IFERROR(INDEX('ASIGNACIONES'!$F$4:$F$339,MATCH($O205&amp;"|"&amp;$R205&amp;"|"&amp;$AB205,'ASIGNACIONES'!$I$4:$I$339,0)),""))</f>
        <v/>
      </c>
      <c r="AD205" s="13">
        <f>IF($AB205="","",SUMIFS('ORDENES'!$M$4:$M$1203,'ORDENES'!$AB$4:$AB$1203,$AB205,'ORDENES'!$O$4:$O$1203,$O205,'ORDENES'!$R$4:$R$1203,$R205))</f>
        <v/>
      </c>
      <c r="AE205" s="13">
        <f>IF($AD205="","",p_factor_productividad*IFERROR(INDEX('ASIGNACIONES'!$H$4:$H$339,MATCH($O205&amp;"|"&amp;$R205&amp;"|"&amp;$AB205,'ASIGNACIONES'!$I$4:$I$339,0)),0)-$AD205)</f>
        <v/>
      </c>
      <c r="AF205" s="10">
        <f>IF($A205="","",IFERROR(INDEX('2_IMPORTAR_EJECUCION'!$F$9:$F$1208,MATCH($AN205,'2_IMPORTAR_EJECUCION'!$J$9:$J$1208,0)),0))</f>
        <v/>
      </c>
      <c r="AG205" s="10">
        <f>IF($A205="","",MAX(0,IFERROR(INDEX('2_IMPORTAR_EJECUCION'!$H$9:$H$1208,MATCH($AN205,'2_IMPORTAR_EJECUCION'!$J$9:$J$1208,0)),0)-$AF205))</f>
        <v/>
      </c>
      <c r="AH205" s="10">
        <f>IF($A205="","",$AF205+$AG205)</f>
        <v/>
      </c>
      <c r="AI205" s="6" t="n"/>
      <c r="AJ205" s="6" t="n"/>
      <c r="AK205" s="6" t="n"/>
      <c r="AL205" s="3">
        <f>IF($AK205="","",HYPERLINK(p_ruta_base_checklists&amp;$AK205,"abrir"))</f>
        <v/>
      </c>
      <c r="AM205" s="6" t="n"/>
      <c r="AN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1" t="n"/>
      <c r="K206" s="3" t="n"/>
      <c r="L206" s="10" t="n"/>
      <c r="M206" s="3">
        <f>IF($A206="","",IFERROR(INDEX('AJUSTES'!$B$4:$B$303,MATCH($AN206,'AJUSTES'!$A$4:$A$303,0)),IF($K206="","",$K206)))</f>
        <v/>
      </c>
      <c r="N206" s="3">
        <f>IF($A206="","",IFERROR(INDEX('CAT_ESTADOS_ERP'!$B$4:$B$7,MATCH(IFERROR(INDEX('2_IMPORTAR_EJECUCION'!$C$9:$C$1208,MATCH($AN206,'2_IMPORTAR_EJECUCION'!$J$9:$J$1208,0)),""),'CAT_ESTADOS_ERP'!$A$4:$A$7,0)),"Pendiente"))</f>
        <v/>
      </c>
      <c r="O206" s="3">
        <f>IF($J206="","",YEAR($J206+4-WEEKDAY($J206,2))&amp;"-S"&amp;TEXT(_xlfn.ISOWEEKNUM($J206),"00"))</f>
        <v/>
      </c>
      <c r="P206" s="3">
        <f>IF($J206="","",YEAR($J206))</f>
        <v/>
      </c>
      <c r="Q206" s="3">
        <f>IF($J206="","",MONTH($J206))</f>
        <v/>
      </c>
      <c r="R206" s="3">
        <f>IF($J206="","",INDEX(lista_dias,WEEKDAY($J206,2)))</f>
        <v/>
      </c>
      <c r="S206" s="3">
        <f>IF($I206="","",IFERROR(INDEX('CAT_TIPOS_OT'!$C$4:$C$7,MATCH($I206,'CAT_TIPOS_OT'!$A$4:$A$7,0)),"sin_clasificar"))</f>
        <v/>
      </c>
      <c r="T206" s="3">
        <f>IF($F206="","",IFERROR(INDEX('CAT_CENTROS_COSTO'!$E$4:$E$9,MATCH($F206,'CAT_CENTROS_COSTO'!$A$4:$A$9,0)),"(sin catálogo)"))</f>
        <v/>
      </c>
      <c r="U206" s="3">
        <f>IF($F206="","",IFERROR(INDEX('CAT_CENTROS_COSTO'!$D$4:$D$9,MATCH($F206,'CAT_CENTROS_COSTO'!$A$4:$A$9,0)),"(sin catálogo)"))</f>
        <v/>
      </c>
      <c r="V206" s="3">
        <f>IF($F206="","",IFERROR(INDEX('CAT_CENTROS_COSTO'!$F$4:$F$9,MATCH($F206,'CAT_CENTROS_COSTO'!$A$4:$A$9,0)),"(sin catálogo)"))</f>
        <v/>
      </c>
      <c r="W206" s="3">
        <f>IF($G206="","",IFERROR(INDEX('CAT_PUESTOS'!$B$4:$B$8,MATCH($G206,'CAT_PUESTOS'!$A$4:$A$8,0)),"(sin catálogo)"))</f>
        <v/>
      </c>
      <c r="X206" s="3">
        <f>IF($H206="","",IFERROR(INDEX('CAT_ACTIVIDADES'!$B$4:$B$8,MATCH($H206,'CAT_ACTIVIDADES'!$A$4:$A$8,0)),"(sin catálogo)"))</f>
        <v/>
      </c>
      <c r="Y206" s="12">
        <f>IF($J206="","",TODAY()-$J206)</f>
        <v/>
      </c>
      <c r="Z206" s="3">
        <f>IF($Y206="","",IF($Y206&lt;0,"FUTURO",IF($Y206&gt;p_dias_backlog_max,"BACKLOG","MES CORRIENTE")))</f>
        <v/>
      </c>
      <c r="AA206" s="3">
        <f>IF($Y206="",FALSE,AND($Y206&gt;p_dias_backlog_min,$Y206&lt;=p_dias_backlog_max))</f>
        <v/>
      </c>
      <c r="AB206" s="6" t="n"/>
      <c r="AC206" s="3">
        <f>IF($AB206="","",IFERROR(INDEX('ASIGNACIONES'!$F$4:$F$339,MATCH($O206&amp;"|"&amp;$R206&amp;"|"&amp;$AB206,'ASIGNACIONES'!$I$4:$I$339,0)),""))</f>
        <v/>
      </c>
      <c r="AD206" s="13">
        <f>IF($AB206="","",SUMIFS('ORDENES'!$M$4:$M$1203,'ORDENES'!$AB$4:$AB$1203,$AB206,'ORDENES'!$O$4:$O$1203,$O206,'ORDENES'!$R$4:$R$1203,$R206))</f>
        <v/>
      </c>
      <c r="AE206" s="13">
        <f>IF($AD206="","",p_factor_productividad*IFERROR(INDEX('ASIGNACIONES'!$H$4:$H$339,MATCH($O206&amp;"|"&amp;$R206&amp;"|"&amp;$AB206,'ASIGNACIONES'!$I$4:$I$339,0)),0)-$AD206)</f>
        <v/>
      </c>
      <c r="AF206" s="10">
        <f>IF($A206="","",IFERROR(INDEX('2_IMPORTAR_EJECUCION'!$F$9:$F$1208,MATCH($AN206,'2_IMPORTAR_EJECUCION'!$J$9:$J$1208,0)),0))</f>
        <v/>
      </c>
      <c r="AG206" s="10">
        <f>IF($A206="","",MAX(0,IFERROR(INDEX('2_IMPORTAR_EJECUCION'!$H$9:$H$1208,MATCH($AN206,'2_IMPORTAR_EJECUCION'!$J$9:$J$1208,0)),0)-$AF206))</f>
        <v/>
      </c>
      <c r="AH206" s="10">
        <f>IF($A206="","",$AF206+$AG206)</f>
        <v/>
      </c>
      <c r="AI206" s="6" t="n"/>
      <c r="AJ206" s="6" t="n"/>
      <c r="AK206" s="6" t="n"/>
      <c r="AL206" s="3">
        <f>IF($AK206="","",HYPERLINK(p_ruta_base_checklists&amp;$AK206,"abrir"))</f>
        <v/>
      </c>
      <c r="AM206" s="6" t="n"/>
      <c r="AN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1" t="n"/>
      <c r="K207" s="3" t="n"/>
      <c r="L207" s="10" t="n"/>
      <c r="M207" s="3">
        <f>IF($A207="","",IFERROR(INDEX('AJUSTES'!$B$4:$B$303,MATCH($AN207,'AJUSTES'!$A$4:$A$303,0)),IF($K207="","",$K207)))</f>
        <v/>
      </c>
      <c r="N207" s="3">
        <f>IF($A207="","",IFERROR(INDEX('CAT_ESTADOS_ERP'!$B$4:$B$7,MATCH(IFERROR(INDEX('2_IMPORTAR_EJECUCION'!$C$9:$C$1208,MATCH($AN207,'2_IMPORTAR_EJECUCION'!$J$9:$J$1208,0)),""),'CAT_ESTADOS_ERP'!$A$4:$A$7,0)),"Pendiente"))</f>
        <v/>
      </c>
      <c r="O207" s="3">
        <f>IF($J207="","",YEAR($J207+4-WEEKDAY($J207,2))&amp;"-S"&amp;TEXT(_xlfn.ISOWEEKNUM($J207),"00"))</f>
        <v/>
      </c>
      <c r="P207" s="3">
        <f>IF($J207="","",YEAR($J207))</f>
        <v/>
      </c>
      <c r="Q207" s="3">
        <f>IF($J207="","",MONTH($J207))</f>
        <v/>
      </c>
      <c r="R207" s="3">
        <f>IF($J207="","",INDEX(lista_dias,WEEKDAY($J207,2)))</f>
        <v/>
      </c>
      <c r="S207" s="3">
        <f>IF($I207="","",IFERROR(INDEX('CAT_TIPOS_OT'!$C$4:$C$7,MATCH($I207,'CAT_TIPOS_OT'!$A$4:$A$7,0)),"sin_clasificar"))</f>
        <v/>
      </c>
      <c r="T207" s="3">
        <f>IF($F207="","",IFERROR(INDEX('CAT_CENTROS_COSTO'!$E$4:$E$9,MATCH($F207,'CAT_CENTROS_COSTO'!$A$4:$A$9,0)),"(sin catálogo)"))</f>
        <v/>
      </c>
      <c r="U207" s="3">
        <f>IF($F207="","",IFERROR(INDEX('CAT_CENTROS_COSTO'!$D$4:$D$9,MATCH($F207,'CAT_CENTROS_COSTO'!$A$4:$A$9,0)),"(sin catálogo)"))</f>
        <v/>
      </c>
      <c r="V207" s="3">
        <f>IF($F207="","",IFERROR(INDEX('CAT_CENTROS_COSTO'!$F$4:$F$9,MATCH($F207,'CAT_CENTROS_COSTO'!$A$4:$A$9,0)),"(sin catálogo)"))</f>
        <v/>
      </c>
      <c r="W207" s="3">
        <f>IF($G207="","",IFERROR(INDEX('CAT_PUESTOS'!$B$4:$B$8,MATCH($G207,'CAT_PUESTOS'!$A$4:$A$8,0)),"(sin catálogo)"))</f>
        <v/>
      </c>
      <c r="X207" s="3">
        <f>IF($H207="","",IFERROR(INDEX('CAT_ACTIVIDADES'!$B$4:$B$8,MATCH($H207,'CAT_ACTIVIDADES'!$A$4:$A$8,0)),"(sin catálogo)"))</f>
        <v/>
      </c>
      <c r="Y207" s="12">
        <f>IF($J207="","",TODAY()-$J207)</f>
        <v/>
      </c>
      <c r="Z207" s="3">
        <f>IF($Y207="","",IF($Y207&lt;0,"FUTURO",IF($Y207&gt;p_dias_backlog_max,"BACKLOG","MES CORRIENTE")))</f>
        <v/>
      </c>
      <c r="AA207" s="3">
        <f>IF($Y207="",FALSE,AND($Y207&gt;p_dias_backlog_min,$Y207&lt;=p_dias_backlog_max))</f>
        <v/>
      </c>
      <c r="AB207" s="6" t="n"/>
      <c r="AC207" s="3">
        <f>IF($AB207="","",IFERROR(INDEX('ASIGNACIONES'!$F$4:$F$339,MATCH($O207&amp;"|"&amp;$R207&amp;"|"&amp;$AB207,'ASIGNACIONES'!$I$4:$I$339,0)),""))</f>
        <v/>
      </c>
      <c r="AD207" s="13">
        <f>IF($AB207="","",SUMIFS('ORDENES'!$M$4:$M$1203,'ORDENES'!$AB$4:$AB$1203,$AB207,'ORDENES'!$O$4:$O$1203,$O207,'ORDENES'!$R$4:$R$1203,$R207))</f>
        <v/>
      </c>
      <c r="AE207" s="13">
        <f>IF($AD207="","",p_factor_productividad*IFERROR(INDEX('ASIGNACIONES'!$H$4:$H$339,MATCH($O207&amp;"|"&amp;$R207&amp;"|"&amp;$AB207,'ASIGNACIONES'!$I$4:$I$339,0)),0)-$AD207)</f>
        <v/>
      </c>
      <c r="AF207" s="10">
        <f>IF($A207="","",IFERROR(INDEX('2_IMPORTAR_EJECUCION'!$F$9:$F$1208,MATCH($AN207,'2_IMPORTAR_EJECUCION'!$J$9:$J$1208,0)),0))</f>
        <v/>
      </c>
      <c r="AG207" s="10">
        <f>IF($A207="","",MAX(0,IFERROR(INDEX('2_IMPORTAR_EJECUCION'!$H$9:$H$1208,MATCH($AN207,'2_IMPORTAR_EJECUCION'!$J$9:$J$1208,0)),0)-$AF207))</f>
        <v/>
      </c>
      <c r="AH207" s="10">
        <f>IF($A207="","",$AF207+$AG207)</f>
        <v/>
      </c>
      <c r="AI207" s="6" t="n"/>
      <c r="AJ207" s="6" t="n"/>
      <c r="AK207" s="6" t="n"/>
      <c r="AL207" s="3">
        <f>IF($AK207="","",HYPERLINK(p_ruta_base_checklists&amp;$AK207,"abrir"))</f>
        <v/>
      </c>
      <c r="AM207" s="6" t="n"/>
      <c r="AN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1" t="n"/>
      <c r="K208" s="3" t="n"/>
      <c r="L208" s="10" t="n"/>
      <c r="M208" s="3">
        <f>IF($A208="","",IFERROR(INDEX('AJUSTES'!$B$4:$B$303,MATCH($AN208,'AJUSTES'!$A$4:$A$303,0)),IF($K208="","",$K208)))</f>
        <v/>
      </c>
      <c r="N208" s="3">
        <f>IF($A208="","",IFERROR(INDEX('CAT_ESTADOS_ERP'!$B$4:$B$7,MATCH(IFERROR(INDEX('2_IMPORTAR_EJECUCION'!$C$9:$C$1208,MATCH($AN208,'2_IMPORTAR_EJECUCION'!$J$9:$J$1208,0)),""),'CAT_ESTADOS_ERP'!$A$4:$A$7,0)),"Pendiente"))</f>
        <v/>
      </c>
      <c r="O208" s="3">
        <f>IF($J208="","",YEAR($J208+4-WEEKDAY($J208,2))&amp;"-S"&amp;TEXT(_xlfn.ISOWEEKNUM($J208),"00"))</f>
        <v/>
      </c>
      <c r="P208" s="3">
        <f>IF($J208="","",YEAR($J208))</f>
        <v/>
      </c>
      <c r="Q208" s="3">
        <f>IF($J208="","",MONTH($J208))</f>
        <v/>
      </c>
      <c r="R208" s="3">
        <f>IF($J208="","",INDEX(lista_dias,WEEKDAY($J208,2)))</f>
        <v/>
      </c>
      <c r="S208" s="3">
        <f>IF($I208="","",IFERROR(INDEX('CAT_TIPOS_OT'!$C$4:$C$7,MATCH($I208,'CAT_TIPOS_OT'!$A$4:$A$7,0)),"sin_clasificar"))</f>
        <v/>
      </c>
      <c r="T208" s="3">
        <f>IF($F208="","",IFERROR(INDEX('CAT_CENTROS_COSTO'!$E$4:$E$9,MATCH($F208,'CAT_CENTROS_COSTO'!$A$4:$A$9,0)),"(sin catálogo)"))</f>
        <v/>
      </c>
      <c r="U208" s="3">
        <f>IF($F208="","",IFERROR(INDEX('CAT_CENTROS_COSTO'!$D$4:$D$9,MATCH($F208,'CAT_CENTROS_COSTO'!$A$4:$A$9,0)),"(sin catálogo)"))</f>
        <v/>
      </c>
      <c r="V208" s="3">
        <f>IF($F208="","",IFERROR(INDEX('CAT_CENTROS_COSTO'!$F$4:$F$9,MATCH($F208,'CAT_CENTROS_COSTO'!$A$4:$A$9,0)),"(sin catálogo)"))</f>
        <v/>
      </c>
      <c r="W208" s="3">
        <f>IF($G208="","",IFERROR(INDEX('CAT_PUESTOS'!$B$4:$B$8,MATCH($G208,'CAT_PUESTOS'!$A$4:$A$8,0)),"(sin catálogo)"))</f>
        <v/>
      </c>
      <c r="X208" s="3">
        <f>IF($H208="","",IFERROR(INDEX('CAT_ACTIVIDADES'!$B$4:$B$8,MATCH($H208,'CAT_ACTIVIDADES'!$A$4:$A$8,0)),"(sin catálogo)"))</f>
        <v/>
      </c>
      <c r="Y208" s="12">
        <f>IF($J208="","",TODAY()-$J208)</f>
        <v/>
      </c>
      <c r="Z208" s="3">
        <f>IF($Y208="","",IF($Y208&lt;0,"FUTURO",IF($Y208&gt;p_dias_backlog_max,"BACKLOG","MES CORRIENTE")))</f>
        <v/>
      </c>
      <c r="AA208" s="3">
        <f>IF($Y208="",FALSE,AND($Y208&gt;p_dias_backlog_min,$Y208&lt;=p_dias_backlog_max))</f>
        <v/>
      </c>
      <c r="AB208" s="6" t="n"/>
      <c r="AC208" s="3">
        <f>IF($AB208="","",IFERROR(INDEX('ASIGNACIONES'!$F$4:$F$339,MATCH($O208&amp;"|"&amp;$R208&amp;"|"&amp;$AB208,'ASIGNACIONES'!$I$4:$I$339,0)),""))</f>
        <v/>
      </c>
      <c r="AD208" s="13">
        <f>IF($AB208="","",SUMIFS('ORDENES'!$M$4:$M$1203,'ORDENES'!$AB$4:$AB$1203,$AB208,'ORDENES'!$O$4:$O$1203,$O208,'ORDENES'!$R$4:$R$1203,$R208))</f>
        <v/>
      </c>
      <c r="AE208" s="13">
        <f>IF($AD208="","",p_factor_productividad*IFERROR(INDEX('ASIGNACIONES'!$H$4:$H$339,MATCH($O208&amp;"|"&amp;$R208&amp;"|"&amp;$AB208,'ASIGNACIONES'!$I$4:$I$339,0)),0)-$AD208)</f>
        <v/>
      </c>
      <c r="AF208" s="10">
        <f>IF($A208="","",IFERROR(INDEX('2_IMPORTAR_EJECUCION'!$F$9:$F$1208,MATCH($AN208,'2_IMPORTAR_EJECUCION'!$J$9:$J$1208,0)),0))</f>
        <v/>
      </c>
      <c r="AG208" s="10">
        <f>IF($A208="","",MAX(0,IFERROR(INDEX('2_IMPORTAR_EJECUCION'!$H$9:$H$1208,MATCH($AN208,'2_IMPORTAR_EJECUCION'!$J$9:$J$1208,0)),0)-$AF208))</f>
        <v/>
      </c>
      <c r="AH208" s="10">
        <f>IF($A208="","",$AF208+$AG208)</f>
        <v/>
      </c>
      <c r="AI208" s="6" t="n"/>
      <c r="AJ208" s="6" t="n"/>
      <c r="AK208" s="6" t="n"/>
      <c r="AL208" s="3">
        <f>IF($AK208="","",HYPERLINK(p_ruta_base_checklists&amp;$AK208,"abrir"))</f>
        <v/>
      </c>
      <c r="AM208" s="6" t="n"/>
      <c r="AN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1" t="n"/>
      <c r="K209" s="3" t="n"/>
      <c r="L209" s="10" t="n"/>
      <c r="M209" s="3">
        <f>IF($A209="","",IFERROR(INDEX('AJUSTES'!$B$4:$B$303,MATCH($AN209,'AJUSTES'!$A$4:$A$303,0)),IF($K209="","",$K209)))</f>
        <v/>
      </c>
      <c r="N209" s="3">
        <f>IF($A209="","",IFERROR(INDEX('CAT_ESTADOS_ERP'!$B$4:$B$7,MATCH(IFERROR(INDEX('2_IMPORTAR_EJECUCION'!$C$9:$C$1208,MATCH($AN209,'2_IMPORTAR_EJECUCION'!$J$9:$J$1208,0)),""),'CAT_ESTADOS_ERP'!$A$4:$A$7,0)),"Pendiente"))</f>
        <v/>
      </c>
      <c r="O209" s="3">
        <f>IF($J209="","",YEAR($J209+4-WEEKDAY($J209,2))&amp;"-S"&amp;TEXT(_xlfn.ISOWEEKNUM($J209),"00"))</f>
        <v/>
      </c>
      <c r="P209" s="3">
        <f>IF($J209="","",YEAR($J209))</f>
        <v/>
      </c>
      <c r="Q209" s="3">
        <f>IF($J209="","",MONTH($J209))</f>
        <v/>
      </c>
      <c r="R209" s="3">
        <f>IF($J209="","",INDEX(lista_dias,WEEKDAY($J209,2)))</f>
        <v/>
      </c>
      <c r="S209" s="3">
        <f>IF($I209="","",IFERROR(INDEX('CAT_TIPOS_OT'!$C$4:$C$7,MATCH($I209,'CAT_TIPOS_OT'!$A$4:$A$7,0)),"sin_clasificar"))</f>
        <v/>
      </c>
      <c r="T209" s="3">
        <f>IF($F209="","",IFERROR(INDEX('CAT_CENTROS_COSTO'!$E$4:$E$9,MATCH($F209,'CAT_CENTROS_COSTO'!$A$4:$A$9,0)),"(sin catálogo)"))</f>
        <v/>
      </c>
      <c r="U209" s="3">
        <f>IF($F209="","",IFERROR(INDEX('CAT_CENTROS_COSTO'!$D$4:$D$9,MATCH($F209,'CAT_CENTROS_COSTO'!$A$4:$A$9,0)),"(sin catálogo)"))</f>
        <v/>
      </c>
      <c r="V209" s="3">
        <f>IF($F209="","",IFERROR(INDEX('CAT_CENTROS_COSTO'!$F$4:$F$9,MATCH($F209,'CAT_CENTROS_COSTO'!$A$4:$A$9,0)),"(sin catálogo)"))</f>
        <v/>
      </c>
      <c r="W209" s="3">
        <f>IF($G209="","",IFERROR(INDEX('CAT_PUESTOS'!$B$4:$B$8,MATCH($G209,'CAT_PUESTOS'!$A$4:$A$8,0)),"(sin catálogo)"))</f>
        <v/>
      </c>
      <c r="X209" s="3">
        <f>IF($H209="","",IFERROR(INDEX('CAT_ACTIVIDADES'!$B$4:$B$8,MATCH($H209,'CAT_ACTIVIDADES'!$A$4:$A$8,0)),"(sin catálogo)"))</f>
        <v/>
      </c>
      <c r="Y209" s="12">
        <f>IF($J209="","",TODAY()-$J209)</f>
        <v/>
      </c>
      <c r="Z209" s="3">
        <f>IF($Y209="","",IF($Y209&lt;0,"FUTURO",IF($Y209&gt;p_dias_backlog_max,"BACKLOG","MES CORRIENTE")))</f>
        <v/>
      </c>
      <c r="AA209" s="3">
        <f>IF($Y209="",FALSE,AND($Y209&gt;p_dias_backlog_min,$Y209&lt;=p_dias_backlog_max))</f>
        <v/>
      </c>
      <c r="AB209" s="6" t="n"/>
      <c r="AC209" s="3">
        <f>IF($AB209="","",IFERROR(INDEX('ASIGNACIONES'!$F$4:$F$339,MATCH($O209&amp;"|"&amp;$R209&amp;"|"&amp;$AB209,'ASIGNACIONES'!$I$4:$I$339,0)),""))</f>
        <v/>
      </c>
      <c r="AD209" s="13">
        <f>IF($AB209="","",SUMIFS('ORDENES'!$M$4:$M$1203,'ORDENES'!$AB$4:$AB$1203,$AB209,'ORDENES'!$O$4:$O$1203,$O209,'ORDENES'!$R$4:$R$1203,$R209))</f>
        <v/>
      </c>
      <c r="AE209" s="13">
        <f>IF($AD209="","",p_factor_productividad*IFERROR(INDEX('ASIGNACIONES'!$H$4:$H$339,MATCH($O209&amp;"|"&amp;$R209&amp;"|"&amp;$AB209,'ASIGNACIONES'!$I$4:$I$339,0)),0)-$AD209)</f>
        <v/>
      </c>
      <c r="AF209" s="10">
        <f>IF($A209="","",IFERROR(INDEX('2_IMPORTAR_EJECUCION'!$F$9:$F$1208,MATCH($AN209,'2_IMPORTAR_EJECUCION'!$J$9:$J$1208,0)),0))</f>
        <v/>
      </c>
      <c r="AG209" s="10">
        <f>IF($A209="","",MAX(0,IFERROR(INDEX('2_IMPORTAR_EJECUCION'!$H$9:$H$1208,MATCH($AN209,'2_IMPORTAR_EJECUCION'!$J$9:$J$1208,0)),0)-$AF209))</f>
        <v/>
      </c>
      <c r="AH209" s="10">
        <f>IF($A209="","",$AF209+$AG209)</f>
        <v/>
      </c>
      <c r="AI209" s="6" t="n"/>
      <c r="AJ209" s="6" t="n"/>
      <c r="AK209" s="6" t="n"/>
      <c r="AL209" s="3">
        <f>IF($AK209="","",HYPERLINK(p_ruta_base_checklists&amp;$AK209,"abrir"))</f>
        <v/>
      </c>
      <c r="AM209" s="6" t="n"/>
      <c r="AN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1" t="n"/>
      <c r="K210" s="3" t="n"/>
      <c r="L210" s="10" t="n"/>
      <c r="M210" s="3">
        <f>IF($A210="","",IFERROR(INDEX('AJUSTES'!$B$4:$B$303,MATCH($AN210,'AJUSTES'!$A$4:$A$303,0)),IF($K210="","",$K210)))</f>
        <v/>
      </c>
      <c r="N210" s="3">
        <f>IF($A210="","",IFERROR(INDEX('CAT_ESTADOS_ERP'!$B$4:$B$7,MATCH(IFERROR(INDEX('2_IMPORTAR_EJECUCION'!$C$9:$C$1208,MATCH($AN210,'2_IMPORTAR_EJECUCION'!$J$9:$J$1208,0)),""),'CAT_ESTADOS_ERP'!$A$4:$A$7,0)),"Pendiente"))</f>
        <v/>
      </c>
      <c r="O210" s="3">
        <f>IF($J210="","",YEAR($J210+4-WEEKDAY($J210,2))&amp;"-S"&amp;TEXT(_xlfn.ISOWEEKNUM($J210),"00"))</f>
        <v/>
      </c>
      <c r="P210" s="3">
        <f>IF($J210="","",YEAR($J210))</f>
        <v/>
      </c>
      <c r="Q210" s="3">
        <f>IF($J210="","",MONTH($J210))</f>
        <v/>
      </c>
      <c r="R210" s="3">
        <f>IF($J210="","",INDEX(lista_dias,WEEKDAY($J210,2)))</f>
        <v/>
      </c>
      <c r="S210" s="3">
        <f>IF($I210="","",IFERROR(INDEX('CAT_TIPOS_OT'!$C$4:$C$7,MATCH($I210,'CAT_TIPOS_OT'!$A$4:$A$7,0)),"sin_clasificar"))</f>
        <v/>
      </c>
      <c r="T210" s="3">
        <f>IF($F210="","",IFERROR(INDEX('CAT_CENTROS_COSTO'!$E$4:$E$9,MATCH($F210,'CAT_CENTROS_COSTO'!$A$4:$A$9,0)),"(sin catálogo)"))</f>
        <v/>
      </c>
      <c r="U210" s="3">
        <f>IF($F210="","",IFERROR(INDEX('CAT_CENTROS_COSTO'!$D$4:$D$9,MATCH($F210,'CAT_CENTROS_COSTO'!$A$4:$A$9,0)),"(sin catálogo)"))</f>
        <v/>
      </c>
      <c r="V210" s="3">
        <f>IF($F210="","",IFERROR(INDEX('CAT_CENTROS_COSTO'!$F$4:$F$9,MATCH($F210,'CAT_CENTROS_COSTO'!$A$4:$A$9,0)),"(sin catálogo)"))</f>
        <v/>
      </c>
      <c r="W210" s="3">
        <f>IF($G210="","",IFERROR(INDEX('CAT_PUESTOS'!$B$4:$B$8,MATCH($G210,'CAT_PUESTOS'!$A$4:$A$8,0)),"(sin catálogo)"))</f>
        <v/>
      </c>
      <c r="X210" s="3">
        <f>IF($H210="","",IFERROR(INDEX('CAT_ACTIVIDADES'!$B$4:$B$8,MATCH($H210,'CAT_ACTIVIDADES'!$A$4:$A$8,0)),"(sin catálogo)"))</f>
        <v/>
      </c>
      <c r="Y210" s="12">
        <f>IF($J210="","",TODAY()-$J210)</f>
        <v/>
      </c>
      <c r="Z210" s="3">
        <f>IF($Y210="","",IF($Y210&lt;0,"FUTURO",IF($Y210&gt;p_dias_backlog_max,"BACKLOG","MES CORRIENTE")))</f>
        <v/>
      </c>
      <c r="AA210" s="3">
        <f>IF($Y210="",FALSE,AND($Y210&gt;p_dias_backlog_min,$Y210&lt;=p_dias_backlog_max))</f>
        <v/>
      </c>
      <c r="AB210" s="6" t="n"/>
      <c r="AC210" s="3">
        <f>IF($AB210="","",IFERROR(INDEX('ASIGNACIONES'!$F$4:$F$339,MATCH($O210&amp;"|"&amp;$R210&amp;"|"&amp;$AB210,'ASIGNACIONES'!$I$4:$I$339,0)),""))</f>
        <v/>
      </c>
      <c r="AD210" s="13">
        <f>IF($AB210="","",SUMIFS('ORDENES'!$M$4:$M$1203,'ORDENES'!$AB$4:$AB$1203,$AB210,'ORDENES'!$O$4:$O$1203,$O210,'ORDENES'!$R$4:$R$1203,$R210))</f>
        <v/>
      </c>
      <c r="AE210" s="13">
        <f>IF($AD210="","",p_factor_productividad*IFERROR(INDEX('ASIGNACIONES'!$H$4:$H$339,MATCH($O210&amp;"|"&amp;$R210&amp;"|"&amp;$AB210,'ASIGNACIONES'!$I$4:$I$339,0)),0)-$AD210)</f>
        <v/>
      </c>
      <c r="AF210" s="10">
        <f>IF($A210="","",IFERROR(INDEX('2_IMPORTAR_EJECUCION'!$F$9:$F$1208,MATCH($AN210,'2_IMPORTAR_EJECUCION'!$J$9:$J$1208,0)),0))</f>
        <v/>
      </c>
      <c r="AG210" s="10">
        <f>IF($A210="","",MAX(0,IFERROR(INDEX('2_IMPORTAR_EJECUCION'!$H$9:$H$1208,MATCH($AN210,'2_IMPORTAR_EJECUCION'!$J$9:$J$1208,0)),0)-$AF210))</f>
        <v/>
      </c>
      <c r="AH210" s="10">
        <f>IF($A210="","",$AF210+$AG210)</f>
        <v/>
      </c>
      <c r="AI210" s="6" t="n"/>
      <c r="AJ210" s="6" t="n"/>
      <c r="AK210" s="6" t="n"/>
      <c r="AL210" s="3">
        <f>IF($AK210="","",HYPERLINK(p_ruta_base_checklists&amp;$AK210,"abrir"))</f>
        <v/>
      </c>
      <c r="AM210" s="6" t="n"/>
      <c r="AN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1" t="n"/>
      <c r="K211" s="3" t="n"/>
      <c r="L211" s="10" t="n"/>
      <c r="M211" s="3">
        <f>IF($A211="","",IFERROR(INDEX('AJUSTES'!$B$4:$B$303,MATCH($AN211,'AJUSTES'!$A$4:$A$303,0)),IF($K211="","",$K211)))</f>
        <v/>
      </c>
      <c r="N211" s="3">
        <f>IF($A211="","",IFERROR(INDEX('CAT_ESTADOS_ERP'!$B$4:$B$7,MATCH(IFERROR(INDEX('2_IMPORTAR_EJECUCION'!$C$9:$C$1208,MATCH($AN211,'2_IMPORTAR_EJECUCION'!$J$9:$J$1208,0)),""),'CAT_ESTADOS_ERP'!$A$4:$A$7,0)),"Pendiente"))</f>
        <v/>
      </c>
      <c r="O211" s="3">
        <f>IF($J211="","",YEAR($J211+4-WEEKDAY($J211,2))&amp;"-S"&amp;TEXT(_xlfn.ISOWEEKNUM($J211),"00"))</f>
        <v/>
      </c>
      <c r="P211" s="3">
        <f>IF($J211="","",YEAR($J211))</f>
        <v/>
      </c>
      <c r="Q211" s="3">
        <f>IF($J211="","",MONTH($J211))</f>
        <v/>
      </c>
      <c r="R211" s="3">
        <f>IF($J211="","",INDEX(lista_dias,WEEKDAY($J211,2)))</f>
        <v/>
      </c>
      <c r="S211" s="3">
        <f>IF($I211="","",IFERROR(INDEX('CAT_TIPOS_OT'!$C$4:$C$7,MATCH($I211,'CAT_TIPOS_OT'!$A$4:$A$7,0)),"sin_clasificar"))</f>
        <v/>
      </c>
      <c r="T211" s="3">
        <f>IF($F211="","",IFERROR(INDEX('CAT_CENTROS_COSTO'!$E$4:$E$9,MATCH($F211,'CAT_CENTROS_COSTO'!$A$4:$A$9,0)),"(sin catálogo)"))</f>
        <v/>
      </c>
      <c r="U211" s="3">
        <f>IF($F211="","",IFERROR(INDEX('CAT_CENTROS_COSTO'!$D$4:$D$9,MATCH($F211,'CAT_CENTROS_COSTO'!$A$4:$A$9,0)),"(sin catálogo)"))</f>
        <v/>
      </c>
      <c r="V211" s="3">
        <f>IF($F211="","",IFERROR(INDEX('CAT_CENTROS_COSTO'!$F$4:$F$9,MATCH($F211,'CAT_CENTROS_COSTO'!$A$4:$A$9,0)),"(sin catálogo)"))</f>
        <v/>
      </c>
      <c r="W211" s="3">
        <f>IF($G211="","",IFERROR(INDEX('CAT_PUESTOS'!$B$4:$B$8,MATCH($G211,'CAT_PUESTOS'!$A$4:$A$8,0)),"(sin catálogo)"))</f>
        <v/>
      </c>
      <c r="X211" s="3">
        <f>IF($H211="","",IFERROR(INDEX('CAT_ACTIVIDADES'!$B$4:$B$8,MATCH($H211,'CAT_ACTIVIDADES'!$A$4:$A$8,0)),"(sin catálogo)"))</f>
        <v/>
      </c>
      <c r="Y211" s="12">
        <f>IF($J211="","",TODAY()-$J211)</f>
        <v/>
      </c>
      <c r="Z211" s="3">
        <f>IF($Y211="","",IF($Y211&lt;0,"FUTURO",IF($Y211&gt;p_dias_backlog_max,"BACKLOG","MES CORRIENTE")))</f>
        <v/>
      </c>
      <c r="AA211" s="3">
        <f>IF($Y211="",FALSE,AND($Y211&gt;p_dias_backlog_min,$Y211&lt;=p_dias_backlog_max))</f>
        <v/>
      </c>
      <c r="AB211" s="6" t="n"/>
      <c r="AC211" s="3">
        <f>IF($AB211="","",IFERROR(INDEX('ASIGNACIONES'!$F$4:$F$339,MATCH($O211&amp;"|"&amp;$R211&amp;"|"&amp;$AB211,'ASIGNACIONES'!$I$4:$I$339,0)),""))</f>
        <v/>
      </c>
      <c r="AD211" s="13">
        <f>IF($AB211="","",SUMIFS('ORDENES'!$M$4:$M$1203,'ORDENES'!$AB$4:$AB$1203,$AB211,'ORDENES'!$O$4:$O$1203,$O211,'ORDENES'!$R$4:$R$1203,$R211))</f>
        <v/>
      </c>
      <c r="AE211" s="13">
        <f>IF($AD211="","",p_factor_productividad*IFERROR(INDEX('ASIGNACIONES'!$H$4:$H$339,MATCH($O211&amp;"|"&amp;$R211&amp;"|"&amp;$AB211,'ASIGNACIONES'!$I$4:$I$339,0)),0)-$AD211)</f>
        <v/>
      </c>
      <c r="AF211" s="10">
        <f>IF($A211="","",IFERROR(INDEX('2_IMPORTAR_EJECUCION'!$F$9:$F$1208,MATCH($AN211,'2_IMPORTAR_EJECUCION'!$J$9:$J$1208,0)),0))</f>
        <v/>
      </c>
      <c r="AG211" s="10">
        <f>IF($A211="","",MAX(0,IFERROR(INDEX('2_IMPORTAR_EJECUCION'!$H$9:$H$1208,MATCH($AN211,'2_IMPORTAR_EJECUCION'!$J$9:$J$1208,0)),0)-$AF211))</f>
        <v/>
      </c>
      <c r="AH211" s="10">
        <f>IF($A211="","",$AF211+$AG211)</f>
        <v/>
      </c>
      <c r="AI211" s="6" t="n"/>
      <c r="AJ211" s="6" t="n"/>
      <c r="AK211" s="6" t="n"/>
      <c r="AL211" s="3">
        <f>IF($AK211="","",HYPERLINK(p_ruta_base_checklists&amp;$AK211,"abrir"))</f>
        <v/>
      </c>
      <c r="AM211" s="6" t="n"/>
      <c r="AN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1" t="n"/>
      <c r="K212" s="3" t="n"/>
      <c r="L212" s="10" t="n"/>
      <c r="M212" s="3">
        <f>IF($A212="","",IFERROR(INDEX('AJUSTES'!$B$4:$B$303,MATCH($AN212,'AJUSTES'!$A$4:$A$303,0)),IF($K212="","",$K212)))</f>
        <v/>
      </c>
      <c r="N212" s="3">
        <f>IF($A212="","",IFERROR(INDEX('CAT_ESTADOS_ERP'!$B$4:$B$7,MATCH(IFERROR(INDEX('2_IMPORTAR_EJECUCION'!$C$9:$C$1208,MATCH($AN212,'2_IMPORTAR_EJECUCION'!$J$9:$J$1208,0)),""),'CAT_ESTADOS_ERP'!$A$4:$A$7,0)),"Pendiente"))</f>
        <v/>
      </c>
      <c r="O212" s="3">
        <f>IF($J212="","",YEAR($J212+4-WEEKDAY($J212,2))&amp;"-S"&amp;TEXT(_xlfn.ISOWEEKNUM($J212),"00"))</f>
        <v/>
      </c>
      <c r="P212" s="3">
        <f>IF($J212="","",YEAR($J212))</f>
        <v/>
      </c>
      <c r="Q212" s="3">
        <f>IF($J212="","",MONTH($J212))</f>
        <v/>
      </c>
      <c r="R212" s="3">
        <f>IF($J212="","",INDEX(lista_dias,WEEKDAY($J212,2)))</f>
        <v/>
      </c>
      <c r="S212" s="3">
        <f>IF($I212="","",IFERROR(INDEX('CAT_TIPOS_OT'!$C$4:$C$7,MATCH($I212,'CAT_TIPOS_OT'!$A$4:$A$7,0)),"sin_clasificar"))</f>
        <v/>
      </c>
      <c r="T212" s="3">
        <f>IF($F212="","",IFERROR(INDEX('CAT_CENTROS_COSTO'!$E$4:$E$9,MATCH($F212,'CAT_CENTROS_COSTO'!$A$4:$A$9,0)),"(sin catálogo)"))</f>
        <v/>
      </c>
      <c r="U212" s="3">
        <f>IF($F212="","",IFERROR(INDEX('CAT_CENTROS_COSTO'!$D$4:$D$9,MATCH($F212,'CAT_CENTROS_COSTO'!$A$4:$A$9,0)),"(sin catálogo)"))</f>
        <v/>
      </c>
      <c r="V212" s="3">
        <f>IF($F212="","",IFERROR(INDEX('CAT_CENTROS_COSTO'!$F$4:$F$9,MATCH($F212,'CAT_CENTROS_COSTO'!$A$4:$A$9,0)),"(sin catálogo)"))</f>
        <v/>
      </c>
      <c r="W212" s="3">
        <f>IF($G212="","",IFERROR(INDEX('CAT_PUESTOS'!$B$4:$B$8,MATCH($G212,'CAT_PUESTOS'!$A$4:$A$8,0)),"(sin catálogo)"))</f>
        <v/>
      </c>
      <c r="X212" s="3">
        <f>IF($H212="","",IFERROR(INDEX('CAT_ACTIVIDADES'!$B$4:$B$8,MATCH($H212,'CAT_ACTIVIDADES'!$A$4:$A$8,0)),"(sin catálogo)"))</f>
        <v/>
      </c>
      <c r="Y212" s="12">
        <f>IF($J212="","",TODAY()-$J212)</f>
        <v/>
      </c>
      <c r="Z212" s="3">
        <f>IF($Y212="","",IF($Y212&lt;0,"FUTURO",IF($Y212&gt;p_dias_backlog_max,"BACKLOG","MES CORRIENTE")))</f>
        <v/>
      </c>
      <c r="AA212" s="3">
        <f>IF($Y212="",FALSE,AND($Y212&gt;p_dias_backlog_min,$Y212&lt;=p_dias_backlog_max))</f>
        <v/>
      </c>
      <c r="AB212" s="6" t="n"/>
      <c r="AC212" s="3">
        <f>IF($AB212="","",IFERROR(INDEX('ASIGNACIONES'!$F$4:$F$339,MATCH($O212&amp;"|"&amp;$R212&amp;"|"&amp;$AB212,'ASIGNACIONES'!$I$4:$I$339,0)),""))</f>
        <v/>
      </c>
      <c r="AD212" s="13">
        <f>IF($AB212="","",SUMIFS('ORDENES'!$M$4:$M$1203,'ORDENES'!$AB$4:$AB$1203,$AB212,'ORDENES'!$O$4:$O$1203,$O212,'ORDENES'!$R$4:$R$1203,$R212))</f>
        <v/>
      </c>
      <c r="AE212" s="13">
        <f>IF($AD212="","",p_factor_productividad*IFERROR(INDEX('ASIGNACIONES'!$H$4:$H$339,MATCH($O212&amp;"|"&amp;$R212&amp;"|"&amp;$AB212,'ASIGNACIONES'!$I$4:$I$339,0)),0)-$AD212)</f>
        <v/>
      </c>
      <c r="AF212" s="10">
        <f>IF($A212="","",IFERROR(INDEX('2_IMPORTAR_EJECUCION'!$F$9:$F$1208,MATCH($AN212,'2_IMPORTAR_EJECUCION'!$J$9:$J$1208,0)),0))</f>
        <v/>
      </c>
      <c r="AG212" s="10">
        <f>IF($A212="","",MAX(0,IFERROR(INDEX('2_IMPORTAR_EJECUCION'!$H$9:$H$1208,MATCH($AN212,'2_IMPORTAR_EJECUCION'!$J$9:$J$1208,0)),0)-$AF212))</f>
        <v/>
      </c>
      <c r="AH212" s="10">
        <f>IF($A212="","",$AF212+$AG212)</f>
        <v/>
      </c>
      <c r="AI212" s="6" t="n"/>
      <c r="AJ212" s="6" t="n"/>
      <c r="AK212" s="6" t="n"/>
      <c r="AL212" s="3">
        <f>IF($AK212="","",HYPERLINK(p_ruta_base_checklists&amp;$AK212,"abrir"))</f>
        <v/>
      </c>
      <c r="AM212" s="6" t="n"/>
      <c r="AN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1" t="n"/>
      <c r="K213" s="3" t="n"/>
      <c r="L213" s="10" t="n"/>
      <c r="M213" s="3">
        <f>IF($A213="","",IFERROR(INDEX('AJUSTES'!$B$4:$B$303,MATCH($AN213,'AJUSTES'!$A$4:$A$303,0)),IF($K213="","",$K213)))</f>
        <v/>
      </c>
      <c r="N213" s="3">
        <f>IF($A213="","",IFERROR(INDEX('CAT_ESTADOS_ERP'!$B$4:$B$7,MATCH(IFERROR(INDEX('2_IMPORTAR_EJECUCION'!$C$9:$C$1208,MATCH($AN213,'2_IMPORTAR_EJECUCION'!$J$9:$J$1208,0)),""),'CAT_ESTADOS_ERP'!$A$4:$A$7,0)),"Pendiente"))</f>
        <v/>
      </c>
      <c r="O213" s="3">
        <f>IF($J213="","",YEAR($J213+4-WEEKDAY($J213,2))&amp;"-S"&amp;TEXT(_xlfn.ISOWEEKNUM($J213),"00"))</f>
        <v/>
      </c>
      <c r="P213" s="3">
        <f>IF($J213="","",YEAR($J213))</f>
        <v/>
      </c>
      <c r="Q213" s="3">
        <f>IF($J213="","",MONTH($J213))</f>
        <v/>
      </c>
      <c r="R213" s="3">
        <f>IF($J213="","",INDEX(lista_dias,WEEKDAY($J213,2)))</f>
        <v/>
      </c>
      <c r="S213" s="3">
        <f>IF($I213="","",IFERROR(INDEX('CAT_TIPOS_OT'!$C$4:$C$7,MATCH($I213,'CAT_TIPOS_OT'!$A$4:$A$7,0)),"sin_clasificar"))</f>
        <v/>
      </c>
      <c r="T213" s="3">
        <f>IF($F213="","",IFERROR(INDEX('CAT_CENTROS_COSTO'!$E$4:$E$9,MATCH($F213,'CAT_CENTROS_COSTO'!$A$4:$A$9,0)),"(sin catálogo)"))</f>
        <v/>
      </c>
      <c r="U213" s="3">
        <f>IF($F213="","",IFERROR(INDEX('CAT_CENTROS_COSTO'!$D$4:$D$9,MATCH($F213,'CAT_CENTROS_COSTO'!$A$4:$A$9,0)),"(sin catálogo)"))</f>
        <v/>
      </c>
      <c r="V213" s="3">
        <f>IF($F213="","",IFERROR(INDEX('CAT_CENTROS_COSTO'!$F$4:$F$9,MATCH($F213,'CAT_CENTROS_COSTO'!$A$4:$A$9,0)),"(sin catálogo)"))</f>
        <v/>
      </c>
      <c r="W213" s="3">
        <f>IF($G213="","",IFERROR(INDEX('CAT_PUESTOS'!$B$4:$B$8,MATCH($G213,'CAT_PUESTOS'!$A$4:$A$8,0)),"(sin catálogo)"))</f>
        <v/>
      </c>
      <c r="X213" s="3">
        <f>IF($H213="","",IFERROR(INDEX('CAT_ACTIVIDADES'!$B$4:$B$8,MATCH($H213,'CAT_ACTIVIDADES'!$A$4:$A$8,0)),"(sin catálogo)"))</f>
        <v/>
      </c>
      <c r="Y213" s="12">
        <f>IF($J213="","",TODAY()-$J213)</f>
        <v/>
      </c>
      <c r="Z213" s="3">
        <f>IF($Y213="","",IF($Y213&lt;0,"FUTURO",IF($Y213&gt;p_dias_backlog_max,"BACKLOG","MES CORRIENTE")))</f>
        <v/>
      </c>
      <c r="AA213" s="3">
        <f>IF($Y213="",FALSE,AND($Y213&gt;p_dias_backlog_min,$Y213&lt;=p_dias_backlog_max))</f>
        <v/>
      </c>
      <c r="AB213" s="6" t="n"/>
      <c r="AC213" s="3">
        <f>IF($AB213="","",IFERROR(INDEX('ASIGNACIONES'!$F$4:$F$339,MATCH($O213&amp;"|"&amp;$R213&amp;"|"&amp;$AB213,'ASIGNACIONES'!$I$4:$I$339,0)),""))</f>
        <v/>
      </c>
      <c r="AD213" s="13">
        <f>IF($AB213="","",SUMIFS('ORDENES'!$M$4:$M$1203,'ORDENES'!$AB$4:$AB$1203,$AB213,'ORDENES'!$O$4:$O$1203,$O213,'ORDENES'!$R$4:$R$1203,$R213))</f>
        <v/>
      </c>
      <c r="AE213" s="13">
        <f>IF($AD213="","",p_factor_productividad*IFERROR(INDEX('ASIGNACIONES'!$H$4:$H$339,MATCH($O213&amp;"|"&amp;$R213&amp;"|"&amp;$AB213,'ASIGNACIONES'!$I$4:$I$339,0)),0)-$AD213)</f>
        <v/>
      </c>
      <c r="AF213" s="10">
        <f>IF($A213="","",IFERROR(INDEX('2_IMPORTAR_EJECUCION'!$F$9:$F$1208,MATCH($AN213,'2_IMPORTAR_EJECUCION'!$J$9:$J$1208,0)),0))</f>
        <v/>
      </c>
      <c r="AG213" s="10">
        <f>IF($A213="","",MAX(0,IFERROR(INDEX('2_IMPORTAR_EJECUCION'!$H$9:$H$1208,MATCH($AN213,'2_IMPORTAR_EJECUCION'!$J$9:$J$1208,0)),0)-$AF213))</f>
        <v/>
      </c>
      <c r="AH213" s="10">
        <f>IF($A213="","",$AF213+$AG213)</f>
        <v/>
      </c>
      <c r="AI213" s="6" t="n"/>
      <c r="AJ213" s="6" t="n"/>
      <c r="AK213" s="6" t="n"/>
      <c r="AL213" s="3">
        <f>IF($AK213="","",HYPERLINK(p_ruta_base_checklists&amp;$AK213,"abrir"))</f>
        <v/>
      </c>
      <c r="AM213" s="6" t="n"/>
      <c r="AN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1" t="n"/>
      <c r="K214" s="3" t="n"/>
      <c r="L214" s="10" t="n"/>
      <c r="M214" s="3">
        <f>IF($A214="","",IFERROR(INDEX('AJUSTES'!$B$4:$B$303,MATCH($AN214,'AJUSTES'!$A$4:$A$303,0)),IF($K214="","",$K214)))</f>
        <v/>
      </c>
      <c r="N214" s="3">
        <f>IF($A214="","",IFERROR(INDEX('CAT_ESTADOS_ERP'!$B$4:$B$7,MATCH(IFERROR(INDEX('2_IMPORTAR_EJECUCION'!$C$9:$C$1208,MATCH($AN214,'2_IMPORTAR_EJECUCION'!$J$9:$J$1208,0)),""),'CAT_ESTADOS_ERP'!$A$4:$A$7,0)),"Pendiente"))</f>
        <v/>
      </c>
      <c r="O214" s="3">
        <f>IF($J214="","",YEAR($J214+4-WEEKDAY($J214,2))&amp;"-S"&amp;TEXT(_xlfn.ISOWEEKNUM($J214),"00"))</f>
        <v/>
      </c>
      <c r="P214" s="3">
        <f>IF($J214="","",YEAR($J214))</f>
        <v/>
      </c>
      <c r="Q214" s="3">
        <f>IF($J214="","",MONTH($J214))</f>
        <v/>
      </c>
      <c r="R214" s="3">
        <f>IF($J214="","",INDEX(lista_dias,WEEKDAY($J214,2)))</f>
        <v/>
      </c>
      <c r="S214" s="3">
        <f>IF($I214="","",IFERROR(INDEX('CAT_TIPOS_OT'!$C$4:$C$7,MATCH($I214,'CAT_TIPOS_OT'!$A$4:$A$7,0)),"sin_clasificar"))</f>
        <v/>
      </c>
      <c r="T214" s="3">
        <f>IF($F214="","",IFERROR(INDEX('CAT_CENTROS_COSTO'!$E$4:$E$9,MATCH($F214,'CAT_CENTROS_COSTO'!$A$4:$A$9,0)),"(sin catálogo)"))</f>
        <v/>
      </c>
      <c r="U214" s="3">
        <f>IF($F214="","",IFERROR(INDEX('CAT_CENTROS_COSTO'!$D$4:$D$9,MATCH($F214,'CAT_CENTROS_COSTO'!$A$4:$A$9,0)),"(sin catálogo)"))</f>
        <v/>
      </c>
      <c r="V214" s="3">
        <f>IF($F214="","",IFERROR(INDEX('CAT_CENTROS_COSTO'!$F$4:$F$9,MATCH($F214,'CAT_CENTROS_COSTO'!$A$4:$A$9,0)),"(sin catálogo)"))</f>
        <v/>
      </c>
      <c r="W214" s="3">
        <f>IF($G214="","",IFERROR(INDEX('CAT_PUESTOS'!$B$4:$B$8,MATCH($G214,'CAT_PUESTOS'!$A$4:$A$8,0)),"(sin catálogo)"))</f>
        <v/>
      </c>
      <c r="X214" s="3">
        <f>IF($H214="","",IFERROR(INDEX('CAT_ACTIVIDADES'!$B$4:$B$8,MATCH($H214,'CAT_ACTIVIDADES'!$A$4:$A$8,0)),"(sin catálogo)"))</f>
        <v/>
      </c>
      <c r="Y214" s="12">
        <f>IF($J214="","",TODAY()-$J214)</f>
        <v/>
      </c>
      <c r="Z214" s="3">
        <f>IF($Y214="","",IF($Y214&lt;0,"FUTURO",IF($Y214&gt;p_dias_backlog_max,"BACKLOG","MES CORRIENTE")))</f>
        <v/>
      </c>
      <c r="AA214" s="3">
        <f>IF($Y214="",FALSE,AND($Y214&gt;p_dias_backlog_min,$Y214&lt;=p_dias_backlog_max))</f>
        <v/>
      </c>
      <c r="AB214" s="6" t="n"/>
      <c r="AC214" s="3">
        <f>IF($AB214="","",IFERROR(INDEX('ASIGNACIONES'!$F$4:$F$339,MATCH($O214&amp;"|"&amp;$R214&amp;"|"&amp;$AB214,'ASIGNACIONES'!$I$4:$I$339,0)),""))</f>
        <v/>
      </c>
      <c r="AD214" s="13">
        <f>IF($AB214="","",SUMIFS('ORDENES'!$M$4:$M$1203,'ORDENES'!$AB$4:$AB$1203,$AB214,'ORDENES'!$O$4:$O$1203,$O214,'ORDENES'!$R$4:$R$1203,$R214))</f>
        <v/>
      </c>
      <c r="AE214" s="13">
        <f>IF($AD214="","",p_factor_productividad*IFERROR(INDEX('ASIGNACIONES'!$H$4:$H$339,MATCH($O214&amp;"|"&amp;$R214&amp;"|"&amp;$AB214,'ASIGNACIONES'!$I$4:$I$339,0)),0)-$AD214)</f>
        <v/>
      </c>
      <c r="AF214" s="10">
        <f>IF($A214="","",IFERROR(INDEX('2_IMPORTAR_EJECUCION'!$F$9:$F$1208,MATCH($AN214,'2_IMPORTAR_EJECUCION'!$J$9:$J$1208,0)),0))</f>
        <v/>
      </c>
      <c r="AG214" s="10">
        <f>IF($A214="","",MAX(0,IFERROR(INDEX('2_IMPORTAR_EJECUCION'!$H$9:$H$1208,MATCH($AN214,'2_IMPORTAR_EJECUCION'!$J$9:$J$1208,0)),0)-$AF214))</f>
        <v/>
      </c>
      <c r="AH214" s="10">
        <f>IF($A214="","",$AF214+$AG214)</f>
        <v/>
      </c>
      <c r="AI214" s="6" t="n"/>
      <c r="AJ214" s="6" t="n"/>
      <c r="AK214" s="6" t="n"/>
      <c r="AL214" s="3">
        <f>IF($AK214="","",HYPERLINK(p_ruta_base_checklists&amp;$AK214,"abrir"))</f>
        <v/>
      </c>
      <c r="AM214" s="6" t="n"/>
      <c r="AN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1" t="n"/>
      <c r="K215" s="3" t="n"/>
      <c r="L215" s="10" t="n"/>
      <c r="M215" s="3">
        <f>IF($A215="","",IFERROR(INDEX('AJUSTES'!$B$4:$B$303,MATCH($AN215,'AJUSTES'!$A$4:$A$303,0)),IF($K215="","",$K215)))</f>
        <v/>
      </c>
      <c r="N215" s="3">
        <f>IF($A215="","",IFERROR(INDEX('CAT_ESTADOS_ERP'!$B$4:$B$7,MATCH(IFERROR(INDEX('2_IMPORTAR_EJECUCION'!$C$9:$C$1208,MATCH($AN215,'2_IMPORTAR_EJECUCION'!$J$9:$J$1208,0)),""),'CAT_ESTADOS_ERP'!$A$4:$A$7,0)),"Pendiente"))</f>
        <v/>
      </c>
      <c r="O215" s="3">
        <f>IF($J215="","",YEAR($J215+4-WEEKDAY($J215,2))&amp;"-S"&amp;TEXT(_xlfn.ISOWEEKNUM($J215),"00"))</f>
        <v/>
      </c>
      <c r="P215" s="3">
        <f>IF($J215="","",YEAR($J215))</f>
        <v/>
      </c>
      <c r="Q215" s="3">
        <f>IF($J215="","",MONTH($J215))</f>
        <v/>
      </c>
      <c r="R215" s="3">
        <f>IF($J215="","",INDEX(lista_dias,WEEKDAY($J215,2)))</f>
        <v/>
      </c>
      <c r="S215" s="3">
        <f>IF($I215="","",IFERROR(INDEX('CAT_TIPOS_OT'!$C$4:$C$7,MATCH($I215,'CAT_TIPOS_OT'!$A$4:$A$7,0)),"sin_clasificar"))</f>
        <v/>
      </c>
      <c r="T215" s="3">
        <f>IF($F215="","",IFERROR(INDEX('CAT_CENTROS_COSTO'!$E$4:$E$9,MATCH($F215,'CAT_CENTROS_COSTO'!$A$4:$A$9,0)),"(sin catálogo)"))</f>
        <v/>
      </c>
      <c r="U215" s="3">
        <f>IF($F215="","",IFERROR(INDEX('CAT_CENTROS_COSTO'!$D$4:$D$9,MATCH($F215,'CAT_CENTROS_COSTO'!$A$4:$A$9,0)),"(sin catálogo)"))</f>
        <v/>
      </c>
      <c r="V215" s="3">
        <f>IF($F215="","",IFERROR(INDEX('CAT_CENTROS_COSTO'!$F$4:$F$9,MATCH($F215,'CAT_CENTROS_COSTO'!$A$4:$A$9,0)),"(sin catálogo)"))</f>
        <v/>
      </c>
      <c r="W215" s="3">
        <f>IF($G215="","",IFERROR(INDEX('CAT_PUESTOS'!$B$4:$B$8,MATCH($G215,'CAT_PUESTOS'!$A$4:$A$8,0)),"(sin catálogo)"))</f>
        <v/>
      </c>
      <c r="X215" s="3">
        <f>IF($H215="","",IFERROR(INDEX('CAT_ACTIVIDADES'!$B$4:$B$8,MATCH($H215,'CAT_ACTIVIDADES'!$A$4:$A$8,0)),"(sin catálogo)"))</f>
        <v/>
      </c>
      <c r="Y215" s="12">
        <f>IF($J215="","",TODAY()-$J215)</f>
        <v/>
      </c>
      <c r="Z215" s="3">
        <f>IF($Y215="","",IF($Y215&lt;0,"FUTURO",IF($Y215&gt;p_dias_backlog_max,"BACKLOG","MES CORRIENTE")))</f>
        <v/>
      </c>
      <c r="AA215" s="3">
        <f>IF($Y215="",FALSE,AND($Y215&gt;p_dias_backlog_min,$Y215&lt;=p_dias_backlog_max))</f>
        <v/>
      </c>
      <c r="AB215" s="6" t="n"/>
      <c r="AC215" s="3">
        <f>IF($AB215="","",IFERROR(INDEX('ASIGNACIONES'!$F$4:$F$339,MATCH($O215&amp;"|"&amp;$R215&amp;"|"&amp;$AB215,'ASIGNACIONES'!$I$4:$I$339,0)),""))</f>
        <v/>
      </c>
      <c r="AD215" s="13">
        <f>IF($AB215="","",SUMIFS('ORDENES'!$M$4:$M$1203,'ORDENES'!$AB$4:$AB$1203,$AB215,'ORDENES'!$O$4:$O$1203,$O215,'ORDENES'!$R$4:$R$1203,$R215))</f>
        <v/>
      </c>
      <c r="AE215" s="13">
        <f>IF($AD215="","",p_factor_productividad*IFERROR(INDEX('ASIGNACIONES'!$H$4:$H$339,MATCH($O215&amp;"|"&amp;$R215&amp;"|"&amp;$AB215,'ASIGNACIONES'!$I$4:$I$339,0)),0)-$AD215)</f>
        <v/>
      </c>
      <c r="AF215" s="10">
        <f>IF($A215="","",IFERROR(INDEX('2_IMPORTAR_EJECUCION'!$F$9:$F$1208,MATCH($AN215,'2_IMPORTAR_EJECUCION'!$J$9:$J$1208,0)),0))</f>
        <v/>
      </c>
      <c r="AG215" s="10">
        <f>IF($A215="","",MAX(0,IFERROR(INDEX('2_IMPORTAR_EJECUCION'!$H$9:$H$1208,MATCH($AN215,'2_IMPORTAR_EJECUCION'!$J$9:$J$1208,0)),0)-$AF215))</f>
        <v/>
      </c>
      <c r="AH215" s="10">
        <f>IF($A215="","",$AF215+$AG215)</f>
        <v/>
      </c>
      <c r="AI215" s="6" t="n"/>
      <c r="AJ215" s="6" t="n"/>
      <c r="AK215" s="6" t="n"/>
      <c r="AL215" s="3">
        <f>IF($AK215="","",HYPERLINK(p_ruta_base_checklists&amp;$AK215,"abrir"))</f>
        <v/>
      </c>
      <c r="AM215" s="6" t="n"/>
      <c r="AN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1" t="n"/>
      <c r="K216" s="3" t="n"/>
      <c r="L216" s="10" t="n"/>
      <c r="M216" s="3">
        <f>IF($A216="","",IFERROR(INDEX('AJUSTES'!$B$4:$B$303,MATCH($AN216,'AJUSTES'!$A$4:$A$303,0)),IF($K216="","",$K216)))</f>
        <v/>
      </c>
      <c r="N216" s="3">
        <f>IF($A216="","",IFERROR(INDEX('CAT_ESTADOS_ERP'!$B$4:$B$7,MATCH(IFERROR(INDEX('2_IMPORTAR_EJECUCION'!$C$9:$C$1208,MATCH($AN216,'2_IMPORTAR_EJECUCION'!$J$9:$J$1208,0)),""),'CAT_ESTADOS_ERP'!$A$4:$A$7,0)),"Pendiente"))</f>
        <v/>
      </c>
      <c r="O216" s="3">
        <f>IF($J216="","",YEAR($J216+4-WEEKDAY($J216,2))&amp;"-S"&amp;TEXT(_xlfn.ISOWEEKNUM($J216),"00"))</f>
        <v/>
      </c>
      <c r="P216" s="3">
        <f>IF($J216="","",YEAR($J216))</f>
        <v/>
      </c>
      <c r="Q216" s="3">
        <f>IF($J216="","",MONTH($J216))</f>
        <v/>
      </c>
      <c r="R216" s="3">
        <f>IF($J216="","",INDEX(lista_dias,WEEKDAY($J216,2)))</f>
        <v/>
      </c>
      <c r="S216" s="3">
        <f>IF($I216="","",IFERROR(INDEX('CAT_TIPOS_OT'!$C$4:$C$7,MATCH($I216,'CAT_TIPOS_OT'!$A$4:$A$7,0)),"sin_clasificar"))</f>
        <v/>
      </c>
      <c r="T216" s="3">
        <f>IF($F216="","",IFERROR(INDEX('CAT_CENTROS_COSTO'!$E$4:$E$9,MATCH($F216,'CAT_CENTROS_COSTO'!$A$4:$A$9,0)),"(sin catálogo)"))</f>
        <v/>
      </c>
      <c r="U216" s="3">
        <f>IF($F216="","",IFERROR(INDEX('CAT_CENTROS_COSTO'!$D$4:$D$9,MATCH($F216,'CAT_CENTROS_COSTO'!$A$4:$A$9,0)),"(sin catálogo)"))</f>
        <v/>
      </c>
      <c r="V216" s="3">
        <f>IF($F216="","",IFERROR(INDEX('CAT_CENTROS_COSTO'!$F$4:$F$9,MATCH($F216,'CAT_CENTROS_COSTO'!$A$4:$A$9,0)),"(sin catálogo)"))</f>
        <v/>
      </c>
      <c r="W216" s="3">
        <f>IF($G216="","",IFERROR(INDEX('CAT_PUESTOS'!$B$4:$B$8,MATCH($G216,'CAT_PUESTOS'!$A$4:$A$8,0)),"(sin catálogo)"))</f>
        <v/>
      </c>
      <c r="X216" s="3">
        <f>IF($H216="","",IFERROR(INDEX('CAT_ACTIVIDADES'!$B$4:$B$8,MATCH($H216,'CAT_ACTIVIDADES'!$A$4:$A$8,0)),"(sin catálogo)"))</f>
        <v/>
      </c>
      <c r="Y216" s="12">
        <f>IF($J216="","",TODAY()-$J216)</f>
        <v/>
      </c>
      <c r="Z216" s="3">
        <f>IF($Y216="","",IF($Y216&lt;0,"FUTURO",IF($Y216&gt;p_dias_backlog_max,"BACKLOG","MES CORRIENTE")))</f>
        <v/>
      </c>
      <c r="AA216" s="3">
        <f>IF($Y216="",FALSE,AND($Y216&gt;p_dias_backlog_min,$Y216&lt;=p_dias_backlog_max))</f>
        <v/>
      </c>
      <c r="AB216" s="6" t="n"/>
      <c r="AC216" s="3">
        <f>IF($AB216="","",IFERROR(INDEX('ASIGNACIONES'!$F$4:$F$339,MATCH($O216&amp;"|"&amp;$R216&amp;"|"&amp;$AB216,'ASIGNACIONES'!$I$4:$I$339,0)),""))</f>
        <v/>
      </c>
      <c r="AD216" s="13">
        <f>IF($AB216="","",SUMIFS('ORDENES'!$M$4:$M$1203,'ORDENES'!$AB$4:$AB$1203,$AB216,'ORDENES'!$O$4:$O$1203,$O216,'ORDENES'!$R$4:$R$1203,$R216))</f>
        <v/>
      </c>
      <c r="AE216" s="13">
        <f>IF($AD216="","",p_factor_productividad*IFERROR(INDEX('ASIGNACIONES'!$H$4:$H$339,MATCH($O216&amp;"|"&amp;$R216&amp;"|"&amp;$AB216,'ASIGNACIONES'!$I$4:$I$339,0)),0)-$AD216)</f>
        <v/>
      </c>
      <c r="AF216" s="10">
        <f>IF($A216="","",IFERROR(INDEX('2_IMPORTAR_EJECUCION'!$F$9:$F$1208,MATCH($AN216,'2_IMPORTAR_EJECUCION'!$J$9:$J$1208,0)),0))</f>
        <v/>
      </c>
      <c r="AG216" s="10">
        <f>IF($A216="","",MAX(0,IFERROR(INDEX('2_IMPORTAR_EJECUCION'!$H$9:$H$1208,MATCH($AN216,'2_IMPORTAR_EJECUCION'!$J$9:$J$1208,0)),0)-$AF216))</f>
        <v/>
      </c>
      <c r="AH216" s="10">
        <f>IF($A216="","",$AF216+$AG216)</f>
        <v/>
      </c>
      <c r="AI216" s="6" t="n"/>
      <c r="AJ216" s="6" t="n"/>
      <c r="AK216" s="6" t="n"/>
      <c r="AL216" s="3">
        <f>IF($AK216="","",HYPERLINK(p_ruta_base_checklists&amp;$AK216,"abrir"))</f>
        <v/>
      </c>
      <c r="AM216" s="6" t="n"/>
      <c r="AN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1" t="n"/>
      <c r="K217" s="3" t="n"/>
      <c r="L217" s="10" t="n"/>
      <c r="M217" s="3">
        <f>IF($A217="","",IFERROR(INDEX('AJUSTES'!$B$4:$B$303,MATCH($AN217,'AJUSTES'!$A$4:$A$303,0)),IF($K217="","",$K217)))</f>
        <v/>
      </c>
      <c r="N217" s="3">
        <f>IF($A217="","",IFERROR(INDEX('CAT_ESTADOS_ERP'!$B$4:$B$7,MATCH(IFERROR(INDEX('2_IMPORTAR_EJECUCION'!$C$9:$C$1208,MATCH($AN217,'2_IMPORTAR_EJECUCION'!$J$9:$J$1208,0)),""),'CAT_ESTADOS_ERP'!$A$4:$A$7,0)),"Pendiente"))</f>
        <v/>
      </c>
      <c r="O217" s="3">
        <f>IF($J217="","",YEAR($J217+4-WEEKDAY($J217,2))&amp;"-S"&amp;TEXT(_xlfn.ISOWEEKNUM($J217),"00"))</f>
        <v/>
      </c>
      <c r="P217" s="3">
        <f>IF($J217="","",YEAR($J217))</f>
        <v/>
      </c>
      <c r="Q217" s="3">
        <f>IF($J217="","",MONTH($J217))</f>
        <v/>
      </c>
      <c r="R217" s="3">
        <f>IF($J217="","",INDEX(lista_dias,WEEKDAY($J217,2)))</f>
        <v/>
      </c>
      <c r="S217" s="3">
        <f>IF($I217="","",IFERROR(INDEX('CAT_TIPOS_OT'!$C$4:$C$7,MATCH($I217,'CAT_TIPOS_OT'!$A$4:$A$7,0)),"sin_clasificar"))</f>
        <v/>
      </c>
      <c r="T217" s="3">
        <f>IF($F217="","",IFERROR(INDEX('CAT_CENTROS_COSTO'!$E$4:$E$9,MATCH($F217,'CAT_CENTROS_COSTO'!$A$4:$A$9,0)),"(sin catálogo)"))</f>
        <v/>
      </c>
      <c r="U217" s="3">
        <f>IF($F217="","",IFERROR(INDEX('CAT_CENTROS_COSTO'!$D$4:$D$9,MATCH($F217,'CAT_CENTROS_COSTO'!$A$4:$A$9,0)),"(sin catálogo)"))</f>
        <v/>
      </c>
      <c r="V217" s="3">
        <f>IF($F217="","",IFERROR(INDEX('CAT_CENTROS_COSTO'!$F$4:$F$9,MATCH($F217,'CAT_CENTROS_COSTO'!$A$4:$A$9,0)),"(sin catálogo)"))</f>
        <v/>
      </c>
      <c r="W217" s="3">
        <f>IF($G217="","",IFERROR(INDEX('CAT_PUESTOS'!$B$4:$B$8,MATCH($G217,'CAT_PUESTOS'!$A$4:$A$8,0)),"(sin catálogo)"))</f>
        <v/>
      </c>
      <c r="X217" s="3">
        <f>IF($H217="","",IFERROR(INDEX('CAT_ACTIVIDADES'!$B$4:$B$8,MATCH($H217,'CAT_ACTIVIDADES'!$A$4:$A$8,0)),"(sin catálogo)"))</f>
        <v/>
      </c>
      <c r="Y217" s="12">
        <f>IF($J217="","",TODAY()-$J217)</f>
        <v/>
      </c>
      <c r="Z217" s="3">
        <f>IF($Y217="","",IF($Y217&lt;0,"FUTURO",IF($Y217&gt;p_dias_backlog_max,"BACKLOG","MES CORRIENTE")))</f>
        <v/>
      </c>
      <c r="AA217" s="3">
        <f>IF($Y217="",FALSE,AND($Y217&gt;p_dias_backlog_min,$Y217&lt;=p_dias_backlog_max))</f>
        <v/>
      </c>
      <c r="AB217" s="6" t="n"/>
      <c r="AC217" s="3">
        <f>IF($AB217="","",IFERROR(INDEX('ASIGNACIONES'!$F$4:$F$339,MATCH($O217&amp;"|"&amp;$R217&amp;"|"&amp;$AB217,'ASIGNACIONES'!$I$4:$I$339,0)),""))</f>
        <v/>
      </c>
      <c r="AD217" s="13">
        <f>IF($AB217="","",SUMIFS('ORDENES'!$M$4:$M$1203,'ORDENES'!$AB$4:$AB$1203,$AB217,'ORDENES'!$O$4:$O$1203,$O217,'ORDENES'!$R$4:$R$1203,$R217))</f>
        <v/>
      </c>
      <c r="AE217" s="13">
        <f>IF($AD217="","",p_factor_productividad*IFERROR(INDEX('ASIGNACIONES'!$H$4:$H$339,MATCH($O217&amp;"|"&amp;$R217&amp;"|"&amp;$AB217,'ASIGNACIONES'!$I$4:$I$339,0)),0)-$AD217)</f>
        <v/>
      </c>
      <c r="AF217" s="10">
        <f>IF($A217="","",IFERROR(INDEX('2_IMPORTAR_EJECUCION'!$F$9:$F$1208,MATCH($AN217,'2_IMPORTAR_EJECUCION'!$J$9:$J$1208,0)),0))</f>
        <v/>
      </c>
      <c r="AG217" s="10">
        <f>IF($A217="","",MAX(0,IFERROR(INDEX('2_IMPORTAR_EJECUCION'!$H$9:$H$1208,MATCH($AN217,'2_IMPORTAR_EJECUCION'!$J$9:$J$1208,0)),0)-$AF217))</f>
        <v/>
      </c>
      <c r="AH217" s="10">
        <f>IF($A217="","",$AF217+$AG217)</f>
        <v/>
      </c>
      <c r="AI217" s="6" t="n"/>
      <c r="AJ217" s="6" t="n"/>
      <c r="AK217" s="6" t="n"/>
      <c r="AL217" s="3">
        <f>IF($AK217="","",HYPERLINK(p_ruta_base_checklists&amp;$AK217,"abrir"))</f>
        <v/>
      </c>
      <c r="AM217" s="6" t="n"/>
      <c r="AN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1" t="n"/>
      <c r="K218" s="3" t="n"/>
      <c r="L218" s="10" t="n"/>
      <c r="M218" s="3">
        <f>IF($A218="","",IFERROR(INDEX('AJUSTES'!$B$4:$B$303,MATCH($AN218,'AJUSTES'!$A$4:$A$303,0)),IF($K218="","",$K218)))</f>
        <v/>
      </c>
      <c r="N218" s="3">
        <f>IF($A218="","",IFERROR(INDEX('CAT_ESTADOS_ERP'!$B$4:$B$7,MATCH(IFERROR(INDEX('2_IMPORTAR_EJECUCION'!$C$9:$C$1208,MATCH($AN218,'2_IMPORTAR_EJECUCION'!$J$9:$J$1208,0)),""),'CAT_ESTADOS_ERP'!$A$4:$A$7,0)),"Pendiente"))</f>
        <v/>
      </c>
      <c r="O218" s="3">
        <f>IF($J218="","",YEAR($J218+4-WEEKDAY($J218,2))&amp;"-S"&amp;TEXT(_xlfn.ISOWEEKNUM($J218),"00"))</f>
        <v/>
      </c>
      <c r="P218" s="3">
        <f>IF($J218="","",YEAR($J218))</f>
        <v/>
      </c>
      <c r="Q218" s="3">
        <f>IF($J218="","",MONTH($J218))</f>
        <v/>
      </c>
      <c r="R218" s="3">
        <f>IF($J218="","",INDEX(lista_dias,WEEKDAY($J218,2)))</f>
        <v/>
      </c>
      <c r="S218" s="3">
        <f>IF($I218="","",IFERROR(INDEX('CAT_TIPOS_OT'!$C$4:$C$7,MATCH($I218,'CAT_TIPOS_OT'!$A$4:$A$7,0)),"sin_clasificar"))</f>
        <v/>
      </c>
      <c r="T218" s="3">
        <f>IF($F218="","",IFERROR(INDEX('CAT_CENTROS_COSTO'!$E$4:$E$9,MATCH($F218,'CAT_CENTROS_COSTO'!$A$4:$A$9,0)),"(sin catálogo)"))</f>
        <v/>
      </c>
      <c r="U218" s="3">
        <f>IF($F218="","",IFERROR(INDEX('CAT_CENTROS_COSTO'!$D$4:$D$9,MATCH($F218,'CAT_CENTROS_COSTO'!$A$4:$A$9,0)),"(sin catálogo)"))</f>
        <v/>
      </c>
      <c r="V218" s="3">
        <f>IF($F218="","",IFERROR(INDEX('CAT_CENTROS_COSTO'!$F$4:$F$9,MATCH($F218,'CAT_CENTROS_COSTO'!$A$4:$A$9,0)),"(sin catálogo)"))</f>
        <v/>
      </c>
      <c r="W218" s="3">
        <f>IF($G218="","",IFERROR(INDEX('CAT_PUESTOS'!$B$4:$B$8,MATCH($G218,'CAT_PUESTOS'!$A$4:$A$8,0)),"(sin catálogo)"))</f>
        <v/>
      </c>
      <c r="X218" s="3">
        <f>IF($H218="","",IFERROR(INDEX('CAT_ACTIVIDADES'!$B$4:$B$8,MATCH($H218,'CAT_ACTIVIDADES'!$A$4:$A$8,0)),"(sin catálogo)"))</f>
        <v/>
      </c>
      <c r="Y218" s="12">
        <f>IF($J218="","",TODAY()-$J218)</f>
        <v/>
      </c>
      <c r="Z218" s="3">
        <f>IF($Y218="","",IF($Y218&lt;0,"FUTURO",IF($Y218&gt;p_dias_backlog_max,"BACKLOG","MES CORRIENTE")))</f>
        <v/>
      </c>
      <c r="AA218" s="3">
        <f>IF($Y218="",FALSE,AND($Y218&gt;p_dias_backlog_min,$Y218&lt;=p_dias_backlog_max))</f>
        <v/>
      </c>
      <c r="AB218" s="6" t="n"/>
      <c r="AC218" s="3">
        <f>IF($AB218="","",IFERROR(INDEX('ASIGNACIONES'!$F$4:$F$339,MATCH($O218&amp;"|"&amp;$R218&amp;"|"&amp;$AB218,'ASIGNACIONES'!$I$4:$I$339,0)),""))</f>
        <v/>
      </c>
      <c r="AD218" s="13">
        <f>IF($AB218="","",SUMIFS('ORDENES'!$M$4:$M$1203,'ORDENES'!$AB$4:$AB$1203,$AB218,'ORDENES'!$O$4:$O$1203,$O218,'ORDENES'!$R$4:$R$1203,$R218))</f>
        <v/>
      </c>
      <c r="AE218" s="13">
        <f>IF($AD218="","",p_factor_productividad*IFERROR(INDEX('ASIGNACIONES'!$H$4:$H$339,MATCH($O218&amp;"|"&amp;$R218&amp;"|"&amp;$AB218,'ASIGNACIONES'!$I$4:$I$339,0)),0)-$AD218)</f>
        <v/>
      </c>
      <c r="AF218" s="10">
        <f>IF($A218="","",IFERROR(INDEX('2_IMPORTAR_EJECUCION'!$F$9:$F$1208,MATCH($AN218,'2_IMPORTAR_EJECUCION'!$J$9:$J$1208,0)),0))</f>
        <v/>
      </c>
      <c r="AG218" s="10">
        <f>IF($A218="","",MAX(0,IFERROR(INDEX('2_IMPORTAR_EJECUCION'!$H$9:$H$1208,MATCH($AN218,'2_IMPORTAR_EJECUCION'!$J$9:$J$1208,0)),0)-$AF218))</f>
        <v/>
      </c>
      <c r="AH218" s="10">
        <f>IF($A218="","",$AF218+$AG218)</f>
        <v/>
      </c>
      <c r="AI218" s="6" t="n"/>
      <c r="AJ218" s="6" t="n"/>
      <c r="AK218" s="6" t="n"/>
      <c r="AL218" s="3">
        <f>IF($AK218="","",HYPERLINK(p_ruta_base_checklists&amp;$AK218,"abrir"))</f>
        <v/>
      </c>
      <c r="AM218" s="6" t="n"/>
      <c r="AN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1" t="n"/>
      <c r="K219" s="3" t="n"/>
      <c r="L219" s="10" t="n"/>
      <c r="M219" s="3">
        <f>IF($A219="","",IFERROR(INDEX('AJUSTES'!$B$4:$B$303,MATCH($AN219,'AJUSTES'!$A$4:$A$303,0)),IF($K219="","",$K219)))</f>
        <v/>
      </c>
      <c r="N219" s="3">
        <f>IF($A219="","",IFERROR(INDEX('CAT_ESTADOS_ERP'!$B$4:$B$7,MATCH(IFERROR(INDEX('2_IMPORTAR_EJECUCION'!$C$9:$C$1208,MATCH($AN219,'2_IMPORTAR_EJECUCION'!$J$9:$J$1208,0)),""),'CAT_ESTADOS_ERP'!$A$4:$A$7,0)),"Pendiente"))</f>
        <v/>
      </c>
      <c r="O219" s="3">
        <f>IF($J219="","",YEAR($J219+4-WEEKDAY($J219,2))&amp;"-S"&amp;TEXT(_xlfn.ISOWEEKNUM($J219),"00"))</f>
        <v/>
      </c>
      <c r="P219" s="3">
        <f>IF($J219="","",YEAR($J219))</f>
        <v/>
      </c>
      <c r="Q219" s="3">
        <f>IF($J219="","",MONTH($J219))</f>
        <v/>
      </c>
      <c r="R219" s="3">
        <f>IF($J219="","",INDEX(lista_dias,WEEKDAY($J219,2)))</f>
        <v/>
      </c>
      <c r="S219" s="3">
        <f>IF($I219="","",IFERROR(INDEX('CAT_TIPOS_OT'!$C$4:$C$7,MATCH($I219,'CAT_TIPOS_OT'!$A$4:$A$7,0)),"sin_clasificar"))</f>
        <v/>
      </c>
      <c r="T219" s="3">
        <f>IF($F219="","",IFERROR(INDEX('CAT_CENTROS_COSTO'!$E$4:$E$9,MATCH($F219,'CAT_CENTROS_COSTO'!$A$4:$A$9,0)),"(sin catálogo)"))</f>
        <v/>
      </c>
      <c r="U219" s="3">
        <f>IF($F219="","",IFERROR(INDEX('CAT_CENTROS_COSTO'!$D$4:$D$9,MATCH($F219,'CAT_CENTROS_COSTO'!$A$4:$A$9,0)),"(sin catálogo)"))</f>
        <v/>
      </c>
      <c r="V219" s="3">
        <f>IF($F219="","",IFERROR(INDEX('CAT_CENTROS_COSTO'!$F$4:$F$9,MATCH($F219,'CAT_CENTROS_COSTO'!$A$4:$A$9,0)),"(sin catálogo)"))</f>
        <v/>
      </c>
      <c r="W219" s="3">
        <f>IF($G219="","",IFERROR(INDEX('CAT_PUESTOS'!$B$4:$B$8,MATCH($G219,'CAT_PUESTOS'!$A$4:$A$8,0)),"(sin catálogo)"))</f>
        <v/>
      </c>
      <c r="X219" s="3">
        <f>IF($H219="","",IFERROR(INDEX('CAT_ACTIVIDADES'!$B$4:$B$8,MATCH($H219,'CAT_ACTIVIDADES'!$A$4:$A$8,0)),"(sin catálogo)"))</f>
        <v/>
      </c>
      <c r="Y219" s="12">
        <f>IF($J219="","",TODAY()-$J219)</f>
        <v/>
      </c>
      <c r="Z219" s="3">
        <f>IF($Y219="","",IF($Y219&lt;0,"FUTURO",IF($Y219&gt;p_dias_backlog_max,"BACKLOG","MES CORRIENTE")))</f>
        <v/>
      </c>
      <c r="AA219" s="3">
        <f>IF($Y219="",FALSE,AND($Y219&gt;p_dias_backlog_min,$Y219&lt;=p_dias_backlog_max))</f>
        <v/>
      </c>
      <c r="AB219" s="6" t="n"/>
      <c r="AC219" s="3">
        <f>IF($AB219="","",IFERROR(INDEX('ASIGNACIONES'!$F$4:$F$339,MATCH($O219&amp;"|"&amp;$R219&amp;"|"&amp;$AB219,'ASIGNACIONES'!$I$4:$I$339,0)),""))</f>
        <v/>
      </c>
      <c r="AD219" s="13">
        <f>IF($AB219="","",SUMIFS('ORDENES'!$M$4:$M$1203,'ORDENES'!$AB$4:$AB$1203,$AB219,'ORDENES'!$O$4:$O$1203,$O219,'ORDENES'!$R$4:$R$1203,$R219))</f>
        <v/>
      </c>
      <c r="AE219" s="13">
        <f>IF($AD219="","",p_factor_productividad*IFERROR(INDEX('ASIGNACIONES'!$H$4:$H$339,MATCH($O219&amp;"|"&amp;$R219&amp;"|"&amp;$AB219,'ASIGNACIONES'!$I$4:$I$339,0)),0)-$AD219)</f>
        <v/>
      </c>
      <c r="AF219" s="10">
        <f>IF($A219="","",IFERROR(INDEX('2_IMPORTAR_EJECUCION'!$F$9:$F$1208,MATCH($AN219,'2_IMPORTAR_EJECUCION'!$J$9:$J$1208,0)),0))</f>
        <v/>
      </c>
      <c r="AG219" s="10">
        <f>IF($A219="","",MAX(0,IFERROR(INDEX('2_IMPORTAR_EJECUCION'!$H$9:$H$1208,MATCH($AN219,'2_IMPORTAR_EJECUCION'!$J$9:$J$1208,0)),0)-$AF219))</f>
        <v/>
      </c>
      <c r="AH219" s="10">
        <f>IF($A219="","",$AF219+$AG219)</f>
        <v/>
      </c>
      <c r="AI219" s="6" t="n"/>
      <c r="AJ219" s="6" t="n"/>
      <c r="AK219" s="6" t="n"/>
      <c r="AL219" s="3">
        <f>IF($AK219="","",HYPERLINK(p_ruta_base_checklists&amp;$AK219,"abrir"))</f>
        <v/>
      </c>
      <c r="AM219" s="6" t="n"/>
      <c r="AN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1" t="n"/>
      <c r="K220" s="3" t="n"/>
      <c r="L220" s="10" t="n"/>
      <c r="M220" s="3">
        <f>IF($A220="","",IFERROR(INDEX('AJUSTES'!$B$4:$B$303,MATCH($AN220,'AJUSTES'!$A$4:$A$303,0)),IF($K220="","",$K220)))</f>
        <v/>
      </c>
      <c r="N220" s="3">
        <f>IF($A220="","",IFERROR(INDEX('CAT_ESTADOS_ERP'!$B$4:$B$7,MATCH(IFERROR(INDEX('2_IMPORTAR_EJECUCION'!$C$9:$C$1208,MATCH($AN220,'2_IMPORTAR_EJECUCION'!$J$9:$J$1208,0)),""),'CAT_ESTADOS_ERP'!$A$4:$A$7,0)),"Pendiente"))</f>
        <v/>
      </c>
      <c r="O220" s="3">
        <f>IF($J220="","",YEAR($J220+4-WEEKDAY($J220,2))&amp;"-S"&amp;TEXT(_xlfn.ISOWEEKNUM($J220),"00"))</f>
        <v/>
      </c>
      <c r="P220" s="3">
        <f>IF($J220="","",YEAR($J220))</f>
        <v/>
      </c>
      <c r="Q220" s="3">
        <f>IF($J220="","",MONTH($J220))</f>
        <v/>
      </c>
      <c r="R220" s="3">
        <f>IF($J220="","",INDEX(lista_dias,WEEKDAY($J220,2)))</f>
        <v/>
      </c>
      <c r="S220" s="3">
        <f>IF($I220="","",IFERROR(INDEX('CAT_TIPOS_OT'!$C$4:$C$7,MATCH($I220,'CAT_TIPOS_OT'!$A$4:$A$7,0)),"sin_clasificar"))</f>
        <v/>
      </c>
      <c r="T220" s="3">
        <f>IF($F220="","",IFERROR(INDEX('CAT_CENTROS_COSTO'!$E$4:$E$9,MATCH($F220,'CAT_CENTROS_COSTO'!$A$4:$A$9,0)),"(sin catálogo)"))</f>
        <v/>
      </c>
      <c r="U220" s="3">
        <f>IF($F220="","",IFERROR(INDEX('CAT_CENTROS_COSTO'!$D$4:$D$9,MATCH($F220,'CAT_CENTROS_COSTO'!$A$4:$A$9,0)),"(sin catálogo)"))</f>
        <v/>
      </c>
      <c r="V220" s="3">
        <f>IF($F220="","",IFERROR(INDEX('CAT_CENTROS_COSTO'!$F$4:$F$9,MATCH($F220,'CAT_CENTROS_COSTO'!$A$4:$A$9,0)),"(sin catálogo)"))</f>
        <v/>
      </c>
      <c r="W220" s="3">
        <f>IF($G220="","",IFERROR(INDEX('CAT_PUESTOS'!$B$4:$B$8,MATCH($G220,'CAT_PUESTOS'!$A$4:$A$8,0)),"(sin catálogo)"))</f>
        <v/>
      </c>
      <c r="X220" s="3">
        <f>IF($H220="","",IFERROR(INDEX('CAT_ACTIVIDADES'!$B$4:$B$8,MATCH($H220,'CAT_ACTIVIDADES'!$A$4:$A$8,0)),"(sin catálogo)"))</f>
        <v/>
      </c>
      <c r="Y220" s="12">
        <f>IF($J220="","",TODAY()-$J220)</f>
        <v/>
      </c>
      <c r="Z220" s="3">
        <f>IF($Y220="","",IF($Y220&lt;0,"FUTURO",IF($Y220&gt;p_dias_backlog_max,"BACKLOG","MES CORRIENTE")))</f>
        <v/>
      </c>
      <c r="AA220" s="3">
        <f>IF($Y220="",FALSE,AND($Y220&gt;p_dias_backlog_min,$Y220&lt;=p_dias_backlog_max))</f>
        <v/>
      </c>
      <c r="AB220" s="6" t="n"/>
      <c r="AC220" s="3">
        <f>IF($AB220="","",IFERROR(INDEX('ASIGNACIONES'!$F$4:$F$339,MATCH($O220&amp;"|"&amp;$R220&amp;"|"&amp;$AB220,'ASIGNACIONES'!$I$4:$I$339,0)),""))</f>
        <v/>
      </c>
      <c r="AD220" s="13">
        <f>IF($AB220="","",SUMIFS('ORDENES'!$M$4:$M$1203,'ORDENES'!$AB$4:$AB$1203,$AB220,'ORDENES'!$O$4:$O$1203,$O220,'ORDENES'!$R$4:$R$1203,$R220))</f>
        <v/>
      </c>
      <c r="AE220" s="13">
        <f>IF($AD220="","",p_factor_productividad*IFERROR(INDEX('ASIGNACIONES'!$H$4:$H$339,MATCH($O220&amp;"|"&amp;$R220&amp;"|"&amp;$AB220,'ASIGNACIONES'!$I$4:$I$339,0)),0)-$AD220)</f>
        <v/>
      </c>
      <c r="AF220" s="10">
        <f>IF($A220="","",IFERROR(INDEX('2_IMPORTAR_EJECUCION'!$F$9:$F$1208,MATCH($AN220,'2_IMPORTAR_EJECUCION'!$J$9:$J$1208,0)),0))</f>
        <v/>
      </c>
      <c r="AG220" s="10">
        <f>IF($A220="","",MAX(0,IFERROR(INDEX('2_IMPORTAR_EJECUCION'!$H$9:$H$1208,MATCH($AN220,'2_IMPORTAR_EJECUCION'!$J$9:$J$1208,0)),0)-$AF220))</f>
        <v/>
      </c>
      <c r="AH220" s="10">
        <f>IF($A220="","",$AF220+$AG220)</f>
        <v/>
      </c>
      <c r="AI220" s="6" t="n"/>
      <c r="AJ220" s="6" t="n"/>
      <c r="AK220" s="6" t="n"/>
      <c r="AL220" s="3">
        <f>IF($AK220="","",HYPERLINK(p_ruta_base_checklists&amp;$AK220,"abrir"))</f>
        <v/>
      </c>
      <c r="AM220" s="6" t="n"/>
      <c r="AN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1" t="n"/>
      <c r="K221" s="3" t="n"/>
      <c r="L221" s="10" t="n"/>
      <c r="M221" s="3">
        <f>IF($A221="","",IFERROR(INDEX('AJUSTES'!$B$4:$B$303,MATCH($AN221,'AJUSTES'!$A$4:$A$303,0)),IF($K221="","",$K221)))</f>
        <v/>
      </c>
      <c r="N221" s="3">
        <f>IF($A221="","",IFERROR(INDEX('CAT_ESTADOS_ERP'!$B$4:$B$7,MATCH(IFERROR(INDEX('2_IMPORTAR_EJECUCION'!$C$9:$C$1208,MATCH($AN221,'2_IMPORTAR_EJECUCION'!$J$9:$J$1208,0)),""),'CAT_ESTADOS_ERP'!$A$4:$A$7,0)),"Pendiente"))</f>
        <v/>
      </c>
      <c r="O221" s="3">
        <f>IF($J221="","",YEAR($J221+4-WEEKDAY($J221,2))&amp;"-S"&amp;TEXT(_xlfn.ISOWEEKNUM($J221),"00"))</f>
        <v/>
      </c>
      <c r="P221" s="3">
        <f>IF($J221="","",YEAR($J221))</f>
        <v/>
      </c>
      <c r="Q221" s="3">
        <f>IF($J221="","",MONTH($J221))</f>
        <v/>
      </c>
      <c r="R221" s="3">
        <f>IF($J221="","",INDEX(lista_dias,WEEKDAY($J221,2)))</f>
        <v/>
      </c>
      <c r="S221" s="3">
        <f>IF($I221="","",IFERROR(INDEX('CAT_TIPOS_OT'!$C$4:$C$7,MATCH($I221,'CAT_TIPOS_OT'!$A$4:$A$7,0)),"sin_clasificar"))</f>
        <v/>
      </c>
      <c r="T221" s="3">
        <f>IF($F221="","",IFERROR(INDEX('CAT_CENTROS_COSTO'!$E$4:$E$9,MATCH($F221,'CAT_CENTROS_COSTO'!$A$4:$A$9,0)),"(sin catálogo)"))</f>
        <v/>
      </c>
      <c r="U221" s="3">
        <f>IF($F221="","",IFERROR(INDEX('CAT_CENTROS_COSTO'!$D$4:$D$9,MATCH($F221,'CAT_CENTROS_COSTO'!$A$4:$A$9,0)),"(sin catálogo)"))</f>
        <v/>
      </c>
      <c r="V221" s="3">
        <f>IF($F221="","",IFERROR(INDEX('CAT_CENTROS_COSTO'!$F$4:$F$9,MATCH($F221,'CAT_CENTROS_COSTO'!$A$4:$A$9,0)),"(sin catálogo)"))</f>
        <v/>
      </c>
      <c r="W221" s="3">
        <f>IF($G221="","",IFERROR(INDEX('CAT_PUESTOS'!$B$4:$B$8,MATCH($G221,'CAT_PUESTOS'!$A$4:$A$8,0)),"(sin catálogo)"))</f>
        <v/>
      </c>
      <c r="X221" s="3">
        <f>IF($H221="","",IFERROR(INDEX('CAT_ACTIVIDADES'!$B$4:$B$8,MATCH($H221,'CAT_ACTIVIDADES'!$A$4:$A$8,0)),"(sin catálogo)"))</f>
        <v/>
      </c>
      <c r="Y221" s="12">
        <f>IF($J221="","",TODAY()-$J221)</f>
        <v/>
      </c>
      <c r="Z221" s="3">
        <f>IF($Y221="","",IF($Y221&lt;0,"FUTURO",IF($Y221&gt;p_dias_backlog_max,"BACKLOG","MES CORRIENTE")))</f>
        <v/>
      </c>
      <c r="AA221" s="3">
        <f>IF($Y221="",FALSE,AND($Y221&gt;p_dias_backlog_min,$Y221&lt;=p_dias_backlog_max))</f>
        <v/>
      </c>
      <c r="AB221" s="6" t="n"/>
      <c r="AC221" s="3">
        <f>IF($AB221="","",IFERROR(INDEX('ASIGNACIONES'!$F$4:$F$339,MATCH($O221&amp;"|"&amp;$R221&amp;"|"&amp;$AB221,'ASIGNACIONES'!$I$4:$I$339,0)),""))</f>
        <v/>
      </c>
      <c r="AD221" s="13">
        <f>IF($AB221="","",SUMIFS('ORDENES'!$M$4:$M$1203,'ORDENES'!$AB$4:$AB$1203,$AB221,'ORDENES'!$O$4:$O$1203,$O221,'ORDENES'!$R$4:$R$1203,$R221))</f>
        <v/>
      </c>
      <c r="AE221" s="13">
        <f>IF($AD221="","",p_factor_productividad*IFERROR(INDEX('ASIGNACIONES'!$H$4:$H$339,MATCH($O221&amp;"|"&amp;$R221&amp;"|"&amp;$AB221,'ASIGNACIONES'!$I$4:$I$339,0)),0)-$AD221)</f>
        <v/>
      </c>
      <c r="AF221" s="10">
        <f>IF($A221="","",IFERROR(INDEX('2_IMPORTAR_EJECUCION'!$F$9:$F$1208,MATCH($AN221,'2_IMPORTAR_EJECUCION'!$J$9:$J$1208,0)),0))</f>
        <v/>
      </c>
      <c r="AG221" s="10">
        <f>IF($A221="","",MAX(0,IFERROR(INDEX('2_IMPORTAR_EJECUCION'!$H$9:$H$1208,MATCH($AN221,'2_IMPORTAR_EJECUCION'!$J$9:$J$1208,0)),0)-$AF221))</f>
        <v/>
      </c>
      <c r="AH221" s="10">
        <f>IF($A221="","",$AF221+$AG221)</f>
        <v/>
      </c>
      <c r="AI221" s="6" t="n"/>
      <c r="AJ221" s="6" t="n"/>
      <c r="AK221" s="6" t="n"/>
      <c r="AL221" s="3">
        <f>IF($AK221="","",HYPERLINK(p_ruta_base_checklists&amp;$AK221,"abrir"))</f>
        <v/>
      </c>
      <c r="AM221" s="6" t="n"/>
      <c r="AN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1" t="n"/>
      <c r="K222" s="3" t="n"/>
      <c r="L222" s="10" t="n"/>
      <c r="M222" s="3">
        <f>IF($A222="","",IFERROR(INDEX('AJUSTES'!$B$4:$B$303,MATCH($AN222,'AJUSTES'!$A$4:$A$303,0)),IF($K222="","",$K222)))</f>
        <v/>
      </c>
      <c r="N222" s="3">
        <f>IF($A222="","",IFERROR(INDEX('CAT_ESTADOS_ERP'!$B$4:$B$7,MATCH(IFERROR(INDEX('2_IMPORTAR_EJECUCION'!$C$9:$C$1208,MATCH($AN222,'2_IMPORTAR_EJECUCION'!$J$9:$J$1208,0)),""),'CAT_ESTADOS_ERP'!$A$4:$A$7,0)),"Pendiente"))</f>
        <v/>
      </c>
      <c r="O222" s="3">
        <f>IF($J222="","",YEAR($J222+4-WEEKDAY($J222,2))&amp;"-S"&amp;TEXT(_xlfn.ISOWEEKNUM($J222),"00"))</f>
        <v/>
      </c>
      <c r="P222" s="3">
        <f>IF($J222="","",YEAR($J222))</f>
        <v/>
      </c>
      <c r="Q222" s="3">
        <f>IF($J222="","",MONTH($J222))</f>
        <v/>
      </c>
      <c r="R222" s="3">
        <f>IF($J222="","",INDEX(lista_dias,WEEKDAY($J222,2)))</f>
        <v/>
      </c>
      <c r="S222" s="3">
        <f>IF($I222="","",IFERROR(INDEX('CAT_TIPOS_OT'!$C$4:$C$7,MATCH($I222,'CAT_TIPOS_OT'!$A$4:$A$7,0)),"sin_clasificar"))</f>
        <v/>
      </c>
      <c r="T222" s="3">
        <f>IF($F222="","",IFERROR(INDEX('CAT_CENTROS_COSTO'!$E$4:$E$9,MATCH($F222,'CAT_CENTROS_COSTO'!$A$4:$A$9,0)),"(sin catálogo)"))</f>
        <v/>
      </c>
      <c r="U222" s="3">
        <f>IF($F222="","",IFERROR(INDEX('CAT_CENTROS_COSTO'!$D$4:$D$9,MATCH($F222,'CAT_CENTROS_COSTO'!$A$4:$A$9,0)),"(sin catálogo)"))</f>
        <v/>
      </c>
      <c r="V222" s="3">
        <f>IF($F222="","",IFERROR(INDEX('CAT_CENTROS_COSTO'!$F$4:$F$9,MATCH($F222,'CAT_CENTROS_COSTO'!$A$4:$A$9,0)),"(sin catálogo)"))</f>
        <v/>
      </c>
      <c r="W222" s="3">
        <f>IF($G222="","",IFERROR(INDEX('CAT_PUESTOS'!$B$4:$B$8,MATCH($G222,'CAT_PUESTOS'!$A$4:$A$8,0)),"(sin catálogo)"))</f>
        <v/>
      </c>
      <c r="X222" s="3">
        <f>IF($H222="","",IFERROR(INDEX('CAT_ACTIVIDADES'!$B$4:$B$8,MATCH($H222,'CAT_ACTIVIDADES'!$A$4:$A$8,0)),"(sin catálogo)"))</f>
        <v/>
      </c>
      <c r="Y222" s="12">
        <f>IF($J222="","",TODAY()-$J222)</f>
        <v/>
      </c>
      <c r="Z222" s="3">
        <f>IF($Y222="","",IF($Y222&lt;0,"FUTURO",IF($Y222&gt;p_dias_backlog_max,"BACKLOG","MES CORRIENTE")))</f>
        <v/>
      </c>
      <c r="AA222" s="3">
        <f>IF($Y222="",FALSE,AND($Y222&gt;p_dias_backlog_min,$Y222&lt;=p_dias_backlog_max))</f>
        <v/>
      </c>
      <c r="AB222" s="6" t="n"/>
      <c r="AC222" s="3">
        <f>IF($AB222="","",IFERROR(INDEX('ASIGNACIONES'!$F$4:$F$339,MATCH($O222&amp;"|"&amp;$R222&amp;"|"&amp;$AB222,'ASIGNACIONES'!$I$4:$I$339,0)),""))</f>
        <v/>
      </c>
      <c r="AD222" s="13">
        <f>IF($AB222="","",SUMIFS('ORDENES'!$M$4:$M$1203,'ORDENES'!$AB$4:$AB$1203,$AB222,'ORDENES'!$O$4:$O$1203,$O222,'ORDENES'!$R$4:$R$1203,$R222))</f>
        <v/>
      </c>
      <c r="AE222" s="13">
        <f>IF($AD222="","",p_factor_productividad*IFERROR(INDEX('ASIGNACIONES'!$H$4:$H$339,MATCH($O222&amp;"|"&amp;$R222&amp;"|"&amp;$AB222,'ASIGNACIONES'!$I$4:$I$339,0)),0)-$AD222)</f>
        <v/>
      </c>
      <c r="AF222" s="10">
        <f>IF($A222="","",IFERROR(INDEX('2_IMPORTAR_EJECUCION'!$F$9:$F$1208,MATCH($AN222,'2_IMPORTAR_EJECUCION'!$J$9:$J$1208,0)),0))</f>
        <v/>
      </c>
      <c r="AG222" s="10">
        <f>IF($A222="","",MAX(0,IFERROR(INDEX('2_IMPORTAR_EJECUCION'!$H$9:$H$1208,MATCH($AN222,'2_IMPORTAR_EJECUCION'!$J$9:$J$1208,0)),0)-$AF222))</f>
        <v/>
      </c>
      <c r="AH222" s="10">
        <f>IF($A222="","",$AF222+$AG222)</f>
        <v/>
      </c>
      <c r="AI222" s="6" t="n"/>
      <c r="AJ222" s="6" t="n"/>
      <c r="AK222" s="6" t="n"/>
      <c r="AL222" s="3">
        <f>IF($AK222="","",HYPERLINK(p_ruta_base_checklists&amp;$AK222,"abrir"))</f>
        <v/>
      </c>
      <c r="AM222" s="6" t="n"/>
      <c r="AN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1" t="n"/>
      <c r="K223" s="3" t="n"/>
      <c r="L223" s="10" t="n"/>
      <c r="M223" s="3">
        <f>IF($A223="","",IFERROR(INDEX('AJUSTES'!$B$4:$B$303,MATCH($AN223,'AJUSTES'!$A$4:$A$303,0)),IF($K223="","",$K223)))</f>
        <v/>
      </c>
      <c r="N223" s="3">
        <f>IF($A223="","",IFERROR(INDEX('CAT_ESTADOS_ERP'!$B$4:$B$7,MATCH(IFERROR(INDEX('2_IMPORTAR_EJECUCION'!$C$9:$C$1208,MATCH($AN223,'2_IMPORTAR_EJECUCION'!$J$9:$J$1208,0)),""),'CAT_ESTADOS_ERP'!$A$4:$A$7,0)),"Pendiente"))</f>
        <v/>
      </c>
      <c r="O223" s="3">
        <f>IF($J223="","",YEAR($J223+4-WEEKDAY($J223,2))&amp;"-S"&amp;TEXT(_xlfn.ISOWEEKNUM($J223),"00"))</f>
        <v/>
      </c>
      <c r="P223" s="3">
        <f>IF($J223="","",YEAR($J223))</f>
        <v/>
      </c>
      <c r="Q223" s="3">
        <f>IF($J223="","",MONTH($J223))</f>
        <v/>
      </c>
      <c r="R223" s="3">
        <f>IF($J223="","",INDEX(lista_dias,WEEKDAY($J223,2)))</f>
        <v/>
      </c>
      <c r="S223" s="3">
        <f>IF($I223="","",IFERROR(INDEX('CAT_TIPOS_OT'!$C$4:$C$7,MATCH($I223,'CAT_TIPOS_OT'!$A$4:$A$7,0)),"sin_clasificar"))</f>
        <v/>
      </c>
      <c r="T223" s="3">
        <f>IF($F223="","",IFERROR(INDEX('CAT_CENTROS_COSTO'!$E$4:$E$9,MATCH($F223,'CAT_CENTROS_COSTO'!$A$4:$A$9,0)),"(sin catálogo)"))</f>
        <v/>
      </c>
      <c r="U223" s="3">
        <f>IF($F223="","",IFERROR(INDEX('CAT_CENTROS_COSTO'!$D$4:$D$9,MATCH($F223,'CAT_CENTROS_COSTO'!$A$4:$A$9,0)),"(sin catálogo)"))</f>
        <v/>
      </c>
      <c r="V223" s="3">
        <f>IF($F223="","",IFERROR(INDEX('CAT_CENTROS_COSTO'!$F$4:$F$9,MATCH($F223,'CAT_CENTROS_COSTO'!$A$4:$A$9,0)),"(sin catálogo)"))</f>
        <v/>
      </c>
      <c r="W223" s="3">
        <f>IF($G223="","",IFERROR(INDEX('CAT_PUESTOS'!$B$4:$B$8,MATCH($G223,'CAT_PUESTOS'!$A$4:$A$8,0)),"(sin catálogo)"))</f>
        <v/>
      </c>
      <c r="X223" s="3">
        <f>IF($H223="","",IFERROR(INDEX('CAT_ACTIVIDADES'!$B$4:$B$8,MATCH($H223,'CAT_ACTIVIDADES'!$A$4:$A$8,0)),"(sin catálogo)"))</f>
        <v/>
      </c>
      <c r="Y223" s="12">
        <f>IF($J223="","",TODAY()-$J223)</f>
        <v/>
      </c>
      <c r="Z223" s="3">
        <f>IF($Y223="","",IF($Y223&lt;0,"FUTURO",IF($Y223&gt;p_dias_backlog_max,"BACKLOG","MES CORRIENTE")))</f>
        <v/>
      </c>
      <c r="AA223" s="3">
        <f>IF($Y223="",FALSE,AND($Y223&gt;p_dias_backlog_min,$Y223&lt;=p_dias_backlog_max))</f>
        <v/>
      </c>
      <c r="AB223" s="6" t="n"/>
      <c r="AC223" s="3">
        <f>IF($AB223="","",IFERROR(INDEX('ASIGNACIONES'!$F$4:$F$339,MATCH($O223&amp;"|"&amp;$R223&amp;"|"&amp;$AB223,'ASIGNACIONES'!$I$4:$I$339,0)),""))</f>
        <v/>
      </c>
      <c r="AD223" s="13">
        <f>IF($AB223="","",SUMIFS('ORDENES'!$M$4:$M$1203,'ORDENES'!$AB$4:$AB$1203,$AB223,'ORDENES'!$O$4:$O$1203,$O223,'ORDENES'!$R$4:$R$1203,$R223))</f>
        <v/>
      </c>
      <c r="AE223" s="13">
        <f>IF($AD223="","",p_factor_productividad*IFERROR(INDEX('ASIGNACIONES'!$H$4:$H$339,MATCH($O223&amp;"|"&amp;$R223&amp;"|"&amp;$AB223,'ASIGNACIONES'!$I$4:$I$339,0)),0)-$AD223)</f>
        <v/>
      </c>
      <c r="AF223" s="10">
        <f>IF($A223="","",IFERROR(INDEX('2_IMPORTAR_EJECUCION'!$F$9:$F$1208,MATCH($AN223,'2_IMPORTAR_EJECUCION'!$J$9:$J$1208,0)),0))</f>
        <v/>
      </c>
      <c r="AG223" s="10">
        <f>IF($A223="","",MAX(0,IFERROR(INDEX('2_IMPORTAR_EJECUCION'!$H$9:$H$1208,MATCH($AN223,'2_IMPORTAR_EJECUCION'!$J$9:$J$1208,0)),0)-$AF223))</f>
        <v/>
      </c>
      <c r="AH223" s="10">
        <f>IF($A223="","",$AF223+$AG223)</f>
        <v/>
      </c>
      <c r="AI223" s="6" t="n"/>
      <c r="AJ223" s="6" t="n"/>
      <c r="AK223" s="6" t="n"/>
      <c r="AL223" s="3">
        <f>IF($AK223="","",HYPERLINK(p_ruta_base_checklists&amp;$AK223,"abrir"))</f>
        <v/>
      </c>
      <c r="AM223" s="6" t="n"/>
      <c r="AN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1" t="n"/>
      <c r="K224" s="3" t="n"/>
      <c r="L224" s="10" t="n"/>
      <c r="M224" s="3">
        <f>IF($A224="","",IFERROR(INDEX('AJUSTES'!$B$4:$B$303,MATCH($AN224,'AJUSTES'!$A$4:$A$303,0)),IF($K224="","",$K224)))</f>
        <v/>
      </c>
      <c r="N224" s="3">
        <f>IF($A224="","",IFERROR(INDEX('CAT_ESTADOS_ERP'!$B$4:$B$7,MATCH(IFERROR(INDEX('2_IMPORTAR_EJECUCION'!$C$9:$C$1208,MATCH($AN224,'2_IMPORTAR_EJECUCION'!$J$9:$J$1208,0)),""),'CAT_ESTADOS_ERP'!$A$4:$A$7,0)),"Pendiente"))</f>
        <v/>
      </c>
      <c r="O224" s="3">
        <f>IF($J224="","",YEAR($J224+4-WEEKDAY($J224,2))&amp;"-S"&amp;TEXT(_xlfn.ISOWEEKNUM($J224),"00"))</f>
        <v/>
      </c>
      <c r="P224" s="3">
        <f>IF($J224="","",YEAR($J224))</f>
        <v/>
      </c>
      <c r="Q224" s="3">
        <f>IF($J224="","",MONTH($J224))</f>
        <v/>
      </c>
      <c r="R224" s="3">
        <f>IF($J224="","",INDEX(lista_dias,WEEKDAY($J224,2)))</f>
        <v/>
      </c>
      <c r="S224" s="3">
        <f>IF($I224="","",IFERROR(INDEX('CAT_TIPOS_OT'!$C$4:$C$7,MATCH($I224,'CAT_TIPOS_OT'!$A$4:$A$7,0)),"sin_clasificar"))</f>
        <v/>
      </c>
      <c r="T224" s="3">
        <f>IF($F224="","",IFERROR(INDEX('CAT_CENTROS_COSTO'!$E$4:$E$9,MATCH($F224,'CAT_CENTROS_COSTO'!$A$4:$A$9,0)),"(sin catálogo)"))</f>
        <v/>
      </c>
      <c r="U224" s="3">
        <f>IF($F224="","",IFERROR(INDEX('CAT_CENTROS_COSTO'!$D$4:$D$9,MATCH($F224,'CAT_CENTROS_COSTO'!$A$4:$A$9,0)),"(sin catálogo)"))</f>
        <v/>
      </c>
      <c r="V224" s="3">
        <f>IF($F224="","",IFERROR(INDEX('CAT_CENTROS_COSTO'!$F$4:$F$9,MATCH($F224,'CAT_CENTROS_COSTO'!$A$4:$A$9,0)),"(sin catálogo)"))</f>
        <v/>
      </c>
      <c r="W224" s="3">
        <f>IF($G224="","",IFERROR(INDEX('CAT_PUESTOS'!$B$4:$B$8,MATCH($G224,'CAT_PUESTOS'!$A$4:$A$8,0)),"(sin catálogo)"))</f>
        <v/>
      </c>
      <c r="X224" s="3">
        <f>IF($H224="","",IFERROR(INDEX('CAT_ACTIVIDADES'!$B$4:$B$8,MATCH($H224,'CAT_ACTIVIDADES'!$A$4:$A$8,0)),"(sin catálogo)"))</f>
        <v/>
      </c>
      <c r="Y224" s="12">
        <f>IF($J224="","",TODAY()-$J224)</f>
        <v/>
      </c>
      <c r="Z224" s="3">
        <f>IF($Y224="","",IF($Y224&lt;0,"FUTURO",IF($Y224&gt;p_dias_backlog_max,"BACKLOG","MES CORRIENTE")))</f>
        <v/>
      </c>
      <c r="AA224" s="3">
        <f>IF($Y224="",FALSE,AND($Y224&gt;p_dias_backlog_min,$Y224&lt;=p_dias_backlog_max))</f>
        <v/>
      </c>
      <c r="AB224" s="6" t="n"/>
      <c r="AC224" s="3">
        <f>IF($AB224="","",IFERROR(INDEX('ASIGNACIONES'!$F$4:$F$339,MATCH($O224&amp;"|"&amp;$R224&amp;"|"&amp;$AB224,'ASIGNACIONES'!$I$4:$I$339,0)),""))</f>
        <v/>
      </c>
      <c r="AD224" s="13">
        <f>IF($AB224="","",SUMIFS('ORDENES'!$M$4:$M$1203,'ORDENES'!$AB$4:$AB$1203,$AB224,'ORDENES'!$O$4:$O$1203,$O224,'ORDENES'!$R$4:$R$1203,$R224))</f>
        <v/>
      </c>
      <c r="AE224" s="13">
        <f>IF($AD224="","",p_factor_productividad*IFERROR(INDEX('ASIGNACIONES'!$H$4:$H$339,MATCH($O224&amp;"|"&amp;$R224&amp;"|"&amp;$AB224,'ASIGNACIONES'!$I$4:$I$339,0)),0)-$AD224)</f>
        <v/>
      </c>
      <c r="AF224" s="10">
        <f>IF($A224="","",IFERROR(INDEX('2_IMPORTAR_EJECUCION'!$F$9:$F$1208,MATCH($AN224,'2_IMPORTAR_EJECUCION'!$J$9:$J$1208,0)),0))</f>
        <v/>
      </c>
      <c r="AG224" s="10">
        <f>IF($A224="","",MAX(0,IFERROR(INDEX('2_IMPORTAR_EJECUCION'!$H$9:$H$1208,MATCH($AN224,'2_IMPORTAR_EJECUCION'!$J$9:$J$1208,0)),0)-$AF224))</f>
        <v/>
      </c>
      <c r="AH224" s="10">
        <f>IF($A224="","",$AF224+$AG224)</f>
        <v/>
      </c>
      <c r="AI224" s="6" t="n"/>
      <c r="AJ224" s="6" t="n"/>
      <c r="AK224" s="6" t="n"/>
      <c r="AL224" s="3">
        <f>IF($AK224="","",HYPERLINK(p_ruta_base_checklists&amp;$AK224,"abrir"))</f>
        <v/>
      </c>
      <c r="AM224" s="6" t="n"/>
      <c r="AN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1" t="n"/>
      <c r="K225" s="3" t="n"/>
      <c r="L225" s="10" t="n"/>
      <c r="M225" s="3">
        <f>IF($A225="","",IFERROR(INDEX('AJUSTES'!$B$4:$B$303,MATCH($AN225,'AJUSTES'!$A$4:$A$303,0)),IF($K225="","",$K225)))</f>
        <v/>
      </c>
      <c r="N225" s="3">
        <f>IF($A225="","",IFERROR(INDEX('CAT_ESTADOS_ERP'!$B$4:$B$7,MATCH(IFERROR(INDEX('2_IMPORTAR_EJECUCION'!$C$9:$C$1208,MATCH($AN225,'2_IMPORTAR_EJECUCION'!$J$9:$J$1208,0)),""),'CAT_ESTADOS_ERP'!$A$4:$A$7,0)),"Pendiente"))</f>
        <v/>
      </c>
      <c r="O225" s="3">
        <f>IF($J225="","",YEAR($J225+4-WEEKDAY($J225,2))&amp;"-S"&amp;TEXT(_xlfn.ISOWEEKNUM($J225),"00"))</f>
        <v/>
      </c>
      <c r="P225" s="3">
        <f>IF($J225="","",YEAR($J225))</f>
        <v/>
      </c>
      <c r="Q225" s="3">
        <f>IF($J225="","",MONTH($J225))</f>
        <v/>
      </c>
      <c r="R225" s="3">
        <f>IF($J225="","",INDEX(lista_dias,WEEKDAY($J225,2)))</f>
        <v/>
      </c>
      <c r="S225" s="3">
        <f>IF($I225="","",IFERROR(INDEX('CAT_TIPOS_OT'!$C$4:$C$7,MATCH($I225,'CAT_TIPOS_OT'!$A$4:$A$7,0)),"sin_clasificar"))</f>
        <v/>
      </c>
      <c r="T225" s="3">
        <f>IF($F225="","",IFERROR(INDEX('CAT_CENTROS_COSTO'!$E$4:$E$9,MATCH($F225,'CAT_CENTROS_COSTO'!$A$4:$A$9,0)),"(sin catálogo)"))</f>
        <v/>
      </c>
      <c r="U225" s="3">
        <f>IF($F225="","",IFERROR(INDEX('CAT_CENTROS_COSTO'!$D$4:$D$9,MATCH($F225,'CAT_CENTROS_COSTO'!$A$4:$A$9,0)),"(sin catálogo)"))</f>
        <v/>
      </c>
      <c r="V225" s="3">
        <f>IF($F225="","",IFERROR(INDEX('CAT_CENTROS_COSTO'!$F$4:$F$9,MATCH($F225,'CAT_CENTROS_COSTO'!$A$4:$A$9,0)),"(sin catálogo)"))</f>
        <v/>
      </c>
      <c r="W225" s="3">
        <f>IF($G225="","",IFERROR(INDEX('CAT_PUESTOS'!$B$4:$B$8,MATCH($G225,'CAT_PUESTOS'!$A$4:$A$8,0)),"(sin catálogo)"))</f>
        <v/>
      </c>
      <c r="X225" s="3">
        <f>IF($H225="","",IFERROR(INDEX('CAT_ACTIVIDADES'!$B$4:$B$8,MATCH($H225,'CAT_ACTIVIDADES'!$A$4:$A$8,0)),"(sin catálogo)"))</f>
        <v/>
      </c>
      <c r="Y225" s="12">
        <f>IF($J225="","",TODAY()-$J225)</f>
        <v/>
      </c>
      <c r="Z225" s="3">
        <f>IF($Y225="","",IF($Y225&lt;0,"FUTURO",IF($Y225&gt;p_dias_backlog_max,"BACKLOG","MES CORRIENTE")))</f>
        <v/>
      </c>
      <c r="AA225" s="3">
        <f>IF($Y225="",FALSE,AND($Y225&gt;p_dias_backlog_min,$Y225&lt;=p_dias_backlog_max))</f>
        <v/>
      </c>
      <c r="AB225" s="6" t="n"/>
      <c r="AC225" s="3">
        <f>IF($AB225="","",IFERROR(INDEX('ASIGNACIONES'!$F$4:$F$339,MATCH($O225&amp;"|"&amp;$R225&amp;"|"&amp;$AB225,'ASIGNACIONES'!$I$4:$I$339,0)),""))</f>
        <v/>
      </c>
      <c r="AD225" s="13">
        <f>IF($AB225="","",SUMIFS('ORDENES'!$M$4:$M$1203,'ORDENES'!$AB$4:$AB$1203,$AB225,'ORDENES'!$O$4:$O$1203,$O225,'ORDENES'!$R$4:$R$1203,$R225))</f>
        <v/>
      </c>
      <c r="AE225" s="13">
        <f>IF($AD225="","",p_factor_productividad*IFERROR(INDEX('ASIGNACIONES'!$H$4:$H$339,MATCH($O225&amp;"|"&amp;$R225&amp;"|"&amp;$AB225,'ASIGNACIONES'!$I$4:$I$339,0)),0)-$AD225)</f>
        <v/>
      </c>
      <c r="AF225" s="10">
        <f>IF($A225="","",IFERROR(INDEX('2_IMPORTAR_EJECUCION'!$F$9:$F$1208,MATCH($AN225,'2_IMPORTAR_EJECUCION'!$J$9:$J$1208,0)),0))</f>
        <v/>
      </c>
      <c r="AG225" s="10">
        <f>IF($A225="","",MAX(0,IFERROR(INDEX('2_IMPORTAR_EJECUCION'!$H$9:$H$1208,MATCH($AN225,'2_IMPORTAR_EJECUCION'!$J$9:$J$1208,0)),0)-$AF225))</f>
        <v/>
      </c>
      <c r="AH225" s="10">
        <f>IF($A225="","",$AF225+$AG225)</f>
        <v/>
      </c>
      <c r="AI225" s="6" t="n"/>
      <c r="AJ225" s="6" t="n"/>
      <c r="AK225" s="6" t="n"/>
      <c r="AL225" s="3">
        <f>IF($AK225="","",HYPERLINK(p_ruta_base_checklists&amp;$AK225,"abrir"))</f>
        <v/>
      </c>
      <c r="AM225" s="6" t="n"/>
      <c r="AN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1" t="n"/>
      <c r="K226" s="3" t="n"/>
      <c r="L226" s="10" t="n"/>
      <c r="M226" s="3">
        <f>IF($A226="","",IFERROR(INDEX('AJUSTES'!$B$4:$B$303,MATCH($AN226,'AJUSTES'!$A$4:$A$303,0)),IF($K226="","",$K226)))</f>
        <v/>
      </c>
      <c r="N226" s="3">
        <f>IF($A226="","",IFERROR(INDEX('CAT_ESTADOS_ERP'!$B$4:$B$7,MATCH(IFERROR(INDEX('2_IMPORTAR_EJECUCION'!$C$9:$C$1208,MATCH($AN226,'2_IMPORTAR_EJECUCION'!$J$9:$J$1208,0)),""),'CAT_ESTADOS_ERP'!$A$4:$A$7,0)),"Pendiente"))</f>
        <v/>
      </c>
      <c r="O226" s="3">
        <f>IF($J226="","",YEAR($J226+4-WEEKDAY($J226,2))&amp;"-S"&amp;TEXT(_xlfn.ISOWEEKNUM($J226),"00"))</f>
        <v/>
      </c>
      <c r="P226" s="3">
        <f>IF($J226="","",YEAR($J226))</f>
        <v/>
      </c>
      <c r="Q226" s="3">
        <f>IF($J226="","",MONTH($J226))</f>
        <v/>
      </c>
      <c r="R226" s="3">
        <f>IF($J226="","",INDEX(lista_dias,WEEKDAY($J226,2)))</f>
        <v/>
      </c>
      <c r="S226" s="3">
        <f>IF($I226="","",IFERROR(INDEX('CAT_TIPOS_OT'!$C$4:$C$7,MATCH($I226,'CAT_TIPOS_OT'!$A$4:$A$7,0)),"sin_clasificar"))</f>
        <v/>
      </c>
      <c r="T226" s="3">
        <f>IF($F226="","",IFERROR(INDEX('CAT_CENTROS_COSTO'!$E$4:$E$9,MATCH($F226,'CAT_CENTROS_COSTO'!$A$4:$A$9,0)),"(sin catálogo)"))</f>
        <v/>
      </c>
      <c r="U226" s="3">
        <f>IF($F226="","",IFERROR(INDEX('CAT_CENTROS_COSTO'!$D$4:$D$9,MATCH($F226,'CAT_CENTROS_COSTO'!$A$4:$A$9,0)),"(sin catálogo)"))</f>
        <v/>
      </c>
      <c r="V226" s="3">
        <f>IF($F226="","",IFERROR(INDEX('CAT_CENTROS_COSTO'!$F$4:$F$9,MATCH($F226,'CAT_CENTROS_COSTO'!$A$4:$A$9,0)),"(sin catálogo)"))</f>
        <v/>
      </c>
      <c r="W226" s="3">
        <f>IF($G226="","",IFERROR(INDEX('CAT_PUESTOS'!$B$4:$B$8,MATCH($G226,'CAT_PUESTOS'!$A$4:$A$8,0)),"(sin catálogo)"))</f>
        <v/>
      </c>
      <c r="X226" s="3">
        <f>IF($H226="","",IFERROR(INDEX('CAT_ACTIVIDADES'!$B$4:$B$8,MATCH($H226,'CAT_ACTIVIDADES'!$A$4:$A$8,0)),"(sin catálogo)"))</f>
        <v/>
      </c>
      <c r="Y226" s="12">
        <f>IF($J226="","",TODAY()-$J226)</f>
        <v/>
      </c>
      <c r="Z226" s="3">
        <f>IF($Y226="","",IF($Y226&lt;0,"FUTURO",IF($Y226&gt;p_dias_backlog_max,"BACKLOG","MES CORRIENTE")))</f>
        <v/>
      </c>
      <c r="AA226" s="3">
        <f>IF($Y226="",FALSE,AND($Y226&gt;p_dias_backlog_min,$Y226&lt;=p_dias_backlog_max))</f>
        <v/>
      </c>
      <c r="AB226" s="6" t="n"/>
      <c r="AC226" s="3">
        <f>IF($AB226="","",IFERROR(INDEX('ASIGNACIONES'!$F$4:$F$339,MATCH($O226&amp;"|"&amp;$R226&amp;"|"&amp;$AB226,'ASIGNACIONES'!$I$4:$I$339,0)),""))</f>
        <v/>
      </c>
      <c r="AD226" s="13">
        <f>IF($AB226="","",SUMIFS('ORDENES'!$M$4:$M$1203,'ORDENES'!$AB$4:$AB$1203,$AB226,'ORDENES'!$O$4:$O$1203,$O226,'ORDENES'!$R$4:$R$1203,$R226))</f>
        <v/>
      </c>
      <c r="AE226" s="13">
        <f>IF($AD226="","",p_factor_productividad*IFERROR(INDEX('ASIGNACIONES'!$H$4:$H$339,MATCH($O226&amp;"|"&amp;$R226&amp;"|"&amp;$AB226,'ASIGNACIONES'!$I$4:$I$339,0)),0)-$AD226)</f>
        <v/>
      </c>
      <c r="AF226" s="10">
        <f>IF($A226="","",IFERROR(INDEX('2_IMPORTAR_EJECUCION'!$F$9:$F$1208,MATCH($AN226,'2_IMPORTAR_EJECUCION'!$J$9:$J$1208,0)),0))</f>
        <v/>
      </c>
      <c r="AG226" s="10">
        <f>IF($A226="","",MAX(0,IFERROR(INDEX('2_IMPORTAR_EJECUCION'!$H$9:$H$1208,MATCH($AN226,'2_IMPORTAR_EJECUCION'!$J$9:$J$1208,0)),0)-$AF226))</f>
        <v/>
      </c>
      <c r="AH226" s="10">
        <f>IF($A226="","",$AF226+$AG226)</f>
        <v/>
      </c>
      <c r="AI226" s="6" t="n"/>
      <c r="AJ226" s="6" t="n"/>
      <c r="AK226" s="6" t="n"/>
      <c r="AL226" s="3">
        <f>IF($AK226="","",HYPERLINK(p_ruta_base_checklists&amp;$AK226,"abrir"))</f>
        <v/>
      </c>
      <c r="AM226" s="6" t="n"/>
      <c r="AN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1" t="n"/>
      <c r="K227" s="3" t="n"/>
      <c r="L227" s="10" t="n"/>
      <c r="M227" s="3">
        <f>IF($A227="","",IFERROR(INDEX('AJUSTES'!$B$4:$B$303,MATCH($AN227,'AJUSTES'!$A$4:$A$303,0)),IF($K227="","",$K227)))</f>
        <v/>
      </c>
      <c r="N227" s="3">
        <f>IF($A227="","",IFERROR(INDEX('CAT_ESTADOS_ERP'!$B$4:$B$7,MATCH(IFERROR(INDEX('2_IMPORTAR_EJECUCION'!$C$9:$C$1208,MATCH($AN227,'2_IMPORTAR_EJECUCION'!$J$9:$J$1208,0)),""),'CAT_ESTADOS_ERP'!$A$4:$A$7,0)),"Pendiente"))</f>
        <v/>
      </c>
      <c r="O227" s="3">
        <f>IF($J227="","",YEAR($J227+4-WEEKDAY($J227,2))&amp;"-S"&amp;TEXT(_xlfn.ISOWEEKNUM($J227),"00"))</f>
        <v/>
      </c>
      <c r="P227" s="3">
        <f>IF($J227="","",YEAR($J227))</f>
        <v/>
      </c>
      <c r="Q227" s="3">
        <f>IF($J227="","",MONTH($J227))</f>
        <v/>
      </c>
      <c r="R227" s="3">
        <f>IF($J227="","",INDEX(lista_dias,WEEKDAY($J227,2)))</f>
        <v/>
      </c>
      <c r="S227" s="3">
        <f>IF($I227="","",IFERROR(INDEX('CAT_TIPOS_OT'!$C$4:$C$7,MATCH($I227,'CAT_TIPOS_OT'!$A$4:$A$7,0)),"sin_clasificar"))</f>
        <v/>
      </c>
      <c r="T227" s="3">
        <f>IF($F227="","",IFERROR(INDEX('CAT_CENTROS_COSTO'!$E$4:$E$9,MATCH($F227,'CAT_CENTROS_COSTO'!$A$4:$A$9,0)),"(sin catálogo)"))</f>
        <v/>
      </c>
      <c r="U227" s="3">
        <f>IF($F227="","",IFERROR(INDEX('CAT_CENTROS_COSTO'!$D$4:$D$9,MATCH($F227,'CAT_CENTROS_COSTO'!$A$4:$A$9,0)),"(sin catálogo)"))</f>
        <v/>
      </c>
      <c r="V227" s="3">
        <f>IF($F227="","",IFERROR(INDEX('CAT_CENTROS_COSTO'!$F$4:$F$9,MATCH($F227,'CAT_CENTROS_COSTO'!$A$4:$A$9,0)),"(sin catálogo)"))</f>
        <v/>
      </c>
      <c r="W227" s="3">
        <f>IF($G227="","",IFERROR(INDEX('CAT_PUESTOS'!$B$4:$B$8,MATCH($G227,'CAT_PUESTOS'!$A$4:$A$8,0)),"(sin catálogo)"))</f>
        <v/>
      </c>
      <c r="X227" s="3">
        <f>IF($H227="","",IFERROR(INDEX('CAT_ACTIVIDADES'!$B$4:$B$8,MATCH($H227,'CAT_ACTIVIDADES'!$A$4:$A$8,0)),"(sin catálogo)"))</f>
        <v/>
      </c>
      <c r="Y227" s="12">
        <f>IF($J227="","",TODAY()-$J227)</f>
        <v/>
      </c>
      <c r="Z227" s="3">
        <f>IF($Y227="","",IF($Y227&lt;0,"FUTURO",IF($Y227&gt;p_dias_backlog_max,"BACKLOG","MES CORRIENTE")))</f>
        <v/>
      </c>
      <c r="AA227" s="3">
        <f>IF($Y227="",FALSE,AND($Y227&gt;p_dias_backlog_min,$Y227&lt;=p_dias_backlog_max))</f>
        <v/>
      </c>
      <c r="AB227" s="6" t="n"/>
      <c r="AC227" s="3">
        <f>IF($AB227="","",IFERROR(INDEX('ASIGNACIONES'!$F$4:$F$339,MATCH($O227&amp;"|"&amp;$R227&amp;"|"&amp;$AB227,'ASIGNACIONES'!$I$4:$I$339,0)),""))</f>
        <v/>
      </c>
      <c r="AD227" s="13">
        <f>IF($AB227="","",SUMIFS('ORDENES'!$M$4:$M$1203,'ORDENES'!$AB$4:$AB$1203,$AB227,'ORDENES'!$O$4:$O$1203,$O227,'ORDENES'!$R$4:$R$1203,$R227))</f>
        <v/>
      </c>
      <c r="AE227" s="13">
        <f>IF($AD227="","",p_factor_productividad*IFERROR(INDEX('ASIGNACIONES'!$H$4:$H$339,MATCH($O227&amp;"|"&amp;$R227&amp;"|"&amp;$AB227,'ASIGNACIONES'!$I$4:$I$339,0)),0)-$AD227)</f>
        <v/>
      </c>
      <c r="AF227" s="10">
        <f>IF($A227="","",IFERROR(INDEX('2_IMPORTAR_EJECUCION'!$F$9:$F$1208,MATCH($AN227,'2_IMPORTAR_EJECUCION'!$J$9:$J$1208,0)),0))</f>
        <v/>
      </c>
      <c r="AG227" s="10">
        <f>IF($A227="","",MAX(0,IFERROR(INDEX('2_IMPORTAR_EJECUCION'!$H$9:$H$1208,MATCH($AN227,'2_IMPORTAR_EJECUCION'!$J$9:$J$1208,0)),0)-$AF227))</f>
        <v/>
      </c>
      <c r="AH227" s="10">
        <f>IF($A227="","",$AF227+$AG227)</f>
        <v/>
      </c>
      <c r="AI227" s="6" t="n"/>
      <c r="AJ227" s="6" t="n"/>
      <c r="AK227" s="6" t="n"/>
      <c r="AL227" s="3">
        <f>IF($AK227="","",HYPERLINK(p_ruta_base_checklists&amp;$AK227,"abrir"))</f>
        <v/>
      </c>
      <c r="AM227" s="6" t="n"/>
      <c r="AN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1" t="n"/>
      <c r="K228" s="3" t="n"/>
      <c r="L228" s="10" t="n"/>
      <c r="M228" s="3">
        <f>IF($A228="","",IFERROR(INDEX('AJUSTES'!$B$4:$B$303,MATCH($AN228,'AJUSTES'!$A$4:$A$303,0)),IF($K228="","",$K228)))</f>
        <v/>
      </c>
      <c r="N228" s="3">
        <f>IF($A228="","",IFERROR(INDEX('CAT_ESTADOS_ERP'!$B$4:$B$7,MATCH(IFERROR(INDEX('2_IMPORTAR_EJECUCION'!$C$9:$C$1208,MATCH($AN228,'2_IMPORTAR_EJECUCION'!$J$9:$J$1208,0)),""),'CAT_ESTADOS_ERP'!$A$4:$A$7,0)),"Pendiente"))</f>
        <v/>
      </c>
      <c r="O228" s="3">
        <f>IF($J228="","",YEAR($J228+4-WEEKDAY($J228,2))&amp;"-S"&amp;TEXT(_xlfn.ISOWEEKNUM($J228),"00"))</f>
        <v/>
      </c>
      <c r="P228" s="3">
        <f>IF($J228="","",YEAR($J228))</f>
        <v/>
      </c>
      <c r="Q228" s="3">
        <f>IF($J228="","",MONTH($J228))</f>
        <v/>
      </c>
      <c r="R228" s="3">
        <f>IF($J228="","",INDEX(lista_dias,WEEKDAY($J228,2)))</f>
        <v/>
      </c>
      <c r="S228" s="3">
        <f>IF($I228="","",IFERROR(INDEX('CAT_TIPOS_OT'!$C$4:$C$7,MATCH($I228,'CAT_TIPOS_OT'!$A$4:$A$7,0)),"sin_clasificar"))</f>
        <v/>
      </c>
      <c r="T228" s="3">
        <f>IF($F228="","",IFERROR(INDEX('CAT_CENTROS_COSTO'!$E$4:$E$9,MATCH($F228,'CAT_CENTROS_COSTO'!$A$4:$A$9,0)),"(sin catálogo)"))</f>
        <v/>
      </c>
      <c r="U228" s="3">
        <f>IF($F228="","",IFERROR(INDEX('CAT_CENTROS_COSTO'!$D$4:$D$9,MATCH($F228,'CAT_CENTROS_COSTO'!$A$4:$A$9,0)),"(sin catálogo)"))</f>
        <v/>
      </c>
      <c r="V228" s="3">
        <f>IF($F228="","",IFERROR(INDEX('CAT_CENTROS_COSTO'!$F$4:$F$9,MATCH($F228,'CAT_CENTROS_COSTO'!$A$4:$A$9,0)),"(sin catálogo)"))</f>
        <v/>
      </c>
      <c r="W228" s="3">
        <f>IF($G228="","",IFERROR(INDEX('CAT_PUESTOS'!$B$4:$B$8,MATCH($G228,'CAT_PUESTOS'!$A$4:$A$8,0)),"(sin catálogo)"))</f>
        <v/>
      </c>
      <c r="X228" s="3">
        <f>IF($H228="","",IFERROR(INDEX('CAT_ACTIVIDADES'!$B$4:$B$8,MATCH($H228,'CAT_ACTIVIDADES'!$A$4:$A$8,0)),"(sin catálogo)"))</f>
        <v/>
      </c>
      <c r="Y228" s="12">
        <f>IF($J228="","",TODAY()-$J228)</f>
        <v/>
      </c>
      <c r="Z228" s="3">
        <f>IF($Y228="","",IF($Y228&lt;0,"FUTURO",IF($Y228&gt;p_dias_backlog_max,"BACKLOG","MES CORRIENTE")))</f>
        <v/>
      </c>
      <c r="AA228" s="3">
        <f>IF($Y228="",FALSE,AND($Y228&gt;p_dias_backlog_min,$Y228&lt;=p_dias_backlog_max))</f>
        <v/>
      </c>
      <c r="AB228" s="6" t="n"/>
      <c r="AC228" s="3">
        <f>IF($AB228="","",IFERROR(INDEX('ASIGNACIONES'!$F$4:$F$339,MATCH($O228&amp;"|"&amp;$R228&amp;"|"&amp;$AB228,'ASIGNACIONES'!$I$4:$I$339,0)),""))</f>
        <v/>
      </c>
      <c r="AD228" s="13">
        <f>IF($AB228="","",SUMIFS('ORDENES'!$M$4:$M$1203,'ORDENES'!$AB$4:$AB$1203,$AB228,'ORDENES'!$O$4:$O$1203,$O228,'ORDENES'!$R$4:$R$1203,$R228))</f>
        <v/>
      </c>
      <c r="AE228" s="13">
        <f>IF($AD228="","",p_factor_productividad*IFERROR(INDEX('ASIGNACIONES'!$H$4:$H$339,MATCH($O228&amp;"|"&amp;$R228&amp;"|"&amp;$AB228,'ASIGNACIONES'!$I$4:$I$339,0)),0)-$AD228)</f>
        <v/>
      </c>
      <c r="AF228" s="10">
        <f>IF($A228="","",IFERROR(INDEX('2_IMPORTAR_EJECUCION'!$F$9:$F$1208,MATCH($AN228,'2_IMPORTAR_EJECUCION'!$J$9:$J$1208,0)),0))</f>
        <v/>
      </c>
      <c r="AG228" s="10">
        <f>IF($A228="","",MAX(0,IFERROR(INDEX('2_IMPORTAR_EJECUCION'!$H$9:$H$1208,MATCH($AN228,'2_IMPORTAR_EJECUCION'!$J$9:$J$1208,0)),0)-$AF228))</f>
        <v/>
      </c>
      <c r="AH228" s="10">
        <f>IF($A228="","",$AF228+$AG228)</f>
        <v/>
      </c>
      <c r="AI228" s="6" t="n"/>
      <c r="AJ228" s="6" t="n"/>
      <c r="AK228" s="6" t="n"/>
      <c r="AL228" s="3">
        <f>IF($AK228="","",HYPERLINK(p_ruta_base_checklists&amp;$AK228,"abrir"))</f>
        <v/>
      </c>
      <c r="AM228" s="6" t="n"/>
      <c r="AN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1" t="n"/>
      <c r="K229" s="3" t="n"/>
      <c r="L229" s="10" t="n"/>
      <c r="M229" s="3">
        <f>IF($A229="","",IFERROR(INDEX('AJUSTES'!$B$4:$B$303,MATCH($AN229,'AJUSTES'!$A$4:$A$303,0)),IF($K229="","",$K229)))</f>
        <v/>
      </c>
      <c r="N229" s="3">
        <f>IF($A229="","",IFERROR(INDEX('CAT_ESTADOS_ERP'!$B$4:$B$7,MATCH(IFERROR(INDEX('2_IMPORTAR_EJECUCION'!$C$9:$C$1208,MATCH($AN229,'2_IMPORTAR_EJECUCION'!$J$9:$J$1208,0)),""),'CAT_ESTADOS_ERP'!$A$4:$A$7,0)),"Pendiente"))</f>
        <v/>
      </c>
      <c r="O229" s="3">
        <f>IF($J229="","",YEAR($J229+4-WEEKDAY($J229,2))&amp;"-S"&amp;TEXT(_xlfn.ISOWEEKNUM($J229),"00"))</f>
        <v/>
      </c>
      <c r="P229" s="3">
        <f>IF($J229="","",YEAR($J229))</f>
        <v/>
      </c>
      <c r="Q229" s="3">
        <f>IF($J229="","",MONTH($J229))</f>
        <v/>
      </c>
      <c r="R229" s="3">
        <f>IF($J229="","",INDEX(lista_dias,WEEKDAY($J229,2)))</f>
        <v/>
      </c>
      <c r="S229" s="3">
        <f>IF($I229="","",IFERROR(INDEX('CAT_TIPOS_OT'!$C$4:$C$7,MATCH($I229,'CAT_TIPOS_OT'!$A$4:$A$7,0)),"sin_clasificar"))</f>
        <v/>
      </c>
      <c r="T229" s="3">
        <f>IF($F229="","",IFERROR(INDEX('CAT_CENTROS_COSTO'!$E$4:$E$9,MATCH($F229,'CAT_CENTROS_COSTO'!$A$4:$A$9,0)),"(sin catálogo)"))</f>
        <v/>
      </c>
      <c r="U229" s="3">
        <f>IF($F229="","",IFERROR(INDEX('CAT_CENTROS_COSTO'!$D$4:$D$9,MATCH($F229,'CAT_CENTROS_COSTO'!$A$4:$A$9,0)),"(sin catálogo)"))</f>
        <v/>
      </c>
      <c r="V229" s="3">
        <f>IF($F229="","",IFERROR(INDEX('CAT_CENTROS_COSTO'!$F$4:$F$9,MATCH($F229,'CAT_CENTROS_COSTO'!$A$4:$A$9,0)),"(sin catálogo)"))</f>
        <v/>
      </c>
      <c r="W229" s="3">
        <f>IF($G229="","",IFERROR(INDEX('CAT_PUESTOS'!$B$4:$B$8,MATCH($G229,'CAT_PUESTOS'!$A$4:$A$8,0)),"(sin catálogo)"))</f>
        <v/>
      </c>
      <c r="X229" s="3">
        <f>IF($H229="","",IFERROR(INDEX('CAT_ACTIVIDADES'!$B$4:$B$8,MATCH($H229,'CAT_ACTIVIDADES'!$A$4:$A$8,0)),"(sin catálogo)"))</f>
        <v/>
      </c>
      <c r="Y229" s="12">
        <f>IF($J229="","",TODAY()-$J229)</f>
        <v/>
      </c>
      <c r="Z229" s="3">
        <f>IF($Y229="","",IF($Y229&lt;0,"FUTURO",IF($Y229&gt;p_dias_backlog_max,"BACKLOG","MES CORRIENTE")))</f>
        <v/>
      </c>
      <c r="AA229" s="3">
        <f>IF($Y229="",FALSE,AND($Y229&gt;p_dias_backlog_min,$Y229&lt;=p_dias_backlog_max))</f>
        <v/>
      </c>
      <c r="AB229" s="6" t="n"/>
      <c r="AC229" s="3">
        <f>IF($AB229="","",IFERROR(INDEX('ASIGNACIONES'!$F$4:$F$339,MATCH($O229&amp;"|"&amp;$R229&amp;"|"&amp;$AB229,'ASIGNACIONES'!$I$4:$I$339,0)),""))</f>
        <v/>
      </c>
      <c r="AD229" s="13">
        <f>IF($AB229="","",SUMIFS('ORDENES'!$M$4:$M$1203,'ORDENES'!$AB$4:$AB$1203,$AB229,'ORDENES'!$O$4:$O$1203,$O229,'ORDENES'!$R$4:$R$1203,$R229))</f>
        <v/>
      </c>
      <c r="AE229" s="13">
        <f>IF($AD229="","",p_factor_productividad*IFERROR(INDEX('ASIGNACIONES'!$H$4:$H$339,MATCH($O229&amp;"|"&amp;$R229&amp;"|"&amp;$AB229,'ASIGNACIONES'!$I$4:$I$339,0)),0)-$AD229)</f>
        <v/>
      </c>
      <c r="AF229" s="10">
        <f>IF($A229="","",IFERROR(INDEX('2_IMPORTAR_EJECUCION'!$F$9:$F$1208,MATCH($AN229,'2_IMPORTAR_EJECUCION'!$J$9:$J$1208,0)),0))</f>
        <v/>
      </c>
      <c r="AG229" s="10">
        <f>IF($A229="","",MAX(0,IFERROR(INDEX('2_IMPORTAR_EJECUCION'!$H$9:$H$1208,MATCH($AN229,'2_IMPORTAR_EJECUCION'!$J$9:$J$1208,0)),0)-$AF229))</f>
        <v/>
      </c>
      <c r="AH229" s="10">
        <f>IF($A229="","",$AF229+$AG229)</f>
        <v/>
      </c>
      <c r="AI229" s="6" t="n"/>
      <c r="AJ229" s="6" t="n"/>
      <c r="AK229" s="6" t="n"/>
      <c r="AL229" s="3">
        <f>IF($AK229="","",HYPERLINK(p_ruta_base_checklists&amp;$AK229,"abrir"))</f>
        <v/>
      </c>
      <c r="AM229" s="6" t="n"/>
      <c r="AN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1" t="n"/>
      <c r="K230" s="3" t="n"/>
      <c r="L230" s="10" t="n"/>
      <c r="M230" s="3">
        <f>IF($A230="","",IFERROR(INDEX('AJUSTES'!$B$4:$B$303,MATCH($AN230,'AJUSTES'!$A$4:$A$303,0)),IF($K230="","",$K230)))</f>
        <v/>
      </c>
      <c r="N230" s="3">
        <f>IF($A230="","",IFERROR(INDEX('CAT_ESTADOS_ERP'!$B$4:$B$7,MATCH(IFERROR(INDEX('2_IMPORTAR_EJECUCION'!$C$9:$C$1208,MATCH($AN230,'2_IMPORTAR_EJECUCION'!$J$9:$J$1208,0)),""),'CAT_ESTADOS_ERP'!$A$4:$A$7,0)),"Pendiente"))</f>
        <v/>
      </c>
      <c r="O230" s="3">
        <f>IF($J230="","",YEAR($J230+4-WEEKDAY($J230,2))&amp;"-S"&amp;TEXT(_xlfn.ISOWEEKNUM($J230),"00"))</f>
        <v/>
      </c>
      <c r="P230" s="3">
        <f>IF($J230="","",YEAR($J230))</f>
        <v/>
      </c>
      <c r="Q230" s="3">
        <f>IF($J230="","",MONTH($J230))</f>
        <v/>
      </c>
      <c r="R230" s="3">
        <f>IF($J230="","",INDEX(lista_dias,WEEKDAY($J230,2)))</f>
        <v/>
      </c>
      <c r="S230" s="3">
        <f>IF($I230="","",IFERROR(INDEX('CAT_TIPOS_OT'!$C$4:$C$7,MATCH($I230,'CAT_TIPOS_OT'!$A$4:$A$7,0)),"sin_clasificar"))</f>
        <v/>
      </c>
      <c r="T230" s="3">
        <f>IF($F230="","",IFERROR(INDEX('CAT_CENTROS_COSTO'!$E$4:$E$9,MATCH($F230,'CAT_CENTROS_COSTO'!$A$4:$A$9,0)),"(sin catálogo)"))</f>
        <v/>
      </c>
      <c r="U230" s="3">
        <f>IF($F230="","",IFERROR(INDEX('CAT_CENTROS_COSTO'!$D$4:$D$9,MATCH($F230,'CAT_CENTROS_COSTO'!$A$4:$A$9,0)),"(sin catálogo)"))</f>
        <v/>
      </c>
      <c r="V230" s="3">
        <f>IF($F230="","",IFERROR(INDEX('CAT_CENTROS_COSTO'!$F$4:$F$9,MATCH($F230,'CAT_CENTROS_COSTO'!$A$4:$A$9,0)),"(sin catálogo)"))</f>
        <v/>
      </c>
      <c r="W230" s="3">
        <f>IF($G230="","",IFERROR(INDEX('CAT_PUESTOS'!$B$4:$B$8,MATCH($G230,'CAT_PUESTOS'!$A$4:$A$8,0)),"(sin catálogo)"))</f>
        <v/>
      </c>
      <c r="X230" s="3">
        <f>IF($H230="","",IFERROR(INDEX('CAT_ACTIVIDADES'!$B$4:$B$8,MATCH($H230,'CAT_ACTIVIDADES'!$A$4:$A$8,0)),"(sin catálogo)"))</f>
        <v/>
      </c>
      <c r="Y230" s="12">
        <f>IF($J230="","",TODAY()-$J230)</f>
        <v/>
      </c>
      <c r="Z230" s="3">
        <f>IF($Y230="","",IF($Y230&lt;0,"FUTURO",IF($Y230&gt;p_dias_backlog_max,"BACKLOG","MES CORRIENTE")))</f>
        <v/>
      </c>
      <c r="AA230" s="3">
        <f>IF($Y230="",FALSE,AND($Y230&gt;p_dias_backlog_min,$Y230&lt;=p_dias_backlog_max))</f>
        <v/>
      </c>
      <c r="AB230" s="6" t="n"/>
      <c r="AC230" s="3">
        <f>IF($AB230="","",IFERROR(INDEX('ASIGNACIONES'!$F$4:$F$339,MATCH($O230&amp;"|"&amp;$R230&amp;"|"&amp;$AB230,'ASIGNACIONES'!$I$4:$I$339,0)),""))</f>
        <v/>
      </c>
      <c r="AD230" s="13">
        <f>IF($AB230="","",SUMIFS('ORDENES'!$M$4:$M$1203,'ORDENES'!$AB$4:$AB$1203,$AB230,'ORDENES'!$O$4:$O$1203,$O230,'ORDENES'!$R$4:$R$1203,$R230))</f>
        <v/>
      </c>
      <c r="AE230" s="13">
        <f>IF($AD230="","",p_factor_productividad*IFERROR(INDEX('ASIGNACIONES'!$H$4:$H$339,MATCH($O230&amp;"|"&amp;$R230&amp;"|"&amp;$AB230,'ASIGNACIONES'!$I$4:$I$339,0)),0)-$AD230)</f>
        <v/>
      </c>
      <c r="AF230" s="10">
        <f>IF($A230="","",IFERROR(INDEX('2_IMPORTAR_EJECUCION'!$F$9:$F$1208,MATCH($AN230,'2_IMPORTAR_EJECUCION'!$J$9:$J$1208,0)),0))</f>
        <v/>
      </c>
      <c r="AG230" s="10">
        <f>IF($A230="","",MAX(0,IFERROR(INDEX('2_IMPORTAR_EJECUCION'!$H$9:$H$1208,MATCH($AN230,'2_IMPORTAR_EJECUCION'!$J$9:$J$1208,0)),0)-$AF230))</f>
        <v/>
      </c>
      <c r="AH230" s="10">
        <f>IF($A230="","",$AF230+$AG230)</f>
        <v/>
      </c>
      <c r="AI230" s="6" t="n"/>
      <c r="AJ230" s="6" t="n"/>
      <c r="AK230" s="6" t="n"/>
      <c r="AL230" s="3">
        <f>IF($AK230="","",HYPERLINK(p_ruta_base_checklists&amp;$AK230,"abrir"))</f>
        <v/>
      </c>
      <c r="AM230" s="6" t="n"/>
      <c r="AN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1" t="n"/>
      <c r="K231" s="3" t="n"/>
      <c r="L231" s="10" t="n"/>
      <c r="M231" s="3">
        <f>IF($A231="","",IFERROR(INDEX('AJUSTES'!$B$4:$B$303,MATCH($AN231,'AJUSTES'!$A$4:$A$303,0)),IF($K231="","",$K231)))</f>
        <v/>
      </c>
      <c r="N231" s="3">
        <f>IF($A231="","",IFERROR(INDEX('CAT_ESTADOS_ERP'!$B$4:$B$7,MATCH(IFERROR(INDEX('2_IMPORTAR_EJECUCION'!$C$9:$C$1208,MATCH($AN231,'2_IMPORTAR_EJECUCION'!$J$9:$J$1208,0)),""),'CAT_ESTADOS_ERP'!$A$4:$A$7,0)),"Pendiente"))</f>
        <v/>
      </c>
      <c r="O231" s="3">
        <f>IF($J231="","",YEAR($J231+4-WEEKDAY($J231,2))&amp;"-S"&amp;TEXT(_xlfn.ISOWEEKNUM($J231),"00"))</f>
        <v/>
      </c>
      <c r="P231" s="3">
        <f>IF($J231="","",YEAR($J231))</f>
        <v/>
      </c>
      <c r="Q231" s="3">
        <f>IF($J231="","",MONTH($J231))</f>
        <v/>
      </c>
      <c r="R231" s="3">
        <f>IF($J231="","",INDEX(lista_dias,WEEKDAY($J231,2)))</f>
        <v/>
      </c>
      <c r="S231" s="3">
        <f>IF($I231="","",IFERROR(INDEX('CAT_TIPOS_OT'!$C$4:$C$7,MATCH($I231,'CAT_TIPOS_OT'!$A$4:$A$7,0)),"sin_clasificar"))</f>
        <v/>
      </c>
      <c r="T231" s="3">
        <f>IF($F231="","",IFERROR(INDEX('CAT_CENTROS_COSTO'!$E$4:$E$9,MATCH($F231,'CAT_CENTROS_COSTO'!$A$4:$A$9,0)),"(sin catálogo)"))</f>
        <v/>
      </c>
      <c r="U231" s="3">
        <f>IF($F231="","",IFERROR(INDEX('CAT_CENTROS_COSTO'!$D$4:$D$9,MATCH($F231,'CAT_CENTROS_COSTO'!$A$4:$A$9,0)),"(sin catálogo)"))</f>
        <v/>
      </c>
      <c r="V231" s="3">
        <f>IF($F231="","",IFERROR(INDEX('CAT_CENTROS_COSTO'!$F$4:$F$9,MATCH($F231,'CAT_CENTROS_COSTO'!$A$4:$A$9,0)),"(sin catálogo)"))</f>
        <v/>
      </c>
      <c r="W231" s="3">
        <f>IF($G231="","",IFERROR(INDEX('CAT_PUESTOS'!$B$4:$B$8,MATCH($G231,'CAT_PUESTOS'!$A$4:$A$8,0)),"(sin catálogo)"))</f>
        <v/>
      </c>
      <c r="X231" s="3">
        <f>IF($H231="","",IFERROR(INDEX('CAT_ACTIVIDADES'!$B$4:$B$8,MATCH($H231,'CAT_ACTIVIDADES'!$A$4:$A$8,0)),"(sin catálogo)"))</f>
        <v/>
      </c>
      <c r="Y231" s="12">
        <f>IF($J231="","",TODAY()-$J231)</f>
        <v/>
      </c>
      <c r="Z231" s="3">
        <f>IF($Y231="","",IF($Y231&lt;0,"FUTURO",IF($Y231&gt;p_dias_backlog_max,"BACKLOG","MES CORRIENTE")))</f>
        <v/>
      </c>
      <c r="AA231" s="3">
        <f>IF($Y231="",FALSE,AND($Y231&gt;p_dias_backlog_min,$Y231&lt;=p_dias_backlog_max))</f>
        <v/>
      </c>
      <c r="AB231" s="6" t="n"/>
      <c r="AC231" s="3">
        <f>IF($AB231="","",IFERROR(INDEX('ASIGNACIONES'!$F$4:$F$339,MATCH($O231&amp;"|"&amp;$R231&amp;"|"&amp;$AB231,'ASIGNACIONES'!$I$4:$I$339,0)),""))</f>
        <v/>
      </c>
      <c r="AD231" s="13">
        <f>IF($AB231="","",SUMIFS('ORDENES'!$M$4:$M$1203,'ORDENES'!$AB$4:$AB$1203,$AB231,'ORDENES'!$O$4:$O$1203,$O231,'ORDENES'!$R$4:$R$1203,$R231))</f>
        <v/>
      </c>
      <c r="AE231" s="13">
        <f>IF($AD231="","",p_factor_productividad*IFERROR(INDEX('ASIGNACIONES'!$H$4:$H$339,MATCH($O231&amp;"|"&amp;$R231&amp;"|"&amp;$AB231,'ASIGNACIONES'!$I$4:$I$339,0)),0)-$AD231)</f>
        <v/>
      </c>
      <c r="AF231" s="10">
        <f>IF($A231="","",IFERROR(INDEX('2_IMPORTAR_EJECUCION'!$F$9:$F$1208,MATCH($AN231,'2_IMPORTAR_EJECUCION'!$J$9:$J$1208,0)),0))</f>
        <v/>
      </c>
      <c r="AG231" s="10">
        <f>IF($A231="","",MAX(0,IFERROR(INDEX('2_IMPORTAR_EJECUCION'!$H$9:$H$1208,MATCH($AN231,'2_IMPORTAR_EJECUCION'!$J$9:$J$1208,0)),0)-$AF231))</f>
        <v/>
      </c>
      <c r="AH231" s="10">
        <f>IF($A231="","",$AF231+$AG231)</f>
        <v/>
      </c>
      <c r="AI231" s="6" t="n"/>
      <c r="AJ231" s="6" t="n"/>
      <c r="AK231" s="6" t="n"/>
      <c r="AL231" s="3">
        <f>IF($AK231="","",HYPERLINK(p_ruta_base_checklists&amp;$AK231,"abrir"))</f>
        <v/>
      </c>
      <c r="AM231" s="6" t="n"/>
      <c r="AN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1" t="n"/>
      <c r="K232" s="3" t="n"/>
      <c r="L232" s="10" t="n"/>
      <c r="M232" s="3">
        <f>IF($A232="","",IFERROR(INDEX('AJUSTES'!$B$4:$B$303,MATCH($AN232,'AJUSTES'!$A$4:$A$303,0)),IF($K232="","",$K232)))</f>
        <v/>
      </c>
      <c r="N232" s="3">
        <f>IF($A232="","",IFERROR(INDEX('CAT_ESTADOS_ERP'!$B$4:$B$7,MATCH(IFERROR(INDEX('2_IMPORTAR_EJECUCION'!$C$9:$C$1208,MATCH($AN232,'2_IMPORTAR_EJECUCION'!$J$9:$J$1208,0)),""),'CAT_ESTADOS_ERP'!$A$4:$A$7,0)),"Pendiente"))</f>
        <v/>
      </c>
      <c r="O232" s="3">
        <f>IF($J232="","",YEAR($J232+4-WEEKDAY($J232,2))&amp;"-S"&amp;TEXT(_xlfn.ISOWEEKNUM($J232),"00"))</f>
        <v/>
      </c>
      <c r="P232" s="3">
        <f>IF($J232="","",YEAR($J232))</f>
        <v/>
      </c>
      <c r="Q232" s="3">
        <f>IF($J232="","",MONTH($J232))</f>
        <v/>
      </c>
      <c r="R232" s="3">
        <f>IF($J232="","",INDEX(lista_dias,WEEKDAY($J232,2)))</f>
        <v/>
      </c>
      <c r="S232" s="3">
        <f>IF($I232="","",IFERROR(INDEX('CAT_TIPOS_OT'!$C$4:$C$7,MATCH($I232,'CAT_TIPOS_OT'!$A$4:$A$7,0)),"sin_clasificar"))</f>
        <v/>
      </c>
      <c r="T232" s="3">
        <f>IF($F232="","",IFERROR(INDEX('CAT_CENTROS_COSTO'!$E$4:$E$9,MATCH($F232,'CAT_CENTROS_COSTO'!$A$4:$A$9,0)),"(sin catálogo)"))</f>
        <v/>
      </c>
      <c r="U232" s="3">
        <f>IF($F232="","",IFERROR(INDEX('CAT_CENTROS_COSTO'!$D$4:$D$9,MATCH($F232,'CAT_CENTROS_COSTO'!$A$4:$A$9,0)),"(sin catálogo)"))</f>
        <v/>
      </c>
      <c r="V232" s="3">
        <f>IF($F232="","",IFERROR(INDEX('CAT_CENTROS_COSTO'!$F$4:$F$9,MATCH($F232,'CAT_CENTROS_COSTO'!$A$4:$A$9,0)),"(sin catálogo)"))</f>
        <v/>
      </c>
      <c r="W232" s="3">
        <f>IF($G232="","",IFERROR(INDEX('CAT_PUESTOS'!$B$4:$B$8,MATCH($G232,'CAT_PUESTOS'!$A$4:$A$8,0)),"(sin catálogo)"))</f>
        <v/>
      </c>
      <c r="X232" s="3">
        <f>IF($H232="","",IFERROR(INDEX('CAT_ACTIVIDADES'!$B$4:$B$8,MATCH($H232,'CAT_ACTIVIDADES'!$A$4:$A$8,0)),"(sin catálogo)"))</f>
        <v/>
      </c>
      <c r="Y232" s="12">
        <f>IF($J232="","",TODAY()-$J232)</f>
        <v/>
      </c>
      <c r="Z232" s="3">
        <f>IF($Y232="","",IF($Y232&lt;0,"FUTURO",IF($Y232&gt;p_dias_backlog_max,"BACKLOG","MES CORRIENTE")))</f>
        <v/>
      </c>
      <c r="AA232" s="3">
        <f>IF($Y232="",FALSE,AND($Y232&gt;p_dias_backlog_min,$Y232&lt;=p_dias_backlog_max))</f>
        <v/>
      </c>
      <c r="AB232" s="6" t="n"/>
      <c r="AC232" s="3">
        <f>IF($AB232="","",IFERROR(INDEX('ASIGNACIONES'!$F$4:$F$339,MATCH($O232&amp;"|"&amp;$R232&amp;"|"&amp;$AB232,'ASIGNACIONES'!$I$4:$I$339,0)),""))</f>
        <v/>
      </c>
      <c r="AD232" s="13">
        <f>IF($AB232="","",SUMIFS('ORDENES'!$M$4:$M$1203,'ORDENES'!$AB$4:$AB$1203,$AB232,'ORDENES'!$O$4:$O$1203,$O232,'ORDENES'!$R$4:$R$1203,$R232))</f>
        <v/>
      </c>
      <c r="AE232" s="13">
        <f>IF($AD232="","",p_factor_productividad*IFERROR(INDEX('ASIGNACIONES'!$H$4:$H$339,MATCH($O232&amp;"|"&amp;$R232&amp;"|"&amp;$AB232,'ASIGNACIONES'!$I$4:$I$339,0)),0)-$AD232)</f>
        <v/>
      </c>
      <c r="AF232" s="10">
        <f>IF($A232="","",IFERROR(INDEX('2_IMPORTAR_EJECUCION'!$F$9:$F$1208,MATCH($AN232,'2_IMPORTAR_EJECUCION'!$J$9:$J$1208,0)),0))</f>
        <v/>
      </c>
      <c r="AG232" s="10">
        <f>IF($A232="","",MAX(0,IFERROR(INDEX('2_IMPORTAR_EJECUCION'!$H$9:$H$1208,MATCH($AN232,'2_IMPORTAR_EJECUCION'!$J$9:$J$1208,0)),0)-$AF232))</f>
        <v/>
      </c>
      <c r="AH232" s="10">
        <f>IF($A232="","",$AF232+$AG232)</f>
        <v/>
      </c>
      <c r="AI232" s="6" t="n"/>
      <c r="AJ232" s="6" t="n"/>
      <c r="AK232" s="6" t="n"/>
      <c r="AL232" s="3">
        <f>IF($AK232="","",HYPERLINK(p_ruta_base_checklists&amp;$AK232,"abrir"))</f>
        <v/>
      </c>
      <c r="AM232" s="6" t="n"/>
      <c r="AN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1" t="n"/>
      <c r="K233" s="3" t="n"/>
      <c r="L233" s="10" t="n"/>
      <c r="M233" s="3">
        <f>IF($A233="","",IFERROR(INDEX('AJUSTES'!$B$4:$B$303,MATCH($AN233,'AJUSTES'!$A$4:$A$303,0)),IF($K233="","",$K233)))</f>
        <v/>
      </c>
      <c r="N233" s="3">
        <f>IF($A233="","",IFERROR(INDEX('CAT_ESTADOS_ERP'!$B$4:$B$7,MATCH(IFERROR(INDEX('2_IMPORTAR_EJECUCION'!$C$9:$C$1208,MATCH($AN233,'2_IMPORTAR_EJECUCION'!$J$9:$J$1208,0)),""),'CAT_ESTADOS_ERP'!$A$4:$A$7,0)),"Pendiente"))</f>
        <v/>
      </c>
      <c r="O233" s="3">
        <f>IF($J233="","",YEAR($J233+4-WEEKDAY($J233,2))&amp;"-S"&amp;TEXT(_xlfn.ISOWEEKNUM($J233),"00"))</f>
        <v/>
      </c>
      <c r="P233" s="3">
        <f>IF($J233="","",YEAR($J233))</f>
        <v/>
      </c>
      <c r="Q233" s="3">
        <f>IF($J233="","",MONTH($J233))</f>
        <v/>
      </c>
      <c r="R233" s="3">
        <f>IF($J233="","",INDEX(lista_dias,WEEKDAY($J233,2)))</f>
        <v/>
      </c>
      <c r="S233" s="3">
        <f>IF($I233="","",IFERROR(INDEX('CAT_TIPOS_OT'!$C$4:$C$7,MATCH($I233,'CAT_TIPOS_OT'!$A$4:$A$7,0)),"sin_clasificar"))</f>
        <v/>
      </c>
      <c r="T233" s="3">
        <f>IF($F233="","",IFERROR(INDEX('CAT_CENTROS_COSTO'!$E$4:$E$9,MATCH($F233,'CAT_CENTROS_COSTO'!$A$4:$A$9,0)),"(sin catálogo)"))</f>
        <v/>
      </c>
      <c r="U233" s="3">
        <f>IF($F233="","",IFERROR(INDEX('CAT_CENTROS_COSTO'!$D$4:$D$9,MATCH($F233,'CAT_CENTROS_COSTO'!$A$4:$A$9,0)),"(sin catálogo)"))</f>
        <v/>
      </c>
      <c r="V233" s="3">
        <f>IF($F233="","",IFERROR(INDEX('CAT_CENTROS_COSTO'!$F$4:$F$9,MATCH($F233,'CAT_CENTROS_COSTO'!$A$4:$A$9,0)),"(sin catálogo)"))</f>
        <v/>
      </c>
      <c r="W233" s="3">
        <f>IF($G233="","",IFERROR(INDEX('CAT_PUESTOS'!$B$4:$B$8,MATCH($G233,'CAT_PUESTOS'!$A$4:$A$8,0)),"(sin catálogo)"))</f>
        <v/>
      </c>
      <c r="X233" s="3">
        <f>IF($H233="","",IFERROR(INDEX('CAT_ACTIVIDADES'!$B$4:$B$8,MATCH($H233,'CAT_ACTIVIDADES'!$A$4:$A$8,0)),"(sin catálogo)"))</f>
        <v/>
      </c>
      <c r="Y233" s="12">
        <f>IF($J233="","",TODAY()-$J233)</f>
        <v/>
      </c>
      <c r="Z233" s="3">
        <f>IF($Y233="","",IF($Y233&lt;0,"FUTURO",IF($Y233&gt;p_dias_backlog_max,"BACKLOG","MES CORRIENTE")))</f>
        <v/>
      </c>
      <c r="AA233" s="3">
        <f>IF($Y233="",FALSE,AND($Y233&gt;p_dias_backlog_min,$Y233&lt;=p_dias_backlog_max))</f>
        <v/>
      </c>
      <c r="AB233" s="6" t="n"/>
      <c r="AC233" s="3">
        <f>IF($AB233="","",IFERROR(INDEX('ASIGNACIONES'!$F$4:$F$339,MATCH($O233&amp;"|"&amp;$R233&amp;"|"&amp;$AB233,'ASIGNACIONES'!$I$4:$I$339,0)),""))</f>
        <v/>
      </c>
      <c r="AD233" s="13">
        <f>IF($AB233="","",SUMIFS('ORDENES'!$M$4:$M$1203,'ORDENES'!$AB$4:$AB$1203,$AB233,'ORDENES'!$O$4:$O$1203,$O233,'ORDENES'!$R$4:$R$1203,$R233))</f>
        <v/>
      </c>
      <c r="AE233" s="13">
        <f>IF($AD233="","",p_factor_productividad*IFERROR(INDEX('ASIGNACIONES'!$H$4:$H$339,MATCH($O233&amp;"|"&amp;$R233&amp;"|"&amp;$AB233,'ASIGNACIONES'!$I$4:$I$339,0)),0)-$AD233)</f>
        <v/>
      </c>
      <c r="AF233" s="10">
        <f>IF($A233="","",IFERROR(INDEX('2_IMPORTAR_EJECUCION'!$F$9:$F$1208,MATCH($AN233,'2_IMPORTAR_EJECUCION'!$J$9:$J$1208,0)),0))</f>
        <v/>
      </c>
      <c r="AG233" s="10">
        <f>IF($A233="","",MAX(0,IFERROR(INDEX('2_IMPORTAR_EJECUCION'!$H$9:$H$1208,MATCH($AN233,'2_IMPORTAR_EJECUCION'!$J$9:$J$1208,0)),0)-$AF233))</f>
        <v/>
      </c>
      <c r="AH233" s="10">
        <f>IF($A233="","",$AF233+$AG233)</f>
        <v/>
      </c>
      <c r="AI233" s="6" t="n"/>
      <c r="AJ233" s="6" t="n"/>
      <c r="AK233" s="6" t="n"/>
      <c r="AL233" s="3">
        <f>IF($AK233="","",HYPERLINK(p_ruta_base_checklists&amp;$AK233,"abrir"))</f>
        <v/>
      </c>
      <c r="AM233" s="6" t="n"/>
      <c r="AN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1" t="n"/>
      <c r="K234" s="3" t="n"/>
      <c r="L234" s="10" t="n"/>
      <c r="M234" s="3">
        <f>IF($A234="","",IFERROR(INDEX('AJUSTES'!$B$4:$B$303,MATCH($AN234,'AJUSTES'!$A$4:$A$303,0)),IF($K234="","",$K234)))</f>
        <v/>
      </c>
      <c r="N234" s="3">
        <f>IF($A234="","",IFERROR(INDEX('CAT_ESTADOS_ERP'!$B$4:$B$7,MATCH(IFERROR(INDEX('2_IMPORTAR_EJECUCION'!$C$9:$C$1208,MATCH($AN234,'2_IMPORTAR_EJECUCION'!$J$9:$J$1208,0)),""),'CAT_ESTADOS_ERP'!$A$4:$A$7,0)),"Pendiente"))</f>
        <v/>
      </c>
      <c r="O234" s="3">
        <f>IF($J234="","",YEAR($J234+4-WEEKDAY($J234,2))&amp;"-S"&amp;TEXT(_xlfn.ISOWEEKNUM($J234),"00"))</f>
        <v/>
      </c>
      <c r="P234" s="3">
        <f>IF($J234="","",YEAR($J234))</f>
        <v/>
      </c>
      <c r="Q234" s="3">
        <f>IF($J234="","",MONTH($J234))</f>
        <v/>
      </c>
      <c r="R234" s="3">
        <f>IF($J234="","",INDEX(lista_dias,WEEKDAY($J234,2)))</f>
        <v/>
      </c>
      <c r="S234" s="3">
        <f>IF($I234="","",IFERROR(INDEX('CAT_TIPOS_OT'!$C$4:$C$7,MATCH($I234,'CAT_TIPOS_OT'!$A$4:$A$7,0)),"sin_clasificar"))</f>
        <v/>
      </c>
      <c r="T234" s="3">
        <f>IF($F234="","",IFERROR(INDEX('CAT_CENTROS_COSTO'!$E$4:$E$9,MATCH($F234,'CAT_CENTROS_COSTO'!$A$4:$A$9,0)),"(sin catálogo)"))</f>
        <v/>
      </c>
      <c r="U234" s="3">
        <f>IF($F234="","",IFERROR(INDEX('CAT_CENTROS_COSTO'!$D$4:$D$9,MATCH($F234,'CAT_CENTROS_COSTO'!$A$4:$A$9,0)),"(sin catálogo)"))</f>
        <v/>
      </c>
      <c r="V234" s="3">
        <f>IF($F234="","",IFERROR(INDEX('CAT_CENTROS_COSTO'!$F$4:$F$9,MATCH($F234,'CAT_CENTROS_COSTO'!$A$4:$A$9,0)),"(sin catálogo)"))</f>
        <v/>
      </c>
      <c r="W234" s="3">
        <f>IF($G234="","",IFERROR(INDEX('CAT_PUESTOS'!$B$4:$B$8,MATCH($G234,'CAT_PUESTOS'!$A$4:$A$8,0)),"(sin catálogo)"))</f>
        <v/>
      </c>
      <c r="X234" s="3">
        <f>IF($H234="","",IFERROR(INDEX('CAT_ACTIVIDADES'!$B$4:$B$8,MATCH($H234,'CAT_ACTIVIDADES'!$A$4:$A$8,0)),"(sin catálogo)"))</f>
        <v/>
      </c>
      <c r="Y234" s="12">
        <f>IF($J234="","",TODAY()-$J234)</f>
        <v/>
      </c>
      <c r="Z234" s="3">
        <f>IF($Y234="","",IF($Y234&lt;0,"FUTURO",IF($Y234&gt;p_dias_backlog_max,"BACKLOG","MES CORRIENTE")))</f>
        <v/>
      </c>
      <c r="AA234" s="3">
        <f>IF($Y234="",FALSE,AND($Y234&gt;p_dias_backlog_min,$Y234&lt;=p_dias_backlog_max))</f>
        <v/>
      </c>
      <c r="AB234" s="6" t="n"/>
      <c r="AC234" s="3">
        <f>IF($AB234="","",IFERROR(INDEX('ASIGNACIONES'!$F$4:$F$339,MATCH($O234&amp;"|"&amp;$R234&amp;"|"&amp;$AB234,'ASIGNACIONES'!$I$4:$I$339,0)),""))</f>
        <v/>
      </c>
      <c r="AD234" s="13">
        <f>IF($AB234="","",SUMIFS('ORDENES'!$M$4:$M$1203,'ORDENES'!$AB$4:$AB$1203,$AB234,'ORDENES'!$O$4:$O$1203,$O234,'ORDENES'!$R$4:$R$1203,$R234))</f>
        <v/>
      </c>
      <c r="AE234" s="13">
        <f>IF($AD234="","",p_factor_productividad*IFERROR(INDEX('ASIGNACIONES'!$H$4:$H$339,MATCH($O234&amp;"|"&amp;$R234&amp;"|"&amp;$AB234,'ASIGNACIONES'!$I$4:$I$339,0)),0)-$AD234)</f>
        <v/>
      </c>
      <c r="AF234" s="10">
        <f>IF($A234="","",IFERROR(INDEX('2_IMPORTAR_EJECUCION'!$F$9:$F$1208,MATCH($AN234,'2_IMPORTAR_EJECUCION'!$J$9:$J$1208,0)),0))</f>
        <v/>
      </c>
      <c r="AG234" s="10">
        <f>IF($A234="","",MAX(0,IFERROR(INDEX('2_IMPORTAR_EJECUCION'!$H$9:$H$1208,MATCH($AN234,'2_IMPORTAR_EJECUCION'!$J$9:$J$1208,0)),0)-$AF234))</f>
        <v/>
      </c>
      <c r="AH234" s="10">
        <f>IF($A234="","",$AF234+$AG234)</f>
        <v/>
      </c>
      <c r="AI234" s="6" t="n"/>
      <c r="AJ234" s="6" t="n"/>
      <c r="AK234" s="6" t="n"/>
      <c r="AL234" s="3">
        <f>IF($AK234="","",HYPERLINK(p_ruta_base_checklists&amp;$AK234,"abrir"))</f>
        <v/>
      </c>
      <c r="AM234" s="6" t="n"/>
      <c r="AN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1" t="n"/>
      <c r="K235" s="3" t="n"/>
      <c r="L235" s="10" t="n"/>
      <c r="M235" s="3">
        <f>IF($A235="","",IFERROR(INDEX('AJUSTES'!$B$4:$B$303,MATCH($AN235,'AJUSTES'!$A$4:$A$303,0)),IF($K235="","",$K235)))</f>
        <v/>
      </c>
      <c r="N235" s="3">
        <f>IF($A235="","",IFERROR(INDEX('CAT_ESTADOS_ERP'!$B$4:$B$7,MATCH(IFERROR(INDEX('2_IMPORTAR_EJECUCION'!$C$9:$C$1208,MATCH($AN235,'2_IMPORTAR_EJECUCION'!$J$9:$J$1208,0)),""),'CAT_ESTADOS_ERP'!$A$4:$A$7,0)),"Pendiente"))</f>
        <v/>
      </c>
      <c r="O235" s="3">
        <f>IF($J235="","",YEAR($J235+4-WEEKDAY($J235,2))&amp;"-S"&amp;TEXT(_xlfn.ISOWEEKNUM($J235),"00"))</f>
        <v/>
      </c>
      <c r="P235" s="3">
        <f>IF($J235="","",YEAR($J235))</f>
        <v/>
      </c>
      <c r="Q235" s="3">
        <f>IF($J235="","",MONTH($J235))</f>
        <v/>
      </c>
      <c r="R235" s="3">
        <f>IF($J235="","",INDEX(lista_dias,WEEKDAY($J235,2)))</f>
        <v/>
      </c>
      <c r="S235" s="3">
        <f>IF($I235="","",IFERROR(INDEX('CAT_TIPOS_OT'!$C$4:$C$7,MATCH($I235,'CAT_TIPOS_OT'!$A$4:$A$7,0)),"sin_clasificar"))</f>
        <v/>
      </c>
      <c r="T235" s="3">
        <f>IF($F235="","",IFERROR(INDEX('CAT_CENTROS_COSTO'!$E$4:$E$9,MATCH($F235,'CAT_CENTROS_COSTO'!$A$4:$A$9,0)),"(sin catálogo)"))</f>
        <v/>
      </c>
      <c r="U235" s="3">
        <f>IF($F235="","",IFERROR(INDEX('CAT_CENTROS_COSTO'!$D$4:$D$9,MATCH($F235,'CAT_CENTROS_COSTO'!$A$4:$A$9,0)),"(sin catálogo)"))</f>
        <v/>
      </c>
      <c r="V235" s="3">
        <f>IF($F235="","",IFERROR(INDEX('CAT_CENTROS_COSTO'!$F$4:$F$9,MATCH($F235,'CAT_CENTROS_COSTO'!$A$4:$A$9,0)),"(sin catálogo)"))</f>
        <v/>
      </c>
      <c r="W235" s="3">
        <f>IF($G235="","",IFERROR(INDEX('CAT_PUESTOS'!$B$4:$B$8,MATCH($G235,'CAT_PUESTOS'!$A$4:$A$8,0)),"(sin catálogo)"))</f>
        <v/>
      </c>
      <c r="X235" s="3">
        <f>IF($H235="","",IFERROR(INDEX('CAT_ACTIVIDADES'!$B$4:$B$8,MATCH($H235,'CAT_ACTIVIDADES'!$A$4:$A$8,0)),"(sin catálogo)"))</f>
        <v/>
      </c>
      <c r="Y235" s="12">
        <f>IF($J235="","",TODAY()-$J235)</f>
        <v/>
      </c>
      <c r="Z235" s="3">
        <f>IF($Y235="","",IF($Y235&lt;0,"FUTURO",IF($Y235&gt;p_dias_backlog_max,"BACKLOG","MES CORRIENTE")))</f>
        <v/>
      </c>
      <c r="AA235" s="3">
        <f>IF($Y235="",FALSE,AND($Y235&gt;p_dias_backlog_min,$Y235&lt;=p_dias_backlog_max))</f>
        <v/>
      </c>
      <c r="AB235" s="6" t="n"/>
      <c r="AC235" s="3">
        <f>IF($AB235="","",IFERROR(INDEX('ASIGNACIONES'!$F$4:$F$339,MATCH($O235&amp;"|"&amp;$R235&amp;"|"&amp;$AB235,'ASIGNACIONES'!$I$4:$I$339,0)),""))</f>
        <v/>
      </c>
      <c r="AD235" s="13">
        <f>IF($AB235="","",SUMIFS('ORDENES'!$M$4:$M$1203,'ORDENES'!$AB$4:$AB$1203,$AB235,'ORDENES'!$O$4:$O$1203,$O235,'ORDENES'!$R$4:$R$1203,$R235))</f>
        <v/>
      </c>
      <c r="AE235" s="13">
        <f>IF($AD235="","",p_factor_productividad*IFERROR(INDEX('ASIGNACIONES'!$H$4:$H$339,MATCH($O235&amp;"|"&amp;$R235&amp;"|"&amp;$AB235,'ASIGNACIONES'!$I$4:$I$339,0)),0)-$AD235)</f>
        <v/>
      </c>
      <c r="AF235" s="10">
        <f>IF($A235="","",IFERROR(INDEX('2_IMPORTAR_EJECUCION'!$F$9:$F$1208,MATCH($AN235,'2_IMPORTAR_EJECUCION'!$J$9:$J$1208,0)),0))</f>
        <v/>
      </c>
      <c r="AG235" s="10">
        <f>IF($A235="","",MAX(0,IFERROR(INDEX('2_IMPORTAR_EJECUCION'!$H$9:$H$1208,MATCH($AN235,'2_IMPORTAR_EJECUCION'!$J$9:$J$1208,0)),0)-$AF235))</f>
        <v/>
      </c>
      <c r="AH235" s="10">
        <f>IF($A235="","",$AF235+$AG235)</f>
        <v/>
      </c>
      <c r="AI235" s="6" t="n"/>
      <c r="AJ235" s="6" t="n"/>
      <c r="AK235" s="6" t="n"/>
      <c r="AL235" s="3">
        <f>IF($AK235="","",HYPERLINK(p_ruta_base_checklists&amp;$AK235,"abrir"))</f>
        <v/>
      </c>
      <c r="AM235" s="6" t="n"/>
      <c r="AN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1" t="n"/>
      <c r="K236" s="3" t="n"/>
      <c r="L236" s="10" t="n"/>
      <c r="M236" s="3">
        <f>IF($A236="","",IFERROR(INDEX('AJUSTES'!$B$4:$B$303,MATCH($AN236,'AJUSTES'!$A$4:$A$303,0)),IF($K236="","",$K236)))</f>
        <v/>
      </c>
      <c r="N236" s="3">
        <f>IF($A236="","",IFERROR(INDEX('CAT_ESTADOS_ERP'!$B$4:$B$7,MATCH(IFERROR(INDEX('2_IMPORTAR_EJECUCION'!$C$9:$C$1208,MATCH($AN236,'2_IMPORTAR_EJECUCION'!$J$9:$J$1208,0)),""),'CAT_ESTADOS_ERP'!$A$4:$A$7,0)),"Pendiente"))</f>
        <v/>
      </c>
      <c r="O236" s="3">
        <f>IF($J236="","",YEAR($J236+4-WEEKDAY($J236,2))&amp;"-S"&amp;TEXT(_xlfn.ISOWEEKNUM($J236),"00"))</f>
        <v/>
      </c>
      <c r="P236" s="3">
        <f>IF($J236="","",YEAR($J236))</f>
        <v/>
      </c>
      <c r="Q236" s="3">
        <f>IF($J236="","",MONTH($J236))</f>
        <v/>
      </c>
      <c r="R236" s="3">
        <f>IF($J236="","",INDEX(lista_dias,WEEKDAY($J236,2)))</f>
        <v/>
      </c>
      <c r="S236" s="3">
        <f>IF($I236="","",IFERROR(INDEX('CAT_TIPOS_OT'!$C$4:$C$7,MATCH($I236,'CAT_TIPOS_OT'!$A$4:$A$7,0)),"sin_clasificar"))</f>
        <v/>
      </c>
      <c r="T236" s="3">
        <f>IF($F236="","",IFERROR(INDEX('CAT_CENTROS_COSTO'!$E$4:$E$9,MATCH($F236,'CAT_CENTROS_COSTO'!$A$4:$A$9,0)),"(sin catálogo)"))</f>
        <v/>
      </c>
      <c r="U236" s="3">
        <f>IF($F236="","",IFERROR(INDEX('CAT_CENTROS_COSTO'!$D$4:$D$9,MATCH($F236,'CAT_CENTROS_COSTO'!$A$4:$A$9,0)),"(sin catálogo)"))</f>
        <v/>
      </c>
      <c r="V236" s="3">
        <f>IF($F236="","",IFERROR(INDEX('CAT_CENTROS_COSTO'!$F$4:$F$9,MATCH($F236,'CAT_CENTROS_COSTO'!$A$4:$A$9,0)),"(sin catálogo)"))</f>
        <v/>
      </c>
      <c r="W236" s="3">
        <f>IF($G236="","",IFERROR(INDEX('CAT_PUESTOS'!$B$4:$B$8,MATCH($G236,'CAT_PUESTOS'!$A$4:$A$8,0)),"(sin catálogo)"))</f>
        <v/>
      </c>
      <c r="X236" s="3">
        <f>IF($H236="","",IFERROR(INDEX('CAT_ACTIVIDADES'!$B$4:$B$8,MATCH($H236,'CAT_ACTIVIDADES'!$A$4:$A$8,0)),"(sin catálogo)"))</f>
        <v/>
      </c>
      <c r="Y236" s="12">
        <f>IF($J236="","",TODAY()-$J236)</f>
        <v/>
      </c>
      <c r="Z236" s="3">
        <f>IF($Y236="","",IF($Y236&lt;0,"FUTURO",IF($Y236&gt;p_dias_backlog_max,"BACKLOG","MES CORRIENTE")))</f>
        <v/>
      </c>
      <c r="AA236" s="3">
        <f>IF($Y236="",FALSE,AND($Y236&gt;p_dias_backlog_min,$Y236&lt;=p_dias_backlog_max))</f>
        <v/>
      </c>
      <c r="AB236" s="6" t="n"/>
      <c r="AC236" s="3">
        <f>IF($AB236="","",IFERROR(INDEX('ASIGNACIONES'!$F$4:$F$339,MATCH($O236&amp;"|"&amp;$R236&amp;"|"&amp;$AB236,'ASIGNACIONES'!$I$4:$I$339,0)),""))</f>
        <v/>
      </c>
      <c r="AD236" s="13">
        <f>IF($AB236="","",SUMIFS('ORDENES'!$M$4:$M$1203,'ORDENES'!$AB$4:$AB$1203,$AB236,'ORDENES'!$O$4:$O$1203,$O236,'ORDENES'!$R$4:$R$1203,$R236))</f>
        <v/>
      </c>
      <c r="AE236" s="13">
        <f>IF($AD236="","",p_factor_productividad*IFERROR(INDEX('ASIGNACIONES'!$H$4:$H$339,MATCH($O236&amp;"|"&amp;$R236&amp;"|"&amp;$AB236,'ASIGNACIONES'!$I$4:$I$339,0)),0)-$AD236)</f>
        <v/>
      </c>
      <c r="AF236" s="10">
        <f>IF($A236="","",IFERROR(INDEX('2_IMPORTAR_EJECUCION'!$F$9:$F$1208,MATCH($AN236,'2_IMPORTAR_EJECUCION'!$J$9:$J$1208,0)),0))</f>
        <v/>
      </c>
      <c r="AG236" s="10">
        <f>IF($A236="","",MAX(0,IFERROR(INDEX('2_IMPORTAR_EJECUCION'!$H$9:$H$1208,MATCH($AN236,'2_IMPORTAR_EJECUCION'!$J$9:$J$1208,0)),0)-$AF236))</f>
        <v/>
      </c>
      <c r="AH236" s="10">
        <f>IF($A236="","",$AF236+$AG236)</f>
        <v/>
      </c>
      <c r="AI236" s="6" t="n"/>
      <c r="AJ236" s="6" t="n"/>
      <c r="AK236" s="6" t="n"/>
      <c r="AL236" s="3">
        <f>IF($AK236="","",HYPERLINK(p_ruta_base_checklists&amp;$AK236,"abrir"))</f>
        <v/>
      </c>
      <c r="AM236" s="6" t="n"/>
      <c r="AN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1" t="n"/>
      <c r="K237" s="3" t="n"/>
      <c r="L237" s="10" t="n"/>
      <c r="M237" s="3">
        <f>IF($A237="","",IFERROR(INDEX('AJUSTES'!$B$4:$B$303,MATCH($AN237,'AJUSTES'!$A$4:$A$303,0)),IF($K237="","",$K237)))</f>
        <v/>
      </c>
      <c r="N237" s="3">
        <f>IF($A237="","",IFERROR(INDEX('CAT_ESTADOS_ERP'!$B$4:$B$7,MATCH(IFERROR(INDEX('2_IMPORTAR_EJECUCION'!$C$9:$C$1208,MATCH($AN237,'2_IMPORTAR_EJECUCION'!$J$9:$J$1208,0)),""),'CAT_ESTADOS_ERP'!$A$4:$A$7,0)),"Pendiente"))</f>
        <v/>
      </c>
      <c r="O237" s="3">
        <f>IF($J237="","",YEAR($J237+4-WEEKDAY($J237,2))&amp;"-S"&amp;TEXT(_xlfn.ISOWEEKNUM($J237),"00"))</f>
        <v/>
      </c>
      <c r="P237" s="3">
        <f>IF($J237="","",YEAR($J237))</f>
        <v/>
      </c>
      <c r="Q237" s="3">
        <f>IF($J237="","",MONTH($J237))</f>
        <v/>
      </c>
      <c r="R237" s="3">
        <f>IF($J237="","",INDEX(lista_dias,WEEKDAY($J237,2)))</f>
        <v/>
      </c>
      <c r="S237" s="3">
        <f>IF($I237="","",IFERROR(INDEX('CAT_TIPOS_OT'!$C$4:$C$7,MATCH($I237,'CAT_TIPOS_OT'!$A$4:$A$7,0)),"sin_clasificar"))</f>
        <v/>
      </c>
      <c r="T237" s="3">
        <f>IF($F237="","",IFERROR(INDEX('CAT_CENTROS_COSTO'!$E$4:$E$9,MATCH($F237,'CAT_CENTROS_COSTO'!$A$4:$A$9,0)),"(sin catálogo)"))</f>
        <v/>
      </c>
      <c r="U237" s="3">
        <f>IF($F237="","",IFERROR(INDEX('CAT_CENTROS_COSTO'!$D$4:$D$9,MATCH($F237,'CAT_CENTROS_COSTO'!$A$4:$A$9,0)),"(sin catálogo)"))</f>
        <v/>
      </c>
      <c r="V237" s="3">
        <f>IF($F237="","",IFERROR(INDEX('CAT_CENTROS_COSTO'!$F$4:$F$9,MATCH($F237,'CAT_CENTROS_COSTO'!$A$4:$A$9,0)),"(sin catálogo)"))</f>
        <v/>
      </c>
      <c r="W237" s="3">
        <f>IF($G237="","",IFERROR(INDEX('CAT_PUESTOS'!$B$4:$B$8,MATCH($G237,'CAT_PUESTOS'!$A$4:$A$8,0)),"(sin catálogo)"))</f>
        <v/>
      </c>
      <c r="X237" s="3">
        <f>IF($H237="","",IFERROR(INDEX('CAT_ACTIVIDADES'!$B$4:$B$8,MATCH($H237,'CAT_ACTIVIDADES'!$A$4:$A$8,0)),"(sin catálogo)"))</f>
        <v/>
      </c>
      <c r="Y237" s="12">
        <f>IF($J237="","",TODAY()-$J237)</f>
        <v/>
      </c>
      <c r="Z237" s="3">
        <f>IF($Y237="","",IF($Y237&lt;0,"FUTURO",IF($Y237&gt;p_dias_backlog_max,"BACKLOG","MES CORRIENTE")))</f>
        <v/>
      </c>
      <c r="AA237" s="3">
        <f>IF($Y237="",FALSE,AND($Y237&gt;p_dias_backlog_min,$Y237&lt;=p_dias_backlog_max))</f>
        <v/>
      </c>
      <c r="AB237" s="6" t="n"/>
      <c r="AC237" s="3">
        <f>IF($AB237="","",IFERROR(INDEX('ASIGNACIONES'!$F$4:$F$339,MATCH($O237&amp;"|"&amp;$R237&amp;"|"&amp;$AB237,'ASIGNACIONES'!$I$4:$I$339,0)),""))</f>
        <v/>
      </c>
      <c r="AD237" s="13">
        <f>IF($AB237="","",SUMIFS('ORDENES'!$M$4:$M$1203,'ORDENES'!$AB$4:$AB$1203,$AB237,'ORDENES'!$O$4:$O$1203,$O237,'ORDENES'!$R$4:$R$1203,$R237))</f>
        <v/>
      </c>
      <c r="AE237" s="13">
        <f>IF($AD237="","",p_factor_productividad*IFERROR(INDEX('ASIGNACIONES'!$H$4:$H$339,MATCH($O237&amp;"|"&amp;$R237&amp;"|"&amp;$AB237,'ASIGNACIONES'!$I$4:$I$339,0)),0)-$AD237)</f>
        <v/>
      </c>
      <c r="AF237" s="10">
        <f>IF($A237="","",IFERROR(INDEX('2_IMPORTAR_EJECUCION'!$F$9:$F$1208,MATCH($AN237,'2_IMPORTAR_EJECUCION'!$J$9:$J$1208,0)),0))</f>
        <v/>
      </c>
      <c r="AG237" s="10">
        <f>IF($A237="","",MAX(0,IFERROR(INDEX('2_IMPORTAR_EJECUCION'!$H$9:$H$1208,MATCH($AN237,'2_IMPORTAR_EJECUCION'!$J$9:$J$1208,0)),0)-$AF237))</f>
        <v/>
      </c>
      <c r="AH237" s="10">
        <f>IF($A237="","",$AF237+$AG237)</f>
        <v/>
      </c>
      <c r="AI237" s="6" t="n"/>
      <c r="AJ237" s="6" t="n"/>
      <c r="AK237" s="6" t="n"/>
      <c r="AL237" s="3">
        <f>IF($AK237="","",HYPERLINK(p_ruta_base_checklists&amp;$AK237,"abrir"))</f>
        <v/>
      </c>
      <c r="AM237" s="6" t="n"/>
      <c r="AN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1" t="n"/>
      <c r="K238" s="3" t="n"/>
      <c r="L238" s="10" t="n"/>
      <c r="M238" s="3">
        <f>IF($A238="","",IFERROR(INDEX('AJUSTES'!$B$4:$B$303,MATCH($AN238,'AJUSTES'!$A$4:$A$303,0)),IF($K238="","",$K238)))</f>
        <v/>
      </c>
      <c r="N238" s="3">
        <f>IF($A238="","",IFERROR(INDEX('CAT_ESTADOS_ERP'!$B$4:$B$7,MATCH(IFERROR(INDEX('2_IMPORTAR_EJECUCION'!$C$9:$C$1208,MATCH($AN238,'2_IMPORTAR_EJECUCION'!$J$9:$J$1208,0)),""),'CAT_ESTADOS_ERP'!$A$4:$A$7,0)),"Pendiente"))</f>
        <v/>
      </c>
      <c r="O238" s="3">
        <f>IF($J238="","",YEAR($J238+4-WEEKDAY($J238,2))&amp;"-S"&amp;TEXT(_xlfn.ISOWEEKNUM($J238),"00"))</f>
        <v/>
      </c>
      <c r="P238" s="3">
        <f>IF($J238="","",YEAR($J238))</f>
        <v/>
      </c>
      <c r="Q238" s="3">
        <f>IF($J238="","",MONTH($J238))</f>
        <v/>
      </c>
      <c r="R238" s="3">
        <f>IF($J238="","",INDEX(lista_dias,WEEKDAY($J238,2)))</f>
        <v/>
      </c>
      <c r="S238" s="3">
        <f>IF($I238="","",IFERROR(INDEX('CAT_TIPOS_OT'!$C$4:$C$7,MATCH($I238,'CAT_TIPOS_OT'!$A$4:$A$7,0)),"sin_clasificar"))</f>
        <v/>
      </c>
      <c r="T238" s="3">
        <f>IF($F238="","",IFERROR(INDEX('CAT_CENTROS_COSTO'!$E$4:$E$9,MATCH($F238,'CAT_CENTROS_COSTO'!$A$4:$A$9,0)),"(sin catálogo)"))</f>
        <v/>
      </c>
      <c r="U238" s="3">
        <f>IF($F238="","",IFERROR(INDEX('CAT_CENTROS_COSTO'!$D$4:$D$9,MATCH($F238,'CAT_CENTROS_COSTO'!$A$4:$A$9,0)),"(sin catálogo)"))</f>
        <v/>
      </c>
      <c r="V238" s="3">
        <f>IF($F238="","",IFERROR(INDEX('CAT_CENTROS_COSTO'!$F$4:$F$9,MATCH($F238,'CAT_CENTROS_COSTO'!$A$4:$A$9,0)),"(sin catálogo)"))</f>
        <v/>
      </c>
      <c r="W238" s="3">
        <f>IF($G238="","",IFERROR(INDEX('CAT_PUESTOS'!$B$4:$B$8,MATCH($G238,'CAT_PUESTOS'!$A$4:$A$8,0)),"(sin catálogo)"))</f>
        <v/>
      </c>
      <c r="X238" s="3">
        <f>IF($H238="","",IFERROR(INDEX('CAT_ACTIVIDADES'!$B$4:$B$8,MATCH($H238,'CAT_ACTIVIDADES'!$A$4:$A$8,0)),"(sin catálogo)"))</f>
        <v/>
      </c>
      <c r="Y238" s="12">
        <f>IF($J238="","",TODAY()-$J238)</f>
        <v/>
      </c>
      <c r="Z238" s="3">
        <f>IF($Y238="","",IF($Y238&lt;0,"FUTURO",IF($Y238&gt;p_dias_backlog_max,"BACKLOG","MES CORRIENTE")))</f>
        <v/>
      </c>
      <c r="AA238" s="3">
        <f>IF($Y238="",FALSE,AND($Y238&gt;p_dias_backlog_min,$Y238&lt;=p_dias_backlog_max))</f>
        <v/>
      </c>
      <c r="AB238" s="6" t="n"/>
      <c r="AC238" s="3">
        <f>IF($AB238="","",IFERROR(INDEX('ASIGNACIONES'!$F$4:$F$339,MATCH($O238&amp;"|"&amp;$R238&amp;"|"&amp;$AB238,'ASIGNACIONES'!$I$4:$I$339,0)),""))</f>
        <v/>
      </c>
      <c r="AD238" s="13">
        <f>IF($AB238="","",SUMIFS('ORDENES'!$M$4:$M$1203,'ORDENES'!$AB$4:$AB$1203,$AB238,'ORDENES'!$O$4:$O$1203,$O238,'ORDENES'!$R$4:$R$1203,$R238))</f>
        <v/>
      </c>
      <c r="AE238" s="13">
        <f>IF($AD238="","",p_factor_productividad*IFERROR(INDEX('ASIGNACIONES'!$H$4:$H$339,MATCH($O238&amp;"|"&amp;$R238&amp;"|"&amp;$AB238,'ASIGNACIONES'!$I$4:$I$339,0)),0)-$AD238)</f>
        <v/>
      </c>
      <c r="AF238" s="10">
        <f>IF($A238="","",IFERROR(INDEX('2_IMPORTAR_EJECUCION'!$F$9:$F$1208,MATCH($AN238,'2_IMPORTAR_EJECUCION'!$J$9:$J$1208,0)),0))</f>
        <v/>
      </c>
      <c r="AG238" s="10">
        <f>IF($A238="","",MAX(0,IFERROR(INDEX('2_IMPORTAR_EJECUCION'!$H$9:$H$1208,MATCH($AN238,'2_IMPORTAR_EJECUCION'!$J$9:$J$1208,0)),0)-$AF238))</f>
        <v/>
      </c>
      <c r="AH238" s="10">
        <f>IF($A238="","",$AF238+$AG238)</f>
        <v/>
      </c>
      <c r="AI238" s="6" t="n"/>
      <c r="AJ238" s="6" t="n"/>
      <c r="AK238" s="6" t="n"/>
      <c r="AL238" s="3">
        <f>IF($AK238="","",HYPERLINK(p_ruta_base_checklists&amp;$AK238,"abrir"))</f>
        <v/>
      </c>
      <c r="AM238" s="6" t="n"/>
      <c r="AN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1" t="n"/>
      <c r="K239" s="3" t="n"/>
      <c r="L239" s="10" t="n"/>
      <c r="M239" s="3">
        <f>IF($A239="","",IFERROR(INDEX('AJUSTES'!$B$4:$B$303,MATCH($AN239,'AJUSTES'!$A$4:$A$303,0)),IF($K239="","",$K239)))</f>
        <v/>
      </c>
      <c r="N239" s="3">
        <f>IF($A239="","",IFERROR(INDEX('CAT_ESTADOS_ERP'!$B$4:$B$7,MATCH(IFERROR(INDEX('2_IMPORTAR_EJECUCION'!$C$9:$C$1208,MATCH($AN239,'2_IMPORTAR_EJECUCION'!$J$9:$J$1208,0)),""),'CAT_ESTADOS_ERP'!$A$4:$A$7,0)),"Pendiente"))</f>
        <v/>
      </c>
      <c r="O239" s="3">
        <f>IF($J239="","",YEAR($J239+4-WEEKDAY($J239,2))&amp;"-S"&amp;TEXT(_xlfn.ISOWEEKNUM($J239),"00"))</f>
        <v/>
      </c>
      <c r="P239" s="3">
        <f>IF($J239="","",YEAR($J239))</f>
        <v/>
      </c>
      <c r="Q239" s="3">
        <f>IF($J239="","",MONTH($J239))</f>
        <v/>
      </c>
      <c r="R239" s="3">
        <f>IF($J239="","",INDEX(lista_dias,WEEKDAY($J239,2)))</f>
        <v/>
      </c>
      <c r="S239" s="3">
        <f>IF($I239="","",IFERROR(INDEX('CAT_TIPOS_OT'!$C$4:$C$7,MATCH($I239,'CAT_TIPOS_OT'!$A$4:$A$7,0)),"sin_clasificar"))</f>
        <v/>
      </c>
      <c r="T239" s="3">
        <f>IF($F239="","",IFERROR(INDEX('CAT_CENTROS_COSTO'!$E$4:$E$9,MATCH($F239,'CAT_CENTROS_COSTO'!$A$4:$A$9,0)),"(sin catálogo)"))</f>
        <v/>
      </c>
      <c r="U239" s="3">
        <f>IF($F239="","",IFERROR(INDEX('CAT_CENTROS_COSTO'!$D$4:$D$9,MATCH($F239,'CAT_CENTROS_COSTO'!$A$4:$A$9,0)),"(sin catálogo)"))</f>
        <v/>
      </c>
      <c r="V239" s="3">
        <f>IF($F239="","",IFERROR(INDEX('CAT_CENTROS_COSTO'!$F$4:$F$9,MATCH($F239,'CAT_CENTROS_COSTO'!$A$4:$A$9,0)),"(sin catálogo)"))</f>
        <v/>
      </c>
      <c r="W239" s="3">
        <f>IF($G239="","",IFERROR(INDEX('CAT_PUESTOS'!$B$4:$B$8,MATCH($G239,'CAT_PUESTOS'!$A$4:$A$8,0)),"(sin catálogo)"))</f>
        <v/>
      </c>
      <c r="X239" s="3">
        <f>IF($H239="","",IFERROR(INDEX('CAT_ACTIVIDADES'!$B$4:$B$8,MATCH($H239,'CAT_ACTIVIDADES'!$A$4:$A$8,0)),"(sin catálogo)"))</f>
        <v/>
      </c>
      <c r="Y239" s="12">
        <f>IF($J239="","",TODAY()-$J239)</f>
        <v/>
      </c>
      <c r="Z239" s="3">
        <f>IF($Y239="","",IF($Y239&lt;0,"FUTURO",IF($Y239&gt;p_dias_backlog_max,"BACKLOG","MES CORRIENTE")))</f>
        <v/>
      </c>
      <c r="AA239" s="3">
        <f>IF($Y239="",FALSE,AND($Y239&gt;p_dias_backlog_min,$Y239&lt;=p_dias_backlog_max))</f>
        <v/>
      </c>
      <c r="AB239" s="6" t="n"/>
      <c r="AC239" s="3">
        <f>IF($AB239="","",IFERROR(INDEX('ASIGNACIONES'!$F$4:$F$339,MATCH($O239&amp;"|"&amp;$R239&amp;"|"&amp;$AB239,'ASIGNACIONES'!$I$4:$I$339,0)),""))</f>
        <v/>
      </c>
      <c r="AD239" s="13">
        <f>IF($AB239="","",SUMIFS('ORDENES'!$M$4:$M$1203,'ORDENES'!$AB$4:$AB$1203,$AB239,'ORDENES'!$O$4:$O$1203,$O239,'ORDENES'!$R$4:$R$1203,$R239))</f>
        <v/>
      </c>
      <c r="AE239" s="13">
        <f>IF($AD239="","",p_factor_productividad*IFERROR(INDEX('ASIGNACIONES'!$H$4:$H$339,MATCH($O239&amp;"|"&amp;$R239&amp;"|"&amp;$AB239,'ASIGNACIONES'!$I$4:$I$339,0)),0)-$AD239)</f>
        <v/>
      </c>
      <c r="AF239" s="10">
        <f>IF($A239="","",IFERROR(INDEX('2_IMPORTAR_EJECUCION'!$F$9:$F$1208,MATCH($AN239,'2_IMPORTAR_EJECUCION'!$J$9:$J$1208,0)),0))</f>
        <v/>
      </c>
      <c r="AG239" s="10">
        <f>IF($A239="","",MAX(0,IFERROR(INDEX('2_IMPORTAR_EJECUCION'!$H$9:$H$1208,MATCH($AN239,'2_IMPORTAR_EJECUCION'!$J$9:$J$1208,0)),0)-$AF239))</f>
        <v/>
      </c>
      <c r="AH239" s="10">
        <f>IF($A239="","",$AF239+$AG239)</f>
        <v/>
      </c>
      <c r="AI239" s="6" t="n"/>
      <c r="AJ239" s="6" t="n"/>
      <c r="AK239" s="6" t="n"/>
      <c r="AL239" s="3">
        <f>IF($AK239="","",HYPERLINK(p_ruta_base_checklists&amp;$AK239,"abrir"))</f>
        <v/>
      </c>
      <c r="AM239" s="6" t="n"/>
      <c r="AN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1" t="n"/>
      <c r="K240" s="3" t="n"/>
      <c r="L240" s="10" t="n"/>
      <c r="M240" s="3">
        <f>IF($A240="","",IFERROR(INDEX('AJUSTES'!$B$4:$B$303,MATCH($AN240,'AJUSTES'!$A$4:$A$303,0)),IF($K240="","",$K240)))</f>
        <v/>
      </c>
      <c r="N240" s="3">
        <f>IF($A240="","",IFERROR(INDEX('CAT_ESTADOS_ERP'!$B$4:$B$7,MATCH(IFERROR(INDEX('2_IMPORTAR_EJECUCION'!$C$9:$C$1208,MATCH($AN240,'2_IMPORTAR_EJECUCION'!$J$9:$J$1208,0)),""),'CAT_ESTADOS_ERP'!$A$4:$A$7,0)),"Pendiente"))</f>
        <v/>
      </c>
      <c r="O240" s="3">
        <f>IF($J240="","",YEAR($J240+4-WEEKDAY($J240,2))&amp;"-S"&amp;TEXT(_xlfn.ISOWEEKNUM($J240),"00"))</f>
        <v/>
      </c>
      <c r="P240" s="3">
        <f>IF($J240="","",YEAR($J240))</f>
        <v/>
      </c>
      <c r="Q240" s="3">
        <f>IF($J240="","",MONTH($J240))</f>
        <v/>
      </c>
      <c r="R240" s="3">
        <f>IF($J240="","",INDEX(lista_dias,WEEKDAY($J240,2)))</f>
        <v/>
      </c>
      <c r="S240" s="3">
        <f>IF($I240="","",IFERROR(INDEX('CAT_TIPOS_OT'!$C$4:$C$7,MATCH($I240,'CAT_TIPOS_OT'!$A$4:$A$7,0)),"sin_clasificar"))</f>
        <v/>
      </c>
      <c r="T240" s="3">
        <f>IF($F240="","",IFERROR(INDEX('CAT_CENTROS_COSTO'!$E$4:$E$9,MATCH($F240,'CAT_CENTROS_COSTO'!$A$4:$A$9,0)),"(sin catálogo)"))</f>
        <v/>
      </c>
      <c r="U240" s="3">
        <f>IF($F240="","",IFERROR(INDEX('CAT_CENTROS_COSTO'!$D$4:$D$9,MATCH($F240,'CAT_CENTROS_COSTO'!$A$4:$A$9,0)),"(sin catálogo)"))</f>
        <v/>
      </c>
      <c r="V240" s="3">
        <f>IF($F240="","",IFERROR(INDEX('CAT_CENTROS_COSTO'!$F$4:$F$9,MATCH($F240,'CAT_CENTROS_COSTO'!$A$4:$A$9,0)),"(sin catálogo)"))</f>
        <v/>
      </c>
      <c r="W240" s="3">
        <f>IF($G240="","",IFERROR(INDEX('CAT_PUESTOS'!$B$4:$B$8,MATCH($G240,'CAT_PUESTOS'!$A$4:$A$8,0)),"(sin catálogo)"))</f>
        <v/>
      </c>
      <c r="X240" s="3">
        <f>IF($H240="","",IFERROR(INDEX('CAT_ACTIVIDADES'!$B$4:$B$8,MATCH($H240,'CAT_ACTIVIDADES'!$A$4:$A$8,0)),"(sin catálogo)"))</f>
        <v/>
      </c>
      <c r="Y240" s="12">
        <f>IF($J240="","",TODAY()-$J240)</f>
        <v/>
      </c>
      <c r="Z240" s="3">
        <f>IF($Y240="","",IF($Y240&lt;0,"FUTURO",IF($Y240&gt;p_dias_backlog_max,"BACKLOG","MES CORRIENTE")))</f>
        <v/>
      </c>
      <c r="AA240" s="3">
        <f>IF($Y240="",FALSE,AND($Y240&gt;p_dias_backlog_min,$Y240&lt;=p_dias_backlog_max))</f>
        <v/>
      </c>
      <c r="AB240" s="6" t="n"/>
      <c r="AC240" s="3">
        <f>IF($AB240="","",IFERROR(INDEX('ASIGNACIONES'!$F$4:$F$339,MATCH($O240&amp;"|"&amp;$R240&amp;"|"&amp;$AB240,'ASIGNACIONES'!$I$4:$I$339,0)),""))</f>
        <v/>
      </c>
      <c r="AD240" s="13">
        <f>IF($AB240="","",SUMIFS('ORDENES'!$M$4:$M$1203,'ORDENES'!$AB$4:$AB$1203,$AB240,'ORDENES'!$O$4:$O$1203,$O240,'ORDENES'!$R$4:$R$1203,$R240))</f>
        <v/>
      </c>
      <c r="AE240" s="13">
        <f>IF($AD240="","",p_factor_productividad*IFERROR(INDEX('ASIGNACIONES'!$H$4:$H$339,MATCH($O240&amp;"|"&amp;$R240&amp;"|"&amp;$AB240,'ASIGNACIONES'!$I$4:$I$339,0)),0)-$AD240)</f>
        <v/>
      </c>
      <c r="AF240" s="10">
        <f>IF($A240="","",IFERROR(INDEX('2_IMPORTAR_EJECUCION'!$F$9:$F$1208,MATCH($AN240,'2_IMPORTAR_EJECUCION'!$J$9:$J$1208,0)),0))</f>
        <v/>
      </c>
      <c r="AG240" s="10">
        <f>IF($A240="","",MAX(0,IFERROR(INDEX('2_IMPORTAR_EJECUCION'!$H$9:$H$1208,MATCH($AN240,'2_IMPORTAR_EJECUCION'!$J$9:$J$1208,0)),0)-$AF240))</f>
        <v/>
      </c>
      <c r="AH240" s="10">
        <f>IF($A240="","",$AF240+$AG240)</f>
        <v/>
      </c>
      <c r="AI240" s="6" t="n"/>
      <c r="AJ240" s="6" t="n"/>
      <c r="AK240" s="6" t="n"/>
      <c r="AL240" s="3">
        <f>IF($AK240="","",HYPERLINK(p_ruta_base_checklists&amp;$AK240,"abrir"))</f>
        <v/>
      </c>
      <c r="AM240" s="6" t="n"/>
      <c r="AN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1" t="n"/>
      <c r="K241" s="3" t="n"/>
      <c r="L241" s="10" t="n"/>
      <c r="M241" s="3">
        <f>IF($A241="","",IFERROR(INDEX('AJUSTES'!$B$4:$B$303,MATCH($AN241,'AJUSTES'!$A$4:$A$303,0)),IF($K241="","",$K241)))</f>
        <v/>
      </c>
      <c r="N241" s="3">
        <f>IF($A241="","",IFERROR(INDEX('CAT_ESTADOS_ERP'!$B$4:$B$7,MATCH(IFERROR(INDEX('2_IMPORTAR_EJECUCION'!$C$9:$C$1208,MATCH($AN241,'2_IMPORTAR_EJECUCION'!$J$9:$J$1208,0)),""),'CAT_ESTADOS_ERP'!$A$4:$A$7,0)),"Pendiente"))</f>
        <v/>
      </c>
      <c r="O241" s="3">
        <f>IF($J241="","",YEAR($J241+4-WEEKDAY($J241,2))&amp;"-S"&amp;TEXT(_xlfn.ISOWEEKNUM($J241),"00"))</f>
        <v/>
      </c>
      <c r="P241" s="3">
        <f>IF($J241="","",YEAR($J241))</f>
        <v/>
      </c>
      <c r="Q241" s="3">
        <f>IF($J241="","",MONTH($J241))</f>
        <v/>
      </c>
      <c r="R241" s="3">
        <f>IF($J241="","",INDEX(lista_dias,WEEKDAY($J241,2)))</f>
        <v/>
      </c>
      <c r="S241" s="3">
        <f>IF($I241="","",IFERROR(INDEX('CAT_TIPOS_OT'!$C$4:$C$7,MATCH($I241,'CAT_TIPOS_OT'!$A$4:$A$7,0)),"sin_clasificar"))</f>
        <v/>
      </c>
      <c r="T241" s="3">
        <f>IF($F241="","",IFERROR(INDEX('CAT_CENTROS_COSTO'!$E$4:$E$9,MATCH($F241,'CAT_CENTROS_COSTO'!$A$4:$A$9,0)),"(sin catálogo)"))</f>
        <v/>
      </c>
      <c r="U241" s="3">
        <f>IF($F241="","",IFERROR(INDEX('CAT_CENTROS_COSTO'!$D$4:$D$9,MATCH($F241,'CAT_CENTROS_COSTO'!$A$4:$A$9,0)),"(sin catálogo)"))</f>
        <v/>
      </c>
      <c r="V241" s="3">
        <f>IF($F241="","",IFERROR(INDEX('CAT_CENTROS_COSTO'!$F$4:$F$9,MATCH($F241,'CAT_CENTROS_COSTO'!$A$4:$A$9,0)),"(sin catálogo)"))</f>
        <v/>
      </c>
      <c r="W241" s="3">
        <f>IF($G241="","",IFERROR(INDEX('CAT_PUESTOS'!$B$4:$B$8,MATCH($G241,'CAT_PUESTOS'!$A$4:$A$8,0)),"(sin catálogo)"))</f>
        <v/>
      </c>
      <c r="X241" s="3">
        <f>IF($H241="","",IFERROR(INDEX('CAT_ACTIVIDADES'!$B$4:$B$8,MATCH($H241,'CAT_ACTIVIDADES'!$A$4:$A$8,0)),"(sin catálogo)"))</f>
        <v/>
      </c>
      <c r="Y241" s="12">
        <f>IF($J241="","",TODAY()-$J241)</f>
        <v/>
      </c>
      <c r="Z241" s="3">
        <f>IF($Y241="","",IF($Y241&lt;0,"FUTURO",IF($Y241&gt;p_dias_backlog_max,"BACKLOG","MES CORRIENTE")))</f>
        <v/>
      </c>
      <c r="AA241" s="3">
        <f>IF($Y241="",FALSE,AND($Y241&gt;p_dias_backlog_min,$Y241&lt;=p_dias_backlog_max))</f>
        <v/>
      </c>
      <c r="AB241" s="6" t="n"/>
      <c r="AC241" s="3">
        <f>IF($AB241="","",IFERROR(INDEX('ASIGNACIONES'!$F$4:$F$339,MATCH($O241&amp;"|"&amp;$R241&amp;"|"&amp;$AB241,'ASIGNACIONES'!$I$4:$I$339,0)),""))</f>
        <v/>
      </c>
      <c r="AD241" s="13">
        <f>IF($AB241="","",SUMIFS('ORDENES'!$M$4:$M$1203,'ORDENES'!$AB$4:$AB$1203,$AB241,'ORDENES'!$O$4:$O$1203,$O241,'ORDENES'!$R$4:$R$1203,$R241))</f>
        <v/>
      </c>
      <c r="AE241" s="13">
        <f>IF($AD241="","",p_factor_productividad*IFERROR(INDEX('ASIGNACIONES'!$H$4:$H$339,MATCH($O241&amp;"|"&amp;$R241&amp;"|"&amp;$AB241,'ASIGNACIONES'!$I$4:$I$339,0)),0)-$AD241)</f>
        <v/>
      </c>
      <c r="AF241" s="10">
        <f>IF($A241="","",IFERROR(INDEX('2_IMPORTAR_EJECUCION'!$F$9:$F$1208,MATCH($AN241,'2_IMPORTAR_EJECUCION'!$J$9:$J$1208,0)),0))</f>
        <v/>
      </c>
      <c r="AG241" s="10">
        <f>IF($A241="","",MAX(0,IFERROR(INDEX('2_IMPORTAR_EJECUCION'!$H$9:$H$1208,MATCH($AN241,'2_IMPORTAR_EJECUCION'!$J$9:$J$1208,0)),0)-$AF241))</f>
        <v/>
      </c>
      <c r="AH241" s="10">
        <f>IF($A241="","",$AF241+$AG241)</f>
        <v/>
      </c>
      <c r="AI241" s="6" t="n"/>
      <c r="AJ241" s="6" t="n"/>
      <c r="AK241" s="6" t="n"/>
      <c r="AL241" s="3">
        <f>IF($AK241="","",HYPERLINK(p_ruta_base_checklists&amp;$AK241,"abrir"))</f>
        <v/>
      </c>
      <c r="AM241" s="6" t="n"/>
      <c r="AN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1" t="n"/>
      <c r="K242" s="3" t="n"/>
      <c r="L242" s="10" t="n"/>
      <c r="M242" s="3">
        <f>IF($A242="","",IFERROR(INDEX('AJUSTES'!$B$4:$B$303,MATCH($AN242,'AJUSTES'!$A$4:$A$303,0)),IF($K242="","",$K242)))</f>
        <v/>
      </c>
      <c r="N242" s="3">
        <f>IF($A242="","",IFERROR(INDEX('CAT_ESTADOS_ERP'!$B$4:$B$7,MATCH(IFERROR(INDEX('2_IMPORTAR_EJECUCION'!$C$9:$C$1208,MATCH($AN242,'2_IMPORTAR_EJECUCION'!$J$9:$J$1208,0)),""),'CAT_ESTADOS_ERP'!$A$4:$A$7,0)),"Pendiente"))</f>
        <v/>
      </c>
      <c r="O242" s="3">
        <f>IF($J242="","",YEAR($J242+4-WEEKDAY($J242,2))&amp;"-S"&amp;TEXT(_xlfn.ISOWEEKNUM($J242),"00"))</f>
        <v/>
      </c>
      <c r="P242" s="3">
        <f>IF($J242="","",YEAR($J242))</f>
        <v/>
      </c>
      <c r="Q242" s="3">
        <f>IF($J242="","",MONTH($J242))</f>
        <v/>
      </c>
      <c r="R242" s="3">
        <f>IF($J242="","",INDEX(lista_dias,WEEKDAY($J242,2)))</f>
        <v/>
      </c>
      <c r="S242" s="3">
        <f>IF($I242="","",IFERROR(INDEX('CAT_TIPOS_OT'!$C$4:$C$7,MATCH($I242,'CAT_TIPOS_OT'!$A$4:$A$7,0)),"sin_clasificar"))</f>
        <v/>
      </c>
      <c r="T242" s="3">
        <f>IF($F242="","",IFERROR(INDEX('CAT_CENTROS_COSTO'!$E$4:$E$9,MATCH($F242,'CAT_CENTROS_COSTO'!$A$4:$A$9,0)),"(sin catálogo)"))</f>
        <v/>
      </c>
      <c r="U242" s="3">
        <f>IF($F242="","",IFERROR(INDEX('CAT_CENTROS_COSTO'!$D$4:$D$9,MATCH($F242,'CAT_CENTROS_COSTO'!$A$4:$A$9,0)),"(sin catálogo)"))</f>
        <v/>
      </c>
      <c r="V242" s="3">
        <f>IF($F242="","",IFERROR(INDEX('CAT_CENTROS_COSTO'!$F$4:$F$9,MATCH($F242,'CAT_CENTROS_COSTO'!$A$4:$A$9,0)),"(sin catálogo)"))</f>
        <v/>
      </c>
      <c r="W242" s="3">
        <f>IF($G242="","",IFERROR(INDEX('CAT_PUESTOS'!$B$4:$B$8,MATCH($G242,'CAT_PUESTOS'!$A$4:$A$8,0)),"(sin catálogo)"))</f>
        <v/>
      </c>
      <c r="X242" s="3">
        <f>IF($H242="","",IFERROR(INDEX('CAT_ACTIVIDADES'!$B$4:$B$8,MATCH($H242,'CAT_ACTIVIDADES'!$A$4:$A$8,0)),"(sin catálogo)"))</f>
        <v/>
      </c>
      <c r="Y242" s="12">
        <f>IF($J242="","",TODAY()-$J242)</f>
        <v/>
      </c>
      <c r="Z242" s="3">
        <f>IF($Y242="","",IF($Y242&lt;0,"FUTURO",IF($Y242&gt;p_dias_backlog_max,"BACKLOG","MES CORRIENTE")))</f>
        <v/>
      </c>
      <c r="AA242" s="3">
        <f>IF($Y242="",FALSE,AND($Y242&gt;p_dias_backlog_min,$Y242&lt;=p_dias_backlog_max))</f>
        <v/>
      </c>
      <c r="AB242" s="6" t="n"/>
      <c r="AC242" s="3">
        <f>IF($AB242="","",IFERROR(INDEX('ASIGNACIONES'!$F$4:$F$339,MATCH($O242&amp;"|"&amp;$R242&amp;"|"&amp;$AB242,'ASIGNACIONES'!$I$4:$I$339,0)),""))</f>
        <v/>
      </c>
      <c r="AD242" s="13">
        <f>IF($AB242="","",SUMIFS('ORDENES'!$M$4:$M$1203,'ORDENES'!$AB$4:$AB$1203,$AB242,'ORDENES'!$O$4:$O$1203,$O242,'ORDENES'!$R$4:$R$1203,$R242))</f>
        <v/>
      </c>
      <c r="AE242" s="13">
        <f>IF($AD242="","",p_factor_productividad*IFERROR(INDEX('ASIGNACIONES'!$H$4:$H$339,MATCH($O242&amp;"|"&amp;$R242&amp;"|"&amp;$AB242,'ASIGNACIONES'!$I$4:$I$339,0)),0)-$AD242)</f>
        <v/>
      </c>
      <c r="AF242" s="10">
        <f>IF($A242="","",IFERROR(INDEX('2_IMPORTAR_EJECUCION'!$F$9:$F$1208,MATCH($AN242,'2_IMPORTAR_EJECUCION'!$J$9:$J$1208,0)),0))</f>
        <v/>
      </c>
      <c r="AG242" s="10">
        <f>IF($A242="","",MAX(0,IFERROR(INDEX('2_IMPORTAR_EJECUCION'!$H$9:$H$1208,MATCH($AN242,'2_IMPORTAR_EJECUCION'!$J$9:$J$1208,0)),0)-$AF242))</f>
        <v/>
      </c>
      <c r="AH242" s="10">
        <f>IF($A242="","",$AF242+$AG242)</f>
        <v/>
      </c>
      <c r="AI242" s="6" t="n"/>
      <c r="AJ242" s="6" t="n"/>
      <c r="AK242" s="6" t="n"/>
      <c r="AL242" s="3">
        <f>IF($AK242="","",HYPERLINK(p_ruta_base_checklists&amp;$AK242,"abrir"))</f>
        <v/>
      </c>
      <c r="AM242" s="6" t="n"/>
      <c r="AN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1" t="n"/>
      <c r="K243" s="3" t="n"/>
      <c r="L243" s="10" t="n"/>
      <c r="M243" s="3">
        <f>IF($A243="","",IFERROR(INDEX('AJUSTES'!$B$4:$B$303,MATCH($AN243,'AJUSTES'!$A$4:$A$303,0)),IF($K243="","",$K243)))</f>
        <v/>
      </c>
      <c r="N243" s="3">
        <f>IF($A243="","",IFERROR(INDEX('CAT_ESTADOS_ERP'!$B$4:$B$7,MATCH(IFERROR(INDEX('2_IMPORTAR_EJECUCION'!$C$9:$C$1208,MATCH($AN243,'2_IMPORTAR_EJECUCION'!$J$9:$J$1208,0)),""),'CAT_ESTADOS_ERP'!$A$4:$A$7,0)),"Pendiente"))</f>
        <v/>
      </c>
      <c r="O243" s="3">
        <f>IF($J243="","",YEAR($J243+4-WEEKDAY($J243,2))&amp;"-S"&amp;TEXT(_xlfn.ISOWEEKNUM($J243),"00"))</f>
        <v/>
      </c>
      <c r="P243" s="3">
        <f>IF($J243="","",YEAR($J243))</f>
        <v/>
      </c>
      <c r="Q243" s="3">
        <f>IF($J243="","",MONTH($J243))</f>
        <v/>
      </c>
      <c r="R243" s="3">
        <f>IF($J243="","",INDEX(lista_dias,WEEKDAY($J243,2)))</f>
        <v/>
      </c>
      <c r="S243" s="3">
        <f>IF($I243="","",IFERROR(INDEX('CAT_TIPOS_OT'!$C$4:$C$7,MATCH($I243,'CAT_TIPOS_OT'!$A$4:$A$7,0)),"sin_clasificar"))</f>
        <v/>
      </c>
      <c r="T243" s="3">
        <f>IF($F243="","",IFERROR(INDEX('CAT_CENTROS_COSTO'!$E$4:$E$9,MATCH($F243,'CAT_CENTROS_COSTO'!$A$4:$A$9,0)),"(sin catálogo)"))</f>
        <v/>
      </c>
      <c r="U243" s="3">
        <f>IF($F243="","",IFERROR(INDEX('CAT_CENTROS_COSTO'!$D$4:$D$9,MATCH($F243,'CAT_CENTROS_COSTO'!$A$4:$A$9,0)),"(sin catálogo)"))</f>
        <v/>
      </c>
      <c r="V243" s="3">
        <f>IF($F243="","",IFERROR(INDEX('CAT_CENTROS_COSTO'!$F$4:$F$9,MATCH($F243,'CAT_CENTROS_COSTO'!$A$4:$A$9,0)),"(sin catálogo)"))</f>
        <v/>
      </c>
      <c r="W243" s="3">
        <f>IF($G243="","",IFERROR(INDEX('CAT_PUESTOS'!$B$4:$B$8,MATCH($G243,'CAT_PUESTOS'!$A$4:$A$8,0)),"(sin catálogo)"))</f>
        <v/>
      </c>
      <c r="X243" s="3">
        <f>IF($H243="","",IFERROR(INDEX('CAT_ACTIVIDADES'!$B$4:$B$8,MATCH($H243,'CAT_ACTIVIDADES'!$A$4:$A$8,0)),"(sin catálogo)"))</f>
        <v/>
      </c>
      <c r="Y243" s="12">
        <f>IF($J243="","",TODAY()-$J243)</f>
        <v/>
      </c>
      <c r="Z243" s="3">
        <f>IF($Y243="","",IF($Y243&lt;0,"FUTURO",IF($Y243&gt;p_dias_backlog_max,"BACKLOG","MES CORRIENTE")))</f>
        <v/>
      </c>
      <c r="AA243" s="3">
        <f>IF($Y243="",FALSE,AND($Y243&gt;p_dias_backlog_min,$Y243&lt;=p_dias_backlog_max))</f>
        <v/>
      </c>
      <c r="AB243" s="6" t="n"/>
      <c r="AC243" s="3">
        <f>IF($AB243="","",IFERROR(INDEX('ASIGNACIONES'!$F$4:$F$339,MATCH($O243&amp;"|"&amp;$R243&amp;"|"&amp;$AB243,'ASIGNACIONES'!$I$4:$I$339,0)),""))</f>
        <v/>
      </c>
      <c r="AD243" s="13">
        <f>IF($AB243="","",SUMIFS('ORDENES'!$M$4:$M$1203,'ORDENES'!$AB$4:$AB$1203,$AB243,'ORDENES'!$O$4:$O$1203,$O243,'ORDENES'!$R$4:$R$1203,$R243))</f>
        <v/>
      </c>
      <c r="AE243" s="13">
        <f>IF($AD243="","",p_factor_productividad*IFERROR(INDEX('ASIGNACIONES'!$H$4:$H$339,MATCH($O243&amp;"|"&amp;$R243&amp;"|"&amp;$AB243,'ASIGNACIONES'!$I$4:$I$339,0)),0)-$AD243)</f>
        <v/>
      </c>
      <c r="AF243" s="10">
        <f>IF($A243="","",IFERROR(INDEX('2_IMPORTAR_EJECUCION'!$F$9:$F$1208,MATCH($AN243,'2_IMPORTAR_EJECUCION'!$J$9:$J$1208,0)),0))</f>
        <v/>
      </c>
      <c r="AG243" s="10">
        <f>IF($A243="","",MAX(0,IFERROR(INDEX('2_IMPORTAR_EJECUCION'!$H$9:$H$1208,MATCH($AN243,'2_IMPORTAR_EJECUCION'!$J$9:$J$1208,0)),0)-$AF243))</f>
        <v/>
      </c>
      <c r="AH243" s="10">
        <f>IF($A243="","",$AF243+$AG243)</f>
        <v/>
      </c>
      <c r="AI243" s="6" t="n"/>
      <c r="AJ243" s="6" t="n"/>
      <c r="AK243" s="6" t="n"/>
      <c r="AL243" s="3">
        <f>IF($AK243="","",HYPERLINK(p_ruta_base_checklists&amp;$AK243,"abrir"))</f>
        <v/>
      </c>
      <c r="AM243" s="6" t="n"/>
      <c r="AN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1" t="n"/>
      <c r="K244" s="3" t="n"/>
      <c r="L244" s="10" t="n"/>
      <c r="M244" s="3">
        <f>IF($A244="","",IFERROR(INDEX('AJUSTES'!$B$4:$B$303,MATCH($AN244,'AJUSTES'!$A$4:$A$303,0)),IF($K244="","",$K244)))</f>
        <v/>
      </c>
      <c r="N244" s="3">
        <f>IF($A244="","",IFERROR(INDEX('CAT_ESTADOS_ERP'!$B$4:$B$7,MATCH(IFERROR(INDEX('2_IMPORTAR_EJECUCION'!$C$9:$C$1208,MATCH($AN244,'2_IMPORTAR_EJECUCION'!$J$9:$J$1208,0)),""),'CAT_ESTADOS_ERP'!$A$4:$A$7,0)),"Pendiente"))</f>
        <v/>
      </c>
      <c r="O244" s="3">
        <f>IF($J244="","",YEAR($J244+4-WEEKDAY($J244,2))&amp;"-S"&amp;TEXT(_xlfn.ISOWEEKNUM($J244),"00"))</f>
        <v/>
      </c>
      <c r="P244" s="3">
        <f>IF($J244="","",YEAR($J244))</f>
        <v/>
      </c>
      <c r="Q244" s="3">
        <f>IF($J244="","",MONTH($J244))</f>
        <v/>
      </c>
      <c r="R244" s="3">
        <f>IF($J244="","",INDEX(lista_dias,WEEKDAY($J244,2)))</f>
        <v/>
      </c>
      <c r="S244" s="3">
        <f>IF($I244="","",IFERROR(INDEX('CAT_TIPOS_OT'!$C$4:$C$7,MATCH($I244,'CAT_TIPOS_OT'!$A$4:$A$7,0)),"sin_clasificar"))</f>
        <v/>
      </c>
      <c r="T244" s="3">
        <f>IF($F244="","",IFERROR(INDEX('CAT_CENTROS_COSTO'!$E$4:$E$9,MATCH($F244,'CAT_CENTROS_COSTO'!$A$4:$A$9,0)),"(sin catálogo)"))</f>
        <v/>
      </c>
      <c r="U244" s="3">
        <f>IF($F244="","",IFERROR(INDEX('CAT_CENTROS_COSTO'!$D$4:$D$9,MATCH($F244,'CAT_CENTROS_COSTO'!$A$4:$A$9,0)),"(sin catálogo)"))</f>
        <v/>
      </c>
      <c r="V244" s="3">
        <f>IF($F244="","",IFERROR(INDEX('CAT_CENTROS_COSTO'!$F$4:$F$9,MATCH($F244,'CAT_CENTROS_COSTO'!$A$4:$A$9,0)),"(sin catálogo)"))</f>
        <v/>
      </c>
      <c r="W244" s="3">
        <f>IF($G244="","",IFERROR(INDEX('CAT_PUESTOS'!$B$4:$B$8,MATCH($G244,'CAT_PUESTOS'!$A$4:$A$8,0)),"(sin catálogo)"))</f>
        <v/>
      </c>
      <c r="X244" s="3">
        <f>IF($H244="","",IFERROR(INDEX('CAT_ACTIVIDADES'!$B$4:$B$8,MATCH($H244,'CAT_ACTIVIDADES'!$A$4:$A$8,0)),"(sin catálogo)"))</f>
        <v/>
      </c>
      <c r="Y244" s="12">
        <f>IF($J244="","",TODAY()-$J244)</f>
        <v/>
      </c>
      <c r="Z244" s="3">
        <f>IF($Y244="","",IF($Y244&lt;0,"FUTURO",IF($Y244&gt;p_dias_backlog_max,"BACKLOG","MES CORRIENTE")))</f>
        <v/>
      </c>
      <c r="AA244" s="3">
        <f>IF($Y244="",FALSE,AND($Y244&gt;p_dias_backlog_min,$Y244&lt;=p_dias_backlog_max))</f>
        <v/>
      </c>
      <c r="AB244" s="6" t="n"/>
      <c r="AC244" s="3">
        <f>IF($AB244="","",IFERROR(INDEX('ASIGNACIONES'!$F$4:$F$339,MATCH($O244&amp;"|"&amp;$R244&amp;"|"&amp;$AB244,'ASIGNACIONES'!$I$4:$I$339,0)),""))</f>
        <v/>
      </c>
      <c r="AD244" s="13">
        <f>IF($AB244="","",SUMIFS('ORDENES'!$M$4:$M$1203,'ORDENES'!$AB$4:$AB$1203,$AB244,'ORDENES'!$O$4:$O$1203,$O244,'ORDENES'!$R$4:$R$1203,$R244))</f>
        <v/>
      </c>
      <c r="AE244" s="13">
        <f>IF($AD244="","",p_factor_productividad*IFERROR(INDEX('ASIGNACIONES'!$H$4:$H$339,MATCH($O244&amp;"|"&amp;$R244&amp;"|"&amp;$AB244,'ASIGNACIONES'!$I$4:$I$339,0)),0)-$AD244)</f>
        <v/>
      </c>
      <c r="AF244" s="10">
        <f>IF($A244="","",IFERROR(INDEX('2_IMPORTAR_EJECUCION'!$F$9:$F$1208,MATCH($AN244,'2_IMPORTAR_EJECUCION'!$J$9:$J$1208,0)),0))</f>
        <v/>
      </c>
      <c r="AG244" s="10">
        <f>IF($A244="","",MAX(0,IFERROR(INDEX('2_IMPORTAR_EJECUCION'!$H$9:$H$1208,MATCH($AN244,'2_IMPORTAR_EJECUCION'!$J$9:$J$1208,0)),0)-$AF244))</f>
        <v/>
      </c>
      <c r="AH244" s="10">
        <f>IF($A244="","",$AF244+$AG244)</f>
        <v/>
      </c>
      <c r="AI244" s="6" t="n"/>
      <c r="AJ244" s="6" t="n"/>
      <c r="AK244" s="6" t="n"/>
      <c r="AL244" s="3">
        <f>IF($AK244="","",HYPERLINK(p_ruta_base_checklists&amp;$AK244,"abrir"))</f>
        <v/>
      </c>
      <c r="AM244" s="6" t="n"/>
      <c r="AN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1" t="n"/>
      <c r="K245" s="3" t="n"/>
      <c r="L245" s="10" t="n"/>
      <c r="M245" s="3">
        <f>IF($A245="","",IFERROR(INDEX('AJUSTES'!$B$4:$B$303,MATCH($AN245,'AJUSTES'!$A$4:$A$303,0)),IF($K245="","",$K245)))</f>
        <v/>
      </c>
      <c r="N245" s="3">
        <f>IF($A245="","",IFERROR(INDEX('CAT_ESTADOS_ERP'!$B$4:$B$7,MATCH(IFERROR(INDEX('2_IMPORTAR_EJECUCION'!$C$9:$C$1208,MATCH($AN245,'2_IMPORTAR_EJECUCION'!$J$9:$J$1208,0)),""),'CAT_ESTADOS_ERP'!$A$4:$A$7,0)),"Pendiente"))</f>
        <v/>
      </c>
      <c r="O245" s="3">
        <f>IF($J245="","",YEAR($J245+4-WEEKDAY($J245,2))&amp;"-S"&amp;TEXT(_xlfn.ISOWEEKNUM($J245),"00"))</f>
        <v/>
      </c>
      <c r="P245" s="3">
        <f>IF($J245="","",YEAR($J245))</f>
        <v/>
      </c>
      <c r="Q245" s="3">
        <f>IF($J245="","",MONTH($J245))</f>
        <v/>
      </c>
      <c r="R245" s="3">
        <f>IF($J245="","",INDEX(lista_dias,WEEKDAY($J245,2)))</f>
        <v/>
      </c>
      <c r="S245" s="3">
        <f>IF($I245="","",IFERROR(INDEX('CAT_TIPOS_OT'!$C$4:$C$7,MATCH($I245,'CAT_TIPOS_OT'!$A$4:$A$7,0)),"sin_clasificar"))</f>
        <v/>
      </c>
      <c r="T245" s="3">
        <f>IF($F245="","",IFERROR(INDEX('CAT_CENTROS_COSTO'!$E$4:$E$9,MATCH($F245,'CAT_CENTROS_COSTO'!$A$4:$A$9,0)),"(sin catálogo)"))</f>
        <v/>
      </c>
      <c r="U245" s="3">
        <f>IF($F245="","",IFERROR(INDEX('CAT_CENTROS_COSTO'!$D$4:$D$9,MATCH($F245,'CAT_CENTROS_COSTO'!$A$4:$A$9,0)),"(sin catálogo)"))</f>
        <v/>
      </c>
      <c r="V245" s="3">
        <f>IF($F245="","",IFERROR(INDEX('CAT_CENTROS_COSTO'!$F$4:$F$9,MATCH($F245,'CAT_CENTROS_COSTO'!$A$4:$A$9,0)),"(sin catálogo)"))</f>
        <v/>
      </c>
      <c r="W245" s="3">
        <f>IF($G245="","",IFERROR(INDEX('CAT_PUESTOS'!$B$4:$B$8,MATCH($G245,'CAT_PUESTOS'!$A$4:$A$8,0)),"(sin catálogo)"))</f>
        <v/>
      </c>
      <c r="X245" s="3">
        <f>IF($H245="","",IFERROR(INDEX('CAT_ACTIVIDADES'!$B$4:$B$8,MATCH($H245,'CAT_ACTIVIDADES'!$A$4:$A$8,0)),"(sin catálogo)"))</f>
        <v/>
      </c>
      <c r="Y245" s="12">
        <f>IF($J245="","",TODAY()-$J245)</f>
        <v/>
      </c>
      <c r="Z245" s="3">
        <f>IF($Y245="","",IF($Y245&lt;0,"FUTURO",IF($Y245&gt;p_dias_backlog_max,"BACKLOG","MES CORRIENTE")))</f>
        <v/>
      </c>
      <c r="AA245" s="3">
        <f>IF($Y245="",FALSE,AND($Y245&gt;p_dias_backlog_min,$Y245&lt;=p_dias_backlog_max))</f>
        <v/>
      </c>
      <c r="AB245" s="6" t="n"/>
      <c r="AC245" s="3">
        <f>IF($AB245="","",IFERROR(INDEX('ASIGNACIONES'!$F$4:$F$339,MATCH($O245&amp;"|"&amp;$R245&amp;"|"&amp;$AB245,'ASIGNACIONES'!$I$4:$I$339,0)),""))</f>
        <v/>
      </c>
      <c r="AD245" s="13">
        <f>IF($AB245="","",SUMIFS('ORDENES'!$M$4:$M$1203,'ORDENES'!$AB$4:$AB$1203,$AB245,'ORDENES'!$O$4:$O$1203,$O245,'ORDENES'!$R$4:$R$1203,$R245))</f>
        <v/>
      </c>
      <c r="AE245" s="13">
        <f>IF($AD245="","",p_factor_productividad*IFERROR(INDEX('ASIGNACIONES'!$H$4:$H$339,MATCH($O245&amp;"|"&amp;$R245&amp;"|"&amp;$AB245,'ASIGNACIONES'!$I$4:$I$339,0)),0)-$AD245)</f>
        <v/>
      </c>
      <c r="AF245" s="10">
        <f>IF($A245="","",IFERROR(INDEX('2_IMPORTAR_EJECUCION'!$F$9:$F$1208,MATCH($AN245,'2_IMPORTAR_EJECUCION'!$J$9:$J$1208,0)),0))</f>
        <v/>
      </c>
      <c r="AG245" s="10">
        <f>IF($A245="","",MAX(0,IFERROR(INDEX('2_IMPORTAR_EJECUCION'!$H$9:$H$1208,MATCH($AN245,'2_IMPORTAR_EJECUCION'!$J$9:$J$1208,0)),0)-$AF245))</f>
        <v/>
      </c>
      <c r="AH245" s="10">
        <f>IF($A245="","",$AF245+$AG245)</f>
        <v/>
      </c>
      <c r="AI245" s="6" t="n"/>
      <c r="AJ245" s="6" t="n"/>
      <c r="AK245" s="6" t="n"/>
      <c r="AL245" s="3">
        <f>IF($AK245="","",HYPERLINK(p_ruta_base_checklists&amp;$AK245,"abrir"))</f>
        <v/>
      </c>
      <c r="AM245" s="6" t="n"/>
      <c r="AN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1" t="n"/>
      <c r="K246" s="3" t="n"/>
      <c r="L246" s="10" t="n"/>
      <c r="M246" s="3">
        <f>IF($A246="","",IFERROR(INDEX('AJUSTES'!$B$4:$B$303,MATCH($AN246,'AJUSTES'!$A$4:$A$303,0)),IF($K246="","",$K246)))</f>
        <v/>
      </c>
      <c r="N246" s="3">
        <f>IF($A246="","",IFERROR(INDEX('CAT_ESTADOS_ERP'!$B$4:$B$7,MATCH(IFERROR(INDEX('2_IMPORTAR_EJECUCION'!$C$9:$C$1208,MATCH($AN246,'2_IMPORTAR_EJECUCION'!$J$9:$J$1208,0)),""),'CAT_ESTADOS_ERP'!$A$4:$A$7,0)),"Pendiente"))</f>
        <v/>
      </c>
      <c r="O246" s="3">
        <f>IF($J246="","",YEAR($J246+4-WEEKDAY($J246,2))&amp;"-S"&amp;TEXT(_xlfn.ISOWEEKNUM($J246),"00"))</f>
        <v/>
      </c>
      <c r="P246" s="3">
        <f>IF($J246="","",YEAR($J246))</f>
        <v/>
      </c>
      <c r="Q246" s="3">
        <f>IF($J246="","",MONTH($J246))</f>
        <v/>
      </c>
      <c r="R246" s="3">
        <f>IF($J246="","",INDEX(lista_dias,WEEKDAY($J246,2)))</f>
        <v/>
      </c>
      <c r="S246" s="3">
        <f>IF($I246="","",IFERROR(INDEX('CAT_TIPOS_OT'!$C$4:$C$7,MATCH($I246,'CAT_TIPOS_OT'!$A$4:$A$7,0)),"sin_clasificar"))</f>
        <v/>
      </c>
      <c r="T246" s="3">
        <f>IF($F246="","",IFERROR(INDEX('CAT_CENTROS_COSTO'!$E$4:$E$9,MATCH($F246,'CAT_CENTROS_COSTO'!$A$4:$A$9,0)),"(sin catálogo)"))</f>
        <v/>
      </c>
      <c r="U246" s="3">
        <f>IF($F246="","",IFERROR(INDEX('CAT_CENTROS_COSTO'!$D$4:$D$9,MATCH($F246,'CAT_CENTROS_COSTO'!$A$4:$A$9,0)),"(sin catálogo)"))</f>
        <v/>
      </c>
      <c r="V246" s="3">
        <f>IF($F246="","",IFERROR(INDEX('CAT_CENTROS_COSTO'!$F$4:$F$9,MATCH($F246,'CAT_CENTROS_COSTO'!$A$4:$A$9,0)),"(sin catálogo)"))</f>
        <v/>
      </c>
      <c r="W246" s="3">
        <f>IF($G246="","",IFERROR(INDEX('CAT_PUESTOS'!$B$4:$B$8,MATCH($G246,'CAT_PUESTOS'!$A$4:$A$8,0)),"(sin catálogo)"))</f>
        <v/>
      </c>
      <c r="X246" s="3">
        <f>IF($H246="","",IFERROR(INDEX('CAT_ACTIVIDADES'!$B$4:$B$8,MATCH($H246,'CAT_ACTIVIDADES'!$A$4:$A$8,0)),"(sin catálogo)"))</f>
        <v/>
      </c>
      <c r="Y246" s="12">
        <f>IF($J246="","",TODAY()-$J246)</f>
        <v/>
      </c>
      <c r="Z246" s="3">
        <f>IF($Y246="","",IF($Y246&lt;0,"FUTURO",IF($Y246&gt;p_dias_backlog_max,"BACKLOG","MES CORRIENTE")))</f>
        <v/>
      </c>
      <c r="AA246" s="3">
        <f>IF($Y246="",FALSE,AND($Y246&gt;p_dias_backlog_min,$Y246&lt;=p_dias_backlog_max))</f>
        <v/>
      </c>
      <c r="AB246" s="6" t="n"/>
      <c r="AC246" s="3">
        <f>IF($AB246="","",IFERROR(INDEX('ASIGNACIONES'!$F$4:$F$339,MATCH($O246&amp;"|"&amp;$R246&amp;"|"&amp;$AB246,'ASIGNACIONES'!$I$4:$I$339,0)),""))</f>
        <v/>
      </c>
      <c r="AD246" s="13">
        <f>IF($AB246="","",SUMIFS('ORDENES'!$M$4:$M$1203,'ORDENES'!$AB$4:$AB$1203,$AB246,'ORDENES'!$O$4:$O$1203,$O246,'ORDENES'!$R$4:$R$1203,$R246))</f>
        <v/>
      </c>
      <c r="AE246" s="13">
        <f>IF($AD246="","",p_factor_productividad*IFERROR(INDEX('ASIGNACIONES'!$H$4:$H$339,MATCH($O246&amp;"|"&amp;$R246&amp;"|"&amp;$AB246,'ASIGNACIONES'!$I$4:$I$339,0)),0)-$AD246)</f>
        <v/>
      </c>
      <c r="AF246" s="10">
        <f>IF($A246="","",IFERROR(INDEX('2_IMPORTAR_EJECUCION'!$F$9:$F$1208,MATCH($AN246,'2_IMPORTAR_EJECUCION'!$J$9:$J$1208,0)),0))</f>
        <v/>
      </c>
      <c r="AG246" s="10">
        <f>IF($A246="","",MAX(0,IFERROR(INDEX('2_IMPORTAR_EJECUCION'!$H$9:$H$1208,MATCH($AN246,'2_IMPORTAR_EJECUCION'!$J$9:$J$1208,0)),0)-$AF246))</f>
        <v/>
      </c>
      <c r="AH246" s="10">
        <f>IF($A246="","",$AF246+$AG246)</f>
        <v/>
      </c>
      <c r="AI246" s="6" t="n"/>
      <c r="AJ246" s="6" t="n"/>
      <c r="AK246" s="6" t="n"/>
      <c r="AL246" s="3">
        <f>IF($AK246="","",HYPERLINK(p_ruta_base_checklists&amp;$AK246,"abrir"))</f>
        <v/>
      </c>
      <c r="AM246" s="6" t="n"/>
      <c r="AN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1" t="n"/>
      <c r="K247" s="3" t="n"/>
      <c r="L247" s="10" t="n"/>
      <c r="M247" s="3">
        <f>IF($A247="","",IFERROR(INDEX('AJUSTES'!$B$4:$B$303,MATCH($AN247,'AJUSTES'!$A$4:$A$303,0)),IF($K247="","",$K247)))</f>
        <v/>
      </c>
      <c r="N247" s="3">
        <f>IF($A247="","",IFERROR(INDEX('CAT_ESTADOS_ERP'!$B$4:$B$7,MATCH(IFERROR(INDEX('2_IMPORTAR_EJECUCION'!$C$9:$C$1208,MATCH($AN247,'2_IMPORTAR_EJECUCION'!$J$9:$J$1208,0)),""),'CAT_ESTADOS_ERP'!$A$4:$A$7,0)),"Pendiente"))</f>
        <v/>
      </c>
      <c r="O247" s="3">
        <f>IF($J247="","",YEAR($J247+4-WEEKDAY($J247,2))&amp;"-S"&amp;TEXT(_xlfn.ISOWEEKNUM($J247),"00"))</f>
        <v/>
      </c>
      <c r="P247" s="3">
        <f>IF($J247="","",YEAR($J247))</f>
        <v/>
      </c>
      <c r="Q247" s="3">
        <f>IF($J247="","",MONTH($J247))</f>
        <v/>
      </c>
      <c r="R247" s="3">
        <f>IF($J247="","",INDEX(lista_dias,WEEKDAY($J247,2)))</f>
        <v/>
      </c>
      <c r="S247" s="3">
        <f>IF($I247="","",IFERROR(INDEX('CAT_TIPOS_OT'!$C$4:$C$7,MATCH($I247,'CAT_TIPOS_OT'!$A$4:$A$7,0)),"sin_clasificar"))</f>
        <v/>
      </c>
      <c r="T247" s="3">
        <f>IF($F247="","",IFERROR(INDEX('CAT_CENTROS_COSTO'!$E$4:$E$9,MATCH($F247,'CAT_CENTROS_COSTO'!$A$4:$A$9,0)),"(sin catálogo)"))</f>
        <v/>
      </c>
      <c r="U247" s="3">
        <f>IF($F247="","",IFERROR(INDEX('CAT_CENTROS_COSTO'!$D$4:$D$9,MATCH($F247,'CAT_CENTROS_COSTO'!$A$4:$A$9,0)),"(sin catálogo)"))</f>
        <v/>
      </c>
      <c r="V247" s="3">
        <f>IF($F247="","",IFERROR(INDEX('CAT_CENTROS_COSTO'!$F$4:$F$9,MATCH($F247,'CAT_CENTROS_COSTO'!$A$4:$A$9,0)),"(sin catálogo)"))</f>
        <v/>
      </c>
      <c r="W247" s="3">
        <f>IF($G247="","",IFERROR(INDEX('CAT_PUESTOS'!$B$4:$B$8,MATCH($G247,'CAT_PUESTOS'!$A$4:$A$8,0)),"(sin catálogo)"))</f>
        <v/>
      </c>
      <c r="X247" s="3">
        <f>IF($H247="","",IFERROR(INDEX('CAT_ACTIVIDADES'!$B$4:$B$8,MATCH($H247,'CAT_ACTIVIDADES'!$A$4:$A$8,0)),"(sin catálogo)"))</f>
        <v/>
      </c>
      <c r="Y247" s="12">
        <f>IF($J247="","",TODAY()-$J247)</f>
        <v/>
      </c>
      <c r="Z247" s="3">
        <f>IF($Y247="","",IF($Y247&lt;0,"FUTURO",IF($Y247&gt;p_dias_backlog_max,"BACKLOG","MES CORRIENTE")))</f>
        <v/>
      </c>
      <c r="AA247" s="3">
        <f>IF($Y247="",FALSE,AND($Y247&gt;p_dias_backlog_min,$Y247&lt;=p_dias_backlog_max))</f>
        <v/>
      </c>
      <c r="AB247" s="6" t="n"/>
      <c r="AC247" s="3">
        <f>IF($AB247="","",IFERROR(INDEX('ASIGNACIONES'!$F$4:$F$339,MATCH($O247&amp;"|"&amp;$R247&amp;"|"&amp;$AB247,'ASIGNACIONES'!$I$4:$I$339,0)),""))</f>
        <v/>
      </c>
      <c r="AD247" s="13">
        <f>IF($AB247="","",SUMIFS('ORDENES'!$M$4:$M$1203,'ORDENES'!$AB$4:$AB$1203,$AB247,'ORDENES'!$O$4:$O$1203,$O247,'ORDENES'!$R$4:$R$1203,$R247))</f>
        <v/>
      </c>
      <c r="AE247" s="13">
        <f>IF($AD247="","",p_factor_productividad*IFERROR(INDEX('ASIGNACIONES'!$H$4:$H$339,MATCH($O247&amp;"|"&amp;$R247&amp;"|"&amp;$AB247,'ASIGNACIONES'!$I$4:$I$339,0)),0)-$AD247)</f>
        <v/>
      </c>
      <c r="AF247" s="10">
        <f>IF($A247="","",IFERROR(INDEX('2_IMPORTAR_EJECUCION'!$F$9:$F$1208,MATCH($AN247,'2_IMPORTAR_EJECUCION'!$J$9:$J$1208,0)),0))</f>
        <v/>
      </c>
      <c r="AG247" s="10">
        <f>IF($A247="","",MAX(0,IFERROR(INDEX('2_IMPORTAR_EJECUCION'!$H$9:$H$1208,MATCH($AN247,'2_IMPORTAR_EJECUCION'!$J$9:$J$1208,0)),0)-$AF247))</f>
        <v/>
      </c>
      <c r="AH247" s="10">
        <f>IF($A247="","",$AF247+$AG247)</f>
        <v/>
      </c>
      <c r="AI247" s="6" t="n"/>
      <c r="AJ247" s="6" t="n"/>
      <c r="AK247" s="6" t="n"/>
      <c r="AL247" s="3">
        <f>IF($AK247="","",HYPERLINK(p_ruta_base_checklists&amp;$AK247,"abrir"))</f>
        <v/>
      </c>
      <c r="AM247" s="6" t="n"/>
      <c r="AN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1" t="n"/>
      <c r="K248" s="3" t="n"/>
      <c r="L248" s="10" t="n"/>
      <c r="M248" s="3">
        <f>IF($A248="","",IFERROR(INDEX('AJUSTES'!$B$4:$B$303,MATCH($AN248,'AJUSTES'!$A$4:$A$303,0)),IF($K248="","",$K248)))</f>
        <v/>
      </c>
      <c r="N248" s="3">
        <f>IF($A248="","",IFERROR(INDEX('CAT_ESTADOS_ERP'!$B$4:$B$7,MATCH(IFERROR(INDEX('2_IMPORTAR_EJECUCION'!$C$9:$C$1208,MATCH($AN248,'2_IMPORTAR_EJECUCION'!$J$9:$J$1208,0)),""),'CAT_ESTADOS_ERP'!$A$4:$A$7,0)),"Pendiente"))</f>
        <v/>
      </c>
      <c r="O248" s="3">
        <f>IF($J248="","",YEAR($J248+4-WEEKDAY($J248,2))&amp;"-S"&amp;TEXT(_xlfn.ISOWEEKNUM($J248),"00"))</f>
        <v/>
      </c>
      <c r="P248" s="3">
        <f>IF($J248="","",YEAR($J248))</f>
        <v/>
      </c>
      <c r="Q248" s="3">
        <f>IF($J248="","",MONTH($J248))</f>
        <v/>
      </c>
      <c r="R248" s="3">
        <f>IF($J248="","",INDEX(lista_dias,WEEKDAY($J248,2)))</f>
        <v/>
      </c>
      <c r="S248" s="3">
        <f>IF($I248="","",IFERROR(INDEX('CAT_TIPOS_OT'!$C$4:$C$7,MATCH($I248,'CAT_TIPOS_OT'!$A$4:$A$7,0)),"sin_clasificar"))</f>
        <v/>
      </c>
      <c r="T248" s="3">
        <f>IF($F248="","",IFERROR(INDEX('CAT_CENTROS_COSTO'!$E$4:$E$9,MATCH($F248,'CAT_CENTROS_COSTO'!$A$4:$A$9,0)),"(sin catálogo)"))</f>
        <v/>
      </c>
      <c r="U248" s="3">
        <f>IF($F248="","",IFERROR(INDEX('CAT_CENTROS_COSTO'!$D$4:$D$9,MATCH($F248,'CAT_CENTROS_COSTO'!$A$4:$A$9,0)),"(sin catálogo)"))</f>
        <v/>
      </c>
      <c r="V248" s="3">
        <f>IF($F248="","",IFERROR(INDEX('CAT_CENTROS_COSTO'!$F$4:$F$9,MATCH($F248,'CAT_CENTROS_COSTO'!$A$4:$A$9,0)),"(sin catálogo)"))</f>
        <v/>
      </c>
      <c r="W248" s="3">
        <f>IF($G248="","",IFERROR(INDEX('CAT_PUESTOS'!$B$4:$B$8,MATCH($G248,'CAT_PUESTOS'!$A$4:$A$8,0)),"(sin catálogo)"))</f>
        <v/>
      </c>
      <c r="X248" s="3">
        <f>IF($H248="","",IFERROR(INDEX('CAT_ACTIVIDADES'!$B$4:$B$8,MATCH($H248,'CAT_ACTIVIDADES'!$A$4:$A$8,0)),"(sin catálogo)"))</f>
        <v/>
      </c>
      <c r="Y248" s="12">
        <f>IF($J248="","",TODAY()-$J248)</f>
        <v/>
      </c>
      <c r="Z248" s="3">
        <f>IF($Y248="","",IF($Y248&lt;0,"FUTURO",IF($Y248&gt;p_dias_backlog_max,"BACKLOG","MES CORRIENTE")))</f>
        <v/>
      </c>
      <c r="AA248" s="3">
        <f>IF($Y248="",FALSE,AND($Y248&gt;p_dias_backlog_min,$Y248&lt;=p_dias_backlog_max))</f>
        <v/>
      </c>
      <c r="AB248" s="6" t="n"/>
      <c r="AC248" s="3">
        <f>IF($AB248="","",IFERROR(INDEX('ASIGNACIONES'!$F$4:$F$339,MATCH($O248&amp;"|"&amp;$R248&amp;"|"&amp;$AB248,'ASIGNACIONES'!$I$4:$I$339,0)),""))</f>
        <v/>
      </c>
      <c r="AD248" s="13">
        <f>IF($AB248="","",SUMIFS('ORDENES'!$M$4:$M$1203,'ORDENES'!$AB$4:$AB$1203,$AB248,'ORDENES'!$O$4:$O$1203,$O248,'ORDENES'!$R$4:$R$1203,$R248))</f>
        <v/>
      </c>
      <c r="AE248" s="13">
        <f>IF($AD248="","",p_factor_productividad*IFERROR(INDEX('ASIGNACIONES'!$H$4:$H$339,MATCH($O248&amp;"|"&amp;$R248&amp;"|"&amp;$AB248,'ASIGNACIONES'!$I$4:$I$339,0)),0)-$AD248)</f>
        <v/>
      </c>
      <c r="AF248" s="10">
        <f>IF($A248="","",IFERROR(INDEX('2_IMPORTAR_EJECUCION'!$F$9:$F$1208,MATCH($AN248,'2_IMPORTAR_EJECUCION'!$J$9:$J$1208,0)),0))</f>
        <v/>
      </c>
      <c r="AG248" s="10">
        <f>IF($A248="","",MAX(0,IFERROR(INDEX('2_IMPORTAR_EJECUCION'!$H$9:$H$1208,MATCH($AN248,'2_IMPORTAR_EJECUCION'!$J$9:$J$1208,0)),0)-$AF248))</f>
        <v/>
      </c>
      <c r="AH248" s="10">
        <f>IF($A248="","",$AF248+$AG248)</f>
        <v/>
      </c>
      <c r="AI248" s="6" t="n"/>
      <c r="AJ248" s="6" t="n"/>
      <c r="AK248" s="6" t="n"/>
      <c r="AL248" s="3">
        <f>IF($AK248="","",HYPERLINK(p_ruta_base_checklists&amp;$AK248,"abrir"))</f>
        <v/>
      </c>
      <c r="AM248" s="6" t="n"/>
      <c r="AN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1" t="n"/>
      <c r="K249" s="3" t="n"/>
      <c r="L249" s="10" t="n"/>
      <c r="M249" s="3">
        <f>IF($A249="","",IFERROR(INDEX('AJUSTES'!$B$4:$B$303,MATCH($AN249,'AJUSTES'!$A$4:$A$303,0)),IF($K249="","",$K249)))</f>
        <v/>
      </c>
      <c r="N249" s="3">
        <f>IF($A249="","",IFERROR(INDEX('CAT_ESTADOS_ERP'!$B$4:$B$7,MATCH(IFERROR(INDEX('2_IMPORTAR_EJECUCION'!$C$9:$C$1208,MATCH($AN249,'2_IMPORTAR_EJECUCION'!$J$9:$J$1208,0)),""),'CAT_ESTADOS_ERP'!$A$4:$A$7,0)),"Pendiente"))</f>
        <v/>
      </c>
      <c r="O249" s="3">
        <f>IF($J249="","",YEAR($J249+4-WEEKDAY($J249,2))&amp;"-S"&amp;TEXT(_xlfn.ISOWEEKNUM($J249),"00"))</f>
        <v/>
      </c>
      <c r="P249" s="3">
        <f>IF($J249="","",YEAR($J249))</f>
        <v/>
      </c>
      <c r="Q249" s="3">
        <f>IF($J249="","",MONTH($J249))</f>
        <v/>
      </c>
      <c r="R249" s="3">
        <f>IF($J249="","",INDEX(lista_dias,WEEKDAY($J249,2)))</f>
        <v/>
      </c>
      <c r="S249" s="3">
        <f>IF($I249="","",IFERROR(INDEX('CAT_TIPOS_OT'!$C$4:$C$7,MATCH($I249,'CAT_TIPOS_OT'!$A$4:$A$7,0)),"sin_clasificar"))</f>
        <v/>
      </c>
      <c r="T249" s="3">
        <f>IF($F249="","",IFERROR(INDEX('CAT_CENTROS_COSTO'!$E$4:$E$9,MATCH($F249,'CAT_CENTROS_COSTO'!$A$4:$A$9,0)),"(sin catálogo)"))</f>
        <v/>
      </c>
      <c r="U249" s="3">
        <f>IF($F249="","",IFERROR(INDEX('CAT_CENTROS_COSTO'!$D$4:$D$9,MATCH($F249,'CAT_CENTROS_COSTO'!$A$4:$A$9,0)),"(sin catálogo)"))</f>
        <v/>
      </c>
      <c r="V249" s="3">
        <f>IF($F249="","",IFERROR(INDEX('CAT_CENTROS_COSTO'!$F$4:$F$9,MATCH($F249,'CAT_CENTROS_COSTO'!$A$4:$A$9,0)),"(sin catálogo)"))</f>
        <v/>
      </c>
      <c r="W249" s="3">
        <f>IF($G249="","",IFERROR(INDEX('CAT_PUESTOS'!$B$4:$B$8,MATCH($G249,'CAT_PUESTOS'!$A$4:$A$8,0)),"(sin catálogo)"))</f>
        <v/>
      </c>
      <c r="X249" s="3">
        <f>IF($H249="","",IFERROR(INDEX('CAT_ACTIVIDADES'!$B$4:$B$8,MATCH($H249,'CAT_ACTIVIDADES'!$A$4:$A$8,0)),"(sin catálogo)"))</f>
        <v/>
      </c>
      <c r="Y249" s="12">
        <f>IF($J249="","",TODAY()-$J249)</f>
        <v/>
      </c>
      <c r="Z249" s="3">
        <f>IF($Y249="","",IF($Y249&lt;0,"FUTURO",IF($Y249&gt;p_dias_backlog_max,"BACKLOG","MES CORRIENTE")))</f>
        <v/>
      </c>
      <c r="AA249" s="3">
        <f>IF($Y249="",FALSE,AND($Y249&gt;p_dias_backlog_min,$Y249&lt;=p_dias_backlog_max))</f>
        <v/>
      </c>
      <c r="AB249" s="6" t="n"/>
      <c r="AC249" s="3">
        <f>IF($AB249="","",IFERROR(INDEX('ASIGNACIONES'!$F$4:$F$339,MATCH($O249&amp;"|"&amp;$R249&amp;"|"&amp;$AB249,'ASIGNACIONES'!$I$4:$I$339,0)),""))</f>
        <v/>
      </c>
      <c r="AD249" s="13">
        <f>IF($AB249="","",SUMIFS('ORDENES'!$M$4:$M$1203,'ORDENES'!$AB$4:$AB$1203,$AB249,'ORDENES'!$O$4:$O$1203,$O249,'ORDENES'!$R$4:$R$1203,$R249))</f>
        <v/>
      </c>
      <c r="AE249" s="13">
        <f>IF($AD249="","",p_factor_productividad*IFERROR(INDEX('ASIGNACIONES'!$H$4:$H$339,MATCH($O249&amp;"|"&amp;$R249&amp;"|"&amp;$AB249,'ASIGNACIONES'!$I$4:$I$339,0)),0)-$AD249)</f>
        <v/>
      </c>
      <c r="AF249" s="10">
        <f>IF($A249="","",IFERROR(INDEX('2_IMPORTAR_EJECUCION'!$F$9:$F$1208,MATCH($AN249,'2_IMPORTAR_EJECUCION'!$J$9:$J$1208,0)),0))</f>
        <v/>
      </c>
      <c r="AG249" s="10">
        <f>IF($A249="","",MAX(0,IFERROR(INDEX('2_IMPORTAR_EJECUCION'!$H$9:$H$1208,MATCH($AN249,'2_IMPORTAR_EJECUCION'!$J$9:$J$1208,0)),0)-$AF249))</f>
        <v/>
      </c>
      <c r="AH249" s="10">
        <f>IF($A249="","",$AF249+$AG249)</f>
        <v/>
      </c>
      <c r="AI249" s="6" t="n"/>
      <c r="AJ249" s="6" t="n"/>
      <c r="AK249" s="6" t="n"/>
      <c r="AL249" s="3">
        <f>IF($AK249="","",HYPERLINK(p_ruta_base_checklists&amp;$AK249,"abrir"))</f>
        <v/>
      </c>
      <c r="AM249" s="6" t="n"/>
      <c r="AN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1" t="n"/>
      <c r="K250" s="3" t="n"/>
      <c r="L250" s="10" t="n"/>
      <c r="M250" s="3">
        <f>IF($A250="","",IFERROR(INDEX('AJUSTES'!$B$4:$B$303,MATCH($AN250,'AJUSTES'!$A$4:$A$303,0)),IF($K250="","",$K250)))</f>
        <v/>
      </c>
      <c r="N250" s="3">
        <f>IF($A250="","",IFERROR(INDEX('CAT_ESTADOS_ERP'!$B$4:$B$7,MATCH(IFERROR(INDEX('2_IMPORTAR_EJECUCION'!$C$9:$C$1208,MATCH($AN250,'2_IMPORTAR_EJECUCION'!$J$9:$J$1208,0)),""),'CAT_ESTADOS_ERP'!$A$4:$A$7,0)),"Pendiente"))</f>
        <v/>
      </c>
      <c r="O250" s="3">
        <f>IF($J250="","",YEAR($J250+4-WEEKDAY($J250,2))&amp;"-S"&amp;TEXT(_xlfn.ISOWEEKNUM($J250),"00"))</f>
        <v/>
      </c>
      <c r="P250" s="3">
        <f>IF($J250="","",YEAR($J250))</f>
        <v/>
      </c>
      <c r="Q250" s="3">
        <f>IF($J250="","",MONTH($J250))</f>
        <v/>
      </c>
      <c r="R250" s="3">
        <f>IF($J250="","",INDEX(lista_dias,WEEKDAY($J250,2)))</f>
        <v/>
      </c>
      <c r="S250" s="3">
        <f>IF($I250="","",IFERROR(INDEX('CAT_TIPOS_OT'!$C$4:$C$7,MATCH($I250,'CAT_TIPOS_OT'!$A$4:$A$7,0)),"sin_clasificar"))</f>
        <v/>
      </c>
      <c r="T250" s="3">
        <f>IF($F250="","",IFERROR(INDEX('CAT_CENTROS_COSTO'!$E$4:$E$9,MATCH($F250,'CAT_CENTROS_COSTO'!$A$4:$A$9,0)),"(sin catálogo)"))</f>
        <v/>
      </c>
      <c r="U250" s="3">
        <f>IF($F250="","",IFERROR(INDEX('CAT_CENTROS_COSTO'!$D$4:$D$9,MATCH($F250,'CAT_CENTROS_COSTO'!$A$4:$A$9,0)),"(sin catálogo)"))</f>
        <v/>
      </c>
      <c r="V250" s="3">
        <f>IF($F250="","",IFERROR(INDEX('CAT_CENTROS_COSTO'!$F$4:$F$9,MATCH($F250,'CAT_CENTROS_COSTO'!$A$4:$A$9,0)),"(sin catálogo)"))</f>
        <v/>
      </c>
      <c r="W250" s="3">
        <f>IF($G250="","",IFERROR(INDEX('CAT_PUESTOS'!$B$4:$B$8,MATCH($G250,'CAT_PUESTOS'!$A$4:$A$8,0)),"(sin catálogo)"))</f>
        <v/>
      </c>
      <c r="X250" s="3">
        <f>IF($H250="","",IFERROR(INDEX('CAT_ACTIVIDADES'!$B$4:$B$8,MATCH($H250,'CAT_ACTIVIDADES'!$A$4:$A$8,0)),"(sin catálogo)"))</f>
        <v/>
      </c>
      <c r="Y250" s="12">
        <f>IF($J250="","",TODAY()-$J250)</f>
        <v/>
      </c>
      <c r="Z250" s="3">
        <f>IF($Y250="","",IF($Y250&lt;0,"FUTURO",IF($Y250&gt;p_dias_backlog_max,"BACKLOG","MES CORRIENTE")))</f>
        <v/>
      </c>
      <c r="AA250" s="3">
        <f>IF($Y250="",FALSE,AND($Y250&gt;p_dias_backlog_min,$Y250&lt;=p_dias_backlog_max))</f>
        <v/>
      </c>
      <c r="AB250" s="6" t="n"/>
      <c r="AC250" s="3">
        <f>IF($AB250="","",IFERROR(INDEX('ASIGNACIONES'!$F$4:$F$339,MATCH($O250&amp;"|"&amp;$R250&amp;"|"&amp;$AB250,'ASIGNACIONES'!$I$4:$I$339,0)),""))</f>
        <v/>
      </c>
      <c r="AD250" s="13">
        <f>IF($AB250="","",SUMIFS('ORDENES'!$M$4:$M$1203,'ORDENES'!$AB$4:$AB$1203,$AB250,'ORDENES'!$O$4:$O$1203,$O250,'ORDENES'!$R$4:$R$1203,$R250))</f>
        <v/>
      </c>
      <c r="AE250" s="13">
        <f>IF($AD250="","",p_factor_productividad*IFERROR(INDEX('ASIGNACIONES'!$H$4:$H$339,MATCH($O250&amp;"|"&amp;$R250&amp;"|"&amp;$AB250,'ASIGNACIONES'!$I$4:$I$339,0)),0)-$AD250)</f>
        <v/>
      </c>
      <c r="AF250" s="10">
        <f>IF($A250="","",IFERROR(INDEX('2_IMPORTAR_EJECUCION'!$F$9:$F$1208,MATCH($AN250,'2_IMPORTAR_EJECUCION'!$J$9:$J$1208,0)),0))</f>
        <v/>
      </c>
      <c r="AG250" s="10">
        <f>IF($A250="","",MAX(0,IFERROR(INDEX('2_IMPORTAR_EJECUCION'!$H$9:$H$1208,MATCH($AN250,'2_IMPORTAR_EJECUCION'!$J$9:$J$1208,0)),0)-$AF250))</f>
        <v/>
      </c>
      <c r="AH250" s="10">
        <f>IF($A250="","",$AF250+$AG250)</f>
        <v/>
      </c>
      <c r="AI250" s="6" t="n"/>
      <c r="AJ250" s="6" t="n"/>
      <c r="AK250" s="6" t="n"/>
      <c r="AL250" s="3">
        <f>IF($AK250="","",HYPERLINK(p_ruta_base_checklists&amp;$AK250,"abrir"))</f>
        <v/>
      </c>
      <c r="AM250" s="6" t="n"/>
      <c r="AN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1" t="n"/>
      <c r="K251" s="3" t="n"/>
      <c r="L251" s="10" t="n"/>
      <c r="M251" s="3">
        <f>IF($A251="","",IFERROR(INDEX('AJUSTES'!$B$4:$B$303,MATCH($AN251,'AJUSTES'!$A$4:$A$303,0)),IF($K251="","",$K251)))</f>
        <v/>
      </c>
      <c r="N251" s="3">
        <f>IF($A251="","",IFERROR(INDEX('CAT_ESTADOS_ERP'!$B$4:$B$7,MATCH(IFERROR(INDEX('2_IMPORTAR_EJECUCION'!$C$9:$C$1208,MATCH($AN251,'2_IMPORTAR_EJECUCION'!$J$9:$J$1208,0)),""),'CAT_ESTADOS_ERP'!$A$4:$A$7,0)),"Pendiente"))</f>
        <v/>
      </c>
      <c r="O251" s="3">
        <f>IF($J251="","",YEAR($J251+4-WEEKDAY($J251,2))&amp;"-S"&amp;TEXT(_xlfn.ISOWEEKNUM($J251),"00"))</f>
        <v/>
      </c>
      <c r="P251" s="3">
        <f>IF($J251="","",YEAR($J251))</f>
        <v/>
      </c>
      <c r="Q251" s="3">
        <f>IF($J251="","",MONTH($J251))</f>
        <v/>
      </c>
      <c r="R251" s="3">
        <f>IF($J251="","",INDEX(lista_dias,WEEKDAY($J251,2)))</f>
        <v/>
      </c>
      <c r="S251" s="3">
        <f>IF($I251="","",IFERROR(INDEX('CAT_TIPOS_OT'!$C$4:$C$7,MATCH($I251,'CAT_TIPOS_OT'!$A$4:$A$7,0)),"sin_clasificar"))</f>
        <v/>
      </c>
      <c r="T251" s="3">
        <f>IF($F251="","",IFERROR(INDEX('CAT_CENTROS_COSTO'!$E$4:$E$9,MATCH($F251,'CAT_CENTROS_COSTO'!$A$4:$A$9,0)),"(sin catálogo)"))</f>
        <v/>
      </c>
      <c r="U251" s="3">
        <f>IF($F251="","",IFERROR(INDEX('CAT_CENTROS_COSTO'!$D$4:$D$9,MATCH($F251,'CAT_CENTROS_COSTO'!$A$4:$A$9,0)),"(sin catálogo)"))</f>
        <v/>
      </c>
      <c r="V251" s="3">
        <f>IF($F251="","",IFERROR(INDEX('CAT_CENTROS_COSTO'!$F$4:$F$9,MATCH($F251,'CAT_CENTROS_COSTO'!$A$4:$A$9,0)),"(sin catálogo)"))</f>
        <v/>
      </c>
      <c r="W251" s="3">
        <f>IF($G251="","",IFERROR(INDEX('CAT_PUESTOS'!$B$4:$B$8,MATCH($G251,'CAT_PUESTOS'!$A$4:$A$8,0)),"(sin catálogo)"))</f>
        <v/>
      </c>
      <c r="X251" s="3">
        <f>IF($H251="","",IFERROR(INDEX('CAT_ACTIVIDADES'!$B$4:$B$8,MATCH($H251,'CAT_ACTIVIDADES'!$A$4:$A$8,0)),"(sin catálogo)"))</f>
        <v/>
      </c>
      <c r="Y251" s="12">
        <f>IF($J251="","",TODAY()-$J251)</f>
        <v/>
      </c>
      <c r="Z251" s="3">
        <f>IF($Y251="","",IF($Y251&lt;0,"FUTURO",IF($Y251&gt;p_dias_backlog_max,"BACKLOG","MES CORRIENTE")))</f>
        <v/>
      </c>
      <c r="AA251" s="3">
        <f>IF($Y251="",FALSE,AND($Y251&gt;p_dias_backlog_min,$Y251&lt;=p_dias_backlog_max))</f>
        <v/>
      </c>
      <c r="AB251" s="6" t="n"/>
      <c r="AC251" s="3">
        <f>IF($AB251="","",IFERROR(INDEX('ASIGNACIONES'!$F$4:$F$339,MATCH($O251&amp;"|"&amp;$R251&amp;"|"&amp;$AB251,'ASIGNACIONES'!$I$4:$I$339,0)),""))</f>
        <v/>
      </c>
      <c r="AD251" s="13">
        <f>IF($AB251="","",SUMIFS('ORDENES'!$M$4:$M$1203,'ORDENES'!$AB$4:$AB$1203,$AB251,'ORDENES'!$O$4:$O$1203,$O251,'ORDENES'!$R$4:$R$1203,$R251))</f>
        <v/>
      </c>
      <c r="AE251" s="13">
        <f>IF($AD251="","",p_factor_productividad*IFERROR(INDEX('ASIGNACIONES'!$H$4:$H$339,MATCH($O251&amp;"|"&amp;$R251&amp;"|"&amp;$AB251,'ASIGNACIONES'!$I$4:$I$339,0)),0)-$AD251)</f>
        <v/>
      </c>
      <c r="AF251" s="10">
        <f>IF($A251="","",IFERROR(INDEX('2_IMPORTAR_EJECUCION'!$F$9:$F$1208,MATCH($AN251,'2_IMPORTAR_EJECUCION'!$J$9:$J$1208,0)),0))</f>
        <v/>
      </c>
      <c r="AG251" s="10">
        <f>IF($A251="","",MAX(0,IFERROR(INDEX('2_IMPORTAR_EJECUCION'!$H$9:$H$1208,MATCH($AN251,'2_IMPORTAR_EJECUCION'!$J$9:$J$1208,0)),0)-$AF251))</f>
        <v/>
      </c>
      <c r="AH251" s="10">
        <f>IF($A251="","",$AF251+$AG251)</f>
        <v/>
      </c>
      <c r="AI251" s="6" t="n"/>
      <c r="AJ251" s="6" t="n"/>
      <c r="AK251" s="6" t="n"/>
      <c r="AL251" s="3">
        <f>IF($AK251="","",HYPERLINK(p_ruta_base_checklists&amp;$AK251,"abrir"))</f>
        <v/>
      </c>
      <c r="AM251" s="6" t="n"/>
      <c r="AN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1" t="n"/>
      <c r="K252" s="3" t="n"/>
      <c r="L252" s="10" t="n"/>
      <c r="M252" s="3">
        <f>IF($A252="","",IFERROR(INDEX('AJUSTES'!$B$4:$B$303,MATCH($AN252,'AJUSTES'!$A$4:$A$303,0)),IF($K252="","",$K252)))</f>
        <v/>
      </c>
      <c r="N252" s="3">
        <f>IF($A252="","",IFERROR(INDEX('CAT_ESTADOS_ERP'!$B$4:$B$7,MATCH(IFERROR(INDEX('2_IMPORTAR_EJECUCION'!$C$9:$C$1208,MATCH($AN252,'2_IMPORTAR_EJECUCION'!$J$9:$J$1208,0)),""),'CAT_ESTADOS_ERP'!$A$4:$A$7,0)),"Pendiente"))</f>
        <v/>
      </c>
      <c r="O252" s="3">
        <f>IF($J252="","",YEAR($J252+4-WEEKDAY($J252,2))&amp;"-S"&amp;TEXT(_xlfn.ISOWEEKNUM($J252),"00"))</f>
        <v/>
      </c>
      <c r="P252" s="3">
        <f>IF($J252="","",YEAR($J252))</f>
        <v/>
      </c>
      <c r="Q252" s="3">
        <f>IF($J252="","",MONTH($J252))</f>
        <v/>
      </c>
      <c r="R252" s="3">
        <f>IF($J252="","",INDEX(lista_dias,WEEKDAY($J252,2)))</f>
        <v/>
      </c>
      <c r="S252" s="3">
        <f>IF($I252="","",IFERROR(INDEX('CAT_TIPOS_OT'!$C$4:$C$7,MATCH($I252,'CAT_TIPOS_OT'!$A$4:$A$7,0)),"sin_clasificar"))</f>
        <v/>
      </c>
      <c r="T252" s="3">
        <f>IF($F252="","",IFERROR(INDEX('CAT_CENTROS_COSTO'!$E$4:$E$9,MATCH($F252,'CAT_CENTROS_COSTO'!$A$4:$A$9,0)),"(sin catálogo)"))</f>
        <v/>
      </c>
      <c r="U252" s="3">
        <f>IF($F252="","",IFERROR(INDEX('CAT_CENTROS_COSTO'!$D$4:$D$9,MATCH($F252,'CAT_CENTROS_COSTO'!$A$4:$A$9,0)),"(sin catálogo)"))</f>
        <v/>
      </c>
      <c r="V252" s="3">
        <f>IF($F252="","",IFERROR(INDEX('CAT_CENTROS_COSTO'!$F$4:$F$9,MATCH($F252,'CAT_CENTROS_COSTO'!$A$4:$A$9,0)),"(sin catálogo)"))</f>
        <v/>
      </c>
      <c r="W252" s="3">
        <f>IF($G252="","",IFERROR(INDEX('CAT_PUESTOS'!$B$4:$B$8,MATCH($G252,'CAT_PUESTOS'!$A$4:$A$8,0)),"(sin catálogo)"))</f>
        <v/>
      </c>
      <c r="X252" s="3">
        <f>IF($H252="","",IFERROR(INDEX('CAT_ACTIVIDADES'!$B$4:$B$8,MATCH($H252,'CAT_ACTIVIDADES'!$A$4:$A$8,0)),"(sin catálogo)"))</f>
        <v/>
      </c>
      <c r="Y252" s="12">
        <f>IF($J252="","",TODAY()-$J252)</f>
        <v/>
      </c>
      <c r="Z252" s="3">
        <f>IF($Y252="","",IF($Y252&lt;0,"FUTURO",IF($Y252&gt;p_dias_backlog_max,"BACKLOG","MES CORRIENTE")))</f>
        <v/>
      </c>
      <c r="AA252" s="3">
        <f>IF($Y252="",FALSE,AND($Y252&gt;p_dias_backlog_min,$Y252&lt;=p_dias_backlog_max))</f>
        <v/>
      </c>
      <c r="AB252" s="6" t="n"/>
      <c r="AC252" s="3">
        <f>IF($AB252="","",IFERROR(INDEX('ASIGNACIONES'!$F$4:$F$339,MATCH($O252&amp;"|"&amp;$R252&amp;"|"&amp;$AB252,'ASIGNACIONES'!$I$4:$I$339,0)),""))</f>
        <v/>
      </c>
      <c r="AD252" s="13">
        <f>IF($AB252="","",SUMIFS('ORDENES'!$M$4:$M$1203,'ORDENES'!$AB$4:$AB$1203,$AB252,'ORDENES'!$O$4:$O$1203,$O252,'ORDENES'!$R$4:$R$1203,$R252))</f>
        <v/>
      </c>
      <c r="AE252" s="13">
        <f>IF($AD252="","",p_factor_productividad*IFERROR(INDEX('ASIGNACIONES'!$H$4:$H$339,MATCH($O252&amp;"|"&amp;$R252&amp;"|"&amp;$AB252,'ASIGNACIONES'!$I$4:$I$339,0)),0)-$AD252)</f>
        <v/>
      </c>
      <c r="AF252" s="10">
        <f>IF($A252="","",IFERROR(INDEX('2_IMPORTAR_EJECUCION'!$F$9:$F$1208,MATCH($AN252,'2_IMPORTAR_EJECUCION'!$J$9:$J$1208,0)),0))</f>
        <v/>
      </c>
      <c r="AG252" s="10">
        <f>IF($A252="","",MAX(0,IFERROR(INDEX('2_IMPORTAR_EJECUCION'!$H$9:$H$1208,MATCH($AN252,'2_IMPORTAR_EJECUCION'!$J$9:$J$1208,0)),0)-$AF252))</f>
        <v/>
      </c>
      <c r="AH252" s="10">
        <f>IF($A252="","",$AF252+$AG252)</f>
        <v/>
      </c>
      <c r="AI252" s="6" t="n"/>
      <c r="AJ252" s="6" t="n"/>
      <c r="AK252" s="6" t="n"/>
      <c r="AL252" s="3">
        <f>IF($AK252="","",HYPERLINK(p_ruta_base_checklists&amp;$AK252,"abrir"))</f>
        <v/>
      </c>
      <c r="AM252" s="6" t="n"/>
      <c r="AN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1" t="n"/>
      <c r="K253" s="3" t="n"/>
      <c r="L253" s="10" t="n"/>
      <c r="M253" s="3">
        <f>IF($A253="","",IFERROR(INDEX('AJUSTES'!$B$4:$B$303,MATCH($AN253,'AJUSTES'!$A$4:$A$303,0)),IF($K253="","",$K253)))</f>
        <v/>
      </c>
      <c r="N253" s="3">
        <f>IF($A253="","",IFERROR(INDEX('CAT_ESTADOS_ERP'!$B$4:$B$7,MATCH(IFERROR(INDEX('2_IMPORTAR_EJECUCION'!$C$9:$C$1208,MATCH($AN253,'2_IMPORTAR_EJECUCION'!$J$9:$J$1208,0)),""),'CAT_ESTADOS_ERP'!$A$4:$A$7,0)),"Pendiente"))</f>
        <v/>
      </c>
      <c r="O253" s="3">
        <f>IF($J253="","",YEAR($J253+4-WEEKDAY($J253,2))&amp;"-S"&amp;TEXT(_xlfn.ISOWEEKNUM($J253),"00"))</f>
        <v/>
      </c>
      <c r="P253" s="3">
        <f>IF($J253="","",YEAR($J253))</f>
        <v/>
      </c>
      <c r="Q253" s="3">
        <f>IF($J253="","",MONTH($J253))</f>
        <v/>
      </c>
      <c r="R253" s="3">
        <f>IF($J253="","",INDEX(lista_dias,WEEKDAY($J253,2)))</f>
        <v/>
      </c>
      <c r="S253" s="3">
        <f>IF($I253="","",IFERROR(INDEX('CAT_TIPOS_OT'!$C$4:$C$7,MATCH($I253,'CAT_TIPOS_OT'!$A$4:$A$7,0)),"sin_clasificar"))</f>
        <v/>
      </c>
      <c r="T253" s="3">
        <f>IF($F253="","",IFERROR(INDEX('CAT_CENTROS_COSTO'!$E$4:$E$9,MATCH($F253,'CAT_CENTROS_COSTO'!$A$4:$A$9,0)),"(sin catálogo)"))</f>
        <v/>
      </c>
      <c r="U253" s="3">
        <f>IF($F253="","",IFERROR(INDEX('CAT_CENTROS_COSTO'!$D$4:$D$9,MATCH($F253,'CAT_CENTROS_COSTO'!$A$4:$A$9,0)),"(sin catálogo)"))</f>
        <v/>
      </c>
      <c r="V253" s="3">
        <f>IF($F253="","",IFERROR(INDEX('CAT_CENTROS_COSTO'!$F$4:$F$9,MATCH($F253,'CAT_CENTROS_COSTO'!$A$4:$A$9,0)),"(sin catálogo)"))</f>
        <v/>
      </c>
      <c r="W253" s="3">
        <f>IF($G253="","",IFERROR(INDEX('CAT_PUESTOS'!$B$4:$B$8,MATCH($G253,'CAT_PUESTOS'!$A$4:$A$8,0)),"(sin catálogo)"))</f>
        <v/>
      </c>
      <c r="X253" s="3">
        <f>IF($H253="","",IFERROR(INDEX('CAT_ACTIVIDADES'!$B$4:$B$8,MATCH($H253,'CAT_ACTIVIDADES'!$A$4:$A$8,0)),"(sin catálogo)"))</f>
        <v/>
      </c>
      <c r="Y253" s="12">
        <f>IF($J253="","",TODAY()-$J253)</f>
        <v/>
      </c>
      <c r="Z253" s="3">
        <f>IF($Y253="","",IF($Y253&lt;0,"FUTURO",IF($Y253&gt;p_dias_backlog_max,"BACKLOG","MES CORRIENTE")))</f>
        <v/>
      </c>
      <c r="AA253" s="3">
        <f>IF($Y253="",FALSE,AND($Y253&gt;p_dias_backlog_min,$Y253&lt;=p_dias_backlog_max))</f>
        <v/>
      </c>
      <c r="AB253" s="6" t="n"/>
      <c r="AC253" s="3">
        <f>IF($AB253="","",IFERROR(INDEX('ASIGNACIONES'!$F$4:$F$339,MATCH($O253&amp;"|"&amp;$R253&amp;"|"&amp;$AB253,'ASIGNACIONES'!$I$4:$I$339,0)),""))</f>
        <v/>
      </c>
      <c r="AD253" s="13">
        <f>IF($AB253="","",SUMIFS('ORDENES'!$M$4:$M$1203,'ORDENES'!$AB$4:$AB$1203,$AB253,'ORDENES'!$O$4:$O$1203,$O253,'ORDENES'!$R$4:$R$1203,$R253))</f>
        <v/>
      </c>
      <c r="AE253" s="13">
        <f>IF($AD253="","",p_factor_productividad*IFERROR(INDEX('ASIGNACIONES'!$H$4:$H$339,MATCH($O253&amp;"|"&amp;$R253&amp;"|"&amp;$AB253,'ASIGNACIONES'!$I$4:$I$339,0)),0)-$AD253)</f>
        <v/>
      </c>
      <c r="AF253" s="10">
        <f>IF($A253="","",IFERROR(INDEX('2_IMPORTAR_EJECUCION'!$F$9:$F$1208,MATCH($AN253,'2_IMPORTAR_EJECUCION'!$J$9:$J$1208,0)),0))</f>
        <v/>
      </c>
      <c r="AG253" s="10">
        <f>IF($A253="","",MAX(0,IFERROR(INDEX('2_IMPORTAR_EJECUCION'!$H$9:$H$1208,MATCH($AN253,'2_IMPORTAR_EJECUCION'!$J$9:$J$1208,0)),0)-$AF253))</f>
        <v/>
      </c>
      <c r="AH253" s="10">
        <f>IF($A253="","",$AF253+$AG253)</f>
        <v/>
      </c>
      <c r="AI253" s="6" t="n"/>
      <c r="AJ253" s="6" t="n"/>
      <c r="AK253" s="6" t="n"/>
      <c r="AL253" s="3">
        <f>IF($AK253="","",HYPERLINK(p_ruta_base_checklists&amp;$AK253,"abrir"))</f>
        <v/>
      </c>
      <c r="AM253" s="6" t="n"/>
      <c r="AN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1" t="n"/>
      <c r="K254" s="3" t="n"/>
      <c r="L254" s="10" t="n"/>
      <c r="M254" s="3">
        <f>IF($A254="","",IFERROR(INDEX('AJUSTES'!$B$4:$B$303,MATCH($AN254,'AJUSTES'!$A$4:$A$303,0)),IF($K254="","",$K254)))</f>
        <v/>
      </c>
      <c r="N254" s="3">
        <f>IF($A254="","",IFERROR(INDEX('CAT_ESTADOS_ERP'!$B$4:$B$7,MATCH(IFERROR(INDEX('2_IMPORTAR_EJECUCION'!$C$9:$C$1208,MATCH($AN254,'2_IMPORTAR_EJECUCION'!$J$9:$J$1208,0)),""),'CAT_ESTADOS_ERP'!$A$4:$A$7,0)),"Pendiente"))</f>
        <v/>
      </c>
      <c r="O254" s="3">
        <f>IF($J254="","",YEAR($J254+4-WEEKDAY($J254,2))&amp;"-S"&amp;TEXT(_xlfn.ISOWEEKNUM($J254),"00"))</f>
        <v/>
      </c>
      <c r="P254" s="3">
        <f>IF($J254="","",YEAR($J254))</f>
        <v/>
      </c>
      <c r="Q254" s="3">
        <f>IF($J254="","",MONTH($J254))</f>
        <v/>
      </c>
      <c r="R254" s="3">
        <f>IF($J254="","",INDEX(lista_dias,WEEKDAY($J254,2)))</f>
        <v/>
      </c>
      <c r="S254" s="3">
        <f>IF($I254="","",IFERROR(INDEX('CAT_TIPOS_OT'!$C$4:$C$7,MATCH($I254,'CAT_TIPOS_OT'!$A$4:$A$7,0)),"sin_clasificar"))</f>
        <v/>
      </c>
      <c r="T254" s="3">
        <f>IF($F254="","",IFERROR(INDEX('CAT_CENTROS_COSTO'!$E$4:$E$9,MATCH($F254,'CAT_CENTROS_COSTO'!$A$4:$A$9,0)),"(sin catálogo)"))</f>
        <v/>
      </c>
      <c r="U254" s="3">
        <f>IF($F254="","",IFERROR(INDEX('CAT_CENTROS_COSTO'!$D$4:$D$9,MATCH($F254,'CAT_CENTROS_COSTO'!$A$4:$A$9,0)),"(sin catálogo)"))</f>
        <v/>
      </c>
      <c r="V254" s="3">
        <f>IF($F254="","",IFERROR(INDEX('CAT_CENTROS_COSTO'!$F$4:$F$9,MATCH($F254,'CAT_CENTROS_COSTO'!$A$4:$A$9,0)),"(sin catálogo)"))</f>
        <v/>
      </c>
      <c r="W254" s="3">
        <f>IF($G254="","",IFERROR(INDEX('CAT_PUESTOS'!$B$4:$B$8,MATCH($G254,'CAT_PUESTOS'!$A$4:$A$8,0)),"(sin catálogo)"))</f>
        <v/>
      </c>
      <c r="X254" s="3">
        <f>IF($H254="","",IFERROR(INDEX('CAT_ACTIVIDADES'!$B$4:$B$8,MATCH($H254,'CAT_ACTIVIDADES'!$A$4:$A$8,0)),"(sin catálogo)"))</f>
        <v/>
      </c>
      <c r="Y254" s="12">
        <f>IF($J254="","",TODAY()-$J254)</f>
        <v/>
      </c>
      <c r="Z254" s="3">
        <f>IF($Y254="","",IF($Y254&lt;0,"FUTURO",IF($Y254&gt;p_dias_backlog_max,"BACKLOG","MES CORRIENTE")))</f>
        <v/>
      </c>
      <c r="AA254" s="3">
        <f>IF($Y254="",FALSE,AND($Y254&gt;p_dias_backlog_min,$Y254&lt;=p_dias_backlog_max))</f>
        <v/>
      </c>
      <c r="AB254" s="6" t="n"/>
      <c r="AC254" s="3">
        <f>IF($AB254="","",IFERROR(INDEX('ASIGNACIONES'!$F$4:$F$339,MATCH($O254&amp;"|"&amp;$R254&amp;"|"&amp;$AB254,'ASIGNACIONES'!$I$4:$I$339,0)),""))</f>
        <v/>
      </c>
      <c r="AD254" s="13">
        <f>IF($AB254="","",SUMIFS('ORDENES'!$M$4:$M$1203,'ORDENES'!$AB$4:$AB$1203,$AB254,'ORDENES'!$O$4:$O$1203,$O254,'ORDENES'!$R$4:$R$1203,$R254))</f>
        <v/>
      </c>
      <c r="AE254" s="13">
        <f>IF($AD254="","",p_factor_productividad*IFERROR(INDEX('ASIGNACIONES'!$H$4:$H$339,MATCH($O254&amp;"|"&amp;$R254&amp;"|"&amp;$AB254,'ASIGNACIONES'!$I$4:$I$339,0)),0)-$AD254)</f>
        <v/>
      </c>
      <c r="AF254" s="10">
        <f>IF($A254="","",IFERROR(INDEX('2_IMPORTAR_EJECUCION'!$F$9:$F$1208,MATCH($AN254,'2_IMPORTAR_EJECUCION'!$J$9:$J$1208,0)),0))</f>
        <v/>
      </c>
      <c r="AG254" s="10">
        <f>IF($A254="","",MAX(0,IFERROR(INDEX('2_IMPORTAR_EJECUCION'!$H$9:$H$1208,MATCH($AN254,'2_IMPORTAR_EJECUCION'!$J$9:$J$1208,0)),0)-$AF254))</f>
        <v/>
      </c>
      <c r="AH254" s="10">
        <f>IF($A254="","",$AF254+$AG254)</f>
        <v/>
      </c>
      <c r="AI254" s="6" t="n"/>
      <c r="AJ254" s="6" t="n"/>
      <c r="AK254" s="6" t="n"/>
      <c r="AL254" s="3">
        <f>IF($AK254="","",HYPERLINK(p_ruta_base_checklists&amp;$AK254,"abrir"))</f>
        <v/>
      </c>
      <c r="AM254" s="6" t="n"/>
      <c r="AN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1" t="n"/>
      <c r="K255" s="3" t="n"/>
      <c r="L255" s="10" t="n"/>
      <c r="M255" s="3">
        <f>IF($A255="","",IFERROR(INDEX('AJUSTES'!$B$4:$B$303,MATCH($AN255,'AJUSTES'!$A$4:$A$303,0)),IF($K255="","",$K255)))</f>
        <v/>
      </c>
      <c r="N255" s="3">
        <f>IF($A255="","",IFERROR(INDEX('CAT_ESTADOS_ERP'!$B$4:$B$7,MATCH(IFERROR(INDEX('2_IMPORTAR_EJECUCION'!$C$9:$C$1208,MATCH($AN255,'2_IMPORTAR_EJECUCION'!$J$9:$J$1208,0)),""),'CAT_ESTADOS_ERP'!$A$4:$A$7,0)),"Pendiente"))</f>
        <v/>
      </c>
      <c r="O255" s="3">
        <f>IF($J255="","",YEAR($J255+4-WEEKDAY($J255,2))&amp;"-S"&amp;TEXT(_xlfn.ISOWEEKNUM($J255),"00"))</f>
        <v/>
      </c>
      <c r="P255" s="3">
        <f>IF($J255="","",YEAR($J255))</f>
        <v/>
      </c>
      <c r="Q255" s="3">
        <f>IF($J255="","",MONTH($J255))</f>
        <v/>
      </c>
      <c r="R255" s="3">
        <f>IF($J255="","",INDEX(lista_dias,WEEKDAY($J255,2)))</f>
        <v/>
      </c>
      <c r="S255" s="3">
        <f>IF($I255="","",IFERROR(INDEX('CAT_TIPOS_OT'!$C$4:$C$7,MATCH($I255,'CAT_TIPOS_OT'!$A$4:$A$7,0)),"sin_clasificar"))</f>
        <v/>
      </c>
      <c r="T255" s="3">
        <f>IF($F255="","",IFERROR(INDEX('CAT_CENTROS_COSTO'!$E$4:$E$9,MATCH($F255,'CAT_CENTROS_COSTO'!$A$4:$A$9,0)),"(sin catálogo)"))</f>
        <v/>
      </c>
      <c r="U255" s="3">
        <f>IF($F255="","",IFERROR(INDEX('CAT_CENTROS_COSTO'!$D$4:$D$9,MATCH($F255,'CAT_CENTROS_COSTO'!$A$4:$A$9,0)),"(sin catálogo)"))</f>
        <v/>
      </c>
      <c r="V255" s="3">
        <f>IF($F255="","",IFERROR(INDEX('CAT_CENTROS_COSTO'!$F$4:$F$9,MATCH($F255,'CAT_CENTROS_COSTO'!$A$4:$A$9,0)),"(sin catálogo)"))</f>
        <v/>
      </c>
      <c r="W255" s="3">
        <f>IF($G255="","",IFERROR(INDEX('CAT_PUESTOS'!$B$4:$B$8,MATCH($G255,'CAT_PUESTOS'!$A$4:$A$8,0)),"(sin catálogo)"))</f>
        <v/>
      </c>
      <c r="X255" s="3">
        <f>IF($H255="","",IFERROR(INDEX('CAT_ACTIVIDADES'!$B$4:$B$8,MATCH($H255,'CAT_ACTIVIDADES'!$A$4:$A$8,0)),"(sin catálogo)"))</f>
        <v/>
      </c>
      <c r="Y255" s="12">
        <f>IF($J255="","",TODAY()-$J255)</f>
        <v/>
      </c>
      <c r="Z255" s="3">
        <f>IF($Y255="","",IF($Y255&lt;0,"FUTURO",IF($Y255&gt;p_dias_backlog_max,"BACKLOG","MES CORRIENTE")))</f>
        <v/>
      </c>
      <c r="AA255" s="3">
        <f>IF($Y255="",FALSE,AND($Y255&gt;p_dias_backlog_min,$Y255&lt;=p_dias_backlog_max))</f>
        <v/>
      </c>
      <c r="AB255" s="6" t="n"/>
      <c r="AC255" s="3">
        <f>IF($AB255="","",IFERROR(INDEX('ASIGNACIONES'!$F$4:$F$339,MATCH($O255&amp;"|"&amp;$R255&amp;"|"&amp;$AB255,'ASIGNACIONES'!$I$4:$I$339,0)),""))</f>
        <v/>
      </c>
      <c r="AD255" s="13">
        <f>IF($AB255="","",SUMIFS('ORDENES'!$M$4:$M$1203,'ORDENES'!$AB$4:$AB$1203,$AB255,'ORDENES'!$O$4:$O$1203,$O255,'ORDENES'!$R$4:$R$1203,$R255))</f>
        <v/>
      </c>
      <c r="AE255" s="13">
        <f>IF($AD255="","",p_factor_productividad*IFERROR(INDEX('ASIGNACIONES'!$H$4:$H$339,MATCH($O255&amp;"|"&amp;$R255&amp;"|"&amp;$AB255,'ASIGNACIONES'!$I$4:$I$339,0)),0)-$AD255)</f>
        <v/>
      </c>
      <c r="AF255" s="10">
        <f>IF($A255="","",IFERROR(INDEX('2_IMPORTAR_EJECUCION'!$F$9:$F$1208,MATCH($AN255,'2_IMPORTAR_EJECUCION'!$J$9:$J$1208,0)),0))</f>
        <v/>
      </c>
      <c r="AG255" s="10">
        <f>IF($A255="","",MAX(0,IFERROR(INDEX('2_IMPORTAR_EJECUCION'!$H$9:$H$1208,MATCH($AN255,'2_IMPORTAR_EJECUCION'!$J$9:$J$1208,0)),0)-$AF255))</f>
        <v/>
      </c>
      <c r="AH255" s="10">
        <f>IF($A255="","",$AF255+$AG255)</f>
        <v/>
      </c>
      <c r="AI255" s="6" t="n"/>
      <c r="AJ255" s="6" t="n"/>
      <c r="AK255" s="6" t="n"/>
      <c r="AL255" s="3">
        <f>IF($AK255="","",HYPERLINK(p_ruta_base_checklists&amp;$AK255,"abrir"))</f>
        <v/>
      </c>
      <c r="AM255" s="6" t="n"/>
      <c r="AN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1" t="n"/>
      <c r="K256" s="3" t="n"/>
      <c r="L256" s="10" t="n"/>
      <c r="M256" s="3">
        <f>IF($A256="","",IFERROR(INDEX('AJUSTES'!$B$4:$B$303,MATCH($AN256,'AJUSTES'!$A$4:$A$303,0)),IF($K256="","",$K256)))</f>
        <v/>
      </c>
      <c r="N256" s="3">
        <f>IF($A256="","",IFERROR(INDEX('CAT_ESTADOS_ERP'!$B$4:$B$7,MATCH(IFERROR(INDEX('2_IMPORTAR_EJECUCION'!$C$9:$C$1208,MATCH($AN256,'2_IMPORTAR_EJECUCION'!$J$9:$J$1208,0)),""),'CAT_ESTADOS_ERP'!$A$4:$A$7,0)),"Pendiente"))</f>
        <v/>
      </c>
      <c r="O256" s="3">
        <f>IF($J256="","",YEAR($J256+4-WEEKDAY($J256,2))&amp;"-S"&amp;TEXT(_xlfn.ISOWEEKNUM($J256),"00"))</f>
        <v/>
      </c>
      <c r="P256" s="3">
        <f>IF($J256="","",YEAR($J256))</f>
        <v/>
      </c>
      <c r="Q256" s="3">
        <f>IF($J256="","",MONTH($J256))</f>
        <v/>
      </c>
      <c r="R256" s="3">
        <f>IF($J256="","",INDEX(lista_dias,WEEKDAY($J256,2)))</f>
        <v/>
      </c>
      <c r="S256" s="3">
        <f>IF($I256="","",IFERROR(INDEX('CAT_TIPOS_OT'!$C$4:$C$7,MATCH($I256,'CAT_TIPOS_OT'!$A$4:$A$7,0)),"sin_clasificar"))</f>
        <v/>
      </c>
      <c r="T256" s="3">
        <f>IF($F256="","",IFERROR(INDEX('CAT_CENTROS_COSTO'!$E$4:$E$9,MATCH($F256,'CAT_CENTROS_COSTO'!$A$4:$A$9,0)),"(sin catálogo)"))</f>
        <v/>
      </c>
      <c r="U256" s="3">
        <f>IF($F256="","",IFERROR(INDEX('CAT_CENTROS_COSTO'!$D$4:$D$9,MATCH($F256,'CAT_CENTROS_COSTO'!$A$4:$A$9,0)),"(sin catálogo)"))</f>
        <v/>
      </c>
      <c r="V256" s="3">
        <f>IF($F256="","",IFERROR(INDEX('CAT_CENTROS_COSTO'!$F$4:$F$9,MATCH($F256,'CAT_CENTROS_COSTO'!$A$4:$A$9,0)),"(sin catálogo)"))</f>
        <v/>
      </c>
      <c r="W256" s="3">
        <f>IF($G256="","",IFERROR(INDEX('CAT_PUESTOS'!$B$4:$B$8,MATCH($G256,'CAT_PUESTOS'!$A$4:$A$8,0)),"(sin catálogo)"))</f>
        <v/>
      </c>
      <c r="X256" s="3">
        <f>IF($H256="","",IFERROR(INDEX('CAT_ACTIVIDADES'!$B$4:$B$8,MATCH($H256,'CAT_ACTIVIDADES'!$A$4:$A$8,0)),"(sin catálogo)"))</f>
        <v/>
      </c>
      <c r="Y256" s="12">
        <f>IF($J256="","",TODAY()-$J256)</f>
        <v/>
      </c>
      <c r="Z256" s="3">
        <f>IF($Y256="","",IF($Y256&lt;0,"FUTURO",IF($Y256&gt;p_dias_backlog_max,"BACKLOG","MES CORRIENTE")))</f>
        <v/>
      </c>
      <c r="AA256" s="3">
        <f>IF($Y256="",FALSE,AND($Y256&gt;p_dias_backlog_min,$Y256&lt;=p_dias_backlog_max))</f>
        <v/>
      </c>
      <c r="AB256" s="6" t="n"/>
      <c r="AC256" s="3">
        <f>IF($AB256="","",IFERROR(INDEX('ASIGNACIONES'!$F$4:$F$339,MATCH($O256&amp;"|"&amp;$R256&amp;"|"&amp;$AB256,'ASIGNACIONES'!$I$4:$I$339,0)),""))</f>
        <v/>
      </c>
      <c r="AD256" s="13">
        <f>IF($AB256="","",SUMIFS('ORDENES'!$M$4:$M$1203,'ORDENES'!$AB$4:$AB$1203,$AB256,'ORDENES'!$O$4:$O$1203,$O256,'ORDENES'!$R$4:$R$1203,$R256))</f>
        <v/>
      </c>
      <c r="AE256" s="13">
        <f>IF($AD256="","",p_factor_productividad*IFERROR(INDEX('ASIGNACIONES'!$H$4:$H$339,MATCH($O256&amp;"|"&amp;$R256&amp;"|"&amp;$AB256,'ASIGNACIONES'!$I$4:$I$339,0)),0)-$AD256)</f>
        <v/>
      </c>
      <c r="AF256" s="10">
        <f>IF($A256="","",IFERROR(INDEX('2_IMPORTAR_EJECUCION'!$F$9:$F$1208,MATCH($AN256,'2_IMPORTAR_EJECUCION'!$J$9:$J$1208,0)),0))</f>
        <v/>
      </c>
      <c r="AG256" s="10">
        <f>IF($A256="","",MAX(0,IFERROR(INDEX('2_IMPORTAR_EJECUCION'!$H$9:$H$1208,MATCH($AN256,'2_IMPORTAR_EJECUCION'!$J$9:$J$1208,0)),0)-$AF256))</f>
        <v/>
      </c>
      <c r="AH256" s="10">
        <f>IF($A256="","",$AF256+$AG256)</f>
        <v/>
      </c>
      <c r="AI256" s="6" t="n"/>
      <c r="AJ256" s="6" t="n"/>
      <c r="AK256" s="6" t="n"/>
      <c r="AL256" s="3">
        <f>IF($AK256="","",HYPERLINK(p_ruta_base_checklists&amp;$AK256,"abrir"))</f>
        <v/>
      </c>
      <c r="AM256" s="6" t="n"/>
      <c r="AN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1" t="n"/>
      <c r="K257" s="3" t="n"/>
      <c r="L257" s="10" t="n"/>
      <c r="M257" s="3">
        <f>IF($A257="","",IFERROR(INDEX('AJUSTES'!$B$4:$B$303,MATCH($AN257,'AJUSTES'!$A$4:$A$303,0)),IF($K257="","",$K257)))</f>
        <v/>
      </c>
      <c r="N257" s="3">
        <f>IF($A257="","",IFERROR(INDEX('CAT_ESTADOS_ERP'!$B$4:$B$7,MATCH(IFERROR(INDEX('2_IMPORTAR_EJECUCION'!$C$9:$C$1208,MATCH($AN257,'2_IMPORTAR_EJECUCION'!$J$9:$J$1208,0)),""),'CAT_ESTADOS_ERP'!$A$4:$A$7,0)),"Pendiente"))</f>
        <v/>
      </c>
      <c r="O257" s="3">
        <f>IF($J257="","",YEAR($J257+4-WEEKDAY($J257,2))&amp;"-S"&amp;TEXT(_xlfn.ISOWEEKNUM($J257),"00"))</f>
        <v/>
      </c>
      <c r="P257" s="3">
        <f>IF($J257="","",YEAR($J257))</f>
        <v/>
      </c>
      <c r="Q257" s="3">
        <f>IF($J257="","",MONTH($J257))</f>
        <v/>
      </c>
      <c r="R257" s="3">
        <f>IF($J257="","",INDEX(lista_dias,WEEKDAY($J257,2)))</f>
        <v/>
      </c>
      <c r="S257" s="3">
        <f>IF($I257="","",IFERROR(INDEX('CAT_TIPOS_OT'!$C$4:$C$7,MATCH($I257,'CAT_TIPOS_OT'!$A$4:$A$7,0)),"sin_clasificar"))</f>
        <v/>
      </c>
      <c r="T257" s="3">
        <f>IF($F257="","",IFERROR(INDEX('CAT_CENTROS_COSTO'!$E$4:$E$9,MATCH($F257,'CAT_CENTROS_COSTO'!$A$4:$A$9,0)),"(sin catálogo)"))</f>
        <v/>
      </c>
      <c r="U257" s="3">
        <f>IF($F257="","",IFERROR(INDEX('CAT_CENTROS_COSTO'!$D$4:$D$9,MATCH($F257,'CAT_CENTROS_COSTO'!$A$4:$A$9,0)),"(sin catálogo)"))</f>
        <v/>
      </c>
      <c r="V257" s="3">
        <f>IF($F257="","",IFERROR(INDEX('CAT_CENTROS_COSTO'!$F$4:$F$9,MATCH($F257,'CAT_CENTROS_COSTO'!$A$4:$A$9,0)),"(sin catálogo)"))</f>
        <v/>
      </c>
      <c r="W257" s="3">
        <f>IF($G257="","",IFERROR(INDEX('CAT_PUESTOS'!$B$4:$B$8,MATCH($G257,'CAT_PUESTOS'!$A$4:$A$8,0)),"(sin catálogo)"))</f>
        <v/>
      </c>
      <c r="X257" s="3">
        <f>IF($H257="","",IFERROR(INDEX('CAT_ACTIVIDADES'!$B$4:$B$8,MATCH($H257,'CAT_ACTIVIDADES'!$A$4:$A$8,0)),"(sin catálogo)"))</f>
        <v/>
      </c>
      <c r="Y257" s="12">
        <f>IF($J257="","",TODAY()-$J257)</f>
        <v/>
      </c>
      <c r="Z257" s="3">
        <f>IF($Y257="","",IF($Y257&lt;0,"FUTURO",IF($Y257&gt;p_dias_backlog_max,"BACKLOG","MES CORRIENTE")))</f>
        <v/>
      </c>
      <c r="AA257" s="3">
        <f>IF($Y257="",FALSE,AND($Y257&gt;p_dias_backlog_min,$Y257&lt;=p_dias_backlog_max))</f>
        <v/>
      </c>
      <c r="AB257" s="6" t="n"/>
      <c r="AC257" s="3">
        <f>IF($AB257="","",IFERROR(INDEX('ASIGNACIONES'!$F$4:$F$339,MATCH($O257&amp;"|"&amp;$R257&amp;"|"&amp;$AB257,'ASIGNACIONES'!$I$4:$I$339,0)),""))</f>
        <v/>
      </c>
      <c r="AD257" s="13">
        <f>IF($AB257="","",SUMIFS('ORDENES'!$M$4:$M$1203,'ORDENES'!$AB$4:$AB$1203,$AB257,'ORDENES'!$O$4:$O$1203,$O257,'ORDENES'!$R$4:$R$1203,$R257))</f>
        <v/>
      </c>
      <c r="AE257" s="13">
        <f>IF($AD257="","",p_factor_productividad*IFERROR(INDEX('ASIGNACIONES'!$H$4:$H$339,MATCH($O257&amp;"|"&amp;$R257&amp;"|"&amp;$AB257,'ASIGNACIONES'!$I$4:$I$339,0)),0)-$AD257)</f>
        <v/>
      </c>
      <c r="AF257" s="10">
        <f>IF($A257="","",IFERROR(INDEX('2_IMPORTAR_EJECUCION'!$F$9:$F$1208,MATCH($AN257,'2_IMPORTAR_EJECUCION'!$J$9:$J$1208,0)),0))</f>
        <v/>
      </c>
      <c r="AG257" s="10">
        <f>IF($A257="","",MAX(0,IFERROR(INDEX('2_IMPORTAR_EJECUCION'!$H$9:$H$1208,MATCH($AN257,'2_IMPORTAR_EJECUCION'!$J$9:$J$1208,0)),0)-$AF257))</f>
        <v/>
      </c>
      <c r="AH257" s="10">
        <f>IF($A257="","",$AF257+$AG257)</f>
        <v/>
      </c>
      <c r="AI257" s="6" t="n"/>
      <c r="AJ257" s="6" t="n"/>
      <c r="AK257" s="6" t="n"/>
      <c r="AL257" s="3">
        <f>IF($AK257="","",HYPERLINK(p_ruta_base_checklists&amp;$AK257,"abrir"))</f>
        <v/>
      </c>
      <c r="AM257" s="6" t="n"/>
      <c r="AN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1" t="n"/>
      <c r="K258" s="3" t="n"/>
      <c r="L258" s="10" t="n"/>
      <c r="M258" s="3">
        <f>IF($A258="","",IFERROR(INDEX('AJUSTES'!$B$4:$B$303,MATCH($AN258,'AJUSTES'!$A$4:$A$303,0)),IF($K258="","",$K258)))</f>
        <v/>
      </c>
      <c r="N258" s="3">
        <f>IF($A258="","",IFERROR(INDEX('CAT_ESTADOS_ERP'!$B$4:$B$7,MATCH(IFERROR(INDEX('2_IMPORTAR_EJECUCION'!$C$9:$C$1208,MATCH($AN258,'2_IMPORTAR_EJECUCION'!$J$9:$J$1208,0)),""),'CAT_ESTADOS_ERP'!$A$4:$A$7,0)),"Pendiente"))</f>
        <v/>
      </c>
      <c r="O258" s="3">
        <f>IF($J258="","",YEAR($J258+4-WEEKDAY($J258,2))&amp;"-S"&amp;TEXT(_xlfn.ISOWEEKNUM($J258),"00"))</f>
        <v/>
      </c>
      <c r="P258" s="3">
        <f>IF($J258="","",YEAR($J258))</f>
        <v/>
      </c>
      <c r="Q258" s="3">
        <f>IF($J258="","",MONTH($J258))</f>
        <v/>
      </c>
      <c r="R258" s="3">
        <f>IF($J258="","",INDEX(lista_dias,WEEKDAY($J258,2)))</f>
        <v/>
      </c>
      <c r="S258" s="3">
        <f>IF($I258="","",IFERROR(INDEX('CAT_TIPOS_OT'!$C$4:$C$7,MATCH($I258,'CAT_TIPOS_OT'!$A$4:$A$7,0)),"sin_clasificar"))</f>
        <v/>
      </c>
      <c r="T258" s="3">
        <f>IF($F258="","",IFERROR(INDEX('CAT_CENTROS_COSTO'!$E$4:$E$9,MATCH($F258,'CAT_CENTROS_COSTO'!$A$4:$A$9,0)),"(sin catálogo)"))</f>
        <v/>
      </c>
      <c r="U258" s="3">
        <f>IF($F258="","",IFERROR(INDEX('CAT_CENTROS_COSTO'!$D$4:$D$9,MATCH($F258,'CAT_CENTROS_COSTO'!$A$4:$A$9,0)),"(sin catálogo)"))</f>
        <v/>
      </c>
      <c r="V258" s="3">
        <f>IF($F258="","",IFERROR(INDEX('CAT_CENTROS_COSTO'!$F$4:$F$9,MATCH($F258,'CAT_CENTROS_COSTO'!$A$4:$A$9,0)),"(sin catálogo)"))</f>
        <v/>
      </c>
      <c r="W258" s="3">
        <f>IF($G258="","",IFERROR(INDEX('CAT_PUESTOS'!$B$4:$B$8,MATCH($G258,'CAT_PUESTOS'!$A$4:$A$8,0)),"(sin catálogo)"))</f>
        <v/>
      </c>
      <c r="X258" s="3">
        <f>IF($H258="","",IFERROR(INDEX('CAT_ACTIVIDADES'!$B$4:$B$8,MATCH($H258,'CAT_ACTIVIDADES'!$A$4:$A$8,0)),"(sin catálogo)"))</f>
        <v/>
      </c>
      <c r="Y258" s="12">
        <f>IF($J258="","",TODAY()-$J258)</f>
        <v/>
      </c>
      <c r="Z258" s="3">
        <f>IF($Y258="","",IF($Y258&lt;0,"FUTURO",IF($Y258&gt;p_dias_backlog_max,"BACKLOG","MES CORRIENTE")))</f>
        <v/>
      </c>
      <c r="AA258" s="3">
        <f>IF($Y258="",FALSE,AND($Y258&gt;p_dias_backlog_min,$Y258&lt;=p_dias_backlog_max))</f>
        <v/>
      </c>
      <c r="AB258" s="6" t="n"/>
      <c r="AC258" s="3">
        <f>IF($AB258="","",IFERROR(INDEX('ASIGNACIONES'!$F$4:$F$339,MATCH($O258&amp;"|"&amp;$R258&amp;"|"&amp;$AB258,'ASIGNACIONES'!$I$4:$I$339,0)),""))</f>
        <v/>
      </c>
      <c r="AD258" s="13">
        <f>IF($AB258="","",SUMIFS('ORDENES'!$M$4:$M$1203,'ORDENES'!$AB$4:$AB$1203,$AB258,'ORDENES'!$O$4:$O$1203,$O258,'ORDENES'!$R$4:$R$1203,$R258))</f>
        <v/>
      </c>
      <c r="AE258" s="13">
        <f>IF($AD258="","",p_factor_productividad*IFERROR(INDEX('ASIGNACIONES'!$H$4:$H$339,MATCH($O258&amp;"|"&amp;$R258&amp;"|"&amp;$AB258,'ASIGNACIONES'!$I$4:$I$339,0)),0)-$AD258)</f>
        <v/>
      </c>
      <c r="AF258" s="10">
        <f>IF($A258="","",IFERROR(INDEX('2_IMPORTAR_EJECUCION'!$F$9:$F$1208,MATCH($AN258,'2_IMPORTAR_EJECUCION'!$J$9:$J$1208,0)),0))</f>
        <v/>
      </c>
      <c r="AG258" s="10">
        <f>IF($A258="","",MAX(0,IFERROR(INDEX('2_IMPORTAR_EJECUCION'!$H$9:$H$1208,MATCH($AN258,'2_IMPORTAR_EJECUCION'!$J$9:$J$1208,0)),0)-$AF258))</f>
        <v/>
      </c>
      <c r="AH258" s="10">
        <f>IF($A258="","",$AF258+$AG258)</f>
        <v/>
      </c>
      <c r="AI258" s="6" t="n"/>
      <c r="AJ258" s="6" t="n"/>
      <c r="AK258" s="6" t="n"/>
      <c r="AL258" s="3">
        <f>IF($AK258="","",HYPERLINK(p_ruta_base_checklists&amp;$AK258,"abrir"))</f>
        <v/>
      </c>
      <c r="AM258" s="6" t="n"/>
      <c r="AN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1" t="n"/>
      <c r="K259" s="3" t="n"/>
      <c r="L259" s="10" t="n"/>
      <c r="M259" s="3">
        <f>IF($A259="","",IFERROR(INDEX('AJUSTES'!$B$4:$B$303,MATCH($AN259,'AJUSTES'!$A$4:$A$303,0)),IF($K259="","",$K259)))</f>
        <v/>
      </c>
      <c r="N259" s="3">
        <f>IF($A259="","",IFERROR(INDEX('CAT_ESTADOS_ERP'!$B$4:$B$7,MATCH(IFERROR(INDEX('2_IMPORTAR_EJECUCION'!$C$9:$C$1208,MATCH($AN259,'2_IMPORTAR_EJECUCION'!$J$9:$J$1208,0)),""),'CAT_ESTADOS_ERP'!$A$4:$A$7,0)),"Pendiente"))</f>
        <v/>
      </c>
      <c r="O259" s="3">
        <f>IF($J259="","",YEAR($J259+4-WEEKDAY($J259,2))&amp;"-S"&amp;TEXT(_xlfn.ISOWEEKNUM($J259),"00"))</f>
        <v/>
      </c>
      <c r="P259" s="3">
        <f>IF($J259="","",YEAR($J259))</f>
        <v/>
      </c>
      <c r="Q259" s="3">
        <f>IF($J259="","",MONTH($J259))</f>
        <v/>
      </c>
      <c r="R259" s="3">
        <f>IF($J259="","",INDEX(lista_dias,WEEKDAY($J259,2)))</f>
        <v/>
      </c>
      <c r="S259" s="3">
        <f>IF($I259="","",IFERROR(INDEX('CAT_TIPOS_OT'!$C$4:$C$7,MATCH($I259,'CAT_TIPOS_OT'!$A$4:$A$7,0)),"sin_clasificar"))</f>
        <v/>
      </c>
      <c r="T259" s="3">
        <f>IF($F259="","",IFERROR(INDEX('CAT_CENTROS_COSTO'!$E$4:$E$9,MATCH($F259,'CAT_CENTROS_COSTO'!$A$4:$A$9,0)),"(sin catálogo)"))</f>
        <v/>
      </c>
      <c r="U259" s="3">
        <f>IF($F259="","",IFERROR(INDEX('CAT_CENTROS_COSTO'!$D$4:$D$9,MATCH($F259,'CAT_CENTROS_COSTO'!$A$4:$A$9,0)),"(sin catálogo)"))</f>
        <v/>
      </c>
      <c r="V259" s="3">
        <f>IF($F259="","",IFERROR(INDEX('CAT_CENTROS_COSTO'!$F$4:$F$9,MATCH($F259,'CAT_CENTROS_COSTO'!$A$4:$A$9,0)),"(sin catálogo)"))</f>
        <v/>
      </c>
      <c r="W259" s="3">
        <f>IF($G259="","",IFERROR(INDEX('CAT_PUESTOS'!$B$4:$B$8,MATCH($G259,'CAT_PUESTOS'!$A$4:$A$8,0)),"(sin catálogo)"))</f>
        <v/>
      </c>
      <c r="X259" s="3">
        <f>IF($H259="","",IFERROR(INDEX('CAT_ACTIVIDADES'!$B$4:$B$8,MATCH($H259,'CAT_ACTIVIDADES'!$A$4:$A$8,0)),"(sin catálogo)"))</f>
        <v/>
      </c>
      <c r="Y259" s="12">
        <f>IF($J259="","",TODAY()-$J259)</f>
        <v/>
      </c>
      <c r="Z259" s="3">
        <f>IF($Y259="","",IF($Y259&lt;0,"FUTURO",IF($Y259&gt;p_dias_backlog_max,"BACKLOG","MES CORRIENTE")))</f>
        <v/>
      </c>
      <c r="AA259" s="3">
        <f>IF($Y259="",FALSE,AND($Y259&gt;p_dias_backlog_min,$Y259&lt;=p_dias_backlog_max))</f>
        <v/>
      </c>
      <c r="AB259" s="6" t="n"/>
      <c r="AC259" s="3">
        <f>IF($AB259="","",IFERROR(INDEX('ASIGNACIONES'!$F$4:$F$339,MATCH($O259&amp;"|"&amp;$R259&amp;"|"&amp;$AB259,'ASIGNACIONES'!$I$4:$I$339,0)),""))</f>
        <v/>
      </c>
      <c r="AD259" s="13">
        <f>IF($AB259="","",SUMIFS('ORDENES'!$M$4:$M$1203,'ORDENES'!$AB$4:$AB$1203,$AB259,'ORDENES'!$O$4:$O$1203,$O259,'ORDENES'!$R$4:$R$1203,$R259))</f>
        <v/>
      </c>
      <c r="AE259" s="13">
        <f>IF($AD259="","",p_factor_productividad*IFERROR(INDEX('ASIGNACIONES'!$H$4:$H$339,MATCH($O259&amp;"|"&amp;$R259&amp;"|"&amp;$AB259,'ASIGNACIONES'!$I$4:$I$339,0)),0)-$AD259)</f>
        <v/>
      </c>
      <c r="AF259" s="10">
        <f>IF($A259="","",IFERROR(INDEX('2_IMPORTAR_EJECUCION'!$F$9:$F$1208,MATCH($AN259,'2_IMPORTAR_EJECUCION'!$J$9:$J$1208,0)),0))</f>
        <v/>
      </c>
      <c r="AG259" s="10">
        <f>IF($A259="","",MAX(0,IFERROR(INDEX('2_IMPORTAR_EJECUCION'!$H$9:$H$1208,MATCH($AN259,'2_IMPORTAR_EJECUCION'!$J$9:$J$1208,0)),0)-$AF259))</f>
        <v/>
      </c>
      <c r="AH259" s="10">
        <f>IF($A259="","",$AF259+$AG259)</f>
        <v/>
      </c>
      <c r="AI259" s="6" t="n"/>
      <c r="AJ259" s="6" t="n"/>
      <c r="AK259" s="6" t="n"/>
      <c r="AL259" s="3">
        <f>IF($AK259="","",HYPERLINK(p_ruta_base_checklists&amp;$AK259,"abrir"))</f>
        <v/>
      </c>
      <c r="AM259" s="6" t="n"/>
      <c r="AN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1" t="n"/>
      <c r="K260" s="3" t="n"/>
      <c r="L260" s="10" t="n"/>
      <c r="M260" s="3">
        <f>IF($A260="","",IFERROR(INDEX('AJUSTES'!$B$4:$B$303,MATCH($AN260,'AJUSTES'!$A$4:$A$303,0)),IF($K260="","",$K260)))</f>
        <v/>
      </c>
      <c r="N260" s="3">
        <f>IF($A260="","",IFERROR(INDEX('CAT_ESTADOS_ERP'!$B$4:$B$7,MATCH(IFERROR(INDEX('2_IMPORTAR_EJECUCION'!$C$9:$C$1208,MATCH($AN260,'2_IMPORTAR_EJECUCION'!$J$9:$J$1208,0)),""),'CAT_ESTADOS_ERP'!$A$4:$A$7,0)),"Pendiente"))</f>
        <v/>
      </c>
      <c r="O260" s="3">
        <f>IF($J260="","",YEAR($J260+4-WEEKDAY($J260,2))&amp;"-S"&amp;TEXT(_xlfn.ISOWEEKNUM($J260),"00"))</f>
        <v/>
      </c>
      <c r="P260" s="3">
        <f>IF($J260="","",YEAR($J260))</f>
        <v/>
      </c>
      <c r="Q260" s="3">
        <f>IF($J260="","",MONTH($J260))</f>
        <v/>
      </c>
      <c r="R260" s="3">
        <f>IF($J260="","",INDEX(lista_dias,WEEKDAY($J260,2)))</f>
        <v/>
      </c>
      <c r="S260" s="3">
        <f>IF($I260="","",IFERROR(INDEX('CAT_TIPOS_OT'!$C$4:$C$7,MATCH($I260,'CAT_TIPOS_OT'!$A$4:$A$7,0)),"sin_clasificar"))</f>
        <v/>
      </c>
      <c r="T260" s="3">
        <f>IF($F260="","",IFERROR(INDEX('CAT_CENTROS_COSTO'!$E$4:$E$9,MATCH($F260,'CAT_CENTROS_COSTO'!$A$4:$A$9,0)),"(sin catálogo)"))</f>
        <v/>
      </c>
      <c r="U260" s="3">
        <f>IF($F260="","",IFERROR(INDEX('CAT_CENTROS_COSTO'!$D$4:$D$9,MATCH($F260,'CAT_CENTROS_COSTO'!$A$4:$A$9,0)),"(sin catálogo)"))</f>
        <v/>
      </c>
      <c r="V260" s="3">
        <f>IF($F260="","",IFERROR(INDEX('CAT_CENTROS_COSTO'!$F$4:$F$9,MATCH($F260,'CAT_CENTROS_COSTO'!$A$4:$A$9,0)),"(sin catálogo)"))</f>
        <v/>
      </c>
      <c r="W260" s="3">
        <f>IF($G260="","",IFERROR(INDEX('CAT_PUESTOS'!$B$4:$B$8,MATCH($G260,'CAT_PUESTOS'!$A$4:$A$8,0)),"(sin catálogo)"))</f>
        <v/>
      </c>
      <c r="X260" s="3">
        <f>IF($H260="","",IFERROR(INDEX('CAT_ACTIVIDADES'!$B$4:$B$8,MATCH($H260,'CAT_ACTIVIDADES'!$A$4:$A$8,0)),"(sin catálogo)"))</f>
        <v/>
      </c>
      <c r="Y260" s="12">
        <f>IF($J260="","",TODAY()-$J260)</f>
        <v/>
      </c>
      <c r="Z260" s="3">
        <f>IF($Y260="","",IF($Y260&lt;0,"FUTURO",IF($Y260&gt;p_dias_backlog_max,"BACKLOG","MES CORRIENTE")))</f>
        <v/>
      </c>
      <c r="AA260" s="3">
        <f>IF($Y260="",FALSE,AND($Y260&gt;p_dias_backlog_min,$Y260&lt;=p_dias_backlog_max))</f>
        <v/>
      </c>
      <c r="AB260" s="6" t="n"/>
      <c r="AC260" s="3">
        <f>IF($AB260="","",IFERROR(INDEX('ASIGNACIONES'!$F$4:$F$339,MATCH($O260&amp;"|"&amp;$R260&amp;"|"&amp;$AB260,'ASIGNACIONES'!$I$4:$I$339,0)),""))</f>
        <v/>
      </c>
      <c r="AD260" s="13">
        <f>IF($AB260="","",SUMIFS('ORDENES'!$M$4:$M$1203,'ORDENES'!$AB$4:$AB$1203,$AB260,'ORDENES'!$O$4:$O$1203,$O260,'ORDENES'!$R$4:$R$1203,$R260))</f>
        <v/>
      </c>
      <c r="AE260" s="13">
        <f>IF($AD260="","",p_factor_productividad*IFERROR(INDEX('ASIGNACIONES'!$H$4:$H$339,MATCH($O260&amp;"|"&amp;$R260&amp;"|"&amp;$AB260,'ASIGNACIONES'!$I$4:$I$339,0)),0)-$AD260)</f>
        <v/>
      </c>
      <c r="AF260" s="10">
        <f>IF($A260="","",IFERROR(INDEX('2_IMPORTAR_EJECUCION'!$F$9:$F$1208,MATCH($AN260,'2_IMPORTAR_EJECUCION'!$J$9:$J$1208,0)),0))</f>
        <v/>
      </c>
      <c r="AG260" s="10">
        <f>IF($A260="","",MAX(0,IFERROR(INDEX('2_IMPORTAR_EJECUCION'!$H$9:$H$1208,MATCH($AN260,'2_IMPORTAR_EJECUCION'!$J$9:$J$1208,0)),0)-$AF260))</f>
        <v/>
      </c>
      <c r="AH260" s="10">
        <f>IF($A260="","",$AF260+$AG260)</f>
        <v/>
      </c>
      <c r="AI260" s="6" t="n"/>
      <c r="AJ260" s="6" t="n"/>
      <c r="AK260" s="6" t="n"/>
      <c r="AL260" s="3">
        <f>IF($AK260="","",HYPERLINK(p_ruta_base_checklists&amp;$AK260,"abrir"))</f>
        <v/>
      </c>
      <c r="AM260" s="6" t="n"/>
      <c r="AN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1" t="n"/>
      <c r="K261" s="3" t="n"/>
      <c r="L261" s="10" t="n"/>
      <c r="M261" s="3">
        <f>IF($A261="","",IFERROR(INDEX('AJUSTES'!$B$4:$B$303,MATCH($AN261,'AJUSTES'!$A$4:$A$303,0)),IF($K261="","",$K261)))</f>
        <v/>
      </c>
      <c r="N261" s="3">
        <f>IF($A261="","",IFERROR(INDEX('CAT_ESTADOS_ERP'!$B$4:$B$7,MATCH(IFERROR(INDEX('2_IMPORTAR_EJECUCION'!$C$9:$C$1208,MATCH($AN261,'2_IMPORTAR_EJECUCION'!$J$9:$J$1208,0)),""),'CAT_ESTADOS_ERP'!$A$4:$A$7,0)),"Pendiente"))</f>
        <v/>
      </c>
      <c r="O261" s="3">
        <f>IF($J261="","",YEAR($J261+4-WEEKDAY($J261,2))&amp;"-S"&amp;TEXT(_xlfn.ISOWEEKNUM($J261),"00"))</f>
        <v/>
      </c>
      <c r="P261" s="3">
        <f>IF($J261="","",YEAR($J261))</f>
        <v/>
      </c>
      <c r="Q261" s="3">
        <f>IF($J261="","",MONTH($J261))</f>
        <v/>
      </c>
      <c r="R261" s="3">
        <f>IF($J261="","",INDEX(lista_dias,WEEKDAY($J261,2)))</f>
        <v/>
      </c>
      <c r="S261" s="3">
        <f>IF($I261="","",IFERROR(INDEX('CAT_TIPOS_OT'!$C$4:$C$7,MATCH($I261,'CAT_TIPOS_OT'!$A$4:$A$7,0)),"sin_clasificar"))</f>
        <v/>
      </c>
      <c r="T261" s="3">
        <f>IF($F261="","",IFERROR(INDEX('CAT_CENTROS_COSTO'!$E$4:$E$9,MATCH($F261,'CAT_CENTROS_COSTO'!$A$4:$A$9,0)),"(sin catálogo)"))</f>
        <v/>
      </c>
      <c r="U261" s="3">
        <f>IF($F261="","",IFERROR(INDEX('CAT_CENTROS_COSTO'!$D$4:$D$9,MATCH($F261,'CAT_CENTROS_COSTO'!$A$4:$A$9,0)),"(sin catálogo)"))</f>
        <v/>
      </c>
      <c r="V261" s="3">
        <f>IF($F261="","",IFERROR(INDEX('CAT_CENTROS_COSTO'!$F$4:$F$9,MATCH($F261,'CAT_CENTROS_COSTO'!$A$4:$A$9,0)),"(sin catálogo)"))</f>
        <v/>
      </c>
      <c r="W261" s="3">
        <f>IF($G261="","",IFERROR(INDEX('CAT_PUESTOS'!$B$4:$B$8,MATCH($G261,'CAT_PUESTOS'!$A$4:$A$8,0)),"(sin catálogo)"))</f>
        <v/>
      </c>
      <c r="X261" s="3">
        <f>IF($H261="","",IFERROR(INDEX('CAT_ACTIVIDADES'!$B$4:$B$8,MATCH($H261,'CAT_ACTIVIDADES'!$A$4:$A$8,0)),"(sin catálogo)"))</f>
        <v/>
      </c>
      <c r="Y261" s="12">
        <f>IF($J261="","",TODAY()-$J261)</f>
        <v/>
      </c>
      <c r="Z261" s="3">
        <f>IF($Y261="","",IF($Y261&lt;0,"FUTURO",IF($Y261&gt;p_dias_backlog_max,"BACKLOG","MES CORRIENTE")))</f>
        <v/>
      </c>
      <c r="AA261" s="3">
        <f>IF($Y261="",FALSE,AND($Y261&gt;p_dias_backlog_min,$Y261&lt;=p_dias_backlog_max))</f>
        <v/>
      </c>
      <c r="AB261" s="6" t="n"/>
      <c r="AC261" s="3">
        <f>IF($AB261="","",IFERROR(INDEX('ASIGNACIONES'!$F$4:$F$339,MATCH($O261&amp;"|"&amp;$R261&amp;"|"&amp;$AB261,'ASIGNACIONES'!$I$4:$I$339,0)),""))</f>
        <v/>
      </c>
      <c r="AD261" s="13">
        <f>IF($AB261="","",SUMIFS('ORDENES'!$M$4:$M$1203,'ORDENES'!$AB$4:$AB$1203,$AB261,'ORDENES'!$O$4:$O$1203,$O261,'ORDENES'!$R$4:$R$1203,$R261))</f>
        <v/>
      </c>
      <c r="AE261" s="13">
        <f>IF($AD261="","",p_factor_productividad*IFERROR(INDEX('ASIGNACIONES'!$H$4:$H$339,MATCH($O261&amp;"|"&amp;$R261&amp;"|"&amp;$AB261,'ASIGNACIONES'!$I$4:$I$339,0)),0)-$AD261)</f>
        <v/>
      </c>
      <c r="AF261" s="10">
        <f>IF($A261="","",IFERROR(INDEX('2_IMPORTAR_EJECUCION'!$F$9:$F$1208,MATCH($AN261,'2_IMPORTAR_EJECUCION'!$J$9:$J$1208,0)),0))</f>
        <v/>
      </c>
      <c r="AG261" s="10">
        <f>IF($A261="","",MAX(0,IFERROR(INDEX('2_IMPORTAR_EJECUCION'!$H$9:$H$1208,MATCH($AN261,'2_IMPORTAR_EJECUCION'!$J$9:$J$1208,0)),0)-$AF261))</f>
        <v/>
      </c>
      <c r="AH261" s="10">
        <f>IF($A261="","",$AF261+$AG261)</f>
        <v/>
      </c>
      <c r="AI261" s="6" t="n"/>
      <c r="AJ261" s="6" t="n"/>
      <c r="AK261" s="6" t="n"/>
      <c r="AL261" s="3">
        <f>IF($AK261="","",HYPERLINK(p_ruta_base_checklists&amp;$AK261,"abrir"))</f>
        <v/>
      </c>
      <c r="AM261" s="6" t="n"/>
      <c r="AN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1" t="n"/>
      <c r="K262" s="3" t="n"/>
      <c r="L262" s="10" t="n"/>
      <c r="M262" s="3">
        <f>IF($A262="","",IFERROR(INDEX('AJUSTES'!$B$4:$B$303,MATCH($AN262,'AJUSTES'!$A$4:$A$303,0)),IF($K262="","",$K262)))</f>
        <v/>
      </c>
      <c r="N262" s="3">
        <f>IF($A262="","",IFERROR(INDEX('CAT_ESTADOS_ERP'!$B$4:$B$7,MATCH(IFERROR(INDEX('2_IMPORTAR_EJECUCION'!$C$9:$C$1208,MATCH($AN262,'2_IMPORTAR_EJECUCION'!$J$9:$J$1208,0)),""),'CAT_ESTADOS_ERP'!$A$4:$A$7,0)),"Pendiente"))</f>
        <v/>
      </c>
      <c r="O262" s="3">
        <f>IF($J262="","",YEAR($J262+4-WEEKDAY($J262,2))&amp;"-S"&amp;TEXT(_xlfn.ISOWEEKNUM($J262),"00"))</f>
        <v/>
      </c>
      <c r="P262" s="3">
        <f>IF($J262="","",YEAR($J262))</f>
        <v/>
      </c>
      <c r="Q262" s="3">
        <f>IF($J262="","",MONTH($J262))</f>
        <v/>
      </c>
      <c r="R262" s="3">
        <f>IF($J262="","",INDEX(lista_dias,WEEKDAY($J262,2)))</f>
        <v/>
      </c>
      <c r="S262" s="3">
        <f>IF($I262="","",IFERROR(INDEX('CAT_TIPOS_OT'!$C$4:$C$7,MATCH($I262,'CAT_TIPOS_OT'!$A$4:$A$7,0)),"sin_clasificar"))</f>
        <v/>
      </c>
      <c r="T262" s="3">
        <f>IF($F262="","",IFERROR(INDEX('CAT_CENTROS_COSTO'!$E$4:$E$9,MATCH($F262,'CAT_CENTROS_COSTO'!$A$4:$A$9,0)),"(sin catálogo)"))</f>
        <v/>
      </c>
      <c r="U262" s="3">
        <f>IF($F262="","",IFERROR(INDEX('CAT_CENTROS_COSTO'!$D$4:$D$9,MATCH($F262,'CAT_CENTROS_COSTO'!$A$4:$A$9,0)),"(sin catálogo)"))</f>
        <v/>
      </c>
      <c r="V262" s="3">
        <f>IF($F262="","",IFERROR(INDEX('CAT_CENTROS_COSTO'!$F$4:$F$9,MATCH($F262,'CAT_CENTROS_COSTO'!$A$4:$A$9,0)),"(sin catálogo)"))</f>
        <v/>
      </c>
      <c r="W262" s="3">
        <f>IF($G262="","",IFERROR(INDEX('CAT_PUESTOS'!$B$4:$B$8,MATCH($G262,'CAT_PUESTOS'!$A$4:$A$8,0)),"(sin catálogo)"))</f>
        <v/>
      </c>
      <c r="X262" s="3">
        <f>IF($H262="","",IFERROR(INDEX('CAT_ACTIVIDADES'!$B$4:$B$8,MATCH($H262,'CAT_ACTIVIDADES'!$A$4:$A$8,0)),"(sin catálogo)"))</f>
        <v/>
      </c>
      <c r="Y262" s="12">
        <f>IF($J262="","",TODAY()-$J262)</f>
        <v/>
      </c>
      <c r="Z262" s="3">
        <f>IF($Y262="","",IF($Y262&lt;0,"FUTURO",IF($Y262&gt;p_dias_backlog_max,"BACKLOG","MES CORRIENTE")))</f>
        <v/>
      </c>
      <c r="AA262" s="3">
        <f>IF($Y262="",FALSE,AND($Y262&gt;p_dias_backlog_min,$Y262&lt;=p_dias_backlog_max))</f>
        <v/>
      </c>
      <c r="AB262" s="6" t="n"/>
      <c r="AC262" s="3">
        <f>IF($AB262="","",IFERROR(INDEX('ASIGNACIONES'!$F$4:$F$339,MATCH($O262&amp;"|"&amp;$R262&amp;"|"&amp;$AB262,'ASIGNACIONES'!$I$4:$I$339,0)),""))</f>
        <v/>
      </c>
      <c r="AD262" s="13">
        <f>IF($AB262="","",SUMIFS('ORDENES'!$M$4:$M$1203,'ORDENES'!$AB$4:$AB$1203,$AB262,'ORDENES'!$O$4:$O$1203,$O262,'ORDENES'!$R$4:$R$1203,$R262))</f>
        <v/>
      </c>
      <c r="AE262" s="13">
        <f>IF($AD262="","",p_factor_productividad*IFERROR(INDEX('ASIGNACIONES'!$H$4:$H$339,MATCH($O262&amp;"|"&amp;$R262&amp;"|"&amp;$AB262,'ASIGNACIONES'!$I$4:$I$339,0)),0)-$AD262)</f>
        <v/>
      </c>
      <c r="AF262" s="10">
        <f>IF($A262="","",IFERROR(INDEX('2_IMPORTAR_EJECUCION'!$F$9:$F$1208,MATCH($AN262,'2_IMPORTAR_EJECUCION'!$J$9:$J$1208,0)),0))</f>
        <v/>
      </c>
      <c r="AG262" s="10">
        <f>IF($A262="","",MAX(0,IFERROR(INDEX('2_IMPORTAR_EJECUCION'!$H$9:$H$1208,MATCH($AN262,'2_IMPORTAR_EJECUCION'!$J$9:$J$1208,0)),0)-$AF262))</f>
        <v/>
      </c>
      <c r="AH262" s="10">
        <f>IF($A262="","",$AF262+$AG262)</f>
        <v/>
      </c>
      <c r="AI262" s="6" t="n"/>
      <c r="AJ262" s="6" t="n"/>
      <c r="AK262" s="6" t="n"/>
      <c r="AL262" s="3">
        <f>IF($AK262="","",HYPERLINK(p_ruta_base_checklists&amp;$AK262,"abrir"))</f>
        <v/>
      </c>
      <c r="AM262" s="6" t="n"/>
      <c r="AN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1" t="n"/>
      <c r="K263" s="3" t="n"/>
      <c r="L263" s="10" t="n"/>
      <c r="M263" s="3">
        <f>IF($A263="","",IFERROR(INDEX('AJUSTES'!$B$4:$B$303,MATCH($AN263,'AJUSTES'!$A$4:$A$303,0)),IF($K263="","",$K263)))</f>
        <v/>
      </c>
      <c r="N263" s="3">
        <f>IF($A263="","",IFERROR(INDEX('CAT_ESTADOS_ERP'!$B$4:$B$7,MATCH(IFERROR(INDEX('2_IMPORTAR_EJECUCION'!$C$9:$C$1208,MATCH($AN263,'2_IMPORTAR_EJECUCION'!$J$9:$J$1208,0)),""),'CAT_ESTADOS_ERP'!$A$4:$A$7,0)),"Pendiente"))</f>
        <v/>
      </c>
      <c r="O263" s="3">
        <f>IF($J263="","",YEAR($J263+4-WEEKDAY($J263,2))&amp;"-S"&amp;TEXT(_xlfn.ISOWEEKNUM($J263),"00"))</f>
        <v/>
      </c>
      <c r="P263" s="3">
        <f>IF($J263="","",YEAR($J263))</f>
        <v/>
      </c>
      <c r="Q263" s="3">
        <f>IF($J263="","",MONTH($J263))</f>
        <v/>
      </c>
      <c r="R263" s="3">
        <f>IF($J263="","",INDEX(lista_dias,WEEKDAY($J263,2)))</f>
        <v/>
      </c>
      <c r="S263" s="3">
        <f>IF($I263="","",IFERROR(INDEX('CAT_TIPOS_OT'!$C$4:$C$7,MATCH($I263,'CAT_TIPOS_OT'!$A$4:$A$7,0)),"sin_clasificar"))</f>
        <v/>
      </c>
      <c r="T263" s="3">
        <f>IF($F263="","",IFERROR(INDEX('CAT_CENTROS_COSTO'!$E$4:$E$9,MATCH($F263,'CAT_CENTROS_COSTO'!$A$4:$A$9,0)),"(sin catálogo)"))</f>
        <v/>
      </c>
      <c r="U263" s="3">
        <f>IF($F263="","",IFERROR(INDEX('CAT_CENTROS_COSTO'!$D$4:$D$9,MATCH($F263,'CAT_CENTROS_COSTO'!$A$4:$A$9,0)),"(sin catálogo)"))</f>
        <v/>
      </c>
      <c r="V263" s="3">
        <f>IF($F263="","",IFERROR(INDEX('CAT_CENTROS_COSTO'!$F$4:$F$9,MATCH($F263,'CAT_CENTROS_COSTO'!$A$4:$A$9,0)),"(sin catálogo)"))</f>
        <v/>
      </c>
      <c r="W263" s="3">
        <f>IF($G263="","",IFERROR(INDEX('CAT_PUESTOS'!$B$4:$B$8,MATCH($G263,'CAT_PUESTOS'!$A$4:$A$8,0)),"(sin catálogo)"))</f>
        <v/>
      </c>
      <c r="X263" s="3">
        <f>IF($H263="","",IFERROR(INDEX('CAT_ACTIVIDADES'!$B$4:$B$8,MATCH($H263,'CAT_ACTIVIDADES'!$A$4:$A$8,0)),"(sin catálogo)"))</f>
        <v/>
      </c>
      <c r="Y263" s="12">
        <f>IF($J263="","",TODAY()-$J263)</f>
        <v/>
      </c>
      <c r="Z263" s="3">
        <f>IF($Y263="","",IF($Y263&lt;0,"FUTURO",IF($Y263&gt;p_dias_backlog_max,"BACKLOG","MES CORRIENTE")))</f>
        <v/>
      </c>
      <c r="AA263" s="3">
        <f>IF($Y263="",FALSE,AND($Y263&gt;p_dias_backlog_min,$Y263&lt;=p_dias_backlog_max))</f>
        <v/>
      </c>
      <c r="AB263" s="6" t="n"/>
      <c r="AC263" s="3">
        <f>IF($AB263="","",IFERROR(INDEX('ASIGNACIONES'!$F$4:$F$339,MATCH($O263&amp;"|"&amp;$R263&amp;"|"&amp;$AB263,'ASIGNACIONES'!$I$4:$I$339,0)),""))</f>
        <v/>
      </c>
      <c r="AD263" s="13">
        <f>IF($AB263="","",SUMIFS('ORDENES'!$M$4:$M$1203,'ORDENES'!$AB$4:$AB$1203,$AB263,'ORDENES'!$O$4:$O$1203,$O263,'ORDENES'!$R$4:$R$1203,$R263))</f>
        <v/>
      </c>
      <c r="AE263" s="13">
        <f>IF($AD263="","",p_factor_productividad*IFERROR(INDEX('ASIGNACIONES'!$H$4:$H$339,MATCH($O263&amp;"|"&amp;$R263&amp;"|"&amp;$AB263,'ASIGNACIONES'!$I$4:$I$339,0)),0)-$AD263)</f>
        <v/>
      </c>
      <c r="AF263" s="10">
        <f>IF($A263="","",IFERROR(INDEX('2_IMPORTAR_EJECUCION'!$F$9:$F$1208,MATCH($AN263,'2_IMPORTAR_EJECUCION'!$J$9:$J$1208,0)),0))</f>
        <v/>
      </c>
      <c r="AG263" s="10">
        <f>IF($A263="","",MAX(0,IFERROR(INDEX('2_IMPORTAR_EJECUCION'!$H$9:$H$1208,MATCH($AN263,'2_IMPORTAR_EJECUCION'!$J$9:$J$1208,0)),0)-$AF263))</f>
        <v/>
      </c>
      <c r="AH263" s="10">
        <f>IF($A263="","",$AF263+$AG263)</f>
        <v/>
      </c>
      <c r="AI263" s="6" t="n"/>
      <c r="AJ263" s="6" t="n"/>
      <c r="AK263" s="6" t="n"/>
      <c r="AL263" s="3">
        <f>IF($AK263="","",HYPERLINK(p_ruta_base_checklists&amp;$AK263,"abrir"))</f>
        <v/>
      </c>
      <c r="AM263" s="6" t="n"/>
      <c r="AN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1" t="n"/>
      <c r="K264" s="3" t="n"/>
      <c r="L264" s="10" t="n"/>
      <c r="M264" s="3">
        <f>IF($A264="","",IFERROR(INDEX('AJUSTES'!$B$4:$B$303,MATCH($AN264,'AJUSTES'!$A$4:$A$303,0)),IF($K264="","",$K264)))</f>
        <v/>
      </c>
      <c r="N264" s="3">
        <f>IF($A264="","",IFERROR(INDEX('CAT_ESTADOS_ERP'!$B$4:$B$7,MATCH(IFERROR(INDEX('2_IMPORTAR_EJECUCION'!$C$9:$C$1208,MATCH($AN264,'2_IMPORTAR_EJECUCION'!$J$9:$J$1208,0)),""),'CAT_ESTADOS_ERP'!$A$4:$A$7,0)),"Pendiente"))</f>
        <v/>
      </c>
      <c r="O264" s="3">
        <f>IF($J264="","",YEAR($J264+4-WEEKDAY($J264,2))&amp;"-S"&amp;TEXT(_xlfn.ISOWEEKNUM($J264),"00"))</f>
        <v/>
      </c>
      <c r="P264" s="3">
        <f>IF($J264="","",YEAR($J264))</f>
        <v/>
      </c>
      <c r="Q264" s="3">
        <f>IF($J264="","",MONTH($J264))</f>
        <v/>
      </c>
      <c r="R264" s="3">
        <f>IF($J264="","",INDEX(lista_dias,WEEKDAY($J264,2)))</f>
        <v/>
      </c>
      <c r="S264" s="3">
        <f>IF($I264="","",IFERROR(INDEX('CAT_TIPOS_OT'!$C$4:$C$7,MATCH($I264,'CAT_TIPOS_OT'!$A$4:$A$7,0)),"sin_clasificar"))</f>
        <v/>
      </c>
      <c r="T264" s="3">
        <f>IF($F264="","",IFERROR(INDEX('CAT_CENTROS_COSTO'!$E$4:$E$9,MATCH($F264,'CAT_CENTROS_COSTO'!$A$4:$A$9,0)),"(sin catálogo)"))</f>
        <v/>
      </c>
      <c r="U264" s="3">
        <f>IF($F264="","",IFERROR(INDEX('CAT_CENTROS_COSTO'!$D$4:$D$9,MATCH($F264,'CAT_CENTROS_COSTO'!$A$4:$A$9,0)),"(sin catálogo)"))</f>
        <v/>
      </c>
      <c r="V264" s="3">
        <f>IF($F264="","",IFERROR(INDEX('CAT_CENTROS_COSTO'!$F$4:$F$9,MATCH($F264,'CAT_CENTROS_COSTO'!$A$4:$A$9,0)),"(sin catálogo)"))</f>
        <v/>
      </c>
      <c r="W264" s="3">
        <f>IF($G264="","",IFERROR(INDEX('CAT_PUESTOS'!$B$4:$B$8,MATCH($G264,'CAT_PUESTOS'!$A$4:$A$8,0)),"(sin catálogo)"))</f>
        <v/>
      </c>
      <c r="X264" s="3">
        <f>IF($H264="","",IFERROR(INDEX('CAT_ACTIVIDADES'!$B$4:$B$8,MATCH($H264,'CAT_ACTIVIDADES'!$A$4:$A$8,0)),"(sin catálogo)"))</f>
        <v/>
      </c>
      <c r="Y264" s="12">
        <f>IF($J264="","",TODAY()-$J264)</f>
        <v/>
      </c>
      <c r="Z264" s="3">
        <f>IF($Y264="","",IF($Y264&lt;0,"FUTURO",IF($Y264&gt;p_dias_backlog_max,"BACKLOG","MES CORRIENTE")))</f>
        <v/>
      </c>
      <c r="AA264" s="3">
        <f>IF($Y264="",FALSE,AND($Y264&gt;p_dias_backlog_min,$Y264&lt;=p_dias_backlog_max))</f>
        <v/>
      </c>
      <c r="AB264" s="6" t="n"/>
      <c r="AC264" s="3">
        <f>IF($AB264="","",IFERROR(INDEX('ASIGNACIONES'!$F$4:$F$339,MATCH($O264&amp;"|"&amp;$R264&amp;"|"&amp;$AB264,'ASIGNACIONES'!$I$4:$I$339,0)),""))</f>
        <v/>
      </c>
      <c r="AD264" s="13">
        <f>IF($AB264="","",SUMIFS('ORDENES'!$M$4:$M$1203,'ORDENES'!$AB$4:$AB$1203,$AB264,'ORDENES'!$O$4:$O$1203,$O264,'ORDENES'!$R$4:$R$1203,$R264))</f>
        <v/>
      </c>
      <c r="AE264" s="13">
        <f>IF($AD264="","",p_factor_productividad*IFERROR(INDEX('ASIGNACIONES'!$H$4:$H$339,MATCH($O264&amp;"|"&amp;$R264&amp;"|"&amp;$AB264,'ASIGNACIONES'!$I$4:$I$339,0)),0)-$AD264)</f>
        <v/>
      </c>
      <c r="AF264" s="10">
        <f>IF($A264="","",IFERROR(INDEX('2_IMPORTAR_EJECUCION'!$F$9:$F$1208,MATCH($AN264,'2_IMPORTAR_EJECUCION'!$J$9:$J$1208,0)),0))</f>
        <v/>
      </c>
      <c r="AG264" s="10">
        <f>IF($A264="","",MAX(0,IFERROR(INDEX('2_IMPORTAR_EJECUCION'!$H$9:$H$1208,MATCH($AN264,'2_IMPORTAR_EJECUCION'!$J$9:$J$1208,0)),0)-$AF264))</f>
        <v/>
      </c>
      <c r="AH264" s="10">
        <f>IF($A264="","",$AF264+$AG264)</f>
        <v/>
      </c>
      <c r="AI264" s="6" t="n"/>
      <c r="AJ264" s="6" t="n"/>
      <c r="AK264" s="6" t="n"/>
      <c r="AL264" s="3">
        <f>IF($AK264="","",HYPERLINK(p_ruta_base_checklists&amp;$AK264,"abrir"))</f>
        <v/>
      </c>
      <c r="AM264" s="6" t="n"/>
      <c r="AN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1" t="n"/>
      <c r="K265" s="3" t="n"/>
      <c r="L265" s="10" t="n"/>
      <c r="M265" s="3">
        <f>IF($A265="","",IFERROR(INDEX('AJUSTES'!$B$4:$B$303,MATCH($AN265,'AJUSTES'!$A$4:$A$303,0)),IF($K265="","",$K265)))</f>
        <v/>
      </c>
      <c r="N265" s="3">
        <f>IF($A265="","",IFERROR(INDEX('CAT_ESTADOS_ERP'!$B$4:$B$7,MATCH(IFERROR(INDEX('2_IMPORTAR_EJECUCION'!$C$9:$C$1208,MATCH($AN265,'2_IMPORTAR_EJECUCION'!$J$9:$J$1208,0)),""),'CAT_ESTADOS_ERP'!$A$4:$A$7,0)),"Pendiente"))</f>
        <v/>
      </c>
      <c r="O265" s="3">
        <f>IF($J265="","",YEAR($J265+4-WEEKDAY($J265,2))&amp;"-S"&amp;TEXT(_xlfn.ISOWEEKNUM($J265),"00"))</f>
        <v/>
      </c>
      <c r="P265" s="3">
        <f>IF($J265="","",YEAR($J265))</f>
        <v/>
      </c>
      <c r="Q265" s="3">
        <f>IF($J265="","",MONTH($J265))</f>
        <v/>
      </c>
      <c r="R265" s="3">
        <f>IF($J265="","",INDEX(lista_dias,WEEKDAY($J265,2)))</f>
        <v/>
      </c>
      <c r="S265" s="3">
        <f>IF($I265="","",IFERROR(INDEX('CAT_TIPOS_OT'!$C$4:$C$7,MATCH($I265,'CAT_TIPOS_OT'!$A$4:$A$7,0)),"sin_clasificar"))</f>
        <v/>
      </c>
      <c r="T265" s="3">
        <f>IF($F265="","",IFERROR(INDEX('CAT_CENTROS_COSTO'!$E$4:$E$9,MATCH($F265,'CAT_CENTROS_COSTO'!$A$4:$A$9,0)),"(sin catálogo)"))</f>
        <v/>
      </c>
      <c r="U265" s="3">
        <f>IF($F265="","",IFERROR(INDEX('CAT_CENTROS_COSTO'!$D$4:$D$9,MATCH($F265,'CAT_CENTROS_COSTO'!$A$4:$A$9,0)),"(sin catálogo)"))</f>
        <v/>
      </c>
      <c r="V265" s="3">
        <f>IF($F265="","",IFERROR(INDEX('CAT_CENTROS_COSTO'!$F$4:$F$9,MATCH($F265,'CAT_CENTROS_COSTO'!$A$4:$A$9,0)),"(sin catálogo)"))</f>
        <v/>
      </c>
      <c r="W265" s="3">
        <f>IF($G265="","",IFERROR(INDEX('CAT_PUESTOS'!$B$4:$B$8,MATCH($G265,'CAT_PUESTOS'!$A$4:$A$8,0)),"(sin catálogo)"))</f>
        <v/>
      </c>
      <c r="X265" s="3">
        <f>IF($H265="","",IFERROR(INDEX('CAT_ACTIVIDADES'!$B$4:$B$8,MATCH($H265,'CAT_ACTIVIDADES'!$A$4:$A$8,0)),"(sin catálogo)"))</f>
        <v/>
      </c>
      <c r="Y265" s="12">
        <f>IF($J265="","",TODAY()-$J265)</f>
        <v/>
      </c>
      <c r="Z265" s="3">
        <f>IF($Y265="","",IF($Y265&lt;0,"FUTURO",IF($Y265&gt;p_dias_backlog_max,"BACKLOG","MES CORRIENTE")))</f>
        <v/>
      </c>
      <c r="AA265" s="3">
        <f>IF($Y265="",FALSE,AND($Y265&gt;p_dias_backlog_min,$Y265&lt;=p_dias_backlog_max))</f>
        <v/>
      </c>
      <c r="AB265" s="6" t="n"/>
      <c r="AC265" s="3">
        <f>IF($AB265="","",IFERROR(INDEX('ASIGNACIONES'!$F$4:$F$339,MATCH($O265&amp;"|"&amp;$R265&amp;"|"&amp;$AB265,'ASIGNACIONES'!$I$4:$I$339,0)),""))</f>
        <v/>
      </c>
      <c r="AD265" s="13">
        <f>IF($AB265="","",SUMIFS('ORDENES'!$M$4:$M$1203,'ORDENES'!$AB$4:$AB$1203,$AB265,'ORDENES'!$O$4:$O$1203,$O265,'ORDENES'!$R$4:$R$1203,$R265))</f>
        <v/>
      </c>
      <c r="AE265" s="13">
        <f>IF($AD265="","",p_factor_productividad*IFERROR(INDEX('ASIGNACIONES'!$H$4:$H$339,MATCH($O265&amp;"|"&amp;$R265&amp;"|"&amp;$AB265,'ASIGNACIONES'!$I$4:$I$339,0)),0)-$AD265)</f>
        <v/>
      </c>
      <c r="AF265" s="10">
        <f>IF($A265="","",IFERROR(INDEX('2_IMPORTAR_EJECUCION'!$F$9:$F$1208,MATCH($AN265,'2_IMPORTAR_EJECUCION'!$J$9:$J$1208,0)),0))</f>
        <v/>
      </c>
      <c r="AG265" s="10">
        <f>IF($A265="","",MAX(0,IFERROR(INDEX('2_IMPORTAR_EJECUCION'!$H$9:$H$1208,MATCH($AN265,'2_IMPORTAR_EJECUCION'!$J$9:$J$1208,0)),0)-$AF265))</f>
        <v/>
      </c>
      <c r="AH265" s="10">
        <f>IF($A265="","",$AF265+$AG265)</f>
        <v/>
      </c>
      <c r="AI265" s="6" t="n"/>
      <c r="AJ265" s="6" t="n"/>
      <c r="AK265" s="6" t="n"/>
      <c r="AL265" s="3">
        <f>IF($AK265="","",HYPERLINK(p_ruta_base_checklists&amp;$AK265,"abrir"))</f>
        <v/>
      </c>
      <c r="AM265" s="6" t="n"/>
      <c r="AN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1" t="n"/>
      <c r="K266" s="3" t="n"/>
      <c r="L266" s="10" t="n"/>
      <c r="M266" s="3">
        <f>IF($A266="","",IFERROR(INDEX('AJUSTES'!$B$4:$B$303,MATCH($AN266,'AJUSTES'!$A$4:$A$303,0)),IF($K266="","",$K266)))</f>
        <v/>
      </c>
      <c r="N266" s="3">
        <f>IF($A266="","",IFERROR(INDEX('CAT_ESTADOS_ERP'!$B$4:$B$7,MATCH(IFERROR(INDEX('2_IMPORTAR_EJECUCION'!$C$9:$C$1208,MATCH($AN266,'2_IMPORTAR_EJECUCION'!$J$9:$J$1208,0)),""),'CAT_ESTADOS_ERP'!$A$4:$A$7,0)),"Pendiente"))</f>
        <v/>
      </c>
      <c r="O266" s="3">
        <f>IF($J266="","",YEAR($J266+4-WEEKDAY($J266,2))&amp;"-S"&amp;TEXT(_xlfn.ISOWEEKNUM($J266),"00"))</f>
        <v/>
      </c>
      <c r="P266" s="3">
        <f>IF($J266="","",YEAR($J266))</f>
        <v/>
      </c>
      <c r="Q266" s="3">
        <f>IF($J266="","",MONTH($J266))</f>
        <v/>
      </c>
      <c r="R266" s="3">
        <f>IF($J266="","",INDEX(lista_dias,WEEKDAY($J266,2)))</f>
        <v/>
      </c>
      <c r="S266" s="3">
        <f>IF($I266="","",IFERROR(INDEX('CAT_TIPOS_OT'!$C$4:$C$7,MATCH($I266,'CAT_TIPOS_OT'!$A$4:$A$7,0)),"sin_clasificar"))</f>
        <v/>
      </c>
      <c r="T266" s="3">
        <f>IF($F266="","",IFERROR(INDEX('CAT_CENTROS_COSTO'!$E$4:$E$9,MATCH($F266,'CAT_CENTROS_COSTO'!$A$4:$A$9,0)),"(sin catálogo)"))</f>
        <v/>
      </c>
      <c r="U266" s="3">
        <f>IF($F266="","",IFERROR(INDEX('CAT_CENTROS_COSTO'!$D$4:$D$9,MATCH($F266,'CAT_CENTROS_COSTO'!$A$4:$A$9,0)),"(sin catálogo)"))</f>
        <v/>
      </c>
      <c r="V266" s="3">
        <f>IF($F266="","",IFERROR(INDEX('CAT_CENTROS_COSTO'!$F$4:$F$9,MATCH($F266,'CAT_CENTROS_COSTO'!$A$4:$A$9,0)),"(sin catálogo)"))</f>
        <v/>
      </c>
      <c r="W266" s="3">
        <f>IF($G266="","",IFERROR(INDEX('CAT_PUESTOS'!$B$4:$B$8,MATCH($G266,'CAT_PUESTOS'!$A$4:$A$8,0)),"(sin catálogo)"))</f>
        <v/>
      </c>
      <c r="X266" s="3">
        <f>IF($H266="","",IFERROR(INDEX('CAT_ACTIVIDADES'!$B$4:$B$8,MATCH($H266,'CAT_ACTIVIDADES'!$A$4:$A$8,0)),"(sin catálogo)"))</f>
        <v/>
      </c>
      <c r="Y266" s="12">
        <f>IF($J266="","",TODAY()-$J266)</f>
        <v/>
      </c>
      <c r="Z266" s="3">
        <f>IF($Y266="","",IF($Y266&lt;0,"FUTURO",IF($Y266&gt;p_dias_backlog_max,"BACKLOG","MES CORRIENTE")))</f>
        <v/>
      </c>
      <c r="AA266" s="3">
        <f>IF($Y266="",FALSE,AND($Y266&gt;p_dias_backlog_min,$Y266&lt;=p_dias_backlog_max))</f>
        <v/>
      </c>
      <c r="AB266" s="6" t="n"/>
      <c r="AC266" s="3">
        <f>IF($AB266="","",IFERROR(INDEX('ASIGNACIONES'!$F$4:$F$339,MATCH($O266&amp;"|"&amp;$R266&amp;"|"&amp;$AB266,'ASIGNACIONES'!$I$4:$I$339,0)),""))</f>
        <v/>
      </c>
      <c r="AD266" s="13">
        <f>IF($AB266="","",SUMIFS('ORDENES'!$M$4:$M$1203,'ORDENES'!$AB$4:$AB$1203,$AB266,'ORDENES'!$O$4:$O$1203,$O266,'ORDENES'!$R$4:$R$1203,$R266))</f>
        <v/>
      </c>
      <c r="AE266" s="13">
        <f>IF($AD266="","",p_factor_productividad*IFERROR(INDEX('ASIGNACIONES'!$H$4:$H$339,MATCH($O266&amp;"|"&amp;$R266&amp;"|"&amp;$AB266,'ASIGNACIONES'!$I$4:$I$339,0)),0)-$AD266)</f>
        <v/>
      </c>
      <c r="AF266" s="10">
        <f>IF($A266="","",IFERROR(INDEX('2_IMPORTAR_EJECUCION'!$F$9:$F$1208,MATCH($AN266,'2_IMPORTAR_EJECUCION'!$J$9:$J$1208,0)),0))</f>
        <v/>
      </c>
      <c r="AG266" s="10">
        <f>IF($A266="","",MAX(0,IFERROR(INDEX('2_IMPORTAR_EJECUCION'!$H$9:$H$1208,MATCH($AN266,'2_IMPORTAR_EJECUCION'!$J$9:$J$1208,0)),0)-$AF266))</f>
        <v/>
      </c>
      <c r="AH266" s="10">
        <f>IF($A266="","",$AF266+$AG266)</f>
        <v/>
      </c>
      <c r="AI266" s="6" t="n"/>
      <c r="AJ266" s="6" t="n"/>
      <c r="AK266" s="6" t="n"/>
      <c r="AL266" s="3">
        <f>IF($AK266="","",HYPERLINK(p_ruta_base_checklists&amp;$AK266,"abrir"))</f>
        <v/>
      </c>
      <c r="AM266" s="6" t="n"/>
      <c r="AN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1" t="n"/>
      <c r="K267" s="3" t="n"/>
      <c r="L267" s="10" t="n"/>
      <c r="M267" s="3">
        <f>IF($A267="","",IFERROR(INDEX('AJUSTES'!$B$4:$B$303,MATCH($AN267,'AJUSTES'!$A$4:$A$303,0)),IF($K267="","",$K267)))</f>
        <v/>
      </c>
      <c r="N267" s="3">
        <f>IF($A267="","",IFERROR(INDEX('CAT_ESTADOS_ERP'!$B$4:$B$7,MATCH(IFERROR(INDEX('2_IMPORTAR_EJECUCION'!$C$9:$C$1208,MATCH($AN267,'2_IMPORTAR_EJECUCION'!$J$9:$J$1208,0)),""),'CAT_ESTADOS_ERP'!$A$4:$A$7,0)),"Pendiente"))</f>
        <v/>
      </c>
      <c r="O267" s="3">
        <f>IF($J267="","",YEAR($J267+4-WEEKDAY($J267,2))&amp;"-S"&amp;TEXT(_xlfn.ISOWEEKNUM($J267),"00"))</f>
        <v/>
      </c>
      <c r="P267" s="3">
        <f>IF($J267="","",YEAR($J267))</f>
        <v/>
      </c>
      <c r="Q267" s="3">
        <f>IF($J267="","",MONTH($J267))</f>
        <v/>
      </c>
      <c r="R267" s="3">
        <f>IF($J267="","",INDEX(lista_dias,WEEKDAY($J267,2)))</f>
        <v/>
      </c>
      <c r="S267" s="3">
        <f>IF($I267="","",IFERROR(INDEX('CAT_TIPOS_OT'!$C$4:$C$7,MATCH($I267,'CAT_TIPOS_OT'!$A$4:$A$7,0)),"sin_clasificar"))</f>
        <v/>
      </c>
      <c r="T267" s="3">
        <f>IF($F267="","",IFERROR(INDEX('CAT_CENTROS_COSTO'!$E$4:$E$9,MATCH($F267,'CAT_CENTROS_COSTO'!$A$4:$A$9,0)),"(sin catálogo)"))</f>
        <v/>
      </c>
      <c r="U267" s="3">
        <f>IF($F267="","",IFERROR(INDEX('CAT_CENTROS_COSTO'!$D$4:$D$9,MATCH($F267,'CAT_CENTROS_COSTO'!$A$4:$A$9,0)),"(sin catálogo)"))</f>
        <v/>
      </c>
      <c r="V267" s="3">
        <f>IF($F267="","",IFERROR(INDEX('CAT_CENTROS_COSTO'!$F$4:$F$9,MATCH($F267,'CAT_CENTROS_COSTO'!$A$4:$A$9,0)),"(sin catálogo)"))</f>
        <v/>
      </c>
      <c r="W267" s="3">
        <f>IF($G267="","",IFERROR(INDEX('CAT_PUESTOS'!$B$4:$B$8,MATCH($G267,'CAT_PUESTOS'!$A$4:$A$8,0)),"(sin catálogo)"))</f>
        <v/>
      </c>
      <c r="X267" s="3">
        <f>IF($H267="","",IFERROR(INDEX('CAT_ACTIVIDADES'!$B$4:$B$8,MATCH($H267,'CAT_ACTIVIDADES'!$A$4:$A$8,0)),"(sin catálogo)"))</f>
        <v/>
      </c>
      <c r="Y267" s="12">
        <f>IF($J267="","",TODAY()-$J267)</f>
        <v/>
      </c>
      <c r="Z267" s="3">
        <f>IF($Y267="","",IF($Y267&lt;0,"FUTURO",IF($Y267&gt;p_dias_backlog_max,"BACKLOG","MES CORRIENTE")))</f>
        <v/>
      </c>
      <c r="AA267" s="3">
        <f>IF($Y267="",FALSE,AND($Y267&gt;p_dias_backlog_min,$Y267&lt;=p_dias_backlog_max))</f>
        <v/>
      </c>
      <c r="AB267" s="6" t="n"/>
      <c r="AC267" s="3">
        <f>IF($AB267="","",IFERROR(INDEX('ASIGNACIONES'!$F$4:$F$339,MATCH($O267&amp;"|"&amp;$R267&amp;"|"&amp;$AB267,'ASIGNACIONES'!$I$4:$I$339,0)),""))</f>
        <v/>
      </c>
      <c r="AD267" s="13">
        <f>IF($AB267="","",SUMIFS('ORDENES'!$M$4:$M$1203,'ORDENES'!$AB$4:$AB$1203,$AB267,'ORDENES'!$O$4:$O$1203,$O267,'ORDENES'!$R$4:$R$1203,$R267))</f>
        <v/>
      </c>
      <c r="AE267" s="13">
        <f>IF($AD267="","",p_factor_productividad*IFERROR(INDEX('ASIGNACIONES'!$H$4:$H$339,MATCH($O267&amp;"|"&amp;$R267&amp;"|"&amp;$AB267,'ASIGNACIONES'!$I$4:$I$339,0)),0)-$AD267)</f>
        <v/>
      </c>
      <c r="AF267" s="10">
        <f>IF($A267="","",IFERROR(INDEX('2_IMPORTAR_EJECUCION'!$F$9:$F$1208,MATCH($AN267,'2_IMPORTAR_EJECUCION'!$J$9:$J$1208,0)),0))</f>
        <v/>
      </c>
      <c r="AG267" s="10">
        <f>IF($A267="","",MAX(0,IFERROR(INDEX('2_IMPORTAR_EJECUCION'!$H$9:$H$1208,MATCH($AN267,'2_IMPORTAR_EJECUCION'!$J$9:$J$1208,0)),0)-$AF267))</f>
        <v/>
      </c>
      <c r="AH267" s="10">
        <f>IF($A267="","",$AF267+$AG267)</f>
        <v/>
      </c>
      <c r="AI267" s="6" t="n"/>
      <c r="AJ267" s="6" t="n"/>
      <c r="AK267" s="6" t="n"/>
      <c r="AL267" s="3">
        <f>IF($AK267="","",HYPERLINK(p_ruta_base_checklists&amp;$AK267,"abrir"))</f>
        <v/>
      </c>
      <c r="AM267" s="6" t="n"/>
      <c r="AN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1" t="n"/>
      <c r="K268" s="3" t="n"/>
      <c r="L268" s="10" t="n"/>
      <c r="M268" s="3">
        <f>IF($A268="","",IFERROR(INDEX('AJUSTES'!$B$4:$B$303,MATCH($AN268,'AJUSTES'!$A$4:$A$303,0)),IF($K268="","",$K268)))</f>
        <v/>
      </c>
      <c r="N268" s="3">
        <f>IF($A268="","",IFERROR(INDEX('CAT_ESTADOS_ERP'!$B$4:$B$7,MATCH(IFERROR(INDEX('2_IMPORTAR_EJECUCION'!$C$9:$C$1208,MATCH($AN268,'2_IMPORTAR_EJECUCION'!$J$9:$J$1208,0)),""),'CAT_ESTADOS_ERP'!$A$4:$A$7,0)),"Pendiente"))</f>
        <v/>
      </c>
      <c r="O268" s="3">
        <f>IF($J268="","",YEAR($J268+4-WEEKDAY($J268,2))&amp;"-S"&amp;TEXT(_xlfn.ISOWEEKNUM($J268),"00"))</f>
        <v/>
      </c>
      <c r="P268" s="3">
        <f>IF($J268="","",YEAR($J268))</f>
        <v/>
      </c>
      <c r="Q268" s="3">
        <f>IF($J268="","",MONTH($J268))</f>
        <v/>
      </c>
      <c r="R268" s="3">
        <f>IF($J268="","",INDEX(lista_dias,WEEKDAY($J268,2)))</f>
        <v/>
      </c>
      <c r="S268" s="3">
        <f>IF($I268="","",IFERROR(INDEX('CAT_TIPOS_OT'!$C$4:$C$7,MATCH($I268,'CAT_TIPOS_OT'!$A$4:$A$7,0)),"sin_clasificar"))</f>
        <v/>
      </c>
      <c r="T268" s="3">
        <f>IF($F268="","",IFERROR(INDEX('CAT_CENTROS_COSTO'!$E$4:$E$9,MATCH($F268,'CAT_CENTROS_COSTO'!$A$4:$A$9,0)),"(sin catálogo)"))</f>
        <v/>
      </c>
      <c r="U268" s="3">
        <f>IF($F268="","",IFERROR(INDEX('CAT_CENTROS_COSTO'!$D$4:$D$9,MATCH($F268,'CAT_CENTROS_COSTO'!$A$4:$A$9,0)),"(sin catálogo)"))</f>
        <v/>
      </c>
      <c r="V268" s="3">
        <f>IF($F268="","",IFERROR(INDEX('CAT_CENTROS_COSTO'!$F$4:$F$9,MATCH($F268,'CAT_CENTROS_COSTO'!$A$4:$A$9,0)),"(sin catálogo)"))</f>
        <v/>
      </c>
      <c r="W268" s="3">
        <f>IF($G268="","",IFERROR(INDEX('CAT_PUESTOS'!$B$4:$B$8,MATCH($G268,'CAT_PUESTOS'!$A$4:$A$8,0)),"(sin catálogo)"))</f>
        <v/>
      </c>
      <c r="X268" s="3">
        <f>IF($H268="","",IFERROR(INDEX('CAT_ACTIVIDADES'!$B$4:$B$8,MATCH($H268,'CAT_ACTIVIDADES'!$A$4:$A$8,0)),"(sin catálogo)"))</f>
        <v/>
      </c>
      <c r="Y268" s="12">
        <f>IF($J268="","",TODAY()-$J268)</f>
        <v/>
      </c>
      <c r="Z268" s="3">
        <f>IF($Y268="","",IF($Y268&lt;0,"FUTURO",IF($Y268&gt;p_dias_backlog_max,"BACKLOG","MES CORRIENTE")))</f>
        <v/>
      </c>
      <c r="AA268" s="3">
        <f>IF($Y268="",FALSE,AND($Y268&gt;p_dias_backlog_min,$Y268&lt;=p_dias_backlog_max))</f>
        <v/>
      </c>
      <c r="AB268" s="6" t="n"/>
      <c r="AC268" s="3">
        <f>IF($AB268="","",IFERROR(INDEX('ASIGNACIONES'!$F$4:$F$339,MATCH($O268&amp;"|"&amp;$R268&amp;"|"&amp;$AB268,'ASIGNACIONES'!$I$4:$I$339,0)),""))</f>
        <v/>
      </c>
      <c r="AD268" s="13">
        <f>IF($AB268="","",SUMIFS('ORDENES'!$M$4:$M$1203,'ORDENES'!$AB$4:$AB$1203,$AB268,'ORDENES'!$O$4:$O$1203,$O268,'ORDENES'!$R$4:$R$1203,$R268))</f>
        <v/>
      </c>
      <c r="AE268" s="13">
        <f>IF($AD268="","",p_factor_productividad*IFERROR(INDEX('ASIGNACIONES'!$H$4:$H$339,MATCH($O268&amp;"|"&amp;$R268&amp;"|"&amp;$AB268,'ASIGNACIONES'!$I$4:$I$339,0)),0)-$AD268)</f>
        <v/>
      </c>
      <c r="AF268" s="10">
        <f>IF($A268="","",IFERROR(INDEX('2_IMPORTAR_EJECUCION'!$F$9:$F$1208,MATCH($AN268,'2_IMPORTAR_EJECUCION'!$J$9:$J$1208,0)),0))</f>
        <v/>
      </c>
      <c r="AG268" s="10">
        <f>IF($A268="","",MAX(0,IFERROR(INDEX('2_IMPORTAR_EJECUCION'!$H$9:$H$1208,MATCH($AN268,'2_IMPORTAR_EJECUCION'!$J$9:$J$1208,0)),0)-$AF268))</f>
        <v/>
      </c>
      <c r="AH268" s="10">
        <f>IF($A268="","",$AF268+$AG268)</f>
        <v/>
      </c>
      <c r="AI268" s="6" t="n"/>
      <c r="AJ268" s="6" t="n"/>
      <c r="AK268" s="6" t="n"/>
      <c r="AL268" s="3">
        <f>IF($AK268="","",HYPERLINK(p_ruta_base_checklists&amp;$AK268,"abrir"))</f>
        <v/>
      </c>
      <c r="AM268" s="6" t="n"/>
      <c r="AN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1" t="n"/>
      <c r="K269" s="3" t="n"/>
      <c r="L269" s="10" t="n"/>
      <c r="M269" s="3">
        <f>IF($A269="","",IFERROR(INDEX('AJUSTES'!$B$4:$B$303,MATCH($AN269,'AJUSTES'!$A$4:$A$303,0)),IF($K269="","",$K269)))</f>
        <v/>
      </c>
      <c r="N269" s="3">
        <f>IF($A269="","",IFERROR(INDEX('CAT_ESTADOS_ERP'!$B$4:$B$7,MATCH(IFERROR(INDEX('2_IMPORTAR_EJECUCION'!$C$9:$C$1208,MATCH($AN269,'2_IMPORTAR_EJECUCION'!$J$9:$J$1208,0)),""),'CAT_ESTADOS_ERP'!$A$4:$A$7,0)),"Pendiente"))</f>
        <v/>
      </c>
      <c r="O269" s="3">
        <f>IF($J269="","",YEAR($J269+4-WEEKDAY($J269,2))&amp;"-S"&amp;TEXT(_xlfn.ISOWEEKNUM($J269),"00"))</f>
        <v/>
      </c>
      <c r="P269" s="3">
        <f>IF($J269="","",YEAR($J269))</f>
        <v/>
      </c>
      <c r="Q269" s="3">
        <f>IF($J269="","",MONTH($J269))</f>
        <v/>
      </c>
      <c r="R269" s="3">
        <f>IF($J269="","",INDEX(lista_dias,WEEKDAY($J269,2)))</f>
        <v/>
      </c>
      <c r="S269" s="3">
        <f>IF($I269="","",IFERROR(INDEX('CAT_TIPOS_OT'!$C$4:$C$7,MATCH($I269,'CAT_TIPOS_OT'!$A$4:$A$7,0)),"sin_clasificar"))</f>
        <v/>
      </c>
      <c r="T269" s="3">
        <f>IF($F269="","",IFERROR(INDEX('CAT_CENTROS_COSTO'!$E$4:$E$9,MATCH($F269,'CAT_CENTROS_COSTO'!$A$4:$A$9,0)),"(sin catálogo)"))</f>
        <v/>
      </c>
      <c r="U269" s="3">
        <f>IF($F269="","",IFERROR(INDEX('CAT_CENTROS_COSTO'!$D$4:$D$9,MATCH($F269,'CAT_CENTROS_COSTO'!$A$4:$A$9,0)),"(sin catálogo)"))</f>
        <v/>
      </c>
      <c r="V269" s="3">
        <f>IF($F269="","",IFERROR(INDEX('CAT_CENTROS_COSTO'!$F$4:$F$9,MATCH($F269,'CAT_CENTROS_COSTO'!$A$4:$A$9,0)),"(sin catálogo)"))</f>
        <v/>
      </c>
      <c r="W269" s="3">
        <f>IF($G269="","",IFERROR(INDEX('CAT_PUESTOS'!$B$4:$B$8,MATCH($G269,'CAT_PUESTOS'!$A$4:$A$8,0)),"(sin catálogo)"))</f>
        <v/>
      </c>
      <c r="X269" s="3">
        <f>IF($H269="","",IFERROR(INDEX('CAT_ACTIVIDADES'!$B$4:$B$8,MATCH($H269,'CAT_ACTIVIDADES'!$A$4:$A$8,0)),"(sin catálogo)"))</f>
        <v/>
      </c>
      <c r="Y269" s="12">
        <f>IF($J269="","",TODAY()-$J269)</f>
        <v/>
      </c>
      <c r="Z269" s="3">
        <f>IF($Y269="","",IF($Y269&lt;0,"FUTURO",IF($Y269&gt;p_dias_backlog_max,"BACKLOG","MES CORRIENTE")))</f>
        <v/>
      </c>
      <c r="AA269" s="3">
        <f>IF($Y269="",FALSE,AND($Y269&gt;p_dias_backlog_min,$Y269&lt;=p_dias_backlog_max))</f>
        <v/>
      </c>
      <c r="AB269" s="6" t="n"/>
      <c r="AC269" s="3">
        <f>IF($AB269="","",IFERROR(INDEX('ASIGNACIONES'!$F$4:$F$339,MATCH($O269&amp;"|"&amp;$R269&amp;"|"&amp;$AB269,'ASIGNACIONES'!$I$4:$I$339,0)),""))</f>
        <v/>
      </c>
      <c r="AD269" s="13">
        <f>IF($AB269="","",SUMIFS('ORDENES'!$M$4:$M$1203,'ORDENES'!$AB$4:$AB$1203,$AB269,'ORDENES'!$O$4:$O$1203,$O269,'ORDENES'!$R$4:$R$1203,$R269))</f>
        <v/>
      </c>
      <c r="AE269" s="13">
        <f>IF($AD269="","",p_factor_productividad*IFERROR(INDEX('ASIGNACIONES'!$H$4:$H$339,MATCH($O269&amp;"|"&amp;$R269&amp;"|"&amp;$AB269,'ASIGNACIONES'!$I$4:$I$339,0)),0)-$AD269)</f>
        <v/>
      </c>
      <c r="AF269" s="10">
        <f>IF($A269="","",IFERROR(INDEX('2_IMPORTAR_EJECUCION'!$F$9:$F$1208,MATCH($AN269,'2_IMPORTAR_EJECUCION'!$J$9:$J$1208,0)),0))</f>
        <v/>
      </c>
      <c r="AG269" s="10">
        <f>IF($A269="","",MAX(0,IFERROR(INDEX('2_IMPORTAR_EJECUCION'!$H$9:$H$1208,MATCH($AN269,'2_IMPORTAR_EJECUCION'!$J$9:$J$1208,0)),0)-$AF269))</f>
        <v/>
      </c>
      <c r="AH269" s="10">
        <f>IF($A269="","",$AF269+$AG269)</f>
        <v/>
      </c>
      <c r="AI269" s="6" t="n"/>
      <c r="AJ269" s="6" t="n"/>
      <c r="AK269" s="6" t="n"/>
      <c r="AL269" s="3">
        <f>IF($AK269="","",HYPERLINK(p_ruta_base_checklists&amp;$AK269,"abrir"))</f>
        <v/>
      </c>
      <c r="AM269" s="6" t="n"/>
      <c r="AN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1" t="n"/>
      <c r="K270" s="3" t="n"/>
      <c r="L270" s="10" t="n"/>
      <c r="M270" s="3">
        <f>IF($A270="","",IFERROR(INDEX('AJUSTES'!$B$4:$B$303,MATCH($AN270,'AJUSTES'!$A$4:$A$303,0)),IF($K270="","",$K270)))</f>
        <v/>
      </c>
      <c r="N270" s="3">
        <f>IF($A270="","",IFERROR(INDEX('CAT_ESTADOS_ERP'!$B$4:$B$7,MATCH(IFERROR(INDEX('2_IMPORTAR_EJECUCION'!$C$9:$C$1208,MATCH($AN270,'2_IMPORTAR_EJECUCION'!$J$9:$J$1208,0)),""),'CAT_ESTADOS_ERP'!$A$4:$A$7,0)),"Pendiente"))</f>
        <v/>
      </c>
      <c r="O270" s="3">
        <f>IF($J270="","",YEAR($J270+4-WEEKDAY($J270,2))&amp;"-S"&amp;TEXT(_xlfn.ISOWEEKNUM($J270),"00"))</f>
        <v/>
      </c>
      <c r="P270" s="3">
        <f>IF($J270="","",YEAR($J270))</f>
        <v/>
      </c>
      <c r="Q270" s="3">
        <f>IF($J270="","",MONTH($J270))</f>
        <v/>
      </c>
      <c r="R270" s="3">
        <f>IF($J270="","",INDEX(lista_dias,WEEKDAY($J270,2)))</f>
        <v/>
      </c>
      <c r="S270" s="3">
        <f>IF($I270="","",IFERROR(INDEX('CAT_TIPOS_OT'!$C$4:$C$7,MATCH($I270,'CAT_TIPOS_OT'!$A$4:$A$7,0)),"sin_clasificar"))</f>
        <v/>
      </c>
      <c r="T270" s="3">
        <f>IF($F270="","",IFERROR(INDEX('CAT_CENTROS_COSTO'!$E$4:$E$9,MATCH($F270,'CAT_CENTROS_COSTO'!$A$4:$A$9,0)),"(sin catálogo)"))</f>
        <v/>
      </c>
      <c r="U270" s="3">
        <f>IF($F270="","",IFERROR(INDEX('CAT_CENTROS_COSTO'!$D$4:$D$9,MATCH($F270,'CAT_CENTROS_COSTO'!$A$4:$A$9,0)),"(sin catálogo)"))</f>
        <v/>
      </c>
      <c r="V270" s="3">
        <f>IF($F270="","",IFERROR(INDEX('CAT_CENTROS_COSTO'!$F$4:$F$9,MATCH($F270,'CAT_CENTROS_COSTO'!$A$4:$A$9,0)),"(sin catálogo)"))</f>
        <v/>
      </c>
      <c r="W270" s="3">
        <f>IF($G270="","",IFERROR(INDEX('CAT_PUESTOS'!$B$4:$B$8,MATCH($G270,'CAT_PUESTOS'!$A$4:$A$8,0)),"(sin catálogo)"))</f>
        <v/>
      </c>
      <c r="X270" s="3">
        <f>IF($H270="","",IFERROR(INDEX('CAT_ACTIVIDADES'!$B$4:$B$8,MATCH($H270,'CAT_ACTIVIDADES'!$A$4:$A$8,0)),"(sin catálogo)"))</f>
        <v/>
      </c>
      <c r="Y270" s="12">
        <f>IF($J270="","",TODAY()-$J270)</f>
        <v/>
      </c>
      <c r="Z270" s="3">
        <f>IF($Y270="","",IF($Y270&lt;0,"FUTURO",IF($Y270&gt;p_dias_backlog_max,"BACKLOG","MES CORRIENTE")))</f>
        <v/>
      </c>
      <c r="AA270" s="3">
        <f>IF($Y270="",FALSE,AND($Y270&gt;p_dias_backlog_min,$Y270&lt;=p_dias_backlog_max))</f>
        <v/>
      </c>
      <c r="AB270" s="6" t="n"/>
      <c r="AC270" s="3">
        <f>IF($AB270="","",IFERROR(INDEX('ASIGNACIONES'!$F$4:$F$339,MATCH($O270&amp;"|"&amp;$R270&amp;"|"&amp;$AB270,'ASIGNACIONES'!$I$4:$I$339,0)),""))</f>
        <v/>
      </c>
      <c r="AD270" s="13">
        <f>IF($AB270="","",SUMIFS('ORDENES'!$M$4:$M$1203,'ORDENES'!$AB$4:$AB$1203,$AB270,'ORDENES'!$O$4:$O$1203,$O270,'ORDENES'!$R$4:$R$1203,$R270))</f>
        <v/>
      </c>
      <c r="AE270" s="13">
        <f>IF($AD270="","",p_factor_productividad*IFERROR(INDEX('ASIGNACIONES'!$H$4:$H$339,MATCH($O270&amp;"|"&amp;$R270&amp;"|"&amp;$AB270,'ASIGNACIONES'!$I$4:$I$339,0)),0)-$AD270)</f>
        <v/>
      </c>
      <c r="AF270" s="10">
        <f>IF($A270="","",IFERROR(INDEX('2_IMPORTAR_EJECUCION'!$F$9:$F$1208,MATCH($AN270,'2_IMPORTAR_EJECUCION'!$J$9:$J$1208,0)),0))</f>
        <v/>
      </c>
      <c r="AG270" s="10">
        <f>IF($A270="","",MAX(0,IFERROR(INDEX('2_IMPORTAR_EJECUCION'!$H$9:$H$1208,MATCH($AN270,'2_IMPORTAR_EJECUCION'!$J$9:$J$1208,0)),0)-$AF270))</f>
        <v/>
      </c>
      <c r="AH270" s="10">
        <f>IF($A270="","",$AF270+$AG270)</f>
        <v/>
      </c>
      <c r="AI270" s="6" t="n"/>
      <c r="AJ270" s="6" t="n"/>
      <c r="AK270" s="6" t="n"/>
      <c r="AL270" s="3">
        <f>IF($AK270="","",HYPERLINK(p_ruta_base_checklists&amp;$AK270,"abrir"))</f>
        <v/>
      </c>
      <c r="AM270" s="6" t="n"/>
      <c r="AN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1" t="n"/>
      <c r="K271" s="3" t="n"/>
      <c r="L271" s="10" t="n"/>
      <c r="M271" s="3">
        <f>IF($A271="","",IFERROR(INDEX('AJUSTES'!$B$4:$B$303,MATCH($AN271,'AJUSTES'!$A$4:$A$303,0)),IF($K271="","",$K271)))</f>
        <v/>
      </c>
      <c r="N271" s="3">
        <f>IF($A271="","",IFERROR(INDEX('CAT_ESTADOS_ERP'!$B$4:$B$7,MATCH(IFERROR(INDEX('2_IMPORTAR_EJECUCION'!$C$9:$C$1208,MATCH($AN271,'2_IMPORTAR_EJECUCION'!$J$9:$J$1208,0)),""),'CAT_ESTADOS_ERP'!$A$4:$A$7,0)),"Pendiente"))</f>
        <v/>
      </c>
      <c r="O271" s="3">
        <f>IF($J271="","",YEAR($J271+4-WEEKDAY($J271,2))&amp;"-S"&amp;TEXT(_xlfn.ISOWEEKNUM($J271),"00"))</f>
        <v/>
      </c>
      <c r="P271" s="3">
        <f>IF($J271="","",YEAR($J271))</f>
        <v/>
      </c>
      <c r="Q271" s="3">
        <f>IF($J271="","",MONTH($J271))</f>
        <v/>
      </c>
      <c r="R271" s="3">
        <f>IF($J271="","",INDEX(lista_dias,WEEKDAY($J271,2)))</f>
        <v/>
      </c>
      <c r="S271" s="3">
        <f>IF($I271="","",IFERROR(INDEX('CAT_TIPOS_OT'!$C$4:$C$7,MATCH($I271,'CAT_TIPOS_OT'!$A$4:$A$7,0)),"sin_clasificar"))</f>
        <v/>
      </c>
      <c r="T271" s="3">
        <f>IF($F271="","",IFERROR(INDEX('CAT_CENTROS_COSTO'!$E$4:$E$9,MATCH($F271,'CAT_CENTROS_COSTO'!$A$4:$A$9,0)),"(sin catálogo)"))</f>
        <v/>
      </c>
      <c r="U271" s="3">
        <f>IF($F271="","",IFERROR(INDEX('CAT_CENTROS_COSTO'!$D$4:$D$9,MATCH($F271,'CAT_CENTROS_COSTO'!$A$4:$A$9,0)),"(sin catálogo)"))</f>
        <v/>
      </c>
      <c r="V271" s="3">
        <f>IF($F271="","",IFERROR(INDEX('CAT_CENTROS_COSTO'!$F$4:$F$9,MATCH($F271,'CAT_CENTROS_COSTO'!$A$4:$A$9,0)),"(sin catálogo)"))</f>
        <v/>
      </c>
      <c r="W271" s="3">
        <f>IF($G271="","",IFERROR(INDEX('CAT_PUESTOS'!$B$4:$B$8,MATCH($G271,'CAT_PUESTOS'!$A$4:$A$8,0)),"(sin catálogo)"))</f>
        <v/>
      </c>
      <c r="X271" s="3">
        <f>IF($H271="","",IFERROR(INDEX('CAT_ACTIVIDADES'!$B$4:$B$8,MATCH($H271,'CAT_ACTIVIDADES'!$A$4:$A$8,0)),"(sin catálogo)"))</f>
        <v/>
      </c>
      <c r="Y271" s="12">
        <f>IF($J271="","",TODAY()-$J271)</f>
        <v/>
      </c>
      <c r="Z271" s="3">
        <f>IF($Y271="","",IF($Y271&lt;0,"FUTURO",IF($Y271&gt;p_dias_backlog_max,"BACKLOG","MES CORRIENTE")))</f>
        <v/>
      </c>
      <c r="AA271" s="3">
        <f>IF($Y271="",FALSE,AND($Y271&gt;p_dias_backlog_min,$Y271&lt;=p_dias_backlog_max))</f>
        <v/>
      </c>
      <c r="AB271" s="6" t="n"/>
      <c r="AC271" s="3">
        <f>IF($AB271="","",IFERROR(INDEX('ASIGNACIONES'!$F$4:$F$339,MATCH($O271&amp;"|"&amp;$R271&amp;"|"&amp;$AB271,'ASIGNACIONES'!$I$4:$I$339,0)),""))</f>
        <v/>
      </c>
      <c r="AD271" s="13">
        <f>IF($AB271="","",SUMIFS('ORDENES'!$M$4:$M$1203,'ORDENES'!$AB$4:$AB$1203,$AB271,'ORDENES'!$O$4:$O$1203,$O271,'ORDENES'!$R$4:$R$1203,$R271))</f>
        <v/>
      </c>
      <c r="AE271" s="13">
        <f>IF($AD271="","",p_factor_productividad*IFERROR(INDEX('ASIGNACIONES'!$H$4:$H$339,MATCH($O271&amp;"|"&amp;$R271&amp;"|"&amp;$AB271,'ASIGNACIONES'!$I$4:$I$339,0)),0)-$AD271)</f>
        <v/>
      </c>
      <c r="AF271" s="10">
        <f>IF($A271="","",IFERROR(INDEX('2_IMPORTAR_EJECUCION'!$F$9:$F$1208,MATCH($AN271,'2_IMPORTAR_EJECUCION'!$J$9:$J$1208,0)),0))</f>
        <v/>
      </c>
      <c r="AG271" s="10">
        <f>IF($A271="","",MAX(0,IFERROR(INDEX('2_IMPORTAR_EJECUCION'!$H$9:$H$1208,MATCH($AN271,'2_IMPORTAR_EJECUCION'!$J$9:$J$1208,0)),0)-$AF271))</f>
        <v/>
      </c>
      <c r="AH271" s="10">
        <f>IF($A271="","",$AF271+$AG271)</f>
        <v/>
      </c>
      <c r="AI271" s="6" t="n"/>
      <c r="AJ271" s="6" t="n"/>
      <c r="AK271" s="6" t="n"/>
      <c r="AL271" s="3">
        <f>IF($AK271="","",HYPERLINK(p_ruta_base_checklists&amp;$AK271,"abrir"))</f>
        <v/>
      </c>
      <c r="AM271" s="6" t="n"/>
      <c r="AN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1" t="n"/>
      <c r="K272" s="3" t="n"/>
      <c r="L272" s="10" t="n"/>
      <c r="M272" s="3">
        <f>IF($A272="","",IFERROR(INDEX('AJUSTES'!$B$4:$B$303,MATCH($AN272,'AJUSTES'!$A$4:$A$303,0)),IF($K272="","",$K272)))</f>
        <v/>
      </c>
      <c r="N272" s="3">
        <f>IF($A272="","",IFERROR(INDEX('CAT_ESTADOS_ERP'!$B$4:$B$7,MATCH(IFERROR(INDEX('2_IMPORTAR_EJECUCION'!$C$9:$C$1208,MATCH($AN272,'2_IMPORTAR_EJECUCION'!$J$9:$J$1208,0)),""),'CAT_ESTADOS_ERP'!$A$4:$A$7,0)),"Pendiente"))</f>
        <v/>
      </c>
      <c r="O272" s="3">
        <f>IF($J272="","",YEAR($J272+4-WEEKDAY($J272,2))&amp;"-S"&amp;TEXT(_xlfn.ISOWEEKNUM($J272),"00"))</f>
        <v/>
      </c>
      <c r="P272" s="3">
        <f>IF($J272="","",YEAR($J272))</f>
        <v/>
      </c>
      <c r="Q272" s="3">
        <f>IF($J272="","",MONTH($J272))</f>
        <v/>
      </c>
      <c r="R272" s="3">
        <f>IF($J272="","",INDEX(lista_dias,WEEKDAY($J272,2)))</f>
        <v/>
      </c>
      <c r="S272" s="3">
        <f>IF($I272="","",IFERROR(INDEX('CAT_TIPOS_OT'!$C$4:$C$7,MATCH($I272,'CAT_TIPOS_OT'!$A$4:$A$7,0)),"sin_clasificar"))</f>
        <v/>
      </c>
      <c r="T272" s="3">
        <f>IF($F272="","",IFERROR(INDEX('CAT_CENTROS_COSTO'!$E$4:$E$9,MATCH($F272,'CAT_CENTROS_COSTO'!$A$4:$A$9,0)),"(sin catálogo)"))</f>
        <v/>
      </c>
      <c r="U272" s="3">
        <f>IF($F272="","",IFERROR(INDEX('CAT_CENTROS_COSTO'!$D$4:$D$9,MATCH($F272,'CAT_CENTROS_COSTO'!$A$4:$A$9,0)),"(sin catálogo)"))</f>
        <v/>
      </c>
      <c r="V272" s="3">
        <f>IF($F272="","",IFERROR(INDEX('CAT_CENTROS_COSTO'!$F$4:$F$9,MATCH($F272,'CAT_CENTROS_COSTO'!$A$4:$A$9,0)),"(sin catálogo)"))</f>
        <v/>
      </c>
      <c r="W272" s="3">
        <f>IF($G272="","",IFERROR(INDEX('CAT_PUESTOS'!$B$4:$B$8,MATCH($G272,'CAT_PUESTOS'!$A$4:$A$8,0)),"(sin catálogo)"))</f>
        <v/>
      </c>
      <c r="X272" s="3">
        <f>IF($H272="","",IFERROR(INDEX('CAT_ACTIVIDADES'!$B$4:$B$8,MATCH($H272,'CAT_ACTIVIDADES'!$A$4:$A$8,0)),"(sin catálogo)"))</f>
        <v/>
      </c>
      <c r="Y272" s="12">
        <f>IF($J272="","",TODAY()-$J272)</f>
        <v/>
      </c>
      <c r="Z272" s="3">
        <f>IF($Y272="","",IF($Y272&lt;0,"FUTURO",IF($Y272&gt;p_dias_backlog_max,"BACKLOG","MES CORRIENTE")))</f>
        <v/>
      </c>
      <c r="AA272" s="3">
        <f>IF($Y272="",FALSE,AND($Y272&gt;p_dias_backlog_min,$Y272&lt;=p_dias_backlog_max))</f>
        <v/>
      </c>
      <c r="AB272" s="6" t="n"/>
      <c r="AC272" s="3">
        <f>IF($AB272="","",IFERROR(INDEX('ASIGNACIONES'!$F$4:$F$339,MATCH($O272&amp;"|"&amp;$R272&amp;"|"&amp;$AB272,'ASIGNACIONES'!$I$4:$I$339,0)),""))</f>
        <v/>
      </c>
      <c r="AD272" s="13">
        <f>IF($AB272="","",SUMIFS('ORDENES'!$M$4:$M$1203,'ORDENES'!$AB$4:$AB$1203,$AB272,'ORDENES'!$O$4:$O$1203,$O272,'ORDENES'!$R$4:$R$1203,$R272))</f>
        <v/>
      </c>
      <c r="AE272" s="13">
        <f>IF($AD272="","",p_factor_productividad*IFERROR(INDEX('ASIGNACIONES'!$H$4:$H$339,MATCH($O272&amp;"|"&amp;$R272&amp;"|"&amp;$AB272,'ASIGNACIONES'!$I$4:$I$339,0)),0)-$AD272)</f>
        <v/>
      </c>
      <c r="AF272" s="10">
        <f>IF($A272="","",IFERROR(INDEX('2_IMPORTAR_EJECUCION'!$F$9:$F$1208,MATCH($AN272,'2_IMPORTAR_EJECUCION'!$J$9:$J$1208,0)),0))</f>
        <v/>
      </c>
      <c r="AG272" s="10">
        <f>IF($A272="","",MAX(0,IFERROR(INDEX('2_IMPORTAR_EJECUCION'!$H$9:$H$1208,MATCH($AN272,'2_IMPORTAR_EJECUCION'!$J$9:$J$1208,0)),0)-$AF272))</f>
        <v/>
      </c>
      <c r="AH272" s="10">
        <f>IF($A272="","",$AF272+$AG272)</f>
        <v/>
      </c>
      <c r="AI272" s="6" t="n"/>
      <c r="AJ272" s="6" t="n"/>
      <c r="AK272" s="6" t="n"/>
      <c r="AL272" s="3">
        <f>IF($AK272="","",HYPERLINK(p_ruta_base_checklists&amp;$AK272,"abrir"))</f>
        <v/>
      </c>
      <c r="AM272" s="6" t="n"/>
      <c r="AN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1" t="n"/>
      <c r="K273" s="3" t="n"/>
      <c r="L273" s="10" t="n"/>
      <c r="M273" s="3">
        <f>IF($A273="","",IFERROR(INDEX('AJUSTES'!$B$4:$B$303,MATCH($AN273,'AJUSTES'!$A$4:$A$303,0)),IF($K273="","",$K273)))</f>
        <v/>
      </c>
      <c r="N273" s="3">
        <f>IF($A273="","",IFERROR(INDEX('CAT_ESTADOS_ERP'!$B$4:$B$7,MATCH(IFERROR(INDEX('2_IMPORTAR_EJECUCION'!$C$9:$C$1208,MATCH($AN273,'2_IMPORTAR_EJECUCION'!$J$9:$J$1208,0)),""),'CAT_ESTADOS_ERP'!$A$4:$A$7,0)),"Pendiente"))</f>
        <v/>
      </c>
      <c r="O273" s="3">
        <f>IF($J273="","",YEAR($J273+4-WEEKDAY($J273,2))&amp;"-S"&amp;TEXT(_xlfn.ISOWEEKNUM($J273),"00"))</f>
        <v/>
      </c>
      <c r="P273" s="3">
        <f>IF($J273="","",YEAR($J273))</f>
        <v/>
      </c>
      <c r="Q273" s="3">
        <f>IF($J273="","",MONTH($J273))</f>
        <v/>
      </c>
      <c r="R273" s="3">
        <f>IF($J273="","",INDEX(lista_dias,WEEKDAY($J273,2)))</f>
        <v/>
      </c>
      <c r="S273" s="3">
        <f>IF($I273="","",IFERROR(INDEX('CAT_TIPOS_OT'!$C$4:$C$7,MATCH($I273,'CAT_TIPOS_OT'!$A$4:$A$7,0)),"sin_clasificar"))</f>
        <v/>
      </c>
      <c r="T273" s="3">
        <f>IF($F273="","",IFERROR(INDEX('CAT_CENTROS_COSTO'!$E$4:$E$9,MATCH($F273,'CAT_CENTROS_COSTO'!$A$4:$A$9,0)),"(sin catálogo)"))</f>
        <v/>
      </c>
      <c r="U273" s="3">
        <f>IF($F273="","",IFERROR(INDEX('CAT_CENTROS_COSTO'!$D$4:$D$9,MATCH($F273,'CAT_CENTROS_COSTO'!$A$4:$A$9,0)),"(sin catálogo)"))</f>
        <v/>
      </c>
      <c r="V273" s="3">
        <f>IF($F273="","",IFERROR(INDEX('CAT_CENTROS_COSTO'!$F$4:$F$9,MATCH($F273,'CAT_CENTROS_COSTO'!$A$4:$A$9,0)),"(sin catálogo)"))</f>
        <v/>
      </c>
      <c r="W273" s="3">
        <f>IF($G273="","",IFERROR(INDEX('CAT_PUESTOS'!$B$4:$B$8,MATCH($G273,'CAT_PUESTOS'!$A$4:$A$8,0)),"(sin catálogo)"))</f>
        <v/>
      </c>
      <c r="X273" s="3">
        <f>IF($H273="","",IFERROR(INDEX('CAT_ACTIVIDADES'!$B$4:$B$8,MATCH($H273,'CAT_ACTIVIDADES'!$A$4:$A$8,0)),"(sin catálogo)"))</f>
        <v/>
      </c>
      <c r="Y273" s="12">
        <f>IF($J273="","",TODAY()-$J273)</f>
        <v/>
      </c>
      <c r="Z273" s="3">
        <f>IF($Y273="","",IF($Y273&lt;0,"FUTURO",IF($Y273&gt;p_dias_backlog_max,"BACKLOG","MES CORRIENTE")))</f>
        <v/>
      </c>
      <c r="AA273" s="3">
        <f>IF($Y273="",FALSE,AND($Y273&gt;p_dias_backlog_min,$Y273&lt;=p_dias_backlog_max))</f>
        <v/>
      </c>
      <c r="AB273" s="6" t="n"/>
      <c r="AC273" s="3">
        <f>IF($AB273="","",IFERROR(INDEX('ASIGNACIONES'!$F$4:$F$339,MATCH($O273&amp;"|"&amp;$R273&amp;"|"&amp;$AB273,'ASIGNACIONES'!$I$4:$I$339,0)),""))</f>
        <v/>
      </c>
      <c r="AD273" s="13">
        <f>IF($AB273="","",SUMIFS('ORDENES'!$M$4:$M$1203,'ORDENES'!$AB$4:$AB$1203,$AB273,'ORDENES'!$O$4:$O$1203,$O273,'ORDENES'!$R$4:$R$1203,$R273))</f>
        <v/>
      </c>
      <c r="AE273" s="13">
        <f>IF($AD273="","",p_factor_productividad*IFERROR(INDEX('ASIGNACIONES'!$H$4:$H$339,MATCH($O273&amp;"|"&amp;$R273&amp;"|"&amp;$AB273,'ASIGNACIONES'!$I$4:$I$339,0)),0)-$AD273)</f>
        <v/>
      </c>
      <c r="AF273" s="10">
        <f>IF($A273="","",IFERROR(INDEX('2_IMPORTAR_EJECUCION'!$F$9:$F$1208,MATCH($AN273,'2_IMPORTAR_EJECUCION'!$J$9:$J$1208,0)),0))</f>
        <v/>
      </c>
      <c r="AG273" s="10">
        <f>IF($A273="","",MAX(0,IFERROR(INDEX('2_IMPORTAR_EJECUCION'!$H$9:$H$1208,MATCH($AN273,'2_IMPORTAR_EJECUCION'!$J$9:$J$1208,0)),0)-$AF273))</f>
        <v/>
      </c>
      <c r="AH273" s="10">
        <f>IF($A273="","",$AF273+$AG273)</f>
        <v/>
      </c>
      <c r="AI273" s="6" t="n"/>
      <c r="AJ273" s="6" t="n"/>
      <c r="AK273" s="6" t="n"/>
      <c r="AL273" s="3">
        <f>IF($AK273="","",HYPERLINK(p_ruta_base_checklists&amp;$AK273,"abrir"))</f>
        <v/>
      </c>
      <c r="AM273" s="6" t="n"/>
      <c r="AN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1" t="n"/>
      <c r="K274" s="3" t="n"/>
      <c r="L274" s="10" t="n"/>
      <c r="M274" s="3">
        <f>IF($A274="","",IFERROR(INDEX('AJUSTES'!$B$4:$B$303,MATCH($AN274,'AJUSTES'!$A$4:$A$303,0)),IF($K274="","",$K274)))</f>
        <v/>
      </c>
      <c r="N274" s="3">
        <f>IF($A274="","",IFERROR(INDEX('CAT_ESTADOS_ERP'!$B$4:$B$7,MATCH(IFERROR(INDEX('2_IMPORTAR_EJECUCION'!$C$9:$C$1208,MATCH($AN274,'2_IMPORTAR_EJECUCION'!$J$9:$J$1208,0)),""),'CAT_ESTADOS_ERP'!$A$4:$A$7,0)),"Pendiente"))</f>
        <v/>
      </c>
      <c r="O274" s="3">
        <f>IF($J274="","",YEAR($J274+4-WEEKDAY($J274,2))&amp;"-S"&amp;TEXT(_xlfn.ISOWEEKNUM($J274),"00"))</f>
        <v/>
      </c>
      <c r="P274" s="3">
        <f>IF($J274="","",YEAR($J274))</f>
        <v/>
      </c>
      <c r="Q274" s="3">
        <f>IF($J274="","",MONTH($J274))</f>
        <v/>
      </c>
      <c r="R274" s="3">
        <f>IF($J274="","",INDEX(lista_dias,WEEKDAY($J274,2)))</f>
        <v/>
      </c>
      <c r="S274" s="3">
        <f>IF($I274="","",IFERROR(INDEX('CAT_TIPOS_OT'!$C$4:$C$7,MATCH($I274,'CAT_TIPOS_OT'!$A$4:$A$7,0)),"sin_clasificar"))</f>
        <v/>
      </c>
      <c r="T274" s="3">
        <f>IF($F274="","",IFERROR(INDEX('CAT_CENTROS_COSTO'!$E$4:$E$9,MATCH($F274,'CAT_CENTROS_COSTO'!$A$4:$A$9,0)),"(sin catálogo)"))</f>
        <v/>
      </c>
      <c r="U274" s="3">
        <f>IF($F274="","",IFERROR(INDEX('CAT_CENTROS_COSTO'!$D$4:$D$9,MATCH($F274,'CAT_CENTROS_COSTO'!$A$4:$A$9,0)),"(sin catálogo)"))</f>
        <v/>
      </c>
      <c r="V274" s="3">
        <f>IF($F274="","",IFERROR(INDEX('CAT_CENTROS_COSTO'!$F$4:$F$9,MATCH($F274,'CAT_CENTROS_COSTO'!$A$4:$A$9,0)),"(sin catálogo)"))</f>
        <v/>
      </c>
      <c r="W274" s="3">
        <f>IF($G274="","",IFERROR(INDEX('CAT_PUESTOS'!$B$4:$B$8,MATCH($G274,'CAT_PUESTOS'!$A$4:$A$8,0)),"(sin catálogo)"))</f>
        <v/>
      </c>
      <c r="X274" s="3">
        <f>IF($H274="","",IFERROR(INDEX('CAT_ACTIVIDADES'!$B$4:$B$8,MATCH($H274,'CAT_ACTIVIDADES'!$A$4:$A$8,0)),"(sin catálogo)"))</f>
        <v/>
      </c>
      <c r="Y274" s="12">
        <f>IF($J274="","",TODAY()-$J274)</f>
        <v/>
      </c>
      <c r="Z274" s="3">
        <f>IF($Y274="","",IF($Y274&lt;0,"FUTURO",IF($Y274&gt;p_dias_backlog_max,"BACKLOG","MES CORRIENTE")))</f>
        <v/>
      </c>
      <c r="AA274" s="3">
        <f>IF($Y274="",FALSE,AND($Y274&gt;p_dias_backlog_min,$Y274&lt;=p_dias_backlog_max))</f>
        <v/>
      </c>
      <c r="AB274" s="6" t="n"/>
      <c r="AC274" s="3">
        <f>IF($AB274="","",IFERROR(INDEX('ASIGNACIONES'!$F$4:$F$339,MATCH($O274&amp;"|"&amp;$R274&amp;"|"&amp;$AB274,'ASIGNACIONES'!$I$4:$I$339,0)),""))</f>
        <v/>
      </c>
      <c r="AD274" s="13">
        <f>IF($AB274="","",SUMIFS('ORDENES'!$M$4:$M$1203,'ORDENES'!$AB$4:$AB$1203,$AB274,'ORDENES'!$O$4:$O$1203,$O274,'ORDENES'!$R$4:$R$1203,$R274))</f>
        <v/>
      </c>
      <c r="AE274" s="13">
        <f>IF($AD274="","",p_factor_productividad*IFERROR(INDEX('ASIGNACIONES'!$H$4:$H$339,MATCH($O274&amp;"|"&amp;$R274&amp;"|"&amp;$AB274,'ASIGNACIONES'!$I$4:$I$339,0)),0)-$AD274)</f>
        <v/>
      </c>
      <c r="AF274" s="10">
        <f>IF($A274="","",IFERROR(INDEX('2_IMPORTAR_EJECUCION'!$F$9:$F$1208,MATCH($AN274,'2_IMPORTAR_EJECUCION'!$J$9:$J$1208,0)),0))</f>
        <v/>
      </c>
      <c r="AG274" s="10">
        <f>IF($A274="","",MAX(0,IFERROR(INDEX('2_IMPORTAR_EJECUCION'!$H$9:$H$1208,MATCH($AN274,'2_IMPORTAR_EJECUCION'!$J$9:$J$1208,0)),0)-$AF274))</f>
        <v/>
      </c>
      <c r="AH274" s="10">
        <f>IF($A274="","",$AF274+$AG274)</f>
        <v/>
      </c>
      <c r="AI274" s="6" t="n"/>
      <c r="AJ274" s="6" t="n"/>
      <c r="AK274" s="6" t="n"/>
      <c r="AL274" s="3">
        <f>IF($AK274="","",HYPERLINK(p_ruta_base_checklists&amp;$AK274,"abrir"))</f>
        <v/>
      </c>
      <c r="AM274" s="6" t="n"/>
      <c r="AN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1" t="n"/>
      <c r="K275" s="3" t="n"/>
      <c r="L275" s="10" t="n"/>
      <c r="M275" s="3">
        <f>IF($A275="","",IFERROR(INDEX('AJUSTES'!$B$4:$B$303,MATCH($AN275,'AJUSTES'!$A$4:$A$303,0)),IF($K275="","",$K275)))</f>
        <v/>
      </c>
      <c r="N275" s="3">
        <f>IF($A275="","",IFERROR(INDEX('CAT_ESTADOS_ERP'!$B$4:$B$7,MATCH(IFERROR(INDEX('2_IMPORTAR_EJECUCION'!$C$9:$C$1208,MATCH($AN275,'2_IMPORTAR_EJECUCION'!$J$9:$J$1208,0)),""),'CAT_ESTADOS_ERP'!$A$4:$A$7,0)),"Pendiente"))</f>
        <v/>
      </c>
      <c r="O275" s="3">
        <f>IF($J275="","",YEAR($J275+4-WEEKDAY($J275,2))&amp;"-S"&amp;TEXT(_xlfn.ISOWEEKNUM($J275),"00"))</f>
        <v/>
      </c>
      <c r="P275" s="3">
        <f>IF($J275="","",YEAR($J275))</f>
        <v/>
      </c>
      <c r="Q275" s="3">
        <f>IF($J275="","",MONTH($J275))</f>
        <v/>
      </c>
      <c r="R275" s="3">
        <f>IF($J275="","",INDEX(lista_dias,WEEKDAY($J275,2)))</f>
        <v/>
      </c>
      <c r="S275" s="3">
        <f>IF($I275="","",IFERROR(INDEX('CAT_TIPOS_OT'!$C$4:$C$7,MATCH($I275,'CAT_TIPOS_OT'!$A$4:$A$7,0)),"sin_clasificar"))</f>
        <v/>
      </c>
      <c r="T275" s="3">
        <f>IF($F275="","",IFERROR(INDEX('CAT_CENTROS_COSTO'!$E$4:$E$9,MATCH($F275,'CAT_CENTROS_COSTO'!$A$4:$A$9,0)),"(sin catálogo)"))</f>
        <v/>
      </c>
      <c r="U275" s="3">
        <f>IF($F275="","",IFERROR(INDEX('CAT_CENTROS_COSTO'!$D$4:$D$9,MATCH($F275,'CAT_CENTROS_COSTO'!$A$4:$A$9,0)),"(sin catálogo)"))</f>
        <v/>
      </c>
      <c r="V275" s="3">
        <f>IF($F275="","",IFERROR(INDEX('CAT_CENTROS_COSTO'!$F$4:$F$9,MATCH($F275,'CAT_CENTROS_COSTO'!$A$4:$A$9,0)),"(sin catálogo)"))</f>
        <v/>
      </c>
      <c r="W275" s="3">
        <f>IF($G275="","",IFERROR(INDEX('CAT_PUESTOS'!$B$4:$B$8,MATCH($G275,'CAT_PUESTOS'!$A$4:$A$8,0)),"(sin catálogo)"))</f>
        <v/>
      </c>
      <c r="X275" s="3">
        <f>IF($H275="","",IFERROR(INDEX('CAT_ACTIVIDADES'!$B$4:$B$8,MATCH($H275,'CAT_ACTIVIDADES'!$A$4:$A$8,0)),"(sin catálogo)"))</f>
        <v/>
      </c>
      <c r="Y275" s="12">
        <f>IF($J275="","",TODAY()-$J275)</f>
        <v/>
      </c>
      <c r="Z275" s="3">
        <f>IF($Y275="","",IF($Y275&lt;0,"FUTURO",IF($Y275&gt;p_dias_backlog_max,"BACKLOG","MES CORRIENTE")))</f>
        <v/>
      </c>
      <c r="AA275" s="3">
        <f>IF($Y275="",FALSE,AND($Y275&gt;p_dias_backlog_min,$Y275&lt;=p_dias_backlog_max))</f>
        <v/>
      </c>
      <c r="AB275" s="6" t="n"/>
      <c r="AC275" s="3">
        <f>IF($AB275="","",IFERROR(INDEX('ASIGNACIONES'!$F$4:$F$339,MATCH($O275&amp;"|"&amp;$R275&amp;"|"&amp;$AB275,'ASIGNACIONES'!$I$4:$I$339,0)),""))</f>
        <v/>
      </c>
      <c r="AD275" s="13">
        <f>IF($AB275="","",SUMIFS('ORDENES'!$M$4:$M$1203,'ORDENES'!$AB$4:$AB$1203,$AB275,'ORDENES'!$O$4:$O$1203,$O275,'ORDENES'!$R$4:$R$1203,$R275))</f>
        <v/>
      </c>
      <c r="AE275" s="13">
        <f>IF($AD275="","",p_factor_productividad*IFERROR(INDEX('ASIGNACIONES'!$H$4:$H$339,MATCH($O275&amp;"|"&amp;$R275&amp;"|"&amp;$AB275,'ASIGNACIONES'!$I$4:$I$339,0)),0)-$AD275)</f>
        <v/>
      </c>
      <c r="AF275" s="10">
        <f>IF($A275="","",IFERROR(INDEX('2_IMPORTAR_EJECUCION'!$F$9:$F$1208,MATCH($AN275,'2_IMPORTAR_EJECUCION'!$J$9:$J$1208,0)),0))</f>
        <v/>
      </c>
      <c r="AG275" s="10">
        <f>IF($A275="","",MAX(0,IFERROR(INDEX('2_IMPORTAR_EJECUCION'!$H$9:$H$1208,MATCH($AN275,'2_IMPORTAR_EJECUCION'!$J$9:$J$1208,0)),0)-$AF275))</f>
        <v/>
      </c>
      <c r="AH275" s="10">
        <f>IF($A275="","",$AF275+$AG275)</f>
        <v/>
      </c>
      <c r="AI275" s="6" t="n"/>
      <c r="AJ275" s="6" t="n"/>
      <c r="AK275" s="6" t="n"/>
      <c r="AL275" s="3">
        <f>IF($AK275="","",HYPERLINK(p_ruta_base_checklists&amp;$AK275,"abrir"))</f>
        <v/>
      </c>
      <c r="AM275" s="6" t="n"/>
      <c r="AN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1" t="n"/>
      <c r="K276" s="3" t="n"/>
      <c r="L276" s="10" t="n"/>
      <c r="M276" s="3">
        <f>IF($A276="","",IFERROR(INDEX('AJUSTES'!$B$4:$B$303,MATCH($AN276,'AJUSTES'!$A$4:$A$303,0)),IF($K276="","",$K276)))</f>
        <v/>
      </c>
      <c r="N276" s="3">
        <f>IF($A276="","",IFERROR(INDEX('CAT_ESTADOS_ERP'!$B$4:$B$7,MATCH(IFERROR(INDEX('2_IMPORTAR_EJECUCION'!$C$9:$C$1208,MATCH($AN276,'2_IMPORTAR_EJECUCION'!$J$9:$J$1208,0)),""),'CAT_ESTADOS_ERP'!$A$4:$A$7,0)),"Pendiente"))</f>
        <v/>
      </c>
      <c r="O276" s="3">
        <f>IF($J276="","",YEAR($J276+4-WEEKDAY($J276,2))&amp;"-S"&amp;TEXT(_xlfn.ISOWEEKNUM($J276),"00"))</f>
        <v/>
      </c>
      <c r="P276" s="3">
        <f>IF($J276="","",YEAR($J276))</f>
        <v/>
      </c>
      <c r="Q276" s="3">
        <f>IF($J276="","",MONTH($J276))</f>
        <v/>
      </c>
      <c r="R276" s="3">
        <f>IF($J276="","",INDEX(lista_dias,WEEKDAY($J276,2)))</f>
        <v/>
      </c>
      <c r="S276" s="3">
        <f>IF($I276="","",IFERROR(INDEX('CAT_TIPOS_OT'!$C$4:$C$7,MATCH($I276,'CAT_TIPOS_OT'!$A$4:$A$7,0)),"sin_clasificar"))</f>
        <v/>
      </c>
      <c r="T276" s="3">
        <f>IF($F276="","",IFERROR(INDEX('CAT_CENTROS_COSTO'!$E$4:$E$9,MATCH($F276,'CAT_CENTROS_COSTO'!$A$4:$A$9,0)),"(sin catálogo)"))</f>
        <v/>
      </c>
      <c r="U276" s="3">
        <f>IF($F276="","",IFERROR(INDEX('CAT_CENTROS_COSTO'!$D$4:$D$9,MATCH($F276,'CAT_CENTROS_COSTO'!$A$4:$A$9,0)),"(sin catálogo)"))</f>
        <v/>
      </c>
      <c r="V276" s="3">
        <f>IF($F276="","",IFERROR(INDEX('CAT_CENTROS_COSTO'!$F$4:$F$9,MATCH($F276,'CAT_CENTROS_COSTO'!$A$4:$A$9,0)),"(sin catálogo)"))</f>
        <v/>
      </c>
      <c r="W276" s="3">
        <f>IF($G276="","",IFERROR(INDEX('CAT_PUESTOS'!$B$4:$B$8,MATCH($G276,'CAT_PUESTOS'!$A$4:$A$8,0)),"(sin catálogo)"))</f>
        <v/>
      </c>
      <c r="X276" s="3">
        <f>IF($H276="","",IFERROR(INDEX('CAT_ACTIVIDADES'!$B$4:$B$8,MATCH($H276,'CAT_ACTIVIDADES'!$A$4:$A$8,0)),"(sin catálogo)"))</f>
        <v/>
      </c>
      <c r="Y276" s="12">
        <f>IF($J276="","",TODAY()-$J276)</f>
        <v/>
      </c>
      <c r="Z276" s="3">
        <f>IF($Y276="","",IF($Y276&lt;0,"FUTURO",IF($Y276&gt;p_dias_backlog_max,"BACKLOG","MES CORRIENTE")))</f>
        <v/>
      </c>
      <c r="AA276" s="3">
        <f>IF($Y276="",FALSE,AND($Y276&gt;p_dias_backlog_min,$Y276&lt;=p_dias_backlog_max))</f>
        <v/>
      </c>
      <c r="AB276" s="6" t="n"/>
      <c r="AC276" s="3">
        <f>IF($AB276="","",IFERROR(INDEX('ASIGNACIONES'!$F$4:$F$339,MATCH($O276&amp;"|"&amp;$R276&amp;"|"&amp;$AB276,'ASIGNACIONES'!$I$4:$I$339,0)),""))</f>
        <v/>
      </c>
      <c r="AD276" s="13">
        <f>IF($AB276="","",SUMIFS('ORDENES'!$M$4:$M$1203,'ORDENES'!$AB$4:$AB$1203,$AB276,'ORDENES'!$O$4:$O$1203,$O276,'ORDENES'!$R$4:$R$1203,$R276))</f>
        <v/>
      </c>
      <c r="AE276" s="13">
        <f>IF($AD276="","",p_factor_productividad*IFERROR(INDEX('ASIGNACIONES'!$H$4:$H$339,MATCH($O276&amp;"|"&amp;$R276&amp;"|"&amp;$AB276,'ASIGNACIONES'!$I$4:$I$339,0)),0)-$AD276)</f>
        <v/>
      </c>
      <c r="AF276" s="10">
        <f>IF($A276="","",IFERROR(INDEX('2_IMPORTAR_EJECUCION'!$F$9:$F$1208,MATCH($AN276,'2_IMPORTAR_EJECUCION'!$J$9:$J$1208,0)),0))</f>
        <v/>
      </c>
      <c r="AG276" s="10">
        <f>IF($A276="","",MAX(0,IFERROR(INDEX('2_IMPORTAR_EJECUCION'!$H$9:$H$1208,MATCH($AN276,'2_IMPORTAR_EJECUCION'!$J$9:$J$1208,0)),0)-$AF276))</f>
        <v/>
      </c>
      <c r="AH276" s="10">
        <f>IF($A276="","",$AF276+$AG276)</f>
        <v/>
      </c>
      <c r="AI276" s="6" t="n"/>
      <c r="AJ276" s="6" t="n"/>
      <c r="AK276" s="6" t="n"/>
      <c r="AL276" s="3">
        <f>IF($AK276="","",HYPERLINK(p_ruta_base_checklists&amp;$AK276,"abrir"))</f>
        <v/>
      </c>
      <c r="AM276" s="6" t="n"/>
      <c r="AN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1" t="n"/>
      <c r="K277" s="3" t="n"/>
      <c r="L277" s="10" t="n"/>
      <c r="M277" s="3">
        <f>IF($A277="","",IFERROR(INDEX('AJUSTES'!$B$4:$B$303,MATCH($AN277,'AJUSTES'!$A$4:$A$303,0)),IF($K277="","",$K277)))</f>
        <v/>
      </c>
      <c r="N277" s="3">
        <f>IF($A277="","",IFERROR(INDEX('CAT_ESTADOS_ERP'!$B$4:$B$7,MATCH(IFERROR(INDEX('2_IMPORTAR_EJECUCION'!$C$9:$C$1208,MATCH($AN277,'2_IMPORTAR_EJECUCION'!$J$9:$J$1208,0)),""),'CAT_ESTADOS_ERP'!$A$4:$A$7,0)),"Pendiente"))</f>
        <v/>
      </c>
      <c r="O277" s="3">
        <f>IF($J277="","",YEAR($J277+4-WEEKDAY($J277,2))&amp;"-S"&amp;TEXT(_xlfn.ISOWEEKNUM($J277),"00"))</f>
        <v/>
      </c>
      <c r="P277" s="3">
        <f>IF($J277="","",YEAR($J277))</f>
        <v/>
      </c>
      <c r="Q277" s="3">
        <f>IF($J277="","",MONTH($J277))</f>
        <v/>
      </c>
      <c r="R277" s="3">
        <f>IF($J277="","",INDEX(lista_dias,WEEKDAY($J277,2)))</f>
        <v/>
      </c>
      <c r="S277" s="3">
        <f>IF($I277="","",IFERROR(INDEX('CAT_TIPOS_OT'!$C$4:$C$7,MATCH($I277,'CAT_TIPOS_OT'!$A$4:$A$7,0)),"sin_clasificar"))</f>
        <v/>
      </c>
      <c r="T277" s="3">
        <f>IF($F277="","",IFERROR(INDEX('CAT_CENTROS_COSTO'!$E$4:$E$9,MATCH($F277,'CAT_CENTROS_COSTO'!$A$4:$A$9,0)),"(sin catálogo)"))</f>
        <v/>
      </c>
      <c r="U277" s="3">
        <f>IF($F277="","",IFERROR(INDEX('CAT_CENTROS_COSTO'!$D$4:$D$9,MATCH($F277,'CAT_CENTROS_COSTO'!$A$4:$A$9,0)),"(sin catálogo)"))</f>
        <v/>
      </c>
      <c r="V277" s="3">
        <f>IF($F277="","",IFERROR(INDEX('CAT_CENTROS_COSTO'!$F$4:$F$9,MATCH($F277,'CAT_CENTROS_COSTO'!$A$4:$A$9,0)),"(sin catálogo)"))</f>
        <v/>
      </c>
      <c r="W277" s="3">
        <f>IF($G277="","",IFERROR(INDEX('CAT_PUESTOS'!$B$4:$B$8,MATCH($G277,'CAT_PUESTOS'!$A$4:$A$8,0)),"(sin catálogo)"))</f>
        <v/>
      </c>
      <c r="X277" s="3">
        <f>IF($H277="","",IFERROR(INDEX('CAT_ACTIVIDADES'!$B$4:$B$8,MATCH($H277,'CAT_ACTIVIDADES'!$A$4:$A$8,0)),"(sin catálogo)"))</f>
        <v/>
      </c>
      <c r="Y277" s="12">
        <f>IF($J277="","",TODAY()-$J277)</f>
        <v/>
      </c>
      <c r="Z277" s="3">
        <f>IF($Y277="","",IF($Y277&lt;0,"FUTURO",IF($Y277&gt;p_dias_backlog_max,"BACKLOG","MES CORRIENTE")))</f>
        <v/>
      </c>
      <c r="AA277" s="3">
        <f>IF($Y277="",FALSE,AND($Y277&gt;p_dias_backlog_min,$Y277&lt;=p_dias_backlog_max))</f>
        <v/>
      </c>
      <c r="AB277" s="6" t="n"/>
      <c r="AC277" s="3">
        <f>IF($AB277="","",IFERROR(INDEX('ASIGNACIONES'!$F$4:$F$339,MATCH($O277&amp;"|"&amp;$R277&amp;"|"&amp;$AB277,'ASIGNACIONES'!$I$4:$I$339,0)),""))</f>
        <v/>
      </c>
      <c r="AD277" s="13">
        <f>IF($AB277="","",SUMIFS('ORDENES'!$M$4:$M$1203,'ORDENES'!$AB$4:$AB$1203,$AB277,'ORDENES'!$O$4:$O$1203,$O277,'ORDENES'!$R$4:$R$1203,$R277))</f>
        <v/>
      </c>
      <c r="AE277" s="13">
        <f>IF($AD277="","",p_factor_productividad*IFERROR(INDEX('ASIGNACIONES'!$H$4:$H$339,MATCH($O277&amp;"|"&amp;$R277&amp;"|"&amp;$AB277,'ASIGNACIONES'!$I$4:$I$339,0)),0)-$AD277)</f>
        <v/>
      </c>
      <c r="AF277" s="10">
        <f>IF($A277="","",IFERROR(INDEX('2_IMPORTAR_EJECUCION'!$F$9:$F$1208,MATCH($AN277,'2_IMPORTAR_EJECUCION'!$J$9:$J$1208,0)),0))</f>
        <v/>
      </c>
      <c r="AG277" s="10">
        <f>IF($A277="","",MAX(0,IFERROR(INDEX('2_IMPORTAR_EJECUCION'!$H$9:$H$1208,MATCH($AN277,'2_IMPORTAR_EJECUCION'!$J$9:$J$1208,0)),0)-$AF277))</f>
        <v/>
      </c>
      <c r="AH277" s="10">
        <f>IF($A277="","",$AF277+$AG277)</f>
        <v/>
      </c>
      <c r="AI277" s="6" t="n"/>
      <c r="AJ277" s="6" t="n"/>
      <c r="AK277" s="6" t="n"/>
      <c r="AL277" s="3">
        <f>IF($AK277="","",HYPERLINK(p_ruta_base_checklists&amp;$AK277,"abrir"))</f>
        <v/>
      </c>
      <c r="AM277" s="6" t="n"/>
      <c r="AN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1" t="n"/>
      <c r="K278" s="3" t="n"/>
      <c r="L278" s="10" t="n"/>
      <c r="M278" s="3">
        <f>IF($A278="","",IFERROR(INDEX('AJUSTES'!$B$4:$B$303,MATCH($AN278,'AJUSTES'!$A$4:$A$303,0)),IF($K278="","",$K278)))</f>
        <v/>
      </c>
      <c r="N278" s="3">
        <f>IF($A278="","",IFERROR(INDEX('CAT_ESTADOS_ERP'!$B$4:$B$7,MATCH(IFERROR(INDEX('2_IMPORTAR_EJECUCION'!$C$9:$C$1208,MATCH($AN278,'2_IMPORTAR_EJECUCION'!$J$9:$J$1208,0)),""),'CAT_ESTADOS_ERP'!$A$4:$A$7,0)),"Pendiente"))</f>
        <v/>
      </c>
      <c r="O278" s="3">
        <f>IF($J278="","",YEAR($J278+4-WEEKDAY($J278,2))&amp;"-S"&amp;TEXT(_xlfn.ISOWEEKNUM($J278),"00"))</f>
        <v/>
      </c>
      <c r="P278" s="3">
        <f>IF($J278="","",YEAR($J278))</f>
        <v/>
      </c>
      <c r="Q278" s="3">
        <f>IF($J278="","",MONTH($J278))</f>
        <v/>
      </c>
      <c r="R278" s="3">
        <f>IF($J278="","",INDEX(lista_dias,WEEKDAY($J278,2)))</f>
        <v/>
      </c>
      <c r="S278" s="3">
        <f>IF($I278="","",IFERROR(INDEX('CAT_TIPOS_OT'!$C$4:$C$7,MATCH($I278,'CAT_TIPOS_OT'!$A$4:$A$7,0)),"sin_clasificar"))</f>
        <v/>
      </c>
      <c r="T278" s="3">
        <f>IF($F278="","",IFERROR(INDEX('CAT_CENTROS_COSTO'!$E$4:$E$9,MATCH($F278,'CAT_CENTROS_COSTO'!$A$4:$A$9,0)),"(sin catálogo)"))</f>
        <v/>
      </c>
      <c r="U278" s="3">
        <f>IF($F278="","",IFERROR(INDEX('CAT_CENTROS_COSTO'!$D$4:$D$9,MATCH($F278,'CAT_CENTROS_COSTO'!$A$4:$A$9,0)),"(sin catálogo)"))</f>
        <v/>
      </c>
      <c r="V278" s="3">
        <f>IF($F278="","",IFERROR(INDEX('CAT_CENTROS_COSTO'!$F$4:$F$9,MATCH($F278,'CAT_CENTROS_COSTO'!$A$4:$A$9,0)),"(sin catálogo)"))</f>
        <v/>
      </c>
      <c r="W278" s="3">
        <f>IF($G278="","",IFERROR(INDEX('CAT_PUESTOS'!$B$4:$B$8,MATCH($G278,'CAT_PUESTOS'!$A$4:$A$8,0)),"(sin catálogo)"))</f>
        <v/>
      </c>
      <c r="X278" s="3">
        <f>IF($H278="","",IFERROR(INDEX('CAT_ACTIVIDADES'!$B$4:$B$8,MATCH($H278,'CAT_ACTIVIDADES'!$A$4:$A$8,0)),"(sin catálogo)"))</f>
        <v/>
      </c>
      <c r="Y278" s="12">
        <f>IF($J278="","",TODAY()-$J278)</f>
        <v/>
      </c>
      <c r="Z278" s="3">
        <f>IF($Y278="","",IF($Y278&lt;0,"FUTURO",IF($Y278&gt;p_dias_backlog_max,"BACKLOG","MES CORRIENTE")))</f>
        <v/>
      </c>
      <c r="AA278" s="3">
        <f>IF($Y278="",FALSE,AND($Y278&gt;p_dias_backlog_min,$Y278&lt;=p_dias_backlog_max))</f>
        <v/>
      </c>
      <c r="AB278" s="6" t="n"/>
      <c r="AC278" s="3">
        <f>IF($AB278="","",IFERROR(INDEX('ASIGNACIONES'!$F$4:$F$339,MATCH($O278&amp;"|"&amp;$R278&amp;"|"&amp;$AB278,'ASIGNACIONES'!$I$4:$I$339,0)),""))</f>
        <v/>
      </c>
      <c r="AD278" s="13">
        <f>IF($AB278="","",SUMIFS('ORDENES'!$M$4:$M$1203,'ORDENES'!$AB$4:$AB$1203,$AB278,'ORDENES'!$O$4:$O$1203,$O278,'ORDENES'!$R$4:$R$1203,$R278))</f>
        <v/>
      </c>
      <c r="AE278" s="13">
        <f>IF($AD278="","",p_factor_productividad*IFERROR(INDEX('ASIGNACIONES'!$H$4:$H$339,MATCH($O278&amp;"|"&amp;$R278&amp;"|"&amp;$AB278,'ASIGNACIONES'!$I$4:$I$339,0)),0)-$AD278)</f>
        <v/>
      </c>
      <c r="AF278" s="10">
        <f>IF($A278="","",IFERROR(INDEX('2_IMPORTAR_EJECUCION'!$F$9:$F$1208,MATCH($AN278,'2_IMPORTAR_EJECUCION'!$J$9:$J$1208,0)),0))</f>
        <v/>
      </c>
      <c r="AG278" s="10">
        <f>IF($A278="","",MAX(0,IFERROR(INDEX('2_IMPORTAR_EJECUCION'!$H$9:$H$1208,MATCH($AN278,'2_IMPORTAR_EJECUCION'!$J$9:$J$1208,0)),0)-$AF278))</f>
        <v/>
      </c>
      <c r="AH278" s="10">
        <f>IF($A278="","",$AF278+$AG278)</f>
        <v/>
      </c>
      <c r="AI278" s="6" t="n"/>
      <c r="AJ278" s="6" t="n"/>
      <c r="AK278" s="6" t="n"/>
      <c r="AL278" s="3">
        <f>IF($AK278="","",HYPERLINK(p_ruta_base_checklists&amp;$AK278,"abrir"))</f>
        <v/>
      </c>
      <c r="AM278" s="6" t="n"/>
      <c r="AN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1" t="n"/>
      <c r="K279" s="3" t="n"/>
      <c r="L279" s="10" t="n"/>
      <c r="M279" s="3">
        <f>IF($A279="","",IFERROR(INDEX('AJUSTES'!$B$4:$B$303,MATCH($AN279,'AJUSTES'!$A$4:$A$303,0)),IF($K279="","",$K279)))</f>
        <v/>
      </c>
      <c r="N279" s="3">
        <f>IF($A279="","",IFERROR(INDEX('CAT_ESTADOS_ERP'!$B$4:$B$7,MATCH(IFERROR(INDEX('2_IMPORTAR_EJECUCION'!$C$9:$C$1208,MATCH($AN279,'2_IMPORTAR_EJECUCION'!$J$9:$J$1208,0)),""),'CAT_ESTADOS_ERP'!$A$4:$A$7,0)),"Pendiente"))</f>
        <v/>
      </c>
      <c r="O279" s="3">
        <f>IF($J279="","",YEAR($J279+4-WEEKDAY($J279,2))&amp;"-S"&amp;TEXT(_xlfn.ISOWEEKNUM($J279),"00"))</f>
        <v/>
      </c>
      <c r="P279" s="3">
        <f>IF($J279="","",YEAR($J279))</f>
        <v/>
      </c>
      <c r="Q279" s="3">
        <f>IF($J279="","",MONTH($J279))</f>
        <v/>
      </c>
      <c r="R279" s="3">
        <f>IF($J279="","",INDEX(lista_dias,WEEKDAY($J279,2)))</f>
        <v/>
      </c>
      <c r="S279" s="3">
        <f>IF($I279="","",IFERROR(INDEX('CAT_TIPOS_OT'!$C$4:$C$7,MATCH($I279,'CAT_TIPOS_OT'!$A$4:$A$7,0)),"sin_clasificar"))</f>
        <v/>
      </c>
      <c r="T279" s="3">
        <f>IF($F279="","",IFERROR(INDEX('CAT_CENTROS_COSTO'!$E$4:$E$9,MATCH($F279,'CAT_CENTROS_COSTO'!$A$4:$A$9,0)),"(sin catálogo)"))</f>
        <v/>
      </c>
      <c r="U279" s="3">
        <f>IF($F279="","",IFERROR(INDEX('CAT_CENTROS_COSTO'!$D$4:$D$9,MATCH($F279,'CAT_CENTROS_COSTO'!$A$4:$A$9,0)),"(sin catálogo)"))</f>
        <v/>
      </c>
      <c r="V279" s="3">
        <f>IF($F279="","",IFERROR(INDEX('CAT_CENTROS_COSTO'!$F$4:$F$9,MATCH($F279,'CAT_CENTROS_COSTO'!$A$4:$A$9,0)),"(sin catálogo)"))</f>
        <v/>
      </c>
      <c r="W279" s="3">
        <f>IF($G279="","",IFERROR(INDEX('CAT_PUESTOS'!$B$4:$B$8,MATCH($G279,'CAT_PUESTOS'!$A$4:$A$8,0)),"(sin catálogo)"))</f>
        <v/>
      </c>
      <c r="X279" s="3">
        <f>IF($H279="","",IFERROR(INDEX('CAT_ACTIVIDADES'!$B$4:$B$8,MATCH($H279,'CAT_ACTIVIDADES'!$A$4:$A$8,0)),"(sin catálogo)"))</f>
        <v/>
      </c>
      <c r="Y279" s="12">
        <f>IF($J279="","",TODAY()-$J279)</f>
        <v/>
      </c>
      <c r="Z279" s="3">
        <f>IF($Y279="","",IF($Y279&lt;0,"FUTURO",IF($Y279&gt;p_dias_backlog_max,"BACKLOG","MES CORRIENTE")))</f>
        <v/>
      </c>
      <c r="AA279" s="3">
        <f>IF($Y279="",FALSE,AND($Y279&gt;p_dias_backlog_min,$Y279&lt;=p_dias_backlog_max))</f>
        <v/>
      </c>
      <c r="AB279" s="6" t="n"/>
      <c r="AC279" s="3">
        <f>IF($AB279="","",IFERROR(INDEX('ASIGNACIONES'!$F$4:$F$339,MATCH($O279&amp;"|"&amp;$R279&amp;"|"&amp;$AB279,'ASIGNACIONES'!$I$4:$I$339,0)),""))</f>
        <v/>
      </c>
      <c r="AD279" s="13">
        <f>IF($AB279="","",SUMIFS('ORDENES'!$M$4:$M$1203,'ORDENES'!$AB$4:$AB$1203,$AB279,'ORDENES'!$O$4:$O$1203,$O279,'ORDENES'!$R$4:$R$1203,$R279))</f>
        <v/>
      </c>
      <c r="AE279" s="13">
        <f>IF($AD279="","",p_factor_productividad*IFERROR(INDEX('ASIGNACIONES'!$H$4:$H$339,MATCH($O279&amp;"|"&amp;$R279&amp;"|"&amp;$AB279,'ASIGNACIONES'!$I$4:$I$339,0)),0)-$AD279)</f>
        <v/>
      </c>
      <c r="AF279" s="10">
        <f>IF($A279="","",IFERROR(INDEX('2_IMPORTAR_EJECUCION'!$F$9:$F$1208,MATCH($AN279,'2_IMPORTAR_EJECUCION'!$J$9:$J$1208,0)),0))</f>
        <v/>
      </c>
      <c r="AG279" s="10">
        <f>IF($A279="","",MAX(0,IFERROR(INDEX('2_IMPORTAR_EJECUCION'!$H$9:$H$1208,MATCH($AN279,'2_IMPORTAR_EJECUCION'!$J$9:$J$1208,0)),0)-$AF279))</f>
        <v/>
      </c>
      <c r="AH279" s="10">
        <f>IF($A279="","",$AF279+$AG279)</f>
        <v/>
      </c>
      <c r="AI279" s="6" t="n"/>
      <c r="AJ279" s="6" t="n"/>
      <c r="AK279" s="6" t="n"/>
      <c r="AL279" s="3">
        <f>IF($AK279="","",HYPERLINK(p_ruta_base_checklists&amp;$AK279,"abrir"))</f>
        <v/>
      </c>
      <c r="AM279" s="6" t="n"/>
      <c r="AN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1" t="n"/>
      <c r="K280" s="3" t="n"/>
      <c r="L280" s="10" t="n"/>
      <c r="M280" s="3">
        <f>IF($A280="","",IFERROR(INDEX('AJUSTES'!$B$4:$B$303,MATCH($AN280,'AJUSTES'!$A$4:$A$303,0)),IF($K280="","",$K280)))</f>
        <v/>
      </c>
      <c r="N280" s="3">
        <f>IF($A280="","",IFERROR(INDEX('CAT_ESTADOS_ERP'!$B$4:$B$7,MATCH(IFERROR(INDEX('2_IMPORTAR_EJECUCION'!$C$9:$C$1208,MATCH($AN280,'2_IMPORTAR_EJECUCION'!$J$9:$J$1208,0)),""),'CAT_ESTADOS_ERP'!$A$4:$A$7,0)),"Pendiente"))</f>
        <v/>
      </c>
      <c r="O280" s="3">
        <f>IF($J280="","",YEAR($J280+4-WEEKDAY($J280,2))&amp;"-S"&amp;TEXT(_xlfn.ISOWEEKNUM($J280),"00"))</f>
        <v/>
      </c>
      <c r="P280" s="3">
        <f>IF($J280="","",YEAR($J280))</f>
        <v/>
      </c>
      <c r="Q280" s="3">
        <f>IF($J280="","",MONTH($J280))</f>
        <v/>
      </c>
      <c r="R280" s="3">
        <f>IF($J280="","",INDEX(lista_dias,WEEKDAY($J280,2)))</f>
        <v/>
      </c>
      <c r="S280" s="3">
        <f>IF($I280="","",IFERROR(INDEX('CAT_TIPOS_OT'!$C$4:$C$7,MATCH($I280,'CAT_TIPOS_OT'!$A$4:$A$7,0)),"sin_clasificar"))</f>
        <v/>
      </c>
      <c r="T280" s="3">
        <f>IF($F280="","",IFERROR(INDEX('CAT_CENTROS_COSTO'!$E$4:$E$9,MATCH($F280,'CAT_CENTROS_COSTO'!$A$4:$A$9,0)),"(sin catálogo)"))</f>
        <v/>
      </c>
      <c r="U280" s="3">
        <f>IF($F280="","",IFERROR(INDEX('CAT_CENTROS_COSTO'!$D$4:$D$9,MATCH($F280,'CAT_CENTROS_COSTO'!$A$4:$A$9,0)),"(sin catálogo)"))</f>
        <v/>
      </c>
      <c r="V280" s="3">
        <f>IF($F280="","",IFERROR(INDEX('CAT_CENTROS_COSTO'!$F$4:$F$9,MATCH($F280,'CAT_CENTROS_COSTO'!$A$4:$A$9,0)),"(sin catálogo)"))</f>
        <v/>
      </c>
      <c r="W280" s="3">
        <f>IF($G280="","",IFERROR(INDEX('CAT_PUESTOS'!$B$4:$B$8,MATCH($G280,'CAT_PUESTOS'!$A$4:$A$8,0)),"(sin catálogo)"))</f>
        <v/>
      </c>
      <c r="X280" s="3">
        <f>IF($H280="","",IFERROR(INDEX('CAT_ACTIVIDADES'!$B$4:$B$8,MATCH($H280,'CAT_ACTIVIDADES'!$A$4:$A$8,0)),"(sin catálogo)"))</f>
        <v/>
      </c>
      <c r="Y280" s="12">
        <f>IF($J280="","",TODAY()-$J280)</f>
        <v/>
      </c>
      <c r="Z280" s="3">
        <f>IF($Y280="","",IF($Y280&lt;0,"FUTURO",IF($Y280&gt;p_dias_backlog_max,"BACKLOG","MES CORRIENTE")))</f>
        <v/>
      </c>
      <c r="AA280" s="3">
        <f>IF($Y280="",FALSE,AND($Y280&gt;p_dias_backlog_min,$Y280&lt;=p_dias_backlog_max))</f>
        <v/>
      </c>
      <c r="AB280" s="6" t="n"/>
      <c r="AC280" s="3">
        <f>IF($AB280="","",IFERROR(INDEX('ASIGNACIONES'!$F$4:$F$339,MATCH($O280&amp;"|"&amp;$R280&amp;"|"&amp;$AB280,'ASIGNACIONES'!$I$4:$I$339,0)),""))</f>
        <v/>
      </c>
      <c r="AD280" s="13">
        <f>IF($AB280="","",SUMIFS('ORDENES'!$M$4:$M$1203,'ORDENES'!$AB$4:$AB$1203,$AB280,'ORDENES'!$O$4:$O$1203,$O280,'ORDENES'!$R$4:$R$1203,$R280))</f>
        <v/>
      </c>
      <c r="AE280" s="13">
        <f>IF($AD280="","",p_factor_productividad*IFERROR(INDEX('ASIGNACIONES'!$H$4:$H$339,MATCH($O280&amp;"|"&amp;$R280&amp;"|"&amp;$AB280,'ASIGNACIONES'!$I$4:$I$339,0)),0)-$AD280)</f>
        <v/>
      </c>
      <c r="AF280" s="10">
        <f>IF($A280="","",IFERROR(INDEX('2_IMPORTAR_EJECUCION'!$F$9:$F$1208,MATCH($AN280,'2_IMPORTAR_EJECUCION'!$J$9:$J$1208,0)),0))</f>
        <v/>
      </c>
      <c r="AG280" s="10">
        <f>IF($A280="","",MAX(0,IFERROR(INDEX('2_IMPORTAR_EJECUCION'!$H$9:$H$1208,MATCH($AN280,'2_IMPORTAR_EJECUCION'!$J$9:$J$1208,0)),0)-$AF280))</f>
        <v/>
      </c>
      <c r="AH280" s="10">
        <f>IF($A280="","",$AF280+$AG280)</f>
        <v/>
      </c>
      <c r="AI280" s="6" t="n"/>
      <c r="AJ280" s="6" t="n"/>
      <c r="AK280" s="6" t="n"/>
      <c r="AL280" s="3">
        <f>IF($AK280="","",HYPERLINK(p_ruta_base_checklists&amp;$AK280,"abrir"))</f>
        <v/>
      </c>
      <c r="AM280" s="6" t="n"/>
      <c r="AN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1" t="n"/>
      <c r="K281" s="3" t="n"/>
      <c r="L281" s="10" t="n"/>
      <c r="M281" s="3">
        <f>IF($A281="","",IFERROR(INDEX('AJUSTES'!$B$4:$B$303,MATCH($AN281,'AJUSTES'!$A$4:$A$303,0)),IF($K281="","",$K281)))</f>
        <v/>
      </c>
      <c r="N281" s="3">
        <f>IF($A281="","",IFERROR(INDEX('CAT_ESTADOS_ERP'!$B$4:$B$7,MATCH(IFERROR(INDEX('2_IMPORTAR_EJECUCION'!$C$9:$C$1208,MATCH($AN281,'2_IMPORTAR_EJECUCION'!$J$9:$J$1208,0)),""),'CAT_ESTADOS_ERP'!$A$4:$A$7,0)),"Pendiente"))</f>
        <v/>
      </c>
      <c r="O281" s="3">
        <f>IF($J281="","",YEAR($J281+4-WEEKDAY($J281,2))&amp;"-S"&amp;TEXT(_xlfn.ISOWEEKNUM($J281),"00"))</f>
        <v/>
      </c>
      <c r="P281" s="3">
        <f>IF($J281="","",YEAR($J281))</f>
        <v/>
      </c>
      <c r="Q281" s="3">
        <f>IF($J281="","",MONTH($J281))</f>
        <v/>
      </c>
      <c r="R281" s="3">
        <f>IF($J281="","",INDEX(lista_dias,WEEKDAY($J281,2)))</f>
        <v/>
      </c>
      <c r="S281" s="3">
        <f>IF($I281="","",IFERROR(INDEX('CAT_TIPOS_OT'!$C$4:$C$7,MATCH($I281,'CAT_TIPOS_OT'!$A$4:$A$7,0)),"sin_clasificar"))</f>
        <v/>
      </c>
      <c r="T281" s="3">
        <f>IF($F281="","",IFERROR(INDEX('CAT_CENTROS_COSTO'!$E$4:$E$9,MATCH($F281,'CAT_CENTROS_COSTO'!$A$4:$A$9,0)),"(sin catálogo)"))</f>
        <v/>
      </c>
      <c r="U281" s="3">
        <f>IF($F281="","",IFERROR(INDEX('CAT_CENTROS_COSTO'!$D$4:$D$9,MATCH($F281,'CAT_CENTROS_COSTO'!$A$4:$A$9,0)),"(sin catálogo)"))</f>
        <v/>
      </c>
      <c r="V281" s="3">
        <f>IF($F281="","",IFERROR(INDEX('CAT_CENTROS_COSTO'!$F$4:$F$9,MATCH($F281,'CAT_CENTROS_COSTO'!$A$4:$A$9,0)),"(sin catálogo)"))</f>
        <v/>
      </c>
      <c r="W281" s="3">
        <f>IF($G281="","",IFERROR(INDEX('CAT_PUESTOS'!$B$4:$B$8,MATCH($G281,'CAT_PUESTOS'!$A$4:$A$8,0)),"(sin catálogo)"))</f>
        <v/>
      </c>
      <c r="X281" s="3">
        <f>IF($H281="","",IFERROR(INDEX('CAT_ACTIVIDADES'!$B$4:$B$8,MATCH($H281,'CAT_ACTIVIDADES'!$A$4:$A$8,0)),"(sin catálogo)"))</f>
        <v/>
      </c>
      <c r="Y281" s="12">
        <f>IF($J281="","",TODAY()-$J281)</f>
        <v/>
      </c>
      <c r="Z281" s="3">
        <f>IF($Y281="","",IF($Y281&lt;0,"FUTURO",IF($Y281&gt;p_dias_backlog_max,"BACKLOG","MES CORRIENTE")))</f>
        <v/>
      </c>
      <c r="AA281" s="3">
        <f>IF($Y281="",FALSE,AND($Y281&gt;p_dias_backlog_min,$Y281&lt;=p_dias_backlog_max))</f>
        <v/>
      </c>
      <c r="AB281" s="6" t="n"/>
      <c r="AC281" s="3">
        <f>IF($AB281="","",IFERROR(INDEX('ASIGNACIONES'!$F$4:$F$339,MATCH($O281&amp;"|"&amp;$R281&amp;"|"&amp;$AB281,'ASIGNACIONES'!$I$4:$I$339,0)),""))</f>
        <v/>
      </c>
      <c r="AD281" s="13">
        <f>IF($AB281="","",SUMIFS('ORDENES'!$M$4:$M$1203,'ORDENES'!$AB$4:$AB$1203,$AB281,'ORDENES'!$O$4:$O$1203,$O281,'ORDENES'!$R$4:$R$1203,$R281))</f>
        <v/>
      </c>
      <c r="AE281" s="13">
        <f>IF($AD281="","",p_factor_productividad*IFERROR(INDEX('ASIGNACIONES'!$H$4:$H$339,MATCH($O281&amp;"|"&amp;$R281&amp;"|"&amp;$AB281,'ASIGNACIONES'!$I$4:$I$339,0)),0)-$AD281)</f>
        <v/>
      </c>
      <c r="AF281" s="10">
        <f>IF($A281="","",IFERROR(INDEX('2_IMPORTAR_EJECUCION'!$F$9:$F$1208,MATCH($AN281,'2_IMPORTAR_EJECUCION'!$J$9:$J$1208,0)),0))</f>
        <v/>
      </c>
      <c r="AG281" s="10">
        <f>IF($A281="","",MAX(0,IFERROR(INDEX('2_IMPORTAR_EJECUCION'!$H$9:$H$1208,MATCH($AN281,'2_IMPORTAR_EJECUCION'!$J$9:$J$1208,0)),0)-$AF281))</f>
        <v/>
      </c>
      <c r="AH281" s="10">
        <f>IF($A281="","",$AF281+$AG281)</f>
        <v/>
      </c>
      <c r="AI281" s="6" t="n"/>
      <c r="AJ281" s="6" t="n"/>
      <c r="AK281" s="6" t="n"/>
      <c r="AL281" s="3">
        <f>IF($AK281="","",HYPERLINK(p_ruta_base_checklists&amp;$AK281,"abrir"))</f>
        <v/>
      </c>
      <c r="AM281" s="6" t="n"/>
      <c r="AN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1" t="n"/>
      <c r="K282" s="3" t="n"/>
      <c r="L282" s="10" t="n"/>
      <c r="M282" s="3">
        <f>IF($A282="","",IFERROR(INDEX('AJUSTES'!$B$4:$B$303,MATCH($AN282,'AJUSTES'!$A$4:$A$303,0)),IF($K282="","",$K282)))</f>
        <v/>
      </c>
      <c r="N282" s="3">
        <f>IF($A282="","",IFERROR(INDEX('CAT_ESTADOS_ERP'!$B$4:$B$7,MATCH(IFERROR(INDEX('2_IMPORTAR_EJECUCION'!$C$9:$C$1208,MATCH($AN282,'2_IMPORTAR_EJECUCION'!$J$9:$J$1208,0)),""),'CAT_ESTADOS_ERP'!$A$4:$A$7,0)),"Pendiente"))</f>
        <v/>
      </c>
      <c r="O282" s="3">
        <f>IF($J282="","",YEAR($J282+4-WEEKDAY($J282,2))&amp;"-S"&amp;TEXT(_xlfn.ISOWEEKNUM($J282),"00"))</f>
        <v/>
      </c>
      <c r="P282" s="3">
        <f>IF($J282="","",YEAR($J282))</f>
        <v/>
      </c>
      <c r="Q282" s="3">
        <f>IF($J282="","",MONTH($J282))</f>
        <v/>
      </c>
      <c r="R282" s="3">
        <f>IF($J282="","",INDEX(lista_dias,WEEKDAY($J282,2)))</f>
        <v/>
      </c>
      <c r="S282" s="3">
        <f>IF($I282="","",IFERROR(INDEX('CAT_TIPOS_OT'!$C$4:$C$7,MATCH($I282,'CAT_TIPOS_OT'!$A$4:$A$7,0)),"sin_clasificar"))</f>
        <v/>
      </c>
      <c r="T282" s="3">
        <f>IF($F282="","",IFERROR(INDEX('CAT_CENTROS_COSTO'!$E$4:$E$9,MATCH($F282,'CAT_CENTROS_COSTO'!$A$4:$A$9,0)),"(sin catálogo)"))</f>
        <v/>
      </c>
      <c r="U282" s="3">
        <f>IF($F282="","",IFERROR(INDEX('CAT_CENTROS_COSTO'!$D$4:$D$9,MATCH($F282,'CAT_CENTROS_COSTO'!$A$4:$A$9,0)),"(sin catálogo)"))</f>
        <v/>
      </c>
      <c r="V282" s="3">
        <f>IF($F282="","",IFERROR(INDEX('CAT_CENTROS_COSTO'!$F$4:$F$9,MATCH($F282,'CAT_CENTROS_COSTO'!$A$4:$A$9,0)),"(sin catálogo)"))</f>
        <v/>
      </c>
      <c r="W282" s="3">
        <f>IF($G282="","",IFERROR(INDEX('CAT_PUESTOS'!$B$4:$B$8,MATCH($G282,'CAT_PUESTOS'!$A$4:$A$8,0)),"(sin catálogo)"))</f>
        <v/>
      </c>
      <c r="X282" s="3">
        <f>IF($H282="","",IFERROR(INDEX('CAT_ACTIVIDADES'!$B$4:$B$8,MATCH($H282,'CAT_ACTIVIDADES'!$A$4:$A$8,0)),"(sin catálogo)"))</f>
        <v/>
      </c>
      <c r="Y282" s="12">
        <f>IF($J282="","",TODAY()-$J282)</f>
        <v/>
      </c>
      <c r="Z282" s="3">
        <f>IF($Y282="","",IF($Y282&lt;0,"FUTURO",IF($Y282&gt;p_dias_backlog_max,"BACKLOG","MES CORRIENTE")))</f>
        <v/>
      </c>
      <c r="AA282" s="3">
        <f>IF($Y282="",FALSE,AND($Y282&gt;p_dias_backlog_min,$Y282&lt;=p_dias_backlog_max))</f>
        <v/>
      </c>
      <c r="AB282" s="6" t="n"/>
      <c r="AC282" s="3">
        <f>IF($AB282="","",IFERROR(INDEX('ASIGNACIONES'!$F$4:$F$339,MATCH($O282&amp;"|"&amp;$R282&amp;"|"&amp;$AB282,'ASIGNACIONES'!$I$4:$I$339,0)),""))</f>
        <v/>
      </c>
      <c r="AD282" s="13">
        <f>IF($AB282="","",SUMIFS('ORDENES'!$M$4:$M$1203,'ORDENES'!$AB$4:$AB$1203,$AB282,'ORDENES'!$O$4:$O$1203,$O282,'ORDENES'!$R$4:$R$1203,$R282))</f>
        <v/>
      </c>
      <c r="AE282" s="13">
        <f>IF($AD282="","",p_factor_productividad*IFERROR(INDEX('ASIGNACIONES'!$H$4:$H$339,MATCH($O282&amp;"|"&amp;$R282&amp;"|"&amp;$AB282,'ASIGNACIONES'!$I$4:$I$339,0)),0)-$AD282)</f>
        <v/>
      </c>
      <c r="AF282" s="10">
        <f>IF($A282="","",IFERROR(INDEX('2_IMPORTAR_EJECUCION'!$F$9:$F$1208,MATCH($AN282,'2_IMPORTAR_EJECUCION'!$J$9:$J$1208,0)),0))</f>
        <v/>
      </c>
      <c r="AG282" s="10">
        <f>IF($A282="","",MAX(0,IFERROR(INDEX('2_IMPORTAR_EJECUCION'!$H$9:$H$1208,MATCH($AN282,'2_IMPORTAR_EJECUCION'!$J$9:$J$1208,0)),0)-$AF282))</f>
        <v/>
      </c>
      <c r="AH282" s="10">
        <f>IF($A282="","",$AF282+$AG282)</f>
        <v/>
      </c>
      <c r="AI282" s="6" t="n"/>
      <c r="AJ282" s="6" t="n"/>
      <c r="AK282" s="6" t="n"/>
      <c r="AL282" s="3">
        <f>IF($AK282="","",HYPERLINK(p_ruta_base_checklists&amp;$AK282,"abrir"))</f>
        <v/>
      </c>
      <c r="AM282" s="6" t="n"/>
      <c r="AN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1" t="n"/>
      <c r="K283" s="3" t="n"/>
      <c r="L283" s="10" t="n"/>
      <c r="M283" s="3">
        <f>IF($A283="","",IFERROR(INDEX('AJUSTES'!$B$4:$B$303,MATCH($AN283,'AJUSTES'!$A$4:$A$303,0)),IF($K283="","",$K283)))</f>
        <v/>
      </c>
      <c r="N283" s="3">
        <f>IF($A283="","",IFERROR(INDEX('CAT_ESTADOS_ERP'!$B$4:$B$7,MATCH(IFERROR(INDEX('2_IMPORTAR_EJECUCION'!$C$9:$C$1208,MATCH($AN283,'2_IMPORTAR_EJECUCION'!$J$9:$J$1208,0)),""),'CAT_ESTADOS_ERP'!$A$4:$A$7,0)),"Pendiente"))</f>
        <v/>
      </c>
      <c r="O283" s="3">
        <f>IF($J283="","",YEAR($J283+4-WEEKDAY($J283,2))&amp;"-S"&amp;TEXT(_xlfn.ISOWEEKNUM($J283),"00"))</f>
        <v/>
      </c>
      <c r="P283" s="3">
        <f>IF($J283="","",YEAR($J283))</f>
        <v/>
      </c>
      <c r="Q283" s="3">
        <f>IF($J283="","",MONTH($J283))</f>
        <v/>
      </c>
      <c r="R283" s="3">
        <f>IF($J283="","",INDEX(lista_dias,WEEKDAY($J283,2)))</f>
        <v/>
      </c>
      <c r="S283" s="3">
        <f>IF($I283="","",IFERROR(INDEX('CAT_TIPOS_OT'!$C$4:$C$7,MATCH($I283,'CAT_TIPOS_OT'!$A$4:$A$7,0)),"sin_clasificar"))</f>
        <v/>
      </c>
      <c r="T283" s="3">
        <f>IF($F283="","",IFERROR(INDEX('CAT_CENTROS_COSTO'!$E$4:$E$9,MATCH($F283,'CAT_CENTROS_COSTO'!$A$4:$A$9,0)),"(sin catálogo)"))</f>
        <v/>
      </c>
      <c r="U283" s="3">
        <f>IF($F283="","",IFERROR(INDEX('CAT_CENTROS_COSTO'!$D$4:$D$9,MATCH($F283,'CAT_CENTROS_COSTO'!$A$4:$A$9,0)),"(sin catálogo)"))</f>
        <v/>
      </c>
      <c r="V283" s="3">
        <f>IF($F283="","",IFERROR(INDEX('CAT_CENTROS_COSTO'!$F$4:$F$9,MATCH($F283,'CAT_CENTROS_COSTO'!$A$4:$A$9,0)),"(sin catálogo)"))</f>
        <v/>
      </c>
      <c r="W283" s="3">
        <f>IF($G283="","",IFERROR(INDEX('CAT_PUESTOS'!$B$4:$B$8,MATCH($G283,'CAT_PUESTOS'!$A$4:$A$8,0)),"(sin catálogo)"))</f>
        <v/>
      </c>
      <c r="X283" s="3">
        <f>IF($H283="","",IFERROR(INDEX('CAT_ACTIVIDADES'!$B$4:$B$8,MATCH($H283,'CAT_ACTIVIDADES'!$A$4:$A$8,0)),"(sin catálogo)"))</f>
        <v/>
      </c>
      <c r="Y283" s="12">
        <f>IF($J283="","",TODAY()-$J283)</f>
        <v/>
      </c>
      <c r="Z283" s="3">
        <f>IF($Y283="","",IF($Y283&lt;0,"FUTURO",IF($Y283&gt;p_dias_backlog_max,"BACKLOG","MES CORRIENTE")))</f>
        <v/>
      </c>
      <c r="AA283" s="3">
        <f>IF($Y283="",FALSE,AND($Y283&gt;p_dias_backlog_min,$Y283&lt;=p_dias_backlog_max))</f>
        <v/>
      </c>
      <c r="AB283" s="6" t="n"/>
      <c r="AC283" s="3">
        <f>IF($AB283="","",IFERROR(INDEX('ASIGNACIONES'!$F$4:$F$339,MATCH($O283&amp;"|"&amp;$R283&amp;"|"&amp;$AB283,'ASIGNACIONES'!$I$4:$I$339,0)),""))</f>
        <v/>
      </c>
      <c r="AD283" s="13">
        <f>IF($AB283="","",SUMIFS('ORDENES'!$M$4:$M$1203,'ORDENES'!$AB$4:$AB$1203,$AB283,'ORDENES'!$O$4:$O$1203,$O283,'ORDENES'!$R$4:$R$1203,$R283))</f>
        <v/>
      </c>
      <c r="AE283" s="13">
        <f>IF($AD283="","",p_factor_productividad*IFERROR(INDEX('ASIGNACIONES'!$H$4:$H$339,MATCH($O283&amp;"|"&amp;$R283&amp;"|"&amp;$AB283,'ASIGNACIONES'!$I$4:$I$339,0)),0)-$AD283)</f>
        <v/>
      </c>
      <c r="AF283" s="10">
        <f>IF($A283="","",IFERROR(INDEX('2_IMPORTAR_EJECUCION'!$F$9:$F$1208,MATCH($AN283,'2_IMPORTAR_EJECUCION'!$J$9:$J$1208,0)),0))</f>
        <v/>
      </c>
      <c r="AG283" s="10">
        <f>IF($A283="","",MAX(0,IFERROR(INDEX('2_IMPORTAR_EJECUCION'!$H$9:$H$1208,MATCH($AN283,'2_IMPORTAR_EJECUCION'!$J$9:$J$1208,0)),0)-$AF283))</f>
        <v/>
      </c>
      <c r="AH283" s="10">
        <f>IF($A283="","",$AF283+$AG283)</f>
        <v/>
      </c>
      <c r="AI283" s="6" t="n"/>
      <c r="AJ283" s="6" t="n"/>
      <c r="AK283" s="6" t="n"/>
      <c r="AL283" s="3">
        <f>IF($AK283="","",HYPERLINK(p_ruta_base_checklists&amp;$AK283,"abrir"))</f>
        <v/>
      </c>
      <c r="AM283" s="6" t="n"/>
      <c r="AN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1" t="n"/>
      <c r="K284" s="3" t="n"/>
      <c r="L284" s="10" t="n"/>
      <c r="M284" s="3">
        <f>IF($A284="","",IFERROR(INDEX('AJUSTES'!$B$4:$B$303,MATCH($AN284,'AJUSTES'!$A$4:$A$303,0)),IF($K284="","",$K284)))</f>
        <v/>
      </c>
      <c r="N284" s="3">
        <f>IF($A284="","",IFERROR(INDEX('CAT_ESTADOS_ERP'!$B$4:$B$7,MATCH(IFERROR(INDEX('2_IMPORTAR_EJECUCION'!$C$9:$C$1208,MATCH($AN284,'2_IMPORTAR_EJECUCION'!$J$9:$J$1208,0)),""),'CAT_ESTADOS_ERP'!$A$4:$A$7,0)),"Pendiente"))</f>
        <v/>
      </c>
      <c r="O284" s="3">
        <f>IF($J284="","",YEAR($J284+4-WEEKDAY($J284,2))&amp;"-S"&amp;TEXT(_xlfn.ISOWEEKNUM($J284),"00"))</f>
        <v/>
      </c>
      <c r="P284" s="3">
        <f>IF($J284="","",YEAR($J284))</f>
        <v/>
      </c>
      <c r="Q284" s="3">
        <f>IF($J284="","",MONTH($J284))</f>
        <v/>
      </c>
      <c r="R284" s="3">
        <f>IF($J284="","",INDEX(lista_dias,WEEKDAY($J284,2)))</f>
        <v/>
      </c>
      <c r="S284" s="3">
        <f>IF($I284="","",IFERROR(INDEX('CAT_TIPOS_OT'!$C$4:$C$7,MATCH($I284,'CAT_TIPOS_OT'!$A$4:$A$7,0)),"sin_clasificar"))</f>
        <v/>
      </c>
      <c r="T284" s="3">
        <f>IF($F284="","",IFERROR(INDEX('CAT_CENTROS_COSTO'!$E$4:$E$9,MATCH($F284,'CAT_CENTROS_COSTO'!$A$4:$A$9,0)),"(sin catálogo)"))</f>
        <v/>
      </c>
      <c r="U284" s="3">
        <f>IF($F284="","",IFERROR(INDEX('CAT_CENTROS_COSTO'!$D$4:$D$9,MATCH($F284,'CAT_CENTROS_COSTO'!$A$4:$A$9,0)),"(sin catálogo)"))</f>
        <v/>
      </c>
      <c r="V284" s="3">
        <f>IF($F284="","",IFERROR(INDEX('CAT_CENTROS_COSTO'!$F$4:$F$9,MATCH($F284,'CAT_CENTROS_COSTO'!$A$4:$A$9,0)),"(sin catálogo)"))</f>
        <v/>
      </c>
      <c r="W284" s="3">
        <f>IF($G284="","",IFERROR(INDEX('CAT_PUESTOS'!$B$4:$B$8,MATCH($G284,'CAT_PUESTOS'!$A$4:$A$8,0)),"(sin catálogo)"))</f>
        <v/>
      </c>
      <c r="X284" s="3">
        <f>IF($H284="","",IFERROR(INDEX('CAT_ACTIVIDADES'!$B$4:$B$8,MATCH($H284,'CAT_ACTIVIDADES'!$A$4:$A$8,0)),"(sin catálogo)"))</f>
        <v/>
      </c>
      <c r="Y284" s="12">
        <f>IF($J284="","",TODAY()-$J284)</f>
        <v/>
      </c>
      <c r="Z284" s="3">
        <f>IF($Y284="","",IF($Y284&lt;0,"FUTURO",IF($Y284&gt;p_dias_backlog_max,"BACKLOG","MES CORRIENTE")))</f>
        <v/>
      </c>
      <c r="AA284" s="3">
        <f>IF($Y284="",FALSE,AND($Y284&gt;p_dias_backlog_min,$Y284&lt;=p_dias_backlog_max))</f>
        <v/>
      </c>
      <c r="AB284" s="6" t="n"/>
      <c r="AC284" s="3">
        <f>IF($AB284="","",IFERROR(INDEX('ASIGNACIONES'!$F$4:$F$339,MATCH($O284&amp;"|"&amp;$R284&amp;"|"&amp;$AB284,'ASIGNACIONES'!$I$4:$I$339,0)),""))</f>
        <v/>
      </c>
      <c r="AD284" s="13">
        <f>IF($AB284="","",SUMIFS('ORDENES'!$M$4:$M$1203,'ORDENES'!$AB$4:$AB$1203,$AB284,'ORDENES'!$O$4:$O$1203,$O284,'ORDENES'!$R$4:$R$1203,$R284))</f>
        <v/>
      </c>
      <c r="AE284" s="13">
        <f>IF($AD284="","",p_factor_productividad*IFERROR(INDEX('ASIGNACIONES'!$H$4:$H$339,MATCH($O284&amp;"|"&amp;$R284&amp;"|"&amp;$AB284,'ASIGNACIONES'!$I$4:$I$339,0)),0)-$AD284)</f>
        <v/>
      </c>
      <c r="AF284" s="10">
        <f>IF($A284="","",IFERROR(INDEX('2_IMPORTAR_EJECUCION'!$F$9:$F$1208,MATCH($AN284,'2_IMPORTAR_EJECUCION'!$J$9:$J$1208,0)),0))</f>
        <v/>
      </c>
      <c r="AG284" s="10">
        <f>IF($A284="","",MAX(0,IFERROR(INDEX('2_IMPORTAR_EJECUCION'!$H$9:$H$1208,MATCH($AN284,'2_IMPORTAR_EJECUCION'!$J$9:$J$1208,0)),0)-$AF284))</f>
        <v/>
      </c>
      <c r="AH284" s="10">
        <f>IF($A284="","",$AF284+$AG284)</f>
        <v/>
      </c>
      <c r="AI284" s="6" t="n"/>
      <c r="AJ284" s="6" t="n"/>
      <c r="AK284" s="6" t="n"/>
      <c r="AL284" s="3">
        <f>IF($AK284="","",HYPERLINK(p_ruta_base_checklists&amp;$AK284,"abrir"))</f>
        <v/>
      </c>
      <c r="AM284" s="6" t="n"/>
      <c r="AN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1" t="n"/>
      <c r="K285" s="3" t="n"/>
      <c r="L285" s="10" t="n"/>
      <c r="M285" s="3">
        <f>IF($A285="","",IFERROR(INDEX('AJUSTES'!$B$4:$B$303,MATCH($AN285,'AJUSTES'!$A$4:$A$303,0)),IF($K285="","",$K285)))</f>
        <v/>
      </c>
      <c r="N285" s="3">
        <f>IF($A285="","",IFERROR(INDEX('CAT_ESTADOS_ERP'!$B$4:$B$7,MATCH(IFERROR(INDEX('2_IMPORTAR_EJECUCION'!$C$9:$C$1208,MATCH($AN285,'2_IMPORTAR_EJECUCION'!$J$9:$J$1208,0)),""),'CAT_ESTADOS_ERP'!$A$4:$A$7,0)),"Pendiente"))</f>
        <v/>
      </c>
      <c r="O285" s="3">
        <f>IF($J285="","",YEAR($J285+4-WEEKDAY($J285,2))&amp;"-S"&amp;TEXT(_xlfn.ISOWEEKNUM($J285),"00"))</f>
        <v/>
      </c>
      <c r="P285" s="3">
        <f>IF($J285="","",YEAR($J285))</f>
        <v/>
      </c>
      <c r="Q285" s="3">
        <f>IF($J285="","",MONTH($J285))</f>
        <v/>
      </c>
      <c r="R285" s="3">
        <f>IF($J285="","",INDEX(lista_dias,WEEKDAY($J285,2)))</f>
        <v/>
      </c>
      <c r="S285" s="3">
        <f>IF($I285="","",IFERROR(INDEX('CAT_TIPOS_OT'!$C$4:$C$7,MATCH($I285,'CAT_TIPOS_OT'!$A$4:$A$7,0)),"sin_clasificar"))</f>
        <v/>
      </c>
      <c r="T285" s="3">
        <f>IF($F285="","",IFERROR(INDEX('CAT_CENTROS_COSTO'!$E$4:$E$9,MATCH($F285,'CAT_CENTROS_COSTO'!$A$4:$A$9,0)),"(sin catálogo)"))</f>
        <v/>
      </c>
      <c r="U285" s="3">
        <f>IF($F285="","",IFERROR(INDEX('CAT_CENTROS_COSTO'!$D$4:$D$9,MATCH($F285,'CAT_CENTROS_COSTO'!$A$4:$A$9,0)),"(sin catálogo)"))</f>
        <v/>
      </c>
      <c r="V285" s="3">
        <f>IF($F285="","",IFERROR(INDEX('CAT_CENTROS_COSTO'!$F$4:$F$9,MATCH($F285,'CAT_CENTROS_COSTO'!$A$4:$A$9,0)),"(sin catálogo)"))</f>
        <v/>
      </c>
      <c r="W285" s="3">
        <f>IF($G285="","",IFERROR(INDEX('CAT_PUESTOS'!$B$4:$B$8,MATCH($G285,'CAT_PUESTOS'!$A$4:$A$8,0)),"(sin catálogo)"))</f>
        <v/>
      </c>
      <c r="X285" s="3">
        <f>IF($H285="","",IFERROR(INDEX('CAT_ACTIVIDADES'!$B$4:$B$8,MATCH($H285,'CAT_ACTIVIDADES'!$A$4:$A$8,0)),"(sin catálogo)"))</f>
        <v/>
      </c>
      <c r="Y285" s="12">
        <f>IF($J285="","",TODAY()-$J285)</f>
        <v/>
      </c>
      <c r="Z285" s="3">
        <f>IF($Y285="","",IF($Y285&lt;0,"FUTURO",IF($Y285&gt;p_dias_backlog_max,"BACKLOG","MES CORRIENTE")))</f>
        <v/>
      </c>
      <c r="AA285" s="3">
        <f>IF($Y285="",FALSE,AND($Y285&gt;p_dias_backlog_min,$Y285&lt;=p_dias_backlog_max))</f>
        <v/>
      </c>
      <c r="AB285" s="6" t="n"/>
      <c r="AC285" s="3">
        <f>IF($AB285="","",IFERROR(INDEX('ASIGNACIONES'!$F$4:$F$339,MATCH($O285&amp;"|"&amp;$R285&amp;"|"&amp;$AB285,'ASIGNACIONES'!$I$4:$I$339,0)),""))</f>
        <v/>
      </c>
      <c r="AD285" s="13">
        <f>IF($AB285="","",SUMIFS('ORDENES'!$M$4:$M$1203,'ORDENES'!$AB$4:$AB$1203,$AB285,'ORDENES'!$O$4:$O$1203,$O285,'ORDENES'!$R$4:$R$1203,$R285))</f>
        <v/>
      </c>
      <c r="AE285" s="13">
        <f>IF($AD285="","",p_factor_productividad*IFERROR(INDEX('ASIGNACIONES'!$H$4:$H$339,MATCH($O285&amp;"|"&amp;$R285&amp;"|"&amp;$AB285,'ASIGNACIONES'!$I$4:$I$339,0)),0)-$AD285)</f>
        <v/>
      </c>
      <c r="AF285" s="10">
        <f>IF($A285="","",IFERROR(INDEX('2_IMPORTAR_EJECUCION'!$F$9:$F$1208,MATCH($AN285,'2_IMPORTAR_EJECUCION'!$J$9:$J$1208,0)),0))</f>
        <v/>
      </c>
      <c r="AG285" s="10">
        <f>IF($A285="","",MAX(0,IFERROR(INDEX('2_IMPORTAR_EJECUCION'!$H$9:$H$1208,MATCH($AN285,'2_IMPORTAR_EJECUCION'!$J$9:$J$1208,0)),0)-$AF285))</f>
        <v/>
      </c>
      <c r="AH285" s="10">
        <f>IF($A285="","",$AF285+$AG285)</f>
        <v/>
      </c>
      <c r="AI285" s="6" t="n"/>
      <c r="AJ285" s="6" t="n"/>
      <c r="AK285" s="6" t="n"/>
      <c r="AL285" s="3">
        <f>IF($AK285="","",HYPERLINK(p_ruta_base_checklists&amp;$AK285,"abrir"))</f>
        <v/>
      </c>
      <c r="AM285" s="6" t="n"/>
      <c r="AN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1" t="n"/>
      <c r="K286" s="3" t="n"/>
      <c r="L286" s="10" t="n"/>
      <c r="M286" s="3">
        <f>IF($A286="","",IFERROR(INDEX('AJUSTES'!$B$4:$B$303,MATCH($AN286,'AJUSTES'!$A$4:$A$303,0)),IF($K286="","",$K286)))</f>
        <v/>
      </c>
      <c r="N286" s="3">
        <f>IF($A286="","",IFERROR(INDEX('CAT_ESTADOS_ERP'!$B$4:$B$7,MATCH(IFERROR(INDEX('2_IMPORTAR_EJECUCION'!$C$9:$C$1208,MATCH($AN286,'2_IMPORTAR_EJECUCION'!$J$9:$J$1208,0)),""),'CAT_ESTADOS_ERP'!$A$4:$A$7,0)),"Pendiente"))</f>
        <v/>
      </c>
      <c r="O286" s="3">
        <f>IF($J286="","",YEAR($J286+4-WEEKDAY($J286,2))&amp;"-S"&amp;TEXT(_xlfn.ISOWEEKNUM($J286),"00"))</f>
        <v/>
      </c>
      <c r="P286" s="3">
        <f>IF($J286="","",YEAR($J286))</f>
        <v/>
      </c>
      <c r="Q286" s="3">
        <f>IF($J286="","",MONTH($J286))</f>
        <v/>
      </c>
      <c r="R286" s="3">
        <f>IF($J286="","",INDEX(lista_dias,WEEKDAY($J286,2)))</f>
        <v/>
      </c>
      <c r="S286" s="3">
        <f>IF($I286="","",IFERROR(INDEX('CAT_TIPOS_OT'!$C$4:$C$7,MATCH($I286,'CAT_TIPOS_OT'!$A$4:$A$7,0)),"sin_clasificar"))</f>
        <v/>
      </c>
      <c r="T286" s="3">
        <f>IF($F286="","",IFERROR(INDEX('CAT_CENTROS_COSTO'!$E$4:$E$9,MATCH($F286,'CAT_CENTROS_COSTO'!$A$4:$A$9,0)),"(sin catálogo)"))</f>
        <v/>
      </c>
      <c r="U286" s="3">
        <f>IF($F286="","",IFERROR(INDEX('CAT_CENTROS_COSTO'!$D$4:$D$9,MATCH($F286,'CAT_CENTROS_COSTO'!$A$4:$A$9,0)),"(sin catálogo)"))</f>
        <v/>
      </c>
      <c r="V286" s="3">
        <f>IF($F286="","",IFERROR(INDEX('CAT_CENTROS_COSTO'!$F$4:$F$9,MATCH($F286,'CAT_CENTROS_COSTO'!$A$4:$A$9,0)),"(sin catálogo)"))</f>
        <v/>
      </c>
      <c r="W286" s="3">
        <f>IF($G286="","",IFERROR(INDEX('CAT_PUESTOS'!$B$4:$B$8,MATCH($G286,'CAT_PUESTOS'!$A$4:$A$8,0)),"(sin catálogo)"))</f>
        <v/>
      </c>
      <c r="X286" s="3">
        <f>IF($H286="","",IFERROR(INDEX('CAT_ACTIVIDADES'!$B$4:$B$8,MATCH($H286,'CAT_ACTIVIDADES'!$A$4:$A$8,0)),"(sin catálogo)"))</f>
        <v/>
      </c>
      <c r="Y286" s="12">
        <f>IF($J286="","",TODAY()-$J286)</f>
        <v/>
      </c>
      <c r="Z286" s="3">
        <f>IF($Y286="","",IF($Y286&lt;0,"FUTURO",IF($Y286&gt;p_dias_backlog_max,"BACKLOG","MES CORRIENTE")))</f>
        <v/>
      </c>
      <c r="AA286" s="3">
        <f>IF($Y286="",FALSE,AND($Y286&gt;p_dias_backlog_min,$Y286&lt;=p_dias_backlog_max))</f>
        <v/>
      </c>
      <c r="AB286" s="6" t="n"/>
      <c r="AC286" s="3">
        <f>IF($AB286="","",IFERROR(INDEX('ASIGNACIONES'!$F$4:$F$339,MATCH($O286&amp;"|"&amp;$R286&amp;"|"&amp;$AB286,'ASIGNACIONES'!$I$4:$I$339,0)),""))</f>
        <v/>
      </c>
      <c r="AD286" s="13">
        <f>IF($AB286="","",SUMIFS('ORDENES'!$M$4:$M$1203,'ORDENES'!$AB$4:$AB$1203,$AB286,'ORDENES'!$O$4:$O$1203,$O286,'ORDENES'!$R$4:$R$1203,$R286))</f>
        <v/>
      </c>
      <c r="AE286" s="13">
        <f>IF($AD286="","",p_factor_productividad*IFERROR(INDEX('ASIGNACIONES'!$H$4:$H$339,MATCH($O286&amp;"|"&amp;$R286&amp;"|"&amp;$AB286,'ASIGNACIONES'!$I$4:$I$339,0)),0)-$AD286)</f>
        <v/>
      </c>
      <c r="AF286" s="10">
        <f>IF($A286="","",IFERROR(INDEX('2_IMPORTAR_EJECUCION'!$F$9:$F$1208,MATCH($AN286,'2_IMPORTAR_EJECUCION'!$J$9:$J$1208,0)),0))</f>
        <v/>
      </c>
      <c r="AG286" s="10">
        <f>IF($A286="","",MAX(0,IFERROR(INDEX('2_IMPORTAR_EJECUCION'!$H$9:$H$1208,MATCH($AN286,'2_IMPORTAR_EJECUCION'!$J$9:$J$1208,0)),0)-$AF286))</f>
        <v/>
      </c>
      <c r="AH286" s="10">
        <f>IF($A286="","",$AF286+$AG286)</f>
        <v/>
      </c>
      <c r="AI286" s="6" t="n"/>
      <c r="AJ286" s="6" t="n"/>
      <c r="AK286" s="6" t="n"/>
      <c r="AL286" s="3">
        <f>IF($AK286="","",HYPERLINK(p_ruta_base_checklists&amp;$AK286,"abrir"))</f>
        <v/>
      </c>
      <c r="AM286" s="6" t="n"/>
      <c r="AN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1" t="n"/>
      <c r="K287" s="3" t="n"/>
      <c r="L287" s="10" t="n"/>
      <c r="M287" s="3">
        <f>IF($A287="","",IFERROR(INDEX('AJUSTES'!$B$4:$B$303,MATCH($AN287,'AJUSTES'!$A$4:$A$303,0)),IF($K287="","",$K287)))</f>
        <v/>
      </c>
      <c r="N287" s="3">
        <f>IF($A287="","",IFERROR(INDEX('CAT_ESTADOS_ERP'!$B$4:$B$7,MATCH(IFERROR(INDEX('2_IMPORTAR_EJECUCION'!$C$9:$C$1208,MATCH($AN287,'2_IMPORTAR_EJECUCION'!$J$9:$J$1208,0)),""),'CAT_ESTADOS_ERP'!$A$4:$A$7,0)),"Pendiente"))</f>
        <v/>
      </c>
      <c r="O287" s="3">
        <f>IF($J287="","",YEAR($J287+4-WEEKDAY($J287,2))&amp;"-S"&amp;TEXT(_xlfn.ISOWEEKNUM($J287),"00"))</f>
        <v/>
      </c>
      <c r="P287" s="3">
        <f>IF($J287="","",YEAR($J287))</f>
        <v/>
      </c>
      <c r="Q287" s="3">
        <f>IF($J287="","",MONTH($J287))</f>
        <v/>
      </c>
      <c r="R287" s="3">
        <f>IF($J287="","",INDEX(lista_dias,WEEKDAY($J287,2)))</f>
        <v/>
      </c>
      <c r="S287" s="3">
        <f>IF($I287="","",IFERROR(INDEX('CAT_TIPOS_OT'!$C$4:$C$7,MATCH($I287,'CAT_TIPOS_OT'!$A$4:$A$7,0)),"sin_clasificar"))</f>
        <v/>
      </c>
      <c r="T287" s="3">
        <f>IF($F287="","",IFERROR(INDEX('CAT_CENTROS_COSTO'!$E$4:$E$9,MATCH($F287,'CAT_CENTROS_COSTO'!$A$4:$A$9,0)),"(sin catálogo)"))</f>
        <v/>
      </c>
      <c r="U287" s="3">
        <f>IF($F287="","",IFERROR(INDEX('CAT_CENTROS_COSTO'!$D$4:$D$9,MATCH($F287,'CAT_CENTROS_COSTO'!$A$4:$A$9,0)),"(sin catálogo)"))</f>
        <v/>
      </c>
      <c r="V287" s="3">
        <f>IF($F287="","",IFERROR(INDEX('CAT_CENTROS_COSTO'!$F$4:$F$9,MATCH($F287,'CAT_CENTROS_COSTO'!$A$4:$A$9,0)),"(sin catálogo)"))</f>
        <v/>
      </c>
      <c r="W287" s="3">
        <f>IF($G287="","",IFERROR(INDEX('CAT_PUESTOS'!$B$4:$B$8,MATCH($G287,'CAT_PUESTOS'!$A$4:$A$8,0)),"(sin catálogo)"))</f>
        <v/>
      </c>
      <c r="X287" s="3">
        <f>IF($H287="","",IFERROR(INDEX('CAT_ACTIVIDADES'!$B$4:$B$8,MATCH($H287,'CAT_ACTIVIDADES'!$A$4:$A$8,0)),"(sin catálogo)"))</f>
        <v/>
      </c>
      <c r="Y287" s="12">
        <f>IF($J287="","",TODAY()-$J287)</f>
        <v/>
      </c>
      <c r="Z287" s="3">
        <f>IF($Y287="","",IF($Y287&lt;0,"FUTURO",IF($Y287&gt;p_dias_backlog_max,"BACKLOG","MES CORRIENTE")))</f>
        <v/>
      </c>
      <c r="AA287" s="3">
        <f>IF($Y287="",FALSE,AND($Y287&gt;p_dias_backlog_min,$Y287&lt;=p_dias_backlog_max))</f>
        <v/>
      </c>
      <c r="AB287" s="6" t="n"/>
      <c r="AC287" s="3">
        <f>IF($AB287="","",IFERROR(INDEX('ASIGNACIONES'!$F$4:$F$339,MATCH($O287&amp;"|"&amp;$R287&amp;"|"&amp;$AB287,'ASIGNACIONES'!$I$4:$I$339,0)),""))</f>
        <v/>
      </c>
      <c r="AD287" s="13">
        <f>IF($AB287="","",SUMIFS('ORDENES'!$M$4:$M$1203,'ORDENES'!$AB$4:$AB$1203,$AB287,'ORDENES'!$O$4:$O$1203,$O287,'ORDENES'!$R$4:$R$1203,$R287))</f>
        <v/>
      </c>
      <c r="AE287" s="13">
        <f>IF($AD287="","",p_factor_productividad*IFERROR(INDEX('ASIGNACIONES'!$H$4:$H$339,MATCH($O287&amp;"|"&amp;$R287&amp;"|"&amp;$AB287,'ASIGNACIONES'!$I$4:$I$339,0)),0)-$AD287)</f>
        <v/>
      </c>
      <c r="AF287" s="10">
        <f>IF($A287="","",IFERROR(INDEX('2_IMPORTAR_EJECUCION'!$F$9:$F$1208,MATCH($AN287,'2_IMPORTAR_EJECUCION'!$J$9:$J$1208,0)),0))</f>
        <v/>
      </c>
      <c r="AG287" s="10">
        <f>IF($A287="","",MAX(0,IFERROR(INDEX('2_IMPORTAR_EJECUCION'!$H$9:$H$1208,MATCH($AN287,'2_IMPORTAR_EJECUCION'!$J$9:$J$1208,0)),0)-$AF287))</f>
        <v/>
      </c>
      <c r="AH287" s="10">
        <f>IF($A287="","",$AF287+$AG287)</f>
        <v/>
      </c>
      <c r="AI287" s="6" t="n"/>
      <c r="AJ287" s="6" t="n"/>
      <c r="AK287" s="6" t="n"/>
      <c r="AL287" s="3">
        <f>IF($AK287="","",HYPERLINK(p_ruta_base_checklists&amp;$AK287,"abrir"))</f>
        <v/>
      </c>
      <c r="AM287" s="6" t="n"/>
      <c r="AN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1" t="n"/>
      <c r="K288" s="3" t="n"/>
      <c r="L288" s="10" t="n"/>
      <c r="M288" s="3">
        <f>IF($A288="","",IFERROR(INDEX('AJUSTES'!$B$4:$B$303,MATCH($AN288,'AJUSTES'!$A$4:$A$303,0)),IF($K288="","",$K288)))</f>
        <v/>
      </c>
      <c r="N288" s="3">
        <f>IF($A288="","",IFERROR(INDEX('CAT_ESTADOS_ERP'!$B$4:$B$7,MATCH(IFERROR(INDEX('2_IMPORTAR_EJECUCION'!$C$9:$C$1208,MATCH($AN288,'2_IMPORTAR_EJECUCION'!$J$9:$J$1208,0)),""),'CAT_ESTADOS_ERP'!$A$4:$A$7,0)),"Pendiente"))</f>
        <v/>
      </c>
      <c r="O288" s="3">
        <f>IF($J288="","",YEAR($J288+4-WEEKDAY($J288,2))&amp;"-S"&amp;TEXT(_xlfn.ISOWEEKNUM($J288),"00"))</f>
        <v/>
      </c>
      <c r="P288" s="3">
        <f>IF($J288="","",YEAR($J288))</f>
        <v/>
      </c>
      <c r="Q288" s="3">
        <f>IF($J288="","",MONTH($J288))</f>
        <v/>
      </c>
      <c r="R288" s="3">
        <f>IF($J288="","",INDEX(lista_dias,WEEKDAY($J288,2)))</f>
        <v/>
      </c>
      <c r="S288" s="3">
        <f>IF($I288="","",IFERROR(INDEX('CAT_TIPOS_OT'!$C$4:$C$7,MATCH($I288,'CAT_TIPOS_OT'!$A$4:$A$7,0)),"sin_clasificar"))</f>
        <v/>
      </c>
      <c r="T288" s="3">
        <f>IF($F288="","",IFERROR(INDEX('CAT_CENTROS_COSTO'!$E$4:$E$9,MATCH($F288,'CAT_CENTROS_COSTO'!$A$4:$A$9,0)),"(sin catálogo)"))</f>
        <v/>
      </c>
      <c r="U288" s="3">
        <f>IF($F288="","",IFERROR(INDEX('CAT_CENTROS_COSTO'!$D$4:$D$9,MATCH($F288,'CAT_CENTROS_COSTO'!$A$4:$A$9,0)),"(sin catálogo)"))</f>
        <v/>
      </c>
      <c r="V288" s="3">
        <f>IF($F288="","",IFERROR(INDEX('CAT_CENTROS_COSTO'!$F$4:$F$9,MATCH($F288,'CAT_CENTROS_COSTO'!$A$4:$A$9,0)),"(sin catálogo)"))</f>
        <v/>
      </c>
      <c r="W288" s="3">
        <f>IF($G288="","",IFERROR(INDEX('CAT_PUESTOS'!$B$4:$B$8,MATCH($G288,'CAT_PUESTOS'!$A$4:$A$8,0)),"(sin catálogo)"))</f>
        <v/>
      </c>
      <c r="X288" s="3">
        <f>IF($H288="","",IFERROR(INDEX('CAT_ACTIVIDADES'!$B$4:$B$8,MATCH($H288,'CAT_ACTIVIDADES'!$A$4:$A$8,0)),"(sin catálogo)"))</f>
        <v/>
      </c>
      <c r="Y288" s="12">
        <f>IF($J288="","",TODAY()-$J288)</f>
        <v/>
      </c>
      <c r="Z288" s="3">
        <f>IF($Y288="","",IF($Y288&lt;0,"FUTURO",IF($Y288&gt;p_dias_backlog_max,"BACKLOG","MES CORRIENTE")))</f>
        <v/>
      </c>
      <c r="AA288" s="3">
        <f>IF($Y288="",FALSE,AND($Y288&gt;p_dias_backlog_min,$Y288&lt;=p_dias_backlog_max))</f>
        <v/>
      </c>
      <c r="AB288" s="6" t="n"/>
      <c r="AC288" s="3">
        <f>IF($AB288="","",IFERROR(INDEX('ASIGNACIONES'!$F$4:$F$339,MATCH($O288&amp;"|"&amp;$R288&amp;"|"&amp;$AB288,'ASIGNACIONES'!$I$4:$I$339,0)),""))</f>
        <v/>
      </c>
      <c r="AD288" s="13">
        <f>IF($AB288="","",SUMIFS('ORDENES'!$M$4:$M$1203,'ORDENES'!$AB$4:$AB$1203,$AB288,'ORDENES'!$O$4:$O$1203,$O288,'ORDENES'!$R$4:$R$1203,$R288))</f>
        <v/>
      </c>
      <c r="AE288" s="13">
        <f>IF($AD288="","",p_factor_productividad*IFERROR(INDEX('ASIGNACIONES'!$H$4:$H$339,MATCH($O288&amp;"|"&amp;$R288&amp;"|"&amp;$AB288,'ASIGNACIONES'!$I$4:$I$339,0)),0)-$AD288)</f>
        <v/>
      </c>
      <c r="AF288" s="10">
        <f>IF($A288="","",IFERROR(INDEX('2_IMPORTAR_EJECUCION'!$F$9:$F$1208,MATCH($AN288,'2_IMPORTAR_EJECUCION'!$J$9:$J$1208,0)),0))</f>
        <v/>
      </c>
      <c r="AG288" s="10">
        <f>IF($A288="","",MAX(0,IFERROR(INDEX('2_IMPORTAR_EJECUCION'!$H$9:$H$1208,MATCH($AN288,'2_IMPORTAR_EJECUCION'!$J$9:$J$1208,0)),0)-$AF288))</f>
        <v/>
      </c>
      <c r="AH288" s="10">
        <f>IF($A288="","",$AF288+$AG288)</f>
        <v/>
      </c>
      <c r="AI288" s="6" t="n"/>
      <c r="AJ288" s="6" t="n"/>
      <c r="AK288" s="6" t="n"/>
      <c r="AL288" s="3">
        <f>IF($AK288="","",HYPERLINK(p_ruta_base_checklists&amp;$AK288,"abrir"))</f>
        <v/>
      </c>
      <c r="AM288" s="6" t="n"/>
      <c r="AN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1" t="n"/>
      <c r="K289" s="3" t="n"/>
      <c r="L289" s="10" t="n"/>
      <c r="M289" s="3">
        <f>IF($A289="","",IFERROR(INDEX('AJUSTES'!$B$4:$B$303,MATCH($AN289,'AJUSTES'!$A$4:$A$303,0)),IF($K289="","",$K289)))</f>
        <v/>
      </c>
      <c r="N289" s="3">
        <f>IF($A289="","",IFERROR(INDEX('CAT_ESTADOS_ERP'!$B$4:$B$7,MATCH(IFERROR(INDEX('2_IMPORTAR_EJECUCION'!$C$9:$C$1208,MATCH($AN289,'2_IMPORTAR_EJECUCION'!$J$9:$J$1208,0)),""),'CAT_ESTADOS_ERP'!$A$4:$A$7,0)),"Pendiente"))</f>
        <v/>
      </c>
      <c r="O289" s="3">
        <f>IF($J289="","",YEAR($J289+4-WEEKDAY($J289,2))&amp;"-S"&amp;TEXT(_xlfn.ISOWEEKNUM($J289),"00"))</f>
        <v/>
      </c>
      <c r="P289" s="3">
        <f>IF($J289="","",YEAR($J289))</f>
        <v/>
      </c>
      <c r="Q289" s="3">
        <f>IF($J289="","",MONTH($J289))</f>
        <v/>
      </c>
      <c r="R289" s="3">
        <f>IF($J289="","",INDEX(lista_dias,WEEKDAY($J289,2)))</f>
        <v/>
      </c>
      <c r="S289" s="3">
        <f>IF($I289="","",IFERROR(INDEX('CAT_TIPOS_OT'!$C$4:$C$7,MATCH($I289,'CAT_TIPOS_OT'!$A$4:$A$7,0)),"sin_clasificar"))</f>
        <v/>
      </c>
      <c r="T289" s="3">
        <f>IF($F289="","",IFERROR(INDEX('CAT_CENTROS_COSTO'!$E$4:$E$9,MATCH($F289,'CAT_CENTROS_COSTO'!$A$4:$A$9,0)),"(sin catálogo)"))</f>
        <v/>
      </c>
      <c r="U289" s="3">
        <f>IF($F289="","",IFERROR(INDEX('CAT_CENTROS_COSTO'!$D$4:$D$9,MATCH($F289,'CAT_CENTROS_COSTO'!$A$4:$A$9,0)),"(sin catálogo)"))</f>
        <v/>
      </c>
      <c r="V289" s="3">
        <f>IF($F289="","",IFERROR(INDEX('CAT_CENTROS_COSTO'!$F$4:$F$9,MATCH($F289,'CAT_CENTROS_COSTO'!$A$4:$A$9,0)),"(sin catálogo)"))</f>
        <v/>
      </c>
      <c r="W289" s="3">
        <f>IF($G289="","",IFERROR(INDEX('CAT_PUESTOS'!$B$4:$B$8,MATCH($G289,'CAT_PUESTOS'!$A$4:$A$8,0)),"(sin catálogo)"))</f>
        <v/>
      </c>
      <c r="X289" s="3">
        <f>IF($H289="","",IFERROR(INDEX('CAT_ACTIVIDADES'!$B$4:$B$8,MATCH($H289,'CAT_ACTIVIDADES'!$A$4:$A$8,0)),"(sin catálogo)"))</f>
        <v/>
      </c>
      <c r="Y289" s="12">
        <f>IF($J289="","",TODAY()-$J289)</f>
        <v/>
      </c>
      <c r="Z289" s="3">
        <f>IF($Y289="","",IF($Y289&lt;0,"FUTURO",IF($Y289&gt;p_dias_backlog_max,"BACKLOG","MES CORRIENTE")))</f>
        <v/>
      </c>
      <c r="AA289" s="3">
        <f>IF($Y289="",FALSE,AND($Y289&gt;p_dias_backlog_min,$Y289&lt;=p_dias_backlog_max))</f>
        <v/>
      </c>
      <c r="AB289" s="6" t="n"/>
      <c r="AC289" s="3">
        <f>IF($AB289="","",IFERROR(INDEX('ASIGNACIONES'!$F$4:$F$339,MATCH($O289&amp;"|"&amp;$R289&amp;"|"&amp;$AB289,'ASIGNACIONES'!$I$4:$I$339,0)),""))</f>
        <v/>
      </c>
      <c r="AD289" s="13">
        <f>IF($AB289="","",SUMIFS('ORDENES'!$M$4:$M$1203,'ORDENES'!$AB$4:$AB$1203,$AB289,'ORDENES'!$O$4:$O$1203,$O289,'ORDENES'!$R$4:$R$1203,$R289))</f>
        <v/>
      </c>
      <c r="AE289" s="13">
        <f>IF($AD289="","",p_factor_productividad*IFERROR(INDEX('ASIGNACIONES'!$H$4:$H$339,MATCH($O289&amp;"|"&amp;$R289&amp;"|"&amp;$AB289,'ASIGNACIONES'!$I$4:$I$339,0)),0)-$AD289)</f>
        <v/>
      </c>
      <c r="AF289" s="10">
        <f>IF($A289="","",IFERROR(INDEX('2_IMPORTAR_EJECUCION'!$F$9:$F$1208,MATCH($AN289,'2_IMPORTAR_EJECUCION'!$J$9:$J$1208,0)),0))</f>
        <v/>
      </c>
      <c r="AG289" s="10">
        <f>IF($A289="","",MAX(0,IFERROR(INDEX('2_IMPORTAR_EJECUCION'!$H$9:$H$1208,MATCH($AN289,'2_IMPORTAR_EJECUCION'!$J$9:$J$1208,0)),0)-$AF289))</f>
        <v/>
      </c>
      <c r="AH289" s="10">
        <f>IF($A289="","",$AF289+$AG289)</f>
        <v/>
      </c>
      <c r="AI289" s="6" t="n"/>
      <c r="AJ289" s="6" t="n"/>
      <c r="AK289" s="6" t="n"/>
      <c r="AL289" s="3">
        <f>IF($AK289="","",HYPERLINK(p_ruta_base_checklists&amp;$AK289,"abrir"))</f>
        <v/>
      </c>
      <c r="AM289" s="6" t="n"/>
      <c r="AN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1" t="n"/>
      <c r="K290" s="3" t="n"/>
      <c r="L290" s="10" t="n"/>
      <c r="M290" s="3">
        <f>IF($A290="","",IFERROR(INDEX('AJUSTES'!$B$4:$B$303,MATCH($AN290,'AJUSTES'!$A$4:$A$303,0)),IF($K290="","",$K290)))</f>
        <v/>
      </c>
      <c r="N290" s="3">
        <f>IF($A290="","",IFERROR(INDEX('CAT_ESTADOS_ERP'!$B$4:$B$7,MATCH(IFERROR(INDEX('2_IMPORTAR_EJECUCION'!$C$9:$C$1208,MATCH($AN290,'2_IMPORTAR_EJECUCION'!$J$9:$J$1208,0)),""),'CAT_ESTADOS_ERP'!$A$4:$A$7,0)),"Pendiente"))</f>
        <v/>
      </c>
      <c r="O290" s="3">
        <f>IF($J290="","",YEAR($J290+4-WEEKDAY($J290,2))&amp;"-S"&amp;TEXT(_xlfn.ISOWEEKNUM($J290),"00"))</f>
        <v/>
      </c>
      <c r="P290" s="3">
        <f>IF($J290="","",YEAR($J290))</f>
        <v/>
      </c>
      <c r="Q290" s="3">
        <f>IF($J290="","",MONTH($J290))</f>
        <v/>
      </c>
      <c r="R290" s="3">
        <f>IF($J290="","",INDEX(lista_dias,WEEKDAY($J290,2)))</f>
        <v/>
      </c>
      <c r="S290" s="3">
        <f>IF($I290="","",IFERROR(INDEX('CAT_TIPOS_OT'!$C$4:$C$7,MATCH($I290,'CAT_TIPOS_OT'!$A$4:$A$7,0)),"sin_clasificar"))</f>
        <v/>
      </c>
      <c r="T290" s="3">
        <f>IF($F290="","",IFERROR(INDEX('CAT_CENTROS_COSTO'!$E$4:$E$9,MATCH($F290,'CAT_CENTROS_COSTO'!$A$4:$A$9,0)),"(sin catálogo)"))</f>
        <v/>
      </c>
      <c r="U290" s="3">
        <f>IF($F290="","",IFERROR(INDEX('CAT_CENTROS_COSTO'!$D$4:$D$9,MATCH($F290,'CAT_CENTROS_COSTO'!$A$4:$A$9,0)),"(sin catálogo)"))</f>
        <v/>
      </c>
      <c r="V290" s="3">
        <f>IF($F290="","",IFERROR(INDEX('CAT_CENTROS_COSTO'!$F$4:$F$9,MATCH($F290,'CAT_CENTROS_COSTO'!$A$4:$A$9,0)),"(sin catálogo)"))</f>
        <v/>
      </c>
      <c r="W290" s="3">
        <f>IF($G290="","",IFERROR(INDEX('CAT_PUESTOS'!$B$4:$B$8,MATCH($G290,'CAT_PUESTOS'!$A$4:$A$8,0)),"(sin catálogo)"))</f>
        <v/>
      </c>
      <c r="X290" s="3">
        <f>IF($H290="","",IFERROR(INDEX('CAT_ACTIVIDADES'!$B$4:$B$8,MATCH($H290,'CAT_ACTIVIDADES'!$A$4:$A$8,0)),"(sin catálogo)"))</f>
        <v/>
      </c>
      <c r="Y290" s="12">
        <f>IF($J290="","",TODAY()-$J290)</f>
        <v/>
      </c>
      <c r="Z290" s="3">
        <f>IF($Y290="","",IF($Y290&lt;0,"FUTURO",IF($Y290&gt;p_dias_backlog_max,"BACKLOG","MES CORRIENTE")))</f>
        <v/>
      </c>
      <c r="AA290" s="3">
        <f>IF($Y290="",FALSE,AND($Y290&gt;p_dias_backlog_min,$Y290&lt;=p_dias_backlog_max))</f>
        <v/>
      </c>
      <c r="AB290" s="6" t="n"/>
      <c r="AC290" s="3">
        <f>IF($AB290="","",IFERROR(INDEX('ASIGNACIONES'!$F$4:$F$339,MATCH($O290&amp;"|"&amp;$R290&amp;"|"&amp;$AB290,'ASIGNACIONES'!$I$4:$I$339,0)),""))</f>
        <v/>
      </c>
      <c r="AD290" s="13">
        <f>IF($AB290="","",SUMIFS('ORDENES'!$M$4:$M$1203,'ORDENES'!$AB$4:$AB$1203,$AB290,'ORDENES'!$O$4:$O$1203,$O290,'ORDENES'!$R$4:$R$1203,$R290))</f>
        <v/>
      </c>
      <c r="AE290" s="13">
        <f>IF($AD290="","",p_factor_productividad*IFERROR(INDEX('ASIGNACIONES'!$H$4:$H$339,MATCH($O290&amp;"|"&amp;$R290&amp;"|"&amp;$AB290,'ASIGNACIONES'!$I$4:$I$339,0)),0)-$AD290)</f>
        <v/>
      </c>
      <c r="AF290" s="10">
        <f>IF($A290="","",IFERROR(INDEX('2_IMPORTAR_EJECUCION'!$F$9:$F$1208,MATCH($AN290,'2_IMPORTAR_EJECUCION'!$J$9:$J$1208,0)),0))</f>
        <v/>
      </c>
      <c r="AG290" s="10">
        <f>IF($A290="","",MAX(0,IFERROR(INDEX('2_IMPORTAR_EJECUCION'!$H$9:$H$1208,MATCH($AN290,'2_IMPORTAR_EJECUCION'!$J$9:$J$1208,0)),0)-$AF290))</f>
        <v/>
      </c>
      <c r="AH290" s="10">
        <f>IF($A290="","",$AF290+$AG290)</f>
        <v/>
      </c>
      <c r="AI290" s="6" t="n"/>
      <c r="AJ290" s="6" t="n"/>
      <c r="AK290" s="6" t="n"/>
      <c r="AL290" s="3">
        <f>IF($AK290="","",HYPERLINK(p_ruta_base_checklists&amp;$AK290,"abrir"))</f>
        <v/>
      </c>
      <c r="AM290" s="6" t="n"/>
      <c r="AN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1" t="n"/>
      <c r="K291" s="3" t="n"/>
      <c r="L291" s="10" t="n"/>
      <c r="M291" s="3">
        <f>IF($A291="","",IFERROR(INDEX('AJUSTES'!$B$4:$B$303,MATCH($AN291,'AJUSTES'!$A$4:$A$303,0)),IF($K291="","",$K291)))</f>
        <v/>
      </c>
      <c r="N291" s="3">
        <f>IF($A291="","",IFERROR(INDEX('CAT_ESTADOS_ERP'!$B$4:$B$7,MATCH(IFERROR(INDEX('2_IMPORTAR_EJECUCION'!$C$9:$C$1208,MATCH($AN291,'2_IMPORTAR_EJECUCION'!$J$9:$J$1208,0)),""),'CAT_ESTADOS_ERP'!$A$4:$A$7,0)),"Pendiente"))</f>
        <v/>
      </c>
      <c r="O291" s="3">
        <f>IF($J291="","",YEAR($J291+4-WEEKDAY($J291,2))&amp;"-S"&amp;TEXT(_xlfn.ISOWEEKNUM($J291),"00"))</f>
        <v/>
      </c>
      <c r="P291" s="3">
        <f>IF($J291="","",YEAR($J291))</f>
        <v/>
      </c>
      <c r="Q291" s="3">
        <f>IF($J291="","",MONTH($J291))</f>
        <v/>
      </c>
      <c r="R291" s="3">
        <f>IF($J291="","",INDEX(lista_dias,WEEKDAY($J291,2)))</f>
        <v/>
      </c>
      <c r="S291" s="3">
        <f>IF($I291="","",IFERROR(INDEX('CAT_TIPOS_OT'!$C$4:$C$7,MATCH($I291,'CAT_TIPOS_OT'!$A$4:$A$7,0)),"sin_clasificar"))</f>
        <v/>
      </c>
      <c r="T291" s="3">
        <f>IF($F291="","",IFERROR(INDEX('CAT_CENTROS_COSTO'!$E$4:$E$9,MATCH($F291,'CAT_CENTROS_COSTO'!$A$4:$A$9,0)),"(sin catálogo)"))</f>
        <v/>
      </c>
      <c r="U291" s="3">
        <f>IF($F291="","",IFERROR(INDEX('CAT_CENTROS_COSTO'!$D$4:$D$9,MATCH($F291,'CAT_CENTROS_COSTO'!$A$4:$A$9,0)),"(sin catálogo)"))</f>
        <v/>
      </c>
      <c r="V291" s="3">
        <f>IF($F291="","",IFERROR(INDEX('CAT_CENTROS_COSTO'!$F$4:$F$9,MATCH($F291,'CAT_CENTROS_COSTO'!$A$4:$A$9,0)),"(sin catálogo)"))</f>
        <v/>
      </c>
      <c r="W291" s="3">
        <f>IF($G291="","",IFERROR(INDEX('CAT_PUESTOS'!$B$4:$B$8,MATCH($G291,'CAT_PUESTOS'!$A$4:$A$8,0)),"(sin catálogo)"))</f>
        <v/>
      </c>
      <c r="X291" s="3">
        <f>IF($H291="","",IFERROR(INDEX('CAT_ACTIVIDADES'!$B$4:$B$8,MATCH($H291,'CAT_ACTIVIDADES'!$A$4:$A$8,0)),"(sin catálogo)"))</f>
        <v/>
      </c>
      <c r="Y291" s="12">
        <f>IF($J291="","",TODAY()-$J291)</f>
        <v/>
      </c>
      <c r="Z291" s="3">
        <f>IF($Y291="","",IF($Y291&lt;0,"FUTURO",IF($Y291&gt;p_dias_backlog_max,"BACKLOG","MES CORRIENTE")))</f>
        <v/>
      </c>
      <c r="AA291" s="3">
        <f>IF($Y291="",FALSE,AND($Y291&gt;p_dias_backlog_min,$Y291&lt;=p_dias_backlog_max))</f>
        <v/>
      </c>
      <c r="AB291" s="6" t="n"/>
      <c r="AC291" s="3">
        <f>IF($AB291="","",IFERROR(INDEX('ASIGNACIONES'!$F$4:$F$339,MATCH($O291&amp;"|"&amp;$R291&amp;"|"&amp;$AB291,'ASIGNACIONES'!$I$4:$I$339,0)),""))</f>
        <v/>
      </c>
      <c r="AD291" s="13">
        <f>IF($AB291="","",SUMIFS('ORDENES'!$M$4:$M$1203,'ORDENES'!$AB$4:$AB$1203,$AB291,'ORDENES'!$O$4:$O$1203,$O291,'ORDENES'!$R$4:$R$1203,$R291))</f>
        <v/>
      </c>
      <c r="AE291" s="13">
        <f>IF($AD291="","",p_factor_productividad*IFERROR(INDEX('ASIGNACIONES'!$H$4:$H$339,MATCH($O291&amp;"|"&amp;$R291&amp;"|"&amp;$AB291,'ASIGNACIONES'!$I$4:$I$339,0)),0)-$AD291)</f>
        <v/>
      </c>
      <c r="AF291" s="10">
        <f>IF($A291="","",IFERROR(INDEX('2_IMPORTAR_EJECUCION'!$F$9:$F$1208,MATCH($AN291,'2_IMPORTAR_EJECUCION'!$J$9:$J$1208,0)),0))</f>
        <v/>
      </c>
      <c r="AG291" s="10">
        <f>IF($A291="","",MAX(0,IFERROR(INDEX('2_IMPORTAR_EJECUCION'!$H$9:$H$1208,MATCH($AN291,'2_IMPORTAR_EJECUCION'!$J$9:$J$1208,0)),0)-$AF291))</f>
        <v/>
      </c>
      <c r="AH291" s="10">
        <f>IF($A291="","",$AF291+$AG291)</f>
        <v/>
      </c>
      <c r="AI291" s="6" t="n"/>
      <c r="AJ291" s="6" t="n"/>
      <c r="AK291" s="6" t="n"/>
      <c r="AL291" s="3">
        <f>IF($AK291="","",HYPERLINK(p_ruta_base_checklists&amp;$AK291,"abrir"))</f>
        <v/>
      </c>
      <c r="AM291" s="6" t="n"/>
      <c r="AN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1" t="n"/>
      <c r="K292" s="3" t="n"/>
      <c r="L292" s="10" t="n"/>
      <c r="M292" s="3">
        <f>IF($A292="","",IFERROR(INDEX('AJUSTES'!$B$4:$B$303,MATCH($AN292,'AJUSTES'!$A$4:$A$303,0)),IF($K292="","",$K292)))</f>
        <v/>
      </c>
      <c r="N292" s="3">
        <f>IF($A292="","",IFERROR(INDEX('CAT_ESTADOS_ERP'!$B$4:$B$7,MATCH(IFERROR(INDEX('2_IMPORTAR_EJECUCION'!$C$9:$C$1208,MATCH($AN292,'2_IMPORTAR_EJECUCION'!$J$9:$J$1208,0)),""),'CAT_ESTADOS_ERP'!$A$4:$A$7,0)),"Pendiente"))</f>
        <v/>
      </c>
      <c r="O292" s="3">
        <f>IF($J292="","",YEAR($J292+4-WEEKDAY($J292,2))&amp;"-S"&amp;TEXT(_xlfn.ISOWEEKNUM($J292),"00"))</f>
        <v/>
      </c>
      <c r="P292" s="3">
        <f>IF($J292="","",YEAR($J292))</f>
        <v/>
      </c>
      <c r="Q292" s="3">
        <f>IF($J292="","",MONTH($J292))</f>
        <v/>
      </c>
      <c r="R292" s="3">
        <f>IF($J292="","",INDEX(lista_dias,WEEKDAY($J292,2)))</f>
        <v/>
      </c>
      <c r="S292" s="3">
        <f>IF($I292="","",IFERROR(INDEX('CAT_TIPOS_OT'!$C$4:$C$7,MATCH($I292,'CAT_TIPOS_OT'!$A$4:$A$7,0)),"sin_clasificar"))</f>
        <v/>
      </c>
      <c r="T292" s="3">
        <f>IF($F292="","",IFERROR(INDEX('CAT_CENTROS_COSTO'!$E$4:$E$9,MATCH($F292,'CAT_CENTROS_COSTO'!$A$4:$A$9,0)),"(sin catálogo)"))</f>
        <v/>
      </c>
      <c r="U292" s="3">
        <f>IF($F292="","",IFERROR(INDEX('CAT_CENTROS_COSTO'!$D$4:$D$9,MATCH($F292,'CAT_CENTROS_COSTO'!$A$4:$A$9,0)),"(sin catálogo)"))</f>
        <v/>
      </c>
      <c r="V292" s="3">
        <f>IF($F292="","",IFERROR(INDEX('CAT_CENTROS_COSTO'!$F$4:$F$9,MATCH($F292,'CAT_CENTROS_COSTO'!$A$4:$A$9,0)),"(sin catálogo)"))</f>
        <v/>
      </c>
      <c r="W292" s="3">
        <f>IF($G292="","",IFERROR(INDEX('CAT_PUESTOS'!$B$4:$B$8,MATCH($G292,'CAT_PUESTOS'!$A$4:$A$8,0)),"(sin catálogo)"))</f>
        <v/>
      </c>
      <c r="X292" s="3">
        <f>IF($H292="","",IFERROR(INDEX('CAT_ACTIVIDADES'!$B$4:$B$8,MATCH($H292,'CAT_ACTIVIDADES'!$A$4:$A$8,0)),"(sin catálogo)"))</f>
        <v/>
      </c>
      <c r="Y292" s="12">
        <f>IF($J292="","",TODAY()-$J292)</f>
        <v/>
      </c>
      <c r="Z292" s="3">
        <f>IF($Y292="","",IF($Y292&lt;0,"FUTURO",IF($Y292&gt;p_dias_backlog_max,"BACKLOG","MES CORRIENTE")))</f>
        <v/>
      </c>
      <c r="AA292" s="3">
        <f>IF($Y292="",FALSE,AND($Y292&gt;p_dias_backlog_min,$Y292&lt;=p_dias_backlog_max))</f>
        <v/>
      </c>
      <c r="AB292" s="6" t="n"/>
      <c r="AC292" s="3">
        <f>IF($AB292="","",IFERROR(INDEX('ASIGNACIONES'!$F$4:$F$339,MATCH($O292&amp;"|"&amp;$R292&amp;"|"&amp;$AB292,'ASIGNACIONES'!$I$4:$I$339,0)),""))</f>
        <v/>
      </c>
      <c r="AD292" s="13">
        <f>IF($AB292="","",SUMIFS('ORDENES'!$M$4:$M$1203,'ORDENES'!$AB$4:$AB$1203,$AB292,'ORDENES'!$O$4:$O$1203,$O292,'ORDENES'!$R$4:$R$1203,$R292))</f>
        <v/>
      </c>
      <c r="AE292" s="13">
        <f>IF($AD292="","",p_factor_productividad*IFERROR(INDEX('ASIGNACIONES'!$H$4:$H$339,MATCH($O292&amp;"|"&amp;$R292&amp;"|"&amp;$AB292,'ASIGNACIONES'!$I$4:$I$339,0)),0)-$AD292)</f>
        <v/>
      </c>
      <c r="AF292" s="10">
        <f>IF($A292="","",IFERROR(INDEX('2_IMPORTAR_EJECUCION'!$F$9:$F$1208,MATCH($AN292,'2_IMPORTAR_EJECUCION'!$J$9:$J$1208,0)),0))</f>
        <v/>
      </c>
      <c r="AG292" s="10">
        <f>IF($A292="","",MAX(0,IFERROR(INDEX('2_IMPORTAR_EJECUCION'!$H$9:$H$1208,MATCH($AN292,'2_IMPORTAR_EJECUCION'!$J$9:$J$1208,0)),0)-$AF292))</f>
        <v/>
      </c>
      <c r="AH292" s="10">
        <f>IF($A292="","",$AF292+$AG292)</f>
        <v/>
      </c>
      <c r="AI292" s="6" t="n"/>
      <c r="AJ292" s="6" t="n"/>
      <c r="AK292" s="6" t="n"/>
      <c r="AL292" s="3">
        <f>IF($AK292="","",HYPERLINK(p_ruta_base_checklists&amp;$AK292,"abrir"))</f>
        <v/>
      </c>
      <c r="AM292" s="6" t="n"/>
      <c r="AN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1" t="n"/>
      <c r="K293" s="3" t="n"/>
      <c r="L293" s="10" t="n"/>
      <c r="M293" s="3">
        <f>IF($A293="","",IFERROR(INDEX('AJUSTES'!$B$4:$B$303,MATCH($AN293,'AJUSTES'!$A$4:$A$303,0)),IF($K293="","",$K293)))</f>
        <v/>
      </c>
      <c r="N293" s="3">
        <f>IF($A293="","",IFERROR(INDEX('CAT_ESTADOS_ERP'!$B$4:$B$7,MATCH(IFERROR(INDEX('2_IMPORTAR_EJECUCION'!$C$9:$C$1208,MATCH($AN293,'2_IMPORTAR_EJECUCION'!$J$9:$J$1208,0)),""),'CAT_ESTADOS_ERP'!$A$4:$A$7,0)),"Pendiente"))</f>
        <v/>
      </c>
      <c r="O293" s="3">
        <f>IF($J293="","",YEAR($J293+4-WEEKDAY($J293,2))&amp;"-S"&amp;TEXT(_xlfn.ISOWEEKNUM($J293),"00"))</f>
        <v/>
      </c>
      <c r="P293" s="3">
        <f>IF($J293="","",YEAR($J293))</f>
        <v/>
      </c>
      <c r="Q293" s="3">
        <f>IF($J293="","",MONTH($J293))</f>
        <v/>
      </c>
      <c r="R293" s="3">
        <f>IF($J293="","",INDEX(lista_dias,WEEKDAY($J293,2)))</f>
        <v/>
      </c>
      <c r="S293" s="3">
        <f>IF($I293="","",IFERROR(INDEX('CAT_TIPOS_OT'!$C$4:$C$7,MATCH($I293,'CAT_TIPOS_OT'!$A$4:$A$7,0)),"sin_clasificar"))</f>
        <v/>
      </c>
      <c r="T293" s="3">
        <f>IF($F293="","",IFERROR(INDEX('CAT_CENTROS_COSTO'!$E$4:$E$9,MATCH($F293,'CAT_CENTROS_COSTO'!$A$4:$A$9,0)),"(sin catálogo)"))</f>
        <v/>
      </c>
      <c r="U293" s="3">
        <f>IF($F293="","",IFERROR(INDEX('CAT_CENTROS_COSTO'!$D$4:$D$9,MATCH($F293,'CAT_CENTROS_COSTO'!$A$4:$A$9,0)),"(sin catálogo)"))</f>
        <v/>
      </c>
      <c r="V293" s="3">
        <f>IF($F293="","",IFERROR(INDEX('CAT_CENTROS_COSTO'!$F$4:$F$9,MATCH($F293,'CAT_CENTROS_COSTO'!$A$4:$A$9,0)),"(sin catálogo)"))</f>
        <v/>
      </c>
      <c r="W293" s="3">
        <f>IF($G293="","",IFERROR(INDEX('CAT_PUESTOS'!$B$4:$B$8,MATCH($G293,'CAT_PUESTOS'!$A$4:$A$8,0)),"(sin catálogo)"))</f>
        <v/>
      </c>
      <c r="X293" s="3">
        <f>IF($H293="","",IFERROR(INDEX('CAT_ACTIVIDADES'!$B$4:$B$8,MATCH($H293,'CAT_ACTIVIDADES'!$A$4:$A$8,0)),"(sin catálogo)"))</f>
        <v/>
      </c>
      <c r="Y293" s="12">
        <f>IF($J293="","",TODAY()-$J293)</f>
        <v/>
      </c>
      <c r="Z293" s="3">
        <f>IF($Y293="","",IF($Y293&lt;0,"FUTURO",IF($Y293&gt;p_dias_backlog_max,"BACKLOG","MES CORRIENTE")))</f>
        <v/>
      </c>
      <c r="AA293" s="3">
        <f>IF($Y293="",FALSE,AND($Y293&gt;p_dias_backlog_min,$Y293&lt;=p_dias_backlog_max))</f>
        <v/>
      </c>
      <c r="AB293" s="6" t="n"/>
      <c r="AC293" s="3">
        <f>IF($AB293="","",IFERROR(INDEX('ASIGNACIONES'!$F$4:$F$339,MATCH($O293&amp;"|"&amp;$R293&amp;"|"&amp;$AB293,'ASIGNACIONES'!$I$4:$I$339,0)),""))</f>
        <v/>
      </c>
      <c r="AD293" s="13">
        <f>IF($AB293="","",SUMIFS('ORDENES'!$M$4:$M$1203,'ORDENES'!$AB$4:$AB$1203,$AB293,'ORDENES'!$O$4:$O$1203,$O293,'ORDENES'!$R$4:$R$1203,$R293))</f>
        <v/>
      </c>
      <c r="AE293" s="13">
        <f>IF($AD293="","",p_factor_productividad*IFERROR(INDEX('ASIGNACIONES'!$H$4:$H$339,MATCH($O293&amp;"|"&amp;$R293&amp;"|"&amp;$AB293,'ASIGNACIONES'!$I$4:$I$339,0)),0)-$AD293)</f>
        <v/>
      </c>
      <c r="AF293" s="10">
        <f>IF($A293="","",IFERROR(INDEX('2_IMPORTAR_EJECUCION'!$F$9:$F$1208,MATCH($AN293,'2_IMPORTAR_EJECUCION'!$J$9:$J$1208,0)),0))</f>
        <v/>
      </c>
      <c r="AG293" s="10">
        <f>IF($A293="","",MAX(0,IFERROR(INDEX('2_IMPORTAR_EJECUCION'!$H$9:$H$1208,MATCH($AN293,'2_IMPORTAR_EJECUCION'!$J$9:$J$1208,0)),0)-$AF293))</f>
        <v/>
      </c>
      <c r="AH293" s="10">
        <f>IF($A293="","",$AF293+$AG293)</f>
        <v/>
      </c>
      <c r="AI293" s="6" t="n"/>
      <c r="AJ293" s="6" t="n"/>
      <c r="AK293" s="6" t="n"/>
      <c r="AL293" s="3">
        <f>IF($AK293="","",HYPERLINK(p_ruta_base_checklists&amp;$AK293,"abrir"))</f>
        <v/>
      </c>
      <c r="AM293" s="6" t="n"/>
      <c r="AN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1" t="n"/>
      <c r="K294" s="3" t="n"/>
      <c r="L294" s="10" t="n"/>
      <c r="M294" s="3">
        <f>IF($A294="","",IFERROR(INDEX('AJUSTES'!$B$4:$B$303,MATCH($AN294,'AJUSTES'!$A$4:$A$303,0)),IF($K294="","",$K294)))</f>
        <v/>
      </c>
      <c r="N294" s="3">
        <f>IF($A294="","",IFERROR(INDEX('CAT_ESTADOS_ERP'!$B$4:$B$7,MATCH(IFERROR(INDEX('2_IMPORTAR_EJECUCION'!$C$9:$C$1208,MATCH($AN294,'2_IMPORTAR_EJECUCION'!$J$9:$J$1208,0)),""),'CAT_ESTADOS_ERP'!$A$4:$A$7,0)),"Pendiente"))</f>
        <v/>
      </c>
      <c r="O294" s="3">
        <f>IF($J294="","",YEAR($J294+4-WEEKDAY($J294,2))&amp;"-S"&amp;TEXT(_xlfn.ISOWEEKNUM($J294),"00"))</f>
        <v/>
      </c>
      <c r="P294" s="3">
        <f>IF($J294="","",YEAR($J294))</f>
        <v/>
      </c>
      <c r="Q294" s="3">
        <f>IF($J294="","",MONTH($J294))</f>
        <v/>
      </c>
      <c r="R294" s="3">
        <f>IF($J294="","",INDEX(lista_dias,WEEKDAY($J294,2)))</f>
        <v/>
      </c>
      <c r="S294" s="3">
        <f>IF($I294="","",IFERROR(INDEX('CAT_TIPOS_OT'!$C$4:$C$7,MATCH($I294,'CAT_TIPOS_OT'!$A$4:$A$7,0)),"sin_clasificar"))</f>
        <v/>
      </c>
      <c r="T294" s="3">
        <f>IF($F294="","",IFERROR(INDEX('CAT_CENTROS_COSTO'!$E$4:$E$9,MATCH($F294,'CAT_CENTROS_COSTO'!$A$4:$A$9,0)),"(sin catálogo)"))</f>
        <v/>
      </c>
      <c r="U294" s="3">
        <f>IF($F294="","",IFERROR(INDEX('CAT_CENTROS_COSTO'!$D$4:$D$9,MATCH($F294,'CAT_CENTROS_COSTO'!$A$4:$A$9,0)),"(sin catálogo)"))</f>
        <v/>
      </c>
      <c r="V294" s="3">
        <f>IF($F294="","",IFERROR(INDEX('CAT_CENTROS_COSTO'!$F$4:$F$9,MATCH($F294,'CAT_CENTROS_COSTO'!$A$4:$A$9,0)),"(sin catálogo)"))</f>
        <v/>
      </c>
      <c r="W294" s="3">
        <f>IF($G294="","",IFERROR(INDEX('CAT_PUESTOS'!$B$4:$B$8,MATCH($G294,'CAT_PUESTOS'!$A$4:$A$8,0)),"(sin catálogo)"))</f>
        <v/>
      </c>
      <c r="X294" s="3">
        <f>IF($H294="","",IFERROR(INDEX('CAT_ACTIVIDADES'!$B$4:$B$8,MATCH($H294,'CAT_ACTIVIDADES'!$A$4:$A$8,0)),"(sin catálogo)"))</f>
        <v/>
      </c>
      <c r="Y294" s="12">
        <f>IF($J294="","",TODAY()-$J294)</f>
        <v/>
      </c>
      <c r="Z294" s="3">
        <f>IF($Y294="","",IF($Y294&lt;0,"FUTURO",IF($Y294&gt;p_dias_backlog_max,"BACKLOG","MES CORRIENTE")))</f>
        <v/>
      </c>
      <c r="AA294" s="3">
        <f>IF($Y294="",FALSE,AND($Y294&gt;p_dias_backlog_min,$Y294&lt;=p_dias_backlog_max))</f>
        <v/>
      </c>
      <c r="AB294" s="6" t="n"/>
      <c r="AC294" s="3">
        <f>IF($AB294="","",IFERROR(INDEX('ASIGNACIONES'!$F$4:$F$339,MATCH($O294&amp;"|"&amp;$R294&amp;"|"&amp;$AB294,'ASIGNACIONES'!$I$4:$I$339,0)),""))</f>
        <v/>
      </c>
      <c r="AD294" s="13">
        <f>IF($AB294="","",SUMIFS('ORDENES'!$M$4:$M$1203,'ORDENES'!$AB$4:$AB$1203,$AB294,'ORDENES'!$O$4:$O$1203,$O294,'ORDENES'!$R$4:$R$1203,$R294))</f>
        <v/>
      </c>
      <c r="AE294" s="13">
        <f>IF($AD294="","",p_factor_productividad*IFERROR(INDEX('ASIGNACIONES'!$H$4:$H$339,MATCH($O294&amp;"|"&amp;$R294&amp;"|"&amp;$AB294,'ASIGNACIONES'!$I$4:$I$339,0)),0)-$AD294)</f>
        <v/>
      </c>
      <c r="AF294" s="10">
        <f>IF($A294="","",IFERROR(INDEX('2_IMPORTAR_EJECUCION'!$F$9:$F$1208,MATCH($AN294,'2_IMPORTAR_EJECUCION'!$J$9:$J$1208,0)),0))</f>
        <v/>
      </c>
      <c r="AG294" s="10">
        <f>IF($A294="","",MAX(0,IFERROR(INDEX('2_IMPORTAR_EJECUCION'!$H$9:$H$1208,MATCH($AN294,'2_IMPORTAR_EJECUCION'!$J$9:$J$1208,0)),0)-$AF294))</f>
        <v/>
      </c>
      <c r="AH294" s="10">
        <f>IF($A294="","",$AF294+$AG294)</f>
        <v/>
      </c>
      <c r="AI294" s="6" t="n"/>
      <c r="AJ294" s="6" t="n"/>
      <c r="AK294" s="6" t="n"/>
      <c r="AL294" s="3">
        <f>IF($AK294="","",HYPERLINK(p_ruta_base_checklists&amp;$AK294,"abrir"))</f>
        <v/>
      </c>
      <c r="AM294" s="6" t="n"/>
      <c r="AN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1" t="n"/>
      <c r="K295" s="3" t="n"/>
      <c r="L295" s="10" t="n"/>
      <c r="M295" s="3">
        <f>IF($A295="","",IFERROR(INDEX('AJUSTES'!$B$4:$B$303,MATCH($AN295,'AJUSTES'!$A$4:$A$303,0)),IF($K295="","",$K295)))</f>
        <v/>
      </c>
      <c r="N295" s="3">
        <f>IF($A295="","",IFERROR(INDEX('CAT_ESTADOS_ERP'!$B$4:$B$7,MATCH(IFERROR(INDEX('2_IMPORTAR_EJECUCION'!$C$9:$C$1208,MATCH($AN295,'2_IMPORTAR_EJECUCION'!$J$9:$J$1208,0)),""),'CAT_ESTADOS_ERP'!$A$4:$A$7,0)),"Pendiente"))</f>
        <v/>
      </c>
      <c r="O295" s="3">
        <f>IF($J295="","",YEAR($J295+4-WEEKDAY($J295,2))&amp;"-S"&amp;TEXT(_xlfn.ISOWEEKNUM($J295),"00"))</f>
        <v/>
      </c>
      <c r="P295" s="3">
        <f>IF($J295="","",YEAR($J295))</f>
        <v/>
      </c>
      <c r="Q295" s="3">
        <f>IF($J295="","",MONTH($J295))</f>
        <v/>
      </c>
      <c r="R295" s="3">
        <f>IF($J295="","",INDEX(lista_dias,WEEKDAY($J295,2)))</f>
        <v/>
      </c>
      <c r="S295" s="3">
        <f>IF($I295="","",IFERROR(INDEX('CAT_TIPOS_OT'!$C$4:$C$7,MATCH($I295,'CAT_TIPOS_OT'!$A$4:$A$7,0)),"sin_clasificar"))</f>
        <v/>
      </c>
      <c r="T295" s="3">
        <f>IF($F295="","",IFERROR(INDEX('CAT_CENTROS_COSTO'!$E$4:$E$9,MATCH($F295,'CAT_CENTROS_COSTO'!$A$4:$A$9,0)),"(sin catálogo)"))</f>
        <v/>
      </c>
      <c r="U295" s="3">
        <f>IF($F295="","",IFERROR(INDEX('CAT_CENTROS_COSTO'!$D$4:$D$9,MATCH($F295,'CAT_CENTROS_COSTO'!$A$4:$A$9,0)),"(sin catálogo)"))</f>
        <v/>
      </c>
      <c r="V295" s="3">
        <f>IF($F295="","",IFERROR(INDEX('CAT_CENTROS_COSTO'!$F$4:$F$9,MATCH($F295,'CAT_CENTROS_COSTO'!$A$4:$A$9,0)),"(sin catálogo)"))</f>
        <v/>
      </c>
      <c r="W295" s="3">
        <f>IF($G295="","",IFERROR(INDEX('CAT_PUESTOS'!$B$4:$B$8,MATCH($G295,'CAT_PUESTOS'!$A$4:$A$8,0)),"(sin catálogo)"))</f>
        <v/>
      </c>
      <c r="X295" s="3">
        <f>IF($H295="","",IFERROR(INDEX('CAT_ACTIVIDADES'!$B$4:$B$8,MATCH($H295,'CAT_ACTIVIDADES'!$A$4:$A$8,0)),"(sin catálogo)"))</f>
        <v/>
      </c>
      <c r="Y295" s="12">
        <f>IF($J295="","",TODAY()-$J295)</f>
        <v/>
      </c>
      <c r="Z295" s="3">
        <f>IF($Y295="","",IF($Y295&lt;0,"FUTURO",IF($Y295&gt;p_dias_backlog_max,"BACKLOG","MES CORRIENTE")))</f>
        <v/>
      </c>
      <c r="AA295" s="3">
        <f>IF($Y295="",FALSE,AND($Y295&gt;p_dias_backlog_min,$Y295&lt;=p_dias_backlog_max))</f>
        <v/>
      </c>
      <c r="AB295" s="6" t="n"/>
      <c r="AC295" s="3">
        <f>IF($AB295="","",IFERROR(INDEX('ASIGNACIONES'!$F$4:$F$339,MATCH($O295&amp;"|"&amp;$R295&amp;"|"&amp;$AB295,'ASIGNACIONES'!$I$4:$I$339,0)),""))</f>
        <v/>
      </c>
      <c r="AD295" s="13">
        <f>IF($AB295="","",SUMIFS('ORDENES'!$M$4:$M$1203,'ORDENES'!$AB$4:$AB$1203,$AB295,'ORDENES'!$O$4:$O$1203,$O295,'ORDENES'!$R$4:$R$1203,$R295))</f>
        <v/>
      </c>
      <c r="AE295" s="13">
        <f>IF($AD295="","",p_factor_productividad*IFERROR(INDEX('ASIGNACIONES'!$H$4:$H$339,MATCH($O295&amp;"|"&amp;$R295&amp;"|"&amp;$AB295,'ASIGNACIONES'!$I$4:$I$339,0)),0)-$AD295)</f>
        <v/>
      </c>
      <c r="AF295" s="10">
        <f>IF($A295="","",IFERROR(INDEX('2_IMPORTAR_EJECUCION'!$F$9:$F$1208,MATCH($AN295,'2_IMPORTAR_EJECUCION'!$J$9:$J$1208,0)),0))</f>
        <v/>
      </c>
      <c r="AG295" s="10">
        <f>IF($A295="","",MAX(0,IFERROR(INDEX('2_IMPORTAR_EJECUCION'!$H$9:$H$1208,MATCH($AN295,'2_IMPORTAR_EJECUCION'!$J$9:$J$1208,0)),0)-$AF295))</f>
        <v/>
      </c>
      <c r="AH295" s="10">
        <f>IF($A295="","",$AF295+$AG295)</f>
        <v/>
      </c>
      <c r="AI295" s="6" t="n"/>
      <c r="AJ295" s="6" t="n"/>
      <c r="AK295" s="6" t="n"/>
      <c r="AL295" s="3">
        <f>IF($AK295="","",HYPERLINK(p_ruta_base_checklists&amp;$AK295,"abrir"))</f>
        <v/>
      </c>
      <c r="AM295" s="6" t="n"/>
      <c r="AN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1" t="n"/>
      <c r="K296" s="3" t="n"/>
      <c r="L296" s="10" t="n"/>
      <c r="M296" s="3">
        <f>IF($A296="","",IFERROR(INDEX('AJUSTES'!$B$4:$B$303,MATCH($AN296,'AJUSTES'!$A$4:$A$303,0)),IF($K296="","",$K296)))</f>
        <v/>
      </c>
      <c r="N296" s="3">
        <f>IF($A296="","",IFERROR(INDEX('CAT_ESTADOS_ERP'!$B$4:$B$7,MATCH(IFERROR(INDEX('2_IMPORTAR_EJECUCION'!$C$9:$C$1208,MATCH($AN296,'2_IMPORTAR_EJECUCION'!$J$9:$J$1208,0)),""),'CAT_ESTADOS_ERP'!$A$4:$A$7,0)),"Pendiente"))</f>
        <v/>
      </c>
      <c r="O296" s="3">
        <f>IF($J296="","",YEAR($J296+4-WEEKDAY($J296,2))&amp;"-S"&amp;TEXT(_xlfn.ISOWEEKNUM($J296),"00"))</f>
        <v/>
      </c>
      <c r="P296" s="3">
        <f>IF($J296="","",YEAR($J296))</f>
        <v/>
      </c>
      <c r="Q296" s="3">
        <f>IF($J296="","",MONTH($J296))</f>
        <v/>
      </c>
      <c r="R296" s="3">
        <f>IF($J296="","",INDEX(lista_dias,WEEKDAY($J296,2)))</f>
        <v/>
      </c>
      <c r="S296" s="3">
        <f>IF($I296="","",IFERROR(INDEX('CAT_TIPOS_OT'!$C$4:$C$7,MATCH($I296,'CAT_TIPOS_OT'!$A$4:$A$7,0)),"sin_clasificar"))</f>
        <v/>
      </c>
      <c r="T296" s="3">
        <f>IF($F296="","",IFERROR(INDEX('CAT_CENTROS_COSTO'!$E$4:$E$9,MATCH($F296,'CAT_CENTROS_COSTO'!$A$4:$A$9,0)),"(sin catálogo)"))</f>
        <v/>
      </c>
      <c r="U296" s="3">
        <f>IF($F296="","",IFERROR(INDEX('CAT_CENTROS_COSTO'!$D$4:$D$9,MATCH($F296,'CAT_CENTROS_COSTO'!$A$4:$A$9,0)),"(sin catálogo)"))</f>
        <v/>
      </c>
      <c r="V296" s="3">
        <f>IF($F296="","",IFERROR(INDEX('CAT_CENTROS_COSTO'!$F$4:$F$9,MATCH($F296,'CAT_CENTROS_COSTO'!$A$4:$A$9,0)),"(sin catálogo)"))</f>
        <v/>
      </c>
      <c r="W296" s="3">
        <f>IF($G296="","",IFERROR(INDEX('CAT_PUESTOS'!$B$4:$B$8,MATCH($G296,'CAT_PUESTOS'!$A$4:$A$8,0)),"(sin catálogo)"))</f>
        <v/>
      </c>
      <c r="X296" s="3">
        <f>IF($H296="","",IFERROR(INDEX('CAT_ACTIVIDADES'!$B$4:$B$8,MATCH($H296,'CAT_ACTIVIDADES'!$A$4:$A$8,0)),"(sin catálogo)"))</f>
        <v/>
      </c>
      <c r="Y296" s="12">
        <f>IF($J296="","",TODAY()-$J296)</f>
        <v/>
      </c>
      <c r="Z296" s="3">
        <f>IF($Y296="","",IF($Y296&lt;0,"FUTURO",IF($Y296&gt;p_dias_backlog_max,"BACKLOG","MES CORRIENTE")))</f>
        <v/>
      </c>
      <c r="AA296" s="3">
        <f>IF($Y296="",FALSE,AND($Y296&gt;p_dias_backlog_min,$Y296&lt;=p_dias_backlog_max))</f>
        <v/>
      </c>
      <c r="AB296" s="6" t="n"/>
      <c r="AC296" s="3">
        <f>IF($AB296="","",IFERROR(INDEX('ASIGNACIONES'!$F$4:$F$339,MATCH($O296&amp;"|"&amp;$R296&amp;"|"&amp;$AB296,'ASIGNACIONES'!$I$4:$I$339,0)),""))</f>
        <v/>
      </c>
      <c r="AD296" s="13">
        <f>IF($AB296="","",SUMIFS('ORDENES'!$M$4:$M$1203,'ORDENES'!$AB$4:$AB$1203,$AB296,'ORDENES'!$O$4:$O$1203,$O296,'ORDENES'!$R$4:$R$1203,$R296))</f>
        <v/>
      </c>
      <c r="AE296" s="13">
        <f>IF($AD296="","",p_factor_productividad*IFERROR(INDEX('ASIGNACIONES'!$H$4:$H$339,MATCH($O296&amp;"|"&amp;$R296&amp;"|"&amp;$AB296,'ASIGNACIONES'!$I$4:$I$339,0)),0)-$AD296)</f>
        <v/>
      </c>
      <c r="AF296" s="10">
        <f>IF($A296="","",IFERROR(INDEX('2_IMPORTAR_EJECUCION'!$F$9:$F$1208,MATCH($AN296,'2_IMPORTAR_EJECUCION'!$J$9:$J$1208,0)),0))</f>
        <v/>
      </c>
      <c r="AG296" s="10">
        <f>IF($A296="","",MAX(0,IFERROR(INDEX('2_IMPORTAR_EJECUCION'!$H$9:$H$1208,MATCH($AN296,'2_IMPORTAR_EJECUCION'!$J$9:$J$1208,0)),0)-$AF296))</f>
        <v/>
      </c>
      <c r="AH296" s="10">
        <f>IF($A296="","",$AF296+$AG296)</f>
        <v/>
      </c>
      <c r="AI296" s="6" t="n"/>
      <c r="AJ296" s="6" t="n"/>
      <c r="AK296" s="6" t="n"/>
      <c r="AL296" s="3">
        <f>IF($AK296="","",HYPERLINK(p_ruta_base_checklists&amp;$AK296,"abrir"))</f>
        <v/>
      </c>
      <c r="AM296" s="6" t="n"/>
      <c r="AN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1" t="n"/>
      <c r="K297" s="3" t="n"/>
      <c r="L297" s="10" t="n"/>
      <c r="M297" s="3">
        <f>IF($A297="","",IFERROR(INDEX('AJUSTES'!$B$4:$B$303,MATCH($AN297,'AJUSTES'!$A$4:$A$303,0)),IF($K297="","",$K297)))</f>
        <v/>
      </c>
      <c r="N297" s="3">
        <f>IF($A297="","",IFERROR(INDEX('CAT_ESTADOS_ERP'!$B$4:$B$7,MATCH(IFERROR(INDEX('2_IMPORTAR_EJECUCION'!$C$9:$C$1208,MATCH($AN297,'2_IMPORTAR_EJECUCION'!$J$9:$J$1208,0)),""),'CAT_ESTADOS_ERP'!$A$4:$A$7,0)),"Pendiente"))</f>
        <v/>
      </c>
      <c r="O297" s="3">
        <f>IF($J297="","",YEAR($J297+4-WEEKDAY($J297,2))&amp;"-S"&amp;TEXT(_xlfn.ISOWEEKNUM($J297),"00"))</f>
        <v/>
      </c>
      <c r="P297" s="3">
        <f>IF($J297="","",YEAR($J297))</f>
        <v/>
      </c>
      <c r="Q297" s="3">
        <f>IF($J297="","",MONTH($J297))</f>
        <v/>
      </c>
      <c r="R297" s="3">
        <f>IF($J297="","",INDEX(lista_dias,WEEKDAY($J297,2)))</f>
        <v/>
      </c>
      <c r="S297" s="3">
        <f>IF($I297="","",IFERROR(INDEX('CAT_TIPOS_OT'!$C$4:$C$7,MATCH($I297,'CAT_TIPOS_OT'!$A$4:$A$7,0)),"sin_clasificar"))</f>
        <v/>
      </c>
      <c r="T297" s="3">
        <f>IF($F297="","",IFERROR(INDEX('CAT_CENTROS_COSTO'!$E$4:$E$9,MATCH($F297,'CAT_CENTROS_COSTO'!$A$4:$A$9,0)),"(sin catálogo)"))</f>
        <v/>
      </c>
      <c r="U297" s="3">
        <f>IF($F297="","",IFERROR(INDEX('CAT_CENTROS_COSTO'!$D$4:$D$9,MATCH($F297,'CAT_CENTROS_COSTO'!$A$4:$A$9,0)),"(sin catálogo)"))</f>
        <v/>
      </c>
      <c r="V297" s="3">
        <f>IF($F297="","",IFERROR(INDEX('CAT_CENTROS_COSTO'!$F$4:$F$9,MATCH($F297,'CAT_CENTROS_COSTO'!$A$4:$A$9,0)),"(sin catálogo)"))</f>
        <v/>
      </c>
      <c r="W297" s="3">
        <f>IF($G297="","",IFERROR(INDEX('CAT_PUESTOS'!$B$4:$B$8,MATCH($G297,'CAT_PUESTOS'!$A$4:$A$8,0)),"(sin catálogo)"))</f>
        <v/>
      </c>
      <c r="X297" s="3">
        <f>IF($H297="","",IFERROR(INDEX('CAT_ACTIVIDADES'!$B$4:$B$8,MATCH($H297,'CAT_ACTIVIDADES'!$A$4:$A$8,0)),"(sin catálogo)"))</f>
        <v/>
      </c>
      <c r="Y297" s="12">
        <f>IF($J297="","",TODAY()-$J297)</f>
        <v/>
      </c>
      <c r="Z297" s="3">
        <f>IF($Y297="","",IF($Y297&lt;0,"FUTURO",IF($Y297&gt;p_dias_backlog_max,"BACKLOG","MES CORRIENTE")))</f>
        <v/>
      </c>
      <c r="AA297" s="3">
        <f>IF($Y297="",FALSE,AND($Y297&gt;p_dias_backlog_min,$Y297&lt;=p_dias_backlog_max))</f>
        <v/>
      </c>
      <c r="AB297" s="6" t="n"/>
      <c r="AC297" s="3">
        <f>IF($AB297="","",IFERROR(INDEX('ASIGNACIONES'!$F$4:$F$339,MATCH($O297&amp;"|"&amp;$R297&amp;"|"&amp;$AB297,'ASIGNACIONES'!$I$4:$I$339,0)),""))</f>
        <v/>
      </c>
      <c r="AD297" s="13">
        <f>IF($AB297="","",SUMIFS('ORDENES'!$M$4:$M$1203,'ORDENES'!$AB$4:$AB$1203,$AB297,'ORDENES'!$O$4:$O$1203,$O297,'ORDENES'!$R$4:$R$1203,$R297))</f>
        <v/>
      </c>
      <c r="AE297" s="13">
        <f>IF($AD297="","",p_factor_productividad*IFERROR(INDEX('ASIGNACIONES'!$H$4:$H$339,MATCH($O297&amp;"|"&amp;$R297&amp;"|"&amp;$AB297,'ASIGNACIONES'!$I$4:$I$339,0)),0)-$AD297)</f>
        <v/>
      </c>
      <c r="AF297" s="10">
        <f>IF($A297="","",IFERROR(INDEX('2_IMPORTAR_EJECUCION'!$F$9:$F$1208,MATCH($AN297,'2_IMPORTAR_EJECUCION'!$J$9:$J$1208,0)),0))</f>
        <v/>
      </c>
      <c r="AG297" s="10">
        <f>IF($A297="","",MAX(0,IFERROR(INDEX('2_IMPORTAR_EJECUCION'!$H$9:$H$1208,MATCH($AN297,'2_IMPORTAR_EJECUCION'!$J$9:$J$1208,0)),0)-$AF297))</f>
        <v/>
      </c>
      <c r="AH297" s="10">
        <f>IF($A297="","",$AF297+$AG297)</f>
        <v/>
      </c>
      <c r="AI297" s="6" t="n"/>
      <c r="AJ297" s="6" t="n"/>
      <c r="AK297" s="6" t="n"/>
      <c r="AL297" s="3">
        <f>IF($AK297="","",HYPERLINK(p_ruta_base_checklists&amp;$AK297,"abrir"))</f>
        <v/>
      </c>
      <c r="AM297" s="6" t="n"/>
      <c r="AN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1" t="n"/>
      <c r="K298" s="3" t="n"/>
      <c r="L298" s="10" t="n"/>
      <c r="M298" s="3">
        <f>IF($A298="","",IFERROR(INDEX('AJUSTES'!$B$4:$B$303,MATCH($AN298,'AJUSTES'!$A$4:$A$303,0)),IF($K298="","",$K298)))</f>
        <v/>
      </c>
      <c r="N298" s="3">
        <f>IF($A298="","",IFERROR(INDEX('CAT_ESTADOS_ERP'!$B$4:$B$7,MATCH(IFERROR(INDEX('2_IMPORTAR_EJECUCION'!$C$9:$C$1208,MATCH($AN298,'2_IMPORTAR_EJECUCION'!$J$9:$J$1208,0)),""),'CAT_ESTADOS_ERP'!$A$4:$A$7,0)),"Pendiente"))</f>
        <v/>
      </c>
      <c r="O298" s="3">
        <f>IF($J298="","",YEAR($J298+4-WEEKDAY($J298,2))&amp;"-S"&amp;TEXT(_xlfn.ISOWEEKNUM($J298),"00"))</f>
        <v/>
      </c>
      <c r="P298" s="3">
        <f>IF($J298="","",YEAR($J298))</f>
        <v/>
      </c>
      <c r="Q298" s="3">
        <f>IF($J298="","",MONTH($J298))</f>
        <v/>
      </c>
      <c r="R298" s="3">
        <f>IF($J298="","",INDEX(lista_dias,WEEKDAY($J298,2)))</f>
        <v/>
      </c>
      <c r="S298" s="3">
        <f>IF($I298="","",IFERROR(INDEX('CAT_TIPOS_OT'!$C$4:$C$7,MATCH($I298,'CAT_TIPOS_OT'!$A$4:$A$7,0)),"sin_clasificar"))</f>
        <v/>
      </c>
      <c r="T298" s="3">
        <f>IF($F298="","",IFERROR(INDEX('CAT_CENTROS_COSTO'!$E$4:$E$9,MATCH($F298,'CAT_CENTROS_COSTO'!$A$4:$A$9,0)),"(sin catálogo)"))</f>
        <v/>
      </c>
      <c r="U298" s="3">
        <f>IF($F298="","",IFERROR(INDEX('CAT_CENTROS_COSTO'!$D$4:$D$9,MATCH($F298,'CAT_CENTROS_COSTO'!$A$4:$A$9,0)),"(sin catálogo)"))</f>
        <v/>
      </c>
      <c r="V298" s="3">
        <f>IF($F298="","",IFERROR(INDEX('CAT_CENTROS_COSTO'!$F$4:$F$9,MATCH($F298,'CAT_CENTROS_COSTO'!$A$4:$A$9,0)),"(sin catálogo)"))</f>
        <v/>
      </c>
      <c r="W298" s="3">
        <f>IF($G298="","",IFERROR(INDEX('CAT_PUESTOS'!$B$4:$B$8,MATCH($G298,'CAT_PUESTOS'!$A$4:$A$8,0)),"(sin catálogo)"))</f>
        <v/>
      </c>
      <c r="X298" s="3">
        <f>IF($H298="","",IFERROR(INDEX('CAT_ACTIVIDADES'!$B$4:$B$8,MATCH($H298,'CAT_ACTIVIDADES'!$A$4:$A$8,0)),"(sin catálogo)"))</f>
        <v/>
      </c>
      <c r="Y298" s="12">
        <f>IF($J298="","",TODAY()-$J298)</f>
        <v/>
      </c>
      <c r="Z298" s="3">
        <f>IF($Y298="","",IF($Y298&lt;0,"FUTURO",IF($Y298&gt;p_dias_backlog_max,"BACKLOG","MES CORRIENTE")))</f>
        <v/>
      </c>
      <c r="AA298" s="3">
        <f>IF($Y298="",FALSE,AND($Y298&gt;p_dias_backlog_min,$Y298&lt;=p_dias_backlog_max))</f>
        <v/>
      </c>
      <c r="AB298" s="6" t="n"/>
      <c r="AC298" s="3">
        <f>IF($AB298="","",IFERROR(INDEX('ASIGNACIONES'!$F$4:$F$339,MATCH($O298&amp;"|"&amp;$R298&amp;"|"&amp;$AB298,'ASIGNACIONES'!$I$4:$I$339,0)),""))</f>
        <v/>
      </c>
      <c r="AD298" s="13">
        <f>IF($AB298="","",SUMIFS('ORDENES'!$M$4:$M$1203,'ORDENES'!$AB$4:$AB$1203,$AB298,'ORDENES'!$O$4:$O$1203,$O298,'ORDENES'!$R$4:$R$1203,$R298))</f>
        <v/>
      </c>
      <c r="AE298" s="13">
        <f>IF($AD298="","",p_factor_productividad*IFERROR(INDEX('ASIGNACIONES'!$H$4:$H$339,MATCH($O298&amp;"|"&amp;$R298&amp;"|"&amp;$AB298,'ASIGNACIONES'!$I$4:$I$339,0)),0)-$AD298)</f>
        <v/>
      </c>
      <c r="AF298" s="10">
        <f>IF($A298="","",IFERROR(INDEX('2_IMPORTAR_EJECUCION'!$F$9:$F$1208,MATCH($AN298,'2_IMPORTAR_EJECUCION'!$J$9:$J$1208,0)),0))</f>
        <v/>
      </c>
      <c r="AG298" s="10">
        <f>IF($A298="","",MAX(0,IFERROR(INDEX('2_IMPORTAR_EJECUCION'!$H$9:$H$1208,MATCH($AN298,'2_IMPORTAR_EJECUCION'!$J$9:$J$1208,0)),0)-$AF298))</f>
        <v/>
      </c>
      <c r="AH298" s="10">
        <f>IF($A298="","",$AF298+$AG298)</f>
        <v/>
      </c>
      <c r="AI298" s="6" t="n"/>
      <c r="AJ298" s="6" t="n"/>
      <c r="AK298" s="6" t="n"/>
      <c r="AL298" s="3">
        <f>IF($AK298="","",HYPERLINK(p_ruta_base_checklists&amp;$AK298,"abrir"))</f>
        <v/>
      </c>
      <c r="AM298" s="6" t="n"/>
      <c r="AN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1" t="n"/>
      <c r="K299" s="3" t="n"/>
      <c r="L299" s="10" t="n"/>
      <c r="M299" s="3">
        <f>IF($A299="","",IFERROR(INDEX('AJUSTES'!$B$4:$B$303,MATCH($AN299,'AJUSTES'!$A$4:$A$303,0)),IF($K299="","",$K299)))</f>
        <v/>
      </c>
      <c r="N299" s="3">
        <f>IF($A299="","",IFERROR(INDEX('CAT_ESTADOS_ERP'!$B$4:$B$7,MATCH(IFERROR(INDEX('2_IMPORTAR_EJECUCION'!$C$9:$C$1208,MATCH($AN299,'2_IMPORTAR_EJECUCION'!$J$9:$J$1208,0)),""),'CAT_ESTADOS_ERP'!$A$4:$A$7,0)),"Pendiente"))</f>
        <v/>
      </c>
      <c r="O299" s="3">
        <f>IF($J299="","",YEAR($J299+4-WEEKDAY($J299,2))&amp;"-S"&amp;TEXT(_xlfn.ISOWEEKNUM($J299),"00"))</f>
        <v/>
      </c>
      <c r="P299" s="3">
        <f>IF($J299="","",YEAR($J299))</f>
        <v/>
      </c>
      <c r="Q299" s="3">
        <f>IF($J299="","",MONTH($J299))</f>
        <v/>
      </c>
      <c r="R299" s="3">
        <f>IF($J299="","",INDEX(lista_dias,WEEKDAY($J299,2)))</f>
        <v/>
      </c>
      <c r="S299" s="3">
        <f>IF($I299="","",IFERROR(INDEX('CAT_TIPOS_OT'!$C$4:$C$7,MATCH($I299,'CAT_TIPOS_OT'!$A$4:$A$7,0)),"sin_clasificar"))</f>
        <v/>
      </c>
      <c r="T299" s="3">
        <f>IF($F299="","",IFERROR(INDEX('CAT_CENTROS_COSTO'!$E$4:$E$9,MATCH($F299,'CAT_CENTROS_COSTO'!$A$4:$A$9,0)),"(sin catálogo)"))</f>
        <v/>
      </c>
      <c r="U299" s="3">
        <f>IF($F299="","",IFERROR(INDEX('CAT_CENTROS_COSTO'!$D$4:$D$9,MATCH($F299,'CAT_CENTROS_COSTO'!$A$4:$A$9,0)),"(sin catálogo)"))</f>
        <v/>
      </c>
      <c r="V299" s="3">
        <f>IF($F299="","",IFERROR(INDEX('CAT_CENTROS_COSTO'!$F$4:$F$9,MATCH($F299,'CAT_CENTROS_COSTO'!$A$4:$A$9,0)),"(sin catálogo)"))</f>
        <v/>
      </c>
      <c r="W299" s="3">
        <f>IF($G299="","",IFERROR(INDEX('CAT_PUESTOS'!$B$4:$B$8,MATCH($G299,'CAT_PUESTOS'!$A$4:$A$8,0)),"(sin catálogo)"))</f>
        <v/>
      </c>
      <c r="X299" s="3">
        <f>IF($H299="","",IFERROR(INDEX('CAT_ACTIVIDADES'!$B$4:$B$8,MATCH($H299,'CAT_ACTIVIDADES'!$A$4:$A$8,0)),"(sin catálogo)"))</f>
        <v/>
      </c>
      <c r="Y299" s="12">
        <f>IF($J299="","",TODAY()-$J299)</f>
        <v/>
      </c>
      <c r="Z299" s="3">
        <f>IF($Y299="","",IF($Y299&lt;0,"FUTURO",IF($Y299&gt;p_dias_backlog_max,"BACKLOG","MES CORRIENTE")))</f>
        <v/>
      </c>
      <c r="AA299" s="3">
        <f>IF($Y299="",FALSE,AND($Y299&gt;p_dias_backlog_min,$Y299&lt;=p_dias_backlog_max))</f>
        <v/>
      </c>
      <c r="AB299" s="6" t="n"/>
      <c r="AC299" s="3">
        <f>IF($AB299="","",IFERROR(INDEX('ASIGNACIONES'!$F$4:$F$339,MATCH($O299&amp;"|"&amp;$R299&amp;"|"&amp;$AB299,'ASIGNACIONES'!$I$4:$I$339,0)),""))</f>
        <v/>
      </c>
      <c r="AD299" s="13">
        <f>IF($AB299="","",SUMIFS('ORDENES'!$M$4:$M$1203,'ORDENES'!$AB$4:$AB$1203,$AB299,'ORDENES'!$O$4:$O$1203,$O299,'ORDENES'!$R$4:$R$1203,$R299))</f>
        <v/>
      </c>
      <c r="AE299" s="13">
        <f>IF($AD299="","",p_factor_productividad*IFERROR(INDEX('ASIGNACIONES'!$H$4:$H$339,MATCH($O299&amp;"|"&amp;$R299&amp;"|"&amp;$AB299,'ASIGNACIONES'!$I$4:$I$339,0)),0)-$AD299)</f>
        <v/>
      </c>
      <c r="AF299" s="10">
        <f>IF($A299="","",IFERROR(INDEX('2_IMPORTAR_EJECUCION'!$F$9:$F$1208,MATCH($AN299,'2_IMPORTAR_EJECUCION'!$J$9:$J$1208,0)),0))</f>
        <v/>
      </c>
      <c r="AG299" s="10">
        <f>IF($A299="","",MAX(0,IFERROR(INDEX('2_IMPORTAR_EJECUCION'!$H$9:$H$1208,MATCH($AN299,'2_IMPORTAR_EJECUCION'!$J$9:$J$1208,0)),0)-$AF299))</f>
        <v/>
      </c>
      <c r="AH299" s="10">
        <f>IF($A299="","",$AF299+$AG299)</f>
        <v/>
      </c>
      <c r="AI299" s="6" t="n"/>
      <c r="AJ299" s="6" t="n"/>
      <c r="AK299" s="6" t="n"/>
      <c r="AL299" s="3">
        <f>IF($AK299="","",HYPERLINK(p_ruta_base_checklists&amp;$AK299,"abrir"))</f>
        <v/>
      </c>
      <c r="AM299" s="6" t="n"/>
      <c r="AN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1" t="n"/>
      <c r="K300" s="3" t="n"/>
      <c r="L300" s="10" t="n"/>
      <c r="M300" s="3">
        <f>IF($A300="","",IFERROR(INDEX('AJUSTES'!$B$4:$B$303,MATCH($AN300,'AJUSTES'!$A$4:$A$303,0)),IF($K300="","",$K300)))</f>
        <v/>
      </c>
      <c r="N300" s="3">
        <f>IF($A300="","",IFERROR(INDEX('CAT_ESTADOS_ERP'!$B$4:$B$7,MATCH(IFERROR(INDEX('2_IMPORTAR_EJECUCION'!$C$9:$C$1208,MATCH($AN300,'2_IMPORTAR_EJECUCION'!$J$9:$J$1208,0)),""),'CAT_ESTADOS_ERP'!$A$4:$A$7,0)),"Pendiente"))</f>
        <v/>
      </c>
      <c r="O300" s="3">
        <f>IF($J300="","",YEAR($J300+4-WEEKDAY($J300,2))&amp;"-S"&amp;TEXT(_xlfn.ISOWEEKNUM($J300),"00"))</f>
        <v/>
      </c>
      <c r="P300" s="3">
        <f>IF($J300="","",YEAR($J300))</f>
        <v/>
      </c>
      <c r="Q300" s="3">
        <f>IF($J300="","",MONTH($J300))</f>
        <v/>
      </c>
      <c r="R300" s="3">
        <f>IF($J300="","",INDEX(lista_dias,WEEKDAY($J300,2)))</f>
        <v/>
      </c>
      <c r="S300" s="3">
        <f>IF($I300="","",IFERROR(INDEX('CAT_TIPOS_OT'!$C$4:$C$7,MATCH($I300,'CAT_TIPOS_OT'!$A$4:$A$7,0)),"sin_clasificar"))</f>
        <v/>
      </c>
      <c r="T300" s="3">
        <f>IF($F300="","",IFERROR(INDEX('CAT_CENTROS_COSTO'!$E$4:$E$9,MATCH($F300,'CAT_CENTROS_COSTO'!$A$4:$A$9,0)),"(sin catálogo)"))</f>
        <v/>
      </c>
      <c r="U300" s="3">
        <f>IF($F300="","",IFERROR(INDEX('CAT_CENTROS_COSTO'!$D$4:$D$9,MATCH($F300,'CAT_CENTROS_COSTO'!$A$4:$A$9,0)),"(sin catálogo)"))</f>
        <v/>
      </c>
      <c r="V300" s="3">
        <f>IF($F300="","",IFERROR(INDEX('CAT_CENTROS_COSTO'!$F$4:$F$9,MATCH($F300,'CAT_CENTROS_COSTO'!$A$4:$A$9,0)),"(sin catálogo)"))</f>
        <v/>
      </c>
      <c r="W300" s="3">
        <f>IF($G300="","",IFERROR(INDEX('CAT_PUESTOS'!$B$4:$B$8,MATCH($G300,'CAT_PUESTOS'!$A$4:$A$8,0)),"(sin catálogo)"))</f>
        <v/>
      </c>
      <c r="X300" s="3">
        <f>IF($H300="","",IFERROR(INDEX('CAT_ACTIVIDADES'!$B$4:$B$8,MATCH($H300,'CAT_ACTIVIDADES'!$A$4:$A$8,0)),"(sin catálogo)"))</f>
        <v/>
      </c>
      <c r="Y300" s="12">
        <f>IF($J300="","",TODAY()-$J300)</f>
        <v/>
      </c>
      <c r="Z300" s="3">
        <f>IF($Y300="","",IF($Y300&lt;0,"FUTURO",IF($Y300&gt;p_dias_backlog_max,"BACKLOG","MES CORRIENTE")))</f>
        <v/>
      </c>
      <c r="AA300" s="3">
        <f>IF($Y300="",FALSE,AND($Y300&gt;p_dias_backlog_min,$Y300&lt;=p_dias_backlog_max))</f>
        <v/>
      </c>
      <c r="AB300" s="6" t="n"/>
      <c r="AC300" s="3">
        <f>IF($AB300="","",IFERROR(INDEX('ASIGNACIONES'!$F$4:$F$339,MATCH($O300&amp;"|"&amp;$R300&amp;"|"&amp;$AB300,'ASIGNACIONES'!$I$4:$I$339,0)),""))</f>
        <v/>
      </c>
      <c r="AD300" s="13">
        <f>IF($AB300="","",SUMIFS('ORDENES'!$M$4:$M$1203,'ORDENES'!$AB$4:$AB$1203,$AB300,'ORDENES'!$O$4:$O$1203,$O300,'ORDENES'!$R$4:$R$1203,$R300))</f>
        <v/>
      </c>
      <c r="AE300" s="13">
        <f>IF($AD300="","",p_factor_productividad*IFERROR(INDEX('ASIGNACIONES'!$H$4:$H$339,MATCH($O300&amp;"|"&amp;$R300&amp;"|"&amp;$AB300,'ASIGNACIONES'!$I$4:$I$339,0)),0)-$AD300)</f>
        <v/>
      </c>
      <c r="AF300" s="10">
        <f>IF($A300="","",IFERROR(INDEX('2_IMPORTAR_EJECUCION'!$F$9:$F$1208,MATCH($AN300,'2_IMPORTAR_EJECUCION'!$J$9:$J$1208,0)),0))</f>
        <v/>
      </c>
      <c r="AG300" s="10">
        <f>IF($A300="","",MAX(0,IFERROR(INDEX('2_IMPORTAR_EJECUCION'!$H$9:$H$1208,MATCH($AN300,'2_IMPORTAR_EJECUCION'!$J$9:$J$1208,0)),0)-$AF300))</f>
        <v/>
      </c>
      <c r="AH300" s="10">
        <f>IF($A300="","",$AF300+$AG300)</f>
        <v/>
      </c>
      <c r="AI300" s="6" t="n"/>
      <c r="AJ300" s="6" t="n"/>
      <c r="AK300" s="6" t="n"/>
      <c r="AL300" s="3">
        <f>IF($AK300="","",HYPERLINK(p_ruta_base_checklists&amp;$AK300,"abrir"))</f>
        <v/>
      </c>
      <c r="AM300" s="6" t="n"/>
      <c r="AN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1" t="n"/>
      <c r="K301" s="3" t="n"/>
      <c r="L301" s="10" t="n"/>
      <c r="M301" s="3">
        <f>IF($A301="","",IFERROR(INDEX('AJUSTES'!$B$4:$B$303,MATCH($AN301,'AJUSTES'!$A$4:$A$303,0)),IF($K301="","",$K301)))</f>
        <v/>
      </c>
      <c r="N301" s="3">
        <f>IF($A301="","",IFERROR(INDEX('CAT_ESTADOS_ERP'!$B$4:$B$7,MATCH(IFERROR(INDEX('2_IMPORTAR_EJECUCION'!$C$9:$C$1208,MATCH($AN301,'2_IMPORTAR_EJECUCION'!$J$9:$J$1208,0)),""),'CAT_ESTADOS_ERP'!$A$4:$A$7,0)),"Pendiente"))</f>
        <v/>
      </c>
      <c r="O301" s="3">
        <f>IF($J301="","",YEAR($J301+4-WEEKDAY($J301,2))&amp;"-S"&amp;TEXT(_xlfn.ISOWEEKNUM($J301),"00"))</f>
        <v/>
      </c>
      <c r="P301" s="3">
        <f>IF($J301="","",YEAR($J301))</f>
        <v/>
      </c>
      <c r="Q301" s="3">
        <f>IF($J301="","",MONTH($J301))</f>
        <v/>
      </c>
      <c r="R301" s="3">
        <f>IF($J301="","",INDEX(lista_dias,WEEKDAY($J301,2)))</f>
        <v/>
      </c>
      <c r="S301" s="3">
        <f>IF($I301="","",IFERROR(INDEX('CAT_TIPOS_OT'!$C$4:$C$7,MATCH($I301,'CAT_TIPOS_OT'!$A$4:$A$7,0)),"sin_clasificar"))</f>
        <v/>
      </c>
      <c r="T301" s="3">
        <f>IF($F301="","",IFERROR(INDEX('CAT_CENTROS_COSTO'!$E$4:$E$9,MATCH($F301,'CAT_CENTROS_COSTO'!$A$4:$A$9,0)),"(sin catálogo)"))</f>
        <v/>
      </c>
      <c r="U301" s="3">
        <f>IF($F301="","",IFERROR(INDEX('CAT_CENTROS_COSTO'!$D$4:$D$9,MATCH($F301,'CAT_CENTROS_COSTO'!$A$4:$A$9,0)),"(sin catálogo)"))</f>
        <v/>
      </c>
      <c r="V301" s="3">
        <f>IF($F301="","",IFERROR(INDEX('CAT_CENTROS_COSTO'!$F$4:$F$9,MATCH($F301,'CAT_CENTROS_COSTO'!$A$4:$A$9,0)),"(sin catálogo)"))</f>
        <v/>
      </c>
      <c r="W301" s="3">
        <f>IF($G301="","",IFERROR(INDEX('CAT_PUESTOS'!$B$4:$B$8,MATCH($G301,'CAT_PUESTOS'!$A$4:$A$8,0)),"(sin catálogo)"))</f>
        <v/>
      </c>
      <c r="X301" s="3">
        <f>IF($H301="","",IFERROR(INDEX('CAT_ACTIVIDADES'!$B$4:$B$8,MATCH($H301,'CAT_ACTIVIDADES'!$A$4:$A$8,0)),"(sin catálogo)"))</f>
        <v/>
      </c>
      <c r="Y301" s="12">
        <f>IF($J301="","",TODAY()-$J301)</f>
        <v/>
      </c>
      <c r="Z301" s="3">
        <f>IF($Y301="","",IF($Y301&lt;0,"FUTURO",IF($Y301&gt;p_dias_backlog_max,"BACKLOG","MES CORRIENTE")))</f>
        <v/>
      </c>
      <c r="AA301" s="3">
        <f>IF($Y301="",FALSE,AND($Y301&gt;p_dias_backlog_min,$Y301&lt;=p_dias_backlog_max))</f>
        <v/>
      </c>
      <c r="AB301" s="6" t="n"/>
      <c r="AC301" s="3">
        <f>IF($AB301="","",IFERROR(INDEX('ASIGNACIONES'!$F$4:$F$339,MATCH($O301&amp;"|"&amp;$R301&amp;"|"&amp;$AB301,'ASIGNACIONES'!$I$4:$I$339,0)),""))</f>
        <v/>
      </c>
      <c r="AD301" s="13">
        <f>IF($AB301="","",SUMIFS('ORDENES'!$M$4:$M$1203,'ORDENES'!$AB$4:$AB$1203,$AB301,'ORDENES'!$O$4:$O$1203,$O301,'ORDENES'!$R$4:$R$1203,$R301))</f>
        <v/>
      </c>
      <c r="AE301" s="13">
        <f>IF($AD301="","",p_factor_productividad*IFERROR(INDEX('ASIGNACIONES'!$H$4:$H$339,MATCH($O301&amp;"|"&amp;$R301&amp;"|"&amp;$AB301,'ASIGNACIONES'!$I$4:$I$339,0)),0)-$AD301)</f>
        <v/>
      </c>
      <c r="AF301" s="10">
        <f>IF($A301="","",IFERROR(INDEX('2_IMPORTAR_EJECUCION'!$F$9:$F$1208,MATCH($AN301,'2_IMPORTAR_EJECUCION'!$J$9:$J$1208,0)),0))</f>
        <v/>
      </c>
      <c r="AG301" s="10">
        <f>IF($A301="","",MAX(0,IFERROR(INDEX('2_IMPORTAR_EJECUCION'!$H$9:$H$1208,MATCH($AN301,'2_IMPORTAR_EJECUCION'!$J$9:$J$1208,0)),0)-$AF301))</f>
        <v/>
      </c>
      <c r="AH301" s="10">
        <f>IF($A301="","",$AF301+$AG301)</f>
        <v/>
      </c>
      <c r="AI301" s="6" t="n"/>
      <c r="AJ301" s="6" t="n"/>
      <c r="AK301" s="6" t="n"/>
      <c r="AL301" s="3">
        <f>IF($AK301="","",HYPERLINK(p_ruta_base_checklists&amp;$AK301,"abrir"))</f>
        <v/>
      </c>
      <c r="AM301" s="6" t="n"/>
      <c r="AN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1" t="n"/>
      <c r="K302" s="3" t="n"/>
      <c r="L302" s="10" t="n"/>
      <c r="M302" s="3">
        <f>IF($A302="","",IFERROR(INDEX('AJUSTES'!$B$4:$B$303,MATCH($AN302,'AJUSTES'!$A$4:$A$303,0)),IF($K302="","",$K302)))</f>
        <v/>
      </c>
      <c r="N302" s="3">
        <f>IF($A302="","",IFERROR(INDEX('CAT_ESTADOS_ERP'!$B$4:$B$7,MATCH(IFERROR(INDEX('2_IMPORTAR_EJECUCION'!$C$9:$C$1208,MATCH($AN302,'2_IMPORTAR_EJECUCION'!$J$9:$J$1208,0)),""),'CAT_ESTADOS_ERP'!$A$4:$A$7,0)),"Pendiente"))</f>
        <v/>
      </c>
      <c r="O302" s="3">
        <f>IF($J302="","",YEAR($J302+4-WEEKDAY($J302,2))&amp;"-S"&amp;TEXT(_xlfn.ISOWEEKNUM($J302),"00"))</f>
        <v/>
      </c>
      <c r="P302" s="3">
        <f>IF($J302="","",YEAR($J302))</f>
        <v/>
      </c>
      <c r="Q302" s="3">
        <f>IF($J302="","",MONTH($J302))</f>
        <v/>
      </c>
      <c r="R302" s="3">
        <f>IF($J302="","",INDEX(lista_dias,WEEKDAY($J302,2)))</f>
        <v/>
      </c>
      <c r="S302" s="3">
        <f>IF($I302="","",IFERROR(INDEX('CAT_TIPOS_OT'!$C$4:$C$7,MATCH($I302,'CAT_TIPOS_OT'!$A$4:$A$7,0)),"sin_clasificar"))</f>
        <v/>
      </c>
      <c r="T302" s="3">
        <f>IF($F302="","",IFERROR(INDEX('CAT_CENTROS_COSTO'!$E$4:$E$9,MATCH($F302,'CAT_CENTROS_COSTO'!$A$4:$A$9,0)),"(sin catálogo)"))</f>
        <v/>
      </c>
      <c r="U302" s="3">
        <f>IF($F302="","",IFERROR(INDEX('CAT_CENTROS_COSTO'!$D$4:$D$9,MATCH($F302,'CAT_CENTROS_COSTO'!$A$4:$A$9,0)),"(sin catálogo)"))</f>
        <v/>
      </c>
      <c r="V302" s="3">
        <f>IF($F302="","",IFERROR(INDEX('CAT_CENTROS_COSTO'!$F$4:$F$9,MATCH($F302,'CAT_CENTROS_COSTO'!$A$4:$A$9,0)),"(sin catálogo)"))</f>
        <v/>
      </c>
      <c r="W302" s="3">
        <f>IF($G302="","",IFERROR(INDEX('CAT_PUESTOS'!$B$4:$B$8,MATCH($G302,'CAT_PUESTOS'!$A$4:$A$8,0)),"(sin catálogo)"))</f>
        <v/>
      </c>
      <c r="X302" s="3">
        <f>IF($H302="","",IFERROR(INDEX('CAT_ACTIVIDADES'!$B$4:$B$8,MATCH($H302,'CAT_ACTIVIDADES'!$A$4:$A$8,0)),"(sin catálogo)"))</f>
        <v/>
      </c>
      <c r="Y302" s="12">
        <f>IF($J302="","",TODAY()-$J302)</f>
        <v/>
      </c>
      <c r="Z302" s="3">
        <f>IF($Y302="","",IF($Y302&lt;0,"FUTURO",IF($Y302&gt;p_dias_backlog_max,"BACKLOG","MES CORRIENTE")))</f>
        <v/>
      </c>
      <c r="AA302" s="3">
        <f>IF($Y302="",FALSE,AND($Y302&gt;p_dias_backlog_min,$Y302&lt;=p_dias_backlog_max))</f>
        <v/>
      </c>
      <c r="AB302" s="6" t="n"/>
      <c r="AC302" s="3">
        <f>IF($AB302="","",IFERROR(INDEX('ASIGNACIONES'!$F$4:$F$339,MATCH($O302&amp;"|"&amp;$R302&amp;"|"&amp;$AB302,'ASIGNACIONES'!$I$4:$I$339,0)),""))</f>
        <v/>
      </c>
      <c r="AD302" s="13">
        <f>IF($AB302="","",SUMIFS('ORDENES'!$M$4:$M$1203,'ORDENES'!$AB$4:$AB$1203,$AB302,'ORDENES'!$O$4:$O$1203,$O302,'ORDENES'!$R$4:$R$1203,$R302))</f>
        <v/>
      </c>
      <c r="AE302" s="13">
        <f>IF($AD302="","",p_factor_productividad*IFERROR(INDEX('ASIGNACIONES'!$H$4:$H$339,MATCH($O302&amp;"|"&amp;$R302&amp;"|"&amp;$AB302,'ASIGNACIONES'!$I$4:$I$339,0)),0)-$AD302)</f>
        <v/>
      </c>
      <c r="AF302" s="10">
        <f>IF($A302="","",IFERROR(INDEX('2_IMPORTAR_EJECUCION'!$F$9:$F$1208,MATCH($AN302,'2_IMPORTAR_EJECUCION'!$J$9:$J$1208,0)),0))</f>
        <v/>
      </c>
      <c r="AG302" s="10">
        <f>IF($A302="","",MAX(0,IFERROR(INDEX('2_IMPORTAR_EJECUCION'!$H$9:$H$1208,MATCH($AN302,'2_IMPORTAR_EJECUCION'!$J$9:$J$1208,0)),0)-$AF302))</f>
        <v/>
      </c>
      <c r="AH302" s="10">
        <f>IF($A302="","",$AF302+$AG302)</f>
        <v/>
      </c>
      <c r="AI302" s="6" t="n"/>
      <c r="AJ302" s="6" t="n"/>
      <c r="AK302" s="6" t="n"/>
      <c r="AL302" s="3">
        <f>IF($AK302="","",HYPERLINK(p_ruta_base_checklists&amp;$AK302,"abrir"))</f>
        <v/>
      </c>
      <c r="AM302" s="6" t="n"/>
      <c r="AN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1" t="n"/>
      <c r="K303" s="3" t="n"/>
      <c r="L303" s="10" t="n"/>
      <c r="M303" s="3">
        <f>IF($A303="","",IFERROR(INDEX('AJUSTES'!$B$4:$B$303,MATCH($AN303,'AJUSTES'!$A$4:$A$303,0)),IF($K303="","",$K303)))</f>
        <v/>
      </c>
      <c r="N303" s="3">
        <f>IF($A303="","",IFERROR(INDEX('CAT_ESTADOS_ERP'!$B$4:$B$7,MATCH(IFERROR(INDEX('2_IMPORTAR_EJECUCION'!$C$9:$C$1208,MATCH($AN303,'2_IMPORTAR_EJECUCION'!$J$9:$J$1208,0)),""),'CAT_ESTADOS_ERP'!$A$4:$A$7,0)),"Pendiente"))</f>
        <v/>
      </c>
      <c r="O303" s="3">
        <f>IF($J303="","",YEAR($J303+4-WEEKDAY($J303,2))&amp;"-S"&amp;TEXT(_xlfn.ISOWEEKNUM($J303),"00"))</f>
        <v/>
      </c>
      <c r="P303" s="3">
        <f>IF($J303="","",YEAR($J303))</f>
        <v/>
      </c>
      <c r="Q303" s="3">
        <f>IF($J303="","",MONTH($J303))</f>
        <v/>
      </c>
      <c r="R303" s="3">
        <f>IF($J303="","",INDEX(lista_dias,WEEKDAY($J303,2)))</f>
        <v/>
      </c>
      <c r="S303" s="3">
        <f>IF($I303="","",IFERROR(INDEX('CAT_TIPOS_OT'!$C$4:$C$7,MATCH($I303,'CAT_TIPOS_OT'!$A$4:$A$7,0)),"sin_clasificar"))</f>
        <v/>
      </c>
      <c r="T303" s="3">
        <f>IF($F303="","",IFERROR(INDEX('CAT_CENTROS_COSTO'!$E$4:$E$9,MATCH($F303,'CAT_CENTROS_COSTO'!$A$4:$A$9,0)),"(sin catálogo)"))</f>
        <v/>
      </c>
      <c r="U303" s="3">
        <f>IF($F303="","",IFERROR(INDEX('CAT_CENTROS_COSTO'!$D$4:$D$9,MATCH($F303,'CAT_CENTROS_COSTO'!$A$4:$A$9,0)),"(sin catálogo)"))</f>
        <v/>
      </c>
      <c r="V303" s="3">
        <f>IF($F303="","",IFERROR(INDEX('CAT_CENTROS_COSTO'!$F$4:$F$9,MATCH($F303,'CAT_CENTROS_COSTO'!$A$4:$A$9,0)),"(sin catálogo)"))</f>
        <v/>
      </c>
      <c r="W303" s="3">
        <f>IF($G303="","",IFERROR(INDEX('CAT_PUESTOS'!$B$4:$B$8,MATCH($G303,'CAT_PUESTOS'!$A$4:$A$8,0)),"(sin catálogo)"))</f>
        <v/>
      </c>
      <c r="X303" s="3">
        <f>IF($H303="","",IFERROR(INDEX('CAT_ACTIVIDADES'!$B$4:$B$8,MATCH($H303,'CAT_ACTIVIDADES'!$A$4:$A$8,0)),"(sin catálogo)"))</f>
        <v/>
      </c>
      <c r="Y303" s="12">
        <f>IF($J303="","",TODAY()-$J303)</f>
        <v/>
      </c>
      <c r="Z303" s="3">
        <f>IF($Y303="","",IF($Y303&lt;0,"FUTURO",IF($Y303&gt;p_dias_backlog_max,"BACKLOG","MES CORRIENTE")))</f>
        <v/>
      </c>
      <c r="AA303" s="3">
        <f>IF($Y303="",FALSE,AND($Y303&gt;p_dias_backlog_min,$Y303&lt;=p_dias_backlog_max))</f>
        <v/>
      </c>
      <c r="AB303" s="6" t="n"/>
      <c r="AC303" s="3">
        <f>IF($AB303="","",IFERROR(INDEX('ASIGNACIONES'!$F$4:$F$339,MATCH($O303&amp;"|"&amp;$R303&amp;"|"&amp;$AB303,'ASIGNACIONES'!$I$4:$I$339,0)),""))</f>
        <v/>
      </c>
      <c r="AD303" s="13">
        <f>IF($AB303="","",SUMIFS('ORDENES'!$M$4:$M$1203,'ORDENES'!$AB$4:$AB$1203,$AB303,'ORDENES'!$O$4:$O$1203,$O303,'ORDENES'!$R$4:$R$1203,$R303))</f>
        <v/>
      </c>
      <c r="AE303" s="13">
        <f>IF($AD303="","",p_factor_productividad*IFERROR(INDEX('ASIGNACIONES'!$H$4:$H$339,MATCH($O303&amp;"|"&amp;$R303&amp;"|"&amp;$AB303,'ASIGNACIONES'!$I$4:$I$339,0)),0)-$AD303)</f>
        <v/>
      </c>
      <c r="AF303" s="10">
        <f>IF($A303="","",IFERROR(INDEX('2_IMPORTAR_EJECUCION'!$F$9:$F$1208,MATCH($AN303,'2_IMPORTAR_EJECUCION'!$J$9:$J$1208,0)),0))</f>
        <v/>
      </c>
      <c r="AG303" s="10">
        <f>IF($A303="","",MAX(0,IFERROR(INDEX('2_IMPORTAR_EJECUCION'!$H$9:$H$1208,MATCH($AN303,'2_IMPORTAR_EJECUCION'!$J$9:$J$1208,0)),0)-$AF303))</f>
        <v/>
      </c>
      <c r="AH303" s="10">
        <f>IF($A303="","",$AF303+$AG303)</f>
        <v/>
      </c>
      <c r="AI303" s="6" t="n"/>
      <c r="AJ303" s="6" t="n"/>
      <c r="AK303" s="6" t="n"/>
      <c r="AL303" s="3">
        <f>IF($AK303="","",HYPERLINK(p_ruta_base_checklists&amp;$AK303,"abrir"))</f>
        <v/>
      </c>
      <c r="AM303" s="6" t="n"/>
      <c r="AN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1" t="n"/>
      <c r="K304" s="3" t="n"/>
      <c r="L304" s="10" t="n"/>
      <c r="M304" s="3">
        <f>IF($A304="","",IFERROR(INDEX('AJUSTES'!$B$4:$B$303,MATCH($AN304,'AJUSTES'!$A$4:$A$303,0)),IF($K304="","",$K304)))</f>
        <v/>
      </c>
      <c r="N304" s="3">
        <f>IF($A304="","",IFERROR(INDEX('CAT_ESTADOS_ERP'!$B$4:$B$7,MATCH(IFERROR(INDEX('2_IMPORTAR_EJECUCION'!$C$9:$C$1208,MATCH($AN304,'2_IMPORTAR_EJECUCION'!$J$9:$J$1208,0)),""),'CAT_ESTADOS_ERP'!$A$4:$A$7,0)),"Pendiente"))</f>
        <v/>
      </c>
      <c r="O304" s="3">
        <f>IF($J304="","",YEAR($J304+4-WEEKDAY($J304,2))&amp;"-S"&amp;TEXT(_xlfn.ISOWEEKNUM($J304),"00"))</f>
        <v/>
      </c>
      <c r="P304" s="3">
        <f>IF($J304="","",YEAR($J304))</f>
        <v/>
      </c>
      <c r="Q304" s="3">
        <f>IF($J304="","",MONTH($J304))</f>
        <v/>
      </c>
      <c r="R304" s="3">
        <f>IF($J304="","",INDEX(lista_dias,WEEKDAY($J304,2)))</f>
        <v/>
      </c>
      <c r="S304" s="3">
        <f>IF($I304="","",IFERROR(INDEX('CAT_TIPOS_OT'!$C$4:$C$7,MATCH($I304,'CAT_TIPOS_OT'!$A$4:$A$7,0)),"sin_clasificar"))</f>
        <v/>
      </c>
      <c r="T304" s="3">
        <f>IF($F304="","",IFERROR(INDEX('CAT_CENTROS_COSTO'!$E$4:$E$9,MATCH($F304,'CAT_CENTROS_COSTO'!$A$4:$A$9,0)),"(sin catálogo)"))</f>
        <v/>
      </c>
      <c r="U304" s="3">
        <f>IF($F304="","",IFERROR(INDEX('CAT_CENTROS_COSTO'!$D$4:$D$9,MATCH($F304,'CAT_CENTROS_COSTO'!$A$4:$A$9,0)),"(sin catálogo)"))</f>
        <v/>
      </c>
      <c r="V304" s="3">
        <f>IF($F304="","",IFERROR(INDEX('CAT_CENTROS_COSTO'!$F$4:$F$9,MATCH($F304,'CAT_CENTROS_COSTO'!$A$4:$A$9,0)),"(sin catálogo)"))</f>
        <v/>
      </c>
      <c r="W304" s="3">
        <f>IF($G304="","",IFERROR(INDEX('CAT_PUESTOS'!$B$4:$B$8,MATCH($G304,'CAT_PUESTOS'!$A$4:$A$8,0)),"(sin catálogo)"))</f>
        <v/>
      </c>
      <c r="X304" s="3">
        <f>IF($H304="","",IFERROR(INDEX('CAT_ACTIVIDADES'!$B$4:$B$8,MATCH($H304,'CAT_ACTIVIDADES'!$A$4:$A$8,0)),"(sin catálogo)"))</f>
        <v/>
      </c>
      <c r="Y304" s="12">
        <f>IF($J304="","",TODAY()-$J304)</f>
        <v/>
      </c>
      <c r="Z304" s="3">
        <f>IF($Y304="","",IF($Y304&lt;0,"FUTURO",IF($Y304&gt;p_dias_backlog_max,"BACKLOG","MES CORRIENTE")))</f>
        <v/>
      </c>
      <c r="AA304" s="3">
        <f>IF($Y304="",FALSE,AND($Y304&gt;p_dias_backlog_min,$Y304&lt;=p_dias_backlog_max))</f>
        <v/>
      </c>
      <c r="AB304" s="6" t="n"/>
      <c r="AC304" s="3">
        <f>IF($AB304="","",IFERROR(INDEX('ASIGNACIONES'!$F$4:$F$339,MATCH($O304&amp;"|"&amp;$R304&amp;"|"&amp;$AB304,'ASIGNACIONES'!$I$4:$I$339,0)),""))</f>
        <v/>
      </c>
      <c r="AD304" s="13">
        <f>IF($AB304="","",SUMIFS('ORDENES'!$M$4:$M$1203,'ORDENES'!$AB$4:$AB$1203,$AB304,'ORDENES'!$O$4:$O$1203,$O304,'ORDENES'!$R$4:$R$1203,$R304))</f>
        <v/>
      </c>
      <c r="AE304" s="13">
        <f>IF($AD304="","",p_factor_productividad*IFERROR(INDEX('ASIGNACIONES'!$H$4:$H$339,MATCH($O304&amp;"|"&amp;$R304&amp;"|"&amp;$AB304,'ASIGNACIONES'!$I$4:$I$339,0)),0)-$AD304)</f>
        <v/>
      </c>
      <c r="AF304" s="10">
        <f>IF($A304="","",IFERROR(INDEX('2_IMPORTAR_EJECUCION'!$F$9:$F$1208,MATCH($AN304,'2_IMPORTAR_EJECUCION'!$J$9:$J$1208,0)),0))</f>
        <v/>
      </c>
      <c r="AG304" s="10">
        <f>IF($A304="","",MAX(0,IFERROR(INDEX('2_IMPORTAR_EJECUCION'!$H$9:$H$1208,MATCH($AN304,'2_IMPORTAR_EJECUCION'!$J$9:$J$1208,0)),0)-$AF304))</f>
        <v/>
      </c>
      <c r="AH304" s="10">
        <f>IF($A304="","",$AF304+$AG304)</f>
        <v/>
      </c>
      <c r="AI304" s="6" t="n"/>
      <c r="AJ304" s="6" t="n"/>
      <c r="AK304" s="6" t="n"/>
      <c r="AL304" s="3">
        <f>IF($AK304="","",HYPERLINK(p_ruta_base_checklists&amp;$AK304,"abrir"))</f>
        <v/>
      </c>
      <c r="AM304" s="6" t="n"/>
      <c r="AN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1" t="n"/>
      <c r="K305" s="3" t="n"/>
      <c r="L305" s="10" t="n"/>
      <c r="M305" s="3">
        <f>IF($A305="","",IFERROR(INDEX('AJUSTES'!$B$4:$B$303,MATCH($AN305,'AJUSTES'!$A$4:$A$303,0)),IF($K305="","",$K305)))</f>
        <v/>
      </c>
      <c r="N305" s="3">
        <f>IF($A305="","",IFERROR(INDEX('CAT_ESTADOS_ERP'!$B$4:$B$7,MATCH(IFERROR(INDEX('2_IMPORTAR_EJECUCION'!$C$9:$C$1208,MATCH($AN305,'2_IMPORTAR_EJECUCION'!$J$9:$J$1208,0)),""),'CAT_ESTADOS_ERP'!$A$4:$A$7,0)),"Pendiente"))</f>
        <v/>
      </c>
      <c r="O305" s="3">
        <f>IF($J305="","",YEAR($J305+4-WEEKDAY($J305,2))&amp;"-S"&amp;TEXT(_xlfn.ISOWEEKNUM($J305),"00"))</f>
        <v/>
      </c>
      <c r="P305" s="3">
        <f>IF($J305="","",YEAR($J305))</f>
        <v/>
      </c>
      <c r="Q305" s="3">
        <f>IF($J305="","",MONTH($J305))</f>
        <v/>
      </c>
      <c r="R305" s="3">
        <f>IF($J305="","",INDEX(lista_dias,WEEKDAY($J305,2)))</f>
        <v/>
      </c>
      <c r="S305" s="3">
        <f>IF($I305="","",IFERROR(INDEX('CAT_TIPOS_OT'!$C$4:$C$7,MATCH($I305,'CAT_TIPOS_OT'!$A$4:$A$7,0)),"sin_clasificar"))</f>
        <v/>
      </c>
      <c r="T305" s="3">
        <f>IF($F305="","",IFERROR(INDEX('CAT_CENTROS_COSTO'!$E$4:$E$9,MATCH($F305,'CAT_CENTROS_COSTO'!$A$4:$A$9,0)),"(sin catálogo)"))</f>
        <v/>
      </c>
      <c r="U305" s="3">
        <f>IF($F305="","",IFERROR(INDEX('CAT_CENTROS_COSTO'!$D$4:$D$9,MATCH($F305,'CAT_CENTROS_COSTO'!$A$4:$A$9,0)),"(sin catálogo)"))</f>
        <v/>
      </c>
      <c r="V305" s="3">
        <f>IF($F305="","",IFERROR(INDEX('CAT_CENTROS_COSTO'!$F$4:$F$9,MATCH($F305,'CAT_CENTROS_COSTO'!$A$4:$A$9,0)),"(sin catálogo)"))</f>
        <v/>
      </c>
      <c r="W305" s="3">
        <f>IF($G305="","",IFERROR(INDEX('CAT_PUESTOS'!$B$4:$B$8,MATCH($G305,'CAT_PUESTOS'!$A$4:$A$8,0)),"(sin catálogo)"))</f>
        <v/>
      </c>
      <c r="X305" s="3">
        <f>IF($H305="","",IFERROR(INDEX('CAT_ACTIVIDADES'!$B$4:$B$8,MATCH($H305,'CAT_ACTIVIDADES'!$A$4:$A$8,0)),"(sin catálogo)"))</f>
        <v/>
      </c>
      <c r="Y305" s="12">
        <f>IF($J305="","",TODAY()-$J305)</f>
        <v/>
      </c>
      <c r="Z305" s="3">
        <f>IF($Y305="","",IF($Y305&lt;0,"FUTURO",IF($Y305&gt;p_dias_backlog_max,"BACKLOG","MES CORRIENTE")))</f>
        <v/>
      </c>
      <c r="AA305" s="3">
        <f>IF($Y305="",FALSE,AND($Y305&gt;p_dias_backlog_min,$Y305&lt;=p_dias_backlog_max))</f>
        <v/>
      </c>
      <c r="AB305" s="6" t="n"/>
      <c r="AC305" s="3">
        <f>IF($AB305="","",IFERROR(INDEX('ASIGNACIONES'!$F$4:$F$339,MATCH($O305&amp;"|"&amp;$R305&amp;"|"&amp;$AB305,'ASIGNACIONES'!$I$4:$I$339,0)),""))</f>
        <v/>
      </c>
      <c r="AD305" s="13">
        <f>IF($AB305="","",SUMIFS('ORDENES'!$M$4:$M$1203,'ORDENES'!$AB$4:$AB$1203,$AB305,'ORDENES'!$O$4:$O$1203,$O305,'ORDENES'!$R$4:$R$1203,$R305))</f>
        <v/>
      </c>
      <c r="AE305" s="13">
        <f>IF($AD305="","",p_factor_productividad*IFERROR(INDEX('ASIGNACIONES'!$H$4:$H$339,MATCH($O305&amp;"|"&amp;$R305&amp;"|"&amp;$AB305,'ASIGNACIONES'!$I$4:$I$339,0)),0)-$AD305)</f>
        <v/>
      </c>
      <c r="AF305" s="10">
        <f>IF($A305="","",IFERROR(INDEX('2_IMPORTAR_EJECUCION'!$F$9:$F$1208,MATCH($AN305,'2_IMPORTAR_EJECUCION'!$J$9:$J$1208,0)),0))</f>
        <v/>
      </c>
      <c r="AG305" s="10">
        <f>IF($A305="","",MAX(0,IFERROR(INDEX('2_IMPORTAR_EJECUCION'!$H$9:$H$1208,MATCH($AN305,'2_IMPORTAR_EJECUCION'!$J$9:$J$1208,0)),0)-$AF305))</f>
        <v/>
      </c>
      <c r="AH305" s="10">
        <f>IF($A305="","",$AF305+$AG305)</f>
        <v/>
      </c>
      <c r="AI305" s="6" t="n"/>
      <c r="AJ305" s="6" t="n"/>
      <c r="AK305" s="6" t="n"/>
      <c r="AL305" s="3">
        <f>IF($AK305="","",HYPERLINK(p_ruta_base_checklists&amp;$AK305,"abrir"))</f>
        <v/>
      </c>
      <c r="AM305" s="6" t="n"/>
      <c r="AN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1" t="n"/>
      <c r="K306" s="3" t="n"/>
      <c r="L306" s="10" t="n"/>
      <c r="M306" s="3">
        <f>IF($A306="","",IFERROR(INDEX('AJUSTES'!$B$4:$B$303,MATCH($AN306,'AJUSTES'!$A$4:$A$303,0)),IF($K306="","",$K306)))</f>
        <v/>
      </c>
      <c r="N306" s="3">
        <f>IF($A306="","",IFERROR(INDEX('CAT_ESTADOS_ERP'!$B$4:$B$7,MATCH(IFERROR(INDEX('2_IMPORTAR_EJECUCION'!$C$9:$C$1208,MATCH($AN306,'2_IMPORTAR_EJECUCION'!$J$9:$J$1208,0)),""),'CAT_ESTADOS_ERP'!$A$4:$A$7,0)),"Pendiente"))</f>
        <v/>
      </c>
      <c r="O306" s="3">
        <f>IF($J306="","",YEAR($J306+4-WEEKDAY($J306,2))&amp;"-S"&amp;TEXT(_xlfn.ISOWEEKNUM($J306),"00"))</f>
        <v/>
      </c>
      <c r="P306" s="3">
        <f>IF($J306="","",YEAR($J306))</f>
        <v/>
      </c>
      <c r="Q306" s="3">
        <f>IF($J306="","",MONTH($J306))</f>
        <v/>
      </c>
      <c r="R306" s="3">
        <f>IF($J306="","",INDEX(lista_dias,WEEKDAY($J306,2)))</f>
        <v/>
      </c>
      <c r="S306" s="3">
        <f>IF($I306="","",IFERROR(INDEX('CAT_TIPOS_OT'!$C$4:$C$7,MATCH($I306,'CAT_TIPOS_OT'!$A$4:$A$7,0)),"sin_clasificar"))</f>
        <v/>
      </c>
      <c r="T306" s="3">
        <f>IF($F306="","",IFERROR(INDEX('CAT_CENTROS_COSTO'!$E$4:$E$9,MATCH($F306,'CAT_CENTROS_COSTO'!$A$4:$A$9,0)),"(sin catálogo)"))</f>
        <v/>
      </c>
      <c r="U306" s="3">
        <f>IF($F306="","",IFERROR(INDEX('CAT_CENTROS_COSTO'!$D$4:$D$9,MATCH($F306,'CAT_CENTROS_COSTO'!$A$4:$A$9,0)),"(sin catálogo)"))</f>
        <v/>
      </c>
      <c r="V306" s="3">
        <f>IF($F306="","",IFERROR(INDEX('CAT_CENTROS_COSTO'!$F$4:$F$9,MATCH($F306,'CAT_CENTROS_COSTO'!$A$4:$A$9,0)),"(sin catálogo)"))</f>
        <v/>
      </c>
      <c r="W306" s="3">
        <f>IF($G306="","",IFERROR(INDEX('CAT_PUESTOS'!$B$4:$B$8,MATCH($G306,'CAT_PUESTOS'!$A$4:$A$8,0)),"(sin catálogo)"))</f>
        <v/>
      </c>
      <c r="X306" s="3">
        <f>IF($H306="","",IFERROR(INDEX('CAT_ACTIVIDADES'!$B$4:$B$8,MATCH($H306,'CAT_ACTIVIDADES'!$A$4:$A$8,0)),"(sin catálogo)"))</f>
        <v/>
      </c>
      <c r="Y306" s="12">
        <f>IF($J306="","",TODAY()-$J306)</f>
        <v/>
      </c>
      <c r="Z306" s="3">
        <f>IF($Y306="","",IF($Y306&lt;0,"FUTURO",IF($Y306&gt;p_dias_backlog_max,"BACKLOG","MES CORRIENTE")))</f>
        <v/>
      </c>
      <c r="AA306" s="3">
        <f>IF($Y306="",FALSE,AND($Y306&gt;p_dias_backlog_min,$Y306&lt;=p_dias_backlog_max))</f>
        <v/>
      </c>
      <c r="AB306" s="6" t="n"/>
      <c r="AC306" s="3">
        <f>IF($AB306="","",IFERROR(INDEX('ASIGNACIONES'!$F$4:$F$339,MATCH($O306&amp;"|"&amp;$R306&amp;"|"&amp;$AB306,'ASIGNACIONES'!$I$4:$I$339,0)),""))</f>
        <v/>
      </c>
      <c r="AD306" s="13">
        <f>IF($AB306="","",SUMIFS('ORDENES'!$M$4:$M$1203,'ORDENES'!$AB$4:$AB$1203,$AB306,'ORDENES'!$O$4:$O$1203,$O306,'ORDENES'!$R$4:$R$1203,$R306))</f>
        <v/>
      </c>
      <c r="AE306" s="13">
        <f>IF($AD306="","",p_factor_productividad*IFERROR(INDEX('ASIGNACIONES'!$H$4:$H$339,MATCH($O306&amp;"|"&amp;$R306&amp;"|"&amp;$AB306,'ASIGNACIONES'!$I$4:$I$339,0)),0)-$AD306)</f>
        <v/>
      </c>
      <c r="AF306" s="10">
        <f>IF($A306="","",IFERROR(INDEX('2_IMPORTAR_EJECUCION'!$F$9:$F$1208,MATCH($AN306,'2_IMPORTAR_EJECUCION'!$J$9:$J$1208,0)),0))</f>
        <v/>
      </c>
      <c r="AG306" s="10">
        <f>IF($A306="","",MAX(0,IFERROR(INDEX('2_IMPORTAR_EJECUCION'!$H$9:$H$1208,MATCH($AN306,'2_IMPORTAR_EJECUCION'!$J$9:$J$1208,0)),0)-$AF306))</f>
        <v/>
      </c>
      <c r="AH306" s="10">
        <f>IF($A306="","",$AF306+$AG306)</f>
        <v/>
      </c>
      <c r="AI306" s="6" t="n"/>
      <c r="AJ306" s="6" t="n"/>
      <c r="AK306" s="6" t="n"/>
      <c r="AL306" s="3">
        <f>IF($AK306="","",HYPERLINK(p_ruta_base_checklists&amp;$AK306,"abrir"))</f>
        <v/>
      </c>
      <c r="AM306" s="6" t="n"/>
      <c r="AN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1" t="n"/>
      <c r="K307" s="3" t="n"/>
      <c r="L307" s="10" t="n"/>
      <c r="M307" s="3">
        <f>IF($A307="","",IFERROR(INDEX('AJUSTES'!$B$4:$B$303,MATCH($AN307,'AJUSTES'!$A$4:$A$303,0)),IF($K307="","",$K307)))</f>
        <v/>
      </c>
      <c r="N307" s="3">
        <f>IF($A307="","",IFERROR(INDEX('CAT_ESTADOS_ERP'!$B$4:$B$7,MATCH(IFERROR(INDEX('2_IMPORTAR_EJECUCION'!$C$9:$C$1208,MATCH($AN307,'2_IMPORTAR_EJECUCION'!$J$9:$J$1208,0)),""),'CAT_ESTADOS_ERP'!$A$4:$A$7,0)),"Pendiente"))</f>
        <v/>
      </c>
      <c r="O307" s="3">
        <f>IF($J307="","",YEAR($J307+4-WEEKDAY($J307,2))&amp;"-S"&amp;TEXT(_xlfn.ISOWEEKNUM($J307),"00"))</f>
        <v/>
      </c>
      <c r="P307" s="3">
        <f>IF($J307="","",YEAR($J307))</f>
        <v/>
      </c>
      <c r="Q307" s="3">
        <f>IF($J307="","",MONTH($J307))</f>
        <v/>
      </c>
      <c r="R307" s="3">
        <f>IF($J307="","",INDEX(lista_dias,WEEKDAY($J307,2)))</f>
        <v/>
      </c>
      <c r="S307" s="3">
        <f>IF($I307="","",IFERROR(INDEX('CAT_TIPOS_OT'!$C$4:$C$7,MATCH($I307,'CAT_TIPOS_OT'!$A$4:$A$7,0)),"sin_clasificar"))</f>
        <v/>
      </c>
      <c r="T307" s="3">
        <f>IF($F307="","",IFERROR(INDEX('CAT_CENTROS_COSTO'!$E$4:$E$9,MATCH($F307,'CAT_CENTROS_COSTO'!$A$4:$A$9,0)),"(sin catálogo)"))</f>
        <v/>
      </c>
      <c r="U307" s="3">
        <f>IF($F307="","",IFERROR(INDEX('CAT_CENTROS_COSTO'!$D$4:$D$9,MATCH($F307,'CAT_CENTROS_COSTO'!$A$4:$A$9,0)),"(sin catálogo)"))</f>
        <v/>
      </c>
      <c r="V307" s="3">
        <f>IF($F307="","",IFERROR(INDEX('CAT_CENTROS_COSTO'!$F$4:$F$9,MATCH($F307,'CAT_CENTROS_COSTO'!$A$4:$A$9,0)),"(sin catálogo)"))</f>
        <v/>
      </c>
      <c r="W307" s="3">
        <f>IF($G307="","",IFERROR(INDEX('CAT_PUESTOS'!$B$4:$B$8,MATCH($G307,'CAT_PUESTOS'!$A$4:$A$8,0)),"(sin catálogo)"))</f>
        <v/>
      </c>
      <c r="X307" s="3">
        <f>IF($H307="","",IFERROR(INDEX('CAT_ACTIVIDADES'!$B$4:$B$8,MATCH($H307,'CAT_ACTIVIDADES'!$A$4:$A$8,0)),"(sin catálogo)"))</f>
        <v/>
      </c>
      <c r="Y307" s="12">
        <f>IF($J307="","",TODAY()-$J307)</f>
        <v/>
      </c>
      <c r="Z307" s="3">
        <f>IF($Y307="","",IF($Y307&lt;0,"FUTURO",IF($Y307&gt;p_dias_backlog_max,"BACKLOG","MES CORRIENTE")))</f>
        <v/>
      </c>
      <c r="AA307" s="3">
        <f>IF($Y307="",FALSE,AND($Y307&gt;p_dias_backlog_min,$Y307&lt;=p_dias_backlog_max))</f>
        <v/>
      </c>
      <c r="AB307" s="6" t="n"/>
      <c r="AC307" s="3">
        <f>IF($AB307="","",IFERROR(INDEX('ASIGNACIONES'!$F$4:$F$339,MATCH($O307&amp;"|"&amp;$R307&amp;"|"&amp;$AB307,'ASIGNACIONES'!$I$4:$I$339,0)),""))</f>
        <v/>
      </c>
      <c r="AD307" s="13">
        <f>IF($AB307="","",SUMIFS('ORDENES'!$M$4:$M$1203,'ORDENES'!$AB$4:$AB$1203,$AB307,'ORDENES'!$O$4:$O$1203,$O307,'ORDENES'!$R$4:$R$1203,$R307))</f>
        <v/>
      </c>
      <c r="AE307" s="13">
        <f>IF($AD307="","",p_factor_productividad*IFERROR(INDEX('ASIGNACIONES'!$H$4:$H$339,MATCH($O307&amp;"|"&amp;$R307&amp;"|"&amp;$AB307,'ASIGNACIONES'!$I$4:$I$339,0)),0)-$AD307)</f>
        <v/>
      </c>
      <c r="AF307" s="10">
        <f>IF($A307="","",IFERROR(INDEX('2_IMPORTAR_EJECUCION'!$F$9:$F$1208,MATCH($AN307,'2_IMPORTAR_EJECUCION'!$J$9:$J$1208,0)),0))</f>
        <v/>
      </c>
      <c r="AG307" s="10">
        <f>IF($A307="","",MAX(0,IFERROR(INDEX('2_IMPORTAR_EJECUCION'!$H$9:$H$1208,MATCH($AN307,'2_IMPORTAR_EJECUCION'!$J$9:$J$1208,0)),0)-$AF307))</f>
        <v/>
      </c>
      <c r="AH307" s="10">
        <f>IF($A307="","",$AF307+$AG307)</f>
        <v/>
      </c>
      <c r="AI307" s="6" t="n"/>
      <c r="AJ307" s="6" t="n"/>
      <c r="AK307" s="6" t="n"/>
      <c r="AL307" s="3">
        <f>IF($AK307="","",HYPERLINK(p_ruta_base_checklists&amp;$AK307,"abrir"))</f>
        <v/>
      </c>
      <c r="AM307" s="6" t="n"/>
      <c r="AN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1" t="n"/>
      <c r="K308" s="3" t="n"/>
      <c r="L308" s="10" t="n"/>
      <c r="M308" s="3">
        <f>IF($A308="","",IFERROR(INDEX('AJUSTES'!$B$4:$B$303,MATCH($AN308,'AJUSTES'!$A$4:$A$303,0)),IF($K308="","",$K308)))</f>
        <v/>
      </c>
      <c r="N308" s="3">
        <f>IF($A308="","",IFERROR(INDEX('CAT_ESTADOS_ERP'!$B$4:$B$7,MATCH(IFERROR(INDEX('2_IMPORTAR_EJECUCION'!$C$9:$C$1208,MATCH($AN308,'2_IMPORTAR_EJECUCION'!$J$9:$J$1208,0)),""),'CAT_ESTADOS_ERP'!$A$4:$A$7,0)),"Pendiente"))</f>
        <v/>
      </c>
      <c r="O308" s="3">
        <f>IF($J308="","",YEAR($J308+4-WEEKDAY($J308,2))&amp;"-S"&amp;TEXT(_xlfn.ISOWEEKNUM($J308),"00"))</f>
        <v/>
      </c>
      <c r="P308" s="3">
        <f>IF($J308="","",YEAR($J308))</f>
        <v/>
      </c>
      <c r="Q308" s="3">
        <f>IF($J308="","",MONTH($J308))</f>
        <v/>
      </c>
      <c r="R308" s="3">
        <f>IF($J308="","",INDEX(lista_dias,WEEKDAY($J308,2)))</f>
        <v/>
      </c>
      <c r="S308" s="3">
        <f>IF($I308="","",IFERROR(INDEX('CAT_TIPOS_OT'!$C$4:$C$7,MATCH($I308,'CAT_TIPOS_OT'!$A$4:$A$7,0)),"sin_clasificar"))</f>
        <v/>
      </c>
      <c r="T308" s="3">
        <f>IF($F308="","",IFERROR(INDEX('CAT_CENTROS_COSTO'!$E$4:$E$9,MATCH($F308,'CAT_CENTROS_COSTO'!$A$4:$A$9,0)),"(sin catálogo)"))</f>
        <v/>
      </c>
      <c r="U308" s="3">
        <f>IF($F308="","",IFERROR(INDEX('CAT_CENTROS_COSTO'!$D$4:$D$9,MATCH($F308,'CAT_CENTROS_COSTO'!$A$4:$A$9,0)),"(sin catálogo)"))</f>
        <v/>
      </c>
      <c r="V308" s="3">
        <f>IF($F308="","",IFERROR(INDEX('CAT_CENTROS_COSTO'!$F$4:$F$9,MATCH($F308,'CAT_CENTROS_COSTO'!$A$4:$A$9,0)),"(sin catálogo)"))</f>
        <v/>
      </c>
      <c r="W308" s="3">
        <f>IF($G308="","",IFERROR(INDEX('CAT_PUESTOS'!$B$4:$B$8,MATCH($G308,'CAT_PUESTOS'!$A$4:$A$8,0)),"(sin catálogo)"))</f>
        <v/>
      </c>
      <c r="X308" s="3">
        <f>IF($H308="","",IFERROR(INDEX('CAT_ACTIVIDADES'!$B$4:$B$8,MATCH($H308,'CAT_ACTIVIDADES'!$A$4:$A$8,0)),"(sin catálogo)"))</f>
        <v/>
      </c>
      <c r="Y308" s="12">
        <f>IF($J308="","",TODAY()-$J308)</f>
        <v/>
      </c>
      <c r="Z308" s="3">
        <f>IF($Y308="","",IF($Y308&lt;0,"FUTURO",IF($Y308&gt;p_dias_backlog_max,"BACKLOG","MES CORRIENTE")))</f>
        <v/>
      </c>
      <c r="AA308" s="3">
        <f>IF($Y308="",FALSE,AND($Y308&gt;p_dias_backlog_min,$Y308&lt;=p_dias_backlog_max))</f>
        <v/>
      </c>
      <c r="AB308" s="6" t="n"/>
      <c r="AC308" s="3">
        <f>IF($AB308="","",IFERROR(INDEX('ASIGNACIONES'!$F$4:$F$339,MATCH($O308&amp;"|"&amp;$R308&amp;"|"&amp;$AB308,'ASIGNACIONES'!$I$4:$I$339,0)),""))</f>
        <v/>
      </c>
      <c r="AD308" s="13">
        <f>IF($AB308="","",SUMIFS('ORDENES'!$M$4:$M$1203,'ORDENES'!$AB$4:$AB$1203,$AB308,'ORDENES'!$O$4:$O$1203,$O308,'ORDENES'!$R$4:$R$1203,$R308))</f>
        <v/>
      </c>
      <c r="AE308" s="13">
        <f>IF($AD308="","",p_factor_productividad*IFERROR(INDEX('ASIGNACIONES'!$H$4:$H$339,MATCH($O308&amp;"|"&amp;$R308&amp;"|"&amp;$AB308,'ASIGNACIONES'!$I$4:$I$339,0)),0)-$AD308)</f>
        <v/>
      </c>
      <c r="AF308" s="10">
        <f>IF($A308="","",IFERROR(INDEX('2_IMPORTAR_EJECUCION'!$F$9:$F$1208,MATCH($AN308,'2_IMPORTAR_EJECUCION'!$J$9:$J$1208,0)),0))</f>
        <v/>
      </c>
      <c r="AG308" s="10">
        <f>IF($A308="","",MAX(0,IFERROR(INDEX('2_IMPORTAR_EJECUCION'!$H$9:$H$1208,MATCH($AN308,'2_IMPORTAR_EJECUCION'!$J$9:$J$1208,0)),0)-$AF308))</f>
        <v/>
      </c>
      <c r="AH308" s="10">
        <f>IF($A308="","",$AF308+$AG308)</f>
        <v/>
      </c>
      <c r="AI308" s="6" t="n"/>
      <c r="AJ308" s="6" t="n"/>
      <c r="AK308" s="6" t="n"/>
      <c r="AL308" s="3">
        <f>IF($AK308="","",HYPERLINK(p_ruta_base_checklists&amp;$AK308,"abrir"))</f>
        <v/>
      </c>
      <c r="AM308" s="6" t="n"/>
      <c r="AN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1" t="n"/>
      <c r="K309" s="3" t="n"/>
      <c r="L309" s="10" t="n"/>
      <c r="M309" s="3">
        <f>IF($A309="","",IFERROR(INDEX('AJUSTES'!$B$4:$B$303,MATCH($AN309,'AJUSTES'!$A$4:$A$303,0)),IF($K309="","",$K309)))</f>
        <v/>
      </c>
      <c r="N309" s="3">
        <f>IF($A309="","",IFERROR(INDEX('CAT_ESTADOS_ERP'!$B$4:$B$7,MATCH(IFERROR(INDEX('2_IMPORTAR_EJECUCION'!$C$9:$C$1208,MATCH($AN309,'2_IMPORTAR_EJECUCION'!$J$9:$J$1208,0)),""),'CAT_ESTADOS_ERP'!$A$4:$A$7,0)),"Pendiente"))</f>
        <v/>
      </c>
      <c r="O309" s="3">
        <f>IF($J309="","",YEAR($J309+4-WEEKDAY($J309,2))&amp;"-S"&amp;TEXT(_xlfn.ISOWEEKNUM($J309),"00"))</f>
        <v/>
      </c>
      <c r="P309" s="3">
        <f>IF($J309="","",YEAR($J309))</f>
        <v/>
      </c>
      <c r="Q309" s="3">
        <f>IF($J309="","",MONTH($J309))</f>
        <v/>
      </c>
      <c r="R309" s="3">
        <f>IF($J309="","",INDEX(lista_dias,WEEKDAY($J309,2)))</f>
        <v/>
      </c>
      <c r="S309" s="3">
        <f>IF($I309="","",IFERROR(INDEX('CAT_TIPOS_OT'!$C$4:$C$7,MATCH($I309,'CAT_TIPOS_OT'!$A$4:$A$7,0)),"sin_clasificar"))</f>
        <v/>
      </c>
      <c r="T309" s="3">
        <f>IF($F309="","",IFERROR(INDEX('CAT_CENTROS_COSTO'!$E$4:$E$9,MATCH($F309,'CAT_CENTROS_COSTO'!$A$4:$A$9,0)),"(sin catálogo)"))</f>
        <v/>
      </c>
      <c r="U309" s="3">
        <f>IF($F309="","",IFERROR(INDEX('CAT_CENTROS_COSTO'!$D$4:$D$9,MATCH($F309,'CAT_CENTROS_COSTO'!$A$4:$A$9,0)),"(sin catálogo)"))</f>
        <v/>
      </c>
      <c r="V309" s="3">
        <f>IF($F309="","",IFERROR(INDEX('CAT_CENTROS_COSTO'!$F$4:$F$9,MATCH($F309,'CAT_CENTROS_COSTO'!$A$4:$A$9,0)),"(sin catálogo)"))</f>
        <v/>
      </c>
      <c r="W309" s="3">
        <f>IF($G309="","",IFERROR(INDEX('CAT_PUESTOS'!$B$4:$B$8,MATCH($G309,'CAT_PUESTOS'!$A$4:$A$8,0)),"(sin catálogo)"))</f>
        <v/>
      </c>
      <c r="X309" s="3">
        <f>IF($H309="","",IFERROR(INDEX('CAT_ACTIVIDADES'!$B$4:$B$8,MATCH($H309,'CAT_ACTIVIDADES'!$A$4:$A$8,0)),"(sin catálogo)"))</f>
        <v/>
      </c>
      <c r="Y309" s="12">
        <f>IF($J309="","",TODAY()-$J309)</f>
        <v/>
      </c>
      <c r="Z309" s="3">
        <f>IF($Y309="","",IF($Y309&lt;0,"FUTURO",IF($Y309&gt;p_dias_backlog_max,"BACKLOG","MES CORRIENTE")))</f>
        <v/>
      </c>
      <c r="AA309" s="3">
        <f>IF($Y309="",FALSE,AND($Y309&gt;p_dias_backlog_min,$Y309&lt;=p_dias_backlog_max))</f>
        <v/>
      </c>
      <c r="AB309" s="6" t="n"/>
      <c r="AC309" s="3">
        <f>IF($AB309="","",IFERROR(INDEX('ASIGNACIONES'!$F$4:$F$339,MATCH($O309&amp;"|"&amp;$R309&amp;"|"&amp;$AB309,'ASIGNACIONES'!$I$4:$I$339,0)),""))</f>
        <v/>
      </c>
      <c r="AD309" s="13">
        <f>IF($AB309="","",SUMIFS('ORDENES'!$M$4:$M$1203,'ORDENES'!$AB$4:$AB$1203,$AB309,'ORDENES'!$O$4:$O$1203,$O309,'ORDENES'!$R$4:$R$1203,$R309))</f>
        <v/>
      </c>
      <c r="AE309" s="13">
        <f>IF($AD309="","",p_factor_productividad*IFERROR(INDEX('ASIGNACIONES'!$H$4:$H$339,MATCH($O309&amp;"|"&amp;$R309&amp;"|"&amp;$AB309,'ASIGNACIONES'!$I$4:$I$339,0)),0)-$AD309)</f>
        <v/>
      </c>
      <c r="AF309" s="10">
        <f>IF($A309="","",IFERROR(INDEX('2_IMPORTAR_EJECUCION'!$F$9:$F$1208,MATCH($AN309,'2_IMPORTAR_EJECUCION'!$J$9:$J$1208,0)),0))</f>
        <v/>
      </c>
      <c r="AG309" s="10">
        <f>IF($A309="","",MAX(0,IFERROR(INDEX('2_IMPORTAR_EJECUCION'!$H$9:$H$1208,MATCH($AN309,'2_IMPORTAR_EJECUCION'!$J$9:$J$1208,0)),0)-$AF309))</f>
        <v/>
      </c>
      <c r="AH309" s="10">
        <f>IF($A309="","",$AF309+$AG309)</f>
        <v/>
      </c>
      <c r="AI309" s="6" t="n"/>
      <c r="AJ309" s="6" t="n"/>
      <c r="AK309" s="6" t="n"/>
      <c r="AL309" s="3">
        <f>IF($AK309="","",HYPERLINK(p_ruta_base_checklists&amp;$AK309,"abrir"))</f>
        <v/>
      </c>
      <c r="AM309" s="6" t="n"/>
      <c r="AN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1" t="n"/>
      <c r="K310" s="3" t="n"/>
      <c r="L310" s="10" t="n"/>
      <c r="M310" s="3">
        <f>IF($A310="","",IFERROR(INDEX('AJUSTES'!$B$4:$B$303,MATCH($AN310,'AJUSTES'!$A$4:$A$303,0)),IF($K310="","",$K310)))</f>
        <v/>
      </c>
      <c r="N310" s="3">
        <f>IF($A310="","",IFERROR(INDEX('CAT_ESTADOS_ERP'!$B$4:$B$7,MATCH(IFERROR(INDEX('2_IMPORTAR_EJECUCION'!$C$9:$C$1208,MATCH($AN310,'2_IMPORTAR_EJECUCION'!$J$9:$J$1208,0)),""),'CAT_ESTADOS_ERP'!$A$4:$A$7,0)),"Pendiente"))</f>
        <v/>
      </c>
      <c r="O310" s="3">
        <f>IF($J310="","",YEAR($J310+4-WEEKDAY($J310,2))&amp;"-S"&amp;TEXT(_xlfn.ISOWEEKNUM($J310),"00"))</f>
        <v/>
      </c>
      <c r="P310" s="3">
        <f>IF($J310="","",YEAR($J310))</f>
        <v/>
      </c>
      <c r="Q310" s="3">
        <f>IF($J310="","",MONTH($J310))</f>
        <v/>
      </c>
      <c r="R310" s="3">
        <f>IF($J310="","",INDEX(lista_dias,WEEKDAY($J310,2)))</f>
        <v/>
      </c>
      <c r="S310" s="3">
        <f>IF($I310="","",IFERROR(INDEX('CAT_TIPOS_OT'!$C$4:$C$7,MATCH($I310,'CAT_TIPOS_OT'!$A$4:$A$7,0)),"sin_clasificar"))</f>
        <v/>
      </c>
      <c r="T310" s="3">
        <f>IF($F310="","",IFERROR(INDEX('CAT_CENTROS_COSTO'!$E$4:$E$9,MATCH($F310,'CAT_CENTROS_COSTO'!$A$4:$A$9,0)),"(sin catálogo)"))</f>
        <v/>
      </c>
      <c r="U310" s="3">
        <f>IF($F310="","",IFERROR(INDEX('CAT_CENTROS_COSTO'!$D$4:$D$9,MATCH($F310,'CAT_CENTROS_COSTO'!$A$4:$A$9,0)),"(sin catálogo)"))</f>
        <v/>
      </c>
      <c r="V310" s="3">
        <f>IF($F310="","",IFERROR(INDEX('CAT_CENTROS_COSTO'!$F$4:$F$9,MATCH($F310,'CAT_CENTROS_COSTO'!$A$4:$A$9,0)),"(sin catálogo)"))</f>
        <v/>
      </c>
      <c r="W310" s="3">
        <f>IF($G310="","",IFERROR(INDEX('CAT_PUESTOS'!$B$4:$B$8,MATCH($G310,'CAT_PUESTOS'!$A$4:$A$8,0)),"(sin catálogo)"))</f>
        <v/>
      </c>
      <c r="X310" s="3">
        <f>IF($H310="","",IFERROR(INDEX('CAT_ACTIVIDADES'!$B$4:$B$8,MATCH($H310,'CAT_ACTIVIDADES'!$A$4:$A$8,0)),"(sin catálogo)"))</f>
        <v/>
      </c>
      <c r="Y310" s="12">
        <f>IF($J310="","",TODAY()-$J310)</f>
        <v/>
      </c>
      <c r="Z310" s="3">
        <f>IF($Y310="","",IF($Y310&lt;0,"FUTURO",IF($Y310&gt;p_dias_backlog_max,"BACKLOG","MES CORRIENTE")))</f>
        <v/>
      </c>
      <c r="AA310" s="3">
        <f>IF($Y310="",FALSE,AND($Y310&gt;p_dias_backlog_min,$Y310&lt;=p_dias_backlog_max))</f>
        <v/>
      </c>
      <c r="AB310" s="6" t="n"/>
      <c r="AC310" s="3">
        <f>IF($AB310="","",IFERROR(INDEX('ASIGNACIONES'!$F$4:$F$339,MATCH($O310&amp;"|"&amp;$R310&amp;"|"&amp;$AB310,'ASIGNACIONES'!$I$4:$I$339,0)),""))</f>
        <v/>
      </c>
      <c r="AD310" s="13">
        <f>IF($AB310="","",SUMIFS('ORDENES'!$M$4:$M$1203,'ORDENES'!$AB$4:$AB$1203,$AB310,'ORDENES'!$O$4:$O$1203,$O310,'ORDENES'!$R$4:$R$1203,$R310))</f>
        <v/>
      </c>
      <c r="AE310" s="13">
        <f>IF($AD310="","",p_factor_productividad*IFERROR(INDEX('ASIGNACIONES'!$H$4:$H$339,MATCH($O310&amp;"|"&amp;$R310&amp;"|"&amp;$AB310,'ASIGNACIONES'!$I$4:$I$339,0)),0)-$AD310)</f>
        <v/>
      </c>
      <c r="AF310" s="10">
        <f>IF($A310="","",IFERROR(INDEX('2_IMPORTAR_EJECUCION'!$F$9:$F$1208,MATCH($AN310,'2_IMPORTAR_EJECUCION'!$J$9:$J$1208,0)),0))</f>
        <v/>
      </c>
      <c r="AG310" s="10">
        <f>IF($A310="","",MAX(0,IFERROR(INDEX('2_IMPORTAR_EJECUCION'!$H$9:$H$1208,MATCH($AN310,'2_IMPORTAR_EJECUCION'!$J$9:$J$1208,0)),0)-$AF310))</f>
        <v/>
      </c>
      <c r="AH310" s="10">
        <f>IF($A310="","",$AF310+$AG310)</f>
        <v/>
      </c>
      <c r="AI310" s="6" t="n"/>
      <c r="AJ310" s="6" t="n"/>
      <c r="AK310" s="6" t="n"/>
      <c r="AL310" s="3">
        <f>IF($AK310="","",HYPERLINK(p_ruta_base_checklists&amp;$AK310,"abrir"))</f>
        <v/>
      </c>
      <c r="AM310" s="6" t="n"/>
      <c r="AN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1" t="n"/>
      <c r="K311" s="3" t="n"/>
      <c r="L311" s="10" t="n"/>
      <c r="M311" s="3">
        <f>IF($A311="","",IFERROR(INDEX('AJUSTES'!$B$4:$B$303,MATCH($AN311,'AJUSTES'!$A$4:$A$303,0)),IF($K311="","",$K311)))</f>
        <v/>
      </c>
      <c r="N311" s="3">
        <f>IF($A311="","",IFERROR(INDEX('CAT_ESTADOS_ERP'!$B$4:$B$7,MATCH(IFERROR(INDEX('2_IMPORTAR_EJECUCION'!$C$9:$C$1208,MATCH($AN311,'2_IMPORTAR_EJECUCION'!$J$9:$J$1208,0)),""),'CAT_ESTADOS_ERP'!$A$4:$A$7,0)),"Pendiente"))</f>
        <v/>
      </c>
      <c r="O311" s="3">
        <f>IF($J311="","",YEAR($J311+4-WEEKDAY($J311,2))&amp;"-S"&amp;TEXT(_xlfn.ISOWEEKNUM($J311),"00"))</f>
        <v/>
      </c>
      <c r="P311" s="3">
        <f>IF($J311="","",YEAR($J311))</f>
        <v/>
      </c>
      <c r="Q311" s="3">
        <f>IF($J311="","",MONTH($J311))</f>
        <v/>
      </c>
      <c r="R311" s="3">
        <f>IF($J311="","",INDEX(lista_dias,WEEKDAY($J311,2)))</f>
        <v/>
      </c>
      <c r="S311" s="3">
        <f>IF($I311="","",IFERROR(INDEX('CAT_TIPOS_OT'!$C$4:$C$7,MATCH($I311,'CAT_TIPOS_OT'!$A$4:$A$7,0)),"sin_clasificar"))</f>
        <v/>
      </c>
      <c r="T311" s="3">
        <f>IF($F311="","",IFERROR(INDEX('CAT_CENTROS_COSTO'!$E$4:$E$9,MATCH($F311,'CAT_CENTROS_COSTO'!$A$4:$A$9,0)),"(sin catálogo)"))</f>
        <v/>
      </c>
      <c r="U311" s="3">
        <f>IF($F311="","",IFERROR(INDEX('CAT_CENTROS_COSTO'!$D$4:$D$9,MATCH($F311,'CAT_CENTROS_COSTO'!$A$4:$A$9,0)),"(sin catálogo)"))</f>
        <v/>
      </c>
      <c r="V311" s="3">
        <f>IF($F311="","",IFERROR(INDEX('CAT_CENTROS_COSTO'!$F$4:$F$9,MATCH($F311,'CAT_CENTROS_COSTO'!$A$4:$A$9,0)),"(sin catálogo)"))</f>
        <v/>
      </c>
      <c r="W311" s="3">
        <f>IF($G311="","",IFERROR(INDEX('CAT_PUESTOS'!$B$4:$B$8,MATCH($G311,'CAT_PUESTOS'!$A$4:$A$8,0)),"(sin catálogo)"))</f>
        <v/>
      </c>
      <c r="X311" s="3">
        <f>IF($H311="","",IFERROR(INDEX('CAT_ACTIVIDADES'!$B$4:$B$8,MATCH($H311,'CAT_ACTIVIDADES'!$A$4:$A$8,0)),"(sin catálogo)"))</f>
        <v/>
      </c>
      <c r="Y311" s="12">
        <f>IF($J311="","",TODAY()-$J311)</f>
        <v/>
      </c>
      <c r="Z311" s="3">
        <f>IF($Y311="","",IF($Y311&lt;0,"FUTURO",IF($Y311&gt;p_dias_backlog_max,"BACKLOG","MES CORRIENTE")))</f>
        <v/>
      </c>
      <c r="AA311" s="3">
        <f>IF($Y311="",FALSE,AND($Y311&gt;p_dias_backlog_min,$Y311&lt;=p_dias_backlog_max))</f>
        <v/>
      </c>
      <c r="AB311" s="6" t="n"/>
      <c r="AC311" s="3">
        <f>IF($AB311="","",IFERROR(INDEX('ASIGNACIONES'!$F$4:$F$339,MATCH($O311&amp;"|"&amp;$R311&amp;"|"&amp;$AB311,'ASIGNACIONES'!$I$4:$I$339,0)),""))</f>
        <v/>
      </c>
      <c r="AD311" s="13">
        <f>IF($AB311="","",SUMIFS('ORDENES'!$M$4:$M$1203,'ORDENES'!$AB$4:$AB$1203,$AB311,'ORDENES'!$O$4:$O$1203,$O311,'ORDENES'!$R$4:$R$1203,$R311))</f>
        <v/>
      </c>
      <c r="AE311" s="13">
        <f>IF($AD311="","",p_factor_productividad*IFERROR(INDEX('ASIGNACIONES'!$H$4:$H$339,MATCH($O311&amp;"|"&amp;$R311&amp;"|"&amp;$AB311,'ASIGNACIONES'!$I$4:$I$339,0)),0)-$AD311)</f>
        <v/>
      </c>
      <c r="AF311" s="10">
        <f>IF($A311="","",IFERROR(INDEX('2_IMPORTAR_EJECUCION'!$F$9:$F$1208,MATCH($AN311,'2_IMPORTAR_EJECUCION'!$J$9:$J$1208,0)),0))</f>
        <v/>
      </c>
      <c r="AG311" s="10">
        <f>IF($A311="","",MAX(0,IFERROR(INDEX('2_IMPORTAR_EJECUCION'!$H$9:$H$1208,MATCH($AN311,'2_IMPORTAR_EJECUCION'!$J$9:$J$1208,0)),0)-$AF311))</f>
        <v/>
      </c>
      <c r="AH311" s="10">
        <f>IF($A311="","",$AF311+$AG311)</f>
        <v/>
      </c>
      <c r="AI311" s="6" t="n"/>
      <c r="AJ311" s="6" t="n"/>
      <c r="AK311" s="6" t="n"/>
      <c r="AL311" s="3">
        <f>IF($AK311="","",HYPERLINK(p_ruta_base_checklists&amp;$AK311,"abrir"))</f>
        <v/>
      </c>
      <c r="AM311" s="6" t="n"/>
      <c r="AN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1" t="n"/>
      <c r="K312" s="3" t="n"/>
      <c r="L312" s="10" t="n"/>
      <c r="M312" s="3">
        <f>IF($A312="","",IFERROR(INDEX('AJUSTES'!$B$4:$B$303,MATCH($AN312,'AJUSTES'!$A$4:$A$303,0)),IF($K312="","",$K312)))</f>
        <v/>
      </c>
      <c r="N312" s="3">
        <f>IF($A312="","",IFERROR(INDEX('CAT_ESTADOS_ERP'!$B$4:$B$7,MATCH(IFERROR(INDEX('2_IMPORTAR_EJECUCION'!$C$9:$C$1208,MATCH($AN312,'2_IMPORTAR_EJECUCION'!$J$9:$J$1208,0)),""),'CAT_ESTADOS_ERP'!$A$4:$A$7,0)),"Pendiente"))</f>
        <v/>
      </c>
      <c r="O312" s="3">
        <f>IF($J312="","",YEAR($J312+4-WEEKDAY($J312,2))&amp;"-S"&amp;TEXT(_xlfn.ISOWEEKNUM($J312),"00"))</f>
        <v/>
      </c>
      <c r="P312" s="3">
        <f>IF($J312="","",YEAR($J312))</f>
        <v/>
      </c>
      <c r="Q312" s="3">
        <f>IF($J312="","",MONTH($J312))</f>
        <v/>
      </c>
      <c r="R312" s="3">
        <f>IF($J312="","",INDEX(lista_dias,WEEKDAY($J312,2)))</f>
        <v/>
      </c>
      <c r="S312" s="3">
        <f>IF($I312="","",IFERROR(INDEX('CAT_TIPOS_OT'!$C$4:$C$7,MATCH($I312,'CAT_TIPOS_OT'!$A$4:$A$7,0)),"sin_clasificar"))</f>
        <v/>
      </c>
      <c r="T312" s="3">
        <f>IF($F312="","",IFERROR(INDEX('CAT_CENTROS_COSTO'!$E$4:$E$9,MATCH($F312,'CAT_CENTROS_COSTO'!$A$4:$A$9,0)),"(sin catálogo)"))</f>
        <v/>
      </c>
      <c r="U312" s="3">
        <f>IF($F312="","",IFERROR(INDEX('CAT_CENTROS_COSTO'!$D$4:$D$9,MATCH($F312,'CAT_CENTROS_COSTO'!$A$4:$A$9,0)),"(sin catálogo)"))</f>
        <v/>
      </c>
      <c r="V312" s="3">
        <f>IF($F312="","",IFERROR(INDEX('CAT_CENTROS_COSTO'!$F$4:$F$9,MATCH($F312,'CAT_CENTROS_COSTO'!$A$4:$A$9,0)),"(sin catálogo)"))</f>
        <v/>
      </c>
      <c r="W312" s="3">
        <f>IF($G312="","",IFERROR(INDEX('CAT_PUESTOS'!$B$4:$B$8,MATCH($G312,'CAT_PUESTOS'!$A$4:$A$8,0)),"(sin catálogo)"))</f>
        <v/>
      </c>
      <c r="X312" s="3">
        <f>IF($H312="","",IFERROR(INDEX('CAT_ACTIVIDADES'!$B$4:$B$8,MATCH($H312,'CAT_ACTIVIDADES'!$A$4:$A$8,0)),"(sin catálogo)"))</f>
        <v/>
      </c>
      <c r="Y312" s="12">
        <f>IF($J312="","",TODAY()-$J312)</f>
        <v/>
      </c>
      <c r="Z312" s="3">
        <f>IF($Y312="","",IF($Y312&lt;0,"FUTURO",IF($Y312&gt;p_dias_backlog_max,"BACKLOG","MES CORRIENTE")))</f>
        <v/>
      </c>
      <c r="AA312" s="3">
        <f>IF($Y312="",FALSE,AND($Y312&gt;p_dias_backlog_min,$Y312&lt;=p_dias_backlog_max))</f>
        <v/>
      </c>
      <c r="AB312" s="6" t="n"/>
      <c r="AC312" s="3">
        <f>IF($AB312="","",IFERROR(INDEX('ASIGNACIONES'!$F$4:$F$339,MATCH($O312&amp;"|"&amp;$R312&amp;"|"&amp;$AB312,'ASIGNACIONES'!$I$4:$I$339,0)),""))</f>
        <v/>
      </c>
      <c r="AD312" s="13">
        <f>IF($AB312="","",SUMIFS('ORDENES'!$M$4:$M$1203,'ORDENES'!$AB$4:$AB$1203,$AB312,'ORDENES'!$O$4:$O$1203,$O312,'ORDENES'!$R$4:$R$1203,$R312))</f>
        <v/>
      </c>
      <c r="AE312" s="13">
        <f>IF($AD312="","",p_factor_productividad*IFERROR(INDEX('ASIGNACIONES'!$H$4:$H$339,MATCH($O312&amp;"|"&amp;$R312&amp;"|"&amp;$AB312,'ASIGNACIONES'!$I$4:$I$339,0)),0)-$AD312)</f>
        <v/>
      </c>
      <c r="AF312" s="10">
        <f>IF($A312="","",IFERROR(INDEX('2_IMPORTAR_EJECUCION'!$F$9:$F$1208,MATCH($AN312,'2_IMPORTAR_EJECUCION'!$J$9:$J$1208,0)),0))</f>
        <v/>
      </c>
      <c r="AG312" s="10">
        <f>IF($A312="","",MAX(0,IFERROR(INDEX('2_IMPORTAR_EJECUCION'!$H$9:$H$1208,MATCH($AN312,'2_IMPORTAR_EJECUCION'!$J$9:$J$1208,0)),0)-$AF312))</f>
        <v/>
      </c>
      <c r="AH312" s="10">
        <f>IF($A312="","",$AF312+$AG312)</f>
        <v/>
      </c>
      <c r="AI312" s="6" t="n"/>
      <c r="AJ312" s="6" t="n"/>
      <c r="AK312" s="6" t="n"/>
      <c r="AL312" s="3">
        <f>IF($AK312="","",HYPERLINK(p_ruta_base_checklists&amp;$AK312,"abrir"))</f>
        <v/>
      </c>
      <c r="AM312" s="6" t="n"/>
      <c r="AN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1" t="n"/>
      <c r="K313" s="3" t="n"/>
      <c r="L313" s="10" t="n"/>
      <c r="M313" s="3">
        <f>IF($A313="","",IFERROR(INDEX('AJUSTES'!$B$4:$B$303,MATCH($AN313,'AJUSTES'!$A$4:$A$303,0)),IF($K313="","",$K313)))</f>
        <v/>
      </c>
      <c r="N313" s="3">
        <f>IF($A313="","",IFERROR(INDEX('CAT_ESTADOS_ERP'!$B$4:$B$7,MATCH(IFERROR(INDEX('2_IMPORTAR_EJECUCION'!$C$9:$C$1208,MATCH($AN313,'2_IMPORTAR_EJECUCION'!$J$9:$J$1208,0)),""),'CAT_ESTADOS_ERP'!$A$4:$A$7,0)),"Pendiente"))</f>
        <v/>
      </c>
      <c r="O313" s="3">
        <f>IF($J313="","",YEAR($J313+4-WEEKDAY($J313,2))&amp;"-S"&amp;TEXT(_xlfn.ISOWEEKNUM($J313),"00"))</f>
        <v/>
      </c>
      <c r="P313" s="3">
        <f>IF($J313="","",YEAR($J313))</f>
        <v/>
      </c>
      <c r="Q313" s="3">
        <f>IF($J313="","",MONTH($J313))</f>
        <v/>
      </c>
      <c r="R313" s="3">
        <f>IF($J313="","",INDEX(lista_dias,WEEKDAY($J313,2)))</f>
        <v/>
      </c>
      <c r="S313" s="3">
        <f>IF($I313="","",IFERROR(INDEX('CAT_TIPOS_OT'!$C$4:$C$7,MATCH($I313,'CAT_TIPOS_OT'!$A$4:$A$7,0)),"sin_clasificar"))</f>
        <v/>
      </c>
      <c r="T313" s="3">
        <f>IF($F313="","",IFERROR(INDEX('CAT_CENTROS_COSTO'!$E$4:$E$9,MATCH($F313,'CAT_CENTROS_COSTO'!$A$4:$A$9,0)),"(sin catálogo)"))</f>
        <v/>
      </c>
      <c r="U313" s="3">
        <f>IF($F313="","",IFERROR(INDEX('CAT_CENTROS_COSTO'!$D$4:$D$9,MATCH($F313,'CAT_CENTROS_COSTO'!$A$4:$A$9,0)),"(sin catálogo)"))</f>
        <v/>
      </c>
      <c r="V313" s="3">
        <f>IF($F313="","",IFERROR(INDEX('CAT_CENTROS_COSTO'!$F$4:$F$9,MATCH($F313,'CAT_CENTROS_COSTO'!$A$4:$A$9,0)),"(sin catálogo)"))</f>
        <v/>
      </c>
      <c r="W313" s="3">
        <f>IF($G313="","",IFERROR(INDEX('CAT_PUESTOS'!$B$4:$B$8,MATCH($G313,'CAT_PUESTOS'!$A$4:$A$8,0)),"(sin catálogo)"))</f>
        <v/>
      </c>
      <c r="X313" s="3">
        <f>IF($H313="","",IFERROR(INDEX('CAT_ACTIVIDADES'!$B$4:$B$8,MATCH($H313,'CAT_ACTIVIDADES'!$A$4:$A$8,0)),"(sin catálogo)"))</f>
        <v/>
      </c>
      <c r="Y313" s="12">
        <f>IF($J313="","",TODAY()-$J313)</f>
        <v/>
      </c>
      <c r="Z313" s="3">
        <f>IF($Y313="","",IF($Y313&lt;0,"FUTURO",IF($Y313&gt;p_dias_backlog_max,"BACKLOG","MES CORRIENTE")))</f>
        <v/>
      </c>
      <c r="AA313" s="3">
        <f>IF($Y313="",FALSE,AND($Y313&gt;p_dias_backlog_min,$Y313&lt;=p_dias_backlog_max))</f>
        <v/>
      </c>
      <c r="AB313" s="6" t="n"/>
      <c r="AC313" s="3">
        <f>IF($AB313="","",IFERROR(INDEX('ASIGNACIONES'!$F$4:$F$339,MATCH($O313&amp;"|"&amp;$R313&amp;"|"&amp;$AB313,'ASIGNACIONES'!$I$4:$I$339,0)),""))</f>
        <v/>
      </c>
      <c r="AD313" s="13">
        <f>IF($AB313="","",SUMIFS('ORDENES'!$M$4:$M$1203,'ORDENES'!$AB$4:$AB$1203,$AB313,'ORDENES'!$O$4:$O$1203,$O313,'ORDENES'!$R$4:$R$1203,$R313))</f>
        <v/>
      </c>
      <c r="AE313" s="13">
        <f>IF($AD313="","",p_factor_productividad*IFERROR(INDEX('ASIGNACIONES'!$H$4:$H$339,MATCH($O313&amp;"|"&amp;$R313&amp;"|"&amp;$AB313,'ASIGNACIONES'!$I$4:$I$339,0)),0)-$AD313)</f>
        <v/>
      </c>
      <c r="AF313" s="10">
        <f>IF($A313="","",IFERROR(INDEX('2_IMPORTAR_EJECUCION'!$F$9:$F$1208,MATCH($AN313,'2_IMPORTAR_EJECUCION'!$J$9:$J$1208,0)),0))</f>
        <v/>
      </c>
      <c r="AG313" s="10">
        <f>IF($A313="","",MAX(0,IFERROR(INDEX('2_IMPORTAR_EJECUCION'!$H$9:$H$1208,MATCH($AN313,'2_IMPORTAR_EJECUCION'!$J$9:$J$1208,0)),0)-$AF313))</f>
        <v/>
      </c>
      <c r="AH313" s="10">
        <f>IF($A313="","",$AF313+$AG313)</f>
        <v/>
      </c>
      <c r="AI313" s="6" t="n"/>
      <c r="AJ313" s="6" t="n"/>
      <c r="AK313" s="6" t="n"/>
      <c r="AL313" s="3">
        <f>IF($AK313="","",HYPERLINK(p_ruta_base_checklists&amp;$AK313,"abrir"))</f>
        <v/>
      </c>
      <c r="AM313" s="6" t="n"/>
      <c r="AN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1" t="n"/>
      <c r="K314" s="3" t="n"/>
      <c r="L314" s="10" t="n"/>
      <c r="M314" s="3">
        <f>IF($A314="","",IFERROR(INDEX('AJUSTES'!$B$4:$B$303,MATCH($AN314,'AJUSTES'!$A$4:$A$303,0)),IF($K314="","",$K314)))</f>
        <v/>
      </c>
      <c r="N314" s="3">
        <f>IF($A314="","",IFERROR(INDEX('CAT_ESTADOS_ERP'!$B$4:$B$7,MATCH(IFERROR(INDEX('2_IMPORTAR_EJECUCION'!$C$9:$C$1208,MATCH($AN314,'2_IMPORTAR_EJECUCION'!$J$9:$J$1208,0)),""),'CAT_ESTADOS_ERP'!$A$4:$A$7,0)),"Pendiente"))</f>
        <v/>
      </c>
      <c r="O314" s="3">
        <f>IF($J314="","",YEAR($J314+4-WEEKDAY($J314,2))&amp;"-S"&amp;TEXT(_xlfn.ISOWEEKNUM($J314),"00"))</f>
        <v/>
      </c>
      <c r="P314" s="3">
        <f>IF($J314="","",YEAR($J314))</f>
        <v/>
      </c>
      <c r="Q314" s="3">
        <f>IF($J314="","",MONTH($J314))</f>
        <v/>
      </c>
      <c r="R314" s="3">
        <f>IF($J314="","",INDEX(lista_dias,WEEKDAY($J314,2)))</f>
        <v/>
      </c>
      <c r="S314" s="3">
        <f>IF($I314="","",IFERROR(INDEX('CAT_TIPOS_OT'!$C$4:$C$7,MATCH($I314,'CAT_TIPOS_OT'!$A$4:$A$7,0)),"sin_clasificar"))</f>
        <v/>
      </c>
      <c r="T314" s="3">
        <f>IF($F314="","",IFERROR(INDEX('CAT_CENTROS_COSTO'!$E$4:$E$9,MATCH($F314,'CAT_CENTROS_COSTO'!$A$4:$A$9,0)),"(sin catálogo)"))</f>
        <v/>
      </c>
      <c r="U314" s="3">
        <f>IF($F314="","",IFERROR(INDEX('CAT_CENTROS_COSTO'!$D$4:$D$9,MATCH($F314,'CAT_CENTROS_COSTO'!$A$4:$A$9,0)),"(sin catálogo)"))</f>
        <v/>
      </c>
      <c r="V314" s="3">
        <f>IF($F314="","",IFERROR(INDEX('CAT_CENTROS_COSTO'!$F$4:$F$9,MATCH($F314,'CAT_CENTROS_COSTO'!$A$4:$A$9,0)),"(sin catálogo)"))</f>
        <v/>
      </c>
      <c r="W314" s="3">
        <f>IF($G314="","",IFERROR(INDEX('CAT_PUESTOS'!$B$4:$B$8,MATCH($G314,'CAT_PUESTOS'!$A$4:$A$8,0)),"(sin catálogo)"))</f>
        <v/>
      </c>
      <c r="X314" s="3">
        <f>IF($H314="","",IFERROR(INDEX('CAT_ACTIVIDADES'!$B$4:$B$8,MATCH($H314,'CAT_ACTIVIDADES'!$A$4:$A$8,0)),"(sin catálogo)"))</f>
        <v/>
      </c>
      <c r="Y314" s="12">
        <f>IF($J314="","",TODAY()-$J314)</f>
        <v/>
      </c>
      <c r="Z314" s="3">
        <f>IF($Y314="","",IF($Y314&lt;0,"FUTURO",IF($Y314&gt;p_dias_backlog_max,"BACKLOG","MES CORRIENTE")))</f>
        <v/>
      </c>
      <c r="AA314" s="3">
        <f>IF($Y314="",FALSE,AND($Y314&gt;p_dias_backlog_min,$Y314&lt;=p_dias_backlog_max))</f>
        <v/>
      </c>
      <c r="AB314" s="6" t="n"/>
      <c r="AC314" s="3">
        <f>IF($AB314="","",IFERROR(INDEX('ASIGNACIONES'!$F$4:$F$339,MATCH($O314&amp;"|"&amp;$R314&amp;"|"&amp;$AB314,'ASIGNACIONES'!$I$4:$I$339,0)),""))</f>
        <v/>
      </c>
      <c r="AD314" s="13">
        <f>IF($AB314="","",SUMIFS('ORDENES'!$M$4:$M$1203,'ORDENES'!$AB$4:$AB$1203,$AB314,'ORDENES'!$O$4:$O$1203,$O314,'ORDENES'!$R$4:$R$1203,$R314))</f>
        <v/>
      </c>
      <c r="AE314" s="13">
        <f>IF($AD314="","",p_factor_productividad*IFERROR(INDEX('ASIGNACIONES'!$H$4:$H$339,MATCH($O314&amp;"|"&amp;$R314&amp;"|"&amp;$AB314,'ASIGNACIONES'!$I$4:$I$339,0)),0)-$AD314)</f>
        <v/>
      </c>
      <c r="AF314" s="10">
        <f>IF($A314="","",IFERROR(INDEX('2_IMPORTAR_EJECUCION'!$F$9:$F$1208,MATCH($AN314,'2_IMPORTAR_EJECUCION'!$J$9:$J$1208,0)),0))</f>
        <v/>
      </c>
      <c r="AG314" s="10">
        <f>IF($A314="","",MAX(0,IFERROR(INDEX('2_IMPORTAR_EJECUCION'!$H$9:$H$1208,MATCH($AN314,'2_IMPORTAR_EJECUCION'!$J$9:$J$1208,0)),0)-$AF314))</f>
        <v/>
      </c>
      <c r="AH314" s="10">
        <f>IF($A314="","",$AF314+$AG314)</f>
        <v/>
      </c>
      <c r="AI314" s="6" t="n"/>
      <c r="AJ314" s="6" t="n"/>
      <c r="AK314" s="6" t="n"/>
      <c r="AL314" s="3">
        <f>IF($AK314="","",HYPERLINK(p_ruta_base_checklists&amp;$AK314,"abrir"))</f>
        <v/>
      </c>
      <c r="AM314" s="6" t="n"/>
      <c r="AN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1" t="n"/>
      <c r="K315" s="3" t="n"/>
      <c r="L315" s="10" t="n"/>
      <c r="M315" s="3">
        <f>IF($A315="","",IFERROR(INDEX('AJUSTES'!$B$4:$B$303,MATCH($AN315,'AJUSTES'!$A$4:$A$303,0)),IF($K315="","",$K315)))</f>
        <v/>
      </c>
      <c r="N315" s="3">
        <f>IF($A315="","",IFERROR(INDEX('CAT_ESTADOS_ERP'!$B$4:$B$7,MATCH(IFERROR(INDEX('2_IMPORTAR_EJECUCION'!$C$9:$C$1208,MATCH($AN315,'2_IMPORTAR_EJECUCION'!$J$9:$J$1208,0)),""),'CAT_ESTADOS_ERP'!$A$4:$A$7,0)),"Pendiente"))</f>
        <v/>
      </c>
      <c r="O315" s="3">
        <f>IF($J315="","",YEAR($J315+4-WEEKDAY($J315,2))&amp;"-S"&amp;TEXT(_xlfn.ISOWEEKNUM($J315),"00"))</f>
        <v/>
      </c>
      <c r="P315" s="3">
        <f>IF($J315="","",YEAR($J315))</f>
        <v/>
      </c>
      <c r="Q315" s="3">
        <f>IF($J315="","",MONTH($J315))</f>
        <v/>
      </c>
      <c r="R315" s="3">
        <f>IF($J315="","",INDEX(lista_dias,WEEKDAY($J315,2)))</f>
        <v/>
      </c>
      <c r="S315" s="3">
        <f>IF($I315="","",IFERROR(INDEX('CAT_TIPOS_OT'!$C$4:$C$7,MATCH($I315,'CAT_TIPOS_OT'!$A$4:$A$7,0)),"sin_clasificar"))</f>
        <v/>
      </c>
      <c r="T315" s="3">
        <f>IF($F315="","",IFERROR(INDEX('CAT_CENTROS_COSTO'!$E$4:$E$9,MATCH($F315,'CAT_CENTROS_COSTO'!$A$4:$A$9,0)),"(sin catálogo)"))</f>
        <v/>
      </c>
      <c r="U315" s="3">
        <f>IF($F315="","",IFERROR(INDEX('CAT_CENTROS_COSTO'!$D$4:$D$9,MATCH($F315,'CAT_CENTROS_COSTO'!$A$4:$A$9,0)),"(sin catálogo)"))</f>
        <v/>
      </c>
      <c r="V315" s="3">
        <f>IF($F315="","",IFERROR(INDEX('CAT_CENTROS_COSTO'!$F$4:$F$9,MATCH($F315,'CAT_CENTROS_COSTO'!$A$4:$A$9,0)),"(sin catálogo)"))</f>
        <v/>
      </c>
      <c r="W315" s="3">
        <f>IF($G315="","",IFERROR(INDEX('CAT_PUESTOS'!$B$4:$B$8,MATCH($G315,'CAT_PUESTOS'!$A$4:$A$8,0)),"(sin catálogo)"))</f>
        <v/>
      </c>
      <c r="X315" s="3">
        <f>IF($H315="","",IFERROR(INDEX('CAT_ACTIVIDADES'!$B$4:$B$8,MATCH($H315,'CAT_ACTIVIDADES'!$A$4:$A$8,0)),"(sin catálogo)"))</f>
        <v/>
      </c>
      <c r="Y315" s="12">
        <f>IF($J315="","",TODAY()-$J315)</f>
        <v/>
      </c>
      <c r="Z315" s="3">
        <f>IF($Y315="","",IF($Y315&lt;0,"FUTURO",IF($Y315&gt;p_dias_backlog_max,"BACKLOG","MES CORRIENTE")))</f>
        <v/>
      </c>
      <c r="AA315" s="3">
        <f>IF($Y315="",FALSE,AND($Y315&gt;p_dias_backlog_min,$Y315&lt;=p_dias_backlog_max))</f>
        <v/>
      </c>
      <c r="AB315" s="6" t="n"/>
      <c r="AC315" s="3">
        <f>IF($AB315="","",IFERROR(INDEX('ASIGNACIONES'!$F$4:$F$339,MATCH($O315&amp;"|"&amp;$R315&amp;"|"&amp;$AB315,'ASIGNACIONES'!$I$4:$I$339,0)),""))</f>
        <v/>
      </c>
      <c r="AD315" s="13">
        <f>IF($AB315="","",SUMIFS('ORDENES'!$M$4:$M$1203,'ORDENES'!$AB$4:$AB$1203,$AB315,'ORDENES'!$O$4:$O$1203,$O315,'ORDENES'!$R$4:$R$1203,$R315))</f>
        <v/>
      </c>
      <c r="AE315" s="13">
        <f>IF($AD315="","",p_factor_productividad*IFERROR(INDEX('ASIGNACIONES'!$H$4:$H$339,MATCH($O315&amp;"|"&amp;$R315&amp;"|"&amp;$AB315,'ASIGNACIONES'!$I$4:$I$339,0)),0)-$AD315)</f>
        <v/>
      </c>
      <c r="AF315" s="10">
        <f>IF($A315="","",IFERROR(INDEX('2_IMPORTAR_EJECUCION'!$F$9:$F$1208,MATCH($AN315,'2_IMPORTAR_EJECUCION'!$J$9:$J$1208,0)),0))</f>
        <v/>
      </c>
      <c r="AG315" s="10">
        <f>IF($A315="","",MAX(0,IFERROR(INDEX('2_IMPORTAR_EJECUCION'!$H$9:$H$1208,MATCH($AN315,'2_IMPORTAR_EJECUCION'!$J$9:$J$1208,0)),0)-$AF315))</f>
        <v/>
      </c>
      <c r="AH315" s="10">
        <f>IF($A315="","",$AF315+$AG315)</f>
        <v/>
      </c>
      <c r="AI315" s="6" t="n"/>
      <c r="AJ315" s="6" t="n"/>
      <c r="AK315" s="6" t="n"/>
      <c r="AL315" s="3">
        <f>IF($AK315="","",HYPERLINK(p_ruta_base_checklists&amp;$AK315,"abrir"))</f>
        <v/>
      </c>
      <c r="AM315" s="6" t="n"/>
      <c r="AN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1" t="n"/>
      <c r="K316" s="3" t="n"/>
      <c r="L316" s="10" t="n"/>
      <c r="M316" s="3">
        <f>IF($A316="","",IFERROR(INDEX('AJUSTES'!$B$4:$B$303,MATCH($AN316,'AJUSTES'!$A$4:$A$303,0)),IF($K316="","",$K316)))</f>
        <v/>
      </c>
      <c r="N316" s="3">
        <f>IF($A316="","",IFERROR(INDEX('CAT_ESTADOS_ERP'!$B$4:$B$7,MATCH(IFERROR(INDEX('2_IMPORTAR_EJECUCION'!$C$9:$C$1208,MATCH($AN316,'2_IMPORTAR_EJECUCION'!$J$9:$J$1208,0)),""),'CAT_ESTADOS_ERP'!$A$4:$A$7,0)),"Pendiente"))</f>
        <v/>
      </c>
      <c r="O316" s="3">
        <f>IF($J316="","",YEAR($J316+4-WEEKDAY($J316,2))&amp;"-S"&amp;TEXT(_xlfn.ISOWEEKNUM($J316),"00"))</f>
        <v/>
      </c>
      <c r="P316" s="3">
        <f>IF($J316="","",YEAR($J316))</f>
        <v/>
      </c>
      <c r="Q316" s="3">
        <f>IF($J316="","",MONTH($J316))</f>
        <v/>
      </c>
      <c r="R316" s="3">
        <f>IF($J316="","",INDEX(lista_dias,WEEKDAY($J316,2)))</f>
        <v/>
      </c>
      <c r="S316" s="3">
        <f>IF($I316="","",IFERROR(INDEX('CAT_TIPOS_OT'!$C$4:$C$7,MATCH($I316,'CAT_TIPOS_OT'!$A$4:$A$7,0)),"sin_clasificar"))</f>
        <v/>
      </c>
      <c r="T316" s="3">
        <f>IF($F316="","",IFERROR(INDEX('CAT_CENTROS_COSTO'!$E$4:$E$9,MATCH($F316,'CAT_CENTROS_COSTO'!$A$4:$A$9,0)),"(sin catálogo)"))</f>
        <v/>
      </c>
      <c r="U316" s="3">
        <f>IF($F316="","",IFERROR(INDEX('CAT_CENTROS_COSTO'!$D$4:$D$9,MATCH($F316,'CAT_CENTROS_COSTO'!$A$4:$A$9,0)),"(sin catálogo)"))</f>
        <v/>
      </c>
      <c r="V316" s="3">
        <f>IF($F316="","",IFERROR(INDEX('CAT_CENTROS_COSTO'!$F$4:$F$9,MATCH($F316,'CAT_CENTROS_COSTO'!$A$4:$A$9,0)),"(sin catálogo)"))</f>
        <v/>
      </c>
      <c r="W316" s="3">
        <f>IF($G316="","",IFERROR(INDEX('CAT_PUESTOS'!$B$4:$B$8,MATCH($G316,'CAT_PUESTOS'!$A$4:$A$8,0)),"(sin catálogo)"))</f>
        <v/>
      </c>
      <c r="X316" s="3">
        <f>IF($H316="","",IFERROR(INDEX('CAT_ACTIVIDADES'!$B$4:$B$8,MATCH($H316,'CAT_ACTIVIDADES'!$A$4:$A$8,0)),"(sin catálogo)"))</f>
        <v/>
      </c>
      <c r="Y316" s="12">
        <f>IF($J316="","",TODAY()-$J316)</f>
        <v/>
      </c>
      <c r="Z316" s="3">
        <f>IF($Y316="","",IF($Y316&lt;0,"FUTURO",IF($Y316&gt;p_dias_backlog_max,"BACKLOG","MES CORRIENTE")))</f>
        <v/>
      </c>
      <c r="AA316" s="3">
        <f>IF($Y316="",FALSE,AND($Y316&gt;p_dias_backlog_min,$Y316&lt;=p_dias_backlog_max))</f>
        <v/>
      </c>
      <c r="AB316" s="6" t="n"/>
      <c r="AC316" s="3">
        <f>IF($AB316="","",IFERROR(INDEX('ASIGNACIONES'!$F$4:$F$339,MATCH($O316&amp;"|"&amp;$R316&amp;"|"&amp;$AB316,'ASIGNACIONES'!$I$4:$I$339,0)),""))</f>
        <v/>
      </c>
      <c r="AD316" s="13">
        <f>IF($AB316="","",SUMIFS('ORDENES'!$M$4:$M$1203,'ORDENES'!$AB$4:$AB$1203,$AB316,'ORDENES'!$O$4:$O$1203,$O316,'ORDENES'!$R$4:$R$1203,$R316))</f>
        <v/>
      </c>
      <c r="AE316" s="13">
        <f>IF($AD316="","",p_factor_productividad*IFERROR(INDEX('ASIGNACIONES'!$H$4:$H$339,MATCH($O316&amp;"|"&amp;$R316&amp;"|"&amp;$AB316,'ASIGNACIONES'!$I$4:$I$339,0)),0)-$AD316)</f>
        <v/>
      </c>
      <c r="AF316" s="10">
        <f>IF($A316="","",IFERROR(INDEX('2_IMPORTAR_EJECUCION'!$F$9:$F$1208,MATCH($AN316,'2_IMPORTAR_EJECUCION'!$J$9:$J$1208,0)),0))</f>
        <v/>
      </c>
      <c r="AG316" s="10">
        <f>IF($A316="","",MAX(0,IFERROR(INDEX('2_IMPORTAR_EJECUCION'!$H$9:$H$1208,MATCH($AN316,'2_IMPORTAR_EJECUCION'!$J$9:$J$1208,0)),0)-$AF316))</f>
        <v/>
      </c>
      <c r="AH316" s="10">
        <f>IF($A316="","",$AF316+$AG316)</f>
        <v/>
      </c>
      <c r="AI316" s="6" t="n"/>
      <c r="AJ316" s="6" t="n"/>
      <c r="AK316" s="6" t="n"/>
      <c r="AL316" s="3">
        <f>IF($AK316="","",HYPERLINK(p_ruta_base_checklists&amp;$AK316,"abrir"))</f>
        <v/>
      </c>
      <c r="AM316" s="6" t="n"/>
      <c r="AN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1" t="n"/>
      <c r="K317" s="3" t="n"/>
      <c r="L317" s="10" t="n"/>
      <c r="M317" s="3">
        <f>IF($A317="","",IFERROR(INDEX('AJUSTES'!$B$4:$B$303,MATCH($AN317,'AJUSTES'!$A$4:$A$303,0)),IF($K317="","",$K317)))</f>
        <v/>
      </c>
      <c r="N317" s="3">
        <f>IF($A317="","",IFERROR(INDEX('CAT_ESTADOS_ERP'!$B$4:$B$7,MATCH(IFERROR(INDEX('2_IMPORTAR_EJECUCION'!$C$9:$C$1208,MATCH($AN317,'2_IMPORTAR_EJECUCION'!$J$9:$J$1208,0)),""),'CAT_ESTADOS_ERP'!$A$4:$A$7,0)),"Pendiente"))</f>
        <v/>
      </c>
      <c r="O317" s="3">
        <f>IF($J317="","",YEAR($J317+4-WEEKDAY($J317,2))&amp;"-S"&amp;TEXT(_xlfn.ISOWEEKNUM($J317),"00"))</f>
        <v/>
      </c>
      <c r="P317" s="3">
        <f>IF($J317="","",YEAR($J317))</f>
        <v/>
      </c>
      <c r="Q317" s="3">
        <f>IF($J317="","",MONTH($J317))</f>
        <v/>
      </c>
      <c r="R317" s="3">
        <f>IF($J317="","",INDEX(lista_dias,WEEKDAY($J317,2)))</f>
        <v/>
      </c>
      <c r="S317" s="3">
        <f>IF($I317="","",IFERROR(INDEX('CAT_TIPOS_OT'!$C$4:$C$7,MATCH($I317,'CAT_TIPOS_OT'!$A$4:$A$7,0)),"sin_clasificar"))</f>
        <v/>
      </c>
      <c r="T317" s="3">
        <f>IF($F317="","",IFERROR(INDEX('CAT_CENTROS_COSTO'!$E$4:$E$9,MATCH($F317,'CAT_CENTROS_COSTO'!$A$4:$A$9,0)),"(sin catálogo)"))</f>
        <v/>
      </c>
      <c r="U317" s="3">
        <f>IF($F317="","",IFERROR(INDEX('CAT_CENTROS_COSTO'!$D$4:$D$9,MATCH($F317,'CAT_CENTROS_COSTO'!$A$4:$A$9,0)),"(sin catálogo)"))</f>
        <v/>
      </c>
      <c r="V317" s="3">
        <f>IF($F317="","",IFERROR(INDEX('CAT_CENTROS_COSTO'!$F$4:$F$9,MATCH($F317,'CAT_CENTROS_COSTO'!$A$4:$A$9,0)),"(sin catálogo)"))</f>
        <v/>
      </c>
      <c r="W317" s="3">
        <f>IF($G317="","",IFERROR(INDEX('CAT_PUESTOS'!$B$4:$B$8,MATCH($G317,'CAT_PUESTOS'!$A$4:$A$8,0)),"(sin catálogo)"))</f>
        <v/>
      </c>
      <c r="X317" s="3">
        <f>IF($H317="","",IFERROR(INDEX('CAT_ACTIVIDADES'!$B$4:$B$8,MATCH($H317,'CAT_ACTIVIDADES'!$A$4:$A$8,0)),"(sin catálogo)"))</f>
        <v/>
      </c>
      <c r="Y317" s="12">
        <f>IF($J317="","",TODAY()-$J317)</f>
        <v/>
      </c>
      <c r="Z317" s="3">
        <f>IF($Y317="","",IF($Y317&lt;0,"FUTURO",IF($Y317&gt;p_dias_backlog_max,"BACKLOG","MES CORRIENTE")))</f>
        <v/>
      </c>
      <c r="AA317" s="3">
        <f>IF($Y317="",FALSE,AND($Y317&gt;p_dias_backlog_min,$Y317&lt;=p_dias_backlog_max))</f>
        <v/>
      </c>
      <c r="AB317" s="6" t="n"/>
      <c r="AC317" s="3">
        <f>IF($AB317="","",IFERROR(INDEX('ASIGNACIONES'!$F$4:$F$339,MATCH($O317&amp;"|"&amp;$R317&amp;"|"&amp;$AB317,'ASIGNACIONES'!$I$4:$I$339,0)),""))</f>
        <v/>
      </c>
      <c r="AD317" s="13">
        <f>IF($AB317="","",SUMIFS('ORDENES'!$M$4:$M$1203,'ORDENES'!$AB$4:$AB$1203,$AB317,'ORDENES'!$O$4:$O$1203,$O317,'ORDENES'!$R$4:$R$1203,$R317))</f>
        <v/>
      </c>
      <c r="AE317" s="13">
        <f>IF($AD317="","",p_factor_productividad*IFERROR(INDEX('ASIGNACIONES'!$H$4:$H$339,MATCH($O317&amp;"|"&amp;$R317&amp;"|"&amp;$AB317,'ASIGNACIONES'!$I$4:$I$339,0)),0)-$AD317)</f>
        <v/>
      </c>
      <c r="AF317" s="10">
        <f>IF($A317="","",IFERROR(INDEX('2_IMPORTAR_EJECUCION'!$F$9:$F$1208,MATCH($AN317,'2_IMPORTAR_EJECUCION'!$J$9:$J$1208,0)),0))</f>
        <v/>
      </c>
      <c r="AG317" s="10">
        <f>IF($A317="","",MAX(0,IFERROR(INDEX('2_IMPORTAR_EJECUCION'!$H$9:$H$1208,MATCH($AN317,'2_IMPORTAR_EJECUCION'!$J$9:$J$1208,0)),0)-$AF317))</f>
        <v/>
      </c>
      <c r="AH317" s="10">
        <f>IF($A317="","",$AF317+$AG317)</f>
        <v/>
      </c>
      <c r="AI317" s="6" t="n"/>
      <c r="AJ317" s="6" t="n"/>
      <c r="AK317" s="6" t="n"/>
      <c r="AL317" s="3">
        <f>IF($AK317="","",HYPERLINK(p_ruta_base_checklists&amp;$AK317,"abrir"))</f>
        <v/>
      </c>
      <c r="AM317" s="6" t="n"/>
      <c r="AN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1" t="n"/>
      <c r="K318" s="3" t="n"/>
      <c r="L318" s="10" t="n"/>
      <c r="M318" s="3">
        <f>IF($A318="","",IFERROR(INDEX('AJUSTES'!$B$4:$B$303,MATCH($AN318,'AJUSTES'!$A$4:$A$303,0)),IF($K318="","",$K318)))</f>
        <v/>
      </c>
      <c r="N318" s="3">
        <f>IF($A318="","",IFERROR(INDEX('CAT_ESTADOS_ERP'!$B$4:$B$7,MATCH(IFERROR(INDEX('2_IMPORTAR_EJECUCION'!$C$9:$C$1208,MATCH($AN318,'2_IMPORTAR_EJECUCION'!$J$9:$J$1208,0)),""),'CAT_ESTADOS_ERP'!$A$4:$A$7,0)),"Pendiente"))</f>
        <v/>
      </c>
      <c r="O318" s="3">
        <f>IF($J318="","",YEAR($J318+4-WEEKDAY($J318,2))&amp;"-S"&amp;TEXT(_xlfn.ISOWEEKNUM($J318),"00"))</f>
        <v/>
      </c>
      <c r="P318" s="3">
        <f>IF($J318="","",YEAR($J318))</f>
        <v/>
      </c>
      <c r="Q318" s="3">
        <f>IF($J318="","",MONTH($J318))</f>
        <v/>
      </c>
      <c r="R318" s="3">
        <f>IF($J318="","",INDEX(lista_dias,WEEKDAY($J318,2)))</f>
        <v/>
      </c>
      <c r="S318" s="3">
        <f>IF($I318="","",IFERROR(INDEX('CAT_TIPOS_OT'!$C$4:$C$7,MATCH($I318,'CAT_TIPOS_OT'!$A$4:$A$7,0)),"sin_clasificar"))</f>
        <v/>
      </c>
      <c r="T318" s="3">
        <f>IF($F318="","",IFERROR(INDEX('CAT_CENTROS_COSTO'!$E$4:$E$9,MATCH($F318,'CAT_CENTROS_COSTO'!$A$4:$A$9,0)),"(sin catálogo)"))</f>
        <v/>
      </c>
      <c r="U318" s="3">
        <f>IF($F318="","",IFERROR(INDEX('CAT_CENTROS_COSTO'!$D$4:$D$9,MATCH($F318,'CAT_CENTROS_COSTO'!$A$4:$A$9,0)),"(sin catálogo)"))</f>
        <v/>
      </c>
      <c r="V318" s="3">
        <f>IF($F318="","",IFERROR(INDEX('CAT_CENTROS_COSTO'!$F$4:$F$9,MATCH($F318,'CAT_CENTROS_COSTO'!$A$4:$A$9,0)),"(sin catálogo)"))</f>
        <v/>
      </c>
      <c r="W318" s="3">
        <f>IF($G318="","",IFERROR(INDEX('CAT_PUESTOS'!$B$4:$B$8,MATCH($G318,'CAT_PUESTOS'!$A$4:$A$8,0)),"(sin catálogo)"))</f>
        <v/>
      </c>
      <c r="X318" s="3">
        <f>IF($H318="","",IFERROR(INDEX('CAT_ACTIVIDADES'!$B$4:$B$8,MATCH($H318,'CAT_ACTIVIDADES'!$A$4:$A$8,0)),"(sin catálogo)"))</f>
        <v/>
      </c>
      <c r="Y318" s="12">
        <f>IF($J318="","",TODAY()-$J318)</f>
        <v/>
      </c>
      <c r="Z318" s="3">
        <f>IF($Y318="","",IF($Y318&lt;0,"FUTURO",IF($Y318&gt;p_dias_backlog_max,"BACKLOG","MES CORRIENTE")))</f>
        <v/>
      </c>
      <c r="AA318" s="3">
        <f>IF($Y318="",FALSE,AND($Y318&gt;p_dias_backlog_min,$Y318&lt;=p_dias_backlog_max))</f>
        <v/>
      </c>
      <c r="AB318" s="6" t="n"/>
      <c r="AC318" s="3">
        <f>IF($AB318="","",IFERROR(INDEX('ASIGNACIONES'!$F$4:$F$339,MATCH($O318&amp;"|"&amp;$R318&amp;"|"&amp;$AB318,'ASIGNACIONES'!$I$4:$I$339,0)),""))</f>
        <v/>
      </c>
      <c r="AD318" s="13">
        <f>IF($AB318="","",SUMIFS('ORDENES'!$M$4:$M$1203,'ORDENES'!$AB$4:$AB$1203,$AB318,'ORDENES'!$O$4:$O$1203,$O318,'ORDENES'!$R$4:$R$1203,$R318))</f>
        <v/>
      </c>
      <c r="AE318" s="13">
        <f>IF($AD318="","",p_factor_productividad*IFERROR(INDEX('ASIGNACIONES'!$H$4:$H$339,MATCH($O318&amp;"|"&amp;$R318&amp;"|"&amp;$AB318,'ASIGNACIONES'!$I$4:$I$339,0)),0)-$AD318)</f>
        <v/>
      </c>
      <c r="AF318" s="10">
        <f>IF($A318="","",IFERROR(INDEX('2_IMPORTAR_EJECUCION'!$F$9:$F$1208,MATCH($AN318,'2_IMPORTAR_EJECUCION'!$J$9:$J$1208,0)),0))</f>
        <v/>
      </c>
      <c r="AG318" s="10">
        <f>IF($A318="","",MAX(0,IFERROR(INDEX('2_IMPORTAR_EJECUCION'!$H$9:$H$1208,MATCH($AN318,'2_IMPORTAR_EJECUCION'!$J$9:$J$1208,0)),0)-$AF318))</f>
        <v/>
      </c>
      <c r="AH318" s="10">
        <f>IF($A318="","",$AF318+$AG318)</f>
        <v/>
      </c>
      <c r="AI318" s="6" t="n"/>
      <c r="AJ318" s="6" t="n"/>
      <c r="AK318" s="6" t="n"/>
      <c r="AL318" s="3">
        <f>IF($AK318="","",HYPERLINK(p_ruta_base_checklists&amp;$AK318,"abrir"))</f>
        <v/>
      </c>
      <c r="AM318" s="6" t="n"/>
      <c r="AN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1" t="n"/>
      <c r="K319" s="3" t="n"/>
      <c r="L319" s="10" t="n"/>
      <c r="M319" s="3">
        <f>IF($A319="","",IFERROR(INDEX('AJUSTES'!$B$4:$B$303,MATCH($AN319,'AJUSTES'!$A$4:$A$303,0)),IF($K319="","",$K319)))</f>
        <v/>
      </c>
      <c r="N319" s="3">
        <f>IF($A319="","",IFERROR(INDEX('CAT_ESTADOS_ERP'!$B$4:$B$7,MATCH(IFERROR(INDEX('2_IMPORTAR_EJECUCION'!$C$9:$C$1208,MATCH($AN319,'2_IMPORTAR_EJECUCION'!$J$9:$J$1208,0)),""),'CAT_ESTADOS_ERP'!$A$4:$A$7,0)),"Pendiente"))</f>
        <v/>
      </c>
      <c r="O319" s="3">
        <f>IF($J319="","",YEAR($J319+4-WEEKDAY($J319,2))&amp;"-S"&amp;TEXT(_xlfn.ISOWEEKNUM($J319),"00"))</f>
        <v/>
      </c>
      <c r="P319" s="3">
        <f>IF($J319="","",YEAR($J319))</f>
        <v/>
      </c>
      <c r="Q319" s="3">
        <f>IF($J319="","",MONTH($J319))</f>
        <v/>
      </c>
      <c r="R319" s="3">
        <f>IF($J319="","",INDEX(lista_dias,WEEKDAY($J319,2)))</f>
        <v/>
      </c>
      <c r="S319" s="3">
        <f>IF($I319="","",IFERROR(INDEX('CAT_TIPOS_OT'!$C$4:$C$7,MATCH($I319,'CAT_TIPOS_OT'!$A$4:$A$7,0)),"sin_clasificar"))</f>
        <v/>
      </c>
      <c r="T319" s="3">
        <f>IF($F319="","",IFERROR(INDEX('CAT_CENTROS_COSTO'!$E$4:$E$9,MATCH($F319,'CAT_CENTROS_COSTO'!$A$4:$A$9,0)),"(sin catálogo)"))</f>
        <v/>
      </c>
      <c r="U319" s="3">
        <f>IF($F319="","",IFERROR(INDEX('CAT_CENTROS_COSTO'!$D$4:$D$9,MATCH($F319,'CAT_CENTROS_COSTO'!$A$4:$A$9,0)),"(sin catálogo)"))</f>
        <v/>
      </c>
      <c r="V319" s="3">
        <f>IF($F319="","",IFERROR(INDEX('CAT_CENTROS_COSTO'!$F$4:$F$9,MATCH($F319,'CAT_CENTROS_COSTO'!$A$4:$A$9,0)),"(sin catálogo)"))</f>
        <v/>
      </c>
      <c r="W319" s="3">
        <f>IF($G319="","",IFERROR(INDEX('CAT_PUESTOS'!$B$4:$B$8,MATCH($G319,'CAT_PUESTOS'!$A$4:$A$8,0)),"(sin catálogo)"))</f>
        <v/>
      </c>
      <c r="X319" s="3">
        <f>IF($H319="","",IFERROR(INDEX('CAT_ACTIVIDADES'!$B$4:$B$8,MATCH($H319,'CAT_ACTIVIDADES'!$A$4:$A$8,0)),"(sin catálogo)"))</f>
        <v/>
      </c>
      <c r="Y319" s="12">
        <f>IF($J319="","",TODAY()-$J319)</f>
        <v/>
      </c>
      <c r="Z319" s="3">
        <f>IF($Y319="","",IF($Y319&lt;0,"FUTURO",IF($Y319&gt;p_dias_backlog_max,"BACKLOG","MES CORRIENTE")))</f>
        <v/>
      </c>
      <c r="AA319" s="3">
        <f>IF($Y319="",FALSE,AND($Y319&gt;p_dias_backlog_min,$Y319&lt;=p_dias_backlog_max))</f>
        <v/>
      </c>
      <c r="AB319" s="6" t="n"/>
      <c r="AC319" s="3">
        <f>IF($AB319="","",IFERROR(INDEX('ASIGNACIONES'!$F$4:$F$339,MATCH($O319&amp;"|"&amp;$R319&amp;"|"&amp;$AB319,'ASIGNACIONES'!$I$4:$I$339,0)),""))</f>
        <v/>
      </c>
      <c r="AD319" s="13">
        <f>IF($AB319="","",SUMIFS('ORDENES'!$M$4:$M$1203,'ORDENES'!$AB$4:$AB$1203,$AB319,'ORDENES'!$O$4:$O$1203,$O319,'ORDENES'!$R$4:$R$1203,$R319))</f>
        <v/>
      </c>
      <c r="AE319" s="13">
        <f>IF($AD319="","",p_factor_productividad*IFERROR(INDEX('ASIGNACIONES'!$H$4:$H$339,MATCH($O319&amp;"|"&amp;$R319&amp;"|"&amp;$AB319,'ASIGNACIONES'!$I$4:$I$339,0)),0)-$AD319)</f>
        <v/>
      </c>
      <c r="AF319" s="10">
        <f>IF($A319="","",IFERROR(INDEX('2_IMPORTAR_EJECUCION'!$F$9:$F$1208,MATCH($AN319,'2_IMPORTAR_EJECUCION'!$J$9:$J$1208,0)),0))</f>
        <v/>
      </c>
      <c r="AG319" s="10">
        <f>IF($A319="","",MAX(0,IFERROR(INDEX('2_IMPORTAR_EJECUCION'!$H$9:$H$1208,MATCH($AN319,'2_IMPORTAR_EJECUCION'!$J$9:$J$1208,0)),0)-$AF319))</f>
        <v/>
      </c>
      <c r="AH319" s="10">
        <f>IF($A319="","",$AF319+$AG319)</f>
        <v/>
      </c>
      <c r="AI319" s="6" t="n"/>
      <c r="AJ319" s="6" t="n"/>
      <c r="AK319" s="6" t="n"/>
      <c r="AL319" s="3">
        <f>IF($AK319="","",HYPERLINK(p_ruta_base_checklists&amp;$AK319,"abrir"))</f>
        <v/>
      </c>
      <c r="AM319" s="6" t="n"/>
      <c r="AN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1" t="n"/>
      <c r="K320" s="3" t="n"/>
      <c r="L320" s="10" t="n"/>
      <c r="M320" s="3">
        <f>IF($A320="","",IFERROR(INDEX('AJUSTES'!$B$4:$B$303,MATCH($AN320,'AJUSTES'!$A$4:$A$303,0)),IF($K320="","",$K320)))</f>
        <v/>
      </c>
      <c r="N320" s="3">
        <f>IF($A320="","",IFERROR(INDEX('CAT_ESTADOS_ERP'!$B$4:$B$7,MATCH(IFERROR(INDEX('2_IMPORTAR_EJECUCION'!$C$9:$C$1208,MATCH($AN320,'2_IMPORTAR_EJECUCION'!$J$9:$J$1208,0)),""),'CAT_ESTADOS_ERP'!$A$4:$A$7,0)),"Pendiente"))</f>
        <v/>
      </c>
      <c r="O320" s="3">
        <f>IF($J320="","",YEAR($J320+4-WEEKDAY($J320,2))&amp;"-S"&amp;TEXT(_xlfn.ISOWEEKNUM($J320),"00"))</f>
        <v/>
      </c>
      <c r="P320" s="3">
        <f>IF($J320="","",YEAR($J320))</f>
        <v/>
      </c>
      <c r="Q320" s="3">
        <f>IF($J320="","",MONTH($J320))</f>
        <v/>
      </c>
      <c r="R320" s="3">
        <f>IF($J320="","",INDEX(lista_dias,WEEKDAY($J320,2)))</f>
        <v/>
      </c>
      <c r="S320" s="3">
        <f>IF($I320="","",IFERROR(INDEX('CAT_TIPOS_OT'!$C$4:$C$7,MATCH($I320,'CAT_TIPOS_OT'!$A$4:$A$7,0)),"sin_clasificar"))</f>
        <v/>
      </c>
      <c r="T320" s="3">
        <f>IF($F320="","",IFERROR(INDEX('CAT_CENTROS_COSTO'!$E$4:$E$9,MATCH($F320,'CAT_CENTROS_COSTO'!$A$4:$A$9,0)),"(sin catálogo)"))</f>
        <v/>
      </c>
      <c r="U320" s="3">
        <f>IF($F320="","",IFERROR(INDEX('CAT_CENTROS_COSTO'!$D$4:$D$9,MATCH($F320,'CAT_CENTROS_COSTO'!$A$4:$A$9,0)),"(sin catálogo)"))</f>
        <v/>
      </c>
      <c r="V320" s="3">
        <f>IF($F320="","",IFERROR(INDEX('CAT_CENTROS_COSTO'!$F$4:$F$9,MATCH($F320,'CAT_CENTROS_COSTO'!$A$4:$A$9,0)),"(sin catálogo)"))</f>
        <v/>
      </c>
      <c r="W320" s="3">
        <f>IF($G320="","",IFERROR(INDEX('CAT_PUESTOS'!$B$4:$B$8,MATCH($G320,'CAT_PUESTOS'!$A$4:$A$8,0)),"(sin catálogo)"))</f>
        <v/>
      </c>
      <c r="X320" s="3">
        <f>IF($H320="","",IFERROR(INDEX('CAT_ACTIVIDADES'!$B$4:$B$8,MATCH($H320,'CAT_ACTIVIDADES'!$A$4:$A$8,0)),"(sin catálogo)"))</f>
        <v/>
      </c>
      <c r="Y320" s="12">
        <f>IF($J320="","",TODAY()-$J320)</f>
        <v/>
      </c>
      <c r="Z320" s="3">
        <f>IF($Y320="","",IF($Y320&lt;0,"FUTURO",IF($Y320&gt;p_dias_backlog_max,"BACKLOG","MES CORRIENTE")))</f>
        <v/>
      </c>
      <c r="AA320" s="3">
        <f>IF($Y320="",FALSE,AND($Y320&gt;p_dias_backlog_min,$Y320&lt;=p_dias_backlog_max))</f>
        <v/>
      </c>
      <c r="AB320" s="6" t="n"/>
      <c r="AC320" s="3">
        <f>IF($AB320="","",IFERROR(INDEX('ASIGNACIONES'!$F$4:$F$339,MATCH($O320&amp;"|"&amp;$R320&amp;"|"&amp;$AB320,'ASIGNACIONES'!$I$4:$I$339,0)),""))</f>
        <v/>
      </c>
      <c r="AD320" s="13">
        <f>IF($AB320="","",SUMIFS('ORDENES'!$M$4:$M$1203,'ORDENES'!$AB$4:$AB$1203,$AB320,'ORDENES'!$O$4:$O$1203,$O320,'ORDENES'!$R$4:$R$1203,$R320))</f>
        <v/>
      </c>
      <c r="AE320" s="13">
        <f>IF($AD320="","",p_factor_productividad*IFERROR(INDEX('ASIGNACIONES'!$H$4:$H$339,MATCH($O320&amp;"|"&amp;$R320&amp;"|"&amp;$AB320,'ASIGNACIONES'!$I$4:$I$339,0)),0)-$AD320)</f>
        <v/>
      </c>
      <c r="AF320" s="10">
        <f>IF($A320="","",IFERROR(INDEX('2_IMPORTAR_EJECUCION'!$F$9:$F$1208,MATCH($AN320,'2_IMPORTAR_EJECUCION'!$J$9:$J$1208,0)),0))</f>
        <v/>
      </c>
      <c r="AG320" s="10">
        <f>IF($A320="","",MAX(0,IFERROR(INDEX('2_IMPORTAR_EJECUCION'!$H$9:$H$1208,MATCH($AN320,'2_IMPORTAR_EJECUCION'!$J$9:$J$1208,0)),0)-$AF320))</f>
        <v/>
      </c>
      <c r="AH320" s="10">
        <f>IF($A320="","",$AF320+$AG320)</f>
        <v/>
      </c>
      <c r="AI320" s="6" t="n"/>
      <c r="AJ320" s="6" t="n"/>
      <c r="AK320" s="6" t="n"/>
      <c r="AL320" s="3">
        <f>IF($AK320="","",HYPERLINK(p_ruta_base_checklists&amp;$AK320,"abrir"))</f>
        <v/>
      </c>
      <c r="AM320" s="6" t="n"/>
      <c r="AN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1" t="n"/>
      <c r="K321" s="3" t="n"/>
      <c r="L321" s="10" t="n"/>
      <c r="M321" s="3">
        <f>IF($A321="","",IFERROR(INDEX('AJUSTES'!$B$4:$B$303,MATCH($AN321,'AJUSTES'!$A$4:$A$303,0)),IF($K321="","",$K321)))</f>
        <v/>
      </c>
      <c r="N321" s="3">
        <f>IF($A321="","",IFERROR(INDEX('CAT_ESTADOS_ERP'!$B$4:$B$7,MATCH(IFERROR(INDEX('2_IMPORTAR_EJECUCION'!$C$9:$C$1208,MATCH($AN321,'2_IMPORTAR_EJECUCION'!$J$9:$J$1208,0)),""),'CAT_ESTADOS_ERP'!$A$4:$A$7,0)),"Pendiente"))</f>
        <v/>
      </c>
      <c r="O321" s="3">
        <f>IF($J321="","",YEAR($J321+4-WEEKDAY($J321,2))&amp;"-S"&amp;TEXT(_xlfn.ISOWEEKNUM($J321),"00"))</f>
        <v/>
      </c>
      <c r="P321" s="3">
        <f>IF($J321="","",YEAR($J321))</f>
        <v/>
      </c>
      <c r="Q321" s="3">
        <f>IF($J321="","",MONTH($J321))</f>
        <v/>
      </c>
      <c r="R321" s="3">
        <f>IF($J321="","",INDEX(lista_dias,WEEKDAY($J321,2)))</f>
        <v/>
      </c>
      <c r="S321" s="3">
        <f>IF($I321="","",IFERROR(INDEX('CAT_TIPOS_OT'!$C$4:$C$7,MATCH($I321,'CAT_TIPOS_OT'!$A$4:$A$7,0)),"sin_clasificar"))</f>
        <v/>
      </c>
      <c r="T321" s="3">
        <f>IF($F321="","",IFERROR(INDEX('CAT_CENTROS_COSTO'!$E$4:$E$9,MATCH($F321,'CAT_CENTROS_COSTO'!$A$4:$A$9,0)),"(sin catálogo)"))</f>
        <v/>
      </c>
      <c r="U321" s="3">
        <f>IF($F321="","",IFERROR(INDEX('CAT_CENTROS_COSTO'!$D$4:$D$9,MATCH($F321,'CAT_CENTROS_COSTO'!$A$4:$A$9,0)),"(sin catálogo)"))</f>
        <v/>
      </c>
      <c r="V321" s="3">
        <f>IF($F321="","",IFERROR(INDEX('CAT_CENTROS_COSTO'!$F$4:$F$9,MATCH($F321,'CAT_CENTROS_COSTO'!$A$4:$A$9,0)),"(sin catálogo)"))</f>
        <v/>
      </c>
      <c r="W321" s="3">
        <f>IF($G321="","",IFERROR(INDEX('CAT_PUESTOS'!$B$4:$B$8,MATCH($G321,'CAT_PUESTOS'!$A$4:$A$8,0)),"(sin catálogo)"))</f>
        <v/>
      </c>
      <c r="X321" s="3">
        <f>IF($H321="","",IFERROR(INDEX('CAT_ACTIVIDADES'!$B$4:$B$8,MATCH($H321,'CAT_ACTIVIDADES'!$A$4:$A$8,0)),"(sin catálogo)"))</f>
        <v/>
      </c>
      <c r="Y321" s="12">
        <f>IF($J321="","",TODAY()-$J321)</f>
        <v/>
      </c>
      <c r="Z321" s="3">
        <f>IF($Y321="","",IF($Y321&lt;0,"FUTURO",IF($Y321&gt;p_dias_backlog_max,"BACKLOG","MES CORRIENTE")))</f>
        <v/>
      </c>
      <c r="AA321" s="3">
        <f>IF($Y321="",FALSE,AND($Y321&gt;p_dias_backlog_min,$Y321&lt;=p_dias_backlog_max))</f>
        <v/>
      </c>
      <c r="AB321" s="6" t="n"/>
      <c r="AC321" s="3">
        <f>IF($AB321="","",IFERROR(INDEX('ASIGNACIONES'!$F$4:$F$339,MATCH($O321&amp;"|"&amp;$R321&amp;"|"&amp;$AB321,'ASIGNACIONES'!$I$4:$I$339,0)),""))</f>
        <v/>
      </c>
      <c r="AD321" s="13">
        <f>IF($AB321="","",SUMIFS('ORDENES'!$M$4:$M$1203,'ORDENES'!$AB$4:$AB$1203,$AB321,'ORDENES'!$O$4:$O$1203,$O321,'ORDENES'!$R$4:$R$1203,$R321))</f>
        <v/>
      </c>
      <c r="AE321" s="13">
        <f>IF($AD321="","",p_factor_productividad*IFERROR(INDEX('ASIGNACIONES'!$H$4:$H$339,MATCH($O321&amp;"|"&amp;$R321&amp;"|"&amp;$AB321,'ASIGNACIONES'!$I$4:$I$339,0)),0)-$AD321)</f>
        <v/>
      </c>
      <c r="AF321" s="10">
        <f>IF($A321="","",IFERROR(INDEX('2_IMPORTAR_EJECUCION'!$F$9:$F$1208,MATCH($AN321,'2_IMPORTAR_EJECUCION'!$J$9:$J$1208,0)),0))</f>
        <v/>
      </c>
      <c r="AG321" s="10">
        <f>IF($A321="","",MAX(0,IFERROR(INDEX('2_IMPORTAR_EJECUCION'!$H$9:$H$1208,MATCH($AN321,'2_IMPORTAR_EJECUCION'!$J$9:$J$1208,0)),0)-$AF321))</f>
        <v/>
      </c>
      <c r="AH321" s="10">
        <f>IF($A321="","",$AF321+$AG321)</f>
        <v/>
      </c>
      <c r="AI321" s="6" t="n"/>
      <c r="AJ321" s="6" t="n"/>
      <c r="AK321" s="6" t="n"/>
      <c r="AL321" s="3">
        <f>IF($AK321="","",HYPERLINK(p_ruta_base_checklists&amp;$AK321,"abrir"))</f>
        <v/>
      </c>
      <c r="AM321" s="6" t="n"/>
      <c r="AN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1" t="n"/>
      <c r="K322" s="3" t="n"/>
      <c r="L322" s="10" t="n"/>
      <c r="M322" s="3">
        <f>IF($A322="","",IFERROR(INDEX('AJUSTES'!$B$4:$B$303,MATCH($AN322,'AJUSTES'!$A$4:$A$303,0)),IF($K322="","",$K322)))</f>
        <v/>
      </c>
      <c r="N322" s="3">
        <f>IF($A322="","",IFERROR(INDEX('CAT_ESTADOS_ERP'!$B$4:$B$7,MATCH(IFERROR(INDEX('2_IMPORTAR_EJECUCION'!$C$9:$C$1208,MATCH($AN322,'2_IMPORTAR_EJECUCION'!$J$9:$J$1208,0)),""),'CAT_ESTADOS_ERP'!$A$4:$A$7,0)),"Pendiente"))</f>
        <v/>
      </c>
      <c r="O322" s="3">
        <f>IF($J322="","",YEAR($J322+4-WEEKDAY($J322,2))&amp;"-S"&amp;TEXT(_xlfn.ISOWEEKNUM($J322),"00"))</f>
        <v/>
      </c>
      <c r="P322" s="3">
        <f>IF($J322="","",YEAR($J322))</f>
        <v/>
      </c>
      <c r="Q322" s="3">
        <f>IF($J322="","",MONTH($J322))</f>
        <v/>
      </c>
      <c r="R322" s="3">
        <f>IF($J322="","",INDEX(lista_dias,WEEKDAY($J322,2)))</f>
        <v/>
      </c>
      <c r="S322" s="3">
        <f>IF($I322="","",IFERROR(INDEX('CAT_TIPOS_OT'!$C$4:$C$7,MATCH($I322,'CAT_TIPOS_OT'!$A$4:$A$7,0)),"sin_clasificar"))</f>
        <v/>
      </c>
      <c r="T322" s="3">
        <f>IF($F322="","",IFERROR(INDEX('CAT_CENTROS_COSTO'!$E$4:$E$9,MATCH($F322,'CAT_CENTROS_COSTO'!$A$4:$A$9,0)),"(sin catálogo)"))</f>
        <v/>
      </c>
      <c r="U322" s="3">
        <f>IF($F322="","",IFERROR(INDEX('CAT_CENTROS_COSTO'!$D$4:$D$9,MATCH($F322,'CAT_CENTROS_COSTO'!$A$4:$A$9,0)),"(sin catálogo)"))</f>
        <v/>
      </c>
      <c r="V322" s="3">
        <f>IF($F322="","",IFERROR(INDEX('CAT_CENTROS_COSTO'!$F$4:$F$9,MATCH($F322,'CAT_CENTROS_COSTO'!$A$4:$A$9,0)),"(sin catálogo)"))</f>
        <v/>
      </c>
      <c r="W322" s="3">
        <f>IF($G322="","",IFERROR(INDEX('CAT_PUESTOS'!$B$4:$B$8,MATCH($G322,'CAT_PUESTOS'!$A$4:$A$8,0)),"(sin catálogo)"))</f>
        <v/>
      </c>
      <c r="X322" s="3">
        <f>IF($H322="","",IFERROR(INDEX('CAT_ACTIVIDADES'!$B$4:$B$8,MATCH($H322,'CAT_ACTIVIDADES'!$A$4:$A$8,0)),"(sin catálogo)"))</f>
        <v/>
      </c>
      <c r="Y322" s="12">
        <f>IF($J322="","",TODAY()-$J322)</f>
        <v/>
      </c>
      <c r="Z322" s="3">
        <f>IF($Y322="","",IF($Y322&lt;0,"FUTURO",IF($Y322&gt;p_dias_backlog_max,"BACKLOG","MES CORRIENTE")))</f>
        <v/>
      </c>
      <c r="AA322" s="3">
        <f>IF($Y322="",FALSE,AND($Y322&gt;p_dias_backlog_min,$Y322&lt;=p_dias_backlog_max))</f>
        <v/>
      </c>
      <c r="AB322" s="6" t="n"/>
      <c r="AC322" s="3">
        <f>IF($AB322="","",IFERROR(INDEX('ASIGNACIONES'!$F$4:$F$339,MATCH($O322&amp;"|"&amp;$R322&amp;"|"&amp;$AB322,'ASIGNACIONES'!$I$4:$I$339,0)),""))</f>
        <v/>
      </c>
      <c r="AD322" s="13">
        <f>IF($AB322="","",SUMIFS('ORDENES'!$M$4:$M$1203,'ORDENES'!$AB$4:$AB$1203,$AB322,'ORDENES'!$O$4:$O$1203,$O322,'ORDENES'!$R$4:$R$1203,$R322))</f>
        <v/>
      </c>
      <c r="AE322" s="13">
        <f>IF($AD322="","",p_factor_productividad*IFERROR(INDEX('ASIGNACIONES'!$H$4:$H$339,MATCH($O322&amp;"|"&amp;$R322&amp;"|"&amp;$AB322,'ASIGNACIONES'!$I$4:$I$339,0)),0)-$AD322)</f>
        <v/>
      </c>
      <c r="AF322" s="10">
        <f>IF($A322="","",IFERROR(INDEX('2_IMPORTAR_EJECUCION'!$F$9:$F$1208,MATCH($AN322,'2_IMPORTAR_EJECUCION'!$J$9:$J$1208,0)),0))</f>
        <v/>
      </c>
      <c r="AG322" s="10">
        <f>IF($A322="","",MAX(0,IFERROR(INDEX('2_IMPORTAR_EJECUCION'!$H$9:$H$1208,MATCH($AN322,'2_IMPORTAR_EJECUCION'!$J$9:$J$1208,0)),0)-$AF322))</f>
        <v/>
      </c>
      <c r="AH322" s="10">
        <f>IF($A322="","",$AF322+$AG322)</f>
        <v/>
      </c>
      <c r="AI322" s="6" t="n"/>
      <c r="AJ322" s="6" t="n"/>
      <c r="AK322" s="6" t="n"/>
      <c r="AL322" s="3">
        <f>IF($AK322="","",HYPERLINK(p_ruta_base_checklists&amp;$AK322,"abrir"))</f>
        <v/>
      </c>
      <c r="AM322" s="6" t="n"/>
      <c r="AN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1" t="n"/>
      <c r="K323" s="3" t="n"/>
      <c r="L323" s="10" t="n"/>
      <c r="M323" s="3">
        <f>IF($A323="","",IFERROR(INDEX('AJUSTES'!$B$4:$B$303,MATCH($AN323,'AJUSTES'!$A$4:$A$303,0)),IF($K323="","",$K323)))</f>
        <v/>
      </c>
      <c r="N323" s="3">
        <f>IF($A323="","",IFERROR(INDEX('CAT_ESTADOS_ERP'!$B$4:$B$7,MATCH(IFERROR(INDEX('2_IMPORTAR_EJECUCION'!$C$9:$C$1208,MATCH($AN323,'2_IMPORTAR_EJECUCION'!$J$9:$J$1208,0)),""),'CAT_ESTADOS_ERP'!$A$4:$A$7,0)),"Pendiente"))</f>
        <v/>
      </c>
      <c r="O323" s="3">
        <f>IF($J323="","",YEAR($J323+4-WEEKDAY($J323,2))&amp;"-S"&amp;TEXT(_xlfn.ISOWEEKNUM($J323),"00"))</f>
        <v/>
      </c>
      <c r="P323" s="3">
        <f>IF($J323="","",YEAR($J323))</f>
        <v/>
      </c>
      <c r="Q323" s="3">
        <f>IF($J323="","",MONTH($J323))</f>
        <v/>
      </c>
      <c r="R323" s="3">
        <f>IF($J323="","",INDEX(lista_dias,WEEKDAY($J323,2)))</f>
        <v/>
      </c>
      <c r="S323" s="3">
        <f>IF($I323="","",IFERROR(INDEX('CAT_TIPOS_OT'!$C$4:$C$7,MATCH($I323,'CAT_TIPOS_OT'!$A$4:$A$7,0)),"sin_clasificar"))</f>
        <v/>
      </c>
      <c r="T323" s="3">
        <f>IF($F323="","",IFERROR(INDEX('CAT_CENTROS_COSTO'!$E$4:$E$9,MATCH($F323,'CAT_CENTROS_COSTO'!$A$4:$A$9,0)),"(sin catálogo)"))</f>
        <v/>
      </c>
      <c r="U323" s="3">
        <f>IF($F323="","",IFERROR(INDEX('CAT_CENTROS_COSTO'!$D$4:$D$9,MATCH($F323,'CAT_CENTROS_COSTO'!$A$4:$A$9,0)),"(sin catálogo)"))</f>
        <v/>
      </c>
      <c r="V323" s="3">
        <f>IF($F323="","",IFERROR(INDEX('CAT_CENTROS_COSTO'!$F$4:$F$9,MATCH($F323,'CAT_CENTROS_COSTO'!$A$4:$A$9,0)),"(sin catálogo)"))</f>
        <v/>
      </c>
      <c r="W323" s="3">
        <f>IF($G323="","",IFERROR(INDEX('CAT_PUESTOS'!$B$4:$B$8,MATCH($G323,'CAT_PUESTOS'!$A$4:$A$8,0)),"(sin catálogo)"))</f>
        <v/>
      </c>
      <c r="X323" s="3">
        <f>IF($H323="","",IFERROR(INDEX('CAT_ACTIVIDADES'!$B$4:$B$8,MATCH($H323,'CAT_ACTIVIDADES'!$A$4:$A$8,0)),"(sin catálogo)"))</f>
        <v/>
      </c>
      <c r="Y323" s="12">
        <f>IF($J323="","",TODAY()-$J323)</f>
        <v/>
      </c>
      <c r="Z323" s="3">
        <f>IF($Y323="","",IF($Y323&lt;0,"FUTURO",IF($Y323&gt;p_dias_backlog_max,"BACKLOG","MES CORRIENTE")))</f>
        <v/>
      </c>
      <c r="AA323" s="3">
        <f>IF($Y323="",FALSE,AND($Y323&gt;p_dias_backlog_min,$Y323&lt;=p_dias_backlog_max))</f>
        <v/>
      </c>
      <c r="AB323" s="6" t="n"/>
      <c r="AC323" s="3">
        <f>IF($AB323="","",IFERROR(INDEX('ASIGNACIONES'!$F$4:$F$339,MATCH($O323&amp;"|"&amp;$R323&amp;"|"&amp;$AB323,'ASIGNACIONES'!$I$4:$I$339,0)),""))</f>
        <v/>
      </c>
      <c r="AD323" s="13">
        <f>IF($AB323="","",SUMIFS('ORDENES'!$M$4:$M$1203,'ORDENES'!$AB$4:$AB$1203,$AB323,'ORDENES'!$O$4:$O$1203,$O323,'ORDENES'!$R$4:$R$1203,$R323))</f>
        <v/>
      </c>
      <c r="AE323" s="13">
        <f>IF($AD323="","",p_factor_productividad*IFERROR(INDEX('ASIGNACIONES'!$H$4:$H$339,MATCH($O323&amp;"|"&amp;$R323&amp;"|"&amp;$AB323,'ASIGNACIONES'!$I$4:$I$339,0)),0)-$AD323)</f>
        <v/>
      </c>
      <c r="AF323" s="10">
        <f>IF($A323="","",IFERROR(INDEX('2_IMPORTAR_EJECUCION'!$F$9:$F$1208,MATCH($AN323,'2_IMPORTAR_EJECUCION'!$J$9:$J$1208,0)),0))</f>
        <v/>
      </c>
      <c r="AG323" s="10">
        <f>IF($A323="","",MAX(0,IFERROR(INDEX('2_IMPORTAR_EJECUCION'!$H$9:$H$1208,MATCH($AN323,'2_IMPORTAR_EJECUCION'!$J$9:$J$1208,0)),0)-$AF323))</f>
        <v/>
      </c>
      <c r="AH323" s="10">
        <f>IF($A323="","",$AF323+$AG323)</f>
        <v/>
      </c>
      <c r="AI323" s="6" t="n"/>
      <c r="AJ323" s="6" t="n"/>
      <c r="AK323" s="6" t="n"/>
      <c r="AL323" s="3">
        <f>IF($AK323="","",HYPERLINK(p_ruta_base_checklists&amp;$AK323,"abrir"))</f>
        <v/>
      </c>
      <c r="AM323" s="6" t="n"/>
      <c r="AN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1" t="n"/>
      <c r="K324" s="3" t="n"/>
      <c r="L324" s="10" t="n"/>
      <c r="M324" s="3">
        <f>IF($A324="","",IFERROR(INDEX('AJUSTES'!$B$4:$B$303,MATCH($AN324,'AJUSTES'!$A$4:$A$303,0)),IF($K324="","",$K324)))</f>
        <v/>
      </c>
      <c r="N324" s="3">
        <f>IF($A324="","",IFERROR(INDEX('CAT_ESTADOS_ERP'!$B$4:$B$7,MATCH(IFERROR(INDEX('2_IMPORTAR_EJECUCION'!$C$9:$C$1208,MATCH($AN324,'2_IMPORTAR_EJECUCION'!$J$9:$J$1208,0)),""),'CAT_ESTADOS_ERP'!$A$4:$A$7,0)),"Pendiente"))</f>
        <v/>
      </c>
      <c r="O324" s="3">
        <f>IF($J324="","",YEAR($J324+4-WEEKDAY($J324,2))&amp;"-S"&amp;TEXT(_xlfn.ISOWEEKNUM($J324),"00"))</f>
        <v/>
      </c>
      <c r="P324" s="3">
        <f>IF($J324="","",YEAR($J324))</f>
        <v/>
      </c>
      <c r="Q324" s="3">
        <f>IF($J324="","",MONTH($J324))</f>
        <v/>
      </c>
      <c r="R324" s="3">
        <f>IF($J324="","",INDEX(lista_dias,WEEKDAY($J324,2)))</f>
        <v/>
      </c>
      <c r="S324" s="3">
        <f>IF($I324="","",IFERROR(INDEX('CAT_TIPOS_OT'!$C$4:$C$7,MATCH($I324,'CAT_TIPOS_OT'!$A$4:$A$7,0)),"sin_clasificar"))</f>
        <v/>
      </c>
      <c r="T324" s="3">
        <f>IF($F324="","",IFERROR(INDEX('CAT_CENTROS_COSTO'!$E$4:$E$9,MATCH($F324,'CAT_CENTROS_COSTO'!$A$4:$A$9,0)),"(sin catálogo)"))</f>
        <v/>
      </c>
      <c r="U324" s="3">
        <f>IF($F324="","",IFERROR(INDEX('CAT_CENTROS_COSTO'!$D$4:$D$9,MATCH($F324,'CAT_CENTROS_COSTO'!$A$4:$A$9,0)),"(sin catálogo)"))</f>
        <v/>
      </c>
      <c r="V324" s="3">
        <f>IF($F324="","",IFERROR(INDEX('CAT_CENTROS_COSTO'!$F$4:$F$9,MATCH($F324,'CAT_CENTROS_COSTO'!$A$4:$A$9,0)),"(sin catálogo)"))</f>
        <v/>
      </c>
      <c r="W324" s="3">
        <f>IF($G324="","",IFERROR(INDEX('CAT_PUESTOS'!$B$4:$B$8,MATCH($G324,'CAT_PUESTOS'!$A$4:$A$8,0)),"(sin catálogo)"))</f>
        <v/>
      </c>
      <c r="X324" s="3">
        <f>IF($H324="","",IFERROR(INDEX('CAT_ACTIVIDADES'!$B$4:$B$8,MATCH($H324,'CAT_ACTIVIDADES'!$A$4:$A$8,0)),"(sin catálogo)"))</f>
        <v/>
      </c>
      <c r="Y324" s="12">
        <f>IF($J324="","",TODAY()-$J324)</f>
        <v/>
      </c>
      <c r="Z324" s="3">
        <f>IF($Y324="","",IF($Y324&lt;0,"FUTURO",IF($Y324&gt;p_dias_backlog_max,"BACKLOG","MES CORRIENTE")))</f>
        <v/>
      </c>
      <c r="AA324" s="3">
        <f>IF($Y324="",FALSE,AND($Y324&gt;p_dias_backlog_min,$Y324&lt;=p_dias_backlog_max))</f>
        <v/>
      </c>
      <c r="AB324" s="6" t="n"/>
      <c r="AC324" s="3">
        <f>IF($AB324="","",IFERROR(INDEX('ASIGNACIONES'!$F$4:$F$339,MATCH($O324&amp;"|"&amp;$R324&amp;"|"&amp;$AB324,'ASIGNACIONES'!$I$4:$I$339,0)),""))</f>
        <v/>
      </c>
      <c r="AD324" s="13">
        <f>IF($AB324="","",SUMIFS('ORDENES'!$M$4:$M$1203,'ORDENES'!$AB$4:$AB$1203,$AB324,'ORDENES'!$O$4:$O$1203,$O324,'ORDENES'!$R$4:$R$1203,$R324))</f>
        <v/>
      </c>
      <c r="AE324" s="13">
        <f>IF($AD324="","",p_factor_productividad*IFERROR(INDEX('ASIGNACIONES'!$H$4:$H$339,MATCH($O324&amp;"|"&amp;$R324&amp;"|"&amp;$AB324,'ASIGNACIONES'!$I$4:$I$339,0)),0)-$AD324)</f>
        <v/>
      </c>
      <c r="AF324" s="10">
        <f>IF($A324="","",IFERROR(INDEX('2_IMPORTAR_EJECUCION'!$F$9:$F$1208,MATCH($AN324,'2_IMPORTAR_EJECUCION'!$J$9:$J$1208,0)),0))</f>
        <v/>
      </c>
      <c r="AG324" s="10">
        <f>IF($A324="","",MAX(0,IFERROR(INDEX('2_IMPORTAR_EJECUCION'!$H$9:$H$1208,MATCH($AN324,'2_IMPORTAR_EJECUCION'!$J$9:$J$1208,0)),0)-$AF324))</f>
        <v/>
      </c>
      <c r="AH324" s="10">
        <f>IF($A324="","",$AF324+$AG324)</f>
        <v/>
      </c>
      <c r="AI324" s="6" t="n"/>
      <c r="AJ324" s="6" t="n"/>
      <c r="AK324" s="6" t="n"/>
      <c r="AL324" s="3">
        <f>IF($AK324="","",HYPERLINK(p_ruta_base_checklists&amp;$AK324,"abrir"))</f>
        <v/>
      </c>
      <c r="AM324" s="6" t="n"/>
      <c r="AN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1" t="n"/>
      <c r="K325" s="3" t="n"/>
      <c r="L325" s="10" t="n"/>
      <c r="M325" s="3">
        <f>IF($A325="","",IFERROR(INDEX('AJUSTES'!$B$4:$B$303,MATCH($AN325,'AJUSTES'!$A$4:$A$303,0)),IF($K325="","",$K325)))</f>
        <v/>
      </c>
      <c r="N325" s="3">
        <f>IF($A325="","",IFERROR(INDEX('CAT_ESTADOS_ERP'!$B$4:$B$7,MATCH(IFERROR(INDEX('2_IMPORTAR_EJECUCION'!$C$9:$C$1208,MATCH($AN325,'2_IMPORTAR_EJECUCION'!$J$9:$J$1208,0)),""),'CAT_ESTADOS_ERP'!$A$4:$A$7,0)),"Pendiente"))</f>
        <v/>
      </c>
      <c r="O325" s="3">
        <f>IF($J325="","",YEAR($J325+4-WEEKDAY($J325,2))&amp;"-S"&amp;TEXT(_xlfn.ISOWEEKNUM($J325),"00"))</f>
        <v/>
      </c>
      <c r="P325" s="3">
        <f>IF($J325="","",YEAR($J325))</f>
        <v/>
      </c>
      <c r="Q325" s="3">
        <f>IF($J325="","",MONTH($J325))</f>
        <v/>
      </c>
      <c r="R325" s="3">
        <f>IF($J325="","",INDEX(lista_dias,WEEKDAY($J325,2)))</f>
        <v/>
      </c>
      <c r="S325" s="3">
        <f>IF($I325="","",IFERROR(INDEX('CAT_TIPOS_OT'!$C$4:$C$7,MATCH($I325,'CAT_TIPOS_OT'!$A$4:$A$7,0)),"sin_clasificar"))</f>
        <v/>
      </c>
      <c r="T325" s="3">
        <f>IF($F325="","",IFERROR(INDEX('CAT_CENTROS_COSTO'!$E$4:$E$9,MATCH($F325,'CAT_CENTROS_COSTO'!$A$4:$A$9,0)),"(sin catálogo)"))</f>
        <v/>
      </c>
      <c r="U325" s="3">
        <f>IF($F325="","",IFERROR(INDEX('CAT_CENTROS_COSTO'!$D$4:$D$9,MATCH($F325,'CAT_CENTROS_COSTO'!$A$4:$A$9,0)),"(sin catálogo)"))</f>
        <v/>
      </c>
      <c r="V325" s="3">
        <f>IF($F325="","",IFERROR(INDEX('CAT_CENTROS_COSTO'!$F$4:$F$9,MATCH($F325,'CAT_CENTROS_COSTO'!$A$4:$A$9,0)),"(sin catálogo)"))</f>
        <v/>
      </c>
      <c r="W325" s="3">
        <f>IF($G325="","",IFERROR(INDEX('CAT_PUESTOS'!$B$4:$B$8,MATCH($G325,'CAT_PUESTOS'!$A$4:$A$8,0)),"(sin catálogo)"))</f>
        <v/>
      </c>
      <c r="X325" s="3">
        <f>IF($H325="","",IFERROR(INDEX('CAT_ACTIVIDADES'!$B$4:$B$8,MATCH($H325,'CAT_ACTIVIDADES'!$A$4:$A$8,0)),"(sin catálogo)"))</f>
        <v/>
      </c>
      <c r="Y325" s="12">
        <f>IF($J325="","",TODAY()-$J325)</f>
        <v/>
      </c>
      <c r="Z325" s="3">
        <f>IF($Y325="","",IF($Y325&lt;0,"FUTURO",IF($Y325&gt;p_dias_backlog_max,"BACKLOG","MES CORRIENTE")))</f>
        <v/>
      </c>
      <c r="AA325" s="3">
        <f>IF($Y325="",FALSE,AND($Y325&gt;p_dias_backlog_min,$Y325&lt;=p_dias_backlog_max))</f>
        <v/>
      </c>
      <c r="AB325" s="6" t="n"/>
      <c r="AC325" s="3">
        <f>IF($AB325="","",IFERROR(INDEX('ASIGNACIONES'!$F$4:$F$339,MATCH($O325&amp;"|"&amp;$R325&amp;"|"&amp;$AB325,'ASIGNACIONES'!$I$4:$I$339,0)),""))</f>
        <v/>
      </c>
      <c r="AD325" s="13">
        <f>IF($AB325="","",SUMIFS('ORDENES'!$M$4:$M$1203,'ORDENES'!$AB$4:$AB$1203,$AB325,'ORDENES'!$O$4:$O$1203,$O325,'ORDENES'!$R$4:$R$1203,$R325))</f>
        <v/>
      </c>
      <c r="AE325" s="13">
        <f>IF($AD325="","",p_factor_productividad*IFERROR(INDEX('ASIGNACIONES'!$H$4:$H$339,MATCH($O325&amp;"|"&amp;$R325&amp;"|"&amp;$AB325,'ASIGNACIONES'!$I$4:$I$339,0)),0)-$AD325)</f>
        <v/>
      </c>
      <c r="AF325" s="10">
        <f>IF($A325="","",IFERROR(INDEX('2_IMPORTAR_EJECUCION'!$F$9:$F$1208,MATCH($AN325,'2_IMPORTAR_EJECUCION'!$J$9:$J$1208,0)),0))</f>
        <v/>
      </c>
      <c r="AG325" s="10">
        <f>IF($A325="","",MAX(0,IFERROR(INDEX('2_IMPORTAR_EJECUCION'!$H$9:$H$1208,MATCH($AN325,'2_IMPORTAR_EJECUCION'!$J$9:$J$1208,0)),0)-$AF325))</f>
        <v/>
      </c>
      <c r="AH325" s="10">
        <f>IF($A325="","",$AF325+$AG325)</f>
        <v/>
      </c>
      <c r="AI325" s="6" t="n"/>
      <c r="AJ325" s="6" t="n"/>
      <c r="AK325" s="6" t="n"/>
      <c r="AL325" s="3">
        <f>IF($AK325="","",HYPERLINK(p_ruta_base_checklists&amp;$AK325,"abrir"))</f>
        <v/>
      </c>
      <c r="AM325" s="6" t="n"/>
      <c r="AN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1" t="n"/>
      <c r="K326" s="3" t="n"/>
      <c r="L326" s="10" t="n"/>
      <c r="M326" s="3">
        <f>IF($A326="","",IFERROR(INDEX('AJUSTES'!$B$4:$B$303,MATCH($AN326,'AJUSTES'!$A$4:$A$303,0)),IF($K326="","",$K326)))</f>
        <v/>
      </c>
      <c r="N326" s="3">
        <f>IF($A326="","",IFERROR(INDEX('CAT_ESTADOS_ERP'!$B$4:$B$7,MATCH(IFERROR(INDEX('2_IMPORTAR_EJECUCION'!$C$9:$C$1208,MATCH($AN326,'2_IMPORTAR_EJECUCION'!$J$9:$J$1208,0)),""),'CAT_ESTADOS_ERP'!$A$4:$A$7,0)),"Pendiente"))</f>
        <v/>
      </c>
      <c r="O326" s="3">
        <f>IF($J326="","",YEAR($J326+4-WEEKDAY($J326,2))&amp;"-S"&amp;TEXT(_xlfn.ISOWEEKNUM($J326),"00"))</f>
        <v/>
      </c>
      <c r="P326" s="3">
        <f>IF($J326="","",YEAR($J326))</f>
        <v/>
      </c>
      <c r="Q326" s="3">
        <f>IF($J326="","",MONTH($J326))</f>
        <v/>
      </c>
      <c r="R326" s="3">
        <f>IF($J326="","",INDEX(lista_dias,WEEKDAY($J326,2)))</f>
        <v/>
      </c>
      <c r="S326" s="3">
        <f>IF($I326="","",IFERROR(INDEX('CAT_TIPOS_OT'!$C$4:$C$7,MATCH($I326,'CAT_TIPOS_OT'!$A$4:$A$7,0)),"sin_clasificar"))</f>
        <v/>
      </c>
      <c r="T326" s="3">
        <f>IF($F326="","",IFERROR(INDEX('CAT_CENTROS_COSTO'!$E$4:$E$9,MATCH($F326,'CAT_CENTROS_COSTO'!$A$4:$A$9,0)),"(sin catálogo)"))</f>
        <v/>
      </c>
      <c r="U326" s="3">
        <f>IF($F326="","",IFERROR(INDEX('CAT_CENTROS_COSTO'!$D$4:$D$9,MATCH($F326,'CAT_CENTROS_COSTO'!$A$4:$A$9,0)),"(sin catálogo)"))</f>
        <v/>
      </c>
      <c r="V326" s="3">
        <f>IF($F326="","",IFERROR(INDEX('CAT_CENTROS_COSTO'!$F$4:$F$9,MATCH($F326,'CAT_CENTROS_COSTO'!$A$4:$A$9,0)),"(sin catálogo)"))</f>
        <v/>
      </c>
      <c r="W326" s="3">
        <f>IF($G326="","",IFERROR(INDEX('CAT_PUESTOS'!$B$4:$B$8,MATCH($G326,'CAT_PUESTOS'!$A$4:$A$8,0)),"(sin catálogo)"))</f>
        <v/>
      </c>
      <c r="X326" s="3">
        <f>IF($H326="","",IFERROR(INDEX('CAT_ACTIVIDADES'!$B$4:$B$8,MATCH($H326,'CAT_ACTIVIDADES'!$A$4:$A$8,0)),"(sin catálogo)"))</f>
        <v/>
      </c>
      <c r="Y326" s="12">
        <f>IF($J326="","",TODAY()-$J326)</f>
        <v/>
      </c>
      <c r="Z326" s="3">
        <f>IF($Y326="","",IF($Y326&lt;0,"FUTURO",IF($Y326&gt;p_dias_backlog_max,"BACKLOG","MES CORRIENTE")))</f>
        <v/>
      </c>
      <c r="AA326" s="3">
        <f>IF($Y326="",FALSE,AND($Y326&gt;p_dias_backlog_min,$Y326&lt;=p_dias_backlog_max))</f>
        <v/>
      </c>
      <c r="AB326" s="6" t="n"/>
      <c r="AC326" s="3">
        <f>IF($AB326="","",IFERROR(INDEX('ASIGNACIONES'!$F$4:$F$339,MATCH($O326&amp;"|"&amp;$R326&amp;"|"&amp;$AB326,'ASIGNACIONES'!$I$4:$I$339,0)),""))</f>
        <v/>
      </c>
      <c r="AD326" s="13">
        <f>IF($AB326="","",SUMIFS('ORDENES'!$M$4:$M$1203,'ORDENES'!$AB$4:$AB$1203,$AB326,'ORDENES'!$O$4:$O$1203,$O326,'ORDENES'!$R$4:$R$1203,$R326))</f>
        <v/>
      </c>
      <c r="AE326" s="13">
        <f>IF($AD326="","",p_factor_productividad*IFERROR(INDEX('ASIGNACIONES'!$H$4:$H$339,MATCH($O326&amp;"|"&amp;$R326&amp;"|"&amp;$AB326,'ASIGNACIONES'!$I$4:$I$339,0)),0)-$AD326)</f>
        <v/>
      </c>
      <c r="AF326" s="10">
        <f>IF($A326="","",IFERROR(INDEX('2_IMPORTAR_EJECUCION'!$F$9:$F$1208,MATCH($AN326,'2_IMPORTAR_EJECUCION'!$J$9:$J$1208,0)),0))</f>
        <v/>
      </c>
      <c r="AG326" s="10">
        <f>IF($A326="","",MAX(0,IFERROR(INDEX('2_IMPORTAR_EJECUCION'!$H$9:$H$1208,MATCH($AN326,'2_IMPORTAR_EJECUCION'!$J$9:$J$1208,0)),0)-$AF326))</f>
        <v/>
      </c>
      <c r="AH326" s="10">
        <f>IF($A326="","",$AF326+$AG326)</f>
        <v/>
      </c>
      <c r="AI326" s="6" t="n"/>
      <c r="AJ326" s="6" t="n"/>
      <c r="AK326" s="6" t="n"/>
      <c r="AL326" s="3">
        <f>IF($AK326="","",HYPERLINK(p_ruta_base_checklists&amp;$AK326,"abrir"))</f>
        <v/>
      </c>
      <c r="AM326" s="6" t="n"/>
      <c r="AN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1" t="n"/>
      <c r="K327" s="3" t="n"/>
      <c r="L327" s="10" t="n"/>
      <c r="M327" s="3">
        <f>IF($A327="","",IFERROR(INDEX('AJUSTES'!$B$4:$B$303,MATCH($AN327,'AJUSTES'!$A$4:$A$303,0)),IF($K327="","",$K327)))</f>
        <v/>
      </c>
      <c r="N327" s="3">
        <f>IF($A327="","",IFERROR(INDEX('CAT_ESTADOS_ERP'!$B$4:$B$7,MATCH(IFERROR(INDEX('2_IMPORTAR_EJECUCION'!$C$9:$C$1208,MATCH($AN327,'2_IMPORTAR_EJECUCION'!$J$9:$J$1208,0)),""),'CAT_ESTADOS_ERP'!$A$4:$A$7,0)),"Pendiente"))</f>
        <v/>
      </c>
      <c r="O327" s="3">
        <f>IF($J327="","",YEAR($J327+4-WEEKDAY($J327,2))&amp;"-S"&amp;TEXT(_xlfn.ISOWEEKNUM($J327),"00"))</f>
        <v/>
      </c>
      <c r="P327" s="3">
        <f>IF($J327="","",YEAR($J327))</f>
        <v/>
      </c>
      <c r="Q327" s="3">
        <f>IF($J327="","",MONTH($J327))</f>
        <v/>
      </c>
      <c r="R327" s="3">
        <f>IF($J327="","",INDEX(lista_dias,WEEKDAY($J327,2)))</f>
        <v/>
      </c>
      <c r="S327" s="3">
        <f>IF($I327="","",IFERROR(INDEX('CAT_TIPOS_OT'!$C$4:$C$7,MATCH($I327,'CAT_TIPOS_OT'!$A$4:$A$7,0)),"sin_clasificar"))</f>
        <v/>
      </c>
      <c r="T327" s="3">
        <f>IF($F327="","",IFERROR(INDEX('CAT_CENTROS_COSTO'!$E$4:$E$9,MATCH($F327,'CAT_CENTROS_COSTO'!$A$4:$A$9,0)),"(sin catálogo)"))</f>
        <v/>
      </c>
      <c r="U327" s="3">
        <f>IF($F327="","",IFERROR(INDEX('CAT_CENTROS_COSTO'!$D$4:$D$9,MATCH($F327,'CAT_CENTROS_COSTO'!$A$4:$A$9,0)),"(sin catálogo)"))</f>
        <v/>
      </c>
      <c r="V327" s="3">
        <f>IF($F327="","",IFERROR(INDEX('CAT_CENTROS_COSTO'!$F$4:$F$9,MATCH($F327,'CAT_CENTROS_COSTO'!$A$4:$A$9,0)),"(sin catálogo)"))</f>
        <v/>
      </c>
      <c r="W327" s="3">
        <f>IF($G327="","",IFERROR(INDEX('CAT_PUESTOS'!$B$4:$B$8,MATCH($G327,'CAT_PUESTOS'!$A$4:$A$8,0)),"(sin catálogo)"))</f>
        <v/>
      </c>
      <c r="X327" s="3">
        <f>IF($H327="","",IFERROR(INDEX('CAT_ACTIVIDADES'!$B$4:$B$8,MATCH($H327,'CAT_ACTIVIDADES'!$A$4:$A$8,0)),"(sin catálogo)"))</f>
        <v/>
      </c>
      <c r="Y327" s="12">
        <f>IF($J327="","",TODAY()-$J327)</f>
        <v/>
      </c>
      <c r="Z327" s="3">
        <f>IF($Y327="","",IF($Y327&lt;0,"FUTURO",IF($Y327&gt;p_dias_backlog_max,"BACKLOG","MES CORRIENTE")))</f>
        <v/>
      </c>
      <c r="AA327" s="3">
        <f>IF($Y327="",FALSE,AND($Y327&gt;p_dias_backlog_min,$Y327&lt;=p_dias_backlog_max))</f>
        <v/>
      </c>
      <c r="AB327" s="6" t="n"/>
      <c r="AC327" s="3">
        <f>IF($AB327="","",IFERROR(INDEX('ASIGNACIONES'!$F$4:$F$339,MATCH($O327&amp;"|"&amp;$R327&amp;"|"&amp;$AB327,'ASIGNACIONES'!$I$4:$I$339,0)),""))</f>
        <v/>
      </c>
      <c r="AD327" s="13">
        <f>IF($AB327="","",SUMIFS('ORDENES'!$M$4:$M$1203,'ORDENES'!$AB$4:$AB$1203,$AB327,'ORDENES'!$O$4:$O$1203,$O327,'ORDENES'!$R$4:$R$1203,$R327))</f>
        <v/>
      </c>
      <c r="AE327" s="13">
        <f>IF($AD327="","",p_factor_productividad*IFERROR(INDEX('ASIGNACIONES'!$H$4:$H$339,MATCH($O327&amp;"|"&amp;$R327&amp;"|"&amp;$AB327,'ASIGNACIONES'!$I$4:$I$339,0)),0)-$AD327)</f>
        <v/>
      </c>
      <c r="AF327" s="10">
        <f>IF($A327="","",IFERROR(INDEX('2_IMPORTAR_EJECUCION'!$F$9:$F$1208,MATCH($AN327,'2_IMPORTAR_EJECUCION'!$J$9:$J$1208,0)),0))</f>
        <v/>
      </c>
      <c r="AG327" s="10">
        <f>IF($A327="","",MAX(0,IFERROR(INDEX('2_IMPORTAR_EJECUCION'!$H$9:$H$1208,MATCH($AN327,'2_IMPORTAR_EJECUCION'!$J$9:$J$1208,0)),0)-$AF327))</f>
        <v/>
      </c>
      <c r="AH327" s="10">
        <f>IF($A327="","",$AF327+$AG327)</f>
        <v/>
      </c>
      <c r="AI327" s="6" t="n"/>
      <c r="AJ327" s="6" t="n"/>
      <c r="AK327" s="6" t="n"/>
      <c r="AL327" s="3">
        <f>IF($AK327="","",HYPERLINK(p_ruta_base_checklists&amp;$AK327,"abrir"))</f>
        <v/>
      </c>
      <c r="AM327" s="6" t="n"/>
      <c r="AN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1" t="n"/>
      <c r="K328" s="3" t="n"/>
      <c r="L328" s="10" t="n"/>
      <c r="M328" s="3">
        <f>IF($A328="","",IFERROR(INDEX('AJUSTES'!$B$4:$B$303,MATCH($AN328,'AJUSTES'!$A$4:$A$303,0)),IF($K328="","",$K328)))</f>
        <v/>
      </c>
      <c r="N328" s="3">
        <f>IF($A328="","",IFERROR(INDEX('CAT_ESTADOS_ERP'!$B$4:$B$7,MATCH(IFERROR(INDEX('2_IMPORTAR_EJECUCION'!$C$9:$C$1208,MATCH($AN328,'2_IMPORTAR_EJECUCION'!$J$9:$J$1208,0)),""),'CAT_ESTADOS_ERP'!$A$4:$A$7,0)),"Pendiente"))</f>
        <v/>
      </c>
      <c r="O328" s="3">
        <f>IF($J328="","",YEAR($J328+4-WEEKDAY($J328,2))&amp;"-S"&amp;TEXT(_xlfn.ISOWEEKNUM($J328),"00"))</f>
        <v/>
      </c>
      <c r="P328" s="3">
        <f>IF($J328="","",YEAR($J328))</f>
        <v/>
      </c>
      <c r="Q328" s="3">
        <f>IF($J328="","",MONTH($J328))</f>
        <v/>
      </c>
      <c r="R328" s="3">
        <f>IF($J328="","",INDEX(lista_dias,WEEKDAY($J328,2)))</f>
        <v/>
      </c>
      <c r="S328" s="3">
        <f>IF($I328="","",IFERROR(INDEX('CAT_TIPOS_OT'!$C$4:$C$7,MATCH($I328,'CAT_TIPOS_OT'!$A$4:$A$7,0)),"sin_clasificar"))</f>
        <v/>
      </c>
      <c r="T328" s="3">
        <f>IF($F328="","",IFERROR(INDEX('CAT_CENTROS_COSTO'!$E$4:$E$9,MATCH($F328,'CAT_CENTROS_COSTO'!$A$4:$A$9,0)),"(sin catálogo)"))</f>
        <v/>
      </c>
      <c r="U328" s="3">
        <f>IF($F328="","",IFERROR(INDEX('CAT_CENTROS_COSTO'!$D$4:$D$9,MATCH($F328,'CAT_CENTROS_COSTO'!$A$4:$A$9,0)),"(sin catálogo)"))</f>
        <v/>
      </c>
      <c r="V328" s="3">
        <f>IF($F328="","",IFERROR(INDEX('CAT_CENTROS_COSTO'!$F$4:$F$9,MATCH($F328,'CAT_CENTROS_COSTO'!$A$4:$A$9,0)),"(sin catálogo)"))</f>
        <v/>
      </c>
      <c r="W328" s="3">
        <f>IF($G328="","",IFERROR(INDEX('CAT_PUESTOS'!$B$4:$B$8,MATCH($G328,'CAT_PUESTOS'!$A$4:$A$8,0)),"(sin catálogo)"))</f>
        <v/>
      </c>
      <c r="X328" s="3">
        <f>IF($H328="","",IFERROR(INDEX('CAT_ACTIVIDADES'!$B$4:$B$8,MATCH($H328,'CAT_ACTIVIDADES'!$A$4:$A$8,0)),"(sin catálogo)"))</f>
        <v/>
      </c>
      <c r="Y328" s="12">
        <f>IF($J328="","",TODAY()-$J328)</f>
        <v/>
      </c>
      <c r="Z328" s="3">
        <f>IF($Y328="","",IF($Y328&lt;0,"FUTURO",IF($Y328&gt;p_dias_backlog_max,"BACKLOG","MES CORRIENTE")))</f>
        <v/>
      </c>
      <c r="AA328" s="3">
        <f>IF($Y328="",FALSE,AND($Y328&gt;p_dias_backlog_min,$Y328&lt;=p_dias_backlog_max))</f>
        <v/>
      </c>
      <c r="AB328" s="6" t="n"/>
      <c r="AC328" s="3">
        <f>IF($AB328="","",IFERROR(INDEX('ASIGNACIONES'!$F$4:$F$339,MATCH($O328&amp;"|"&amp;$R328&amp;"|"&amp;$AB328,'ASIGNACIONES'!$I$4:$I$339,0)),""))</f>
        <v/>
      </c>
      <c r="AD328" s="13">
        <f>IF($AB328="","",SUMIFS('ORDENES'!$M$4:$M$1203,'ORDENES'!$AB$4:$AB$1203,$AB328,'ORDENES'!$O$4:$O$1203,$O328,'ORDENES'!$R$4:$R$1203,$R328))</f>
        <v/>
      </c>
      <c r="AE328" s="13">
        <f>IF($AD328="","",p_factor_productividad*IFERROR(INDEX('ASIGNACIONES'!$H$4:$H$339,MATCH($O328&amp;"|"&amp;$R328&amp;"|"&amp;$AB328,'ASIGNACIONES'!$I$4:$I$339,0)),0)-$AD328)</f>
        <v/>
      </c>
      <c r="AF328" s="10">
        <f>IF($A328="","",IFERROR(INDEX('2_IMPORTAR_EJECUCION'!$F$9:$F$1208,MATCH($AN328,'2_IMPORTAR_EJECUCION'!$J$9:$J$1208,0)),0))</f>
        <v/>
      </c>
      <c r="AG328" s="10">
        <f>IF($A328="","",MAX(0,IFERROR(INDEX('2_IMPORTAR_EJECUCION'!$H$9:$H$1208,MATCH($AN328,'2_IMPORTAR_EJECUCION'!$J$9:$J$1208,0)),0)-$AF328))</f>
        <v/>
      </c>
      <c r="AH328" s="10">
        <f>IF($A328="","",$AF328+$AG328)</f>
        <v/>
      </c>
      <c r="AI328" s="6" t="n"/>
      <c r="AJ328" s="6" t="n"/>
      <c r="AK328" s="6" t="n"/>
      <c r="AL328" s="3">
        <f>IF($AK328="","",HYPERLINK(p_ruta_base_checklists&amp;$AK328,"abrir"))</f>
        <v/>
      </c>
      <c r="AM328" s="6" t="n"/>
      <c r="AN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1" t="n"/>
      <c r="K329" s="3" t="n"/>
      <c r="L329" s="10" t="n"/>
      <c r="M329" s="3">
        <f>IF($A329="","",IFERROR(INDEX('AJUSTES'!$B$4:$B$303,MATCH($AN329,'AJUSTES'!$A$4:$A$303,0)),IF($K329="","",$K329)))</f>
        <v/>
      </c>
      <c r="N329" s="3">
        <f>IF($A329="","",IFERROR(INDEX('CAT_ESTADOS_ERP'!$B$4:$B$7,MATCH(IFERROR(INDEX('2_IMPORTAR_EJECUCION'!$C$9:$C$1208,MATCH($AN329,'2_IMPORTAR_EJECUCION'!$J$9:$J$1208,0)),""),'CAT_ESTADOS_ERP'!$A$4:$A$7,0)),"Pendiente"))</f>
        <v/>
      </c>
      <c r="O329" s="3">
        <f>IF($J329="","",YEAR($J329+4-WEEKDAY($J329,2))&amp;"-S"&amp;TEXT(_xlfn.ISOWEEKNUM($J329),"00"))</f>
        <v/>
      </c>
      <c r="P329" s="3">
        <f>IF($J329="","",YEAR($J329))</f>
        <v/>
      </c>
      <c r="Q329" s="3">
        <f>IF($J329="","",MONTH($J329))</f>
        <v/>
      </c>
      <c r="R329" s="3">
        <f>IF($J329="","",INDEX(lista_dias,WEEKDAY($J329,2)))</f>
        <v/>
      </c>
      <c r="S329" s="3">
        <f>IF($I329="","",IFERROR(INDEX('CAT_TIPOS_OT'!$C$4:$C$7,MATCH($I329,'CAT_TIPOS_OT'!$A$4:$A$7,0)),"sin_clasificar"))</f>
        <v/>
      </c>
      <c r="T329" s="3">
        <f>IF($F329="","",IFERROR(INDEX('CAT_CENTROS_COSTO'!$E$4:$E$9,MATCH($F329,'CAT_CENTROS_COSTO'!$A$4:$A$9,0)),"(sin catálogo)"))</f>
        <v/>
      </c>
      <c r="U329" s="3">
        <f>IF($F329="","",IFERROR(INDEX('CAT_CENTROS_COSTO'!$D$4:$D$9,MATCH($F329,'CAT_CENTROS_COSTO'!$A$4:$A$9,0)),"(sin catálogo)"))</f>
        <v/>
      </c>
      <c r="V329" s="3">
        <f>IF($F329="","",IFERROR(INDEX('CAT_CENTROS_COSTO'!$F$4:$F$9,MATCH($F329,'CAT_CENTROS_COSTO'!$A$4:$A$9,0)),"(sin catálogo)"))</f>
        <v/>
      </c>
      <c r="W329" s="3">
        <f>IF($G329="","",IFERROR(INDEX('CAT_PUESTOS'!$B$4:$B$8,MATCH($G329,'CAT_PUESTOS'!$A$4:$A$8,0)),"(sin catálogo)"))</f>
        <v/>
      </c>
      <c r="X329" s="3">
        <f>IF($H329="","",IFERROR(INDEX('CAT_ACTIVIDADES'!$B$4:$B$8,MATCH($H329,'CAT_ACTIVIDADES'!$A$4:$A$8,0)),"(sin catálogo)"))</f>
        <v/>
      </c>
      <c r="Y329" s="12">
        <f>IF($J329="","",TODAY()-$J329)</f>
        <v/>
      </c>
      <c r="Z329" s="3">
        <f>IF($Y329="","",IF($Y329&lt;0,"FUTURO",IF($Y329&gt;p_dias_backlog_max,"BACKLOG","MES CORRIENTE")))</f>
        <v/>
      </c>
      <c r="AA329" s="3">
        <f>IF($Y329="",FALSE,AND($Y329&gt;p_dias_backlog_min,$Y329&lt;=p_dias_backlog_max))</f>
        <v/>
      </c>
      <c r="AB329" s="6" t="n"/>
      <c r="AC329" s="3">
        <f>IF($AB329="","",IFERROR(INDEX('ASIGNACIONES'!$F$4:$F$339,MATCH($O329&amp;"|"&amp;$R329&amp;"|"&amp;$AB329,'ASIGNACIONES'!$I$4:$I$339,0)),""))</f>
        <v/>
      </c>
      <c r="AD329" s="13">
        <f>IF($AB329="","",SUMIFS('ORDENES'!$M$4:$M$1203,'ORDENES'!$AB$4:$AB$1203,$AB329,'ORDENES'!$O$4:$O$1203,$O329,'ORDENES'!$R$4:$R$1203,$R329))</f>
        <v/>
      </c>
      <c r="AE329" s="13">
        <f>IF($AD329="","",p_factor_productividad*IFERROR(INDEX('ASIGNACIONES'!$H$4:$H$339,MATCH($O329&amp;"|"&amp;$R329&amp;"|"&amp;$AB329,'ASIGNACIONES'!$I$4:$I$339,0)),0)-$AD329)</f>
        <v/>
      </c>
      <c r="AF329" s="10">
        <f>IF($A329="","",IFERROR(INDEX('2_IMPORTAR_EJECUCION'!$F$9:$F$1208,MATCH($AN329,'2_IMPORTAR_EJECUCION'!$J$9:$J$1208,0)),0))</f>
        <v/>
      </c>
      <c r="AG329" s="10">
        <f>IF($A329="","",MAX(0,IFERROR(INDEX('2_IMPORTAR_EJECUCION'!$H$9:$H$1208,MATCH($AN329,'2_IMPORTAR_EJECUCION'!$J$9:$J$1208,0)),0)-$AF329))</f>
        <v/>
      </c>
      <c r="AH329" s="10">
        <f>IF($A329="","",$AF329+$AG329)</f>
        <v/>
      </c>
      <c r="AI329" s="6" t="n"/>
      <c r="AJ329" s="6" t="n"/>
      <c r="AK329" s="6" t="n"/>
      <c r="AL329" s="3">
        <f>IF($AK329="","",HYPERLINK(p_ruta_base_checklists&amp;$AK329,"abrir"))</f>
        <v/>
      </c>
      <c r="AM329" s="6" t="n"/>
      <c r="AN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1" t="n"/>
      <c r="K330" s="3" t="n"/>
      <c r="L330" s="10" t="n"/>
      <c r="M330" s="3">
        <f>IF($A330="","",IFERROR(INDEX('AJUSTES'!$B$4:$B$303,MATCH($AN330,'AJUSTES'!$A$4:$A$303,0)),IF($K330="","",$K330)))</f>
        <v/>
      </c>
      <c r="N330" s="3">
        <f>IF($A330="","",IFERROR(INDEX('CAT_ESTADOS_ERP'!$B$4:$B$7,MATCH(IFERROR(INDEX('2_IMPORTAR_EJECUCION'!$C$9:$C$1208,MATCH($AN330,'2_IMPORTAR_EJECUCION'!$J$9:$J$1208,0)),""),'CAT_ESTADOS_ERP'!$A$4:$A$7,0)),"Pendiente"))</f>
        <v/>
      </c>
      <c r="O330" s="3">
        <f>IF($J330="","",YEAR($J330+4-WEEKDAY($J330,2))&amp;"-S"&amp;TEXT(_xlfn.ISOWEEKNUM($J330),"00"))</f>
        <v/>
      </c>
      <c r="P330" s="3">
        <f>IF($J330="","",YEAR($J330))</f>
        <v/>
      </c>
      <c r="Q330" s="3">
        <f>IF($J330="","",MONTH($J330))</f>
        <v/>
      </c>
      <c r="R330" s="3">
        <f>IF($J330="","",INDEX(lista_dias,WEEKDAY($J330,2)))</f>
        <v/>
      </c>
      <c r="S330" s="3">
        <f>IF($I330="","",IFERROR(INDEX('CAT_TIPOS_OT'!$C$4:$C$7,MATCH($I330,'CAT_TIPOS_OT'!$A$4:$A$7,0)),"sin_clasificar"))</f>
        <v/>
      </c>
      <c r="T330" s="3">
        <f>IF($F330="","",IFERROR(INDEX('CAT_CENTROS_COSTO'!$E$4:$E$9,MATCH($F330,'CAT_CENTROS_COSTO'!$A$4:$A$9,0)),"(sin catálogo)"))</f>
        <v/>
      </c>
      <c r="U330" s="3">
        <f>IF($F330="","",IFERROR(INDEX('CAT_CENTROS_COSTO'!$D$4:$D$9,MATCH($F330,'CAT_CENTROS_COSTO'!$A$4:$A$9,0)),"(sin catálogo)"))</f>
        <v/>
      </c>
      <c r="V330" s="3">
        <f>IF($F330="","",IFERROR(INDEX('CAT_CENTROS_COSTO'!$F$4:$F$9,MATCH($F330,'CAT_CENTROS_COSTO'!$A$4:$A$9,0)),"(sin catálogo)"))</f>
        <v/>
      </c>
      <c r="W330" s="3">
        <f>IF($G330="","",IFERROR(INDEX('CAT_PUESTOS'!$B$4:$B$8,MATCH($G330,'CAT_PUESTOS'!$A$4:$A$8,0)),"(sin catálogo)"))</f>
        <v/>
      </c>
      <c r="X330" s="3">
        <f>IF($H330="","",IFERROR(INDEX('CAT_ACTIVIDADES'!$B$4:$B$8,MATCH($H330,'CAT_ACTIVIDADES'!$A$4:$A$8,0)),"(sin catálogo)"))</f>
        <v/>
      </c>
      <c r="Y330" s="12">
        <f>IF($J330="","",TODAY()-$J330)</f>
        <v/>
      </c>
      <c r="Z330" s="3">
        <f>IF($Y330="","",IF($Y330&lt;0,"FUTURO",IF($Y330&gt;p_dias_backlog_max,"BACKLOG","MES CORRIENTE")))</f>
        <v/>
      </c>
      <c r="AA330" s="3">
        <f>IF($Y330="",FALSE,AND($Y330&gt;p_dias_backlog_min,$Y330&lt;=p_dias_backlog_max))</f>
        <v/>
      </c>
      <c r="AB330" s="6" t="n"/>
      <c r="AC330" s="3">
        <f>IF($AB330="","",IFERROR(INDEX('ASIGNACIONES'!$F$4:$F$339,MATCH($O330&amp;"|"&amp;$R330&amp;"|"&amp;$AB330,'ASIGNACIONES'!$I$4:$I$339,0)),""))</f>
        <v/>
      </c>
      <c r="AD330" s="13">
        <f>IF($AB330="","",SUMIFS('ORDENES'!$M$4:$M$1203,'ORDENES'!$AB$4:$AB$1203,$AB330,'ORDENES'!$O$4:$O$1203,$O330,'ORDENES'!$R$4:$R$1203,$R330))</f>
        <v/>
      </c>
      <c r="AE330" s="13">
        <f>IF($AD330="","",p_factor_productividad*IFERROR(INDEX('ASIGNACIONES'!$H$4:$H$339,MATCH($O330&amp;"|"&amp;$R330&amp;"|"&amp;$AB330,'ASIGNACIONES'!$I$4:$I$339,0)),0)-$AD330)</f>
        <v/>
      </c>
      <c r="AF330" s="10">
        <f>IF($A330="","",IFERROR(INDEX('2_IMPORTAR_EJECUCION'!$F$9:$F$1208,MATCH($AN330,'2_IMPORTAR_EJECUCION'!$J$9:$J$1208,0)),0))</f>
        <v/>
      </c>
      <c r="AG330" s="10">
        <f>IF($A330="","",MAX(0,IFERROR(INDEX('2_IMPORTAR_EJECUCION'!$H$9:$H$1208,MATCH($AN330,'2_IMPORTAR_EJECUCION'!$J$9:$J$1208,0)),0)-$AF330))</f>
        <v/>
      </c>
      <c r="AH330" s="10">
        <f>IF($A330="","",$AF330+$AG330)</f>
        <v/>
      </c>
      <c r="AI330" s="6" t="n"/>
      <c r="AJ330" s="6" t="n"/>
      <c r="AK330" s="6" t="n"/>
      <c r="AL330" s="3">
        <f>IF($AK330="","",HYPERLINK(p_ruta_base_checklists&amp;$AK330,"abrir"))</f>
        <v/>
      </c>
      <c r="AM330" s="6" t="n"/>
      <c r="AN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1" t="n"/>
      <c r="K331" s="3" t="n"/>
      <c r="L331" s="10" t="n"/>
      <c r="M331" s="3">
        <f>IF($A331="","",IFERROR(INDEX('AJUSTES'!$B$4:$B$303,MATCH($AN331,'AJUSTES'!$A$4:$A$303,0)),IF($K331="","",$K331)))</f>
        <v/>
      </c>
      <c r="N331" s="3">
        <f>IF($A331="","",IFERROR(INDEX('CAT_ESTADOS_ERP'!$B$4:$B$7,MATCH(IFERROR(INDEX('2_IMPORTAR_EJECUCION'!$C$9:$C$1208,MATCH($AN331,'2_IMPORTAR_EJECUCION'!$J$9:$J$1208,0)),""),'CAT_ESTADOS_ERP'!$A$4:$A$7,0)),"Pendiente"))</f>
        <v/>
      </c>
      <c r="O331" s="3">
        <f>IF($J331="","",YEAR($J331+4-WEEKDAY($J331,2))&amp;"-S"&amp;TEXT(_xlfn.ISOWEEKNUM($J331),"00"))</f>
        <v/>
      </c>
      <c r="P331" s="3">
        <f>IF($J331="","",YEAR($J331))</f>
        <v/>
      </c>
      <c r="Q331" s="3">
        <f>IF($J331="","",MONTH($J331))</f>
        <v/>
      </c>
      <c r="R331" s="3">
        <f>IF($J331="","",INDEX(lista_dias,WEEKDAY($J331,2)))</f>
        <v/>
      </c>
      <c r="S331" s="3">
        <f>IF($I331="","",IFERROR(INDEX('CAT_TIPOS_OT'!$C$4:$C$7,MATCH($I331,'CAT_TIPOS_OT'!$A$4:$A$7,0)),"sin_clasificar"))</f>
        <v/>
      </c>
      <c r="T331" s="3">
        <f>IF($F331="","",IFERROR(INDEX('CAT_CENTROS_COSTO'!$E$4:$E$9,MATCH($F331,'CAT_CENTROS_COSTO'!$A$4:$A$9,0)),"(sin catálogo)"))</f>
        <v/>
      </c>
      <c r="U331" s="3">
        <f>IF($F331="","",IFERROR(INDEX('CAT_CENTROS_COSTO'!$D$4:$D$9,MATCH($F331,'CAT_CENTROS_COSTO'!$A$4:$A$9,0)),"(sin catálogo)"))</f>
        <v/>
      </c>
      <c r="V331" s="3">
        <f>IF($F331="","",IFERROR(INDEX('CAT_CENTROS_COSTO'!$F$4:$F$9,MATCH($F331,'CAT_CENTROS_COSTO'!$A$4:$A$9,0)),"(sin catálogo)"))</f>
        <v/>
      </c>
      <c r="W331" s="3">
        <f>IF($G331="","",IFERROR(INDEX('CAT_PUESTOS'!$B$4:$B$8,MATCH($G331,'CAT_PUESTOS'!$A$4:$A$8,0)),"(sin catálogo)"))</f>
        <v/>
      </c>
      <c r="X331" s="3">
        <f>IF($H331="","",IFERROR(INDEX('CAT_ACTIVIDADES'!$B$4:$B$8,MATCH($H331,'CAT_ACTIVIDADES'!$A$4:$A$8,0)),"(sin catálogo)"))</f>
        <v/>
      </c>
      <c r="Y331" s="12">
        <f>IF($J331="","",TODAY()-$J331)</f>
        <v/>
      </c>
      <c r="Z331" s="3">
        <f>IF($Y331="","",IF($Y331&lt;0,"FUTURO",IF($Y331&gt;p_dias_backlog_max,"BACKLOG","MES CORRIENTE")))</f>
        <v/>
      </c>
      <c r="AA331" s="3">
        <f>IF($Y331="",FALSE,AND($Y331&gt;p_dias_backlog_min,$Y331&lt;=p_dias_backlog_max))</f>
        <v/>
      </c>
      <c r="AB331" s="6" t="n"/>
      <c r="AC331" s="3">
        <f>IF($AB331="","",IFERROR(INDEX('ASIGNACIONES'!$F$4:$F$339,MATCH($O331&amp;"|"&amp;$R331&amp;"|"&amp;$AB331,'ASIGNACIONES'!$I$4:$I$339,0)),""))</f>
        <v/>
      </c>
      <c r="AD331" s="13">
        <f>IF($AB331="","",SUMIFS('ORDENES'!$M$4:$M$1203,'ORDENES'!$AB$4:$AB$1203,$AB331,'ORDENES'!$O$4:$O$1203,$O331,'ORDENES'!$R$4:$R$1203,$R331))</f>
        <v/>
      </c>
      <c r="AE331" s="13">
        <f>IF($AD331="","",p_factor_productividad*IFERROR(INDEX('ASIGNACIONES'!$H$4:$H$339,MATCH($O331&amp;"|"&amp;$R331&amp;"|"&amp;$AB331,'ASIGNACIONES'!$I$4:$I$339,0)),0)-$AD331)</f>
        <v/>
      </c>
      <c r="AF331" s="10">
        <f>IF($A331="","",IFERROR(INDEX('2_IMPORTAR_EJECUCION'!$F$9:$F$1208,MATCH($AN331,'2_IMPORTAR_EJECUCION'!$J$9:$J$1208,0)),0))</f>
        <v/>
      </c>
      <c r="AG331" s="10">
        <f>IF($A331="","",MAX(0,IFERROR(INDEX('2_IMPORTAR_EJECUCION'!$H$9:$H$1208,MATCH($AN331,'2_IMPORTAR_EJECUCION'!$J$9:$J$1208,0)),0)-$AF331))</f>
        <v/>
      </c>
      <c r="AH331" s="10">
        <f>IF($A331="","",$AF331+$AG331)</f>
        <v/>
      </c>
      <c r="AI331" s="6" t="n"/>
      <c r="AJ331" s="6" t="n"/>
      <c r="AK331" s="6" t="n"/>
      <c r="AL331" s="3">
        <f>IF($AK331="","",HYPERLINK(p_ruta_base_checklists&amp;$AK331,"abrir"))</f>
        <v/>
      </c>
      <c r="AM331" s="6" t="n"/>
      <c r="AN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1" t="n"/>
      <c r="K332" s="3" t="n"/>
      <c r="L332" s="10" t="n"/>
      <c r="M332" s="3">
        <f>IF($A332="","",IFERROR(INDEX('AJUSTES'!$B$4:$B$303,MATCH($AN332,'AJUSTES'!$A$4:$A$303,0)),IF($K332="","",$K332)))</f>
        <v/>
      </c>
      <c r="N332" s="3">
        <f>IF($A332="","",IFERROR(INDEX('CAT_ESTADOS_ERP'!$B$4:$B$7,MATCH(IFERROR(INDEX('2_IMPORTAR_EJECUCION'!$C$9:$C$1208,MATCH($AN332,'2_IMPORTAR_EJECUCION'!$J$9:$J$1208,0)),""),'CAT_ESTADOS_ERP'!$A$4:$A$7,0)),"Pendiente"))</f>
        <v/>
      </c>
      <c r="O332" s="3">
        <f>IF($J332="","",YEAR($J332+4-WEEKDAY($J332,2))&amp;"-S"&amp;TEXT(_xlfn.ISOWEEKNUM($J332),"00"))</f>
        <v/>
      </c>
      <c r="P332" s="3">
        <f>IF($J332="","",YEAR($J332))</f>
        <v/>
      </c>
      <c r="Q332" s="3">
        <f>IF($J332="","",MONTH($J332))</f>
        <v/>
      </c>
      <c r="R332" s="3">
        <f>IF($J332="","",INDEX(lista_dias,WEEKDAY($J332,2)))</f>
        <v/>
      </c>
      <c r="S332" s="3">
        <f>IF($I332="","",IFERROR(INDEX('CAT_TIPOS_OT'!$C$4:$C$7,MATCH($I332,'CAT_TIPOS_OT'!$A$4:$A$7,0)),"sin_clasificar"))</f>
        <v/>
      </c>
      <c r="T332" s="3">
        <f>IF($F332="","",IFERROR(INDEX('CAT_CENTROS_COSTO'!$E$4:$E$9,MATCH($F332,'CAT_CENTROS_COSTO'!$A$4:$A$9,0)),"(sin catálogo)"))</f>
        <v/>
      </c>
      <c r="U332" s="3">
        <f>IF($F332="","",IFERROR(INDEX('CAT_CENTROS_COSTO'!$D$4:$D$9,MATCH($F332,'CAT_CENTROS_COSTO'!$A$4:$A$9,0)),"(sin catálogo)"))</f>
        <v/>
      </c>
      <c r="V332" s="3">
        <f>IF($F332="","",IFERROR(INDEX('CAT_CENTROS_COSTO'!$F$4:$F$9,MATCH($F332,'CAT_CENTROS_COSTO'!$A$4:$A$9,0)),"(sin catálogo)"))</f>
        <v/>
      </c>
      <c r="W332" s="3">
        <f>IF($G332="","",IFERROR(INDEX('CAT_PUESTOS'!$B$4:$B$8,MATCH($G332,'CAT_PUESTOS'!$A$4:$A$8,0)),"(sin catálogo)"))</f>
        <v/>
      </c>
      <c r="X332" s="3">
        <f>IF($H332="","",IFERROR(INDEX('CAT_ACTIVIDADES'!$B$4:$B$8,MATCH($H332,'CAT_ACTIVIDADES'!$A$4:$A$8,0)),"(sin catálogo)"))</f>
        <v/>
      </c>
      <c r="Y332" s="12">
        <f>IF($J332="","",TODAY()-$J332)</f>
        <v/>
      </c>
      <c r="Z332" s="3">
        <f>IF($Y332="","",IF($Y332&lt;0,"FUTURO",IF($Y332&gt;p_dias_backlog_max,"BACKLOG","MES CORRIENTE")))</f>
        <v/>
      </c>
      <c r="AA332" s="3">
        <f>IF($Y332="",FALSE,AND($Y332&gt;p_dias_backlog_min,$Y332&lt;=p_dias_backlog_max))</f>
        <v/>
      </c>
      <c r="AB332" s="6" t="n"/>
      <c r="AC332" s="3">
        <f>IF($AB332="","",IFERROR(INDEX('ASIGNACIONES'!$F$4:$F$339,MATCH($O332&amp;"|"&amp;$R332&amp;"|"&amp;$AB332,'ASIGNACIONES'!$I$4:$I$339,0)),""))</f>
        <v/>
      </c>
      <c r="AD332" s="13">
        <f>IF($AB332="","",SUMIFS('ORDENES'!$M$4:$M$1203,'ORDENES'!$AB$4:$AB$1203,$AB332,'ORDENES'!$O$4:$O$1203,$O332,'ORDENES'!$R$4:$R$1203,$R332))</f>
        <v/>
      </c>
      <c r="AE332" s="13">
        <f>IF($AD332="","",p_factor_productividad*IFERROR(INDEX('ASIGNACIONES'!$H$4:$H$339,MATCH($O332&amp;"|"&amp;$R332&amp;"|"&amp;$AB332,'ASIGNACIONES'!$I$4:$I$339,0)),0)-$AD332)</f>
        <v/>
      </c>
      <c r="AF332" s="10">
        <f>IF($A332="","",IFERROR(INDEX('2_IMPORTAR_EJECUCION'!$F$9:$F$1208,MATCH($AN332,'2_IMPORTAR_EJECUCION'!$J$9:$J$1208,0)),0))</f>
        <v/>
      </c>
      <c r="AG332" s="10">
        <f>IF($A332="","",MAX(0,IFERROR(INDEX('2_IMPORTAR_EJECUCION'!$H$9:$H$1208,MATCH($AN332,'2_IMPORTAR_EJECUCION'!$J$9:$J$1208,0)),0)-$AF332))</f>
        <v/>
      </c>
      <c r="AH332" s="10">
        <f>IF($A332="","",$AF332+$AG332)</f>
        <v/>
      </c>
      <c r="AI332" s="6" t="n"/>
      <c r="AJ332" s="6" t="n"/>
      <c r="AK332" s="6" t="n"/>
      <c r="AL332" s="3">
        <f>IF($AK332="","",HYPERLINK(p_ruta_base_checklists&amp;$AK332,"abrir"))</f>
        <v/>
      </c>
      <c r="AM332" s="6" t="n"/>
      <c r="AN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1" t="n"/>
      <c r="K333" s="3" t="n"/>
      <c r="L333" s="10" t="n"/>
      <c r="M333" s="3">
        <f>IF($A333="","",IFERROR(INDEX('AJUSTES'!$B$4:$B$303,MATCH($AN333,'AJUSTES'!$A$4:$A$303,0)),IF($K333="","",$K333)))</f>
        <v/>
      </c>
      <c r="N333" s="3">
        <f>IF($A333="","",IFERROR(INDEX('CAT_ESTADOS_ERP'!$B$4:$B$7,MATCH(IFERROR(INDEX('2_IMPORTAR_EJECUCION'!$C$9:$C$1208,MATCH($AN333,'2_IMPORTAR_EJECUCION'!$J$9:$J$1208,0)),""),'CAT_ESTADOS_ERP'!$A$4:$A$7,0)),"Pendiente"))</f>
        <v/>
      </c>
      <c r="O333" s="3">
        <f>IF($J333="","",YEAR($J333+4-WEEKDAY($J333,2))&amp;"-S"&amp;TEXT(_xlfn.ISOWEEKNUM($J333),"00"))</f>
        <v/>
      </c>
      <c r="P333" s="3">
        <f>IF($J333="","",YEAR($J333))</f>
        <v/>
      </c>
      <c r="Q333" s="3">
        <f>IF($J333="","",MONTH($J333))</f>
        <v/>
      </c>
      <c r="R333" s="3">
        <f>IF($J333="","",INDEX(lista_dias,WEEKDAY($J333,2)))</f>
        <v/>
      </c>
      <c r="S333" s="3">
        <f>IF($I333="","",IFERROR(INDEX('CAT_TIPOS_OT'!$C$4:$C$7,MATCH($I333,'CAT_TIPOS_OT'!$A$4:$A$7,0)),"sin_clasificar"))</f>
        <v/>
      </c>
      <c r="T333" s="3">
        <f>IF($F333="","",IFERROR(INDEX('CAT_CENTROS_COSTO'!$E$4:$E$9,MATCH($F333,'CAT_CENTROS_COSTO'!$A$4:$A$9,0)),"(sin catálogo)"))</f>
        <v/>
      </c>
      <c r="U333" s="3">
        <f>IF($F333="","",IFERROR(INDEX('CAT_CENTROS_COSTO'!$D$4:$D$9,MATCH($F333,'CAT_CENTROS_COSTO'!$A$4:$A$9,0)),"(sin catálogo)"))</f>
        <v/>
      </c>
      <c r="V333" s="3">
        <f>IF($F333="","",IFERROR(INDEX('CAT_CENTROS_COSTO'!$F$4:$F$9,MATCH($F333,'CAT_CENTROS_COSTO'!$A$4:$A$9,0)),"(sin catálogo)"))</f>
        <v/>
      </c>
      <c r="W333" s="3">
        <f>IF($G333="","",IFERROR(INDEX('CAT_PUESTOS'!$B$4:$B$8,MATCH($G333,'CAT_PUESTOS'!$A$4:$A$8,0)),"(sin catálogo)"))</f>
        <v/>
      </c>
      <c r="X333" s="3">
        <f>IF($H333="","",IFERROR(INDEX('CAT_ACTIVIDADES'!$B$4:$B$8,MATCH($H333,'CAT_ACTIVIDADES'!$A$4:$A$8,0)),"(sin catálogo)"))</f>
        <v/>
      </c>
      <c r="Y333" s="12">
        <f>IF($J333="","",TODAY()-$J333)</f>
        <v/>
      </c>
      <c r="Z333" s="3">
        <f>IF($Y333="","",IF($Y333&lt;0,"FUTURO",IF($Y333&gt;p_dias_backlog_max,"BACKLOG","MES CORRIENTE")))</f>
        <v/>
      </c>
      <c r="AA333" s="3">
        <f>IF($Y333="",FALSE,AND($Y333&gt;p_dias_backlog_min,$Y333&lt;=p_dias_backlog_max))</f>
        <v/>
      </c>
      <c r="AB333" s="6" t="n"/>
      <c r="AC333" s="3">
        <f>IF($AB333="","",IFERROR(INDEX('ASIGNACIONES'!$F$4:$F$339,MATCH($O333&amp;"|"&amp;$R333&amp;"|"&amp;$AB333,'ASIGNACIONES'!$I$4:$I$339,0)),""))</f>
        <v/>
      </c>
      <c r="AD333" s="13">
        <f>IF($AB333="","",SUMIFS('ORDENES'!$M$4:$M$1203,'ORDENES'!$AB$4:$AB$1203,$AB333,'ORDENES'!$O$4:$O$1203,$O333,'ORDENES'!$R$4:$R$1203,$R333))</f>
        <v/>
      </c>
      <c r="AE333" s="13">
        <f>IF($AD333="","",p_factor_productividad*IFERROR(INDEX('ASIGNACIONES'!$H$4:$H$339,MATCH($O333&amp;"|"&amp;$R333&amp;"|"&amp;$AB333,'ASIGNACIONES'!$I$4:$I$339,0)),0)-$AD333)</f>
        <v/>
      </c>
      <c r="AF333" s="10">
        <f>IF($A333="","",IFERROR(INDEX('2_IMPORTAR_EJECUCION'!$F$9:$F$1208,MATCH($AN333,'2_IMPORTAR_EJECUCION'!$J$9:$J$1208,0)),0))</f>
        <v/>
      </c>
      <c r="AG333" s="10">
        <f>IF($A333="","",MAX(0,IFERROR(INDEX('2_IMPORTAR_EJECUCION'!$H$9:$H$1208,MATCH($AN333,'2_IMPORTAR_EJECUCION'!$J$9:$J$1208,0)),0)-$AF333))</f>
        <v/>
      </c>
      <c r="AH333" s="10">
        <f>IF($A333="","",$AF333+$AG333)</f>
        <v/>
      </c>
      <c r="AI333" s="6" t="n"/>
      <c r="AJ333" s="6" t="n"/>
      <c r="AK333" s="6" t="n"/>
      <c r="AL333" s="3">
        <f>IF($AK333="","",HYPERLINK(p_ruta_base_checklists&amp;$AK333,"abrir"))</f>
        <v/>
      </c>
      <c r="AM333" s="6" t="n"/>
      <c r="AN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1" t="n"/>
      <c r="K334" s="3" t="n"/>
      <c r="L334" s="10" t="n"/>
      <c r="M334" s="3">
        <f>IF($A334="","",IFERROR(INDEX('AJUSTES'!$B$4:$B$303,MATCH($AN334,'AJUSTES'!$A$4:$A$303,0)),IF($K334="","",$K334)))</f>
        <v/>
      </c>
      <c r="N334" s="3">
        <f>IF($A334="","",IFERROR(INDEX('CAT_ESTADOS_ERP'!$B$4:$B$7,MATCH(IFERROR(INDEX('2_IMPORTAR_EJECUCION'!$C$9:$C$1208,MATCH($AN334,'2_IMPORTAR_EJECUCION'!$J$9:$J$1208,0)),""),'CAT_ESTADOS_ERP'!$A$4:$A$7,0)),"Pendiente"))</f>
        <v/>
      </c>
      <c r="O334" s="3">
        <f>IF($J334="","",YEAR($J334+4-WEEKDAY($J334,2))&amp;"-S"&amp;TEXT(_xlfn.ISOWEEKNUM($J334),"00"))</f>
        <v/>
      </c>
      <c r="P334" s="3">
        <f>IF($J334="","",YEAR($J334))</f>
        <v/>
      </c>
      <c r="Q334" s="3">
        <f>IF($J334="","",MONTH($J334))</f>
        <v/>
      </c>
      <c r="R334" s="3">
        <f>IF($J334="","",INDEX(lista_dias,WEEKDAY($J334,2)))</f>
        <v/>
      </c>
      <c r="S334" s="3">
        <f>IF($I334="","",IFERROR(INDEX('CAT_TIPOS_OT'!$C$4:$C$7,MATCH($I334,'CAT_TIPOS_OT'!$A$4:$A$7,0)),"sin_clasificar"))</f>
        <v/>
      </c>
      <c r="T334" s="3">
        <f>IF($F334="","",IFERROR(INDEX('CAT_CENTROS_COSTO'!$E$4:$E$9,MATCH($F334,'CAT_CENTROS_COSTO'!$A$4:$A$9,0)),"(sin catálogo)"))</f>
        <v/>
      </c>
      <c r="U334" s="3">
        <f>IF($F334="","",IFERROR(INDEX('CAT_CENTROS_COSTO'!$D$4:$D$9,MATCH($F334,'CAT_CENTROS_COSTO'!$A$4:$A$9,0)),"(sin catálogo)"))</f>
        <v/>
      </c>
      <c r="V334" s="3">
        <f>IF($F334="","",IFERROR(INDEX('CAT_CENTROS_COSTO'!$F$4:$F$9,MATCH($F334,'CAT_CENTROS_COSTO'!$A$4:$A$9,0)),"(sin catálogo)"))</f>
        <v/>
      </c>
      <c r="W334" s="3">
        <f>IF($G334="","",IFERROR(INDEX('CAT_PUESTOS'!$B$4:$B$8,MATCH($G334,'CAT_PUESTOS'!$A$4:$A$8,0)),"(sin catálogo)"))</f>
        <v/>
      </c>
      <c r="X334" s="3">
        <f>IF($H334="","",IFERROR(INDEX('CAT_ACTIVIDADES'!$B$4:$B$8,MATCH($H334,'CAT_ACTIVIDADES'!$A$4:$A$8,0)),"(sin catálogo)"))</f>
        <v/>
      </c>
      <c r="Y334" s="12">
        <f>IF($J334="","",TODAY()-$J334)</f>
        <v/>
      </c>
      <c r="Z334" s="3">
        <f>IF($Y334="","",IF($Y334&lt;0,"FUTURO",IF($Y334&gt;p_dias_backlog_max,"BACKLOG","MES CORRIENTE")))</f>
        <v/>
      </c>
      <c r="AA334" s="3">
        <f>IF($Y334="",FALSE,AND($Y334&gt;p_dias_backlog_min,$Y334&lt;=p_dias_backlog_max))</f>
        <v/>
      </c>
      <c r="AB334" s="6" t="n"/>
      <c r="AC334" s="3">
        <f>IF($AB334="","",IFERROR(INDEX('ASIGNACIONES'!$F$4:$F$339,MATCH($O334&amp;"|"&amp;$R334&amp;"|"&amp;$AB334,'ASIGNACIONES'!$I$4:$I$339,0)),""))</f>
        <v/>
      </c>
      <c r="AD334" s="13">
        <f>IF($AB334="","",SUMIFS('ORDENES'!$M$4:$M$1203,'ORDENES'!$AB$4:$AB$1203,$AB334,'ORDENES'!$O$4:$O$1203,$O334,'ORDENES'!$R$4:$R$1203,$R334))</f>
        <v/>
      </c>
      <c r="AE334" s="13">
        <f>IF($AD334="","",p_factor_productividad*IFERROR(INDEX('ASIGNACIONES'!$H$4:$H$339,MATCH($O334&amp;"|"&amp;$R334&amp;"|"&amp;$AB334,'ASIGNACIONES'!$I$4:$I$339,0)),0)-$AD334)</f>
        <v/>
      </c>
      <c r="AF334" s="10">
        <f>IF($A334="","",IFERROR(INDEX('2_IMPORTAR_EJECUCION'!$F$9:$F$1208,MATCH($AN334,'2_IMPORTAR_EJECUCION'!$J$9:$J$1208,0)),0))</f>
        <v/>
      </c>
      <c r="AG334" s="10">
        <f>IF($A334="","",MAX(0,IFERROR(INDEX('2_IMPORTAR_EJECUCION'!$H$9:$H$1208,MATCH($AN334,'2_IMPORTAR_EJECUCION'!$J$9:$J$1208,0)),0)-$AF334))</f>
        <v/>
      </c>
      <c r="AH334" s="10">
        <f>IF($A334="","",$AF334+$AG334)</f>
        <v/>
      </c>
      <c r="AI334" s="6" t="n"/>
      <c r="AJ334" s="6" t="n"/>
      <c r="AK334" s="6" t="n"/>
      <c r="AL334" s="3">
        <f>IF($AK334="","",HYPERLINK(p_ruta_base_checklists&amp;$AK334,"abrir"))</f>
        <v/>
      </c>
      <c r="AM334" s="6" t="n"/>
      <c r="AN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1" t="n"/>
      <c r="K335" s="3" t="n"/>
      <c r="L335" s="10" t="n"/>
      <c r="M335" s="3">
        <f>IF($A335="","",IFERROR(INDEX('AJUSTES'!$B$4:$B$303,MATCH($AN335,'AJUSTES'!$A$4:$A$303,0)),IF($K335="","",$K335)))</f>
        <v/>
      </c>
      <c r="N335" s="3">
        <f>IF($A335="","",IFERROR(INDEX('CAT_ESTADOS_ERP'!$B$4:$B$7,MATCH(IFERROR(INDEX('2_IMPORTAR_EJECUCION'!$C$9:$C$1208,MATCH($AN335,'2_IMPORTAR_EJECUCION'!$J$9:$J$1208,0)),""),'CAT_ESTADOS_ERP'!$A$4:$A$7,0)),"Pendiente"))</f>
        <v/>
      </c>
      <c r="O335" s="3">
        <f>IF($J335="","",YEAR($J335+4-WEEKDAY($J335,2))&amp;"-S"&amp;TEXT(_xlfn.ISOWEEKNUM($J335),"00"))</f>
        <v/>
      </c>
      <c r="P335" s="3">
        <f>IF($J335="","",YEAR($J335))</f>
        <v/>
      </c>
      <c r="Q335" s="3">
        <f>IF($J335="","",MONTH($J335))</f>
        <v/>
      </c>
      <c r="R335" s="3">
        <f>IF($J335="","",INDEX(lista_dias,WEEKDAY($J335,2)))</f>
        <v/>
      </c>
      <c r="S335" s="3">
        <f>IF($I335="","",IFERROR(INDEX('CAT_TIPOS_OT'!$C$4:$C$7,MATCH($I335,'CAT_TIPOS_OT'!$A$4:$A$7,0)),"sin_clasificar"))</f>
        <v/>
      </c>
      <c r="T335" s="3">
        <f>IF($F335="","",IFERROR(INDEX('CAT_CENTROS_COSTO'!$E$4:$E$9,MATCH($F335,'CAT_CENTROS_COSTO'!$A$4:$A$9,0)),"(sin catálogo)"))</f>
        <v/>
      </c>
      <c r="U335" s="3">
        <f>IF($F335="","",IFERROR(INDEX('CAT_CENTROS_COSTO'!$D$4:$D$9,MATCH($F335,'CAT_CENTROS_COSTO'!$A$4:$A$9,0)),"(sin catálogo)"))</f>
        <v/>
      </c>
      <c r="V335" s="3">
        <f>IF($F335="","",IFERROR(INDEX('CAT_CENTROS_COSTO'!$F$4:$F$9,MATCH($F335,'CAT_CENTROS_COSTO'!$A$4:$A$9,0)),"(sin catálogo)"))</f>
        <v/>
      </c>
      <c r="W335" s="3">
        <f>IF($G335="","",IFERROR(INDEX('CAT_PUESTOS'!$B$4:$B$8,MATCH($G335,'CAT_PUESTOS'!$A$4:$A$8,0)),"(sin catálogo)"))</f>
        <v/>
      </c>
      <c r="X335" s="3">
        <f>IF($H335="","",IFERROR(INDEX('CAT_ACTIVIDADES'!$B$4:$B$8,MATCH($H335,'CAT_ACTIVIDADES'!$A$4:$A$8,0)),"(sin catálogo)"))</f>
        <v/>
      </c>
      <c r="Y335" s="12">
        <f>IF($J335="","",TODAY()-$J335)</f>
        <v/>
      </c>
      <c r="Z335" s="3">
        <f>IF($Y335="","",IF($Y335&lt;0,"FUTURO",IF($Y335&gt;p_dias_backlog_max,"BACKLOG","MES CORRIENTE")))</f>
        <v/>
      </c>
      <c r="AA335" s="3">
        <f>IF($Y335="",FALSE,AND($Y335&gt;p_dias_backlog_min,$Y335&lt;=p_dias_backlog_max))</f>
        <v/>
      </c>
      <c r="AB335" s="6" t="n"/>
      <c r="AC335" s="3">
        <f>IF($AB335="","",IFERROR(INDEX('ASIGNACIONES'!$F$4:$F$339,MATCH($O335&amp;"|"&amp;$R335&amp;"|"&amp;$AB335,'ASIGNACIONES'!$I$4:$I$339,0)),""))</f>
        <v/>
      </c>
      <c r="AD335" s="13">
        <f>IF($AB335="","",SUMIFS('ORDENES'!$M$4:$M$1203,'ORDENES'!$AB$4:$AB$1203,$AB335,'ORDENES'!$O$4:$O$1203,$O335,'ORDENES'!$R$4:$R$1203,$R335))</f>
        <v/>
      </c>
      <c r="AE335" s="13">
        <f>IF($AD335="","",p_factor_productividad*IFERROR(INDEX('ASIGNACIONES'!$H$4:$H$339,MATCH($O335&amp;"|"&amp;$R335&amp;"|"&amp;$AB335,'ASIGNACIONES'!$I$4:$I$339,0)),0)-$AD335)</f>
        <v/>
      </c>
      <c r="AF335" s="10">
        <f>IF($A335="","",IFERROR(INDEX('2_IMPORTAR_EJECUCION'!$F$9:$F$1208,MATCH($AN335,'2_IMPORTAR_EJECUCION'!$J$9:$J$1208,0)),0))</f>
        <v/>
      </c>
      <c r="AG335" s="10">
        <f>IF($A335="","",MAX(0,IFERROR(INDEX('2_IMPORTAR_EJECUCION'!$H$9:$H$1208,MATCH($AN335,'2_IMPORTAR_EJECUCION'!$J$9:$J$1208,0)),0)-$AF335))</f>
        <v/>
      </c>
      <c r="AH335" s="10">
        <f>IF($A335="","",$AF335+$AG335)</f>
        <v/>
      </c>
      <c r="AI335" s="6" t="n"/>
      <c r="AJ335" s="6" t="n"/>
      <c r="AK335" s="6" t="n"/>
      <c r="AL335" s="3">
        <f>IF($AK335="","",HYPERLINK(p_ruta_base_checklists&amp;$AK335,"abrir"))</f>
        <v/>
      </c>
      <c r="AM335" s="6" t="n"/>
      <c r="AN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1" t="n"/>
      <c r="K336" s="3" t="n"/>
      <c r="L336" s="10" t="n"/>
      <c r="M336" s="3">
        <f>IF($A336="","",IFERROR(INDEX('AJUSTES'!$B$4:$B$303,MATCH($AN336,'AJUSTES'!$A$4:$A$303,0)),IF($K336="","",$K336)))</f>
        <v/>
      </c>
      <c r="N336" s="3">
        <f>IF($A336="","",IFERROR(INDEX('CAT_ESTADOS_ERP'!$B$4:$B$7,MATCH(IFERROR(INDEX('2_IMPORTAR_EJECUCION'!$C$9:$C$1208,MATCH($AN336,'2_IMPORTAR_EJECUCION'!$J$9:$J$1208,0)),""),'CAT_ESTADOS_ERP'!$A$4:$A$7,0)),"Pendiente"))</f>
        <v/>
      </c>
      <c r="O336" s="3">
        <f>IF($J336="","",YEAR($J336+4-WEEKDAY($J336,2))&amp;"-S"&amp;TEXT(_xlfn.ISOWEEKNUM($J336),"00"))</f>
        <v/>
      </c>
      <c r="P336" s="3">
        <f>IF($J336="","",YEAR($J336))</f>
        <v/>
      </c>
      <c r="Q336" s="3">
        <f>IF($J336="","",MONTH($J336))</f>
        <v/>
      </c>
      <c r="R336" s="3">
        <f>IF($J336="","",INDEX(lista_dias,WEEKDAY($J336,2)))</f>
        <v/>
      </c>
      <c r="S336" s="3">
        <f>IF($I336="","",IFERROR(INDEX('CAT_TIPOS_OT'!$C$4:$C$7,MATCH($I336,'CAT_TIPOS_OT'!$A$4:$A$7,0)),"sin_clasificar"))</f>
        <v/>
      </c>
      <c r="T336" s="3">
        <f>IF($F336="","",IFERROR(INDEX('CAT_CENTROS_COSTO'!$E$4:$E$9,MATCH($F336,'CAT_CENTROS_COSTO'!$A$4:$A$9,0)),"(sin catálogo)"))</f>
        <v/>
      </c>
      <c r="U336" s="3">
        <f>IF($F336="","",IFERROR(INDEX('CAT_CENTROS_COSTO'!$D$4:$D$9,MATCH($F336,'CAT_CENTROS_COSTO'!$A$4:$A$9,0)),"(sin catálogo)"))</f>
        <v/>
      </c>
      <c r="V336" s="3">
        <f>IF($F336="","",IFERROR(INDEX('CAT_CENTROS_COSTO'!$F$4:$F$9,MATCH($F336,'CAT_CENTROS_COSTO'!$A$4:$A$9,0)),"(sin catálogo)"))</f>
        <v/>
      </c>
      <c r="W336" s="3">
        <f>IF($G336="","",IFERROR(INDEX('CAT_PUESTOS'!$B$4:$B$8,MATCH($G336,'CAT_PUESTOS'!$A$4:$A$8,0)),"(sin catálogo)"))</f>
        <v/>
      </c>
      <c r="X336" s="3">
        <f>IF($H336="","",IFERROR(INDEX('CAT_ACTIVIDADES'!$B$4:$B$8,MATCH($H336,'CAT_ACTIVIDADES'!$A$4:$A$8,0)),"(sin catálogo)"))</f>
        <v/>
      </c>
      <c r="Y336" s="12">
        <f>IF($J336="","",TODAY()-$J336)</f>
        <v/>
      </c>
      <c r="Z336" s="3">
        <f>IF($Y336="","",IF($Y336&lt;0,"FUTURO",IF($Y336&gt;p_dias_backlog_max,"BACKLOG","MES CORRIENTE")))</f>
        <v/>
      </c>
      <c r="AA336" s="3">
        <f>IF($Y336="",FALSE,AND($Y336&gt;p_dias_backlog_min,$Y336&lt;=p_dias_backlog_max))</f>
        <v/>
      </c>
      <c r="AB336" s="6" t="n"/>
      <c r="AC336" s="3">
        <f>IF($AB336="","",IFERROR(INDEX('ASIGNACIONES'!$F$4:$F$339,MATCH($O336&amp;"|"&amp;$R336&amp;"|"&amp;$AB336,'ASIGNACIONES'!$I$4:$I$339,0)),""))</f>
        <v/>
      </c>
      <c r="AD336" s="13">
        <f>IF($AB336="","",SUMIFS('ORDENES'!$M$4:$M$1203,'ORDENES'!$AB$4:$AB$1203,$AB336,'ORDENES'!$O$4:$O$1203,$O336,'ORDENES'!$R$4:$R$1203,$R336))</f>
        <v/>
      </c>
      <c r="AE336" s="13">
        <f>IF($AD336="","",p_factor_productividad*IFERROR(INDEX('ASIGNACIONES'!$H$4:$H$339,MATCH($O336&amp;"|"&amp;$R336&amp;"|"&amp;$AB336,'ASIGNACIONES'!$I$4:$I$339,0)),0)-$AD336)</f>
        <v/>
      </c>
      <c r="AF336" s="10">
        <f>IF($A336="","",IFERROR(INDEX('2_IMPORTAR_EJECUCION'!$F$9:$F$1208,MATCH($AN336,'2_IMPORTAR_EJECUCION'!$J$9:$J$1208,0)),0))</f>
        <v/>
      </c>
      <c r="AG336" s="10">
        <f>IF($A336="","",MAX(0,IFERROR(INDEX('2_IMPORTAR_EJECUCION'!$H$9:$H$1208,MATCH($AN336,'2_IMPORTAR_EJECUCION'!$J$9:$J$1208,0)),0)-$AF336))</f>
        <v/>
      </c>
      <c r="AH336" s="10">
        <f>IF($A336="","",$AF336+$AG336)</f>
        <v/>
      </c>
      <c r="AI336" s="6" t="n"/>
      <c r="AJ336" s="6" t="n"/>
      <c r="AK336" s="6" t="n"/>
      <c r="AL336" s="3">
        <f>IF($AK336="","",HYPERLINK(p_ruta_base_checklists&amp;$AK336,"abrir"))</f>
        <v/>
      </c>
      <c r="AM336" s="6" t="n"/>
      <c r="AN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1" t="n"/>
      <c r="K337" s="3" t="n"/>
      <c r="L337" s="10" t="n"/>
      <c r="M337" s="3">
        <f>IF($A337="","",IFERROR(INDEX('AJUSTES'!$B$4:$B$303,MATCH($AN337,'AJUSTES'!$A$4:$A$303,0)),IF($K337="","",$K337)))</f>
        <v/>
      </c>
      <c r="N337" s="3">
        <f>IF($A337="","",IFERROR(INDEX('CAT_ESTADOS_ERP'!$B$4:$B$7,MATCH(IFERROR(INDEX('2_IMPORTAR_EJECUCION'!$C$9:$C$1208,MATCH($AN337,'2_IMPORTAR_EJECUCION'!$J$9:$J$1208,0)),""),'CAT_ESTADOS_ERP'!$A$4:$A$7,0)),"Pendiente"))</f>
        <v/>
      </c>
      <c r="O337" s="3">
        <f>IF($J337="","",YEAR($J337+4-WEEKDAY($J337,2))&amp;"-S"&amp;TEXT(_xlfn.ISOWEEKNUM($J337),"00"))</f>
        <v/>
      </c>
      <c r="P337" s="3">
        <f>IF($J337="","",YEAR($J337))</f>
        <v/>
      </c>
      <c r="Q337" s="3">
        <f>IF($J337="","",MONTH($J337))</f>
        <v/>
      </c>
      <c r="R337" s="3">
        <f>IF($J337="","",INDEX(lista_dias,WEEKDAY($J337,2)))</f>
        <v/>
      </c>
      <c r="S337" s="3">
        <f>IF($I337="","",IFERROR(INDEX('CAT_TIPOS_OT'!$C$4:$C$7,MATCH($I337,'CAT_TIPOS_OT'!$A$4:$A$7,0)),"sin_clasificar"))</f>
        <v/>
      </c>
      <c r="T337" s="3">
        <f>IF($F337="","",IFERROR(INDEX('CAT_CENTROS_COSTO'!$E$4:$E$9,MATCH($F337,'CAT_CENTROS_COSTO'!$A$4:$A$9,0)),"(sin catálogo)"))</f>
        <v/>
      </c>
      <c r="U337" s="3">
        <f>IF($F337="","",IFERROR(INDEX('CAT_CENTROS_COSTO'!$D$4:$D$9,MATCH($F337,'CAT_CENTROS_COSTO'!$A$4:$A$9,0)),"(sin catálogo)"))</f>
        <v/>
      </c>
      <c r="V337" s="3">
        <f>IF($F337="","",IFERROR(INDEX('CAT_CENTROS_COSTO'!$F$4:$F$9,MATCH($F337,'CAT_CENTROS_COSTO'!$A$4:$A$9,0)),"(sin catálogo)"))</f>
        <v/>
      </c>
      <c r="W337" s="3">
        <f>IF($G337="","",IFERROR(INDEX('CAT_PUESTOS'!$B$4:$B$8,MATCH($G337,'CAT_PUESTOS'!$A$4:$A$8,0)),"(sin catálogo)"))</f>
        <v/>
      </c>
      <c r="X337" s="3">
        <f>IF($H337="","",IFERROR(INDEX('CAT_ACTIVIDADES'!$B$4:$B$8,MATCH($H337,'CAT_ACTIVIDADES'!$A$4:$A$8,0)),"(sin catálogo)"))</f>
        <v/>
      </c>
      <c r="Y337" s="12">
        <f>IF($J337="","",TODAY()-$J337)</f>
        <v/>
      </c>
      <c r="Z337" s="3">
        <f>IF($Y337="","",IF($Y337&lt;0,"FUTURO",IF($Y337&gt;p_dias_backlog_max,"BACKLOG","MES CORRIENTE")))</f>
        <v/>
      </c>
      <c r="AA337" s="3">
        <f>IF($Y337="",FALSE,AND($Y337&gt;p_dias_backlog_min,$Y337&lt;=p_dias_backlog_max))</f>
        <v/>
      </c>
      <c r="AB337" s="6" t="n"/>
      <c r="AC337" s="3">
        <f>IF($AB337="","",IFERROR(INDEX('ASIGNACIONES'!$F$4:$F$339,MATCH($O337&amp;"|"&amp;$R337&amp;"|"&amp;$AB337,'ASIGNACIONES'!$I$4:$I$339,0)),""))</f>
        <v/>
      </c>
      <c r="AD337" s="13">
        <f>IF($AB337="","",SUMIFS('ORDENES'!$M$4:$M$1203,'ORDENES'!$AB$4:$AB$1203,$AB337,'ORDENES'!$O$4:$O$1203,$O337,'ORDENES'!$R$4:$R$1203,$R337))</f>
        <v/>
      </c>
      <c r="AE337" s="13">
        <f>IF($AD337="","",p_factor_productividad*IFERROR(INDEX('ASIGNACIONES'!$H$4:$H$339,MATCH($O337&amp;"|"&amp;$R337&amp;"|"&amp;$AB337,'ASIGNACIONES'!$I$4:$I$339,0)),0)-$AD337)</f>
        <v/>
      </c>
      <c r="AF337" s="10">
        <f>IF($A337="","",IFERROR(INDEX('2_IMPORTAR_EJECUCION'!$F$9:$F$1208,MATCH($AN337,'2_IMPORTAR_EJECUCION'!$J$9:$J$1208,0)),0))</f>
        <v/>
      </c>
      <c r="AG337" s="10">
        <f>IF($A337="","",MAX(0,IFERROR(INDEX('2_IMPORTAR_EJECUCION'!$H$9:$H$1208,MATCH($AN337,'2_IMPORTAR_EJECUCION'!$J$9:$J$1208,0)),0)-$AF337))</f>
        <v/>
      </c>
      <c r="AH337" s="10">
        <f>IF($A337="","",$AF337+$AG337)</f>
        <v/>
      </c>
      <c r="AI337" s="6" t="n"/>
      <c r="AJ337" s="6" t="n"/>
      <c r="AK337" s="6" t="n"/>
      <c r="AL337" s="3">
        <f>IF($AK337="","",HYPERLINK(p_ruta_base_checklists&amp;$AK337,"abrir"))</f>
        <v/>
      </c>
      <c r="AM337" s="6" t="n"/>
      <c r="AN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1" t="n"/>
      <c r="K338" s="3" t="n"/>
      <c r="L338" s="10" t="n"/>
      <c r="M338" s="3">
        <f>IF($A338="","",IFERROR(INDEX('AJUSTES'!$B$4:$B$303,MATCH($AN338,'AJUSTES'!$A$4:$A$303,0)),IF($K338="","",$K338)))</f>
        <v/>
      </c>
      <c r="N338" s="3">
        <f>IF($A338="","",IFERROR(INDEX('CAT_ESTADOS_ERP'!$B$4:$B$7,MATCH(IFERROR(INDEX('2_IMPORTAR_EJECUCION'!$C$9:$C$1208,MATCH($AN338,'2_IMPORTAR_EJECUCION'!$J$9:$J$1208,0)),""),'CAT_ESTADOS_ERP'!$A$4:$A$7,0)),"Pendiente"))</f>
        <v/>
      </c>
      <c r="O338" s="3">
        <f>IF($J338="","",YEAR($J338+4-WEEKDAY($J338,2))&amp;"-S"&amp;TEXT(_xlfn.ISOWEEKNUM($J338),"00"))</f>
        <v/>
      </c>
      <c r="P338" s="3">
        <f>IF($J338="","",YEAR($J338))</f>
        <v/>
      </c>
      <c r="Q338" s="3">
        <f>IF($J338="","",MONTH($J338))</f>
        <v/>
      </c>
      <c r="R338" s="3">
        <f>IF($J338="","",INDEX(lista_dias,WEEKDAY($J338,2)))</f>
        <v/>
      </c>
      <c r="S338" s="3">
        <f>IF($I338="","",IFERROR(INDEX('CAT_TIPOS_OT'!$C$4:$C$7,MATCH($I338,'CAT_TIPOS_OT'!$A$4:$A$7,0)),"sin_clasificar"))</f>
        <v/>
      </c>
      <c r="T338" s="3">
        <f>IF($F338="","",IFERROR(INDEX('CAT_CENTROS_COSTO'!$E$4:$E$9,MATCH($F338,'CAT_CENTROS_COSTO'!$A$4:$A$9,0)),"(sin catálogo)"))</f>
        <v/>
      </c>
      <c r="U338" s="3">
        <f>IF($F338="","",IFERROR(INDEX('CAT_CENTROS_COSTO'!$D$4:$D$9,MATCH($F338,'CAT_CENTROS_COSTO'!$A$4:$A$9,0)),"(sin catálogo)"))</f>
        <v/>
      </c>
      <c r="V338" s="3">
        <f>IF($F338="","",IFERROR(INDEX('CAT_CENTROS_COSTO'!$F$4:$F$9,MATCH($F338,'CAT_CENTROS_COSTO'!$A$4:$A$9,0)),"(sin catálogo)"))</f>
        <v/>
      </c>
      <c r="W338" s="3">
        <f>IF($G338="","",IFERROR(INDEX('CAT_PUESTOS'!$B$4:$B$8,MATCH($G338,'CAT_PUESTOS'!$A$4:$A$8,0)),"(sin catálogo)"))</f>
        <v/>
      </c>
      <c r="X338" s="3">
        <f>IF($H338="","",IFERROR(INDEX('CAT_ACTIVIDADES'!$B$4:$B$8,MATCH($H338,'CAT_ACTIVIDADES'!$A$4:$A$8,0)),"(sin catálogo)"))</f>
        <v/>
      </c>
      <c r="Y338" s="12">
        <f>IF($J338="","",TODAY()-$J338)</f>
        <v/>
      </c>
      <c r="Z338" s="3">
        <f>IF($Y338="","",IF($Y338&lt;0,"FUTURO",IF($Y338&gt;p_dias_backlog_max,"BACKLOG","MES CORRIENTE")))</f>
        <v/>
      </c>
      <c r="AA338" s="3">
        <f>IF($Y338="",FALSE,AND($Y338&gt;p_dias_backlog_min,$Y338&lt;=p_dias_backlog_max))</f>
        <v/>
      </c>
      <c r="AB338" s="6" t="n"/>
      <c r="AC338" s="3">
        <f>IF($AB338="","",IFERROR(INDEX('ASIGNACIONES'!$F$4:$F$339,MATCH($O338&amp;"|"&amp;$R338&amp;"|"&amp;$AB338,'ASIGNACIONES'!$I$4:$I$339,0)),""))</f>
        <v/>
      </c>
      <c r="AD338" s="13">
        <f>IF($AB338="","",SUMIFS('ORDENES'!$M$4:$M$1203,'ORDENES'!$AB$4:$AB$1203,$AB338,'ORDENES'!$O$4:$O$1203,$O338,'ORDENES'!$R$4:$R$1203,$R338))</f>
        <v/>
      </c>
      <c r="AE338" s="13">
        <f>IF($AD338="","",p_factor_productividad*IFERROR(INDEX('ASIGNACIONES'!$H$4:$H$339,MATCH($O338&amp;"|"&amp;$R338&amp;"|"&amp;$AB338,'ASIGNACIONES'!$I$4:$I$339,0)),0)-$AD338)</f>
        <v/>
      </c>
      <c r="AF338" s="10">
        <f>IF($A338="","",IFERROR(INDEX('2_IMPORTAR_EJECUCION'!$F$9:$F$1208,MATCH($AN338,'2_IMPORTAR_EJECUCION'!$J$9:$J$1208,0)),0))</f>
        <v/>
      </c>
      <c r="AG338" s="10">
        <f>IF($A338="","",MAX(0,IFERROR(INDEX('2_IMPORTAR_EJECUCION'!$H$9:$H$1208,MATCH($AN338,'2_IMPORTAR_EJECUCION'!$J$9:$J$1208,0)),0)-$AF338))</f>
        <v/>
      </c>
      <c r="AH338" s="10">
        <f>IF($A338="","",$AF338+$AG338)</f>
        <v/>
      </c>
      <c r="AI338" s="6" t="n"/>
      <c r="AJ338" s="6" t="n"/>
      <c r="AK338" s="6" t="n"/>
      <c r="AL338" s="3">
        <f>IF($AK338="","",HYPERLINK(p_ruta_base_checklists&amp;$AK338,"abrir"))</f>
        <v/>
      </c>
      <c r="AM338" s="6" t="n"/>
      <c r="AN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1" t="n"/>
      <c r="K339" s="3" t="n"/>
      <c r="L339" s="10" t="n"/>
      <c r="M339" s="3">
        <f>IF($A339="","",IFERROR(INDEX('AJUSTES'!$B$4:$B$303,MATCH($AN339,'AJUSTES'!$A$4:$A$303,0)),IF($K339="","",$K339)))</f>
        <v/>
      </c>
      <c r="N339" s="3">
        <f>IF($A339="","",IFERROR(INDEX('CAT_ESTADOS_ERP'!$B$4:$B$7,MATCH(IFERROR(INDEX('2_IMPORTAR_EJECUCION'!$C$9:$C$1208,MATCH($AN339,'2_IMPORTAR_EJECUCION'!$J$9:$J$1208,0)),""),'CAT_ESTADOS_ERP'!$A$4:$A$7,0)),"Pendiente"))</f>
        <v/>
      </c>
      <c r="O339" s="3">
        <f>IF($J339="","",YEAR($J339+4-WEEKDAY($J339,2))&amp;"-S"&amp;TEXT(_xlfn.ISOWEEKNUM($J339),"00"))</f>
        <v/>
      </c>
      <c r="P339" s="3">
        <f>IF($J339="","",YEAR($J339))</f>
        <v/>
      </c>
      <c r="Q339" s="3">
        <f>IF($J339="","",MONTH($J339))</f>
        <v/>
      </c>
      <c r="R339" s="3">
        <f>IF($J339="","",INDEX(lista_dias,WEEKDAY($J339,2)))</f>
        <v/>
      </c>
      <c r="S339" s="3">
        <f>IF($I339="","",IFERROR(INDEX('CAT_TIPOS_OT'!$C$4:$C$7,MATCH($I339,'CAT_TIPOS_OT'!$A$4:$A$7,0)),"sin_clasificar"))</f>
        <v/>
      </c>
      <c r="T339" s="3">
        <f>IF($F339="","",IFERROR(INDEX('CAT_CENTROS_COSTO'!$E$4:$E$9,MATCH($F339,'CAT_CENTROS_COSTO'!$A$4:$A$9,0)),"(sin catálogo)"))</f>
        <v/>
      </c>
      <c r="U339" s="3">
        <f>IF($F339="","",IFERROR(INDEX('CAT_CENTROS_COSTO'!$D$4:$D$9,MATCH($F339,'CAT_CENTROS_COSTO'!$A$4:$A$9,0)),"(sin catálogo)"))</f>
        <v/>
      </c>
      <c r="V339" s="3">
        <f>IF($F339="","",IFERROR(INDEX('CAT_CENTROS_COSTO'!$F$4:$F$9,MATCH($F339,'CAT_CENTROS_COSTO'!$A$4:$A$9,0)),"(sin catálogo)"))</f>
        <v/>
      </c>
      <c r="W339" s="3">
        <f>IF($G339="","",IFERROR(INDEX('CAT_PUESTOS'!$B$4:$B$8,MATCH($G339,'CAT_PUESTOS'!$A$4:$A$8,0)),"(sin catálogo)"))</f>
        <v/>
      </c>
      <c r="X339" s="3">
        <f>IF($H339="","",IFERROR(INDEX('CAT_ACTIVIDADES'!$B$4:$B$8,MATCH($H339,'CAT_ACTIVIDADES'!$A$4:$A$8,0)),"(sin catálogo)"))</f>
        <v/>
      </c>
      <c r="Y339" s="12">
        <f>IF($J339="","",TODAY()-$J339)</f>
        <v/>
      </c>
      <c r="Z339" s="3">
        <f>IF($Y339="","",IF($Y339&lt;0,"FUTURO",IF($Y339&gt;p_dias_backlog_max,"BACKLOG","MES CORRIENTE")))</f>
        <v/>
      </c>
      <c r="AA339" s="3">
        <f>IF($Y339="",FALSE,AND($Y339&gt;p_dias_backlog_min,$Y339&lt;=p_dias_backlog_max))</f>
        <v/>
      </c>
      <c r="AB339" s="6" t="n"/>
      <c r="AC339" s="3">
        <f>IF($AB339="","",IFERROR(INDEX('ASIGNACIONES'!$F$4:$F$339,MATCH($O339&amp;"|"&amp;$R339&amp;"|"&amp;$AB339,'ASIGNACIONES'!$I$4:$I$339,0)),""))</f>
        <v/>
      </c>
      <c r="AD339" s="13">
        <f>IF($AB339="","",SUMIFS('ORDENES'!$M$4:$M$1203,'ORDENES'!$AB$4:$AB$1203,$AB339,'ORDENES'!$O$4:$O$1203,$O339,'ORDENES'!$R$4:$R$1203,$R339))</f>
        <v/>
      </c>
      <c r="AE339" s="13">
        <f>IF($AD339="","",p_factor_productividad*IFERROR(INDEX('ASIGNACIONES'!$H$4:$H$339,MATCH($O339&amp;"|"&amp;$R339&amp;"|"&amp;$AB339,'ASIGNACIONES'!$I$4:$I$339,0)),0)-$AD339)</f>
        <v/>
      </c>
      <c r="AF339" s="10">
        <f>IF($A339="","",IFERROR(INDEX('2_IMPORTAR_EJECUCION'!$F$9:$F$1208,MATCH($AN339,'2_IMPORTAR_EJECUCION'!$J$9:$J$1208,0)),0))</f>
        <v/>
      </c>
      <c r="AG339" s="10">
        <f>IF($A339="","",MAX(0,IFERROR(INDEX('2_IMPORTAR_EJECUCION'!$H$9:$H$1208,MATCH($AN339,'2_IMPORTAR_EJECUCION'!$J$9:$J$1208,0)),0)-$AF339))</f>
        <v/>
      </c>
      <c r="AH339" s="10">
        <f>IF($A339="","",$AF339+$AG339)</f>
        <v/>
      </c>
      <c r="AI339" s="6" t="n"/>
      <c r="AJ339" s="6" t="n"/>
      <c r="AK339" s="6" t="n"/>
      <c r="AL339" s="3">
        <f>IF($AK339="","",HYPERLINK(p_ruta_base_checklists&amp;$AK339,"abrir"))</f>
        <v/>
      </c>
      <c r="AM339" s="6" t="n"/>
      <c r="AN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1" t="n"/>
      <c r="K340" s="3" t="n"/>
      <c r="L340" s="10" t="n"/>
      <c r="M340" s="3">
        <f>IF($A340="","",IFERROR(INDEX('AJUSTES'!$B$4:$B$303,MATCH($AN340,'AJUSTES'!$A$4:$A$303,0)),IF($K340="","",$K340)))</f>
        <v/>
      </c>
      <c r="N340" s="3">
        <f>IF($A340="","",IFERROR(INDEX('CAT_ESTADOS_ERP'!$B$4:$B$7,MATCH(IFERROR(INDEX('2_IMPORTAR_EJECUCION'!$C$9:$C$1208,MATCH($AN340,'2_IMPORTAR_EJECUCION'!$J$9:$J$1208,0)),""),'CAT_ESTADOS_ERP'!$A$4:$A$7,0)),"Pendiente"))</f>
        <v/>
      </c>
      <c r="O340" s="3">
        <f>IF($J340="","",YEAR($J340+4-WEEKDAY($J340,2))&amp;"-S"&amp;TEXT(_xlfn.ISOWEEKNUM($J340),"00"))</f>
        <v/>
      </c>
      <c r="P340" s="3">
        <f>IF($J340="","",YEAR($J340))</f>
        <v/>
      </c>
      <c r="Q340" s="3">
        <f>IF($J340="","",MONTH($J340))</f>
        <v/>
      </c>
      <c r="R340" s="3">
        <f>IF($J340="","",INDEX(lista_dias,WEEKDAY($J340,2)))</f>
        <v/>
      </c>
      <c r="S340" s="3">
        <f>IF($I340="","",IFERROR(INDEX('CAT_TIPOS_OT'!$C$4:$C$7,MATCH($I340,'CAT_TIPOS_OT'!$A$4:$A$7,0)),"sin_clasificar"))</f>
        <v/>
      </c>
      <c r="T340" s="3">
        <f>IF($F340="","",IFERROR(INDEX('CAT_CENTROS_COSTO'!$E$4:$E$9,MATCH($F340,'CAT_CENTROS_COSTO'!$A$4:$A$9,0)),"(sin catálogo)"))</f>
        <v/>
      </c>
      <c r="U340" s="3">
        <f>IF($F340="","",IFERROR(INDEX('CAT_CENTROS_COSTO'!$D$4:$D$9,MATCH($F340,'CAT_CENTROS_COSTO'!$A$4:$A$9,0)),"(sin catálogo)"))</f>
        <v/>
      </c>
      <c r="V340" s="3">
        <f>IF($F340="","",IFERROR(INDEX('CAT_CENTROS_COSTO'!$F$4:$F$9,MATCH($F340,'CAT_CENTROS_COSTO'!$A$4:$A$9,0)),"(sin catálogo)"))</f>
        <v/>
      </c>
      <c r="W340" s="3">
        <f>IF($G340="","",IFERROR(INDEX('CAT_PUESTOS'!$B$4:$B$8,MATCH($G340,'CAT_PUESTOS'!$A$4:$A$8,0)),"(sin catálogo)"))</f>
        <v/>
      </c>
      <c r="X340" s="3">
        <f>IF($H340="","",IFERROR(INDEX('CAT_ACTIVIDADES'!$B$4:$B$8,MATCH($H340,'CAT_ACTIVIDADES'!$A$4:$A$8,0)),"(sin catálogo)"))</f>
        <v/>
      </c>
      <c r="Y340" s="12">
        <f>IF($J340="","",TODAY()-$J340)</f>
        <v/>
      </c>
      <c r="Z340" s="3">
        <f>IF($Y340="","",IF($Y340&lt;0,"FUTURO",IF($Y340&gt;p_dias_backlog_max,"BACKLOG","MES CORRIENTE")))</f>
        <v/>
      </c>
      <c r="AA340" s="3">
        <f>IF($Y340="",FALSE,AND($Y340&gt;p_dias_backlog_min,$Y340&lt;=p_dias_backlog_max))</f>
        <v/>
      </c>
      <c r="AB340" s="6" t="n"/>
      <c r="AC340" s="3">
        <f>IF($AB340="","",IFERROR(INDEX('ASIGNACIONES'!$F$4:$F$339,MATCH($O340&amp;"|"&amp;$R340&amp;"|"&amp;$AB340,'ASIGNACIONES'!$I$4:$I$339,0)),""))</f>
        <v/>
      </c>
      <c r="AD340" s="13">
        <f>IF($AB340="","",SUMIFS('ORDENES'!$M$4:$M$1203,'ORDENES'!$AB$4:$AB$1203,$AB340,'ORDENES'!$O$4:$O$1203,$O340,'ORDENES'!$R$4:$R$1203,$R340))</f>
        <v/>
      </c>
      <c r="AE340" s="13">
        <f>IF($AD340="","",p_factor_productividad*IFERROR(INDEX('ASIGNACIONES'!$H$4:$H$339,MATCH($O340&amp;"|"&amp;$R340&amp;"|"&amp;$AB340,'ASIGNACIONES'!$I$4:$I$339,0)),0)-$AD340)</f>
        <v/>
      </c>
      <c r="AF340" s="10">
        <f>IF($A340="","",IFERROR(INDEX('2_IMPORTAR_EJECUCION'!$F$9:$F$1208,MATCH($AN340,'2_IMPORTAR_EJECUCION'!$J$9:$J$1208,0)),0))</f>
        <v/>
      </c>
      <c r="AG340" s="10">
        <f>IF($A340="","",MAX(0,IFERROR(INDEX('2_IMPORTAR_EJECUCION'!$H$9:$H$1208,MATCH($AN340,'2_IMPORTAR_EJECUCION'!$J$9:$J$1208,0)),0)-$AF340))</f>
        <v/>
      </c>
      <c r="AH340" s="10">
        <f>IF($A340="","",$AF340+$AG340)</f>
        <v/>
      </c>
      <c r="AI340" s="6" t="n"/>
      <c r="AJ340" s="6" t="n"/>
      <c r="AK340" s="6" t="n"/>
      <c r="AL340" s="3">
        <f>IF($AK340="","",HYPERLINK(p_ruta_base_checklists&amp;$AK340,"abrir"))</f>
        <v/>
      </c>
      <c r="AM340" s="6" t="n"/>
      <c r="AN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1" t="n"/>
      <c r="K341" s="3" t="n"/>
      <c r="L341" s="10" t="n"/>
      <c r="M341" s="3">
        <f>IF($A341="","",IFERROR(INDEX('AJUSTES'!$B$4:$B$303,MATCH($AN341,'AJUSTES'!$A$4:$A$303,0)),IF($K341="","",$K341)))</f>
        <v/>
      </c>
      <c r="N341" s="3">
        <f>IF($A341="","",IFERROR(INDEX('CAT_ESTADOS_ERP'!$B$4:$B$7,MATCH(IFERROR(INDEX('2_IMPORTAR_EJECUCION'!$C$9:$C$1208,MATCH($AN341,'2_IMPORTAR_EJECUCION'!$J$9:$J$1208,0)),""),'CAT_ESTADOS_ERP'!$A$4:$A$7,0)),"Pendiente"))</f>
        <v/>
      </c>
      <c r="O341" s="3">
        <f>IF($J341="","",YEAR($J341+4-WEEKDAY($J341,2))&amp;"-S"&amp;TEXT(_xlfn.ISOWEEKNUM($J341),"00"))</f>
        <v/>
      </c>
      <c r="P341" s="3">
        <f>IF($J341="","",YEAR($J341))</f>
        <v/>
      </c>
      <c r="Q341" s="3">
        <f>IF($J341="","",MONTH($J341))</f>
        <v/>
      </c>
      <c r="R341" s="3">
        <f>IF($J341="","",INDEX(lista_dias,WEEKDAY($J341,2)))</f>
        <v/>
      </c>
      <c r="S341" s="3">
        <f>IF($I341="","",IFERROR(INDEX('CAT_TIPOS_OT'!$C$4:$C$7,MATCH($I341,'CAT_TIPOS_OT'!$A$4:$A$7,0)),"sin_clasificar"))</f>
        <v/>
      </c>
      <c r="T341" s="3">
        <f>IF($F341="","",IFERROR(INDEX('CAT_CENTROS_COSTO'!$E$4:$E$9,MATCH($F341,'CAT_CENTROS_COSTO'!$A$4:$A$9,0)),"(sin catálogo)"))</f>
        <v/>
      </c>
      <c r="U341" s="3">
        <f>IF($F341="","",IFERROR(INDEX('CAT_CENTROS_COSTO'!$D$4:$D$9,MATCH($F341,'CAT_CENTROS_COSTO'!$A$4:$A$9,0)),"(sin catálogo)"))</f>
        <v/>
      </c>
      <c r="V341" s="3">
        <f>IF($F341="","",IFERROR(INDEX('CAT_CENTROS_COSTO'!$F$4:$F$9,MATCH($F341,'CAT_CENTROS_COSTO'!$A$4:$A$9,0)),"(sin catálogo)"))</f>
        <v/>
      </c>
      <c r="W341" s="3">
        <f>IF($G341="","",IFERROR(INDEX('CAT_PUESTOS'!$B$4:$B$8,MATCH($G341,'CAT_PUESTOS'!$A$4:$A$8,0)),"(sin catálogo)"))</f>
        <v/>
      </c>
      <c r="X341" s="3">
        <f>IF($H341="","",IFERROR(INDEX('CAT_ACTIVIDADES'!$B$4:$B$8,MATCH($H341,'CAT_ACTIVIDADES'!$A$4:$A$8,0)),"(sin catálogo)"))</f>
        <v/>
      </c>
      <c r="Y341" s="12">
        <f>IF($J341="","",TODAY()-$J341)</f>
        <v/>
      </c>
      <c r="Z341" s="3">
        <f>IF($Y341="","",IF($Y341&lt;0,"FUTURO",IF($Y341&gt;p_dias_backlog_max,"BACKLOG","MES CORRIENTE")))</f>
        <v/>
      </c>
      <c r="AA341" s="3">
        <f>IF($Y341="",FALSE,AND($Y341&gt;p_dias_backlog_min,$Y341&lt;=p_dias_backlog_max))</f>
        <v/>
      </c>
      <c r="AB341" s="6" t="n"/>
      <c r="AC341" s="3">
        <f>IF($AB341="","",IFERROR(INDEX('ASIGNACIONES'!$F$4:$F$339,MATCH($O341&amp;"|"&amp;$R341&amp;"|"&amp;$AB341,'ASIGNACIONES'!$I$4:$I$339,0)),""))</f>
        <v/>
      </c>
      <c r="AD341" s="13">
        <f>IF($AB341="","",SUMIFS('ORDENES'!$M$4:$M$1203,'ORDENES'!$AB$4:$AB$1203,$AB341,'ORDENES'!$O$4:$O$1203,$O341,'ORDENES'!$R$4:$R$1203,$R341))</f>
        <v/>
      </c>
      <c r="AE341" s="13">
        <f>IF($AD341="","",p_factor_productividad*IFERROR(INDEX('ASIGNACIONES'!$H$4:$H$339,MATCH($O341&amp;"|"&amp;$R341&amp;"|"&amp;$AB341,'ASIGNACIONES'!$I$4:$I$339,0)),0)-$AD341)</f>
        <v/>
      </c>
      <c r="AF341" s="10">
        <f>IF($A341="","",IFERROR(INDEX('2_IMPORTAR_EJECUCION'!$F$9:$F$1208,MATCH($AN341,'2_IMPORTAR_EJECUCION'!$J$9:$J$1208,0)),0))</f>
        <v/>
      </c>
      <c r="AG341" s="10">
        <f>IF($A341="","",MAX(0,IFERROR(INDEX('2_IMPORTAR_EJECUCION'!$H$9:$H$1208,MATCH($AN341,'2_IMPORTAR_EJECUCION'!$J$9:$J$1208,0)),0)-$AF341))</f>
        <v/>
      </c>
      <c r="AH341" s="10">
        <f>IF($A341="","",$AF341+$AG341)</f>
        <v/>
      </c>
      <c r="AI341" s="6" t="n"/>
      <c r="AJ341" s="6" t="n"/>
      <c r="AK341" s="6" t="n"/>
      <c r="AL341" s="3">
        <f>IF($AK341="","",HYPERLINK(p_ruta_base_checklists&amp;$AK341,"abrir"))</f>
        <v/>
      </c>
      <c r="AM341" s="6" t="n"/>
      <c r="AN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1" t="n"/>
      <c r="K342" s="3" t="n"/>
      <c r="L342" s="10" t="n"/>
      <c r="M342" s="3">
        <f>IF($A342="","",IFERROR(INDEX('AJUSTES'!$B$4:$B$303,MATCH($AN342,'AJUSTES'!$A$4:$A$303,0)),IF($K342="","",$K342)))</f>
        <v/>
      </c>
      <c r="N342" s="3">
        <f>IF($A342="","",IFERROR(INDEX('CAT_ESTADOS_ERP'!$B$4:$B$7,MATCH(IFERROR(INDEX('2_IMPORTAR_EJECUCION'!$C$9:$C$1208,MATCH($AN342,'2_IMPORTAR_EJECUCION'!$J$9:$J$1208,0)),""),'CAT_ESTADOS_ERP'!$A$4:$A$7,0)),"Pendiente"))</f>
        <v/>
      </c>
      <c r="O342" s="3">
        <f>IF($J342="","",YEAR($J342+4-WEEKDAY($J342,2))&amp;"-S"&amp;TEXT(_xlfn.ISOWEEKNUM($J342),"00"))</f>
        <v/>
      </c>
      <c r="P342" s="3">
        <f>IF($J342="","",YEAR($J342))</f>
        <v/>
      </c>
      <c r="Q342" s="3">
        <f>IF($J342="","",MONTH($J342))</f>
        <v/>
      </c>
      <c r="R342" s="3">
        <f>IF($J342="","",INDEX(lista_dias,WEEKDAY($J342,2)))</f>
        <v/>
      </c>
      <c r="S342" s="3">
        <f>IF($I342="","",IFERROR(INDEX('CAT_TIPOS_OT'!$C$4:$C$7,MATCH($I342,'CAT_TIPOS_OT'!$A$4:$A$7,0)),"sin_clasificar"))</f>
        <v/>
      </c>
      <c r="T342" s="3">
        <f>IF($F342="","",IFERROR(INDEX('CAT_CENTROS_COSTO'!$E$4:$E$9,MATCH($F342,'CAT_CENTROS_COSTO'!$A$4:$A$9,0)),"(sin catálogo)"))</f>
        <v/>
      </c>
      <c r="U342" s="3">
        <f>IF($F342="","",IFERROR(INDEX('CAT_CENTROS_COSTO'!$D$4:$D$9,MATCH($F342,'CAT_CENTROS_COSTO'!$A$4:$A$9,0)),"(sin catálogo)"))</f>
        <v/>
      </c>
      <c r="V342" s="3">
        <f>IF($F342="","",IFERROR(INDEX('CAT_CENTROS_COSTO'!$F$4:$F$9,MATCH($F342,'CAT_CENTROS_COSTO'!$A$4:$A$9,0)),"(sin catálogo)"))</f>
        <v/>
      </c>
      <c r="W342" s="3">
        <f>IF($G342="","",IFERROR(INDEX('CAT_PUESTOS'!$B$4:$B$8,MATCH($G342,'CAT_PUESTOS'!$A$4:$A$8,0)),"(sin catálogo)"))</f>
        <v/>
      </c>
      <c r="X342" s="3">
        <f>IF($H342="","",IFERROR(INDEX('CAT_ACTIVIDADES'!$B$4:$B$8,MATCH($H342,'CAT_ACTIVIDADES'!$A$4:$A$8,0)),"(sin catálogo)"))</f>
        <v/>
      </c>
      <c r="Y342" s="12">
        <f>IF($J342="","",TODAY()-$J342)</f>
        <v/>
      </c>
      <c r="Z342" s="3">
        <f>IF($Y342="","",IF($Y342&lt;0,"FUTURO",IF($Y342&gt;p_dias_backlog_max,"BACKLOG","MES CORRIENTE")))</f>
        <v/>
      </c>
      <c r="AA342" s="3">
        <f>IF($Y342="",FALSE,AND($Y342&gt;p_dias_backlog_min,$Y342&lt;=p_dias_backlog_max))</f>
        <v/>
      </c>
      <c r="AB342" s="6" t="n"/>
      <c r="AC342" s="3">
        <f>IF($AB342="","",IFERROR(INDEX('ASIGNACIONES'!$F$4:$F$339,MATCH($O342&amp;"|"&amp;$R342&amp;"|"&amp;$AB342,'ASIGNACIONES'!$I$4:$I$339,0)),""))</f>
        <v/>
      </c>
      <c r="AD342" s="13">
        <f>IF($AB342="","",SUMIFS('ORDENES'!$M$4:$M$1203,'ORDENES'!$AB$4:$AB$1203,$AB342,'ORDENES'!$O$4:$O$1203,$O342,'ORDENES'!$R$4:$R$1203,$R342))</f>
        <v/>
      </c>
      <c r="AE342" s="13">
        <f>IF($AD342="","",p_factor_productividad*IFERROR(INDEX('ASIGNACIONES'!$H$4:$H$339,MATCH($O342&amp;"|"&amp;$R342&amp;"|"&amp;$AB342,'ASIGNACIONES'!$I$4:$I$339,0)),0)-$AD342)</f>
        <v/>
      </c>
      <c r="AF342" s="10">
        <f>IF($A342="","",IFERROR(INDEX('2_IMPORTAR_EJECUCION'!$F$9:$F$1208,MATCH($AN342,'2_IMPORTAR_EJECUCION'!$J$9:$J$1208,0)),0))</f>
        <v/>
      </c>
      <c r="AG342" s="10">
        <f>IF($A342="","",MAX(0,IFERROR(INDEX('2_IMPORTAR_EJECUCION'!$H$9:$H$1208,MATCH($AN342,'2_IMPORTAR_EJECUCION'!$J$9:$J$1208,0)),0)-$AF342))</f>
        <v/>
      </c>
      <c r="AH342" s="10">
        <f>IF($A342="","",$AF342+$AG342)</f>
        <v/>
      </c>
      <c r="AI342" s="6" t="n"/>
      <c r="AJ342" s="6" t="n"/>
      <c r="AK342" s="6" t="n"/>
      <c r="AL342" s="3">
        <f>IF($AK342="","",HYPERLINK(p_ruta_base_checklists&amp;$AK342,"abrir"))</f>
        <v/>
      </c>
      <c r="AM342" s="6" t="n"/>
      <c r="AN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1" t="n"/>
      <c r="K343" s="3" t="n"/>
      <c r="L343" s="10" t="n"/>
      <c r="M343" s="3">
        <f>IF($A343="","",IFERROR(INDEX('AJUSTES'!$B$4:$B$303,MATCH($AN343,'AJUSTES'!$A$4:$A$303,0)),IF($K343="","",$K343)))</f>
        <v/>
      </c>
      <c r="N343" s="3">
        <f>IF($A343="","",IFERROR(INDEX('CAT_ESTADOS_ERP'!$B$4:$B$7,MATCH(IFERROR(INDEX('2_IMPORTAR_EJECUCION'!$C$9:$C$1208,MATCH($AN343,'2_IMPORTAR_EJECUCION'!$J$9:$J$1208,0)),""),'CAT_ESTADOS_ERP'!$A$4:$A$7,0)),"Pendiente"))</f>
        <v/>
      </c>
      <c r="O343" s="3">
        <f>IF($J343="","",YEAR($J343+4-WEEKDAY($J343,2))&amp;"-S"&amp;TEXT(_xlfn.ISOWEEKNUM($J343),"00"))</f>
        <v/>
      </c>
      <c r="P343" s="3">
        <f>IF($J343="","",YEAR($J343))</f>
        <v/>
      </c>
      <c r="Q343" s="3">
        <f>IF($J343="","",MONTH($J343))</f>
        <v/>
      </c>
      <c r="R343" s="3">
        <f>IF($J343="","",INDEX(lista_dias,WEEKDAY($J343,2)))</f>
        <v/>
      </c>
      <c r="S343" s="3">
        <f>IF($I343="","",IFERROR(INDEX('CAT_TIPOS_OT'!$C$4:$C$7,MATCH($I343,'CAT_TIPOS_OT'!$A$4:$A$7,0)),"sin_clasificar"))</f>
        <v/>
      </c>
      <c r="T343" s="3">
        <f>IF($F343="","",IFERROR(INDEX('CAT_CENTROS_COSTO'!$E$4:$E$9,MATCH($F343,'CAT_CENTROS_COSTO'!$A$4:$A$9,0)),"(sin catálogo)"))</f>
        <v/>
      </c>
      <c r="U343" s="3">
        <f>IF($F343="","",IFERROR(INDEX('CAT_CENTROS_COSTO'!$D$4:$D$9,MATCH($F343,'CAT_CENTROS_COSTO'!$A$4:$A$9,0)),"(sin catálogo)"))</f>
        <v/>
      </c>
      <c r="V343" s="3">
        <f>IF($F343="","",IFERROR(INDEX('CAT_CENTROS_COSTO'!$F$4:$F$9,MATCH($F343,'CAT_CENTROS_COSTO'!$A$4:$A$9,0)),"(sin catálogo)"))</f>
        <v/>
      </c>
      <c r="W343" s="3">
        <f>IF($G343="","",IFERROR(INDEX('CAT_PUESTOS'!$B$4:$B$8,MATCH($G343,'CAT_PUESTOS'!$A$4:$A$8,0)),"(sin catálogo)"))</f>
        <v/>
      </c>
      <c r="X343" s="3">
        <f>IF($H343="","",IFERROR(INDEX('CAT_ACTIVIDADES'!$B$4:$B$8,MATCH($H343,'CAT_ACTIVIDADES'!$A$4:$A$8,0)),"(sin catálogo)"))</f>
        <v/>
      </c>
      <c r="Y343" s="12">
        <f>IF($J343="","",TODAY()-$J343)</f>
        <v/>
      </c>
      <c r="Z343" s="3">
        <f>IF($Y343="","",IF($Y343&lt;0,"FUTURO",IF($Y343&gt;p_dias_backlog_max,"BACKLOG","MES CORRIENTE")))</f>
        <v/>
      </c>
      <c r="AA343" s="3">
        <f>IF($Y343="",FALSE,AND($Y343&gt;p_dias_backlog_min,$Y343&lt;=p_dias_backlog_max))</f>
        <v/>
      </c>
      <c r="AB343" s="6" t="n"/>
      <c r="AC343" s="3">
        <f>IF($AB343="","",IFERROR(INDEX('ASIGNACIONES'!$F$4:$F$339,MATCH($O343&amp;"|"&amp;$R343&amp;"|"&amp;$AB343,'ASIGNACIONES'!$I$4:$I$339,0)),""))</f>
        <v/>
      </c>
      <c r="AD343" s="13">
        <f>IF($AB343="","",SUMIFS('ORDENES'!$M$4:$M$1203,'ORDENES'!$AB$4:$AB$1203,$AB343,'ORDENES'!$O$4:$O$1203,$O343,'ORDENES'!$R$4:$R$1203,$R343))</f>
        <v/>
      </c>
      <c r="AE343" s="13">
        <f>IF($AD343="","",p_factor_productividad*IFERROR(INDEX('ASIGNACIONES'!$H$4:$H$339,MATCH($O343&amp;"|"&amp;$R343&amp;"|"&amp;$AB343,'ASIGNACIONES'!$I$4:$I$339,0)),0)-$AD343)</f>
        <v/>
      </c>
      <c r="AF343" s="10">
        <f>IF($A343="","",IFERROR(INDEX('2_IMPORTAR_EJECUCION'!$F$9:$F$1208,MATCH($AN343,'2_IMPORTAR_EJECUCION'!$J$9:$J$1208,0)),0))</f>
        <v/>
      </c>
      <c r="AG343" s="10">
        <f>IF($A343="","",MAX(0,IFERROR(INDEX('2_IMPORTAR_EJECUCION'!$H$9:$H$1208,MATCH($AN343,'2_IMPORTAR_EJECUCION'!$J$9:$J$1208,0)),0)-$AF343))</f>
        <v/>
      </c>
      <c r="AH343" s="10">
        <f>IF($A343="","",$AF343+$AG343)</f>
        <v/>
      </c>
      <c r="AI343" s="6" t="n"/>
      <c r="AJ343" s="6" t="n"/>
      <c r="AK343" s="6" t="n"/>
      <c r="AL343" s="3">
        <f>IF($AK343="","",HYPERLINK(p_ruta_base_checklists&amp;$AK343,"abrir"))</f>
        <v/>
      </c>
      <c r="AM343" s="6" t="n"/>
      <c r="AN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1" t="n"/>
      <c r="K344" s="3" t="n"/>
      <c r="L344" s="10" t="n"/>
      <c r="M344" s="3">
        <f>IF($A344="","",IFERROR(INDEX('AJUSTES'!$B$4:$B$303,MATCH($AN344,'AJUSTES'!$A$4:$A$303,0)),IF($K344="","",$K344)))</f>
        <v/>
      </c>
      <c r="N344" s="3">
        <f>IF($A344="","",IFERROR(INDEX('CAT_ESTADOS_ERP'!$B$4:$B$7,MATCH(IFERROR(INDEX('2_IMPORTAR_EJECUCION'!$C$9:$C$1208,MATCH($AN344,'2_IMPORTAR_EJECUCION'!$J$9:$J$1208,0)),""),'CAT_ESTADOS_ERP'!$A$4:$A$7,0)),"Pendiente"))</f>
        <v/>
      </c>
      <c r="O344" s="3">
        <f>IF($J344="","",YEAR($J344+4-WEEKDAY($J344,2))&amp;"-S"&amp;TEXT(_xlfn.ISOWEEKNUM($J344),"00"))</f>
        <v/>
      </c>
      <c r="P344" s="3">
        <f>IF($J344="","",YEAR($J344))</f>
        <v/>
      </c>
      <c r="Q344" s="3">
        <f>IF($J344="","",MONTH($J344))</f>
        <v/>
      </c>
      <c r="R344" s="3">
        <f>IF($J344="","",INDEX(lista_dias,WEEKDAY($J344,2)))</f>
        <v/>
      </c>
      <c r="S344" s="3">
        <f>IF($I344="","",IFERROR(INDEX('CAT_TIPOS_OT'!$C$4:$C$7,MATCH($I344,'CAT_TIPOS_OT'!$A$4:$A$7,0)),"sin_clasificar"))</f>
        <v/>
      </c>
      <c r="T344" s="3">
        <f>IF($F344="","",IFERROR(INDEX('CAT_CENTROS_COSTO'!$E$4:$E$9,MATCH($F344,'CAT_CENTROS_COSTO'!$A$4:$A$9,0)),"(sin catálogo)"))</f>
        <v/>
      </c>
      <c r="U344" s="3">
        <f>IF($F344="","",IFERROR(INDEX('CAT_CENTROS_COSTO'!$D$4:$D$9,MATCH($F344,'CAT_CENTROS_COSTO'!$A$4:$A$9,0)),"(sin catálogo)"))</f>
        <v/>
      </c>
      <c r="V344" s="3">
        <f>IF($F344="","",IFERROR(INDEX('CAT_CENTROS_COSTO'!$F$4:$F$9,MATCH($F344,'CAT_CENTROS_COSTO'!$A$4:$A$9,0)),"(sin catálogo)"))</f>
        <v/>
      </c>
      <c r="W344" s="3">
        <f>IF($G344="","",IFERROR(INDEX('CAT_PUESTOS'!$B$4:$B$8,MATCH($G344,'CAT_PUESTOS'!$A$4:$A$8,0)),"(sin catálogo)"))</f>
        <v/>
      </c>
      <c r="X344" s="3">
        <f>IF($H344="","",IFERROR(INDEX('CAT_ACTIVIDADES'!$B$4:$B$8,MATCH($H344,'CAT_ACTIVIDADES'!$A$4:$A$8,0)),"(sin catálogo)"))</f>
        <v/>
      </c>
      <c r="Y344" s="12">
        <f>IF($J344="","",TODAY()-$J344)</f>
        <v/>
      </c>
      <c r="Z344" s="3">
        <f>IF($Y344="","",IF($Y344&lt;0,"FUTURO",IF($Y344&gt;p_dias_backlog_max,"BACKLOG","MES CORRIENTE")))</f>
        <v/>
      </c>
      <c r="AA344" s="3">
        <f>IF($Y344="",FALSE,AND($Y344&gt;p_dias_backlog_min,$Y344&lt;=p_dias_backlog_max))</f>
        <v/>
      </c>
      <c r="AB344" s="6" t="n"/>
      <c r="AC344" s="3">
        <f>IF($AB344="","",IFERROR(INDEX('ASIGNACIONES'!$F$4:$F$339,MATCH($O344&amp;"|"&amp;$R344&amp;"|"&amp;$AB344,'ASIGNACIONES'!$I$4:$I$339,0)),""))</f>
        <v/>
      </c>
      <c r="AD344" s="13">
        <f>IF($AB344="","",SUMIFS('ORDENES'!$M$4:$M$1203,'ORDENES'!$AB$4:$AB$1203,$AB344,'ORDENES'!$O$4:$O$1203,$O344,'ORDENES'!$R$4:$R$1203,$R344))</f>
        <v/>
      </c>
      <c r="AE344" s="13">
        <f>IF($AD344="","",p_factor_productividad*IFERROR(INDEX('ASIGNACIONES'!$H$4:$H$339,MATCH($O344&amp;"|"&amp;$R344&amp;"|"&amp;$AB344,'ASIGNACIONES'!$I$4:$I$339,0)),0)-$AD344)</f>
        <v/>
      </c>
      <c r="AF344" s="10">
        <f>IF($A344="","",IFERROR(INDEX('2_IMPORTAR_EJECUCION'!$F$9:$F$1208,MATCH($AN344,'2_IMPORTAR_EJECUCION'!$J$9:$J$1208,0)),0))</f>
        <v/>
      </c>
      <c r="AG344" s="10">
        <f>IF($A344="","",MAX(0,IFERROR(INDEX('2_IMPORTAR_EJECUCION'!$H$9:$H$1208,MATCH($AN344,'2_IMPORTAR_EJECUCION'!$J$9:$J$1208,0)),0)-$AF344))</f>
        <v/>
      </c>
      <c r="AH344" s="10">
        <f>IF($A344="","",$AF344+$AG344)</f>
        <v/>
      </c>
      <c r="AI344" s="6" t="n"/>
      <c r="AJ344" s="6" t="n"/>
      <c r="AK344" s="6" t="n"/>
      <c r="AL344" s="3">
        <f>IF($AK344="","",HYPERLINK(p_ruta_base_checklists&amp;$AK344,"abrir"))</f>
        <v/>
      </c>
      <c r="AM344" s="6" t="n"/>
      <c r="AN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1" t="n"/>
      <c r="K345" s="3" t="n"/>
      <c r="L345" s="10" t="n"/>
      <c r="M345" s="3">
        <f>IF($A345="","",IFERROR(INDEX('AJUSTES'!$B$4:$B$303,MATCH($AN345,'AJUSTES'!$A$4:$A$303,0)),IF($K345="","",$K345)))</f>
        <v/>
      </c>
      <c r="N345" s="3">
        <f>IF($A345="","",IFERROR(INDEX('CAT_ESTADOS_ERP'!$B$4:$B$7,MATCH(IFERROR(INDEX('2_IMPORTAR_EJECUCION'!$C$9:$C$1208,MATCH($AN345,'2_IMPORTAR_EJECUCION'!$J$9:$J$1208,0)),""),'CAT_ESTADOS_ERP'!$A$4:$A$7,0)),"Pendiente"))</f>
        <v/>
      </c>
      <c r="O345" s="3">
        <f>IF($J345="","",YEAR($J345+4-WEEKDAY($J345,2))&amp;"-S"&amp;TEXT(_xlfn.ISOWEEKNUM($J345),"00"))</f>
        <v/>
      </c>
      <c r="P345" s="3">
        <f>IF($J345="","",YEAR($J345))</f>
        <v/>
      </c>
      <c r="Q345" s="3">
        <f>IF($J345="","",MONTH($J345))</f>
        <v/>
      </c>
      <c r="R345" s="3">
        <f>IF($J345="","",INDEX(lista_dias,WEEKDAY($J345,2)))</f>
        <v/>
      </c>
      <c r="S345" s="3">
        <f>IF($I345="","",IFERROR(INDEX('CAT_TIPOS_OT'!$C$4:$C$7,MATCH($I345,'CAT_TIPOS_OT'!$A$4:$A$7,0)),"sin_clasificar"))</f>
        <v/>
      </c>
      <c r="T345" s="3">
        <f>IF($F345="","",IFERROR(INDEX('CAT_CENTROS_COSTO'!$E$4:$E$9,MATCH($F345,'CAT_CENTROS_COSTO'!$A$4:$A$9,0)),"(sin catálogo)"))</f>
        <v/>
      </c>
      <c r="U345" s="3">
        <f>IF($F345="","",IFERROR(INDEX('CAT_CENTROS_COSTO'!$D$4:$D$9,MATCH($F345,'CAT_CENTROS_COSTO'!$A$4:$A$9,0)),"(sin catálogo)"))</f>
        <v/>
      </c>
      <c r="V345" s="3">
        <f>IF($F345="","",IFERROR(INDEX('CAT_CENTROS_COSTO'!$F$4:$F$9,MATCH($F345,'CAT_CENTROS_COSTO'!$A$4:$A$9,0)),"(sin catálogo)"))</f>
        <v/>
      </c>
      <c r="W345" s="3">
        <f>IF($G345="","",IFERROR(INDEX('CAT_PUESTOS'!$B$4:$B$8,MATCH($G345,'CAT_PUESTOS'!$A$4:$A$8,0)),"(sin catálogo)"))</f>
        <v/>
      </c>
      <c r="X345" s="3">
        <f>IF($H345="","",IFERROR(INDEX('CAT_ACTIVIDADES'!$B$4:$B$8,MATCH($H345,'CAT_ACTIVIDADES'!$A$4:$A$8,0)),"(sin catálogo)"))</f>
        <v/>
      </c>
      <c r="Y345" s="12">
        <f>IF($J345="","",TODAY()-$J345)</f>
        <v/>
      </c>
      <c r="Z345" s="3">
        <f>IF($Y345="","",IF($Y345&lt;0,"FUTURO",IF($Y345&gt;p_dias_backlog_max,"BACKLOG","MES CORRIENTE")))</f>
        <v/>
      </c>
      <c r="AA345" s="3">
        <f>IF($Y345="",FALSE,AND($Y345&gt;p_dias_backlog_min,$Y345&lt;=p_dias_backlog_max))</f>
        <v/>
      </c>
      <c r="AB345" s="6" t="n"/>
      <c r="AC345" s="3">
        <f>IF($AB345="","",IFERROR(INDEX('ASIGNACIONES'!$F$4:$F$339,MATCH($O345&amp;"|"&amp;$R345&amp;"|"&amp;$AB345,'ASIGNACIONES'!$I$4:$I$339,0)),""))</f>
        <v/>
      </c>
      <c r="AD345" s="13">
        <f>IF($AB345="","",SUMIFS('ORDENES'!$M$4:$M$1203,'ORDENES'!$AB$4:$AB$1203,$AB345,'ORDENES'!$O$4:$O$1203,$O345,'ORDENES'!$R$4:$R$1203,$R345))</f>
        <v/>
      </c>
      <c r="AE345" s="13">
        <f>IF($AD345="","",p_factor_productividad*IFERROR(INDEX('ASIGNACIONES'!$H$4:$H$339,MATCH($O345&amp;"|"&amp;$R345&amp;"|"&amp;$AB345,'ASIGNACIONES'!$I$4:$I$339,0)),0)-$AD345)</f>
        <v/>
      </c>
      <c r="AF345" s="10">
        <f>IF($A345="","",IFERROR(INDEX('2_IMPORTAR_EJECUCION'!$F$9:$F$1208,MATCH($AN345,'2_IMPORTAR_EJECUCION'!$J$9:$J$1208,0)),0))</f>
        <v/>
      </c>
      <c r="AG345" s="10">
        <f>IF($A345="","",MAX(0,IFERROR(INDEX('2_IMPORTAR_EJECUCION'!$H$9:$H$1208,MATCH($AN345,'2_IMPORTAR_EJECUCION'!$J$9:$J$1208,0)),0)-$AF345))</f>
        <v/>
      </c>
      <c r="AH345" s="10">
        <f>IF($A345="","",$AF345+$AG345)</f>
        <v/>
      </c>
      <c r="AI345" s="6" t="n"/>
      <c r="AJ345" s="6" t="n"/>
      <c r="AK345" s="6" t="n"/>
      <c r="AL345" s="3">
        <f>IF($AK345="","",HYPERLINK(p_ruta_base_checklists&amp;$AK345,"abrir"))</f>
        <v/>
      </c>
      <c r="AM345" s="6" t="n"/>
      <c r="AN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1" t="n"/>
      <c r="K346" s="3" t="n"/>
      <c r="L346" s="10" t="n"/>
      <c r="M346" s="3">
        <f>IF($A346="","",IFERROR(INDEX('AJUSTES'!$B$4:$B$303,MATCH($AN346,'AJUSTES'!$A$4:$A$303,0)),IF($K346="","",$K346)))</f>
        <v/>
      </c>
      <c r="N346" s="3">
        <f>IF($A346="","",IFERROR(INDEX('CAT_ESTADOS_ERP'!$B$4:$B$7,MATCH(IFERROR(INDEX('2_IMPORTAR_EJECUCION'!$C$9:$C$1208,MATCH($AN346,'2_IMPORTAR_EJECUCION'!$J$9:$J$1208,0)),""),'CAT_ESTADOS_ERP'!$A$4:$A$7,0)),"Pendiente"))</f>
        <v/>
      </c>
      <c r="O346" s="3">
        <f>IF($J346="","",YEAR($J346+4-WEEKDAY($J346,2))&amp;"-S"&amp;TEXT(_xlfn.ISOWEEKNUM($J346),"00"))</f>
        <v/>
      </c>
      <c r="P346" s="3">
        <f>IF($J346="","",YEAR($J346))</f>
        <v/>
      </c>
      <c r="Q346" s="3">
        <f>IF($J346="","",MONTH($J346))</f>
        <v/>
      </c>
      <c r="R346" s="3">
        <f>IF($J346="","",INDEX(lista_dias,WEEKDAY($J346,2)))</f>
        <v/>
      </c>
      <c r="S346" s="3">
        <f>IF($I346="","",IFERROR(INDEX('CAT_TIPOS_OT'!$C$4:$C$7,MATCH($I346,'CAT_TIPOS_OT'!$A$4:$A$7,0)),"sin_clasificar"))</f>
        <v/>
      </c>
      <c r="T346" s="3">
        <f>IF($F346="","",IFERROR(INDEX('CAT_CENTROS_COSTO'!$E$4:$E$9,MATCH($F346,'CAT_CENTROS_COSTO'!$A$4:$A$9,0)),"(sin catálogo)"))</f>
        <v/>
      </c>
      <c r="U346" s="3">
        <f>IF($F346="","",IFERROR(INDEX('CAT_CENTROS_COSTO'!$D$4:$D$9,MATCH($F346,'CAT_CENTROS_COSTO'!$A$4:$A$9,0)),"(sin catálogo)"))</f>
        <v/>
      </c>
      <c r="V346" s="3">
        <f>IF($F346="","",IFERROR(INDEX('CAT_CENTROS_COSTO'!$F$4:$F$9,MATCH($F346,'CAT_CENTROS_COSTO'!$A$4:$A$9,0)),"(sin catálogo)"))</f>
        <v/>
      </c>
      <c r="W346" s="3">
        <f>IF($G346="","",IFERROR(INDEX('CAT_PUESTOS'!$B$4:$B$8,MATCH($G346,'CAT_PUESTOS'!$A$4:$A$8,0)),"(sin catálogo)"))</f>
        <v/>
      </c>
      <c r="X346" s="3">
        <f>IF($H346="","",IFERROR(INDEX('CAT_ACTIVIDADES'!$B$4:$B$8,MATCH($H346,'CAT_ACTIVIDADES'!$A$4:$A$8,0)),"(sin catálogo)"))</f>
        <v/>
      </c>
      <c r="Y346" s="12">
        <f>IF($J346="","",TODAY()-$J346)</f>
        <v/>
      </c>
      <c r="Z346" s="3">
        <f>IF($Y346="","",IF($Y346&lt;0,"FUTURO",IF($Y346&gt;p_dias_backlog_max,"BACKLOG","MES CORRIENTE")))</f>
        <v/>
      </c>
      <c r="AA346" s="3">
        <f>IF($Y346="",FALSE,AND($Y346&gt;p_dias_backlog_min,$Y346&lt;=p_dias_backlog_max))</f>
        <v/>
      </c>
      <c r="AB346" s="6" t="n"/>
      <c r="AC346" s="3">
        <f>IF($AB346="","",IFERROR(INDEX('ASIGNACIONES'!$F$4:$F$339,MATCH($O346&amp;"|"&amp;$R346&amp;"|"&amp;$AB346,'ASIGNACIONES'!$I$4:$I$339,0)),""))</f>
        <v/>
      </c>
      <c r="AD346" s="13">
        <f>IF($AB346="","",SUMIFS('ORDENES'!$M$4:$M$1203,'ORDENES'!$AB$4:$AB$1203,$AB346,'ORDENES'!$O$4:$O$1203,$O346,'ORDENES'!$R$4:$R$1203,$R346))</f>
        <v/>
      </c>
      <c r="AE346" s="13">
        <f>IF($AD346="","",p_factor_productividad*IFERROR(INDEX('ASIGNACIONES'!$H$4:$H$339,MATCH($O346&amp;"|"&amp;$R346&amp;"|"&amp;$AB346,'ASIGNACIONES'!$I$4:$I$339,0)),0)-$AD346)</f>
        <v/>
      </c>
      <c r="AF346" s="10">
        <f>IF($A346="","",IFERROR(INDEX('2_IMPORTAR_EJECUCION'!$F$9:$F$1208,MATCH($AN346,'2_IMPORTAR_EJECUCION'!$J$9:$J$1208,0)),0))</f>
        <v/>
      </c>
      <c r="AG346" s="10">
        <f>IF($A346="","",MAX(0,IFERROR(INDEX('2_IMPORTAR_EJECUCION'!$H$9:$H$1208,MATCH($AN346,'2_IMPORTAR_EJECUCION'!$J$9:$J$1208,0)),0)-$AF346))</f>
        <v/>
      </c>
      <c r="AH346" s="10">
        <f>IF($A346="","",$AF346+$AG346)</f>
        <v/>
      </c>
      <c r="AI346" s="6" t="n"/>
      <c r="AJ346" s="6" t="n"/>
      <c r="AK346" s="6" t="n"/>
      <c r="AL346" s="3">
        <f>IF($AK346="","",HYPERLINK(p_ruta_base_checklists&amp;$AK346,"abrir"))</f>
        <v/>
      </c>
      <c r="AM346" s="6" t="n"/>
      <c r="AN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1" t="n"/>
      <c r="K347" s="3" t="n"/>
      <c r="L347" s="10" t="n"/>
      <c r="M347" s="3">
        <f>IF($A347="","",IFERROR(INDEX('AJUSTES'!$B$4:$B$303,MATCH($AN347,'AJUSTES'!$A$4:$A$303,0)),IF($K347="","",$K347)))</f>
        <v/>
      </c>
      <c r="N347" s="3">
        <f>IF($A347="","",IFERROR(INDEX('CAT_ESTADOS_ERP'!$B$4:$B$7,MATCH(IFERROR(INDEX('2_IMPORTAR_EJECUCION'!$C$9:$C$1208,MATCH($AN347,'2_IMPORTAR_EJECUCION'!$J$9:$J$1208,0)),""),'CAT_ESTADOS_ERP'!$A$4:$A$7,0)),"Pendiente"))</f>
        <v/>
      </c>
      <c r="O347" s="3">
        <f>IF($J347="","",YEAR($J347+4-WEEKDAY($J347,2))&amp;"-S"&amp;TEXT(_xlfn.ISOWEEKNUM($J347),"00"))</f>
        <v/>
      </c>
      <c r="P347" s="3">
        <f>IF($J347="","",YEAR($J347))</f>
        <v/>
      </c>
      <c r="Q347" s="3">
        <f>IF($J347="","",MONTH($J347))</f>
        <v/>
      </c>
      <c r="R347" s="3">
        <f>IF($J347="","",INDEX(lista_dias,WEEKDAY($J347,2)))</f>
        <v/>
      </c>
      <c r="S347" s="3">
        <f>IF($I347="","",IFERROR(INDEX('CAT_TIPOS_OT'!$C$4:$C$7,MATCH($I347,'CAT_TIPOS_OT'!$A$4:$A$7,0)),"sin_clasificar"))</f>
        <v/>
      </c>
      <c r="T347" s="3">
        <f>IF($F347="","",IFERROR(INDEX('CAT_CENTROS_COSTO'!$E$4:$E$9,MATCH($F347,'CAT_CENTROS_COSTO'!$A$4:$A$9,0)),"(sin catálogo)"))</f>
        <v/>
      </c>
      <c r="U347" s="3">
        <f>IF($F347="","",IFERROR(INDEX('CAT_CENTROS_COSTO'!$D$4:$D$9,MATCH($F347,'CAT_CENTROS_COSTO'!$A$4:$A$9,0)),"(sin catálogo)"))</f>
        <v/>
      </c>
      <c r="V347" s="3">
        <f>IF($F347="","",IFERROR(INDEX('CAT_CENTROS_COSTO'!$F$4:$F$9,MATCH($F347,'CAT_CENTROS_COSTO'!$A$4:$A$9,0)),"(sin catálogo)"))</f>
        <v/>
      </c>
      <c r="W347" s="3">
        <f>IF($G347="","",IFERROR(INDEX('CAT_PUESTOS'!$B$4:$B$8,MATCH($G347,'CAT_PUESTOS'!$A$4:$A$8,0)),"(sin catálogo)"))</f>
        <v/>
      </c>
      <c r="X347" s="3">
        <f>IF($H347="","",IFERROR(INDEX('CAT_ACTIVIDADES'!$B$4:$B$8,MATCH($H347,'CAT_ACTIVIDADES'!$A$4:$A$8,0)),"(sin catálogo)"))</f>
        <v/>
      </c>
      <c r="Y347" s="12">
        <f>IF($J347="","",TODAY()-$J347)</f>
        <v/>
      </c>
      <c r="Z347" s="3">
        <f>IF($Y347="","",IF($Y347&lt;0,"FUTURO",IF($Y347&gt;p_dias_backlog_max,"BACKLOG","MES CORRIENTE")))</f>
        <v/>
      </c>
      <c r="AA347" s="3">
        <f>IF($Y347="",FALSE,AND($Y347&gt;p_dias_backlog_min,$Y347&lt;=p_dias_backlog_max))</f>
        <v/>
      </c>
      <c r="AB347" s="6" t="n"/>
      <c r="AC347" s="3">
        <f>IF($AB347="","",IFERROR(INDEX('ASIGNACIONES'!$F$4:$F$339,MATCH($O347&amp;"|"&amp;$R347&amp;"|"&amp;$AB347,'ASIGNACIONES'!$I$4:$I$339,0)),""))</f>
        <v/>
      </c>
      <c r="AD347" s="13">
        <f>IF($AB347="","",SUMIFS('ORDENES'!$M$4:$M$1203,'ORDENES'!$AB$4:$AB$1203,$AB347,'ORDENES'!$O$4:$O$1203,$O347,'ORDENES'!$R$4:$R$1203,$R347))</f>
        <v/>
      </c>
      <c r="AE347" s="13">
        <f>IF($AD347="","",p_factor_productividad*IFERROR(INDEX('ASIGNACIONES'!$H$4:$H$339,MATCH($O347&amp;"|"&amp;$R347&amp;"|"&amp;$AB347,'ASIGNACIONES'!$I$4:$I$339,0)),0)-$AD347)</f>
        <v/>
      </c>
      <c r="AF347" s="10">
        <f>IF($A347="","",IFERROR(INDEX('2_IMPORTAR_EJECUCION'!$F$9:$F$1208,MATCH($AN347,'2_IMPORTAR_EJECUCION'!$J$9:$J$1208,0)),0))</f>
        <v/>
      </c>
      <c r="AG347" s="10">
        <f>IF($A347="","",MAX(0,IFERROR(INDEX('2_IMPORTAR_EJECUCION'!$H$9:$H$1208,MATCH($AN347,'2_IMPORTAR_EJECUCION'!$J$9:$J$1208,0)),0)-$AF347))</f>
        <v/>
      </c>
      <c r="AH347" s="10">
        <f>IF($A347="","",$AF347+$AG347)</f>
        <v/>
      </c>
      <c r="AI347" s="6" t="n"/>
      <c r="AJ347" s="6" t="n"/>
      <c r="AK347" s="6" t="n"/>
      <c r="AL347" s="3">
        <f>IF($AK347="","",HYPERLINK(p_ruta_base_checklists&amp;$AK347,"abrir"))</f>
        <v/>
      </c>
      <c r="AM347" s="6" t="n"/>
      <c r="AN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1" t="n"/>
      <c r="K348" s="3" t="n"/>
      <c r="L348" s="10" t="n"/>
      <c r="M348" s="3">
        <f>IF($A348="","",IFERROR(INDEX('AJUSTES'!$B$4:$B$303,MATCH($AN348,'AJUSTES'!$A$4:$A$303,0)),IF($K348="","",$K348)))</f>
        <v/>
      </c>
      <c r="N348" s="3">
        <f>IF($A348="","",IFERROR(INDEX('CAT_ESTADOS_ERP'!$B$4:$B$7,MATCH(IFERROR(INDEX('2_IMPORTAR_EJECUCION'!$C$9:$C$1208,MATCH($AN348,'2_IMPORTAR_EJECUCION'!$J$9:$J$1208,0)),""),'CAT_ESTADOS_ERP'!$A$4:$A$7,0)),"Pendiente"))</f>
        <v/>
      </c>
      <c r="O348" s="3">
        <f>IF($J348="","",YEAR($J348+4-WEEKDAY($J348,2))&amp;"-S"&amp;TEXT(_xlfn.ISOWEEKNUM($J348),"00"))</f>
        <v/>
      </c>
      <c r="P348" s="3">
        <f>IF($J348="","",YEAR($J348))</f>
        <v/>
      </c>
      <c r="Q348" s="3">
        <f>IF($J348="","",MONTH($J348))</f>
        <v/>
      </c>
      <c r="R348" s="3">
        <f>IF($J348="","",INDEX(lista_dias,WEEKDAY($J348,2)))</f>
        <v/>
      </c>
      <c r="S348" s="3">
        <f>IF($I348="","",IFERROR(INDEX('CAT_TIPOS_OT'!$C$4:$C$7,MATCH($I348,'CAT_TIPOS_OT'!$A$4:$A$7,0)),"sin_clasificar"))</f>
        <v/>
      </c>
      <c r="T348" s="3">
        <f>IF($F348="","",IFERROR(INDEX('CAT_CENTROS_COSTO'!$E$4:$E$9,MATCH($F348,'CAT_CENTROS_COSTO'!$A$4:$A$9,0)),"(sin catálogo)"))</f>
        <v/>
      </c>
      <c r="U348" s="3">
        <f>IF($F348="","",IFERROR(INDEX('CAT_CENTROS_COSTO'!$D$4:$D$9,MATCH($F348,'CAT_CENTROS_COSTO'!$A$4:$A$9,0)),"(sin catálogo)"))</f>
        <v/>
      </c>
      <c r="V348" s="3">
        <f>IF($F348="","",IFERROR(INDEX('CAT_CENTROS_COSTO'!$F$4:$F$9,MATCH($F348,'CAT_CENTROS_COSTO'!$A$4:$A$9,0)),"(sin catálogo)"))</f>
        <v/>
      </c>
      <c r="W348" s="3">
        <f>IF($G348="","",IFERROR(INDEX('CAT_PUESTOS'!$B$4:$B$8,MATCH($G348,'CAT_PUESTOS'!$A$4:$A$8,0)),"(sin catálogo)"))</f>
        <v/>
      </c>
      <c r="X348" s="3">
        <f>IF($H348="","",IFERROR(INDEX('CAT_ACTIVIDADES'!$B$4:$B$8,MATCH($H348,'CAT_ACTIVIDADES'!$A$4:$A$8,0)),"(sin catálogo)"))</f>
        <v/>
      </c>
      <c r="Y348" s="12">
        <f>IF($J348="","",TODAY()-$J348)</f>
        <v/>
      </c>
      <c r="Z348" s="3">
        <f>IF($Y348="","",IF($Y348&lt;0,"FUTURO",IF($Y348&gt;p_dias_backlog_max,"BACKLOG","MES CORRIENTE")))</f>
        <v/>
      </c>
      <c r="AA348" s="3">
        <f>IF($Y348="",FALSE,AND($Y348&gt;p_dias_backlog_min,$Y348&lt;=p_dias_backlog_max))</f>
        <v/>
      </c>
      <c r="AB348" s="6" t="n"/>
      <c r="AC348" s="3">
        <f>IF($AB348="","",IFERROR(INDEX('ASIGNACIONES'!$F$4:$F$339,MATCH($O348&amp;"|"&amp;$R348&amp;"|"&amp;$AB348,'ASIGNACIONES'!$I$4:$I$339,0)),""))</f>
        <v/>
      </c>
      <c r="AD348" s="13">
        <f>IF($AB348="","",SUMIFS('ORDENES'!$M$4:$M$1203,'ORDENES'!$AB$4:$AB$1203,$AB348,'ORDENES'!$O$4:$O$1203,$O348,'ORDENES'!$R$4:$R$1203,$R348))</f>
        <v/>
      </c>
      <c r="AE348" s="13">
        <f>IF($AD348="","",p_factor_productividad*IFERROR(INDEX('ASIGNACIONES'!$H$4:$H$339,MATCH($O348&amp;"|"&amp;$R348&amp;"|"&amp;$AB348,'ASIGNACIONES'!$I$4:$I$339,0)),0)-$AD348)</f>
        <v/>
      </c>
      <c r="AF348" s="10">
        <f>IF($A348="","",IFERROR(INDEX('2_IMPORTAR_EJECUCION'!$F$9:$F$1208,MATCH($AN348,'2_IMPORTAR_EJECUCION'!$J$9:$J$1208,0)),0))</f>
        <v/>
      </c>
      <c r="AG348" s="10">
        <f>IF($A348="","",MAX(0,IFERROR(INDEX('2_IMPORTAR_EJECUCION'!$H$9:$H$1208,MATCH($AN348,'2_IMPORTAR_EJECUCION'!$J$9:$J$1208,0)),0)-$AF348))</f>
        <v/>
      </c>
      <c r="AH348" s="10">
        <f>IF($A348="","",$AF348+$AG348)</f>
        <v/>
      </c>
      <c r="AI348" s="6" t="n"/>
      <c r="AJ348" s="6" t="n"/>
      <c r="AK348" s="6" t="n"/>
      <c r="AL348" s="3">
        <f>IF($AK348="","",HYPERLINK(p_ruta_base_checklists&amp;$AK348,"abrir"))</f>
        <v/>
      </c>
      <c r="AM348" s="6" t="n"/>
      <c r="AN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1" t="n"/>
      <c r="K349" s="3" t="n"/>
      <c r="L349" s="10" t="n"/>
      <c r="M349" s="3">
        <f>IF($A349="","",IFERROR(INDEX('AJUSTES'!$B$4:$B$303,MATCH($AN349,'AJUSTES'!$A$4:$A$303,0)),IF($K349="","",$K349)))</f>
        <v/>
      </c>
      <c r="N349" s="3">
        <f>IF($A349="","",IFERROR(INDEX('CAT_ESTADOS_ERP'!$B$4:$B$7,MATCH(IFERROR(INDEX('2_IMPORTAR_EJECUCION'!$C$9:$C$1208,MATCH($AN349,'2_IMPORTAR_EJECUCION'!$J$9:$J$1208,0)),""),'CAT_ESTADOS_ERP'!$A$4:$A$7,0)),"Pendiente"))</f>
        <v/>
      </c>
      <c r="O349" s="3">
        <f>IF($J349="","",YEAR($J349+4-WEEKDAY($J349,2))&amp;"-S"&amp;TEXT(_xlfn.ISOWEEKNUM($J349),"00"))</f>
        <v/>
      </c>
      <c r="P349" s="3">
        <f>IF($J349="","",YEAR($J349))</f>
        <v/>
      </c>
      <c r="Q349" s="3">
        <f>IF($J349="","",MONTH($J349))</f>
        <v/>
      </c>
      <c r="R349" s="3">
        <f>IF($J349="","",INDEX(lista_dias,WEEKDAY($J349,2)))</f>
        <v/>
      </c>
      <c r="S349" s="3">
        <f>IF($I349="","",IFERROR(INDEX('CAT_TIPOS_OT'!$C$4:$C$7,MATCH($I349,'CAT_TIPOS_OT'!$A$4:$A$7,0)),"sin_clasificar"))</f>
        <v/>
      </c>
      <c r="T349" s="3">
        <f>IF($F349="","",IFERROR(INDEX('CAT_CENTROS_COSTO'!$E$4:$E$9,MATCH($F349,'CAT_CENTROS_COSTO'!$A$4:$A$9,0)),"(sin catálogo)"))</f>
        <v/>
      </c>
      <c r="U349" s="3">
        <f>IF($F349="","",IFERROR(INDEX('CAT_CENTROS_COSTO'!$D$4:$D$9,MATCH($F349,'CAT_CENTROS_COSTO'!$A$4:$A$9,0)),"(sin catálogo)"))</f>
        <v/>
      </c>
      <c r="V349" s="3">
        <f>IF($F349="","",IFERROR(INDEX('CAT_CENTROS_COSTO'!$F$4:$F$9,MATCH($F349,'CAT_CENTROS_COSTO'!$A$4:$A$9,0)),"(sin catálogo)"))</f>
        <v/>
      </c>
      <c r="W349" s="3">
        <f>IF($G349="","",IFERROR(INDEX('CAT_PUESTOS'!$B$4:$B$8,MATCH($G349,'CAT_PUESTOS'!$A$4:$A$8,0)),"(sin catálogo)"))</f>
        <v/>
      </c>
      <c r="X349" s="3">
        <f>IF($H349="","",IFERROR(INDEX('CAT_ACTIVIDADES'!$B$4:$B$8,MATCH($H349,'CAT_ACTIVIDADES'!$A$4:$A$8,0)),"(sin catálogo)"))</f>
        <v/>
      </c>
      <c r="Y349" s="12">
        <f>IF($J349="","",TODAY()-$J349)</f>
        <v/>
      </c>
      <c r="Z349" s="3">
        <f>IF($Y349="","",IF($Y349&lt;0,"FUTURO",IF($Y349&gt;p_dias_backlog_max,"BACKLOG","MES CORRIENTE")))</f>
        <v/>
      </c>
      <c r="AA349" s="3">
        <f>IF($Y349="",FALSE,AND($Y349&gt;p_dias_backlog_min,$Y349&lt;=p_dias_backlog_max))</f>
        <v/>
      </c>
      <c r="AB349" s="6" t="n"/>
      <c r="AC349" s="3">
        <f>IF($AB349="","",IFERROR(INDEX('ASIGNACIONES'!$F$4:$F$339,MATCH($O349&amp;"|"&amp;$R349&amp;"|"&amp;$AB349,'ASIGNACIONES'!$I$4:$I$339,0)),""))</f>
        <v/>
      </c>
      <c r="AD349" s="13">
        <f>IF($AB349="","",SUMIFS('ORDENES'!$M$4:$M$1203,'ORDENES'!$AB$4:$AB$1203,$AB349,'ORDENES'!$O$4:$O$1203,$O349,'ORDENES'!$R$4:$R$1203,$R349))</f>
        <v/>
      </c>
      <c r="AE349" s="13">
        <f>IF($AD349="","",p_factor_productividad*IFERROR(INDEX('ASIGNACIONES'!$H$4:$H$339,MATCH($O349&amp;"|"&amp;$R349&amp;"|"&amp;$AB349,'ASIGNACIONES'!$I$4:$I$339,0)),0)-$AD349)</f>
        <v/>
      </c>
      <c r="AF349" s="10">
        <f>IF($A349="","",IFERROR(INDEX('2_IMPORTAR_EJECUCION'!$F$9:$F$1208,MATCH($AN349,'2_IMPORTAR_EJECUCION'!$J$9:$J$1208,0)),0))</f>
        <v/>
      </c>
      <c r="AG349" s="10">
        <f>IF($A349="","",MAX(0,IFERROR(INDEX('2_IMPORTAR_EJECUCION'!$H$9:$H$1208,MATCH($AN349,'2_IMPORTAR_EJECUCION'!$J$9:$J$1208,0)),0)-$AF349))</f>
        <v/>
      </c>
      <c r="AH349" s="10">
        <f>IF($A349="","",$AF349+$AG349)</f>
        <v/>
      </c>
      <c r="AI349" s="6" t="n"/>
      <c r="AJ349" s="6" t="n"/>
      <c r="AK349" s="6" t="n"/>
      <c r="AL349" s="3">
        <f>IF($AK349="","",HYPERLINK(p_ruta_base_checklists&amp;$AK349,"abrir"))</f>
        <v/>
      </c>
      <c r="AM349" s="6" t="n"/>
      <c r="AN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1" t="n"/>
      <c r="K350" s="3" t="n"/>
      <c r="L350" s="10" t="n"/>
      <c r="M350" s="3">
        <f>IF($A350="","",IFERROR(INDEX('AJUSTES'!$B$4:$B$303,MATCH($AN350,'AJUSTES'!$A$4:$A$303,0)),IF($K350="","",$K350)))</f>
        <v/>
      </c>
      <c r="N350" s="3">
        <f>IF($A350="","",IFERROR(INDEX('CAT_ESTADOS_ERP'!$B$4:$B$7,MATCH(IFERROR(INDEX('2_IMPORTAR_EJECUCION'!$C$9:$C$1208,MATCH($AN350,'2_IMPORTAR_EJECUCION'!$J$9:$J$1208,0)),""),'CAT_ESTADOS_ERP'!$A$4:$A$7,0)),"Pendiente"))</f>
        <v/>
      </c>
      <c r="O350" s="3">
        <f>IF($J350="","",YEAR($J350+4-WEEKDAY($J350,2))&amp;"-S"&amp;TEXT(_xlfn.ISOWEEKNUM($J350),"00"))</f>
        <v/>
      </c>
      <c r="P350" s="3">
        <f>IF($J350="","",YEAR($J350))</f>
        <v/>
      </c>
      <c r="Q350" s="3">
        <f>IF($J350="","",MONTH($J350))</f>
        <v/>
      </c>
      <c r="R350" s="3">
        <f>IF($J350="","",INDEX(lista_dias,WEEKDAY($J350,2)))</f>
        <v/>
      </c>
      <c r="S350" s="3">
        <f>IF($I350="","",IFERROR(INDEX('CAT_TIPOS_OT'!$C$4:$C$7,MATCH($I350,'CAT_TIPOS_OT'!$A$4:$A$7,0)),"sin_clasificar"))</f>
        <v/>
      </c>
      <c r="T350" s="3">
        <f>IF($F350="","",IFERROR(INDEX('CAT_CENTROS_COSTO'!$E$4:$E$9,MATCH($F350,'CAT_CENTROS_COSTO'!$A$4:$A$9,0)),"(sin catálogo)"))</f>
        <v/>
      </c>
      <c r="U350" s="3">
        <f>IF($F350="","",IFERROR(INDEX('CAT_CENTROS_COSTO'!$D$4:$D$9,MATCH($F350,'CAT_CENTROS_COSTO'!$A$4:$A$9,0)),"(sin catálogo)"))</f>
        <v/>
      </c>
      <c r="V350" s="3">
        <f>IF($F350="","",IFERROR(INDEX('CAT_CENTROS_COSTO'!$F$4:$F$9,MATCH($F350,'CAT_CENTROS_COSTO'!$A$4:$A$9,0)),"(sin catálogo)"))</f>
        <v/>
      </c>
      <c r="W350" s="3">
        <f>IF($G350="","",IFERROR(INDEX('CAT_PUESTOS'!$B$4:$B$8,MATCH($G350,'CAT_PUESTOS'!$A$4:$A$8,0)),"(sin catálogo)"))</f>
        <v/>
      </c>
      <c r="X350" s="3">
        <f>IF($H350="","",IFERROR(INDEX('CAT_ACTIVIDADES'!$B$4:$B$8,MATCH($H350,'CAT_ACTIVIDADES'!$A$4:$A$8,0)),"(sin catálogo)"))</f>
        <v/>
      </c>
      <c r="Y350" s="12">
        <f>IF($J350="","",TODAY()-$J350)</f>
        <v/>
      </c>
      <c r="Z350" s="3">
        <f>IF($Y350="","",IF($Y350&lt;0,"FUTURO",IF($Y350&gt;p_dias_backlog_max,"BACKLOG","MES CORRIENTE")))</f>
        <v/>
      </c>
      <c r="AA350" s="3">
        <f>IF($Y350="",FALSE,AND($Y350&gt;p_dias_backlog_min,$Y350&lt;=p_dias_backlog_max))</f>
        <v/>
      </c>
      <c r="AB350" s="6" t="n"/>
      <c r="AC350" s="3">
        <f>IF($AB350="","",IFERROR(INDEX('ASIGNACIONES'!$F$4:$F$339,MATCH($O350&amp;"|"&amp;$R350&amp;"|"&amp;$AB350,'ASIGNACIONES'!$I$4:$I$339,0)),""))</f>
        <v/>
      </c>
      <c r="AD350" s="13">
        <f>IF($AB350="","",SUMIFS('ORDENES'!$M$4:$M$1203,'ORDENES'!$AB$4:$AB$1203,$AB350,'ORDENES'!$O$4:$O$1203,$O350,'ORDENES'!$R$4:$R$1203,$R350))</f>
        <v/>
      </c>
      <c r="AE350" s="13">
        <f>IF($AD350="","",p_factor_productividad*IFERROR(INDEX('ASIGNACIONES'!$H$4:$H$339,MATCH($O350&amp;"|"&amp;$R350&amp;"|"&amp;$AB350,'ASIGNACIONES'!$I$4:$I$339,0)),0)-$AD350)</f>
        <v/>
      </c>
      <c r="AF350" s="10">
        <f>IF($A350="","",IFERROR(INDEX('2_IMPORTAR_EJECUCION'!$F$9:$F$1208,MATCH($AN350,'2_IMPORTAR_EJECUCION'!$J$9:$J$1208,0)),0))</f>
        <v/>
      </c>
      <c r="AG350" s="10">
        <f>IF($A350="","",MAX(0,IFERROR(INDEX('2_IMPORTAR_EJECUCION'!$H$9:$H$1208,MATCH($AN350,'2_IMPORTAR_EJECUCION'!$J$9:$J$1208,0)),0)-$AF350))</f>
        <v/>
      </c>
      <c r="AH350" s="10">
        <f>IF($A350="","",$AF350+$AG350)</f>
        <v/>
      </c>
      <c r="AI350" s="6" t="n"/>
      <c r="AJ350" s="6" t="n"/>
      <c r="AK350" s="6" t="n"/>
      <c r="AL350" s="3">
        <f>IF($AK350="","",HYPERLINK(p_ruta_base_checklists&amp;$AK350,"abrir"))</f>
        <v/>
      </c>
      <c r="AM350" s="6" t="n"/>
      <c r="AN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1" t="n"/>
      <c r="K351" s="3" t="n"/>
      <c r="L351" s="10" t="n"/>
      <c r="M351" s="3">
        <f>IF($A351="","",IFERROR(INDEX('AJUSTES'!$B$4:$B$303,MATCH($AN351,'AJUSTES'!$A$4:$A$303,0)),IF($K351="","",$K351)))</f>
        <v/>
      </c>
      <c r="N351" s="3">
        <f>IF($A351="","",IFERROR(INDEX('CAT_ESTADOS_ERP'!$B$4:$B$7,MATCH(IFERROR(INDEX('2_IMPORTAR_EJECUCION'!$C$9:$C$1208,MATCH($AN351,'2_IMPORTAR_EJECUCION'!$J$9:$J$1208,0)),""),'CAT_ESTADOS_ERP'!$A$4:$A$7,0)),"Pendiente"))</f>
        <v/>
      </c>
      <c r="O351" s="3">
        <f>IF($J351="","",YEAR($J351+4-WEEKDAY($J351,2))&amp;"-S"&amp;TEXT(_xlfn.ISOWEEKNUM($J351),"00"))</f>
        <v/>
      </c>
      <c r="P351" s="3">
        <f>IF($J351="","",YEAR($J351))</f>
        <v/>
      </c>
      <c r="Q351" s="3">
        <f>IF($J351="","",MONTH($J351))</f>
        <v/>
      </c>
      <c r="R351" s="3">
        <f>IF($J351="","",INDEX(lista_dias,WEEKDAY($J351,2)))</f>
        <v/>
      </c>
      <c r="S351" s="3">
        <f>IF($I351="","",IFERROR(INDEX('CAT_TIPOS_OT'!$C$4:$C$7,MATCH($I351,'CAT_TIPOS_OT'!$A$4:$A$7,0)),"sin_clasificar"))</f>
        <v/>
      </c>
      <c r="T351" s="3">
        <f>IF($F351="","",IFERROR(INDEX('CAT_CENTROS_COSTO'!$E$4:$E$9,MATCH($F351,'CAT_CENTROS_COSTO'!$A$4:$A$9,0)),"(sin catálogo)"))</f>
        <v/>
      </c>
      <c r="U351" s="3">
        <f>IF($F351="","",IFERROR(INDEX('CAT_CENTROS_COSTO'!$D$4:$D$9,MATCH($F351,'CAT_CENTROS_COSTO'!$A$4:$A$9,0)),"(sin catálogo)"))</f>
        <v/>
      </c>
      <c r="V351" s="3">
        <f>IF($F351="","",IFERROR(INDEX('CAT_CENTROS_COSTO'!$F$4:$F$9,MATCH($F351,'CAT_CENTROS_COSTO'!$A$4:$A$9,0)),"(sin catálogo)"))</f>
        <v/>
      </c>
      <c r="W351" s="3">
        <f>IF($G351="","",IFERROR(INDEX('CAT_PUESTOS'!$B$4:$B$8,MATCH($G351,'CAT_PUESTOS'!$A$4:$A$8,0)),"(sin catálogo)"))</f>
        <v/>
      </c>
      <c r="X351" s="3">
        <f>IF($H351="","",IFERROR(INDEX('CAT_ACTIVIDADES'!$B$4:$B$8,MATCH($H351,'CAT_ACTIVIDADES'!$A$4:$A$8,0)),"(sin catálogo)"))</f>
        <v/>
      </c>
      <c r="Y351" s="12">
        <f>IF($J351="","",TODAY()-$J351)</f>
        <v/>
      </c>
      <c r="Z351" s="3">
        <f>IF($Y351="","",IF($Y351&lt;0,"FUTURO",IF($Y351&gt;p_dias_backlog_max,"BACKLOG","MES CORRIENTE")))</f>
        <v/>
      </c>
      <c r="AA351" s="3">
        <f>IF($Y351="",FALSE,AND($Y351&gt;p_dias_backlog_min,$Y351&lt;=p_dias_backlog_max))</f>
        <v/>
      </c>
      <c r="AB351" s="6" t="n"/>
      <c r="AC351" s="3">
        <f>IF($AB351="","",IFERROR(INDEX('ASIGNACIONES'!$F$4:$F$339,MATCH($O351&amp;"|"&amp;$R351&amp;"|"&amp;$AB351,'ASIGNACIONES'!$I$4:$I$339,0)),""))</f>
        <v/>
      </c>
      <c r="AD351" s="13">
        <f>IF($AB351="","",SUMIFS('ORDENES'!$M$4:$M$1203,'ORDENES'!$AB$4:$AB$1203,$AB351,'ORDENES'!$O$4:$O$1203,$O351,'ORDENES'!$R$4:$R$1203,$R351))</f>
        <v/>
      </c>
      <c r="AE351" s="13">
        <f>IF($AD351="","",p_factor_productividad*IFERROR(INDEX('ASIGNACIONES'!$H$4:$H$339,MATCH($O351&amp;"|"&amp;$R351&amp;"|"&amp;$AB351,'ASIGNACIONES'!$I$4:$I$339,0)),0)-$AD351)</f>
        <v/>
      </c>
      <c r="AF351" s="10">
        <f>IF($A351="","",IFERROR(INDEX('2_IMPORTAR_EJECUCION'!$F$9:$F$1208,MATCH($AN351,'2_IMPORTAR_EJECUCION'!$J$9:$J$1208,0)),0))</f>
        <v/>
      </c>
      <c r="AG351" s="10">
        <f>IF($A351="","",MAX(0,IFERROR(INDEX('2_IMPORTAR_EJECUCION'!$H$9:$H$1208,MATCH($AN351,'2_IMPORTAR_EJECUCION'!$J$9:$J$1208,0)),0)-$AF351))</f>
        <v/>
      </c>
      <c r="AH351" s="10">
        <f>IF($A351="","",$AF351+$AG351)</f>
        <v/>
      </c>
      <c r="AI351" s="6" t="n"/>
      <c r="AJ351" s="6" t="n"/>
      <c r="AK351" s="6" t="n"/>
      <c r="AL351" s="3">
        <f>IF($AK351="","",HYPERLINK(p_ruta_base_checklists&amp;$AK351,"abrir"))</f>
        <v/>
      </c>
      <c r="AM351" s="6" t="n"/>
      <c r="AN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1" t="n"/>
      <c r="K352" s="3" t="n"/>
      <c r="L352" s="10" t="n"/>
      <c r="M352" s="3">
        <f>IF($A352="","",IFERROR(INDEX('AJUSTES'!$B$4:$B$303,MATCH($AN352,'AJUSTES'!$A$4:$A$303,0)),IF($K352="","",$K352)))</f>
        <v/>
      </c>
      <c r="N352" s="3">
        <f>IF($A352="","",IFERROR(INDEX('CAT_ESTADOS_ERP'!$B$4:$B$7,MATCH(IFERROR(INDEX('2_IMPORTAR_EJECUCION'!$C$9:$C$1208,MATCH($AN352,'2_IMPORTAR_EJECUCION'!$J$9:$J$1208,0)),""),'CAT_ESTADOS_ERP'!$A$4:$A$7,0)),"Pendiente"))</f>
        <v/>
      </c>
      <c r="O352" s="3">
        <f>IF($J352="","",YEAR($J352+4-WEEKDAY($J352,2))&amp;"-S"&amp;TEXT(_xlfn.ISOWEEKNUM($J352),"00"))</f>
        <v/>
      </c>
      <c r="P352" s="3">
        <f>IF($J352="","",YEAR($J352))</f>
        <v/>
      </c>
      <c r="Q352" s="3">
        <f>IF($J352="","",MONTH($J352))</f>
        <v/>
      </c>
      <c r="R352" s="3">
        <f>IF($J352="","",INDEX(lista_dias,WEEKDAY($J352,2)))</f>
        <v/>
      </c>
      <c r="S352" s="3">
        <f>IF($I352="","",IFERROR(INDEX('CAT_TIPOS_OT'!$C$4:$C$7,MATCH($I352,'CAT_TIPOS_OT'!$A$4:$A$7,0)),"sin_clasificar"))</f>
        <v/>
      </c>
      <c r="T352" s="3">
        <f>IF($F352="","",IFERROR(INDEX('CAT_CENTROS_COSTO'!$E$4:$E$9,MATCH($F352,'CAT_CENTROS_COSTO'!$A$4:$A$9,0)),"(sin catálogo)"))</f>
        <v/>
      </c>
      <c r="U352" s="3">
        <f>IF($F352="","",IFERROR(INDEX('CAT_CENTROS_COSTO'!$D$4:$D$9,MATCH($F352,'CAT_CENTROS_COSTO'!$A$4:$A$9,0)),"(sin catálogo)"))</f>
        <v/>
      </c>
      <c r="V352" s="3">
        <f>IF($F352="","",IFERROR(INDEX('CAT_CENTROS_COSTO'!$F$4:$F$9,MATCH($F352,'CAT_CENTROS_COSTO'!$A$4:$A$9,0)),"(sin catálogo)"))</f>
        <v/>
      </c>
      <c r="W352" s="3">
        <f>IF($G352="","",IFERROR(INDEX('CAT_PUESTOS'!$B$4:$B$8,MATCH($G352,'CAT_PUESTOS'!$A$4:$A$8,0)),"(sin catálogo)"))</f>
        <v/>
      </c>
      <c r="X352" s="3">
        <f>IF($H352="","",IFERROR(INDEX('CAT_ACTIVIDADES'!$B$4:$B$8,MATCH($H352,'CAT_ACTIVIDADES'!$A$4:$A$8,0)),"(sin catálogo)"))</f>
        <v/>
      </c>
      <c r="Y352" s="12">
        <f>IF($J352="","",TODAY()-$J352)</f>
        <v/>
      </c>
      <c r="Z352" s="3">
        <f>IF($Y352="","",IF($Y352&lt;0,"FUTURO",IF($Y352&gt;p_dias_backlog_max,"BACKLOG","MES CORRIENTE")))</f>
        <v/>
      </c>
      <c r="AA352" s="3">
        <f>IF($Y352="",FALSE,AND($Y352&gt;p_dias_backlog_min,$Y352&lt;=p_dias_backlog_max))</f>
        <v/>
      </c>
      <c r="AB352" s="6" t="n"/>
      <c r="AC352" s="3">
        <f>IF($AB352="","",IFERROR(INDEX('ASIGNACIONES'!$F$4:$F$339,MATCH($O352&amp;"|"&amp;$R352&amp;"|"&amp;$AB352,'ASIGNACIONES'!$I$4:$I$339,0)),""))</f>
        <v/>
      </c>
      <c r="AD352" s="13">
        <f>IF($AB352="","",SUMIFS('ORDENES'!$M$4:$M$1203,'ORDENES'!$AB$4:$AB$1203,$AB352,'ORDENES'!$O$4:$O$1203,$O352,'ORDENES'!$R$4:$R$1203,$R352))</f>
        <v/>
      </c>
      <c r="AE352" s="13">
        <f>IF($AD352="","",p_factor_productividad*IFERROR(INDEX('ASIGNACIONES'!$H$4:$H$339,MATCH($O352&amp;"|"&amp;$R352&amp;"|"&amp;$AB352,'ASIGNACIONES'!$I$4:$I$339,0)),0)-$AD352)</f>
        <v/>
      </c>
      <c r="AF352" s="10">
        <f>IF($A352="","",IFERROR(INDEX('2_IMPORTAR_EJECUCION'!$F$9:$F$1208,MATCH($AN352,'2_IMPORTAR_EJECUCION'!$J$9:$J$1208,0)),0))</f>
        <v/>
      </c>
      <c r="AG352" s="10">
        <f>IF($A352="","",MAX(0,IFERROR(INDEX('2_IMPORTAR_EJECUCION'!$H$9:$H$1208,MATCH($AN352,'2_IMPORTAR_EJECUCION'!$J$9:$J$1208,0)),0)-$AF352))</f>
        <v/>
      </c>
      <c r="AH352" s="10">
        <f>IF($A352="","",$AF352+$AG352)</f>
        <v/>
      </c>
      <c r="AI352" s="6" t="n"/>
      <c r="AJ352" s="6" t="n"/>
      <c r="AK352" s="6" t="n"/>
      <c r="AL352" s="3">
        <f>IF($AK352="","",HYPERLINK(p_ruta_base_checklists&amp;$AK352,"abrir"))</f>
        <v/>
      </c>
      <c r="AM352" s="6" t="n"/>
      <c r="AN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1" t="n"/>
      <c r="K353" s="3" t="n"/>
      <c r="L353" s="10" t="n"/>
      <c r="M353" s="3">
        <f>IF($A353="","",IFERROR(INDEX('AJUSTES'!$B$4:$B$303,MATCH($AN353,'AJUSTES'!$A$4:$A$303,0)),IF($K353="","",$K353)))</f>
        <v/>
      </c>
      <c r="N353" s="3">
        <f>IF($A353="","",IFERROR(INDEX('CAT_ESTADOS_ERP'!$B$4:$B$7,MATCH(IFERROR(INDEX('2_IMPORTAR_EJECUCION'!$C$9:$C$1208,MATCH($AN353,'2_IMPORTAR_EJECUCION'!$J$9:$J$1208,0)),""),'CAT_ESTADOS_ERP'!$A$4:$A$7,0)),"Pendiente"))</f>
        <v/>
      </c>
      <c r="O353" s="3">
        <f>IF($J353="","",YEAR($J353+4-WEEKDAY($J353,2))&amp;"-S"&amp;TEXT(_xlfn.ISOWEEKNUM($J353),"00"))</f>
        <v/>
      </c>
      <c r="P353" s="3">
        <f>IF($J353="","",YEAR($J353))</f>
        <v/>
      </c>
      <c r="Q353" s="3">
        <f>IF($J353="","",MONTH($J353))</f>
        <v/>
      </c>
      <c r="R353" s="3">
        <f>IF($J353="","",INDEX(lista_dias,WEEKDAY($J353,2)))</f>
        <v/>
      </c>
      <c r="S353" s="3">
        <f>IF($I353="","",IFERROR(INDEX('CAT_TIPOS_OT'!$C$4:$C$7,MATCH($I353,'CAT_TIPOS_OT'!$A$4:$A$7,0)),"sin_clasificar"))</f>
        <v/>
      </c>
      <c r="T353" s="3">
        <f>IF($F353="","",IFERROR(INDEX('CAT_CENTROS_COSTO'!$E$4:$E$9,MATCH($F353,'CAT_CENTROS_COSTO'!$A$4:$A$9,0)),"(sin catálogo)"))</f>
        <v/>
      </c>
      <c r="U353" s="3">
        <f>IF($F353="","",IFERROR(INDEX('CAT_CENTROS_COSTO'!$D$4:$D$9,MATCH($F353,'CAT_CENTROS_COSTO'!$A$4:$A$9,0)),"(sin catálogo)"))</f>
        <v/>
      </c>
      <c r="V353" s="3">
        <f>IF($F353="","",IFERROR(INDEX('CAT_CENTROS_COSTO'!$F$4:$F$9,MATCH($F353,'CAT_CENTROS_COSTO'!$A$4:$A$9,0)),"(sin catálogo)"))</f>
        <v/>
      </c>
      <c r="W353" s="3">
        <f>IF($G353="","",IFERROR(INDEX('CAT_PUESTOS'!$B$4:$B$8,MATCH($G353,'CAT_PUESTOS'!$A$4:$A$8,0)),"(sin catálogo)"))</f>
        <v/>
      </c>
      <c r="X353" s="3">
        <f>IF($H353="","",IFERROR(INDEX('CAT_ACTIVIDADES'!$B$4:$B$8,MATCH($H353,'CAT_ACTIVIDADES'!$A$4:$A$8,0)),"(sin catálogo)"))</f>
        <v/>
      </c>
      <c r="Y353" s="12">
        <f>IF($J353="","",TODAY()-$J353)</f>
        <v/>
      </c>
      <c r="Z353" s="3">
        <f>IF($Y353="","",IF($Y353&lt;0,"FUTURO",IF($Y353&gt;p_dias_backlog_max,"BACKLOG","MES CORRIENTE")))</f>
        <v/>
      </c>
      <c r="AA353" s="3">
        <f>IF($Y353="",FALSE,AND($Y353&gt;p_dias_backlog_min,$Y353&lt;=p_dias_backlog_max))</f>
        <v/>
      </c>
      <c r="AB353" s="6" t="n"/>
      <c r="AC353" s="3">
        <f>IF($AB353="","",IFERROR(INDEX('ASIGNACIONES'!$F$4:$F$339,MATCH($O353&amp;"|"&amp;$R353&amp;"|"&amp;$AB353,'ASIGNACIONES'!$I$4:$I$339,0)),""))</f>
        <v/>
      </c>
      <c r="AD353" s="13">
        <f>IF($AB353="","",SUMIFS('ORDENES'!$M$4:$M$1203,'ORDENES'!$AB$4:$AB$1203,$AB353,'ORDENES'!$O$4:$O$1203,$O353,'ORDENES'!$R$4:$R$1203,$R353))</f>
        <v/>
      </c>
      <c r="AE353" s="13">
        <f>IF($AD353="","",p_factor_productividad*IFERROR(INDEX('ASIGNACIONES'!$H$4:$H$339,MATCH($O353&amp;"|"&amp;$R353&amp;"|"&amp;$AB353,'ASIGNACIONES'!$I$4:$I$339,0)),0)-$AD353)</f>
        <v/>
      </c>
      <c r="AF353" s="10">
        <f>IF($A353="","",IFERROR(INDEX('2_IMPORTAR_EJECUCION'!$F$9:$F$1208,MATCH($AN353,'2_IMPORTAR_EJECUCION'!$J$9:$J$1208,0)),0))</f>
        <v/>
      </c>
      <c r="AG353" s="10">
        <f>IF($A353="","",MAX(0,IFERROR(INDEX('2_IMPORTAR_EJECUCION'!$H$9:$H$1208,MATCH($AN353,'2_IMPORTAR_EJECUCION'!$J$9:$J$1208,0)),0)-$AF353))</f>
        <v/>
      </c>
      <c r="AH353" s="10">
        <f>IF($A353="","",$AF353+$AG353)</f>
        <v/>
      </c>
      <c r="AI353" s="6" t="n"/>
      <c r="AJ353" s="6" t="n"/>
      <c r="AK353" s="6" t="n"/>
      <c r="AL353" s="3">
        <f>IF($AK353="","",HYPERLINK(p_ruta_base_checklists&amp;$AK353,"abrir"))</f>
        <v/>
      </c>
      <c r="AM353" s="6" t="n"/>
      <c r="AN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1" t="n"/>
      <c r="K354" s="3" t="n"/>
      <c r="L354" s="10" t="n"/>
      <c r="M354" s="3">
        <f>IF($A354="","",IFERROR(INDEX('AJUSTES'!$B$4:$B$303,MATCH($AN354,'AJUSTES'!$A$4:$A$303,0)),IF($K354="","",$K354)))</f>
        <v/>
      </c>
      <c r="N354" s="3">
        <f>IF($A354="","",IFERROR(INDEX('CAT_ESTADOS_ERP'!$B$4:$B$7,MATCH(IFERROR(INDEX('2_IMPORTAR_EJECUCION'!$C$9:$C$1208,MATCH($AN354,'2_IMPORTAR_EJECUCION'!$J$9:$J$1208,0)),""),'CAT_ESTADOS_ERP'!$A$4:$A$7,0)),"Pendiente"))</f>
        <v/>
      </c>
      <c r="O354" s="3">
        <f>IF($J354="","",YEAR($J354+4-WEEKDAY($J354,2))&amp;"-S"&amp;TEXT(_xlfn.ISOWEEKNUM($J354),"00"))</f>
        <v/>
      </c>
      <c r="P354" s="3">
        <f>IF($J354="","",YEAR($J354))</f>
        <v/>
      </c>
      <c r="Q354" s="3">
        <f>IF($J354="","",MONTH($J354))</f>
        <v/>
      </c>
      <c r="R354" s="3">
        <f>IF($J354="","",INDEX(lista_dias,WEEKDAY($J354,2)))</f>
        <v/>
      </c>
      <c r="S354" s="3">
        <f>IF($I354="","",IFERROR(INDEX('CAT_TIPOS_OT'!$C$4:$C$7,MATCH($I354,'CAT_TIPOS_OT'!$A$4:$A$7,0)),"sin_clasificar"))</f>
        <v/>
      </c>
      <c r="T354" s="3">
        <f>IF($F354="","",IFERROR(INDEX('CAT_CENTROS_COSTO'!$E$4:$E$9,MATCH($F354,'CAT_CENTROS_COSTO'!$A$4:$A$9,0)),"(sin catálogo)"))</f>
        <v/>
      </c>
      <c r="U354" s="3">
        <f>IF($F354="","",IFERROR(INDEX('CAT_CENTROS_COSTO'!$D$4:$D$9,MATCH($F354,'CAT_CENTROS_COSTO'!$A$4:$A$9,0)),"(sin catálogo)"))</f>
        <v/>
      </c>
      <c r="V354" s="3">
        <f>IF($F354="","",IFERROR(INDEX('CAT_CENTROS_COSTO'!$F$4:$F$9,MATCH($F354,'CAT_CENTROS_COSTO'!$A$4:$A$9,0)),"(sin catálogo)"))</f>
        <v/>
      </c>
      <c r="W354" s="3">
        <f>IF($G354="","",IFERROR(INDEX('CAT_PUESTOS'!$B$4:$B$8,MATCH($G354,'CAT_PUESTOS'!$A$4:$A$8,0)),"(sin catálogo)"))</f>
        <v/>
      </c>
      <c r="X354" s="3">
        <f>IF($H354="","",IFERROR(INDEX('CAT_ACTIVIDADES'!$B$4:$B$8,MATCH($H354,'CAT_ACTIVIDADES'!$A$4:$A$8,0)),"(sin catálogo)"))</f>
        <v/>
      </c>
      <c r="Y354" s="12">
        <f>IF($J354="","",TODAY()-$J354)</f>
        <v/>
      </c>
      <c r="Z354" s="3">
        <f>IF($Y354="","",IF($Y354&lt;0,"FUTURO",IF($Y354&gt;p_dias_backlog_max,"BACKLOG","MES CORRIENTE")))</f>
        <v/>
      </c>
      <c r="AA354" s="3">
        <f>IF($Y354="",FALSE,AND($Y354&gt;p_dias_backlog_min,$Y354&lt;=p_dias_backlog_max))</f>
        <v/>
      </c>
      <c r="AB354" s="6" t="n"/>
      <c r="AC354" s="3">
        <f>IF($AB354="","",IFERROR(INDEX('ASIGNACIONES'!$F$4:$F$339,MATCH($O354&amp;"|"&amp;$R354&amp;"|"&amp;$AB354,'ASIGNACIONES'!$I$4:$I$339,0)),""))</f>
        <v/>
      </c>
      <c r="AD354" s="13">
        <f>IF($AB354="","",SUMIFS('ORDENES'!$M$4:$M$1203,'ORDENES'!$AB$4:$AB$1203,$AB354,'ORDENES'!$O$4:$O$1203,$O354,'ORDENES'!$R$4:$R$1203,$R354))</f>
        <v/>
      </c>
      <c r="AE354" s="13">
        <f>IF($AD354="","",p_factor_productividad*IFERROR(INDEX('ASIGNACIONES'!$H$4:$H$339,MATCH($O354&amp;"|"&amp;$R354&amp;"|"&amp;$AB354,'ASIGNACIONES'!$I$4:$I$339,0)),0)-$AD354)</f>
        <v/>
      </c>
      <c r="AF354" s="10">
        <f>IF($A354="","",IFERROR(INDEX('2_IMPORTAR_EJECUCION'!$F$9:$F$1208,MATCH($AN354,'2_IMPORTAR_EJECUCION'!$J$9:$J$1208,0)),0))</f>
        <v/>
      </c>
      <c r="AG354" s="10">
        <f>IF($A354="","",MAX(0,IFERROR(INDEX('2_IMPORTAR_EJECUCION'!$H$9:$H$1208,MATCH($AN354,'2_IMPORTAR_EJECUCION'!$J$9:$J$1208,0)),0)-$AF354))</f>
        <v/>
      </c>
      <c r="AH354" s="10">
        <f>IF($A354="","",$AF354+$AG354)</f>
        <v/>
      </c>
      <c r="AI354" s="6" t="n"/>
      <c r="AJ354" s="6" t="n"/>
      <c r="AK354" s="6" t="n"/>
      <c r="AL354" s="3">
        <f>IF($AK354="","",HYPERLINK(p_ruta_base_checklists&amp;$AK354,"abrir"))</f>
        <v/>
      </c>
      <c r="AM354" s="6" t="n"/>
      <c r="AN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1" t="n"/>
      <c r="K355" s="3" t="n"/>
      <c r="L355" s="10" t="n"/>
      <c r="M355" s="3">
        <f>IF($A355="","",IFERROR(INDEX('AJUSTES'!$B$4:$B$303,MATCH($AN355,'AJUSTES'!$A$4:$A$303,0)),IF($K355="","",$K355)))</f>
        <v/>
      </c>
      <c r="N355" s="3">
        <f>IF($A355="","",IFERROR(INDEX('CAT_ESTADOS_ERP'!$B$4:$B$7,MATCH(IFERROR(INDEX('2_IMPORTAR_EJECUCION'!$C$9:$C$1208,MATCH($AN355,'2_IMPORTAR_EJECUCION'!$J$9:$J$1208,0)),""),'CAT_ESTADOS_ERP'!$A$4:$A$7,0)),"Pendiente"))</f>
        <v/>
      </c>
      <c r="O355" s="3">
        <f>IF($J355="","",YEAR($J355+4-WEEKDAY($J355,2))&amp;"-S"&amp;TEXT(_xlfn.ISOWEEKNUM($J355),"00"))</f>
        <v/>
      </c>
      <c r="P355" s="3">
        <f>IF($J355="","",YEAR($J355))</f>
        <v/>
      </c>
      <c r="Q355" s="3">
        <f>IF($J355="","",MONTH($J355))</f>
        <v/>
      </c>
      <c r="R355" s="3">
        <f>IF($J355="","",INDEX(lista_dias,WEEKDAY($J355,2)))</f>
        <v/>
      </c>
      <c r="S355" s="3">
        <f>IF($I355="","",IFERROR(INDEX('CAT_TIPOS_OT'!$C$4:$C$7,MATCH($I355,'CAT_TIPOS_OT'!$A$4:$A$7,0)),"sin_clasificar"))</f>
        <v/>
      </c>
      <c r="T355" s="3">
        <f>IF($F355="","",IFERROR(INDEX('CAT_CENTROS_COSTO'!$E$4:$E$9,MATCH($F355,'CAT_CENTROS_COSTO'!$A$4:$A$9,0)),"(sin catálogo)"))</f>
        <v/>
      </c>
      <c r="U355" s="3">
        <f>IF($F355="","",IFERROR(INDEX('CAT_CENTROS_COSTO'!$D$4:$D$9,MATCH($F355,'CAT_CENTROS_COSTO'!$A$4:$A$9,0)),"(sin catálogo)"))</f>
        <v/>
      </c>
      <c r="V355" s="3">
        <f>IF($F355="","",IFERROR(INDEX('CAT_CENTROS_COSTO'!$F$4:$F$9,MATCH($F355,'CAT_CENTROS_COSTO'!$A$4:$A$9,0)),"(sin catálogo)"))</f>
        <v/>
      </c>
      <c r="W355" s="3">
        <f>IF($G355="","",IFERROR(INDEX('CAT_PUESTOS'!$B$4:$B$8,MATCH($G355,'CAT_PUESTOS'!$A$4:$A$8,0)),"(sin catálogo)"))</f>
        <v/>
      </c>
      <c r="X355" s="3">
        <f>IF($H355="","",IFERROR(INDEX('CAT_ACTIVIDADES'!$B$4:$B$8,MATCH($H355,'CAT_ACTIVIDADES'!$A$4:$A$8,0)),"(sin catálogo)"))</f>
        <v/>
      </c>
      <c r="Y355" s="12">
        <f>IF($J355="","",TODAY()-$J355)</f>
        <v/>
      </c>
      <c r="Z355" s="3">
        <f>IF($Y355="","",IF($Y355&lt;0,"FUTURO",IF($Y355&gt;p_dias_backlog_max,"BACKLOG","MES CORRIENTE")))</f>
        <v/>
      </c>
      <c r="AA355" s="3">
        <f>IF($Y355="",FALSE,AND($Y355&gt;p_dias_backlog_min,$Y355&lt;=p_dias_backlog_max))</f>
        <v/>
      </c>
      <c r="AB355" s="6" t="n"/>
      <c r="AC355" s="3">
        <f>IF($AB355="","",IFERROR(INDEX('ASIGNACIONES'!$F$4:$F$339,MATCH($O355&amp;"|"&amp;$R355&amp;"|"&amp;$AB355,'ASIGNACIONES'!$I$4:$I$339,0)),""))</f>
        <v/>
      </c>
      <c r="AD355" s="13">
        <f>IF($AB355="","",SUMIFS('ORDENES'!$M$4:$M$1203,'ORDENES'!$AB$4:$AB$1203,$AB355,'ORDENES'!$O$4:$O$1203,$O355,'ORDENES'!$R$4:$R$1203,$R355))</f>
        <v/>
      </c>
      <c r="AE355" s="13">
        <f>IF($AD355="","",p_factor_productividad*IFERROR(INDEX('ASIGNACIONES'!$H$4:$H$339,MATCH($O355&amp;"|"&amp;$R355&amp;"|"&amp;$AB355,'ASIGNACIONES'!$I$4:$I$339,0)),0)-$AD355)</f>
        <v/>
      </c>
      <c r="AF355" s="10">
        <f>IF($A355="","",IFERROR(INDEX('2_IMPORTAR_EJECUCION'!$F$9:$F$1208,MATCH($AN355,'2_IMPORTAR_EJECUCION'!$J$9:$J$1208,0)),0))</f>
        <v/>
      </c>
      <c r="AG355" s="10">
        <f>IF($A355="","",MAX(0,IFERROR(INDEX('2_IMPORTAR_EJECUCION'!$H$9:$H$1208,MATCH($AN355,'2_IMPORTAR_EJECUCION'!$J$9:$J$1208,0)),0)-$AF355))</f>
        <v/>
      </c>
      <c r="AH355" s="10">
        <f>IF($A355="","",$AF355+$AG355)</f>
        <v/>
      </c>
      <c r="AI355" s="6" t="n"/>
      <c r="AJ355" s="6" t="n"/>
      <c r="AK355" s="6" t="n"/>
      <c r="AL355" s="3">
        <f>IF($AK355="","",HYPERLINK(p_ruta_base_checklists&amp;$AK355,"abrir"))</f>
        <v/>
      </c>
      <c r="AM355" s="6" t="n"/>
      <c r="AN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1" t="n"/>
      <c r="K356" s="3" t="n"/>
      <c r="L356" s="10" t="n"/>
      <c r="M356" s="3">
        <f>IF($A356="","",IFERROR(INDEX('AJUSTES'!$B$4:$B$303,MATCH($AN356,'AJUSTES'!$A$4:$A$303,0)),IF($K356="","",$K356)))</f>
        <v/>
      </c>
      <c r="N356" s="3">
        <f>IF($A356="","",IFERROR(INDEX('CAT_ESTADOS_ERP'!$B$4:$B$7,MATCH(IFERROR(INDEX('2_IMPORTAR_EJECUCION'!$C$9:$C$1208,MATCH($AN356,'2_IMPORTAR_EJECUCION'!$J$9:$J$1208,0)),""),'CAT_ESTADOS_ERP'!$A$4:$A$7,0)),"Pendiente"))</f>
        <v/>
      </c>
      <c r="O356" s="3">
        <f>IF($J356="","",YEAR($J356+4-WEEKDAY($J356,2))&amp;"-S"&amp;TEXT(_xlfn.ISOWEEKNUM($J356),"00"))</f>
        <v/>
      </c>
      <c r="P356" s="3">
        <f>IF($J356="","",YEAR($J356))</f>
        <v/>
      </c>
      <c r="Q356" s="3">
        <f>IF($J356="","",MONTH($J356))</f>
        <v/>
      </c>
      <c r="R356" s="3">
        <f>IF($J356="","",INDEX(lista_dias,WEEKDAY($J356,2)))</f>
        <v/>
      </c>
      <c r="S356" s="3">
        <f>IF($I356="","",IFERROR(INDEX('CAT_TIPOS_OT'!$C$4:$C$7,MATCH($I356,'CAT_TIPOS_OT'!$A$4:$A$7,0)),"sin_clasificar"))</f>
        <v/>
      </c>
      <c r="T356" s="3">
        <f>IF($F356="","",IFERROR(INDEX('CAT_CENTROS_COSTO'!$E$4:$E$9,MATCH($F356,'CAT_CENTROS_COSTO'!$A$4:$A$9,0)),"(sin catálogo)"))</f>
        <v/>
      </c>
      <c r="U356" s="3">
        <f>IF($F356="","",IFERROR(INDEX('CAT_CENTROS_COSTO'!$D$4:$D$9,MATCH($F356,'CAT_CENTROS_COSTO'!$A$4:$A$9,0)),"(sin catálogo)"))</f>
        <v/>
      </c>
      <c r="V356" s="3">
        <f>IF($F356="","",IFERROR(INDEX('CAT_CENTROS_COSTO'!$F$4:$F$9,MATCH($F356,'CAT_CENTROS_COSTO'!$A$4:$A$9,0)),"(sin catálogo)"))</f>
        <v/>
      </c>
      <c r="W356" s="3">
        <f>IF($G356="","",IFERROR(INDEX('CAT_PUESTOS'!$B$4:$B$8,MATCH($G356,'CAT_PUESTOS'!$A$4:$A$8,0)),"(sin catálogo)"))</f>
        <v/>
      </c>
      <c r="X356" s="3">
        <f>IF($H356="","",IFERROR(INDEX('CAT_ACTIVIDADES'!$B$4:$B$8,MATCH($H356,'CAT_ACTIVIDADES'!$A$4:$A$8,0)),"(sin catálogo)"))</f>
        <v/>
      </c>
      <c r="Y356" s="12">
        <f>IF($J356="","",TODAY()-$J356)</f>
        <v/>
      </c>
      <c r="Z356" s="3">
        <f>IF($Y356="","",IF($Y356&lt;0,"FUTURO",IF($Y356&gt;p_dias_backlog_max,"BACKLOG","MES CORRIENTE")))</f>
        <v/>
      </c>
      <c r="AA356" s="3">
        <f>IF($Y356="",FALSE,AND($Y356&gt;p_dias_backlog_min,$Y356&lt;=p_dias_backlog_max))</f>
        <v/>
      </c>
      <c r="AB356" s="6" t="n"/>
      <c r="AC356" s="3">
        <f>IF($AB356="","",IFERROR(INDEX('ASIGNACIONES'!$F$4:$F$339,MATCH($O356&amp;"|"&amp;$R356&amp;"|"&amp;$AB356,'ASIGNACIONES'!$I$4:$I$339,0)),""))</f>
        <v/>
      </c>
      <c r="AD356" s="13">
        <f>IF($AB356="","",SUMIFS('ORDENES'!$M$4:$M$1203,'ORDENES'!$AB$4:$AB$1203,$AB356,'ORDENES'!$O$4:$O$1203,$O356,'ORDENES'!$R$4:$R$1203,$R356))</f>
        <v/>
      </c>
      <c r="AE356" s="13">
        <f>IF($AD356="","",p_factor_productividad*IFERROR(INDEX('ASIGNACIONES'!$H$4:$H$339,MATCH($O356&amp;"|"&amp;$R356&amp;"|"&amp;$AB356,'ASIGNACIONES'!$I$4:$I$339,0)),0)-$AD356)</f>
        <v/>
      </c>
      <c r="AF356" s="10">
        <f>IF($A356="","",IFERROR(INDEX('2_IMPORTAR_EJECUCION'!$F$9:$F$1208,MATCH($AN356,'2_IMPORTAR_EJECUCION'!$J$9:$J$1208,0)),0))</f>
        <v/>
      </c>
      <c r="AG356" s="10">
        <f>IF($A356="","",MAX(0,IFERROR(INDEX('2_IMPORTAR_EJECUCION'!$H$9:$H$1208,MATCH($AN356,'2_IMPORTAR_EJECUCION'!$J$9:$J$1208,0)),0)-$AF356))</f>
        <v/>
      </c>
      <c r="AH356" s="10">
        <f>IF($A356="","",$AF356+$AG356)</f>
        <v/>
      </c>
      <c r="AI356" s="6" t="n"/>
      <c r="AJ356" s="6" t="n"/>
      <c r="AK356" s="6" t="n"/>
      <c r="AL356" s="3">
        <f>IF($AK356="","",HYPERLINK(p_ruta_base_checklists&amp;$AK356,"abrir"))</f>
        <v/>
      </c>
      <c r="AM356" s="6" t="n"/>
      <c r="AN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1" t="n"/>
      <c r="K357" s="3" t="n"/>
      <c r="L357" s="10" t="n"/>
      <c r="M357" s="3">
        <f>IF($A357="","",IFERROR(INDEX('AJUSTES'!$B$4:$B$303,MATCH($AN357,'AJUSTES'!$A$4:$A$303,0)),IF($K357="","",$K357)))</f>
        <v/>
      </c>
      <c r="N357" s="3">
        <f>IF($A357="","",IFERROR(INDEX('CAT_ESTADOS_ERP'!$B$4:$B$7,MATCH(IFERROR(INDEX('2_IMPORTAR_EJECUCION'!$C$9:$C$1208,MATCH($AN357,'2_IMPORTAR_EJECUCION'!$J$9:$J$1208,0)),""),'CAT_ESTADOS_ERP'!$A$4:$A$7,0)),"Pendiente"))</f>
        <v/>
      </c>
      <c r="O357" s="3">
        <f>IF($J357="","",YEAR($J357+4-WEEKDAY($J357,2))&amp;"-S"&amp;TEXT(_xlfn.ISOWEEKNUM($J357),"00"))</f>
        <v/>
      </c>
      <c r="P357" s="3">
        <f>IF($J357="","",YEAR($J357))</f>
        <v/>
      </c>
      <c r="Q357" s="3">
        <f>IF($J357="","",MONTH($J357))</f>
        <v/>
      </c>
      <c r="R357" s="3">
        <f>IF($J357="","",INDEX(lista_dias,WEEKDAY($J357,2)))</f>
        <v/>
      </c>
      <c r="S357" s="3">
        <f>IF($I357="","",IFERROR(INDEX('CAT_TIPOS_OT'!$C$4:$C$7,MATCH($I357,'CAT_TIPOS_OT'!$A$4:$A$7,0)),"sin_clasificar"))</f>
        <v/>
      </c>
      <c r="T357" s="3">
        <f>IF($F357="","",IFERROR(INDEX('CAT_CENTROS_COSTO'!$E$4:$E$9,MATCH($F357,'CAT_CENTROS_COSTO'!$A$4:$A$9,0)),"(sin catálogo)"))</f>
        <v/>
      </c>
      <c r="U357" s="3">
        <f>IF($F357="","",IFERROR(INDEX('CAT_CENTROS_COSTO'!$D$4:$D$9,MATCH($F357,'CAT_CENTROS_COSTO'!$A$4:$A$9,0)),"(sin catálogo)"))</f>
        <v/>
      </c>
      <c r="V357" s="3">
        <f>IF($F357="","",IFERROR(INDEX('CAT_CENTROS_COSTO'!$F$4:$F$9,MATCH($F357,'CAT_CENTROS_COSTO'!$A$4:$A$9,0)),"(sin catálogo)"))</f>
        <v/>
      </c>
      <c r="W357" s="3">
        <f>IF($G357="","",IFERROR(INDEX('CAT_PUESTOS'!$B$4:$B$8,MATCH($G357,'CAT_PUESTOS'!$A$4:$A$8,0)),"(sin catálogo)"))</f>
        <v/>
      </c>
      <c r="X357" s="3">
        <f>IF($H357="","",IFERROR(INDEX('CAT_ACTIVIDADES'!$B$4:$B$8,MATCH($H357,'CAT_ACTIVIDADES'!$A$4:$A$8,0)),"(sin catálogo)"))</f>
        <v/>
      </c>
      <c r="Y357" s="12">
        <f>IF($J357="","",TODAY()-$J357)</f>
        <v/>
      </c>
      <c r="Z357" s="3">
        <f>IF($Y357="","",IF($Y357&lt;0,"FUTURO",IF($Y357&gt;p_dias_backlog_max,"BACKLOG","MES CORRIENTE")))</f>
        <v/>
      </c>
      <c r="AA357" s="3">
        <f>IF($Y357="",FALSE,AND($Y357&gt;p_dias_backlog_min,$Y357&lt;=p_dias_backlog_max))</f>
        <v/>
      </c>
      <c r="AB357" s="6" t="n"/>
      <c r="AC357" s="3">
        <f>IF($AB357="","",IFERROR(INDEX('ASIGNACIONES'!$F$4:$F$339,MATCH($O357&amp;"|"&amp;$R357&amp;"|"&amp;$AB357,'ASIGNACIONES'!$I$4:$I$339,0)),""))</f>
        <v/>
      </c>
      <c r="AD357" s="13">
        <f>IF($AB357="","",SUMIFS('ORDENES'!$M$4:$M$1203,'ORDENES'!$AB$4:$AB$1203,$AB357,'ORDENES'!$O$4:$O$1203,$O357,'ORDENES'!$R$4:$R$1203,$R357))</f>
        <v/>
      </c>
      <c r="AE357" s="13">
        <f>IF($AD357="","",p_factor_productividad*IFERROR(INDEX('ASIGNACIONES'!$H$4:$H$339,MATCH($O357&amp;"|"&amp;$R357&amp;"|"&amp;$AB357,'ASIGNACIONES'!$I$4:$I$339,0)),0)-$AD357)</f>
        <v/>
      </c>
      <c r="AF357" s="10">
        <f>IF($A357="","",IFERROR(INDEX('2_IMPORTAR_EJECUCION'!$F$9:$F$1208,MATCH($AN357,'2_IMPORTAR_EJECUCION'!$J$9:$J$1208,0)),0))</f>
        <v/>
      </c>
      <c r="AG357" s="10">
        <f>IF($A357="","",MAX(0,IFERROR(INDEX('2_IMPORTAR_EJECUCION'!$H$9:$H$1208,MATCH($AN357,'2_IMPORTAR_EJECUCION'!$J$9:$J$1208,0)),0)-$AF357))</f>
        <v/>
      </c>
      <c r="AH357" s="10">
        <f>IF($A357="","",$AF357+$AG357)</f>
        <v/>
      </c>
      <c r="AI357" s="6" t="n"/>
      <c r="AJ357" s="6" t="n"/>
      <c r="AK357" s="6" t="n"/>
      <c r="AL357" s="3">
        <f>IF($AK357="","",HYPERLINK(p_ruta_base_checklists&amp;$AK357,"abrir"))</f>
        <v/>
      </c>
      <c r="AM357" s="6" t="n"/>
      <c r="AN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1" t="n"/>
      <c r="K358" s="3" t="n"/>
      <c r="L358" s="10" t="n"/>
      <c r="M358" s="3">
        <f>IF($A358="","",IFERROR(INDEX('AJUSTES'!$B$4:$B$303,MATCH($AN358,'AJUSTES'!$A$4:$A$303,0)),IF($K358="","",$K358)))</f>
        <v/>
      </c>
      <c r="N358" s="3">
        <f>IF($A358="","",IFERROR(INDEX('CAT_ESTADOS_ERP'!$B$4:$B$7,MATCH(IFERROR(INDEX('2_IMPORTAR_EJECUCION'!$C$9:$C$1208,MATCH($AN358,'2_IMPORTAR_EJECUCION'!$J$9:$J$1208,0)),""),'CAT_ESTADOS_ERP'!$A$4:$A$7,0)),"Pendiente"))</f>
        <v/>
      </c>
      <c r="O358" s="3">
        <f>IF($J358="","",YEAR($J358+4-WEEKDAY($J358,2))&amp;"-S"&amp;TEXT(_xlfn.ISOWEEKNUM($J358),"00"))</f>
        <v/>
      </c>
      <c r="P358" s="3">
        <f>IF($J358="","",YEAR($J358))</f>
        <v/>
      </c>
      <c r="Q358" s="3">
        <f>IF($J358="","",MONTH($J358))</f>
        <v/>
      </c>
      <c r="R358" s="3">
        <f>IF($J358="","",INDEX(lista_dias,WEEKDAY($J358,2)))</f>
        <v/>
      </c>
      <c r="S358" s="3">
        <f>IF($I358="","",IFERROR(INDEX('CAT_TIPOS_OT'!$C$4:$C$7,MATCH($I358,'CAT_TIPOS_OT'!$A$4:$A$7,0)),"sin_clasificar"))</f>
        <v/>
      </c>
      <c r="T358" s="3">
        <f>IF($F358="","",IFERROR(INDEX('CAT_CENTROS_COSTO'!$E$4:$E$9,MATCH($F358,'CAT_CENTROS_COSTO'!$A$4:$A$9,0)),"(sin catálogo)"))</f>
        <v/>
      </c>
      <c r="U358" s="3">
        <f>IF($F358="","",IFERROR(INDEX('CAT_CENTROS_COSTO'!$D$4:$D$9,MATCH($F358,'CAT_CENTROS_COSTO'!$A$4:$A$9,0)),"(sin catálogo)"))</f>
        <v/>
      </c>
      <c r="V358" s="3">
        <f>IF($F358="","",IFERROR(INDEX('CAT_CENTROS_COSTO'!$F$4:$F$9,MATCH($F358,'CAT_CENTROS_COSTO'!$A$4:$A$9,0)),"(sin catálogo)"))</f>
        <v/>
      </c>
      <c r="W358" s="3">
        <f>IF($G358="","",IFERROR(INDEX('CAT_PUESTOS'!$B$4:$B$8,MATCH($G358,'CAT_PUESTOS'!$A$4:$A$8,0)),"(sin catálogo)"))</f>
        <v/>
      </c>
      <c r="X358" s="3">
        <f>IF($H358="","",IFERROR(INDEX('CAT_ACTIVIDADES'!$B$4:$B$8,MATCH($H358,'CAT_ACTIVIDADES'!$A$4:$A$8,0)),"(sin catálogo)"))</f>
        <v/>
      </c>
      <c r="Y358" s="12">
        <f>IF($J358="","",TODAY()-$J358)</f>
        <v/>
      </c>
      <c r="Z358" s="3">
        <f>IF($Y358="","",IF($Y358&lt;0,"FUTURO",IF($Y358&gt;p_dias_backlog_max,"BACKLOG","MES CORRIENTE")))</f>
        <v/>
      </c>
      <c r="AA358" s="3">
        <f>IF($Y358="",FALSE,AND($Y358&gt;p_dias_backlog_min,$Y358&lt;=p_dias_backlog_max))</f>
        <v/>
      </c>
      <c r="AB358" s="6" t="n"/>
      <c r="AC358" s="3">
        <f>IF($AB358="","",IFERROR(INDEX('ASIGNACIONES'!$F$4:$F$339,MATCH($O358&amp;"|"&amp;$R358&amp;"|"&amp;$AB358,'ASIGNACIONES'!$I$4:$I$339,0)),""))</f>
        <v/>
      </c>
      <c r="AD358" s="13">
        <f>IF($AB358="","",SUMIFS('ORDENES'!$M$4:$M$1203,'ORDENES'!$AB$4:$AB$1203,$AB358,'ORDENES'!$O$4:$O$1203,$O358,'ORDENES'!$R$4:$R$1203,$R358))</f>
        <v/>
      </c>
      <c r="AE358" s="13">
        <f>IF($AD358="","",p_factor_productividad*IFERROR(INDEX('ASIGNACIONES'!$H$4:$H$339,MATCH($O358&amp;"|"&amp;$R358&amp;"|"&amp;$AB358,'ASIGNACIONES'!$I$4:$I$339,0)),0)-$AD358)</f>
        <v/>
      </c>
      <c r="AF358" s="10">
        <f>IF($A358="","",IFERROR(INDEX('2_IMPORTAR_EJECUCION'!$F$9:$F$1208,MATCH($AN358,'2_IMPORTAR_EJECUCION'!$J$9:$J$1208,0)),0))</f>
        <v/>
      </c>
      <c r="AG358" s="10">
        <f>IF($A358="","",MAX(0,IFERROR(INDEX('2_IMPORTAR_EJECUCION'!$H$9:$H$1208,MATCH($AN358,'2_IMPORTAR_EJECUCION'!$J$9:$J$1208,0)),0)-$AF358))</f>
        <v/>
      </c>
      <c r="AH358" s="10">
        <f>IF($A358="","",$AF358+$AG358)</f>
        <v/>
      </c>
      <c r="AI358" s="6" t="n"/>
      <c r="AJ358" s="6" t="n"/>
      <c r="AK358" s="6" t="n"/>
      <c r="AL358" s="3">
        <f>IF($AK358="","",HYPERLINK(p_ruta_base_checklists&amp;$AK358,"abrir"))</f>
        <v/>
      </c>
      <c r="AM358" s="6" t="n"/>
      <c r="AN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1" t="n"/>
      <c r="K359" s="3" t="n"/>
      <c r="L359" s="10" t="n"/>
      <c r="M359" s="3">
        <f>IF($A359="","",IFERROR(INDEX('AJUSTES'!$B$4:$B$303,MATCH($AN359,'AJUSTES'!$A$4:$A$303,0)),IF($K359="","",$K359)))</f>
        <v/>
      </c>
      <c r="N359" s="3">
        <f>IF($A359="","",IFERROR(INDEX('CAT_ESTADOS_ERP'!$B$4:$B$7,MATCH(IFERROR(INDEX('2_IMPORTAR_EJECUCION'!$C$9:$C$1208,MATCH($AN359,'2_IMPORTAR_EJECUCION'!$J$9:$J$1208,0)),""),'CAT_ESTADOS_ERP'!$A$4:$A$7,0)),"Pendiente"))</f>
        <v/>
      </c>
      <c r="O359" s="3">
        <f>IF($J359="","",YEAR($J359+4-WEEKDAY($J359,2))&amp;"-S"&amp;TEXT(_xlfn.ISOWEEKNUM($J359),"00"))</f>
        <v/>
      </c>
      <c r="P359" s="3">
        <f>IF($J359="","",YEAR($J359))</f>
        <v/>
      </c>
      <c r="Q359" s="3">
        <f>IF($J359="","",MONTH($J359))</f>
        <v/>
      </c>
      <c r="R359" s="3">
        <f>IF($J359="","",INDEX(lista_dias,WEEKDAY($J359,2)))</f>
        <v/>
      </c>
      <c r="S359" s="3">
        <f>IF($I359="","",IFERROR(INDEX('CAT_TIPOS_OT'!$C$4:$C$7,MATCH($I359,'CAT_TIPOS_OT'!$A$4:$A$7,0)),"sin_clasificar"))</f>
        <v/>
      </c>
      <c r="T359" s="3">
        <f>IF($F359="","",IFERROR(INDEX('CAT_CENTROS_COSTO'!$E$4:$E$9,MATCH($F359,'CAT_CENTROS_COSTO'!$A$4:$A$9,0)),"(sin catálogo)"))</f>
        <v/>
      </c>
      <c r="U359" s="3">
        <f>IF($F359="","",IFERROR(INDEX('CAT_CENTROS_COSTO'!$D$4:$D$9,MATCH($F359,'CAT_CENTROS_COSTO'!$A$4:$A$9,0)),"(sin catálogo)"))</f>
        <v/>
      </c>
      <c r="V359" s="3">
        <f>IF($F359="","",IFERROR(INDEX('CAT_CENTROS_COSTO'!$F$4:$F$9,MATCH($F359,'CAT_CENTROS_COSTO'!$A$4:$A$9,0)),"(sin catálogo)"))</f>
        <v/>
      </c>
      <c r="W359" s="3">
        <f>IF($G359="","",IFERROR(INDEX('CAT_PUESTOS'!$B$4:$B$8,MATCH($G359,'CAT_PUESTOS'!$A$4:$A$8,0)),"(sin catálogo)"))</f>
        <v/>
      </c>
      <c r="X359" s="3">
        <f>IF($H359="","",IFERROR(INDEX('CAT_ACTIVIDADES'!$B$4:$B$8,MATCH($H359,'CAT_ACTIVIDADES'!$A$4:$A$8,0)),"(sin catálogo)"))</f>
        <v/>
      </c>
      <c r="Y359" s="12">
        <f>IF($J359="","",TODAY()-$J359)</f>
        <v/>
      </c>
      <c r="Z359" s="3">
        <f>IF($Y359="","",IF($Y359&lt;0,"FUTURO",IF($Y359&gt;p_dias_backlog_max,"BACKLOG","MES CORRIENTE")))</f>
        <v/>
      </c>
      <c r="AA359" s="3">
        <f>IF($Y359="",FALSE,AND($Y359&gt;p_dias_backlog_min,$Y359&lt;=p_dias_backlog_max))</f>
        <v/>
      </c>
      <c r="AB359" s="6" t="n"/>
      <c r="AC359" s="3">
        <f>IF($AB359="","",IFERROR(INDEX('ASIGNACIONES'!$F$4:$F$339,MATCH($O359&amp;"|"&amp;$R359&amp;"|"&amp;$AB359,'ASIGNACIONES'!$I$4:$I$339,0)),""))</f>
        <v/>
      </c>
      <c r="AD359" s="13">
        <f>IF($AB359="","",SUMIFS('ORDENES'!$M$4:$M$1203,'ORDENES'!$AB$4:$AB$1203,$AB359,'ORDENES'!$O$4:$O$1203,$O359,'ORDENES'!$R$4:$R$1203,$R359))</f>
        <v/>
      </c>
      <c r="AE359" s="13">
        <f>IF($AD359="","",p_factor_productividad*IFERROR(INDEX('ASIGNACIONES'!$H$4:$H$339,MATCH($O359&amp;"|"&amp;$R359&amp;"|"&amp;$AB359,'ASIGNACIONES'!$I$4:$I$339,0)),0)-$AD359)</f>
        <v/>
      </c>
      <c r="AF359" s="10">
        <f>IF($A359="","",IFERROR(INDEX('2_IMPORTAR_EJECUCION'!$F$9:$F$1208,MATCH($AN359,'2_IMPORTAR_EJECUCION'!$J$9:$J$1208,0)),0))</f>
        <v/>
      </c>
      <c r="AG359" s="10">
        <f>IF($A359="","",MAX(0,IFERROR(INDEX('2_IMPORTAR_EJECUCION'!$H$9:$H$1208,MATCH($AN359,'2_IMPORTAR_EJECUCION'!$J$9:$J$1208,0)),0)-$AF359))</f>
        <v/>
      </c>
      <c r="AH359" s="10">
        <f>IF($A359="","",$AF359+$AG359)</f>
        <v/>
      </c>
      <c r="AI359" s="6" t="n"/>
      <c r="AJ359" s="6" t="n"/>
      <c r="AK359" s="6" t="n"/>
      <c r="AL359" s="3">
        <f>IF($AK359="","",HYPERLINK(p_ruta_base_checklists&amp;$AK359,"abrir"))</f>
        <v/>
      </c>
      <c r="AM359" s="6" t="n"/>
      <c r="AN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1" t="n"/>
      <c r="K360" s="3" t="n"/>
      <c r="L360" s="10" t="n"/>
      <c r="M360" s="3">
        <f>IF($A360="","",IFERROR(INDEX('AJUSTES'!$B$4:$B$303,MATCH($AN360,'AJUSTES'!$A$4:$A$303,0)),IF($K360="","",$K360)))</f>
        <v/>
      </c>
      <c r="N360" s="3">
        <f>IF($A360="","",IFERROR(INDEX('CAT_ESTADOS_ERP'!$B$4:$B$7,MATCH(IFERROR(INDEX('2_IMPORTAR_EJECUCION'!$C$9:$C$1208,MATCH($AN360,'2_IMPORTAR_EJECUCION'!$J$9:$J$1208,0)),""),'CAT_ESTADOS_ERP'!$A$4:$A$7,0)),"Pendiente"))</f>
        <v/>
      </c>
      <c r="O360" s="3">
        <f>IF($J360="","",YEAR($J360+4-WEEKDAY($J360,2))&amp;"-S"&amp;TEXT(_xlfn.ISOWEEKNUM($J360),"00"))</f>
        <v/>
      </c>
      <c r="P360" s="3">
        <f>IF($J360="","",YEAR($J360))</f>
        <v/>
      </c>
      <c r="Q360" s="3">
        <f>IF($J360="","",MONTH($J360))</f>
        <v/>
      </c>
      <c r="R360" s="3">
        <f>IF($J360="","",INDEX(lista_dias,WEEKDAY($J360,2)))</f>
        <v/>
      </c>
      <c r="S360" s="3">
        <f>IF($I360="","",IFERROR(INDEX('CAT_TIPOS_OT'!$C$4:$C$7,MATCH($I360,'CAT_TIPOS_OT'!$A$4:$A$7,0)),"sin_clasificar"))</f>
        <v/>
      </c>
      <c r="T360" s="3">
        <f>IF($F360="","",IFERROR(INDEX('CAT_CENTROS_COSTO'!$E$4:$E$9,MATCH($F360,'CAT_CENTROS_COSTO'!$A$4:$A$9,0)),"(sin catálogo)"))</f>
        <v/>
      </c>
      <c r="U360" s="3">
        <f>IF($F360="","",IFERROR(INDEX('CAT_CENTROS_COSTO'!$D$4:$D$9,MATCH($F360,'CAT_CENTROS_COSTO'!$A$4:$A$9,0)),"(sin catálogo)"))</f>
        <v/>
      </c>
      <c r="V360" s="3">
        <f>IF($F360="","",IFERROR(INDEX('CAT_CENTROS_COSTO'!$F$4:$F$9,MATCH($F360,'CAT_CENTROS_COSTO'!$A$4:$A$9,0)),"(sin catálogo)"))</f>
        <v/>
      </c>
      <c r="W360" s="3">
        <f>IF($G360="","",IFERROR(INDEX('CAT_PUESTOS'!$B$4:$B$8,MATCH($G360,'CAT_PUESTOS'!$A$4:$A$8,0)),"(sin catálogo)"))</f>
        <v/>
      </c>
      <c r="X360" s="3">
        <f>IF($H360="","",IFERROR(INDEX('CAT_ACTIVIDADES'!$B$4:$B$8,MATCH($H360,'CAT_ACTIVIDADES'!$A$4:$A$8,0)),"(sin catálogo)"))</f>
        <v/>
      </c>
      <c r="Y360" s="12">
        <f>IF($J360="","",TODAY()-$J360)</f>
        <v/>
      </c>
      <c r="Z360" s="3">
        <f>IF($Y360="","",IF($Y360&lt;0,"FUTURO",IF($Y360&gt;p_dias_backlog_max,"BACKLOG","MES CORRIENTE")))</f>
        <v/>
      </c>
      <c r="AA360" s="3">
        <f>IF($Y360="",FALSE,AND($Y360&gt;p_dias_backlog_min,$Y360&lt;=p_dias_backlog_max))</f>
        <v/>
      </c>
      <c r="AB360" s="6" t="n"/>
      <c r="AC360" s="3">
        <f>IF($AB360="","",IFERROR(INDEX('ASIGNACIONES'!$F$4:$F$339,MATCH($O360&amp;"|"&amp;$R360&amp;"|"&amp;$AB360,'ASIGNACIONES'!$I$4:$I$339,0)),""))</f>
        <v/>
      </c>
      <c r="AD360" s="13">
        <f>IF($AB360="","",SUMIFS('ORDENES'!$M$4:$M$1203,'ORDENES'!$AB$4:$AB$1203,$AB360,'ORDENES'!$O$4:$O$1203,$O360,'ORDENES'!$R$4:$R$1203,$R360))</f>
        <v/>
      </c>
      <c r="AE360" s="13">
        <f>IF($AD360="","",p_factor_productividad*IFERROR(INDEX('ASIGNACIONES'!$H$4:$H$339,MATCH($O360&amp;"|"&amp;$R360&amp;"|"&amp;$AB360,'ASIGNACIONES'!$I$4:$I$339,0)),0)-$AD360)</f>
        <v/>
      </c>
      <c r="AF360" s="10">
        <f>IF($A360="","",IFERROR(INDEX('2_IMPORTAR_EJECUCION'!$F$9:$F$1208,MATCH($AN360,'2_IMPORTAR_EJECUCION'!$J$9:$J$1208,0)),0))</f>
        <v/>
      </c>
      <c r="AG360" s="10">
        <f>IF($A360="","",MAX(0,IFERROR(INDEX('2_IMPORTAR_EJECUCION'!$H$9:$H$1208,MATCH($AN360,'2_IMPORTAR_EJECUCION'!$J$9:$J$1208,0)),0)-$AF360))</f>
        <v/>
      </c>
      <c r="AH360" s="10">
        <f>IF($A360="","",$AF360+$AG360)</f>
        <v/>
      </c>
      <c r="AI360" s="6" t="n"/>
      <c r="AJ360" s="6" t="n"/>
      <c r="AK360" s="6" t="n"/>
      <c r="AL360" s="3">
        <f>IF($AK360="","",HYPERLINK(p_ruta_base_checklists&amp;$AK360,"abrir"))</f>
        <v/>
      </c>
      <c r="AM360" s="6" t="n"/>
      <c r="AN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1" t="n"/>
      <c r="K361" s="3" t="n"/>
      <c r="L361" s="10" t="n"/>
      <c r="M361" s="3">
        <f>IF($A361="","",IFERROR(INDEX('AJUSTES'!$B$4:$B$303,MATCH($AN361,'AJUSTES'!$A$4:$A$303,0)),IF($K361="","",$K361)))</f>
        <v/>
      </c>
      <c r="N361" s="3">
        <f>IF($A361="","",IFERROR(INDEX('CAT_ESTADOS_ERP'!$B$4:$B$7,MATCH(IFERROR(INDEX('2_IMPORTAR_EJECUCION'!$C$9:$C$1208,MATCH($AN361,'2_IMPORTAR_EJECUCION'!$J$9:$J$1208,0)),""),'CAT_ESTADOS_ERP'!$A$4:$A$7,0)),"Pendiente"))</f>
        <v/>
      </c>
      <c r="O361" s="3">
        <f>IF($J361="","",YEAR($J361+4-WEEKDAY($J361,2))&amp;"-S"&amp;TEXT(_xlfn.ISOWEEKNUM($J361),"00"))</f>
        <v/>
      </c>
      <c r="P361" s="3">
        <f>IF($J361="","",YEAR($J361))</f>
        <v/>
      </c>
      <c r="Q361" s="3">
        <f>IF($J361="","",MONTH($J361))</f>
        <v/>
      </c>
      <c r="R361" s="3">
        <f>IF($J361="","",INDEX(lista_dias,WEEKDAY($J361,2)))</f>
        <v/>
      </c>
      <c r="S361" s="3">
        <f>IF($I361="","",IFERROR(INDEX('CAT_TIPOS_OT'!$C$4:$C$7,MATCH($I361,'CAT_TIPOS_OT'!$A$4:$A$7,0)),"sin_clasificar"))</f>
        <v/>
      </c>
      <c r="T361" s="3">
        <f>IF($F361="","",IFERROR(INDEX('CAT_CENTROS_COSTO'!$E$4:$E$9,MATCH($F361,'CAT_CENTROS_COSTO'!$A$4:$A$9,0)),"(sin catálogo)"))</f>
        <v/>
      </c>
      <c r="U361" s="3">
        <f>IF($F361="","",IFERROR(INDEX('CAT_CENTROS_COSTO'!$D$4:$D$9,MATCH($F361,'CAT_CENTROS_COSTO'!$A$4:$A$9,0)),"(sin catálogo)"))</f>
        <v/>
      </c>
      <c r="V361" s="3">
        <f>IF($F361="","",IFERROR(INDEX('CAT_CENTROS_COSTO'!$F$4:$F$9,MATCH($F361,'CAT_CENTROS_COSTO'!$A$4:$A$9,0)),"(sin catálogo)"))</f>
        <v/>
      </c>
      <c r="W361" s="3">
        <f>IF($G361="","",IFERROR(INDEX('CAT_PUESTOS'!$B$4:$B$8,MATCH($G361,'CAT_PUESTOS'!$A$4:$A$8,0)),"(sin catálogo)"))</f>
        <v/>
      </c>
      <c r="X361" s="3">
        <f>IF($H361="","",IFERROR(INDEX('CAT_ACTIVIDADES'!$B$4:$B$8,MATCH($H361,'CAT_ACTIVIDADES'!$A$4:$A$8,0)),"(sin catálogo)"))</f>
        <v/>
      </c>
      <c r="Y361" s="12">
        <f>IF($J361="","",TODAY()-$J361)</f>
        <v/>
      </c>
      <c r="Z361" s="3">
        <f>IF($Y361="","",IF($Y361&lt;0,"FUTURO",IF($Y361&gt;p_dias_backlog_max,"BACKLOG","MES CORRIENTE")))</f>
        <v/>
      </c>
      <c r="AA361" s="3">
        <f>IF($Y361="",FALSE,AND($Y361&gt;p_dias_backlog_min,$Y361&lt;=p_dias_backlog_max))</f>
        <v/>
      </c>
      <c r="AB361" s="6" t="n"/>
      <c r="AC361" s="3">
        <f>IF($AB361="","",IFERROR(INDEX('ASIGNACIONES'!$F$4:$F$339,MATCH($O361&amp;"|"&amp;$R361&amp;"|"&amp;$AB361,'ASIGNACIONES'!$I$4:$I$339,0)),""))</f>
        <v/>
      </c>
      <c r="AD361" s="13">
        <f>IF($AB361="","",SUMIFS('ORDENES'!$M$4:$M$1203,'ORDENES'!$AB$4:$AB$1203,$AB361,'ORDENES'!$O$4:$O$1203,$O361,'ORDENES'!$R$4:$R$1203,$R361))</f>
        <v/>
      </c>
      <c r="AE361" s="13">
        <f>IF($AD361="","",p_factor_productividad*IFERROR(INDEX('ASIGNACIONES'!$H$4:$H$339,MATCH($O361&amp;"|"&amp;$R361&amp;"|"&amp;$AB361,'ASIGNACIONES'!$I$4:$I$339,0)),0)-$AD361)</f>
        <v/>
      </c>
      <c r="AF361" s="10">
        <f>IF($A361="","",IFERROR(INDEX('2_IMPORTAR_EJECUCION'!$F$9:$F$1208,MATCH($AN361,'2_IMPORTAR_EJECUCION'!$J$9:$J$1208,0)),0))</f>
        <v/>
      </c>
      <c r="AG361" s="10">
        <f>IF($A361="","",MAX(0,IFERROR(INDEX('2_IMPORTAR_EJECUCION'!$H$9:$H$1208,MATCH($AN361,'2_IMPORTAR_EJECUCION'!$J$9:$J$1208,0)),0)-$AF361))</f>
        <v/>
      </c>
      <c r="AH361" s="10">
        <f>IF($A361="","",$AF361+$AG361)</f>
        <v/>
      </c>
      <c r="AI361" s="6" t="n"/>
      <c r="AJ361" s="6" t="n"/>
      <c r="AK361" s="6" t="n"/>
      <c r="AL361" s="3">
        <f>IF($AK361="","",HYPERLINK(p_ruta_base_checklists&amp;$AK361,"abrir"))</f>
        <v/>
      </c>
      <c r="AM361" s="6" t="n"/>
      <c r="AN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1" t="n"/>
      <c r="K362" s="3" t="n"/>
      <c r="L362" s="10" t="n"/>
      <c r="M362" s="3">
        <f>IF($A362="","",IFERROR(INDEX('AJUSTES'!$B$4:$B$303,MATCH($AN362,'AJUSTES'!$A$4:$A$303,0)),IF($K362="","",$K362)))</f>
        <v/>
      </c>
      <c r="N362" s="3">
        <f>IF($A362="","",IFERROR(INDEX('CAT_ESTADOS_ERP'!$B$4:$B$7,MATCH(IFERROR(INDEX('2_IMPORTAR_EJECUCION'!$C$9:$C$1208,MATCH($AN362,'2_IMPORTAR_EJECUCION'!$J$9:$J$1208,0)),""),'CAT_ESTADOS_ERP'!$A$4:$A$7,0)),"Pendiente"))</f>
        <v/>
      </c>
      <c r="O362" s="3">
        <f>IF($J362="","",YEAR($J362+4-WEEKDAY($J362,2))&amp;"-S"&amp;TEXT(_xlfn.ISOWEEKNUM($J362),"00"))</f>
        <v/>
      </c>
      <c r="P362" s="3">
        <f>IF($J362="","",YEAR($J362))</f>
        <v/>
      </c>
      <c r="Q362" s="3">
        <f>IF($J362="","",MONTH($J362))</f>
        <v/>
      </c>
      <c r="R362" s="3">
        <f>IF($J362="","",INDEX(lista_dias,WEEKDAY($J362,2)))</f>
        <v/>
      </c>
      <c r="S362" s="3">
        <f>IF($I362="","",IFERROR(INDEX('CAT_TIPOS_OT'!$C$4:$C$7,MATCH($I362,'CAT_TIPOS_OT'!$A$4:$A$7,0)),"sin_clasificar"))</f>
        <v/>
      </c>
      <c r="T362" s="3">
        <f>IF($F362="","",IFERROR(INDEX('CAT_CENTROS_COSTO'!$E$4:$E$9,MATCH($F362,'CAT_CENTROS_COSTO'!$A$4:$A$9,0)),"(sin catálogo)"))</f>
        <v/>
      </c>
      <c r="U362" s="3">
        <f>IF($F362="","",IFERROR(INDEX('CAT_CENTROS_COSTO'!$D$4:$D$9,MATCH($F362,'CAT_CENTROS_COSTO'!$A$4:$A$9,0)),"(sin catálogo)"))</f>
        <v/>
      </c>
      <c r="V362" s="3">
        <f>IF($F362="","",IFERROR(INDEX('CAT_CENTROS_COSTO'!$F$4:$F$9,MATCH($F362,'CAT_CENTROS_COSTO'!$A$4:$A$9,0)),"(sin catálogo)"))</f>
        <v/>
      </c>
      <c r="W362" s="3">
        <f>IF($G362="","",IFERROR(INDEX('CAT_PUESTOS'!$B$4:$B$8,MATCH($G362,'CAT_PUESTOS'!$A$4:$A$8,0)),"(sin catálogo)"))</f>
        <v/>
      </c>
      <c r="X362" s="3">
        <f>IF($H362="","",IFERROR(INDEX('CAT_ACTIVIDADES'!$B$4:$B$8,MATCH($H362,'CAT_ACTIVIDADES'!$A$4:$A$8,0)),"(sin catálogo)"))</f>
        <v/>
      </c>
      <c r="Y362" s="12">
        <f>IF($J362="","",TODAY()-$J362)</f>
        <v/>
      </c>
      <c r="Z362" s="3">
        <f>IF($Y362="","",IF($Y362&lt;0,"FUTURO",IF($Y362&gt;p_dias_backlog_max,"BACKLOG","MES CORRIENTE")))</f>
        <v/>
      </c>
      <c r="AA362" s="3">
        <f>IF($Y362="",FALSE,AND($Y362&gt;p_dias_backlog_min,$Y362&lt;=p_dias_backlog_max))</f>
        <v/>
      </c>
      <c r="AB362" s="6" t="n"/>
      <c r="AC362" s="3">
        <f>IF($AB362="","",IFERROR(INDEX('ASIGNACIONES'!$F$4:$F$339,MATCH($O362&amp;"|"&amp;$R362&amp;"|"&amp;$AB362,'ASIGNACIONES'!$I$4:$I$339,0)),""))</f>
        <v/>
      </c>
      <c r="AD362" s="13">
        <f>IF($AB362="","",SUMIFS('ORDENES'!$M$4:$M$1203,'ORDENES'!$AB$4:$AB$1203,$AB362,'ORDENES'!$O$4:$O$1203,$O362,'ORDENES'!$R$4:$R$1203,$R362))</f>
        <v/>
      </c>
      <c r="AE362" s="13">
        <f>IF($AD362="","",p_factor_productividad*IFERROR(INDEX('ASIGNACIONES'!$H$4:$H$339,MATCH($O362&amp;"|"&amp;$R362&amp;"|"&amp;$AB362,'ASIGNACIONES'!$I$4:$I$339,0)),0)-$AD362)</f>
        <v/>
      </c>
      <c r="AF362" s="10">
        <f>IF($A362="","",IFERROR(INDEX('2_IMPORTAR_EJECUCION'!$F$9:$F$1208,MATCH($AN362,'2_IMPORTAR_EJECUCION'!$J$9:$J$1208,0)),0))</f>
        <v/>
      </c>
      <c r="AG362" s="10">
        <f>IF($A362="","",MAX(0,IFERROR(INDEX('2_IMPORTAR_EJECUCION'!$H$9:$H$1208,MATCH($AN362,'2_IMPORTAR_EJECUCION'!$J$9:$J$1208,0)),0)-$AF362))</f>
        <v/>
      </c>
      <c r="AH362" s="10">
        <f>IF($A362="","",$AF362+$AG362)</f>
        <v/>
      </c>
      <c r="AI362" s="6" t="n"/>
      <c r="AJ362" s="6" t="n"/>
      <c r="AK362" s="6" t="n"/>
      <c r="AL362" s="3">
        <f>IF($AK362="","",HYPERLINK(p_ruta_base_checklists&amp;$AK362,"abrir"))</f>
        <v/>
      </c>
      <c r="AM362" s="6" t="n"/>
      <c r="AN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1" t="n"/>
      <c r="K363" s="3" t="n"/>
      <c r="L363" s="10" t="n"/>
      <c r="M363" s="3">
        <f>IF($A363="","",IFERROR(INDEX('AJUSTES'!$B$4:$B$303,MATCH($AN363,'AJUSTES'!$A$4:$A$303,0)),IF($K363="","",$K363)))</f>
        <v/>
      </c>
      <c r="N363" s="3">
        <f>IF($A363="","",IFERROR(INDEX('CAT_ESTADOS_ERP'!$B$4:$B$7,MATCH(IFERROR(INDEX('2_IMPORTAR_EJECUCION'!$C$9:$C$1208,MATCH($AN363,'2_IMPORTAR_EJECUCION'!$J$9:$J$1208,0)),""),'CAT_ESTADOS_ERP'!$A$4:$A$7,0)),"Pendiente"))</f>
        <v/>
      </c>
      <c r="O363" s="3">
        <f>IF($J363="","",YEAR($J363+4-WEEKDAY($J363,2))&amp;"-S"&amp;TEXT(_xlfn.ISOWEEKNUM($J363),"00"))</f>
        <v/>
      </c>
      <c r="P363" s="3">
        <f>IF($J363="","",YEAR($J363))</f>
        <v/>
      </c>
      <c r="Q363" s="3">
        <f>IF($J363="","",MONTH($J363))</f>
        <v/>
      </c>
      <c r="R363" s="3">
        <f>IF($J363="","",INDEX(lista_dias,WEEKDAY($J363,2)))</f>
        <v/>
      </c>
      <c r="S363" s="3">
        <f>IF($I363="","",IFERROR(INDEX('CAT_TIPOS_OT'!$C$4:$C$7,MATCH($I363,'CAT_TIPOS_OT'!$A$4:$A$7,0)),"sin_clasificar"))</f>
        <v/>
      </c>
      <c r="T363" s="3">
        <f>IF($F363="","",IFERROR(INDEX('CAT_CENTROS_COSTO'!$E$4:$E$9,MATCH($F363,'CAT_CENTROS_COSTO'!$A$4:$A$9,0)),"(sin catálogo)"))</f>
        <v/>
      </c>
      <c r="U363" s="3">
        <f>IF($F363="","",IFERROR(INDEX('CAT_CENTROS_COSTO'!$D$4:$D$9,MATCH($F363,'CAT_CENTROS_COSTO'!$A$4:$A$9,0)),"(sin catálogo)"))</f>
        <v/>
      </c>
      <c r="V363" s="3">
        <f>IF($F363="","",IFERROR(INDEX('CAT_CENTROS_COSTO'!$F$4:$F$9,MATCH($F363,'CAT_CENTROS_COSTO'!$A$4:$A$9,0)),"(sin catálogo)"))</f>
        <v/>
      </c>
      <c r="W363" s="3">
        <f>IF($G363="","",IFERROR(INDEX('CAT_PUESTOS'!$B$4:$B$8,MATCH($G363,'CAT_PUESTOS'!$A$4:$A$8,0)),"(sin catálogo)"))</f>
        <v/>
      </c>
      <c r="X363" s="3">
        <f>IF($H363="","",IFERROR(INDEX('CAT_ACTIVIDADES'!$B$4:$B$8,MATCH($H363,'CAT_ACTIVIDADES'!$A$4:$A$8,0)),"(sin catálogo)"))</f>
        <v/>
      </c>
      <c r="Y363" s="12">
        <f>IF($J363="","",TODAY()-$J363)</f>
        <v/>
      </c>
      <c r="Z363" s="3">
        <f>IF($Y363="","",IF($Y363&lt;0,"FUTURO",IF($Y363&gt;p_dias_backlog_max,"BACKLOG","MES CORRIENTE")))</f>
        <v/>
      </c>
      <c r="AA363" s="3">
        <f>IF($Y363="",FALSE,AND($Y363&gt;p_dias_backlog_min,$Y363&lt;=p_dias_backlog_max))</f>
        <v/>
      </c>
      <c r="AB363" s="6" t="n"/>
      <c r="AC363" s="3">
        <f>IF($AB363="","",IFERROR(INDEX('ASIGNACIONES'!$F$4:$F$339,MATCH($O363&amp;"|"&amp;$R363&amp;"|"&amp;$AB363,'ASIGNACIONES'!$I$4:$I$339,0)),""))</f>
        <v/>
      </c>
      <c r="AD363" s="13">
        <f>IF($AB363="","",SUMIFS('ORDENES'!$M$4:$M$1203,'ORDENES'!$AB$4:$AB$1203,$AB363,'ORDENES'!$O$4:$O$1203,$O363,'ORDENES'!$R$4:$R$1203,$R363))</f>
        <v/>
      </c>
      <c r="AE363" s="13">
        <f>IF($AD363="","",p_factor_productividad*IFERROR(INDEX('ASIGNACIONES'!$H$4:$H$339,MATCH($O363&amp;"|"&amp;$R363&amp;"|"&amp;$AB363,'ASIGNACIONES'!$I$4:$I$339,0)),0)-$AD363)</f>
        <v/>
      </c>
      <c r="AF363" s="10">
        <f>IF($A363="","",IFERROR(INDEX('2_IMPORTAR_EJECUCION'!$F$9:$F$1208,MATCH($AN363,'2_IMPORTAR_EJECUCION'!$J$9:$J$1208,0)),0))</f>
        <v/>
      </c>
      <c r="AG363" s="10">
        <f>IF($A363="","",MAX(0,IFERROR(INDEX('2_IMPORTAR_EJECUCION'!$H$9:$H$1208,MATCH($AN363,'2_IMPORTAR_EJECUCION'!$J$9:$J$1208,0)),0)-$AF363))</f>
        <v/>
      </c>
      <c r="AH363" s="10">
        <f>IF($A363="","",$AF363+$AG363)</f>
        <v/>
      </c>
      <c r="AI363" s="6" t="n"/>
      <c r="AJ363" s="6" t="n"/>
      <c r="AK363" s="6" t="n"/>
      <c r="AL363" s="3">
        <f>IF($AK363="","",HYPERLINK(p_ruta_base_checklists&amp;$AK363,"abrir"))</f>
        <v/>
      </c>
      <c r="AM363" s="6" t="n"/>
      <c r="AN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1" t="n"/>
      <c r="K364" s="3" t="n"/>
      <c r="L364" s="10" t="n"/>
      <c r="M364" s="3">
        <f>IF($A364="","",IFERROR(INDEX('AJUSTES'!$B$4:$B$303,MATCH($AN364,'AJUSTES'!$A$4:$A$303,0)),IF($K364="","",$K364)))</f>
        <v/>
      </c>
      <c r="N364" s="3">
        <f>IF($A364="","",IFERROR(INDEX('CAT_ESTADOS_ERP'!$B$4:$B$7,MATCH(IFERROR(INDEX('2_IMPORTAR_EJECUCION'!$C$9:$C$1208,MATCH($AN364,'2_IMPORTAR_EJECUCION'!$J$9:$J$1208,0)),""),'CAT_ESTADOS_ERP'!$A$4:$A$7,0)),"Pendiente"))</f>
        <v/>
      </c>
      <c r="O364" s="3">
        <f>IF($J364="","",YEAR($J364+4-WEEKDAY($J364,2))&amp;"-S"&amp;TEXT(_xlfn.ISOWEEKNUM($J364),"00"))</f>
        <v/>
      </c>
      <c r="P364" s="3">
        <f>IF($J364="","",YEAR($J364))</f>
        <v/>
      </c>
      <c r="Q364" s="3">
        <f>IF($J364="","",MONTH($J364))</f>
        <v/>
      </c>
      <c r="R364" s="3">
        <f>IF($J364="","",INDEX(lista_dias,WEEKDAY($J364,2)))</f>
        <v/>
      </c>
      <c r="S364" s="3">
        <f>IF($I364="","",IFERROR(INDEX('CAT_TIPOS_OT'!$C$4:$C$7,MATCH($I364,'CAT_TIPOS_OT'!$A$4:$A$7,0)),"sin_clasificar"))</f>
        <v/>
      </c>
      <c r="T364" s="3">
        <f>IF($F364="","",IFERROR(INDEX('CAT_CENTROS_COSTO'!$E$4:$E$9,MATCH($F364,'CAT_CENTROS_COSTO'!$A$4:$A$9,0)),"(sin catálogo)"))</f>
        <v/>
      </c>
      <c r="U364" s="3">
        <f>IF($F364="","",IFERROR(INDEX('CAT_CENTROS_COSTO'!$D$4:$D$9,MATCH($F364,'CAT_CENTROS_COSTO'!$A$4:$A$9,0)),"(sin catálogo)"))</f>
        <v/>
      </c>
      <c r="V364" s="3">
        <f>IF($F364="","",IFERROR(INDEX('CAT_CENTROS_COSTO'!$F$4:$F$9,MATCH($F364,'CAT_CENTROS_COSTO'!$A$4:$A$9,0)),"(sin catálogo)"))</f>
        <v/>
      </c>
      <c r="W364" s="3">
        <f>IF($G364="","",IFERROR(INDEX('CAT_PUESTOS'!$B$4:$B$8,MATCH($G364,'CAT_PUESTOS'!$A$4:$A$8,0)),"(sin catálogo)"))</f>
        <v/>
      </c>
      <c r="X364" s="3">
        <f>IF($H364="","",IFERROR(INDEX('CAT_ACTIVIDADES'!$B$4:$B$8,MATCH($H364,'CAT_ACTIVIDADES'!$A$4:$A$8,0)),"(sin catálogo)"))</f>
        <v/>
      </c>
      <c r="Y364" s="12">
        <f>IF($J364="","",TODAY()-$J364)</f>
        <v/>
      </c>
      <c r="Z364" s="3">
        <f>IF($Y364="","",IF($Y364&lt;0,"FUTURO",IF($Y364&gt;p_dias_backlog_max,"BACKLOG","MES CORRIENTE")))</f>
        <v/>
      </c>
      <c r="AA364" s="3">
        <f>IF($Y364="",FALSE,AND($Y364&gt;p_dias_backlog_min,$Y364&lt;=p_dias_backlog_max))</f>
        <v/>
      </c>
      <c r="AB364" s="6" t="n"/>
      <c r="AC364" s="3">
        <f>IF($AB364="","",IFERROR(INDEX('ASIGNACIONES'!$F$4:$F$339,MATCH($O364&amp;"|"&amp;$R364&amp;"|"&amp;$AB364,'ASIGNACIONES'!$I$4:$I$339,0)),""))</f>
        <v/>
      </c>
      <c r="AD364" s="13">
        <f>IF($AB364="","",SUMIFS('ORDENES'!$M$4:$M$1203,'ORDENES'!$AB$4:$AB$1203,$AB364,'ORDENES'!$O$4:$O$1203,$O364,'ORDENES'!$R$4:$R$1203,$R364))</f>
        <v/>
      </c>
      <c r="AE364" s="13">
        <f>IF($AD364="","",p_factor_productividad*IFERROR(INDEX('ASIGNACIONES'!$H$4:$H$339,MATCH($O364&amp;"|"&amp;$R364&amp;"|"&amp;$AB364,'ASIGNACIONES'!$I$4:$I$339,0)),0)-$AD364)</f>
        <v/>
      </c>
      <c r="AF364" s="10">
        <f>IF($A364="","",IFERROR(INDEX('2_IMPORTAR_EJECUCION'!$F$9:$F$1208,MATCH($AN364,'2_IMPORTAR_EJECUCION'!$J$9:$J$1208,0)),0))</f>
        <v/>
      </c>
      <c r="AG364" s="10">
        <f>IF($A364="","",MAX(0,IFERROR(INDEX('2_IMPORTAR_EJECUCION'!$H$9:$H$1208,MATCH($AN364,'2_IMPORTAR_EJECUCION'!$J$9:$J$1208,0)),0)-$AF364))</f>
        <v/>
      </c>
      <c r="AH364" s="10">
        <f>IF($A364="","",$AF364+$AG364)</f>
        <v/>
      </c>
      <c r="AI364" s="6" t="n"/>
      <c r="AJ364" s="6" t="n"/>
      <c r="AK364" s="6" t="n"/>
      <c r="AL364" s="3">
        <f>IF($AK364="","",HYPERLINK(p_ruta_base_checklists&amp;$AK364,"abrir"))</f>
        <v/>
      </c>
      <c r="AM364" s="6" t="n"/>
      <c r="AN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1" t="n"/>
      <c r="K365" s="3" t="n"/>
      <c r="L365" s="10" t="n"/>
      <c r="M365" s="3">
        <f>IF($A365="","",IFERROR(INDEX('AJUSTES'!$B$4:$B$303,MATCH($AN365,'AJUSTES'!$A$4:$A$303,0)),IF($K365="","",$K365)))</f>
        <v/>
      </c>
      <c r="N365" s="3">
        <f>IF($A365="","",IFERROR(INDEX('CAT_ESTADOS_ERP'!$B$4:$B$7,MATCH(IFERROR(INDEX('2_IMPORTAR_EJECUCION'!$C$9:$C$1208,MATCH($AN365,'2_IMPORTAR_EJECUCION'!$J$9:$J$1208,0)),""),'CAT_ESTADOS_ERP'!$A$4:$A$7,0)),"Pendiente"))</f>
        <v/>
      </c>
      <c r="O365" s="3">
        <f>IF($J365="","",YEAR($J365+4-WEEKDAY($J365,2))&amp;"-S"&amp;TEXT(_xlfn.ISOWEEKNUM($J365),"00"))</f>
        <v/>
      </c>
      <c r="P365" s="3">
        <f>IF($J365="","",YEAR($J365))</f>
        <v/>
      </c>
      <c r="Q365" s="3">
        <f>IF($J365="","",MONTH($J365))</f>
        <v/>
      </c>
      <c r="R365" s="3">
        <f>IF($J365="","",INDEX(lista_dias,WEEKDAY($J365,2)))</f>
        <v/>
      </c>
      <c r="S365" s="3">
        <f>IF($I365="","",IFERROR(INDEX('CAT_TIPOS_OT'!$C$4:$C$7,MATCH($I365,'CAT_TIPOS_OT'!$A$4:$A$7,0)),"sin_clasificar"))</f>
        <v/>
      </c>
      <c r="T365" s="3">
        <f>IF($F365="","",IFERROR(INDEX('CAT_CENTROS_COSTO'!$E$4:$E$9,MATCH($F365,'CAT_CENTROS_COSTO'!$A$4:$A$9,0)),"(sin catálogo)"))</f>
        <v/>
      </c>
      <c r="U365" s="3">
        <f>IF($F365="","",IFERROR(INDEX('CAT_CENTROS_COSTO'!$D$4:$D$9,MATCH($F365,'CAT_CENTROS_COSTO'!$A$4:$A$9,0)),"(sin catálogo)"))</f>
        <v/>
      </c>
      <c r="V365" s="3">
        <f>IF($F365="","",IFERROR(INDEX('CAT_CENTROS_COSTO'!$F$4:$F$9,MATCH($F365,'CAT_CENTROS_COSTO'!$A$4:$A$9,0)),"(sin catálogo)"))</f>
        <v/>
      </c>
      <c r="W365" s="3">
        <f>IF($G365="","",IFERROR(INDEX('CAT_PUESTOS'!$B$4:$B$8,MATCH($G365,'CAT_PUESTOS'!$A$4:$A$8,0)),"(sin catálogo)"))</f>
        <v/>
      </c>
      <c r="X365" s="3">
        <f>IF($H365="","",IFERROR(INDEX('CAT_ACTIVIDADES'!$B$4:$B$8,MATCH($H365,'CAT_ACTIVIDADES'!$A$4:$A$8,0)),"(sin catálogo)"))</f>
        <v/>
      </c>
      <c r="Y365" s="12">
        <f>IF($J365="","",TODAY()-$J365)</f>
        <v/>
      </c>
      <c r="Z365" s="3">
        <f>IF($Y365="","",IF($Y365&lt;0,"FUTURO",IF($Y365&gt;p_dias_backlog_max,"BACKLOG","MES CORRIENTE")))</f>
        <v/>
      </c>
      <c r="AA365" s="3">
        <f>IF($Y365="",FALSE,AND($Y365&gt;p_dias_backlog_min,$Y365&lt;=p_dias_backlog_max))</f>
        <v/>
      </c>
      <c r="AB365" s="6" t="n"/>
      <c r="AC365" s="3">
        <f>IF($AB365="","",IFERROR(INDEX('ASIGNACIONES'!$F$4:$F$339,MATCH($O365&amp;"|"&amp;$R365&amp;"|"&amp;$AB365,'ASIGNACIONES'!$I$4:$I$339,0)),""))</f>
        <v/>
      </c>
      <c r="AD365" s="13">
        <f>IF($AB365="","",SUMIFS('ORDENES'!$M$4:$M$1203,'ORDENES'!$AB$4:$AB$1203,$AB365,'ORDENES'!$O$4:$O$1203,$O365,'ORDENES'!$R$4:$R$1203,$R365))</f>
        <v/>
      </c>
      <c r="AE365" s="13">
        <f>IF($AD365="","",p_factor_productividad*IFERROR(INDEX('ASIGNACIONES'!$H$4:$H$339,MATCH($O365&amp;"|"&amp;$R365&amp;"|"&amp;$AB365,'ASIGNACIONES'!$I$4:$I$339,0)),0)-$AD365)</f>
        <v/>
      </c>
      <c r="AF365" s="10">
        <f>IF($A365="","",IFERROR(INDEX('2_IMPORTAR_EJECUCION'!$F$9:$F$1208,MATCH($AN365,'2_IMPORTAR_EJECUCION'!$J$9:$J$1208,0)),0))</f>
        <v/>
      </c>
      <c r="AG365" s="10">
        <f>IF($A365="","",MAX(0,IFERROR(INDEX('2_IMPORTAR_EJECUCION'!$H$9:$H$1208,MATCH($AN365,'2_IMPORTAR_EJECUCION'!$J$9:$J$1208,0)),0)-$AF365))</f>
        <v/>
      </c>
      <c r="AH365" s="10">
        <f>IF($A365="","",$AF365+$AG365)</f>
        <v/>
      </c>
      <c r="AI365" s="6" t="n"/>
      <c r="AJ365" s="6" t="n"/>
      <c r="AK365" s="6" t="n"/>
      <c r="AL365" s="3">
        <f>IF($AK365="","",HYPERLINK(p_ruta_base_checklists&amp;$AK365,"abrir"))</f>
        <v/>
      </c>
      <c r="AM365" s="6" t="n"/>
      <c r="AN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1" t="n"/>
      <c r="K366" s="3" t="n"/>
      <c r="L366" s="10" t="n"/>
      <c r="M366" s="3">
        <f>IF($A366="","",IFERROR(INDEX('AJUSTES'!$B$4:$B$303,MATCH($AN366,'AJUSTES'!$A$4:$A$303,0)),IF($K366="","",$K366)))</f>
        <v/>
      </c>
      <c r="N366" s="3">
        <f>IF($A366="","",IFERROR(INDEX('CAT_ESTADOS_ERP'!$B$4:$B$7,MATCH(IFERROR(INDEX('2_IMPORTAR_EJECUCION'!$C$9:$C$1208,MATCH($AN366,'2_IMPORTAR_EJECUCION'!$J$9:$J$1208,0)),""),'CAT_ESTADOS_ERP'!$A$4:$A$7,0)),"Pendiente"))</f>
        <v/>
      </c>
      <c r="O366" s="3">
        <f>IF($J366="","",YEAR($J366+4-WEEKDAY($J366,2))&amp;"-S"&amp;TEXT(_xlfn.ISOWEEKNUM($J366),"00"))</f>
        <v/>
      </c>
      <c r="P366" s="3">
        <f>IF($J366="","",YEAR($J366))</f>
        <v/>
      </c>
      <c r="Q366" s="3">
        <f>IF($J366="","",MONTH($J366))</f>
        <v/>
      </c>
      <c r="R366" s="3">
        <f>IF($J366="","",INDEX(lista_dias,WEEKDAY($J366,2)))</f>
        <v/>
      </c>
      <c r="S366" s="3">
        <f>IF($I366="","",IFERROR(INDEX('CAT_TIPOS_OT'!$C$4:$C$7,MATCH($I366,'CAT_TIPOS_OT'!$A$4:$A$7,0)),"sin_clasificar"))</f>
        <v/>
      </c>
      <c r="T366" s="3">
        <f>IF($F366="","",IFERROR(INDEX('CAT_CENTROS_COSTO'!$E$4:$E$9,MATCH($F366,'CAT_CENTROS_COSTO'!$A$4:$A$9,0)),"(sin catálogo)"))</f>
        <v/>
      </c>
      <c r="U366" s="3">
        <f>IF($F366="","",IFERROR(INDEX('CAT_CENTROS_COSTO'!$D$4:$D$9,MATCH($F366,'CAT_CENTROS_COSTO'!$A$4:$A$9,0)),"(sin catálogo)"))</f>
        <v/>
      </c>
      <c r="V366" s="3">
        <f>IF($F366="","",IFERROR(INDEX('CAT_CENTROS_COSTO'!$F$4:$F$9,MATCH($F366,'CAT_CENTROS_COSTO'!$A$4:$A$9,0)),"(sin catálogo)"))</f>
        <v/>
      </c>
      <c r="W366" s="3">
        <f>IF($G366="","",IFERROR(INDEX('CAT_PUESTOS'!$B$4:$B$8,MATCH($G366,'CAT_PUESTOS'!$A$4:$A$8,0)),"(sin catálogo)"))</f>
        <v/>
      </c>
      <c r="X366" s="3">
        <f>IF($H366="","",IFERROR(INDEX('CAT_ACTIVIDADES'!$B$4:$B$8,MATCH($H366,'CAT_ACTIVIDADES'!$A$4:$A$8,0)),"(sin catálogo)"))</f>
        <v/>
      </c>
      <c r="Y366" s="12">
        <f>IF($J366="","",TODAY()-$J366)</f>
        <v/>
      </c>
      <c r="Z366" s="3">
        <f>IF($Y366="","",IF($Y366&lt;0,"FUTURO",IF($Y366&gt;p_dias_backlog_max,"BACKLOG","MES CORRIENTE")))</f>
        <v/>
      </c>
      <c r="AA366" s="3">
        <f>IF($Y366="",FALSE,AND($Y366&gt;p_dias_backlog_min,$Y366&lt;=p_dias_backlog_max))</f>
        <v/>
      </c>
      <c r="AB366" s="6" t="n"/>
      <c r="AC366" s="3">
        <f>IF($AB366="","",IFERROR(INDEX('ASIGNACIONES'!$F$4:$F$339,MATCH($O366&amp;"|"&amp;$R366&amp;"|"&amp;$AB366,'ASIGNACIONES'!$I$4:$I$339,0)),""))</f>
        <v/>
      </c>
      <c r="AD366" s="13">
        <f>IF($AB366="","",SUMIFS('ORDENES'!$M$4:$M$1203,'ORDENES'!$AB$4:$AB$1203,$AB366,'ORDENES'!$O$4:$O$1203,$O366,'ORDENES'!$R$4:$R$1203,$R366))</f>
        <v/>
      </c>
      <c r="AE366" s="13">
        <f>IF($AD366="","",p_factor_productividad*IFERROR(INDEX('ASIGNACIONES'!$H$4:$H$339,MATCH($O366&amp;"|"&amp;$R366&amp;"|"&amp;$AB366,'ASIGNACIONES'!$I$4:$I$339,0)),0)-$AD366)</f>
        <v/>
      </c>
      <c r="AF366" s="10">
        <f>IF($A366="","",IFERROR(INDEX('2_IMPORTAR_EJECUCION'!$F$9:$F$1208,MATCH($AN366,'2_IMPORTAR_EJECUCION'!$J$9:$J$1208,0)),0))</f>
        <v/>
      </c>
      <c r="AG366" s="10">
        <f>IF($A366="","",MAX(0,IFERROR(INDEX('2_IMPORTAR_EJECUCION'!$H$9:$H$1208,MATCH($AN366,'2_IMPORTAR_EJECUCION'!$J$9:$J$1208,0)),0)-$AF366))</f>
        <v/>
      </c>
      <c r="AH366" s="10">
        <f>IF($A366="","",$AF366+$AG366)</f>
        <v/>
      </c>
      <c r="AI366" s="6" t="n"/>
      <c r="AJ366" s="6" t="n"/>
      <c r="AK366" s="6" t="n"/>
      <c r="AL366" s="3">
        <f>IF($AK366="","",HYPERLINK(p_ruta_base_checklists&amp;$AK366,"abrir"))</f>
        <v/>
      </c>
      <c r="AM366" s="6" t="n"/>
      <c r="AN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1" t="n"/>
      <c r="K367" s="3" t="n"/>
      <c r="L367" s="10" t="n"/>
      <c r="M367" s="3">
        <f>IF($A367="","",IFERROR(INDEX('AJUSTES'!$B$4:$B$303,MATCH($AN367,'AJUSTES'!$A$4:$A$303,0)),IF($K367="","",$K367)))</f>
        <v/>
      </c>
      <c r="N367" s="3">
        <f>IF($A367="","",IFERROR(INDEX('CAT_ESTADOS_ERP'!$B$4:$B$7,MATCH(IFERROR(INDEX('2_IMPORTAR_EJECUCION'!$C$9:$C$1208,MATCH($AN367,'2_IMPORTAR_EJECUCION'!$J$9:$J$1208,0)),""),'CAT_ESTADOS_ERP'!$A$4:$A$7,0)),"Pendiente"))</f>
        <v/>
      </c>
      <c r="O367" s="3">
        <f>IF($J367="","",YEAR($J367+4-WEEKDAY($J367,2))&amp;"-S"&amp;TEXT(_xlfn.ISOWEEKNUM($J367),"00"))</f>
        <v/>
      </c>
      <c r="P367" s="3">
        <f>IF($J367="","",YEAR($J367))</f>
        <v/>
      </c>
      <c r="Q367" s="3">
        <f>IF($J367="","",MONTH($J367))</f>
        <v/>
      </c>
      <c r="R367" s="3">
        <f>IF($J367="","",INDEX(lista_dias,WEEKDAY($J367,2)))</f>
        <v/>
      </c>
      <c r="S367" s="3">
        <f>IF($I367="","",IFERROR(INDEX('CAT_TIPOS_OT'!$C$4:$C$7,MATCH($I367,'CAT_TIPOS_OT'!$A$4:$A$7,0)),"sin_clasificar"))</f>
        <v/>
      </c>
      <c r="T367" s="3">
        <f>IF($F367="","",IFERROR(INDEX('CAT_CENTROS_COSTO'!$E$4:$E$9,MATCH($F367,'CAT_CENTROS_COSTO'!$A$4:$A$9,0)),"(sin catálogo)"))</f>
        <v/>
      </c>
      <c r="U367" s="3">
        <f>IF($F367="","",IFERROR(INDEX('CAT_CENTROS_COSTO'!$D$4:$D$9,MATCH($F367,'CAT_CENTROS_COSTO'!$A$4:$A$9,0)),"(sin catálogo)"))</f>
        <v/>
      </c>
      <c r="V367" s="3">
        <f>IF($F367="","",IFERROR(INDEX('CAT_CENTROS_COSTO'!$F$4:$F$9,MATCH($F367,'CAT_CENTROS_COSTO'!$A$4:$A$9,0)),"(sin catálogo)"))</f>
        <v/>
      </c>
      <c r="W367" s="3">
        <f>IF($G367="","",IFERROR(INDEX('CAT_PUESTOS'!$B$4:$B$8,MATCH($G367,'CAT_PUESTOS'!$A$4:$A$8,0)),"(sin catálogo)"))</f>
        <v/>
      </c>
      <c r="X367" s="3">
        <f>IF($H367="","",IFERROR(INDEX('CAT_ACTIVIDADES'!$B$4:$B$8,MATCH($H367,'CAT_ACTIVIDADES'!$A$4:$A$8,0)),"(sin catálogo)"))</f>
        <v/>
      </c>
      <c r="Y367" s="12">
        <f>IF($J367="","",TODAY()-$J367)</f>
        <v/>
      </c>
      <c r="Z367" s="3">
        <f>IF($Y367="","",IF($Y367&lt;0,"FUTURO",IF($Y367&gt;p_dias_backlog_max,"BACKLOG","MES CORRIENTE")))</f>
        <v/>
      </c>
      <c r="AA367" s="3">
        <f>IF($Y367="",FALSE,AND($Y367&gt;p_dias_backlog_min,$Y367&lt;=p_dias_backlog_max))</f>
        <v/>
      </c>
      <c r="AB367" s="6" t="n"/>
      <c r="AC367" s="3">
        <f>IF($AB367="","",IFERROR(INDEX('ASIGNACIONES'!$F$4:$F$339,MATCH($O367&amp;"|"&amp;$R367&amp;"|"&amp;$AB367,'ASIGNACIONES'!$I$4:$I$339,0)),""))</f>
        <v/>
      </c>
      <c r="AD367" s="13">
        <f>IF($AB367="","",SUMIFS('ORDENES'!$M$4:$M$1203,'ORDENES'!$AB$4:$AB$1203,$AB367,'ORDENES'!$O$4:$O$1203,$O367,'ORDENES'!$R$4:$R$1203,$R367))</f>
        <v/>
      </c>
      <c r="AE367" s="13">
        <f>IF($AD367="","",p_factor_productividad*IFERROR(INDEX('ASIGNACIONES'!$H$4:$H$339,MATCH($O367&amp;"|"&amp;$R367&amp;"|"&amp;$AB367,'ASIGNACIONES'!$I$4:$I$339,0)),0)-$AD367)</f>
        <v/>
      </c>
      <c r="AF367" s="10">
        <f>IF($A367="","",IFERROR(INDEX('2_IMPORTAR_EJECUCION'!$F$9:$F$1208,MATCH($AN367,'2_IMPORTAR_EJECUCION'!$J$9:$J$1208,0)),0))</f>
        <v/>
      </c>
      <c r="AG367" s="10">
        <f>IF($A367="","",MAX(0,IFERROR(INDEX('2_IMPORTAR_EJECUCION'!$H$9:$H$1208,MATCH($AN367,'2_IMPORTAR_EJECUCION'!$J$9:$J$1208,0)),0)-$AF367))</f>
        <v/>
      </c>
      <c r="AH367" s="10">
        <f>IF($A367="","",$AF367+$AG367)</f>
        <v/>
      </c>
      <c r="AI367" s="6" t="n"/>
      <c r="AJ367" s="6" t="n"/>
      <c r="AK367" s="6" t="n"/>
      <c r="AL367" s="3">
        <f>IF($AK367="","",HYPERLINK(p_ruta_base_checklists&amp;$AK367,"abrir"))</f>
        <v/>
      </c>
      <c r="AM367" s="6" t="n"/>
      <c r="AN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1" t="n"/>
      <c r="K368" s="3" t="n"/>
      <c r="L368" s="10" t="n"/>
      <c r="M368" s="3">
        <f>IF($A368="","",IFERROR(INDEX('AJUSTES'!$B$4:$B$303,MATCH($AN368,'AJUSTES'!$A$4:$A$303,0)),IF($K368="","",$K368)))</f>
        <v/>
      </c>
      <c r="N368" s="3">
        <f>IF($A368="","",IFERROR(INDEX('CAT_ESTADOS_ERP'!$B$4:$B$7,MATCH(IFERROR(INDEX('2_IMPORTAR_EJECUCION'!$C$9:$C$1208,MATCH($AN368,'2_IMPORTAR_EJECUCION'!$J$9:$J$1208,0)),""),'CAT_ESTADOS_ERP'!$A$4:$A$7,0)),"Pendiente"))</f>
        <v/>
      </c>
      <c r="O368" s="3">
        <f>IF($J368="","",YEAR($J368+4-WEEKDAY($J368,2))&amp;"-S"&amp;TEXT(_xlfn.ISOWEEKNUM($J368),"00"))</f>
        <v/>
      </c>
      <c r="P368" s="3">
        <f>IF($J368="","",YEAR($J368))</f>
        <v/>
      </c>
      <c r="Q368" s="3">
        <f>IF($J368="","",MONTH($J368))</f>
        <v/>
      </c>
      <c r="R368" s="3">
        <f>IF($J368="","",INDEX(lista_dias,WEEKDAY($J368,2)))</f>
        <v/>
      </c>
      <c r="S368" s="3">
        <f>IF($I368="","",IFERROR(INDEX('CAT_TIPOS_OT'!$C$4:$C$7,MATCH($I368,'CAT_TIPOS_OT'!$A$4:$A$7,0)),"sin_clasificar"))</f>
        <v/>
      </c>
      <c r="T368" s="3">
        <f>IF($F368="","",IFERROR(INDEX('CAT_CENTROS_COSTO'!$E$4:$E$9,MATCH($F368,'CAT_CENTROS_COSTO'!$A$4:$A$9,0)),"(sin catálogo)"))</f>
        <v/>
      </c>
      <c r="U368" s="3">
        <f>IF($F368="","",IFERROR(INDEX('CAT_CENTROS_COSTO'!$D$4:$D$9,MATCH($F368,'CAT_CENTROS_COSTO'!$A$4:$A$9,0)),"(sin catálogo)"))</f>
        <v/>
      </c>
      <c r="V368" s="3">
        <f>IF($F368="","",IFERROR(INDEX('CAT_CENTROS_COSTO'!$F$4:$F$9,MATCH($F368,'CAT_CENTROS_COSTO'!$A$4:$A$9,0)),"(sin catálogo)"))</f>
        <v/>
      </c>
      <c r="W368" s="3">
        <f>IF($G368="","",IFERROR(INDEX('CAT_PUESTOS'!$B$4:$B$8,MATCH($G368,'CAT_PUESTOS'!$A$4:$A$8,0)),"(sin catálogo)"))</f>
        <v/>
      </c>
      <c r="X368" s="3">
        <f>IF($H368="","",IFERROR(INDEX('CAT_ACTIVIDADES'!$B$4:$B$8,MATCH($H368,'CAT_ACTIVIDADES'!$A$4:$A$8,0)),"(sin catálogo)"))</f>
        <v/>
      </c>
      <c r="Y368" s="12">
        <f>IF($J368="","",TODAY()-$J368)</f>
        <v/>
      </c>
      <c r="Z368" s="3">
        <f>IF($Y368="","",IF($Y368&lt;0,"FUTURO",IF($Y368&gt;p_dias_backlog_max,"BACKLOG","MES CORRIENTE")))</f>
        <v/>
      </c>
      <c r="AA368" s="3">
        <f>IF($Y368="",FALSE,AND($Y368&gt;p_dias_backlog_min,$Y368&lt;=p_dias_backlog_max))</f>
        <v/>
      </c>
      <c r="AB368" s="6" t="n"/>
      <c r="AC368" s="3">
        <f>IF($AB368="","",IFERROR(INDEX('ASIGNACIONES'!$F$4:$F$339,MATCH($O368&amp;"|"&amp;$R368&amp;"|"&amp;$AB368,'ASIGNACIONES'!$I$4:$I$339,0)),""))</f>
        <v/>
      </c>
      <c r="AD368" s="13">
        <f>IF($AB368="","",SUMIFS('ORDENES'!$M$4:$M$1203,'ORDENES'!$AB$4:$AB$1203,$AB368,'ORDENES'!$O$4:$O$1203,$O368,'ORDENES'!$R$4:$R$1203,$R368))</f>
        <v/>
      </c>
      <c r="AE368" s="13">
        <f>IF($AD368="","",p_factor_productividad*IFERROR(INDEX('ASIGNACIONES'!$H$4:$H$339,MATCH($O368&amp;"|"&amp;$R368&amp;"|"&amp;$AB368,'ASIGNACIONES'!$I$4:$I$339,0)),0)-$AD368)</f>
        <v/>
      </c>
      <c r="AF368" s="10">
        <f>IF($A368="","",IFERROR(INDEX('2_IMPORTAR_EJECUCION'!$F$9:$F$1208,MATCH($AN368,'2_IMPORTAR_EJECUCION'!$J$9:$J$1208,0)),0))</f>
        <v/>
      </c>
      <c r="AG368" s="10">
        <f>IF($A368="","",MAX(0,IFERROR(INDEX('2_IMPORTAR_EJECUCION'!$H$9:$H$1208,MATCH($AN368,'2_IMPORTAR_EJECUCION'!$J$9:$J$1208,0)),0)-$AF368))</f>
        <v/>
      </c>
      <c r="AH368" s="10">
        <f>IF($A368="","",$AF368+$AG368)</f>
        <v/>
      </c>
      <c r="AI368" s="6" t="n"/>
      <c r="AJ368" s="6" t="n"/>
      <c r="AK368" s="6" t="n"/>
      <c r="AL368" s="3">
        <f>IF($AK368="","",HYPERLINK(p_ruta_base_checklists&amp;$AK368,"abrir"))</f>
        <v/>
      </c>
      <c r="AM368" s="6" t="n"/>
      <c r="AN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1" t="n"/>
      <c r="K369" s="3" t="n"/>
      <c r="L369" s="10" t="n"/>
      <c r="M369" s="3">
        <f>IF($A369="","",IFERROR(INDEX('AJUSTES'!$B$4:$B$303,MATCH($AN369,'AJUSTES'!$A$4:$A$303,0)),IF($K369="","",$K369)))</f>
        <v/>
      </c>
      <c r="N369" s="3">
        <f>IF($A369="","",IFERROR(INDEX('CAT_ESTADOS_ERP'!$B$4:$B$7,MATCH(IFERROR(INDEX('2_IMPORTAR_EJECUCION'!$C$9:$C$1208,MATCH($AN369,'2_IMPORTAR_EJECUCION'!$J$9:$J$1208,0)),""),'CAT_ESTADOS_ERP'!$A$4:$A$7,0)),"Pendiente"))</f>
        <v/>
      </c>
      <c r="O369" s="3">
        <f>IF($J369="","",YEAR($J369+4-WEEKDAY($J369,2))&amp;"-S"&amp;TEXT(_xlfn.ISOWEEKNUM($J369),"00"))</f>
        <v/>
      </c>
      <c r="P369" s="3">
        <f>IF($J369="","",YEAR($J369))</f>
        <v/>
      </c>
      <c r="Q369" s="3">
        <f>IF($J369="","",MONTH($J369))</f>
        <v/>
      </c>
      <c r="R369" s="3">
        <f>IF($J369="","",INDEX(lista_dias,WEEKDAY($J369,2)))</f>
        <v/>
      </c>
      <c r="S369" s="3">
        <f>IF($I369="","",IFERROR(INDEX('CAT_TIPOS_OT'!$C$4:$C$7,MATCH($I369,'CAT_TIPOS_OT'!$A$4:$A$7,0)),"sin_clasificar"))</f>
        <v/>
      </c>
      <c r="T369" s="3">
        <f>IF($F369="","",IFERROR(INDEX('CAT_CENTROS_COSTO'!$E$4:$E$9,MATCH($F369,'CAT_CENTROS_COSTO'!$A$4:$A$9,0)),"(sin catálogo)"))</f>
        <v/>
      </c>
      <c r="U369" s="3">
        <f>IF($F369="","",IFERROR(INDEX('CAT_CENTROS_COSTO'!$D$4:$D$9,MATCH($F369,'CAT_CENTROS_COSTO'!$A$4:$A$9,0)),"(sin catálogo)"))</f>
        <v/>
      </c>
      <c r="V369" s="3">
        <f>IF($F369="","",IFERROR(INDEX('CAT_CENTROS_COSTO'!$F$4:$F$9,MATCH($F369,'CAT_CENTROS_COSTO'!$A$4:$A$9,0)),"(sin catálogo)"))</f>
        <v/>
      </c>
      <c r="W369" s="3">
        <f>IF($G369="","",IFERROR(INDEX('CAT_PUESTOS'!$B$4:$B$8,MATCH($G369,'CAT_PUESTOS'!$A$4:$A$8,0)),"(sin catálogo)"))</f>
        <v/>
      </c>
      <c r="X369" s="3">
        <f>IF($H369="","",IFERROR(INDEX('CAT_ACTIVIDADES'!$B$4:$B$8,MATCH($H369,'CAT_ACTIVIDADES'!$A$4:$A$8,0)),"(sin catálogo)"))</f>
        <v/>
      </c>
      <c r="Y369" s="12">
        <f>IF($J369="","",TODAY()-$J369)</f>
        <v/>
      </c>
      <c r="Z369" s="3">
        <f>IF($Y369="","",IF($Y369&lt;0,"FUTURO",IF($Y369&gt;p_dias_backlog_max,"BACKLOG","MES CORRIENTE")))</f>
        <v/>
      </c>
      <c r="AA369" s="3">
        <f>IF($Y369="",FALSE,AND($Y369&gt;p_dias_backlog_min,$Y369&lt;=p_dias_backlog_max))</f>
        <v/>
      </c>
      <c r="AB369" s="6" t="n"/>
      <c r="AC369" s="3">
        <f>IF($AB369="","",IFERROR(INDEX('ASIGNACIONES'!$F$4:$F$339,MATCH($O369&amp;"|"&amp;$R369&amp;"|"&amp;$AB369,'ASIGNACIONES'!$I$4:$I$339,0)),""))</f>
        <v/>
      </c>
      <c r="AD369" s="13">
        <f>IF($AB369="","",SUMIFS('ORDENES'!$M$4:$M$1203,'ORDENES'!$AB$4:$AB$1203,$AB369,'ORDENES'!$O$4:$O$1203,$O369,'ORDENES'!$R$4:$R$1203,$R369))</f>
        <v/>
      </c>
      <c r="AE369" s="13">
        <f>IF($AD369="","",p_factor_productividad*IFERROR(INDEX('ASIGNACIONES'!$H$4:$H$339,MATCH($O369&amp;"|"&amp;$R369&amp;"|"&amp;$AB369,'ASIGNACIONES'!$I$4:$I$339,0)),0)-$AD369)</f>
        <v/>
      </c>
      <c r="AF369" s="10">
        <f>IF($A369="","",IFERROR(INDEX('2_IMPORTAR_EJECUCION'!$F$9:$F$1208,MATCH($AN369,'2_IMPORTAR_EJECUCION'!$J$9:$J$1208,0)),0))</f>
        <v/>
      </c>
      <c r="AG369" s="10">
        <f>IF($A369="","",MAX(0,IFERROR(INDEX('2_IMPORTAR_EJECUCION'!$H$9:$H$1208,MATCH($AN369,'2_IMPORTAR_EJECUCION'!$J$9:$J$1208,0)),0)-$AF369))</f>
        <v/>
      </c>
      <c r="AH369" s="10">
        <f>IF($A369="","",$AF369+$AG369)</f>
        <v/>
      </c>
      <c r="AI369" s="6" t="n"/>
      <c r="AJ369" s="6" t="n"/>
      <c r="AK369" s="6" t="n"/>
      <c r="AL369" s="3">
        <f>IF($AK369="","",HYPERLINK(p_ruta_base_checklists&amp;$AK369,"abrir"))</f>
        <v/>
      </c>
      <c r="AM369" s="6" t="n"/>
      <c r="AN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1" t="n"/>
      <c r="K370" s="3" t="n"/>
      <c r="L370" s="10" t="n"/>
      <c r="M370" s="3">
        <f>IF($A370="","",IFERROR(INDEX('AJUSTES'!$B$4:$B$303,MATCH($AN370,'AJUSTES'!$A$4:$A$303,0)),IF($K370="","",$K370)))</f>
        <v/>
      </c>
      <c r="N370" s="3">
        <f>IF($A370="","",IFERROR(INDEX('CAT_ESTADOS_ERP'!$B$4:$B$7,MATCH(IFERROR(INDEX('2_IMPORTAR_EJECUCION'!$C$9:$C$1208,MATCH($AN370,'2_IMPORTAR_EJECUCION'!$J$9:$J$1208,0)),""),'CAT_ESTADOS_ERP'!$A$4:$A$7,0)),"Pendiente"))</f>
        <v/>
      </c>
      <c r="O370" s="3">
        <f>IF($J370="","",YEAR($J370+4-WEEKDAY($J370,2))&amp;"-S"&amp;TEXT(_xlfn.ISOWEEKNUM($J370),"00"))</f>
        <v/>
      </c>
      <c r="P370" s="3">
        <f>IF($J370="","",YEAR($J370))</f>
        <v/>
      </c>
      <c r="Q370" s="3">
        <f>IF($J370="","",MONTH($J370))</f>
        <v/>
      </c>
      <c r="R370" s="3">
        <f>IF($J370="","",INDEX(lista_dias,WEEKDAY($J370,2)))</f>
        <v/>
      </c>
      <c r="S370" s="3">
        <f>IF($I370="","",IFERROR(INDEX('CAT_TIPOS_OT'!$C$4:$C$7,MATCH($I370,'CAT_TIPOS_OT'!$A$4:$A$7,0)),"sin_clasificar"))</f>
        <v/>
      </c>
      <c r="T370" s="3">
        <f>IF($F370="","",IFERROR(INDEX('CAT_CENTROS_COSTO'!$E$4:$E$9,MATCH($F370,'CAT_CENTROS_COSTO'!$A$4:$A$9,0)),"(sin catálogo)"))</f>
        <v/>
      </c>
      <c r="U370" s="3">
        <f>IF($F370="","",IFERROR(INDEX('CAT_CENTROS_COSTO'!$D$4:$D$9,MATCH($F370,'CAT_CENTROS_COSTO'!$A$4:$A$9,0)),"(sin catálogo)"))</f>
        <v/>
      </c>
      <c r="V370" s="3">
        <f>IF($F370="","",IFERROR(INDEX('CAT_CENTROS_COSTO'!$F$4:$F$9,MATCH($F370,'CAT_CENTROS_COSTO'!$A$4:$A$9,0)),"(sin catálogo)"))</f>
        <v/>
      </c>
      <c r="W370" s="3">
        <f>IF($G370="","",IFERROR(INDEX('CAT_PUESTOS'!$B$4:$B$8,MATCH($G370,'CAT_PUESTOS'!$A$4:$A$8,0)),"(sin catálogo)"))</f>
        <v/>
      </c>
      <c r="X370" s="3">
        <f>IF($H370="","",IFERROR(INDEX('CAT_ACTIVIDADES'!$B$4:$B$8,MATCH($H370,'CAT_ACTIVIDADES'!$A$4:$A$8,0)),"(sin catálogo)"))</f>
        <v/>
      </c>
      <c r="Y370" s="12">
        <f>IF($J370="","",TODAY()-$J370)</f>
        <v/>
      </c>
      <c r="Z370" s="3">
        <f>IF($Y370="","",IF($Y370&lt;0,"FUTURO",IF($Y370&gt;p_dias_backlog_max,"BACKLOG","MES CORRIENTE")))</f>
        <v/>
      </c>
      <c r="AA370" s="3">
        <f>IF($Y370="",FALSE,AND($Y370&gt;p_dias_backlog_min,$Y370&lt;=p_dias_backlog_max))</f>
        <v/>
      </c>
      <c r="AB370" s="6" t="n"/>
      <c r="AC370" s="3">
        <f>IF($AB370="","",IFERROR(INDEX('ASIGNACIONES'!$F$4:$F$339,MATCH($O370&amp;"|"&amp;$R370&amp;"|"&amp;$AB370,'ASIGNACIONES'!$I$4:$I$339,0)),""))</f>
        <v/>
      </c>
      <c r="AD370" s="13">
        <f>IF($AB370="","",SUMIFS('ORDENES'!$M$4:$M$1203,'ORDENES'!$AB$4:$AB$1203,$AB370,'ORDENES'!$O$4:$O$1203,$O370,'ORDENES'!$R$4:$R$1203,$R370))</f>
        <v/>
      </c>
      <c r="AE370" s="13">
        <f>IF($AD370="","",p_factor_productividad*IFERROR(INDEX('ASIGNACIONES'!$H$4:$H$339,MATCH($O370&amp;"|"&amp;$R370&amp;"|"&amp;$AB370,'ASIGNACIONES'!$I$4:$I$339,0)),0)-$AD370)</f>
        <v/>
      </c>
      <c r="AF370" s="10">
        <f>IF($A370="","",IFERROR(INDEX('2_IMPORTAR_EJECUCION'!$F$9:$F$1208,MATCH($AN370,'2_IMPORTAR_EJECUCION'!$J$9:$J$1208,0)),0))</f>
        <v/>
      </c>
      <c r="AG370" s="10">
        <f>IF($A370="","",MAX(0,IFERROR(INDEX('2_IMPORTAR_EJECUCION'!$H$9:$H$1208,MATCH($AN370,'2_IMPORTAR_EJECUCION'!$J$9:$J$1208,0)),0)-$AF370))</f>
        <v/>
      </c>
      <c r="AH370" s="10">
        <f>IF($A370="","",$AF370+$AG370)</f>
        <v/>
      </c>
      <c r="AI370" s="6" t="n"/>
      <c r="AJ370" s="6" t="n"/>
      <c r="AK370" s="6" t="n"/>
      <c r="AL370" s="3">
        <f>IF($AK370="","",HYPERLINK(p_ruta_base_checklists&amp;$AK370,"abrir"))</f>
        <v/>
      </c>
      <c r="AM370" s="6" t="n"/>
      <c r="AN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1" t="n"/>
      <c r="K371" s="3" t="n"/>
      <c r="L371" s="10" t="n"/>
      <c r="M371" s="3">
        <f>IF($A371="","",IFERROR(INDEX('AJUSTES'!$B$4:$B$303,MATCH($AN371,'AJUSTES'!$A$4:$A$303,0)),IF($K371="","",$K371)))</f>
        <v/>
      </c>
      <c r="N371" s="3">
        <f>IF($A371="","",IFERROR(INDEX('CAT_ESTADOS_ERP'!$B$4:$B$7,MATCH(IFERROR(INDEX('2_IMPORTAR_EJECUCION'!$C$9:$C$1208,MATCH($AN371,'2_IMPORTAR_EJECUCION'!$J$9:$J$1208,0)),""),'CAT_ESTADOS_ERP'!$A$4:$A$7,0)),"Pendiente"))</f>
        <v/>
      </c>
      <c r="O371" s="3">
        <f>IF($J371="","",YEAR($J371+4-WEEKDAY($J371,2))&amp;"-S"&amp;TEXT(_xlfn.ISOWEEKNUM($J371),"00"))</f>
        <v/>
      </c>
      <c r="P371" s="3">
        <f>IF($J371="","",YEAR($J371))</f>
        <v/>
      </c>
      <c r="Q371" s="3">
        <f>IF($J371="","",MONTH($J371))</f>
        <v/>
      </c>
      <c r="R371" s="3">
        <f>IF($J371="","",INDEX(lista_dias,WEEKDAY($J371,2)))</f>
        <v/>
      </c>
      <c r="S371" s="3">
        <f>IF($I371="","",IFERROR(INDEX('CAT_TIPOS_OT'!$C$4:$C$7,MATCH($I371,'CAT_TIPOS_OT'!$A$4:$A$7,0)),"sin_clasificar"))</f>
        <v/>
      </c>
      <c r="T371" s="3">
        <f>IF($F371="","",IFERROR(INDEX('CAT_CENTROS_COSTO'!$E$4:$E$9,MATCH($F371,'CAT_CENTROS_COSTO'!$A$4:$A$9,0)),"(sin catálogo)"))</f>
        <v/>
      </c>
      <c r="U371" s="3">
        <f>IF($F371="","",IFERROR(INDEX('CAT_CENTROS_COSTO'!$D$4:$D$9,MATCH($F371,'CAT_CENTROS_COSTO'!$A$4:$A$9,0)),"(sin catálogo)"))</f>
        <v/>
      </c>
      <c r="V371" s="3">
        <f>IF($F371="","",IFERROR(INDEX('CAT_CENTROS_COSTO'!$F$4:$F$9,MATCH($F371,'CAT_CENTROS_COSTO'!$A$4:$A$9,0)),"(sin catálogo)"))</f>
        <v/>
      </c>
      <c r="W371" s="3">
        <f>IF($G371="","",IFERROR(INDEX('CAT_PUESTOS'!$B$4:$B$8,MATCH($G371,'CAT_PUESTOS'!$A$4:$A$8,0)),"(sin catálogo)"))</f>
        <v/>
      </c>
      <c r="X371" s="3">
        <f>IF($H371="","",IFERROR(INDEX('CAT_ACTIVIDADES'!$B$4:$B$8,MATCH($H371,'CAT_ACTIVIDADES'!$A$4:$A$8,0)),"(sin catálogo)"))</f>
        <v/>
      </c>
      <c r="Y371" s="12">
        <f>IF($J371="","",TODAY()-$J371)</f>
        <v/>
      </c>
      <c r="Z371" s="3">
        <f>IF($Y371="","",IF($Y371&lt;0,"FUTURO",IF($Y371&gt;p_dias_backlog_max,"BACKLOG","MES CORRIENTE")))</f>
        <v/>
      </c>
      <c r="AA371" s="3">
        <f>IF($Y371="",FALSE,AND($Y371&gt;p_dias_backlog_min,$Y371&lt;=p_dias_backlog_max))</f>
        <v/>
      </c>
      <c r="AB371" s="6" t="n"/>
      <c r="AC371" s="3">
        <f>IF($AB371="","",IFERROR(INDEX('ASIGNACIONES'!$F$4:$F$339,MATCH($O371&amp;"|"&amp;$R371&amp;"|"&amp;$AB371,'ASIGNACIONES'!$I$4:$I$339,0)),""))</f>
        <v/>
      </c>
      <c r="AD371" s="13">
        <f>IF($AB371="","",SUMIFS('ORDENES'!$M$4:$M$1203,'ORDENES'!$AB$4:$AB$1203,$AB371,'ORDENES'!$O$4:$O$1203,$O371,'ORDENES'!$R$4:$R$1203,$R371))</f>
        <v/>
      </c>
      <c r="AE371" s="13">
        <f>IF($AD371="","",p_factor_productividad*IFERROR(INDEX('ASIGNACIONES'!$H$4:$H$339,MATCH($O371&amp;"|"&amp;$R371&amp;"|"&amp;$AB371,'ASIGNACIONES'!$I$4:$I$339,0)),0)-$AD371)</f>
        <v/>
      </c>
      <c r="AF371" s="10">
        <f>IF($A371="","",IFERROR(INDEX('2_IMPORTAR_EJECUCION'!$F$9:$F$1208,MATCH($AN371,'2_IMPORTAR_EJECUCION'!$J$9:$J$1208,0)),0))</f>
        <v/>
      </c>
      <c r="AG371" s="10">
        <f>IF($A371="","",MAX(0,IFERROR(INDEX('2_IMPORTAR_EJECUCION'!$H$9:$H$1208,MATCH($AN371,'2_IMPORTAR_EJECUCION'!$J$9:$J$1208,0)),0)-$AF371))</f>
        <v/>
      </c>
      <c r="AH371" s="10">
        <f>IF($A371="","",$AF371+$AG371)</f>
        <v/>
      </c>
      <c r="AI371" s="6" t="n"/>
      <c r="AJ371" s="6" t="n"/>
      <c r="AK371" s="6" t="n"/>
      <c r="AL371" s="3">
        <f>IF($AK371="","",HYPERLINK(p_ruta_base_checklists&amp;$AK371,"abrir"))</f>
        <v/>
      </c>
      <c r="AM371" s="6" t="n"/>
      <c r="AN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1" t="n"/>
      <c r="K372" s="3" t="n"/>
      <c r="L372" s="10" t="n"/>
      <c r="M372" s="3">
        <f>IF($A372="","",IFERROR(INDEX('AJUSTES'!$B$4:$B$303,MATCH($AN372,'AJUSTES'!$A$4:$A$303,0)),IF($K372="","",$K372)))</f>
        <v/>
      </c>
      <c r="N372" s="3">
        <f>IF($A372="","",IFERROR(INDEX('CAT_ESTADOS_ERP'!$B$4:$B$7,MATCH(IFERROR(INDEX('2_IMPORTAR_EJECUCION'!$C$9:$C$1208,MATCH($AN372,'2_IMPORTAR_EJECUCION'!$J$9:$J$1208,0)),""),'CAT_ESTADOS_ERP'!$A$4:$A$7,0)),"Pendiente"))</f>
        <v/>
      </c>
      <c r="O372" s="3">
        <f>IF($J372="","",YEAR($J372+4-WEEKDAY($J372,2))&amp;"-S"&amp;TEXT(_xlfn.ISOWEEKNUM($J372),"00"))</f>
        <v/>
      </c>
      <c r="P372" s="3">
        <f>IF($J372="","",YEAR($J372))</f>
        <v/>
      </c>
      <c r="Q372" s="3">
        <f>IF($J372="","",MONTH($J372))</f>
        <v/>
      </c>
      <c r="R372" s="3">
        <f>IF($J372="","",INDEX(lista_dias,WEEKDAY($J372,2)))</f>
        <v/>
      </c>
      <c r="S372" s="3">
        <f>IF($I372="","",IFERROR(INDEX('CAT_TIPOS_OT'!$C$4:$C$7,MATCH($I372,'CAT_TIPOS_OT'!$A$4:$A$7,0)),"sin_clasificar"))</f>
        <v/>
      </c>
      <c r="T372" s="3">
        <f>IF($F372="","",IFERROR(INDEX('CAT_CENTROS_COSTO'!$E$4:$E$9,MATCH($F372,'CAT_CENTROS_COSTO'!$A$4:$A$9,0)),"(sin catálogo)"))</f>
        <v/>
      </c>
      <c r="U372" s="3">
        <f>IF($F372="","",IFERROR(INDEX('CAT_CENTROS_COSTO'!$D$4:$D$9,MATCH($F372,'CAT_CENTROS_COSTO'!$A$4:$A$9,0)),"(sin catálogo)"))</f>
        <v/>
      </c>
      <c r="V372" s="3">
        <f>IF($F372="","",IFERROR(INDEX('CAT_CENTROS_COSTO'!$F$4:$F$9,MATCH($F372,'CAT_CENTROS_COSTO'!$A$4:$A$9,0)),"(sin catálogo)"))</f>
        <v/>
      </c>
      <c r="W372" s="3">
        <f>IF($G372="","",IFERROR(INDEX('CAT_PUESTOS'!$B$4:$B$8,MATCH($G372,'CAT_PUESTOS'!$A$4:$A$8,0)),"(sin catálogo)"))</f>
        <v/>
      </c>
      <c r="X372" s="3">
        <f>IF($H372="","",IFERROR(INDEX('CAT_ACTIVIDADES'!$B$4:$B$8,MATCH($H372,'CAT_ACTIVIDADES'!$A$4:$A$8,0)),"(sin catálogo)"))</f>
        <v/>
      </c>
      <c r="Y372" s="12">
        <f>IF($J372="","",TODAY()-$J372)</f>
        <v/>
      </c>
      <c r="Z372" s="3">
        <f>IF($Y372="","",IF($Y372&lt;0,"FUTURO",IF($Y372&gt;p_dias_backlog_max,"BACKLOG","MES CORRIENTE")))</f>
        <v/>
      </c>
      <c r="AA372" s="3">
        <f>IF($Y372="",FALSE,AND($Y372&gt;p_dias_backlog_min,$Y372&lt;=p_dias_backlog_max))</f>
        <v/>
      </c>
      <c r="AB372" s="6" t="n"/>
      <c r="AC372" s="3">
        <f>IF($AB372="","",IFERROR(INDEX('ASIGNACIONES'!$F$4:$F$339,MATCH($O372&amp;"|"&amp;$R372&amp;"|"&amp;$AB372,'ASIGNACIONES'!$I$4:$I$339,0)),""))</f>
        <v/>
      </c>
      <c r="AD372" s="13">
        <f>IF($AB372="","",SUMIFS('ORDENES'!$M$4:$M$1203,'ORDENES'!$AB$4:$AB$1203,$AB372,'ORDENES'!$O$4:$O$1203,$O372,'ORDENES'!$R$4:$R$1203,$R372))</f>
        <v/>
      </c>
      <c r="AE372" s="13">
        <f>IF($AD372="","",p_factor_productividad*IFERROR(INDEX('ASIGNACIONES'!$H$4:$H$339,MATCH($O372&amp;"|"&amp;$R372&amp;"|"&amp;$AB372,'ASIGNACIONES'!$I$4:$I$339,0)),0)-$AD372)</f>
        <v/>
      </c>
      <c r="AF372" s="10">
        <f>IF($A372="","",IFERROR(INDEX('2_IMPORTAR_EJECUCION'!$F$9:$F$1208,MATCH($AN372,'2_IMPORTAR_EJECUCION'!$J$9:$J$1208,0)),0))</f>
        <v/>
      </c>
      <c r="AG372" s="10">
        <f>IF($A372="","",MAX(0,IFERROR(INDEX('2_IMPORTAR_EJECUCION'!$H$9:$H$1208,MATCH($AN372,'2_IMPORTAR_EJECUCION'!$J$9:$J$1208,0)),0)-$AF372))</f>
        <v/>
      </c>
      <c r="AH372" s="10">
        <f>IF($A372="","",$AF372+$AG372)</f>
        <v/>
      </c>
      <c r="AI372" s="6" t="n"/>
      <c r="AJ372" s="6" t="n"/>
      <c r="AK372" s="6" t="n"/>
      <c r="AL372" s="3">
        <f>IF($AK372="","",HYPERLINK(p_ruta_base_checklists&amp;$AK372,"abrir"))</f>
        <v/>
      </c>
      <c r="AM372" s="6" t="n"/>
      <c r="AN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1" t="n"/>
      <c r="K373" s="3" t="n"/>
      <c r="L373" s="10" t="n"/>
      <c r="M373" s="3">
        <f>IF($A373="","",IFERROR(INDEX('AJUSTES'!$B$4:$B$303,MATCH($AN373,'AJUSTES'!$A$4:$A$303,0)),IF($K373="","",$K373)))</f>
        <v/>
      </c>
      <c r="N373" s="3">
        <f>IF($A373="","",IFERROR(INDEX('CAT_ESTADOS_ERP'!$B$4:$B$7,MATCH(IFERROR(INDEX('2_IMPORTAR_EJECUCION'!$C$9:$C$1208,MATCH($AN373,'2_IMPORTAR_EJECUCION'!$J$9:$J$1208,0)),""),'CAT_ESTADOS_ERP'!$A$4:$A$7,0)),"Pendiente"))</f>
        <v/>
      </c>
      <c r="O373" s="3">
        <f>IF($J373="","",YEAR($J373+4-WEEKDAY($J373,2))&amp;"-S"&amp;TEXT(_xlfn.ISOWEEKNUM($J373),"00"))</f>
        <v/>
      </c>
      <c r="P373" s="3">
        <f>IF($J373="","",YEAR($J373))</f>
        <v/>
      </c>
      <c r="Q373" s="3">
        <f>IF($J373="","",MONTH($J373))</f>
        <v/>
      </c>
      <c r="R373" s="3">
        <f>IF($J373="","",INDEX(lista_dias,WEEKDAY($J373,2)))</f>
        <v/>
      </c>
      <c r="S373" s="3">
        <f>IF($I373="","",IFERROR(INDEX('CAT_TIPOS_OT'!$C$4:$C$7,MATCH($I373,'CAT_TIPOS_OT'!$A$4:$A$7,0)),"sin_clasificar"))</f>
        <v/>
      </c>
      <c r="T373" s="3">
        <f>IF($F373="","",IFERROR(INDEX('CAT_CENTROS_COSTO'!$E$4:$E$9,MATCH($F373,'CAT_CENTROS_COSTO'!$A$4:$A$9,0)),"(sin catálogo)"))</f>
        <v/>
      </c>
      <c r="U373" s="3">
        <f>IF($F373="","",IFERROR(INDEX('CAT_CENTROS_COSTO'!$D$4:$D$9,MATCH($F373,'CAT_CENTROS_COSTO'!$A$4:$A$9,0)),"(sin catálogo)"))</f>
        <v/>
      </c>
      <c r="V373" s="3">
        <f>IF($F373="","",IFERROR(INDEX('CAT_CENTROS_COSTO'!$F$4:$F$9,MATCH($F373,'CAT_CENTROS_COSTO'!$A$4:$A$9,0)),"(sin catálogo)"))</f>
        <v/>
      </c>
      <c r="W373" s="3">
        <f>IF($G373="","",IFERROR(INDEX('CAT_PUESTOS'!$B$4:$B$8,MATCH($G373,'CAT_PUESTOS'!$A$4:$A$8,0)),"(sin catálogo)"))</f>
        <v/>
      </c>
      <c r="X373" s="3">
        <f>IF($H373="","",IFERROR(INDEX('CAT_ACTIVIDADES'!$B$4:$B$8,MATCH($H373,'CAT_ACTIVIDADES'!$A$4:$A$8,0)),"(sin catálogo)"))</f>
        <v/>
      </c>
      <c r="Y373" s="12">
        <f>IF($J373="","",TODAY()-$J373)</f>
        <v/>
      </c>
      <c r="Z373" s="3">
        <f>IF($Y373="","",IF($Y373&lt;0,"FUTURO",IF($Y373&gt;p_dias_backlog_max,"BACKLOG","MES CORRIENTE")))</f>
        <v/>
      </c>
      <c r="AA373" s="3">
        <f>IF($Y373="",FALSE,AND($Y373&gt;p_dias_backlog_min,$Y373&lt;=p_dias_backlog_max))</f>
        <v/>
      </c>
      <c r="AB373" s="6" t="n"/>
      <c r="AC373" s="3">
        <f>IF($AB373="","",IFERROR(INDEX('ASIGNACIONES'!$F$4:$F$339,MATCH($O373&amp;"|"&amp;$R373&amp;"|"&amp;$AB373,'ASIGNACIONES'!$I$4:$I$339,0)),""))</f>
        <v/>
      </c>
      <c r="AD373" s="13">
        <f>IF($AB373="","",SUMIFS('ORDENES'!$M$4:$M$1203,'ORDENES'!$AB$4:$AB$1203,$AB373,'ORDENES'!$O$4:$O$1203,$O373,'ORDENES'!$R$4:$R$1203,$R373))</f>
        <v/>
      </c>
      <c r="AE373" s="13">
        <f>IF($AD373="","",p_factor_productividad*IFERROR(INDEX('ASIGNACIONES'!$H$4:$H$339,MATCH($O373&amp;"|"&amp;$R373&amp;"|"&amp;$AB373,'ASIGNACIONES'!$I$4:$I$339,0)),0)-$AD373)</f>
        <v/>
      </c>
      <c r="AF373" s="10">
        <f>IF($A373="","",IFERROR(INDEX('2_IMPORTAR_EJECUCION'!$F$9:$F$1208,MATCH($AN373,'2_IMPORTAR_EJECUCION'!$J$9:$J$1208,0)),0))</f>
        <v/>
      </c>
      <c r="AG373" s="10">
        <f>IF($A373="","",MAX(0,IFERROR(INDEX('2_IMPORTAR_EJECUCION'!$H$9:$H$1208,MATCH($AN373,'2_IMPORTAR_EJECUCION'!$J$9:$J$1208,0)),0)-$AF373))</f>
        <v/>
      </c>
      <c r="AH373" s="10">
        <f>IF($A373="","",$AF373+$AG373)</f>
        <v/>
      </c>
      <c r="AI373" s="6" t="n"/>
      <c r="AJ373" s="6" t="n"/>
      <c r="AK373" s="6" t="n"/>
      <c r="AL373" s="3">
        <f>IF($AK373="","",HYPERLINK(p_ruta_base_checklists&amp;$AK373,"abrir"))</f>
        <v/>
      </c>
      <c r="AM373" s="6" t="n"/>
      <c r="AN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1" t="n"/>
      <c r="K374" s="3" t="n"/>
      <c r="L374" s="10" t="n"/>
      <c r="M374" s="3">
        <f>IF($A374="","",IFERROR(INDEX('AJUSTES'!$B$4:$B$303,MATCH($AN374,'AJUSTES'!$A$4:$A$303,0)),IF($K374="","",$K374)))</f>
        <v/>
      </c>
      <c r="N374" s="3">
        <f>IF($A374="","",IFERROR(INDEX('CAT_ESTADOS_ERP'!$B$4:$B$7,MATCH(IFERROR(INDEX('2_IMPORTAR_EJECUCION'!$C$9:$C$1208,MATCH($AN374,'2_IMPORTAR_EJECUCION'!$J$9:$J$1208,0)),""),'CAT_ESTADOS_ERP'!$A$4:$A$7,0)),"Pendiente"))</f>
        <v/>
      </c>
      <c r="O374" s="3">
        <f>IF($J374="","",YEAR($J374+4-WEEKDAY($J374,2))&amp;"-S"&amp;TEXT(_xlfn.ISOWEEKNUM($J374),"00"))</f>
        <v/>
      </c>
      <c r="P374" s="3">
        <f>IF($J374="","",YEAR($J374))</f>
        <v/>
      </c>
      <c r="Q374" s="3">
        <f>IF($J374="","",MONTH($J374))</f>
        <v/>
      </c>
      <c r="R374" s="3">
        <f>IF($J374="","",INDEX(lista_dias,WEEKDAY($J374,2)))</f>
        <v/>
      </c>
      <c r="S374" s="3">
        <f>IF($I374="","",IFERROR(INDEX('CAT_TIPOS_OT'!$C$4:$C$7,MATCH($I374,'CAT_TIPOS_OT'!$A$4:$A$7,0)),"sin_clasificar"))</f>
        <v/>
      </c>
      <c r="T374" s="3">
        <f>IF($F374="","",IFERROR(INDEX('CAT_CENTROS_COSTO'!$E$4:$E$9,MATCH($F374,'CAT_CENTROS_COSTO'!$A$4:$A$9,0)),"(sin catálogo)"))</f>
        <v/>
      </c>
      <c r="U374" s="3">
        <f>IF($F374="","",IFERROR(INDEX('CAT_CENTROS_COSTO'!$D$4:$D$9,MATCH($F374,'CAT_CENTROS_COSTO'!$A$4:$A$9,0)),"(sin catálogo)"))</f>
        <v/>
      </c>
      <c r="V374" s="3">
        <f>IF($F374="","",IFERROR(INDEX('CAT_CENTROS_COSTO'!$F$4:$F$9,MATCH($F374,'CAT_CENTROS_COSTO'!$A$4:$A$9,0)),"(sin catálogo)"))</f>
        <v/>
      </c>
      <c r="W374" s="3">
        <f>IF($G374="","",IFERROR(INDEX('CAT_PUESTOS'!$B$4:$B$8,MATCH($G374,'CAT_PUESTOS'!$A$4:$A$8,0)),"(sin catálogo)"))</f>
        <v/>
      </c>
      <c r="X374" s="3">
        <f>IF($H374="","",IFERROR(INDEX('CAT_ACTIVIDADES'!$B$4:$B$8,MATCH($H374,'CAT_ACTIVIDADES'!$A$4:$A$8,0)),"(sin catálogo)"))</f>
        <v/>
      </c>
      <c r="Y374" s="12">
        <f>IF($J374="","",TODAY()-$J374)</f>
        <v/>
      </c>
      <c r="Z374" s="3">
        <f>IF($Y374="","",IF($Y374&lt;0,"FUTURO",IF($Y374&gt;p_dias_backlog_max,"BACKLOG","MES CORRIENTE")))</f>
        <v/>
      </c>
      <c r="AA374" s="3">
        <f>IF($Y374="",FALSE,AND($Y374&gt;p_dias_backlog_min,$Y374&lt;=p_dias_backlog_max))</f>
        <v/>
      </c>
      <c r="AB374" s="6" t="n"/>
      <c r="AC374" s="3">
        <f>IF($AB374="","",IFERROR(INDEX('ASIGNACIONES'!$F$4:$F$339,MATCH($O374&amp;"|"&amp;$R374&amp;"|"&amp;$AB374,'ASIGNACIONES'!$I$4:$I$339,0)),""))</f>
        <v/>
      </c>
      <c r="AD374" s="13">
        <f>IF($AB374="","",SUMIFS('ORDENES'!$M$4:$M$1203,'ORDENES'!$AB$4:$AB$1203,$AB374,'ORDENES'!$O$4:$O$1203,$O374,'ORDENES'!$R$4:$R$1203,$R374))</f>
        <v/>
      </c>
      <c r="AE374" s="13">
        <f>IF($AD374="","",p_factor_productividad*IFERROR(INDEX('ASIGNACIONES'!$H$4:$H$339,MATCH($O374&amp;"|"&amp;$R374&amp;"|"&amp;$AB374,'ASIGNACIONES'!$I$4:$I$339,0)),0)-$AD374)</f>
        <v/>
      </c>
      <c r="AF374" s="10">
        <f>IF($A374="","",IFERROR(INDEX('2_IMPORTAR_EJECUCION'!$F$9:$F$1208,MATCH($AN374,'2_IMPORTAR_EJECUCION'!$J$9:$J$1208,0)),0))</f>
        <v/>
      </c>
      <c r="AG374" s="10">
        <f>IF($A374="","",MAX(0,IFERROR(INDEX('2_IMPORTAR_EJECUCION'!$H$9:$H$1208,MATCH($AN374,'2_IMPORTAR_EJECUCION'!$J$9:$J$1208,0)),0)-$AF374))</f>
        <v/>
      </c>
      <c r="AH374" s="10">
        <f>IF($A374="","",$AF374+$AG374)</f>
        <v/>
      </c>
      <c r="AI374" s="6" t="n"/>
      <c r="AJ374" s="6" t="n"/>
      <c r="AK374" s="6" t="n"/>
      <c r="AL374" s="3">
        <f>IF($AK374="","",HYPERLINK(p_ruta_base_checklists&amp;$AK374,"abrir"))</f>
        <v/>
      </c>
      <c r="AM374" s="6" t="n"/>
      <c r="AN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1" t="n"/>
      <c r="K375" s="3" t="n"/>
      <c r="L375" s="10" t="n"/>
      <c r="M375" s="3">
        <f>IF($A375="","",IFERROR(INDEX('AJUSTES'!$B$4:$B$303,MATCH($AN375,'AJUSTES'!$A$4:$A$303,0)),IF($K375="","",$K375)))</f>
        <v/>
      </c>
      <c r="N375" s="3">
        <f>IF($A375="","",IFERROR(INDEX('CAT_ESTADOS_ERP'!$B$4:$B$7,MATCH(IFERROR(INDEX('2_IMPORTAR_EJECUCION'!$C$9:$C$1208,MATCH($AN375,'2_IMPORTAR_EJECUCION'!$J$9:$J$1208,0)),""),'CAT_ESTADOS_ERP'!$A$4:$A$7,0)),"Pendiente"))</f>
        <v/>
      </c>
      <c r="O375" s="3">
        <f>IF($J375="","",YEAR($J375+4-WEEKDAY($J375,2))&amp;"-S"&amp;TEXT(_xlfn.ISOWEEKNUM($J375),"00"))</f>
        <v/>
      </c>
      <c r="P375" s="3">
        <f>IF($J375="","",YEAR($J375))</f>
        <v/>
      </c>
      <c r="Q375" s="3">
        <f>IF($J375="","",MONTH($J375))</f>
        <v/>
      </c>
      <c r="R375" s="3">
        <f>IF($J375="","",INDEX(lista_dias,WEEKDAY($J375,2)))</f>
        <v/>
      </c>
      <c r="S375" s="3">
        <f>IF($I375="","",IFERROR(INDEX('CAT_TIPOS_OT'!$C$4:$C$7,MATCH($I375,'CAT_TIPOS_OT'!$A$4:$A$7,0)),"sin_clasificar"))</f>
        <v/>
      </c>
      <c r="T375" s="3">
        <f>IF($F375="","",IFERROR(INDEX('CAT_CENTROS_COSTO'!$E$4:$E$9,MATCH($F375,'CAT_CENTROS_COSTO'!$A$4:$A$9,0)),"(sin catálogo)"))</f>
        <v/>
      </c>
      <c r="U375" s="3">
        <f>IF($F375="","",IFERROR(INDEX('CAT_CENTROS_COSTO'!$D$4:$D$9,MATCH($F375,'CAT_CENTROS_COSTO'!$A$4:$A$9,0)),"(sin catálogo)"))</f>
        <v/>
      </c>
      <c r="V375" s="3">
        <f>IF($F375="","",IFERROR(INDEX('CAT_CENTROS_COSTO'!$F$4:$F$9,MATCH($F375,'CAT_CENTROS_COSTO'!$A$4:$A$9,0)),"(sin catálogo)"))</f>
        <v/>
      </c>
      <c r="W375" s="3">
        <f>IF($G375="","",IFERROR(INDEX('CAT_PUESTOS'!$B$4:$B$8,MATCH($G375,'CAT_PUESTOS'!$A$4:$A$8,0)),"(sin catálogo)"))</f>
        <v/>
      </c>
      <c r="X375" s="3">
        <f>IF($H375="","",IFERROR(INDEX('CAT_ACTIVIDADES'!$B$4:$B$8,MATCH($H375,'CAT_ACTIVIDADES'!$A$4:$A$8,0)),"(sin catálogo)"))</f>
        <v/>
      </c>
      <c r="Y375" s="12">
        <f>IF($J375="","",TODAY()-$J375)</f>
        <v/>
      </c>
      <c r="Z375" s="3">
        <f>IF($Y375="","",IF($Y375&lt;0,"FUTURO",IF($Y375&gt;p_dias_backlog_max,"BACKLOG","MES CORRIENTE")))</f>
        <v/>
      </c>
      <c r="AA375" s="3">
        <f>IF($Y375="",FALSE,AND($Y375&gt;p_dias_backlog_min,$Y375&lt;=p_dias_backlog_max))</f>
        <v/>
      </c>
      <c r="AB375" s="6" t="n"/>
      <c r="AC375" s="3">
        <f>IF($AB375="","",IFERROR(INDEX('ASIGNACIONES'!$F$4:$F$339,MATCH($O375&amp;"|"&amp;$R375&amp;"|"&amp;$AB375,'ASIGNACIONES'!$I$4:$I$339,0)),""))</f>
        <v/>
      </c>
      <c r="AD375" s="13">
        <f>IF($AB375="","",SUMIFS('ORDENES'!$M$4:$M$1203,'ORDENES'!$AB$4:$AB$1203,$AB375,'ORDENES'!$O$4:$O$1203,$O375,'ORDENES'!$R$4:$R$1203,$R375))</f>
        <v/>
      </c>
      <c r="AE375" s="13">
        <f>IF($AD375="","",p_factor_productividad*IFERROR(INDEX('ASIGNACIONES'!$H$4:$H$339,MATCH($O375&amp;"|"&amp;$R375&amp;"|"&amp;$AB375,'ASIGNACIONES'!$I$4:$I$339,0)),0)-$AD375)</f>
        <v/>
      </c>
      <c r="AF375" s="10">
        <f>IF($A375="","",IFERROR(INDEX('2_IMPORTAR_EJECUCION'!$F$9:$F$1208,MATCH($AN375,'2_IMPORTAR_EJECUCION'!$J$9:$J$1208,0)),0))</f>
        <v/>
      </c>
      <c r="AG375" s="10">
        <f>IF($A375="","",MAX(0,IFERROR(INDEX('2_IMPORTAR_EJECUCION'!$H$9:$H$1208,MATCH($AN375,'2_IMPORTAR_EJECUCION'!$J$9:$J$1208,0)),0)-$AF375))</f>
        <v/>
      </c>
      <c r="AH375" s="10">
        <f>IF($A375="","",$AF375+$AG375)</f>
        <v/>
      </c>
      <c r="AI375" s="6" t="n"/>
      <c r="AJ375" s="6" t="n"/>
      <c r="AK375" s="6" t="n"/>
      <c r="AL375" s="3">
        <f>IF($AK375="","",HYPERLINK(p_ruta_base_checklists&amp;$AK375,"abrir"))</f>
        <v/>
      </c>
      <c r="AM375" s="6" t="n"/>
      <c r="AN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1" t="n"/>
      <c r="K376" s="3" t="n"/>
      <c r="L376" s="10" t="n"/>
      <c r="M376" s="3">
        <f>IF($A376="","",IFERROR(INDEX('AJUSTES'!$B$4:$B$303,MATCH($AN376,'AJUSTES'!$A$4:$A$303,0)),IF($K376="","",$K376)))</f>
        <v/>
      </c>
      <c r="N376" s="3">
        <f>IF($A376="","",IFERROR(INDEX('CAT_ESTADOS_ERP'!$B$4:$B$7,MATCH(IFERROR(INDEX('2_IMPORTAR_EJECUCION'!$C$9:$C$1208,MATCH($AN376,'2_IMPORTAR_EJECUCION'!$J$9:$J$1208,0)),""),'CAT_ESTADOS_ERP'!$A$4:$A$7,0)),"Pendiente"))</f>
        <v/>
      </c>
      <c r="O376" s="3">
        <f>IF($J376="","",YEAR($J376+4-WEEKDAY($J376,2))&amp;"-S"&amp;TEXT(_xlfn.ISOWEEKNUM($J376),"00"))</f>
        <v/>
      </c>
      <c r="P376" s="3">
        <f>IF($J376="","",YEAR($J376))</f>
        <v/>
      </c>
      <c r="Q376" s="3">
        <f>IF($J376="","",MONTH($J376))</f>
        <v/>
      </c>
      <c r="R376" s="3">
        <f>IF($J376="","",INDEX(lista_dias,WEEKDAY($J376,2)))</f>
        <v/>
      </c>
      <c r="S376" s="3">
        <f>IF($I376="","",IFERROR(INDEX('CAT_TIPOS_OT'!$C$4:$C$7,MATCH($I376,'CAT_TIPOS_OT'!$A$4:$A$7,0)),"sin_clasificar"))</f>
        <v/>
      </c>
      <c r="T376" s="3">
        <f>IF($F376="","",IFERROR(INDEX('CAT_CENTROS_COSTO'!$E$4:$E$9,MATCH($F376,'CAT_CENTROS_COSTO'!$A$4:$A$9,0)),"(sin catálogo)"))</f>
        <v/>
      </c>
      <c r="U376" s="3">
        <f>IF($F376="","",IFERROR(INDEX('CAT_CENTROS_COSTO'!$D$4:$D$9,MATCH($F376,'CAT_CENTROS_COSTO'!$A$4:$A$9,0)),"(sin catálogo)"))</f>
        <v/>
      </c>
      <c r="V376" s="3">
        <f>IF($F376="","",IFERROR(INDEX('CAT_CENTROS_COSTO'!$F$4:$F$9,MATCH($F376,'CAT_CENTROS_COSTO'!$A$4:$A$9,0)),"(sin catálogo)"))</f>
        <v/>
      </c>
      <c r="W376" s="3">
        <f>IF($G376="","",IFERROR(INDEX('CAT_PUESTOS'!$B$4:$B$8,MATCH($G376,'CAT_PUESTOS'!$A$4:$A$8,0)),"(sin catálogo)"))</f>
        <v/>
      </c>
      <c r="X376" s="3">
        <f>IF($H376="","",IFERROR(INDEX('CAT_ACTIVIDADES'!$B$4:$B$8,MATCH($H376,'CAT_ACTIVIDADES'!$A$4:$A$8,0)),"(sin catálogo)"))</f>
        <v/>
      </c>
      <c r="Y376" s="12">
        <f>IF($J376="","",TODAY()-$J376)</f>
        <v/>
      </c>
      <c r="Z376" s="3">
        <f>IF($Y376="","",IF($Y376&lt;0,"FUTURO",IF($Y376&gt;p_dias_backlog_max,"BACKLOG","MES CORRIENTE")))</f>
        <v/>
      </c>
      <c r="AA376" s="3">
        <f>IF($Y376="",FALSE,AND($Y376&gt;p_dias_backlog_min,$Y376&lt;=p_dias_backlog_max))</f>
        <v/>
      </c>
      <c r="AB376" s="6" t="n"/>
      <c r="AC376" s="3">
        <f>IF($AB376="","",IFERROR(INDEX('ASIGNACIONES'!$F$4:$F$339,MATCH($O376&amp;"|"&amp;$R376&amp;"|"&amp;$AB376,'ASIGNACIONES'!$I$4:$I$339,0)),""))</f>
        <v/>
      </c>
      <c r="AD376" s="13">
        <f>IF($AB376="","",SUMIFS('ORDENES'!$M$4:$M$1203,'ORDENES'!$AB$4:$AB$1203,$AB376,'ORDENES'!$O$4:$O$1203,$O376,'ORDENES'!$R$4:$R$1203,$R376))</f>
        <v/>
      </c>
      <c r="AE376" s="13">
        <f>IF($AD376="","",p_factor_productividad*IFERROR(INDEX('ASIGNACIONES'!$H$4:$H$339,MATCH($O376&amp;"|"&amp;$R376&amp;"|"&amp;$AB376,'ASIGNACIONES'!$I$4:$I$339,0)),0)-$AD376)</f>
        <v/>
      </c>
      <c r="AF376" s="10">
        <f>IF($A376="","",IFERROR(INDEX('2_IMPORTAR_EJECUCION'!$F$9:$F$1208,MATCH($AN376,'2_IMPORTAR_EJECUCION'!$J$9:$J$1208,0)),0))</f>
        <v/>
      </c>
      <c r="AG376" s="10">
        <f>IF($A376="","",MAX(0,IFERROR(INDEX('2_IMPORTAR_EJECUCION'!$H$9:$H$1208,MATCH($AN376,'2_IMPORTAR_EJECUCION'!$J$9:$J$1208,0)),0)-$AF376))</f>
        <v/>
      </c>
      <c r="AH376" s="10">
        <f>IF($A376="","",$AF376+$AG376)</f>
        <v/>
      </c>
      <c r="AI376" s="6" t="n"/>
      <c r="AJ376" s="6" t="n"/>
      <c r="AK376" s="6" t="n"/>
      <c r="AL376" s="3">
        <f>IF($AK376="","",HYPERLINK(p_ruta_base_checklists&amp;$AK376,"abrir"))</f>
        <v/>
      </c>
      <c r="AM376" s="6" t="n"/>
      <c r="AN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1" t="n"/>
      <c r="K377" s="3" t="n"/>
      <c r="L377" s="10" t="n"/>
      <c r="M377" s="3">
        <f>IF($A377="","",IFERROR(INDEX('AJUSTES'!$B$4:$B$303,MATCH($AN377,'AJUSTES'!$A$4:$A$303,0)),IF($K377="","",$K377)))</f>
        <v/>
      </c>
      <c r="N377" s="3">
        <f>IF($A377="","",IFERROR(INDEX('CAT_ESTADOS_ERP'!$B$4:$B$7,MATCH(IFERROR(INDEX('2_IMPORTAR_EJECUCION'!$C$9:$C$1208,MATCH($AN377,'2_IMPORTAR_EJECUCION'!$J$9:$J$1208,0)),""),'CAT_ESTADOS_ERP'!$A$4:$A$7,0)),"Pendiente"))</f>
        <v/>
      </c>
      <c r="O377" s="3">
        <f>IF($J377="","",YEAR($J377+4-WEEKDAY($J377,2))&amp;"-S"&amp;TEXT(_xlfn.ISOWEEKNUM($J377),"00"))</f>
        <v/>
      </c>
      <c r="P377" s="3">
        <f>IF($J377="","",YEAR($J377))</f>
        <v/>
      </c>
      <c r="Q377" s="3">
        <f>IF($J377="","",MONTH($J377))</f>
        <v/>
      </c>
      <c r="R377" s="3">
        <f>IF($J377="","",INDEX(lista_dias,WEEKDAY($J377,2)))</f>
        <v/>
      </c>
      <c r="S377" s="3">
        <f>IF($I377="","",IFERROR(INDEX('CAT_TIPOS_OT'!$C$4:$C$7,MATCH($I377,'CAT_TIPOS_OT'!$A$4:$A$7,0)),"sin_clasificar"))</f>
        <v/>
      </c>
      <c r="T377" s="3">
        <f>IF($F377="","",IFERROR(INDEX('CAT_CENTROS_COSTO'!$E$4:$E$9,MATCH($F377,'CAT_CENTROS_COSTO'!$A$4:$A$9,0)),"(sin catálogo)"))</f>
        <v/>
      </c>
      <c r="U377" s="3">
        <f>IF($F377="","",IFERROR(INDEX('CAT_CENTROS_COSTO'!$D$4:$D$9,MATCH($F377,'CAT_CENTROS_COSTO'!$A$4:$A$9,0)),"(sin catálogo)"))</f>
        <v/>
      </c>
      <c r="V377" s="3">
        <f>IF($F377="","",IFERROR(INDEX('CAT_CENTROS_COSTO'!$F$4:$F$9,MATCH($F377,'CAT_CENTROS_COSTO'!$A$4:$A$9,0)),"(sin catálogo)"))</f>
        <v/>
      </c>
      <c r="W377" s="3">
        <f>IF($G377="","",IFERROR(INDEX('CAT_PUESTOS'!$B$4:$B$8,MATCH($G377,'CAT_PUESTOS'!$A$4:$A$8,0)),"(sin catálogo)"))</f>
        <v/>
      </c>
      <c r="X377" s="3">
        <f>IF($H377="","",IFERROR(INDEX('CAT_ACTIVIDADES'!$B$4:$B$8,MATCH($H377,'CAT_ACTIVIDADES'!$A$4:$A$8,0)),"(sin catálogo)"))</f>
        <v/>
      </c>
      <c r="Y377" s="12">
        <f>IF($J377="","",TODAY()-$J377)</f>
        <v/>
      </c>
      <c r="Z377" s="3">
        <f>IF($Y377="","",IF($Y377&lt;0,"FUTURO",IF($Y377&gt;p_dias_backlog_max,"BACKLOG","MES CORRIENTE")))</f>
        <v/>
      </c>
      <c r="AA377" s="3">
        <f>IF($Y377="",FALSE,AND($Y377&gt;p_dias_backlog_min,$Y377&lt;=p_dias_backlog_max))</f>
        <v/>
      </c>
      <c r="AB377" s="6" t="n"/>
      <c r="AC377" s="3">
        <f>IF($AB377="","",IFERROR(INDEX('ASIGNACIONES'!$F$4:$F$339,MATCH($O377&amp;"|"&amp;$R377&amp;"|"&amp;$AB377,'ASIGNACIONES'!$I$4:$I$339,0)),""))</f>
        <v/>
      </c>
      <c r="AD377" s="13">
        <f>IF($AB377="","",SUMIFS('ORDENES'!$M$4:$M$1203,'ORDENES'!$AB$4:$AB$1203,$AB377,'ORDENES'!$O$4:$O$1203,$O377,'ORDENES'!$R$4:$R$1203,$R377))</f>
        <v/>
      </c>
      <c r="AE377" s="13">
        <f>IF($AD377="","",p_factor_productividad*IFERROR(INDEX('ASIGNACIONES'!$H$4:$H$339,MATCH($O377&amp;"|"&amp;$R377&amp;"|"&amp;$AB377,'ASIGNACIONES'!$I$4:$I$339,0)),0)-$AD377)</f>
        <v/>
      </c>
      <c r="AF377" s="10">
        <f>IF($A377="","",IFERROR(INDEX('2_IMPORTAR_EJECUCION'!$F$9:$F$1208,MATCH($AN377,'2_IMPORTAR_EJECUCION'!$J$9:$J$1208,0)),0))</f>
        <v/>
      </c>
      <c r="AG377" s="10">
        <f>IF($A377="","",MAX(0,IFERROR(INDEX('2_IMPORTAR_EJECUCION'!$H$9:$H$1208,MATCH($AN377,'2_IMPORTAR_EJECUCION'!$J$9:$J$1208,0)),0)-$AF377))</f>
        <v/>
      </c>
      <c r="AH377" s="10">
        <f>IF($A377="","",$AF377+$AG377)</f>
        <v/>
      </c>
      <c r="AI377" s="6" t="n"/>
      <c r="AJ377" s="6" t="n"/>
      <c r="AK377" s="6" t="n"/>
      <c r="AL377" s="3">
        <f>IF($AK377="","",HYPERLINK(p_ruta_base_checklists&amp;$AK377,"abrir"))</f>
        <v/>
      </c>
      <c r="AM377" s="6" t="n"/>
      <c r="AN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1" t="n"/>
      <c r="K378" s="3" t="n"/>
      <c r="L378" s="10" t="n"/>
      <c r="M378" s="3">
        <f>IF($A378="","",IFERROR(INDEX('AJUSTES'!$B$4:$B$303,MATCH($AN378,'AJUSTES'!$A$4:$A$303,0)),IF($K378="","",$K378)))</f>
        <v/>
      </c>
      <c r="N378" s="3">
        <f>IF($A378="","",IFERROR(INDEX('CAT_ESTADOS_ERP'!$B$4:$B$7,MATCH(IFERROR(INDEX('2_IMPORTAR_EJECUCION'!$C$9:$C$1208,MATCH($AN378,'2_IMPORTAR_EJECUCION'!$J$9:$J$1208,0)),""),'CAT_ESTADOS_ERP'!$A$4:$A$7,0)),"Pendiente"))</f>
        <v/>
      </c>
      <c r="O378" s="3">
        <f>IF($J378="","",YEAR($J378+4-WEEKDAY($J378,2))&amp;"-S"&amp;TEXT(_xlfn.ISOWEEKNUM($J378),"00"))</f>
        <v/>
      </c>
      <c r="P378" s="3">
        <f>IF($J378="","",YEAR($J378))</f>
        <v/>
      </c>
      <c r="Q378" s="3">
        <f>IF($J378="","",MONTH($J378))</f>
        <v/>
      </c>
      <c r="R378" s="3">
        <f>IF($J378="","",INDEX(lista_dias,WEEKDAY($J378,2)))</f>
        <v/>
      </c>
      <c r="S378" s="3">
        <f>IF($I378="","",IFERROR(INDEX('CAT_TIPOS_OT'!$C$4:$C$7,MATCH($I378,'CAT_TIPOS_OT'!$A$4:$A$7,0)),"sin_clasificar"))</f>
        <v/>
      </c>
      <c r="T378" s="3">
        <f>IF($F378="","",IFERROR(INDEX('CAT_CENTROS_COSTO'!$E$4:$E$9,MATCH($F378,'CAT_CENTROS_COSTO'!$A$4:$A$9,0)),"(sin catálogo)"))</f>
        <v/>
      </c>
      <c r="U378" s="3">
        <f>IF($F378="","",IFERROR(INDEX('CAT_CENTROS_COSTO'!$D$4:$D$9,MATCH($F378,'CAT_CENTROS_COSTO'!$A$4:$A$9,0)),"(sin catálogo)"))</f>
        <v/>
      </c>
      <c r="V378" s="3">
        <f>IF($F378="","",IFERROR(INDEX('CAT_CENTROS_COSTO'!$F$4:$F$9,MATCH($F378,'CAT_CENTROS_COSTO'!$A$4:$A$9,0)),"(sin catálogo)"))</f>
        <v/>
      </c>
      <c r="W378" s="3">
        <f>IF($G378="","",IFERROR(INDEX('CAT_PUESTOS'!$B$4:$B$8,MATCH($G378,'CAT_PUESTOS'!$A$4:$A$8,0)),"(sin catálogo)"))</f>
        <v/>
      </c>
      <c r="X378" s="3">
        <f>IF($H378="","",IFERROR(INDEX('CAT_ACTIVIDADES'!$B$4:$B$8,MATCH($H378,'CAT_ACTIVIDADES'!$A$4:$A$8,0)),"(sin catálogo)"))</f>
        <v/>
      </c>
      <c r="Y378" s="12">
        <f>IF($J378="","",TODAY()-$J378)</f>
        <v/>
      </c>
      <c r="Z378" s="3">
        <f>IF($Y378="","",IF($Y378&lt;0,"FUTURO",IF($Y378&gt;p_dias_backlog_max,"BACKLOG","MES CORRIENTE")))</f>
        <v/>
      </c>
      <c r="AA378" s="3">
        <f>IF($Y378="",FALSE,AND($Y378&gt;p_dias_backlog_min,$Y378&lt;=p_dias_backlog_max))</f>
        <v/>
      </c>
      <c r="AB378" s="6" t="n"/>
      <c r="AC378" s="3">
        <f>IF($AB378="","",IFERROR(INDEX('ASIGNACIONES'!$F$4:$F$339,MATCH($O378&amp;"|"&amp;$R378&amp;"|"&amp;$AB378,'ASIGNACIONES'!$I$4:$I$339,0)),""))</f>
        <v/>
      </c>
      <c r="AD378" s="13">
        <f>IF($AB378="","",SUMIFS('ORDENES'!$M$4:$M$1203,'ORDENES'!$AB$4:$AB$1203,$AB378,'ORDENES'!$O$4:$O$1203,$O378,'ORDENES'!$R$4:$R$1203,$R378))</f>
        <v/>
      </c>
      <c r="AE378" s="13">
        <f>IF($AD378="","",p_factor_productividad*IFERROR(INDEX('ASIGNACIONES'!$H$4:$H$339,MATCH($O378&amp;"|"&amp;$R378&amp;"|"&amp;$AB378,'ASIGNACIONES'!$I$4:$I$339,0)),0)-$AD378)</f>
        <v/>
      </c>
      <c r="AF378" s="10">
        <f>IF($A378="","",IFERROR(INDEX('2_IMPORTAR_EJECUCION'!$F$9:$F$1208,MATCH($AN378,'2_IMPORTAR_EJECUCION'!$J$9:$J$1208,0)),0))</f>
        <v/>
      </c>
      <c r="AG378" s="10">
        <f>IF($A378="","",MAX(0,IFERROR(INDEX('2_IMPORTAR_EJECUCION'!$H$9:$H$1208,MATCH($AN378,'2_IMPORTAR_EJECUCION'!$J$9:$J$1208,0)),0)-$AF378))</f>
        <v/>
      </c>
      <c r="AH378" s="10">
        <f>IF($A378="","",$AF378+$AG378)</f>
        <v/>
      </c>
      <c r="AI378" s="6" t="n"/>
      <c r="AJ378" s="6" t="n"/>
      <c r="AK378" s="6" t="n"/>
      <c r="AL378" s="3">
        <f>IF($AK378="","",HYPERLINK(p_ruta_base_checklists&amp;$AK378,"abrir"))</f>
        <v/>
      </c>
      <c r="AM378" s="6" t="n"/>
      <c r="AN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1" t="n"/>
      <c r="K379" s="3" t="n"/>
      <c r="L379" s="10" t="n"/>
      <c r="M379" s="3">
        <f>IF($A379="","",IFERROR(INDEX('AJUSTES'!$B$4:$B$303,MATCH($AN379,'AJUSTES'!$A$4:$A$303,0)),IF($K379="","",$K379)))</f>
        <v/>
      </c>
      <c r="N379" s="3">
        <f>IF($A379="","",IFERROR(INDEX('CAT_ESTADOS_ERP'!$B$4:$B$7,MATCH(IFERROR(INDEX('2_IMPORTAR_EJECUCION'!$C$9:$C$1208,MATCH($AN379,'2_IMPORTAR_EJECUCION'!$J$9:$J$1208,0)),""),'CAT_ESTADOS_ERP'!$A$4:$A$7,0)),"Pendiente"))</f>
        <v/>
      </c>
      <c r="O379" s="3">
        <f>IF($J379="","",YEAR($J379+4-WEEKDAY($J379,2))&amp;"-S"&amp;TEXT(_xlfn.ISOWEEKNUM($J379),"00"))</f>
        <v/>
      </c>
      <c r="P379" s="3">
        <f>IF($J379="","",YEAR($J379))</f>
        <v/>
      </c>
      <c r="Q379" s="3">
        <f>IF($J379="","",MONTH($J379))</f>
        <v/>
      </c>
      <c r="R379" s="3">
        <f>IF($J379="","",INDEX(lista_dias,WEEKDAY($J379,2)))</f>
        <v/>
      </c>
      <c r="S379" s="3">
        <f>IF($I379="","",IFERROR(INDEX('CAT_TIPOS_OT'!$C$4:$C$7,MATCH($I379,'CAT_TIPOS_OT'!$A$4:$A$7,0)),"sin_clasificar"))</f>
        <v/>
      </c>
      <c r="T379" s="3">
        <f>IF($F379="","",IFERROR(INDEX('CAT_CENTROS_COSTO'!$E$4:$E$9,MATCH($F379,'CAT_CENTROS_COSTO'!$A$4:$A$9,0)),"(sin catálogo)"))</f>
        <v/>
      </c>
      <c r="U379" s="3">
        <f>IF($F379="","",IFERROR(INDEX('CAT_CENTROS_COSTO'!$D$4:$D$9,MATCH($F379,'CAT_CENTROS_COSTO'!$A$4:$A$9,0)),"(sin catálogo)"))</f>
        <v/>
      </c>
      <c r="V379" s="3">
        <f>IF($F379="","",IFERROR(INDEX('CAT_CENTROS_COSTO'!$F$4:$F$9,MATCH($F379,'CAT_CENTROS_COSTO'!$A$4:$A$9,0)),"(sin catálogo)"))</f>
        <v/>
      </c>
      <c r="W379" s="3">
        <f>IF($G379="","",IFERROR(INDEX('CAT_PUESTOS'!$B$4:$B$8,MATCH($G379,'CAT_PUESTOS'!$A$4:$A$8,0)),"(sin catálogo)"))</f>
        <v/>
      </c>
      <c r="X379" s="3">
        <f>IF($H379="","",IFERROR(INDEX('CAT_ACTIVIDADES'!$B$4:$B$8,MATCH($H379,'CAT_ACTIVIDADES'!$A$4:$A$8,0)),"(sin catálogo)"))</f>
        <v/>
      </c>
      <c r="Y379" s="12">
        <f>IF($J379="","",TODAY()-$J379)</f>
        <v/>
      </c>
      <c r="Z379" s="3">
        <f>IF($Y379="","",IF($Y379&lt;0,"FUTURO",IF($Y379&gt;p_dias_backlog_max,"BACKLOG","MES CORRIENTE")))</f>
        <v/>
      </c>
      <c r="AA379" s="3">
        <f>IF($Y379="",FALSE,AND($Y379&gt;p_dias_backlog_min,$Y379&lt;=p_dias_backlog_max))</f>
        <v/>
      </c>
      <c r="AB379" s="6" t="n"/>
      <c r="AC379" s="3">
        <f>IF($AB379="","",IFERROR(INDEX('ASIGNACIONES'!$F$4:$F$339,MATCH($O379&amp;"|"&amp;$R379&amp;"|"&amp;$AB379,'ASIGNACIONES'!$I$4:$I$339,0)),""))</f>
        <v/>
      </c>
      <c r="AD379" s="13">
        <f>IF($AB379="","",SUMIFS('ORDENES'!$M$4:$M$1203,'ORDENES'!$AB$4:$AB$1203,$AB379,'ORDENES'!$O$4:$O$1203,$O379,'ORDENES'!$R$4:$R$1203,$R379))</f>
        <v/>
      </c>
      <c r="AE379" s="13">
        <f>IF($AD379="","",p_factor_productividad*IFERROR(INDEX('ASIGNACIONES'!$H$4:$H$339,MATCH($O379&amp;"|"&amp;$R379&amp;"|"&amp;$AB379,'ASIGNACIONES'!$I$4:$I$339,0)),0)-$AD379)</f>
        <v/>
      </c>
      <c r="AF379" s="10">
        <f>IF($A379="","",IFERROR(INDEX('2_IMPORTAR_EJECUCION'!$F$9:$F$1208,MATCH($AN379,'2_IMPORTAR_EJECUCION'!$J$9:$J$1208,0)),0))</f>
        <v/>
      </c>
      <c r="AG379" s="10">
        <f>IF($A379="","",MAX(0,IFERROR(INDEX('2_IMPORTAR_EJECUCION'!$H$9:$H$1208,MATCH($AN379,'2_IMPORTAR_EJECUCION'!$J$9:$J$1208,0)),0)-$AF379))</f>
        <v/>
      </c>
      <c r="AH379" s="10">
        <f>IF($A379="","",$AF379+$AG379)</f>
        <v/>
      </c>
      <c r="AI379" s="6" t="n"/>
      <c r="AJ379" s="6" t="n"/>
      <c r="AK379" s="6" t="n"/>
      <c r="AL379" s="3">
        <f>IF($AK379="","",HYPERLINK(p_ruta_base_checklists&amp;$AK379,"abrir"))</f>
        <v/>
      </c>
      <c r="AM379" s="6" t="n"/>
      <c r="AN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1" t="n"/>
      <c r="K380" s="3" t="n"/>
      <c r="L380" s="10" t="n"/>
      <c r="M380" s="3">
        <f>IF($A380="","",IFERROR(INDEX('AJUSTES'!$B$4:$B$303,MATCH($AN380,'AJUSTES'!$A$4:$A$303,0)),IF($K380="","",$K380)))</f>
        <v/>
      </c>
      <c r="N380" s="3">
        <f>IF($A380="","",IFERROR(INDEX('CAT_ESTADOS_ERP'!$B$4:$B$7,MATCH(IFERROR(INDEX('2_IMPORTAR_EJECUCION'!$C$9:$C$1208,MATCH($AN380,'2_IMPORTAR_EJECUCION'!$J$9:$J$1208,0)),""),'CAT_ESTADOS_ERP'!$A$4:$A$7,0)),"Pendiente"))</f>
        <v/>
      </c>
      <c r="O380" s="3">
        <f>IF($J380="","",YEAR($J380+4-WEEKDAY($J380,2))&amp;"-S"&amp;TEXT(_xlfn.ISOWEEKNUM($J380),"00"))</f>
        <v/>
      </c>
      <c r="P380" s="3">
        <f>IF($J380="","",YEAR($J380))</f>
        <v/>
      </c>
      <c r="Q380" s="3">
        <f>IF($J380="","",MONTH($J380))</f>
        <v/>
      </c>
      <c r="R380" s="3">
        <f>IF($J380="","",INDEX(lista_dias,WEEKDAY($J380,2)))</f>
        <v/>
      </c>
      <c r="S380" s="3">
        <f>IF($I380="","",IFERROR(INDEX('CAT_TIPOS_OT'!$C$4:$C$7,MATCH($I380,'CAT_TIPOS_OT'!$A$4:$A$7,0)),"sin_clasificar"))</f>
        <v/>
      </c>
      <c r="T380" s="3">
        <f>IF($F380="","",IFERROR(INDEX('CAT_CENTROS_COSTO'!$E$4:$E$9,MATCH($F380,'CAT_CENTROS_COSTO'!$A$4:$A$9,0)),"(sin catálogo)"))</f>
        <v/>
      </c>
      <c r="U380" s="3">
        <f>IF($F380="","",IFERROR(INDEX('CAT_CENTROS_COSTO'!$D$4:$D$9,MATCH($F380,'CAT_CENTROS_COSTO'!$A$4:$A$9,0)),"(sin catálogo)"))</f>
        <v/>
      </c>
      <c r="V380" s="3">
        <f>IF($F380="","",IFERROR(INDEX('CAT_CENTROS_COSTO'!$F$4:$F$9,MATCH($F380,'CAT_CENTROS_COSTO'!$A$4:$A$9,0)),"(sin catálogo)"))</f>
        <v/>
      </c>
      <c r="W380" s="3">
        <f>IF($G380="","",IFERROR(INDEX('CAT_PUESTOS'!$B$4:$B$8,MATCH($G380,'CAT_PUESTOS'!$A$4:$A$8,0)),"(sin catálogo)"))</f>
        <v/>
      </c>
      <c r="X380" s="3">
        <f>IF($H380="","",IFERROR(INDEX('CAT_ACTIVIDADES'!$B$4:$B$8,MATCH($H380,'CAT_ACTIVIDADES'!$A$4:$A$8,0)),"(sin catálogo)"))</f>
        <v/>
      </c>
      <c r="Y380" s="12">
        <f>IF($J380="","",TODAY()-$J380)</f>
        <v/>
      </c>
      <c r="Z380" s="3">
        <f>IF($Y380="","",IF($Y380&lt;0,"FUTURO",IF($Y380&gt;p_dias_backlog_max,"BACKLOG","MES CORRIENTE")))</f>
        <v/>
      </c>
      <c r="AA380" s="3">
        <f>IF($Y380="",FALSE,AND($Y380&gt;p_dias_backlog_min,$Y380&lt;=p_dias_backlog_max))</f>
        <v/>
      </c>
      <c r="AB380" s="6" t="n"/>
      <c r="AC380" s="3">
        <f>IF($AB380="","",IFERROR(INDEX('ASIGNACIONES'!$F$4:$F$339,MATCH($O380&amp;"|"&amp;$R380&amp;"|"&amp;$AB380,'ASIGNACIONES'!$I$4:$I$339,0)),""))</f>
        <v/>
      </c>
      <c r="AD380" s="13">
        <f>IF($AB380="","",SUMIFS('ORDENES'!$M$4:$M$1203,'ORDENES'!$AB$4:$AB$1203,$AB380,'ORDENES'!$O$4:$O$1203,$O380,'ORDENES'!$R$4:$R$1203,$R380))</f>
        <v/>
      </c>
      <c r="AE380" s="13">
        <f>IF($AD380="","",p_factor_productividad*IFERROR(INDEX('ASIGNACIONES'!$H$4:$H$339,MATCH($O380&amp;"|"&amp;$R380&amp;"|"&amp;$AB380,'ASIGNACIONES'!$I$4:$I$339,0)),0)-$AD380)</f>
        <v/>
      </c>
      <c r="AF380" s="10">
        <f>IF($A380="","",IFERROR(INDEX('2_IMPORTAR_EJECUCION'!$F$9:$F$1208,MATCH($AN380,'2_IMPORTAR_EJECUCION'!$J$9:$J$1208,0)),0))</f>
        <v/>
      </c>
      <c r="AG380" s="10">
        <f>IF($A380="","",MAX(0,IFERROR(INDEX('2_IMPORTAR_EJECUCION'!$H$9:$H$1208,MATCH($AN380,'2_IMPORTAR_EJECUCION'!$J$9:$J$1208,0)),0)-$AF380))</f>
        <v/>
      </c>
      <c r="AH380" s="10">
        <f>IF($A380="","",$AF380+$AG380)</f>
        <v/>
      </c>
      <c r="AI380" s="6" t="n"/>
      <c r="AJ380" s="6" t="n"/>
      <c r="AK380" s="6" t="n"/>
      <c r="AL380" s="3">
        <f>IF($AK380="","",HYPERLINK(p_ruta_base_checklists&amp;$AK380,"abrir"))</f>
        <v/>
      </c>
      <c r="AM380" s="6" t="n"/>
      <c r="AN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1" t="n"/>
      <c r="K381" s="3" t="n"/>
      <c r="L381" s="10" t="n"/>
      <c r="M381" s="3">
        <f>IF($A381="","",IFERROR(INDEX('AJUSTES'!$B$4:$B$303,MATCH($AN381,'AJUSTES'!$A$4:$A$303,0)),IF($K381="","",$K381)))</f>
        <v/>
      </c>
      <c r="N381" s="3">
        <f>IF($A381="","",IFERROR(INDEX('CAT_ESTADOS_ERP'!$B$4:$B$7,MATCH(IFERROR(INDEX('2_IMPORTAR_EJECUCION'!$C$9:$C$1208,MATCH($AN381,'2_IMPORTAR_EJECUCION'!$J$9:$J$1208,0)),""),'CAT_ESTADOS_ERP'!$A$4:$A$7,0)),"Pendiente"))</f>
        <v/>
      </c>
      <c r="O381" s="3">
        <f>IF($J381="","",YEAR($J381+4-WEEKDAY($J381,2))&amp;"-S"&amp;TEXT(_xlfn.ISOWEEKNUM($J381),"00"))</f>
        <v/>
      </c>
      <c r="P381" s="3">
        <f>IF($J381="","",YEAR($J381))</f>
        <v/>
      </c>
      <c r="Q381" s="3">
        <f>IF($J381="","",MONTH($J381))</f>
        <v/>
      </c>
      <c r="R381" s="3">
        <f>IF($J381="","",INDEX(lista_dias,WEEKDAY($J381,2)))</f>
        <v/>
      </c>
      <c r="S381" s="3">
        <f>IF($I381="","",IFERROR(INDEX('CAT_TIPOS_OT'!$C$4:$C$7,MATCH($I381,'CAT_TIPOS_OT'!$A$4:$A$7,0)),"sin_clasificar"))</f>
        <v/>
      </c>
      <c r="T381" s="3">
        <f>IF($F381="","",IFERROR(INDEX('CAT_CENTROS_COSTO'!$E$4:$E$9,MATCH($F381,'CAT_CENTROS_COSTO'!$A$4:$A$9,0)),"(sin catálogo)"))</f>
        <v/>
      </c>
      <c r="U381" s="3">
        <f>IF($F381="","",IFERROR(INDEX('CAT_CENTROS_COSTO'!$D$4:$D$9,MATCH($F381,'CAT_CENTROS_COSTO'!$A$4:$A$9,0)),"(sin catálogo)"))</f>
        <v/>
      </c>
      <c r="V381" s="3">
        <f>IF($F381="","",IFERROR(INDEX('CAT_CENTROS_COSTO'!$F$4:$F$9,MATCH($F381,'CAT_CENTROS_COSTO'!$A$4:$A$9,0)),"(sin catálogo)"))</f>
        <v/>
      </c>
      <c r="W381" s="3">
        <f>IF($G381="","",IFERROR(INDEX('CAT_PUESTOS'!$B$4:$B$8,MATCH($G381,'CAT_PUESTOS'!$A$4:$A$8,0)),"(sin catálogo)"))</f>
        <v/>
      </c>
      <c r="X381" s="3">
        <f>IF($H381="","",IFERROR(INDEX('CAT_ACTIVIDADES'!$B$4:$B$8,MATCH($H381,'CAT_ACTIVIDADES'!$A$4:$A$8,0)),"(sin catálogo)"))</f>
        <v/>
      </c>
      <c r="Y381" s="12">
        <f>IF($J381="","",TODAY()-$J381)</f>
        <v/>
      </c>
      <c r="Z381" s="3">
        <f>IF($Y381="","",IF($Y381&lt;0,"FUTURO",IF($Y381&gt;p_dias_backlog_max,"BACKLOG","MES CORRIENTE")))</f>
        <v/>
      </c>
      <c r="AA381" s="3">
        <f>IF($Y381="",FALSE,AND($Y381&gt;p_dias_backlog_min,$Y381&lt;=p_dias_backlog_max))</f>
        <v/>
      </c>
      <c r="AB381" s="6" t="n"/>
      <c r="AC381" s="3">
        <f>IF($AB381="","",IFERROR(INDEX('ASIGNACIONES'!$F$4:$F$339,MATCH($O381&amp;"|"&amp;$R381&amp;"|"&amp;$AB381,'ASIGNACIONES'!$I$4:$I$339,0)),""))</f>
        <v/>
      </c>
      <c r="AD381" s="13">
        <f>IF($AB381="","",SUMIFS('ORDENES'!$M$4:$M$1203,'ORDENES'!$AB$4:$AB$1203,$AB381,'ORDENES'!$O$4:$O$1203,$O381,'ORDENES'!$R$4:$R$1203,$R381))</f>
        <v/>
      </c>
      <c r="AE381" s="13">
        <f>IF($AD381="","",p_factor_productividad*IFERROR(INDEX('ASIGNACIONES'!$H$4:$H$339,MATCH($O381&amp;"|"&amp;$R381&amp;"|"&amp;$AB381,'ASIGNACIONES'!$I$4:$I$339,0)),0)-$AD381)</f>
        <v/>
      </c>
      <c r="AF381" s="10">
        <f>IF($A381="","",IFERROR(INDEX('2_IMPORTAR_EJECUCION'!$F$9:$F$1208,MATCH($AN381,'2_IMPORTAR_EJECUCION'!$J$9:$J$1208,0)),0))</f>
        <v/>
      </c>
      <c r="AG381" s="10">
        <f>IF($A381="","",MAX(0,IFERROR(INDEX('2_IMPORTAR_EJECUCION'!$H$9:$H$1208,MATCH($AN381,'2_IMPORTAR_EJECUCION'!$J$9:$J$1208,0)),0)-$AF381))</f>
        <v/>
      </c>
      <c r="AH381" s="10">
        <f>IF($A381="","",$AF381+$AG381)</f>
        <v/>
      </c>
      <c r="AI381" s="6" t="n"/>
      <c r="AJ381" s="6" t="n"/>
      <c r="AK381" s="6" t="n"/>
      <c r="AL381" s="3">
        <f>IF($AK381="","",HYPERLINK(p_ruta_base_checklists&amp;$AK381,"abrir"))</f>
        <v/>
      </c>
      <c r="AM381" s="6" t="n"/>
      <c r="AN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1" t="n"/>
      <c r="K382" s="3" t="n"/>
      <c r="L382" s="10" t="n"/>
      <c r="M382" s="3">
        <f>IF($A382="","",IFERROR(INDEX('AJUSTES'!$B$4:$B$303,MATCH($AN382,'AJUSTES'!$A$4:$A$303,0)),IF($K382="","",$K382)))</f>
        <v/>
      </c>
      <c r="N382" s="3">
        <f>IF($A382="","",IFERROR(INDEX('CAT_ESTADOS_ERP'!$B$4:$B$7,MATCH(IFERROR(INDEX('2_IMPORTAR_EJECUCION'!$C$9:$C$1208,MATCH($AN382,'2_IMPORTAR_EJECUCION'!$J$9:$J$1208,0)),""),'CAT_ESTADOS_ERP'!$A$4:$A$7,0)),"Pendiente"))</f>
        <v/>
      </c>
      <c r="O382" s="3">
        <f>IF($J382="","",YEAR($J382+4-WEEKDAY($J382,2))&amp;"-S"&amp;TEXT(_xlfn.ISOWEEKNUM($J382),"00"))</f>
        <v/>
      </c>
      <c r="P382" s="3">
        <f>IF($J382="","",YEAR($J382))</f>
        <v/>
      </c>
      <c r="Q382" s="3">
        <f>IF($J382="","",MONTH($J382))</f>
        <v/>
      </c>
      <c r="R382" s="3">
        <f>IF($J382="","",INDEX(lista_dias,WEEKDAY($J382,2)))</f>
        <v/>
      </c>
      <c r="S382" s="3">
        <f>IF($I382="","",IFERROR(INDEX('CAT_TIPOS_OT'!$C$4:$C$7,MATCH($I382,'CAT_TIPOS_OT'!$A$4:$A$7,0)),"sin_clasificar"))</f>
        <v/>
      </c>
      <c r="T382" s="3">
        <f>IF($F382="","",IFERROR(INDEX('CAT_CENTROS_COSTO'!$E$4:$E$9,MATCH($F382,'CAT_CENTROS_COSTO'!$A$4:$A$9,0)),"(sin catálogo)"))</f>
        <v/>
      </c>
      <c r="U382" s="3">
        <f>IF($F382="","",IFERROR(INDEX('CAT_CENTROS_COSTO'!$D$4:$D$9,MATCH($F382,'CAT_CENTROS_COSTO'!$A$4:$A$9,0)),"(sin catálogo)"))</f>
        <v/>
      </c>
      <c r="V382" s="3">
        <f>IF($F382="","",IFERROR(INDEX('CAT_CENTROS_COSTO'!$F$4:$F$9,MATCH($F382,'CAT_CENTROS_COSTO'!$A$4:$A$9,0)),"(sin catálogo)"))</f>
        <v/>
      </c>
      <c r="W382" s="3">
        <f>IF($G382="","",IFERROR(INDEX('CAT_PUESTOS'!$B$4:$B$8,MATCH($G382,'CAT_PUESTOS'!$A$4:$A$8,0)),"(sin catálogo)"))</f>
        <v/>
      </c>
      <c r="X382" s="3">
        <f>IF($H382="","",IFERROR(INDEX('CAT_ACTIVIDADES'!$B$4:$B$8,MATCH($H382,'CAT_ACTIVIDADES'!$A$4:$A$8,0)),"(sin catálogo)"))</f>
        <v/>
      </c>
      <c r="Y382" s="12">
        <f>IF($J382="","",TODAY()-$J382)</f>
        <v/>
      </c>
      <c r="Z382" s="3">
        <f>IF($Y382="","",IF($Y382&lt;0,"FUTURO",IF($Y382&gt;p_dias_backlog_max,"BACKLOG","MES CORRIENTE")))</f>
        <v/>
      </c>
      <c r="AA382" s="3">
        <f>IF($Y382="",FALSE,AND($Y382&gt;p_dias_backlog_min,$Y382&lt;=p_dias_backlog_max))</f>
        <v/>
      </c>
      <c r="AB382" s="6" t="n"/>
      <c r="AC382" s="3">
        <f>IF($AB382="","",IFERROR(INDEX('ASIGNACIONES'!$F$4:$F$339,MATCH($O382&amp;"|"&amp;$R382&amp;"|"&amp;$AB382,'ASIGNACIONES'!$I$4:$I$339,0)),""))</f>
        <v/>
      </c>
      <c r="AD382" s="13">
        <f>IF($AB382="","",SUMIFS('ORDENES'!$M$4:$M$1203,'ORDENES'!$AB$4:$AB$1203,$AB382,'ORDENES'!$O$4:$O$1203,$O382,'ORDENES'!$R$4:$R$1203,$R382))</f>
        <v/>
      </c>
      <c r="AE382" s="13">
        <f>IF($AD382="","",p_factor_productividad*IFERROR(INDEX('ASIGNACIONES'!$H$4:$H$339,MATCH($O382&amp;"|"&amp;$R382&amp;"|"&amp;$AB382,'ASIGNACIONES'!$I$4:$I$339,0)),0)-$AD382)</f>
        <v/>
      </c>
      <c r="AF382" s="10">
        <f>IF($A382="","",IFERROR(INDEX('2_IMPORTAR_EJECUCION'!$F$9:$F$1208,MATCH($AN382,'2_IMPORTAR_EJECUCION'!$J$9:$J$1208,0)),0))</f>
        <v/>
      </c>
      <c r="AG382" s="10">
        <f>IF($A382="","",MAX(0,IFERROR(INDEX('2_IMPORTAR_EJECUCION'!$H$9:$H$1208,MATCH($AN382,'2_IMPORTAR_EJECUCION'!$J$9:$J$1208,0)),0)-$AF382))</f>
        <v/>
      </c>
      <c r="AH382" s="10">
        <f>IF($A382="","",$AF382+$AG382)</f>
        <v/>
      </c>
      <c r="AI382" s="6" t="n"/>
      <c r="AJ382" s="6" t="n"/>
      <c r="AK382" s="6" t="n"/>
      <c r="AL382" s="3">
        <f>IF($AK382="","",HYPERLINK(p_ruta_base_checklists&amp;$AK382,"abrir"))</f>
        <v/>
      </c>
      <c r="AM382" s="6" t="n"/>
      <c r="AN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1" t="n"/>
      <c r="K383" s="3" t="n"/>
      <c r="L383" s="10" t="n"/>
      <c r="M383" s="3">
        <f>IF($A383="","",IFERROR(INDEX('AJUSTES'!$B$4:$B$303,MATCH($AN383,'AJUSTES'!$A$4:$A$303,0)),IF($K383="","",$K383)))</f>
        <v/>
      </c>
      <c r="N383" s="3">
        <f>IF($A383="","",IFERROR(INDEX('CAT_ESTADOS_ERP'!$B$4:$B$7,MATCH(IFERROR(INDEX('2_IMPORTAR_EJECUCION'!$C$9:$C$1208,MATCH($AN383,'2_IMPORTAR_EJECUCION'!$J$9:$J$1208,0)),""),'CAT_ESTADOS_ERP'!$A$4:$A$7,0)),"Pendiente"))</f>
        <v/>
      </c>
      <c r="O383" s="3">
        <f>IF($J383="","",YEAR($J383+4-WEEKDAY($J383,2))&amp;"-S"&amp;TEXT(_xlfn.ISOWEEKNUM($J383),"00"))</f>
        <v/>
      </c>
      <c r="P383" s="3">
        <f>IF($J383="","",YEAR($J383))</f>
        <v/>
      </c>
      <c r="Q383" s="3">
        <f>IF($J383="","",MONTH($J383))</f>
        <v/>
      </c>
      <c r="R383" s="3">
        <f>IF($J383="","",INDEX(lista_dias,WEEKDAY($J383,2)))</f>
        <v/>
      </c>
      <c r="S383" s="3">
        <f>IF($I383="","",IFERROR(INDEX('CAT_TIPOS_OT'!$C$4:$C$7,MATCH($I383,'CAT_TIPOS_OT'!$A$4:$A$7,0)),"sin_clasificar"))</f>
        <v/>
      </c>
      <c r="T383" s="3">
        <f>IF($F383="","",IFERROR(INDEX('CAT_CENTROS_COSTO'!$E$4:$E$9,MATCH($F383,'CAT_CENTROS_COSTO'!$A$4:$A$9,0)),"(sin catálogo)"))</f>
        <v/>
      </c>
      <c r="U383" s="3">
        <f>IF($F383="","",IFERROR(INDEX('CAT_CENTROS_COSTO'!$D$4:$D$9,MATCH($F383,'CAT_CENTROS_COSTO'!$A$4:$A$9,0)),"(sin catálogo)"))</f>
        <v/>
      </c>
      <c r="V383" s="3">
        <f>IF($F383="","",IFERROR(INDEX('CAT_CENTROS_COSTO'!$F$4:$F$9,MATCH($F383,'CAT_CENTROS_COSTO'!$A$4:$A$9,0)),"(sin catálogo)"))</f>
        <v/>
      </c>
      <c r="W383" s="3">
        <f>IF($G383="","",IFERROR(INDEX('CAT_PUESTOS'!$B$4:$B$8,MATCH($G383,'CAT_PUESTOS'!$A$4:$A$8,0)),"(sin catálogo)"))</f>
        <v/>
      </c>
      <c r="X383" s="3">
        <f>IF($H383="","",IFERROR(INDEX('CAT_ACTIVIDADES'!$B$4:$B$8,MATCH($H383,'CAT_ACTIVIDADES'!$A$4:$A$8,0)),"(sin catálogo)"))</f>
        <v/>
      </c>
      <c r="Y383" s="12">
        <f>IF($J383="","",TODAY()-$J383)</f>
        <v/>
      </c>
      <c r="Z383" s="3">
        <f>IF($Y383="","",IF($Y383&lt;0,"FUTURO",IF($Y383&gt;p_dias_backlog_max,"BACKLOG","MES CORRIENTE")))</f>
        <v/>
      </c>
      <c r="AA383" s="3">
        <f>IF($Y383="",FALSE,AND($Y383&gt;p_dias_backlog_min,$Y383&lt;=p_dias_backlog_max))</f>
        <v/>
      </c>
      <c r="AB383" s="6" t="n"/>
      <c r="AC383" s="3">
        <f>IF($AB383="","",IFERROR(INDEX('ASIGNACIONES'!$F$4:$F$339,MATCH($O383&amp;"|"&amp;$R383&amp;"|"&amp;$AB383,'ASIGNACIONES'!$I$4:$I$339,0)),""))</f>
        <v/>
      </c>
      <c r="AD383" s="13">
        <f>IF($AB383="","",SUMIFS('ORDENES'!$M$4:$M$1203,'ORDENES'!$AB$4:$AB$1203,$AB383,'ORDENES'!$O$4:$O$1203,$O383,'ORDENES'!$R$4:$R$1203,$R383))</f>
        <v/>
      </c>
      <c r="AE383" s="13">
        <f>IF($AD383="","",p_factor_productividad*IFERROR(INDEX('ASIGNACIONES'!$H$4:$H$339,MATCH($O383&amp;"|"&amp;$R383&amp;"|"&amp;$AB383,'ASIGNACIONES'!$I$4:$I$339,0)),0)-$AD383)</f>
        <v/>
      </c>
      <c r="AF383" s="10">
        <f>IF($A383="","",IFERROR(INDEX('2_IMPORTAR_EJECUCION'!$F$9:$F$1208,MATCH($AN383,'2_IMPORTAR_EJECUCION'!$J$9:$J$1208,0)),0))</f>
        <v/>
      </c>
      <c r="AG383" s="10">
        <f>IF($A383="","",MAX(0,IFERROR(INDEX('2_IMPORTAR_EJECUCION'!$H$9:$H$1208,MATCH($AN383,'2_IMPORTAR_EJECUCION'!$J$9:$J$1208,0)),0)-$AF383))</f>
        <v/>
      </c>
      <c r="AH383" s="10">
        <f>IF($A383="","",$AF383+$AG383)</f>
        <v/>
      </c>
      <c r="AI383" s="6" t="n"/>
      <c r="AJ383" s="6" t="n"/>
      <c r="AK383" s="6" t="n"/>
      <c r="AL383" s="3">
        <f>IF($AK383="","",HYPERLINK(p_ruta_base_checklists&amp;$AK383,"abrir"))</f>
        <v/>
      </c>
      <c r="AM383" s="6" t="n"/>
      <c r="AN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1" t="n"/>
      <c r="K384" s="3" t="n"/>
      <c r="L384" s="10" t="n"/>
      <c r="M384" s="3">
        <f>IF($A384="","",IFERROR(INDEX('AJUSTES'!$B$4:$B$303,MATCH($AN384,'AJUSTES'!$A$4:$A$303,0)),IF($K384="","",$K384)))</f>
        <v/>
      </c>
      <c r="N384" s="3">
        <f>IF($A384="","",IFERROR(INDEX('CAT_ESTADOS_ERP'!$B$4:$B$7,MATCH(IFERROR(INDEX('2_IMPORTAR_EJECUCION'!$C$9:$C$1208,MATCH($AN384,'2_IMPORTAR_EJECUCION'!$J$9:$J$1208,0)),""),'CAT_ESTADOS_ERP'!$A$4:$A$7,0)),"Pendiente"))</f>
        <v/>
      </c>
      <c r="O384" s="3">
        <f>IF($J384="","",YEAR($J384+4-WEEKDAY($J384,2))&amp;"-S"&amp;TEXT(_xlfn.ISOWEEKNUM($J384),"00"))</f>
        <v/>
      </c>
      <c r="P384" s="3">
        <f>IF($J384="","",YEAR($J384))</f>
        <v/>
      </c>
      <c r="Q384" s="3">
        <f>IF($J384="","",MONTH($J384))</f>
        <v/>
      </c>
      <c r="R384" s="3">
        <f>IF($J384="","",INDEX(lista_dias,WEEKDAY($J384,2)))</f>
        <v/>
      </c>
      <c r="S384" s="3">
        <f>IF($I384="","",IFERROR(INDEX('CAT_TIPOS_OT'!$C$4:$C$7,MATCH($I384,'CAT_TIPOS_OT'!$A$4:$A$7,0)),"sin_clasificar"))</f>
        <v/>
      </c>
      <c r="T384" s="3">
        <f>IF($F384="","",IFERROR(INDEX('CAT_CENTROS_COSTO'!$E$4:$E$9,MATCH($F384,'CAT_CENTROS_COSTO'!$A$4:$A$9,0)),"(sin catálogo)"))</f>
        <v/>
      </c>
      <c r="U384" s="3">
        <f>IF($F384="","",IFERROR(INDEX('CAT_CENTROS_COSTO'!$D$4:$D$9,MATCH($F384,'CAT_CENTROS_COSTO'!$A$4:$A$9,0)),"(sin catálogo)"))</f>
        <v/>
      </c>
      <c r="V384" s="3">
        <f>IF($F384="","",IFERROR(INDEX('CAT_CENTROS_COSTO'!$F$4:$F$9,MATCH($F384,'CAT_CENTROS_COSTO'!$A$4:$A$9,0)),"(sin catálogo)"))</f>
        <v/>
      </c>
      <c r="W384" s="3">
        <f>IF($G384="","",IFERROR(INDEX('CAT_PUESTOS'!$B$4:$B$8,MATCH($G384,'CAT_PUESTOS'!$A$4:$A$8,0)),"(sin catálogo)"))</f>
        <v/>
      </c>
      <c r="X384" s="3">
        <f>IF($H384="","",IFERROR(INDEX('CAT_ACTIVIDADES'!$B$4:$B$8,MATCH($H384,'CAT_ACTIVIDADES'!$A$4:$A$8,0)),"(sin catálogo)"))</f>
        <v/>
      </c>
      <c r="Y384" s="12">
        <f>IF($J384="","",TODAY()-$J384)</f>
        <v/>
      </c>
      <c r="Z384" s="3">
        <f>IF($Y384="","",IF($Y384&lt;0,"FUTURO",IF($Y384&gt;p_dias_backlog_max,"BACKLOG","MES CORRIENTE")))</f>
        <v/>
      </c>
      <c r="AA384" s="3">
        <f>IF($Y384="",FALSE,AND($Y384&gt;p_dias_backlog_min,$Y384&lt;=p_dias_backlog_max))</f>
        <v/>
      </c>
      <c r="AB384" s="6" t="n"/>
      <c r="AC384" s="3">
        <f>IF($AB384="","",IFERROR(INDEX('ASIGNACIONES'!$F$4:$F$339,MATCH($O384&amp;"|"&amp;$R384&amp;"|"&amp;$AB384,'ASIGNACIONES'!$I$4:$I$339,0)),""))</f>
        <v/>
      </c>
      <c r="AD384" s="13">
        <f>IF($AB384="","",SUMIFS('ORDENES'!$M$4:$M$1203,'ORDENES'!$AB$4:$AB$1203,$AB384,'ORDENES'!$O$4:$O$1203,$O384,'ORDENES'!$R$4:$R$1203,$R384))</f>
        <v/>
      </c>
      <c r="AE384" s="13">
        <f>IF($AD384="","",p_factor_productividad*IFERROR(INDEX('ASIGNACIONES'!$H$4:$H$339,MATCH($O384&amp;"|"&amp;$R384&amp;"|"&amp;$AB384,'ASIGNACIONES'!$I$4:$I$339,0)),0)-$AD384)</f>
        <v/>
      </c>
      <c r="AF384" s="10">
        <f>IF($A384="","",IFERROR(INDEX('2_IMPORTAR_EJECUCION'!$F$9:$F$1208,MATCH($AN384,'2_IMPORTAR_EJECUCION'!$J$9:$J$1208,0)),0))</f>
        <v/>
      </c>
      <c r="AG384" s="10">
        <f>IF($A384="","",MAX(0,IFERROR(INDEX('2_IMPORTAR_EJECUCION'!$H$9:$H$1208,MATCH($AN384,'2_IMPORTAR_EJECUCION'!$J$9:$J$1208,0)),0)-$AF384))</f>
        <v/>
      </c>
      <c r="AH384" s="10">
        <f>IF($A384="","",$AF384+$AG384)</f>
        <v/>
      </c>
      <c r="AI384" s="6" t="n"/>
      <c r="AJ384" s="6" t="n"/>
      <c r="AK384" s="6" t="n"/>
      <c r="AL384" s="3">
        <f>IF($AK384="","",HYPERLINK(p_ruta_base_checklists&amp;$AK384,"abrir"))</f>
        <v/>
      </c>
      <c r="AM384" s="6" t="n"/>
      <c r="AN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1" t="n"/>
      <c r="K385" s="3" t="n"/>
      <c r="L385" s="10" t="n"/>
      <c r="M385" s="3">
        <f>IF($A385="","",IFERROR(INDEX('AJUSTES'!$B$4:$B$303,MATCH($AN385,'AJUSTES'!$A$4:$A$303,0)),IF($K385="","",$K385)))</f>
        <v/>
      </c>
      <c r="N385" s="3">
        <f>IF($A385="","",IFERROR(INDEX('CAT_ESTADOS_ERP'!$B$4:$B$7,MATCH(IFERROR(INDEX('2_IMPORTAR_EJECUCION'!$C$9:$C$1208,MATCH($AN385,'2_IMPORTAR_EJECUCION'!$J$9:$J$1208,0)),""),'CAT_ESTADOS_ERP'!$A$4:$A$7,0)),"Pendiente"))</f>
        <v/>
      </c>
      <c r="O385" s="3">
        <f>IF($J385="","",YEAR($J385+4-WEEKDAY($J385,2))&amp;"-S"&amp;TEXT(_xlfn.ISOWEEKNUM($J385),"00"))</f>
        <v/>
      </c>
      <c r="P385" s="3">
        <f>IF($J385="","",YEAR($J385))</f>
        <v/>
      </c>
      <c r="Q385" s="3">
        <f>IF($J385="","",MONTH($J385))</f>
        <v/>
      </c>
      <c r="R385" s="3">
        <f>IF($J385="","",INDEX(lista_dias,WEEKDAY($J385,2)))</f>
        <v/>
      </c>
      <c r="S385" s="3">
        <f>IF($I385="","",IFERROR(INDEX('CAT_TIPOS_OT'!$C$4:$C$7,MATCH($I385,'CAT_TIPOS_OT'!$A$4:$A$7,0)),"sin_clasificar"))</f>
        <v/>
      </c>
      <c r="T385" s="3">
        <f>IF($F385="","",IFERROR(INDEX('CAT_CENTROS_COSTO'!$E$4:$E$9,MATCH($F385,'CAT_CENTROS_COSTO'!$A$4:$A$9,0)),"(sin catálogo)"))</f>
        <v/>
      </c>
      <c r="U385" s="3">
        <f>IF($F385="","",IFERROR(INDEX('CAT_CENTROS_COSTO'!$D$4:$D$9,MATCH($F385,'CAT_CENTROS_COSTO'!$A$4:$A$9,0)),"(sin catálogo)"))</f>
        <v/>
      </c>
      <c r="V385" s="3">
        <f>IF($F385="","",IFERROR(INDEX('CAT_CENTROS_COSTO'!$F$4:$F$9,MATCH($F385,'CAT_CENTROS_COSTO'!$A$4:$A$9,0)),"(sin catálogo)"))</f>
        <v/>
      </c>
      <c r="W385" s="3">
        <f>IF($G385="","",IFERROR(INDEX('CAT_PUESTOS'!$B$4:$B$8,MATCH($G385,'CAT_PUESTOS'!$A$4:$A$8,0)),"(sin catálogo)"))</f>
        <v/>
      </c>
      <c r="X385" s="3">
        <f>IF($H385="","",IFERROR(INDEX('CAT_ACTIVIDADES'!$B$4:$B$8,MATCH($H385,'CAT_ACTIVIDADES'!$A$4:$A$8,0)),"(sin catálogo)"))</f>
        <v/>
      </c>
      <c r="Y385" s="12">
        <f>IF($J385="","",TODAY()-$J385)</f>
        <v/>
      </c>
      <c r="Z385" s="3">
        <f>IF($Y385="","",IF($Y385&lt;0,"FUTURO",IF($Y385&gt;p_dias_backlog_max,"BACKLOG","MES CORRIENTE")))</f>
        <v/>
      </c>
      <c r="AA385" s="3">
        <f>IF($Y385="",FALSE,AND($Y385&gt;p_dias_backlog_min,$Y385&lt;=p_dias_backlog_max))</f>
        <v/>
      </c>
      <c r="AB385" s="6" t="n"/>
      <c r="AC385" s="3">
        <f>IF($AB385="","",IFERROR(INDEX('ASIGNACIONES'!$F$4:$F$339,MATCH($O385&amp;"|"&amp;$R385&amp;"|"&amp;$AB385,'ASIGNACIONES'!$I$4:$I$339,0)),""))</f>
        <v/>
      </c>
      <c r="AD385" s="13">
        <f>IF($AB385="","",SUMIFS('ORDENES'!$M$4:$M$1203,'ORDENES'!$AB$4:$AB$1203,$AB385,'ORDENES'!$O$4:$O$1203,$O385,'ORDENES'!$R$4:$R$1203,$R385))</f>
        <v/>
      </c>
      <c r="AE385" s="13">
        <f>IF($AD385="","",p_factor_productividad*IFERROR(INDEX('ASIGNACIONES'!$H$4:$H$339,MATCH($O385&amp;"|"&amp;$R385&amp;"|"&amp;$AB385,'ASIGNACIONES'!$I$4:$I$339,0)),0)-$AD385)</f>
        <v/>
      </c>
      <c r="AF385" s="10">
        <f>IF($A385="","",IFERROR(INDEX('2_IMPORTAR_EJECUCION'!$F$9:$F$1208,MATCH($AN385,'2_IMPORTAR_EJECUCION'!$J$9:$J$1208,0)),0))</f>
        <v/>
      </c>
      <c r="AG385" s="10">
        <f>IF($A385="","",MAX(0,IFERROR(INDEX('2_IMPORTAR_EJECUCION'!$H$9:$H$1208,MATCH($AN385,'2_IMPORTAR_EJECUCION'!$J$9:$J$1208,0)),0)-$AF385))</f>
        <v/>
      </c>
      <c r="AH385" s="10">
        <f>IF($A385="","",$AF385+$AG385)</f>
        <v/>
      </c>
      <c r="AI385" s="6" t="n"/>
      <c r="AJ385" s="6" t="n"/>
      <c r="AK385" s="6" t="n"/>
      <c r="AL385" s="3">
        <f>IF($AK385="","",HYPERLINK(p_ruta_base_checklists&amp;$AK385,"abrir"))</f>
        <v/>
      </c>
      <c r="AM385" s="6" t="n"/>
      <c r="AN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1" t="n"/>
      <c r="K386" s="3" t="n"/>
      <c r="L386" s="10" t="n"/>
      <c r="M386" s="3">
        <f>IF($A386="","",IFERROR(INDEX('AJUSTES'!$B$4:$B$303,MATCH($AN386,'AJUSTES'!$A$4:$A$303,0)),IF($K386="","",$K386)))</f>
        <v/>
      </c>
      <c r="N386" s="3">
        <f>IF($A386="","",IFERROR(INDEX('CAT_ESTADOS_ERP'!$B$4:$B$7,MATCH(IFERROR(INDEX('2_IMPORTAR_EJECUCION'!$C$9:$C$1208,MATCH($AN386,'2_IMPORTAR_EJECUCION'!$J$9:$J$1208,0)),""),'CAT_ESTADOS_ERP'!$A$4:$A$7,0)),"Pendiente"))</f>
        <v/>
      </c>
      <c r="O386" s="3">
        <f>IF($J386="","",YEAR($J386+4-WEEKDAY($J386,2))&amp;"-S"&amp;TEXT(_xlfn.ISOWEEKNUM($J386),"00"))</f>
        <v/>
      </c>
      <c r="P386" s="3">
        <f>IF($J386="","",YEAR($J386))</f>
        <v/>
      </c>
      <c r="Q386" s="3">
        <f>IF($J386="","",MONTH($J386))</f>
        <v/>
      </c>
      <c r="R386" s="3">
        <f>IF($J386="","",INDEX(lista_dias,WEEKDAY($J386,2)))</f>
        <v/>
      </c>
      <c r="S386" s="3">
        <f>IF($I386="","",IFERROR(INDEX('CAT_TIPOS_OT'!$C$4:$C$7,MATCH($I386,'CAT_TIPOS_OT'!$A$4:$A$7,0)),"sin_clasificar"))</f>
        <v/>
      </c>
      <c r="T386" s="3">
        <f>IF($F386="","",IFERROR(INDEX('CAT_CENTROS_COSTO'!$E$4:$E$9,MATCH($F386,'CAT_CENTROS_COSTO'!$A$4:$A$9,0)),"(sin catálogo)"))</f>
        <v/>
      </c>
      <c r="U386" s="3">
        <f>IF($F386="","",IFERROR(INDEX('CAT_CENTROS_COSTO'!$D$4:$D$9,MATCH($F386,'CAT_CENTROS_COSTO'!$A$4:$A$9,0)),"(sin catálogo)"))</f>
        <v/>
      </c>
      <c r="V386" s="3">
        <f>IF($F386="","",IFERROR(INDEX('CAT_CENTROS_COSTO'!$F$4:$F$9,MATCH($F386,'CAT_CENTROS_COSTO'!$A$4:$A$9,0)),"(sin catálogo)"))</f>
        <v/>
      </c>
      <c r="W386" s="3">
        <f>IF($G386="","",IFERROR(INDEX('CAT_PUESTOS'!$B$4:$B$8,MATCH($G386,'CAT_PUESTOS'!$A$4:$A$8,0)),"(sin catálogo)"))</f>
        <v/>
      </c>
      <c r="X386" s="3">
        <f>IF($H386="","",IFERROR(INDEX('CAT_ACTIVIDADES'!$B$4:$B$8,MATCH($H386,'CAT_ACTIVIDADES'!$A$4:$A$8,0)),"(sin catálogo)"))</f>
        <v/>
      </c>
      <c r="Y386" s="12">
        <f>IF($J386="","",TODAY()-$J386)</f>
        <v/>
      </c>
      <c r="Z386" s="3">
        <f>IF($Y386="","",IF($Y386&lt;0,"FUTURO",IF($Y386&gt;p_dias_backlog_max,"BACKLOG","MES CORRIENTE")))</f>
        <v/>
      </c>
      <c r="AA386" s="3">
        <f>IF($Y386="",FALSE,AND($Y386&gt;p_dias_backlog_min,$Y386&lt;=p_dias_backlog_max))</f>
        <v/>
      </c>
      <c r="AB386" s="6" t="n"/>
      <c r="AC386" s="3">
        <f>IF($AB386="","",IFERROR(INDEX('ASIGNACIONES'!$F$4:$F$339,MATCH($O386&amp;"|"&amp;$R386&amp;"|"&amp;$AB386,'ASIGNACIONES'!$I$4:$I$339,0)),""))</f>
        <v/>
      </c>
      <c r="AD386" s="13">
        <f>IF($AB386="","",SUMIFS('ORDENES'!$M$4:$M$1203,'ORDENES'!$AB$4:$AB$1203,$AB386,'ORDENES'!$O$4:$O$1203,$O386,'ORDENES'!$R$4:$R$1203,$R386))</f>
        <v/>
      </c>
      <c r="AE386" s="13">
        <f>IF($AD386="","",p_factor_productividad*IFERROR(INDEX('ASIGNACIONES'!$H$4:$H$339,MATCH($O386&amp;"|"&amp;$R386&amp;"|"&amp;$AB386,'ASIGNACIONES'!$I$4:$I$339,0)),0)-$AD386)</f>
        <v/>
      </c>
      <c r="AF386" s="10">
        <f>IF($A386="","",IFERROR(INDEX('2_IMPORTAR_EJECUCION'!$F$9:$F$1208,MATCH($AN386,'2_IMPORTAR_EJECUCION'!$J$9:$J$1208,0)),0))</f>
        <v/>
      </c>
      <c r="AG386" s="10">
        <f>IF($A386="","",MAX(0,IFERROR(INDEX('2_IMPORTAR_EJECUCION'!$H$9:$H$1208,MATCH($AN386,'2_IMPORTAR_EJECUCION'!$J$9:$J$1208,0)),0)-$AF386))</f>
        <v/>
      </c>
      <c r="AH386" s="10">
        <f>IF($A386="","",$AF386+$AG386)</f>
        <v/>
      </c>
      <c r="AI386" s="6" t="n"/>
      <c r="AJ386" s="6" t="n"/>
      <c r="AK386" s="6" t="n"/>
      <c r="AL386" s="3">
        <f>IF($AK386="","",HYPERLINK(p_ruta_base_checklists&amp;$AK386,"abrir"))</f>
        <v/>
      </c>
      <c r="AM386" s="6" t="n"/>
      <c r="AN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1" t="n"/>
      <c r="K387" s="3" t="n"/>
      <c r="L387" s="10" t="n"/>
      <c r="M387" s="3">
        <f>IF($A387="","",IFERROR(INDEX('AJUSTES'!$B$4:$B$303,MATCH($AN387,'AJUSTES'!$A$4:$A$303,0)),IF($K387="","",$K387)))</f>
        <v/>
      </c>
      <c r="N387" s="3">
        <f>IF($A387="","",IFERROR(INDEX('CAT_ESTADOS_ERP'!$B$4:$B$7,MATCH(IFERROR(INDEX('2_IMPORTAR_EJECUCION'!$C$9:$C$1208,MATCH($AN387,'2_IMPORTAR_EJECUCION'!$J$9:$J$1208,0)),""),'CAT_ESTADOS_ERP'!$A$4:$A$7,0)),"Pendiente"))</f>
        <v/>
      </c>
      <c r="O387" s="3">
        <f>IF($J387="","",YEAR($J387+4-WEEKDAY($J387,2))&amp;"-S"&amp;TEXT(_xlfn.ISOWEEKNUM($J387),"00"))</f>
        <v/>
      </c>
      <c r="P387" s="3">
        <f>IF($J387="","",YEAR($J387))</f>
        <v/>
      </c>
      <c r="Q387" s="3">
        <f>IF($J387="","",MONTH($J387))</f>
        <v/>
      </c>
      <c r="R387" s="3">
        <f>IF($J387="","",INDEX(lista_dias,WEEKDAY($J387,2)))</f>
        <v/>
      </c>
      <c r="S387" s="3">
        <f>IF($I387="","",IFERROR(INDEX('CAT_TIPOS_OT'!$C$4:$C$7,MATCH($I387,'CAT_TIPOS_OT'!$A$4:$A$7,0)),"sin_clasificar"))</f>
        <v/>
      </c>
      <c r="T387" s="3">
        <f>IF($F387="","",IFERROR(INDEX('CAT_CENTROS_COSTO'!$E$4:$E$9,MATCH($F387,'CAT_CENTROS_COSTO'!$A$4:$A$9,0)),"(sin catálogo)"))</f>
        <v/>
      </c>
      <c r="U387" s="3">
        <f>IF($F387="","",IFERROR(INDEX('CAT_CENTROS_COSTO'!$D$4:$D$9,MATCH($F387,'CAT_CENTROS_COSTO'!$A$4:$A$9,0)),"(sin catálogo)"))</f>
        <v/>
      </c>
      <c r="V387" s="3">
        <f>IF($F387="","",IFERROR(INDEX('CAT_CENTROS_COSTO'!$F$4:$F$9,MATCH($F387,'CAT_CENTROS_COSTO'!$A$4:$A$9,0)),"(sin catálogo)"))</f>
        <v/>
      </c>
      <c r="W387" s="3">
        <f>IF($G387="","",IFERROR(INDEX('CAT_PUESTOS'!$B$4:$B$8,MATCH($G387,'CAT_PUESTOS'!$A$4:$A$8,0)),"(sin catálogo)"))</f>
        <v/>
      </c>
      <c r="X387" s="3">
        <f>IF($H387="","",IFERROR(INDEX('CAT_ACTIVIDADES'!$B$4:$B$8,MATCH($H387,'CAT_ACTIVIDADES'!$A$4:$A$8,0)),"(sin catálogo)"))</f>
        <v/>
      </c>
      <c r="Y387" s="12">
        <f>IF($J387="","",TODAY()-$J387)</f>
        <v/>
      </c>
      <c r="Z387" s="3">
        <f>IF($Y387="","",IF($Y387&lt;0,"FUTURO",IF($Y387&gt;p_dias_backlog_max,"BACKLOG","MES CORRIENTE")))</f>
        <v/>
      </c>
      <c r="AA387" s="3">
        <f>IF($Y387="",FALSE,AND($Y387&gt;p_dias_backlog_min,$Y387&lt;=p_dias_backlog_max))</f>
        <v/>
      </c>
      <c r="AB387" s="6" t="n"/>
      <c r="AC387" s="3">
        <f>IF($AB387="","",IFERROR(INDEX('ASIGNACIONES'!$F$4:$F$339,MATCH($O387&amp;"|"&amp;$R387&amp;"|"&amp;$AB387,'ASIGNACIONES'!$I$4:$I$339,0)),""))</f>
        <v/>
      </c>
      <c r="AD387" s="13">
        <f>IF($AB387="","",SUMIFS('ORDENES'!$M$4:$M$1203,'ORDENES'!$AB$4:$AB$1203,$AB387,'ORDENES'!$O$4:$O$1203,$O387,'ORDENES'!$R$4:$R$1203,$R387))</f>
        <v/>
      </c>
      <c r="AE387" s="13">
        <f>IF($AD387="","",p_factor_productividad*IFERROR(INDEX('ASIGNACIONES'!$H$4:$H$339,MATCH($O387&amp;"|"&amp;$R387&amp;"|"&amp;$AB387,'ASIGNACIONES'!$I$4:$I$339,0)),0)-$AD387)</f>
        <v/>
      </c>
      <c r="AF387" s="10">
        <f>IF($A387="","",IFERROR(INDEX('2_IMPORTAR_EJECUCION'!$F$9:$F$1208,MATCH($AN387,'2_IMPORTAR_EJECUCION'!$J$9:$J$1208,0)),0))</f>
        <v/>
      </c>
      <c r="AG387" s="10">
        <f>IF($A387="","",MAX(0,IFERROR(INDEX('2_IMPORTAR_EJECUCION'!$H$9:$H$1208,MATCH($AN387,'2_IMPORTAR_EJECUCION'!$J$9:$J$1208,0)),0)-$AF387))</f>
        <v/>
      </c>
      <c r="AH387" s="10">
        <f>IF($A387="","",$AF387+$AG387)</f>
        <v/>
      </c>
      <c r="AI387" s="6" t="n"/>
      <c r="AJ387" s="6" t="n"/>
      <c r="AK387" s="6" t="n"/>
      <c r="AL387" s="3">
        <f>IF($AK387="","",HYPERLINK(p_ruta_base_checklists&amp;$AK387,"abrir"))</f>
        <v/>
      </c>
      <c r="AM387" s="6" t="n"/>
      <c r="AN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1" t="n"/>
      <c r="K388" s="3" t="n"/>
      <c r="L388" s="10" t="n"/>
      <c r="M388" s="3">
        <f>IF($A388="","",IFERROR(INDEX('AJUSTES'!$B$4:$B$303,MATCH($AN388,'AJUSTES'!$A$4:$A$303,0)),IF($K388="","",$K388)))</f>
        <v/>
      </c>
      <c r="N388" s="3">
        <f>IF($A388="","",IFERROR(INDEX('CAT_ESTADOS_ERP'!$B$4:$B$7,MATCH(IFERROR(INDEX('2_IMPORTAR_EJECUCION'!$C$9:$C$1208,MATCH($AN388,'2_IMPORTAR_EJECUCION'!$J$9:$J$1208,0)),""),'CAT_ESTADOS_ERP'!$A$4:$A$7,0)),"Pendiente"))</f>
        <v/>
      </c>
      <c r="O388" s="3">
        <f>IF($J388="","",YEAR($J388+4-WEEKDAY($J388,2))&amp;"-S"&amp;TEXT(_xlfn.ISOWEEKNUM($J388),"00"))</f>
        <v/>
      </c>
      <c r="P388" s="3">
        <f>IF($J388="","",YEAR($J388))</f>
        <v/>
      </c>
      <c r="Q388" s="3">
        <f>IF($J388="","",MONTH($J388))</f>
        <v/>
      </c>
      <c r="R388" s="3">
        <f>IF($J388="","",INDEX(lista_dias,WEEKDAY($J388,2)))</f>
        <v/>
      </c>
      <c r="S388" s="3">
        <f>IF($I388="","",IFERROR(INDEX('CAT_TIPOS_OT'!$C$4:$C$7,MATCH($I388,'CAT_TIPOS_OT'!$A$4:$A$7,0)),"sin_clasificar"))</f>
        <v/>
      </c>
      <c r="T388" s="3">
        <f>IF($F388="","",IFERROR(INDEX('CAT_CENTROS_COSTO'!$E$4:$E$9,MATCH($F388,'CAT_CENTROS_COSTO'!$A$4:$A$9,0)),"(sin catálogo)"))</f>
        <v/>
      </c>
      <c r="U388" s="3">
        <f>IF($F388="","",IFERROR(INDEX('CAT_CENTROS_COSTO'!$D$4:$D$9,MATCH($F388,'CAT_CENTROS_COSTO'!$A$4:$A$9,0)),"(sin catálogo)"))</f>
        <v/>
      </c>
      <c r="V388" s="3">
        <f>IF($F388="","",IFERROR(INDEX('CAT_CENTROS_COSTO'!$F$4:$F$9,MATCH($F388,'CAT_CENTROS_COSTO'!$A$4:$A$9,0)),"(sin catálogo)"))</f>
        <v/>
      </c>
      <c r="W388" s="3">
        <f>IF($G388="","",IFERROR(INDEX('CAT_PUESTOS'!$B$4:$B$8,MATCH($G388,'CAT_PUESTOS'!$A$4:$A$8,0)),"(sin catálogo)"))</f>
        <v/>
      </c>
      <c r="X388" s="3">
        <f>IF($H388="","",IFERROR(INDEX('CAT_ACTIVIDADES'!$B$4:$B$8,MATCH($H388,'CAT_ACTIVIDADES'!$A$4:$A$8,0)),"(sin catálogo)"))</f>
        <v/>
      </c>
      <c r="Y388" s="12">
        <f>IF($J388="","",TODAY()-$J388)</f>
        <v/>
      </c>
      <c r="Z388" s="3">
        <f>IF($Y388="","",IF($Y388&lt;0,"FUTURO",IF($Y388&gt;p_dias_backlog_max,"BACKLOG","MES CORRIENTE")))</f>
        <v/>
      </c>
      <c r="AA388" s="3">
        <f>IF($Y388="",FALSE,AND($Y388&gt;p_dias_backlog_min,$Y388&lt;=p_dias_backlog_max))</f>
        <v/>
      </c>
      <c r="AB388" s="6" t="n"/>
      <c r="AC388" s="3">
        <f>IF($AB388="","",IFERROR(INDEX('ASIGNACIONES'!$F$4:$F$339,MATCH($O388&amp;"|"&amp;$R388&amp;"|"&amp;$AB388,'ASIGNACIONES'!$I$4:$I$339,0)),""))</f>
        <v/>
      </c>
      <c r="AD388" s="13">
        <f>IF($AB388="","",SUMIFS('ORDENES'!$M$4:$M$1203,'ORDENES'!$AB$4:$AB$1203,$AB388,'ORDENES'!$O$4:$O$1203,$O388,'ORDENES'!$R$4:$R$1203,$R388))</f>
        <v/>
      </c>
      <c r="AE388" s="13">
        <f>IF($AD388="","",p_factor_productividad*IFERROR(INDEX('ASIGNACIONES'!$H$4:$H$339,MATCH($O388&amp;"|"&amp;$R388&amp;"|"&amp;$AB388,'ASIGNACIONES'!$I$4:$I$339,0)),0)-$AD388)</f>
        <v/>
      </c>
      <c r="AF388" s="10">
        <f>IF($A388="","",IFERROR(INDEX('2_IMPORTAR_EJECUCION'!$F$9:$F$1208,MATCH($AN388,'2_IMPORTAR_EJECUCION'!$J$9:$J$1208,0)),0))</f>
        <v/>
      </c>
      <c r="AG388" s="10">
        <f>IF($A388="","",MAX(0,IFERROR(INDEX('2_IMPORTAR_EJECUCION'!$H$9:$H$1208,MATCH($AN388,'2_IMPORTAR_EJECUCION'!$J$9:$J$1208,0)),0)-$AF388))</f>
        <v/>
      </c>
      <c r="AH388" s="10">
        <f>IF($A388="","",$AF388+$AG388)</f>
        <v/>
      </c>
      <c r="AI388" s="6" t="n"/>
      <c r="AJ388" s="6" t="n"/>
      <c r="AK388" s="6" t="n"/>
      <c r="AL388" s="3">
        <f>IF($AK388="","",HYPERLINK(p_ruta_base_checklists&amp;$AK388,"abrir"))</f>
        <v/>
      </c>
      <c r="AM388" s="6" t="n"/>
      <c r="AN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1" t="n"/>
      <c r="K389" s="3" t="n"/>
      <c r="L389" s="10" t="n"/>
      <c r="M389" s="3">
        <f>IF($A389="","",IFERROR(INDEX('AJUSTES'!$B$4:$B$303,MATCH($AN389,'AJUSTES'!$A$4:$A$303,0)),IF($K389="","",$K389)))</f>
        <v/>
      </c>
      <c r="N389" s="3">
        <f>IF($A389="","",IFERROR(INDEX('CAT_ESTADOS_ERP'!$B$4:$B$7,MATCH(IFERROR(INDEX('2_IMPORTAR_EJECUCION'!$C$9:$C$1208,MATCH($AN389,'2_IMPORTAR_EJECUCION'!$J$9:$J$1208,0)),""),'CAT_ESTADOS_ERP'!$A$4:$A$7,0)),"Pendiente"))</f>
        <v/>
      </c>
      <c r="O389" s="3">
        <f>IF($J389="","",YEAR($J389+4-WEEKDAY($J389,2))&amp;"-S"&amp;TEXT(_xlfn.ISOWEEKNUM($J389),"00"))</f>
        <v/>
      </c>
      <c r="P389" s="3">
        <f>IF($J389="","",YEAR($J389))</f>
        <v/>
      </c>
      <c r="Q389" s="3">
        <f>IF($J389="","",MONTH($J389))</f>
        <v/>
      </c>
      <c r="R389" s="3">
        <f>IF($J389="","",INDEX(lista_dias,WEEKDAY($J389,2)))</f>
        <v/>
      </c>
      <c r="S389" s="3">
        <f>IF($I389="","",IFERROR(INDEX('CAT_TIPOS_OT'!$C$4:$C$7,MATCH($I389,'CAT_TIPOS_OT'!$A$4:$A$7,0)),"sin_clasificar"))</f>
        <v/>
      </c>
      <c r="T389" s="3">
        <f>IF($F389="","",IFERROR(INDEX('CAT_CENTROS_COSTO'!$E$4:$E$9,MATCH($F389,'CAT_CENTROS_COSTO'!$A$4:$A$9,0)),"(sin catálogo)"))</f>
        <v/>
      </c>
      <c r="U389" s="3">
        <f>IF($F389="","",IFERROR(INDEX('CAT_CENTROS_COSTO'!$D$4:$D$9,MATCH($F389,'CAT_CENTROS_COSTO'!$A$4:$A$9,0)),"(sin catálogo)"))</f>
        <v/>
      </c>
      <c r="V389" s="3">
        <f>IF($F389="","",IFERROR(INDEX('CAT_CENTROS_COSTO'!$F$4:$F$9,MATCH($F389,'CAT_CENTROS_COSTO'!$A$4:$A$9,0)),"(sin catálogo)"))</f>
        <v/>
      </c>
      <c r="W389" s="3">
        <f>IF($G389="","",IFERROR(INDEX('CAT_PUESTOS'!$B$4:$B$8,MATCH($G389,'CAT_PUESTOS'!$A$4:$A$8,0)),"(sin catálogo)"))</f>
        <v/>
      </c>
      <c r="X389" s="3">
        <f>IF($H389="","",IFERROR(INDEX('CAT_ACTIVIDADES'!$B$4:$B$8,MATCH($H389,'CAT_ACTIVIDADES'!$A$4:$A$8,0)),"(sin catálogo)"))</f>
        <v/>
      </c>
      <c r="Y389" s="12">
        <f>IF($J389="","",TODAY()-$J389)</f>
        <v/>
      </c>
      <c r="Z389" s="3">
        <f>IF($Y389="","",IF($Y389&lt;0,"FUTURO",IF($Y389&gt;p_dias_backlog_max,"BACKLOG","MES CORRIENTE")))</f>
        <v/>
      </c>
      <c r="AA389" s="3">
        <f>IF($Y389="",FALSE,AND($Y389&gt;p_dias_backlog_min,$Y389&lt;=p_dias_backlog_max))</f>
        <v/>
      </c>
      <c r="AB389" s="6" t="n"/>
      <c r="AC389" s="3">
        <f>IF($AB389="","",IFERROR(INDEX('ASIGNACIONES'!$F$4:$F$339,MATCH($O389&amp;"|"&amp;$R389&amp;"|"&amp;$AB389,'ASIGNACIONES'!$I$4:$I$339,0)),""))</f>
        <v/>
      </c>
      <c r="AD389" s="13">
        <f>IF($AB389="","",SUMIFS('ORDENES'!$M$4:$M$1203,'ORDENES'!$AB$4:$AB$1203,$AB389,'ORDENES'!$O$4:$O$1203,$O389,'ORDENES'!$R$4:$R$1203,$R389))</f>
        <v/>
      </c>
      <c r="AE389" s="13">
        <f>IF($AD389="","",p_factor_productividad*IFERROR(INDEX('ASIGNACIONES'!$H$4:$H$339,MATCH($O389&amp;"|"&amp;$R389&amp;"|"&amp;$AB389,'ASIGNACIONES'!$I$4:$I$339,0)),0)-$AD389)</f>
        <v/>
      </c>
      <c r="AF389" s="10">
        <f>IF($A389="","",IFERROR(INDEX('2_IMPORTAR_EJECUCION'!$F$9:$F$1208,MATCH($AN389,'2_IMPORTAR_EJECUCION'!$J$9:$J$1208,0)),0))</f>
        <v/>
      </c>
      <c r="AG389" s="10">
        <f>IF($A389="","",MAX(0,IFERROR(INDEX('2_IMPORTAR_EJECUCION'!$H$9:$H$1208,MATCH($AN389,'2_IMPORTAR_EJECUCION'!$J$9:$J$1208,0)),0)-$AF389))</f>
        <v/>
      </c>
      <c r="AH389" s="10">
        <f>IF($A389="","",$AF389+$AG389)</f>
        <v/>
      </c>
      <c r="AI389" s="6" t="n"/>
      <c r="AJ389" s="6" t="n"/>
      <c r="AK389" s="6" t="n"/>
      <c r="AL389" s="3">
        <f>IF($AK389="","",HYPERLINK(p_ruta_base_checklists&amp;$AK389,"abrir"))</f>
        <v/>
      </c>
      <c r="AM389" s="6" t="n"/>
      <c r="AN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1" t="n"/>
      <c r="K390" s="3" t="n"/>
      <c r="L390" s="10" t="n"/>
      <c r="M390" s="3">
        <f>IF($A390="","",IFERROR(INDEX('AJUSTES'!$B$4:$B$303,MATCH($AN390,'AJUSTES'!$A$4:$A$303,0)),IF($K390="","",$K390)))</f>
        <v/>
      </c>
      <c r="N390" s="3">
        <f>IF($A390="","",IFERROR(INDEX('CAT_ESTADOS_ERP'!$B$4:$B$7,MATCH(IFERROR(INDEX('2_IMPORTAR_EJECUCION'!$C$9:$C$1208,MATCH($AN390,'2_IMPORTAR_EJECUCION'!$J$9:$J$1208,0)),""),'CAT_ESTADOS_ERP'!$A$4:$A$7,0)),"Pendiente"))</f>
        <v/>
      </c>
      <c r="O390" s="3">
        <f>IF($J390="","",YEAR($J390+4-WEEKDAY($J390,2))&amp;"-S"&amp;TEXT(_xlfn.ISOWEEKNUM($J390),"00"))</f>
        <v/>
      </c>
      <c r="P390" s="3">
        <f>IF($J390="","",YEAR($J390))</f>
        <v/>
      </c>
      <c r="Q390" s="3">
        <f>IF($J390="","",MONTH($J390))</f>
        <v/>
      </c>
      <c r="R390" s="3">
        <f>IF($J390="","",INDEX(lista_dias,WEEKDAY($J390,2)))</f>
        <v/>
      </c>
      <c r="S390" s="3">
        <f>IF($I390="","",IFERROR(INDEX('CAT_TIPOS_OT'!$C$4:$C$7,MATCH($I390,'CAT_TIPOS_OT'!$A$4:$A$7,0)),"sin_clasificar"))</f>
        <v/>
      </c>
      <c r="T390" s="3">
        <f>IF($F390="","",IFERROR(INDEX('CAT_CENTROS_COSTO'!$E$4:$E$9,MATCH($F390,'CAT_CENTROS_COSTO'!$A$4:$A$9,0)),"(sin catálogo)"))</f>
        <v/>
      </c>
      <c r="U390" s="3">
        <f>IF($F390="","",IFERROR(INDEX('CAT_CENTROS_COSTO'!$D$4:$D$9,MATCH($F390,'CAT_CENTROS_COSTO'!$A$4:$A$9,0)),"(sin catálogo)"))</f>
        <v/>
      </c>
      <c r="V390" s="3">
        <f>IF($F390="","",IFERROR(INDEX('CAT_CENTROS_COSTO'!$F$4:$F$9,MATCH($F390,'CAT_CENTROS_COSTO'!$A$4:$A$9,0)),"(sin catálogo)"))</f>
        <v/>
      </c>
      <c r="W390" s="3">
        <f>IF($G390="","",IFERROR(INDEX('CAT_PUESTOS'!$B$4:$B$8,MATCH($G390,'CAT_PUESTOS'!$A$4:$A$8,0)),"(sin catálogo)"))</f>
        <v/>
      </c>
      <c r="X390" s="3">
        <f>IF($H390="","",IFERROR(INDEX('CAT_ACTIVIDADES'!$B$4:$B$8,MATCH($H390,'CAT_ACTIVIDADES'!$A$4:$A$8,0)),"(sin catálogo)"))</f>
        <v/>
      </c>
      <c r="Y390" s="12">
        <f>IF($J390="","",TODAY()-$J390)</f>
        <v/>
      </c>
      <c r="Z390" s="3">
        <f>IF($Y390="","",IF($Y390&lt;0,"FUTURO",IF($Y390&gt;p_dias_backlog_max,"BACKLOG","MES CORRIENTE")))</f>
        <v/>
      </c>
      <c r="AA390" s="3">
        <f>IF($Y390="",FALSE,AND($Y390&gt;p_dias_backlog_min,$Y390&lt;=p_dias_backlog_max))</f>
        <v/>
      </c>
      <c r="AB390" s="6" t="n"/>
      <c r="AC390" s="3">
        <f>IF($AB390="","",IFERROR(INDEX('ASIGNACIONES'!$F$4:$F$339,MATCH($O390&amp;"|"&amp;$R390&amp;"|"&amp;$AB390,'ASIGNACIONES'!$I$4:$I$339,0)),""))</f>
        <v/>
      </c>
      <c r="AD390" s="13">
        <f>IF($AB390="","",SUMIFS('ORDENES'!$M$4:$M$1203,'ORDENES'!$AB$4:$AB$1203,$AB390,'ORDENES'!$O$4:$O$1203,$O390,'ORDENES'!$R$4:$R$1203,$R390))</f>
        <v/>
      </c>
      <c r="AE390" s="13">
        <f>IF($AD390="","",p_factor_productividad*IFERROR(INDEX('ASIGNACIONES'!$H$4:$H$339,MATCH($O390&amp;"|"&amp;$R390&amp;"|"&amp;$AB390,'ASIGNACIONES'!$I$4:$I$339,0)),0)-$AD390)</f>
        <v/>
      </c>
      <c r="AF390" s="10">
        <f>IF($A390="","",IFERROR(INDEX('2_IMPORTAR_EJECUCION'!$F$9:$F$1208,MATCH($AN390,'2_IMPORTAR_EJECUCION'!$J$9:$J$1208,0)),0))</f>
        <v/>
      </c>
      <c r="AG390" s="10">
        <f>IF($A390="","",MAX(0,IFERROR(INDEX('2_IMPORTAR_EJECUCION'!$H$9:$H$1208,MATCH($AN390,'2_IMPORTAR_EJECUCION'!$J$9:$J$1208,0)),0)-$AF390))</f>
        <v/>
      </c>
      <c r="AH390" s="10">
        <f>IF($A390="","",$AF390+$AG390)</f>
        <v/>
      </c>
      <c r="AI390" s="6" t="n"/>
      <c r="AJ390" s="6" t="n"/>
      <c r="AK390" s="6" t="n"/>
      <c r="AL390" s="3">
        <f>IF($AK390="","",HYPERLINK(p_ruta_base_checklists&amp;$AK390,"abrir"))</f>
        <v/>
      </c>
      <c r="AM390" s="6" t="n"/>
      <c r="AN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1" t="n"/>
      <c r="K391" s="3" t="n"/>
      <c r="L391" s="10" t="n"/>
      <c r="M391" s="3">
        <f>IF($A391="","",IFERROR(INDEX('AJUSTES'!$B$4:$B$303,MATCH($AN391,'AJUSTES'!$A$4:$A$303,0)),IF($K391="","",$K391)))</f>
        <v/>
      </c>
      <c r="N391" s="3">
        <f>IF($A391="","",IFERROR(INDEX('CAT_ESTADOS_ERP'!$B$4:$B$7,MATCH(IFERROR(INDEX('2_IMPORTAR_EJECUCION'!$C$9:$C$1208,MATCH($AN391,'2_IMPORTAR_EJECUCION'!$J$9:$J$1208,0)),""),'CAT_ESTADOS_ERP'!$A$4:$A$7,0)),"Pendiente"))</f>
        <v/>
      </c>
      <c r="O391" s="3">
        <f>IF($J391="","",YEAR($J391+4-WEEKDAY($J391,2))&amp;"-S"&amp;TEXT(_xlfn.ISOWEEKNUM($J391),"00"))</f>
        <v/>
      </c>
      <c r="P391" s="3">
        <f>IF($J391="","",YEAR($J391))</f>
        <v/>
      </c>
      <c r="Q391" s="3">
        <f>IF($J391="","",MONTH($J391))</f>
        <v/>
      </c>
      <c r="R391" s="3">
        <f>IF($J391="","",INDEX(lista_dias,WEEKDAY($J391,2)))</f>
        <v/>
      </c>
      <c r="S391" s="3">
        <f>IF($I391="","",IFERROR(INDEX('CAT_TIPOS_OT'!$C$4:$C$7,MATCH($I391,'CAT_TIPOS_OT'!$A$4:$A$7,0)),"sin_clasificar"))</f>
        <v/>
      </c>
      <c r="T391" s="3">
        <f>IF($F391="","",IFERROR(INDEX('CAT_CENTROS_COSTO'!$E$4:$E$9,MATCH($F391,'CAT_CENTROS_COSTO'!$A$4:$A$9,0)),"(sin catálogo)"))</f>
        <v/>
      </c>
      <c r="U391" s="3">
        <f>IF($F391="","",IFERROR(INDEX('CAT_CENTROS_COSTO'!$D$4:$D$9,MATCH($F391,'CAT_CENTROS_COSTO'!$A$4:$A$9,0)),"(sin catálogo)"))</f>
        <v/>
      </c>
      <c r="V391" s="3">
        <f>IF($F391="","",IFERROR(INDEX('CAT_CENTROS_COSTO'!$F$4:$F$9,MATCH($F391,'CAT_CENTROS_COSTO'!$A$4:$A$9,0)),"(sin catálogo)"))</f>
        <v/>
      </c>
      <c r="W391" s="3">
        <f>IF($G391="","",IFERROR(INDEX('CAT_PUESTOS'!$B$4:$B$8,MATCH($G391,'CAT_PUESTOS'!$A$4:$A$8,0)),"(sin catálogo)"))</f>
        <v/>
      </c>
      <c r="X391" s="3">
        <f>IF($H391="","",IFERROR(INDEX('CAT_ACTIVIDADES'!$B$4:$B$8,MATCH($H391,'CAT_ACTIVIDADES'!$A$4:$A$8,0)),"(sin catálogo)"))</f>
        <v/>
      </c>
      <c r="Y391" s="12">
        <f>IF($J391="","",TODAY()-$J391)</f>
        <v/>
      </c>
      <c r="Z391" s="3">
        <f>IF($Y391="","",IF($Y391&lt;0,"FUTURO",IF($Y391&gt;p_dias_backlog_max,"BACKLOG","MES CORRIENTE")))</f>
        <v/>
      </c>
      <c r="AA391" s="3">
        <f>IF($Y391="",FALSE,AND($Y391&gt;p_dias_backlog_min,$Y391&lt;=p_dias_backlog_max))</f>
        <v/>
      </c>
      <c r="AB391" s="6" t="n"/>
      <c r="AC391" s="3">
        <f>IF($AB391="","",IFERROR(INDEX('ASIGNACIONES'!$F$4:$F$339,MATCH($O391&amp;"|"&amp;$R391&amp;"|"&amp;$AB391,'ASIGNACIONES'!$I$4:$I$339,0)),""))</f>
        <v/>
      </c>
      <c r="AD391" s="13">
        <f>IF($AB391="","",SUMIFS('ORDENES'!$M$4:$M$1203,'ORDENES'!$AB$4:$AB$1203,$AB391,'ORDENES'!$O$4:$O$1203,$O391,'ORDENES'!$R$4:$R$1203,$R391))</f>
        <v/>
      </c>
      <c r="AE391" s="13">
        <f>IF($AD391="","",p_factor_productividad*IFERROR(INDEX('ASIGNACIONES'!$H$4:$H$339,MATCH($O391&amp;"|"&amp;$R391&amp;"|"&amp;$AB391,'ASIGNACIONES'!$I$4:$I$339,0)),0)-$AD391)</f>
        <v/>
      </c>
      <c r="AF391" s="10">
        <f>IF($A391="","",IFERROR(INDEX('2_IMPORTAR_EJECUCION'!$F$9:$F$1208,MATCH($AN391,'2_IMPORTAR_EJECUCION'!$J$9:$J$1208,0)),0))</f>
        <v/>
      </c>
      <c r="AG391" s="10">
        <f>IF($A391="","",MAX(0,IFERROR(INDEX('2_IMPORTAR_EJECUCION'!$H$9:$H$1208,MATCH($AN391,'2_IMPORTAR_EJECUCION'!$J$9:$J$1208,0)),0)-$AF391))</f>
        <v/>
      </c>
      <c r="AH391" s="10">
        <f>IF($A391="","",$AF391+$AG391)</f>
        <v/>
      </c>
      <c r="AI391" s="6" t="n"/>
      <c r="AJ391" s="6" t="n"/>
      <c r="AK391" s="6" t="n"/>
      <c r="AL391" s="3">
        <f>IF($AK391="","",HYPERLINK(p_ruta_base_checklists&amp;$AK391,"abrir"))</f>
        <v/>
      </c>
      <c r="AM391" s="6" t="n"/>
      <c r="AN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1" t="n"/>
      <c r="K392" s="3" t="n"/>
      <c r="L392" s="10" t="n"/>
      <c r="M392" s="3">
        <f>IF($A392="","",IFERROR(INDEX('AJUSTES'!$B$4:$B$303,MATCH($AN392,'AJUSTES'!$A$4:$A$303,0)),IF($K392="","",$K392)))</f>
        <v/>
      </c>
      <c r="N392" s="3">
        <f>IF($A392="","",IFERROR(INDEX('CAT_ESTADOS_ERP'!$B$4:$B$7,MATCH(IFERROR(INDEX('2_IMPORTAR_EJECUCION'!$C$9:$C$1208,MATCH($AN392,'2_IMPORTAR_EJECUCION'!$J$9:$J$1208,0)),""),'CAT_ESTADOS_ERP'!$A$4:$A$7,0)),"Pendiente"))</f>
        <v/>
      </c>
      <c r="O392" s="3">
        <f>IF($J392="","",YEAR($J392+4-WEEKDAY($J392,2))&amp;"-S"&amp;TEXT(_xlfn.ISOWEEKNUM($J392),"00"))</f>
        <v/>
      </c>
      <c r="P392" s="3">
        <f>IF($J392="","",YEAR($J392))</f>
        <v/>
      </c>
      <c r="Q392" s="3">
        <f>IF($J392="","",MONTH($J392))</f>
        <v/>
      </c>
      <c r="R392" s="3">
        <f>IF($J392="","",INDEX(lista_dias,WEEKDAY($J392,2)))</f>
        <v/>
      </c>
      <c r="S392" s="3">
        <f>IF($I392="","",IFERROR(INDEX('CAT_TIPOS_OT'!$C$4:$C$7,MATCH($I392,'CAT_TIPOS_OT'!$A$4:$A$7,0)),"sin_clasificar"))</f>
        <v/>
      </c>
      <c r="T392" s="3">
        <f>IF($F392="","",IFERROR(INDEX('CAT_CENTROS_COSTO'!$E$4:$E$9,MATCH($F392,'CAT_CENTROS_COSTO'!$A$4:$A$9,0)),"(sin catálogo)"))</f>
        <v/>
      </c>
      <c r="U392" s="3">
        <f>IF($F392="","",IFERROR(INDEX('CAT_CENTROS_COSTO'!$D$4:$D$9,MATCH($F392,'CAT_CENTROS_COSTO'!$A$4:$A$9,0)),"(sin catálogo)"))</f>
        <v/>
      </c>
      <c r="V392" s="3">
        <f>IF($F392="","",IFERROR(INDEX('CAT_CENTROS_COSTO'!$F$4:$F$9,MATCH($F392,'CAT_CENTROS_COSTO'!$A$4:$A$9,0)),"(sin catálogo)"))</f>
        <v/>
      </c>
      <c r="W392" s="3">
        <f>IF($G392="","",IFERROR(INDEX('CAT_PUESTOS'!$B$4:$B$8,MATCH($G392,'CAT_PUESTOS'!$A$4:$A$8,0)),"(sin catálogo)"))</f>
        <v/>
      </c>
      <c r="X392" s="3">
        <f>IF($H392="","",IFERROR(INDEX('CAT_ACTIVIDADES'!$B$4:$B$8,MATCH($H392,'CAT_ACTIVIDADES'!$A$4:$A$8,0)),"(sin catálogo)"))</f>
        <v/>
      </c>
      <c r="Y392" s="12">
        <f>IF($J392="","",TODAY()-$J392)</f>
        <v/>
      </c>
      <c r="Z392" s="3">
        <f>IF($Y392="","",IF($Y392&lt;0,"FUTURO",IF($Y392&gt;p_dias_backlog_max,"BACKLOG","MES CORRIENTE")))</f>
        <v/>
      </c>
      <c r="AA392" s="3">
        <f>IF($Y392="",FALSE,AND($Y392&gt;p_dias_backlog_min,$Y392&lt;=p_dias_backlog_max))</f>
        <v/>
      </c>
      <c r="AB392" s="6" t="n"/>
      <c r="AC392" s="3">
        <f>IF($AB392="","",IFERROR(INDEX('ASIGNACIONES'!$F$4:$F$339,MATCH($O392&amp;"|"&amp;$R392&amp;"|"&amp;$AB392,'ASIGNACIONES'!$I$4:$I$339,0)),""))</f>
        <v/>
      </c>
      <c r="AD392" s="13">
        <f>IF($AB392="","",SUMIFS('ORDENES'!$M$4:$M$1203,'ORDENES'!$AB$4:$AB$1203,$AB392,'ORDENES'!$O$4:$O$1203,$O392,'ORDENES'!$R$4:$R$1203,$R392))</f>
        <v/>
      </c>
      <c r="AE392" s="13">
        <f>IF($AD392="","",p_factor_productividad*IFERROR(INDEX('ASIGNACIONES'!$H$4:$H$339,MATCH($O392&amp;"|"&amp;$R392&amp;"|"&amp;$AB392,'ASIGNACIONES'!$I$4:$I$339,0)),0)-$AD392)</f>
        <v/>
      </c>
      <c r="AF392" s="10">
        <f>IF($A392="","",IFERROR(INDEX('2_IMPORTAR_EJECUCION'!$F$9:$F$1208,MATCH($AN392,'2_IMPORTAR_EJECUCION'!$J$9:$J$1208,0)),0))</f>
        <v/>
      </c>
      <c r="AG392" s="10">
        <f>IF($A392="","",MAX(0,IFERROR(INDEX('2_IMPORTAR_EJECUCION'!$H$9:$H$1208,MATCH($AN392,'2_IMPORTAR_EJECUCION'!$J$9:$J$1208,0)),0)-$AF392))</f>
        <v/>
      </c>
      <c r="AH392" s="10">
        <f>IF($A392="","",$AF392+$AG392)</f>
        <v/>
      </c>
      <c r="AI392" s="6" t="n"/>
      <c r="AJ392" s="6" t="n"/>
      <c r="AK392" s="6" t="n"/>
      <c r="AL392" s="3">
        <f>IF($AK392="","",HYPERLINK(p_ruta_base_checklists&amp;$AK392,"abrir"))</f>
        <v/>
      </c>
      <c r="AM392" s="6" t="n"/>
      <c r="AN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1" t="n"/>
      <c r="K393" s="3" t="n"/>
      <c r="L393" s="10" t="n"/>
      <c r="M393" s="3">
        <f>IF($A393="","",IFERROR(INDEX('AJUSTES'!$B$4:$B$303,MATCH($AN393,'AJUSTES'!$A$4:$A$303,0)),IF($K393="","",$K393)))</f>
        <v/>
      </c>
      <c r="N393" s="3">
        <f>IF($A393="","",IFERROR(INDEX('CAT_ESTADOS_ERP'!$B$4:$B$7,MATCH(IFERROR(INDEX('2_IMPORTAR_EJECUCION'!$C$9:$C$1208,MATCH($AN393,'2_IMPORTAR_EJECUCION'!$J$9:$J$1208,0)),""),'CAT_ESTADOS_ERP'!$A$4:$A$7,0)),"Pendiente"))</f>
        <v/>
      </c>
      <c r="O393" s="3">
        <f>IF($J393="","",YEAR($J393+4-WEEKDAY($J393,2))&amp;"-S"&amp;TEXT(_xlfn.ISOWEEKNUM($J393),"00"))</f>
        <v/>
      </c>
      <c r="P393" s="3">
        <f>IF($J393="","",YEAR($J393))</f>
        <v/>
      </c>
      <c r="Q393" s="3">
        <f>IF($J393="","",MONTH($J393))</f>
        <v/>
      </c>
      <c r="R393" s="3">
        <f>IF($J393="","",INDEX(lista_dias,WEEKDAY($J393,2)))</f>
        <v/>
      </c>
      <c r="S393" s="3">
        <f>IF($I393="","",IFERROR(INDEX('CAT_TIPOS_OT'!$C$4:$C$7,MATCH($I393,'CAT_TIPOS_OT'!$A$4:$A$7,0)),"sin_clasificar"))</f>
        <v/>
      </c>
      <c r="T393" s="3">
        <f>IF($F393="","",IFERROR(INDEX('CAT_CENTROS_COSTO'!$E$4:$E$9,MATCH($F393,'CAT_CENTROS_COSTO'!$A$4:$A$9,0)),"(sin catálogo)"))</f>
        <v/>
      </c>
      <c r="U393" s="3">
        <f>IF($F393="","",IFERROR(INDEX('CAT_CENTROS_COSTO'!$D$4:$D$9,MATCH($F393,'CAT_CENTROS_COSTO'!$A$4:$A$9,0)),"(sin catálogo)"))</f>
        <v/>
      </c>
      <c r="V393" s="3">
        <f>IF($F393="","",IFERROR(INDEX('CAT_CENTROS_COSTO'!$F$4:$F$9,MATCH($F393,'CAT_CENTROS_COSTO'!$A$4:$A$9,0)),"(sin catálogo)"))</f>
        <v/>
      </c>
      <c r="W393" s="3">
        <f>IF($G393="","",IFERROR(INDEX('CAT_PUESTOS'!$B$4:$B$8,MATCH($G393,'CAT_PUESTOS'!$A$4:$A$8,0)),"(sin catálogo)"))</f>
        <v/>
      </c>
      <c r="X393" s="3">
        <f>IF($H393="","",IFERROR(INDEX('CAT_ACTIVIDADES'!$B$4:$B$8,MATCH($H393,'CAT_ACTIVIDADES'!$A$4:$A$8,0)),"(sin catálogo)"))</f>
        <v/>
      </c>
      <c r="Y393" s="12">
        <f>IF($J393="","",TODAY()-$J393)</f>
        <v/>
      </c>
      <c r="Z393" s="3">
        <f>IF($Y393="","",IF($Y393&lt;0,"FUTURO",IF($Y393&gt;p_dias_backlog_max,"BACKLOG","MES CORRIENTE")))</f>
        <v/>
      </c>
      <c r="AA393" s="3">
        <f>IF($Y393="",FALSE,AND($Y393&gt;p_dias_backlog_min,$Y393&lt;=p_dias_backlog_max))</f>
        <v/>
      </c>
      <c r="AB393" s="6" t="n"/>
      <c r="AC393" s="3">
        <f>IF($AB393="","",IFERROR(INDEX('ASIGNACIONES'!$F$4:$F$339,MATCH($O393&amp;"|"&amp;$R393&amp;"|"&amp;$AB393,'ASIGNACIONES'!$I$4:$I$339,0)),""))</f>
        <v/>
      </c>
      <c r="AD393" s="13">
        <f>IF($AB393="","",SUMIFS('ORDENES'!$M$4:$M$1203,'ORDENES'!$AB$4:$AB$1203,$AB393,'ORDENES'!$O$4:$O$1203,$O393,'ORDENES'!$R$4:$R$1203,$R393))</f>
        <v/>
      </c>
      <c r="AE393" s="13">
        <f>IF($AD393="","",p_factor_productividad*IFERROR(INDEX('ASIGNACIONES'!$H$4:$H$339,MATCH($O393&amp;"|"&amp;$R393&amp;"|"&amp;$AB393,'ASIGNACIONES'!$I$4:$I$339,0)),0)-$AD393)</f>
        <v/>
      </c>
      <c r="AF393" s="10">
        <f>IF($A393="","",IFERROR(INDEX('2_IMPORTAR_EJECUCION'!$F$9:$F$1208,MATCH($AN393,'2_IMPORTAR_EJECUCION'!$J$9:$J$1208,0)),0))</f>
        <v/>
      </c>
      <c r="AG393" s="10">
        <f>IF($A393="","",MAX(0,IFERROR(INDEX('2_IMPORTAR_EJECUCION'!$H$9:$H$1208,MATCH($AN393,'2_IMPORTAR_EJECUCION'!$J$9:$J$1208,0)),0)-$AF393))</f>
        <v/>
      </c>
      <c r="AH393" s="10">
        <f>IF($A393="","",$AF393+$AG393)</f>
        <v/>
      </c>
      <c r="AI393" s="6" t="n"/>
      <c r="AJ393" s="6" t="n"/>
      <c r="AK393" s="6" t="n"/>
      <c r="AL393" s="3">
        <f>IF($AK393="","",HYPERLINK(p_ruta_base_checklists&amp;$AK393,"abrir"))</f>
        <v/>
      </c>
      <c r="AM393" s="6" t="n"/>
      <c r="AN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1" t="n"/>
      <c r="K394" s="3" t="n"/>
      <c r="L394" s="10" t="n"/>
      <c r="M394" s="3">
        <f>IF($A394="","",IFERROR(INDEX('AJUSTES'!$B$4:$B$303,MATCH($AN394,'AJUSTES'!$A$4:$A$303,0)),IF($K394="","",$K394)))</f>
        <v/>
      </c>
      <c r="N394" s="3">
        <f>IF($A394="","",IFERROR(INDEX('CAT_ESTADOS_ERP'!$B$4:$B$7,MATCH(IFERROR(INDEX('2_IMPORTAR_EJECUCION'!$C$9:$C$1208,MATCH($AN394,'2_IMPORTAR_EJECUCION'!$J$9:$J$1208,0)),""),'CAT_ESTADOS_ERP'!$A$4:$A$7,0)),"Pendiente"))</f>
        <v/>
      </c>
      <c r="O394" s="3">
        <f>IF($J394="","",YEAR($J394+4-WEEKDAY($J394,2))&amp;"-S"&amp;TEXT(_xlfn.ISOWEEKNUM($J394),"00"))</f>
        <v/>
      </c>
      <c r="P394" s="3">
        <f>IF($J394="","",YEAR($J394))</f>
        <v/>
      </c>
      <c r="Q394" s="3">
        <f>IF($J394="","",MONTH($J394))</f>
        <v/>
      </c>
      <c r="R394" s="3">
        <f>IF($J394="","",INDEX(lista_dias,WEEKDAY($J394,2)))</f>
        <v/>
      </c>
      <c r="S394" s="3">
        <f>IF($I394="","",IFERROR(INDEX('CAT_TIPOS_OT'!$C$4:$C$7,MATCH($I394,'CAT_TIPOS_OT'!$A$4:$A$7,0)),"sin_clasificar"))</f>
        <v/>
      </c>
      <c r="T394" s="3">
        <f>IF($F394="","",IFERROR(INDEX('CAT_CENTROS_COSTO'!$E$4:$E$9,MATCH($F394,'CAT_CENTROS_COSTO'!$A$4:$A$9,0)),"(sin catálogo)"))</f>
        <v/>
      </c>
      <c r="U394" s="3">
        <f>IF($F394="","",IFERROR(INDEX('CAT_CENTROS_COSTO'!$D$4:$D$9,MATCH($F394,'CAT_CENTROS_COSTO'!$A$4:$A$9,0)),"(sin catálogo)"))</f>
        <v/>
      </c>
      <c r="V394" s="3">
        <f>IF($F394="","",IFERROR(INDEX('CAT_CENTROS_COSTO'!$F$4:$F$9,MATCH($F394,'CAT_CENTROS_COSTO'!$A$4:$A$9,0)),"(sin catálogo)"))</f>
        <v/>
      </c>
      <c r="W394" s="3">
        <f>IF($G394="","",IFERROR(INDEX('CAT_PUESTOS'!$B$4:$B$8,MATCH($G394,'CAT_PUESTOS'!$A$4:$A$8,0)),"(sin catálogo)"))</f>
        <v/>
      </c>
      <c r="X394" s="3">
        <f>IF($H394="","",IFERROR(INDEX('CAT_ACTIVIDADES'!$B$4:$B$8,MATCH($H394,'CAT_ACTIVIDADES'!$A$4:$A$8,0)),"(sin catálogo)"))</f>
        <v/>
      </c>
      <c r="Y394" s="12">
        <f>IF($J394="","",TODAY()-$J394)</f>
        <v/>
      </c>
      <c r="Z394" s="3">
        <f>IF($Y394="","",IF($Y394&lt;0,"FUTURO",IF($Y394&gt;p_dias_backlog_max,"BACKLOG","MES CORRIENTE")))</f>
        <v/>
      </c>
      <c r="AA394" s="3">
        <f>IF($Y394="",FALSE,AND($Y394&gt;p_dias_backlog_min,$Y394&lt;=p_dias_backlog_max))</f>
        <v/>
      </c>
      <c r="AB394" s="6" t="n"/>
      <c r="AC394" s="3">
        <f>IF($AB394="","",IFERROR(INDEX('ASIGNACIONES'!$F$4:$F$339,MATCH($O394&amp;"|"&amp;$R394&amp;"|"&amp;$AB394,'ASIGNACIONES'!$I$4:$I$339,0)),""))</f>
        <v/>
      </c>
      <c r="AD394" s="13">
        <f>IF($AB394="","",SUMIFS('ORDENES'!$M$4:$M$1203,'ORDENES'!$AB$4:$AB$1203,$AB394,'ORDENES'!$O$4:$O$1203,$O394,'ORDENES'!$R$4:$R$1203,$R394))</f>
        <v/>
      </c>
      <c r="AE394" s="13">
        <f>IF($AD394="","",p_factor_productividad*IFERROR(INDEX('ASIGNACIONES'!$H$4:$H$339,MATCH($O394&amp;"|"&amp;$R394&amp;"|"&amp;$AB394,'ASIGNACIONES'!$I$4:$I$339,0)),0)-$AD394)</f>
        <v/>
      </c>
      <c r="AF394" s="10">
        <f>IF($A394="","",IFERROR(INDEX('2_IMPORTAR_EJECUCION'!$F$9:$F$1208,MATCH($AN394,'2_IMPORTAR_EJECUCION'!$J$9:$J$1208,0)),0))</f>
        <v/>
      </c>
      <c r="AG394" s="10">
        <f>IF($A394="","",MAX(0,IFERROR(INDEX('2_IMPORTAR_EJECUCION'!$H$9:$H$1208,MATCH($AN394,'2_IMPORTAR_EJECUCION'!$J$9:$J$1208,0)),0)-$AF394))</f>
        <v/>
      </c>
      <c r="AH394" s="10">
        <f>IF($A394="","",$AF394+$AG394)</f>
        <v/>
      </c>
      <c r="AI394" s="6" t="n"/>
      <c r="AJ394" s="6" t="n"/>
      <c r="AK394" s="6" t="n"/>
      <c r="AL394" s="3">
        <f>IF($AK394="","",HYPERLINK(p_ruta_base_checklists&amp;$AK394,"abrir"))</f>
        <v/>
      </c>
      <c r="AM394" s="6" t="n"/>
      <c r="AN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1" t="n"/>
      <c r="K395" s="3" t="n"/>
      <c r="L395" s="10" t="n"/>
      <c r="M395" s="3">
        <f>IF($A395="","",IFERROR(INDEX('AJUSTES'!$B$4:$B$303,MATCH($AN395,'AJUSTES'!$A$4:$A$303,0)),IF($K395="","",$K395)))</f>
        <v/>
      </c>
      <c r="N395" s="3">
        <f>IF($A395="","",IFERROR(INDEX('CAT_ESTADOS_ERP'!$B$4:$B$7,MATCH(IFERROR(INDEX('2_IMPORTAR_EJECUCION'!$C$9:$C$1208,MATCH($AN395,'2_IMPORTAR_EJECUCION'!$J$9:$J$1208,0)),""),'CAT_ESTADOS_ERP'!$A$4:$A$7,0)),"Pendiente"))</f>
        <v/>
      </c>
      <c r="O395" s="3">
        <f>IF($J395="","",YEAR($J395+4-WEEKDAY($J395,2))&amp;"-S"&amp;TEXT(_xlfn.ISOWEEKNUM($J395),"00"))</f>
        <v/>
      </c>
      <c r="P395" s="3">
        <f>IF($J395="","",YEAR($J395))</f>
        <v/>
      </c>
      <c r="Q395" s="3">
        <f>IF($J395="","",MONTH($J395))</f>
        <v/>
      </c>
      <c r="R395" s="3">
        <f>IF($J395="","",INDEX(lista_dias,WEEKDAY($J395,2)))</f>
        <v/>
      </c>
      <c r="S395" s="3">
        <f>IF($I395="","",IFERROR(INDEX('CAT_TIPOS_OT'!$C$4:$C$7,MATCH($I395,'CAT_TIPOS_OT'!$A$4:$A$7,0)),"sin_clasificar"))</f>
        <v/>
      </c>
      <c r="T395" s="3">
        <f>IF($F395="","",IFERROR(INDEX('CAT_CENTROS_COSTO'!$E$4:$E$9,MATCH($F395,'CAT_CENTROS_COSTO'!$A$4:$A$9,0)),"(sin catálogo)"))</f>
        <v/>
      </c>
      <c r="U395" s="3">
        <f>IF($F395="","",IFERROR(INDEX('CAT_CENTROS_COSTO'!$D$4:$D$9,MATCH($F395,'CAT_CENTROS_COSTO'!$A$4:$A$9,0)),"(sin catálogo)"))</f>
        <v/>
      </c>
      <c r="V395" s="3">
        <f>IF($F395="","",IFERROR(INDEX('CAT_CENTROS_COSTO'!$F$4:$F$9,MATCH($F395,'CAT_CENTROS_COSTO'!$A$4:$A$9,0)),"(sin catálogo)"))</f>
        <v/>
      </c>
      <c r="W395" s="3">
        <f>IF($G395="","",IFERROR(INDEX('CAT_PUESTOS'!$B$4:$B$8,MATCH($G395,'CAT_PUESTOS'!$A$4:$A$8,0)),"(sin catálogo)"))</f>
        <v/>
      </c>
      <c r="X395" s="3">
        <f>IF($H395="","",IFERROR(INDEX('CAT_ACTIVIDADES'!$B$4:$B$8,MATCH($H395,'CAT_ACTIVIDADES'!$A$4:$A$8,0)),"(sin catálogo)"))</f>
        <v/>
      </c>
      <c r="Y395" s="12">
        <f>IF($J395="","",TODAY()-$J395)</f>
        <v/>
      </c>
      <c r="Z395" s="3">
        <f>IF($Y395="","",IF($Y395&lt;0,"FUTURO",IF($Y395&gt;p_dias_backlog_max,"BACKLOG","MES CORRIENTE")))</f>
        <v/>
      </c>
      <c r="AA395" s="3">
        <f>IF($Y395="",FALSE,AND($Y395&gt;p_dias_backlog_min,$Y395&lt;=p_dias_backlog_max))</f>
        <v/>
      </c>
      <c r="AB395" s="6" t="n"/>
      <c r="AC395" s="3">
        <f>IF($AB395="","",IFERROR(INDEX('ASIGNACIONES'!$F$4:$F$339,MATCH($O395&amp;"|"&amp;$R395&amp;"|"&amp;$AB395,'ASIGNACIONES'!$I$4:$I$339,0)),""))</f>
        <v/>
      </c>
      <c r="AD395" s="13">
        <f>IF($AB395="","",SUMIFS('ORDENES'!$M$4:$M$1203,'ORDENES'!$AB$4:$AB$1203,$AB395,'ORDENES'!$O$4:$O$1203,$O395,'ORDENES'!$R$4:$R$1203,$R395))</f>
        <v/>
      </c>
      <c r="AE395" s="13">
        <f>IF($AD395="","",p_factor_productividad*IFERROR(INDEX('ASIGNACIONES'!$H$4:$H$339,MATCH($O395&amp;"|"&amp;$R395&amp;"|"&amp;$AB395,'ASIGNACIONES'!$I$4:$I$339,0)),0)-$AD395)</f>
        <v/>
      </c>
      <c r="AF395" s="10">
        <f>IF($A395="","",IFERROR(INDEX('2_IMPORTAR_EJECUCION'!$F$9:$F$1208,MATCH($AN395,'2_IMPORTAR_EJECUCION'!$J$9:$J$1208,0)),0))</f>
        <v/>
      </c>
      <c r="AG395" s="10">
        <f>IF($A395="","",MAX(0,IFERROR(INDEX('2_IMPORTAR_EJECUCION'!$H$9:$H$1208,MATCH($AN395,'2_IMPORTAR_EJECUCION'!$J$9:$J$1208,0)),0)-$AF395))</f>
        <v/>
      </c>
      <c r="AH395" s="10">
        <f>IF($A395="","",$AF395+$AG395)</f>
        <v/>
      </c>
      <c r="AI395" s="6" t="n"/>
      <c r="AJ395" s="6" t="n"/>
      <c r="AK395" s="6" t="n"/>
      <c r="AL395" s="3">
        <f>IF($AK395="","",HYPERLINK(p_ruta_base_checklists&amp;$AK395,"abrir"))</f>
        <v/>
      </c>
      <c r="AM395" s="6" t="n"/>
      <c r="AN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1" t="n"/>
      <c r="K396" s="3" t="n"/>
      <c r="L396" s="10" t="n"/>
      <c r="M396" s="3">
        <f>IF($A396="","",IFERROR(INDEX('AJUSTES'!$B$4:$B$303,MATCH($AN396,'AJUSTES'!$A$4:$A$303,0)),IF($K396="","",$K396)))</f>
        <v/>
      </c>
      <c r="N396" s="3">
        <f>IF($A396="","",IFERROR(INDEX('CAT_ESTADOS_ERP'!$B$4:$B$7,MATCH(IFERROR(INDEX('2_IMPORTAR_EJECUCION'!$C$9:$C$1208,MATCH($AN396,'2_IMPORTAR_EJECUCION'!$J$9:$J$1208,0)),""),'CAT_ESTADOS_ERP'!$A$4:$A$7,0)),"Pendiente"))</f>
        <v/>
      </c>
      <c r="O396" s="3">
        <f>IF($J396="","",YEAR($J396+4-WEEKDAY($J396,2))&amp;"-S"&amp;TEXT(_xlfn.ISOWEEKNUM($J396),"00"))</f>
        <v/>
      </c>
      <c r="P396" s="3">
        <f>IF($J396="","",YEAR($J396))</f>
        <v/>
      </c>
      <c r="Q396" s="3">
        <f>IF($J396="","",MONTH($J396))</f>
        <v/>
      </c>
      <c r="R396" s="3">
        <f>IF($J396="","",INDEX(lista_dias,WEEKDAY($J396,2)))</f>
        <v/>
      </c>
      <c r="S396" s="3">
        <f>IF($I396="","",IFERROR(INDEX('CAT_TIPOS_OT'!$C$4:$C$7,MATCH($I396,'CAT_TIPOS_OT'!$A$4:$A$7,0)),"sin_clasificar"))</f>
        <v/>
      </c>
      <c r="T396" s="3">
        <f>IF($F396="","",IFERROR(INDEX('CAT_CENTROS_COSTO'!$E$4:$E$9,MATCH($F396,'CAT_CENTROS_COSTO'!$A$4:$A$9,0)),"(sin catálogo)"))</f>
        <v/>
      </c>
      <c r="U396" s="3">
        <f>IF($F396="","",IFERROR(INDEX('CAT_CENTROS_COSTO'!$D$4:$D$9,MATCH($F396,'CAT_CENTROS_COSTO'!$A$4:$A$9,0)),"(sin catálogo)"))</f>
        <v/>
      </c>
      <c r="V396" s="3">
        <f>IF($F396="","",IFERROR(INDEX('CAT_CENTROS_COSTO'!$F$4:$F$9,MATCH($F396,'CAT_CENTROS_COSTO'!$A$4:$A$9,0)),"(sin catálogo)"))</f>
        <v/>
      </c>
      <c r="W396" s="3">
        <f>IF($G396="","",IFERROR(INDEX('CAT_PUESTOS'!$B$4:$B$8,MATCH($G396,'CAT_PUESTOS'!$A$4:$A$8,0)),"(sin catálogo)"))</f>
        <v/>
      </c>
      <c r="X396" s="3">
        <f>IF($H396="","",IFERROR(INDEX('CAT_ACTIVIDADES'!$B$4:$B$8,MATCH($H396,'CAT_ACTIVIDADES'!$A$4:$A$8,0)),"(sin catálogo)"))</f>
        <v/>
      </c>
      <c r="Y396" s="12">
        <f>IF($J396="","",TODAY()-$J396)</f>
        <v/>
      </c>
      <c r="Z396" s="3">
        <f>IF($Y396="","",IF($Y396&lt;0,"FUTURO",IF($Y396&gt;p_dias_backlog_max,"BACKLOG","MES CORRIENTE")))</f>
        <v/>
      </c>
      <c r="AA396" s="3">
        <f>IF($Y396="",FALSE,AND($Y396&gt;p_dias_backlog_min,$Y396&lt;=p_dias_backlog_max))</f>
        <v/>
      </c>
      <c r="AB396" s="6" t="n"/>
      <c r="AC396" s="3">
        <f>IF($AB396="","",IFERROR(INDEX('ASIGNACIONES'!$F$4:$F$339,MATCH($O396&amp;"|"&amp;$R396&amp;"|"&amp;$AB396,'ASIGNACIONES'!$I$4:$I$339,0)),""))</f>
        <v/>
      </c>
      <c r="AD396" s="13">
        <f>IF($AB396="","",SUMIFS('ORDENES'!$M$4:$M$1203,'ORDENES'!$AB$4:$AB$1203,$AB396,'ORDENES'!$O$4:$O$1203,$O396,'ORDENES'!$R$4:$R$1203,$R396))</f>
        <v/>
      </c>
      <c r="AE396" s="13">
        <f>IF($AD396="","",p_factor_productividad*IFERROR(INDEX('ASIGNACIONES'!$H$4:$H$339,MATCH($O396&amp;"|"&amp;$R396&amp;"|"&amp;$AB396,'ASIGNACIONES'!$I$4:$I$339,0)),0)-$AD396)</f>
        <v/>
      </c>
      <c r="AF396" s="10">
        <f>IF($A396="","",IFERROR(INDEX('2_IMPORTAR_EJECUCION'!$F$9:$F$1208,MATCH($AN396,'2_IMPORTAR_EJECUCION'!$J$9:$J$1208,0)),0))</f>
        <v/>
      </c>
      <c r="AG396" s="10">
        <f>IF($A396="","",MAX(0,IFERROR(INDEX('2_IMPORTAR_EJECUCION'!$H$9:$H$1208,MATCH($AN396,'2_IMPORTAR_EJECUCION'!$J$9:$J$1208,0)),0)-$AF396))</f>
        <v/>
      </c>
      <c r="AH396" s="10">
        <f>IF($A396="","",$AF396+$AG396)</f>
        <v/>
      </c>
      <c r="AI396" s="6" t="n"/>
      <c r="AJ396" s="6" t="n"/>
      <c r="AK396" s="6" t="n"/>
      <c r="AL396" s="3">
        <f>IF($AK396="","",HYPERLINK(p_ruta_base_checklists&amp;$AK396,"abrir"))</f>
        <v/>
      </c>
      <c r="AM396" s="6" t="n"/>
      <c r="AN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1" t="n"/>
      <c r="K397" s="3" t="n"/>
      <c r="L397" s="10" t="n"/>
      <c r="M397" s="3">
        <f>IF($A397="","",IFERROR(INDEX('AJUSTES'!$B$4:$B$303,MATCH($AN397,'AJUSTES'!$A$4:$A$303,0)),IF($K397="","",$K397)))</f>
        <v/>
      </c>
      <c r="N397" s="3">
        <f>IF($A397="","",IFERROR(INDEX('CAT_ESTADOS_ERP'!$B$4:$B$7,MATCH(IFERROR(INDEX('2_IMPORTAR_EJECUCION'!$C$9:$C$1208,MATCH($AN397,'2_IMPORTAR_EJECUCION'!$J$9:$J$1208,0)),""),'CAT_ESTADOS_ERP'!$A$4:$A$7,0)),"Pendiente"))</f>
        <v/>
      </c>
      <c r="O397" s="3">
        <f>IF($J397="","",YEAR($J397+4-WEEKDAY($J397,2))&amp;"-S"&amp;TEXT(_xlfn.ISOWEEKNUM($J397),"00"))</f>
        <v/>
      </c>
      <c r="P397" s="3">
        <f>IF($J397="","",YEAR($J397))</f>
        <v/>
      </c>
      <c r="Q397" s="3">
        <f>IF($J397="","",MONTH($J397))</f>
        <v/>
      </c>
      <c r="R397" s="3">
        <f>IF($J397="","",INDEX(lista_dias,WEEKDAY($J397,2)))</f>
        <v/>
      </c>
      <c r="S397" s="3">
        <f>IF($I397="","",IFERROR(INDEX('CAT_TIPOS_OT'!$C$4:$C$7,MATCH($I397,'CAT_TIPOS_OT'!$A$4:$A$7,0)),"sin_clasificar"))</f>
        <v/>
      </c>
      <c r="T397" s="3">
        <f>IF($F397="","",IFERROR(INDEX('CAT_CENTROS_COSTO'!$E$4:$E$9,MATCH($F397,'CAT_CENTROS_COSTO'!$A$4:$A$9,0)),"(sin catálogo)"))</f>
        <v/>
      </c>
      <c r="U397" s="3">
        <f>IF($F397="","",IFERROR(INDEX('CAT_CENTROS_COSTO'!$D$4:$D$9,MATCH($F397,'CAT_CENTROS_COSTO'!$A$4:$A$9,0)),"(sin catálogo)"))</f>
        <v/>
      </c>
      <c r="V397" s="3">
        <f>IF($F397="","",IFERROR(INDEX('CAT_CENTROS_COSTO'!$F$4:$F$9,MATCH($F397,'CAT_CENTROS_COSTO'!$A$4:$A$9,0)),"(sin catálogo)"))</f>
        <v/>
      </c>
      <c r="W397" s="3">
        <f>IF($G397="","",IFERROR(INDEX('CAT_PUESTOS'!$B$4:$B$8,MATCH($G397,'CAT_PUESTOS'!$A$4:$A$8,0)),"(sin catálogo)"))</f>
        <v/>
      </c>
      <c r="X397" s="3">
        <f>IF($H397="","",IFERROR(INDEX('CAT_ACTIVIDADES'!$B$4:$B$8,MATCH($H397,'CAT_ACTIVIDADES'!$A$4:$A$8,0)),"(sin catálogo)"))</f>
        <v/>
      </c>
      <c r="Y397" s="12">
        <f>IF($J397="","",TODAY()-$J397)</f>
        <v/>
      </c>
      <c r="Z397" s="3">
        <f>IF($Y397="","",IF($Y397&lt;0,"FUTURO",IF($Y397&gt;p_dias_backlog_max,"BACKLOG","MES CORRIENTE")))</f>
        <v/>
      </c>
      <c r="AA397" s="3">
        <f>IF($Y397="",FALSE,AND($Y397&gt;p_dias_backlog_min,$Y397&lt;=p_dias_backlog_max))</f>
        <v/>
      </c>
      <c r="AB397" s="6" t="n"/>
      <c r="AC397" s="3">
        <f>IF($AB397="","",IFERROR(INDEX('ASIGNACIONES'!$F$4:$F$339,MATCH($O397&amp;"|"&amp;$R397&amp;"|"&amp;$AB397,'ASIGNACIONES'!$I$4:$I$339,0)),""))</f>
        <v/>
      </c>
      <c r="AD397" s="13">
        <f>IF($AB397="","",SUMIFS('ORDENES'!$M$4:$M$1203,'ORDENES'!$AB$4:$AB$1203,$AB397,'ORDENES'!$O$4:$O$1203,$O397,'ORDENES'!$R$4:$R$1203,$R397))</f>
        <v/>
      </c>
      <c r="AE397" s="13">
        <f>IF($AD397="","",p_factor_productividad*IFERROR(INDEX('ASIGNACIONES'!$H$4:$H$339,MATCH($O397&amp;"|"&amp;$R397&amp;"|"&amp;$AB397,'ASIGNACIONES'!$I$4:$I$339,0)),0)-$AD397)</f>
        <v/>
      </c>
      <c r="AF397" s="10">
        <f>IF($A397="","",IFERROR(INDEX('2_IMPORTAR_EJECUCION'!$F$9:$F$1208,MATCH($AN397,'2_IMPORTAR_EJECUCION'!$J$9:$J$1208,0)),0))</f>
        <v/>
      </c>
      <c r="AG397" s="10">
        <f>IF($A397="","",MAX(0,IFERROR(INDEX('2_IMPORTAR_EJECUCION'!$H$9:$H$1208,MATCH($AN397,'2_IMPORTAR_EJECUCION'!$J$9:$J$1208,0)),0)-$AF397))</f>
        <v/>
      </c>
      <c r="AH397" s="10">
        <f>IF($A397="","",$AF397+$AG397)</f>
        <v/>
      </c>
      <c r="AI397" s="6" t="n"/>
      <c r="AJ397" s="6" t="n"/>
      <c r="AK397" s="6" t="n"/>
      <c r="AL397" s="3">
        <f>IF($AK397="","",HYPERLINK(p_ruta_base_checklists&amp;$AK397,"abrir"))</f>
        <v/>
      </c>
      <c r="AM397" s="6" t="n"/>
      <c r="AN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1" t="n"/>
      <c r="K398" s="3" t="n"/>
      <c r="L398" s="10" t="n"/>
      <c r="M398" s="3">
        <f>IF($A398="","",IFERROR(INDEX('AJUSTES'!$B$4:$B$303,MATCH($AN398,'AJUSTES'!$A$4:$A$303,0)),IF($K398="","",$K398)))</f>
        <v/>
      </c>
      <c r="N398" s="3">
        <f>IF($A398="","",IFERROR(INDEX('CAT_ESTADOS_ERP'!$B$4:$B$7,MATCH(IFERROR(INDEX('2_IMPORTAR_EJECUCION'!$C$9:$C$1208,MATCH($AN398,'2_IMPORTAR_EJECUCION'!$J$9:$J$1208,0)),""),'CAT_ESTADOS_ERP'!$A$4:$A$7,0)),"Pendiente"))</f>
        <v/>
      </c>
      <c r="O398" s="3">
        <f>IF($J398="","",YEAR($J398+4-WEEKDAY($J398,2))&amp;"-S"&amp;TEXT(_xlfn.ISOWEEKNUM($J398),"00"))</f>
        <v/>
      </c>
      <c r="P398" s="3">
        <f>IF($J398="","",YEAR($J398))</f>
        <v/>
      </c>
      <c r="Q398" s="3">
        <f>IF($J398="","",MONTH($J398))</f>
        <v/>
      </c>
      <c r="R398" s="3">
        <f>IF($J398="","",INDEX(lista_dias,WEEKDAY($J398,2)))</f>
        <v/>
      </c>
      <c r="S398" s="3">
        <f>IF($I398="","",IFERROR(INDEX('CAT_TIPOS_OT'!$C$4:$C$7,MATCH($I398,'CAT_TIPOS_OT'!$A$4:$A$7,0)),"sin_clasificar"))</f>
        <v/>
      </c>
      <c r="T398" s="3">
        <f>IF($F398="","",IFERROR(INDEX('CAT_CENTROS_COSTO'!$E$4:$E$9,MATCH($F398,'CAT_CENTROS_COSTO'!$A$4:$A$9,0)),"(sin catálogo)"))</f>
        <v/>
      </c>
      <c r="U398" s="3">
        <f>IF($F398="","",IFERROR(INDEX('CAT_CENTROS_COSTO'!$D$4:$D$9,MATCH($F398,'CAT_CENTROS_COSTO'!$A$4:$A$9,0)),"(sin catálogo)"))</f>
        <v/>
      </c>
      <c r="V398" s="3">
        <f>IF($F398="","",IFERROR(INDEX('CAT_CENTROS_COSTO'!$F$4:$F$9,MATCH($F398,'CAT_CENTROS_COSTO'!$A$4:$A$9,0)),"(sin catálogo)"))</f>
        <v/>
      </c>
      <c r="W398" s="3">
        <f>IF($G398="","",IFERROR(INDEX('CAT_PUESTOS'!$B$4:$B$8,MATCH($G398,'CAT_PUESTOS'!$A$4:$A$8,0)),"(sin catálogo)"))</f>
        <v/>
      </c>
      <c r="X398" s="3">
        <f>IF($H398="","",IFERROR(INDEX('CAT_ACTIVIDADES'!$B$4:$B$8,MATCH($H398,'CAT_ACTIVIDADES'!$A$4:$A$8,0)),"(sin catálogo)"))</f>
        <v/>
      </c>
      <c r="Y398" s="12">
        <f>IF($J398="","",TODAY()-$J398)</f>
        <v/>
      </c>
      <c r="Z398" s="3">
        <f>IF($Y398="","",IF($Y398&lt;0,"FUTURO",IF($Y398&gt;p_dias_backlog_max,"BACKLOG","MES CORRIENTE")))</f>
        <v/>
      </c>
      <c r="AA398" s="3">
        <f>IF($Y398="",FALSE,AND($Y398&gt;p_dias_backlog_min,$Y398&lt;=p_dias_backlog_max))</f>
        <v/>
      </c>
      <c r="AB398" s="6" t="n"/>
      <c r="AC398" s="3">
        <f>IF($AB398="","",IFERROR(INDEX('ASIGNACIONES'!$F$4:$F$339,MATCH($O398&amp;"|"&amp;$R398&amp;"|"&amp;$AB398,'ASIGNACIONES'!$I$4:$I$339,0)),""))</f>
        <v/>
      </c>
      <c r="AD398" s="13">
        <f>IF($AB398="","",SUMIFS('ORDENES'!$M$4:$M$1203,'ORDENES'!$AB$4:$AB$1203,$AB398,'ORDENES'!$O$4:$O$1203,$O398,'ORDENES'!$R$4:$R$1203,$R398))</f>
        <v/>
      </c>
      <c r="AE398" s="13">
        <f>IF($AD398="","",p_factor_productividad*IFERROR(INDEX('ASIGNACIONES'!$H$4:$H$339,MATCH($O398&amp;"|"&amp;$R398&amp;"|"&amp;$AB398,'ASIGNACIONES'!$I$4:$I$339,0)),0)-$AD398)</f>
        <v/>
      </c>
      <c r="AF398" s="10">
        <f>IF($A398="","",IFERROR(INDEX('2_IMPORTAR_EJECUCION'!$F$9:$F$1208,MATCH($AN398,'2_IMPORTAR_EJECUCION'!$J$9:$J$1208,0)),0))</f>
        <v/>
      </c>
      <c r="AG398" s="10">
        <f>IF($A398="","",MAX(0,IFERROR(INDEX('2_IMPORTAR_EJECUCION'!$H$9:$H$1208,MATCH($AN398,'2_IMPORTAR_EJECUCION'!$J$9:$J$1208,0)),0)-$AF398))</f>
        <v/>
      </c>
      <c r="AH398" s="10">
        <f>IF($A398="","",$AF398+$AG398)</f>
        <v/>
      </c>
      <c r="AI398" s="6" t="n"/>
      <c r="AJ398" s="6" t="n"/>
      <c r="AK398" s="6" t="n"/>
      <c r="AL398" s="3">
        <f>IF($AK398="","",HYPERLINK(p_ruta_base_checklists&amp;$AK398,"abrir"))</f>
        <v/>
      </c>
      <c r="AM398" s="6" t="n"/>
      <c r="AN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1" t="n"/>
      <c r="K399" s="3" t="n"/>
      <c r="L399" s="10" t="n"/>
      <c r="M399" s="3">
        <f>IF($A399="","",IFERROR(INDEX('AJUSTES'!$B$4:$B$303,MATCH($AN399,'AJUSTES'!$A$4:$A$303,0)),IF($K399="","",$K399)))</f>
        <v/>
      </c>
      <c r="N399" s="3">
        <f>IF($A399="","",IFERROR(INDEX('CAT_ESTADOS_ERP'!$B$4:$B$7,MATCH(IFERROR(INDEX('2_IMPORTAR_EJECUCION'!$C$9:$C$1208,MATCH($AN399,'2_IMPORTAR_EJECUCION'!$J$9:$J$1208,0)),""),'CAT_ESTADOS_ERP'!$A$4:$A$7,0)),"Pendiente"))</f>
        <v/>
      </c>
      <c r="O399" s="3">
        <f>IF($J399="","",YEAR($J399+4-WEEKDAY($J399,2))&amp;"-S"&amp;TEXT(_xlfn.ISOWEEKNUM($J399),"00"))</f>
        <v/>
      </c>
      <c r="P399" s="3">
        <f>IF($J399="","",YEAR($J399))</f>
        <v/>
      </c>
      <c r="Q399" s="3">
        <f>IF($J399="","",MONTH($J399))</f>
        <v/>
      </c>
      <c r="R399" s="3">
        <f>IF($J399="","",INDEX(lista_dias,WEEKDAY($J399,2)))</f>
        <v/>
      </c>
      <c r="S399" s="3">
        <f>IF($I399="","",IFERROR(INDEX('CAT_TIPOS_OT'!$C$4:$C$7,MATCH($I399,'CAT_TIPOS_OT'!$A$4:$A$7,0)),"sin_clasificar"))</f>
        <v/>
      </c>
      <c r="T399" s="3">
        <f>IF($F399="","",IFERROR(INDEX('CAT_CENTROS_COSTO'!$E$4:$E$9,MATCH($F399,'CAT_CENTROS_COSTO'!$A$4:$A$9,0)),"(sin catálogo)"))</f>
        <v/>
      </c>
      <c r="U399" s="3">
        <f>IF($F399="","",IFERROR(INDEX('CAT_CENTROS_COSTO'!$D$4:$D$9,MATCH($F399,'CAT_CENTROS_COSTO'!$A$4:$A$9,0)),"(sin catálogo)"))</f>
        <v/>
      </c>
      <c r="V399" s="3">
        <f>IF($F399="","",IFERROR(INDEX('CAT_CENTROS_COSTO'!$F$4:$F$9,MATCH($F399,'CAT_CENTROS_COSTO'!$A$4:$A$9,0)),"(sin catálogo)"))</f>
        <v/>
      </c>
      <c r="W399" s="3">
        <f>IF($G399="","",IFERROR(INDEX('CAT_PUESTOS'!$B$4:$B$8,MATCH($G399,'CAT_PUESTOS'!$A$4:$A$8,0)),"(sin catálogo)"))</f>
        <v/>
      </c>
      <c r="X399" s="3">
        <f>IF($H399="","",IFERROR(INDEX('CAT_ACTIVIDADES'!$B$4:$B$8,MATCH($H399,'CAT_ACTIVIDADES'!$A$4:$A$8,0)),"(sin catálogo)"))</f>
        <v/>
      </c>
      <c r="Y399" s="12">
        <f>IF($J399="","",TODAY()-$J399)</f>
        <v/>
      </c>
      <c r="Z399" s="3">
        <f>IF($Y399="","",IF($Y399&lt;0,"FUTURO",IF($Y399&gt;p_dias_backlog_max,"BACKLOG","MES CORRIENTE")))</f>
        <v/>
      </c>
      <c r="AA399" s="3">
        <f>IF($Y399="",FALSE,AND($Y399&gt;p_dias_backlog_min,$Y399&lt;=p_dias_backlog_max))</f>
        <v/>
      </c>
      <c r="AB399" s="6" t="n"/>
      <c r="AC399" s="3">
        <f>IF($AB399="","",IFERROR(INDEX('ASIGNACIONES'!$F$4:$F$339,MATCH($O399&amp;"|"&amp;$R399&amp;"|"&amp;$AB399,'ASIGNACIONES'!$I$4:$I$339,0)),""))</f>
        <v/>
      </c>
      <c r="AD399" s="13">
        <f>IF($AB399="","",SUMIFS('ORDENES'!$M$4:$M$1203,'ORDENES'!$AB$4:$AB$1203,$AB399,'ORDENES'!$O$4:$O$1203,$O399,'ORDENES'!$R$4:$R$1203,$R399))</f>
        <v/>
      </c>
      <c r="AE399" s="13">
        <f>IF($AD399="","",p_factor_productividad*IFERROR(INDEX('ASIGNACIONES'!$H$4:$H$339,MATCH($O399&amp;"|"&amp;$R399&amp;"|"&amp;$AB399,'ASIGNACIONES'!$I$4:$I$339,0)),0)-$AD399)</f>
        <v/>
      </c>
      <c r="AF399" s="10">
        <f>IF($A399="","",IFERROR(INDEX('2_IMPORTAR_EJECUCION'!$F$9:$F$1208,MATCH($AN399,'2_IMPORTAR_EJECUCION'!$J$9:$J$1208,0)),0))</f>
        <v/>
      </c>
      <c r="AG399" s="10">
        <f>IF($A399="","",MAX(0,IFERROR(INDEX('2_IMPORTAR_EJECUCION'!$H$9:$H$1208,MATCH($AN399,'2_IMPORTAR_EJECUCION'!$J$9:$J$1208,0)),0)-$AF399))</f>
        <v/>
      </c>
      <c r="AH399" s="10">
        <f>IF($A399="","",$AF399+$AG399)</f>
        <v/>
      </c>
      <c r="AI399" s="6" t="n"/>
      <c r="AJ399" s="6" t="n"/>
      <c r="AK399" s="6" t="n"/>
      <c r="AL399" s="3">
        <f>IF($AK399="","",HYPERLINK(p_ruta_base_checklists&amp;$AK399,"abrir"))</f>
        <v/>
      </c>
      <c r="AM399" s="6" t="n"/>
      <c r="AN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1" t="n"/>
      <c r="K400" s="3" t="n"/>
      <c r="L400" s="10" t="n"/>
      <c r="M400" s="3">
        <f>IF($A400="","",IFERROR(INDEX('AJUSTES'!$B$4:$B$303,MATCH($AN400,'AJUSTES'!$A$4:$A$303,0)),IF($K400="","",$K400)))</f>
        <v/>
      </c>
      <c r="N400" s="3">
        <f>IF($A400="","",IFERROR(INDEX('CAT_ESTADOS_ERP'!$B$4:$B$7,MATCH(IFERROR(INDEX('2_IMPORTAR_EJECUCION'!$C$9:$C$1208,MATCH($AN400,'2_IMPORTAR_EJECUCION'!$J$9:$J$1208,0)),""),'CAT_ESTADOS_ERP'!$A$4:$A$7,0)),"Pendiente"))</f>
        <v/>
      </c>
      <c r="O400" s="3">
        <f>IF($J400="","",YEAR($J400+4-WEEKDAY($J400,2))&amp;"-S"&amp;TEXT(_xlfn.ISOWEEKNUM($J400),"00"))</f>
        <v/>
      </c>
      <c r="P400" s="3">
        <f>IF($J400="","",YEAR($J400))</f>
        <v/>
      </c>
      <c r="Q400" s="3">
        <f>IF($J400="","",MONTH($J400))</f>
        <v/>
      </c>
      <c r="R400" s="3">
        <f>IF($J400="","",INDEX(lista_dias,WEEKDAY($J400,2)))</f>
        <v/>
      </c>
      <c r="S400" s="3">
        <f>IF($I400="","",IFERROR(INDEX('CAT_TIPOS_OT'!$C$4:$C$7,MATCH($I400,'CAT_TIPOS_OT'!$A$4:$A$7,0)),"sin_clasificar"))</f>
        <v/>
      </c>
      <c r="T400" s="3">
        <f>IF($F400="","",IFERROR(INDEX('CAT_CENTROS_COSTO'!$E$4:$E$9,MATCH($F400,'CAT_CENTROS_COSTO'!$A$4:$A$9,0)),"(sin catálogo)"))</f>
        <v/>
      </c>
      <c r="U400" s="3">
        <f>IF($F400="","",IFERROR(INDEX('CAT_CENTROS_COSTO'!$D$4:$D$9,MATCH($F400,'CAT_CENTROS_COSTO'!$A$4:$A$9,0)),"(sin catálogo)"))</f>
        <v/>
      </c>
      <c r="V400" s="3">
        <f>IF($F400="","",IFERROR(INDEX('CAT_CENTROS_COSTO'!$F$4:$F$9,MATCH($F400,'CAT_CENTROS_COSTO'!$A$4:$A$9,0)),"(sin catálogo)"))</f>
        <v/>
      </c>
      <c r="W400" s="3">
        <f>IF($G400="","",IFERROR(INDEX('CAT_PUESTOS'!$B$4:$B$8,MATCH($G400,'CAT_PUESTOS'!$A$4:$A$8,0)),"(sin catálogo)"))</f>
        <v/>
      </c>
      <c r="X400" s="3">
        <f>IF($H400="","",IFERROR(INDEX('CAT_ACTIVIDADES'!$B$4:$B$8,MATCH($H400,'CAT_ACTIVIDADES'!$A$4:$A$8,0)),"(sin catálogo)"))</f>
        <v/>
      </c>
      <c r="Y400" s="12">
        <f>IF($J400="","",TODAY()-$J400)</f>
        <v/>
      </c>
      <c r="Z400" s="3">
        <f>IF($Y400="","",IF($Y400&lt;0,"FUTURO",IF($Y400&gt;p_dias_backlog_max,"BACKLOG","MES CORRIENTE")))</f>
        <v/>
      </c>
      <c r="AA400" s="3">
        <f>IF($Y400="",FALSE,AND($Y400&gt;p_dias_backlog_min,$Y400&lt;=p_dias_backlog_max))</f>
        <v/>
      </c>
      <c r="AB400" s="6" t="n"/>
      <c r="AC400" s="3">
        <f>IF($AB400="","",IFERROR(INDEX('ASIGNACIONES'!$F$4:$F$339,MATCH($O400&amp;"|"&amp;$R400&amp;"|"&amp;$AB400,'ASIGNACIONES'!$I$4:$I$339,0)),""))</f>
        <v/>
      </c>
      <c r="AD400" s="13">
        <f>IF($AB400="","",SUMIFS('ORDENES'!$M$4:$M$1203,'ORDENES'!$AB$4:$AB$1203,$AB400,'ORDENES'!$O$4:$O$1203,$O400,'ORDENES'!$R$4:$R$1203,$R400))</f>
        <v/>
      </c>
      <c r="AE400" s="13">
        <f>IF($AD400="","",p_factor_productividad*IFERROR(INDEX('ASIGNACIONES'!$H$4:$H$339,MATCH($O400&amp;"|"&amp;$R400&amp;"|"&amp;$AB400,'ASIGNACIONES'!$I$4:$I$339,0)),0)-$AD400)</f>
        <v/>
      </c>
      <c r="AF400" s="10">
        <f>IF($A400="","",IFERROR(INDEX('2_IMPORTAR_EJECUCION'!$F$9:$F$1208,MATCH($AN400,'2_IMPORTAR_EJECUCION'!$J$9:$J$1208,0)),0))</f>
        <v/>
      </c>
      <c r="AG400" s="10">
        <f>IF($A400="","",MAX(0,IFERROR(INDEX('2_IMPORTAR_EJECUCION'!$H$9:$H$1208,MATCH($AN400,'2_IMPORTAR_EJECUCION'!$J$9:$J$1208,0)),0)-$AF400))</f>
        <v/>
      </c>
      <c r="AH400" s="10">
        <f>IF($A400="","",$AF400+$AG400)</f>
        <v/>
      </c>
      <c r="AI400" s="6" t="n"/>
      <c r="AJ400" s="6" t="n"/>
      <c r="AK400" s="6" t="n"/>
      <c r="AL400" s="3">
        <f>IF($AK400="","",HYPERLINK(p_ruta_base_checklists&amp;$AK400,"abrir"))</f>
        <v/>
      </c>
      <c r="AM400" s="6" t="n"/>
      <c r="AN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1" t="n"/>
      <c r="K401" s="3" t="n"/>
      <c r="L401" s="10" t="n"/>
      <c r="M401" s="3">
        <f>IF($A401="","",IFERROR(INDEX('AJUSTES'!$B$4:$B$303,MATCH($AN401,'AJUSTES'!$A$4:$A$303,0)),IF($K401="","",$K401)))</f>
        <v/>
      </c>
      <c r="N401" s="3">
        <f>IF($A401="","",IFERROR(INDEX('CAT_ESTADOS_ERP'!$B$4:$B$7,MATCH(IFERROR(INDEX('2_IMPORTAR_EJECUCION'!$C$9:$C$1208,MATCH($AN401,'2_IMPORTAR_EJECUCION'!$J$9:$J$1208,0)),""),'CAT_ESTADOS_ERP'!$A$4:$A$7,0)),"Pendiente"))</f>
        <v/>
      </c>
      <c r="O401" s="3">
        <f>IF($J401="","",YEAR($J401+4-WEEKDAY($J401,2))&amp;"-S"&amp;TEXT(_xlfn.ISOWEEKNUM($J401),"00"))</f>
        <v/>
      </c>
      <c r="P401" s="3">
        <f>IF($J401="","",YEAR($J401))</f>
        <v/>
      </c>
      <c r="Q401" s="3">
        <f>IF($J401="","",MONTH($J401))</f>
        <v/>
      </c>
      <c r="R401" s="3">
        <f>IF($J401="","",INDEX(lista_dias,WEEKDAY($J401,2)))</f>
        <v/>
      </c>
      <c r="S401" s="3">
        <f>IF($I401="","",IFERROR(INDEX('CAT_TIPOS_OT'!$C$4:$C$7,MATCH($I401,'CAT_TIPOS_OT'!$A$4:$A$7,0)),"sin_clasificar"))</f>
        <v/>
      </c>
      <c r="T401" s="3">
        <f>IF($F401="","",IFERROR(INDEX('CAT_CENTROS_COSTO'!$E$4:$E$9,MATCH($F401,'CAT_CENTROS_COSTO'!$A$4:$A$9,0)),"(sin catálogo)"))</f>
        <v/>
      </c>
      <c r="U401" s="3">
        <f>IF($F401="","",IFERROR(INDEX('CAT_CENTROS_COSTO'!$D$4:$D$9,MATCH($F401,'CAT_CENTROS_COSTO'!$A$4:$A$9,0)),"(sin catálogo)"))</f>
        <v/>
      </c>
      <c r="V401" s="3">
        <f>IF($F401="","",IFERROR(INDEX('CAT_CENTROS_COSTO'!$F$4:$F$9,MATCH($F401,'CAT_CENTROS_COSTO'!$A$4:$A$9,0)),"(sin catálogo)"))</f>
        <v/>
      </c>
      <c r="W401" s="3">
        <f>IF($G401="","",IFERROR(INDEX('CAT_PUESTOS'!$B$4:$B$8,MATCH($G401,'CAT_PUESTOS'!$A$4:$A$8,0)),"(sin catálogo)"))</f>
        <v/>
      </c>
      <c r="X401" s="3">
        <f>IF($H401="","",IFERROR(INDEX('CAT_ACTIVIDADES'!$B$4:$B$8,MATCH($H401,'CAT_ACTIVIDADES'!$A$4:$A$8,0)),"(sin catálogo)"))</f>
        <v/>
      </c>
      <c r="Y401" s="12">
        <f>IF($J401="","",TODAY()-$J401)</f>
        <v/>
      </c>
      <c r="Z401" s="3">
        <f>IF($Y401="","",IF($Y401&lt;0,"FUTURO",IF($Y401&gt;p_dias_backlog_max,"BACKLOG","MES CORRIENTE")))</f>
        <v/>
      </c>
      <c r="AA401" s="3">
        <f>IF($Y401="",FALSE,AND($Y401&gt;p_dias_backlog_min,$Y401&lt;=p_dias_backlog_max))</f>
        <v/>
      </c>
      <c r="AB401" s="6" t="n"/>
      <c r="AC401" s="3">
        <f>IF($AB401="","",IFERROR(INDEX('ASIGNACIONES'!$F$4:$F$339,MATCH($O401&amp;"|"&amp;$R401&amp;"|"&amp;$AB401,'ASIGNACIONES'!$I$4:$I$339,0)),""))</f>
        <v/>
      </c>
      <c r="AD401" s="13">
        <f>IF($AB401="","",SUMIFS('ORDENES'!$M$4:$M$1203,'ORDENES'!$AB$4:$AB$1203,$AB401,'ORDENES'!$O$4:$O$1203,$O401,'ORDENES'!$R$4:$R$1203,$R401))</f>
        <v/>
      </c>
      <c r="AE401" s="13">
        <f>IF($AD401="","",p_factor_productividad*IFERROR(INDEX('ASIGNACIONES'!$H$4:$H$339,MATCH($O401&amp;"|"&amp;$R401&amp;"|"&amp;$AB401,'ASIGNACIONES'!$I$4:$I$339,0)),0)-$AD401)</f>
        <v/>
      </c>
      <c r="AF401" s="10">
        <f>IF($A401="","",IFERROR(INDEX('2_IMPORTAR_EJECUCION'!$F$9:$F$1208,MATCH($AN401,'2_IMPORTAR_EJECUCION'!$J$9:$J$1208,0)),0))</f>
        <v/>
      </c>
      <c r="AG401" s="10">
        <f>IF($A401="","",MAX(0,IFERROR(INDEX('2_IMPORTAR_EJECUCION'!$H$9:$H$1208,MATCH($AN401,'2_IMPORTAR_EJECUCION'!$J$9:$J$1208,0)),0)-$AF401))</f>
        <v/>
      </c>
      <c r="AH401" s="10">
        <f>IF($A401="","",$AF401+$AG401)</f>
        <v/>
      </c>
      <c r="AI401" s="6" t="n"/>
      <c r="AJ401" s="6" t="n"/>
      <c r="AK401" s="6" t="n"/>
      <c r="AL401" s="3">
        <f>IF($AK401="","",HYPERLINK(p_ruta_base_checklists&amp;$AK401,"abrir"))</f>
        <v/>
      </c>
      <c r="AM401" s="6" t="n"/>
      <c r="AN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1" t="n"/>
      <c r="K402" s="3" t="n"/>
      <c r="L402" s="10" t="n"/>
      <c r="M402" s="3">
        <f>IF($A402="","",IFERROR(INDEX('AJUSTES'!$B$4:$B$303,MATCH($AN402,'AJUSTES'!$A$4:$A$303,0)),IF($K402="","",$K402)))</f>
        <v/>
      </c>
      <c r="N402" s="3">
        <f>IF($A402="","",IFERROR(INDEX('CAT_ESTADOS_ERP'!$B$4:$B$7,MATCH(IFERROR(INDEX('2_IMPORTAR_EJECUCION'!$C$9:$C$1208,MATCH($AN402,'2_IMPORTAR_EJECUCION'!$J$9:$J$1208,0)),""),'CAT_ESTADOS_ERP'!$A$4:$A$7,0)),"Pendiente"))</f>
        <v/>
      </c>
      <c r="O402" s="3">
        <f>IF($J402="","",YEAR($J402+4-WEEKDAY($J402,2))&amp;"-S"&amp;TEXT(_xlfn.ISOWEEKNUM($J402),"00"))</f>
        <v/>
      </c>
      <c r="P402" s="3">
        <f>IF($J402="","",YEAR($J402))</f>
        <v/>
      </c>
      <c r="Q402" s="3">
        <f>IF($J402="","",MONTH($J402))</f>
        <v/>
      </c>
      <c r="R402" s="3">
        <f>IF($J402="","",INDEX(lista_dias,WEEKDAY($J402,2)))</f>
        <v/>
      </c>
      <c r="S402" s="3">
        <f>IF($I402="","",IFERROR(INDEX('CAT_TIPOS_OT'!$C$4:$C$7,MATCH($I402,'CAT_TIPOS_OT'!$A$4:$A$7,0)),"sin_clasificar"))</f>
        <v/>
      </c>
      <c r="T402" s="3">
        <f>IF($F402="","",IFERROR(INDEX('CAT_CENTROS_COSTO'!$E$4:$E$9,MATCH($F402,'CAT_CENTROS_COSTO'!$A$4:$A$9,0)),"(sin catálogo)"))</f>
        <v/>
      </c>
      <c r="U402" s="3">
        <f>IF($F402="","",IFERROR(INDEX('CAT_CENTROS_COSTO'!$D$4:$D$9,MATCH($F402,'CAT_CENTROS_COSTO'!$A$4:$A$9,0)),"(sin catálogo)"))</f>
        <v/>
      </c>
      <c r="V402" s="3">
        <f>IF($F402="","",IFERROR(INDEX('CAT_CENTROS_COSTO'!$F$4:$F$9,MATCH($F402,'CAT_CENTROS_COSTO'!$A$4:$A$9,0)),"(sin catálogo)"))</f>
        <v/>
      </c>
      <c r="W402" s="3">
        <f>IF($G402="","",IFERROR(INDEX('CAT_PUESTOS'!$B$4:$B$8,MATCH($G402,'CAT_PUESTOS'!$A$4:$A$8,0)),"(sin catálogo)"))</f>
        <v/>
      </c>
      <c r="X402" s="3">
        <f>IF($H402="","",IFERROR(INDEX('CAT_ACTIVIDADES'!$B$4:$B$8,MATCH($H402,'CAT_ACTIVIDADES'!$A$4:$A$8,0)),"(sin catálogo)"))</f>
        <v/>
      </c>
      <c r="Y402" s="12">
        <f>IF($J402="","",TODAY()-$J402)</f>
        <v/>
      </c>
      <c r="Z402" s="3">
        <f>IF($Y402="","",IF($Y402&lt;0,"FUTURO",IF($Y402&gt;p_dias_backlog_max,"BACKLOG","MES CORRIENTE")))</f>
        <v/>
      </c>
      <c r="AA402" s="3">
        <f>IF($Y402="",FALSE,AND($Y402&gt;p_dias_backlog_min,$Y402&lt;=p_dias_backlog_max))</f>
        <v/>
      </c>
      <c r="AB402" s="6" t="n"/>
      <c r="AC402" s="3">
        <f>IF($AB402="","",IFERROR(INDEX('ASIGNACIONES'!$F$4:$F$339,MATCH($O402&amp;"|"&amp;$R402&amp;"|"&amp;$AB402,'ASIGNACIONES'!$I$4:$I$339,0)),""))</f>
        <v/>
      </c>
      <c r="AD402" s="13">
        <f>IF($AB402="","",SUMIFS('ORDENES'!$M$4:$M$1203,'ORDENES'!$AB$4:$AB$1203,$AB402,'ORDENES'!$O$4:$O$1203,$O402,'ORDENES'!$R$4:$R$1203,$R402))</f>
        <v/>
      </c>
      <c r="AE402" s="13">
        <f>IF($AD402="","",p_factor_productividad*IFERROR(INDEX('ASIGNACIONES'!$H$4:$H$339,MATCH($O402&amp;"|"&amp;$R402&amp;"|"&amp;$AB402,'ASIGNACIONES'!$I$4:$I$339,0)),0)-$AD402)</f>
        <v/>
      </c>
      <c r="AF402" s="10">
        <f>IF($A402="","",IFERROR(INDEX('2_IMPORTAR_EJECUCION'!$F$9:$F$1208,MATCH($AN402,'2_IMPORTAR_EJECUCION'!$J$9:$J$1208,0)),0))</f>
        <v/>
      </c>
      <c r="AG402" s="10">
        <f>IF($A402="","",MAX(0,IFERROR(INDEX('2_IMPORTAR_EJECUCION'!$H$9:$H$1208,MATCH($AN402,'2_IMPORTAR_EJECUCION'!$J$9:$J$1208,0)),0)-$AF402))</f>
        <v/>
      </c>
      <c r="AH402" s="10">
        <f>IF($A402="","",$AF402+$AG402)</f>
        <v/>
      </c>
      <c r="AI402" s="6" t="n"/>
      <c r="AJ402" s="6" t="n"/>
      <c r="AK402" s="6" t="n"/>
      <c r="AL402" s="3">
        <f>IF($AK402="","",HYPERLINK(p_ruta_base_checklists&amp;$AK402,"abrir"))</f>
        <v/>
      </c>
      <c r="AM402" s="6" t="n"/>
      <c r="AN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1" t="n"/>
      <c r="K403" s="3" t="n"/>
      <c r="L403" s="10" t="n"/>
      <c r="M403" s="3">
        <f>IF($A403="","",IFERROR(INDEX('AJUSTES'!$B$4:$B$303,MATCH($AN403,'AJUSTES'!$A$4:$A$303,0)),IF($K403="","",$K403)))</f>
        <v/>
      </c>
      <c r="N403" s="3">
        <f>IF($A403="","",IFERROR(INDEX('CAT_ESTADOS_ERP'!$B$4:$B$7,MATCH(IFERROR(INDEX('2_IMPORTAR_EJECUCION'!$C$9:$C$1208,MATCH($AN403,'2_IMPORTAR_EJECUCION'!$J$9:$J$1208,0)),""),'CAT_ESTADOS_ERP'!$A$4:$A$7,0)),"Pendiente"))</f>
        <v/>
      </c>
      <c r="O403" s="3">
        <f>IF($J403="","",YEAR($J403+4-WEEKDAY($J403,2))&amp;"-S"&amp;TEXT(_xlfn.ISOWEEKNUM($J403),"00"))</f>
        <v/>
      </c>
      <c r="P403" s="3">
        <f>IF($J403="","",YEAR($J403))</f>
        <v/>
      </c>
      <c r="Q403" s="3">
        <f>IF($J403="","",MONTH($J403))</f>
        <v/>
      </c>
      <c r="R403" s="3">
        <f>IF($J403="","",INDEX(lista_dias,WEEKDAY($J403,2)))</f>
        <v/>
      </c>
      <c r="S403" s="3">
        <f>IF($I403="","",IFERROR(INDEX('CAT_TIPOS_OT'!$C$4:$C$7,MATCH($I403,'CAT_TIPOS_OT'!$A$4:$A$7,0)),"sin_clasificar"))</f>
        <v/>
      </c>
      <c r="T403" s="3">
        <f>IF($F403="","",IFERROR(INDEX('CAT_CENTROS_COSTO'!$E$4:$E$9,MATCH($F403,'CAT_CENTROS_COSTO'!$A$4:$A$9,0)),"(sin catálogo)"))</f>
        <v/>
      </c>
      <c r="U403" s="3">
        <f>IF($F403="","",IFERROR(INDEX('CAT_CENTROS_COSTO'!$D$4:$D$9,MATCH($F403,'CAT_CENTROS_COSTO'!$A$4:$A$9,0)),"(sin catálogo)"))</f>
        <v/>
      </c>
      <c r="V403" s="3">
        <f>IF($F403="","",IFERROR(INDEX('CAT_CENTROS_COSTO'!$F$4:$F$9,MATCH($F403,'CAT_CENTROS_COSTO'!$A$4:$A$9,0)),"(sin catálogo)"))</f>
        <v/>
      </c>
      <c r="W403" s="3">
        <f>IF($G403="","",IFERROR(INDEX('CAT_PUESTOS'!$B$4:$B$8,MATCH($G403,'CAT_PUESTOS'!$A$4:$A$8,0)),"(sin catálogo)"))</f>
        <v/>
      </c>
      <c r="X403" s="3">
        <f>IF($H403="","",IFERROR(INDEX('CAT_ACTIVIDADES'!$B$4:$B$8,MATCH($H403,'CAT_ACTIVIDADES'!$A$4:$A$8,0)),"(sin catálogo)"))</f>
        <v/>
      </c>
      <c r="Y403" s="12">
        <f>IF($J403="","",TODAY()-$J403)</f>
        <v/>
      </c>
      <c r="Z403" s="3">
        <f>IF($Y403="","",IF($Y403&lt;0,"FUTURO",IF($Y403&gt;p_dias_backlog_max,"BACKLOG","MES CORRIENTE")))</f>
        <v/>
      </c>
      <c r="AA403" s="3">
        <f>IF($Y403="",FALSE,AND($Y403&gt;p_dias_backlog_min,$Y403&lt;=p_dias_backlog_max))</f>
        <v/>
      </c>
      <c r="AB403" s="6" t="n"/>
      <c r="AC403" s="3">
        <f>IF($AB403="","",IFERROR(INDEX('ASIGNACIONES'!$F$4:$F$339,MATCH($O403&amp;"|"&amp;$R403&amp;"|"&amp;$AB403,'ASIGNACIONES'!$I$4:$I$339,0)),""))</f>
        <v/>
      </c>
      <c r="AD403" s="13">
        <f>IF($AB403="","",SUMIFS('ORDENES'!$M$4:$M$1203,'ORDENES'!$AB$4:$AB$1203,$AB403,'ORDENES'!$O$4:$O$1203,$O403,'ORDENES'!$R$4:$R$1203,$R403))</f>
        <v/>
      </c>
      <c r="AE403" s="13">
        <f>IF($AD403="","",p_factor_productividad*IFERROR(INDEX('ASIGNACIONES'!$H$4:$H$339,MATCH($O403&amp;"|"&amp;$R403&amp;"|"&amp;$AB403,'ASIGNACIONES'!$I$4:$I$339,0)),0)-$AD403)</f>
        <v/>
      </c>
      <c r="AF403" s="10">
        <f>IF($A403="","",IFERROR(INDEX('2_IMPORTAR_EJECUCION'!$F$9:$F$1208,MATCH($AN403,'2_IMPORTAR_EJECUCION'!$J$9:$J$1208,0)),0))</f>
        <v/>
      </c>
      <c r="AG403" s="10">
        <f>IF($A403="","",MAX(0,IFERROR(INDEX('2_IMPORTAR_EJECUCION'!$H$9:$H$1208,MATCH($AN403,'2_IMPORTAR_EJECUCION'!$J$9:$J$1208,0)),0)-$AF403))</f>
        <v/>
      </c>
      <c r="AH403" s="10">
        <f>IF($A403="","",$AF403+$AG403)</f>
        <v/>
      </c>
      <c r="AI403" s="6" t="n"/>
      <c r="AJ403" s="6" t="n"/>
      <c r="AK403" s="6" t="n"/>
      <c r="AL403" s="3">
        <f>IF($AK403="","",HYPERLINK(p_ruta_base_checklists&amp;$AK403,"abrir"))</f>
        <v/>
      </c>
      <c r="AM403" s="6" t="n"/>
      <c r="AN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1" t="n"/>
      <c r="K404" s="3" t="n"/>
      <c r="L404" s="10" t="n"/>
      <c r="M404" s="3">
        <f>IF($A404="","",IFERROR(INDEX('AJUSTES'!$B$4:$B$303,MATCH($AN404,'AJUSTES'!$A$4:$A$303,0)),IF($K404="","",$K404)))</f>
        <v/>
      </c>
      <c r="N404" s="3">
        <f>IF($A404="","",IFERROR(INDEX('CAT_ESTADOS_ERP'!$B$4:$B$7,MATCH(IFERROR(INDEX('2_IMPORTAR_EJECUCION'!$C$9:$C$1208,MATCH($AN404,'2_IMPORTAR_EJECUCION'!$J$9:$J$1208,0)),""),'CAT_ESTADOS_ERP'!$A$4:$A$7,0)),"Pendiente"))</f>
        <v/>
      </c>
      <c r="O404" s="3">
        <f>IF($J404="","",YEAR($J404+4-WEEKDAY($J404,2))&amp;"-S"&amp;TEXT(_xlfn.ISOWEEKNUM($J404),"00"))</f>
        <v/>
      </c>
      <c r="P404" s="3">
        <f>IF($J404="","",YEAR($J404))</f>
        <v/>
      </c>
      <c r="Q404" s="3">
        <f>IF($J404="","",MONTH($J404))</f>
        <v/>
      </c>
      <c r="R404" s="3">
        <f>IF($J404="","",INDEX(lista_dias,WEEKDAY($J404,2)))</f>
        <v/>
      </c>
      <c r="S404" s="3">
        <f>IF($I404="","",IFERROR(INDEX('CAT_TIPOS_OT'!$C$4:$C$7,MATCH($I404,'CAT_TIPOS_OT'!$A$4:$A$7,0)),"sin_clasificar"))</f>
        <v/>
      </c>
      <c r="T404" s="3">
        <f>IF($F404="","",IFERROR(INDEX('CAT_CENTROS_COSTO'!$E$4:$E$9,MATCH($F404,'CAT_CENTROS_COSTO'!$A$4:$A$9,0)),"(sin catálogo)"))</f>
        <v/>
      </c>
      <c r="U404" s="3">
        <f>IF($F404="","",IFERROR(INDEX('CAT_CENTROS_COSTO'!$D$4:$D$9,MATCH($F404,'CAT_CENTROS_COSTO'!$A$4:$A$9,0)),"(sin catálogo)"))</f>
        <v/>
      </c>
      <c r="V404" s="3">
        <f>IF($F404="","",IFERROR(INDEX('CAT_CENTROS_COSTO'!$F$4:$F$9,MATCH($F404,'CAT_CENTROS_COSTO'!$A$4:$A$9,0)),"(sin catálogo)"))</f>
        <v/>
      </c>
      <c r="W404" s="3">
        <f>IF($G404="","",IFERROR(INDEX('CAT_PUESTOS'!$B$4:$B$8,MATCH($G404,'CAT_PUESTOS'!$A$4:$A$8,0)),"(sin catálogo)"))</f>
        <v/>
      </c>
      <c r="X404" s="3">
        <f>IF($H404="","",IFERROR(INDEX('CAT_ACTIVIDADES'!$B$4:$B$8,MATCH($H404,'CAT_ACTIVIDADES'!$A$4:$A$8,0)),"(sin catálogo)"))</f>
        <v/>
      </c>
      <c r="Y404" s="12">
        <f>IF($J404="","",TODAY()-$J404)</f>
        <v/>
      </c>
      <c r="Z404" s="3">
        <f>IF($Y404="","",IF($Y404&lt;0,"FUTURO",IF($Y404&gt;p_dias_backlog_max,"BACKLOG","MES CORRIENTE")))</f>
        <v/>
      </c>
      <c r="AA404" s="3">
        <f>IF($Y404="",FALSE,AND($Y404&gt;p_dias_backlog_min,$Y404&lt;=p_dias_backlog_max))</f>
        <v/>
      </c>
      <c r="AB404" s="6" t="n"/>
      <c r="AC404" s="3">
        <f>IF($AB404="","",IFERROR(INDEX('ASIGNACIONES'!$F$4:$F$339,MATCH($O404&amp;"|"&amp;$R404&amp;"|"&amp;$AB404,'ASIGNACIONES'!$I$4:$I$339,0)),""))</f>
        <v/>
      </c>
      <c r="AD404" s="13">
        <f>IF($AB404="","",SUMIFS('ORDENES'!$M$4:$M$1203,'ORDENES'!$AB$4:$AB$1203,$AB404,'ORDENES'!$O$4:$O$1203,$O404,'ORDENES'!$R$4:$R$1203,$R404))</f>
        <v/>
      </c>
      <c r="AE404" s="13">
        <f>IF($AD404="","",p_factor_productividad*IFERROR(INDEX('ASIGNACIONES'!$H$4:$H$339,MATCH($O404&amp;"|"&amp;$R404&amp;"|"&amp;$AB404,'ASIGNACIONES'!$I$4:$I$339,0)),0)-$AD404)</f>
        <v/>
      </c>
      <c r="AF404" s="10">
        <f>IF($A404="","",IFERROR(INDEX('2_IMPORTAR_EJECUCION'!$F$9:$F$1208,MATCH($AN404,'2_IMPORTAR_EJECUCION'!$J$9:$J$1208,0)),0))</f>
        <v/>
      </c>
      <c r="AG404" s="10">
        <f>IF($A404="","",MAX(0,IFERROR(INDEX('2_IMPORTAR_EJECUCION'!$H$9:$H$1208,MATCH($AN404,'2_IMPORTAR_EJECUCION'!$J$9:$J$1208,0)),0)-$AF404))</f>
        <v/>
      </c>
      <c r="AH404" s="10">
        <f>IF($A404="","",$AF404+$AG404)</f>
        <v/>
      </c>
      <c r="AI404" s="6" t="n"/>
      <c r="AJ404" s="6" t="n"/>
      <c r="AK404" s="6" t="n"/>
      <c r="AL404" s="3">
        <f>IF($AK404="","",HYPERLINK(p_ruta_base_checklists&amp;$AK404,"abrir"))</f>
        <v/>
      </c>
      <c r="AM404" s="6" t="n"/>
      <c r="AN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1" t="n"/>
      <c r="K405" s="3" t="n"/>
      <c r="L405" s="10" t="n"/>
      <c r="M405" s="3">
        <f>IF($A405="","",IFERROR(INDEX('AJUSTES'!$B$4:$B$303,MATCH($AN405,'AJUSTES'!$A$4:$A$303,0)),IF($K405="","",$K405)))</f>
        <v/>
      </c>
      <c r="N405" s="3">
        <f>IF($A405="","",IFERROR(INDEX('CAT_ESTADOS_ERP'!$B$4:$B$7,MATCH(IFERROR(INDEX('2_IMPORTAR_EJECUCION'!$C$9:$C$1208,MATCH($AN405,'2_IMPORTAR_EJECUCION'!$J$9:$J$1208,0)),""),'CAT_ESTADOS_ERP'!$A$4:$A$7,0)),"Pendiente"))</f>
        <v/>
      </c>
      <c r="O405" s="3">
        <f>IF($J405="","",YEAR($J405+4-WEEKDAY($J405,2))&amp;"-S"&amp;TEXT(_xlfn.ISOWEEKNUM($J405),"00"))</f>
        <v/>
      </c>
      <c r="P405" s="3">
        <f>IF($J405="","",YEAR($J405))</f>
        <v/>
      </c>
      <c r="Q405" s="3">
        <f>IF($J405="","",MONTH($J405))</f>
        <v/>
      </c>
      <c r="R405" s="3">
        <f>IF($J405="","",INDEX(lista_dias,WEEKDAY($J405,2)))</f>
        <v/>
      </c>
      <c r="S405" s="3">
        <f>IF($I405="","",IFERROR(INDEX('CAT_TIPOS_OT'!$C$4:$C$7,MATCH($I405,'CAT_TIPOS_OT'!$A$4:$A$7,0)),"sin_clasificar"))</f>
        <v/>
      </c>
      <c r="T405" s="3">
        <f>IF($F405="","",IFERROR(INDEX('CAT_CENTROS_COSTO'!$E$4:$E$9,MATCH($F405,'CAT_CENTROS_COSTO'!$A$4:$A$9,0)),"(sin catálogo)"))</f>
        <v/>
      </c>
      <c r="U405" s="3">
        <f>IF($F405="","",IFERROR(INDEX('CAT_CENTROS_COSTO'!$D$4:$D$9,MATCH($F405,'CAT_CENTROS_COSTO'!$A$4:$A$9,0)),"(sin catálogo)"))</f>
        <v/>
      </c>
      <c r="V405" s="3">
        <f>IF($F405="","",IFERROR(INDEX('CAT_CENTROS_COSTO'!$F$4:$F$9,MATCH($F405,'CAT_CENTROS_COSTO'!$A$4:$A$9,0)),"(sin catálogo)"))</f>
        <v/>
      </c>
      <c r="W405" s="3">
        <f>IF($G405="","",IFERROR(INDEX('CAT_PUESTOS'!$B$4:$B$8,MATCH($G405,'CAT_PUESTOS'!$A$4:$A$8,0)),"(sin catálogo)"))</f>
        <v/>
      </c>
      <c r="X405" s="3">
        <f>IF($H405="","",IFERROR(INDEX('CAT_ACTIVIDADES'!$B$4:$B$8,MATCH($H405,'CAT_ACTIVIDADES'!$A$4:$A$8,0)),"(sin catálogo)"))</f>
        <v/>
      </c>
      <c r="Y405" s="12">
        <f>IF($J405="","",TODAY()-$J405)</f>
        <v/>
      </c>
      <c r="Z405" s="3">
        <f>IF($Y405="","",IF($Y405&lt;0,"FUTURO",IF($Y405&gt;p_dias_backlog_max,"BACKLOG","MES CORRIENTE")))</f>
        <v/>
      </c>
      <c r="AA405" s="3">
        <f>IF($Y405="",FALSE,AND($Y405&gt;p_dias_backlog_min,$Y405&lt;=p_dias_backlog_max))</f>
        <v/>
      </c>
      <c r="AB405" s="6" t="n"/>
      <c r="AC405" s="3">
        <f>IF($AB405="","",IFERROR(INDEX('ASIGNACIONES'!$F$4:$F$339,MATCH($O405&amp;"|"&amp;$R405&amp;"|"&amp;$AB405,'ASIGNACIONES'!$I$4:$I$339,0)),""))</f>
        <v/>
      </c>
      <c r="AD405" s="13">
        <f>IF($AB405="","",SUMIFS('ORDENES'!$M$4:$M$1203,'ORDENES'!$AB$4:$AB$1203,$AB405,'ORDENES'!$O$4:$O$1203,$O405,'ORDENES'!$R$4:$R$1203,$R405))</f>
        <v/>
      </c>
      <c r="AE405" s="13">
        <f>IF($AD405="","",p_factor_productividad*IFERROR(INDEX('ASIGNACIONES'!$H$4:$H$339,MATCH($O405&amp;"|"&amp;$R405&amp;"|"&amp;$AB405,'ASIGNACIONES'!$I$4:$I$339,0)),0)-$AD405)</f>
        <v/>
      </c>
      <c r="AF405" s="10">
        <f>IF($A405="","",IFERROR(INDEX('2_IMPORTAR_EJECUCION'!$F$9:$F$1208,MATCH($AN405,'2_IMPORTAR_EJECUCION'!$J$9:$J$1208,0)),0))</f>
        <v/>
      </c>
      <c r="AG405" s="10">
        <f>IF($A405="","",MAX(0,IFERROR(INDEX('2_IMPORTAR_EJECUCION'!$H$9:$H$1208,MATCH($AN405,'2_IMPORTAR_EJECUCION'!$J$9:$J$1208,0)),0)-$AF405))</f>
        <v/>
      </c>
      <c r="AH405" s="10">
        <f>IF($A405="","",$AF405+$AG405)</f>
        <v/>
      </c>
      <c r="AI405" s="6" t="n"/>
      <c r="AJ405" s="6" t="n"/>
      <c r="AK405" s="6" t="n"/>
      <c r="AL405" s="3">
        <f>IF($AK405="","",HYPERLINK(p_ruta_base_checklists&amp;$AK405,"abrir"))</f>
        <v/>
      </c>
      <c r="AM405" s="6" t="n"/>
      <c r="AN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1" t="n"/>
      <c r="K406" s="3" t="n"/>
      <c r="L406" s="10" t="n"/>
      <c r="M406" s="3">
        <f>IF($A406="","",IFERROR(INDEX('AJUSTES'!$B$4:$B$303,MATCH($AN406,'AJUSTES'!$A$4:$A$303,0)),IF($K406="","",$K406)))</f>
        <v/>
      </c>
      <c r="N406" s="3">
        <f>IF($A406="","",IFERROR(INDEX('CAT_ESTADOS_ERP'!$B$4:$B$7,MATCH(IFERROR(INDEX('2_IMPORTAR_EJECUCION'!$C$9:$C$1208,MATCH($AN406,'2_IMPORTAR_EJECUCION'!$J$9:$J$1208,0)),""),'CAT_ESTADOS_ERP'!$A$4:$A$7,0)),"Pendiente"))</f>
        <v/>
      </c>
      <c r="O406" s="3">
        <f>IF($J406="","",YEAR($J406+4-WEEKDAY($J406,2))&amp;"-S"&amp;TEXT(_xlfn.ISOWEEKNUM($J406),"00"))</f>
        <v/>
      </c>
      <c r="P406" s="3">
        <f>IF($J406="","",YEAR($J406))</f>
        <v/>
      </c>
      <c r="Q406" s="3">
        <f>IF($J406="","",MONTH($J406))</f>
        <v/>
      </c>
      <c r="R406" s="3">
        <f>IF($J406="","",INDEX(lista_dias,WEEKDAY($J406,2)))</f>
        <v/>
      </c>
      <c r="S406" s="3">
        <f>IF($I406="","",IFERROR(INDEX('CAT_TIPOS_OT'!$C$4:$C$7,MATCH($I406,'CAT_TIPOS_OT'!$A$4:$A$7,0)),"sin_clasificar"))</f>
        <v/>
      </c>
      <c r="T406" s="3">
        <f>IF($F406="","",IFERROR(INDEX('CAT_CENTROS_COSTO'!$E$4:$E$9,MATCH($F406,'CAT_CENTROS_COSTO'!$A$4:$A$9,0)),"(sin catálogo)"))</f>
        <v/>
      </c>
      <c r="U406" s="3">
        <f>IF($F406="","",IFERROR(INDEX('CAT_CENTROS_COSTO'!$D$4:$D$9,MATCH($F406,'CAT_CENTROS_COSTO'!$A$4:$A$9,0)),"(sin catálogo)"))</f>
        <v/>
      </c>
      <c r="V406" s="3">
        <f>IF($F406="","",IFERROR(INDEX('CAT_CENTROS_COSTO'!$F$4:$F$9,MATCH($F406,'CAT_CENTROS_COSTO'!$A$4:$A$9,0)),"(sin catálogo)"))</f>
        <v/>
      </c>
      <c r="W406" s="3">
        <f>IF($G406="","",IFERROR(INDEX('CAT_PUESTOS'!$B$4:$B$8,MATCH($G406,'CAT_PUESTOS'!$A$4:$A$8,0)),"(sin catálogo)"))</f>
        <v/>
      </c>
      <c r="X406" s="3">
        <f>IF($H406="","",IFERROR(INDEX('CAT_ACTIVIDADES'!$B$4:$B$8,MATCH($H406,'CAT_ACTIVIDADES'!$A$4:$A$8,0)),"(sin catálogo)"))</f>
        <v/>
      </c>
      <c r="Y406" s="12">
        <f>IF($J406="","",TODAY()-$J406)</f>
        <v/>
      </c>
      <c r="Z406" s="3">
        <f>IF($Y406="","",IF($Y406&lt;0,"FUTURO",IF($Y406&gt;p_dias_backlog_max,"BACKLOG","MES CORRIENTE")))</f>
        <v/>
      </c>
      <c r="AA406" s="3">
        <f>IF($Y406="",FALSE,AND($Y406&gt;p_dias_backlog_min,$Y406&lt;=p_dias_backlog_max))</f>
        <v/>
      </c>
      <c r="AB406" s="6" t="n"/>
      <c r="AC406" s="3">
        <f>IF($AB406="","",IFERROR(INDEX('ASIGNACIONES'!$F$4:$F$339,MATCH($O406&amp;"|"&amp;$R406&amp;"|"&amp;$AB406,'ASIGNACIONES'!$I$4:$I$339,0)),""))</f>
        <v/>
      </c>
      <c r="AD406" s="13">
        <f>IF($AB406="","",SUMIFS('ORDENES'!$M$4:$M$1203,'ORDENES'!$AB$4:$AB$1203,$AB406,'ORDENES'!$O$4:$O$1203,$O406,'ORDENES'!$R$4:$R$1203,$R406))</f>
        <v/>
      </c>
      <c r="AE406" s="13">
        <f>IF($AD406="","",p_factor_productividad*IFERROR(INDEX('ASIGNACIONES'!$H$4:$H$339,MATCH($O406&amp;"|"&amp;$R406&amp;"|"&amp;$AB406,'ASIGNACIONES'!$I$4:$I$339,0)),0)-$AD406)</f>
        <v/>
      </c>
      <c r="AF406" s="10">
        <f>IF($A406="","",IFERROR(INDEX('2_IMPORTAR_EJECUCION'!$F$9:$F$1208,MATCH($AN406,'2_IMPORTAR_EJECUCION'!$J$9:$J$1208,0)),0))</f>
        <v/>
      </c>
      <c r="AG406" s="10">
        <f>IF($A406="","",MAX(0,IFERROR(INDEX('2_IMPORTAR_EJECUCION'!$H$9:$H$1208,MATCH($AN406,'2_IMPORTAR_EJECUCION'!$J$9:$J$1208,0)),0)-$AF406))</f>
        <v/>
      </c>
      <c r="AH406" s="10">
        <f>IF($A406="","",$AF406+$AG406)</f>
        <v/>
      </c>
      <c r="AI406" s="6" t="n"/>
      <c r="AJ406" s="6" t="n"/>
      <c r="AK406" s="6" t="n"/>
      <c r="AL406" s="3">
        <f>IF($AK406="","",HYPERLINK(p_ruta_base_checklists&amp;$AK406,"abrir"))</f>
        <v/>
      </c>
      <c r="AM406" s="6" t="n"/>
      <c r="AN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1" t="n"/>
      <c r="K407" s="3" t="n"/>
      <c r="L407" s="10" t="n"/>
      <c r="M407" s="3">
        <f>IF($A407="","",IFERROR(INDEX('AJUSTES'!$B$4:$B$303,MATCH($AN407,'AJUSTES'!$A$4:$A$303,0)),IF($K407="","",$K407)))</f>
        <v/>
      </c>
      <c r="N407" s="3">
        <f>IF($A407="","",IFERROR(INDEX('CAT_ESTADOS_ERP'!$B$4:$B$7,MATCH(IFERROR(INDEX('2_IMPORTAR_EJECUCION'!$C$9:$C$1208,MATCH($AN407,'2_IMPORTAR_EJECUCION'!$J$9:$J$1208,0)),""),'CAT_ESTADOS_ERP'!$A$4:$A$7,0)),"Pendiente"))</f>
        <v/>
      </c>
      <c r="O407" s="3">
        <f>IF($J407="","",YEAR($J407+4-WEEKDAY($J407,2))&amp;"-S"&amp;TEXT(_xlfn.ISOWEEKNUM($J407),"00"))</f>
        <v/>
      </c>
      <c r="P407" s="3">
        <f>IF($J407="","",YEAR($J407))</f>
        <v/>
      </c>
      <c r="Q407" s="3">
        <f>IF($J407="","",MONTH($J407))</f>
        <v/>
      </c>
      <c r="R407" s="3">
        <f>IF($J407="","",INDEX(lista_dias,WEEKDAY($J407,2)))</f>
        <v/>
      </c>
      <c r="S407" s="3">
        <f>IF($I407="","",IFERROR(INDEX('CAT_TIPOS_OT'!$C$4:$C$7,MATCH($I407,'CAT_TIPOS_OT'!$A$4:$A$7,0)),"sin_clasificar"))</f>
        <v/>
      </c>
      <c r="T407" s="3">
        <f>IF($F407="","",IFERROR(INDEX('CAT_CENTROS_COSTO'!$E$4:$E$9,MATCH($F407,'CAT_CENTROS_COSTO'!$A$4:$A$9,0)),"(sin catálogo)"))</f>
        <v/>
      </c>
      <c r="U407" s="3">
        <f>IF($F407="","",IFERROR(INDEX('CAT_CENTROS_COSTO'!$D$4:$D$9,MATCH($F407,'CAT_CENTROS_COSTO'!$A$4:$A$9,0)),"(sin catálogo)"))</f>
        <v/>
      </c>
      <c r="V407" s="3">
        <f>IF($F407="","",IFERROR(INDEX('CAT_CENTROS_COSTO'!$F$4:$F$9,MATCH($F407,'CAT_CENTROS_COSTO'!$A$4:$A$9,0)),"(sin catálogo)"))</f>
        <v/>
      </c>
      <c r="W407" s="3">
        <f>IF($G407="","",IFERROR(INDEX('CAT_PUESTOS'!$B$4:$B$8,MATCH($G407,'CAT_PUESTOS'!$A$4:$A$8,0)),"(sin catálogo)"))</f>
        <v/>
      </c>
      <c r="X407" s="3">
        <f>IF($H407="","",IFERROR(INDEX('CAT_ACTIVIDADES'!$B$4:$B$8,MATCH($H407,'CAT_ACTIVIDADES'!$A$4:$A$8,0)),"(sin catálogo)"))</f>
        <v/>
      </c>
      <c r="Y407" s="12">
        <f>IF($J407="","",TODAY()-$J407)</f>
        <v/>
      </c>
      <c r="Z407" s="3">
        <f>IF($Y407="","",IF($Y407&lt;0,"FUTURO",IF($Y407&gt;p_dias_backlog_max,"BACKLOG","MES CORRIENTE")))</f>
        <v/>
      </c>
      <c r="AA407" s="3">
        <f>IF($Y407="",FALSE,AND($Y407&gt;p_dias_backlog_min,$Y407&lt;=p_dias_backlog_max))</f>
        <v/>
      </c>
      <c r="AB407" s="6" t="n"/>
      <c r="AC407" s="3">
        <f>IF($AB407="","",IFERROR(INDEX('ASIGNACIONES'!$F$4:$F$339,MATCH($O407&amp;"|"&amp;$R407&amp;"|"&amp;$AB407,'ASIGNACIONES'!$I$4:$I$339,0)),""))</f>
        <v/>
      </c>
      <c r="AD407" s="13">
        <f>IF($AB407="","",SUMIFS('ORDENES'!$M$4:$M$1203,'ORDENES'!$AB$4:$AB$1203,$AB407,'ORDENES'!$O$4:$O$1203,$O407,'ORDENES'!$R$4:$R$1203,$R407))</f>
        <v/>
      </c>
      <c r="AE407" s="13">
        <f>IF($AD407="","",p_factor_productividad*IFERROR(INDEX('ASIGNACIONES'!$H$4:$H$339,MATCH($O407&amp;"|"&amp;$R407&amp;"|"&amp;$AB407,'ASIGNACIONES'!$I$4:$I$339,0)),0)-$AD407)</f>
        <v/>
      </c>
      <c r="AF407" s="10">
        <f>IF($A407="","",IFERROR(INDEX('2_IMPORTAR_EJECUCION'!$F$9:$F$1208,MATCH($AN407,'2_IMPORTAR_EJECUCION'!$J$9:$J$1208,0)),0))</f>
        <v/>
      </c>
      <c r="AG407" s="10">
        <f>IF($A407="","",MAX(0,IFERROR(INDEX('2_IMPORTAR_EJECUCION'!$H$9:$H$1208,MATCH($AN407,'2_IMPORTAR_EJECUCION'!$J$9:$J$1208,0)),0)-$AF407))</f>
        <v/>
      </c>
      <c r="AH407" s="10">
        <f>IF($A407="","",$AF407+$AG407)</f>
        <v/>
      </c>
      <c r="AI407" s="6" t="n"/>
      <c r="AJ407" s="6" t="n"/>
      <c r="AK407" s="6" t="n"/>
      <c r="AL407" s="3">
        <f>IF($AK407="","",HYPERLINK(p_ruta_base_checklists&amp;$AK407,"abrir"))</f>
        <v/>
      </c>
      <c r="AM407" s="6" t="n"/>
      <c r="AN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1" t="n"/>
      <c r="K408" s="3" t="n"/>
      <c r="L408" s="10" t="n"/>
      <c r="M408" s="3">
        <f>IF($A408="","",IFERROR(INDEX('AJUSTES'!$B$4:$B$303,MATCH($AN408,'AJUSTES'!$A$4:$A$303,0)),IF($K408="","",$K408)))</f>
        <v/>
      </c>
      <c r="N408" s="3">
        <f>IF($A408="","",IFERROR(INDEX('CAT_ESTADOS_ERP'!$B$4:$B$7,MATCH(IFERROR(INDEX('2_IMPORTAR_EJECUCION'!$C$9:$C$1208,MATCH($AN408,'2_IMPORTAR_EJECUCION'!$J$9:$J$1208,0)),""),'CAT_ESTADOS_ERP'!$A$4:$A$7,0)),"Pendiente"))</f>
        <v/>
      </c>
      <c r="O408" s="3">
        <f>IF($J408="","",YEAR($J408+4-WEEKDAY($J408,2))&amp;"-S"&amp;TEXT(_xlfn.ISOWEEKNUM($J408),"00"))</f>
        <v/>
      </c>
      <c r="P408" s="3">
        <f>IF($J408="","",YEAR($J408))</f>
        <v/>
      </c>
      <c r="Q408" s="3">
        <f>IF($J408="","",MONTH($J408))</f>
        <v/>
      </c>
      <c r="R408" s="3">
        <f>IF($J408="","",INDEX(lista_dias,WEEKDAY($J408,2)))</f>
        <v/>
      </c>
      <c r="S408" s="3">
        <f>IF($I408="","",IFERROR(INDEX('CAT_TIPOS_OT'!$C$4:$C$7,MATCH($I408,'CAT_TIPOS_OT'!$A$4:$A$7,0)),"sin_clasificar"))</f>
        <v/>
      </c>
      <c r="T408" s="3">
        <f>IF($F408="","",IFERROR(INDEX('CAT_CENTROS_COSTO'!$E$4:$E$9,MATCH($F408,'CAT_CENTROS_COSTO'!$A$4:$A$9,0)),"(sin catálogo)"))</f>
        <v/>
      </c>
      <c r="U408" s="3">
        <f>IF($F408="","",IFERROR(INDEX('CAT_CENTROS_COSTO'!$D$4:$D$9,MATCH($F408,'CAT_CENTROS_COSTO'!$A$4:$A$9,0)),"(sin catálogo)"))</f>
        <v/>
      </c>
      <c r="V408" s="3">
        <f>IF($F408="","",IFERROR(INDEX('CAT_CENTROS_COSTO'!$F$4:$F$9,MATCH($F408,'CAT_CENTROS_COSTO'!$A$4:$A$9,0)),"(sin catálogo)"))</f>
        <v/>
      </c>
      <c r="W408" s="3">
        <f>IF($G408="","",IFERROR(INDEX('CAT_PUESTOS'!$B$4:$B$8,MATCH($G408,'CAT_PUESTOS'!$A$4:$A$8,0)),"(sin catálogo)"))</f>
        <v/>
      </c>
      <c r="X408" s="3">
        <f>IF($H408="","",IFERROR(INDEX('CAT_ACTIVIDADES'!$B$4:$B$8,MATCH($H408,'CAT_ACTIVIDADES'!$A$4:$A$8,0)),"(sin catálogo)"))</f>
        <v/>
      </c>
      <c r="Y408" s="12">
        <f>IF($J408="","",TODAY()-$J408)</f>
        <v/>
      </c>
      <c r="Z408" s="3">
        <f>IF($Y408="","",IF($Y408&lt;0,"FUTURO",IF($Y408&gt;p_dias_backlog_max,"BACKLOG","MES CORRIENTE")))</f>
        <v/>
      </c>
      <c r="AA408" s="3">
        <f>IF($Y408="",FALSE,AND($Y408&gt;p_dias_backlog_min,$Y408&lt;=p_dias_backlog_max))</f>
        <v/>
      </c>
      <c r="AB408" s="6" t="n"/>
      <c r="AC408" s="3">
        <f>IF($AB408="","",IFERROR(INDEX('ASIGNACIONES'!$F$4:$F$339,MATCH($O408&amp;"|"&amp;$R408&amp;"|"&amp;$AB408,'ASIGNACIONES'!$I$4:$I$339,0)),""))</f>
        <v/>
      </c>
      <c r="AD408" s="13">
        <f>IF($AB408="","",SUMIFS('ORDENES'!$M$4:$M$1203,'ORDENES'!$AB$4:$AB$1203,$AB408,'ORDENES'!$O$4:$O$1203,$O408,'ORDENES'!$R$4:$R$1203,$R408))</f>
        <v/>
      </c>
      <c r="AE408" s="13">
        <f>IF($AD408="","",p_factor_productividad*IFERROR(INDEX('ASIGNACIONES'!$H$4:$H$339,MATCH($O408&amp;"|"&amp;$R408&amp;"|"&amp;$AB408,'ASIGNACIONES'!$I$4:$I$339,0)),0)-$AD408)</f>
        <v/>
      </c>
      <c r="AF408" s="10">
        <f>IF($A408="","",IFERROR(INDEX('2_IMPORTAR_EJECUCION'!$F$9:$F$1208,MATCH($AN408,'2_IMPORTAR_EJECUCION'!$J$9:$J$1208,0)),0))</f>
        <v/>
      </c>
      <c r="AG408" s="10">
        <f>IF($A408="","",MAX(0,IFERROR(INDEX('2_IMPORTAR_EJECUCION'!$H$9:$H$1208,MATCH($AN408,'2_IMPORTAR_EJECUCION'!$J$9:$J$1208,0)),0)-$AF408))</f>
        <v/>
      </c>
      <c r="AH408" s="10">
        <f>IF($A408="","",$AF408+$AG408)</f>
        <v/>
      </c>
      <c r="AI408" s="6" t="n"/>
      <c r="AJ408" s="6" t="n"/>
      <c r="AK408" s="6" t="n"/>
      <c r="AL408" s="3">
        <f>IF($AK408="","",HYPERLINK(p_ruta_base_checklists&amp;$AK408,"abrir"))</f>
        <v/>
      </c>
      <c r="AM408" s="6" t="n"/>
      <c r="AN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1" t="n"/>
      <c r="K409" s="3" t="n"/>
      <c r="L409" s="10" t="n"/>
      <c r="M409" s="3">
        <f>IF($A409="","",IFERROR(INDEX('AJUSTES'!$B$4:$B$303,MATCH($AN409,'AJUSTES'!$A$4:$A$303,0)),IF($K409="","",$K409)))</f>
        <v/>
      </c>
      <c r="N409" s="3">
        <f>IF($A409="","",IFERROR(INDEX('CAT_ESTADOS_ERP'!$B$4:$B$7,MATCH(IFERROR(INDEX('2_IMPORTAR_EJECUCION'!$C$9:$C$1208,MATCH($AN409,'2_IMPORTAR_EJECUCION'!$J$9:$J$1208,0)),""),'CAT_ESTADOS_ERP'!$A$4:$A$7,0)),"Pendiente"))</f>
        <v/>
      </c>
      <c r="O409" s="3">
        <f>IF($J409="","",YEAR($J409+4-WEEKDAY($J409,2))&amp;"-S"&amp;TEXT(_xlfn.ISOWEEKNUM($J409),"00"))</f>
        <v/>
      </c>
      <c r="P409" s="3">
        <f>IF($J409="","",YEAR($J409))</f>
        <v/>
      </c>
      <c r="Q409" s="3">
        <f>IF($J409="","",MONTH($J409))</f>
        <v/>
      </c>
      <c r="R409" s="3">
        <f>IF($J409="","",INDEX(lista_dias,WEEKDAY($J409,2)))</f>
        <v/>
      </c>
      <c r="S409" s="3">
        <f>IF($I409="","",IFERROR(INDEX('CAT_TIPOS_OT'!$C$4:$C$7,MATCH($I409,'CAT_TIPOS_OT'!$A$4:$A$7,0)),"sin_clasificar"))</f>
        <v/>
      </c>
      <c r="T409" s="3">
        <f>IF($F409="","",IFERROR(INDEX('CAT_CENTROS_COSTO'!$E$4:$E$9,MATCH($F409,'CAT_CENTROS_COSTO'!$A$4:$A$9,0)),"(sin catálogo)"))</f>
        <v/>
      </c>
      <c r="U409" s="3">
        <f>IF($F409="","",IFERROR(INDEX('CAT_CENTROS_COSTO'!$D$4:$D$9,MATCH($F409,'CAT_CENTROS_COSTO'!$A$4:$A$9,0)),"(sin catálogo)"))</f>
        <v/>
      </c>
      <c r="V409" s="3">
        <f>IF($F409="","",IFERROR(INDEX('CAT_CENTROS_COSTO'!$F$4:$F$9,MATCH($F409,'CAT_CENTROS_COSTO'!$A$4:$A$9,0)),"(sin catálogo)"))</f>
        <v/>
      </c>
      <c r="W409" s="3">
        <f>IF($G409="","",IFERROR(INDEX('CAT_PUESTOS'!$B$4:$B$8,MATCH($G409,'CAT_PUESTOS'!$A$4:$A$8,0)),"(sin catálogo)"))</f>
        <v/>
      </c>
      <c r="X409" s="3">
        <f>IF($H409="","",IFERROR(INDEX('CAT_ACTIVIDADES'!$B$4:$B$8,MATCH($H409,'CAT_ACTIVIDADES'!$A$4:$A$8,0)),"(sin catálogo)"))</f>
        <v/>
      </c>
      <c r="Y409" s="12">
        <f>IF($J409="","",TODAY()-$J409)</f>
        <v/>
      </c>
      <c r="Z409" s="3">
        <f>IF($Y409="","",IF($Y409&lt;0,"FUTURO",IF($Y409&gt;p_dias_backlog_max,"BACKLOG","MES CORRIENTE")))</f>
        <v/>
      </c>
      <c r="AA409" s="3">
        <f>IF($Y409="",FALSE,AND($Y409&gt;p_dias_backlog_min,$Y409&lt;=p_dias_backlog_max))</f>
        <v/>
      </c>
      <c r="AB409" s="6" t="n"/>
      <c r="AC409" s="3">
        <f>IF($AB409="","",IFERROR(INDEX('ASIGNACIONES'!$F$4:$F$339,MATCH($O409&amp;"|"&amp;$R409&amp;"|"&amp;$AB409,'ASIGNACIONES'!$I$4:$I$339,0)),""))</f>
        <v/>
      </c>
      <c r="AD409" s="13">
        <f>IF($AB409="","",SUMIFS('ORDENES'!$M$4:$M$1203,'ORDENES'!$AB$4:$AB$1203,$AB409,'ORDENES'!$O$4:$O$1203,$O409,'ORDENES'!$R$4:$R$1203,$R409))</f>
        <v/>
      </c>
      <c r="AE409" s="13">
        <f>IF($AD409="","",p_factor_productividad*IFERROR(INDEX('ASIGNACIONES'!$H$4:$H$339,MATCH($O409&amp;"|"&amp;$R409&amp;"|"&amp;$AB409,'ASIGNACIONES'!$I$4:$I$339,0)),0)-$AD409)</f>
        <v/>
      </c>
      <c r="AF409" s="10">
        <f>IF($A409="","",IFERROR(INDEX('2_IMPORTAR_EJECUCION'!$F$9:$F$1208,MATCH($AN409,'2_IMPORTAR_EJECUCION'!$J$9:$J$1208,0)),0))</f>
        <v/>
      </c>
      <c r="AG409" s="10">
        <f>IF($A409="","",MAX(0,IFERROR(INDEX('2_IMPORTAR_EJECUCION'!$H$9:$H$1208,MATCH($AN409,'2_IMPORTAR_EJECUCION'!$J$9:$J$1208,0)),0)-$AF409))</f>
        <v/>
      </c>
      <c r="AH409" s="10">
        <f>IF($A409="","",$AF409+$AG409)</f>
        <v/>
      </c>
      <c r="AI409" s="6" t="n"/>
      <c r="AJ409" s="6" t="n"/>
      <c r="AK409" s="6" t="n"/>
      <c r="AL409" s="3">
        <f>IF($AK409="","",HYPERLINK(p_ruta_base_checklists&amp;$AK409,"abrir"))</f>
        <v/>
      </c>
      <c r="AM409" s="6" t="n"/>
      <c r="AN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1" t="n"/>
      <c r="K410" s="3" t="n"/>
      <c r="L410" s="10" t="n"/>
      <c r="M410" s="3">
        <f>IF($A410="","",IFERROR(INDEX('AJUSTES'!$B$4:$B$303,MATCH($AN410,'AJUSTES'!$A$4:$A$303,0)),IF($K410="","",$K410)))</f>
        <v/>
      </c>
      <c r="N410" s="3">
        <f>IF($A410="","",IFERROR(INDEX('CAT_ESTADOS_ERP'!$B$4:$B$7,MATCH(IFERROR(INDEX('2_IMPORTAR_EJECUCION'!$C$9:$C$1208,MATCH($AN410,'2_IMPORTAR_EJECUCION'!$J$9:$J$1208,0)),""),'CAT_ESTADOS_ERP'!$A$4:$A$7,0)),"Pendiente"))</f>
        <v/>
      </c>
      <c r="O410" s="3">
        <f>IF($J410="","",YEAR($J410+4-WEEKDAY($J410,2))&amp;"-S"&amp;TEXT(_xlfn.ISOWEEKNUM($J410),"00"))</f>
        <v/>
      </c>
      <c r="P410" s="3">
        <f>IF($J410="","",YEAR($J410))</f>
        <v/>
      </c>
      <c r="Q410" s="3">
        <f>IF($J410="","",MONTH($J410))</f>
        <v/>
      </c>
      <c r="R410" s="3">
        <f>IF($J410="","",INDEX(lista_dias,WEEKDAY($J410,2)))</f>
        <v/>
      </c>
      <c r="S410" s="3">
        <f>IF($I410="","",IFERROR(INDEX('CAT_TIPOS_OT'!$C$4:$C$7,MATCH($I410,'CAT_TIPOS_OT'!$A$4:$A$7,0)),"sin_clasificar"))</f>
        <v/>
      </c>
      <c r="T410" s="3">
        <f>IF($F410="","",IFERROR(INDEX('CAT_CENTROS_COSTO'!$E$4:$E$9,MATCH($F410,'CAT_CENTROS_COSTO'!$A$4:$A$9,0)),"(sin catálogo)"))</f>
        <v/>
      </c>
      <c r="U410" s="3">
        <f>IF($F410="","",IFERROR(INDEX('CAT_CENTROS_COSTO'!$D$4:$D$9,MATCH($F410,'CAT_CENTROS_COSTO'!$A$4:$A$9,0)),"(sin catálogo)"))</f>
        <v/>
      </c>
      <c r="V410" s="3">
        <f>IF($F410="","",IFERROR(INDEX('CAT_CENTROS_COSTO'!$F$4:$F$9,MATCH($F410,'CAT_CENTROS_COSTO'!$A$4:$A$9,0)),"(sin catálogo)"))</f>
        <v/>
      </c>
      <c r="W410" s="3">
        <f>IF($G410="","",IFERROR(INDEX('CAT_PUESTOS'!$B$4:$B$8,MATCH($G410,'CAT_PUESTOS'!$A$4:$A$8,0)),"(sin catálogo)"))</f>
        <v/>
      </c>
      <c r="X410" s="3">
        <f>IF($H410="","",IFERROR(INDEX('CAT_ACTIVIDADES'!$B$4:$B$8,MATCH($H410,'CAT_ACTIVIDADES'!$A$4:$A$8,0)),"(sin catálogo)"))</f>
        <v/>
      </c>
      <c r="Y410" s="12">
        <f>IF($J410="","",TODAY()-$J410)</f>
        <v/>
      </c>
      <c r="Z410" s="3">
        <f>IF($Y410="","",IF($Y410&lt;0,"FUTURO",IF($Y410&gt;p_dias_backlog_max,"BACKLOG","MES CORRIENTE")))</f>
        <v/>
      </c>
      <c r="AA410" s="3">
        <f>IF($Y410="",FALSE,AND($Y410&gt;p_dias_backlog_min,$Y410&lt;=p_dias_backlog_max))</f>
        <v/>
      </c>
      <c r="AB410" s="6" t="n"/>
      <c r="AC410" s="3">
        <f>IF($AB410="","",IFERROR(INDEX('ASIGNACIONES'!$F$4:$F$339,MATCH($O410&amp;"|"&amp;$R410&amp;"|"&amp;$AB410,'ASIGNACIONES'!$I$4:$I$339,0)),""))</f>
        <v/>
      </c>
      <c r="AD410" s="13">
        <f>IF($AB410="","",SUMIFS('ORDENES'!$M$4:$M$1203,'ORDENES'!$AB$4:$AB$1203,$AB410,'ORDENES'!$O$4:$O$1203,$O410,'ORDENES'!$R$4:$R$1203,$R410))</f>
        <v/>
      </c>
      <c r="AE410" s="13">
        <f>IF($AD410="","",p_factor_productividad*IFERROR(INDEX('ASIGNACIONES'!$H$4:$H$339,MATCH($O410&amp;"|"&amp;$R410&amp;"|"&amp;$AB410,'ASIGNACIONES'!$I$4:$I$339,0)),0)-$AD410)</f>
        <v/>
      </c>
      <c r="AF410" s="10">
        <f>IF($A410="","",IFERROR(INDEX('2_IMPORTAR_EJECUCION'!$F$9:$F$1208,MATCH($AN410,'2_IMPORTAR_EJECUCION'!$J$9:$J$1208,0)),0))</f>
        <v/>
      </c>
      <c r="AG410" s="10">
        <f>IF($A410="","",MAX(0,IFERROR(INDEX('2_IMPORTAR_EJECUCION'!$H$9:$H$1208,MATCH($AN410,'2_IMPORTAR_EJECUCION'!$J$9:$J$1208,0)),0)-$AF410))</f>
        <v/>
      </c>
      <c r="AH410" s="10">
        <f>IF($A410="","",$AF410+$AG410)</f>
        <v/>
      </c>
      <c r="AI410" s="6" t="n"/>
      <c r="AJ410" s="6" t="n"/>
      <c r="AK410" s="6" t="n"/>
      <c r="AL410" s="3">
        <f>IF($AK410="","",HYPERLINK(p_ruta_base_checklists&amp;$AK410,"abrir"))</f>
        <v/>
      </c>
      <c r="AM410" s="6" t="n"/>
      <c r="AN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1" t="n"/>
      <c r="K411" s="3" t="n"/>
      <c r="L411" s="10" t="n"/>
      <c r="M411" s="3">
        <f>IF($A411="","",IFERROR(INDEX('AJUSTES'!$B$4:$B$303,MATCH($AN411,'AJUSTES'!$A$4:$A$303,0)),IF($K411="","",$K411)))</f>
        <v/>
      </c>
      <c r="N411" s="3">
        <f>IF($A411="","",IFERROR(INDEX('CAT_ESTADOS_ERP'!$B$4:$B$7,MATCH(IFERROR(INDEX('2_IMPORTAR_EJECUCION'!$C$9:$C$1208,MATCH($AN411,'2_IMPORTAR_EJECUCION'!$J$9:$J$1208,0)),""),'CAT_ESTADOS_ERP'!$A$4:$A$7,0)),"Pendiente"))</f>
        <v/>
      </c>
      <c r="O411" s="3">
        <f>IF($J411="","",YEAR($J411+4-WEEKDAY($J411,2))&amp;"-S"&amp;TEXT(_xlfn.ISOWEEKNUM($J411),"00"))</f>
        <v/>
      </c>
      <c r="P411" s="3">
        <f>IF($J411="","",YEAR($J411))</f>
        <v/>
      </c>
      <c r="Q411" s="3">
        <f>IF($J411="","",MONTH($J411))</f>
        <v/>
      </c>
      <c r="R411" s="3">
        <f>IF($J411="","",INDEX(lista_dias,WEEKDAY($J411,2)))</f>
        <v/>
      </c>
      <c r="S411" s="3">
        <f>IF($I411="","",IFERROR(INDEX('CAT_TIPOS_OT'!$C$4:$C$7,MATCH($I411,'CAT_TIPOS_OT'!$A$4:$A$7,0)),"sin_clasificar"))</f>
        <v/>
      </c>
      <c r="T411" s="3">
        <f>IF($F411="","",IFERROR(INDEX('CAT_CENTROS_COSTO'!$E$4:$E$9,MATCH($F411,'CAT_CENTROS_COSTO'!$A$4:$A$9,0)),"(sin catálogo)"))</f>
        <v/>
      </c>
      <c r="U411" s="3">
        <f>IF($F411="","",IFERROR(INDEX('CAT_CENTROS_COSTO'!$D$4:$D$9,MATCH($F411,'CAT_CENTROS_COSTO'!$A$4:$A$9,0)),"(sin catálogo)"))</f>
        <v/>
      </c>
      <c r="V411" s="3">
        <f>IF($F411="","",IFERROR(INDEX('CAT_CENTROS_COSTO'!$F$4:$F$9,MATCH($F411,'CAT_CENTROS_COSTO'!$A$4:$A$9,0)),"(sin catálogo)"))</f>
        <v/>
      </c>
      <c r="W411" s="3">
        <f>IF($G411="","",IFERROR(INDEX('CAT_PUESTOS'!$B$4:$B$8,MATCH($G411,'CAT_PUESTOS'!$A$4:$A$8,0)),"(sin catálogo)"))</f>
        <v/>
      </c>
      <c r="X411" s="3">
        <f>IF($H411="","",IFERROR(INDEX('CAT_ACTIVIDADES'!$B$4:$B$8,MATCH($H411,'CAT_ACTIVIDADES'!$A$4:$A$8,0)),"(sin catálogo)"))</f>
        <v/>
      </c>
      <c r="Y411" s="12">
        <f>IF($J411="","",TODAY()-$J411)</f>
        <v/>
      </c>
      <c r="Z411" s="3">
        <f>IF($Y411="","",IF($Y411&lt;0,"FUTURO",IF($Y411&gt;p_dias_backlog_max,"BACKLOG","MES CORRIENTE")))</f>
        <v/>
      </c>
      <c r="AA411" s="3">
        <f>IF($Y411="",FALSE,AND($Y411&gt;p_dias_backlog_min,$Y411&lt;=p_dias_backlog_max))</f>
        <v/>
      </c>
      <c r="AB411" s="6" t="n"/>
      <c r="AC411" s="3">
        <f>IF($AB411="","",IFERROR(INDEX('ASIGNACIONES'!$F$4:$F$339,MATCH($O411&amp;"|"&amp;$R411&amp;"|"&amp;$AB411,'ASIGNACIONES'!$I$4:$I$339,0)),""))</f>
        <v/>
      </c>
      <c r="AD411" s="13">
        <f>IF($AB411="","",SUMIFS('ORDENES'!$M$4:$M$1203,'ORDENES'!$AB$4:$AB$1203,$AB411,'ORDENES'!$O$4:$O$1203,$O411,'ORDENES'!$R$4:$R$1203,$R411))</f>
        <v/>
      </c>
      <c r="AE411" s="13">
        <f>IF($AD411="","",p_factor_productividad*IFERROR(INDEX('ASIGNACIONES'!$H$4:$H$339,MATCH($O411&amp;"|"&amp;$R411&amp;"|"&amp;$AB411,'ASIGNACIONES'!$I$4:$I$339,0)),0)-$AD411)</f>
        <v/>
      </c>
      <c r="AF411" s="10">
        <f>IF($A411="","",IFERROR(INDEX('2_IMPORTAR_EJECUCION'!$F$9:$F$1208,MATCH($AN411,'2_IMPORTAR_EJECUCION'!$J$9:$J$1208,0)),0))</f>
        <v/>
      </c>
      <c r="AG411" s="10">
        <f>IF($A411="","",MAX(0,IFERROR(INDEX('2_IMPORTAR_EJECUCION'!$H$9:$H$1208,MATCH($AN411,'2_IMPORTAR_EJECUCION'!$J$9:$J$1208,0)),0)-$AF411))</f>
        <v/>
      </c>
      <c r="AH411" s="10">
        <f>IF($A411="","",$AF411+$AG411)</f>
        <v/>
      </c>
      <c r="AI411" s="6" t="n"/>
      <c r="AJ411" s="6" t="n"/>
      <c r="AK411" s="6" t="n"/>
      <c r="AL411" s="3">
        <f>IF($AK411="","",HYPERLINK(p_ruta_base_checklists&amp;$AK411,"abrir"))</f>
        <v/>
      </c>
      <c r="AM411" s="6" t="n"/>
      <c r="AN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1" t="n"/>
      <c r="K412" s="3" t="n"/>
      <c r="L412" s="10" t="n"/>
      <c r="M412" s="3">
        <f>IF($A412="","",IFERROR(INDEX('AJUSTES'!$B$4:$B$303,MATCH($AN412,'AJUSTES'!$A$4:$A$303,0)),IF($K412="","",$K412)))</f>
        <v/>
      </c>
      <c r="N412" s="3">
        <f>IF($A412="","",IFERROR(INDEX('CAT_ESTADOS_ERP'!$B$4:$B$7,MATCH(IFERROR(INDEX('2_IMPORTAR_EJECUCION'!$C$9:$C$1208,MATCH($AN412,'2_IMPORTAR_EJECUCION'!$J$9:$J$1208,0)),""),'CAT_ESTADOS_ERP'!$A$4:$A$7,0)),"Pendiente"))</f>
        <v/>
      </c>
      <c r="O412" s="3">
        <f>IF($J412="","",YEAR($J412+4-WEEKDAY($J412,2))&amp;"-S"&amp;TEXT(_xlfn.ISOWEEKNUM($J412),"00"))</f>
        <v/>
      </c>
      <c r="P412" s="3">
        <f>IF($J412="","",YEAR($J412))</f>
        <v/>
      </c>
      <c r="Q412" s="3">
        <f>IF($J412="","",MONTH($J412))</f>
        <v/>
      </c>
      <c r="R412" s="3">
        <f>IF($J412="","",INDEX(lista_dias,WEEKDAY($J412,2)))</f>
        <v/>
      </c>
      <c r="S412" s="3">
        <f>IF($I412="","",IFERROR(INDEX('CAT_TIPOS_OT'!$C$4:$C$7,MATCH($I412,'CAT_TIPOS_OT'!$A$4:$A$7,0)),"sin_clasificar"))</f>
        <v/>
      </c>
      <c r="T412" s="3">
        <f>IF($F412="","",IFERROR(INDEX('CAT_CENTROS_COSTO'!$E$4:$E$9,MATCH($F412,'CAT_CENTROS_COSTO'!$A$4:$A$9,0)),"(sin catálogo)"))</f>
        <v/>
      </c>
      <c r="U412" s="3">
        <f>IF($F412="","",IFERROR(INDEX('CAT_CENTROS_COSTO'!$D$4:$D$9,MATCH($F412,'CAT_CENTROS_COSTO'!$A$4:$A$9,0)),"(sin catálogo)"))</f>
        <v/>
      </c>
      <c r="V412" s="3">
        <f>IF($F412="","",IFERROR(INDEX('CAT_CENTROS_COSTO'!$F$4:$F$9,MATCH($F412,'CAT_CENTROS_COSTO'!$A$4:$A$9,0)),"(sin catálogo)"))</f>
        <v/>
      </c>
      <c r="W412" s="3">
        <f>IF($G412="","",IFERROR(INDEX('CAT_PUESTOS'!$B$4:$B$8,MATCH($G412,'CAT_PUESTOS'!$A$4:$A$8,0)),"(sin catálogo)"))</f>
        <v/>
      </c>
      <c r="X412" s="3">
        <f>IF($H412="","",IFERROR(INDEX('CAT_ACTIVIDADES'!$B$4:$B$8,MATCH($H412,'CAT_ACTIVIDADES'!$A$4:$A$8,0)),"(sin catálogo)"))</f>
        <v/>
      </c>
      <c r="Y412" s="12">
        <f>IF($J412="","",TODAY()-$J412)</f>
        <v/>
      </c>
      <c r="Z412" s="3">
        <f>IF($Y412="","",IF($Y412&lt;0,"FUTURO",IF($Y412&gt;p_dias_backlog_max,"BACKLOG","MES CORRIENTE")))</f>
        <v/>
      </c>
      <c r="AA412" s="3">
        <f>IF($Y412="",FALSE,AND($Y412&gt;p_dias_backlog_min,$Y412&lt;=p_dias_backlog_max))</f>
        <v/>
      </c>
      <c r="AB412" s="6" t="n"/>
      <c r="AC412" s="3">
        <f>IF($AB412="","",IFERROR(INDEX('ASIGNACIONES'!$F$4:$F$339,MATCH($O412&amp;"|"&amp;$R412&amp;"|"&amp;$AB412,'ASIGNACIONES'!$I$4:$I$339,0)),""))</f>
        <v/>
      </c>
      <c r="AD412" s="13">
        <f>IF($AB412="","",SUMIFS('ORDENES'!$M$4:$M$1203,'ORDENES'!$AB$4:$AB$1203,$AB412,'ORDENES'!$O$4:$O$1203,$O412,'ORDENES'!$R$4:$R$1203,$R412))</f>
        <v/>
      </c>
      <c r="AE412" s="13">
        <f>IF($AD412="","",p_factor_productividad*IFERROR(INDEX('ASIGNACIONES'!$H$4:$H$339,MATCH($O412&amp;"|"&amp;$R412&amp;"|"&amp;$AB412,'ASIGNACIONES'!$I$4:$I$339,0)),0)-$AD412)</f>
        <v/>
      </c>
      <c r="AF412" s="10">
        <f>IF($A412="","",IFERROR(INDEX('2_IMPORTAR_EJECUCION'!$F$9:$F$1208,MATCH($AN412,'2_IMPORTAR_EJECUCION'!$J$9:$J$1208,0)),0))</f>
        <v/>
      </c>
      <c r="AG412" s="10">
        <f>IF($A412="","",MAX(0,IFERROR(INDEX('2_IMPORTAR_EJECUCION'!$H$9:$H$1208,MATCH($AN412,'2_IMPORTAR_EJECUCION'!$J$9:$J$1208,0)),0)-$AF412))</f>
        <v/>
      </c>
      <c r="AH412" s="10">
        <f>IF($A412="","",$AF412+$AG412)</f>
        <v/>
      </c>
      <c r="AI412" s="6" t="n"/>
      <c r="AJ412" s="6" t="n"/>
      <c r="AK412" s="6" t="n"/>
      <c r="AL412" s="3">
        <f>IF($AK412="","",HYPERLINK(p_ruta_base_checklists&amp;$AK412,"abrir"))</f>
        <v/>
      </c>
      <c r="AM412" s="6" t="n"/>
      <c r="AN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1" t="n"/>
      <c r="K413" s="3" t="n"/>
      <c r="L413" s="10" t="n"/>
      <c r="M413" s="3">
        <f>IF($A413="","",IFERROR(INDEX('AJUSTES'!$B$4:$B$303,MATCH($AN413,'AJUSTES'!$A$4:$A$303,0)),IF($K413="","",$K413)))</f>
        <v/>
      </c>
      <c r="N413" s="3">
        <f>IF($A413="","",IFERROR(INDEX('CAT_ESTADOS_ERP'!$B$4:$B$7,MATCH(IFERROR(INDEX('2_IMPORTAR_EJECUCION'!$C$9:$C$1208,MATCH($AN413,'2_IMPORTAR_EJECUCION'!$J$9:$J$1208,0)),""),'CAT_ESTADOS_ERP'!$A$4:$A$7,0)),"Pendiente"))</f>
        <v/>
      </c>
      <c r="O413" s="3">
        <f>IF($J413="","",YEAR($J413+4-WEEKDAY($J413,2))&amp;"-S"&amp;TEXT(_xlfn.ISOWEEKNUM($J413),"00"))</f>
        <v/>
      </c>
      <c r="P413" s="3">
        <f>IF($J413="","",YEAR($J413))</f>
        <v/>
      </c>
      <c r="Q413" s="3">
        <f>IF($J413="","",MONTH($J413))</f>
        <v/>
      </c>
      <c r="R413" s="3">
        <f>IF($J413="","",INDEX(lista_dias,WEEKDAY($J413,2)))</f>
        <v/>
      </c>
      <c r="S413" s="3">
        <f>IF($I413="","",IFERROR(INDEX('CAT_TIPOS_OT'!$C$4:$C$7,MATCH($I413,'CAT_TIPOS_OT'!$A$4:$A$7,0)),"sin_clasificar"))</f>
        <v/>
      </c>
      <c r="T413" s="3">
        <f>IF($F413="","",IFERROR(INDEX('CAT_CENTROS_COSTO'!$E$4:$E$9,MATCH($F413,'CAT_CENTROS_COSTO'!$A$4:$A$9,0)),"(sin catálogo)"))</f>
        <v/>
      </c>
      <c r="U413" s="3">
        <f>IF($F413="","",IFERROR(INDEX('CAT_CENTROS_COSTO'!$D$4:$D$9,MATCH($F413,'CAT_CENTROS_COSTO'!$A$4:$A$9,0)),"(sin catálogo)"))</f>
        <v/>
      </c>
      <c r="V413" s="3">
        <f>IF($F413="","",IFERROR(INDEX('CAT_CENTROS_COSTO'!$F$4:$F$9,MATCH($F413,'CAT_CENTROS_COSTO'!$A$4:$A$9,0)),"(sin catálogo)"))</f>
        <v/>
      </c>
      <c r="W413" s="3">
        <f>IF($G413="","",IFERROR(INDEX('CAT_PUESTOS'!$B$4:$B$8,MATCH($G413,'CAT_PUESTOS'!$A$4:$A$8,0)),"(sin catálogo)"))</f>
        <v/>
      </c>
      <c r="X413" s="3">
        <f>IF($H413="","",IFERROR(INDEX('CAT_ACTIVIDADES'!$B$4:$B$8,MATCH($H413,'CAT_ACTIVIDADES'!$A$4:$A$8,0)),"(sin catálogo)"))</f>
        <v/>
      </c>
      <c r="Y413" s="12">
        <f>IF($J413="","",TODAY()-$J413)</f>
        <v/>
      </c>
      <c r="Z413" s="3">
        <f>IF($Y413="","",IF($Y413&lt;0,"FUTURO",IF($Y413&gt;p_dias_backlog_max,"BACKLOG","MES CORRIENTE")))</f>
        <v/>
      </c>
      <c r="AA413" s="3">
        <f>IF($Y413="",FALSE,AND($Y413&gt;p_dias_backlog_min,$Y413&lt;=p_dias_backlog_max))</f>
        <v/>
      </c>
      <c r="AB413" s="6" t="n"/>
      <c r="AC413" s="3">
        <f>IF($AB413="","",IFERROR(INDEX('ASIGNACIONES'!$F$4:$F$339,MATCH($O413&amp;"|"&amp;$R413&amp;"|"&amp;$AB413,'ASIGNACIONES'!$I$4:$I$339,0)),""))</f>
        <v/>
      </c>
      <c r="AD413" s="13">
        <f>IF($AB413="","",SUMIFS('ORDENES'!$M$4:$M$1203,'ORDENES'!$AB$4:$AB$1203,$AB413,'ORDENES'!$O$4:$O$1203,$O413,'ORDENES'!$R$4:$R$1203,$R413))</f>
        <v/>
      </c>
      <c r="AE413" s="13">
        <f>IF($AD413="","",p_factor_productividad*IFERROR(INDEX('ASIGNACIONES'!$H$4:$H$339,MATCH($O413&amp;"|"&amp;$R413&amp;"|"&amp;$AB413,'ASIGNACIONES'!$I$4:$I$339,0)),0)-$AD413)</f>
        <v/>
      </c>
      <c r="AF413" s="10">
        <f>IF($A413="","",IFERROR(INDEX('2_IMPORTAR_EJECUCION'!$F$9:$F$1208,MATCH($AN413,'2_IMPORTAR_EJECUCION'!$J$9:$J$1208,0)),0))</f>
        <v/>
      </c>
      <c r="AG413" s="10">
        <f>IF($A413="","",MAX(0,IFERROR(INDEX('2_IMPORTAR_EJECUCION'!$H$9:$H$1208,MATCH($AN413,'2_IMPORTAR_EJECUCION'!$J$9:$J$1208,0)),0)-$AF413))</f>
        <v/>
      </c>
      <c r="AH413" s="10">
        <f>IF($A413="","",$AF413+$AG413)</f>
        <v/>
      </c>
      <c r="AI413" s="6" t="n"/>
      <c r="AJ413" s="6" t="n"/>
      <c r="AK413" s="6" t="n"/>
      <c r="AL413" s="3">
        <f>IF($AK413="","",HYPERLINK(p_ruta_base_checklists&amp;$AK413,"abrir"))</f>
        <v/>
      </c>
      <c r="AM413" s="6" t="n"/>
      <c r="AN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1" t="n"/>
      <c r="K414" s="3" t="n"/>
      <c r="L414" s="10" t="n"/>
      <c r="M414" s="3">
        <f>IF($A414="","",IFERROR(INDEX('AJUSTES'!$B$4:$B$303,MATCH($AN414,'AJUSTES'!$A$4:$A$303,0)),IF($K414="","",$K414)))</f>
        <v/>
      </c>
      <c r="N414" s="3">
        <f>IF($A414="","",IFERROR(INDEX('CAT_ESTADOS_ERP'!$B$4:$B$7,MATCH(IFERROR(INDEX('2_IMPORTAR_EJECUCION'!$C$9:$C$1208,MATCH($AN414,'2_IMPORTAR_EJECUCION'!$J$9:$J$1208,0)),""),'CAT_ESTADOS_ERP'!$A$4:$A$7,0)),"Pendiente"))</f>
        <v/>
      </c>
      <c r="O414" s="3">
        <f>IF($J414="","",YEAR($J414+4-WEEKDAY($J414,2))&amp;"-S"&amp;TEXT(_xlfn.ISOWEEKNUM($J414),"00"))</f>
        <v/>
      </c>
      <c r="P414" s="3">
        <f>IF($J414="","",YEAR($J414))</f>
        <v/>
      </c>
      <c r="Q414" s="3">
        <f>IF($J414="","",MONTH($J414))</f>
        <v/>
      </c>
      <c r="R414" s="3">
        <f>IF($J414="","",INDEX(lista_dias,WEEKDAY($J414,2)))</f>
        <v/>
      </c>
      <c r="S414" s="3">
        <f>IF($I414="","",IFERROR(INDEX('CAT_TIPOS_OT'!$C$4:$C$7,MATCH($I414,'CAT_TIPOS_OT'!$A$4:$A$7,0)),"sin_clasificar"))</f>
        <v/>
      </c>
      <c r="T414" s="3">
        <f>IF($F414="","",IFERROR(INDEX('CAT_CENTROS_COSTO'!$E$4:$E$9,MATCH($F414,'CAT_CENTROS_COSTO'!$A$4:$A$9,0)),"(sin catálogo)"))</f>
        <v/>
      </c>
      <c r="U414" s="3">
        <f>IF($F414="","",IFERROR(INDEX('CAT_CENTROS_COSTO'!$D$4:$D$9,MATCH($F414,'CAT_CENTROS_COSTO'!$A$4:$A$9,0)),"(sin catálogo)"))</f>
        <v/>
      </c>
      <c r="V414" s="3">
        <f>IF($F414="","",IFERROR(INDEX('CAT_CENTROS_COSTO'!$F$4:$F$9,MATCH($F414,'CAT_CENTROS_COSTO'!$A$4:$A$9,0)),"(sin catálogo)"))</f>
        <v/>
      </c>
      <c r="W414" s="3">
        <f>IF($G414="","",IFERROR(INDEX('CAT_PUESTOS'!$B$4:$B$8,MATCH($G414,'CAT_PUESTOS'!$A$4:$A$8,0)),"(sin catálogo)"))</f>
        <v/>
      </c>
      <c r="X414" s="3">
        <f>IF($H414="","",IFERROR(INDEX('CAT_ACTIVIDADES'!$B$4:$B$8,MATCH($H414,'CAT_ACTIVIDADES'!$A$4:$A$8,0)),"(sin catálogo)"))</f>
        <v/>
      </c>
      <c r="Y414" s="12">
        <f>IF($J414="","",TODAY()-$J414)</f>
        <v/>
      </c>
      <c r="Z414" s="3">
        <f>IF($Y414="","",IF($Y414&lt;0,"FUTURO",IF($Y414&gt;p_dias_backlog_max,"BACKLOG","MES CORRIENTE")))</f>
        <v/>
      </c>
      <c r="AA414" s="3">
        <f>IF($Y414="",FALSE,AND($Y414&gt;p_dias_backlog_min,$Y414&lt;=p_dias_backlog_max))</f>
        <v/>
      </c>
      <c r="AB414" s="6" t="n"/>
      <c r="AC414" s="3">
        <f>IF($AB414="","",IFERROR(INDEX('ASIGNACIONES'!$F$4:$F$339,MATCH($O414&amp;"|"&amp;$R414&amp;"|"&amp;$AB414,'ASIGNACIONES'!$I$4:$I$339,0)),""))</f>
        <v/>
      </c>
      <c r="AD414" s="13">
        <f>IF($AB414="","",SUMIFS('ORDENES'!$M$4:$M$1203,'ORDENES'!$AB$4:$AB$1203,$AB414,'ORDENES'!$O$4:$O$1203,$O414,'ORDENES'!$R$4:$R$1203,$R414))</f>
        <v/>
      </c>
      <c r="AE414" s="13">
        <f>IF($AD414="","",p_factor_productividad*IFERROR(INDEX('ASIGNACIONES'!$H$4:$H$339,MATCH($O414&amp;"|"&amp;$R414&amp;"|"&amp;$AB414,'ASIGNACIONES'!$I$4:$I$339,0)),0)-$AD414)</f>
        <v/>
      </c>
      <c r="AF414" s="10">
        <f>IF($A414="","",IFERROR(INDEX('2_IMPORTAR_EJECUCION'!$F$9:$F$1208,MATCH($AN414,'2_IMPORTAR_EJECUCION'!$J$9:$J$1208,0)),0))</f>
        <v/>
      </c>
      <c r="AG414" s="10">
        <f>IF($A414="","",MAX(0,IFERROR(INDEX('2_IMPORTAR_EJECUCION'!$H$9:$H$1208,MATCH($AN414,'2_IMPORTAR_EJECUCION'!$J$9:$J$1208,0)),0)-$AF414))</f>
        <v/>
      </c>
      <c r="AH414" s="10">
        <f>IF($A414="","",$AF414+$AG414)</f>
        <v/>
      </c>
      <c r="AI414" s="6" t="n"/>
      <c r="AJ414" s="6" t="n"/>
      <c r="AK414" s="6" t="n"/>
      <c r="AL414" s="3">
        <f>IF($AK414="","",HYPERLINK(p_ruta_base_checklists&amp;$AK414,"abrir"))</f>
        <v/>
      </c>
      <c r="AM414" s="6" t="n"/>
      <c r="AN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1" t="n"/>
      <c r="K415" s="3" t="n"/>
      <c r="L415" s="10" t="n"/>
      <c r="M415" s="3">
        <f>IF($A415="","",IFERROR(INDEX('AJUSTES'!$B$4:$B$303,MATCH($AN415,'AJUSTES'!$A$4:$A$303,0)),IF($K415="","",$K415)))</f>
        <v/>
      </c>
      <c r="N415" s="3">
        <f>IF($A415="","",IFERROR(INDEX('CAT_ESTADOS_ERP'!$B$4:$B$7,MATCH(IFERROR(INDEX('2_IMPORTAR_EJECUCION'!$C$9:$C$1208,MATCH($AN415,'2_IMPORTAR_EJECUCION'!$J$9:$J$1208,0)),""),'CAT_ESTADOS_ERP'!$A$4:$A$7,0)),"Pendiente"))</f>
        <v/>
      </c>
      <c r="O415" s="3">
        <f>IF($J415="","",YEAR($J415+4-WEEKDAY($J415,2))&amp;"-S"&amp;TEXT(_xlfn.ISOWEEKNUM($J415),"00"))</f>
        <v/>
      </c>
      <c r="P415" s="3">
        <f>IF($J415="","",YEAR($J415))</f>
        <v/>
      </c>
      <c r="Q415" s="3">
        <f>IF($J415="","",MONTH($J415))</f>
        <v/>
      </c>
      <c r="R415" s="3">
        <f>IF($J415="","",INDEX(lista_dias,WEEKDAY($J415,2)))</f>
        <v/>
      </c>
      <c r="S415" s="3">
        <f>IF($I415="","",IFERROR(INDEX('CAT_TIPOS_OT'!$C$4:$C$7,MATCH($I415,'CAT_TIPOS_OT'!$A$4:$A$7,0)),"sin_clasificar"))</f>
        <v/>
      </c>
      <c r="T415" s="3">
        <f>IF($F415="","",IFERROR(INDEX('CAT_CENTROS_COSTO'!$E$4:$E$9,MATCH($F415,'CAT_CENTROS_COSTO'!$A$4:$A$9,0)),"(sin catálogo)"))</f>
        <v/>
      </c>
      <c r="U415" s="3">
        <f>IF($F415="","",IFERROR(INDEX('CAT_CENTROS_COSTO'!$D$4:$D$9,MATCH($F415,'CAT_CENTROS_COSTO'!$A$4:$A$9,0)),"(sin catálogo)"))</f>
        <v/>
      </c>
      <c r="V415" s="3">
        <f>IF($F415="","",IFERROR(INDEX('CAT_CENTROS_COSTO'!$F$4:$F$9,MATCH($F415,'CAT_CENTROS_COSTO'!$A$4:$A$9,0)),"(sin catálogo)"))</f>
        <v/>
      </c>
      <c r="W415" s="3">
        <f>IF($G415="","",IFERROR(INDEX('CAT_PUESTOS'!$B$4:$B$8,MATCH($G415,'CAT_PUESTOS'!$A$4:$A$8,0)),"(sin catálogo)"))</f>
        <v/>
      </c>
      <c r="X415" s="3">
        <f>IF($H415="","",IFERROR(INDEX('CAT_ACTIVIDADES'!$B$4:$B$8,MATCH($H415,'CAT_ACTIVIDADES'!$A$4:$A$8,0)),"(sin catálogo)"))</f>
        <v/>
      </c>
      <c r="Y415" s="12">
        <f>IF($J415="","",TODAY()-$J415)</f>
        <v/>
      </c>
      <c r="Z415" s="3">
        <f>IF($Y415="","",IF($Y415&lt;0,"FUTURO",IF($Y415&gt;p_dias_backlog_max,"BACKLOG","MES CORRIENTE")))</f>
        <v/>
      </c>
      <c r="AA415" s="3">
        <f>IF($Y415="",FALSE,AND($Y415&gt;p_dias_backlog_min,$Y415&lt;=p_dias_backlog_max))</f>
        <v/>
      </c>
      <c r="AB415" s="6" t="n"/>
      <c r="AC415" s="3">
        <f>IF($AB415="","",IFERROR(INDEX('ASIGNACIONES'!$F$4:$F$339,MATCH($O415&amp;"|"&amp;$R415&amp;"|"&amp;$AB415,'ASIGNACIONES'!$I$4:$I$339,0)),""))</f>
        <v/>
      </c>
      <c r="AD415" s="13">
        <f>IF($AB415="","",SUMIFS('ORDENES'!$M$4:$M$1203,'ORDENES'!$AB$4:$AB$1203,$AB415,'ORDENES'!$O$4:$O$1203,$O415,'ORDENES'!$R$4:$R$1203,$R415))</f>
        <v/>
      </c>
      <c r="AE415" s="13">
        <f>IF($AD415="","",p_factor_productividad*IFERROR(INDEX('ASIGNACIONES'!$H$4:$H$339,MATCH($O415&amp;"|"&amp;$R415&amp;"|"&amp;$AB415,'ASIGNACIONES'!$I$4:$I$339,0)),0)-$AD415)</f>
        <v/>
      </c>
      <c r="AF415" s="10">
        <f>IF($A415="","",IFERROR(INDEX('2_IMPORTAR_EJECUCION'!$F$9:$F$1208,MATCH($AN415,'2_IMPORTAR_EJECUCION'!$J$9:$J$1208,0)),0))</f>
        <v/>
      </c>
      <c r="AG415" s="10">
        <f>IF($A415="","",MAX(0,IFERROR(INDEX('2_IMPORTAR_EJECUCION'!$H$9:$H$1208,MATCH($AN415,'2_IMPORTAR_EJECUCION'!$J$9:$J$1208,0)),0)-$AF415))</f>
        <v/>
      </c>
      <c r="AH415" s="10">
        <f>IF($A415="","",$AF415+$AG415)</f>
        <v/>
      </c>
      <c r="AI415" s="6" t="n"/>
      <c r="AJ415" s="6" t="n"/>
      <c r="AK415" s="6" t="n"/>
      <c r="AL415" s="3">
        <f>IF($AK415="","",HYPERLINK(p_ruta_base_checklists&amp;$AK415,"abrir"))</f>
        <v/>
      </c>
      <c r="AM415" s="6" t="n"/>
      <c r="AN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1" t="n"/>
      <c r="K416" s="3" t="n"/>
      <c r="L416" s="10" t="n"/>
      <c r="M416" s="3">
        <f>IF($A416="","",IFERROR(INDEX('AJUSTES'!$B$4:$B$303,MATCH($AN416,'AJUSTES'!$A$4:$A$303,0)),IF($K416="","",$K416)))</f>
        <v/>
      </c>
      <c r="N416" s="3">
        <f>IF($A416="","",IFERROR(INDEX('CAT_ESTADOS_ERP'!$B$4:$B$7,MATCH(IFERROR(INDEX('2_IMPORTAR_EJECUCION'!$C$9:$C$1208,MATCH($AN416,'2_IMPORTAR_EJECUCION'!$J$9:$J$1208,0)),""),'CAT_ESTADOS_ERP'!$A$4:$A$7,0)),"Pendiente"))</f>
        <v/>
      </c>
      <c r="O416" s="3">
        <f>IF($J416="","",YEAR($J416+4-WEEKDAY($J416,2))&amp;"-S"&amp;TEXT(_xlfn.ISOWEEKNUM($J416),"00"))</f>
        <v/>
      </c>
      <c r="P416" s="3">
        <f>IF($J416="","",YEAR($J416))</f>
        <v/>
      </c>
      <c r="Q416" s="3">
        <f>IF($J416="","",MONTH($J416))</f>
        <v/>
      </c>
      <c r="R416" s="3">
        <f>IF($J416="","",INDEX(lista_dias,WEEKDAY($J416,2)))</f>
        <v/>
      </c>
      <c r="S416" s="3">
        <f>IF($I416="","",IFERROR(INDEX('CAT_TIPOS_OT'!$C$4:$C$7,MATCH($I416,'CAT_TIPOS_OT'!$A$4:$A$7,0)),"sin_clasificar"))</f>
        <v/>
      </c>
      <c r="T416" s="3">
        <f>IF($F416="","",IFERROR(INDEX('CAT_CENTROS_COSTO'!$E$4:$E$9,MATCH($F416,'CAT_CENTROS_COSTO'!$A$4:$A$9,0)),"(sin catálogo)"))</f>
        <v/>
      </c>
      <c r="U416" s="3">
        <f>IF($F416="","",IFERROR(INDEX('CAT_CENTROS_COSTO'!$D$4:$D$9,MATCH($F416,'CAT_CENTROS_COSTO'!$A$4:$A$9,0)),"(sin catálogo)"))</f>
        <v/>
      </c>
      <c r="V416" s="3">
        <f>IF($F416="","",IFERROR(INDEX('CAT_CENTROS_COSTO'!$F$4:$F$9,MATCH($F416,'CAT_CENTROS_COSTO'!$A$4:$A$9,0)),"(sin catálogo)"))</f>
        <v/>
      </c>
      <c r="W416" s="3">
        <f>IF($G416="","",IFERROR(INDEX('CAT_PUESTOS'!$B$4:$B$8,MATCH($G416,'CAT_PUESTOS'!$A$4:$A$8,0)),"(sin catálogo)"))</f>
        <v/>
      </c>
      <c r="X416" s="3">
        <f>IF($H416="","",IFERROR(INDEX('CAT_ACTIVIDADES'!$B$4:$B$8,MATCH($H416,'CAT_ACTIVIDADES'!$A$4:$A$8,0)),"(sin catálogo)"))</f>
        <v/>
      </c>
      <c r="Y416" s="12">
        <f>IF($J416="","",TODAY()-$J416)</f>
        <v/>
      </c>
      <c r="Z416" s="3">
        <f>IF($Y416="","",IF($Y416&lt;0,"FUTURO",IF($Y416&gt;p_dias_backlog_max,"BACKLOG","MES CORRIENTE")))</f>
        <v/>
      </c>
      <c r="AA416" s="3">
        <f>IF($Y416="",FALSE,AND($Y416&gt;p_dias_backlog_min,$Y416&lt;=p_dias_backlog_max))</f>
        <v/>
      </c>
      <c r="AB416" s="6" t="n"/>
      <c r="AC416" s="3">
        <f>IF($AB416="","",IFERROR(INDEX('ASIGNACIONES'!$F$4:$F$339,MATCH($O416&amp;"|"&amp;$R416&amp;"|"&amp;$AB416,'ASIGNACIONES'!$I$4:$I$339,0)),""))</f>
        <v/>
      </c>
      <c r="AD416" s="13">
        <f>IF($AB416="","",SUMIFS('ORDENES'!$M$4:$M$1203,'ORDENES'!$AB$4:$AB$1203,$AB416,'ORDENES'!$O$4:$O$1203,$O416,'ORDENES'!$R$4:$R$1203,$R416))</f>
        <v/>
      </c>
      <c r="AE416" s="13">
        <f>IF($AD416="","",p_factor_productividad*IFERROR(INDEX('ASIGNACIONES'!$H$4:$H$339,MATCH($O416&amp;"|"&amp;$R416&amp;"|"&amp;$AB416,'ASIGNACIONES'!$I$4:$I$339,0)),0)-$AD416)</f>
        <v/>
      </c>
      <c r="AF416" s="10">
        <f>IF($A416="","",IFERROR(INDEX('2_IMPORTAR_EJECUCION'!$F$9:$F$1208,MATCH($AN416,'2_IMPORTAR_EJECUCION'!$J$9:$J$1208,0)),0))</f>
        <v/>
      </c>
      <c r="AG416" s="10">
        <f>IF($A416="","",MAX(0,IFERROR(INDEX('2_IMPORTAR_EJECUCION'!$H$9:$H$1208,MATCH($AN416,'2_IMPORTAR_EJECUCION'!$J$9:$J$1208,0)),0)-$AF416))</f>
        <v/>
      </c>
      <c r="AH416" s="10">
        <f>IF($A416="","",$AF416+$AG416)</f>
        <v/>
      </c>
      <c r="AI416" s="6" t="n"/>
      <c r="AJ416" s="6" t="n"/>
      <c r="AK416" s="6" t="n"/>
      <c r="AL416" s="3">
        <f>IF($AK416="","",HYPERLINK(p_ruta_base_checklists&amp;$AK416,"abrir"))</f>
        <v/>
      </c>
      <c r="AM416" s="6" t="n"/>
      <c r="AN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1" t="n"/>
      <c r="K417" s="3" t="n"/>
      <c r="L417" s="10" t="n"/>
      <c r="M417" s="3">
        <f>IF($A417="","",IFERROR(INDEX('AJUSTES'!$B$4:$B$303,MATCH($AN417,'AJUSTES'!$A$4:$A$303,0)),IF($K417="","",$K417)))</f>
        <v/>
      </c>
      <c r="N417" s="3">
        <f>IF($A417="","",IFERROR(INDEX('CAT_ESTADOS_ERP'!$B$4:$B$7,MATCH(IFERROR(INDEX('2_IMPORTAR_EJECUCION'!$C$9:$C$1208,MATCH($AN417,'2_IMPORTAR_EJECUCION'!$J$9:$J$1208,0)),""),'CAT_ESTADOS_ERP'!$A$4:$A$7,0)),"Pendiente"))</f>
        <v/>
      </c>
      <c r="O417" s="3">
        <f>IF($J417="","",YEAR($J417+4-WEEKDAY($J417,2))&amp;"-S"&amp;TEXT(_xlfn.ISOWEEKNUM($J417),"00"))</f>
        <v/>
      </c>
      <c r="P417" s="3">
        <f>IF($J417="","",YEAR($J417))</f>
        <v/>
      </c>
      <c r="Q417" s="3">
        <f>IF($J417="","",MONTH($J417))</f>
        <v/>
      </c>
      <c r="R417" s="3">
        <f>IF($J417="","",INDEX(lista_dias,WEEKDAY($J417,2)))</f>
        <v/>
      </c>
      <c r="S417" s="3">
        <f>IF($I417="","",IFERROR(INDEX('CAT_TIPOS_OT'!$C$4:$C$7,MATCH($I417,'CAT_TIPOS_OT'!$A$4:$A$7,0)),"sin_clasificar"))</f>
        <v/>
      </c>
      <c r="T417" s="3">
        <f>IF($F417="","",IFERROR(INDEX('CAT_CENTROS_COSTO'!$E$4:$E$9,MATCH($F417,'CAT_CENTROS_COSTO'!$A$4:$A$9,0)),"(sin catálogo)"))</f>
        <v/>
      </c>
      <c r="U417" s="3">
        <f>IF($F417="","",IFERROR(INDEX('CAT_CENTROS_COSTO'!$D$4:$D$9,MATCH($F417,'CAT_CENTROS_COSTO'!$A$4:$A$9,0)),"(sin catálogo)"))</f>
        <v/>
      </c>
      <c r="V417" s="3">
        <f>IF($F417="","",IFERROR(INDEX('CAT_CENTROS_COSTO'!$F$4:$F$9,MATCH($F417,'CAT_CENTROS_COSTO'!$A$4:$A$9,0)),"(sin catálogo)"))</f>
        <v/>
      </c>
      <c r="W417" s="3">
        <f>IF($G417="","",IFERROR(INDEX('CAT_PUESTOS'!$B$4:$B$8,MATCH($G417,'CAT_PUESTOS'!$A$4:$A$8,0)),"(sin catálogo)"))</f>
        <v/>
      </c>
      <c r="X417" s="3">
        <f>IF($H417="","",IFERROR(INDEX('CAT_ACTIVIDADES'!$B$4:$B$8,MATCH($H417,'CAT_ACTIVIDADES'!$A$4:$A$8,0)),"(sin catálogo)"))</f>
        <v/>
      </c>
      <c r="Y417" s="12">
        <f>IF($J417="","",TODAY()-$J417)</f>
        <v/>
      </c>
      <c r="Z417" s="3">
        <f>IF($Y417="","",IF($Y417&lt;0,"FUTURO",IF($Y417&gt;p_dias_backlog_max,"BACKLOG","MES CORRIENTE")))</f>
        <v/>
      </c>
      <c r="AA417" s="3">
        <f>IF($Y417="",FALSE,AND($Y417&gt;p_dias_backlog_min,$Y417&lt;=p_dias_backlog_max))</f>
        <v/>
      </c>
      <c r="AB417" s="6" t="n"/>
      <c r="AC417" s="3">
        <f>IF($AB417="","",IFERROR(INDEX('ASIGNACIONES'!$F$4:$F$339,MATCH($O417&amp;"|"&amp;$R417&amp;"|"&amp;$AB417,'ASIGNACIONES'!$I$4:$I$339,0)),""))</f>
        <v/>
      </c>
      <c r="AD417" s="13">
        <f>IF($AB417="","",SUMIFS('ORDENES'!$M$4:$M$1203,'ORDENES'!$AB$4:$AB$1203,$AB417,'ORDENES'!$O$4:$O$1203,$O417,'ORDENES'!$R$4:$R$1203,$R417))</f>
        <v/>
      </c>
      <c r="AE417" s="13">
        <f>IF($AD417="","",p_factor_productividad*IFERROR(INDEX('ASIGNACIONES'!$H$4:$H$339,MATCH($O417&amp;"|"&amp;$R417&amp;"|"&amp;$AB417,'ASIGNACIONES'!$I$4:$I$339,0)),0)-$AD417)</f>
        <v/>
      </c>
      <c r="AF417" s="10">
        <f>IF($A417="","",IFERROR(INDEX('2_IMPORTAR_EJECUCION'!$F$9:$F$1208,MATCH($AN417,'2_IMPORTAR_EJECUCION'!$J$9:$J$1208,0)),0))</f>
        <v/>
      </c>
      <c r="AG417" s="10">
        <f>IF($A417="","",MAX(0,IFERROR(INDEX('2_IMPORTAR_EJECUCION'!$H$9:$H$1208,MATCH($AN417,'2_IMPORTAR_EJECUCION'!$J$9:$J$1208,0)),0)-$AF417))</f>
        <v/>
      </c>
      <c r="AH417" s="10">
        <f>IF($A417="","",$AF417+$AG417)</f>
        <v/>
      </c>
      <c r="AI417" s="6" t="n"/>
      <c r="AJ417" s="6" t="n"/>
      <c r="AK417" s="6" t="n"/>
      <c r="AL417" s="3">
        <f>IF($AK417="","",HYPERLINK(p_ruta_base_checklists&amp;$AK417,"abrir"))</f>
        <v/>
      </c>
      <c r="AM417" s="6" t="n"/>
      <c r="AN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1" t="n"/>
      <c r="K418" s="3" t="n"/>
      <c r="L418" s="10" t="n"/>
      <c r="M418" s="3">
        <f>IF($A418="","",IFERROR(INDEX('AJUSTES'!$B$4:$B$303,MATCH($AN418,'AJUSTES'!$A$4:$A$303,0)),IF($K418="","",$K418)))</f>
        <v/>
      </c>
      <c r="N418" s="3">
        <f>IF($A418="","",IFERROR(INDEX('CAT_ESTADOS_ERP'!$B$4:$B$7,MATCH(IFERROR(INDEX('2_IMPORTAR_EJECUCION'!$C$9:$C$1208,MATCH($AN418,'2_IMPORTAR_EJECUCION'!$J$9:$J$1208,0)),""),'CAT_ESTADOS_ERP'!$A$4:$A$7,0)),"Pendiente"))</f>
        <v/>
      </c>
      <c r="O418" s="3">
        <f>IF($J418="","",YEAR($J418+4-WEEKDAY($J418,2))&amp;"-S"&amp;TEXT(_xlfn.ISOWEEKNUM($J418),"00"))</f>
        <v/>
      </c>
      <c r="P418" s="3">
        <f>IF($J418="","",YEAR($J418))</f>
        <v/>
      </c>
      <c r="Q418" s="3">
        <f>IF($J418="","",MONTH($J418))</f>
        <v/>
      </c>
      <c r="R418" s="3">
        <f>IF($J418="","",INDEX(lista_dias,WEEKDAY($J418,2)))</f>
        <v/>
      </c>
      <c r="S418" s="3">
        <f>IF($I418="","",IFERROR(INDEX('CAT_TIPOS_OT'!$C$4:$C$7,MATCH($I418,'CAT_TIPOS_OT'!$A$4:$A$7,0)),"sin_clasificar"))</f>
        <v/>
      </c>
      <c r="T418" s="3">
        <f>IF($F418="","",IFERROR(INDEX('CAT_CENTROS_COSTO'!$E$4:$E$9,MATCH($F418,'CAT_CENTROS_COSTO'!$A$4:$A$9,0)),"(sin catálogo)"))</f>
        <v/>
      </c>
      <c r="U418" s="3">
        <f>IF($F418="","",IFERROR(INDEX('CAT_CENTROS_COSTO'!$D$4:$D$9,MATCH($F418,'CAT_CENTROS_COSTO'!$A$4:$A$9,0)),"(sin catálogo)"))</f>
        <v/>
      </c>
      <c r="V418" s="3">
        <f>IF($F418="","",IFERROR(INDEX('CAT_CENTROS_COSTO'!$F$4:$F$9,MATCH($F418,'CAT_CENTROS_COSTO'!$A$4:$A$9,0)),"(sin catálogo)"))</f>
        <v/>
      </c>
      <c r="W418" s="3">
        <f>IF($G418="","",IFERROR(INDEX('CAT_PUESTOS'!$B$4:$B$8,MATCH($G418,'CAT_PUESTOS'!$A$4:$A$8,0)),"(sin catálogo)"))</f>
        <v/>
      </c>
      <c r="X418" s="3">
        <f>IF($H418="","",IFERROR(INDEX('CAT_ACTIVIDADES'!$B$4:$B$8,MATCH($H418,'CAT_ACTIVIDADES'!$A$4:$A$8,0)),"(sin catálogo)"))</f>
        <v/>
      </c>
      <c r="Y418" s="12">
        <f>IF($J418="","",TODAY()-$J418)</f>
        <v/>
      </c>
      <c r="Z418" s="3">
        <f>IF($Y418="","",IF($Y418&lt;0,"FUTURO",IF($Y418&gt;p_dias_backlog_max,"BACKLOG","MES CORRIENTE")))</f>
        <v/>
      </c>
      <c r="AA418" s="3">
        <f>IF($Y418="",FALSE,AND($Y418&gt;p_dias_backlog_min,$Y418&lt;=p_dias_backlog_max))</f>
        <v/>
      </c>
      <c r="AB418" s="6" t="n"/>
      <c r="AC418" s="3">
        <f>IF($AB418="","",IFERROR(INDEX('ASIGNACIONES'!$F$4:$F$339,MATCH($O418&amp;"|"&amp;$R418&amp;"|"&amp;$AB418,'ASIGNACIONES'!$I$4:$I$339,0)),""))</f>
        <v/>
      </c>
      <c r="AD418" s="13">
        <f>IF($AB418="","",SUMIFS('ORDENES'!$M$4:$M$1203,'ORDENES'!$AB$4:$AB$1203,$AB418,'ORDENES'!$O$4:$O$1203,$O418,'ORDENES'!$R$4:$R$1203,$R418))</f>
        <v/>
      </c>
      <c r="AE418" s="13">
        <f>IF($AD418="","",p_factor_productividad*IFERROR(INDEX('ASIGNACIONES'!$H$4:$H$339,MATCH($O418&amp;"|"&amp;$R418&amp;"|"&amp;$AB418,'ASIGNACIONES'!$I$4:$I$339,0)),0)-$AD418)</f>
        <v/>
      </c>
      <c r="AF418" s="10">
        <f>IF($A418="","",IFERROR(INDEX('2_IMPORTAR_EJECUCION'!$F$9:$F$1208,MATCH($AN418,'2_IMPORTAR_EJECUCION'!$J$9:$J$1208,0)),0))</f>
        <v/>
      </c>
      <c r="AG418" s="10">
        <f>IF($A418="","",MAX(0,IFERROR(INDEX('2_IMPORTAR_EJECUCION'!$H$9:$H$1208,MATCH($AN418,'2_IMPORTAR_EJECUCION'!$J$9:$J$1208,0)),0)-$AF418))</f>
        <v/>
      </c>
      <c r="AH418" s="10">
        <f>IF($A418="","",$AF418+$AG418)</f>
        <v/>
      </c>
      <c r="AI418" s="6" t="n"/>
      <c r="AJ418" s="6" t="n"/>
      <c r="AK418" s="6" t="n"/>
      <c r="AL418" s="3">
        <f>IF($AK418="","",HYPERLINK(p_ruta_base_checklists&amp;$AK418,"abrir"))</f>
        <v/>
      </c>
      <c r="AM418" s="6" t="n"/>
      <c r="AN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1" t="n"/>
      <c r="K419" s="3" t="n"/>
      <c r="L419" s="10" t="n"/>
      <c r="M419" s="3">
        <f>IF($A419="","",IFERROR(INDEX('AJUSTES'!$B$4:$B$303,MATCH($AN419,'AJUSTES'!$A$4:$A$303,0)),IF($K419="","",$K419)))</f>
        <v/>
      </c>
      <c r="N419" s="3">
        <f>IF($A419="","",IFERROR(INDEX('CAT_ESTADOS_ERP'!$B$4:$B$7,MATCH(IFERROR(INDEX('2_IMPORTAR_EJECUCION'!$C$9:$C$1208,MATCH($AN419,'2_IMPORTAR_EJECUCION'!$J$9:$J$1208,0)),""),'CAT_ESTADOS_ERP'!$A$4:$A$7,0)),"Pendiente"))</f>
        <v/>
      </c>
      <c r="O419" s="3">
        <f>IF($J419="","",YEAR($J419+4-WEEKDAY($J419,2))&amp;"-S"&amp;TEXT(_xlfn.ISOWEEKNUM($J419),"00"))</f>
        <v/>
      </c>
      <c r="P419" s="3">
        <f>IF($J419="","",YEAR($J419))</f>
        <v/>
      </c>
      <c r="Q419" s="3">
        <f>IF($J419="","",MONTH($J419))</f>
        <v/>
      </c>
      <c r="R419" s="3">
        <f>IF($J419="","",INDEX(lista_dias,WEEKDAY($J419,2)))</f>
        <v/>
      </c>
      <c r="S419" s="3">
        <f>IF($I419="","",IFERROR(INDEX('CAT_TIPOS_OT'!$C$4:$C$7,MATCH($I419,'CAT_TIPOS_OT'!$A$4:$A$7,0)),"sin_clasificar"))</f>
        <v/>
      </c>
      <c r="T419" s="3">
        <f>IF($F419="","",IFERROR(INDEX('CAT_CENTROS_COSTO'!$E$4:$E$9,MATCH($F419,'CAT_CENTROS_COSTO'!$A$4:$A$9,0)),"(sin catálogo)"))</f>
        <v/>
      </c>
      <c r="U419" s="3">
        <f>IF($F419="","",IFERROR(INDEX('CAT_CENTROS_COSTO'!$D$4:$D$9,MATCH($F419,'CAT_CENTROS_COSTO'!$A$4:$A$9,0)),"(sin catálogo)"))</f>
        <v/>
      </c>
      <c r="V419" s="3">
        <f>IF($F419="","",IFERROR(INDEX('CAT_CENTROS_COSTO'!$F$4:$F$9,MATCH($F419,'CAT_CENTROS_COSTO'!$A$4:$A$9,0)),"(sin catálogo)"))</f>
        <v/>
      </c>
      <c r="W419" s="3">
        <f>IF($G419="","",IFERROR(INDEX('CAT_PUESTOS'!$B$4:$B$8,MATCH($G419,'CAT_PUESTOS'!$A$4:$A$8,0)),"(sin catálogo)"))</f>
        <v/>
      </c>
      <c r="X419" s="3">
        <f>IF($H419="","",IFERROR(INDEX('CAT_ACTIVIDADES'!$B$4:$B$8,MATCH($H419,'CAT_ACTIVIDADES'!$A$4:$A$8,0)),"(sin catálogo)"))</f>
        <v/>
      </c>
      <c r="Y419" s="12">
        <f>IF($J419="","",TODAY()-$J419)</f>
        <v/>
      </c>
      <c r="Z419" s="3">
        <f>IF($Y419="","",IF($Y419&lt;0,"FUTURO",IF($Y419&gt;p_dias_backlog_max,"BACKLOG","MES CORRIENTE")))</f>
        <v/>
      </c>
      <c r="AA419" s="3">
        <f>IF($Y419="",FALSE,AND($Y419&gt;p_dias_backlog_min,$Y419&lt;=p_dias_backlog_max))</f>
        <v/>
      </c>
      <c r="AB419" s="6" t="n"/>
      <c r="AC419" s="3">
        <f>IF($AB419="","",IFERROR(INDEX('ASIGNACIONES'!$F$4:$F$339,MATCH($O419&amp;"|"&amp;$R419&amp;"|"&amp;$AB419,'ASIGNACIONES'!$I$4:$I$339,0)),""))</f>
        <v/>
      </c>
      <c r="AD419" s="13">
        <f>IF($AB419="","",SUMIFS('ORDENES'!$M$4:$M$1203,'ORDENES'!$AB$4:$AB$1203,$AB419,'ORDENES'!$O$4:$O$1203,$O419,'ORDENES'!$R$4:$R$1203,$R419))</f>
        <v/>
      </c>
      <c r="AE419" s="13">
        <f>IF($AD419="","",p_factor_productividad*IFERROR(INDEX('ASIGNACIONES'!$H$4:$H$339,MATCH($O419&amp;"|"&amp;$R419&amp;"|"&amp;$AB419,'ASIGNACIONES'!$I$4:$I$339,0)),0)-$AD419)</f>
        <v/>
      </c>
      <c r="AF419" s="10">
        <f>IF($A419="","",IFERROR(INDEX('2_IMPORTAR_EJECUCION'!$F$9:$F$1208,MATCH($AN419,'2_IMPORTAR_EJECUCION'!$J$9:$J$1208,0)),0))</f>
        <v/>
      </c>
      <c r="AG419" s="10">
        <f>IF($A419="","",MAX(0,IFERROR(INDEX('2_IMPORTAR_EJECUCION'!$H$9:$H$1208,MATCH($AN419,'2_IMPORTAR_EJECUCION'!$J$9:$J$1208,0)),0)-$AF419))</f>
        <v/>
      </c>
      <c r="AH419" s="10">
        <f>IF($A419="","",$AF419+$AG419)</f>
        <v/>
      </c>
      <c r="AI419" s="6" t="n"/>
      <c r="AJ419" s="6" t="n"/>
      <c r="AK419" s="6" t="n"/>
      <c r="AL419" s="3">
        <f>IF($AK419="","",HYPERLINK(p_ruta_base_checklists&amp;$AK419,"abrir"))</f>
        <v/>
      </c>
      <c r="AM419" s="6" t="n"/>
      <c r="AN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1" t="n"/>
      <c r="K420" s="3" t="n"/>
      <c r="L420" s="10" t="n"/>
      <c r="M420" s="3">
        <f>IF($A420="","",IFERROR(INDEX('AJUSTES'!$B$4:$B$303,MATCH($AN420,'AJUSTES'!$A$4:$A$303,0)),IF($K420="","",$K420)))</f>
        <v/>
      </c>
      <c r="N420" s="3">
        <f>IF($A420="","",IFERROR(INDEX('CAT_ESTADOS_ERP'!$B$4:$B$7,MATCH(IFERROR(INDEX('2_IMPORTAR_EJECUCION'!$C$9:$C$1208,MATCH($AN420,'2_IMPORTAR_EJECUCION'!$J$9:$J$1208,0)),""),'CAT_ESTADOS_ERP'!$A$4:$A$7,0)),"Pendiente"))</f>
        <v/>
      </c>
      <c r="O420" s="3">
        <f>IF($J420="","",YEAR($J420+4-WEEKDAY($J420,2))&amp;"-S"&amp;TEXT(_xlfn.ISOWEEKNUM($J420),"00"))</f>
        <v/>
      </c>
      <c r="P420" s="3">
        <f>IF($J420="","",YEAR($J420))</f>
        <v/>
      </c>
      <c r="Q420" s="3">
        <f>IF($J420="","",MONTH($J420))</f>
        <v/>
      </c>
      <c r="R420" s="3">
        <f>IF($J420="","",INDEX(lista_dias,WEEKDAY($J420,2)))</f>
        <v/>
      </c>
      <c r="S420" s="3">
        <f>IF($I420="","",IFERROR(INDEX('CAT_TIPOS_OT'!$C$4:$C$7,MATCH($I420,'CAT_TIPOS_OT'!$A$4:$A$7,0)),"sin_clasificar"))</f>
        <v/>
      </c>
      <c r="T420" s="3">
        <f>IF($F420="","",IFERROR(INDEX('CAT_CENTROS_COSTO'!$E$4:$E$9,MATCH($F420,'CAT_CENTROS_COSTO'!$A$4:$A$9,0)),"(sin catálogo)"))</f>
        <v/>
      </c>
      <c r="U420" s="3">
        <f>IF($F420="","",IFERROR(INDEX('CAT_CENTROS_COSTO'!$D$4:$D$9,MATCH($F420,'CAT_CENTROS_COSTO'!$A$4:$A$9,0)),"(sin catálogo)"))</f>
        <v/>
      </c>
      <c r="V420" s="3">
        <f>IF($F420="","",IFERROR(INDEX('CAT_CENTROS_COSTO'!$F$4:$F$9,MATCH($F420,'CAT_CENTROS_COSTO'!$A$4:$A$9,0)),"(sin catálogo)"))</f>
        <v/>
      </c>
      <c r="W420" s="3">
        <f>IF($G420="","",IFERROR(INDEX('CAT_PUESTOS'!$B$4:$B$8,MATCH($G420,'CAT_PUESTOS'!$A$4:$A$8,0)),"(sin catálogo)"))</f>
        <v/>
      </c>
      <c r="X420" s="3">
        <f>IF($H420="","",IFERROR(INDEX('CAT_ACTIVIDADES'!$B$4:$B$8,MATCH($H420,'CAT_ACTIVIDADES'!$A$4:$A$8,0)),"(sin catálogo)"))</f>
        <v/>
      </c>
      <c r="Y420" s="12">
        <f>IF($J420="","",TODAY()-$J420)</f>
        <v/>
      </c>
      <c r="Z420" s="3">
        <f>IF($Y420="","",IF($Y420&lt;0,"FUTURO",IF($Y420&gt;p_dias_backlog_max,"BACKLOG","MES CORRIENTE")))</f>
        <v/>
      </c>
      <c r="AA420" s="3">
        <f>IF($Y420="",FALSE,AND($Y420&gt;p_dias_backlog_min,$Y420&lt;=p_dias_backlog_max))</f>
        <v/>
      </c>
      <c r="AB420" s="6" t="n"/>
      <c r="AC420" s="3">
        <f>IF($AB420="","",IFERROR(INDEX('ASIGNACIONES'!$F$4:$F$339,MATCH($O420&amp;"|"&amp;$R420&amp;"|"&amp;$AB420,'ASIGNACIONES'!$I$4:$I$339,0)),""))</f>
        <v/>
      </c>
      <c r="AD420" s="13">
        <f>IF($AB420="","",SUMIFS('ORDENES'!$M$4:$M$1203,'ORDENES'!$AB$4:$AB$1203,$AB420,'ORDENES'!$O$4:$O$1203,$O420,'ORDENES'!$R$4:$R$1203,$R420))</f>
        <v/>
      </c>
      <c r="AE420" s="13">
        <f>IF($AD420="","",p_factor_productividad*IFERROR(INDEX('ASIGNACIONES'!$H$4:$H$339,MATCH($O420&amp;"|"&amp;$R420&amp;"|"&amp;$AB420,'ASIGNACIONES'!$I$4:$I$339,0)),0)-$AD420)</f>
        <v/>
      </c>
      <c r="AF420" s="10">
        <f>IF($A420="","",IFERROR(INDEX('2_IMPORTAR_EJECUCION'!$F$9:$F$1208,MATCH($AN420,'2_IMPORTAR_EJECUCION'!$J$9:$J$1208,0)),0))</f>
        <v/>
      </c>
      <c r="AG420" s="10">
        <f>IF($A420="","",MAX(0,IFERROR(INDEX('2_IMPORTAR_EJECUCION'!$H$9:$H$1208,MATCH($AN420,'2_IMPORTAR_EJECUCION'!$J$9:$J$1208,0)),0)-$AF420))</f>
        <v/>
      </c>
      <c r="AH420" s="10">
        <f>IF($A420="","",$AF420+$AG420)</f>
        <v/>
      </c>
      <c r="AI420" s="6" t="n"/>
      <c r="AJ420" s="6" t="n"/>
      <c r="AK420" s="6" t="n"/>
      <c r="AL420" s="3">
        <f>IF($AK420="","",HYPERLINK(p_ruta_base_checklists&amp;$AK420,"abrir"))</f>
        <v/>
      </c>
      <c r="AM420" s="6" t="n"/>
      <c r="AN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1" t="n"/>
      <c r="K421" s="3" t="n"/>
      <c r="L421" s="10" t="n"/>
      <c r="M421" s="3">
        <f>IF($A421="","",IFERROR(INDEX('AJUSTES'!$B$4:$B$303,MATCH($AN421,'AJUSTES'!$A$4:$A$303,0)),IF($K421="","",$K421)))</f>
        <v/>
      </c>
      <c r="N421" s="3">
        <f>IF($A421="","",IFERROR(INDEX('CAT_ESTADOS_ERP'!$B$4:$B$7,MATCH(IFERROR(INDEX('2_IMPORTAR_EJECUCION'!$C$9:$C$1208,MATCH($AN421,'2_IMPORTAR_EJECUCION'!$J$9:$J$1208,0)),""),'CAT_ESTADOS_ERP'!$A$4:$A$7,0)),"Pendiente"))</f>
        <v/>
      </c>
      <c r="O421" s="3">
        <f>IF($J421="","",YEAR($J421+4-WEEKDAY($J421,2))&amp;"-S"&amp;TEXT(_xlfn.ISOWEEKNUM($J421),"00"))</f>
        <v/>
      </c>
      <c r="P421" s="3">
        <f>IF($J421="","",YEAR($J421))</f>
        <v/>
      </c>
      <c r="Q421" s="3">
        <f>IF($J421="","",MONTH($J421))</f>
        <v/>
      </c>
      <c r="R421" s="3">
        <f>IF($J421="","",INDEX(lista_dias,WEEKDAY($J421,2)))</f>
        <v/>
      </c>
      <c r="S421" s="3">
        <f>IF($I421="","",IFERROR(INDEX('CAT_TIPOS_OT'!$C$4:$C$7,MATCH($I421,'CAT_TIPOS_OT'!$A$4:$A$7,0)),"sin_clasificar"))</f>
        <v/>
      </c>
      <c r="T421" s="3">
        <f>IF($F421="","",IFERROR(INDEX('CAT_CENTROS_COSTO'!$E$4:$E$9,MATCH($F421,'CAT_CENTROS_COSTO'!$A$4:$A$9,0)),"(sin catálogo)"))</f>
        <v/>
      </c>
      <c r="U421" s="3">
        <f>IF($F421="","",IFERROR(INDEX('CAT_CENTROS_COSTO'!$D$4:$D$9,MATCH($F421,'CAT_CENTROS_COSTO'!$A$4:$A$9,0)),"(sin catálogo)"))</f>
        <v/>
      </c>
      <c r="V421" s="3">
        <f>IF($F421="","",IFERROR(INDEX('CAT_CENTROS_COSTO'!$F$4:$F$9,MATCH($F421,'CAT_CENTROS_COSTO'!$A$4:$A$9,0)),"(sin catálogo)"))</f>
        <v/>
      </c>
      <c r="W421" s="3">
        <f>IF($G421="","",IFERROR(INDEX('CAT_PUESTOS'!$B$4:$B$8,MATCH($G421,'CAT_PUESTOS'!$A$4:$A$8,0)),"(sin catálogo)"))</f>
        <v/>
      </c>
      <c r="X421" s="3">
        <f>IF($H421="","",IFERROR(INDEX('CAT_ACTIVIDADES'!$B$4:$B$8,MATCH($H421,'CAT_ACTIVIDADES'!$A$4:$A$8,0)),"(sin catálogo)"))</f>
        <v/>
      </c>
      <c r="Y421" s="12">
        <f>IF($J421="","",TODAY()-$J421)</f>
        <v/>
      </c>
      <c r="Z421" s="3">
        <f>IF($Y421="","",IF($Y421&lt;0,"FUTURO",IF($Y421&gt;p_dias_backlog_max,"BACKLOG","MES CORRIENTE")))</f>
        <v/>
      </c>
      <c r="AA421" s="3">
        <f>IF($Y421="",FALSE,AND($Y421&gt;p_dias_backlog_min,$Y421&lt;=p_dias_backlog_max))</f>
        <v/>
      </c>
      <c r="AB421" s="6" t="n"/>
      <c r="AC421" s="3">
        <f>IF($AB421="","",IFERROR(INDEX('ASIGNACIONES'!$F$4:$F$339,MATCH($O421&amp;"|"&amp;$R421&amp;"|"&amp;$AB421,'ASIGNACIONES'!$I$4:$I$339,0)),""))</f>
        <v/>
      </c>
      <c r="AD421" s="13">
        <f>IF($AB421="","",SUMIFS('ORDENES'!$M$4:$M$1203,'ORDENES'!$AB$4:$AB$1203,$AB421,'ORDENES'!$O$4:$O$1203,$O421,'ORDENES'!$R$4:$R$1203,$R421))</f>
        <v/>
      </c>
      <c r="AE421" s="13">
        <f>IF($AD421="","",p_factor_productividad*IFERROR(INDEX('ASIGNACIONES'!$H$4:$H$339,MATCH($O421&amp;"|"&amp;$R421&amp;"|"&amp;$AB421,'ASIGNACIONES'!$I$4:$I$339,0)),0)-$AD421)</f>
        <v/>
      </c>
      <c r="AF421" s="10">
        <f>IF($A421="","",IFERROR(INDEX('2_IMPORTAR_EJECUCION'!$F$9:$F$1208,MATCH($AN421,'2_IMPORTAR_EJECUCION'!$J$9:$J$1208,0)),0))</f>
        <v/>
      </c>
      <c r="AG421" s="10">
        <f>IF($A421="","",MAX(0,IFERROR(INDEX('2_IMPORTAR_EJECUCION'!$H$9:$H$1208,MATCH($AN421,'2_IMPORTAR_EJECUCION'!$J$9:$J$1208,0)),0)-$AF421))</f>
        <v/>
      </c>
      <c r="AH421" s="10">
        <f>IF($A421="","",$AF421+$AG421)</f>
        <v/>
      </c>
      <c r="AI421" s="6" t="n"/>
      <c r="AJ421" s="6" t="n"/>
      <c r="AK421" s="6" t="n"/>
      <c r="AL421" s="3">
        <f>IF($AK421="","",HYPERLINK(p_ruta_base_checklists&amp;$AK421,"abrir"))</f>
        <v/>
      </c>
      <c r="AM421" s="6" t="n"/>
      <c r="AN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1" t="n"/>
      <c r="K422" s="3" t="n"/>
      <c r="L422" s="10" t="n"/>
      <c r="M422" s="3">
        <f>IF($A422="","",IFERROR(INDEX('AJUSTES'!$B$4:$B$303,MATCH($AN422,'AJUSTES'!$A$4:$A$303,0)),IF($K422="","",$K422)))</f>
        <v/>
      </c>
      <c r="N422" s="3">
        <f>IF($A422="","",IFERROR(INDEX('CAT_ESTADOS_ERP'!$B$4:$B$7,MATCH(IFERROR(INDEX('2_IMPORTAR_EJECUCION'!$C$9:$C$1208,MATCH($AN422,'2_IMPORTAR_EJECUCION'!$J$9:$J$1208,0)),""),'CAT_ESTADOS_ERP'!$A$4:$A$7,0)),"Pendiente"))</f>
        <v/>
      </c>
      <c r="O422" s="3">
        <f>IF($J422="","",YEAR($J422+4-WEEKDAY($J422,2))&amp;"-S"&amp;TEXT(_xlfn.ISOWEEKNUM($J422),"00"))</f>
        <v/>
      </c>
      <c r="P422" s="3">
        <f>IF($J422="","",YEAR($J422))</f>
        <v/>
      </c>
      <c r="Q422" s="3">
        <f>IF($J422="","",MONTH($J422))</f>
        <v/>
      </c>
      <c r="R422" s="3">
        <f>IF($J422="","",INDEX(lista_dias,WEEKDAY($J422,2)))</f>
        <v/>
      </c>
      <c r="S422" s="3">
        <f>IF($I422="","",IFERROR(INDEX('CAT_TIPOS_OT'!$C$4:$C$7,MATCH($I422,'CAT_TIPOS_OT'!$A$4:$A$7,0)),"sin_clasificar"))</f>
        <v/>
      </c>
      <c r="T422" s="3">
        <f>IF($F422="","",IFERROR(INDEX('CAT_CENTROS_COSTO'!$E$4:$E$9,MATCH($F422,'CAT_CENTROS_COSTO'!$A$4:$A$9,0)),"(sin catálogo)"))</f>
        <v/>
      </c>
      <c r="U422" s="3">
        <f>IF($F422="","",IFERROR(INDEX('CAT_CENTROS_COSTO'!$D$4:$D$9,MATCH($F422,'CAT_CENTROS_COSTO'!$A$4:$A$9,0)),"(sin catálogo)"))</f>
        <v/>
      </c>
      <c r="V422" s="3">
        <f>IF($F422="","",IFERROR(INDEX('CAT_CENTROS_COSTO'!$F$4:$F$9,MATCH($F422,'CAT_CENTROS_COSTO'!$A$4:$A$9,0)),"(sin catálogo)"))</f>
        <v/>
      </c>
      <c r="W422" s="3">
        <f>IF($G422="","",IFERROR(INDEX('CAT_PUESTOS'!$B$4:$B$8,MATCH($G422,'CAT_PUESTOS'!$A$4:$A$8,0)),"(sin catálogo)"))</f>
        <v/>
      </c>
      <c r="X422" s="3">
        <f>IF($H422="","",IFERROR(INDEX('CAT_ACTIVIDADES'!$B$4:$B$8,MATCH($H422,'CAT_ACTIVIDADES'!$A$4:$A$8,0)),"(sin catálogo)"))</f>
        <v/>
      </c>
      <c r="Y422" s="12">
        <f>IF($J422="","",TODAY()-$J422)</f>
        <v/>
      </c>
      <c r="Z422" s="3">
        <f>IF($Y422="","",IF($Y422&lt;0,"FUTURO",IF($Y422&gt;p_dias_backlog_max,"BACKLOG","MES CORRIENTE")))</f>
        <v/>
      </c>
      <c r="AA422" s="3">
        <f>IF($Y422="",FALSE,AND($Y422&gt;p_dias_backlog_min,$Y422&lt;=p_dias_backlog_max))</f>
        <v/>
      </c>
      <c r="AB422" s="6" t="n"/>
      <c r="AC422" s="3">
        <f>IF($AB422="","",IFERROR(INDEX('ASIGNACIONES'!$F$4:$F$339,MATCH($O422&amp;"|"&amp;$R422&amp;"|"&amp;$AB422,'ASIGNACIONES'!$I$4:$I$339,0)),""))</f>
        <v/>
      </c>
      <c r="AD422" s="13">
        <f>IF($AB422="","",SUMIFS('ORDENES'!$M$4:$M$1203,'ORDENES'!$AB$4:$AB$1203,$AB422,'ORDENES'!$O$4:$O$1203,$O422,'ORDENES'!$R$4:$R$1203,$R422))</f>
        <v/>
      </c>
      <c r="AE422" s="13">
        <f>IF($AD422="","",p_factor_productividad*IFERROR(INDEX('ASIGNACIONES'!$H$4:$H$339,MATCH($O422&amp;"|"&amp;$R422&amp;"|"&amp;$AB422,'ASIGNACIONES'!$I$4:$I$339,0)),0)-$AD422)</f>
        <v/>
      </c>
      <c r="AF422" s="10">
        <f>IF($A422="","",IFERROR(INDEX('2_IMPORTAR_EJECUCION'!$F$9:$F$1208,MATCH($AN422,'2_IMPORTAR_EJECUCION'!$J$9:$J$1208,0)),0))</f>
        <v/>
      </c>
      <c r="AG422" s="10">
        <f>IF($A422="","",MAX(0,IFERROR(INDEX('2_IMPORTAR_EJECUCION'!$H$9:$H$1208,MATCH($AN422,'2_IMPORTAR_EJECUCION'!$J$9:$J$1208,0)),0)-$AF422))</f>
        <v/>
      </c>
      <c r="AH422" s="10">
        <f>IF($A422="","",$AF422+$AG422)</f>
        <v/>
      </c>
      <c r="AI422" s="6" t="n"/>
      <c r="AJ422" s="6" t="n"/>
      <c r="AK422" s="6" t="n"/>
      <c r="AL422" s="3">
        <f>IF($AK422="","",HYPERLINK(p_ruta_base_checklists&amp;$AK422,"abrir"))</f>
        <v/>
      </c>
      <c r="AM422" s="6" t="n"/>
      <c r="AN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1" t="n"/>
      <c r="K423" s="3" t="n"/>
      <c r="L423" s="10" t="n"/>
      <c r="M423" s="3">
        <f>IF($A423="","",IFERROR(INDEX('AJUSTES'!$B$4:$B$303,MATCH($AN423,'AJUSTES'!$A$4:$A$303,0)),IF($K423="","",$K423)))</f>
        <v/>
      </c>
      <c r="N423" s="3">
        <f>IF($A423="","",IFERROR(INDEX('CAT_ESTADOS_ERP'!$B$4:$B$7,MATCH(IFERROR(INDEX('2_IMPORTAR_EJECUCION'!$C$9:$C$1208,MATCH($AN423,'2_IMPORTAR_EJECUCION'!$J$9:$J$1208,0)),""),'CAT_ESTADOS_ERP'!$A$4:$A$7,0)),"Pendiente"))</f>
        <v/>
      </c>
      <c r="O423" s="3">
        <f>IF($J423="","",YEAR($J423+4-WEEKDAY($J423,2))&amp;"-S"&amp;TEXT(_xlfn.ISOWEEKNUM($J423),"00"))</f>
        <v/>
      </c>
      <c r="P423" s="3">
        <f>IF($J423="","",YEAR($J423))</f>
        <v/>
      </c>
      <c r="Q423" s="3">
        <f>IF($J423="","",MONTH($J423))</f>
        <v/>
      </c>
      <c r="R423" s="3">
        <f>IF($J423="","",INDEX(lista_dias,WEEKDAY($J423,2)))</f>
        <v/>
      </c>
      <c r="S423" s="3">
        <f>IF($I423="","",IFERROR(INDEX('CAT_TIPOS_OT'!$C$4:$C$7,MATCH($I423,'CAT_TIPOS_OT'!$A$4:$A$7,0)),"sin_clasificar"))</f>
        <v/>
      </c>
      <c r="T423" s="3">
        <f>IF($F423="","",IFERROR(INDEX('CAT_CENTROS_COSTO'!$E$4:$E$9,MATCH($F423,'CAT_CENTROS_COSTO'!$A$4:$A$9,0)),"(sin catálogo)"))</f>
        <v/>
      </c>
      <c r="U423" s="3">
        <f>IF($F423="","",IFERROR(INDEX('CAT_CENTROS_COSTO'!$D$4:$D$9,MATCH($F423,'CAT_CENTROS_COSTO'!$A$4:$A$9,0)),"(sin catálogo)"))</f>
        <v/>
      </c>
      <c r="V423" s="3">
        <f>IF($F423="","",IFERROR(INDEX('CAT_CENTROS_COSTO'!$F$4:$F$9,MATCH($F423,'CAT_CENTROS_COSTO'!$A$4:$A$9,0)),"(sin catálogo)"))</f>
        <v/>
      </c>
      <c r="W423" s="3">
        <f>IF($G423="","",IFERROR(INDEX('CAT_PUESTOS'!$B$4:$B$8,MATCH($G423,'CAT_PUESTOS'!$A$4:$A$8,0)),"(sin catálogo)"))</f>
        <v/>
      </c>
      <c r="X423" s="3">
        <f>IF($H423="","",IFERROR(INDEX('CAT_ACTIVIDADES'!$B$4:$B$8,MATCH($H423,'CAT_ACTIVIDADES'!$A$4:$A$8,0)),"(sin catálogo)"))</f>
        <v/>
      </c>
      <c r="Y423" s="12">
        <f>IF($J423="","",TODAY()-$J423)</f>
        <v/>
      </c>
      <c r="Z423" s="3">
        <f>IF($Y423="","",IF($Y423&lt;0,"FUTURO",IF($Y423&gt;p_dias_backlog_max,"BACKLOG","MES CORRIENTE")))</f>
        <v/>
      </c>
      <c r="AA423" s="3">
        <f>IF($Y423="",FALSE,AND($Y423&gt;p_dias_backlog_min,$Y423&lt;=p_dias_backlog_max))</f>
        <v/>
      </c>
      <c r="AB423" s="6" t="n"/>
      <c r="AC423" s="3">
        <f>IF($AB423="","",IFERROR(INDEX('ASIGNACIONES'!$F$4:$F$339,MATCH($O423&amp;"|"&amp;$R423&amp;"|"&amp;$AB423,'ASIGNACIONES'!$I$4:$I$339,0)),""))</f>
        <v/>
      </c>
      <c r="AD423" s="13">
        <f>IF($AB423="","",SUMIFS('ORDENES'!$M$4:$M$1203,'ORDENES'!$AB$4:$AB$1203,$AB423,'ORDENES'!$O$4:$O$1203,$O423,'ORDENES'!$R$4:$R$1203,$R423))</f>
        <v/>
      </c>
      <c r="AE423" s="13">
        <f>IF($AD423="","",p_factor_productividad*IFERROR(INDEX('ASIGNACIONES'!$H$4:$H$339,MATCH($O423&amp;"|"&amp;$R423&amp;"|"&amp;$AB423,'ASIGNACIONES'!$I$4:$I$339,0)),0)-$AD423)</f>
        <v/>
      </c>
      <c r="AF423" s="10">
        <f>IF($A423="","",IFERROR(INDEX('2_IMPORTAR_EJECUCION'!$F$9:$F$1208,MATCH($AN423,'2_IMPORTAR_EJECUCION'!$J$9:$J$1208,0)),0))</f>
        <v/>
      </c>
      <c r="AG423" s="10">
        <f>IF($A423="","",MAX(0,IFERROR(INDEX('2_IMPORTAR_EJECUCION'!$H$9:$H$1208,MATCH($AN423,'2_IMPORTAR_EJECUCION'!$J$9:$J$1208,0)),0)-$AF423))</f>
        <v/>
      </c>
      <c r="AH423" s="10">
        <f>IF($A423="","",$AF423+$AG423)</f>
        <v/>
      </c>
      <c r="AI423" s="6" t="n"/>
      <c r="AJ423" s="6" t="n"/>
      <c r="AK423" s="6" t="n"/>
      <c r="AL423" s="3">
        <f>IF($AK423="","",HYPERLINK(p_ruta_base_checklists&amp;$AK423,"abrir"))</f>
        <v/>
      </c>
      <c r="AM423" s="6" t="n"/>
      <c r="AN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1" t="n"/>
      <c r="K424" s="3" t="n"/>
      <c r="L424" s="10" t="n"/>
      <c r="M424" s="3">
        <f>IF($A424="","",IFERROR(INDEX('AJUSTES'!$B$4:$B$303,MATCH($AN424,'AJUSTES'!$A$4:$A$303,0)),IF($K424="","",$K424)))</f>
        <v/>
      </c>
      <c r="N424" s="3">
        <f>IF($A424="","",IFERROR(INDEX('CAT_ESTADOS_ERP'!$B$4:$B$7,MATCH(IFERROR(INDEX('2_IMPORTAR_EJECUCION'!$C$9:$C$1208,MATCH($AN424,'2_IMPORTAR_EJECUCION'!$J$9:$J$1208,0)),""),'CAT_ESTADOS_ERP'!$A$4:$A$7,0)),"Pendiente"))</f>
        <v/>
      </c>
      <c r="O424" s="3">
        <f>IF($J424="","",YEAR($J424+4-WEEKDAY($J424,2))&amp;"-S"&amp;TEXT(_xlfn.ISOWEEKNUM($J424),"00"))</f>
        <v/>
      </c>
      <c r="P424" s="3">
        <f>IF($J424="","",YEAR($J424))</f>
        <v/>
      </c>
      <c r="Q424" s="3">
        <f>IF($J424="","",MONTH($J424))</f>
        <v/>
      </c>
      <c r="R424" s="3">
        <f>IF($J424="","",INDEX(lista_dias,WEEKDAY($J424,2)))</f>
        <v/>
      </c>
      <c r="S424" s="3">
        <f>IF($I424="","",IFERROR(INDEX('CAT_TIPOS_OT'!$C$4:$C$7,MATCH($I424,'CAT_TIPOS_OT'!$A$4:$A$7,0)),"sin_clasificar"))</f>
        <v/>
      </c>
      <c r="T424" s="3">
        <f>IF($F424="","",IFERROR(INDEX('CAT_CENTROS_COSTO'!$E$4:$E$9,MATCH($F424,'CAT_CENTROS_COSTO'!$A$4:$A$9,0)),"(sin catálogo)"))</f>
        <v/>
      </c>
      <c r="U424" s="3">
        <f>IF($F424="","",IFERROR(INDEX('CAT_CENTROS_COSTO'!$D$4:$D$9,MATCH($F424,'CAT_CENTROS_COSTO'!$A$4:$A$9,0)),"(sin catálogo)"))</f>
        <v/>
      </c>
      <c r="V424" s="3">
        <f>IF($F424="","",IFERROR(INDEX('CAT_CENTROS_COSTO'!$F$4:$F$9,MATCH($F424,'CAT_CENTROS_COSTO'!$A$4:$A$9,0)),"(sin catálogo)"))</f>
        <v/>
      </c>
      <c r="W424" s="3">
        <f>IF($G424="","",IFERROR(INDEX('CAT_PUESTOS'!$B$4:$B$8,MATCH($G424,'CAT_PUESTOS'!$A$4:$A$8,0)),"(sin catálogo)"))</f>
        <v/>
      </c>
      <c r="X424" s="3">
        <f>IF($H424="","",IFERROR(INDEX('CAT_ACTIVIDADES'!$B$4:$B$8,MATCH($H424,'CAT_ACTIVIDADES'!$A$4:$A$8,0)),"(sin catálogo)"))</f>
        <v/>
      </c>
      <c r="Y424" s="12">
        <f>IF($J424="","",TODAY()-$J424)</f>
        <v/>
      </c>
      <c r="Z424" s="3">
        <f>IF($Y424="","",IF($Y424&lt;0,"FUTURO",IF($Y424&gt;p_dias_backlog_max,"BACKLOG","MES CORRIENTE")))</f>
        <v/>
      </c>
      <c r="AA424" s="3">
        <f>IF($Y424="",FALSE,AND($Y424&gt;p_dias_backlog_min,$Y424&lt;=p_dias_backlog_max))</f>
        <v/>
      </c>
      <c r="AB424" s="6" t="n"/>
      <c r="AC424" s="3">
        <f>IF($AB424="","",IFERROR(INDEX('ASIGNACIONES'!$F$4:$F$339,MATCH($O424&amp;"|"&amp;$R424&amp;"|"&amp;$AB424,'ASIGNACIONES'!$I$4:$I$339,0)),""))</f>
        <v/>
      </c>
      <c r="AD424" s="13">
        <f>IF($AB424="","",SUMIFS('ORDENES'!$M$4:$M$1203,'ORDENES'!$AB$4:$AB$1203,$AB424,'ORDENES'!$O$4:$O$1203,$O424,'ORDENES'!$R$4:$R$1203,$R424))</f>
        <v/>
      </c>
      <c r="AE424" s="13">
        <f>IF($AD424="","",p_factor_productividad*IFERROR(INDEX('ASIGNACIONES'!$H$4:$H$339,MATCH($O424&amp;"|"&amp;$R424&amp;"|"&amp;$AB424,'ASIGNACIONES'!$I$4:$I$339,0)),0)-$AD424)</f>
        <v/>
      </c>
      <c r="AF424" s="10">
        <f>IF($A424="","",IFERROR(INDEX('2_IMPORTAR_EJECUCION'!$F$9:$F$1208,MATCH($AN424,'2_IMPORTAR_EJECUCION'!$J$9:$J$1208,0)),0))</f>
        <v/>
      </c>
      <c r="AG424" s="10">
        <f>IF($A424="","",MAX(0,IFERROR(INDEX('2_IMPORTAR_EJECUCION'!$H$9:$H$1208,MATCH($AN424,'2_IMPORTAR_EJECUCION'!$J$9:$J$1208,0)),0)-$AF424))</f>
        <v/>
      </c>
      <c r="AH424" s="10">
        <f>IF($A424="","",$AF424+$AG424)</f>
        <v/>
      </c>
      <c r="AI424" s="6" t="n"/>
      <c r="AJ424" s="6" t="n"/>
      <c r="AK424" s="6" t="n"/>
      <c r="AL424" s="3">
        <f>IF($AK424="","",HYPERLINK(p_ruta_base_checklists&amp;$AK424,"abrir"))</f>
        <v/>
      </c>
      <c r="AM424" s="6" t="n"/>
      <c r="AN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1" t="n"/>
      <c r="K425" s="3" t="n"/>
      <c r="L425" s="10" t="n"/>
      <c r="M425" s="3">
        <f>IF($A425="","",IFERROR(INDEX('AJUSTES'!$B$4:$B$303,MATCH($AN425,'AJUSTES'!$A$4:$A$303,0)),IF($K425="","",$K425)))</f>
        <v/>
      </c>
      <c r="N425" s="3">
        <f>IF($A425="","",IFERROR(INDEX('CAT_ESTADOS_ERP'!$B$4:$B$7,MATCH(IFERROR(INDEX('2_IMPORTAR_EJECUCION'!$C$9:$C$1208,MATCH($AN425,'2_IMPORTAR_EJECUCION'!$J$9:$J$1208,0)),""),'CAT_ESTADOS_ERP'!$A$4:$A$7,0)),"Pendiente"))</f>
        <v/>
      </c>
      <c r="O425" s="3">
        <f>IF($J425="","",YEAR($J425+4-WEEKDAY($J425,2))&amp;"-S"&amp;TEXT(_xlfn.ISOWEEKNUM($J425),"00"))</f>
        <v/>
      </c>
      <c r="P425" s="3">
        <f>IF($J425="","",YEAR($J425))</f>
        <v/>
      </c>
      <c r="Q425" s="3">
        <f>IF($J425="","",MONTH($J425))</f>
        <v/>
      </c>
      <c r="R425" s="3">
        <f>IF($J425="","",INDEX(lista_dias,WEEKDAY($J425,2)))</f>
        <v/>
      </c>
      <c r="S425" s="3">
        <f>IF($I425="","",IFERROR(INDEX('CAT_TIPOS_OT'!$C$4:$C$7,MATCH($I425,'CAT_TIPOS_OT'!$A$4:$A$7,0)),"sin_clasificar"))</f>
        <v/>
      </c>
      <c r="T425" s="3">
        <f>IF($F425="","",IFERROR(INDEX('CAT_CENTROS_COSTO'!$E$4:$E$9,MATCH($F425,'CAT_CENTROS_COSTO'!$A$4:$A$9,0)),"(sin catálogo)"))</f>
        <v/>
      </c>
      <c r="U425" s="3">
        <f>IF($F425="","",IFERROR(INDEX('CAT_CENTROS_COSTO'!$D$4:$D$9,MATCH($F425,'CAT_CENTROS_COSTO'!$A$4:$A$9,0)),"(sin catálogo)"))</f>
        <v/>
      </c>
      <c r="V425" s="3">
        <f>IF($F425="","",IFERROR(INDEX('CAT_CENTROS_COSTO'!$F$4:$F$9,MATCH($F425,'CAT_CENTROS_COSTO'!$A$4:$A$9,0)),"(sin catálogo)"))</f>
        <v/>
      </c>
      <c r="W425" s="3">
        <f>IF($G425="","",IFERROR(INDEX('CAT_PUESTOS'!$B$4:$B$8,MATCH($G425,'CAT_PUESTOS'!$A$4:$A$8,0)),"(sin catálogo)"))</f>
        <v/>
      </c>
      <c r="X425" s="3">
        <f>IF($H425="","",IFERROR(INDEX('CAT_ACTIVIDADES'!$B$4:$B$8,MATCH($H425,'CAT_ACTIVIDADES'!$A$4:$A$8,0)),"(sin catálogo)"))</f>
        <v/>
      </c>
      <c r="Y425" s="12">
        <f>IF($J425="","",TODAY()-$J425)</f>
        <v/>
      </c>
      <c r="Z425" s="3">
        <f>IF($Y425="","",IF($Y425&lt;0,"FUTURO",IF($Y425&gt;p_dias_backlog_max,"BACKLOG","MES CORRIENTE")))</f>
        <v/>
      </c>
      <c r="AA425" s="3">
        <f>IF($Y425="",FALSE,AND($Y425&gt;p_dias_backlog_min,$Y425&lt;=p_dias_backlog_max))</f>
        <v/>
      </c>
      <c r="AB425" s="6" t="n"/>
      <c r="AC425" s="3">
        <f>IF($AB425="","",IFERROR(INDEX('ASIGNACIONES'!$F$4:$F$339,MATCH($O425&amp;"|"&amp;$R425&amp;"|"&amp;$AB425,'ASIGNACIONES'!$I$4:$I$339,0)),""))</f>
        <v/>
      </c>
      <c r="AD425" s="13">
        <f>IF($AB425="","",SUMIFS('ORDENES'!$M$4:$M$1203,'ORDENES'!$AB$4:$AB$1203,$AB425,'ORDENES'!$O$4:$O$1203,$O425,'ORDENES'!$R$4:$R$1203,$R425))</f>
        <v/>
      </c>
      <c r="AE425" s="13">
        <f>IF($AD425="","",p_factor_productividad*IFERROR(INDEX('ASIGNACIONES'!$H$4:$H$339,MATCH($O425&amp;"|"&amp;$R425&amp;"|"&amp;$AB425,'ASIGNACIONES'!$I$4:$I$339,0)),0)-$AD425)</f>
        <v/>
      </c>
      <c r="AF425" s="10">
        <f>IF($A425="","",IFERROR(INDEX('2_IMPORTAR_EJECUCION'!$F$9:$F$1208,MATCH($AN425,'2_IMPORTAR_EJECUCION'!$J$9:$J$1208,0)),0))</f>
        <v/>
      </c>
      <c r="AG425" s="10">
        <f>IF($A425="","",MAX(0,IFERROR(INDEX('2_IMPORTAR_EJECUCION'!$H$9:$H$1208,MATCH($AN425,'2_IMPORTAR_EJECUCION'!$J$9:$J$1208,0)),0)-$AF425))</f>
        <v/>
      </c>
      <c r="AH425" s="10">
        <f>IF($A425="","",$AF425+$AG425)</f>
        <v/>
      </c>
      <c r="AI425" s="6" t="n"/>
      <c r="AJ425" s="6" t="n"/>
      <c r="AK425" s="6" t="n"/>
      <c r="AL425" s="3">
        <f>IF($AK425="","",HYPERLINK(p_ruta_base_checklists&amp;$AK425,"abrir"))</f>
        <v/>
      </c>
      <c r="AM425" s="6" t="n"/>
      <c r="AN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1" t="n"/>
      <c r="K426" s="3" t="n"/>
      <c r="L426" s="10" t="n"/>
      <c r="M426" s="3">
        <f>IF($A426="","",IFERROR(INDEX('AJUSTES'!$B$4:$B$303,MATCH($AN426,'AJUSTES'!$A$4:$A$303,0)),IF($K426="","",$K426)))</f>
        <v/>
      </c>
      <c r="N426" s="3">
        <f>IF($A426="","",IFERROR(INDEX('CAT_ESTADOS_ERP'!$B$4:$B$7,MATCH(IFERROR(INDEX('2_IMPORTAR_EJECUCION'!$C$9:$C$1208,MATCH($AN426,'2_IMPORTAR_EJECUCION'!$J$9:$J$1208,0)),""),'CAT_ESTADOS_ERP'!$A$4:$A$7,0)),"Pendiente"))</f>
        <v/>
      </c>
      <c r="O426" s="3">
        <f>IF($J426="","",YEAR($J426+4-WEEKDAY($J426,2))&amp;"-S"&amp;TEXT(_xlfn.ISOWEEKNUM($J426),"00"))</f>
        <v/>
      </c>
      <c r="P426" s="3">
        <f>IF($J426="","",YEAR($J426))</f>
        <v/>
      </c>
      <c r="Q426" s="3">
        <f>IF($J426="","",MONTH($J426))</f>
        <v/>
      </c>
      <c r="R426" s="3">
        <f>IF($J426="","",INDEX(lista_dias,WEEKDAY($J426,2)))</f>
        <v/>
      </c>
      <c r="S426" s="3">
        <f>IF($I426="","",IFERROR(INDEX('CAT_TIPOS_OT'!$C$4:$C$7,MATCH($I426,'CAT_TIPOS_OT'!$A$4:$A$7,0)),"sin_clasificar"))</f>
        <v/>
      </c>
      <c r="T426" s="3">
        <f>IF($F426="","",IFERROR(INDEX('CAT_CENTROS_COSTO'!$E$4:$E$9,MATCH($F426,'CAT_CENTROS_COSTO'!$A$4:$A$9,0)),"(sin catálogo)"))</f>
        <v/>
      </c>
      <c r="U426" s="3">
        <f>IF($F426="","",IFERROR(INDEX('CAT_CENTROS_COSTO'!$D$4:$D$9,MATCH($F426,'CAT_CENTROS_COSTO'!$A$4:$A$9,0)),"(sin catálogo)"))</f>
        <v/>
      </c>
      <c r="V426" s="3">
        <f>IF($F426="","",IFERROR(INDEX('CAT_CENTROS_COSTO'!$F$4:$F$9,MATCH($F426,'CAT_CENTROS_COSTO'!$A$4:$A$9,0)),"(sin catálogo)"))</f>
        <v/>
      </c>
      <c r="W426" s="3">
        <f>IF($G426="","",IFERROR(INDEX('CAT_PUESTOS'!$B$4:$B$8,MATCH($G426,'CAT_PUESTOS'!$A$4:$A$8,0)),"(sin catálogo)"))</f>
        <v/>
      </c>
      <c r="X426" s="3">
        <f>IF($H426="","",IFERROR(INDEX('CAT_ACTIVIDADES'!$B$4:$B$8,MATCH($H426,'CAT_ACTIVIDADES'!$A$4:$A$8,0)),"(sin catálogo)"))</f>
        <v/>
      </c>
      <c r="Y426" s="12">
        <f>IF($J426="","",TODAY()-$J426)</f>
        <v/>
      </c>
      <c r="Z426" s="3">
        <f>IF($Y426="","",IF($Y426&lt;0,"FUTURO",IF($Y426&gt;p_dias_backlog_max,"BACKLOG","MES CORRIENTE")))</f>
        <v/>
      </c>
      <c r="AA426" s="3">
        <f>IF($Y426="",FALSE,AND($Y426&gt;p_dias_backlog_min,$Y426&lt;=p_dias_backlog_max))</f>
        <v/>
      </c>
      <c r="AB426" s="6" t="n"/>
      <c r="AC426" s="3">
        <f>IF($AB426="","",IFERROR(INDEX('ASIGNACIONES'!$F$4:$F$339,MATCH($O426&amp;"|"&amp;$R426&amp;"|"&amp;$AB426,'ASIGNACIONES'!$I$4:$I$339,0)),""))</f>
        <v/>
      </c>
      <c r="AD426" s="13">
        <f>IF($AB426="","",SUMIFS('ORDENES'!$M$4:$M$1203,'ORDENES'!$AB$4:$AB$1203,$AB426,'ORDENES'!$O$4:$O$1203,$O426,'ORDENES'!$R$4:$R$1203,$R426))</f>
        <v/>
      </c>
      <c r="AE426" s="13">
        <f>IF($AD426="","",p_factor_productividad*IFERROR(INDEX('ASIGNACIONES'!$H$4:$H$339,MATCH($O426&amp;"|"&amp;$R426&amp;"|"&amp;$AB426,'ASIGNACIONES'!$I$4:$I$339,0)),0)-$AD426)</f>
        <v/>
      </c>
      <c r="AF426" s="10">
        <f>IF($A426="","",IFERROR(INDEX('2_IMPORTAR_EJECUCION'!$F$9:$F$1208,MATCH($AN426,'2_IMPORTAR_EJECUCION'!$J$9:$J$1208,0)),0))</f>
        <v/>
      </c>
      <c r="AG426" s="10">
        <f>IF($A426="","",MAX(0,IFERROR(INDEX('2_IMPORTAR_EJECUCION'!$H$9:$H$1208,MATCH($AN426,'2_IMPORTAR_EJECUCION'!$J$9:$J$1208,0)),0)-$AF426))</f>
        <v/>
      </c>
      <c r="AH426" s="10">
        <f>IF($A426="","",$AF426+$AG426)</f>
        <v/>
      </c>
      <c r="AI426" s="6" t="n"/>
      <c r="AJ426" s="6" t="n"/>
      <c r="AK426" s="6" t="n"/>
      <c r="AL426" s="3">
        <f>IF($AK426="","",HYPERLINK(p_ruta_base_checklists&amp;$AK426,"abrir"))</f>
        <v/>
      </c>
      <c r="AM426" s="6" t="n"/>
      <c r="AN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1" t="n"/>
      <c r="K427" s="3" t="n"/>
      <c r="L427" s="10" t="n"/>
      <c r="M427" s="3">
        <f>IF($A427="","",IFERROR(INDEX('AJUSTES'!$B$4:$B$303,MATCH($AN427,'AJUSTES'!$A$4:$A$303,0)),IF($K427="","",$K427)))</f>
        <v/>
      </c>
      <c r="N427" s="3">
        <f>IF($A427="","",IFERROR(INDEX('CAT_ESTADOS_ERP'!$B$4:$B$7,MATCH(IFERROR(INDEX('2_IMPORTAR_EJECUCION'!$C$9:$C$1208,MATCH($AN427,'2_IMPORTAR_EJECUCION'!$J$9:$J$1208,0)),""),'CAT_ESTADOS_ERP'!$A$4:$A$7,0)),"Pendiente"))</f>
        <v/>
      </c>
      <c r="O427" s="3">
        <f>IF($J427="","",YEAR($J427+4-WEEKDAY($J427,2))&amp;"-S"&amp;TEXT(_xlfn.ISOWEEKNUM($J427),"00"))</f>
        <v/>
      </c>
      <c r="P427" s="3">
        <f>IF($J427="","",YEAR($J427))</f>
        <v/>
      </c>
      <c r="Q427" s="3">
        <f>IF($J427="","",MONTH($J427))</f>
        <v/>
      </c>
      <c r="R427" s="3">
        <f>IF($J427="","",INDEX(lista_dias,WEEKDAY($J427,2)))</f>
        <v/>
      </c>
      <c r="S427" s="3">
        <f>IF($I427="","",IFERROR(INDEX('CAT_TIPOS_OT'!$C$4:$C$7,MATCH($I427,'CAT_TIPOS_OT'!$A$4:$A$7,0)),"sin_clasificar"))</f>
        <v/>
      </c>
      <c r="T427" s="3">
        <f>IF($F427="","",IFERROR(INDEX('CAT_CENTROS_COSTO'!$E$4:$E$9,MATCH($F427,'CAT_CENTROS_COSTO'!$A$4:$A$9,0)),"(sin catálogo)"))</f>
        <v/>
      </c>
      <c r="U427" s="3">
        <f>IF($F427="","",IFERROR(INDEX('CAT_CENTROS_COSTO'!$D$4:$D$9,MATCH($F427,'CAT_CENTROS_COSTO'!$A$4:$A$9,0)),"(sin catálogo)"))</f>
        <v/>
      </c>
      <c r="V427" s="3">
        <f>IF($F427="","",IFERROR(INDEX('CAT_CENTROS_COSTO'!$F$4:$F$9,MATCH($F427,'CAT_CENTROS_COSTO'!$A$4:$A$9,0)),"(sin catálogo)"))</f>
        <v/>
      </c>
      <c r="W427" s="3">
        <f>IF($G427="","",IFERROR(INDEX('CAT_PUESTOS'!$B$4:$B$8,MATCH($G427,'CAT_PUESTOS'!$A$4:$A$8,0)),"(sin catálogo)"))</f>
        <v/>
      </c>
      <c r="X427" s="3">
        <f>IF($H427="","",IFERROR(INDEX('CAT_ACTIVIDADES'!$B$4:$B$8,MATCH($H427,'CAT_ACTIVIDADES'!$A$4:$A$8,0)),"(sin catálogo)"))</f>
        <v/>
      </c>
      <c r="Y427" s="12">
        <f>IF($J427="","",TODAY()-$J427)</f>
        <v/>
      </c>
      <c r="Z427" s="3">
        <f>IF($Y427="","",IF($Y427&lt;0,"FUTURO",IF($Y427&gt;p_dias_backlog_max,"BACKLOG","MES CORRIENTE")))</f>
        <v/>
      </c>
      <c r="AA427" s="3">
        <f>IF($Y427="",FALSE,AND($Y427&gt;p_dias_backlog_min,$Y427&lt;=p_dias_backlog_max))</f>
        <v/>
      </c>
      <c r="AB427" s="6" t="n"/>
      <c r="AC427" s="3">
        <f>IF($AB427="","",IFERROR(INDEX('ASIGNACIONES'!$F$4:$F$339,MATCH($O427&amp;"|"&amp;$R427&amp;"|"&amp;$AB427,'ASIGNACIONES'!$I$4:$I$339,0)),""))</f>
        <v/>
      </c>
      <c r="AD427" s="13">
        <f>IF($AB427="","",SUMIFS('ORDENES'!$M$4:$M$1203,'ORDENES'!$AB$4:$AB$1203,$AB427,'ORDENES'!$O$4:$O$1203,$O427,'ORDENES'!$R$4:$R$1203,$R427))</f>
        <v/>
      </c>
      <c r="AE427" s="13">
        <f>IF($AD427="","",p_factor_productividad*IFERROR(INDEX('ASIGNACIONES'!$H$4:$H$339,MATCH($O427&amp;"|"&amp;$R427&amp;"|"&amp;$AB427,'ASIGNACIONES'!$I$4:$I$339,0)),0)-$AD427)</f>
        <v/>
      </c>
      <c r="AF427" s="10">
        <f>IF($A427="","",IFERROR(INDEX('2_IMPORTAR_EJECUCION'!$F$9:$F$1208,MATCH($AN427,'2_IMPORTAR_EJECUCION'!$J$9:$J$1208,0)),0))</f>
        <v/>
      </c>
      <c r="AG427" s="10">
        <f>IF($A427="","",MAX(0,IFERROR(INDEX('2_IMPORTAR_EJECUCION'!$H$9:$H$1208,MATCH($AN427,'2_IMPORTAR_EJECUCION'!$J$9:$J$1208,0)),0)-$AF427))</f>
        <v/>
      </c>
      <c r="AH427" s="10">
        <f>IF($A427="","",$AF427+$AG427)</f>
        <v/>
      </c>
      <c r="AI427" s="6" t="n"/>
      <c r="AJ427" s="6" t="n"/>
      <c r="AK427" s="6" t="n"/>
      <c r="AL427" s="3">
        <f>IF($AK427="","",HYPERLINK(p_ruta_base_checklists&amp;$AK427,"abrir"))</f>
        <v/>
      </c>
      <c r="AM427" s="6" t="n"/>
      <c r="AN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1" t="n"/>
      <c r="K428" s="3" t="n"/>
      <c r="L428" s="10" t="n"/>
      <c r="M428" s="3">
        <f>IF($A428="","",IFERROR(INDEX('AJUSTES'!$B$4:$B$303,MATCH($AN428,'AJUSTES'!$A$4:$A$303,0)),IF($K428="","",$K428)))</f>
        <v/>
      </c>
      <c r="N428" s="3">
        <f>IF($A428="","",IFERROR(INDEX('CAT_ESTADOS_ERP'!$B$4:$B$7,MATCH(IFERROR(INDEX('2_IMPORTAR_EJECUCION'!$C$9:$C$1208,MATCH($AN428,'2_IMPORTAR_EJECUCION'!$J$9:$J$1208,0)),""),'CAT_ESTADOS_ERP'!$A$4:$A$7,0)),"Pendiente"))</f>
        <v/>
      </c>
      <c r="O428" s="3">
        <f>IF($J428="","",YEAR($J428+4-WEEKDAY($J428,2))&amp;"-S"&amp;TEXT(_xlfn.ISOWEEKNUM($J428),"00"))</f>
        <v/>
      </c>
      <c r="P428" s="3">
        <f>IF($J428="","",YEAR($J428))</f>
        <v/>
      </c>
      <c r="Q428" s="3">
        <f>IF($J428="","",MONTH($J428))</f>
        <v/>
      </c>
      <c r="R428" s="3">
        <f>IF($J428="","",INDEX(lista_dias,WEEKDAY($J428,2)))</f>
        <v/>
      </c>
      <c r="S428" s="3">
        <f>IF($I428="","",IFERROR(INDEX('CAT_TIPOS_OT'!$C$4:$C$7,MATCH($I428,'CAT_TIPOS_OT'!$A$4:$A$7,0)),"sin_clasificar"))</f>
        <v/>
      </c>
      <c r="T428" s="3">
        <f>IF($F428="","",IFERROR(INDEX('CAT_CENTROS_COSTO'!$E$4:$E$9,MATCH($F428,'CAT_CENTROS_COSTO'!$A$4:$A$9,0)),"(sin catálogo)"))</f>
        <v/>
      </c>
      <c r="U428" s="3">
        <f>IF($F428="","",IFERROR(INDEX('CAT_CENTROS_COSTO'!$D$4:$D$9,MATCH($F428,'CAT_CENTROS_COSTO'!$A$4:$A$9,0)),"(sin catálogo)"))</f>
        <v/>
      </c>
      <c r="V428" s="3">
        <f>IF($F428="","",IFERROR(INDEX('CAT_CENTROS_COSTO'!$F$4:$F$9,MATCH($F428,'CAT_CENTROS_COSTO'!$A$4:$A$9,0)),"(sin catálogo)"))</f>
        <v/>
      </c>
      <c r="W428" s="3">
        <f>IF($G428="","",IFERROR(INDEX('CAT_PUESTOS'!$B$4:$B$8,MATCH($G428,'CAT_PUESTOS'!$A$4:$A$8,0)),"(sin catálogo)"))</f>
        <v/>
      </c>
      <c r="X428" s="3">
        <f>IF($H428="","",IFERROR(INDEX('CAT_ACTIVIDADES'!$B$4:$B$8,MATCH($H428,'CAT_ACTIVIDADES'!$A$4:$A$8,0)),"(sin catálogo)"))</f>
        <v/>
      </c>
      <c r="Y428" s="12">
        <f>IF($J428="","",TODAY()-$J428)</f>
        <v/>
      </c>
      <c r="Z428" s="3">
        <f>IF($Y428="","",IF($Y428&lt;0,"FUTURO",IF($Y428&gt;p_dias_backlog_max,"BACKLOG","MES CORRIENTE")))</f>
        <v/>
      </c>
      <c r="AA428" s="3">
        <f>IF($Y428="",FALSE,AND($Y428&gt;p_dias_backlog_min,$Y428&lt;=p_dias_backlog_max))</f>
        <v/>
      </c>
      <c r="AB428" s="6" t="n"/>
      <c r="AC428" s="3">
        <f>IF($AB428="","",IFERROR(INDEX('ASIGNACIONES'!$F$4:$F$339,MATCH($O428&amp;"|"&amp;$R428&amp;"|"&amp;$AB428,'ASIGNACIONES'!$I$4:$I$339,0)),""))</f>
        <v/>
      </c>
      <c r="AD428" s="13">
        <f>IF($AB428="","",SUMIFS('ORDENES'!$M$4:$M$1203,'ORDENES'!$AB$4:$AB$1203,$AB428,'ORDENES'!$O$4:$O$1203,$O428,'ORDENES'!$R$4:$R$1203,$R428))</f>
        <v/>
      </c>
      <c r="AE428" s="13">
        <f>IF($AD428="","",p_factor_productividad*IFERROR(INDEX('ASIGNACIONES'!$H$4:$H$339,MATCH($O428&amp;"|"&amp;$R428&amp;"|"&amp;$AB428,'ASIGNACIONES'!$I$4:$I$339,0)),0)-$AD428)</f>
        <v/>
      </c>
      <c r="AF428" s="10">
        <f>IF($A428="","",IFERROR(INDEX('2_IMPORTAR_EJECUCION'!$F$9:$F$1208,MATCH($AN428,'2_IMPORTAR_EJECUCION'!$J$9:$J$1208,0)),0))</f>
        <v/>
      </c>
      <c r="AG428" s="10">
        <f>IF($A428="","",MAX(0,IFERROR(INDEX('2_IMPORTAR_EJECUCION'!$H$9:$H$1208,MATCH($AN428,'2_IMPORTAR_EJECUCION'!$J$9:$J$1208,0)),0)-$AF428))</f>
        <v/>
      </c>
      <c r="AH428" s="10">
        <f>IF($A428="","",$AF428+$AG428)</f>
        <v/>
      </c>
      <c r="AI428" s="6" t="n"/>
      <c r="AJ428" s="6" t="n"/>
      <c r="AK428" s="6" t="n"/>
      <c r="AL428" s="3">
        <f>IF($AK428="","",HYPERLINK(p_ruta_base_checklists&amp;$AK428,"abrir"))</f>
        <v/>
      </c>
      <c r="AM428" s="6" t="n"/>
      <c r="AN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1" t="n"/>
      <c r="K429" s="3" t="n"/>
      <c r="L429" s="10" t="n"/>
      <c r="M429" s="3">
        <f>IF($A429="","",IFERROR(INDEX('AJUSTES'!$B$4:$B$303,MATCH($AN429,'AJUSTES'!$A$4:$A$303,0)),IF($K429="","",$K429)))</f>
        <v/>
      </c>
      <c r="N429" s="3">
        <f>IF($A429="","",IFERROR(INDEX('CAT_ESTADOS_ERP'!$B$4:$B$7,MATCH(IFERROR(INDEX('2_IMPORTAR_EJECUCION'!$C$9:$C$1208,MATCH($AN429,'2_IMPORTAR_EJECUCION'!$J$9:$J$1208,0)),""),'CAT_ESTADOS_ERP'!$A$4:$A$7,0)),"Pendiente"))</f>
        <v/>
      </c>
      <c r="O429" s="3">
        <f>IF($J429="","",YEAR($J429+4-WEEKDAY($J429,2))&amp;"-S"&amp;TEXT(_xlfn.ISOWEEKNUM($J429),"00"))</f>
        <v/>
      </c>
      <c r="P429" s="3">
        <f>IF($J429="","",YEAR($J429))</f>
        <v/>
      </c>
      <c r="Q429" s="3">
        <f>IF($J429="","",MONTH($J429))</f>
        <v/>
      </c>
      <c r="R429" s="3">
        <f>IF($J429="","",INDEX(lista_dias,WEEKDAY($J429,2)))</f>
        <v/>
      </c>
      <c r="S429" s="3">
        <f>IF($I429="","",IFERROR(INDEX('CAT_TIPOS_OT'!$C$4:$C$7,MATCH($I429,'CAT_TIPOS_OT'!$A$4:$A$7,0)),"sin_clasificar"))</f>
        <v/>
      </c>
      <c r="T429" s="3">
        <f>IF($F429="","",IFERROR(INDEX('CAT_CENTROS_COSTO'!$E$4:$E$9,MATCH($F429,'CAT_CENTROS_COSTO'!$A$4:$A$9,0)),"(sin catálogo)"))</f>
        <v/>
      </c>
      <c r="U429" s="3">
        <f>IF($F429="","",IFERROR(INDEX('CAT_CENTROS_COSTO'!$D$4:$D$9,MATCH($F429,'CAT_CENTROS_COSTO'!$A$4:$A$9,0)),"(sin catálogo)"))</f>
        <v/>
      </c>
      <c r="V429" s="3">
        <f>IF($F429="","",IFERROR(INDEX('CAT_CENTROS_COSTO'!$F$4:$F$9,MATCH($F429,'CAT_CENTROS_COSTO'!$A$4:$A$9,0)),"(sin catálogo)"))</f>
        <v/>
      </c>
      <c r="W429" s="3">
        <f>IF($G429="","",IFERROR(INDEX('CAT_PUESTOS'!$B$4:$B$8,MATCH($G429,'CAT_PUESTOS'!$A$4:$A$8,0)),"(sin catálogo)"))</f>
        <v/>
      </c>
      <c r="X429" s="3">
        <f>IF($H429="","",IFERROR(INDEX('CAT_ACTIVIDADES'!$B$4:$B$8,MATCH($H429,'CAT_ACTIVIDADES'!$A$4:$A$8,0)),"(sin catálogo)"))</f>
        <v/>
      </c>
      <c r="Y429" s="12">
        <f>IF($J429="","",TODAY()-$J429)</f>
        <v/>
      </c>
      <c r="Z429" s="3">
        <f>IF($Y429="","",IF($Y429&lt;0,"FUTURO",IF($Y429&gt;p_dias_backlog_max,"BACKLOG","MES CORRIENTE")))</f>
        <v/>
      </c>
      <c r="AA429" s="3">
        <f>IF($Y429="",FALSE,AND($Y429&gt;p_dias_backlog_min,$Y429&lt;=p_dias_backlog_max))</f>
        <v/>
      </c>
      <c r="AB429" s="6" t="n"/>
      <c r="AC429" s="3">
        <f>IF($AB429="","",IFERROR(INDEX('ASIGNACIONES'!$F$4:$F$339,MATCH($O429&amp;"|"&amp;$R429&amp;"|"&amp;$AB429,'ASIGNACIONES'!$I$4:$I$339,0)),""))</f>
        <v/>
      </c>
      <c r="AD429" s="13">
        <f>IF($AB429="","",SUMIFS('ORDENES'!$M$4:$M$1203,'ORDENES'!$AB$4:$AB$1203,$AB429,'ORDENES'!$O$4:$O$1203,$O429,'ORDENES'!$R$4:$R$1203,$R429))</f>
        <v/>
      </c>
      <c r="AE429" s="13">
        <f>IF($AD429="","",p_factor_productividad*IFERROR(INDEX('ASIGNACIONES'!$H$4:$H$339,MATCH($O429&amp;"|"&amp;$R429&amp;"|"&amp;$AB429,'ASIGNACIONES'!$I$4:$I$339,0)),0)-$AD429)</f>
        <v/>
      </c>
      <c r="AF429" s="10">
        <f>IF($A429="","",IFERROR(INDEX('2_IMPORTAR_EJECUCION'!$F$9:$F$1208,MATCH($AN429,'2_IMPORTAR_EJECUCION'!$J$9:$J$1208,0)),0))</f>
        <v/>
      </c>
      <c r="AG429" s="10">
        <f>IF($A429="","",MAX(0,IFERROR(INDEX('2_IMPORTAR_EJECUCION'!$H$9:$H$1208,MATCH($AN429,'2_IMPORTAR_EJECUCION'!$J$9:$J$1208,0)),0)-$AF429))</f>
        <v/>
      </c>
      <c r="AH429" s="10">
        <f>IF($A429="","",$AF429+$AG429)</f>
        <v/>
      </c>
      <c r="AI429" s="6" t="n"/>
      <c r="AJ429" s="6" t="n"/>
      <c r="AK429" s="6" t="n"/>
      <c r="AL429" s="3">
        <f>IF($AK429="","",HYPERLINK(p_ruta_base_checklists&amp;$AK429,"abrir"))</f>
        <v/>
      </c>
      <c r="AM429" s="6" t="n"/>
      <c r="AN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1" t="n"/>
      <c r="K430" s="3" t="n"/>
      <c r="L430" s="10" t="n"/>
      <c r="M430" s="3">
        <f>IF($A430="","",IFERROR(INDEX('AJUSTES'!$B$4:$B$303,MATCH($AN430,'AJUSTES'!$A$4:$A$303,0)),IF($K430="","",$K430)))</f>
        <v/>
      </c>
      <c r="N430" s="3">
        <f>IF($A430="","",IFERROR(INDEX('CAT_ESTADOS_ERP'!$B$4:$B$7,MATCH(IFERROR(INDEX('2_IMPORTAR_EJECUCION'!$C$9:$C$1208,MATCH($AN430,'2_IMPORTAR_EJECUCION'!$J$9:$J$1208,0)),""),'CAT_ESTADOS_ERP'!$A$4:$A$7,0)),"Pendiente"))</f>
        <v/>
      </c>
      <c r="O430" s="3">
        <f>IF($J430="","",YEAR($J430+4-WEEKDAY($J430,2))&amp;"-S"&amp;TEXT(_xlfn.ISOWEEKNUM($J430),"00"))</f>
        <v/>
      </c>
      <c r="P430" s="3">
        <f>IF($J430="","",YEAR($J430))</f>
        <v/>
      </c>
      <c r="Q430" s="3">
        <f>IF($J430="","",MONTH($J430))</f>
        <v/>
      </c>
      <c r="R430" s="3">
        <f>IF($J430="","",INDEX(lista_dias,WEEKDAY($J430,2)))</f>
        <v/>
      </c>
      <c r="S430" s="3">
        <f>IF($I430="","",IFERROR(INDEX('CAT_TIPOS_OT'!$C$4:$C$7,MATCH($I430,'CAT_TIPOS_OT'!$A$4:$A$7,0)),"sin_clasificar"))</f>
        <v/>
      </c>
      <c r="T430" s="3">
        <f>IF($F430="","",IFERROR(INDEX('CAT_CENTROS_COSTO'!$E$4:$E$9,MATCH($F430,'CAT_CENTROS_COSTO'!$A$4:$A$9,0)),"(sin catálogo)"))</f>
        <v/>
      </c>
      <c r="U430" s="3">
        <f>IF($F430="","",IFERROR(INDEX('CAT_CENTROS_COSTO'!$D$4:$D$9,MATCH($F430,'CAT_CENTROS_COSTO'!$A$4:$A$9,0)),"(sin catálogo)"))</f>
        <v/>
      </c>
      <c r="V430" s="3">
        <f>IF($F430="","",IFERROR(INDEX('CAT_CENTROS_COSTO'!$F$4:$F$9,MATCH($F430,'CAT_CENTROS_COSTO'!$A$4:$A$9,0)),"(sin catálogo)"))</f>
        <v/>
      </c>
      <c r="W430" s="3">
        <f>IF($G430="","",IFERROR(INDEX('CAT_PUESTOS'!$B$4:$B$8,MATCH($G430,'CAT_PUESTOS'!$A$4:$A$8,0)),"(sin catálogo)"))</f>
        <v/>
      </c>
      <c r="X430" s="3">
        <f>IF($H430="","",IFERROR(INDEX('CAT_ACTIVIDADES'!$B$4:$B$8,MATCH($H430,'CAT_ACTIVIDADES'!$A$4:$A$8,0)),"(sin catálogo)"))</f>
        <v/>
      </c>
      <c r="Y430" s="12">
        <f>IF($J430="","",TODAY()-$J430)</f>
        <v/>
      </c>
      <c r="Z430" s="3">
        <f>IF($Y430="","",IF($Y430&lt;0,"FUTURO",IF($Y430&gt;p_dias_backlog_max,"BACKLOG","MES CORRIENTE")))</f>
        <v/>
      </c>
      <c r="AA430" s="3">
        <f>IF($Y430="",FALSE,AND($Y430&gt;p_dias_backlog_min,$Y430&lt;=p_dias_backlog_max))</f>
        <v/>
      </c>
      <c r="AB430" s="6" t="n"/>
      <c r="AC430" s="3">
        <f>IF($AB430="","",IFERROR(INDEX('ASIGNACIONES'!$F$4:$F$339,MATCH($O430&amp;"|"&amp;$R430&amp;"|"&amp;$AB430,'ASIGNACIONES'!$I$4:$I$339,0)),""))</f>
        <v/>
      </c>
      <c r="AD430" s="13">
        <f>IF($AB430="","",SUMIFS('ORDENES'!$M$4:$M$1203,'ORDENES'!$AB$4:$AB$1203,$AB430,'ORDENES'!$O$4:$O$1203,$O430,'ORDENES'!$R$4:$R$1203,$R430))</f>
        <v/>
      </c>
      <c r="AE430" s="13">
        <f>IF($AD430="","",p_factor_productividad*IFERROR(INDEX('ASIGNACIONES'!$H$4:$H$339,MATCH($O430&amp;"|"&amp;$R430&amp;"|"&amp;$AB430,'ASIGNACIONES'!$I$4:$I$339,0)),0)-$AD430)</f>
        <v/>
      </c>
      <c r="AF430" s="10">
        <f>IF($A430="","",IFERROR(INDEX('2_IMPORTAR_EJECUCION'!$F$9:$F$1208,MATCH($AN430,'2_IMPORTAR_EJECUCION'!$J$9:$J$1208,0)),0))</f>
        <v/>
      </c>
      <c r="AG430" s="10">
        <f>IF($A430="","",MAX(0,IFERROR(INDEX('2_IMPORTAR_EJECUCION'!$H$9:$H$1208,MATCH($AN430,'2_IMPORTAR_EJECUCION'!$J$9:$J$1208,0)),0)-$AF430))</f>
        <v/>
      </c>
      <c r="AH430" s="10">
        <f>IF($A430="","",$AF430+$AG430)</f>
        <v/>
      </c>
      <c r="AI430" s="6" t="n"/>
      <c r="AJ430" s="6" t="n"/>
      <c r="AK430" s="6" t="n"/>
      <c r="AL430" s="3">
        <f>IF($AK430="","",HYPERLINK(p_ruta_base_checklists&amp;$AK430,"abrir"))</f>
        <v/>
      </c>
      <c r="AM430" s="6" t="n"/>
      <c r="AN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1" t="n"/>
      <c r="K431" s="3" t="n"/>
      <c r="L431" s="10" t="n"/>
      <c r="M431" s="3">
        <f>IF($A431="","",IFERROR(INDEX('AJUSTES'!$B$4:$B$303,MATCH($AN431,'AJUSTES'!$A$4:$A$303,0)),IF($K431="","",$K431)))</f>
        <v/>
      </c>
      <c r="N431" s="3">
        <f>IF($A431="","",IFERROR(INDEX('CAT_ESTADOS_ERP'!$B$4:$B$7,MATCH(IFERROR(INDEX('2_IMPORTAR_EJECUCION'!$C$9:$C$1208,MATCH($AN431,'2_IMPORTAR_EJECUCION'!$J$9:$J$1208,0)),""),'CAT_ESTADOS_ERP'!$A$4:$A$7,0)),"Pendiente"))</f>
        <v/>
      </c>
      <c r="O431" s="3">
        <f>IF($J431="","",YEAR($J431+4-WEEKDAY($J431,2))&amp;"-S"&amp;TEXT(_xlfn.ISOWEEKNUM($J431),"00"))</f>
        <v/>
      </c>
      <c r="P431" s="3">
        <f>IF($J431="","",YEAR($J431))</f>
        <v/>
      </c>
      <c r="Q431" s="3">
        <f>IF($J431="","",MONTH($J431))</f>
        <v/>
      </c>
      <c r="R431" s="3">
        <f>IF($J431="","",INDEX(lista_dias,WEEKDAY($J431,2)))</f>
        <v/>
      </c>
      <c r="S431" s="3">
        <f>IF($I431="","",IFERROR(INDEX('CAT_TIPOS_OT'!$C$4:$C$7,MATCH($I431,'CAT_TIPOS_OT'!$A$4:$A$7,0)),"sin_clasificar"))</f>
        <v/>
      </c>
      <c r="T431" s="3">
        <f>IF($F431="","",IFERROR(INDEX('CAT_CENTROS_COSTO'!$E$4:$E$9,MATCH($F431,'CAT_CENTROS_COSTO'!$A$4:$A$9,0)),"(sin catálogo)"))</f>
        <v/>
      </c>
      <c r="U431" s="3">
        <f>IF($F431="","",IFERROR(INDEX('CAT_CENTROS_COSTO'!$D$4:$D$9,MATCH($F431,'CAT_CENTROS_COSTO'!$A$4:$A$9,0)),"(sin catálogo)"))</f>
        <v/>
      </c>
      <c r="V431" s="3">
        <f>IF($F431="","",IFERROR(INDEX('CAT_CENTROS_COSTO'!$F$4:$F$9,MATCH($F431,'CAT_CENTROS_COSTO'!$A$4:$A$9,0)),"(sin catálogo)"))</f>
        <v/>
      </c>
      <c r="W431" s="3">
        <f>IF($G431="","",IFERROR(INDEX('CAT_PUESTOS'!$B$4:$B$8,MATCH($G431,'CAT_PUESTOS'!$A$4:$A$8,0)),"(sin catálogo)"))</f>
        <v/>
      </c>
      <c r="X431" s="3">
        <f>IF($H431="","",IFERROR(INDEX('CAT_ACTIVIDADES'!$B$4:$B$8,MATCH($H431,'CAT_ACTIVIDADES'!$A$4:$A$8,0)),"(sin catálogo)"))</f>
        <v/>
      </c>
      <c r="Y431" s="12">
        <f>IF($J431="","",TODAY()-$J431)</f>
        <v/>
      </c>
      <c r="Z431" s="3">
        <f>IF($Y431="","",IF($Y431&lt;0,"FUTURO",IF($Y431&gt;p_dias_backlog_max,"BACKLOG","MES CORRIENTE")))</f>
        <v/>
      </c>
      <c r="AA431" s="3">
        <f>IF($Y431="",FALSE,AND($Y431&gt;p_dias_backlog_min,$Y431&lt;=p_dias_backlog_max))</f>
        <v/>
      </c>
      <c r="AB431" s="6" t="n"/>
      <c r="AC431" s="3">
        <f>IF($AB431="","",IFERROR(INDEX('ASIGNACIONES'!$F$4:$F$339,MATCH($O431&amp;"|"&amp;$R431&amp;"|"&amp;$AB431,'ASIGNACIONES'!$I$4:$I$339,0)),""))</f>
        <v/>
      </c>
      <c r="AD431" s="13">
        <f>IF($AB431="","",SUMIFS('ORDENES'!$M$4:$M$1203,'ORDENES'!$AB$4:$AB$1203,$AB431,'ORDENES'!$O$4:$O$1203,$O431,'ORDENES'!$R$4:$R$1203,$R431))</f>
        <v/>
      </c>
      <c r="AE431" s="13">
        <f>IF($AD431="","",p_factor_productividad*IFERROR(INDEX('ASIGNACIONES'!$H$4:$H$339,MATCH($O431&amp;"|"&amp;$R431&amp;"|"&amp;$AB431,'ASIGNACIONES'!$I$4:$I$339,0)),0)-$AD431)</f>
        <v/>
      </c>
      <c r="AF431" s="10">
        <f>IF($A431="","",IFERROR(INDEX('2_IMPORTAR_EJECUCION'!$F$9:$F$1208,MATCH($AN431,'2_IMPORTAR_EJECUCION'!$J$9:$J$1208,0)),0))</f>
        <v/>
      </c>
      <c r="AG431" s="10">
        <f>IF($A431="","",MAX(0,IFERROR(INDEX('2_IMPORTAR_EJECUCION'!$H$9:$H$1208,MATCH($AN431,'2_IMPORTAR_EJECUCION'!$J$9:$J$1208,0)),0)-$AF431))</f>
        <v/>
      </c>
      <c r="AH431" s="10">
        <f>IF($A431="","",$AF431+$AG431)</f>
        <v/>
      </c>
      <c r="AI431" s="6" t="n"/>
      <c r="AJ431" s="6" t="n"/>
      <c r="AK431" s="6" t="n"/>
      <c r="AL431" s="3">
        <f>IF($AK431="","",HYPERLINK(p_ruta_base_checklists&amp;$AK431,"abrir"))</f>
        <v/>
      </c>
      <c r="AM431" s="6" t="n"/>
      <c r="AN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1" t="n"/>
      <c r="K432" s="3" t="n"/>
      <c r="L432" s="10" t="n"/>
      <c r="M432" s="3">
        <f>IF($A432="","",IFERROR(INDEX('AJUSTES'!$B$4:$B$303,MATCH($AN432,'AJUSTES'!$A$4:$A$303,0)),IF($K432="","",$K432)))</f>
        <v/>
      </c>
      <c r="N432" s="3">
        <f>IF($A432="","",IFERROR(INDEX('CAT_ESTADOS_ERP'!$B$4:$B$7,MATCH(IFERROR(INDEX('2_IMPORTAR_EJECUCION'!$C$9:$C$1208,MATCH($AN432,'2_IMPORTAR_EJECUCION'!$J$9:$J$1208,0)),""),'CAT_ESTADOS_ERP'!$A$4:$A$7,0)),"Pendiente"))</f>
        <v/>
      </c>
      <c r="O432" s="3">
        <f>IF($J432="","",YEAR($J432+4-WEEKDAY($J432,2))&amp;"-S"&amp;TEXT(_xlfn.ISOWEEKNUM($J432),"00"))</f>
        <v/>
      </c>
      <c r="P432" s="3">
        <f>IF($J432="","",YEAR($J432))</f>
        <v/>
      </c>
      <c r="Q432" s="3">
        <f>IF($J432="","",MONTH($J432))</f>
        <v/>
      </c>
      <c r="R432" s="3">
        <f>IF($J432="","",INDEX(lista_dias,WEEKDAY($J432,2)))</f>
        <v/>
      </c>
      <c r="S432" s="3">
        <f>IF($I432="","",IFERROR(INDEX('CAT_TIPOS_OT'!$C$4:$C$7,MATCH($I432,'CAT_TIPOS_OT'!$A$4:$A$7,0)),"sin_clasificar"))</f>
        <v/>
      </c>
      <c r="T432" s="3">
        <f>IF($F432="","",IFERROR(INDEX('CAT_CENTROS_COSTO'!$E$4:$E$9,MATCH($F432,'CAT_CENTROS_COSTO'!$A$4:$A$9,0)),"(sin catálogo)"))</f>
        <v/>
      </c>
      <c r="U432" s="3">
        <f>IF($F432="","",IFERROR(INDEX('CAT_CENTROS_COSTO'!$D$4:$D$9,MATCH($F432,'CAT_CENTROS_COSTO'!$A$4:$A$9,0)),"(sin catálogo)"))</f>
        <v/>
      </c>
      <c r="V432" s="3">
        <f>IF($F432="","",IFERROR(INDEX('CAT_CENTROS_COSTO'!$F$4:$F$9,MATCH($F432,'CAT_CENTROS_COSTO'!$A$4:$A$9,0)),"(sin catálogo)"))</f>
        <v/>
      </c>
      <c r="W432" s="3">
        <f>IF($G432="","",IFERROR(INDEX('CAT_PUESTOS'!$B$4:$B$8,MATCH($G432,'CAT_PUESTOS'!$A$4:$A$8,0)),"(sin catálogo)"))</f>
        <v/>
      </c>
      <c r="X432" s="3">
        <f>IF($H432="","",IFERROR(INDEX('CAT_ACTIVIDADES'!$B$4:$B$8,MATCH($H432,'CAT_ACTIVIDADES'!$A$4:$A$8,0)),"(sin catálogo)"))</f>
        <v/>
      </c>
      <c r="Y432" s="12">
        <f>IF($J432="","",TODAY()-$J432)</f>
        <v/>
      </c>
      <c r="Z432" s="3">
        <f>IF($Y432="","",IF($Y432&lt;0,"FUTURO",IF($Y432&gt;p_dias_backlog_max,"BACKLOG","MES CORRIENTE")))</f>
        <v/>
      </c>
      <c r="AA432" s="3">
        <f>IF($Y432="",FALSE,AND($Y432&gt;p_dias_backlog_min,$Y432&lt;=p_dias_backlog_max))</f>
        <v/>
      </c>
      <c r="AB432" s="6" t="n"/>
      <c r="AC432" s="3">
        <f>IF($AB432="","",IFERROR(INDEX('ASIGNACIONES'!$F$4:$F$339,MATCH($O432&amp;"|"&amp;$R432&amp;"|"&amp;$AB432,'ASIGNACIONES'!$I$4:$I$339,0)),""))</f>
        <v/>
      </c>
      <c r="AD432" s="13">
        <f>IF($AB432="","",SUMIFS('ORDENES'!$M$4:$M$1203,'ORDENES'!$AB$4:$AB$1203,$AB432,'ORDENES'!$O$4:$O$1203,$O432,'ORDENES'!$R$4:$R$1203,$R432))</f>
        <v/>
      </c>
      <c r="AE432" s="13">
        <f>IF($AD432="","",p_factor_productividad*IFERROR(INDEX('ASIGNACIONES'!$H$4:$H$339,MATCH($O432&amp;"|"&amp;$R432&amp;"|"&amp;$AB432,'ASIGNACIONES'!$I$4:$I$339,0)),0)-$AD432)</f>
        <v/>
      </c>
      <c r="AF432" s="10">
        <f>IF($A432="","",IFERROR(INDEX('2_IMPORTAR_EJECUCION'!$F$9:$F$1208,MATCH($AN432,'2_IMPORTAR_EJECUCION'!$J$9:$J$1208,0)),0))</f>
        <v/>
      </c>
      <c r="AG432" s="10">
        <f>IF($A432="","",MAX(0,IFERROR(INDEX('2_IMPORTAR_EJECUCION'!$H$9:$H$1208,MATCH($AN432,'2_IMPORTAR_EJECUCION'!$J$9:$J$1208,0)),0)-$AF432))</f>
        <v/>
      </c>
      <c r="AH432" s="10">
        <f>IF($A432="","",$AF432+$AG432)</f>
        <v/>
      </c>
      <c r="AI432" s="6" t="n"/>
      <c r="AJ432" s="6" t="n"/>
      <c r="AK432" s="6" t="n"/>
      <c r="AL432" s="3">
        <f>IF($AK432="","",HYPERLINK(p_ruta_base_checklists&amp;$AK432,"abrir"))</f>
        <v/>
      </c>
      <c r="AM432" s="6" t="n"/>
      <c r="AN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1" t="n"/>
      <c r="K433" s="3" t="n"/>
      <c r="L433" s="10" t="n"/>
      <c r="M433" s="3">
        <f>IF($A433="","",IFERROR(INDEX('AJUSTES'!$B$4:$B$303,MATCH($AN433,'AJUSTES'!$A$4:$A$303,0)),IF($K433="","",$K433)))</f>
        <v/>
      </c>
      <c r="N433" s="3">
        <f>IF($A433="","",IFERROR(INDEX('CAT_ESTADOS_ERP'!$B$4:$B$7,MATCH(IFERROR(INDEX('2_IMPORTAR_EJECUCION'!$C$9:$C$1208,MATCH($AN433,'2_IMPORTAR_EJECUCION'!$J$9:$J$1208,0)),""),'CAT_ESTADOS_ERP'!$A$4:$A$7,0)),"Pendiente"))</f>
        <v/>
      </c>
      <c r="O433" s="3">
        <f>IF($J433="","",YEAR($J433+4-WEEKDAY($J433,2))&amp;"-S"&amp;TEXT(_xlfn.ISOWEEKNUM($J433),"00"))</f>
        <v/>
      </c>
      <c r="P433" s="3">
        <f>IF($J433="","",YEAR($J433))</f>
        <v/>
      </c>
      <c r="Q433" s="3">
        <f>IF($J433="","",MONTH($J433))</f>
        <v/>
      </c>
      <c r="R433" s="3">
        <f>IF($J433="","",INDEX(lista_dias,WEEKDAY($J433,2)))</f>
        <v/>
      </c>
      <c r="S433" s="3">
        <f>IF($I433="","",IFERROR(INDEX('CAT_TIPOS_OT'!$C$4:$C$7,MATCH($I433,'CAT_TIPOS_OT'!$A$4:$A$7,0)),"sin_clasificar"))</f>
        <v/>
      </c>
      <c r="T433" s="3">
        <f>IF($F433="","",IFERROR(INDEX('CAT_CENTROS_COSTO'!$E$4:$E$9,MATCH($F433,'CAT_CENTROS_COSTO'!$A$4:$A$9,0)),"(sin catálogo)"))</f>
        <v/>
      </c>
      <c r="U433" s="3">
        <f>IF($F433="","",IFERROR(INDEX('CAT_CENTROS_COSTO'!$D$4:$D$9,MATCH($F433,'CAT_CENTROS_COSTO'!$A$4:$A$9,0)),"(sin catálogo)"))</f>
        <v/>
      </c>
      <c r="V433" s="3">
        <f>IF($F433="","",IFERROR(INDEX('CAT_CENTROS_COSTO'!$F$4:$F$9,MATCH($F433,'CAT_CENTROS_COSTO'!$A$4:$A$9,0)),"(sin catálogo)"))</f>
        <v/>
      </c>
      <c r="W433" s="3">
        <f>IF($G433="","",IFERROR(INDEX('CAT_PUESTOS'!$B$4:$B$8,MATCH($G433,'CAT_PUESTOS'!$A$4:$A$8,0)),"(sin catálogo)"))</f>
        <v/>
      </c>
      <c r="X433" s="3">
        <f>IF($H433="","",IFERROR(INDEX('CAT_ACTIVIDADES'!$B$4:$B$8,MATCH($H433,'CAT_ACTIVIDADES'!$A$4:$A$8,0)),"(sin catálogo)"))</f>
        <v/>
      </c>
      <c r="Y433" s="12">
        <f>IF($J433="","",TODAY()-$J433)</f>
        <v/>
      </c>
      <c r="Z433" s="3">
        <f>IF($Y433="","",IF($Y433&lt;0,"FUTURO",IF($Y433&gt;p_dias_backlog_max,"BACKLOG","MES CORRIENTE")))</f>
        <v/>
      </c>
      <c r="AA433" s="3">
        <f>IF($Y433="",FALSE,AND($Y433&gt;p_dias_backlog_min,$Y433&lt;=p_dias_backlog_max))</f>
        <v/>
      </c>
      <c r="AB433" s="6" t="n"/>
      <c r="AC433" s="3">
        <f>IF($AB433="","",IFERROR(INDEX('ASIGNACIONES'!$F$4:$F$339,MATCH($O433&amp;"|"&amp;$R433&amp;"|"&amp;$AB433,'ASIGNACIONES'!$I$4:$I$339,0)),""))</f>
        <v/>
      </c>
      <c r="AD433" s="13">
        <f>IF($AB433="","",SUMIFS('ORDENES'!$M$4:$M$1203,'ORDENES'!$AB$4:$AB$1203,$AB433,'ORDENES'!$O$4:$O$1203,$O433,'ORDENES'!$R$4:$R$1203,$R433))</f>
        <v/>
      </c>
      <c r="AE433" s="13">
        <f>IF($AD433="","",p_factor_productividad*IFERROR(INDEX('ASIGNACIONES'!$H$4:$H$339,MATCH($O433&amp;"|"&amp;$R433&amp;"|"&amp;$AB433,'ASIGNACIONES'!$I$4:$I$339,0)),0)-$AD433)</f>
        <v/>
      </c>
      <c r="AF433" s="10">
        <f>IF($A433="","",IFERROR(INDEX('2_IMPORTAR_EJECUCION'!$F$9:$F$1208,MATCH($AN433,'2_IMPORTAR_EJECUCION'!$J$9:$J$1208,0)),0))</f>
        <v/>
      </c>
      <c r="AG433" s="10">
        <f>IF($A433="","",MAX(0,IFERROR(INDEX('2_IMPORTAR_EJECUCION'!$H$9:$H$1208,MATCH($AN433,'2_IMPORTAR_EJECUCION'!$J$9:$J$1208,0)),0)-$AF433))</f>
        <v/>
      </c>
      <c r="AH433" s="10">
        <f>IF($A433="","",$AF433+$AG433)</f>
        <v/>
      </c>
      <c r="AI433" s="6" t="n"/>
      <c r="AJ433" s="6" t="n"/>
      <c r="AK433" s="6" t="n"/>
      <c r="AL433" s="3">
        <f>IF($AK433="","",HYPERLINK(p_ruta_base_checklists&amp;$AK433,"abrir"))</f>
        <v/>
      </c>
      <c r="AM433" s="6" t="n"/>
      <c r="AN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1" t="n"/>
      <c r="K434" s="3" t="n"/>
      <c r="L434" s="10" t="n"/>
      <c r="M434" s="3">
        <f>IF($A434="","",IFERROR(INDEX('AJUSTES'!$B$4:$B$303,MATCH($AN434,'AJUSTES'!$A$4:$A$303,0)),IF($K434="","",$K434)))</f>
        <v/>
      </c>
      <c r="N434" s="3">
        <f>IF($A434="","",IFERROR(INDEX('CAT_ESTADOS_ERP'!$B$4:$B$7,MATCH(IFERROR(INDEX('2_IMPORTAR_EJECUCION'!$C$9:$C$1208,MATCH($AN434,'2_IMPORTAR_EJECUCION'!$J$9:$J$1208,0)),""),'CAT_ESTADOS_ERP'!$A$4:$A$7,0)),"Pendiente"))</f>
        <v/>
      </c>
      <c r="O434" s="3">
        <f>IF($J434="","",YEAR($J434+4-WEEKDAY($J434,2))&amp;"-S"&amp;TEXT(_xlfn.ISOWEEKNUM($J434),"00"))</f>
        <v/>
      </c>
      <c r="P434" s="3">
        <f>IF($J434="","",YEAR($J434))</f>
        <v/>
      </c>
      <c r="Q434" s="3">
        <f>IF($J434="","",MONTH($J434))</f>
        <v/>
      </c>
      <c r="R434" s="3">
        <f>IF($J434="","",INDEX(lista_dias,WEEKDAY($J434,2)))</f>
        <v/>
      </c>
      <c r="S434" s="3">
        <f>IF($I434="","",IFERROR(INDEX('CAT_TIPOS_OT'!$C$4:$C$7,MATCH($I434,'CAT_TIPOS_OT'!$A$4:$A$7,0)),"sin_clasificar"))</f>
        <v/>
      </c>
      <c r="T434" s="3">
        <f>IF($F434="","",IFERROR(INDEX('CAT_CENTROS_COSTO'!$E$4:$E$9,MATCH($F434,'CAT_CENTROS_COSTO'!$A$4:$A$9,0)),"(sin catálogo)"))</f>
        <v/>
      </c>
      <c r="U434" s="3">
        <f>IF($F434="","",IFERROR(INDEX('CAT_CENTROS_COSTO'!$D$4:$D$9,MATCH($F434,'CAT_CENTROS_COSTO'!$A$4:$A$9,0)),"(sin catálogo)"))</f>
        <v/>
      </c>
      <c r="V434" s="3">
        <f>IF($F434="","",IFERROR(INDEX('CAT_CENTROS_COSTO'!$F$4:$F$9,MATCH($F434,'CAT_CENTROS_COSTO'!$A$4:$A$9,0)),"(sin catálogo)"))</f>
        <v/>
      </c>
      <c r="W434" s="3">
        <f>IF($G434="","",IFERROR(INDEX('CAT_PUESTOS'!$B$4:$B$8,MATCH($G434,'CAT_PUESTOS'!$A$4:$A$8,0)),"(sin catálogo)"))</f>
        <v/>
      </c>
      <c r="X434" s="3">
        <f>IF($H434="","",IFERROR(INDEX('CAT_ACTIVIDADES'!$B$4:$B$8,MATCH($H434,'CAT_ACTIVIDADES'!$A$4:$A$8,0)),"(sin catálogo)"))</f>
        <v/>
      </c>
      <c r="Y434" s="12">
        <f>IF($J434="","",TODAY()-$J434)</f>
        <v/>
      </c>
      <c r="Z434" s="3">
        <f>IF($Y434="","",IF($Y434&lt;0,"FUTURO",IF($Y434&gt;p_dias_backlog_max,"BACKLOG","MES CORRIENTE")))</f>
        <v/>
      </c>
      <c r="AA434" s="3">
        <f>IF($Y434="",FALSE,AND($Y434&gt;p_dias_backlog_min,$Y434&lt;=p_dias_backlog_max))</f>
        <v/>
      </c>
      <c r="AB434" s="6" t="n"/>
      <c r="AC434" s="3">
        <f>IF($AB434="","",IFERROR(INDEX('ASIGNACIONES'!$F$4:$F$339,MATCH($O434&amp;"|"&amp;$R434&amp;"|"&amp;$AB434,'ASIGNACIONES'!$I$4:$I$339,0)),""))</f>
        <v/>
      </c>
      <c r="AD434" s="13">
        <f>IF($AB434="","",SUMIFS('ORDENES'!$M$4:$M$1203,'ORDENES'!$AB$4:$AB$1203,$AB434,'ORDENES'!$O$4:$O$1203,$O434,'ORDENES'!$R$4:$R$1203,$R434))</f>
        <v/>
      </c>
      <c r="AE434" s="13">
        <f>IF($AD434="","",p_factor_productividad*IFERROR(INDEX('ASIGNACIONES'!$H$4:$H$339,MATCH($O434&amp;"|"&amp;$R434&amp;"|"&amp;$AB434,'ASIGNACIONES'!$I$4:$I$339,0)),0)-$AD434)</f>
        <v/>
      </c>
      <c r="AF434" s="10">
        <f>IF($A434="","",IFERROR(INDEX('2_IMPORTAR_EJECUCION'!$F$9:$F$1208,MATCH($AN434,'2_IMPORTAR_EJECUCION'!$J$9:$J$1208,0)),0))</f>
        <v/>
      </c>
      <c r="AG434" s="10">
        <f>IF($A434="","",MAX(0,IFERROR(INDEX('2_IMPORTAR_EJECUCION'!$H$9:$H$1208,MATCH($AN434,'2_IMPORTAR_EJECUCION'!$J$9:$J$1208,0)),0)-$AF434))</f>
        <v/>
      </c>
      <c r="AH434" s="10">
        <f>IF($A434="","",$AF434+$AG434)</f>
        <v/>
      </c>
      <c r="AI434" s="6" t="n"/>
      <c r="AJ434" s="6" t="n"/>
      <c r="AK434" s="6" t="n"/>
      <c r="AL434" s="3">
        <f>IF($AK434="","",HYPERLINK(p_ruta_base_checklists&amp;$AK434,"abrir"))</f>
        <v/>
      </c>
      <c r="AM434" s="6" t="n"/>
      <c r="AN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1" t="n"/>
      <c r="K435" s="3" t="n"/>
      <c r="L435" s="10" t="n"/>
      <c r="M435" s="3">
        <f>IF($A435="","",IFERROR(INDEX('AJUSTES'!$B$4:$B$303,MATCH($AN435,'AJUSTES'!$A$4:$A$303,0)),IF($K435="","",$K435)))</f>
        <v/>
      </c>
      <c r="N435" s="3">
        <f>IF($A435="","",IFERROR(INDEX('CAT_ESTADOS_ERP'!$B$4:$B$7,MATCH(IFERROR(INDEX('2_IMPORTAR_EJECUCION'!$C$9:$C$1208,MATCH($AN435,'2_IMPORTAR_EJECUCION'!$J$9:$J$1208,0)),""),'CAT_ESTADOS_ERP'!$A$4:$A$7,0)),"Pendiente"))</f>
        <v/>
      </c>
      <c r="O435" s="3">
        <f>IF($J435="","",YEAR($J435+4-WEEKDAY($J435,2))&amp;"-S"&amp;TEXT(_xlfn.ISOWEEKNUM($J435),"00"))</f>
        <v/>
      </c>
      <c r="P435" s="3">
        <f>IF($J435="","",YEAR($J435))</f>
        <v/>
      </c>
      <c r="Q435" s="3">
        <f>IF($J435="","",MONTH($J435))</f>
        <v/>
      </c>
      <c r="R435" s="3">
        <f>IF($J435="","",INDEX(lista_dias,WEEKDAY($J435,2)))</f>
        <v/>
      </c>
      <c r="S435" s="3">
        <f>IF($I435="","",IFERROR(INDEX('CAT_TIPOS_OT'!$C$4:$C$7,MATCH($I435,'CAT_TIPOS_OT'!$A$4:$A$7,0)),"sin_clasificar"))</f>
        <v/>
      </c>
      <c r="T435" s="3">
        <f>IF($F435="","",IFERROR(INDEX('CAT_CENTROS_COSTO'!$E$4:$E$9,MATCH($F435,'CAT_CENTROS_COSTO'!$A$4:$A$9,0)),"(sin catálogo)"))</f>
        <v/>
      </c>
      <c r="U435" s="3">
        <f>IF($F435="","",IFERROR(INDEX('CAT_CENTROS_COSTO'!$D$4:$D$9,MATCH($F435,'CAT_CENTROS_COSTO'!$A$4:$A$9,0)),"(sin catálogo)"))</f>
        <v/>
      </c>
      <c r="V435" s="3">
        <f>IF($F435="","",IFERROR(INDEX('CAT_CENTROS_COSTO'!$F$4:$F$9,MATCH($F435,'CAT_CENTROS_COSTO'!$A$4:$A$9,0)),"(sin catálogo)"))</f>
        <v/>
      </c>
      <c r="W435" s="3">
        <f>IF($G435="","",IFERROR(INDEX('CAT_PUESTOS'!$B$4:$B$8,MATCH($G435,'CAT_PUESTOS'!$A$4:$A$8,0)),"(sin catálogo)"))</f>
        <v/>
      </c>
      <c r="X435" s="3">
        <f>IF($H435="","",IFERROR(INDEX('CAT_ACTIVIDADES'!$B$4:$B$8,MATCH($H435,'CAT_ACTIVIDADES'!$A$4:$A$8,0)),"(sin catálogo)"))</f>
        <v/>
      </c>
      <c r="Y435" s="12">
        <f>IF($J435="","",TODAY()-$J435)</f>
        <v/>
      </c>
      <c r="Z435" s="3">
        <f>IF($Y435="","",IF($Y435&lt;0,"FUTURO",IF($Y435&gt;p_dias_backlog_max,"BACKLOG","MES CORRIENTE")))</f>
        <v/>
      </c>
      <c r="AA435" s="3">
        <f>IF($Y435="",FALSE,AND($Y435&gt;p_dias_backlog_min,$Y435&lt;=p_dias_backlog_max))</f>
        <v/>
      </c>
      <c r="AB435" s="6" t="n"/>
      <c r="AC435" s="3">
        <f>IF($AB435="","",IFERROR(INDEX('ASIGNACIONES'!$F$4:$F$339,MATCH($O435&amp;"|"&amp;$R435&amp;"|"&amp;$AB435,'ASIGNACIONES'!$I$4:$I$339,0)),""))</f>
        <v/>
      </c>
      <c r="AD435" s="13">
        <f>IF($AB435="","",SUMIFS('ORDENES'!$M$4:$M$1203,'ORDENES'!$AB$4:$AB$1203,$AB435,'ORDENES'!$O$4:$O$1203,$O435,'ORDENES'!$R$4:$R$1203,$R435))</f>
        <v/>
      </c>
      <c r="AE435" s="13">
        <f>IF($AD435="","",p_factor_productividad*IFERROR(INDEX('ASIGNACIONES'!$H$4:$H$339,MATCH($O435&amp;"|"&amp;$R435&amp;"|"&amp;$AB435,'ASIGNACIONES'!$I$4:$I$339,0)),0)-$AD435)</f>
        <v/>
      </c>
      <c r="AF435" s="10">
        <f>IF($A435="","",IFERROR(INDEX('2_IMPORTAR_EJECUCION'!$F$9:$F$1208,MATCH($AN435,'2_IMPORTAR_EJECUCION'!$J$9:$J$1208,0)),0))</f>
        <v/>
      </c>
      <c r="AG435" s="10">
        <f>IF($A435="","",MAX(0,IFERROR(INDEX('2_IMPORTAR_EJECUCION'!$H$9:$H$1208,MATCH($AN435,'2_IMPORTAR_EJECUCION'!$J$9:$J$1208,0)),0)-$AF435))</f>
        <v/>
      </c>
      <c r="AH435" s="10">
        <f>IF($A435="","",$AF435+$AG435)</f>
        <v/>
      </c>
      <c r="AI435" s="6" t="n"/>
      <c r="AJ435" s="6" t="n"/>
      <c r="AK435" s="6" t="n"/>
      <c r="AL435" s="3">
        <f>IF($AK435="","",HYPERLINK(p_ruta_base_checklists&amp;$AK435,"abrir"))</f>
        <v/>
      </c>
      <c r="AM435" s="6" t="n"/>
      <c r="AN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1" t="n"/>
      <c r="K436" s="3" t="n"/>
      <c r="L436" s="10" t="n"/>
      <c r="M436" s="3">
        <f>IF($A436="","",IFERROR(INDEX('AJUSTES'!$B$4:$B$303,MATCH($AN436,'AJUSTES'!$A$4:$A$303,0)),IF($K436="","",$K436)))</f>
        <v/>
      </c>
      <c r="N436" s="3">
        <f>IF($A436="","",IFERROR(INDEX('CAT_ESTADOS_ERP'!$B$4:$B$7,MATCH(IFERROR(INDEX('2_IMPORTAR_EJECUCION'!$C$9:$C$1208,MATCH($AN436,'2_IMPORTAR_EJECUCION'!$J$9:$J$1208,0)),""),'CAT_ESTADOS_ERP'!$A$4:$A$7,0)),"Pendiente"))</f>
        <v/>
      </c>
      <c r="O436" s="3">
        <f>IF($J436="","",YEAR($J436+4-WEEKDAY($J436,2))&amp;"-S"&amp;TEXT(_xlfn.ISOWEEKNUM($J436),"00"))</f>
        <v/>
      </c>
      <c r="P436" s="3">
        <f>IF($J436="","",YEAR($J436))</f>
        <v/>
      </c>
      <c r="Q436" s="3">
        <f>IF($J436="","",MONTH($J436))</f>
        <v/>
      </c>
      <c r="R436" s="3">
        <f>IF($J436="","",INDEX(lista_dias,WEEKDAY($J436,2)))</f>
        <v/>
      </c>
      <c r="S436" s="3">
        <f>IF($I436="","",IFERROR(INDEX('CAT_TIPOS_OT'!$C$4:$C$7,MATCH($I436,'CAT_TIPOS_OT'!$A$4:$A$7,0)),"sin_clasificar"))</f>
        <v/>
      </c>
      <c r="T436" s="3">
        <f>IF($F436="","",IFERROR(INDEX('CAT_CENTROS_COSTO'!$E$4:$E$9,MATCH($F436,'CAT_CENTROS_COSTO'!$A$4:$A$9,0)),"(sin catálogo)"))</f>
        <v/>
      </c>
      <c r="U436" s="3">
        <f>IF($F436="","",IFERROR(INDEX('CAT_CENTROS_COSTO'!$D$4:$D$9,MATCH($F436,'CAT_CENTROS_COSTO'!$A$4:$A$9,0)),"(sin catálogo)"))</f>
        <v/>
      </c>
      <c r="V436" s="3">
        <f>IF($F436="","",IFERROR(INDEX('CAT_CENTROS_COSTO'!$F$4:$F$9,MATCH($F436,'CAT_CENTROS_COSTO'!$A$4:$A$9,0)),"(sin catálogo)"))</f>
        <v/>
      </c>
      <c r="W436" s="3">
        <f>IF($G436="","",IFERROR(INDEX('CAT_PUESTOS'!$B$4:$B$8,MATCH($G436,'CAT_PUESTOS'!$A$4:$A$8,0)),"(sin catálogo)"))</f>
        <v/>
      </c>
      <c r="X436" s="3">
        <f>IF($H436="","",IFERROR(INDEX('CAT_ACTIVIDADES'!$B$4:$B$8,MATCH($H436,'CAT_ACTIVIDADES'!$A$4:$A$8,0)),"(sin catálogo)"))</f>
        <v/>
      </c>
      <c r="Y436" s="12">
        <f>IF($J436="","",TODAY()-$J436)</f>
        <v/>
      </c>
      <c r="Z436" s="3">
        <f>IF($Y436="","",IF($Y436&lt;0,"FUTURO",IF($Y436&gt;p_dias_backlog_max,"BACKLOG","MES CORRIENTE")))</f>
        <v/>
      </c>
      <c r="AA436" s="3">
        <f>IF($Y436="",FALSE,AND($Y436&gt;p_dias_backlog_min,$Y436&lt;=p_dias_backlog_max))</f>
        <v/>
      </c>
      <c r="AB436" s="6" t="n"/>
      <c r="AC436" s="3">
        <f>IF($AB436="","",IFERROR(INDEX('ASIGNACIONES'!$F$4:$F$339,MATCH($O436&amp;"|"&amp;$R436&amp;"|"&amp;$AB436,'ASIGNACIONES'!$I$4:$I$339,0)),""))</f>
        <v/>
      </c>
      <c r="AD436" s="13">
        <f>IF($AB436="","",SUMIFS('ORDENES'!$M$4:$M$1203,'ORDENES'!$AB$4:$AB$1203,$AB436,'ORDENES'!$O$4:$O$1203,$O436,'ORDENES'!$R$4:$R$1203,$R436))</f>
        <v/>
      </c>
      <c r="AE436" s="13">
        <f>IF($AD436="","",p_factor_productividad*IFERROR(INDEX('ASIGNACIONES'!$H$4:$H$339,MATCH($O436&amp;"|"&amp;$R436&amp;"|"&amp;$AB436,'ASIGNACIONES'!$I$4:$I$339,0)),0)-$AD436)</f>
        <v/>
      </c>
      <c r="AF436" s="10">
        <f>IF($A436="","",IFERROR(INDEX('2_IMPORTAR_EJECUCION'!$F$9:$F$1208,MATCH($AN436,'2_IMPORTAR_EJECUCION'!$J$9:$J$1208,0)),0))</f>
        <v/>
      </c>
      <c r="AG436" s="10">
        <f>IF($A436="","",MAX(0,IFERROR(INDEX('2_IMPORTAR_EJECUCION'!$H$9:$H$1208,MATCH($AN436,'2_IMPORTAR_EJECUCION'!$J$9:$J$1208,0)),0)-$AF436))</f>
        <v/>
      </c>
      <c r="AH436" s="10">
        <f>IF($A436="","",$AF436+$AG436)</f>
        <v/>
      </c>
      <c r="AI436" s="6" t="n"/>
      <c r="AJ436" s="6" t="n"/>
      <c r="AK436" s="6" t="n"/>
      <c r="AL436" s="3">
        <f>IF($AK436="","",HYPERLINK(p_ruta_base_checklists&amp;$AK436,"abrir"))</f>
        <v/>
      </c>
      <c r="AM436" s="6" t="n"/>
      <c r="AN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1" t="n"/>
      <c r="K437" s="3" t="n"/>
      <c r="L437" s="10" t="n"/>
      <c r="M437" s="3">
        <f>IF($A437="","",IFERROR(INDEX('AJUSTES'!$B$4:$B$303,MATCH($AN437,'AJUSTES'!$A$4:$A$303,0)),IF($K437="","",$K437)))</f>
        <v/>
      </c>
      <c r="N437" s="3">
        <f>IF($A437="","",IFERROR(INDEX('CAT_ESTADOS_ERP'!$B$4:$B$7,MATCH(IFERROR(INDEX('2_IMPORTAR_EJECUCION'!$C$9:$C$1208,MATCH($AN437,'2_IMPORTAR_EJECUCION'!$J$9:$J$1208,0)),""),'CAT_ESTADOS_ERP'!$A$4:$A$7,0)),"Pendiente"))</f>
        <v/>
      </c>
      <c r="O437" s="3">
        <f>IF($J437="","",YEAR($J437+4-WEEKDAY($J437,2))&amp;"-S"&amp;TEXT(_xlfn.ISOWEEKNUM($J437),"00"))</f>
        <v/>
      </c>
      <c r="P437" s="3">
        <f>IF($J437="","",YEAR($J437))</f>
        <v/>
      </c>
      <c r="Q437" s="3">
        <f>IF($J437="","",MONTH($J437))</f>
        <v/>
      </c>
      <c r="R437" s="3">
        <f>IF($J437="","",INDEX(lista_dias,WEEKDAY($J437,2)))</f>
        <v/>
      </c>
      <c r="S437" s="3">
        <f>IF($I437="","",IFERROR(INDEX('CAT_TIPOS_OT'!$C$4:$C$7,MATCH($I437,'CAT_TIPOS_OT'!$A$4:$A$7,0)),"sin_clasificar"))</f>
        <v/>
      </c>
      <c r="T437" s="3">
        <f>IF($F437="","",IFERROR(INDEX('CAT_CENTROS_COSTO'!$E$4:$E$9,MATCH($F437,'CAT_CENTROS_COSTO'!$A$4:$A$9,0)),"(sin catálogo)"))</f>
        <v/>
      </c>
      <c r="U437" s="3">
        <f>IF($F437="","",IFERROR(INDEX('CAT_CENTROS_COSTO'!$D$4:$D$9,MATCH($F437,'CAT_CENTROS_COSTO'!$A$4:$A$9,0)),"(sin catálogo)"))</f>
        <v/>
      </c>
      <c r="V437" s="3">
        <f>IF($F437="","",IFERROR(INDEX('CAT_CENTROS_COSTO'!$F$4:$F$9,MATCH($F437,'CAT_CENTROS_COSTO'!$A$4:$A$9,0)),"(sin catálogo)"))</f>
        <v/>
      </c>
      <c r="W437" s="3">
        <f>IF($G437="","",IFERROR(INDEX('CAT_PUESTOS'!$B$4:$B$8,MATCH($G437,'CAT_PUESTOS'!$A$4:$A$8,0)),"(sin catálogo)"))</f>
        <v/>
      </c>
      <c r="X437" s="3">
        <f>IF($H437="","",IFERROR(INDEX('CAT_ACTIVIDADES'!$B$4:$B$8,MATCH($H437,'CAT_ACTIVIDADES'!$A$4:$A$8,0)),"(sin catálogo)"))</f>
        <v/>
      </c>
      <c r="Y437" s="12">
        <f>IF($J437="","",TODAY()-$J437)</f>
        <v/>
      </c>
      <c r="Z437" s="3">
        <f>IF($Y437="","",IF($Y437&lt;0,"FUTURO",IF($Y437&gt;p_dias_backlog_max,"BACKLOG","MES CORRIENTE")))</f>
        <v/>
      </c>
      <c r="AA437" s="3">
        <f>IF($Y437="",FALSE,AND($Y437&gt;p_dias_backlog_min,$Y437&lt;=p_dias_backlog_max))</f>
        <v/>
      </c>
      <c r="AB437" s="6" t="n"/>
      <c r="AC437" s="3">
        <f>IF($AB437="","",IFERROR(INDEX('ASIGNACIONES'!$F$4:$F$339,MATCH($O437&amp;"|"&amp;$R437&amp;"|"&amp;$AB437,'ASIGNACIONES'!$I$4:$I$339,0)),""))</f>
        <v/>
      </c>
      <c r="AD437" s="13">
        <f>IF($AB437="","",SUMIFS('ORDENES'!$M$4:$M$1203,'ORDENES'!$AB$4:$AB$1203,$AB437,'ORDENES'!$O$4:$O$1203,$O437,'ORDENES'!$R$4:$R$1203,$R437))</f>
        <v/>
      </c>
      <c r="AE437" s="13">
        <f>IF($AD437="","",p_factor_productividad*IFERROR(INDEX('ASIGNACIONES'!$H$4:$H$339,MATCH($O437&amp;"|"&amp;$R437&amp;"|"&amp;$AB437,'ASIGNACIONES'!$I$4:$I$339,0)),0)-$AD437)</f>
        <v/>
      </c>
      <c r="AF437" s="10">
        <f>IF($A437="","",IFERROR(INDEX('2_IMPORTAR_EJECUCION'!$F$9:$F$1208,MATCH($AN437,'2_IMPORTAR_EJECUCION'!$J$9:$J$1208,0)),0))</f>
        <v/>
      </c>
      <c r="AG437" s="10">
        <f>IF($A437="","",MAX(0,IFERROR(INDEX('2_IMPORTAR_EJECUCION'!$H$9:$H$1208,MATCH($AN437,'2_IMPORTAR_EJECUCION'!$J$9:$J$1208,0)),0)-$AF437))</f>
        <v/>
      </c>
      <c r="AH437" s="10">
        <f>IF($A437="","",$AF437+$AG437)</f>
        <v/>
      </c>
      <c r="AI437" s="6" t="n"/>
      <c r="AJ437" s="6" t="n"/>
      <c r="AK437" s="6" t="n"/>
      <c r="AL437" s="3">
        <f>IF($AK437="","",HYPERLINK(p_ruta_base_checklists&amp;$AK437,"abrir"))</f>
        <v/>
      </c>
      <c r="AM437" s="6" t="n"/>
      <c r="AN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1" t="n"/>
      <c r="K438" s="3" t="n"/>
      <c r="L438" s="10" t="n"/>
      <c r="M438" s="3">
        <f>IF($A438="","",IFERROR(INDEX('AJUSTES'!$B$4:$B$303,MATCH($AN438,'AJUSTES'!$A$4:$A$303,0)),IF($K438="","",$K438)))</f>
        <v/>
      </c>
      <c r="N438" s="3">
        <f>IF($A438="","",IFERROR(INDEX('CAT_ESTADOS_ERP'!$B$4:$B$7,MATCH(IFERROR(INDEX('2_IMPORTAR_EJECUCION'!$C$9:$C$1208,MATCH($AN438,'2_IMPORTAR_EJECUCION'!$J$9:$J$1208,0)),""),'CAT_ESTADOS_ERP'!$A$4:$A$7,0)),"Pendiente"))</f>
        <v/>
      </c>
      <c r="O438" s="3">
        <f>IF($J438="","",YEAR($J438+4-WEEKDAY($J438,2))&amp;"-S"&amp;TEXT(_xlfn.ISOWEEKNUM($J438),"00"))</f>
        <v/>
      </c>
      <c r="P438" s="3">
        <f>IF($J438="","",YEAR($J438))</f>
        <v/>
      </c>
      <c r="Q438" s="3">
        <f>IF($J438="","",MONTH($J438))</f>
        <v/>
      </c>
      <c r="R438" s="3">
        <f>IF($J438="","",INDEX(lista_dias,WEEKDAY($J438,2)))</f>
        <v/>
      </c>
      <c r="S438" s="3">
        <f>IF($I438="","",IFERROR(INDEX('CAT_TIPOS_OT'!$C$4:$C$7,MATCH($I438,'CAT_TIPOS_OT'!$A$4:$A$7,0)),"sin_clasificar"))</f>
        <v/>
      </c>
      <c r="T438" s="3">
        <f>IF($F438="","",IFERROR(INDEX('CAT_CENTROS_COSTO'!$E$4:$E$9,MATCH($F438,'CAT_CENTROS_COSTO'!$A$4:$A$9,0)),"(sin catálogo)"))</f>
        <v/>
      </c>
      <c r="U438" s="3">
        <f>IF($F438="","",IFERROR(INDEX('CAT_CENTROS_COSTO'!$D$4:$D$9,MATCH($F438,'CAT_CENTROS_COSTO'!$A$4:$A$9,0)),"(sin catálogo)"))</f>
        <v/>
      </c>
      <c r="V438" s="3">
        <f>IF($F438="","",IFERROR(INDEX('CAT_CENTROS_COSTO'!$F$4:$F$9,MATCH($F438,'CAT_CENTROS_COSTO'!$A$4:$A$9,0)),"(sin catálogo)"))</f>
        <v/>
      </c>
      <c r="W438" s="3">
        <f>IF($G438="","",IFERROR(INDEX('CAT_PUESTOS'!$B$4:$B$8,MATCH($G438,'CAT_PUESTOS'!$A$4:$A$8,0)),"(sin catálogo)"))</f>
        <v/>
      </c>
      <c r="X438" s="3">
        <f>IF($H438="","",IFERROR(INDEX('CAT_ACTIVIDADES'!$B$4:$B$8,MATCH($H438,'CAT_ACTIVIDADES'!$A$4:$A$8,0)),"(sin catálogo)"))</f>
        <v/>
      </c>
      <c r="Y438" s="12">
        <f>IF($J438="","",TODAY()-$J438)</f>
        <v/>
      </c>
      <c r="Z438" s="3">
        <f>IF($Y438="","",IF($Y438&lt;0,"FUTURO",IF($Y438&gt;p_dias_backlog_max,"BACKLOG","MES CORRIENTE")))</f>
        <v/>
      </c>
      <c r="AA438" s="3">
        <f>IF($Y438="",FALSE,AND($Y438&gt;p_dias_backlog_min,$Y438&lt;=p_dias_backlog_max))</f>
        <v/>
      </c>
      <c r="AB438" s="6" t="n"/>
      <c r="AC438" s="3">
        <f>IF($AB438="","",IFERROR(INDEX('ASIGNACIONES'!$F$4:$F$339,MATCH($O438&amp;"|"&amp;$R438&amp;"|"&amp;$AB438,'ASIGNACIONES'!$I$4:$I$339,0)),""))</f>
        <v/>
      </c>
      <c r="AD438" s="13">
        <f>IF($AB438="","",SUMIFS('ORDENES'!$M$4:$M$1203,'ORDENES'!$AB$4:$AB$1203,$AB438,'ORDENES'!$O$4:$O$1203,$O438,'ORDENES'!$R$4:$R$1203,$R438))</f>
        <v/>
      </c>
      <c r="AE438" s="13">
        <f>IF($AD438="","",p_factor_productividad*IFERROR(INDEX('ASIGNACIONES'!$H$4:$H$339,MATCH($O438&amp;"|"&amp;$R438&amp;"|"&amp;$AB438,'ASIGNACIONES'!$I$4:$I$339,0)),0)-$AD438)</f>
        <v/>
      </c>
      <c r="AF438" s="10">
        <f>IF($A438="","",IFERROR(INDEX('2_IMPORTAR_EJECUCION'!$F$9:$F$1208,MATCH($AN438,'2_IMPORTAR_EJECUCION'!$J$9:$J$1208,0)),0))</f>
        <v/>
      </c>
      <c r="AG438" s="10">
        <f>IF($A438="","",MAX(0,IFERROR(INDEX('2_IMPORTAR_EJECUCION'!$H$9:$H$1208,MATCH($AN438,'2_IMPORTAR_EJECUCION'!$J$9:$J$1208,0)),0)-$AF438))</f>
        <v/>
      </c>
      <c r="AH438" s="10">
        <f>IF($A438="","",$AF438+$AG438)</f>
        <v/>
      </c>
      <c r="AI438" s="6" t="n"/>
      <c r="AJ438" s="6" t="n"/>
      <c r="AK438" s="6" t="n"/>
      <c r="AL438" s="3">
        <f>IF($AK438="","",HYPERLINK(p_ruta_base_checklists&amp;$AK438,"abrir"))</f>
        <v/>
      </c>
      <c r="AM438" s="6" t="n"/>
      <c r="AN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1" t="n"/>
      <c r="K439" s="3" t="n"/>
      <c r="L439" s="10" t="n"/>
      <c r="M439" s="3">
        <f>IF($A439="","",IFERROR(INDEX('AJUSTES'!$B$4:$B$303,MATCH($AN439,'AJUSTES'!$A$4:$A$303,0)),IF($K439="","",$K439)))</f>
        <v/>
      </c>
      <c r="N439" s="3">
        <f>IF($A439="","",IFERROR(INDEX('CAT_ESTADOS_ERP'!$B$4:$B$7,MATCH(IFERROR(INDEX('2_IMPORTAR_EJECUCION'!$C$9:$C$1208,MATCH($AN439,'2_IMPORTAR_EJECUCION'!$J$9:$J$1208,0)),""),'CAT_ESTADOS_ERP'!$A$4:$A$7,0)),"Pendiente"))</f>
        <v/>
      </c>
      <c r="O439" s="3">
        <f>IF($J439="","",YEAR($J439+4-WEEKDAY($J439,2))&amp;"-S"&amp;TEXT(_xlfn.ISOWEEKNUM($J439),"00"))</f>
        <v/>
      </c>
      <c r="P439" s="3">
        <f>IF($J439="","",YEAR($J439))</f>
        <v/>
      </c>
      <c r="Q439" s="3">
        <f>IF($J439="","",MONTH($J439))</f>
        <v/>
      </c>
      <c r="R439" s="3">
        <f>IF($J439="","",INDEX(lista_dias,WEEKDAY($J439,2)))</f>
        <v/>
      </c>
      <c r="S439" s="3">
        <f>IF($I439="","",IFERROR(INDEX('CAT_TIPOS_OT'!$C$4:$C$7,MATCH($I439,'CAT_TIPOS_OT'!$A$4:$A$7,0)),"sin_clasificar"))</f>
        <v/>
      </c>
      <c r="T439" s="3">
        <f>IF($F439="","",IFERROR(INDEX('CAT_CENTROS_COSTO'!$E$4:$E$9,MATCH($F439,'CAT_CENTROS_COSTO'!$A$4:$A$9,0)),"(sin catálogo)"))</f>
        <v/>
      </c>
      <c r="U439" s="3">
        <f>IF($F439="","",IFERROR(INDEX('CAT_CENTROS_COSTO'!$D$4:$D$9,MATCH($F439,'CAT_CENTROS_COSTO'!$A$4:$A$9,0)),"(sin catálogo)"))</f>
        <v/>
      </c>
      <c r="V439" s="3">
        <f>IF($F439="","",IFERROR(INDEX('CAT_CENTROS_COSTO'!$F$4:$F$9,MATCH($F439,'CAT_CENTROS_COSTO'!$A$4:$A$9,0)),"(sin catálogo)"))</f>
        <v/>
      </c>
      <c r="W439" s="3">
        <f>IF($G439="","",IFERROR(INDEX('CAT_PUESTOS'!$B$4:$B$8,MATCH($G439,'CAT_PUESTOS'!$A$4:$A$8,0)),"(sin catálogo)"))</f>
        <v/>
      </c>
      <c r="X439" s="3">
        <f>IF($H439="","",IFERROR(INDEX('CAT_ACTIVIDADES'!$B$4:$B$8,MATCH($H439,'CAT_ACTIVIDADES'!$A$4:$A$8,0)),"(sin catálogo)"))</f>
        <v/>
      </c>
      <c r="Y439" s="12">
        <f>IF($J439="","",TODAY()-$J439)</f>
        <v/>
      </c>
      <c r="Z439" s="3">
        <f>IF($Y439="","",IF($Y439&lt;0,"FUTURO",IF($Y439&gt;p_dias_backlog_max,"BACKLOG","MES CORRIENTE")))</f>
        <v/>
      </c>
      <c r="AA439" s="3">
        <f>IF($Y439="",FALSE,AND($Y439&gt;p_dias_backlog_min,$Y439&lt;=p_dias_backlog_max))</f>
        <v/>
      </c>
      <c r="AB439" s="6" t="n"/>
      <c r="AC439" s="3">
        <f>IF($AB439="","",IFERROR(INDEX('ASIGNACIONES'!$F$4:$F$339,MATCH($O439&amp;"|"&amp;$R439&amp;"|"&amp;$AB439,'ASIGNACIONES'!$I$4:$I$339,0)),""))</f>
        <v/>
      </c>
      <c r="AD439" s="13">
        <f>IF($AB439="","",SUMIFS('ORDENES'!$M$4:$M$1203,'ORDENES'!$AB$4:$AB$1203,$AB439,'ORDENES'!$O$4:$O$1203,$O439,'ORDENES'!$R$4:$R$1203,$R439))</f>
        <v/>
      </c>
      <c r="AE439" s="13">
        <f>IF($AD439="","",p_factor_productividad*IFERROR(INDEX('ASIGNACIONES'!$H$4:$H$339,MATCH($O439&amp;"|"&amp;$R439&amp;"|"&amp;$AB439,'ASIGNACIONES'!$I$4:$I$339,0)),0)-$AD439)</f>
        <v/>
      </c>
      <c r="AF439" s="10">
        <f>IF($A439="","",IFERROR(INDEX('2_IMPORTAR_EJECUCION'!$F$9:$F$1208,MATCH($AN439,'2_IMPORTAR_EJECUCION'!$J$9:$J$1208,0)),0))</f>
        <v/>
      </c>
      <c r="AG439" s="10">
        <f>IF($A439="","",MAX(0,IFERROR(INDEX('2_IMPORTAR_EJECUCION'!$H$9:$H$1208,MATCH($AN439,'2_IMPORTAR_EJECUCION'!$J$9:$J$1208,0)),0)-$AF439))</f>
        <v/>
      </c>
      <c r="AH439" s="10">
        <f>IF($A439="","",$AF439+$AG439)</f>
        <v/>
      </c>
      <c r="AI439" s="6" t="n"/>
      <c r="AJ439" s="6" t="n"/>
      <c r="AK439" s="6" t="n"/>
      <c r="AL439" s="3">
        <f>IF($AK439="","",HYPERLINK(p_ruta_base_checklists&amp;$AK439,"abrir"))</f>
        <v/>
      </c>
      <c r="AM439" s="6" t="n"/>
      <c r="AN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1" t="n"/>
      <c r="K440" s="3" t="n"/>
      <c r="L440" s="10" t="n"/>
      <c r="M440" s="3">
        <f>IF($A440="","",IFERROR(INDEX('AJUSTES'!$B$4:$B$303,MATCH($AN440,'AJUSTES'!$A$4:$A$303,0)),IF($K440="","",$K440)))</f>
        <v/>
      </c>
      <c r="N440" s="3">
        <f>IF($A440="","",IFERROR(INDEX('CAT_ESTADOS_ERP'!$B$4:$B$7,MATCH(IFERROR(INDEX('2_IMPORTAR_EJECUCION'!$C$9:$C$1208,MATCH($AN440,'2_IMPORTAR_EJECUCION'!$J$9:$J$1208,0)),""),'CAT_ESTADOS_ERP'!$A$4:$A$7,0)),"Pendiente"))</f>
        <v/>
      </c>
      <c r="O440" s="3">
        <f>IF($J440="","",YEAR($J440+4-WEEKDAY($J440,2))&amp;"-S"&amp;TEXT(_xlfn.ISOWEEKNUM($J440),"00"))</f>
        <v/>
      </c>
      <c r="P440" s="3">
        <f>IF($J440="","",YEAR($J440))</f>
        <v/>
      </c>
      <c r="Q440" s="3">
        <f>IF($J440="","",MONTH($J440))</f>
        <v/>
      </c>
      <c r="R440" s="3">
        <f>IF($J440="","",INDEX(lista_dias,WEEKDAY($J440,2)))</f>
        <v/>
      </c>
      <c r="S440" s="3">
        <f>IF($I440="","",IFERROR(INDEX('CAT_TIPOS_OT'!$C$4:$C$7,MATCH($I440,'CAT_TIPOS_OT'!$A$4:$A$7,0)),"sin_clasificar"))</f>
        <v/>
      </c>
      <c r="T440" s="3">
        <f>IF($F440="","",IFERROR(INDEX('CAT_CENTROS_COSTO'!$E$4:$E$9,MATCH($F440,'CAT_CENTROS_COSTO'!$A$4:$A$9,0)),"(sin catálogo)"))</f>
        <v/>
      </c>
      <c r="U440" s="3">
        <f>IF($F440="","",IFERROR(INDEX('CAT_CENTROS_COSTO'!$D$4:$D$9,MATCH($F440,'CAT_CENTROS_COSTO'!$A$4:$A$9,0)),"(sin catálogo)"))</f>
        <v/>
      </c>
      <c r="V440" s="3">
        <f>IF($F440="","",IFERROR(INDEX('CAT_CENTROS_COSTO'!$F$4:$F$9,MATCH($F440,'CAT_CENTROS_COSTO'!$A$4:$A$9,0)),"(sin catálogo)"))</f>
        <v/>
      </c>
      <c r="W440" s="3">
        <f>IF($G440="","",IFERROR(INDEX('CAT_PUESTOS'!$B$4:$B$8,MATCH($G440,'CAT_PUESTOS'!$A$4:$A$8,0)),"(sin catálogo)"))</f>
        <v/>
      </c>
      <c r="X440" s="3">
        <f>IF($H440="","",IFERROR(INDEX('CAT_ACTIVIDADES'!$B$4:$B$8,MATCH($H440,'CAT_ACTIVIDADES'!$A$4:$A$8,0)),"(sin catálogo)"))</f>
        <v/>
      </c>
      <c r="Y440" s="12">
        <f>IF($J440="","",TODAY()-$J440)</f>
        <v/>
      </c>
      <c r="Z440" s="3">
        <f>IF($Y440="","",IF($Y440&lt;0,"FUTURO",IF($Y440&gt;p_dias_backlog_max,"BACKLOG","MES CORRIENTE")))</f>
        <v/>
      </c>
      <c r="AA440" s="3">
        <f>IF($Y440="",FALSE,AND($Y440&gt;p_dias_backlog_min,$Y440&lt;=p_dias_backlog_max))</f>
        <v/>
      </c>
      <c r="AB440" s="6" t="n"/>
      <c r="AC440" s="3">
        <f>IF($AB440="","",IFERROR(INDEX('ASIGNACIONES'!$F$4:$F$339,MATCH($O440&amp;"|"&amp;$R440&amp;"|"&amp;$AB440,'ASIGNACIONES'!$I$4:$I$339,0)),""))</f>
        <v/>
      </c>
      <c r="AD440" s="13">
        <f>IF($AB440="","",SUMIFS('ORDENES'!$M$4:$M$1203,'ORDENES'!$AB$4:$AB$1203,$AB440,'ORDENES'!$O$4:$O$1203,$O440,'ORDENES'!$R$4:$R$1203,$R440))</f>
        <v/>
      </c>
      <c r="AE440" s="13">
        <f>IF($AD440="","",p_factor_productividad*IFERROR(INDEX('ASIGNACIONES'!$H$4:$H$339,MATCH($O440&amp;"|"&amp;$R440&amp;"|"&amp;$AB440,'ASIGNACIONES'!$I$4:$I$339,0)),0)-$AD440)</f>
        <v/>
      </c>
      <c r="AF440" s="10">
        <f>IF($A440="","",IFERROR(INDEX('2_IMPORTAR_EJECUCION'!$F$9:$F$1208,MATCH($AN440,'2_IMPORTAR_EJECUCION'!$J$9:$J$1208,0)),0))</f>
        <v/>
      </c>
      <c r="AG440" s="10">
        <f>IF($A440="","",MAX(0,IFERROR(INDEX('2_IMPORTAR_EJECUCION'!$H$9:$H$1208,MATCH($AN440,'2_IMPORTAR_EJECUCION'!$J$9:$J$1208,0)),0)-$AF440))</f>
        <v/>
      </c>
      <c r="AH440" s="10">
        <f>IF($A440="","",$AF440+$AG440)</f>
        <v/>
      </c>
      <c r="AI440" s="6" t="n"/>
      <c r="AJ440" s="6" t="n"/>
      <c r="AK440" s="6" t="n"/>
      <c r="AL440" s="3">
        <f>IF($AK440="","",HYPERLINK(p_ruta_base_checklists&amp;$AK440,"abrir"))</f>
        <v/>
      </c>
      <c r="AM440" s="6" t="n"/>
      <c r="AN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1" t="n"/>
      <c r="K441" s="3" t="n"/>
      <c r="L441" s="10" t="n"/>
      <c r="M441" s="3">
        <f>IF($A441="","",IFERROR(INDEX('AJUSTES'!$B$4:$B$303,MATCH($AN441,'AJUSTES'!$A$4:$A$303,0)),IF($K441="","",$K441)))</f>
        <v/>
      </c>
      <c r="N441" s="3">
        <f>IF($A441="","",IFERROR(INDEX('CAT_ESTADOS_ERP'!$B$4:$B$7,MATCH(IFERROR(INDEX('2_IMPORTAR_EJECUCION'!$C$9:$C$1208,MATCH($AN441,'2_IMPORTAR_EJECUCION'!$J$9:$J$1208,0)),""),'CAT_ESTADOS_ERP'!$A$4:$A$7,0)),"Pendiente"))</f>
        <v/>
      </c>
      <c r="O441" s="3">
        <f>IF($J441="","",YEAR($J441+4-WEEKDAY($J441,2))&amp;"-S"&amp;TEXT(_xlfn.ISOWEEKNUM($J441),"00"))</f>
        <v/>
      </c>
      <c r="P441" s="3">
        <f>IF($J441="","",YEAR($J441))</f>
        <v/>
      </c>
      <c r="Q441" s="3">
        <f>IF($J441="","",MONTH($J441))</f>
        <v/>
      </c>
      <c r="R441" s="3">
        <f>IF($J441="","",INDEX(lista_dias,WEEKDAY($J441,2)))</f>
        <v/>
      </c>
      <c r="S441" s="3">
        <f>IF($I441="","",IFERROR(INDEX('CAT_TIPOS_OT'!$C$4:$C$7,MATCH($I441,'CAT_TIPOS_OT'!$A$4:$A$7,0)),"sin_clasificar"))</f>
        <v/>
      </c>
      <c r="T441" s="3">
        <f>IF($F441="","",IFERROR(INDEX('CAT_CENTROS_COSTO'!$E$4:$E$9,MATCH($F441,'CAT_CENTROS_COSTO'!$A$4:$A$9,0)),"(sin catálogo)"))</f>
        <v/>
      </c>
      <c r="U441" s="3">
        <f>IF($F441="","",IFERROR(INDEX('CAT_CENTROS_COSTO'!$D$4:$D$9,MATCH($F441,'CAT_CENTROS_COSTO'!$A$4:$A$9,0)),"(sin catálogo)"))</f>
        <v/>
      </c>
      <c r="V441" s="3">
        <f>IF($F441="","",IFERROR(INDEX('CAT_CENTROS_COSTO'!$F$4:$F$9,MATCH($F441,'CAT_CENTROS_COSTO'!$A$4:$A$9,0)),"(sin catálogo)"))</f>
        <v/>
      </c>
      <c r="W441" s="3">
        <f>IF($G441="","",IFERROR(INDEX('CAT_PUESTOS'!$B$4:$B$8,MATCH($G441,'CAT_PUESTOS'!$A$4:$A$8,0)),"(sin catálogo)"))</f>
        <v/>
      </c>
      <c r="X441" s="3">
        <f>IF($H441="","",IFERROR(INDEX('CAT_ACTIVIDADES'!$B$4:$B$8,MATCH($H441,'CAT_ACTIVIDADES'!$A$4:$A$8,0)),"(sin catálogo)"))</f>
        <v/>
      </c>
      <c r="Y441" s="12">
        <f>IF($J441="","",TODAY()-$J441)</f>
        <v/>
      </c>
      <c r="Z441" s="3">
        <f>IF($Y441="","",IF($Y441&lt;0,"FUTURO",IF($Y441&gt;p_dias_backlog_max,"BACKLOG","MES CORRIENTE")))</f>
        <v/>
      </c>
      <c r="AA441" s="3">
        <f>IF($Y441="",FALSE,AND($Y441&gt;p_dias_backlog_min,$Y441&lt;=p_dias_backlog_max))</f>
        <v/>
      </c>
      <c r="AB441" s="6" t="n"/>
      <c r="AC441" s="3">
        <f>IF($AB441="","",IFERROR(INDEX('ASIGNACIONES'!$F$4:$F$339,MATCH($O441&amp;"|"&amp;$R441&amp;"|"&amp;$AB441,'ASIGNACIONES'!$I$4:$I$339,0)),""))</f>
        <v/>
      </c>
      <c r="AD441" s="13">
        <f>IF($AB441="","",SUMIFS('ORDENES'!$M$4:$M$1203,'ORDENES'!$AB$4:$AB$1203,$AB441,'ORDENES'!$O$4:$O$1203,$O441,'ORDENES'!$R$4:$R$1203,$R441))</f>
        <v/>
      </c>
      <c r="AE441" s="13">
        <f>IF($AD441="","",p_factor_productividad*IFERROR(INDEX('ASIGNACIONES'!$H$4:$H$339,MATCH($O441&amp;"|"&amp;$R441&amp;"|"&amp;$AB441,'ASIGNACIONES'!$I$4:$I$339,0)),0)-$AD441)</f>
        <v/>
      </c>
      <c r="AF441" s="10">
        <f>IF($A441="","",IFERROR(INDEX('2_IMPORTAR_EJECUCION'!$F$9:$F$1208,MATCH($AN441,'2_IMPORTAR_EJECUCION'!$J$9:$J$1208,0)),0))</f>
        <v/>
      </c>
      <c r="AG441" s="10">
        <f>IF($A441="","",MAX(0,IFERROR(INDEX('2_IMPORTAR_EJECUCION'!$H$9:$H$1208,MATCH($AN441,'2_IMPORTAR_EJECUCION'!$J$9:$J$1208,0)),0)-$AF441))</f>
        <v/>
      </c>
      <c r="AH441" s="10">
        <f>IF($A441="","",$AF441+$AG441)</f>
        <v/>
      </c>
      <c r="AI441" s="6" t="n"/>
      <c r="AJ441" s="6" t="n"/>
      <c r="AK441" s="6" t="n"/>
      <c r="AL441" s="3">
        <f>IF($AK441="","",HYPERLINK(p_ruta_base_checklists&amp;$AK441,"abrir"))</f>
        <v/>
      </c>
      <c r="AM441" s="6" t="n"/>
      <c r="AN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1" t="n"/>
      <c r="K442" s="3" t="n"/>
      <c r="L442" s="10" t="n"/>
      <c r="M442" s="3">
        <f>IF($A442="","",IFERROR(INDEX('AJUSTES'!$B$4:$B$303,MATCH($AN442,'AJUSTES'!$A$4:$A$303,0)),IF($K442="","",$K442)))</f>
        <v/>
      </c>
      <c r="N442" s="3">
        <f>IF($A442="","",IFERROR(INDEX('CAT_ESTADOS_ERP'!$B$4:$B$7,MATCH(IFERROR(INDEX('2_IMPORTAR_EJECUCION'!$C$9:$C$1208,MATCH($AN442,'2_IMPORTAR_EJECUCION'!$J$9:$J$1208,0)),""),'CAT_ESTADOS_ERP'!$A$4:$A$7,0)),"Pendiente"))</f>
        <v/>
      </c>
      <c r="O442" s="3">
        <f>IF($J442="","",YEAR($J442+4-WEEKDAY($J442,2))&amp;"-S"&amp;TEXT(_xlfn.ISOWEEKNUM($J442),"00"))</f>
        <v/>
      </c>
      <c r="P442" s="3">
        <f>IF($J442="","",YEAR($J442))</f>
        <v/>
      </c>
      <c r="Q442" s="3">
        <f>IF($J442="","",MONTH($J442))</f>
        <v/>
      </c>
      <c r="R442" s="3">
        <f>IF($J442="","",INDEX(lista_dias,WEEKDAY($J442,2)))</f>
        <v/>
      </c>
      <c r="S442" s="3">
        <f>IF($I442="","",IFERROR(INDEX('CAT_TIPOS_OT'!$C$4:$C$7,MATCH($I442,'CAT_TIPOS_OT'!$A$4:$A$7,0)),"sin_clasificar"))</f>
        <v/>
      </c>
      <c r="T442" s="3">
        <f>IF($F442="","",IFERROR(INDEX('CAT_CENTROS_COSTO'!$E$4:$E$9,MATCH($F442,'CAT_CENTROS_COSTO'!$A$4:$A$9,0)),"(sin catálogo)"))</f>
        <v/>
      </c>
      <c r="U442" s="3">
        <f>IF($F442="","",IFERROR(INDEX('CAT_CENTROS_COSTO'!$D$4:$D$9,MATCH($F442,'CAT_CENTROS_COSTO'!$A$4:$A$9,0)),"(sin catálogo)"))</f>
        <v/>
      </c>
      <c r="V442" s="3">
        <f>IF($F442="","",IFERROR(INDEX('CAT_CENTROS_COSTO'!$F$4:$F$9,MATCH($F442,'CAT_CENTROS_COSTO'!$A$4:$A$9,0)),"(sin catálogo)"))</f>
        <v/>
      </c>
      <c r="W442" s="3">
        <f>IF($G442="","",IFERROR(INDEX('CAT_PUESTOS'!$B$4:$B$8,MATCH($G442,'CAT_PUESTOS'!$A$4:$A$8,0)),"(sin catálogo)"))</f>
        <v/>
      </c>
      <c r="X442" s="3">
        <f>IF($H442="","",IFERROR(INDEX('CAT_ACTIVIDADES'!$B$4:$B$8,MATCH($H442,'CAT_ACTIVIDADES'!$A$4:$A$8,0)),"(sin catálogo)"))</f>
        <v/>
      </c>
      <c r="Y442" s="12">
        <f>IF($J442="","",TODAY()-$J442)</f>
        <v/>
      </c>
      <c r="Z442" s="3">
        <f>IF($Y442="","",IF($Y442&lt;0,"FUTURO",IF($Y442&gt;p_dias_backlog_max,"BACKLOG","MES CORRIENTE")))</f>
        <v/>
      </c>
      <c r="AA442" s="3">
        <f>IF($Y442="",FALSE,AND($Y442&gt;p_dias_backlog_min,$Y442&lt;=p_dias_backlog_max))</f>
        <v/>
      </c>
      <c r="AB442" s="6" t="n"/>
      <c r="AC442" s="3">
        <f>IF($AB442="","",IFERROR(INDEX('ASIGNACIONES'!$F$4:$F$339,MATCH($O442&amp;"|"&amp;$R442&amp;"|"&amp;$AB442,'ASIGNACIONES'!$I$4:$I$339,0)),""))</f>
        <v/>
      </c>
      <c r="AD442" s="13">
        <f>IF($AB442="","",SUMIFS('ORDENES'!$M$4:$M$1203,'ORDENES'!$AB$4:$AB$1203,$AB442,'ORDENES'!$O$4:$O$1203,$O442,'ORDENES'!$R$4:$R$1203,$R442))</f>
        <v/>
      </c>
      <c r="AE442" s="13">
        <f>IF($AD442="","",p_factor_productividad*IFERROR(INDEX('ASIGNACIONES'!$H$4:$H$339,MATCH($O442&amp;"|"&amp;$R442&amp;"|"&amp;$AB442,'ASIGNACIONES'!$I$4:$I$339,0)),0)-$AD442)</f>
        <v/>
      </c>
      <c r="AF442" s="10">
        <f>IF($A442="","",IFERROR(INDEX('2_IMPORTAR_EJECUCION'!$F$9:$F$1208,MATCH($AN442,'2_IMPORTAR_EJECUCION'!$J$9:$J$1208,0)),0))</f>
        <v/>
      </c>
      <c r="AG442" s="10">
        <f>IF($A442="","",MAX(0,IFERROR(INDEX('2_IMPORTAR_EJECUCION'!$H$9:$H$1208,MATCH($AN442,'2_IMPORTAR_EJECUCION'!$J$9:$J$1208,0)),0)-$AF442))</f>
        <v/>
      </c>
      <c r="AH442" s="10">
        <f>IF($A442="","",$AF442+$AG442)</f>
        <v/>
      </c>
      <c r="AI442" s="6" t="n"/>
      <c r="AJ442" s="6" t="n"/>
      <c r="AK442" s="6" t="n"/>
      <c r="AL442" s="3">
        <f>IF($AK442="","",HYPERLINK(p_ruta_base_checklists&amp;$AK442,"abrir"))</f>
        <v/>
      </c>
      <c r="AM442" s="6" t="n"/>
      <c r="AN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1" t="n"/>
      <c r="K443" s="3" t="n"/>
      <c r="L443" s="10" t="n"/>
      <c r="M443" s="3">
        <f>IF($A443="","",IFERROR(INDEX('AJUSTES'!$B$4:$B$303,MATCH($AN443,'AJUSTES'!$A$4:$A$303,0)),IF($K443="","",$K443)))</f>
        <v/>
      </c>
      <c r="N443" s="3">
        <f>IF($A443="","",IFERROR(INDEX('CAT_ESTADOS_ERP'!$B$4:$B$7,MATCH(IFERROR(INDEX('2_IMPORTAR_EJECUCION'!$C$9:$C$1208,MATCH($AN443,'2_IMPORTAR_EJECUCION'!$J$9:$J$1208,0)),""),'CAT_ESTADOS_ERP'!$A$4:$A$7,0)),"Pendiente"))</f>
        <v/>
      </c>
      <c r="O443" s="3">
        <f>IF($J443="","",YEAR($J443+4-WEEKDAY($J443,2))&amp;"-S"&amp;TEXT(_xlfn.ISOWEEKNUM($J443),"00"))</f>
        <v/>
      </c>
      <c r="P443" s="3">
        <f>IF($J443="","",YEAR($J443))</f>
        <v/>
      </c>
      <c r="Q443" s="3">
        <f>IF($J443="","",MONTH($J443))</f>
        <v/>
      </c>
      <c r="R443" s="3">
        <f>IF($J443="","",INDEX(lista_dias,WEEKDAY($J443,2)))</f>
        <v/>
      </c>
      <c r="S443" s="3">
        <f>IF($I443="","",IFERROR(INDEX('CAT_TIPOS_OT'!$C$4:$C$7,MATCH($I443,'CAT_TIPOS_OT'!$A$4:$A$7,0)),"sin_clasificar"))</f>
        <v/>
      </c>
      <c r="T443" s="3">
        <f>IF($F443="","",IFERROR(INDEX('CAT_CENTROS_COSTO'!$E$4:$E$9,MATCH($F443,'CAT_CENTROS_COSTO'!$A$4:$A$9,0)),"(sin catálogo)"))</f>
        <v/>
      </c>
      <c r="U443" s="3">
        <f>IF($F443="","",IFERROR(INDEX('CAT_CENTROS_COSTO'!$D$4:$D$9,MATCH($F443,'CAT_CENTROS_COSTO'!$A$4:$A$9,0)),"(sin catálogo)"))</f>
        <v/>
      </c>
      <c r="V443" s="3">
        <f>IF($F443="","",IFERROR(INDEX('CAT_CENTROS_COSTO'!$F$4:$F$9,MATCH($F443,'CAT_CENTROS_COSTO'!$A$4:$A$9,0)),"(sin catálogo)"))</f>
        <v/>
      </c>
      <c r="W443" s="3">
        <f>IF($G443="","",IFERROR(INDEX('CAT_PUESTOS'!$B$4:$B$8,MATCH($G443,'CAT_PUESTOS'!$A$4:$A$8,0)),"(sin catálogo)"))</f>
        <v/>
      </c>
      <c r="X443" s="3">
        <f>IF($H443="","",IFERROR(INDEX('CAT_ACTIVIDADES'!$B$4:$B$8,MATCH($H443,'CAT_ACTIVIDADES'!$A$4:$A$8,0)),"(sin catálogo)"))</f>
        <v/>
      </c>
      <c r="Y443" s="12">
        <f>IF($J443="","",TODAY()-$J443)</f>
        <v/>
      </c>
      <c r="Z443" s="3">
        <f>IF($Y443="","",IF($Y443&lt;0,"FUTURO",IF($Y443&gt;p_dias_backlog_max,"BACKLOG","MES CORRIENTE")))</f>
        <v/>
      </c>
      <c r="AA443" s="3">
        <f>IF($Y443="",FALSE,AND($Y443&gt;p_dias_backlog_min,$Y443&lt;=p_dias_backlog_max))</f>
        <v/>
      </c>
      <c r="AB443" s="6" t="n"/>
      <c r="AC443" s="3">
        <f>IF($AB443="","",IFERROR(INDEX('ASIGNACIONES'!$F$4:$F$339,MATCH($O443&amp;"|"&amp;$R443&amp;"|"&amp;$AB443,'ASIGNACIONES'!$I$4:$I$339,0)),""))</f>
        <v/>
      </c>
      <c r="AD443" s="13">
        <f>IF($AB443="","",SUMIFS('ORDENES'!$M$4:$M$1203,'ORDENES'!$AB$4:$AB$1203,$AB443,'ORDENES'!$O$4:$O$1203,$O443,'ORDENES'!$R$4:$R$1203,$R443))</f>
        <v/>
      </c>
      <c r="AE443" s="13">
        <f>IF($AD443="","",p_factor_productividad*IFERROR(INDEX('ASIGNACIONES'!$H$4:$H$339,MATCH($O443&amp;"|"&amp;$R443&amp;"|"&amp;$AB443,'ASIGNACIONES'!$I$4:$I$339,0)),0)-$AD443)</f>
        <v/>
      </c>
      <c r="AF443" s="10">
        <f>IF($A443="","",IFERROR(INDEX('2_IMPORTAR_EJECUCION'!$F$9:$F$1208,MATCH($AN443,'2_IMPORTAR_EJECUCION'!$J$9:$J$1208,0)),0))</f>
        <v/>
      </c>
      <c r="AG443" s="10">
        <f>IF($A443="","",MAX(0,IFERROR(INDEX('2_IMPORTAR_EJECUCION'!$H$9:$H$1208,MATCH($AN443,'2_IMPORTAR_EJECUCION'!$J$9:$J$1208,0)),0)-$AF443))</f>
        <v/>
      </c>
      <c r="AH443" s="10">
        <f>IF($A443="","",$AF443+$AG443)</f>
        <v/>
      </c>
      <c r="AI443" s="6" t="n"/>
      <c r="AJ443" s="6" t="n"/>
      <c r="AK443" s="6" t="n"/>
      <c r="AL443" s="3">
        <f>IF($AK443="","",HYPERLINK(p_ruta_base_checklists&amp;$AK443,"abrir"))</f>
        <v/>
      </c>
      <c r="AM443" s="6" t="n"/>
      <c r="AN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1" t="n"/>
      <c r="K444" s="3" t="n"/>
      <c r="L444" s="10" t="n"/>
      <c r="M444" s="3">
        <f>IF($A444="","",IFERROR(INDEX('AJUSTES'!$B$4:$B$303,MATCH($AN444,'AJUSTES'!$A$4:$A$303,0)),IF($K444="","",$K444)))</f>
        <v/>
      </c>
      <c r="N444" s="3">
        <f>IF($A444="","",IFERROR(INDEX('CAT_ESTADOS_ERP'!$B$4:$B$7,MATCH(IFERROR(INDEX('2_IMPORTAR_EJECUCION'!$C$9:$C$1208,MATCH($AN444,'2_IMPORTAR_EJECUCION'!$J$9:$J$1208,0)),""),'CAT_ESTADOS_ERP'!$A$4:$A$7,0)),"Pendiente"))</f>
        <v/>
      </c>
      <c r="O444" s="3">
        <f>IF($J444="","",YEAR($J444+4-WEEKDAY($J444,2))&amp;"-S"&amp;TEXT(_xlfn.ISOWEEKNUM($J444),"00"))</f>
        <v/>
      </c>
      <c r="P444" s="3">
        <f>IF($J444="","",YEAR($J444))</f>
        <v/>
      </c>
      <c r="Q444" s="3">
        <f>IF($J444="","",MONTH($J444))</f>
        <v/>
      </c>
      <c r="R444" s="3">
        <f>IF($J444="","",INDEX(lista_dias,WEEKDAY($J444,2)))</f>
        <v/>
      </c>
      <c r="S444" s="3">
        <f>IF($I444="","",IFERROR(INDEX('CAT_TIPOS_OT'!$C$4:$C$7,MATCH($I444,'CAT_TIPOS_OT'!$A$4:$A$7,0)),"sin_clasificar"))</f>
        <v/>
      </c>
      <c r="T444" s="3">
        <f>IF($F444="","",IFERROR(INDEX('CAT_CENTROS_COSTO'!$E$4:$E$9,MATCH($F444,'CAT_CENTROS_COSTO'!$A$4:$A$9,0)),"(sin catálogo)"))</f>
        <v/>
      </c>
      <c r="U444" s="3">
        <f>IF($F444="","",IFERROR(INDEX('CAT_CENTROS_COSTO'!$D$4:$D$9,MATCH($F444,'CAT_CENTROS_COSTO'!$A$4:$A$9,0)),"(sin catálogo)"))</f>
        <v/>
      </c>
      <c r="V444" s="3">
        <f>IF($F444="","",IFERROR(INDEX('CAT_CENTROS_COSTO'!$F$4:$F$9,MATCH($F444,'CAT_CENTROS_COSTO'!$A$4:$A$9,0)),"(sin catálogo)"))</f>
        <v/>
      </c>
      <c r="W444" s="3">
        <f>IF($G444="","",IFERROR(INDEX('CAT_PUESTOS'!$B$4:$B$8,MATCH($G444,'CAT_PUESTOS'!$A$4:$A$8,0)),"(sin catálogo)"))</f>
        <v/>
      </c>
      <c r="X444" s="3">
        <f>IF($H444="","",IFERROR(INDEX('CAT_ACTIVIDADES'!$B$4:$B$8,MATCH($H444,'CAT_ACTIVIDADES'!$A$4:$A$8,0)),"(sin catálogo)"))</f>
        <v/>
      </c>
      <c r="Y444" s="12">
        <f>IF($J444="","",TODAY()-$J444)</f>
        <v/>
      </c>
      <c r="Z444" s="3">
        <f>IF($Y444="","",IF($Y444&lt;0,"FUTURO",IF($Y444&gt;p_dias_backlog_max,"BACKLOG","MES CORRIENTE")))</f>
        <v/>
      </c>
      <c r="AA444" s="3">
        <f>IF($Y444="",FALSE,AND($Y444&gt;p_dias_backlog_min,$Y444&lt;=p_dias_backlog_max))</f>
        <v/>
      </c>
      <c r="AB444" s="6" t="n"/>
      <c r="AC444" s="3">
        <f>IF($AB444="","",IFERROR(INDEX('ASIGNACIONES'!$F$4:$F$339,MATCH($O444&amp;"|"&amp;$R444&amp;"|"&amp;$AB444,'ASIGNACIONES'!$I$4:$I$339,0)),""))</f>
        <v/>
      </c>
      <c r="AD444" s="13">
        <f>IF($AB444="","",SUMIFS('ORDENES'!$M$4:$M$1203,'ORDENES'!$AB$4:$AB$1203,$AB444,'ORDENES'!$O$4:$O$1203,$O444,'ORDENES'!$R$4:$R$1203,$R444))</f>
        <v/>
      </c>
      <c r="AE444" s="13">
        <f>IF($AD444="","",p_factor_productividad*IFERROR(INDEX('ASIGNACIONES'!$H$4:$H$339,MATCH($O444&amp;"|"&amp;$R444&amp;"|"&amp;$AB444,'ASIGNACIONES'!$I$4:$I$339,0)),0)-$AD444)</f>
        <v/>
      </c>
      <c r="AF444" s="10">
        <f>IF($A444="","",IFERROR(INDEX('2_IMPORTAR_EJECUCION'!$F$9:$F$1208,MATCH($AN444,'2_IMPORTAR_EJECUCION'!$J$9:$J$1208,0)),0))</f>
        <v/>
      </c>
      <c r="AG444" s="10">
        <f>IF($A444="","",MAX(0,IFERROR(INDEX('2_IMPORTAR_EJECUCION'!$H$9:$H$1208,MATCH($AN444,'2_IMPORTAR_EJECUCION'!$J$9:$J$1208,0)),0)-$AF444))</f>
        <v/>
      </c>
      <c r="AH444" s="10">
        <f>IF($A444="","",$AF444+$AG444)</f>
        <v/>
      </c>
      <c r="AI444" s="6" t="n"/>
      <c r="AJ444" s="6" t="n"/>
      <c r="AK444" s="6" t="n"/>
      <c r="AL444" s="3">
        <f>IF($AK444="","",HYPERLINK(p_ruta_base_checklists&amp;$AK444,"abrir"))</f>
        <v/>
      </c>
      <c r="AM444" s="6" t="n"/>
      <c r="AN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1" t="n"/>
      <c r="K445" s="3" t="n"/>
      <c r="L445" s="10" t="n"/>
      <c r="M445" s="3">
        <f>IF($A445="","",IFERROR(INDEX('AJUSTES'!$B$4:$B$303,MATCH($AN445,'AJUSTES'!$A$4:$A$303,0)),IF($K445="","",$K445)))</f>
        <v/>
      </c>
      <c r="N445" s="3">
        <f>IF($A445="","",IFERROR(INDEX('CAT_ESTADOS_ERP'!$B$4:$B$7,MATCH(IFERROR(INDEX('2_IMPORTAR_EJECUCION'!$C$9:$C$1208,MATCH($AN445,'2_IMPORTAR_EJECUCION'!$J$9:$J$1208,0)),""),'CAT_ESTADOS_ERP'!$A$4:$A$7,0)),"Pendiente"))</f>
        <v/>
      </c>
      <c r="O445" s="3">
        <f>IF($J445="","",YEAR($J445+4-WEEKDAY($J445,2))&amp;"-S"&amp;TEXT(_xlfn.ISOWEEKNUM($J445),"00"))</f>
        <v/>
      </c>
      <c r="P445" s="3">
        <f>IF($J445="","",YEAR($J445))</f>
        <v/>
      </c>
      <c r="Q445" s="3">
        <f>IF($J445="","",MONTH($J445))</f>
        <v/>
      </c>
      <c r="R445" s="3">
        <f>IF($J445="","",INDEX(lista_dias,WEEKDAY($J445,2)))</f>
        <v/>
      </c>
      <c r="S445" s="3">
        <f>IF($I445="","",IFERROR(INDEX('CAT_TIPOS_OT'!$C$4:$C$7,MATCH($I445,'CAT_TIPOS_OT'!$A$4:$A$7,0)),"sin_clasificar"))</f>
        <v/>
      </c>
      <c r="T445" s="3">
        <f>IF($F445="","",IFERROR(INDEX('CAT_CENTROS_COSTO'!$E$4:$E$9,MATCH($F445,'CAT_CENTROS_COSTO'!$A$4:$A$9,0)),"(sin catálogo)"))</f>
        <v/>
      </c>
      <c r="U445" s="3">
        <f>IF($F445="","",IFERROR(INDEX('CAT_CENTROS_COSTO'!$D$4:$D$9,MATCH($F445,'CAT_CENTROS_COSTO'!$A$4:$A$9,0)),"(sin catálogo)"))</f>
        <v/>
      </c>
      <c r="V445" s="3">
        <f>IF($F445="","",IFERROR(INDEX('CAT_CENTROS_COSTO'!$F$4:$F$9,MATCH($F445,'CAT_CENTROS_COSTO'!$A$4:$A$9,0)),"(sin catálogo)"))</f>
        <v/>
      </c>
      <c r="W445" s="3">
        <f>IF($G445="","",IFERROR(INDEX('CAT_PUESTOS'!$B$4:$B$8,MATCH($G445,'CAT_PUESTOS'!$A$4:$A$8,0)),"(sin catálogo)"))</f>
        <v/>
      </c>
      <c r="X445" s="3">
        <f>IF($H445="","",IFERROR(INDEX('CAT_ACTIVIDADES'!$B$4:$B$8,MATCH($H445,'CAT_ACTIVIDADES'!$A$4:$A$8,0)),"(sin catálogo)"))</f>
        <v/>
      </c>
      <c r="Y445" s="12">
        <f>IF($J445="","",TODAY()-$J445)</f>
        <v/>
      </c>
      <c r="Z445" s="3">
        <f>IF($Y445="","",IF($Y445&lt;0,"FUTURO",IF($Y445&gt;p_dias_backlog_max,"BACKLOG","MES CORRIENTE")))</f>
        <v/>
      </c>
      <c r="AA445" s="3">
        <f>IF($Y445="",FALSE,AND($Y445&gt;p_dias_backlog_min,$Y445&lt;=p_dias_backlog_max))</f>
        <v/>
      </c>
      <c r="AB445" s="6" t="n"/>
      <c r="AC445" s="3">
        <f>IF($AB445="","",IFERROR(INDEX('ASIGNACIONES'!$F$4:$F$339,MATCH($O445&amp;"|"&amp;$R445&amp;"|"&amp;$AB445,'ASIGNACIONES'!$I$4:$I$339,0)),""))</f>
        <v/>
      </c>
      <c r="AD445" s="13">
        <f>IF($AB445="","",SUMIFS('ORDENES'!$M$4:$M$1203,'ORDENES'!$AB$4:$AB$1203,$AB445,'ORDENES'!$O$4:$O$1203,$O445,'ORDENES'!$R$4:$R$1203,$R445))</f>
        <v/>
      </c>
      <c r="AE445" s="13">
        <f>IF($AD445="","",p_factor_productividad*IFERROR(INDEX('ASIGNACIONES'!$H$4:$H$339,MATCH($O445&amp;"|"&amp;$R445&amp;"|"&amp;$AB445,'ASIGNACIONES'!$I$4:$I$339,0)),0)-$AD445)</f>
        <v/>
      </c>
      <c r="AF445" s="10">
        <f>IF($A445="","",IFERROR(INDEX('2_IMPORTAR_EJECUCION'!$F$9:$F$1208,MATCH($AN445,'2_IMPORTAR_EJECUCION'!$J$9:$J$1208,0)),0))</f>
        <v/>
      </c>
      <c r="AG445" s="10">
        <f>IF($A445="","",MAX(0,IFERROR(INDEX('2_IMPORTAR_EJECUCION'!$H$9:$H$1208,MATCH($AN445,'2_IMPORTAR_EJECUCION'!$J$9:$J$1208,0)),0)-$AF445))</f>
        <v/>
      </c>
      <c r="AH445" s="10">
        <f>IF($A445="","",$AF445+$AG445)</f>
        <v/>
      </c>
      <c r="AI445" s="6" t="n"/>
      <c r="AJ445" s="6" t="n"/>
      <c r="AK445" s="6" t="n"/>
      <c r="AL445" s="3">
        <f>IF($AK445="","",HYPERLINK(p_ruta_base_checklists&amp;$AK445,"abrir"))</f>
        <v/>
      </c>
      <c r="AM445" s="6" t="n"/>
      <c r="AN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1" t="n"/>
      <c r="K446" s="3" t="n"/>
      <c r="L446" s="10" t="n"/>
      <c r="M446" s="3">
        <f>IF($A446="","",IFERROR(INDEX('AJUSTES'!$B$4:$B$303,MATCH($AN446,'AJUSTES'!$A$4:$A$303,0)),IF($K446="","",$K446)))</f>
        <v/>
      </c>
      <c r="N446" s="3">
        <f>IF($A446="","",IFERROR(INDEX('CAT_ESTADOS_ERP'!$B$4:$B$7,MATCH(IFERROR(INDEX('2_IMPORTAR_EJECUCION'!$C$9:$C$1208,MATCH($AN446,'2_IMPORTAR_EJECUCION'!$J$9:$J$1208,0)),""),'CAT_ESTADOS_ERP'!$A$4:$A$7,0)),"Pendiente"))</f>
        <v/>
      </c>
      <c r="O446" s="3">
        <f>IF($J446="","",YEAR($J446+4-WEEKDAY($J446,2))&amp;"-S"&amp;TEXT(_xlfn.ISOWEEKNUM($J446),"00"))</f>
        <v/>
      </c>
      <c r="P446" s="3">
        <f>IF($J446="","",YEAR($J446))</f>
        <v/>
      </c>
      <c r="Q446" s="3">
        <f>IF($J446="","",MONTH($J446))</f>
        <v/>
      </c>
      <c r="R446" s="3">
        <f>IF($J446="","",INDEX(lista_dias,WEEKDAY($J446,2)))</f>
        <v/>
      </c>
      <c r="S446" s="3">
        <f>IF($I446="","",IFERROR(INDEX('CAT_TIPOS_OT'!$C$4:$C$7,MATCH($I446,'CAT_TIPOS_OT'!$A$4:$A$7,0)),"sin_clasificar"))</f>
        <v/>
      </c>
      <c r="T446" s="3">
        <f>IF($F446="","",IFERROR(INDEX('CAT_CENTROS_COSTO'!$E$4:$E$9,MATCH($F446,'CAT_CENTROS_COSTO'!$A$4:$A$9,0)),"(sin catálogo)"))</f>
        <v/>
      </c>
      <c r="U446" s="3">
        <f>IF($F446="","",IFERROR(INDEX('CAT_CENTROS_COSTO'!$D$4:$D$9,MATCH($F446,'CAT_CENTROS_COSTO'!$A$4:$A$9,0)),"(sin catálogo)"))</f>
        <v/>
      </c>
      <c r="V446" s="3">
        <f>IF($F446="","",IFERROR(INDEX('CAT_CENTROS_COSTO'!$F$4:$F$9,MATCH($F446,'CAT_CENTROS_COSTO'!$A$4:$A$9,0)),"(sin catálogo)"))</f>
        <v/>
      </c>
      <c r="W446" s="3">
        <f>IF($G446="","",IFERROR(INDEX('CAT_PUESTOS'!$B$4:$B$8,MATCH($G446,'CAT_PUESTOS'!$A$4:$A$8,0)),"(sin catálogo)"))</f>
        <v/>
      </c>
      <c r="X446" s="3">
        <f>IF($H446="","",IFERROR(INDEX('CAT_ACTIVIDADES'!$B$4:$B$8,MATCH($H446,'CAT_ACTIVIDADES'!$A$4:$A$8,0)),"(sin catálogo)"))</f>
        <v/>
      </c>
      <c r="Y446" s="12">
        <f>IF($J446="","",TODAY()-$J446)</f>
        <v/>
      </c>
      <c r="Z446" s="3">
        <f>IF($Y446="","",IF($Y446&lt;0,"FUTURO",IF($Y446&gt;p_dias_backlog_max,"BACKLOG","MES CORRIENTE")))</f>
        <v/>
      </c>
      <c r="AA446" s="3">
        <f>IF($Y446="",FALSE,AND($Y446&gt;p_dias_backlog_min,$Y446&lt;=p_dias_backlog_max))</f>
        <v/>
      </c>
      <c r="AB446" s="6" t="n"/>
      <c r="AC446" s="3">
        <f>IF($AB446="","",IFERROR(INDEX('ASIGNACIONES'!$F$4:$F$339,MATCH($O446&amp;"|"&amp;$R446&amp;"|"&amp;$AB446,'ASIGNACIONES'!$I$4:$I$339,0)),""))</f>
        <v/>
      </c>
      <c r="AD446" s="13">
        <f>IF($AB446="","",SUMIFS('ORDENES'!$M$4:$M$1203,'ORDENES'!$AB$4:$AB$1203,$AB446,'ORDENES'!$O$4:$O$1203,$O446,'ORDENES'!$R$4:$R$1203,$R446))</f>
        <v/>
      </c>
      <c r="AE446" s="13">
        <f>IF($AD446="","",p_factor_productividad*IFERROR(INDEX('ASIGNACIONES'!$H$4:$H$339,MATCH($O446&amp;"|"&amp;$R446&amp;"|"&amp;$AB446,'ASIGNACIONES'!$I$4:$I$339,0)),0)-$AD446)</f>
        <v/>
      </c>
      <c r="AF446" s="10">
        <f>IF($A446="","",IFERROR(INDEX('2_IMPORTAR_EJECUCION'!$F$9:$F$1208,MATCH($AN446,'2_IMPORTAR_EJECUCION'!$J$9:$J$1208,0)),0))</f>
        <v/>
      </c>
      <c r="AG446" s="10">
        <f>IF($A446="","",MAX(0,IFERROR(INDEX('2_IMPORTAR_EJECUCION'!$H$9:$H$1208,MATCH($AN446,'2_IMPORTAR_EJECUCION'!$J$9:$J$1208,0)),0)-$AF446))</f>
        <v/>
      </c>
      <c r="AH446" s="10">
        <f>IF($A446="","",$AF446+$AG446)</f>
        <v/>
      </c>
      <c r="AI446" s="6" t="n"/>
      <c r="AJ446" s="6" t="n"/>
      <c r="AK446" s="6" t="n"/>
      <c r="AL446" s="3">
        <f>IF($AK446="","",HYPERLINK(p_ruta_base_checklists&amp;$AK446,"abrir"))</f>
        <v/>
      </c>
      <c r="AM446" s="6" t="n"/>
      <c r="AN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1" t="n"/>
      <c r="K447" s="3" t="n"/>
      <c r="L447" s="10" t="n"/>
      <c r="M447" s="3">
        <f>IF($A447="","",IFERROR(INDEX('AJUSTES'!$B$4:$B$303,MATCH($AN447,'AJUSTES'!$A$4:$A$303,0)),IF($K447="","",$K447)))</f>
        <v/>
      </c>
      <c r="N447" s="3">
        <f>IF($A447="","",IFERROR(INDEX('CAT_ESTADOS_ERP'!$B$4:$B$7,MATCH(IFERROR(INDEX('2_IMPORTAR_EJECUCION'!$C$9:$C$1208,MATCH($AN447,'2_IMPORTAR_EJECUCION'!$J$9:$J$1208,0)),""),'CAT_ESTADOS_ERP'!$A$4:$A$7,0)),"Pendiente"))</f>
        <v/>
      </c>
      <c r="O447" s="3">
        <f>IF($J447="","",YEAR($J447+4-WEEKDAY($J447,2))&amp;"-S"&amp;TEXT(_xlfn.ISOWEEKNUM($J447),"00"))</f>
        <v/>
      </c>
      <c r="P447" s="3">
        <f>IF($J447="","",YEAR($J447))</f>
        <v/>
      </c>
      <c r="Q447" s="3">
        <f>IF($J447="","",MONTH($J447))</f>
        <v/>
      </c>
      <c r="R447" s="3">
        <f>IF($J447="","",INDEX(lista_dias,WEEKDAY($J447,2)))</f>
        <v/>
      </c>
      <c r="S447" s="3">
        <f>IF($I447="","",IFERROR(INDEX('CAT_TIPOS_OT'!$C$4:$C$7,MATCH($I447,'CAT_TIPOS_OT'!$A$4:$A$7,0)),"sin_clasificar"))</f>
        <v/>
      </c>
      <c r="T447" s="3">
        <f>IF($F447="","",IFERROR(INDEX('CAT_CENTROS_COSTO'!$E$4:$E$9,MATCH($F447,'CAT_CENTROS_COSTO'!$A$4:$A$9,0)),"(sin catálogo)"))</f>
        <v/>
      </c>
      <c r="U447" s="3">
        <f>IF($F447="","",IFERROR(INDEX('CAT_CENTROS_COSTO'!$D$4:$D$9,MATCH($F447,'CAT_CENTROS_COSTO'!$A$4:$A$9,0)),"(sin catálogo)"))</f>
        <v/>
      </c>
      <c r="V447" s="3">
        <f>IF($F447="","",IFERROR(INDEX('CAT_CENTROS_COSTO'!$F$4:$F$9,MATCH($F447,'CAT_CENTROS_COSTO'!$A$4:$A$9,0)),"(sin catálogo)"))</f>
        <v/>
      </c>
      <c r="W447" s="3">
        <f>IF($G447="","",IFERROR(INDEX('CAT_PUESTOS'!$B$4:$B$8,MATCH($G447,'CAT_PUESTOS'!$A$4:$A$8,0)),"(sin catálogo)"))</f>
        <v/>
      </c>
      <c r="X447" s="3">
        <f>IF($H447="","",IFERROR(INDEX('CAT_ACTIVIDADES'!$B$4:$B$8,MATCH($H447,'CAT_ACTIVIDADES'!$A$4:$A$8,0)),"(sin catálogo)"))</f>
        <v/>
      </c>
      <c r="Y447" s="12">
        <f>IF($J447="","",TODAY()-$J447)</f>
        <v/>
      </c>
      <c r="Z447" s="3">
        <f>IF($Y447="","",IF($Y447&lt;0,"FUTURO",IF($Y447&gt;p_dias_backlog_max,"BACKLOG","MES CORRIENTE")))</f>
        <v/>
      </c>
      <c r="AA447" s="3">
        <f>IF($Y447="",FALSE,AND($Y447&gt;p_dias_backlog_min,$Y447&lt;=p_dias_backlog_max))</f>
        <v/>
      </c>
      <c r="AB447" s="6" t="n"/>
      <c r="AC447" s="3">
        <f>IF($AB447="","",IFERROR(INDEX('ASIGNACIONES'!$F$4:$F$339,MATCH($O447&amp;"|"&amp;$R447&amp;"|"&amp;$AB447,'ASIGNACIONES'!$I$4:$I$339,0)),""))</f>
        <v/>
      </c>
      <c r="AD447" s="13">
        <f>IF($AB447="","",SUMIFS('ORDENES'!$M$4:$M$1203,'ORDENES'!$AB$4:$AB$1203,$AB447,'ORDENES'!$O$4:$O$1203,$O447,'ORDENES'!$R$4:$R$1203,$R447))</f>
        <v/>
      </c>
      <c r="AE447" s="13">
        <f>IF($AD447="","",p_factor_productividad*IFERROR(INDEX('ASIGNACIONES'!$H$4:$H$339,MATCH($O447&amp;"|"&amp;$R447&amp;"|"&amp;$AB447,'ASIGNACIONES'!$I$4:$I$339,0)),0)-$AD447)</f>
        <v/>
      </c>
      <c r="AF447" s="10">
        <f>IF($A447="","",IFERROR(INDEX('2_IMPORTAR_EJECUCION'!$F$9:$F$1208,MATCH($AN447,'2_IMPORTAR_EJECUCION'!$J$9:$J$1208,0)),0))</f>
        <v/>
      </c>
      <c r="AG447" s="10">
        <f>IF($A447="","",MAX(0,IFERROR(INDEX('2_IMPORTAR_EJECUCION'!$H$9:$H$1208,MATCH($AN447,'2_IMPORTAR_EJECUCION'!$J$9:$J$1208,0)),0)-$AF447))</f>
        <v/>
      </c>
      <c r="AH447" s="10">
        <f>IF($A447="","",$AF447+$AG447)</f>
        <v/>
      </c>
      <c r="AI447" s="6" t="n"/>
      <c r="AJ447" s="6" t="n"/>
      <c r="AK447" s="6" t="n"/>
      <c r="AL447" s="3">
        <f>IF($AK447="","",HYPERLINK(p_ruta_base_checklists&amp;$AK447,"abrir"))</f>
        <v/>
      </c>
      <c r="AM447" s="6" t="n"/>
      <c r="AN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1" t="n"/>
      <c r="K448" s="3" t="n"/>
      <c r="L448" s="10" t="n"/>
      <c r="M448" s="3">
        <f>IF($A448="","",IFERROR(INDEX('AJUSTES'!$B$4:$B$303,MATCH($AN448,'AJUSTES'!$A$4:$A$303,0)),IF($K448="","",$K448)))</f>
        <v/>
      </c>
      <c r="N448" s="3">
        <f>IF($A448="","",IFERROR(INDEX('CAT_ESTADOS_ERP'!$B$4:$B$7,MATCH(IFERROR(INDEX('2_IMPORTAR_EJECUCION'!$C$9:$C$1208,MATCH($AN448,'2_IMPORTAR_EJECUCION'!$J$9:$J$1208,0)),""),'CAT_ESTADOS_ERP'!$A$4:$A$7,0)),"Pendiente"))</f>
        <v/>
      </c>
      <c r="O448" s="3">
        <f>IF($J448="","",YEAR($J448+4-WEEKDAY($J448,2))&amp;"-S"&amp;TEXT(_xlfn.ISOWEEKNUM($J448),"00"))</f>
        <v/>
      </c>
      <c r="P448" s="3">
        <f>IF($J448="","",YEAR($J448))</f>
        <v/>
      </c>
      <c r="Q448" s="3">
        <f>IF($J448="","",MONTH($J448))</f>
        <v/>
      </c>
      <c r="R448" s="3">
        <f>IF($J448="","",INDEX(lista_dias,WEEKDAY($J448,2)))</f>
        <v/>
      </c>
      <c r="S448" s="3">
        <f>IF($I448="","",IFERROR(INDEX('CAT_TIPOS_OT'!$C$4:$C$7,MATCH($I448,'CAT_TIPOS_OT'!$A$4:$A$7,0)),"sin_clasificar"))</f>
        <v/>
      </c>
      <c r="T448" s="3">
        <f>IF($F448="","",IFERROR(INDEX('CAT_CENTROS_COSTO'!$E$4:$E$9,MATCH($F448,'CAT_CENTROS_COSTO'!$A$4:$A$9,0)),"(sin catálogo)"))</f>
        <v/>
      </c>
      <c r="U448" s="3">
        <f>IF($F448="","",IFERROR(INDEX('CAT_CENTROS_COSTO'!$D$4:$D$9,MATCH($F448,'CAT_CENTROS_COSTO'!$A$4:$A$9,0)),"(sin catálogo)"))</f>
        <v/>
      </c>
      <c r="V448" s="3">
        <f>IF($F448="","",IFERROR(INDEX('CAT_CENTROS_COSTO'!$F$4:$F$9,MATCH($F448,'CAT_CENTROS_COSTO'!$A$4:$A$9,0)),"(sin catálogo)"))</f>
        <v/>
      </c>
      <c r="W448" s="3">
        <f>IF($G448="","",IFERROR(INDEX('CAT_PUESTOS'!$B$4:$B$8,MATCH($G448,'CAT_PUESTOS'!$A$4:$A$8,0)),"(sin catálogo)"))</f>
        <v/>
      </c>
      <c r="X448" s="3">
        <f>IF($H448="","",IFERROR(INDEX('CAT_ACTIVIDADES'!$B$4:$B$8,MATCH($H448,'CAT_ACTIVIDADES'!$A$4:$A$8,0)),"(sin catálogo)"))</f>
        <v/>
      </c>
      <c r="Y448" s="12">
        <f>IF($J448="","",TODAY()-$J448)</f>
        <v/>
      </c>
      <c r="Z448" s="3">
        <f>IF($Y448="","",IF($Y448&lt;0,"FUTURO",IF($Y448&gt;p_dias_backlog_max,"BACKLOG","MES CORRIENTE")))</f>
        <v/>
      </c>
      <c r="AA448" s="3">
        <f>IF($Y448="",FALSE,AND($Y448&gt;p_dias_backlog_min,$Y448&lt;=p_dias_backlog_max))</f>
        <v/>
      </c>
      <c r="AB448" s="6" t="n"/>
      <c r="AC448" s="3">
        <f>IF($AB448="","",IFERROR(INDEX('ASIGNACIONES'!$F$4:$F$339,MATCH($O448&amp;"|"&amp;$R448&amp;"|"&amp;$AB448,'ASIGNACIONES'!$I$4:$I$339,0)),""))</f>
        <v/>
      </c>
      <c r="AD448" s="13">
        <f>IF($AB448="","",SUMIFS('ORDENES'!$M$4:$M$1203,'ORDENES'!$AB$4:$AB$1203,$AB448,'ORDENES'!$O$4:$O$1203,$O448,'ORDENES'!$R$4:$R$1203,$R448))</f>
        <v/>
      </c>
      <c r="AE448" s="13">
        <f>IF($AD448="","",p_factor_productividad*IFERROR(INDEX('ASIGNACIONES'!$H$4:$H$339,MATCH($O448&amp;"|"&amp;$R448&amp;"|"&amp;$AB448,'ASIGNACIONES'!$I$4:$I$339,0)),0)-$AD448)</f>
        <v/>
      </c>
      <c r="AF448" s="10">
        <f>IF($A448="","",IFERROR(INDEX('2_IMPORTAR_EJECUCION'!$F$9:$F$1208,MATCH($AN448,'2_IMPORTAR_EJECUCION'!$J$9:$J$1208,0)),0))</f>
        <v/>
      </c>
      <c r="AG448" s="10">
        <f>IF($A448="","",MAX(0,IFERROR(INDEX('2_IMPORTAR_EJECUCION'!$H$9:$H$1208,MATCH($AN448,'2_IMPORTAR_EJECUCION'!$J$9:$J$1208,0)),0)-$AF448))</f>
        <v/>
      </c>
      <c r="AH448" s="10">
        <f>IF($A448="","",$AF448+$AG448)</f>
        <v/>
      </c>
      <c r="AI448" s="6" t="n"/>
      <c r="AJ448" s="6" t="n"/>
      <c r="AK448" s="6" t="n"/>
      <c r="AL448" s="3">
        <f>IF($AK448="","",HYPERLINK(p_ruta_base_checklists&amp;$AK448,"abrir"))</f>
        <v/>
      </c>
      <c r="AM448" s="6" t="n"/>
      <c r="AN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1" t="n"/>
      <c r="K449" s="3" t="n"/>
      <c r="L449" s="10" t="n"/>
      <c r="M449" s="3">
        <f>IF($A449="","",IFERROR(INDEX('AJUSTES'!$B$4:$B$303,MATCH($AN449,'AJUSTES'!$A$4:$A$303,0)),IF($K449="","",$K449)))</f>
        <v/>
      </c>
      <c r="N449" s="3">
        <f>IF($A449="","",IFERROR(INDEX('CAT_ESTADOS_ERP'!$B$4:$B$7,MATCH(IFERROR(INDEX('2_IMPORTAR_EJECUCION'!$C$9:$C$1208,MATCH($AN449,'2_IMPORTAR_EJECUCION'!$J$9:$J$1208,0)),""),'CAT_ESTADOS_ERP'!$A$4:$A$7,0)),"Pendiente"))</f>
        <v/>
      </c>
      <c r="O449" s="3">
        <f>IF($J449="","",YEAR($J449+4-WEEKDAY($J449,2))&amp;"-S"&amp;TEXT(_xlfn.ISOWEEKNUM($J449),"00"))</f>
        <v/>
      </c>
      <c r="P449" s="3">
        <f>IF($J449="","",YEAR($J449))</f>
        <v/>
      </c>
      <c r="Q449" s="3">
        <f>IF($J449="","",MONTH($J449))</f>
        <v/>
      </c>
      <c r="R449" s="3">
        <f>IF($J449="","",INDEX(lista_dias,WEEKDAY($J449,2)))</f>
        <v/>
      </c>
      <c r="S449" s="3">
        <f>IF($I449="","",IFERROR(INDEX('CAT_TIPOS_OT'!$C$4:$C$7,MATCH($I449,'CAT_TIPOS_OT'!$A$4:$A$7,0)),"sin_clasificar"))</f>
        <v/>
      </c>
      <c r="T449" s="3">
        <f>IF($F449="","",IFERROR(INDEX('CAT_CENTROS_COSTO'!$E$4:$E$9,MATCH($F449,'CAT_CENTROS_COSTO'!$A$4:$A$9,0)),"(sin catálogo)"))</f>
        <v/>
      </c>
      <c r="U449" s="3">
        <f>IF($F449="","",IFERROR(INDEX('CAT_CENTROS_COSTO'!$D$4:$D$9,MATCH($F449,'CAT_CENTROS_COSTO'!$A$4:$A$9,0)),"(sin catálogo)"))</f>
        <v/>
      </c>
      <c r="V449" s="3">
        <f>IF($F449="","",IFERROR(INDEX('CAT_CENTROS_COSTO'!$F$4:$F$9,MATCH($F449,'CAT_CENTROS_COSTO'!$A$4:$A$9,0)),"(sin catálogo)"))</f>
        <v/>
      </c>
      <c r="W449" s="3">
        <f>IF($G449="","",IFERROR(INDEX('CAT_PUESTOS'!$B$4:$B$8,MATCH($G449,'CAT_PUESTOS'!$A$4:$A$8,0)),"(sin catálogo)"))</f>
        <v/>
      </c>
      <c r="X449" s="3">
        <f>IF($H449="","",IFERROR(INDEX('CAT_ACTIVIDADES'!$B$4:$B$8,MATCH($H449,'CAT_ACTIVIDADES'!$A$4:$A$8,0)),"(sin catálogo)"))</f>
        <v/>
      </c>
      <c r="Y449" s="12">
        <f>IF($J449="","",TODAY()-$J449)</f>
        <v/>
      </c>
      <c r="Z449" s="3">
        <f>IF($Y449="","",IF($Y449&lt;0,"FUTURO",IF($Y449&gt;p_dias_backlog_max,"BACKLOG","MES CORRIENTE")))</f>
        <v/>
      </c>
      <c r="AA449" s="3">
        <f>IF($Y449="",FALSE,AND($Y449&gt;p_dias_backlog_min,$Y449&lt;=p_dias_backlog_max))</f>
        <v/>
      </c>
      <c r="AB449" s="6" t="n"/>
      <c r="AC449" s="3">
        <f>IF($AB449="","",IFERROR(INDEX('ASIGNACIONES'!$F$4:$F$339,MATCH($O449&amp;"|"&amp;$R449&amp;"|"&amp;$AB449,'ASIGNACIONES'!$I$4:$I$339,0)),""))</f>
        <v/>
      </c>
      <c r="AD449" s="13">
        <f>IF($AB449="","",SUMIFS('ORDENES'!$M$4:$M$1203,'ORDENES'!$AB$4:$AB$1203,$AB449,'ORDENES'!$O$4:$O$1203,$O449,'ORDENES'!$R$4:$R$1203,$R449))</f>
        <v/>
      </c>
      <c r="AE449" s="13">
        <f>IF($AD449="","",p_factor_productividad*IFERROR(INDEX('ASIGNACIONES'!$H$4:$H$339,MATCH($O449&amp;"|"&amp;$R449&amp;"|"&amp;$AB449,'ASIGNACIONES'!$I$4:$I$339,0)),0)-$AD449)</f>
        <v/>
      </c>
      <c r="AF449" s="10">
        <f>IF($A449="","",IFERROR(INDEX('2_IMPORTAR_EJECUCION'!$F$9:$F$1208,MATCH($AN449,'2_IMPORTAR_EJECUCION'!$J$9:$J$1208,0)),0))</f>
        <v/>
      </c>
      <c r="AG449" s="10">
        <f>IF($A449="","",MAX(0,IFERROR(INDEX('2_IMPORTAR_EJECUCION'!$H$9:$H$1208,MATCH($AN449,'2_IMPORTAR_EJECUCION'!$J$9:$J$1208,0)),0)-$AF449))</f>
        <v/>
      </c>
      <c r="AH449" s="10">
        <f>IF($A449="","",$AF449+$AG449)</f>
        <v/>
      </c>
      <c r="AI449" s="6" t="n"/>
      <c r="AJ449" s="6" t="n"/>
      <c r="AK449" s="6" t="n"/>
      <c r="AL449" s="3">
        <f>IF($AK449="","",HYPERLINK(p_ruta_base_checklists&amp;$AK449,"abrir"))</f>
        <v/>
      </c>
      <c r="AM449" s="6" t="n"/>
      <c r="AN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1" t="n"/>
      <c r="K450" s="3" t="n"/>
      <c r="L450" s="10" t="n"/>
      <c r="M450" s="3">
        <f>IF($A450="","",IFERROR(INDEX('AJUSTES'!$B$4:$B$303,MATCH($AN450,'AJUSTES'!$A$4:$A$303,0)),IF($K450="","",$K450)))</f>
        <v/>
      </c>
      <c r="N450" s="3">
        <f>IF($A450="","",IFERROR(INDEX('CAT_ESTADOS_ERP'!$B$4:$B$7,MATCH(IFERROR(INDEX('2_IMPORTAR_EJECUCION'!$C$9:$C$1208,MATCH($AN450,'2_IMPORTAR_EJECUCION'!$J$9:$J$1208,0)),""),'CAT_ESTADOS_ERP'!$A$4:$A$7,0)),"Pendiente"))</f>
        <v/>
      </c>
      <c r="O450" s="3">
        <f>IF($J450="","",YEAR($J450+4-WEEKDAY($J450,2))&amp;"-S"&amp;TEXT(_xlfn.ISOWEEKNUM($J450),"00"))</f>
        <v/>
      </c>
      <c r="P450" s="3">
        <f>IF($J450="","",YEAR($J450))</f>
        <v/>
      </c>
      <c r="Q450" s="3">
        <f>IF($J450="","",MONTH($J450))</f>
        <v/>
      </c>
      <c r="R450" s="3">
        <f>IF($J450="","",INDEX(lista_dias,WEEKDAY($J450,2)))</f>
        <v/>
      </c>
      <c r="S450" s="3">
        <f>IF($I450="","",IFERROR(INDEX('CAT_TIPOS_OT'!$C$4:$C$7,MATCH($I450,'CAT_TIPOS_OT'!$A$4:$A$7,0)),"sin_clasificar"))</f>
        <v/>
      </c>
      <c r="T450" s="3">
        <f>IF($F450="","",IFERROR(INDEX('CAT_CENTROS_COSTO'!$E$4:$E$9,MATCH($F450,'CAT_CENTROS_COSTO'!$A$4:$A$9,0)),"(sin catálogo)"))</f>
        <v/>
      </c>
      <c r="U450" s="3">
        <f>IF($F450="","",IFERROR(INDEX('CAT_CENTROS_COSTO'!$D$4:$D$9,MATCH($F450,'CAT_CENTROS_COSTO'!$A$4:$A$9,0)),"(sin catálogo)"))</f>
        <v/>
      </c>
      <c r="V450" s="3">
        <f>IF($F450="","",IFERROR(INDEX('CAT_CENTROS_COSTO'!$F$4:$F$9,MATCH($F450,'CAT_CENTROS_COSTO'!$A$4:$A$9,0)),"(sin catálogo)"))</f>
        <v/>
      </c>
      <c r="W450" s="3">
        <f>IF($G450="","",IFERROR(INDEX('CAT_PUESTOS'!$B$4:$B$8,MATCH($G450,'CAT_PUESTOS'!$A$4:$A$8,0)),"(sin catálogo)"))</f>
        <v/>
      </c>
      <c r="X450" s="3">
        <f>IF($H450="","",IFERROR(INDEX('CAT_ACTIVIDADES'!$B$4:$B$8,MATCH($H450,'CAT_ACTIVIDADES'!$A$4:$A$8,0)),"(sin catálogo)"))</f>
        <v/>
      </c>
      <c r="Y450" s="12">
        <f>IF($J450="","",TODAY()-$J450)</f>
        <v/>
      </c>
      <c r="Z450" s="3">
        <f>IF($Y450="","",IF($Y450&lt;0,"FUTURO",IF($Y450&gt;p_dias_backlog_max,"BACKLOG","MES CORRIENTE")))</f>
        <v/>
      </c>
      <c r="AA450" s="3">
        <f>IF($Y450="",FALSE,AND($Y450&gt;p_dias_backlog_min,$Y450&lt;=p_dias_backlog_max))</f>
        <v/>
      </c>
      <c r="AB450" s="6" t="n"/>
      <c r="AC450" s="3">
        <f>IF($AB450="","",IFERROR(INDEX('ASIGNACIONES'!$F$4:$F$339,MATCH($O450&amp;"|"&amp;$R450&amp;"|"&amp;$AB450,'ASIGNACIONES'!$I$4:$I$339,0)),""))</f>
        <v/>
      </c>
      <c r="AD450" s="13">
        <f>IF($AB450="","",SUMIFS('ORDENES'!$M$4:$M$1203,'ORDENES'!$AB$4:$AB$1203,$AB450,'ORDENES'!$O$4:$O$1203,$O450,'ORDENES'!$R$4:$R$1203,$R450))</f>
        <v/>
      </c>
      <c r="AE450" s="13">
        <f>IF($AD450="","",p_factor_productividad*IFERROR(INDEX('ASIGNACIONES'!$H$4:$H$339,MATCH($O450&amp;"|"&amp;$R450&amp;"|"&amp;$AB450,'ASIGNACIONES'!$I$4:$I$339,0)),0)-$AD450)</f>
        <v/>
      </c>
      <c r="AF450" s="10">
        <f>IF($A450="","",IFERROR(INDEX('2_IMPORTAR_EJECUCION'!$F$9:$F$1208,MATCH($AN450,'2_IMPORTAR_EJECUCION'!$J$9:$J$1208,0)),0))</f>
        <v/>
      </c>
      <c r="AG450" s="10">
        <f>IF($A450="","",MAX(0,IFERROR(INDEX('2_IMPORTAR_EJECUCION'!$H$9:$H$1208,MATCH($AN450,'2_IMPORTAR_EJECUCION'!$J$9:$J$1208,0)),0)-$AF450))</f>
        <v/>
      </c>
      <c r="AH450" s="10">
        <f>IF($A450="","",$AF450+$AG450)</f>
        <v/>
      </c>
      <c r="AI450" s="6" t="n"/>
      <c r="AJ450" s="6" t="n"/>
      <c r="AK450" s="6" t="n"/>
      <c r="AL450" s="3">
        <f>IF($AK450="","",HYPERLINK(p_ruta_base_checklists&amp;$AK450,"abrir"))</f>
        <v/>
      </c>
      <c r="AM450" s="6" t="n"/>
      <c r="AN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1" t="n"/>
      <c r="K451" s="3" t="n"/>
      <c r="L451" s="10" t="n"/>
      <c r="M451" s="3">
        <f>IF($A451="","",IFERROR(INDEX('AJUSTES'!$B$4:$B$303,MATCH($AN451,'AJUSTES'!$A$4:$A$303,0)),IF($K451="","",$K451)))</f>
        <v/>
      </c>
      <c r="N451" s="3">
        <f>IF($A451="","",IFERROR(INDEX('CAT_ESTADOS_ERP'!$B$4:$B$7,MATCH(IFERROR(INDEX('2_IMPORTAR_EJECUCION'!$C$9:$C$1208,MATCH($AN451,'2_IMPORTAR_EJECUCION'!$J$9:$J$1208,0)),""),'CAT_ESTADOS_ERP'!$A$4:$A$7,0)),"Pendiente"))</f>
        <v/>
      </c>
      <c r="O451" s="3">
        <f>IF($J451="","",YEAR($J451+4-WEEKDAY($J451,2))&amp;"-S"&amp;TEXT(_xlfn.ISOWEEKNUM($J451),"00"))</f>
        <v/>
      </c>
      <c r="P451" s="3">
        <f>IF($J451="","",YEAR($J451))</f>
        <v/>
      </c>
      <c r="Q451" s="3">
        <f>IF($J451="","",MONTH($J451))</f>
        <v/>
      </c>
      <c r="R451" s="3">
        <f>IF($J451="","",INDEX(lista_dias,WEEKDAY($J451,2)))</f>
        <v/>
      </c>
      <c r="S451" s="3">
        <f>IF($I451="","",IFERROR(INDEX('CAT_TIPOS_OT'!$C$4:$C$7,MATCH($I451,'CAT_TIPOS_OT'!$A$4:$A$7,0)),"sin_clasificar"))</f>
        <v/>
      </c>
      <c r="T451" s="3">
        <f>IF($F451="","",IFERROR(INDEX('CAT_CENTROS_COSTO'!$E$4:$E$9,MATCH($F451,'CAT_CENTROS_COSTO'!$A$4:$A$9,0)),"(sin catálogo)"))</f>
        <v/>
      </c>
      <c r="U451" s="3">
        <f>IF($F451="","",IFERROR(INDEX('CAT_CENTROS_COSTO'!$D$4:$D$9,MATCH($F451,'CAT_CENTROS_COSTO'!$A$4:$A$9,0)),"(sin catálogo)"))</f>
        <v/>
      </c>
      <c r="V451" s="3">
        <f>IF($F451="","",IFERROR(INDEX('CAT_CENTROS_COSTO'!$F$4:$F$9,MATCH($F451,'CAT_CENTROS_COSTO'!$A$4:$A$9,0)),"(sin catálogo)"))</f>
        <v/>
      </c>
      <c r="W451" s="3">
        <f>IF($G451="","",IFERROR(INDEX('CAT_PUESTOS'!$B$4:$B$8,MATCH($G451,'CAT_PUESTOS'!$A$4:$A$8,0)),"(sin catálogo)"))</f>
        <v/>
      </c>
      <c r="X451" s="3">
        <f>IF($H451="","",IFERROR(INDEX('CAT_ACTIVIDADES'!$B$4:$B$8,MATCH($H451,'CAT_ACTIVIDADES'!$A$4:$A$8,0)),"(sin catálogo)"))</f>
        <v/>
      </c>
      <c r="Y451" s="12">
        <f>IF($J451="","",TODAY()-$J451)</f>
        <v/>
      </c>
      <c r="Z451" s="3">
        <f>IF($Y451="","",IF($Y451&lt;0,"FUTURO",IF($Y451&gt;p_dias_backlog_max,"BACKLOG","MES CORRIENTE")))</f>
        <v/>
      </c>
      <c r="AA451" s="3">
        <f>IF($Y451="",FALSE,AND($Y451&gt;p_dias_backlog_min,$Y451&lt;=p_dias_backlog_max))</f>
        <v/>
      </c>
      <c r="AB451" s="6" t="n"/>
      <c r="AC451" s="3">
        <f>IF($AB451="","",IFERROR(INDEX('ASIGNACIONES'!$F$4:$F$339,MATCH($O451&amp;"|"&amp;$R451&amp;"|"&amp;$AB451,'ASIGNACIONES'!$I$4:$I$339,0)),""))</f>
        <v/>
      </c>
      <c r="AD451" s="13">
        <f>IF($AB451="","",SUMIFS('ORDENES'!$M$4:$M$1203,'ORDENES'!$AB$4:$AB$1203,$AB451,'ORDENES'!$O$4:$O$1203,$O451,'ORDENES'!$R$4:$R$1203,$R451))</f>
        <v/>
      </c>
      <c r="AE451" s="13">
        <f>IF($AD451="","",p_factor_productividad*IFERROR(INDEX('ASIGNACIONES'!$H$4:$H$339,MATCH($O451&amp;"|"&amp;$R451&amp;"|"&amp;$AB451,'ASIGNACIONES'!$I$4:$I$339,0)),0)-$AD451)</f>
        <v/>
      </c>
      <c r="AF451" s="10">
        <f>IF($A451="","",IFERROR(INDEX('2_IMPORTAR_EJECUCION'!$F$9:$F$1208,MATCH($AN451,'2_IMPORTAR_EJECUCION'!$J$9:$J$1208,0)),0))</f>
        <v/>
      </c>
      <c r="AG451" s="10">
        <f>IF($A451="","",MAX(0,IFERROR(INDEX('2_IMPORTAR_EJECUCION'!$H$9:$H$1208,MATCH($AN451,'2_IMPORTAR_EJECUCION'!$J$9:$J$1208,0)),0)-$AF451))</f>
        <v/>
      </c>
      <c r="AH451" s="10">
        <f>IF($A451="","",$AF451+$AG451)</f>
        <v/>
      </c>
      <c r="AI451" s="6" t="n"/>
      <c r="AJ451" s="6" t="n"/>
      <c r="AK451" s="6" t="n"/>
      <c r="AL451" s="3">
        <f>IF($AK451="","",HYPERLINK(p_ruta_base_checklists&amp;$AK451,"abrir"))</f>
        <v/>
      </c>
      <c r="AM451" s="6" t="n"/>
      <c r="AN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1" t="n"/>
      <c r="K452" s="3" t="n"/>
      <c r="L452" s="10" t="n"/>
      <c r="M452" s="3">
        <f>IF($A452="","",IFERROR(INDEX('AJUSTES'!$B$4:$B$303,MATCH($AN452,'AJUSTES'!$A$4:$A$303,0)),IF($K452="","",$K452)))</f>
        <v/>
      </c>
      <c r="N452" s="3">
        <f>IF($A452="","",IFERROR(INDEX('CAT_ESTADOS_ERP'!$B$4:$B$7,MATCH(IFERROR(INDEX('2_IMPORTAR_EJECUCION'!$C$9:$C$1208,MATCH($AN452,'2_IMPORTAR_EJECUCION'!$J$9:$J$1208,0)),""),'CAT_ESTADOS_ERP'!$A$4:$A$7,0)),"Pendiente"))</f>
        <v/>
      </c>
      <c r="O452" s="3">
        <f>IF($J452="","",YEAR($J452+4-WEEKDAY($J452,2))&amp;"-S"&amp;TEXT(_xlfn.ISOWEEKNUM($J452),"00"))</f>
        <v/>
      </c>
      <c r="P452" s="3">
        <f>IF($J452="","",YEAR($J452))</f>
        <v/>
      </c>
      <c r="Q452" s="3">
        <f>IF($J452="","",MONTH($J452))</f>
        <v/>
      </c>
      <c r="R452" s="3">
        <f>IF($J452="","",INDEX(lista_dias,WEEKDAY($J452,2)))</f>
        <v/>
      </c>
      <c r="S452" s="3">
        <f>IF($I452="","",IFERROR(INDEX('CAT_TIPOS_OT'!$C$4:$C$7,MATCH($I452,'CAT_TIPOS_OT'!$A$4:$A$7,0)),"sin_clasificar"))</f>
        <v/>
      </c>
      <c r="T452" s="3">
        <f>IF($F452="","",IFERROR(INDEX('CAT_CENTROS_COSTO'!$E$4:$E$9,MATCH($F452,'CAT_CENTROS_COSTO'!$A$4:$A$9,0)),"(sin catálogo)"))</f>
        <v/>
      </c>
      <c r="U452" s="3">
        <f>IF($F452="","",IFERROR(INDEX('CAT_CENTROS_COSTO'!$D$4:$D$9,MATCH($F452,'CAT_CENTROS_COSTO'!$A$4:$A$9,0)),"(sin catálogo)"))</f>
        <v/>
      </c>
      <c r="V452" s="3">
        <f>IF($F452="","",IFERROR(INDEX('CAT_CENTROS_COSTO'!$F$4:$F$9,MATCH($F452,'CAT_CENTROS_COSTO'!$A$4:$A$9,0)),"(sin catálogo)"))</f>
        <v/>
      </c>
      <c r="W452" s="3">
        <f>IF($G452="","",IFERROR(INDEX('CAT_PUESTOS'!$B$4:$B$8,MATCH($G452,'CAT_PUESTOS'!$A$4:$A$8,0)),"(sin catálogo)"))</f>
        <v/>
      </c>
      <c r="X452" s="3">
        <f>IF($H452="","",IFERROR(INDEX('CAT_ACTIVIDADES'!$B$4:$B$8,MATCH($H452,'CAT_ACTIVIDADES'!$A$4:$A$8,0)),"(sin catálogo)"))</f>
        <v/>
      </c>
      <c r="Y452" s="12">
        <f>IF($J452="","",TODAY()-$J452)</f>
        <v/>
      </c>
      <c r="Z452" s="3">
        <f>IF($Y452="","",IF($Y452&lt;0,"FUTURO",IF($Y452&gt;p_dias_backlog_max,"BACKLOG","MES CORRIENTE")))</f>
        <v/>
      </c>
      <c r="AA452" s="3">
        <f>IF($Y452="",FALSE,AND($Y452&gt;p_dias_backlog_min,$Y452&lt;=p_dias_backlog_max))</f>
        <v/>
      </c>
      <c r="AB452" s="6" t="n"/>
      <c r="AC452" s="3">
        <f>IF($AB452="","",IFERROR(INDEX('ASIGNACIONES'!$F$4:$F$339,MATCH($O452&amp;"|"&amp;$R452&amp;"|"&amp;$AB452,'ASIGNACIONES'!$I$4:$I$339,0)),""))</f>
        <v/>
      </c>
      <c r="AD452" s="13">
        <f>IF($AB452="","",SUMIFS('ORDENES'!$M$4:$M$1203,'ORDENES'!$AB$4:$AB$1203,$AB452,'ORDENES'!$O$4:$O$1203,$O452,'ORDENES'!$R$4:$R$1203,$R452))</f>
        <v/>
      </c>
      <c r="AE452" s="13">
        <f>IF($AD452="","",p_factor_productividad*IFERROR(INDEX('ASIGNACIONES'!$H$4:$H$339,MATCH($O452&amp;"|"&amp;$R452&amp;"|"&amp;$AB452,'ASIGNACIONES'!$I$4:$I$339,0)),0)-$AD452)</f>
        <v/>
      </c>
      <c r="AF452" s="10">
        <f>IF($A452="","",IFERROR(INDEX('2_IMPORTAR_EJECUCION'!$F$9:$F$1208,MATCH($AN452,'2_IMPORTAR_EJECUCION'!$J$9:$J$1208,0)),0))</f>
        <v/>
      </c>
      <c r="AG452" s="10">
        <f>IF($A452="","",MAX(0,IFERROR(INDEX('2_IMPORTAR_EJECUCION'!$H$9:$H$1208,MATCH($AN452,'2_IMPORTAR_EJECUCION'!$J$9:$J$1208,0)),0)-$AF452))</f>
        <v/>
      </c>
      <c r="AH452" s="10">
        <f>IF($A452="","",$AF452+$AG452)</f>
        <v/>
      </c>
      <c r="AI452" s="6" t="n"/>
      <c r="AJ452" s="6" t="n"/>
      <c r="AK452" s="6" t="n"/>
      <c r="AL452" s="3">
        <f>IF($AK452="","",HYPERLINK(p_ruta_base_checklists&amp;$AK452,"abrir"))</f>
        <v/>
      </c>
      <c r="AM452" s="6" t="n"/>
      <c r="AN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1" t="n"/>
      <c r="K453" s="3" t="n"/>
      <c r="L453" s="10" t="n"/>
      <c r="M453" s="3">
        <f>IF($A453="","",IFERROR(INDEX('AJUSTES'!$B$4:$B$303,MATCH($AN453,'AJUSTES'!$A$4:$A$303,0)),IF($K453="","",$K453)))</f>
        <v/>
      </c>
      <c r="N453" s="3">
        <f>IF($A453="","",IFERROR(INDEX('CAT_ESTADOS_ERP'!$B$4:$B$7,MATCH(IFERROR(INDEX('2_IMPORTAR_EJECUCION'!$C$9:$C$1208,MATCH($AN453,'2_IMPORTAR_EJECUCION'!$J$9:$J$1208,0)),""),'CAT_ESTADOS_ERP'!$A$4:$A$7,0)),"Pendiente"))</f>
        <v/>
      </c>
      <c r="O453" s="3">
        <f>IF($J453="","",YEAR($J453+4-WEEKDAY($J453,2))&amp;"-S"&amp;TEXT(_xlfn.ISOWEEKNUM($J453),"00"))</f>
        <v/>
      </c>
      <c r="P453" s="3">
        <f>IF($J453="","",YEAR($J453))</f>
        <v/>
      </c>
      <c r="Q453" s="3">
        <f>IF($J453="","",MONTH($J453))</f>
        <v/>
      </c>
      <c r="R453" s="3">
        <f>IF($J453="","",INDEX(lista_dias,WEEKDAY($J453,2)))</f>
        <v/>
      </c>
      <c r="S453" s="3">
        <f>IF($I453="","",IFERROR(INDEX('CAT_TIPOS_OT'!$C$4:$C$7,MATCH($I453,'CAT_TIPOS_OT'!$A$4:$A$7,0)),"sin_clasificar"))</f>
        <v/>
      </c>
      <c r="T453" s="3">
        <f>IF($F453="","",IFERROR(INDEX('CAT_CENTROS_COSTO'!$E$4:$E$9,MATCH($F453,'CAT_CENTROS_COSTO'!$A$4:$A$9,0)),"(sin catálogo)"))</f>
        <v/>
      </c>
      <c r="U453" s="3">
        <f>IF($F453="","",IFERROR(INDEX('CAT_CENTROS_COSTO'!$D$4:$D$9,MATCH($F453,'CAT_CENTROS_COSTO'!$A$4:$A$9,0)),"(sin catálogo)"))</f>
        <v/>
      </c>
      <c r="V453" s="3">
        <f>IF($F453="","",IFERROR(INDEX('CAT_CENTROS_COSTO'!$F$4:$F$9,MATCH($F453,'CAT_CENTROS_COSTO'!$A$4:$A$9,0)),"(sin catálogo)"))</f>
        <v/>
      </c>
      <c r="W453" s="3">
        <f>IF($G453="","",IFERROR(INDEX('CAT_PUESTOS'!$B$4:$B$8,MATCH($G453,'CAT_PUESTOS'!$A$4:$A$8,0)),"(sin catálogo)"))</f>
        <v/>
      </c>
      <c r="X453" s="3">
        <f>IF($H453="","",IFERROR(INDEX('CAT_ACTIVIDADES'!$B$4:$B$8,MATCH($H453,'CAT_ACTIVIDADES'!$A$4:$A$8,0)),"(sin catálogo)"))</f>
        <v/>
      </c>
      <c r="Y453" s="12">
        <f>IF($J453="","",TODAY()-$J453)</f>
        <v/>
      </c>
      <c r="Z453" s="3">
        <f>IF($Y453="","",IF($Y453&lt;0,"FUTURO",IF($Y453&gt;p_dias_backlog_max,"BACKLOG","MES CORRIENTE")))</f>
        <v/>
      </c>
      <c r="AA453" s="3">
        <f>IF($Y453="",FALSE,AND($Y453&gt;p_dias_backlog_min,$Y453&lt;=p_dias_backlog_max))</f>
        <v/>
      </c>
      <c r="AB453" s="6" t="n"/>
      <c r="AC453" s="3">
        <f>IF($AB453="","",IFERROR(INDEX('ASIGNACIONES'!$F$4:$F$339,MATCH($O453&amp;"|"&amp;$R453&amp;"|"&amp;$AB453,'ASIGNACIONES'!$I$4:$I$339,0)),""))</f>
        <v/>
      </c>
      <c r="AD453" s="13">
        <f>IF($AB453="","",SUMIFS('ORDENES'!$M$4:$M$1203,'ORDENES'!$AB$4:$AB$1203,$AB453,'ORDENES'!$O$4:$O$1203,$O453,'ORDENES'!$R$4:$R$1203,$R453))</f>
        <v/>
      </c>
      <c r="AE453" s="13">
        <f>IF($AD453="","",p_factor_productividad*IFERROR(INDEX('ASIGNACIONES'!$H$4:$H$339,MATCH($O453&amp;"|"&amp;$R453&amp;"|"&amp;$AB453,'ASIGNACIONES'!$I$4:$I$339,0)),0)-$AD453)</f>
        <v/>
      </c>
      <c r="AF453" s="10">
        <f>IF($A453="","",IFERROR(INDEX('2_IMPORTAR_EJECUCION'!$F$9:$F$1208,MATCH($AN453,'2_IMPORTAR_EJECUCION'!$J$9:$J$1208,0)),0))</f>
        <v/>
      </c>
      <c r="AG453" s="10">
        <f>IF($A453="","",MAX(0,IFERROR(INDEX('2_IMPORTAR_EJECUCION'!$H$9:$H$1208,MATCH($AN453,'2_IMPORTAR_EJECUCION'!$J$9:$J$1208,0)),0)-$AF453))</f>
        <v/>
      </c>
      <c r="AH453" s="10">
        <f>IF($A453="","",$AF453+$AG453)</f>
        <v/>
      </c>
      <c r="AI453" s="6" t="n"/>
      <c r="AJ453" s="6" t="n"/>
      <c r="AK453" s="6" t="n"/>
      <c r="AL453" s="3">
        <f>IF($AK453="","",HYPERLINK(p_ruta_base_checklists&amp;$AK453,"abrir"))</f>
        <v/>
      </c>
      <c r="AM453" s="6" t="n"/>
      <c r="AN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1" t="n"/>
      <c r="K454" s="3" t="n"/>
      <c r="L454" s="10" t="n"/>
      <c r="M454" s="3">
        <f>IF($A454="","",IFERROR(INDEX('AJUSTES'!$B$4:$B$303,MATCH($AN454,'AJUSTES'!$A$4:$A$303,0)),IF($K454="","",$K454)))</f>
        <v/>
      </c>
      <c r="N454" s="3">
        <f>IF($A454="","",IFERROR(INDEX('CAT_ESTADOS_ERP'!$B$4:$B$7,MATCH(IFERROR(INDEX('2_IMPORTAR_EJECUCION'!$C$9:$C$1208,MATCH($AN454,'2_IMPORTAR_EJECUCION'!$J$9:$J$1208,0)),""),'CAT_ESTADOS_ERP'!$A$4:$A$7,0)),"Pendiente"))</f>
        <v/>
      </c>
      <c r="O454" s="3">
        <f>IF($J454="","",YEAR($J454+4-WEEKDAY($J454,2))&amp;"-S"&amp;TEXT(_xlfn.ISOWEEKNUM($J454),"00"))</f>
        <v/>
      </c>
      <c r="P454" s="3">
        <f>IF($J454="","",YEAR($J454))</f>
        <v/>
      </c>
      <c r="Q454" s="3">
        <f>IF($J454="","",MONTH($J454))</f>
        <v/>
      </c>
      <c r="R454" s="3">
        <f>IF($J454="","",INDEX(lista_dias,WEEKDAY($J454,2)))</f>
        <v/>
      </c>
      <c r="S454" s="3">
        <f>IF($I454="","",IFERROR(INDEX('CAT_TIPOS_OT'!$C$4:$C$7,MATCH($I454,'CAT_TIPOS_OT'!$A$4:$A$7,0)),"sin_clasificar"))</f>
        <v/>
      </c>
      <c r="T454" s="3">
        <f>IF($F454="","",IFERROR(INDEX('CAT_CENTROS_COSTO'!$E$4:$E$9,MATCH($F454,'CAT_CENTROS_COSTO'!$A$4:$A$9,0)),"(sin catálogo)"))</f>
        <v/>
      </c>
      <c r="U454" s="3">
        <f>IF($F454="","",IFERROR(INDEX('CAT_CENTROS_COSTO'!$D$4:$D$9,MATCH($F454,'CAT_CENTROS_COSTO'!$A$4:$A$9,0)),"(sin catálogo)"))</f>
        <v/>
      </c>
      <c r="V454" s="3">
        <f>IF($F454="","",IFERROR(INDEX('CAT_CENTROS_COSTO'!$F$4:$F$9,MATCH($F454,'CAT_CENTROS_COSTO'!$A$4:$A$9,0)),"(sin catálogo)"))</f>
        <v/>
      </c>
      <c r="W454" s="3">
        <f>IF($G454="","",IFERROR(INDEX('CAT_PUESTOS'!$B$4:$B$8,MATCH($G454,'CAT_PUESTOS'!$A$4:$A$8,0)),"(sin catálogo)"))</f>
        <v/>
      </c>
      <c r="X454" s="3">
        <f>IF($H454="","",IFERROR(INDEX('CAT_ACTIVIDADES'!$B$4:$B$8,MATCH($H454,'CAT_ACTIVIDADES'!$A$4:$A$8,0)),"(sin catálogo)"))</f>
        <v/>
      </c>
      <c r="Y454" s="12">
        <f>IF($J454="","",TODAY()-$J454)</f>
        <v/>
      </c>
      <c r="Z454" s="3">
        <f>IF($Y454="","",IF($Y454&lt;0,"FUTURO",IF($Y454&gt;p_dias_backlog_max,"BACKLOG","MES CORRIENTE")))</f>
        <v/>
      </c>
      <c r="AA454" s="3">
        <f>IF($Y454="",FALSE,AND($Y454&gt;p_dias_backlog_min,$Y454&lt;=p_dias_backlog_max))</f>
        <v/>
      </c>
      <c r="AB454" s="6" t="n"/>
      <c r="AC454" s="3">
        <f>IF($AB454="","",IFERROR(INDEX('ASIGNACIONES'!$F$4:$F$339,MATCH($O454&amp;"|"&amp;$R454&amp;"|"&amp;$AB454,'ASIGNACIONES'!$I$4:$I$339,0)),""))</f>
        <v/>
      </c>
      <c r="AD454" s="13">
        <f>IF($AB454="","",SUMIFS('ORDENES'!$M$4:$M$1203,'ORDENES'!$AB$4:$AB$1203,$AB454,'ORDENES'!$O$4:$O$1203,$O454,'ORDENES'!$R$4:$R$1203,$R454))</f>
        <v/>
      </c>
      <c r="AE454" s="13">
        <f>IF($AD454="","",p_factor_productividad*IFERROR(INDEX('ASIGNACIONES'!$H$4:$H$339,MATCH($O454&amp;"|"&amp;$R454&amp;"|"&amp;$AB454,'ASIGNACIONES'!$I$4:$I$339,0)),0)-$AD454)</f>
        <v/>
      </c>
      <c r="AF454" s="10">
        <f>IF($A454="","",IFERROR(INDEX('2_IMPORTAR_EJECUCION'!$F$9:$F$1208,MATCH($AN454,'2_IMPORTAR_EJECUCION'!$J$9:$J$1208,0)),0))</f>
        <v/>
      </c>
      <c r="AG454" s="10">
        <f>IF($A454="","",MAX(0,IFERROR(INDEX('2_IMPORTAR_EJECUCION'!$H$9:$H$1208,MATCH($AN454,'2_IMPORTAR_EJECUCION'!$J$9:$J$1208,0)),0)-$AF454))</f>
        <v/>
      </c>
      <c r="AH454" s="10">
        <f>IF($A454="","",$AF454+$AG454)</f>
        <v/>
      </c>
      <c r="AI454" s="6" t="n"/>
      <c r="AJ454" s="6" t="n"/>
      <c r="AK454" s="6" t="n"/>
      <c r="AL454" s="3">
        <f>IF($AK454="","",HYPERLINK(p_ruta_base_checklists&amp;$AK454,"abrir"))</f>
        <v/>
      </c>
      <c r="AM454" s="6" t="n"/>
      <c r="AN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1" t="n"/>
      <c r="K455" s="3" t="n"/>
      <c r="L455" s="10" t="n"/>
      <c r="M455" s="3">
        <f>IF($A455="","",IFERROR(INDEX('AJUSTES'!$B$4:$B$303,MATCH($AN455,'AJUSTES'!$A$4:$A$303,0)),IF($K455="","",$K455)))</f>
        <v/>
      </c>
      <c r="N455" s="3">
        <f>IF($A455="","",IFERROR(INDEX('CAT_ESTADOS_ERP'!$B$4:$B$7,MATCH(IFERROR(INDEX('2_IMPORTAR_EJECUCION'!$C$9:$C$1208,MATCH($AN455,'2_IMPORTAR_EJECUCION'!$J$9:$J$1208,0)),""),'CAT_ESTADOS_ERP'!$A$4:$A$7,0)),"Pendiente"))</f>
        <v/>
      </c>
      <c r="O455" s="3">
        <f>IF($J455="","",YEAR($J455+4-WEEKDAY($J455,2))&amp;"-S"&amp;TEXT(_xlfn.ISOWEEKNUM($J455),"00"))</f>
        <v/>
      </c>
      <c r="P455" s="3">
        <f>IF($J455="","",YEAR($J455))</f>
        <v/>
      </c>
      <c r="Q455" s="3">
        <f>IF($J455="","",MONTH($J455))</f>
        <v/>
      </c>
      <c r="R455" s="3">
        <f>IF($J455="","",INDEX(lista_dias,WEEKDAY($J455,2)))</f>
        <v/>
      </c>
      <c r="S455" s="3">
        <f>IF($I455="","",IFERROR(INDEX('CAT_TIPOS_OT'!$C$4:$C$7,MATCH($I455,'CAT_TIPOS_OT'!$A$4:$A$7,0)),"sin_clasificar"))</f>
        <v/>
      </c>
      <c r="T455" s="3">
        <f>IF($F455="","",IFERROR(INDEX('CAT_CENTROS_COSTO'!$E$4:$E$9,MATCH($F455,'CAT_CENTROS_COSTO'!$A$4:$A$9,0)),"(sin catálogo)"))</f>
        <v/>
      </c>
      <c r="U455" s="3">
        <f>IF($F455="","",IFERROR(INDEX('CAT_CENTROS_COSTO'!$D$4:$D$9,MATCH($F455,'CAT_CENTROS_COSTO'!$A$4:$A$9,0)),"(sin catálogo)"))</f>
        <v/>
      </c>
      <c r="V455" s="3">
        <f>IF($F455="","",IFERROR(INDEX('CAT_CENTROS_COSTO'!$F$4:$F$9,MATCH($F455,'CAT_CENTROS_COSTO'!$A$4:$A$9,0)),"(sin catálogo)"))</f>
        <v/>
      </c>
      <c r="W455" s="3">
        <f>IF($G455="","",IFERROR(INDEX('CAT_PUESTOS'!$B$4:$B$8,MATCH($G455,'CAT_PUESTOS'!$A$4:$A$8,0)),"(sin catálogo)"))</f>
        <v/>
      </c>
      <c r="X455" s="3">
        <f>IF($H455="","",IFERROR(INDEX('CAT_ACTIVIDADES'!$B$4:$B$8,MATCH($H455,'CAT_ACTIVIDADES'!$A$4:$A$8,0)),"(sin catálogo)"))</f>
        <v/>
      </c>
      <c r="Y455" s="12">
        <f>IF($J455="","",TODAY()-$J455)</f>
        <v/>
      </c>
      <c r="Z455" s="3">
        <f>IF($Y455="","",IF($Y455&lt;0,"FUTURO",IF($Y455&gt;p_dias_backlog_max,"BACKLOG","MES CORRIENTE")))</f>
        <v/>
      </c>
      <c r="AA455" s="3">
        <f>IF($Y455="",FALSE,AND($Y455&gt;p_dias_backlog_min,$Y455&lt;=p_dias_backlog_max))</f>
        <v/>
      </c>
      <c r="AB455" s="6" t="n"/>
      <c r="AC455" s="3">
        <f>IF($AB455="","",IFERROR(INDEX('ASIGNACIONES'!$F$4:$F$339,MATCH($O455&amp;"|"&amp;$R455&amp;"|"&amp;$AB455,'ASIGNACIONES'!$I$4:$I$339,0)),""))</f>
        <v/>
      </c>
      <c r="AD455" s="13">
        <f>IF($AB455="","",SUMIFS('ORDENES'!$M$4:$M$1203,'ORDENES'!$AB$4:$AB$1203,$AB455,'ORDENES'!$O$4:$O$1203,$O455,'ORDENES'!$R$4:$R$1203,$R455))</f>
        <v/>
      </c>
      <c r="AE455" s="13">
        <f>IF($AD455="","",p_factor_productividad*IFERROR(INDEX('ASIGNACIONES'!$H$4:$H$339,MATCH($O455&amp;"|"&amp;$R455&amp;"|"&amp;$AB455,'ASIGNACIONES'!$I$4:$I$339,0)),0)-$AD455)</f>
        <v/>
      </c>
      <c r="AF455" s="10">
        <f>IF($A455="","",IFERROR(INDEX('2_IMPORTAR_EJECUCION'!$F$9:$F$1208,MATCH($AN455,'2_IMPORTAR_EJECUCION'!$J$9:$J$1208,0)),0))</f>
        <v/>
      </c>
      <c r="AG455" s="10">
        <f>IF($A455="","",MAX(0,IFERROR(INDEX('2_IMPORTAR_EJECUCION'!$H$9:$H$1208,MATCH($AN455,'2_IMPORTAR_EJECUCION'!$J$9:$J$1208,0)),0)-$AF455))</f>
        <v/>
      </c>
      <c r="AH455" s="10">
        <f>IF($A455="","",$AF455+$AG455)</f>
        <v/>
      </c>
      <c r="AI455" s="6" t="n"/>
      <c r="AJ455" s="6" t="n"/>
      <c r="AK455" s="6" t="n"/>
      <c r="AL455" s="3">
        <f>IF($AK455="","",HYPERLINK(p_ruta_base_checklists&amp;$AK455,"abrir"))</f>
        <v/>
      </c>
      <c r="AM455" s="6" t="n"/>
      <c r="AN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1" t="n"/>
      <c r="K456" s="3" t="n"/>
      <c r="L456" s="10" t="n"/>
      <c r="M456" s="3">
        <f>IF($A456="","",IFERROR(INDEX('AJUSTES'!$B$4:$B$303,MATCH($AN456,'AJUSTES'!$A$4:$A$303,0)),IF($K456="","",$K456)))</f>
        <v/>
      </c>
      <c r="N456" s="3">
        <f>IF($A456="","",IFERROR(INDEX('CAT_ESTADOS_ERP'!$B$4:$B$7,MATCH(IFERROR(INDEX('2_IMPORTAR_EJECUCION'!$C$9:$C$1208,MATCH($AN456,'2_IMPORTAR_EJECUCION'!$J$9:$J$1208,0)),""),'CAT_ESTADOS_ERP'!$A$4:$A$7,0)),"Pendiente"))</f>
        <v/>
      </c>
      <c r="O456" s="3">
        <f>IF($J456="","",YEAR($J456+4-WEEKDAY($J456,2))&amp;"-S"&amp;TEXT(_xlfn.ISOWEEKNUM($J456),"00"))</f>
        <v/>
      </c>
      <c r="P456" s="3">
        <f>IF($J456="","",YEAR($J456))</f>
        <v/>
      </c>
      <c r="Q456" s="3">
        <f>IF($J456="","",MONTH($J456))</f>
        <v/>
      </c>
      <c r="R456" s="3">
        <f>IF($J456="","",INDEX(lista_dias,WEEKDAY($J456,2)))</f>
        <v/>
      </c>
      <c r="S456" s="3">
        <f>IF($I456="","",IFERROR(INDEX('CAT_TIPOS_OT'!$C$4:$C$7,MATCH($I456,'CAT_TIPOS_OT'!$A$4:$A$7,0)),"sin_clasificar"))</f>
        <v/>
      </c>
      <c r="T456" s="3">
        <f>IF($F456="","",IFERROR(INDEX('CAT_CENTROS_COSTO'!$E$4:$E$9,MATCH($F456,'CAT_CENTROS_COSTO'!$A$4:$A$9,0)),"(sin catálogo)"))</f>
        <v/>
      </c>
      <c r="U456" s="3">
        <f>IF($F456="","",IFERROR(INDEX('CAT_CENTROS_COSTO'!$D$4:$D$9,MATCH($F456,'CAT_CENTROS_COSTO'!$A$4:$A$9,0)),"(sin catálogo)"))</f>
        <v/>
      </c>
      <c r="V456" s="3">
        <f>IF($F456="","",IFERROR(INDEX('CAT_CENTROS_COSTO'!$F$4:$F$9,MATCH($F456,'CAT_CENTROS_COSTO'!$A$4:$A$9,0)),"(sin catálogo)"))</f>
        <v/>
      </c>
      <c r="W456" s="3">
        <f>IF($G456="","",IFERROR(INDEX('CAT_PUESTOS'!$B$4:$B$8,MATCH($G456,'CAT_PUESTOS'!$A$4:$A$8,0)),"(sin catálogo)"))</f>
        <v/>
      </c>
      <c r="X456" s="3">
        <f>IF($H456="","",IFERROR(INDEX('CAT_ACTIVIDADES'!$B$4:$B$8,MATCH($H456,'CAT_ACTIVIDADES'!$A$4:$A$8,0)),"(sin catálogo)"))</f>
        <v/>
      </c>
      <c r="Y456" s="12">
        <f>IF($J456="","",TODAY()-$J456)</f>
        <v/>
      </c>
      <c r="Z456" s="3">
        <f>IF($Y456="","",IF($Y456&lt;0,"FUTURO",IF($Y456&gt;p_dias_backlog_max,"BACKLOG","MES CORRIENTE")))</f>
        <v/>
      </c>
      <c r="AA456" s="3">
        <f>IF($Y456="",FALSE,AND($Y456&gt;p_dias_backlog_min,$Y456&lt;=p_dias_backlog_max))</f>
        <v/>
      </c>
      <c r="AB456" s="6" t="n"/>
      <c r="AC456" s="3">
        <f>IF($AB456="","",IFERROR(INDEX('ASIGNACIONES'!$F$4:$F$339,MATCH($O456&amp;"|"&amp;$R456&amp;"|"&amp;$AB456,'ASIGNACIONES'!$I$4:$I$339,0)),""))</f>
        <v/>
      </c>
      <c r="AD456" s="13">
        <f>IF($AB456="","",SUMIFS('ORDENES'!$M$4:$M$1203,'ORDENES'!$AB$4:$AB$1203,$AB456,'ORDENES'!$O$4:$O$1203,$O456,'ORDENES'!$R$4:$R$1203,$R456))</f>
        <v/>
      </c>
      <c r="AE456" s="13">
        <f>IF($AD456="","",p_factor_productividad*IFERROR(INDEX('ASIGNACIONES'!$H$4:$H$339,MATCH($O456&amp;"|"&amp;$R456&amp;"|"&amp;$AB456,'ASIGNACIONES'!$I$4:$I$339,0)),0)-$AD456)</f>
        <v/>
      </c>
      <c r="AF456" s="10">
        <f>IF($A456="","",IFERROR(INDEX('2_IMPORTAR_EJECUCION'!$F$9:$F$1208,MATCH($AN456,'2_IMPORTAR_EJECUCION'!$J$9:$J$1208,0)),0))</f>
        <v/>
      </c>
      <c r="AG456" s="10">
        <f>IF($A456="","",MAX(0,IFERROR(INDEX('2_IMPORTAR_EJECUCION'!$H$9:$H$1208,MATCH($AN456,'2_IMPORTAR_EJECUCION'!$J$9:$J$1208,0)),0)-$AF456))</f>
        <v/>
      </c>
      <c r="AH456" s="10">
        <f>IF($A456="","",$AF456+$AG456)</f>
        <v/>
      </c>
      <c r="AI456" s="6" t="n"/>
      <c r="AJ456" s="6" t="n"/>
      <c r="AK456" s="6" t="n"/>
      <c r="AL456" s="3">
        <f>IF($AK456="","",HYPERLINK(p_ruta_base_checklists&amp;$AK456,"abrir"))</f>
        <v/>
      </c>
      <c r="AM456" s="6" t="n"/>
      <c r="AN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1" t="n"/>
      <c r="K457" s="3" t="n"/>
      <c r="L457" s="10" t="n"/>
      <c r="M457" s="3">
        <f>IF($A457="","",IFERROR(INDEX('AJUSTES'!$B$4:$B$303,MATCH($AN457,'AJUSTES'!$A$4:$A$303,0)),IF($K457="","",$K457)))</f>
        <v/>
      </c>
      <c r="N457" s="3">
        <f>IF($A457="","",IFERROR(INDEX('CAT_ESTADOS_ERP'!$B$4:$B$7,MATCH(IFERROR(INDEX('2_IMPORTAR_EJECUCION'!$C$9:$C$1208,MATCH($AN457,'2_IMPORTAR_EJECUCION'!$J$9:$J$1208,0)),""),'CAT_ESTADOS_ERP'!$A$4:$A$7,0)),"Pendiente"))</f>
        <v/>
      </c>
      <c r="O457" s="3">
        <f>IF($J457="","",YEAR($J457+4-WEEKDAY($J457,2))&amp;"-S"&amp;TEXT(_xlfn.ISOWEEKNUM($J457),"00"))</f>
        <v/>
      </c>
      <c r="P457" s="3">
        <f>IF($J457="","",YEAR($J457))</f>
        <v/>
      </c>
      <c r="Q457" s="3">
        <f>IF($J457="","",MONTH($J457))</f>
        <v/>
      </c>
      <c r="R457" s="3">
        <f>IF($J457="","",INDEX(lista_dias,WEEKDAY($J457,2)))</f>
        <v/>
      </c>
      <c r="S457" s="3">
        <f>IF($I457="","",IFERROR(INDEX('CAT_TIPOS_OT'!$C$4:$C$7,MATCH($I457,'CAT_TIPOS_OT'!$A$4:$A$7,0)),"sin_clasificar"))</f>
        <v/>
      </c>
      <c r="T457" s="3">
        <f>IF($F457="","",IFERROR(INDEX('CAT_CENTROS_COSTO'!$E$4:$E$9,MATCH($F457,'CAT_CENTROS_COSTO'!$A$4:$A$9,0)),"(sin catálogo)"))</f>
        <v/>
      </c>
      <c r="U457" s="3">
        <f>IF($F457="","",IFERROR(INDEX('CAT_CENTROS_COSTO'!$D$4:$D$9,MATCH($F457,'CAT_CENTROS_COSTO'!$A$4:$A$9,0)),"(sin catálogo)"))</f>
        <v/>
      </c>
      <c r="V457" s="3">
        <f>IF($F457="","",IFERROR(INDEX('CAT_CENTROS_COSTO'!$F$4:$F$9,MATCH($F457,'CAT_CENTROS_COSTO'!$A$4:$A$9,0)),"(sin catálogo)"))</f>
        <v/>
      </c>
      <c r="W457" s="3">
        <f>IF($G457="","",IFERROR(INDEX('CAT_PUESTOS'!$B$4:$B$8,MATCH($G457,'CAT_PUESTOS'!$A$4:$A$8,0)),"(sin catálogo)"))</f>
        <v/>
      </c>
      <c r="X457" s="3">
        <f>IF($H457="","",IFERROR(INDEX('CAT_ACTIVIDADES'!$B$4:$B$8,MATCH($H457,'CAT_ACTIVIDADES'!$A$4:$A$8,0)),"(sin catálogo)"))</f>
        <v/>
      </c>
      <c r="Y457" s="12">
        <f>IF($J457="","",TODAY()-$J457)</f>
        <v/>
      </c>
      <c r="Z457" s="3">
        <f>IF($Y457="","",IF($Y457&lt;0,"FUTURO",IF($Y457&gt;p_dias_backlog_max,"BACKLOG","MES CORRIENTE")))</f>
        <v/>
      </c>
      <c r="AA457" s="3">
        <f>IF($Y457="",FALSE,AND($Y457&gt;p_dias_backlog_min,$Y457&lt;=p_dias_backlog_max))</f>
        <v/>
      </c>
      <c r="AB457" s="6" t="n"/>
      <c r="AC457" s="3">
        <f>IF($AB457="","",IFERROR(INDEX('ASIGNACIONES'!$F$4:$F$339,MATCH($O457&amp;"|"&amp;$R457&amp;"|"&amp;$AB457,'ASIGNACIONES'!$I$4:$I$339,0)),""))</f>
        <v/>
      </c>
      <c r="AD457" s="13">
        <f>IF($AB457="","",SUMIFS('ORDENES'!$M$4:$M$1203,'ORDENES'!$AB$4:$AB$1203,$AB457,'ORDENES'!$O$4:$O$1203,$O457,'ORDENES'!$R$4:$R$1203,$R457))</f>
        <v/>
      </c>
      <c r="AE457" s="13">
        <f>IF($AD457="","",p_factor_productividad*IFERROR(INDEX('ASIGNACIONES'!$H$4:$H$339,MATCH($O457&amp;"|"&amp;$R457&amp;"|"&amp;$AB457,'ASIGNACIONES'!$I$4:$I$339,0)),0)-$AD457)</f>
        <v/>
      </c>
      <c r="AF457" s="10">
        <f>IF($A457="","",IFERROR(INDEX('2_IMPORTAR_EJECUCION'!$F$9:$F$1208,MATCH($AN457,'2_IMPORTAR_EJECUCION'!$J$9:$J$1208,0)),0))</f>
        <v/>
      </c>
      <c r="AG457" s="10">
        <f>IF($A457="","",MAX(0,IFERROR(INDEX('2_IMPORTAR_EJECUCION'!$H$9:$H$1208,MATCH($AN457,'2_IMPORTAR_EJECUCION'!$J$9:$J$1208,0)),0)-$AF457))</f>
        <v/>
      </c>
      <c r="AH457" s="10">
        <f>IF($A457="","",$AF457+$AG457)</f>
        <v/>
      </c>
      <c r="AI457" s="6" t="n"/>
      <c r="AJ457" s="6" t="n"/>
      <c r="AK457" s="6" t="n"/>
      <c r="AL457" s="3">
        <f>IF($AK457="","",HYPERLINK(p_ruta_base_checklists&amp;$AK457,"abrir"))</f>
        <v/>
      </c>
      <c r="AM457" s="6" t="n"/>
      <c r="AN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1" t="n"/>
      <c r="K458" s="3" t="n"/>
      <c r="L458" s="10" t="n"/>
      <c r="M458" s="3">
        <f>IF($A458="","",IFERROR(INDEX('AJUSTES'!$B$4:$B$303,MATCH($AN458,'AJUSTES'!$A$4:$A$303,0)),IF($K458="","",$K458)))</f>
        <v/>
      </c>
      <c r="N458" s="3">
        <f>IF($A458="","",IFERROR(INDEX('CAT_ESTADOS_ERP'!$B$4:$B$7,MATCH(IFERROR(INDEX('2_IMPORTAR_EJECUCION'!$C$9:$C$1208,MATCH($AN458,'2_IMPORTAR_EJECUCION'!$J$9:$J$1208,0)),""),'CAT_ESTADOS_ERP'!$A$4:$A$7,0)),"Pendiente"))</f>
        <v/>
      </c>
      <c r="O458" s="3">
        <f>IF($J458="","",YEAR($J458+4-WEEKDAY($J458,2))&amp;"-S"&amp;TEXT(_xlfn.ISOWEEKNUM($J458),"00"))</f>
        <v/>
      </c>
      <c r="P458" s="3">
        <f>IF($J458="","",YEAR($J458))</f>
        <v/>
      </c>
      <c r="Q458" s="3">
        <f>IF($J458="","",MONTH($J458))</f>
        <v/>
      </c>
      <c r="R458" s="3">
        <f>IF($J458="","",INDEX(lista_dias,WEEKDAY($J458,2)))</f>
        <v/>
      </c>
      <c r="S458" s="3">
        <f>IF($I458="","",IFERROR(INDEX('CAT_TIPOS_OT'!$C$4:$C$7,MATCH($I458,'CAT_TIPOS_OT'!$A$4:$A$7,0)),"sin_clasificar"))</f>
        <v/>
      </c>
      <c r="T458" s="3">
        <f>IF($F458="","",IFERROR(INDEX('CAT_CENTROS_COSTO'!$E$4:$E$9,MATCH($F458,'CAT_CENTROS_COSTO'!$A$4:$A$9,0)),"(sin catálogo)"))</f>
        <v/>
      </c>
      <c r="U458" s="3">
        <f>IF($F458="","",IFERROR(INDEX('CAT_CENTROS_COSTO'!$D$4:$D$9,MATCH($F458,'CAT_CENTROS_COSTO'!$A$4:$A$9,0)),"(sin catálogo)"))</f>
        <v/>
      </c>
      <c r="V458" s="3">
        <f>IF($F458="","",IFERROR(INDEX('CAT_CENTROS_COSTO'!$F$4:$F$9,MATCH($F458,'CAT_CENTROS_COSTO'!$A$4:$A$9,0)),"(sin catálogo)"))</f>
        <v/>
      </c>
      <c r="W458" s="3">
        <f>IF($G458="","",IFERROR(INDEX('CAT_PUESTOS'!$B$4:$B$8,MATCH($G458,'CAT_PUESTOS'!$A$4:$A$8,0)),"(sin catálogo)"))</f>
        <v/>
      </c>
      <c r="X458" s="3">
        <f>IF($H458="","",IFERROR(INDEX('CAT_ACTIVIDADES'!$B$4:$B$8,MATCH($H458,'CAT_ACTIVIDADES'!$A$4:$A$8,0)),"(sin catálogo)"))</f>
        <v/>
      </c>
      <c r="Y458" s="12">
        <f>IF($J458="","",TODAY()-$J458)</f>
        <v/>
      </c>
      <c r="Z458" s="3">
        <f>IF($Y458="","",IF($Y458&lt;0,"FUTURO",IF($Y458&gt;p_dias_backlog_max,"BACKLOG","MES CORRIENTE")))</f>
        <v/>
      </c>
      <c r="AA458" s="3">
        <f>IF($Y458="",FALSE,AND($Y458&gt;p_dias_backlog_min,$Y458&lt;=p_dias_backlog_max))</f>
        <v/>
      </c>
      <c r="AB458" s="6" t="n"/>
      <c r="AC458" s="3">
        <f>IF($AB458="","",IFERROR(INDEX('ASIGNACIONES'!$F$4:$F$339,MATCH($O458&amp;"|"&amp;$R458&amp;"|"&amp;$AB458,'ASIGNACIONES'!$I$4:$I$339,0)),""))</f>
        <v/>
      </c>
      <c r="AD458" s="13">
        <f>IF($AB458="","",SUMIFS('ORDENES'!$M$4:$M$1203,'ORDENES'!$AB$4:$AB$1203,$AB458,'ORDENES'!$O$4:$O$1203,$O458,'ORDENES'!$R$4:$R$1203,$R458))</f>
        <v/>
      </c>
      <c r="AE458" s="13">
        <f>IF($AD458="","",p_factor_productividad*IFERROR(INDEX('ASIGNACIONES'!$H$4:$H$339,MATCH($O458&amp;"|"&amp;$R458&amp;"|"&amp;$AB458,'ASIGNACIONES'!$I$4:$I$339,0)),0)-$AD458)</f>
        <v/>
      </c>
      <c r="AF458" s="10">
        <f>IF($A458="","",IFERROR(INDEX('2_IMPORTAR_EJECUCION'!$F$9:$F$1208,MATCH($AN458,'2_IMPORTAR_EJECUCION'!$J$9:$J$1208,0)),0))</f>
        <v/>
      </c>
      <c r="AG458" s="10">
        <f>IF($A458="","",MAX(0,IFERROR(INDEX('2_IMPORTAR_EJECUCION'!$H$9:$H$1208,MATCH($AN458,'2_IMPORTAR_EJECUCION'!$J$9:$J$1208,0)),0)-$AF458))</f>
        <v/>
      </c>
      <c r="AH458" s="10">
        <f>IF($A458="","",$AF458+$AG458)</f>
        <v/>
      </c>
      <c r="AI458" s="6" t="n"/>
      <c r="AJ458" s="6" t="n"/>
      <c r="AK458" s="6" t="n"/>
      <c r="AL458" s="3">
        <f>IF($AK458="","",HYPERLINK(p_ruta_base_checklists&amp;$AK458,"abrir"))</f>
        <v/>
      </c>
      <c r="AM458" s="6" t="n"/>
      <c r="AN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1" t="n"/>
      <c r="K459" s="3" t="n"/>
      <c r="L459" s="10" t="n"/>
      <c r="M459" s="3">
        <f>IF($A459="","",IFERROR(INDEX('AJUSTES'!$B$4:$B$303,MATCH($AN459,'AJUSTES'!$A$4:$A$303,0)),IF($K459="","",$K459)))</f>
        <v/>
      </c>
      <c r="N459" s="3">
        <f>IF($A459="","",IFERROR(INDEX('CAT_ESTADOS_ERP'!$B$4:$B$7,MATCH(IFERROR(INDEX('2_IMPORTAR_EJECUCION'!$C$9:$C$1208,MATCH($AN459,'2_IMPORTAR_EJECUCION'!$J$9:$J$1208,0)),""),'CAT_ESTADOS_ERP'!$A$4:$A$7,0)),"Pendiente"))</f>
        <v/>
      </c>
      <c r="O459" s="3">
        <f>IF($J459="","",YEAR($J459+4-WEEKDAY($J459,2))&amp;"-S"&amp;TEXT(_xlfn.ISOWEEKNUM($J459),"00"))</f>
        <v/>
      </c>
      <c r="P459" s="3">
        <f>IF($J459="","",YEAR($J459))</f>
        <v/>
      </c>
      <c r="Q459" s="3">
        <f>IF($J459="","",MONTH($J459))</f>
        <v/>
      </c>
      <c r="R459" s="3">
        <f>IF($J459="","",INDEX(lista_dias,WEEKDAY($J459,2)))</f>
        <v/>
      </c>
      <c r="S459" s="3">
        <f>IF($I459="","",IFERROR(INDEX('CAT_TIPOS_OT'!$C$4:$C$7,MATCH($I459,'CAT_TIPOS_OT'!$A$4:$A$7,0)),"sin_clasificar"))</f>
        <v/>
      </c>
      <c r="T459" s="3">
        <f>IF($F459="","",IFERROR(INDEX('CAT_CENTROS_COSTO'!$E$4:$E$9,MATCH($F459,'CAT_CENTROS_COSTO'!$A$4:$A$9,0)),"(sin catálogo)"))</f>
        <v/>
      </c>
      <c r="U459" s="3">
        <f>IF($F459="","",IFERROR(INDEX('CAT_CENTROS_COSTO'!$D$4:$D$9,MATCH($F459,'CAT_CENTROS_COSTO'!$A$4:$A$9,0)),"(sin catálogo)"))</f>
        <v/>
      </c>
      <c r="V459" s="3">
        <f>IF($F459="","",IFERROR(INDEX('CAT_CENTROS_COSTO'!$F$4:$F$9,MATCH($F459,'CAT_CENTROS_COSTO'!$A$4:$A$9,0)),"(sin catálogo)"))</f>
        <v/>
      </c>
      <c r="W459" s="3">
        <f>IF($G459="","",IFERROR(INDEX('CAT_PUESTOS'!$B$4:$B$8,MATCH($G459,'CAT_PUESTOS'!$A$4:$A$8,0)),"(sin catálogo)"))</f>
        <v/>
      </c>
      <c r="X459" s="3">
        <f>IF($H459="","",IFERROR(INDEX('CAT_ACTIVIDADES'!$B$4:$B$8,MATCH($H459,'CAT_ACTIVIDADES'!$A$4:$A$8,0)),"(sin catálogo)"))</f>
        <v/>
      </c>
      <c r="Y459" s="12">
        <f>IF($J459="","",TODAY()-$J459)</f>
        <v/>
      </c>
      <c r="Z459" s="3">
        <f>IF($Y459="","",IF($Y459&lt;0,"FUTURO",IF($Y459&gt;p_dias_backlog_max,"BACKLOG","MES CORRIENTE")))</f>
        <v/>
      </c>
      <c r="AA459" s="3">
        <f>IF($Y459="",FALSE,AND($Y459&gt;p_dias_backlog_min,$Y459&lt;=p_dias_backlog_max))</f>
        <v/>
      </c>
      <c r="AB459" s="6" t="n"/>
      <c r="AC459" s="3">
        <f>IF($AB459="","",IFERROR(INDEX('ASIGNACIONES'!$F$4:$F$339,MATCH($O459&amp;"|"&amp;$R459&amp;"|"&amp;$AB459,'ASIGNACIONES'!$I$4:$I$339,0)),""))</f>
        <v/>
      </c>
      <c r="AD459" s="13">
        <f>IF($AB459="","",SUMIFS('ORDENES'!$M$4:$M$1203,'ORDENES'!$AB$4:$AB$1203,$AB459,'ORDENES'!$O$4:$O$1203,$O459,'ORDENES'!$R$4:$R$1203,$R459))</f>
        <v/>
      </c>
      <c r="AE459" s="13">
        <f>IF($AD459="","",p_factor_productividad*IFERROR(INDEX('ASIGNACIONES'!$H$4:$H$339,MATCH($O459&amp;"|"&amp;$R459&amp;"|"&amp;$AB459,'ASIGNACIONES'!$I$4:$I$339,0)),0)-$AD459)</f>
        <v/>
      </c>
      <c r="AF459" s="10">
        <f>IF($A459="","",IFERROR(INDEX('2_IMPORTAR_EJECUCION'!$F$9:$F$1208,MATCH($AN459,'2_IMPORTAR_EJECUCION'!$J$9:$J$1208,0)),0))</f>
        <v/>
      </c>
      <c r="AG459" s="10">
        <f>IF($A459="","",MAX(0,IFERROR(INDEX('2_IMPORTAR_EJECUCION'!$H$9:$H$1208,MATCH($AN459,'2_IMPORTAR_EJECUCION'!$J$9:$J$1208,0)),0)-$AF459))</f>
        <v/>
      </c>
      <c r="AH459" s="10">
        <f>IF($A459="","",$AF459+$AG459)</f>
        <v/>
      </c>
      <c r="AI459" s="6" t="n"/>
      <c r="AJ459" s="6" t="n"/>
      <c r="AK459" s="6" t="n"/>
      <c r="AL459" s="3">
        <f>IF($AK459="","",HYPERLINK(p_ruta_base_checklists&amp;$AK459,"abrir"))</f>
        <v/>
      </c>
      <c r="AM459" s="6" t="n"/>
      <c r="AN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1" t="n"/>
      <c r="K460" s="3" t="n"/>
      <c r="L460" s="10" t="n"/>
      <c r="M460" s="3">
        <f>IF($A460="","",IFERROR(INDEX('AJUSTES'!$B$4:$B$303,MATCH($AN460,'AJUSTES'!$A$4:$A$303,0)),IF($K460="","",$K460)))</f>
        <v/>
      </c>
      <c r="N460" s="3">
        <f>IF($A460="","",IFERROR(INDEX('CAT_ESTADOS_ERP'!$B$4:$B$7,MATCH(IFERROR(INDEX('2_IMPORTAR_EJECUCION'!$C$9:$C$1208,MATCH($AN460,'2_IMPORTAR_EJECUCION'!$J$9:$J$1208,0)),""),'CAT_ESTADOS_ERP'!$A$4:$A$7,0)),"Pendiente"))</f>
        <v/>
      </c>
      <c r="O460" s="3">
        <f>IF($J460="","",YEAR($J460+4-WEEKDAY($J460,2))&amp;"-S"&amp;TEXT(_xlfn.ISOWEEKNUM($J460),"00"))</f>
        <v/>
      </c>
      <c r="P460" s="3">
        <f>IF($J460="","",YEAR($J460))</f>
        <v/>
      </c>
      <c r="Q460" s="3">
        <f>IF($J460="","",MONTH($J460))</f>
        <v/>
      </c>
      <c r="R460" s="3">
        <f>IF($J460="","",INDEX(lista_dias,WEEKDAY($J460,2)))</f>
        <v/>
      </c>
      <c r="S460" s="3">
        <f>IF($I460="","",IFERROR(INDEX('CAT_TIPOS_OT'!$C$4:$C$7,MATCH($I460,'CAT_TIPOS_OT'!$A$4:$A$7,0)),"sin_clasificar"))</f>
        <v/>
      </c>
      <c r="T460" s="3">
        <f>IF($F460="","",IFERROR(INDEX('CAT_CENTROS_COSTO'!$E$4:$E$9,MATCH($F460,'CAT_CENTROS_COSTO'!$A$4:$A$9,0)),"(sin catálogo)"))</f>
        <v/>
      </c>
      <c r="U460" s="3">
        <f>IF($F460="","",IFERROR(INDEX('CAT_CENTROS_COSTO'!$D$4:$D$9,MATCH($F460,'CAT_CENTROS_COSTO'!$A$4:$A$9,0)),"(sin catálogo)"))</f>
        <v/>
      </c>
      <c r="V460" s="3">
        <f>IF($F460="","",IFERROR(INDEX('CAT_CENTROS_COSTO'!$F$4:$F$9,MATCH($F460,'CAT_CENTROS_COSTO'!$A$4:$A$9,0)),"(sin catálogo)"))</f>
        <v/>
      </c>
      <c r="W460" s="3">
        <f>IF($G460="","",IFERROR(INDEX('CAT_PUESTOS'!$B$4:$B$8,MATCH($G460,'CAT_PUESTOS'!$A$4:$A$8,0)),"(sin catálogo)"))</f>
        <v/>
      </c>
      <c r="X460" s="3">
        <f>IF($H460="","",IFERROR(INDEX('CAT_ACTIVIDADES'!$B$4:$B$8,MATCH($H460,'CAT_ACTIVIDADES'!$A$4:$A$8,0)),"(sin catálogo)"))</f>
        <v/>
      </c>
      <c r="Y460" s="12">
        <f>IF($J460="","",TODAY()-$J460)</f>
        <v/>
      </c>
      <c r="Z460" s="3">
        <f>IF($Y460="","",IF($Y460&lt;0,"FUTURO",IF($Y460&gt;p_dias_backlog_max,"BACKLOG","MES CORRIENTE")))</f>
        <v/>
      </c>
      <c r="AA460" s="3">
        <f>IF($Y460="",FALSE,AND($Y460&gt;p_dias_backlog_min,$Y460&lt;=p_dias_backlog_max))</f>
        <v/>
      </c>
      <c r="AB460" s="6" t="n"/>
      <c r="AC460" s="3">
        <f>IF($AB460="","",IFERROR(INDEX('ASIGNACIONES'!$F$4:$F$339,MATCH($O460&amp;"|"&amp;$R460&amp;"|"&amp;$AB460,'ASIGNACIONES'!$I$4:$I$339,0)),""))</f>
        <v/>
      </c>
      <c r="AD460" s="13">
        <f>IF($AB460="","",SUMIFS('ORDENES'!$M$4:$M$1203,'ORDENES'!$AB$4:$AB$1203,$AB460,'ORDENES'!$O$4:$O$1203,$O460,'ORDENES'!$R$4:$R$1203,$R460))</f>
        <v/>
      </c>
      <c r="AE460" s="13">
        <f>IF($AD460="","",p_factor_productividad*IFERROR(INDEX('ASIGNACIONES'!$H$4:$H$339,MATCH($O460&amp;"|"&amp;$R460&amp;"|"&amp;$AB460,'ASIGNACIONES'!$I$4:$I$339,0)),0)-$AD460)</f>
        <v/>
      </c>
      <c r="AF460" s="10">
        <f>IF($A460="","",IFERROR(INDEX('2_IMPORTAR_EJECUCION'!$F$9:$F$1208,MATCH($AN460,'2_IMPORTAR_EJECUCION'!$J$9:$J$1208,0)),0))</f>
        <v/>
      </c>
      <c r="AG460" s="10">
        <f>IF($A460="","",MAX(0,IFERROR(INDEX('2_IMPORTAR_EJECUCION'!$H$9:$H$1208,MATCH($AN460,'2_IMPORTAR_EJECUCION'!$J$9:$J$1208,0)),0)-$AF460))</f>
        <v/>
      </c>
      <c r="AH460" s="10">
        <f>IF($A460="","",$AF460+$AG460)</f>
        <v/>
      </c>
      <c r="AI460" s="6" t="n"/>
      <c r="AJ460" s="6" t="n"/>
      <c r="AK460" s="6" t="n"/>
      <c r="AL460" s="3">
        <f>IF($AK460="","",HYPERLINK(p_ruta_base_checklists&amp;$AK460,"abrir"))</f>
        <v/>
      </c>
      <c r="AM460" s="6" t="n"/>
      <c r="AN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1" t="n"/>
      <c r="K461" s="3" t="n"/>
      <c r="L461" s="10" t="n"/>
      <c r="M461" s="3">
        <f>IF($A461="","",IFERROR(INDEX('AJUSTES'!$B$4:$B$303,MATCH($AN461,'AJUSTES'!$A$4:$A$303,0)),IF($K461="","",$K461)))</f>
        <v/>
      </c>
      <c r="N461" s="3">
        <f>IF($A461="","",IFERROR(INDEX('CAT_ESTADOS_ERP'!$B$4:$B$7,MATCH(IFERROR(INDEX('2_IMPORTAR_EJECUCION'!$C$9:$C$1208,MATCH($AN461,'2_IMPORTAR_EJECUCION'!$J$9:$J$1208,0)),""),'CAT_ESTADOS_ERP'!$A$4:$A$7,0)),"Pendiente"))</f>
        <v/>
      </c>
      <c r="O461" s="3">
        <f>IF($J461="","",YEAR($J461+4-WEEKDAY($J461,2))&amp;"-S"&amp;TEXT(_xlfn.ISOWEEKNUM($J461),"00"))</f>
        <v/>
      </c>
      <c r="P461" s="3">
        <f>IF($J461="","",YEAR($J461))</f>
        <v/>
      </c>
      <c r="Q461" s="3">
        <f>IF($J461="","",MONTH($J461))</f>
        <v/>
      </c>
      <c r="R461" s="3">
        <f>IF($J461="","",INDEX(lista_dias,WEEKDAY($J461,2)))</f>
        <v/>
      </c>
      <c r="S461" s="3">
        <f>IF($I461="","",IFERROR(INDEX('CAT_TIPOS_OT'!$C$4:$C$7,MATCH($I461,'CAT_TIPOS_OT'!$A$4:$A$7,0)),"sin_clasificar"))</f>
        <v/>
      </c>
      <c r="T461" s="3">
        <f>IF($F461="","",IFERROR(INDEX('CAT_CENTROS_COSTO'!$E$4:$E$9,MATCH($F461,'CAT_CENTROS_COSTO'!$A$4:$A$9,0)),"(sin catálogo)"))</f>
        <v/>
      </c>
      <c r="U461" s="3">
        <f>IF($F461="","",IFERROR(INDEX('CAT_CENTROS_COSTO'!$D$4:$D$9,MATCH($F461,'CAT_CENTROS_COSTO'!$A$4:$A$9,0)),"(sin catálogo)"))</f>
        <v/>
      </c>
      <c r="V461" s="3">
        <f>IF($F461="","",IFERROR(INDEX('CAT_CENTROS_COSTO'!$F$4:$F$9,MATCH($F461,'CAT_CENTROS_COSTO'!$A$4:$A$9,0)),"(sin catálogo)"))</f>
        <v/>
      </c>
      <c r="W461" s="3">
        <f>IF($G461="","",IFERROR(INDEX('CAT_PUESTOS'!$B$4:$B$8,MATCH($G461,'CAT_PUESTOS'!$A$4:$A$8,0)),"(sin catálogo)"))</f>
        <v/>
      </c>
      <c r="X461" s="3">
        <f>IF($H461="","",IFERROR(INDEX('CAT_ACTIVIDADES'!$B$4:$B$8,MATCH($H461,'CAT_ACTIVIDADES'!$A$4:$A$8,0)),"(sin catálogo)"))</f>
        <v/>
      </c>
      <c r="Y461" s="12">
        <f>IF($J461="","",TODAY()-$J461)</f>
        <v/>
      </c>
      <c r="Z461" s="3">
        <f>IF($Y461="","",IF($Y461&lt;0,"FUTURO",IF($Y461&gt;p_dias_backlog_max,"BACKLOG","MES CORRIENTE")))</f>
        <v/>
      </c>
      <c r="AA461" s="3">
        <f>IF($Y461="",FALSE,AND($Y461&gt;p_dias_backlog_min,$Y461&lt;=p_dias_backlog_max))</f>
        <v/>
      </c>
      <c r="AB461" s="6" t="n"/>
      <c r="AC461" s="3">
        <f>IF($AB461="","",IFERROR(INDEX('ASIGNACIONES'!$F$4:$F$339,MATCH($O461&amp;"|"&amp;$R461&amp;"|"&amp;$AB461,'ASIGNACIONES'!$I$4:$I$339,0)),""))</f>
        <v/>
      </c>
      <c r="AD461" s="13">
        <f>IF($AB461="","",SUMIFS('ORDENES'!$M$4:$M$1203,'ORDENES'!$AB$4:$AB$1203,$AB461,'ORDENES'!$O$4:$O$1203,$O461,'ORDENES'!$R$4:$R$1203,$R461))</f>
        <v/>
      </c>
      <c r="AE461" s="13">
        <f>IF($AD461="","",p_factor_productividad*IFERROR(INDEX('ASIGNACIONES'!$H$4:$H$339,MATCH($O461&amp;"|"&amp;$R461&amp;"|"&amp;$AB461,'ASIGNACIONES'!$I$4:$I$339,0)),0)-$AD461)</f>
        <v/>
      </c>
      <c r="AF461" s="10">
        <f>IF($A461="","",IFERROR(INDEX('2_IMPORTAR_EJECUCION'!$F$9:$F$1208,MATCH($AN461,'2_IMPORTAR_EJECUCION'!$J$9:$J$1208,0)),0))</f>
        <v/>
      </c>
      <c r="AG461" s="10">
        <f>IF($A461="","",MAX(0,IFERROR(INDEX('2_IMPORTAR_EJECUCION'!$H$9:$H$1208,MATCH($AN461,'2_IMPORTAR_EJECUCION'!$J$9:$J$1208,0)),0)-$AF461))</f>
        <v/>
      </c>
      <c r="AH461" s="10">
        <f>IF($A461="","",$AF461+$AG461)</f>
        <v/>
      </c>
      <c r="AI461" s="6" t="n"/>
      <c r="AJ461" s="6" t="n"/>
      <c r="AK461" s="6" t="n"/>
      <c r="AL461" s="3">
        <f>IF($AK461="","",HYPERLINK(p_ruta_base_checklists&amp;$AK461,"abrir"))</f>
        <v/>
      </c>
      <c r="AM461" s="6" t="n"/>
      <c r="AN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1" t="n"/>
      <c r="K462" s="3" t="n"/>
      <c r="L462" s="10" t="n"/>
      <c r="M462" s="3">
        <f>IF($A462="","",IFERROR(INDEX('AJUSTES'!$B$4:$B$303,MATCH($AN462,'AJUSTES'!$A$4:$A$303,0)),IF($K462="","",$K462)))</f>
        <v/>
      </c>
      <c r="N462" s="3">
        <f>IF($A462="","",IFERROR(INDEX('CAT_ESTADOS_ERP'!$B$4:$B$7,MATCH(IFERROR(INDEX('2_IMPORTAR_EJECUCION'!$C$9:$C$1208,MATCH($AN462,'2_IMPORTAR_EJECUCION'!$J$9:$J$1208,0)),""),'CAT_ESTADOS_ERP'!$A$4:$A$7,0)),"Pendiente"))</f>
        <v/>
      </c>
      <c r="O462" s="3">
        <f>IF($J462="","",YEAR($J462+4-WEEKDAY($J462,2))&amp;"-S"&amp;TEXT(_xlfn.ISOWEEKNUM($J462),"00"))</f>
        <v/>
      </c>
      <c r="P462" s="3">
        <f>IF($J462="","",YEAR($J462))</f>
        <v/>
      </c>
      <c r="Q462" s="3">
        <f>IF($J462="","",MONTH($J462))</f>
        <v/>
      </c>
      <c r="R462" s="3">
        <f>IF($J462="","",INDEX(lista_dias,WEEKDAY($J462,2)))</f>
        <v/>
      </c>
      <c r="S462" s="3">
        <f>IF($I462="","",IFERROR(INDEX('CAT_TIPOS_OT'!$C$4:$C$7,MATCH($I462,'CAT_TIPOS_OT'!$A$4:$A$7,0)),"sin_clasificar"))</f>
        <v/>
      </c>
      <c r="T462" s="3">
        <f>IF($F462="","",IFERROR(INDEX('CAT_CENTROS_COSTO'!$E$4:$E$9,MATCH($F462,'CAT_CENTROS_COSTO'!$A$4:$A$9,0)),"(sin catálogo)"))</f>
        <v/>
      </c>
      <c r="U462" s="3">
        <f>IF($F462="","",IFERROR(INDEX('CAT_CENTROS_COSTO'!$D$4:$D$9,MATCH($F462,'CAT_CENTROS_COSTO'!$A$4:$A$9,0)),"(sin catálogo)"))</f>
        <v/>
      </c>
      <c r="V462" s="3">
        <f>IF($F462="","",IFERROR(INDEX('CAT_CENTROS_COSTO'!$F$4:$F$9,MATCH($F462,'CAT_CENTROS_COSTO'!$A$4:$A$9,0)),"(sin catálogo)"))</f>
        <v/>
      </c>
      <c r="W462" s="3">
        <f>IF($G462="","",IFERROR(INDEX('CAT_PUESTOS'!$B$4:$B$8,MATCH($G462,'CAT_PUESTOS'!$A$4:$A$8,0)),"(sin catálogo)"))</f>
        <v/>
      </c>
      <c r="X462" s="3">
        <f>IF($H462="","",IFERROR(INDEX('CAT_ACTIVIDADES'!$B$4:$B$8,MATCH($H462,'CAT_ACTIVIDADES'!$A$4:$A$8,0)),"(sin catálogo)"))</f>
        <v/>
      </c>
      <c r="Y462" s="12">
        <f>IF($J462="","",TODAY()-$J462)</f>
        <v/>
      </c>
      <c r="Z462" s="3">
        <f>IF($Y462="","",IF($Y462&lt;0,"FUTURO",IF($Y462&gt;p_dias_backlog_max,"BACKLOG","MES CORRIENTE")))</f>
        <v/>
      </c>
      <c r="AA462" s="3">
        <f>IF($Y462="",FALSE,AND($Y462&gt;p_dias_backlog_min,$Y462&lt;=p_dias_backlog_max))</f>
        <v/>
      </c>
      <c r="AB462" s="6" t="n"/>
      <c r="AC462" s="3">
        <f>IF($AB462="","",IFERROR(INDEX('ASIGNACIONES'!$F$4:$F$339,MATCH($O462&amp;"|"&amp;$R462&amp;"|"&amp;$AB462,'ASIGNACIONES'!$I$4:$I$339,0)),""))</f>
        <v/>
      </c>
      <c r="AD462" s="13">
        <f>IF($AB462="","",SUMIFS('ORDENES'!$M$4:$M$1203,'ORDENES'!$AB$4:$AB$1203,$AB462,'ORDENES'!$O$4:$O$1203,$O462,'ORDENES'!$R$4:$R$1203,$R462))</f>
        <v/>
      </c>
      <c r="AE462" s="13">
        <f>IF($AD462="","",p_factor_productividad*IFERROR(INDEX('ASIGNACIONES'!$H$4:$H$339,MATCH($O462&amp;"|"&amp;$R462&amp;"|"&amp;$AB462,'ASIGNACIONES'!$I$4:$I$339,0)),0)-$AD462)</f>
        <v/>
      </c>
      <c r="AF462" s="10">
        <f>IF($A462="","",IFERROR(INDEX('2_IMPORTAR_EJECUCION'!$F$9:$F$1208,MATCH($AN462,'2_IMPORTAR_EJECUCION'!$J$9:$J$1208,0)),0))</f>
        <v/>
      </c>
      <c r="AG462" s="10">
        <f>IF($A462="","",MAX(0,IFERROR(INDEX('2_IMPORTAR_EJECUCION'!$H$9:$H$1208,MATCH($AN462,'2_IMPORTAR_EJECUCION'!$J$9:$J$1208,0)),0)-$AF462))</f>
        <v/>
      </c>
      <c r="AH462" s="10">
        <f>IF($A462="","",$AF462+$AG462)</f>
        <v/>
      </c>
      <c r="AI462" s="6" t="n"/>
      <c r="AJ462" s="6" t="n"/>
      <c r="AK462" s="6" t="n"/>
      <c r="AL462" s="3">
        <f>IF($AK462="","",HYPERLINK(p_ruta_base_checklists&amp;$AK462,"abrir"))</f>
        <v/>
      </c>
      <c r="AM462" s="6" t="n"/>
      <c r="AN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1" t="n"/>
      <c r="K463" s="3" t="n"/>
      <c r="L463" s="10" t="n"/>
      <c r="M463" s="3">
        <f>IF($A463="","",IFERROR(INDEX('AJUSTES'!$B$4:$B$303,MATCH($AN463,'AJUSTES'!$A$4:$A$303,0)),IF($K463="","",$K463)))</f>
        <v/>
      </c>
      <c r="N463" s="3">
        <f>IF($A463="","",IFERROR(INDEX('CAT_ESTADOS_ERP'!$B$4:$B$7,MATCH(IFERROR(INDEX('2_IMPORTAR_EJECUCION'!$C$9:$C$1208,MATCH($AN463,'2_IMPORTAR_EJECUCION'!$J$9:$J$1208,0)),""),'CAT_ESTADOS_ERP'!$A$4:$A$7,0)),"Pendiente"))</f>
        <v/>
      </c>
      <c r="O463" s="3">
        <f>IF($J463="","",YEAR($J463+4-WEEKDAY($J463,2))&amp;"-S"&amp;TEXT(_xlfn.ISOWEEKNUM($J463),"00"))</f>
        <v/>
      </c>
      <c r="P463" s="3">
        <f>IF($J463="","",YEAR($J463))</f>
        <v/>
      </c>
      <c r="Q463" s="3">
        <f>IF($J463="","",MONTH($J463))</f>
        <v/>
      </c>
      <c r="R463" s="3">
        <f>IF($J463="","",INDEX(lista_dias,WEEKDAY($J463,2)))</f>
        <v/>
      </c>
      <c r="S463" s="3">
        <f>IF($I463="","",IFERROR(INDEX('CAT_TIPOS_OT'!$C$4:$C$7,MATCH($I463,'CAT_TIPOS_OT'!$A$4:$A$7,0)),"sin_clasificar"))</f>
        <v/>
      </c>
      <c r="T463" s="3">
        <f>IF($F463="","",IFERROR(INDEX('CAT_CENTROS_COSTO'!$E$4:$E$9,MATCH($F463,'CAT_CENTROS_COSTO'!$A$4:$A$9,0)),"(sin catálogo)"))</f>
        <v/>
      </c>
      <c r="U463" s="3">
        <f>IF($F463="","",IFERROR(INDEX('CAT_CENTROS_COSTO'!$D$4:$D$9,MATCH($F463,'CAT_CENTROS_COSTO'!$A$4:$A$9,0)),"(sin catálogo)"))</f>
        <v/>
      </c>
      <c r="V463" s="3">
        <f>IF($F463="","",IFERROR(INDEX('CAT_CENTROS_COSTO'!$F$4:$F$9,MATCH($F463,'CAT_CENTROS_COSTO'!$A$4:$A$9,0)),"(sin catálogo)"))</f>
        <v/>
      </c>
      <c r="W463" s="3">
        <f>IF($G463="","",IFERROR(INDEX('CAT_PUESTOS'!$B$4:$B$8,MATCH($G463,'CAT_PUESTOS'!$A$4:$A$8,0)),"(sin catálogo)"))</f>
        <v/>
      </c>
      <c r="X463" s="3">
        <f>IF($H463="","",IFERROR(INDEX('CAT_ACTIVIDADES'!$B$4:$B$8,MATCH($H463,'CAT_ACTIVIDADES'!$A$4:$A$8,0)),"(sin catálogo)"))</f>
        <v/>
      </c>
      <c r="Y463" s="12">
        <f>IF($J463="","",TODAY()-$J463)</f>
        <v/>
      </c>
      <c r="Z463" s="3">
        <f>IF($Y463="","",IF($Y463&lt;0,"FUTURO",IF($Y463&gt;p_dias_backlog_max,"BACKLOG","MES CORRIENTE")))</f>
        <v/>
      </c>
      <c r="AA463" s="3">
        <f>IF($Y463="",FALSE,AND($Y463&gt;p_dias_backlog_min,$Y463&lt;=p_dias_backlog_max))</f>
        <v/>
      </c>
      <c r="AB463" s="6" t="n"/>
      <c r="AC463" s="3">
        <f>IF($AB463="","",IFERROR(INDEX('ASIGNACIONES'!$F$4:$F$339,MATCH($O463&amp;"|"&amp;$R463&amp;"|"&amp;$AB463,'ASIGNACIONES'!$I$4:$I$339,0)),""))</f>
        <v/>
      </c>
      <c r="AD463" s="13">
        <f>IF($AB463="","",SUMIFS('ORDENES'!$M$4:$M$1203,'ORDENES'!$AB$4:$AB$1203,$AB463,'ORDENES'!$O$4:$O$1203,$O463,'ORDENES'!$R$4:$R$1203,$R463))</f>
        <v/>
      </c>
      <c r="AE463" s="13">
        <f>IF($AD463="","",p_factor_productividad*IFERROR(INDEX('ASIGNACIONES'!$H$4:$H$339,MATCH($O463&amp;"|"&amp;$R463&amp;"|"&amp;$AB463,'ASIGNACIONES'!$I$4:$I$339,0)),0)-$AD463)</f>
        <v/>
      </c>
      <c r="AF463" s="10">
        <f>IF($A463="","",IFERROR(INDEX('2_IMPORTAR_EJECUCION'!$F$9:$F$1208,MATCH($AN463,'2_IMPORTAR_EJECUCION'!$J$9:$J$1208,0)),0))</f>
        <v/>
      </c>
      <c r="AG463" s="10">
        <f>IF($A463="","",MAX(0,IFERROR(INDEX('2_IMPORTAR_EJECUCION'!$H$9:$H$1208,MATCH($AN463,'2_IMPORTAR_EJECUCION'!$J$9:$J$1208,0)),0)-$AF463))</f>
        <v/>
      </c>
      <c r="AH463" s="10">
        <f>IF($A463="","",$AF463+$AG463)</f>
        <v/>
      </c>
      <c r="AI463" s="6" t="n"/>
      <c r="AJ463" s="6" t="n"/>
      <c r="AK463" s="6" t="n"/>
      <c r="AL463" s="3">
        <f>IF($AK463="","",HYPERLINK(p_ruta_base_checklists&amp;$AK463,"abrir"))</f>
        <v/>
      </c>
      <c r="AM463" s="6" t="n"/>
      <c r="AN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1" t="n"/>
      <c r="K464" s="3" t="n"/>
      <c r="L464" s="10" t="n"/>
      <c r="M464" s="3">
        <f>IF($A464="","",IFERROR(INDEX('AJUSTES'!$B$4:$B$303,MATCH($AN464,'AJUSTES'!$A$4:$A$303,0)),IF($K464="","",$K464)))</f>
        <v/>
      </c>
      <c r="N464" s="3">
        <f>IF($A464="","",IFERROR(INDEX('CAT_ESTADOS_ERP'!$B$4:$B$7,MATCH(IFERROR(INDEX('2_IMPORTAR_EJECUCION'!$C$9:$C$1208,MATCH($AN464,'2_IMPORTAR_EJECUCION'!$J$9:$J$1208,0)),""),'CAT_ESTADOS_ERP'!$A$4:$A$7,0)),"Pendiente"))</f>
        <v/>
      </c>
      <c r="O464" s="3">
        <f>IF($J464="","",YEAR($J464+4-WEEKDAY($J464,2))&amp;"-S"&amp;TEXT(_xlfn.ISOWEEKNUM($J464),"00"))</f>
        <v/>
      </c>
      <c r="P464" s="3">
        <f>IF($J464="","",YEAR($J464))</f>
        <v/>
      </c>
      <c r="Q464" s="3">
        <f>IF($J464="","",MONTH($J464))</f>
        <v/>
      </c>
      <c r="R464" s="3">
        <f>IF($J464="","",INDEX(lista_dias,WEEKDAY($J464,2)))</f>
        <v/>
      </c>
      <c r="S464" s="3">
        <f>IF($I464="","",IFERROR(INDEX('CAT_TIPOS_OT'!$C$4:$C$7,MATCH($I464,'CAT_TIPOS_OT'!$A$4:$A$7,0)),"sin_clasificar"))</f>
        <v/>
      </c>
      <c r="T464" s="3">
        <f>IF($F464="","",IFERROR(INDEX('CAT_CENTROS_COSTO'!$E$4:$E$9,MATCH($F464,'CAT_CENTROS_COSTO'!$A$4:$A$9,0)),"(sin catálogo)"))</f>
        <v/>
      </c>
      <c r="U464" s="3">
        <f>IF($F464="","",IFERROR(INDEX('CAT_CENTROS_COSTO'!$D$4:$D$9,MATCH($F464,'CAT_CENTROS_COSTO'!$A$4:$A$9,0)),"(sin catálogo)"))</f>
        <v/>
      </c>
      <c r="V464" s="3">
        <f>IF($F464="","",IFERROR(INDEX('CAT_CENTROS_COSTO'!$F$4:$F$9,MATCH($F464,'CAT_CENTROS_COSTO'!$A$4:$A$9,0)),"(sin catálogo)"))</f>
        <v/>
      </c>
      <c r="W464" s="3">
        <f>IF($G464="","",IFERROR(INDEX('CAT_PUESTOS'!$B$4:$B$8,MATCH($G464,'CAT_PUESTOS'!$A$4:$A$8,0)),"(sin catálogo)"))</f>
        <v/>
      </c>
      <c r="X464" s="3">
        <f>IF($H464="","",IFERROR(INDEX('CAT_ACTIVIDADES'!$B$4:$B$8,MATCH($H464,'CAT_ACTIVIDADES'!$A$4:$A$8,0)),"(sin catálogo)"))</f>
        <v/>
      </c>
      <c r="Y464" s="12">
        <f>IF($J464="","",TODAY()-$J464)</f>
        <v/>
      </c>
      <c r="Z464" s="3">
        <f>IF($Y464="","",IF($Y464&lt;0,"FUTURO",IF($Y464&gt;p_dias_backlog_max,"BACKLOG","MES CORRIENTE")))</f>
        <v/>
      </c>
      <c r="AA464" s="3">
        <f>IF($Y464="",FALSE,AND($Y464&gt;p_dias_backlog_min,$Y464&lt;=p_dias_backlog_max))</f>
        <v/>
      </c>
      <c r="AB464" s="6" t="n"/>
      <c r="AC464" s="3">
        <f>IF($AB464="","",IFERROR(INDEX('ASIGNACIONES'!$F$4:$F$339,MATCH($O464&amp;"|"&amp;$R464&amp;"|"&amp;$AB464,'ASIGNACIONES'!$I$4:$I$339,0)),""))</f>
        <v/>
      </c>
      <c r="AD464" s="13">
        <f>IF($AB464="","",SUMIFS('ORDENES'!$M$4:$M$1203,'ORDENES'!$AB$4:$AB$1203,$AB464,'ORDENES'!$O$4:$O$1203,$O464,'ORDENES'!$R$4:$R$1203,$R464))</f>
        <v/>
      </c>
      <c r="AE464" s="13">
        <f>IF($AD464="","",p_factor_productividad*IFERROR(INDEX('ASIGNACIONES'!$H$4:$H$339,MATCH($O464&amp;"|"&amp;$R464&amp;"|"&amp;$AB464,'ASIGNACIONES'!$I$4:$I$339,0)),0)-$AD464)</f>
        <v/>
      </c>
      <c r="AF464" s="10">
        <f>IF($A464="","",IFERROR(INDEX('2_IMPORTAR_EJECUCION'!$F$9:$F$1208,MATCH($AN464,'2_IMPORTAR_EJECUCION'!$J$9:$J$1208,0)),0))</f>
        <v/>
      </c>
      <c r="AG464" s="10">
        <f>IF($A464="","",MAX(0,IFERROR(INDEX('2_IMPORTAR_EJECUCION'!$H$9:$H$1208,MATCH($AN464,'2_IMPORTAR_EJECUCION'!$J$9:$J$1208,0)),0)-$AF464))</f>
        <v/>
      </c>
      <c r="AH464" s="10">
        <f>IF($A464="","",$AF464+$AG464)</f>
        <v/>
      </c>
      <c r="AI464" s="6" t="n"/>
      <c r="AJ464" s="6" t="n"/>
      <c r="AK464" s="6" t="n"/>
      <c r="AL464" s="3">
        <f>IF($AK464="","",HYPERLINK(p_ruta_base_checklists&amp;$AK464,"abrir"))</f>
        <v/>
      </c>
      <c r="AM464" s="6" t="n"/>
      <c r="AN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1" t="n"/>
      <c r="K465" s="3" t="n"/>
      <c r="L465" s="10" t="n"/>
      <c r="M465" s="3">
        <f>IF($A465="","",IFERROR(INDEX('AJUSTES'!$B$4:$B$303,MATCH($AN465,'AJUSTES'!$A$4:$A$303,0)),IF($K465="","",$K465)))</f>
        <v/>
      </c>
      <c r="N465" s="3">
        <f>IF($A465="","",IFERROR(INDEX('CAT_ESTADOS_ERP'!$B$4:$B$7,MATCH(IFERROR(INDEX('2_IMPORTAR_EJECUCION'!$C$9:$C$1208,MATCH($AN465,'2_IMPORTAR_EJECUCION'!$J$9:$J$1208,0)),""),'CAT_ESTADOS_ERP'!$A$4:$A$7,0)),"Pendiente"))</f>
        <v/>
      </c>
      <c r="O465" s="3">
        <f>IF($J465="","",YEAR($J465+4-WEEKDAY($J465,2))&amp;"-S"&amp;TEXT(_xlfn.ISOWEEKNUM($J465),"00"))</f>
        <v/>
      </c>
      <c r="P465" s="3">
        <f>IF($J465="","",YEAR($J465))</f>
        <v/>
      </c>
      <c r="Q465" s="3">
        <f>IF($J465="","",MONTH($J465))</f>
        <v/>
      </c>
      <c r="R465" s="3">
        <f>IF($J465="","",INDEX(lista_dias,WEEKDAY($J465,2)))</f>
        <v/>
      </c>
      <c r="S465" s="3">
        <f>IF($I465="","",IFERROR(INDEX('CAT_TIPOS_OT'!$C$4:$C$7,MATCH($I465,'CAT_TIPOS_OT'!$A$4:$A$7,0)),"sin_clasificar"))</f>
        <v/>
      </c>
      <c r="T465" s="3">
        <f>IF($F465="","",IFERROR(INDEX('CAT_CENTROS_COSTO'!$E$4:$E$9,MATCH($F465,'CAT_CENTROS_COSTO'!$A$4:$A$9,0)),"(sin catálogo)"))</f>
        <v/>
      </c>
      <c r="U465" s="3">
        <f>IF($F465="","",IFERROR(INDEX('CAT_CENTROS_COSTO'!$D$4:$D$9,MATCH($F465,'CAT_CENTROS_COSTO'!$A$4:$A$9,0)),"(sin catálogo)"))</f>
        <v/>
      </c>
      <c r="V465" s="3">
        <f>IF($F465="","",IFERROR(INDEX('CAT_CENTROS_COSTO'!$F$4:$F$9,MATCH($F465,'CAT_CENTROS_COSTO'!$A$4:$A$9,0)),"(sin catálogo)"))</f>
        <v/>
      </c>
      <c r="W465" s="3">
        <f>IF($G465="","",IFERROR(INDEX('CAT_PUESTOS'!$B$4:$B$8,MATCH($G465,'CAT_PUESTOS'!$A$4:$A$8,0)),"(sin catálogo)"))</f>
        <v/>
      </c>
      <c r="X465" s="3">
        <f>IF($H465="","",IFERROR(INDEX('CAT_ACTIVIDADES'!$B$4:$B$8,MATCH($H465,'CAT_ACTIVIDADES'!$A$4:$A$8,0)),"(sin catálogo)"))</f>
        <v/>
      </c>
      <c r="Y465" s="12">
        <f>IF($J465="","",TODAY()-$J465)</f>
        <v/>
      </c>
      <c r="Z465" s="3">
        <f>IF($Y465="","",IF($Y465&lt;0,"FUTURO",IF($Y465&gt;p_dias_backlog_max,"BACKLOG","MES CORRIENTE")))</f>
        <v/>
      </c>
      <c r="AA465" s="3">
        <f>IF($Y465="",FALSE,AND($Y465&gt;p_dias_backlog_min,$Y465&lt;=p_dias_backlog_max))</f>
        <v/>
      </c>
      <c r="AB465" s="6" t="n"/>
      <c r="AC465" s="3">
        <f>IF($AB465="","",IFERROR(INDEX('ASIGNACIONES'!$F$4:$F$339,MATCH($O465&amp;"|"&amp;$R465&amp;"|"&amp;$AB465,'ASIGNACIONES'!$I$4:$I$339,0)),""))</f>
        <v/>
      </c>
      <c r="AD465" s="13">
        <f>IF($AB465="","",SUMIFS('ORDENES'!$M$4:$M$1203,'ORDENES'!$AB$4:$AB$1203,$AB465,'ORDENES'!$O$4:$O$1203,$O465,'ORDENES'!$R$4:$R$1203,$R465))</f>
        <v/>
      </c>
      <c r="AE465" s="13">
        <f>IF($AD465="","",p_factor_productividad*IFERROR(INDEX('ASIGNACIONES'!$H$4:$H$339,MATCH($O465&amp;"|"&amp;$R465&amp;"|"&amp;$AB465,'ASIGNACIONES'!$I$4:$I$339,0)),0)-$AD465)</f>
        <v/>
      </c>
      <c r="AF465" s="10">
        <f>IF($A465="","",IFERROR(INDEX('2_IMPORTAR_EJECUCION'!$F$9:$F$1208,MATCH($AN465,'2_IMPORTAR_EJECUCION'!$J$9:$J$1208,0)),0))</f>
        <v/>
      </c>
      <c r="AG465" s="10">
        <f>IF($A465="","",MAX(0,IFERROR(INDEX('2_IMPORTAR_EJECUCION'!$H$9:$H$1208,MATCH($AN465,'2_IMPORTAR_EJECUCION'!$J$9:$J$1208,0)),0)-$AF465))</f>
        <v/>
      </c>
      <c r="AH465" s="10">
        <f>IF($A465="","",$AF465+$AG465)</f>
        <v/>
      </c>
      <c r="AI465" s="6" t="n"/>
      <c r="AJ465" s="6" t="n"/>
      <c r="AK465" s="6" t="n"/>
      <c r="AL465" s="3">
        <f>IF($AK465="","",HYPERLINK(p_ruta_base_checklists&amp;$AK465,"abrir"))</f>
        <v/>
      </c>
      <c r="AM465" s="6" t="n"/>
      <c r="AN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1" t="n"/>
      <c r="K466" s="3" t="n"/>
      <c r="L466" s="10" t="n"/>
      <c r="M466" s="3">
        <f>IF($A466="","",IFERROR(INDEX('AJUSTES'!$B$4:$B$303,MATCH($AN466,'AJUSTES'!$A$4:$A$303,0)),IF($K466="","",$K466)))</f>
        <v/>
      </c>
      <c r="N466" s="3">
        <f>IF($A466="","",IFERROR(INDEX('CAT_ESTADOS_ERP'!$B$4:$B$7,MATCH(IFERROR(INDEX('2_IMPORTAR_EJECUCION'!$C$9:$C$1208,MATCH($AN466,'2_IMPORTAR_EJECUCION'!$J$9:$J$1208,0)),""),'CAT_ESTADOS_ERP'!$A$4:$A$7,0)),"Pendiente"))</f>
        <v/>
      </c>
      <c r="O466" s="3">
        <f>IF($J466="","",YEAR($J466+4-WEEKDAY($J466,2))&amp;"-S"&amp;TEXT(_xlfn.ISOWEEKNUM($J466),"00"))</f>
        <v/>
      </c>
      <c r="P466" s="3">
        <f>IF($J466="","",YEAR($J466))</f>
        <v/>
      </c>
      <c r="Q466" s="3">
        <f>IF($J466="","",MONTH($J466))</f>
        <v/>
      </c>
      <c r="R466" s="3">
        <f>IF($J466="","",INDEX(lista_dias,WEEKDAY($J466,2)))</f>
        <v/>
      </c>
      <c r="S466" s="3">
        <f>IF($I466="","",IFERROR(INDEX('CAT_TIPOS_OT'!$C$4:$C$7,MATCH($I466,'CAT_TIPOS_OT'!$A$4:$A$7,0)),"sin_clasificar"))</f>
        <v/>
      </c>
      <c r="T466" s="3">
        <f>IF($F466="","",IFERROR(INDEX('CAT_CENTROS_COSTO'!$E$4:$E$9,MATCH($F466,'CAT_CENTROS_COSTO'!$A$4:$A$9,0)),"(sin catálogo)"))</f>
        <v/>
      </c>
      <c r="U466" s="3">
        <f>IF($F466="","",IFERROR(INDEX('CAT_CENTROS_COSTO'!$D$4:$D$9,MATCH($F466,'CAT_CENTROS_COSTO'!$A$4:$A$9,0)),"(sin catálogo)"))</f>
        <v/>
      </c>
      <c r="V466" s="3">
        <f>IF($F466="","",IFERROR(INDEX('CAT_CENTROS_COSTO'!$F$4:$F$9,MATCH($F466,'CAT_CENTROS_COSTO'!$A$4:$A$9,0)),"(sin catálogo)"))</f>
        <v/>
      </c>
      <c r="W466" s="3">
        <f>IF($G466="","",IFERROR(INDEX('CAT_PUESTOS'!$B$4:$B$8,MATCH($G466,'CAT_PUESTOS'!$A$4:$A$8,0)),"(sin catálogo)"))</f>
        <v/>
      </c>
      <c r="X466" s="3">
        <f>IF($H466="","",IFERROR(INDEX('CAT_ACTIVIDADES'!$B$4:$B$8,MATCH($H466,'CAT_ACTIVIDADES'!$A$4:$A$8,0)),"(sin catálogo)"))</f>
        <v/>
      </c>
      <c r="Y466" s="12">
        <f>IF($J466="","",TODAY()-$J466)</f>
        <v/>
      </c>
      <c r="Z466" s="3">
        <f>IF($Y466="","",IF($Y466&lt;0,"FUTURO",IF($Y466&gt;p_dias_backlog_max,"BACKLOG","MES CORRIENTE")))</f>
        <v/>
      </c>
      <c r="AA466" s="3">
        <f>IF($Y466="",FALSE,AND($Y466&gt;p_dias_backlog_min,$Y466&lt;=p_dias_backlog_max))</f>
        <v/>
      </c>
      <c r="AB466" s="6" t="n"/>
      <c r="AC466" s="3">
        <f>IF($AB466="","",IFERROR(INDEX('ASIGNACIONES'!$F$4:$F$339,MATCH($O466&amp;"|"&amp;$R466&amp;"|"&amp;$AB466,'ASIGNACIONES'!$I$4:$I$339,0)),""))</f>
        <v/>
      </c>
      <c r="AD466" s="13">
        <f>IF($AB466="","",SUMIFS('ORDENES'!$M$4:$M$1203,'ORDENES'!$AB$4:$AB$1203,$AB466,'ORDENES'!$O$4:$O$1203,$O466,'ORDENES'!$R$4:$R$1203,$R466))</f>
        <v/>
      </c>
      <c r="AE466" s="13">
        <f>IF($AD466="","",p_factor_productividad*IFERROR(INDEX('ASIGNACIONES'!$H$4:$H$339,MATCH($O466&amp;"|"&amp;$R466&amp;"|"&amp;$AB466,'ASIGNACIONES'!$I$4:$I$339,0)),0)-$AD466)</f>
        <v/>
      </c>
      <c r="AF466" s="10">
        <f>IF($A466="","",IFERROR(INDEX('2_IMPORTAR_EJECUCION'!$F$9:$F$1208,MATCH($AN466,'2_IMPORTAR_EJECUCION'!$J$9:$J$1208,0)),0))</f>
        <v/>
      </c>
      <c r="AG466" s="10">
        <f>IF($A466="","",MAX(0,IFERROR(INDEX('2_IMPORTAR_EJECUCION'!$H$9:$H$1208,MATCH($AN466,'2_IMPORTAR_EJECUCION'!$J$9:$J$1208,0)),0)-$AF466))</f>
        <v/>
      </c>
      <c r="AH466" s="10">
        <f>IF($A466="","",$AF466+$AG466)</f>
        <v/>
      </c>
      <c r="AI466" s="6" t="n"/>
      <c r="AJ466" s="6" t="n"/>
      <c r="AK466" s="6" t="n"/>
      <c r="AL466" s="3">
        <f>IF($AK466="","",HYPERLINK(p_ruta_base_checklists&amp;$AK466,"abrir"))</f>
        <v/>
      </c>
      <c r="AM466" s="6" t="n"/>
      <c r="AN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1" t="n"/>
      <c r="K467" s="3" t="n"/>
      <c r="L467" s="10" t="n"/>
      <c r="M467" s="3">
        <f>IF($A467="","",IFERROR(INDEX('AJUSTES'!$B$4:$B$303,MATCH($AN467,'AJUSTES'!$A$4:$A$303,0)),IF($K467="","",$K467)))</f>
        <v/>
      </c>
      <c r="N467" s="3">
        <f>IF($A467="","",IFERROR(INDEX('CAT_ESTADOS_ERP'!$B$4:$B$7,MATCH(IFERROR(INDEX('2_IMPORTAR_EJECUCION'!$C$9:$C$1208,MATCH($AN467,'2_IMPORTAR_EJECUCION'!$J$9:$J$1208,0)),""),'CAT_ESTADOS_ERP'!$A$4:$A$7,0)),"Pendiente"))</f>
        <v/>
      </c>
      <c r="O467" s="3">
        <f>IF($J467="","",YEAR($J467+4-WEEKDAY($J467,2))&amp;"-S"&amp;TEXT(_xlfn.ISOWEEKNUM($J467),"00"))</f>
        <v/>
      </c>
      <c r="P467" s="3">
        <f>IF($J467="","",YEAR($J467))</f>
        <v/>
      </c>
      <c r="Q467" s="3">
        <f>IF($J467="","",MONTH($J467))</f>
        <v/>
      </c>
      <c r="R467" s="3">
        <f>IF($J467="","",INDEX(lista_dias,WEEKDAY($J467,2)))</f>
        <v/>
      </c>
      <c r="S467" s="3">
        <f>IF($I467="","",IFERROR(INDEX('CAT_TIPOS_OT'!$C$4:$C$7,MATCH($I467,'CAT_TIPOS_OT'!$A$4:$A$7,0)),"sin_clasificar"))</f>
        <v/>
      </c>
      <c r="T467" s="3">
        <f>IF($F467="","",IFERROR(INDEX('CAT_CENTROS_COSTO'!$E$4:$E$9,MATCH($F467,'CAT_CENTROS_COSTO'!$A$4:$A$9,0)),"(sin catálogo)"))</f>
        <v/>
      </c>
      <c r="U467" s="3">
        <f>IF($F467="","",IFERROR(INDEX('CAT_CENTROS_COSTO'!$D$4:$D$9,MATCH($F467,'CAT_CENTROS_COSTO'!$A$4:$A$9,0)),"(sin catálogo)"))</f>
        <v/>
      </c>
      <c r="V467" s="3">
        <f>IF($F467="","",IFERROR(INDEX('CAT_CENTROS_COSTO'!$F$4:$F$9,MATCH($F467,'CAT_CENTROS_COSTO'!$A$4:$A$9,0)),"(sin catálogo)"))</f>
        <v/>
      </c>
      <c r="W467" s="3">
        <f>IF($G467="","",IFERROR(INDEX('CAT_PUESTOS'!$B$4:$B$8,MATCH($G467,'CAT_PUESTOS'!$A$4:$A$8,0)),"(sin catálogo)"))</f>
        <v/>
      </c>
      <c r="X467" s="3">
        <f>IF($H467="","",IFERROR(INDEX('CAT_ACTIVIDADES'!$B$4:$B$8,MATCH($H467,'CAT_ACTIVIDADES'!$A$4:$A$8,0)),"(sin catálogo)"))</f>
        <v/>
      </c>
      <c r="Y467" s="12">
        <f>IF($J467="","",TODAY()-$J467)</f>
        <v/>
      </c>
      <c r="Z467" s="3">
        <f>IF($Y467="","",IF($Y467&lt;0,"FUTURO",IF($Y467&gt;p_dias_backlog_max,"BACKLOG","MES CORRIENTE")))</f>
        <v/>
      </c>
      <c r="AA467" s="3">
        <f>IF($Y467="",FALSE,AND($Y467&gt;p_dias_backlog_min,$Y467&lt;=p_dias_backlog_max))</f>
        <v/>
      </c>
      <c r="AB467" s="6" t="n"/>
      <c r="AC467" s="3">
        <f>IF($AB467="","",IFERROR(INDEX('ASIGNACIONES'!$F$4:$F$339,MATCH($O467&amp;"|"&amp;$R467&amp;"|"&amp;$AB467,'ASIGNACIONES'!$I$4:$I$339,0)),""))</f>
        <v/>
      </c>
      <c r="AD467" s="13">
        <f>IF($AB467="","",SUMIFS('ORDENES'!$M$4:$M$1203,'ORDENES'!$AB$4:$AB$1203,$AB467,'ORDENES'!$O$4:$O$1203,$O467,'ORDENES'!$R$4:$R$1203,$R467))</f>
        <v/>
      </c>
      <c r="AE467" s="13">
        <f>IF($AD467="","",p_factor_productividad*IFERROR(INDEX('ASIGNACIONES'!$H$4:$H$339,MATCH($O467&amp;"|"&amp;$R467&amp;"|"&amp;$AB467,'ASIGNACIONES'!$I$4:$I$339,0)),0)-$AD467)</f>
        <v/>
      </c>
      <c r="AF467" s="10">
        <f>IF($A467="","",IFERROR(INDEX('2_IMPORTAR_EJECUCION'!$F$9:$F$1208,MATCH($AN467,'2_IMPORTAR_EJECUCION'!$J$9:$J$1208,0)),0))</f>
        <v/>
      </c>
      <c r="AG467" s="10">
        <f>IF($A467="","",MAX(0,IFERROR(INDEX('2_IMPORTAR_EJECUCION'!$H$9:$H$1208,MATCH($AN467,'2_IMPORTAR_EJECUCION'!$J$9:$J$1208,0)),0)-$AF467))</f>
        <v/>
      </c>
      <c r="AH467" s="10">
        <f>IF($A467="","",$AF467+$AG467)</f>
        <v/>
      </c>
      <c r="AI467" s="6" t="n"/>
      <c r="AJ467" s="6" t="n"/>
      <c r="AK467" s="6" t="n"/>
      <c r="AL467" s="3">
        <f>IF($AK467="","",HYPERLINK(p_ruta_base_checklists&amp;$AK467,"abrir"))</f>
        <v/>
      </c>
      <c r="AM467" s="6" t="n"/>
      <c r="AN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1" t="n"/>
      <c r="K468" s="3" t="n"/>
      <c r="L468" s="10" t="n"/>
      <c r="M468" s="3">
        <f>IF($A468="","",IFERROR(INDEX('AJUSTES'!$B$4:$B$303,MATCH($AN468,'AJUSTES'!$A$4:$A$303,0)),IF($K468="","",$K468)))</f>
        <v/>
      </c>
      <c r="N468" s="3">
        <f>IF($A468="","",IFERROR(INDEX('CAT_ESTADOS_ERP'!$B$4:$B$7,MATCH(IFERROR(INDEX('2_IMPORTAR_EJECUCION'!$C$9:$C$1208,MATCH($AN468,'2_IMPORTAR_EJECUCION'!$J$9:$J$1208,0)),""),'CAT_ESTADOS_ERP'!$A$4:$A$7,0)),"Pendiente"))</f>
        <v/>
      </c>
      <c r="O468" s="3">
        <f>IF($J468="","",YEAR($J468+4-WEEKDAY($J468,2))&amp;"-S"&amp;TEXT(_xlfn.ISOWEEKNUM($J468),"00"))</f>
        <v/>
      </c>
      <c r="P468" s="3">
        <f>IF($J468="","",YEAR($J468))</f>
        <v/>
      </c>
      <c r="Q468" s="3">
        <f>IF($J468="","",MONTH($J468))</f>
        <v/>
      </c>
      <c r="R468" s="3">
        <f>IF($J468="","",INDEX(lista_dias,WEEKDAY($J468,2)))</f>
        <v/>
      </c>
      <c r="S468" s="3">
        <f>IF($I468="","",IFERROR(INDEX('CAT_TIPOS_OT'!$C$4:$C$7,MATCH($I468,'CAT_TIPOS_OT'!$A$4:$A$7,0)),"sin_clasificar"))</f>
        <v/>
      </c>
      <c r="T468" s="3">
        <f>IF($F468="","",IFERROR(INDEX('CAT_CENTROS_COSTO'!$E$4:$E$9,MATCH($F468,'CAT_CENTROS_COSTO'!$A$4:$A$9,0)),"(sin catálogo)"))</f>
        <v/>
      </c>
      <c r="U468" s="3">
        <f>IF($F468="","",IFERROR(INDEX('CAT_CENTROS_COSTO'!$D$4:$D$9,MATCH($F468,'CAT_CENTROS_COSTO'!$A$4:$A$9,0)),"(sin catálogo)"))</f>
        <v/>
      </c>
      <c r="V468" s="3">
        <f>IF($F468="","",IFERROR(INDEX('CAT_CENTROS_COSTO'!$F$4:$F$9,MATCH($F468,'CAT_CENTROS_COSTO'!$A$4:$A$9,0)),"(sin catálogo)"))</f>
        <v/>
      </c>
      <c r="W468" s="3">
        <f>IF($G468="","",IFERROR(INDEX('CAT_PUESTOS'!$B$4:$B$8,MATCH($G468,'CAT_PUESTOS'!$A$4:$A$8,0)),"(sin catálogo)"))</f>
        <v/>
      </c>
      <c r="X468" s="3">
        <f>IF($H468="","",IFERROR(INDEX('CAT_ACTIVIDADES'!$B$4:$B$8,MATCH($H468,'CAT_ACTIVIDADES'!$A$4:$A$8,0)),"(sin catálogo)"))</f>
        <v/>
      </c>
      <c r="Y468" s="12">
        <f>IF($J468="","",TODAY()-$J468)</f>
        <v/>
      </c>
      <c r="Z468" s="3">
        <f>IF($Y468="","",IF($Y468&lt;0,"FUTURO",IF($Y468&gt;p_dias_backlog_max,"BACKLOG","MES CORRIENTE")))</f>
        <v/>
      </c>
      <c r="AA468" s="3">
        <f>IF($Y468="",FALSE,AND($Y468&gt;p_dias_backlog_min,$Y468&lt;=p_dias_backlog_max))</f>
        <v/>
      </c>
      <c r="AB468" s="6" t="n"/>
      <c r="AC468" s="3">
        <f>IF($AB468="","",IFERROR(INDEX('ASIGNACIONES'!$F$4:$F$339,MATCH($O468&amp;"|"&amp;$R468&amp;"|"&amp;$AB468,'ASIGNACIONES'!$I$4:$I$339,0)),""))</f>
        <v/>
      </c>
      <c r="AD468" s="13">
        <f>IF($AB468="","",SUMIFS('ORDENES'!$M$4:$M$1203,'ORDENES'!$AB$4:$AB$1203,$AB468,'ORDENES'!$O$4:$O$1203,$O468,'ORDENES'!$R$4:$R$1203,$R468))</f>
        <v/>
      </c>
      <c r="AE468" s="13">
        <f>IF($AD468="","",p_factor_productividad*IFERROR(INDEX('ASIGNACIONES'!$H$4:$H$339,MATCH($O468&amp;"|"&amp;$R468&amp;"|"&amp;$AB468,'ASIGNACIONES'!$I$4:$I$339,0)),0)-$AD468)</f>
        <v/>
      </c>
      <c r="AF468" s="10">
        <f>IF($A468="","",IFERROR(INDEX('2_IMPORTAR_EJECUCION'!$F$9:$F$1208,MATCH($AN468,'2_IMPORTAR_EJECUCION'!$J$9:$J$1208,0)),0))</f>
        <v/>
      </c>
      <c r="AG468" s="10">
        <f>IF($A468="","",MAX(0,IFERROR(INDEX('2_IMPORTAR_EJECUCION'!$H$9:$H$1208,MATCH($AN468,'2_IMPORTAR_EJECUCION'!$J$9:$J$1208,0)),0)-$AF468))</f>
        <v/>
      </c>
      <c r="AH468" s="10">
        <f>IF($A468="","",$AF468+$AG468)</f>
        <v/>
      </c>
      <c r="AI468" s="6" t="n"/>
      <c r="AJ468" s="6" t="n"/>
      <c r="AK468" s="6" t="n"/>
      <c r="AL468" s="3">
        <f>IF($AK468="","",HYPERLINK(p_ruta_base_checklists&amp;$AK468,"abrir"))</f>
        <v/>
      </c>
      <c r="AM468" s="6" t="n"/>
      <c r="AN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1" t="n"/>
      <c r="K469" s="3" t="n"/>
      <c r="L469" s="10" t="n"/>
      <c r="M469" s="3">
        <f>IF($A469="","",IFERROR(INDEX('AJUSTES'!$B$4:$B$303,MATCH($AN469,'AJUSTES'!$A$4:$A$303,0)),IF($K469="","",$K469)))</f>
        <v/>
      </c>
      <c r="N469" s="3">
        <f>IF($A469="","",IFERROR(INDEX('CAT_ESTADOS_ERP'!$B$4:$B$7,MATCH(IFERROR(INDEX('2_IMPORTAR_EJECUCION'!$C$9:$C$1208,MATCH($AN469,'2_IMPORTAR_EJECUCION'!$J$9:$J$1208,0)),""),'CAT_ESTADOS_ERP'!$A$4:$A$7,0)),"Pendiente"))</f>
        <v/>
      </c>
      <c r="O469" s="3">
        <f>IF($J469="","",YEAR($J469+4-WEEKDAY($J469,2))&amp;"-S"&amp;TEXT(_xlfn.ISOWEEKNUM($J469),"00"))</f>
        <v/>
      </c>
      <c r="P469" s="3">
        <f>IF($J469="","",YEAR($J469))</f>
        <v/>
      </c>
      <c r="Q469" s="3">
        <f>IF($J469="","",MONTH($J469))</f>
        <v/>
      </c>
      <c r="R469" s="3">
        <f>IF($J469="","",INDEX(lista_dias,WEEKDAY($J469,2)))</f>
        <v/>
      </c>
      <c r="S469" s="3">
        <f>IF($I469="","",IFERROR(INDEX('CAT_TIPOS_OT'!$C$4:$C$7,MATCH($I469,'CAT_TIPOS_OT'!$A$4:$A$7,0)),"sin_clasificar"))</f>
        <v/>
      </c>
      <c r="T469" s="3">
        <f>IF($F469="","",IFERROR(INDEX('CAT_CENTROS_COSTO'!$E$4:$E$9,MATCH($F469,'CAT_CENTROS_COSTO'!$A$4:$A$9,0)),"(sin catálogo)"))</f>
        <v/>
      </c>
      <c r="U469" s="3">
        <f>IF($F469="","",IFERROR(INDEX('CAT_CENTROS_COSTO'!$D$4:$D$9,MATCH($F469,'CAT_CENTROS_COSTO'!$A$4:$A$9,0)),"(sin catálogo)"))</f>
        <v/>
      </c>
      <c r="V469" s="3">
        <f>IF($F469="","",IFERROR(INDEX('CAT_CENTROS_COSTO'!$F$4:$F$9,MATCH($F469,'CAT_CENTROS_COSTO'!$A$4:$A$9,0)),"(sin catálogo)"))</f>
        <v/>
      </c>
      <c r="W469" s="3">
        <f>IF($G469="","",IFERROR(INDEX('CAT_PUESTOS'!$B$4:$B$8,MATCH($G469,'CAT_PUESTOS'!$A$4:$A$8,0)),"(sin catálogo)"))</f>
        <v/>
      </c>
      <c r="X469" s="3">
        <f>IF($H469="","",IFERROR(INDEX('CAT_ACTIVIDADES'!$B$4:$B$8,MATCH($H469,'CAT_ACTIVIDADES'!$A$4:$A$8,0)),"(sin catálogo)"))</f>
        <v/>
      </c>
      <c r="Y469" s="12">
        <f>IF($J469="","",TODAY()-$J469)</f>
        <v/>
      </c>
      <c r="Z469" s="3">
        <f>IF($Y469="","",IF($Y469&lt;0,"FUTURO",IF($Y469&gt;p_dias_backlog_max,"BACKLOG","MES CORRIENTE")))</f>
        <v/>
      </c>
      <c r="AA469" s="3">
        <f>IF($Y469="",FALSE,AND($Y469&gt;p_dias_backlog_min,$Y469&lt;=p_dias_backlog_max))</f>
        <v/>
      </c>
      <c r="AB469" s="6" t="n"/>
      <c r="AC469" s="3">
        <f>IF($AB469="","",IFERROR(INDEX('ASIGNACIONES'!$F$4:$F$339,MATCH($O469&amp;"|"&amp;$R469&amp;"|"&amp;$AB469,'ASIGNACIONES'!$I$4:$I$339,0)),""))</f>
        <v/>
      </c>
      <c r="AD469" s="13">
        <f>IF($AB469="","",SUMIFS('ORDENES'!$M$4:$M$1203,'ORDENES'!$AB$4:$AB$1203,$AB469,'ORDENES'!$O$4:$O$1203,$O469,'ORDENES'!$R$4:$R$1203,$R469))</f>
        <v/>
      </c>
      <c r="AE469" s="13">
        <f>IF($AD469="","",p_factor_productividad*IFERROR(INDEX('ASIGNACIONES'!$H$4:$H$339,MATCH($O469&amp;"|"&amp;$R469&amp;"|"&amp;$AB469,'ASIGNACIONES'!$I$4:$I$339,0)),0)-$AD469)</f>
        <v/>
      </c>
      <c r="AF469" s="10">
        <f>IF($A469="","",IFERROR(INDEX('2_IMPORTAR_EJECUCION'!$F$9:$F$1208,MATCH($AN469,'2_IMPORTAR_EJECUCION'!$J$9:$J$1208,0)),0))</f>
        <v/>
      </c>
      <c r="AG469" s="10">
        <f>IF($A469="","",MAX(0,IFERROR(INDEX('2_IMPORTAR_EJECUCION'!$H$9:$H$1208,MATCH($AN469,'2_IMPORTAR_EJECUCION'!$J$9:$J$1208,0)),0)-$AF469))</f>
        <v/>
      </c>
      <c r="AH469" s="10">
        <f>IF($A469="","",$AF469+$AG469)</f>
        <v/>
      </c>
      <c r="AI469" s="6" t="n"/>
      <c r="AJ469" s="6" t="n"/>
      <c r="AK469" s="6" t="n"/>
      <c r="AL469" s="3">
        <f>IF($AK469="","",HYPERLINK(p_ruta_base_checklists&amp;$AK469,"abrir"))</f>
        <v/>
      </c>
      <c r="AM469" s="6" t="n"/>
      <c r="AN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1" t="n"/>
      <c r="K470" s="3" t="n"/>
      <c r="L470" s="10" t="n"/>
      <c r="M470" s="3">
        <f>IF($A470="","",IFERROR(INDEX('AJUSTES'!$B$4:$B$303,MATCH($AN470,'AJUSTES'!$A$4:$A$303,0)),IF($K470="","",$K470)))</f>
        <v/>
      </c>
      <c r="N470" s="3">
        <f>IF($A470="","",IFERROR(INDEX('CAT_ESTADOS_ERP'!$B$4:$B$7,MATCH(IFERROR(INDEX('2_IMPORTAR_EJECUCION'!$C$9:$C$1208,MATCH($AN470,'2_IMPORTAR_EJECUCION'!$J$9:$J$1208,0)),""),'CAT_ESTADOS_ERP'!$A$4:$A$7,0)),"Pendiente"))</f>
        <v/>
      </c>
      <c r="O470" s="3">
        <f>IF($J470="","",YEAR($J470+4-WEEKDAY($J470,2))&amp;"-S"&amp;TEXT(_xlfn.ISOWEEKNUM($J470),"00"))</f>
        <v/>
      </c>
      <c r="P470" s="3">
        <f>IF($J470="","",YEAR($J470))</f>
        <v/>
      </c>
      <c r="Q470" s="3">
        <f>IF($J470="","",MONTH($J470))</f>
        <v/>
      </c>
      <c r="R470" s="3">
        <f>IF($J470="","",INDEX(lista_dias,WEEKDAY($J470,2)))</f>
        <v/>
      </c>
      <c r="S470" s="3">
        <f>IF($I470="","",IFERROR(INDEX('CAT_TIPOS_OT'!$C$4:$C$7,MATCH($I470,'CAT_TIPOS_OT'!$A$4:$A$7,0)),"sin_clasificar"))</f>
        <v/>
      </c>
      <c r="T470" s="3">
        <f>IF($F470="","",IFERROR(INDEX('CAT_CENTROS_COSTO'!$E$4:$E$9,MATCH($F470,'CAT_CENTROS_COSTO'!$A$4:$A$9,0)),"(sin catálogo)"))</f>
        <v/>
      </c>
      <c r="U470" s="3">
        <f>IF($F470="","",IFERROR(INDEX('CAT_CENTROS_COSTO'!$D$4:$D$9,MATCH($F470,'CAT_CENTROS_COSTO'!$A$4:$A$9,0)),"(sin catálogo)"))</f>
        <v/>
      </c>
      <c r="V470" s="3">
        <f>IF($F470="","",IFERROR(INDEX('CAT_CENTROS_COSTO'!$F$4:$F$9,MATCH($F470,'CAT_CENTROS_COSTO'!$A$4:$A$9,0)),"(sin catálogo)"))</f>
        <v/>
      </c>
      <c r="W470" s="3">
        <f>IF($G470="","",IFERROR(INDEX('CAT_PUESTOS'!$B$4:$B$8,MATCH($G470,'CAT_PUESTOS'!$A$4:$A$8,0)),"(sin catálogo)"))</f>
        <v/>
      </c>
      <c r="X470" s="3">
        <f>IF($H470="","",IFERROR(INDEX('CAT_ACTIVIDADES'!$B$4:$B$8,MATCH($H470,'CAT_ACTIVIDADES'!$A$4:$A$8,0)),"(sin catálogo)"))</f>
        <v/>
      </c>
      <c r="Y470" s="12">
        <f>IF($J470="","",TODAY()-$J470)</f>
        <v/>
      </c>
      <c r="Z470" s="3">
        <f>IF($Y470="","",IF($Y470&lt;0,"FUTURO",IF($Y470&gt;p_dias_backlog_max,"BACKLOG","MES CORRIENTE")))</f>
        <v/>
      </c>
      <c r="AA470" s="3">
        <f>IF($Y470="",FALSE,AND($Y470&gt;p_dias_backlog_min,$Y470&lt;=p_dias_backlog_max))</f>
        <v/>
      </c>
      <c r="AB470" s="6" t="n"/>
      <c r="AC470" s="3">
        <f>IF($AB470="","",IFERROR(INDEX('ASIGNACIONES'!$F$4:$F$339,MATCH($O470&amp;"|"&amp;$R470&amp;"|"&amp;$AB470,'ASIGNACIONES'!$I$4:$I$339,0)),""))</f>
        <v/>
      </c>
      <c r="AD470" s="13">
        <f>IF($AB470="","",SUMIFS('ORDENES'!$M$4:$M$1203,'ORDENES'!$AB$4:$AB$1203,$AB470,'ORDENES'!$O$4:$O$1203,$O470,'ORDENES'!$R$4:$R$1203,$R470))</f>
        <v/>
      </c>
      <c r="AE470" s="13">
        <f>IF($AD470="","",p_factor_productividad*IFERROR(INDEX('ASIGNACIONES'!$H$4:$H$339,MATCH($O470&amp;"|"&amp;$R470&amp;"|"&amp;$AB470,'ASIGNACIONES'!$I$4:$I$339,0)),0)-$AD470)</f>
        <v/>
      </c>
      <c r="AF470" s="10">
        <f>IF($A470="","",IFERROR(INDEX('2_IMPORTAR_EJECUCION'!$F$9:$F$1208,MATCH($AN470,'2_IMPORTAR_EJECUCION'!$J$9:$J$1208,0)),0))</f>
        <v/>
      </c>
      <c r="AG470" s="10">
        <f>IF($A470="","",MAX(0,IFERROR(INDEX('2_IMPORTAR_EJECUCION'!$H$9:$H$1208,MATCH($AN470,'2_IMPORTAR_EJECUCION'!$J$9:$J$1208,0)),0)-$AF470))</f>
        <v/>
      </c>
      <c r="AH470" s="10">
        <f>IF($A470="","",$AF470+$AG470)</f>
        <v/>
      </c>
      <c r="AI470" s="6" t="n"/>
      <c r="AJ470" s="6" t="n"/>
      <c r="AK470" s="6" t="n"/>
      <c r="AL470" s="3">
        <f>IF($AK470="","",HYPERLINK(p_ruta_base_checklists&amp;$AK470,"abrir"))</f>
        <v/>
      </c>
      <c r="AM470" s="6" t="n"/>
      <c r="AN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1" t="n"/>
      <c r="K471" s="3" t="n"/>
      <c r="L471" s="10" t="n"/>
      <c r="M471" s="3">
        <f>IF($A471="","",IFERROR(INDEX('AJUSTES'!$B$4:$B$303,MATCH($AN471,'AJUSTES'!$A$4:$A$303,0)),IF($K471="","",$K471)))</f>
        <v/>
      </c>
      <c r="N471" s="3">
        <f>IF($A471="","",IFERROR(INDEX('CAT_ESTADOS_ERP'!$B$4:$B$7,MATCH(IFERROR(INDEX('2_IMPORTAR_EJECUCION'!$C$9:$C$1208,MATCH($AN471,'2_IMPORTAR_EJECUCION'!$J$9:$J$1208,0)),""),'CAT_ESTADOS_ERP'!$A$4:$A$7,0)),"Pendiente"))</f>
        <v/>
      </c>
      <c r="O471" s="3">
        <f>IF($J471="","",YEAR($J471+4-WEEKDAY($J471,2))&amp;"-S"&amp;TEXT(_xlfn.ISOWEEKNUM($J471),"00"))</f>
        <v/>
      </c>
      <c r="P471" s="3">
        <f>IF($J471="","",YEAR($J471))</f>
        <v/>
      </c>
      <c r="Q471" s="3">
        <f>IF($J471="","",MONTH($J471))</f>
        <v/>
      </c>
      <c r="R471" s="3">
        <f>IF($J471="","",INDEX(lista_dias,WEEKDAY($J471,2)))</f>
        <v/>
      </c>
      <c r="S471" s="3">
        <f>IF($I471="","",IFERROR(INDEX('CAT_TIPOS_OT'!$C$4:$C$7,MATCH($I471,'CAT_TIPOS_OT'!$A$4:$A$7,0)),"sin_clasificar"))</f>
        <v/>
      </c>
      <c r="T471" s="3">
        <f>IF($F471="","",IFERROR(INDEX('CAT_CENTROS_COSTO'!$E$4:$E$9,MATCH($F471,'CAT_CENTROS_COSTO'!$A$4:$A$9,0)),"(sin catálogo)"))</f>
        <v/>
      </c>
      <c r="U471" s="3">
        <f>IF($F471="","",IFERROR(INDEX('CAT_CENTROS_COSTO'!$D$4:$D$9,MATCH($F471,'CAT_CENTROS_COSTO'!$A$4:$A$9,0)),"(sin catálogo)"))</f>
        <v/>
      </c>
      <c r="V471" s="3">
        <f>IF($F471="","",IFERROR(INDEX('CAT_CENTROS_COSTO'!$F$4:$F$9,MATCH($F471,'CAT_CENTROS_COSTO'!$A$4:$A$9,0)),"(sin catálogo)"))</f>
        <v/>
      </c>
      <c r="W471" s="3">
        <f>IF($G471="","",IFERROR(INDEX('CAT_PUESTOS'!$B$4:$B$8,MATCH($G471,'CAT_PUESTOS'!$A$4:$A$8,0)),"(sin catálogo)"))</f>
        <v/>
      </c>
      <c r="X471" s="3">
        <f>IF($H471="","",IFERROR(INDEX('CAT_ACTIVIDADES'!$B$4:$B$8,MATCH($H471,'CAT_ACTIVIDADES'!$A$4:$A$8,0)),"(sin catálogo)"))</f>
        <v/>
      </c>
      <c r="Y471" s="12">
        <f>IF($J471="","",TODAY()-$J471)</f>
        <v/>
      </c>
      <c r="Z471" s="3">
        <f>IF($Y471="","",IF($Y471&lt;0,"FUTURO",IF($Y471&gt;p_dias_backlog_max,"BACKLOG","MES CORRIENTE")))</f>
        <v/>
      </c>
      <c r="AA471" s="3">
        <f>IF($Y471="",FALSE,AND($Y471&gt;p_dias_backlog_min,$Y471&lt;=p_dias_backlog_max))</f>
        <v/>
      </c>
      <c r="AB471" s="6" t="n"/>
      <c r="AC471" s="3">
        <f>IF($AB471="","",IFERROR(INDEX('ASIGNACIONES'!$F$4:$F$339,MATCH($O471&amp;"|"&amp;$R471&amp;"|"&amp;$AB471,'ASIGNACIONES'!$I$4:$I$339,0)),""))</f>
        <v/>
      </c>
      <c r="AD471" s="13">
        <f>IF($AB471="","",SUMIFS('ORDENES'!$M$4:$M$1203,'ORDENES'!$AB$4:$AB$1203,$AB471,'ORDENES'!$O$4:$O$1203,$O471,'ORDENES'!$R$4:$R$1203,$R471))</f>
        <v/>
      </c>
      <c r="AE471" s="13">
        <f>IF($AD471="","",p_factor_productividad*IFERROR(INDEX('ASIGNACIONES'!$H$4:$H$339,MATCH($O471&amp;"|"&amp;$R471&amp;"|"&amp;$AB471,'ASIGNACIONES'!$I$4:$I$339,0)),0)-$AD471)</f>
        <v/>
      </c>
      <c r="AF471" s="10">
        <f>IF($A471="","",IFERROR(INDEX('2_IMPORTAR_EJECUCION'!$F$9:$F$1208,MATCH($AN471,'2_IMPORTAR_EJECUCION'!$J$9:$J$1208,0)),0))</f>
        <v/>
      </c>
      <c r="AG471" s="10">
        <f>IF($A471="","",MAX(0,IFERROR(INDEX('2_IMPORTAR_EJECUCION'!$H$9:$H$1208,MATCH($AN471,'2_IMPORTAR_EJECUCION'!$J$9:$J$1208,0)),0)-$AF471))</f>
        <v/>
      </c>
      <c r="AH471" s="10">
        <f>IF($A471="","",$AF471+$AG471)</f>
        <v/>
      </c>
      <c r="AI471" s="6" t="n"/>
      <c r="AJ471" s="6" t="n"/>
      <c r="AK471" s="6" t="n"/>
      <c r="AL471" s="3">
        <f>IF($AK471="","",HYPERLINK(p_ruta_base_checklists&amp;$AK471,"abrir"))</f>
        <v/>
      </c>
      <c r="AM471" s="6" t="n"/>
      <c r="AN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1" t="n"/>
      <c r="K472" s="3" t="n"/>
      <c r="L472" s="10" t="n"/>
      <c r="M472" s="3">
        <f>IF($A472="","",IFERROR(INDEX('AJUSTES'!$B$4:$B$303,MATCH($AN472,'AJUSTES'!$A$4:$A$303,0)),IF($K472="","",$K472)))</f>
        <v/>
      </c>
      <c r="N472" s="3">
        <f>IF($A472="","",IFERROR(INDEX('CAT_ESTADOS_ERP'!$B$4:$B$7,MATCH(IFERROR(INDEX('2_IMPORTAR_EJECUCION'!$C$9:$C$1208,MATCH($AN472,'2_IMPORTAR_EJECUCION'!$J$9:$J$1208,0)),""),'CAT_ESTADOS_ERP'!$A$4:$A$7,0)),"Pendiente"))</f>
        <v/>
      </c>
      <c r="O472" s="3">
        <f>IF($J472="","",YEAR($J472+4-WEEKDAY($J472,2))&amp;"-S"&amp;TEXT(_xlfn.ISOWEEKNUM($J472),"00"))</f>
        <v/>
      </c>
      <c r="P472" s="3">
        <f>IF($J472="","",YEAR($J472))</f>
        <v/>
      </c>
      <c r="Q472" s="3">
        <f>IF($J472="","",MONTH($J472))</f>
        <v/>
      </c>
      <c r="R472" s="3">
        <f>IF($J472="","",INDEX(lista_dias,WEEKDAY($J472,2)))</f>
        <v/>
      </c>
      <c r="S472" s="3">
        <f>IF($I472="","",IFERROR(INDEX('CAT_TIPOS_OT'!$C$4:$C$7,MATCH($I472,'CAT_TIPOS_OT'!$A$4:$A$7,0)),"sin_clasificar"))</f>
        <v/>
      </c>
      <c r="T472" s="3">
        <f>IF($F472="","",IFERROR(INDEX('CAT_CENTROS_COSTO'!$E$4:$E$9,MATCH($F472,'CAT_CENTROS_COSTO'!$A$4:$A$9,0)),"(sin catálogo)"))</f>
        <v/>
      </c>
      <c r="U472" s="3">
        <f>IF($F472="","",IFERROR(INDEX('CAT_CENTROS_COSTO'!$D$4:$D$9,MATCH($F472,'CAT_CENTROS_COSTO'!$A$4:$A$9,0)),"(sin catálogo)"))</f>
        <v/>
      </c>
      <c r="V472" s="3">
        <f>IF($F472="","",IFERROR(INDEX('CAT_CENTROS_COSTO'!$F$4:$F$9,MATCH($F472,'CAT_CENTROS_COSTO'!$A$4:$A$9,0)),"(sin catálogo)"))</f>
        <v/>
      </c>
      <c r="W472" s="3">
        <f>IF($G472="","",IFERROR(INDEX('CAT_PUESTOS'!$B$4:$B$8,MATCH($G472,'CAT_PUESTOS'!$A$4:$A$8,0)),"(sin catálogo)"))</f>
        <v/>
      </c>
      <c r="X472" s="3">
        <f>IF($H472="","",IFERROR(INDEX('CAT_ACTIVIDADES'!$B$4:$B$8,MATCH($H472,'CAT_ACTIVIDADES'!$A$4:$A$8,0)),"(sin catálogo)"))</f>
        <v/>
      </c>
      <c r="Y472" s="12">
        <f>IF($J472="","",TODAY()-$J472)</f>
        <v/>
      </c>
      <c r="Z472" s="3">
        <f>IF($Y472="","",IF($Y472&lt;0,"FUTURO",IF($Y472&gt;p_dias_backlog_max,"BACKLOG","MES CORRIENTE")))</f>
        <v/>
      </c>
      <c r="AA472" s="3">
        <f>IF($Y472="",FALSE,AND($Y472&gt;p_dias_backlog_min,$Y472&lt;=p_dias_backlog_max))</f>
        <v/>
      </c>
      <c r="AB472" s="6" t="n"/>
      <c r="AC472" s="3">
        <f>IF($AB472="","",IFERROR(INDEX('ASIGNACIONES'!$F$4:$F$339,MATCH($O472&amp;"|"&amp;$R472&amp;"|"&amp;$AB472,'ASIGNACIONES'!$I$4:$I$339,0)),""))</f>
        <v/>
      </c>
      <c r="AD472" s="13">
        <f>IF($AB472="","",SUMIFS('ORDENES'!$M$4:$M$1203,'ORDENES'!$AB$4:$AB$1203,$AB472,'ORDENES'!$O$4:$O$1203,$O472,'ORDENES'!$R$4:$R$1203,$R472))</f>
        <v/>
      </c>
      <c r="AE472" s="13">
        <f>IF($AD472="","",p_factor_productividad*IFERROR(INDEX('ASIGNACIONES'!$H$4:$H$339,MATCH($O472&amp;"|"&amp;$R472&amp;"|"&amp;$AB472,'ASIGNACIONES'!$I$4:$I$339,0)),0)-$AD472)</f>
        <v/>
      </c>
      <c r="AF472" s="10">
        <f>IF($A472="","",IFERROR(INDEX('2_IMPORTAR_EJECUCION'!$F$9:$F$1208,MATCH($AN472,'2_IMPORTAR_EJECUCION'!$J$9:$J$1208,0)),0))</f>
        <v/>
      </c>
      <c r="AG472" s="10">
        <f>IF($A472="","",MAX(0,IFERROR(INDEX('2_IMPORTAR_EJECUCION'!$H$9:$H$1208,MATCH($AN472,'2_IMPORTAR_EJECUCION'!$J$9:$J$1208,0)),0)-$AF472))</f>
        <v/>
      </c>
      <c r="AH472" s="10">
        <f>IF($A472="","",$AF472+$AG472)</f>
        <v/>
      </c>
      <c r="AI472" s="6" t="n"/>
      <c r="AJ472" s="6" t="n"/>
      <c r="AK472" s="6" t="n"/>
      <c r="AL472" s="3">
        <f>IF($AK472="","",HYPERLINK(p_ruta_base_checklists&amp;$AK472,"abrir"))</f>
        <v/>
      </c>
      <c r="AM472" s="6" t="n"/>
      <c r="AN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1" t="n"/>
      <c r="K473" s="3" t="n"/>
      <c r="L473" s="10" t="n"/>
      <c r="M473" s="3">
        <f>IF($A473="","",IFERROR(INDEX('AJUSTES'!$B$4:$B$303,MATCH($AN473,'AJUSTES'!$A$4:$A$303,0)),IF($K473="","",$K473)))</f>
        <v/>
      </c>
      <c r="N473" s="3">
        <f>IF($A473="","",IFERROR(INDEX('CAT_ESTADOS_ERP'!$B$4:$B$7,MATCH(IFERROR(INDEX('2_IMPORTAR_EJECUCION'!$C$9:$C$1208,MATCH($AN473,'2_IMPORTAR_EJECUCION'!$J$9:$J$1208,0)),""),'CAT_ESTADOS_ERP'!$A$4:$A$7,0)),"Pendiente"))</f>
        <v/>
      </c>
      <c r="O473" s="3">
        <f>IF($J473="","",YEAR($J473+4-WEEKDAY($J473,2))&amp;"-S"&amp;TEXT(_xlfn.ISOWEEKNUM($J473),"00"))</f>
        <v/>
      </c>
      <c r="P473" s="3">
        <f>IF($J473="","",YEAR($J473))</f>
        <v/>
      </c>
      <c r="Q473" s="3">
        <f>IF($J473="","",MONTH($J473))</f>
        <v/>
      </c>
      <c r="R473" s="3">
        <f>IF($J473="","",INDEX(lista_dias,WEEKDAY($J473,2)))</f>
        <v/>
      </c>
      <c r="S473" s="3">
        <f>IF($I473="","",IFERROR(INDEX('CAT_TIPOS_OT'!$C$4:$C$7,MATCH($I473,'CAT_TIPOS_OT'!$A$4:$A$7,0)),"sin_clasificar"))</f>
        <v/>
      </c>
      <c r="T473" s="3">
        <f>IF($F473="","",IFERROR(INDEX('CAT_CENTROS_COSTO'!$E$4:$E$9,MATCH($F473,'CAT_CENTROS_COSTO'!$A$4:$A$9,0)),"(sin catálogo)"))</f>
        <v/>
      </c>
      <c r="U473" s="3">
        <f>IF($F473="","",IFERROR(INDEX('CAT_CENTROS_COSTO'!$D$4:$D$9,MATCH($F473,'CAT_CENTROS_COSTO'!$A$4:$A$9,0)),"(sin catálogo)"))</f>
        <v/>
      </c>
      <c r="V473" s="3">
        <f>IF($F473="","",IFERROR(INDEX('CAT_CENTROS_COSTO'!$F$4:$F$9,MATCH($F473,'CAT_CENTROS_COSTO'!$A$4:$A$9,0)),"(sin catálogo)"))</f>
        <v/>
      </c>
      <c r="W473" s="3">
        <f>IF($G473="","",IFERROR(INDEX('CAT_PUESTOS'!$B$4:$B$8,MATCH($G473,'CAT_PUESTOS'!$A$4:$A$8,0)),"(sin catálogo)"))</f>
        <v/>
      </c>
      <c r="X473" s="3">
        <f>IF($H473="","",IFERROR(INDEX('CAT_ACTIVIDADES'!$B$4:$B$8,MATCH($H473,'CAT_ACTIVIDADES'!$A$4:$A$8,0)),"(sin catálogo)"))</f>
        <v/>
      </c>
      <c r="Y473" s="12">
        <f>IF($J473="","",TODAY()-$J473)</f>
        <v/>
      </c>
      <c r="Z473" s="3">
        <f>IF($Y473="","",IF($Y473&lt;0,"FUTURO",IF($Y473&gt;p_dias_backlog_max,"BACKLOG","MES CORRIENTE")))</f>
        <v/>
      </c>
      <c r="AA473" s="3">
        <f>IF($Y473="",FALSE,AND($Y473&gt;p_dias_backlog_min,$Y473&lt;=p_dias_backlog_max))</f>
        <v/>
      </c>
      <c r="AB473" s="6" t="n"/>
      <c r="AC473" s="3">
        <f>IF($AB473="","",IFERROR(INDEX('ASIGNACIONES'!$F$4:$F$339,MATCH($O473&amp;"|"&amp;$R473&amp;"|"&amp;$AB473,'ASIGNACIONES'!$I$4:$I$339,0)),""))</f>
        <v/>
      </c>
      <c r="AD473" s="13">
        <f>IF($AB473="","",SUMIFS('ORDENES'!$M$4:$M$1203,'ORDENES'!$AB$4:$AB$1203,$AB473,'ORDENES'!$O$4:$O$1203,$O473,'ORDENES'!$R$4:$R$1203,$R473))</f>
        <v/>
      </c>
      <c r="AE473" s="13">
        <f>IF($AD473="","",p_factor_productividad*IFERROR(INDEX('ASIGNACIONES'!$H$4:$H$339,MATCH($O473&amp;"|"&amp;$R473&amp;"|"&amp;$AB473,'ASIGNACIONES'!$I$4:$I$339,0)),0)-$AD473)</f>
        <v/>
      </c>
      <c r="AF473" s="10">
        <f>IF($A473="","",IFERROR(INDEX('2_IMPORTAR_EJECUCION'!$F$9:$F$1208,MATCH($AN473,'2_IMPORTAR_EJECUCION'!$J$9:$J$1208,0)),0))</f>
        <v/>
      </c>
      <c r="AG473" s="10">
        <f>IF($A473="","",MAX(0,IFERROR(INDEX('2_IMPORTAR_EJECUCION'!$H$9:$H$1208,MATCH($AN473,'2_IMPORTAR_EJECUCION'!$J$9:$J$1208,0)),0)-$AF473))</f>
        <v/>
      </c>
      <c r="AH473" s="10">
        <f>IF($A473="","",$AF473+$AG473)</f>
        <v/>
      </c>
      <c r="AI473" s="6" t="n"/>
      <c r="AJ473" s="6" t="n"/>
      <c r="AK473" s="6" t="n"/>
      <c r="AL473" s="3">
        <f>IF($AK473="","",HYPERLINK(p_ruta_base_checklists&amp;$AK473,"abrir"))</f>
        <v/>
      </c>
      <c r="AM473" s="6" t="n"/>
      <c r="AN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1" t="n"/>
      <c r="K474" s="3" t="n"/>
      <c r="L474" s="10" t="n"/>
      <c r="M474" s="3">
        <f>IF($A474="","",IFERROR(INDEX('AJUSTES'!$B$4:$B$303,MATCH($AN474,'AJUSTES'!$A$4:$A$303,0)),IF($K474="","",$K474)))</f>
        <v/>
      </c>
      <c r="N474" s="3">
        <f>IF($A474="","",IFERROR(INDEX('CAT_ESTADOS_ERP'!$B$4:$B$7,MATCH(IFERROR(INDEX('2_IMPORTAR_EJECUCION'!$C$9:$C$1208,MATCH($AN474,'2_IMPORTAR_EJECUCION'!$J$9:$J$1208,0)),""),'CAT_ESTADOS_ERP'!$A$4:$A$7,0)),"Pendiente"))</f>
        <v/>
      </c>
      <c r="O474" s="3">
        <f>IF($J474="","",YEAR($J474+4-WEEKDAY($J474,2))&amp;"-S"&amp;TEXT(_xlfn.ISOWEEKNUM($J474),"00"))</f>
        <v/>
      </c>
      <c r="P474" s="3">
        <f>IF($J474="","",YEAR($J474))</f>
        <v/>
      </c>
      <c r="Q474" s="3">
        <f>IF($J474="","",MONTH($J474))</f>
        <v/>
      </c>
      <c r="R474" s="3">
        <f>IF($J474="","",INDEX(lista_dias,WEEKDAY($J474,2)))</f>
        <v/>
      </c>
      <c r="S474" s="3">
        <f>IF($I474="","",IFERROR(INDEX('CAT_TIPOS_OT'!$C$4:$C$7,MATCH($I474,'CAT_TIPOS_OT'!$A$4:$A$7,0)),"sin_clasificar"))</f>
        <v/>
      </c>
      <c r="T474" s="3">
        <f>IF($F474="","",IFERROR(INDEX('CAT_CENTROS_COSTO'!$E$4:$E$9,MATCH($F474,'CAT_CENTROS_COSTO'!$A$4:$A$9,0)),"(sin catálogo)"))</f>
        <v/>
      </c>
      <c r="U474" s="3">
        <f>IF($F474="","",IFERROR(INDEX('CAT_CENTROS_COSTO'!$D$4:$D$9,MATCH($F474,'CAT_CENTROS_COSTO'!$A$4:$A$9,0)),"(sin catálogo)"))</f>
        <v/>
      </c>
      <c r="V474" s="3">
        <f>IF($F474="","",IFERROR(INDEX('CAT_CENTROS_COSTO'!$F$4:$F$9,MATCH($F474,'CAT_CENTROS_COSTO'!$A$4:$A$9,0)),"(sin catálogo)"))</f>
        <v/>
      </c>
      <c r="W474" s="3">
        <f>IF($G474="","",IFERROR(INDEX('CAT_PUESTOS'!$B$4:$B$8,MATCH($G474,'CAT_PUESTOS'!$A$4:$A$8,0)),"(sin catálogo)"))</f>
        <v/>
      </c>
      <c r="X474" s="3">
        <f>IF($H474="","",IFERROR(INDEX('CAT_ACTIVIDADES'!$B$4:$B$8,MATCH($H474,'CAT_ACTIVIDADES'!$A$4:$A$8,0)),"(sin catálogo)"))</f>
        <v/>
      </c>
      <c r="Y474" s="12">
        <f>IF($J474="","",TODAY()-$J474)</f>
        <v/>
      </c>
      <c r="Z474" s="3">
        <f>IF($Y474="","",IF($Y474&lt;0,"FUTURO",IF($Y474&gt;p_dias_backlog_max,"BACKLOG","MES CORRIENTE")))</f>
        <v/>
      </c>
      <c r="AA474" s="3">
        <f>IF($Y474="",FALSE,AND($Y474&gt;p_dias_backlog_min,$Y474&lt;=p_dias_backlog_max))</f>
        <v/>
      </c>
      <c r="AB474" s="6" t="n"/>
      <c r="AC474" s="3">
        <f>IF($AB474="","",IFERROR(INDEX('ASIGNACIONES'!$F$4:$F$339,MATCH($O474&amp;"|"&amp;$R474&amp;"|"&amp;$AB474,'ASIGNACIONES'!$I$4:$I$339,0)),""))</f>
        <v/>
      </c>
      <c r="AD474" s="13">
        <f>IF($AB474="","",SUMIFS('ORDENES'!$M$4:$M$1203,'ORDENES'!$AB$4:$AB$1203,$AB474,'ORDENES'!$O$4:$O$1203,$O474,'ORDENES'!$R$4:$R$1203,$R474))</f>
        <v/>
      </c>
      <c r="AE474" s="13">
        <f>IF($AD474="","",p_factor_productividad*IFERROR(INDEX('ASIGNACIONES'!$H$4:$H$339,MATCH($O474&amp;"|"&amp;$R474&amp;"|"&amp;$AB474,'ASIGNACIONES'!$I$4:$I$339,0)),0)-$AD474)</f>
        <v/>
      </c>
      <c r="AF474" s="10">
        <f>IF($A474="","",IFERROR(INDEX('2_IMPORTAR_EJECUCION'!$F$9:$F$1208,MATCH($AN474,'2_IMPORTAR_EJECUCION'!$J$9:$J$1208,0)),0))</f>
        <v/>
      </c>
      <c r="AG474" s="10">
        <f>IF($A474="","",MAX(0,IFERROR(INDEX('2_IMPORTAR_EJECUCION'!$H$9:$H$1208,MATCH($AN474,'2_IMPORTAR_EJECUCION'!$J$9:$J$1208,0)),0)-$AF474))</f>
        <v/>
      </c>
      <c r="AH474" s="10">
        <f>IF($A474="","",$AF474+$AG474)</f>
        <v/>
      </c>
      <c r="AI474" s="6" t="n"/>
      <c r="AJ474" s="6" t="n"/>
      <c r="AK474" s="6" t="n"/>
      <c r="AL474" s="3">
        <f>IF($AK474="","",HYPERLINK(p_ruta_base_checklists&amp;$AK474,"abrir"))</f>
        <v/>
      </c>
      <c r="AM474" s="6" t="n"/>
      <c r="AN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1" t="n"/>
      <c r="K475" s="3" t="n"/>
      <c r="L475" s="10" t="n"/>
      <c r="M475" s="3">
        <f>IF($A475="","",IFERROR(INDEX('AJUSTES'!$B$4:$B$303,MATCH($AN475,'AJUSTES'!$A$4:$A$303,0)),IF($K475="","",$K475)))</f>
        <v/>
      </c>
      <c r="N475" s="3">
        <f>IF($A475="","",IFERROR(INDEX('CAT_ESTADOS_ERP'!$B$4:$B$7,MATCH(IFERROR(INDEX('2_IMPORTAR_EJECUCION'!$C$9:$C$1208,MATCH($AN475,'2_IMPORTAR_EJECUCION'!$J$9:$J$1208,0)),""),'CAT_ESTADOS_ERP'!$A$4:$A$7,0)),"Pendiente"))</f>
        <v/>
      </c>
      <c r="O475" s="3">
        <f>IF($J475="","",YEAR($J475+4-WEEKDAY($J475,2))&amp;"-S"&amp;TEXT(_xlfn.ISOWEEKNUM($J475),"00"))</f>
        <v/>
      </c>
      <c r="P475" s="3">
        <f>IF($J475="","",YEAR($J475))</f>
        <v/>
      </c>
      <c r="Q475" s="3">
        <f>IF($J475="","",MONTH($J475))</f>
        <v/>
      </c>
      <c r="R475" s="3">
        <f>IF($J475="","",INDEX(lista_dias,WEEKDAY($J475,2)))</f>
        <v/>
      </c>
      <c r="S475" s="3">
        <f>IF($I475="","",IFERROR(INDEX('CAT_TIPOS_OT'!$C$4:$C$7,MATCH($I475,'CAT_TIPOS_OT'!$A$4:$A$7,0)),"sin_clasificar"))</f>
        <v/>
      </c>
      <c r="T475" s="3">
        <f>IF($F475="","",IFERROR(INDEX('CAT_CENTROS_COSTO'!$E$4:$E$9,MATCH($F475,'CAT_CENTROS_COSTO'!$A$4:$A$9,0)),"(sin catálogo)"))</f>
        <v/>
      </c>
      <c r="U475" s="3">
        <f>IF($F475="","",IFERROR(INDEX('CAT_CENTROS_COSTO'!$D$4:$D$9,MATCH($F475,'CAT_CENTROS_COSTO'!$A$4:$A$9,0)),"(sin catálogo)"))</f>
        <v/>
      </c>
      <c r="V475" s="3">
        <f>IF($F475="","",IFERROR(INDEX('CAT_CENTROS_COSTO'!$F$4:$F$9,MATCH($F475,'CAT_CENTROS_COSTO'!$A$4:$A$9,0)),"(sin catálogo)"))</f>
        <v/>
      </c>
      <c r="W475" s="3">
        <f>IF($G475="","",IFERROR(INDEX('CAT_PUESTOS'!$B$4:$B$8,MATCH($G475,'CAT_PUESTOS'!$A$4:$A$8,0)),"(sin catálogo)"))</f>
        <v/>
      </c>
      <c r="X475" s="3">
        <f>IF($H475="","",IFERROR(INDEX('CAT_ACTIVIDADES'!$B$4:$B$8,MATCH($H475,'CAT_ACTIVIDADES'!$A$4:$A$8,0)),"(sin catálogo)"))</f>
        <v/>
      </c>
      <c r="Y475" s="12">
        <f>IF($J475="","",TODAY()-$J475)</f>
        <v/>
      </c>
      <c r="Z475" s="3">
        <f>IF($Y475="","",IF($Y475&lt;0,"FUTURO",IF($Y475&gt;p_dias_backlog_max,"BACKLOG","MES CORRIENTE")))</f>
        <v/>
      </c>
      <c r="AA475" s="3">
        <f>IF($Y475="",FALSE,AND($Y475&gt;p_dias_backlog_min,$Y475&lt;=p_dias_backlog_max))</f>
        <v/>
      </c>
      <c r="AB475" s="6" t="n"/>
      <c r="AC475" s="3">
        <f>IF($AB475="","",IFERROR(INDEX('ASIGNACIONES'!$F$4:$F$339,MATCH($O475&amp;"|"&amp;$R475&amp;"|"&amp;$AB475,'ASIGNACIONES'!$I$4:$I$339,0)),""))</f>
        <v/>
      </c>
      <c r="AD475" s="13">
        <f>IF($AB475="","",SUMIFS('ORDENES'!$M$4:$M$1203,'ORDENES'!$AB$4:$AB$1203,$AB475,'ORDENES'!$O$4:$O$1203,$O475,'ORDENES'!$R$4:$R$1203,$R475))</f>
        <v/>
      </c>
      <c r="AE475" s="13">
        <f>IF($AD475="","",p_factor_productividad*IFERROR(INDEX('ASIGNACIONES'!$H$4:$H$339,MATCH($O475&amp;"|"&amp;$R475&amp;"|"&amp;$AB475,'ASIGNACIONES'!$I$4:$I$339,0)),0)-$AD475)</f>
        <v/>
      </c>
      <c r="AF475" s="10">
        <f>IF($A475="","",IFERROR(INDEX('2_IMPORTAR_EJECUCION'!$F$9:$F$1208,MATCH($AN475,'2_IMPORTAR_EJECUCION'!$J$9:$J$1208,0)),0))</f>
        <v/>
      </c>
      <c r="AG475" s="10">
        <f>IF($A475="","",MAX(0,IFERROR(INDEX('2_IMPORTAR_EJECUCION'!$H$9:$H$1208,MATCH($AN475,'2_IMPORTAR_EJECUCION'!$J$9:$J$1208,0)),0)-$AF475))</f>
        <v/>
      </c>
      <c r="AH475" s="10">
        <f>IF($A475="","",$AF475+$AG475)</f>
        <v/>
      </c>
      <c r="AI475" s="6" t="n"/>
      <c r="AJ475" s="6" t="n"/>
      <c r="AK475" s="6" t="n"/>
      <c r="AL475" s="3">
        <f>IF($AK475="","",HYPERLINK(p_ruta_base_checklists&amp;$AK475,"abrir"))</f>
        <v/>
      </c>
      <c r="AM475" s="6" t="n"/>
      <c r="AN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1" t="n"/>
      <c r="K476" s="3" t="n"/>
      <c r="L476" s="10" t="n"/>
      <c r="M476" s="3">
        <f>IF($A476="","",IFERROR(INDEX('AJUSTES'!$B$4:$B$303,MATCH($AN476,'AJUSTES'!$A$4:$A$303,0)),IF($K476="","",$K476)))</f>
        <v/>
      </c>
      <c r="N476" s="3">
        <f>IF($A476="","",IFERROR(INDEX('CAT_ESTADOS_ERP'!$B$4:$B$7,MATCH(IFERROR(INDEX('2_IMPORTAR_EJECUCION'!$C$9:$C$1208,MATCH($AN476,'2_IMPORTAR_EJECUCION'!$J$9:$J$1208,0)),""),'CAT_ESTADOS_ERP'!$A$4:$A$7,0)),"Pendiente"))</f>
        <v/>
      </c>
      <c r="O476" s="3">
        <f>IF($J476="","",YEAR($J476+4-WEEKDAY($J476,2))&amp;"-S"&amp;TEXT(_xlfn.ISOWEEKNUM($J476),"00"))</f>
        <v/>
      </c>
      <c r="P476" s="3">
        <f>IF($J476="","",YEAR($J476))</f>
        <v/>
      </c>
      <c r="Q476" s="3">
        <f>IF($J476="","",MONTH($J476))</f>
        <v/>
      </c>
      <c r="R476" s="3">
        <f>IF($J476="","",INDEX(lista_dias,WEEKDAY($J476,2)))</f>
        <v/>
      </c>
      <c r="S476" s="3">
        <f>IF($I476="","",IFERROR(INDEX('CAT_TIPOS_OT'!$C$4:$C$7,MATCH($I476,'CAT_TIPOS_OT'!$A$4:$A$7,0)),"sin_clasificar"))</f>
        <v/>
      </c>
      <c r="T476" s="3">
        <f>IF($F476="","",IFERROR(INDEX('CAT_CENTROS_COSTO'!$E$4:$E$9,MATCH($F476,'CAT_CENTROS_COSTO'!$A$4:$A$9,0)),"(sin catálogo)"))</f>
        <v/>
      </c>
      <c r="U476" s="3">
        <f>IF($F476="","",IFERROR(INDEX('CAT_CENTROS_COSTO'!$D$4:$D$9,MATCH($F476,'CAT_CENTROS_COSTO'!$A$4:$A$9,0)),"(sin catálogo)"))</f>
        <v/>
      </c>
      <c r="V476" s="3">
        <f>IF($F476="","",IFERROR(INDEX('CAT_CENTROS_COSTO'!$F$4:$F$9,MATCH($F476,'CAT_CENTROS_COSTO'!$A$4:$A$9,0)),"(sin catálogo)"))</f>
        <v/>
      </c>
      <c r="W476" s="3">
        <f>IF($G476="","",IFERROR(INDEX('CAT_PUESTOS'!$B$4:$B$8,MATCH($G476,'CAT_PUESTOS'!$A$4:$A$8,0)),"(sin catálogo)"))</f>
        <v/>
      </c>
      <c r="X476" s="3">
        <f>IF($H476="","",IFERROR(INDEX('CAT_ACTIVIDADES'!$B$4:$B$8,MATCH($H476,'CAT_ACTIVIDADES'!$A$4:$A$8,0)),"(sin catálogo)"))</f>
        <v/>
      </c>
      <c r="Y476" s="12">
        <f>IF($J476="","",TODAY()-$J476)</f>
        <v/>
      </c>
      <c r="Z476" s="3">
        <f>IF($Y476="","",IF($Y476&lt;0,"FUTURO",IF($Y476&gt;p_dias_backlog_max,"BACKLOG","MES CORRIENTE")))</f>
        <v/>
      </c>
      <c r="AA476" s="3">
        <f>IF($Y476="",FALSE,AND($Y476&gt;p_dias_backlog_min,$Y476&lt;=p_dias_backlog_max))</f>
        <v/>
      </c>
      <c r="AB476" s="6" t="n"/>
      <c r="AC476" s="3">
        <f>IF($AB476="","",IFERROR(INDEX('ASIGNACIONES'!$F$4:$F$339,MATCH($O476&amp;"|"&amp;$R476&amp;"|"&amp;$AB476,'ASIGNACIONES'!$I$4:$I$339,0)),""))</f>
        <v/>
      </c>
      <c r="AD476" s="13">
        <f>IF($AB476="","",SUMIFS('ORDENES'!$M$4:$M$1203,'ORDENES'!$AB$4:$AB$1203,$AB476,'ORDENES'!$O$4:$O$1203,$O476,'ORDENES'!$R$4:$R$1203,$R476))</f>
        <v/>
      </c>
      <c r="AE476" s="13">
        <f>IF($AD476="","",p_factor_productividad*IFERROR(INDEX('ASIGNACIONES'!$H$4:$H$339,MATCH($O476&amp;"|"&amp;$R476&amp;"|"&amp;$AB476,'ASIGNACIONES'!$I$4:$I$339,0)),0)-$AD476)</f>
        <v/>
      </c>
      <c r="AF476" s="10">
        <f>IF($A476="","",IFERROR(INDEX('2_IMPORTAR_EJECUCION'!$F$9:$F$1208,MATCH($AN476,'2_IMPORTAR_EJECUCION'!$J$9:$J$1208,0)),0))</f>
        <v/>
      </c>
      <c r="AG476" s="10">
        <f>IF($A476="","",MAX(0,IFERROR(INDEX('2_IMPORTAR_EJECUCION'!$H$9:$H$1208,MATCH($AN476,'2_IMPORTAR_EJECUCION'!$J$9:$J$1208,0)),0)-$AF476))</f>
        <v/>
      </c>
      <c r="AH476" s="10">
        <f>IF($A476="","",$AF476+$AG476)</f>
        <v/>
      </c>
      <c r="AI476" s="6" t="n"/>
      <c r="AJ476" s="6" t="n"/>
      <c r="AK476" s="6" t="n"/>
      <c r="AL476" s="3">
        <f>IF($AK476="","",HYPERLINK(p_ruta_base_checklists&amp;$AK476,"abrir"))</f>
        <v/>
      </c>
      <c r="AM476" s="6" t="n"/>
      <c r="AN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1" t="n"/>
      <c r="K477" s="3" t="n"/>
      <c r="L477" s="10" t="n"/>
      <c r="M477" s="3">
        <f>IF($A477="","",IFERROR(INDEX('AJUSTES'!$B$4:$B$303,MATCH($AN477,'AJUSTES'!$A$4:$A$303,0)),IF($K477="","",$K477)))</f>
        <v/>
      </c>
      <c r="N477" s="3">
        <f>IF($A477="","",IFERROR(INDEX('CAT_ESTADOS_ERP'!$B$4:$B$7,MATCH(IFERROR(INDEX('2_IMPORTAR_EJECUCION'!$C$9:$C$1208,MATCH($AN477,'2_IMPORTAR_EJECUCION'!$J$9:$J$1208,0)),""),'CAT_ESTADOS_ERP'!$A$4:$A$7,0)),"Pendiente"))</f>
        <v/>
      </c>
      <c r="O477" s="3">
        <f>IF($J477="","",YEAR($J477+4-WEEKDAY($J477,2))&amp;"-S"&amp;TEXT(_xlfn.ISOWEEKNUM($J477),"00"))</f>
        <v/>
      </c>
      <c r="P477" s="3">
        <f>IF($J477="","",YEAR($J477))</f>
        <v/>
      </c>
      <c r="Q477" s="3">
        <f>IF($J477="","",MONTH($J477))</f>
        <v/>
      </c>
      <c r="R477" s="3">
        <f>IF($J477="","",INDEX(lista_dias,WEEKDAY($J477,2)))</f>
        <v/>
      </c>
      <c r="S477" s="3">
        <f>IF($I477="","",IFERROR(INDEX('CAT_TIPOS_OT'!$C$4:$C$7,MATCH($I477,'CAT_TIPOS_OT'!$A$4:$A$7,0)),"sin_clasificar"))</f>
        <v/>
      </c>
      <c r="T477" s="3">
        <f>IF($F477="","",IFERROR(INDEX('CAT_CENTROS_COSTO'!$E$4:$E$9,MATCH($F477,'CAT_CENTROS_COSTO'!$A$4:$A$9,0)),"(sin catálogo)"))</f>
        <v/>
      </c>
      <c r="U477" s="3">
        <f>IF($F477="","",IFERROR(INDEX('CAT_CENTROS_COSTO'!$D$4:$D$9,MATCH($F477,'CAT_CENTROS_COSTO'!$A$4:$A$9,0)),"(sin catálogo)"))</f>
        <v/>
      </c>
      <c r="V477" s="3">
        <f>IF($F477="","",IFERROR(INDEX('CAT_CENTROS_COSTO'!$F$4:$F$9,MATCH($F477,'CAT_CENTROS_COSTO'!$A$4:$A$9,0)),"(sin catálogo)"))</f>
        <v/>
      </c>
      <c r="W477" s="3">
        <f>IF($G477="","",IFERROR(INDEX('CAT_PUESTOS'!$B$4:$B$8,MATCH($G477,'CAT_PUESTOS'!$A$4:$A$8,0)),"(sin catálogo)"))</f>
        <v/>
      </c>
      <c r="X477" s="3">
        <f>IF($H477="","",IFERROR(INDEX('CAT_ACTIVIDADES'!$B$4:$B$8,MATCH($H477,'CAT_ACTIVIDADES'!$A$4:$A$8,0)),"(sin catálogo)"))</f>
        <v/>
      </c>
      <c r="Y477" s="12">
        <f>IF($J477="","",TODAY()-$J477)</f>
        <v/>
      </c>
      <c r="Z477" s="3">
        <f>IF($Y477="","",IF($Y477&lt;0,"FUTURO",IF($Y477&gt;p_dias_backlog_max,"BACKLOG","MES CORRIENTE")))</f>
        <v/>
      </c>
      <c r="AA477" s="3">
        <f>IF($Y477="",FALSE,AND($Y477&gt;p_dias_backlog_min,$Y477&lt;=p_dias_backlog_max))</f>
        <v/>
      </c>
      <c r="AB477" s="6" t="n"/>
      <c r="AC477" s="3">
        <f>IF($AB477="","",IFERROR(INDEX('ASIGNACIONES'!$F$4:$F$339,MATCH($O477&amp;"|"&amp;$R477&amp;"|"&amp;$AB477,'ASIGNACIONES'!$I$4:$I$339,0)),""))</f>
        <v/>
      </c>
      <c r="AD477" s="13">
        <f>IF($AB477="","",SUMIFS('ORDENES'!$M$4:$M$1203,'ORDENES'!$AB$4:$AB$1203,$AB477,'ORDENES'!$O$4:$O$1203,$O477,'ORDENES'!$R$4:$R$1203,$R477))</f>
        <v/>
      </c>
      <c r="AE477" s="13">
        <f>IF($AD477="","",p_factor_productividad*IFERROR(INDEX('ASIGNACIONES'!$H$4:$H$339,MATCH($O477&amp;"|"&amp;$R477&amp;"|"&amp;$AB477,'ASIGNACIONES'!$I$4:$I$339,0)),0)-$AD477)</f>
        <v/>
      </c>
      <c r="AF477" s="10">
        <f>IF($A477="","",IFERROR(INDEX('2_IMPORTAR_EJECUCION'!$F$9:$F$1208,MATCH($AN477,'2_IMPORTAR_EJECUCION'!$J$9:$J$1208,0)),0))</f>
        <v/>
      </c>
      <c r="AG477" s="10">
        <f>IF($A477="","",MAX(0,IFERROR(INDEX('2_IMPORTAR_EJECUCION'!$H$9:$H$1208,MATCH($AN477,'2_IMPORTAR_EJECUCION'!$J$9:$J$1208,0)),0)-$AF477))</f>
        <v/>
      </c>
      <c r="AH477" s="10">
        <f>IF($A477="","",$AF477+$AG477)</f>
        <v/>
      </c>
      <c r="AI477" s="6" t="n"/>
      <c r="AJ477" s="6" t="n"/>
      <c r="AK477" s="6" t="n"/>
      <c r="AL477" s="3">
        <f>IF($AK477="","",HYPERLINK(p_ruta_base_checklists&amp;$AK477,"abrir"))</f>
        <v/>
      </c>
      <c r="AM477" s="6" t="n"/>
      <c r="AN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1" t="n"/>
      <c r="K478" s="3" t="n"/>
      <c r="L478" s="10" t="n"/>
      <c r="M478" s="3">
        <f>IF($A478="","",IFERROR(INDEX('AJUSTES'!$B$4:$B$303,MATCH($AN478,'AJUSTES'!$A$4:$A$303,0)),IF($K478="","",$K478)))</f>
        <v/>
      </c>
      <c r="N478" s="3">
        <f>IF($A478="","",IFERROR(INDEX('CAT_ESTADOS_ERP'!$B$4:$B$7,MATCH(IFERROR(INDEX('2_IMPORTAR_EJECUCION'!$C$9:$C$1208,MATCH($AN478,'2_IMPORTAR_EJECUCION'!$J$9:$J$1208,0)),""),'CAT_ESTADOS_ERP'!$A$4:$A$7,0)),"Pendiente"))</f>
        <v/>
      </c>
      <c r="O478" s="3">
        <f>IF($J478="","",YEAR($J478+4-WEEKDAY($J478,2))&amp;"-S"&amp;TEXT(_xlfn.ISOWEEKNUM($J478),"00"))</f>
        <v/>
      </c>
      <c r="P478" s="3">
        <f>IF($J478="","",YEAR($J478))</f>
        <v/>
      </c>
      <c r="Q478" s="3">
        <f>IF($J478="","",MONTH($J478))</f>
        <v/>
      </c>
      <c r="R478" s="3">
        <f>IF($J478="","",INDEX(lista_dias,WEEKDAY($J478,2)))</f>
        <v/>
      </c>
      <c r="S478" s="3">
        <f>IF($I478="","",IFERROR(INDEX('CAT_TIPOS_OT'!$C$4:$C$7,MATCH($I478,'CAT_TIPOS_OT'!$A$4:$A$7,0)),"sin_clasificar"))</f>
        <v/>
      </c>
      <c r="T478" s="3">
        <f>IF($F478="","",IFERROR(INDEX('CAT_CENTROS_COSTO'!$E$4:$E$9,MATCH($F478,'CAT_CENTROS_COSTO'!$A$4:$A$9,0)),"(sin catálogo)"))</f>
        <v/>
      </c>
      <c r="U478" s="3">
        <f>IF($F478="","",IFERROR(INDEX('CAT_CENTROS_COSTO'!$D$4:$D$9,MATCH($F478,'CAT_CENTROS_COSTO'!$A$4:$A$9,0)),"(sin catálogo)"))</f>
        <v/>
      </c>
      <c r="V478" s="3">
        <f>IF($F478="","",IFERROR(INDEX('CAT_CENTROS_COSTO'!$F$4:$F$9,MATCH($F478,'CAT_CENTROS_COSTO'!$A$4:$A$9,0)),"(sin catálogo)"))</f>
        <v/>
      </c>
      <c r="W478" s="3">
        <f>IF($G478="","",IFERROR(INDEX('CAT_PUESTOS'!$B$4:$B$8,MATCH($G478,'CAT_PUESTOS'!$A$4:$A$8,0)),"(sin catálogo)"))</f>
        <v/>
      </c>
      <c r="X478" s="3">
        <f>IF($H478="","",IFERROR(INDEX('CAT_ACTIVIDADES'!$B$4:$B$8,MATCH($H478,'CAT_ACTIVIDADES'!$A$4:$A$8,0)),"(sin catálogo)"))</f>
        <v/>
      </c>
      <c r="Y478" s="12">
        <f>IF($J478="","",TODAY()-$J478)</f>
        <v/>
      </c>
      <c r="Z478" s="3">
        <f>IF($Y478="","",IF($Y478&lt;0,"FUTURO",IF($Y478&gt;p_dias_backlog_max,"BACKLOG","MES CORRIENTE")))</f>
        <v/>
      </c>
      <c r="AA478" s="3">
        <f>IF($Y478="",FALSE,AND($Y478&gt;p_dias_backlog_min,$Y478&lt;=p_dias_backlog_max))</f>
        <v/>
      </c>
      <c r="AB478" s="6" t="n"/>
      <c r="AC478" s="3">
        <f>IF($AB478="","",IFERROR(INDEX('ASIGNACIONES'!$F$4:$F$339,MATCH($O478&amp;"|"&amp;$R478&amp;"|"&amp;$AB478,'ASIGNACIONES'!$I$4:$I$339,0)),""))</f>
        <v/>
      </c>
      <c r="AD478" s="13">
        <f>IF($AB478="","",SUMIFS('ORDENES'!$M$4:$M$1203,'ORDENES'!$AB$4:$AB$1203,$AB478,'ORDENES'!$O$4:$O$1203,$O478,'ORDENES'!$R$4:$R$1203,$R478))</f>
        <v/>
      </c>
      <c r="AE478" s="13">
        <f>IF($AD478="","",p_factor_productividad*IFERROR(INDEX('ASIGNACIONES'!$H$4:$H$339,MATCH($O478&amp;"|"&amp;$R478&amp;"|"&amp;$AB478,'ASIGNACIONES'!$I$4:$I$339,0)),0)-$AD478)</f>
        <v/>
      </c>
      <c r="AF478" s="10">
        <f>IF($A478="","",IFERROR(INDEX('2_IMPORTAR_EJECUCION'!$F$9:$F$1208,MATCH($AN478,'2_IMPORTAR_EJECUCION'!$J$9:$J$1208,0)),0))</f>
        <v/>
      </c>
      <c r="AG478" s="10">
        <f>IF($A478="","",MAX(0,IFERROR(INDEX('2_IMPORTAR_EJECUCION'!$H$9:$H$1208,MATCH($AN478,'2_IMPORTAR_EJECUCION'!$J$9:$J$1208,0)),0)-$AF478))</f>
        <v/>
      </c>
      <c r="AH478" s="10">
        <f>IF($A478="","",$AF478+$AG478)</f>
        <v/>
      </c>
      <c r="AI478" s="6" t="n"/>
      <c r="AJ478" s="6" t="n"/>
      <c r="AK478" s="6" t="n"/>
      <c r="AL478" s="3">
        <f>IF($AK478="","",HYPERLINK(p_ruta_base_checklists&amp;$AK478,"abrir"))</f>
        <v/>
      </c>
      <c r="AM478" s="6" t="n"/>
      <c r="AN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1" t="n"/>
      <c r="K479" s="3" t="n"/>
      <c r="L479" s="10" t="n"/>
      <c r="M479" s="3">
        <f>IF($A479="","",IFERROR(INDEX('AJUSTES'!$B$4:$B$303,MATCH($AN479,'AJUSTES'!$A$4:$A$303,0)),IF($K479="","",$K479)))</f>
        <v/>
      </c>
      <c r="N479" s="3">
        <f>IF($A479="","",IFERROR(INDEX('CAT_ESTADOS_ERP'!$B$4:$B$7,MATCH(IFERROR(INDEX('2_IMPORTAR_EJECUCION'!$C$9:$C$1208,MATCH($AN479,'2_IMPORTAR_EJECUCION'!$J$9:$J$1208,0)),""),'CAT_ESTADOS_ERP'!$A$4:$A$7,0)),"Pendiente"))</f>
        <v/>
      </c>
      <c r="O479" s="3">
        <f>IF($J479="","",YEAR($J479+4-WEEKDAY($J479,2))&amp;"-S"&amp;TEXT(_xlfn.ISOWEEKNUM($J479),"00"))</f>
        <v/>
      </c>
      <c r="P479" s="3">
        <f>IF($J479="","",YEAR($J479))</f>
        <v/>
      </c>
      <c r="Q479" s="3">
        <f>IF($J479="","",MONTH($J479))</f>
        <v/>
      </c>
      <c r="R479" s="3">
        <f>IF($J479="","",INDEX(lista_dias,WEEKDAY($J479,2)))</f>
        <v/>
      </c>
      <c r="S479" s="3">
        <f>IF($I479="","",IFERROR(INDEX('CAT_TIPOS_OT'!$C$4:$C$7,MATCH($I479,'CAT_TIPOS_OT'!$A$4:$A$7,0)),"sin_clasificar"))</f>
        <v/>
      </c>
      <c r="T479" s="3">
        <f>IF($F479="","",IFERROR(INDEX('CAT_CENTROS_COSTO'!$E$4:$E$9,MATCH($F479,'CAT_CENTROS_COSTO'!$A$4:$A$9,0)),"(sin catálogo)"))</f>
        <v/>
      </c>
      <c r="U479" s="3">
        <f>IF($F479="","",IFERROR(INDEX('CAT_CENTROS_COSTO'!$D$4:$D$9,MATCH($F479,'CAT_CENTROS_COSTO'!$A$4:$A$9,0)),"(sin catálogo)"))</f>
        <v/>
      </c>
      <c r="V479" s="3">
        <f>IF($F479="","",IFERROR(INDEX('CAT_CENTROS_COSTO'!$F$4:$F$9,MATCH($F479,'CAT_CENTROS_COSTO'!$A$4:$A$9,0)),"(sin catálogo)"))</f>
        <v/>
      </c>
      <c r="W479" s="3">
        <f>IF($G479="","",IFERROR(INDEX('CAT_PUESTOS'!$B$4:$B$8,MATCH($G479,'CAT_PUESTOS'!$A$4:$A$8,0)),"(sin catálogo)"))</f>
        <v/>
      </c>
      <c r="X479" s="3">
        <f>IF($H479="","",IFERROR(INDEX('CAT_ACTIVIDADES'!$B$4:$B$8,MATCH($H479,'CAT_ACTIVIDADES'!$A$4:$A$8,0)),"(sin catálogo)"))</f>
        <v/>
      </c>
      <c r="Y479" s="12">
        <f>IF($J479="","",TODAY()-$J479)</f>
        <v/>
      </c>
      <c r="Z479" s="3">
        <f>IF($Y479="","",IF($Y479&lt;0,"FUTURO",IF($Y479&gt;p_dias_backlog_max,"BACKLOG","MES CORRIENTE")))</f>
        <v/>
      </c>
      <c r="AA479" s="3">
        <f>IF($Y479="",FALSE,AND($Y479&gt;p_dias_backlog_min,$Y479&lt;=p_dias_backlog_max))</f>
        <v/>
      </c>
      <c r="AB479" s="6" t="n"/>
      <c r="AC479" s="3">
        <f>IF($AB479="","",IFERROR(INDEX('ASIGNACIONES'!$F$4:$F$339,MATCH($O479&amp;"|"&amp;$R479&amp;"|"&amp;$AB479,'ASIGNACIONES'!$I$4:$I$339,0)),""))</f>
        <v/>
      </c>
      <c r="AD479" s="13">
        <f>IF($AB479="","",SUMIFS('ORDENES'!$M$4:$M$1203,'ORDENES'!$AB$4:$AB$1203,$AB479,'ORDENES'!$O$4:$O$1203,$O479,'ORDENES'!$R$4:$R$1203,$R479))</f>
        <v/>
      </c>
      <c r="AE479" s="13">
        <f>IF($AD479="","",p_factor_productividad*IFERROR(INDEX('ASIGNACIONES'!$H$4:$H$339,MATCH($O479&amp;"|"&amp;$R479&amp;"|"&amp;$AB479,'ASIGNACIONES'!$I$4:$I$339,0)),0)-$AD479)</f>
        <v/>
      </c>
      <c r="AF479" s="10">
        <f>IF($A479="","",IFERROR(INDEX('2_IMPORTAR_EJECUCION'!$F$9:$F$1208,MATCH($AN479,'2_IMPORTAR_EJECUCION'!$J$9:$J$1208,0)),0))</f>
        <v/>
      </c>
      <c r="AG479" s="10">
        <f>IF($A479="","",MAX(0,IFERROR(INDEX('2_IMPORTAR_EJECUCION'!$H$9:$H$1208,MATCH($AN479,'2_IMPORTAR_EJECUCION'!$J$9:$J$1208,0)),0)-$AF479))</f>
        <v/>
      </c>
      <c r="AH479" s="10">
        <f>IF($A479="","",$AF479+$AG479)</f>
        <v/>
      </c>
      <c r="AI479" s="6" t="n"/>
      <c r="AJ479" s="6" t="n"/>
      <c r="AK479" s="6" t="n"/>
      <c r="AL479" s="3">
        <f>IF($AK479="","",HYPERLINK(p_ruta_base_checklists&amp;$AK479,"abrir"))</f>
        <v/>
      </c>
      <c r="AM479" s="6" t="n"/>
      <c r="AN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1" t="n"/>
      <c r="K480" s="3" t="n"/>
      <c r="L480" s="10" t="n"/>
      <c r="M480" s="3">
        <f>IF($A480="","",IFERROR(INDEX('AJUSTES'!$B$4:$B$303,MATCH($AN480,'AJUSTES'!$A$4:$A$303,0)),IF($K480="","",$K480)))</f>
        <v/>
      </c>
      <c r="N480" s="3">
        <f>IF($A480="","",IFERROR(INDEX('CAT_ESTADOS_ERP'!$B$4:$B$7,MATCH(IFERROR(INDEX('2_IMPORTAR_EJECUCION'!$C$9:$C$1208,MATCH($AN480,'2_IMPORTAR_EJECUCION'!$J$9:$J$1208,0)),""),'CAT_ESTADOS_ERP'!$A$4:$A$7,0)),"Pendiente"))</f>
        <v/>
      </c>
      <c r="O480" s="3">
        <f>IF($J480="","",YEAR($J480+4-WEEKDAY($J480,2))&amp;"-S"&amp;TEXT(_xlfn.ISOWEEKNUM($J480),"00"))</f>
        <v/>
      </c>
      <c r="P480" s="3">
        <f>IF($J480="","",YEAR($J480))</f>
        <v/>
      </c>
      <c r="Q480" s="3">
        <f>IF($J480="","",MONTH($J480))</f>
        <v/>
      </c>
      <c r="R480" s="3">
        <f>IF($J480="","",INDEX(lista_dias,WEEKDAY($J480,2)))</f>
        <v/>
      </c>
      <c r="S480" s="3">
        <f>IF($I480="","",IFERROR(INDEX('CAT_TIPOS_OT'!$C$4:$C$7,MATCH($I480,'CAT_TIPOS_OT'!$A$4:$A$7,0)),"sin_clasificar"))</f>
        <v/>
      </c>
      <c r="T480" s="3">
        <f>IF($F480="","",IFERROR(INDEX('CAT_CENTROS_COSTO'!$E$4:$E$9,MATCH($F480,'CAT_CENTROS_COSTO'!$A$4:$A$9,0)),"(sin catálogo)"))</f>
        <v/>
      </c>
      <c r="U480" s="3">
        <f>IF($F480="","",IFERROR(INDEX('CAT_CENTROS_COSTO'!$D$4:$D$9,MATCH($F480,'CAT_CENTROS_COSTO'!$A$4:$A$9,0)),"(sin catálogo)"))</f>
        <v/>
      </c>
      <c r="V480" s="3">
        <f>IF($F480="","",IFERROR(INDEX('CAT_CENTROS_COSTO'!$F$4:$F$9,MATCH($F480,'CAT_CENTROS_COSTO'!$A$4:$A$9,0)),"(sin catálogo)"))</f>
        <v/>
      </c>
      <c r="W480" s="3">
        <f>IF($G480="","",IFERROR(INDEX('CAT_PUESTOS'!$B$4:$B$8,MATCH($G480,'CAT_PUESTOS'!$A$4:$A$8,0)),"(sin catálogo)"))</f>
        <v/>
      </c>
      <c r="X480" s="3">
        <f>IF($H480="","",IFERROR(INDEX('CAT_ACTIVIDADES'!$B$4:$B$8,MATCH($H480,'CAT_ACTIVIDADES'!$A$4:$A$8,0)),"(sin catálogo)"))</f>
        <v/>
      </c>
      <c r="Y480" s="12">
        <f>IF($J480="","",TODAY()-$J480)</f>
        <v/>
      </c>
      <c r="Z480" s="3">
        <f>IF($Y480="","",IF($Y480&lt;0,"FUTURO",IF($Y480&gt;p_dias_backlog_max,"BACKLOG","MES CORRIENTE")))</f>
        <v/>
      </c>
      <c r="AA480" s="3">
        <f>IF($Y480="",FALSE,AND($Y480&gt;p_dias_backlog_min,$Y480&lt;=p_dias_backlog_max))</f>
        <v/>
      </c>
      <c r="AB480" s="6" t="n"/>
      <c r="AC480" s="3">
        <f>IF($AB480="","",IFERROR(INDEX('ASIGNACIONES'!$F$4:$F$339,MATCH($O480&amp;"|"&amp;$R480&amp;"|"&amp;$AB480,'ASIGNACIONES'!$I$4:$I$339,0)),""))</f>
        <v/>
      </c>
      <c r="AD480" s="13">
        <f>IF($AB480="","",SUMIFS('ORDENES'!$M$4:$M$1203,'ORDENES'!$AB$4:$AB$1203,$AB480,'ORDENES'!$O$4:$O$1203,$O480,'ORDENES'!$R$4:$R$1203,$R480))</f>
        <v/>
      </c>
      <c r="AE480" s="13">
        <f>IF($AD480="","",p_factor_productividad*IFERROR(INDEX('ASIGNACIONES'!$H$4:$H$339,MATCH($O480&amp;"|"&amp;$R480&amp;"|"&amp;$AB480,'ASIGNACIONES'!$I$4:$I$339,0)),0)-$AD480)</f>
        <v/>
      </c>
      <c r="AF480" s="10">
        <f>IF($A480="","",IFERROR(INDEX('2_IMPORTAR_EJECUCION'!$F$9:$F$1208,MATCH($AN480,'2_IMPORTAR_EJECUCION'!$J$9:$J$1208,0)),0))</f>
        <v/>
      </c>
      <c r="AG480" s="10">
        <f>IF($A480="","",MAX(0,IFERROR(INDEX('2_IMPORTAR_EJECUCION'!$H$9:$H$1208,MATCH($AN480,'2_IMPORTAR_EJECUCION'!$J$9:$J$1208,0)),0)-$AF480))</f>
        <v/>
      </c>
      <c r="AH480" s="10">
        <f>IF($A480="","",$AF480+$AG480)</f>
        <v/>
      </c>
      <c r="AI480" s="6" t="n"/>
      <c r="AJ480" s="6" t="n"/>
      <c r="AK480" s="6" t="n"/>
      <c r="AL480" s="3">
        <f>IF($AK480="","",HYPERLINK(p_ruta_base_checklists&amp;$AK480,"abrir"))</f>
        <v/>
      </c>
      <c r="AM480" s="6" t="n"/>
      <c r="AN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1" t="n"/>
      <c r="K481" s="3" t="n"/>
      <c r="L481" s="10" t="n"/>
      <c r="M481" s="3">
        <f>IF($A481="","",IFERROR(INDEX('AJUSTES'!$B$4:$B$303,MATCH($AN481,'AJUSTES'!$A$4:$A$303,0)),IF($K481="","",$K481)))</f>
        <v/>
      </c>
      <c r="N481" s="3">
        <f>IF($A481="","",IFERROR(INDEX('CAT_ESTADOS_ERP'!$B$4:$B$7,MATCH(IFERROR(INDEX('2_IMPORTAR_EJECUCION'!$C$9:$C$1208,MATCH($AN481,'2_IMPORTAR_EJECUCION'!$J$9:$J$1208,0)),""),'CAT_ESTADOS_ERP'!$A$4:$A$7,0)),"Pendiente"))</f>
        <v/>
      </c>
      <c r="O481" s="3">
        <f>IF($J481="","",YEAR($J481+4-WEEKDAY($J481,2))&amp;"-S"&amp;TEXT(_xlfn.ISOWEEKNUM($J481),"00"))</f>
        <v/>
      </c>
      <c r="P481" s="3">
        <f>IF($J481="","",YEAR($J481))</f>
        <v/>
      </c>
      <c r="Q481" s="3">
        <f>IF($J481="","",MONTH($J481))</f>
        <v/>
      </c>
      <c r="R481" s="3">
        <f>IF($J481="","",INDEX(lista_dias,WEEKDAY($J481,2)))</f>
        <v/>
      </c>
      <c r="S481" s="3">
        <f>IF($I481="","",IFERROR(INDEX('CAT_TIPOS_OT'!$C$4:$C$7,MATCH($I481,'CAT_TIPOS_OT'!$A$4:$A$7,0)),"sin_clasificar"))</f>
        <v/>
      </c>
      <c r="T481" s="3">
        <f>IF($F481="","",IFERROR(INDEX('CAT_CENTROS_COSTO'!$E$4:$E$9,MATCH($F481,'CAT_CENTROS_COSTO'!$A$4:$A$9,0)),"(sin catálogo)"))</f>
        <v/>
      </c>
      <c r="U481" s="3">
        <f>IF($F481="","",IFERROR(INDEX('CAT_CENTROS_COSTO'!$D$4:$D$9,MATCH($F481,'CAT_CENTROS_COSTO'!$A$4:$A$9,0)),"(sin catálogo)"))</f>
        <v/>
      </c>
      <c r="V481" s="3">
        <f>IF($F481="","",IFERROR(INDEX('CAT_CENTROS_COSTO'!$F$4:$F$9,MATCH($F481,'CAT_CENTROS_COSTO'!$A$4:$A$9,0)),"(sin catálogo)"))</f>
        <v/>
      </c>
      <c r="W481" s="3">
        <f>IF($G481="","",IFERROR(INDEX('CAT_PUESTOS'!$B$4:$B$8,MATCH($G481,'CAT_PUESTOS'!$A$4:$A$8,0)),"(sin catálogo)"))</f>
        <v/>
      </c>
      <c r="X481" s="3">
        <f>IF($H481="","",IFERROR(INDEX('CAT_ACTIVIDADES'!$B$4:$B$8,MATCH($H481,'CAT_ACTIVIDADES'!$A$4:$A$8,0)),"(sin catálogo)"))</f>
        <v/>
      </c>
      <c r="Y481" s="12">
        <f>IF($J481="","",TODAY()-$J481)</f>
        <v/>
      </c>
      <c r="Z481" s="3">
        <f>IF($Y481="","",IF($Y481&lt;0,"FUTURO",IF($Y481&gt;p_dias_backlog_max,"BACKLOG","MES CORRIENTE")))</f>
        <v/>
      </c>
      <c r="AA481" s="3">
        <f>IF($Y481="",FALSE,AND($Y481&gt;p_dias_backlog_min,$Y481&lt;=p_dias_backlog_max))</f>
        <v/>
      </c>
      <c r="AB481" s="6" t="n"/>
      <c r="AC481" s="3">
        <f>IF($AB481="","",IFERROR(INDEX('ASIGNACIONES'!$F$4:$F$339,MATCH($O481&amp;"|"&amp;$R481&amp;"|"&amp;$AB481,'ASIGNACIONES'!$I$4:$I$339,0)),""))</f>
        <v/>
      </c>
      <c r="AD481" s="13">
        <f>IF($AB481="","",SUMIFS('ORDENES'!$M$4:$M$1203,'ORDENES'!$AB$4:$AB$1203,$AB481,'ORDENES'!$O$4:$O$1203,$O481,'ORDENES'!$R$4:$R$1203,$R481))</f>
        <v/>
      </c>
      <c r="AE481" s="13">
        <f>IF($AD481="","",p_factor_productividad*IFERROR(INDEX('ASIGNACIONES'!$H$4:$H$339,MATCH($O481&amp;"|"&amp;$R481&amp;"|"&amp;$AB481,'ASIGNACIONES'!$I$4:$I$339,0)),0)-$AD481)</f>
        <v/>
      </c>
      <c r="AF481" s="10">
        <f>IF($A481="","",IFERROR(INDEX('2_IMPORTAR_EJECUCION'!$F$9:$F$1208,MATCH($AN481,'2_IMPORTAR_EJECUCION'!$J$9:$J$1208,0)),0))</f>
        <v/>
      </c>
      <c r="AG481" s="10">
        <f>IF($A481="","",MAX(0,IFERROR(INDEX('2_IMPORTAR_EJECUCION'!$H$9:$H$1208,MATCH($AN481,'2_IMPORTAR_EJECUCION'!$J$9:$J$1208,0)),0)-$AF481))</f>
        <v/>
      </c>
      <c r="AH481" s="10">
        <f>IF($A481="","",$AF481+$AG481)</f>
        <v/>
      </c>
      <c r="AI481" s="6" t="n"/>
      <c r="AJ481" s="6" t="n"/>
      <c r="AK481" s="6" t="n"/>
      <c r="AL481" s="3">
        <f>IF($AK481="","",HYPERLINK(p_ruta_base_checklists&amp;$AK481,"abrir"))</f>
        <v/>
      </c>
      <c r="AM481" s="6" t="n"/>
      <c r="AN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1" t="n"/>
      <c r="K482" s="3" t="n"/>
      <c r="L482" s="10" t="n"/>
      <c r="M482" s="3">
        <f>IF($A482="","",IFERROR(INDEX('AJUSTES'!$B$4:$B$303,MATCH($AN482,'AJUSTES'!$A$4:$A$303,0)),IF($K482="","",$K482)))</f>
        <v/>
      </c>
      <c r="N482" s="3">
        <f>IF($A482="","",IFERROR(INDEX('CAT_ESTADOS_ERP'!$B$4:$B$7,MATCH(IFERROR(INDEX('2_IMPORTAR_EJECUCION'!$C$9:$C$1208,MATCH($AN482,'2_IMPORTAR_EJECUCION'!$J$9:$J$1208,0)),""),'CAT_ESTADOS_ERP'!$A$4:$A$7,0)),"Pendiente"))</f>
        <v/>
      </c>
      <c r="O482" s="3">
        <f>IF($J482="","",YEAR($J482+4-WEEKDAY($J482,2))&amp;"-S"&amp;TEXT(_xlfn.ISOWEEKNUM($J482),"00"))</f>
        <v/>
      </c>
      <c r="P482" s="3">
        <f>IF($J482="","",YEAR($J482))</f>
        <v/>
      </c>
      <c r="Q482" s="3">
        <f>IF($J482="","",MONTH($J482))</f>
        <v/>
      </c>
      <c r="R482" s="3">
        <f>IF($J482="","",INDEX(lista_dias,WEEKDAY($J482,2)))</f>
        <v/>
      </c>
      <c r="S482" s="3">
        <f>IF($I482="","",IFERROR(INDEX('CAT_TIPOS_OT'!$C$4:$C$7,MATCH($I482,'CAT_TIPOS_OT'!$A$4:$A$7,0)),"sin_clasificar"))</f>
        <v/>
      </c>
      <c r="T482" s="3">
        <f>IF($F482="","",IFERROR(INDEX('CAT_CENTROS_COSTO'!$E$4:$E$9,MATCH($F482,'CAT_CENTROS_COSTO'!$A$4:$A$9,0)),"(sin catálogo)"))</f>
        <v/>
      </c>
      <c r="U482" s="3">
        <f>IF($F482="","",IFERROR(INDEX('CAT_CENTROS_COSTO'!$D$4:$D$9,MATCH($F482,'CAT_CENTROS_COSTO'!$A$4:$A$9,0)),"(sin catálogo)"))</f>
        <v/>
      </c>
      <c r="V482" s="3">
        <f>IF($F482="","",IFERROR(INDEX('CAT_CENTROS_COSTO'!$F$4:$F$9,MATCH($F482,'CAT_CENTROS_COSTO'!$A$4:$A$9,0)),"(sin catálogo)"))</f>
        <v/>
      </c>
      <c r="W482" s="3">
        <f>IF($G482="","",IFERROR(INDEX('CAT_PUESTOS'!$B$4:$B$8,MATCH($G482,'CAT_PUESTOS'!$A$4:$A$8,0)),"(sin catálogo)"))</f>
        <v/>
      </c>
      <c r="X482" s="3">
        <f>IF($H482="","",IFERROR(INDEX('CAT_ACTIVIDADES'!$B$4:$B$8,MATCH($H482,'CAT_ACTIVIDADES'!$A$4:$A$8,0)),"(sin catálogo)"))</f>
        <v/>
      </c>
      <c r="Y482" s="12">
        <f>IF($J482="","",TODAY()-$J482)</f>
        <v/>
      </c>
      <c r="Z482" s="3">
        <f>IF($Y482="","",IF($Y482&lt;0,"FUTURO",IF($Y482&gt;p_dias_backlog_max,"BACKLOG","MES CORRIENTE")))</f>
        <v/>
      </c>
      <c r="AA482" s="3">
        <f>IF($Y482="",FALSE,AND($Y482&gt;p_dias_backlog_min,$Y482&lt;=p_dias_backlog_max))</f>
        <v/>
      </c>
      <c r="AB482" s="6" t="n"/>
      <c r="AC482" s="3">
        <f>IF($AB482="","",IFERROR(INDEX('ASIGNACIONES'!$F$4:$F$339,MATCH($O482&amp;"|"&amp;$R482&amp;"|"&amp;$AB482,'ASIGNACIONES'!$I$4:$I$339,0)),""))</f>
        <v/>
      </c>
      <c r="AD482" s="13">
        <f>IF($AB482="","",SUMIFS('ORDENES'!$M$4:$M$1203,'ORDENES'!$AB$4:$AB$1203,$AB482,'ORDENES'!$O$4:$O$1203,$O482,'ORDENES'!$R$4:$R$1203,$R482))</f>
        <v/>
      </c>
      <c r="AE482" s="13">
        <f>IF($AD482="","",p_factor_productividad*IFERROR(INDEX('ASIGNACIONES'!$H$4:$H$339,MATCH($O482&amp;"|"&amp;$R482&amp;"|"&amp;$AB482,'ASIGNACIONES'!$I$4:$I$339,0)),0)-$AD482)</f>
        <v/>
      </c>
      <c r="AF482" s="10">
        <f>IF($A482="","",IFERROR(INDEX('2_IMPORTAR_EJECUCION'!$F$9:$F$1208,MATCH($AN482,'2_IMPORTAR_EJECUCION'!$J$9:$J$1208,0)),0))</f>
        <v/>
      </c>
      <c r="AG482" s="10">
        <f>IF($A482="","",MAX(0,IFERROR(INDEX('2_IMPORTAR_EJECUCION'!$H$9:$H$1208,MATCH($AN482,'2_IMPORTAR_EJECUCION'!$J$9:$J$1208,0)),0)-$AF482))</f>
        <v/>
      </c>
      <c r="AH482" s="10">
        <f>IF($A482="","",$AF482+$AG482)</f>
        <v/>
      </c>
      <c r="AI482" s="6" t="n"/>
      <c r="AJ482" s="6" t="n"/>
      <c r="AK482" s="6" t="n"/>
      <c r="AL482" s="3">
        <f>IF($AK482="","",HYPERLINK(p_ruta_base_checklists&amp;$AK482,"abrir"))</f>
        <v/>
      </c>
      <c r="AM482" s="6" t="n"/>
      <c r="AN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1" t="n"/>
      <c r="K483" s="3" t="n"/>
      <c r="L483" s="10" t="n"/>
      <c r="M483" s="3">
        <f>IF($A483="","",IFERROR(INDEX('AJUSTES'!$B$4:$B$303,MATCH($AN483,'AJUSTES'!$A$4:$A$303,0)),IF($K483="","",$K483)))</f>
        <v/>
      </c>
      <c r="N483" s="3">
        <f>IF($A483="","",IFERROR(INDEX('CAT_ESTADOS_ERP'!$B$4:$B$7,MATCH(IFERROR(INDEX('2_IMPORTAR_EJECUCION'!$C$9:$C$1208,MATCH($AN483,'2_IMPORTAR_EJECUCION'!$J$9:$J$1208,0)),""),'CAT_ESTADOS_ERP'!$A$4:$A$7,0)),"Pendiente"))</f>
        <v/>
      </c>
      <c r="O483" s="3">
        <f>IF($J483="","",YEAR($J483+4-WEEKDAY($J483,2))&amp;"-S"&amp;TEXT(_xlfn.ISOWEEKNUM($J483),"00"))</f>
        <v/>
      </c>
      <c r="P483" s="3">
        <f>IF($J483="","",YEAR($J483))</f>
        <v/>
      </c>
      <c r="Q483" s="3">
        <f>IF($J483="","",MONTH($J483))</f>
        <v/>
      </c>
      <c r="R483" s="3">
        <f>IF($J483="","",INDEX(lista_dias,WEEKDAY($J483,2)))</f>
        <v/>
      </c>
      <c r="S483" s="3">
        <f>IF($I483="","",IFERROR(INDEX('CAT_TIPOS_OT'!$C$4:$C$7,MATCH($I483,'CAT_TIPOS_OT'!$A$4:$A$7,0)),"sin_clasificar"))</f>
        <v/>
      </c>
      <c r="T483" s="3">
        <f>IF($F483="","",IFERROR(INDEX('CAT_CENTROS_COSTO'!$E$4:$E$9,MATCH($F483,'CAT_CENTROS_COSTO'!$A$4:$A$9,0)),"(sin catálogo)"))</f>
        <v/>
      </c>
      <c r="U483" s="3">
        <f>IF($F483="","",IFERROR(INDEX('CAT_CENTROS_COSTO'!$D$4:$D$9,MATCH($F483,'CAT_CENTROS_COSTO'!$A$4:$A$9,0)),"(sin catálogo)"))</f>
        <v/>
      </c>
      <c r="V483" s="3">
        <f>IF($F483="","",IFERROR(INDEX('CAT_CENTROS_COSTO'!$F$4:$F$9,MATCH($F483,'CAT_CENTROS_COSTO'!$A$4:$A$9,0)),"(sin catálogo)"))</f>
        <v/>
      </c>
      <c r="W483" s="3">
        <f>IF($G483="","",IFERROR(INDEX('CAT_PUESTOS'!$B$4:$B$8,MATCH($G483,'CAT_PUESTOS'!$A$4:$A$8,0)),"(sin catálogo)"))</f>
        <v/>
      </c>
      <c r="X483" s="3">
        <f>IF($H483="","",IFERROR(INDEX('CAT_ACTIVIDADES'!$B$4:$B$8,MATCH($H483,'CAT_ACTIVIDADES'!$A$4:$A$8,0)),"(sin catálogo)"))</f>
        <v/>
      </c>
      <c r="Y483" s="12">
        <f>IF($J483="","",TODAY()-$J483)</f>
        <v/>
      </c>
      <c r="Z483" s="3">
        <f>IF($Y483="","",IF($Y483&lt;0,"FUTURO",IF($Y483&gt;p_dias_backlog_max,"BACKLOG","MES CORRIENTE")))</f>
        <v/>
      </c>
      <c r="AA483" s="3">
        <f>IF($Y483="",FALSE,AND($Y483&gt;p_dias_backlog_min,$Y483&lt;=p_dias_backlog_max))</f>
        <v/>
      </c>
      <c r="AB483" s="6" t="n"/>
      <c r="AC483" s="3">
        <f>IF($AB483="","",IFERROR(INDEX('ASIGNACIONES'!$F$4:$F$339,MATCH($O483&amp;"|"&amp;$R483&amp;"|"&amp;$AB483,'ASIGNACIONES'!$I$4:$I$339,0)),""))</f>
        <v/>
      </c>
      <c r="AD483" s="13">
        <f>IF($AB483="","",SUMIFS('ORDENES'!$M$4:$M$1203,'ORDENES'!$AB$4:$AB$1203,$AB483,'ORDENES'!$O$4:$O$1203,$O483,'ORDENES'!$R$4:$R$1203,$R483))</f>
        <v/>
      </c>
      <c r="AE483" s="13">
        <f>IF($AD483="","",p_factor_productividad*IFERROR(INDEX('ASIGNACIONES'!$H$4:$H$339,MATCH($O483&amp;"|"&amp;$R483&amp;"|"&amp;$AB483,'ASIGNACIONES'!$I$4:$I$339,0)),0)-$AD483)</f>
        <v/>
      </c>
      <c r="AF483" s="10">
        <f>IF($A483="","",IFERROR(INDEX('2_IMPORTAR_EJECUCION'!$F$9:$F$1208,MATCH($AN483,'2_IMPORTAR_EJECUCION'!$J$9:$J$1208,0)),0))</f>
        <v/>
      </c>
      <c r="AG483" s="10">
        <f>IF($A483="","",MAX(0,IFERROR(INDEX('2_IMPORTAR_EJECUCION'!$H$9:$H$1208,MATCH($AN483,'2_IMPORTAR_EJECUCION'!$J$9:$J$1208,0)),0)-$AF483))</f>
        <v/>
      </c>
      <c r="AH483" s="10">
        <f>IF($A483="","",$AF483+$AG483)</f>
        <v/>
      </c>
      <c r="AI483" s="6" t="n"/>
      <c r="AJ483" s="6" t="n"/>
      <c r="AK483" s="6" t="n"/>
      <c r="AL483" s="3">
        <f>IF($AK483="","",HYPERLINK(p_ruta_base_checklists&amp;$AK483,"abrir"))</f>
        <v/>
      </c>
      <c r="AM483" s="6" t="n"/>
      <c r="AN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1" t="n"/>
      <c r="K484" s="3" t="n"/>
      <c r="L484" s="10" t="n"/>
      <c r="M484" s="3">
        <f>IF($A484="","",IFERROR(INDEX('AJUSTES'!$B$4:$B$303,MATCH($AN484,'AJUSTES'!$A$4:$A$303,0)),IF($K484="","",$K484)))</f>
        <v/>
      </c>
      <c r="N484" s="3">
        <f>IF($A484="","",IFERROR(INDEX('CAT_ESTADOS_ERP'!$B$4:$B$7,MATCH(IFERROR(INDEX('2_IMPORTAR_EJECUCION'!$C$9:$C$1208,MATCH($AN484,'2_IMPORTAR_EJECUCION'!$J$9:$J$1208,0)),""),'CAT_ESTADOS_ERP'!$A$4:$A$7,0)),"Pendiente"))</f>
        <v/>
      </c>
      <c r="O484" s="3">
        <f>IF($J484="","",YEAR($J484+4-WEEKDAY($J484,2))&amp;"-S"&amp;TEXT(_xlfn.ISOWEEKNUM($J484),"00"))</f>
        <v/>
      </c>
      <c r="P484" s="3">
        <f>IF($J484="","",YEAR($J484))</f>
        <v/>
      </c>
      <c r="Q484" s="3">
        <f>IF($J484="","",MONTH($J484))</f>
        <v/>
      </c>
      <c r="R484" s="3">
        <f>IF($J484="","",INDEX(lista_dias,WEEKDAY($J484,2)))</f>
        <v/>
      </c>
      <c r="S484" s="3">
        <f>IF($I484="","",IFERROR(INDEX('CAT_TIPOS_OT'!$C$4:$C$7,MATCH($I484,'CAT_TIPOS_OT'!$A$4:$A$7,0)),"sin_clasificar"))</f>
        <v/>
      </c>
      <c r="T484" s="3">
        <f>IF($F484="","",IFERROR(INDEX('CAT_CENTROS_COSTO'!$E$4:$E$9,MATCH($F484,'CAT_CENTROS_COSTO'!$A$4:$A$9,0)),"(sin catálogo)"))</f>
        <v/>
      </c>
      <c r="U484" s="3">
        <f>IF($F484="","",IFERROR(INDEX('CAT_CENTROS_COSTO'!$D$4:$D$9,MATCH($F484,'CAT_CENTROS_COSTO'!$A$4:$A$9,0)),"(sin catálogo)"))</f>
        <v/>
      </c>
      <c r="V484" s="3">
        <f>IF($F484="","",IFERROR(INDEX('CAT_CENTROS_COSTO'!$F$4:$F$9,MATCH($F484,'CAT_CENTROS_COSTO'!$A$4:$A$9,0)),"(sin catálogo)"))</f>
        <v/>
      </c>
      <c r="W484" s="3">
        <f>IF($G484="","",IFERROR(INDEX('CAT_PUESTOS'!$B$4:$B$8,MATCH($G484,'CAT_PUESTOS'!$A$4:$A$8,0)),"(sin catálogo)"))</f>
        <v/>
      </c>
      <c r="X484" s="3">
        <f>IF($H484="","",IFERROR(INDEX('CAT_ACTIVIDADES'!$B$4:$B$8,MATCH($H484,'CAT_ACTIVIDADES'!$A$4:$A$8,0)),"(sin catálogo)"))</f>
        <v/>
      </c>
      <c r="Y484" s="12">
        <f>IF($J484="","",TODAY()-$J484)</f>
        <v/>
      </c>
      <c r="Z484" s="3">
        <f>IF($Y484="","",IF($Y484&lt;0,"FUTURO",IF($Y484&gt;p_dias_backlog_max,"BACKLOG","MES CORRIENTE")))</f>
        <v/>
      </c>
      <c r="AA484" s="3">
        <f>IF($Y484="",FALSE,AND($Y484&gt;p_dias_backlog_min,$Y484&lt;=p_dias_backlog_max))</f>
        <v/>
      </c>
      <c r="AB484" s="6" t="n"/>
      <c r="AC484" s="3">
        <f>IF($AB484="","",IFERROR(INDEX('ASIGNACIONES'!$F$4:$F$339,MATCH($O484&amp;"|"&amp;$R484&amp;"|"&amp;$AB484,'ASIGNACIONES'!$I$4:$I$339,0)),""))</f>
        <v/>
      </c>
      <c r="AD484" s="13">
        <f>IF($AB484="","",SUMIFS('ORDENES'!$M$4:$M$1203,'ORDENES'!$AB$4:$AB$1203,$AB484,'ORDENES'!$O$4:$O$1203,$O484,'ORDENES'!$R$4:$R$1203,$R484))</f>
        <v/>
      </c>
      <c r="AE484" s="13">
        <f>IF($AD484="","",p_factor_productividad*IFERROR(INDEX('ASIGNACIONES'!$H$4:$H$339,MATCH($O484&amp;"|"&amp;$R484&amp;"|"&amp;$AB484,'ASIGNACIONES'!$I$4:$I$339,0)),0)-$AD484)</f>
        <v/>
      </c>
      <c r="AF484" s="10">
        <f>IF($A484="","",IFERROR(INDEX('2_IMPORTAR_EJECUCION'!$F$9:$F$1208,MATCH($AN484,'2_IMPORTAR_EJECUCION'!$J$9:$J$1208,0)),0))</f>
        <v/>
      </c>
      <c r="AG484" s="10">
        <f>IF($A484="","",MAX(0,IFERROR(INDEX('2_IMPORTAR_EJECUCION'!$H$9:$H$1208,MATCH($AN484,'2_IMPORTAR_EJECUCION'!$J$9:$J$1208,0)),0)-$AF484))</f>
        <v/>
      </c>
      <c r="AH484" s="10">
        <f>IF($A484="","",$AF484+$AG484)</f>
        <v/>
      </c>
      <c r="AI484" s="6" t="n"/>
      <c r="AJ484" s="6" t="n"/>
      <c r="AK484" s="6" t="n"/>
      <c r="AL484" s="3">
        <f>IF($AK484="","",HYPERLINK(p_ruta_base_checklists&amp;$AK484,"abrir"))</f>
        <v/>
      </c>
      <c r="AM484" s="6" t="n"/>
      <c r="AN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1" t="n"/>
      <c r="K485" s="3" t="n"/>
      <c r="L485" s="10" t="n"/>
      <c r="M485" s="3">
        <f>IF($A485="","",IFERROR(INDEX('AJUSTES'!$B$4:$B$303,MATCH($AN485,'AJUSTES'!$A$4:$A$303,0)),IF($K485="","",$K485)))</f>
        <v/>
      </c>
      <c r="N485" s="3">
        <f>IF($A485="","",IFERROR(INDEX('CAT_ESTADOS_ERP'!$B$4:$B$7,MATCH(IFERROR(INDEX('2_IMPORTAR_EJECUCION'!$C$9:$C$1208,MATCH($AN485,'2_IMPORTAR_EJECUCION'!$J$9:$J$1208,0)),""),'CAT_ESTADOS_ERP'!$A$4:$A$7,0)),"Pendiente"))</f>
        <v/>
      </c>
      <c r="O485" s="3">
        <f>IF($J485="","",YEAR($J485+4-WEEKDAY($J485,2))&amp;"-S"&amp;TEXT(_xlfn.ISOWEEKNUM($J485),"00"))</f>
        <v/>
      </c>
      <c r="P485" s="3">
        <f>IF($J485="","",YEAR($J485))</f>
        <v/>
      </c>
      <c r="Q485" s="3">
        <f>IF($J485="","",MONTH($J485))</f>
        <v/>
      </c>
      <c r="R485" s="3">
        <f>IF($J485="","",INDEX(lista_dias,WEEKDAY($J485,2)))</f>
        <v/>
      </c>
      <c r="S485" s="3">
        <f>IF($I485="","",IFERROR(INDEX('CAT_TIPOS_OT'!$C$4:$C$7,MATCH($I485,'CAT_TIPOS_OT'!$A$4:$A$7,0)),"sin_clasificar"))</f>
        <v/>
      </c>
      <c r="T485" s="3">
        <f>IF($F485="","",IFERROR(INDEX('CAT_CENTROS_COSTO'!$E$4:$E$9,MATCH($F485,'CAT_CENTROS_COSTO'!$A$4:$A$9,0)),"(sin catálogo)"))</f>
        <v/>
      </c>
      <c r="U485" s="3">
        <f>IF($F485="","",IFERROR(INDEX('CAT_CENTROS_COSTO'!$D$4:$D$9,MATCH($F485,'CAT_CENTROS_COSTO'!$A$4:$A$9,0)),"(sin catálogo)"))</f>
        <v/>
      </c>
      <c r="V485" s="3">
        <f>IF($F485="","",IFERROR(INDEX('CAT_CENTROS_COSTO'!$F$4:$F$9,MATCH($F485,'CAT_CENTROS_COSTO'!$A$4:$A$9,0)),"(sin catálogo)"))</f>
        <v/>
      </c>
      <c r="W485" s="3">
        <f>IF($G485="","",IFERROR(INDEX('CAT_PUESTOS'!$B$4:$B$8,MATCH($G485,'CAT_PUESTOS'!$A$4:$A$8,0)),"(sin catálogo)"))</f>
        <v/>
      </c>
      <c r="X485" s="3">
        <f>IF($H485="","",IFERROR(INDEX('CAT_ACTIVIDADES'!$B$4:$B$8,MATCH($H485,'CAT_ACTIVIDADES'!$A$4:$A$8,0)),"(sin catálogo)"))</f>
        <v/>
      </c>
      <c r="Y485" s="12">
        <f>IF($J485="","",TODAY()-$J485)</f>
        <v/>
      </c>
      <c r="Z485" s="3">
        <f>IF($Y485="","",IF($Y485&lt;0,"FUTURO",IF($Y485&gt;p_dias_backlog_max,"BACKLOG","MES CORRIENTE")))</f>
        <v/>
      </c>
      <c r="AA485" s="3">
        <f>IF($Y485="",FALSE,AND($Y485&gt;p_dias_backlog_min,$Y485&lt;=p_dias_backlog_max))</f>
        <v/>
      </c>
      <c r="AB485" s="6" t="n"/>
      <c r="AC485" s="3">
        <f>IF($AB485="","",IFERROR(INDEX('ASIGNACIONES'!$F$4:$F$339,MATCH($O485&amp;"|"&amp;$R485&amp;"|"&amp;$AB485,'ASIGNACIONES'!$I$4:$I$339,0)),""))</f>
        <v/>
      </c>
      <c r="AD485" s="13">
        <f>IF($AB485="","",SUMIFS('ORDENES'!$M$4:$M$1203,'ORDENES'!$AB$4:$AB$1203,$AB485,'ORDENES'!$O$4:$O$1203,$O485,'ORDENES'!$R$4:$R$1203,$R485))</f>
        <v/>
      </c>
      <c r="AE485" s="13">
        <f>IF($AD485="","",p_factor_productividad*IFERROR(INDEX('ASIGNACIONES'!$H$4:$H$339,MATCH($O485&amp;"|"&amp;$R485&amp;"|"&amp;$AB485,'ASIGNACIONES'!$I$4:$I$339,0)),0)-$AD485)</f>
        <v/>
      </c>
      <c r="AF485" s="10">
        <f>IF($A485="","",IFERROR(INDEX('2_IMPORTAR_EJECUCION'!$F$9:$F$1208,MATCH($AN485,'2_IMPORTAR_EJECUCION'!$J$9:$J$1208,0)),0))</f>
        <v/>
      </c>
      <c r="AG485" s="10">
        <f>IF($A485="","",MAX(0,IFERROR(INDEX('2_IMPORTAR_EJECUCION'!$H$9:$H$1208,MATCH($AN485,'2_IMPORTAR_EJECUCION'!$J$9:$J$1208,0)),0)-$AF485))</f>
        <v/>
      </c>
      <c r="AH485" s="10">
        <f>IF($A485="","",$AF485+$AG485)</f>
        <v/>
      </c>
      <c r="AI485" s="6" t="n"/>
      <c r="AJ485" s="6" t="n"/>
      <c r="AK485" s="6" t="n"/>
      <c r="AL485" s="3">
        <f>IF($AK485="","",HYPERLINK(p_ruta_base_checklists&amp;$AK485,"abrir"))</f>
        <v/>
      </c>
      <c r="AM485" s="6" t="n"/>
      <c r="AN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1" t="n"/>
      <c r="K486" s="3" t="n"/>
      <c r="L486" s="10" t="n"/>
      <c r="M486" s="3">
        <f>IF($A486="","",IFERROR(INDEX('AJUSTES'!$B$4:$B$303,MATCH($AN486,'AJUSTES'!$A$4:$A$303,0)),IF($K486="","",$K486)))</f>
        <v/>
      </c>
      <c r="N486" s="3">
        <f>IF($A486="","",IFERROR(INDEX('CAT_ESTADOS_ERP'!$B$4:$B$7,MATCH(IFERROR(INDEX('2_IMPORTAR_EJECUCION'!$C$9:$C$1208,MATCH($AN486,'2_IMPORTAR_EJECUCION'!$J$9:$J$1208,0)),""),'CAT_ESTADOS_ERP'!$A$4:$A$7,0)),"Pendiente"))</f>
        <v/>
      </c>
      <c r="O486" s="3">
        <f>IF($J486="","",YEAR($J486+4-WEEKDAY($J486,2))&amp;"-S"&amp;TEXT(_xlfn.ISOWEEKNUM($J486),"00"))</f>
        <v/>
      </c>
      <c r="P486" s="3">
        <f>IF($J486="","",YEAR($J486))</f>
        <v/>
      </c>
      <c r="Q486" s="3">
        <f>IF($J486="","",MONTH($J486))</f>
        <v/>
      </c>
      <c r="R486" s="3">
        <f>IF($J486="","",INDEX(lista_dias,WEEKDAY($J486,2)))</f>
        <v/>
      </c>
      <c r="S486" s="3">
        <f>IF($I486="","",IFERROR(INDEX('CAT_TIPOS_OT'!$C$4:$C$7,MATCH($I486,'CAT_TIPOS_OT'!$A$4:$A$7,0)),"sin_clasificar"))</f>
        <v/>
      </c>
      <c r="T486" s="3">
        <f>IF($F486="","",IFERROR(INDEX('CAT_CENTROS_COSTO'!$E$4:$E$9,MATCH($F486,'CAT_CENTROS_COSTO'!$A$4:$A$9,0)),"(sin catálogo)"))</f>
        <v/>
      </c>
      <c r="U486" s="3">
        <f>IF($F486="","",IFERROR(INDEX('CAT_CENTROS_COSTO'!$D$4:$D$9,MATCH($F486,'CAT_CENTROS_COSTO'!$A$4:$A$9,0)),"(sin catálogo)"))</f>
        <v/>
      </c>
      <c r="V486" s="3">
        <f>IF($F486="","",IFERROR(INDEX('CAT_CENTROS_COSTO'!$F$4:$F$9,MATCH($F486,'CAT_CENTROS_COSTO'!$A$4:$A$9,0)),"(sin catálogo)"))</f>
        <v/>
      </c>
      <c r="W486" s="3">
        <f>IF($G486="","",IFERROR(INDEX('CAT_PUESTOS'!$B$4:$B$8,MATCH($G486,'CAT_PUESTOS'!$A$4:$A$8,0)),"(sin catálogo)"))</f>
        <v/>
      </c>
      <c r="X486" s="3">
        <f>IF($H486="","",IFERROR(INDEX('CAT_ACTIVIDADES'!$B$4:$B$8,MATCH($H486,'CAT_ACTIVIDADES'!$A$4:$A$8,0)),"(sin catálogo)"))</f>
        <v/>
      </c>
      <c r="Y486" s="12">
        <f>IF($J486="","",TODAY()-$J486)</f>
        <v/>
      </c>
      <c r="Z486" s="3">
        <f>IF($Y486="","",IF($Y486&lt;0,"FUTURO",IF($Y486&gt;p_dias_backlog_max,"BACKLOG","MES CORRIENTE")))</f>
        <v/>
      </c>
      <c r="AA486" s="3">
        <f>IF($Y486="",FALSE,AND($Y486&gt;p_dias_backlog_min,$Y486&lt;=p_dias_backlog_max))</f>
        <v/>
      </c>
      <c r="AB486" s="6" t="n"/>
      <c r="AC486" s="3">
        <f>IF($AB486="","",IFERROR(INDEX('ASIGNACIONES'!$F$4:$F$339,MATCH($O486&amp;"|"&amp;$R486&amp;"|"&amp;$AB486,'ASIGNACIONES'!$I$4:$I$339,0)),""))</f>
        <v/>
      </c>
      <c r="AD486" s="13">
        <f>IF($AB486="","",SUMIFS('ORDENES'!$M$4:$M$1203,'ORDENES'!$AB$4:$AB$1203,$AB486,'ORDENES'!$O$4:$O$1203,$O486,'ORDENES'!$R$4:$R$1203,$R486))</f>
        <v/>
      </c>
      <c r="AE486" s="13">
        <f>IF($AD486="","",p_factor_productividad*IFERROR(INDEX('ASIGNACIONES'!$H$4:$H$339,MATCH($O486&amp;"|"&amp;$R486&amp;"|"&amp;$AB486,'ASIGNACIONES'!$I$4:$I$339,0)),0)-$AD486)</f>
        <v/>
      </c>
      <c r="AF486" s="10">
        <f>IF($A486="","",IFERROR(INDEX('2_IMPORTAR_EJECUCION'!$F$9:$F$1208,MATCH($AN486,'2_IMPORTAR_EJECUCION'!$J$9:$J$1208,0)),0))</f>
        <v/>
      </c>
      <c r="AG486" s="10">
        <f>IF($A486="","",MAX(0,IFERROR(INDEX('2_IMPORTAR_EJECUCION'!$H$9:$H$1208,MATCH($AN486,'2_IMPORTAR_EJECUCION'!$J$9:$J$1208,0)),0)-$AF486))</f>
        <v/>
      </c>
      <c r="AH486" s="10">
        <f>IF($A486="","",$AF486+$AG486)</f>
        <v/>
      </c>
      <c r="AI486" s="6" t="n"/>
      <c r="AJ486" s="6" t="n"/>
      <c r="AK486" s="6" t="n"/>
      <c r="AL486" s="3">
        <f>IF($AK486="","",HYPERLINK(p_ruta_base_checklists&amp;$AK486,"abrir"))</f>
        <v/>
      </c>
      <c r="AM486" s="6" t="n"/>
      <c r="AN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1" t="n"/>
      <c r="K487" s="3" t="n"/>
      <c r="L487" s="10" t="n"/>
      <c r="M487" s="3">
        <f>IF($A487="","",IFERROR(INDEX('AJUSTES'!$B$4:$B$303,MATCH($AN487,'AJUSTES'!$A$4:$A$303,0)),IF($K487="","",$K487)))</f>
        <v/>
      </c>
      <c r="N487" s="3">
        <f>IF($A487="","",IFERROR(INDEX('CAT_ESTADOS_ERP'!$B$4:$B$7,MATCH(IFERROR(INDEX('2_IMPORTAR_EJECUCION'!$C$9:$C$1208,MATCH($AN487,'2_IMPORTAR_EJECUCION'!$J$9:$J$1208,0)),""),'CAT_ESTADOS_ERP'!$A$4:$A$7,0)),"Pendiente"))</f>
        <v/>
      </c>
      <c r="O487" s="3">
        <f>IF($J487="","",YEAR($J487+4-WEEKDAY($J487,2))&amp;"-S"&amp;TEXT(_xlfn.ISOWEEKNUM($J487),"00"))</f>
        <v/>
      </c>
      <c r="P487" s="3">
        <f>IF($J487="","",YEAR($J487))</f>
        <v/>
      </c>
      <c r="Q487" s="3">
        <f>IF($J487="","",MONTH($J487))</f>
        <v/>
      </c>
      <c r="R487" s="3">
        <f>IF($J487="","",INDEX(lista_dias,WEEKDAY($J487,2)))</f>
        <v/>
      </c>
      <c r="S487" s="3">
        <f>IF($I487="","",IFERROR(INDEX('CAT_TIPOS_OT'!$C$4:$C$7,MATCH($I487,'CAT_TIPOS_OT'!$A$4:$A$7,0)),"sin_clasificar"))</f>
        <v/>
      </c>
      <c r="T487" s="3">
        <f>IF($F487="","",IFERROR(INDEX('CAT_CENTROS_COSTO'!$E$4:$E$9,MATCH($F487,'CAT_CENTROS_COSTO'!$A$4:$A$9,0)),"(sin catálogo)"))</f>
        <v/>
      </c>
      <c r="U487" s="3">
        <f>IF($F487="","",IFERROR(INDEX('CAT_CENTROS_COSTO'!$D$4:$D$9,MATCH($F487,'CAT_CENTROS_COSTO'!$A$4:$A$9,0)),"(sin catálogo)"))</f>
        <v/>
      </c>
      <c r="V487" s="3">
        <f>IF($F487="","",IFERROR(INDEX('CAT_CENTROS_COSTO'!$F$4:$F$9,MATCH($F487,'CAT_CENTROS_COSTO'!$A$4:$A$9,0)),"(sin catálogo)"))</f>
        <v/>
      </c>
      <c r="W487" s="3">
        <f>IF($G487="","",IFERROR(INDEX('CAT_PUESTOS'!$B$4:$B$8,MATCH($G487,'CAT_PUESTOS'!$A$4:$A$8,0)),"(sin catálogo)"))</f>
        <v/>
      </c>
      <c r="X487" s="3">
        <f>IF($H487="","",IFERROR(INDEX('CAT_ACTIVIDADES'!$B$4:$B$8,MATCH($H487,'CAT_ACTIVIDADES'!$A$4:$A$8,0)),"(sin catálogo)"))</f>
        <v/>
      </c>
      <c r="Y487" s="12">
        <f>IF($J487="","",TODAY()-$J487)</f>
        <v/>
      </c>
      <c r="Z487" s="3">
        <f>IF($Y487="","",IF($Y487&lt;0,"FUTURO",IF($Y487&gt;p_dias_backlog_max,"BACKLOG","MES CORRIENTE")))</f>
        <v/>
      </c>
      <c r="AA487" s="3">
        <f>IF($Y487="",FALSE,AND($Y487&gt;p_dias_backlog_min,$Y487&lt;=p_dias_backlog_max))</f>
        <v/>
      </c>
      <c r="AB487" s="6" t="n"/>
      <c r="AC487" s="3">
        <f>IF($AB487="","",IFERROR(INDEX('ASIGNACIONES'!$F$4:$F$339,MATCH($O487&amp;"|"&amp;$R487&amp;"|"&amp;$AB487,'ASIGNACIONES'!$I$4:$I$339,0)),""))</f>
        <v/>
      </c>
      <c r="AD487" s="13">
        <f>IF($AB487="","",SUMIFS('ORDENES'!$M$4:$M$1203,'ORDENES'!$AB$4:$AB$1203,$AB487,'ORDENES'!$O$4:$O$1203,$O487,'ORDENES'!$R$4:$R$1203,$R487))</f>
        <v/>
      </c>
      <c r="AE487" s="13">
        <f>IF($AD487="","",p_factor_productividad*IFERROR(INDEX('ASIGNACIONES'!$H$4:$H$339,MATCH($O487&amp;"|"&amp;$R487&amp;"|"&amp;$AB487,'ASIGNACIONES'!$I$4:$I$339,0)),0)-$AD487)</f>
        <v/>
      </c>
      <c r="AF487" s="10">
        <f>IF($A487="","",IFERROR(INDEX('2_IMPORTAR_EJECUCION'!$F$9:$F$1208,MATCH($AN487,'2_IMPORTAR_EJECUCION'!$J$9:$J$1208,0)),0))</f>
        <v/>
      </c>
      <c r="AG487" s="10">
        <f>IF($A487="","",MAX(0,IFERROR(INDEX('2_IMPORTAR_EJECUCION'!$H$9:$H$1208,MATCH($AN487,'2_IMPORTAR_EJECUCION'!$J$9:$J$1208,0)),0)-$AF487))</f>
        <v/>
      </c>
      <c r="AH487" s="10">
        <f>IF($A487="","",$AF487+$AG487)</f>
        <v/>
      </c>
      <c r="AI487" s="6" t="n"/>
      <c r="AJ487" s="6" t="n"/>
      <c r="AK487" s="6" t="n"/>
      <c r="AL487" s="3">
        <f>IF($AK487="","",HYPERLINK(p_ruta_base_checklists&amp;$AK487,"abrir"))</f>
        <v/>
      </c>
      <c r="AM487" s="6" t="n"/>
      <c r="AN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1" t="n"/>
      <c r="K488" s="3" t="n"/>
      <c r="L488" s="10" t="n"/>
      <c r="M488" s="3">
        <f>IF($A488="","",IFERROR(INDEX('AJUSTES'!$B$4:$B$303,MATCH($AN488,'AJUSTES'!$A$4:$A$303,0)),IF($K488="","",$K488)))</f>
        <v/>
      </c>
      <c r="N488" s="3">
        <f>IF($A488="","",IFERROR(INDEX('CAT_ESTADOS_ERP'!$B$4:$B$7,MATCH(IFERROR(INDEX('2_IMPORTAR_EJECUCION'!$C$9:$C$1208,MATCH($AN488,'2_IMPORTAR_EJECUCION'!$J$9:$J$1208,0)),""),'CAT_ESTADOS_ERP'!$A$4:$A$7,0)),"Pendiente"))</f>
        <v/>
      </c>
      <c r="O488" s="3">
        <f>IF($J488="","",YEAR($J488+4-WEEKDAY($J488,2))&amp;"-S"&amp;TEXT(_xlfn.ISOWEEKNUM($J488),"00"))</f>
        <v/>
      </c>
      <c r="P488" s="3">
        <f>IF($J488="","",YEAR($J488))</f>
        <v/>
      </c>
      <c r="Q488" s="3">
        <f>IF($J488="","",MONTH($J488))</f>
        <v/>
      </c>
      <c r="R488" s="3">
        <f>IF($J488="","",INDEX(lista_dias,WEEKDAY($J488,2)))</f>
        <v/>
      </c>
      <c r="S488" s="3">
        <f>IF($I488="","",IFERROR(INDEX('CAT_TIPOS_OT'!$C$4:$C$7,MATCH($I488,'CAT_TIPOS_OT'!$A$4:$A$7,0)),"sin_clasificar"))</f>
        <v/>
      </c>
      <c r="T488" s="3">
        <f>IF($F488="","",IFERROR(INDEX('CAT_CENTROS_COSTO'!$E$4:$E$9,MATCH($F488,'CAT_CENTROS_COSTO'!$A$4:$A$9,0)),"(sin catálogo)"))</f>
        <v/>
      </c>
      <c r="U488" s="3">
        <f>IF($F488="","",IFERROR(INDEX('CAT_CENTROS_COSTO'!$D$4:$D$9,MATCH($F488,'CAT_CENTROS_COSTO'!$A$4:$A$9,0)),"(sin catálogo)"))</f>
        <v/>
      </c>
      <c r="V488" s="3">
        <f>IF($F488="","",IFERROR(INDEX('CAT_CENTROS_COSTO'!$F$4:$F$9,MATCH($F488,'CAT_CENTROS_COSTO'!$A$4:$A$9,0)),"(sin catálogo)"))</f>
        <v/>
      </c>
      <c r="W488" s="3">
        <f>IF($G488="","",IFERROR(INDEX('CAT_PUESTOS'!$B$4:$B$8,MATCH($G488,'CAT_PUESTOS'!$A$4:$A$8,0)),"(sin catálogo)"))</f>
        <v/>
      </c>
      <c r="X488" s="3">
        <f>IF($H488="","",IFERROR(INDEX('CAT_ACTIVIDADES'!$B$4:$B$8,MATCH($H488,'CAT_ACTIVIDADES'!$A$4:$A$8,0)),"(sin catálogo)"))</f>
        <v/>
      </c>
      <c r="Y488" s="12">
        <f>IF($J488="","",TODAY()-$J488)</f>
        <v/>
      </c>
      <c r="Z488" s="3">
        <f>IF($Y488="","",IF($Y488&lt;0,"FUTURO",IF($Y488&gt;p_dias_backlog_max,"BACKLOG","MES CORRIENTE")))</f>
        <v/>
      </c>
      <c r="AA488" s="3">
        <f>IF($Y488="",FALSE,AND($Y488&gt;p_dias_backlog_min,$Y488&lt;=p_dias_backlog_max))</f>
        <v/>
      </c>
      <c r="AB488" s="6" t="n"/>
      <c r="AC488" s="3">
        <f>IF($AB488="","",IFERROR(INDEX('ASIGNACIONES'!$F$4:$F$339,MATCH($O488&amp;"|"&amp;$R488&amp;"|"&amp;$AB488,'ASIGNACIONES'!$I$4:$I$339,0)),""))</f>
        <v/>
      </c>
      <c r="AD488" s="13">
        <f>IF($AB488="","",SUMIFS('ORDENES'!$M$4:$M$1203,'ORDENES'!$AB$4:$AB$1203,$AB488,'ORDENES'!$O$4:$O$1203,$O488,'ORDENES'!$R$4:$R$1203,$R488))</f>
        <v/>
      </c>
      <c r="AE488" s="13">
        <f>IF($AD488="","",p_factor_productividad*IFERROR(INDEX('ASIGNACIONES'!$H$4:$H$339,MATCH($O488&amp;"|"&amp;$R488&amp;"|"&amp;$AB488,'ASIGNACIONES'!$I$4:$I$339,0)),0)-$AD488)</f>
        <v/>
      </c>
      <c r="AF488" s="10">
        <f>IF($A488="","",IFERROR(INDEX('2_IMPORTAR_EJECUCION'!$F$9:$F$1208,MATCH($AN488,'2_IMPORTAR_EJECUCION'!$J$9:$J$1208,0)),0))</f>
        <v/>
      </c>
      <c r="AG488" s="10">
        <f>IF($A488="","",MAX(0,IFERROR(INDEX('2_IMPORTAR_EJECUCION'!$H$9:$H$1208,MATCH($AN488,'2_IMPORTAR_EJECUCION'!$J$9:$J$1208,0)),0)-$AF488))</f>
        <v/>
      </c>
      <c r="AH488" s="10">
        <f>IF($A488="","",$AF488+$AG488)</f>
        <v/>
      </c>
      <c r="AI488" s="6" t="n"/>
      <c r="AJ488" s="6" t="n"/>
      <c r="AK488" s="6" t="n"/>
      <c r="AL488" s="3">
        <f>IF($AK488="","",HYPERLINK(p_ruta_base_checklists&amp;$AK488,"abrir"))</f>
        <v/>
      </c>
      <c r="AM488" s="6" t="n"/>
      <c r="AN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1" t="n"/>
      <c r="K489" s="3" t="n"/>
      <c r="L489" s="10" t="n"/>
      <c r="M489" s="3">
        <f>IF($A489="","",IFERROR(INDEX('AJUSTES'!$B$4:$B$303,MATCH($AN489,'AJUSTES'!$A$4:$A$303,0)),IF($K489="","",$K489)))</f>
        <v/>
      </c>
      <c r="N489" s="3">
        <f>IF($A489="","",IFERROR(INDEX('CAT_ESTADOS_ERP'!$B$4:$B$7,MATCH(IFERROR(INDEX('2_IMPORTAR_EJECUCION'!$C$9:$C$1208,MATCH($AN489,'2_IMPORTAR_EJECUCION'!$J$9:$J$1208,0)),""),'CAT_ESTADOS_ERP'!$A$4:$A$7,0)),"Pendiente"))</f>
        <v/>
      </c>
      <c r="O489" s="3">
        <f>IF($J489="","",YEAR($J489+4-WEEKDAY($J489,2))&amp;"-S"&amp;TEXT(_xlfn.ISOWEEKNUM($J489),"00"))</f>
        <v/>
      </c>
      <c r="P489" s="3">
        <f>IF($J489="","",YEAR($J489))</f>
        <v/>
      </c>
      <c r="Q489" s="3">
        <f>IF($J489="","",MONTH($J489))</f>
        <v/>
      </c>
      <c r="R489" s="3">
        <f>IF($J489="","",INDEX(lista_dias,WEEKDAY($J489,2)))</f>
        <v/>
      </c>
      <c r="S489" s="3">
        <f>IF($I489="","",IFERROR(INDEX('CAT_TIPOS_OT'!$C$4:$C$7,MATCH($I489,'CAT_TIPOS_OT'!$A$4:$A$7,0)),"sin_clasificar"))</f>
        <v/>
      </c>
      <c r="T489" s="3">
        <f>IF($F489="","",IFERROR(INDEX('CAT_CENTROS_COSTO'!$E$4:$E$9,MATCH($F489,'CAT_CENTROS_COSTO'!$A$4:$A$9,0)),"(sin catálogo)"))</f>
        <v/>
      </c>
      <c r="U489" s="3">
        <f>IF($F489="","",IFERROR(INDEX('CAT_CENTROS_COSTO'!$D$4:$D$9,MATCH($F489,'CAT_CENTROS_COSTO'!$A$4:$A$9,0)),"(sin catálogo)"))</f>
        <v/>
      </c>
      <c r="V489" s="3">
        <f>IF($F489="","",IFERROR(INDEX('CAT_CENTROS_COSTO'!$F$4:$F$9,MATCH($F489,'CAT_CENTROS_COSTO'!$A$4:$A$9,0)),"(sin catálogo)"))</f>
        <v/>
      </c>
      <c r="W489" s="3">
        <f>IF($G489="","",IFERROR(INDEX('CAT_PUESTOS'!$B$4:$B$8,MATCH($G489,'CAT_PUESTOS'!$A$4:$A$8,0)),"(sin catálogo)"))</f>
        <v/>
      </c>
      <c r="X489" s="3">
        <f>IF($H489="","",IFERROR(INDEX('CAT_ACTIVIDADES'!$B$4:$B$8,MATCH($H489,'CAT_ACTIVIDADES'!$A$4:$A$8,0)),"(sin catálogo)"))</f>
        <v/>
      </c>
      <c r="Y489" s="12">
        <f>IF($J489="","",TODAY()-$J489)</f>
        <v/>
      </c>
      <c r="Z489" s="3">
        <f>IF($Y489="","",IF($Y489&lt;0,"FUTURO",IF($Y489&gt;p_dias_backlog_max,"BACKLOG","MES CORRIENTE")))</f>
        <v/>
      </c>
      <c r="AA489" s="3">
        <f>IF($Y489="",FALSE,AND($Y489&gt;p_dias_backlog_min,$Y489&lt;=p_dias_backlog_max))</f>
        <v/>
      </c>
      <c r="AB489" s="6" t="n"/>
      <c r="AC489" s="3">
        <f>IF($AB489="","",IFERROR(INDEX('ASIGNACIONES'!$F$4:$F$339,MATCH($O489&amp;"|"&amp;$R489&amp;"|"&amp;$AB489,'ASIGNACIONES'!$I$4:$I$339,0)),""))</f>
        <v/>
      </c>
      <c r="AD489" s="13">
        <f>IF($AB489="","",SUMIFS('ORDENES'!$M$4:$M$1203,'ORDENES'!$AB$4:$AB$1203,$AB489,'ORDENES'!$O$4:$O$1203,$O489,'ORDENES'!$R$4:$R$1203,$R489))</f>
        <v/>
      </c>
      <c r="AE489" s="13">
        <f>IF($AD489="","",p_factor_productividad*IFERROR(INDEX('ASIGNACIONES'!$H$4:$H$339,MATCH($O489&amp;"|"&amp;$R489&amp;"|"&amp;$AB489,'ASIGNACIONES'!$I$4:$I$339,0)),0)-$AD489)</f>
        <v/>
      </c>
      <c r="AF489" s="10">
        <f>IF($A489="","",IFERROR(INDEX('2_IMPORTAR_EJECUCION'!$F$9:$F$1208,MATCH($AN489,'2_IMPORTAR_EJECUCION'!$J$9:$J$1208,0)),0))</f>
        <v/>
      </c>
      <c r="AG489" s="10">
        <f>IF($A489="","",MAX(0,IFERROR(INDEX('2_IMPORTAR_EJECUCION'!$H$9:$H$1208,MATCH($AN489,'2_IMPORTAR_EJECUCION'!$J$9:$J$1208,0)),0)-$AF489))</f>
        <v/>
      </c>
      <c r="AH489" s="10">
        <f>IF($A489="","",$AF489+$AG489)</f>
        <v/>
      </c>
      <c r="AI489" s="6" t="n"/>
      <c r="AJ489" s="6" t="n"/>
      <c r="AK489" s="6" t="n"/>
      <c r="AL489" s="3">
        <f>IF($AK489="","",HYPERLINK(p_ruta_base_checklists&amp;$AK489,"abrir"))</f>
        <v/>
      </c>
      <c r="AM489" s="6" t="n"/>
      <c r="AN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1" t="n"/>
      <c r="K490" s="3" t="n"/>
      <c r="L490" s="10" t="n"/>
      <c r="M490" s="3">
        <f>IF($A490="","",IFERROR(INDEX('AJUSTES'!$B$4:$B$303,MATCH($AN490,'AJUSTES'!$A$4:$A$303,0)),IF($K490="","",$K490)))</f>
        <v/>
      </c>
      <c r="N490" s="3">
        <f>IF($A490="","",IFERROR(INDEX('CAT_ESTADOS_ERP'!$B$4:$B$7,MATCH(IFERROR(INDEX('2_IMPORTAR_EJECUCION'!$C$9:$C$1208,MATCH($AN490,'2_IMPORTAR_EJECUCION'!$J$9:$J$1208,0)),""),'CAT_ESTADOS_ERP'!$A$4:$A$7,0)),"Pendiente"))</f>
        <v/>
      </c>
      <c r="O490" s="3">
        <f>IF($J490="","",YEAR($J490+4-WEEKDAY($J490,2))&amp;"-S"&amp;TEXT(_xlfn.ISOWEEKNUM($J490),"00"))</f>
        <v/>
      </c>
      <c r="P490" s="3">
        <f>IF($J490="","",YEAR($J490))</f>
        <v/>
      </c>
      <c r="Q490" s="3">
        <f>IF($J490="","",MONTH($J490))</f>
        <v/>
      </c>
      <c r="R490" s="3">
        <f>IF($J490="","",INDEX(lista_dias,WEEKDAY($J490,2)))</f>
        <v/>
      </c>
      <c r="S490" s="3">
        <f>IF($I490="","",IFERROR(INDEX('CAT_TIPOS_OT'!$C$4:$C$7,MATCH($I490,'CAT_TIPOS_OT'!$A$4:$A$7,0)),"sin_clasificar"))</f>
        <v/>
      </c>
      <c r="T490" s="3">
        <f>IF($F490="","",IFERROR(INDEX('CAT_CENTROS_COSTO'!$E$4:$E$9,MATCH($F490,'CAT_CENTROS_COSTO'!$A$4:$A$9,0)),"(sin catálogo)"))</f>
        <v/>
      </c>
      <c r="U490" s="3">
        <f>IF($F490="","",IFERROR(INDEX('CAT_CENTROS_COSTO'!$D$4:$D$9,MATCH($F490,'CAT_CENTROS_COSTO'!$A$4:$A$9,0)),"(sin catálogo)"))</f>
        <v/>
      </c>
      <c r="V490" s="3">
        <f>IF($F490="","",IFERROR(INDEX('CAT_CENTROS_COSTO'!$F$4:$F$9,MATCH($F490,'CAT_CENTROS_COSTO'!$A$4:$A$9,0)),"(sin catálogo)"))</f>
        <v/>
      </c>
      <c r="W490" s="3">
        <f>IF($G490="","",IFERROR(INDEX('CAT_PUESTOS'!$B$4:$B$8,MATCH($G490,'CAT_PUESTOS'!$A$4:$A$8,0)),"(sin catálogo)"))</f>
        <v/>
      </c>
      <c r="X490" s="3">
        <f>IF($H490="","",IFERROR(INDEX('CAT_ACTIVIDADES'!$B$4:$B$8,MATCH($H490,'CAT_ACTIVIDADES'!$A$4:$A$8,0)),"(sin catálogo)"))</f>
        <v/>
      </c>
      <c r="Y490" s="12">
        <f>IF($J490="","",TODAY()-$J490)</f>
        <v/>
      </c>
      <c r="Z490" s="3">
        <f>IF($Y490="","",IF($Y490&lt;0,"FUTURO",IF($Y490&gt;p_dias_backlog_max,"BACKLOG","MES CORRIENTE")))</f>
        <v/>
      </c>
      <c r="AA490" s="3">
        <f>IF($Y490="",FALSE,AND($Y490&gt;p_dias_backlog_min,$Y490&lt;=p_dias_backlog_max))</f>
        <v/>
      </c>
      <c r="AB490" s="6" t="n"/>
      <c r="AC490" s="3">
        <f>IF($AB490="","",IFERROR(INDEX('ASIGNACIONES'!$F$4:$F$339,MATCH($O490&amp;"|"&amp;$R490&amp;"|"&amp;$AB490,'ASIGNACIONES'!$I$4:$I$339,0)),""))</f>
        <v/>
      </c>
      <c r="AD490" s="13">
        <f>IF($AB490="","",SUMIFS('ORDENES'!$M$4:$M$1203,'ORDENES'!$AB$4:$AB$1203,$AB490,'ORDENES'!$O$4:$O$1203,$O490,'ORDENES'!$R$4:$R$1203,$R490))</f>
        <v/>
      </c>
      <c r="AE490" s="13">
        <f>IF($AD490="","",p_factor_productividad*IFERROR(INDEX('ASIGNACIONES'!$H$4:$H$339,MATCH($O490&amp;"|"&amp;$R490&amp;"|"&amp;$AB490,'ASIGNACIONES'!$I$4:$I$339,0)),0)-$AD490)</f>
        <v/>
      </c>
      <c r="AF490" s="10">
        <f>IF($A490="","",IFERROR(INDEX('2_IMPORTAR_EJECUCION'!$F$9:$F$1208,MATCH($AN490,'2_IMPORTAR_EJECUCION'!$J$9:$J$1208,0)),0))</f>
        <v/>
      </c>
      <c r="AG490" s="10">
        <f>IF($A490="","",MAX(0,IFERROR(INDEX('2_IMPORTAR_EJECUCION'!$H$9:$H$1208,MATCH($AN490,'2_IMPORTAR_EJECUCION'!$J$9:$J$1208,0)),0)-$AF490))</f>
        <v/>
      </c>
      <c r="AH490" s="10">
        <f>IF($A490="","",$AF490+$AG490)</f>
        <v/>
      </c>
      <c r="AI490" s="6" t="n"/>
      <c r="AJ490" s="6" t="n"/>
      <c r="AK490" s="6" t="n"/>
      <c r="AL490" s="3">
        <f>IF($AK490="","",HYPERLINK(p_ruta_base_checklists&amp;$AK490,"abrir"))</f>
        <v/>
      </c>
      <c r="AM490" s="6" t="n"/>
      <c r="AN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1" t="n"/>
      <c r="K491" s="3" t="n"/>
      <c r="L491" s="10" t="n"/>
      <c r="M491" s="3">
        <f>IF($A491="","",IFERROR(INDEX('AJUSTES'!$B$4:$B$303,MATCH($AN491,'AJUSTES'!$A$4:$A$303,0)),IF($K491="","",$K491)))</f>
        <v/>
      </c>
      <c r="N491" s="3">
        <f>IF($A491="","",IFERROR(INDEX('CAT_ESTADOS_ERP'!$B$4:$B$7,MATCH(IFERROR(INDEX('2_IMPORTAR_EJECUCION'!$C$9:$C$1208,MATCH($AN491,'2_IMPORTAR_EJECUCION'!$J$9:$J$1208,0)),""),'CAT_ESTADOS_ERP'!$A$4:$A$7,0)),"Pendiente"))</f>
        <v/>
      </c>
      <c r="O491" s="3">
        <f>IF($J491="","",YEAR($J491+4-WEEKDAY($J491,2))&amp;"-S"&amp;TEXT(_xlfn.ISOWEEKNUM($J491),"00"))</f>
        <v/>
      </c>
      <c r="P491" s="3">
        <f>IF($J491="","",YEAR($J491))</f>
        <v/>
      </c>
      <c r="Q491" s="3">
        <f>IF($J491="","",MONTH($J491))</f>
        <v/>
      </c>
      <c r="R491" s="3">
        <f>IF($J491="","",INDEX(lista_dias,WEEKDAY($J491,2)))</f>
        <v/>
      </c>
      <c r="S491" s="3">
        <f>IF($I491="","",IFERROR(INDEX('CAT_TIPOS_OT'!$C$4:$C$7,MATCH($I491,'CAT_TIPOS_OT'!$A$4:$A$7,0)),"sin_clasificar"))</f>
        <v/>
      </c>
      <c r="T491" s="3">
        <f>IF($F491="","",IFERROR(INDEX('CAT_CENTROS_COSTO'!$E$4:$E$9,MATCH($F491,'CAT_CENTROS_COSTO'!$A$4:$A$9,0)),"(sin catálogo)"))</f>
        <v/>
      </c>
      <c r="U491" s="3">
        <f>IF($F491="","",IFERROR(INDEX('CAT_CENTROS_COSTO'!$D$4:$D$9,MATCH($F491,'CAT_CENTROS_COSTO'!$A$4:$A$9,0)),"(sin catálogo)"))</f>
        <v/>
      </c>
      <c r="V491" s="3">
        <f>IF($F491="","",IFERROR(INDEX('CAT_CENTROS_COSTO'!$F$4:$F$9,MATCH($F491,'CAT_CENTROS_COSTO'!$A$4:$A$9,0)),"(sin catálogo)"))</f>
        <v/>
      </c>
      <c r="W491" s="3">
        <f>IF($G491="","",IFERROR(INDEX('CAT_PUESTOS'!$B$4:$B$8,MATCH($G491,'CAT_PUESTOS'!$A$4:$A$8,0)),"(sin catálogo)"))</f>
        <v/>
      </c>
      <c r="X491" s="3">
        <f>IF($H491="","",IFERROR(INDEX('CAT_ACTIVIDADES'!$B$4:$B$8,MATCH($H491,'CAT_ACTIVIDADES'!$A$4:$A$8,0)),"(sin catálogo)"))</f>
        <v/>
      </c>
      <c r="Y491" s="12">
        <f>IF($J491="","",TODAY()-$J491)</f>
        <v/>
      </c>
      <c r="Z491" s="3">
        <f>IF($Y491="","",IF($Y491&lt;0,"FUTURO",IF($Y491&gt;p_dias_backlog_max,"BACKLOG","MES CORRIENTE")))</f>
        <v/>
      </c>
      <c r="AA491" s="3">
        <f>IF($Y491="",FALSE,AND($Y491&gt;p_dias_backlog_min,$Y491&lt;=p_dias_backlog_max))</f>
        <v/>
      </c>
      <c r="AB491" s="6" t="n"/>
      <c r="AC491" s="3">
        <f>IF($AB491="","",IFERROR(INDEX('ASIGNACIONES'!$F$4:$F$339,MATCH($O491&amp;"|"&amp;$R491&amp;"|"&amp;$AB491,'ASIGNACIONES'!$I$4:$I$339,0)),""))</f>
        <v/>
      </c>
      <c r="AD491" s="13">
        <f>IF($AB491="","",SUMIFS('ORDENES'!$M$4:$M$1203,'ORDENES'!$AB$4:$AB$1203,$AB491,'ORDENES'!$O$4:$O$1203,$O491,'ORDENES'!$R$4:$R$1203,$R491))</f>
        <v/>
      </c>
      <c r="AE491" s="13">
        <f>IF($AD491="","",p_factor_productividad*IFERROR(INDEX('ASIGNACIONES'!$H$4:$H$339,MATCH($O491&amp;"|"&amp;$R491&amp;"|"&amp;$AB491,'ASIGNACIONES'!$I$4:$I$339,0)),0)-$AD491)</f>
        <v/>
      </c>
      <c r="AF491" s="10">
        <f>IF($A491="","",IFERROR(INDEX('2_IMPORTAR_EJECUCION'!$F$9:$F$1208,MATCH($AN491,'2_IMPORTAR_EJECUCION'!$J$9:$J$1208,0)),0))</f>
        <v/>
      </c>
      <c r="AG491" s="10">
        <f>IF($A491="","",MAX(0,IFERROR(INDEX('2_IMPORTAR_EJECUCION'!$H$9:$H$1208,MATCH($AN491,'2_IMPORTAR_EJECUCION'!$J$9:$J$1208,0)),0)-$AF491))</f>
        <v/>
      </c>
      <c r="AH491" s="10">
        <f>IF($A491="","",$AF491+$AG491)</f>
        <v/>
      </c>
      <c r="AI491" s="6" t="n"/>
      <c r="AJ491" s="6" t="n"/>
      <c r="AK491" s="6" t="n"/>
      <c r="AL491" s="3">
        <f>IF($AK491="","",HYPERLINK(p_ruta_base_checklists&amp;$AK491,"abrir"))</f>
        <v/>
      </c>
      <c r="AM491" s="6" t="n"/>
      <c r="AN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1" t="n"/>
      <c r="K492" s="3" t="n"/>
      <c r="L492" s="10" t="n"/>
      <c r="M492" s="3">
        <f>IF($A492="","",IFERROR(INDEX('AJUSTES'!$B$4:$B$303,MATCH($AN492,'AJUSTES'!$A$4:$A$303,0)),IF($K492="","",$K492)))</f>
        <v/>
      </c>
      <c r="N492" s="3">
        <f>IF($A492="","",IFERROR(INDEX('CAT_ESTADOS_ERP'!$B$4:$B$7,MATCH(IFERROR(INDEX('2_IMPORTAR_EJECUCION'!$C$9:$C$1208,MATCH($AN492,'2_IMPORTAR_EJECUCION'!$J$9:$J$1208,0)),""),'CAT_ESTADOS_ERP'!$A$4:$A$7,0)),"Pendiente"))</f>
        <v/>
      </c>
      <c r="O492" s="3">
        <f>IF($J492="","",YEAR($J492+4-WEEKDAY($J492,2))&amp;"-S"&amp;TEXT(_xlfn.ISOWEEKNUM($J492),"00"))</f>
        <v/>
      </c>
      <c r="P492" s="3">
        <f>IF($J492="","",YEAR($J492))</f>
        <v/>
      </c>
      <c r="Q492" s="3">
        <f>IF($J492="","",MONTH($J492))</f>
        <v/>
      </c>
      <c r="R492" s="3">
        <f>IF($J492="","",INDEX(lista_dias,WEEKDAY($J492,2)))</f>
        <v/>
      </c>
      <c r="S492" s="3">
        <f>IF($I492="","",IFERROR(INDEX('CAT_TIPOS_OT'!$C$4:$C$7,MATCH($I492,'CAT_TIPOS_OT'!$A$4:$A$7,0)),"sin_clasificar"))</f>
        <v/>
      </c>
      <c r="T492" s="3">
        <f>IF($F492="","",IFERROR(INDEX('CAT_CENTROS_COSTO'!$E$4:$E$9,MATCH($F492,'CAT_CENTROS_COSTO'!$A$4:$A$9,0)),"(sin catálogo)"))</f>
        <v/>
      </c>
      <c r="U492" s="3">
        <f>IF($F492="","",IFERROR(INDEX('CAT_CENTROS_COSTO'!$D$4:$D$9,MATCH($F492,'CAT_CENTROS_COSTO'!$A$4:$A$9,0)),"(sin catálogo)"))</f>
        <v/>
      </c>
      <c r="V492" s="3">
        <f>IF($F492="","",IFERROR(INDEX('CAT_CENTROS_COSTO'!$F$4:$F$9,MATCH($F492,'CAT_CENTROS_COSTO'!$A$4:$A$9,0)),"(sin catálogo)"))</f>
        <v/>
      </c>
      <c r="W492" s="3">
        <f>IF($G492="","",IFERROR(INDEX('CAT_PUESTOS'!$B$4:$B$8,MATCH($G492,'CAT_PUESTOS'!$A$4:$A$8,0)),"(sin catálogo)"))</f>
        <v/>
      </c>
      <c r="X492" s="3">
        <f>IF($H492="","",IFERROR(INDEX('CAT_ACTIVIDADES'!$B$4:$B$8,MATCH($H492,'CAT_ACTIVIDADES'!$A$4:$A$8,0)),"(sin catálogo)"))</f>
        <v/>
      </c>
      <c r="Y492" s="12">
        <f>IF($J492="","",TODAY()-$J492)</f>
        <v/>
      </c>
      <c r="Z492" s="3">
        <f>IF($Y492="","",IF($Y492&lt;0,"FUTURO",IF($Y492&gt;p_dias_backlog_max,"BACKLOG","MES CORRIENTE")))</f>
        <v/>
      </c>
      <c r="AA492" s="3">
        <f>IF($Y492="",FALSE,AND($Y492&gt;p_dias_backlog_min,$Y492&lt;=p_dias_backlog_max))</f>
        <v/>
      </c>
      <c r="AB492" s="6" t="n"/>
      <c r="AC492" s="3">
        <f>IF($AB492="","",IFERROR(INDEX('ASIGNACIONES'!$F$4:$F$339,MATCH($O492&amp;"|"&amp;$R492&amp;"|"&amp;$AB492,'ASIGNACIONES'!$I$4:$I$339,0)),""))</f>
        <v/>
      </c>
      <c r="AD492" s="13">
        <f>IF($AB492="","",SUMIFS('ORDENES'!$M$4:$M$1203,'ORDENES'!$AB$4:$AB$1203,$AB492,'ORDENES'!$O$4:$O$1203,$O492,'ORDENES'!$R$4:$R$1203,$R492))</f>
        <v/>
      </c>
      <c r="AE492" s="13">
        <f>IF($AD492="","",p_factor_productividad*IFERROR(INDEX('ASIGNACIONES'!$H$4:$H$339,MATCH($O492&amp;"|"&amp;$R492&amp;"|"&amp;$AB492,'ASIGNACIONES'!$I$4:$I$339,0)),0)-$AD492)</f>
        <v/>
      </c>
      <c r="AF492" s="10">
        <f>IF($A492="","",IFERROR(INDEX('2_IMPORTAR_EJECUCION'!$F$9:$F$1208,MATCH($AN492,'2_IMPORTAR_EJECUCION'!$J$9:$J$1208,0)),0))</f>
        <v/>
      </c>
      <c r="AG492" s="10">
        <f>IF($A492="","",MAX(0,IFERROR(INDEX('2_IMPORTAR_EJECUCION'!$H$9:$H$1208,MATCH($AN492,'2_IMPORTAR_EJECUCION'!$J$9:$J$1208,0)),0)-$AF492))</f>
        <v/>
      </c>
      <c r="AH492" s="10">
        <f>IF($A492="","",$AF492+$AG492)</f>
        <v/>
      </c>
      <c r="AI492" s="6" t="n"/>
      <c r="AJ492" s="6" t="n"/>
      <c r="AK492" s="6" t="n"/>
      <c r="AL492" s="3">
        <f>IF($AK492="","",HYPERLINK(p_ruta_base_checklists&amp;$AK492,"abrir"))</f>
        <v/>
      </c>
      <c r="AM492" s="6" t="n"/>
      <c r="AN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1" t="n"/>
      <c r="K493" s="3" t="n"/>
      <c r="L493" s="10" t="n"/>
      <c r="M493" s="3">
        <f>IF($A493="","",IFERROR(INDEX('AJUSTES'!$B$4:$B$303,MATCH($AN493,'AJUSTES'!$A$4:$A$303,0)),IF($K493="","",$K493)))</f>
        <v/>
      </c>
      <c r="N493" s="3">
        <f>IF($A493="","",IFERROR(INDEX('CAT_ESTADOS_ERP'!$B$4:$B$7,MATCH(IFERROR(INDEX('2_IMPORTAR_EJECUCION'!$C$9:$C$1208,MATCH($AN493,'2_IMPORTAR_EJECUCION'!$J$9:$J$1208,0)),""),'CAT_ESTADOS_ERP'!$A$4:$A$7,0)),"Pendiente"))</f>
        <v/>
      </c>
      <c r="O493" s="3">
        <f>IF($J493="","",YEAR($J493+4-WEEKDAY($J493,2))&amp;"-S"&amp;TEXT(_xlfn.ISOWEEKNUM($J493),"00"))</f>
        <v/>
      </c>
      <c r="P493" s="3">
        <f>IF($J493="","",YEAR($J493))</f>
        <v/>
      </c>
      <c r="Q493" s="3">
        <f>IF($J493="","",MONTH($J493))</f>
        <v/>
      </c>
      <c r="R493" s="3">
        <f>IF($J493="","",INDEX(lista_dias,WEEKDAY($J493,2)))</f>
        <v/>
      </c>
      <c r="S493" s="3">
        <f>IF($I493="","",IFERROR(INDEX('CAT_TIPOS_OT'!$C$4:$C$7,MATCH($I493,'CAT_TIPOS_OT'!$A$4:$A$7,0)),"sin_clasificar"))</f>
        <v/>
      </c>
      <c r="T493" s="3">
        <f>IF($F493="","",IFERROR(INDEX('CAT_CENTROS_COSTO'!$E$4:$E$9,MATCH($F493,'CAT_CENTROS_COSTO'!$A$4:$A$9,0)),"(sin catálogo)"))</f>
        <v/>
      </c>
      <c r="U493" s="3">
        <f>IF($F493="","",IFERROR(INDEX('CAT_CENTROS_COSTO'!$D$4:$D$9,MATCH($F493,'CAT_CENTROS_COSTO'!$A$4:$A$9,0)),"(sin catálogo)"))</f>
        <v/>
      </c>
      <c r="V493" s="3">
        <f>IF($F493="","",IFERROR(INDEX('CAT_CENTROS_COSTO'!$F$4:$F$9,MATCH($F493,'CAT_CENTROS_COSTO'!$A$4:$A$9,0)),"(sin catálogo)"))</f>
        <v/>
      </c>
      <c r="W493" s="3">
        <f>IF($G493="","",IFERROR(INDEX('CAT_PUESTOS'!$B$4:$B$8,MATCH($G493,'CAT_PUESTOS'!$A$4:$A$8,0)),"(sin catálogo)"))</f>
        <v/>
      </c>
      <c r="X493" s="3">
        <f>IF($H493="","",IFERROR(INDEX('CAT_ACTIVIDADES'!$B$4:$B$8,MATCH($H493,'CAT_ACTIVIDADES'!$A$4:$A$8,0)),"(sin catálogo)"))</f>
        <v/>
      </c>
      <c r="Y493" s="12">
        <f>IF($J493="","",TODAY()-$J493)</f>
        <v/>
      </c>
      <c r="Z493" s="3">
        <f>IF($Y493="","",IF($Y493&lt;0,"FUTURO",IF($Y493&gt;p_dias_backlog_max,"BACKLOG","MES CORRIENTE")))</f>
        <v/>
      </c>
      <c r="AA493" s="3">
        <f>IF($Y493="",FALSE,AND($Y493&gt;p_dias_backlog_min,$Y493&lt;=p_dias_backlog_max))</f>
        <v/>
      </c>
      <c r="AB493" s="6" t="n"/>
      <c r="AC493" s="3">
        <f>IF($AB493="","",IFERROR(INDEX('ASIGNACIONES'!$F$4:$F$339,MATCH($O493&amp;"|"&amp;$R493&amp;"|"&amp;$AB493,'ASIGNACIONES'!$I$4:$I$339,0)),""))</f>
        <v/>
      </c>
      <c r="AD493" s="13">
        <f>IF($AB493="","",SUMIFS('ORDENES'!$M$4:$M$1203,'ORDENES'!$AB$4:$AB$1203,$AB493,'ORDENES'!$O$4:$O$1203,$O493,'ORDENES'!$R$4:$R$1203,$R493))</f>
        <v/>
      </c>
      <c r="AE493" s="13">
        <f>IF($AD493="","",p_factor_productividad*IFERROR(INDEX('ASIGNACIONES'!$H$4:$H$339,MATCH($O493&amp;"|"&amp;$R493&amp;"|"&amp;$AB493,'ASIGNACIONES'!$I$4:$I$339,0)),0)-$AD493)</f>
        <v/>
      </c>
      <c r="AF493" s="10">
        <f>IF($A493="","",IFERROR(INDEX('2_IMPORTAR_EJECUCION'!$F$9:$F$1208,MATCH($AN493,'2_IMPORTAR_EJECUCION'!$J$9:$J$1208,0)),0))</f>
        <v/>
      </c>
      <c r="AG493" s="10">
        <f>IF($A493="","",MAX(0,IFERROR(INDEX('2_IMPORTAR_EJECUCION'!$H$9:$H$1208,MATCH($AN493,'2_IMPORTAR_EJECUCION'!$J$9:$J$1208,0)),0)-$AF493))</f>
        <v/>
      </c>
      <c r="AH493" s="10">
        <f>IF($A493="","",$AF493+$AG493)</f>
        <v/>
      </c>
      <c r="AI493" s="6" t="n"/>
      <c r="AJ493" s="6" t="n"/>
      <c r="AK493" s="6" t="n"/>
      <c r="AL493" s="3">
        <f>IF($AK493="","",HYPERLINK(p_ruta_base_checklists&amp;$AK493,"abrir"))</f>
        <v/>
      </c>
      <c r="AM493" s="6" t="n"/>
      <c r="AN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1" t="n"/>
      <c r="K494" s="3" t="n"/>
      <c r="L494" s="10" t="n"/>
      <c r="M494" s="3">
        <f>IF($A494="","",IFERROR(INDEX('AJUSTES'!$B$4:$B$303,MATCH($AN494,'AJUSTES'!$A$4:$A$303,0)),IF($K494="","",$K494)))</f>
        <v/>
      </c>
      <c r="N494" s="3">
        <f>IF($A494="","",IFERROR(INDEX('CAT_ESTADOS_ERP'!$B$4:$B$7,MATCH(IFERROR(INDEX('2_IMPORTAR_EJECUCION'!$C$9:$C$1208,MATCH($AN494,'2_IMPORTAR_EJECUCION'!$J$9:$J$1208,0)),""),'CAT_ESTADOS_ERP'!$A$4:$A$7,0)),"Pendiente"))</f>
        <v/>
      </c>
      <c r="O494" s="3">
        <f>IF($J494="","",YEAR($J494+4-WEEKDAY($J494,2))&amp;"-S"&amp;TEXT(_xlfn.ISOWEEKNUM($J494),"00"))</f>
        <v/>
      </c>
      <c r="P494" s="3">
        <f>IF($J494="","",YEAR($J494))</f>
        <v/>
      </c>
      <c r="Q494" s="3">
        <f>IF($J494="","",MONTH($J494))</f>
        <v/>
      </c>
      <c r="R494" s="3">
        <f>IF($J494="","",INDEX(lista_dias,WEEKDAY($J494,2)))</f>
        <v/>
      </c>
      <c r="S494" s="3">
        <f>IF($I494="","",IFERROR(INDEX('CAT_TIPOS_OT'!$C$4:$C$7,MATCH($I494,'CAT_TIPOS_OT'!$A$4:$A$7,0)),"sin_clasificar"))</f>
        <v/>
      </c>
      <c r="T494" s="3">
        <f>IF($F494="","",IFERROR(INDEX('CAT_CENTROS_COSTO'!$E$4:$E$9,MATCH($F494,'CAT_CENTROS_COSTO'!$A$4:$A$9,0)),"(sin catálogo)"))</f>
        <v/>
      </c>
      <c r="U494" s="3">
        <f>IF($F494="","",IFERROR(INDEX('CAT_CENTROS_COSTO'!$D$4:$D$9,MATCH($F494,'CAT_CENTROS_COSTO'!$A$4:$A$9,0)),"(sin catálogo)"))</f>
        <v/>
      </c>
      <c r="V494" s="3">
        <f>IF($F494="","",IFERROR(INDEX('CAT_CENTROS_COSTO'!$F$4:$F$9,MATCH($F494,'CAT_CENTROS_COSTO'!$A$4:$A$9,0)),"(sin catálogo)"))</f>
        <v/>
      </c>
      <c r="W494" s="3">
        <f>IF($G494="","",IFERROR(INDEX('CAT_PUESTOS'!$B$4:$B$8,MATCH($G494,'CAT_PUESTOS'!$A$4:$A$8,0)),"(sin catálogo)"))</f>
        <v/>
      </c>
      <c r="X494" s="3">
        <f>IF($H494="","",IFERROR(INDEX('CAT_ACTIVIDADES'!$B$4:$B$8,MATCH($H494,'CAT_ACTIVIDADES'!$A$4:$A$8,0)),"(sin catálogo)"))</f>
        <v/>
      </c>
      <c r="Y494" s="12">
        <f>IF($J494="","",TODAY()-$J494)</f>
        <v/>
      </c>
      <c r="Z494" s="3">
        <f>IF($Y494="","",IF($Y494&lt;0,"FUTURO",IF($Y494&gt;p_dias_backlog_max,"BACKLOG","MES CORRIENTE")))</f>
        <v/>
      </c>
      <c r="AA494" s="3">
        <f>IF($Y494="",FALSE,AND($Y494&gt;p_dias_backlog_min,$Y494&lt;=p_dias_backlog_max))</f>
        <v/>
      </c>
      <c r="AB494" s="6" t="n"/>
      <c r="AC494" s="3">
        <f>IF($AB494="","",IFERROR(INDEX('ASIGNACIONES'!$F$4:$F$339,MATCH($O494&amp;"|"&amp;$R494&amp;"|"&amp;$AB494,'ASIGNACIONES'!$I$4:$I$339,0)),""))</f>
        <v/>
      </c>
      <c r="AD494" s="13">
        <f>IF($AB494="","",SUMIFS('ORDENES'!$M$4:$M$1203,'ORDENES'!$AB$4:$AB$1203,$AB494,'ORDENES'!$O$4:$O$1203,$O494,'ORDENES'!$R$4:$R$1203,$R494))</f>
        <v/>
      </c>
      <c r="AE494" s="13">
        <f>IF($AD494="","",p_factor_productividad*IFERROR(INDEX('ASIGNACIONES'!$H$4:$H$339,MATCH($O494&amp;"|"&amp;$R494&amp;"|"&amp;$AB494,'ASIGNACIONES'!$I$4:$I$339,0)),0)-$AD494)</f>
        <v/>
      </c>
      <c r="AF494" s="10">
        <f>IF($A494="","",IFERROR(INDEX('2_IMPORTAR_EJECUCION'!$F$9:$F$1208,MATCH($AN494,'2_IMPORTAR_EJECUCION'!$J$9:$J$1208,0)),0))</f>
        <v/>
      </c>
      <c r="AG494" s="10">
        <f>IF($A494="","",MAX(0,IFERROR(INDEX('2_IMPORTAR_EJECUCION'!$H$9:$H$1208,MATCH($AN494,'2_IMPORTAR_EJECUCION'!$J$9:$J$1208,0)),0)-$AF494))</f>
        <v/>
      </c>
      <c r="AH494" s="10">
        <f>IF($A494="","",$AF494+$AG494)</f>
        <v/>
      </c>
      <c r="AI494" s="6" t="n"/>
      <c r="AJ494" s="6" t="n"/>
      <c r="AK494" s="6" t="n"/>
      <c r="AL494" s="3">
        <f>IF($AK494="","",HYPERLINK(p_ruta_base_checklists&amp;$AK494,"abrir"))</f>
        <v/>
      </c>
      <c r="AM494" s="6" t="n"/>
      <c r="AN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1" t="n"/>
      <c r="K495" s="3" t="n"/>
      <c r="L495" s="10" t="n"/>
      <c r="M495" s="3">
        <f>IF($A495="","",IFERROR(INDEX('AJUSTES'!$B$4:$B$303,MATCH($AN495,'AJUSTES'!$A$4:$A$303,0)),IF($K495="","",$K495)))</f>
        <v/>
      </c>
      <c r="N495" s="3">
        <f>IF($A495="","",IFERROR(INDEX('CAT_ESTADOS_ERP'!$B$4:$B$7,MATCH(IFERROR(INDEX('2_IMPORTAR_EJECUCION'!$C$9:$C$1208,MATCH($AN495,'2_IMPORTAR_EJECUCION'!$J$9:$J$1208,0)),""),'CAT_ESTADOS_ERP'!$A$4:$A$7,0)),"Pendiente"))</f>
        <v/>
      </c>
      <c r="O495" s="3">
        <f>IF($J495="","",YEAR($J495+4-WEEKDAY($J495,2))&amp;"-S"&amp;TEXT(_xlfn.ISOWEEKNUM($J495),"00"))</f>
        <v/>
      </c>
      <c r="P495" s="3">
        <f>IF($J495="","",YEAR($J495))</f>
        <v/>
      </c>
      <c r="Q495" s="3">
        <f>IF($J495="","",MONTH($J495))</f>
        <v/>
      </c>
      <c r="R495" s="3">
        <f>IF($J495="","",INDEX(lista_dias,WEEKDAY($J495,2)))</f>
        <v/>
      </c>
      <c r="S495" s="3">
        <f>IF($I495="","",IFERROR(INDEX('CAT_TIPOS_OT'!$C$4:$C$7,MATCH($I495,'CAT_TIPOS_OT'!$A$4:$A$7,0)),"sin_clasificar"))</f>
        <v/>
      </c>
      <c r="T495" s="3">
        <f>IF($F495="","",IFERROR(INDEX('CAT_CENTROS_COSTO'!$E$4:$E$9,MATCH($F495,'CAT_CENTROS_COSTO'!$A$4:$A$9,0)),"(sin catálogo)"))</f>
        <v/>
      </c>
      <c r="U495" s="3">
        <f>IF($F495="","",IFERROR(INDEX('CAT_CENTROS_COSTO'!$D$4:$D$9,MATCH($F495,'CAT_CENTROS_COSTO'!$A$4:$A$9,0)),"(sin catálogo)"))</f>
        <v/>
      </c>
      <c r="V495" s="3">
        <f>IF($F495="","",IFERROR(INDEX('CAT_CENTROS_COSTO'!$F$4:$F$9,MATCH($F495,'CAT_CENTROS_COSTO'!$A$4:$A$9,0)),"(sin catálogo)"))</f>
        <v/>
      </c>
      <c r="W495" s="3">
        <f>IF($G495="","",IFERROR(INDEX('CAT_PUESTOS'!$B$4:$B$8,MATCH($G495,'CAT_PUESTOS'!$A$4:$A$8,0)),"(sin catálogo)"))</f>
        <v/>
      </c>
      <c r="X495" s="3">
        <f>IF($H495="","",IFERROR(INDEX('CAT_ACTIVIDADES'!$B$4:$B$8,MATCH($H495,'CAT_ACTIVIDADES'!$A$4:$A$8,0)),"(sin catálogo)"))</f>
        <v/>
      </c>
      <c r="Y495" s="12">
        <f>IF($J495="","",TODAY()-$J495)</f>
        <v/>
      </c>
      <c r="Z495" s="3">
        <f>IF($Y495="","",IF($Y495&lt;0,"FUTURO",IF($Y495&gt;p_dias_backlog_max,"BACKLOG","MES CORRIENTE")))</f>
        <v/>
      </c>
      <c r="AA495" s="3">
        <f>IF($Y495="",FALSE,AND($Y495&gt;p_dias_backlog_min,$Y495&lt;=p_dias_backlog_max))</f>
        <v/>
      </c>
      <c r="AB495" s="6" t="n"/>
      <c r="AC495" s="3">
        <f>IF($AB495="","",IFERROR(INDEX('ASIGNACIONES'!$F$4:$F$339,MATCH($O495&amp;"|"&amp;$R495&amp;"|"&amp;$AB495,'ASIGNACIONES'!$I$4:$I$339,0)),""))</f>
        <v/>
      </c>
      <c r="AD495" s="13">
        <f>IF($AB495="","",SUMIFS('ORDENES'!$M$4:$M$1203,'ORDENES'!$AB$4:$AB$1203,$AB495,'ORDENES'!$O$4:$O$1203,$O495,'ORDENES'!$R$4:$R$1203,$R495))</f>
        <v/>
      </c>
      <c r="AE495" s="13">
        <f>IF($AD495="","",p_factor_productividad*IFERROR(INDEX('ASIGNACIONES'!$H$4:$H$339,MATCH($O495&amp;"|"&amp;$R495&amp;"|"&amp;$AB495,'ASIGNACIONES'!$I$4:$I$339,0)),0)-$AD495)</f>
        <v/>
      </c>
      <c r="AF495" s="10">
        <f>IF($A495="","",IFERROR(INDEX('2_IMPORTAR_EJECUCION'!$F$9:$F$1208,MATCH($AN495,'2_IMPORTAR_EJECUCION'!$J$9:$J$1208,0)),0))</f>
        <v/>
      </c>
      <c r="AG495" s="10">
        <f>IF($A495="","",MAX(0,IFERROR(INDEX('2_IMPORTAR_EJECUCION'!$H$9:$H$1208,MATCH($AN495,'2_IMPORTAR_EJECUCION'!$J$9:$J$1208,0)),0)-$AF495))</f>
        <v/>
      </c>
      <c r="AH495" s="10">
        <f>IF($A495="","",$AF495+$AG495)</f>
        <v/>
      </c>
      <c r="AI495" s="6" t="n"/>
      <c r="AJ495" s="6" t="n"/>
      <c r="AK495" s="6" t="n"/>
      <c r="AL495" s="3">
        <f>IF($AK495="","",HYPERLINK(p_ruta_base_checklists&amp;$AK495,"abrir"))</f>
        <v/>
      </c>
      <c r="AM495" s="6" t="n"/>
      <c r="AN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1" t="n"/>
      <c r="K496" s="3" t="n"/>
      <c r="L496" s="10" t="n"/>
      <c r="M496" s="3">
        <f>IF($A496="","",IFERROR(INDEX('AJUSTES'!$B$4:$B$303,MATCH($AN496,'AJUSTES'!$A$4:$A$303,0)),IF($K496="","",$K496)))</f>
        <v/>
      </c>
      <c r="N496" s="3">
        <f>IF($A496="","",IFERROR(INDEX('CAT_ESTADOS_ERP'!$B$4:$B$7,MATCH(IFERROR(INDEX('2_IMPORTAR_EJECUCION'!$C$9:$C$1208,MATCH($AN496,'2_IMPORTAR_EJECUCION'!$J$9:$J$1208,0)),""),'CAT_ESTADOS_ERP'!$A$4:$A$7,0)),"Pendiente"))</f>
        <v/>
      </c>
      <c r="O496" s="3">
        <f>IF($J496="","",YEAR($J496+4-WEEKDAY($J496,2))&amp;"-S"&amp;TEXT(_xlfn.ISOWEEKNUM($J496),"00"))</f>
        <v/>
      </c>
      <c r="P496" s="3">
        <f>IF($J496="","",YEAR($J496))</f>
        <v/>
      </c>
      <c r="Q496" s="3">
        <f>IF($J496="","",MONTH($J496))</f>
        <v/>
      </c>
      <c r="R496" s="3">
        <f>IF($J496="","",INDEX(lista_dias,WEEKDAY($J496,2)))</f>
        <v/>
      </c>
      <c r="S496" s="3">
        <f>IF($I496="","",IFERROR(INDEX('CAT_TIPOS_OT'!$C$4:$C$7,MATCH($I496,'CAT_TIPOS_OT'!$A$4:$A$7,0)),"sin_clasificar"))</f>
        <v/>
      </c>
      <c r="T496" s="3">
        <f>IF($F496="","",IFERROR(INDEX('CAT_CENTROS_COSTO'!$E$4:$E$9,MATCH($F496,'CAT_CENTROS_COSTO'!$A$4:$A$9,0)),"(sin catálogo)"))</f>
        <v/>
      </c>
      <c r="U496" s="3">
        <f>IF($F496="","",IFERROR(INDEX('CAT_CENTROS_COSTO'!$D$4:$D$9,MATCH($F496,'CAT_CENTROS_COSTO'!$A$4:$A$9,0)),"(sin catálogo)"))</f>
        <v/>
      </c>
      <c r="V496" s="3">
        <f>IF($F496="","",IFERROR(INDEX('CAT_CENTROS_COSTO'!$F$4:$F$9,MATCH($F496,'CAT_CENTROS_COSTO'!$A$4:$A$9,0)),"(sin catálogo)"))</f>
        <v/>
      </c>
      <c r="W496" s="3">
        <f>IF($G496="","",IFERROR(INDEX('CAT_PUESTOS'!$B$4:$B$8,MATCH($G496,'CAT_PUESTOS'!$A$4:$A$8,0)),"(sin catálogo)"))</f>
        <v/>
      </c>
      <c r="X496" s="3">
        <f>IF($H496="","",IFERROR(INDEX('CAT_ACTIVIDADES'!$B$4:$B$8,MATCH($H496,'CAT_ACTIVIDADES'!$A$4:$A$8,0)),"(sin catálogo)"))</f>
        <v/>
      </c>
      <c r="Y496" s="12">
        <f>IF($J496="","",TODAY()-$J496)</f>
        <v/>
      </c>
      <c r="Z496" s="3">
        <f>IF($Y496="","",IF($Y496&lt;0,"FUTURO",IF($Y496&gt;p_dias_backlog_max,"BACKLOG","MES CORRIENTE")))</f>
        <v/>
      </c>
      <c r="AA496" s="3">
        <f>IF($Y496="",FALSE,AND($Y496&gt;p_dias_backlog_min,$Y496&lt;=p_dias_backlog_max))</f>
        <v/>
      </c>
      <c r="AB496" s="6" t="n"/>
      <c r="AC496" s="3">
        <f>IF($AB496="","",IFERROR(INDEX('ASIGNACIONES'!$F$4:$F$339,MATCH($O496&amp;"|"&amp;$R496&amp;"|"&amp;$AB496,'ASIGNACIONES'!$I$4:$I$339,0)),""))</f>
        <v/>
      </c>
      <c r="AD496" s="13">
        <f>IF($AB496="","",SUMIFS('ORDENES'!$M$4:$M$1203,'ORDENES'!$AB$4:$AB$1203,$AB496,'ORDENES'!$O$4:$O$1203,$O496,'ORDENES'!$R$4:$R$1203,$R496))</f>
        <v/>
      </c>
      <c r="AE496" s="13">
        <f>IF($AD496="","",p_factor_productividad*IFERROR(INDEX('ASIGNACIONES'!$H$4:$H$339,MATCH($O496&amp;"|"&amp;$R496&amp;"|"&amp;$AB496,'ASIGNACIONES'!$I$4:$I$339,0)),0)-$AD496)</f>
        <v/>
      </c>
      <c r="AF496" s="10">
        <f>IF($A496="","",IFERROR(INDEX('2_IMPORTAR_EJECUCION'!$F$9:$F$1208,MATCH($AN496,'2_IMPORTAR_EJECUCION'!$J$9:$J$1208,0)),0))</f>
        <v/>
      </c>
      <c r="AG496" s="10">
        <f>IF($A496="","",MAX(0,IFERROR(INDEX('2_IMPORTAR_EJECUCION'!$H$9:$H$1208,MATCH($AN496,'2_IMPORTAR_EJECUCION'!$J$9:$J$1208,0)),0)-$AF496))</f>
        <v/>
      </c>
      <c r="AH496" s="10">
        <f>IF($A496="","",$AF496+$AG496)</f>
        <v/>
      </c>
      <c r="AI496" s="6" t="n"/>
      <c r="AJ496" s="6" t="n"/>
      <c r="AK496" s="6" t="n"/>
      <c r="AL496" s="3">
        <f>IF($AK496="","",HYPERLINK(p_ruta_base_checklists&amp;$AK496,"abrir"))</f>
        <v/>
      </c>
      <c r="AM496" s="6" t="n"/>
      <c r="AN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1" t="n"/>
      <c r="K497" s="3" t="n"/>
      <c r="L497" s="10" t="n"/>
      <c r="M497" s="3">
        <f>IF($A497="","",IFERROR(INDEX('AJUSTES'!$B$4:$B$303,MATCH($AN497,'AJUSTES'!$A$4:$A$303,0)),IF($K497="","",$K497)))</f>
        <v/>
      </c>
      <c r="N497" s="3">
        <f>IF($A497="","",IFERROR(INDEX('CAT_ESTADOS_ERP'!$B$4:$B$7,MATCH(IFERROR(INDEX('2_IMPORTAR_EJECUCION'!$C$9:$C$1208,MATCH($AN497,'2_IMPORTAR_EJECUCION'!$J$9:$J$1208,0)),""),'CAT_ESTADOS_ERP'!$A$4:$A$7,0)),"Pendiente"))</f>
        <v/>
      </c>
      <c r="O497" s="3">
        <f>IF($J497="","",YEAR($J497+4-WEEKDAY($J497,2))&amp;"-S"&amp;TEXT(_xlfn.ISOWEEKNUM($J497),"00"))</f>
        <v/>
      </c>
      <c r="P497" s="3">
        <f>IF($J497="","",YEAR($J497))</f>
        <v/>
      </c>
      <c r="Q497" s="3">
        <f>IF($J497="","",MONTH($J497))</f>
        <v/>
      </c>
      <c r="R497" s="3">
        <f>IF($J497="","",INDEX(lista_dias,WEEKDAY($J497,2)))</f>
        <v/>
      </c>
      <c r="S497" s="3">
        <f>IF($I497="","",IFERROR(INDEX('CAT_TIPOS_OT'!$C$4:$C$7,MATCH($I497,'CAT_TIPOS_OT'!$A$4:$A$7,0)),"sin_clasificar"))</f>
        <v/>
      </c>
      <c r="T497" s="3">
        <f>IF($F497="","",IFERROR(INDEX('CAT_CENTROS_COSTO'!$E$4:$E$9,MATCH($F497,'CAT_CENTROS_COSTO'!$A$4:$A$9,0)),"(sin catálogo)"))</f>
        <v/>
      </c>
      <c r="U497" s="3">
        <f>IF($F497="","",IFERROR(INDEX('CAT_CENTROS_COSTO'!$D$4:$D$9,MATCH($F497,'CAT_CENTROS_COSTO'!$A$4:$A$9,0)),"(sin catálogo)"))</f>
        <v/>
      </c>
      <c r="V497" s="3">
        <f>IF($F497="","",IFERROR(INDEX('CAT_CENTROS_COSTO'!$F$4:$F$9,MATCH($F497,'CAT_CENTROS_COSTO'!$A$4:$A$9,0)),"(sin catálogo)"))</f>
        <v/>
      </c>
      <c r="W497" s="3">
        <f>IF($G497="","",IFERROR(INDEX('CAT_PUESTOS'!$B$4:$B$8,MATCH($G497,'CAT_PUESTOS'!$A$4:$A$8,0)),"(sin catálogo)"))</f>
        <v/>
      </c>
      <c r="X497" s="3">
        <f>IF($H497="","",IFERROR(INDEX('CAT_ACTIVIDADES'!$B$4:$B$8,MATCH($H497,'CAT_ACTIVIDADES'!$A$4:$A$8,0)),"(sin catálogo)"))</f>
        <v/>
      </c>
      <c r="Y497" s="12">
        <f>IF($J497="","",TODAY()-$J497)</f>
        <v/>
      </c>
      <c r="Z497" s="3">
        <f>IF($Y497="","",IF($Y497&lt;0,"FUTURO",IF($Y497&gt;p_dias_backlog_max,"BACKLOG","MES CORRIENTE")))</f>
        <v/>
      </c>
      <c r="AA497" s="3">
        <f>IF($Y497="",FALSE,AND($Y497&gt;p_dias_backlog_min,$Y497&lt;=p_dias_backlog_max))</f>
        <v/>
      </c>
      <c r="AB497" s="6" t="n"/>
      <c r="AC497" s="3">
        <f>IF($AB497="","",IFERROR(INDEX('ASIGNACIONES'!$F$4:$F$339,MATCH($O497&amp;"|"&amp;$R497&amp;"|"&amp;$AB497,'ASIGNACIONES'!$I$4:$I$339,0)),""))</f>
        <v/>
      </c>
      <c r="AD497" s="13">
        <f>IF($AB497="","",SUMIFS('ORDENES'!$M$4:$M$1203,'ORDENES'!$AB$4:$AB$1203,$AB497,'ORDENES'!$O$4:$O$1203,$O497,'ORDENES'!$R$4:$R$1203,$R497))</f>
        <v/>
      </c>
      <c r="AE497" s="13">
        <f>IF($AD497="","",p_factor_productividad*IFERROR(INDEX('ASIGNACIONES'!$H$4:$H$339,MATCH($O497&amp;"|"&amp;$R497&amp;"|"&amp;$AB497,'ASIGNACIONES'!$I$4:$I$339,0)),0)-$AD497)</f>
        <v/>
      </c>
      <c r="AF497" s="10">
        <f>IF($A497="","",IFERROR(INDEX('2_IMPORTAR_EJECUCION'!$F$9:$F$1208,MATCH($AN497,'2_IMPORTAR_EJECUCION'!$J$9:$J$1208,0)),0))</f>
        <v/>
      </c>
      <c r="AG497" s="10">
        <f>IF($A497="","",MAX(0,IFERROR(INDEX('2_IMPORTAR_EJECUCION'!$H$9:$H$1208,MATCH($AN497,'2_IMPORTAR_EJECUCION'!$J$9:$J$1208,0)),0)-$AF497))</f>
        <v/>
      </c>
      <c r="AH497" s="10">
        <f>IF($A497="","",$AF497+$AG497)</f>
        <v/>
      </c>
      <c r="AI497" s="6" t="n"/>
      <c r="AJ497" s="6" t="n"/>
      <c r="AK497" s="6" t="n"/>
      <c r="AL497" s="3">
        <f>IF($AK497="","",HYPERLINK(p_ruta_base_checklists&amp;$AK497,"abrir"))</f>
        <v/>
      </c>
      <c r="AM497" s="6" t="n"/>
      <c r="AN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1" t="n"/>
      <c r="K498" s="3" t="n"/>
      <c r="L498" s="10" t="n"/>
      <c r="M498" s="3">
        <f>IF($A498="","",IFERROR(INDEX('AJUSTES'!$B$4:$B$303,MATCH($AN498,'AJUSTES'!$A$4:$A$303,0)),IF($K498="","",$K498)))</f>
        <v/>
      </c>
      <c r="N498" s="3">
        <f>IF($A498="","",IFERROR(INDEX('CAT_ESTADOS_ERP'!$B$4:$B$7,MATCH(IFERROR(INDEX('2_IMPORTAR_EJECUCION'!$C$9:$C$1208,MATCH($AN498,'2_IMPORTAR_EJECUCION'!$J$9:$J$1208,0)),""),'CAT_ESTADOS_ERP'!$A$4:$A$7,0)),"Pendiente"))</f>
        <v/>
      </c>
      <c r="O498" s="3">
        <f>IF($J498="","",YEAR($J498+4-WEEKDAY($J498,2))&amp;"-S"&amp;TEXT(_xlfn.ISOWEEKNUM($J498),"00"))</f>
        <v/>
      </c>
      <c r="P498" s="3">
        <f>IF($J498="","",YEAR($J498))</f>
        <v/>
      </c>
      <c r="Q498" s="3">
        <f>IF($J498="","",MONTH($J498))</f>
        <v/>
      </c>
      <c r="R498" s="3">
        <f>IF($J498="","",INDEX(lista_dias,WEEKDAY($J498,2)))</f>
        <v/>
      </c>
      <c r="S498" s="3">
        <f>IF($I498="","",IFERROR(INDEX('CAT_TIPOS_OT'!$C$4:$C$7,MATCH($I498,'CAT_TIPOS_OT'!$A$4:$A$7,0)),"sin_clasificar"))</f>
        <v/>
      </c>
      <c r="T498" s="3">
        <f>IF($F498="","",IFERROR(INDEX('CAT_CENTROS_COSTO'!$E$4:$E$9,MATCH($F498,'CAT_CENTROS_COSTO'!$A$4:$A$9,0)),"(sin catálogo)"))</f>
        <v/>
      </c>
      <c r="U498" s="3">
        <f>IF($F498="","",IFERROR(INDEX('CAT_CENTROS_COSTO'!$D$4:$D$9,MATCH($F498,'CAT_CENTROS_COSTO'!$A$4:$A$9,0)),"(sin catálogo)"))</f>
        <v/>
      </c>
      <c r="V498" s="3">
        <f>IF($F498="","",IFERROR(INDEX('CAT_CENTROS_COSTO'!$F$4:$F$9,MATCH($F498,'CAT_CENTROS_COSTO'!$A$4:$A$9,0)),"(sin catálogo)"))</f>
        <v/>
      </c>
      <c r="W498" s="3">
        <f>IF($G498="","",IFERROR(INDEX('CAT_PUESTOS'!$B$4:$B$8,MATCH($G498,'CAT_PUESTOS'!$A$4:$A$8,0)),"(sin catálogo)"))</f>
        <v/>
      </c>
      <c r="X498" s="3">
        <f>IF($H498="","",IFERROR(INDEX('CAT_ACTIVIDADES'!$B$4:$B$8,MATCH($H498,'CAT_ACTIVIDADES'!$A$4:$A$8,0)),"(sin catálogo)"))</f>
        <v/>
      </c>
      <c r="Y498" s="12">
        <f>IF($J498="","",TODAY()-$J498)</f>
        <v/>
      </c>
      <c r="Z498" s="3">
        <f>IF($Y498="","",IF($Y498&lt;0,"FUTURO",IF($Y498&gt;p_dias_backlog_max,"BACKLOG","MES CORRIENTE")))</f>
        <v/>
      </c>
      <c r="AA498" s="3">
        <f>IF($Y498="",FALSE,AND($Y498&gt;p_dias_backlog_min,$Y498&lt;=p_dias_backlog_max))</f>
        <v/>
      </c>
      <c r="AB498" s="6" t="n"/>
      <c r="AC498" s="3">
        <f>IF($AB498="","",IFERROR(INDEX('ASIGNACIONES'!$F$4:$F$339,MATCH($O498&amp;"|"&amp;$R498&amp;"|"&amp;$AB498,'ASIGNACIONES'!$I$4:$I$339,0)),""))</f>
        <v/>
      </c>
      <c r="AD498" s="13">
        <f>IF($AB498="","",SUMIFS('ORDENES'!$M$4:$M$1203,'ORDENES'!$AB$4:$AB$1203,$AB498,'ORDENES'!$O$4:$O$1203,$O498,'ORDENES'!$R$4:$R$1203,$R498))</f>
        <v/>
      </c>
      <c r="AE498" s="13">
        <f>IF($AD498="","",p_factor_productividad*IFERROR(INDEX('ASIGNACIONES'!$H$4:$H$339,MATCH($O498&amp;"|"&amp;$R498&amp;"|"&amp;$AB498,'ASIGNACIONES'!$I$4:$I$339,0)),0)-$AD498)</f>
        <v/>
      </c>
      <c r="AF498" s="10">
        <f>IF($A498="","",IFERROR(INDEX('2_IMPORTAR_EJECUCION'!$F$9:$F$1208,MATCH($AN498,'2_IMPORTAR_EJECUCION'!$J$9:$J$1208,0)),0))</f>
        <v/>
      </c>
      <c r="AG498" s="10">
        <f>IF($A498="","",MAX(0,IFERROR(INDEX('2_IMPORTAR_EJECUCION'!$H$9:$H$1208,MATCH($AN498,'2_IMPORTAR_EJECUCION'!$J$9:$J$1208,0)),0)-$AF498))</f>
        <v/>
      </c>
      <c r="AH498" s="10">
        <f>IF($A498="","",$AF498+$AG498)</f>
        <v/>
      </c>
      <c r="AI498" s="6" t="n"/>
      <c r="AJ498" s="6" t="n"/>
      <c r="AK498" s="6" t="n"/>
      <c r="AL498" s="3">
        <f>IF($AK498="","",HYPERLINK(p_ruta_base_checklists&amp;$AK498,"abrir"))</f>
        <v/>
      </c>
      <c r="AM498" s="6" t="n"/>
      <c r="AN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1" t="n"/>
      <c r="K499" s="3" t="n"/>
      <c r="L499" s="10" t="n"/>
      <c r="M499" s="3">
        <f>IF($A499="","",IFERROR(INDEX('AJUSTES'!$B$4:$B$303,MATCH($AN499,'AJUSTES'!$A$4:$A$303,0)),IF($K499="","",$K499)))</f>
        <v/>
      </c>
      <c r="N499" s="3">
        <f>IF($A499="","",IFERROR(INDEX('CAT_ESTADOS_ERP'!$B$4:$B$7,MATCH(IFERROR(INDEX('2_IMPORTAR_EJECUCION'!$C$9:$C$1208,MATCH($AN499,'2_IMPORTAR_EJECUCION'!$J$9:$J$1208,0)),""),'CAT_ESTADOS_ERP'!$A$4:$A$7,0)),"Pendiente"))</f>
        <v/>
      </c>
      <c r="O499" s="3">
        <f>IF($J499="","",YEAR($J499+4-WEEKDAY($J499,2))&amp;"-S"&amp;TEXT(_xlfn.ISOWEEKNUM($J499),"00"))</f>
        <v/>
      </c>
      <c r="P499" s="3">
        <f>IF($J499="","",YEAR($J499))</f>
        <v/>
      </c>
      <c r="Q499" s="3">
        <f>IF($J499="","",MONTH($J499))</f>
        <v/>
      </c>
      <c r="R499" s="3">
        <f>IF($J499="","",INDEX(lista_dias,WEEKDAY($J499,2)))</f>
        <v/>
      </c>
      <c r="S499" s="3">
        <f>IF($I499="","",IFERROR(INDEX('CAT_TIPOS_OT'!$C$4:$C$7,MATCH($I499,'CAT_TIPOS_OT'!$A$4:$A$7,0)),"sin_clasificar"))</f>
        <v/>
      </c>
      <c r="T499" s="3">
        <f>IF($F499="","",IFERROR(INDEX('CAT_CENTROS_COSTO'!$E$4:$E$9,MATCH($F499,'CAT_CENTROS_COSTO'!$A$4:$A$9,0)),"(sin catálogo)"))</f>
        <v/>
      </c>
      <c r="U499" s="3">
        <f>IF($F499="","",IFERROR(INDEX('CAT_CENTROS_COSTO'!$D$4:$D$9,MATCH($F499,'CAT_CENTROS_COSTO'!$A$4:$A$9,0)),"(sin catálogo)"))</f>
        <v/>
      </c>
      <c r="V499" s="3">
        <f>IF($F499="","",IFERROR(INDEX('CAT_CENTROS_COSTO'!$F$4:$F$9,MATCH($F499,'CAT_CENTROS_COSTO'!$A$4:$A$9,0)),"(sin catálogo)"))</f>
        <v/>
      </c>
      <c r="W499" s="3">
        <f>IF($G499="","",IFERROR(INDEX('CAT_PUESTOS'!$B$4:$B$8,MATCH($G499,'CAT_PUESTOS'!$A$4:$A$8,0)),"(sin catálogo)"))</f>
        <v/>
      </c>
      <c r="X499" s="3">
        <f>IF($H499="","",IFERROR(INDEX('CAT_ACTIVIDADES'!$B$4:$B$8,MATCH($H499,'CAT_ACTIVIDADES'!$A$4:$A$8,0)),"(sin catálogo)"))</f>
        <v/>
      </c>
      <c r="Y499" s="12">
        <f>IF($J499="","",TODAY()-$J499)</f>
        <v/>
      </c>
      <c r="Z499" s="3">
        <f>IF($Y499="","",IF($Y499&lt;0,"FUTURO",IF($Y499&gt;p_dias_backlog_max,"BACKLOG","MES CORRIENTE")))</f>
        <v/>
      </c>
      <c r="AA499" s="3">
        <f>IF($Y499="",FALSE,AND($Y499&gt;p_dias_backlog_min,$Y499&lt;=p_dias_backlog_max))</f>
        <v/>
      </c>
      <c r="AB499" s="6" t="n"/>
      <c r="AC499" s="3">
        <f>IF($AB499="","",IFERROR(INDEX('ASIGNACIONES'!$F$4:$F$339,MATCH($O499&amp;"|"&amp;$R499&amp;"|"&amp;$AB499,'ASIGNACIONES'!$I$4:$I$339,0)),""))</f>
        <v/>
      </c>
      <c r="AD499" s="13">
        <f>IF($AB499="","",SUMIFS('ORDENES'!$M$4:$M$1203,'ORDENES'!$AB$4:$AB$1203,$AB499,'ORDENES'!$O$4:$O$1203,$O499,'ORDENES'!$R$4:$R$1203,$R499))</f>
        <v/>
      </c>
      <c r="AE499" s="13">
        <f>IF($AD499="","",p_factor_productividad*IFERROR(INDEX('ASIGNACIONES'!$H$4:$H$339,MATCH($O499&amp;"|"&amp;$R499&amp;"|"&amp;$AB499,'ASIGNACIONES'!$I$4:$I$339,0)),0)-$AD499)</f>
        <v/>
      </c>
      <c r="AF499" s="10">
        <f>IF($A499="","",IFERROR(INDEX('2_IMPORTAR_EJECUCION'!$F$9:$F$1208,MATCH($AN499,'2_IMPORTAR_EJECUCION'!$J$9:$J$1208,0)),0))</f>
        <v/>
      </c>
      <c r="AG499" s="10">
        <f>IF($A499="","",MAX(0,IFERROR(INDEX('2_IMPORTAR_EJECUCION'!$H$9:$H$1208,MATCH($AN499,'2_IMPORTAR_EJECUCION'!$J$9:$J$1208,0)),0)-$AF499))</f>
        <v/>
      </c>
      <c r="AH499" s="10">
        <f>IF($A499="","",$AF499+$AG499)</f>
        <v/>
      </c>
      <c r="AI499" s="6" t="n"/>
      <c r="AJ499" s="6" t="n"/>
      <c r="AK499" s="6" t="n"/>
      <c r="AL499" s="3">
        <f>IF($AK499="","",HYPERLINK(p_ruta_base_checklists&amp;$AK499,"abrir"))</f>
        <v/>
      </c>
      <c r="AM499" s="6" t="n"/>
      <c r="AN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1" t="n"/>
      <c r="K500" s="3" t="n"/>
      <c r="L500" s="10" t="n"/>
      <c r="M500" s="3">
        <f>IF($A500="","",IFERROR(INDEX('AJUSTES'!$B$4:$B$303,MATCH($AN500,'AJUSTES'!$A$4:$A$303,0)),IF($K500="","",$K500)))</f>
        <v/>
      </c>
      <c r="N500" s="3">
        <f>IF($A500="","",IFERROR(INDEX('CAT_ESTADOS_ERP'!$B$4:$B$7,MATCH(IFERROR(INDEX('2_IMPORTAR_EJECUCION'!$C$9:$C$1208,MATCH($AN500,'2_IMPORTAR_EJECUCION'!$J$9:$J$1208,0)),""),'CAT_ESTADOS_ERP'!$A$4:$A$7,0)),"Pendiente"))</f>
        <v/>
      </c>
      <c r="O500" s="3">
        <f>IF($J500="","",YEAR($J500+4-WEEKDAY($J500,2))&amp;"-S"&amp;TEXT(_xlfn.ISOWEEKNUM($J500),"00"))</f>
        <v/>
      </c>
      <c r="P500" s="3">
        <f>IF($J500="","",YEAR($J500))</f>
        <v/>
      </c>
      <c r="Q500" s="3">
        <f>IF($J500="","",MONTH($J500))</f>
        <v/>
      </c>
      <c r="R500" s="3">
        <f>IF($J500="","",INDEX(lista_dias,WEEKDAY($J500,2)))</f>
        <v/>
      </c>
      <c r="S500" s="3">
        <f>IF($I500="","",IFERROR(INDEX('CAT_TIPOS_OT'!$C$4:$C$7,MATCH($I500,'CAT_TIPOS_OT'!$A$4:$A$7,0)),"sin_clasificar"))</f>
        <v/>
      </c>
      <c r="T500" s="3">
        <f>IF($F500="","",IFERROR(INDEX('CAT_CENTROS_COSTO'!$E$4:$E$9,MATCH($F500,'CAT_CENTROS_COSTO'!$A$4:$A$9,0)),"(sin catálogo)"))</f>
        <v/>
      </c>
      <c r="U500" s="3">
        <f>IF($F500="","",IFERROR(INDEX('CAT_CENTROS_COSTO'!$D$4:$D$9,MATCH($F500,'CAT_CENTROS_COSTO'!$A$4:$A$9,0)),"(sin catálogo)"))</f>
        <v/>
      </c>
      <c r="V500" s="3">
        <f>IF($F500="","",IFERROR(INDEX('CAT_CENTROS_COSTO'!$F$4:$F$9,MATCH($F500,'CAT_CENTROS_COSTO'!$A$4:$A$9,0)),"(sin catálogo)"))</f>
        <v/>
      </c>
      <c r="W500" s="3">
        <f>IF($G500="","",IFERROR(INDEX('CAT_PUESTOS'!$B$4:$B$8,MATCH($G500,'CAT_PUESTOS'!$A$4:$A$8,0)),"(sin catálogo)"))</f>
        <v/>
      </c>
      <c r="X500" s="3">
        <f>IF($H500="","",IFERROR(INDEX('CAT_ACTIVIDADES'!$B$4:$B$8,MATCH($H500,'CAT_ACTIVIDADES'!$A$4:$A$8,0)),"(sin catálogo)"))</f>
        <v/>
      </c>
      <c r="Y500" s="12">
        <f>IF($J500="","",TODAY()-$J500)</f>
        <v/>
      </c>
      <c r="Z500" s="3">
        <f>IF($Y500="","",IF($Y500&lt;0,"FUTURO",IF($Y500&gt;p_dias_backlog_max,"BACKLOG","MES CORRIENTE")))</f>
        <v/>
      </c>
      <c r="AA500" s="3">
        <f>IF($Y500="",FALSE,AND($Y500&gt;p_dias_backlog_min,$Y500&lt;=p_dias_backlog_max))</f>
        <v/>
      </c>
      <c r="AB500" s="6" t="n"/>
      <c r="AC500" s="3">
        <f>IF($AB500="","",IFERROR(INDEX('ASIGNACIONES'!$F$4:$F$339,MATCH($O500&amp;"|"&amp;$R500&amp;"|"&amp;$AB500,'ASIGNACIONES'!$I$4:$I$339,0)),""))</f>
        <v/>
      </c>
      <c r="AD500" s="13">
        <f>IF($AB500="","",SUMIFS('ORDENES'!$M$4:$M$1203,'ORDENES'!$AB$4:$AB$1203,$AB500,'ORDENES'!$O$4:$O$1203,$O500,'ORDENES'!$R$4:$R$1203,$R500))</f>
        <v/>
      </c>
      <c r="AE500" s="13">
        <f>IF($AD500="","",p_factor_productividad*IFERROR(INDEX('ASIGNACIONES'!$H$4:$H$339,MATCH($O500&amp;"|"&amp;$R500&amp;"|"&amp;$AB500,'ASIGNACIONES'!$I$4:$I$339,0)),0)-$AD500)</f>
        <v/>
      </c>
      <c r="AF500" s="10">
        <f>IF($A500="","",IFERROR(INDEX('2_IMPORTAR_EJECUCION'!$F$9:$F$1208,MATCH($AN500,'2_IMPORTAR_EJECUCION'!$J$9:$J$1208,0)),0))</f>
        <v/>
      </c>
      <c r="AG500" s="10">
        <f>IF($A500="","",MAX(0,IFERROR(INDEX('2_IMPORTAR_EJECUCION'!$H$9:$H$1208,MATCH($AN500,'2_IMPORTAR_EJECUCION'!$J$9:$J$1208,0)),0)-$AF500))</f>
        <v/>
      </c>
      <c r="AH500" s="10">
        <f>IF($A500="","",$AF500+$AG500)</f>
        <v/>
      </c>
      <c r="AI500" s="6" t="n"/>
      <c r="AJ500" s="6" t="n"/>
      <c r="AK500" s="6" t="n"/>
      <c r="AL500" s="3">
        <f>IF($AK500="","",HYPERLINK(p_ruta_base_checklists&amp;$AK500,"abrir"))</f>
        <v/>
      </c>
      <c r="AM500" s="6" t="n"/>
      <c r="AN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1" t="n"/>
      <c r="K501" s="3" t="n"/>
      <c r="L501" s="10" t="n"/>
      <c r="M501" s="3">
        <f>IF($A501="","",IFERROR(INDEX('AJUSTES'!$B$4:$B$303,MATCH($AN501,'AJUSTES'!$A$4:$A$303,0)),IF($K501="","",$K501)))</f>
        <v/>
      </c>
      <c r="N501" s="3">
        <f>IF($A501="","",IFERROR(INDEX('CAT_ESTADOS_ERP'!$B$4:$B$7,MATCH(IFERROR(INDEX('2_IMPORTAR_EJECUCION'!$C$9:$C$1208,MATCH($AN501,'2_IMPORTAR_EJECUCION'!$J$9:$J$1208,0)),""),'CAT_ESTADOS_ERP'!$A$4:$A$7,0)),"Pendiente"))</f>
        <v/>
      </c>
      <c r="O501" s="3">
        <f>IF($J501="","",YEAR($J501+4-WEEKDAY($J501,2))&amp;"-S"&amp;TEXT(_xlfn.ISOWEEKNUM($J501),"00"))</f>
        <v/>
      </c>
      <c r="P501" s="3">
        <f>IF($J501="","",YEAR($J501))</f>
        <v/>
      </c>
      <c r="Q501" s="3">
        <f>IF($J501="","",MONTH($J501))</f>
        <v/>
      </c>
      <c r="R501" s="3">
        <f>IF($J501="","",INDEX(lista_dias,WEEKDAY($J501,2)))</f>
        <v/>
      </c>
      <c r="S501" s="3">
        <f>IF($I501="","",IFERROR(INDEX('CAT_TIPOS_OT'!$C$4:$C$7,MATCH($I501,'CAT_TIPOS_OT'!$A$4:$A$7,0)),"sin_clasificar"))</f>
        <v/>
      </c>
      <c r="T501" s="3">
        <f>IF($F501="","",IFERROR(INDEX('CAT_CENTROS_COSTO'!$E$4:$E$9,MATCH($F501,'CAT_CENTROS_COSTO'!$A$4:$A$9,0)),"(sin catálogo)"))</f>
        <v/>
      </c>
      <c r="U501" s="3">
        <f>IF($F501="","",IFERROR(INDEX('CAT_CENTROS_COSTO'!$D$4:$D$9,MATCH($F501,'CAT_CENTROS_COSTO'!$A$4:$A$9,0)),"(sin catálogo)"))</f>
        <v/>
      </c>
      <c r="V501" s="3">
        <f>IF($F501="","",IFERROR(INDEX('CAT_CENTROS_COSTO'!$F$4:$F$9,MATCH($F501,'CAT_CENTROS_COSTO'!$A$4:$A$9,0)),"(sin catálogo)"))</f>
        <v/>
      </c>
      <c r="W501" s="3">
        <f>IF($G501="","",IFERROR(INDEX('CAT_PUESTOS'!$B$4:$B$8,MATCH($G501,'CAT_PUESTOS'!$A$4:$A$8,0)),"(sin catálogo)"))</f>
        <v/>
      </c>
      <c r="X501" s="3">
        <f>IF($H501="","",IFERROR(INDEX('CAT_ACTIVIDADES'!$B$4:$B$8,MATCH($H501,'CAT_ACTIVIDADES'!$A$4:$A$8,0)),"(sin catálogo)"))</f>
        <v/>
      </c>
      <c r="Y501" s="12">
        <f>IF($J501="","",TODAY()-$J501)</f>
        <v/>
      </c>
      <c r="Z501" s="3">
        <f>IF($Y501="","",IF($Y501&lt;0,"FUTURO",IF($Y501&gt;p_dias_backlog_max,"BACKLOG","MES CORRIENTE")))</f>
        <v/>
      </c>
      <c r="AA501" s="3">
        <f>IF($Y501="",FALSE,AND($Y501&gt;p_dias_backlog_min,$Y501&lt;=p_dias_backlog_max))</f>
        <v/>
      </c>
      <c r="AB501" s="6" t="n"/>
      <c r="AC501" s="3">
        <f>IF($AB501="","",IFERROR(INDEX('ASIGNACIONES'!$F$4:$F$339,MATCH($O501&amp;"|"&amp;$R501&amp;"|"&amp;$AB501,'ASIGNACIONES'!$I$4:$I$339,0)),""))</f>
        <v/>
      </c>
      <c r="AD501" s="13">
        <f>IF($AB501="","",SUMIFS('ORDENES'!$M$4:$M$1203,'ORDENES'!$AB$4:$AB$1203,$AB501,'ORDENES'!$O$4:$O$1203,$O501,'ORDENES'!$R$4:$R$1203,$R501))</f>
        <v/>
      </c>
      <c r="AE501" s="13">
        <f>IF($AD501="","",p_factor_productividad*IFERROR(INDEX('ASIGNACIONES'!$H$4:$H$339,MATCH($O501&amp;"|"&amp;$R501&amp;"|"&amp;$AB501,'ASIGNACIONES'!$I$4:$I$339,0)),0)-$AD501)</f>
        <v/>
      </c>
      <c r="AF501" s="10">
        <f>IF($A501="","",IFERROR(INDEX('2_IMPORTAR_EJECUCION'!$F$9:$F$1208,MATCH($AN501,'2_IMPORTAR_EJECUCION'!$J$9:$J$1208,0)),0))</f>
        <v/>
      </c>
      <c r="AG501" s="10">
        <f>IF($A501="","",MAX(0,IFERROR(INDEX('2_IMPORTAR_EJECUCION'!$H$9:$H$1208,MATCH($AN501,'2_IMPORTAR_EJECUCION'!$J$9:$J$1208,0)),0)-$AF501))</f>
        <v/>
      </c>
      <c r="AH501" s="10">
        <f>IF($A501="","",$AF501+$AG501)</f>
        <v/>
      </c>
      <c r="AI501" s="6" t="n"/>
      <c r="AJ501" s="6" t="n"/>
      <c r="AK501" s="6" t="n"/>
      <c r="AL501" s="3">
        <f>IF($AK501="","",HYPERLINK(p_ruta_base_checklists&amp;$AK501,"abrir"))</f>
        <v/>
      </c>
      <c r="AM501" s="6" t="n"/>
      <c r="AN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1" t="n"/>
      <c r="K502" s="3" t="n"/>
      <c r="L502" s="10" t="n"/>
      <c r="M502" s="3">
        <f>IF($A502="","",IFERROR(INDEX('AJUSTES'!$B$4:$B$303,MATCH($AN502,'AJUSTES'!$A$4:$A$303,0)),IF($K502="","",$K502)))</f>
        <v/>
      </c>
      <c r="N502" s="3">
        <f>IF($A502="","",IFERROR(INDEX('CAT_ESTADOS_ERP'!$B$4:$B$7,MATCH(IFERROR(INDEX('2_IMPORTAR_EJECUCION'!$C$9:$C$1208,MATCH($AN502,'2_IMPORTAR_EJECUCION'!$J$9:$J$1208,0)),""),'CAT_ESTADOS_ERP'!$A$4:$A$7,0)),"Pendiente"))</f>
        <v/>
      </c>
      <c r="O502" s="3">
        <f>IF($J502="","",YEAR($J502+4-WEEKDAY($J502,2))&amp;"-S"&amp;TEXT(_xlfn.ISOWEEKNUM($J502),"00"))</f>
        <v/>
      </c>
      <c r="P502" s="3">
        <f>IF($J502="","",YEAR($J502))</f>
        <v/>
      </c>
      <c r="Q502" s="3">
        <f>IF($J502="","",MONTH($J502))</f>
        <v/>
      </c>
      <c r="R502" s="3">
        <f>IF($J502="","",INDEX(lista_dias,WEEKDAY($J502,2)))</f>
        <v/>
      </c>
      <c r="S502" s="3">
        <f>IF($I502="","",IFERROR(INDEX('CAT_TIPOS_OT'!$C$4:$C$7,MATCH($I502,'CAT_TIPOS_OT'!$A$4:$A$7,0)),"sin_clasificar"))</f>
        <v/>
      </c>
      <c r="T502" s="3">
        <f>IF($F502="","",IFERROR(INDEX('CAT_CENTROS_COSTO'!$E$4:$E$9,MATCH($F502,'CAT_CENTROS_COSTO'!$A$4:$A$9,0)),"(sin catálogo)"))</f>
        <v/>
      </c>
      <c r="U502" s="3">
        <f>IF($F502="","",IFERROR(INDEX('CAT_CENTROS_COSTO'!$D$4:$D$9,MATCH($F502,'CAT_CENTROS_COSTO'!$A$4:$A$9,0)),"(sin catálogo)"))</f>
        <v/>
      </c>
      <c r="V502" s="3">
        <f>IF($F502="","",IFERROR(INDEX('CAT_CENTROS_COSTO'!$F$4:$F$9,MATCH($F502,'CAT_CENTROS_COSTO'!$A$4:$A$9,0)),"(sin catálogo)"))</f>
        <v/>
      </c>
      <c r="W502" s="3">
        <f>IF($G502="","",IFERROR(INDEX('CAT_PUESTOS'!$B$4:$B$8,MATCH($G502,'CAT_PUESTOS'!$A$4:$A$8,0)),"(sin catálogo)"))</f>
        <v/>
      </c>
      <c r="X502" s="3">
        <f>IF($H502="","",IFERROR(INDEX('CAT_ACTIVIDADES'!$B$4:$B$8,MATCH($H502,'CAT_ACTIVIDADES'!$A$4:$A$8,0)),"(sin catálogo)"))</f>
        <v/>
      </c>
      <c r="Y502" s="12">
        <f>IF($J502="","",TODAY()-$J502)</f>
        <v/>
      </c>
      <c r="Z502" s="3">
        <f>IF($Y502="","",IF($Y502&lt;0,"FUTURO",IF($Y502&gt;p_dias_backlog_max,"BACKLOG","MES CORRIENTE")))</f>
        <v/>
      </c>
      <c r="AA502" s="3">
        <f>IF($Y502="",FALSE,AND($Y502&gt;p_dias_backlog_min,$Y502&lt;=p_dias_backlog_max))</f>
        <v/>
      </c>
      <c r="AB502" s="6" t="n"/>
      <c r="AC502" s="3">
        <f>IF($AB502="","",IFERROR(INDEX('ASIGNACIONES'!$F$4:$F$339,MATCH($O502&amp;"|"&amp;$R502&amp;"|"&amp;$AB502,'ASIGNACIONES'!$I$4:$I$339,0)),""))</f>
        <v/>
      </c>
      <c r="AD502" s="13">
        <f>IF($AB502="","",SUMIFS('ORDENES'!$M$4:$M$1203,'ORDENES'!$AB$4:$AB$1203,$AB502,'ORDENES'!$O$4:$O$1203,$O502,'ORDENES'!$R$4:$R$1203,$R502))</f>
        <v/>
      </c>
      <c r="AE502" s="13">
        <f>IF($AD502="","",p_factor_productividad*IFERROR(INDEX('ASIGNACIONES'!$H$4:$H$339,MATCH($O502&amp;"|"&amp;$R502&amp;"|"&amp;$AB502,'ASIGNACIONES'!$I$4:$I$339,0)),0)-$AD502)</f>
        <v/>
      </c>
      <c r="AF502" s="10">
        <f>IF($A502="","",IFERROR(INDEX('2_IMPORTAR_EJECUCION'!$F$9:$F$1208,MATCH($AN502,'2_IMPORTAR_EJECUCION'!$J$9:$J$1208,0)),0))</f>
        <v/>
      </c>
      <c r="AG502" s="10">
        <f>IF($A502="","",MAX(0,IFERROR(INDEX('2_IMPORTAR_EJECUCION'!$H$9:$H$1208,MATCH($AN502,'2_IMPORTAR_EJECUCION'!$J$9:$J$1208,0)),0)-$AF502))</f>
        <v/>
      </c>
      <c r="AH502" s="10">
        <f>IF($A502="","",$AF502+$AG502)</f>
        <v/>
      </c>
      <c r="AI502" s="6" t="n"/>
      <c r="AJ502" s="6" t="n"/>
      <c r="AK502" s="6" t="n"/>
      <c r="AL502" s="3">
        <f>IF($AK502="","",HYPERLINK(p_ruta_base_checklists&amp;$AK502,"abrir"))</f>
        <v/>
      </c>
      <c r="AM502" s="6" t="n"/>
      <c r="AN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1" t="n"/>
      <c r="K503" s="3" t="n"/>
      <c r="L503" s="10" t="n"/>
      <c r="M503" s="3">
        <f>IF($A503="","",IFERROR(INDEX('AJUSTES'!$B$4:$B$303,MATCH($AN503,'AJUSTES'!$A$4:$A$303,0)),IF($K503="","",$K503)))</f>
        <v/>
      </c>
      <c r="N503" s="3">
        <f>IF($A503="","",IFERROR(INDEX('CAT_ESTADOS_ERP'!$B$4:$B$7,MATCH(IFERROR(INDEX('2_IMPORTAR_EJECUCION'!$C$9:$C$1208,MATCH($AN503,'2_IMPORTAR_EJECUCION'!$J$9:$J$1208,0)),""),'CAT_ESTADOS_ERP'!$A$4:$A$7,0)),"Pendiente"))</f>
        <v/>
      </c>
      <c r="O503" s="3">
        <f>IF($J503="","",YEAR($J503+4-WEEKDAY($J503,2))&amp;"-S"&amp;TEXT(_xlfn.ISOWEEKNUM($J503),"00"))</f>
        <v/>
      </c>
      <c r="P503" s="3">
        <f>IF($J503="","",YEAR($J503))</f>
        <v/>
      </c>
      <c r="Q503" s="3">
        <f>IF($J503="","",MONTH($J503))</f>
        <v/>
      </c>
      <c r="R503" s="3">
        <f>IF($J503="","",INDEX(lista_dias,WEEKDAY($J503,2)))</f>
        <v/>
      </c>
      <c r="S503" s="3">
        <f>IF($I503="","",IFERROR(INDEX('CAT_TIPOS_OT'!$C$4:$C$7,MATCH($I503,'CAT_TIPOS_OT'!$A$4:$A$7,0)),"sin_clasificar"))</f>
        <v/>
      </c>
      <c r="T503" s="3">
        <f>IF($F503="","",IFERROR(INDEX('CAT_CENTROS_COSTO'!$E$4:$E$9,MATCH($F503,'CAT_CENTROS_COSTO'!$A$4:$A$9,0)),"(sin catálogo)"))</f>
        <v/>
      </c>
      <c r="U503" s="3">
        <f>IF($F503="","",IFERROR(INDEX('CAT_CENTROS_COSTO'!$D$4:$D$9,MATCH($F503,'CAT_CENTROS_COSTO'!$A$4:$A$9,0)),"(sin catálogo)"))</f>
        <v/>
      </c>
      <c r="V503" s="3">
        <f>IF($F503="","",IFERROR(INDEX('CAT_CENTROS_COSTO'!$F$4:$F$9,MATCH($F503,'CAT_CENTROS_COSTO'!$A$4:$A$9,0)),"(sin catálogo)"))</f>
        <v/>
      </c>
      <c r="W503" s="3">
        <f>IF($G503="","",IFERROR(INDEX('CAT_PUESTOS'!$B$4:$B$8,MATCH($G503,'CAT_PUESTOS'!$A$4:$A$8,0)),"(sin catálogo)"))</f>
        <v/>
      </c>
      <c r="X503" s="3">
        <f>IF($H503="","",IFERROR(INDEX('CAT_ACTIVIDADES'!$B$4:$B$8,MATCH($H503,'CAT_ACTIVIDADES'!$A$4:$A$8,0)),"(sin catálogo)"))</f>
        <v/>
      </c>
      <c r="Y503" s="12">
        <f>IF($J503="","",TODAY()-$J503)</f>
        <v/>
      </c>
      <c r="Z503" s="3">
        <f>IF($Y503="","",IF($Y503&lt;0,"FUTURO",IF($Y503&gt;p_dias_backlog_max,"BACKLOG","MES CORRIENTE")))</f>
        <v/>
      </c>
      <c r="AA503" s="3">
        <f>IF($Y503="",FALSE,AND($Y503&gt;p_dias_backlog_min,$Y503&lt;=p_dias_backlog_max))</f>
        <v/>
      </c>
      <c r="AB503" s="6" t="n"/>
      <c r="AC503" s="3">
        <f>IF($AB503="","",IFERROR(INDEX('ASIGNACIONES'!$F$4:$F$339,MATCH($O503&amp;"|"&amp;$R503&amp;"|"&amp;$AB503,'ASIGNACIONES'!$I$4:$I$339,0)),""))</f>
        <v/>
      </c>
      <c r="AD503" s="13">
        <f>IF($AB503="","",SUMIFS('ORDENES'!$M$4:$M$1203,'ORDENES'!$AB$4:$AB$1203,$AB503,'ORDENES'!$O$4:$O$1203,$O503,'ORDENES'!$R$4:$R$1203,$R503))</f>
        <v/>
      </c>
      <c r="AE503" s="13">
        <f>IF($AD503="","",p_factor_productividad*IFERROR(INDEX('ASIGNACIONES'!$H$4:$H$339,MATCH($O503&amp;"|"&amp;$R503&amp;"|"&amp;$AB503,'ASIGNACIONES'!$I$4:$I$339,0)),0)-$AD503)</f>
        <v/>
      </c>
      <c r="AF503" s="10">
        <f>IF($A503="","",IFERROR(INDEX('2_IMPORTAR_EJECUCION'!$F$9:$F$1208,MATCH($AN503,'2_IMPORTAR_EJECUCION'!$J$9:$J$1208,0)),0))</f>
        <v/>
      </c>
      <c r="AG503" s="10">
        <f>IF($A503="","",MAX(0,IFERROR(INDEX('2_IMPORTAR_EJECUCION'!$H$9:$H$1208,MATCH($AN503,'2_IMPORTAR_EJECUCION'!$J$9:$J$1208,0)),0)-$AF503))</f>
        <v/>
      </c>
      <c r="AH503" s="10">
        <f>IF($A503="","",$AF503+$AG503)</f>
        <v/>
      </c>
      <c r="AI503" s="6" t="n"/>
      <c r="AJ503" s="6" t="n"/>
      <c r="AK503" s="6" t="n"/>
      <c r="AL503" s="3">
        <f>IF($AK503="","",HYPERLINK(p_ruta_base_checklists&amp;$AK503,"abrir"))</f>
        <v/>
      </c>
      <c r="AM503" s="6" t="n"/>
      <c r="AN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1" t="n"/>
      <c r="K504" s="3" t="n"/>
      <c r="L504" s="10" t="n"/>
      <c r="M504" s="3">
        <f>IF($A504="","",IFERROR(INDEX('AJUSTES'!$B$4:$B$303,MATCH($AN504,'AJUSTES'!$A$4:$A$303,0)),IF($K504="","",$K504)))</f>
        <v/>
      </c>
      <c r="N504" s="3">
        <f>IF($A504="","",IFERROR(INDEX('CAT_ESTADOS_ERP'!$B$4:$B$7,MATCH(IFERROR(INDEX('2_IMPORTAR_EJECUCION'!$C$9:$C$1208,MATCH($AN504,'2_IMPORTAR_EJECUCION'!$J$9:$J$1208,0)),""),'CAT_ESTADOS_ERP'!$A$4:$A$7,0)),"Pendiente"))</f>
        <v/>
      </c>
      <c r="O504" s="3">
        <f>IF($J504="","",YEAR($J504+4-WEEKDAY($J504,2))&amp;"-S"&amp;TEXT(_xlfn.ISOWEEKNUM($J504),"00"))</f>
        <v/>
      </c>
      <c r="P504" s="3">
        <f>IF($J504="","",YEAR($J504))</f>
        <v/>
      </c>
      <c r="Q504" s="3">
        <f>IF($J504="","",MONTH($J504))</f>
        <v/>
      </c>
      <c r="R504" s="3">
        <f>IF($J504="","",INDEX(lista_dias,WEEKDAY($J504,2)))</f>
        <v/>
      </c>
      <c r="S504" s="3">
        <f>IF($I504="","",IFERROR(INDEX('CAT_TIPOS_OT'!$C$4:$C$7,MATCH($I504,'CAT_TIPOS_OT'!$A$4:$A$7,0)),"sin_clasificar"))</f>
        <v/>
      </c>
      <c r="T504" s="3">
        <f>IF($F504="","",IFERROR(INDEX('CAT_CENTROS_COSTO'!$E$4:$E$9,MATCH($F504,'CAT_CENTROS_COSTO'!$A$4:$A$9,0)),"(sin catálogo)"))</f>
        <v/>
      </c>
      <c r="U504" s="3">
        <f>IF($F504="","",IFERROR(INDEX('CAT_CENTROS_COSTO'!$D$4:$D$9,MATCH($F504,'CAT_CENTROS_COSTO'!$A$4:$A$9,0)),"(sin catálogo)"))</f>
        <v/>
      </c>
      <c r="V504" s="3">
        <f>IF($F504="","",IFERROR(INDEX('CAT_CENTROS_COSTO'!$F$4:$F$9,MATCH($F504,'CAT_CENTROS_COSTO'!$A$4:$A$9,0)),"(sin catálogo)"))</f>
        <v/>
      </c>
      <c r="W504" s="3">
        <f>IF($G504="","",IFERROR(INDEX('CAT_PUESTOS'!$B$4:$B$8,MATCH($G504,'CAT_PUESTOS'!$A$4:$A$8,0)),"(sin catálogo)"))</f>
        <v/>
      </c>
      <c r="X504" s="3">
        <f>IF($H504="","",IFERROR(INDEX('CAT_ACTIVIDADES'!$B$4:$B$8,MATCH($H504,'CAT_ACTIVIDADES'!$A$4:$A$8,0)),"(sin catálogo)"))</f>
        <v/>
      </c>
      <c r="Y504" s="12">
        <f>IF($J504="","",TODAY()-$J504)</f>
        <v/>
      </c>
      <c r="Z504" s="3">
        <f>IF($Y504="","",IF($Y504&lt;0,"FUTURO",IF($Y504&gt;p_dias_backlog_max,"BACKLOG","MES CORRIENTE")))</f>
        <v/>
      </c>
      <c r="AA504" s="3">
        <f>IF($Y504="",FALSE,AND($Y504&gt;p_dias_backlog_min,$Y504&lt;=p_dias_backlog_max))</f>
        <v/>
      </c>
      <c r="AB504" s="6" t="n"/>
      <c r="AC504" s="3">
        <f>IF($AB504="","",IFERROR(INDEX('ASIGNACIONES'!$F$4:$F$339,MATCH($O504&amp;"|"&amp;$R504&amp;"|"&amp;$AB504,'ASIGNACIONES'!$I$4:$I$339,0)),""))</f>
        <v/>
      </c>
      <c r="AD504" s="13">
        <f>IF($AB504="","",SUMIFS('ORDENES'!$M$4:$M$1203,'ORDENES'!$AB$4:$AB$1203,$AB504,'ORDENES'!$O$4:$O$1203,$O504,'ORDENES'!$R$4:$R$1203,$R504))</f>
        <v/>
      </c>
      <c r="AE504" s="13">
        <f>IF($AD504="","",p_factor_productividad*IFERROR(INDEX('ASIGNACIONES'!$H$4:$H$339,MATCH($O504&amp;"|"&amp;$R504&amp;"|"&amp;$AB504,'ASIGNACIONES'!$I$4:$I$339,0)),0)-$AD504)</f>
        <v/>
      </c>
      <c r="AF504" s="10">
        <f>IF($A504="","",IFERROR(INDEX('2_IMPORTAR_EJECUCION'!$F$9:$F$1208,MATCH($AN504,'2_IMPORTAR_EJECUCION'!$J$9:$J$1208,0)),0))</f>
        <v/>
      </c>
      <c r="AG504" s="10">
        <f>IF($A504="","",MAX(0,IFERROR(INDEX('2_IMPORTAR_EJECUCION'!$H$9:$H$1208,MATCH($AN504,'2_IMPORTAR_EJECUCION'!$J$9:$J$1208,0)),0)-$AF504))</f>
        <v/>
      </c>
      <c r="AH504" s="10">
        <f>IF($A504="","",$AF504+$AG504)</f>
        <v/>
      </c>
      <c r="AI504" s="6" t="n"/>
      <c r="AJ504" s="6" t="n"/>
      <c r="AK504" s="6" t="n"/>
      <c r="AL504" s="3">
        <f>IF($AK504="","",HYPERLINK(p_ruta_base_checklists&amp;$AK504,"abrir"))</f>
        <v/>
      </c>
      <c r="AM504" s="6" t="n"/>
      <c r="AN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1" t="n"/>
      <c r="K505" s="3" t="n"/>
      <c r="L505" s="10" t="n"/>
      <c r="M505" s="3">
        <f>IF($A505="","",IFERROR(INDEX('AJUSTES'!$B$4:$B$303,MATCH($AN505,'AJUSTES'!$A$4:$A$303,0)),IF($K505="","",$K505)))</f>
        <v/>
      </c>
      <c r="N505" s="3">
        <f>IF($A505="","",IFERROR(INDEX('CAT_ESTADOS_ERP'!$B$4:$B$7,MATCH(IFERROR(INDEX('2_IMPORTAR_EJECUCION'!$C$9:$C$1208,MATCH($AN505,'2_IMPORTAR_EJECUCION'!$J$9:$J$1208,0)),""),'CAT_ESTADOS_ERP'!$A$4:$A$7,0)),"Pendiente"))</f>
        <v/>
      </c>
      <c r="O505" s="3">
        <f>IF($J505="","",YEAR($J505+4-WEEKDAY($J505,2))&amp;"-S"&amp;TEXT(_xlfn.ISOWEEKNUM($J505),"00"))</f>
        <v/>
      </c>
      <c r="P505" s="3">
        <f>IF($J505="","",YEAR($J505))</f>
        <v/>
      </c>
      <c r="Q505" s="3">
        <f>IF($J505="","",MONTH($J505))</f>
        <v/>
      </c>
      <c r="R505" s="3">
        <f>IF($J505="","",INDEX(lista_dias,WEEKDAY($J505,2)))</f>
        <v/>
      </c>
      <c r="S505" s="3">
        <f>IF($I505="","",IFERROR(INDEX('CAT_TIPOS_OT'!$C$4:$C$7,MATCH($I505,'CAT_TIPOS_OT'!$A$4:$A$7,0)),"sin_clasificar"))</f>
        <v/>
      </c>
      <c r="T505" s="3">
        <f>IF($F505="","",IFERROR(INDEX('CAT_CENTROS_COSTO'!$E$4:$E$9,MATCH($F505,'CAT_CENTROS_COSTO'!$A$4:$A$9,0)),"(sin catálogo)"))</f>
        <v/>
      </c>
      <c r="U505" s="3">
        <f>IF($F505="","",IFERROR(INDEX('CAT_CENTROS_COSTO'!$D$4:$D$9,MATCH($F505,'CAT_CENTROS_COSTO'!$A$4:$A$9,0)),"(sin catálogo)"))</f>
        <v/>
      </c>
      <c r="V505" s="3">
        <f>IF($F505="","",IFERROR(INDEX('CAT_CENTROS_COSTO'!$F$4:$F$9,MATCH($F505,'CAT_CENTROS_COSTO'!$A$4:$A$9,0)),"(sin catálogo)"))</f>
        <v/>
      </c>
      <c r="W505" s="3">
        <f>IF($G505="","",IFERROR(INDEX('CAT_PUESTOS'!$B$4:$B$8,MATCH($G505,'CAT_PUESTOS'!$A$4:$A$8,0)),"(sin catálogo)"))</f>
        <v/>
      </c>
      <c r="X505" s="3">
        <f>IF($H505="","",IFERROR(INDEX('CAT_ACTIVIDADES'!$B$4:$B$8,MATCH($H505,'CAT_ACTIVIDADES'!$A$4:$A$8,0)),"(sin catálogo)"))</f>
        <v/>
      </c>
      <c r="Y505" s="12">
        <f>IF($J505="","",TODAY()-$J505)</f>
        <v/>
      </c>
      <c r="Z505" s="3">
        <f>IF($Y505="","",IF($Y505&lt;0,"FUTURO",IF($Y505&gt;p_dias_backlog_max,"BACKLOG","MES CORRIENTE")))</f>
        <v/>
      </c>
      <c r="AA505" s="3">
        <f>IF($Y505="",FALSE,AND($Y505&gt;p_dias_backlog_min,$Y505&lt;=p_dias_backlog_max))</f>
        <v/>
      </c>
      <c r="AB505" s="6" t="n"/>
      <c r="AC505" s="3">
        <f>IF($AB505="","",IFERROR(INDEX('ASIGNACIONES'!$F$4:$F$339,MATCH($O505&amp;"|"&amp;$R505&amp;"|"&amp;$AB505,'ASIGNACIONES'!$I$4:$I$339,0)),""))</f>
        <v/>
      </c>
      <c r="AD505" s="13">
        <f>IF($AB505="","",SUMIFS('ORDENES'!$M$4:$M$1203,'ORDENES'!$AB$4:$AB$1203,$AB505,'ORDENES'!$O$4:$O$1203,$O505,'ORDENES'!$R$4:$R$1203,$R505))</f>
        <v/>
      </c>
      <c r="AE505" s="13">
        <f>IF($AD505="","",p_factor_productividad*IFERROR(INDEX('ASIGNACIONES'!$H$4:$H$339,MATCH($O505&amp;"|"&amp;$R505&amp;"|"&amp;$AB505,'ASIGNACIONES'!$I$4:$I$339,0)),0)-$AD505)</f>
        <v/>
      </c>
      <c r="AF505" s="10">
        <f>IF($A505="","",IFERROR(INDEX('2_IMPORTAR_EJECUCION'!$F$9:$F$1208,MATCH($AN505,'2_IMPORTAR_EJECUCION'!$J$9:$J$1208,0)),0))</f>
        <v/>
      </c>
      <c r="AG505" s="10">
        <f>IF($A505="","",MAX(0,IFERROR(INDEX('2_IMPORTAR_EJECUCION'!$H$9:$H$1208,MATCH($AN505,'2_IMPORTAR_EJECUCION'!$J$9:$J$1208,0)),0)-$AF505))</f>
        <v/>
      </c>
      <c r="AH505" s="10">
        <f>IF($A505="","",$AF505+$AG505)</f>
        <v/>
      </c>
      <c r="AI505" s="6" t="n"/>
      <c r="AJ505" s="6" t="n"/>
      <c r="AK505" s="6" t="n"/>
      <c r="AL505" s="3">
        <f>IF($AK505="","",HYPERLINK(p_ruta_base_checklists&amp;$AK505,"abrir"))</f>
        <v/>
      </c>
      <c r="AM505" s="6" t="n"/>
      <c r="AN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1" t="n"/>
      <c r="K506" s="3" t="n"/>
      <c r="L506" s="10" t="n"/>
      <c r="M506" s="3">
        <f>IF($A506="","",IFERROR(INDEX('AJUSTES'!$B$4:$B$303,MATCH($AN506,'AJUSTES'!$A$4:$A$303,0)),IF($K506="","",$K506)))</f>
        <v/>
      </c>
      <c r="N506" s="3">
        <f>IF($A506="","",IFERROR(INDEX('CAT_ESTADOS_ERP'!$B$4:$B$7,MATCH(IFERROR(INDEX('2_IMPORTAR_EJECUCION'!$C$9:$C$1208,MATCH($AN506,'2_IMPORTAR_EJECUCION'!$J$9:$J$1208,0)),""),'CAT_ESTADOS_ERP'!$A$4:$A$7,0)),"Pendiente"))</f>
        <v/>
      </c>
      <c r="O506" s="3">
        <f>IF($J506="","",YEAR($J506+4-WEEKDAY($J506,2))&amp;"-S"&amp;TEXT(_xlfn.ISOWEEKNUM($J506),"00"))</f>
        <v/>
      </c>
      <c r="P506" s="3">
        <f>IF($J506="","",YEAR($J506))</f>
        <v/>
      </c>
      <c r="Q506" s="3">
        <f>IF($J506="","",MONTH($J506))</f>
        <v/>
      </c>
      <c r="R506" s="3">
        <f>IF($J506="","",INDEX(lista_dias,WEEKDAY($J506,2)))</f>
        <v/>
      </c>
      <c r="S506" s="3">
        <f>IF($I506="","",IFERROR(INDEX('CAT_TIPOS_OT'!$C$4:$C$7,MATCH($I506,'CAT_TIPOS_OT'!$A$4:$A$7,0)),"sin_clasificar"))</f>
        <v/>
      </c>
      <c r="T506" s="3">
        <f>IF($F506="","",IFERROR(INDEX('CAT_CENTROS_COSTO'!$E$4:$E$9,MATCH($F506,'CAT_CENTROS_COSTO'!$A$4:$A$9,0)),"(sin catálogo)"))</f>
        <v/>
      </c>
      <c r="U506" s="3">
        <f>IF($F506="","",IFERROR(INDEX('CAT_CENTROS_COSTO'!$D$4:$D$9,MATCH($F506,'CAT_CENTROS_COSTO'!$A$4:$A$9,0)),"(sin catálogo)"))</f>
        <v/>
      </c>
      <c r="V506" s="3">
        <f>IF($F506="","",IFERROR(INDEX('CAT_CENTROS_COSTO'!$F$4:$F$9,MATCH($F506,'CAT_CENTROS_COSTO'!$A$4:$A$9,0)),"(sin catálogo)"))</f>
        <v/>
      </c>
      <c r="W506" s="3">
        <f>IF($G506="","",IFERROR(INDEX('CAT_PUESTOS'!$B$4:$B$8,MATCH($G506,'CAT_PUESTOS'!$A$4:$A$8,0)),"(sin catálogo)"))</f>
        <v/>
      </c>
      <c r="X506" s="3">
        <f>IF($H506="","",IFERROR(INDEX('CAT_ACTIVIDADES'!$B$4:$B$8,MATCH($H506,'CAT_ACTIVIDADES'!$A$4:$A$8,0)),"(sin catálogo)"))</f>
        <v/>
      </c>
      <c r="Y506" s="12">
        <f>IF($J506="","",TODAY()-$J506)</f>
        <v/>
      </c>
      <c r="Z506" s="3">
        <f>IF($Y506="","",IF($Y506&lt;0,"FUTURO",IF($Y506&gt;p_dias_backlog_max,"BACKLOG","MES CORRIENTE")))</f>
        <v/>
      </c>
      <c r="AA506" s="3">
        <f>IF($Y506="",FALSE,AND($Y506&gt;p_dias_backlog_min,$Y506&lt;=p_dias_backlog_max))</f>
        <v/>
      </c>
      <c r="AB506" s="6" t="n"/>
      <c r="AC506" s="3">
        <f>IF($AB506="","",IFERROR(INDEX('ASIGNACIONES'!$F$4:$F$339,MATCH($O506&amp;"|"&amp;$R506&amp;"|"&amp;$AB506,'ASIGNACIONES'!$I$4:$I$339,0)),""))</f>
        <v/>
      </c>
      <c r="AD506" s="13">
        <f>IF($AB506="","",SUMIFS('ORDENES'!$M$4:$M$1203,'ORDENES'!$AB$4:$AB$1203,$AB506,'ORDENES'!$O$4:$O$1203,$O506,'ORDENES'!$R$4:$R$1203,$R506))</f>
        <v/>
      </c>
      <c r="AE506" s="13">
        <f>IF($AD506="","",p_factor_productividad*IFERROR(INDEX('ASIGNACIONES'!$H$4:$H$339,MATCH($O506&amp;"|"&amp;$R506&amp;"|"&amp;$AB506,'ASIGNACIONES'!$I$4:$I$339,0)),0)-$AD506)</f>
        <v/>
      </c>
      <c r="AF506" s="10">
        <f>IF($A506="","",IFERROR(INDEX('2_IMPORTAR_EJECUCION'!$F$9:$F$1208,MATCH($AN506,'2_IMPORTAR_EJECUCION'!$J$9:$J$1208,0)),0))</f>
        <v/>
      </c>
      <c r="AG506" s="10">
        <f>IF($A506="","",MAX(0,IFERROR(INDEX('2_IMPORTAR_EJECUCION'!$H$9:$H$1208,MATCH($AN506,'2_IMPORTAR_EJECUCION'!$J$9:$J$1208,0)),0)-$AF506))</f>
        <v/>
      </c>
      <c r="AH506" s="10">
        <f>IF($A506="","",$AF506+$AG506)</f>
        <v/>
      </c>
      <c r="AI506" s="6" t="n"/>
      <c r="AJ506" s="6" t="n"/>
      <c r="AK506" s="6" t="n"/>
      <c r="AL506" s="3">
        <f>IF($AK506="","",HYPERLINK(p_ruta_base_checklists&amp;$AK506,"abrir"))</f>
        <v/>
      </c>
      <c r="AM506" s="6" t="n"/>
      <c r="AN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1" t="n"/>
      <c r="K507" s="3" t="n"/>
      <c r="L507" s="10" t="n"/>
      <c r="M507" s="3">
        <f>IF($A507="","",IFERROR(INDEX('AJUSTES'!$B$4:$B$303,MATCH($AN507,'AJUSTES'!$A$4:$A$303,0)),IF($K507="","",$K507)))</f>
        <v/>
      </c>
      <c r="N507" s="3">
        <f>IF($A507="","",IFERROR(INDEX('CAT_ESTADOS_ERP'!$B$4:$B$7,MATCH(IFERROR(INDEX('2_IMPORTAR_EJECUCION'!$C$9:$C$1208,MATCH($AN507,'2_IMPORTAR_EJECUCION'!$J$9:$J$1208,0)),""),'CAT_ESTADOS_ERP'!$A$4:$A$7,0)),"Pendiente"))</f>
        <v/>
      </c>
      <c r="O507" s="3">
        <f>IF($J507="","",YEAR($J507+4-WEEKDAY($J507,2))&amp;"-S"&amp;TEXT(_xlfn.ISOWEEKNUM($J507),"00"))</f>
        <v/>
      </c>
      <c r="P507" s="3">
        <f>IF($J507="","",YEAR($J507))</f>
        <v/>
      </c>
      <c r="Q507" s="3">
        <f>IF($J507="","",MONTH($J507))</f>
        <v/>
      </c>
      <c r="R507" s="3">
        <f>IF($J507="","",INDEX(lista_dias,WEEKDAY($J507,2)))</f>
        <v/>
      </c>
      <c r="S507" s="3">
        <f>IF($I507="","",IFERROR(INDEX('CAT_TIPOS_OT'!$C$4:$C$7,MATCH($I507,'CAT_TIPOS_OT'!$A$4:$A$7,0)),"sin_clasificar"))</f>
        <v/>
      </c>
      <c r="T507" s="3">
        <f>IF($F507="","",IFERROR(INDEX('CAT_CENTROS_COSTO'!$E$4:$E$9,MATCH($F507,'CAT_CENTROS_COSTO'!$A$4:$A$9,0)),"(sin catálogo)"))</f>
        <v/>
      </c>
      <c r="U507" s="3">
        <f>IF($F507="","",IFERROR(INDEX('CAT_CENTROS_COSTO'!$D$4:$D$9,MATCH($F507,'CAT_CENTROS_COSTO'!$A$4:$A$9,0)),"(sin catálogo)"))</f>
        <v/>
      </c>
      <c r="V507" s="3">
        <f>IF($F507="","",IFERROR(INDEX('CAT_CENTROS_COSTO'!$F$4:$F$9,MATCH($F507,'CAT_CENTROS_COSTO'!$A$4:$A$9,0)),"(sin catálogo)"))</f>
        <v/>
      </c>
      <c r="W507" s="3">
        <f>IF($G507="","",IFERROR(INDEX('CAT_PUESTOS'!$B$4:$B$8,MATCH($G507,'CAT_PUESTOS'!$A$4:$A$8,0)),"(sin catálogo)"))</f>
        <v/>
      </c>
      <c r="X507" s="3">
        <f>IF($H507="","",IFERROR(INDEX('CAT_ACTIVIDADES'!$B$4:$B$8,MATCH($H507,'CAT_ACTIVIDADES'!$A$4:$A$8,0)),"(sin catálogo)"))</f>
        <v/>
      </c>
      <c r="Y507" s="12">
        <f>IF($J507="","",TODAY()-$J507)</f>
        <v/>
      </c>
      <c r="Z507" s="3">
        <f>IF($Y507="","",IF($Y507&lt;0,"FUTURO",IF($Y507&gt;p_dias_backlog_max,"BACKLOG","MES CORRIENTE")))</f>
        <v/>
      </c>
      <c r="AA507" s="3">
        <f>IF($Y507="",FALSE,AND($Y507&gt;p_dias_backlog_min,$Y507&lt;=p_dias_backlog_max))</f>
        <v/>
      </c>
      <c r="AB507" s="6" t="n"/>
      <c r="AC507" s="3">
        <f>IF($AB507="","",IFERROR(INDEX('ASIGNACIONES'!$F$4:$F$339,MATCH($O507&amp;"|"&amp;$R507&amp;"|"&amp;$AB507,'ASIGNACIONES'!$I$4:$I$339,0)),""))</f>
        <v/>
      </c>
      <c r="AD507" s="13">
        <f>IF($AB507="","",SUMIFS('ORDENES'!$M$4:$M$1203,'ORDENES'!$AB$4:$AB$1203,$AB507,'ORDENES'!$O$4:$O$1203,$O507,'ORDENES'!$R$4:$R$1203,$R507))</f>
        <v/>
      </c>
      <c r="AE507" s="13">
        <f>IF($AD507="","",p_factor_productividad*IFERROR(INDEX('ASIGNACIONES'!$H$4:$H$339,MATCH($O507&amp;"|"&amp;$R507&amp;"|"&amp;$AB507,'ASIGNACIONES'!$I$4:$I$339,0)),0)-$AD507)</f>
        <v/>
      </c>
      <c r="AF507" s="10">
        <f>IF($A507="","",IFERROR(INDEX('2_IMPORTAR_EJECUCION'!$F$9:$F$1208,MATCH($AN507,'2_IMPORTAR_EJECUCION'!$J$9:$J$1208,0)),0))</f>
        <v/>
      </c>
      <c r="AG507" s="10">
        <f>IF($A507="","",MAX(0,IFERROR(INDEX('2_IMPORTAR_EJECUCION'!$H$9:$H$1208,MATCH($AN507,'2_IMPORTAR_EJECUCION'!$J$9:$J$1208,0)),0)-$AF507))</f>
        <v/>
      </c>
      <c r="AH507" s="10">
        <f>IF($A507="","",$AF507+$AG507)</f>
        <v/>
      </c>
      <c r="AI507" s="6" t="n"/>
      <c r="AJ507" s="6" t="n"/>
      <c r="AK507" s="6" t="n"/>
      <c r="AL507" s="3">
        <f>IF($AK507="","",HYPERLINK(p_ruta_base_checklists&amp;$AK507,"abrir"))</f>
        <v/>
      </c>
      <c r="AM507" s="6" t="n"/>
      <c r="AN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1" t="n"/>
      <c r="K508" s="3" t="n"/>
      <c r="L508" s="10" t="n"/>
      <c r="M508" s="3">
        <f>IF($A508="","",IFERROR(INDEX('AJUSTES'!$B$4:$B$303,MATCH($AN508,'AJUSTES'!$A$4:$A$303,0)),IF($K508="","",$K508)))</f>
        <v/>
      </c>
      <c r="N508" s="3">
        <f>IF($A508="","",IFERROR(INDEX('CAT_ESTADOS_ERP'!$B$4:$B$7,MATCH(IFERROR(INDEX('2_IMPORTAR_EJECUCION'!$C$9:$C$1208,MATCH($AN508,'2_IMPORTAR_EJECUCION'!$J$9:$J$1208,0)),""),'CAT_ESTADOS_ERP'!$A$4:$A$7,0)),"Pendiente"))</f>
        <v/>
      </c>
      <c r="O508" s="3">
        <f>IF($J508="","",YEAR($J508+4-WEEKDAY($J508,2))&amp;"-S"&amp;TEXT(_xlfn.ISOWEEKNUM($J508),"00"))</f>
        <v/>
      </c>
      <c r="P508" s="3">
        <f>IF($J508="","",YEAR($J508))</f>
        <v/>
      </c>
      <c r="Q508" s="3">
        <f>IF($J508="","",MONTH($J508))</f>
        <v/>
      </c>
      <c r="R508" s="3">
        <f>IF($J508="","",INDEX(lista_dias,WEEKDAY($J508,2)))</f>
        <v/>
      </c>
      <c r="S508" s="3">
        <f>IF($I508="","",IFERROR(INDEX('CAT_TIPOS_OT'!$C$4:$C$7,MATCH($I508,'CAT_TIPOS_OT'!$A$4:$A$7,0)),"sin_clasificar"))</f>
        <v/>
      </c>
      <c r="T508" s="3">
        <f>IF($F508="","",IFERROR(INDEX('CAT_CENTROS_COSTO'!$E$4:$E$9,MATCH($F508,'CAT_CENTROS_COSTO'!$A$4:$A$9,0)),"(sin catálogo)"))</f>
        <v/>
      </c>
      <c r="U508" s="3">
        <f>IF($F508="","",IFERROR(INDEX('CAT_CENTROS_COSTO'!$D$4:$D$9,MATCH($F508,'CAT_CENTROS_COSTO'!$A$4:$A$9,0)),"(sin catálogo)"))</f>
        <v/>
      </c>
      <c r="V508" s="3">
        <f>IF($F508="","",IFERROR(INDEX('CAT_CENTROS_COSTO'!$F$4:$F$9,MATCH($F508,'CAT_CENTROS_COSTO'!$A$4:$A$9,0)),"(sin catálogo)"))</f>
        <v/>
      </c>
      <c r="W508" s="3">
        <f>IF($G508="","",IFERROR(INDEX('CAT_PUESTOS'!$B$4:$B$8,MATCH($G508,'CAT_PUESTOS'!$A$4:$A$8,0)),"(sin catálogo)"))</f>
        <v/>
      </c>
      <c r="X508" s="3">
        <f>IF($H508="","",IFERROR(INDEX('CAT_ACTIVIDADES'!$B$4:$B$8,MATCH($H508,'CAT_ACTIVIDADES'!$A$4:$A$8,0)),"(sin catálogo)"))</f>
        <v/>
      </c>
      <c r="Y508" s="12">
        <f>IF($J508="","",TODAY()-$J508)</f>
        <v/>
      </c>
      <c r="Z508" s="3">
        <f>IF($Y508="","",IF($Y508&lt;0,"FUTURO",IF($Y508&gt;p_dias_backlog_max,"BACKLOG","MES CORRIENTE")))</f>
        <v/>
      </c>
      <c r="AA508" s="3">
        <f>IF($Y508="",FALSE,AND($Y508&gt;p_dias_backlog_min,$Y508&lt;=p_dias_backlog_max))</f>
        <v/>
      </c>
      <c r="AB508" s="6" t="n"/>
      <c r="AC508" s="3">
        <f>IF($AB508="","",IFERROR(INDEX('ASIGNACIONES'!$F$4:$F$339,MATCH($O508&amp;"|"&amp;$R508&amp;"|"&amp;$AB508,'ASIGNACIONES'!$I$4:$I$339,0)),""))</f>
        <v/>
      </c>
      <c r="AD508" s="13">
        <f>IF($AB508="","",SUMIFS('ORDENES'!$M$4:$M$1203,'ORDENES'!$AB$4:$AB$1203,$AB508,'ORDENES'!$O$4:$O$1203,$O508,'ORDENES'!$R$4:$R$1203,$R508))</f>
        <v/>
      </c>
      <c r="AE508" s="13">
        <f>IF($AD508="","",p_factor_productividad*IFERROR(INDEX('ASIGNACIONES'!$H$4:$H$339,MATCH($O508&amp;"|"&amp;$R508&amp;"|"&amp;$AB508,'ASIGNACIONES'!$I$4:$I$339,0)),0)-$AD508)</f>
        <v/>
      </c>
      <c r="AF508" s="10">
        <f>IF($A508="","",IFERROR(INDEX('2_IMPORTAR_EJECUCION'!$F$9:$F$1208,MATCH($AN508,'2_IMPORTAR_EJECUCION'!$J$9:$J$1208,0)),0))</f>
        <v/>
      </c>
      <c r="AG508" s="10">
        <f>IF($A508="","",MAX(0,IFERROR(INDEX('2_IMPORTAR_EJECUCION'!$H$9:$H$1208,MATCH($AN508,'2_IMPORTAR_EJECUCION'!$J$9:$J$1208,0)),0)-$AF508))</f>
        <v/>
      </c>
      <c r="AH508" s="10">
        <f>IF($A508="","",$AF508+$AG508)</f>
        <v/>
      </c>
      <c r="AI508" s="6" t="n"/>
      <c r="AJ508" s="6" t="n"/>
      <c r="AK508" s="6" t="n"/>
      <c r="AL508" s="3">
        <f>IF($AK508="","",HYPERLINK(p_ruta_base_checklists&amp;$AK508,"abrir"))</f>
        <v/>
      </c>
      <c r="AM508" s="6" t="n"/>
      <c r="AN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1" t="n"/>
      <c r="K509" s="3" t="n"/>
      <c r="L509" s="10" t="n"/>
      <c r="M509" s="3">
        <f>IF($A509="","",IFERROR(INDEX('AJUSTES'!$B$4:$B$303,MATCH($AN509,'AJUSTES'!$A$4:$A$303,0)),IF($K509="","",$K509)))</f>
        <v/>
      </c>
      <c r="N509" s="3">
        <f>IF($A509="","",IFERROR(INDEX('CAT_ESTADOS_ERP'!$B$4:$B$7,MATCH(IFERROR(INDEX('2_IMPORTAR_EJECUCION'!$C$9:$C$1208,MATCH($AN509,'2_IMPORTAR_EJECUCION'!$J$9:$J$1208,0)),""),'CAT_ESTADOS_ERP'!$A$4:$A$7,0)),"Pendiente"))</f>
        <v/>
      </c>
      <c r="O509" s="3">
        <f>IF($J509="","",YEAR($J509+4-WEEKDAY($J509,2))&amp;"-S"&amp;TEXT(_xlfn.ISOWEEKNUM($J509),"00"))</f>
        <v/>
      </c>
      <c r="P509" s="3">
        <f>IF($J509="","",YEAR($J509))</f>
        <v/>
      </c>
      <c r="Q509" s="3">
        <f>IF($J509="","",MONTH($J509))</f>
        <v/>
      </c>
      <c r="R509" s="3">
        <f>IF($J509="","",INDEX(lista_dias,WEEKDAY($J509,2)))</f>
        <v/>
      </c>
      <c r="S509" s="3">
        <f>IF($I509="","",IFERROR(INDEX('CAT_TIPOS_OT'!$C$4:$C$7,MATCH($I509,'CAT_TIPOS_OT'!$A$4:$A$7,0)),"sin_clasificar"))</f>
        <v/>
      </c>
      <c r="T509" s="3">
        <f>IF($F509="","",IFERROR(INDEX('CAT_CENTROS_COSTO'!$E$4:$E$9,MATCH($F509,'CAT_CENTROS_COSTO'!$A$4:$A$9,0)),"(sin catálogo)"))</f>
        <v/>
      </c>
      <c r="U509" s="3">
        <f>IF($F509="","",IFERROR(INDEX('CAT_CENTROS_COSTO'!$D$4:$D$9,MATCH($F509,'CAT_CENTROS_COSTO'!$A$4:$A$9,0)),"(sin catálogo)"))</f>
        <v/>
      </c>
      <c r="V509" s="3">
        <f>IF($F509="","",IFERROR(INDEX('CAT_CENTROS_COSTO'!$F$4:$F$9,MATCH($F509,'CAT_CENTROS_COSTO'!$A$4:$A$9,0)),"(sin catálogo)"))</f>
        <v/>
      </c>
      <c r="W509" s="3">
        <f>IF($G509="","",IFERROR(INDEX('CAT_PUESTOS'!$B$4:$B$8,MATCH($G509,'CAT_PUESTOS'!$A$4:$A$8,0)),"(sin catálogo)"))</f>
        <v/>
      </c>
      <c r="X509" s="3">
        <f>IF($H509="","",IFERROR(INDEX('CAT_ACTIVIDADES'!$B$4:$B$8,MATCH($H509,'CAT_ACTIVIDADES'!$A$4:$A$8,0)),"(sin catálogo)"))</f>
        <v/>
      </c>
      <c r="Y509" s="12">
        <f>IF($J509="","",TODAY()-$J509)</f>
        <v/>
      </c>
      <c r="Z509" s="3">
        <f>IF($Y509="","",IF($Y509&lt;0,"FUTURO",IF($Y509&gt;p_dias_backlog_max,"BACKLOG","MES CORRIENTE")))</f>
        <v/>
      </c>
      <c r="AA509" s="3">
        <f>IF($Y509="",FALSE,AND($Y509&gt;p_dias_backlog_min,$Y509&lt;=p_dias_backlog_max))</f>
        <v/>
      </c>
      <c r="AB509" s="6" t="n"/>
      <c r="AC509" s="3">
        <f>IF($AB509="","",IFERROR(INDEX('ASIGNACIONES'!$F$4:$F$339,MATCH($O509&amp;"|"&amp;$R509&amp;"|"&amp;$AB509,'ASIGNACIONES'!$I$4:$I$339,0)),""))</f>
        <v/>
      </c>
      <c r="AD509" s="13">
        <f>IF($AB509="","",SUMIFS('ORDENES'!$M$4:$M$1203,'ORDENES'!$AB$4:$AB$1203,$AB509,'ORDENES'!$O$4:$O$1203,$O509,'ORDENES'!$R$4:$R$1203,$R509))</f>
        <v/>
      </c>
      <c r="AE509" s="13">
        <f>IF($AD509="","",p_factor_productividad*IFERROR(INDEX('ASIGNACIONES'!$H$4:$H$339,MATCH($O509&amp;"|"&amp;$R509&amp;"|"&amp;$AB509,'ASIGNACIONES'!$I$4:$I$339,0)),0)-$AD509)</f>
        <v/>
      </c>
      <c r="AF509" s="10">
        <f>IF($A509="","",IFERROR(INDEX('2_IMPORTAR_EJECUCION'!$F$9:$F$1208,MATCH($AN509,'2_IMPORTAR_EJECUCION'!$J$9:$J$1208,0)),0))</f>
        <v/>
      </c>
      <c r="AG509" s="10">
        <f>IF($A509="","",MAX(0,IFERROR(INDEX('2_IMPORTAR_EJECUCION'!$H$9:$H$1208,MATCH($AN509,'2_IMPORTAR_EJECUCION'!$J$9:$J$1208,0)),0)-$AF509))</f>
        <v/>
      </c>
      <c r="AH509" s="10">
        <f>IF($A509="","",$AF509+$AG509)</f>
        <v/>
      </c>
      <c r="AI509" s="6" t="n"/>
      <c r="AJ509" s="6" t="n"/>
      <c r="AK509" s="6" t="n"/>
      <c r="AL509" s="3">
        <f>IF($AK509="","",HYPERLINK(p_ruta_base_checklists&amp;$AK509,"abrir"))</f>
        <v/>
      </c>
      <c r="AM509" s="6" t="n"/>
      <c r="AN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1" t="n"/>
      <c r="K510" s="3" t="n"/>
      <c r="L510" s="10" t="n"/>
      <c r="M510" s="3">
        <f>IF($A510="","",IFERROR(INDEX('AJUSTES'!$B$4:$B$303,MATCH($AN510,'AJUSTES'!$A$4:$A$303,0)),IF($K510="","",$K510)))</f>
        <v/>
      </c>
      <c r="N510" s="3">
        <f>IF($A510="","",IFERROR(INDEX('CAT_ESTADOS_ERP'!$B$4:$B$7,MATCH(IFERROR(INDEX('2_IMPORTAR_EJECUCION'!$C$9:$C$1208,MATCH($AN510,'2_IMPORTAR_EJECUCION'!$J$9:$J$1208,0)),""),'CAT_ESTADOS_ERP'!$A$4:$A$7,0)),"Pendiente"))</f>
        <v/>
      </c>
      <c r="O510" s="3">
        <f>IF($J510="","",YEAR($J510+4-WEEKDAY($J510,2))&amp;"-S"&amp;TEXT(_xlfn.ISOWEEKNUM($J510),"00"))</f>
        <v/>
      </c>
      <c r="P510" s="3">
        <f>IF($J510="","",YEAR($J510))</f>
        <v/>
      </c>
      <c r="Q510" s="3">
        <f>IF($J510="","",MONTH($J510))</f>
        <v/>
      </c>
      <c r="R510" s="3">
        <f>IF($J510="","",INDEX(lista_dias,WEEKDAY($J510,2)))</f>
        <v/>
      </c>
      <c r="S510" s="3">
        <f>IF($I510="","",IFERROR(INDEX('CAT_TIPOS_OT'!$C$4:$C$7,MATCH($I510,'CAT_TIPOS_OT'!$A$4:$A$7,0)),"sin_clasificar"))</f>
        <v/>
      </c>
      <c r="T510" s="3">
        <f>IF($F510="","",IFERROR(INDEX('CAT_CENTROS_COSTO'!$E$4:$E$9,MATCH($F510,'CAT_CENTROS_COSTO'!$A$4:$A$9,0)),"(sin catálogo)"))</f>
        <v/>
      </c>
      <c r="U510" s="3">
        <f>IF($F510="","",IFERROR(INDEX('CAT_CENTROS_COSTO'!$D$4:$D$9,MATCH($F510,'CAT_CENTROS_COSTO'!$A$4:$A$9,0)),"(sin catálogo)"))</f>
        <v/>
      </c>
      <c r="V510" s="3">
        <f>IF($F510="","",IFERROR(INDEX('CAT_CENTROS_COSTO'!$F$4:$F$9,MATCH($F510,'CAT_CENTROS_COSTO'!$A$4:$A$9,0)),"(sin catálogo)"))</f>
        <v/>
      </c>
      <c r="W510" s="3">
        <f>IF($G510="","",IFERROR(INDEX('CAT_PUESTOS'!$B$4:$B$8,MATCH($G510,'CAT_PUESTOS'!$A$4:$A$8,0)),"(sin catálogo)"))</f>
        <v/>
      </c>
      <c r="X510" s="3">
        <f>IF($H510="","",IFERROR(INDEX('CAT_ACTIVIDADES'!$B$4:$B$8,MATCH($H510,'CAT_ACTIVIDADES'!$A$4:$A$8,0)),"(sin catálogo)"))</f>
        <v/>
      </c>
      <c r="Y510" s="12">
        <f>IF($J510="","",TODAY()-$J510)</f>
        <v/>
      </c>
      <c r="Z510" s="3">
        <f>IF($Y510="","",IF($Y510&lt;0,"FUTURO",IF($Y510&gt;p_dias_backlog_max,"BACKLOG","MES CORRIENTE")))</f>
        <v/>
      </c>
      <c r="AA510" s="3">
        <f>IF($Y510="",FALSE,AND($Y510&gt;p_dias_backlog_min,$Y510&lt;=p_dias_backlog_max))</f>
        <v/>
      </c>
      <c r="AB510" s="6" t="n"/>
      <c r="AC510" s="3">
        <f>IF($AB510="","",IFERROR(INDEX('ASIGNACIONES'!$F$4:$F$339,MATCH($O510&amp;"|"&amp;$R510&amp;"|"&amp;$AB510,'ASIGNACIONES'!$I$4:$I$339,0)),""))</f>
        <v/>
      </c>
      <c r="AD510" s="13">
        <f>IF($AB510="","",SUMIFS('ORDENES'!$M$4:$M$1203,'ORDENES'!$AB$4:$AB$1203,$AB510,'ORDENES'!$O$4:$O$1203,$O510,'ORDENES'!$R$4:$R$1203,$R510))</f>
        <v/>
      </c>
      <c r="AE510" s="13">
        <f>IF($AD510="","",p_factor_productividad*IFERROR(INDEX('ASIGNACIONES'!$H$4:$H$339,MATCH($O510&amp;"|"&amp;$R510&amp;"|"&amp;$AB510,'ASIGNACIONES'!$I$4:$I$339,0)),0)-$AD510)</f>
        <v/>
      </c>
      <c r="AF510" s="10">
        <f>IF($A510="","",IFERROR(INDEX('2_IMPORTAR_EJECUCION'!$F$9:$F$1208,MATCH($AN510,'2_IMPORTAR_EJECUCION'!$J$9:$J$1208,0)),0))</f>
        <v/>
      </c>
      <c r="AG510" s="10">
        <f>IF($A510="","",MAX(0,IFERROR(INDEX('2_IMPORTAR_EJECUCION'!$H$9:$H$1208,MATCH($AN510,'2_IMPORTAR_EJECUCION'!$J$9:$J$1208,0)),0)-$AF510))</f>
        <v/>
      </c>
      <c r="AH510" s="10">
        <f>IF($A510="","",$AF510+$AG510)</f>
        <v/>
      </c>
      <c r="AI510" s="6" t="n"/>
      <c r="AJ510" s="6" t="n"/>
      <c r="AK510" s="6" t="n"/>
      <c r="AL510" s="3">
        <f>IF($AK510="","",HYPERLINK(p_ruta_base_checklists&amp;$AK510,"abrir"))</f>
        <v/>
      </c>
      <c r="AM510" s="6" t="n"/>
      <c r="AN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1" t="n"/>
      <c r="K511" s="3" t="n"/>
      <c r="L511" s="10" t="n"/>
      <c r="M511" s="3">
        <f>IF($A511="","",IFERROR(INDEX('AJUSTES'!$B$4:$B$303,MATCH($AN511,'AJUSTES'!$A$4:$A$303,0)),IF($K511="","",$K511)))</f>
        <v/>
      </c>
      <c r="N511" s="3">
        <f>IF($A511="","",IFERROR(INDEX('CAT_ESTADOS_ERP'!$B$4:$B$7,MATCH(IFERROR(INDEX('2_IMPORTAR_EJECUCION'!$C$9:$C$1208,MATCH($AN511,'2_IMPORTAR_EJECUCION'!$J$9:$J$1208,0)),""),'CAT_ESTADOS_ERP'!$A$4:$A$7,0)),"Pendiente"))</f>
        <v/>
      </c>
      <c r="O511" s="3">
        <f>IF($J511="","",YEAR($J511+4-WEEKDAY($J511,2))&amp;"-S"&amp;TEXT(_xlfn.ISOWEEKNUM($J511),"00"))</f>
        <v/>
      </c>
      <c r="P511" s="3">
        <f>IF($J511="","",YEAR($J511))</f>
        <v/>
      </c>
      <c r="Q511" s="3">
        <f>IF($J511="","",MONTH($J511))</f>
        <v/>
      </c>
      <c r="R511" s="3">
        <f>IF($J511="","",INDEX(lista_dias,WEEKDAY($J511,2)))</f>
        <v/>
      </c>
      <c r="S511" s="3">
        <f>IF($I511="","",IFERROR(INDEX('CAT_TIPOS_OT'!$C$4:$C$7,MATCH($I511,'CAT_TIPOS_OT'!$A$4:$A$7,0)),"sin_clasificar"))</f>
        <v/>
      </c>
      <c r="T511" s="3">
        <f>IF($F511="","",IFERROR(INDEX('CAT_CENTROS_COSTO'!$E$4:$E$9,MATCH($F511,'CAT_CENTROS_COSTO'!$A$4:$A$9,0)),"(sin catálogo)"))</f>
        <v/>
      </c>
      <c r="U511" s="3">
        <f>IF($F511="","",IFERROR(INDEX('CAT_CENTROS_COSTO'!$D$4:$D$9,MATCH($F511,'CAT_CENTROS_COSTO'!$A$4:$A$9,0)),"(sin catálogo)"))</f>
        <v/>
      </c>
      <c r="V511" s="3">
        <f>IF($F511="","",IFERROR(INDEX('CAT_CENTROS_COSTO'!$F$4:$F$9,MATCH($F511,'CAT_CENTROS_COSTO'!$A$4:$A$9,0)),"(sin catálogo)"))</f>
        <v/>
      </c>
      <c r="W511" s="3">
        <f>IF($G511="","",IFERROR(INDEX('CAT_PUESTOS'!$B$4:$B$8,MATCH($G511,'CAT_PUESTOS'!$A$4:$A$8,0)),"(sin catálogo)"))</f>
        <v/>
      </c>
      <c r="X511" s="3">
        <f>IF($H511="","",IFERROR(INDEX('CAT_ACTIVIDADES'!$B$4:$B$8,MATCH($H511,'CAT_ACTIVIDADES'!$A$4:$A$8,0)),"(sin catálogo)"))</f>
        <v/>
      </c>
      <c r="Y511" s="12">
        <f>IF($J511="","",TODAY()-$J511)</f>
        <v/>
      </c>
      <c r="Z511" s="3">
        <f>IF($Y511="","",IF($Y511&lt;0,"FUTURO",IF($Y511&gt;p_dias_backlog_max,"BACKLOG","MES CORRIENTE")))</f>
        <v/>
      </c>
      <c r="AA511" s="3">
        <f>IF($Y511="",FALSE,AND($Y511&gt;p_dias_backlog_min,$Y511&lt;=p_dias_backlog_max))</f>
        <v/>
      </c>
      <c r="AB511" s="6" t="n"/>
      <c r="AC511" s="3">
        <f>IF($AB511="","",IFERROR(INDEX('ASIGNACIONES'!$F$4:$F$339,MATCH($O511&amp;"|"&amp;$R511&amp;"|"&amp;$AB511,'ASIGNACIONES'!$I$4:$I$339,0)),""))</f>
        <v/>
      </c>
      <c r="AD511" s="13">
        <f>IF($AB511="","",SUMIFS('ORDENES'!$M$4:$M$1203,'ORDENES'!$AB$4:$AB$1203,$AB511,'ORDENES'!$O$4:$O$1203,$O511,'ORDENES'!$R$4:$R$1203,$R511))</f>
        <v/>
      </c>
      <c r="AE511" s="13">
        <f>IF($AD511="","",p_factor_productividad*IFERROR(INDEX('ASIGNACIONES'!$H$4:$H$339,MATCH($O511&amp;"|"&amp;$R511&amp;"|"&amp;$AB511,'ASIGNACIONES'!$I$4:$I$339,0)),0)-$AD511)</f>
        <v/>
      </c>
      <c r="AF511" s="10">
        <f>IF($A511="","",IFERROR(INDEX('2_IMPORTAR_EJECUCION'!$F$9:$F$1208,MATCH($AN511,'2_IMPORTAR_EJECUCION'!$J$9:$J$1208,0)),0))</f>
        <v/>
      </c>
      <c r="AG511" s="10">
        <f>IF($A511="","",MAX(0,IFERROR(INDEX('2_IMPORTAR_EJECUCION'!$H$9:$H$1208,MATCH($AN511,'2_IMPORTAR_EJECUCION'!$J$9:$J$1208,0)),0)-$AF511))</f>
        <v/>
      </c>
      <c r="AH511" s="10">
        <f>IF($A511="","",$AF511+$AG511)</f>
        <v/>
      </c>
      <c r="AI511" s="6" t="n"/>
      <c r="AJ511" s="6" t="n"/>
      <c r="AK511" s="6" t="n"/>
      <c r="AL511" s="3">
        <f>IF($AK511="","",HYPERLINK(p_ruta_base_checklists&amp;$AK511,"abrir"))</f>
        <v/>
      </c>
      <c r="AM511" s="6" t="n"/>
      <c r="AN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1" t="n"/>
      <c r="K512" s="3" t="n"/>
      <c r="L512" s="10" t="n"/>
      <c r="M512" s="3">
        <f>IF($A512="","",IFERROR(INDEX('AJUSTES'!$B$4:$B$303,MATCH($AN512,'AJUSTES'!$A$4:$A$303,0)),IF($K512="","",$K512)))</f>
        <v/>
      </c>
      <c r="N512" s="3">
        <f>IF($A512="","",IFERROR(INDEX('CAT_ESTADOS_ERP'!$B$4:$B$7,MATCH(IFERROR(INDEX('2_IMPORTAR_EJECUCION'!$C$9:$C$1208,MATCH($AN512,'2_IMPORTAR_EJECUCION'!$J$9:$J$1208,0)),""),'CAT_ESTADOS_ERP'!$A$4:$A$7,0)),"Pendiente"))</f>
        <v/>
      </c>
      <c r="O512" s="3">
        <f>IF($J512="","",YEAR($J512+4-WEEKDAY($J512,2))&amp;"-S"&amp;TEXT(_xlfn.ISOWEEKNUM($J512),"00"))</f>
        <v/>
      </c>
      <c r="P512" s="3">
        <f>IF($J512="","",YEAR($J512))</f>
        <v/>
      </c>
      <c r="Q512" s="3">
        <f>IF($J512="","",MONTH($J512))</f>
        <v/>
      </c>
      <c r="R512" s="3">
        <f>IF($J512="","",INDEX(lista_dias,WEEKDAY($J512,2)))</f>
        <v/>
      </c>
      <c r="S512" s="3">
        <f>IF($I512="","",IFERROR(INDEX('CAT_TIPOS_OT'!$C$4:$C$7,MATCH($I512,'CAT_TIPOS_OT'!$A$4:$A$7,0)),"sin_clasificar"))</f>
        <v/>
      </c>
      <c r="T512" s="3">
        <f>IF($F512="","",IFERROR(INDEX('CAT_CENTROS_COSTO'!$E$4:$E$9,MATCH($F512,'CAT_CENTROS_COSTO'!$A$4:$A$9,0)),"(sin catálogo)"))</f>
        <v/>
      </c>
      <c r="U512" s="3">
        <f>IF($F512="","",IFERROR(INDEX('CAT_CENTROS_COSTO'!$D$4:$D$9,MATCH($F512,'CAT_CENTROS_COSTO'!$A$4:$A$9,0)),"(sin catálogo)"))</f>
        <v/>
      </c>
      <c r="V512" s="3">
        <f>IF($F512="","",IFERROR(INDEX('CAT_CENTROS_COSTO'!$F$4:$F$9,MATCH($F512,'CAT_CENTROS_COSTO'!$A$4:$A$9,0)),"(sin catálogo)"))</f>
        <v/>
      </c>
      <c r="W512" s="3">
        <f>IF($G512="","",IFERROR(INDEX('CAT_PUESTOS'!$B$4:$B$8,MATCH($G512,'CAT_PUESTOS'!$A$4:$A$8,0)),"(sin catálogo)"))</f>
        <v/>
      </c>
      <c r="X512" s="3">
        <f>IF($H512="","",IFERROR(INDEX('CAT_ACTIVIDADES'!$B$4:$B$8,MATCH($H512,'CAT_ACTIVIDADES'!$A$4:$A$8,0)),"(sin catálogo)"))</f>
        <v/>
      </c>
      <c r="Y512" s="12">
        <f>IF($J512="","",TODAY()-$J512)</f>
        <v/>
      </c>
      <c r="Z512" s="3">
        <f>IF($Y512="","",IF($Y512&lt;0,"FUTURO",IF($Y512&gt;p_dias_backlog_max,"BACKLOG","MES CORRIENTE")))</f>
        <v/>
      </c>
      <c r="AA512" s="3">
        <f>IF($Y512="",FALSE,AND($Y512&gt;p_dias_backlog_min,$Y512&lt;=p_dias_backlog_max))</f>
        <v/>
      </c>
      <c r="AB512" s="6" t="n"/>
      <c r="AC512" s="3">
        <f>IF($AB512="","",IFERROR(INDEX('ASIGNACIONES'!$F$4:$F$339,MATCH($O512&amp;"|"&amp;$R512&amp;"|"&amp;$AB512,'ASIGNACIONES'!$I$4:$I$339,0)),""))</f>
        <v/>
      </c>
      <c r="AD512" s="13">
        <f>IF($AB512="","",SUMIFS('ORDENES'!$M$4:$M$1203,'ORDENES'!$AB$4:$AB$1203,$AB512,'ORDENES'!$O$4:$O$1203,$O512,'ORDENES'!$R$4:$R$1203,$R512))</f>
        <v/>
      </c>
      <c r="AE512" s="13">
        <f>IF($AD512="","",p_factor_productividad*IFERROR(INDEX('ASIGNACIONES'!$H$4:$H$339,MATCH($O512&amp;"|"&amp;$R512&amp;"|"&amp;$AB512,'ASIGNACIONES'!$I$4:$I$339,0)),0)-$AD512)</f>
        <v/>
      </c>
      <c r="AF512" s="10">
        <f>IF($A512="","",IFERROR(INDEX('2_IMPORTAR_EJECUCION'!$F$9:$F$1208,MATCH($AN512,'2_IMPORTAR_EJECUCION'!$J$9:$J$1208,0)),0))</f>
        <v/>
      </c>
      <c r="AG512" s="10">
        <f>IF($A512="","",MAX(0,IFERROR(INDEX('2_IMPORTAR_EJECUCION'!$H$9:$H$1208,MATCH($AN512,'2_IMPORTAR_EJECUCION'!$J$9:$J$1208,0)),0)-$AF512))</f>
        <v/>
      </c>
      <c r="AH512" s="10">
        <f>IF($A512="","",$AF512+$AG512)</f>
        <v/>
      </c>
      <c r="AI512" s="6" t="n"/>
      <c r="AJ512" s="6" t="n"/>
      <c r="AK512" s="6" t="n"/>
      <c r="AL512" s="3">
        <f>IF($AK512="","",HYPERLINK(p_ruta_base_checklists&amp;$AK512,"abrir"))</f>
        <v/>
      </c>
      <c r="AM512" s="6" t="n"/>
      <c r="AN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1" t="n"/>
      <c r="K513" s="3" t="n"/>
      <c r="L513" s="10" t="n"/>
      <c r="M513" s="3">
        <f>IF($A513="","",IFERROR(INDEX('AJUSTES'!$B$4:$B$303,MATCH($AN513,'AJUSTES'!$A$4:$A$303,0)),IF($K513="","",$K513)))</f>
        <v/>
      </c>
      <c r="N513" s="3">
        <f>IF($A513="","",IFERROR(INDEX('CAT_ESTADOS_ERP'!$B$4:$B$7,MATCH(IFERROR(INDEX('2_IMPORTAR_EJECUCION'!$C$9:$C$1208,MATCH($AN513,'2_IMPORTAR_EJECUCION'!$J$9:$J$1208,0)),""),'CAT_ESTADOS_ERP'!$A$4:$A$7,0)),"Pendiente"))</f>
        <v/>
      </c>
      <c r="O513" s="3">
        <f>IF($J513="","",YEAR($J513+4-WEEKDAY($J513,2))&amp;"-S"&amp;TEXT(_xlfn.ISOWEEKNUM($J513),"00"))</f>
        <v/>
      </c>
      <c r="P513" s="3">
        <f>IF($J513="","",YEAR($J513))</f>
        <v/>
      </c>
      <c r="Q513" s="3">
        <f>IF($J513="","",MONTH($J513))</f>
        <v/>
      </c>
      <c r="R513" s="3">
        <f>IF($J513="","",INDEX(lista_dias,WEEKDAY($J513,2)))</f>
        <v/>
      </c>
      <c r="S513" s="3">
        <f>IF($I513="","",IFERROR(INDEX('CAT_TIPOS_OT'!$C$4:$C$7,MATCH($I513,'CAT_TIPOS_OT'!$A$4:$A$7,0)),"sin_clasificar"))</f>
        <v/>
      </c>
      <c r="T513" s="3">
        <f>IF($F513="","",IFERROR(INDEX('CAT_CENTROS_COSTO'!$E$4:$E$9,MATCH($F513,'CAT_CENTROS_COSTO'!$A$4:$A$9,0)),"(sin catálogo)"))</f>
        <v/>
      </c>
      <c r="U513" s="3">
        <f>IF($F513="","",IFERROR(INDEX('CAT_CENTROS_COSTO'!$D$4:$D$9,MATCH($F513,'CAT_CENTROS_COSTO'!$A$4:$A$9,0)),"(sin catálogo)"))</f>
        <v/>
      </c>
      <c r="V513" s="3">
        <f>IF($F513="","",IFERROR(INDEX('CAT_CENTROS_COSTO'!$F$4:$F$9,MATCH($F513,'CAT_CENTROS_COSTO'!$A$4:$A$9,0)),"(sin catálogo)"))</f>
        <v/>
      </c>
      <c r="W513" s="3">
        <f>IF($G513="","",IFERROR(INDEX('CAT_PUESTOS'!$B$4:$B$8,MATCH($G513,'CAT_PUESTOS'!$A$4:$A$8,0)),"(sin catálogo)"))</f>
        <v/>
      </c>
      <c r="X513" s="3">
        <f>IF($H513="","",IFERROR(INDEX('CAT_ACTIVIDADES'!$B$4:$B$8,MATCH($H513,'CAT_ACTIVIDADES'!$A$4:$A$8,0)),"(sin catálogo)"))</f>
        <v/>
      </c>
      <c r="Y513" s="12">
        <f>IF($J513="","",TODAY()-$J513)</f>
        <v/>
      </c>
      <c r="Z513" s="3">
        <f>IF($Y513="","",IF($Y513&lt;0,"FUTURO",IF($Y513&gt;p_dias_backlog_max,"BACKLOG","MES CORRIENTE")))</f>
        <v/>
      </c>
      <c r="AA513" s="3">
        <f>IF($Y513="",FALSE,AND($Y513&gt;p_dias_backlog_min,$Y513&lt;=p_dias_backlog_max))</f>
        <v/>
      </c>
      <c r="AB513" s="6" t="n"/>
      <c r="AC513" s="3">
        <f>IF($AB513="","",IFERROR(INDEX('ASIGNACIONES'!$F$4:$F$339,MATCH($O513&amp;"|"&amp;$R513&amp;"|"&amp;$AB513,'ASIGNACIONES'!$I$4:$I$339,0)),""))</f>
        <v/>
      </c>
      <c r="AD513" s="13">
        <f>IF($AB513="","",SUMIFS('ORDENES'!$M$4:$M$1203,'ORDENES'!$AB$4:$AB$1203,$AB513,'ORDENES'!$O$4:$O$1203,$O513,'ORDENES'!$R$4:$R$1203,$R513))</f>
        <v/>
      </c>
      <c r="AE513" s="13">
        <f>IF($AD513="","",p_factor_productividad*IFERROR(INDEX('ASIGNACIONES'!$H$4:$H$339,MATCH($O513&amp;"|"&amp;$R513&amp;"|"&amp;$AB513,'ASIGNACIONES'!$I$4:$I$339,0)),0)-$AD513)</f>
        <v/>
      </c>
      <c r="AF513" s="10">
        <f>IF($A513="","",IFERROR(INDEX('2_IMPORTAR_EJECUCION'!$F$9:$F$1208,MATCH($AN513,'2_IMPORTAR_EJECUCION'!$J$9:$J$1208,0)),0))</f>
        <v/>
      </c>
      <c r="AG513" s="10">
        <f>IF($A513="","",MAX(0,IFERROR(INDEX('2_IMPORTAR_EJECUCION'!$H$9:$H$1208,MATCH($AN513,'2_IMPORTAR_EJECUCION'!$J$9:$J$1208,0)),0)-$AF513))</f>
        <v/>
      </c>
      <c r="AH513" s="10">
        <f>IF($A513="","",$AF513+$AG513)</f>
        <v/>
      </c>
      <c r="AI513" s="6" t="n"/>
      <c r="AJ513" s="6" t="n"/>
      <c r="AK513" s="6" t="n"/>
      <c r="AL513" s="3">
        <f>IF($AK513="","",HYPERLINK(p_ruta_base_checklists&amp;$AK513,"abrir"))</f>
        <v/>
      </c>
      <c r="AM513" s="6" t="n"/>
      <c r="AN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1" t="n"/>
      <c r="K514" s="3" t="n"/>
      <c r="L514" s="10" t="n"/>
      <c r="M514" s="3">
        <f>IF($A514="","",IFERROR(INDEX('AJUSTES'!$B$4:$B$303,MATCH($AN514,'AJUSTES'!$A$4:$A$303,0)),IF($K514="","",$K514)))</f>
        <v/>
      </c>
      <c r="N514" s="3">
        <f>IF($A514="","",IFERROR(INDEX('CAT_ESTADOS_ERP'!$B$4:$B$7,MATCH(IFERROR(INDEX('2_IMPORTAR_EJECUCION'!$C$9:$C$1208,MATCH($AN514,'2_IMPORTAR_EJECUCION'!$J$9:$J$1208,0)),""),'CAT_ESTADOS_ERP'!$A$4:$A$7,0)),"Pendiente"))</f>
        <v/>
      </c>
      <c r="O514" s="3">
        <f>IF($J514="","",YEAR($J514+4-WEEKDAY($J514,2))&amp;"-S"&amp;TEXT(_xlfn.ISOWEEKNUM($J514),"00"))</f>
        <v/>
      </c>
      <c r="P514" s="3">
        <f>IF($J514="","",YEAR($J514))</f>
        <v/>
      </c>
      <c r="Q514" s="3">
        <f>IF($J514="","",MONTH($J514))</f>
        <v/>
      </c>
      <c r="R514" s="3">
        <f>IF($J514="","",INDEX(lista_dias,WEEKDAY($J514,2)))</f>
        <v/>
      </c>
      <c r="S514" s="3">
        <f>IF($I514="","",IFERROR(INDEX('CAT_TIPOS_OT'!$C$4:$C$7,MATCH($I514,'CAT_TIPOS_OT'!$A$4:$A$7,0)),"sin_clasificar"))</f>
        <v/>
      </c>
      <c r="T514" s="3">
        <f>IF($F514="","",IFERROR(INDEX('CAT_CENTROS_COSTO'!$E$4:$E$9,MATCH($F514,'CAT_CENTROS_COSTO'!$A$4:$A$9,0)),"(sin catálogo)"))</f>
        <v/>
      </c>
      <c r="U514" s="3">
        <f>IF($F514="","",IFERROR(INDEX('CAT_CENTROS_COSTO'!$D$4:$D$9,MATCH($F514,'CAT_CENTROS_COSTO'!$A$4:$A$9,0)),"(sin catálogo)"))</f>
        <v/>
      </c>
      <c r="V514" s="3">
        <f>IF($F514="","",IFERROR(INDEX('CAT_CENTROS_COSTO'!$F$4:$F$9,MATCH($F514,'CAT_CENTROS_COSTO'!$A$4:$A$9,0)),"(sin catálogo)"))</f>
        <v/>
      </c>
      <c r="W514" s="3">
        <f>IF($G514="","",IFERROR(INDEX('CAT_PUESTOS'!$B$4:$B$8,MATCH($G514,'CAT_PUESTOS'!$A$4:$A$8,0)),"(sin catálogo)"))</f>
        <v/>
      </c>
      <c r="X514" s="3">
        <f>IF($H514="","",IFERROR(INDEX('CAT_ACTIVIDADES'!$B$4:$B$8,MATCH($H514,'CAT_ACTIVIDADES'!$A$4:$A$8,0)),"(sin catálogo)"))</f>
        <v/>
      </c>
      <c r="Y514" s="12">
        <f>IF($J514="","",TODAY()-$J514)</f>
        <v/>
      </c>
      <c r="Z514" s="3">
        <f>IF($Y514="","",IF($Y514&lt;0,"FUTURO",IF($Y514&gt;p_dias_backlog_max,"BACKLOG","MES CORRIENTE")))</f>
        <v/>
      </c>
      <c r="AA514" s="3">
        <f>IF($Y514="",FALSE,AND($Y514&gt;p_dias_backlog_min,$Y514&lt;=p_dias_backlog_max))</f>
        <v/>
      </c>
      <c r="AB514" s="6" t="n"/>
      <c r="AC514" s="3">
        <f>IF($AB514="","",IFERROR(INDEX('ASIGNACIONES'!$F$4:$F$339,MATCH($O514&amp;"|"&amp;$R514&amp;"|"&amp;$AB514,'ASIGNACIONES'!$I$4:$I$339,0)),""))</f>
        <v/>
      </c>
      <c r="AD514" s="13">
        <f>IF($AB514="","",SUMIFS('ORDENES'!$M$4:$M$1203,'ORDENES'!$AB$4:$AB$1203,$AB514,'ORDENES'!$O$4:$O$1203,$O514,'ORDENES'!$R$4:$R$1203,$R514))</f>
        <v/>
      </c>
      <c r="AE514" s="13">
        <f>IF($AD514="","",p_factor_productividad*IFERROR(INDEX('ASIGNACIONES'!$H$4:$H$339,MATCH($O514&amp;"|"&amp;$R514&amp;"|"&amp;$AB514,'ASIGNACIONES'!$I$4:$I$339,0)),0)-$AD514)</f>
        <v/>
      </c>
      <c r="AF514" s="10">
        <f>IF($A514="","",IFERROR(INDEX('2_IMPORTAR_EJECUCION'!$F$9:$F$1208,MATCH($AN514,'2_IMPORTAR_EJECUCION'!$J$9:$J$1208,0)),0))</f>
        <v/>
      </c>
      <c r="AG514" s="10">
        <f>IF($A514="","",MAX(0,IFERROR(INDEX('2_IMPORTAR_EJECUCION'!$H$9:$H$1208,MATCH($AN514,'2_IMPORTAR_EJECUCION'!$J$9:$J$1208,0)),0)-$AF514))</f>
        <v/>
      </c>
      <c r="AH514" s="10">
        <f>IF($A514="","",$AF514+$AG514)</f>
        <v/>
      </c>
      <c r="AI514" s="6" t="n"/>
      <c r="AJ514" s="6" t="n"/>
      <c r="AK514" s="6" t="n"/>
      <c r="AL514" s="3">
        <f>IF($AK514="","",HYPERLINK(p_ruta_base_checklists&amp;$AK514,"abrir"))</f>
        <v/>
      </c>
      <c r="AM514" s="6" t="n"/>
      <c r="AN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1" t="n"/>
      <c r="K515" s="3" t="n"/>
      <c r="L515" s="10" t="n"/>
      <c r="M515" s="3">
        <f>IF($A515="","",IFERROR(INDEX('AJUSTES'!$B$4:$B$303,MATCH($AN515,'AJUSTES'!$A$4:$A$303,0)),IF($K515="","",$K515)))</f>
        <v/>
      </c>
      <c r="N515" s="3">
        <f>IF($A515="","",IFERROR(INDEX('CAT_ESTADOS_ERP'!$B$4:$B$7,MATCH(IFERROR(INDEX('2_IMPORTAR_EJECUCION'!$C$9:$C$1208,MATCH($AN515,'2_IMPORTAR_EJECUCION'!$J$9:$J$1208,0)),""),'CAT_ESTADOS_ERP'!$A$4:$A$7,0)),"Pendiente"))</f>
        <v/>
      </c>
      <c r="O515" s="3">
        <f>IF($J515="","",YEAR($J515+4-WEEKDAY($J515,2))&amp;"-S"&amp;TEXT(_xlfn.ISOWEEKNUM($J515),"00"))</f>
        <v/>
      </c>
      <c r="P515" s="3">
        <f>IF($J515="","",YEAR($J515))</f>
        <v/>
      </c>
      <c r="Q515" s="3">
        <f>IF($J515="","",MONTH($J515))</f>
        <v/>
      </c>
      <c r="R515" s="3">
        <f>IF($J515="","",INDEX(lista_dias,WEEKDAY($J515,2)))</f>
        <v/>
      </c>
      <c r="S515" s="3">
        <f>IF($I515="","",IFERROR(INDEX('CAT_TIPOS_OT'!$C$4:$C$7,MATCH($I515,'CAT_TIPOS_OT'!$A$4:$A$7,0)),"sin_clasificar"))</f>
        <v/>
      </c>
      <c r="T515" s="3">
        <f>IF($F515="","",IFERROR(INDEX('CAT_CENTROS_COSTO'!$E$4:$E$9,MATCH($F515,'CAT_CENTROS_COSTO'!$A$4:$A$9,0)),"(sin catálogo)"))</f>
        <v/>
      </c>
      <c r="U515" s="3">
        <f>IF($F515="","",IFERROR(INDEX('CAT_CENTROS_COSTO'!$D$4:$D$9,MATCH($F515,'CAT_CENTROS_COSTO'!$A$4:$A$9,0)),"(sin catálogo)"))</f>
        <v/>
      </c>
      <c r="V515" s="3">
        <f>IF($F515="","",IFERROR(INDEX('CAT_CENTROS_COSTO'!$F$4:$F$9,MATCH($F515,'CAT_CENTROS_COSTO'!$A$4:$A$9,0)),"(sin catálogo)"))</f>
        <v/>
      </c>
      <c r="W515" s="3">
        <f>IF($G515="","",IFERROR(INDEX('CAT_PUESTOS'!$B$4:$B$8,MATCH($G515,'CAT_PUESTOS'!$A$4:$A$8,0)),"(sin catálogo)"))</f>
        <v/>
      </c>
      <c r="X515" s="3">
        <f>IF($H515="","",IFERROR(INDEX('CAT_ACTIVIDADES'!$B$4:$B$8,MATCH($H515,'CAT_ACTIVIDADES'!$A$4:$A$8,0)),"(sin catálogo)"))</f>
        <v/>
      </c>
      <c r="Y515" s="12">
        <f>IF($J515="","",TODAY()-$J515)</f>
        <v/>
      </c>
      <c r="Z515" s="3">
        <f>IF($Y515="","",IF($Y515&lt;0,"FUTURO",IF($Y515&gt;p_dias_backlog_max,"BACKLOG","MES CORRIENTE")))</f>
        <v/>
      </c>
      <c r="AA515" s="3">
        <f>IF($Y515="",FALSE,AND($Y515&gt;p_dias_backlog_min,$Y515&lt;=p_dias_backlog_max))</f>
        <v/>
      </c>
      <c r="AB515" s="6" t="n"/>
      <c r="AC515" s="3">
        <f>IF($AB515="","",IFERROR(INDEX('ASIGNACIONES'!$F$4:$F$339,MATCH($O515&amp;"|"&amp;$R515&amp;"|"&amp;$AB515,'ASIGNACIONES'!$I$4:$I$339,0)),""))</f>
        <v/>
      </c>
      <c r="AD515" s="13">
        <f>IF($AB515="","",SUMIFS('ORDENES'!$M$4:$M$1203,'ORDENES'!$AB$4:$AB$1203,$AB515,'ORDENES'!$O$4:$O$1203,$O515,'ORDENES'!$R$4:$R$1203,$R515))</f>
        <v/>
      </c>
      <c r="AE515" s="13">
        <f>IF($AD515="","",p_factor_productividad*IFERROR(INDEX('ASIGNACIONES'!$H$4:$H$339,MATCH($O515&amp;"|"&amp;$R515&amp;"|"&amp;$AB515,'ASIGNACIONES'!$I$4:$I$339,0)),0)-$AD515)</f>
        <v/>
      </c>
      <c r="AF515" s="10">
        <f>IF($A515="","",IFERROR(INDEX('2_IMPORTAR_EJECUCION'!$F$9:$F$1208,MATCH($AN515,'2_IMPORTAR_EJECUCION'!$J$9:$J$1208,0)),0))</f>
        <v/>
      </c>
      <c r="AG515" s="10">
        <f>IF($A515="","",MAX(0,IFERROR(INDEX('2_IMPORTAR_EJECUCION'!$H$9:$H$1208,MATCH($AN515,'2_IMPORTAR_EJECUCION'!$J$9:$J$1208,0)),0)-$AF515))</f>
        <v/>
      </c>
      <c r="AH515" s="10">
        <f>IF($A515="","",$AF515+$AG515)</f>
        <v/>
      </c>
      <c r="AI515" s="6" t="n"/>
      <c r="AJ515" s="6" t="n"/>
      <c r="AK515" s="6" t="n"/>
      <c r="AL515" s="3">
        <f>IF($AK515="","",HYPERLINK(p_ruta_base_checklists&amp;$AK515,"abrir"))</f>
        <v/>
      </c>
      <c r="AM515" s="6" t="n"/>
      <c r="AN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1" t="n"/>
      <c r="K516" s="3" t="n"/>
      <c r="L516" s="10" t="n"/>
      <c r="M516" s="3">
        <f>IF($A516="","",IFERROR(INDEX('AJUSTES'!$B$4:$B$303,MATCH($AN516,'AJUSTES'!$A$4:$A$303,0)),IF($K516="","",$K516)))</f>
        <v/>
      </c>
      <c r="N516" s="3">
        <f>IF($A516="","",IFERROR(INDEX('CAT_ESTADOS_ERP'!$B$4:$B$7,MATCH(IFERROR(INDEX('2_IMPORTAR_EJECUCION'!$C$9:$C$1208,MATCH($AN516,'2_IMPORTAR_EJECUCION'!$J$9:$J$1208,0)),""),'CAT_ESTADOS_ERP'!$A$4:$A$7,0)),"Pendiente"))</f>
        <v/>
      </c>
      <c r="O516" s="3">
        <f>IF($J516="","",YEAR($J516+4-WEEKDAY($J516,2))&amp;"-S"&amp;TEXT(_xlfn.ISOWEEKNUM($J516),"00"))</f>
        <v/>
      </c>
      <c r="P516" s="3">
        <f>IF($J516="","",YEAR($J516))</f>
        <v/>
      </c>
      <c r="Q516" s="3">
        <f>IF($J516="","",MONTH($J516))</f>
        <v/>
      </c>
      <c r="R516" s="3">
        <f>IF($J516="","",INDEX(lista_dias,WEEKDAY($J516,2)))</f>
        <v/>
      </c>
      <c r="S516" s="3">
        <f>IF($I516="","",IFERROR(INDEX('CAT_TIPOS_OT'!$C$4:$C$7,MATCH($I516,'CAT_TIPOS_OT'!$A$4:$A$7,0)),"sin_clasificar"))</f>
        <v/>
      </c>
      <c r="T516" s="3">
        <f>IF($F516="","",IFERROR(INDEX('CAT_CENTROS_COSTO'!$E$4:$E$9,MATCH($F516,'CAT_CENTROS_COSTO'!$A$4:$A$9,0)),"(sin catálogo)"))</f>
        <v/>
      </c>
      <c r="U516" s="3">
        <f>IF($F516="","",IFERROR(INDEX('CAT_CENTROS_COSTO'!$D$4:$D$9,MATCH($F516,'CAT_CENTROS_COSTO'!$A$4:$A$9,0)),"(sin catálogo)"))</f>
        <v/>
      </c>
      <c r="V516" s="3">
        <f>IF($F516="","",IFERROR(INDEX('CAT_CENTROS_COSTO'!$F$4:$F$9,MATCH($F516,'CAT_CENTROS_COSTO'!$A$4:$A$9,0)),"(sin catálogo)"))</f>
        <v/>
      </c>
      <c r="W516" s="3">
        <f>IF($G516="","",IFERROR(INDEX('CAT_PUESTOS'!$B$4:$B$8,MATCH($G516,'CAT_PUESTOS'!$A$4:$A$8,0)),"(sin catálogo)"))</f>
        <v/>
      </c>
      <c r="X516" s="3">
        <f>IF($H516="","",IFERROR(INDEX('CAT_ACTIVIDADES'!$B$4:$B$8,MATCH($H516,'CAT_ACTIVIDADES'!$A$4:$A$8,0)),"(sin catálogo)"))</f>
        <v/>
      </c>
      <c r="Y516" s="12">
        <f>IF($J516="","",TODAY()-$J516)</f>
        <v/>
      </c>
      <c r="Z516" s="3">
        <f>IF($Y516="","",IF($Y516&lt;0,"FUTURO",IF($Y516&gt;p_dias_backlog_max,"BACKLOG","MES CORRIENTE")))</f>
        <v/>
      </c>
      <c r="AA516" s="3">
        <f>IF($Y516="",FALSE,AND($Y516&gt;p_dias_backlog_min,$Y516&lt;=p_dias_backlog_max))</f>
        <v/>
      </c>
      <c r="AB516" s="6" t="n"/>
      <c r="AC516" s="3">
        <f>IF($AB516="","",IFERROR(INDEX('ASIGNACIONES'!$F$4:$F$339,MATCH($O516&amp;"|"&amp;$R516&amp;"|"&amp;$AB516,'ASIGNACIONES'!$I$4:$I$339,0)),""))</f>
        <v/>
      </c>
      <c r="AD516" s="13">
        <f>IF($AB516="","",SUMIFS('ORDENES'!$M$4:$M$1203,'ORDENES'!$AB$4:$AB$1203,$AB516,'ORDENES'!$O$4:$O$1203,$O516,'ORDENES'!$R$4:$R$1203,$R516))</f>
        <v/>
      </c>
      <c r="AE516" s="13">
        <f>IF($AD516="","",p_factor_productividad*IFERROR(INDEX('ASIGNACIONES'!$H$4:$H$339,MATCH($O516&amp;"|"&amp;$R516&amp;"|"&amp;$AB516,'ASIGNACIONES'!$I$4:$I$339,0)),0)-$AD516)</f>
        <v/>
      </c>
      <c r="AF516" s="10">
        <f>IF($A516="","",IFERROR(INDEX('2_IMPORTAR_EJECUCION'!$F$9:$F$1208,MATCH($AN516,'2_IMPORTAR_EJECUCION'!$J$9:$J$1208,0)),0))</f>
        <v/>
      </c>
      <c r="AG516" s="10">
        <f>IF($A516="","",MAX(0,IFERROR(INDEX('2_IMPORTAR_EJECUCION'!$H$9:$H$1208,MATCH($AN516,'2_IMPORTAR_EJECUCION'!$J$9:$J$1208,0)),0)-$AF516))</f>
        <v/>
      </c>
      <c r="AH516" s="10">
        <f>IF($A516="","",$AF516+$AG516)</f>
        <v/>
      </c>
      <c r="AI516" s="6" t="n"/>
      <c r="AJ516" s="6" t="n"/>
      <c r="AK516" s="6" t="n"/>
      <c r="AL516" s="3">
        <f>IF($AK516="","",HYPERLINK(p_ruta_base_checklists&amp;$AK516,"abrir"))</f>
        <v/>
      </c>
      <c r="AM516" s="6" t="n"/>
      <c r="AN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1" t="n"/>
      <c r="K517" s="3" t="n"/>
      <c r="L517" s="10" t="n"/>
      <c r="M517" s="3">
        <f>IF($A517="","",IFERROR(INDEX('AJUSTES'!$B$4:$B$303,MATCH($AN517,'AJUSTES'!$A$4:$A$303,0)),IF($K517="","",$K517)))</f>
        <v/>
      </c>
      <c r="N517" s="3">
        <f>IF($A517="","",IFERROR(INDEX('CAT_ESTADOS_ERP'!$B$4:$B$7,MATCH(IFERROR(INDEX('2_IMPORTAR_EJECUCION'!$C$9:$C$1208,MATCH($AN517,'2_IMPORTAR_EJECUCION'!$J$9:$J$1208,0)),""),'CAT_ESTADOS_ERP'!$A$4:$A$7,0)),"Pendiente"))</f>
        <v/>
      </c>
      <c r="O517" s="3">
        <f>IF($J517="","",YEAR($J517+4-WEEKDAY($J517,2))&amp;"-S"&amp;TEXT(_xlfn.ISOWEEKNUM($J517),"00"))</f>
        <v/>
      </c>
      <c r="P517" s="3">
        <f>IF($J517="","",YEAR($J517))</f>
        <v/>
      </c>
      <c r="Q517" s="3">
        <f>IF($J517="","",MONTH($J517))</f>
        <v/>
      </c>
      <c r="R517" s="3">
        <f>IF($J517="","",INDEX(lista_dias,WEEKDAY($J517,2)))</f>
        <v/>
      </c>
      <c r="S517" s="3">
        <f>IF($I517="","",IFERROR(INDEX('CAT_TIPOS_OT'!$C$4:$C$7,MATCH($I517,'CAT_TIPOS_OT'!$A$4:$A$7,0)),"sin_clasificar"))</f>
        <v/>
      </c>
      <c r="T517" s="3">
        <f>IF($F517="","",IFERROR(INDEX('CAT_CENTROS_COSTO'!$E$4:$E$9,MATCH($F517,'CAT_CENTROS_COSTO'!$A$4:$A$9,0)),"(sin catálogo)"))</f>
        <v/>
      </c>
      <c r="U517" s="3">
        <f>IF($F517="","",IFERROR(INDEX('CAT_CENTROS_COSTO'!$D$4:$D$9,MATCH($F517,'CAT_CENTROS_COSTO'!$A$4:$A$9,0)),"(sin catálogo)"))</f>
        <v/>
      </c>
      <c r="V517" s="3">
        <f>IF($F517="","",IFERROR(INDEX('CAT_CENTROS_COSTO'!$F$4:$F$9,MATCH($F517,'CAT_CENTROS_COSTO'!$A$4:$A$9,0)),"(sin catálogo)"))</f>
        <v/>
      </c>
      <c r="W517" s="3">
        <f>IF($G517="","",IFERROR(INDEX('CAT_PUESTOS'!$B$4:$B$8,MATCH($G517,'CAT_PUESTOS'!$A$4:$A$8,0)),"(sin catálogo)"))</f>
        <v/>
      </c>
      <c r="X517" s="3">
        <f>IF($H517="","",IFERROR(INDEX('CAT_ACTIVIDADES'!$B$4:$B$8,MATCH($H517,'CAT_ACTIVIDADES'!$A$4:$A$8,0)),"(sin catálogo)"))</f>
        <v/>
      </c>
      <c r="Y517" s="12">
        <f>IF($J517="","",TODAY()-$J517)</f>
        <v/>
      </c>
      <c r="Z517" s="3">
        <f>IF($Y517="","",IF($Y517&lt;0,"FUTURO",IF($Y517&gt;p_dias_backlog_max,"BACKLOG","MES CORRIENTE")))</f>
        <v/>
      </c>
      <c r="AA517" s="3">
        <f>IF($Y517="",FALSE,AND($Y517&gt;p_dias_backlog_min,$Y517&lt;=p_dias_backlog_max))</f>
        <v/>
      </c>
      <c r="AB517" s="6" t="n"/>
      <c r="AC517" s="3">
        <f>IF($AB517="","",IFERROR(INDEX('ASIGNACIONES'!$F$4:$F$339,MATCH($O517&amp;"|"&amp;$R517&amp;"|"&amp;$AB517,'ASIGNACIONES'!$I$4:$I$339,0)),""))</f>
        <v/>
      </c>
      <c r="AD517" s="13">
        <f>IF($AB517="","",SUMIFS('ORDENES'!$M$4:$M$1203,'ORDENES'!$AB$4:$AB$1203,$AB517,'ORDENES'!$O$4:$O$1203,$O517,'ORDENES'!$R$4:$R$1203,$R517))</f>
        <v/>
      </c>
      <c r="AE517" s="13">
        <f>IF($AD517="","",p_factor_productividad*IFERROR(INDEX('ASIGNACIONES'!$H$4:$H$339,MATCH($O517&amp;"|"&amp;$R517&amp;"|"&amp;$AB517,'ASIGNACIONES'!$I$4:$I$339,0)),0)-$AD517)</f>
        <v/>
      </c>
      <c r="AF517" s="10">
        <f>IF($A517="","",IFERROR(INDEX('2_IMPORTAR_EJECUCION'!$F$9:$F$1208,MATCH($AN517,'2_IMPORTAR_EJECUCION'!$J$9:$J$1208,0)),0))</f>
        <v/>
      </c>
      <c r="AG517" s="10">
        <f>IF($A517="","",MAX(0,IFERROR(INDEX('2_IMPORTAR_EJECUCION'!$H$9:$H$1208,MATCH($AN517,'2_IMPORTAR_EJECUCION'!$J$9:$J$1208,0)),0)-$AF517))</f>
        <v/>
      </c>
      <c r="AH517" s="10">
        <f>IF($A517="","",$AF517+$AG517)</f>
        <v/>
      </c>
      <c r="AI517" s="6" t="n"/>
      <c r="AJ517" s="6" t="n"/>
      <c r="AK517" s="6" t="n"/>
      <c r="AL517" s="3">
        <f>IF($AK517="","",HYPERLINK(p_ruta_base_checklists&amp;$AK517,"abrir"))</f>
        <v/>
      </c>
      <c r="AM517" s="6" t="n"/>
      <c r="AN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1" t="n"/>
      <c r="K518" s="3" t="n"/>
      <c r="L518" s="10" t="n"/>
      <c r="M518" s="3">
        <f>IF($A518="","",IFERROR(INDEX('AJUSTES'!$B$4:$B$303,MATCH($AN518,'AJUSTES'!$A$4:$A$303,0)),IF($K518="","",$K518)))</f>
        <v/>
      </c>
      <c r="N518" s="3">
        <f>IF($A518="","",IFERROR(INDEX('CAT_ESTADOS_ERP'!$B$4:$B$7,MATCH(IFERROR(INDEX('2_IMPORTAR_EJECUCION'!$C$9:$C$1208,MATCH($AN518,'2_IMPORTAR_EJECUCION'!$J$9:$J$1208,0)),""),'CAT_ESTADOS_ERP'!$A$4:$A$7,0)),"Pendiente"))</f>
        <v/>
      </c>
      <c r="O518" s="3">
        <f>IF($J518="","",YEAR($J518+4-WEEKDAY($J518,2))&amp;"-S"&amp;TEXT(_xlfn.ISOWEEKNUM($J518),"00"))</f>
        <v/>
      </c>
      <c r="P518" s="3">
        <f>IF($J518="","",YEAR($J518))</f>
        <v/>
      </c>
      <c r="Q518" s="3">
        <f>IF($J518="","",MONTH($J518))</f>
        <v/>
      </c>
      <c r="R518" s="3">
        <f>IF($J518="","",INDEX(lista_dias,WEEKDAY($J518,2)))</f>
        <v/>
      </c>
      <c r="S518" s="3">
        <f>IF($I518="","",IFERROR(INDEX('CAT_TIPOS_OT'!$C$4:$C$7,MATCH($I518,'CAT_TIPOS_OT'!$A$4:$A$7,0)),"sin_clasificar"))</f>
        <v/>
      </c>
      <c r="T518" s="3">
        <f>IF($F518="","",IFERROR(INDEX('CAT_CENTROS_COSTO'!$E$4:$E$9,MATCH($F518,'CAT_CENTROS_COSTO'!$A$4:$A$9,0)),"(sin catálogo)"))</f>
        <v/>
      </c>
      <c r="U518" s="3">
        <f>IF($F518="","",IFERROR(INDEX('CAT_CENTROS_COSTO'!$D$4:$D$9,MATCH($F518,'CAT_CENTROS_COSTO'!$A$4:$A$9,0)),"(sin catálogo)"))</f>
        <v/>
      </c>
      <c r="V518" s="3">
        <f>IF($F518="","",IFERROR(INDEX('CAT_CENTROS_COSTO'!$F$4:$F$9,MATCH($F518,'CAT_CENTROS_COSTO'!$A$4:$A$9,0)),"(sin catálogo)"))</f>
        <v/>
      </c>
      <c r="W518" s="3">
        <f>IF($G518="","",IFERROR(INDEX('CAT_PUESTOS'!$B$4:$B$8,MATCH($G518,'CAT_PUESTOS'!$A$4:$A$8,0)),"(sin catálogo)"))</f>
        <v/>
      </c>
      <c r="X518" s="3">
        <f>IF($H518="","",IFERROR(INDEX('CAT_ACTIVIDADES'!$B$4:$B$8,MATCH($H518,'CAT_ACTIVIDADES'!$A$4:$A$8,0)),"(sin catálogo)"))</f>
        <v/>
      </c>
      <c r="Y518" s="12">
        <f>IF($J518="","",TODAY()-$J518)</f>
        <v/>
      </c>
      <c r="Z518" s="3">
        <f>IF($Y518="","",IF($Y518&lt;0,"FUTURO",IF($Y518&gt;p_dias_backlog_max,"BACKLOG","MES CORRIENTE")))</f>
        <v/>
      </c>
      <c r="AA518" s="3">
        <f>IF($Y518="",FALSE,AND($Y518&gt;p_dias_backlog_min,$Y518&lt;=p_dias_backlog_max))</f>
        <v/>
      </c>
      <c r="AB518" s="6" t="n"/>
      <c r="AC518" s="3">
        <f>IF($AB518="","",IFERROR(INDEX('ASIGNACIONES'!$F$4:$F$339,MATCH($O518&amp;"|"&amp;$R518&amp;"|"&amp;$AB518,'ASIGNACIONES'!$I$4:$I$339,0)),""))</f>
        <v/>
      </c>
      <c r="AD518" s="13">
        <f>IF($AB518="","",SUMIFS('ORDENES'!$M$4:$M$1203,'ORDENES'!$AB$4:$AB$1203,$AB518,'ORDENES'!$O$4:$O$1203,$O518,'ORDENES'!$R$4:$R$1203,$R518))</f>
        <v/>
      </c>
      <c r="AE518" s="13">
        <f>IF($AD518="","",p_factor_productividad*IFERROR(INDEX('ASIGNACIONES'!$H$4:$H$339,MATCH($O518&amp;"|"&amp;$R518&amp;"|"&amp;$AB518,'ASIGNACIONES'!$I$4:$I$339,0)),0)-$AD518)</f>
        <v/>
      </c>
      <c r="AF518" s="10">
        <f>IF($A518="","",IFERROR(INDEX('2_IMPORTAR_EJECUCION'!$F$9:$F$1208,MATCH($AN518,'2_IMPORTAR_EJECUCION'!$J$9:$J$1208,0)),0))</f>
        <v/>
      </c>
      <c r="AG518" s="10">
        <f>IF($A518="","",MAX(0,IFERROR(INDEX('2_IMPORTAR_EJECUCION'!$H$9:$H$1208,MATCH($AN518,'2_IMPORTAR_EJECUCION'!$J$9:$J$1208,0)),0)-$AF518))</f>
        <v/>
      </c>
      <c r="AH518" s="10">
        <f>IF($A518="","",$AF518+$AG518)</f>
        <v/>
      </c>
      <c r="AI518" s="6" t="n"/>
      <c r="AJ518" s="6" t="n"/>
      <c r="AK518" s="6" t="n"/>
      <c r="AL518" s="3">
        <f>IF($AK518="","",HYPERLINK(p_ruta_base_checklists&amp;$AK518,"abrir"))</f>
        <v/>
      </c>
      <c r="AM518" s="6" t="n"/>
      <c r="AN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1" t="n"/>
      <c r="K519" s="3" t="n"/>
      <c r="L519" s="10" t="n"/>
      <c r="M519" s="3">
        <f>IF($A519="","",IFERROR(INDEX('AJUSTES'!$B$4:$B$303,MATCH($AN519,'AJUSTES'!$A$4:$A$303,0)),IF($K519="","",$K519)))</f>
        <v/>
      </c>
      <c r="N519" s="3">
        <f>IF($A519="","",IFERROR(INDEX('CAT_ESTADOS_ERP'!$B$4:$B$7,MATCH(IFERROR(INDEX('2_IMPORTAR_EJECUCION'!$C$9:$C$1208,MATCH($AN519,'2_IMPORTAR_EJECUCION'!$J$9:$J$1208,0)),""),'CAT_ESTADOS_ERP'!$A$4:$A$7,0)),"Pendiente"))</f>
        <v/>
      </c>
      <c r="O519" s="3">
        <f>IF($J519="","",YEAR($J519+4-WEEKDAY($J519,2))&amp;"-S"&amp;TEXT(_xlfn.ISOWEEKNUM($J519),"00"))</f>
        <v/>
      </c>
      <c r="P519" s="3">
        <f>IF($J519="","",YEAR($J519))</f>
        <v/>
      </c>
      <c r="Q519" s="3">
        <f>IF($J519="","",MONTH($J519))</f>
        <v/>
      </c>
      <c r="R519" s="3">
        <f>IF($J519="","",INDEX(lista_dias,WEEKDAY($J519,2)))</f>
        <v/>
      </c>
      <c r="S519" s="3">
        <f>IF($I519="","",IFERROR(INDEX('CAT_TIPOS_OT'!$C$4:$C$7,MATCH($I519,'CAT_TIPOS_OT'!$A$4:$A$7,0)),"sin_clasificar"))</f>
        <v/>
      </c>
      <c r="T519" s="3">
        <f>IF($F519="","",IFERROR(INDEX('CAT_CENTROS_COSTO'!$E$4:$E$9,MATCH($F519,'CAT_CENTROS_COSTO'!$A$4:$A$9,0)),"(sin catálogo)"))</f>
        <v/>
      </c>
      <c r="U519" s="3">
        <f>IF($F519="","",IFERROR(INDEX('CAT_CENTROS_COSTO'!$D$4:$D$9,MATCH($F519,'CAT_CENTROS_COSTO'!$A$4:$A$9,0)),"(sin catálogo)"))</f>
        <v/>
      </c>
      <c r="V519" s="3">
        <f>IF($F519="","",IFERROR(INDEX('CAT_CENTROS_COSTO'!$F$4:$F$9,MATCH($F519,'CAT_CENTROS_COSTO'!$A$4:$A$9,0)),"(sin catálogo)"))</f>
        <v/>
      </c>
      <c r="W519" s="3">
        <f>IF($G519="","",IFERROR(INDEX('CAT_PUESTOS'!$B$4:$B$8,MATCH($G519,'CAT_PUESTOS'!$A$4:$A$8,0)),"(sin catálogo)"))</f>
        <v/>
      </c>
      <c r="X519" s="3">
        <f>IF($H519="","",IFERROR(INDEX('CAT_ACTIVIDADES'!$B$4:$B$8,MATCH($H519,'CAT_ACTIVIDADES'!$A$4:$A$8,0)),"(sin catálogo)"))</f>
        <v/>
      </c>
      <c r="Y519" s="12">
        <f>IF($J519="","",TODAY()-$J519)</f>
        <v/>
      </c>
      <c r="Z519" s="3">
        <f>IF($Y519="","",IF($Y519&lt;0,"FUTURO",IF($Y519&gt;p_dias_backlog_max,"BACKLOG","MES CORRIENTE")))</f>
        <v/>
      </c>
      <c r="AA519" s="3">
        <f>IF($Y519="",FALSE,AND($Y519&gt;p_dias_backlog_min,$Y519&lt;=p_dias_backlog_max))</f>
        <v/>
      </c>
      <c r="AB519" s="6" t="n"/>
      <c r="AC519" s="3">
        <f>IF($AB519="","",IFERROR(INDEX('ASIGNACIONES'!$F$4:$F$339,MATCH($O519&amp;"|"&amp;$R519&amp;"|"&amp;$AB519,'ASIGNACIONES'!$I$4:$I$339,0)),""))</f>
        <v/>
      </c>
      <c r="AD519" s="13">
        <f>IF($AB519="","",SUMIFS('ORDENES'!$M$4:$M$1203,'ORDENES'!$AB$4:$AB$1203,$AB519,'ORDENES'!$O$4:$O$1203,$O519,'ORDENES'!$R$4:$R$1203,$R519))</f>
        <v/>
      </c>
      <c r="AE519" s="13">
        <f>IF($AD519="","",p_factor_productividad*IFERROR(INDEX('ASIGNACIONES'!$H$4:$H$339,MATCH($O519&amp;"|"&amp;$R519&amp;"|"&amp;$AB519,'ASIGNACIONES'!$I$4:$I$339,0)),0)-$AD519)</f>
        <v/>
      </c>
      <c r="AF519" s="10">
        <f>IF($A519="","",IFERROR(INDEX('2_IMPORTAR_EJECUCION'!$F$9:$F$1208,MATCH($AN519,'2_IMPORTAR_EJECUCION'!$J$9:$J$1208,0)),0))</f>
        <v/>
      </c>
      <c r="AG519" s="10">
        <f>IF($A519="","",MAX(0,IFERROR(INDEX('2_IMPORTAR_EJECUCION'!$H$9:$H$1208,MATCH($AN519,'2_IMPORTAR_EJECUCION'!$J$9:$J$1208,0)),0)-$AF519))</f>
        <v/>
      </c>
      <c r="AH519" s="10">
        <f>IF($A519="","",$AF519+$AG519)</f>
        <v/>
      </c>
      <c r="AI519" s="6" t="n"/>
      <c r="AJ519" s="6" t="n"/>
      <c r="AK519" s="6" t="n"/>
      <c r="AL519" s="3">
        <f>IF($AK519="","",HYPERLINK(p_ruta_base_checklists&amp;$AK519,"abrir"))</f>
        <v/>
      </c>
      <c r="AM519" s="6" t="n"/>
      <c r="AN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1" t="n"/>
      <c r="K520" s="3" t="n"/>
      <c r="L520" s="10" t="n"/>
      <c r="M520" s="3">
        <f>IF($A520="","",IFERROR(INDEX('AJUSTES'!$B$4:$B$303,MATCH($AN520,'AJUSTES'!$A$4:$A$303,0)),IF($K520="","",$K520)))</f>
        <v/>
      </c>
      <c r="N520" s="3">
        <f>IF($A520="","",IFERROR(INDEX('CAT_ESTADOS_ERP'!$B$4:$B$7,MATCH(IFERROR(INDEX('2_IMPORTAR_EJECUCION'!$C$9:$C$1208,MATCH($AN520,'2_IMPORTAR_EJECUCION'!$J$9:$J$1208,0)),""),'CAT_ESTADOS_ERP'!$A$4:$A$7,0)),"Pendiente"))</f>
        <v/>
      </c>
      <c r="O520" s="3">
        <f>IF($J520="","",YEAR($J520+4-WEEKDAY($J520,2))&amp;"-S"&amp;TEXT(_xlfn.ISOWEEKNUM($J520),"00"))</f>
        <v/>
      </c>
      <c r="P520" s="3">
        <f>IF($J520="","",YEAR($J520))</f>
        <v/>
      </c>
      <c r="Q520" s="3">
        <f>IF($J520="","",MONTH($J520))</f>
        <v/>
      </c>
      <c r="R520" s="3">
        <f>IF($J520="","",INDEX(lista_dias,WEEKDAY($J520,2)))</f>
        <v/>
      </c>
      <c r="S520" s="3">
        <f>IF($I520="","",IFERROR(INDEX('CAT_TIPOS_OT'!$C$4:$C$7,MATCH($I520,'CAT_TIPOS_OT'!$A$4:$A$7,0)),"sin_clasificar"))</f>
        <v/>
      </c>
      <c r="T520" s="3">
        <f>IF($F520="","",IFERROR(INDEX('CAT_CENTROS_COSTO'!$E$4:$E$9,MATCH($F520,'CAT_CENTROS_COSTO'!$A$4:$A$9,0)),"(sin catálogo)"))</f>
        <v/>
      </c>
      <c r="U520" s="3">
        <f>IF($F520="","",IFERROR(INDEX('CAT_CENTROS_COSTO'!$D$4:$D$9,MATCH($F520,'CAT_CENTROS_COSTO'!$A$4:$A$9,0)),"(sin catálogo)"))</f>
        <v/>
      </c>
      <c r="V520" s="3">
        <f>IF($F520="","",IFERROR(INDEX('CAT_CENTROS_COSTO'!$F$4:$F$9,MATCH($F520,'CAT_CENTROS_COSTO'!$A$4:$A$9,0)),"(sin catálogo)"))</f>
        <v/>
      </c>
      <c r="W520" s="3">
        <f>IF($G520="","",IFERROR(INDEX('CAT_PUESTOS'!$B$4:$B$8,MATCH($G520,'CAT_PUESTOS'!$A$4:$A$8,0)),"(sin catálogo)"))</f>
        <v/>
      </c>
      <c r="X520" s="3">
        <f>IF($H520="","",IFERROR(INDEX('CAT_ACTIVIDADES'!$B$4:$B$8,MATCH($H520,'CAT_ACTIVIDADES'!$A$4:$A$8,0)),"(sin catálogo)"))</f>
        <v/>
      </c>
      <c r="Y520" s="12">
        <f>IF($J520="","",TODAY()-$J520)</f>
        <v/>
      </c>
      <c r="Z520" s="3">
        <f>IF($Y520="","",IF($Y520&lt;0,"FUTURO",IF($Y520&gt;p_dias_backlog_max,"BACKLOG","MES CORRIENTE")))</f>
        <v/>
      </c>
      <c r="AA520" s="3">
        <f>IF($Y520="",FALSE,AND($Y520&gt;p_dias_backlog_min,$Y520&lt;=p_dias_backlog_max))</f>
        <v/>
      </c>
      <c r="AB520" s="6" t="n"/>
      <c r="AC520" s="3">
        <f>IF($AB520="","",IFERROR(INDEX('ASIGNACIONES'!$F$4:$F$339,MATCH($O520&amp;"|"&amp;$R520&amp;"|"&amp;$AB520,'ASIGNACIONES'!$I$4:$I$339,0)),""))</f>
        <v/>
      </c>
      <c r="AD520" s="13">
        <f>IF($AB520="","",SUMIFS('ORDENES'!$M$4:$M$1203,'ORDENES'!$AB$4:$AB$1203,$AB520,'ORDENES'!$O$4:$O$1203,$O520,'ORDENES'!$R$4:$R$1203,$R520))</f>
        <v/>
      </c>
      <c r="AE520" s="13">
        <f>IF($AD520="","",p_factor_productividad*IFERROR(INDEX('ASIGNACIONES'!$H$4:$H$339,MATCH($O520&amp;"|"&amp;$R520&amp;"|"&amp;$AB520,'ASIGNACIONES'!$I$4:$I$339,0)),0)-$AD520)</f>
        <v/>
      </c>
      <c r="AF520" s="10">
        <f>IF($A520="","",IFERROR(INDEX('2_IMPORTAR_EJECUCION'!$F$9:$F$1208,MATCH($AN520,'2_IMPORTAR_EJECUCION'!$J$9:$J$1208,0)),0))</f>
        <v/>
      </c>
      <c r="AG520" s="10">
        <f>IF($A520="","",MAX(0,IFERROR(INDEX('2_IMPORTAR_EJECUCION'!$H$9:$H$1208,MATCH($AN520,'2_IMPORTAR_EJECUCION'!$J$9:$J$1208,0)),0)-$AF520))</f>
        <v/>
      </c>
      <c r="AH520" s="10">
        <f>IF($A520="","",$AF520+$AG520)</f>
        <v/>
      </c>
      <c r="AI520" s="6" t="n"/>
      <c r="AJ520" s="6" t="n"/>
      <c r="AK520" s="6" t="n"/>
      <c r="AL520" s="3">
        <f>IF($AK520="","",HYPERLINK(p_ruta_base_checklists&amp;$AK520,"abrir"))</f>
        <v/>
      </c>
      <c r="AM520" s="6" t="n"/>
      <c r="AN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1" t="n"/>
      <c r="K521" s="3" t="n"/>
      <c r="L521" s="10" t="n"/>
      <c r="M521" s="3">
        <f>IF($A521="","",IFERROR(INDEX('AJUSTES'!$B$4:$B$303,MATCH($AN521,'AJUSTES'!$A$4:$A$303,0)),IF($K521="","",$K521)))</f>
        <v/>
      </c>
      <c r="N521" s="3">
        <f>IF($A521="","",IFERROR(INDEX('CAT_ESTADOS_ERP'!$B$4:$B$7,MATCH(IFERROR(INDEX('2_IMPORTAR_EJECUCION'!$C$9:$C$1208,MATCH($AN521,'2_IMPORTAR_EJECUCION'!$J$9:$J$1208,0)),""),'CAT_ESTADOS_ERP'!$A$4:$A$7,0)),"Pendiente"))</f>
        <v/>
      </c>
      <c r="O521" s="3">
        <f>IF($J521="","",YEAR($J521+4-WEEKDAY($J521,2))&amp;"-S"&amp;TEXT(_xlfn.ISOWEEKNUM($J521),"00"))</f>
        <v/>
      </c>
      <c r="P521" s="3">
        <f>IF($J521="","",YEAR($J521))</f>
        <v/>
      </c>
      <c r="Q521" s="3">
        <f>IF($J521="","",MONTH($J521))</f>
        <v/>
      </c>
      <c r="R521" s="3">
        <f>IF($J521="","",INDEX(lista_dias,WEEKDAY($J521,2)))</f>
        <v/>
      </c>
      <c r="S521" s="3">
        <f>IF($I521="","",IFERROR(INDEX('CAT_TIPOS_OT'!$C$4:$C$7,MATCH($I521,'CAT_TIPOS_OT'!$A$4:$A$7,0)),"sin_clasificar"))</f>
        <v/>
      </c>
      <c r="T521" s="3">
        <f>IF($F521="","",IFERROR(INDEX('CAT_CENTROS_COSTO'!$E$4:$E$9,MATCH($F521,'CAT_CENTROS_COSTO'!$A$4:$A$9,0)),"(sin catálogo)"))</f>
        <v/>
      </c>
      <c r="U521" s="3">
        <f>IF($F521="","",IFERROR(INDEX('CAT_CENTROS_COSTO'!$D$4:$D$9,MATCH($F521,'CAT_CENTROS_COSTO'!$A$4:$A$9,0)),"(sin catálogo)"))</f>
        <v/>
      </c>
      <c r="V521" s="3">
        <f>IF($F521="","",IFERROR(INDEX('CAT_CENTROS_COSTO'!$F$4:$F$9,MATCH($F521,'CAT_CENTROS_COSTO'!$A$4:$A$9,0)),"(sin catálogo)"))</f>
        <v/>
      </c>
      <c r="W521" s="3">
        <f>IF($G521="","",IFERROR(INDEX('CAT_PUESTOS'!$B$4:$B$8,MATCH($G521,'CAT_PUESTOS'!$A$4:$A$8,0)),"(sin catálogo)"))</f>
        <v/>
      </c>
      <c r="X521" s="3">
        <f>IF($H521="","",IFERROR(INDEX('CAT_ACTIVIDADES'!$B$4:$B$8,MATCH($H521,'CAT_ACTIVIDADES'!$A$4:$A$8,0)),"(sin catálogo)"))</f>
        <v/>
      </c>
      <c r="Y521" s="12">
        <f>IF($J521="","",TODAY()-$J521)</f>
        <v/>
      </c>
      <c r="Z521" s="3">
        <f>IF($Y521="","",IF($Y521&lt;0,"FUTURO",IF($Y521&gt;p_dias_backlog_max,"BACKLOG","MES CORRIENTE")))</f>
        <v/>
      </c>
      <c r="AA521" s="3">
        <f>IF($Y521="",FALSE,AND($Y521&gt;p_dias_backlog_min,$Y521&lt;=p_dias_backlog_max))</f>
        <v/>
      </c>
      <c r="AB521" s="6" t="n"/>
      <c r="AC521" s="3">
        <f>IF($AB521="","",IFERROR(INDEX('ASIGNACIONES'!$F$4:$F$339,MATCH($O521&amp;"|"&amp;$R521&amp;"|"&amp;$AB521,'ASIGNACIONES'!$I$4:$I$339,0)),""))</f>
        <v/>
      </c>
      <c r="AD521" s="13">
        <f>IF($AB521="","",SUMIFS('ORDENES'!$M$4:$M$1203,'ORDENES'!$AB$4:$AB$1203,$AB521,'ORDENES'!$O$4:$O$1203,$O521,'ORDENES'!$R$4:$R$1203,$R521))</f>
        <v/>
      </c>
      <c r="AE521" s="13">
        <f>IF($AD521="","",p_factor_productividad*IFERROR(INDEX('ASIGNACIONES'!$H$4:$H$339,MATCH($O521&amp;"|"&amp;$R521&amp;"|"&amp;$AB521,'ASIGNACIONES'!$I$4:$I$339,0)),0)-$AD521)</f>
        <v/>
      </c>
      <c r="AF521" s="10">
        <f>IF($A521="","",IFERROR(INDEX('2_IMPORTAR_EJECUCION'!$F$9:$F$1208,MATCH($AN521,'2_IMPORTAR_EJECUCION'!$J$9:$J$1208,0)),0))</f>
        <v/>
      </c>
      <c r="AG521" s="10">
        <f>IF($A521="","",MAX(0,IFERROR(INDEX('2_IMPORTAR_EJECUCION'!$H$9:$H$1208,MATCH($AN521,'2_IMPORTAR_EJECUCION'!$J$9:$J$1208,0)),0)-$AF521))</f>
        <v/>
      </c>
      <c r="AH521" s="10">
        <f>IF($A521="","",$AF521+$AG521)</f>
        <v/>
      </c>
      <c r="AI521" s="6" t="n"/>
      <c r="AJ521" s="6" t="n"/>
      <c r="AK521" s="6" t="n"/>
      <c r="AL521" s="3">
        <f>IF($AK521="","",HYPERLINK(p_ruta_base_checklists&amp;$AK521,"abrir"))</f>
        <v/>
      </c>
      <c r="AM521" s="6" t="n"/>
      <c r="AN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1" t="n"/>
      <c r="K522" s="3" t="n"/>
      <c r="L522" s="10" t="n"/>
      <c r="M522" s="3">
        <f>IF($A522="","",IFERROR(INDEX('AJUSTES'!$B$4:$B$303,MATCH($AN522,'AJUSTES'!$A$4:$A$303,0)),IF($K522="","",$K522)))</f>
        <v/>
      </c>
      <c r="N522" s="3">
        <f>IF($A522="","",IFERROR(INDEX('CAT_ESTADOS_ERP'!$B$4:$B$7,MATCH(IFERROR(INDEX('2_IMPORTAR_EJECUCION'!$C$9:$C$1208,MATCH($AN522,'2_IMPORTAR_EJECUCION'!$J$9:$J$1208,0)),""),'CAT_ESTADOS_ERP'!$A$4:$A$7,0)),"Pendiente"))</f>
        <v/>
      </c>
      <c r="O522" s="3">
        <f>IF($J522="","",YEAR($J522+4-WEEKDAY($J522,2))&amp;"-S"&amp;TEXT(_xlfn.ISOWEEKNUM($J522),"00"))</f>
        <v/>
      </c>
      <c r="P522" s="3">
        <f>IF($J522="","",YEAR($J522))</f>
        <v/>
      </c>
      <c r="Q522" s="3">
        <f>IF($J522="","",MONTH($J522))</f>
        <v/>
      </c>
      <c r="R522" s="3">
        <f>IF($J522="","",INDEX(lista_dias,WEEKDAY($J522,2)))</f>
        <v/>
      </c>
      <c r="S522" s="3">
        <f>IF($I522="","",IFERROR(INDEX('CAT_TIPOS_OT'!$C$4:$C$7,MATCH($I522,'CAT_TIPOS_OT'!$A$4:$A$7,0)),"sin_clasificar"))</f>
        <v/>
      </c>
      <c r="T522" s="3">
        <f>IF($F522="","",IFERROR(INDEX('CAT_CENTROS_COSTO'!$E$4:$E$9,MATCH($F522,'CAT_CENTROS_COSTO'!$A$4:$A$9,0)),"(sin catálogo)"))</f>
        <v/>
      </c>
      <c r="U522" s="3">
        <f>IF($F522="","",IFERROR(INDEX('CAT_CENTROS_COSTO'!$D$4:$D$9,MATCH($F522,'CAT_CENTROS_COSTO'!$A$4:$A$9,0)),"(sin catálogo)"))</f>
        <v/>
      </c>
      <c r="V522" s="3">
        <f>IF($F522="","",IFERROR(INDEX('CAT_CENTROS_COSTO'!$F$4:$F$9,MATCH($F522,'CAT_CENTROS_COSTO'!$A$4:$A$9,0)),"(sin catálogo)"))</f>
        <v/>
      </c>
      <c r="W522" s="3">
        <f>IF($G522="","",IFERROR(INDEX('CAT_PUESTOS'!$B$4:$B$8,MATCH($G522,'CAT_PUESTOS'!$A$4:$A$8,0)),"(sin catálogo)"))</f>
        <v/>
      </c>
      <c r="X522" s="3">
        <f>IF($H522="","",IFERROR(INDEX('CAT_ACTIVIDADES'!$B$4:$B$8,MATCH($H522,'CAT_ACTIVIDADES'!$A$4:$A$8,0)),"(sin catálogo)"))</f>
        <v/>
      </c>
      <c r="Y522" s="12">
        <f>IF($J522="","",TODAY()-$J522)</f>
        <v/>
      </c>
      <c r="Z522" s="3">
        <f>IF($Y522="","",IF($Y522&lt;0,"FUTURO",IF($Y522&gt;p_dias_backlog_max,"BACKLOG","MES CORRIENTE")))</f>
        <v/>
      </c>
      <c r="AA522" s="3">
        <f>IF($Y522="",FALSE,AND($Y522&gt;p_dias_backlog_min,$Y522&lt;=p_dias_backlog_max))</f>
        <v/>
      </c>
      <c r="AB522" s="6" t="n"/>
      <c r="AC522" s="3">
        <f>IF($AB522="","",IFERROR(INDEX('ASIGNACIONES'!$F$4:$F$339,MATCH($O522&amp;"|"&amp;$R522&amp;"|"&amp;$AB522,'ASIGNACIONES'!$I$4:$I$339,0)),""))</f>
        <v/>
      </c>
      <c r="AD522" s="13">
        <f>IF($AB522="","",SUMIFS('ORDENES'!$M$4:$M$1203,'ORDENES'!$AB$4:$AB$1203,$AB522,'ORDENES'!$O$4:$O$1203,$O522,'ORDENES'!$R$4:$R$1203,$R522))</f>
        <v/>
      </c>
      <c r="AE522" s="13">
        <f>IF($AD522="","",p_factor_productividad*IFERROR(INDEX('ASIGNACIONES'!$H$4:$H$339,MATCH($O522&amp;"|"&amp;$R522&amp;"|"&amp;$AB522,'ASIGNACIONES'!$I$4:$I$339,0)),0)-$AD522)</f>
        <v/>
      </c>
      <c r="AF522" s="10">
        <f>IF($A522="","",IFERROR(INDEX('2_IMPORTAR_EJECUCION'!$F$9:$F$1208,MATCH($AN522,'2_IMPORTAR_EJECUCION'!$J$9:$J$1208,0)),0))</f>
        <v/>
      </c>
      <c r="AG522" s="10">
        <f>IF($A522="","",MAX(0,IFERROR(INDEX('2_IMPORTAR_EJECUCION'!$H$9:$H$1208,MATCH($AN522,'2_IMPORTAR_EJECUCION'!$J$9:$J$1208,0)),0)-$AF522))</f>
        <v/>
      </c>
      <c r="AH522" s="10">
        <f>IF($A522="","",$AF522+$AG522)</f>
        <v/>
      </c>
      <c r="AI522" s="6" t="n"/>
      <c r="AJ522" s="6" t="n"/>
      <c r="AK522" s="6" t="n"/>
      <c r="AL522" s="3">
        <f>IF($AK522="","",HYPERLINK(p_ruta_base_checklists&amp;$AK522,"abrir"))</f>
        <v/>
      </c>
      <c r="AM522" s="6" t="n"/>
      <c r="AN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1" t="n"/>
      <c r="K523" s="3" t="n"/>
      <c r="L523" s="10" t="n"/>
      <c r="M523" s="3">
        <f>IF($A523="","",IFERROR(INDEX('AJUSTES'!$B$4:$B$303,MATCH($AN523,'AJUSTES'!$A$4:$A$303,0)),IF($K523="","",$K523)))</f>
        <v/>
      </c>
      <c r="N523" s="3">
        <f>IF($A523="","",IFERROR(INDEX('CAT_ESTADOS_ERP'!$B$4:$B$7,MATCH(IFERROR(INDEX('2_IMPORTAR_EJECUCION'!$C$9:$C$1208,MATCH($AN523,'2_IMPORTAR_EJECUCION'!$J$9:$J$1208,0)),""),'CAT_ESTADOS_ERP'!$A$4:$A$7,0)),"Pendiente"))</f>
        <v/>
      </c>
      <c r="O523" s="3">
        <f>IF($J523="","",YEAR($J523+4-WEEKDAY($J523,2))&amp;"-S"&amp;TEXT(_xlfn.ISOWEEKNUM($J523),"00"))</f>
        <v/>
      </c>
      <c r="P523" s="3">
        <f>IF($J523="","",YEAR($J523))</f>
        <v/>
      </c>
      <c r="Q523" s="3">
        <f>IF($J523="","",MONTH($J523))</f>
        <v/>
      </c>
      <c r="R523" s="3">
        <f>IF($J523="","",INDEX(lista_dias,WEEKDAY($J523,2)))</f>
        <v/>
      </c>
      <c r="S523" s="3">
        <f>IF($I523="","",IFERROR(INDEX('CAT_TIPOS_OT'!$C$4:$C$7,MATCH($I523,'CAT_TIPOS_OT'!$A$4:$A$7,0)),"sin_clasificar"))</f>
        <v/>
      </c>
      <c r="T523" s="3">
        <f>IF($F523="","",IFERROR(INDEX('CAT_CENTROS_COSTO'!$E$4:$E$9,MATCH($F523,'CAT_CENTROS_COSTO'!$A$4:$A$9,0)),"(sin catálogo)"))</f>
        <v/>
      </c>
      <c r="U523" s="3">
        <f>IF($F523="","",IFERROR(INDEX('CAT_CENTROS_COSTO'!$D$4:$D$9,MATCH($F523,'CAT_CENTROS_COSTO'!$A$4:$A$9,0)),"(sin catálogo)"))</f>
        <v/>
      </c>
      <c r="V523" s="3">
        <f>IF($F523="","",IFERROR(INDEX('CAT_CENTROS_COSTO'!$F$4:$F$9,MATCH($F523,'CAT_CENTROS_COSTO'!$A$4:$A$9,0)),"(sin catálogo)"))</f>
        <v/>
      </c>
      <c r="W523" s="3">
        <f>IF($G523="","",IFERROR(INDEX('CAT_PUESTOS'!$B$4:$B$8,MATCH($G523,'CAT_PUESTOS'!$A$4:$A$8,0)),"(sin catálogo)"))</f>
        <v/>
      </c>
      <c r="X523" s="3">
        <f>IF($H523="","",IFERROR(INDEX('CAT_ACTIVIDADES'!$B$4:$B$8,MATCH($H523,'CAT_ACTIVIDADES'!$A$4:$A$8,0)),"(sin catálogo)"))</f>
        <v/>
      </c>
      <c r="Y523" s="12">
        <f>IF($J523="","",TODAY()-$J523)</f>
        <v/>
      </c>
      <c r="Z523" s="3">
        <f>IF($Y523="","",IF($Y523&lt;0,"FUTURO",IF($Y523&gt;p_dias_backlog_max,"BACKLOG","MES CORRIENTE")))</f>
        <v/>
      </c>
      <c r="AA523" s="3">
        <f>IF($Y523="",FALSE,AND($Y523&gt;p_dias_backlog_min,$Y523&lt;=p_dias_backlog_max))</f>
        <v/>
      </c>
      <c r="AB523" s="6" t="n"/>
      <c r="AC523" s="3">
        <f>IF($AB523="","",IFERROR(INDEX('ASIGNACIONES'!$F$4:$F$339,MATCH($O523&amp;"|"&amp;$R523&amp;"|"&amp;$AB523,'ASIGNACIONES'!$I$4:$I$339,0)),""))</f>
        <v/>
      </c>
      <c r="AD523" s="13">
        <f>IF($AB523="","",SUMIFS('ORDENES'!$M$4:$M$1203,'ORDENES'!$AB$4:$AB$1203,$AB523,'ORDENES'!$O$4:$O$1203,$O523,'ORDENES'!$R$4:$R$1203,$R523))</f>
        <v/>
      </c>
      <c r="AE523" s="13">
        <f>IF($AD523="","",p_factor_productividad*IFERROR(INDEX('ASIGNACIONES'!$H$4:$H$339,MATCH($O523&amp;"|"&amp;$R523&amp;"|"&amp;$AB523,'ASIGNACIONES'!$I$4:$I$339,0)),0)-$AD523)</f>
        <v/>
      </c>
      <c r="AF523" s="10">
        <f>IF($A523="","",IFERROR(INDEX('2_IMPORTAR_EJECUCION'!$F$9:$F$1208,MATCH($AN523,'2_IMPORTAR_EJECUCION'!$J$9:$J$1208,0)),0))</f>
        <v/>
      </c>
      <c r="AG523" s="10">
        <f>IF($A523="","",MAX(0,IFERROR(INDEX('2_IMPORTAR_EJECUCION'!$H$9:$H$1208,MATCH($AN523,'2_IMPORTAR_EJECUCION'!$J$9:$J$1208,0)),0)-$AF523))</f>
        <v/>
      </c>
      <c r="AH523" s="10">
        <f>IF($A523="","",$AF523+$AG523)</f>
        <v/>
      </c>
      <c r="AI523" s="6" t="n"/>
      <c r="AJ523" s="6" t="n"/>
      <c r="AK523" s="6" t="n"/>
      <c r="AL523" s="3">
        <f>IF($AK523="","",HYPERLINK(p_ruta_base_checklists&amp;$AK523,"abrir"))</f>
        <v/>
      </c>
      <c r="AM523" s="6" t="n"/>
      <c r="AN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1" t="n"/>
      <c r="K524" s="3" t="n"/>
      <c r="L524" s="10" t="n"/>
      <c r="M524" s="3">
        <f>IF($A524="","",IFERROR(INDEX('AJUSTES'!$B$4:$B$303,MATCH($AN524,'AJUSTES'!$A$4:$A$303,0)),IF($K524="","",$K524)))</f>
        <v/>
      </c>
      <c r="N524" s="3">
        <f>IF($A524="","",IFERROR(INDEX('CAT_ESTADOS_ERP'!$B$4:$B$7,MATCH(IFERROR(INDEX('2_IMPORTAR_EJECUCION'!$C$9:$C$1208,MATCH($AN524,'2_IMPORTAR_EJECUCION'!$J$9:$J$1208,0)),""),'CAT_ESTADOS_ERP'!$A$4:$A$7,0)),"Pendiente"))</f>
        <v/>
      </c>
      <c r="O524" s="3">
        <f>IF($J524="","",YEAR($J524+4-WEEKDAY($J524,2))&amp;"-S"&amp;TEXT(_xlfn.ISOWEEKNUM($J524),"00"))</f>
        <v/>
      </c>
      <c r="P524" s="3">
        <f>IF($J524="","",YEAR($J524))</f>
        <v/>
      </c>
      <c r="Q524" s="3">
        <f>IF($J524="","",MONTH($J524))</f>
        <v/>
      </c>
      <c r="R524" s="3">
        <f>IF($J524="","",INDEX(lista_dias,WEEKDAY($J524,2)))</f>
        <v/>
      </c>
      <c r="S524" s="3">
        <f>IF($I524="","",IFERROR(INDEX('CAT_TIPOS_OT'!$C$4:$C$7,MATCH($I524,'CAT_TIPOS_OT'!$A$4:$A$7,0)),"sin_clasificar"))</f>
        <v/>
      </c>
      <c r="T524" s="3">
        <f>IF($F524="","",IFERROR(INDEX('CAT_CENTROS_COSTO'!$E$4:$E$9,MATCH($F524,'CAT_CENTROS_COSTO'!$A$4:$A$9,0)),"(sin catálogo)"))</f>
        <v/>
      </c>
      <c r="U524" s="3">
        <f>IF($F524="","",IFERROR(INDEX('CAT_CENTROS_COSTO'!$D$4:$D$9,MATCH($F524,'CAT_CENTROS_COSTO'!$A$4:$A$9,0)),"(sin catálogo)"))</f>
        <v/>
      </c>
      <c r="V524" s="3">
        <f>IF($F524="","",IFERROR(INDEX('CAT_CENTROS_COSTO'!$F$4:$F$9,MATCH($F524,'CAT_CENTROS_COSTO'!$A$4:$A$9,0)),"(sin catálogo)"))</f>
        <v/>
      </c>
      <c r="W524" s="3">
        <f>IF($G524="","",IFERROR(INDEX('CAT_PUESTOS'!$B$4:$B$8,MATCH($G524,'CAT_PUESTOS'!$A$4:$A$8,0)),"(sin catálogo)"))</f>
        <v/>
      </c>
      <c r="X524" s="3">
        <f>IF($H524="","",IFERROR(INDEX('CAT_ACTIVIDADES'!$B$4:$B$8,MATCH($H524,'CAT_ACTIVIDADES'!$A$4:$A$8,0)),"(sin catálogo)"))</f>
        <v/>
      </c>
      <c r="Y524" s="12">
        <f>IF($J524="","",TODAY()-$J524)</f>
        <v/>
      </c>
      <c r="Z524" s="3">
        <f>IF($Y524="","",IF($Y524&lt;0,"FUTURO",IF($Y524&gt;p_dias_backlog_max,"BACKLOG","MES CORRIENTE")))</f>
        <v/>
      </c>
      <c r="AA524" s="3">
        <f>IF($Y524="",FALSE,AND($Y524&gt;p_dias_backlog_min,$Y524&lt;=p_dias_backlog_max))</f>
        <v/>
      </c>
      <c r="AB524" s="6" t="n"/>
      <c r="AC524" s="3">
        <f>IF($AB524="","",IFERROR(INDEX('ASIGNACIONES'!$F$4:$F$339,MATCH($O524&amp;"|"&amp;$R524&amp;"|"&amp;$AB524,'ASIGNACIONES'!$I$4:$I$339,0)),""))</f>
        <v/>
      </c>
      <c r="AD524" s="13">
        <f>IF($AB524="","",SUMIFS('ORDENES'!$M$4:$M$1203,'ORDENES'!$AB$4:$AB$1203,$AB524,'ORDENES'!$O$4:$O$1203,$O524,'ORDENES'!$R$4:$R$1203,$R524))</f>
        <v/>
      </c>
      <c r="AE524" s="13">
        <f>IF($AD524="","",p_factor_productividad*IFERROR(INDEX('ASIGNACIONES'!$H$4:$H$339,MATCH($O524&amp;"|"&amp;$R524&amp;"|"&amp;$AB524,'ASIGNACIONES'!$I$4:$I$339,0)),0)-$AD524)</f>
        <v/>
      </c>
      <c r="AF524" s="10">
        <f>IF($A524="","",IFERROR(INDEX('2_IMPORTAR_EJECUCION'!$F$9:$F$1208,MATCH($AN524,'2_IMPORTAR_EJECUCION'!$J$9:$J$1208,0)),0))</f>
        <v/>
      </c>
      <c r="AG524" s="10">
        <f>IF($A524="","",MAX(0,IFERROR(INDEX('2_IMPORTAR_EJECUCION'!$H$9:$H$1208,MATCH($AN524,'2_IMPORTAR_EJECUCION'!$J$9:$J$1208,0)),0)-$AF524))</f>
        <v/>
      </c>
      <c r="AH524" s="10">
        <f>IF($A524="","",$AF524+$AG524)</f>
        <v/>
      </c>
      <c r="AI524" s="6" t="n"/>
      <c r="AJ524" s="6" t="n"/>
      <c r="AK524" s="6" t="n"/>
      <c r="AL524" s="3">
        <f>IF($AK524="","",HYPERLINK(p_ruta_base_checklists&amp;$AK524,"abrir"))</f>
        <v/>
      </c>
      <c r="AM524" s="6" t="n"/>
      <c r="AN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1" t="n"/>
      <c r="K525" s="3" t="n"/>
      <c r="L525" s="10" t="n"/>
      <c r="M525" s="3">
        <f>IF($A525="","",IFERROR(INDEX('AJUSTES'!$B$4:$B$303,MATCH($AN525,'AJUSTES'!$A$4:$A$303,0)),IF($K525="","",$K525)))</f>
        <v/>
      </c>
      <c r="N525" s="3">
        <f>IF($A525="","",IFERROR(INDEX('CAT_ESTADOS_ERP'!$B$4:$B$7,MATCH(IFERROR(INDEX('2_IMPORTAR_EJECUCION'!$C$9:$C$1208,MATCH($AN525,'2_IMPORTAR_EJECUCION'!$J$9:$J$1208,0)),""),'CAT_ESTADOS_ERP'!$A$4:$A$7,0)),"Pendiente"))</f>
        <v/>
      </c>
      <c r="O525" s="3">
        <f>IF($J525="","",YEAR($J525+4-WEEKDAY($J525,2))&amp;"-S"&amp;TEXT(_xlfn.ISOWEEKNUM($J525),"00"))</f>
        <v/>
      </c>
      <c r="P525" s="3">
        <f>IF($J525="","",YEAR($J525))</f>
        <v/>
      </c>
      <c r="Q525" s="3">
        <f>IF($J525="","",MONTH($J525))</f>
        <v/>
      </c>
      <c r="R525" s="3">
        <f>IF($J525="","",INDEX(lista_dias,WEEKDAY($J525,2)))</f>
        <v/>
      </c>
      <c r="S525" s="3">
        <f>IF($I525="","",IFERROR(INDEX('CAT_TIPOS_OT'!$C$4:$C$7,MATCH($I525,'CAT_TIPOS_OT'!$A$4:$A$7,0)),"sin_clasificar"))</f>
        <v/>
      </c>
      <c r="T525" s="3">
        <f>IF($F525="","",IFERROR(INDEX('CAT_CENTROS_COSTO'!$E$4:$E$9,MATCH($F525,'CAT_CENTROS_COSTO'!$A$4:$A$9,0)),"(sin catálogo)"))</f>
        <v/>
      </c>
      <c r="U525" s="3">
        <f>IF($F525="","",IFERROR(INDEX('CAT_CENTROS_COSTO'!$D$4:$D$9,MATCH($F525,'CAT_CENTROS_COSTO'!$A$4:$A$9,0)),"(sin catálogo)"))</f>
        <v/>
      </c>
      <c r="V525" s="3">
        <f>IF($F525="","",IFERROR(INDEX('CAT_CENTROS_COSTO'!$F$4:$F$9,MATCH($F525,'CAT_CENTROS_COSTO'!$A$4:$A$9,0)),"(sin catálogo)"))</f>
        <v/>
      </c>
      <c r="W525" s="3">
        <f>IF($G525="","",IFERROR(INDEX('CAT_PUESTOS'!$B$4:$B$8,MATCH($G525,'CAT_PUESTOS'!$A$4:$A$8,0)),"(sin catálogo)"))</f>
        <v/>
      </c>
      <c r="X525" s="3">
        <f>IF($H525="","",IFERROR(INDEX('CAT_ACTIVIDADES'!$B$4:$B$8,MATCH($H525,'CAT_ACTIVIDADES'!$A$4:$A$8,0)),"(sin catálogo)"))</f>
        <v/>
      </c>
      <c r="Y525" s="12">
        <f>IF($J525="","",TODAY()-$J525)</f>
        <v/>
      </c>
      <c r="Z525" s="3">
        <f>IF($Y525="","",IF($Y525&lt;0,"FUTURO",IF($Y525&gt;p_dias_backlog_max,"BACKLOG","MES CORRIENTE")))</f>
        <v/>
      </c>
      <c r="AA525" s="3">
        <f>IF($Y525="",FALSE,AND($Y525&gt;p_dias_backlog_min,$Y525&lt;=p_dias_backlog_max))</f>
        <v/>
      </c>
      <c r="AB525" s="6" t="n"/>
      <c r="AC525" s="3">
        <f>IF($AB525="","",IFERROR(INDEX('ASIGNACIONES'!$F$4:$F$339,MATCH($O525&amp;"|"&amp;$R525&amp;"|"&amp;$AB525,'ASIGNACIONES'!$I$4:$I$339,0)),""))</f>
        <v/>
      </c>
      <c r="AD525" s="13">
        <f>IF($AB525="","",SUMIFS('ORDENES'!$M$4:$M$1203,'ORDENES'!$AB$4:$AB$1203,$AB525,'ORDENES'!$O$4:$O$1203,$O525,'ORDENES'!$R$4:$R$1203,$R525))</f>
        <v/>
      </c>
      <c r="AE525" s="13">
        <f>IF($AD525="","",p_factor_productividad*IFERROR(INDEX('ASIGNACIONES'!$H$4:$H$339,MATCH($O525&amp;"|"&amp;$R525&amp;"|"&amp;$AB525,'ASIGNACIONES'!$I$4:$I$339,0)),0)-$AD525)</f>
        <v/>
      </c>
      <c r="AF525" s="10">
        <f>IF($A525="","",IFERROR(INDEX('2_IMPORTAR_EJECUCION'!$F$9:$F$1208,MATCH($AN525,'2_IMPORTAR_EJECUCION'!$J$9:$J$1208,0)),0))</f>
        <v/>
      </c>
      <c r="AG525" s="10">
        <f>IF($A525="","",MAX(0,IFERROR(INDEX('2_IMPORTAR_EJECUCION'!$H$9:$H$1208,MATCH($AN525,'2_IMPORTAR_EJECUCION'!$J$9:$J$1208,0)),0)-$AF525))</f>
        <v/>
      </c>
      <c r="AH525" s="10">
        <f>IF($A525="","",$AF525+$AG525)</f>
        <v/>
      </c>
      <c r="AI525" s="6" t="n"/>
      <c r="AJ525" s="6" t="n"/>
      <c r="AK525" s="6" t="n"/>
      <c r="AL525" s="3">
        <f>IF($AK525="","",HYPERLINK(p_ruta_base_checklists&amp;$AK525,"abrir"))</f>
        <v/>
      </c>
      <c r="AM525" s="6" t="n"/>
      <c r="AN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1" t="n"/>
      <c r="K526" s="3" t="n"/>
      <c r="L526" s="10" t="n"/>
      <c r="M526" s="3">
        <f>IF($A526="","",IFERROR(INDEX('AJUSTES'!$B$4:$B$303,MATCH($AN526,'AJUSTES'!$A$4:$A$303,0)),IF($K526="","",$K526)))</f>
        <v/>
      </c>
      <c r="N526" s="3">
        <f>IF($A526="","",IFERROR(INDEX('CAT_ESTADOS_ERP'!$B$4:$B$7,MATCH(IFERROR(INDEX('2_IMPORTAR_EJECUCION'!$C$9:$C$1208,MATCH($AN526,'2_IMPORTAR_EJECUCION'!$J$9:$J$1208,0)),""),'CAT_ESTADOS_ERP'!$A$4:$A$7,0)),"Pendiente"))</f>
        <v/>
      </c>
      <c r="O526" s="3">
        <f>IF($J526="","",YEAR($J526+4-WEEKDAY($J526,2))&amp;"-S"&amp;TEXT(_xlfn.ISOWEEKNUM($J526),"00"))</f>
        <v/>
      </c>
      <c r="P526" s="3">
        <f>IF($J526="","",YEAR($J526))</f>
        <v/>
      </c>
      <c r="Q526" s="3">
        <f>IF($J526="","",MONTH($J526))</f>
        <v/>
      </c>
      <c r="R526" s="3">
        <f>IF($J526="","",INDEX(lista_dias,WEEKDAY($J526,2)))</f>
        <v/>
      </c>
      <c r="S526" s="3">
        <f>IF($I526="","",IFERROR(INDEX('CAT_TIPOS_OT'!$C$4:$C$7,MATCH($I526,'CAT_TIPOS_OT'!$A$4:$A$7,0)),"sin_clasificar"))</f>
        <v/>
      </c>
      <c r="T526" s="3">
        <f>IF($F526="","",IFERROR(INDEX('CAT_CENTROS_COSTO'!$E$4:$E$9,MATCH($F526,'CAT_CENTROS_COSTO'!$A$4:$A$9,0)),"(sin catálogo)"))</f>
        <v/>
      </c>
      <c r="U526" s="3">
        <f>IF($F526="","",IFERROR(INDEX('CAT_CENTROS_COSTO'!$D$4:$D$9,MATCH($F526,'CAT_CENTROS_COSTO'!$A$4:$A$9,0)),"(sin catálogo)"))</f>
        <v/>
      </c>
      <c r="V526" s="3">
        <f>IF($F526="","",IFERROR(INDEX('CAT_CENTROS_COSTO'!$F$4:$F$9,MATCH($F526,'CAT_CENTROS_COSTO'!$A$4:$A$9,0)),"(sin catálogo)"))</f>
        <v/>
      </c>
      <c r="W526" s="3">
        <f>IF($G526="","",IFERROR(INDEX('CAT_PUESTOS'!$B$4:$B$8,MATCH($G526,'CAT_PUESTOS'!$A$4:$A$8,0)),"(sin catálogo)"))</f>
        <v/>
      </c>
      <c r="X526" s="3">
        <f>IF($H526="","",IFERROR(INDEX('CAT_ACTIVIDADES'!$B$4:$B$8,MATCH($H526,'CAT_ACTIVIDADES'!$A$4:$A$8,0)),"(sin catálogo)"))</f>
        <v/>
      </c>
      <c r="Y526" s="12">
        <f>IF($J526="","",TODAY()-$J526)</f>
        <v/>
      </c>
      <c r="Z526" s="3">
        <f>IF($Y526="","",IF($Y526&lt;0,"FUTURO",IF($Y526&gt;p_dias_backlog_max,"BACKLOG","MES CORRIENTE")))</f>
        <v/>
      </c>
      <c r="AA526" s="3">
        <f>IF($Y526="",FALSE,AND($Y526&gt;p_dias_backlog_min,$Y526&lt;=p_dias_backlog_max))</f>
        <v/>
      </c>
      <c r="AB526" s="6" t="n"/>
      <c r="AC526" s="3">
        <f>IF($AB526="","",IFERROR(INDEX('ASIGNACIONES'!$F$4:$F$339,MATCH($O526&amp;"|"&amp;$R526&amp;"|"&amp;$AB526,'ASIGNACIONES'!$I$4:$I$339,0)),""))</f>
        <v/>
      </c>
      <c r="AD526" s="13">
        <f>IF($AB526="","",SUMIFS('ORDENES'!$M$4:$M$1203,'ORDENES'!$AB$4:$AB$1203,$AB526,'ORDENES'!$O$4:$O$1203,$O526,'ORDENES'!$R$4:$R$1203,$R526))</f>
        <v/>
      </c>
      <c r="AE526" s="13">
        <f>IF($AD526="","",p_factor_productividad*IFERROR(INDEX('ASIGNACIONES'!$H$4:$H$339,MATCH($O526&amp;"|"&amp;$R526&amp;"|"&amp;$AB526,'ASIGNACIONES'!$I$4:$I$339,0)),0)-$AD526)</f>
        <v/>
      </c>
      <c r="AF526" s="10">
        <f>IF($A526="","",IFERROR(INDEX('2_IMPORTAR_EJECUCION'!$F$9:$F$1208,MATCH($AN526,'2_IMPORTAR_EJECUCION'!$J$9:$J$1208,0)),0))</f>
        <v/>
      </c>
      <c r="AG526" s="10">
        <f>IF($A526="","",MAX(0,IFERROR(INDEX('2_IMPORTAR_EJECUCION'!$H$9:$H$1208,MATCH($AN526,'2_IMPORTAR_EJECUCION'!$J$9:$J$1208,0)),0)-$AF526))</f>
        <v/>
      </c>
      <c r="AH526" s="10">
        <f>IF($A526="","",$AF526+$AG526)</f>
        <v/>
      </c>
      <c r="AI526" s="6" t="n"/>
      <c r="AJ526" s="6" t="n"/>
      <c r="AK526" s="6" t="n"/>
      <c r="AL526" s="3">
        <f>IF($AK526="","",HYPERLINK(p_ruta_base_checklists&amp;$AK526,"abrir"))</f>
        <v/>
      </c>
      <c r="AM526" s="6" t="n"/>
      <c r="AN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1" t="n"/>
      <c r="K527" s="3" t="n"/>
      <c r="L527" s="10" t="n"/>
      <c r="M527" s="3">
        <f>IF($A527="","",IFERROR(INDEX('AJUSTES'!$B$4:$B$303,MATCH($AN527,'AJUSTES'!$A$4:$A$303,0)),IF($K527="","",$K527)))</f>
        <v/>
      </c>
      <c r="N527" s="3">
        <f>IF($A527="","",IFERROR(INDEX('CAT_ESTADOS_ERP'!$B$4:$B$7,MATCH(IFERROR(INDEX('2_IMPORTAR_EJECUCION'!$C$9:$C$1208,MATCH($AN527,'2_IMPORTAR_EJECUCION'!$J$9:$J$1208,0)),""),'CAT_ESTADOS_ERP'!$A$4:$A$7,0)),"Pendiente"))</f>
        <v/>
      </c>
      <c r="O527" s="3">
        <f>IF($J527="","",YEAR($J527+4-WEEKDAY($J527,2))&amp;"-S"&amp;TEXT(_xlfn.ISOWEEKNUM($J527),"00"))</f>
        <v/>
      </c>
      <c r="P527" s="3">
        <f>IF($J527="","",YEAR($J527))</f>
        <v/>
      </c>
      <c r="Q527" s="3">
        <f>IF($J527="","",MONTH($J527))</f>
        <v/>
      </c>
      <c r="R527" s="3">
        <f>IF($J527="","",INDEX(lista_dias,WEEKDAY($J527,2)))</f>
        <v/>
      </c>
      <c r="S527" s="3">
        <f>IF($I527="","",IFERROR(INDEX('CAT_TIPOS_OT'!$C$4:$C$7,MATCH($I527,'CAT_TIPOS_OT'!$A$4:$A$7,0)),"sin_clasificar"))</f>
        <v/>
      </c>
      <c r="T527" s="3">
        <f>IF($F527="","",IFERROR(INDEX('CAT_CENTROS_COSTO'!$E$4:$E$9,MATCH($F527,'CAT_CENTROS_COSTO'!$A$4:$A$9,0)),"(sin catálogo)"))</f>
        <v/>
      </c>
      <c r="U527" s="3">
        <f>IF($F527="","",IFERROR(INDEX('CAT_CENTROS_COSTO'!$D$4:$D$9,MATCH($F527,'CAT_CENTROS_COSTO'!$A$4:$A$9,0)),"(sin catálogo)"))</f>
        <v/>
      </c>
      <c r="V527" s="3">
        <f>IF($F527="","",IFERROR(INDEX('CAT_CENTROS_COSTO'!$F$4:$F$9,MATCH($F527,'CAT_CENTROS_COSTO'!$A$4:$A$9,0)),"(sin catálogo)"))</f>
        <v/>
      </c>
      <c r="W527" s="3">
        <f>IF($G527="","",IFERROR(INDEX('CAT_PUESTOS'!$B$4:$B$8,MATCH($G527,'CAT_PUESTOS'!$A$4:$A$8,0)),"(sin catálogo)"))</f>
        <v/>
      </c>
      <c r="X527" s="3">
        <f>IF($H527="","",IFERROR(INDEX('CAT_ACTIVIDADES'!$B$4:$B$8,MATCH($H527,'CAT_ACTIVIDADES'!$A$4:$A$8,0)),"(sin catálogo)"))</f>
        <v/>
      </c>
      <c r="Y527" s="12">
        <f>IF($J527="","",TODAY()-$J527)</f>
        <v/>
      </c>
      <c r="Z527" s="3">
        <f>IF($Y527="","",IF($Y527&lt;0,"FUTURO",IF($Y527&gt;p_dias_backlog_max,"BACKLOG","MES CORRIENTE")))</f>
        <v/>
      </c>
      <c r="AA527" s="3">
        <f>IF($Y527="",FALSE,AND($Y527&gt;p_dias_backlog_min,$Y527&lt;=p_dias_backlog_max))</f>
        <v/>
      </c>
      <c r="AB527" s="6" t="n"/>
      <c r="AC527" s="3">
        <f>IF($AB527="","",IFERROR(INDEX('ASIGNACIONES'!$F$4:$F$339,MATCH($O527&amp;"|"&amp;$R527&amp;"|"&amp;$AB527,'ASIGNACIONES'!$I$4:$I$339,0)),""))</f>
        <v/>
      </c>
      <c r="AD527" s="13">
        <f>IF($AB527="","",SUMIFS('ORDENES'!$M$4:$M$1203,'ORDENES'!$AB$4:$AB$1203,$AB527,'ORDENES'!$O$4:$O$1203,$O527,'ORDENES'!$R$4:$R$1203,$R527))</f>
        <v/>
      </c>
      <c r="AE527" s="13">
        <f>IF($AD527="","",p_factor_productividad*IFERROR(INDEX('ASIGNACIONES'!$H$4:$H$339,MATCH($O527&amp;"|"&amp;$R527&amp;"|"&amp;$AB527,'ASIGNACIONES'!$I$4:$I$339,0)),0)-$AD527)</f>
        <v/>
      </c>
      <c r="AF527" s="10">
        <f>IF($A527="","",IFERROR(INDEX('2_IMPORTAR_EJECUCION'!$F$9:$F$1208,MATCH($AN527,'2_IMPORTAR_EJECUCION'!$J$9:$J$1208,0)),0))</f>
        <v/>
      </c>
      <c r="AG527" s="10">
        <f>IF($A527="","",MAX(0,IFERROR(INDEX('2_IMPORTAR_EJECUCION'!$H$9:$H$1208,MATCH($AN527,'2_IMPORTAR_EJECUCION'!$J$9:$J$1208,0)),0)-$AF527))</f>
        <v/>
      </c>
      <c r="AH527" s="10">
        <f>IF($A527="","",$AF527+$AG527)</f>
        <v/>
      </c>
      <c r="AI527" s="6" t="n"/>
      <c r="AJ527" s="6" t="n"/>
      <c r="AK527" s="6" t="n"/>
      <c r="AL527" s="3">
        <f>IF($AK527="","",HYPERLINK(p_ruta_base_checklists&amp;$AK527,"abrir"))</f>
        <v/>
      </c>
      <c r="AM527" s="6" t="n"/>
      <c r="AN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1" t="n"/>
      <c r="K528" s="3" t="n"/>
      <c r="L528" s="10" t="n"/>
      <c r="M528" s="3">
        <f>IF($A528="","",IFERROR(INDEX('AJUSTES'!$B$4:$B$303,MATCH($AN528,'AJUSTES'!$A$4:$A$303,0)),IF($K528="","",$K528)))</f>
        <v/>
      </c>
      <c r="N528" s="3">
        <f>IF($A528="","",IFERROR(INDEX('CAT_ESTADOS_ERP'!$B$4:$B$7,MATCH(IFERROR(INDEX('2_IMPORTAR_EJECUCION'!$C$9:$C$1208,MATCH($AN528,'2_IMPORTAR_EJECUCION'!$J$9:$J$1208,0)),""),'CAT_ESTADOS_ERP'!$A$4:$A$7,0)),"Pendiente"))</f>
        <v/>
      </c>
      <c r="O528" s="3">
        <f>IF($J528="","",YEAR($J528+4-WEEKDAY($J528,2))&amp;"-S"&amp;TEXT(_xlfn.ISOWEEKNUM($J528),"00"))</f>
        <v/>
      </c>
      <c r="P528" s="3">
        <f>IF($J528="","",YEAR($J528))</f>
        <v/>
      </c>
      <c r="Q528" s="3">
        <f>IF($J528="","",MONTH($J528))</f>
        <v/>
      </c>
      <c r="R528" s="3">
        <f>IF($J528="","",INDEX(lista_dias,WEEKDAY($J528,2)))</f>
        <v/>
      </c>
      <c r="S528" s="3">
        <f>IF($I528="","",IFERROR(INDEX('CAT_TIPOS_OT'!$C$4:$C$7,MATCH($I528,'CAT_TIPOS_OT'!$A$4:$A$7,0)),"sin_clasificar"))</f>
        <v/>
      </c>
      <c r="T528" s="3">
        <f>IF($F528="","",IFERROR(INDEX('CAT_CENTROS_COSTO'!$E$4:$E$9,MATCH($F528,'CAT_CENTROS_COSTO'!$A$4:$A$9,0)),"(sin catálogo)"))</f>
        <v/>
      </c>
      <c r="U528" s="3">
        <f>IF($F528="","",IFERROR(INDEX('CAT_CENTROS_COSTO'!$D$4:$D$9,MATCH($F528,'CAT_CENTROS_COSTO'!$A$4:$A$9,0)),"(sin catálogo)"))</f>
        <v/>
      </c>
      <c r="V528" s="3">
        <f>IF($F528="","",IFERROR(INDEX('CAT_CENTROS_COSTO'!$F$4:$F$9,MATCH($F528,'CAT_CENTROS_COSTO'!$A$4:$A$9,0)),"(sin catálogo)"))</f>
        <v/>
      </c>
      <c r="W528" s="3">
        <f>IF($G528="","",IFERROR(INDEX('CAT_PUESTOS'!$B$4:$B$8,MATCH($G528,'CAT_PUESTOS'!$A$4:$A$8,0)),"(sin catálogo)"))</f>
        <v/>
      </c>
      <c r="X528" s="3">
        <f>IF($H528="","",IFERROR(INDEX('CAT_ACTIVIDADES'!$B$4:$B$8,MATCH($H528,'CAT_ACTIVIDADES'!$A$4:$A$8,0)),"(sin catálogo)"))</f>
        <v/>
      </c>
      <c r="Y528" s="12">
        <f>IF($J528="","",TODAY()-$J528)</f>
        <v/>
      </c>
      <c r="Z528" s="3">
        <f>IF($Y528="","",IF($Y528&lt;0,"FUTURO",IF($Y528&gt;p_dias_backlog_max,"BACKLOG","MES CORRIENTE")))</f>
        <v/>
      </c>
      <c r="AA528" s="3">
        <f>IF($Y528="",FALSE,AND($Y528&gt;p_dias_backlog_min,$Y528&lt;=p_dias_backlog_max))</f>
        <v/>
      </c>
      <c r="AB528" s="6" t="n"/>
      <c r="AC528" s="3">
        <f>IF($AB528="","",IFERROR(INDEX('ASIGNACIONES'!$F$4:$F$339,MATCH($O528&amp;"|"&amp;$R528&amp;"|"&amp;$AB528,'ASIGNACIONES'!$I$4:$I$339,0)),""))</f>
        <v/>
      </c>
      <c r="AD528" s="13">
        <f>IF($AB528="","",SUMIFS('ORDENES'!$M$4:$M$1203,'ORDENES'!$AB$4:$AB$1203,$AB528,'ORDENES'!$O$4:$O$1203,$O528,'ORDENES'!$R$4:$R$1203,$R528))</f>
        <v/>
      </c>
      <c r="AE528" s="13">
        <f>IF($AD528="","",p_factor_productividad*IFERROR(INDEX('ASIGNACIONES'!$H$4:$H$339,MATCH($O528&amp;"|"&amp;$R528&amp;"|"&amp;$AB528,'ASIGNACIONES'!$I$4:$I$339,0)),0)-$AD528)</f>
        <v/>
      </c>
      <c r="AF528" s="10">
        <f>IF($A528="","",IFERROR(INDEX('2_IMPORTAR_EJECUCION'!$F$9:$F$1208,MATCH($AN528,'2_IMPORTAR_EJECUCION'!$J$9:$J$1208,0)),0))</f>
        <v/>
      </c>
      <c r="AG528" s="10">
        <f>IF($A528="","",MAX(0,IFERROR(INDEX('2_IMPORTAR_EJECUCION'!$H$9:$H$1208,MATCH($AN528,'2_IMPORTAR_EJECUCION'!$J$9:$J$1208,0)),0)-$AF528))</f>
        <v/>
      </c>
      <c r="AH528" s="10">
        <f>IF($A528="","",$AF528+$AG528)</f>
        <v/>
      </c>
      <c r="AI528" s="6" t="n"/>
      <c r="AJ528" s="6" t="n"/>
      <c r="AK528" s="6" t="n"/>
      <c r="AL528" s="3">
        <f>IF($AK528="","",HYPERLINK(p_ruta_base_checklists&amp;$AK528,"abrir"))</f>
        <v/>
      </c>
      <c r="AM528" s="6" t="n"/>
      <c r="AN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1" t="n"/>
      <c r="K529" s="3" t="n"/>
      <c r="L529" s="10" t="n"/>
      <c r="M529" s="3">
        <f>IF($A529="","",IFERROR(INDEX('AJUSTES'!$B$4:$B$303,MATCH($AN529,'AJUSTES'!$A$4:$A$303,0)),IF($K529="","",$K529)))</f>
        <v/>
      </c>
      <c r="N529" s="3">
        <f>IF($A529="","",IFERROR(INDEX('CAT_ESTADOS_ERP'!$B$4:$B$7,MATCH(IFERROR(INDEX('2_IMPORTAR_EJECUCION'!$C$9:$C$1208,MATCH($AN529,'2_IMPORTAR_EJECUCION'!$J$9:$J$1208,0)),""),'CAT_ESTADOS_ERP'!$A$4:$A$7,0)),"Pendiente"))</f>
        <v/>
      </c>
      <c r="O529" s="3">
        <f>IF($J529="","",YEAR($J529+4-WEEKDAY($J529,2))&amp;"-S"&amp;TEXT(_xlfn.ISOWEEKNUM($J529),"00"))</f>
        <v/>
      </c>
      <c r="P529" s="3">
        <f>IF($J529="","",YEAR($J529))</f>
        <v/>
      </c>
      <c r="Q529" s="3">
        <f>IF($J529="","",MONTH($J529))</f>
        <v/>
      </c>
      <c r="R529" s="3">
        <f>IF($J529="","",INDEX(lista_dias,WEEKDAY($J529,2)))</f>
        <v/>
      </c>
      <c r="S529" s="3">
        <f>IF($I529="","",IFERROR(INDEX('CAT_TIPOS_OT'!$C$4:$C$7,MATCH($I529,'CAT_TIPOS_OT'!$A$4:$A$7,0)),"sin_clasificar"))</f>
        <v/>
      </c>
      <c r="T529" s="3">
        <f>IF($F529="","",IFERROR(INDEX('CAT_CENTROS_COSTO'!$E$4:$E$9,MATCH($F529,'CAT_CENTROS_COSTO'!$A$4:$A$9,0)),"(sin catálogo)"))</f>
        <v/>
      </c>
      <c r="U529" s="3">
        <f>IF($F529="","",IFERROR(INDEX('CAT_CENTROS_COSTO'!$D$4:$D$9,MATCH($F529,'CAT_CENTROS_COSTO'!$A$4:$A$9,0)),"(sin catálogo)"))</f>
        <v/>
      </c>
      <c r="V529" s="3">
        <f>IF($F529="","",IFERROR(INDEX('CAT_CENTROS_COSTO'!$F$4:$F$9,MATCH($F529,'CAT_CENTROS_COSTO'!$A$4:$A$9,0)),"(sin catálogo)"))</f>
        <v/>
      </c>
      <c r="W529" s="3">
        <f>IF($G529="","",IFERROR(INDEX('CAT_PUESTOS'!$B$4:$B$8,MATCH($G529,'CAT_PUESTOS'!$A$4:$A$8,0)),"(sin catálogo)"))</f>
        <v/>
      </c>
      <c r="X529" s="3">
        <f>IF($H529="","",IFERROR(INDEX('CAT_ACTIVIDADES'!$B$4:$B$8,MATCH($H529,'CAT_ACTIVIDADES'!$A$4:$A$8,0)),"(sin catálogo)"))</f>
        <v/>
      </c>
      <c r="Y529" s="12">
        <f>IF($J529="","",TODAY()-$J529)</f>
        <v/>
      </c>
      <c r="Z529" s="3">
        <f>IF($Y529="","",IF($Y529&lt;0,"FUTURO",IF($Y529&gt;p_dias_backlog_max,"BACKLOG","MES CORRIENTE")))</f>
        <v/>
      </c>
      <c r="AA529" s="3">
        <f>IF($Y529="",FALSE,AND($Y529&gt;p_dias_backlog_min,$Y529&lt;=p_dias_backlog_max))</f>
        <v/>
      </c>
      <c r="AB529" s="6" t="n"/>
      <c r="AC529" s="3">
        <f>IF($AB529="","",IFERROR(INDEX('ASIGNACIONES'!$F$4:$F$339,MATCH($O529&amp;"|"&amp;$R529&amp;"|"&amp;$AB529,'ASIGNACIONES'!$I$4:$I$339,0)),""))</f>
        <v/>
      </c>
      <c r="AD529" s="13">
        <f>IF($AB529="","",SUMIFS('ORDENES'!$M$4:$M$1203,'ORDENES'!$AB$4:$AB$1203,$AB529,'ORDENES'!$O$4:$O$1203,$O529,'ORDENES'!$R$4:$R$1203,$R529))</f>
        <v/>
      </c>
      <c r="AE529" s="13">
        <f>IF($AD529="","",p_factor_productividad*IFERROR(INDEX('ASIGNACIONES'!$H$4:$H$339,MATCH($O529&amp;"|"&amp;$R529&amp;"|"&amp;$AB529,'ASIGNACIONES'!$I$4:$I$339,0)),0)-$AD529)</f>
        <v/>
      </c>
      <c r="AF529" s="10">
        <f>IF($A529="","",IFERROR(INDEX('2_IMPORTAR_EJECUCION'!$F$9:$F$1208,MATCH($AN529,'2_IMPORTAR_EJECUCION'!$J$9:$J$1208,0)),0))</f>
        <v/>
      </c>
      <c r="AG529" s="10">
        <f>IF($A529="","",MAX(0,IFERROR(INDEX('2_IMPORTAR_EJECUCION'!$H$9:$H$1208,MATCH($AN529,'2_IMPORTAR_EJECUCION'!$J$9:$J$1208,0)),0)-$AF529))</f>
        <v/>
      </c>
      <c r="AH529" s="10">
        <f>IF($A529="","",$AF529+$AG529)</f>
        <v/>
      </c>
      <c r="AI529" s="6" t="n"/>
      <c r="AJ529" s="6" t="n"/>
      <c r="AK529" s="6" t="n"/>
      <c r="AL529" s="3">
        <f>IF($AK529="","",HYPERLINK(p_ruta_base_checklists&amp;$AK529,"abrir"))</f>
        <v/>
      </c>
      <c r="AM529" s="6" t="n"/>
      <c r="AN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1" t="n"/>
      <c r="K530" s="3" t="n"/>
      <c r="L530" s="10" t="n"/>
      <c r="M530" s="3">
        <f>IF($A530="","",IFERROR(INDEX('AJUSTES'!$B$4:$B$303,MATCH($AN530,'AJUSTES'!$A$4:$A$303,0)),IF($K530="","",$K530)))</f>
        <v/>
      </c>
      <c r="N530" s="3">
        <f>IF($A530="","",IFERROR(INDEX('CAT_ESTADOS_ERP'!$B$4:$B$7,MATCH(IFERROR(INDEX('2_IMPORTAR_EJECUCION'!$C$9:$C$1208,MATCH($AN530,'2_IMPORTAR_EJECUCION'!$J$9:$J$1208,0)),""),'CAT_ESTADOS_ERP'!$A$4:$A$7,0)),"Pendiente"))</f>
        <v/>
      </c>
      <c r="O530" s="3">
        <f>IF($J530="","",YEAR($J530+4-WEEKDAY($J530,2))&amp;"-S"&amp;TEXT(_xlfn.ISOWEEKNUM($J530),"00"))</f>
        <v/>
      </c>
      <c r="P530" s="3">
        <f>IF($J530="","",YEAR($J530))</f>
        <v/>
      </c>
      <c r="Q530" s="3">
        <f>IF($J530="","",MONTH($J530))</f>
        <v/>
      </c>
      <c r="R530" s="3">
        <f>IF($J530="","",INDEX(lista_dias,WEEKDAY($J530,2)))</f>
        <v/>
      </c>
      <c r="S530" s="3">
        <f>IF($I530="","",IFERROR(INDEX('CAT_TIPOS_OT'!$C$4:$C$7,MATCH($I530,'CAT_TIPOS_OT'!$A$4:$A$7,0)),"sin_clasificar"))</f>
        <v/>
      </c>
      <c r="T530" s="3">
        <f>IF($F530="","",IFERROR(INDEX('CAT_CENTROS_COSTO'!$E$4:$E$9,MATCH($F530,'CAT_CENTROS_COSTO'!$A$4:$A$9,0)),"(sin catálogo)"))</f>
        <v/>
      </c>
      <c r="U530" s="3">
        <f>IF($F530="","",IFERROR(INDEX('CAT_CENTROS_COSTO'!$D$4:$D$9,MATCH($F530,'CAT_CENTROS_COSTO'!$A$4:$A$9,0)),"(sin catálogo)"))</f>
        <v/>
      </c>
      <c r="V530" s="3">
        <f>IF($F530="","",IFERROR(INDEX('CAT_CENTROS_COSTO'!$F$4:$F$9,MATCH($F530,'CAT_CENTROS_COSTO'!$A$4:$A$9,0)),"(sin catálogo)"))</f>
        <v/>
      </c>
      <c r="W530" s="3">
        <f>IF($G530="","",IFERROR(INDEX('CAT_PUESTOS'!$B$4:$B$8,MATCH($G530,'CAT_PUESTOS'!$A$4:$A$8,0)),"(sin catálogo)"))</f>
        <v/>
      </c>
      <c r="X530" s="3">
        <f>IF($H530="","",IFERROR(INDEX('CAT_ACTIVIDADES'!$B$4:$B$8,MATCH($H530,'CAT_ACTIVIDADES'!$A$4:$A$8,0)),"(sin catálogo)"))</f>
        <v/>
      </c>
      <c r="Y530" s="12">
        <f>IF($J530="","",TODAY()-$J530)</f>
        <v/>
      </c>
      <c r="Z530" s="3">
        <f>IF($Y530="","",IF($Y530&lt;0,"FUTURO",IF($Y530&gt;p_dias_backlog_max,"BACKLOG","MES CORRIENTE")))</f>
        <v/>
      </c>
      <c r="AA530" s="3">
        <f>IF($Y530="",FALSE,AND($Y530&gt;p_dias_backlog_min,$Y530&lt;=p_dias_backlog_max))</f>
        <v/>
      </c>
      <c r="AB530" s="6" t="n"/>
      <c r="AC530" s="3">
        <f>IF($AB530="","",IFERROR(INDEX('ASIGNACIONES'!$F$4:$F$339,MATCH($O530&amp;"|"&amp;$R530&amp;"|"&amp;$AB530,'ASIGNACIONES'!$I$4:$I$339,0)),""))</f>
        <v/>
      </c>
      <c r="AD530" s="13">
        <f>IF($AB530="","",SUMIFS('ORDENES'!$M$4:$M$1203,'ORDENES'!$AB$4:$AB$1203,$AB530,'ORDENES'!$O$4:$O$1203,$O530,'ORDENES'!$R$4:$R$1203,$R530))</f>
        <v/>
      </c>
      <c r="AE530" s="13">
        <f>IF($AD530="","",p_factor_productividad*IFERROR(INDEX('ASIGNACIONES'!$H$4:$H$339,MATCH($O530&amp;"|"&amp;$R530&amp;"|"&amp;$AB530,'ASIGNACIONES'!$I$4:$I$339,0)),0)-$AD530)</f>
        <v/>
      </c>
      <c r="AF530" s="10">
        <f>IF($A530="","",IFERROR(INDEX('2_IMPORTAR_EJECUCION'!$F$9:$F$1208,MATCH($AN530,'2_IMPORTAR_EJECUCION'!$J$9:$J$1208,0)),0))</f>
        <v/>
      </c>
      <c r="AG530" s="10">
        <f>IF($A530="","",MAX(0,IFERROR(INDEX('2_IMPORTAR_EJECUCION'!$H$9:$H$1208,MATCH($AN530,'2_IMPORTAR_EJECUCION'!$J$9:$J$1208,0)),0)-$AF530))</f>
        <v/>
      </c>
      <c r="AH530" s="10">
        <f>IF($A530="","",$AF530+$AG530)</f>
        <v/>
      </c>
      <c r="AI530" s="6" t="n"/>
      <c r="AJ530" s="6" t="n"/>
      <c r="AK530" s="6" t="n"/>
      <c r="AL530" s="3">
        <f>IF($AK530="","",HYPERLINK(p_ruta_base_checklists&amp;$AK530,"abrir"))</f>
        <v/>
      </c>
      <c r="AM530" s="6" t="n"/>
      <c r="AN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1" t="n"/>
      <c r="K531" s="3" t="n"/>
      <c r="L531" s="10" t="n"/>
      <c r="M531" s="3">
        <f>IF($A531="","",IFERROR(INDEX('AJUSTES'!$B$4:$B$303,MATCH($AN531,'AJUSTES'!$A$4:$A$303,0)),IF($K531="","",$K531)))</f>
        <v/>
      </c>
      <c r="N531" s="3">
        <f>IF($A531="","",IFERROR(INDEX('CAT_ESTADOS_ERP'!$B$4:$B$7,MATCH(IFERROR(INDEX('2_IMPORTAR_EJECUCION'!$C$9:$C$1208,MATCH($AN531,'2_IMPORTAR_EJECUCION'!$J$9:$J$1208,0)),""),'CAT_ESTADOS_ERP'!$A$4:$A$7,0)),"Pendiente"))</f>
        <v/>
      </c>
      <c r="O531" s="3">
        <f>IF($J531="","",YEAR($J531+4-WEEKDAY($J531,2))&amp;"-S"&amp;TEXT(_xlfn.ISOWEEKNUM($J531),"00"))</f>
        <v/>
      </c>
      <c r="P531" s="3">
        <f>IF($J531="","",YEAR($J531))</f>
        <v/>
      </c>
      <c r="Q531" s="3">
        <f>IF($J531="","",MONTH($J531))</f>
        <v/>
      </c>
      <c r="R531" s="3">
        <f>IF($J531="","",INDEX(lista_dias,WEEKDAY($J531,2)))</f>
        <v/>
      </c>
      <c r="S531" s="3">
        <f>IF($I531="","",IFERROR(INDEX('CAT_TIPOS_OT'!$C$4:$C$7,MATCH($I531,'CAT_TIPOS_OT'!$A$4:$A$7,0)),"sin_clasificar"))</f>
        <v/>
      </c>
      <c r="T531" s="3">
        <f>IF($F531="","",IFERROR(INDEX('CAT_CENTROS_COSTO'!$E$4:$E$9,MATCH($F531,'CAT_CENTROS_COSTO'!$A$4:$A$9,0)),"(sin catálogo)"))</f>
        <v/>
      </c>
      <c r="U531" s="3">
        <f>IF($F531="","",IFERROR(INDEX('CAT_CENTROS_COSTO'!$D$4:$D$9,MATCH($F531,'CAT_CENTROS_COSTO'!$A$4:$A$9,0)),"(sin catálogo)"))</f>
        <v/>
      </c>
      <c r="V531" s="3">
        <f>IF($F531="","",IFERROR(INDEX('CAT_CENTROS_COSTO'!$F$4:$F$9,MATCH($F531,'CAT_CENTROS_COSTO'!$A$4:$A$9,0)),"(sin catálogo)"))</f>
        <v/>
      </c>
      <c r="W531" s="3">
        <f>IF($G531="","",IFERROR(INDEX('CAT_PUESTOS'!$B$4:$B$8,MATCH($G531,'CAT_PUESTOS'!$A$4:$A$8,0)),"(sin catálogo)"))</f>
        <v/>
      </c>
      <c r="X531" s="3">
        <f>IF($H531="","",IFERROR(INDEX('CAT_ACTIVIDADES'!$B$4:$B$8,MATCH($H531,'CAT_ACTIVIDADES'!$A$4:$A$8,0)),"(sin catálogo)"))</f>
        <v/>
      </c>
      <c r="Y531" s="12">
        <f>IF($J531="","",TODAY()-$J531)</f>
        <v/>
      </c>
      <c r="Z531" s="3">
        <f>IF($Y531="","",IF($Y531&lt;0,"FUTURO",IF($Y531&gt;p_dias_backlog_max,"BACKLOG","MES CORRIENTE")))</f>
        <v/>
      </c>
      <c r="AA531" s="3">
        <f>IF($Y531="",FALSE,AND($Y531&gt;p_dias_backlog_min,$Y531&lt;=p_dias_backlog_max))</f>
        <v/>
      </c>
      <c r="AB531" s="6" t="n"/>
      <c r="AC531" s="3">
        <f>IF($AB531="","",IFERROR(INDEX('ASIGNACIONES'!$F$4:$F$339,MATCH($O531&amp;"|"&amp;$R531&amp;"|"&amp;$AB531,'ASIGNACIONES'!$I$4:$I$339,0)),""))</f>
        <v/>
      </c>
      <c r="AD531" s="13">
        <f>IF($AB531="","",SUMIFS('ORDENES'!$M$4:$M$1203,'ORDENES'!$AB$4:$AB$1203,$AB531,'ORDENES'!$O$4:$O$1203,$O531,'ORDENES'!$R$4:$R$1203,$R531))</f>
        <v/>
      </c>
      <c r="AE531" s="13">
        <f>IF($AD531="","",p_factor_productividad*IFERROR(INDEX('ASIGNACIONES'!$H$4:$H$339,MATCH($O531&amp;"|"&amp;$R531&amp;"|"&amp;$AB531,'ASIGNACIONES'!$I$4:$I$339,0)),0)-$AD531)</f>
        <v/>
      </c>
      <c r="AF531" s="10">
        <f>IF($A531="","",IFERROR(INDEX('2_IMPORTAR_EJECUCION'!$F$9:$F$1208,MATCH($AN531,'2_IMPORTAR_EJECUCION'!$J$9:$J$1208,0)),0))</f>
        <v/>
      </c>
      <c r="AG531" s="10">
        <f>IF($A531="","",MAX(0,IFERROR(INDEX('2_IMPORTAR_EJECUCION'!$H$9:$H$1208,MATCH($AN531,'2_IMPORTAR_EJECUCION'!$J$9:$J$1208,0)),0)-$AF531))</f>
        <v/>
      </c>
      <c r="AH531" s="10">
        <f>IF($A531="","",$AF531+$AG531)</f>
        <v/>
      </c>
      <c r="AI531" s="6" t="n"/>
      <c r="AJ531" s="6" t="n"/>
      <c r="AK531" s="6" t="n"/>
      <c r="AL531" s="3">
        <f>IF($AK531="","",HYPERLINK(p_ruta_base_checklists&amp;$AK531,"abrir"))</f>
        <v/>
      </c>
      <c r="AM531" s="6" t="n"/>
      <c r="AN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1" t="n"/>
      <c r="K532" s="3" t="n"/>
      <c r="L532" s="10" t="n"/>
      <c r="M532" s="3">
        <f>IF($A532="","",IFERROR(INDEX('AJUSTES'!$B$4:$B$303,MATCH($AN532,'AJUSTES'!$A$4:$A$303,0)),IF($K532="","",$K532)))</f>
        <v/>
      </c>
      <c r="N532" s="3">
        <f>IF($A532="","",IFERROR(INDEX('CAT_ESTADOS_ERP'!$B$4:$B$7,MATCH(IFERROR(INDEX('2_IMPORTAR_EJECUCION'!$C$9:$C$1208,MATCH($AN532,'2_IMPORTAR_EJECUCION'!$J$9:$J$1208,0)),""),'CAT_ESTADOS_ERP'!$A$4:$A$7,0)),"Pendiente"))</f>
        <v/>
      </c>
      <c r="O532" s="3">
        <f>IF($J532="","",YEAR($J532+4-WEEKDAY($J532,2))&amp;"-S"&amp;TEXT(_xlfn.ISOWEEKNUM($J532),"00"))</f>
        <v/>
      </c>
      <c r="P532" s="3">
        <f>IF($J532="","",YEAR($J532))</f>
        <v/>
      </c>
      <c r="Q532" s="3">
        <f>IF($J532="","",MONTH($J532))</f>
        <v/>
      </c>
      <c r="R532" s="3">
        <f>IF($J532="","",INDEX(lista_dias,WEEKDAY($J532,2)))</f>
        <v/>
      </c>
      <c r="S532" s="3">
        <f>IF($I532="","",IFERROR(INDEX('CAT_TIPOS_OT'!$C$4:$C$7,MATCH($I532,'CAT_TIPOS_OT'!$A$4:$A$7,0)),"sin_clasificar"))</f>
        <v/>
      </c>
      <c r="T532" s="3">
        <f>IF($F532="","",IFERROR(INDEX('CAT_CENTROS_COSTO'!$E$4:$E$9,MATCH($F532,'CAT_CENTROS_COSTO'!$A$4:$A$9,0)),"(sin catálogo)"))</f>
        <v/>
      </c>
      <c r="U532" s="3">
        <f>IF($F532="","",IFERROR(INDEX('CAT_CENTROS_COSTO'!$D$4:$D$9,MATCH($F532,'CAT_CENTROS_COSTO'!$A$4:$A$9,0)),"(sin catálogo)"))</f>
        <v/>
      </c>
      <c r="V532" s="3">
        <f>IF($F532="","",IFERROR(INDEX('CAT_CENTROS_COSTO'!$F$4:$F$9,MATCH($F532,'CAT_CENTROS_COSTO'!$A$4:$A$9,0)),"(sin catálogo)"))</f>
        <v/>
      </c>
      <c r="W532" s="3">
        <f>IF($G532="","",IFERROR(INDEX('CAT_PUESTOS'!$B$4:$B$8,MATCH($G532,'CAT_PUESTOS'!$A$4:$A$8,0)),"(sin catálogo)"))</f>
        <v/>
      </c>
      <c r="X532" s="3">
        <f>IF($H532="","",IFERROR(INDEX('CAT_ACTIVIDADES'!$B$4:$B$8,MATCH($H532,'CAT_ACTIVIDADES'!$A$4:$A$8,0)),"(sin catálogo)"))</f>
        <v/>
      </c>
      <c r="Y532" s="12">
        <f>IF($J532="","",TODAY()-$J532)</f>
        <v/>
      </c>
      <c r="Z532" s="3">
        <f>IF($Y532="","",IF($Y532&lt;0,"FUTURO",IF($Y532&gt;p_dias_backlog_max,"BACKLOG","MES CORRIENTE")))</f>
        <v/>
      </c>
      <c r="AA532" s="3">
        <f>IF($Y532="",FALSE,AND($Y532&gt;p_dias_backlog_min,$Y532&lt;=p_dias_backlog_max))</f>
        <v/>
      </c>
      <c r="AB532" s="6" t="n"/>
      <c r="AC532" s="3">
        <f>IF($AB532="","",IFERROR(INDEX('ASIGNACIONES'!$F$4:$F$339,MATCH($O532&amp;"|"&amp;$R532&amp;"|"&amp;$AB532,'ASIGNACIONES'!$I$4:$I$339,0)),""))</f>
        <v/>
      </c>
      <c r="AD532" s="13">
        <f>IF($AB532="","",SUMIFS('ORDENES'!$M$4:$M$1203,'ORDENES'!$AB$4:$AB$1203,$AB532,'ORDENES'!$O$4:$O$1203,$O532,'ORDENES'!$R$4:$R$1203,$R532))</f>
        <v/>
      </c>
      <c r="AE532" s="13">
        <f>IF($AD532="","",p_factor_productividad*IFERROR(INDEX('ASIGNACIONES'!$H$4:$H$339,MATCH($O532&amp;"|"&amp;$R532&amp;"|"&amp;$AB532,'ASIGNACIONES'!$I$4:$I$339,0)),0)-$AD532)</f>
        <v/>
      </c>
      <c r="AF532" s="10">
        <f>IF($A532="","",IFERROR(INDEX('2_IMPORTAR_EJECUCION'!$F$9:$F$1208,MATCH($AN532,'2_IMPORTAR_EJECUCION'!$J$9:$J$1208,0)),0))</f>
        <v/>
      </c>
      <c r="AG532" s="10">
        <f>IF($A532="","",MAX(0,IFERROR(INDEX('2_IMPORTAR_EJECUCION'!$H$9:$H$1208,MATCH($AN532,'2_IMPORTAR_EJECUCION'!$J$9:$J$1208,0)),0)-$AF532))</f>
        <v/>
      </c>
      <c r="AH532" s="10">
        <f>IF($A532="","",$AF532+$AG532)</f>
        <v/>
      </c>
      <c r="AI532" s="6" t="n"/>
      <c r="AJ532" s="6" t="n"/>
      <c r="AK532" s="6" t="n"/>
      <c r="AL532" s="3">
        <f>IF($AK532="","",HYPERLINK(p_ruta_base_checklists&amp;$AK532,"abrir"))</f>
        <v/>
      </c>
      <c r="AM532" s="6" t="n"/>
      <c r="AN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1" t="n"/>
      <c r="K533" s="3" t="n"/>
      <c r="L533" s="10" t="n"/>
      <c r="M533" s="3">
        <f>IF($A533="","",IFERROR(INDEX('AJUSTES'!$B$4:$B$303,MATCH($AN533,'AJUSTES'!$A$4:$A$303,0)),IF($K533="","",$K533)))</f>
        <v/>
      </c>
      <c r="N533" s="3">
        <f>IF($A533="","",IFERROR(INDEX('CAT_ESTADOS_ERP'!$B$4:$B$7,MATCH(IFERROR(INDEX('2_IMPORTAR_EJECUCION'!$C$9:$C$1208,MATCH($AN533,'2_IMPORTAR_EJECUCION'!$J$9:$J$1208,0)),""),'CAT_ESTADOS_ERP'!$A$4:$A$7,0)),"Pendiente"))</f>
        <v/>
      </c>
      <c r="O533" s="3">
        <f>IF($J533="","",YEAR($J533+4-WEEKDAY($J533,2))&amp;"-S"&amp;TEXT(_xlfn.ISOWEEKNUM($J533),"00"))</f>
        <v/>
      </c>
      <c r="P533" s="3">
        <f>IF($J533="","",YEAR($J533))</f>
        <v/>
      </c>
      <c r="Q533" s="3">
        <f>IF($J533="","",MONTH($J533))</f>
        <v/>
      </c>
      <c r="R533" s="3">
        <f>IF($J533="","",INDEX(lista_dias,WEEKDAY($J533,2)))</f>
        <v/>
      </c>
      <c r="S533" s="3">
        <f>IF($I533="","",IFERROR(INDEX('CAT_TIPOS_OT'!$C$4:$C$7,MATCH($I533,'CAT_TIPOS_OT'!$A$4:$A$7,0)),"sin_clasificar"))</f>
        <v/>
      </c>
      <c r="T533" s="3">
        <f>IF($F533="","",IFERROR(INDEX('CAT_CENTROS_COSTO'!$E$4:$E$9,MATCH($F533,'CAT_CENTROS_COSTO'!$A$4:$A$9,0)),"(sin catálogo)"))</f>
        <v/>
      </c>
      <c r="U533" s="3">
        <f>IF($F533="","",IFERROR(INDEX('CAT_CENTROS_COSTO'!$D$4:$D$9,MATCH($F533,'CAT_CENTROS_COSTO'!$A$4:$A$9,0)),"(sin catálogo)"))</f>
        <v/>
      </c>
      <c r="V533" s="3">
        <f>IF($F533="","",IFERROR(INDEX('CAT_CENTROS_COSTO'!$F$4:$F$9,MATCH($F533,'CAT_CENTROS_COSTO'!$A$4:$A$9,0)),"(sin catálogo)"))</f>
        <v/>
      </c>
      <c r="W533" s="3">
        <f>IF($G533="","",IFERROR(INDEX('CAT_PUESTOS'!$B$4:$B$8,MATCH($G533,'CAT_PUESTOS'!$A$4:$A$8,0)),"(sin catálogo)"))</f>
        <v/>
      </c>
      <c r="X533" s="3">
        <f>IF($H533="","",IFERROR(INDEX('CAT_ACTIVIDADES'!$B$4:$B$8,MATCH($H533,'CAT_ACTIVIDADES'!$A$4:$A$8,0)),"(sin catálogo)"))</f>
        <v/>
      </c>
      <c r="Y533" s="12">
        <f>IF($J533="","",TODAY()-$J533)</f>
        <v/>
      </c>
      <c r="Z533" s="3">
        <f>IF($Y533="","",IF($Y533&lt;0,"FUTURO",IF($Y533&gt;p_dias_backlog_max,"BACKLOG","MES CORRIENTE")))</f>
        <v/>
      </c>
      <c r="AA533" s="3">
        <f>IF($Y533="",FALSE,AND($Y533&gt;p_dias_backlog_min,$Y533&lt;=p_dias_backlog_max))</f>
        <v/>
      </c>
      <c r="AB533" s="6" t="n"/>
      <c r="AC533" s="3">
        <f>IF($AB533="","",IFERROR(INDEX('ASIGNACIONES'!$F$4:$F$339,MATCH($O533&amp;"|"&amp;$R533&amp;"|"&amp;$AB533,'ASIGNACIONES'!$I$4:$I$339,0)),""))</f>
        <v/>
      </c>
      <c r="AD533" s="13">
        <f>IF($AB533="","",SUMIFS('ORDENES'!$M$4:$M$1203,'ORDENES'!$AB$4:$AB$1203,$AB533,'ORDENES'!$O$4:$O$1203,$O533,'ORDENES'!$R$4:$R$1203,$R533))</f>
        <v/>
      </c>
      <c r="AE533" s="13">
        <f>IF($AD533="","",p_factor_productividad*IFERROR(INDEX('ASIGNACIONES'!$H$4:$H$339,MATCH($O533&amp;"|"&amp;$R533&amp;"|"&amp;$AB533,'ASIGNACIONES'!$I$4:$I$339,0)),0)-$AD533)</f>
        <v/>
      </c>
      <c r="AF533" s="10">
        <f>IF($A533="","",IFERROR(INDEX('2_IMPORTAR_EJECUCION'!$F$9:$F$1208,MATCH($AN533,'2_IMPORTAR_EJECUCION'!$J$9:$J$1208,0)),0))</f>
        <v/>
      </c>
      <c r="AG533" s="10">
        <f>IF($A533="","",MAX(0,IFERROR(INDEX('2_IMPORTAR_EJECUCION'!$H$9:$H$1208,MATCH($AN533,'2_IMPORTAR_EJECUCION'!$J$9:$J$1208,0)),0)-$AF533))</f>
        <v/>
      </c>
      <c r="AH533" s="10">
        <f>IF($A533="","",$AF533+$AG533)</f>
        <v/>
      </c>
      <c r="AI533" s="6" t="n"/>
      <c r="AJ533" s="6" t="n"/>
      <c r="AK533" s="6" t="n"/>
      <c r="AL533" s="3">
        <f>IF($AK533="","",HYPERLINK(p_ruta_base_checklists&amp;$AK533,"abrir"))</f>
        <v/>
      </c>
      <c r="AM533" s="6" t="n"/>
      <c r="AN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1" t="n"/>
      <c r="K534" s="3" t="n"/>
      <c r="L534" s="10" t="n"/>
      <c r="M534" s="3">
        <f>IF($A534="","",IFERROR(INDEX('AJUSTES'!$B$4:$B$303,MATCH($AN534,'AJUSTES'!$A$4:$A$303,0)),IF($K534="","",$K534)))</f>
        <v/>
      </c>
      <c r="N534" s="3">
        <f>IF($A534="","",IFERROR(INDEX('CAT_ESTADOS_ERP'!$B$4:$B$7,MATCH(IFERROR(INDEX('2_IMPORTAR_EJECUCION'!$C$9:$C$1208,MATCH($AN534,'2_IMPORTAR_EJECUCION'!$J$9:$J$1208,0)),""),'CAT_ESTADOS_ERP'!$A$4:$A$7,0)),"Pendiente"))</f>
        <v/>
      </c>
      <c r="O534" s="3">
        <f>IF($J534="","",YEAR($J534+4-WEEKDAY($J534,2))&amp;"-S"&amp;TEXT(_xlfn.ISOWEEKNUM($J534),"00"))</f>
        <v/>
      </c>
      <c r="P534" s="3">
        <f>IF($J534="","",YEAR($J534))</f>
        <v/>
      </c>
      <c r="Q534" s="3">
        <f>IF($J534="","",MONTH($J534))</f>
        <v/>
      </c>
      <c r="R534" s="3">
        <f>IF($J534="","",INDEX(lista_dias,WEEKDAY($J534,2)))</f>
        <v/>
      </c>
      <c r="S534" s="3">
        <f>IF($I534="","",IFERROR(INDEX('CAT_TIPOS_OT'!$C$4:$C$7,MATCH($I534,'CAT_TIPOS_OT'!$A$4:$A$7,0)),"sin_clasificar"))</f>
        <v/>
      </c>
      <c r="T534" s="3">
        <f>IF($F534="","",IFERROR(INDEX('CAT_CENTROS_COSTO'!$E$4:$E$9,MATCH($F534,'CAT_CENTROS_COSTO'!$A$4:$A$9,0)),"(sin catálogo)"))</f>
        <v/>
      </c>
      <c r="U534" s="3">
        <f>IF($F534="","",IFERROR(INDEX('CAT_CENTROS_COSTO'!$D$4:$D$9,MATCH($F534,'CAT_CENTROS_COSTO'!$A$4:$A$9,0)),"(sin catálogo)"))</f>
        <v/>
      </c>
      <c r="V534" s="3">
        <f>IF($F534="","",IFERROR(INDEX('CAT_CENTROS_COSTO'!$F$4:$F$9,MATCH($F534,'CAT_CENTROS_COSTO'!$A$4:$A$9,0)),"(sin catálogo)"))</f>
        <v/>
      </c>
      <c r="W534" s="3">
        <f>IF($G534="","",IFERROR(INDEX('CAT_PUESTOS'!$B$4:$B$8,MATCH($G534,'CAT_PUESTOS'!$A$4:$A$8,0)),"(sin catálogo)"))</f>
        <v/>
      </c>
      <c r="X534" s="3">
        <f>IF($H534="","",IFERROR(INDEX('CAT_ACTIVIDADES'!$B$4:$B$8,MATCH($H534,'CAT_ACTIVIDADES'!$A$4:$A$8,0)),"(sin catálogo)"))</f>
        <v/>
      </c>
      <c r="Y534" s="12">
        <f>IF($J534="","",TODAY()-$J534)</f>
        <v/>
      </c>
      <c r="Z534" s="3">
        <f>IF($Y534="","",IF($Y534&lt;0,"FUTURO",IF($Y534&gt;p_dias_backlog_max,"BACKLOG","MES CORRIENTE")))</f>
        <v/>
      </c>
      <c r="AA534" s="3">
        <f>IF($Y534="",FALSE,AND($Y534&gt;p_dias_backlog_min,$Y534&lt;=p_dias_backlog_max))</f>
        <v/>
      </c>
      <c r="AB534" s="6" t="n"/>
      <c r="AC534" s="3">
        <f>IF($AB534="","",IFERROR(INDEX('ASIGNACIONES'!$F$4:$F$339,MATCH($O534&amp;"|"&amp;$R534&amp;"|"&amp;$AB534,'ASIGNACIONES'!$I$4:$I$339,0)),""))</f>
        <v/>
      </c>
      <c r="AD534" s="13">
        <f>IF($AB534="","",SUMIFS('ORDENES'!$M$4:$M$1203,'ORDENES'!$AB$4:$AB$1203,$AB534,'ORDENES'!$O$4:$O$1203,$O534,'ORDENES'!$R$4:$R$1203,$R534))</f>
        <v/>
      </c>
      <c r="AE534" s="13">
        <f>IF($AD534="","",p_factor_productividad*IFERROR(INDEX('ASIGNACIONES'!$H$4:$H$339,MATCH($O534&amp;"|"&amp;$R534&amp;"|"&amp;$AB534,'ASIGNACIONES'!$I$4:$I$339,0)),0)-$AD534)</f>
        <v/>
      </c>
      <c r="AF534" s="10">
        <f>IF($A534="","",IFERROR(INDEX('2_IMPORTAR_EJECUCION'!$F$9:$F$1208,MATCH($AN534,'2_IMPORTAR_EJECUCION'!$J$9:$J$1208,0)),0))</f>
        <v/>
      </c>
      <c r="AG534" s="10">
        <f>IF($A534="","",MAX(0,IFERROR(INDEX('2_IMPORTAR_EJECUCION'!$H$9:$H$1208,MATCH($AN534,'2_IMPORTAR_EJECUCION'!$J$9:$J$1208,0)),0)-$AF534))</f>
        <v/>
      </c>
      <c r="AH534" s="10">
        <f>IF($A534="","",$AF534+$AG534)</f>
        <v/>
      </c>
      <c r="AI534" s="6" t="n"/>
      <c r="AJ534" s="6" t="n"/>
      <c r="AK534" s="6" t="n"/>
      <c r="AL534" s="3">
        <f>IF($AK534="","",HYPERLINK(p_ruta_base_checklists&amp;$AK534,"abrir"))</f>
        <v/>
      </c>
      <c r="AM534" s="6" t="n"/>
      <c r="AN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1" t="n"/>
      <c r="K535" s="3" t="n"/>
      <c r="L535" s="10" t="n"/>
      <c r="M535" s="3">
        <f>IF($A535="","",IFERROR(INDEX('AJUSTES'!$B$4:$B$303,MATCH($AN535,'AJUSTES'!$A$4:$A$303,0)),IF($K535="","",$K535)))</f>
        <v/>
      </c>
      <c r="N535" s="3">
        <f>IF($A535="","",IFERROR(INDEX('CAT_ESTADOS_ERP'!$B$4:$B$7,MATCH(IFERROR(INDEX('2_IMPORTAR_EJECUCION'!$C$9:$C$1208,MATCH($AN535,'2_IMPORTAR_EJECUCION'!$J$9:$J$1208,0)),""),'CAT_ESTADOS_ERP'!$A$4:$A$7,0)),"Pendiente"))</f>
        <v/>
      </c>
      <c r="O535" s="3">
        <f>IF($J535="","",YEAR($J535+4-WEEKDAY($J535,2))&amp;"-S"&amp;TEXT(_xlfn.ISOWEEKNUM($J535),"00"))</f>
        <v/>
      </c>
      <c r="P535" s="3">
        <f>IF($J535="","",YEAR($J535))</f>
        <v/>
      </c>
      <c r="Q535" s="3">
        <f>IF($J535="","",MONTH($J535))</f>
        <v/>
      </c>
      <c r="R535" s="3">
        <f>IF($J535="","",INDEX(lista_dias,WEEKDAY($J535,2)))</f>
        <v/>
      </c>
      <c r="S535" s="3">
        <f>IF($I535="","",IFERROR(INDEX('CAT_TIPOS_OT'!$C$4:$C$7,MATCH($I535,'CAT_TIPOS_OT'!$A$4:$A$7,0)),"sin_clasificar"))</f>
        <v/>
      </c>
      <c r="T535" s="3">
        <f>IF($F535="","",IFERROR(INDEX('CAT_CENTROS_COSTO'!$E$4:$E$9,MATCH($F535,'CAT_CENTROS_COSTO'!$A$4:$A$9,0)),"(sin catálogo)"))</f>
        <v/>
      </c>
      <c r="U535" s="3">
        <f>IF($F535="","",IFERROR(INDEX('CAT_CENTROS_COSTO'!$D$4:$D$9,MATCH($F535,'CAT_CENTROS_COSTO'!$A$4:$A$9,0)),"(sin catálogo)"))</f>
        <v/>
      </c>
      <c r="V535" s="3">
        <f>IF($F535="","",IFERROR(INDEX('CAT_CENTROS_COSTO'!$F$4:$F$9,MATCH($F535,'CAT_CENTROS_COSTO'!$A$4:$A$9,0)),"(sin catálogo)"))</f>
        <v/>
      </c>
      <c r="W535" s="3">
        <f>IF($G535="","",IFERROR(INDEX('CAT_PUESTOS'!$B$4:$B$8,MATCH($G535,'CAT_PUESTOS'!$A$4:$A$8,0)),"(sin catálogo)"))</f>
        <v/>
      </c>
      <c r="X535" s="3">
        <f>IF($H535="","",IFERROR(INDEX('CAT_ACTIVIDADES'!$B$4:$B$8,MATCH($H535,'CAT_ACTIVIDADES'!$A$4:$A$8,0)),"(sin catálogo)"))</f>
        <v/>
      </c>
      <c r="Y535" s="12">
        <f>IF($J535="","",TODAY()-$J535)</f>
        <v/>
      </c>
      <c r="Z535" s="3">
        <f>IF($Y535="","",IF($Y535&lt;0,"FUTURO",IF($Y535&gt;p_dias_backlog_max,"BACKLOG","MES CORRIENTE")))</f>
        <v/>
      </c>
      <c r="AA535" s="3">
        <f>IF($Y535="",FALSE,AND($Y535&gt;p_dias_backlog_min,$Y535&lt;=p_dias_backlog_max))</f>
        <v/>
      </c>
      <c r="AB535" s="6" t="n"/>
      <c r="AC535" s="3">
        <f>IF($AB535="","",IFERROR(INDEX('ASIGNACIONES'!$F$4:$F$339,MATCH($O535&amp;"|"&amp;$R535&amp;"|"&amp;$AB535,'ASIGNACIONES'!$I$4:$I$339,0)),""))</f>
        <v/>
      </c>
      <c r="AD535" s="13">
        <f>IF($AB535="","",SUMIFS('ORDENES'!$M$4:$M$1203,'ORDENES'!$AB$4:$AB$1203,$AB535,'ORDENES'!$O$4:$O$1203,$O535,'ORDENES'!$R$4:$R$1203,$R535))</f>
        <v/>
      </c>
      <c r="AE535" s="13">
        <f>IF($AD535="","",p_factor_productividad*IFERROR(INDEX('ASIGNACIONES'!$H$4:$H$339,MATCH($O535&amp;"|"&amp;$R535&amp;"|"&amp;$AB535,'ASIGNACIONES'!$I$4:$I$339,0)),0)-$AD535)</f>
        <v/>
      </c>
      <c r="AF535" s="10">
        <f>IF($A535="","",IFERROR(INDEX('2_IMPORTAR_EJECUCION'!$F$9:$F$1208,MATCH($AN535,'2_IMPORTAR_EJECUCION'!$J$9:$J$1208,0)),0))</f>
        <v/>
      </c>
      <c r="AG535" s="10">
        <f>IF($A535="","",MAX(0,IFERROR(INDEX('2_IMPORTAR_EJECUCION'!$H$9:$H$1208,MATCH($AN535,'2_IMPORTAR_EJECUCION'!$J$9:$J$1208,0)),0)-$AF535))</f>
        <v/>
      </c>
      <c r="AH535" s="10">
        <f>IF($A535="","",$AF535+$AG535)</f>
        <v/>
      </c>
      <c r="AI535" s="6" t="n"/>
      <c r="AJ535" s="6" t="n"/>
      <c r="AK535" s="6" t="n"/>
      <c r="AL535" s="3">
        <f>IF($AK535="","",HYPERLINK(p_ruta_base_checklists&amp;$AK535,"abrir"))</f>
        <v/>
      </c>
      <c r="AM535" s="6" t="n"/>
      <c r="AN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1" t="n"/>
      <c r="K536" s="3" t="n"/>
      <c r="L536" s="10" t="n"/>
      <c r="M536" s="3">
        <f>IF($A536="","",IFERROR(INDEX('AJUSTES'!$B$4:$B$303,MATCH($AN536,'AJUSTES'!$A$4:$A$303,0)),IF($K536="","",$K536)))</f>
        <v/>
      </c>
      <c r="N536" s="3">
        <f>IF($A536="","",IFERROR(INDEX('CAT_ESTADOS_ERP'!$B$4:$B$7,MATCH(IFERROR(INDEX('2_IMPORTAR_EJECUCION'!$C$9:$C$1208,MATCH($AN536,'2_IMPORTAR_EJECUCION'!$J$9:$J$1208,0)),""),'CAT_ESTADOS_ERP'!$A$4:$A$7,0)),"Pendiente"))</f>
        <v/>
      </c>
      <c r="O536" s="3">
        <f>IF($J536="","",YEAR($J536+4-WEEKDAY($J536,2))&amp;"-S"&amp;TEXT(_xlfn.ISOWEEKNUM($J536),"00"))</f>
        <v/>
      </c>
      <c r="P536" s="3">
        <f>IF($J536="","",YEAR($J536))</f>
        <v/>
      </c>
      <c r="Q536" s="3">
        <f>IF($J536="","",MONTH($J536))</f>
        <v/>
      </c>
      <c r="R536" s="3">
        <f>IF($J536="","",INDEX(lista_dias,WEEKDAY($J536,2)))</f>
        <v/>
      </c>
      <c r="S536" s="3">
        <f>IF($I536="","",IFERROR(INDEX('CAT_TIPOS_OT'!$C$4:$C$7,MATCH($I536,'CAT_TIPOS_OT'!$A$4:$A$7,0)),"sin_clasificar"))</f>
        <v/>
      </c>
      <c r="T536" s="3">
        <f>IF($F536="","",IFERROR(INDEX('CAT_CENTROS_COSTO'!$E$4:$E$9,MATCH($F536,'CAT_CENTROS_COSTO'!$A$4:$A$9,0)),"(sin catálogo)"))</f>
        <v/>
      </c>
      <c r="U536" s="3">
        <f>IF($F536="","",IFERROR(INDEX('CAT_CENTROS_COSTO'!$D$4:$D$9,MATCH($F536,'CAT_CENTROS_COSTO'!$A$4:$A$9,0)),"(sin catálogo)"))</f>
        <v/>
      </c>
      <c r="V536" s="3">
        <f>IF($F536="","",IFERROR(INDEX('CAT_CENTROS_COSTO'!$F$4:$F$9,MATCH($F536,'CAT_CENTROS_COSTO'!$A$4:$A$9,0)),"(sin catálogo)"))</f>
        <v/>
      </c>
      <c r="W536" s="3">
        <f>IF($G536="","",IFERROR(INDEX('CAT_PUESTOS'!$B$4:$B$8,MATCH($G536,'CAT_PUESTOS'!$A$4:$A$8,0)),"(sin catálogo)"))</f>
        <v/>
      </c>
      <c r="X536" s="3">
        <f>IF($H536="","",IFERROR(INDEX('CAT_ACTIVIDADES'!$B$4:$B$8,MATCH($H536,'CAT_ACTIVIDADES'!$A$4:$A$8,0)),"(sin catálogo)"))</f>
        <v/>
      </c>
      <c r="Y536" s="12">
        <f>IF($J536="","",TODAY()-$J536)</f>
        <v/>
      </c>
      <c r="Z536" s="3">
        <f>IF($Y536="","",IF($Y536&lt;0,"FUTURO",IF($Y536&gt;p_dias_backlog_max,"BACKLOG","MES CORRIENTE")))</f>
        <v/>
      </c>
      <c r="AA536" s="3">
        <f>IF($Y536="",FALSE,AND($Y536&gt;p_dias_backlog_min,$Y536&lt;=p_dias_backlog_max))</f>
        <v/>
      </c>
      <c r="AB536" s="6" t="n"/>
      <c r="AC536" s="3">
        <f>IF($AB536="","",IFERROR(INDEX('ASIGNACIONES'!$F$4:$F$339,MATCH($O536&amp;"|"&amp;$R536&amp;"|"&amp;$AB536,'ASIGNACIONES'!$I$4:$I$339,0)),""))</f>
        <v/>
      </c>
      <c r="AD536" s="13">
        <f>IF($AB536="","",SUMIFS('ORDENES'!$M$4:$M$1203,'ORDENES'!$AB$4:$AB$1203,$AB536,'ORDENES'!$O$4:$O$1203,$O536,'ORDENES'!$R$4:$R$1203,$R536))</f>
        <v/>
      </c>
      <c r="AE536" s="13">
        <f>IF($AD536="","",p_factor_productividad*IFERROR(INDEX('ASIGNACIONES'!$H$4:$H$339,MATCH($O536&amp;"|"&amp;$R536&amp;"|"&amp;$AB536,'ASIGNACIONES'!$I$4:$I$339,0)),0)-$AD536)</f>
        <v/>
      </c>
      <c r="AF536" s="10">
        <f>IF($A536="","",IFERROR(INDEX('2_IMPORTAR_EJECUCION'!$F$9:$F$1208,MATCH($AN536,'2_IMPORTAR_EJECUCION'!$J$9:$J$1208,0)),0))</f>
        <v/>
      </c>
      <c r="AG536" s="10">
        <f>IF($A536="","",MAX(0,IFERROR(INDEX('2_IMPORTAR_EJECUCION'!$H$9:$H$1208,MATCH($AN536,'2_IMPORTAR_EJECUCION'!$J$9:$J$1208,0)),0)-$AF536))</f>
        <v/>
      </c>
      <c r="AH536" s="10">
        <f>IF($A536="","",$AF536+$AG536)</f>
        <v/>
      </c>
      <c r="AI536" s="6" t="n"/>
      <c r="AJ536" s="6" t="n"/>
      <c r="AK536" s="6" t="n"/>
      <c r="AL536" s="3">
        <f>IF($AK536="","",HYPERLINK(p_ruta_base_checklists&amp;$AK536,"abrir"))</f>
        <v/>
      </c>
      <c r="AM536" s="6" t="n"/>
      <c r="AN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1" t="n"/>
      <c r="K537" s="3" t="n"/>
      <c r="L537" s="10" t="n"/>
      <c r="M537" s="3">
        <f>IF($A537="","",IFERROR(INDEX('AJUSTES'!$B$4:$B$303,MATCH($AN537,'AJUSTES'!$A$4:$A$303,0)),IF($K537="","",$K537)))</f>
        <v/>
      </c>
      <c r="N537" s="3">
        <f>IF($A537="","",IFERROR(INDEX('CAT_ESTADOS_ERP'!$B$4:$B$7,MATCH(IFERROR(INDEX('2_IMPORTAR_EJECUCION'!$C$9:$C$1208,MATCH($AN537,'2_IMPORTAR_EJECUCION'!$J$9:$J$1208,0)),""),'CAT_ESTADOS_ERP'!$A$4:$A$7,0)),"Pendiente"))</f>
        <v/>
      </c>
      <c r="O537" s="3">
        <f>IF($J537="","",YEAR($J537+4-WEEKDAY($J537,2))&amp;"-S"&amp;TEXT(_xlfn.ISOWEEKNUM($J537),"00"))</f>
        <v/>
      </c>
      <c r="P537" s="3">
        <f>IF($J537="","",YEAR($J537))</f>
        <v/>
      </c>
      <c r="Q537" s="3">
        <f>IF($J537="","",MONTH($J537))</f>
        <v/>
      </c>
      <c r="R537" s="3">
        <f>IF($J537="","",INDEX(lista_dias,WEEKDAY($J537,2)))</f>
        <v/>
      </c>
      <c r="S537" s="3">
        <f>IF($I537="","",IFERROR(INDEX('CAT_TIPOS_OT'!$C$4:$C$7,MATCH($I537,'CAT_TIPOS_OT'!$A$4:$A$7,0)),"sin_clasificar"))</f>
        <v/>
      </c>
      <c r="T537" s="3">
        <f>IF($F537="","",IFERROR(INDEX('CAT_CENTROS_COSTO'!$E$4:$E$9,MATCH($F537,'CAT_CENTROS_COSTO'!$A$4:$A$9,0)),"(sin catálogo)"))</f>
        <v/>
      </c>
      <c r="U537" s="3">
        <f>IF($F537="","",IFERROR(INDEX('CAT_CENTROS_COSTO'!$D$4:$D$9,MATCH($F537,'CAT_CENTROS_COSTO'!$A$4:$A$9,0)),"(sin catálogo)"))</f>
        <v/>
      </c>
      <c r="V537" s="3">
        <f>IF($F537="","",IFERROR(INDEX('CAT_CENTROS_COSTO'!$F$4:$F$9,MATCH($F537,'CAT_CENTROS_COSTO'!$A$4:$A$9,0)),"(sin catálogo)"))</f>
        <v/>
      </c>
      <c r="W537" s="3">
        <f>IF($G537="","",IFERROR(INDEX('CAT_PUESTOS'!$B$4:$B$8,MATCH($G537,'CAT_PUESTOS'!$A$4:$A$8,0)),"(sin catálogo)"))</f>
        <v/>
      </c>
      <c r="X537" s="3">
        <f>IF($H537="","",IFERROR(INDEX('CAT_ACTIVIDADES'!$B$4:$B$8,MATCH($H537,'CAT_ACTIVIDADES'!$A$4:$A$8,0)),"(sin catálogo)"))</f>
        <v/>
      </c>
      <c r="Y537" s="12">
        <f>IF($J537="","",TODAY()-$J537)</f>
        <v/>
      </c>
      <c r="Z537" s="3">
        <f>IF($Y537="","",IF($Y537&lt;0,"FUTURO",IF($Y537&gt;p_dias_backlog_max,"BACKLOG","MES CORRIENTE")))</f>
        <v/>
      </c>
      <c r="AA537" s="3">
        <f>IF($Y537="",FALSE,AND($Y537&gt;p_dias_backlog_min,$Y537&lt;=p_dias_backlog_max))</f>
        <v/>
      </c>
      <c r="AB537" s="6" t="n"/>
      <c r="AC537" s="3">
        <f>IF($AB537="","",IFERROR(INDEX('ASIGNACIONES'!$F$4:$F$339,MATCH($O537&amp;"|"&amp;$R537&amp;"|"&amp;$AB537,'ASIGNACIONES'!$I$4:$I$339,0)),""))</f>
        <v/>
      </c>
      <c r="AD537" s="13">
        <f>IF($AB537="","",SUMIFS('ORDENES'!$M$4:$M$1203,'ORDENES'!$AB$4:$AB$1203,$AB537,'ORDENES'!$O$4:$O$1203,$O537,'ORDENES'!$R$4:$R$1203,$R537))</f>
        <v/>
      </c>
      <c r="AE537" s="13">
        <f>IF($AD537="","",p_factor_productividad*IFERROR(INDEX('ASIGNACIONES'!$H$4:$H$339,MATCH($O537&amp;"|"&amp;$R537&amp;"|"&amp;$AB537,'ASIGNACIONES'!$I$4:$I$339,0)),0)-$AD537)</f>
        <v/>
      </c>
      <c r="AF537" s="10">
        <f>IF($A537="","",IFERROR(INDEX('2_IMPORTAR_EJECUCION'!$F$9:$F$1208,MATCH($AN537,'2_IMPORTAR_EJECUCION'!$J$9:$J$1208,0)),0))</f>
        <v/>
      </c>
      <c r="AG537" s="10">
        <f>IF($A537="","",MAX(0,IFERROR(INDEX('2_IMPORTAR_EJECUCION'!$H$9:$H$1208,MATCH($AN537,'2_IMPORTAR_EJECUCION'!$J$9:$J$1208,0)),0)-$AF537))</f>
        <v/>
      </c>
      <c r="AH537" s="10">
        <f>IF($A537="","",$AF537+$AG537)</f>
        <v/>
      </c>
      <c r="AI537" s="6" t="n"/>
      <c r="AJ537" s="6" t="n"/>
      <c r="AK537" s="6" t="n"/>
      <c r="AL537" s="3">
        <f>IF($AK537="","",HYPERLINK(p_ruta_base_checklists&amp;$AK537,"abrir"))</f>
        <v/>
      </c>
      <c r="AM537" s="6" t="n"/>
      <c r="AN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1" t="n"/>
      <c r="K538" s="3" t="n"/>
      <c r="L538" s="10" t="n"/>
      <c r="M538" s="3">
        <f>IF($A538="","",IFERROR(INDEX('AJUSTES'!$B$4:$B$303,MATCH($AN538,'AJUSTES'!$A$4:$A$303,0)),IF($K538="","",$K538)))</f>
        <v/>
      </c>
      <c r="N538" s="3">
        <f>IF($A538="","",IFERROR(INDEX('CAT_ESTADOS_ERP'!$B$4:$B$7,MATCH(IFERROR(INDEX('2_IMPORTAR_EJECUCION'!$C$9:$C$1208,MATCH($AN538,'2_IMPORTAR_EJECUCION'!$J$9:$J$1208,0)),""),'CAT_ESTADOS_ERP'!$A$4:$A$7,0)),"Pendiente"))</f>
        <v/>
      </c>
      <c r="O538" s="3">
        <f>IF($J538="","",YEAR($J538+4-WEEKDAY($J538,2))&amp;"-S"&amp;TEXT(_xlfn.ISOWEEKNUM($J538),"00"))</f>
        <v/>
      </c>
      <c r="P538" s="3">
        <f>IF($J538="","",YEAR($J538))</f>
        <v/>
      </c>
      <c r="Q538" s="3">
        <f>IF($J538="","",MONTH($J538))</f>
        <v/>
      </c>
      <c r="R538" s="3">
        <f>IF($J538="","",INDEX(lista_dias,WEEKDAY($J538,2)))</f>
        <v/>
      </c>
      <c r="S538" s="3">
        <f>IF($I538="","",IFERROR(INDEX('CAT_TIPOS_OT'!$C$4:$C$7,MATCH($I538,'CAT_TIPOS_OT'!$A$4:$A$7,0)),"sin_clasificar"))</f>
        <v/>
      </c>
      <c r="T538" s="3">
        <f>IF($F538="","",IFERROR(INDEX('CAT_CENTROS_COSTO'!$E$4:$E$9,MATCH($F538,'CAT_CENTROS_COSTO'!$A$4:$A$9,0)),"(sin catálogo)"))</f>
        <v/>
      </c>
      <c r="U538" s="3">
        <f>IF($F538="","",IFERROR(INDEX('CAT_CENTROS_COSTO'!$D$4:$D$9,MATCH($F538,'CAT_CENTROS_COSTO'!$A$4:$A$9,0)),"(sin catálogo)"))</f>
        <v/>
      </c>
      <c r="V538" s="3">
        <f>IF($F538="","",IFERROR(INDEX('CAT_CENTROS_COSTO'!$F$4:$F$9,MATCH($F538,'CAT_CENTROS_COSTO'!$A$4:$A$9,0)),"(sin catálogo)"))</f>
        <v/>
      </c>
      <c r="W538" s="3">
        <f>IF($G538="","",IFERROR(INDEX('CAT_PUESTOS'!$B$4:$B$8,MATCH($G538,'CAT_PUESTOS'!$A$4:$A$8,0)),"(sin catálogo)"))</f>
        <v/>
      </c>
      <c r="X538" s="3">
        <f>IF($H538="","",IFERROR(INDEX('CAT_ACTIVIDADES'!$B$4:$B$8,MATCH($H538,'CAT_ACTIVIDADES'!$A$4:$A$8,0)),"(sin catálogo)"))</f>
        <v/>
      </c>
      <c r="Y538" s="12">
        <f>IF($J538="","",TODAY()-$J538)</f>
        <v/>
      </c>
      <c r="Z538" s="3">
        <f>IF($Y538="","",IF($Y538&lt;0,"FUTURO",IF($Y538&gt;p_dias_backlog_max,"BACKLOG","MES CORRIENTE")))</f>
        <v/>
      </c>
      <c r="AA538" s="3">
        <f>IF($Y538="",FALSE,AND($Y538&gt;p_dias_backlog_min,$Y538&lt;=p_dias_backlog_max))</f>
        <v/>
      </c>
      <c r="AB538" s="6" t="n"/>
      <c r="AC538" s="3">
        <f>IF($AB538="","",IFERROR(INDEX('ASIGNACIONES'!$F$4:$F$339,MATCH($O538&amp;"|"&amp;$R538&amp;"|"&amp;$AB538,'ASIGNACIONES'!$I$4:$I$339,0)),""))</f>
        <v/>
      </c>
      <c r="AD538" s="13">
        <f>IF($AB538="","",SUMIFS('ORDENES'!$M$4:$M$1203,'ORDENES'!$AB$4:$AB$1203,$AB538,'ORDENES'!$O$4:$O$1203,$O538,'ORDENES'!$R$4:$R$1203,$R538))</f>
        <v/>
      </c>
      <c r="AE538" s="13">
        <f>IF($AD538="","",p_factor_productividad*IFERROR(INDEX('ASIGNACIONES'!$H$4:$H$339,MATCH($O538&amp;"|"&amp;$R538&amp;"|"&amp;$AB538,'ASIGNACIONES'!$I$4:$I$339,0)),0)-$AD538)</f>
        <v/>
      </c>
      <c r="AF538" s="10">
        <f>IF($A538="","",IFERROR(INDEX('2_IMPORTAR_EJECUCION'!$F$9:$F$1208,MATCH($AN538,'2_IMPORTAR_EJECUCION'!$J$9:$J$1208,0)),0))</f>
        <v/>
      </c>
      <c r="AG538" s="10">
        <f>IF($A538="","",MAX(0,IFERROR(INDEX('2_IMPORTAR_EJECUCION'!$H$9:$H$1208,MATCH($AN538,'2_IMPORTAR_EJECUCION'!$J$9:$J$1208,0)),0)-$AF538))</f>
        <v/>
      </c>
      <c r="AH538" s="10">
        <f>IF($A538="","",$AF538+$AG538)</f>
        <v/>
      </c>
      <c r="AI538" s="6" t="n"/>
      <c r="AJ538" s="6" t="n"/>
      <c r="AK538" s="6" t="n"/>
      <c r="AL538" s="3">
        <f>IF($AK538="","",HYPERLINK(p_ruta_base_checklists&amp;$AK538,"abrir"))</f>
        <v/>
      </c>
      <c r="AM538" s="6" t="n"/>
      <c r="AN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1" t="n"/>
      <c r="K539" s="3" t="n"/>
      <c r="L539" s="10" t="n"/>
      <c r="M539" s="3">
        <f>IF($A539="","",IFERROR(INDEX('AJUSTES'!$B$4:$B$303,MATCH($AN539,'AJUSTES'!$A$4:$A$303,0)),IF($K539="","",$K539)))</f>
        <v/>
      </c>
      <c r="N539" s="3">
        <f>IF($A539="","",IFERROR(INDEX('CAT_ESTADOS_ERP'!$B$4:$B$7,MATCH(IFERROR(INDEX('2_IMPORTAR_EJECUCION'!$C$9:$C$1208,MATCH($AN539,'2_IMPORTAR_EJECUCION'!$J$9:$J$1208,0)),""),'CAT_ESTADOS_ERP'!$A$4:$A$7,0)),"Pendiente"))</f>
        <v/>
      </c>
      <c r="O539" s="3">
        <f>IF($J539="","",YEAR($J539+4-WEEKDAY($J539,2))&amp;"-S"&amp;TEXT(_xlfn.ISOWEEKNUM($J539),"00"))</f>
        <v/>
      </c>
      <c r="P539" s="3">
        <f>IF($J539="","",YEAR($J539))</f>
        <v/>
      </c>
      <c r="Q539" s="3">
        <f>IF($J539="","",MONTH($J539))</f>
        <v/>
      </c>
      <c r="R539" s="3">
        <f>IF($J539="","",INDEX(lista_dias,WEEKDAY($J539,2)))</f>
        <v/>
      </c>
      <c r="S539" s="3">
        <f>IF($I539="","",IFERROR(INDEX('CAT_TIPOS_OT'!$C$4:$C$7,MATCH($I539,'CAT_TIPOS_OT'!$A$4:$A$7,0)),"sin_clasificar"))</f>
        <v/>
      </c>
      <c r="T539" s="3">
        <f>IF($F539="","",IFERROR(INDEX('CAT_CENTROS_COSTO'!$E$4:$E$9,MATCH($F539,'CAT_CENTROS_COSTO'!$A$4:$A$9,0)),"(sin catálogo)"))</f>
        <v/>
      </c>
      <c r="U539" s="3">
        <f>IF($F539="","",IFERROR(INDEX('CAT_CENTROS_COSTO'!$D$4:$D$9,MATCH($F539,'CAT_CENTROS_COSTO'!$A$4:$A$9,0)),"(sin catálogo)"))</f>
        <v/>
      </c>
      <c r="V539" s="3">
        <f>IF($F539="","",IFERROR(INDEX('CAT_CENTROS_COSTO'!$F$4:$F$9,MATCH($F539,'CAT_CENTROS_COSTO'!$A$4:$A$9,0)),"(sin catálogo)"))</f>
        <v/>
      </c>
      <c r="W539" s="3">
        <f>IF($G539="","",IFERROR(INDEX('CAT_PUESTOS'!$B$4:$B$8,MATCH($G539,'CAT_PUESTOS'!$A$4:$A$8,0)),"(sin catálogo)"))</f>
        <v/>
      </c>
      <c r="X539" s="3">
        <f>IF($H539="","",IFERROR(INDEX('CAT_ACTIVIDADES'!$B$4:$B$8,MATCH($H539,'CAT_ACTIVIDADES'!$A$4:$A$8,0)),"(sin catálogo)"))</f>
        <v/>
      </c>
      <c r="Y539" s="12">
        <f>IF($J539="","",TODAY()-$J539)</f>
        <v/>
      </c>
      <c r="Z539" s="3">
        <f>IF($Y539="","",IF($Y539&lt;0,"FUTURO",IF($Y539&gt;p_dias_backlog_max,"BACKLOG","MES CORRIENTE")))</f>
        <v/>
      </c>
      <c r="AA539" s="3">
        <f>IF($Y539="",FALSE,AND($Y539&gt;p_dias_backlog_min,$Y539&lt;=p_dias_backlog_max))</f>
        <v/>
      </c>
      <c r="AB539" s="6" t="n"/>
      <c r="AC539" s="3">
        <f>IF($AB539="","",IFERROR(INDEX('ASIGNACIONES'!$F$4:$F$339,MATCH($O539&amp;"|"&amp;$R539&amp;"|"&amp;$AB539,'ASIGNACIONES'!$I$4:$I$339,0)),""))</f>
        <v/>
      </c>
      <c r="AD539" s="13">
        <f>IF($AB539="","",SUMIFS('ORDENES'!$M$4:$M$1203,'ORDENES'!$AB$4:$AB$1203,$AB539,'ORDENES'!$O$4:$O$1203,$O539,'ORDENES'!$R$4:$R$1203,$R539))</f>
        <v/>
      </c>
      <c r="AE539" s="13">
        <f>IF($AD539="","",p_factor_productividad*IFERROR(INDEX('ASIGNACIONES'!$H$4:$H$339,MATCH($O539&amp;"|"&amp;$R539&amp;"|"&amp;$AB539,'ASIGNACIONES'!$I$4:$I$339,0)),0)-$AD539)</f>
        <v/>
      </c>
      <c r="AF539" s="10">
        <f>IF($A539="","",IFERROR(INDEX('2_IMPORTAR_EJECUCION'!$F$9:$F$1208,MATCH($AN539,'2_IMPORTAR_EJECUCION'!$J$9:$J$1208,0)),0))</f>
        <v/>
      </c>
      <c r="AG539" s="10">
        <f>IF($A539="","",MAX(0,IFERROR(INDEX('2_IMPORTAR_EJECUCION'!$H$9:$H$1208,MATCH($AN539,'2_IMPORTAR_EJECUCION'!$J$9:$J$1208,0)),0)-$AF539))</f>
        <v/>
      </c>
      <c r="AH539" s="10">
        <f>IF($A539="","",$AF539+$AG539)</f>
        <v/>
      </c>
      <c r="AI539" s="6" t="n"/>
      <c r="AJ539" s="6" t="n"/>
      <c r="AK539" s="6" t="n"/>
      <c r="AL539" s="3">
        <f>IF($AK539="","",HYPERLINK(p_ruta_base_checklists&amp;$AK539,"abrir"))</f>
        <v/>
      </c>
      <c r="AM539" s="6" t="n"/>
      <c r="AN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1" t="n"/>
      <c r="K540" s="3" t="n"/>
      <c r="L540" s="10" t="n"/>
      <c r="M540" s="3">
        <f>IF($A540="","",IFERROR(INDEX('AJUSTES'!$B$4:$B$303,MATCH($AN540,'AJUSTES'!$A$4:$A$303,0)),IF($K540="","",$K540)))</f>
        <v/>
      </c>
      <c r="N540" s="3">
        <f>IF($A540="","",IFERROR(INDEX('CAT_ESTADOS_ERP'!$B$4:$B$7,MATCH(IFERROR(INDEX('2_IMPORTAR_EJECUCION'!$C$9:$C$1208,MATCH($AN540,'2_IMPORTAR_EJECUCION'!$J$9:$J$1208,0)),""),'CAT_ESTADOS_ERP'!$A$4:$A$7,0)),"Pendiente"))</f>
        <v/>
      </c>
      <c r="O540" s="3">
        <f>IF($J540="","",YEAR($J540+4-WEEKDAY($J540,2))&amp;"-S"&amp;TEXT(_xlfn.ISOWEEKNUM($J540),"00"))</f>
        <v/>
      </c>
      <c r="P540" s="3">
        <f>IF($J540="","",YEAR($J540))</f>
        <v/>
      </c>
      <c r="Q540" s="3">
        <f>IF($J540="","",MONTH($J540))</f>
        <v/>
      </c>
      <c r="R540" s="3">
        <f>IF($J540="","",INDEX(lista_dias,WEEKDAY($J540,2)))</f>
        <v/>
      </c>
      <c r="S540" s="3">
        <f>IF($I540="","",IFERROR(INDEX('CAT_TIPOS_OT'!$C$4:$C$7,MATCH($I540,'CAT_TIPOS_OT'!$A$4:$A$7,0)),"sin_clasificar"))</f>
        <v/>
      </c>
      <c r="T540" s="3">
        <f>IF($F540="","",IFERROR(INDEX('CAT_CENTROS_COSTO'!$E$4:$E$9,MATCH($F540,'CAT_CENTROS_COSTO'!$A$4:$A$9,0)),"(sin catálogo)"))</f>
        <v/>
      </c>
      <c r="U540" s="3">
        <f>IF($F540="","",IFERROR(INDEX('CAT_CENTROS_COSTO'!$D$4:$D$9,MATCH($F540,'CAT_CENTROS_COSTO'!$A$4:$A$9,0)),"(sin catálogo)"))</f>
        <v/>
      </c>
      <c r="V540" s="3">
        <f>IF($F540="","",IFERROR(INDEX('CAT_CENTROS_COSTO'!$F$4:$F$9,MATCH($F540,'CAT_CENTROS_COSTO'!$A$4:$A$9,0)),"(sin catálogo)"))</f>
        <v/>
      </c>
      <c r="W540" s="3">
        <f>IF($G540="","",IFERROR(INDEX('CAT_PUESTOS'!$B$4:$B$8,MATCH($G540,'CAT_PUESTOS'!$A$4:$A$8,0)),"(sin catálogo)"))</f>
        <v/>
      </c>
      <c r="X540" s="3">
        <f>IF($H540="","",IFERROR(INDEX('CAT_ACTIVIDADES'!$B$4:$B$8,MATCH($H540,'CAT_ACTIVIDADES'!$A$4:$A$8,0)),"(sin catálogo)"))</f>
        <v/>
      </c>
      <c r="Y540" s="12">
        <f>IF($J540="","",TODAY()-$J540)</f>
        <v/>
      </c>
      <c r="Z540" s="3">
        <f>IF($Y540="","",IF($Y540&lt;0,"FUTURO",IF($Y540&gt;p_dias_backlog_max,"BACKLOG","MES CORRIENTE")))</f>
        <v/>
      </c>
      <c r="AA540" s="3">
        <f>IF($Y540="",FALSE,AND($Y540&gt;p_dias_backlog_min,$Y540&lt;=p_dias_backlog_max))</f>
        <v/>
      </c>
      <c r="AB540" s="6" t="n"/>
      <c r="AC540" s="3">
        <f>IF($AB540="","",IFERROR(INDEX('ASIGNACIONES'!$F$4:$F$339,MATCH($O540&amp;"|"&amp;$R540&amp;"|"&amp;$AB540,'ASIGNACIONES'!$I$4:$I$339,0)),""))</f>
        <v/>
      </c>
      <c r="AD540" s="13">
        <f>IF($AB540="","",SUMIFS('ORDENES'!$M$4:$M$1203,'ORDENES'!$AB$4:$AB$1203,$AB540,'ORDENES'!$O$4:$O$1203,$O540,'ORDENES'!$R$4:$R$1203,$R540))</f>
        <v/>
      </c>
      <c r="AE540" s="13">
        <f>IF($AD540="","",p_factor_productividad*IFERROR(INDEX('ASIGNACIONES'!$H$4:$H$339,MATCH($O540&amp;"|"&amp;$R540&amp;"|"&amp;$AB540,'ASIGNACIONES'!$I$4:$I$339,0)),0)-$AD540)</f>
        <v/>
      </c>
      <c r="AF540" s="10">
        <f>IF($A540="","",IFERROR(INDEX('2_IMPORTAR_EJECUCION'!$F$9:$F$1208,MATCH($AN540,'2_IMPORTAR_EJECUCION'!$J$9:$J$1208,0)),0))</f>
        <v/>
      </c>
      <c r="AG540" s="10">
        <f>IF($A540="","",MAX(0,IFERROR(INDEX('2_IMPORTAR_EJECUCION'!$H$9:$H$1208,MATCH($AN540,'2_IMPORTAR_EJECUCION'!$J$9:$J$1208,0)),0)-$AF540))</f>
        <v/>
      </c>
      <c r="AH540" s="10">
        <f>IF($A540="","",$AF540+$AG540)</f>
        <v/>
      </c>
      <c r="AI540" s="6" t="n"/>
      <c r="AJ540" s="6" t="n"/>
      <c r="AK540" s="6" t="n"/>
      <c r="AL540" s="3">
        <f>IF($AK540="","",HYPERLINK(p_ruta_base_checklists&amp;$AK540,"abrir"))</f>
        <v/>
      </c>
      <c r="AM540" s="6" t="n"/>
      <c r="AN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1" t="n"/>
      <c r="K541" s="3" t="n"/>
      <c r="L541" s="10" t="n"/>
      <c r="M541" s="3">
        <f>IF($A541="","",IFERROR(INDEX('AJUSTES'!$B$4:$B$303,MATCH($AN541,'AJUSTES'!$A$4:$A$303,0)),IF($K541="","",$K541)))</f>
        <v/>
      </c>
      <c r="N541" s="3">
        <f>IF($A541="","",IFERROR(INDEX('CAT_ESTADOS_ERP'!$B$4:$B$7,MATCH(IFERROR(INDEX('2_IMPORTAR_EJECUCION'!$C$9:$C$1208,MATCH($AN541,'2_IMPORTAR_EJECUCION'!$J$9:$J$1208,0)),""),'CAT_ESTADOS_ERP'!$A$4:$A$7,0)),"Pendiente"))</f>
        <v/>
      </c>
      <c r="O541" s="3">
        <f>IF($J541="","",YEAR($J541+4-WEEKDAY($J541,2))&amp;"-S"&amp;TEXT(_xlfn.ISOWEEKNUM($J541),"00"))</f>
        <v/>
      </c>
      <c r="P541" s="3">
        <f>IF($J541="","",YEAR($J541))</f>
        <v/>
      </c>
      <c r="Q541" s="3">
        <f>IF($J541="","",MONTH($J541))</f>
        <v/>
      </c>
      <c r="R541" s="3">
        <f>IF($J541="","",INDEX(lista_dias,WEEKDAY($J541,2)))</f>
        <v/>
      </c>
      <c r="S541" s="3">
        <f>IF($I541="","",IFERROR(INDEX('CAT_TIPOS_OT'!$C$4:$C$7,MATCH($I541,'CAT_TIPOS_OT'!$A$4:$A$7,0)),"sin_clasificar"))</f>
        <v/>
      </c>
      <c r="T541" s="3">
        <f>IF($F541="","",IFERROR(INDEX('CAT_CENTROS_COSTO'!$E$4:$E$9,MATCH($F541,'CAT_CENTROS_COSTO'!$A$4:$A$9,0)),"(sin catálogo)"))</f>
        <v/>
      </c>
      <c r="U541" s="3">
        <f>IF($F541="","",IFERROR(INDEX('CAT_CENTROS_COSTO'!$D$4:$D$9,MATCH($F541,'CAT_CENTROS_COSTO'!$A$4:$A$9,0)),"(sin catálogo)"))</f>
        <v/>
      </c>
      <c r="V541" s="3">
        <f>IF($F541="","",IFERROR(INDEX('CAT_CENTROS_COSTO'!$F$4:$F$9,MATCH($F541,'CAT_CENTROS_COSTO'!$A$4:$A$9,0)),"(sin catálogo)"))</f>
        <v/>
      </c>
      <c r="W541" s="3">
        <f>IF($G541="","",IFERROR(INDEX('CAT_PUESTOS'!$B$4:$B$8,MATCH($G541,'CAT_PUESTOS'!$A$4:$A$8,0)),"(sin catálogo)"))</f>
        <v/>
      </c>
      <c r="X541" s="3">
        <f>IF($H541="","",IFERROR(INDEX('CAT_ACTIVIDADES'!$B$4:$B$8,MATCH($H541,'CAT_ACTIVIDADES'!$A$4:$A$8,0)),"(sin catálogo)"))</f>
        <v/>
      </c>
      <c r="Y541" s="12">
        <f>IF($J541="","",TODAY()-$J541)</f>
        <v/>
      </c>
      <c r="Z541" s="3">
        <f>IF($Y541="","",IF($Y541&lt;0,"FUTURO",IF($Y541&gt;p_dias_backlog_max,"BACKLOG","MES CORRIENTE")))</f>
        <v/>
      </c>
      <c r="AA541" s="3">
        <f>IF($Y541="",FALSE,AND($Y541&gt;p_dias_backlog_min,$Y541&lt;=p_dias_backlog_max))</f>
        <v/>
      </c>
      <c r="AB541" s="6" t="n"/>
      <c r="AC541" s="3">
        <f>IF($AB541="","",IFERROR(INDEX('ASIGNACIONES'!$F$4:$F$339,MATCH($O541&amp;"|"&amp;$R541&amp;"|"&amp;$AB541,'ASIGNACIONES'!$I$4:$I$339,0)),""))</f>
        <v/>
      </c>
      <c r="AD541" s="13">
        <f>IF($AB541="","",SUMIFS('ORDENES'!$M$4:$M$1203,'ORDENES'!$AB$4:$AB$1203,$AB541,'ORDENES'!$O$4:$O$1203,$O541,'ORDENES'!$R$4:$R$1203,$R541))</f>
        <v/>
      </c>
      <c r="AE541" s="13">
        <f>IF($AD541="","",p_factor_productividad*IFERROR(INDEX('ASIGNACIONES'!$H$4:$H$339,MATCH($O541&amp;"|"&amp;$R541&amp;"|"&amp;$AB541,'ASIGNACIONES'!$I$4:$I$339,0)),0)-$AD541)</f>
        <v/>
      </c>
      <c r="AF541" s="10">
        <f>IF($A541="","",IFERROR(INDEX('2_IMPORTAR_EJECUCION'!$F$9:$F$1208,MATCH($AN541,'2_IMPORTAR_EJECUCION'!$J$9:$J$1208,0)),0))</f>
        <v/>
      </c>
      <c r="AG541" s="10">
        <f>IF($A541="","",MAX(0,IFERROR(INDEX('2_IMPORTAR_EJECUCION'!$H$9:$H$1208,MATCH($AN541,'2_IMPORTAR_EJECUCION'!$J$9:$J$1208,0)),0)-$AF541))</f>
        <v/>
      </c>
      <c r="AH541" s="10">
        <f>IF($A541="","",$AF541+$AG541)</f>
        <v/>
      </c>
      <c r="AI541" s="6" t="n"/>
      <c r="AJ541" s="6" t="n"/>
      <c r="AK541" s="6" t="n"/>
      <c r="AL541" s="3">
        <f>IF($AK541="","",HYPERLINK(p_ruta_base_checklists&amp;$AK541,"abrir"))</f>
        <v/>
      </c>
      <c r="AM541" s="6" t="n"/>
      <c r="AN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1" t="n"/>
      <c r="K542" s="3" t="n"/>
      <c r="L542" s="10" t="n"/>
      <c r="M542" s="3">
        <f>IF($A542="","",IFERROR(INDEX('AJUSTES'!$B$4:$B$303,MATCH($AN542,'AJUSTES'!$A$4:$A$303,0)),IF($K542="","",$K542)))</f>
        <v/>
      </c>
      <c r="N542" s="3">
        <f>IF($A542="","",IFERROR(INDEX('CAT_ESTADOS_ERP'!$B$4:$B$7,MATCH(IFERROR(INDEX('2_IMPORTAR_EJECUCION'!$C$9:$C$1208,MATCH($AN542,'2_IMPORTAR_EJECUCION'!$J$9:$J$1208,0)),""),'CAT_ESTADOS_ERP'!$A$4:$A$7,0)),"Pendiente"))</f>
        <v/>
      </c>
      <c r="O542" s="3">
        <f>IF($J542="","",YEAR($J542+4-WEEKDAY($J542,2))&amp;"-S"&amp;TEXT(_xlfn.ISOWEEKNUM($J542),"00"))</f>
        <v/>
      </c>
      <c r="P542" s="3">
        <f>IF($J542="","",YEAR($J542))</f>
        <v/>
      </c>
      <c r="Q542" s="3">
        <f>IF($J542="","",MONTH($J542))</f>
        <v/>
      </c>
      <c r="R542" s="3">
        <f>IF($J542="","",INDEX(lista_dias,WEEKDAY($J542,2)))</f>
        <v/>
      </c>
      <c r="S542" s="3">
        <f>IF($I542="","",IFERROR(INDEX('CAT_TIPOS_OT'!$C$4:$C$7,MATCH($I542,'CAT_TIPOS_OT'!$A$4:$A$7,0)),"sin_clasificar"))</f>
        <v/>
      </c>
      <c r="T542" s="3">
        <f>IF($F542="","",IFERROR(INDEX('CAT_CENTROS_COSTO'!$E$4:$E$9,MATCH($F542,'CAT_CENTROS_COSTO'!$A$4:$A$9,0)),"(sin catálogo)"))</f>
        <v/>
      </c>
      <c r="U542" s="3">
        <f>IF($F542="","",IFERROR(INDEX('CAT_CENTROS_COSTO'!$D$4:$D$9,MATCH($F542,'CAT_CENTROS_COSTO'!$A$4:$A$9,0)),"(sin catálogo)"))</f>
        <v/>
      </c>
      <c r="V542" s="3">
        <f>IF($F542="","",IFERROR(INDEX('CAT_CENTROS_COSTO'!$F$4:$F$9,MATCH($F542,'CAT_CENTROS_COSTO'!$A$4:$A$9,0)),"(sin catálogo)"))</f>
        <v/>
      </c>
      <c r="W542" s="3">
        <f>IF($G542="","",IFERROR(INDEX('CAT_PUESTOS'!$B$4:$B$8,MATCH($G542,'CAT_PUESTOS'!$A$4:$A$8,0)),"(sin catálogo)"))</f>
        <v/>
      </c>
      <c r="X542" s="3">
        <f>IF($H542="","",IFERROR(INDEX('CAT_ACTIVIDADES'!$B$4:$B$8,MATCH($H542,'CAT_ACTIVIDADES'!$A$4:$A$8,0)),"(sin catálogo)"))</f>
        <v/>
      </c>
      <c r="Y542" s="12">
        <f>IF($J542="","",TODAY()-$J542)</f>
        <v/>
      </c>
      <c r="Z542" s="3">
        <f>IF($Y542="","",IF($Y542&lt;0,"FUTURO",IF($Y542&gt;p_dias_backlog_max,"BACKLOG","MES CORRIENTE")))</f>
        <v/>
      </c>
      <c r="AA542" s="3">
        <f>IF($Y542="",FALSE,AND($Y542&gt;p_dias_backlog_min,$Y542&lt;=p_dias_backlog_max))</f>
        <v/>
      </c>
      <c r="AB542" s="6" t="n"/>
      <c r="AC542" s="3">
        <f>IF($AB542="","",IFERROR(INDEX('ASIGNACIONES'!$F$4:$F$339,MATCH($O542&amp;"|"&amp;$R542&amp;"|"&amp;$AB542,'ASIGNACIONES'!$I$4:$I$339,0)),""))</f>
        <v/>
      </c>
      <c r="AD542" s="13">
        <f>IF($AB542="","",SUMIFS('ORDENES'!$M$4:$M$1203,'ORDENES'!$AB$4:$AB$1203,$AB542,'ORDENES'!$O$4:$O$1203,$O542,'ORDENES'!$R$4:$R$1203,$R542))</f>
        <v/>
      </c>
      <c r="AE542" s="13">
        <f>IF($AD542="","",p_factor_productividad*IFERROR(INDEX('ASIGNACIONES'!$H$4:$H$339,MATCH($O542&amp;"|"&amp;$R542&amp;"|"&amp;$AB542,'ASIGNACIONES'!$I$4:$I$339,0)),0)-$AD542)</f>
        <v/>
      </c>
      <c r="AF542" s="10">
        <f>IF($A542="","",IFERROR(INDEX('2_IMPORTAR_EJECUCION'!$F$9:$F$1208,MATCH($AN542,'2_IMPORTAR_EJECUCION'!$J$9:$J$1208,0)),0))</f>
        <v/>
      </c>
      <c r="AG542" s="10">
        <f>IF($A542="","",MAX(0,IFERROR(INDEX('2_IMPORTAR_EJECUCION'!$H$9:$H$1208,MATCH($AN542,'2_IMPORTAR_EJECUCION'!$J$9:$J$1208,0)),0)-$AF542))</f>
        <v/>
      </c>
      <c r="AH542" s="10">
        <f>IF($A542="","",$AF542+$AG542)</f>
        <v/>
      </c>
      <c r="AI542" s="6" t="n"/>
      <c r="AJ542" s="6" t="n"/>
      <c r="AK542" s="6" t="n"/>
      <c r="AL542" s="3">
        <f>IF($AK542="","",HYPERLINK(p_ruta_base_checklists&amp;$AK542,"abrir"))</f>
        <v/>
      </c>
      <c r="AM542" s="6" t="n"/>
      <c r="AN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1" t="n"/>
      <c r="K543" s="3" t="n"/>
      <c r="L543" s="10" t="n"/>
      <c r="M543" s="3">
        <f>IF($A543="","",IFERROR(INDEX('AJUSTES'!$B$4:$B$303,MATCH($AN543,'AJUSTES'!$A$4:$A$303,0)),IF($K543="","",$K543)))</f>
        <v/>
      </c>
      <c r="N543" s="3">
        <f>IF($A543="","",IFERROR(INDEX('CAT_ESTADOS_ERP'!$B$4:$B$7,MATCH(IFERROR(INDEX('2_IMPORTAR_EJECUCION'!$C$9:$C$1208,MATCH($AN543,'2_IMPORTAR_EJECUCION'!$J$9:$J$1208,0)),""),'CAT_ESTADOS_ERP'!$A$4:$A$7,0)),"Pendiente"))</f>
        <v/>
      </c>
      <c r="O543" s="3">
        <f>IF($J543="","",YEAR($J543+4-WEEKDAY($J543,2))&amp;"-S"&amp;TEXT(_xlfn.ISOWEEKNUM($J543),"00"))</f>
        <v/>
      </c>
      <c r="P543" s="3">
        <f>IF($J543="","",YEAR($J543))</f>
        <v/>
      </c>
      <c r="Q543" s="3">
        <f>IF($J543="","",MONTH($J543))</f>
        <v/>
      </c>
      <c r="R543" s="3">
        <f>IF($J543="","",INDEX(lista_dias,WEEKDAY($J543,2)))</f>
        <v/>
      </c>
      <c r="S543" s="3">
        <f>IF($I543="","",IFERROR(INDEX('CAT_TIPOS_OT'!$C$4:$C$7,MATCH($I543,'CAT_TIPOS_OT'!$A$4:$A$7,0)),"sin_clasificar"))</f>
        <v/>
      </c>
      <c r="T543" s="3">
        <f>IF($F543="","",IFERROR(INDEX('CAT_CENTROS_COSTO'!$E$4:$E$9,MATCH($F543,'CAT_CENTROS_COSTO'!$A$4:$A$9,0)),"(sin catálogo)"))</f>
        <v/>
      </c>
      <c r="U543" s="3">
        <f>IF($F543="","",IFERROR(INDEX('CAT_CENTROS_COSTO'!$D$4:$D$9,MATCH($F543,'CAT_CENTROS_COSTO'!$A$4:$A$9,0)),"(sin catálogo)"))</f>
        <v/>
      </c>
      <c r="V543" s="3">
        <f>IF($F543="","",IFERROR(INDEX('CAT_CENTROS_COSTO'!$F$4:$F$9,MATCH($F543,'CAT_CENTROS_COSTO'!$A$4:$A$9,0)),"(sin catálogo)"))</f>
        <v/>
      </c>
      <c r="W543" s="3">
        <f>IF($G543="","",IFERROR(INDEX('CAT_PUESTOS'!$B$4:$B$8,MATCH($G543,'CAT_PUESTOS'!$A$4:$A$8,0)),"(sin catálogo)"))</f>
        <v/>
      </c>
      <c r="X543" s="3">
        <f>IF($H543="","",IFERROR(INDEX('CAT_ACTIVIDADES'!$B$4:$B$8,MATCH($H543,'CAT_ACTIVIDADES'!$A$4:$A$8,0)),"(sin catálogo)"))</f>
        <v/>
      </c>
      <c r="Y543" s="12">
        <f>IF($J543="","",TODAY()-$J543)</f>
        <v/>
      </c>
      <c r="Z543" s="3">
        <f>IF($Y543="","",IF($Y543&lt;0,"FUTURO",IF($Y543&gt;p_dias_backlog_max,"BACKLOG","MES CORRIENTE")))</f>
        <v/>
      </c>
      <c r="AA543" s="3">
        <f>IF($Y543="",FALSE,AND($Y543&gt;p_dias_backlog_min,$Y543&lt;=p_dias_backlog_max))</f>
        <v/>
      </c>
      <c r="AB543" s="6" t="n"/>
      <c r="AC543" s="3">
        <f>IF($AB543="","",IFERROR(INDEX('ASIGNACIONES'!$F$4:$F$339,MATCH($O543&amp;"|"&amp;$R543&amp;"|"&amp;$AB543,'ASIGNACIONES'!$I$4:$I$339,0)),""))</f>
        <v/>
      </c>
      <c r="AD543" s="13">
        <f>IF($AB543="","",SUMIFS('ORDENES'!$M$4:$M$1203,'ORDENES'!$AB$4:$AB$1203,$AB543,'ORDENES'!$O$4:$O$1203,$O543,'ORDENES'!$R$4:$R$1203,$R543))</f>
        <v/>
      </c>
      <c r="AE543" s="13">
        <f>IF($AD543="","",p_factor_productividad*IFERROR(INDEX('ASIGNACIONES'!$H$4:$H$339,MATCH($O543&amp;"|"&amp;$R543&amp;"|"&amp;$AB543,'ASIGNACIONES'!$I$4:$I$339,0)),0)-$AD543)</f>
        <v/>
      </c>
      <c r="AF543" s="10">
        <f>IF($A543="","",IFERROR(INDEX('2_IMPORTAR_EJECUCION'!$F$9:$F$1208,MATCH($AN543,'2_IMPORTAR_EJECUCION'!$J$9:$J$1208,0)),0))</f>
        <v/>
      </c>
      <c r="AG543" s="10">
        <f>IF($A543="","",MAX(0,IFERROR(INDEX('2_IMPORTAR_EJECUCION'!$H$9:$H$1208,MATCH($AN543,'2_IMPORTAR_EJECUCION'!$J$9:$J$1208,0)),0)-$AF543))</f>
        <v/>
      </c>
      <c r="AH543" s="10">
        <f>IF($A543="","",$AF543+$AG543)</f>
        <v/>
      </c>
      <c r="AI543" s="6" t="n"/>
      <c r="AJ543" s="6" t="n"/>
      <c r="AK543" s="6" t="n"/>
      <c r="AL543" s="3">
        <f>IF($AK543="","",HYPERLINK(p_ruta_base_checklists&amp;$AK543,"abrir"))</f>
        <v/>
      </c>
      <c r="AM543" s="6" t="n"/>
      <c r="AN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1" t="n"/>
      <c r="K544" s="3" t="n"/>
      <c r="L544" s="10" t="n"/>
      <c r="M544" s="3">
        <f>IF($A544="","",IFERROR(INDEX('AJUSTES'!$B$4:$B$303,MATCH($AN544,'AJUSTES'!$A$4:$A$303,0)),IF($K544="","",$K544)))</f>
        <v/>
      </c>
      <c r="N544" s="3">
        <f>IF($A544="","",IFERROR(INDEX('CAT_ESTADOS_ERP'!$B$4:$B$7,MATCH(IFERROR(INDEX('2_IMPORTAR_EJECUCION'!$C$9:$C$1208,MATCH($AN544,'2_IMPORTAR_EJECUCION'!$J$9:$J$1208,0)),""),'CAT_ESTADOS_ERP'!$A$4:$A$7,0)),"Pendiente"))</f>
        <v/>
      </c>
      <c r="O544" s="3">
        <f>IF($J544="","",YEAR($J544+4-WEEKDAY($J544,2))&amp;"-S"&amp;TEXT(_xlfn.ISOWEEKNUM($J544),"00"))</f>
        <v/>
      </c>
      <c r="P544" s="3">
        <f>IF($J544="","",YEAR($J544))</f>
        <v/>
      </c>
      <c r="Q544" s="3">
        <f>IF($J544="","",MONTH($J544))</f>
        <v/>
      </c>
      <c r="R544" s="3">
        <f>IF($J544="","",INDEX(lista_dias,WEEKDAY($J544,2)))</f>
        <v/>
      </c>
      <c r="S544" s="3">
        <f>IF($I544="","",IFERROR(INDEX('CAT_TIPOS_OT'!$C$4:$C$7,MATCH($I544,'CAT_TIPOS_OT'!$A$4:$A$7,0)),"sin_clasificar"))</f>
        <v/>
      </c>
      <c r="T544" s="3">
        <f>IF($F544="","",IFERROR(INDEX('CAT_CENTROS_COSTO'!$E$4:$E$9,MATCH($F544,'CAT_CENTROS_COSTO'!$A$4:$A$9,0)),"(sin catálogo)"))</f>
        <v/>
      </c>
      <c r="U544" s="3">
        <f>IF($F544="","",IFERROR(INDEX('CAT_CENTROS_COSTO'!$D$4:$D$9,MATCH($F544,'CAT_CENTROS_COSTO'!$A$4:$A$9,0)),"(sin catálogo)"))</f>
        <v/>
      </c>
      <c r="V544" s="3">
        <f>IF($F544="","",IFERROR(INDEX('CAT_CENTROS_COSTO'!$F$4:$F$9,MATCH($F544,'CAT_CENTROS_COSTO'!$A$4:$A$9,0)),"(sin catálogo)"))</f>
        <v/>
      </c>
      <c r="W544" s="3">
        <f>IF($G544="","",IFERROR(INDEX('CAT_PUESTOS'!$B$4:$B$8,MATCH($G544,'CAT_PUESTOS'!$A$4:$A$8,0)),"(sin catálogo)"))</f>
        <v/>
      </c>
      <c r="X544" s="3">
        <f>IF($H544="","",IFERROR(INDEX('CAT_ACTIVIDADES'!$B$4:$B$8,MATCH($H544,'CAT_ACTIVIDADES'!$A$4:$A$8,0)),"(sin catálogo)"))</f>
        <v/>
      </c>
      <c r="Y544" s="12">
        <f>IF($J544="","",TODAY()-$J544)</f>
        <v/>
      </c>
      <c r="Z544" s="3">
        <f>IF($Y544="","",IF($Y544&lt;0,"FUTURO",IF($Y544&gt;p_dias_backlog_max,"BACKLOG","MES CORRIENTE")))</f>
        <v/>
      </c>
      <c r="AA544" s="3">
        <f>IF($Y544="",FALSE,AND($Y544&gt;p_dias_backlog_min,$Y544&lt;=p_dias_backlog_max))</f>
        <v/>
      </c>
      <c r="AB544" s="6" t="n"/>
      <c r="AC544" s="3">
        <f>IF($AB544="","",IFERROR(INDEX('ASIGNACIONES'!$F$4:$F$339,MATCH($O544&amp;"|"&amp;$R544&amp;"|"&amp;$AB544,'ASIGNACIONES'!$I$4:$I$339,0)),""))</f>
        <v/>
      </c>
      <c r="AD544" s="13">
        <f>IF($AB544="","",SUMIFS('ORDENES'!$M$4:$M$1203,'ORDENES'!$AB$4:$AB$1203,$AB544,'ORDENES'!$O$4:$O$1203,$O544,'ORDENES'!$R$4:$R$1203,$R544))</f>
        <v/>
      </c>
      <c r="AE544" s="13">
        <f>IF($AD544="","",p_factor_productividad*IFERROR(INDEX('ASIGNACIONES'!$H$4:$H$339,MATCH($O544&amp;"|"&amp;$R544&amp;"|"&amp;$AB544,'ASIGNACIONES'!$I$4:$I$339,0)),0)-$AD544)</f>
        <v/>
      </c>
      <c r="AF544" s="10">
        <f>IF($A544="","",IFERROR(INDEX('2_IMPORTAR_EJECUCION'!$F$9:$F$1208,MATCH($AN544,'2_IMPORTAR_EJECUCION'!$J$9:$J$1208,0)),0))</f>
        <v/>
      </c>
      <c r="AG544" s="10">
        <f>IF($A544="","",MAX(0,IFERROR(INDEX('2_IMPORTAR_EJECUCION'!$H$9:$H$1208,MATCH($AN544,'2_IMPORTAR_EJECUCION'!$J$9:$J$1208,0)),0)-$AF544))</f>
        <v/>
      </c>
      <c r="AH544" s="10">
        <f>IF($A544="","",$AF544+$AG544)</f>
        <v/>
      </c>
      <c r="AI544" s="6" t="n"/>
      <c r="AJ544" s="6" t="n"/>
      <c r="AK544" s="6" t="n"/>
      <c r="AL544" s="3">
        <f>IF($AK544="","",HYPERLINK(p_ruta_base_checklists&amp;$AK544,"abrir"))</f>
        <v/>
      </c>
      <c r="AM544" s="6" t="n"/>
      <c r="AN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1" t="n"/>
      <c r="K545" s="3" t="n"/>
      <c r="L545" s="10" t="n"/>
      <c r="M545" s="3">
        <f>IF($A545="","",IFERROR(INDEX('AJUSTES'!$B$4:$B$303,MATCH($AN545,'AJUSTES'!$A$4:$A$303,0)),IF($K545="","",$K545)))</f>
        <v/>
      </c>
      <c r="N545" s="3">
        <f>IF($A545="","",IFERROR(INDEX('CAT_ESTADOS_ERP'!$B$4:$B$7,MATCH(IFERROR(INDEX('2_IMPORTAR_EJECUCION'!$C$9:$C$1208,MATCH($AN545,'2_IMPORTAR_EJECUCION'!$J$9:$J$1208,0)),""),'CAT_ESTADOS_ERP'!$A$4:$A$7,0)),"Pendiente"))</f>
        <v/>
      </c>
      <c r="O545" s="3">
        <f>IF($J545="","",YEAR($J545+4-WEEKDAY($J545,2))&amp;"-S"&amp;TEXT(_xlfn.ISOWEEKNUM($J545),"00"))</f>
        <v/>
      </c>
      <c r="P545" s="3">
        <f>IF($J545="","",YEAR($J545))</f>
        <v/>
      </c>
      <c r="Q545" s="3">
        <f>IF($J545="","",MONTH($J545))</f>
        <v/>
      </c>
      <c r="R545" s="3">
        <f>IF($J545="","",INDEX(lista_dias,WEEKDAY($J545,2)))</f>
        <v/>
      </c>
      <c r="S545" s="3">
        <f>IF($I545="","",IFERROR(INDEX('CAT_TIPOS_OT'!$C$4:$C$7,MATCH($I545,'CAT_TIPOS_OT'!$A$4:$A$7,0)),"sin_clasificar"))</f>
        <v/>
      </c>
      <c r="T545" s="3">
        <f>IF($F545="","",IFERROR(INDEX('CAT_CENTROS_COSTO'!$E$4:$E$9,MATCH($F545,'CAT_CENTROS_COSTO'!$A$4:$A$9,0)),"(sin catálogo)"))</f>
        <v/>
      </c>
      <c r="U545" s="3">
        <f>IF($F545="","",IFERROR(INDEX('CAT_CENTROS_COSTO'!$D$4:$D$9,MATCH($F545,'CAT_CENTROS_COSTO'!$A$4:$A$9,0)),"(sin catálogo)"))</f>
        <v/>
      </c>
      <c r="V545" s="3">
        <f>IF($F545="","",IFERROR(INDEX('CAT_CENTROS_COSTO'!$F$4:$F$9,MATCH($F545,'CAT_CENTROS_COSTO'!$A$4:$A$9,0)),"(sin catálogo)"))</f>
        <v/>
      </c>
      <c r="W545" s="3">
        <f>IF($G545="","",IFERROR(INDEX('CAT_PUESTOS'!$B$4:$B$8,MATCH($G545,'CAT_PUESTOS'!$A$4:$A$8,0)),"(sin catálogo)"))</f>
        <v/>
      </c>
      <c r="X545" s="3">
        <f>IF($H545="","",IFERROR(INDEX('CAT_ACTIVIDADES'!$B$4:$B$8,MATCH($H545,'CAT_ACTIVIDADES'!$A$4:$A$8,0)),"(sin catálogo)"))</f>
        <v/>
      </c>
      <c r="Y545" s="12">
        <f>IF($J545="","",TODAY()-$J545)</f>
        <v/>
      </c>
      <c r="Z545" s="3">
        <f>IF($Y545="","",IF($Y545&lt;0,"FUTURO",IF($Y545&gt;p_dias_backlog_max,"BACKLOG","MES CORRIENTE")))</f>
        <v/>
      </c>
      <c r="AA545" s="3">
        <f>IF($Y545="",FALSE,AND($Y545&gt;p_dias_backlog_min,$Y545&lt;=p_dias_backlog_max))</f>
        <v/>
      </c>
      <c r="AB545" s="6" t="n"/>
      <c r="AC545" s="3">
        <f>IF($AB545="","",IFERROR(INDEX('ASIGNACIONES'!$F$4:$F$339,MATCH($O545&amp;"|"&amp;$R545&amp;"|"&amp;$AB545,'ASIGNACIONES'!$I$4:$I$339,0)),""))</f>
        <v/>
      </c>
      <c r="AD545" s="13">
        <f>IF($AB545="","",SUMIFS('ORDENES'!$M$4:$M$1203,'ORDENES'!$AB$4:$AB$1203,$AB545,'ORDENES'!$O$4:$O$1203,$O545,'ORDENES'!$R$4:$R$1203,$R545))</f>
        <v/>
      </c>
      <c r="AE545" s="13">
        <f>IF($AD545="","",p_factor_productividad*IFERROR(INDEX('ASIGNACIONES'!$H$4:$H$339,MATCH($O545&amp;"|"&amp;$R545&amp;"|"&amp;$AB545,'ASIGNACIONES'!$I$4:$I$339,0)),0)-$AD545)</f>
        <v/>
      </c>
      <c r="AF545" s="10">
        <f>IF($A545="","",IFERROR(INDEX('2_IMPORTAR_EJECUCION'!$F$9:$F$1208,MATCH($AN545,'2_IMPORTAR_EJECUCION'!$J$9:$J$1208,0)),0))</f>
        <v/>
      </c>
      <c r="AG545" s="10">
        <f>IF($A545="","",MAX(0,IFERROR(INDEX('2_IMPORTAR_EJECUCION'!$H$9:$H$1208,MATCH($AN545,'2_IMPORTAR_EJECUCION'!$J$9:$J$1208,0)),0)-$AF545))</f>
        <v/>
      </c>
      <c r="AH545" s="10">
        <f>IF($A545="","",$AF545+$AG545)</f>
        <v/>
      </c>
      <c r="AI545" s="6" t="n"/>
      <c r="AJ545" s="6" t="n"/>
      <c r="AK545" s="6" t="n"/>
      <c r="AL545" s="3">
        <f>IF($AK545="","",HYPERLINK(p_ruta_base_checklists&amp;$AK545,"abrir"))</f>
        <v/>
      </c>
      <c r="AM545" s="6" t="n"/>
      <c r="AN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1" t="n"/>
      <c r="K546" s="3" t="n"/>
      <c r="L546" s="10" t="n"/>
      <c r="M546" s="3">
        <f>IF($A546="","",IFERROR(INDEX('AJUSTES'!$B$4:$B$303,MATCH($AN546,'AJUSTES'!$A$4:$A$303,0)),IF($K546="","",$K546)))</f>
        <v/>
      </c>
      <c r="N546" s="3">
        <f>IF($A546="","",IFERROR(INDEX('CAT_ESTADOS_ERP'!$B$4:$B$7,MATCH(IFERROR(INDEX('2_IMPORTAR_EJECUCION'!$C$9:$C$1208,MATCH($AN546,'2_IMPORTAR_EJECUCION'!$J$9:$J$1208,0)),""),'CAT_ESTADOS_ERP'!$A$4:$A$7,0)),"Pendiente"))</f>
        <v/>
      </c>
      <c r="O546" s="3">
        <f>IF($J546="","",YEAR($J546+4-WEEKDAY($J546,2))&amp;"-S"&amp;TEXT(_xlfn.ISOWEEKNUM($J546),"00"))</f>
        <v/>
      </c>
      <c r="P546" s="3">
        <f>IF($J546="","",YEAR($J546))</f>
        <v/>
      </c>
      <c r="Q546" s="3">
        <f>IF($J546="","",MONTH($J546))</f>
        <v/>
      </c>
      <c r="R546" s="3">
        <f>IF($J546="","",INDEX(lista_dias,WEEKDAY($J546,2)))</f>
        <v/>
      </c>
      <c r="S546" s="3">
        <f>IF($I546="","",IFERROR(INDEX('CAT_TIPOS_OT'!$C$4:$C$7,MATCH($I546,'CAT_TIPOS_OT'!$A$4:$A$7,0)),"sin_clasificar"))</f>
        <v/>
      </c>
      <c r="T546" s="3">
        <f>IF($F546="","",IFERROR(INDEX('CAT_CENTROS_COSTO'!$E$4:$E$9,MATCH($F546,'CAT_CENTROS_COSTO'!$A$4:$A$9,0)),"(sin catálogo)"))</f>
        <v/>
      </c>
      <c r="U546" s="3">
        <f>IF($F546="","",IFERROR(INDEX('CAT_CENTROS_COSTO'!$D$4:$D$9,MATCH($F546,'CAT_CENTROS_COSTO'!$A$4:$A$9,0)),"(sin catálogo)"))</f>
        <v/>
      </c>
      <c r="V546" s="3">
        <f>IF($F546="","",IFERROR(INDEX('CAT_CENTROS_COSTO'!$F$4:$F$9,MATCH($F546,'CAT_CENTROS_COSTO'!$A$4:$A$9,0)),"(sin catálogo)"))</f>
        <v/>
      </c>
      <c r="W546" s="3">
        <f>IF($G546="","",IFERROR(INDEX('CAT_PUESTOS'!$B$4:$B$8,MATCH($G546,'CAT_PUESTOS'!$A$4:$A$8,0)),"(sin catálogo)"))</f>
        <v/>
      </c>
      <c r="X546" s="3">
        <f>IF($H546="","",IFERROR(INDEX('CAT_ACTIVIDADES'!$B$4:$B$8,MATCH($H546,'CAT_ACTIVIDADES'!$A$4:$A$8,0)),"(sin catálogo)"))</f>
        <v/>
      </c>
      <c r="Y546" s="12">
        <f>IF($J546="","",TODAY()-$J546)</f>
        <v/>
      </c>
      <c r="Z546" s="3">
        <f>IF($Y546="","",IF($Y546&lt;0,"FUTURO",IF($Y546&gt;p_dias_backlog_max,"BACKLOG","MES CORRIENTE")))</f>
        <v/>
      </c>
      <c r="AA546" s="3">
        <f>IF($Y546="",FALSE,AND($Y546&gt;p_dias_backlog_min,$Y546&lt;=p_dias_backlog_max))</f>
        <v/>
      </c>
      <c r="AB546" s="6" t="n"/>
      <c r="AC546" s="3">
        <f>IF($AB546="","",IFERROR(INDEX('ASIGNACIONES'!$F$4:$F$339,MATCH($O546&amp;"|"&amp;$R546&amp;"|"&amp;$AB546,'ASIGNACIONES'!$I$4:$I$339,0)),""))</f>
        <v/>
      </c>
      <c r="AD546" s="13">
        <f>IF($AB546="","",SUMIFS('ORDENES'!$M$4:$M$1203,'ORDENES'!$AB$4:$AB$1203,$AB546,'ORDENES'!$O$4:$O$1203,$O546,'ORDENES'!$R$4:$R$1203,$R546))</f>
        <v/>
      </c>
      <c r="AE546" s="13">
        <f>IF($AD546="","",p_factor_productividad*IFERROR(INDEX('ASIGNACIONES'!$H$4:$H$339,MATCH($O546&amp;"|"&amp;$R546&amp;"|"&amp;$AB546,'ASIGNACIONES'!$I$4:$I$339,0)),0)-$AD546)</f>
        <v/>
      </c>
      <c r="AF546" s="10">
        <f>IF($A546="","",IFERROR(INDEX('2_IMPORTAR_EJECUCION'!$F$9:$F$1208,MATCH($AN546,'2_IMPORTAR_EJECUCION'!$J$9:$J$1208,0)),0))</f>
        <v/>
      </c>
      <c r="AG546" s="10">
        <f>IF($A546="","",MAX(0,IFERROR(INDEX('2_IMPORTAR_EJECUCION'!$H$9:$H$1208,MATCH($AN546,'2_IMPORTAR_EJECUCION'!$J$9:$J$1208,0)),0)-$AF546))</f>
        <v/>
      </c>
      <c r="AH546" s="10">
        <f>IF($A546="","",$AF546+$AG546)</f>
        <v/>
      </c>
      <c r="AI546" s="6" t="n"/>
      <c r="AJ546" s="6" t="n"/>
      <c r="AK546" s="6" t="n"/>
      <c r="AL546" s="3">
        <f>IF($AK546="","",HYPERLINK(p_ruta_base_checklists&amp;$AK546,"abrir"))</f>
        <v/>
      </c>
      <c r="AM546" s="6" t="n"/>
      <c r="AN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1" t="n"/>
      <c r="K547" s="3" t="n"/>
      <c r="L547" s="10" t="n"/>
      <c r="M547" s="3">
        <f>IF($A547="","",IFERROR(INDEX('AJUSTES'!$B$4:$B$303,MATCH($AN547,'AJUSTES'!$A$4:$A$303,0)),IF($K547="","",$K547)))</f>
        <v/>
      </c>
      <c r="N547" s="3">
        <f>IF($A547="","",IFERROR(INDEX('CAT_ESTADOS_ERP'!$B$4:$B$7,MATCH(IFERROR(INDEX('2_IMPORTAR_EJECUCION'!$C$9:$C$1208,MATCH($AN547,'2_IMPORTAR_EJECUCION'!$J$9:$J$1208,0)),""),'CAT_ESTADOS_ERP'!$A$4:$A$7,0)),"Pendiente"))</f>
        <v/>
      </c>
      <c r="O547" s="3">
        <f>IF($J547="","",YEAR($J547+4-WEEKDAY($J547,2))&amp;"-S"&amp;TEXT(_xlfn.ISOWEEKNUM($J547),"00"))</f>
        <v/>
      </c>
      <c r="P547" s="3">
        <f>IF($J547="","",YEAR($J547))</f>
        <v/>
      </c>
      <c r="Q547" s="3">
        <f>IF($J547="","",MONTH($J547))</f>
        <v/>
      </c>
      <c r="R547" s="3">
        <f>IF($J547="","",INDEX(lista_dias,WEEKDAY($J547,2)))</f>
        <v/>
      </c>
      <c r="S547" s="3">
        <f>IF($I547="","",IFERROR(INDEX('CAT_TIPOS_OT'!$C$4:$C$7,MATCH($I547,'CAT_TIPOS_OT'!$A$4:$A$7,0)),"sin_clasificar"))</f>
        <v/>
      </c>
      <c r="T547" s="3">
        <f>IF($F547="","",IFERROR(INDEX('CAT_CENTROS_COSTO'!$E$4:$E$9,MATCH($F547,'CAT_CENTROS_COSTO'!$A$4:$A$9,0)),"(sin catálogo)"))</f>
        <v/>
      </c>
      <c r="U547" s="3">
        <f>IF($F547="","",IFERROR(INDEX('CAT_CENTROS_COSTO'!$D$4:$D$9,MATCH($F547,'CAT_CENTROS_COSTO'!$A$4:$A$9,0)),"(sin catálogo)"))</f>
        <v/>
      </c>
      <c r="V547" s="3">
        <f>IF($F547="","",IFERROR(INDEX('CAT_CENTROS_COSTO'!$F$4:$F$9,MATCH($F547,'CAT_CENTROS_COSTO'!$A$4:$A$9,0)),"(sin catálogo)"))</f>
        <v/>
      </c>
      <c r="W547" s="3">
        <f>IF($G547="","",IFERROR(INDEX('CAT_PUESTOS'!$B$4:$B$8,MATCH($G547,'CAT_PUESTOS'!$A$4:$A$8,0)),"(sin catálogo)"))</f>
        <v/>
      </c>
      <c r="X547" s="3">
        <f>IF($H547="","",IFERROR(INDEX('CAT_ACTIVIDADES'!$B$4:$B$8,MATCH($H547,'CAT_ACTIVIDADES'!$A$4:$A$8,0)),"(sin catálogo)"))</f>
        <v/>
      </c>
      <c r="Y547" s="12">
        <f>IF($J547="","",TODAY()-$J547)</f>
        <v/>
      </c>
      <c r="Z547" s="3">
        <f>IF($Y547="","",IF($Y547&lt;0,"FUTURO",IF($Y547&gt;p_dias_backlog_max,"BACKLOG","MES CORRIENTE")))</f>
        <v/>
      </c>
      <c r="AA547" s="3">
        <f>IF($Y547="",FALSE,AND($Y547&gt;p_dias_backlog_min,$Y547&lt;=p_dias_backlog_max))</f>
        <v/>
      </c>
      <c r="AB547" s="6" t="n"/>
      <c r="AC547" s="3">
        <f>IF($AB547="","",IFERROR(INDEX('ASIGNACIONES'!$F$4:$F$339,MATCH($O547&amp;"|"&amp;$R547&amp;"|"&amp;$AB547,'ASIGNACIONES'!$I$4:$I$339,0)),""))</f>
        <v/>
      </c>
      <c r="AD547" s="13">
        <f>IF($AB547="","",SUMIFS('ORDENES'!$M$4:$M$1203,'ORDENES'!$AB$4:$AB$1203,$AB547,'ORDENES'!$O$4:$O$1203,$O547,'ORDENES'!$R$4:$R$1203,$R547))</f>
        <v/>
      </c>
      <c r="AE547" s="13">
        <f>IF($AD547="","",p_factor_productividad*IFERROR(INDEX('ASIGNACIONES'!$H$4:$H$339,MATCH($O547&amp;"|"&amp;$R547&amp;"|"&amp;$AB547,'ASIGNACIONES'!$I$4:$I$339,0)),0)-$AD547)</f>
        <v/>
      </c>
      <c r="AF547" s="10">
        <f>IF($A547="","",IFERROR(INDEX('2_IMPORTAR_EJECUCION'!$F$9:$F$1208,MATCH($AN547,'2_IMPORTAR_EJECUCION'!$J$9:$J$1208,0)),0))</f>
        <v/>
      </c>
      <c r="AG547" s="10">
        <f>IF($A547="","",MAX(0,IFERROR(INDEX('2_IMPORTAR_EJECUCION'!$H$9:$H$1208,MATCH($AN547,'2_IMPORTAR_EJECUCION'!$J$9:$J$1208,0)),0)-$AF547))</f>
        <v/>
      </c>
      <c r="AH547" s="10">
        <f>IF($A547="","",$AF547+$AG547)</f>
        <v/>
      </c>
      <c r="AI547" s="6" t="n"/>
      <c r="AJ547" s="6" t="n"/>
      <c r="AK547" s="6" t="n"/>
      <c r="AL547" s="3">
        <f>IF($AK547="","",HYPERLINK(p_ruta_base_checklists&amp;$AK547,"abrir"))</f>
        <v/>
      </c>
      <c r="AM547" s="6" t="n"/>
      <c r="AN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1" t="n"/>
      <c r="K548" s="3" t="n"/>
      <c r="L548" s="10" t="n"/>
      <c r="M548" s="3">
        <f>IF($A548="","",IFERROR(INDEX('AJUSTES'!$B$4:$B$303,MATCH($AN548,'AJUSTES'!$A$4:$A$303,0)),IF($K548="","",$K548)))</f>
        <v/>
      </c>
      <c r="N548" s="3">
        <f>IF($A548="","",IFERROR(INDEX('CAT_ESTADOS_ERP'!$B$4:$B$7,MATCH(IFERROR(INDEX('2_IMPORTAR_EJECUCION'!$C$9:$C$1208,MATCH($AN548,'2_IMPORTAR_EJECUCION'!$J$9:$J$1208,0)),""),'CAT_ESTADOS_ERP'!$A$4:$A$7,0)),"Pendiente"))</f>
        <v/>
      </c>
      <c r="O548" s="3">
        <f>IF($J548="","",YEAR($J548+4-WEEKDAY($J548,2))&amp;"-S"&amp;TEXT(_xlfn.ISOWEEKNUM($J548),"00"))</f>
        <v/>
      </c>
      <c r="P548" s="3">
        <f>IF($J548="","",YEAR($J548))</f>
        <v/>
      </c>
      <c r="Q548" s="3">
        <f>IF($J548="","",MONTH($J548))</f>
        <v/>
      </c>
      <c r="R548" s="3">
        <f>IF($J548="","",INDEX(lista_dias,WEEKDAY($J548,2)))</f>
        <v/>
      </c>
      <c r="S548" s="3">
        <f>IF($I548="","",IFERROR(INDEX('CAT_TIPOS_OT'!$C$4:$C$7,MATCH($I548,'CAT_TIPOS_OT'!$A$4:$A$7,0)),"sin_clasificar"))</f>
        <v/>
      </c>
      <c r="T548" s="3">
        <f>IF($F548="","",IFERROR(INDEX('CAT_CENTROS_COSTO'!$E$4:$E$9,MATCH($F548,'CAT_CENTROS_COSTO'!$A$4:$A$9,0)),"(sin catálogo)"))</f>
        <v/>
      </c>
      <c r="U548" s="3">
        <f>IF($F548="","",IFERROR(INDEX('CAT_CENTROS_COSTO'!$D$4:$D$9,MATCH($F548,'CAT_CENTROS_COSTO'!$A$4:$A$9,0)),"(sin catálogo)"))</f>
        <v/>
      </c>
      <c r="V548" s="3">
        <f>IF($F548="","",IFERROR(INDEX('CAT_CENTROS_COSTO'!$F$4:$F$9,MATCH($F548,'CAT_CENTROS_COSTO'!$A$4:$A$9,0)),"(sin catálogo)"))</f>
        <v/>
      </c>
      <c r="W548" s="3">
        <f>IF($G548="","",IFERROR(INDEX('CAT_PUESTOS'!$B$4:$B$8,MATCH($G548,'CAT_PUESTOS'!$A$4:$A$8,0)),"(sin catálogo)"))</f>
        <v/>
      </c>
      <c r="X548" s="3">
        <f>IF($H548="","",IFERROR(INDEX('CAT_ACTIVIDADES'!$B$4:$B$8,MATCH($H548,'CAT_ACTIVIDADES'!$A$4:$A$8,0)),"(sin catálogo)"))</f>
        <v/>
      </c>
      <c r="Y548" s="12">
        <f>IF($J548="","",TODAY()-$J548)</f>
        <v/>
      </c>
      <c r="Z548" s="3">
        <f>IF($Y548="","",IF($Y548&lt;0,"FUTURO",IF($Y548&gt;p_dias_backlog_max,"BACKLOG","MES CORRIENTE")))</f>
        <v/>
      </c>
      <c r="AA548" s="3">
        <f>IF($Y548="",FALSE,AND($Y548&gt;p_dias_backlog_min,$Y548&lt;=p_dias_backlog_max))</f>
        <v/>
      </c>
      <c r="AB548" s="6" t="n"/>
      <c r="AC548" s="3">
        <f>IF($AB548="","",IFERROR(INDEX('ASIGNACIONES'!$F$4:$F$339,MATCH($O548&amp;"|"&amp;$R548&amp;"|"&amp;$AB548,'ASIGNACIONES'!$I$4:$I$339,0)),""))</f>
        <v/>
      </c>
      <c r="AD548" s="13">
        <f>IF($AB548="","",SUMIFS('ORDENES'!$M$4:$M$1203,'ORDENES'!$AB$4:$AB$1203,$AB548,'ORDENES'!$O$4:$O$1203,$O548,'ORDENES'!$R$4:$R$1203,$R548))</f>
        <v/>
      </c>
      <c r="AE548" s="13">
        <f>IF($AD548="","",p_factor_productividad*IFERROR(INDEX('ASIGNACIONES'!$H$4:$H$339,MATCH($O548&amp;"|"&amp;$R548&amp;"|"&amp;$AB548,'ASIGNACIONES'!$I$4:$I$339,0)),0)-$AD548)</f>
        <v/>
      </c>
      <c r="AF548" s="10">
        <f>IF($A548="","",IFERROR(INDEX('2_IMPORTAR_EJECUCION'!$F$9:$F$1208,MATCH($AN548,'2_IMPORTAR_EJECUCION'!$J$9:$J$1208,0)),0))</f>
        <v/>
      </c>
      <c r="AG548" s="10">
        <f>IF($A548="","",MAX(0,IFERROR(INDEX('2_IMPORTAR_EJECUCION'!$H$9:$H$1208,MATCH($AN548,'2_IMPORTAR_EJECUCION'!$J$9:$J$1208,0)),0)-$AF548))</f>
        <v/>
      </c>
      <c r="AH548" s="10">
        <f>IF($A548="","",$AF548+$AG548)</f>
        <v/>
      </c>
      <c r="AI548" s="6" t="n"/>
      <c r="AJ548" s="6" t="n"/>
      <c r="AK548" s="6" t="n"/>
      <c r="AL548" s="3">
        <f>IF($AK548="","",HYPERLINK(p_ruta_base_checklists&amp;$AK548,"abrir"))</f>
        <v/>
      </c>
      <c r="AM548" s="6" t="n"/>
      <c r="AN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1" t="n"/>
      <c r="K549" s="3" t="n"/>
      <c r="L549" s="10" t="n"/>
      <c r="M549" s="3">
        <f>IF($A549="","",IFERROR(INDEX('AJUSTES'!$B$4:$B$303,MATCH($AN549,'AJUSTES'!$A$4:$A$303,0)),IF($K549="","",$K549)))</f>
        <v/>
      </c>
      <c r="N549" s="3">
        <f>IF($A549="","",IFERROR(INDEX('CAT_ESTADOS_ERP'!$B$4:$B$7,MATCH(IFERROR(INDEX('2_IMPORTAR_EJECUCION'!$C$9:$C$1208,MATCH($AN549,'2_IMPORTAR_EJECUCION'!$J$9:$J$1208,0)),""),'CAT_ESTADOS_ERP'!$A$4:$A$7,0)),"Pendiente"))</f>
        <v/>
      </c>
      <c r="O549" s="3">
        <f>IF($J549="","",YEAR($J549+4-WEEKDAY($J549,2))&amp;"-S"&amp;TEXT(_xlfn.ISOWEEKNUM($J549),"00"))</f>
        <v/>
      </c>
      <c r="P549" s="3">
        <f>IF($J549="","",YEAR($J549))</f>
        <v/>
      </c>
      <c r="Q549" s="3">
        <f>IF($J549="","",MONTH($J549))</f>
        <v/>
      </c>
      <c r="R549" s="3">
        <f>IF($J549="","",INDEX(lista_dias,WEEKDAY($J549,2)))</f>
        <v/>
      </c>
      <c r="S549" s="3">
        <f>IF($I549="","",IFERROR(INDEX('CAT_TIPOS_OT'!$C$4:$C$7,MATCH($I549,'CAT_TIPOS_OT'!$A$4:$A$7,0)),"sin_clasificar"))</f>
        <v/>
      </c>
      <c r="T549" s="3">
        <f>IF($F549="","",IFERROR(INDEX('CAT_CENTROS_COSTO'!$E$4:$E$9,MATCH($F549,'CAT_CENTROS_COSTO'!$A$4:$A$9,0)),"(sin catálogo)"))</f>
        <v/>
      </c>
      <c r="U549" s="3">
        <f>IF($F549="","",IFERROR(INDEX('CAT_CENTROS_COSTO'!$D$4:$D$9,MATCH($F549,'CAT_CENTROS_COSTO'!$A$4:$A$9,0)),"(sin catálogo)"))</f>
        <v/>
      </c>
      <c r="V549" s="3">
        <f>IF($F549="","",IFERROR(INDEX('CAT_CENTROS_COSTO'!$F$4:$F$9,MATCH($F549,'CAT_CENTROS_COSTO'!$A$4:$A$9,0)),"(sin catálogo)"))</f>
        <v/>
      </c>
      <c r="W549" s="3">
        <f>IF($G549="","",IFERROR(INDEX('CAT_PUESTOS'!$B$4:$B$8,MATCH($G549,'CAT_PUESTOS'!$A$4:$A$8,0)),"(sin catálogo)"))</f>
        <v/>
      </c>
      <c r="X549" s="3">
        <f>IF($H549="","",IFERROR(INDEX('CAT_ACTIVIDADES'!$B$4:$B$8,MATCH($H549,'CAT_ACTIVIDADES'!$A$4:$A$8,0)),"(sin catálogo)"))</f>
        <v/>
      </c>
      <c r="Y549" s="12">
        <f>IF($J549="","",TODAY()-$J549)</f>
        <v/>
      </c>
      <c r="Z549" s="3">
        <f>IF($Y549="","",IF($Y549&lt;0,"FUTURO",IF($Y549&gt;p_dias_backlog_max,"BACKLOG","MES CORRIENTE")))</f>
        <v/>
      </c>
      <c r="AA549" s="3">
        <f>IF($Y549="",FALSE,AND($Y549&gt;p_dias_backlog_min,$Y549&lt;=p_dias_backlog_max))</f>
        <v/>
      </c>
      <c r="AB549" s="6" t="n"/>
      <c r="AC549" s="3">
        <f>IF($AB549="","",IFERROR(INDEX('ASIGNACIONES'!$F$4:$F$339,MATCH($O549&amp;"|"&amp;$R549&amp;"|"&amp;$AB549,'ASIGNACIONES'!$I$4:$I$339,0)),""))</f>
        <v/>
      </c>
      <c r="AD549" s="13">
        <f>IF($AB549="","",SUMIFS('ORDENES'!$M$4:$M$1203,'ORDENES'!$AB$4:$AB$1203,$AB549,'ORDENES'!$O$4:$O$1203,$O549,'ORDENES'!$R$4:$R$1203,$R549))</f>
        <v/>
      </c>
      <c r="AE549" s="13">
        <f>IF($AD549="","",p_factor_productividad*IFERROR(INDEX('ASIGNACIONES'!$H$4:$H$339,MATCH($O549&amp;"|"&amp;$R549&amp;"|"&amp;$AB549,'ASIGNACIONES'!$I$4:$I$339,0)),0)-$AD549)</f>
        <v/>
      </c>
      <c r="AF549" s="10">
        <f>IF($A549="","",IFERROR(INDEX('2_IMPORTAR_EJECUCION'!$F$9:$F$1208,MATCH($AN549,'2_IMPORTAR_EJECUCION'!$J$9:$J$1208,0)),0))</f>
        <v/>
      </c>
      <c r="AG549" s="10">
        <f>IF($A549="","",MAX(0,IFERROR(INDEX('2_IMPORTAR_EJECUCION'!$H$9:$H$1208,MATCH($AN549,'2_IMPORTAR_EJECUCION'!$J$9:$J$1208,0)),0)-$AF549))</f>
        <v/>
      </c>
      <c r="AH549" s="10">
        <f>IF($A549="","",$AF549+$AG549)</f>
        <v/>
      </c>
      <c r="AI549" s="6" t="n"/>
      <c r="AJ549" s="6" t="n"/>
      <c r="AK549" s="6" t="n"/>
      <c r="AL549" s="3">
        <f>IF($AK549="","",HYPERLINK(p_ruta_base_checklists&amp;$AK549,"abrir"))</f>
        <v/>
      </c>
      <c r="AM549" s="6" t="n"/>
      <c r="AN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1" t="n"/>
      <c r="K550" s="3" t="n"/>
      <c r="L550" s="10" t="n"/>
      <c r="M550" s="3">
        <f>IF($A550="","",IFERROR(INDEX('AJUSTES'!$B$4:$B$303,MATCH($AN550,'AJUSTES'!$A$4:$A$303,0)),IF($K550="","",$K550)))</f>
        <v/>
      </c>
      <c r="N550" s="3">
        <f>IF($A550="","",IFERROR(INDEX('CAT_ESTADOS_ERP'!$B$4:$B$7,MATCH(IFERROR(INDEX('2_IMPORTAR_EJECUCION'!$C$9:$C$1208,MATCH($AN550,'2_IMPORTAR_EJECUCION'!$J$9:$J$1208,0)),""),'CAT_ESTADOS_ERP'!$A$4:$A$7,0)),"Pendiente"))</f>
        <v/>
      </c>
      <c r="O550" s="3">
        <f>IF($J550="","",YEAR($J550+4-WEEKDAY($J550,2))&amp;"-S"&amp;TEXT(_xlfn.ISOWEEKNUM($J550),"00"))</f>
        <v/>
      </c>
      <c r="P550" s="3">
        <f>IF($J550="","",YEAR($J550))</f>
        <v/>
      </c>
      <c r="Q550" s="3">
        <f>IF($J550="","",MONTH($J550))</f>
        <v/>
      </c>
      <c r="R550" s="3">
        <f>IF($J550="","",INDEX(lista_dias,WEEKDAY($J550,2)))</f>
        <v/>
      </c>
      <c r="S550" s="3">
        <f>IF($I550="","",IFERROR(INDEX('CAT_TIPOS_OT'!$C$4:$C$7,MATCH($I550,'CAT_TIPOS_OT'!$A$4:$A$7,0)),"sin_clasificar"))</f>
        <v/>
      </c>
      <c r="T550" s="3">
        <f>IF($F550="","",IFERROR(INDEX('CAT_CENTROS_COSTO'!$E$4:$E$9,MATCH($F550,'CAT_CENTROS_COSTO'!$A$4:$A$9,0)),"(sin catálogo)"))</f>
        <v/>
      </c>
      <c r="U550" s="3">
        <f>IF($F550="","",IFERROR(INDEX('CAT_CENTROS_COSTO'!$D$4:$D$9,MATCH($F550,'CAT_CENTROS_COSTO'!$A$4:$A$9,0)),"(sin catálogo)"))</f>
        <v/>
      </c>
      <c r="V550" s="3">
        <f>IF($F550="","",IFERROR(INDEX('CAT_CENTROS_COSTO'!$F$4:$F$9,MATCH($F550,'CAT_CENTROS_COSTO'!$A$4:$A$9,0)),"(sin catálogo)"))</f>
        <v/>
      </c>
      <c r="W550" s="3">
        <f>IF($G550="","",IFERROR(INDEX('CAT_PUESTOS'!$B$4:$B$8,MATCH($G550,'CAT_PUESTOS'!$A$4:$A$8,0)),"(sin catálogo)"))</f>
        <v/>
      </c>
      <c r="X550" s="3">
        <f>IF($H550="","",IFERROR(INDEX('CAT_ACTIVIDADES'!$B$4:$B$8,MATCH($H550,'CAT_ACTIVIDADES'!$A$4:$A$8,0)),"(sin catálogo)"))</f>
        <v/>
      </c>
      <c r="Y550" s="12">
        <f>IF($J550="","",TODAY()-$J550)</f>
        <v/>
      </c>
      <c r="Z550" s="3">
        <f>IF($Y550="","",IF($Y550&lt;0,"FUTURO",IF($Y550&gt;p_dias_backlog_max,"BACKLOG","MES CORRIENTE")))</f>
        <v/>
      </c>
      <c r="AA550" s="3">
        <f>IF($Y550="",FALSE,AND($Y550&gt;p_dias_backlog_min,$Y550&lt;=p_dias_backlog_max))</f>
        <v/>
      </c>
      <c r="AB550" s="6" t="n"/>
      <c r="AC550" s="3">
        <f>IF($AB550="","",IFERROR(INDEX('ASIGNACIONES'!$F$4:$F$339,MATCH($O550&amp;"|"&amp;$R550&amp;"|"&amp;$AB550,'ASIGNACIONES'!$I$4:$I$339,0)),""))</f>
        <v/>
      </c>
      <c r="AD550" s="13">
        <f>IF($AB550="","",SUMIFS('ORDENES'!$M$4:$M$1203,'ORDENES'!$AB$4:$AB$1203,$AB550,'ORDENES'!$O$4:$O$1203,$O550,'ORDENES'!$R$4:$R$1203,$R550))</f>
        <v/>
      </c>
      <c r="AE550" s="13">
        <f>IF($AD550="","",p_factor_productividad*IFERROR(INDEX('ASIGNACIONES'!$H$4:$H$339,MATCH($O550&amp;"|"&amp;$R550&amp;"|"&amp;$AB550,'ASIGNACIONES'!$I$4:$I$339,0)),0)-$AD550)</f>
        <v/>
      </c>
      <c r="AF550" s="10">
        <f>IF($A550="","",IFERROR(INDEX('2_IMPORTAR_EJECUCION'!$F$9:$F$1208,MATCH($AN550,'2_IMPORTAR_EJECUCION'!$J$9:$J$1208,0)),0))</f>
        <v/>
      </c>
      <c r="AG550" s="10">
        <f>IF($A550="","",MAX(0,IFERROR(INDEX('2_IMPORTAR_EJECUCION'!$H$9:$H$1208,MATCH($AN550,'2_IMPORTAR_EJECUCION'!$J$9:$J$1208,0)),0)-$AF550))</f>
        <v/>
      </c>
      <c r="AH550" s="10">
        <f>IF($A550="","",$AF550+$AG550)</f>
        <v/>
      </c>
      <c r="AI550" s="6" t="n"/>
      <c r="AJ550" s="6" t="n"/>
      <c r="AK550" s="6" t="n"/>
      <c r="AL550" s="3">
        <f>IF($AK550="","",HYPERLINK(p_ruta_base_checklists&amp;$AK550,"abrir"))</f>
        <v/>
      </c>
      <c r="AM550" s="6" t="n"/>
      <c r="AN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1" t="n"/>
      <c r="K551" s="3" t="n"/>
      <c r="L551" s="10" t="n"/>
      <c r="M551" s="3">
        <f>IF($A551="","",IFERROR(INDEX('AJUSTES'!$B$4:$B$303,MATCH($AN551,'AJUSTES'!$A$4:$A$303,0)),IF($K551="","",$K551)))</f>
        <v/>
      </c>
      <c r="N551" s="3">
        <f>IF($A551="","",IFERROR(INDEX('CAT_ESTADOS_ERP'!$B$4:$B$7,MATCH(IFERROR(INDEX('2_IMPORTAR_EJECUCION'!$C$9:$C$1208,MATCH($AN551,'2_IMPORTAR_EJECUCION'!$J$9:$J$1208,0)),""),'CAT_ESTADOS_ERP'!$A$4:$A$7,0)),"Pendiente"))</f>
        <v/>
      </c>
      <c r="O551" s="3">
        <f>IF($J551="","",YEAR($J551+4-WEEKDAY($J551,2))&amp;"-S"&amp;TEXT(_xlfn.ISOWEEKNUM($J551),"00"))</f>
        <v/>
      </c>
      <c r="P551" s="3">
        <f>IF($J551="","",YEAR($J551))</f>
        <v/>
      </c>
      <c r="Q551" s="3">
        <f>IF($J551="","",MONTH($J551))</f>
        <v/>
      </c>
      <c r="R551" s="3">
        <f>IF($J551="","",INDEX(lista_dias,WEEKDAY($J551,2)))</f>
        <v/>
      </c>
      <c r="S551" s="3">
        <f>IF($I551="","",IFERROR(INDEX('CAT_TIPOS_OT'!$C$4:$C$7,MATCH($I551,'CAT_TIPOS_OT'!$A$4:$A$7,0)),"sin_clasificar"))</f>
        <v/>
      </c>
      <c r="T551" s="3">
        <f>IF($F551="","",IFERROR(INDEX('CAT_CENTROS_COSTO'!$E$4:$E$9,MATCH($F551,'CAT_CENTROS_COSTO'!$A$4:$A$9,0)),"(sin catálogo)"))</f>
        <v/>
      </c>
      <c r="U551" s="3">
        <f>IF($F551="","",IFERROR(INDEX('CAT_CENTROS_COSTO'!$D$4:$D$9,MATCH($F551,'CAT_CENTROS_COSTO'!$A$4:$A$9,0)),"(sin catálogo)"))</f>
        <v/>
      </c>
      <c r="V551" s="3">
        <f>IF($F551="","",IFERROR(INDEX('CAT_CENTROS_COSTO'!$F$4:$F$9,MATCH($F551,'CAT_CENTROS_COSTO'!$A$4:$A$9,0)),"(sin catálogo)"))</f>
        <v/>
      </c>
      <c r="W551" s="3">
        <f>IF($G551="","",IFERROR(INDEX('CAT_PUESTOS'!$B$4:$B$8,MATCH($G551,'CAT_PUESTOS'!$A$4:$A$8,0)),"(sin catálogo)"))</f>
        <v/>
      </c>
      <c r="X551" s="3">
        <f>IF($H551="","",IFERROR(INDEX('CAT_ACTIVIDADES'!$B$4:$B$8,MATCH($H551,'CAT_ACTIVIDADES'!$A$4:$A$8,0)),"(sin catálogo)"))</f>
        <v/>
      </c>
      <c r="Y551" s="12">
        <f>IF($J551="","",TODAY()-$J551)</f>
        <v/>
      </c>
      <c r="Z551" s="3">
        <f>IF($Y551="","",IF($Y551&lt;0,"FUTURO",IF($Y551&gt;p_dias_backlog_max,"BACKLOG","MES CORRIENTE")))</f>
        <v/>
      </c>
      <c r="AA551" s="3">
        <f>IF($Y551="",FALSE,AND($Y551&gt;p_dias_backlog_min,$Y551&lt;=p_dias_backlog_max))</f>
        <v/>
      </c>
      <c r="AB551" s="6" t="n"/>
      <c r="AC551" s="3">
        <f>IF($AB551="","",IFERROR(INDEX('ASIGNACIONES'!$F$4:$F$339,MATCH($O551&amp;"|"&amp;$R551&amp;"|"&amp;$AB551,'ASIGNACIONES'!$I$4:$I$339,0)),""))</f>
        <v/>
      </c>
      <c r="AD551" s="13">
        <f>IF($AB551="","",SUMIFS('ORDENES'!$M$4:$M$1203,'ORDENES'!$AB$4:$AB$1203,$AB551,'ORDENES'!$O$4:$O$1203,$O551,'ORDENES'!$R$4:$R$1203,$R551))</f>
        <v/>
      </c>
      <c r="AE551" s="13">
        <f>IF($AD551="","",p_factor_productividad*IFERROR(INDEX('ASIGNACIONES'!$H$4:$H$339,MATCH($O551&amp;"|"&amp;$R551&amp;"|"&amp;$AB551,'ASIGNACIONES'!$I$4:$I$339,0)),0)-$AD551)</f>
        <v/>
      </c>
      <c r="AF551" s="10">
        <f>IF($A551="","",IFERROR(INDEX('2_IMPORTAR_EJECUCION'!$F$9:$F$1208,MATCH($AN551,'2_IMPORTAR_EJECUCION'!$J$9:$J$1208,0)),0))</f>
        <v/>
      </c>
      <c r="AG551" s="10">
        <f>IF($A551="","",MAX(0,IFERROR(INDEX('2_IMPORTAR_EJECUCION'!$H$9:$H$1208,MATCH($AN551,'2_IMPORTAR_EJECUCION'!$J$9:$J$1208,0)),0)-$AF551))</f>
        <v/>
      </c>
      <c r="AH551" s="10">
        <f>IF($A551="","",$AF551+$AG551)</f>
        <v/>
      </c>
      <c r="AI551" s="6" t="n"/>
      <c r="AJ551" s="6" t="n"/>
      <c r="AK551" s="6" t="n"/>
      <c r="AL551" s="3">
        <f>IF($AK551="","",HYPERLINK(p_ruta_base_checklists&amp;$AK551,"abrir"))</f>
        <v/>
      </c>
      <c r="AM551" s="6" t="n"/>
      <c r="AN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1" t="n"/>
      <c r="K552" s="3" t="n"/>
      <c r="L552" s="10" t="n"/>
      <c r="M552" s="3">
        <f>IF($A552="","",IFERROR(INDEX('AJUSTES'!$B$4:$B$303,MATCH($AN552,'AJUSTES'!$A$4:$A$303,0)),IF($K552="","",$K552)))</f>
        <v/>
      </c>
      <c r="N552" s="3">
        <f>IF($A552="","",IFERROR(INDEX('CAT_ESTADOS_ERP'!$B$4:$B$7,MATCH(IFERROR(INDEX('2_IMPORTAR_EJECUCION'!$C$9:$C$1208,MATCH($AN552,'2_IMPORTAR_EJECUCION'!$J$9:$J$1208,0)),""),'CAT_ESTADOS_ERP'!$A$4:$A$7,0)),"Pendiente"))</f>
        <v/>
      </c>
      <c r="O552" s="3">
        <f>IF($J552="","",YEAR($J552+4-WEEKDAY($J552,2))&amp;"-S"&amp;TEXT(_xlfn.ISOWEEKNUM($J552),"00"))</f>
        <v/>
      </c>
      <c r="P552" s="3">
        <f>IF($J552="","",YEAR($J552))</f>
        <v/>
      </c>
      <c r="Q552" s="3">
        <f>IF($J552="","",MONTH($J552))</f>
        <v/>
      </c>
      <c r="R552" s="3">
        <f>IF($J552="","",INDEX(lista_dias,WEEKDAY($J552,2)))</f>
        <v/>
      </c>
      <c r="S552" s="3">
        <f>IF($I552="","",IFERROR(INDEX('CAT_TIPOS_OT'!$C$4:$C$7,MATCH($I552,'CAT_TIPOS_OT'!$A$4:$A$7,0)),"sin_clasificar"))</f>
        <v/>
      </c>
      <c r="T552" s="3">
        <f>IF($F552="","",IFERROR(INDEX('CAT_CENTROS_COSTO'!$E$4:$E$9,MATCH($F552,'CAT_CENTROS_COSTO'!$A$4:$A$9,0)),"(sin catálogo)"))</f>
        <v/>
      </c>
      <c r="U552" s="3">
        <f>IF($F552="","",IFERROR(INDEX('CAT_CENTROS_COSTO'!$D$4:$D$9,MATCH($F552,'CAT_CENTROS_COSTO'!$A$4:$A$9,0)),"(sin catálogo)"))</f>
        <v/>
      </c>
      <c r="V552" s="3">
        <f>IF($F552="","",IFERROR(INDEX('CAT_CENTROS_COSTO'!$F$4:$F$9,MATCH($F552,'CAT_CENTROS_COSTO'!$A$4:$A$9,0)),"(sin catálogo)"))</f>
        <v/>
      </c>
      <c r="W552" s="3">
        <f>IF($G552="","",IFERROR(INDEX('CAT_PUESTOS'!$B$4:$B$8,MATCH($G552,'CAT_PUESTOS'!$A$4:$A$8,0)),"(sin catálogo)"))</f>
        <v/>
      </c>
      <c r="X552" s="3">
        <f>IF($H552="","",IFERROR(INDEX('CAT_ACTIVIDADES'!$B$4:$B$8,MATCH($H552,'CAT_ACTIVIDADES'!$A$4:$A$8,0)),"(sin catálogo)"))</f>
        <v/>
      </c>
      <c r="Y552" s="12">
        <f>IF($J552="","",TODAY()-$J552)</f>
        <v/>
      </c>
      <c r="Z552" s="3">
        <f>IF($Y552="","",IF($Y552&lt;0,"FUTURO",IF($Y552&gt;p_dias_backlog_max,"BACKLOG","MES CORRIENTE")))</f>
        <v/>
      </c>
      <c r="AA552" s="3">
        <f>IF($Y552="",FALSE,AND($Y552&gt;p_dias_backlog_min,$Y552&lt;=p_dias_backlog_max))</f>
        <v/>
      </c>
      <c r="AB552" s="6" t="n"/>
      <c r="AC552" s="3">
        <f>IF($AB552="","",IFERROR(INDEX('ASIGNACIONES'!$F$4:$F$339,MATCH($O552&amp;"|"&amp;$R552&amp;"|"&amp;$AB552,'ASIGNACIONES'!$I$4:$I$339,0)),""))</f>
        <v/>
      </c>
      <c r="AD552" s="13">
        <f>IF($AB552="","",SUMIFS('ORDENES'!$M$4:$M$1203,'ORDENES'!$AB$4:$AB$1203,$AB552,'ORDENES'!$O$4:$O$1203,$O552,'ORDENES'!$R$4:$R$1203,$R552))</f>
        <v/>
      </c>
      <c r="AE552" s="13">
        <f>IF($AD552="","",p_factor_productividad*IFERROR(INDEX('ASIGNACIONES'!$H$4:$H$339,MATCH($O552&amp;"|"&amp;$R552&amp;"|"&amp;$AB552,'ASIGNACIONES'!$I$4:$I$339,0)),0)-$AD552)</f>
        <v/>
      </c>
      <c r="AF552" s="10">
        <f>IF($A552="","",IFERROR(INDEX('2_IMPORTAR_EJECUCION'!$F$9:$F$1208,MATCH($AN552,'2_IMPORTAR_EJECUCION'!$J$9:$J$1208,0)),0))</f>
        <v/>
      </c>
      <c r="AG552" s="10">
        <f>IF($A552="","",MAX(0,IFERROR(INDEX('2_IMPORTAR_EJECUCION'!$H$9:$H$1208,MATCH($AN552,'2_IMPORTAR_EJECUCION'!$J$9:$J$1208,0)),0)-$AF552))</f>
        <v/>
      </c>
      <c r="AH552" s="10">
        <f>IF($A552="","",$AF552+$AG552)</f>
        <v/>
      </c>
      <c r="AI552" s="6" t="n"/>
      <c r="AJ552" s="6" t="n"/>
      <c r="AK552" s="6" t="n"/>
      <c r="AL552" s="3">
        <f>IF($AK552="","",HYPERLINK(p_ruta_base_checklists&amp;$AK552,"abrir"))</f>
        <v/>
      </c>
      <c r="AM552" s="6" t="n"/>
      <c r="AN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1" t="n"/>
      <c r="K553" s="3" t="n"/>
      <c r="L553" s="10" t="n"/>
      <c r="M553" s="3">
        <f>IF($A553="","",IFERROR(INDEX('AJUSTES'!$B$4:$B$303,MATCH($AN553,'AJUSTES'!$A$4:$A$303,0)),IF($K553="","",$K553)))</f>
        <v/>
      </c>
      <c r="N553" s="3">
        <f>IF($A553="","",IFERROR(INDEX('CAT_ESTADOS_ERP'!$B$4:$B$7,MATCH(IFERROR(INDEX('2_IMPORTAR_EJECUCION'!$C$9:$C$1208,MATCH($AN553,'2_IMPORTAR_EJECUCION'!$J$9:$J$1208,0)),""),'CAT_ESTADOS_ERP'!$A$4:$A$7,0)),"Pendiente"))</f>
        <v/>
      </c>
      <c r="O553" s="3">
        <f>IF($J553="","",YEAR($J553+4-WEEKDAY($J553,2))&amp;"-S"&amp;TEXT(_xlfn.ISOWEEKNUM($J553),"00"))</f>
        <v/>
      </c>
      <c r="P553" s="3">
        <f>IF($J553="","",YEAR($J553))</f>
        <v/>
      </c>
      <c r="Q553" s="3">
        <f>IF($J553="","",MONTH($J553))</f>
        <v/>
      </c>
      <c r="R553" s="3">
        <f>IF($J553="","",INDEX(lista_dias,WEEKDAY($J553,2)))</f>
        <v/>
      </c>
      <c r="S553" s="3">
        <f>IF($I553="","",IFERROR(INDEX('CAT_TIPOS_OT'!$C$4:$C$7,MATCH($I553,'CAT_TIPOS_OT'!$A$4:$A$7,0)),"sin_clasificar"))</f>
        <v/>
      </c>
      <c r="T553" s="3">
        <f>IF($F553="","",IFERROR(INDEX('CAT_CENTROS_COSTO'!$E$4:$E$9,MATCH($F553,'CAT_CENTROS_COSTO'!$A$4:$A$9,0)),"(sin catálogo)"))</f>
        <v/>
      </c>
      <c r="U553" s="3">
        <f>IF($F553="","",IFERROR(INDEX('CAT_CENTROS_COSTO'!$D$4:$D$9,MATCH($F553,'CAT_CENTROS_COSTO'!$A$4:$A$9,0)),"(sin catálogo)"))</f>
        <v/>
      </c>
      <c r="V553" s="3">
        <f>IF($F553="","",IFERROR(INDEX('CAT_CENTROS_COSTO'!$F$4:$F$9,MATCH($F553,'CAT_CENTROS_COSTO'!$A$4:$A$9,0)),"(sin catálogo)"))</f>
        <v/>
      </c>
      <c r="W553" s="3">
        <f>IF($G553="","",IFERROR(INDEX('CAT_PUESTOS'!$B$4:$B$8,MATCH($G553,'CAT_PUESTOS'!$A$4:$A$8,0)),"(sin catálogo)"))</f>
        <v/>
      </c>
      <c r="X553" s="3">
        <f>IF($H553="","",IFERROR(INDEX('CAT_ACTIVIDADES'!$B$4:$B$8,MATCH($H553,'CAT_ACTIVIDADES'!$A$4:$A$8,0)),"(sin catálogo)"))</f>
        <v/>
      </c>
      <c r="Y553" s="12">
        <f>IF($J553="","",TODAY()-$J553)</f>
        <v/>
      </c>
      <c r="Z553" s="3">
        <f>IF($Y553="","",IF($Y553&lt;0,"FUTURO",IF($Y553&gt;p_dias_backlog_max,"BACKLOG","MES CORRIENTE")))</f>
        <v/>
      </c>
      <c r="AA553" s="3">
        <f>IF($Y553="",FALSE,AND($Y553&gt;p_dias_backlog_min,$Y553&lt;=p_dias_backlog_max))</f>
        <v/>
      </c>
      <c r="AB553" s="6" t="n"/>
      <c r="AC553" s="3">
        <f>IF($AB553="","",IFERROR(INDEX('ASIGNACIONES'!$F$4:$F$339,MATCH($O553&amp;"|"&amp;$R553&amp;"|"&amp;$AB553,'ASIGNACIONES'!$I$4:$I$339,0)),""))</f>
        <v/>
      </c>
      <c r="AD553" s="13">
        <f>IF($AB553="","",SUMIFS('ORDENES'!$M$4:$M$1203,'ORDENES'!$AB$4:$AB$1203,$AB553,'ORDENES'!$O$4:$O$1203,$O553,'ORDENES'!$R$4:$R$1203,$R553))</f>
        <v/>
      </c>
      <c r="AE553" s="13">
        <f>IF($AD553="","",p_factor_productividad*IFERROR(INDEX('ASIGNACIONES'!$H$4:$H$339,MATCH($O553&amp;"|"&amp;$R553&amp;"|"&amp;$AB553,'ASIGNACIONES'!$I$4:$I$339,0)),0)-$AD553)</f>
        <v/>
      </c>
      <c r="AF553" s="10">
        <f>IF($A553="","",IFERROR(INDEX('2_IMPORTAR_EJECUCION'!$F$9:$F$1208,MATCH($AN553,'2_IMPORTAR_EJECUCION'!$J$9:$J$1208,0)),0))</f>
        <v/>
      </c>
      <c r="AG553" s="10">
        <f>IF($A553="","",MAX(0,IFERROR(INDEX('2_IMPORTAR_EJECUCION'!$H$9:$H$1208,MATCH($AN553,'2_IMPORTAR_EJECUCION'!$J$9:$J$1208,0)),0)-$AF553))</f>
        <v/>
      </c>
      <c r="AH553" s="10">
        <f>IF($A553="","",$AF553+$AG553)</f>
        <v/>
      </c>
      <c r="AI553" s="6" t="n"/>
      <c r="AJ553" s="6" t="n"/>
      <c r="AK553" s="6" t="n"/>
      <c r="AL553" s="3">
        <f>IF($AK553="","",HYPERLINK(p_ruta_base_checklists&amp;$AK553,"abrir"))</f>
        <v/>
      </c>
      <c r="AM553" s="6" t="n"/>
      <c r="AN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1" t="n"/>
      <c r="K554" s="3" t="n"/>
      <c r="L554" s="10" t="n"/>
      <c r="M554" s="3">
        <f>IF($A554="","",IFERROR(INDEX('AJUSTES'!$B$4:$B$303,MATCH($AN554,'AJUSTES'!$A$4:$A$303,0)),IF($K554="","",$K554)))</f>
        <v/>
      </c>
      <c r="N554" s="3">
        <f>IF($A554="","",IFERROR(INDEX('CAT_ESTADOS_ERP'!$B$4:$B$7,MATCH(IFERROR(INDEX('2_IMPORTAR_EJECUCION'!$C$9:$C$1208,MATCH($AN554,'2_IMPORTAR_EJECUCION'!$J$9:$J$1208,0)),""),'CAT_ESTADOS_ERP'!$A$4:$A$7,0)),"Pendiente"))</f>
        <v/>
      </c>
      <c r="O554" s="3">
        <f>IF($J554="","",YEAR($J554+4-WEEKDAY($J554,2))&amp;"-S"&amp;TEXT(_xlfn.ISOWEEKNUM($J554),"00"))</f>
        <v/>
      </c>
      <c r="P554" s="3">
        <f>IF($J554="","",YEAR($J554))</f>
        <v/>
      </c>
      <c r="Q554" s="3">
        <f>IF($J554="","",MONTH($J554))</f>
        <v/>
      </c>
      <c r="R554" s="3">
        <f>IF($J554="","",INDEX(lista_dias,WEEKDAY($J554,2)))</f>
        <v/>
      </c>
      <c r="S554" s="3">
        <f>IF($I554="","",IFERROR(INDEX('CAT_TIPOS_OT'!$C$4:$C$7,MATCH($I554,'CAT_TIPOS_OT'!$A$4:$A$7,0)),"sin_clasificar"))</f>
        <v/>
      </c>
      <c r="T554" s="3">
        <f>IF($F554="","",IFERROR(INDEX('CAT_CENTROS_COSTO'!$E$4:$E$9,MATCH($F554,'CAT_CENTROS_COSTO'!$A$4:$A$9,0)),"(sin catálogo)"))</f>
        <v/>
      </c>
      <c r="U554" s="3">
        <f>IF($F554="","",IFERROR(INDEX('CAT_CENTROS_COSTO'!$D$4:$D$9,MATCH($F554,'CAT_CENTROS_COSTO'!$A$4:$A$9,0)),"(sin catálogo)"))</f>
        <v/>
      </c>
      <c r="V554" s="3">
        <f>IF($F554="","",IFERROR(INDEX('CAT_CENTROS_COSTO'!$F$4:$F$9,MATCH($F554,'CAT_CENTROS_COSTO'!$A$4:$A$9,0)),"(sin catálogo)"))</f>
        <v/>
      </c>
      <c r="W554" s="3">
        <f>IF($G554="","",IFERROR(INDEX('CAT_PUESTOS'!$B$4:$B$8,MATCH($G554,'CAT_PUESTOS'!$A$4:$A$8,0)),"(sin catálogo)"))</f>
        <v/>
      </c>
      <c r="X554" s="3">
        <f>IF($H554="","",IFERROR(INDEX('CAT_ACTIVIDADES'!$B$4:$B$8,MATCH($H554,'CAT_ACTIVIDADES'!$A$4:$A$8,0)),"(sin catálogo)"))</f>
        <v/>
      </c>
      <c r="Y554" s="12">
        <f>IF($J554="","",TODAY()-$J554)</f>
        <v/>
      </c>
      <c r="Z554" s="3">
        <f>IF($Y554="","",IF($Y554&lt;0,"FUTURO",IF($Y554&gt;p_dias_backlog_max,"BACKLOG","MES CORRIENTE")))</f>
        <v/>
      </c>
      <c r="AA554" s="3">
        <f>IF($Y554="",FALSE,AND($Y554&gt;p_dias_backlog_min,$Y554&lt;=p_dias_backlog_max))</f>
        <v/>
      </c>
      <c r="AB554" s="6" t="n"/>
      <c r="AC554" s="3">
        <f>IF($AB554="","",IFERROR(INDEX('ASIGNACIONES'!$F$4:$F$339,MATCH($O554&amp;"|"&amp;$R554&amp;"|"&amp;$AB554,'ASIGNACIONES'!$I$4:$I$339,0)),""))</f>
        <v/>
      </c>
      <c r="AD554" s="13">
        <f>IF($AB554="","",SUMIFS('ORDENES'!$M$4:$M$1203,'ORDENES'!$AB$4:$AB$1203,$AB554,'ORDENES'!$O$4:$O$1203,$O554,'ORDENES'!$R$4:$R$1203,$R554))</f>
        <v/>
      </c>
      <c r="AE554" s="13">
        <f>IF($AD554="","",p_factor_productividad*IFERROR(INDEX('ASIGNACIONES'!$H$4:$H$339,MATCH($O554&amp;"|"&amp;$R554&amp;"|"&amp;$AB554,'ASIGNACIONES'!$I$4:$I$339,0)),0)-$AD554)</f>
        <v/>
      </c>
      <c r="AF554" s="10">
        <f>IF($A554="","",IFERROR(INDEX('2_IMPORTAR_EJECUCION'!$F$9:$F$1208,MATCH($AN554,'2_IMPORTAR_EJECUCION'!$J$9:$J$1208,0)),0))</f>
        <v/>
      </c>
      <c r="AG554" s="10">
        <f>IF($A554="","",MAX(0,IFERROR(INDEX('2_IMPORTAR_EJECUCION'!$H$9:$H$1208,MATCH($AN554,'2_IMPORTAR_EJECUCION'!$J$9:$J$1208,0)),0)-$AF554))</f>
        <v/>
      </c>
      <c r="AH554" s="10">
        <f>IF($A554="","",$AF554+$AG554)</f>
        <v/>
      </c>
      <c r="AI554" s="6" t="n"/>
      <c r="AJ554" s="6" t="n"/>
      <c r="AK554" s="6" t="n"/>
      <c r="AL554" s="3">
        <f>IF($AK554="","",HYPERLINK(p_ruta_base_checklists&amp;$AK554,"abrir"))</f>
        <v/>
      </c>
      <c r="AM554" s="6" t="n"/>
      <c r="AN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1" t="n"/>
      <c r="K555" s="3" t="n"/>
      <c r="L555" s="10" t="n"/>
      <c r="M555" s="3">
        <f>IF($A555="","",IFERROR(INDEX('AJUSTES'!$B$4:$B$303,MATCH($AN555,'AJUSTES'!$A$4:$A$303,0)),IF($K555="","",$K555)))</f>
        <v/>
      </c>
      <c r="N555" s="3">
        <f>IF($A555="","",IFERROR(INDEX('CAT_ESTADOS_ERP'!$B$4:$B$7,MATCH(IFERROR(INDEX('2_IMPORTAR_EJECUCION'!$C$9:$C$1208,MATCH($AN555,'2_IMPORTAR_EJECUCION'!$J$9:$J$1208,0)),""),'CAT_ESTADOS_ERP'!$A$4:$A$7,0)),"Pendiente"))</f>
        <v/>
      </c>
      <c r="O555" s="3">
        <f>IF($J555="","",YEAR($J555+4-WEEKDAY($J555,2))&amp;"-S"&amp;TEXT(_xlfn.ISOWEEKNUM($J555),"00"))</f>
        <v/>
      </c>
      <c r="P555" s="3">
        <f>IF($J555="","",YEAR($J555))</f>
        <v/>
      </c>
      <c r="Q555" s="3">
        <f>IF($J555="","",MONTH($J555))</f>
        <v/>
      </c>
      <c r="R555" s="3">
        <f>IF($J555="","",INDEX(lista_dias,WEEKDAY($J555,2)))</f>
        <v/>
      </c>
      <c r="S555" s="3">
        <f>IF($I555="","",IFERROR(INDEX('CAT_TIPOS_OT'!$C$4:$C$7,MATCH($I555,'CAT_TIPOS_OT'!$A$4:$A$7,0)),"sin_clasificar"))</f>
        <v/>
      </c>
      <c r="T555" s="3">
        <f>IF($F555="","",IFERROR(INDEX('CAT_CENTROS_COSTO'!$E$4:$E$9,MATCH($F555,'CAT_CENTROS_COSTO'!$A$4:$A$9,0)),"(sin catálogo)"))</f>
        <v/>
      </c>
      <c r="U555" s="3">
        <f>IF($F555="","",IFERROR(INDEX('CAT_CENTROS_COSTO'!$D$4:$D$9,MATCH($F555,'CAT_CENTROS_COSTO'!$A$4:$A$9,0)),"(sin catálogo)"))</f>
        <v/>
      </c>
      <c r="V555" s="3">
        <f>IF($F555="","",IFERROR(INDEX('CAT_CENTROS_COSTO'!$F$4:$F$9,MATCH($F555,'CAT_CENTROS_COSTO'!$A$4:$A$9,0)),"(sin catálogo)"))</f>
        <v/>
      </c>
      <c r="W555" s="3">
        <f>IF($G555="","",IFERROR(INDEX('CAT_PUESTOS'!$B$4:$B$8,MATCH($G555,'CAT_PUESTOS'!$A$4:$A$8,0)),"(sin catálogo)"))</f>
        <v/>
      </c>
      <c r="X555" s="3">
        <f>IF($H555="","",IFERROR(INDEX('CAT_ACTIVIDADES'!$B$4:$B$8,MATCH($H555,'CAT_ACTIVIDADES'!$A$4:$A$8,0)),"(sin catálogo)"))</f>
        <v/>
      </c>
      <c r="Y555" s="12">
        <f>IF($J555="","",TODAY()-$J555)</f>
        <v/>
      </c>
      <c r="Z555" s="3">
        <f>IF($Y555="","",IF($Y555&lt;0,"FUTURO",IF($Y555&gt;p_dias_backlog_max,"BACKLOG","MES CORRIENTE")))</f>
        <v/>
      </c>
      <c r="AA555" s="3">
        <f>IF($Y555="",FALSE,AND($Y555&gt;p_dias_backlog_min,$Y555&lt;=p_dias_backlog_max))</f>
        <v/>
      </c>
      <c r="AB555" s="6" t="n"/>
      <c r="AC555" s="3">
        <f>IF($AB555="","",IFERROR(INDEX('ASIGNACIONES'!$F$4:$F$339,MATCH($O555&amp;"|"&amp;$R555&amp;"|"&amp;$AB555,'ASIGNACIONES'!$I$4:$I$339,0)),""))</f>
        <v/>
      </c>
      <c r="AD555" s="13">
        <f>IF($AB555="","",SUMIFS('ORDENES'!$M$4:$M$1203,'ORDENES'!$AB$4:$AB$1203,$AB555,'ORDENES'!$O$4:$O$1203,$O555,'ORDENES'!$R$4:$R$1203,$R555))</f>
        <v/>
      </c>
      <c r="AE555" s="13">
        <f>IF($AD555="","",p_factor_productividad*IFERROR(INDEX('ASIGNACIONES'!$H$4:$H$339,MATCH($O555&amp;"|"&amp;$R555&amp;"|"&amp;$AB555,'ASIGNACIONES'!$I$4:$I$339,0)),0)-$AD555)</f>
        <v/>
      </c>
      <c r="AF555" s="10">
        <f>IF($A555="","",IFERROR(INDEX('2_IMPORTAR_EJECUCION'!$F$9:$F$1208,MATCH($AN555,'2_IMPORTAR_EJECUCION'!$J$9:$J$1208,0)),0))</f>
        <v/>
      </c>
      <c r="AG555" s="10">
        <f>IF($A555="","",MAX(0,IFERROR(INDEX('2_IMPORTAR_EJECUCION'!$H$9:$H$1208,MATCH($AN555,'2_IMPORTAR_EJECUCION'!$J$9:$J$1208,0)),0)-$AF555))</f>
        <v/>
      </c>
      <c r="AH555" s="10">
        <f>IF($A555="","",$AF555+$AG555)</f>
        <v/>
      </c>
      <c r="AI555" s="6" t="n"/>
      <c r="AJ555" s="6" t="n"/>
      <c r="AK555" s="6" t="n"/>
      <c r="AL555" s="3">
        <f>IF($AK555="","",HYPERLINK(p_ruta_base_checklists&amp;$AK555,"abrir"))</f>
        <v/>
      </c>
      <c r="AM555" s="6" t="n"/>
      <c r="AN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1" t="n"/>
      <c r="K556" s="3" t="n"/>
      <c r="L556" s="10" t="n"/>
      <c r="M556" s="3">
        <f>IF($A556="","",IFERROR(INDEX('AJUSTES'!$B$4:$B$303,MATCH($AN556,'AJUSTES'!$A$4:$A$303,0)),IF($K556="","",$K556)))</f>
        <v/>
      </c>
      <c r="N556" s="3">
        <f>IF($A556="","",IFERROR(INDEX('CAT_ESTADOS_ERP'!$B$4:$B$7,MATCH(IFERROR(INDEX('2_IMPORTAR_EJECUCION'!$C$9:$C$1208,MATCH($AN556,'2_IMPORTAR_EJECUCION'!$J$9:$J$1208,0)),""),'CAT_ESTADOS_ERP'!$A$4:$A$7,0)),"Pendiente"))</f>
        <v/>
      </c>
      <c r="O556" s="3">
        <f>IF($J556="","",YEAR($J556+4-WEEKDAY($J556,2))&amp;"-S"&amp;TEXT(_xlfn.ISOWEEKNUM($J556),"00"))</f>
        <v/>
      </c>
      <c r="P556" s="3">
        <f>IF($J556="","",YEAR($J556))</f>
        <v/>
      </c>
      <c r="Q556" s="3">
        <f>IF($J556="","",MONTH($J556))</f>
        <v/>
      </c>
      <c r="R556" s="3">
        <f>IF($J556="","",INDEX(lista_dias,WEEKDAY($J556,2)))</f>
        <v/>
      </c>
      <c r="S556" s="3">
        <f>IF($I556="","",IFERROR(INDEX('CAT_TIPOS_OT'!$C$4:$C$7,MATCH($I556,'CAT_TIPOS_OT'!$A$4:$A$7,0)),"sin_clasificar"))</f>
        <v/>
      </c>
      <c r="T556" s="3">
        <f>IF($F556="","",IFERROR(INDEX('CAT_CENTROS_COSTO'!$E$4:$E$9,MATCH($F556,'CAT_CENTROS_COSTO'!$A$4:$A$9,0)),"(sin catálogo)"))</f>
        <v/>
      </c>
      <c r="U556" s="3">
        <f>IF($F556="","",IFERROR(INDEX('CAT_CENTROS_COSTO'!$D$4:$D$9,MATCH($F556,'CAT_CENTROS_COSTO'!$A$4:$A$9,0)),"(sin catálogo)"))</f>
        <v/>
      </c>
      <c r="V556" s="3">
        <f>IF($F556="","",IFERROR(INDEX('CAT_CENTROS_COSTO'!$F$4:$F$9,MATCH($F556,'CAT_CENTROS_COSTO'!$A$4:$A$9,0)),"(sin catálogo)"))</f>
        <v/>
      </c>
      <c r="W556" s="3">
        <f>IF($G556="","",IFERROR(INDEX('CAT_PUESTOS'!$B$4:$B$8,MATCH($G556,'CAT_PUESTOS'!$A$4:$A$8,0)),"(sin catálogo)"))</f>
        <v/>
      </c>
      <c r="X556" s="3">
        <f>IF($H556="","",IFERROR(INDEX('CAT_ACTIVIDADES'!$B$4:$B$8,MATCH($H556,'CAT_ACTIVIDADES'!$A$4:$A$8,0)),"(sin catálogo)"))</f>
        <v/>
      </c>
      <c r="Y556" s="12">
        <f>IF($J556="","",TODAY()-$J556)</f>
        <v/>
      </c>
      <c r="Z556" s="3">
        <f>IF($Y556="","",IF($Y556&lt;0,"FUTURO",IF($Y556&gt;p_dias_backlog_max,"BACKLOG","MES CORRIENTE")))</f>
        <v/>
      </c>
      <c r="AA556" s="3">
        <f>IF($Y556="",FALSE,AND($Y556&gt;p_dias_backlog_min,$Y556&lt;=p_dias_backlog_max))</f>
        <v/>
      </c>
      <c r="AB556" s="6" t="n"/>
      <c r="AC556" s="3">
        <f>IF($AB556="","",IFERROR(INDEX('ASIGNACIONES'!$F$4:$F$339,MATCH($O556&amp;"|"&amp;$R556&amp;"|"&amp;$AB556,'ASIGNACIONES'!$I$4:$I$339,0)),""))</f>
        <v/>
      </c>
      <c r="AD556" s="13">
        <f>IF($AB556="","",SUMIFS('ORDENES'!$M$4:$M$1203,'ORDENES'!$AB$4:$AB$1203,$AB556,'ORDENES'!$O$4:$O$1203,$O556,'ORDENES'!$R$4:$R$1203,$R556))</f>
        <v/>
      </c>
      <c r="AE556" s="13">
        <f>IF($AD556="","",p_factor_productividad*IFERROR(INDEX('ASIGNACIONES'!$H$4:$H$339,MATCH($O556&amp;"|"&amp;$R556&amp;"|"&amp;$AB556,'ASIGNACIONES'!$I$4:$I$339,0)),0)-$AD556)</f>
        <v/>
      </c>
      <c r="AF556" s="10">
        <f>IF($A556="","",IFERROR(INDEX('2_IMPORTAR_EJECUCION'!$F$9:$F$1208,MATCH($AN556,'2_IMPORTAR_EJECUCION'!$J$9:$J$1208,0)),0))</f>
        <v/>
      </c>
      <c r="AG556" s="10">
        <f>IF($A556="","",MAX(0,IFERROR(INDEX('2_IMPORTAR_EJECUCION'!$H$9:$H$1208,MATCH($AN556,'2_IMPORTAR_EJECUCION'!$J$9:$J$1208,0)),0)-$AF556))</f>
        <v/>
      </c>
      <c r="AH556" s="10">
        <f>IF($A556="","",$AF556+$AG556)</f>
        <v/>
      </c>
      <c r="AI556" s="6" t="n"/>
      <c r="AJ556" s="6" t="n"/>
      <c r="AK556" s="6" t="n"/>
      <c r="AL556" s="3">
        <f>IF($AK556="","",HYPERLINK(p_ruta_base_checklists&amp;$AK556,"abrir"))</f>
        <v/>
      </c>
      <c r="AM556" s="6" t="n"/>
      <c r="AN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1" t="n"/>
      <c r="K557" s="3" t="n"/>
      <c r="L557" s="10" t="n"/>
      <c r="M557" s="3">
        <f>IF($A557="","",IFERROR(INDEX('AJUSTES'!$B$4:$B$303,MATCH($AN557,'AJUSTES'!$A$4:$A$303,0)),IF($K557="","",$K557)))</f>
        <v/>
      </c>
      <c r="N557" s="3">
        <f>IF($A557="","",IFERROR(INDEX('CAT_ESTADOS_ERP'!$B$4:$B$7,MATCH(IFERROR(INDEX('2_IMPORTAR_EJECUCION'!$C$9:$C$1208,MATCH($AN557,'2_IMPORTAR_EJECUCION'!$J$9:$J$1208,0)),""),'CAT_ESTADOS_ERP'!$A$4:$A$7,0)),"Pendiente"))</f>
        <v/>
      </c>
      <c r="O557" s="3">
        <f>IF($J557="","",YEAR($J557+4-WEEKDAY($J557,2))&amp;"-S"&amp;TEXT(_xlfn.ISOWEEKNUM($J557),"00"))</f>
        <v/>
      </c>
      <c r="P557" s="3">
        <f>IF($J557="","",YEAR($J557))</f>
        <v/>
      </c>
      <c r="Q557" s="3">
        <f>IF($J557="","",MONTH($J557))</f>
        <v/>
      </c>
      <c r="R557" s="3">
        <f>IF($J557="","",INDEX(lista_dias,WEEKDAY($J557,2)))</f>
        <v/>
      </c>
      <c r="S557" s="3">
        <f>IF($I557="","",IFERROR(INDEX('CAT_TIPOS_OT'!$C$4:$C$7,MATCH($I557,'CAT_TIPOS_OT'!$A$4:$A$7,0)),"sin_clasificar"))</f>
        <v/>
      </c>
      <c r="T557" s="3">
        <f>IF($F557="","",IFERROR(INDEX('CAT_CENTROS_COSTO'!$E$4:$E$9,MATCH($F557,'CAT_CENTROS_COSTO'!$A$4:$A$9,0)),"(sin catálogo)"))</f>
        <v/>
      </c>
      <c r="U557" s="3">
        <f>IF($F557="","",IFERROR(INDEX('CAT_CENTROS_COSTO'!$D$4:$D$9,MATCH($F557,'CAT_CENTROS_COSTO'!$A$4:$A$9,0)),"(sin catálogo)"))</f>
        <v/>
      </c>
      <c r="V557" s="3">
        <f>IF($F557="","",IFERROR(INDEX('CAT_CENTROS_COSTO'!$F$4:$F$9,MATCH($F557,'CAT_CENTROS_COSTO'!$A$4:$A$9,0)),"(sin catálogo)"))</f>
        <v/>
      </c>
      <c r="W557" s="3">
        <f>IF($G557="","",IFERROR(INDEX('CAT_PUESTOS'!$B$4:$B$8,MATCH($G557,'CAT_PUESTOS'!$A$4:$A$8,0)),"(sin catálogo)"))</f>
        <v/>
      </c>
      <c r="X557" s="3">
        <f>IF($H557="","",IFERROR(INDEX('CAT_ACTIVIDADES'!$B$4:$B$8,MATCH($H557,'CAT_ACTIVIDADES'!$A$4:$A$8,0)),"(sin catálogo)"))</f>
        <v/>
      </c>
      <c r="Y557" s="12">
        <f>IF($J557="","",TODAY()-$J557)</f>
        <v/>
      </c>
      <c r="Z557" s="3">
        <f>IF($Y557="","",IF($Y557&lt;0,"FUTURO",IF($Y557&gt;p_dias_backlog_max,"BACKLOG","MES CORRIENTE")))</f>
        <v/>
      </c>
      <c r="AA557" s="3">
        <f>IF($Y557="",FALSE,AND($Y557&gt;p_dias_backlog_min,$Y557&lt;=p_dias_backlog_max))</f>
        <v/>
      </c>
      <c r="AB557" s="6" t="n"/>
      <c r="AC557" s="3">
        <f>IF($AB557="","",IFERROR(INDEX('ASIGNACIONES'!$F$4:$F$339,MATCH($O557&amp;"|"&amp;$R557&amp;"|"&amp;$AB557,'ASIGNACIONES'!$I$4:$I$339,0)),""))</f>
        <v/>
      </c>
      <c r="AD557" s="13">
        <f>IF($AB557="","",SUMIFS('ORDENES'!$M$4:$M$1203,'ORDENES'!$AB$4:$AB$1203,$AB557,'ORDENES'!$O$4:$O$1203,$O557,'ORDENES'!$R$4:$R$1203,$R557))</f>
        <v/>
      </c>
      <c r="AE557" s="13">
        <f>IF($AD557="","",p_factor_productividad*IFERROR(INDEX('ASIGNACIONES'!$H$4:$H$339,MATCH($O557&amp;"|"&amp;$R557&amp;"|"&amp;$AB557,'ASIGNACIONES'!$I$4:$I$339,0)),0)-$AD557)</f>
        <v/>
      </c>
      <c r="AF557" s="10">
        <f>IF($A557="","",IFERROR(INDEX('2_IMPORTAR_EJECUCION'!$F$9:$F$1208,MATCH($AN557,'2_IMPORTAR_EJECUCION'!$J$9:$J$1208,0)),0))</f>
        <v/>
      </c>
      <c r="AG557" s="10">
        <f>IF($A557="","",MAX(0,IFERROR(INDEX('2_IMPORTAR_EJECUCION'!$H$9:$H$1208,MATCH($AN557,'2_IMPORTAR_EJECUCION'!$J$9:$J$1208,0)),0)-$AF557))</f>
        <v/>
      </c>
      <c r="AH557" s="10">
        <f>IF($A557="","",$AF557+$AG557)</f>
        <v/>
      </c>
      <c r="AI557" s="6" t="n"/>
      <c r="AJ557" s="6" t="n"/>
      <c r="AK557" s="6" t="n"/>
      <c r="AL557" s="3">
        <f>IF($AK557="","",HYPERLINK(p_ruta_base_checklists&amp;$AK557,"abrir"))</f>
        <v/>
      </c>
      <c r="AM557" s="6" t="n"/>
      <c r="AN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1" t="n"/>
      <c r="K558" s="3" t="n"/>
      <c r="L558" s="10" t="n"/>
      <c r="M558" s="3">
        <f>IF($A558="","",IFERROR(INDEX('AJUSTES'!$B$4:$B$303,MATCH($AN558,'AJUSTES'!$A$4:$A$303,0)),IF($K558="","",$K558)))</f>
        <v/>
      </c>
      <c r="N558" s="3">
        <f>IF($A558="","",IFERROR(INDEX('CAT_ESTADOS_ERP'!$B$4:$B$7,MATCH(IFERROR(INDEX('2_IMPORTAR_EJECUCION'!$C$9:$C$1208,MATCH($AN558,'2_IMPORTAR_EJECUCION'!$J$9:$J$1208,0)),""),'CAT_ESTADOS_ERP'!$A$4:$A$7,0)),"Pendiente"))</f>
        <v/>
      </c>
      <c r="O558" s="3">
        <f>IF($J558="","",YEAR($J558+4-WEEKDAY($J558,2))&amp;"-S"&amp;TEXT(_xlfn.ISOWEEKNUM($J558),"00"))</f>
        <v/>
      </c>
      <c r="P558" s="3">
        <f>IF($J558="","",YEAR($J558))</f>
        <v/>
      </c>
      <c r="Q558" s="3">
        <f>IF($J558="","",MONTH($J558))</f>
        <v/>
      </c>
      <c r="R558" s="3">
        <f>IF($J558="","",INDEX(lista_dias,WEEKDAY($J558,2)))</f>
        <v/>
      </c>
      <c r="S558" s="3">
        <f>IF($I558="","",IFERROR(INDEX('CAT_TIPOS_OT'!$C$4:$C$7,MATCH($I558,'CAT_TIPOS_OT'!$A$4:$A$7,0)),"sin_clasificar"))</f>
        <v/>
      </c>
      <c r="T558" s="3">
        <f>IF($F558="","",IFERROR(INDEX('CAT_CENTROS_COSTO'!$E$4:$E$9,MATCH($F558,'CAT_CENTROS_COSTO'!$A$4:$A$9,0)),"(sin catálogo)"))</f>
        <v/>
      </c>
      <c r="U558" s="3">
        <f>IF($F558="","",IFERROR(INDEX('CAT_CENTROS_COSTO'!$D$4:$D$9,MATCH($F558,'CAT_CENTROS_COSTO'!$A$4:$A$9,0)),"(sin catálogo)"))</f>
        <v/>
      </c>
      <c r="V558" s="3">
        <f>IF($F558="","",IFERROR(INDEX('CAT_CENTROS_COSTO'!$F$4:$F$9,MATCH($F558,'CAT_CENTROS_COSTO'!$A$4:$A$9,0)),"(sin catálogo)"))</f>
        <v/>
      </c>
      <c r="W558" s="3">
        <f>IF($G558="","",IFERROR(INDEX('CAT_PUESTOS'!$B$4:$B$8,MATCH($G558,'CAT_PUESTOS'!$A$4:$A$8,0)),"(sin catálogo)"))</f>
        <v/>
      </c>
      <c r="X558" s="3">
        <f>IF($H558="","",IFERROR(INDEX('CAT_ACTIVIDADES'!$B$4:$B$8,MATCH($H558,'CAT_ACTIVIDADES'!$A$4:$A$8,0)),"(sin catálogo)"))</f>
        <v/>
      </c>
      <c r="Y558" s="12">
        <f>IF($J558="","",TODAY()-$J558)</f>
        <v/>
      </c>
      <c r="Z558" s="3">
        <f>IF($Y558="","",IF($Y558&lt;0,"FUTURO",IF($Y558&gt;p_dias_backlog_max,"BACKLOG","MES CORRIENTE")))</f>
        <v/>
      </c>
      <c r="AA558" s="3">
        <f>IF($Y558="",FALSE,AND($Y558&gt;p_dias_backlog_min,$Y558&lt;=p_dias_backlog_max))</f>
        <v/>
      </c>
      <c r="AB558" s="6" t="n"/>
      <c r="AC558" s="3">
        <f>IF($AB558="","",IFERROR(INDEX('ASIGNACIONES'!$F$4:$F$339,MATCH($O558&amp;"|"&amp;$R558&amp;"|"&amp;$AB558,'ASIGNACIONES'!$I$4:$I$339,0)),""))</f>
        <v/>
      </c>
      <c r="AD558" s="13">
        <f>IF($AB558="","",SUMIFS('ORDENES'!$M$4:$M$1203,'ORDENES'!$AB$4:$AB$1203,$AB558,'ORDENES'!$O$4:$O$1203,$O558,'ORDENES'!$R$4:$R$1203,$R558))</f>
        <v/>
      </c>
      <c r="AE558" s="13">
        <f>IF($AD558="","",p_factor_productividad*IFERROR(INDEX('ASIGNACIONES'!$H$4:$H$339,MATCH($O558&amp;"|"&amp;$R558&amp;"|"&amp;$AB558,'ASIGNACIONES'!$I$4:$I$339,0)),0)-$AD558)</f>
        <v/>
      </c>
      <c r="AF558" s="10">
        <f>IF($A558="","",IFERROR(INDEX('2_IMPORTAR_EJECUCION'!$F$9:$F$1208,MATCH($AN558,'2_IMPORTAR_EJECUCION'!$J$9:$J$1208,0)),0))</f>
        <v/>
      </c>
      <c r="AG558" s="10">
        <f>IF($A558="","",MAX(0,IFERROR(INDEX('2_IMPORTAR_EJECUCION'!$H$9:$H$1208,MATCH($AN558,'2_IMPORTAR_EJECUCION'!$J$9:$J$1208,0)),0)-$AF558))</f>
        <v/>
      </c>
      <c r="AH558" s="10">
        <f>IF($A558="","",$AF558+$AG558)</f>
        <v/>
      </c>
      <c r="AI558" s="6" t="n"/>
      <c r="AJ558" s="6" t="n"/>
      <c r="AK558" s="6" t="n"/>
      <c r="AL558" s="3">
        <f>IF($AK558="","",HYPERLINK(p_ruta_base_checklists&amp;$AK558,"abrir"))</f>
        <v/>
      </c>
      <c r="AM558" s="6" t="n"/>
      <c r="AN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1" t="n"/>
      <c r="K559" s="3" t="n"/>
      <c r="L559" s="10" t="n"/>
      <c r="M559" s="3">
        <f>IF($A559="","",IFERROR(INDEX('AJUSTES'!$B$4:$B$303,MATCH($AN559,'AJUSTES'!$A$4:$A$303,0)),IF($K559="","",$K559)))</f>
        <v/>
      </c>
      <c r="N559" s="3">
        <f>IF($A559="","",IFERROR(INDEX('CAT_ESTADOS_ERP'!$B$4:$B$7,MATCH(IFERROR(INDEX('2_IMPORTAR_EJECUCION'!$C$9:$C$1208,MATCH($AN559,'2_IMPORTAR_EJECUCION'!$J$9:$J$1208,0)),""),'CAT_ESTADOS_ERP'!$A$4:$A$7,0)),"Pendiente"))</f>
        <v/>
      </c>
      <c r="O559" s="3">
        <f>IF($J559="","",YEAR($J559+4-WEEKDAY($J559,2))&amp;"-S"&amp;TEXT(_xlfn.ISOWEEKNUM($J559),"00"))</f>
        <v/>
      </c>
      <c r="P559" s="3">
        <f>IF($J559="","",YEAR($J559))</f>
        <v/>
      </c>
      <c r="Q559" s="3">
        <f>IF($J559="","",MONTH($J559))</f>
        <v/>
      </c>
      <c r="R559" s="3">
        <f>IF($J559="","",INDEX(lista_dias,WEEKDAY($J559,2)))</f>
        <v/>
      </c>
      <c r="S559" s="3">
        <f>IF($I559="","",IFERROR(INDEX('CAT_TIPOS_OT'!$C$4:$C$7,MATCH($I559,'CAT_TIPOS_OT'!$A$4:$A$7,0)),"sin_clasificar"))</f>
        <v/>
      </c>
      <c r="T559" s="3">
        <f>IF($F559="","",IFERROR(INDEX('CAT_CENTROS_COSTO'!$E$4:$E$9,MATCH($F559,'CAT_CENTROS_COSTO'!$A$4:$A$9,0)),"(sin catálogo)"))</f>
        <v/>
      </c>
      <c r="U559" s="3">
        <f>IF($F559="","",IFERROR(INDEX('CAT_CENTROS_COSTO'!$D$4:$D$9,MATCH($F559,'CAT_CENTROS_COSTO'!$A$4:$A$9,0)),"(sin catálogo)"))</f>
        <v/>
      </c>
      <c r="V559" s="3">
        <f>IF($F559="","",IFERROR(INDEX('CAT_CENTROS_COSTO'!$F$4:$F$9,MATCH($F559,'CAT_CENTROS_COSTO'!$A$4:$A$9,0)),"(sin catálogo)"))</f>
        <v/>
      </c>
      <c r="W559" s="3">
        <f>IF($G559="","",IFERROR(INDEX('CAT_PUESTOS'!$B$4:$B$8,MATCH($G559,'CAT_PUESTOS'!$A$4:$A$8,0)),"(sin catálogo)"))</f>
        <v/>
      </c>
      <c r="X559" s="3">
        <f>IF($H559="","",IFERROR(INDEX('CAT_ACTIVIDADES'!$B$4:$B$8,MATCH($H559,'CAT_ACTIVIDADES'!$A$4:$A$8,0)),"(sin catálogo)"))</f>
        <v/>
      </c>
      <c r="Y559" s="12">
        <f>IF($J559="","",TODAY()-$J559)</f>
        <v/>
      </c>
      <c r="Z559" s="3">
        <f>IF($Y559="","",IF($Y559&lt;0,"FUTURO",IF($Y559&gt;p_dias_backlog_max,"BACKLOG","MES CORRIENTE")))</f>
        <v/>
      </c>
      <c r="AA559" s="3">
        <f>IF($Y559="",FALSE,AND($Y559&gt;p_dias_backlog_min,$Y559&lt;=p_dias_backlog_max))</f>
        <v/>
      </c>
      <c r="AB559" s="6" t="n"/>
      <c r="AC559" s="3">
        <f>IF($AB559="","",IFERROR(INDEX('ASIGNACIONES'!$F$4:$F$339,MATCH($O559&amp;"|"&amp;$R559&amp;"|"&amp;$AB559,'ASIGNACIONES'!$I$4:$I$339,0)),""))</f>
        <v/>
      </c>
      <c r="AD559" s="13">
        <f>IF($AB559="","",SUMIFS('ORDENES'!$M$4:$M$1203,'ORDENES'!$AB$4:$AB$1203,$AB559,'ORDENES'!$O$4:$O$1203,$O559,'ORDENES'!$R$4:$R$1203,$R559))</f>
        <v/>
      </c>
      <c r="AE559" s="13">
        <f>IF($AD559="","",p_factor_productividad*IFERROR(INDEX('ASIGNACIONES'!$H$4:$H$339,MATCH($O559&amp;"|"&amp;$R559&amp;"|"&amp;$AB559,'ASIGNACIONES'!$I$4:$I$339,0)),0)-$AD559)</f>
        <v/>
      </c>
      <c r="AF559" s="10">
        <f>IF($A559="","",IFERROR(INDEX('2_IMPORTAR_EJECUCION'!$F$9:$F$1208,MATCH($AN559,'2_IMPORTAR_EJECUCION'!$J$9:$J$1208,0)),0))</f>
        <v/>
      </c>
      <c r="AG559" s="10">
        <f>IF($A559="","",MAX(0,IFERROR(INDEX('2_IMPORTAR_EJECUCION'!$H$9:$H$1208,MATCH($AN559,'2_IMPORTAR_EJECUCION'!$J$9:$J$1208,0)),0)-$AF559))</f>
        <v/>
      </c>
      <c r="AH559" s="10">
        <f>IF($A559="","",$AF559+$AG559)</f>
        <v/>
      </c>
      <c r="AI559" s="6" t="n"/>
      <c r="AJ559" s="6" t="n"/>
      <c r="AK559" s="6" t="n"/>
      <c r="AL559" s="3">
        <f>IF($AK559="","",HYPERLINK(p_ruta_base_checklists&amp;$AK559,"abrir"))</f>
        <v/>
      </c>
      <c r="AM559" s="6" t="n"/>
      <c r="AN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1" t="n"/>
      <c r="K560" s="3" t="n"/>
      <c r="L560" s="10" t="n"/>
      <c r="M560" s="3">
        <f>IF($A560="","",IFERROR(INDEX('AJUSTES'!$B$4:$B$303,MATCH($AN560,'AJUSTES'!$A$4:$A$303,0)),IF($K560="","",$K560)))</f>
        <v/>
      </c>
      <c r="N560" s="3">
        <f>IF($A560="","",IFERROR(INDEX('CAT_ESTADOS_ERP'!$B$4:$B$7,MATCH(IFERROR(INDEX('2_IMPORTAR_EJECUCION'!$C$9:$C$1208,MATCH($AN560,'2_IMPORTAR_EJECUCION'!$J$9:$J$1208,0)),""),'CAT_ESTADOS_ERP'!$A$4:$A$7,0)),"Pendiente"))</f>
        <v/>
      </c>
      <c r="O560" s="3">
        <f>IF($J560="","",YEAR($J560+4-WEEKDAY($J560,2))&amp;"-S"&amp;TEXT(_xlfn.ISOWEEKNUM($J560),"00"))</f>
        <v/>
      </c>
      <c r="P560" s="3">
        <f>IF($J560="","",YEAR($J560))</f>
        <v/>
      </c>
      <c r="Q560" s="3">
        <f>IF($J560="","",MONTH($J560))</f>
        <v/>
      </c>
      <c r="R560" s="3">
        <f>IF($J560="","",INDEX(lista_dias,WEEKDAY($J560,2)))</f>
        <v/>
      </c>
      <c r="S560" s="3">
        <f>IF($I560="","",IFERROR(INDEX('CAT_TIPOS_OT'!$C$4:$C$7,MATCH($I560,'CAT_TIPOS_OT'!$A$4:$A$7,0)),"sin_clasificar"))</f>
        <v/>
      </c>
      <c r="T560" s="3">
        <f>IF($F560="","",IFERROR(INDEX('CAT_CENTROS_COSTO'!$E$4:$E$9,MATCH($F560,'CAT_CENTROS_COSTO'!$A$4:$A$9,0)),"(sin catálogo)"))</f>
        <v/>
      </c>
      <c r="U560" s="3">
        <f>IF($F560="","",IFERROR(INDEX('CAT_CENTROS_COSTO'!$D$4:$D$9,MATCH($F560,'CAT_CENTROS_COSTO'!$A$4:$A$9,0)),"(sin catálogo)"))</f>
        <v/>
      </c>
      <c r="V560" s="3">
        <f>IF($F560="","",IFERROR(INDEX('CAT_CENTROS_COSTO'!$F$4:$F$9,MATCH($F560,'CAT_CENTROS_COSTO'!$A$4:$A$9,0)),"(sin catálogo)"))</f>
        <v/>
      </c>
      <c r="W560" s="3">
        <f>IF($G560="","",IFERROR(INDEX('CAT_PUESTOS'!$B$4:$B$8,MATCH($G560,'CAT_PUESTOS'!$A$4:$A$8,0)),"(sin catálogo)"))</f>
        <v/>
      </c>
      <c r="X560" s="3">
        <f>IF($H560="","",IFERROR(INDEX('CAT_ACTIVIDADES'!$B$4:$B$8,MATCH($H560,'CAT_ACTIVIDADES'!$A$4:$A$8,0)),"(sin catálogo)"))</f>
        <v/>
      </c>
      <c r="Y560" s="12">
        <f>IF($J560="","",TODAY()-$J560)</f>
        <v/>
      </c>
      <c r="Z560" s="3">
        <f>IF($Y560="","",IF($Y560&lt;0,"FUTURO",IF($Y560&gt;p_dias_backlog_max,"BACKLOG","MES CORRIENTE")))</f>
        <v/>
      </c>
      <c r="AA560" s="3">
        <f>IF($Y560="",FALSE,AND($Y560&gt;p_dias_backlog_min,$Y560&lt;=p_dias_backlog_max))</f>
        <v/>
      </c>
      <c r="AB560" s="6" t="n"/>
      <c r="AC560" s="3">
        <f>IF($AB560="","",IFERROR(INDEX('ASIGNACIONES'!$F$4:$F$339,MATCH($O560&amp;"|"&amp;$R560&amp;"|"&amp;$AB560,'ASIGNACIONES'!$I$4:$I$339,0)),""))</f>
        <v/>
      </c>
      <c r="AD560" s="13">
        <f>IF($AB560="","",SUMIFS('ORDENES'!$M$4:$M$1203,'ORDENES'!$AB$4:$AB$1203,$AB560,'ORDENES'!$O$4:$O$1203,$O560,'ORDENES'!$R$4:$R$1203,$R560))</f>
        <v/>
      </c>
      <c r="AE560" s="13">
        <f>IF($AD560="","",p_factor_productividad*IFERROR(INDEX('ASIGNACIONES'!$H$4:$H$339,MATCH($O560&amp;"|"&amp;$R560&amp;"|"&amp;$AB560,'ASIGNACIONES'!$I$4:$I$339,0)),0)-$AD560)</f>
        <v/>
      </c>
      <c r="AF560" s="10">
        <f>IF($A560="","",IFERROR(INDEX('2_IMPORTAR_EJECUCION'!$F$9:$F$1208,MATCH($AN560,'2_IMPORTAR_EJECUCION'!$J$9:$J$1208,0)),0))</f>
        <v/>
      </c>
      <c r="AG560" s="10">
        <f>IF($A560="","",MAX(0,IFERROR(INDEX('2_IMPORTAR_EJECUCION'!$H$9:$H$1208,MATCH($AN560,'2_IMPORTAR_EJECUCION'!$J$9:$J$1208,0)),0)-$AF560))</f>
        <v/>
      </c>
      <c r="AH560" s="10">
        <f>IF($A560="","",$AF560+$AG560)</f>
        <v/>
      </c>
      <c r="AI560" s="6" t="n"/>
      <c r="AJ560" s="6" t="n"/>
      <c r="AK560" s="6" t="n"/>
      <c r="AL560" s="3">
        <f>IF($AK560="","",HYPERLINK(p_ruta_base_checklists&amp;$AK560,"abrir"))</f>
        <v/>
      </c>
      <c r="AM560" s="6" t="n"/>
      <c r="AN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1" t="n"/>
      <c r="K561" s="3" t="n"/>
      <c r="L561" s="10" t="n"/>
      <c r="M561" s="3">
        <f>IF($A561="","",IFERROR(INDEX('AJUSTES'!$B$4:$B$303,MATCH($AN561,'AJUSTES'!$A$4:$A$303,0)),IF($K561="","",$K561)))</f>
        <v/>
      </c>
      <c r="N561" s="3">
        <f>IF($A561="","",IFERROR(INDEX('CAT_ESTADOS_ERP'!$B$4:$B$7,MATCH(IFERROR(INDEX('2_IMPORTAR_EJECUCION'!$C$9:$C$1208,MATCH($AN561,'2_IMPORTAR_EJECUCION'!$J$9:$J$1208,0)),""),'CAT_ESTADOS_ERP'!$A$4:$A$7,0)),"Pendiente"))</f>
        <v/>
      </c>
      <c r="O561" s="3">
        <f>IF($J561="","",YEAR($J561+4-WEEKDAY($J561,2))&amp;"-S"&amp;TEXT(_xlfn.ISOWEEKNUM($J561),"00"))</f>
        <v/>
      </c>
      <c r="P561" s="3">
        <f>IF($J561="","",YEAR($J561))</f>
        <v/>
      </c>
      <c r="Q561" s="3">
        <f>IF($J561="","",MONTH($J561))</f>
        <v/>
      </c>
      <c r="R561" s="3">
        <f>IF($J561="","",INDEX(lista_dias,WEEKDAY($J561,2)))</f>
        <v/>
      </c>
      <c r="S561" s="3">
        <f>IF($I561="","",IFERROR(INDEX('CAT_TIPOS_OT'!$C$4:$C$7,MATCH($I561,'CAT_TIPOS_OT'!$A$4:$A$7,0)),"sin_clasificar"))</f>
        <v/>
      </c>
      <c r="T561" s="3">
        <f>IF($F561="","",IFERROR(INDEX('CAT_CENTROS_COSTO'!$E$4:$E$9,MATCH($F561,'CAT_CENTROS_COSTO'!$A$4:$A$9,0)),"(sin catálogo)"))</f>
        <v/>
      </c>
      <c r="U561" s="3">
        <f>IF($F561="","",IFERROR(INDEX('CAT_CENTROS_COSTO'!$D$4:$D$9,MATCH($F561,'CAT_CENTROS_COSTO'!$A$4:$A$9,0)),"(sin catálogo)"))</f>
        <v/>
      </c>
      <c r="V561" s="3">
        <f>IF($F561="","",IFERROR(INDEX('CAT_CENTROS_COSTO'!$F$4:$F$9,MATCH($F561,'CAT_CENTROS_COSTO'!$A$4:$A$9,0)),"(sin catálogo)"))</f>
        <v/>
      </c>
      <c r="W561" s="3">
        <f>IF($G561="","",IFERROR(INDEX('CAT_PUESTOS'!$B$4:$B$8,MATCH($G561,'CAT_PUESTOS'!$A$4:$A$8,0)),"(sin catálogo)"))</f>
        <v/>
      </c>
      <c r="X561" s="3">
        <f>IF($H561="","",IFERROR(INDEX('CAT_ACTIVIDADES'!$B$4:$B$8,MATCH($H561,'CAT_ACTIVIDADES'!$A$4:$A$8,0)),"(sin catálogo)"))</f>
        <v/>
      </c>
      <c r="Y561" s="12">
        <f>IF($J561="","",TODAY()-$J561)</f>
        <v/>
      </c>
      <c r="Z561" s="3">
        <f>IF($Y561="","",IF($Y561&lt;0,"FUTURO",IF($Y561&gt;p_dias_backlog_max,"BACKLOG","MES CORRIENTE")))</f>
        <v/>
      </c>
      <c r="AA561" s="3">
        <f>IF($Y561="",FALSE,AND($Y561&gt;p_dias_backlog_min,$Y561&lt;=p_dias_backlog_max))</f>
        <v/>
      </c>
      <c r="AB561" s="6" t="n"/>
      <c r="AC561" s="3">
        <f>IF($AB561="","",IFERROR(INDEX('ASIGNACIONES'!$F$4:$F$339,MATCH($O561&amp;"|"&amp;$R561&amp;"|"&amp;$AB561,'ASIGNACIONES'!$I$4:$I$339,0)),""))</f>
        <v/>
      </c>
      <c r="AD561" s="13">
        <f>IF($AB561="","",SUMIFS('ORDENES'!$M$4:$M$1203,'ORDENES'!$AB$4:$AB$1203,$AB561,'ORDENES'!$O$4:$O$1203,$O561,'ORDENES'!$R$4:$R$1203,$R561))</f>
        <v/>
      </c>
      <c r="AE561" s="13">
        <f>IF($AD561="","",p_factor_productividad*IFERROR(INDEX('ASIGNACIONES'!$H$4:$H$339,MATCH($O561&amp;"|"&amp;$R561&amp;"|"&amp;$AB561,'ASIGNACIONES'!$I$4:$I$339,0)),0)-$AD561)</f>
        <v/>
      </c>
      <c r="AF561" s="10">
        <f>IF($A561="","",IFERROR(INDEX('2_IMPORTAR_EJECUCION'!$F$9:$F$1208,MATCH($AN561,'2_IMPORTAR_EJECUCION'!$J$9:$J$1208,0)),0))</f>
        <v/>
      </c>
      <c r="AG561" s="10">
        <f>IF($A561="","",MAX(0,IFERROR(INDEX('2_IMPORTAR_EJECUCION'!$H$9:$H$1208,MATCH($AN561,'2_IMPORTAR_EJECUCION'!$J$9:$J$1208,0)),0)-$AF561))</f>
        <v/>
      </c>
      <c r="AH561" s="10">
        <f>IF($A561="","",$AF561+$AG561)</f>
        <v/>
      </c>
      <c r="AI561" s="6" t="n"/>
      <c r="AJ561" s="6" t="n"/>
      <c r="AK561" s="6" t="n"/>
      <c r="AL561" s="3">
        <f>IF($AK561="","",HYPERLINK(p_ruta_base_checklists&amp;$AK561,"abrir"))</f>
        <v/>
      </c>
      <c r="AM561" s="6" t="n"/>
      <c r="AN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1" t="n"/>
      <c r="K562" s="3" t="n"/>
      <c r="L562" s="10" t="n"/>
      <c r="M562" s="3">
        <f>IF($A562="","",IFERROR(INDEX('AJUSTES'!$B$4:$B$303,MATCH($AN562,'AJUSTES'!$A$4:$A$303,0)),IF($K562="","",$K562)))</f>
        <v/>
      </c>
      <c r="N562" s="3">
        <f>IF($A562="","",IFERROR(INDEX('CAT_ESTADOS_ERP'!$B$4:$B$7,MATCH(IFERROR(INDEX('2_IMPORTAR_EJECUCION'!$C$9:$C$1208,MATCH($AN562,'2_IMPORTAR_EJECUCION'!$J$9:$J$1208,0)),""),'CAT_ESTADOS_ERP'!$A$4:$A$7,0)),"Pendiente"))</f>
        <v/>
      </c>
      <c r="O562" s="3">
        <f>IF($J562="","",YEAR($J562+4-WEEKDAY($J562,2))&amp;"-S"&amp;TEXT(_xlfn.ISOWEEKNUM($J562),"00"))</f>
        <v/>
      </c>
      <c r="P562" s="3">
        <f>IF($J562="","",YEAR($J562))</f>
        <v/>
      </c>
      <c r="Q562" s="3">
        <f>IF($J562="","",MONTH($J562))</f>
        <v/>
      </c>
      <c r="R562" s="3">
        <f>IF($J562="","",INDEX(lista_dias,WEEKDAY($J562,2)))</f>
        <v/>
      </c>
      <c r="S562" s="3">
        <f>IF($I562="","",IFERROR(INDEX('CAT_TIPOS_OT'!$C$4:$C$7,MATCH($I562,'CAT_TIPOS_OT'!$A$4:$A$7,0)),"sin_clasificar"))</f>
        <v/>
      </c>
      <c r="T562" s="3">
        <f>IF($F562="","",IFERROR(INDEX('CAT_CENTROS_COSTO'!$E$4:$E$9,MATCH($F562,'CAT_CENTROS_COSTO'!$A$4:$A$9,0)),"(sin catálogo)"))</f>
        <v/>
      </c>
      <c r="U562" s="3">
        <f>IF($F562="","",IFERROR(INDEX('CAT_CENTROS_COSTO'!$D$4:$D$9,MATCH($F562,'CAT_CENTROS_COSTO'!$A$4:$A$9,0)),"(sin catálogo)"))</f>
        <v/>
      </c>
      <c r="V562" s="3">
        <f>IF($F562="","",IFERROR(INDEX('CAT_CENTROS_COSTO'!$F$4:$F$9,MATCH($F562,'CAT_CENTROS_COSTO'!$A$4:$A$9,0)),"(sin catálogo)"))</f>
        <v/>
      </c>
      <c r="W562" s="3">
        <f>IF($G562="","",IFERROR(INDEX('CAT_PUESTOS'!$B$4:$B$8,MATCH($G562,'CAT_PUESTOS'!$A$4:$A$8,0)),"(sin catálogo)"))</f>
        <v/>
      </c>
      <c r="X562" s="3">
        <f>IF($H562="","",IFERROR(INDEX('CAT_ACTIVIDADES'!$B$4:$B$8,MATCH($H562,'CAT_ACTIVIDADES'!$A$4:$A$8,0)),"(sin catálogo)"))</f>
        <v/>
      </c>
      <c r="Y562" s="12">
        <f>IF($J562="","",TODAY()-$J562)</f>
        <v/>
      </c>
      <c r="Z562" s="3">
        <f>IF($Y562="","",IF($Y562&lt;0,"FUTURO",IF($Y562&gt;p_dias_backlog_max,"BACKLOG","MES CORRIENTE")))</f>
        <v/>
      </c>
      <c r="AA562" s="3">
        <f>IF($Y562="",FALSE,AND($Y562&gt;p_dias_backlog_min,$Y562&lt;=p_dias_backlog_max))</f>
        <v/>
      </c>
      <c r="AB562" s="6" t="n"/>
      <c r="AC562" s="3">
        <f>IF($AB562="","",IFERROR(INDEX('ASIGNACIONES'!$F$4:$F$339,MATCH($O562&amp;"|"&amp;$R562&amp;"|"&amp;$AB562,'ASIGNACIONES'!$I$4:$I$339,0)),""))</f>
        <v/>
      </c>
      <c r="AD562" s="13">
        <f>IF($AB562="","",SUMIFS('ORDENES'!$M$4:$M$1203,'ORDENES'!$AB$4:$AB$1203,$AB562,'ORDENES'!$O$4:$O$1203,$O562,'ORDENES'!$R$4:$R$1203,$R562))</f>
        <v/>
      </c>
      <c r="AE562" s="13">
        <f>IF($AD562="","",p_factor_productividad*IFERROR(INDEX('ASIGNACIONES'!$H$4:$H$339,MATCH($O562&amp;"|"&amp;$R562&amp;"|"&amp;$AB562,'ASIGNACIONES'!$I$4:$I$339,0)),0)-$AD562)</f>
        <v/>
      </c>
      <c r="AF562" s="10">
        <f>IF($A562="","",IFERROR(INDEX('2_IMPORTAR_EJECUCION'!$F$9:$F$1208,MATCH($AN562,'2_IMPORTAR_EJECUCION'!$J$9:$J$1208,0)),0))</f>
        <v/>
      </c>
      <c r="AG562" s="10">
        <f>IF($A562="","",MAX(0,IFERROR(INDEX('2_IMPORTAR_EJECUCION'!$H$9:$H$1208,MATCH($AN562,'2_IMPORTAR_EJECUCION'!$J$9:$J$1208,0)),0)-$AF562))</f>
        <v/>
      </c>
      <c r="AH562" s="10">
        <f>IF($A562="","",$AF562+$AG562)</f>
        <v/>
      </c>
      <c r="AI562" s="6" t="n"/>
      <c r="AJ562" s="6" t="n"/>
      <c r="AK562" s="6" t="n"/>
      <c r="AL562" s="3">
        <f>IF($AK562="","",HYPERLINK(p_ruta_base_checklists&amp;$AK562,"abrir"))</f>
        <v/>
      </c>
      <c r="AM562" s="6" t="n"/>
      <c r="AN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1" t="n"/>
      <c r="K563" s="3" t="n"/>
      <c r="L563" s="10" t="n"/>
      <c r="M563" s="3">
        <f>IF($A563="","",IFERROR(INDEX('AJUSTES'!$B$4:$B$303,MATCH($AN563,'AJUSTES'!$A$4:$A$303,0)),IF($K563="","",$K563)))</f>
        <v/>
      </c>
      <c r="N563" s="3">
        <f>IF($A563="","",IFERROR(INDEX('CAT_ESTADOS_ERP'!$B$4:$B$7,MATCH(IFERROR(INDEX('2_IMPORTAR_EJECUCION'!$C$9:$C$1208,MATCH($AN563,'2_IMPORTAR_EJECUCION'!$J$9:$J$1208,0)),""),'CAT_ESTADOS_ERP'!$A$4:$A$7,0)),"Pendiente"))</f>
        <v/>
      </c>
      <c r="O563" s="3">
        <f>IF($J563="","",YEAR($J563+4-WEEKDAY($J563,2))&amp;"-S"&amp;TEXT(_xlfn.ISOWEEKNUM($J563),"00"))</f>
        <v/>
      </c>
      <c r="P563" s="3">
        <f>IF($J563="","",YEAR($J563))</f>
        <v/>
      </c>
      <c r="Q563" s="3">
        <f>IF($J563="","",MONTH($J563))</f>
        <v/>
      </c>
      <c r="R563" s="3">
        <f>IF($J563="","",INDEX(lista_dias,WEEKDAY($J563,2)))</f>
        <v/>
      </c>
      <c r="S563" s="3">
        <f>IF($I563="","",IFERROR(INDEX('CAT_TIPOS_OT'!$C$4:$C$7,MATCH($I563,'CAT_TIPOS_OT'!$A$4:$A$7,0)),"sin_clasificar"))</f>
        <v/>
      </c>
      <c r="T563" s="3">
        <f>IF($F563="","",IFERROR(INDEX('CAT_CENTROS_COSTO'!$E$4:$E$9,MATCH($F563,'CAT_CENTROS_COSTO'!$A$4:$A$9,0)),"(sin catálogo)"))</f>
        <v/>
      </c>
      <c r="U563" s="3">
        <f>IF($F563="","",IFERROR(INDEX('CAT_CENTROS_COSTO'!$D$4:$D$9,MATCH($F563,'CAT_CENTROS_COSTO'!$A$4:$A$9,0)),"(sin catálogo)"))</f>
        <v/>
      </c>
      <c r="V563" s="3">
        <f>IF($F563="","",IFERROR(INDEX('CAT_CENTROS_COSTO'!$F$4:$F$9,MATCH($F563,'CAT_CENTROS_COSTO'!$A$4:$A$9,0)),"(sin catálogo)"))</f>
        <v/>
      </c>
      <c r="W563" s="3">
        <f>IF($G563="","",IFERROR(INDEX('CAT_PUESTOS'!$B$4:$B$8,MATCH($G563,'CAT_PUESTOS'!$A$4:$A$8,0)),"(sin catálogo)"))</f>
        <v/>
      </c>
      <c r="X563" s="3">
        <f>IF($H563="","",IFERROR(INDEX('CAT_ACTIVIDADES'!$B$4:$B$8,MATCH($H563,'CAT_ACTIVIDADES'!$A$4:$A$8,0)),"(sin catálogo)"))</f>
        <v/>
      </c>
      <c r="Y563" s="12">
        <f>IF($J563="","",TODAY()-$J563)</f>
        <v/>
      </c>
      <c r="Z563" s="3">
        <f>IF($Y563="","",IF($Y563&lt;0,"FUTURO",IF($Y563&gt;p_dias_backlog_max,"BACKLOG","MES CORRIENTE")))</f>
        <v/>
      </c>
      <c r="AA563" s="3">
        <f>IF($Y563="",FALSE,AND($Y563&gt;p_dias_backlog_min,$Y563&lt;=p_dias_backlog_max))</f>
        <v/>
      </c>
      <c r="AB563" s="6" t="n"/>
      <c r="AC563" s="3">
        <f>IF($AB563="","",IFERROR(INDEX('ASIGNACIONES'!$F$4:$F$339,MATCH($O563&amp;"|"&amp;$R563&amp;"|"&amp;$AB563,'ASIGNACIONES'!$I$4:$I$339,0)),""))</f>
        <v/>
      </c>
      <c r="AD563" s="13">
        <f>IF($AB563="","",SUMIFS('ORDENES'!$M$4:$M$1203,'ORDENES'!$AB$4:$AB$1203,$AB563,'ORDENES'!$O$4:$O$1203,$O563,'ORDENES'!$R$4:$R$1203,$R563))</f>
        <v/>
      </c>
      <c r="AE563" s="13">
        <f>IF($AD563="","",p_factor_productividad*IFERROR(INDEX('ASIGNACIONES'!$H$4:$H$339,MATCH($O563&amp;"|"&amp;$R563&amp;"|"&amp;$AB563,'ASIGNACIONES'!$I$4:$I$339,0)),0)-$AD563)</f>
        <v/>
      </c>
      <c r="AF563" s="10">
        <f>IF($A563="","",IFERROR(INDEX('2_IMPORTAR_EJECUCION'!$F$9:$F$1208,MATCH($AN563,'2_IMPORTAR_EJECUCION'!$J$9:$J$1208,0)),0))</f>
        <v/>
      </c>
      <c r="AG563" s="10">
        <f>IF($A563="","",MAX(0,IFERROR(INDEX('2_IMPORTAR_EJECUCION'!$H$9:$H$1208,MATCH($AN563,'2_IMPORTAR_EJECUCION'!$J$9:$J$1208,0)),0)-$AF563))</f>
        <v/>
      </c>
      <c r="AH563" s="10">
        <f>IF($A563="","",$AF563+$AG563)</f>
        <v/>
      </c>
      <c r="AI563" s="6" t="n"/>
      <c r="AJ563" s="6" t="n"/>
      <c r="AK563" s="6" t="n"/>
      <c r="AL563" s="3">
        <f>IF($AK563="","",HYPERLINK(p_ruta_base_checklists&amp;$AK563,"abrir"))</f>
        <v/>
      </c>
      <c r="AM563" s="6" t="n"/>
      <c r="AN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1" t="n"/>
      <c r="K564" s="3" t="n"/>
      <c r="L564" s="10" t="n"/>
      <c r="M564" s="3">
        <f>IF($A564="","",IFERROR(INDEX('AJUSTES'!$B$4:$B$303,MATCH($AN564,'AJUSTES'!$A$4:$A$303,0)),IF($K564="","",$K564)))</f>
        <v/>
      </c>
      <c r="N564" s="3">
        <f>IF($A564="","",IFERROR(INDEX('CAT_ESTADOS_ERP'!$B$4:$B$7,MATCH(IFERROR(INDEX('2_IMPORTAR_EJECUCION'!$C$9:$C$1208,MATCH($AN564,'2_IMPORTAR_EJECUCION'!$J$9:$J$1208,0)),""),'CAT_ESTADOS_ERP'!$A$4:$A$7,0)),"Pendiente"))</f>
        <v/>
      </c>
      <c r="O564" s="3">
        <f>IF($J564="","",YEAR($J564+4-WEEKDAY($J564,2))&amp;"-S"&amp;TEXT(_xlfn.ISOWEEKNUM($J564),"00"))</f>
        <v/>
      </c>
      <c r="P564" s="3">
        <f>IF($J564="","",YEAR($J564))</f>
        <v/>
      </c>
      <c r="Q564" s="3">
        <f>IF($J564="","",MONTH($J564))</f>
        <v/>
      </c>
      <c r="R564" s="3">
        <f>IF($J564="","",INDEX(lista_dias,WEEKDAY($J564,2)))</f>
        <v/>
      </c>
      <c r="S564" s="3">
        <f>IF($I564="","",IFERROR(INDEX('CAT_TIPOS_OT'!$C$4:$C$7,MATCH($I564,'CAT_TIPOS_OT'!$A$4:$A$7,0)),"sin_clasificar"))</f>
        <v/>
      </c>
      <c r="T564" s="3">
        <f>IF($F564="","",IFERROR(INDEX('CAT_CENTROS_COSTO'!$E$4:$E$9,MATCH($F564,'CAT_CENTROS_COSTO'!$A$4:$A$9,0)),"(sin catálogo)"))</f>
        <v/>
      </c>
      <c r="U564" s="3">
        <f>IF($F564="","",IFERROR(INDEX('CAT_CENTROS_COSTO'!$D$4:$D$9,MATCH($F564,'CAT_CENTROS_COSTO'!$A$4:$A$9,0)),"(sin catálogo)"))</f>
        <v/>
      </c>
      <c r="V564" s="3">
        <f>IF($F564="","",IFERROR(INDEX('CAT_CENTROS_COSTO'!$F$4:$F$9,MATCH($F564,'CAT_CENTROS_COSTO'!$A$4:$A$9,0)),"(sin catálogo)"))</f>
        <v/>
      </c>
      <c r="W564" s="3">
        <f>IF($G564="","",IFERROR(INDEX('CAT_PUESTOS'!$B$4:$B$8,MATCH($G564,'CAT_PUESTOS'!$A$4:$A$8,0)),"(sin catálogo)"))</f>
        <v/>
      </c>
      <c r="X564" s="3">
        <f>IF($H564="","",IFERROR(INDEX('CAT_ACTIVIDADES'!$B$4:$B$8,MATCH($H564,'CAT_ACTIVIDADES'!$A$4:$A$8,0)),"(sin catálogo)"))</f>
        <v/>
      </c>
      <c r="Y564" s="12">
        <f>IF($J564="","",TODAY()-$J564)</f>
        <v/>
      </c>
      <c r="Z564" s="3">
        <f>IF($Y564="","",IF($Y564&lt;0,"FUTURO",IF($Y564&gt;p_dias_backlog_max,"BACKLOG","MES CORRIENTE")))</f>
        <v/>
      </c>
      <c r="AA564" s="3">
        <f>IF($Y564="",FALSE,AND($Y564&gt;p_dias_backlog_min,$Y564&lt;=p_dias_backlog_max))</f>
        <v/>
      </c>
      <c r="AB564" s="6" t="n"/>
      <c r="AC564" s="3">
        <f>IF($AB564="","",IFERROR(INDEX('ASIGNACIONES'!$F$4:$F$339,MATCH($O564&amp;"|"&amp;$R564&amp;"|"&amp;$AB564,'ASIGNACIONES'!$I$4:$I$339,0)),""))</f>
        <v/>
      </c>
      <c r="AD564" s="13">
        <f>IF($AB564="","",SUMIFS('ORDENES'!$M$4:$M$1203,'ORDENES'!$AB$4:$AB$1203,$AB564,'ORDENES'!$O$4:$O$1203,$O564,'ORDENES'!$R$4:$R$1203,$R564))</f>
        <v/>
      </c>
      <c r="AE564" s="13">
        <f>IF($AD564="","",p_factor_productividad*IFERROR(INDEX('ASIGNACIONES'!$H$4:$H$339,MATCH($O564&amp;"|"&amp;$R564&amp;"|"&amp;$AB564,'ASIGNACIONES'!$I$4:$I$339,0)),0)-$AD564)</f>
        <v/>
      </c>
      <c r="AF564" s="10">
        <f>IF($A564="","",IFERROR(INDEX('2_IMPORTAR_EJECUCION'!$F$9:$F$1208,MATCH($AN564,'2_IMPORTAR_EJECUCION'!$J$9:$J$1208,0)),0))</f>
        <v/>
      </c>
      <c r="AG564" s="10">
        <f>IF($A564="","",MAX(0,IFERROR(INDEX('2_IMPORTAR_EJECUCION'!$H$9:$H$1208,MATCH($AN564,'2_IMPORTAR_EJECUCION'!$J$9:$J$1208,0)),0)-$AF564))</f>
        <v/>
      </c>
      <c r="AH564" s="10">
        <f>IF($A564="","",$AF564+$AG564)</f>
        <v/>
      </c>
      <c r="AI564" s="6" t="n"/>
      <c r="AJ564" s="6" t="n"/>
      <c r="AK564" s="6" t="n"/>
      <c r="AL564" s="3">
        <f>IF($AK564="","",HYPERLINK(p_ruta_base_checklists&amp;$AK564,"abrir"))</f>
        <v/>
      </c>
      <c r="AM564" s="6" t="n"/>
      <c r="AN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1" t="n"/>
      <c r="K565" s="3" t="n"/>
      <c r="L565" s="10" t="n"/>
      <c r="M565" s="3">
        <f>IF($A565="","",IFERROR(INDEX('AJUSTES'!$B$4:$B$303,MATCH($AN565,'AJUSTES'!$A$4:$A$303,0)),IF($K565="","",$K565)))</f>
        <v/>
      </c>
      <c r="N565" s="3">
        <f>IF($A565="","",IFERROR(INDEX('CAT_ESTADOS_ERP'!$B$4:$B$7,MATCH(IFERROR(INDEX('2_IMPORTAR_EJECUCION'!$C$9:$C$1208,MATCH($AN565,'2_IMPORTAR_EJECUCION'!$J$9:$J$1208,0)),""),'CAT_ESTADOS_ERP'!$A$4:$A$7,0)),"Pendiente"))</f>
        <v/>
      </c>
      <c r="O565" s="3">
        <f>IF($J565="","",YEAR($J565+4-WEEKDAY($J565,2))&amp;"-S"&amp;TEXT(_xlfn.ISOWEEKNUM($J565),"00"))</f>
        <v/>
      </c>
      <c r="P565" s="3">
        <f>IF($J565="","",YEAR($J565))</f>
        <v/>
      </c>
      <c r="Q565" s="3">
        <f>IF($J565="","",MONTH($J565))</f>
        <v/>
      </c>
      <c r="R565" s="3">
        <f>IF($J565="","",INDEX(lista_dias,WEEKDAY($J565,2)))</f>
        <v/>
      </c>
      <c r="S565" s="3">
        <f>IF($I565="","",IFERROR(INDEX('CAT_TIPOS_OT'!$C$4:$C$7,MATCH($I565,'CAT_TIPOS_OT'!$A$4:$A$7,0)),"sin_clasificar"))</f>
        <v/>
      </c>
      <c r="T565" s="3">
        <f>IF($F565="","",IFERROR(INDEX('CAT_CENTROS_COSTO'!$E$4:$E$9,MATCH($F565,'CAT_CENTROS_COSTO'!$A$4:$A$9,0)),"(sin catálogo)"))</f>
        <v/>
      </c>
      <c r="U565" s="3">
        <f>IF($F565="","",IFERROR(INDEX('CAT_CENTROS_COSTO'!$D$4:$D$9,MATCH($F565,'CAT_CENTROS_COSTO'!$A$4:$A$9,0)),"(sin catálogo)"))</f>
        <v/>
      </c>
      <c r="V565" s="3">
        <f>IF($F565="","",IFERROR(INDEX('CAT_CENTROS_COSTO'!$F$4:$F$9,MATCH($F565,'CAT_CENTROS_COSTO'!$A$4:$A$9,0)),"(sin catálogo)"))</f>
        <v/>
      </c>
      <c r="W565" s="3">
        <f>IF($G565="","",IFERROR(INDEX('CAT_PUESTOS'!$B$4:$B$8,MATCH($G565,'CAT_PUESTOS'!$A$4:$A$8,0)),"(sin catálogo)"))</f>
        <v/>
      </c>
      <c r="X565" s="3">
        <f>IF($H565="","",IFERROR(INDEX('CAT_ACTIVIDADES'!$B$4:$B$8,MATCH($H565,'CAT_ACTIVIDADES'!$A$4:$A$8,0)),"(sin catálogo)"))</f>
        <v/>
      </c>
      <c r="Y565" s="12">
        <f>IF($J565="","",TODAY()-$J565)</f>
        <v/>
      </c>
      <c r="Z565" s="3">
        <f>IF($Y565="","",IF($Y565&lt;0,"FUTURO",IF($Y565&gt;p_dias_backlog_max,"BACKLOG","MES CORRIENTE")))</f>
        <v/>
      </c>
      <c r="AA565" s="3">
        <f>IF($Y565="",FALSE,AND($Y565&gt;p_dias_backlog_min,$Y565&lt;=p_dias_backlog_max))</f>
        <v/>
      </c>
      <c r="AB565" s="6" t="n"/>
      <c r="AC565" s="3">
        <f>IF($AB565="","",IFERROR(INDEX('ASIGNACIONES'!$F$4:$F$339,MATCH($O565&amp;"|"&amp;$R565&amp;"|"&amp;$AB565,'ASIGNACIONES'!$I$4:$I$339,0)),""))</f>
        <v/>
      </c>
      <c r="AD565" s="13">
        <f>IF($AB565="","",SUMIFS('ORDENES'!$M$4:$M$1203,'ORDENES'!$AB$4:$AB$1203,$AB565,'ORDENES'!$O$4:$O$1203,$O565,'ORDENES'!$R$4:$R$1203,$R565))</f>
        <v/>
      </c>
      <c r="AE565" s="13">
        <f>IF($AD565="","",p_factor_productividad*IFERROR(INDEX('ASIGNACIONES'!$H$4:$H$339,MATCH($O565&amp;"|"&amp;$R565&amp;"|"&amp;$AB565,'ASIGNACIONES'!$I$4:$I$339,0)),0)-$AD565)</f>
        <v/>
      </c>
      <c r="AF565" s="10">
        <f>IF($A565="","",IFERROR(INDEX('2_IMPORTAR_EJECUCION'!$F$9:$F$1208,MATCH($AN565,'2_IMPORTAR_EJECUCION'!$J$9:$J$1208,0)),0))</f>
        <v/>
      </c>
      <c r="AG565" s="10">
        <f>IF($A565="","",MAX(0,IFERROR(INDEX('2_IMPORTAR_EJECUCION'!$H$9:$H$1208,MATCH($AN565,'2_IMPORTAR_EJECUCION'!$J$9:$J$1208,0)),0)-$AF565))</f>
        <v/>
      </c>
      <c r="AH565" s="10">
        <f>IF($A565="","",$AF565+$AG565)</f>
        <v/>
      </c>
      <c r="AI565" s="6" t="n"/>
      <c r="AJ565" s="6" t="n"/>
      <c r="AK565" s="6" t="n"/>
      <c r="AL565" s="3">
        <f>IF($AK565="","",HYPERLINK(p_ruta_base_checklists&amp;$AK565,"abrir"))</f>
        <v/>
      </c>
      <c r="AM565" s="6" t="n"/>
      <c r="AN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1" t="n"/>
      <c r="K566" s="3" t="n"/>
      <c r="L566" s="10" t="n"/>
      <c r="M566" s="3">
        <f>IF($A566="","",IFERROR(INDEX('AJUSTES'!$B$4:$B$303,MATCH($AN566,'AJUSTES'!$A$4:$A$303,0)),IF($K566="","",$K566)))</f>
        <v/>
      </c>
      <c r="N566" s="3">
        <f>IF($A566="","",IFERROR(INDEX('CAT_ESTADOS_ERP'!$B$4:$B$7,MATCH(IFERROR(INDEX('2_IMPORTAR_EJECUCION'!$C$9:$C$1208,MATCH($AN566,'2_IMPORTAR_EJECUCION'!$J$9:$J$1208,0)),""),'CAT_ESTADOS_ERP'!$A$4:$A$7,0)),"Pendiente"))</f>
        <v/>
      </c>
      <c r="O566" s="3">
        <f>IF($J566="","",YEAR($J566+4-WEEKDAY($J566,2))&amp;"-S"&amp;TEXT(_xlfn.ISOWEEKNUM($J566),"00"))</f>
        <v/>
      </c>
      <c r="P566" s="3">
        <f>IF($J566="","",YEAR($J566))</f>
        <v/>
      </c>
      <c r="Q566" s="3">
        <f>IF($J566="","",MONTH($J566))</f>
        <v/>
      </c>
      <c r="R566" s="3">
        <f>IF($J566="","",INDEX(lista_dias,WEEKDAY($J566,2)))</f>
        <v/>
      </c>
      <c r="S566" s="3">
        <f>IF($I566="","",IFERROR(INDEX('CAT_TIPOS_OT'!$C$4:$C$7,MATCH($I566,'CAT_TIPOS_OT'!$A$4:$A$7,0)),"sin_clasificar"))</f>
        <v/>
      </c>
      <c r="T566" s="3">
        <f>IF($F566="","",IFERROR(INDEX('CAT_CENTROS_COSTO'!$E$4:$E$9,MATCH($F566,'CAT_CENTROS_COSTO'!$A$4:$A$9,0)),"(sin catálogo)"))</f>
        <v/>
      </c>
      <c r="U566" s="3">
        <f>IF($F566="","",IFERROR(INDEX('CAT_CENTROS_COSTO'!$D$4:$D$9,MATCH($F566,'CAT_CENTROS_COSTO'!$A$4:$A$9,0)),"(sin catálogo)"))</f>
        <v/>
      </c>
      <c r="V566" s="3">
        <f>IF($F566="","",IFERROR(INDEX('CAT_CENTROS_COSTO'!$F$4:$F$9,MATCH($F566,'CAT_CENTROS_COSTO'!$A$4:$A$9,0)),"(sin catálogo)"))</f>
        <v/>
      </c>
      <c r="W566" s="3">
        <f>IF($G566="","",IFERROR(INDEX('CAT_PUESTOS'!$B$4:$B$8,MATCH($G566,'CAT_PUESTOS'!$A$4:$A$8,0)),"(sin catálogo)"))</f>
        <v/>
      </c>
      <c r="X566" s="3">
        <f>IF($H566="","",IFERROR(INDEX('CAT_ACTIVIDADES'!$B$4:$B$8,MATCH($H566,'CAT_ACTIVIDADES'!$A$4:$A$8,0)),"(sin catálogo)"))</f>
        <v/>
      </c>
      <c r="Y566" s="12">
        <f>IF($J566="","",TODAY()-$J566)</f>
        <v/>
      </c>
      <c r="Z566" s="3">
        <f>IF($Y566="","",IF($Y566&lt;0,"FUTURO",IF($Y566&gt;p_dias_backlog_max,"BACKLOG","MES CORRIENTE")))</f>
        <v/>
      </c>
      <c r="AA566" s="3">
        <f>IF($Y566="",FALSE,AND($Y566&gt;p_dias_backlog_min,$Y566&lt;=p_dias_backlog_max))</f>
        <v/>
      </c>
      <c r="AB566" s="6" t="n"/>
      <c r="AC566" s="3">
        <f>IF($AB566="","",IFERROR(INDEX('ASIGNACIONES'!$F$4:$F$339,MATCH($O566&amp;"|"&amp;$R566&amp;"|"&amp;$AB566,'ASIGNACIONES'!$I$4:$I$339,0)),""))</f>
        <v/>
      </c>
      <c r="AD566" s="13">
        <f>IF($AB566="","",SUMIFS('ORDENES'!$M$4:$M$1203,'ORDENES'!$AB$4:$AB$1203,$AB566,'ORDENES'!$O$4:$O$1203,$O566,'ORDENES'!$R$4:$R$1203,$R566))</f>
        <v/>
      </c>
      <c r="AE566" s="13">
        <f>IF($AD566="","",p_factor_productividad*IFERROR(INDEX('ASIGNACIONES'!$H$4:$H$339,MATCH($O566&amp;"|"&amp;$R566&amp;"|"&amp;$AB566,'ASIGNACIONES'!$I$4:$I$339,0)),0)-$AD566)</f>
        <v/>
      </c>
      <c r="AF566" s="10">
        <f>IF($A566="","",IFERROR(INDEX('2_IMPORTAR_EJECUCION'!$F$9:$F$1208,MATCH($AN566,'2_IMPORTAR_EJECUCION'!$J$9:$J$1208,0)),0))</f>
        <v/>
      </c>
      <c r="AG566" s="10">
        <f>IF($A566="","",MAX(0,IFERROR(INDEX('2_IMPORTAR_EJECUCION'!$H$9:$H$1208,MATCH($AN566,'2_IMPORTAR_EJECUCION'!$J$9:$J$1208,0)),0)-$AF566))</f>
        <v/>
      </c>
      <c r="AH566" s="10">
        <f>IF($A566="","",$AF566+$AG566)</f>
        <v/>
      </c>
      <c r="AI566" s="6" t="n"/>
      <c r="AJ566" s="6" t="n"/>
      <c r="AK566" s="6" t="n"/>
      <c r="AL566" s="3">
        <f>IF($AK566="","",HYPERLINK(p_ruta_base_checklists&amp;$AK566,"abrir"))</f>
        <v/>
      </c>
      <c r="AM566" s="6" t="n"/>
      <c r="AN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1" t="n"/>
      <c r="K567" s="3" t="n"/>
      <c r="L567" s="10" t="n"/>
      <c r="M567" s="3">
        <f>IF($A567="","",IFERROR(INDEX('AJUSTES'!$B$4:$B$303,MATCH($AN567,'AJUSTES'!$A$4:$A$303,0)),IF($K567="","",$K567)))</f>
        <v/>
      </c>
      <c r="N567" s="3">
        <f>IF($A567="","",IFERROR(INDEX('CAT_ESTADOS_ERP'!$B$4:$B$7,MATCH(IFERROR(INDEX('2_IMPORTAR_EJECUCION'!$C$9:$C$1208,MATCH($AN567,'2_IMPORTAR_EJECUCION'!$J$9:$J$1208,0)),""),'CAT_ESTADOS_ERP'!$A$4:$A$7,0)),"Pendiente"))</f>
        <v/>
      </c>
      <c r="O567" s="3">
        <f>IF($J567="","",YEAR($J567+4-WEEKDAY($J567,2))&amp;"-S"&amp;TEXT(_xlfn.ISOWEEKNUM($J567),"00"))</f>
        <v/>
      </c>
      <c r="P567" s="3">
        <f>IF($J567="","",YEAR($J567))</f>
        <v/>
      </c>
      <c r="Q567" s="3">
        <f>IF($J567="","",MONTH($J567))</f>
        <v/>
      </c>
      <c r="R567" s="3">
        <f>IF($J567="","",INDEX(lista_dias,WEEKDAY($J567,2)))</f>
        <v/>
      </c>
      <c r="S567" s="3">
        <f>IF($I567="","",IFERROR(INDEX('CAT_TIPOS_OT'!$C$4:$C$7,MATCH($I567,'CAT_TIPOS_OT'!$A$4:$A$7,0)),"sin_clasificar"))</f>
        <v/>
      </c>
      <c r="T567" s="3">
        <f>IF($F567="","",IFERROR(INDEX('CAT_CENTROS_COSTO'!$E$4:$E$9,MATCH($F567,'CAT_CENTROS_COSTO'!$A$4:$A$9,0)),"(sin catálogo)"))</f>
        <v/>
      </c>
      <c r="U567" s="3">
        <f>IF($F567="","",IFERROR(INDEX('CAT_CENTROS_COSTO'!$D$4:$D$9,MATCH($F567,'CAT_CENTROS_COSTO'!$A$4:$A$9,0)),"(sin catálogo)"))</f>
        <v/>
      </c>
      <c r="V567" s="3">
        <f>IF($F567="","",IFERROR(INDEX('CAT_CENTROS_COSTO'!$F$4:$F$9,MATCH($F567,'CAT_CENTROS_COSTO'!$A$4:$A$9,0)),"(sin catálogo)"))</f>
        <v/>
      </c>
      <c r="W567" s="3">
        <f>IF($G567="","",IFERROR(INDEX('CAT_PUESTOS'!$B$4:$B$8,MATCH($G567,'CAT_PUESTOS'!$A$4:$A$8,0)),"(sin catálogo)"))</f>
        <v/>
      </c>
      <c r="X567" s="3">
        <f>IF($H567="","",IFERROR(INDEX('CAT_ACTIVIDADES'!$B$4:$B$8,MATCH($H567,'CAT_ACTIVIDADES'!$A$4:$A$8,0)),"(sin catálogo)"))</f>
        <v/>
      </c>
      <c r="Y567" s="12">
        <f>IF($J567="","",TODAY()-$J567)</f>
        <v/>
      </c>
      <c r="Z567" s="3">
        <f>IF($Y567="","",IF($Y567&lt;0,"FUTURO",IF($Y567&gt;p_dias_backlog_max,"BACKLOG","MES CORRIENTE")))</f>
        <v/>
      </c>
      <c r="AA567" s="3">
        <f>IF($Y567="",FALSE,AND($Y567&gt;p_dias_backlog_min,$Y567&lt;=p_dias_backlog_max))</f>
        <v/>
      </c>
      <c r="AB567" s="6" t="n"/>
      <c r="AC567" s="3">
        <f>IF($AB567="","",IFERROR(INDEX('ASIGNACIONES'!$F$4:$F$339,MATCH($O567&amp;"|"&amp;$R567&amp;"|"&amp;$AB567,'ASIGNACIONES'!$I$4:$I$339,0)),""))</f>
        <v/>
      </c>
      <c r="AD567" s="13">
        <f>IF($AB567="","",SUMIFS('ORDENES'!$M$4:$M$1203,'ORDENES'!$AB$4:$AB$1203,$AB567,'ORDENES'!$O$4:$O$1203,$O567,'ORDENES'!$R$4:$R$1203,$R567))</f>
        <v/>
      </c>
      <c r="AE567" s="13">
        <f>IF($AD567="","",p_factor_productividad*IFERROR(INDEX('ASIGNACIONES'!$H$4:$H$339,MATCH($O567&amp;"|"&amp;$R567&amp;"|"&amp;$AB567,'ASIGNACIONES'!$I$4:$I$339,0)),0)-$AD567)</f>
        <v/>
      </c>
      <c r="AF567" s="10">
        <f>IF($A567="","",IFERROR(INDEX('2_IMPORTAR_EJECUCION'!$F$9:$F$1208,MATCH($AN567,'2_IMPORTAR_EJECUCION'!$J$9:$J$1208,0)),0))</f>
        <v/>
      </c>
      <c r="AG567" s="10">
        <f>IF($A567="","",MAX(0,IFERROR(INDEX('2_IMPORTAR_EJECUCION'!$H$9:$H$1208,MATCH($AN567,'2_IMPORTAR_EJECUCION'!$J$9:$J$1208,0)),0)-$AF567))</f>
        <v/>
      </c>
      <c r="AH567" s="10">
        <f>IF($A567="","",$AF567+$AG567)</f>
        <v/>
      </c>
      <c r="AI567" s="6" t="n"/>
      <c r="AJ567" s="6" t="n"/>
      <c r="AK567" s="6" t="n"/>
      <c r="AL567" s="3">
        <f>IF($AK567="","",HYPERLINK(p_ruta_base_checklists&amp;$AK567,"abrir"))</f>
        <v/>
      </c>
      <c r="AM567" s="6" t="n"/>
      <c r="AN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1" t="n"/>
      <c r="K568" s="3" t="n"/>
      <c r="L568" s="10" t="n"/>
      <c r="M568" s="3">
        <f>IF($A568="","",IFERROR(INDEX('AJUSTES'!$B$4:$B$303,MATCH($AN568,'AJUSTES'!$A$4:$A$303,0)),IF($K568="","",$K568)))</f>
        <v/>
      </c>
      <c r="N568" s="3">
        <f>IF($A568="","",IFERROR(INDEX('CAT_ESTADOS_ERP'!$B$4:$B$7,MATCH(IFERROR(INDEX('2_IMPORTAR_EJECUCION'!$C$9:$C$1208,MATCH($AN568,'2_IMPORTAR_EJECUCION'!$J$9:$J$1208,0)),""),'CAT_ESTADOS_ERP'!$A$4:$A$7,0)),"Pendiente"))</f>
        <v/>
      </c>
      <c r="O568" s="3">
        <f>IF($J568="","",YEAR($J568+4-WEEKDAY($J568,2))&amp;"-S"&amp;TEXT(_xlfn.ISOWEEKNUM($J568),"00"))</f>
        <v/>
      </c>
      <c r="P568" s="3">
        <f>IF($J568="","",YEAR($J568))</f>
        <v/>
      </c>
      <c r="Q568" s="3">
        <f>IF($J568="","",MONTH($J568))</f>
        <v/>
      </c>
      <c r="R568" s="3">
        <f>IF($J568="","",INDEX(lista_dias,WEEKDAY($J568,2)))</f>
        <v/>
      </c>
      <c r="S568" s="3">
        <f>IF($I568="","",IFERROR(INDEX('CAT_TIPOS_OT'!$C$4:$C$7,MATCH($I568,'CAT_TIPOS_OT'!$A$4:$A$7,0)),"sin_clasificar"))</f>
        <v/>
      </c>
      <c r="T568" s="3">
        <f>IF($F568="","",IFERROR(INDEX('CAT_CENTROS_COSTO'!$E$4:$E$9,MATCH($F568,'CAT_CENTROS_COSTO'!$A$4:$A$9,0)),"(sin catálogo)"))</f>
        <v/>
      </c>
      <c r="U568" s="3">
        <f>IF($F568="","",IFERROR(INDEX('CAT_CENTROS_COSTO'!$D$4:$D$9,MATCH($F568,'CAT_CENTROS_COSTO'!$A$4:$A$9,0)),"(sin catálogo)"))</f>
        <v/>
      </c>
      <c r="V568" s="3">
        <f>IF($F568="","",IFERROR(INDEX('CAT_CENTROS_COSTO'!$F$4:$F$9,MATCH($F568,'CAT_CENTROS_COSTO'!$A$4:$A$9,0)),"(sin catálogo)"))</f>
        <v/>
      </c>
      <c r="W568" s="3">
        <f>IF($G568="","",IFERROR(INDEX('CAT_PUESTOS'!$B$4:$B$8,MATCH($G568,'CAT_PUESTOS'!$A$4:$A$8,0)),"(sin catálogo)"))</f>
        <v/>
      </c>
      <c r="X568" s="3">
        <f>IF($H568="","",IFERROR(INDEX('CAT_ACTIVIDADES'!$B$4:$B$8,MATCH($H568,'CAT_ACTIVIDADES'!$A$4:$A$8,0)),"(sin catálogo)"))</f>
        <v/>
      </c>
      <c r="Y568" s="12">
        <f>IF($J568="","",TODAY()-$J568)</f>
        <v/>
      </c>
      <c r="Z568" s="3">
        <f>IF($Y568="","",IF($Y568&lt;0,"FUTURO",IF($Y568&gt;p_dias_backlog_max,"BACKLOG","MES CORRIENTE")))</f>
        <v/>
      </c>
      <c r="AA568" s="3">
        <f>IF($Y568="",FALSE,AND($Y568&gt;p_dias_backlog_min,$Y568&lt;=p_dias_backlog_max))</f>
        <v/>
      </c>
      <c r="AB568" s="6" t="n"/>
      <c r="AC568" s="3">
        <f>IF($AB568="","",IFERROR(INDEX('ASIGNACIONES'!$F$4:$F$339,MATCH($O568&amp;"|"&amp;$R568&amp;"|"&amp;$AB568,'ASIGNACIONES'!$I$4:$I$339,0)),""))</f>
        <v/>
      </c>
      <c r="AD568" s="13">
        <f>IF($AB568="","",SUMIFS('ORDENES'!$M$4:$M$1203,'ORDENES'!$AB$4:$AB$1203,$AB568,'ORDENES'!$O$4:$O$1203,$O568,'ORDENES'!$R$4:$R$1203,$R568))</f>
        <v/>
      </c>
      <c r="AE568" s="13">
        <f>IF($AD568="","",p_factor_productividad*IFERROR(INDEX('ASIGNACIONES'!$H$4:$H$339,MATCH($O568&amp;"|"&amp;$R568&amp;"|"&amp;$AB568,'ASIGNACIONES'!$I$4:$I$339,0)),0)-$AD568)</f>
        <v/>
      </c>
      <c r="AF568" s="10">
        <f>IF($A568="","",IFERROR(INDEX('2_IMPORTAR_EJECUCION'!$F$9:$F$1208,MATCH($AN568,'2_IMPORTAR_EJECUCION'!$J$9:$J$1208,0)),0))</f>
        <v/>
      </c>
      <c r="AG568" s="10">
        <f>IF($A568="","",MAX(0,IFERROR(INDEX('2_IMPORTAR_EJECUCION'!$H$9:$H$1208,MATCH($AN568,'2_IMPORTAR_EJECUCION'!$J$9:$J$1208,0)),0)-$AF568))</f>
        <v/>
      </c>
      <c r="AH568" s="10">
        <f>IF($A568="","",$AF568+$AG568)</f>
        <v/>
      </c>
      <c r="AI568" s="6" t="n"/>
      <c r="AJ568" s="6" t="n"/>
      <c r="AK568" s="6" t="n"/>
      <c r="AL568" s="3">
        <f>IF($AK568="","",HYPERLINK(p_ruta_base_checklists&amp;$AK568,"abrir"))</f>
        <v/>
      </c>
      <c r="AM568" s="6" t="n"/>
      <c r="AN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1" t="n"/>
      <c r="K569" s="3" t="n"/>
      <c r="L569" s="10" t="n"/>
      <c r="M569" s="3">
        <f>IF($A569="","",IFERROR(INDEX('AJUSTES'!$B$4:$B$303,MATCH($AN569,'AJUSTES'!$A$4:$A$303,0)),IF($K569="","",$K569)))</f>
        <v/>
      </c>
      <c r="N569" s="3">
        <f>IF($A569="","",IFERROR(INDEX('CAT_ESTADOS_ERP'!$B$4:$B$7,MATCH(IFERROR(INDEX('2_IMPORTAR_EJECUCION'!$C$9:$C$1208,MATCH($AN569,'2_IMPORTAR_EJECUCION'!$J$9:$J$1208,0)),""),'CAT_ESTADOS_ERP'!$A$4:$A$7,0)),"Pendiente"))</f>
        <v/>
      </c>
      <c r="O569" s="3">
        <f>IF($J569="","",YEAR($J569+4-WEEKDAY($J569,2))&amp;"-S"&amp;TEXT(_xlfn.ISOWEEKNUM($J569),"00"))</f>
        <v/>
      </c>
      <c r="P569" s="3">
        <f>IF($J569="","",YEAR($J569))</f>
        <v/>
      </c>
      <c r="Q569" s="3">
        <f>IF($J569="","",MONTH($J569))</f>
        <v/>
      </c>
      <c r="R569" s="3">
        <f>IF($J569="","",INDEX(lista_dias,WEEKDAY($J569,2)))</f>
        <v/>
      </c>
      <c r="S569" s="3">
        <f>IF($I569="","",IFERROR(INDEX('CAT_TIPOS_OT'!$C$4:$C$7,MATCH($I569,'CAT_TIPOS_OT'!$A$4:$A$7,0)),"sin_clasificar"))</f>
        <v/>
      </c>
      <c r="T569" s="3">
        <f>IF($F569="","",IFERROR(INDEX('CAT_CENTROS_COSTO'!$E$4:$E$9,MATCH($F569,'CAT_CENTROS_COSTO'!$A$4:$A$9,0)),"(sin catálogo)"))</f>
        <v/>
      </c>
      <c r="U569" s="3">
        <f>IF($F569="","",IFERROR(INDEX('CAT_CENTROS_COSTO'!$D$4:$D$9,MATCH($F569,'CAT_CENTROS_COSTO'!$A$4:$A$9,0)),"(sin catálogo)"))</f>
        <v/>
      </c>
      <c r="V569" s="3">
        <f>IF($F569="","",IFERROR(INDEX('CAT_CENTROS_COSTO'!$F$4:$F$9,MATCH($F569,'CAT_CENTROS_COSTO'!$A$4:$A$9,0)),"(sin catálogo)"))</f>
        <v/>
      </c>
      <c r="W569" s="3">
        <f>IF($G569="","",IFERROR(INDEX('CAT_PUESTOS'!$B$4:$B$8,MATCH($G569,'CAT_PUESTOS'!$A$4:$A$8,0)),"(sin catálogo)"))</f>
        <v/>
      </c>
      <c r="X569" s="3">
        <f>IF($H569="","",IFERROR(INDEX('CAT_ACTIVIDADES'!$B$4:$B$8,MATCH($H569,'CAT_ACTIVIDADES'!$A$4:$A$8,0)),"(sin catálogo)"))</f>
        <v/>
      </c>
      <c r="Y569" s="12">
        <f>IF($J569="","",TODAY()-$J569)</f>
        <v/>
      </c>
      <c r="Z569" s="3">
        <f>IF($Y569="","",IF($Y569&lt;0,"FUTURO",IF($Y569&gt;p_dias_backlog_max,"BACKLOG","MES CORRIENTE")))</f>
        <v/>
      </c>
      <c r="AA569" s="3">
        <f>IF($Y569="",FALSE,AND($Y569&gt;p_dias_backlog_min,$Y569&lt;=p_dias_backlog_max))</f>
        <v/>
      </c>
      <c r="AB569" s="6" t="n"/>
      <c r="AC569" s="3">
        <f>IF($AB569="","",IFERROR(INDEX('ASIGNACIONES'!$F$4:$F$339,MATCH($O569&amp;"|"&amp;$R569&amp;"|"&amp;$AB569,'ASIGNACIONES'!$I$4:$I$339,0)),""))</f>
        <v/>
      </c>
      <c r="AD569" s="13">
        <f>IF($AB569="","",SUMIFS('ORDENES'!$M$4:$M$1203,'ORDENES'!$AB$4:$AB$1203,$AB569,'ORDENES'!$O$4:$O$1203,$O569,'ORDENES'!$R$4:$R$1203,$R569))</f>
        <v/>
      </c>
      <c r="AE569" s="13">
        <f>IF($AD569="","",p_factor_productividad*IFERROR(INDEX('ASIGNACIONES'!$H$4:$H$339,MATCH($O569&amp;"|"&amp;$R569&amp;"|"&amp;$AB569,'ASIGNACIONES'!$I$4:$I$339,0)),0)-$AD569)</f>
        <v/>
      </c>
      <c r="AF569" s="10">
        <f>IF($A569="","",IFERROR(INDEX('2_IMPORTAR_EJECUCION'!$F$9:$F$1208,MATCH($AN569,'2_IMPORTAR_EJECUCION'!$J$9:$J$1208,0)),0))</f>
        <v/>
      </c>
      <c r="AG569" s="10">
        <f>IF($A569="","",MAX(0,IFERROR(INDEX('2_IMPORTAR_EJECUCION'!$H$9:$H$1208,MATCH($AN569,'2_IMPORTAR_EJECUCION'!$J$9:$J$1208,0)),0)-$AF569))</f>
        <v/>
      </c>
      <c r="AH569" s="10">
        <f>IF($A569="","",$AF569+$AG569)</f>
        <v/>
      </c>
      <c r="AI569" s="6" t="n"/>
      <c r="AJ569" s="6" t="n"/>
      <c r="AK569" s="6" t="n"/>
      <c r="AL569" s="3">
        <f>IF($AK569="","",HYPERLINK(p_ruta_base_checklists&amp;$AK569,"abrir"))</f>
        <v/>
      </c>
      <c r="AM569" s="6" t="n"/>
      <c r="AN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1" t="n"/>
      <c r="K570" s="3" t="n"/>
      <c r="L570" s="10" t="n"/>
      <c r="M570" s="3">
        <f>IF($A570="","",IFERROR(INDEX('AJUSTES'!$B$4:$B$303,MATCH($AN570,'AJUSTES'!$A$4:$A$303,0)),IF($K570="","",$K570)))</f>
        <v/>
      </c>
      <c r="N570" s="3">
        <f>IF($A570="","",IFERROR(INDEX('CAT_ESTADOS_ERP'!$B$4:$B$7,MATCH(IFERROR(INDEX('2_IMPORTAR_EJECUCION'!$C$9:$C$1208,MATCH($AN570,'2_IMPORTAR_EJECUCION'!$J$9:$J$1208,0)),""),'CAT_ESTADOS_ERP'!$A$4:$A$7,0)),"Pendiente"))</f>
        <v/>
      </c>
      <c r="O570" s="3">
        <f>IF($J570="","",YEAR($J570+4-WEEKDAY($J570,2))&amp;"-S"&amp;TEXT(_xlfn.ISOWEEKNUM($J570),"00"))</f>
        <v/>
      </c>
      <c r="P570" s="3">
        <f>IF($J570="","",YEAR($J570))</f>
        <v/>
      </c>
      <c r="Q570" s="3">
        <f>IF($J570="","",MONTH($J570))</f>
        <v/>
      </c>
      <c r="R570" s="3">
        <f>IF($J570="","",INDEX(lista_dias,WEEKDAY($J570,2)))</f>
        <v/>
      </c>
      <c r="S570" s="3">
        <f>IF($I570="","",IFERROR(INDEX('CAT_TIPOS_OT'!$C$4:$C$7,MATCH($I570,'CAT_TIPOS_OT'!$A$4:$A$7,0)),"sin_clasificar"))</f>
        <v/>
      </c>
      <c r="T570" s="3">
        <f>IF($F570="","",IFERROR(INDEX('CAT_CENTROS_COSTO'!$E$4:$E$9,MATCH($F570,'CAT_CENTROS_COSTO'!$A$4:$A$9,0)),"(sin catálogo)"))</f>
        <v/>
      </c>
      <c r="U570" s="3">
        <f>IF($F570="","",IFERROR(INDEX('CAT_CENTROS_COSTO'!$D$4:$D$9,MATCH($F570,'CAT_CENTROS_COSTO'!$A$4:$A$9,0)),"(sin catálogo)"))</f>
        <v/>
      </c>
      <c r="V570" s="3">
        <f>IF($F570="","",IFERROR(INDEX('CAT_CENTROS_COSTO'!$F$4:$F$9,MATCH($F570,'CAT_CENTROS_COSTO'!$A$4:$A$9,0)),"(sin catálogo)"))</f>
        <v/>
      </c>
      <c r="W570" s="3">
        <f>IF($G570="","",IFERROR(INDEX('CAT_PUESTOS'!$B$4:$B$8,MATCH($G570,'CAT_PUESTOS'!$A$4:$A$8,0)),"(sin catálogo)"))</f>
        <v/>
      </c>
      <c r="X570" s="3">
        <f>IF($H570="","",IFERROR(INDEX('CAT_ACTIVIDADES'!$B$4:$B$8,MATCH($H570,'CAT_ACTIVIDADES'!$A$4:$A$8,0)),"(sin catálogo)"))</f>
        <v/>
      </c>
      <c r="Y570" s="12">
        <f>IF($J570="","",TODAY()-$J570)</f>
        <v/>
      </c>
      <c r="Z570" s="3">
        <f>IF($Y570="","",IF($Y570&lt;0,"FUTURO",IF($Y570&gt;p_dias_backlog_max,"BACKLOG","MES CORRIENTE")))</f>
        <v/>
      </c>
      <c r="AA570" s="3">
        <f>IF($Y570="",FALSE,AND($Y570&gt;p_dias_backlog_min,$Y570&lt;=p_dias_backlog_max))</f>
        <v/>
      </c>
      <c r="AB570" s="6" t="n"/>
      <c r="AC570" s="3">
        <f>IF($AB570="","",IFERROR(INDEX('ASIGNACIONES'!$F$4:$F$339,MATCH($O570&amp;"|"&amp;$R570&amp;"|"&amp;$AB570,'ASIGNACIONES'!$I$4:$I$339,0)),""))</f>
        <v/>
      </c>
      <c r="AD570" s="13">
        <f>IF($AB570="","",SUMIFS('ORDENES'!$M$4:$M$1203,'ORDENES'!$AB$4:$AB$1203,$AB570,'ORDENES'!$O$4:$O$1203,$O570,'ORDENES'!$R$4:$R$1203,$R570))</f>
        <v/>
      </c>
      <c r="AE570" s="13">
        <f>IF($AD570="","",p_factor_productividad*IFERROR(INDEX('ASIGNACIONES'!$H$4:$H$339,MATCH($O570&amp;"|"&amp;$R570&amp;"|"&amp;$AB570,'ASIGNACIONES'!$I$4:$I$339,0)),0)-$AD570)</f>
        <v/>
      </c>
      <c r="AF570" s="10">
        <f>IF($A570="","",IFERROR(INDEX('2_IMPORTAR_EJECUCION'!$F$9:$F$1208,MATCH($AN570,'2_IMPORTAR_EJECUCION'!$J$9:$J$1208,0)),0))</f>
        <v/>
      </c>
      <c r="AG570" s="10">
        <f>IF($A570="","",MAX(0,IFERROR(INDEX('2_IMPORTAR_EJECUCION'!$H$9:$H$1208,MATCH($AN570,'2_IMPORTAR_EJECUCION'!$J$9:$J$1208,0)),0)-$AF570))</f>
        <v/>
      </c>
      <c r="AH570" s="10">
        <f>IF($A570="","",$AF570+$AG570)</f>
        <v/>
      </c>
      <c r="AI570" s="6" t="n"/>
      <c r="AJ570" s="6" t="n"/>
      <c r="AK570" s="6" t="n"/>
      <c r="AL570" s="3">
        <f>IF($AK570="","",HYPERLINK(p_ruta_base_checklists&amp;$AK570,"abrir"))</f>
        <v/>
      </c>
      <c r="AM570" s="6" t="n"/>
      <c r="AN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1" t="n"/>
      <c r="K571" s="3" t="n"/>
      <c r="L571" s="10" t="n"/>
      <c r="M571" s="3">
        <f>IF($A571="","",IFERROR(INDEX('AJUSTES'!$B$4:$B$303,MATCH($AN571,'AJUSTES'!$A$4:$A$303,0)),IF($K571="","",$K571)))</f>
        <v/>
      </c>
      <c r="N571" s="3">
        <f>IF($A571="","",IFERROR(INDEX('CAT_ESTADOS_ERP'!$B$4:$B$7,MATCH(IFERROR(INDEX('2_IMPORTAR_EJECUCION'!$C$9:$C$1208,MATCH($AN571,'2_IMPORTAR_EJECUCION'!$J$9:$J$1208,0)),""),'CAT_ESTADOS_ERP'!$A$4:$A$7,0)),"Pendiente"))</f>
        <v/>
      </c>
      <c r="O571" s="3">
        <f>IF($J571="","",YEAR($J571+4-WEEKDAY($J571,2))&amp;"-S"&amp;TEXT(_xlfn.ISOWEEKNUM($J571),"00"))</f>
        <v/>
      </c>
      <c r="P571" s="3">
        <f>IF($J571="","",YEAR($J571))</f>
        <v/>
      </c>
      <c r="Q571" s="3">
        <f>IF($J571="","",MONTH($J571))</f>
        <v/>
      </c>
      <c r="R571" s="3">
        <f>IF($J571="","",INDEX(lista_dias,WEEKDAY($J571,2)))</f>
        <v/>
      </c>
      <c r="S571" s="3">
        <f>IF($I571="","",IFERROR(INDEX('CAT_TIPOS_OT'!$C$4:$C$7,MATCH($I571,'CAT_TIPOS_OT'!$A$4:$A$7,0)),"sin_clasificar"))</f>
        <v/>
      </c>
      <c r="T571" s="3">
        <f>IF($F571="","",IFERROR(INDEX('CAT_CENTROS_COSTO'!$E$4:$E$9,MATCH($F571,'CAT_CENTROS_COSTO'!$A$4:$A$9,0)),"(sin catálogo)"))</f>
        <v/>
      </c>
      <c r="U571" s="3">
        <f>IF($F571="","",IFERROR(INDEX('CAT_CENTROS_COSTO'!$D$4:$D$9,MATCH($F571,'CAT_CENTROS_COSTO'!$A$4:$A$9,0)),"(sin catálogo)"))</f>
        <v/>
      </c>
      <c r="V571" s="3">
        <f>IF($F571="","",IFERROR(INDEX('CAT_CENTROS_COSTO'!$F$4:$F$9,MATCH($F571,'CAT_CENTROS_COSTO'!$A$4:$A$9,0)),"(sin catálogo)"))</f>
        <v/>
      </c>
      <c r="W571" s="3">
        <f>IF($G571="","",IFERROR(INDEX('CAT_PUESTOS'!$B$4:$B$8,MATCH($G571,'CAT_PUESTOS'!$A$4:$A$8,0)),"(sin catálogo)"))</f>
        <v/>
      </c>
      <c r="X571" s="3">
        <f>IF($H571="","",IFERROR(INDEX('CAT_ACTIVIDADES'!$B$4:$B$8,MATCH($H571,'CAT_ACTIVIDADES'!$A$4:$A$8,0)),"(sin catálogo)"))</f>
        <v/>
      </c>
      <c r="Y571" s="12">
        <f>IF($J571="","",TODAY()-$J571)</f>
        <v/>
      </c>
      <c r="Z571" s="3">
        <f>IF($Y571="","",IF($Y571&lt;0,"FUTURO",IF($Y571&gt;p_dias_backlog_max,"BACKLOG","MES CORRIENTE")))</f>
        <v/>
      </c>
      <c r="AA571" s="3">
        <f>IF($Y571="",FALSE,AND($Y571&gt;p_dias_backlog_min,$Y571&lt;=p_dias_backlog_max))</f>
        <v/>
      </c>
      <c r="AB571" s="6" t="n"/>
      <c r="AC571" s="3">
        <f>IF($AB571="","",IFERROR(INDEX('ASIGNACIONES'!$F$4:$F$339,MATCH($O571&amp;"|"&amp;$R571&amp;"|"&amp;$AB571,'ASIGNACIONES'!$I$4:$I$339,0)),""))</f>
        <v/>
      </c>
      <c r="AD571" s="13">
        <f>IF($AB571="","",SUMIFS('ORDENES'!$M$4:$M$1203,'ORDENES'!$AB$4:$AB$1203,$AB571,'ORDENES'!$O$4:$O$1203,$O571,'ORDENES'!$R$4:$R$1203,$R571))</f>
        <v/>
      </c>
      <c r="AE571" s="13">
        <f>IF($AD571="","",p_factor_productividad*IFERROR(INDEX('ASIGNACIONES'!$H$4:$H$339,MATCH($O571&amp;"|"&amp;$R571&amp;"|"&amp;$AB571,'ASIGNACIONES'!$I$4:$I$339,0)),0)-$AD571)</f>
        <v/>
      </c>
      <c r="AF571" s="10">
        <f>IF($A571="","",IFERROR(INDEX('2_IMPORTAR_EJECUCION'!$F$9:$F$1208,MATCH($AN571,'2_IMPORTAR_EJECUCION'!$J$9:$J$1208,0)),0))</f>
        <v/>
      </c>
      <c r="AG571" s="10">
        <f>IF($A571="","",MAX(0,IFERROR(INDEX('2_IMPORTAR_EJECUCION'!$H$9:$H$1208,MATCH($AN571,'2_IMPORTAR_EJECUCION'!$J$9:$J$1208,0)),0)-$AF571))</f>
        <v/>
      </c>
      <c r="AH571" s="10">
        <f>IF($A571="","",$AF571+$AG571)</f>
        <v/>
      </c>
      <c r="AI571" s="6" t="n"/>
      <c r="AJ571" s="6" t="n"/>
      <c r="AK571" s="6" t="n"/>
      <c r="AL571" s="3">
        <f>IF($AK571="","",HYPERLINK(p_ruta_base_checklists&amp;$AK571,"abrir"))</f>
        <v/>
      </c>
      <c r="AM571" s="6" t="n"/>
      <c r="AN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1" t="n"/>
      <c r="K572" s="3" t="n"/>
      <c r="L572" s="10" t="n"/>
      <c r="M572" s="3">
        <f>IF($A572="","",IFERROR(INDEX('AJUSTES'!$B$4:$B$303,MATCH($AN572,'AJUSTES'!$A$4:$A$303,0)),IF($K572="","",$K572)))</f>
        <v/>
      </c>
      <c r="N572" s="3">
        <f>IF($A572="","",IFERROR(INDEX('CAT_ESTADOS_ERP'!$B$4:$B$7,MATCH(IFERROR(INDEX('2_IMPORTAR_EJECUCION'!$C$9:$C$1208,MATCH($AN572,'2_IMPORTAR_EJECUCION'!$J$9:$J$1208,0)),""),'CAT_ESTADOS_ERP'!$A$4:$A$7,0)),"Pendiente"))</f>
        <v/>
      </c>
      <c r="O572" s="3">
        <f>IF($J572="","",YEAR($J572+4-WEEKDAY($J572,2))&amp;"-S"&amp;TEXT(_xlfn.ISOWEEKNUM($J572),"00"))</f>
        <v/>
      </c>
      <c r="P572" s="3">
        <f>IF($J572="","",YEAR($J572))</f>
        <v/>
      </c>
      <c r="Q572" s="3">
        <f>IF($J572="","",MONTH($J572))</f>
        <v/>
      </c>
      <c r="R572" s="3">
        <f>IF($J572="","",INDEX(lista_dias,WEEKDAY($J572,2)))</f>
        <v/>
      </c>
      <c r="S572" s="3">
        <f>IF($I572="","",IFERROR(INDEX('CAT_TIPOS_OT'!$C$4:$C$7,MATCH($I572,'CAT_TIPOS_OT'!$A$4:$A$7,0)),"sin_clasificar"))</f>
        <v/>
      </c>
      <c r="T572" s="3">
        <f>IF($F572="","",IFERROR(INDEX('CAT_CENTROS_COSTO'!$E$4:$E$9,MATCH($F572,'CAT_CENTROS_COSTO'!$A$4:$A$9,0)),"(sin catálogo)"))</f>
        <v/>
      </c>
      <c r="U572" s="3">
        <f>IF($F572="","",IFERROR(INDEX('CAT_CENTROS_COSTO'!$D$4:$D$9,MATCH($F572,'CAT_CENTROS_COSTO'!$A$4:$A$9,0)),"(sin catálogo)"))</f>
        <v/>
      </c>
      <c r="V572" s="3">
        <f>IF($F572="","",IFERROR(INDEX('CAT_CENTROS_COSTO'!$F$4:$F$9,MATCH($F572,'CAT_CENTROS_COSTO'!$A$4:$A$9,0)),"(sin catálogo)"))</f>
        <v/>
      </c>
      <c r="W572" s="3">
        <f>IF($G572="","",IFERROR(INDEX('CAT_PUESTOS'!$B$4:$B$8,MATCH($G572,'CAT_PUESTOS'!$A$4:$A$8,0)),"(sin catálogo)"))</f>
        <v/>
      </c>
      <c r="X572" s="3">
        <f>IF($H572="","",IFERROR(INDEX('CAT_ACTIVIDADES'!$B$4:$B$8,MATCH($H572,'CAT_ACTIVIDADES'!$A$4:$A$8,0)),"(sin catálogo)"))</f>
        <v/>
      </c>
      <c r="Y572" s="12">
        <f>IF($J572="","",TODAY()-$J572)</f>
        <v/>
      </c>
      <c r="Z572" s="3">
        <f>IF($Y572="","",IF($Y572&lt;0,"FUTURO",IF($Y572&gt;p_dias_backlog_max,"BACKLOG","MES CORRIENTE")))</f>
        <v/>
      </c>
      <c r="AA572" s="3">
        <f>IF($Y572="",FALSE,AND($Y572&gt;p_dias_backlog_min,$Y572&lt;=p_dias_backlog_max))</f>
        <v/>
      </c>
      <c r="AB572" s="6" t="n"/>
      <c r="AC572" s="3">
        <f>IF($AB572="","",IFERROR(INDEX('ASIGNACIONES'!$F$4:$F$339,MATCH($O572&amp;"|"&amp;$R572&amp;"|"&amp;$AB572,'ASIGNACIONES'!$I$4:$I$339,0)),""))</f>
        <v/>
      </c>
      <c r="AD572" s="13">
        <f>IF($AB572="","",SUMIFS('ORDENES'!$M$4:$M$1203,'ORDENES'!$AB$4:$AB$1203,$AB572,'ORDENES'!$O$4:$O$1203,$O572,'ORDENES'!$R$4:$R$1203,$R572))</f>
        <v/>
      </c>
      <c r="AE572" s="13">
        <f>IF($AD572="","",p_factor_productividad*IFERROR(INDEX('ASIGNACIONES'!$H$4:$H$339,MATCH($O572&amp;"|"&amp;$R572&amp;"|"&amp;$AB572,'ASIGNACIONES'!$I$4:$I$339,0)),0)-$AD572)</f>
        <v/>
      </c>
      <c r="AF572" s="10">
        <f>IF($A572="","",IFERROR(INDEX('2_IMPORTAR_EJECUCION'!$F$9:$F$1208,MATCH($AN572,'2_IMPORTAR_EJECUCION'!$J$9:$J$1208,0)),0))</f>
        <v/>
      </c>
      <c r="AG572" s="10">
        <f>IF($A572="","",MAX(0,IFERROR(INDEX('2_IMPORTAR_EJECUCION'!$H$9:$H$1208,MATCH($AN572,'2_IMPORTAR_EJECUCION'!$J$9:$J$1208,0)),0)-$AF572))</f>
        <v/>
      </c>
      <c r="AH572" s="10">
        <f>IF($A572="","",$AF572+$AG572)</f>
        <v/>
      </c>
      <c r="AI572" s="6" t="n"/>
      <c r="AJ572" s="6" t="n"/>
      <c r="AK572" s="6" t="n"/>
      <c r="AL572" s="3">
        <f>IF($AK572="","",HYPERLINK(p_ruta_base_checklists&amp;$AK572,"abrir"))</f>
        <v/>
      </c>
      <c r="AM572" s="6" t="n"/>
      <c r="AN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1" t="n"/>
      <c r="K573" s="3" t="n"/>
      <c r="L573" s="10" t="n"/>
      <c r="M573" s="3">
        <f>IF($A573="","",IFERROR(INDEX('AJUSTES'!$B$4:$B$303,MATCH($AN573,'AJUSTES'!$A$4:$A$303,0)),IF($K573="","",$K573)))</f>
        <v/>
      </c>
      <c r="N573" s="3">
        <f>IF($A573="","",IFERROR(INDEX('CAT_ESTADOS_ERP'!$B$4:$B$7,MATCH(IFERROR(INDEX('2_IMPORTAR_EJECUCION'!$C$9:$C$1208,MATCH($AN573,'2_IMPORTAR_EJECUCION'!$J$9:$J$1208,0)),""),'CAT_ESTADOS_ERP'!$A$4:$A$7,0)),"Pendiente"))</f>
        <v/>
      </c>
      <c r="O573" s="3">
        <f>IF($J573="","",YEAR($J573+4-WEEKDAY($J573,2))&amp;"-S"&amp;TEXT(_xlfn.ISOWEEKNUM($J573),"00"))</f>
        <v/>
      </c>
      <c r="P573" s="3">
        <f>IF($J573="","",YEAR($J573))</f>
        <v/>
      </c>
      <c r="Q573" s="3">
        <f>IF($J573="","",MONTH($J573))</f>
        <v/>
      </c>
      <c r="R573" s="3">
        <f>IF($J573="","",INDEX(lista_dias,WEEKDAY($J573,2)))</f>
        <v/>
      </c>
      <c r="S573" s="3">
        <f>IF($I573="","",IFERROR(INDEX('CAT_TIPOS_OT'!$C$4:$C$7,MATCH($I573,'CAT_TIPOS_OT'!$A$4:$A$7,0)),"sin_clasificar"))</f>
        <v/>
      </c>
      <c r="T573" s="3">
        <f>IF($F573="","",IFERROR(INDEX('CAT_CENTROS_COSTO'!$E$4:$E$9,MATCH($F573,'CAT_CENTROS_COSTO'!$A$4:$A$9,0)),"(sin catálogo)"))</f>
        <v/>
      </c>
      <c r="U573" s="3">
        <f>IF($F573="","",IFERROR(INDEX('CAT_CENTROS_COSTO'!$D$4:$D$9,MATCH($F573,'CAT_CENTROS_COSTO'!$A$4:$A$9,0)),"(sin catálogo)"))</f>
        <v/>
      </c>
      <c r="V573" s="3">
        <f>IF($F573="","",IFERROR(INDEX('CAT_CENTROS_COSTO'!$F$4:$F$9,MATCH($F573,'CAT_CENTROS_COSTO'!$A$4:$A$9,0)),"(sin catálogo)"))</f>
        <v/>
      </c>
      <c r="W573" s="3">
        <f>IF($G573="","",IFERROR(INDEX('CAT_PUESTOS'!$B$4:$B$8,MATCH($G573,'CAT_PUESTOS'!$A$4:$A$8,0)),"(sin catálogo)"))</f>
        <v/>
      </c>
      <c r="X573" s="3">
        <f>IF($H573="","",IFERROR(INDEX('CAT_ACTIVIDADES'!$B$4:$B$8,MATCH($H573,'CAT_ACTIVIDADES'!$A$4:$A$8,0)),"(sin catálogo)"))</f>
        <v/>
      </c>
      <c r="Y573" s="12">
        <f>IF($J573="","",TODAY()-$J573)</f>
        <v/>
      </c>
      <c r="Z573" s="3">
        <f>IF($Y573="","",IF($Y573&lt;0,"FUTURO",IF($Y573&gt;p_dias_backlog_max,"BACKLOG","MES CORRIENTE")))</f>
        <v/>
      </c>
      <c r="AA573" s="3">
        <f>IF($Y573="",FALSE,AND($Y573&gt;p_dias_backlog_min,$Y573&lt;=p_dias_backlog_max))</f>
        <v/>
      </c>
      <c r="AB573" s="6" t="n"/>
      <c r="AC573" s="3">
        <f>IF($AB573="","",IFERROR(INDEX('ASIGNACIONES'!$F$4:$F$339,MATCH($O573&amp;"|"&amp;$R573&amp;"|"&amp;$AB573,'ASIGNACIONES'!$I$4:$I$339,0)),""))</f>
        <v/>
      </c>
      <c r="AD573" s="13">
        <f>IF($AB573="","",SUMIFS('ORDENES'!$M$4:$M$1203,'ORDENES'!$AB$4:$AB$1203,$AB573,'ORDENES'!$O$4:$O$1203,$O573,'ORDENES'!$R$4:$R$1203,$R573))</f>
        <v/>
      </c>
      <c r="AE573" s="13">
        <f>IF($AD573="","",p_factor_productividad*IFERROR(INDEX('ASIGNACIONES'!$H$4:$H$339,MATCH($O573&amp;"|"&amp;$R573&amp;"|"&amp;$AB573,'ASIGNACIONES'!$I$4:$I$339,0)),0)-$AD573)</f>
        <v/>
      </c>
      <c r="AF573" s="10">
        <f>IF($A573="","",IFERROR(INDEX('2_IMPORTAR_EJECUCION'!$F$9:$F$1208,MATCH($AN573,'2_IMPORTAR_EJECUCION'!$J$9:$J$1208,0)),0))</f>
        <v/>
      </c>
      <c r="AG573" s="10">
        <f>IF($A573="","",MAX(0,IFERROR(INDEX('2_IMPORTAR_EJECUCION'!$H$9:$H$1208,MATCH($AN573,'2_IMPORTAR_EJECUCION'!$J$9:$J$1208,0)),0)-$AF573))</f>
        <v/>
      </c>
      <c r="AH573" s="10">
        <f>IF($A573="","",$AF573+$AG573)</f>
        <v/>
      </c>
      <c r="AI573" s="6" t="n"/>
      <c r="AJ573" s="6" t="n"/>
      <c r="AK573" s="6" t="n"/>
      <c r="AL573" s="3">
        <f>IF($AK573="","",HYPERLINK(p_ruta_base_checklists&amp;$AK573,"abrir"))</f>
        <v/>
      </c>
      <c r="AM573" s="6" t="n"/>
      <c r="AN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1" t="n"/>
      <c r="K574" s="3" t="n"/>
      <c r="L574" s="10" t="n"/>
      <c r="M574" s="3">
        <f>IF($A574="","",IFERROR(INDEX('AJUSTES'!$B$4:$B$303,MATCH($AN574,'AJUSTES'!$A$4:$A$303,0)),IF($K574="","",$K574)))</f>
        <v/>
      </c>
      <c r="N574" s="3">
        <f>IF($A574="","",IFERROR(INDEX('CAT_ESTADOS_ERP'!$B$4:$B$7,MATCH(IFERROR(INDEX('2_IMPORTAR_EJECUCION'!$C$9:$C$1208,MATCH($AN574,'2_IMPORTAR_EJECUCION'!$J$9:$J$1208,0)),""),'CAT_ESTADOS_ERP'!$A$4:$A$7,0)),"Pendiente"))</f>
        <v/>
      </c>
      <c r="O574" s="3">
        <f>IF($J574="","",YEAR($J574+4-WEEKDAY($J574,2))&amp;"-S"&amp;TEXT(_xlfn.ISOWEEKNUM($J574),"00"))</f>
        <v/>
      </c>
      <c r="P574" s="3">
        <f>IF($J574="","",YEAR($J574))</f>
        <v/>
      </c>
      <c r="Q574" s="3">
        <f>IF($J574="","",MONTH($J574))</f>
        <v/>
      </c>
      <c r="R574" s="3">
        <f>IF($J574="","",INDEX(lista_dias,WEEKDAY($J574,2)))</f>
        <v/>
      </c>
      <c r="S574" s="3">
        <f>IF($I574="","",IFERROR(INDEX('CAT_TIPOS_OT'!$C$4:$C$7,MATCH($I574,'CAT_TIPOS_OT'!$A$4:$A$7,0)),"sin_clasificar"))</f>
        <v/>
      </c>
      <c r="T574" s="3">
        <f>IF($F574="","",IFERROR(INDEX('CAT_CENTROS_COSTO'!$E$4:$E$9,MATCH($F574,'CAT_CENTROS_COSTO'!$A$4:$A$9,0)),"(sin catálogo)"))</f>
        <v/>
      </c>
      <c r="U574" s="3">
        <f>IF($F574="","",IFERROR(INDEX('CAT_CENTROS_COSTO'!$D$4:$D$9,MATCH($F574,'CAT_CENTROS_COSTO'!$A$4:$A$9,0)),"(sin catálogo)"))</f>
        <v/>
      </c>
      <c r="V574" s="3">
        <f>IF($F574="","",IFERROR(INDEX('CAT_CENTROS_COSTO'!$F$4:$F$9,MATCH($F574,'CAT_CENTROS_COSTO'!$A$4:$A$9,0)),"(sin catálogo)"))</f>
        <v/>
      </c>
      <c r="W574" s="3">
        <f>IF($G574="","",IFERROR(INDEX('CAT_PUESTOS'!$B$4:$B$8,MATCH($G574,'CAT_PUESTOS'!$A$4:$A$8,0)),"(sin catálogo)"))</f>
        <v/>
      </c>
      <c r="X574" s="3">
        <f>IF($H574="","",IFERROR(INDEX('CAT_ACTIVIDADES'!$B$4:$B$8,MATCH($H574,'CAT_ACTIVIDADES'!$A$4:$A$8,0)),"(sin catálogo)"))</f>
        <v/>
      </c>
      <c r="Y574" s="12">
        <f>IF($J574="","",TODAY()-$J574)</f>
        <v/>
      </c>
      <c r="Z574" s="3">
        <f>IF($Y574="","",IF($Y574&lt;0,"FUTURO",IF($Y574&gt;p_dias_backlog_max,"BACKLOG","MES CORRIENTE")))</f>
        <v/>
      </c>
      <c r="AA574" s="3">
        <f>IF($Y574="",FALSE,AND($Y574&gt;p_dias_backlog_min,$Y574&lt;=p_dias_backlog_max))</f>
        <v/>
      </c>
      <c r="AB574" s="6" t="n"/>
      <c r="AC574" s="3">
        <f>IF($AB574="","",IFERROR(INDEX('ASIGNACIONES'!$F$4:$F$339,MATCH($O574&amp;"|"&amp;$R574&amp;"|"&amp;$AB574,'ASIGNACIONES'!$I$4:$I$339,0)),""))</f>
        <v/>
      </c>
      <c r="AD574" s="13">
        <f>IF($AB574="","",SUMIFS('ORDENES'!$M$4:$M$1203,'ORDENES'!$AB$4:$AB$1203,$AB574,'ORDENES'!$O$4:$O$1203,$O574,'ORDENES'!$R$4:$R$1203,$R574))</f>
        <v/>
      </c>
      <c r="AE574" s="13">
        <f>IF($AD574="","",p_factor_productividad*IFERROR(INDEX('ASIGNACIONES'!$H$4:$H$339,MATCH($O574&amp;"|"&amp;$R574&amp;"|"&amp;$AB574,'ASIGNACIONES'!$I$4:$I$339,0)),0)-$AD574)</f>
        <v/>
      </c>
      <c r="AF574" s="10">
        <f>IF($A574="","",IFERROR(INDEX('2_IMPORTAR_EJECUCION'!$F$9:$F$1208,MATCH($AN574,'2_IMPORTAR_EJECUCION'!$J$9:$J$1208,0)),0))</f>
        <v/>
      </c>
      <c r="AG574" s="10">
        <f>IF($A574="","",MAX(0,IFERROR(INDEX('2_IMPORTAR_EJECUCION'!$H$9:$H$1208,MATCH($AN574,'2_IMPORTAR_EJECUCION'!$J$9:$J$1208,0)),0)-$AF574))</f>
        <v/>
      </c>
      <c r="AH574" s="10">
        <f>IF($A574="","",$AF574+$AG574)</f>
        <v/>
      </c>
      <c r="AI574" s="6" t="n"/>
      <c r="AJ574" s="6" t="n"/>
      <c r="AK574" s="6" t="n"/>
      <c r="AL574" s="3">
        <f>IF($AK574="","",HYPERLINK(p_ruta_base_checklists&amp;$AK574,"abrir"))</f>
        <v/>
      </c>
      <c r="AM574" s="6" t="n"/>
      <c r="AN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1" t="n"/>
      <c r="K575" s="3" t="n"/>
      <c r="L575" s="10" t="n"/>
      <c r="M575" s="3">
        <f>IF($A575="","",IFERROR(INDEX('AJUSTES'!$B$4:$B$303,MATCH($AN575,'AJUSTES'!$A$4:$A$303,0)),IF($K575="","",$K575)))</f>
        <v/>
      </c>
      <c r="N575" s="3">
        <f>IF($A575="","",IFERROR(INDEX('CAT_ESTADOS_ERP'!$B$4:$B$7,MATCH(IFERROR(INDEX('2_IMPORTAR_EJECUCION'!$C$9:$C$1208,MATCH($AN575,'2_IMPORTAR_EJECUCION'!$J$9:$J$1208,0)),""),'CAT_ESTADOS_ERP'!$A$4:$A$7,0)),"Pendiente"))</f>
        <v/>
      </c>
      <c r="O575" s="3">
        <f>IF($J575="","",YEAR($J575+4-WEEKDAY($J575,2))&amp;"-S"&amp;TEXT(_xlfn.ISOWEEKNUM($J575),"00"))</f>
        <v/>
      </c>
      <c r="P575" s="3">
        <f>IF($J575="","",YEAR($J575))</f>
        <v/>
      </c>
      <c r="Q575" s="3">
        <f>IF($J575="","",MONTH($J575))</f>
        <v/>
      </c>
      <c r="R575" s="3">
        <f>IF($J575="","",INDEX(lista_dias,WEEKDAY($J575,2)))</f>
        <v/>
      </c>
      <c r="S575" s="3">
        <f>IF($I575="","",IFERROR(INDEX('CAT_TIPOS_OT'!$C$4:$C$7,MATCH($I575,'CAT_TIPOS_OT'!$A$4:$A$7,0)),"sin_clasificar"))</f>
        <v/>
      </c>
      <c r="T575" s="3">
        <f>IF($F575="","",IFERROR(INDEX('CAT_CENTROS_COSTO'!$E$4:$E$9,MATCH($F575,'CAT_CENTROS_COSTO'!$A$4:$A$9,0)),"(sin catálogo)"))</f>
        <v/>
      </c>
      <c r="U575" s="3">
        <f>IF($F575="","",IFERROR(INDEX('CAT_CENTROS_COSTO'!$D$4:$D$9,MATCH($F575,'CAT_CENTROS_COSTO'!$A$4:$A$9,0)),"(sin catálogo)"))</f>
        <v/>
      </c>
      <c r="V575" s="3">
        <f>IF($F575="","",IFERROR(INDEX('CAT_CENTROS_COSTO'!$F$4:$F$9,MATCH($F575,'CAT_CENTROS_COSTO'!$A$4:$A$9,0)),"(sin catálogo)"))</f>
        <v/>
      </c>
      <c r="W575" s="3">
        <f>IF($G575="","",IFERROR(INDEX('CAT_PUESTOS'!$B$4:$B$8,MATCH($G575,'CAT_PUESTOS'!$A$4:$A$8,0)),"(sin catálogo)"))</f>
        <v/>
      </c>
      <c r="X575" s="3">
        <f>IF($H575="","",IFERROR(INDEX('CAT_ACTIVIDADES'!$B$4:$B$8,MATCH($H575,'CAT_ACTIVIDADES'!$A$4:$A$8,0)),"(sin catálogo)"))</f>
        <v/>
      </c>
      <c r="Y575" s="12">
        <f>IF($J575="","",TODAY()-$J575)</f>
        <v/>
      </c>
      <c r="Z575" s="3">
        <f>IF($Y575="","",IF($Y575&lt;0,"FUTURO",IF($Y575&gt;p_dias_backlog_max,"BACKLOG","MES CORRIENTE")))</f>
        <v/>
      </c>
      <c r="AA575" s="3">
        <f>IF($Y575="",FALSE,AND($Y575&gt;p_dias_backlog_min,$Y575&lt;=p_dias_backlog_max))</f>
        <v/>
      </c>
      <c r="AB575" s="6" t="n"/>
      <c r="AC575" s="3">
        <f>IF($AB575="","",IFERROR(INDEX('ASIGNACIONES'!$F$4:$F$339,MATCH($O575&amp;"|"&amp;$R575&amp;"|"&amp;$AB575,'ASIGNACIONES'!$I$4:$I$339,0)),""))</f>
        <v/>
      </c>
      <c r="AD575" s="13">
        <f>IF($AB575="","",SUMIFS('ORDENES'!$M$4:$M$1203,'ORDENES'!$AB$4:$AB$1203,$AB575,'ORDENES'!$O$4:$O$1203,$O575,'ORDENES'!$R$4:$R$1203,$R575))</f>
        <v/>
      </c>
      <c r="AE575" s="13">
        <f>IF($AD575="","",p_factor_productividad*IFERROR(INDEX('ASIGNACIONES'!$H$4:$H$339,MATCH($O575&amp;"|"&amp;$R575&amp;"|"&amp;$AB575,'ASIGNACIONES'!$I$4:$I$339,0)),0)-$AD575)</f>
        <v/>
      </c>
      <c r="AF575" s="10">
        <f>IF($A575="","",IFERROR(INDEX('2_IMPORTAR_EJECUCION'!$F$9:$F$1208,MATCH($AN575,'2_IMPORTAR_EJECUCION'!$J$9:$J$1208,0)),0))</f>
        <v/>
      </c>
      <c r="AG575" s="10">
        <f>IF($A575="","",MAX(0,IFERROR(INDEX('2_IMPORTAR_EJECUCION'!$H$9:$H$1208,MATCH($AN575,'2_IMPORTAR_EJECUCION'!$J$9:$J$1208,0)),0)-$AF575))</f>
        <v/>
      </c>
      <c r="AH575" s="10">
        <f>IF($A575="","",$AF575+$AG575)</f>
        <v/>
      </c>
      <c r="AI575" s="6" t="n"/>
      <c r="AJ575" s="6" t="n"/>
      <c r="AK575" s="6" t="n"/>
      <c r="AL575" s="3">
        <f>IF($AK575="","",HYPERLINK(p_ruta_base_checklists&amp;$AK575,"abrir"))</f>
        <v/>
      </c>
      <c r="AM575" s="6" t="n"/>
      <c r="AN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1" t="n"/>
      <c r="K576" s="3" t="n"/>
      <c r="L576" s="10" t="n"/>
      <c r="M576" s="3">
        <f>IF($A576="","",IFERROR(INDEX('AJUSTES'!$B$4:$B$303,MATCH($AN576,'AJUSTES'!$A$4:$A$303,0)),IF($K576="","",$K576)))</f>
        <v/>
      </c>
      <c r="N576" s="3">
        <f>IF($A576="","",IFERROR(INDEX('CAT_ESTADOS_ERP'!$B$4:$B$7,MATCH(IFERROR(INDEX('2_IMPORTAR_EJECUCION'!$C$9:$C$1208,MATCH($AN576,'2_IMPORTAR_EJECUCION'!$J$9:$J$1208,0)),""),'CAT_ESTADOS_ERP'!$A$4:$A$7,0)),"Pendiente"))</f>
        <v/>
      </c>
      <c r="O576" s="3">
        <f>IF($J576="","",YEAR($J576+4-WEEKDAY($J576,2))&amp;"-S"&amp;TEXT(_xlfn.ISOWEEKNUM($J576),"00"))</f>
        <v/>
      </c>
      <c r="P576" s="3">
        <f>IF($J576="","",YEAR($J576))</f>
        <v/>
      </c>
      <c r="Q576" s="3">
        <f>IF($J576="","",MONTH($J576))</f>
        <v/>
      </c>
      <c r="R576" s="3">
        <f>IF($J576="","",INDEX(lista_dias,WEEKDAY($J576,2)))</f>
        <v/>
      </c>
      <c r="S576" s="3">
        <f>IF($I576="","",IFERROR(INDEX('CAT_TIPOS_OT'!$C$4:$C$7,MATCH($I576,'CAT_TIPOS_OT'!$A$4:$A$7,0)),"sin_clasificar"))</f>
        <v/>
      </c>
      <c r="T576" s="3">
        <f>IF($F576="","",IFERROR(INDEX('CAT_CENTROS_COSTO'!$E$4:$E$9,MATCH($F576,'CAT_CENTROS_COSTO'!$A$4:$A$9,0)),"(sin catálogo)"))</f>
        <v/>
      </c>
      <c r="U576" s="3">
        <f>IF($F576="","",IFERROR(INDEX('CAT_CENTROS_COSTO'!$D$4:$D$9,MATCH($F576,'CAT_CENTROS_COSTO'!$A$4:$A$9,0)),"(sin catálogo)"))</f>
        <v/>
      </c>
      <c r="V576" s="3">
        <f>IF($F576="","",IFERROR(INDEX('CAT_CENTROS_COSTO'!$F$4:$F$9,MATCH($F576,'CAT_CENTROS_COSTO'!$A$4:$A$9,0)),"(sin catálogo)"))</f>
        <v/>
      </c>
      <c r="W576" s="3">
        <f>IF($G576="","",IFERROR(INDEX('CAT_PUESTOS'!$B$4:$B$8,MATCH($G576,'CAT_PUESTOS'!$A$4:$A$8,0)),"(sin catálogo)"))</f>
        <v/>
      </c>
      <c r="X576" s="3">
        <f>IF($H576="","",IFERROR(INDEX('CAT_ACTIVIDADES'!$B$4:$B$8,MATCH($H576,'CAT_ACTIVIDADES'!$A$4:$A$8,0)),"(sin catálogo)"))</f>
        <v/>
      </c>
      <c r="Y576" s="12">
        <f>IF($J576="","",TODAY()-$J576)</f>
        <v/>
      </c>
      <c r="Z576" s="3">
        <f>IF($Y576="","",IF($Y576&lt;0,"FUTURO",IF($Y576&gt;p_dias_backlog_max,"BACKLOG","MES CORRIENTE")))</f>
        <v/>
      </c>
      <c r="AA576" s="3">
        <f>IF($Y576="",FALSE,AND($Y576&gt;p_dias_backlog_min,$Y576&lt;=p_dias_backlog_max))</f>
        <v/>
      </c>
      <c r="AB576" s="6" t="n"/>
      <c r="AC576" s="3">
        <f>IF($AB576="","",IFERROR(INDEX('ASIGNACIONES'!$F$4:$F$339,MATCH($O576&amp;"|"&amp;$R576&amp;"|"&amp;$AB576,'ASIGNACIONES'!$I$4:$I$339,0)),""))</f>
        <v/>
      </c>
      <c r="AD576" s="13">
        <f>IF($AB576="","",SUMIFS('ORDENES'!$M$4:$M$1203,'ORDENES'!$AB$4:$AB$1203,$AB576,'ORDENES'!$O$4:$O$1203,$O576,'ORDENES'!$R$4:$R$1203,$R576))</f>
        <v/>
      </c>
      <c r="AE576" s="13">
        <f>IF($AD576="","",p_factor_productividad*IFERROR(INDEX('ASIGNACIONES'!$H$4:$H$339,MATCH($O576&amp;"|"&amp;$R576&amp;"|"&amp;$AB576,'ASIGNACIONES'!$I$4:$I$339,0)),0)-$AD576)</f>
        <v/>
      </c>
      <c r="AF576" s="10">
        <f>IF($A576="","",IFERROR(INDEX('2_IMPORTAR_EJECUCION'!$F$9:$F$1208,MATCH($AN576,'2_IMPORTAR_EJECUCION'!$J$9:$J$1208,0)),0))</f>
        <v/>
      </c>
      <c r="AG576" s="10">
        <f>IF($A576="","",MAX(0,IFERROR(INDEX('2_IMPORTAR_EJECUCION'!$H$9:$H$1208,MATCH($AN576,'2_IMPORTAR_EJECUCION'!$J$9:$J$1208,0)),0)-$AF576))</f>
        <v/>
      </c>
      <c r="AH576" s="10">
        <f>IF($A576="","",$AF576+$AG576)</f>
        <v/>
      </c>
      <c r="AI576" s="6" t="n"/>
      <c r="AJ576" s="6" t="n"/>
      <c r="AK576" s="6" t="n"/>
      <c r="AL576" s="3">
        <f>IF($AK576="","",HYPERLINK(p_ruta_base_checklists&amp;$AK576,"abrir"))</f>
        <v/>
      </c>
      <c r="AM576" s="6" t="n"/>
      <c r="AN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1" t="n"/>
      <c r="K577" s="3" t="n"/>
      <c r="L577" s="10" t="n"/>
      <c r="M577" s="3">
        <f>IF($A577="","",IFERROR(INDEX('AJUSTES'!$B$4:$B$303,MATCH($AN577,'AJUSTES'!$A$4:$A$303,0)),IF($K577="","",$K577)))</f>
        <v/>
      </c>
      <c r="N577" s="3">
        <f>IF($A577="","",IFERROR(INDEX('CAT_ESTADOS_ERP'!$B$4:$B$7,MATCH(IFERROR(INDEX('2_IMPORTAR_EJECUCION'!$C$9:$C$1208,MATCH($AN577,'2_IMPORTAR_EJECUCION'!$J$9:$J$1208,0)),""),'CAT_ESTADOS_ERP'!$A$4:$A$7,0)),"Pendiente"))</f>
        <v/>
      </c>
      <c r="O577" s="3">
        <f>IF($J577="","",YEAR($J577+4-WEEKDAY($J577,2))&amp;"-S"&amp;TEXT(_xlfn.ISOWEEKNUM($J577),"00"))</f>
        <v/>
      </c>
      <c r="P577" s="3">
        <f>IF($J577="","",YEAR($J577))</f>
        <v/>
      </c>
      <c r="Q577" s="3">
        <f>IF($J577="","",MONTH($J577))</f>
        <v/>
      </c>
      <c r="R577" s="3">
        <f>IF($J577="","",INDEX(lista_dias,WEEKDAY($J577,2)))</f>
        <v/>
      </c>
      <c r="S577" s="3">
        <f>IF($I577="","",IFERROR(INDEX('CAT_TIPOS_OT'!$C$4:$C$7,MATCH($I577,'CAT_TIPOS_OT'!$A$4:$A$7,0)),"sin_clasificar"))</f>
        <v/>
      </c>
      <c r="T577" s="3">
        <f>IF($F577="","",IFERROR(INDEX('CAT_CENTROS_COSTO'!$E$4:$E$9,MATCH($F577,'CAT_CENTROS_COSTO'!$A$4:$A$9,0)),"(sin catálogo)"))</f>
        <v/>
      </c>
      <c r="U577" s="3">
        <f>IF($F577="","",IFERROR(INDEX('CAT_CENTROS_COSTO'!$D$4:$D$9,MATCH($F577,'CAT_CENTROS_COSTO'!$A$4:$A$9,0)),"(sin catálogo)"))</f>
        <v/>
      </c>
      <c r="V577" s="3">
        <f>IF($F577="","",IFERROR(INDEX('CAT_CENTROS_COSTO'!$F$4:$F$9,MATCH($F577,'CAT_CENTROS_COSTO'!$A$4:$A$9,0)),"(sin catálogo)"))</f>
        <v/>
      </c>
      <c r="W577" s="3">
        <f>IF($G577="","",IFERROR(INDEX('CAT_PUESTOS'!$B$4:$B$8,MATCH($G577,'CAT_PUESTOS'!$A$4:$A$8,0)),"(sin catálogo)"))</f>
        <v/>
      </c>
      <c r="X577" s="3">
        <f>IF($H577="","",IFERROR(INDEX('CAT_ACTIVIDADES'!$B$4:$B$8,MATCH($H577,'CAT_ACTIVIDADES'!$A$4:$A$8,0)),"(sin catálogo)"))</f>
        <v/>
      </c>
      <c r="Y577" s="12">
        <f>IF($J577="","",TODAY()-$J577)</f>
        <v/>
      </c>
      <c r="Z577" s="3">
        <f>IF($Y577="","",IF($Y577&lt;0,"FUTURO",IF($Y577&gt;p_dias_backlog_max,"BACKLOG","MES CORRIENTE")))</f>
        <v/>
      </c>
      <c r="AA577" s="3">
        <f>IF($Y577="",FALSE,AND($Y577&gt;p_dias_backlog_min,$Y577&lt;=p_dias_backlog_max))</f>
        <v/>
      </c>
      <c r="AB577" s="6" t="n"/>
      <c r="AC577" s="3">
        <f>IF($AB577="","",IFERROR(INDEX('ASIGNACIONES'!$F$4:$F$339,MATCH($O577&amp;"|"&amp;$R577&amp;"|"&amp;$AB577,'ASIGNACIONES'!$I$4:$I$339,0)),""))</f>
        <v/>
      </c>
      <c r="AD577" s="13">
        <f>IF($AB577="","",SUMIFS('ORDENES'!$M$4:$M$1203,'ORDENES'!$AB$4:$AB$1203,$AB577,'ORDENES'!$O$4:$O$1203,$O577,'ORDENES'!$R$4:$R$1203,$R577))</f>
        <v/>
      </c>
      <c r="AE577" s="13">
        <f>IF($AD577="","",p_factor_productividad*IFERROR(INDEX('ASIGNACIONES'!$H$4:$H$339,MATCH($O577&amp;"|"&amp;$R577&amp;"|"&amp;$AB577,'ASIGNACIONES'!$I$4:$I$339,0)),0)-$AD577)</f>
        <v/>
      </c>
      <c r="AF577" s="10">
        <f>IF($A577="","",IFERROR(INDEX('2_IMPORTAR_EJECUCION'!$F$9:$F$1208,MATCH($AN577,'2_IMPORTAR_EJECUCION'!$J$9:$J$1208,0)),0))</f>
        <v/>
      </c>
      <c r="AG577" s="10">
        <f>IF($A577="","",MAX(0,IFERROR(INDEX('2_IMPORTAR_EJECUCION'!$H$9:$H$1208,MATCH($AN577,'2_IMPORTAR_EJECUCION'!$J$9:$J$1208,0)),0)-$AF577))</f>
        <v/>
      </c>
      <c r="AH577" s="10">
        <f>IF($A577="","",$AF577+$AG577)</f>
        <v/>
      </c>
      <c r="AI577" s="6" t="n"/>
      <c r="AJ577" s="6" t="n"/>
      <c r="AK577" s="6" t="n"/>
      <c r="AL577" s="3">
        <f>IF($AK577="","",HYPERLINK(p_ruta_base_checklists&amp;$AK577,"abrir"))</f>
        <v/>
      </c>
      <c r="AM577" s="6" t="n"/>
      <c r="AN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1" t="n"/>
      <c r="K578" s="3" t="n"/>
      <c r="L578" s="10" t="n"/>
      <c r="M578" s="3">
        <f>IF($A578="","",IFERROR(INDEX('AJUSTES'!$B$4:$B$303,MATCH($AN578,'AJUSTES'!$A$4:$A$303,0)),IF($K578="","",$K578)))</f>
        <v/>
      </c>
      <c r="N578" s="3">
        <f>IF($A578="","",IFERROR(INDEX('CAT_ESTADOS_ERP'!$B$4:$B$7,MATCH(IFERROR(INDEX('2_IMPORTAR_EJECUCION'!$C$9:$C$1208,MATCH($AN578,'2_IMPORTAR_EJECUCION'!$J$9:$J$1208,0)),""),'CAT_ESTADOS_ERP'!$A$4:$A$7,0)),"Pendiente"))</f>
        <v/>
      </c>
      <c r="O578" s="3">
        <f>IF($J578="","",YEAR($J578+4-WEEKDAY($J578,2))&amp;"-S"&amp;TEXT(_xlfn.ISOWEEKNUM($J578),"00"))</f>
        <v/>
      </c>
      <c r="P578" s="3">
        <f>IF($J578="","",YEAR($J578))</f>
        <v/>
      </c>
      <c r="Q578" s="3">
        <f>IF($J578="","",MONTH($J578))</f>
        <v/>
      </c>
      <c r="R578" s="3">
        <f>IF($J578="","",INDEX(lista_dias,WEEKDAY($J578,2)))</f>
        <v/>
      </c>
      <c r="S578" s="3">
        <f>IF($I578="","",IFERROR(INDEX('CAT_TIPOS_OT'!$C$4:$C$7,MATCH($I578,'CAT_TIPOS_OT'!$A$4:$A$7,0)),"sin_clasificar"))</f>
        <v/>
      </c>
      <c r="T578" s="3">
        <f>IF($F578="","",IFERROR(INDEX('CAT_CENTROS_COSTO'!$E$4:$E$9,MATCH($F578,'CAT_CENTROS_COSTO'!$A$4:$A$9,0)),"(sin catálogo)"))</f>
        <v/>
      </c>
      <c r="U578" s="3">
        <f>IF($F578="","",IFERROR(INDEX('CAT_CENTROS_COSTO'!$D$4:$D$9,MATCH($F578,'CAT_CENTROS_COSTO'!$A$4:$A$9,0)),"(sin catálogo)"))</f>
        <v/>
      </c>
      <c r="V578" s="3">
        <f>IF($F578="","",IFERROR(INDEX('CAT_CENTROS_COSTO'!$F$4:$F$9,MATCH($F578,'CAT_CENTROS_COSTO'!$A$4:$A$9,0)),"(sin catálogo)"))</f>
        <v/>
      </c>
      <c r="W578" s="3">
        <f>IF($G578="","",IFERROR(INDEX('CAT_PUESTOS'!$B$4:$B$8,MATCH($G578,'CAT_PUESTOS'!$A$4:$A$8,0)),"(sin catálogo)"))</f>
        <v/>
      </c>
      <c r="X578" s="3">
        <f>IF($H578="","",IFERROR(INDEX('CAT_ACTIVIDADES'!$B$4:$B$8,MATCH($H578,'CAT_ACTIVIDADES'!$A$4:$A$8,0)),"(sin catálogo)"))</f>
        <v/>
      </c>
      <c r="Y578" s="12">
        <f>IF($J578="","",TODAY()-$J578)</f>
        <v/>
      </c>
      <c r="Z578" s="3">
        <f>IF($Y578="","",IF($Y578&lt;0,"FUTURO",IF($Y578&gt;p_dias_backlog_max,"BACKLOG","MES CORRIENTE")))</f>
        <v/>
      </c>
      <c r="AA578" s="3">
        <f>IF($Y578="",FALSE,AND($Y578&gt;p_dias_backlog_min,$Y578&lt;=p_dias_backlog_max))</f>
        <v/>
      </c>
      <c r="AB578" s="6" t="n"/>
      <c r="AC578" s="3">
        <f>IF($AB578="","",IFERROR(INDEX('ASIGNACIONES'!$F$4:$F$339,MATCH($O578&amp;"|"&amp;$R578&amp;"|"&amp;$AB578,'ASIGNACIONES'!$I$4:$I$339,0)),""))</f>
        <v/>
      </c>
      <c r="AD578" s="13">
        <f>IF($AB578="","",SUMIFS('ORDENES'!$M$4:$M$1203,'ORDENES'!$AB$4:$AB$1203,$AB578,'ORDENES'!$O$4:$O$1203,$O578,'ORDENES'!$R$4:$R$1203,$R578))</f>
        <v/>
      </c>
      <c r="AE578" s="13">
        <f>IF($AD578="","",p_factor_productividad*IFERROR(INDEX('ASIGNACIONES'!$H$4:$H$339,MATCH($O578&amp;"|"&amp;$R578&amp;"|"&amp;$AB578,'ASIGNACIONES'!$I$4:$I$339,0)),0)-$AD578)</f>
        <v/>
      </c>
      <c r="AF578" s="10">
        <f>IF($A578="","",IFERROR(INDEX('2_IMPORTAR_EJECUCION'!$F$9:$F$1208,MATCH($AN578,'2_IMPORTAR_EJECUCION'!$J$9:$J$1208,0)),0))</f>
        <v/>
      </c>
      <c r="AG578" s="10">
        <f>IF($A578="","",MAX(0,IFERROR(INDEX('2_IMPORTAR_EJECUCION'!$H$9:$H$1208,MATCH($AN578,'2_IMPORTAR_EJECUCION'!$J$9:$J$1208,0)),0)-$AF578))</f>
        <v/>
      </c>
      <c r="AH578" s="10">
        <f>IF($A578="","",$AF578+$AG578)</f>
        <v/>
      </c>
      <c r="AI578" s="6" t="n"/>
      <c r="AJ578" s="6" t="n"/>
      <c r="AK578" s="6" t="n"/>
      <c r="AL578" s="3">
        <f>IF($AK578="","",HYPERLINK(p_ruta_base_checklists&amp;$AK578,"abrir"))</f>
        <v/>
      </c>
      <c r="AM578" s="6" t="n"/>
      <c r="AN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1" t="n"/>
      <c r="K579" s="3" t="n"/>
      <c r="L579" s="10" t="n"/>
      <c r="M579" s="3">
        <f>IF($A579="","",IFERROR(INDEX('AJUSTES'!$B$4:$B$303,MATCH($AN579,'AJUSTES'!$A$4:$A$303,0)),IF($K579="","",$K579)))</f>
        <v/>
      </c>
      <c r="N579" s="3">
        <f>IF($A579="","",IFERROR(INDEX('CAT_ESTADOS_ERP'!$B$4:$B$7,MATCH(IFERROR(INDEX('2_IMPORTAR_EJECUCION'!$C$9:$C$1208,MATCH($AN579,'2_IMPORTAR_EJECUCION'!$J$9:$J$1208,0)),""),'CAT_ESTADOS_ERP'!$A$4:$A$7,0)),"Pendiente"))</f>
        <v/>
      </c>
      <c r="O579" s="3">
        <f>IF($J579="","",YEAR($J579+4-WEEKDAY($J579,2))&amp;"-S"&amp;TEXT(_xlfn.ISOWEEKNUM($J579),"00"))</f>
        <v/>
      </c>
      <c r="P579" s="3">
        <f>IF($J579="","",YEAR($J579))</f>
        <v/>
      </c>
      <c r="Q579" s="3">
        <f>IF($J579="","",MONTH($J579))</f>
        <v/>
      </c>
      <c r="R579" s="3">
        <f>IF($J579="","",INDEX(lista_dias,WEEKDAY($J579,2)))</f>
        <v/>
      </c>
      <c r="S579" s="3">
        <f>IF($I579="","",IFERROR(INDEX('CAT_TIPOS_OT'!$C$4:$C$7,MATCH($I579,'CAT_TIPOS_OT'!$A$4:$A$7,0)),"sin_clasificar"))</f>
        <v/>
      </c>
      <c r="T579" s="3">
        <f>IF($F579="","",IFERROR(INDEX('CAT_CENTROS_COSTO'!$E$4:$E$9,MATCH($F579,'CAT_CENTROS_COSTO'!$A$4:$A$9,0)),"(sin catálogo)"))</f>
        <v/>
      </c>
      <c r="U579" s="3">
        <f>IF($F579="","",IFERROR(INDEX('CAT_CENTROS_COSTO'!$D$4:$D$9,MATCH($F579,'CAT_CENTROS_COSTO'!$A$4:$A$9,0)),"(sin catálogo)"))</f>
        <v/>
      </c>
      <c r="V579" s="3">
        <f>IF($F579="","",IFERROR(INDEX('CAT_CENTROS_COSTO'!$F$4:$F$9,MATCH($F579,'CAT_CENTROS_COSTO'!$A$4:$A$9,0)),"(sin catálogo)"))</f>
        <v/>
      </c>
      <c r="W579" s="3">
        <f>IF($G579="","",IFERROR(INDEX('CAT_PUESTOS'!$B$4:$B$8,MATCH($G579,'CAT_PUESTOS'!$A$4:$A$8,0)),"(sin catálogo)"))</f>
        <v/>
      </c>
      <c r="X579" s="3">
        <f>IF($H579="","",IFERROR(INDEX('CAT_ACTIVIDADES'!$B$4:$B$8,MATCH($H579,'CAT_ACTIVIDADES'!$A$4:$A$8,0)),"(sin catálogo)"))</f>
        <v/>
      </c>
      <c r="Y579" s="12">
        <f>IF($J579="","",TODAY()-$J579)</f>
        <v/>
      </c>
      <c r="Z579" s="3">
        <f>IF($Y579="","",IF($Y579&lt;0,"FUTURO",IF($Y579&gt;p_dias_backlog_max,"BACKLOG","MES CORRIENTE")))</f>
        <v/>
      </c>
      <c r="AA579" s="3">
        <f>IF($Y579="",FALSE,AND($Y579&gt;p_dias_backlog_min,$Y579&lt;=p_dias_backlog_max))</f>
        <v/>
      </c>
      <c r="AB579" s="6" t="n"/>
      <c r="AC579" s="3">
        <f>IF($AB579="","",IFERROR(INDEX('ASIGNACIONES'!$F$4:$F$339,MATCH($O579&amp;"|"&amp;$R579&amp;"|"&amp;$AB579,'ASIGNACIONES'!$I$4:$I$339,0)),""))</f>
        <v/>
      </c>
      <c r="AD579" s="13">
        <f>IF($AB579="","",SUMIFS('ORDENES'!$M$4:$M$1203,'ORDENES'!$AB$4:$AB$1203,$AB579,'ORDENES'!$O$4:$O$1203,$O579,'ORDENES'!$R$4:$R$1203,$R579))</f>
        <v/>
      </c>
      <c r="AE579" s="13">
        <f>IF($AD579="","",p_factor_productividad*IFERROR(INDEX('ASIGNACIONES'!$H$4:$H$339,MATCH($O579&amp;"|"&amp;$R579&amp;"|"&amp;$AB579,'ASIGNACIONES'!$I$4:$I$339,0)),0)-$AD579)</f>
        <v/>
      </c>
      <c r="AF579" s="10">
        <f>IF($A579="","",IFERROR(INDEX('2_IMPORTAR_EJECUCION'!$F$9:$F$1208,MATCH($AN579,'2_IMPORTAR_EJECUCION'!$J$9:$J$1208,0)),0))</f>
        <v/>
      </c>
      <c r="AG579" s="10">
        <f>IF($A579="","",MAX(0,IFERROR(INDEX('2_IMPORTAR_EJECUCION'!$H$9:$H$1208,MATCH($AN579,'2_IMPORTAR_EJECUCION'!$J$9:$J$1208,0)),0)-$AF579))</f>
        <v/>
      </c>
      <c r="AH579" s="10">
        <f>IF($A579="","",$AF579+$AG579)</f>
        <v/>
      </c>
      <c r="AI579" s="6" t="n"/>
      <c r="AJ579" s="6" t="n"/>
      <c r="AK579" s="6" t="n"/>
      <c r="AL579" s="3">
        <f>IF($AK579="","",HYPERLINK(p_ruta_base_checklists&amp;$AK579,"abrir"))</f>
        <v/>
      </c>
      <c r="AM579" s="6" t="n"/>
      <c r="AN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1" t="n"/>
      <c r="K580" s="3" t="n"/>
      <c r="L580" s="10" t="n"/>
      <c r="M580" s="3">
        <f>IF($A580="","",IFERROR(INDEX('AJUSTES'!$B$4:$B$303,MATCH($AN580,'AJUSTES'!$A$4:$A$303,0)),IF($K580="","",$K580)))</f>
        <v/>
      </c>
      <c r="N580" s="3">
        <f>IF($A580="","",IFERROR(INDEX('CAT_ESTADOS_ERP'!$B$4:$B$7,MATCH(IFERROR(INDEX('2_IMPORTAR_EJECUCION'!$C$9:$C$1208,MATCH($AN580,'2_IMPORTAR_EJECUCION'!$J$9:$J$1208,0)),""),'CAT_ESTADOS_ERP'!$A$4:$A$7,0)),"Pendiente"))</f>
        <v/>
      </c>
      <c r="O580" s="3">
        <f>IF($J580="","",YEAR($J580+4-WEEKDAY($J580,2))&amp;"-S"&amp;TEXT(_xlfn.ISOWEEKNUM($J580),"00"))</f>
        <v/>
      </c>
      <c r="P580" s="3">
        <f>IF($J580="","",YEAR($J580))</f>
        <v/>
      </c>
      <c r="Q580" s="3">
        <f>IF($J580="","",MONTH($J580))</f>
        <v/>
      </c>
      <c r="R580" s="3">
        <f>IF($J580="","",INDEX(lista_dias,WEEKDAY($J580,2)))</f>
        <v/>
      </c>
      <c r="S580" s="3">
        <f>IF($I580="","",IFERROR(INDEX('CAT_TIPOS_OT'!$C$4:$C$7,MATCH($I580,'CAT_TIPOS_OT'!$A$4:$A$7,0)),"sin_clasificar"))</f>
        <v/>
      </c>
      <c r="T580" s="3">
        <f>IF($F580="","",IFERROR(INDEX('CAT_CENTROS_COSTO'!$E$4:$E$9,MATCH($F580,'CAT_CENTROS_COSTO'!$A$4:$A$9,0)),"(sin catálogo)"))</f>
        <v/>
      </c>
      <c r="U580" s="3">
        <f>IF($F580="","",IFERROR(INDEX('CAT_CENTROS_COSTO'!$D$4:$D$9,MATCH($F580,'CAT_CENTROS_COSTO'!$A$4:$A$9,0)),"(sin catálogo)"))</f>
        <v/>
      </c>
      <c r="V580" s="3">
        <f>IF($F580="","",IFERROR(INDEX('CAT_CENTROS_COSTO'!$F$4:$F$9,MATCH($F580,'CAT_CENTROS_COSTO'!$A$4:$A$9,0)),"(sin catálogo)"))</f>
        <v/>
      </c>
      <c r="W580" s="3">
        <f>IF($G580="","",IFERROR(INDEX('CAT_PUESTOS'!$B$4:$B$8,MATCH($G580,'CAT_PUESTOS'!$A$4:$A$8,0)),"(sin catálogo)"))</f>
        <v/>
      </c>
      <c r="X580" s="3">
        <f>IF($H580="","",IFERROR(INDEX('CAT_ACTIVIDADES'!$B$4:$B$8,MATCH($H580,'CAT_ACTIVIDADES'!$A$4:$A$8,0)),"(sin catálogo)"))</f>
        <v/>
      </c>
      <c r="Y580" s="12">
        <f>IF($J580="","",TODAY()-$J580)</f>
        <v/>
      </c>
      <c r="Z580" s="3">
        <f>IF($Y580="","",IF($Y580&lt;0,"FUTURO",IF($Y580&gt;p_dias_backlog_max,"BACKLOG","MES CORRIENTE")))</f>
        <v/>
      </c>
      <c r="AA580" s="3">
        <f>IF($Y580="",FALSE,AND($Y580&gt;p_dias_backlog_min,$Y580&lt;=p_dias_backlog_max))</f>
        <v/>
      </c>
      <c r="AB580" s="6" t="n"/>
      <c r="AC580" s="3">
        <f>IF($AB580="","",IFERROR(INDEX('ASIGNACIONES'!$F$4:$F$339,MATCH($O580&amp;"|"&amp;$R580&amp;"|"&amp;$AB580,'ASIGNACIONES'!$I$4:$I$339,0)),""))</f>
        <v/>
      </c>
      <c r="AD580" s="13">
        <f>IF($AB580="","",SUMIFS('ORDENES'!$M$4:$M$1203,'ORDENES'!$AB$4:$AB$1203,$AB580,'ORDENES'!$O$4:$O$1203,$O580,'ORDENES'!$R$4:$R$1203,$R580))</f>
        <v/>
      </c>
      <c r="AE580" s="13">
        <f>IF($AD580="","",p_factor_productividad*IFERROR(INDEX('ASIGNACIONES'!$H$4:$H$339,MATCH($O580&amp;"|"&amp;$R580&amp;"|"&amp;$AB580,'ASIGNACIONES'!$I$4:$I$339,0)),0)-$AD580)</f>
        <v/>
      </c>
      <c r="AF580" s="10">
        <f>IF($A580="","",IFERROR(INDEX('2_IMPORTAR_EJECUCION'!$F$9:$F$1208,MATCH($AN580,'2_IMPORTAR_EJECUCION'!$J$9:$J$1208,0)),0))</f>
        <v/>
      </c>
      <c r="AG580" s="10">
        <f>IF($A580="","",MAX(0,IFERROR(INDEX('2_IMPORTAR_EJECUCION'!$H$9:$H$1208,MATCH($AN580,'2_IMPORTAR_EJECUCION'!$J$9:$J$1208,0)),0)-$AF580))</f>
        <v/>
      </c>
      <c r="AH580" s="10">
        <f>IF($A580="","",$AF580+$AG580)</f>
        <v/>
      </c>
      <c r="AI580" s="6" t="n"/>
      <c r="AJ580" s="6" t="n"/>
      <c r="AK580" s="6" t="n"/>
      <c r="AL580" s="3">
        <f>IF($AK580="","",HYPERLINK(p_ruta_base_checklists&amp;$AK580,"abrir"))</f>
        <v/>
      </c>
      <c r="AM580" s="6" t="n"/>
      <c r="AN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1" t="n"/>
      <c r="K581" s="3" t="n"/>
      <c r="L581" s="10" t="n"/>
      <c r="M581" s="3">
        <f>IF($A581="","",IFERROR(INDEX('AJUSTES'!$B$4:$B$303,MATCH($AN581,'AJUSTES'!$A$4:$A$303,0)),IF($K581="","",$K581)))</f>
        <v/>
      </c>
      <c r="N581" s="3">
        <f>IF($A581="","",IFERROR(INDEX('CAT_ESTADOS_ERP'!$B$4:$B$7,MATCH(IFERROR(INDEX('2_IMPORTAR_EJECUCION'!$C$9:$C$1208,MATCH($AN581,'2_IMPORTAR_EJECUCION'!$J$9:$J$1208,0)),""),'CAT_ESTADOS_ERP'!$A$4:$A$7,0)),"Pendiente"))</f>
        <v/>
      </c>
      <c r="O581" s="3">
        <f>IF($J581="","",YEAR($J581+4-WEEKDAY($J581,2))&amp;"-S"&amp;TEXT(_xlfn.ISOWEEKNUM($J581),"00"))</f>
        <v/>
      </c>
      <c r="P581" s="3">
        <f>IF($J581="","",YEAR($J581))</f>
        <v/>
      </c>
      <c r="Q581" s="3">
        <f>IF($J581="","",MONTH($J581))</f>
        <v/>
      </c>
      <c r="R581" s="3">
        <f>IF($J581="","",INDEX(lista_dias,WEEKDAY($J581,2)))</f>
        <v/>
      </c>
      <c r="S581" s="3">
        <f>IF($I581="","",IFERROR(INDEX('CAT_TIPOS_OT'!$C$4:$C$7,MATCH($I581,'CAT_TIPOS_OT'!$A$4:$A$7,0)),"sin_clasificar"))</f>
        <v/>
      </c>
      <c r="T581" s="3">
        <f>IF($F581="","",IFERROR(INDEX('CAT_CENTROS_COSTO'!$E$4:$E$9,MATCH($F581,'CAT_CENTROS_COSTO'!$A$4:$A$9,0)),"(sin catálogo)"))</f>
        <v/>
      </c>
      <c r="U581" s="3">
        <f>IF($F581="","",IFERROR(INDEX('CAT_CENTROS_COSTO'!$D$4:$D$9,MATCH($F581,'CAT_CENTROS_COSTO'!$A$4:$A$9,0)),"(sin catálogo)"))</f>
        <v/>
      </c>
      <c r="V581" s="3">
        <f>IF($F581="","",IFERROR(INDEX('CAT_CENTROS_COSTO'!$F$4:$F$9,MATCH($F581,'CAT_CENTROS_COSTO'!$A$4:$A$9,0)),"(sin catálogo)"))</f>
        <v/>
      </c>
      <c r="W581" s="3">
        <f>IF($G581="","",IFERROR(INDEX('CAT_PUESTOS'!$B$4:$B$8,MATCH($G581,'CAT_PUESTOS'!$A$4:$A$8,0)),"(sin catálogo)"))</f>
        <v/>
      </c>
      <c r="X581" s="3">
        <f>IF($H581="","",IFERROR(INDEX('CAT_ACTIVIDADES'!$B$4:$B$8,MATCH($H581,'CAT_ACTIVIDADES'!$A$4:$A$8,0)),"(sin catálogo)"))</f>
        <v/>
      </c>
      <c r="Y581" s="12">
        <f>IF($J581="","",TODAY()-$J581)</f>
        <v/>
      </c>
      <c r="Z581" s="3">
        <f>IF($Y581="","",IF($Y581&lt;0,"FUTURO",IF($Y581&gt;p_dias_backlog_max,"BACKLOG","MES CORRIENTE")))</f>
        <v/>
      </c>
      <c r="AA581" s="3">
        <f>IF($Y581="",FALSE,AND($Y581&gt;p_dias_backlog_min,$Y581&lt;=p_dias_backlog_max))</f>
        <v/>
      </c>
      <c r="AB581" s="6" t="n"/>
      <c r="AC581" s="3">
        <f>IF($AB581="","",IFERROR(INDEX('ASIGNACIONES'!$F$4:$F$339,MATCH($O581&amp;"|"&amp;$R581&amp;"|"&amp;$AB581,'ASIGNACIONES'!$I$4:$I$339,0)),""))</f>
        <v/>
      </c>
      <c r="AD581" s="13">
        <f>IF($AB581="","",SUMIFS('ORDENES'!$M$4:$M$1203,'ORDENES'!$AB$4:$AB$1203,$AB581,'ORDENES'!$O$4:$O$1203,$O581,'ORDENES'!$R$4:$R$1203,$R581))</f>
        <v/>
      </c>
      <c r="AE581" s="13">
        <f>IF($AD581="","",p_factor_productividad*IFERROR(INDEX('ASIGNACIONES'!$H$4:$H$339,MATCH($O581&amp;"|"&amp;$R581&amp;"|"&amp;$AB581,'ASIGNACIONES'!$I$4:$I$339,0)),0)-$AD581)</f>
        <v/>
      </c>
      <c r="AF581" s="10">
        <f>IF($A581="","",IFERROR(INDEX('2_IMPORTAR_EJECUCION'!$F$9:$F$1208,MATCH($AN581,'2_IMPORTAR_EJECUCION'!$J$9:$J$1208,0)),0))</f>
        <v/>
      </c>
      <c r="AG581" s="10">
        <f>IF($A581="","",MAX(0,IFERROR(INDEX('2_IMPORTAR_EJECUCION'!$H$9:$H$1208,MATCH($AN581,'2_IMPORTAR_EJECUCION'!$J$9:$J$1208,0)),0)-$AF581))</f>
        <v/>
      </c>
      <c r="AH581" s="10">
        <f>IF($A581="","",$AF581+$AG581)</f>
        <v/>
      </c>
      <c r="AI581" s="6" t="n"/>
      <c r="AJ581" s="6" t="n"/>
      <c r="AK581" s="6" t="n"/>
      <c r="AL581" s="3">
        <f>IF($AK581="","",HYPERLINK(p_ruta_base_checklists&amp;$AK581,"abrir"))</f>
        <v/>
      </c>
      <c r="AM581" s="6" t="n"/>
      <c r="AN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1" t="n"/>
      <c r="K582" s="3" t="n"/>
      <c r="L582" s="10" t="n"/>
      <c r="M582" s="3">
        <f>IF($A582="","",IFERROR(INDEX('AJUSTES'!$B$4:$B$303,MATCH($AN582,'AJUSTES'!$A$4:$A$303,0)),IF($K582="","",$K582)))</f>
        <v/>
      </c>
      <c r="N582" s="3">
        <f>IF($A582="","",IFERROR(INDEX('CAT_ESTADOS_ERP'!$B$4:$B$7,MATCH(IFERROR(INDEX('2_IMPORTAR_EJECUCION'!$C$9:$C$1208,MATCH($AN582,'2_IMPORTAR_EJECUCION'!$J$9:$J$1208,0)),""),'CAT_ESTADOS_ERP'!$A$4:$A$7,0)),"Pendiente"))</f>
        <v/>
      </c>
      <c r="O582" s="3">
        <f>IF($J582="","",YEAR($J582+4-WEEKDAY($J582,2))&amp;"-S"&amp;TEXT(_xlfn.ISOWEEKNUM($J582),"00"))</f>
        <v/>
      </c>
      <c r="P582" s="3">
        <f>IF($J582="","",YEAR($J582))</f>
        <v/>
      </c>
      <c r="Q582" s="3">
        <f>IF($J582="","",MONTH($J582))</f>
        <v/>
      </c>
      <c r="R582" s="3">
        <f>IF($J582="","",INDEX(lista_dias,WEEKDAY($J582,2)))</f>
        <v/>
      </c>
      <c r="S582" s="3">
        <f>IF($I582="","",IFERROR(INDEX('CAT_TIPOS_OT'!$C$4:$C$7,MATCH($I582,'CAT_TIPOS_OT'!$A$4:$A$7,0)),"sin_clasificar"))</f>
        <v/>
      </c>
      <c r="T582" s="3">
        <f>IF($F582="","",IFERROR(INDEX('CAT_CENTROS_COSTO'!$E$4:$E$9,MATCH($F582,'CAT_CENTROS_COSTO'!$A$4:$A$9,0)),"(sin catálogo)"))</f>
        <v/>
      </c>
      <c r="U582" s="3">
        <f>IF($F582="","",IFERROR(INDEX('CAT_CENTROS_COSTO'!$D$4:$D$9,MATCH($F582,'CAT_CENTROS_COSTO'!$A$4:$A$9,0)),"(sin catálogo)"))</f>
        <v/>
      </c>
      <c r="V582" s="3">
        <f>IF($F582="","",IFERROR(INDEX('CAT_CENTROS_COSTO'!$F$4:$F$9,MATCH($F582,'CAT_CENTROS_COSTO'!$A$4:$A$9,0)),"(sin catálogo)"))</f>
        <v/>
      </c>
      <c r="W582" s="3">
        <f>IF($G582="","",IFERROR(INDEX('CAT_PUESTOS'!$B$4:$B$8,MATCH($G582,'CAT_PUESTOS'!$A$4:$A$8,0)),"(sin catálogo)"))</f>
        <v/>
      </c>
      <c r="X582" s="3">
        <f>IF($H582="","",IFERROR(INDEX('CAT_ACTIVIDADES'!$B$4:$B$8,MATCH($H582,'CAT_ACTIVIDADES'!$A$4:$A$8,0)),"(sin catálogo)"))</f>
        <v/>
      </c>
      <c r="Y582" s="12">
        <f>IF($J582="","",TODAY()-$J582)</f>
        <v/>
      </c>
      <c r="Z582" s="3">
        <f>IF($Y582="","",IF($Y582&lt;0,"FUTURO",IF($Y582&gt;p_dias_backlog_max,"BACKLOG","MES CORRIENTE")))</f>
        <v/>
      </c>
      <c r="AA582" s="3">
        <f>IF($Y582="",FALSE,AND($Y582&gt;p_dias_backlog_min,$Y582&lt;=p_dias_backlog_max))</f>
        <v/>
      </c>
      <c r="AB582" s="6" t="n"/>
      <c r="AC582" s="3">
        <f>IF($AB582="","",IFERROR(INDEX('ASIGNACIONES'!$F$4:$F$339,MATCH($O582&amp;"|"&amp;$R582&amp;"|"&amp;$AB582,'ASIGNACIONES'!$I$4:$I$339,0)),""))</f>
        <v/>
      </c>
      <c r="AD582" s="13">
        <f>IF($AB582="","",SUMIFS('ORDENES'!$M$4:$M$1203,'ORDENES'!$AB$4:$AB$1203,$AB582,'ORDENES'!$O$4:$O$1203,$O582,'ORDENES'!$R$4:$R$1203,$R582))</f>
        <v/>
      </c>
      <c r="AE582" s="13">
        <f>IF($AD582="","",p_factor_productividad*IFERROR(INDEX('ASIGNACIONES'!$H$4:$H$339,MATCH($O582&amp;"|"&amp;$R582&amp;"|"&amp;$AB582,'ASIGNACIONES'!$I$4:$I$339,0)),0)-$AD582)</f>
        <v/>
      </c>
      <c r="AF582" s="10">
        <f>IF($A582="","",IFERROR(INDEX('2_IMPORTAR_EJECUCION'!$F$9:$F$1208,MATCH($AN582,'2_IMPORTAR_EJECUCION'!$J$9:$J$1208,0)),0))</f>
        <v/>
      </c>
      <c r="AG582" s="10">
        <f>IF($A582="","",MAX(0,IFERROR(INDEX('2_IMPORTAR_EJECUCION'!$H$9:$H$1208,MATCH($AN582,'2_IMPORTAR_EJECUCION'!$J$9:$J$1208,0)),0)-$AF582))</f>
        <v/>
      </c>
      <c r="AH582" s="10">
        <f>IF($A582="","",$AF582+$AG582)</f>
        <v/>
      </c>
      <c r="AI582" s="6" t="n"/>
      <c r="AJ582" s="6" t="n"/>
      <c r="AK582" s="6" t="n"/>
      <c r="AL582" s="3">
        <f>IF($AK582="","",HYPERLINK(p_ruta_base_checklists&amp;$AK582,"abrir"))</f>
        <v/>
      </c>
      <c r="AM582" s="6" t="n"/>
      <c r="AN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1" t="n"/>
      <c r="K583" s="3" t="n"/>
      <c r="L583" s="10" t="n"/>
      <c r="M583" s="3">
        <f>IF($A583="","",IFERROR(INDEX('AJUSTES'!$B$4:$B$303,MATCH($AN583,'AJUSTES'!$A$4:$A$303,0)),IF($K583="","",$K583)))</f>
        <v/>
      </c>
      <c r="N583" s="3">
        <f>IF($A583="","",IFERROR(INDEX('CAT_ESTADOS_ERP'!$B$4:$B$7,MATCH(IFERROR(INDEX('2_IMPORTAR_EJECUCION'!$C$9:$C$1208,MATCH($AN583,'2_IMPORTAR_EJECUCION'!$J$9:$J$1208,0)),""),'CAT_ESTADOS_ERP'!$A$4:$A$7,0)),"Pendiente"))</f>
        <v/>
      </c>
      <c r="O583" s="3">
        <f>IF($J583="","",YEAR($J583+4-WEEKDAY($J583,2))&amp;"-S"&amp;TEXT(_xlfn.ISOWEEKNUM($J583),"00"))</f>
        <v/>
      </c>
      <c r="P583" s="3">
        <f>IF($J583="","",YEAR($J583))</f>
        <v/>
      </c>
      <c r="Q583" s="3">
        <f>IF($J583="","",MONTH($J583))</f>
        <v/>
      </c>
      <c r="R583" s="3">
        <f>IF($J583="","",INDEX(lista_dias,WEEKDAY($J583,2)))</f>
        <v/>
      </c>
      <c r="S583" s="3">
        <f>IF($I583="","",IFERROR(INDEX('CAT_TIPOS_OT'!$C$4:$C$7,MATCH($I583,'CAT_TIPOS_OT'!$A$4:$A$7,0)),"sin_clasificar"))</f>
        <v/>
      </c>
      <c r="T583" s="3">
        <f>IF($F583="","",IFERROR(INDEX('CAT_CENTROS_COSTO'!$E$4:$E$9,MATCH($F583,'CAT_CENTROS_COSTO'!$A$4:$A$9,0)),"(sin catálogo)"))</f>
        <v/>
      </c>
      <c r="U583" s="3">
        <f>IF($F583="","",IFERROR(INDEX('CAT_CENTROS_COSTO'!$D$4:$D$9,MATCH($F583,'CAT_CENTROS_COSTO'!$A$4:$A$9,0)),"(sin catálogo)"))</f>
        <v/>
      </c>
      <c r="V583" s="3">
        <f>IF($F583="","",IFERROR(INDEX('CAT_CENTROS_COSTO'!$F$4:$F$9,MATCH($F583,'CAT_CENTROS_COSTO'!$A$4:$A$9,0)),"(sin catálogo)"))</f>
        <v/>
      </c>
      <c r="W583" s="3">
        <f>IF($G583="","",IFERROR(INDEX('CAT_PUESTOS'!$B$4:$B$8,MATCH($G583,'CAT_PUESTOS'!$A$4:$A$8,0)),"(sin catálogo)"))</f>
        <v/>
      </c>
      <c r="X583" s="3">
        <f>IF($H583="","",IFERROR(INDEX('CAT_ACTIVIDADES'!$B$4:$B$8,MATCH($H583,'CAT_ACTIVIDADES'!$A$4:$A$8,0)),"(sin catálogo)"))</f>
        <v/>
      </c>
      <c r="Y583" s="12">
        <f>IF($J583="","",TODAY()-$J583)</f>
        <v/>
      </c>
      <c r="Z583" s="3">
        <f>IF($Y583="","",IF($Y583&lt;0,"FUTURO",IF($Y583&gt;p_dias_backlog_max,"BACKLOG","MES CORRIENTE")))</f>
        <v/>
      </c>
      <c r="AA583" s="3">
        <f>IF($Y583="",FALSE,AND($Y583&gt;p_dias_backlog_min,$Y583&lt;=p_dias_backlog_max))</f>
        <v/>
      </c>
      <c r="AB583" s="6" t="n"/>
      <c r="AC583" s="3">
        <f>IF($AB583="","",IFERROR(INDEX('ASIGNACIONES'!$F$4:$F$339,MATCH($O583&amp;"|"&amp;$R583&amp;"|"&amp;$AB583,'ASIGNACIONES'!$I$4:$I$339,0)),""))</f>
        <v/>
      </c>
      <c r="AD583" s="13">
        <f>IF($AB583="","",SUMIFS('ORDENES'!$M$4:$M$1203,'ORDENES'!$AB$4:$AB$1203,$AB583,'ORDENES'!$O$4:$O$1203,$O583,'ORDENES'!$R$4:$R$1203,$R583))</f>
        <v/>
      </c>
      <c r="AE583" s="13">
        <f>IF($AD583="","",p_factor_productividad*IFERROR(INDEX('ASIGNACIONES'!$H$4:$H$339,MATCH($O583&amp;"|"&amp;$R583&amp;"|"&amp;$AB583,'ASIGNACIONES'!$I$4:$I$339,0)),0)-$AD583)</f>
        <v/>
      </c>
      <c r="AF583" s="10">
        <f>IF($A583="","",IFERROR(INDEX('2_IMPORTAR_EJECUCION'!$F$9:$F$1208,MATCH($AN583,'2_IMPORTAR_EJECUCION'!$J$9:$J$1208,0)),0))</f>
        <v/>
      </c>
      <c r="AG583" s="10">
        <f>IF($A583="","",MAX(0,IFERROR(INDEX('2_IMPORTAR_EJECUCION'!$H$9:$H$1208,MATCH($AN583,'2_IMPORTAR_EJECUCION'!$J$9:$J$1208,0)),0)-$AF583))</f>
        <v/>
      </c>
      <c r="AH583" s="10">
        <f>IF($A583="","",$AF583+$AG583)</f>
        <v/>
      </c>
      <c r="AI583" s="6" t="n"/>
      <c r="AJ583" s="6" t="n"/>
      <c r="AK583" s="6" t="n"/>
      <c r="AL583" s="3">
        <f>IF($AK583="","",HYPERLINK(p_ruta_base_checklists&amp;$AK583,"abrir"))</f>
        <v/>
      </c>
      <c r="AM583" s="6" t="n"/>
      <c r="AN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1" t="n"/>
      <c r="K584" s="3" t="n"/>
      <c r="L584" s="10" t="n"/>
      <c r="M584" s="3">
        <f>IF($A584="","",IFERROR(INDEX('AJUSTES'!$B$4:$B$303,MATCH($AN584,'AJUSTES'!$A$4:$A$303,0)),IF($K584="","",$K584)))</f>
        <v/>
      </c>
      <c r="N584" s="3">
        <f>IF($A584="","",IFERROR(INDEX('CAT_ESTADOS_ERP'!$B$4:$B$7,MATCH(IFERROR(INDEX('2_IMPORTAR_EJECUCION'!$C$9:$C$1208,MATCH($AN584,'2_IMPORTAR_EJECUCION'!$J$9:$J$1208,0)),""),'CAT_ESTADOS_ERP'!$A$4:$A$7,0)),"Pendiente"))</f>
        <v/>
      </c>
      <c r="O584" s="3">
        <f>IF($J584="","",YEAR($J584+4-WEEKDAY($J584,2))&amp;"-S"&amp;TEXT(_xlfn.ISOWEEKNUM($J584),"00"))</f>
        <v/>
      </c>
      <c r="P584" s="3">
        <f>IF($J584="","",YEAR($J584))</f>
        <v/>
      </c>
      <c r="Q584" s="3">
        <f>IF($J584="","",MONTH($J584))</f>
        <v/>
      </c>
      <c r="R584" s="3">
        <f>IF($J584="","",INDEX(lista_dias,WEEKDAY($J584,2)))</f>
        <v/>
      </c>
      <c r="S584" s="3">
        <f>IF($I584="","",IFERROR(INDEX('CAT_TIPOS_OT'!$C$4:$C$7,MATCH($I584,'CAT_TIPOS_OT'!$A$4:$A$7,0)),"sin_clasificar"))</f>
        <v/>
      </c>
      <c r="T584" s="3">
        <f>IF($F584="","",IFERROR(INDEX('CAT_CENTROS_COSTO'!$E$4:$E$9,MATCH($F584,'CAT_CENTROS_COSTO'!$A$4:$A$9,0)),"(sin catálogo)"))</f>
        <v/>
      </c>
      <c r="U584" s="3">
        <f>IF($F584="","",IFERROR(INDEX('CAT_CENTROS_COSTO'!$D$4:$D$9,MATCH($F584,'CAT_CENTROS_COSTO'!$A$4:$A$9,0)),"(sin catálogo)"))</f>
        <v/>
      </c>
      <c r="V584" s="3">
        <f>IF($F584="","",IFERROR(INDEX('CAT_CENTROS_COSTO'!$F$4:$F$9,MATCH($F584,'CAT_CENTROS_COSTO'!$A$4:$A$9,0)),"(sin catálogo)"))</f>
        <v/>
      </c>
      <c r="W584" s="3">
        <f>IF($G584="","",IFERROR(INDEX('CAT_PUESTOS'!$B$4:$B$8,MATCH($G584,'CAT_PUESTOS'!$A$4:$A$8,0)),"(sin catálogo)"))</f>
        <v/>
      </c>
      <c r="X584" s="3">
        <f>IF($H584="","",IFERROR(INDEX('CAT_ACTIVIDADES'!$B$4:$B$8,MATCH($H584,'CAT_ACTIVIDADES'!$A$4:$A$8,0)),"(sin catálogo)"))</f>
        <v/>
      </c>
      <c r="Y584" s="12">
        <f>IF($J584="","",TODAY()-$J584)</f>
        <v/>
      </c>
      <c r="Z584" s="3">
        <f>IF($Y584="","",IF($Y584&lt;0,"FUTURO",IF($Y584&gt;p_dias_backlog_max,"BACKLOG","MES CORRIENTE")))</f>
        <v/>
      </c>
      <c r="AA584" s="3">
        <f>IF($Y584="",FALSE,AND($Y584&gt;p_dias_backlog_min,$Y584&lt;=p_dias_backlog_max))</f>
        <v/>
      </c>
      <c r="AB584" s="6" t="n"/>
      <c r="AC584" s="3">
        <f>IF($AB584="","",IFERROR(INDEX('ASIGNACIONES'!$F$4:$F$339,MATCH($O584&amp;"|"&amp;$R584&amp;"|"&amp;$AB584,'ASIGNACIONES'!$I$4:$I$339,0)),""))</f>
        <v/>
      </c>
      <c r="AD584" s="13">
        <f>IF($AB584="","",SUMIFS('ORDENES'!$M$4:$M$1203,'ORDENES'!$AB$4:$AB$1203,$AB584,'ORDENES'!$O$4:$O$1203,$O584,'ORDENES'!$R$4:$R$1203,$R584))</f>
        <v/>
      </c>
      <c r="AE584" s="13">
        <f>IF($AD584="","",p_factor_productividad*IFERROR(INDEX('ASIGNACIONES'!$H$4:$H$339,MATCH($O584&amp;"|"&amp;$R584&amp;"|"&amp;$AB584,'ASIGNACIONES'!$I$4:$I$339,0)),0)-$AD584)</f>
        <v/>
      </c>
      <c r="AF584" s="10">
        <f>IF($A584="","",IFERROR(INDEX('2_IMPORTAR_EJECUCION'!$F$9:$F$1208,MATCH($AN584,'2_IMPORTAR_EJECUCION'!$J$9:$J$1208,0)),0))</f>
        <v/>
      </c>
      <c r="AG584" s="10">
        <f>IF($A584="","",MAX(0,IFERROR(INDEX('2_IMPORTAR_EJECUCION'!$H$9:$H$1208,MATCH($AN584,'2_IMPORTAR_EJECUCION'!$J$9:$J$1208,0)),0)-$AF584))</f>
        <v/>
      </c>
      <c r="AH584" s="10">
        <f>IF($A584="","",$AF584+$AG584)</f>
        <v/>
      </c>
      <c r="AI584" s="6" t="n"/>
      <c r="AJ584" s="6" t="n"/>
      <c r="AK584" s="6" t="n"/>
      <c r="AL584" s="3">
        <f>IF($AK584="","",HYPERLINK(p_ruta_base_checklists&amp;$AK584,"abrir"))</f>
        <v/>
      </c>
      <c r="AM584" s="6" t="n"/>
      <c r="AN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1" t="n"/>
      <c r="K585" s="3" t="n"/>
      <c r="L585" s="10" t="n"/>
      <c r="M585" s="3">
        <f>IF($A585="","",IFERROR(INDEX('AJUSTES'!$B$4:$B$303,MATCH($AN585,'AJUSTES'!$A$4:$A$303,0)),IF($K585="","",$K585)))</f>
        <v/>
      </c>
      <c r="N585" s="3">
        <f>IF($A585="","",IFERROR(INDEX('CAT_ESTADOS_ERP'!$B$4:$B$7,MATCH(IFERROR(INDEX('2_IMPORTAR_EJECUCION'!$C$9:$C$1208,MATCH($AN585,'2_IMPORTAR_EJECUCION'!$J$9:$J$1208,0)),""),'CAT_ESTADOS_ERP'!$A$4:$A$7,0)),"Pendiente"))</f>
        <v/>
      </c>
      <c r="O585" s="3">
        <f>IF($J585="","",YEAR($J585+4-WEEKDAY($J585,2))&amp;"-S"&amp;TEXT(_xlfn.ISOWEEKNUM($J585),"00"))</f>
        <v/>
      </c>
      <c r="P585" s="3">
        <f>IF($J585="","",YEAR($J585))</f>
        <v/>
      </c>
      <c r="Q585" s="3">
        <f>IF($J585="","",MONTH($J585))</f>
        <v/>
      </c>
      <c r="R585" s="3">
        <f>IF($J585="","",INDEX(lista_dias,WEEKDAY($J585,2)))</f>
        <v/>
      </c>
      <c r="S585" s="3">
        <f>IF($I585="","",IFERROR(INDEX('CAT_TIPOS_OT'!$C$4:$C$7,MATCH($I585,'CAT_TIPOS_OT'!$A$4:$A$7,0)),"sin_clasificar"))</f>
        <v/>
      </c>
      <c r="T585" s="3">
        <f>IF($F585="","",IFERROR(INDEX('CAT_CENTROS_COSTO'!$E$4:$E$9,MATCH($F585,'CAT_CENTROS_COSTO'!$A$4:$A$9,0)),"(sin catálogo)"))</f>
        <v/>
      </c>
      <c r="U585" s="3">
        <f>IF($F585="","",IFERROR(INDEX('CAT_CENTROS_COSTO'!$D$4:$D$9,MATCH($F585,'CAT_CENTROS_COSTO'!$A$4:$A$9,0)),"(sin catálogo)"))</f>
        <v/>
      </c>
      <c r="V585" s="3">
        <f>IF($F585="","",IFERROR(INDEX('CAT_CENTROS_COSTO'!$F$4:$F$9,MATCH($F585,'CAT_CENTROS_COSTO'!$A$4:$A$9,0)),"(sin catálogo)"))</f>
        <v/>
      </c>
      <c r="W585" s="3">
        <f>IF($G585="","",IFERROR(INDEX('CAT_PUESTOS'!$B$4:$B$8,MATCH($G585,'CAT_PUESTOS'!$A$4:$A$8,0)),"(sin catálogo)"))</f>
        <v/>
      </c>
      <c r="X585" s="3">
        <f>IF($H585="","",IFERROR(INDEX('CAT_ACTIVIDADES'!$B$4:$B$8,MATCH($H585,'CAT_ACTIVIDADES'!$A$4:$A$8,0)),"(sin catálogo)"))</f>
        <v/>
      </c>
      <c r="Y585" s="12">
        <f>IF($J585="","",TODAY()-$J585)</f>
        <v/>
      </c>
      <c r="Z585" s="3">
        <f>IF($Y585="","",IF($Y585&lt;0,"FUTURO",IF($Y585&gt;p_dias_backlog_max,"BACKLOG","MES CORRIENTE")))</f>
        <v/>
      </c>
      <c r="AA585" s="3">
        <f>IF($Y585="",FALSE,AND($Y585&gt;p_dias_backlog_min,$Y585&lt;=p_dias_backlog_max))</f>
        <v/>
      </c>
      <c r="AB585" s="6" t="n"/>
      <c r="AC585" s="3">
        <f>IF($AB585="","",IFERROR(INDEX('ASIGNACIONES'!$F$4:$F$339,MATCH($O585&amp;"|"&amp;$R585&amp;"|"&amp;$AB585,'ASIGNACIONES'!$I$4:$I$339,0)),""))</f>
        <v/>
      </c>
      <c r="AD585" s="13">
        <f>IF($AB585="","",SUMIFS('ORDENES'!$M$4:$M$1203,'ORDENES'!$AB$4:$AB$1203,$AB585,'ORDENES'!$O$4:$O$1203,$O585,'ORDENES'!$R$4:$R$1203,$R585))</f>
        <v/>
      </c>
      <c r="AE585" s="13">
        <f>IF($AD585="","",p_factor_productividad*IFERROR(INDEX('ASIGNACIONES'!$H$4:$H$339,MATCH($O585&amp;"|"&amp;$R585&amp;"|"&amp;$AB585,'ASIGNACIONES'!$I$4:$I$339,0)),0)-$AD585)</f>
        <v/>
      </c>
      <c r="AF585" s="10">
        <f>IF($A585="","",IFERROR(INDEX('2_IMPORTAR_EJECUCION'!$F$9:$F$1208,MATCH($AN585,'2_IMPORTAR_EJECUCION'!$J$9:$J$1208,0)),0))</f>
        <v/>
      </c>
      <c r="AG585" s="10">
        <f>IF($A585="","",MAX(0,IFERROR(INDEX('2_IMPORTAR_EJECUCION'!$H$9:$H$1208,MATCH($AN585,'2_IMPORTAR_EJECUCION'!$J$9:$J$1208,0)),0)-$AF585))</f>
        <v/>
      </c>
      <c r="AH585" s="10">
        <f>IF($A585="","",$AF585+$AG585)</f>
        <v/>
      </c>
      <c r="AI585" s="6" t="n"/>
      <c r="AJ585" s="6" t="n"/>
      <c r="AK585" s="6" t="n"/>
      <c r="AL585" s="3">
        <f>IF($AK585="","",HYPERLINK(p_ruta_base_checklists&amp;$AK585,"abrir"))</f>
        <v/>
      </c>
      <c r="AM585" s="6" t="n"/>
      <c r="AN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1" t="n"/>
      <c r="K586" s="3" t="n"/>
      <c r="L586" s="10" t="n"/>
      <c r="M586" s="3">
        <f>IF($A586="","",IFERROR(INDEX('AJUSTES'!$B$4:$B$303,MATCH($AN586,'AJUSTES'!$A$4:$A$303,0)),IF($K586="","",$K586)))</f>
        <v/>
      </c>
      <c r="N586" s="3">
        <f>IF($A586="","",IFERROR(INDEX('CAT_ESTADOS_ERP'!$B$4:$B$7,MATCH(IFERROR(INDEX('2_IMPORTAR_EJECUCION'!$C$9:$C$1208,MATCH($AN586,'2_IMPORTAR_EJECUCION'!$J$9:$J$1208,0)),""),'CAT_ESTADOS_ERP'!$A$4:$A$7,0)),"Pendiente"))</f>
        <v/>
      </c>
      <c r="O586" s="3">
        <f>IF($J586="","",YEAR($J586+4-WEEKDAY($J586,2))&amp;"-S"&amp;TEXT(_xlfn.ISOWEEKNUM($J586),"00"))</f>
        <v/>
      </c>
      <c r="P586" s="3">
        <f>IF($J586="","",YEAR($J586))</f>
        <v/>
      </c>
      <c r="Q586" s="3">
        <f>IF($J586="","",MONTH($J586))</f>
        <v/>
      </c>
      <c r="R586" s="3">
        <f>IF($J586="","",INDEX(lista_dias,WEEKDAY($J586,2)))</f>
        <v/>
      </c>
      <c r="S586" s="3">
        <f>IF($I586="","",IFERROR(INDEX('CAT_TIPOS_OT'!$C$4:$C$7,MATCH($I586,'CAT_TIPOS_OT'!$A$4:$A$7,0)),"sin_clasificar"))</f>
        <v/>
      </c>
      <c r="T586" s="3">
        <f>IF($F586="","",IFERROR(INDEX('CAT_CENTROS_COSTO'!$E$4:$E$9,MATCH($F586,'CAT_CENTROS_COSTO'!$A$4:$A$9,0)),"(sin catálogo)"))</f>
        <v/>
      </c>
      <c r="U586" s="3">
        <f>IF($F586="","",IFERROR(INDEX('CAT_CENTROS_COSTO'!$D$4:$D$9,MATCH($F586,'CAT_CENTROS_COSTO'!$A$4:$A$9,0)),"(sin catálogo)"))</f>
        <v/>
      </c>
      <c r="V586" s="3">
        <f>IF($F586="","",IFERROR(INDEX('CAT_CENTROS_COSTO'!$F$4:$F$9,MATCH($F586,'CAT_CENTROS_COSTO'!$A$4:$A$9,0)),"(sin catálogo)"))</f>
        <v/>
      </c>
      <c r="W586" s="3">
        <f>IF($G586="","",IFERROR(INDEX('CAT_PUESTOS'!$B$4:$B$8,MATCH($G586,'CAT_PUESTOS'!$A$4:$A$8,0)),"(sin catálogo)"))</f>
        <v/>
      </c>
      <c r="X586" s="3">
        <f>IF($H586="","",IFERROR(INDEX('CAT_ACTIVIDADES'!$B$4:$B$8,MATCH($H586,'CAT_ACTIVIDADES'!$A$4:$A$8,0)),"(sin catálogo)"))</f>
        <v/>
      </c>
      <c r="Y586" s="12">
        <f>IF($J586="","",TODAY()-$J586)</f>
        <v/>
      </c>
      <c r="Z586" s="3">
        <f>IF($Y586="","",IF($Y586&lt;0,"FUTURO",IF($Y586&gt;p_dias_backlog_max,"BACKLOG","MES CORRIENTE")))</f>
        <v/>
      </c>
      <c r="AA586" s="3">
        <f>IF($Y586="",FALSE,AND($Y586&gt;p_dias_backlog_min,$Y586&lt;=p_dias_backlog_max))</f>
        <v/>
      </c>
      <c r="AB586" s="6" t="n"/>
      <c r="AC586" s="3">
        <f>IF($AB586="","",IFERROR(INDEX('ASIGNACIONES'!$F$4:$F$339,MATCH($O586&amp;"|"&amp;$R586&amp;"|"&amp;$AB586,'ASIGNACIONES'!$I$4:$I$339,0)),""))</f>
        <v/>
      </c>
      <c r="AD586" s="13">
        <f>IF($AB586="","",SUMIFS('ORDENES'!$M$4:$M$1203,'ORDENES'!$AB$4:$AB$1203,$AB586,'ORDENES'!$O$4:$O$1203,$O586,'ORDENES'!$R$4:$R$1203,$R586))</f>
        <v/>
      </c>
      <c r="AE586" s="13">
        <f>IF($AD586="","",p_factor_productividad*IFERROR(INDEX('ASIGNACIONES'!$H$4:$H$339,MATCH($O586&amp;"|"&amp;$R586&amp;"|"&amp;$AB586,'ASIGNACIONES'!$I$4:$I$339,0)),0)-$AD586)</f>
        <v/>
      </c>
      <c r="AF586" s="10">
        <f>IF($A586="","",IFERROR(INDEX('2_IMPORTAR_EJECUCION'!$F$9:$F$1208,MATCH($AN586,'2_IMPORTAR_EJECUCION'!$J$9:$J$1208,0)),0))</f>
        <v/>
      </c>
      <c r="AG586" s="10">
        <f>IF($A586="","",MAX(0,IFERROR(INDEX('2_IMPORTAR_EJECUCION'!$H$9:$H$1208,MATCH($AN586,'2_IMPORTAR_EJECUCION'!$J$9:$J$1208,0)),0)-$AF586))</f>
        <v/>
      </c>
      <c r="AH586" s="10">
        <f>IF($A586="","",$AF586+$AG586)</f>
        <v/>
      </c>
      <c r="AI586" s="6" t="n"/>
      <c r="AJ586" s="6" t="n"/>
      <c r="AK586" s="6" t="n"/>
      <c r="AL586" s="3">
        <f>IF($AK586="","",HYPERLINK(p_ruta_base_checklists&amp;$AK586,"abrir"))</f>
        <v/>
      </c>
      <c r="AM586" s="6" t="n"/>
      <c r="AN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1" t="n"/>
      <c r="K587" s="3" t="n"/>
      <c r="L587" s="10" t="n"/>
      <c r="M587" s="3">
        <f>IF($A587="","",IFERROR(INDEX('AJUSTES'!$B$4:$B$303,MATCH($AN587,'AJUSTES'!$A$4:$A$303,0)),IF($K587="","",$K587)))</f>
        <v/>
      </c>
      <c r="N587" s="3">
        <f>IF($A587="","",IFERROR(INDEX('CAT_ESTADOS_ERP'!$B$4:$B$7,MATCH(IFERROR(INDEX('2_IMPORTAR_EJECUCION'!$C$9:$C$1208,MATCH($AN587,'2_IMPORTAR_EJECUCION'!$J$9:$J$1208,0)),""),'CAT_ESTADOS_ERP'!$A$4:$A$7,0)),"Pendiente"))</f>
        <v/>
      </c>
      <c r="O587" s="3">
        <f>IF($J587="","",YEAR($J587+4-WEEKDAY($J587,2))&amp;"-S"&amp;TEXT(_xlfn.ISOWEEKNUM($J587),"00"))</f>
        <v/>
      </c>
      <c r="P587" s="3">
        <f>IF($J587="","",YEAR($J587))</f>
        <v/>
      </c>
      <c r="Q587" s="3">
        <f>IF($J587="","",MONTH($J587))</f>
        <v/>
      </c>
      <c r="R587" s="3">
        <f>IF($J587="","",INDEX(lista_dias,WEEKDAY($J587,2)))</f>
        <v/>
      </c>
      <c r="S587" s="3">
        <f>IF($I587="","",IFERROR(INDEX('CAT_TIPOS_OT'!$C$4:$C$7,MATCH($I587,'CAT_TIPOS_OT'!$A$4:$A$7,0)),"sin_clasificar"))</f>
        <v/>
      </c>
      <c r="T587" s="3">
        <f>IF($F587="","",IFERROR(INDEX('CAT_CENTROS_COSTO'!$E$4:$E$9,MATCH($F587,'CAT_CENTROS_COSTO'!$A$4:$A$9,0)),"(sin catálogo)"))</f>
        <v/>
      </c>
      <c r="U587" s="3">
        <f>IF($F587="","",IFERROR(INDEX('CAT_CENTROS_COSTO'!$D$4:$D$9,MATCH($F587,'CAT_CENTROS_COSTO'!$A$4:$A$9,0)),"(sin catálogo)"))</f>
        <v/>
      </c>
      <c r="V587" s="3">
        <f>IF($F587="","",IFERROR(INDEX('CAT_CENTROS_COSTO'!$F$4:$F$9,MATCH($F587,'CAT_CENTROS_COSTO'!$A$4:$A$9,0)),"(sin catálogo)"))</f>
        <v/>
      </c>
      <c r="W587" s="3">
        <f>IF($G587="","",IFERROR(INDEX('CAT_PUESTOS'!$B$4:$B$8,MATCH($G587,'CAT_PUESTOS'!$A$4:$A$8,0)),"(sin catálogo)"))</f>
        <v/>
      </c>
      <c r="X587" s="3">
        <f>IF($H587="","",IFERROR(INDEX('CAT_ACTIVIDADES'!$B$4:$B$8,MATCH($H587,'CAT_ACTIVIDADES'!$A$4:$A$8,0)),"(sin catálogo)"))</f>
        <v/>
      </c>
      <c r="Y587" s="12">
        <f>IF($J587="","",TODAY()-$J587)</f>
        <v/>
      </c>
      <c r="Z587" s="3">
        <f>IF($Y587="","",IF($Y587&lt;0,"FUTURO",IF($Y587&gt;p_dias_backlog_max,"BACKLOG","MES CORRIENTE")))</f>
        <v/>
      </c>
      <c r="AA587" s="3">
        <f>IF($Y587="",FALSE,AND($Y587&gt;p_dias_backlog_min,$Y587&lt;=p_dias_backlog_max))</f>
        <v/>
      </c>
      <c r="AB587" s="6" t="n"/>
      <c r="AC587" s="3">
        <f>IF($AB587="","",IFERROR(INDEX('ASIGNACIONES'!$F$4:$F$339,MATCH($O587&amp;"|"&amp;$R587&amp;"|"&amp;$AB587,'ASIGNACIONES'!$I$4:$I$339,0)),""))</f>
        <v/>
      </c>
      <c r="AD587" s="13">
        <f>IF($AB587="","",SUMIFS('ORDENES'!$M$4:$M$1203,'ORDENES'!$AB$4:$AB$1203,$AB587,'ORDENES'!$O$4:$O$1203,$O587,'ORDENES'!$R$4:$R$1203,$R587))</f>
        <v/>
      </c>
      <c r="AE587" s="13">
        <f>IF($AD587="","",p_factor_productividad*IFERROR(INDEX('ASIGNACIONES'!$H$4:$H$339,MATCH($O587&amp;"|"&amp;$R587&amp;"|"&amp;$AB587,'ASIGNACIONES'!$I$4:$I$339,0)),0)-$AD587)</f>
        <v/>
      </c>
      <c r="AF587" s="10">
        <f>IF($A587="","",IFERROR(INDEX('2_IMPORTAR_EJECUCION'!$F$9:$F$1208,MATCH($AN587,'2_IMPORTAR_EJECUCION'!$J$9:$J$1208,0)),0))</f>
        <v/>
      </c>
      <c r="AG587" s="10">
        <f>IF($A587="","",MAX(0,IFERROR(INDEX('2_IMPORTAR_EJECUCION'!$H$9:$H$1208,MATCH($AN587,'2_IMPORTAR_EJECUCION'!$J$9:$J$1208,0)),0)-$AF587))</f>
        <v/>
      </c>
      <c r="AH587" s="10">
        <f>IF($A587="","",$AF587+$AG587)</f>
        <v/>
      </c>
      <c r="AI587" s="6" t="n"/>
      <c r="AJ587" s="6" t="n"/>
      <c r="AK587" s="6" t="n"/>
      <c r="AL587" s="3">
        <f>IF($AK587="","",HYPERLINK(p_ruta_base_checklists&amp;$AK587,"abrir"))</f>
        <v/>
      </c>
      <c r="AM587" s="6" t="n"/>
      <c r="AN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1" t="n"/>
      <c r="K588" s="3" t="n"/>
      <c r="L588" s="10" t="n"/>
      <c r="M588" s="3">
        <f>IF($A588="","",IFERROR(INDEX('AJUSTES'!$B$4:$B$303,MATCH($AN588,'AJUSTES'!$A$4:$A$303,0)),IF($K588="","",$K588)))</f>
        <v/>
      </c>
      <c r="N588" s="3">
        <f>IF($A588="","",IFERROR(INDEX('CAT_ESTADOS_ERP'!$B$4:$B$7,MATCH(IFERROR(INDEX('2_IMPORTAR_EJECUCION'!$C$9:$C$1208,MATCH($AN588,'2_IMPORTAR_EJECUCION'!$J$9:$J$1208,0)),""),'CAT_ESTADOS_ERP'!$A$4:$A$7,0)),"Pendiente"))</f>
        <v/>
      </c>
      <c r="O588" s="3">
        <f>IF($J588="","",YEAR($J588+4-WEEKDAY($J588,2))&amp;"-S"&amp;TEXT(_xlfn.ISOWEEKNUM($J588),"00"))</f>
        <v/>
      </c>
      <c r="P588" s="3">
        <f>IF($J588="","",YEAR($J588))</f>
        <v/>
      </c>
      <c r="Q588" s="3">
        <f>IF($J588="","",MONTH($J588))</f>
        <v/>
      </c>
      <c r="R588" s="3">
        <f>IF($J588="","",INDEX(lista_dias,WEEKDAY($J588,2)))</f>
        <v/>
      </c>
      <c r="S588" s="3">
        <f>IF($I588="","",IFERROR(INDEX('CAT_TIPOS_OT'!$C$4:$C$7,MATCH($I588,'CAT_TIPOS_OT'!$A$4:$A$7,0)),"sin_clasificar"))</f>
        <v/>
      </c>
      <c r="T588" s="3">
        <f>IF($F588="","",IFERROR(INDEX('CAT_CENTROS_COSTO'!$E$4:$E$9,MATCH($F588,'CAT_CENTROS_COSTO'!$A$4:$A$9,0)),"(sin catálogo)"))</f>
        <v/>
      </c>
      <c r="U588" s="3">
        <f>IF($F588="","",IFERROR(INDEX('CAT_CENTROS_COSTO'!$D$4:$D$9,MATCH($F588,'CAT_CENTROS_COSTO'!$A$4:$A$9,0)),"(sin catálogo)"))</f>
        <v/>
      </c>
      <c r="V588" s="3">
        <f>IF($F588="","",IFERROR(INDEX('CAT_CENTROS_COSTO'!$F$4:$F$9,MATCH($F588,'CAT_CENTROS_COSTO'!$A$4:$A$9,0)),"(sin catálogo)"))</f>
        <v/>
      </c>
      <c r="W588" s="3">
        <f>IF($G588="","",IFERROR(INDEX('CAT_PUESTOS'!$B$4:$B$8,MATCH($G588,'CAT_PUESTOS'!$A$4:$A$8,0)),"(sin catálogo)"))</f>
        <v/>
      </c>
      <c r="X588" s="3">
        <f>IF($H588="","",IFERROR(INDEX('CAT_ACTIVIDADES'!$B$4:$B$8,MATCH($H588,'CAT_ACTIVIDADES'!$A$4:$A$8,0)),"(sin catálogo)"))</f>
        <v/>
      </c>
      <c r="Y588" s="12">
        <f>IF($J588="","",TODAY()-$J588)</f>
        <v/>
      </c>
      <c r="Z588" s="3">
        <f>IF($Y588="","",IF($Y588&lt;0,"FUTURO",IF($Y588&gt;p_dias_backlog_max,"BACKLOG","MES CORRIENTE")))</f>
        <v/>
      </c>
      <c r="AA588" s="3">
        <f>IF($Y588="",FALSE,AND($Y588&gt;p_dias_backlog_min,$Y588&lt;=p_dias_backlog_max))</f>
        <v/>
      </c>
      <c r="AB588" s="6" t="n"/>
      <c r="AC588" s="3">
        <f>IF($AB588="","",IFERROR(INDEX('ASIGNACIONES'!$F$4:$F$339,MATCH($O588&amp;"|"&amp;$R588&amp;"|"&amp;$AB588,'ASIGNACIONES'!$I$4:$I$339,0)),""))</f>
        <v/>
      </c>
      <c r="AD588" s="13">
        <f>IF($AB588="","",SUMIFS('ORDENES'!$M$4:$M$1203,'ORDENES'!$AB$4:$AB$1203,$AB588,'ORDENES'!$O$4:$O$1203,$O588,'ORDENES'!$R$4:$R$1203,$R588))</f>
        <v/>
      </c>
      <c r="AE588" s="13">
        <f>IF($AD588="","",p_factor_productividad*IFERROR(INDEX('ASIGNACIONES'!$H$4:$H$339,MATCH($O588&amp;"|"&amp;$R588&amp;"|"&amp;$AB588,'ASIGNACIONES'!$I$4:$I$339,0)),0)-$AD588)</f>
        <v/>
      </c>
      <c r="AF588" s="10">
        <f>IF($A588="","",IFERROR(INDEX('2_IMPORTAR_EJECUCION'!$F$9:$F$1208,MATCH($AN588,'2_IMPORTAR_EJECUCION'!$J$9:$J$1208,0)),0))</f>
        <v/>
      </c>
      <c r="AG588" s="10">
        <f>IF($A588="","",MAX(0,IFERROR(INDEX('2_IMPORTAR_EJECUCION'!$H$9:$H$1208,MATCH($AN588,'2_IMPORTAR_EJECUCION'!$J$9:$J$1208,0)),0)-$AF588))</f>
        <v/>
      </c>
      <c r="AH588" s="10">
        <f>IF($A588="","",$AF588+$AG588)</f>
        <v/>
      </c>
      <c r="AI588" s="6" t="n"/>
      <c r="AJ588" s="6" t="n"/>
      <c r="AK588" s="6" t="n"/>
      <c r="AL588" s="3">
        <f>IF($AK588="","",HYPERLINK(p_ruta_base_checklists&amp;$AK588,"abrir"))</f>
        <v/>
      </c>
      <c r="AM588" s="6" t="n"/>
      <c r="AN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1" t="n"/>
      <c r="K589" s="3" t="n"/>
      <c r="L589" s="10" t="n"/>
      <c r="M589" s="3">
        <f>IF($A589="","",IFERROR(INDEX('AJUSTES'!$B$4:$B$303,MATCH($AN589,'AJUSTES'!$A$4:$A$303,0)),IF($K589="","",$K589)))</f>
        <v/>
      </c>
      <c r="N589" s="3">
        <f>IF($A589="","",IFERROR(INDEX('CAT_ESTADOS_ERP'!$B$4:$B$7,MATCH(IFERROR(INDEX('2_IMPORTAR_EJECUCION'!$C$9:$C$1208,MATCH($AN589,'2_IMPORTAR_EJECUCION'!$J$9:$J$1208,0)),""),'CAT_ESTADOS_ERP'!$A$4:$A$7,0)),"Pendiente"))</f>
        <v/>
      </c>
      <c r="O589" s="3">
        <f>IF($J589="","",YEAR($J589+4-WEEKDAY($J589,2))&amp;"-S"&amp;TEXT(_xlfn.ISOWEEKNUM($J589),"00"))</f>
        <v/>
      </c>
      <c r="P589" s="3">
        <f>IF($J589="","",YEAR($J589))</f>
        <v/>
      </c>
      <c r="Q589" s="3">
        <f>IF($J589="","",MONTH($J589))</f>
        <v/>
      </c>
      <c r="R589" s="3">
        <f>IF($J589="","",INDEX(lista_dias,WEEKDAY($J589,2)))</f>
        <v/>
      </c>
      <c r="S589" s="3">
        <f>IF($I589="","",IFERROR(INDEX('CAT_TIPOS_OT'!$C$4:$C$7,MATCH($I589,'CAT_TIPOS_OT'!$A$4:$A$7,0)),"sin_clasificar"))</f>
        <v/>
      </c>
      <c r="T589" s="3">
        <f>IF($F589="","",IFERROR(INDEX('CAT_CENTROS_COSTO'!$E$4:$E$9,MATCH($F589,'CAT_CENTROS_COSTO'!$A$4:$A$9,0)),"(sin catálogo)"))</f>
        <v/>
      </c>
      <c r="U589" s="3">
        <f>IF($F589="","",IFERROR(INDEX('CAT_CENTROS_COSTO'!$D$4:$D$9,MATCH($F589,'CAT_CENTROS_COSTO'!$A$4:$A$9,0)),"(sin catálogo)"))</f>
        <v/>
      </c>
      <c r="V589" s="3">
        <f>IF($F589="","",IFERROR(INDEX('CAT_CENTROS_COSTO'!$F$4:$F$9,MATCH($F589,'CAT_CENTROS_COSTO'!$A$4:$A$9,0)),"(sin catálogo)"))</f>
        <v/>
      </c>
      <c r="W589" s="3">
        <f>IF($G589="","",IFERROR(INDEX('CAT_PUESTOS'!$B$4:$B$8,MATCH($G589,'CAT_PUESTOS'!$A$4:$A$8,0)),"(sin catálogo)"))</f>
        <v/>
      </c>
      <c r="X589" s="3">
        <f>IF($H589="","",IFERROR(INDEX('CAT_ACTIVIDADES'!$B$4:$B$8,MATCH($H589,'CAT_ACTIVIDADES'!$A$4:$A$8,0)),"(sin catálogo)"))</f>
        <v/>
      </c>
      <c r="Y589" s="12">
        <f>IF($J589="","",TODAY()-$J589)</f>
        <v/>
      </c>
      <c r="Z589" s="3">
        <f>IF($Y589="","",IF($Y589&lt;0,"FUTURO",IF($Y589&gt;p_dias_backlog_max,"BACKLOG","MES CORRIENTE")))</f>
        <v/>
      </c>
      <c r="AA589" s="3">
        <f>IF($Y589="",FALSE,AND($Y589&gt;p_dias_backlog_min,$Y589&lt;=p_dias_backlog_max))</f>
        <v/>
      </c>
      <c r="AB589" s="6" t="n"/>
      <c r="AC589" s="3">
        <f>IF($AB589="","",IFERROR(INDEX('ASIGNACIONES'!$F$4:$F$339,MATCH($O589&amp;"|"&amp;$R589&amp;"|"&amp;$AB589,'ASIGNACIONES'!$I$4:$I$339,0)),""))</f>
        <v/>
      </c>
      <c r="AD589" s="13">
        <f>IF($AB589="","",SUMIFS('ORDENES'!$M$4:$M$1203,'ORDENES'!$AB$4:$AB$1203,$AB589,'ORDENES'!$O$4:$O$1203,$O589,'ORDENES'!$R$4:$R$1203,$R589))</f>
        <v/>
      </c>
      <c r="AE589" s="13">
        <f>IF($AD589="","",p_factor_productividad*IFERROR(INDEX('ASIGNACIONES'!$H$4:$H$339,MATCH($O589&amp;"|"&amp;$R589&amp;"|"&amp;$AB589,'ASIGNACIONES'!$I$4:$I$339,0)),0)-$AD589)</f>
        <v/>
      </c>
      <c r="AF589" s="10">
        <f>IF($A589="","",IFERROR(INDEX('2_IMPORTAR_EJECUCION'!$F$9:$F$1208,MATCH($AN589,'2_IMPORTAR_EJECUCION'!$J$9:$J$1208,0)),0))</f>
        <v/>
      </c>
      <c r="AG589" s="10">
        <f>IF($A589="","",MAX(0,IFERROR(INDEX('2_IMPORTAR_EJECUCION'!$H$9:$H$1208,MATCH($AN589,'2_IMPORTAR_EJECUCION'!$J$9:$J$1208,0)),0)-$AF589))</f>
        <v/>
      </c>
      <c r="AH589" s="10">
        <f>IF($A589="","",$AF589+$AG589)</f>
        <v/>
      </c>
      <c r="AI589" s="6" t="n"/>
      <c r="AJ589" s="6" t="n"/>
      <c r="AK589" s="6" t="n"/>
      <c r="AL589" s="3">
        <f>IF($AK589="","",HYPERLINK(p_ruta_base_checklists&amp;$AK589,"abrir"))</f>
        <v/>
      </c>
      <c r="AM589" s="6" t="n"/>
      <c r="AN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1" t="n"/>
      <c r="K590" s="3" t="n"/>
      <c r="L590" s="10" t="n"/>
      <c r="M590" s="3">
        <f>IF($A590="","",IFERROR(INDEX('AJUSTES'!$B$4:$B$303,MATCH($AN590,'AJUSTES'!$A$4:$A$303,0)),IF($K590="","",$K590)))</f>
        <v/>
      </c>
      <c r="N590" s="3">
        <f>IF($A590="","",IFERROR(INDEX('CAT_ESTADOS_ERP'!$B$4:$B$7,MATCH(IFERROR(INDEX('2_IMPORTAR_EJECUCION'!$C$9:$C$1208,MATCH($AN590,'2_IMPORTAR_EJECUCION'!$J$9:$J$1208,0)),""),'CAT_ESTADOS_ERP'!$A$4:$A$7,0)),"Pendiente"))</f>
        <v/>
      </c>
      <c r="O590" s="3">
        <f>IF($J590="","",YEAR($J590+4-WEEKDAY($J590,2))&amp;"-S"&amp;TEXT(_xlfn.ISOWEEKNUM($J590),"00"))</f>
        <v/>
      </c>
      <c r="P590" s="3">
        <f>IF($J590="","",YEAR($J590))</f>
        <v/>
      </c>
      <c r="Q590" s="3">
        <f>IF($J590="","",MONTH($J590))</f>
        <v/>
      </c>
      <c r="R590" s="3">
        <f>IF($J590="","",INDEX(lista_dias,WEEKDAY($J590,2)))</f>
        <v/>
      </c>
      <c r="S590" s="3">
        <f>IF($I590="","",IFERROR(INDEX('CAT_TIPOS_OT'!$C$4:$C$7,MATCH($I590,'CAT_TIPOS_OT'!$A$4:$A$7,0)),"sin_clasificar"))</f>
        <v/>
      </c>
      <c r="T590" s="3">
        <f>IF($F590="","",IFERROR(INDEX('CAT_CENTROS_COSTO'!$E$4:$E$9,MATCH($F590,'CAT_CENTROS_COSTO'!$A$4:$A$9,0)),"(sin catálogo)"))</f>
        <v/>
      </c>
      <c r="U590" s="3">
        <f>IF($F590="","",IFERROR(INDEX('CAT_CENTROS_COSTO'!$D$4:$D$9,MATCH($F590,'CAT_CENTROS_COSTO'!$A$4:$A$9,0)),"(sin catálogo)"))</f>
        <v/>
      </c>
      <c r="V590" s="3">
        <f>IF($F590="","",IFERROR(INDEX('CAT_CENTROS_COSTO'!$F$4:$F$9,MATCH($F590,'CAT_CENTROS_COSTO'!$A$4:$A$9,0)),"(sin catálogo)"))</f>
        <v/>
      </c>
      <c r="W590" s="3">
        <f>IF($G590="","",IFERROR(INDEX('CAT_PUESTOS'!$B$4:$B$8,MATCH($G590,'CAT_PUESTOS'!$A$4:$A$8,0)),"(sin catálogo)"))</f>
        <v/>
      </c>
      <c r="X590" s="3">
        <f>IF($H590="","",IFERROR(INDEX('CAT_ACTIVIDADES'!$B$4:$B$8,MATCH($H590,'CAT_ACTIVIDADES'!$A$4:$A$8,0)),"(sin catálogo)"))</f>
        <v/>
      </c>
      <c r="Y590" s="12">
        <f>IF($J590="","",TODAY()-$J590)</f>
        <v/>
      </c>
      <c r="Z590" s="3">
        <f>IF($Y590="","",IF($Y590&lt;0,"FUTURO",IF($Y590&gt;p_dias_backlog_max,"BACKLOG","MES CORRIENTE")))</f>
        <v/>
      </c>
      <c r="AA590" s="3">
        <f>IF($Y590="",FALSE,AND($Y590&gt;p_dias_backlog_min,$Y590&lt;=p_dias_backlog_max))</f>
        <v/>
      </c>
      <c r="AB590" s="6" t="n"/>
      <c r="AC590" s="3">
        <f>IF($AB590="","",IFERROR(INDEX('ASIGNACIONES'!$F$4:$F$339,MATCH($O590&amp;"|"&amp;$R590&amp;"|"&amp;$AB590,'ASIGNACIONES'!$I$4:$I$339,0)),""))</f>
        <v/>
      </c>
      <c r="AD590" s="13">
        <f>IF($AB590="","",SUMIFS('ORDENES'!$M$4:$M$1203,'ORDENES'!$AB$4:$AB$1203,$AB590,'ORDENES'!$O$4:$O$1203,$O590,'ORDENES'!$R$4:$R$1203,$R590))</f>
        <v/>
      </c>
      <c r="AE590" s="13">
        <f>IF($AD590="","",p_factor_productividad*IFERROR(INDEX('ASIGNACIONES'!$H$4:$H$339,MATCH($O590&amp;"|"&amp;$R590&amp;"|"&amp;$AB590,'ASIGNACIONES'!$I$4:$I$339,0)),0)-$AD590)</f>
        <v/>
      </c>
      <c r="AF590" s="10">
        <f>IF($A590="","",IFERROR(INDEX('2_IMPORTAR_EJECUCION'!$F$9:$F$1208,MATCH($AN590,'2_IMPORTAR_EJECUCION'!$J$9:$J$1208,0)),0))</f>
        <v/>
      </c>
      <c r="AG590" s="10">
        <f>IF($A590="","",MAX(0,IFERROR(INDEX('2_IMPORTAR_EJECUCION'!$H$9:$H$1208,MATCH($AN590,'2_IMPORTAR_EJECUCION'!$J$9:$J$1208,0)),0)-$AF590))</f>
        <v/>
      </c>
      <c r="AH590" s="10">
        <f>IF($A590="","",$AF590+$AG590)</f>
        <v/>
      </c>
      <c r="AI590" s="6" t="n"/>
      <c r="AJ590" s="6" t="n"/>
      <c r="AK590" s="6" t="n"/>
      <c r="AL590" s="3">
        <f>IF($AK590="","",HYPERLINK(p_ruta_base_checklists&amp;$AK590,"abrir"))</f>
        <v/>
      </c>
      <c r="AM590" s="6" t="n"/>
      <c r="AN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1" t="n"/>
      <c r="K591" s="3" t="n"/>
      <c r="L591" s="10" t="n"/>
      <c r="M591" s="3">
        <f>IF($A591="","",IFERROR(INDEX('AJUSTES'!$B$4:$B$303,MATCH($AN591,'AJUSTES'!$A$4:$A$303,0)),IF($K591="","",$K591)))</f>
        <v/>
      </c>
      <c r="N591" s="3">
        <f>IF($A591="","",IFERROR(INDEX('CAT_ESTADOS_ERP'!$B$4:$B$7,MATCH(IFERROR(INDEX('2_IMPORTAR_EJECUCION'!$C$9:$C$1208,MATCH($AN591,'2_IMPORTAR_EJECUCION'!$J$9:$J$1208,0)),""),'CAT_ESTADOS_ERP'!$A$4:$A$7,0)),"Pendiente"))</f>
        <v/>
      </c>
      <c r="O591" s="3">
        <f>IF($J591="","",YEAR($J591+4-WEEKDAY($J591,2))&amp;"-S"&amp;TEXT(_xlfn.ISOWEEKNUM($J591),"00"))</f>
        <v/>
      </c>
      <c r="P591" s="3">
        <f>IF($J591="","",YEAR($J591))</f>
        <v/>
      </c>
      <c r="Q591" s="3">
        <f>IF($J591="","",MONTH($J591))</f>
        <v/>
      </c>
      <c r="R591" s="3">
        <f>IF($J591="","",INDEX(lista_dias,WEEKDAY($J591,2)))</f>
        <v/>
      </c>
      <c r="S591" s="3">
        <f>IF($I591="","",IFERROR(INDEX('CAT_TIPOS_OT'!$C$4:$C$7,MATCH($I591,'CAT_TIPOS_OT'!$A$4:$A$7,0)),"sin_clasificar"))</f>
        <v/>
      </c>
      <c r="T591" s="3">
        <f>IF($F591="","",IFERROR(INDEX('CAT_CENTROS_COSTO'!$E$4:$E$9,MATCH($F591,'CAT_CENTROS_COSTO'!$A$4:$A$9,0)),"(sin catálogo)"))</f>
        <v/>
      </c>
      <c r="U591" s="3">
        <f>IF($F591="","",IFERROR(INDEX('CAT_CENTROS_COSTO'!$D$4:$D$9,MATCH($F591,'CAT_CENTROS_COSTO'!$A$4:$A$9,0)),"(sin catálogo)"))</f>
        <v/>
      </c>
      <c r="V591" s="3">
        <f>IF($F591="","",IFERROR(INDEX('CAT_CENTROS_COSTO'!$F$4:$F$9,MATCH($F591,'CAT_CENTROS_COSTO'!$A$4:$A$9,0)),"(sin catálogo)"))</f>
        <v/>
      </c>
      <c r="W591" s="3">
        <f>IF($G591="","",IFERROR(INDEX('CAT_PUESTOS'!$B$4:$B$8,MATCH($G591,'CAT_PUESTOS'!$A$4:$A$8,0)),"(sin catálogo)"))</f>
        <v/>
      </c>
      <c r="X591" s="3">
        <f>IF($H591="","",IFERROR(INDEX('CAT_ACTIVIDADES'!$B$4:$B$8,MATCH($H591,'CAT_ACTIVIDADES'!$A$4:$A$8,0)),"(sin catálogo)"))</f>
        <v/>
      </c>
      <c r="Y591" s="12">
        <f>IF($J591="","",TODAY()-$J591)</f>
        <v/>
      </c>
      <c r="Z591" s="3">
        <f>IF($Y591="","",IF($Y591&lt;0,"FUTURO",IF($Y591&gt;p_dias_backlog_max,"BACKLOG","MES CORRIENTE")))</f>
        <v/>
      </c>
      <c r="AA591" s="3">
        <f>IF($Y591="",FALSE,AND($Y591&gt;p_dias_backlog_min,$Y591&lt;=p_dias_backlog_max))</f>
        <v/>
      </c>
      <c r="AB591" s="6" t="n"/>
      <c r="AC591" s="3">
        <f>IF($AB591="","",IFERROR(INDEX('ASIGNACIONES'!$F$4:$F$339,MATCH($O591&amp;"|"&amp;$R591&amp;"|"&amp;$AB591,'ASIGNACIONES'!$I$4:$I$339,0)),""))</f>
        <v/>
      </c>
      <c r="AD591" s="13">
        <f>IF($AB591="","",SUMIFS('ORDENES'!$M$4:$M$1203,'ORDENES'!$AB$4:$AB$1203,$AB591,'ORDENES'!$O$4:$O$1203,$O591,'ORDENES'!$R$4:$R$1203,$R591))</f>
        <v/>
      </c>
      <c r="AE591" s="13">
        <f>IF($AD591="","",p_factor_productividad*IFERROR(INDEX('ASIGNACIONES'!$H$4:$H$339,MATCH($O591&amp;"|"&amp;$R591&amp;"|"&amp;$AB591,'ASIGNACIONES'!$I$4:$I$339,0)),0)-$AD591)</f>
        <v/>
      </c>
      <c r="AF591" s="10">
        <f>IF($A591="","",IFERROR(INDEX('2_IMPORTAR_EJECUCION'!$F$9:$F$1208,MATCH($AN591,'2_IMPORTAR_EJECUCION'!$J$9:$J$1208,0)),0))</f>
        <v/>
      </c>
      <c r="AG591" s="10">
        <f>IF($A591="","",MAX(0,IFERROR(INDEX('2_IMPORTAR_EJECUCION'!$H$9:$H$1208,MATCH($AN591,'2_IMPORTAR_EJECUCION'!$J$9:$J$1208,0)),0)-$AF591))</f>
        <v/>
      </c>
      <c r="AH591" s="10">
        <f>IF($A591="","",$AF591+$AG591)</f>
        <v/>
      </c>
      <c r="AI591" s="6" t="n"/>
      <c r="AJ591" s="6" t="n"/>
      <c r="AK591" s="6" t="n"/>
      <c r="AL591" s="3">
        <f>IF($AK591="","",HYPERLINK(p_ruta_base_checklists&amp;$AK591,"abrir"))</f>
        <v/>
      </c>
      <c r="AM591" s="6" t="n"/>
      <c r="AN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1" t="n"/>
      <c r="K592" s="3" t="n"/>
      <c r="L592" s="10" t="n"/>
      <c r="M592" s="3">
        <f>IF($A592="","",IFERROR(INDEX('AJUSTES'!$B$4:$B$303,MATCH($AN592,'AJUSTES'!$A$4:$A$303,0)),IF($K592="","",$K592)))</f>
        <v/>
      </c>
      <c r="N592" s="3">
        <f>IF($A592="","",IFERROR(INDEX('CAT_ESTADOS_ERP'!$B$4:$B$7,MATCH(IFERROR(INDEX('2_IMPORTAR_EJECUCION'!$C$9:$C$1208,MATCH($AN592,'2_IMPORTAR_EJECUCION'!$J$9:$J$1208,0)),""),'CAT_ESTADOS_ERP'!$A$4:$A$7,0)),"Pendiente"))</f>
        <v/>
      </c>
      <c r="O592" s="3">
        <f>IF($J592="","",YEAR($J592+4-WEEKDAY($J592,2))&amp;"-S"&amp;TEXT(_xlfn.ISOWEEKNUM($J592),"00"))</f>
        <v/>
      </c>
      <c r="P592" s="3">
        <f>IF($J592="","",YEAR($J592))</f>
        <v/>
      </c>
      <c r="Q592" s="3">
        <f>IF($J592="","",MONTH($J592))</f>
        <v/>
      </c>
      <c r="R592" s="3">
        <f>IF($J592="","",INDEX(lista_dias,WEEKDAY($J592,2)))</f>
        <v/>
      </c>
      <c r="S592" s="3">
        <f>IF($I592="","",IFERROR(INDEX('CAT_TIPOS_OT'!$C$4:$C$7,MATCH($I592,'CAT_TIPOS_OT'!$A$4:$A$7,0)),"sin_clasificar"))</f>
        <v/>
      </c>
      <c r="T592" s="3">
        <f>IF($F592="","",IFERROR(INDEX('CAT_CENTROS_COSTO'!$E$4:$E$9,MATCH($F592,'CAT_CENTROS_COSTO'!$A$4:$A$9,0)),"(sin catálogo)"))</f>
        <v/>
      </c>
      <c r="U592" s="3">
        <f>IF($F592="","",IFERROR(INDEX('CAT_CENTROS_COSTO'!$D$4:$D$9,MATCH($F592,'CAT_CENTROS_COSTO'!$A$4:$A$9,0)),"(sin catálogo)"))</f>
        <v/>
      </c>
      <c r="V592" s="3">
        <f>IF($F592="","",IFERROR(INDEX('CAT_CENTROS_COSTO'!$F$4:$F$9,MATCH($F592,'CAT_CENTROS_COSTO'!$A$4:$A$9,0)),"(sin catálogo)"))</f>
        <v/>
      </c>
      <c r="W592" s="3">
        <f>IF($G592="","",IFERROR(INDEX('CAT_PUESTOS'!$B$4:$B$8,MATCH($G592,'CAT_PUESTOS'!$A$4:$A$8,0)),"(sin catálogo)"))</f>
        <v/>
      </c>
      <c r="X592" s="3">
        <f>IF($H592="","",IFERROR(INDEX('CAT_ACTIVIDADES'!$B$4:$B$8,MATCH($H592,'CAT_ACTIVIDADES'!$A$4:$A$8,0)),"(sin catálogo)"))</f>
        <v/>
      </c>
      <c r="Y592" s="12">
        <f>IF($J592="","",TODAY()-$J592)</f>
        <v/>
      </c>
      <c r="Z592" s="3">
        <f>IF($Y592="","",IF($Y592&lt;0,"FUTURO",IF($Y592&gt;p_dias_backlog_max,"BACKLOG","MES CORRIENTE")))</f>
        <v/>
      </c>
      <c r="AA592" s="3">
        <f>IF($Y592="",FALSE,AND($Y592&gt;p_dias_backlog_min,$Y592&lt;=p_dias_backlog_max))</f>
        <v/>
      </c>
      <c r="AB592" s="6" t="n"/>
      <c r="AC592" s="3">
        <f>IF($AB592="","",IFERROR(INDEX('ASIGNACIONES'!$F$4:$F$339,MATCH($O592&amp;"|"&amp;$R592&amp;"|"&amp;$AB592,'ASIGNACIONES'!$I$4:$I$339,0)),""))</f>
        <v/>
      </c>
      <c r="AD592" s="13">
        <f>IF($AB592="","",SUMIFS('ORDENES'!$M$4:$M$1203,'ORDENES'!$AB$4:$AB$1203,$AB592,'ORDENES'!$O$4:$O$1203,$O592,'ORDENES'!$R$4:$R$1203,$R592))</f>
        <v/>
      </c>
      <c r="AE592" s="13">
        <f>IF($AD592="","",p_factor_productividad*IFERROR(INDEX('ASIGNACIONES'!$H$4:$H$339,MATCH($O592&amp;"|"&amp;$R592&amp;"|"&amp;$AB592,'ASIGNACIONES'!$I$4:$I$339,0)),0)-$AD592)</f>
        <v/>
      </c>
      <c r="AF592" s="10">
        <f>IF($A592="","",IFERROR(INDEX('2_IMPORTAR_EJECUCION'!$F$9:$F$1208,MATCH($AN592,'2_IMPORTAR_EJECUCION'!$J$9:$J$1208,0)),0))</f>
        <v/>
      </c>
      <c r="AG592" s="10">
        <f>IF($A592="","",MAX(0,IFERROR(INDEX('2_IMPORTAR_EJECUCION'!$H$9:$H$1208,MATCH($AN592,'2_IMPORTAR_EJECUCION'!$J$9:$J$1208,0)),0)-$AF592))</f>
        <v/>
      </c>
      <c r="AH592" s="10">
        <f>IF($A592="","",$AF592+$AG592)</f>
        <v/>
      </c>
      <c r="AI592" s="6" t="n"/>
      <c r="AJ592" s="6" t="n"/>
      <c r="AK592" s="6" t="n"/>
      <c r="AL592" s="3">
        <f>IF($AK592="","",HYPERLINK(p_ruta_base_checklists&amp;$AK592,"abrir"))</f>
        <v/>
      </c>
      <c r="AM592" s="6" t="n"/>
      <c r="AN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1" t="n"/>
      <c r="K593" s="3" t="n"/>
      <c r="L593" s="10" t="n"/>
      <c r="M593" s="3">
        <f>IF($A593="","",IFERROR(INDEX('AJUSTES'!$B$4:$B$303,MATCH($AN593,'AJUSTES'!$A$4:$A$303,0)),IF($K593="","",$K593)))</f>
        <v/>
      </c>
      <c r="N593" s="3">
        <f>IF($A593="","",IFERROR(INDEX('CAT_ESTADOS_ERP'!$B$4:$B$7,MATCH(IFERROR(INDEX('2_IMPORTAR_EJECUCION'!$C$9:$C$1208,MATCH($AN593,'2_IMPORTAR_EJECUCION'!$J$9:$J$1208,0)),""),'CAT_ESTADOS_ERP'!$A$4:$A$7,0)),"Pendiente"))</f>
        <v/>
      </c>
      <c r="O593" s="3">
        <f>IF($J593="","",YEAR($J593+4-WEEKDAY($J593,2))&amp;"-S"&amp;TEXT(_xlfn.ISOWEEKNUM($J593),"00"))</f>
        <v/>
      </c>
      <c r="P593" s="3">
        <f>IF($J593="","",YEAR($J593))</f>
        <v/>
      </c>
      <c r="Q593" s="3">
        <f>IF($J593="","",MONTH($J593))</f>
        <v/>
      </c>
      <c r="R593" s="3">
        <f>IF($J593="","",INDEX(lista_dias,WEEKDAY($J593,2)))</f>
        <v/>
      </c>
      <c r="S593" s="3">
        <f>IF($I593="","",IFERROR(INDEX('CAT_TIPOS_OT'!$C$4:$C$7,MATCH($I593,'CAT_TIPOS_OT'!$A$4:$A$7,0)),"sin_clasificar"))</f>
        <v/>
      </c>
      <c r="T593" s="3">
        <f>IF($F593="","",IFERROR(INDEX('CAT_CENTROS_COSTO'!$E$4:$E$9,MATCH($F593,'CAT_CENTROS_COSTO'!$A$4:$A$9,0)),"(sin catálogo)"))</f>
        <v/>
      </c>
      <c r="U593" s="3">
        <f>IF($F593="","",IFERROR(INDEX('CAT_CENTROS_COSTO'!$D$4:$D$9,MATCH($F593,'CAT_CENTROS_COSTO'!$A$4:$A$9,0)),"(sin catálogo)"))</f>
        <v/>
      </c>
      <c r="V593" s="3">
        <f>IF($F593="","",IFERROR(INDEX('CAT_CENTROS_COSTO'!$F$4:$F$9,MATCH($F593,'CAT_CENTROS_COSTO'!$A$4:$A$9,0)),"(sin catálogo)"))</f>
        <v/>
      </c>
      <c r="W593" s="3">
        <f>IF($G593="","",IFERROR(INDEX('CAT_PUESTOS'!$B$4:$B$8,MATCH($G593,'CAT_PUESTOS'!$A$4:$A$8,0)),"(sin catálogo)"))</f>
        <v/>
      </c>
      <c r="X593" s="3">
        <f>IF($H593="","",IFERROR(INDEX('CAT_ACTIVIDADES'!$B$4:$B$8,MATCH($H593,'CAT_ACTIVIDADES'!$A$4:$A$8,0)),"(sin catálogo)"))</f>
        <v/>
      </c>
      <c r="Y593" s="12">
        <f>IF($J593="","",TODAY()-$J593)</f>
        <v/>
      </c>
      <c r="Z593" s="3">
        <f>IF($Y593="","",IF($Y593&lt;0,"FUTURO",IF($Y593&gt;p_dias_backlog_max,"BACKLOG","MES CORRIENTE")))</f>
        <v/>
      </c>
      <c r="AA593" s="3">
        <f>IF($Y593="",FALSE,AND($Y593&gt;p_dias_backlog_min,$Y593&lt;=p_dias_backlog_max))</f>
        <v/>
      </c>
      <c r="AB593" s="6" t="n"/>
      <c r="AC593" s="3">
        <f>IF($AB593="","",IFERROR(INDEX('ASIGNACIONES'!$F$4:$F$339,MATCH($O593&amp;"|"&amp;$R593&amp;"|"&amp;$AB593,'ASIGNACIONES'!$I$4:$I$339,0)),""))</f>
        <v/>
      </c>
      <c r="AD593" s="13">
        <f>IF($AB593="","",SUMIFS('ORDENES'!$M$4:$M$1203,'ORDENES'!$AB$4:$AB$1203,$AB593,'ORDENES'!$O$4:$O$1203,$O593,'ORDENES'!$R$4:$R$1203,$R593))</f>
        <v/>
      </c>
      <c r="AE593" s="13">
        <f>IF($AD593="","",p_factor_productividad*IFERROR(INDEX('ASIGNACIONES'!$H$4:$H$339,MATCH($O593&amp;"|"&amp;$R593&amp;"|"&amp;$AB593,'ASIGNACIONES'!$I$4:$I$339,0)),0)-$AD593)</f>
        <v/>
      </c>
      <c r="AF593" s="10">
        <f>IF($A593="","",IFERROR(INDEX('2_IMPORTAR_EJECUCION'!$F$9:$F$1208,MATCH($AN593,'2_IMPORTAR_EJECUCION'!$J$9:$J$1208,0)),0))</f>
        <v/>
      </c>
      <c r="AG593" s="10">
        <f>IF($A593="","",MAX(0,IFERROR(INDEX('2_IMPORTAR_EJECUCION'!$H$9:$H$1208,MATCH($AN593,'2_IMPORTAR_EJECUCION'!$J$9:$J$1208,0)),0)-$AF593))</f>
        <v/>
      </c>
      <c r="AH593" s="10">
        <f>IF($A593="","",$AF593+$AG593)</f>
        <v/>
      </c>
      <c r="AI593" s="6" t="n"/>
      <c r="AJ593" s="6" t="n"/>
      <c r="AK593" s="6" t="n"/>
      <c r="AL593" s="3">
        <f>IF($AK593="","",HYPERLINK(p_ruta_base_checklists&amp;$AK593,"abrir"))</f>
        <v/>
      </c>
      <c r="AM593" s="6" t="n"/>
      <c r="AN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1" t="n"/>
      <c r="K594" s="3" t="n"/>
      <c r="L594" s="10" t="n"/>
      <c r="M594" s="3">
        <f>IF($A594="","",IFERROR(INDEX('AJUSTES'!$B$4:$B$303,MATCH($AN594,'AJUSTES'!$A$4:$A$303,0)),IF($K594="","",$K594)))</f>
        <v/>
      </c>
      <c r="N594" s="3">
        <f>IF($A594="","",IFERROR(INDEX('CAT_ESTADOS_ERP'!$B$4:$B$7,MATCH(IFERROR(INDEX('2_IMPORTAR_EJECUCION'!$C$9:$C$1208,MATCH($AN594,'2_IMPORTAR_EJECUCION'!$J$9:$J$1208,0)),""),'CAT_ESTADOS_ERP'!$A$4:$A$7,0)),"Pendiente"))</f>
        <v/>
      </c>
      <c r="O594" s="3">
        <f>IF($J594="","",YEAR($J594+4-WEEKDAY($J594,2))&amp;"-S"&amp;TEXT(_xlfn.ISOWEEKNUM($J594),"00"))</f>
        <v/>
      </c>
      <c r="P594" s="3">
        <f>IF($J594="","",YEAR($J594))</f>
        <v/>
      </c>
      <c r="Q594" s="3">
        <f>IF($J594="","",MONTH($J594))</f>
        <v/>
      </c>
      <c r="R594" s="3">
        <f>IF($J594="","",INDEX(lista_dias,WEEKDAY($J594,2)))</f>
        <v/>
      </c>
      <c r="S594" s="3">
        <f>IF($I594="","",IFERROR(INDEX('CAT_TIPOS_OT'!$C$4:$C$7,MATCH($I594,'CAT_TIPOS_OT'!$A$4:$A$7,0)),"sin_clasificar"))</f>
        <v/>
      </c>
      <c r="T594" s="3">
        <f>IF($F594="","",IFERROR(INDEX('CAT_CENTROS_COSTO'!$E$4:$E$9,MATCH($F594,'CAT_CENTROS_COSTO'!$A$4:$A$9,0)),"(sin catálogo)"))</f>
        <v/>
      </c>
      <c r="U594" s="3">
        <f>IF($F594="","",IFERROR(INDEX('CAT_CENTROS_COSTO'!$D$4:$D$9,MATCH($F594,'CAT_CENTROS_COSTO'!$A$4:$A$9,0)),"(sin catálogo)"))</f>
        <v/>
      </c>
      <c r="V594" s="3">
        <f>IF($F594="","",IFERROR(INDEX('CAT_CENTROS_COSTO'!$F$4:$F$9,MATCH($F594,'CAT_CENTROS_COSTO'!$A$4:$A$9,0)),"(sin catálogo)"))</f>
        <v/>
      </c>
      <c r="W594" s="3">
        <f>IF($G594="","",IFERROR(INDEX('CAT_PUESTOS'!$B$4:$B$8,MATCH($G594,'CAT_PUESTOS'!$A$4:$A$8,0)),"(sin catálogo)"))</f>
        <v/>
      </c>
      <c r="X594" s="3">
        <f>IF($H594="","",IFERROR(INDEX('CAT_ACTIVIDADES'!$B$4:$B$8,MATCH($H594,'CAT_ACTIVIDADES'!$A$4:$A$8,0)),"(sin catálogo)"))</f>
        <v/>
      </c>
      <c r="Y594" s="12">
        <f>IF($J594="","",TODAY()-$J594)</f>
        <v/>
      </c>
      <c r="Z594" s="3">
        <f>IF($Y594="","",IF($Y594&lt;0,"FUTURO",IF($Y594&gt;p_dias_backlog_max,"BACKLOG","MES CORRIENTE")))</f>
        <v/>
      </c>
      <c r="AA594" s="3">
        <f>IF($Y594="",FALSE,AND($Y594&gt;p_dias_backlog_min,$Y594&lt;=p_dias_backlog_max))</f>
        <v/>
      </c>
      <c r="AB594" s="6" t="n"/>
      <c r="AC594" s="3">
        <f>IF($AB594="","",IFERROR(INDEX('ASIGNACIONES'!$F$4:$F$339,MATCH($O594&amp;"|"&amp;$R594&amp;"|"&amp;$AB594,'ASIGNACIONES'!$I$4:$I$339,0)),""))</f>
        <v/>
      </c>
      <c r="AD594" s="13">
        <f>IF($AB594="","",SUMIFS('ORDENES'!$M$4:$M$1203,'ORDENES'!$AB$4:$AB$1203,$AB594,'ORDENES'!$O$4:$O$1203,$O594,'ORDENES'!$R$4:$R$1203,$R594))</f>
        <v/>
      </c>
      <c r="AE594" s="13">
        <f>IF($AD594="","",p_factor_productividad*IFERROR(INDEX('ASIGNACIONES'!$H$4:$H$339,MATCH($O594&amp;"|"&amp;$R594&amp;"|"&amp;$AB594,'ASIGNACIONES'!$I$4:$I$339,0)),0)-$AD594)</f>
        <v/>
      </c>
      <c r="AF594" s="10">
        <f>IF($A594="","",IFERROR(INDEX('2_IMPORTAR_EJECUCION'!$F$9:$F$1208,MATCH($AN594,'2_IMPORTAR_EJECUCION'!$J$9:$J$1208,0)),0))</f>
        <v/>
      </c>
      <c r="AG594" s="10">
        <f>IF($A594="","",MAX(0,IFERROR(INDEX('2_IMPORTAR_EJECUCION'!$H$9:$H$1208,MATCH($AN594,'2_IMPORTAR_EJECUCION'!$J$9:$J$1208,0)),0)-$AF594))</f>
        <v/>
      </c>
      <c r="AH594" s="10">
        <f>IF($A594="","",$AF594+$AG594)</f>
        <v/>
      </c>
      <c r="AI594" s="6" t="n"/>
      <c r="AJ594" s="6" t="n"/>
      <c r="AK594" s="6" t="n"/>
      <c r="AL594" s="3">
        <f>IF($AK594="","",HYPERLINK(p_ruta_base_checklists&amp;$AK594,"abrir"))</f>
        <v/>
      </c>
      <c r="AM594" s="6" t="n"/>
      <c r="AN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1" t="n"/>
      <c r="K595" s="3" t="n"/>
      <c r="L595" s="10" t="n"/>
      <c r="M595" s="3">
        <f>IF($A595="","",IFERROR(INDEX('AJUSTES'!$B$4:$B$303,MATCH($AN595,'AJUSTES'!$A$4:$A$303,0)),IF($K595="","",$K595)))</f>
        <v/>
      </c>
      <c r="N595" s="3">
        <f>IF($A595="","",IFERROR(INDEX('CAT_ESTADOS_ERP'!$B$4:$B$7,MATCH(IFERROR(INDEX('2_IMPORTAR_EJECUCION'!$C$9:$C$1208,MATCH($AN595,'2_IMPORTAR_EJECUCION'!$J$9:$J$1208,0)),""),'CAT_ESTADOS_ERP'!$A$4:$A$7,0)),"Pendiente"))</f>
        <v/>
      </c>
      <c r="O595" s="3">
        <f>IF($J595="","",YEAR($J595+4-WEEKDAY($J595,2))&amp;"-S"&amp;TEXT(_xlfn.ISOWEEKNUM($J595),"00"))</f>
        <v/>
      </c>
      <c r="P595" s="3">
        <f>IF($J595="","",YEAR($J595))</f>
        <v/>
      </c>
      <c r="Q595" s="3">
        <f>IF($J595="","",MONTH($J595))</f>
        <v/>
      </c>
      <c r="R595" s="3">
        <f>IF($J595="","",INDEX(lista_dias,WEEKDAY($J595,2)))</f>
        <v/>
      </c>
      <c r="S595" s="3">
        <f>IF($I595="","",IFERROR(INDEX('CAT_TIPOS_OT'!$C$4:$C$7,MATCH($I595,'CAT_TIPOS_OT'!$A$4:$A$7,0)),"sin_clasificar"))</f>
        <v/>
      </c>
      <c r="T595" s="3">
        <f>IF($F595="","",IFERROR(INDEX('CAT_CENTROS_COSTO'!$E$4:$E$9,MATCH($F595,'CAT_CENTROS_COSTO'!$A$4:$A$9,0)),"(sin catálogo)"))</f>
        <v/>
      </c>
      <c r="U595" s="3">
        <f>IF($F595="","",IFERROR(INDEX('CAT_CENTROS_COSTO'!$D$4:$D$9,MATCH($F595,'CAT_CENTROS_COSTO'!$A$4:$A$9,0)),"(sin catálogo)"))</f>
        <v/>
      </c>
      <c r="V595" s="3">
        <f>IF($F595="","",IFERROR(INDEX('CAT_CENTROS_COSTO'!$F$4:$F$9,MATCH($F595,'CAT_CENTROS_COSTO'!$A$4:$A$9,0)),"(sin catálogo)"))</f>
        <v/>
      </c>
      <c r="W595" s="3">
        <f>IF($G595="","",IFERROR(INDEX('CAT_PUESTOS'!$B$4:$B$8,MATCH($G595,'CAT_PUESTOS'!$A$4:$A$8,0)),"(sin catálogo)"))</f>
        <v/>
      </c>
      <c r="X595" s="3">
        <f>IF($H595="","",IFERROR(INDEX('CAT_ACTIVIDADES'!$B$4:$B$8,MATCH($H595,'CAT_ACTIVIDADES'!$A$4:$A$8,0)),"(sin catálogo)"))</f>
        <v/>
      </c>
      <c r="Y595" s="12">
        <f>IF($J595="","",TODAY()-$J595)</f>
        <v/>
      </c>
      <c r="Z595" s="3">
        <f>IF($Y595="","",IF($Y595&lt;0,"FUTURO",IF($Y595&gt;p_dias_backlog_max,"BACKLOG","MES CORRIENTE")))</f>
        <v/>
      </c>
      <c r="AA595" s="3">
        <f>IF($Y595="",FALSE,AND($Y595&gt;p_dias_backlog_min,$Y595&lt;=p_dias_backlog_max))</f>
        <v/>
      </c>
      <c r="AB595" s="6" t="n"/>
      <c r="AC595" s="3">
        <f>IF($AB595="","",IFERROR(INDEX('ASIGNACIONES'!$F$4:$F$339,MATCH($O595&amp;"|"&amp;$R595&amp;"|"&amp;$AB595,'ASIGNACIONES'!$I$4:$I$339,0)),""))</f>
        <v/>
      </c>
      <c r="AD595" s="13">
        <f>IF($AB595="","",SUMIFS('ORDENES'!$M$4:$M$1203,'ORDENES'!$AB$4:$AB$1203,$AB595,'ORDENES'!$O$4:$O$1203,$O595,'ORDENES'!$R$4:$R$1203,$R595))</f>
        <v/>
      </c>
      <c r="AE595" s="13">
        <f>IF($AD595="","",p_factor_productividad*IFERROR(INDEX('ASIGNACIONES'!$H$4:$H$339,MATCH($O595&amp;"|"&amp;$R595&amp;"|"&amp;$AB595,'ASIGNACIONES'!$I$4:$I$339,0)),0)-$AD595)</f>
        <v/>
      </c>
      <c r="AF595" s="10">
        <f>IF($A595="","",IFERROR(INDEX('2_IMPORTAR_EJECUCION'!$F$9:$F$1208,MATCH($AN595,'2_IMPORTAR_EJECUCION'!$J$9:$J$1208,0)),0))</f>
        <v/>
      </c>
      <c r="AG595" s="10">
        <f>IF($A595="","",MAX(0,IFERROR(INDEX('2_IMPORTAR_EJECUCION'!$H$9:$H$1208,MATCH($AN595,'2_IMPORTAR_EJECUCION'!$J$9:$J$1208,0)),0)-$AF595))</f>
        <v/>
      </c>
      <c r="AH595" s="10">
        <f>IF($A595="","",$AF595+$AG595)</f>
        <v/>
      </c>
      <c r="AI595" s="6" t="n"/>
      <c r="AJ595" s="6" t="n"/>
      <c r="AK595" s="6" t="n"/>
      <c r="AL595" s="3">
        <f>IF($AK595="","",HYPERLINK(p_ruta_base_checklists&amp;$AK595,"abrir"))</f>
        <v/>
      </c>
      <c r="AM595" s="6" t="n"/>
      <c r="AN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1" t="n"/>
      <c r="K596" s="3" t="n"/>
      <c r="L596" s="10" t="n"/>
      <c r="M596" s="3">
        <f>IF($A596="","",IFERROR(INDEX('AJUSTES'!$B$4:$B$303,MATCH($AN596,'AJUSTES'!$A$4:$A$303,0)),IF($K596="","",$K596)))</f>
        <v/>
      </c>
      <c r="N596" s="3">
        <f>IF($A596="","",IFERROR(INDEX('CAT_ESTADOS_ERP'!$B$4:$B$7,MATCH(IFERROR(INDEX('2_IMPORTAR_EJECUCION'!$C$9:$C$1208,MATCH($AN596,'2_IMPORTAR_EJECUCION'!$J$9:$J$1208,0)),""),'CAT_ESTADOS_ERP'!$A$4:$A$7,0)),"Pendiente"))</f>
        <v/>
      </c>
      <c r="O596" s="3">
        <f>IF($J596="","",YEAR($J596+4-WEEKDAY($J596,2))&amp;"-S"&amp;TEXT(_xlfn.ISOWEEKNUM($J596),"00"))</f>
        <v/>
      </c>
      <c r="P596" s="3">
        <f>IF($J596="","",YEAR($J596))</f>
        <v/>
      </c>
      <c r="Q596" s="3">
        <f>IF($J596="","",MONTH($J596))</f>
        <v/>
      </c>
      <c r="R596" s="3">
        <f>IF($J596="","",INDEX(lista_dias,WEEKDAY($J596,2)))</f>
        <v/>
      </c>
      <c r="S596" s="3">
        <f>IF($I596="","",IFERROR(INDEX('CAT_TIPOS_OT'!$C$4:$C$7,MATCH($I596,'CAT_TIPOS_OT'!$A$4:$A$7,0)),"sin_clasificar"))</f>
        <v/>
      </c>
      <c r="T596" s="3">
        <f>IF($F596="","",IFERROR(INDEX('CAT_CENTROS_COSTO'!$E$4:$E$9,MATCH($F596,'CAT_CENTROS_COSTO'!$A$4:$A$9,0)),"(sin catálogo)"))</f>
        <v/>
      </c>
      <c r="U596" s="3">
        <f>IF($F596="","",IFERROR(INDEX('CAT_CENTROS_COSTO'!$D$4:$D$9,MATCH($F596,'CAT_CENTROS_COSTO'!$A$4:$A$9,0)),"(sin catálogo)"))</f>
        <v/>
      </c>
      <c r="V596" s="3">
        <f>IF($F596="","",IFERROR(INDEX('CAT_CENTROS_COSTO'!$F$4:$F$9,MATCH($F596,'CAT_CENTROS_COSTO'!$A$4:$A$9,0)),"(sin catálogo)"))</f>
        <v/>
      </c>
      <c r="W596" s="3">
        <f>IF($G596="","",IFERROR(INDEX('CAT_PUESTOS'!$B$4:$B$8,MATCH($G596,'CAT_PUESTOS'!$A$4:$A$8,0)),"(sin catálogo)"))</f>
        <v/>
      </c>
      <c r="X596" s="3">
        <f>IF($H596="","",IFERROR(INDEX('CAT_ACTIVIDADES'!$B$4:$B$8,MATCH($H596,'CAT_ACTIVIDADES'!$A$4:$A$8,0)),"(sin catálogo)"))</f>
        <v/>
      </c>
      <c r="Y596" s="12">
        <f>IF($J596="","",TODAY()-$J596)</f>
        <v/>
      </c>
      <c r="Z596" s="3">
        <f>IF($Y596="","",IF($Y596&lt;0,"FUTURO",IF($Y596&gt;p_dias_backlog_max,"BACKLOG","MES CORRIENTE")))</f>
        <v/>
      </c>
      <c r="AA596" s="3">
        <f>IF($Y596="",FALSE,AND($Y596&gt;p_dias_backlog_min,$Y596&lt;=p_dias_backlog_max))</f>
        <v/>
      </c>
      <c r="AB596" s="6" t="n"/>
      <c r="AC596" s="3">
        <f>IF($AB596="","",IFERROR(INDEX('ASIGNACIONES'!$F$4:$F$339,MATCH($O596&amp;"|"&amp;$R596&amp;"|"&amp;$AB596,'ASIGNACIONES'!$I$4:$I$339,0)),""))</f>
        <v/>
      </c>
      <c r="AD596" s="13">
        <f>IF($AB596="","",SUMIFS('ORDENES'!$M$4:$M$1203,'ORDENES'!$AB$4:$AB$1203,$AB596,'ORDENES'!$O$4:$O$1203,$O596,'ORDENES'!$R$4:$R$1203,$R596))</f>
        <v/>
      </c>
      <c r="AE596" s="13">
        <f>IF($AD596="","",p_factor_productividad*IFERROR(INDEX('ASIGNACIONES'!$H$4:$H$339,MATCH($O596&amp;"|"&amp;$R596&amp;"|"&amp;$AB596,'ASIGNACIONES'!$I$4:$I$339,0)),0)-$AD596)</f>
        <v/>
      </c>
      <c r="AF596" s="10">
        <f>IF($A596="","",IFERROR(INDEX('2_IMPORTAR_EJECUCION'!$F$9:$F$1208,MATCH($AN596,'2_IMPORTAR_EJECUCION'!$J$9:$J$1208,0)),0))</f>
        <v/>
      </c>
      <c r="AG596" s="10">
        <f>IF($A596="","",MAX(0,IFERROR(INDEX('2_IMPORTAR_EJECUCION'!$H$9:$H$1208,MATCH($AN596,'2_IMPORTAR_EJECUCION'!$J$9:$J$1208,0)),0)-$AF596))</f>
        <v/>
      </c>
      <c r="AH596" s="10">
        <f>IF($A596="","",$AF596+$AG596)</f>
        <v/>
      </c>
      <c r="AI596" s="6" t="n"/>
      <c r="AJ596" s="6" t="n"/>
      <c r="AK596" s="6" t="n"/>
      <c r="AL596" s="3">
        <f>IF($AK596="","",HYPERLINK(p_ruta_base_checklists&amp;$AK596,"abrir"))</f>
        <v/>
      </c>
      <c r="AM596" s="6" t="n"/>
      <c r="AN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1" t="n"/>
      <c r="K597" s="3" t="n"/>
      <c r="L597" s="10" t="n"/>
      <c r="M597" s="3">
        <f>IF($A597="","",IFERROR(INDEX('AJUSTES'!$B$4:$B$303,MATCH($AN597,'AJUSTES'!$A$4:$A$303,0)),IF($K597="","",$K597)))</f>
        <v/>
      </c>
      <c r="N597" s="3">
        <f>IF($A597="","",IFERROR(INDEX('CAT_ESTADOS_ERP'!$B$4:$B$7,MATCH(IFERROR(INDEX('2_IMPORTAR_EJECUCION'!$C$9:$C$1208,MATCH($AN597,'2_IMPORTAR_EJECUCION'!$J$9:$J$1208,0)),""),'CAT_ESTADOS_ERP'!$A$4:$A$7,0)),"Pendiente"))</f>
        <v/>
      </c>
      <c r="O597" s="3">
        <f>IF($J597="","",YEAR($J597+4-WEEKDAY($J597,2))&amp;"-S"&amp;TEXT(_xlfn.ISOWEEKNUM($J597),"00"))</f>
        <v/>
      </c>
      <c r="P597" s="3">
        <f>IF($J597="","",YEAR($J597))</f>
        <v/>
      </c>
      <c r="Q597" s="3">
        <f>IF($J597="","",MONTH($J597))</f>
        <v/>
      </c>
      <c r="R597" s="3">
        <f>IF($J597="","",INDEX(lista_dias,WEEKDAY($J597,2)))</f>
        <v/>
      </c>
      <c r="S597" s="3">
        <f>IF($I597="","",IFERROR(INDEX('CAT_TIPOS_OT'!$C$4:$C$7,MATCH($I597,'CAT_TIPOS_OT'!$A$4:$A$7,0)),"sin_clasificar"))</f>
        <v/>
      </c>
      <c r="T597" s="3">
        <f>IF($F597="","",IFERROR(INDEX('CAT_CENTROS_COSTO'!$E$4:$E$9,MATCH($F597,'CAT_CENTROS_COSTO'!$A$4:$A$9,0)),"(sin catálogo)"))</f>
        <v/>
      </c>
      <c r="U597" s="3">
        <f>IF($F597="","",IFERROR(INDEX('CAT_CENTROS_COSTO'!$D$4:$D$9,MATCH($F597,'CAT_CENTROS_COSTO'!$A$4:$A$9,0)),"(sin catálogo)"))</f>
        <v/>
      </c>
      <c r="V597" s="3">
        <f>IF($F597="","",IFERROR(INDEX('CAT_CENTROS_COSTO'!$F$4:$F$9,MATCH($F597,'CAT_CENTROS_COSTO'!$A$4:$A$9,0)),"(sin catálogo)"))</f>
        <v/>
      </c>
      <c r="W597" s="3">
        <f>IF($G597="","",IFERROR(INDEX('CAT_PUESTOS'!$B$4:$B$8,MATCH($G597,'CAT_PUESTOS'!$A$4:$A$8,0)),"(sin catálogo)"))</f>
        <v/>
      </c>
      <c r="X597" s="3">
        <f>IF($H597="","",IFERROR(INDEX('CAT_ACTIVIDADES'!$B$4:$B$8,MATCH($H597,'CAT_ACTIVIDADES'!$A$4:$A$8,0)),"(sin catálogo)"))</f>
        <v/>
      </c>
      <c r="Y597" s="12">
        <f>IF($J597="","",TODAY()-$J597)</f>
        <v/>
      </c>
      <c r="Z597" s="3">
        <f>IF($Y597="","",IF($Y597&lt;0,"FUTURO",IF($Y597&gt;p_dias_backlog_max,"BACKLOG","MES CORRIENTE")))</f>
        <v/>
      </c>
      <c r="AA597" s="3">
        <f>IF($Y597="",FALSE,AND($Y597&gt;p_dias_backlog_min,$Y597&lt;=p_dias_backlog_max))</f>
        <v/>
      </c>
      <c r="AB597" s="6" t="n"/>
      <c r="AC597" s="3">
        <f>IF($AB597="","",IFERROR(INDEX('ASIGNACIONES'!$F$4:$F$339,MATCH($O597&amp;"|"&amp;$R597&amp;"|"&amp;$AB597,'ASIGNACIONES'!$I$4:$I$339,0)),""))</f>
        <v/>
      </c>
      <c r="AD597" s="13">
        <f>IF($AB597="","",SUMIFS('ORDENES'!$M$4:$M$1203,'ORDENES'!$AB$4:$AB$1203,$AB597,'ORDENES'!$O$4:$O$1203,$O597,'ORDENES'!$R$4:$R$1203,$R597))</f>
        <v/>
      </c>
      <c r="AE597" s="13">
        <f>IF($AD597="","",p_factor_productividad*IFERROR(INDEX('ASIGNACIONES'!$H$4:$H$339,MATCH($O597&amp;"|"&amp;$R597&amp;"|"&amp;$AB597,'ASIGNACIONES'!$I$4:$I$339,0)),0)-$AD597)</f>
        <v/>
      </c>
      <c r="AF597" s="10">
        <f>IF($A597="","",IFERROR(INDEX('2_IMPORTAR_EJECUCION'!$F$9:$F$1208,MATCH($AN597,'2_IMPORTAR_EJECUCION'!$J$9:$J$1208,0)),0))</f>
        <v/>
      </c>
      <c r="AG597" s="10">
        <f>IF($A597="","",MAX(0,IFERROR(INDEX('2_IMPORTAR_EJECUCION'!$H$9:$H$1208,MATCH($AN597,'2_IMPORTAR_EJECUCION'!$J$9:$J$1208,0)),0)-$AF597))</f>
        <v/>
      </c>
      <c r="AH597" s="10">
        <f>IF($A597="","",$AF597+$AG597)</f>
        <v/>
      </c>
      <c r="AI597" s="6" t="n"/>
      <c r="AJ597" s="6" t="n"/>
      <c r="AK597" s="6" t="n"/>
      <c r="AL597" s="3">
        <f>IF($AK597="","",HYPERLINK(p_ruta_base_checklists&amp;$AK597,"abrir"))</f>
        <v/>
      </c>
      <c r="AM597" s="6" t="n"/>
      <c r="AN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1" t="n"/>
      <c r="K598" s="3" t="n"/>
      <c r="L598" s="10" t="n"/>
      <c r="M598" s="3">
        <f>IF($A598="","",IFERROR(INDEX('AJUSTES'!$B$4:$B$303,MATCH($AN598,'AJUSTES'!$A$4:$A$303,0)),IF($K598="","",$K598)))</f>
        <v/>
      </c>
      <c r="N598" s="3">
        <f>IF($A598="","",IFERROR(INDEX('CAT_ESTADOS_ERP'!$B$4:$B$7,MATCH(IFERROR(INDEX('2_IMPORTAR_EJECUCION'!$C$9:$C$1208,MATCH($AN598,'2_IMPORTAR_EJECUCION'!$J$9:$J$1208,0)),""),'CAT_ESTADOS_ERP'!$A$4:$A$7,0)),"Pendiente"))</f>
        <v/>
      </c>
      <c r="O598" s="3">
        <f>IF($J598="","",YEAR($J598+4-WEEKDAY($J598,2))&amp;"-S"&amp;TEXT(_xlfn.ISOWEEKNUM($J598),"00"))</f>
        <v/>
      </c>
      <c r="P598" s="3">
        <f>IF($J598="","",YEAR($J598))</f>
        <v/>
      </c>
      <c r="Q598" s="3">
        <f>IF($J598="","",MONTH($J598))</f>
        <v/>
      </c>
      <c r="R598" s="3">
        <f>IF($J598="","",INDEX(lista_dias,WEEKDAY($J598,2)))</f>
        <v/>
      </c>
      <c r="S598" s="3">
        <f>IF($I598="","",IFERROR(INDEX('CAT_TIPOS_OT'!$C$4:$C$7,MATCH($I598,'CAT_TIPOS_OT'!$A$4:$A$7,0)),"sin_clasificar"))</f>
        <v/>
      </c>
      <c r="T598" s="3">
        <f>IF($F598="","",IFERROR(INDEX('CAT_CENTROS_COSTO'!$E$4:$E$9,MATCH($F598,'CAT_CENTROS_COSTO'!$A$4:$A$9,0)),"(sin catálogo)"))</f>
        <v/>
      </c>
      <c r="U598" s="3">
        <f>IF($F598="","",IFERROR(INDEX('CAT_CENTROS_COSTO'!$D$4:$D$9,MATCH($F598,'CAT_CENTROS_COSTO'!$A$4:$A$9,0)),"(sin catálogo)"))</f>
        <v/>
      </c>
      <c r="V598" s="3">
        <f>IF($F598="","",IFERROR(INDEX('CAT_CENTROS_COSTO'!$F$4:$F$9,MATCH($F598,'CAT_CENTROS_COSTO'!$A$4:$A$9,0)),"(sin catálogo)"))</f>
        <v/>
      </c>
      <c r="W598" s="3">
        <f>IF($G598="","",IFERROR(INDEX('CAT_PUESTOS'!$B$4:$B$8,MATCH($G598,'CAT_PUESTOS'!$A$4:$A$8,0)),"(sin catálogo)"))</f>
        <v/>
      </c>
      <c r="X598" s="3">
        <f>IF($H598="","",IFERROR(INDEX('CAT_ACTIVIDADES'!$B$4:$B$8,MATCH($H598,'CAT_ACTIVIDADES'!$A$4:$A$8,0)),"(sin catálogo)"))</f>
        <v/>
      </c>
      <c r="Y598" s="12">
        <f>IF($J598="","",TODAY()-$J598)</f>
        <v/>
      </c>
      <c r="Z598" s="3">
        <f>IF($Y598="","",IF($Y598&lt;0,"FUTURO",IF($Y598&gt;p_dias_backlog_max,"BACKLOG","MES CORRIENTE")))</f>
        <v/>
      </c>
      <c r="AA598" s="3">
        <f>IF($Y598="",FALSE,AND($Y598&gt;p_dias_backlog_min,$Y598&lt;=p_dias_backlog_max))</f>
        <v/>
      </c>
      <c r="AB598" s="6" t="n"/>
      <c r="AC598" s="3">
        <f>IF($AB598="","",IFERROR(INDEX('ASIGNACIONES'!$F$4:$F$339,MATCH($O598&amp;"|"&amp;$R598&amp;"|"&amp;$AB598,'ASIGNACIONES'!$I$4:$I$339,0)),""))</f>
        <v/>
      </c>
      <c r="AD598" s="13">
        <f>IF($AB598="","",SUMIFS('ORDENES'!$M$4:$M$1203,'ORDENES'!$AB$4:$AB$1203,$AB598,'ORDENES'!$O$4:$O$1203,$O598,'ORDENES'!$R$4:$R$1203,$R598))</f>
        <v/>
      </c>
      <c r="AE598" s="13">
        <f>IF($AD598="","",p_factor_productividad*IFERROR(INDEX('ASIGNACIONES'!$H$4:$H$339,MATCH($O598&amp;"|"&amp;$R598&amp;"|"&amp;$AB598,'ASIGNACIONES'!$I$4:$I$339,0)),0)-$AD598)</f>
        <v/>
      </c>
      <c r="AF598" s="10">
        <f>IF($A598="","",IFERROR(INDEX('2_IMPORTAR_EJECUCION'!$F$9:$F$1208,MATCH($AN598,'2_IMPORTAR_EJECUCION'!$J$9:$J$1208,0)),0))</f>
        <v/>
      </c>
      <c r="AG598" s="10">
        <f>IF($A598="","",MAX(0,IFERROR(INDEX('2_IMPORTAR_EJECUCION'!$H$9:$H$1208,MATCH($AN598,'2_IMPORTAR_EJECUCION'!$J$9:$J$1208,0)),0)-$AF598))</f>
        <v/>
      </c>
      <c r="AH598" s="10">
        <f>IF($A598="","",$AF598+$AG598)</f>
        <v/>
      </c>
      <c r="AI598" s="6" t="n"/>
      <c r="AJ598" s="6" t="n"/>
      <c r="AK598" s="6" t="n"/>
      <c r="AL598" s="3">
        <f>IF($AK598="","",HYPERLINK(p_ruta_base_checklists&amp;$AK598,"abrir"))</f>
        <v/>
      </c>
      <c r="AM598" s="6" t="n"/>
      <c r="AN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1" t="n"/>
      <c r="K599" s="3" t="n"/>
      <c r="L599" s="10" t="n"/>
      <c r="M599" s="3">
        <f>IF($A599="","",IFERROR(INDEX('AJUSTES'!$B$4:$B$303,MATCH($AN599,'AJUSTES'!$A$4:$A$303,0)),IF($K599="","",$K599)))</f>
        <v/>
      </c>
      <c r="N599" s="3">
        <f>IF($A599="","",IFERROR(INDEX('CAT_ESTADOS_ERP'!$B$4:$B$7,MATCH(IFERROR(INDEX('2_IMPORTAR_EJECUCION'!$C$9:$C$1208,MATCH($AN599,'2_IMPORTAR_EJECUCION'!$J$9:$J$1208,0)),""),'CAT_ESTADOS_ERP'!$A$4:$A$7,0)),"Pendiente"))</f>
        <v/>
      </c>
      <c r="O599" s="3">
        <f>IF($J599="","",YEAR($J599+4-WEEKDAY($J599,2))&amp;"-S"&amp;TEXT(_xlfn.ISOWEEKNUM($J599),"00"))</f>
        <v/>
      </c>
      <c r="P599" s="3">
        <f>IF($J599="","",YEAR($J599))</f>
        <v/>
      </c>
      <c r="Q599" s="3">
        <f>IF($J599="","",MONTH($J599))</f>
        <v/>
      </c>
      <c r="R599" s="3">
        <f>IF($J599="","",INDEX(lista_dias,WEEKDAY($J599,2)))</f>
        <v/>
      </c>
      <c r="S599" s="3">
        <f>IF($I599="","",IFERROR(INDEX('CAT_TIPOS_OT'!$C$4:$C$7,MATCH($I599,'CAT_TIPOS_OT'!$A$4:$A$7,0)),"sin_clasificar"))</f>
        <v/>
      </c>
      <c r="T599" s="3">
        <f>IF($F599="","",IFERROR(INDEX('CAT_CENTROS_COSTO'!$E$4:$E$9,MATCH($F599,'CAT_CENTROS_COSTO'!$A$4:$A$9,0)),"(sin catálogo)"))</f>
        <v/>
      </c>
      <c r="U599" s="3">
        <f>IF($F599="","",IFERROR(INDEX('CAT_CENTROS_COSTO'!$D$4:$D$9,MATCH($F599,'CAT_CENTROS_COSTO'!$A$4:$A$9,0)),"(sin catálogo)"))</f>
        <v/>
      </c>
      <c r="V599" s="3">
        <f>IF($F599="","",IFERROR(INDEX('CAT_CENTROS_COSTO'!$F$4:$F$9,MATCH($F599,'CAT_CENTROS_COSTO'!$A$4:$A$9,0)),"(sin catálogo)"))</f>
        <v/>
      </c>
      <c r="W599" s="3">
        <f>IF($G599="","",IFERROR(INDEX('CAT_PUESTOS'!$B$4:$B$8,MATCH($G599,'CAT_PUESTOS'!$A$4:$A$8,0)),"(sin catálogo)"))</f>
        <v/>
      </c>
      <c r="X599" s="3">
        <f>IF($H599="","",IFERROR(INDEX('CAT_ACTIVIDADES'!$B$4:$B$8,MATCH($H599,'CAT_ACTIVIDADES'!$A$4:$A$8,0)),"(sin catálogo)"))</f>
        <v/>
      </c>
      <c r="Y599" s="12">
        <f>IF($J599="","",TODAY()-$J599)</f>
        <v/>
      </c>
      <c r="Z599" s="3">
        <f>IF($Y599="","",IF($Y599&lt;0,"FUTURO",IF($Y599&gt;p_dias_backlog_max,"BACKLOG","MES CORRIENTE")))</f>
        <v/>
      </c>
      <c r="AA599" s="3">
        <f>IF($Y599="",FALSE,AND($Y599&gt;p_dias_backlog_min,$Y599&lt;=p_dias_backlog_max))</f>
        <v/>
      </c>
      <c r="AB599" s="6" t="n"/>
      <c r="AC599" s="3">
        <f>IF($AB599="","",IFERROR(INDEX('ASIGNACIONES'!$F$4:$F$339,MATCH($O599&amp;"|"&amp;$R599&amp;"|"&amp;$AB599,'ASIGNACIONES'!$I$4:$I$339,0)),""))</f>
        <v/>
      </c>
      <c r="AD599" s="13">
        <f>IF($AB599="","",SUMIFS('ORDENES'!$M$4:$M$1203,'ORDENES'!$AB$4:$AB$1203,$AB599,'ORDENES'!$O$4:$O$1203,$O599,'ORDENES'!$R$4:$R$1203,$R599))</f>
        <v/>
      </c>
      <c r="AE599" s="13">
        <f>IF($AD599="","",p_factor_productividad*IFERROR(INDEX('ASIGNACIONES'!$H$4:$H$339,MATCH($O599&amp;"|"&amp;$R599&amp;"|"&amp;$AB599,'ASIGNACIONES'!$I$4:$I$339,0)),0)-$AD599)</f>
        <v/>
      </c>
      <c r="AF599" s="10">
        <f>IF($A599="","",IFERROR(INDEX('2_IMPORTAR_EJECUCION'!$F$9:$F$1208,MATCH($AN599,'2_IMPORTAR_EJECUCION'!$J$9:$J$1208,0)),0))</f>
        <v/>
      </c>
      <c r="AG599" s="10">
        <f>IF($A599="","",MAX(0,IFERROR(INDEX('2_IMPORTAR_EJECUCION'!$H$9:$H$1208,MATCH($AN599,'2_IMPORTAR_EJECUCION'!$J$9:$J$1208,0)),0)-$AF599))</f>
        <v/>
      </c>
      <c r="AH599" s="10">
        <f>IF($A599="","",$AF599+$AG599)</f>
        <v/>
      </c>
      <c r="AI599" s="6" t="n"/>
      <c r="AJ599" s="6" t="n"/>
      <c r="AK599" s="6" t="n"/>
      <c r="AL599" s="3">
        <f>IF($AK599="","",HYPERLINK(p_ruta_base_checklists&amp;$AK599,"abrir"))</f>
        <v/>
      </c>
      <c r="AM599" s="6" t="n"/>
      <c r="AN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1" t="n"/>
      <c r="K600" s="3" t="n"/>
      <c r="L600" s="10" t="n"/>
      <c r="M600" s="3">
        <f>IF($A600="","",IFERROR(INDEX('AJUSTES'!$B$4:$B$303,MATCH($AN600,'AJUSTES'!$A$4:$A$303,0)),IF($K600="","",$K600)))</f>
        <v/>
      </c>
      <c r="N600" s="3">
        <f>IF($A600="","",IFERROR(INDEX('CAT_ESTADOS_ERP'!$B$4:$B$7,MATCH(IFERROR(INDEX('2_IMPORTAR_EJECUCION'!$C$9:$C$1208,MATCH($AN600,'2_IMPORTAR_EJECUCION'!$J$9:$J$1208,0)),""),'CAT_ESTADOS_ERP'!$A$4:$A$7,0)),"Pendiente"))</f>
        <v/>
      </c>
      <c r="O600" s="3">
        <f>IF($J600="","",YEAR($J600+4-WEEKDAY($J600,2))&amp;"-S"&amp;TEXT(_xlfn.ISOWEEKNUM($J600),"00"))</f>
        <v/>
      </c>
      <c r="P600" s="3">
        <f>IF($J600="","",YEAR($J600))</f>
        <v/>
      </c>
      <c r="Q600" s="3">
        <f>IF($J600="","",MONTH($J600))</f>
        <v/>
      </c>
      <c r="R600" s="3">
        <f>IF($J600="","",INDEX(lista_dias,WEEKDAY($J600,2)))</f>
        <v/>
      </c>
      <c r="S600" s="3">
        <f>IF($I600="","",IFERROR(INDEX('CAT_TIPOS_OT'!$C$4:$C$7,MATCH($I600,'CAT_TIPOS_OT'!$A$4:$A$7,0)),"sin_clasificar"))</f>
        <v/>
      </c>
      <c r="T600" s="3">
        <f>IF($F600="","",IFERROR(INDEX('CAT_CENTROS_COSTO'!$E$4:$E$9,MATCH($F600,'CAT_CENTROS_COSTO'!$A$4:$A$9,0)),"(sin catálogo)"))</f>
        <v/>
      </c>
      <c r="U600" s="3">
        <f>IF($F600="","",IFERROR(INDEX('CAT_CENTROS_COSTO'!$D$4:$D$9,MATCH($F600,'CAT_CENTROS_COSTO'!$A$4:$A$9,0)),"(sin catálogo)"))</f>
        <v/>
      </c>
      <c r="V600" s="3">
        <f>IF($F600="","",IFERROR(INDEX('CAT_CENTROS_COSTO'!$F$4:$F$9,MATCH($F600,'CAT_CENTROS_COSTO'!$A$4:$A$9,0)),"(sin catálogo)"))</f>
        <v/>
      </c>
      <c r="W600" s="3">
        <f>IF($G600="","",IFERROR(INDEX('CAT_PUESTOS'!$B$4:$B$8,MATCH($G600,'CAT_PUESTOS'!$A$4:$A$8,0)),"(sin catálogo)"))</f>
        <v/>
      </c>
      <c r="X600" s="3">
        <f>IF($H600="","",IFERROR(INDEX('CAT_ACTIVIDADES'!$B$4:$B$8,MATCH($H600,'CAT_ACTIVIDADES'!$A$4:$A$8,0)),"(sin catálogo)"))</f>
        <v/>
      </c>
      <c r="Y600" s="12">
        <f>IF($J600="","",TODAY()-$J600)</f>
        <v/>
      </c>
      <c r="Z600" s="3">
        <f>IF($Y600="","",IF($Y600&lt;0,"FUTURO",IF($Y600&gt;p_dias_backlog_max,"BACKLOG","MES CORRIENTE")))</f>
        <v/>
      </c>
      <c r="AA600" s="3">
        <f>IF($Y600="",FALSE,AND($Y600&gt;p_dias_backlog_min,$Y600&lt;=p_dias_backlog_max))</f>
        <v/>
      </c>
      <c r="AB600" s="6" t="n"/>
      <c r="AC600" s="3">
        <f>IF($AB600="","",IFERROR(INDEX('ASIGNACIONES'!$F$4:$F$339,MATCH($O600&amp;"|"&amp;$R600&amp;"|"&amp;$AB600,'ASIGNACIONES'!$I$4:$I$339,0)),""))</f>
        <v/>
      </c>
      <c r="AD600" s="13">
        <f>IF($AB600="","",SUMIFS('ORDENES'!$M$4:$M$1203,'ORDENES'!$AB$4:$AB$1203,$AB600,'ORDENES'!$O$4:$O$1203,$O600,'ORDENES'!$R$4:$R$1203,$R600))</f>
        <v/>
      </c>
      <c r="AE600" s="13">
        <f>IF($AD600="","",p_factor_productividad*IFERROR(INDEX('ASIGNACIONES'!$H$4:$H$339,MATCH($O600&amp;"|"&amp;$R600&amp;"|"&amp;$AB600,'ASIGNACIONES'!$I$4:$I$339,0)),0)-$AD600)</f>
        <v/>
      </c>
      <c r="AF600" s="10">
        <f>IF($A600="","",IFERROR(INDEX('2_IMPORTAR_EJECUCION'!$F$9:$F$1208,MATCH($AN600,'2_IMPORTAR_EJECUCION'!$J$9:$J$1208,0)),0))</f>
        <v/>
      </c>
      <c r="AG600" s="10">
        <f>IF($A600="","",MAX(0,IFERROR(INDEX('2_IMPORTAR_EJECUCION'!$H$9:$H$1208,MATCH($AN600,'2_IMPORTAR_EJECUCION'!$J$9:$J$1208,0)),0)-$AF600))</f>
        <v/>
      </c>
      <c r="AH600" s="10">
        <f>IF($A600="","",$AF600+$AG600)</f>
        <v/>
      </c>
      <c r="AI600" s="6" t="n"/>
      <c r="AJ600" s="6" t="n"/>
      <c r="AK600" s="6" t="n"/>
      <c r="AL600" s="3">
        <f>IF($AK600="","",HYPERLINK(p_ruta_base_checklists&amp;$AK600,"abrir"))</f>
        <v/>
      </c>
      <c r="AM600" s="6" t="n"/>
      <c r="AN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1" t="n"/>
      <c r="K601" s="3" t="n"/>
      <c r="L601" s="10" t="n"/>
      <c r="M601" s="3">
        <f>IF($A601="","",IFERROR(INDEX('AJUSTES'!$B$4:$B$303,MATCH($AN601,'AJUSTES'!$A$4:$A$303,0)),IF($K601="","",$K601)))</f>
        <v/>
      </c>
      <c r="N601" s="3">
        <f>IF($A601="","",IFERROR(INDEX('CAT_ESTADOS_ERP'!$B$4:$B$7,MATCH(IFERROR(INDEX('2_IMPORTAR_EJECUCION'!$C$9:$C$1208,MATCH($AN601,'2_IMPORTAR_EJECUCION'!$J$9:$J$1208,0)),""),'CAT_ESTADOS_ERP'!$A$4:$A$7,0)),"Pendiente"))</f>
        <v/>
      </c>
      <c r="O601" s="3">
        <f>IF($J601="","",YEAR($J601+4-WEEKDAY($J601,2))&amp;"-S"&amp;TEXT(_xlfn.ISOWEEKNUM($J601),"00"))</f>
        <v/>
      </c>
      <c r="P601" s="3">
        <f>IF($J601="","",YEAR($J601))</f>
        <v/>
      </c>
      <c r="Q601" s="3">
        <f>IF($J601="","",MONTH($J601))</f>
        <v/>
      </c>
      <c r="R601" s="3">
        <f>IF($J601="","",INDEX(lista_dias,WEEKDAY($J601,2)))</f>
        <v/>
      </c>
      <c r="S601" s="3">
        <f>IF($I601="","",IFERROR(INDEX('CAT_TIPOS_OT'!$C$4:$C$7,MATCH($I601,'CAT_TIPOS_OT'!$A$4:$A$7,0)),"sin_clasificar"))</f>
        <v/>
      </c>
      <c r="T601" s="3">
        <f>IF($F601="","",IFERROR(INDEX('CAT_CENTROS_COSTO'!$E$4:$E$9,MATCH($F601,'CAT_CENTROS_COSTO'!$A$4:$A$9,0)),"(sin catálogo)"))</f>
        <v/>
      </c>
      <c r="U601" s="3">
        <f>IF($F601="","",IFERROR(INDEX('CAT_CENTROS_COSTO'!$D$4:$D$9,MATCH($F601,'CAT_CENTROS_COSTO'!$A$4:$A$9,0)),"(sin catálogo)"))</f>
        <v/>
      </c>
      <c r="V601" s="3">
        <f>IF($F601="","",IFERROR(INDEX('CAT_CENTROS_COSTO'!$F$4:$F$9,MATCH($F601,'CAT_CENTROS_COSTO'!$A$4:$A$9,0)),"(sin catálogo)"))</f>
        <v/>
      </c>
      <c r="W601" s="3">
        <f>IF($G601="","",IFERROR(INDEX('CAT_PUESTOS'!$B$4:$B$8,MATCH($G601,'CAT_PUESTOS'!$A$4:$A$8,0)),"(sin catálogo)"))</f>
        <v/>
      </c>
      <c r="X601" s="3">
        <f>IF($H601="","",IFERROR(INDEX('CAT_ACTIVIDADES'!$B$4:$B$8,MATCH($H601,'CAT_ACTIVIDADES'!$A$4:$A$8,0)),"(sin catálogo)"))</f>
        <v/>
      </c>
      <c r="Y601" s="12">
        <f>IF($J601="","",TODAY()-$J601)</f>
        <v/>
      </c>
      <c r="Z601" s="3">
        <f>IF($Y601="","",IF($Y601&lt;0,"FUTURO",IF($Y601&gt;p_dias_backlog_max,"BACKLOG","MES CORRIENTE")))</f>
        <v/>
      </c>
      <c r="AA601" s="3">
        <f>IF($Y601="",FALSE,AND($Y601&gt;p_dias_backlog_min,$Y601&lt;=p_dias_backlog_max))</f>
        <v/>
      </c>
      <c r="AB601" s="6" t="n"/>
      <c r="AC601" s="3">
        <f>IF($AB601="","",IFERROR(INDEX('ASIGNACIONES'!$F$4:$F$339,MATCH($O601&amp;"|"&amp;$R601&amp;"|"&amp;$AB601,'ASIGNACIONES'!$I$4:$I$339,0)),""))</f>
        <v/>
      </c>
      <c r="AD601" s="13">
        <f>IF($AB601="","",SUMIFS('ORDENES'!$M$4:$M$1203,'ORDENES'!$AB$4:$AB$1203,$AB601,'ORDENES'!$O$4:$O$1203,$O601,'ORDENES'!$R$4:$R$1203,$R601))</f>
        <v/>
      </c>
      <c r="AE601" s="13">
        <f>IF($AD601="","",p_factor_productividad*IFERROR(INDEX('ASIGNACIONES'!$H$4:$H$339,MATCH($O601&amp;"|"&amp;$R601&amp;"|"&amp;$AB601,'ASIGNACIONES'!$I$4:$I$339,0)),0)-$AD601)</f>
        <v/>
      </c>
      <c r="AF601" s="10">
        <f>IF($A601="","",IFERROR(INDEX('2_IMPORTAR_EJECUCION'!$F$9:$F$1208,MATCH($AN601,'2_IMPORTAR_EJECUCION'!$J$9:$J$1208,0)),0))</f>
        <v/>
      </c>
      <c r="AG601" s="10">
        <f>IF($A601="","",MAX(0,IFERROR(INDEX('2_IMPORTAR_EJECUCION'!$H$9:$H$1208,MATCH($AN601,'2_IMPORTAR_EJECUCION'!$J$9:$J$1208,0)),0)-$AF601))</f>
        <v/>
      </c>
      <c r="AH601" s="10">
        <f>IF($A601="","",$AF601+$AG601)</f>
        <v/>
      </c>
      <c r="AI601" s="6" t="n"/>
      <c r="AJ601" s="6" t="n"/>
      <c r="AK601" s="6" t="n"/>
      <c r="AL601" s="3">
        <f>IF($AK601="","",HYPERLINK(p_ruta_base_checklists&amp;$AK601,"abrir"))</f>
        <v/>
      </c>
      <c r="AM601" s="6" t="n"/>
      <c r="AN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1" t="n"/>
      <c r="K602" s="3" t="n"/>
      <c r="L602" s="10" t="n"/>
      <c r="M602" s="3">
        <f>IF($A602="","",IFERROR(INDEX('AJUSTES'!$B$4:$B$303,MATCH($AN602,'AJUSTES'!$A$4:$A$303,0)),IF($K602="","",$K602)))</f>
        <v/>
      </c>
      <c r="N602" s="3">
        <f>IF($A602="","",IFERROR(INDEX('CAT_ESTADOS_ERP'!$B$4:$B$7,MATCH(IFERROR(INDEX('2_IMPORTAR_EJECUCION'!$C$9:$C$1208,MATCH($AN602,'2_IMPORTAR_EJECUCION'!$J$9:$J$1208,0)),""),'CAT_ESTADOS_ERP'!$A$4:$A$7,0)),"Pendiente"))</f>
        <v/>
      </c>
      <c r="O602" s="3">
        <f>IF($J602="","",YEAR($J602+4-WEEKDAY($J602,2))&amp;"-S"&amp;TEXT(_xlfn.ISOWEEKNUM($J602),"00"))</f>
        <v/>
      </c>
      <c r="P602" s="3">
        <f>IF($J602="","",YEAR($J602))</f>
        <v/>
      </c>
      <c r="Q602" s="3">
        <f>IF($J602="","",MONTH($J602))</f>
        <v/>
      </c>
      <c r="R602" s="3">
        <f>IF($J602="","",INDEX(lista_dias,WEEKDAY($J602,2)))</f>
        <v/>
      </c>
      <c r="S602" s="3">
        <f>IF($I602="","",IFERROR(INDEX('CAT_TIPOS_OT'!$C$4:$C$7,MATCH($I602,'CAT_TIPOS_OT'!$A$4:$A$7,0)),"sin_clasificar"))</f>
        <v/>
      </c>
      <c r="T602" s="3">
        <f>IF($F602="","",IFERROR(INDEX('CAT_CENTROS_COSTO'!$E$4:$E$9,MATCH($F602,'CAT_CENTROS_COSTO'!$A$4:$A$9,0)),"(sin catálogo)"))</f>
        <v/>
      </c>
      <c r="U602" s="3">
        <f>IF($F602="","",IFERROR(INDEX('CAT_CENTROS_COSTO'!$D$4:$D$9,MATCH($F602,'CAT_CENTROS_COSTO'!$A$4:$A$9,0)),"(sin catálogo)"))</f>
        <v/>
      </c>
      <c r="V602" s="3">
        <f>IF($F602="","",IFERROR(INDEX('CAT_CENTROS_COSTO'!$F$4:$F$9,MATCH($F602,'CAT_CENTROS_COSTO'!$A$4:$A$9,0)),"(sin catálogo)"))</f>
        <v/>
      </c>
      <c r="W602" s="3">
        <f>IF($G602="","",IFERROR(INDEX('CAT_PUESTOS'!$B$4:$B$8,MATCH($G602,'CAT_PUESTOS'!$A$4:$A$8,0)),"(sin catálogo)"))</f>
        <v/>
      </c>
      <c r="X602" s="3">
        <f>IF($H602="","",IFERROR(INDEX('CAT_ACTIVIDADES'!$B$4:$B$8,MATCH($H602,'CAT_ACTIVIDADES'!$A$4:$A$8,0)),"(sin catálogo)"))</f>
        <v/>
      </c>
      <c r="Y602" s="12">
        <f>IF($J602="","",TODAY()-$J602)</f>
        <v/>
      </c>
      <c r="Z602" s="3">
        <f>IF($Y602="","",IF($Y602&lt;0,"FUTURO",IF($Y602&gt;p_dias_backlog_max,"BACKLOG","MES CORRIENTE")))</f>
        <v/>
      </c>
      <c r="AA602" s="3">
        <f>IF($Y602="",FALSE,AND($Y602&gt;p_dias_backlog_min,$Y602&lt;=p_dias_backlog_max))</f>
        <v/>
      </c>
      <c r="AB602" s="6" t="n"/>
      <c r="AC602" s="3">
        <f>IF($AB602="","",IFERROR(INDEX('ASIGNACIONES'!$F$4:$F$339,MATCH($O602&amp;"|"&amp;$R602&amp;"|"&amp;$AB602,'ASIGNACIONES'!$I$4:$I$339,0)),""))</f>
        <v/>
      </c>
      <c r="AD602" s="13">
        <f>IF($AB602="","",SUMIFS('ORDENES'!$M$4:$M$1203,'ORDENES'!$AB$4:$AB$1203,$AB602,'ORDENES'!$O$4:$O$1203,$O602,'ORDENES'!$R$4:$R$1203,$R602))</f>
        <v/>
      </c>
      <c r="AE602" s="13">
        <f>IF($AD602="","",p_factor_productividad*IFERROR(INDEX('ASIGNACIONES'!$H$4:$H$339,MATCH($O602&amp;"|"&amp;$R602&amp;"|"&amp;$AB602,'ASIGNACIONES'!$I$4:$I$339,0)),0)-$AD602)</f>
        <v/>
      </c>
      <c r="AF602" s="10">
        <f>IF($A602="","",IFERROR(INDEX('2_IMPORTAR_EJECUCION'!$F$9:$F$1208,MATCH($AN602,'2_IMPORTAR_EJECUCION'!$J$9:$J$1208,0)),0))</f>
        <v/>
      </c>
      <c r="AG602" s="10">
        <f>IF($A602="","",MAX(0,IFERROR(INDEX('2_IMPORTAR_EJECUCION'!$H$9:$H$1208,MATCH($AN602,'2_IMPORTAR_EJECUCION'!$J$9:$J$1208,0)),0)-$AF602))</f>
        <v/>
      </c>
      <c r="AH602" s="10">
        <f>IF($A602="","",$AF602+$AG602)</f>
        <v/>
      </c>
      <c r="AI602" s="6" t="n"/>
      <c r="AJ602" s="6" t="n"/>
      <c r="AK602" s="6" t="n"/>
      <c r="AL602" s="3">
        <f>IF($AK602="","",HYPERLINK(p_ruta_base_checklists&amp;$AK602,"abrir"))</f>
        <v/>
      </c>
      <c r="AM602" s="6" t="n"/>
      <c r="AN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1" t="n"/>
      <c r="K603" s="3" t="n"/>
      <c r="L603" s="10" t="n"/>
      <c r="M603" s="3">
        <f>IF($A603="","",IFERROR(INDEX('AJUSTES'!$B$4:$B$303,MATCH($AN603,'AJUSTES'!$A$4:$A$303,0)),IF($K603="","",$K603)))</f>
        <v/>
      </c>
      <c r="N603" s="3">
        <f>IF($A603="","",IFERROR(INDEX('CAT_ESTADOS_ERP'!$B$4:$B$7,MATCH(IFERROR(INDEX('2_IMPORTAR_EJECUCION'!$C$9:$C$1208,MATCH($AN603,'2_IMPORTAR_EJECUCION'!$J$9:$J$1208,0)),""),'CAT_ESTADOS_ERP'!$A$4:$A$7,0)),"Pendiente"))</f>
        <v/>
      </c>
      <c r="O603" s="3">
        <f>IF($J603="","",YEAR($J603+4-WEEKDAY($J603,2))&amp;"-S"&amp;TEXT(_xlfn.ISOWEEKNUM($J603),"00"))</f>
        <v/>
      </c>
      <c r="P603" s="3">
        <f>IF($J603="","",YEAR($J603))</f>
        <v/>
      </c>
      <c r="Q603" s="3">
        <f>IF($J603="","",MONTH($J603))</f>
        <v/>
      </c>
      <c r="R603" s="3">
        <f>IF($J603="","",INDEX(lista_dias,WEEKDAY($J603,2)))</f>
        <v/>
      </c>
      <c r="S603" s="3">
        <f>IF($I603="","",IFERROR(INDEX('CAT_TIPOS_OT'!$C$4:$C$7,MATCH($I603,'CAT_TIPOS_OT'!$A$4:$A$7,0)),"sin_clasificar"))</f>
        <v/>
      </c>
      <c r="T603" s="3">
        <f>IF($F603="","",IFERROR(INDEX('CAT_CENTROS_COSTO'!$E$4:$E$9,MATCH($F603,'CAT_CENTROS_COSTO'!$A$4:$A$9,0)),"(sin catálogo)"))</f>
        <v/>
      </c>
      <c r="U603" s="3">
        <f>IF($F603="","",IFERROR(INDEX('CAT_CENTROS_COSTO'!$D$4:$D$9,MATCH($F603,'CAT_CENTROS_COSTO'!$A$4:$A$9,0)),"(sin catálogo)"))</f>
        <v/>
      </c>
      <c r="V603" s="3">
        <f>IF($F603="","",IFERROR(INDEX('CAT_CENTROS_COSTO'!$F$4:$F$9,MATCH($F603,'CAT_CENTROS_COSTO'!$A$4:$A$9,0)),"(sin catálogo)"))</f>
        <v/>
      </c>
      <c r="W603" s="3">
        <f>IF($G603="","",IFERROR(INDEX('CAT_PUESTOS'!$B$4:$B$8,MATCH($G603,'CAT_PUESTOS'!$A$4:$A$8,0)),"(sin catálogo)"))</f>
        <v/>
      </c>
      <c r="X603" s="3">
        <f>IF($H603="","",IFERROR(INDEX('CAT_ACTIVIDADES'!$B$4:$B$8,MATCH($H603,'CAT_ACTIVIDADES'!$A$4:$A$8,0)),"(sin catálogo)"))</f>
        <v/>
      </c>
      <c r="Y603" s="12">
        <f>IF($J603="","",TODAY()-$J603)</f>
        <v/>
      </c>
      <c r="Z603" s="3">
        <f>IF($Y603="","",IF($Y603&lt;0,"FUTURO",IF($Y603&gt;p_dias_backlog_max,"BACKLOG","MES CORRIENTE")))</f>
        <v/>
      </c>
      <c r="AA603" s="3">
        <f>IF($Y603="",FALSE,AND($Y603&gt;p_dias_backlog_min,$Y603&lt;=p_dias_backlog_max))</f>
        <v/>
      </c>
      <c r="AB603" s="6" t="n"/>
      <c r="AC603" s="3">
        <f>IF($AB603="","",IFERROR(INDEX('ASIGNACIONES'!$F$4:$F$339,MATCH($O603&amp;"|"&amp;$R603&amp;"|"&amp;$AB603,'ASIGNACIONES'!$I$4:$I$339,0)),""))</f>
        <v/>
      </c>
      <c r="AD603" s="13">
        <f>IF($AB603="","",SUMIFS('ORDENES'!$M$4:$M$1203,'ORDENES'!$AB$4:$AB$1203,$AB603,'ORDENES'!$O$4:$O$1203,$O603,'ORDENES'!$R$4:$R$1203,$R603))</f>
        <v/>
      </c>
      <c r="AE603" s="13">
        <f>IF($AD603="","",p_factor_productividad*IFERROR(INDEX('ASIGNACIONES'!$H$4:$H$339,MATCH($O603&amp;"|"&amp;$R603&amp;"|"&amp;$AB603,'ASIGNACIONES'!$I$4:$I$339,0)),0)-$AD603)</f>
        <v/>
      </c>
      <c r="AF603" s="10">
        <f>IF($A603="","",IFERROR(INDEX('2_IMPORTAR_EJECUCION'!$F$9:$F$1208,MATCH($AN603,'2_IMPORTAR_EJECUCION'!$J$9:$J$1208,0)),0))</f>
        <v/>
      </c>
      <c r="AG603" s="10">
        <f>IF($A603="","",MAX(0,IFERROR(INDEX('2_IMPORTAR_EJECUCION'!$H$9:$H$1208,MATCH($AN603,'2_IMPORTAR_EJECUCION'!$J$9:$J$1208,0)),0)-$AF603))</f>
        <v/>
      </c>
      <c r="AH603" s="10">
        <f>IF($A603="","",$AF603+$AG603)</f>
        <v/>
      </c>
      <c r="AI603" s="6" t="n"/>
      <c r="AJ603" s="6" t="n"/>
      <c r="AK603" s="6" t="n"/>
      <c r="AL603" s="3">
        <f>IF($AK603="","",HYPERLINK(p_ruta_base_checklists&amp;$AK603,"abrir"))</f>
        <v/>
      </c>
      <c r="AM603" s="6" t="n"/>
      <c r="AN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1" t="n"/>
      <c r="K604" s="3" t="n"/>
      <c r="L604" s="10" t="n"/>
      <c r="M604" s="3">
        <f>IF($A604="","",IFERROR(INDEX('AJUSTES'!$B$4:$B$303,MATCH($AN604,'AJUSTES'!$A$4:$A$303,0)),IF($K604="","",$K604)))</f>
        <v/>
      </c>
      <c r="N604" s="3">
        <f>IF($A604="","",IFERROR(INDEX('CAT_ESTADOS_ERP'!$B$4:$B$7,MATCH(IFERROR(INDEX('2_IMPORTAR_EJECUCION'!$C$9:$C$1208,MATCH($AN604,'2_IMPORTAR_EJECUCION'!$J$9:$J$1208,0)),""),'CAT_ESTADOS_ERP'!$A$4:$A$7,0)),"Pendiente"))</f>
        <v/>
      </c>
      <c r="O604" s="3">
        <f>IF($J604="","",YEAR($J604+4-WEEKDAY($J604,2))&amp;"-S"&amp;TEXT(_xlfn.ISOWEEKNUM($J604),"00"))</f>
        <v/>
      </c>
      <c r="P604" s="3">
        <f>IF($J604="","",YEAR($J604))</f>
        <v/>
      </c>
      <c r="Q604" s="3">
        <f>IF($J604="","",MONTH($J604))</f>
        <v/>
      </c>
      <c r="R604" s="3">
        <f>IF($J604="","",INDEX(lista_dias,WEEKDAY($J604,2)))</f>
        <v/>
      </c>
      <c r="S604" s="3">
        <f>IF($I604="","",IFERROR(INDEX('CAT_TIPOS_OT'!$C$4:$C$7,MATCH($I604,'CAT_TIPOS_OT'!$A$4:$A$7,0)),"sin_clasificar"))</f>
        <v/>
      </c>
      <c r="T604" s="3">
        <f>IF($F604="","",IFERROR(INDEX('CAT_CENTROS_COSTO'!$E$4:$E$9,MATCH($F604,'CAT_CENTROS_COSTO'!$A$4:$A$9,0)),"(sin catálogo)"))</f>
        <v/>
      </c>
      <c r="U604" s="3">
        <f>IF($F604="","",IFERROR(INDEX('CAT_CENTROS_COSTO'!$D$4:$D$9,MATCH($F604,'CAT_CENTROS_COSTO'!$A$4:$A$9,0)),"(sin catálogo)"))</f>
        <v/>
      </c>
      <c r="V604" s="3">
        <f>IF($F604="","",IFERROR(INDEX('CAT_CENTROS_COSTO'!$F$4:$F$9,MATCH($F604,'CAT_CENTROS_COSTO'!$A$4:$A$9,0)),"(sin catálogo)"))</f>
        <v/>
      </c>
      <c r="W604" s="3">
        <f>IF($G604="","",IFERROR(INDEX('CAT_PUESTOS'!$B$4:$B$8,MATCH($G604,'CAT_PUESTOS'!$A$4:$A$8,0)),"(sin catálogo)"))</f>
        <v/>
      </c>
      <c r="X604" s="3">
        <f>IF($H604="","",IFERROR(INDEX('CAT_ACTIVIDADES'!$B$4:$B$8,MATCH($H604,'CAT_ACTIVIDADES'!$A$4:$A$8,0)),"(sin catálogo)"))</f>
        <v/>
      </c>
      <c r="Y604" s="12">
        <f>IF($J604="","",TODAY()-$J604)</f>
        <v/>
      </c>
      <c r="Z604" s="3">
        <f>IF($Y604="","",IF($Y604&lt;0,"FUTURO",IF($Y604&gt;p_dias_backlog_max,"BACKLOG","MES CORRIENTE")))</f>
        <v/>
      </c>
      <c r="AA604" s="3">
        <f>IF($Y604="",FALSE,AND($Y604&gt;p_dias_backlog_min,$Y604&lt;=p_dias_backlog_max))</f>
        <v/>
      </c>
      <c r="AB604" s="6" t="n"/>
      <c r="AC604" s="3">
        <f>IF($AB604="","",IFERROR(INDEX('ASIGNACIONES'!$F$4:$F$339,MATCH($O604&amp;"|"&amp;$R604&amp;"|"&amp;$AB604,'ASIGNACIONES'!$I$4:$I$339,0)),""))</f>
        <v/>
      </c>
      <c r="AD604" s="13">
        <f>IF($AB604="","",SUMIFS('ORDENES'!$M$4:$M$1203,'ORDENES'!$AB$4:$AB$1203,$AB604,'ORDENES'!$O$4:$O$1203,$O604,'ORDENES'!$R$4:$R$1203,$R604))</f>
        <v/>
      </c>
      <c r="AE604" s="13">
        <f>IF($AD604="","",p_factor_productividad*IFERROR(INDEX('ASIGNACIONES'!$H$4:$H$339,MATCH($O604&amp;"|"&amp;$R604&amp;"|"&amp;$AB604,'ASIGNACIONES'!$I$4:$I$339,0)),0)-$AD604)</f>
        <v/>
      </c>
      <c r="AF604" s="10">
        <f>IF($A604="","",IFERROR(INDEX('2_IMPORTAR_EJECUCION'!$F$9:$F$1208,MATCH($AN604,'2_IMPORTAR_EJECUCION'!$J$9:$J$1208,0)),0))</f>
        <v/>
      </c>
      <c r="AG604" s="10">
        <f>IF($A604="","",MAX(0,IFERROR(INDEX('2_IMPORTAR_EJECUCION'!$H$9:$H$1208,MATCH($AN604,'2_IMPORTAR_EJECUCION'!$J$9:$J$1208,0)),0)-$AF604))</f>
        <v/>
      </c>
      <c r="AH604" s="10">
        <f>IF($A604="","",$AF604+$AG604)</f>
        <v/>
      </c>
      <c r="AI604" s="6" t="n"/>
      <c r="AJ604" s="6" t="n"/>
      <c r="AK604" s="6" t="n"/>
      <c r="AL604" s="3">
        <f>IF($AK604="","",HYPERLINK(p_ruta_base_checklists&amp;$AK604,"abrir"))</f>
        <v/>
      </c>
      <c r="AM604" s="6" t="n"/>
      <c r="AN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1" t="n"/>
      <c r="K605" s="3" t="n"/>
      <c r="L605" s="10" t="n"/>
      <c r="M605" s="3">
        <f>IF($A605="","",IFERROR(INDEX('AJUSTES'!$B$4:$B$303,MATCH($AN605,'AJUSTES'!$A$4:$A$303,0)),IF($K605="","",$K605)))</f>
        <v/>
      </c>
      <c r="N605" s="3">
        <f>IF($A605="","",IFERROR(INDEX('CAT_ESTADOS_ERP'!$B$4:$B$7,MATCH(IFERROR(INDEX('2_IMPORTAR_EJECUCION'!$C$9:$C$1208,MATCH($AN605,'2_IMPORTAR_EJECUCION'!$J$9:$J$1208,0)),""),'CAT_ESTADOS_ERP'!$A$4:$A$7,0)),"Pendiente"))</f>
        <v/>
      </c>
      <c r="O605" s="3">
        <f>IF($J605="","",YEAR($J605+4-WEEKDAY($J605,2))&amp;"-S"&amp;TEXT(_xlfn.ISOWEEKNUM($J605),"00"))</f>
        <v/>
      </c>
      <c r="P605" s="3">
        <f>IF($J605="","",YEAR($J605))</f>
        <v/>
      </c>
      <c r="Q605" s="3">
        <f>IF($J605="","",MONTH($J605))</f>
        <v/>
      </c>
      <c r="R605" s="3">
        <f>IF($J605="","",INDEX(lista_dias,WEEKDAY($J605,2)))</f>
        <v/>
      </c>
      <c r="S605" s="3">
        <f>IF($I605="","",IFERROR(INDEX('CAT_TIPOS_OT'!$C$4:$C$7,MATCH($I605,'CAT_TIPOS_OT'!$A$4:$A$7,0)),"sin_clasificar"))</f>
        <v/>
      </c>
      <c r="T605" s="3">
        <f>IF($F605="","",IFERROR(INDEX('CAT_CENTROS_COSTO'!$E$4:$E$9,MATCH($F605,'CAT_CENTROS_COSTO'!$A$4:$A$9,0)),"(sin catálogo)"))</f>
        <v/>
      </c>
      <c r="U605" s="3">
        <f>IF($F605="","",IFERROR(INDEX('CAT_CENTROS_COSTO'!$D$4:$D$9,MATCH($F605,'CAT_CENTROS_COSTO'!$A$4:$A$9,0)),"(sin catálogo)"))</f>
        <v/>
      </c>
      <c r="V605" s="3">
        <f>IF($F605="","",IFERROR(INDEX('CAT_CENTROS_COSTO'!$F$4:$F$9,MATCH($F605,'CAT_CENTROS_COSTO'!$A$4:$A$9,0)),"(sin catálogo)"))</f>
        <v/>
      </c>
      <c r="W605" s="3">
        <f>IF($G605="","",IFERROR(INDEX('CAT_PUESTOS'!$B$4:$B$8,MATCH($G605,'CAT_PUESTOS'!$A$4:$A$8,0)),"(sin catálogo)"))</f>
        <v/>
      </c>
      <c r="X605" s="3">
        <f>IF($H605="","",IFERROR(INDEX('CAT_ACTIVIDADES'!$B$4:$B$8,MATCH($H605,'CAT_ACTIVIDADES'!$A$4:$A$8,0)),"(sin catálogo)"))</f>
        <v/>
      </c>
      <c r="Y605" s="12">
        <f>IF($J605="","",TODAY()-$J605)</f>
        <v/>
      </c>
      <c r="Z605" s="3">
        <f>IF($Y605="","",IF($Y605&lt;0,"FUTURO",IF($Y605&gt;p_dias_backlog_max,"BACKLOG","MES CORRIENTE")))</f>
        <v/>
      </c>
      <c r="AA605" s="3">
        <f>IF($Y605="",FALSE,AND($Y605&gt;p_dias_backlog_min,$Y605&lt;=p_dias_backlog_max))</f>
        <v/>
      </c>
      <c r="AB605" s="6" t="n"/>
      <c r="AC605" s="3">
        <f>IF($AB605="","",IFERROR(INDEX('ASIGNACIONES'!$F$4:$F$339,MATCH($O605&amp;"|"&amp;$R605&amp;"|"&amp;$AB605,'ASIGNACIONES'!$I$4:$I$339,0)),""))</f>
        <v/>
      </c>
      <c r="AD605" s="13">
        <f>IF($AB605="","",SUMIFS('ORDENES'!$M$4:$M$1203,'ORDENES'!$AB$4:$AB$1203,$AB605,'ORDENES'!$O$4:$O$1203,$O605,'ORDENES'!$R$4:$R$1203,$R605))</f>
        <v/>
      </c>
      <c r="AE605" s="13">
        <f>IF($AD605="","",p_factor_productividad*IFERROR(INDEX('ASIGNACIONES'!$H$4:$H$339,MATCH($O605&amp;"|"&amp;$R605&amp;"|"&amp;$AB605,'ASIGNACIONES'!$I$4:$I$339,0)),0)-$AD605)</f>
        <v/>
      </c>
      <c r="AF605" s="10">
        <f>IF($A605="","",IFERROR(INDEX('2_IMPORTAR_EJECUCION'!$F$9:$F$1208,MATCH($AN605,'2_IMPORTAR_EJECUCION'!$J$9:$J$1208,0)),0))</f>
        <v/>
      </c>
      <c r="AG605" s="10">
        <f>IF($A605="","",MAX(0,IFERROR(INDEX('2_IMPORTAR_EJECUCION'!$H$9:$H$1208,MATCH($AN605,'2_IMPORTAR_EJECUCION'!$J$9:$J$1208,0)),0)-$AF605))</f>
        <v/>
      </c>
      <c r="AH605" s="10">
        <f>IF($A605="","",$AF605+$AG605)</f>
        <v/>
      </c>
      <c r="AI605" s="6" t="n"/>
      <c r="AJ605" s="6" t="n"/>
      <c r="AK605" s="6" t="n"/>
      <c r="AL605" s="3">
        <f>IF($AK605="","",HYPERLINK(p_ruta_base_checklists&amp;$AK605,"abrir"))</f>
        <v/>
      </c>
      <c r="AM605" s="6" t="n"/>
      <c r="AN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1" t="n"/>
      <c r="K606" s="3" t="n"/>
      <c r="L606" s="10" t="n"/>
      <c r="M606" s="3">
        <f>IF($A606="","",IFERROR(INDEX('AJUSTES'!$B$4:$B$303,MATCH($AN606,'AJUSTES'!$A$4:$A$303,0)),IF($K606="","",$K606)))</f>
        <v/>
      </c>
      <c r="N606" s="3">
        <f>IF($A606="","",IFERROR(INDEX('CAT_ESTADOS_ERP'!$B$4:$B$7,MATCH(IFERROR(INDEX('2_IMPORTAR_EJECUCION'!$C$9:$C$1208,MATCH($AN606,'2_IMPORTAR_EJECUCION'!$J$9:$J$1208,0)),""),'CAT_ESTADOS_ERP'!$A$4:$A$7,0)),"Pendiente"))</f>
        <v/>
      </c>
      <c r="O606" s="3">
        <f>IF($J606="","",YEAR($J606+4-WEEKDAY($J606,2))&amp;"-S"&amp;TEXT(_xlfn.ISOWEEKNUM($J606),"00"))</f>
        <v/>
      </c>
      <c r="P606" s="3">
        <f>IF($J606="","",YEAR($J606))</f>
        <v/>
      </c>
      <c r="Q606" s="3">
        <f>IF($J606="","",MONTH($J606))</f>
        <v/>
      </c>
      <c r="R606" s="3">
        <f>IF($J606="","",INDEX(lista_dias,WEEKDAY($J606,2)))</f>
        <v/>
      </c>
      <c r="S606" s="3">
        <f>IF($I606="","",IFERROR(INDEX('CAT_TIPOS_OT'!$C$4:$C$7,MATCH($I606,'CAT_TIPOS_OT'!$A$4:$A$7,0)),"sin_clasificar"))</f>
        <v/>
      </c>
      <c r="T606" s="3">
        <f>IF($F606="","",IFERROR(INDEX('CAT_CENTROS_COSTO'!$E$4:$E$9,MATCH($F606,'CAT_CENTROS_COSTO'!$A$4:$A$9,0)),"(sin catálogo)"))</f>
        <v/>
      </c>
      <c r="U606" s="3">
        <f>IF($F606="","",IFERROR(INDEX('CAT_CENTROS_COSTO'!$D$4:$D$9,MATCH($F606,'CAT_CENTROS_COSTO'!$A$4:$A$9,0)),"(sin catálogo)"))</f>
        <v/>
      </c>
      <c r="V606" s="3">
        <f>IF($F606="","",IFERROR(INDEX('CAT_CENTROS_COSTO'!$F$4:$F$9,MATCH($F606,'CAT_CENTROS_COSTO'!$A$4:$A$9,0)),"(sin catálogo)"))</f>
        <v/>
      </c>
      <c r="W606" s="3">
        <f>IF($G606="","",IFERROR(INDEX('CAT_PUESTOS'!$B$4:$B$8,MATCH($G606,'CAT_PUESTOS'!$A$4:$A$8,0)),"(sin catálogo)"))</f>
        <v/>
      </c>
      <c r="X606" s="3">
        <f>IF($H606="","",IFERROR(INDEX('CAT_ACTIVIDADES'!$B$4:$B$8,MATCH($H606,'CAT_ACTIVIDADES'!$A$4:$A$8,0)),"(sin catálogo)"))</f>
        <v/>
      </c>
      <c r="Y606" s="12">
        <f>IF($J606="","",TODAY()-$J606)</f>
        <v/>
      </c>
      <c r="Z606" s="3">
        <f>IF($Y606="","",IF($Y606&lt;0,"FUTURO",IF($Y606&gt;p_dias_backlog_max,"BACKLOG","MES CORRIENTE")))</f>
        <v/>
      </c>
      <c r="AA606" s="3">
        <f>IF($Y606="",FALSE,AND($Y606&gt;p_dias_backlog_min,$Y606&lt;=p_dias_backlog_max))</f>
        <v/>
      </c>
      <c r="AB606" s="6" t="n"/>
      <c r="AC606" s="3">
        <f>IF($AB606="","",IFERROR(INDEX('ASIGNACIONES'!$F$4:$F$339,MATCH($O606&amp;"|"&amp;$R606&amp;"|"&amp;$AB606,'ASIGNACIONES'!$I$4:$I$339,0)),""))</f>
        <v/>
      </c>
      <c r="AD606" s="13">
        <f>IF($AB606="","",SUMIFS('ORDENES'!$M$4:$M$1203,'ORDENES'!$AB$4:$AB$1203,$AB606,'ORDENES'!$O$4:$O$1203,$O606,'ORDENES'!$R$4:$R$1203,$R606))</f>
        <v/>
      </c>
      <c r="AE606" s="13">
        <f>IF($AD606="","",p_factor_productividad*IFERROR(INDEX('ASIGNACIONES'!$H$4:$H$339,MATCH($O606&amp;"|"&amp;$R606&amp;"|"&amp;$AB606,'ASIGNACIONES'!$I$4:$I$339,0)),0)-$AD606)</f>
        <v/>
      </c>
      <c r="AF606" s="10">
        <f>IF($A606="","",IFERROR(INDEX('2_IMPORTAR_EJECUCION'!$F$9:$F$1208,MATCH($AN606,'2_IMPORTAR_EJECUCION'!$J$9:$J$1208,0)),0))</f>
        <v/>
      </c>
      <c r="AG606" s="10">
        <f>IF($A606="","",MAX(0,IFERROR(INDEX('2_IMPORTAR_EJECUCION'!$H$9:$H$1208,MATCH($AN606,'2_IMPORTAR_EJECUCION'!$J$9:$J$1208,0)),0)-$AF606))</f>
        <v/>
      </c>
      <c r="AH606" s="10">
        <f>IF($A606="","",$AF606+$AG606)</f>
        <v/>
      </c>
      <c r="AI606" s="6" t="n"/>
      <c r="AJ606" s="6" t="n"/>
      <c r="AK606" s="6" t="n"/>
      <c r="AL606" s="3">
        <f>IF($AK606="","",HYPERLINK(p_ruta_base_checklists&amp;$AK606,"abrir"))</f>
        <v/>
      </c>
      <c r="AM606" s="6" t="n"/>
      <c r="AN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1" t="n"/>
      <c r="K607" s="3" t="n"/>
      <c r="L607" s="10" t="n"/>
      <c r="M607" s="3">
        <f>IF($A607="","",IFERROR(INDEX('AJUSTES'!$B$4:$B$303,MATCH($AN607,'AJUSTES'!$A$4:$A$303,0)),IF($K607="","",$K607)))</f>
        <v/>
      </c>
      <c r="N607" s="3">
        <f>IF($A607="","",IFERROR(INDEX('CAT_ESTADOS_ERP'!$B$4:$B$7,MATCH(IFERROR(INDEX('2_IMPORTAR_EJECUCION'!$C$9:$C$1208,MATCH($AN607,'2_IMPORTAR_EJECUCION'!$J$9:$J$1208,0)),""),'CAT_ESTADOS_ERP'!$A$4:$A$7,0)),"Pendiente"))</f>
        <v/>
      </c>
      <c r="O607" s="3">
        <f>IF($J607="","",YEAR($J607+4-WEEKDAY($J607,2))&amp;"-S"&amp;TEXT(_xlfn.ISOWEEKNUM($J607),"00"))</f>
        <v/>
      </c>
      <c r="P607" s="3">
        <f>IF($J607="","",YEAR($J607))</f>
        <v/>
      </c>
      <c r="Q607" s="3">
        <f>IF($J607="","",MONTH($J607))</f>
        <v/>
      </c>
      <c r="R607" s="3">
        <f>IF($J607="","",INDEX(lista_dias,WEEKDAY($J607,2)))</f>
        <v/>
      </c>
      <c r="S607" s="3">
        <f>IF($I607="","",IFERROR(INDEX('CAT_TIPOS_OT'!$C$4:$C$7,MATCH($I607,'CAT_TIPOS_OT'!$A$4:$A$7,0)),"sin_clasificar"))</f>
        <v/>
      </c>
      <c r="T607" s="3">
        <f>IF($F607="","",IFERROR(INDEX('CAT_CENTROS_COSTO'!$E$4:$E$9,MATCH($F607,'CAT_CENTROS_COSTO'!$A$4:$A$9,0)),"(sin catálogo)"))</f>
        <v/>
      </c>
      <c r="U607" s="3">
        <f>IF($F607="","",IFERROR(INDEX('CAT_CENTROS_COSTO'!$D$4:$D$9,MATCH($F607,'CAT_CENTROS_COSTO'!$A$4:$A$9,0)),"(sin catálogo)"))</f>
        <v/>
      </c>
      <c r="V607" s="3">
        <f>IF($F607="","",IFERROR(INDEX('CAT_CENTROS_COSTO'!$F$4:$F$9,MATCH($F607,'CAT_CENTROS_COSTO'!$A$4:$A$9,0)),"(sin catálogo)"))</f>
        <v/>
      </c>
      <c r="W607" s="3">
        <f>IF($G607="","",IFERROR(INDEX('CAT_PUESTOS'!$B$4:$B$8,MATCH($G607,'CAT_PUESTOS'!$A$4:$A$8,0)),"(sin catálogo)"))</f>
        <v/>
      </c>
      <c r="X607" s="3">
        <f>IF($H607="","",IFERROR(INDEX('CAT_ACTIVIDADES'!$B$4:$B$8,MATCH($H607,'CAT_ACTIVIDADES'!$A$4:$A$8,0)),"(sin catálogo)"))</f>
        <v/>
      </c>
      <c r="Y607" s="12">
        <f>IF($J607="","",TODAY()-$J607)</f>
        <v/>
      </c>
      <c r="Z607" s="3">
        <f>IF($Y607="","",IF($Y607&lt;0,"FUTURO",IF($Y607&gt;p_dias_backlog_max,"BACKLOG","MES CORRIENTE")))</f>
        <v/>
      </c>
      <c r="AA607" s="3">
        <f>IF($Y607="",FALSE,AND($Y607&gt;p_dias_backlog_min,$Y607&lt;=p_dias_backlog_max))</f>
        <v/>
      </c>
      <c r="AB607" s="6" t="n"/>
      <c r="AC607" s="3">
        <f>IF($AB607="","",IFERROR(INDEX('ASIGNACIONES'!$F$4:$F$339,MATCH($O607&amp;"|"&amp;$R607&amp;"|"&amp;$AB607,'ASIGNACIONES'!$I$4:$I$339,0)),""))</f>
        <v/>
      </c>
      <c r="AD607" s="13">
        <f>IF($AB607="","",SUMIFS('ORDENES'!$M$4:$M$1203,'ORDENES'!$AB$4:$AB$1203,$AB607,'ORDENES'!$O$4:$O$1203,$O607,'ORDENES'!$R$4:$R$1203,$R607))</f>
        <v/>
      </c>
      <c r="AE607" s="13">
        <f>IF($AD607="","",p_factor_productividad*IFERROR(INDEX('ASIGNACIONES'!$H$4:$H$339,MATCH($O607&amp;"|"&amp;$R607&amp;"|"&amp;$AB607,'ASIGNACIONES'!$I$4:$I$339,0)),0)-$AD607)</f>
        <v/>
      </c>
      <c r="AF607" s="10">
        <f>IF($A607="","",IFERROR(INDEX('2_IMPORTAR_EJECUCION'!$F$9:$F$1208,MATCH($AN607,'2_IMPORTAR_EJECUCION'!$J$9:$J$1208,0)),0))</f>
        <v/>
      </c>
      <c r="AG607" s="10">
        <f>IF($A607="","",MAX(0,IFERROR(INDEX('2_IMPORTAR_EJECUCION'!$H$9:$H$1208,MATCH($AN607,'2_IMPORTAR_EJECUCION'!$J$9:$J$1208,0)),0)-$AF607))</f>
        <v/>
      </c>
      <c r="AH607" s="10">
        <f>IF($A607="","",$AF607+$AG607)</f>
        <v/>
      </c>
      <c r="AI607" s="6" t="n"/>
      <c r="AJ607" s="6" t="n"/>
      <c r="AK607" s="6" t="n"/>
      <c r="AL607" s="3">
        <f>IF($AK607="","",HYPERLINK(p_ruta_base_checklists&amp;$AK607,"abrir"))</f>
        <v/>
      </c>
      <c r="AM607" s="6" t="n"/>
      <c r="AN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1" t="n"/>
      <c r="K608" s="3" t="n"/>
      <c r="L608" s="10" t="n"/>
      <c r="M608" s="3">
        <f>IF($A608="","",IFERROR(INDEX('AJUSTES'!$B$4:$B$303,MATCH($AN608,'AJUSTES'!$A$4:$A$303,0)),IF($K608="","",$K608)))</f>
        <v/>
      </c>
      <c r="N608" s="3">
        <f>IF($A608="","",IFERROR(INDEX('CAT_ESTADOS_ERP'!$B$4:$B$7,MATCH(IFERROR(INDEX('2_IMPORTAR_EJECUCION'!$C$9:$C$1208,MATCH($AN608,'2_IMPORTAR_EJECUCION'!$J$9:$J$1208,0)),""),'CAT_ESTADOS_ERP'!$A$4:$A$7,0)),"Pendiente"))</f>
        <v/>
      </c>
      <c r="O608" s="3">
        <f>IF($J608="","",YEAR($J608+4-WEEKDAY($J608,2))&amp;"-S"&amp;TEXT(_xlfn.ISOWEEKNUM($J608),"00"))</f>
        <v/>
      </c>
      <c r="P608" s="3">
        <f>IF($J608="","",YEAR($J608))</f>
        <v/>
      </c>
      <c r="Q608" s="3">
        <f>IF($J608="","",MONTH($J608))</f>
        <v/>
      </c>
      <c r="R608" s="3">
        <f>IF($J608="","",INDEX(lista_dias,WEEKDAY($J608,2)))</f>
        <v/>
      </c>
      <c r="S608" s="3">
        <f>IF($I608="","",IFERROR(INDEX('CAT_TIPOS_OT'!$C$4:$C$7,MATCH($I608,'CAT_TIPOS_OT'!$A$4:$A$7,0)),"sin_clasificar"))</f>
        <v/>
      </c>
      <c r="T608" s="3">
        <f>IF($F608="","",IFERROR(INDEX('CAT_CENTROS_COSTO'!$E$4:$E$9,MATCH($F608,'CAT_CENTROS_COSTO'!$A$4:$A$9,0)),"(sin catálogo)"))</f>
        <v/>
      </c>
      <c r="U608" s="3">
        <f>IF($F608="","",IFERROR(INDEX('CAT_CENTROS_COSTO'!$D$4:$D$9,MATCH($F608,'CAT_CENTROS_COSTO'!$A$4:$A$9,0)),"(sin catálogo)"))</f>
        <v/>
      </c>
      <c r="V608" s="3">
        <f>IF($F608="","",IFERROR(INDEX('CAT_CENTROS_COSTO'!$F$4:$F$9,MATCH($F608,'CAT_CENTROS_COSTO'!$A$4:$A$9,0)),"(sin catálogo)"))</f>
        <v/>
      </c>
      <c r="W608" s="3">
        <f>IF($G608="","",IFERROR(INDEX('CAT_PUESTOS'!$B$4:$B$8,MATCH($G608,'CAT_PUESTOS'!$A$4:$A$8,0)),"(sin catálogo)"))</f>
        <v/>
      </c>
      <c r="X608" s="3">
        <f>IF($H608="","",IFERROR(INDEX('CAT_ACTIVIDADES'!$B$4:$B$8,MATCH($H608,'CAT_ACTIVIDADES'!$A$4:$A$8,0)),"(sin catálogo)"))</f>
        <v/>
      </c>
      <c r="Y608" s="12">
        <f>IF($J608="","",TODAY()-$J608)</f>
        <v/>
      </c>
      <c r="Z608" s="3">
        <f>IF($Y608="","",IF($Y608&lt;0,"FUTURO",IF($Y608&gt;p_dias_backlog_max,"BACKLOG","MES CORRIENTE")))</f>
        <v/>
      </c>
      <c r="AA608" s="3">
        <f>IF($Y608="",FALSE,AND($Y608&gt;p_dias_backlog_min,$Y608&lt;=p_dias_backlog_max))</f>
        <v/>
      </c>
      <c r="AB608" s="6" t="n"/>
      <c r="AC608" s="3">
        <f>IF($AB608="","",IFERROR(INDEX('ASIGNACIONES'!$F$4:$F$339,MATCH($O608&amp;"|"&amp;$R608&amp;"|"&amp;$AB608,'ASIGNACIONES'!$I$4:$I$339,0)),""))</f>
        <v/>
      </c>
      <c r="AD608" s="13">
        <f>IF($AB608="","",SUMIFS('ORDENES'!$M$4:$M$1203,'ORDENES'!$AB$4:$AB$1203,$AB608,'ORDENES'!$O$4:$O$1203,$O608,'ORDENES'!$R$4:$R$1203,$R608))</f>
        <v/>
      </c>
      <c r="AE608" s="13">
        <f>IF($AD608="","",p_factor_productividad*IFERROR(INDEX('ASIGNACIONES'!$H$4:$H$339,MATCH($O608&amp;"|"&amp;$R608&amp;"|"&amp;$AB608,'ASIGNACIONES'!$I$4:$I$339,0)),0)-$AD608)</f>
        <v/>
      </c>
      <c r="AF608" s="10">
        <f>IF($A608="","",IFERROR(INDEX('2_IMPORTAR_EJECUCION'!$F$9:$F$1208,MATCH($AN608,'2_IMPORTAR_EJECUCION'!$J$9:$J$1208,0)),0))</f>
        <v/>
      </c>
      <c r="AG608" s="10">
        <f>IF($A608="","",MAX(0,IFERROR(INDEX('2_IMPORTAR_EJECUCION'!$H$9:$H$1208,MATCH($AN608,'2_IMPORTAR_EJECUCION'!$J$9:$J$1208,0)),0)-$AF608))</f>
        <v/>
      </c>
      <c r="AH608" s="10">
        <f>IF($A608="","",$AF608+$AG608)</f>
        <v/>
      </c>
      <c r="AI608" s="6" t="n"/>
      <c r="AJ608" s="6" t="n"/>
      <c r="AK608" s="6" t="n"/>
      <c r="AL608" s="3">
        <f>IF($AK608="","",HYPERLINK(p_ruta_base_checklists&amp;$AK608,"abrir"))</f>
        <v/>
      </c>
      <c r="AM608" s="6" t="n"/>
      <c r="AN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1" t="n"/>
      <c r="K609" s="3" t="n"/>
      <c r="L609" s="10" t="n"/>
      <c r="M609" s="3">
        <f>IF($A609="","",IFERROR(INDEX('AJUSTES'!$B$4:$B$303,MATCH($AN609,'AJUSTES'!$A$4:$A$303,0)),IF($K609="","",$K609)))</f>
        <v/>
      </c>
      <c r="N609" s="3">
        <f>IF($A609="","",IFERROR(INDEX('CAT_ESTADOS_ERP'!$B$4:$B$7,MATCH(IFERROR(INDEX('2_IMPORTAR_EJECUCION'!$C$9:$C$1208,MATCH($AN609,'2_IMPORTAR_EJECUCION'!$J$9:$J$1208,0)),""),'CAT_ESTADOS_ERP'!$A$4:$A$7,0)),"Pendiente"))</f>
        <v/>
      </c>
      <c r="O609" s="3">
        <f>IF($J609="","",YEAR($J609+4-WEEKDAY($J609,2))&amp;"-S"&amp;TEXT(_xlfn.ISOWEEKNUM($J609),"00"))</f>
        <v/>
      </c>
      <c r="P609" s="3">
        <f>IF($J609="","",YEAR($J609))</f>
        <v/>
      </c>
      <c r="Q609" s="3">
        <f>IF($J609="","",MONTH($J609))</f>
        <v/>
      </c>
      <c r="R609" s="3">
        <f>IF($J609="","",INDEX(lista_dias,WEEKDAY($J609,2)))</f>
        <v/>
      </c>
      <c r="S609" s="3">
        <f>IF($I609="","",IFERROR(INDEX('CAT_TIPOS_OT'!$C$4:$C$7,MATCH($I609,'CAT_TIPOS_OT'!$A$4:$A$7,0)),"sin_clasificar"))</f>
        <v/>
      </c>
      <c r="T609" s="3">
        <f>IF($F609="","",IFERROR(INDEX('CAT_CENTROS_COSTO'!$E$4:$E$9,MATCH($F609,'CAT_CENTROS_COSTO'!$A$4:$A$9,0)),"(sin catálogo)"))</f>
        <v/>
      </c>
      <c r="U609" s="3">
        <f>IF($F609="","",IFERROR(INDEX('CAT_CENTROS_COSTO'!$D$4:$D$9,MATCH($F609,'CAT_CENTROS_COSTO'!$A$4:$A$9,0)),"(sin catálogo)"))</f>
        <v/>
      </c>
      <c r="V609" s="3">
        <f>IF($F609="","",IFERROR(INDEX('CAT_CENTROS_COSTO'!$F$4:$F$9,MATCH($F609,'CAT_CENTROS_COSTO'!$A$4:$A$9,0)),"(sin catálogo)"))</f>
        <v/>
      </c>
      <c r="W609" s="3">
        <f>IF($G609="","",IFERROR(INDEX('CAT_PUESTOS'!$B$4:$B$8,MATCH($G609,'CAT_PUESTOS'!$A$4:$A$8,0)),"(sin catálogo)"))</f>
        <v/>
      </c>
      <c r="X609" s="3">
        <f>IF($H609="","",IFERROR(INDEX('CAT_ACTIVIDADES'!$B$4:$B$8,MATCH($H609,'CAT_ACTIVIDADES'!$A$4:$A$8,0)),"(sin catálogo)"))</f>
        <v/>
      </c>
      <c r="Y609" s="12">
        <f>IF($J609="","",TODAY()-$J609)</f>
        <v/>
      </c>
      <c r="Z609" s="3">
        <f>IF($Y609="","",IF($Y609&lt;0,"FUTURO",IF($Y609&gt;p_dias_backlog_max,"BACKLOG","MES CORRIENTE")))</f>
        <v/>
      </c>
      <c r="AA609" s="3">
        <f>IF($Y609="",FALSE,AND($Y609&gt;p_dias_backlog_min,$Y609&lt;=p_dias_backlog_max))</f>
        <v/>
      </c>
      <c r="AB609" s="6" t="n"/>
      <c r="AC609" s="3">
        <f>IF($AB609="","",IFERROR(INDEX('ASIGNACIONES'!$F$4:$F$339,MATCH($O609&amp;"|"&amp;$R609&amp;"|"&amp;$AB609,'ASIGNACIONES'!$I$4:$I$339,0)),""))</f>
        <v/>
      </c>
      <c r="AD609" s="13">
        <f>IF($AB609="","",SUMIFS('ORDENES'!$M$4:$M$1203,'ORDENES'!$AB$4:$AB$1203,$AB609,'ORDENES'!$O$4:$O$1203,$O609,'ORDENES'!$R$4:$R$1203,$R609))</f>
        <v/>
      </c>
      <c r="AE609" s="13">
        <f>IF($AD609="","",p_factor_productividad*IFERROR(INDEX('ASIGNACIONES'!$H$4:$H$339,MATCH($O609&amp;"|"&amp;$R609&amp;"|"&amp;$AB609,'ASIGNACIONES'!$I$4:$I$339,0)),0)-$AD609)</f>
        <v/>
      </c>
      <c r="AF609" s="10">
        <f>IF($A609="","",IFERROR(INDEX('2_IMPORTAR_EJECUCION'!$F$9:$F$1208,MATCH($AN609,'2_IMPORTAR_EJECUCION'!$J$9:$J$1208,0)),0))</f>
        <v/>
      </c>
      <c r="AG609" s="10">
        <f>IF($A609="","",MAX(0,IFERROR(INDEX('2_IMPORTAR_EJECUCION'!$H$9:$H$1208,MATCH($AN609,'2_IMPORTAR_EJECUCION'!$J$9:$J$1208,0)),0)-$AF609))</f>
        <v/>
      </c>
      <c r="AH609" s="10">
        <f>IF($A609="","",$AF609+$AG609)</f>
        <v/>
      </c>
      <c r="AI609" s="6" t="n"/>
      <c r="AJ609" s="6" t="n"/>
      <c r="AK609" s="6" t="n"/>
      <c r="AL609" s="3">
        <f>IF($AK609="","",HYPERLINK(p_ruta_base_checklists&amp;$AK609,"abrir"))</f>
        <v/>
      </c>
      <c r="AM609" s="6" t="n"/>
      <c r="AN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1" t="n"/>
      <c r="K610" s="3" t="n"/>
      <c r="L610" s="10" t="n"/>
      <c r="M610" s="3">
        <f>IF($A610="","",IFERROR(INDEX('AJUSTES'!$B$4:$B$303,MATCH($AN610,'AJUSTES'!$A$4:$A$303,0)),IF($K610="","",$K610)))</f>
        <v/>
      </c>
      <c r="N610" s="3">
        <f>IF($A610="","",IFERROR(INDEX('CAT_ESTADOS_ERP'!$B$4:$B$7,MATCH(IFERROR(INDEX('2_IMPORTAR_EJECUCION'!$C$9:$C$1208,MATCH($AN610,'2_IMPORTAR_EJECUCION'!$J$9:$J$1208,0)),""),'CAT_ESTADOS_ERP'!$A$4:$A$7,0)),"Pendiente"))</f>
        <v/>
      </c>
      <c r="O610" s="3">
        <f>IF($J610="","",YEAR($J610+4-WEEKDAY($J610,2))&amp;"-S"&amp;TEXT(_xlfn.ISOWEEKNUM($J610),"00"))</f>
        <v/>
      </c>
      <c r="P610" s="3">
        <f>IF($J610="","",YEAR($J610))</f>
        <v/>
      </c>
      <c r="Q610" s="3">
        <f>IF($J610="","",MONTH($J610))</f>
        <v/>
      </c>
      <c r="R610" s="3">
        <f>IF($J610="","",INDEX(lista_dias,WEEKDAY($J610,2)))</f>
        <v/>
      </c>
      <c r="S610" s="3">
        <f>IF($I610="","",IFERROR(INDEX('CAT_TIPOS_OT'!$C$4:$C$7,MATCH($I610,'CAT_TIPOS_OT'!$A$4:$A$7,0)),"sin_clasificar"))</f>
        <v/>
      </c>
      <c r="T610" s="3">
        <f>IF($F610="","",IFERROR(INDEX('CAT_CENTROS_COSTO'!$E$4:$E$9,MATCH($F610,'CAT_CENTROS_COSTO'!$A$4:$A$9,0)),"(sin catálogo)"))</f>
        <v/>
      </c>
      <c r="U610" s="3">
        <f>IF($F610="","",IFERROR(INDEX('CAT_CENTROS_COSTO'!$D$4:$D$9,MATCH($F610,'CAT_CENTROS_COSTO'!$A$4:$A$9,0)),"(sin catálogo)"))</f>
        <v/>
      </c>
      <c r="V610" s="3">
        <f>IF($F610="","",IFERROR(INDEX('CAT_CENTROS_COSTO'!$F$4:$F$9,MATCH($F610,'CAT_CENTROS_COSTO'!$A$4:$A$9,0)),"(sin catálogo)"))</f>
        <v/>
      </c>
      <c r="W610" s="3">
        <f>IF($G610="","",IFERROR(INDEX('CAT_PUESTOS'!$B$4:$B$8,MATCH($G610,'CAT_PUESTOS'!$A$4:$A$8,0)),"(sin catálogo)"))</f>
        <v/>
      </c>
      <c r="X610" s="3">
        <f>IF($H610="","",IFERROR(INDEX('CAT_ACTIVIDADES'!$B$4:$B$8,MATCH($H610,'CAT_ACTIVIDADES'!$A$4:$A$8,0)),"(sin catálogo)"))</f>
        <v/>
      </c>
      <c r="Y610" s="12">
        <f>IF($J610="","",TODAY()-$J610)</f>
        <v/>
      </c>
      <c r="Z610" s="3">
        <f>IF($Y610="","",IF($Y610&lt;0,"FUTURO",IF($Y610&gt;p_dias_backlog_max,"BACKLOG","MES CORRIENTE")))</f>
        <v/>
      </c>
      <c r="AA610" s="3">
        <f>IF($Y610="",FALSE,AND($Y610&gt;p_dias_backlog_min,$Y610&lt;=p_dias_backlog_max))</f>
        <v/>
      </c>
      <c r="AB610" s="6" t="n"/>
      <c r="AC610" s="3">
        <f>IF($AB610="","",IFERROR(INDEX('ASIGNACIONES'!$F$4:$F$339,MATCH($O610&amp;"|"&amp;$R610&amp;"|"&amp;$AB610,'ASIGNACIONES'!$I$4:$I$339,0)),""))</f>
        <v/>
      </c>
      <c r="AD610" s="13">
        <f>IF($AB610="","",SUMIFS('ORDENES'!$M$4:$M$1203,'ORDENES'!$AB$4:$AB$1203,$AB610,'ORDENES'!$O$4:$O$1203,$O610,'ORDENES'!$R$4:$R$1203,$R610))</f>
        <v/>
      </c>
      <c r="AE610" s="13">
        <f>IF($AD610="","",p_factor_productividad*IFERROR(INDEX('ASIGNACIONES'!$H$4:$H$339,MATCH($O610&amp;"|"&amp;$R610&amp;"|"&amp;$AB610,'ASIGNACIONES'!$I$4:$I$339,0)),0)-$AD610)</f>
        <v/>
      </c>
      <c r="AF610" s="10">
        <f>IF($A610="","",IFERROR(INDEX('2_IMPORTAR_EJECUCION'!$F$9:$F$1208,MATCH($AN610,'2_IMPORTAR_EJECUCION'!$J$9:$J$1208,0)),0))</f>
        <v/>
      </c>
      <c r="AG610" s="10">
        <f>IF($A610="","",MAX(0,IFERROR(INDEX('2_IMPORTAR_EJECUCION'!$H$9:$H$1208,MATCH($AN610,'2_IMPORTAR_EJECUCION'!$J$9:$J$1208,0)),0)-$AF610))</f>
        <v/>
      </c>
      <c r="AH610" s="10">
        <f>IF($A610="","",$AF610+$AG610)</f>
        <v/>
      </c>
      <c r="AI610" s="6" t="n"/>
      <c r="AJ610" s="6" t="n"/>
      <c r="AK610" s="6" t="n"/>
      <c r="AL610" s="3">
        <f>IF($AK610="","",HYPERLINK(p_ruta_base_checklists&amp;$AK610,"abrir"))</f>
        <v/>
      </c>
      <c r="AM610" s="6" t="n"/>
      <c r="AN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1" t="n"/>
      <c r="K611" s="3" t="n"/>
      <c r="L611" s="10" t="n"/>
      <c r="M611" s="3">
        <f>IF($A611="","",IFERROR(INDEX('AJUSTES'!$B$4:$B$303,MATCH($AN611,'AJUSTES'!$A$4:$A$303,0)),IF($K611="","",$K611)))</f>
        <v/>
      </c>
      <c r="N611" s="3">
        <f>IF($A611="","",IFERROR(INDEX('CAT_ESTADOS_ERP'!$B$4:$B$7,MATCH(IFERROR(INDEX('2_IMPORTAR_EJECUCION'!$C$9:$C$1208,MATCH($AN611,'2_IMPORTAR_EJECUCION'!$J$9:$J$1208,0)),""),'CAT_ESTADOS_ERP'!$A$4:$A$7,0)),"Pendiente"))</f>
        <v/>
      </c>
      <c r="O611" s="3">
        <f>IF($J611="","",YEAR($J611+4-WEEKDAY($J611,2))&amp;"-S"&amp;TEXT(_xlfn.ISOWEEKNUM($J611),"00"))</f>
        <v/>
      </c>
      <c r="P611" s="3">
        <f>IF($J611="","",YEAR($J611))</f>
        <v/>
      </c>
      <c r="Q611" s="3">
        <f>IF($J611="","",MONTH($J611))</f>
        <v/>
      </c>
      <c r="R611" s="3">
        <f>IF($J611="","",INDEX(lista_dias,WEEKDAY($J611,2)))</f>
        <v/>
      </c>
      <c r="S611" s="3">
        <f>IF($I611="","",IFERROR(INDEX('CAT_TIPOS_OT'!$C$4:$C$7,MATCH($I611,'CAT_TIPOS_OT'!$A$4:$A$7,0)),"sin_clasificar"))</f>
        <v/>
      </c>
      <c r="T611" s="3">
        <f>IF($F611="","",IFERROR(INDEX('CAT_CENTROS_COSTO'!$E$4:$E$9,MATCH($F611,'CAT_CENTROS_COSTO'!$A$4:$A$9,0)),"(sin catálogo)"))</f>
        <v/>
      </c>
      <c r="U611" s="3">
        <f>IF($F611="","",IFERROR(INDEX('CAT_CENTROS_COSTO'!$D$4:$D$9,MATCH($F611,'CAT_CENTROS_COSTO'!$A$4:$A$9,0)),"(sin catálogo)"))</f>
        <v/>
      </c>
      <c r="V611" s="3">
        <f>IF($F611="","",IFERROR(INDEX('CAT_CENTROS_COSTO'!$F$4:$F$9,MATCH($F611,'CAT_CENTROS_COSTO'!$A$4:$A$9,0)),"(sin catálogo)"))</f>
        <v/>
      </c>
      <c r="W611" s="3">
        <f>IF($G611="","",IFERROR(INDEX('CAT_PUESTOS'!$B$4:$B$8,MATCH($G611,'CAT_PUESTOS'!$A$4:$A$8,0)),"(sin catálogo)"))</f>
        <v/>
      </c>
      <c r="X611" s="3">
        <f>IF($H611="","",IFERROR(INDEX('CAT_ACTIVIDADES'!$B$4:$B$8,MATCH($H611,'CAT_ACTIVIDADES'!$A$4:$A$8,0)),"(sin catálogo)"))</f>
        <v/>
      </c>
      <c r="Y611" s="12">
        <f>IF($J611="","",TODAY()-$J611)</f>
        <v/>
      </c>
      <c r="Z611" s="3">
        <f>IF($Y611="","",IF($Y611&lt;0,"FUTURO",IF($Y611&gt;p_dias_backlog_max,"BACKLOG","MES CORRIENTE")))</f>
        <v/>
      </c>
      <c r="AA611" s="3">
        <f>IF($Y611="",FALSE,AND($Y611&gt;p_dias_backlog_min,$Y611&lt;=p_dias_backlog_max))</f>
        <v/>
      </c>
      <c r="AB611" s="6" t="n"/>
      <c r="AC611" s="3">
        <f>IF($AB611="","",IFERROR(INDEX('ASIGNACIONES'!$F$4:$F$339,MATCH($O611&amp;"|"&amp;$R611&amp;"|"&amp;$AB611,'ASIGNACIONES'!$I$4:$I$339,0)),""))</f>
        <v/>
      </c>
      <c r="AD611" s="13">
        <f>IF($AB611="","",SUMIFS('ORDENES'!$M$4:$M$1203,'ORDENES'!$AB$4:$AB$1203,$AB611,'ORDENES'!$O$4:$O$1203,$O611,'ORDENES'!$R$4:$R$1203,$R611))</f>
        <v/>
      </c>
      <c r="AE611" s="13">
        <f>IF($AD611="","",p_factor_productividad*IFERROR(INDEX('ASIGNACIONES'!$H$4:$H$339,MATCH($O611&amp;"|"&amp;$R611&amp;"|"&amp;$AB611,'ASIGNACIONES'!$I$4:$I$339,0)),0)-$AD611)</f>
        <v/>
      </c>
      <c r="AF611" s="10">
        <f>IF($A611="","",IFERROR(INDEX('2_IMPORTAR_EJECUCION'!$F$9:$F$1208,MATCH($AN611,'2_IMPORTAR_EJECUCION'!$J$9:$J$1208,0)),0))</f>
        <v/>
      </c>
      <c r="AG611" s="10">
        <f>IF($A611="","",MAX(0,IFERROR(INDEX('2_IMPORTAR_EJECUCION'!$H$9:$H$1208,MATCH($AN611,'2_IMPORTAR_EJECUCION'!$J$9:$J$1208,0)),0)-$AF611))</f>
        <v/>
      </c>
      <c r="AH611" s="10">
        <f>IF($A611="","",$AF611+$AG611)</f>
        <v/>
      </c>
      <c r="AI611" s="6" t="n"/>
      <c r="AJ611" s="6" t="n"/>
      <c r="AK611" s="6" t="n"/>
      <c r="AL611" s="3">
        <f>IF($AK611="","",HYPERLINK(p_ruta_base_checklists&amp;$AK611,"abrir"))</f>
        <v/>
      </c>
      <c r="AM611" s="6" t="n"/>
      <c r="AN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1" t="n"/>
      <c r="K612" s="3" t="n"/>
      <c r="L612" s="10" t="n"/>
      <c r="M612" s="3">
        <f>IF($A612="","",IFERROR(INDEX('AJUSTES'!$B$4:$B$303,MATCH($AN612,'AJUSTES'!$A$4:$A$303,0)),IF($K612="","",$K612)))</f>
        <v/>
      </c>
      <c r="N612" s="3">
        <f>IF($A612="","",IFERROR(INDEX('CAT_ESTADOS_ERP'!$B$4:$B$7,MATCH(IFERROR(INDEX('2_IMPORTAR_EJECUCION'!$C$9:$C$1208,MATCH($AN612,'2_IMPORTAR_EJECUCION'!$J$9:$J$1208,0)),""),'CAT_ESTADOS_ERP'!$A$4:$A$7,0)),"Pendiente"))</f>
        <v/>
      </c>
      <c r="O612" s="3">
        <f>IF($J612="","",YEAR($J612+4-WEEKDAY($J612,2))&amp;"-S"&amp;TEXT(_xlfn.ISOWEEKNUM($J612),"00"))</f>
        <v/>
      </c>
      <c r="P612" s="3">
        <f>IF($J612="","",YEAR($J612))</f>
        <v/>
      </c>
      <c r="Q612" s="3">
        <f>IF($J612="","",MONTH($J612))</f>
        <v/>
      </c>
      <c r="R612" s="3">
        <f>IF($J612="","",INDEX(lista_dias,WEEKDAY($J612,2)))</f>
        <v/>
      </c>
      <c r="S612" s="3">
        <f>IF($I612="","",IFERROR(INDEX('CAT_TIPOS_OT'!$C$4:$C$7,MATCH($I612,'CAT_TIPOS_OT'!$A$4:$A$7,0)),"sin_clasificar"))</f>
        <v/>
      </c>
      <c r="T612" s="3">
        <f>IF($F612="","",IFERROR(INDEX('CAT_CENTROS_COSTO'!$E$4:$E$9,MATCH($F612,'CAT_CENTROS_COSTO'!$A$4:$A$9,0)),"(sin catálogo)"))</f>
        <v/>
      </c>
      <c r="U612" s="3">
        <f>IF($F612="","",IFERROR(INDEX('CAT_CENTROS_COSTO'!$D$4:$D$9,MATCH($F612,'CAT_CENTROS_COSTO'!$A$4:$A$9,0)),"(sin catálogo)"))</f>
        <v/>
      </c>
      <c r="V612" s="3">
        <f>IF($F612="","",IFERROR(INDEX('CAT_CENTROS_COSTO'!$F$4:$F$9,MATCH($F612,'CAT_CENTROS_COSTO'!$A$4:$A$9,0)),"(sin catálogo)"))</f>
        <v/>
      </c>
      <c r="W612" s="3">
        <f>IF($G612="","",IFERROR(INDEX('CAT_PUESTOS'!$B$4:$B$8,MATCH($G612,'CAT_PUESTOS'!$A$4:$A$8,0)),"(sin catálogo)"))</f>
        <v/>
      </c>
      <c r="X612" s="3">
        <f>IF($H612="","",IFERROR(INDEX('CAT_ACTIVIDADES'!$B$4:$B$8,MATCH($H612,'CAT_ACTIVIDADES'!$A$4:$A$8,0)),"(sin catálogo)"))</f>
        <v/>
      </c>
      <c r="Y612" s="12">
        <f>IF($J612="","",TODAY()-$J612)</f>
        <v/>
      </c>
      <c r="Z612" s="3">
        <f>IF($Y612="","",IF($Y612&lt;0,"FUTURO",IF($Y612&gt;p_dias_backlog_max,"BACKLOG","MES CORRIENTE")))</f>
        <v/>
      </c>
      <c r="AA612" s="3">
        <f>IF($Y612="",FALSE,AND($Y612&gt;p_dias_backlog_min,$Y612&lt;=p_dias_backlog_max))</f>
        <v/>
      </c>
      <c r="AB612" s="6" t="n"/>
      <c r="AC612" s="3">
        <f>IF($AB612="","",IFERROR(INDEX('ASIGNACIONES'!$F$4:$F$339,MATCH($O612&amp;"|"&amp;$R612&amp;"|"&amp;$AB612,'ASIGNACIONES'!$I$4:$I$339,0)),""))</f>
        <v/>
      </c>
      <c r="AD612" s="13">
        <f>IF($AB612="","",SUMIFS('ORDENES'!$M$4:$M$1203,'ORDENES'!$AB$4:$AB$1203,$AB612,'ORDENES'!$O$4:$O$1203,$O612,'ORDENES'!$R$4:$R$1203,$R612))</f>
        <v/>
      </c>
      <c r="AE612" s="13">
        <f>IF($AD612="","",p_factor_productividad*IFERROR(INDEX('ASIGNACIONES'!$H$4:$H$339,MATCH($O612&amp;"|"&amp;$R612&amp;"|"&amp;$AB612,'ASIGNACIONES'!$I$4:$I$339,0)),0)-$AD612)</f>
        <v/>
      </c>
      <c r="AF612" s="10">
        <f>IF($A612="","",IFERROR(INDEX('2_IMPORTAR_EJECUCION'!$F$9:$F$1208,MATCH($AN612,'2_IMPORTAR_EJECUCION'!$J$9:$J$1208,0)),0))</f>
        <v/>
      </c>
      <c r="AG612" s="10">
        <f>IF($A612="","",MAX(0,IFERROR(INDEX('2_IMPORTAR_EJECUCION'!$H$9:$H$1208,MATCH($AN612,'2_IMPORTAR_EJECUCION'!$J$9:$J$1208,0)),0)-$AF612))</f>
        <v/>
      </c>
      <c r="AH612" s="10">
        <f>IF($A612="","",$AF612+$AG612)</f>
        <v/>
      </c>
      <c r="AI612" s="6" t="n"/>
      <c r="AJ612" s="6" t="n"/>
      <c r="AK612" s="6" t="n"/>
      <c r="AL612" s="3">
        <f>IF($AK612="","",HYPERLINK(p_ruta_base_checklists&amp;$AK612,"abrir"))</f>
        <v/>
      </c>
      <c r="AM612" s="6" t="n"/>
      <c r="AN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1" t="n"/>
      <c r="K613" s="3" t="n"/>
      <c r="L613" s="10" t="n"/>
      <c r="M613" s="3">
        <f>IF($A613="","",IFERROR(INDEX('AJUSTES'!$B$4:$B$303,MATCH($AN613,'AJUSTES'!$A$4:$A$303,0)),IF($K613="","",$K613)))</f>
        <v/>
      </c>
      <c r="N613" s="3">
        <f>IF($A613="","",IFERROR(INDEX('CAT_ESTADOS_ERP'!$B$4:$B$7,MATCH(IFERROR(INDEX('2_IMPORTAR_EJECUCION'!$C$9:$C$1208,MATCH($AN613,'2_IMPORTAR_EJECUCION'!$J$9:$J$1208,0)),""),'CAT_ESTADOS_ERP'!$A$4:$A$7,0)),"Pendiente"))</f>
        <v/>
      </c>
      <c r="O613" s="3">
        <f>IF($J613="","",YEAR($J613+4-WEEKDAY($J613,2))&amp;"-S"&amp;TEXT(_xlfn.ISOWEEKNUM($J613),"00"))</f>
        <v/>
      </c>
      <c r="P613" s="3">
        <f>IF($J613="","",YEAR($J613))</f>
        <v/>
      </c>
      <c r="Q613" s="3">
        <f>IF($J613="","",MONTH($J613))</f>
        <v/>
      </c>
      <c r="R613" s="3">
        <f>IF($J613="","",INDEX(lista_dias,WEEKDAY($J613,2)))</f>
        <v/>
      </c>
      <c r="S613" s="3">
        <f>IF($I613="","",IFERROR(INDEX('CAT_TIPOS_OT'!$C$4:$C$7,MATCH($I613,'CAT_TIPOS_OT'!$A$4:$A$7,0)),"sin_clasificar"))</f>
        <v/>
      </c>
      <c r="T613" s="3">
        <f>IF($F613="","",IFERROR(INDEX('CAT_CENTROS_COSTO'!$E$4:$E$9,MATCH($F613,'CAT_CENTROS_COSTO'!$A$4:$A$9,0)),"(sin catálogo)"))</f>
        <v/>
      </c>
      <c r="U613" s="3">
        <f>IF($F613="","",IFERROR(INDEX('CAT_CENTROS_COSTO'!$D$4:$D$9,MATCH($F613,'CAT_CENTROS_COSTO'!$A$4:$A$9,0)),"(sin catálogo)"))</f>
        <v/>
      </c>
      <c r="V613" s="3">
        <f>IF($F613="","",IFERROR(INDEX('CAT_CENTROS_COSTO'!$F$4:$F$9,MATCH($F613,'CAT_CENTROS_COSTO'!$A$4:$A$9,0)),"(sin catálogo)"))</f>
        <v/>
      </c>
      <c r="W613" s="3">
        <f>IF($G613="","",IFERROR(INDEX('CAT_PUESTOS'!$B$4:$B$8,MATCH($G613,'CAT_PUESTOS'!$A$4:$A$8,0)),"(sin catálogo)"))</f>
        <v/>
      </c>
      <c r="X613" s="3">
        <f>IF($H613="","",IFERROR(INDEX('CAT_ACTIVIDADES'!$B$4:$B$8,MATCH($H613,'CAT_ACTIVIDADES'!$A$4:$A$8,0)),"(sin catálogo)"))</f>
        <v/>
      </c>
      <c r="Y613" s="12">
        <f>IF($J613="","",TODAY()-$J613)</f>
        <v/>
      </c>
      <c r="Z613" s="3">
        <f>IF($Y613="","",IF($Y613&lt;0,"FUTURO",IF($Y613&gt;p_dias_backlog_max,"BACKLOG","MES CORRIENTE")))</f>
        <v/>
      </c>
      <c r="AA613" s="3">
        <f>IF($Y613="",FALSE,AND($Y613&gt;p_dias_backlog_min,$Y613&lt;=p_dias_backlog_max))</f>
        <v/>
      </c>
      <c r="AB613" s="6" t="n"/>
      <c r="AC613" s="3">
        <f>IF($AB613="","",IFERROR(INDEX('ASIGNACIONES'!$F$4:$F$339,MATCH($O613&amp;"|"&amp;$R613&amp;"|"&amp;$AB613,'ASIGNACIONES'!$I$4:$I$339,0)),""))</f>
        <v/>
      </c>
      <c r="AD613" s="13">
        <f>IF($AB613="","",SUMIFS('ORDENES'!$M$4:$M$1203,'ORDENES'!$AB$4:$AB$1203,$AB613,'ORDENES'!$O$4:$O$1203,$O613,'ORDENES'!$R$4:$R$1203,$R613))</f>
        <v/>
      </c>
      <c r="AE613" s="13">
        <f>IF($AD613="","",p_factor_productividad*IFERROR(INDEX('ASIGNACIONES'!$H$4:$H$339,MATCH($O613&amp;"|"&amp;$R613&amp;"|"&amp;$AB613,'ASIGNACIONES'!$I$4:$I$339,0)),0)-$AD613)</f>
        <v/>
      </c>
      <c r="AF613" s="10">
        <f>IF($A613="","",IFERROR(INDEX('2_IMPORTAR_EJECUCION'!$F$9:$F$1208,MATCH($AN613,'2_IMPORTAR_EJECUCION'!$J$9:$J$1208,0)),0))</f>
        <v/>
      </c>
      <c r="AG613" s="10">
        <f>IF($A613="","",MAX(0,IFERROR(INDEX('2_IMPORTAR_EJECUCION'!$H$9:$H$1208,MATCH($AN613,'2_IMPORTAR_EJECUCION'!$J$9:$J$1208,0)),0)-$AF613))</f>
        <v/>
      </c>
      <c r="AH613" s="10">
        <f>IF($A613="","",$AF613+$AG613)</f>
        <v/>
      </c>
      <c r="AI613" s="6" t="n"/>
      <c r="AJ613" s="6" t="n"/>
      <c r="AK613" s="6" t="n"/>
      <c r="AL613" s="3">
        <f>IF($AK613="","",HYPERLINK(p_ruta_base_checklists&amp;$AK613,"abrir"))</f>
        <v/>
      </c>
      <c r="AM613" s="6" t="n"/>
      <c r="AN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1" t="n"/>
      <c r="K614" s="3" t="n"/>
      <c r="L614" s="10" t="n"/>
      <c r="M614" s="3">
        <f>IF($A614="","",IFERROR(INDEX('AJUSTES'!$B$4:$B$303,MATCH($AN614,'AJUSTES'!$A$4:$A$303,0)),IF($K614="","",$K614)))</f>
        <v/>
      </c>
      <c r="N614" s="3">
        <f>IF($A614="","",IFERROR(INDEX('CAT_ESTADOS_ERP'!$B$4:$B$7,MATCH(IFERROR(INDEX('2_IMPORTAR_EJECUCION'!$C$9:$C$1208,MATCH($AN614,'2_IMPORTAR_EJECUCION'!$J$9:$J$1208,0)),""),'CAT_ESTADOS_ERP'!$A$4:$A$7,0)),"Pendiente"))</f>
        <v/>
      </c>
      <c r="O614" s="3">
        <f>IF($J614="","",YEAR($J614+4-WEEKDAY($J614,2))&amp;"-S"&amp;TEXT(_xlfn.ISOWEEKNUM($J614),"00"))</f>
        <v/>
      </c>
      <c r="P614" s="3">
        <f>IF($J614="","",YEAR($J614))</f>
        <v/>
      </c>
      <c r="Q614" s="3">
        <f>IF($J614="","",MONTH($J614))</f>
        <v/>
      </c>
      <c r="R614" s="3">
        <f>IF($J614="","",INDEX(lista_dias,WEEKDAY($J614,2)))</f>
        <v/>
      </c>
      <c r="S614" s="3">
        <f>IF($I614="","",IFERROR(INDEX('CAT_TIPOS_OT'!$C$4:$C$7,MATCH($I614,'CAT_TIPOS_OT'!$A$4:$A$7,0)),"sin_clasificar"))</f>
        <v/>
      </c>
      <c r="T614" s="3">
        <f>IF($F614="","",IFERROR(INDEX('CAT_CENTROS_COSTO'!$E$4:$E$9,MATCH($F614,'CAT_CENTROS_COSTO'!$A$4:$A$9,0)),"(sin catálogo)"))</f>
        <v/>
      </c>
      <c r="U614" s="3">
        <f>IF($F614="","",IFERROR(INDEX('CAT_CENTROS_COSTO'!$D$4:$D$9,MATCH($F614,'CAT_CENTROS_COSTO'!$A$4:$A$9,0)),"(sin catálogo)"))</f>
        <v/>
      </c>
      <c r="V614" s="3">
        <f>IF($F614="","",IFERROR(INDEX('CAT_CENTROS_COSTO'!$F$4:$F$9,MATCH($F614,'CAT_CENTROS_COSTO'!$A$4:$A$9,0)),"(sin catálogo)"))</f>
        <v/>
      </c>
      <c r="W614" s="3">
        <f>IF($G614="","",IFERROR(INDEX('CAT_PUESTOS'!$B$4:$B$8,MATCH($G614,'CAT_PUESTOS'!$A$4:$A$8,0)),"(sin catálogo)"))</f>
        <v/>
      </c>
      <c r="X614" s="3">
        <f>IF($H614="","",IFERROR(INDEX('CAT_ACTIVIDADES'!$B$4:$B$8,MATCH($H614,'CAT_ACTIVIDADES'!$A$4:$A$8,0)),"(sin catálogo)"))</f>
        <v/>
      </c>
      <c r="Y614" s="12">
        <f>IF($J614="","",TODAY()-$J614)</f>
        <v/>
      </c>
      <c r="Z614" s="3">
        <f>IF($Y614="","",IF($Y614&lt;0,"FUTURO",IF($Y614&gt;p_dias_backlog_max,"BACKLOG","MES CORRIENTE")))</f>
        <v/>
      </c>
      <c r="AA614" s="3">
        <f>IF($Y614="",FALSE,AND($Y614&gt;p_dias_backlog_min,$Y614&lt;=p_dias_backlog_max))</f>
        <v/>
      </c>
      <c r="AB614" s="6" t="n"/>
      <c r="AC614" s="3">
        <f>IF($AB614="","",IFERROR(INDEX('ASIGNACIONES'!$F$4:$F$339,MATCH($O614&amp;"|"&amp;$R614&amp;"|"&amp;$AB614,'ASIGNACIONES'!$I$4:$I$339,0)),""))</f>
        <v/>
      </c>
      <c r="AD614" s="13">
        <f>IF($AB614="","",SUMIFS('ORDENES'!$M$4:$M$1203,'ORDENES'!$AB$4:$AB$1203,$AB614,'ORDENES'!$O$4:$O$1203,$O614,'ORDENES'!$R$4:$R$1203,$R614))</f>
        <v/>
      </c>
      <c r="AE614" s="13">
        <f>IF($AD614="","",p_factor_productividad*IFERROR(INDEX('ASIGNACIONES'!$H$4:$H$339,MATCH($O614&amp;"|"&amp;$R614&amp;"|"&amp;$AB614,'ASIGNACIONES'!$I$4:$I$339,0)),0)-$AD614)</f>
        <v/>
      </c>
      <c r="AF614" s="10">
        <f>IF($A614="","",IFERROR(INDEX('2_IMPORTAR_EJECUCION'!$F$9:$F$1208,MATCH($AN614,'2_IMPORTAR_EJECUCION'!$J$9:$J$1208,0)),0))</f>
        <v/>
      </c>
      <c r="AG614" s="10">
        <f>IF($A614="","",MAX(0,IFERROR(INDEX('2_IMPORTAR_EJECUCION'!$H$9:$H$1208,MATCH($AN614,'2_IMPORTAR_EJECUCION'!$J$9:$J$1208,0)),0)-$AF614))</f>
        <v/>
      </c>
      <c r="AH614" s="10">
        <f>IF($A614="","",$AF614+$AG614)</f>
        <v/>
      </c>
      <c r="AI614" s="6" t="n"/>
      <c r="AJ614" s="6" t="n"/>
      <c r="AK614" s="6" t="n"/>
      <c r="AL614" s="3">
        <f>IF($AK614="","",HYPERLINK(p_ruta_base_checklists&amp;$AK614,"abrir"))</f>
        <v/>
      </c>
      <c r="AM614" s="6" t="n"/>
      <c r="AN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1" t="n"/>
      <c r="K615" s="3" t="n"/>
      <c r="L615" s="10" t="n"/>
      <c r="M615" s="3">
        <f>IF($A615="","",IFERROR(INDEX('AJUSTES'!$B$4:$B$303,MATCH($AN615,'AJUSTES'!$A$4:$A$303,0)),IF($K615="","",$K615)))</f>
        <v/>
      </c>
      <c r="N615" s="3">
        <f>IF($A615="","",IFERROR(INDEX('CAT_ESTADOS_ERP'!$B$4:$B$7,MATCH(IFERROR(INDEX('2_IMPORTAR_EJECUCION'!$C$9:$C$1208,MATCH($AN615,'2_IMPORTAR_EJECUCION'!$J$9:$J$1208,0)),""),'CAT_ESTADOS_ERP'!$A$4:$A$7,0)),"Pendiente"))</f>
        <v/>
      </c>
      <c r="O615" s="3">
        <f>IF($J615="","",YEAR($J615+4-WEEKDAY($J615,2))&amp;"-S"&amp;TEXT(_xlfn.ISOWEEKNUM($J615),"00"))</f>
        <v/>
      </c>
      <c r="P615" s="3">
        <f>IF($J615="","",YEAR($J615))</f>
        <v/>
      </c>
      <c r="Q615" s="3">
        <f>IF($J615="","",MONTH($J615))</f>
        <v/>
      </c>
      <c r="R615" s="3">
        <f>IF($J615="","",INDEX(lista_dias,WEEKDAY($J615,2)))</f>
        <v/>
      </c>
      <c r="S615" s="3">
        <f>IF($I615="","",IFERROR(INDEX('CAT_TIPOS_OT'!$C$4:$C$7,MATCH($I615,'CAT_TIPOS_OT'!$A$4:$A$7,0)),"sin_clasificar"))</f>
        <v/>
      </c>
      <c r="T615" s="3">
        <f>IF($F615="","",IFERROR(INDEX('CAT_CENTROS_COSTO'!$E$4:$E$9,MATCH($F615,'CAT_CENTROS_COSTO'!$A$4:$A$9,0)),"(sin catálogo)"))</f>
        <v/>
      </c>
      <c r="U615" s="3">
        <f>IF($F615="","",IFERROR(INDEX('CAT_CENTROS_COSTO'!$D$4:$D$9,MATCH($F615,'CAT_CENTROS_COSTO'!$A$4:$A$9,0)),"(sin catálogo)"))</f>
        <v/>
      </c>
      <c r="V615" s="3">
        <f>IF($F615="","",IFERROR(INDEX('CAT_CENTROS_COSTO'!$F$4:$F$9,MATCH($F615,'CAT_CENTROS_COSTO'!$A$4:$A$9,0)),"(sin catálogo)"))</f>
        <v/>
      </c>
      <c r="W615" s="3">
        <f>IF($G615="","",IFERROR(INDEX('CAT_PUESTOS'!$B$4:$B$8,MATCH($G615,'CAT_PUESTOS'!$A$4:$A$8,0)),"(sin catálogo)"))</f>
        <v/>
      </c>
      <c r="X615" s="3">
        <f>IF($H615="","",IFERROR(INDEX('CAT_ACTIVIDADES'!$B$4:$B$8,MATCH($H615,'CAT_ACTIVIDADES'!$A$4:$A$8,0)),"(sin catálogo)"))</f>
        <v/>
      </c>
      <c r="Y615" s="12">
        <f>IF($J615="","",TODAY()-$J615)</f>
        <v/>
      </c>
      <c r="Z615" s="3">
        <f>IF($Y615="","",IF($Y615&lt;0,"FUTURO",IF($Y615&gt;p_dias_backlog_max,"BACKLOG","MES CORRIENTE")))</f>
        <v/>
      </c>
      <c r="AA615" s="3">
        <f>IF($Y615="",FALSE,AND($Y615&gt;p_dias_backlog_min,$Y615&lt;=p_dias_backlog_max))</f>
        <v/>
      </c>
      <c r="AB615" s="6" t="n"/>
      <c r="AC615" s="3">
        <f>IF($AB615="","",IFERROR(INDEX('ASIGNACIONES'!$F$4:$F$339,MATCH($O615&amp;"|"&amp;$R615&amp;"|"&amp;$AB615,'ASIGNACIONES'!$I$4:$I$339,0)),""))</f>
        <v/>
      </c>
      <c r="AD615" s="13">
        <f>IF($AB615="","",SUMIFS('ORDENES'!$M$4:$M$1203,'ORDENES'!$AB$4:$AB$1203,$AB615,'ORDENES'!$O$4:$O$1203,$O615,'ORDENES'!$R$4:$R$1203,$R615))</f>
        <v/>
      </c>
      <c r="AE615" s="13">
        <f>IF($AD615="","",p_factor_productividad*IFERROR(INDEX('ASIGNACIONES'!$H$4:$H$339,MATCH($O615&amp;"|"&amp;$R615&amp;"|"&amp;$AB615,'ASIGNACIONES'!$I$4:$I$339,0)),0)-$AD615)</f>
        <v/>
      </c>
      <c r="AF615" s="10">
        <f>IF($A615="","",IFERROR(INDEX('2_IMPORTAR_EJECUCION'!$F$9:$F$1208,MATCH($AN615,'2_IMPORTAR_EJECUCION'!$J$9:$J$1208,0)),0))</f>
        <v/>
      </c>
      <c r="AG615" s="10">
        <f>IF($A615="","",MAX(0,IFERROR(INDEX('2_IMPORTAR_EJECUCION'!$H$9:$H$1208,MATCH($AN615,'2_IMPORTAR_EJECUCION'!$J$9:$J$1208,0)),0)-$AF615))</f>
        <v/>
      </c>
      <c r="AH615" s="10">
        <f>IF($A615="","",$AF615+$AG615)</f>
        <v/>
      </c>
      <c r="AI615" s="6" t="n"/>
      <c r="AJ615" s="6" t="n"/>
      <c r="AK615" s="6" t="n"/>
      <c r="AL615" s="3">
        <f>IF($AK615="","",HYPERLINK(p_ruta_base_checklists&amp;$AK615,"abrir"))</f>
        <v/>
      </c>
      <c r="AM615" s="6" t="n"/>
      <c r="AN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1" t="n"/>
      <c r="K616" s="3" t="n"/>
      <c r="L616" s="10" t="n"/>
      <c r="M616" s="3">
        <f>IF($A616="","",IFERROR(INDEX('AJUSTES'!$B$4:$B$303,MATCH($AN616,'AJUSTES'!$A$4:$A$303,0)),IF($K616="","",$K616)))</f>
        <v/>
      </c>
      <c r="N616" s="3">
        <f>IF($A616="","",IFERROR(INDEX('CAT_ESTADOS_ERP'!$B$4:$B$7,MATCH(IFERROR(INDEX('2_IMPORTAR_EJECUCION'!$C$9:$C$1208,MATCH($AN616,'2_IMPORTAR_EJECUCION'!$J$9:$J$1208,0)),""),'CAT_ESTADOS_ERP'!$A$4:$A$7,0)),"Pendiente"))</f>
        <v/>
      </c>
      <c r="O616" s="3">
        <f>IF($J616="","",YEAR($J616+4-WEEKDAY($J616,2))&amp;"-S"&amp;TEXT(_xlfn.ISOWEEKNUM($J616),"00"))</f>
        <v/>
      </c>
      <c r="P616" s="3">
        <f>IF($J616="","",YEAR($J616))</f>
        <v/>
      </c>
      <c r="Q616" s="3">
        <f>IF($J616="","",MONTH($J616))</f>
        <v/>
      </c>
      <c r="R616" s="3">
        <f>IF($J616="","",INDEX(lista_dias,WEEKDAY($J616,2)))</f>
        <v/>
      </c>
      <c r="S616" s="3">
        <f>IF($I616="","",IFERROR(INDEX('CAT_TIPOS_OT'!$C$4:$C$7,MATCH($I616,'CAT_TIPOS_OT'!$A$4:$A$7,0)),"sin_clasificar"))</f>
        <v/>
      </c>
      <c r="T616" s="3">
        <f>IF($F616="","",IFERROR(INDEX('CAT_CENTROS_COSTO'!$E$4:$E$9,MATCH($F616,'CAT_CENTROS_COSTO'!$A$4:$A$9,0)),"(sin catálogo)"))</f>
        <v/>
      </c>
      <c r="U616" s="3">
        <f>IF($F616="","",IFERROR(INDEX('CAT_CENTROS_COSTO'!$D$4:$D$9,MATCH($F616,'CAT_CENTROS_COSTO'!$A$4:$A$9,0)),"(sin catálogo)"))</f>
        <v/>
      </c>
      <c r="V616" s="3">
        <f>IF($F616="","",IFERROR(INDEX('CAT_CENTROS_COSTO'!$F$4:$F$9,MATCH($F616,'CAT_CENTROS_COSTO'!$A$4:$A$9,0)),"(sin catálogo)"))</f>
        <v/>
      </c>
      <c r="W616" s="3">
        <f>IF($G616="","",IFERROR(INDEX('CAT_PUESTOS'!$B$4:$B$8,MATCH($G616,'CAT_PUESTOS'!$A$4:$A$8,0)),"(sin catálogo)"))</f>
        <v/>
      </c>
      <c r="X616" s="3">
        <f>IF($H616="","",IFERROR(INDEX('CAT_ACTIVIDADES'!$B$4:$B$8,MATCH($H616,'CAT_ACTIVIDADES'!$A$4:$A$8,0)),"(sin catálogo)"))</f>
        <v/>
      </c>
      <c r="Y616" s="12">
        <f>IF($J616="","",TODAY()-$J616)</f>
        <v/>
      </c>
      <c r="Z616" s="3">
        <f>IF($Y616="","",IF($Y616&lt;0,"FUTURO",IF($Y616&gt;p_dias_backlog_max,"BACKLOG","MES CORRIENTE")))</f>
        <v/>
      </c>
      <c r="AA616" s="3">
        <f>IF($Y616="",FALSE,AND($Y616&gt;p_dias_backlog_min,$Y616&lt;=p_dias_backlog_max))</f>
        <v/>
      </c>
      <c r="AB616" s="6" t="n"/>
      <c r="AC616" s="3">
        <f>IF($AB616="","",IFERROR(INDEX('ASIGNACIONES'!$F$4:$F$339,MATCH($O616&amp;"|"&amp;$R616&amp;"|"&amp;$AB616,'ASIGNACIONES'!$I$4:$I$339,0)),""))</f>
        <v/>
      </c>
      <c r="AD616" s="13">
        <f>IF($AB616="","",SUMIFS('ORDENES'!$M$4:$M$1203,'ORDENES'!$AB$4:$AB$1203,$AB616,'ORDENES'!$O$4:$O$1203,$O616,'ORDENES'!$R$4:$R$1203,$R616))</f>
        <v/>
      </c>
      <c r="AE616" s="13">
        <f>IF($AD616="","",p_factor_productividad*IFERROR(INDEX('ASIGNACIONES'!$H$4:$H$339,MATCH($O616&amp;"|"&amp;$R616&amp;"|"&amp;$AB616,'ASIGNACIONES'!$I$4:$I$339,0)),0)-$AD616)</f>
        <v/>
      </c>
      <c r="AF616" s="10">
        <f>IF($A616="","",IFERROR(INDEX('2_IMPORTAR_EJECUCION'!$F$9:$F$1208,MATCH($AN616,'2_IMPORTAR_EJECUCION'!$J$9:$J$1208,0)),0))</f>
        <v/>
      </c>
      <c r="AG616" s="10">
        <f>IF($A616="","",MAX(0,IFERROR(INDEX('2_IMPORTAR_EJECUCION'!$H$9:$H$1208,MATCH($AN616,'2_IMPORTAR_EJECUCION'!$J$9:$J$1208,0)),0)-$AF616))</f>
        <v/>
      </c>
      <c r="AH616" s="10">
        <f>IF($A616="","",$AF616+$AG616)</f>
        <v/>
      </c>
      <c r="AI616" s="6" t="n"/>
      <c r="AJ616" s="6" t="n"/>
      <c r="AK616" s="6" t="n"/>
      <c r="AL616" s="3">
        <f>IF($AK616="","",HYPERLINK(p_ruta_base_checklists&amp;$AK616,"abrir"))</f>
        <v/>
      </c>
      <c r="AM616" s="6" t="n"/>
      <c r="AN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1" t="n"/>
      <c r="K617" s="3" t="n"/>
      <c r="L617" s="10" t="n"/>
      <c r="M617" s="3">
        <f>IF($A617="","",IFERROR(INDEX('AJUSTES'!$B$4:$B$303,MATCH($AN617,'AJUSTES'!$A$4:$A$303,0)),IF($K617="","",$K617)))</f>
        <v/>
      </c>
      <c r="N617" s="3">
        <f>IF($A617="","",IFERROR(INDEX('CAT_ESTADOS_ERP'!$B$4:$B$7,MATCH(IFERROR(INDEX('2_IMPORTAR_EJECUCION'!$C$9:$C$1208,MATCH($AN617,'2_IMPORTAR_EJECUCION'!$J$9:$J$1208,0)),""),'CAT_ESTADOS_ERP'!$A$4:$A$7,0)),"Pendiente"))</f>
        <v/>
      </c>
      <c r="O617" s="3">
        <f>IF($J617="","",YEAR($J617+4-WEEKDAY($J617,2))&amp;"-S"&amp;TEXT(_xlfn.ISOWEEKNUM($J617),"00"))</f>
        <v/>
      </c>
      <c r="P617" s="3">
        <f>IF($J617="","",YEAR($J617))</f>
        <v/>
      </c>
      <c r="Q617" s="3">
        <f>IF($J617="","",MONTH($J617))</f>
        <v/>
      </c>
      <c r="R617" s="3">
        <f>IF($J617="","",INDEX(lista_dias,WEEKDAY($J617,2)))</f>
        <v/>
      </c>
      <c r="S617" s="3">
        <f>IF($I617="","",IFERROR(INDEX('CAT_TIPOS_OT'!$C$4:$C$7,MATCH($I617,'CAT_TIPOS_OT'!$A$4:$A$7,0)),"sin_clasificar"))</f>
        <v/>
      </c>
      <c r="T617" s="3">
        <f>IF($F617="","",IFERROR(INDEX('CAT_CENTROS_COSTO'!$E$4:$E$9,MATCH($F617,'CAT_CENTROS_COSTO'!$A$4:$A$9,0)),"(sin catálogo)"))</f>
        <v/>
      </c>
      <c r="U617" s="3">
        <f>IF($F617="","",IFERROR(INDEX('CAT_CENTROS_COSTO'!$D$4:$D$9,MATCH($F617,'CAT_CENTROS_COSTO'!$A$4:$A$9,0)),"(sin catálogo)"))</f>
        <v/>
      </c>
      <c r="V617" s="3">
        <f>IF($F617="","",IFERROR(INDEX('CAT_CENTROS_COSTO'!$F$4:$F$9,MATCH($F617,'CAT_CENTROS_COSTO'!$A$4:$A$9,0)),"(sin catálogo)"))</f>
        <v/>
      </c>
      <c r="W617" s="3">
        <f>IF($G617="","",IFERROR(INDEX('CAT_PUESTOS'!$B$4:$B$8,MATCH($G617,'CAT_PUESTOS'!$A$4:$A$8,0)),"(sin catálogo)"))</f>
        <v/>
      </c>
      <c r="X617" s="3">
        <f>IF($H617="","",IFERROR(INDEX('CAT_ACTIVIDADES'!$B$4:$B$8,MATCH($H617,'CAT_ACTIVIDADES'!$A$4:$A$8,0)),"(sin catálogo)"))</f>
        <v/>
      </c>
      <c r="Y617" s="12">
        <f>IF($J617="","",TODAY()-$J617)</f>
        <v/>
      </c>
      <c r="Z617" s="3">
        <f>IF($Y617="","",IF($Y617&lt;0,"FUTURO",IF($Y617&gt;p_dias_backlog_max,"BACKLOG","MES CORRIENTE")))</f>
        <v/>
      </c>
      <c r="AA617" s="3">
        <f>IF($Y617="",FALSE,AND($Y617&gt;p_dias_backlog_min,$Y617&lt;=p_dias_backlog_max))</f>
        <v/>
      </c>
      <c r="AB617" s="6" t="n"/>
      <c r="AC617" s="3">
        <f>IF($AB617="","",IFERROR(INDEX('ASIGNACIONES'!$F$4:$F$339,MATCH($O617&amp;"|"&amp;$R617&amp;"|"&amp;$AB617,'ASIGNACIONES'!$I$4:$I$339,0)),""))</f>
        <v/>
      </c>
      <c r="AD617" s="13">
        <f>IF($AB617="","",SUMIFS('ORDENES'!$M$4:$M$1203,'ORDENES'!$AB$4:$AB$1203,$AB617,'ORDENES'!$O$4:$O$1203,$O617,'ORDENES'!$R$4:$R$1203,$R617))</f>
        <v/>
      </c>
      <c r="AE617" s="13">
        <f>IF($AD617="","",p_factor_productividad*IFERROR(INDEX('ASIGNACIONES'!$H$4:$H$339,MATCH($O617&amp;"|"&amp;$R617&amp;"|"&amp;$AB617,'ASIGNACIONES'!$I$4:$I$339,0)),0)-$AD617)</f>
        <v/>
      </c>
      <c r="AF617" s="10">
        <f>IF($A617="","",IFERROR(INDEX('2_IMPORTAR_EJECUCION'!$F$9:$F$1208,MATCH($AN617,'2_IMPORTAR_EJECUCION'!$J$9:$J$1208,0)),0))</f>
        <v/>
      </c>
      <c r="AG617" s="10">
        <f>IF($A617="","",MAX(0,IFERROR(INDEX('2_IMPORTAR_EJECUCION'!$H$9:$H$1208,MATCH($AN617,'2_IMPORTAR_EJECUCION'!$J$9:$J$1208,0)),0)-$AF617))</f>
        <v/>
      </c>
      <c r="AH617" s="10">
        <f>IF($A617="","",$AF617+$AG617)</f>
        <v/>
      </c>
      <c r="AI617" s="6" t="n"/>
      <c r="AJ617" s="6" t="n"/>
      <c r="AK617" s="6" t="n"/>
      <c r="AL617" s="3">
        <f>IF($AK617="","",HYPERLINK(p_ruta_base_checklists&amp;$AK617,"abrir"))</f>
        <v/>
      </c>
      <c r="AM617" s="6" t="n"/>
      <c r="AN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1" t="n"/>
      <c r="K618" s="3" t="n"/>
      <c r="L618" s="10" t="n"/>
      <c r="M618" s="3">
        <f>IF($A618="","",IFERROR(INDEX('AJUSTES'!$B$4:$B$303,MATCH($AN618,'AJUSTES'!$A$4:$A$303,0)),IF($K618="","",$K618)))</f>
        <v/>
      </c>
      <c r="N618" s="3">
        <f>IF($A618="","",IFERROR(INDEX('CAT_ESTADOS_ERP'!$B$4:$B$7,MATCH(IFERROR(INDEX('2_IMPORTAR_EJECUCION'!$C$9:$C$1208,MATCH($AN618,'2_IMPORTAR_EJECUCION'!$J$9:$J$1208,0)),""),'CAT_ESTADOS_ERP'!$A$4:$A$7,0)),"Pendiente"))</f>
        <v/>
      </c>
      <c r="O618" s="3">
        <f>IF($J618="","",YEAR($J618+4-WEEKDAY($J618,2))&amp;"-S"&amp;TEXT(_xlfn.ISOWEEKNUM($J618),"00"))</f>
        <v/>
      </c>
      <c r="P618" s="3">
        <f>IF($J618="","",YEAR($J618))</f>
        <v/>
      </c>
      <c r="Q618" s="3">
        <f>IF($J618="","",MONTH($J618))</f>
        <v/>
      </c>
      <c r="R618" s="3">
        <f>IF($J618="","",INDEX(lista_dias,WEEKDAY($J618,2)))</f>
        <v/>
      </c>
      <c r="S618" s="3">
        <f>IF($I618="","",IFERROR(INDEX('CAT_TIPOS_OT'!$C$4:$C$7,MATCH($I618,'CAT_TIPOS_OT'!$A$4:$A$7,0)),"sin_clasificar"))</f>
        <v/>
      </c>
      <c r="T618" s="3">
        <f>IF($F618="","",IFERROR(INDEX('CAT_CENTROS_COSTO'!$E$4:$E$9,MATCH($F618,'CAT_CENTROS_COSTO'!$A$4:$A$9,0)),"(sin catálogo)"))</f>
        <v/>
      </c>
      <c r="U618" s="3">
        <f>IF($F618="","",IFERROR(INDEX('CAT_CENTROS_COSTO'!$D$4:$D$9,MATCH($F618,'CAT_CENTROS_COSTO'!$A$4:$A$9,0)),"(sin catálogo)"))</f>
        <v/>
      </c>
      <c r="V618" s="3">
        <f>IF($F618="","",IFERROR(INDEX('CAT_CENTROS_COSTO'!$F$4:$F$9,MATCH($F618,'CAT_CENTROS_COSTO'!$A$4:$A$9,0)),"(sin catálogo)"))</f>
        <v/>
      </c>
      <c r="W618" s="3">
        <f>IF($G618="","",IFERROR(INDEX('CAT_PUESTOS'!$B$4:$B$8,MATCH($G618,'CAT_PUESTOS'!$A$4:$A$8,0)),"(sin catálogo)"))</f>
        <v/>
      </c>
      <c r="X618" s="3">
        <f>IF($H618="","",IFERROR(INDEX('CAT_ACTIVIDADES'!$B$4:$B$8,MATCH($H618,'CAT_ACTIVIDADES'!$A$4:$A$8,0)),"(sin catálogo)"))</f>
        <v/>
      </c>
      <c r="Y618" s="12">
        <f>IF($J618="","",TODAY()-$J618)</f>
        <v/>
      </c>
      <c r="Z618" s="3">
        <f>IF($Y618="","",IF($Y618&lt;0,"FUTURO",IF($Y618&gt;p_dias_backlog_max,"BACKLOG","MES CORRIENTE")))</f>
        <v/>
      </c>
      <c r="AA618" s="3">
        <f>IF($Y618="",FALSE,AND($Y618&gt;p_dias_backlog_min,$Y618&lt;=p_dias_backlog_max))</f>
        <v/>
      </c>
      <c r="AB618" s="6" t="n"/>
      <c r="AC618" s="3">
        <f>IF($AB618="","",IFERROR(INDEX('ASIGNACIONES'!$F$4:$F$339,MATCH($O618&amp;"|"&amp;$R618&amp;"|"&amp;$AB618,'ASIGNACIONES'!$I$4:$I$339,0)),""))</f>
        <v/>
      </c>
      <c r="AD618" s="13">
        <f>IF($AB618="","",SUMIFS('ORDENES'!$M$4:$M$1203,'ORDENES'!$AB$4:$AB$1203,$AB618,'ORDENES'!$O$4:$O$1203,$O618,'ORDENES'!$R$4:$R$1203,$R618))</f>
        <v/>
      </c>
      <c r="AE618" s="13">
        <f>IF($AD618="","",p_factor_productividad*IFERROR(INDEX('ASIGNACIONES'!$H$4:$H$339,MATCH($O618&amp;"|"&amp;$R618&amp;"|"&amp;$AB618,'ASIGNACIONES'!$I$4:$I$339,0)),0)-$AD618)</f>
        <v/>
      </c>
      <c r="AF618" s="10">
        <f>IF($A618="","",IFERROR(INDEX('2_IMPORTAR_EJECUCION'!$F$9:$F$1208,MATCH($AN618,'2_IMPORTAR_EJECUCION'!$J$9:$J$1208,0)),0))</f>
        <v/>
      </c>
      <c r="AG618" s="10">
        <f>IF($A618="","",MAX(0,IFERROR(INDEX('2_IMPORTAR_EJECUCION'!$H$9:$H$1208,MATCH($AN618,'2_IMPORTAR_EJECUCION'!$J$9:$J$1208,0)),0)-$AF618))</f>
        <v/>
      </c>
      <c r="AH618" s="10">
        <f>IF($A618="","",$AF618+$AG618)</f>
        <v/>
      </c>
      <c r="AI618" s="6" t="n"/>
      <c r="AJ618" s="6" t="n"/>
      <c r="AK618" s="6" t="n"/>
      <c r="AL618" s="3">
        <f>IF($AK618="","",HYPERLINK(p_ruta_base_checklists&amp;$AK618,"abrir"))</f>
        <v/>
      </c>
      <c r="AM618" s="6" t="n"/>
      <c r="AN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1" t="n"/>
      <c r="K619" s="3" t="n"/>
      <c r="L619" s="10" t="n"/>
      <c r="M619" s="3">
        <f>IF($A619="","",IFERROR(INDEX('AJUSTES'!$B$4:$B$303,MATCH($AN619,'AJUSTES'!$A$4:$A$303,0)),IF($K619="","",$K619)))</f>
        <v/>
      </c>
      <c r="N619" s="3">
        <f>IF($A619="","",IFERROR(INDEX('CAT_ESTADOS_ERP'!$B$4:$B$7,MATCH(IFERROR(INDEX('2_IMPORTAR_EJECUCION'!$C$9:$C$1208,MATCH($AN619,'2_IMPORTAR_EJECUCION'!$J$9:$J$1208,0)),""),'CAT_ESTADOS_ERP'!$A$4:$A$7,0)),"Pendiente"))</f>
        <v/>
      </c>
      <c r="O619" s="3">
        <f>IF($J619="","",YEAR($J619+4-WEEKDAY($J619,2))&amp;"-S"&amp;TEXT(_xlfn.ISOWEEKNUM($J619),"00"))</f>
        <v/>
      </c>
      <c r="P619" s="3">
        <f>IF($J619="","",YEAR($J619))</f>
        <v/>
      </c>
      <c r="Q619" s="3">
        <f>IF($J619="","",MONTH($J619))</f>
        <v/>
      </c>
      <c r="R619" s="3">
        <f>IF($J619="","",INDEX(lista_dias,WEEKDAY($J619,2)))</f>
        <v/>
      </c>
      <c r="S619" s="3">
        <f>IF($I619="","",IFERROR(INDEX('CAT_TIPOS_OT'!$C$4:$C$7,MATCH($I619,'CAT_TIPOS_OT'!$A$4:$A$7,0)),"sin_clasificar"))</f>
        <v/>
      </c>
      <c r="T619" s="3">
        <f>IF($F619="","",IFERROR(INDEX('CAT_CENTROS_COSTO'!$E$4:$E$9,MATCH($F619,'CAT_CENTROS_COSTO'!$A$4:$A$9,0)),"(sin catálogo)"))</f>
        <v/>
      </c>
      <c r="U619" s="3">
        <f>IF($F619="","",IFERROR(INDEX('CAT_CENTROS_COSTO'!$D$4:$D$9,MATCH($F619,'CAT_CENTROS_COSTO'!$A$4:$A$9,0)),"(sin catálogo)"))</f>
        <v/>
      </c>
      <c r="V619" s="3">
        <f>IF($F619="","",IFERROR(INDEX('CAT_CENTROS_COSTO'!$F$4:$F$9,MATCH($F619,'CAT_CENTROS_COSTO'!$A$4:$A$9,0)),"(sin catálogo)"))</f>
        <v/>
      </c>
      <c r="W619" s="3">
        <f>IF($G619="","",IFERROR(INDEX('CAT_PUESTOS'!$B$4:$B$8,MATCH($G619,'CAT_PUESTOS'!$A$4:$A$8,0)),"(sin catálogo)"))</f>
        <v/>
      </c>
      <c r="X619" s="3">
        <f>IF($H619="","",IFERROR(INDEX('CAT_ACTIVIDADES'!$B$4:$B$8,MATCH($H619,'CAT_ACTIVIDADES'!$A$4:$A$8,0)),"(sin catálogo)"))</f>
        <v/>
      </c>
      <c r="Y619" s="12">
        <f>IF($J619="","",TODAY()-$J619)</f>
        <v/>
      </c>
      <c r="Z619" s="3">
        <f>IF($Y619="","",IF($Y619&lt;0,"FUTURO",IF($Y619&gt;p_dias_backlog_max,"BACKLOG","MES CORRIENTE")))</f>
        <v/>
      </c>
      <c r="AA619" s="3">
        <f>IF($Y619="",FALSE,AND($Y619&gt;p_dias_backlog_min,$Y619&lt;=p_dias_backlog_max))</f>
        <v/>
      </c>
      <c r="AB619" s="6" t="n"/>
      <c r="AC619" s="3">
        <f>IF($AB619="","",IFERROR(INDEX('ASIGNACIONES'!$F$4:$F$339,MATCH($O619&amp;"|"&amp;$R619&amp;"|"&amp;$AB619,'ASIGNACIONES'!$I$4:$I$339,0)),""))</f>
        <v/>
      </c>
      <c r="AD619" s="13">
        <f>IF($AB619="","",SUMIFS('ORDENES'!$M$4:$M$1203,'ORDENES'!$AB$4:$AB$1203,$AB619,'ORDENES'!$O$4:$O$1203,$O619,'ORDENES'!$R$4:$R$1203,$R619))</f>
        <v/>
      </c>
      <c r="AE619" s="13">
        <f>IF($AD619="","",p_factor_productividad*IFERROR(INDEX('ASIGNACIONES'!$H$4:$H$339,MATCH($O619&amp;"|"&amp;$R619&amp;"|"&amp;$AB619,'ASIGNACIONES'!$I$4:$I$339,0)),0)-$AD619)</f>
        <v/>
      </c>
      <c r="AF619" s="10">
        <f>IF($A619="","",IFERROR(INDEX('2_IMPORTAR_EJECUCION'!$F$9:$F$1208,MATCH($AN619,'2_IMPORTAR_EJECUCION'!$J$9:$J$1208,0)),0))</f>
        <v/>
      </c>
      <c r="AG619" s="10">
        <f>IF($A619="","",MAX(0,IFERROR(INDEX('2_IMPORTAR_EJECUCION'!$H$9:$H$1208,MATCH($AN619,'2_IMPORTAR_EJECUCION'!$J$9:$J$1208,0)),0)-$AF619))</f>
        <v/>
      </c>
      <c r="AH619" s="10">
        <f>IF($A619="","",$AF619+$AG619)</f>
        <v/>
      </c>
      <c r="AI619" s="6" t="n"/>
      <c r="AJ619" s="6" t="n"/>
      <c r="AK619" s="6" t="n"/>
      <c r="AL619" s="3">
        <f>IF($AK619="","",HYPERLINK(p_ruta_base_checklists&amp;$AK619,"abrir"))</f>
        <v/>
      </c>
      <c r="AM619" s="6" t="n"/>
      <c r="AN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1" t="n"/>
      <c r="K620" s="3" t="n"/>
      <c r="L620" s="10" t="n"/>
      <c r="M620" s="3">
        <f>IF($A620="","",IFERROR(INDEX('AJUSTES'!$B$4:$B$303,MATCH($AN620,'AJUSTES'!$A$4:$A$303,0)),IF($K620="","",$K620)))</f>
        <v/>
      </c>
      <c r="N620" s="3">
        <f>IF($A620="","",IFERROR(INDEX('CAT_ESTADOS_ERP'!$B$4:$B$7,MATCH(IFERROR(INDEX('2_IMPORTAR_EJECUCION'!$C$9:$C$1208,MATCH($AN620,'2_IMPORTAR_EJECUCION'!$J$9:$J$1208,0)),""),'CAT_ESTADOS_ERP'!$A$4:$A$7,0)),"Pendiente"))</f>
        <v/>
      </c>
      <c r="O620" s="3">
        <f>IF($J620="","",YEAR($J620+4-WEEKDAY($J620,2))&amp;"-S"&amp;TEXT(_xlfn.ISOWEEKNUM($J620),"00"))</f>
        <v/>
      </c>
      <c r="P620" s="3">
        <f>IF($J620="","",YEAR($J620))</f>
        <v/>
      </c>
      <c r="Q620" s="3">
        <f>IF($J620="","",MONTH($J620))</f>
        <v/>
      </c>
      <c r="R620" s="3">
        <f>IF($J620="","",INDEX(lista_dias,WEEKDAY($J620,2)))</f>
        <v/>
      </c>
      <c r="S620" s="3">
        <f>IF($I620="","",IFERROR(INDEX('CAT_TIPOS_OT'!$C$4:$C$7,MATCH($I620,'CAT_TIPOS_OT'!$A$4:$A$7,0)),"sin_clasificar"))</f>
        <v/>
      </c>
      <c r="T620" s="3">
        <f>IF($F620="","",IFERROR(INDEX('CAT_CENTROS_COSTO'!$E$4:$E$9,MATCH($F620,'CAT_CENTROS_COSTO'!$A$4:$A$9,0)),"(sin catálogo)"))</f>
        <v/>
      </c>
      <c r="U620" s="3">
        <f>IF($F620="","",IFERROR(INDEX('CAT_CENTROS_COSTO'!$D$4:$D$9,MATCH($F620,'CAT_CENTROS_COSTO'!$A$4:$A$9,0)),"(sin catálogo)"))</f>
        <v/>
      </c>
      <c r="V620" s="3">
        <f>IF($F620="","",IFERROR(INDEX('CAT_CENTROS_COSTO'!$F$4:$F$9,MATCH($F620,'CAT_CENTROS_COSTO'!$A$4:$A$9,0)),"(sin catálogo)"))</f>
        <v/>
      </c>
      <c r="W620" s="3">
        <f>IF($G620="","",IFERROR(INDEX('CAT_PUESTOS'!$B$4:$B$8,MATCH($G620,'CAT_PUESTOS'!$A$4:$A$8,0)),"(sin catálogo)"))</f>
        <v/>
      </c>
      <c r="X620" s="3">
        <f>IF($H620="","",IFERROR(INDEX('CAT_ACTIVIDADES'!$B$4:$B$8,MATCH($H620,'CAT_ACTIVIDADES'!$A$4:$A$8,0)),"(sin catálogo)"))</f>
        <v/>
      </c>
      <c r="Y620" s="12">
        <f>IF($J620="","",TODAY()-$J620)</f>
        <v/>
      </c>
      <c r="Z620" s="3">
        <f>IF($Y620="","",IF($Y620&lt;0,"FUTURO",IF($Y620&gt;p_dias_backlog_max,"BACKLOG","MES CORRIENTE")))</f>
        <v/>
      </c>
      <c r="AA620" s="3">
        <f>IF($Y620="",FALSE,AND($Y620&gt;p_dias_backlog_min,$Y620&lt;=p_dias_backlog_max))</f>
        <v/>
      </c>
      <c r="AB620" s="6" t="n"/>
      <c r="AC620" s="3">
        <f>IF($AB620="","",IFERROR(INDEX('ASIGNACIONES'!$F$4:$F$339,MATCH($O620&amp;"|"&amp;$R620&amp;"|"&amp;$AB620,'ASIGNACIONES'!$I$4:$I$339,0)),""))</f>
        <v/>
      </c>
      <c r="AD620" s="13">
        <f>IF($AB620="","",SUMIFS('ORDENES'!$M$4:$M$1203,'ORDENES'!$AB$4:$AB$1203,$AB620,'ORDENES'!$O$4:$O$1203,$O620,'ORDENES'!$R$4:$R$1203,$R620))</f>
        <v/>
      </c>
      <c r="AE620" s="13">
        <f>IF($AD620="","",p_factor_productividad*IFERROR(INDEX('ASIGNACIONES'!$H$4:$H$339,MATCH($O620&amp;"|"&amp;$R620&amp;"|"&amp;$AB620,'ASIGNACIONES'!$I$4:$I$339,0)),0)-$AD620)</f>
        <v/>
      </c>
      <c r="AF620" s="10">
        <f>IF($A620="","",IFERROR(INDEX('2_IMPORTAR_EJECUCION'!$F$9:$F$1208,MATCH($AN620,'2_IMPORTAR_EJECUCION'!$J$9:$J$1208,0)),0))</f>
        <v/>
      </c>
      <c r="AG620" s="10">
        <f>IF($A620="","",MAX(0,IFERROR(INDEX('2_IMPORTAR_EJECUCION'!$H$9:$H$1208,MATCH($AN620,'2_IMPORTAR_EJECUCION'!$J$9:$J$1208,0)),0)-$AF620))</f>
        <v/>
      </c>
      <c r="AH620" s="10">
        <f>IF($A620="","",$AF620+$AG620)</f>
        <v/>
      </c>
      <c r="AI620" s="6" t="n"/>
      <c r="AJ620" s="6" t="n"/>
      <c r="AK620" s="6" t="n"/>
      <c r="AL620" s="3">
        <f>IF($AK620="","",HYPERLINK(p_ruta_base_checklists&amp;$AK620,"abrir"))</f>
        <v/>
      </c>
      <c r="AM620" s="6" t="n"/>
      <c r="AN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1" t="n"/>
      <c r="K621" s="3" t="n"/>
      <c r="L621" s="10" t="n"/>
      <c r="M621" s="3">
        <f>IF($A621="","",IFERROR(INDEX('AJUSTES'!$B$4:$B$303,MATCH($AN621,'AJUSTES'!$A$4:$A$303,0)),IF($K621="","",$K621)))</f>
        <v/>
      </c>
      <c r="N621" s="3">
        <f>IF($A621="","",IFERROR(INDEX('CAT_ESTADOS_ERP'!$B$4:$B$7,MATCH(IFERROR(INDEX('2_IMPORTAR_EJECUCION'!$C$9:$C$1208,MATCH($AN621,'2_IMPORTAR_EJECUCION'!$J$9:$J$1208,0)),""),'CAT_ESTADOS_ERP'!$A$4:$A$7,0)),"Pendiente"))</f>
        <v/>
      </c>
      <c r="O621" s="3">
        <f>IF($J621="","",YEAR($J621+4-WEEKDAY($J621,2))&amp;"-S"&amp;TEXT(_xlfn.ISOWEEKNUM($J621),"00"))</f>
        <v/>
      </c>
      <c r="P621" s="3">
        <f>IF($J621="","",YEAR($J621))</f>
        <v/>
      </c>
      <c r="Q621" s="3">
        <f>IF($J621="","",MONTH($J621))</f>
        <v/>
      </c>
      <c r="R621" s="3">
        <f>IF($J621="","",INDEX(lista_dias,WEEKDAY($J621,2)))</f>
        <v/>
      </c>
      <c r="S621" s="3">
        <f>IF($I621="","",IFERROR(INDEX('CAT_TIPOS_OT'!$C$4:$C$7,MATCH($I621,'CAT_TIPOS_OT'!$A$4:$A$7,0)),"sin_clasificar"))</f>
        <v/>
      </c>
      <c r="T621" s="3">
        <f>IF($F621="","",IFERROR(INDEX('CAT_CENTROS_COSTO'!$E$4:$E$9,MATCH($F621,'CAT_CENTROS_COSTO'!$A$4:$A$9,0)),"(sin catálogo)"))</f>
        <v/>
      </c>
      <c r="U621" s="3">
        <f>IF($F621="","",IFERROR(INDEX('CAT_CENTROS_COSTO'!$D$4:$D$9,MATCH($F621,'CAT_CENTROS_COSTO'!$A$4:$A$9,0)),"(sin catálogo)"))</f>
        <v/>
      </c>
      <c r="V621" s="3">
        <f>IF($F621="","",IFERROR(INDEX('CAT_CENTROS_COSTO'!$F$4:$F$9,MATCH($F621,'CAT_CENTROS_COSTO'!$A$4:$A$9,0)),"(sin catálogo)"))</f>
        <v/>
      </c>
      <c r="W621" s="3">
        <f>IF($G621="","",IFERROR(INDEX('CAT_PUESTOS'!$B$4:$B$8,MATCH($G621,'CAT_PUESTOS'!$A$4:$A$8,0)),"(sin catálogo)"))</f>
        <v/>
      </c>
      <c r="X621" s="3">
        <f>IF($H621="","",IFERROR(INDEX('CAT_ACTIVIDADES'!$B$4:$B$8,MATCH($H621,'CAT_ACTIVIDADES'!$A$4:$A$8,0)),"(sin catálogo)"))</f>
        <v/>
      </c>
      <c r="Y621" s="12">
        <f>IF($J621="","",TODAY()-$J621)</f>
        <v/>
      </c>
      <c r="Z621" s="3">
        <f>IF($Y621="","",IF($Y621&lt;0,"FUTURO",IF($Y621&gt;p_dias_backlog_max,"BACKLOG","MES CORRIENTE")))</f>
        <v/>
      </c>
      <c r="AA621" s="3">
        <f>IF($Y621="",FALSE,AND($Y621&gt;p_dias_backlog_min,$Y621&lt;=p_dias_backlog_max))</f>
        <v/>
      </c>
      <c r="AB621" s="6" t="n"/>
      <c r="AC621" s="3">
        <f>IF($AB621="","",IFERROR(INDEX('ASIGNACIONES'!$F$4:$F$339,MATCH($O621&amp;"|"&amp;$R621&amp;"|"&amp;$AB621,'ASIGNACIONES'!$I$4:$I$339,0)),""))</f>
        <v/>
      </c>
      <c r="AD621" s="13">
        <f>IF($AB621="","",SUMIFS('ORDENES'!$M$4:$M$1203,'ORDENES'!$AB$4:$AB$1203,$AB621,'ORDENES'!$O$4:$O$1203,$O621,'ORDENES'!$R$4:$R$1203,$R621))</f>
        <v/>
      </c>
      <c r="AE621" s="13">
        <f>IF($AD621="","",p_factor_productividad*IFERROR(INDEX('ASIGNACIONES'!$H$4:$H$339,MATCH($O621&amp;"|"&amp;$R621&amp;"|"&amp;$AB621,'ASIGNACIONES'!$I$4:$I$339,0)),0)-$AD621)</f>
        <v/>
      </c>
      <c r="AF621" s="10">
        <f>IF($A621="","",IFERROR(INDEX('2_IMPORTAR_EJECUCION'!$F$9:$F$1208,MATCH($AN621,'2_IMPORTAR_EJECUCION'!$J$9:$J$1208,0)),0))</f>
        <v/>
      </c>
      <c r="AG621" s="10">
        <f>IF($A621="","",MAX(0,IFERROR(INDEX('2_IMPORTAR_EJECUCION'!$H$9:$H$1208,MATCH($AN621,'2_IMPORTAR_EJECUCION'!$J$9:$J$1208,0)),0)-$AF621))</f>
        <v/>
      </c>
      <c r="AH621" s="10">
        <f>IF($A621="","",$AF621+$AG621)</f>
        <v/>
      </c>
      <c r="AI621" s="6" t="n"/>
      <c r="AJ621" s="6" t="n"/>
      <c r="AK621" s="6" t="n"/>
      <c r="AL621" s="3">
        <f>IF($AK621="","",HYPERLINK(p_ruta_base_checklists&amp;$AK621,"abrir"))</f>
        <v/>
      </c>
      <c r="AM621" s="6" t="n"/>
      <c r="AN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1" t="n"/>
      <c r="K622" s="3" t="n"/>
      <c r="L622" s="10" t="n"/>
      <c r="M622" s="3">
        <f>IF($A622="","",IFERROR(INDEX('AJUSTES'!$B$4:$B$303,MATCH($AN622,'AJUSTES'!$A$4:$A$303,0)),IF($K622="","",$K622)))</f>
        <v/>
      </c>
      <c r="N622" s="3">
        <f>IF($A622="","",IFERROR(INDEX('CAT_ESTADOS_ERP'!$B$4:$B$7,MATCH(IFERROR(INDEX('2_IMPORTAR_EJECUCION'!$C$9:$C$1208,MATCH($AN622,'2_IMPORTAR_EJECUCION'!$J$9:$J$1208,0)),""),'CAT_ESTADOS_ERP'!$A$4:$A$7,0)),"Pendiente"))</f>
        <v/>
      </c>
      <c r="O622" s="3">
        <f>IF($J622="","",YEAR($J622+4-WEEKDAY($J622,2))&amp;"-S"&amp;TEXT(_xlfn.ISOWEEKNUM($J622),"00"))</f>
        <v/>
      </c>
      <c r="P622" s="3">
        <f>IF($J622="","",YEAR($J622))</f>
        <v/>
      </c>
      <c r="Q622" s="3">
        <f>IF($J622="","",MONTH($J622))</f>
        <v/>
      </c>
      <c r="R622" s="3">
        <f>IF($J622="","",INDEX(lista_dias,WEEKDAY($J622,2)))</f>
        <v/>
      </c>
      <c r="S622" s="3">
        <f>IF($I622="","",IFERROR(INDEX('CAT_TIPOS_OT'!$C$4:$C$7,MATCH($I622,'CAT_TIPOS_OT'!$A$4:$A$7,0)),"sin_clasificar"))</f>
        <v/>
      </c>
      <c r="T622" s="3">
        <f>IF($F622="","",IFERROR(INDEX('CAT_CENTROS_COSTO'!$E$4:$E$9,MATCH($F622,'CAT_CENTROS_COSTO'!$A$4:$A$9,0)),"(sin catálogo)"))</f>
        <v/>
      </c>
      <c r="U622" s="3">
        <f>IF($F622="","",IFERROR(INDEX('CAT_CENTROS_COSTO'!$D$4:$D$9,MATCH($F622,'CAT_CENTROS_COSTO'!$A$4:$A$9,0)),"(sin catálogo)"))</f>
        <v/>
      </c>
      <c r="V622" s="3">
        <f>IF($F622="","",IFERROR(INDEX('CAT_CENTROS_COSTO'!$F$4:$F$9,MATCH($F622,'CAT_CENTROS_COSTO'!$A$4:$A$9,0)),"(sin catálogo)"))</f>
        <v/>
      </c>
      <c r="W622" s="3">
        <f>IF($G622="","",IFERROR(INDEX('CAT_PUESTOS'!$B$4:$B$8,MATCH($G622,'CAT_PUESTOS'!$A$4:$A$8,0)),"(sin catálogo)"))</f>
        <v/>
      </c>
      <c r="X622" s="3">
        <f>IF($H622="","",IFERROR(INDEX('CAT_ACTIVIDADES'!$B$4:$B$8,MATCH($H622,'CAT_ACTIVIDADES'!$A$4:$A$8,0)),"(sin catálogo)"))</f>
        <v/>
      </c>
      <c r="Y622" s="12">
        <f>IF($J622="","",TODAY()-$J622)</f>
        <v/>
      </c>
      <c r="Z622" s="3">
        <f>IF($Y622="","",IF($Y622&lt;0,"FUTURO",IF($Y622&gt;p_dias_backlog_max,"BACKLOG","MES CORRIENTE")))</f>
        <v/>
      </c>
      <c r="AA622" s="3">
        <f>IF($Y622="",FALSE,AND($Y622&gt;p_dias_backlog_min,$Y622&lt;=p_dias_backlog_max))</f>
        <v/>
      </c>
      <c r="AB622" s="6" t="n"/>
      <c r="AC622" s="3">
        <f>IF($AB622="","",IFERROR(INDEX('ASIGNACIONES'!$F$4:$F$339,MATCH($O622&amp;"|"&amp;$R622&amp;"|"&amp;$AB622,'ASIGNACIONES'!$I$4:$I$339,0)),""))</f>
        <v/>
      </c>
      <c r="AD622" s="13">
        <f>IF($AB622="","",SUMIFS('ORDENES'!$M$4:$M$1203,'ORDENES'!$AB$4:$AB$1203,$AB622,'ORDENES'!$O$4:$O$1203,$O622,'ORDENES'!$R$4:$R$1203,$R622))</f>
        <v/>
      </c>
      <c r="AE622" s="13">
        <f>IF($AD622="","",p_factor_productividad*IFERROR(INDEX('ASIGNACIONES'!$H$4:$H$339,MATCH($O622&amp;"|"&amp;$R622&amp;"|"&amp;$AB622,'ASIGNACIONES'!$I$4:$I$339,0)),0)-$AD622)</f>
        <v/>
      </c>
      <c r="AF622" s="10">
        <f>IF($A622="","",IFERROR(INDEX('2_IMPORTAR_EJECUCION'!$F$9:$F$1208,MATCH($AN622,'2_IMPORTAR_EJECUCION'!$J$9:$J$1208,0)),0))</f>
        <v/>
      </c>
      <c r="AG622" s="10">
        <f>IF($A622="","",MAX(0,IFERROR(INDEX('2_IMPORTAR_EJECUCION'!$H$9:$H$1208,MATCH($AN622,'2_IMPORTAR_EJECUCION'!$J$9:$J$1208,0)),0)-$AF622))</f>
        <v/>
      </c>
      <c r="AH622" s="10">
        <f>IF($A622="","",$AF622+$AG622)</f>
        <v/>
      </c>
      <c r="AI622" s="6" t="n"/>
      <c r="AJ622" s="6" t="n"/>
      <c r="AK622" s="6" t="n"/>
      <c r="AL622" s="3">
        <f>IF($AK622="","",HYPERLINK(p_ruta_base_checklists&amp;$AK622,"abrir"))</f>
        <v/>
      </c>
      <c r="AM622" s="6" t="n"/>
      <c r="AN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1" t="n"/>
      <c r="K623" s="3" t="n"/>
      <c r="L623" s="10" t="n"/>
      <c r="M623" s="3">
        <f>IF($A623="","",IFERROR(INDEX('AJUSTES'!$B$4:$B$303,MATCH($AN623,'AJUSTES'!$A$4:$A$303,0)),IF($K623="","",$K623)))</f>
        <v/>
      </c>
      <c r="N623" s="3">
        <f>IF($A623="","",IFERROR(INDEX('CAT_ESTADOS_ERP'!$B$4:$B$7,MATCH(IFERROR(INDEX('2_IMPORTAR_EJECUCION'!$C$9:$C$1208,MATCH($AN623,'2_IMPORTAR_EJECUCION'!$J$9:$J$1208,0)),""),'CAT_ESTADOS_ERP'!$A$4:$A$7,0)),"Pendiente"))</f>
        <v/>
      </c>
      <c r="O623" s="3">
        <f>IF($J623="","",YEAR($J623+4-WEEKDAY($J623,2))&amp;"-S"&amp;TEXT(_xlfn.ISOWEEKNUM($J623),"00"))</f>
        <v/>
      </c>
      <c r="P623" s="3">
        <f>IF($J623="","",YEAR($J623))</f>
        <v/>
      </c>
      <c r="Q623" s="3">
        <f>IF($J623="","",MONTH($J623))</f>
        <v/>
      </c>
      <c r="R623" s="3">
        <f>IF($J623="","",INDEX(lista_dias,WEEKDAY($J623,2)))</f>
        <v/>
      </c>
      <c r="S623" s="3">
        <f>IF($I623="","",IFERROR(INDEX('CAT_TIPOS_OT'!$C$4:$C$7,MATCH($I623,'CAT_TIPOS_OT'!$A$4:$A$7,0)),"sin_clasificar"))</f>
        <v/>
      </c>
      <c r="T623" s="3">
        <f>IF($F623="","",IFERROR(INDEX('CAT_CENTROS_COSTO'!$E$4:$E$9,MATCH($F623,'CAT_CENTROS_COSTO'!$A$4:$A$9,0)),"(sin catálogo)"))</f>
        <v/>
      </c>
      <c r="U623" s="3">
        <f>IF($F623="","",IFERROR(INDEX('CAT_CENTROS_COSTO'!$D$4:$D$9,MATCH($F623,'CAT_CENTROS_COSTO'!$A$4:$A$9,0)),"(sin catálogo)"))</f>
        <v/>
      </c>
      <c r="V623" s="3">
        <f>IF($F623="","",IFERROR(INDEX('CAT_CENTROS_COSTO'!$F$4:$F$9,MATCH($F623,'CAT_CENTROS_COSTO'!$A$4:$A$9,0)),"(sin catálogo)"))</f>
        <v/>
      </c>
      <c r="W623" s="3">
        <f>IF($G623="","",IFERROR(INDEX('CAT_PUESTOS'!$B$4:$B$8,MATCH($G623,'CAT_PUESTOS'!$A$4:$A$8,0)),"(sin catálogo)"))</f>
        <v/>
      </c>
      <c r="X623" s="3">
        <f>IF($H623="","",IFERROR(INDEX('CAT_ACTIVIDADES'!$B$4:$B$8,MATCH($H623,'CAT_ACTIVIDADES'!$A$4:$A$8,0)),"(sin catálogo)"))</f>
        <v/>
      </c>
      <c r="Y623" s="12">
        <f>IF($J623="","",TODAY()-$J623)</f>
        <v/>
      </c>
      <c r="Z623" s="3">
        <f>IF($Y623="","",IF($Y623&lt;0,"FUTURO",IF($Y623&gt;p_dias_backlog_max,"BACKLOG","MES CORRIENTE")))</f>
        <v/>
      </c>
      <c r="AA623" s="3">
        <f>IF($Y623="",FALSE,AND($Y623&gt;p_dias_backlog_min,$Y623&lt;=p_dias_backlog_max))</f>
        <v/>
      </c>
      <c r="AB623" s="6" t="n"/>
      <c r="AC623" s="3">
        <f>IF($AB623="","",IFERROR(INDEX('ASIGNACIONES'!$F$4:$F$339,MATCH($O623&amp;"|"&amp;$R623&amp;"|"&amp;$AB623,'ASIGNACIONES'!$I$4:$I$339,0)),""))</f>
        <v/>
      </c>
      <c r="AD623" s="13">
        <f>IF($AB623="","",SUMIFS('ORDENES'!$M$4:$M$1203,'ORDENES'!$AB$4:$AB$1203,$AB623,'ORDENES'!$O$4:$O$1203,$O623,'ORDENES'!$R$4:$R$1203,$R623))</f>
        <v/>
      </c>
      <c r="AE623" s="13">
        <f>IF($AD623="","",p_factor_productividad*IFERROR(INDEX('ASIGNACIONES'!$H$4:$H$339,MATCH($O623&amp;"|"&amp;$R623&amp;"|"&amp;$AB623,'ASIGNACIONES'!$I$4:$I$339,0)),0)-$AD623)</f>
        <v/>
      </c>
      <c r="AF623" s="10">
        <f>IF($A623="","",IFERROR(INDEX('2_IMPORTAR_EJECUCION'!$F$9:$F$1208,MATCH($AN623,'2_IMPORTAR_EJECUCION'!$J$9:$J$1208,0)),0))</f>
        <v/>
      </c>
      <c r="AG623" s="10">
        <f>IF($A623="","",MAX(0,IFERROR(INDEX('2_IMPORTAR_EJECUCION'!$H$9:$H$1208,MATCH($AN623,'2_IMPORTAR_EJECUCION'!$J$9:$J$1208,0)),0)-$AF623))</f>
        <v/>
      </c>
      <c r="AH623" s="10">
        <f>IF($A623="","",$AF623+$AG623)</f>
        <v/>
      </c>
      <c r="AI623" s="6" t="n"/>
      <c r="AJ623" s="6" t="n"/>
      <c r="AK623" s="6" t="n"/>
      <c r="AL623" s="3">
        <f>IF($AK623="","",HYPERLINK(p_ruta_base_checklists&amp;$AK623,"abrir"))</f>
        <v/>
      </c>
      <c r="AM623" s="6" t="n"/>
      <c r="AN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1" t="n"/>
      <c r="K624" s="3" t="n"/>
      <c r="L624" s="10" t="n"/>
      <c r="M624" s="3">
        <f>IF($A624="","",IFERROR(INDEX('AJUSTES'!$B$4:$B$303,MATCH($AN624,'AJUSTES'!$A$4:$A$303,0)),IF($K624="","",$K624)))</f>
        <v/>
      </c>
      <c r="N624" s="3">
        <f>IF($A624="","",IFERROR(INDEX('CAT_ESTADOS_ERP'!$B$4:$B$7,MATCH(IFERROR(INDEX('2_IMPORTAR_EJECUCION'!$C$9:$C$1208,MATCH($AN624,'2_IMPORTAR_EJECUCION'!$J$9:$J$1208,0)),""),'CAT_ESTADOS_ERP'!$A$4:$A$7,0)),"Pendiente"))</f>
        <v/>
      </c>
      <c r="O624" s="3">
        <f>IF($J624="","",YEAR($J624+4-WEEKDAY($J624,2))&amp;"-S"&amp;TEXT(_xlfn.ISOWEEKNUM($J624),"00"))</f>
        <v/>
      </c>
      <c r="P624" s="3">
        <f>IF($J624="","",YEAR($J624))</f>
        <v/>
      </c>
      <c r="Q624" s="3">
        <f>IF($J624="","",MONTH($J624))</f>
        <v/>
      </c>
      <c r="R624" s="3">
        <f>IF($J624="","",INDEX(lista_dias,WEEKDAY($J624,2)))</f>
        <v/>
      </c>
      <c r="S624" s="3">
        <f>IF($I624="","",IFERROR(INDEX('CAT_TIPOS_OT'!$C$4:$C$7,MATCH($I624,'CAT_TIPOS_OT'!$A$4:$A$7,0)),"sin_clasificar"))</f>
        <v/>
      </c>
      <c r="T624" s="3">
        <f>IF($F624="","",IFERROR(INDEX('CAT_CENTROS_COSTO'!$E$4:$E$9,MATCH($F624,'CAT_CENTROS_COSTO'!$A$4:$A$9,0)),"(sin catálogo)"))</f>
        <v/>
      </c>
      <c r="U624" s="3">
        <f>IF($F624="","",IFERROR(INDEX('CAT_CENTROS_COSTO'!$D$4:$D$9,MATCH($F624,'CAT_CENTROS_COSTO'!$A$4:$A$9,0)),"(sin catálogo)"))</f>
        <v/>
      </c>
      <c r="V624" s="3">
        <f>IF($F624="","",IFERROR(INDEX('CAT_CENTROS_COSTO'!$F$4:$F$9,MATCH($F624,'CAT_CENTROS_COSTO'!$A$4:$A$9,0)),"(sin catálogo)"))</f>
        <v/>
      </c>
      <c r="W624" s="3">
        <f>IF($G624="","",IFERROR(INDEX('CAT_PUESTOS'!$B$4:$B$8,MATCH($G624,'CAT_PUESTOS'!$A$4:$A$8,0)),"(sin catálogo)"))</f>
        <v/>
      </c>
      <c r="X624" s="3">
        <f>IF($H624="","",IFERROR(INDEX('CAT_ACTIVIDADES'!$B$4:$B$8,MATCH($H624,'CAT_ACTIVIDADES'!$A$4:$A$8,0)),"(sin catálogo)"))</f>
        <v/>
      </c>
      <c r="Y624" s="12">
        <f>IF($J624="","",TODAY()-$J624)</f>
        <v/>
      </c>
      <c r="Z624" s="3">
        <f>IF($Y624="","",IF($Y624&lt;0,"FUTURO",IF($Y624&gt;p_dias_backlog_max,"BACKLOG","MES CORRIENTE")))</f>
        <v/>
      </c>
      <c r="AA624" s="3">
        <f>IF($Y624="",FALSE,AND($Y624&gt;p_dias_backlog_min,$Y624&lt;=p_dias_backlog_max))</f>
        <v/>
      </c>
      <c r="AB624" s="6" t="n"/>
      <c r="AC624" s="3">
        <f>IF($AB624="","",IFERROR(INDEX('ASIGNACIONES'!$F$4:$F$339,MATCH($O624&amp;"|"&amp;$R624&amp;"|"&amp;$AB624,'ASIGNACIONES'!$I$4:$I$339,0)),""))</f>
        <v/>
      </c>
      <c r="AD624" s="13">
        <f>IF($AB624="","",SUMIFS('ORDENES'!$M$4:$M$1203,'ORDENES'!$AB$4:$AB$1203,$AB624,'ORDENES'!$O$4:$O$1203,$O624,'ORDENES'!$R$4:$R$1203,$R624))</f>
        <v/>
      </c>
      <c r="AE624" s="13">
        <f>IF($AD624="","",p_factor_productividad*IFERROR(INDEX('ASIGNACIONES'!$H$4:$H$339,MATCH($O624&amp;"|"&amp;$R624&amp;"|"&amp;$AB624,'ASIGNACIONES'!$I$4:$I$339,0)),0)-$AD624)</f>
        <v/>
      </c>
      <c r="AF624" s="10">
        <f>IF($A624="","",IFERROR(INDEX('2_IMPORTAR_EJECUCION'!$F$9:$F$1208,MATCH($AN624,'2_IMPORTAR_EJECUCION'!$J$9:$J$1208,0)),0))</f>
        <v/>
      </c>
      <c r="AG624" s="10">
        <f>IF($A624="","",MAX(0,IFERROR(INDEX('2_IMPORTAR_EJECUCION'!$H$9:$H$1208,MATCH($AN624,'2_IMPORTAR_EJECUCION'!$J$9:$J$1208,0)),0)-$AF624))</f>
        <v/>
      </c>
      <c r="AH624" s="10">
        <f>IF($A624="","",$AF624+$AG624)</f>
        <v/>
      </c>
      <c r="AI624" s="6" t="n"/>
      <c r="AJ624" s="6" t="n"/>
      <c r="AK624" s="6" t="n"/>
      <c r="AL624" s="3">
        <f>IF($AK624="","",HYPERLINK(p_ruta_base_checklists&amp;$AK624,"abrir"))</f>
        <v/>
      </c>
      <c r="AM624" s="6" t="n"/>
      <c r="AN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1" t="n"/>
      <c r="K625" s="3" t="n"/>
      <c r="L625" s="10" t="n"/>
      <c r="M625" s="3">
        <f>IF($A625="","",IFERROR(INDEX('AJUSTES'!$B$4:$B$303,MATCH($AN625,'AJUSTES'!$A$4:$A$303,0)),IF($K625="","",$K625)))</f>
        <v/>
      </c>
      <c r="N625" s="3">
        <f>IF($A625="","",IFERROR(INDEX('CAT_ESTADOS_ERP'!$B$4:$B$7,MATCH(IFERROR(INDEX('2_IMPORTAR_EJECUCION'!$C$9:$C$1208,MATCH($AN625,'2_IMPORTAR_EJECUCION'!$J$9:$J$1208,0)),""),'CAT_ESTADOS_ERP'!$A$4:$A$7,0)),"Pendiente"))</f>
        <v/>
      </c>
      <c r="O625" s="3">
        <f>IF($J625="","",YEAR($J625+4-WEEKDAY($J625,2))&amp;"-S"&amp;TEXT(_xlfn.ISOWEEKNUM($J625),"00"))</f>
        <v/>
      </c>
      <c r="P625" s="3">
        <f>IF($J625="","",YEAR($J625))</f>
        <v/>
      </c>
      <c r="Q625" s="3">
        <f>IF($J625="","",MONTH($J625))</f>
        <v/>
      </c>
      <c r="R625" s="3">
        <f>IF($J625="","",INDEX(lista_dias,WEEKDAY($J625,2)))</f>
        <v/>
      </c>
      <c r="S625" s="3">
        <f>IF($I625="","",IFERROR(INDEX('CAT_TIPOS_OT'!$C$4:$C$7,MATCH($I625,'CAT_TIPOS_OT'!$A$4:$A$7,0)),"sin_clasificar"))</f>
        <v/>
      </c>
      <c r="T625" s="3">
        <f>IF($F625="","",IFERROR(INDEX('CAT_CENTROS_COSTO'!$E$4:$E$9,MATCH($F625,'CAT_CENTROS_COSTO'!$A$4:$A$9,0)),"(sin catálogo)"))</f>
        <v/>
      </c>
      <c r="U625" s="3">
        <f>IF($F625="","",IFERROR(INDEX('CAT_CENTROS_COSTO'!$D$4:$D$9,MATCH($F625,'CAT_CENTROS_COSTO'!$A$4:$A$9,0)),"(sin catálogo)"))</f>
        <v/>
      </c>
      <c r="V625" s="3">
        <f>IF($F625="","",IFERROR(INDEX('CAT_CENTROS_COSTO'!$F$4:$F$9,MATCH($F625,'CAT_CENTROS_COSTO'!$A$4:$A$9,0)),"(sin catálogo)"))</f>
        <v/>
      </c>
      <c r="W625" s="3">
        <f>IF($G625="","",IFERROR(INDEX('CAT_PUESTOS'!$B$4:$B$8,MATCH($G625,'CAT_PUESTOS'!$A$4:$A$8,0)),"(sin catálogo)"))</f>
        <v/>
      </c>
      <c r="X625" s="3">
        <f>IF($H625="","",IFERROR(INDEX('CAT_ACTIVIDADES'!$B$4:$B$8,MATCH($H625,'CAT_ACTIVIDADES'!$A$4:$A$8,0)),"(sin catálogo)"))</f>
        <v/>
      </c>
      <c r="Y625" s="12">
        <f>IF($J625="","",TODAY()-$J625)</f>
        <v/>
      </c>
      <c r="Z625" s="3">
        <f>IF($Y625="","",IF($Y625&lt;0,"FUTURO",IF($Y625&gt;p_dias_backlog_max,"BACKLOG","MES CORRIENTE")))</f>
        <v/>
      </c>
      <c r="AA625" s="3">
        <f>IF($Y625="",FALSE,AND($Y625&gt;p_dias_backlog_min,$Y625&lt;=p_dias_backlog_max))</f>
        <v/>
      </c>
      <c r="AB625" s="6" t="n"/>
      <c r="AC625" s="3">
        <f>IF($AB625="","",IFERROR(INDEX('ASIGNACIONES'!$F$4:$F$339,MATCH($O625&amp;"|"&amp;$R625&amp;"|"&amp;$AB625,'ASIGNACIONES'!$I$4:$I$339,0)),""))</f>
        <v/>
      </c>
      <c r="AD625" s="13">
        <f>IF($AB625="","",SUMIFS('ORDENES'!$M$4:$M$1203,'ORDENES'!$AB$4:$AB$1203,$AB625,'ORDENES'!$O$4:$O$1203,$O625,'ORDENES'!$R$4:$R$1203,$R625))</f>
        <v/>
      </c>
      <c r="AE625" s="13">
        <f>IF($AD625="","",p_factor_productividad*IFERROR(INDEX('ASIGNACIONES'!$H$4:$H$339,MATCH($O625&amp;"|"&amp;$R625&amp;"|"&amp;$AB625,'ASIGNACIONES'!$I$4:$I$339,0)),0)-$AD625)</f>
        <v/>
      </c>
      <c r="AF625" s="10">
        <f>IF($A625="","",IFERROR(INDEX('2_IMPORTAR_EJECUCION'!$F$9:$F$1208,MATCH($AN625,'2_IMPORTAR_EJECUCION'!$J$9:$J$1208,0)),0))</f>
        <v/>
      </c>
      <c r="AG625" s="10">
        <f>IF($A625="","",MAX(0,IFERROR(INDEX('2_IMPORTAR_EJECUCION'!$H$9:$H$1208,MATCH($AN625,'2_IMPORTAR_EJECUCION'!$J$9:$J$1208,0)),0)-$AF625))</f>
        <v/>
      </c>
      <c r="AH625" s="10">
        <f>IF($A625="","",$AF625+$AG625)</f>
        <v/>
      </c>
      <c r="AI625" s="6" t="n"/>
      <c r="AJ625" s="6" t="n"/>
      <c r="AK625" s="6" t="n"/>
      <c r="AL625" s="3">
        <f>IF($AK625="","",HYPERLINK(p_ruta_base_checklists&amp;$AK625,"abrir"))</f>
        <v/>
      </c>
      <c r="AM625" s="6" t="n"/>
      <c r="AN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1" t="n"/>
      <c r="K626" s="3" t="n"/>
      <c r="L626" s="10" t="n"/>
      <c r="M626" s="3">
        <f>IF($A626="","",IFERROR(INDEX('AJUSTES'!$B$4:$B$303,MATCH($AN626,'AJUSTES'!$A$4:$A$303,0)),IF($K626="","",$K626)))</f>
        <v/>
      </c>
      <c r="N626" s="3">
        <f>IF($A626="","",IFERROR(INDEX('CAT_ESTADOS_ERP'!$B$4:$B$7,MATCH(IFERROR(INDEX('2_IMPORTAR_EJECUCION'!$C$9:$C$1208,MATCH($AN626,'2_IMPORTAR_EJECUCION'!$J$9:$J$1208,0)),""),'CAT_ESTADOS_ERP'!$A$4:$A$7,0)),"Pendiente"))</f>
        <v/>
      </c>
      <c r="O626" s="3">
        <f>IF($J626="","",YEAR($J626+4-WEEKDAY($J626,2))&amp;"-S"&amp;TEXT(_xlfn.ISOWEEKNUM($J626),"00"))</f>
        <v/>
      </c>
      <c r="P626" s="3">
        <f>IF($J626="","",YEAR($J626))</f>
        <v/>
      </c>
      <c r="Q626" s="3">
        <f>IF($J626="","",MONTH($J626))</f>
        <v/>
      </c>
      <c r="R626" s="3">
        <f>IF($J626="","",INDEX(lista_dias,WEEKDAY($J626,2)))</f>
        <v/>
      </c>
      <c r="S626" s="3">
        <f>IF($I626="","",IFERROR(INDEX('CAT_TIPOS_OT'!$C$4:$C$7,MATCH($I626,'CAT_TIPOS_OT'!$A$4:$A$7,0)),"sin_clasificar"))</f>
        <v/>
      </c>
      <c r="T626" s="3">
        <f>IF($F626="","",IFERROR(INDEX('CAT_CENTROS_COSTO'!$E$4:$E$9,MATCH($F626,'CAT_CENTROS_COSTO'!$A$4:$A$9,0)),"(sin catálogo)"))</f>
        <v/>
      </c>
      <c r="U626" s="3">
        <f>IF($F626="","",IFERROR(INDEX('CAT_CENTROS_COSTO'!$D$4:$D$9,MATCH($F626,'CAT_CENTROS_COSTO'!$A$4:$A$9,0)),"(sin catálogo)"))</f>
        <v/>
      </c>
      <c r="V626" s="3">
        <f>IF($F626="","",IFERROR(INDEX('CAT_CENTROS_COSTO'!$F$4:$F$9,MATCH($F626,'CAT_CENTROS_COSTO'!$A$4:$A$9,0)),"(sin catálogo)"))</f>
        <v/>
      </c>
      <c r="W626" s="3">
        <f>IF($G626="","",IFERROR(INDEX('CAT_PUESTOS'!$B$4:$B$8,MATCH($G626,'CAT_PUESTOS'!$A$4:$A$8,0)),"(sin catálogo)"))</f>
        <v/>
      </c>
      <c r="X626" s="3">
        <f>IF($H626="","",IFERROR(INDEX('CAT_ACTIVIDADES'!$B$4:$B$8,MATCH($H626,'CAT_ACTIVIDADES'!$A$4:$A$8,0)),"(sin catálogo)"))</f>
        <v/>
      </c>
      <c r="Y626" s="12">
        <f>IF($J626="","",TODAY()-$J626)</f>
        <v/>
      </c>
      <c r="Z626" s="3">
        <f>IF($Y626="","",IF($Y626&lt;0,"FUTURO",IF($Y626&gt;p_dias_backlog_max,"BACKLOG","MES CORRIENTE")))</f>
        <v/>
      </c>
      <c r="AA626" s="3">
        <f>IF($Y626="",FALSE,AND($Y626&gt;p_dias_backlog_min,$Y626&lt;=p_dias_backlog_max))</f>
        <v/>
      </c>
      <c r="AB626" s="6" t="n"/>
      <c r="AC626" s="3">
        <f>IF($AB626="","",IFERROR(INDEX('ASIGNACIONES'!$F$4:$F$339,MATCH($O626&amp;"|"&amp;$R626&amp;"|"&amp;$AB626,'ASIGNACIONES'!$I$4:$I$339,0)),""))</f>
        <v/>
      </c>
      <c r="AD626" s="13">
        <f>IF($AB626="","",SUMIFS('ORDENES'!$M$4:$M$1203,'ORDENES'!$AB$4:$AB$1203,$AB626,'ORDENES'!$O$4:$O$1203,$O626,'ORDENES'!$R$4:$R$1203,$R626))</f>
        <v/>
      </c>
      <c r="AE626" s="13">
        <f>IF($AD626="","",p_factor_productividad*IFERROR(INDEX('ASIGNACIONES'!$H$4:$H$339,MATCH($O626&amp;"|"&amp;$R626&amp;"|"&amp;$AB626,'ASIGNACIONES'!$I$4:$I$339,0)),0)-$AD626)</f>
        <v/>
      </c>
      <c r="AF626" s="10">
        <f>IF($A626="","",IFERROR(INDEX('2_IMPORTAR_EJECUCION'!$F$9:$F$1208,MATCH($AN626,'2_IMPORTAR_EJECUCION'!$J$9:$J$1208,0)),0))</f>
        <v/>
      </c>
      <c r="AG626" s="10">
        <f>IF($A626="","",MAX(0,IFERROR(INDEX('2_IMPORTAR_EJECUCION'!$H$9:$H$1208,MATCH($AN626,'2_IMPORTAR_EJECUCION'!$J$9:$J$1208,0)),0)-$AF626))</f>
        <v/>
      </c>
      <c r="AH626" s="10">
        <f>IF($A626="","",$AF626+$AG626)</f>
        <v/>
      </c>
      <c r="AI626" s="6" t="n"/>
      <c r="AJ626" s="6" t="n"/>
      <c r="AK626" s="6" t="n"/>
      <c r="AL626" s="3">
        <f>IF($AK626="","",HYPERLINK(p_ruta_base_checklists&amp;$AK626,"abrir"))</f>
        <v/>
      </c>
      <c r="AM626" s="6" t="n"/>
      <c r="AN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1" t="n"/>
      <c r="K627" s="3" t="n"/>
      <c r="L627" s="10" t="n"/>
      <c r="M627" s="3">
        <f>IF($A627="","",IFERROR(INDEX('AJUSTES'!$B$4:$B$303,MATCH($AN627,'AJUSTES'!$A$4:$A$303,0)),IF($K627="","",$K627)))</f>
        <v/>
      </c>
      <c r="N627" s="3">
        <f>IF($A627="","",IFERROR(INDEX('CAT_ESTADOS_ERP'!$B$4:$B$7,MATCH(IFERROR(INDEX('2_IMPORTAR_EJECUCION'!$C$9:$C$1208,MATCH($AN627,'2_IMPORTAR_EJECUCION'!$J$9:$J$1208,0)),""),'CAT_ESTADOS_ERP'!$A$4:$A$7,0)),"Pendiente"))</f>
        <v/>
      </c>
      <c r="O627" s="3">
        <f>IF($J627="","",YEAR($J627+4-WEEKDAY($J627,2))&amp;"-S"&amp;TEXT(_xlfn.ISOWEEKNUM($J627),"00"))</f>
        <v/>
      </c>
      <c r="P627" s="3">
        <f>IF($J627="","",YEAR($J627))</f>
        <v/>
      </c>
      <c r="Q627" s="3">
        <f>IF($J627="","",MONTH($J627))</f>
        <v/>
      </c>
      <c r="R627" s="3">
        <f>IF($J627="","",INDEX(lista_dias,WEEKDAY($J627,2)))</f>
        <v/>
      </c>
      <c r="S627" s="3">
        <f>IF($I627="","",IFERROR(INDEX('CAT_TIPOS_OT'!$C$4:$C$7,MATCH($I627,'CAT_TIPOS_OT'!$A$4:$A$7,0)),"sin_clasificar"))</f>
        <v/>
      </c>
      <c r="T627" s="3">
        <f>IF($F627="","",IFERROR(INDEX('CAT_CENTROS_COSTO'!$E$4:$E$9,MATCH($F627,'CAT_CENTROS_COSTO'!$A$4:$A$9,0)),"(sin catálogo)"))</f>
        <v/>
      </c>
      <c r="U627" s="3">
        <f>IF($F627="","",IFERROR(INDEX('CAT_CENTROS_COSTO'!$D$4:$D$9,MATCH($F627,'CAT_CENTROS_COSTO'!$A$4:$A$9,0)),"(sin catálogo)"))</f>
        <v/>
      </c>
      <c r="V627" s="3">
        <f>IF($F627="","",IFERROR(INDEX('CAT_CENTROS_COSTO'!$F$4:$F$9,MATCH($F627,'CAT_CENTROS_COSTO'!$A$4:$A$9,0)),"(sin catálogo)"))</f>
        <v/>
      </c>
      <c r="W627" s="3">
        <f>IF($G627="","",IFERROR(INDEX('CAT_PUESTOS'!$B$4:$B$8,MATCH($G627,'CAT_PUESTOS'!$A$4:$A$8,0)),"(sin catálogo)"))</f>
        <v/>
      </c>
      <c r="X627" s="3">
        <f>IF($H627="","",IFERROR(INDEX('CAT_ACTIVIDADES'!$B$4:$B$8,MATCH($H627,'CAT_ACTIVIDADES'!$A$4:$A$8,0)),"(sin catálogo)"))</f>
        <v/>
      </c>
      <c r="Y627" s="12">
        <f>IF($J627="","",TODAY()-$J627)</f>
        <v/>
      </c>
      <c r="Z627" s="3">
        <f>IF($Y627="","",IF($Y627&lt;0,"FUTURO",IF($Y627&gt;p_dias_backlog_max,"BACKLOG","MES CORRIENTE")))</f>
        <v/>
      </c>
      <c r="AA627" s="3">
        <f>IF($Y627="",FALSE,AND($Y627&gt;p_dias_backlog_min,$Y627&lt;=p_dias_backlog_max))</f>
        <v/>
      </c>
      <c r="AB627" s="6" t="n"/>
      <c r="AC627" s="3">
        <f>IF($AB627="","",IFERROR(INDEX('ASIGNACIONES'!$F$4:$F$339,MATCH($O627&amp;"|"&amp;$R627&amp;"|"&amp;$AB627,'ASIGNACIONES'!$I$4:$I$339,0)),""))</f>
        <v/>
      </c>
      <c r="AD627" s="13">
        <f>IF($AB627="","",SUMIFS('ORDENES'!$M$4:$M$1203,'ORDENES'!$AB$4:$AB$1203,$AB627,'ORDENES'!$O$4:$O$1203,$O627,'ORDENES'!$R$4:$R$1203,$R627))</f>
        <v/>
      </c>
      <c r="AE627" s="13">
        <f>IF($AD627="","",p_factor_productividad*IFERROR(INDEX('ASIGNACIONES'!$H$4:$H$339,MATCH($O627&amp;"|"&amp;$R627&amp;"|"&amp;$AB627,'ASIGNACIONES'!$I$4:$I$339,0)),0)-$AD627)</f>
        <v/>
      </c>
      <c r="AF627" s="10">
        <f>IF($A627="","",IFERROR(INDEX('2_IMPORTAR_EJECUCION'!$F$9:$F$1208,MATCH($AN627,'2_IMPORTAR_EJECUCION'!$J$9:$J$1208,0)),0))</f>
        <v/>
      </c>
      <c r="AG627" s="10">
        <f>IF($A627="","",MAX(0,IFERROR(INDEX('2_IMPORTAR_EJECUCION'!$H$9:$H$1208,MATCH($AN627,'2_IMPORTAR_EJECUCION'!$J$9:$J$1208,0)),0)-$AF627))</f>
        <v/>
      </c>
      <c r="AH627" s="10">
        <f>IF($A627="","",$AF627+$AG627)</f>
        <v/>
      </c>
      <c r="AI627" s="6" t="n"/>
      <c r="AJ627" s="6" t="n"/>
      <c r="AK627" s="6" t="n"/>
      <c r="AL627" s="3">
        <f>IF($AK627="","",HYPERLINK(p_ruta_base_checklists&amp;$AK627,"abrir"))</f>
        <v/>
      </c>
      <c r="AM627" s="6" t="n"/>
      <c r="AN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1" t="n"/>
      <c r="K628" s="3" t="n"/>
      <c r="L628" s="10" t="n"/>
      <c r="M628" s="3">
        <f>IF($A628="","",IFERROR(INDEX('AJUSTES'!$B$4:$B$303,MATCH($AN628,'AJUSTES'!$A$4:$A$303,0)),IF($K628="","",$K628)))</f>
        <v/>
      </c>
      <c r="N628" s="3">
        <f>IF($A628="","",IFERROR(INDEX('CAT_ESTADOS_ERP'!$B$4:$B$7,MATCH(IFERROR(INDEX('2_IMPORTAR_EJECUCION'!$C$9:$C$1208,MATCH($AN628,'2_IMPORTAR_EJECUCION'!$J$9:$J$1208,0)),""),'CAT_ESTADOS_ERP'!$A$4:$A$7,0)),"Pendiente"))</f>
        <v/>
      </c>
      <c r="O628" s="3">
        <f>IF($J628="","",YEAR($J628+4-WEEKDAY($J628,2))&amp;"-S"&amp;TEXT(_xlfn.ISOWEEKNUM($J628),"00"))</f>
        <v/>
      </c>
      <c r="P628" s="3">
        <f>IF($J628="","",YEAR($J628))</f>
        <v/>
      </c>
      <c r="Q628" s="3">
        <f>IF($J628="","",MONTH($J628))</f>
        <v/>
      </c>
      <c r="R628" s="3">
        <f>IF($J628="","",INDEX(lista_dias,WEEKDAY($J628,2)))</f>
        <v/>
      </c>
      <c r="S628" s="3">
        <f>IF($I628="","",IFERROR(INDEX('CAT_TIPOS_OT'!$C$4:$C$7,MATCH($I628,'CAT_TIPOS_OT'!$A$4:$A$7,0)),"sin_clasificar"))</f>
        <v/>
      </c>
      <c r="T628" s="3">
        <f>IF($F628="","",IFERROR(INDEX('CAT_CENTROS_COSTO'!$E$4:$E$9,MATCH($F628,'CAT_CENTROS_COSTO'!$A$4:$A$9,0)),"(sin catálogo)"))</f>
        <v/>
      </c>
      <c r="U628" s="3">
        <f>IF($F628="","",IFERROR(INDEX('CAT_CENTROS_COSTO'!$D$4:$D$9,MATCH($F628,'CAT_CENTROS_COSTO'!$A$4:$A$9,0)),"(sin catálogo)"))</f>
        <v/>
      </c>
      <c r="V628" s="3">
        <f>IF($F628="","",IFERROR(INDEX('CAT_CENTROS_COSTO'!$F$4:$F$9,MATCH($F628,'CAT_CENTROS_COSTO'!$A$4:$A$9,0)),"(sin catálogo)"))</f>
        <v/>
      </c>
      <c r="W628" s="3">
        <f>IF($G628="","",IFERROR(INDEX('CAT_PUESTOS'!$B$4:$B$8,MATCH($G628,'CAT_PUESTOS'!$A$4:$A$8,0)),"(sin catálogo)"))</f>
        <v/>
      </c>
      <c r="X628" s="3">
        <f>IF($H628="","",IFERROR(INDEX('CAT_ACTIVIDADES'!$B$4:$B$8,MATCH($H628,'CAT_ACTIVIDADES'!$A$4:$A$8,0)),"(sin catálogo)"))</f>
        <v/>
      </c>
      <c r="Y628" s="12">
        <f>IF($J628="","",TODAY()-$J628)</f>
        <v/>
      </c>
      <c r="Z628" s="3">
        <f>IF($Y628="","",IF($Y628&lt;0,"FUTURO",IF($Y628&gt;p_dias_backlog_max,"BACKLOG","MES CORRIENTE")))</f>
        <v/>
      </c>
      <c r="AA628" s="3">
        <f>IF($Y628="",FALSE,AND($Y628&gt;p_dias_backlog_min,$Y628&lt;=p_dias_backlog_max))</f>
        <v/>
      </c>
      <c r="AB628" s="6" t="n"/>
      <c r="AC628" s="3">
        <f>IF($AB628="","",IFERROR(INDEX('ASIGNACIONES'!$F$4:$F$339,MATCH($O628&amp;"|"&amp;$R628&amp;"|"&amp;$AB628,'ASIGNACIONES'!$I$4:$I$339,0)),""))</f>
        <v/>
      </c>
      <c r="AD628" s="13">
        <f>IF($AB628="","",SUMIFS('ORDENES'!$M$4:$M$1203,'ORDENES'!$AB$4:$AB$1203,$AB628,'ORDENES'!$O$4:$O$1203,$O628,'ORDENES'!$R$4:$R$1203,$R628))</f>
        <v/>
      </c>
      <c r="AE628" s="13">
        <f>IF($AD628="","",p_factor_productividad*IFERROR(INDEX('ASIGNACIONES'!$H$4:$H$339,MATCH($O628&amp;"|"&amp;$R628&amp;"|"&amp;$AB628,'ASIGNACIONES'!$I$4:$I$339,0)),0)-$AD628)</f>
        <v/>
      </c>
      <c r="AF628" s="10">
        <f>IF($A628="","",IFERROR(INDEX('2_IMPORTAR_EJECUCION'!$F$9:$F$1208,MATCH($AN628,'2_IMPORTAR_EJECUCION'!$J$9:$J$1208,0)),0))</f>
        <v/>
      </c>
      <c r="AG628" s="10">
        <f>IF($A628="","",MAX(0,IFERROR(INDEX('2_IMPORTAR_EJECUCION'!$H$9:$H$1208,MATCH($AN628,'2_IMPORTAR_EJECUCION'!$J$9:$J$1208,0)),0)-$AF628))</f>
        <v/>
      </c>
      <c r="AH628" s="10">
        <f>IF($A628="","",$AF628+$AG628)</f>
        <v/>
      </c>
      <c r="AI628" s="6" t="n"/>
      <c r="AJ628" s="6" t="n"/>
      <c r="AK628" s="6" t="n"/>
      <c r="AL628" s="3">
        <f>IF($AK628="","",HYPERLINK(p_ruta_base_checklists&amp;$AK628,"abrir"))</f>
        <v/>
      </c>
      <c r="AM628" s="6" t="n"/>
      <c r="AN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1" t="n"/>
      <c r="K629" s="3" t="n"/>
      <c r="L629" s="10" t="n"/>
      <c r="M629" s="3">
        <f>IF($A629="","",IFERROR(INDEX('AJUSTES'!$B$4:$B$303,MATCH($AN629,'AJUSTES'!$A$4:$A$303,0)),IF($K629="","",$K629)))</f>
        <v/>
      </c>
      <c r="N629" s="3">
        <f>IF($A629="","",IFERROR(INDEX('CAT_ESTADOS_ERP'!$B$4:$B$7,MATCH(IFERROR(INDEX('2_IMPORTAR_EJECUCION'!$C$9:$C$1208,MATCH($AN629,'2_IMPORTAR_EJECUCION'!$J$9:$J$1208,0)),""),'CAT_ESTADOS_ERP'!$A$4:$A$7,0)),"Pendiente"))</f>
        <v/>
      </c>
      <c r="O629" s="3">
        <f>IF($J629="","",YEAR($J629+4-WEEKDAY($J629,2))&amp;"-S"&amp;TEXT(_xlfn.ISOWEEKNUM($J629),"00"))</f>
        <v/>
      </c>
      <c r="P629" s="3">
        <f>IF($J629="","",YEAR($J629))</f>
        <v/>
      </c>
      <c r="Q629" s="3">
        <f>IF($J629="","",MONTH($J629))</f>
        <v/>
      </c>
      <c r="R629" s="3">
        <f>IF($J629="","",INDEX(lista_dias,WEEKDAY($J629,2)))</f>
        <v/>
      </c>
      <c r="S629" s="3">
        <f>IF($I629="","",IFERROR(INDEX('CAT_TIPOS_OT'!$C$4:$C$7,MATCH($I629,'CAT_TIPOS_OT'!$A$4:$A$7,0)),"sin_clasificar"))</f>
        <v/>
      </c>
      <c r="T629" s="3">
        <f>IF($F629="","",IFERROR(INDEX('CAT_CENTROS_COSTO'!$E$4:$E$9,MATCH($F629,'CAT_CENTROS_COSTO'!$A$4:$A$9,0)),"(sin catálogo)"))</f>
        <v/>
      </c>
      <c r="U629" s="3">
        <f>IF($F629="","",IFERROR(INDEX('CAT_CENTROS_COSTO'!$D$4:$D$9,MATCH($F629,'CAT_CENTROS_COSTO'!$A$4:$A$9,0)),"(sin catálogo)"))</f>
        <v/>
      </c>
      <c r="V629" s="3">
        <f>IF($F629="","",IFERROR(INDEX('CAT_CENTROS_COSTO'!$F$4:$F$9,MATCH($F629,'CAT_CENTROS_COSTO'!$A$4:$A$9,0)),"(sin catálogo)"))</f>
        <v/>
      </c>
      <c r="W629" s="3">
        <f>IF($G629="","",IFERROR(INDEX('CAT_PUESTOS'!$B$4:$B$8,MATCH($G629,'CAT_PUESTOS'!$A$4:$A$8,0)),"(sin catálogo)"))</f>
        <v/>
      </c>
      <c r="X629" s="3">
        <f>IF($H629="","",IFERROR(INDEX('CAT_ACTIVIDADES'!$B$4:$B$8,MATCH($H629,'CAT_ACTIVIDADES'!$A$4:$A$8,0)),"(sin catálogo)"))</f>
        <v/>
      </c>
      <c r="Y629" s="12">
        <f>IF($J629="","",TODAY()-$J629)</f>
        <v/>
      </c>
      <c r="Z629" s="3">
        <f>IF($Y629="","",IF($Y629&lt;0,"FUTURO",IF($Y629&gt;p_dias_backlog_max,"BACKLOG","MES CORRIENTE")))</f>
        <v/>
      </c>
      <c r="AA629" s="3">
        <f>IF($Y629="",FALSE,AND($Y629&gt;p_dias_backlog_min,$Y629&lt;=p_dias_backlog_max))</f>
        <v/>
      </c>
      <c r="AB629" s="6" t="n"/>
      <c r="AC629" s="3">
        <f>IF($AB629="","",IFERROR(INDEX('ASIGNACIONES'!$F$4:$F$339,MATCH($O629&amp;"|"&amp;$R629&amp;"|"&amp;$AB629,'ASIGNACIONES'!$I$4:$I$339,0)),""))</f>
        <v/>
      </c>
      <c r="AD629" s="13">
        <f>IF($AB629="","",SUMIFS('ORDENES'!$M$4:$M$1203,'ORDENES'!$AB$4:$AB$1203,$AB629,'ORDENES'!$O$4:$O$1203,$O629,'ORDENES'!$R$4:$R$1203,$R629))</f>
        <v/>
      </c>
      <c r="AE629" s="13">
        <f>IF($AD629="","",p_factor_productividad*IFERROR(INDEX('ASIGNACIONES'!$H$4:$H$339,MATCH($O629&amp;"|"&amp;$R629&amp;"|"&amp;$AB629,'ASIGNACIONES'!$I$4:$I$339,0)),0)-$AD629)</f>
        <v/>
      </c>
      <c r="AF629" s="10">
        <f>IF($A629="","",IFERROR(INDEX('2_IMPORTAR_EJECUCION'!$F$9:$F$1208,MATCH($AN629,'2_IMPORTAR_EJECUCION'!$J$9:$J$1208,0)),0))</f>
        <v/>
      </c>
      <c r="AG629" s="10">
        <f>IF($A629="","",MAX(0,IFERROR(INDEX('2_IMPORTAR_EJECUCION'!$H$9:$H$1208,MATCH($AN629,'2_IMPORTAR_EJECUCION'!$J$9:$J$1208,0)),0)-$AF629))</f>
        <v/>
      </c>
      <c r="AH629" s="10">
        <f>IF($A629="","",$AF629+$AG629)</f>
        <v/>
      </c>
      <c r="AI629" s="6" t="n"/>
      <c r="AJ629" s="6" t="n"/>
      <c r="AK629" s="6" t="n"/>
      <c r="AL629" s="3">
        <f>IF($AK629="","",HYPERLINK(p_ruta_base_checklists&amp;$AK629,"abrir"))</f>
        <v/>
      </c>
      <c r="AM629" s="6" t="n"/>
      <c r="AN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1" t="n"/>
      <c r="K630" s="3" t="n"/>
      <c r="L630" s="10" t="n"/>
      <c r="M630" s="3">
        <f>IF($A630="","",IFERROR(INDEX('AJUSTES'!$B$4:$B$303,MATCH($AN630,'AJUSTES'!$A$4:$A$303,0)),IF($K630="","",$K630)))</f>
        <v/>
      </c>
      <c r="N630" s="3">
        <f>IF($A630="","",IFERROR(INDEX('CAT_ESTADOS_ERP'!$B$4:$B$7,MATCH(IFERROR(INDEX('2_IMPORTAR_EJECUCION'!$C$9:$C$1208,MATCH($AN630,'2_IMPORTAR_EJECUCION'!$J$9:$J$1208,0)),""),'CAT_ESTADOS_ERP'!$A$4:$A$7,0)),"Pendiente"))</f>
        <v/>
      </c>
      <c r="O630" s="3">
        <f>IF($J630="","",YEAR($J630+4-WEEKDAY($J630,2))&amp;"-S"&amp;TEXT(_xlfn.ISOWEEKNUM($J630),"00"))</f>
        <v/>
      </c>
      <c r="P630" s="3">
        <f>IF($J630="","",YEAR($J630))</f>
        <v/>
      </c>
      <c r="Q630" s="3">
        <f>IF($J630="","",MONTH($J630))</f>
        <v/>
      </c>
      <c r="R630" s="3">
        <f>IF($J630="","",INDEX(lista_dias,WEEKDAY($J630,2)))</f>
        <v/>
      </c>
      <c r="S630" s="3">
        <f>IF($I630="","",IFERROR(INDEX('CAT_TIPOS_OT'!$C$4:$C$7,MATCH($I630,'CAT_TIPOS_OT'!$A$4:$A$7,0)),"sin_clasificar"))</f>
        <v/>
      </c>
      <c r="T630" s="3">
        <f>IF($F630="","",IFERROR(INDEX('CAT_CENTROS_COSTO'!$E$4:$E$9,MATCH($F630,'CAT_CENTROS_COSTO'!$A$4:$A$9,0)),"(sin catálogo)"))</f>
        <v/>
      </c>
      <c r="U630" s="3">
        <f>IF($F630="","",IFERROR(INDEX('CAT_CENTROS_COSTO'!$D$4:$D$9,MATCH($F630,'CAT_CENTROS_COSTO'!$A$4:$A$9,0)),"(sin catálogo)"))</f>
        <v/>
      </c>
      <c r="V630" s="3">
        <f>IF($F630="","",IFERROR(INDEX('CAT_CENTROS_COSTO'!$F$4:$F$9,MATCH($F630,'CAT_CENTROS_COSTO'!$A$4:$A$9,0)),"(sin catálogo)"))</f>
        <v/>
      </c>
      <c r="W630" s="3">
        <f>IF($G630="","",IFERROR(INDEX('CAT_PUESTOS'!$B$4:$B$8,MATCH($G630,'CAT_PUESTOS'!$A$4:$A$8,0)),"(sin catálogo)"))</f>
        <v/>
      </c>
      <c r="X630" s="3">
        <f>IF($H630="","",IFERROR(INDEX('CAT_ACTIVIDADES'!$B$4:$B$8,MATCH($H630,'CAT_ACTIVIDADES'!$A$4:$A$8,0)),"(sin catálogo)"))</f>
        <v/>
      </c>
      <c r="Y630" s="12">
        <f>IF($J630="","",TODAY()-$J630)</f>
        <v/>
      </c>
      <c r="Z630" s="3">
        <f>IF($Y630="","",IF($Y630&lt;0,"FUTURO",IF($Y630&gt;p_dias_backlog_max,"BACKLOG","MES CORRIENTE")))</f>
        <v/>
      </c>
      <c r="AA630" s="3">
        <f>IF($Y630="",FALSE,AND($Y630&gt;p_dias_backlog_min,$Y630&lt;=p_dias_backlog_max))</f>
        <v/>
      </c>
      <c r="AB630" s="6" t="n"/>
      <c r="AC630" s="3">
        <f>IF($AB630="","",IFERROR(INDEX('ASIGNACIONES'!$F$4:$F$339,MATCH($O630&amp;"|"&amp;$R630&amp;"|"&amp;$AB630,'ASIGNACIONES'!$I$4:$I$339,0)),""))</f>
        <v/>
      </c>
      <c r="AD630" s="13">
        <f>IF($AB630="","",SUMIFS('ORDENES'!$M$4:$M$1203,'ORDENES'!$AB$4:$AB$1203,$AB630,'ORDENES'!$O$4:$O$1203,$O630,'ORDENES'!$R$4:$R$1203,$R630))</f>
        <v/>
      </c>
      <c r="AE630" s="13">
        <f>IF($AD630="","",p_factor_productividad*IFERROR(INDEX('ASIGNACIONES'!$H$4:$H$339,MATCH($O630&amp;"|"&amp;$R630&amp;"|"&amp;$AB630,'ASIGNACIONES'!$I$4:$I$339,0)),0)-$AD630)</f>
        <v/>
      </c>
      <c r="AF630" s="10">
        <f>IF($A630="","",IFERROR(INDEX('2_IMPORTAR_EJECUCION'!$F$9:$F$1208,MATCH($AN630,'2_IMPORTAR_EJECUCION'!$J$9:$J$1208,0)),0))</f>
        <v/>
      </c>
      <c r="AG630" s="10">
        <f>IF($A630="","",MAX(0,IFERROR(INDEX('2_IMPORTAR_EJECUCION'!$H$9:$H$1208,MATCH($AN630,'2_IMPORTAR_EJECUCION'!$J$9:$J$1208,0)),0)-$AF630))</f>
        <v/>
      </c>
      <c r="AH630" s="10">
        <f>IF($A630="","",$AF630+$AG630)</f>
        <v/>
      </c>
      <c r="AI630" s="6" t="n"/>
      <c r="AJ630" s="6" t="n"/>
      <c r="AK630" s="6" t="n"/>
      <c r="AL630" s="3">
        <f>IF($AK630="","",HYPERLINK(p_ruta_base_checklists&amp;$AK630,"abrir"))</f>
        <v/>
      </c>
      <c r="AM630" s="6" t="n"/>
      <c r="AN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1" t="n"/>
      <c r="K631" s="3" t="n"/>
      <c r="L631" s="10" t="n"/>
      <c r="M631" s="3">
        <f>IF($A631="","",IFERROR(INDEX('AJUSTES'!$B$4:$B$303,MATCH($AN631,'AJUSTES'!$A$4:$A$303,0)),IF($K631="","",$K631)))</f>
        <v/>
      </c>
      <c r="N631" s="3">
        <f>IF($A631="","",IFERROR(INDEX('CAT_ESTADOS_ERP'!$B$4:$B$7,MATCH(IFERROR(INDEX('2_IMPORTAR_EJECUCION'!$C$9:$C$1208,MATCH($AN631,'2_IMPORTAR_EJECUCION'!$J$9:$J$1208,0)),""),'CAT_ESTADOS_ERP'!$A$4:$A$7,0)),"Pendiente"))</f>
        <v/>
      </c>
      <c r="O631" s="3">
        <f>IF($J631="","",YEAR($J631+4-WEEKDAY($J631,2))&amp;"-S"&amp;TEXT(_xlfn.ISOWEEKNUM($J631),"00"))</f>
        <v/>
      </c>
      <c r="P631" s="3">
        <f>IF($J631="","",YEAR($J631))</f>
        <v/>
      </c>
      <c r="Q631" s="3">
        <f>IF($J631="","",MONTH($J631))</f>
        <v/>
      </c>
      <c r="R631" s="3">
        <f>IF($J631="","",INDEX(lista_dias,WEEKDAY($J631,2)))</f>
        <v/>
      </c>
      <c r="S631" s="3">
        <f>IF($I631="","",IFERROR(INDEX('CAT_TIPOS_OT'!$C$4:$C$7,MATCH($I631,'CAT_TIPOS_OT'!$A$4:$A$7,0)),"sin_clasificar"))</f>
        <v/>
      </c>
      <c r="T631" s="3">
        <f>IF($F631="","",IFERROR(INDEX('CAT_CENTROS_COSTO'!$E$4:$E$9,MATCH($F631,'CAT_CENTROS_COSTO'!$A$4:$A$9,0)),"(sin catálogo)"))</f>
        <v/>
      </c>
      <c r="U631" s="3">
        <f>IF($F631="","",IFERROR(INDEX('CAT_CENTROS_COSTO'!$D$4:$D$9,MATCH($F631,'CAT_CENTROS_COSTO'!$A$4:$A$9,0)),"(sin catálogo)"))</f>
        <v/>
      </c>
      <c r="V631" s="3">
        <f>IF($F631="","",IFERROR(INDEX('CAT_CENTROS_COSTO'!$F$4:$F$9,MATCH($F631,'CAT_CENTROS_COSTO'!$A$4:$A$9,0)),"(sin catálogo)"))</f>
        <v/>
      </c>
      <c r="W631" s="3">
        <f>IF($G631="","",IFERROR(INDEX('CAT_PUESTOS'!$B$4:$B$8,MATCH($G631,'CAT_PUESTOS'!$A$4:$A$8,0)),"(sin catálogo)"))</f>
        <v/>
      </c>
      <c r="X631" s="3">
        <f>IF($H631="","",IFERROR(INDEX('CAT_ACTIVIDADES'!$B$4:$B$8,MATCH($H631,'CAT_ACTIVIDADES'!$A$4:$A$8,0)),"(sin catálogo)"))</f>
        <v/>
      </c>
      <c r="Y631" s="12">
        <f>IF($J631="","",TODAY()-$J631)</f>
        <v/>
      </c>
      <c r="Z631" s="3">
        <f>IF($Y631="","",IF($Y631&lt;0,"FUTURO",IF($Y631&gt;p_dias_backlog_max,"BACKLOG","MES CORRIENTE")))</f>
        <v/>
      </c>
      <c r="AA631" s="3">
        <f>IF($Y631="",FALSE,AND($Y631&gt;p_dias_backlog_min,$Y631&lt;=p_dias_backlog_max))</f>
        <v/>
      </c>
      <c r="AB631" s="6" t="n"/>
      <c r="AC631" s="3">
        <f>IF($AB631="","",IFERROR(INDEX('ASIGNACIONES'!$F$4:$F$339,MATCH($O631&amp;"|"&amp;$R631&amp;"|"&amp;$AB631,'ASIGNACIONES'!$I$4:$I$339,0)),""))</f>
        <v/>
      </c>
      <c r="AD631" s="13">
        <f>IF($AB631="","",SUMIFS('ORDENES'!$M$4:$M$1203,'ORDENES'!$AB$4:$AB$1203,$AB631,'ORDENES'!$O$4:$O$1203,$O631,'ORDENES'!$R$4:$R$1203,$R631))</f>
        <v/>
      </c>
      <c r="AE631" s="13">
        <f>IF($AD631="","",p_factor_productividad*IFERROR(INDEX('ASIGNACIONES'!$H$4:$H$339,MATCH($O631&amp;"|"&amp;$R631&amp;"|"&amp;$AB631,'ASIGNACIONES'!$I$4:$I$339,0)),0)-$AD631)</f>
        <v/>
      </c>
      <c r="AF631" s="10">
        <f>IF($A631="","",IFERROR(INDEX('2_IMPORTAR_EJECUCION'!$F$9:$F$1208,MATCH($AN631,'2_IMPORTAR_EJECUCION'!$J$9:$J$1208,0)),0))</f>
        <v/>
      </c>
      <c r="AG631" s="10">
        <f>IF($A631="","",MAX(0,IFERROR(INDEX('2_IMPORTAR_EJECUCION'!$H$9:$H$1208,MATCH($AN631,'2_IMPORTAR_EJECUCION'!$J$9:$J$1208,0)),0)-$AF631))</f>
        <v/>
      </c>
      <c r="AH631" s="10">
        <f>IF($A631="","",$AF631+$AG631)</f>
        <v/>
      </c>
      <c r="AI631" s="6" t="n"/>
      <c r="AJ631" s="6" t="n"/>
      <c r="AK631" s="6" t="n"/>
      <c r="AL631" s="3">
        <f>IF($AK631="","",HYPERLINK(p_ruta_base_checklists&amp;$AK631,"abrir"))</f>
        <v/>
      </c>
      <c r="AM631" s="6" t="n"/>
      <c r="AN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1" t="n"/>
      <c r="K632" s="3" t="n"/>
      <c r="L632" s="10" t="n"/>
      <c r="M632" s="3">
        <f>IF($A632="","",IFERROR(INDEX('AJUSTES'!$B$4:$B$303,MATCH($AN632,'AJUSTES'!$A$4:$A$303,0)),IF($K632="","",$K632)))</f>
        <v/>
      </c>
      <c r="N632" s="3">
        <f>IF($A632="","",IFERROR(INDEX('CAT_ESTADOS_ERP'!$B$4:$B$7,MATCH(IFERROR(INDEX('2_IMPORTAR_EJECUCION'!$C$9:$C$1208,MATCH($AN632,'2_IMPORTAR_EJECUCION'!$J$9:$J$1208,0)),""),'CAT_ESTADOS_ERP'!$A$4:$A$7,0)),"Pendiente"))</f>
        <v/>
      </c>
      <c r="O632" s="3">
        <f>IF($J632="","",YEAR($J632+4-WEEKDAY($J632,2))&amp;"-S"&amp;TEXT(_xlfn.ISOWEEKNUM($J632),"00"))</f>
        <v/>
      </c>
      <c r="P632" s="3">
        <f>IF($J632="","",YEAR($J632))</f>
        <v/>
      </c>
      <c r="Q632" s="3">
        <f>IF($J632="","",MONTH($J632))</f>
        <v/>
      </c>
      <c r="R632" s="3">
        <f>IF($J632="","",INDEX(lista_dias,WEEKDAY($J632,2)))</f>
        <v/>
      </c>
      <c r="S632" s="3">
        <f>IF($I632="","",IFERROR(INDEX('CAT_TIPOS_OT'!$C$4:$C$7,MATCH($I632,'CAT_TIPOS_OT'!$A$4:$A$7,0)),"sin_clasificar"))</f>
        <v/>
      </c>
      <c r="T632" s="3">
        <f>IF($F632="","",IFERROR(INDEX('CAT_CENTROS_COSTO'!$E$4:$E$9,MATCH($F632,'CAT_CENTROS_COSTO'!$A$4:$A$9,0)),"(sin catálogo)"))</f>
        <v/>
      </c>
      <c r="U632" s="3">
        <f>IF($F632="","",IFERROR(INDEX('CAT_CENTROS_COSTO'!$D$4:$D$9,MATCH($F632,'CAT_CENTROS_COSTO'!$A$4:$A$9,0)),"(sin catálogo)"))</f>
        <v/>
      </c>
      <c r="V632" s="3">
        <f>IF($F632="","",IFERROR(INDEX('CAT_CENTROS_COSTO'!$F$4:$F$9,MATCH($F632,'CAT_CENTROS_COSTO'!$A$4:$A$9,0)),"(sin catálogo)"))</f>
        <v/>
      </c>
      <c r="W632" s="3">
        <f>IF($G632="","",IFERROR(INDEX('CAT_PUESTOS'!$B$4:$B$8,MATCH($G632,'CAT_PUESTOS'!$A$4:$A$8,0)),"(sin catálogo)"))</f>
        <v/>
      </c>
      <c r="X632" s="3">
        <f>IF($H632="","",IFERROR(INDEX('CAT_ACTIVIDADES'!$B$4:$B$8,MATCH($H632,'CAT_ACTIVIDADES'!$A$4:$A$8,0)),"(sin catálogo)"))</f>
        <v/>
      </c>
      <c r="Y632" s="12">
        <f>IF($J632="","",TODAY()-$J632)</f>
        <v/>
      </c>
      <c r="Z632" s="3">
        <f>IF($Y632="","",IF($Y632&lt;0,"FUTURO",IF($Y632&gt;p_dias_backlog_max,"BACKLOG","MES CORRIENTE")))</f>
        <v/>
      </c>
      <c r="AA632" s="3">
        <f>IF($Y632="",FALSE,AND($Y632&gt;p_dias_backlog_min,$Y632&lt;=p_dias_backlog_max))</f>
        <v/>
      </c>
      <c r="AB632" s="6" t="n"/>
      <c r="AC632" s="3">
        <f>IF($AB632="","",IFERROR(INDEX('ASIGNACIONES'!$F$4:$F$339,MATCH($O632&amp;"|"&amp;$R632&amp;"|"&amp;$AB632,'ASIGNACIONES'!$I$4:$I$339,0)),""))</f>
        <v/>
      </c>
      <c r="AD632" s="13">
        <f>IF($AB632="","",SUMIFS('ORDENES'!$M$4:$M$1203,'ORDENES'!$AB$4:$AB$1203,$AB632,'ORDENES'!$O$4:$O$1203,$O632,'ORDENES'!$R$4:$R$1203,$R632))</f>
        <v/>
      </c>
      <c r="AE632" s="13">
        <f>IF($AD632="","",p_factor_productividad*IFERROR(INDEX('ASIGNACIONES'!$H$4:$H$339,MATCH($O632&amp;"|"&amp;$R632&amp;"|"&amp;$AB632,'ASIGNACIONES'!$I$4:$I$339,0)),0)-$AD632)</f>
        <v/>
      </c>
      <c r="AF632" s="10">
        <f>IF($A632="","",IFERROR(INDEX('2_IMPORTAR_EJECUCION'!$F$9:$F$1208,MATCH($AN632,'2_IMPORTAR_EJECUCION'!$J$9:$J$1208,0)),0))</f>
        <v/>
      </c>
      <c r="AG632" s="10">
        <f>IF($A632="","",MAX(0,IFERROR(INDEX('2_IMPORTAR_EJECUCION'!$H$9:$H$1208,MATCH($AN632,'2_IMPORTAR_EJECUCION'!$J$9:$J$1208,0)),0)-$AF632))</f>
        <v/>
      </c>
      <c r="AH632" s="10">
        <f>IF($A632="","",$AF632+$AG632)</f>
        <v/>
      </c>
      <c r="AI632" s="6" t="n"/>
      <c r="AJ632" s="6" t="n"/>
      <c r="AK632" s="6" t="n"/>
      <c r="AL632" s="3">
        <f>IF($AK632="","",HYPERLINK(p_ruta_base_checklists&amp;$AK632,"abrir"))</f>
        <v/>
      </c>
      <c r="AM632" s="6" t="n"/>
      <c r="AN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1" t="n"/>
      <c r="K633" s="3" t="n"/>
      <c r="L633" s="10" t="n"/>
      <c r="M633" s="3">
        <f>IF($A633="","",IFERROR(INDEX('AJUSTES'!$B$4:$B$303,MATCH($AN633,'AJUSTES'!$A$4:$A$303,0)),IF($K633="","",$K633)))</f>
        <v/>
      </c>
      <c r="N633" s="3">
        <f>IF($A633="","",IFERROR(INDEX('CAT_ESTADOS_ERP'!$B$4:$B$7,MATCH(IFERROR(INDEX('2_IMPORTAR_EJECUCION'!$C$9:$C$1208,MATCH($AN633,'2_IMPORTAR_EJECUCION'!$J$9:$J$1208,0)),""),'CAT_ESTADOS_ERP'!$A$4:$A$7,0)),"Pendiente"))</f>
        <v/>
      </c>
      <c r="O633" s="3">
        <f>IF($J633="","",YEAR($J633+4-WEEKDAY($J633,2))&amp;"-S"&amp;TEXT(_xlfn.ISOWEEKNUM($J633),"00"))</f>
        <v/>
      </c>
      <c r="P633" s="3">
        <f>IF($J633="","",YEAR($J633))</f>
        <v/>
      </c>
      <c r="Q633" s="3">
        <f>IF($J633="","",MONTH($J633))</f>
        <v/>
      </c>
      <c r="R633" s="3">
        <f>IF($J633="","",INDEX(lista_dias,WEEKDAY($J633,2)))</f>
        <v/>
      </c>
      <c r="S633" s="3">
        <f>IF($I633="","",IFERROR(INDEX('CAT_TIPOS_OT'!$C$4:$C$7,MATCH($I633,'CAT_TIPOS_OT'!$A$4:$A$7,0)),"sin_clasificar"))</f>
        <v/>
      </c>
      <c r="T633" s="3">
        <f>IF($F633="","",IFERROR(INDEX('CAT_CENTROS_COSTO'!$E$4:$E$9,MATCH($F633,'CAT_CENTROS_COSTO'!$A$4:$A$9,0)),"(sin catálogo)"))</f>
        <v/>
      </c>
      <c r="U633" s="3">
        <f>IF($F633="","",IFERROR(INDEX('CAT_CENTROS_COSTO'!$D$4:$D$9,MATCH($F633,'CAT_CENTROS_COSTO'!$A$4:$A$9,0)),"(sin catálogo)"))</f>
        <v/>
      </c>
      <c r="V633" s="3">
        <f>IF($F633="","",IFERROR(INDEX('CAT_CENTROS_COSTO'!$F$4:$F$9,MATCH($F633,'CAT_CENTROS_COSTO'!$A$4:$A$9,0)),"(sin catálogo)"))</f>
        <v/>
      </c>
      <c r="W633" s="3">
        <f>IF($G633="","",IFERROR(INDEX('CAT_PUESTOS'!$B$4:$B$8,MATCH($G633,'CAT_PUESTOS'!$A$4:$A$8,0)),"(sin catálogo)"))</f>
        <v/>
      </c>
      <c r="X633" s="3">
        <f>IF($H633="","",IFERROR(INDEX('CAT_ACTIVIDADES'!$B$4:$B$8,MATCH($H633,'CAT_ACTIVIDADES'!$A$4:$A$8,0)),"(sin catálogo)"))</f>
        <v/>
      </c>
      <c r="Y633" s="12">
        <f>IF($J633="","",TODAY()-$J633)</f>
        <v/>
      </c>
      <c r="Z633" s="3">
        <f>IF($Y633="","",IF($Y633&lt;0,"FUTURO",IF($Y633&gt;p_dias_backlog_max,"BACKLOG","MES CORRIENTE")))</f>
        <v/>
      </c>
      <c r="AA633" s="3">
        <f>IF($Y633="",FALSE,AND($Y633&gt;p_dias_backlog_min,$Y633&lt;=p_dias_backlog_max))</f>
        <v/>
      </c>
      <c r="AB633" s="6" t="n"/>
      <c r="AC633" s="3">
        <f>IF($AB633="","",IFERROR(INDEX('ASIGNACIONES'!$F$4:$F$339,MATCH($O633&amp;"|"&amp;$R633&amp;"|"&amp;$AB633,'ASIGNACIONES'!$I$4:$I$339,0)),""))</f>
        <v/>
      </c>
      <c r="AD633" s="13">
        <f>IF($AB633="","",SUMIFS('ORDENES'!$M$4:$M$1203,'ORDENES'!$AB$4:$AB$1203,$AB633,'ORDENES'!$O$4:$O$1203,$O633,'ORDENES'!$R$4:$R$1203,$R633))</f>
        <v/>
      </c>
      <c r="AE633" s="13">
        <f>IF($AD633="","",p_factor_productividad*IFERROR(INDEX('ASIGNACIONES'!$H$4:$H$339,MATCH($O633&amp;"|"&amp;$R633&amp;"|"&amp;$AB633,'ASIGNACIONES'!$I$4:$I$339,0)),0)-$AD633)</f>
        <v/>
      </c>
      <c r="AF633" s="10">
        <f>IF($A633="","",IFERROR(INDEX('2_IMPORTAR_EJECUCION'!$F$9:$F$1208,MATCH($AN633,'2_IMPORTAR_EJECUCION'!$J$9:$J$1208,0)),0))</f>
        <v/>
      </c>
      <c r="AG633" s="10">
        <f>IF($A633="","",MAX(0,IFERROR(INDEX('2_IMPORTAR_EJECUCION'!$H$9:$H$1208,MATCH($AN633,'2_IMPORTAR_EJECUCION'!$J$9:$J$1208,0)),0)-$AF633))</f>
        <v/>
      </c>
      <c r="AH633" s="10">
        <f>IF($A633="","",$AF633+$AG633)</f>
        <v/>
      </c>
      <c r="AI633" s="6" t="n"/>
      <c r="AJ633" s="6" t="n"/>
      <c r="AK633" s="6" t="n"/>
      <c r="AL633" s="3">
        <f>IF($AK633="","",HYPERLINK(p_ruta_base_checklists&amp;$AK633,"abrir"))</f>
        <v/>
      </c>
      <c r="AM633" s="6" t="n"/>
      <c r="AN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1" t="n"/>
      <c r="K634" s="3" t="n"/>
      <c r="L634" s="10" t="n"/>
      <c r="M634" s="3">
        <f>IF($A634="","",IFERROR(INDEX('AJUSTES'!$B$4:$B$303,MATCH($AN634,'AJUSTES'!$A$4:$A$303,0)),IF($K634="","",$K634)))</f>
        <v/>
      </c>
      <c r="N634" s="3">
        <f>IF($A634="","",IFERROR(INDEX('CAT_ESTADOS_ERP'!$B$4:$B$7,MATCH(IFERROR(INDEX('2_IMPORTAR_EJECUCION'!$C$9:$C$1208,MATCH($AN634,'2_IMPORTAR_EJECUCION'!$J$9:$J$1208,0)),""),'CAT_ESTADOS_ERP'!$A$4:$A$7,0)),"Pendiente"))</f>
        <v/>
      </c>
      <c r="O634" s="3">
        <f>IF($J634="","",YEAR($J634+4-WEEKDAY($J634,2))&amp;"-S"&amp;TEXT(_xlfn.ISOWEEKNUM($J634),"00"))</f>
        <v/>
      </c>
      <c r="P634" s="3">
        <f>IF($J634="","",YEAR($J634))</f>
        <v/>
      </c>
      <c r="Q634" s="3">
        <f>IF($J634="","",MONTH($J634))</f>
        <v/>
      </c>
      <c r="R634" s="3">
        <f>IF($J634="","",INDEX(lista_dias,WEEKDAY($J634,2)))</f>
        <v/>
      </c>
      <c r="S634" s="3">
        <f>IF($I634="","",IFERROR(INDEX('CAT_TIPOS_OT'!$C$4:$C$7,MATCH($I634,'CAT_TIPOS_OT'!$A$4:$A$7,0)),"sin_clasificar"))</f>
        <v/>
      </c>
      <c r="T634" s="3">
        <f>IF($F634="","",IFERROR(INDEX('CAT_CENTROS_COSTO'!$E$4:$E$9,MATCH($F634,'CAT_CENTROS_COSTO'!$A$4:$A$9,0)),"(sin catálogo)"))</f>
        <v/>
      </c>
      <c r="U634" s="3">
        <f>IF($F634="","",IFERROR(INDEX('CAT_CENTROS_COSTO'!$D$4:$D$9,MATCH($F634,'CAT_CENTROS_COSTO'!$A$4:$A$9,0)),"(sin catálogo)"))</f>
        <v/>
      </c>
      <c r="V634" s="3">
        <f>IF($F634="","",IFERROR(INDEX('CAT_CENTROS_COSTO'!$F$4:$F$9,MATCH($F634,'CAT_CENTROS_COSTO'!$A$4:$A$9,0)),"(sin catálogo)"))</f>
        <v/>
      </c>
      <c r="W634" s="3">
        <f>IF($G634="","",IFERROR(INDEX('CAT_PUESTOS'!$B$4:$B$8,MATCH($G634,'CAT_PUESTOS'!$A$4:$A$8,0)),"(sin catálogo)"))</f>
        <v/>
      </c>
      <c r="X634" s="3">
        <f>IF($H634="","",IFERROR(INDEX('CAT_ACTIVIDADES'!$B$4:$B$8,MATCH($H634,'CAT_ACTIVIDADES'!$A$4:$A$8,0)),"(sin catálogo)"))</f>
        <v/>
      </c>
      <c r="Y634" s="12">
        <f>IF($J634="","",TODAY()-$J634)</f>
        <v/>
      </c>
      <c r="Z634" s="3">
        <f>IF($Y634="","",IF($Y634&lt;0,"FUTURO",IF($Y634&gt;p_dias_backlog_max,"BACKLOG","MES CORRIENTE")))</f>
        <v/>
      </c>
      <c r="AA634" s="3">
        <f>IF($Y634="",FALSE,AND($Y634&gt;p_dias_backlog_min,$Y634&lt;=p_dias_backlog_max))</f>
        <v/>
      </c>
      <c r="AB634" s="6" t="n"/>
      <c r="AC634" s="3">
        <f>IF($AB634="","",IFERROR(INDEX('ASIGNACIONES'!$F$4:$F$339,MATCH($O634&amp;"|"&amp;$R634&amp;"|"&amp;$AB634,'ASIGNACIONES'!$I$4:$I$339,0)),""))</f>
        <v/>
      </c>
      <c r="AD634" s="13">
        <f>IF($AB634="","",SUMIFS('ORDENES'!$M$4:$M$1203,'ORDENES'!$AB$4:$AB$1203,$AB634,'ORDENES'!$O$4:$O$1203,$O634,'ORDENES'!$R$4:$R$1203,$R634))</f>
        <v/>
      </c>
      <c r="AE634" s="13">
        <f>IF($AD634="","",p_factor_productividad*IFERROR(INDEX('ASIGNACIONES'!$H$4:$H$339,MATCH($O634&amp;"|"&amp;$R634&amp;"|"&amp;$AB634,'ASIGNACIONES'!$I$4:$I$339,0)),0)-$AD634)</f>
        <v/>
      </c>
      <c r="AF634" s="10">
        <f>IF($A634="","",IFERROR(INDEX('2_IMPORTAR_EJECUCION'!$F$9:$F$1208,MATCH($AN634,'2_IMPORTAR_EJECUCION'!$J$9:$J$1208,0)),0))</f>
        <v/>
      </c>
      <c r="AG634" s="10">
        <f>IF($A634="","",MAX(0,IFERROR(INDEX('2_IMPORTAR_EJECUCION'!$H$9:$H$1208,MATCH($AN634,'2_IMPORTAR_EJECUCION'!$J$9:$J$1208,0)),0)-$AF634))</f>
        <v/>
      </c>
      <c r="AH634" s="10">
        <f>IF($A634="","",$AF634+$AG634)</f>
        <v/>
      </c>
      <c r="AI634" s="6" t="n"/>
      <c r="AJ634" s="6" t="n"/>
      <c r="AK634" s="6" t="n"/>
      <c r="AL634" s="3">
        <f>IF($AK634="","",HYPERLINK(p_ruta_base_checklists&amp;$AK634,"abrir"))</f>
        <v/>
      </c>
      <c r="AM634" s="6" t="n"/>
      <c r="AN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1" t="n"/>
      <c r="K635" s="3" t="n"/>
      <c r="L635" s="10" t="n"/>
      <c r="M635" s="3">
        <f>IF($A635="","",IFERROR(INDEX('AJUSTES'!$B$4:$B$303,MATCH($AN635,'AJUSTES'!$A$4:$A$303,0)),IF($K635="","",$K635)))</f>
        <v/>
      </c>
      <c r="N635" s="3">
        <f>IF($A635="","",IFERROR(INDEX('CAT_ESTADOS_ERP'!$B$4:$B$7,MATCH(IFERROR(INDEX('2_IMPORTAR_EJECUCION'!$C$9:$C$1208,MATCH($AN635,'2_IMPORTAR_EJECUCION'!$J$9:$J$1208,0)),""),'CAT_ESTADOS_ERP'!$A$4:$A$7,0)),"Pendiente"))</f>
        <v/>
      </c>
      <c r="O635" s="3">
        <f>IF($J635="","",YEAR($J635+4-WEEKDAY($J635,2))&amp;"-S"&amp;TEXT(_xlfn.ISOWEEKNUM($J635),"00"))</f>
        <v/>
      </c>
      <c r="P635" s="3">
        <f>IF($J635="","",YEAR($J635))</f>
        <v/>
      </c>
      <c r="Q635" s="3">
        <f>IF($J635="","",MONTH($J635))</f>
        <v/>
      </c>
      <c r="R635" s="3">
        <f>IF($J635="","",INDEX(lista_dias,WEEKDAY($J635,2)))</f>
        <v/>
      </c>
      <c r="S635" s="3">
        <f>IF($I635="","",IFERROR(INDEX('CAT_TIPOS_OT'!$C$4:$C$7,MATCH($I635,'CAT_TIPOS_OT'!$A$4:$A$7,0)),"sin_clasificar"))</f>
        <v/>
      </c>
      <c r="T635" s="3">
        <f>IF($F635="","",IFERROR(INDEX('CAT_CENTROS_COSTO'!$E$4:$E$9,MATCH($F635,'CAT_CENTROS_COSTO'!$A$4:$A$9,0)),"(sin catálogo)"))</f>
        <v/>
      </c>
      <c r="U635" s="3">
        <f>IF($F635="","",IFERROR(INDEX('CAT_CENTROS_COSTO'!$D$4:$D$9,MATCH($F635,'CAT_CENTROS_COSTO'!$A$4:$A$9,0)),"(sin catálogo)"))</f>
        <v/>
      </c>
      <c r="V635" s="3">
        <f>IF($F635="","",IFERROR(INDEX('CAT_CENTROS_COSTO'!$F$4:$F$9,MATCH($F635,'CAT_CENTROS_COSTO'!$A$4:$A$9,0)),"(sin catálogo)"))</f>
        <v/>
      </c>
      <c r="W635" s="3">
        <f>IF($G635="","",IFERROR(INDEX('CAT_PUESTOS'!$B$4:$B$8,MATCH($G635,'CAT_PUESTOS'!$A$4:$A$8,0)),"(sin catálogo)"))</f>
        <v/>
      </c>
      <c r="X635" s="3">
        <f>IF($H635="","",IFERROR(INDEX('CAT_ACTIVIDADES'!$B$4:$B$8,MATCH($H635,'CAT_ACTIVIDADES'!$A$4:$A$8,0)),"(sin catálogo)"))</f>
        <v/>
      </c>
      <c r="Y635" s="12">
        <f>IF($J635="","",TODAY()-$J635)</f>
        <v/>
      </c>
      <c r="Z635" s="3">
        <f>IF($Y635="","",IF($Y635&lt;0,"FUTURO",IF($Y635&gt;p_dias_backlog_max,"BACKLOG","MES CORRIENTE")))</f>
        <v/>
      </c>
      <c r="AA635" s="3">
        <f>IF($Y635="",FALSE,AND($Y635&gt;p_dias_backlog_min,$Y635&lt;=p_dias_backlog_max))</f>
        <v/>
      </c>
      <c r="AB635" s="6" t="n"/>
      <c r="AC635" s="3">
        <f>IF($AB635="","",IFERROR(INDEX('ASIGNACIONES'!$F$4:$F$339,MATCH($O635&amp;"|"&amp;$R635&amp;"|"&amp;$AB635,'ASIGNACIONES'!$I$4:$I$339,0)),""))</f>
        <v/>
      </c>
      <c r="AD635" s="13">
        <f>IF($AB635="","",SUMIFS('ORDENES'!$M$4:$M$1203,'ORDENES'!$AB$4:$AB$1203,$AB635,'ORDENES'!$O$4:$O$1203,$O635,'ORDENES'!$R$4:$R$1203,$R635))</f>
        <v/>
      </c>
      <c r="AE635" s="13">
        <f>IF($AD635="","",p_factor_productividad*IFERROR(INDEX('ASIGNACIONES'!$H$4:$H$339,MATCH($O635&amp;"|"&amp;$R635&amp;"|"&amp;$AB635,'ASIGNACIONES'!$I$4:$I$339,0)),0)-$AD635)</f>
        <v/>
      </c>
      <c r="AF635" s="10">
        <f>IF($A635="","",IFERROR(INDEX('2_IMPORTAR_EJECUCION'!$F$9:$F$1208,MATCH($AN635,'2_IMPORTAR_EJECUCION'!$J$9:$J$1208,0)),0))</f>
        <v/>
      </c>
      <c r="AG635" s="10">
        <f>IF($A635="","",MAX(0,IFERROR(INDEX('2_IMPORTAR_EJECUCION'!$H$9:$H$1208,MATCH($AN635,'2_IMPORTAR_EJECUCION'!$J$9:$J$1208,0)),0)-$AF635))</f>
        <v/>
      </c>
      <c r="AH635" s="10">
        <f>IF($A635="","",$AF635+$AG635)</f>
        <v/>
      </c>
      <c r="AI635" s="6" t="n"/>
      <c r="AJ635" s="6" t="n"/>
      <c r="AK635" s="6" t="n"/>
      <c r="AL635" s="3">
        <f>IF($AK635="","",HYPERLINK(p_ruta_base_checklists&amp;$AK635,"abrir"))</f>
        <v/>
      </c>
      <c r="AM635" s="6" t="n"/>
      <c r="AN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1" t="n"/>
      <c r="K636" s="3" t="n"/>
      <c r="L636" s="10" t="n"/>
      <c r="M636" s="3">
        <f>IF($A636="","",IFERROR(INDEX('AJUSTES'!$B$4:$B$303,MATCH($AN636,'AJUSTES'!$A$4:$A$303,0)),IF($K636="","",$K636)))</f>
        <v/>
      </c>
      <c r="N636" s="3">
        <f>IF($A636="","",IFERROR(INDEX('CAT_ESTADOS_ERP'!$B$4:$B$7,MATCH(IFERROR(INDEX('2_IMPORTAR_EJECUCION'!$C$9:$C$1208,MATCH($AN636,'2_IMPORTAR_EJECUCION'!$J$9:$J$1208,0)),""),'CAT_ESTADOS_ERP'!$A$4:$A$7,0)),"Pendiente"))</f>
        <v/>
      </c>
      <c r="O636" s="3">
        <f>IF($J636="","",YEAR($J636+4-WEEKDAY($J636,2))&amp;"-S"&amp;TEXT(_xlfn.ISOWEEKNUM($J636),"00"))</f>
        <v/>
      </c>
      <c r="P636" s="3">
        <f>IF($J636="","",YEAR($J636))</f>
        <v/>
      </c>
      <c r="Q636" s="3">
        <f>IF($J636="","",MONTH($J636))</f>
        <v/>
      </c>
      <c r="R636" s="3">
        <f>IF($J636="","",INDEX(lista_dias,WEEKDAY($J636,2)))</f>
        <v/>
      </c>
      <c r="S636" s="3">
        <f>IF($I636="","",IFERROR(INDEX('CAT_TIPOS_OT'!$C$4:$C$7,MATCH($I636,'CAT_TIPOS_OT'!$A$4:$A$7,0)),"sin_clasificar"))</f>
        <v/>
      </c>
      <c r="T636" s="3">
        <f>IF($F636="","",IFERROR(INDEX('CAT_CENTROS_COSTO'!$E$4:$E$9,MATCH($F636,'CAT_CENTROS_COSTO'!$A$4:$A$9,0)),"(sin catálogo)"))</f>
        <v/>
      </c>
      <c r="U636" s="3">
        <f>IF($F636="","",IFERROR(INDEX('CAT_CENTROS_COSTO'!$D$4:$D$9,MATCH($F636,'CAT_CENTROS_COSTO'!$A$4:$A$9,0)),"(sin catálogo)"))</f>
        <v/>
      </c>
      <c r="V636" s="3">
        <f>IF($F636="","",IFERROR(INDEX('CAT_CENTROS_COSTO'!$F$4:$F$9,MATCH($F636,'CAT_CENTROS_COSTO'!$A$4:$A$9,0)),"(sin catálogo)"))</f>
        <v/>
      </c>
      <c r="W636" s="3">
        <f>IF($G636="","",IFERROR(INDEX('CAT_PUESTOS'!$B$4:$B$8,MATCH($G636,'CAT_PUESTOS'!$A$4:$A$8,0)),"(sin catálogo)"))</f>
        <v/>
      </c>
      <c r="X636" s="3">
        <f>IF($H636="","",IFERROR(INDEX('CAT_ACTIVIDADES'!$B$4:$B$8,MATCH($H636,'CAT_ACTIVIDADES'!$A$4:$A$8,0)),"(sin catálogo)"))</f>
        <v/>
      </c>
      <c r="Y636" s="12">
        <f>IF($J636="","",TODAY()-$J636)</f>
        <v/>
      </c>
      <c r="Z636" s="3">
        <f>IF($Y636="","",IF($Y636&lt;0,"FUTURO",IF($Y636&gt;p_dias_backlog_max,"BACKLOG","MES CORRIENTE")))</f>
        <v/>
      </c>
      <c r="AA636" s="3">
        <f>IF($Y636="",FALSE,AND($Y636&gt;p_dias_backlog_min,$Y636&lt;=p_dias_backlog_max))</f>
        <v/>
      </c>
      <c r="AB636" s="6" t="n"/>
      <c r="AC636" s="3">
        <f>IF($AB636="","",IFERROR(INDEX('ASIGNACIONES'!$F$4:$F$339,MATCH($O636&amp;"|"&amp;$R636&amp;"|"&amp;$AB636,'ASIGNACIONES'!$I$4:$I$339,0)),""))</f>
        <v/>
      </c>
      <c r="AD636" s="13">
        <f>IF($AB636="","",SUMIFS('ORDENES'!$M$4:$M$1203,'ORDENES'!$AB$4:$AB$1203,$AB636,'ORDENES'!$O$4:$O$1203,$O636,'ORDENES'!$R$4:$R$1203,$R636))</f>
        <v/>
      </c>
      <c r="AE636" s="13">
        <f>IF($AD636="","",p_factor_productividad*IFERROR(INDEX('ASIGNACIONES'!$H$4:$H$339,MATCH($O636&amp;"|"&amp;$R636&amp;"|"&amp;$AB636,'ASIGNACIONES'!$I$4:$I$339,0)),0)-$AD636)</f>
        <v/>
      </c>
      <c r="AF636" s="10">
        <f>IF($A636="","",IFERROR(INDEX('2_IMPORTAR_EJECUCION'!$F$9:$F$1208,MATCH($AN636,'2_IMPORTAR_EJECUCION'!$J$9:$J$1208,0)),0))</f>
        <v/>
      </c>
      <c r="AG636" s="10">
        <f>IF($A636="","",MAX(0,IFERROR(INDEX('2_IMPORTAR_EJECUCION'!$H$9:$H$1208,MATCH($AN636,'2_IMPORTAR_EJECUCION'!$J$9:$J$1208,0)),0)-$AF636))</f>
        <v/>
      </c>
      <c r="AH636" s="10">
        <f>IF($A636="","",$AF636+$AG636)</f>
        <v/>
      </c>
      <c r="AI636" s="6" t="n"/>
      <c r="AJ636" s="6" t="n"/>
      <c r="AK636" s="6" t="n"/>
      <c r="AL636" s="3">
        <f>IF($AK636="","",HYPERLINK(p_ruta_base_checklists&amp;$AK636,"abrir"))</f>
        <v/>
      </c>
      <c r="AM636" s="6" t="n"/>
      <c r="AN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1" t="n"/>
      <c r="K637" s="3" t="n"/>
      <c r="L637" s="10" t="n"/>
      <c r="M637" s="3">
        <f>IF($A637="","",IFERROR(INDEX('AJUSTES'!$B$4:$B$303,MATCH($AN637,'AJUSTES'!$A$4:$A$303,0)),IF($K637="","",$K637)))</f>
        <v/>
      </c>
      <c r="N637" s="3">
        <f>IF($A637="","",IFERROR(INDEX('CAT_ESTADOS_ERP'!$B$4:$B$7,MATCH(IFERROR(INDEX('2_IMPORTAR_EJECUCION'!$C$9:$C$1208,MATCH($AN637,'2_IMPORTAR_EJECUCION'!$J$9:$J$1208,0)),""),'CAT_ESTADOS_ERP'!$A$4:$A$7,0)),"Pendiente"))</f>
        <v/>
      </c>
      <c r="O637" s="3">
        <f>IF($J637="","",YEAR($J637+4-WEEKDAY($J637,2))&amp;"-S"&amp;TEXT(_xlfn.ISOWEEKNUM($J637),"00"))</f>
        <v/>
      </c>
      <c r="P637" s="3">
        <f>IF($J637="","",YEAR($J637))</f>
        <v/>
      </c>
      <c r="Q637" s="3">
        <f>IF($J637="","",MONTH($J637))</f>
        <v/>
      </c>
      <c r="R637" s="3">
        <f>IF($J637="","",INDEX(lista_dias,WEEKDAY($J637,2)))</f>
        <v/>
      </c>
      <c r="S637" s="3">
        <f>IF($I637="","",IFERROR(INDEX('CAT_TIPOS_OT'!$C$4:$C$7,MATCH($I637,'CAT_TIPOS_OT'!$A$4:$A$7,0)),"sin_clasificar"))</f>
        <v/>
      </c>
      <c r="T637" s="3">
        <f>IF($F637="","",IFERROR(INDEX('CAT_CENTROS_COSTO'!$E$4:$E$9,MATCH($F637,'CAT_CENTROS_COSTO'!$A$4:$A$9,0)),"(sin catálogo)"))</f>
        <v/>
      </c>
      <c r="U637" s="3">
        <f>IF($F637="","",IFERROR(INDEX('CAT_CENTROS_COSTO'!$D$4:$D$9,MATCH($F637,'CAT_CENTROS_COSTO'!$A$4:$A$9,0)),"(sin catálogo)"))</f>
        <v/>
      </c>
      <c r="V637" s="3">
        <f>IF($F637="","",IFERROR(INDEX('CAT_CENTROS_COSTO'!$F$4:$F$9,MATCH($F637,'CAT_CENTROS_COSTO'!$A$4:$A$9,0)),"(sin catálogo)"))</f>
        <v/>
      </c>
      <c r="W637" s="3">
        <f>IF($G637="","",IFERROR(INDEX('CAT_PUESTOS'!$B$4:$B$8,MATCH($G637,'CAT_PUESTOS'!$A$4:$A$8,0)),"(sin catálogo)"))</f>
        <v/>
      </c>
      <c r="X637" s="3">
        <f>IF($H637="","",IFERROR(INDEX('CAT_ACTIVIDADES'!$B$4:$B$8,MATCH($H637,'CAT_ACTIVIDADES'!$A$4:$A$8,0)),"(sin catálogo)"))</f>
        <v/>
      </c>
      <c r="Y637" s="12">
        <f>IF($J637="","",TODAY()-$J637)</f>
        <v/>
      </c>
      <c r="Z637" s="3">
        <f>IF($Y637="","",IF($Y637&lt;0,"FUTURO",IF($Y637&gt;p_dias_backlog_max,"BACKLOG","MES CORRIENTE")))</f>
        <v/>
      </c>
      <c r="AA637" s="3">
        <f>IF($Y637="",FALSE,AND($Y637&gt;p_dias_backlog_min,$Y637&lt;=p_dias_backlog_max))</f>
        <v/>
      </c>
      <c r="AB637" s="6" t="n"/>
      <c r="AC637" s="3">
        <f>IF($AB637="","",IFERROR(INDEX('ASIGNACIONES'!$F$4:$F$339,MATCH($O637&amp;"|"&amp;$R637&amp;"|"&amp;$AB637,'ASIGNACIONES'!$I$4:$I$339,0)),""))</f>
        <v/>
      </c>
      <c r="AD637" s="13">
        <f>IF($AB637="","",SUMIFS('ORDENES'!$M$4:$M$1203,'ORDENES'!$AB$4:$AB$1203,$AB637,'ORDENES'!$O$4:$O$1203,$O637,'ORDENES'!$R$4:$R$1203,$R637))</f>
        <v/>
      </c>
      <c r="AE637" s="13">
        <f>IF($AD637="","",p_factor_productividad*IFERROR(INDEX('ASIGNACIONES'!$H$4:$H$339,MATCH($O637&amp;"|"&amp;$R637&amp;"|"&amp;$AB637,'ASIGNACIONES'!$I$4:$I$339,0)),0)-$AD637)</f>
        <v/>
      </c>
      <c r="AF637" s="10">
        <f>IF($A637="","",IFERROR(INDEX('2_IMPORTAR_EJECUCION'!$F$9:$F$1208,MATCH($AN637,'2_IMPORTAR_EJECUCION'!$J$9:$J$1208,0)),0))</f>
        <v/>
      </c>
      <c r="AG637" s="10">
        <f>IF($A637="","",MAX(0,IFERROR(INDEX('2_IMPORTAR_EJECUCION'!$H$9:$H$1208,MATCH($AN637,'2_IMPORTAR_EJECUCION'!$J$9:$J$1208,0)),0)-$AF637))</f>
        <v/>
      </c>
      <c r="AH637" s="10">
        <f>IF($A637="","",$AF637+$AG637)</f>
        <v/>
      </c>
      <c r="AI637" s="6" t="n"/>
      <c r="AJ637" s="6" t="n"/>
      <c r="AK637" s="6" t="n"/>
      <c r="AL637" s="3">
        <f>IF($AK637="","",HYPERLINK(p_ruta_base_checklists&amp;$AK637,"abrir"))</f>
        <v/>
      </c>
      <c r="AM637" s="6" t="n"/>
      <c r="AN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1" t="n"/>
      <c r="K638" s="3" t="n"/>
      <c r="L638" s="10" t="n"/>
      <c r="M638" s="3">
        <f>IF($A638="","",IFERROR(INDEX('AJUSTES'!$B$4:$B$303,MATCH($AN638,'AJUSTES'!$A$4:$A$303,0)),IF($K638="","",$K638)))</f>
        <v/>
      </c>
      <c r="N638" s="3">
        <f>IF($A638="","",IFERROR(INDEX('CAT_ESTADOS_ERP'!$B$4:$B$7,MATCH(IFERROR(INDEX('2_IMPORTAR_EJECUCION'!$C$9:$C$1208,MATCH($AN638,'2_IMPORTAR_EJECUCION'!$J$9:$J$1208,0)),""),'CAT_ESTADOS_ERP'!$A$4:$A$7,0)),"Pendiente"))</f>
        <v/>
      </c>
      <c r="O638" s="3">
        <f>IF($J638="","",YEAR($J638+4-WEEKDAY($J638,2))&amp;"-S"&amp;TEXT(_xlfn.ISOWEEKNUM($J638),"00"))</f>
        <v/>
      </c>
      <c r="P638" s="3">
        <f>IF($J638="","",YEAR($J638))</f>
        <v/>
      </c>
      <c r="Q638" s="3">
        <f>IF($J638="","",MONTH($J638))</f>
        <v/>
      </c>
      <c r="R638" s="3">
        <f>IF($J638="","",INDEX(lista_dias,WEEKDAY($J638,2)))</f>
        <v/>
      </c>
      <c r="S638" s="3">
        <f>IF($I638="","",IFERROR(INDEX('CAT_TIPOS_OT'!$C$4:$C$7,MATCH($I638,'CAT_TIPOS_OT'!$A$4:$A$7,0)),"sin_clasificar"))</f>
        <v/>
      </c>
      <c r="T638" s="3">
        <f>IF($F638="","",IFERROR(INDEX('CAT_CENTROS_COSTO'!$E$4:$E$9,MATCH($F638,'CAT_CENTROS_COSTO'!$A$4:$A$9,0)),"(sin catálogo)"))</f>
        <v/>
      </c>
      <c r="U638" s="3">
        <f>IF($F638="","",IFERROR(INDEX('CAT_CENTROS_COSTO'!$D$4:$D$9,MATCH($F638,'CAT_CENTROS_COSTO'!$A$4:$A$9,0)),"(sin catálogo)"))</f>
        <v/>
      </c>
      <c r="V638" s="3">
        <f>IF($F638="","",IFERROR(INDEX('CAT_CENTROS_COSTO'!$F$4:$F$9,MATCH($F638,'CAT_CENTROS_COSTO'!$A$4:$A$9,0)),"(sin catálogo)"))</f>
        <v/>
      </c>
      <c r="W638" s="3">
        <f>IF($G638="","",IFERROR(INDEX('CAT_PUESTOS'!$B$4:$B$8,MATCH($G638,'CAT_PUESTOS'!$A$4:$A$8,0)),"(sin catálogo)"))</f>
        <v/>
      </c>
      <c r="X638" s="3">
        <f>IF($H638="","",IFERROR(INDEX('CAT_ACTIVIDADES'!$B$4:$B$8,MATCH($H638,'CAT_ACTIVIDADES'!$A$4:$A$8,0)),"(sin catálogo)"))</f>
        <v/>
      </c>
      <c r="Y638" s="12">
        <f>IF($J638="","",TODAY()-$J638)</f>
        <v/>
      </c>
      <c r="Z638" s="3">
        <f>IF($Y638="","",IF($Y638&lt;0,"FUTURO",IF($Y638&gt;p_dias_backlog_max,"BACKLOG","MES CORRIENTE")))</f>
        <v/>
      </c>
      <c r="AA638" s="3">
        <f>IF($Y638="",FALSE,AND($Y638&gt;p_dias_backlog_min,$Y638&lt;=p_dias_backlog_max))</f>
        <v/>
      </c>
      <c r="AB638" s="6" t="n"/>
      <c r="AC638" s="3">
        <f>IF($AB638="","",IFERROR(INDEX('ASIGNACIONES'!$F$4:$F$339,MATCH($O638&amp;"|"&amp;$R638&amp;"|"&amp;$AB638,'ASIGNACIONES'!$I$4:$I$339,0)),""))</f>
        <v/>
      </c>
      <c r="AD638" s="13">
        <f>IF($AB638="","",SUMIFS('ORDENES'!$M$4:$M$1203,'ORDENES'!$AB$4:$AB$1203,$AB638,'ORDENES'!$O$4:$O$1203,$O638,'ORDENES'!$R$4:$R$1203,$R638))</f>
        <v/>
      </c>
      <c r="AE638" s="13">
        <f>IF($AD638="","",p_factor_productividad*IFERROR(INDEX('ASIGNACIONES'!$H$4:$H$339,MATCH($O638&amp;"|"&amp;$R638&amp;"|"&amp;$AB638,'ASIGNACIONES'!$I$4:$I$339,0)),0)-$AD638)</f>
        <v/>
      </c>
      <c r="AF638" s="10">
        <f>IF($A638="","",IFERROR(INDEX('2_IMPORTAR_EJECUCION'!$F$9:$F$1208,MATCH($AN638,'2_IMPORTAR_EJECUCION'!$J$9:$J$1208,0)),0))</f>
        <v/>
      </c>
      <c r="AG638" s="10">
        <f>IF($A638="","",MAX(0,IFERROR(INDEX('2_IMPORTAR_EJECUCION'!$H$9:$H$1208,MATCH($AN638,'2_IMPORTAR_EJECUCION'!$J$9:$J$1208,0)),0)-$AF638))</f>
        <v/>
      </c>
      <c r="AH638" s="10">
        <f>IF($A638="","",$AF638+$AG638)</f>
        <v/>
      </c>
      <c r="AI638" s="6" t="n"/>
      <c r="AJ638" s="6" t="n"/>
      <c r="AK638" s="6" t="n"/>
      <c r="AL638" s="3">
        <f>IF($AK638="","",HYPERLINK(p_ruta_base_checklists&amp;$AK638,"abrir"))</f>
        <v/>
      </c>
      <c r="AM638" s="6" t="n"/>
      <c r="AN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1" t="n"/>
      <c r="K639" s="3" t="n"/>
      <c r="L639" s="10" t="n"/>
      <c r="M639" s="3">
        <f>IF($A639="","",IFERROR(INDEX('AJUSTES'!$B$4:$B$303,MATCH($AN639,'AJUSTES'!$A$4:$A$303,0)),IF($K639="","",$K639)))</f>
        <v/>
      </c>
      <c r="N639" s="3">
        <f>IF($A639="","",IFERROR(INDEX('CAT_ESTADOS_ERP'!$B$4:$B$7,MATCH(IFERROR(INDEX('2_IMPORTAR_EJECUCION'!$C$9:$C$1208,MATCH($AN639,'2_IMPORTAR_EJECUCION'!$J$9:$J$1208,0)),""),'CAT_ESTADOS_ERP'!$A$4:$A$7,0)),"Pendiente"))</f>
        <v/>
      </c>
      <c r="O639" s="3">
        <f>IF($J639="","",YEAR($J639+4-WEEKDAY($J639,2))&amp;"-S"&amp;TEXT(_xlfn.ISOWEEKNUM($J639),"00"))</f>
        <v/>
      </c>
      <c r="P639" s="3">
        <f>IF($J639="","",YEAR($J639))</f>
        <v/>
      </c>
      <c r="Q639" s="3">
        <f>IF($J639="","",MONTH($J639))</f>
        <v/>
      </c>
      <c r="R639" s="3">
        <f>IF($J639="","",INDEX(lista_dias,WEEKDAY($J639,2)))</f>
        <v/>
      </c>
      <c r="S639" s="3">
        <f>IF($I639="","",IFERROR(INDEX('CAT_TIPOS_OT'!$C$4:$C$7,MATCH($I639,'CAT_TIPOS_OT'!$A$4:$A$7,0)),"sin_clasificar"))</f>
        <v/>
      </c>
      <c r="T639" s="3">
        <f>IF($F639="","",IFERROR(INDEX('CAT_CENTROS_COSTO'!$E$4:$E$9,MATCH($F639,'CAT_CENTROS_COSTO'!$A$4:$A$9,0)),"(sin catálogo)"))</f>
        <v/>
      </c>
      <c r="U639" s="3">
        <f>IF($F639="","",IFERROR(INDEX('CAT_CENTROS_COSTO'!$D$4:$D$9,MATCH($F639,'CAT_CENTROS_COSTO'!$A$4:$A$9,0)),"(sin catálogo)"))</f>
        <v/>
      </c>
      <c r="V639" s="3">
        <f>IF($F639="","",IFERROR(INDEX('CAT_CENTROS_COSTO'!$F$4:$F$9,MATCH($F639,'CAT_CENTROS_COSTO'!$A$4:$A$9,0)),"(sin catálogo)"))</f>
        <v/>
      </c>
      <c r="W639" s="3">
        <f>IF($G639="","",IFERROR(INDEX('CAT_PUESTOS'!$B$4:$B$8,MATCH($G639,'CAT_PUESTOS'!$A$4:$A$8,0)),"(sin catálogo)"))</f>
        <v/>
      </c>
      <c r="X639" s="3">
        <f>IF($H639="","",IFERROR(INDEX('CAT_ACTIVIDADES'!$B$4:$B$8,MATCH($H639,'CAT_ACTIVIDADES'!$A$4:$A$8,0)),"(sin catálogo)"))</f>
        <v/>
      </c>
      <c r="Y639" s="12">
        <f>IF($J639="","",TODAY()-$J639)</f>
        <v/>
      </c>
      <c r="Z639" s="3">
        <f>IF($Y639="","",IF($Y639&lt;0,"FUTURO",IF($Y639&gt;p_dias_backlog_max,"BACKLOG","MES CORRIENTE")))</f>
        <v/>
      </c>
      <c r="AA639" s="3">
        <f>IF($Y639="",FALSE,AND($Y639&gt;p_dias_backlog_min,$Y639&lt;=p_dias_backlog_max))</f>
        <v/>
      </c>
      <c r="AB639" s="6" t="n"/>
      <c r="AC639" s="3">
        <f>IF($AB639="","",IFERROR(INDEX('ASIGNACIONES'!$F$4:$F$339,MATCH($O639&amp;"|"&amp;$R639&amp;"|"&amp;$AB639,'ASIGNACIONES'!$I$4:$I$339,0)),""))</f>
        <v/>
      </c>
      <c r="AD639" s="13">
        <f>IF($AB639="","",SUMIFS('ORDENES'!$M$4:$M$1203,'ORDENES'!$AB$4:$AB$1203,$AB639,'ORDENES'!$O$4:$O$1203,$O639,'ORDENES'!$R$4:$R$1203,$R639))</f>
        <v/>
      </c>
      <c r="AE639" s="13">
        <f>IF($AD639="","",p_factor_productividad*IFERROR(INDEX('ASIGNACIONES'!$H$4:$H$339,MATCH($O639&amp;"|"&amp;$R639&amp;"|"&amp;$AB639,'ASIGNACIONES'!$I$4:$I$339,0)),0)-$AD639)</f>
        <v/>
      </c>
      <c r="AF639" s="10">
        <f>IF($A639="","",IFERROR(INDEX('2_IMPORTAR_EJECUCION'!$F$9:$F$1208,MATCH($AN639,'2_IMPORTAR_EJECUCION'!$J$9:$J$1208,0)),0))</f>
        <v/>
      </c>
      <c r="AG639" s="10">
        <f>IF($A639="","",MAX(0,IFERROR(INDEX('2_IMPORTAR_EJECUCION'!$H$9:$H$1208,MATCH($AN639,'2_IMPORTAR_EJECUCION'!$J$9:$J$1208,0)),0)-$AF639))</f>
        <v/>
      </c>
      <c r="AH639" s="10">
        <f>IF($A639="","",$AF639+$AG639)</f>
        <v/>
      </c>
      <c r="AI639" s="6" t="n"/>
      <c r="AJ639" s="6" t="n"/>
      <c r="AK639" s="6" t="n"/>
      <c r="AL639" s="3">
        <f>IF($AK639="","",HYPERLINK(p_ruta_base_checklists&amp;$AK639,"abrir"))</f>
        <v/>
      </c>
      <c r="AM639" s="6" t="n"/>
      <c r="AN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1" t="n"/>
      <c r="K640" s="3" t="n"/>
      <c r="L640" s="10" t="n"/>
      <c r="M640" s="3">
        <f>IF($A640="","",IFERROR(INDEX('AJUSTES'!$B$4:$B$303,MATCH($AN640,'AJUSTES'!$A$4:$A$303,0)),IF($K640="","",$K640)))</f>
        <v/>
      </c>
      <c r="N640" s="3">
        <f>IF($A640="","",IFERROR(INDEX('CAT_ESTADOS_ERP'!$B$4:$B$7,MATCH(IFERROR(INDEX('2_IMPORTAR_EJECUCION'!$C$9:$C$1208,MATCH($AN640,'2_IMPORTAR_EJECUCION'!$J$9:$J$1208,0)),""),'CAT_ESTADOS_ERP'!$A$4:$A$7,0)),"Pendiente"))</f>
        <v/>
      </c>
      <c r="O640" s="3">
        <f>IF($J640="","",YEAR($J640+4-WEEKDAY($J640,2))&amp;"-S"&amp;TEXT(_xlfn.ISOWEEKNUM($J640),"00"))</f>
        <v/>
      </c>
      <c r="P640" s="3">
        <f>IF($J640="","",YEAR($J640))</f>
        <v/>
      </c>
      <c r="Q640" s="3">
        <f>IF($J640="","",MONTH($J640))</f>
        <v/>
      </c>
      <c r="R640" s="3">
        <f>IF($J640="","",INDEX(lista_dias,WEEKDAY($J640,2)))</f>
        <v/>
      </c>
      <c r="S640" s="3">
        <f>IF($I640="","",IFERROR(INDEX('CAT_TIPOS_OT'!$C$4:$C$7,MATCH($I640,'CAT_TIPOS_OT'!$A$4:$A$7,0)),"sin_clasificar"))</f>
        <v/>
      </c>
      <c r="T640" s="3">
        <f>IF($F640="","",IFERROR(INDEX('CAT_CENTROS_COSTO'!$E$4:$E$9,MATCH($F640,'CAT_CENTROS_COSTO'!$A$4:$A$9,0)),"(sin catálogo)"))</f>
        <v/>
      </c>
      <c r="U640" s="3">
        <f>IF($F640="","",IFERROR(INDEX('CAT_CENTROS_COSTO'!$D$4:$D$9,MATCH($F640,'CAT_CENTROS_COSTO'!$A$4:$A$9,0)),"(sin catálogo)"))</f>
        <v/>
      </c>
      <c r="V640" s="3">
        <f>IF($F640="","",IFERROR(INDEX('CAT_CENTROS_COSTO'!$F$4:$F$9,MATCH($F640,'CAT_CENTROS_COSTO'!$A$4:$A$9,0)),"(sin catálogo)"))</f>
        <v/>
      </c>
      <c r="W640" s="3">
        <f>IF($G640="","",IFERROR(INDEX('CAT_PUESTOS'!$B$4:$B$8,MATCH($G640,'CAT_PUESTOS'!$A$4:$A$8,0)),"(sin catálogo)"))</f>
        <v/>
      </c>
      <c r="X640" s="3">
        <f>IF($H640="","",IFERROR(INDEX('CAT_ACTIVIDADES'!$B$4:$B$8,MATCH($H640,'CAT_ACTIVIDADES'!$A$4:$A$8,0)),"(sin catálogo)"))</f>
        <v/>
      </c>
      <c r="Y640" s="12">
        <f>IF($J640="","",TODAY()-$J640)</f>
        <v/>
      </c>
      <c r="Z640" s="3">
        <f>IF($Y640="","",IF($Y640&lt;0,"FUTURO",IF($Y640&gt;p_dias_backlog_max,"BACKLOG","MES CORRIENTE")))</f>
        <v/>
      </c>
      <c r="AA640" s="3">
        <f>IF($Y640="",FALSE,AND($Y640&gt;p_dias_backlog_min,$Y640&lt;=p_dias_backlog_max))</f>
        <v/>
      </c>
      <c r="AB640" s="6" t="n"/>
      <c r="AC640" s="3">
        <f>IF($AB640="","",IFERROR(INDEX('ASIGNACIONES'!$F$4:$F$339,MATCH($O640&amp;"|"&amp;$R640&amp;"|"&amp;$AB640,'ASIGNACIONES'!$I$4:$I$339,0)),""))</f>
        <v/>
      </c>
      <c r="AD640" s="13">
        <f>IF($AB640="","",SUMIFS('ORDENES'!$M$4:$M$1203,'ORDENES'!$AB$4:$AB$1203,$AB640,'ORDENES'!$O$4:$O$1203,$O640,'ORDENES'!$R$4:$R$1203,$R640))</f>
        <v/>
      </c>
      <c r="AE640" s="13">
        <f>IF($AD640="","",p_factor_productividad*IFERROR(INDEX('ASIGNACIONES'!$H$4:$H$339,MATCH($O640&amp;"|"&amp;$R640&amp;"|"&amp;$AB640,'ASIGNACIONES'!$I$4:$I$339,0)),0)-$AD640)</f>
        <v/>
      </c>
      <c r="AF640" s="10">
        <f>IF($A640="","",IFERROR(INDEX('2_IMPORTAR_EJECUCION'!$F$9:$F$1208,MATCH($AN640,'2_IMPORTAR_EJECUCION'!$J$9:$J$1208,0)),0))</f>
        <v/>
      </c>
      <c r="AG640" s="10">
        <f>IF($A640="","",MAX(0,IFERROR(INDEX('2_IMPORTAR_EJECUCION'!$H$9:$H$1208,MATCH($AN640,'2_IMPORTAR_EJECUCION'!$J$9:$J$1208,0)),0)-$AF640))</f>
        <v/>
      </c>
      <c r="AH640" s="10">
        <f>IF($A640="","",$AF640+$AG640)</f>
        <v/>
      </c>
      <c r="AI640" s="6" t="n"/>
      <c r="AJ640" s="6" t="n"/>
      <c r="AK640" s="6" t="n"/>
      <c r="AL640" s="3">
        <f>IF($AK640="","",HYPERLINK(p_ruta_base_checklists&amp;$AK640,"abrir"))</f>
        <v/>
      </c>
      <c r="AM640" s="6" t="n"/>
      <c r="AN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1" t="n"/>
      <c r="K641" s="3" t="n"/>
      <c r="L641" s="10" t="n"/>
      <c r="M641" s="3">
        <f>IF($A641="","",IFERROR(INDEX('AJUSTES'!$B$4:$B$303,MATCH($AN641,'AJUSTES'!$A$4:$A$303,0)),IF($K641="","",$K641)))</f>
        <v/>
      </c>
      <c r="N641" s="3">
        <f>IF($A641="","",IFERROR(INDEX('CAT_ESTADOS_ERP'!$B$4:$B$7,MATCH(IFERROR(INDEX('2_IMPORTAR_EJECUCION'!$C$9:$C$1208,MATCH($AN641,'2_IMPORTAR_EJECUCION'!$J$9:$J$1208,0)),""),'CAT_ESTADOS_ERP'!$A$4:$A$7,0)),"Pendiente"))</f>
        <v/>
      </c>
      <c r="O641" s="3">
        <f>IF($J641="","",YEAR($J641+4-WEEKDAY($J641,2))&amp;"-S"&amp;TEXT(_xlfn.ISOWEEKNUM($J641),"00"))</f>
        <v/>
      </c>
      <c r="P641" s="3">
        <f>IF($J641="","",YEAR($J641))</f>
        <v/>
      </c>
      <c r="Q641" s="3">
        <f>IF($J641="","",MONTH($J641))</f>
        <v/>
      </c>
      <c r="R641" s="3">
        <f>IF($J641="","",INDEX(lista_dias,WEEKDAY($J641,2)))</f>
        <v/>
      </c>
      <c r="S641" s="3">
        <f>IF($I641="","",IFERROR(INDEX('CAT_TIPOS_OT'!$C$4:$C$7,MATCH($I641,'CAT_TIPOS_OT'!$A$4:$A$7,0)),"sin_clasificar"))</f>
        <v/>
      </c>
      <c r="T641" s="3">
        <f>IF($F641="","",IFERROR(INDEX('CAT_CENTROS_COSTO'!$E$4:$E$9,MATCH($F641,'CAT_CENTROS_COSTO'!$A$4:$A$9,0)),"(sin catálogo)"))</f>
        <v/>
      </c>
      <c r="U641" s="3">
        <f>IF($F641="","",IFERROR(INDEX('CAT_CENTROS_COSTO'!$D$4:$D$9,MATCH($F641,'CAT_CENTROS_COSTO'!$A$4:$A$9,0)),"(sin catálogo)"))</f>
        <v/>
      </c>
      <c r="V641" s="3">
        <f>IF($F641="","",IFERROR(INDEX('CAT_CENTROS_COSTO'!$F$4:$F$9,MATCH($F641,'CAT_CENTROS_COSTO'!$A$4:$A$9,0)),"(sin catálogo)"))</f>
        <v/>
      </c>
      <c r="W641" s="3">
        <f>IF($G641="","",IFERROR(INDEX('CAT_PUESTOS'!$B$4:$B$8,MATCH($G641,'CAT_PUESTOS'!$A$4:$A$8,0)),"(sin catálogo)"))</f>
        <v/>
      </c>
      <c r="X641" s="3">
        <f>IF($H641="","",IFERROR(INDEX('CAT_ACTIVIDADES'!$B$4:$B$8,MATCH($H641,'CAT_ACTIVIDADES'!$A$4:$A$8,0)),"(sin catálogo)"))</f>
        <v/>
      </c>
      <c r="Y641" s="12">
        <f>IF($J641="","",TODAY()-$J641)</f>
        <v/>
      </c>
      <c r="Z641" s="3">
        <f>IF($Y641="","",IF($Y641&lt;0,"FUTURO",IF($Y641&gt;p_dias_backlog_max,"BACKLOG","MES CORRIENTE")))</f>
        <v/>
      </c>
      <c r="AA641" s="3">
        <f>IF($Y641="",FALSE,AND($Y641&gt;p_dias_backlog_min,$Y641&lt;=p_dias_backlog_max))</f>
        <v/>
      </c>
      <c r="AB641" s="6" t="n"/>
      <c r="AC641" s="3">
        <f>IF($AB641="","",IFERROR(INDEX('ASIGNACIONES'!$F$4:$F$339,MATCH($O641&amp;"|"&amp;$R641&amp;"|"&amp;$AB641,'ASIGNACIONES'!$I$4:$I$339,0)),""))</f>
        <v/>
      </c>
      <c r="AD641" s="13">
        <f>IF($AB641="","",SUMIFS('ORDENES'!$M$4:$M$1203,'ORDENES'!$AB$4:$AB$1203,$AB641,'ORDENES'!$O$4:$O$1203,$O641,'ORDENES'!$R$4:$R$1203,$R641))</f>
        <v/>
      </c>
      <c r="AE641" s="13">
        <f>IF($AD641="","",p_factor_productividad*IFERROR(INDEX('ASIGNACIONES'!$H$4:$H$339,MATCH($O641&amp;"|"&amp;$R641&amp;"|"&amp;$AB641,'ASIGNACIONES'!$I$4:$I$339,0)),0)-$AD641)</f>
        <v/>
      </c>
      <c r="AF641" s="10">
        <f>IF($A641="","",IFERROR(INDEX('2_IMPORTAR_EJECUCION'!$F$9:$F$1208,MATCH($AN641,'2_IMPORTAR_EJECUCION'!$J$9:$J$1208,0)),0))</f>
        <v/>
      </c>
      <c r="AG641" s="10">
        <f>IF($A641="","",MAX(0,IFERROR(INDEX('2_IMPORTAR_EJECUCION'!$H$9:$H$1208,MATCH($AN641,'2_IMPORTAR_EJECUCION'!$J$9:$J$1208,0)),0)-$AF641))</f>
        <v/>
      </c>
      <c r="AH641" s="10">
        <f>IF($A641="","",$AF641+$AG641)</f>
        <v/>
      </c>
      <c r="AI641" s="6" t="n"/>
      <c r="AJ641" s="6" t="n"/>
      <c r="AK641" s="6" t="n"/>
      <c r="AL641" s="3">
        <f>IF($AK641="","",HYPERLINK(p_ruta_base_checklists&amp;$AK641,"abrir"))</f>
        <v/>
      </c>
      <c r="AM641" s="6" t="n"/>
      <c r="AN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1" t="n"/>
      <c r="K642" s="3" t="n"/>
      <c r="L642" s="10" t="n"/>
      <c r="M642" s="3">
        <f>IF($A642="","",IFERROR(INDEX('AJUSTES'!$B$4:$B$303,MATCH($AN642,'AJUSTES'!$A$4:$A$303,0)),IF($K642="","",$K642)))</f>
        <v/>
      </c>
      <c r="N642" s="3">
        <f>IF($A642="","",IFERROR(INDEX('CAT_ESTADOS_ERP'!$B$4:$B$7,MATCH(IFERROR(INDEX('2_IMPORTAR_EJECUCION'!$C$9:$C$1208,MATCH($AN642,'2_IMPORTAR_EJECUCION'!$J$9:$J$1208,0)),""),'CAT_ESTADOS_ERP'!$A$4:$A$7,0)),"Pendiente"))</f>
        <v/>
      </c>
      <c r="O642" s="3">
        <f>IF($J642="","",YEAR($J642+4-WEEKDAY($J642,2))&amp;"-S"&amp;TEXT(_xlfn.ISOWEEKNUM($J642),"00"))</f>
        <v/>
      </c>
      <c r="P642" s="3">
        <f>IF($J642="","",YEAR($J642))</f>
        <v/>
      </c>
      <c r="Q642" s="3">
        <f>IF($J642="","",MONTH($J642))</f>
        <v/>
      </c>
      <c r="R642" s="3">
        <f>IF($J642="","",INDEX(lista_dias,WEEKDAY($J642,2)))</f>
        <v/>
      </c>
      <c r="S642" s="3">
        <f>IF($I642="","",IFERROR(INDEX('CAT_TIPOS_OT'!$C$4:$C$7,MATCH($I642,'CAT_TIPOS_OT'!$A$4:$A$7,0)),"sin_clasificar"))</f>
        <v/>
      </c>
      <c r="T642" s="3">
        <f>IF($F642="","",IFERROR(INDEX('CAT_CENTROS_COSTO'!$E$4:$E$9,MATCH($F642,'CAT_CENTROS_COSTO'!$A$4:$A$9,0)),"(sin catálogo)"))</f>
        <v/>
      </c>
      <c r="U642" s="3">
        <f>IF($F642="","",IFERROR(INDEX('CAT_CENTROS_COSTO'!$D$4:$D$9,MATCH($F642,'CAT_CENTROS_COSTO'!$A$4:$A$9,0)),"(sin catálogo)"))</f>
        <v/>
      </c>
      <c r="V642" s="3">
        <f>IF($F642="","",IFERROR(INDEX('CAT_CENTROS_COSTO'!$F$4:$F$9,MATCH($F642,'CAT_CENTROS_COSTO'!$A$4:$A$9,0)),"(sin catálogo)"))</f>
        <v/>
      </c>
      <c r="W642" s="3">
        <f>IF($G642="","",IFERROR(INDEX('CAT_PUESTOS'!$B$4:$B$8,MATCH($G642,'CAT_PUESTOS'!$A$4:$A$8,0)),"(sin catálogo)"))</f>
        <v/>
      </c>
      <c r="X642" s="3">
        <f>IF($H642="","",IFERROR(INDEX('CAT_ACTIVIDADES'!$B$4:$B$8,MATCH($H642,'CAT_ACTIVIDADES'!$A$4:$A$8,0)),"(sin catálogo)"))</f>
        <v/>
      </c>
      <c r="Y642" s="12">
        <f>IF($J642="","",TODAY()-$J642)</f>
        <v/>
      </c>
      <c r="Z642" s="3">
        <f>IF($Y642="","",IF($Y642&lt;0,"FUTURO",IF($Y642&gt;p_dias_backlog_max,"BACKLOG","MES CORRIENTE")))</f>
        <v/>
      </c>
      <c r="AA642" s="3">
        <f>IF($Y642="",FALSE,AND($Y642&gt;p_dias_backlog_min,$Y642&lt;=p_dias_backlog_max))</f>
        <v/>
      </c>
      <c r="AB642" s="6" t="n"/>
      <c r="AC642" s="3">
        <f>IF($AB642="","",IFERROR(INDEX('ASIGNACIONES'!$F$4:$F$339,MATCH($O642&amp;"|"&amp;$R642&amp;"|"&amp;$AB642,'ASIGNACIONES'!$I$4:$I$339,0)),""))</f>
        <v/>
      </c>
      <c r="AD642" s="13">
        <f>IF($AB642="","",SUMIFS('ORDENES'!$M$4:$M$1203,'ORDENES'!$AB$4:$AB$1203,$AB642,'ORDENES'!$O$4:$O$1203,$O642,'ORDENES'!$R$4:$R$1203,$R642))</f>
        <v/>
      </c>
      <c r="AE642" s="13">
        <f>IF($AD642="","",p_factor_productividad*IFERROR(INDEX('ASIGNACIONES'!$H$4:$H$339,MATCH($O642&amp;"|"&amp;$R642&amp;"|"&amp;$AB642,'ASIGNACIONES'!$I$4:$I$339,0)),0)-$AD642)</f>
        <v/>
      </c>
      <c r="AF642" s="10">
        <f>IF($A642="","",IFERROR(INDEX('2_IMPORTAR_EJECUCION'!$F$9:$F$1208,MATCH($AN642,'2_IMPORTAR_EJECUCION'!$J$9:$J$1208,0)),0))</f>
        <v/>
      </c>
      <c r="AG642" s="10">
        <f>IF($A642="","",MAX(0,IFERROR(INDEX('2_IMPORTAR_EJECUCION'!$H$9:$H$1208,MATCH($AN642,'2_IMPORTAR_EJECUCION'!$J$9:$J$1208,0)),0)-$AF642))</f>
        <v/>
      </c>
      <c r="AH642" s="10">
        <f>IF($A642="","",$AF642+$AG642)</f>
        <v/>
      </c>
      <c r="AI642" s="6" t="n"/>
      <c r="AJ642" s="6" t="n"/>
      <c r="AK642" s="6" t="n"/>
      <c r="AL642" s="3">
        <f>IF($AK642="","",HYPERLINK(p_ruta_base_checklists&amp;$AK642,"abrir"))</f>
        <v/>
      </c>
      <c r="AM642" s="6" t="n"/>
      <c r="AN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1" t="n"/>
      <c r="K643" s="3" t="n"/>
      <c r="L643" s="10" t="n"/>
      <c r="M643" s="3">
        <f>IF($A643="","",IFERROR(INDEX('AJUSTES'!$B$4:$B$303,MATCH($AN643,'AJUSTES'!$A$4:$A$303,0)),IF($K643="","",$K643)))</f>
        <v/>
      </c>
      <c r="N643" s="3">
        <f>IF($A643="","",IFERROR(INDEX('CAT_ESTADOS_ERP'!$B$4:$B$7,MATCH(IFERROR(INDEX('2_IMPORTAR_EJECUCION'!$C$9:$C$1208,MATCH($AN643,'2_IMPORTAR_EJECUCION'!$J$9:$J$1208,0)),""),'CAT_ESTADOS_ERP'!$A$4:$A$7,0)),"Pendiente"))</f>
        <v/>
      </c>
      <c r="O643" s="3">
        <f>IF($J643="","",YEAR($J643+4-WEEKDAY($J643,2))&amp;"-S"&amp;TEXT(_xlfn.ISOWEEKNUM($J643),"00"))</f>
        <v/>
      </c>
      <c r="P643" s="3">
        <f>IF($J643="","",YEAR($J643))</f>
        <v/>
      </c>
      <c r="Q643" s="3">
        <f>IF($J643="","",MONTH($J643))</f>
        <v/>
      </c>
      <c r="R643" s="3">
        <f>IF($J643="","",INDEX(lista_dias,WEEKDAY($J643,2)))</f>
        <v/>
      </c>
      <c r="S643" s="3">
        <f>IF($I643="","",IFERROR(INDEX('CAT_TIPOS_OT'!$C$4:$C$7,MATCH($I643,'CAT_TIPOS_OT'!$A$4:$A$7,0)),"sin_clasificar"))</f>
        <v/>
      </c>
      <c r="T643" s="3">
        <f>IF($F643="","",IFERROR(INDEX('CAT_CENTROS_COSTO'!$E$4:$E$9,MATCH($F643,'CAT_CENTROS_COSTO'!$A$4:$A$9,0)),"(sin catálogo)"))</f>
        <v/>
      </c>
      <c r="U643" s="3">
        <f>IF($F643="","",IFERROR(INDEX('CAT_CENTROS_COSTO'!$D$4:$D$9,MATCH($F643,'CAT_CENTROS_COSTO'!$A$4:$A$9,0)),"(sin catálogo)"))</f>
        <v/>
      </c>
      <c r="V643" s="3">
        <f>IF($F643="","",IFERROR(INDEX('CAT_CENTROS_COSTO'!$F$4:$F$9,MATCH($F643,'CAT_CENTROS_COSTO'!$A$4:$A$9,0)),"(sin catálogo)"))</f>
        <v/>
      </c>
      <c r="W643" s="3">
        <f>IF($G643="","",IFERROR(INDEX('CAT_PUESTOS'!$B$4:$B$8,MATCH($G643,'CAT_PUESTOS'!$A$4:$A$8,0)),"(sin catálogo)"))</f>
        <v/>
      </c>
      <c r="X643" s="3">
        <f>IF($H643="","",IFERROR(INDEX('CAT_ACTIVIDADES'!$B$4:$B$8,MATCH($H643,'CAT_ACTIVIDADES'!$A$4:$A$8,0)),"(sin catálogo)"))</f>
        <v/>
      </c>
      <c r="Y643" s="12">
        <f>IF($J643="","",TODAY()-$J643)</f>
        <v/>
      </c>
      <c r="Z643" s="3">
        <f>IF($Y643="","",IF($Y643&lt;0,"FUTURO",IF($Y643&gt;p_dias_backlog_max,"BACKLOG","MES CORRIENTE")))</f>
        <v/>
      </c>
      <c r="AA643" s="3">
        <f>IF($Y643="",FALSE,AND($Y643&gt;p_dias_backlog_min,$Y643&lt;=p_dias_backlog_max))</f>
        <v/>
      </c>
      <c r="AB643" s="6" t="n"/>
      <c r="AC643" s="3">
        <f>IF($AB643="","",IFERROR(INDEX('ASIGNACIONES'!$F$4:$F$339,MATCH($O643&amp;"|"&amp;$R643&amp;"|"&amp;$AB643,'ASIGNACIONES'!$I$4:$I$339,0)),""))</f>
        <v/>
      </c>
      <c r="AD643" s="13">
        <f>IF($AB643="","",SUMIFS('ORDENES'!$M$4:$M$1203,'ORDENES'!$AB$4:$AB$1203,$AB643,'ORDENES'!$O$4:$O$1203,$O643,'ORDENES'!$R$4:$R$1203,$R643))</f>
        <v/>
      </c>
      <c r="AE643" s="13">
        <f>IF($AD643="","",p_factor_productividad*IFERROR(INDEX('ASIGNACIONES'!$H$4:$H$339,MATCH($O643&amp;"|"&amp;$R643&amp;"|"&amp;$AB643,'ASIGNACIONES'!$I$4:$I$339,0)),0)-$AD643)</f>
        <v/>
      </c>
      <c r="AF643" s="10">
        <f>IF($A643="","",IFERROR(INDEX('2_IMPORTAR_EJECUCION'!$F$9:$F$1208,MATCH($AN643,'2_IMPORTAR_EJECUCION'!$J$9:$J$1208,0)),0))</f>
        <v/>
      </c>
      <c r="AG643" s="10">
        <f>IF($A643="","",MAX(0,IFERROR(INDEX('2_IMPORTAR_EJECUCION'!$H$9:$H$1208,MATCH($AN643,'2_IMPORTAR_EJECUCION'!$J$9:$J$1208,0)),0)-$AF643))</f>
        <v/>
      </c>
      <c r="AH643" s="10">
        <f>IF($A643="","",$AF643+$AG643)</f>
        <v/>
      </c>
      <c r="AI643" s="6" t="n"/>
      <c r="AJ643" s="6" t="n"/>
      <c r="AK643" s="6" t="n"/>
      <c r="AL643" s="3">
        <f>IF($AK643="","",HYPERLINK(p_ruta_base_checklists&amp;$AK643,"abrir"))</f>
        <v/>
      </c>
      <c r="AM643" s="6" t="n"/>
      <c r="AN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1" t="n"/>
      <c r="K644" s="3" t="n"/>
      <c r="L644" s="10" t="n"/>
      <c r="M644" s="3">
        <f>IF($A644="","",IFERROR(INDEX('AJUSTES'!$B$4:$B$303,MATCH($AN644,'AJUSTES'!$A$4:$A$303,0)),IF($K644="","",$K644)))</f>
        <v/>
      </c>
      <c r="N644" s="3">
        <f>IF($A644="","",IFERROR(INDEX('CAT_ESTADOS_ERP'!$B$4:$B$7,MATCH(IFERROR(INDEX('2_IMPORTAR_EJECUCION'!$C$9:$C$1208,MATCH($AN644,'2_IMPORTAR_EJECUCION'!$J$9:$J$1208,0)),""),'CAT_ESTADOS_ERP'!$A$4:$A$7,0)),"Pendiente"))</f>
        <v/>
      </c>
      <c r="O644" s="3">
        <f>IF($J644="","",YEAR($J644+4-WEEKDAY($J644,2))&amp;"-S"&amp;TEXT(_xlfn.ISOWEEKNUM($J644),"00"))</f>
        <v/>
      </c>
      <c r="P644" s="3">
        <f>IF($J644="","",YEAR($J644))</f>
        <v/>
      </c>
      <c r="Q644" s="3">
        <f>IF($J644="","",MONTH($J644))</f>
        <v/>
      </c>
      <c r="R644" s="3">
        <f>IF($J644="","",INDEX(lista_dias,WEEKDAY($J644,2)))</f>
        <v/>
      </c>
      <c r="S644" s="3">
        <f>IF($I644="","",IFERROR(INDEX('CAT_TIPOS_OT'!$C$4:$C$7,MATCH($I644,'CAT_TIPOS_OT'!$A$4:$A$7,0)),"sin_clasificar"))</f>
        <v/>
      </c>
      <c r="T644" s="3">
        <f>IF($F644="","",IFERROR(INDEX('CAT_CENTROS_COSTO'!$E$4:$E$9,MATCH($F644,'CAT_CENTROS_COSTO'!$A$4:$A$9,0)),"(sin catálogo)"))</f>
        <v/>
      </c>
      <c r="U644" s="3">
        <f>IF($F644="","",IFERROR(INDEX('CAT_CENTROS_COSTO'!$D$4:$D$9,MATCH($F644,'CAT_CENTROS_COSTO'!$A$4:$A$9,0)),"(sin catálogo)"))</f>
        <v/>
      </c>
      <c r="V644" s="3">
        <f>IF($F644="","",IFERROR(INDEX('CAT_CENTROS_COSTO'!$F$4:$F$9,MATCH($F644,'CAT_CENTROS_COSTO'!$A$4:$A$9,0)),"(sin catálogo)"))</f>
        <v/>
      </c>
      <c r="W644" s="3">
        <f>IF($G644="","",IFERROR(INDEX('CAT_PUESTOS'!$B$4:$B$8,MATCH($G644,'CAT_PUESTOS'!$A$4:$A$8,0)),"(sin catálogo)"))</f>
        <v/>
      </c>
      <c r="X644" s="3">
        <f>IF($H644="","",IFERROR(INDEX('CAT_ACTIVIDADES'!$B$4:$B$8,MATCH($H644,'CAT_ACTIVIDADES'!$A$4:$A$8,0)),"(sin catálogo)"))</f>
        <v/>
      </c>
      <c r="Y644" s="12">
        <f>IF($J644="","",TODAY()-$J644)</f>
        <v/>
      </c>
      <c r="Z644" s="3">
        <f>IF($Y644="","",IF($Y644&lt;0,"FUTURO",IF($Y644&gt;p_dias_backlog_max,"BACKLOG","MES CORRIENTE")))</f>
        <v/>
      </c>
      <c r="AA644" s="3">
        <f>IF($Y644="",FALSE,AND($Y644&gt;p_dias_backlog_min,$Y644&lt;=p_dias_backlog_max))</f>
        <v/>
      </c>
      <c r="AB644" s="6" t="n"/>
      <c r="AC644" s="3">
        <f>IF($AB644="","",IFERROR(INDEX('ASIGNACIONES'!$F$4:$F$339,MATCH($O644&amp;"|"&amp;$R644&amp;"|"&amp;$AB644,'ASIGNACIONES'!$I$4:$I$339,0)),""))</f>
        <v/>
      </c>
      <c r="AD644" s="13">
        <f>IF($AB644="","",SUMIFS('ORDENES'!$M$4:$M$1203,'ORDENES'!$AB$4:$AB$1203,$AB644,'ORDENES'!$O$4:$O$1203,$O644,'ORDENES'!$R$4:$R$1203,$R644))</f>
        <v/>
      </c>
      <c r="AE644" s="13">
        <f>IF($AD644="","",p_factor_productividad*IFERROR(INDEX('ASIGNACIONES'!$H$4:$H$339,MATCH($O644&amp;"|"&amp;$R644&amp;"|"&amp;$AB644,'ASIGNACIONES'!$I$4:$I$339,0)),0)-$AD644)</f>
        <v/>
      </c>
      <c r="AF644" s="10">
        <f>IF($A644="","",IFERROR(INDEX('2_IMPORTAR_EJECUCION'!$F$9:$F$1208,MATCH($AN644,'2_IMPORTAR_EJECUCION'!$J$9:$J$1208,0)),0))</f>
        <v/>
      </c>
      <c r="AG644" s="10">
        <f>IF($A644="","",MAX(0,IFERROR(INDEX('2_IMPORTAR_EJECUCION'!$H$9:$H$1208,MATCH($AN644,'2_IMPORTAR_EJECUCION'!$J$9:$J$1208,0)),0)-$AF644))</f>
        <v/>
      </c>
      <c r="AH644" s="10">
        <f>IF($A644="","",$AF644+$AG644)</f>
        <v/>
      </c>
      <c r="AI644" s="6" t="n"/>
      <c r="AJ644" s="6" t="n"/>
      <c r="AK644" s="6" t="n"/>
      <c r="AL644" s="3">
        <f>IF($AK644="","",HYPERLINK(p_ruta_base_checklists&amp;$AK644,"abrir"))</f>
        <v/>
      </c>
      <c r="AM644" s="6" t="n"/>
      <c r="AN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1" t="n"/>
      <c r="K645" s="3" t="n"/>
      <c r="L645" s="10" t="n"/>
      <c r="M645" s="3">
        <f>IF($A645="","",IFERROR(INDEX('AJUSTES'!$B$4:$B$303,MATCH($AN645,'AJUSTES'!$A$4:$A$303,0)),IF($K645="","",$K645)))</f>
        <v/>
      </c>
      <c r="N645" s="3">
        <f>IF($A645="","",IFERROR(INDEX('CAT_ESTADOS_ERP'!$B$4:$B$7,MATCH(IFERROR(INDEX('2_IMPORTAR_EJECUCION'!$C$9:$C$1208,MATCH($AN645,'2_IMPORTAR_EJECUCION'!$J$9:$J$1208,0)),""),'CAT_ESTADOS_ERP'!$A$4:$A$7,0)),"Pendiente"))</f>
        <v/>
      </c>
      <c r="O645" s="3">
        <f>IF($J645="","",YEAR($J645+4-WEEKDAY($J645,2))&amp;"-S"&amp;TEXT(_xlfn.ISOWEEKNUM($J645),"00"))</f>
        <v/>
      </c>
      <c r="P645" s="3">
        <f>IF($J645="","",YEAR($J645))</f>
        <v/>
      </c>
      <c r="Q645" s="3">
        <f>IF($J645="","",MONTH($J645))</f>
        <v/>
      </c>
      <c r="R645" s="3">
        <f>IF($J645="","",INDEX(lista_dias,WEEKDAY($J645,2)))</f>
        <v/>
      </c>
      <c r="S645" s="3">
        <f>IF($I645="","",IFERROR(INDEX('CAT_TIPOS_OT'!$C$4:$C$7,MATCH($I645,'CAT_TIPOS_OT'!$A$4:$A$7,0)),"sin_clasificar"))</f>
        <v/>
      </c>
      <c r="T645" s="3">
        <f>IF($F645="","",IFERROR(INDEX('CAT_CENTROS_COSTO'!$E$4:$E$9,MATCH($F645,'CAT_CENTROS_COSTO'!$A$4:$A$9,0)),"(sin catálogo)"))</f>
        <v/>
      </c>
      <c r="U645" s="3">
        <f>IF($F645="","",IFERROR(INDEX('CAT_CENTROS_COSTO'!$D$4:$D$9,MATCH($F645,'CAT_CENTROS_COSTO'!$A$4:$A$9,0)),"(sin catálogo)"))</f>
        <v/>
      </c>
      <c r="V645" s="3">
        <f>IF($F645="","",IFERROR(INDEX('CAT_CENTROS_COSTO'!$F$4:$F$9,MATCH($F645,'CAT_CENTROS_COSTO'!$A$4:$A$9,0)),"(sin catálogo)"))</f>
        <v/>
      </c>
      <c r="W645" s="3">
        <f>IF($G645="","",IFERROR(INDEX('CAT_PUESTOS'!$B$4:$B$8,MATCH($G645,'CAT_PUESTOS'!$A$4:$A$8,0)),"(sin catálogo)"))</f>
        <v/>
      </c>
      <c r="X645" s="3">
        <f>IF($H645="","",IFERROR(INDEX('CAT_ACTIVIDADES'!$B$4:$B$8,MATCH($H645,'CAT_ACTIVIDADES'!$A$4:$A$8,0)),"(sin catálogo)"))</f>
        <v/>
      </c>
      <c r="Y645" s="12">
        <f>IF($J645="","",TODAY()-$J645)</f>
        <v/>
      </c>
      <c r="Z645" s="3">
        <f>IF($Y645="","",IF($Y645&lt;0,"FUTURO",IF($Y645&gt;p_dias_backlog_max,"BACKLOG","MES CORRIENTE")))</f>
        <v/>
      </c>
      <c r="AA645" s="3">
        <f>IF($Y645="",FALSE,AND($Y645&gt;p_dias_backlog_min,$Y645&lt;=p_dias_backlog_max))</f>
        <v/>
      </c>
      <c r="AB645" s="6" t="n"/>
      <c r="AC645" s="3">
        <f>IF($AB645="","",IFERROR(INDEX('ASIGNACIONES'!$F$4:$F$339,MATCH($O645&amp;"|"&amp;$R645&amp;"|"&amp;$AB645,'ASIGNACIONES'!$I$4:$I$339,0)),""))</f>
        <v/>
      </c>
      <c r="AD645" s="13">
        <f>IF($AB645="","",SUMIFS('ORDENES'!$M$4:$M$1203,'ORDENES'!$AB$4:$AB$1203,$AB645,'ORDENES'!$O$4:$O$1203,$O645,'ORDENES'!$R$4:$R$1203,$R645))</f>
        <v/>
      </c>
      <c r="AE645" s="13">
        <f>IF($AD645="","",p_factor_productividad*IFERROR(INDEX('ASIGNACIONES'!$H$4:$H$339,MATCH($O645&amp;"|"&amp;$R645&amp;"|"&amp;$AB645,'ASIGNACIONES'!$I$4:$I$339,0)),0)-$AD645)</f>
        <v/>
      </c>
      <c r="AF645" s="10">
        <f>IF($A645="","",IFERROR(INDEX('2_IMPORTAR_EJECUCION'!$F$9:$F$1208,MATCH($AN645,'2_IMPORTAR_EJECUCION'!$J$9:$J$1208,0)),0))</f>
        <v/>
      </c>
      <c r="AG645" s="10">
        <f>IF($A645="","",MAX(0,IFERROR(INDEX('2_IMPORTAR_EJECUCION'!$H$9:$H$1208,MATCH($AN645,'2_IMPORTAR_EJECUCION'!$J$9:$J$1208,0)),0)-$AF645))</f>
        <v/>
      </c>
      <c r="AH645" s="10">
        <f>IF($A645="","",$AF645+$AG645)</f>
        <v/>
      </c>
      <c r="AI645" s="6" t="n"/>
      <c r="AJ645" s="6" t="n"/>
      <c r="AK645" s="6" t="n"/>
      <c r="AL645" s="3">
        <f>IF($AK645="","",HYPERLINK(p_ruta_base_checklists&amp;$AK645,"abrir"))</f>
        <v/>
      </c>
      <c r="AM645" s="6" t="n"/>
      <c r="AN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1" t="n"/>
      <c r="K646" s="3" t="n"/>
      <c r="L646" s="10" t="n"/>
      <c r="M646" s="3">
        <f>IF($A646="","",IFERROR(INDEX('AJUSTES'!$B$4:$B$303,MATCH($AN646,'AJUSTES'!$A$4:$A$303,0)),IF($K646="","",$K646)))</f>
        <v/>
      </c>
      <c r="N646" s="3">
        <f>IF($A646="","",IFERROR(INDEX('CAT_ESTADOS_ERP'!$B$4:$B$7,MATCH(IFERROR(INDEX('2_IMPORTAR_EJECUCION'!$C$9:$C$1208,MATCH($AN646,'2_IMPORTAR_EJECUCION'!$J$9:$J$1208,0)),""),'CAT_ESTADOS_ERP'!$A$4:$A$7,0)),"Pendiente"))</f>
        <v/>
      </c>
      <c r="O646" s="3">
        <f>IF($J646="","",YEAR($J646+4-WEEKDAY($J646,2))&amp;"-S"&amp;TEXT(_xlfn.ISOWEEKNUM($J646),"00"))</f>
        <v/>
      </c>
      <c r="P646" s="3">
        <f>IF($J646="","",YEAR($J646))</f>
        <v/>
      </c>
      <c r="Q646" s="3">
        <f>IF($J646="","",MONTH($J646))</f>
        <v/>
      </c>
      <c r="R646" s="3">
        <f>IF($J646="","",INDEX(lista_dias,WEEKDAY($J646,2)))</f>
        <v/>
      </c>
      <c r="S646" s="3">
        <f>IF($I646="","",IFERROR(INDEX('CAT_TIPOS_OT'!$C$4:$C$7,MATCH($I646,'CAT_TIPOS_OT'!$A$4:$A$7,0)),"sin_clasificar"))</f>
        <v/>
      </c>
      <c r="T646" s="3">
        <f>IF($F646="","",IFERROR(INDEX('CAT_CENTROS_COSTO'!$E$4:$E$9,MATCH($F646,'CAT_CENTROS_COSTO'!$A$4:$A$9,0)),"(sin catálogo)"))</f>
        <v/>
      </c>
      <c r="U646" s="3">
        <f>IF($F646="","",IFERROR(INDEX('CAT_CENTROS_COSTO'!$D$4:$D$9,MATCH($F646,'CAT_CENTROS_COSTO'!$A$4:$A$9,0)),"(sin catálogo)"))</f>
        <v/>
      </c>
      <c r="V646" s="3">
        <f>IF($F646="","",IFERROR(INDEX('CAT_CENTROS_COSTO'!$F$4:$F$9,MATCH($F646,'CAT_CENTROS_COSTO'!$A$4:$A$9,0)),"(sin catálogo)"))</f>
        <v/>
      </c>
      <c r="W646" s="3">
        <f>IF($G646="","",IFERROR(INDEX('CAT_PUESTOS'!$B$4:$B$8,MATCH($G646,'CAT_PUESTOS'!$A$4:$A$8,0)),"(sin catálogo)"))</f>
        <v/>
      </c>
      <c r="X646" s="3">
        <f>IF($H646="","",IFERROR(INDEX('CAT_ACTIVIDADES'!$B$4:$B$8,MATCH($H646,'CAT_ACTIVIDADES'!$A$4:$A$8,0)),"(sin catálogo)"))</f>
        <v/>
      </c>
      <c r="Y646" s="12">
        <f>IF($J646="","",TODAY()-$J646)</f>
        <v/>
      </c>
      <c r="Z646" s="3">
        <f>IF($Y646="","",IF($Y646&lt;0,"FUTURO",IF($Y646&gt;p_dias_backlog_max,"BACKLOG","MES CORRIENTE")))</f>
        <v/>
      </c>
      <c r="AA646" s="3">
        <f>IF($Y646="",FALSE,AND($Y646&gt;p_dias_backlog_min,$Y646&lt;=p_dias_backlog_max))</f>
        <v/>
      </c>
      <c r="AB646" s="6" t="n"/>
      <c r="AC646" s="3">
        <f>IF($AB646="","",IFERROR(INDEX('ASIGNACIONES'!$F$4:$F$339,MATCH($O646&amp;"|"&amp;$R646&amp;"|"&amp;$AB646,'ASIGNACIONES'!$I$4:$I$339,0)),""))</f>
        <v/>
      </c>
      <c r="AD646" s="13">
        <f>IF($AB646="","",SUMIFS('ORDENES'!$M$4:$M$1203,'ORDENES'!$AB$4:$AB$1203,$AB646,'ORDENES'!$O$4:$O$1203,$O646,'ORDENES'!$R$4:$R$1203,$R646))</f>
        <v/>
      </c>
      <c r="AE646" s="13">
        <f>IF($AD646="","",p_factor_productividad*IFERROR(INDEX('ASIGNACIONES'!$H$4:$H$339,MATCH($O646&amp;"|"&amp;$R646&amp;"|"&amp;$AB646,'ASIGNACIONES'!$I$4:$I$339,0)),0)-$AD646)</f>
        <v/>
      </c>
      <c r="AF646" s="10">
        <f>IF($A646="","",IFERROR(INDEX('2_IMPORTAR_EJECUCION'!$F$9:$F$1208,MATCH($AN646,'2_IMPORTAR_EJECUCION'!$J$9:$J$1208,0)),0))</f>
        <v/>
      </c>
      <c r="AG646" s="10">
        <f>IF($A646="","",MAX(0,IFERROR(INDEX('2_IMPORTAR_EJECUCION'!$H$9:$H$1208,MATCH($AN646,'2_IMPORTAR_EJECUCION'!$J$9:$J$1208,0)),0)-$AF646))</f>
        <v/>
      </c>
      <c r="AH646" s="10">
        <f>IF($A646="","",$AF646+$AG646)</f>
        <v/>
      </c>
      <c r="AI646" s="6" t="n"/>
      <c r="AJ646" s="6" t="n"/>
      <c r="AK646" s="6" t="n"/>
      <c r="AL646" s="3">
        <f>IF($AK646="","",HYPERLINK(p_ruta_base_checklists&amp;$AK646,"abrir"))</f>
        <v/>
      </c>
      <c r="AM646" s="6" t="n"/>
      <c r="AN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1" t="n"/>
      <c r="K647" s="3" t="n"/>
      <c r="L647" s="10" t="n"/>
      <c r="M647" s="3">
        <f>IF($A647="","",IFERROR(INDEX('AJUSTES'!$B$4:$B$303,MATCH($AN647,'AJUSTES'!$A$4:$A$303,0)),IF($K647="","",$K647)))</f>
        <v/>
      </c>
      <c r="N647" s="3">
        <f>IF($A647="","",IFERROR(INDEX('CAT_ESTADOS_ERP'!$B$4:$B$7,MATCH(IFERROR(INDEX('2_IMPORTAR_EJECUCION'!$C$9:$C$1208,MATCH($AN647,'2_IMPORTAR_EJECUCION'!$J$9:$J$1208,0)),""),'CAT_ESTADOS_ERP'!$A$4:$A$7,0)),"Pendiente"))</f>
        <v/>
      </c>
      <c r="O647" s="3">
        <f>IF($J647="","",YEAR($J647+4-WEEKDAY($J647,2))&amp;"-S"&amp;TEXT(_xlfn.ISOWEEKNUM($J647),"00"))</f>
        <v/>
      </c>
      <c r="P647" s="3">
        <f>IF($J647="","",YEAR($J647))</f>
        <v/>
      </c>
      <c r="Q647" s="3">
        <f>IF($J647="","",MONTH($J647))</f>
        <v/>
      </c>
      <c r="R647" s="3">
        <f>IF($J647="","",INDEX(lista_dias,WEEKDAY($J647,2)))</f>
        <v/>
      </c>
      <c r="S647" s="3">
        <f>IF($I647="","",IFERROR(INDEX('CAT_TIPOS_OT'!$C$4:$C$7,MATCH($I647,'CAT_TIPOS_OT'!$A$4:$A$7,0)),"sin_clasificar"))</f>
        <v/>
      </c>
      <c r="T647" s="3">
        <f>IF($F647="","",IFERROR(INDEX('CAT_CENTROS_COSTO'!$E$4:$E$9,MATCH($F647,'CAT_CENTROS_COSTO'!$A$4:$A$9,0)),"(sin catálogo)"))</f>
        <v/>
      </c>
      <c r="U647" s="3">
        <f>IF($F647="","",IFERROR(INDEX('CAT_CENTROS_COSTO'!$D$4:$D$9,MATCH($F647,'CAT_CENTROS_COSTO'!$A$4:$A$9,0)),"(sin catálogo)"))</f>
        <v/>
      </c>
      <c r="V647" s="3">
        <f>IF($F647="","",IFERROR(INDEX('CAT_CENTROS_COSTO'!$F$4:$F$9,MATCH($F647,'CAT_CENTROS_COSTO'!$A$4:$A$9,0)),"(sin catálogo)"))</f>
        <v/>
      </c>
      <c r="W647" s="3">
        <f>IF($G647="","",IFERROR(INDEX('CAT_PUESTOS'!$B$4:$B$8,MATCH($G647,'CAT_PUESTOS'!$A$4:$A$8,0)),"(sin catálogo)"))</f>
        <v/>
      </c>
      <c r="X647" s="3">
        <f>IF($H647="","",IFERROR(INDEX('CAT_ACTIVIDADES'!$B$4:$B$8,MATCH($H647,'CAT_ACTIVIDADES'!$A$4:$A$8,0)),"(sin catálogo)"))</f>
        <v/>
      </c>
      <c r="Y647" s="12">
        <f>IF($J647="","",TODAY()-$J647)</f>
        <v/>
      </c>
      <c r="Z647" s="3">
        <f>IF($Y647="","",IF($Y647&lt;0,"FUTURO",IF($Y647&gt;p_dias_backlog_max,"BACKLOG","MES CORRIENTE")))</f>
        <v/>
      </c>
      <c r="AA647" s="3">
        <f>IF($Y647="",FALSE,AND($Y647&gt;p_dias_backlog_min,$Y647&lt;=p_dias_backlog_max))</f>
        <v/>
      </c>
      <c r="AB647" s="6" t="n"/>
      <c r="AC647" s="3">
        <f>IF($AB647="","",IFERROR(INDEX('ASIGNACIONES'!$F$4:$F$339,MATCH($O647&amp;"|"&amp;$R647&amp;"|"&amp;$AB647,'ASIGNACIONES'!$I$4:$I$339,0)),""))</f>
        <v/>
      </c>
      <c r="AD647" s="13">
        <f>IF($AB647="","",SUMIFS('ORDENES'!$M$4:$M$1203,'ORDENES'!$AB$4:$AB$1203,$AB647,'ORDENES'!$O$4:$O$1203,$O647,'ORDENES'!$R$4:$R$1203,$R647))</f>
        <v/>
      </c>
      <c r="AE647" s="13">
        <f>IF($AD647="","",p_factor_productividad*IFERROR(INDEX('ASIGNACIONES'!$H$4:$H$339,MATCH($O647&amp;"|"&amp;$R647&amp;"|"&amp;$AB647,'ASIGNACIONES'!$I$4:$I$339,0)),0)-$AD647)</f>
        <v/>
      </c>
      <c r="AF647" s="10">
        <f>IF($A647="","",IFERROR(INDEX('2_IMPORTAR_EJECUCION'!$F$9:$F$1208,MATCH($AN647,'2_IMPORTAR_EJECUCION'!$J$9:$J$1208,0)),0))</f>
        <v/>
      </c>
      <c r="AG647" s="10">
        <f>IF($A647="","",MAX(0,IFERROR(INDEX('2_IMPORTAR_EJECUCION'!$H$9:$H$1208,MATCH($AN647,'2_IMPORTAR_EJECUCION'!$J$9:$J$1208,0)),0)-$AF647))</f>
        <v/>
      </c>
      <c r="AH647" s="10">
        <f>IF($A647="","",$AF647+$AG647)</f>
        <v/>
      </c>
      <c r="AI647" s="6" t="n"/>
      <c r="AJ647" s="6" t="n"/>
      <c r="AK647" s="6" t="n"/>
      <c r="AL647" s="3">
        <f>IF($AK647="","",HYPERLINK(p_ruta_base_checklists&amp;$AK647,"abrir"))</f>
        <v/>
      </c>
      <c r="AM647" s="6" t="n"/>
      <c r="AN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1" t="n"/>
      <c r="K648" s="3" t="n"/>
      <c r="L648" s="10" t="n"/>
      <c r="M648" s="3">
        <f>IF($A648="","",IFERROR(INDEX('AJUSTES'!$B$4:$B$303,MATCH($AN648,'AJUSTES'!$A$4:$A$303,0)),IF($K648="","",$K648)))</f>
        <v/>
      </c>
      <c r="N648" s="3">
        <f>IF($A648="","",IFERROR(INDEX('CAT_ESTADOS_ERP'!$B$4:$B$7,MATCH(IFERROR(INDEX('2_IMPORTAR_EJECUCION'!$C$9:$C$1208,MATCH($AN648,'2_IMPORTAR_EJECUCION'!$J$9:$J$1208,0)),""),'CAT_ESTADOS_ERP'!$A$4:$A$7,0)),"Pendiente"))</f>
        <v/>
      </c>
      <c r="O648" s="3">
        <f>IF($J648="","",YEAR($J648+4-WEEKDAY($J648,2))&amp;"-S"&amp;TEXT(_xlfn.ISOWEEKNUM($J648),"00"))</f>
        <v/>
      </c>
      <c r="P648" s="3">
        <f>IF($J648="","",YEAR($J648))</f>
        <v/>
      </c>
      <c r="Q648" s="3">
        <f>IF($J648="","",MONTH($J648))</f>
        <v/>
      </c>
      <c r="R648" s="3">
        <f>IF($J648="","",INDEX(lista_dias,WEEKDAY($J648,2)))</f>
        <v/>
      </c>
      <c r="S648" s="3">
        <f>IF($I648="","",IFERROR(INDEX('CAT_TIPOS_OT'!$C$4:$C$7,MATCH($I648,'CAT_TIPOS_OT'!$A$4:$A$7,0)),"sin_clasificar"))</f>
        <v/>
      </c>
      <c r="T648" s="3">
        <f>IF($F648="","",IFERROR(INDEX('CAT_CENTROS_COSTO'!$E$4:$E$9,MATCH($F648,'CAT_CENTROS_COSTO'!$A$4:$A$9,0)),"(sin catálogo)"))</f>
        <v/>
      </c>
      <c r="U648" s="3">
        <f>IF($F648="","",IFERROR(INDEX('CAT_CENTROS_COSTO'!$D$4:$D$9,MATCH($F648,'CAT_CENTROS_COSTO'!$A$4:$A$9,0)),"(sin catálogo)"))</f>
        <v/>
      </c>
      <c r="V648" s="3">
        <f>IF($F648="","",IFERROR(INDEX('CAT_CENTROS_COSTO'!$F$4:$F$9,MATCH($F648,'CAT_CENTROS_COSTO'!$A$4:$A$9,0)),"(sin catálogo)"))</f>
        <v/>
      </c>
      <c r="W648" s="3">
        <f>IF($G648="","",IFERROR(INDEX('CAT_PUESTOS'!$B$4:$B$8,MATCH($G648,'CAT_PUESTOS'!$A$4:$A$8,0)),"(sin catálogo)"))</f>
        <v/>
      </c>
      <c r="X648" s="3">
        <f>IF($H648="","",IFERROR(INDEX('CAT_ACTIVIDADES'!$B$4:$B$8,MATCH($H648,'CAT_ACTIVIDADES'!$A$4:$A$8,0)),"(sin catálogo)"))</f>
        <v/>
      </c>
      <c r="Y648" s="12">
        <f>IF($J648="","",TODAY()-$J648)</f>
        <v/>
      </c>
      <c r="Z648" s="3">
        <f>IF($Y648="","",IF($Y648&lt;0,"FUTURO",IF($Y648&gt;p_dias_backlog_max,"BACKLOG","MES CORRIENTE")))</f>
        <v/>
      </c>
      <c r="AA648" s="3">
        <f>IF($Y648="",FALSE,AND($Y648&gt;p_dias_backlog_min,$Y648&lt;=p_dias_backlog_max))</f>
        <v/>
      </c>
      <c r="AB648" s="6" t="n"/>
      <c r="AC648" s="3">
        <f>IF($AB648="","",IFERROR(INDEX('ASIGNACIONES'!$F$4:$F$339,MATCH($O648&amp;"|"&amp;$R648&amp;"|"&amp;$AB648,'ASIGNACIONES'!$I$4:$I$339,0)),""))</f>
        <v/>
      </c>
      <c r="AD648" s="13">
        <f>IF($AB648="","",SUMIFS('ORDENES'!$M$4:$M$1203,'ORDENES'!$AB$4:$AB$1203,$AB648,'ORDENES'!$O$4:$O$1203,$O648,'ORDENES'!$R$4:$R$1203,$R648))</f>
        <v/>
      </c>
      <c r="AE648" s="13">
        <f>IF($AD648="","",p_factor_productividad*IFERROR(INDEX('ASIGNACIONES'!$H$4:$H$339,MATCH($O648&amp;"|"&amp;$R648&amp;"|"&amp;$AB648,'ASIGNACIONES'!$I$4:$I$339,0)),0)-$AD648)</f>
        <v/>
      </c>
      <c r="AF648" s="10">
        <f>IF($A648="","",IFERROR(INDEX('2_IMPORTAR_EJECUCION'!$F$9:$F$1208,MATCH($AN648,'2_IMPORTAR_EJECUCION'!$J$9:$J$1208,0)),0))</f>
        <v/>
      </c>
      <c r="AG648" s="10">
        <f>IF($A648="","",MAX(0,IFERROR(INDEX('2_IMPORTAR_EJECUCION'!$H$9:$H$1208,MATCH($AN648,'2_IMPORTAR_EJECUCION'!$J$9:$J$1208,0)),0)-$AF648))</f>
        <v/>
      </c>
      <c r="AH648" s="10">
        <f>IF($A648="","",$AF648+$AG648)</f>
        <v/>
      </c>
      <c r="AI648" s="6" t="n"/>
      <c r="AJ648" s="6" t="n"/>
      <c r="AK648" s="6" t="n"/>
      <c r="AL648" s="3">
        <f>IF($AK648="","",HYPERLINK(p_ruta_base_checklists&amp;$AK648,"abrir"))</f>
        <v/>
      </c>
      <c r="AM648" s="6" t="n"/>
      <c r="AN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1" t="n"/>
      <c r="K649" s="3" t="n"/>
      <c r="L649" s="10" t="n"/>
      <c r="M649" s="3">
        <f>IF($A649="","",IFERROR(INDEX('AJUSTES'!$B$4:$B$303,MATCH($AN649,'AJUSTES'!$A$4:$A$303,0)),IF($K649="","",$K649)))</f>
        <v/>
      </c>
      <c r="N649" s="3">
        <f>IF($A649="","",IFERROR(INDEX('CAT_ESTADOS_ERP'!$B$4:$B$7,MATCH(IFERROR(INDEX('2_IMPORTAR_EJECUCION'!$C$9:$C$1208,MATCH($AN649,'2_IMPORTAR_EJECUCION'!$J$9:$J$1208,0)),""),'CAT_ESTADOS_ERP'!$A$4:$A$7,0)),"Pendiente"))</f>
        <v/>
      </c>
      <c r="O649" s="3">
        <f>IF($J649="","",YEAR($J649+4-WEEKDAY($J649,2))&amp;"-S"&amp;TEXT(_xlfn.ISOWEEKNUM($J649),"00"))</f>
        <v/>
      </c>
      <c r="P649" s="3">
        <f>IF($J649="","",YEAR($J649))</f>
        <v/>
      </c>
      <c r="Q649" s="3">
        <f>IF($J649="","",MONTH($J649))</f>
        <v/>
      </c>
      <c r="R649" s="3">
        <f>IF($J649="","",INDEX(lista_dias,WEEKDAY($J649,2)))</f>
        <v/>
      </c>
      <c r="S649" s="3">
        <f>IF($I649="","",IFERROR(INDEX('CAT_TIPOS_OT'!$C$4:$C$7,MATCH($I649,'CAT_TIPOS_OT'!$A$4:$A$7,0)),"sin_clasificar"))</f>
        <v/>
      </c>
      <c r="T649" s="3">
        <f>IF($F649="","",IFERROR(INDEX('CAT_CENTROS_COSTO'!$E$4:$E$9,MATCH($F649,'CAT_CENTROS_COSTO'!$A$4:$A$9,0)),"(sin catálogo)"))</f>
        <v/>
      </c>
      <c r="U649" s="3">
        <f>IF($F649="","",IFERROR(INDEX('CAT_CENTROS_COSTO'!$D$4:$D$9,MATCH($F649,'CAT_CENTROS_COSTO'!$A$4:$A$9,0)),"(sin catálogo)"))</f>
        <v/>
      </c>
      <c r="V649" s="3">
        <f>IF($F649="","",IFERROR(INDEX('CAT_CENTROS_COSTO'!$F$4:$F$9,MATCH($F649,'CAT_CENTROS_COSTO'!$A$4:$A$9,0)),"(sin catálogo)"))</f>
        <v/>
      </c>
      <c r="W649" s="3">
        <f>IF($G649="","",IFERROR(INDEX('CAT_PUESTOS'!$B$4:$B$8,MATCH($G649,'CAT_PUESTOS'!$A$4:$A$8,0)),"(sin catálogo)"))</f>
        <v/>
      </c>
      <c r="X649" s="3">
        <f>IF($H649="","",IFERROR(INDEX('CAT_ACTIVIDADES'!$B$4:$B$8,MATCH($H649,'CAT_ACTIVIDADES'!$A$4:$A$8,0)),"(sin catálogo)"))</f>
        <v/>
      </c>
      <c r="Y649" s="12">
        <f>IF($J649="","",TODAY()-$J649)</f>
        <v/>
      </c>
      <c r="Z649" s="3">
        <f>IF($Y649="","",IF($Y649&lt;0,"FUTURO",IF($Y649&gt;p_dias_backlog_max,"BACKLOG","MES CORRIENTE")))</f>
        <v/>
      </c>
      <c r="AA649" s="3">
        <f>IF($Y649="",FALSE,AND($Y649&gt;p_dias_backlog_min,$Y649&lt;=p_dias_backlog_max))</f>
        <v/>
      </c>
      <c r="AB649" s="6" t="n"/>
      <c r="AC649" s="3">
        <f>IF($AB649="","",IFERROR(INDEX('ASIGNACIONES'!$F$4:$F$339,MATCH($O649&amp;"|"&amp;$R649&amp;"|"&amp;$AB649,'ASIGNACIONES'!$I$4:$I$339,0)),""))</f>
        <v/>
      </c>
      <c r="AD649" s="13">
        <f>IF($AB649="","",SUMIFS('ORDENES'!$M$4:$M$1203,'ORDENES'!$AB$4:$AB$1203,$AB649,'ORDENES'!$O$4:$O$1203,$O649,'ORDENES'!$R$4:$R$1203,$R649))</f>
        <v/>
      </c>
      <c r="AE649" s="13">
        <f>IF($AD649="","",p_factor_productividad*IFERROR(INDEX('ASIGNACIONES'!$H$4:$H$339,MATCH($O649&amp;"|"&amp;$R649&amp;"|"&amp;$AB649,'ASIGNACIONES'!$I$4:$I$339,0)),0)-$AD649)</f>
        <v/>
      </c>
      <c r="AF649" s="10">
        <f>IF($A649="","",IFERROR(INDEX('2_IMPORTAR_EJECUCION'!$F$9:$F$1208,MATCH($AN649,'2_IMPORTAR_EJECUCION'!$J$9:$J$1208,0)),0))</f>
        <v/>
      </c>
      <c r="AG649" s="10">
        <f>IF($A649="","",MAX(0,IFERROR(INDEX('2_IMPORTAR_EJECUCION'!$H$9:$H$1208,MATCH($AN649,'2_IMPORTAR_EJECUCION'!$J$9:$J$1208,0)),0)-$AF649))</f>
        <v/>
      </c>
      <c r="AH649" s="10">
        <f>IF($A649="","",$AF649+$AG649)</f>
        <v/>
      </c>
      <c r="AI649" s="6" t="n"/>
      <c r="AJ649" s="6" t="n"/>
      <c r="AK649" s="6" t="n"/>
      <c r="AL649" s="3">
        <f>IF($AK649="","",HYPERLINK(p_ruta_base_checklists&amp;$AK649,"abrir"))</f>
        <v/>
      </c>
      <c r="AM649" s="6" t="n"/>
      <c r="AN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1" t="n"/>
      <c r="K650" s="3" t="n"/>
      <c r="L650" s="10" t="n"/>
      <c r="M650" s="3">
        <f>IF($A650="","",IFERROR(INDEX('AJUSTES'!$B$4:$B$303,MATCH($AN650,'AJUSTES'!$A$4:$A$303,0)),IF($K650="","",$K650)))</f>
        <v/>
      </c>
      <c r="N650" s="3">
        <f>IF($A650="","",IFERROR(INDEX('CAT_ESTADOS_ERP'!$B$4:$B$7,MATCH(IFERROR(INDEX('2_IMPORTAR_EJECUCION'!$C$9:$C$1208,MATCH($AN650,'2_IMPORTAR_EJECUCION'!$J$9:$J$1208,0)),""),'CAT_ESTADOS_ERP'!$A$4:$A$7,0)),"Pendiente"))</f>
        <v/>
      </c>
      <c r="O650" s="3">
        <f>IF($J650="","",YEAR($J650+4-WEEKDAY($J650,2))&amp;"-S"&amp;TEXT(_xlfn.ISOWEEKNUM($J650),"00"))</f>
        <v/>
      </c>
      <c r="P650" s="3">
        <f>IF($J650="","",YEAR($J650))</f>
        <v/>
      </c>
      <c r="Q650" s="3">
        <f>IF($J650="","",MONTH($J650))</f>
        <v/>
      </c>
      <c r="R650" s="3">
        <f>IF($J650="","",INDEX(lista_dias,WEEKDAY($J650,2)))</f>
        <v/>
      </c>
      <c r="S650" s="3">
        <f>IF($I650="","",IFERROR(INDEX('CAT_TIPOS_OT'!$C$4:$C$7,MATCH($I650,'CAT_TIPOS_OT'!$A$4:$A$7,0)),"sin_clasificar"))</f>
        <v/>
      </c>
      <c r="T650" s="3">
        <f>IF($F650="","",IFERROR(INDEX('CAT_CENTROS_COSTO'!$E$4:$E$9,MATCH($F650,'CAT_CENTROS_COSTO'!$A$4:$A$9,0)),"(sin catálogo)"))</f>
        <v/>
      </c>
      <c r="U650" s="3">
        <f>IF($F650="","",IFERROR(INDEX('CAT_CENTROS_COSTO'!$D$4:$D$9,MATCH($F650,'CAT_CENTROS_COSTO'!$A$4:$A$9,0)),"(sin catálogo)"))</f>
        <v/>
      </c>
      <c r="V650" s="3">
        <f>IF($F650="","",IFERROR(INDEX('CAT_CENTROS_COSTO'!$F$4:$F$9,MATCH($F650,'CAT_CENTROS_COSTO'!$A$4:$A$9,0)),"(sin catálogo)"))</f>
        <v/>
      </c>
      <c r="W650" s="3">
        <f>IF($G650="","",IFERROR(INDEX('CAT_PUESTOS'!$B$4:$B$8,MATCH($G650,'CAT_PUESTOS'!$A$4:$A$8,0)),"(sin catálogo)"))</f>
        <v/>
      </c>
      <c r="X650" s="3">
        <f>IF($H650="","",IFERROR(INDEX('CAT_ACTIVIDADES'!$B$4:$B$8,MATCH($H650,'CAT_ACTIVIDADES'!$A$4:$A$8,0)),"(sin catálogo)"))</f>
        <v/>
      </c>
      <c r="Y650" s="12">
        <f>IF($J650="","",TODAY()-$J650)</f>
        <v/>
      </c>
      <c r="Z650" s="3">
        <f>IF($Y650="","",IF($Y650&lt;0,"FUTURO",IF($Y650&gt;p_dias_backlog_max,"BACKLOG","MES CORRIENTE")))</f>
        <v/>
      </c>
      <c r="AA650" s="3">
        <f>IF($Y650="",FALSE,AND($Y650&gt;p_dias_backlog_min,$Y650&lt;=p_dias_backlog_max))</f>
        <v/>
      </c>
      <c r="AB650" s="6" t="n"/>
      <c r="AC650" s="3">
        <f>IF($AB650="","",IFERROR(INDEX('ASIGNACIONES'!$F$4:$F$339,MATCH($O650&amp;"|"&amp;$R650&amp;"|"&amp;$AB650,'ASIGNACIONES'!$I$4:$I$339,0)),""))</f>
        <v/>
      </c>
      <c r="AD650" s="13">
        <f>IF($AB650="","",SUMIFS('ORDENES'!$M$4:$M$1203,'ORDENES'!$AB$4:$AB$1203,$AB650,'ORDENES'!$O$4:$O$1203,$O650,'ORDENES'!$R$4:$R$1203,$R650))</f>
        <v/>
      </c>
      <c r="AE650" s="13">
        <f>IF($AD650="","",p_factor_productividad*IFERROR(INDEX('ASIGNACIONES'!$H$4:$H$339,MATCH($O650&amp;"|"&amp;$R650&amp;"|"&amp;$AB650,'ASIGNACIONES'!$I$4:$I$339,0)),0)-$AD650)</f>
        <v/>
      </c>
      <c r="AF650" s="10">
        <f>IF($A650="","",IFERROR(INDEX('2_IMPORTAR_EJECUCION'!$F$9:$F$1208,MATCH($AN650,'2_IMPORTAR_EJECUCION'!$J$9:$J$1208,0)),0))</f>
        <v/>
      </c>
      <c r="AG650" s="10">
        <f>IF($A650="","",MAX(0,IFERROR(INDEX('2_IMPORTAR_EJECUCION'!$H$9:$H$1208,MATCH($AN650,'2_IMPORTAR_EJECUCION'!$J$9:$J$1208,0)),0)-$AF650))</f>
        <v/>
      </c>
      <c r="AH650" s="10">
        <f>IF($A650="","",$AF650+$AG650)</f>
        <v/>
      </c>
      <c r="AI650" s="6" t="n"/>
      <c r="AJ650" s="6" t="n"/>
      <c r="AK650" s="6" t="n"/>
      <c r="AL650" s="3">
        <f>IF($AK650="","",HYPERLINK(p_ruta_base_checklists&amp;$AK650,"abrir"))</f>
        <v/>
      </c>
      <c r="AM650" s="6" t="n"/>
      <c r="AN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1" t="n"/>
      <c r="K651" s="3" t="n"/>
      <c r="L651" s="10" t="n"/>
      <c r="M651" s="3">
        <f>IF($A651="","",IFERROR(INDEX('AJUSTES'!$B$4:$B$303,MATCH($AN651,'AJUSTES'!$A$4:$A$303,0)),IF($K651="","",$K651)))</f>
        <v/>
      </c>
      <c r="N651" s="3">
        <f>IF($A651="","",IFERROR(INDEX('CAT_ESTADOS_ERP'!$B$4:$B$7,MATCH(IFERROR(INDEX('2_IMPORTAR_EJECUCION'!$C$9:$C$1208,MATCH($AN651,'2_IMPORTAR_EJECUCION'!$J$9:$J$1208,0)),""),'CAT_ESTADOS_ERP'!$A$4:$A$7,0)),"Pendiente"))</f>
        <v/>
      </c>
      <c r="O651" s="3">
        <f>IF($J651="","",YEAR($J651+4-WEEKDAY($J651,2))&amp;"-S"&amp;TEXT(_xlfn.ISOWEEKNUM($J651),"00"))</f>
        <v/>
      </c>
      <c r="P651" s="3">
        <f>IF($J651="","",YEAR($J651))</f>
        <v/>
      </c>
      <c r="Q651" s="3">
        <f>IF($J651="","",MONTH($J651))</f>
        <v/>
      </c>
      <c r="R651" s="3">
        <f>IF($J651="","",INDEX(lista_dias,WEEKDAY($J651,2)))</f>
        <v/>
      </c>
      <c r="S651" s="3">
        <f>IF($I651="","",IFERROR(INDEX('CAT_TIPOS_OT'!$C$4:$C$7,MATCH($I651,'CAT_TIPOS_OT'!$A$4:$A$7,0)),"sin_clasificar"))</f>
        <v/>
      </c>
      <c r="T651" s="3">
        <f>IF($F651="","",IFERROR(INDEX('CAT_CENTROS_COSTO'!$E$4:$E$9,MATCH($F651,'CAT_CENTROS_COSTO'!$A$4:$A$9,0)),"(sin catálogo)"))</f>
        <v/>
      </c>
      <c r="U651" s="3">
        <f>IF($F651="","",IFERROR(INDEX('CAT_CENTROS_COSTO'!$D$4:$D$9,MATCH($F651,'CAT_CENTROS_COSTO'!$A$4:$A$9,0)),"(sin catálogo)"))</f>
        <v/>
      </c>
      <c r="V651" s="3">
        <f>IF($F651="","",IFERROR(INDEX('CAT_CENTROS_COSTO'!$F$4:$F$9,MATCH($F651,'CAT_CENTROS_COSTO'!$A$4:$A$9,0)),"(sin catálogo)"))</f>
        <v/>
      </c>
      <c r="W651" s="3">
        <f>IF($G651="","",IFERROR(INDEX('CAT_PUESTOS'!$B$4:$B$8,MATCH($G651,'CAT_PUESTOS'!$A$4:$A$8,0)),"(sin catálogo)"))</f>
        <v/>
      </c>
      <c r="X651" s="3">
        <f>IF($H651="","",IFERROR(INDEX('CAT_ACTIVIDADES'!$B$4:$B$8,MATCH($H651,'CAT_ACTIVIDADES'!$A$4:$A$8,0)),"(sin catálogo)"))</f>
        <v/>
      </c>
      <c r="Y651" s="12">
        <f>IF($J651="","",TODAY()-$J651)</f>
        <v/>
      </c>
      <c r="Z651" s="3">
        <f>IF($Y651="","",IF($Y651&lt;0,"FUTURO",IF($Y651&gt;p_dias_backlog_max,"BACKLOG","MES CORRIENTE")))</f>
        <v/>
      </c>
      <c r="AA651" s="3">
        <f>IF($Y651="",FALSE,AND($Y651&gt;p_dias_backlog_min,$Y651&lt;=p_dias_backlog_max))</f>
        <v/>
      </c>
      <c r="AB651" s="6" t="n"/>
      <c r="AC651" s="3">
        <f>IF($AB651="","",IFERROR(INDEX('ASIGNACIONES'!$F$4:$F$339,MATCH($O651&amp;"|"&amp;$R651&amp;"|"&amp;$AB651,'ASIGNACIONES'!$I$4:$I$339,0)),""))</f>
        <v/>
      </c>
      <c r="AD651" s="13">
        <f>IF($AB651="","",SUMIFS('ORDENES'!$M$4:$M$1203,'ORDENES'!$AB$4:$AB$1203,$AB651,'ORDENES'!$O$4:$O$1203,$O651,'ORDENES'!$R$4:$R$1203,$R651))</f>
        <v/>
      </c>
      <c r="AE651" s="13">
        <f>IF($AD651="","",p_factor_productividad*IFERROR(INDEX('ASIGNACIONES'!$H$4:$H$339,MATCH($O651&amp;"|"&amp;$R651&amp;"|"&amp;$AB651,'ASIGNACIONES'!$I$4:$I$339,0)),0)-$AD651)</f>
        <v/>
      </c>
      <c r="AF651" s="10">
        <f>IF($A651="","",IFERROR(INDEX('2_IMPORTAR_EJECUCION'!$F$9:$F$1208,MATCH($AN651,'2_IMPORTAR_EJECUCION'!$J$9:$J$1208,0)),0))</f>
        <v/>
      </c>
      <c r="AG651" s="10">
        <f>IF($A651="","",MAX(0,IFERROR(INDEX('2_IMPORTAR_EJECUCION'!$H$9:$H$1208,MATCH($AN651,'2_IMPORTAR_EJECUCION'!$J$9:$J$1208,0)),0)-$AF651))</f>
        <v/>
      </c>
      <c r="AH651" s="10">
        <f>IF($A651="","",$AF651+$AG651)</f>
        <v/>
      </c>
      <c r="AI651" s="6" t="n"/>
      <c r="AJ651" s="6" t="n"/>
      <c r="AK651" s="6" t="n"/>
      <c r="AL651" s="3">
        <f>IF($AK651="","",HYPERLINK(p_ruta_base_checklists&amp;$AK651,"abrir"))</f>
        <v/>
      </c>
      <c r="AM651" s="6" t="n"/>
      <c r="AN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1" t="n"/>
      <c r="K652" s="3" t="n"/>
      <c r="L652" s="10" t="n"/>
      <c r="M652" s="3">
        <f>IF($A652="","",IFERROR(INDEX('AJUSTES'!$B$4:$B$303,MATCH($AN652,'AJUSTES'!$A$4:$A$303,0)),IF($K652="","",$K652)))</f>
        <v/>
      </c>
      <c r="N652" s="3">
        <f>IF($A652="","",IFERROR(INDEX('CAT_ESTADOS_ERP'!$B$4:$B$7,MATCH(IFERROR(INDEX('2_IMPORTAR_EJECUCION'!$C$9:$C$1208,MATCH($AN652,'2_IMPORTAR_EJECUCION'!$J$9:$J$1208,0)),""),'CAT_ESTADOS_ERP'!$A$4:$A$7,0)),"Pendiente"))</f>
        <v/>
      </c>
      <c r="O652" s="3">
        <f>IF($J652="","",YEAR($J652+4-WEEKDAY($J652,2))&amp;"-S"&amp;TEXT(_xlfn.ISOWEEKNUM($J652),"00"))</f>
        <v/>
      </c>
      <c r="P652" s="3">
        <f>IF($J652="","",YEAR($J652))</f>
        <v/>
      </c>
      <c r="Q652" s="3">
        <f>IF($J652="","",MONTH($J652))</f>
        <v/>
      </c>
      <c r="R652" s="3">
        <f>IF($J652="","",INDEX(lista_dias,WEEKDAY($J652,2)))</f>
        <v/>
      </c>
      <c r="S652" s="3">
        <f>IF($I652="","",IFERROR(INDEX('CAT_TIPOS_OT'!$C$4:$C$7,MATCH($I652,'CAT_TIPOS_OT'!$A$4:$A$7,0)),"sin_clasificar"))</f>
        <v/>
      </c>
      <c r="T652" s="3">
        <f>IF($F652="","",IFERROR(INDEX('CAT_CENTROS_COSTO'!$E$4:$E$9,MATCH($F652,'CAT_CENTROS_COSTO'!$A$4:$A$9,0)),"(sin catálogo)"))</f>
        <v/>
      </c>
      <c r="U652" s="3">
        <f>IF($F652="","",IFERROR(INDEX('CAT_CENTROS_COSTO'!$D$4:$D$9,MATCH($F652,'CAT_CENTROS_COSTO'!$A$4:$A$9,0)),"(sin catálogo)"))</f>
        <v/>
      </c>
      <c r="V652" s="3">
        <f>IF($F652="","",IFERROR(INDEX('CAT_CENTROS_COSTO'!$F$4:$F$9,MATCH($F652,'CAT_CENTROS_COSTO'!$A$4:$A$9,0)),"(sin catálogo)"))</f>
        <v/>
      </c>
      <c r="W652" s="3">
        <f>IF($G652="","",IFERROR(INDEX('CAT_PUESTOS'!$B$4:$B$8,MATCH($G652,'CAT_PUESTOS'!$A$4:$A$8,0)),"(sin catálogo)"))</f>
        <v/>
      </c>
      <c r="X652" s="3">
        <f>IF($H652="","",IFERROR(INDEX('CAT_ACTIVIDADES'!$B$4:$B$8,MATCH($H652,'CAT_ACTIVIDADES'!$A$4:$A$8,0)),"(sin catálogo)"))</f>
        <v/>
      </c>
      <c r="Y652" s="12">
        <f>IF($J652="","",TODAY()-$J652)</f>
        <v/>
      </c>
      <c r="Z652" s="3">
        <f>IF($Y652="","",IF($Y652&lt;0,"FUTURO",IF($Y652&gt;p_dias_backlog_max,"BACKLOG","MES CORRIENTE")))</f>
        <v/>
      </c>
      <c r="AA652" s="3">
        <f>IF($Y652="",FALSE,AND($Y652&gt;p_dias_backlog_min,$Y652&lt;=p_dias_backlog_max))</f>
        <v/>
      </c>
      <c r="AB652" s="6" t="n"/>
      <c r="AC652" s="3">
        <f>IF($AB652="","",IFERROR(INDEX('ASIGNACIONES'!$F$4:$F$339,MATCH($O652&amp;"|"&amp;$R652&amp;"|"&amp;$AB652,'ASIGNACIONES'!$I$4:$I$339,0)),""))</f>
        <v/>
      </c>
      <c r="AD652" s="13">
        <f>IF($AB652="","",SUMIFS('ORDENES'!$M$4:$M$1203,'ORDENES'!$AB$4:$AB$1203,$AB652,'ORDENES'!$O$4:$O$1203,$O652,'ORDENES'!$R$4:$R$1203,$R652))</f>
        <v/>
      </c>
      <c r="AE652" s="13">
        <f>IF($AD652="","",p_factor_productividad*IFERROR(INDEX('ASIGNACIONES'!$H$4:$H$339,MATCH($O652&amp;"|"&amp;$R652&amp;"|"&amp;$AB652,'ASIGNACIONES'!$I$4:$I$339,0)),0)-$AD652)</f>
        <v/>
      </c>
      <c r="AF652" s="10">
        <f>IF($A652="","",IFERROR(INDEX('2_IMPORTAR_EJECUCION'!$F$9:$F$1208,MATCH($AN652,'2_IMPORTAR_EJECUCION'!$J$9:$J$1208,0)),0))</f>
        <v/>
      </c>
      <c r="AG652" s="10">
        <f>IF($A652="","",MAX(0,IFERROR(INDEX('2_IMPORTAR_EJECUCION'!$H$9:$H$1208,MATCH($AN652,'2_IMPORTAR_EJECUCION'!$J$9:$J$1208,0)),0)-$AF652))</f>
        <v/>
      </c>
      <c r="AH652" s="10">
        <f>IF($A652="","",$AF652+$AG652)</f>
        <v/>
      </c>
      <c r="AI652" s="6" t="n"/>
      <c r="AJ652" s="6" t="n"/>
      <c r="AK652" s="6" t="n"/>
      <c r="AL652" s="3">
        <f>IF($AK652="","",HYPERLINK(p_ruta_base_checklists&amp;$AK652,"abrir"))</f>
        <v/>
      </c>
      <c r="AM652" s="6" t="n"/>
      <c r="AN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1" t="n"/>
      <c r="K653" s="3" t="n"/>
      <c r="L653" s="10" t="n"/>
      <c r="M653" s="3">
        <f>IF($A653="","",IFERROR(INDEX('AJUSTES'!$B$4:$B$303,MATCH($AN653,'AJUSTES'!$A$4:$A$303,0)),IF($K653="","",$K653)))</f>
        <v/>
      </c>
      <c r="N653" s="3">
        <f>IF($A653="","",IFERROR(INDEX('CAT_ESTADOS_ERP'!$B$4:$B$7,MATCH(IFERROR(INDEX('2_IMPORTAR_EJECUCION'!$C$9:$C$1208,MATCH($AN653,'2_IMPORTAR_EJECUCION'!$J$9:$J$1208,0)),""),'CAT_ESTADOS_ERP'!$A$4:$A$7,0)),"Pendiente"))</f>
        <v/>
      </c>
      <c r="O653" s="3">
        <f>IF($J653="","",YEAR($J653+4-WEEKDAY($J653,2))&amp;"-S"&amp;TEXT(_xlfn.ISOWEEKNUM($J653),"00"))</f>
        <v/>
      </c>
      <c r="P653" s="3">
        <f>IF($J653="","",YEAR($J653))</f>
        <v/>
      </c>
      <c r="Q653" s="3">
        <f>IF($J653="","",MONTH($J653))</f>
        <v/>
      </c>
      <c r="R653" s="3">
        <f>IF($J653="","",INDEX(lista_dias,WEEKDAY($J653,2)))</f>
        <v/>
      </c>
      <c r="S653" s="3">
        <f>IF($I653="","",IFERROR(INDEX('CAT_TIPOS_OT'!$C$4:$C$7,MATCH($I653,'CAT_TIPOS_OT'!$A$4:$A$7,0)),"sin_clasificar"))</f>
        <v/>
      </c>
      <c r="T653" s="3">
        <f>IF($F653="","",IFERROR(INDEX('CAT_CENTROS_COSTO'!$E$4:$E$9,MATCH($F653,'CAT_CENTROS_COSTO'!$A$4:$A$9,0)),"(sin catálogo)"))</f>
        <v/>
      </c>
      <c r="U653" s="3">
        <f>IF($F653="","",IFERROR(INDEX('CAT_CENTROS_COSTO'!$D$4:$D$9,MATCH($F653,'CAT_CENTROS_COSTO'!$A$4:$A$9,0)),"(sin catálogo)"))</f>
        <v/>
      </c>
      <c r="V653" s="3">
        <f>IF($F653="","",IFERROR(INDEX('CAT_CENTROS_COSTO'!$F$4:$F$9,MATCH($F653,'CAT_CENTROS_COSTO'!$A$4:$A$9,0)),"(sin catálogo)"))</f>
        <v/>
      </c>
      <c r="W653" s="3">
        <f>IF($G653="","",IFERROR(INDEX('CAT_PUESTOS'!$B$4:$B$8,MATCH($G653,'CAT_PUESTOS'!$A$4:$A$8,0)),"(sin catálogo)"))</f>
        <v/>
      </c>
      <c r="X653" s="3">
        <f>IF($H653="","",IFERROR(INDEX('CAT_ACTIVIDADES'!$B$4:$B$8,MATCH($H653,'CAT_ACTIVIDADES'!$A$4:$A$8,0)),"(sin catálogo)"))</f>
        <v/>
      </c>
      <c r="Y653" s="12">
        <f>IF($J653="","",TODAY()-$J653)</f>
        <v/>
      </c>
      <c r="Z653" s="3">
        <f>IF($Y653="","",IF($Y653&lt;0,"FUTURO",IF($Y653&gt;p_dias_backlog_max,"BACKLOG","MES CORRIENTE")))</f>
        <v/>
      </c>
      <c r="AA653" s="3">
        <f>IF($Y653="",FALSE,AND($Y653&gt;p_dias_backlog_min,$Y653&lt;=p_dias_backlog_max))</f>
        <v/>
      </c>
      <c r="AB653" s="6" t="n"/>
      <c r="AC653" s="3">
        <f>IF($AB653="","",IFERROR(INDEX('ASIGNACIONES'!$F$4:$F$339,MATCH($O653&amp;"|"&amp;$R653&amp;"|"&amp;$AB653,'ASIGNACIONES'!$I$4:$I$339,0)),""))</f>
        <v/>
      </c>
      <c r="AD653" s="13">
        <f>IF($AB653="","",SUMIFS('ORDENES'!$M$4:$M$1203,'ORDENES'!$AB$4:$AB$1203,$AB653,'ORDENES'!$O$4:$O$1203,$O653,'ORDENES'!$R$4:$R$1203,$R653))</f>
        <v/>
      </c>
      <c r="AE653" s="13">
        <f>IF($AD653="","",p_factor_productividad*IFERROR(INDEX('ASIGNACIONES'!$H$4:$H$339,MATCH($O653&amp;"|"&amp;$R653&amp;"|"&amp;$AB653,'ASIGNACIONES'!$I$4:$I$339,0)),0)-$AD653)</f>
        <v/>
      </c>
      <c r="AF653" s="10">
        <f>IF($A653="","",IFERROR(INDEX('2_IMPORTAR_EJECUCION'!$F$9:$F$1208,MATCH($AN653,'2_IMPORTAR_EJECUCION'!$J$9:$J$1208,0)),0))</f>
        <v/>
      </c>
      <c r="AG653" s="10">
        <f>IF($A653="","",MAX(0,IFERROR(INDEX('2_IMPORTAR_EJECUCION'!$H$9:$H$1208,MATCH($AN653,'2_IMPORTAR_EJECUCION'!$J$9:$J$1208,0)),0)-$AF653))</f>
        <v/>
      </c>
      <c r="AH653" s="10">
        <f>IF($A653="","",$AF653+$AG653)</f>
        <v/>
      </c>
      <c r="AI653" s="6" t="n"/>
      <c r="AJ653" s="6" t="n"/>
      <c r="AK653" s="6" t="n"/>
      <c r="AL653" s="3">
        <f>IF($AK653="","",HYPERLINK(p_ruta_base_checklists&amp;$AK653,"abrir"))</f>
        <v/>
      </c>
      <c r="AM653" s="6" t="n"/>
      <c r="AN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1" t="n"/>
      <c r="K654" s="3" t="n"/>
      <c r="L654" s="10" t="n"/>
      <c r="M654" s="3">
        <f>IF($A654="","",IFERROR(INDEX('AJUSTES'!$B$4:$B$303,MATCH($AN654,'AJUSTES'!$A$4:$A$303,0)),IF($K654="","",$K654)))</f>
        <v/>
      </c>
      <c r="N654" s="3">
        <f>IF($A654="","",IFERROR(INDEX('CAT_ESTADOS_ERP'!$B$4:$B$7,MATCH(IFERROR(INDEX('2_IMPORTAR_EJECUCION'!$C$9:$C$1208,MATCH($AN654,'2_IMPORTAR_EJECUCION'!$J$9:$J$1208,0)),""),'CAT_ESTADOS_ERP'!$A$4:$A$7,0)),"Pendiente"))</f>
        <v/>
      </c>
      <c r="O654" s="3">
        <f>IF($J654="","",YEAR($J654+4-WEEKDAY($J654,2))&amp;"-S"&amp;TEXT(_xlfn.ISOWEEKNUM($J654),"00"))</f>
        <v/>
      </c>
      <c r="P654" s="3">
        <f>IF($J654="","",YEAR($J654))</f>
        <v/>
      </c>
      <c r="Q654" s="3">
        <f>IF($J654="","",MONTH($J654))</f>
        <v/>
      </c>
      <c r="R654" s="3">
        <f>IF($J654="","",INDEX(lista_dias,WEEKDAY($J654,2)))</f>
        <v/>
      </c>
      <c r="S654" s="3">
        <f>IF($I654="","",IFERROR(INDEX('CAT_TIPOS_OT'!$C$4:$C$7,MATCH($I654,'CAT_TIPOS_OT'!$A$4:$A$7,0)),"sin_clasificar"))</f>
        <v/>
      </c>
      <c r="T654" s="3">
        <f>IF($F654="","",IFERROR(INDEX('CAT_CENTROS_COSTO'!$E$4:$E$9,MATCH($F654,'CAT_CENTROS_COSTO'!$A$4:$A$9,0)),"(sin catálogo)"))</f>
        <v/>
      </c>
      <c r="U654" s="3">
        <f>IF($F654="","",IFERROR(INDEX('CAT_CENTROS_COSTO'!$D$4:$D$9,MATCH($F654,'CAT_CENTROS_COSTO'!$A$4:$A$9,0)),"(sin catálogo)"))</f>
        <v/>
      </c>
      <c r="V654" s="3">
        <f>IF($F654="","",IFERROR(INDEX('CAT_CENTROS_COSTO'!$F$4:$F$9,MATCH($F654,'CAT_CENTROS_COSTO'!$A$4:$A$9,0)),"(sin catálogo)"))</f>
        <v/>
      </c>
      <c r="W654" s="3">
        <f>IF($G654="","",IFERROR(INDEX('CAT_PUESTOS'!$B$4:$B$8,MATCH($G654,'CAT_PUESTOS'!$A$4:$A$8,0)),"(sin catálogo)"))</f>
        <v/>
      </c>
      <c r="X654" s="3">
        <f>IF($H654="","",IFERROR(INDEX('CAT_ACTIVIDADES'!$B$4:$B$8,MATCH($H654,'CAT_ACTIVIDADES'!$A$4:$A$8,0)),"(sin catálogo)"))</f>
        <v/>
      </c>
      <c r="Y654" s="12">
        <f>IF($J654="","",TODAY()-$J654)</f>
        <v/>
      </c>
      <c r="Z654" s="3">
        <f>IF($Y654="","",IF($Y654&lt;0,"FUTURO",IF($Y654&gt;p_dias_backlog_max,"BACKLOG","MES CORRIENTE")))</f>
        <v/>
      </c>
      <c r="AA654" s="3">
        <f>IF($Y654="",FALSE,AND($Y654&gt;p_dias_backlog_min,$Y654&lt;=p_dias_backlog_max))</f>
        <v/>
      </c>
      <c r="AB654" s="6" t="n"/>
      <c r="AC654" s="3">
        <f>IF($AB654="","",IFERROR(INDEX('ASIGNACIONES'!$F$4:$F$339,MATCH($O654&amp;"|"&amp;$R654&amp;"|"&amp;$AB654,'ASIGNACIONES'!$I$4:$I$339,0)),""))</f>
        <v/>
      </c>
      <c r="AD654" s="13">
        <f>IF($AB654="","",SUMIFS('ORDENES'!$M$4:$M$1203,'ORDENES'!$AB$4:$AB$1203,$AB654,'ORDENES'!$O$4:$O$1203,$O654,'ORDENES'!$R$4:$R$1203,$R654))</f>
        <v/>
      </c>
      <c r="AE654" s="13">
        <f>IF($AD654="","",p_factor_productividad*IFERROR(INDEX('ASIGNACIONES'!$H$4:$H$339,MATCH($O654&amp;"|"&amp;$R654&amp;"|"&amp;$AB654,'ASIGNACIONES'!$I$4:$I$339,0)),0)-$AD654)</f>
        <v/>
      </c>
      <c r="AF654" s="10">
        <f>IF($A654="","",IFERROR(INDEX('2_IMPORTAR_EJECUCION'!$F$9:$F$1208,MATCH($AN654,'2_IMPORTAR_EJECUCION'!$J$9:$J$1208,0)),0))</f>
        <v/>
      </c>
      <c r="AG654" s="10">
        <f>IF($A654="","",MAX(0,IFERROR(INDEX('2_IMPORTAR_EJECUCION'!$H$9:$H$1208,MATCH($AN654,'2_IMPORTAR_EJECUCION'!$J$9:$J$1208,0)),0)-$AF654))</f>
        <v/>
      </c>
      <c r="AH654" s="10">
        <f>IF($A654="","",$AF654+$AG654)</f>
        <v/>
      </c>
      <c r="AI654" s="6" t="n"/>
      <c r="AJ654" s="6" t="n"/>
      <c r="AK654" s="6" t="n"/>
      <c r="AL654" s="3">
        <f>IF($AK654="","",HYPERLINK(p_ruta_base_checklists&amp;$AK654,"abrir"))</f>
        <v/>
      </c>
      <c r="AM654" s="6" t="n"/>
      <c r="AN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1" t="n"/>
      <c r="K655" s="3" t="n"/>
      <c r="L655" s="10" t="n"/>
      <c r="M655" s="3">
        <f>IF($A655="","",IFERROR(INDEX('AJUSTES'!$B$4:$B$303,MATCH($AN655,'AJUSTES'!$A$4:$A$303,0)),IF($K655="","",$K655)))</f>
        <v/>
      </c>
      <c r="N655" s="3">
        <f>IF($A655="","",IFERROR(INDEX('CAT_ESTADOS_ERP'!$B$4:$B$7,MATCH(IFERROR(INDEX('2_IMPORTAR_EJECUCION'!$C$9:$C$1208,MATCH($AN655,'2_IMPORTAR_EJECUCION'!$J$9:$J$1208,0)),""),'CAT_ESTADOS_ERP'!$A$4:$A$7,0)),"Pendiente"))</f>
        <v/>
      </c>
      <c r="O655" s="3">
        <f>IF($J655="","",YEAR($J655+4-WEEKDAY($J655,2))&amp;"-S"&amp;TEXT(_xlfn.ISOWEEKNUM($J655),"00"))</f>
        <v/>
      </c>
      <c r="P655" s="3">
        <f>IF($J655="","",YEAR($J655))</f>
        <v/>
      </c>
      <c r="Q655" s="3">
        <f>IF($J655="","",MONTH($J655))</f>
        <v/>
      </c>
      <c r="R655" s="3">
        <f>IF($J655="","",INDEX(lista_dias,WEEKDAY($J655,2)))</f>
        <v/>
      </c>
      <c r="S655" s="3">
        <f>IF($I655="","",IFERROR(INDEX('CAT_TIPOS_OT'!$C$4:$C$7,MATCH($I655,'CAT_TIPOS_OT'!$A$4:$A$7,0)),"sin_clasificar"))</f>
        <v/>
      </c>
      <c r="T655" s="3">
        <f>IF($F655="","",IFERROR(INDEX('CAT_CENTROS_COSTO'!$E$4:$E$9,MATCH($F655,'CAT_CENTROS_COSTO'!$A$4:$A$9,0)),"(sin catálogo)"))</f>
        <v/>
      </c>
      <c r="U655" s="3">
        <f>IF($F655="","",IFERROR(INDEX('CAT_CENTROS_COSTO'!$D$4:$D$9,MATCH($F655,'CAT_CENTROS_COSTO'!$A$4:$A$9,0)),"(sin catálogo)"))</f>
        <v/>
      </c>
      <c r="V655" s="3">
        <f>IF($F655="","",IFERROR(INDEX('CAT_CENTROS_COSTO'!$F$4:$F$9,MATCH($F655,'CAT_CENTROS_COSTO'!$A$4:$A$9,0)),"(sin catálogo)"))</f>
        <v/>
      </c>
      <c r="W655" s="3">
        <f>IF($G655="","",IFERROR(INDEX('CAT_PUESTOS'!$B$4:$B$8,MATCH($G655,'CAT_PUESTOS'!$A$4:$A$8,0)),"(sin catálogo)"))</f>
        <v/>
      </c>
      <c r="X655" s="3">
        <f>IF($H655="","",IFERROR(INDEX('CAT_ACTIVIDADES'!$B$4:$B$8,MATCH($H655,'CAT_ACTIVIDADES'!$A$4:$A$8,0)),"(sin catálogo)"))</f>
        <v/>
      </c>
      <c r="Y655" s="12">
        <f>IF($J655="","",TODAY()-$J655)</f>
        <v/>
      </c>
      <c r="Z655" s="3">
        <f>IF($Y655="","",IF($Y655&lt;0,"FUTURO",IF($Y655&gt;p_dias_backlog_max,"BACKLOG","MES CORRIENTE")))</f>
        <v/>
      </c>
      <c r="AA655" s="3">
        <f>IF($Y655="",FALSE,AND($Y655&gt;p_dias_backlog_min,$Y655&lt;=p_dias_backlog_max))</f>
        <v/>
      </c>
      <c r="AB655" s="6" t="n"/>
      <c r="AC655" s="3">
        <f>IF($AB655="","",IFERROR(INDEX('ASIGNACIONES'!$F$4:$F$339,MATCH($O655&amp;"|"&amp;$R655&amp;"|"&amp;$AB655,'ASIGNACIONES'!$I$4:$I$339,0)),""))</f>
        <v/>
      </c>
      <c r="AD655" s="13">
        <f>IF($AB655="","",SUMIFS('ORDENES'!$M$4:$M$1203,'ORDENES'!$AB$4:$AB$1203,$AB655,'ORDENES'!$O$4:$O$1203,$O655,'ORDENES'!$R$4:$R$1203,$R655))</f>
        <v/>
      </c>
      <c r="AE655" s="13">
        <f>IF($AD655="","",p_factor_productividad*IFERROR(INDEX('ASIGNACIONES'!$H$4:$H$339,MATCH($O655&amp;"|"&amp;$R655&amp;"|"&amp;$AB655,'ASIGNACIONES'!$I$4:$I$339,0)),0)-$AD655)</f>
        <v/>
      </c>
      <c r="AF655" s="10">
        <f>IF($A655="","",IFERROR(INDEX('2_IMPORTAR_EJECUCION'!$F$9:$F$1208,MATCH($AN655,'2_IMPORTAR_EJECUCION'!$J$9:$J$1208,0)),0))</f>
        <v/>
      </c>
      <c r="AG655" s="10">
        <f>IF($A655="","",MAX(0,IFERROR(INDEX('2_IMPORTAR_EJECUCION'!$H$9:$H$1208,MATCH($AN655,'2_IMPORTAR_EJECUCION'!$J$9:$J$1208,0)),0)-$AF655))</f>
        <v/>
      </c>
      <c r="AH655" s="10">
        <f>IF($A655="","",$AF655+$AG655)</f>
        <v/>
      </c>
      <c r="AI655" s="6" t="n"/>
      <c r="AJ655" s="6" t="n"/>
      <c r="AK655" s="6" t="n"/>
      <c r="AL655" s="3">
        <f>IF($AK655="","",HYPERLINK(p_ruta_base_checklists&amp;$AK655,"abrir"))</f>
        <v/>
      </c>
      <c r="AM655" s="6" t="n"/>
      <c r="AN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1" t="n"/>
      <c r="K656" s="3" t="n"/>
      <c r="L656" s="10" t="n"/>
      <c r="M656" s="3">
        <f>IF($A656="","",IFERROR(INDEX('AJUSTES'!$B$4:$B$303,MATCH($AN656,'AJUSTES'!$A$4:$A$303,0)),IF($K656="","",$K656)))</f>
        <v/>
      </c>
      <c r="N656" s="3">
        <f>IF($A656="","",IFERROR(INDEX('CAT_ESTADOS_ERP'!$B$4:$B$7,MATCH(IFERROR(INDEX('2_IMPORTAR_EJECUCION'!$C$9:$C$1208,MATCH($AN656,'2_IMPORTAR_EJECUCION'!$J$9:$J$1208,0)),""),'CAT_ESTADOS_ERP'!$A$4:$A$7,0)),"Pendiente"))</f>
        <v/>
      </c>
      <c r="O656" s="3">
        <f>IF($J656="","",YEAR($J656+4-WEEKDAY($J656,2))&amp;"-S"&amp;TEXT(_xlfn.ISOWEEKNUM($J656),"00"))</f>
        <v/>
      </c>
      <c r="P656" s="3">
        <f>IF($J656="","",YEAR($J656))</f>
        <v/>
      </c>
      <c r="Q656" s="3">
        <f>IF($J656="","",MONTH($J656))</f>
        <v/>
      </c>
      <c r="R656" s="3">
        <f>IF($J656="","",INDEX(lista_dias,WEEKDAY($J656,2)))</f>
        <v/>
      </c>
      <c r="S656" s="3">
        <f>IF($I656="","",IFERROR(INDEX('CAT_TIPOS_OT'!$C$4:$C$7,MATCH($I656,'CAT_TIPOS_OT'!$A$4:$A$7,0)),"sin_clasificar"))</f>
        <v/>
      </c>
      <c r="T656" s="3">
        <f>IF($F656="","",IFERROR(INDEX('CAT_CENTROS_COSTO'!$E$4:$E$9,MATCH($F656,'CAT_CENTROS_COSTO'!$A$4:$A$9,0)),"(sin catálogo)"))</f>
        <v/>
      </c>
      <c r="U656" s="3">
        <f>IF($F656="","",IFERROR(INDEX('CAT_CENTROS_COSTO'!$D$4:$D$9,MATCH($F656,'CAT_CENTROS_COSTO'!$A$4:$A$9,0)),"(sin catálogo)"))</f>
        <v/>
      </c>
      <c r="V656" s="3">
        <f>IF($F656="","",IFERROR(INDEX('CAT_CENTROS_COSTO'!$F$4:$F$9,MATCH($F656,'CAT_CENTROS_COSTO'!$A$4:$A$9,0)),"(sin catálogo)"))</f>
        <v/>
      </c>
      <c r="W656" s="3">
        <f>IF($G656="","",IFERROR(INDEX('CAT_PUESTOS'!$B$4:$B$8,MATCH($G656,'CAT_PUESTOS'!$A$4:$A$8,0)),"(sin catálogo)"))</f>
        <v/>
      </c>
      <c r="X656" s="3">
        <f>IF($H656="","",IFERROR(INDEX('CAT_ACTIVIDADES'!$B$4:$B$8,MATCH($H656,'CAT_ACTIVIDADES'!$A$4:$A$8,0)),"(sin catálogo)"))</f>
        <v/>
      </c>
      <c r="Y656" s="12">
        <f>IF($J656="","",TODAY()-$J656)</f>
        <v/>
      </c>
      <c r="Z656" s="3">
        <f>IF($Y656="","",IF($Y656&lt;0,"FUTURO",IF($Y656&gt;p_dias_backlog_max,"BACKLOG","MES CORRIENTE")))</f>
        <v/>
      </c>
      <c r="AA656" s="3">
        <f>IF($Y656="",FALSE,AND($Y656&gt;p_dias_backlog_min,$Y656&lt;=p_dias_backlog_max))</f>
        <v/>
      </c>
      <c r="AB656" s="6" t="n"/>
      <c r="AC656" s="3">
        <f>IF($AB656="","",IFERROR(INDEX('ASIGNACIONES'!$F$4:$F$339,MATCH($O656&amp;"|"&amp;$R656&amp;"|"&amp;$AB656,'ASIGNACIONES'!$I$4:$I$339,0)),""))</f>
        <v/>
      </c>
      <c r="AD656" s="13">
        <f>IF($AB656="","",SUMIFS('ORDENES'!$M$4:$M$1203,'ORDENES'!$AB$4:$AB$1203,$AB656,'ORDENES'!$O$4:$O$1203,$O656,'ORDENES'!$R$4:$R$1203,$R656))</f>
        <v/>
      </c>
      <c r="AE656" s="13">
        <f>IF($AD656="","",p_factor_productividad*IFERROR(INDEX('ASIGNACIONES'!$H$4:$H$339,MATCH($O656&amp;"|"&amp;$R656&amp;"|"&amp;$AB656,'ASIGNACIONES'!$I$4:$I$339,0)),0)-$AD656)</f>
        <v/>
      </c>
      <c r="AF656" s="10">
        <f>IF($A656="","",IFERROR(INDEX('2_IMPORTAR_EJECUCION'!$F$9:$F$1208,MATCH($AN656,'2_IMPORTAR_EJECUCION'!$J$9:$J$1208,0)),0))</f>
        <v/>
      </c>
      <c r="AG656" s="10">
        <f>IF($A656="","",MAX(0,IFERROR(INDEX('2_IMPORTAR_EJECUCION'!$H$9:$H$1208,MATCH($AN656,'2_IMPORTAR_EJECUCION'!$J$9:$J$1208,0)),0)-$AF656))</f>
        <v/>
      </c>
      <c r="AH656" s="10">
        <f>IF($A656="","",$AF656+$AG656)</f>
        <v/>
      </c>
      <c r="AI656" s="6" t="n"/>
      <c r="AJ656" s="6" t="n"/>
      <c r="AK656" s="6" t="n"/>
      <c r="AL656" s="3">
        <f>IF($AK656="","",HYPERLINK(p_ruta_base_checklists&amp;$AK656,"abrir"))</f>
        <v/>
      </c>
      <c r="AM656" s="6" t="n"/>
      <c r="AN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1" t="n"/>
      <c r="K657" s="3" t="n"/>
      <c r="L657" s="10" t="n"/>
      <c r="M657" s="3">
        <f>IF($A657="","",IFERROR(INDEX('AJUSTES'!$B$4:$B$303,MATCH($AN657,'AJUSTES'!$A$4:$A$303,0)),IF($K657="","",$K657)))</f>
        <v/>
      </c>
      <c r="N657" s="3">
        <f>IF($A657="","",IFERROR(INDEX('CAT_ESTADOS_ERP'!$B$4:$B$7,MATCH(IFERROR(INDEX('2_IMPORTAR_EJECUCION'!$C$9:$C$1208,MATCH($AN657,'2_IMPORTAR_EJECUCION'!$J$9:$J$1208,0)),""),'CAT_ESTADOS_ERP'!$A$4:$A$7,0)),"Pendiente"))</f>
        <v/>
      </c>
      <c r="O657" s="3">
        <f>IF($J657="","",YEAR($J657+4-WEEKDAY($J657,2))&amp;"-S"&amp;TEXT(_xlfn.ISOWEEKNUM($J657),"00"))</f>
        <v/>
      </c>
      <c r="P657" s="3">
        <f>IF($J657="","",YEAR($J657))</f>
        <v/>
      </c>
      <c r="Q657" s="3">
        <f>IF($J657="","",MONTH($J657))</f>
        <v/>
      </c>
      <c r="R657" s="3">
        <f>IF($J657="","",INDEX(lista_dias,WEEKDAY($J657,2)))</f>
        <v/>
      </c>
      <c r="S657" s="3">
        <f>IF($I657="","",IFERROR(INDEX('CAT_TIPOS_OT'!$C$4:$C$7,MATCH($I657,'CAT_TIPOS_OT'!$A$4:$A$7,0)),"sin_clasificar"))</f>
        <v/>
      </c>
      <c r="T657" s="3">
        <f>IF($F657="","",IFERROR(INDEX('CAT_CENTROS_COSTO'!$E$4:$E$9,MATCH($F657,'CAT_CENTROS_COSTO'!$A$4:$A$9,0)),"(sin catálogo)"))</f>
        <v/>
      </c>
      <c r="U657" s="3">
        <f>IF($F657="","",IFERROR(INDEX('CAT_CENTROS_COSTO'!$D$4:$D$9,MATCH($F657,'CAT_CENTROS_COSTO'!$A$4:$A$9,0)),"(sin catálogo)"))</f>
        <v/>
      </c>
      <c r="V657" s="3">
        <f>IF($F657="","",IFERROR(INDEX('CAT_CENTROS_COSTO'!$F$4:$F$9,MATCH($F657,'CAT_CENTROS_COSTO'!$A$4:$A$9,0)),"(sin catálogo)"))</f>
        <v/>
      </c>
      <c r="W657" s="3">
        <f>IF($G657="","",IFERROR(INDEX('CAT_PUESTOS'!$B$4:$B$8,MATCH($G657,'CAT_PUESTOS'!$A$4:$A$8,0)),"(sin catálogo)"))</f>
        <v/>
      </c>
      <c r="X657" s="3">
        <f>IF($H657="","",IFERROR(INDEX('CAT_ACTIVIDADES'!$B$4:$B$8,MATCH($H657,'CAT_ACTIVIDADES'!$A$4:$A$8,0)),"(sin catálogo)"))</f>
        <v/>
      </c>
      <c r="Y657" s="12">
        <f>IF($J657="","",TODAY()-$J657)</f>
        <v/>
      </c>
      <c r="Z657" s="3">
        <f>IF($Y657="","",IF($Y657&lt;0,"FUTURO",IF($Y657&gt;p_dias_backlog_max,"BACKLOG","MES CORRIENTE")))</f>
        <v/>
      </c>
      <c r="AA657" s="3">
        <f>IF($Y657="",FALSE,AND($Y657&gt;p_dias_backlog_min,$Y657&lt;=p_dias_backlog_max))</f>
        <v/>
      </c>
      <c r="AB657" s="6" t="n"/>
      <c r="AC657" s="3">
        <f>IF($AB657="","",IFERROR(INDEX('ASIGNACIONES'!$F$4:$F$339,MATCH($O657&amp;"|"&amp;$R657&amp;"|"&amp;$AB657,'ASIGNACIONES'!$I$4:$I$339,0)),""))</f>
        <v/>
      </c>
      <c r="AD657" s="13">
        <f>IF($AB657="","",SUMIFS('ORDENES'!$M$4:$M$1203,'ORDENES'!$AB$4:$AB$1203,$AB657,'ORDENES'!$O$4:$O$1203,$O657,'ORDENES'!$R$4:$R$1203,$R657))</f>
        <v/>
      </c>
      <c r="AE657" s="13">
        <f>IF($AD657="","",p_factor_productividad*IFERROR(INDEX('ASIGNACIONES'!$H$4:$H$339,MATCH($O657&amp;"|"&amp;$R657&amp;"|"&amp;$AB657,'ASIGNACIONES'!$I$4:$I$339,0)),0)-$AD657)</f>
        <v/>
      </c>
      <c r="AF657" s="10">
        <f>IF($A657="","",IFERROR(INDEX('2_IMPORTAR_EJECUCION'!$F$9:$F$1208,MATCH($AN657,'2_IMPORTAR_EJECUCION'!$J$9:$J$1208,0)),0))</f>
        <v/>
      </c>
      <c r="AG657" s="10">
        <f>IF($A657="","",MAX(0,IFERROR(INDEX('2_IMPORTAR_EJECUCION'!$H$9:$H$1208,MATCH($AN657,'2_IMPORTAR_EJECUCION'!$J$9:$J$1208,0)),0)-$AF657))</f>
        <v/>
      </c>
      <c r="AH657" s="10">
        <f>IF($A657="","",$AF657+$AG657)</f>
        <v/>
      </c>
      <c r="AI657" s="6" t="n"/>
      <c r="AJ657" s="6" t="n"/>
      <c r="AK657" s="6" t="n"/>
      <c r="AL657" s="3">
        <f>IF($AK657="","",HYPERLINK(p_ruta_base_checklists&amp;$AK657,"abrir"))</f>
        <v/>
      </c>
      <c r="AM657" s="6" t="n"/>
      <c r="AN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1" t="n"/>
      <c r="K658" s="3" t="n"/>
      <c r="L658" s="10" t="n"/>
      <c r="M658" s="3">
        <f>IF($A658="","",IFERROR(INDEX('AJUSTES'!$B$4:$B$303,MATCH($AN658,'AJUSTES'!$A$4:$A$303,0)),IF($K658="","",$K658)))</f>
        <v/>
      </c>
      <c r="N658" s="3">
        <f>IF($A658="","",IFERROR(INDEX('CAT_ESTADOS_ERP'!$B$4:$B$7,MATCH(IFERROR(INDEX('2_IMPORTAR_EJECUCION'!$C$9:$C$1208,MATCH($AN658,'2_IMPORTAR_EJECUCION'!$J$9:$J$1208,0)),""),'CAT_ESTADOS_ERP'!$A$4:$A$7,0)),"Pendiente"))</f>
        <v/>
      </c>
      <c r="O658" s="3">
        <f>IF($J658="","",YEAR($J658+4-WEEKDAY($J658,2))&amp;"-S"&amp;TEXT(_xlfn.ISOWEEKNUM($J658),"00"))</f>
        <v/>
      </c>
      <c r="P658" s="3">
        <f>IF($J658="","",YEAR($J658))</f>
        <v/>
      </c>
      <c r="Q658" s="3">
        <f>IF($J658="","",MONTH($J658))</f>
        <v/>
      </c>
      <c r="R658" s="3">
        <f>IF($J658="","",INDEX(lista_dias,WEEKDAY($J658,2)))</f>
        <v/>
      </c>
      <c r="S658" s="3">
        <f>IF($I658="","",IFERROR(INDEX('CAT_TIPOS_OT'!$C$4:$C$7,MATCH($I658,'CAT_TIPOS_OT'!$A$4:$A$7,0)),"sin_clasificar"))</f>
        <v/>
      </c>
      <c r="T658" s="3">
        <f>IF($F658="","",IFERROR(INDEX('CAT_CENTROS_COSTO'!$E$4:$E$9,MATCH($F658,'CAT_CENTROS_COSTO'!$A$4:$A$9,0)),"(sin catálogo)"))</f>
        <v/>
      </c>
      <c r="U658" s="3">
        <f>IF($F658="","",IFERROR(INDEX('CAT_CENTROS_COSTO'!$D$4:$D$9,MATCH($F658,'CAT_CENTROS_COSTO'!$A$4:$A$9,0)),"(sin catálogo)"))</f>
        <v/>
      </c>
      <c r="V658" s="3">
        <f>IF($F658="","",IFERROR(INDEX('CAT_CENTROS_COSTO'!$F$4:$F$9,MATCH($F658,'CAT_CENTROS_COSTO'!$A$4:$A$9,0)),"(sin catálogo)"))</f>
        <v/>
      </c>
      <c r="W658" s="3">
        <f>IF($G658="","",IFERROR(INDEX('CAT_PUESTOS'!$B$4:$B$8,MATCH($G658,'CAT_PUESTOS'!$A$4:$A$8,0)),"(sin catálogo)"))</f>
        <v/>
      </c>
      <c r="X658" s="3">
        <f>IF($H658="","",IFERROR(INDEX('CAT_ACTIVIDADES'!$B$4:$B$8,MATCH($H658,'CAT_ACTIVIDADES'!$A$4:$A$8,0)),"(sin catálogo)"))</f>
        <v/>
      </c>
      <c r="Y658" s="12">
        <f>IF($J658="","",TODAY()-$J658)</f>
        <v/>
      </c>
      <c r="Z658" s="3">
        <f>IF($Y658="","",IF($Y658&lt;0,"FUTURO",IF($Y658&gt;p_dias_backlog_max,"BACKLOG","MES CORRIENTE")))</f>
        <v/>
      </c>
      <c r="AA658" s="3">
        <f>IF($Y658="",FALSE,AND($Y658&gt;p_dias_backlog_min,$Y658&lt;=p_dias_backlog_max))</f>
        <v/>
      </c>
      <c r="AB658" s="6" t="n"/>
      <c r="AC658" s="3">
        <f>IF($AB658="","",IFERROR(INDEX('ASIGNACIONES'!$F$4:$F$339,MATCH($O658&amp;"|"&amp;$R658&amp;"|"&amp;$AB658,'ASIGNACIONES'!$I$4:$I$339,0)),""))</f>
        <v/>
      </c>
      <c r="AD658" s="13">
        <f>IF($AB658="","",SUMIFS('ORDENES'!$M$4:$M$1203,'ORDENES'!$AB$4:$AB$1203,$AB658,'ORDENES'!$O$4:$O$1203,$O658,'ORDENES'!$R$4:$R$1203,$R658))</f>
        <v/>
      </c>
      <c r="AE658" s="13">
        <f>IF($AD658="","",p_factor_productividad*IFERROR(INDEX('ASIGNACIONES'!$H$4:$H$339,MATCH($O658&amp;"|"&amp;$R658&amp;"|"&amp;$AB658,'ASIGNACIONES'!$I$4:$I$339,0)),0)-$AD658)</f>
        <v/>
      </c>
      <c r="AF658" s="10">
        <f>IF($A658="","",IFERROR(INDEX('2_IMPORTAR_EJECUCION'!$F$9:$F$1208,MATCH($AN658,'2_IMPORTAR_EJECUCION'!$J$9:$J$1208,0)),0))</f>
        <v/>
      </c>
      <c r="AG658" s="10">
        <f>IF($A658="","",MAX(0,IFERROR(INDEX('2_IMPORTAR_EJECUCION'!$H$9:$H$1208,MATCH($AN658,'2_IMPORTAR_EJECUCION'!$J$9:$J$1208,0)),0)-$AF658))</f>
        <v/>
      </c>
      <c r="AH658" s="10">
        <f>IF($A658="","",$AF658+$AG658)</f>
        <v/>
      </c>
      <c r="AI658" s="6" t="n"/>
      <c r="AJ658" s="6" t="n"/>
      <c r="AK658" s="6" t="n"/>
      <c r="AL658" s="3">
        <f>IF($AK658="","",HYPERLINK(p_ruta_base_checklists&amp;$AK658,"abrir"))</f>
        <v/>
      </c>
      <c r="AM658" s="6" t="n"/>
      <c r="AN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1" t="n"/>
      <c r="K659" s="3" t="n"/>
      <c r="L659" s="10" t="n"/>
      <c r="M659" s="3">
        <f>IF($A659="","",IFERROR(INDEX('AJUSTES'!$B$4:$B$303,MATCH($AN659,'AJUSTES'!$A$4:$A$303,0)),IF($K659="","",$K659)))</f>
        <v/>
      </c>
      <c r="N659" s="3">
        <f>IF($A659="","",IFERROR(INDEX('CAT_ESTADOS_ERP'!$B$4:$B$7,MATCH(IFERROR(INDEX('2_IMPORTAR_EJECUCION'!$C$9:$C$1208,MATCH($AN659,'2_IMPORTAR_EJECUCION'!$J$9:$J$1208,0)),""),'CAT_ESTADOS_ERP'!$A$4:$A$7,0)),"Pendiente"))</f>
        <v/>
      </c>
      <c r="O659" s="3">
        <f>IF($J659="","",YEAR($J659+4-WEEKDAY($J659,2))&amp;"-S"&amp;TEXT(_xlfn.ISOWEEKNUM($J659),"00"))</f>
        <v/>
      </c>
      <c r="P659" s="3">
        <f>IF($J659="","",YEAR($J659))</f>
        <v/>
      </c>
      <c r="Q659" s="3">
        <f>IF($J659="","",MONTH($J659))</f>
        <v/>
      </c>
      <c r="R659" s="3">
        <f>IF($J659="","",INDEX(lista_dias,WEEKDAY($J659,2)))</f>
        <v/>
      </c>
      <c r="S659" s="3">
        <f>IF($I659="","",IFERROR(INDEX('CAT_TIPOS_OT'!$C$4:$C$7,MATCH($I659,'CAT_TIPOS_OT'!$A$4:$A$7,0)),"sin_clasificar"))</f>
        <v/>
      </c>
      <c r="T659" s="3">
        <f>IF($F659="","",IFERROR(INDEX('CAT_CENTROS_COSTO'!$E$4:$E$9,MATCH($F659,'CAT_CENTROS_COSTO'!$A$4:$A$9,0)),"(sin catálogo)"))</f>
        <v/>
      </c>
      <c r="U659" s="3">
        <f>IF($F659="","",IFERROR(INDEX('CAT_CENTROS_COSTO'!$D$4:$D$9,MATCH($F659,'CAT_CENTROS_COSTO'!$A$4:$A$9,0)),"(sin catálogo)"))</f>
        <v/>
      </c>
      <c r="V659" s="3">
        <f>IF($F659="","",IFERROR(INDEX('CAT_CENTROS_COSTO'!$F$4:$F$9,MATCH($F659,'CAT_CENTROS_COSTO'!$A$4:$A$9,0)),"(sin catálogo)"))</f>
        <v/>
      </c>
      <c r="W659" s="3">
        <f>IF($G659="","",IFERROR(INDEX('CAT_PUESTOS'!$B$4:$B$8,MATCH($G659,'CAT_PUESTOS'!$A$4:$A$8,0)),"(sin catálogo)"))</f>
        <v/>
      </c>
      <c r="X659" s="3">
        <f>IF($H659="","",IFERROR(INDEX('CAT_ACTIVIDADES'!$B$4:$B$8,MATCH($H659,'CAT_ACTIVIDADES'!$A$4:$A$8,0)),"(sin catálogo)"))</f>
        <v/>
      </c>
      <c r="Y659" s="12">
        <f>IF($J659="","",TODAY()-$J659)</f>
        <v/>
      </c>
      <c r="Z659" s="3">
        <f>IF($Y659="","",IF($Y659&lt;0,"FUTURO",IF($Y659&gt;p_dias_backlog_max,"BACKLOG","MES CORRIENTE")))</f>
        <v/>
      </c>
      <c r="AA659" s="3">
        <f>IF($Y659="",FALSE,AND($Y659&gt;p_dias_backlog_min,$Y659&lt;=p_dias_backlog_max))</f>
        <v/>
      </c>
      <c r="AB659" s="6" t="n"/>
      <c r="AC659" s="3">
        <f>IF($AB659="","",IFERROR(INDEX('ASIGNACIONES'!$F$4:$F$339,MATCH($O659&amp;"|"&amp;$R659&amp;"|"&amp;$AB659,'ASIGNACIONES'!$I$4:$I$339,0)),""))</f>
        <v/>
      </c>
      <c r="AD659" s="13">
        <f>IF($AB659="","",SUMIFS('ORDENES'!$M$4:$M$1203,'ORDENES'!$AB$4:$AB$1203,$AB659,'ORDENES'!$O$4:$O$1203,$O659,'ORDENES'!$R$4:$R$1203,$R659))</f>
        <v/>
      </c>
      <c r="AE659" s="13">
        <f>IF($AD659="","",p_factor_productividad*IFERROR(INDEX('ASIGNACIONES'!$H$4:$H$339,MATCH($O659&amp;"|"&amp;$R659&amp;"|"&amp;$AB659,'ASIGNACIONES'!$I$4:$I$339,0)),0)-$AD659)</f>
        <v/>
      </c>
      <c r="AF659" s="10">
        <f>IF($A659="","",IFERROR(INDEX('2_IMPORTAR_EJECUCION'!$F$9:$F$1208,MATCH($AN659,'2_IMPORTAR_EJECUCION'!$J$9:$J$1208,0)),0))</f>
        <v/>
      </c>
      <c r="AG659" s="10">
        <f>IF($A659="","",MAX(0,IFERROR(INDEX('2_IMPORTAR_EJECUCION'!$H$9:$H$1208,MATCH($AN659,'2_IMPORTAR_EJECUCION'!$J$9:$J$1208,0)),0)-$AF659))</f>
        <v/>
      </c>
      <c r="AH659" s="10">
        <f>IF($A659="","",$AF659+$AG659)</f>
        <v/>
      </c>
      <c r="AI659" s="6" t="n"/>
      <c r="AJ659" s="6" t="n"/>
      <c r="AK659" s="6" t="n"/>
      <c r="AL659" s="3">
        <f>IF($AK659="","",HYPERLINK(p_ruta_base_checklists&amp;$AK659,"abrir"))</f>
        <v/>
      </c>
      <c r="AM659" s="6" t="n"/>
      <c r="AN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1" t="n"/>
      <c r="K660" s="3" t="n"/>
      <c r="L660" s="10" t="n"/>
      <c r="M660" s="3">
        <f>IF($A660="","",IFERROR(INDEX('AJUSTES'!$B$4:$B$303,MATCH($AN660,'AJUSTES'!$A$4:$A$303,0)),IF($K660="","",$K660)))</f>
        <v/>
      </c>
      <c r="N660" s="3">
        <f>IF($A660="","",IFERROR(INDEX('CAT_ESTADOS_ERP'!$B$4:$B$7,MATCH(IFERROR(INDEX('2_IMPORTAR_EJECUCION'!$C$9:$C$1208,MATCH($AN660,'2_IMPORTAR_EJECUCION'!$J$9:$J$1208,0)),""),'CAT_ESTADOS_ERP'!$A$4:$A$7,0)),"Pendiente"))</f>
        <v/>
      </c>
      <c r="O660" s="3">
        <f>IF($J660="","",YEAR($J660+4-WEEKDAY($J660,2))&amp;"-S"&amp;TEXT(_xlfn.ISOWEEKNUM($J660),"00"))</f>
        <v/>
      </c>
      <c r="P660" s="3">
        <f>IF($J660="","",YEAR($J660))</f>
        <v/>
      </c>
      <c r="Q660" s="3">
        <f>IF($J660="","",MONTH($J660))</f>
        <v/>
      </c>
      <c r="R660" s="3">
        <f>IF($J660="","",INDEX(lista_dias,WEEKDAY($J660,2)))</f>
        <v/>
      </c>
      <c r="S660" s="3">
        <f>IF($I660="","",IFERROR(INDEX('CAT_TIPOS_OT'!$C$4:$C$7,MATCH($I660,'CAT_TIPOS_OT'!$A$4:$A$7,0)),"sin_clasificar"))</f>
        <v/>
      </c>
      <c r="T660" s="3">
        <f>IF($F660="","",IFERROR(INDEX('CAT_CENTROS_COSTO'!$E$4:$E$9,MATCH($F660,'CAT_CENTROS_COSTO'!$A$4:$A$9,0)),"(sin catálogo)"))</f>
        <v/>
      </c>
      <c r="U660" s="3">
        <f>IF($F660="","",IFERROR(INDEX('CAT_CENTROS_COSTO'!$D$4:$D$9,MATCH($F660,'CAT_CENTROS_COSTO'!$A$4:$A$9,0)),"(sin catálogo)"))</f>
        <v/>
      </c>
      <c r="V660" s="3">
        <f>IF($F660="","",IFERROR(INDEX('CAT_CENTROS_COSTO'!$F$4:$F$9,MATCH($F660,'CAT_CENTROS_COSTO'!$A$4:$A$9,0)),"(sin catálogo)"))</f>
        <v/>
      </c>
      <c r="W660" s="3">
        <f>IF($G660="","",IFERROR(INDEX('CAT_PUESTOS'!$B$4:$B$8,MATCH($G660,'CAT_PUESTOS'!$A$4:$A$8,0)),"(sin catálogo)"))</f>
        <v/>
      </c>
      <c r="X660" s="3">
        <f>IF($H660="","",IFERROR(INDEX('CAT_ACTIVIDADES'!$B$4:$B$8,MATCH($H660,'CAT_ACTIVIDADES'!$A$4:$A$8,0)),"(sin catálogo)"))</f>
        <v/>
      </c>
      <c r="Y660" s="12">
        <f>IF($J660="","",TODAY()-$J660)</f>
        <v/>
      </c>
      <c r="Z660" s="3">
        <f>IF($Y660="","",IF($Y660&lt;0,"FUTURO",IF($Y660&gt;p_dias_backlog_max,"BACKLOG","MES CORRIENTE")))</f>
        <v/>
      </c>
      <c r="AA660" s="3">
        <f>IF($Y660="",FALSE,AND($Y660&gt;p_dias_backlog_min,$Y660&lt;=p_dias_backlog_max))</f>
        <v/>
      </c>
      <c r="AB660" s="6" t="n"/>
      <c r="AC660" s="3">
        <f>IF($AB660="","",IFERROR(INDEX('ASIGNACIONES'!$F$4:$F$339,MATCH($O660&amp;"|"&amp;$R660&amp;"|"&amp;$AB660,'ASIGNACIONES'!$I$4:$I$339,0)),""))</f>
        <v/>
      </c>
      <c r="AD660" s="13">
        <f>IF($AB660="","",SUMIFS('ORDENES'!$M$4:$M$1203,'ORDENES'!$AB$4:$AB$1203,$AB660,'ORDENES'!$O$4:$O$1203,$O660,'ORDENES'!$R$4:$R$1203,$R660))</f>
        <v/>
      </c>
      <c r="AE660" s="13">
        <f>IF($AD660="","",p_factor_productividad*IFERROR(INDEX('ASIGNACIONES'!$H$4:$H$339,MATCH($O660&amp;"|"&amp;$R660&amp;"|"&amp;$AB660,'ASIGNACIONES'!$I$4:$I$339,0)),0)-$AD660)</f>
        <v/>
      </c>
      <c r="AF660" s="10">
        <f>IF($A660="","",IFERROR(INDEX('2_IMPORTAR_EJECUCION'!$F$9:$F$1208,MATCH($AN660,'2_IMPORTAR_EJECUCION'!$J$9:$J$1208,0)),0))</f>
        <v/>
      </c>
      <c r="AG660" s="10">
        <f>IF($A660="","",MAX(0,IFERROR(INDEX('2_IMPORTAR_EJECUCION'!$H$9:$H$1208,MATCH($AN660,'2_IMPORTAR_EJECUCION'!$J$9:$J$1208,0)),0)-$AF660))</f>
        <v/>
      </c>
      <c r="AH660" s="10">
        <f>IF($A660="","",$AF660+$AG660)</f>
        <v/>
      </c>
      <c r="AI660" s="6" t="n"/>
      <c r="AJ660" s="6" t="n"/>
      <c r="AK660" s="6" t="n"/>
      <c r="AL660" s="3">
        <f>IF($AK660="","",HYPERLINK(p_ruta_base_checklists&amp;$AK660,"abrir"))</f>
        <v/>
      </c>
      <c r="AM660" s="6" t="n"/>
      <c r="AN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1" t="n"/>
      <c r="K661" s="3" t="n"/>
      <c r="L661" s="10" t="n"/>
      <c r="M661" s="3">
        <f>IF($A661="","",IFERROR(INDEX('AJUSTES'!$B$4:$B$303,MATCH($AN661,'AJUSTES'!$A$4:$A$303,0)),IF($K661="","",$K661)))</f>
        <v/>
      </c>
      <c r="N661" s="3">
        <f>IF($A661="","",IFERROR(INDEX('CAT_ESTADOS_ERP'!$B$4:$B$7,MATCH(IFERROR(INDEX('2_IMPORTAR_EJECUCION'!$C$9:$C$1208,MATCH($AN661,'2_IMPORTAR_EJECUCION'!$J$9:$J$1208,0)),""),'CAT_ESTADOS_ERP'!$A$4:$A$7,0)),"Pendiente"))</f>
        <v/>
      </c>
      <c r="O661" s="3">
        <f>IF($J661="","",YEAR($J661+4-WEEKDAY($J661,2))&amp;"-S"&amp;TEXT(_xlfn.ISOWEEKNUM($J661),"00"))</f>
        <v/>
      </c>
      <c r="P661" s="3">
        <f>IF($J661="","",YEAR($J661))</f>
        <v/>
      </c>
      <c r="Q661" s="3">
        <f>IF($J661="","",MONTH($J661))</f>
        <v/>
      </c>
      <c r="R661" s="3">
        <f>IF($J661="","",INDEX(lista_dias,WEEKDAY($J661,2)))</f>
        <v/>
      </c>
      <c r="S661" s="3">
        <f>IF($I661="","",IFERROR(INDEX('CAT_TIPOS_OT'!$C$4:$C$7,MATCH($I661,'CAT_TIPOS_OT'!$A$4:$A$7,0)),"sin_clasificar"))</f>
        <v/>
      </c>
      <c r="T661" s="3">
        <f>IF($F661="","",IFERROR(INDEX('CAT_CENTROS_COSTO'!$E$4:$E$9,MATCH($F661,'CAT_CENTROS_COSTO'!$A$4:$A$9,0)),"(sin catálogo)"))</f>
        <v/>
      </c>
      <c r="U661" s="3">
        <f>IF($F661="","",IFERROR(INDEX('CAT_CENTROS_COSTO'!$D$4:$D$9,MATCH($F661,'CAT_CENTROS_COSTO'!$A$4:$A$9,0)),"(sin catálogo)"))</f>
        <v/>
      </c>
      <c r="V661" s="3">
        <f>IF($F661="","",IFERROR(INDEX('CAT_CENTROS_COSTO'!$F$4:$F$9,MATCH($F661,'CAT_CENTROS_COSTO'!$A$4:$A$9,0)),"(sin catálogo)"))</f>
        <v/>
      </c>
      <c r="W661" s="3">
        <f>IF($G661="","",IFERROR(INDEX('CAT_PUESTOS'!$B$4:$B$8,MATCH($G661,'CAT_PUESTOS'!$A$4:$A$8,0)),"(sin catálogo)"))</f>
        <v/>
      </c>
      <c r="X661" s="3">
        <f>IF($H661="","",IFERROR(INDEX('CAT_ACTIVIDADES'!$B$4:$B$8,MATCH($H661,'CAT_ACTIVIDADES'!$A$4:$A$8,0)),"(sin catálogo)"))</f>
        <v/>
      </c>
      <c r="Y661" s="12">
        <f>IF($J661="","",TODAY()-$J661)</f>
        <v/>
      </c>
      <c r="Z661" s="3">
        <f>IF($Y661="","",IF($Y661&lt;0,"FUTURO",IF($Y661&gt;p_dias_backlog_max,"BACKLOG","MES CORRIENTE")))</f>
        <v/>
      </c>
      <c r="AA661" s="3">
        <f>IF($Y661="",FALSE,AND($Y661&gt;p_dias_backlog_min,$Y661&lt;=p_dias_backlog_max))</f>
        <v/>
      </c>
      <c r="AB661" s="6" t="n"/>
      <c r="AC661" s="3">
        <f>IF($AB661="","",IFERROR(INDEX('ASIGNACIONES'!$F$4:$F$339,MATCH($O661&amp;"|"&amp;$R661&amp;"|"&amp;$AB661,'ASIGNACIONES'!$I$4:$I$339,0)),""))</f>
        <v/>
      </c>
      <c r="AD661" s="13">
        <f>IF($AB661="","",SUMIFS('ORDENES'!$M$4:$M$1203,'ORDENES'!$AB$4:$AB$1203,$AB661,'ORDENES'!$O$4:$O$1203,$O661,'ORDENES'!$R$4:$R$1203,$R661))</f>
        <v/>
      </c>
      <c r="AE661" s="13">
        <f>IF($AD661="","",p_factor_productividad*IFERROR(INDEX('ASIGNACIONES'!$H$4:$H$339,MATCH($O661&amp;"|"&amp;$R661&amp;"|"&amp;$AB661,'ASIGNACIONES'!$I$4:$I$339,0)),0)-$AD661)</f>
        <v/>
      </c>
      <c r="AF661" s="10">
        <f>IF($A661="","",IFERROR(INDEX('2_IMPORTAR_EJECUCION'!$F$9:$F$1208,MATCH($AN661,'2_IMPORTAR_EJECUCION'!$J$9:$J$1208,0)),0))</f>
        <v/>
      </c>
      <c r="AG661" s="10">
        <f>IF($A661="","",MAX(0,IFERROR(INDEX('2_IMPORTAR_EJECUCION'!$H$9:$H$1208,MATCH($AN661,'2_IMPORTAR_EJECUCION'!$J$9:$J$1208,0)),0)-$AF661))</f>
        <v/>
      </c>
      <c r="AH661" s="10">
        <f>IF($A661="","",$AF661+$AG661)</f>
        <v/>
      </c>
      <c r="AI661" s="6" t="n"/>
      <c r="AJ661" s="6" t="n"/>
      <c r="AK661" s="6" t="n"/>
      <c r="AL661" s="3">
        <f>IF($AK661="","",HYPERLINK(p_ruta_base_checklists&amp;$AK661,"abrir"))</f>
        <v/>
      </c>
      <c r="AM661" s="6" t="n"/>
      <c r="AN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1" t="n"/>
      <c r="K662" s="3" t="n"/>
      <c r="L662" s="10" t="n"/>
      <c r="M662" s="3">
        <f>IF($A662="","",IFERROR(INDEX('AJUSTES'!$B$4:$B$303,MATCH($AN662,'AJUSTES'!$A$4:$A$303,0)),IF($K662="","",$K662)))</f>
        <v/>
      </c>
      <c r="N662" s="3">
        <f>IF($A662="","",IFERROR(INDEX('CAT_ESTADOS_ERP'!$B$4:$B$7,MATCH(IFERROR(INDEX('2_IMPORTAR_EJECUCION'!$C$9:$C$1208,MATCH($AN662,'2_IMPORTAR_EJECUCION'!$J$9:$J$1208,0)),""),'CAT_ESTADOS_ERP'!$A$4:$A$7,0)),"Pendiente"))</f>
        <v/>
      </c>
      <c r="O662" s="3">
        <f>IF($J662="","",YEAR($J662+4-WEEKDAY($J662,2))&amp;"-S"&amp;TEXT(_xlfn.ISOWEEKNUM($J662),"00"))</f>
        <v/>
      </c>
      <c r="P662" s="3">
        <f>IF($J662="","",YEAR($J662))</f>
        <v/>
      </c>
      <c r="Q662" s="3">
        <f>IF($J662="","",MONTH($J662))</f>
        <v/>
      </c>
      <c r="R662" s="3">
        <f>IF($J662="","",INDEX(lista_dias,WEEKDAY($J662,2)))</f>
        <v/>
      </c>
      <c r="S662" s="3">
        <f>IF($I662="","",IFERROR(INDEX('CAT_TIPOS_OT'!$C$4:$C$7,MATCH($I662,'CAT_TIPOS_OT'!$A$4:$A$7,0)),"sin_clasificar"))</f>
        <v/>
      </c>
      <c r="T662" s="3">
        <f>IF($F662="","",IFERROR(INDEX('CAT_CENTROS_COSTO'!$E$4:$E$9,MATCH($F662,'CAT_CENTROS_COSTO'!$A$4:$A$9,0)),"(sin catálogo)"))</f>
        <v/>
      </c>
      <c r="U662" s="3">
        <f>IF($F662="","",IFERROR(INDEX('CAT_CENTROS_COSTO'!$D$4:$D$9,MATCH($F662,'CAT_CENTROS_COSTO'!$A$4:$A$9,0)),"(sin catálogo)"))</f>
        <v/>
      </c>
      <c r="V662" s="3">
        <f>IF($F662="","",IFERROR(INDEX('CAT_CENTROS_COSTO'!$F$4:$F$9,MATCH($F662,'CAT_CENTROS_COSTO'!$A$4:$A$9,0)),"(sin catálogo)"))</f>
        <v/>
      </c>
      <c r="W662" s="3">
        <f>IF($G662="","",IFERROR(INDEX('CAT_PUESTOS'!$B$4:$B$8,MATCH($G662,'CAT_PUESTOS'!$A$4:$A$8,0)),"(sin catálogo)"))</f>
        <v/>
      </c>
      <c r="X662" s="3">
        <f>IF($H662="","",IFERROR(INDEX('CAT_ACTIVIDADES'!$B$4:$B$8,MATCH($H662,'CAT_ACTIVIDADES'!$A$4:$A$8,0)),"(sin catálogo)"))</f>
        <v/>
      </c>
      <c r="Y662" s="12">
        <f>IF($J662="","",TODAY()-$J662)</f>
        <v/>
      </c>
      <c r="Z662" s="3">
        <f>IF($Y662="","",IF($Y662&lt;0,"FUTURO",IF($Y662&gt;p_dias_backlog_max,"BACKLOG","MES CORRIENTE")))</f>
        <v/>
      </c>
      <c r="AA662" s="3">
        <f>IF($Y662="",FALSE,AND($Y662&gt;p_dias_backlog_min,$Y662&lt;=p_dias_backlog_max))</f>
        <v/>
      </c>
      <c r="AB662" s="6" t="n"/>
      <c r="AC662" s="3">
        <f>IF($AB662="","",IFERROR(INDEX('ASIGNACIONES'!$F$4:$F$339,MATCH($O662&amp;"|"&amp;$R662&amp;"|"&amp;$AB662,'ASIGNACIONES'!$I$4:$I$339,0)),""))</f>
        <v/>
      </c>
      <c r="AD662" s="13">
        <f>IF($AB662="","",SUMIFS('ORDENES'!$M$4:$M$1203,'ORDENES'!$AB$4:$AB$1203,$AB662,'ORDENES'!$O$4:$O$1203,$O662,'ORDENES'!$R$4:$R$1203,$R662))</f>
        <v/>
      </c>
      <c r="AE662" s="13">
        <f>IF($AD662="","",p_factor_productividad*IFERROR(INDEX('ASIGNACIONES'!$H$4:$H$339,MATCH($O662&amp;"|"&amp;$R662&amp;"|"&amp;$AB662,'ASIGNACIONES'!$I$4:$I$339,0)),0)-$AD662)</f>
        <v/>
      </c>
      <c r="AF662" s="10">
        <f>IF($A662="","",IFERROR(INDEX('2_IMPORTAR_EJECUCION'!$F$9:$F$1208,MATCH($AN662,'2_IMPORTAR_EJECUCION'!$J$9:$J$1208,0)),0))</f>
        <v/>
      </c>
      <c r="AG662" s="10">
        <f>IF($A662="","",MAX(0,IFERROR(INDEX('2_IMPORTAR_EJECUCION'!$H$9:$H$1208,MATCH($AN662,'2_IMPORTAR_EJECUCION'!$J$9:$J$1208,0)),0)-$AF662))</f>
        <v/>
      </c>
      <c r="AH662" s="10">
        <f>IF($A662="","",$AF662+$AG662)</f>
        <v/>
      </c>
      <c r="AI662" s="6" t="n"/>
      <c r="AJ662" s="6" t="n"/>
      <c r="AK662" s="6" t="n"/>
      <c r="AL662" s="3">
        <f>IF($AK662="","",HYPERLINK(p_ruta_base_checklists&amp;$AK662,"abrir"))</f>
        <v/>
      </c>
      <c r="AM662" s="6" t="n"/>
      <c r="AN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1" t="n"/>
      <c r="K663" s="3" t="n"/>
      <c r="L663" s="10" t="n"/>
      <c r="M663" s="3">
        <f>IF($A663="","",IFERROR(INDEX('AJUSTES'!$B$4:$B$303,MATCH($AN663,'AJUSTES'!$A$4:$A$303,0)),IF($K663="","",$K663)))</f>
        <v/>
      </c>
      <c r="N663" s="3">
        <f>IF($A663="","",IFERROR(INDEX('CAT_ESTADOS_ERP'!$B$4:$B$7,MATCH(IFERROR(INDEX('2_IMPORTAR_EJECUCION'!$C$9:$C$1208,MATCH($AN663,'2_IMPORTAR_EJECUCION'!$J$9:$J$1208,0)),""),'CAT_ESTADOS_ERP'!$A$4:$A$7,0)),"Pendiente"))</f>
        <v/>
      </c>
      <c r="O663" s="3">
        <f>IF($J663="","",YEAR($J663+4-WEEKDAY($J663,2))&amp;"-S"&amp;TEXT(_xlfn.ISOWEEKNUM($J663),"00"))</f>
        <v/>
      </c>
      <c r="P663" s="3">
        <f>IF($J663="","",YEAR($J663))</f>
        <v/>
      </c>
      <c r="Q663" s="3">
        <f>IF($J663="","",MONTH($J663))</f>
        <v/>
      </c>
      <c r="R663" s="3">
        <f>IF($J663="","",INDEX(lista_dias,WEEKDAY($J663,2)))</f>
        <v/>
      </c>
      <c r="S663" s="3">
        <f>IF($I663="","",IFERROR(INDEX('CAT_TIPOS_OT'!$C$4:$C$7,MATCH($I663,'CAT_TIPOS_OT'!$A$4:$A$7,0)),"sin_clasificar"))</f>
        <v/>
      </c>
      <c r="T663" s="3">
        <f>IF($F663="","",IFERROR(INDEX('CAT_CENTROS_COSTO'!$E$4:$E$9,MATCH($F663,'CAT_CENTROS_COSTO'!$A$4:$A$9,0)),"(sin catálogo)"))</f>
        <v/>
      </c>
      <c r="U663" s="3">
        <f>IF($F663="","",IFERROR(INDEX('CAT_CENTROS_COSTO'!$D$4:$D$9,MATCH($F663,'CAT_CENTROS_COSTO'!$A$4:$A$9,0)),"(sin catálogo)"))</f>
        <v/>
      </c>
      <c r="V663" s="3">
        <f>IF($F663="","",IFERROR(INDEX('CAT_CENTROS_COSTO'!$F$4:$F$9,MATCH($F663,'CAT_CENTROS_COSTO'!$A$4:$A$9,0)),"(sin catálogo)"))</f>
        <v/>
      </c>
      <c r="W663" s="3">
        <f>IF($G663="","",IFERROR(INDEX('CAT_PUESTOS'!$B$4:$B$8,MATCH($G663,'CAT_PUESTOS'!$A$4:$A$8,0)),"(sin catálogo)"))</f>
        <v/>
      </c>
      <c r="X663" s="3">
        <f>IF($H663="","",IFERROR(INDEX('CAT_ACTIVIDADES'!$B$4:$B$8,MATCH($H663,'CAT_ACTIVIDADES'!$A$4:$A$8,0)),"(sin catálogo)"))</f>
        <v/>
      </c>
      <c r="Y663" s="12">
        <f>IF($J663="","",TODAY()-$J663)</f>
        <v/>
      </c>
      <c r="Z663" s="3">
        <f>IF($Y663="","",IF($Y663&lt;0,"FUTURO",IF($Y663&gt;p_dias_backlog_max,"BACKLOG","MES CORRIENTE")))</f>
        <v/>
      </c>
      <c r="AA663" s="3">
        <f>IF($Y663="",FALSE,AND($Y663&gt;p_dias_backlog_min,$Y663&lt;=p_dias_backlog_max))</f>
        <v/>
      </c>
      <c r="AB663" s="6" t="n"/>
      <c r="AC663" s="3">
        <f>IF($AB663="","",IFERROR(INDEX('ASIGNACIONES'!$F$4:$F$339,MATCH($O663&amp;"|"&amp;$R663&amp;"|"&amp;$AB663,'ASIGNACIONES'!$I$4:$I$339,0)),""))</f>
        <v/>
      </c>
      <c r="AD663" s="13">
        <f>IF($AB663="","",SUMIFS('ORDENES'!$M$4:$M$1203,'ORDENES'!$AB$4:$AB$1203,$AB663,'ORDENES'!$O$4:$O$1203,$O663,'ORDENES'!$R$4:$R$1203,$R663))</f>
        <v/>
      </c>
      <c r="AE663" s="13">
        <f>IF($AD663="","",p_factor_productividad*IFERROR(INDEX('ASIGNACIONES'!$H$4:$H$339,MATCH($O663&amp;"|"&amp;$R663&amp;"|"&amp;$AB663,'ASIGNACIONES'!$I$4:$I$339,0)),0)-$AD663)</f>
        <v/>
      </c>
      <c r="AF663" s="10">
        <f>IF($A663="","",IFERROR(INDEX('2_IMPORTAR_EJECUCION'!$F$9:$F$1208,MATCH($AN663,'2_IMPORTAR_EJECUCION'!$J$9:$J$1208,0)),0))</f>
        <v/>
      </c>
      <c r="AG663" s="10">
        <f>IF($A663="","",MAX(0,IFERROR(INDEX('2_IMPORTAR_EJECUCION'!$H$9:$H$1208,MATCH($AN663,'2_IMPORTAR_EJECUCION'!$J$9:$J$1208,0)),0)-$AF663))</f>
        <v/>
      </c>
      <c r="AH663" s="10">
        <f>IF($A663="","",$AF663+$AG663)</f>
        <v/>
      </c>
      <c r="AI663" s="6" t="n"/>
      <c r="AJ663" s="6" t="n"/>
      <c r="AK663" s="6" t="n"/>
      <c r="AL663" s="3">
        <f>IF($AK663="","",HYPERLINK(p_ruta_base_checklists&amp;$AK663,"abrir"))</f>
        <v/>
      </c>
      <c r="AM663" s="6" t="n"/>
      <c r="AN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1" t="n"/>
      <c r="K664" s="3" t="n"/>
      <c r="L664" s="10" t="n"/>
      <c r="M664" s="3">
        <f>IF($A664="","",IFERROR(INDEX('AJUSTES'!$B$4:$B$303,MATCH($AN664,'AJUSTES'!$A$4:$A$303,0)),IF($K664="","",$K664)))</f>
        <v/>
      </c>
      <c r="N664" s="3">
        <f>IF($A664="","",IFERROR(INDEX('CAT_ESTADOS_ERP'!$B$4:$B$7,MATCH(IFERROR(INDEX('2_IMPORTAR_EJECUCION'!$C$9:$C$1208,MATCH($AN664,'2_IMPORTAR_EJECUCION'!$J$9:$J$1208,0)),""),'CAT_ESTADOS_ERP'!$A$4:$A$7,0)),"Pendiente"))</f>
        <v/>
      </c>
      <c r="O664" s="3">
        <f>IF($J664="","",YEAR($J664+4-WEEKDAY($J664,2))&amp;"-S"&amp;TEXT(_xlfn.ISOWEEKNUM($J664),"00"))</f>
        <v/>
      </c>
      <c r="P664" s="3">
        <f>IF($J664="","",YEAR($J664))</f>
        <v/>
      </c>
      <c r="Q664" s="3">
        <f>IF($J664="","",MONTH($J664))</f>
        <v/>
      </c>
      <c r="R664" s="3">
        <f>IF($J664="","",INDEX(lista_dias,WEEKDAY($J664,2)))</f>
        <v/>
      </c>
      <c r="S664" s="3">
        <f>IF($I664="","",IFERROR(INDEX('CAT_TIPOS_OT'!$C$4:$C$7,MATCH($I664,'CAT_TIPOS_OT'!$A$4:$A$7,0)),"sin_clasificar"))</f>
        <v/>
      </c>
      <c r="T664" s="3">
        <f>IF($F664="","",IFERROR(INDEX('CAT_CENTROS_COSTO'!$E$4:$E$9,MATCH($F664,'CAT_CENTROS_COSTO'!$A$4:$A$9,0)),"(sin catálogo)"))</f>
        <v/>
      </c>
      <c r="U664" s="3">
        <f>IF($F664="","",IFERROR(INDEX('CAT_CENTROS_COSTO'!$D$4:$D$9,MATCH($F664,'CAT_CENTROS_COSTO'!$A$4:$A$9,0)),"(sin catálogo)"))</f>
        <v/>
      </c>
      <c r="V664" s="3">
        <f>IF($F664="","",IFERROR(INDEX('CAT_CENTROS_COSTO'!$F$4:$F$9,MATCH($F664,'CAT_CENTROS_COSTO'!$A$4:$A$9,0)),"(sin catálogo)"))</f>
        <v/>
      </c>
      <c r="W664" s="3">
        <f>IF($G664="","",IFERROR(INDEX('CAT_PUESTOS'!$B$4:$B$8,MATCH($G664,'CAT_PUESTOS'!$A$4:$A$8,0)),"(sin catálogo)"))</f>
        <v/>
      </c>
      <c r="X664" s="3">
        <f>IF($H664="","",IFERROR(INDEX('CAT_ACTIVIDADES'!$B$4:$B$8,MATCH($H664,'CAT_ACTIVIDADES'!$A$4:$A$8,0)),"(sin catálogo)"))</f>
        <v/>
      </c>
      <c r="Y664" s="12">
        <f>IF($J664="","",TODAY()-$J664)</f>
        <v/>
      </c>
      <c r="Z664" s="3">
        <f>IF($Y664="","",IF($Y664&lt;0,"FUTURO",IF($Y664&gt;p_dias_backlog_max,"BACKLOG","MES CORRIENTE")))</f>
        <v/>
      </c>
      <c r="AA664" s="3">
        <f>IF($Y664="",FALSE,AND($Y664&gt;p_dias_backlog_min,$Y664&lt;=p_dias_backlog_max))</f>
        <v/>
      </c>
      <c r="AB664" s="6" t="n"/>
      <c r="AC664" s="3">
        <f>IF($AB664="","",IFERROR(INDEX('ASIGNACIONES'!$F$4:$F$339,MATCH($O664&amp;"|"&amp;$R664&amp;"|"&amp;$AB664,'ASIGNACIONES'!$I$4:$I$339,0)),""))</f>
        <v/>
      </c>
      <c r="AD664" s="13">
        <f>IF($AB664="","",SUMIFS('ORDENES'!$M$4:$M$1203,'ORDENES'!$AB$4:$AB$1203,$AB664,'ORDENES'!$O$4:$O$1203,$O664,'ORDENES'!$R$4:$R$1203,$R664))</f>
        <v/>
      </c>
      <c r="AE664" s="13">
        <f>IF($AD664="","",p_factor_productividad*IFERROR(INDEX('ASIGNACIONES'!$H$4:$H$339,MATCH($O664&amp;"|"&amp;$R664&amp;"|"&amp;$AB664,'ASIGNACIONES'!$I$4:$I$339,0)),0)-$AD664)</f>
        <v/>
      </c>
      <c r="AF664" s="10">
        <f>IF($A664="","",IFERROR(INDEX('2_IMPORTAR_EJECUCION'!$F$9:$F$1208,MATCH($AN664,'2_IMPORTAR_EJECUCION'!$J$9:$J$1208,0)),0))</f>
        <v/>
      </c>
      <c r="AG664" s="10">
        <f>IF($A664="","",MAX(0,IFERROR(INDEX('2_IMPORTAR_EJECUCION'!$H$9:$H$1208,MATCH($AN664,'2_IMPORTAR_EJECUCION'!$J$9:$J$1208,0)),0)-$AF664))</f>
        <v/>
      </c>
      <c r="AH664" s="10">
        <f>IF($A664="","",$AF664+$AG664)</f>
        <v/>
      </c>
      <c r="AI664" s="6" t="n"/>
      <c r="AJ664" s="6" t="n"/>
      <c r="AK664" s="6" t="n"/>
      <c r="AL664" s="3">
        <f>IF($AK664="","",HYPERLINK(p_ruta_base_checklists&amp;$AK664,"abrir"))</f>
        <v/>
      </c>
      <c r="AM664" s="6" t="n"/>
      <c r="AN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1" t="n"/>
      <c r="K665" s="3" t="n"/>
      <c r="L665" s="10" t="n"/>
      <c r="M665" s="3">
        <f>IF($A665="","",IFERROR(INDEX('AJUSTES'!$B$4:$B$303,MATCH($AN665,'AJUSTES'!$A$4:$A$303,0)),IF($K665="","",$K665)))</f>
        <v/>
      </c>
      <c r="N665" s="3">
        <f>IF($A665="","",IFERROR(INDEX('CAT_ESTADOS_ERP'!$B$4:$B$7,MATCH(IFERROR(INDEX('2_IMPORTAR_EJECUCION'!$C$9:$C$1208,MATCH($AN665,'2_IMPORTAR_EJECUCION'!$J$9:$J$1208,0)),""),'CAT_ESTADOS_ERP'!$A$4:$A$7,0)),"Pendiente"))</f>
        <v/>
      </c>
      <c r="O665" s="3">
        <f>IF($J665="","",YEAR($J665+4-WEEKDAY($J665,2))&amp;"-S"&amp;TEXT(_xlfn.ISOWEEKNUM($J665),"00"))</f>
        <v/>
      </c>
      <c r="P665" s="3">
        <f>IF($J665="","",YEAR($J665))</f>
        <v/>
      </c>
      <c r="Q665" s="3">
        <f>IF($J665="","",MONTH($J665))</f>
        <v/>
      </c>
      <c r="R665" s="3">
        <f>IF($J665="","",INDEX(lista_dias,WEEKDAY($J665,2)))</f>
        <v/>
      </c>
      <c r="S665" s="3">
        <f>IF($I665="","",IFERROR(INDEX('CAT_TIPOS_OT'!$C$4:$C$7,MATCH($I665,'CAT_TIPOS_OT'!$A$4:$A$7,0)),"sin_clasificar"))</f>
        <v/>
      </c>
      <c r="T665" s="3">
        <f>IF($F665="","",IFERROR(INDEX('CAT_CENTROS_COSTO'!$E$4:$E$9,MATCH($F665,'CAT_CENTROS_COSTO'!$A$4:$A$9,0)),"(sin catálogo)"))</f>
        <v/>
      </c>
      <c r="U665" s="3">
        <f>IF($F665="","",IFERROR(INDEX('CAT_CENTROS_COSTO'!$D$4:$D$9,MATCH($F665,'CAT_CENTROS_COSTO'!$A$4:$A$9,0)),"(sin catálogo)"))</f>
        <v/>
      </c>
      <c r="V665" s="3">
        <f>IF($F665="","",IFERROR(INDEX('CAT_CENTROS_COSTO'!$F$4:$F$9,MATCH($F665,'CAT_CENTROS_COSTO'!$A$4:$A$9,0)),"(sin catálogo)"))</f>
        <v/>
      </c>
      <c r="W665" s="3">
        <f>IF($G665="","",IFERROR(INDEX('CAT_PUESTOS'!$B$4:$B$8,MATCH($G665,'CAT_PUESTOS'!$A$4:$A$8,0)),"(sin catálogo)"))</f>
        <v/>
      </c>
      <c r="X665" s="3">
        <f>IF($H665="","",IFERROR(INDEX('CAT_ACTIVIDADES'!$B$4:$B$8,MATCH($H665,'CAT_ACTIVIDADES'!$A$4:$A$8,0)),"(sin catálogo)"))</f>
        <v/>
      </c>
      <c r="Y665" s="12">
        <f>IF($J665="","",TODAY()-$J665)</f>
        <v/>
      </c>
      <c r="Z665" s="3">
        <f>IF($Y665="","",IF($Y665&lt;0,"FUTURO",IF($Y665&gt;p_dias_backlog_max,"BACKLOG","MES CORRIENTE")))</f>
        <v/>
      </c>
      <c r="AA665" s="3">
        <f>IF($Y665="",FALSE,AND($Y665&gt;p_dias_backlog_min,$Y665&lt;=p_dias_backlog_max))</f>
        <v/>
      </c>
      <c r="AB665" s="6" t="n"/>
      <c r="AC665" s="3">
        <f>IF($AB665="","",IFERROR(INDEX('ASIGNACIONES'!$F$4:$F$339,MATCH($O665&amp;"|"&amp;$R665&amp;"|"&amp;$AB665,'ASIGNACIONES'!$I$4:$I$339,0)),""))</f>
        <v/>
      </c>
      <c r="AD665" s="13">
        <f>IF($AB665="","",SUMIFS('ORDENES'!$M$4:$M$1203,'ORDENES'!$AB$4:$AB$1203,$AB665,'ORDENES'!$O$4:$O$1203,$O665,'ORDENES'!$R$4:$R$1203,$R665))</f>
        <v/>
      </c>
      <c r="AE665" s="13">
        <f>IF($AD665="","",p_factor_productividad*IFERROR(INDEX('ASIGNACIONES'!$H$4:$H$339,MATCH($O665&amp;"|"&amp;$R665&amp;"|"&amp;$AB665,'ASIGNACIONES'!$I$4:$I$339,0)),0)-$AD665)</f>
        <v/>
      </c>
      <c r="AF665" s="10">
        <f>IF($A665="","",IFERROR(INDEX('2_IMPORTAR_EJECUCION'!$F$9:$F$1208,MATCH($AN665,'2_IMPORTAR_EJECUCION'!$J$9:$J$1208,0)),0))</f>
        <v/>
      </c>
      <c r="AG665" s="10">
        <f>IF($A665="","",MAX(0,IFERROR(INDEX('2_IMPORTAR_EJECUCION'!$H$9:$H$1208,MATCH($AN665,'2_IMPORTAR_EJECUCION'!$J$9:$J$1208,0)),0)-$AF665))</f>
        <v/>
      </c>
      <c r="AH665" s="10">
        <f>IF($A665="","",$AF665+$AG665)</f>
        <v/>
      </c>
      <c r="AI665" s="6" t="n"/>
      <c r="AJ665" s="6" t="n"/>
      <c r="AK665" s="6" t="n"/>
      <c r="AL665" s="3">
        <f>IF($AK665="","",HYPERLINK(p_ruta_base_checklists&amp;$AK665,"abrir"))</f>
        <v/>
      </c>
      <c r="AM665" s="6" t="n"/>
      <c r="AN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1" t="n"/>
      <c r="K666" s="3" t="n"/>
      <c r="L666" s="10" t="n"/>
      <c r="M666" s="3">
        <f>IF($A666="","",IFERROR(INDEX('AJUSTES'!$B$4:$B$303,MATCH($AN666,'AJUSTES'!$A$4:$A$303,0)),IF($K666="","",$K666)))</f>
        <v/>
      </c>
      <c r="N666" s="3">
        <f>IF($A666="","",IFERROR(INDEX('CAT_ESTADOS_ERP'!$B$4:$B$7,MATCH(IFERROR(INDEX('2_IMPORTAR_EJECUCION'!$C$9:$C$1208,MATCH($AN666,'2_IMPORTAR_EJECUCION'!$J$9:$J$1208,0)),""),'CAT_ESTADOS_ERP'!$A$4:$A$7,0)),"Pendiente"))</f>
        <v/>
      </c>
      <c r="O666" s="3">
        <f>IF($J666="","",YEAR($J666+4-WEEKDAY($J666,2))&amp;"-S"&amp;TEXT(_xlfn.ISOWEEKNUM($J666),"00"))</f>
        <v/>
      </c>
      <c r="P666" s="3">
        <f>IF($J666="","",YEAR($J666))</f>
        <v/>
      </c>
      <c r="Q666" s="3">
        <f>IF($J666="","",MONTH($J666))</f>
        <v/>
      </c>
      <c r="R666" s="3">
        <f>IF($J666="","",INDEX(lista_dias,WEEKDAY($J666,2)))</f>
        <v/>
      </c>
      <c r="S666" s="3">
        <f>IF($I666="","",IFERROR(INDEX('CAT_TIPOS_OT'!$C$4:$C$7,MATCH($I666,'CAT_TIPOS_OT'!$A$4:$A$7,0)),"sin_clasificar"))</f>
        <v/>
      </c>
      <c r="T666" s="3">
        <f>IF($F666="","",IFERROR(INDEX('CAT_CENTROS_COSTO'!$E$4:$E$9,MATCH($F666,'CAT_CENTROS_COSTO'!$A$4:$A$9,0)),"(sin catálogo)"))</f>
        <v/>
      </c>
      <c r="U666" s="3">
        <f>IF($F666="","",IFERROR(INDEX('CAT_CENTROS_COSTO'!$D$4:$D$9,MATCH($F666,'CAT_CENTROS_COSTO'!$A$4:$A$9,0)),"(sin catálogo)"))</f>
        <v/>
      </c>
      <c r="V666" s="3">
        <f>IF($F666="","",IFERROR(INDEX('CAT_CENTROS_COSTO'!$F$4:$F$9,MATCH($F666,'CAT_CENTROS_COSTO'!$A$4:$A$9,0)),"(sin catálogo)"))</f>
        <v/>
      </c>
      <c r="W666" s="3">
        <f>IF($G666="","",IFERROR(INDEX('CAT_PUESTOS'!$B$4:$B$8,MATCH($G666,'CAT_PUESTOS'!$A$4:$A$8,0)),"(sin catálogo)"))</f>
        <v/>
      </c>
      <c r="X666" s="3">
        <f>IF($H666="","",IFERROR(INDEX('CAT_ACTIVIDADES'!$B$4:$B$8,MATCH($H666,'CAT_ACTIVIDADES'!$A$4:$A$8,0)),"(sin catálogo)"))</f>
        <v/>
      </c>
      <c r="Y666" s="12">
        <f>IF($J666="","",TODAY()-$J666)</f>
        <v/>
      </c>
      <c r="Z666" s="3">
        <f>IF($Y666="","",IF($Y666&lt;0,"FUTURO",IF($Y666&gt;p_dias_backlog_max,"BACKLOG","MES CORRIENTE")))</f>
        <v/>
      </c>
      <c r="AA666" s="3">
        <f>IF($Y666="",FALSE,AND($Y666&gt;p_dias_backlog_min,$Y666&lt;=p_dias_backlog_max))</f>
        <v/>
      </c>
      <c r="AB666" s="6" t="n"/>
      <c r="AC666" s="3">
        <f>IF($AB666="","",IFERROR(INDEX('ASIGNACIONES'!$F$4:$F$339,MATCH($O666&amp;"|"&amp;$R666&amp;"|"&amp;$AB666,'ASIGNACIONES'!$I$4:$I$339,0)),""))</f>
        <v/>
      </c>
      <c r="AD666" s="13">
        <f>IF($AB666="","",SUMIFS('ORDENES'!$M$4:$M$1203,'ORDENES'!$AB$4:$AB$1203,$AB666,'ORDENES'!$O$4:$O$1203,$O666,'ORDENES'!$R$4:$R$1203,$R666))</f>
        <v/>
      </c>
      <c r="AE666" s="13">
        <f>IF($AD666="","",p_factor_productividad*IFERROR(INDEX('ASIGNACIONES'!$H$4:$H$339,MATCH($O666&amp;"|"&amp;$R666&amp;"|"&amp;$AB666,'ASIGNACIONES'!$I$4:$I$339,0)),0)-$AD666)</f>
        <v/>
      </c>
      <c r="AF666" s="10">
        <f>IF($A666="","",IFERROR(INDEX('2_IMPORTAR_EJECUCION'!$F$9:$F$1208,MATCH($AN666,'2_IMPORTAR_EJECUCION'!$J$9:$J$1208,0)),0))</f>
        <v/>
      </c>
      <c r="AG666" s="10">
        <f>IF($A666="","",MAX(0,IFERROR(INDEX('2_IMPORTAR_EJECUCION'!$H$9:$H$1208,MATCH($AN666,'2_IMPORTAR_EJECUCION'!$J$9:$J$1208,0)),0)-$AF666))</f>
        <v/>
      </c>
      <c r="AH666" s="10">
        <f>IF($A666="","",$AF666+$AG666)</f>
        <v/>
      </c>
      <c r="AI666" s="6" t="n"/>
      <c r="AJ666" s="6" t="n"/>
      <c r="AK666" s="6" t="n"/>
      <c r="AL666" s="3">
        <f>IF($AK666="","",HYPERLINK(p_ruta_base_checklists&amp;$AK666,"abrir"))</f>
        <v/>
      </c>
      <c r="AM666" s="6" t="n"/>
      <c r="AN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1" t="n"/>
      <c r="K667" s="3" t="n"/>
      <c r="L667" s="10" t="n"/>
      <c r="M667" s="3">
        <f>IF($A667="","",IFERROR(INDEX('AJUSTES'!$B$4:$B$303,MATCH($AN667,'AJUSTES'!$A$4:$A$303,0)),IF($K667="","",$K667)))</f>
        <v/>
      </c>
      <c r="N667" s="3">
        <f>IF($A667="","",IFERROR(INDEX('CAT_ESTADOS_ERP'!$B$4:$B$7,MATCH(IFERROR(INDEX('2_IMPORTAR_EJECUCION'!$C$9:$C$1208,MATCH($AN667,'2_IMPORTAR_EJECUCION'!$J$9:$J$1208,0)),""),'CAT_ESTADOS_ERP'!$A$4:$A$7,0)),"Pendiente"))</f>
        <v/>
      </c>
      <c r="O667" s="3">
        <f>IF($J667="","",YEAR($J667+4-WEEKDAY($J667,2))&amp;"-S"&amp;TEXT(_xlfn.ISOWEEKNUM($J667),"00"))</f>
        <v/>
      </c>
      <c r="P667" s="3">
        <f>IF($J667="","",YEAR($J667))</f>
        <v/>
      </c>
      <c r="Q667" s="3">
        <f>IF($J667="","",MONTH($J667))</f>
        <v/>
      </c>
      <c r="R667" s="3">
        <f>IF($J667="","",INDEX(lista_dias,WEEKDAY($J667,2)))</f>
        <v/>
      </c>
      <c r="S667" s="3">
        <f>IF($I667="","",IFERROR(INDEX('CAT_TIPOS_OT'!$C$4:$C$7,MATCH($I667,'CAT_TIPOS_OT'!$A$4:$A$7,0)),"sin_clasificar"))</f>
        <v/>
      </c>
      <c r="T667" s="3">
        <f>IF($F667="","",IFERROR(INDEX('CAT_CENTROS_COSTO'!$E$4:$E$9,MATCH($F667,'CAT_CENTROS_COSTO'!$A$4:$A$9,0)),"(sin catálogo)"))</f>
        <v/>
      </c>
      <c r="U667" s="3">
        <f>IF($F667="","",IFERROR(INDEX('CAT_CENTROS_COSTO'!$D$4:$D$9,MATCH($F667,'CAT_CENTROS_COSTO'!$A$4:$A$9,0)),"(sin catálogo)"))</f>
        <v/>
      </c>
      <c r="V667" s="3">
        <f>IF($F667="","",IFERROR(INDEX('CAT_CENTROS_COSTO'!$F$4:$F$9,MATCH($F667,'CAT_CENTROS_COSTO'!$A$4:$A$9,0)),"(sin catálogo)"))</f>
        <v/>
      </c>
      <c r="W667" s="3">
        <f>IF($G667="","",IFERROR(INDEX('CAT_PUESTOS'!$B$4:$B$8,MATCH($G667,'CAT_PUESTOS'!$A$4:$A$8,0)),"(sin catálogo)"))</f>
        <v/>
      </c>
      <c r="X667" s="3">
        <f>IF($H667="","",IFERROR(INDEX('CAT_ACTIVIDADES'!$B$4:$B$8,MATCH($H667,'CAT_ACTIVIDADES'!$A$4:$A$8,0)),"(sin catálogo)"))</f>
        <v/>
      </c>
      <c r="Y667" s="12">
        <f>IF($J667="","",TODAY()-$J667)</f>
        <v/>
      </c>
      <c r="Z667" s="3">
        <f>IF($Y667="","",IF($Y667&lt;0,"FUTURO",IF($Y667&gt;p_dias_backlog_max,"BACKLOG","MES CORRIENTE")))</f>
        <v/>
      </c>
      <c r="AA667" s="3">
        <f>IF($Y667="",FALSE,AND($Y667&gt;p_dias_backlog_min,$Y667&lt;=p_dias_backlog_max))</f>
        <v/>
      </c>
      <c r="AB667" s="6" t="n"/>
      <c r="AC667" s="3">
        <f>IF($AB667="","",IFERROR(INDEX('ASIGNACIONES'!$F$4:$F$339,MATCH($O667&amp;"|"&amp;$R667&amp;"|"&amp;$AB667,'ASIGNACIONES'!$I$4:$I$339,0)),""))</f>
        <v/>
      </c>
      <c r="AD667" s="13">
        <f>IF($AB667="","",SUMIFS('ORDENES'!$M$4:$M$1203,'ORDENES'!$AB$4:$AB$1203,$AB667,'ORDENES'!$O$4:$O$1203,$O667,'ORDENES'!$R$4:$R$1203,$R667))</f>
        <v/>
      </c>
      <c r="AE667" s="13">
        <f>IF($AD667="","",p_factor_productividad*IFERROR(INDEX('ASIGNACIONES'!$H$4:$H$339,MATCH($O667&amp;"|"&amp;$R667&amp;"|"&amp;$AB667,'ASIGNACIONES'!$I$4:$I$339,0)),0)-$AD667)</f>
        <v/>
      </c>
      <c r="AF667" s="10">
        <f>IF($A667="","",IFERROR(INDEX('2_IMPORTAR_EJECUCION'!$F$9:$F$1208,MATCH($AN667,'2_IMPORTAR_EJECUCION'!$J$9:$J$1208,0)),0))</f>
        <v/>
      </c>
      <c r="AG667" s="10">
        <f>IF($A667="","",MAX(0,IFERROR(INDEX('2_IMPORTAR_EJECUCION'!$H$9:$H$1208,MATCH($AN667,'2_IMPORTAR_EJECUCION'!$J$9:$J$1208,0)),0)-$AF667))</f>
        <v/>
      </c>
      <c r="AH667" s="10">
        <f>IF($A667="","",$AF667+$AG667)</f>
        <v/>
      </c>
      <c r="AI667" s="6" t="n"/>
      <c r="AJ667" s="6" t="n"/>
      <c r="AK667" s="6" t="n"/>
      <c r="AL667" s="3">
        <f>IF($AK667="","",HYPERLINK(p_ruta_base_checklists&amp;$AK667,"abrir"))</f>
        <v/>
      </c>
      <c r="AM667" s="6" t="n"/>
      <c r="AN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1" t="n"/>
      <c r="K668" s="3" t="n"/>
      <c r="L668" s="10" t="n"/>
      <c r="M668" s="3">
        <f>IF($A668="","",IFERROR(INDEX('AJUSTES'!$B$4:$B$303,MATCH($AN668,'AJUSTES'!$A$4:$A$303,0)),IF($K668="","",$K668)))</f>
        <v/>
      </c>
      <c r="N668" s="3">
        <f>IF($A668="","",IFERROR(INDEX('CAT_ESTADOS_ERP'!$B$4:$B$7,MATCH(IFERROR(INDEX('2_IMPORTAR_EJECUCION'!$C$9:$C$1208,MATCH($AN668,'2_IMPORTAR_EJECUCION'!$J$9:$J$1208,0)),""),'CAT_ESTADOS_ERP'!$A$4:$A$7,0)),"Pendiente"))</f>
        <v/>
      </c>
      <c r="O668" s="3">
        <f>IF($J668="","",YEAR($J668+4-WEEKDAY($J668,2))&amp;"-S"&amp;TEXT(_xlfn.ISOWEEKNUM($J668),"00"))</f>
        <v/>
      </c>
      <c r="P668" s="3">
        <f>IF($J668="","",YEAR($J668))</f>
        <v/>
      </c>
      <c r="Q668" s="3">
        <f>IF($J668="","",MONTH($J668))</f>
        <v/>
      </c>
      <c r="R668" s="3">
        <f>IF($J668="","",INDEX(lista_dias,WEEKDAY($J668,2)))</f>
        <v/>
      </c>
      <c r="S668" s="3">
        <f>IF($I668="","",IFERROR(INDEX('CAT_TIPOS_OT'!$C$4:$C$7,MATCH($I668,'CAT_TIPOS_OT'!$A$4:$A$7,0)),"sin_clasificar"))</f>
        <v/>
      </c>
      <c r="T668" s="3">
        <f>IF($F668="","",IFERROR(INDEX('CAT_CENTROS_COSTO'!$E$4:$E$9,MATCH($F668,'CAT_CENTROS_COSTO'!$A$4:$A$9,0)),"(sin catálogo)"))</f>
        <v/>
      </c>
      <c r="U668" s="3">
        <f>IF($F668="","",IFERROR(INDEX('CAT_CENTROS_COSTO'!$D$4:$D$9,MATCH($F668,'CAT_CENTROS_COSTO'!$A$4:$A$9,0)),"(sin catálogo)"))</f>
        <v/>
      </c>
      <c r="V668" s="3">
        <f>IF($F668="","",IFERROR(INDEX('CAT_CENTROS_COSTO'!$F$4:$F$9,MATCH($F668,'CAT_CENTROS_COSTO'!$A$4:$A$9,0)),"(sin catálogo)"))</f>
        <v/>
      </c>
      <c r="W668" s="3">
        <f>IF($G668="","",IFERROR(INDEX('CAT_PUESTOS'!$B$4:$B$8,MATCH($G668,'CAT_PUESTOS'!$A$4:$A$8,0)),"(sin catálogo)"))</f>
        <v/>
      </c>
      <c r="X668" s="3">
        <f>IF($H668="","",IFERROR(INDEX('CAT_ACTIVIDADES'!$B$4:$B$8,MATCH($H668,'CAT_ACTIVIDADES'!$A$4:$A$8,0)),"(sin catálogo)"))</f>
        <v/>
      </c>
      <c r="Y668" s="12">
        <f>IF($J668="","",TODAY()-$J668)</f>
        <v/>
      </c>
      <c r="Z668" s="3">
        <f>IF($Y668="","",IF($Y668&lt;0,"FUTURO",IF($Y668&gt;p_dias_backlog_max,"BACKLOG","MES CORRIENTE")))</f>
        <v/>
      </c>
      <c r="AA668" s="3">
        <f>IF($Y668="",FALSE,AND($Y668&gt;p_dias_backlog_min,$Y668&lt;=p_dias_backlog_max))</f>
        <v/>
      </c>
      <c r="AB668" s="6" t="n"/>
      <c r="AC668" s="3">
        <f>IF($AB668="","",IFERROR(INDEX('ASIGNACIONES'!$F$4:$F$339,MATCH($O668&amp;"|"&amp;$R668&amp;"|"&amp;$AB668,'ASIGNACIONES'!$I$4:$I$339,0)),""))</f>
        <v/>
      </c>
      <c r="AD668" s="13">
        <f>IF($AB668="","",SUMIFS('ORDENES'!$M$4:$M$1203,'ORDENES'!$AB$4:$AB$1203,$AB668,'ORDENES'!$O$4:$O$1203,$O668,'ORDENES'!$R$4:$R$1203,$R668))</f>
        <v/>
      </c>
      <c r="AE668" s="13">
        <f>IF($AD668="","",p_factor_productividad*IFERROR(INDEX('ASIGNACIONES'!$H$4:$H$339,MATCH($O668&amp;"|"&amp;$R668&amp;"|"&amp;$AB668,'ASIGNACIONES'!$I$4:$I$339,0)),0)-$AD668)</f>
        <v/>
      </c>
      <c r="AF668" s="10">
        <f>IF($A668="","",IFERROR(INDEX('2_IMPORTAR_EJECUCION'!$F$9:$F$1208,MATCH($AN668,'2_IMPORTAR_EJECUCION'!$J$9:$J$1208,0)),0))</f>
        <v/>
      </c>
      <c r="AG668" s="10">
        <f>IF($A668="","",MAX(0,IFERROR(INDEX('2_IMPORTAR_EJECUCION'!$H$9:$H$1208,MATCH($AN668,'2_IMPORTAR_EJECUCION'!$J$9:$J$1208,0)),0)-$AF668))</f>
        <v/>
      </c>
      <c r="AH668" s="10">
        <f>IF($A668="","",$AF668+$AG668)</f>
        <v/>
      </c>
      <c r="AI668" s="6" t="n"/>
      <c r="AJ668" s="6" t="n"/>
      <c r="AK668" s="6" t="n"/>
      <c r="AL668" s="3">
        <f>IF($AK668="","",HYPERLINK(p_ruta_base_checklists&amp;$AK668,"abrir"))</f>
        <v/>
      </c>
      <c r="AM668" s="6" t="n"/>
      <c r="AN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1" t="n"/>
      <c r="K669" s="3" t="n"/>
      <c r="L669" s="10" t="n"/>
      <c r="M669" s="3">
        <f>IF($A669="","",IFERROR(INDEX('AJUSTES'!$B$4:$B$303,MATCH($AN669,'AJUSTES'!$A$4:$A$303,0)),IF($K669="","",$K669)))</f>
        <v/>
      </c>
      <c r="N669" s="3">
        <f>IF($A669="","",IFERROR(INDEX('CAT_ESTADOS_ERP'!$B$4:$B$7,MATCH(IFERROR(INDEX('2_IMPORTAR_EJECUCION'!$C$9:$C$1208,MATCH($AN669,'2_IMPORTAR_EJECUCION'!$J$9:$J$1208,0)),""),'CAT_ESTADOS_ERP'!$A$4:$A$7,0)),"Pendiente"))</f>
        <v/>
      </c>
      <c r="O669" s="3">
        <f>IF($J669="","",YEAR($J669+4-WEEKDAY($J669,2))&amp;"-S"&amp;TEXT(_xlfn.ISOWEEKNUM($J669),"00"))</f>
        <v/>
      </c>
      <c r="P669" s="3">
        <f>IF($J669="","",YEAR($J669))</f>
        <v/>
      </c>
      <c r="Q669" s="3">
        <f>IF($J669="","",MONTH($J669))</f>
        <v/>
      </c>
      <c r="R669" s="3">
        <f>IF($J669="","",INDEX(lista_dias,WEEKDAY($J669,2)))</f>
        <v/>
      </c>
      <c r="S669" s="3">
        <f>IF($I669="","",IFERROR(INDEX('CAT_TIPOS_OT'!$C$4:$C$7,MATCH($I669,'CAT_TIPOS_OT'!$A$4:$A$7,0)),"sin_clasificar"))</f>
        <v/>
      </c>
      <c r="T669" s="3">
        <f>IF($F669="","",IFERROR(INDEX('CAT_CENTROS_COSTO'!$E$4:$E$9,MATCH($F669,'CAT_CENTROS_COSTO'!$A$4:$A$9,0)),"(sin catálogo)"))</f>
        <v/>
      </c>
      <c r="U669" s="3">
        <f>IF($F669="","",IFERROR(INDEX('CAT_CENTROS_COSTO'!$D$4:$D$9,MATCH($F669,'CAT_CENTROS_COSTO'!$A$4:$A$9,0)),"(sin catálogo)"))</f>
        <v/>
      </c>
      <c r="V669" s="3">
        <f>IF($F669="","",IFERROR(INDEX('CAT_CENTROS_COSTO'!$F$4:$F$9,MATCH($F669,'CAT_CENTROS_COSTO'!$A$4:$A$9,0)),"(sin catálogo)"))</f>
        <v/>
      </c>
      <c r="W669" s="3">
        <f>IF($G669="","",IFERROR(INDEX('CAT_PUESTOS'!$B$4:$B$8,MATCH($G669,'CAT_PUESTOS'!$A$4:$A$8,0)),"(sin catálogo)"))</f>
        <v/>
      </c>
      <c r="X669" s="3">
        <f>IF($H669="","",IFERROR(INDEX('CAT_ACTIVIDADES'!$B$4:$B$8,MATCH($H669,'CAT_ACTIVIDADES'!$A$4:$A$8,0)),"(sin catálogo)"))</f>
        <v/>
      </c>
      <c r="Y669" s="12">
        <f>IF($J669="","",TODAY()-$J669)</f>
        <v/>
      </c>
      <c r="Z669" s="3">
        <f>IF($Y669="","",IF($Y669&lt;0,"FUTURO",IF($Y669&gt;p_dias_backlog_max,"BACKLOG","MES CORRIENTE")))</f>
        <v/>
      </c>
      <c r="AA669" s="3">
        <f>IF($Y669="",FALSE,AND($Y669&gt;p_dias_backlog_min,$Y669&lt;=p_dias_backlog_max))</f>
        <v/>
      </c>
      <c r="AB669" s="6" t="n"/>
      <c r="AC669" s="3">
        <f>IF($AB669="","",IFERROR(INDEX('ASIGNACIONES'!$F$4:$F$339,MATCH($O669&amp;"|"&amp;$R669&amp;"|"&amp;$AB669,'ASIGNACIONES'!$I$4:$I$339,0)),""))</f>
        <v/>
      </c>
      <c r="AD669" s="13">
        <f>IF($AB669="","",SUMIFS('ORDENES'!$M$4:$M$1203,'ORDENES'!$AB$4:$AB$1203,$AB669,'ORDENES'!$O$4:$O$1203,$O669,'ORDENES'!$R$4:$R$1203,$R669))</f>
        <v/>
      </c>
      <c r="AE669" s="13">
        <f>IF($AD669="","",p_factor_productividad*IFERROR(INDEX('ASIGNACIONES'!$H$4:$H$339,MATCH($O669&amp;"|"&amp;$R669&amp;"|"&amp;$AB669,'ASIGNACIONES'!$I$4:$I$339,0)),0)-$AD669)</f>
        <v/>
      </c>
      <c r="AF669" s="10">
        <f>IF($A669="","",IFERROR(INDEX('2_IMPORTAR_EJECUCION'!$F$9:$F$1208,MATCH($AN669,'2_IMPORTAR_EJECUCION'!$J$9:$J$1208,0)),0))</f>
        <v/>
      </c>
      <c r="AG669" s="10">
        <f>IF($A669="","",MAX(0,IFERROR(INDEX('2_IMPORTAR_EJECUCION'!$H$9:$H$1208,MATCH($AN669,'2_IMPORTAR_EJECUCION'!$J$9:$J$1208,0)),0)-$AF669))</f>
        <v/>
      </c>
      <c r="AH669" s="10">
        <f>IF($A669="","",$AF669+$AG669)</f>
        <v/>
      </c>
      <c r="AI669" s="6" t="n"/>
      <c r="AJ669" s="6" t="n"/>
      <c r="AK669" s="6" t="n"/>
      <c r="AL669" s="3">
        <f>IF($AK669="","",HYPERLINK(p_ruta_base_checklists&amp;$AK669,"abrir"))</f>
        <v/>
      </c>
      <c r="AM669" s="6" t="n"/>
      <c r="AN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1" t="n"/>
      <c r="K670" s="3" t="n"/>
      <c r="L670" s="10" t="n"/>
      <c r="M670" s="3">
        <f>IF($A670="","",IFERROR(INDEX('AJUSTES'!$B$4:$B$303,MATCH($AN670,'AJUSTES'!$A$4:$A$303,0)),IF($K670="","",$K670)))</f>
        <v/>
      </c>
      <c r="N670" s="3">
        <f>IF($A670="","",IFERROR(INDEX('CAT_ESTADOS_ERP'!$B$4:$B$7,MATCH(IFERROR(INDEX('2_IMPORTAR_EJECUCION'!$C$9:$C$1208,MATCH($AN670,'2_IMPORTAR_EJECUCION'!$J$9:$J$1208,0)),""),'CAT_ESTADOS_ERP'!$A$4:$A$7,0)),"Pendiente"))</f>
        <v/>
      </c>
      <c r="O670" s="3">
        <f>IF($J670="","",YEAR($J670+4-WEEKDAY($J670,2))&amp;"-S"&amp;TEXT(_xlfn.ISOWEEKNUM($J670),"00"))</f>
        <v/>
      </c>
      <c r="P670" s="3">
        <f>IF($J670="","",YEAR($J670))</f>
        <v/>
      </c>
      <c r="Q670" s="3">
        <f>IF($J670="","",MONTH($J670))</f>
        <v/>
      </c>
      <c r="R670" s="3">
        <f>IF($J670="","",INDEX(lista_dias,WEEKDAY($J670,2)))</f>
        <v/>
      </c>
      <c r="S670" s="3">
        <f>IF($I670="","",IFERROR(INDEX('CAT_TIPOS_OT'!$C$4:$C$7,MATCH($I670,'CAT_TIPOS_OT'!$A$4:$A$7,0)),"sin_clasificar"))</f>
        <v/>
      </c>
      <c r="T670" s="3">
        <f>IF($F670="","",IFERROR(INDEX('CAT_CENTROS_COSTO'!$E$4:$E$9,MATCH($F670,'CAT_CENTROS_COSTO'!$A$4:$A$9,0)),"(sin catálogo)"))</f>
        <v/>
      </c>
      <c r="U670" s="3">
        <f>IF($F670="","",IFERROR(INDEX('CAT_CENTROS_COSTO'!$D$4:$D$9,MATCH($F670,'CAT_CENTROS_COSTO'!$A$4:$A$9,0)),"(sin catálogo)"))</f>
        <v/>
      </c>
      <c r="V670" s="3">
        <f>IF($F670="","",IFERROR(INDEX('CAT_CENTROS_COSTO'!$F$4:$F$9,MATCH($F670,'CAT_CENTROS_COSTO'!$A$4:$A$9,0)),"(sin catálogo)"))</f>
        <v/>
      </c>
      <c r="W670" s="3">
        <f>IF($G670="","",IFERROR(INDEX('CAT_PUESTOS'!$B$4:$B$8,MATCH($G670,'CAT_PUESTOS'!$A$4:$A$8,0)),"(sin catálogo)"))</f>
        <v/>
      </c>
      <c r="X670" s="3">
        <f>IF($H670="","",IFERROR(INDEX('CAT_ACTIVIDADES'!$B$4:$B$8,MATCH($H670,'CAT_ACTIVIDADES'!$A$4:$A$8,0)),"(sin catálogo)"))</f>
        <v/>
      </c>
      <c r="Y670" s="12">
        <f>IF($J670="","",TODAY()-$J670)</f>
        <v/>
      </c>
      <c r="Z670" s="3">
        <f>IF($Y670="","",IF($Y670&lt;0,"FUTURO",IF($Y670&gt;p_dias_backlog_max,"BACKLOG","MES CORRIENTE")))</f>
        <v/>
      </c>
      <c r="AA670" s="3">
        <f>IF($Y670="",FALSE,AND($Y670&gt;p_dias_backlog_min,$Y670&lt;=p_dias_backlog_max))</f>
        <v/>
      </c>
      <c r="AB670" s="6" t="n"/>
      <c r="AC670" s="3">
        <f>IF($AB670="","",IFERROR(INDEX('ASIGNACIONES'!$F$4:$F$339,MATCH($O670&amp;"|"&amp;$R670&amp;"|"&amp;$AB670,'ASIGNACIONES'!$I$4:$I$339,0)),""))</f>
        <v/>
      </c>
      <c r="AD670" s="13">
        <f>IF($AB670="","",SUMIFS('ORDENES'!$M$4:$M$1203,'ORDENES'!$AB$4:$AB$1203,$AB670,'ORDENES'!$O$4:$O$1203,$O670,'ORDENES'!$R$4:$R$1203,$R670))</f>
        <v/>
      </c>
      <c r="AE670" s="13">
        <f>IF($AD670="","",p_factor_productividad*IFERROR(INDEX('ASIGNACIONES'!$H$4:$H$339,MATCH($O670&amp;"|"&amp;$R670&amp;"|"&amp;$AB670,'ASIGNACIONES'!$I$4:$I$339,0)),0)-$AD670)</f>
        <v/>
      </c>
      <c r="AF670" s="10">
        <f>IF($A670="","",IFERROR(INDEX('2_IMPORTAR_EJECUCION'!$F$9:$F$1208,MATCH($AN670,'2_IMPORTAR_EJECUCION'!$J$9:$J$1208,0)),0))</f>
        <v/>
      </c>
      <c r="AG670" s="10">
        <f>IF($A670="","",MAX(0,IFERROR(INDEX('2_IMPORTAR_EJECUCION'!$H$9:$H$1208,MATCH($AN670,'2_IMPORTAR_EJECUCION'!$J$9:$J$1208,0)),0)-$AF670))</f>
        <v/>
      </c>
      <c r="AH670" s="10">
        <f>IF($A670="","",$AF670+$AG670)</f>
        <v/>
      </c>
      <c r="AI670" s="6" t="n"/>
      <c r="AJ670" s="6" t="n"/>
      <c r="AK670" s="6" t="n"/>
      <c r="AL670" s="3">
        <f>IF($AK670="","",HYPERLINK(p_ruta_base_checklists&amp;$AK670,"abrir"))</f>
        <v/>
      </c>
      <c r="AM670" s="6" t="n"/>
      <c r="AN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1" t="n"/>
      <c r="K671" s="3" t="n"/>
      <c r="L671" s="10" t="n"/>
      <c r="M671" s="3">
        <f>IF($A671="","",IFERROR(INDEX('AJUSTES'!$B$4:$B$303,MATCH($AN671,'AJUSTES'!$A$4:$A$303,0)),IF($K671="","",$K671)))</f>
        <v/>
      </c>
      <c r="N671" s="3">
        <f>IF($A671="","",IFERROR(INDEX('CAT_ESTADOS_ERP'!$B$4:$B$7,MATCH(IFERROR(INDEX('2_IMPORTAR_EJECUCION'!$C$9:$C$1208,MATCH($AN671,'2_IMPORTAR_EJECUCION'!$J$9:$J$1208,0)),""),'CAT_ESTADOS_ERP'!$A$4:$A$7,0)),"Pendiente"))</f>
        <v/>
      </c>
      <c r="O671" s="3">
        <f>IF($J671="","",YEAR($J671+4-WEEKDAY($J671,2))&amp;"-S"&amp;TEXT(_xlfn.ISOWEEKNUM($J671),"00"))</f>
        <v/>
      </c>
      <c r="P671" s="3">
        <f>IF($J671="","",YEAR($J671))</f>
        <v/>
      </c>
      <c r="Q671" s="3">
        <f>IF($J671="","",MONTH($J671))</f>
        <v/>
      </c>
      <c r="R671" s="3">
        <f>IF($J671="","",INDEX(lista_dias,WEEKDAY($J671,2)))</f>
        <v/>
      </c>
      <c r="S671" s="3">
        <f>IF($I671="","",IFERROR(INDEX('CAT_TIPOS_OT'!$C$4:$C$7,MATCH($I671,'CAT_TIPOS_OT'!$A$4:$A$7,0)),"sin_clasificar"))</f>
        <v/>
      </c>
      <c r="T671" s="3">
        <f>IF($F671="","",IFERROR(INDEX('CAT_CENTROS_COSTO'!$E$4:$E$9,MATCH($F671,'CAT_CENTROS_COSTO'!$A$4:$A$9,0)),"(sin catálogo)"))</f>
        <v/>
      </c>
      <c r="U671" s="3">
        <f>IF($F671="","",IFERROR(INDEX('CAT_CENTROS_COSTO'!$D$4:$D$9,MATCH($F671,'CAT_CENTROS_COSTO'!$A$4:$A$9,0)),"(sin catálogo)"))</f>
        <v/>
      </c>
      <c r="V671" s="3">
        <f>IF($F671="","",IFERROR(INDEX('CAT_CENTROS_COSTO'!$F$4:$F$9,MATCH($F671,'CAT_CENTROS_COSTO'!$A$4:$A$9,0)),"(sin catálogo)"))</f>
        <v/>
      </c>
      <c r="W671" s="3">
        <f>IF($G671="","",IFERROR(INDEX('CAT_PUESTOS'!$B$4:$B$8,MATCH($G671,'CAT_PUESTOS'!$A$4:$A$8,0)),"(sin catálogo)"))</f>
        <v/>
      </c>
      <c r="X671" s="3">
        <f>IF($H671="","",IFERROR(INDEX('CAT_ACTIVIDADES'!$B$4:$B$8,MATCH($H671,'CAT_ACTIVIDADES'!$A$4:$A$8,0)),"(sin catálogo)"))</f>
        <v/>
      </c>
      <c r="Y671" s="12">
        <f>IF($J671="","",TODAY()-$J671)</f>
        <v/>
      </c>
      <c r="Z671" s="3">
        <f>IF($Y671="","",IF($Y671&lt;0,"FUTURO",IF($Y671&gt;p_dias_backlog_max,"BACKLOG","MES CORRIENTE")))</f>
        <v/>
      </c>
      <c r="AA671" s="3">
        <f>IF($Y671="",FALSE,AND($Y671&gt;p_dias_backlog_min,$Y671&lt;=p_dias_backlog_max))</f>
        <v/>
      </c>
      <c r="AB671" s="6" t="n"/>
      <c r="AC671" s="3">
        <f>IF($AB671="","",IFERROR(INDEX('ASIGNACIONES'!$F$4:$F$339,MATCH($O671&amp;"|"&amp;$R671&amp;"|"&amp;$AB671,'ASIGNACIONES'!$I$4:$I$339,0)),""))</f>
        <v/>
      </c>
      <c r="AD671" s="13">
        <f>IF($AB671="","",SUMIFS('ORDENES'!$M$4:$M$1203,'ORDENES'!$AB$4:$AB$1203,$AB671,'ORDENES'!$O$4:$O$1203,$O671,'ORDENES'!$R$4:$R$1203,$R671))</f>
        <v/>
      </c>
      <c r="AE671" s="13">
        <f>IF($AD671="","",p_factor_productividad*IFERROR(INDEX('ASIGNACIONES'!$H$4:$H$339,MATCH($O671&amp;"|"&amp;$R671&amp;"|"&amp;$AB671,'ASIGNACIONES'!$I$4:$I$339,0)),0)-$AD671)</f>
        <v/>
      </c>
      <c r="AF671" s="10">
        <f>IF($A671="","",IFERROR(INDEX('2_IMPORTAR_EJECUCION'!$F$9:$F$1208,MATCH($AN671,'2_IMPORTAR_EJECUCION'!$J$9:$J$1208,0)),0))</f>
        <v/>
      </c>
      <c r="AG671" s="10">
        <f>IF($A671="","",MAX(0,IFERROR(INDEX('2_IMPORTAR_EJECUCION'!$H$9:$H$1208,MATCH($AN671,'2_IMPORTAR_EJECUCION'!$J$9:$J$1208,0)),0)-$AF671))</f>
        <v/>
      </c>
      <c r="AH671" s="10">
        <f>IF($A671="","",$AF671+$AG671)</f>
        <v/>
      </c>
      <c r="AI671" s="6" t="n"/>
      <c r="AJ671" s="6" t="n"/>
      <c r="AK671" s="6" t="n"/>
      <c r="AL671" s="3">
        <f>IF($AK671="","",HYPERLINK(p_ruta_base_checklists&amp;$AK671,"abrir"))</f>
        <v/>
      </c>
      <c r="AM671" s="6" t="n"/>
      <c r="AN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1" t="n"/>
      <c r="K672" s="3" t="n"/>
      <c r="L672" s="10" t="n"/>
      <c r="M672" s="3">
        <f>IF($A672="","",IFERROR(INDEX('AJUSTES'!$B$4:$B$303,MATCH($AN672,'AJUSTES'!$A$4:$A$303,0)),IF($K672="","",$K672)))</f>
        <v/>
      </c>
      <c r="N672" s="3">
        <f>IF($A672="","",IFERROR(INDEX('CAT_ESTADOS_ERP'!$B$4:$B$7,MATCH(IFERROR(INDEX('2_IMPORTAR_EJECUCION'!$C$9:$C$1208,MATCH($AN672,'2_IMPORTAR_EJECUCION'!$J$9:$J$1208,0)),""),'CAT_ESTADOS_ERP'!$A$4:$A$7,0)),"Pendiente"))</f>
        <v/>
      </c>
      <c r="O672" s="3">
        <f>IF($J672="","",YEAR($J672+4-WEEKDAY($J672,2))&amp;"-S"&amp;TEXT(_xlfn.ISOWEEKNUM($J672),"00"))</f>
        <v/>
      </c>
      <c r="P672" s="3">
        <f>IF($J672="","",YEAR($J672))</f>
        <v/>
      </c>
      <c r="Q672" s="3">
        <f>IF($J672="","",MONTH($J672))</f>
        <v/>
      </c>
      <c r="R672" s="3">
        <f>IF($J672="","",INDEX(lista_dias,WEEKDAY($J672,2)))</f>
        <v/>
      </c>
      <c r="S672" s="3">
        <f>IF($I672="","",IFERROR(INDEX('CAT_TIPOS_OT'!$C$4:$C$7,MATCH($I672,'CAT_TIPOS_OT'!$A$4:$A$7,0)),"sin_clasificar"))</f>
        <v/>
      </c>
      <c r="T672" s="3">
        <f>IF($F672="","",IFERROR(INDEX('CAT_CENTROS_COSTO'!$E$4:$E$9,MATCH($F672,'CAT_CENTROS_COSTO'!$A$4:$A$9,0)),"(sin catálogo)"))</f>
        <v/>
      </c>
      <c r="U672" s="3">
        <f>IF($F672="","",IFERROR(INDEX('CAT_CENTROS_COSTO'!$D$4:$D$9,MATCH($F672,'CAT_CENTROS_COSTO'!$A$4:$A$9,0)),"(sin catálogo)"))</f>
        <v/>
      </c>
      <c r="V672" s="3">
        <f>IF($F672="","",IFERROR(INDEX('CAT_CENTROS_COSTO'!$F$4:$F$9,MATCH($F672,'CAT_CENTROS_COSTO'!$A$4:$A$9,0)),"(sin catálogo)"))</f>
        <v/>
      </c>
      <c r="W672" s="3">
        <f>IF($G672="","",IFERROR(INDEX('CAT_PUESTOS'!$B$4:$B$8,MATCH($G672,'CAT_PUESTOS'!$A$4:$A$8,0)),"(sin catálogo)"))</f>
        <v/>
      </c>
      <c r="X672" s="3">
        <f>IF($H672="","",IFERROR(INDEX('CAT_ACTIVIDADES'!$B$4:$B$8,MATCH($H672,'CAT_ACTIVIDADES'!$A$4:$A$8,0)),"(sin catálogo)"))</f>
        <v/>
      </c>
      <c r="Y672" s="12">
        <f>IF($J672="","",TODAY()-$J672)</f>
        <v/>
      </c>
      <c r="Z672" s="3">
        <f>IF($Y672="","",IF($Y672&lt;0,"FUTURO",IF($Y672&gt;p_dias_backlog_max,"BACKLOG","MES CORRIENTE")))</f>
        <v/>
      </c>
      <c r="AA672" s="3">
        <f>IF($Y672="",FALSE,AND($Y672&gt;p_dias_backlog_min,$Y672&lt;=p_dias_backlog_max))</f>
        <v/>
      </c>
      <c r="AB672" s="6" t="n"/>
      <c r="AC672" s="3">
        <f>IF($AB672="","",IFERROR(INDEX('ASIGNACIONES'!$F$4:$F$339,MATCH($O672&amp;"|"&amp;$R672&amp;"|"&amp;$AB672,'ASIGNACIONES'!$I$4:$I$339,0)),""))</f>
        <v/>
      </c>
      <c r="AD672" s="13">
        <f>IF($AB672="","",SUMIFS('ORDENES'!$M$4:$M$1203,'ORDENES'!$AB$4:$AB$1203,$AB672,'ORDENES'!$O$4:$O$1203,$O672,'ORDENES'!$R$4:$R$1203,$R672))</f>
        <v/>
      </c>
      <c r="AE672" s="13">
        <f>IF($AD672="","",p_factor_productividad*IFERROR(INDEX('ASIGNACIONES'!$H$4:$H$339,MATCH($O672&amp;"|"&amp;$R672&amp;"|"&amp;$AB672,'ASIGNACIONES'!$I$4:$I$339,0)),0)-$AD672)</f>
        <v/>
      </c>
      <c r="AF672" s="10">
        <f>IF($A672="","",IFERROR(INDEX('2_IMPORTAR_EJECUCION'!$F$9:$F$1208,MATCH($AN672,'2_IMPORTAR_EJECUCION'!$J$9:$J$1208,0)),0))</f>
        <v/>
      </c>
      <c r="AG672" s="10">
        <f>IF($A672="","",MAX(0,IFERROR(INDEX('2_IMPORTAR_EJECUCION'!$H$9:$H$1208,MATCH($AN672,'2_IMPORTAR_EJECUCION'!$J$9:$J$1208,0)),0)-$AF672))</f>
        <v/>
      </c>
      <c r="AH672" s="10">
        <f>IF($A672="","",$AF672+$AG672)</f>
        <v/>
      </c>
      <c r="AI672" s="6" t="n"/>
      <c r="AJ672" s="6" t="n"/>
      <c r="AK672" s="6" t="n"/>
      <c r="AL672" s="3">
        <f>IF($AK672="","",HYPERLINK(p_ruta_base_checklists&amp;$AK672,"abrir"))</f>
        <v/>
      </c>
      <c r="AM672" s="6" t="n"/>
      <c r="AN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1" t="n"/>
      <c r="K673" s="3" t="n"/>
      <c r="L673" s="10" t="n"/>
      <c r="M673" s="3">
        <f>IF($A673="","",IFERROR(INDEX('AJUSTES'!$B$4:$B$303,MATCH($AN673,'AJUSTES'!$A$4:$A$303,0)),IF($K673="","",$K673)))</f>
        <v/>
      </c>
      <c r="N673" s="3">
        <f>IF($A673="","",IFERROR(INDEX('CAT_ESTADOS_ERP'!$B$4:$B$7,MATCH(IFERROR(INDEX('2_IMPORTAR_EJECUCION'!$C$9:$C$1208,MATCH($AN673,'2_IMPORTAR_EJECUCION'!$J$9:$J$1208,0)),""),'CAT_ESTADOS_ERP'!$A$4:$A$7,0)),"Pendiente"))</f>
        <v/>
      </c>
      <c r="O673" s="3">
        <f>IF($J673="","",YEAR($J673+4-WEEKDAY($J673,2))&amp;"-S"&amp;TEXT(_xlfn.ISOWEEKNUM($J673),"00"))</f>
        <v/>
      </c>
      <c r="P673" s="3">
        <f>IF($J673="","",YEAR($J673))</f>
        <v/>
      </c>
      <c r="Q673" s="3">
        <f>IF($J673="","",MONTH($J673))</f>
        <v/>
      </c>
      <c r="R673" s="3">
        <f>IF($J673="","",INDEX(lista_dias,WEEKDAY($J673,2)))</f>
        <v/>
      </c>
      <c r="S673" s="3">
        <f>IF($I673="","",IFERROR(INDEX('CAT_TIPOS_OT'!$C$4:$C$7,MATCH($I673,'CAT_TIPOS_OT'!$A$4:$A$7,0)),"sin_clasificar"))</f>
        <v/>
      </c>
      <c r="T673" s="3">
        <f>IF($F673="","",IFERROR(INDEX('CAT_CENTROS_COSTO'!$E$4:$E$9,MATCH($F673,'CAT_CENTROS_COSTO'!$A$4:$A$9,0)),"(sin catálogo)"))</f>
        <v/>
      </c>
      <c r="U673" s="3">
        <f>IF($F673="","",IFERROR(INDEX('CAT_CENTROS_COSTO'!$D$4:$D$9,MATCH($F673,'CAT_CENTROS_COSTO'!$A$4:$A$9,0)),"(sin catálogo)"))</f>
        <v/>
      </c>
      <c r="V673" s="3">
        <f>IF($F673="","",IFERROR(INDEX('CAT_CENTROS_COSTO'!$F$4:$F$9,MATCH($F673,'CAT_CENTROS_COSTO'!$A$4:$A$9,0)),"(sin catálogo)"))</f>
        <v/>
      </c>
      <c r="W673" s="3">
        <f>IF($G673="","",IFERROR(INDEX('CAT_PUESTOS'!$B$4:$B$8,MATCH($G673,'CAT_PUESTOS'!$A$4:$A$8,0)),"(sin catálogo)"))</f>
        <v/>
      </c>
      <c r="X673" s="3">
        <f>IF($H673="","",IFERROR(INDEX('CAT_ACTIVIDADES'!$B$4:$B$8,MATCH($H673,'CAT_ACTIVIDADES'!$A$4:$A$8,0)),"(sin catálogo)"))</f>
        <v/>
      </c>
      <c r="Y673" s="12">
        <f>IF($J673="","",TODAY()-$J673)</f>
        <v/>
      </c>
      <c r="Z673" s="3">
        <f>IF($Y673="","",IF($Y673&lt;0,"FUTURO",IF($Y673&gt;p_dias_backlog_max,"BACKLOG","MES CORRIENTE")))</f>
        <v/>
      </c>
      <c r="AA673" s="3">
        <f>IF($Y673="",FALSE,AND($Y673&gt;p_dias_backlog_min,$Y673&lt;=p_dias_backlog_max))</f>
        <v/>
      </c>
      <c r="AB673" s="6" t="n"/>
      <c r="AC673" s="3">
        <f>IF($AB673="","",IFERROR(INDEX('ASIGNACIONES'!$F$4:$F$339,MATCH($O673&amp;"|"&amp;$R673&amp;"|"&amp;$AB673,'ASIGNACIONES'!$I$4:$I$339,0)),""))</f>
        <v/>
      </c>
      <c r="AD673" s="13">
        <f>IF($AB673="","",SUMIFS('ORDENES'!$M$4:$M$1203,'ORDENES'!$AB$4:$AB$1203,$AB673,'ORDENES'!$O$4:$O$1203,$O673,'ORDENES'!$R$4:$R$1203,$R673))</f>
        <v/>
      </c>
      <c r="AE673" s="13">
        <f>IF($AD673="","",p_factor_productividad*IFERROR(INDEX('ASIGNACIONES'!$H$4:$H$339,MATCH($O673&amp;"|"&amp;$R673&amp;"|"&amp;$AB673,'ASIGNACIONES'!$I$4:$I$339,0)),0)-$AD673)</f>
        <v/>
      </c>
      <c r="AF673" s="10">
        <f>IF($A673="","",IFERROR(INDEX('2_IMPORTAR_EJECUCION'!$F$9:$F$1208,MATCH($AN673,'2_IMPORTAR_EJECUCION'!$J$9:$J$1208,0)),0))</f>
        <v/>
      </c>
      <c r="AG673" s="10">
        <f>IF($A673="","",MAX(0,IFERROR(INDEX('2_IMPORTAR_EJECUCION'!$H$9:$H$1208,MATCH($AN673,'2_IMPORTAR_EJECUCION'!$J$9:$J$1208,0)),0)-$AF673))</f>
        <v/>
      </c>
      <c r="AH673" s="10">
        <f>IF($A673="","",$AF673+$AG673)</f>
        <v/>
      </c>
      <c r="AI673" s="6" t="n"/>
      <c r="AJ673" s="6" t="n"/>
      <c r="AK673" s="6" t="n"/>
      <c r="AL673" s="3">
        <f>IF($AK673="","",HYPERLINK(p_ruta_base_checklists&amp;$AK673,"abrir"))</f>
        <v/>
      </c>
      <c r="AM673" s="6" t="n"/>
      <c r="AN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1" t="n"/>
      <c r="K674" s="3" t="n"/>
      <c r="L674" s="10" t="n"/>
      <c r="M674" s="3">
        <f>IF($A674="","",IFERROR(INDEX('AJUSTES'!$B$4:$B$303,MATCH($AN674,'AJUSTES'!$A$4:$A$303,0)),IF($K674="","",$K674)))</f>
        <v/>
      </c>
      <c r="N674" s="3">
        <f>IF($A674="","",IFERROR(INDEX('CAT_ESTADOS_ERP'!$B$4:$B$7,MATCH(IFERROR(INDEX('2_IMPORTAR_EJECUCION'!$C$9:$C$1208,MATCH($AN674,'2_IMPORTAR_EJECUCION'!$J$9:$J$1208,0)),""),'CAT_ESTADOS_ERP'!$A$4:$A$7,0)),"Pendiente"))</f>
        <v/>
      </c>
      <c r="O674" s="3">
        <f>IF($J674="","",YEAR($J674+4-WEEKDAY($J674,2))&amp;"-S"&amp;TEXT(_xlfn.ISOWEEKNUM($J674),"00"))</f>
        <v/>
      </c>
      <c r="P674" s="3">
        <f>IF($J674="","",YEAR($J674))</f>
        <v/>
      </c>
      <c r="Q674" s="3">
        <f>IF($J674="","",MONTH($J674))</f>
        <v/>
      </c>
      <c r="R674" s="3">
        <f>IF($J674="","",INDEX(lista_dias,WEEKDAY($J674,2)))</f>
        <v/>
      </c>
      <c r="S674" s="3">
        <f>IF($I674="","",IFERROR(INDEX('CAT_TIPOS_OT'!$C$4:$C$7,MATCH($I674,'CAT_TIPOS_OT'!$A$4:$A$7,0)),"sin_clasificar"))</f>
        <v/>
      </c>
      <c r="T674" s="3">
        <f>IF($F674="","",IFERROR(INDEX('CAT_CENTROS_COSTO'!$E$4:$E$9,MATCH($F674,'CAT_CENTROS_COSTO'!$A$4:$A$9,0)),"(sin catálogo)"))</f>
        <v/>
      </c>
      <c r="U674" s="3">
        <f>IF($F674="","",IFERROR(INDEX('CAT_CENTROS_COSTO'!$D$4:$D$9,MATCH($F674,'CAT_CENTROS_COSTO'!$A$4:$A$9,0)),"(sin catálogo)"))</f>
        <v/>
      </c>
      <c r="V674" s="3">
        <f>IF($F674="","",IFERROR(INDEX('CAT_CENTROS_COSTO'!$F$4:$F$9,MATCH($F674,'CAT_CENTROS_COSTO'!$A$4:$A$9,0)),"(sin catálogo)"))</f>
        <v/>
      </c>
      <c r="W674" s="3">
        <f>IF($G674="","",IFERROR(INDEX('CAT_PUESTOS'!$B$4:$B$8,MATCH($G674,'CAT_PUESTOS'!$A$4:$A$8,0)),"(sin catálogo)"))</f>
        <v/>
      </c>
      <c r="X674" s="3">
        <f>IF($H674="","",IFERROR(INDEX('CAT_ACTIVIDADES'!$B$4:$B$8,MATCH($H674,'CAT_ACTIVIDADES'!$A$4:$A$8,0)),"(sin catálogo)"))</f>
        <v/>
      </c>
      <c r="Y674" s="12">
        <f>IF($J674="","",TODAY()-$J674)</f>
        <v/>
      </c>
      <c r="Z674" s="3">
        <f>IF($Y674="","",IF($Y674&lt;0,"FUTURO",IF($Y674&gt;p_dias_backlog_max,"BACKLOG","MES CORRIENTE")))</f>
        <v/>
      </c>
      <c r="AA674" s="3">
        <f>IF($Y674="",FALSE,AND($Y674&gt;p_dias_backlog_min,$Y674&lt;=p_dias_backlog_max))</f>
        <v/>
      </c>
      <c r="AB674" s="6" t="n"/>
      <c r="AC674" s="3">
        <f>IF($AB674="","",IFERROR(INDEX('ASIGNACIONES'!$F$4:$F$339,MATCH($O674&amp;"|"&amp;$R674&amp;"|"&amp;$AB674,'ASIGNACIONES'!$I$4:$I$339,0)),""))</f>
        <v/>
      </c>
      <c r="AD674" s="13">
        <f>IF($AB674="","",SUMIFS('ORDENES'!$M$4:$M$1203,'ORDENES'!$AB$4:$AB$1203,$AB674,'ORDENES'!$O$4:$O$1203,$O674,'ORDENES'!$R$4:$R$1203,$R674))</f>
        <v/>
      </c>
      <c r="AE674" s="13">
        <f>IF($AD674="","",p_factor_productividad*IFERROR(INDEX('ASIGNACIONES'!$H$4:$H$339,MATCH($O674&amp;"|"&amp;$R674&amp;"|"&amp;$AB674,'ASIGNACIONES'!$I$4:$I$339,0)),0)-$AD674)</f>
        <v/>
      </c>
      <c r="AF674" s="10">
        <f>IF($A674="","",IFERROR(INDEX('2_IMPORTAR_EJECUCION'!$F$9:$F$1208,MATCH($AN674,'2_IMPORTAR_EJECUCION'!$J$9:$J$1208,0)),0))</f>
        <v/>
      </c>
      <c r="AG674" s="10">
        <f>IF($A674="","",MAX(0,IFERROR(INDEX('2_IMPORTAR_EJECUCION'!$H$9:$H$1208,MATCH($AN674,'2_IMPORTAR_EJECUCION'!$J$9:$J$1208,0)),0)-$AF674))</f>
        <v/>
      </c>
      <c r="AH674" s="10">
        <f>IF($A674="","",$AF674+$AG674)</f>
        <v/>
      </c>
      <c r="AI674" s="6" t="n"/>
      <c r="AJ674" s="6" t="n"/>
      <c r="AK674" s="6" t="n"/>
      <c r="AL674" s="3">
        <f>IF($AK674="","",HYPERLINK(p_ruta_base_checklists&amp;$AK674,"abrir"))</f>
        <v/>
      </c>
      <c r="AM674" s="6" t="n"/>
      <c r="AN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1" t="n"/>
      <c r="K675" s="3" t="n"/>
      <c r="L675" s="10" t="n"/>
      <c r="M675" s="3">
        <f>IF($A675="","",IFERROR(INDEX('AJUSTES'!$B$4:$B$303,MATCH($AN675,'AJUSTES'!$A$4:$A$303,0)),IF($K675="","",$K675)))</f>
        <v/>
      </c>
      <c r="N675" s="3">
        <f>IF($A675="","",IFERROR(INDEX('CAT_ESTADOS_ERP'!$B$4:$B$7,MATCH(IFERROR(INDEX('2_IMPORTAR_EJECUCION'!$C$9:$C$1208,MATCH($AN675,'2_IMPORTAR_EJECUCION'!$J$9:$J$1208,0)),""),'CAT_ESTADOS_ERP'!$A$4:$A$7,0)),"Pendiente"))</f>
        <v/>
      </c>
      <c r="O675" s="3">
        <f>IF($J675="","",YEAR($J675+4-WEEKDAY($J675,2))&amp;"-S"&amp;TEXT(_xlfn.ISOWEEKNUM($J675),"00"))</f>
        <v/>
      </c>
      <c r="P675" s="3">
        <f>IF($J675="","",YEAR($J675))</f>
        <v/>
      </c>
      <c r="Q675" s="3">
        <f>IF($J675="","",MONTH($J675))</f>
        <v/>
      </c>
      <c r="R675" s="3">
        <f>IF($J675="","",INDEX(lista_dias,WEEKDAY($J675,2)))</f>
        <v/>
      </c>
      <c r="S675" s="3">
        <f>IF($I675="","",IFERROR(INDEX('CAT_TIPOS_OT'!$C$4:$C$7,MATCH($I675,'CAT_TIPOS_OT'!$A$4:$A$7,0)),"sin_clasificar"))</f>
        <v/>
      </c>
      <c r="T675" s="3">
        <f>IF($F675="","",IFERROR(INDEX('CAT_CENTROS_COSTO'!$E$4:$E$9,MATCH($F675,'CAT_CENTROS_COSTO'!$A$4:$A$9,0)),"(sin catálogo)"))</f>
        <v/>
      </c>
      <c r="U675" s="3">
        <f>IF($F675="","",IFERROR(INDEX('CAT_CENTROS_COSTO'!$D$4:$D$9,MATCH($F675,'CAT_CENTROS_COSTO'!$A$4:$A$9,0)),"(sin catálogo)"))</f>
        <v/>
      </c>
      <c r="V675" s="3">
        <f>IF($F675="","",IFERROR(INDEX('CAT_CENTROS_COSTO'!$F$4:$F$9,MATCH($F675,'CAT_CENTROS_COSTO'!$A$4:$A$9,0)),"(sin catálogo)"))</f>
        <v/>
      </c>
      <c r="W675" s="3">
        <f>IF($G675="","",IFERROR(INDEX('CAT_PUESTOS'!$B$4:$B$8,MATCH($G675,'CAT_PUESTOS'!$A$4:$A$8,0)),"(sin catálogo)"))</f>
        <v/>
      </c>
      <c r="X675" s="3">
        <f>IF($H675="","",IFERROR(INDEX('CAT_ACTIVIDADES'!$B$4:$B$8,MATCH($H675,'CAT_ACTIVIDADES'!$A$4:$A$8,0)),"(sin catálogo)"))</f>
        <v/>
      </c>
      <c r="Y675" s="12">
        <f>IF($J675="","",TODAY()-$J675)</f>
        <v/>
      </c>
      <c r="Z675" s="3">
        <f>IF($Y675="","",IF($Y675&lt;0,"FUTURO",IF($Y675&gt;p_dias_backlog_max,"BACKLOG","MES CORRIENTE")))</f>
        <v/>
      </c>
      <c r="AA675" s="3">
        <f>IF($Y675="",FALSE,AND($Y675&gt;p_dias_backlog_min,$Y675&lt;=p_dias_backlog_max))</f>
        <v/>
      </c>
      <c r="AB675" s="6" t="n"/>
      <c r="AC675" s="3">
        <f>IF($AB675="","",IFERROR(INDEX('ASIGNACIONES'!$F$4:$F$339,MATCH($O675&amp;"|"&amp;$R675&amp;"|"&amp;$AB675,'ASIGNACIONES'!$I$4:$I$339,0)),""))</f>
        <v/>
      </c>
      <c r="AD675" s="13">
        <f>IF($AB675="","",SUMIFS('ORDENES'!$M$4:$M$1203,'ORDENES'!$AB$4:$AB$1203,$AB675,'ORDENES'!$O$4:$O$1203,$O675,'ORDENES'!$R$4:$R$1203,$R675))</f>
        <v/>
      </c>
      <c r="AE675" s="13">
        <f>IF($AD675="","",p_factor_productividad*IFERROR(INDEX('ASIGNACIONES'!$H$4:$H$339,MATCH($O675&amp;"|"&amp;$R675&amp;"|"&amp;$AB675,'ASIGNACIONES'!$I$4:$I$339,0)),0)-$AD675)</f>
        <v/>
      </c>
      <c r="AF675" s="10">
        <f>IF($A675="","",IFERROR(INDEX('2_IMPORTAR_EJECUCION'!$F$9:$F$1208,MATCH($AN675,'2_IMPORTAR_EJECUCION'!$J$9:$J$1208,0)),0))</f>
        <v/>
      </c>
      <c r="AG675" s="10">
        <f>IF($A675="","",MAX(0,IFERROR(INDEX('2_IMPORTAR_EJECUCION'!$H$9:$H$1208,MATCH($AN675,'2_IMPORTAR_EJECUCION'!$J$9:$J$1208,0)),0)-$AF675))</f>
        <v/>
      </c>
      <c r="AH675" s="10">
        <f>IF($A675="","",$AF675+$AG675)</f>
        <v/>
      </c>
      <c r="AI675" s="6" t="n"/>
      <c r="AJ675" s="6" t="n"/>
      <c r="AK675" s="6" t="n"/>
      <c r="AL675" s="3">
        <f>IF($AK675="","",HYPERLINK(p_ruta_base_checklists&amp;$AK675,"abrir"))</f>
        <v/>
      </c>
      <c r="AM675" s="6" t="n"/>
      <c r="AN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1" t="n"/>
      <c r="K676" s="3" t="n"/>
      <c r="L676" s="10" t="n"/>
      <c r="M676" s="3">
        <f>IF($A676="","",IFERROR(INDEX('AJUSTES'!$B$4:$B$303,MATCH($AN676,'AJUSTES'!$A$4:$A$303,0)),IF($K676="","",$K676)))</f>
        <v/>
      </c>
      <c r="N676" s="3">
        <f>IF($A676="","",IFERROR(INDEX('CAT_ESTADOS_ERP'!$B$4:$B$7,MATCH(IFERROR(INDEX('2_IMPORTAR_EJECUCION'!$C$9:$C$1208,MATCH($AN676,'2_IMPORTAR_EJECUCION'!$J$9:$J$1208,0)),""),'CAT_ESTADOS_ERP'!$A$4:$A$7,0)),"Pendiente"))</f>
        <v/>
      </c>
      <c r="O676" s="3">
        <f>IF($J676="","",YEAR($J676+4-WEEKDAY($J676,2))&amp;"-S"&amp;TEXT(_xlfn.ISOWEEKNUM($J676),"00"))</f>
        <v/>
      </c>
      <c r="P676" s="3">
        <f>IF($J676="","",YEAR($J676))</f>
        <v/>
      </c>
      <c r="Q676" s="3">
        <f>IF($J676="","",MONTH($J676))</f>
        <v/>
      </c>
      <c r="R676" s="3">
        <f>IF($J676="","",INDEX(lista_dias,WEEKDAY($J676,2)))</f>
        <v/>
      </c>
      <c r="S676" s="3">
        <f>IF($I676="","",IFERROR(INDEX('CAT_TIPOS_OT'!$C$4:$C$7,MATCH($I676,'CAT_TIPOS_OT'!$A$4:$A$7,0)),"sin_clasificar"))</f>
        <v/>
      </c>
      <c r="T676" s="3">
        <f>IF($F676="","",IFERROR(INDEX('CAT_CENTROS_COSTO'!$E$4:$E$9,MATCH($F676,'CAT_CENTROS_COSTO'!$A$4:$A$9,0)),"(sin catálogo)"))</f>
        <v/>
      </c>
      <c r="U676" s="3">
        <f>IF($F676="","",IFERROR(INDEX('CAT_CENTROS_COSTO'!$D$4:$D$9,MATCH($F676,'CAT_CENTROS_COSTO'!$A$4:$A$9,0)),"(sin catálogo)"))</f>
        <v/>
      </c>
      <c r="V676" s="3">
        <f>IF($F676="","",IFERROR(INDEX('CAT_CENTROS_COSTO'!$F$4:$F$9,MATCH($F676,'CAT_CENTROS_COSTO'!$A$4:$A$9,0)),"(sin catálogo)"))</f>
        <v/>
      </c>
      <c r="W676" s="3">
        <f>IF($G676="","",IFERROR(INDEX('CAT_PUESTOS'!$B$4:$B$8,MATCH($G676,'CAT_PUESTOS'!$A$4:$A$8,0)),"(sin catálogo)"))</f>
        <v/>
      </c>
      <c r="X676" s="3">
        <f>IF($H676="","",IFERROR(INDEX('CAT_ACTIVIDADES'!$B$4:$B$8,MATCH($H676,'CAT_ACTIVIDADES'!$A$4:$A$8,0)),"(sin catálogo)"))</f>
        <v/>
      </c>
      <c r="Y676" s="12">
        <f>IF($J676="","",TODAY()-$J676)</f>
        <v/>
      </c>
      <c r="Z676" s="3">
        <f>IF($Y676="","",IF($Y676&lt;0,"FUTURO",IF($Y676&gt;p_dias_backlog_max,"BACKLOG","MES CORRIENTE")))</f>
        <v/>
      </c>
      <c r="AA676" s="3">
        <f>IF($Y676="",FALSE,AND($Y676&gt;p_dias_backlog_min,$Y676&lt;=p_dias_backlog_max))</f>
        <v/>
      </c>
      <c r="AB676" s="6" t="n"/>
      <c r="AC676" s="3">
        <f>IF($AB676="","",IFERROR(INDEX('ASIGNACIONES'!$F$4:$F$339,MATCH($O676&amp;"|"&amp;$R676&amp;"|"&amp;$AB676,'ASIGNACIONES'!$I$4:$I$339,0)),""))</f>
        <v/>
      </c>
      <c r="AD676" s="13">
        <f>IF($AB676="","",SUMIFS('ORDENES'!$M$4:$M$1203,'ORDENES'!$AB$4:$AB$1203,$AB676,'ORDENES'!$O$4:$O$1203,$O676,'ORDENES'!$R$4:$R$1203,$R676))</f>
        <v/>
      </c>
      <c r="AE676" s="13">
        <f>IF($AD676="","",p_factor_productividad*IFERROR(INDEX('ASIGNACIONES'!$H$4:$H$339,MATCH($O676&amp;"|"&amp;$R676&amp;"|"&amp;$AB676,'ASIGNACIONES'!$I$4:$I$339,0)),0)-$AD676)</f>
        <v/>
      </c>
      <c r="AF676" s="10">
        <f>IF($A676="","",IFERROR(INDEX('2_IMPORTAR_EJECUCION'!$F$9:$F$1208,MATCH($AN676,'2_IMPORTAR_EJECUCION'!$J$9:$J$1208,0)),0))</f>
        <v/>
      </c>
      <c r="AG676" s="10">
        <f>IF($A676="","",MAX(0,IFERROR(INDEX('2_IMPORTAR_EJECUCION'!$H$9:$H$1208,MATCH($AN676,'2_IMPORTAR_EJECUCION'!$J$9:$J$1208,0)),0)-$AF676))</f>
        <v/>
      </c>
      <c r="AH676" s="10">
        <f>IF($A676="","",$AF676+$AG676)</f>
        <v/>
      </c>
      <c r="AI676" s="6" t="n"/>
      <c r="AJ676" s="6" t="n"/>
      <c r="AK676" s="6" t="n"/>
      <c r="AL676" s="3">
        <f>IF($AK676="","",HYPERLINK(p_ruta_base_checklists&amp;$AK676,"abrir"))</f>
        <v/>
      </c>
      <c r="AM676" s="6" t="n"/>
      <c r="AN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1" t="n"/>
      <c r="K677" s="3" t="n"/>
      <c r="L677" s="10" t="n"/>
      <c r="M677" s="3">
        <f>IF($A677="","",IFERROR(INDEX('AJUSTES'!$B$4:$B$303,MATCH($AN677,'AJUSTES'!$A$4:$A$303,0)),IF($K677="","",$K677)))</f>
        <v/>
      </c>
      <c r="N677" s="3">
        <f>IF($A677="","",IFERROR(INDEX('CAT_ESTADOS_ERP'!$B$4:$B$7,MATCH(IFERROR(INDEX('2_IMPORTAR_EJECUCION'!$C$9:$C$1208,MATCH($AN677,'2_IMPORTAR_EJECUCION'!$J$9:$J$1208,0)),""),'CAT_ESTADOS_ERP'!$A$4:$A$7,0)),"Pendiente"))</f>
        <v/>
      </c>
      <c r="O677" s="3">
        <f>IF($J677="","",YEAR($J677+4-WEEKDAY($J677,2))&amp;"-S"&amp;TEXT(_xlfn.ISOWEEKNUM($J677),"00"))</f>
        <v/>
      </c>
      <c r="P677" s="3">
        <f>IF($J677="","",YEAR($J677))</f>
        <v/>
      </c>
      <c r="Q677" s="3">
        <f>IF($J677="","",MONTH($J677))</f>
        <v/>
      </c>
      <c r="R677" s="3">
        <f>IF($J677="","",INDEX(lista_dias,WEEKDAY($J677,2)))</f>
        <v/>
      </c>
      <c r="S677" s="3">
        <f>IF($I677="","",IFERROR(INDEX('CAT_TIPOS_OT'!$C$4:$C$7,MATCH($I677,'CAT_TIPOS_OT'!$A$4:$A$7,0)),"sin_clasificar"))</f>
        <v/>
      </c>
      <c r="T677" s="3">
        <f>IF($F677="","",IFERROR(INDEX('CAT_CENTROS_COSTO'!$E$4:$E$9,MATCH($F677,'CAT_CENTROS_COSTO'!$A$4:$A$9,0)),"(sin catálogo)"))</f>
        <v/>
      </c>
      <c r="U677" s="3">
        <f>IF($F677="","",IFERROR(INDEX('CAT_CENTROS_COSTO'!$D$4:$D$9,MATCH($F677,'CAT_CENTROS_COSTO'!$A$4:$A$9,0)),"(sin catálogo)"))</f>
        <v/>
      </c>
      <c r="V677" s="3">
        <f>IF($F677="","",IFERROR(INDEX('CAT_CENTROS_COSTO'!$F$4:$F$9,MATCH($F677,'CAT_CENTROS_COSTO'!$A$4:$A$9,0)),"(sin catálogo)"))</f>
        <v/>
      </c>
      <c r="W677" s="3">
        <f>IF($G677="","",IFERROR(INDEX('CAT_PUESTOS'!$B$4:$B$8,MATCH($G677,'CAT_PUESTOS'!$A$4:$A$8,0)),"(sin catálogo)"))</f>
        <v/>
      </c>
      <c r="X677" s="3">
        <f>IF($H677="","",IFERROR(INDEX('CAT_ACTIVIDADES'!$B$4:$B$8,MATCH($H677,'CAT_ACTIVIDADES'!$A$4:$A$8,0)),"(sin catálogo)"))</f>
        <v/>
      </c>
      <c r="Y677" s="12">
        <f>IF($J677="","",TODAY()-$J677)</f>
        <v/>
      </c>
      <c r="Z677" s="3">
        <f>IF($Y677="","",IF($Y677&lt;0,"FUTURO",IF($Y677&gt;p_dias_backlog_max,"BACKLOG","MES CORRIENTE")))</f>
        <v/>
      </c>
      <c r="AA677" s="3">
        <f>IF($Y677="",FALSE,AND($Y677&gt;p_dias_backlog_min,$Y677&lt;=p_dias_backlog_max))</f>
        <v/>
      </c>
      <c r="AB677" s="6" t="n"/>
      <c r="AC677" s="3">
        <f>IF($AB677="","",IFERROR(INDEX('ASIGNACIONES'!$F$4:$F$339,MATCH($O677&amp;"|"&amp;$R677&amp;"|"&amp;$AB677,'ASIGNACIONES'!$I$4:$I$339,0)),""))</f>
        <v/>
      </c>
      <c r="AD677" s="13">
        <f>IF($AB677="","",SUMIFS('ORDENES'!$M$4:$M$1203,'ORDENES'!$AB$4:$AB$1203,$AB677,'ORDENES'!$O$4:$O$1203,$O677,'ORDENES'!$R$4:$R$1203,$R677))</f>
        <v/>
      </c>
      <c r="AE677" s="13">
        <f>IF($AD677="","",p_factor_productividad*IFERROR(INDEX('ASIGNACIONES'!$H$4:$H$339,MATCH($O677&amp;"|"&amp;$R677&amp;"|"&amp;$AB677,'ASIGNACIONES'!$I$4:$I$339,0)),0)-$AD677)</f>
        <v/>
      </c>
      <c r="AF677" s="10">
        <f>IF($A677="","",IFERROR(INDEX('2_IMPORTAR_EJECUCION'!$F$9:$F$1208,MATCH($AN677,'2_IMPORTAR_EJECUCION'!$J$9:$J$1208,0)),0))</f>
        <v/>
      </c>
      <c r="AG677" s="10">
        <f>IF($A677="","",MAX(0,IFERROR(INDEX('2_IMPORTAR_EJECUCION'!$H$9:$H$1208,MATCH($AN677,'2_IMPORTAR_EJECUCION'!$J$9:$J$1208,0)),0)-$AF677))</f>
        <v/>
      </c>
      <c r="AH677" s="10">
        <f>IF($A677="","",$AF677+$AG677)</f>
        <v/>
      </c>
      <c r="AI677" s="6" t="n"/>
      <c r="AJ677" s="6" t="n"/>
      <c r="AK677" s="6" t="n"/>
      <c r="AL677" s="3">
        <f>IF($AK677="","",HYPERLINK(p_ruta_base_checklists&amp;$AK677,"abrir"))</f>
        <v/>
      </c>
      <c r="AM677" s="6" t="n"/>
      <c r="AN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1" t="n"/>
      <c r="K678" s="3" t="n"/>
      <c r="L678" s="10" t="n"/>
      <c r="M678" s="3">
        <f>IF($A678="","",IFERROR(INDEX('AJUSTES'!$B$4:$B$303,MATCH($AN678,'AJUSTES'!$A$4:$A$303,0)),IF($K678="","",$K678)))</f>
        <v/>
      </c>
      <c r="N678" s="3">
        <f>IF($A678="","",IFERROR(INDEX('CAT_ESTADOS_ERP'!$B$4:$B$7,MATCH(IFERROR(INDEX('2_IMPORTAR_EJECUCION'!$C$9:$C$1208,MATCH($AN678,'2_IMPORTAR_EJECUCION'!$J$9:$J$1208,0)),""),'CAT_ESTADOS_ERP'!$A$4:$A$7,0)),"Pendiente"))</f>
        <v/>
      </c>
      <c r="O678" s="3">
        <f>IF($J678="","",YEAR($J678+4-WEEKDAY($J678,2))&amp;"-S"&amp;TEXT(_xlfn.ISOWEEKNUM($J678),"00"))</f>
        <v/>
      </c>
      <c r="P678" s="3">
        <f>IF($J678="","",YEAR($J678))</f>
        <v/>
      </c>
      <c r="Q678" s="3">
        <f>IF($J678="","",MONTH($J678))</f>
        <v/>
      </c>
      <c r="R678" s="3">
        <f>IF($J678="","",INDEX(lista_dias,WEEKDAY($J678,2)))</f>
        <v/>
      </c>
      <c r="S678" s="3">
        <f>IF($I678="","",IFERROR(INDEX('CAT_TIPOS_OT'!$C$4:$C$7,MATCH($I678,'CAT_TIPOS_OT'!$A$4:$A$7,0)),"sin_clasificar"))</f>
        <v/>
      </c>
      <c r="T678" s="3">
        <f>IF($F678="","",IFERROR(INDEX('CAT_CENTROS_COSTO'!$E$4:$E$9,MATCH($F678,'CAT_CENTROS_COSTO'!$A$4:$A$9,0)),"(sin catálogo)"))</f>
        <v/>
      </c>
      <c r="U678" s="3">
        <f>IF($F678="","",IFERROR(INDEX('CAT_CENTROS_COSTO'!$D$4:$D$9,MATCH($F678,'CAT_CENTROS_COSTO'!$A$4:$A$9,0)),"(sin catálogo)"))</f>
        <v/>
      </c>
      <c r="V678" s="3">
        <f>IF($F678="","",IFERROR(INDEX('CAT_CENTROS_COSTO'!$F$4:$F$9,MATCH($F678,'CAT_CENTROS_COSTO'!$A$4:$A$9,0)),"(sin catálogo)"))</f>
        <v/>
      </c>
      <c r="W678" s="3">
        <f>IF($G678="","",IFERROR(INDEX('CAT_PUESTOS'!$B$4:$B$8,MATCH($G678,'CAT_PUESTOS'!$A$4:$A$8,0)),"(sin catálogo)"))</f>
        <v/>
      </c>
      <c r="X678" s="3">
        <f>IF($H678="","",IFERROR(INDEX('CAT_ACTIVIDADES'!$B$4:$B$8,MATCH($H678,'CAT_ACTIVIDADES'!$A$4:$A$8,0)),"(sin catálogo)"))</f>
        <v/>
      </c>
      <c r="Y678" s="12">
        <f>IF($J678="","",TODAY()-$J678)</f>
        <v/>
      </c>
      <c r="Z678" s="3">
        <f>IF($Y678="","",IF($Y678&lt;0,"FUTURO",IF($Y678&gt;p_dias_backlog_max,"BACKLOG","MES CORRIENTE")))</f>
        <v/>
      </c>
      <c r="AA678" s="3">
        <f>IF($Y678="",FALSE,AND($Y678&gt;p_dias_backlog_min,$Y678&lt;=p_dias_backlog_max))</f>
        <v/>
      </c>
      <c r="AB678" s="6" t="n"/>
      <c r="AC678" s="3">
        <f>IF($AB678="","",IFERROR(INDEX('ASIGNACIONES'!$F$4:$F$339,MATCH($O678&amp;"|"&amp;$R678&amp;"|"&amp;$AB678,'ASIGNACIONES'!$I$4:$I$339,0)),""))</f>
        <v/>
      </c>
      <c r="AD678" s="13">
        <f>IF($AB678="","",SUMIFS('ORDENES'!$M$4:$M$1203,'ORDENES'!$AB$4:$AB$1203,$AB678,'ORDENES'!$O$4:$O$1203,$O678,'ORDENES'!$R$4:$R$1203,$R678))</f>
        <v/>
      </c>
      <c r="AE678" s="13">
        <f>IF($AD678="","",p_factor_productividad*IFERROR(INDEX('ASIGNACIONES'!$H$4:$H$339,MATCH($O678&amp;"|"&amp;$R678&amp;"|"&amp;$AB678,'ASIGNACIONES'!$I$4:$I$339,0)),0)-$AD678)</f>
        <v/>
      </c>
      <c r="AF678" s="10">
        <f>IF($A678="","",IFERROR(INDEX('2_IMPORTAR_EJECUCION'!$F$9:$F$1208,MATCH($AN678,'2_IMPORTAR_EJECUCION'!$J$9:$J$1208,0)),0))</f>
        <v/>
      </c>
      <c r="AG678" s="10">
        <f>IF($A678="","",MAX(0,IFERROR(INDEX('2_IMPORTAR_EJECUCION'!$H$9:$H$1208,MATCH($AN678,'2_IMPORTAR_EJECUCION'!$J$9:$J$1208,0)),0)-$AF678))</f>
        <v/>
      </c>
      <c r="AH678" s="10">
        <f>IF($A678="","",$AF678+$AG678)</f>
        <v/>
      </c>
      <c r="AI678" s="6" t="n"/>
      <c r="AJ678" s="6" t="n"/>
      <c r="AK678" s="6" t="n"/>
      <c r="AL678" s="3">
        <f>IF($AK678="","",HYPERLINK(p_ruta_base_checklists&amp;$AK678,"abrir"))</f>
        <v/>
      </c>
      <c r="AM678" s="6" t="n"/>
      <c r="AN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1" t="n"/>
      <c r="K679" s="3" t="n"/>
      <c r="L679" s="10" t="n"/>
      <c r="M679" s="3">
        <f>IF($A679="","",IFERROR(INDEX('AJUSTES'!$B$4:$B$303,MATCH($AN679,'AJUSTES'!$A$4:$A$303,0)),IF($K679="","",$K679)))</f>
        <v/>
      </c>
      <c r="N679" s="3">
        <f>IF($A679="","",IFERROR(INDEX('CAT_ESTADOS_ERP'!$B$4:$B$7,MATCH(IFERROR(INDEX('2_IMPORTAR_EJECUCION'!$C$9:$C$1208,MATCH($AN679,'2_IMPORTAR_EJECUCION'!$J$9:$J$1208,0)),""),'CAT_ESTADOS_ERP'!$A$4:$A$7,0)),"Pendiente"))</f>
        <v/>
      </c>
      <c r="O679" s="3">
        <f>IF($J679="","",YEAR($J679+4-WEEKDAY($J679,2))&amp;"-S"&amp;TEXT(_xlfn.ISOWEEKNUM($J679),"00"))</f>
        <v/>
      </c>
      <c r="P679" s="3">
        <f>IF($J679="","",YEAR($J679))</f>
        <v/>
      </c>
      <c r="Q679" s="3">
        <f>IF($J679="","",MONTH($J679))</f>
        <v/>
      </c>
      <c r="R679" s="3">
        <f>IF($J679="","",INDEX(lista_dias,WEEKDAY($J679,2)))</f>
        <v/>
      </c>
      <c r="S679" s="3">
        <f>IF($I679="","",IFERROR(INDEX('CAT_TIPOS_OT'!$C$4:$C$7,MATCH($I679,'CAT_TIPOS_OT'!$A$4:$A$7,0)),"sin_clasificar"))</f>
        <v/>
      </c>
      <c r="T679" s="3">
        <f>IF($F679="","",IFERROR(INDEX('CAT_CENTROS_COSTO'!$E$4:$E$9,MATCH($F679,'CAT_CENTROS_COSTO'!$A$4:$A$9,0)),"(sin catálogo)"))</f>
        <v/>
      </c>
      <c r="U679" s="3">
        <f>IF($F679="","",IFERROR(INDEX('CAT_CENTROS_COSTO'!$D$4:$D$9,MATCH($F679,'CAT_CENTROS_COSTO'!$A$4:$A$9,0)),"(sin catálogo)"))</f>
        <v/>
      </c>
      <c r="V679" s="3">
        <f>IF($F679="","",IFERROR(INDEX('CAT_CENTROS_COSTO'!$F$4:$F$9,MATCH($F679,'CAT_CENTROS_COSTO'!$A$4:$A$9,0)),"(sin catálogo)"))</f>
        <v/>
      </c>
      <c r="W679" s="3">
        <f>IF($G679="","",IFERROR(INDEX('CAT_PUESTOS'!$B$4:$B$8,MATCH($G679,'CAT_PUESTOS'!$A$4:$A$8,0)),"(sin catálogo)"))</f>
        <v/>
      </c>
      <c r="X679" s="3">
        <f>IF($H679="","",IFERROR(INDEX('CAT_ACTIVIDADES'!$B$4:$B$8,MATCH($H679,'CAT_ACTIVIDADES'!$A$4:$A$8,0)),"(sin catálogo)"))</f>
        <v/>
      </c>
      <c r="Y679" s="12">
        <f>IF($J679="","",TODAY()-$J679)</f>
        <v/>
      </c>
      <c r="Z679" s="3">
        <f>IF($Y679="","",IF($Y679&lt;0,"FUTURO",IF($Y679&gt;p_dias_backlog_max,"BACKLOG","MES CORRIENTE")))</f>
        <v/>
      </c>
      <c r="AA679" s="3">
        <f>IF($Y679="",FALSE,AND($Y679&gt;p_dias_backlog_min,$Y679&lt;=p_dias_backlog_max))</f>
        <v/>
      </c>
      <c r="AB679" s="6" t="n"/>
      <c r="AC679" s="3">
        <f>IF($AB679="","",IFERROR(INDEX('ASIGNACIONES'!$F$4:$F$339,MATCH($O679&amp;"|"&amp;$R679&amp;"|"&amp;$AB679,'ASIGNACIONES'!$I$4:$I$339,0)),""))</f>
        <v/>
      </c>
      <c r="AD679" s="13">
        <f>IF($AB679="","",SUMIFS('ORDENES'!$M$4:$M$1203,'ORDENES'!$AB$4:$AB$1203,$AB679,'ORDENES'!$O$4:$O$1203,$O679,'ORDENES'!$R$4:$R$1203,$R679))</f>
        <v/>
      </c>
      <c r="AE679" s="13">
        <f>IF($AD679="","",p_factor_productividad*IFERROR(INDEX('ASIGNACIONES'!$H$4:$H$339,MATCH($O679&amp;"|"&amp;$R679&amp;"|"&amp;$AB679,'ASIGNACIONES'!$I$4:$I$339,0)),0)-$AD679)</f>
        <v/>
      </c>
      <c r="AF679" s="10">
        <f>IF($A679="","",IFERROR(INDEX('2_IMPORTAR_EJECUCION'!$F$9:$F$1208,MATCH($AN679,'2_IMPORTAR_EJECUCION'!$J$9:$J$1208,0)),0))</f>
        <v/>
      </c>
      <c r="AG679" s="10">
        <f>IF($A679="","",MAX(0,IFERROR(INDEX('2_IMPORTAR_EJECUCION'!$H$9:$H$1208,MATCH($AN679,'2_IMPORTAR_EJECUCION'!$J$9:$J$1208,0)),0)-$AF679))</f>
        <v/>
      </c>
      <c r="AH679" s="10">
        <f>IF($A679="","",$AF679+$AG679)</f>
        <v/>
      </c>
      <c r="AI679" s="6" t="n"/>
      <c r="AJ679" s="6" t="n"/>
      <c r="AK679" s="6" t="n"/>
      <c r="AL679" s="3">
        <f>IF($AK679="","",HYPERLINK(p_ruta_base_checklists&amp;$AK679,"abrir"))</f>
        <v/>
      </c>
      <c r="AM679" s="6" t="n"/>
      <c r="AN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1" t="n"/>
      <c r="K680" s="3" t="n"/>
      <c r="L680" s="10" t="n"/>
      <c r="M680" s="3">
        <f>IF($A680="","",IFERROR(INDEX('AJUSTES'!$B$4:$B$303,MATCH($AN680,'AJUSTES'!$A$4:$A$303,0)),IF($K680="","",$K680)))</f>
        <v/>
      </c>
      <c r="N680" s="3">
        <f>IF($A680="","",IFERROR(INDEX('CAT_ESTADOS_ERP'!$B$4:$B$7,MATCH(IFERROR(INDEX('2_IMPORTAR_EJECUCION'!$C$9:$C$1208,MATCH($AN680,'2_IMPORTAR_EJECUCION'!$J$9:$J$1208,0)),""),'CAT_ESTADOS_ERP'!$A$4:$A$7,0)),"Pendiente"))</f>
        <v/>
      </c>
      <c r="O680" s="3">
        <f>IF($J680="","",YEAR($J680+4-WEEKDAY($J680,2))&amp;"-S"&amp;TEXT(_xlfn.ISOWEEKNUM($J680),"00"))</f>
        <v/>
      </c>
      <c r="P680" s="3">
        <f>IF($J680="","",YEAR($J680))</f>
        <v/>
      </c>
      <c r="Q680" s="3">
        <f>IF($J680="","",MONTH($J680))</f>
        <v/>
      </c>
      <c r="R680" s="3">
        <f>IF($J680="","",INDEX(lista_dias,WEEKDAY($J680,2)))</f>
        <v/>
      </c>
      <c r="S680" s="3">
        <f>IF($I680="","",IFERROR(INDEX('CAT_TIPOS_OT'!$C$4:$C$7,MATCH($I680,'CAT_TIPOS_OT'!$A$4:$A$7,0)),"sin_clasificar"))</f>
        <v/>
      </c>
      <c r="T680" s="3">
        <f>IF($F680="","",IFERROR(INDEX('CAT_CENTROS_COSTO'!$E$4:$E$9,MATCH($F680,'CAT_CENTROS_COSTO'!$A$4:$A$9,0)),"(sin catálogo)"))</f>
        <v/>
      </c>
      <c r="U680" s="3">
        <f>IF($F680="","",IFERROR(INDEX('CAT_CENTROS_COSTO'!$D$4:$D$9,MATCH($F680,'CAT_CENTROS_COSTO'!$A$4:$A$9,0)),"(sin catálogo)"))</f>
        <v/>
      </c>
      <c r="V680" s="3">
        <f>IF($F680="","",IFERROR(INDEX('CAT_CENTROS_COSTO'!$F$4:$F$9,MATCH($F680,'CAT_CENTROS_COSTO'!$A$4:$A$9,0)),"(sin catálogo)"))</f>
        <v/>
      </c>
      <c r="W680" s="3">
        <f>IF($G680="","",IFERROR(INDEX('CAT_PUESTOS'!$B$4:$B$8,MATCH($G680,'CAT_PUESTOS'!$A$4:$A$8,0)),"(sin catálogo)"))</f>
        <v/>
      </c>
      <c r="X680" s="3">
        <f>IF($H680="","",IFERROR(INDEX('CAT_ACTIVIDADES'!$B$4:$B$8,MATCH($H680,'CAT_ACTIVIDADES'!$A$4:$A$8,0)),"(sin catálogo)"))</f>
        <v/>
      </c>
      <c r="Y680" s="12">
        <f>IF($J680="","",TODAY()-$J680)</f>
        <v/>
      </c>
      <c r="Z680" s="3">
        <f>IF($Y680="","",IF($Y680&lt;0,"FUTURO",IF($Y680&gt;p_dias_backlog_max,"BACKLOG","MES CORRIENTE")))</f>
        <v/>
      </c>
      <c r="AA680" s="3">
        <f>IF($Y680="",FALSE,AND($Y680&gt;p_dias_backlog_min,$Y680&lt;=p_dias_backlog_max))</f>
        <v/>
      </c>
      <c r="AB680" s="6" t="n"/>
      <c r="AC680" s="3">
        <f>IF($AB680="","",IFERROR(INDEX('ASIGNACIONES'!$F$4:$F$339,MATCH($O680&amp;"|"&amp;$R680&amp;"|"&amp;$AB680,'ASIGNACIONES'!$I$4:$I$339,0)),""))</f>
        <v/>
      </c>
      <c r="AD680" s="13">
        <f>IF($AB680="","",SUMIFS('ORDENES'!$M$4:$M$1203,'ORDENES'!$AB$4:$AB$1203,$AB680,'ORDENES'!$O$4:$O$1203,$O680,'ORDENES'!$R$4:$R$1203,$R680))</f>
        <v/>
      </c>
      <c r="AE680" s="13">
        <f>IF($AD680="","",p_factor_productividad*IFERROR(INDEX('ASIGNACIONES'!$H$4:$H$339,MATCH($O680&amp;"|"&amp;$R680&amp;"|"&amp;$AB680,'ASIGNACIONES'!$I$4:$I$339,0)),0)-$AD680)</f>
        <v/>
      </c>
      <c r="AF680" s="10">
        <f>IF($A680="","",IFERROR(INDEX('2_IMPORTAR_EJECUCION'!$F$9:$F$1208,MATCH($AN680,'2_IMPORTAR_EJECUCION'!$J$9:$J$1208,0)),0))</f>
        <v/>
      </c>
      <c r="AG680" s="10">
        <f>IF($A680="","",MAX(0,IFERROR(INDEX('2_IMPORTAR_EJECUCION'!$H$9:$H$1208,MATCH($AN680,'2_IMPORTAR_EJECUCION'!$J$9:$J$1208,0)),0)-$AF680))</f>
        <v/>
      </c>
      <c r="AH680" s="10">
        <f>IF($A680="","",$AF680+$AG680)</f>
        <v/>
      </c>
      <c r="AI680" s="6" t="n"/>
      <c r="AJ680" s="6" t="n"/>
      <c r="AK680" s="6" t="n"/>
      <c r="AL680" s="3">
        <f>IF($AK680="","",HYPERLINK(p_ruta_base_checklists&amp;$AK680,"abrir"))</f>
        <v/>
      </c>
      <c r="AM680" s="6" t="n"/>
      <c r="AN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1" t="n"/>
      <c r="K681" s="3" t="n"/>
      <c r="L681" s="10" t="n"/>
      <c r="M681" s="3">
        <f>IF($A681="","",IFERROR(INDEX('AJUSTES'!$B$4:$B$303,MATCH($AN681,'AJUSTES'!$A$4:$A$303,0)),IF($K681="","",$K681)))</f>
        <v/>
      </c>
      <c r="N681" s="3">
        <f>IF($A681="","",IFERROR(INDEX('CAT_ESTADOS_ERP'!$B$4:$B$7,MATCH(IFERROR(INDEX('2_IMPORTAR_EJECUCION'!$C$9:$C$1208,MATCH($AN681,'2_IMPORTAR_EJECUCION'!$J$9:$J$1208,0)),""),'CAT_ESTADOS_ERP'!$A$4:$A$7,0)),"Pendiente"))</f>
        <v/>
      </c>
      <c r="O681" s="3">
        <f>IF($J681="","",YEAR($J681+4-WEEKDAY($J681,2))&amp;"-S"&amp;TEXT(_xlfn.ISOWEEKNUM($J681),"00"))</f>
        <v/>
      </c>
      <c r="P681" s="3">
        <f>IF($J681="","",YEAR($J681))</f>
        <v/>
      </c>
      <c r="Q681" s="3">
        <f>IF($J681="","",MONTH($J681))</f>
        <v/>
      </c>
      <c r="R681" s="3">
        <f>IF($J681="","",INDEX(lista_dias,WEEKDAY($J681,2)))</f>
        <v/>
      </c>
      <c r="S681" s="3">
        <f>IF($I681="","",IFERROR(INDEX('CAT_TIPOS_OT'!$C$4:$C$7,MATCH($I681,'CAT_TIPOS_OT'!$A$4:$A$7,0)),"sin_clasificar"))</f>
        <v/>
      </c>
      <c r="T681" s="3">
        <f>IF($F681="","",IFERROR(INDEX('CAT_CENTROS_COSTO'!$E$4:$E$9,MATCH($F681,'CAT_CENTROS_COSTO'!$A$4:$A$9,0)),"(sin catálogo)"))</f>
        <v/>
      </c>
      <c r="U681" s="3">
        <f>IF($F681="","",IFERROR(INDEX('CAT_CENTROS_COSTO'!$D$4:$D$9,MATCH($F681,'CAT_CENTROS_COSTO'!$A$4:$A$9,0)),"(sin catálogo)"))</f>
        <v/>
      </c>
      <c r="V681" s="3">
        <f>IF($F681="","",IFERROR(INDEX('CAT_CENTROS_COSTO'!$F$4:$F$9,MATCH($F681,'CAT_CENTROS_COSTO'!$A$4:$A$9,0)),"(sin catálogo)"))</f>
        <v/>
      </c>
      <c r="W681" s="3">
        <f>IF($G681="","",IFERROR(INDEX('CAT_PUESTOS'!$B$4:$B$8,MATCH($G681,'CAT_PUESTOS'!$A$4:$A$8,0)),"(sin catálogo)"))</f>
        <v/>
      </c>
      <c r="X681" s="3">
        <f>IF($H681="","",IFERROR(INDEX('CAT_ACTIVIDADES'!$B$4:$B$8,MATCH($H681,'CAT_ACTIVIDADES'!$A$4:$A$8,0)),"(sin catálogo)"))</f>
        <v/>
      </c>
      <c r="Y681" s="12">
        <f>IF($J681="","",TODAY()-$J681)</f>
        <v/>
      </c>
      <c r="Z681" s="3">
        <f>IF($Y681="","",IF($Y681&lt;0,"FUTURO",IF($Y681&gt;p_dias_backlog_max,"BACKLOG","MES CORRIENTE")))</f>
        <v/>
      </c>
      <c r="AA681" s="3">
        <f>IF($Y681="",FALSE,AND($Y681&gt;p_dias_backlog_min,$Y681&lt;=p_dias_backlog_max))</f>
        <v/>
      </c>
      <c r="AB681" s="6" t="n"/>
      <c r="AC681" s="3">
        <f>IF($AB681="","",IFERROR(INDEX('ASIGNACIONES'!$F$4:$F$339,MATCH($O681&amp;"|"&amp;$R681&amp;"|"&amp;$AB681,'ASIGNACIONES'!$I$4:$I$339,0)),""))</f>
        <v/>
      </c>
      <c r="AD681" s="13">
        <f>IF($AB681="","",SUMIFS('ORDENES'!$M$4:$M$1203,'ORDENES'!$AB$4:$AB$1203,$AB681,'ORDENES'!$O$4:$O$1203,$O681,'ORDENES'!$R$4:$R$1203,$R681))</f>
        <v/>
      </c>
      <c r="AE681" s="13">
        <f>IF($AD681="","",p_factor_productividad*IFERROR(INDEX('ASIGNACIONES'!$H$4:$H$339,MATCH($O681&amp;"|"&amp;$R681&amp;"|"&amp;$AB681,'ASIGNACIONES'!$I$4:$I$339,0)),0)-$AD681)</f>
        <v/>
      </c>
      <c r="AF681" s="10">
        <f>IF($A681="","",IFERROR(INDEX('2_IMPORTAR_EJECUCION'!$F$9:$F$1208,MATCH($AN681,'2_IMPORTAR_EJECUCION'!$J$9:$J$1208,0)),0))</f>
        <v/>
      </c>
      <c r="AG681" s="10">
        <f>IF($A681="","",MAX(0,IFERROR(INDEX('2_IMPORTAR_EJECUCION'!$H$9:$H$1208,MATCH($AN681,'2_IMPORTAR_EJECUCION'!$J$9:$J$1208,0)),0)-$AF681))</f>
        <v/>
      </c>
      <c r="AH681" s="10">
        <f>IF($A681="","",$AF681+$AG681)</f>
        <v/>
      </c>
      <c r="AI681" s="6" t="n"/>
      <c r="AJ681" s="6" t="n"/>
      <c r="AK681" s="6" t="n"/>
      <c r="AL681" s="3">
        <f>IF($AK681="","",HYPERLINK(p_ruta_base_checklists&amp;$AK681,"abrir"))</f>
        <v/>
      </c>
      <c r="AM681" s="6" t="n"/>
      <c r="AN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1" t="n"/>
      <c r="K682" s="3" t="n"/>
      <c r="L682" s="10" t="n"/>
      <c r="M682" s="3">
        <f>IF($A682="","",IFERROR(INDEX('AJUSTES'!$B$4:$B$303,MATCH($AN682,'AJUSTES'!$A$4:$A$303,0)),IF($K682="","",$K682)))</f>
        <v/>
      </c>
      <c r="N682" s="3">
        <f>IF($A682="","",IFERROR(INDEX('CAT_ESTADOS_ERP'!$B$4:$B$7,MATCH(IFERROR(INDEX('2_IMPORTAR_EJECUCION'!$C$9:$C$1208,MATCH($AN682,'2_IMPORTAR_EJECUCION'!$J$9:$J$1208,0)),""),'CAT_ESTADOS_ERP'!$A$4:$A$7,0)),"Pendiente"))</f>
        <v/>
      </c>
      <c r="O682" s="3">
        <f>IF($J682="","",YEAR($J682+4-WEEKDAY($J682,2))&amp;"-S"&amp;TEXT(_xlfn.ISOWEEKNUM($J682),"00"))</f>
        <v/>
      </c>
      <c r="P682" s="3">
        <f>IF($J682="","",YEAR($J682))</f>
        <v/>
      </c>
      <c r="Q682" s="3">
        <f>IF($J682="","",MONTH($J682))</f>
        <v/>
      </c>
      <c r="R682" s="3">
        <f>IF($J682="","",INDEX(lista_dias,WEEKDAY($J682,2)))</f>
        <v/>
      </c>
      <c r="S682" s="3">
        <f>IF($I682="","",IFERROR(INDEX('CAT_TIPOS_OT'!$C$4:$C$7,MATCH($I682,'CAT_TIPOS_OT'!$A$4:$A$7,0)),"sin_clasificar"))</f>
        <v/>
      </c>
      <c r="T682" s="3">
        <f>IF($F682="","",IFERROR(INDEX('CAT_CENTROS_COSTO'!$E$4:$E$9,MATCH($F682,'CAT_CENTROS_COSTO'!$A$4:$A$9,0)),"(sin catálogo)"))</f>
        <v/>
      </c>
      <c r="U682" s="3">
        <f>IF($F682="","",IFERROR(INDEX('CAT_CENTROS_COSTO'!$D$4:$D$9,MATCH($F682,'CAT_CENTROS_COSTO'!$A$4:$A$9,0)),"(sin catálogo)"))</f>
        <v/>
      </c>
      <c r="V682" s="3">
        <f>IF($F682="","",IFERROR(INDEX('CAT_CENTROS_COSTO'!$F$4:$F$9,MATCH($F682,'CAT_CENTROS_COSTO'!$A$4:$A$9,0)),"(sin catálogo)"))</f>
        <v/>
      </c>
      <c r="W682" s="3">
        <f>IF($G682="","",IFERROR(INDEX('CAT_PUESTOS'!$B$4:$B$8,MATCH($G682,'CAT_PUESTOS'!$A$4:$A$8,0)),"(sin catálogo)"))</f>
        <v/>
      </c>
      <c r="X682" s="3">
        <f>IF($H682="","",IFERROR(INDEX('CAT_ACTIVIDADES'!$B$4:$B$8,MATCH($H682,'CAT_ACTIVIDADES'!$A$4:$A$8,0)),"(sin catálogo)"))</f>
        <v/>
      </c>
      <c r="Y682" s="12">
        <f>IF($J682="","",TODAY()-$J682)</f>
        <v/>
      </c>
      <c r="Z682" s="3">
        <f>IF($Y682="","",IF($Y682&lt;0,"FUTURO",IF($Y682&gt;p_dias_backlog_max,"BACKLOG","MES CORRIENTE")))</f>
        <v/>
      </c>
      <c r="AA682" s="3">
        <f>IF($Y682="",FALSE,AND($Y682&gt;p_dias_backlog_min,$Y682&lt;=p_dias_backlog_max))</f>
        <v/>
      </c>
      <c r="AB682" s="6" t="n"/>
      <c r="AC682" s="3">
        <f>IF($AB682="","",IFERROR(INDEX('ASIGNACIONES'!$F$4:$F$339,MATCH($O682&amp;"|"&amp;$R682&amp;"|"&amp;$AB682,'ASIGNACIONES'!$I$4:$I$339,0)),""))</f>
        <v/>
      </c>
      <c r="AD682" s="13">
        <f>IF($AB682="","",SUMIFS('ORDENES'!$M$4:$M$1203,'ORDENES'!$AB$4:$AB$1203,$AB682,'ORDENES'!$O$4:$O$1203,$O682,'ORDENES'!$R$4:$R$1203,$R682))</f>
        <v/>
      </c>
      <c r="AE682" s="13">
        <f>IF($AD682="","",p_factor_productividad*IFERROR(INDEX('ASIGNACIONES'!$H$4:$H$339,MATCH($O682&amp;"|"&amp;$R682&amp;"|"&amp;$AB682,'ASIGNACIONES'!$I$4:$I$339,0)),0)-$AD682)</f>
        <v/>
      </c>
      <c r="AF682" s="10">
        <f>IF($A682="","",IFERROR(INDEX('2_IMPORTAR_EJECUCION'!$F$9:$F$1208,MATCH($AN682,'2_IMPORTAR_EJECUCION'!$J$9:$J$1208,0)),0))</f>
        <v/>
      </c>
      <c r="AG682" s="10">
        <f>IF($A682="","",MAX(0,IFERROR(INDEX('2_IMPORTAR_EJECUCION'!$H$9:$H$1208,MATCH($AN682,'2_IMPORTAR_EJECUCION'!$J$9:$J$1208,0)),0)-$AF682))</f>
        <v/>
      </c>
      <c r="AH682" s="10">
        <f>IF($A682="","",$AF682+$AG682)</f>
        <v/>
      </c>
      <c r="AI682" s="6" t="n"/>
      <c r="AJ682" s="6" t="n"/>
      <c r="AK682" s="6" t="n"/>
      <c r="AL682" s="3">
        <f>IF($AK682="","",HYPERLINK(p_ruta_base_checklists&amp;$AK682,"abrir"))</f>
        <v/>
      </c>
      <c r="AM682" s="6" t="n"/>
      <c r="AN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1" t="n"/>
      <c r="K683" s="3" t="n"/>
      <c r="L683" s="10" t="n"/>
      <c r="M683" s="3">
        <f>IF($A683="","",IFERROR(INDEX('AJUSTES'!$B$4:$B$303,MATCH($AN683,'AJUSTES'!$A$4:$A$303,0)),IF($K683="","",$K683)))</f>
        <v/>
      </c>
      <c r="N683" s="3">
        <f>IF($A683="","",IFERROR(INDEX('CAT_ESTADOS_ERP'!$B$4:$B$7,MATCH(IFERROR(INDEX('2_IMPORTAR_EJECUCION'!$C$9:$C$1208,MATCH($AN683,'2_IMPORTAR_EJECUCION'!$J$9:$J$1208,0)),""),'CAT_ESTADOS_ERP'!$A$4:$A$7,0)),"Pendiente"))</f>
        <v/>
      </c>
      <c r="O683" s="3">
        <f>IF($J683="","",YEAR($J683+4-WEEKDAY($J683,2))&amp;"-S"&amp;TEXT(_xlfn.ISOWEEKNUM($J683),"00"))</f>
        <v/>
      </c>
      <c r="P683" s="3">
        <f>IF($J683="","",YEAR($J683))</f>
        <v/>
      </c>
      <c r="Q683" s="3">
        <f>IF($J683="","",MONTH($J683))</f>
        <v/>
      </c>
      <c r="R683" s="3">
        <f>IF($J683="","",INDEX(lista_dias,WEEKDAY($J683,2)))</f>
        <v/>
      </c>
      <c r="S683" s="3">
        <f>IF($I683="","",IFERROR(INDEX('CAT_TIPOS_OT'!$C$4:$C$7,MATCH($I683,'CAT_TIPOS_OT'!$A$4:$A$7,0)),"sin_clasificar"))</f>
        <v/>
      </c>
      <c r="T683" s="3">
        <f>IF($F683="","",IFERROR(INDEX('CAT_CENTROS_COSTO'!$E$4:$E$9,MATCH($F683,'CAT_CENTROS_COSTO'!$A$4:$A$9,0)),"(sin catálogo)"))</f>
        <v/>
      </c>
      <c r="U683" s="3">
        <f>IF($F683="","",IFERROR(INDEX('CAT_CENTROS_COSTO'!$D$4:$D$9,MATCH($F683,'CAT_CENTROS_COSTO'!$A$4:$A$9,0)),"(sin catálogo)"))</f>
        <v/>
      </c>
      <c r="V683" s="3">
        <f>IF($F683="","",IFERROR(INDEX('CAT_CENTROS_COSTO'!$F$4:$F$9,MATCH($F683,'CAT_CENTROS_COSTO'!$A$4:$A$9,0)),"(sin catálogo)"))</f>
        <v/>
      </c>
      <c r="W683" s="3">
        <f>IF($G683="","",IFERROR(INDEX('CAT_PUESTOS'!$B$4:$B$8,MATCH($G683,'CAT_PUESTOS'!$A$4:$A$8,0)),"(sin catálogo)"))</f>
        <v/>
      </c>
      <c r="X683" s="3">
        <f>IF($H683="","",IFERROR(INDEX('CAT_ACTIVIDADES'!$B$4:$B$8,MATCH($H683,'CAT_ACTIVIDADES'!$A$4:$A$8,0)),"(sin catálogo)"))</f>
        <v/>
      </c>
      <c r="Y683" s="12">
        <f>IF($J683="","",TODAY()-$J683)</f>
        <v/>
      </c>
      <c r="Z683" s="3">
        <f>IF($Y683="","",IF($Y683&lt;0,"FUTURO",IF($Y683&gt;p_dias_backlog_max,"BACKLOG","MES CORRIENTE")))</f>
        <v/>
      </c>
      <c r="AA683" s="3">
        <f>IF($Y683="",FALSE,AND($Y683&gt;p_dias_backlog_min,$Y683&lt;=p_dias_backlog_max))</f>
        <v/>
      </c>
      <c r="AB683" s="6" t="n"/>
      <c r="AC683" s="3">
        <f>IF($AB683="","",IFERROR(INDEX('ASIGNACIONES'!$F$4:$F$339,MATCH($O683&amp;"|"&amp;$R683&amp;"|"&amp;$AB683,'ASIGNACIONES'!$I$4:$I$339,0)),""))</f>
        <v/>
      </c>
      <c r="AD683" s="13">
        <f>IF($AB683="","",SUMIFS('ORDENES'!$M$4:$M$1203,'ORDENES'!$AB$4:$AB$1203,$AB683,'ORDENES'!$O$4:$O$1203,$O683,'ORDENES'!$R$4:$R$1203,$R683))</f>
        <v/>
      </c>
      <c r="AE683" s="13">
        <f>IF($AD683="","",p_factor_productividad*IFERROR(INDEX('ASIGNACIONES'!$H$4:$H$339,MATCH($O683&amp;"|"&amp;$R683&amp;"|"&amp;$AB683,'ASIGNACIONES'!$I$4:$I$339,0)),0)-$AD683)</f>
        <v/>
      </c>
      <c r="AF683" s="10">
        <f>IF($A683="","",IFERROR(INDEX('2_IMPORTAR_EJECUCION'!$F$9:$F$1208,MATCH($AN683,'2_IMPORTAR_EJECUCION'!$J$9:$J$1208,0)),0))</f>
        <v/>
      </c>
      <c r="AG683" s="10">
        <f>IF($A683="","",MAX(0,IFERROR(INDEX('2_IMPORTAR_EJECUCION'!$H$9:$H$1208,MATCH($AN683,'2_IMPORTAR_EJECUCION'!$J$9:$J$1208,0)),0)-$AF683))</f>
        <v/>
      </c>
      <c r="AH683" s="10">
        <f>IF($A683="","",$AF683+$AG683)</f>
        <v/>
      </c>
      <c r="AI683" s="6" t="n"/>
      <c r="AJ683" s="6" t="n"/>
      <c r="AK683" s="6" t="n"/>
      <c r="AL683" s="3">
        <f>IF($AK683="","",HYPERLINK(p_ruta_base_checklists&amp;$AK683,"abrir"))</f>
        <v/>
      </c>
      <c r="AM683" s="6" t="n"/>
      <c r="AN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1" t="n"/>
      <c r="K684" s="3" t="n"/>
      <c r="L684" s="10" t="n"/>
      <c r="M684" s="3">
        <f>IF($A684="","",IFERROR(INDEX('AJUSTES'!$B$4:$B$303,MATCH($AN684,'AJUSTES'!$A$4:$A$303,0)),IF($K684="","",$K684)))</f>
        <v/>
      </c>
      <c r="N684" s="3">
        <f>IF($A684="","",IFERROR(INDEX('CAT_ESTADOS_ERP'!$B$4:$B$7,MATCH(IFERROR(INDEX('2_IMPORTAR_EJECUCION'!$C$9:$C$1208,MATCH($AN684,'2_IMPORTAR_EJECUCION'!$J$9:$J$1208,0)),""),'CAT_ESTADOS_ERP'!$A$4:$A$7,0)),"Pendiente"))</f>
        <v/>
      </c>
      <c r="O684" s="3">
        <f>IF($J684="","",YEAR($J684+4-WEEKDAY($J684,2))&amp;"-S"&amp;TEXT(_xlfn.ISOWEEKNUM($J684),"00"))</f>
        <v/>
      </c>
      <c r="P684" s="3">
        <f>IF($J684="","",YEAR($J684))</f>
        <v/>
      </c>
      <c r="Q684" s="3">
        <f>IF($J684="","",MONTH($J684))</f>
        <v/>
      </c>
      <c r="R684" s="3">
        <f>IF($J684="","",INDEX(lista_dias,WEEKDAY($J684,2)))</f>
        <v/>
      </c>
      <c r="S684" s="3">
        <f>IF($I684="","",IFERROR(INDEX('CAT_TIPOS_OT'!$C$4:$C$7,MATCH($I684,'CAT_TIPOS_OT'!$A$4:$A$7,0)),"sin_clasificar"))</f>
        <v/>
      </c>
      <c r="T684" s="3">
        <f>IF($F684="","",IFERROR(INDEX('CAT_CENTROS_COSTO'!$E$4:$E$9,MATCH($F684,'CAT_CENTROS_COSTO'!$A$4:$A$9,0)),"(sin catálogo)"))</f>
        <v/>
      </c>
      <c r="U684" s="3">
        <f>IF($F684="","",IFERROR(INDEX('CAT_CENTROS_COSTO'!$D$4:$D$9,MATCH($F684,'CAT_CENTROS_COSTO'!$A$4:$A$9,0)),"(sin catálogo)"))</f>
        <v/>
      </c>
      <c r="V684" s="3">
        <f>IF($F684="","",IFERROR(INDEX('CAT_CENTROS_COSTO'!$F$4:$F$9,MATCH($F684,'CAT_CENTROS_COSTO'!$A$4:$A$9,0)),"(sin catálogo)"))</f>
        <v/>
      </c>
      <c r="W684" s="3">
        <f>IF($G684="","",IFERROR(INDEX('CAT_PUESTOS'!$B$4:$B$8,MATCH($G684,'CAT_PUESTOS'!$A$4:$A$8,0)),"(sin catálogo)"))</f>
        <v/>
      </c>
      <c r="X684" s="3">
        <f>IF($H684="","",IFERROR(INDEX('CAT_ACTIVIDADES'!$B$4:$B$8,MATCH($H684,'CAT_ACTIVIDADES'!$A$4:$A$8,0)),"(sin catálogo)"))</f>
        <v/>
      </c>
      <c r="Y684" s="12">
        <f>IF($J684="","",TODAY()-$J684)</f>
        <v/>
      </c>
      <c r="Z684" s="3">
        <f>IF($Y684="","",IF($Y684&lt;0,"FUTURO",IF($Y684&gt;p_dias_backlog_max,"BACKLOG","MES CORRIENTE")))</f>
        <v/>
      </c>
      <c r="AA684" s="3">
        <f>IF($Y684="",FALSE,AND($Y684&gt;p_dias_backlog_min,$Y684&lt;=p_dias_backlog_max))</f>
        <v/>
      </c>
      <c r="AB684" s="6" t="n"/>
      <c r="AC684" s="3">
        <f>IF($AB684="","",IFERROR(INDEX('ASIGNACIONES'!$F$4:$F$339,MATCH($O684&amp;"|"&amp;$R684&amp;"|"&amp;$AB684,'ASIGNACIONES'!$I$4:$I$339,0)),""))</f>
        <v/>
      </c>
      <c r="AD684" s="13">
        <f>IF($AB684="","",SUMIFS('ORDENES'!$M$4:$M$1203,'ORDENES'!$AB$4:$AB$1203,$AB684,'ORDENES'!$O$4:$O$1203,$O684,'ORDENES'!$R$4:$R$1203,$R684))</f>
        <v/>
      </c>
      <c r="AE684" s="13">
        <f>IF($AD684="","",p_factor_productividad*IFERROR(INDEX('ASIGNACIONES'!$H$4:$H$339,MATCH($O684&amp;"|"&amp;$R684&amp;"|"&amp;$AB684,'ASIGNACIONES'!$I$4:$I$339,0)),0)-$AD684)</f>
        <v/>
      </c>
      <c r="AF684" s="10">
        <f>IF($A684="","",IFERROR(INDEX('2_IMPORTAR_EJECUCION'!$F$9:$F$1208,MATCH($AN684,'2_IMPORTAR_EJECUCION'!$J$9:$J$1208,0)),0))</f>
        <v/>
      </c>
      <c r="AG684" s="10">
        <f>IF($A684="","",MAX(0,IFERROR(INDEX('2_IMPORTAR_EJECUCION'!$H$9:$H$1208,MATCH($AN684,'2_IMPORTAR_EJECUCION'!$J$9:$J$1208,0)),0)-$AF684))</f>
        <v/>
      </c>
      <c r="AH684" s="10">
        <f>IF($A684="","",$AF684+$AG684)</f>
        <v/>
      </c>
      <c r="AI684" s="6" t="n"/>
      <c r="AJ684" s="6" t="n"/>
      <c r="AK684" s="6" t="n"/>
      <c r="AL684" s="3">
        <f>IF($AK684="","",HYPERLINK(p_ruta_base_checklists&amp;$AK684,"abrir"))</f>
        <v/>
      </c>
      <c r="AM684" s="6" t="n"/>
      <c r="AN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1" t="n"/>
      <c r="K685" s="3" t="n"/>
      <c r="L685" s="10" t="n"/>
      <c r="M685" s="3">
        <f>IF($A685="","",IFERROR(INDEX('AJUSTES'!$B$4:$B$303,MATCH($AN685,'AJUSTES'!$A$4:$A$303,0)),IF($K685="","",$K685)))</f>
        <v/>
      </c>
      <c r="N685" s="3">
        <f>IF($A685="","",IFERROR(INDEX('CAT_ESTADOS_ERP'!$B$4:$B$7,MATCH(IFERROR(INDEX('2_IMPORTAR_EJECUCION'!$C$9:$C$1208,MATCH($AN685,'2_IMPORTAR_EJECUCION'!$J$9:$J$1208,0)),""),'CAT_ESTADOS_ERP'!$A$4:$A$7,0)),"Pendiente"))</f>
        <v/>
      </c>
      <c r="O685" s="3">
        <f>IF($J685="","",YEAR($J685+4-WEEKDAY($J685,2))&amp;"-S"&amp;TEXT(_xlfn.ISOWEEKNUM($J685),"00"))</f>
        <v/>
      </c>
      <c r="P685" s="3">
        <f>IF($J685="","",YEAR($J685))</f>
        <v/>
      </c>
      <c r="Q685" s="3">
        <f>IF($J685="","",MONTH($J685))</f>
        <v/>
      </c>
      <c r="R685" s="3">
        <f>IF($J685="","",INDEX(lista_dias,WEEKDAY($J685,2)))</f>
        <v/>
      </c>
      <c r="S685" s="3">
        <f>IF($I685="","",IFERROR(INDEX('CAT_TIPOS_OT'!$C$4:$C$7,MATCH($I685,'CAT_TIPOS_OT'!$A$4:$A$7,0)),"sin_clasificar"))</f>
        <v/>
      </c>
      <c r="T685" s="3">
        <f>IF($F685="","",IFERROR(INDEX('CAT_CENTROS_COSTO'!$E$4:$E$9,MATCH($F685,'CAT_CENTROS_COSTO'!$A$4:$A$9,0)),"(sin catálogo)"))</f>
        <v/>
      </c>
      <c r="U685" s="3">
        <f>IF($F685="","",IFERROR(INDEX('CAT_CENTROS_COSTO'!$D$4:$D$9,MATCH($F685,'CAT_CENTROS_COSTO'!$A$4:$A$9,0)),"(sin catálogo)"))</f>
        <v/>
      </c>
      <c r="V685" s="3">
        <f>IF($F685="","",IFERROR(INDEX('CAT_CENTROS_COSTO'!$F$4:$F$9,MATCH($F685,'CAT_CENTROS_COSTO'!$A$4:$A$9,0)),"(sin catálogo)"))</f>
        <v/>
      </c>
      <c r="W685" s="3">
        <f>IF($G685="","",IFERROR(INDEX('CAT_PUESTOS'!$B$4:$B$8,MATCH($G685,'CAT_PUESTOS'!$A$4:$A$8,0)),"(sin catálogo)"))</f>
        <v/>
      </c>
      <c r="X685" s="3">
        <f>IF($H685="","",IFERROR(INDEX('CAT_ACTIVIDADES'!$B$4:$B$8,MATCH($H685,'CAT_ACTIVIDADES'!$A$4:$A$8,0)),"(sin catálogo)"))</f>
        <v/>
      </c>
      <c r="Y685" s="12">
        <f>IF($J685="","",TODAY()-$J685)</f>
        <v/>
      </c>
      <c r="Z685" s="3">
        <f>IF($Y685="","",IF($Y685&lt;0,"FUTURO",IF($Y685&gt;p_dias_backlog_max,"BACKLOG","MES CORRIENTE")))</f>
        <v/>
      </c>
      <c r="AA685" s="3">
        <f>IF($Y685="",FALSE,AND($Y685&gt;p_dias_backlog_min,$Y685&lt;=p_dias_backlog_max))</f>
        <v/>
      </c>
      <c r="AB685" s="6" t="n"/>
      <c r="AC685" s="3">
        <f>IF($AB685="","",IFERROR(INDEX('ASIGNACIONES'!$F$4:$F$339,MATCH($O685&amp;"|"&amp;$R685&amp;"|"&amp;$AB685,'ASIGNACIONES'!$I$4:$I$339,0)),""))</f>
        <v/>
      </c>
      <c r="AD685" s="13">
        <f>IF($AB685="","",SUMIFS('ORDENES'!$M$4:$M$1203,'ORDENES'!$AB$4:$AB$1203,$AB685,'ORDENES'!$O$4:$O$1203,$O685,'ORDENES'!$R$4:$R$1203,$R685))</f>
        <v/>
      </c>
      <c r="AE685" s="13">
        <f>IF($AD685="","",p_factor_productividad*IFERROR(INDEX('ASIGNACIONES'!$H$4:$H$339,MATCH($O685&amp;"|"&amp;$R685&amp;"|"&amp;$AB685,'ASIGNACIONES'!$I$4:$I$339,0)),0)-$AD685)</f>
        <v/>
      </c>
      <c r="AF685" s="10">
        <f>IF($A685="","",IFERROR(INDEX('2_IMPORTAR_EJECUCION'!$F$9:$F$1208,MATCH($AN685,'2_IMPORTAR_EJECUCION'!$J$9:$J$1208,0)),0))</f>
        <v/>
      </c>
      <c r="AG685" s="10">
        <f>IF($A685="","",MAX(0,IFERROR(INDEX('2_IMPORTAR_EJECUCION'!$H$9:$H$1208,MATCH($AN685,'2_IMPORTAR_EJECUCION'!$J$9:$J$1208,0)),0)-$AF685))</f>
        <v/>
      </c>
      <c r="AH685" s="10">
        <f>IF($A685="","",$AF685+$AG685)</f>
        <v/>
      </c>
      <c r="AI685" s="6" t="n"/>
      <c r="AJ685" s="6" t="n"/>
      <c r="AK685" s="6" t="n"/>
      <c r="AL685" s="3">
        <f>IF($AK685="","",HYPERLINK(p_ruta_base_checklists&amp;$AK685,"abrir"))</f>
        <v/>
      </c>
      <c r="AM685" s="6" t="n"/>
      <c r="AN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1" t="n"/>
      <c r="K686" s="3" t="n"/>
      <c r="L686" s="10" t="n"/>
      <c r="M686" s="3">
        <f>IF($A686="","",IFERROR(INDEX('AJUSTES'!$B$4:$B$303,MATCH($AN686,'AJUSTES'!$A$4:$A$303,0)),IF($K686="","",$K686)))</f>
        <v/>
      </c>
      <c r="N686" s="3">
        <f>IF($A686="","",IFERROR(INDEX('CAT_ESTADOS_ERP'!$B$4:$B$7,MATCH(IFERROR(INDEX('2_IMPORTAR_EJECUCION'!$C$9:$C$1208,MATCH($AN686,'2_IMPORTAR_EJECUCION'!$J$9:$J$1208,0)),""),'CAT_ESTADOS_ERP'!$A$4:$A$7,0)),"Pendiente"))</f>
        <v/>
      </c>
      <c r="O686" s="3">
        <f>IF($J686="","",YEAR($J686+4-WEEKDAY($J686,2))&amp;"-S"&amp;TEXT(_xlfn.ISOWEEKNUM($J686),"00"))</f>
        <v/>
      </c>
      <c r="P686" s="3">
        <f>IF($J686="","",YEAR($J686))</f>
        <v/>
      </c>
      <c r="Q686" s="3">
        <f>IF($J686="","",MONTH($J686))</f>
        <v/>
      </c>
      <c r="R686" s="3">
        <f>IF($J686="","",INDEX(lista_dias,WEEKDAY($J686,2)))</f>
        <v/>
      </c>
      <c r="S686" s="3">
        <f>IF($I686="","",IFERROR(INDEX('CAT_TIPOS_OT'!$C$4:$C$7,MATCH($I686,'CAT_TIPOS_OT'!$A$4:$A$7,0)),"sin_clasificar"))</f>
        <v/>
      </c>
      <c r="T686" s="3">
        <f>IF($F686="","",IFERROR(INDEX('CAT_CENTROS_COSTO'!$E$4:$E$9,MATCH($F686,'CAT_CENTROS_COSTO'!$A$4:$A$9,0)),"(sin catálogo)"))</f>
        <v/>
      </c>
      <c r="U686" s="3">
        <f>IF($F686="","",IFERROR(INDEX('CAT_CENTROS_COSTO'!$D$4:$D$9,MATCH($F686,'CAT_CENTROS_COSTO'!$A$4:$A$9,0)),"(sin catálogo)"))</f>
        <v/>
      </c>
      <c r="V686" s="3">
        <f>IF($F686="","",IFERROR(INDEX('CAT_CENTROS_COSTO'!$F$4:$F$9,MATCH($F686,'CAT_CENTROS_COSTO'!$A$4:$A$9,0)),"(sin catálogo)"))</f>
        <v/>
      </c>
      <c r="W686" s="3">
        <f>IF($G686="","",IFERROR(INDEX('CAT_PUESTOS'!$B$4:$B$8,MATCH($G686,'CAT_PUESTOS'!$A$4:$A$8,0)),"(sin catálogo)"))</f>
        <v/>
      </c>
      <c r="X686" s="3">
        <f>IF($H686="","",IFERROR(INDEX('CAT_ACTIVIDADES'!$B$4:$B$8,MATCH($H686,'CAT_ACTIVIDADES'!$A$4:$A$8,0)),"(sin catálogo)"))</f>
        <v/>
      </c>
      <c r="Y686" s="12">
        <f>IF($J686="","",TODAY()-$J686)</f>
        <v/>
      </c>
      <c r="Z686" s="3">
        <f>IF($Y686="","",IF($Y686&lt;0,"FUTURO",IF($Y686&gt;p_dias_backlog_max,"BACKLOG","MES CORRIENTE")))</f>
        <v/>
      </c>
      <c r="AA686" s="3">
        <f>IF($Y686="",FALSE,AND($Y686&gt;p_dias_backlog_min,$Y686&lt;=p_dias_backlog_max))</f>
        <v/>
      </c>
      <c r="AB686" s="6" t="n"/>
      <c r="AC686" s="3">
        <f>IF($AB686="","",IFERROR(INDEX('ASIGNACIONES'!$F$4:$F$339,MATCH($O686&amp;"|"&amp;$R686&amp;"|"&amp;$AB686,'ASIGNACIONES'!$I$4:$I$339,0)),""))</f>
        <v/>
      </c>
      <c r="AD686" s="13">
        <f>IF($AB686="","",SUMIFS('ORDENES'!$M$4:$M$1203,'ORDENES'!$AB$4:$AB$1203,$AB686,'ORDENES'!$O$4:$O$1203,$O686,'ORDENES'!$R$4:$R$1203,$R686))</f>
        <v/>
      </c>
      <c r="AE686" s="13">
        <f>IF($AD686="","",p_factor_productividad*IFERROR(INDEX('ASIGNACIONES'!$H$4:$H$339,MATCH($O686&amp;"|"&amp;$R686&amp;"|"&amp;$AB686,'ASIGNACIONES'!$I$4:$I$339,0)),0)-$AD686)</f>
        <v/>
      </c>
      <c r="AF686" s="10">
        <f>IF($A686="","",IFERROR(INDEX('2_IMPORTAR_EJECUCION'!$F$9:$F$1208,MATCH($AN686,'2_IMPORTAR_EJECUCION'!$J$9:$J$1208,0)),0))</f>
        <v/>
      </c>
      <c r="AG686" s="10">
        <f>IF($A686="","",MAX(0,IFERROR(INDEX('2_IMPORTAR_EJECUCION'!$H$9:$H$1208,MATCH($AN686,'2_IMPORTAR_EJECUCION'!$J$9:$J$1208,0)),0)-$AF686))</f>
        <v/>
      </c>
      <c r="AH686" s="10">
        <f>IF($A686="","",$AF686+$AG686)</f>
        <v/>
      </c>
      <c r="AI686" s="6" t="n"/>
      <c r="AJ686" s="6" t="n"/>
      <c r="AK686" s="6" t="n"/>
      <c r="AL686" s="3">
        <f>IF($AK686="","",HYPERLINK(p_ruta_base_checklists&amp;$AK686,"abrir"))</f>
        <v/>
      </c>
      <c r="AM686" s="6" t="n"/>
      <c r="AN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1" t="n"/>
      <c r="K687" s="3" t="n"/>
      <c r="L687" s="10" t="n"/>
      <c r="M687" s="3">
        <f>IF($A687="","",IFERROR(INDEX('AJUSTES'!$B$4:$B$303,MATCH($AN687,'AJUSTES'!$A$4:$A$303,0)),IF($K687="","",$K687)))</f>
        <v/>
      </c>
      <c r="N687" s="3">
        <f>IF($A687="","",IFERROR(INDEX('CAT_ESTADOS_ERP'!$B$4:$B$7,MATCH(IFERROR(INDEX('2_IMPORTAR_EJECUCION'!$C$9:$C$1208,MATCH($AN687,'2_IMPORTAR_EJECUCION'!$J$9:$J$1208,0)),""),'CAT_ESTADOS_ERP'!$A$4:$A$7,0)),"Pendiente"))</f>
        <v/>
      </c>
      <c r="O687" s="3">
        <f>IF($J687="","",YEAR($J687+4-WEEKDAY($J687,2))&amp;"-S"&amp;TEXT(_xlfn.ISOWEEKNUM($J687),"00"))</f>
        <v/>
      </c>
      <c r="P687" s="3">
        <f>IF($J687="","",YEAR($J687))</f>
        <v/>
      </c>
      <c r="Q687" s="3">
        <f>IF($J687="","",MONTH($J687))</f>
        <v/>
      </c>
      <c r="R687" s="3">
        <f>IF($J687="","",INDEX(lista_dias,WEEKDAY($J687,2)))</f>
        <v/>
      </c>
      <c r="S687" s="3">
        <f>IF($I687="","",IFERROR(INDEX('CAT_TIPOS_OT'!$C$4:$C$7,MATCH($I687,'CAT_TIPOS_OT'!$A$4:$A$7,0)),"sin_clasificar"))</f>
        <v/>
      </c>
      <c r="T687" s="3">
        <f>IF($F687="","",IFERROR(INDEX('CAT_CENTROS_COSTO'!$E$4:$E$9,MATCH($F687,'CAT_CENTROS_COSTO'!$A$4:$A$9,0)),"(sin catálogo)"))</f>
        <v/>
      </c>
      <c r="U687" s="3">
        <f>IF($F687="","",IFERROR(INDEX('CAT_CENTROS_COSTO'!$D$4:$D$9,MATCH($F687,'CAT_CENTROS_COSTO'!$A$4:$A$9,0)),"(sin catálogo)"))</f>
        <v/>
      </c>
      <c r="V687" s="3">
        <f>IF($F687="","",IFERROR(INDEX('CAT_CENTROS_COSTO'!$F$4:$F$9,MATCH($F687,'CAT_CENTROS_COSTO'!$A$4:$A$9,0)),"(sin catálogo)"))</f>
        <v/>
      </c>
      <c r="W687" s="3">
        <f>IF($G687="","",IFERROR(INDEX('CAT_PUESTOS'!$B$4:$B$8,MATCH($G687,'CAT_PUESTOS'!$A$4:$A$8,0)),"(sin catálogo)"))</f>
        <v/>
      </c>
      <c r="X687" s="3">
        <f>IF($H687="","",IFERROR(INDEX('CAT_ACTIVIDADES'!$B$4:$B$8,MATCH($H687,'CAT_ACTIVIDADES'!$A$4:$A$8,0)),"(sin catálogo)"))</f>
        <v/>
      </c>
      <c r="Y687" s="12">
        <f>IF($J687="","",TODAY()-$J687)</f>
        <v/>
      </c>
      <c r="Z687" s="3">
        <f>IF($Y687="","",IF($Y687&lt;0,"FUTURO",IF($Y687&gt;p_dias_backlog_max,"BACKLOG","MES CORRIENTE")))</f>
        <v/>
      </c>
      <c r="AA687" s="3">
        <f>IF($Y687="",FALSE,AND($Y687&gt;p_dias_backlog_min,$Y687&lt;=p_dias_backlog_max))</f>
        <v/>
      </c>
      <c r="AB687" s="6" t="n"/>
      <c r="AC687" s="3">
        <f>IF($AB687="","",IFERROR(INDEX('ASIGNACIONES'!$F$4:$F$339,MATCH($O687&amp;"|"&amp;$R687&amp;"|"&amp;$AB687,'ASIGNACIONES'!$I$4:$I$339,0)),""))</f>
        <v/>
      </c>
      <c r="AD687" s="13">
        <f>IF($AB687="","",SUMIFS('ORDENES'!$M$4:$M$1203,'ORDENES'!$AB$4:$AB$1203,$AB687,'ORDENES'!$O$4:$O$1203,$O687,'ORDENES'!$R$4:$R$1203,$R687))</f>
        <v/>
      </c>
      <c r="AE687" s="13">
        <f>IF($AD687="","",p_factor_productividad*IFERROR(INDEX('ASIGNACIONES'!$H$4:$H$339,MATCH($O687&amp;"|"&amp;$R687&amp;"|"&amp;$AB687,'ASIGNACIONES'!$I$4:$I$339,0)),0)-$AD687)</f>
        <v/>
      </c>
      <c r="AF687" s="10">
        <f>IF($A687="","",IFERROR(INDEX('2_IMPORTAR_EJECUCION'!$F$9:$F$1208,MATCH($AN687,'2_IMPORTAR_EJECUCION'!$J$9:$J$1208,0)),0))</f>
        <v/>
      </c>
      <c r="AG687" s="10">
        <f>IF($A687="","",MAX(0,IFERROR(INDEX('2_IMPORTAR_EJECUCION'!$H$9:$H$1208,MATCH($AN687,'2_IMPORTAR_EJECUCION'!$J$9:$J$1208,0)),0)-$AF687))</f>
        <v/>
      </c>
      <c r="AH687" s="10">
        <f>IF($A687="","",$AF687+$AG687)</f>
        <v/>
      </c>
      <c r="AI687" s="6" t="n"/>
      <c r="AJ687" s="6" t="n"/>
      <c r="AK687" s="6" t="n"/>
      <c r="AL687" s="3">
        <f>IF($AK687="","",HYPERLINK(p_ruta_base_checklists&amp;$AK687,"abrir"))</f>
        <v/>
      </c>
      <c r="AM687" s="6" t="n"/>
      <c r="AN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1" t="n"/>
      <c r="K688" s="3" t="n"/>
      <c r="L688" s="10" t="n"/>
      <c r="M688" s="3">
        <f>IF($A688="","",IFERROR(INDEX('AJUSTES'!$B$4:$B$303,MATCH($AN688,'AJUSTES'!$A$4:$A$303,0)),IF($K688="","",$K688)))</f>
        <v/>
      </c>
      <c r="N688" s="3">
        <f>IF($A688="","",IFERROR(INDEX('CAT_ESTADOS_ERP'!$B$4:$B$7,MATCH(IFERROR(INDEX('2_IMPORTAR_EJECUCION'!$C$9:$C$1208,MATCH($AN688,'2_IMPORTAR_EJECUCION'!$J$9:$J$1208,0)),""),'CAT_ESTADOS_ERP'!$A$4:$A$7,0)),"Pendiente"))</f>
        <v/>
      </c>
      <c r="O688" s="3">
        <f>IF($J688="","",YEAR($J688+4-WEEKDAY($J688,2))&amp;"-S"&amp;TEXT(_xlfn.ISOWEEKNUM($J688),"00"))</f>
        <v/>
      </c>
      <c r="P688" s="3">
        <f>IF($J688="","",YEAR($J688))</f>
        <v/>
      </c>
      <c r="Q688" s="3">
        <f>IF($J688="","",MONTH($J688))</f>
        <v/>
      </c>
      <c r="R688" s="3">
        <f>IF($J688="","",INDEX(lista_dias,WEEKDAY($J688,2)))</f>
        <v/>
      </c>
      <c r="S688" s="3">
        <f>IF($I688="","",IFERROR(INDEX('CAT_TIPOS_OT'!$C$4:$C$7,MATCH($I688,'CAT_TIPOS_OT'!$A$4:$A$7,0)),"sin_clasificar"))</f>
        <v/>
      </c>
      <c r="T688" s="3">
        <f>IF($F688="","",IFERROR(INDEX('CAT_CENTROS_COSTO'!$E$4:$E$9,MATCH($F688,'CAT_CENTROS_COSTO'!$A$4:$A$9,0)),"(sin catálogo)"))</f>
        <v/>
      </c>
      <c r="U688" s="3">
        <f>IF($F688="","",IFERROR(INDEX('CAT_CENTROS_COSTO'!$D$4:$D$9,MATCH($F688,'CAT_CENTROS_COSTO'!$A$4:$A$9,0)),"(sin catálogo)"))</f>
        <v/>
      </c>
      <c r="V688" s="3">
        <f>IF($F688="","",IFERROR(INDEX('CAT_CENTROS_COSTO'!$F$4:$F$9,MATCH($F688,'CAT_CENTROS_COSTO'!$A$4:$A$9,0)),"(sin catálogo)"))</f>
        <v/>
      </c>
      <c r="W688" s="3">
        <f>IF($G688="","",IFERROR(INDEX('CAT_PUESTOS'!$B$4:$B$8,MATCH($G688,'CAT_PUESTOS'!$A$4:$A$8,0)),"(sin catálogo)"))</f>
        <v/>
      </c>
      <c r="X688" s="3">
        <f>IF($H688="","",IFERROR(INDEX('CAT_ACTIVIDADES'!$B$4:$B$8,MATCH($H688,'CAT_ACTIVIDADES'!$A$4:$A$8,0)),"(sin catálogo)"))</f>
        <v/>
      </c>
      <c r="Y688" s="12">
        <f>IF($J688="","",TODAY()-$J688)</f>
        <v/>
      </c>
      <c r="Z688" s="3">
        <f>IF($Y688="","",IF($Y688&lt;0,"FUTURO",IF($Y688&gt;p_dias_backlog_max,"BACKLOG","MES CORRIENTE")))</f>
        <v/>
      </c>
      <c r="AA688" s="3">
        <f>IF($Y688="",FALSE,AND($Y688&gt;p_dias_backlog_min,$Y688&lt;=p_dias_backlog_max))</f>
        <v/>
      </c>
      <c r="AB688" s="6" t="n"/>
      <c r="AC688" s="3">
        <f>IF($AB688="","",IFERROR(INDEX('ASIGNACIONES'!$F$4:$F$339,MATCH($O688&amp;"|"&amp;$R688&amp;"|"&amp;$AB688,'ASIGNACIONES'!$I$4:$I$339,0)),""))</f>
        <v/>
      </c>
      <c r="AD688" s="13">
        <f>IF($AB688="","",SUMIFS('ORDENES'!$M$4:$M$1203,'ORDENES'!$AB$4:$AB$1203,$AB688,'ORDENES'!$O$4:$O$1203,$O688,'ORDENES'!$R$4:$R$1203,$R688))</f>
        <v/>
      </c>
      <c r="AE688" s="13">
        <f>IF($AD688="","",p_factor_productividad*IFERROR(INDEX('ASIGNACIONES'!$H$4:$H$339,MATCH($O688&amp;"|"&amp;$R688&amp;"|"&amp;$AB688,'ASIGNACIONES'!$I$4:$I$339,0)),0)-$AD688)</f>
        <v/>
      </c>
      <c r="AF688" s="10">
        <f>IF($A688="","",IFERROR(INDEX('2_IMPORTAR_EJECUCION'!$F$9:$F$1208,MATCH($AN688,'2_IMPORTAR_EJECUCION'!$J$9:$J$1208,0)),0))</f>
        <v/>
      </c>
      <c r="AG688" s="10">
        <f>IF($A688="","",MAX(0,IFERROR(INDEX('2_IMPORTAR_EJECUCION'!$H$9:$H$1208,MATCH($AN688,'2_IMPORTAR_EJECUCION'!$J$9:$J$1208,0)),0)-$AF688))</f>
        <v/>
      </c>
      <c r="AH688" s="10">
        <f>IF($A688="","",$AF688+$AG688)</f>
        <v/>
      </c>
      <c r="AI688" s="6" t="n"/>
      <c r="AJ688" s="6" t="n"/>
      <c r="AK688" s="6" t="n"/>
      <c r="AL688" s="3">
        <f>IF($AK688="","",HYPERLINK(p_ruta_base_checklists&amp;$AK688,"abrir"))</f>
        <v/>
      </c>
      <c r="AM688" s="6" t="n"/>
      <c r="AN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1" t="n"/>
      <c r="K689" s="3" t="n"/>
      <c r="L689" s="10" t="n"/>
      <c r="M689" s="3">
        <f>IF($A689="","",IFERROR(INDEX('AJUSTES'!$B$4:$B$303,MATCH($AN689,'AJUSTES'!$A$4:$A$303,0)),IF($K689="","",$K689)))</f>
        <v/>
      </c>
      <c r="N689" s="3">
        <f>IF($A689="","",IFERROR(INDEX('CAT_ESTADOS_ERP'!$B$4:$B$7,MATCH(IFERROR(INDEX('2_IMPORTAR_EJECUCION'!$C$9:$C$1208,MATCH($AN689,'2_IMPORTAR_EJECUCION'!$J$9:$J$1208,0)),""),'CAT_ESTADOS_ERP'!$A$4:$A$7,0)),"Pendiente"))</f>
        <v/>
      </c>
      <c r="O689" s="3">
        <f>IF($J689="","",YEAR($J689+4-WEEKDAY($J689,2))&amp;"-S"&amp;TEXT(_xlfn.ISOWEEKNUM($J689),"00"))</f>
        <v/>
      </c>
      <c r="P689" s="3">
        <f>IF($J689="","",YEAR($J689))</f>
        <v/>
      </c>
      <c r="Q689" s="3">
        <f>IF($J689="","",MONTH($J689))</f>
        <v/>
      </c>
      <c r="R689" s="3">
        <f>IF($J689="","",INDEX(lista_dias,WEEKDAY($J689,2)))</f>
        <v/>
      </c>
      <c r="S689" s="3">
        <f>IF($I689="","",IFERROR(INDEX('CAT_TIPOS_OT'!$C$4:$C$7,MATCH($I689,'CAT_TIPOS_OT'!$A$4:$A$7,0)),"sin_clasificar"))</f>
        <v/>
      </c>
      <c r="T689" s="3">
        <f>IF($F689="","",IFERROR(INDEX('CAT_CENTROS_COSTO'!$E$4:$E$9,MATCH($F689,'CAT_CENTROS_COSTO'!$A$4:$A$9,0)),"(sin catálogo)"))</f>
        <v/>
      </c>
      <c r="U689" s="3">
        <f>IF($F689="","",IFERROR(INDEX('CAT_CENTROS_COSTO'!$D$4:$D$9,MATCH($F689,'CAT_CENTROS_COSTO'!$A$4:$A$9,0)),"(sin catálogo)"))</f>
        <v/>
      </c>
      <c r="V689" s="3">
        <f>IF($F689="","",IFERROR(INDEX('CAT_CENTROS_COSTO'!$F$4:$F$9,MATCH($F689,'CAT_CENTROS_COSTO'!$A$4:$A$9,0)),"(sin catálogo)"))</f>
        <v/>
      </c>
      <c r="W689" s="3">
        <f>IF($G689="","",IFERROR(INDEX('CAT_PUESTOS'!$B$4:$B$8,MATCH($G689,'CAT_PUESTOS'!$A$4:$A$8,0)),"(sin catálogo)"))</f>
        <v/>
      </c>
      <c r="X689" s="3">
        <f>IF($H689="","",IFERROR(INDEX('CAT_ACTIVIDADES'!$B$4:$B$8,MATCH($H689,'CAT_ACTIVIDADES'!$A$4:$A$8,0)),"(sin catálogo)"))</f>
        <v/>
      </c>
      <c r="Y689" s="12">
        <f>IF($J689="","",TODAY()-$J689)</f>
        <v/>
      </c>
      <c r="Z689" s="3">
        <f>IF($Y689="","",IF($Y689&lt;0,"FUTURO",IF($Y689&gt;p_dias_backlog_max,"BACKLOG","MES CORRIENTE")))</f>
        <v/>
      </c>
      <c r="AA689" s="3">
        <f>IF($Y689="",FALSE,AND($Y689&gt;p_dias_backlog_min,$Y689&lt;=p_dias_backlog_max))</f>
        <v/>
      </c>
      <c r="AB689" s="6" t="n"/>
      <c r="AC689" s="3">
        <f>IF($AB689="","",IFERROR(INDEX('ASIGNACIONES'!$F$4:$F$339,MATCH($O689&amp;"|"&amp;$R689&amp;"|"&amp;$AB689,'ASIGNACIONES'!$I$4:$I$339,0)),""))</f>
        <v/>
      </c>
      <c r="AD689" s="13">
        <f>IF($AB689="","",SUMIFS('ORDENES'!$M$4:$M$1203,'ORDENES'!$AB$4:$AB$1203,$AB689,'ORDENES'!$O$4:$O$1203,$O689,'ORDENES'!$R$4:$R$1203,$R689))</f>
        <v/>
      </c>
      <c r="AE689" s="13">
        <f>IF($AD689="","",p_factor_productividad*IFERROR(INDEX('ASIGNACIONES'!$H$4:$H$339,MATCH($O689&amp;"|"&amp;$R689&amp;"|"&amp;$AB689,'ASIGNACIONES'!$I$4:$I$339,0)),0)-$AD689)</f>
        <v/>
      </c>
      <c r="AF689" s="10">
        <f>IF($A689="","",IFERROR(INDEX('2_IMPORTAR_EJECUCION'!$F$9:$F$1208,MATCH($AN689,'2_IMPORTAR_EJECUCION'!$J$9:$J$1208,0)),0))</f>
        <v/>
      </c>
      <c r="AG689" s="10">
        <f>IF($A689="","",MAX(0,IFERROR(INDEX('2_IMPORTAR_EJECUCION'!$H$9:$H$1208,MATCH($AN689,'2_IMPORTAR_EJECUCION'!$J$9:$J$1208,0)),0)-$AF689))</f>
        <v/>
      </c>
      <c r="AH689" s="10">
        <f>IF($A689="","",$AF689+$AG689)</f>
        <v/>
      </c>
      <c r="AI689" s="6" t="n"/>
      <c r="AJ689" s="6" t="n"/>
      <c r="AK689" s="6" t="n"/>
      <c r="AL689" s="3">
        <f>IF($AK689="","",HYPERLINK(p_ruta_base_checklists&amp;$AK689,"abrir"))</f>
        <v/>
      </c>
      <c r="AM689" s="6" t="n"/>
      <c r="AN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1" t="n"/>
      <c r="K690" s="3" t="n"/>
      <c r="L690" s="10" t="n"/>
      <c r="M690" s="3">
        <f>IF($A690="","",IFERROR(INDEX('AJUSTES'!$B$4:$B$303,MATCH($AN690,'AJUSTES'!$A$4:$A$303,0)),IF($K690="","",$K690)))</f>
        <v/>
      </c>
      <c r="N690" s="3">
        <f>IF($A690="","",IFERROR(INDEX('CAT_ESTADOS_ERP'!$B$4:$B$7,MATCH(IFERROR(INDEX('2_IMPORTAR_EJECUCION'!$C$9:$C$1208,MATCH($AN690,'2_IMPORTAR_EJECUCION'!$J$9:$J$1208,0)),""),'CAT_ESTADOS_ERP'!$A$4:$A$7,0)),"Pendiente"))</f>
        <v/>
      </c>
      <c r="O690" s="3">
        <f>IF($J690="","",YEAR($J690+4-WEEKDAY($J690,2))&amp;"-S"&amp;TEXT(_xlfn.ISOWEEKNUM($J690),"00"))</f>
        <v/>
      </c>
      <c r="P690" s="3">
        <f>IF($J690="","",YEAR($J690))</f>
        <v/>
      </c>
      <c r="Q690" s="3">
        <f>IF($J690="","",MONTH($J690))</f>
        <v/>
      </c>
      <c r="R690" s="3">
        <f>IF($J690="","",INDEX(lista_dias,WEEKDAY($J690,2)))</f>
        <v/>
      </c>
      <c r="S690" s="3">
        <f>IF($I690="","",IFERROR(INDEX('CAT_TIPOS_OT'!$C$4:$C$7,MATCH($I690,'CAT_TIPOS_OT'!$A$4:$A$7,0)),"sin_clasificar"))</f>
        <v/>
      </c>
      <c r="T690" s="3">
        <f>IF($F690="","",IFERROR(INDEX('CAT_CENTROS_COSTO'!$E$4:$E$9,MATCH($F690,'CAT_CENTROS_COSTO'!$A$4:$A$9,0)),"(sin catálogo)"))</f>
        <v/>
      </c>
      <c r="U690" s="3">
        <f>IF($F690="","",IFERROR(INDEX('CAT_CENTROS_COSTO'!$D$4:$D$9,MATCH($F690,'CAT_CENTROS_COSTO'!$A$4:$A$9,0)),"(sin catálogo)"))</f>
        <v/>
      </c>
      <c r="V690" s="3">
        <f>IF($F690="","",IFERROR(INDEX('CAT_CENTROS_COSTO'!$F$4:$F$9,MATCH($F690,'CAT_CENTROS_COSTO'!$A$4:$A$9,0)),"(sin catálogo)"))</f>
        <v/>
      </c>
      <c r="W690" s="3">
        <f>IF($G690="","",IFERROR(INDEX('CAT_PUESTOS'!$B$4:$B$8,MATCH($G690,'CAT_PUESTOS'!$A$4:$A$8,0)),"(sin catálogo)"))</f>
        <v/>
      </c>
      <c r="X690" s="3">
        <f>IF($H690="","",IFERROR(INDEX('CAT_ACTIVIDADES'!$B$4:$B$8,MATCH($H690,'CAT_ACTIVIDADES'!$A$4:$A$8,0)),"(sin catálogo)"))</f>
        <v/>
      </c>
      <c r="Y690" s="12">
        <f>IF($J690="","",TODAY()-$J690)</f>
        <v/>
      </c>
      <c r="Z690" s="3">
        <f>IF($Y690="","",IF($Y690&lt;0,"FUTURO",IF($Y690&gt;p_dias_backlog_max,"BACKLOG","MES CORRIENTE")))</f>
        <v/>
      </c>
      <c r="AA690" s="3">
        <f>IF($Y690="",FALSE,AND($Y690&gt;p_dias_backlog_min,$Y690&lt;=p_dias_backlog_max))</f>
        <v/>
      </c>
      <c r="AB690" s="6" t="n"/>
      <c r="AC690" s="3">
        <f>IF($AB690="","",IFERROR(INDEX('ASIGNACIONES'!$F$4:$F$339,MATCH($O690&amp;"|"&amp;$R690&amp;"|"&amp;$AB690,'ASIGNACIONES'!$I$4:$I$339,0)),""))</f>
        <v/>
      </c>
      <c r="AD690" s="13">
        <f>IF($AB690="","",SUMIFS('ORDENES'!$M$4:$M$1203,'ORDENES'!$AB$4:$AB$1203,$AB690,'ORDENES'!$O$4:$O$1203,$O690,'ORDENES'!$R$4:$R$1203,$R690))</f>
        <v/>
      </c>
      <c r="AE690" s="13">
        <f>IF($AD690="","",p_factor_productividad*IFERROR(INDEX('ASIGNACIONES'!$H$4:$H$339,MATCH($O690&amp;"|"&amp;$R690&amp;"|"&amp;$AB690,'ASIGNACIONES'!$I$4:$I$339,0)),0)-$AD690)</f>
        <v/>
      </c>
      <c r="AF690" s="10">
        <f>IF($A690="","",IFERROR(INDEX('2_IMPORTAR_EJECUCION'!$F$9:$F$1208,MATCH($AN690,'2_IMPORTAR_EJECUCION'!$J$9:$J$1208,0)),0))</f>
        <v/>
      </c>
      <c r="AG690" s="10">
        <f>IF($A690="","",MAX(0,IFERROR(INDEX('2_IMPORTAR_EJECUCION'!$H$9:$H$1208,MATCH($AN690,'2_IMPORTAR_EJECUCION'!$J$9:$J$1208,0)),0)-$AF690))</f>
        <v/>
      </c>
      <c r="AH690" s="10">
        <f>IF($A690="","",$AF690+$AG690)</f>
        <v/>
      </c>
      <c r="AI690" s="6" t="n"/>
      <c r="AJ690" s="6" t="n"/>
      <c r="AK690" s="6" t="n"/>
      <c r="AL690" s="3">
        <f>IF($AK690="","",HYPERLINK(p_ruta_base_checklists&amp;$AK690,"abrir"))</f>
        <v/>
      </c>
      <c r="AM690" s="6" t="n"/>
      <c r="AN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1" t="n"/>
      <c r="K691" s="3" t="n"/>
      <c r="L691" s="10" t="n"/>
      <c r="M691" s="3">
        <f>IF($A691="","",IFERROR(INDEX('AJUSTES'!$B$4:$B$303,MATCH($AN691,'AJUSTES'!$A$4:$A$303,0)),IF($K691="","",$K691)))</f>
        <v/>
      </c>
      <c r="N691" s="3">
        <f>IF($A691="","",IFERROR(INDEX('CAT_ESTADOS_ERP'!$B$4:$B$7,MATCH(IFERROR(INDEX('2_IMPORTAR_EJECUCION'!$C$9:$C$1208,MATCH($AN691,'2_IMPORTAR_EJECUCION'!$J$9:$J$1208,0)),""),'CAT_ESTADOS_ERP'!$A$4:$A$7,0)),"Pendiente"))</f>
        <v/>
      </c>
      <c r="O691" s="3">
        <f>IF($J691="","",YEAR($J691+4-WEEKDAY($J691,2))&amp;"-S"&amp;TEXT(_xlfn.ISOWEEKNUM($J691),"00"))</f>
        <v/>
      </c>
      <c r="P691" s="3">
        <f>IF($J691="","",YEAR($J691))</f>
        <v/>
      </c>
      <c r="Q691" s="3">
        <f>IF($J691="","",MONTH($J691))</f>
        <v/>
      </c>
      <c r="R691" s="3">
        <f>IF($J691="","",INDEX(lista_dias,WEEKDAY($J691,2)))</f>
        <v/>
      </c>
      <c r="S691" s="3">
        <f>IF($I691="","",IFERROR(INDEX('CAT_TIPOS_OT'!$C$4:$C$7,MATCH($I691,'CAT_TIPOS_OT'!$A$4:$A$7,0)),"sin_clasificar"))</f>
        <v/>
      </c>
      <c r="T691" s="3">
        <f>IF($F691="","",IFERROR(INDEX('CAT_CENTROS_COSTO'!$E$4:$E$9,MATCH($F691,'CAT_CENTROS_COSTO'!$A$4:$A$9,0)),"(sin catálogo)"))</f>
        <v/>
      </c>
      <c r="U691" s="3">
        <f>IF($F691="","",IFERROR(INDEX('CAT_CENTROS_COSTO'!$D$4:$D$9,MATCH($F691,'CAT_CENTROS_COSTO'!$A$4:$A$9,0)),"(sin catálogo)"))</f>
        <v/>
      </c>
      <c r="V691" s="3">
        <f>IF($F691="","",IFERROR(INDEX('CAT_CENTROS_COSTO'!$F$4:$F$9,MATCH($F691,'CAT_CENTROS_COSTO'!$A$4:$A$9,0)),"(sin catálogo)"))</f>
        <v/>
      </c>
      <c r="W691" s="3">
        <f>IF($G691="","",IFERROR(INDEX('CAT_PUESTOS'!$B$4:$B$8,MATCH($G691,'CAT_PUESTOS'!$A$4:$A$8,0)),"(sin catálogo)"))</f>
        <v/>
      </c>
      <c r="X691" s="3">
        <f>IF($H691="","",IFERROR(INDEX('CAT_ACTIVIDADES'!$B$4:$B$8,MATCH($H691,'CAT_ACTIVIDADES'!$A$4:$A$8,0)),"(sin catálogo)"))</f>
        <v/>
      </c>
      <c r="Y691" s="12">
        <f>IF($J691="","",TODAY()-$J691)</f>
        <v/>
      </c>
      <c r="Z691" s="3">
        <f>IF($Y691="","",IF($Y691&lt;0,"FUTURO",IF($Y691&gt;p_dias_backlog_max,"BACKLOG","MES CORRIENTE")))</f>
        <v/>
      </c>
      <c r="AA691" s="3">
        <f>IF($Y691="",FALSE,AND($Y691&gt;p_dias_backlog_min,$Y691&lt;=p_dias_backlog_max))</f>
        <v/>
      </c>
      <c r="AB691" s="6" t="n"/>
      <c r="AC691" s="3">
        <f>IF($AB691="","",IFERROR(INDEX('ASIGNACIONES'!$F$4:$F$339,MATCH($O691&amp;"|"&amp;$R691&amp;"|"&amp;$AB691,'ASIGNACIONES'!$I$4:$I$339,0)),""))</f>
        <v/>
      </c>
      <c r="AD691" s="13">
        <f>IF($AB691="","",SUMIFS('ORDENES'!$M$4:$M$1203,'ORDENES'!$AB$4:$AB$1203,$AB691,'ORDENES'!$O$4:$O$1203,$O691,'ORDENES'!$R$4:$R$1203,$R691))</f>
        <v/>
      </c>
      <c r="AE691" s="13">
        <f>IF($AD691="","",p_factor_productividad*IFERROR(INDEX('ASIGNACIONES'!$H$4:$H$339,MATCH($O691&amp;"|"&amp;$R691&amp;"|"&amp;$AB691,'ASIGNACIONES'!$I$4:$I$339,0)),0)-$AD691)</f>
        <v/>
      </c>
      <c r="AF691" s="10">
        <f>IF($A691="","",IFERROR(INDEX('2_IMPORTAR_EJECUCION'!$F$9:$F$1208,MATCH($AN691,'2_IMPORTAR_EJECUCION'!$J$9:$J$1208,0)),0))</f>
        <v/>
      </c>
      <c r="AG691" s="10">
        <f>IF($A691="","",MAX(0,IFERROR(INDEX('2_IMPORTAR_EJECUCION'!$H$9:$H$1208,MATCH($AN691,'2_IMPORTAR_EJECUCION'!$J$9:$J$1208,0)),0)-$AF691))</f>
        <v/>
      </c>
      <c r="AH691" s="10">
        <f>IF($A691="","",$AF691+$AG691)</f>
        <v/>
      </c>
      <c r="AI691" s="6" t="n"/>
      <c r="AJ691" s="6" t="n"/>
      <c r="AK691" s="6" t="n"/>
      <c r="AL691" s="3">
        <f>IF($AK691="","",HYPERLINK(p_ruta_base_checklists&amp;$AK691,"abrir"))</f>
        <v/>
      </c>
      <c r="AM691" s="6" t="n"/>
      <c r="AN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1" t="n"/>
      <c r="K692" s="3" t="n"/>
      <c r="L692" s="10" t="n"/>
      <c r="M692" s="3">
        <f>IF($A692="","",IFERROR(INDEX('AJUSTES'!$B$4:$B$303,MATCH($AN692,'AJUSTES'!$A$4:$A$303,0)),IF($K692="","",$K692)))</f>
        <v/>
      </c>
      <c r="N692" s="3">
        <f>IF($A692="","",IFERROR(INDEX('CAT_ESTADOS_ERP'!$B$4:$B$7,MATCH(IFERROR(INDEX('2_IMPORTAR_EJECUCION'!$C$9:$C$1208,MATCH($AN692,'2_IMPORTAR_EJECUCION'!$J$9:$J$1208,0)),""),'CAT_ESTADOS_ERP'!$A$4:$A$7,0)),"Pendiente"))</f>
        <v/>
      </c>
      <c r="O692" s="3">
        <f>IF($J692="","",YEAR($J692+4-WEEKDAY($J692,2))&amp;"-S"&amp;TEXT(_xlfn.ISOWEEKNUM($J692),"00"))</f>
        <v/>
      </c>
      <c r="P692" s="3">
        <f>IF($J692="","",YEAR($J692))</f>
        <v/>
      </c>
      <c r="Q692" s="3">
        <f>IF($J692="","",MONTH($J692))</f>
        <v/>
      </c>
      <c r="R692" s="3">
        <f>IF($J692="","",INDEX(lista_dias,WEEKDAY($J692,2)))</f>
        <v/>
      </c>
      <c r="S692" s="3">
        <f>IF($I692="","",IFERROR(INDEX('CAT_TIPOS_OT'!$C$4:$C$7,MATCH($I692,'CAT_TIPOS_OT'!$A$4:$A$7,0)),"sin_clasificar"))</f>
        <v/>
      </c>
      <c r="T692" s="3">
        <f>IF($F692="","",IFERROR(INDEX('CAT_CENTROS_COSTO'!$E$4:$E$9,MATCH($F692,'CAT_CENTROS_COSTO'!$A$4:$A$9,0)),"(sin catálogo)"))</f>
        <v/>
      </c>
      <c r="U692" s="3">
        <f>IF($F692="","",IFERROR(INDEX('CAT_CENTROS_COSTO'!$D$4:$D$9,MATCH($F692,'CAT_CENTROS_COSTO'!$A$4:$A$9,0)),"(sin catálogo)"))</f>
        <v/>
      </c>
      <c r="V692" s="3">
        <f>IF($F692="","",IFERROR(INDEX('CAT_CENTROS_COSTO'!$F$4:$F$9,MATCH($F692,'CAT_CENTROS_COSTO'!$A$4:$A$9,0)),"(sin catálogo)"))</f>
        <v/>
      </c>
      <c r="W692" s="3">
        <f>IF($G692="","",IFERROR(INDEX('CAT_PUESTOS'!$B$4:$B$8,MATCH($G692,'CAT_PUESTOS'!$A$4:$A$8,0)),"(sin catálogo)"))</f>
        <v/>
      </c>
      <c r="X692" s="3">
        <f>IF($H692="","",IFERROR(INDEX('CAT_ACTIVIDADES'!$B$4:$B$8,MATCH($H692,'CAT_ACTIVIDADES'!$A$4:$A$8,0)),"(sin catálogo)"))</f>
        <v/>
      </c>
      <c r="Y692" s="12">
        <f>IF($J692="","",TODAY()-$J692)</f>
        <v/>
      </c>
      <c r="Z692" s="3">
        <f>IF($Y692="","",IF($Y692&lt;0,"FUTURO",IF($Y692&gt;p_dias_backlog_max,"BACKLOG","MES CORRIENTE")))</f>
        <v/>
      </c>
      <c r="AA692" s="3">
        <f>IF($Y692="",FALSE,AND($Y692&gt;p_dias_backlog_min,$Y692&lt;=p_dias_backlog_max))</f>
        <v/>
      </c>
      <c r="AB692" s="6" t="n"/>
      <c r="AC692" s="3">
        <f>IF($AB692="","",IFERROR(INDEX('ASIGNACIONES'!$F$4:$F$339,MATCH($O692&amp;"|"&amp;$R692&amp;"|"&amp;$AB692,'ASIGNACIONES'!$I$4:$I$339,0)),""))</f>
        <v/>
      </c>
      <c r="AD692" s="13">
        <f>IF($AB692="","",SUMIFS('ORDENES'!$M$4:$M$1203,'ORDENES'!$AB$4:$AB$1203,$AB692,'ORDENES'!$O$4:$O$1203,$O692,'ORDENES'!$R$4:$R$1203,$R692))</f>
        <v/>
      </c>
      <c r="AE692" s="13">
        <f>IF($AD692="","",p_factor_productividad*IFERROR(INDEX('ASIGNACIONES'!$H$4:$H$339,MATCH($O692&amp;"|"&amp;$R692&amp;"|"&amp;$AB692,'ASIGNACIONES'!$I$4:$I$339,0)),0)-$AD692)</f>
        <v/>
      </c>
      <c r="AF692" s="10">
        <f>IF($A692="","",IFERROR(INDEX('2_IMPORTAR_EJECUCION'!$F$9:$F$1208,MATCH($AN692,'2_IMPORTAR_EJECUCION'!$J$9:$J$1208,0)),0))</f>
        <v/>
      </c>
      <c r="AG692" s="10">
        <f>IF($A692="","",MAX(0,IFERROR(INDEX('2_IMPORTAR_EJECUCION'!$H$9:$H$1208,MATCH($AN692,'2_IMPORTAR_EJECUCION'!$J$9:$J$1208,0)),0)-$AF692))</f>
        <v/>
      </c>
      <c r="AH692" s="10">
        <f>IF($A692="","",$AF692+$AG692)</f>
        <v/>
      </c>
      <c r="AI692" s="6" t="n"/>
      <c r="AJ692" s="6" t="n"/>
      <c r="AK692" s="6" t="n"/>
      <c r="AL692" s="3">
        <f>IF($AK692="","",HYPERLINK(p_ruta_base_checklists&amp;$AK692,"abrir"))</f>
        <v/>
      </c>
      <c r="AM692" s="6" t="n"/>
      <c r="AN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1" t="n"/>
      <c r="K693" s="3" t="n"/>
      <c r="L693" s="10" t="n"/>
      <c r="M693" s="3">
        <f>IF($A693="","",IFERROR(INDEX('AJUSTES'!$B$4:$B$303,MATCH($AN693,'AJUSTES'!$A$4:$A$303,0)),IF($K693="","",$K693)))</f>
        <v/>
      </c>
      <c r="N693" s="3">
        <f>IF($A693="","",IFERROR(INDEX('CAT_ESTADOS_ERP'!$B$4:$B$7,MATCH(IFERROR(INDEX('2_IMPORTAR_EJECUCION'!$C$9:$C$1208,MATCH($AN693,'2_IMPORTAR_EJECUCION'!$J$9:$J$1208,0)),""),'CAT_ESTADOS_ERP'!$A$4:$A$7,0)),"Pendiente"))</f>
        <v/>
      </c>
      <c r="O693" s="3">
        <f>IF($J693="","",YEAR($J693+4-WEEKDAY($J693,2))&amp;"-S"&amp;TEXT(_xlfn.ISOWEEKNUM($J693),"00"))</f>
        <v/>
      </c>
      <c r="P693" s="3">
        <f>IF($J693="","",YEAR($J693))</f>
        <v/>
      </c>
      <c r="Q693" s="3">
        <f>IF($J693="","",MONTH($J693))</f>
        <v/>
      </c>
      <c r="R693" s="3">
        <f>IF($J693="","",INDEX(lista_dias,WEEKDAY($J693,2)))</f>
        <v/>
      </c>
      <c r="S693" s="3">
        <f>IF($I693="","",IFERROR(INDEX('CAT_TIPOS_OT'!$C$4:$C$7,MATCH($I693,'CAT_TIPOS_OT'!$A$4:$A$7,0)),"sin_clasificar"))</f>
        <v/>
      </c>
      <c r="T693" s="3">
        <f>IF($F693="","",IFERROR(INDEX('CAT_CENTROS_COSTO'!$E$4:$E$9,MATCH($F693,'CAT_CENTROS_COSTO'!$A$4:$A$9,0)),"(sin catálogo)"))</f>
        <v/>
      </c>
      <c r="U693" s="3">
        <f>IF($F693="","",IFERROR(INDEX('CAT_CENTROS_COSTO'!$D$4:$D$9,MATCH($F693,'CAT_CENTROS_COSTO'!$A$4:$A$9,0)),"(sin catálogo)"))</f>
        <v/>
      </c>
      <c r="V693" s="3">
        <f>IF($F693="","",IFERROR(INDEX('CAT_CENTROS_COSTO'!$F$4:$F$9,MATCH($F693,'CAT_CENTROS_COSTO'!$A$4:$A$9,0)),"(sin catálogo)"))</f>
        <v/>
      </c>
      <c r="W693" s="3">
        <f>IF($G693="","",IFERROR(INDEX('CAT_PUESTOS'!$B$4:$B$8,MATCH($G693,'CAT_PUESTOS'!$A$4:$A$8,0)),"(sin catálogo)"))</f>
        <v/>
      </c>
      <c r="X693" s="3">
        <f>IF($H693="","",IFERROR(INDEX('CAT_ACTIVIDADES'!$B$4:$B$8,MATCH($H693,'CAT_ACTIVIDADES'!$A$4:$A$8,0)),"(sin catálogo)"))</f>
        <v/>
      </c>
      <c r="Y693" s="12">
        <f>IF($J693="","",TODAY()-$J693)</f>
        <v/>
      </c>
      <c r="Z693" s="3">
        <f>IF($Y693="","",IF($Y693&lt;0,"FUTURO",IF($Y693&gt;p_dias_backlog_max,"BACKLOG","MES CORRIENTE")))</f>
        <v/>
      </c>
      <c r="AA693" s="3">
        <f>IF($Y693="",FALSE,AND($Y693&gt;p_dias_backlog_min,$Y693&lt;=p_dias_backlog_max))</f>
        <v/>
      </c>
      <c r="AB693" s="6" t="n"/>
      <c r="AC693" s="3">
        <f>IF($AB693="","",IFERROR(INDEX('ASIGNACIONES'!$F$4:$F$339,MATCH($O693&amp;"|"&amp;$R693&amp;"|"&amp;$AB693,'ASIGNACIONES'!$I$4:$I$339,0)),""))</f>
        <v/>
      </c>
      <c r="AD693" s="13">
        <f>IF($AB693="","",SUMIFS('ORDENES'!$M$4:$M$1203,'ORDENES'!$AB$4:$AB$1203,$AB693,'ORDENES'!$O$4:$O$1203,$O693,'ORDENES'!$R$4:$R$1203,$R693))</f>
        <v/>
      </c>
      <c r="AE693" s="13">
        <f>IF($AD693="","",p_factor_productividad*IFERROR(INDEX('ASIGNACIONES'!$H$4:$H$339,MATCH($O693&amp;"|"&amp;$R693&amp;"|"&amp;$AB693,'ASIGNACIONES'!$I$4:$I$339,0)),0)-$AD693)</f>
        <v/>
      </c>
      <c r="AF693" s="10">
        <f>IF($A693="","",IFERROR(INDEX('2_IMPORTAR_EJECUCION'!$F$9:$F$1208,MATCH($AN693,'2_IMPORTAR_EJECUCION'!$J$9:$J$1208,0)),0))</f>
        <v/>
      </c>
      <c r="AG693" s="10">
        <f>IF($A693="","",MAX(0,IFERROR(INDEX('2_IMPORTAR_EJECUCION'!$H$9:$H$1208,MATCH($AN693,'2_IMPORTAR_EJECUCION'!$J$9:$J$1208,0)),0)-$AF693))</f>
        <v/>
      </c>
      <c r="AH693" s="10">
        <f>IF($A693="","",$AF693+$AG693)</f>
        <v/>
      </c>
      <c r="AI693" s="6" t="n"/>
      <c r="AJ693" s="6" t="n"/>
      <c r="AK693" s="6" t="n"/>
      <c r="AL693" s="3">
        <f>IF($AK693="","",HYPERLINK(p_ruta_base_checklists&amp;$AK693,"abrir"))</f>
        <v/>
      </c>
      <c r="AM693" s="6" t="n"/>
      <c r="AN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1" t="n"/>
      <c r="K694" s="3" t="n"/>
      <c r="L694" s="10" t="n"/>
      <c r="M694" s="3">
        <f>IF($A694="","",IFERROR(INDEX('AJUSTES'!$B$4:$B$303,MATCH($AN694,'AJUSTES'!$A$4:$A$303,0)),IF($K694="","",$K694)))</f>
        <v/>
      </c>
      <c r="N694" s="3">
        <f>IF($A694="","",IFERROR(INDEX('CAT_ESTADOS_ERP'!$B$4:$B$7,MATCH(IFERROR(INDEX('2_IMPORTAR_EJECUCION'!$C$9:$C$1208,MATCH($AN694,'2_IMPORTAR_EJECUCION'!$J$9:$J$1208,0)),""),'CAT_ESTADOS_ERP'!$A$4:$A$7,0)),"Pendiente"))</f>
        <v/>
      </c>
      <c r="O694" s="3">
        <f>IF($J694="","",YEAR($J694+4-WEEKDAY($J694,2))&amp;"-S"&amp;TEXT(_xlfn.ISOWEEKNUM($J694),"00"))</f>
        <v/>
      </c>
      <c r="P694" s="3">
        <f>IF($J694="","",YEAR($J694))</f>
        <v/>
      </c>
      <c r="Q694" s="3">
        <f>IF($J694="","",MONTH($J694))</f>
        <v/>
      </c>
      <c r="R694" s="3">
        <f>IF($J694="","",INDEX(lista_dias,WEEKDAY($J694,2)))</f>
        <v/>
      </c>
      <c r="S694" s="3">
        <f>IF($I694="","",IFERROR(INDEX('CAT_TIPOS_OT'!$C$4:$C$7,MATCH($I694,'CAT_TIPOS_OT'!$A$4:$A$7,0)),"sin_clasificar"))</f>
        <v/>
      </c>
      <c r="T694" s="3">
        <f>IF($F694="","",IFERROR(INDEX('CAT_CENTROS_COSTO'!$E$4:$E$9,MATCH($F694,'CAT_CENTROS_COSTO'!$A$4:$A$9,0)),"(sin catálogo)"))</f>
        <v/>
      </c>
      <c r="U694" s="3">
        <f>IF($F694="","",IFERROR(INDEX('CAT_CENTROS_COSTO'!$D$4:$D$9,MATCH($F694,'CAT_CENTROS_COSTO'!$A$4:$A$9,0)),"(sin catálogo)"))</f>
        <v/>
      </c>
      <c r="V694" s="3">
        <f>IF($F694="","",IFERROR(INDEX('CAT_CENTROS_COSTO'!$F$4:$F$9,MATCH($F694,'CAT_CENTROS_COSTO'!$A$4:$A$9,0)),"(sin catálogo)"))</f>
        <v/>
      </c>
      <c r="W694" s="3">
        <f>IF($G694="","",IFERROR(INDEX('CAT_PUESTOS'!$B$4:$B$8,MATCH($G694,'CAT_PUESTOS'!$A$4:$A$8,0)),"(sin catálogo)"))</f>
        <v/>
      </c>
      <c r="X694" s="3">
        <f>IF($H694="","",IFERROR(INDEX('CAT_ACTIVIDADES'!$B$4:$B$8,MATCH($H694,'CAT_ACTIVIDADES'!$A$4:$A$8,0)),"(sin catálogo)"))</f>
        <v/>
      </c>
      <c r="Y694" s="12">
        <f>IF($J694="","",TODAY()-$J694)</f>
        <v/>
      </c>
      <c r="Z694" s="3">
        <f>IF($Y694="","",IF($Y694&lt;0,"FUTURO",IF($Y694&gt;p_dias_backlog_max,"BACKLOG","MES CORRIENTE")))</f>
        <v/>
      </c>
      <c r="AA694" s="3">
        <f>IF($Y694="",FALSE,AND($Y694&gt;p_dias_backlog_min,$Y694&lt;=p_dias_backlog_max))</f>
        <v/>
      </c>
      <c r="AB694" s="6" t="n"/>
      <c r="AC694" s="3">
        <f>IF($AB694="","",IFERROR(INDEX('ASIGNACIONES'!$F$4:$F$339,MATCH($O694&amp;"|"&amp;$R694&amp;"|"&amp;$AB694,'ASIGNACIONES'!$I$4:$I$339,0)),""))</f>
        <v/>
      </c>
      <c r="AD694" s="13">
        <f>IF($AB694="","",SUMIFS('ORDENES'!$M$4:$M$1203,'ORDENES'!$AB$4:$AB$1203,$AB694,'ORDENES'!$O$4:$O$1203,$O694,'ORDENES'!$R$4:$R$1203,$R694))</f>
        <v/>
      </c>
      <c r="AE694" s="13">
        <f>IF($AD694="","",p_factor_productividad*IFERROR(INDEX('ASIGNACIONES'!$H$4:$H$339,MATCH($O694&amp;"|"&amp;$R694&amp;"|"&amp;$AB694,'ASIGNACIONES'!$I$4:$I$339,0)),0)-$AD694)</f>
        <v/>
      </c>
      <c r="AF694" s="10">
        <f>IF($A694="","",IFERROR(INDEX('2_IMPORTAR_EJECUCION'!$F$9:$F$1208,MATCH($AN694,'2_IMPORTAR_EJECUCION'!$J$9:$J$1208,0)),0))</f>
        <v/>
      </c>
      <c r="AG694" s="10">
        <f>IF($A694="","",MAX(0,IFERROR(INDEX('2_IMPORTAR_EJECUCION'!$H$9:$H$1208,MATCH($AN694,'2_IMPORTAR_EJECUCION'!$J$9:$J$1208,0)),0)-$AF694))</f>
        <v/>
      </c>
      <c r="AH694" s="10">
        <f>IF($A694="","",$AF694+$AG694)</f>
        <v/>
      </c>
      <c r="AI694" s="6" t="n"/>
      <c r="AJ694" s="6" t="n"/>
      <c r="AK694" s="6" t="n"/>
      <c r="AL694" s="3">
        <f>IF($AK694="","",HYPERLINK(p_ruta_base_checklists&amp;$AK694,"abrir"))</f>
        <v/>
      </c>
      <c r="AM694" s="6" t="n"/>
      <c r="AN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1" t="n"/>
      <c r="K695" s="3" t="n"/>
      <c r="L695" s="10" t="n"/>
      <c r="M695" s="3">
        <f>IF($A695="","",IFERROR(INDEX('AJUSTES'!$B$4:$B$303,MATCH($AN695,'AJUSTES'!$A$4:$A$303,0)),IF($K695="","",$K695)))</f>
        <v/>
      </c>
      <c r="N695" s="3">
        <f>IF($A695="","",IFERROR(INDEX('CAT_ESTADOS_ERP'!$B$4:$B$7,MATCH(IFERROR(INDEX('2_IMPORTAR_EJECUCION'!$C$9:$C$1208,MATCH($AN695,'2_IMPORTAR_EJECUCION'!$J$9:$J$1208,0)),""),'CAT_ESTADOS_ERP'!$A$4:$A$7,0)),"Pendiente"))</f>
        <v/>
      </c>
      <c r="O695" s="3">
        <f>IF($J695="","",YEAR($J695+4-WEEKDAY($J695,2))&amp;"-S"&amp;TEXT(_xlfn.ISOWEEKNUM($J695),"00"))</f>
        <v/>
      </c>
      <c r="P695" s="3">
        <f>IF($J695="","",YEAR($J695))</f>
        <v/>
      </c>
      <c r="Q695" s="3">
        <f>IF($J695="","",MONTH($J695))</f>
        <v/>
      </c>
      <c r="R695" s="3">
        <f>IF($J695="","",INDEX(lista_dias,WEEKDAY($J695,2)))</f>
        <v/>
      </c>
      <c r="S695" s="3">
        <f>IF($I695="","",IFERROR(INDEX('CAT_TIPOS_OT'!$C$4:$C$7,MATCH($I695,'CAT_TIPOS_OT'!$A$4:$A$7,0)),"sin_clasificar"))</f>
        <v/>
      </c>
      <c r="T695" s="3">
        <f>IF($F695="","",IFERROR(INDEX('CAT_CENTROS_COSTO'!$E$4:$E$9,MATCH($F695,'CAT_CENTROS_COSTO'!$A$4:$A$9,0)),"(sin catálogo)"))</f>
        <v/>
      </c>
      <c r="U695" s="3">
        <f>IF($F695="","",IFERROR(INDEX('CAT_CENTROS_COSTO'!$D$4:$D$9,MATCH($F695,'CAT_CENTROS_COSTO'!$A$4:$A$9,0)),"(sin catálogo)"))</f>
        <v/>
      </c>
      <c r="V695" s="3">
        <f>IF($F695="","",IFERROR(INDEX('CAT_CENTROS_COSTO'!$F$4:$F$9,MATCH($F695,'CAT_CENTROS_COSTO'!$A$4:$A$9,0)),"(sin catálogo)"))</f>
        <v/>
      </c>
      <c r="W695" s="3">
        <f>IF($G695="","",IFERROR(INDEX('CAT_PUESTOS'!$B$4:$B$8,MATCH($G695,'CAT_PUESTOS'!$A$4:$A$8,0)),"(sin catálogo)"))</f>
        <v/>
      </c>
      <c r="X695" s="3">
        <f>IF($H695="","",IFERROR(INDEX('CAT_ACTIVIDADES'!$B$4:$B$8,MATCH($H695,'CAT_ACTIVIDADES'!$A$4:$A$8,0)),"(sin catálogo)"))</f>
        <v/>
      </c>
      <c r="Y695" s="12">
        <f>IF($J695="","",TODAY()-$J695)</f>
        <v/>
      </c>
      <c r="Z695" s="3">
        <f>IF($Y695="","",IF($Y695&lt;0,"FUTURO",IF($Y695&gt;p_dias_backlog_max,"BACKLOG","MES CORRIENTE")))</f>
        <v/>
      </c>
      <c r="AA695" s="3">
        <f>IF($Y695="",FALSE,AND($Y695&gt;p_dias_backlog_min,$Y695&lt;=p_dias_backlog_max))</f>
        <v/>
      </c>
      <c r="AB695" s="6" t="n"/>
      <c r="AC695" s="3">
        <f>IF($AB695="","",IFERROR(INDEX('ASIGNACIONES'!$F$4:$F$339,MATCH($O695&amp;"|"&amp;$R695&amp;"|"&amp;$AB695,'ASIGNACIONES'!$I$4:$I$339,0)),""))</f>
        <v/>
      </c>
      <c r="AD695" s="13">
        <f>IF($AB695="","",SUMIFS('ORDENES'!$M$4:$M$1203,'ORDENES'!$AB$4:$AB$1203,$AB695,'ORDENES'!$O$4:$O$1203,$O695,'ORDENES'!$R$4:$R$1203,$R695))</f>
        <v/>
      </c>
      <c r="AE695" s="13">
        <f>IF($AD695="","",p_factor_productividad*IFERROR(INDEX('ASIGNACIONES'!$H$4:$H$339,MATCH($O695&amp;"|"&amp;$R695&amp;"|"&amp;$AB695,'ASIGNACIONES'!$I$4:$I$339,0)),0)-$AD695)</f>
        <v/>
      </c>
      <c r="AF695" s="10">
        <f>IF($A695="","",IFERROR(INDEX('2_IMPORTAR_EJECUCION'!$F$9:$F$1208,MATCH($AN695,'2_IMPORTAR_EJECUCION'!$J$9:$J$1208,0)),0))</f>
        <v/>
      </c>
      <c r="AG695" s="10">
        <f>IF($A695="","",MAX(0,IFERROR(INDEX('2_IMPORTAR_EJECUCION'!$H$9:$H$1208,MATCH($AN695,'2_IMPORTAR_EJECUCION'!$J$9:$J$1208,0)),0)-$AF695))</f>
        <v/>
      </c>
      <c r="AH695" s="10">
        <f>IF($A695="","",$AF695+$AG695)</f>
        <v/>
      </c>
      <c r="AI695" s="6" t="n"/>
      <c r="AJ695" s="6" t="n"/>
      <c r="AK695" s="6" t="n"/>
      <c r="AL695" s="3">
        <f>IF($AK695="","",HYPERLINK(p_ruta_base_checklists&amp;$AK695,"abrir"))</f>
        <v/>
      </c>
      <c r="AM695" s="6" t="n"/>
      <c r="AN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1" t="n"/>
      <c r="K696" s="3" t="n"/>
      <c r="L696" s="10" t="n"/>
      <c r="M696" s="3">
        <f>IF($A696="","",IFERROR(INDEX('AJUSTES'!$B$4:$B$303,MATCH($AN696,'AJUSTES'!$A$4:$A$303,0)),IF($K696="","",$K696)))</f>
        <v/>
      </c>
      <c r="N696" s="3">
        <f>IF($A696="","",IFERROR(INDEX('CAT_ESTADOS_ERP'!$B$4:$B$7,MATCH(IFERROR(INDEX('2_IMPORTAR_EJECUCION'!$C$9:$C$1208,MATCH($AN696,'2_IMPORTAR_EJECUCION'!$J$9:$J$1208,0)),""),'CAT_ESTADOS_ERP'!$A$4:$A$7,0)),"Pendiente"))</f>
        <v/>
      </c>
      <c r="O696" s="3">
        <f>IF($J696="","",YEAR($J696+4-WEEKDAY($J696,2))&amp;"-S"&amp;TEXT(_xlfn.ISOWEEKNUM($J696),"00"))</f>
        <v/>
      </c>
      <c r="P696" s="3">
        <f>IF($J696="","",YEAR($J696))</f>
        <v/>
      </c>
      <c r="Q696" s="3">
        <f>IF($J696="","",MONTH($J696))</f>
        <v/>
      </c>
      <c r="R696" s="3">
        <f>IF($J696="","",INDEX(lista_dias,WEEKDAY($J696,2)))</f>
        <v/>
      </c>
      <c r="S696" s="3">
        <f>IF($I696="","",IFERROR(INDEX('CAT_TIPOS_OT'!$C$4:$C$7,MATCH($I696,'CAT_TIPOS_OT'!$A$4:$A$7,0)),"sin_clasificar"))</f>
        <v/>
      </c>
      <c r="T696" s="3">
        <f>IF($F696="","",IFERROR(INDEX('CAT_CENTROS_COSTO'!$E$4:$E$9,MATCH($F696,'CAT_CENTROS_COSTO'!$A$4:$A$9,0)),"(sin catálogo)"))</f>
        <v/>
      </c>
      <c r="U696" s="3">
        <f>IF($F696="","",IFERROR(INDEX('CAT_CENTROS_COSTO'!$D$4:$D$9,MATCH($F696,'CAT_CENTROS_COSTO'!$A$4:$A$9,0)),"(sin catálogo)"))</f>
        <v/>
      </c>
      <c r="V696" s="3">
        <f>IF($F696="","",IFERROR(INDEX('CAT_CENTROS_COSTO'!$F$4:$F$9,MATCH($F696,'CAT_CENTROS_COSTO'!$A$4:$A$9,0)),"(sin catálogo)"))</f>
        <v/>
      </c>
      <c r="W696" s="3">
        <f>IF($G696="","",IFERROR(INDEX('CAT_PUESTOS'!$B$4:$B$8,MATCH($G696,'CAT_PUESTOS'!$A$4:$A$8,0)),"(sin catálogo)"))</f>
        <v/>
      </c>
      <c r="X696" s="3">
        <f>IF($H696="","",IFERROR(INDEX('CAT_ACTIVIDADES'!$B$4:$B$8,MATCH($H696,'CAT_ACTIVIDADES'!$A$4:$A$8,0)),"(sin catálogo)"))</f>
        <v/>
      </c>
      <c r="Y696" s="12">
        <f>IF($J696="","",TODAY()-$J696)</f>
        <v/>
      </c>
      <c r="Z696" s="3">
        <f>IF($Y696="","",IF($Y696&lt;0,"FUTURO",IF($Y696&gt;p_dias_backlog_max,"BACKLOG","MES CORRIENTE")))</f>
        <v/>
      </c>
      <c r="AA696" s="3">
        <f>IF($Y696="",FALSE,AND($Y696&gt;p_dias_backlog_min,$Y696&lt;=p_dias_backlog_max))</f>
        <v/>
      </c>
      <c r="AB696" s="6" t="n"/>
      <c r="AC696" s="3">
        <f>IF($AB696="","",IFERROR(INDEX('ASIGNACIONES'!$F$4:$F$339,MATCH($O696&amp;"|"&amp;$R696&amp;"|"&amp;$AB696,'ASIGNACIONES'!$I$4:$I$339,0)),""))</f>
        <v/>
      </c>
      <c r="AD696" s="13">
        <f>IF($AB696="","",SUMIFS('ORDENES'!$M$4:$M$1203,'ORDENES'!$AB$4:$AB$1203,$AB696,'ORDENES'!$O$4:$O$1203,$O696,'ORDENES'!$R$4:$R$1203,$R696))</f>
        <v/>
      </c>
      <c r="AE696" s="13">
        <f>IF($AD696="","",p_factor_productividad*IFERROR(INDEX('ASIGNACIONES'!$H$4:$H$339,MATCH($O696&amp;"|"&amp;$R696&amp;"|"&amp;$AB696,'ASIGNACIONES'!$I$4:$I$339,0)),0)-$AD696)</f>
        <v/>
      </c>
      <c r="AF696" s="10">
        <f>IF($A696="","",IFERROR(INDEX('2_IMPORTAR_EJECUCION'!$F$9:$F$1208,MATCH($AN696,'2_IMPORTAR_EJECUCION'!$J$9:$J$1208,0)),0))</f>
        <v/>
      </c>
      <c r="AG696" s="10">
        <f>IF($A696="","",MAX(0,IFERROR(INDEX('2_IMPORTAR_EJECUCION'!$H$9:$H$1208,MATCH($AN696,'2_IMPORTAR_EJECUCION'!$J$9:$J$1208,0)),0)-$AF696))</f>
        <v/>
      </c>
      <c r="AH696" s="10">
        <f>IF($A696="","",$AF696+$AG696)</f>
        <v/>
      </c>
      <c r="AI696" s="6" t="n"/>
      <c r="AJ696" s="6" t="n"/>
      <c r="AK696" s="6" t="n"/>
      <c r="AL696" s="3">
        <f>IF($AK696="","",HYPERLINK(p_ruta_base_checklists&amp;$AK696,"abrir"))</f>
        <v/>
      </c>
      <c r="AM696" s="6" t="n"/>
      <c r="AN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1" t="n"/>
      <c r="K697" s="3" t="n"/>
      <c r="L697" s="10" t="n"/>
      <c r="M697" s="3">
        <f>IF($A697="","",IFERROR(INDEX('AJUSTES'!$B$4:$B$303,MATCH($AN697,'AJUSTES'!$A$4:$A$303,0)),IF($K697="","",$K697)))</f>
        <v/>
      </c>
      <c r="N697" s="3">
        <f>IF($A697="","",IFERROR(INDEX('CAT_ESTADOS_ERP'!$B$4:$B$7,MATCH(IFERROR(INDEX('2_IMPORTAR_EJECUCION'!$C$9:$C$1208,MATCH($AN697,'2_IMPORTAR_EJECUCION'!$J$9:$J$1208,0)),""),'CAT_ESTADOS_ERP'!$A$4:$A$7,0)),"Pendiente"))</f>
        <v/>
      </c>
      <c r="O697" s="3">
        <f>IF($J697="","",YEAR($J697+4-WEEKDAY($J697,2))&amp;"-S"&amp;TEXT(_xlfn.ISOWEEKNUM($J697),"00"))</f>
        <v/>
      </c>
      <c r="P697" s="3">
        <f>IF($J697="","",YEAR($J697))</f>
        <v/>
      </c>
      <c r="Q697" s="3">
        <f>IF($J697="","",MONTH($J697))</f>
        <v/>
      </c>
      <c r="R697" s="3">
        <f>IF($J697="","",INDEX(lista_dias,WEEKDAY($J697,2)))</f>
        <v/>
      </c>
      <c r="S697" s="3">
        <f>IF($I697="","",IFERROR(INDEX('CAT_TIPOS_OT'!$C$4:$C$7,MATCH($I697,'CAT_TIPOS_OT'!$A$4:$A$7,0)),"sin_clasificar"))</f>
        <v/>
      </c>
      <c r="T697" s="3">
        <f>IF($F697="","",IFERROR(INDEX('CAT_CENTROS_COSTO'!$E$4:$E$9,MATCH($F697,'CAT_CENTROS_COSTO'!$A$4:$A$9,0)),"(sin catálogo)"))</f>
        <v/>
      </c>
      <c r="U697" s="3">
        <f>IF($F697="","",IFERROR(INDEX('CAT_CENTROS_COSTO'!$D$4:$D$9,MATCH($F697,'CAT_CENTROS_COSTO'!$A$4:$A$9,0)),"(sin catálogo)"))</f>
        <v/>
      </c>
      <c r="V697" s="3">
        <f>IF($F697="","",IFERROR(INDEX('CAT_CENTROS_COSTO'!$F$4:$F$9,MATCH($F697,'CAT_CENTROS_COSTO'!$A$4:$A$9,0)),"(sin catálogo)"))</f>
        <v/>
      </c>
      <c r="W697" s="3">
        <f>IF($G697="","",IFERROR(INDEX('CAT_PUESTOS'!$B$4:$B$8,MATCH($G697,'CAT_PUESTOS'!$A$4:$A$8,0)),"(sin catálogo)"))</f>
        <v/>
      </c>
      <c r="X697" s="3">
        <f>IF($H697="","",IFERROR(INDEX('CAT_ACTIVIDADES'!$B$4:$B$8,MATCH($H697,'CAT_ACTIVIDADES'!$A$4:$A$8,0)),"(sin catálogo)"))</f>
        <v/>
      </c>
      <c r="Y697" s="12">
        <f>IF($J697="","",TODAY()-$J697)</f>
        <v/>
      </c>
      <c r="Z697" s="3">
        <f>IF($Y697="","",IF($Y697&lt;0,"FUTURO",IF($Y697&gt;p_dias_backlog_max,"BACKLOG","MES CORRIENTE")))</f>
        <v/>
      </c>
      <c r="AA697" s="3">
        <f>IF($Y697="",FALSE,AND($Y697&gt;p_dias_backlog_min,$Y697&lt;=p_dias_backlog_max))</f>
        <v/>
      </c>
      <c r="AB697" s="6" t="n"/>
      <c r="AC697" s="3">
        <f>IF($AB697="","",IFERROR(INDEX('ASIGNACIONES'!$F$4:$F$339,MATCH($O697&amp;"|"&amp;$R697&amp;"|"&amp;$AB697,'ASIGNACIONES'!$I$4:$I$339,0)),""))</f>
        <v/>
      </c>
      <c r="AD697" s="13">
        <f>IF($AB697="","",SUMIFS('ORDENES'!$M$4:$M$1203,'ORDENES'!$AB$4:$AB$1203,$AB697,'ORDENES'!$O$4:$O$1203,$O697,'ORDENES'!$R$4:$R$1203,$R697))</f>
        <v/>
      </c>
      <c r="AE697" s="13">
        <f>IF($AD697="","",p_factor_productividad*IFERROR(INDEX('ASIGNACIONES'!$H$4:$H$339,MATCH($O697&amp;"|"&amp;$R697&amp;"|"&amp;$AB697,'ASIGNACIONES'!$I$4:$I$339,0)),0)-$AD697)</f>
        <v/>
      </c>
      <c r="AF697" s="10">
        <f>IF($A697="","",IFERROR(INDEX('2_IMPORTAR_EJECUCION'!$F$9:$F$1208,MATCH($AN697,'2_IMPORTAR_EJECUCION'!$J$9:$J$1208,0)),0))</f>
        <v/>
      </c>
      <c r="AG697" s="10">
        <f>IF($A697="","",MAX(0,IFERROR(INDEX('2_IMPORTAR_EJECUCION'!$H$9:$H$1208,MATCH($AN697,'2_IMPORTAR_EJECUCION'!$J$9:$J$1208,0)),0)-$AF697))</f>
        <v/>
      </c>
      <c r="AH697" s="10">
        <f>IF($A697="","",$AF697+$AG697)</f>
        <v/>
      </c>
      <c r="AI697" s="6" t="n"/>
      <c r="AJ697" s="6" t="n"/>
      <c r="AK697" s="6" t="n"/>
      <c r="AL697" s="3">
        <f>IF($AK697="","",HYPERLINK(p_ruta_base_checklists&amp;$AK697,"abrir"))</f>
        <v/>
      </c>
      <c r="AM697" s="6" t="n"/>
      <c r="AN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1" t="n"/>
      <c r="K698" s="3" t="n"/>
      <c r="L698" s="10" t="n"/>
      <c r="M698" s="3">
        <f>IF($A698="","",IFERROR(INDEX('AJUSTES'!$B$4:$B$303,MATCH($AN698,'AJUSTES'!$A$4:$A$303,0)),IF($K698="","",$K698)))</f>
        <v/>
      </c>
      <c r="N698" s="3">
        <f>IF($A698="","",IFERROR(INDEX('CAT_ESTADOS_ERP'!$B$4:$B$7,MATCH(IFERROR(INDEX('2_IMPORTAR_EJECUCION'!$C$9:$C$1208,MATCH($AN698,'2_IMPORTAR_EJECUCION'!$J$9:$J$1208,0)),""),'CAT_ESTADOS_ERP'!$A$4:$A$7,0)),"Pendiente"))</f>
        <v/>
      </c>
      <c r="O698" s="3">
        <f>IF($J698="","",YEAR($J698+4-WEEKDAY($J698,2))&amp;"-S"&amp;TEXT(_xlfn.ISOWEEKNUM($J698),"00"))</f>
        <v/>
      </c>
      <c r="P698" s="3">
        <f>IF($J698="","",YEAR($J698))</f>
        <v/>
      </c>
      <c r="Q698" s="3">
        <f>IF($J698="","",MONTH($J698))</f>
        <v/>
      </c>
      <c r="R698" s="3">
        <f>IF($J698="","",INDEX(lista_dias,WEEKDAY($J698,2)))</f>
        <v/>
      </c>
      <c r="S698" s="3">
        <f>IF($I698="","",IFERROR(INDEX('CAT_TIPOS_OT'!$C$4:$C$7,MATCH($I698,'CAT_TIPOS_OT'!$A$4:$A$7,0)),"sin_clasificar"))</f>
        <v/>
      </c>
      <c r="T698" s="3">
        <f>IF($F698="","",IFERROR(INDEX('CAT_CENTROS_COSTO'!$E$4:$E$9,MATCH($F698,'CAT_CENTROS_COSTO'!$A$4:$A$9,0)),"(sin catálogo)"))</f>
        <v/>
      </c>
      <c r="U698" s="3">
        <f>IF($F698="","",IFERROR(INDEX('CAT_CENTROS_COSTO'!$D$4:$D$9,MATCH($F698,'CAT_CENTROS_COSTO'!$A$4:$A$9,0)),"(sin catálogo)"))</f>
        <v/>
      </c>
      <c r="V698" s="3">
        <f>IF($F698="","",IFERROR(INDEX('CAT_CENTROS_COSTO'!$F$4:$F$9,MATCH($F698,'CAT_CENTROS_COSTO'!$A$4:$A$9,0)),"(sin catálogo)"))</f>
        <v/>
      </c>
      <c r="W698" s="3">
        <f>IF($G698="","",IFERROR(INDEX('CAT_PUESTOS'!$B$4:$B$8,MATCH($G698,'CAT_PUESTOS'!$A$4:$A$8,0)),"(sin catálogo)"))</f>
        <v/>
      </c>
      <c r="X698" s="3">
        <f>IF($H698="","",IFERROR(INDEX('CAT_ACTIVIDADES'!$B$4:$B$8,MATCH($H698,'CAT_ACTIVIDADES'!$A$4:$A$8,0)),"(sin catálogo)"))</f>
        <v/>
      </c>
      <c r="Y698" s="12">
        <f>IF($J698="","",TODAY()-$J698)</f>
        <v/>
      </c>
      <c r="Z698" s="3">
        <f>IF($Y698="","",IF($Y698&lt;0,"FUTURO",IF($Y698&gt;p_dias_backlog_max,"BACKLOG","MES CORRIENTE")))</f>
        <v/>
      </c>
      <c r="AA698" s="3">
        <f>IF($Y698="",FALSE,AND($Y698&gt;p_dias_backlog_min,$Y698&lt;=p_dias_backlog_max))</f>
        <v/>
      </c>
      <c r="AB698" s="6" t="n"/>
      <c r="AC698" s="3">
        <f>IF($AB698="","",IFERROR(INDEX('ASIGNACIONES'!$F$4:$F$339,MATCH($O698&amp;"|"&amp;$R698&amp;"|"&amp;$AB698,'ASIGNACIONES'!$I$4:$I$339,0)),""))</f>
        <v/>
      </c>
      <c r="AD698" s="13">
        <f>IF($AB698="","",SUMIFS('ORDENES'!$M$4:$M$1203,'ORDENES'!$AB$4:$AB$1203,$AB698,'ORDENES'!$O$4:$O$1203,$O698,'ORDENES'!$R$4:$R$1203,$R698))</f>
        <v/>
      </c>
      <c r="AE698" s="13">
        <f>IF($AD698="","",p_factor_productividad*IFERROR(INDEX('ASIGNACIONES'!$H$4:$H$339,MATCH($O698&amp;"|"&amp;$R698&amp;"|"&amp;$AB698,'ASIGNACIONES'!$I$4:$I$339,0)),0)-$AD698)</f>
        <v/>
      </c>
      <c r="AF698" s="10">
        <f>IF($A698="","",IFERROR(INDEX('2_IMPORTAR_EJECUCION'!$F$9:$F$1208,MATCH($AN698,'2_IMPORTAR_EJECUCION'!$J$9:$J$1208,0)),0))</f>
        <v/>
      </c>
      <c r="AG698" s="10">
        <f>IF($A698="","",MAX(0,IFERROR(INDEX('2_IMPORTAR_EJECUCION'!$H$9:$H$1208,MATCH($AN698,'2_IMPORTAR_EJECUCION'!$J$9:$J$1208,0)),0)-$AF698))</f>
        <v/>
      </c>
      <c r="AH698" s="10">
        <f>IF($A698="","",$AF698+$AG698)</f>
        <v/>
      </c>
      <c r="AI698" s="6" t="n"/>
      <c r="AJ698" s="6" t="n"/>
      <c r="AK698" s="6" t="n"/>
      <c r="AL698" s="3">
        <f>IF($AK698="","",HYPERLINK(p_ruta_base_checklists&amp;$AK698,"abrir"))</f>
        <v/>
      </c>
      <c r="AM698" s="6" t="n"/>
      <c r="AN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1" t="n"/>
      <c r="K699" s="3" t="n"/>
      <c r="L699" s="10" t="n"/>
      <c r="M699" s="3">
        <f>IF($A699="","",IFERROR(INDEX('AJUSTES'!$B$4:$B$303,MATCH($AN699,'AJUSTES'!$A$4:$A$303,0)),IF($K699="","",$K699)))</f>
        <v/>
      </c>
      <c r="N699" s="3">
        <f>IF($A699="","",IFERROR(INDEX('CAT_ESTADOS_ERP'!$B$4:$B$7,MATCH(IFERROR(INDEX('2_IMPORTAR_EJECUCION'!$C$9:$C$1208,MATCH($AN699,'2_IMPORTAR_EJECUCION'!$J$9:$J$1208,0)),""),'CAT_ESTADOS_ERP'!$A$4:$A$7,0)),"Pendiente"))</f>
        <v/>
      </c>
      <c r="O699" s="3">
        <f>IF($J699="","",YEAR($J699+4-WEEKDAY($J699,2))&amp;"-S"&amp;TEXT(_xlfn.ISOWEEKNUM($J699),"00"))</f>
        <v/>
      </c>
      <c r="P699" s="3">
        <f>IF($J699="","",YEAR($J699))</f>
        <v/>
      </c>
      <c r="Q699" s="3">
        <f>IF($J699="","",MONTH($J699))</f>
        <v/>
      </c>
      <c r="R699" s="3">
        <f>IF($J699="","",INDEX(lista_dias,WEEKDAY($J699,2)))</f>
        <v/>
      </c>
      <c r="S699" s="3">
        <f>IF($I699="","",IFERROR(INDEX('CAT_TIPOS_OT'!$C$4:$C$7,MATCH($I699,'CAT_TIPOS_OT'!$A$4:$A$7,0)),"sin_clasificar"))</f>
        <v/>
      </c>
      <c r="T699" s="3">
        <f>IF($F699="","",IFERROR(INDEX('CAT_CENTROS_COSTO'!$E$4:$E$9,MATCH($F699,'CAT_CENTROS_COSTO'!$A$4:$A$9,0)),"(sin catálogo)"))</f>
        <v/>
      </c>
      <c r="U699" s="3">
        <f>IF($F699="","",IFERROR(INDEX('CAT_CENTROS_COSTO'!$D$4:$D$9,MATCH($F699,'CAT_CENTROS_COSTO'!$A$4:$A$9,0)),"(sin catálogo)"))</f>
        <v/>
      </c>
      <c r="V699" s="3">
        <f>IF($F699="","",IFERROR(INDEX('CAT_CENTROS_COSTO'!$F$4:$F$9,MATCH($F699,'CAT_CENTROS_COSTO'!$A$4:$A$9,0)),"(sin catálogo)"))</f>
        <v/>
      </c>
      <c r="W699" s="3">
        <f>IF($G699="","",IFERROR(INDEX('CAT_PUESTOS'!$B$4:$B$8,MATCH($G699,'CAT_PUESTOS'!$A$4:$A$8,0)),"(sin catálogo)"))</f>
        <v/>
      </c>
      <c r="X699" s="3">
        <f>IF($H699="","",IFERROR(INDEX('CAT_ACTIVIDADES'!$B$4:$B$8,MATCH($H699,'CAT_ACTIVIDADES'!$A$4:$A$8,0)),"(sin catálogo)"))</f>
        <v/>
      </c>
      <c r="Y699" s="12">
        <f>IF($J699="","",TODAY()-$J699)</f>
        <v/>
      </c>
      <c r="Z699" s="3">
        <f>IF($Y699="","",IF($Y699&lt;0,"FUTURO",IF($Y699&gt;p_dias_backlog_max,"BACKLOG","MES CORRIENTE")))</f>
        <v/>
      </c>
      <c r="AA699" s="3">
        <f>IF($Y699="",FALSE,AND($Y699&gt;p_dias_backlog_min,$Y699&lt;=p_dias_backlog_max))</f>
        <v/>
      </c>
      <c r="AB699" s="6" t="n"/>
      <c r="AC699" s="3">
        <f>IF($AB699="","",IFERROR(INDEX('ASIGNACIONES'!$F$4:$F$339,MATCH($O699&amp;"|"&amp;$R699&amp;"|"&amp;$AB699,'ASIGNACIONES'!$I$4:$I$339,0)),""))</f>
        <v/>
      </c>
      <c r="AD699" s="13">
        <f>IF($AB699="","",SUMIFS('ORDENES'!$M$4:$M$1203,'ORDENES'!$AB$4:$AB$1203,$AB699,'ORDENES'!$O$4:$O$1203,$O699,'ORDENES'!$R$4:$R$1203,$R699))</f>
        <v/>
      </c>
      <c r="AE699" s="13">
        <f>IF($AD699="","",p_factor_productividad*IFERROR(INDEX('ASIGNACIONES'!$H$4:$H$339,MATCH($O699&amp;"|"&amp;$R699&amp;"|"&amp;$AB699,'ASIGNACIONES'!$I$4:$I$339,0)),0)-$AD699)</f>
        <v/>
      </c>
      <c r="AF699" s="10">
        <f>IF($A699="","",IFERROR(INDEX('2_IMPORTAR_EJECUCION'!$F$9:$F$1208,MATCH($AN699,'2_IMPORTAR_EJECUCION'!$J$9:$J$1208,0)),0))</f>
        <v/>
      </c>
      <c r="AG699" s="10">
        <f>IF($A699="","",MAX(0,IFERROR(INDEX('2_IMPORTAR_EJECUCION'!$H$9:$H$1208,MATCH($AN699,'2_IMPORTAR_EJECUCION'!$J$9:$J$1208,0)),0)-$AF699))</f>
        <v/>
      </c>
      <c r="AH699" s="10">
        <f>IF($A699="","",$AF699+$AG699)</f>
        <v/>
      </c>
      <c r="AI699" s="6" t="n"/>
      <c r="AJ699" s="6" t="n"/>
      <c r="AK699" s="6" t="n"/>
      <c r="AL699" s="3">
        <f>IF($AK699="","",HYPERLINK(p_ruta_base_checklists&amp;$AK699,"abrir"))</f>
        <v/>
      </c>
      <c r="AM699" s="6" t="n"/>
      <c r="AN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1" t="n"/>
      <c r="K700" s="3" t="n"/>
      <c r="L700" s="10" t="n"/>
      <c r="M700" s="3">
        <f>IF($A700="","",IFERROR(INDEX('AJUSTES'!$B$4:$B$303,MATCH($AN700,'AJUSTES'!$A$4:$A$303,0)),IF($K700="","",$K700)))</f>
        <v/>
      </c>
      <c r="N700" s="3">
        <f>IF($A700="","",IFERROR(INDEX('CAT_ESTADOS_ERP'!$B$4:$B$7,MATCH(IFERROR(INDEX('2_IMPORTAR_EJECUCION'!$C$9:$C$1208,MATCH($AN700,'2_IMPORTAR_EJECUCION'!$J$9:$J$1208,0)),""),'CAT_ESTADOS_ERP'!$A$4:$A$7,0)),"Pendiente"))</f>
        <v/>
      </c>
      <c r="O700" s="3">
        <f>IF($J700="","",YEAR($J700+4-WEEKDAY($J700,2))&amp;"-S"&amp;TEXT(_xlfn.ISOWEEKNUM($J700),"00"))</f>
        <v/>
      </c>
      <c r="P700" s="3">
        <f>IF($J700="","",YEAR($J700))</f>
        <v/>
      </c>
      <c r="Q700" s="3">
        <f>IF($J700="","",MONTH($J700))</f>
        <v/>
      </c>
      <c r="R700" s="3">
        <f>IF($J700="","",INDEX(lista_dias,WEEKDAY($J700,2)))</f>
        <v/>
      </c>
      <c r="S700" s="3">
        <f>IF($I700="","",IFERROR(INDEX('CAT_TIPOS_OT'!$C$4:$C$7,MATCH($I700,'CAT_TIPOS_OT'!$A$4:$A$7,0)),"sin_clasificar"))</f>
        <v/>
      </c>
      <c r="T700" s="3">
        <f>IF($F700="","",IFERROR(INDEX('CAT_CENTROS_COSTO'!$E$4:$E$9,MATCH($F700,'CAT_CENTROS_COSTO'!$A$4:$A$9,0)),"(sin catálogo)"))</f>
        <v/>
      </c>
      <c r="U700" s="3">
        <f>IF($F700="","",IFERROR(INDEX('CAT_CENTROS_COSTO'!$D$4:$D$9,MATCH($F700,'CAT_CENTROS_COSTO'!$A$4:$A$9,0)),"(sin catálogo)"))</f>
        <v/>
      </c>
      <c r="V700" s="3">
        <f>IF($F700="","",IFERROR(INDEX('CAT_CENTROS_COSTO'!$F$4:$F$9,MATCH($F700,'CAT_CENTROS_COSTO'!$A$4:$A$9,0)),"(sin catálogo)"))</f>
        <v/>
      </c>
      <c r="W700" s="3">
        <f>IF($G700="","",IFERROR(INDEX('CAT_PUESTOS'!$B$4:$B$8,MATCH($G700,'CAT_PUESTOS'!$A$4:$A$8,0)),"(sin catálogo)"))</f>
        <v/>
      </c>
      <c r="X700" s="3">
        <f>IF($H700="","",IFERROR(INDEX('CAT_ACTIVIDADES'!$B$4:$B$8,MATCH($H700,'CAT_ACTIVIDADES'!$A$4:$A$8,0)),"(sin catálogo)"))</f>
        <v/>
      </c>
      <c r="Y700" s="12">
        <f>IF($J700="","",TODAY()-$J700)</f>
        <v/>
      </c>
      <c r="Z700" s="3">
        <f>IF($Y700="","",IF($Y700&lt;0,"FUTURO",IF($Y700&gt;p_dias_backlog_max,"BACKLOG","MES CORRIENTE")))</f>
        <v/>
      </c>
      <c r="AA700" s="3">
        <f>IF($Y700="",FALSE,AND($Y700&gt;p_dias_backlog_min,$Y700&lt;=p_dias_backlog_max))</f>
        <v/>
      </c>
      <c r="AB700" s="6" t="n"/>
      <c r="AC700" s="3">
        <f>IF($AB700="","",IFERROR(INDEX('ASIGNACIONES'!$F$4:$F$339,MATCH($O700&amp;"|"&amp;$R700&amp;"|"&amp;$AB700,'ASIGNACIONES'!$I$4:$I$339,0)),""))</f>
        <v/>
      </c>
      <c r="AD700" s="13">
        <f>IF($AB700="","",SUMIFS('ORDENES'!$M$4:$M$1203,'ORDENES'!$AB$4:$AB$1203,$AB700,'ORDENES'!$O$4:$O$1203,$O700,'ORDENES'!$R$4:$R$1203,$R700))</f>
        <v/>
      </c>
      <c r="AE700" s="13">
        <f>IF($AD700="","",p_factor_productividad*IFERROR(INDEX('ASIGNACIONES'!$H$4:$H$339,MATCH($O700&amp;"|"&amp;$R700&amp;"|"&amp;$AB700,'ASIGNACIONES'!$I$4:$I$339,0)),0)-$AD700)</f>
        <v/>
      </c>
      <c r="AF700" s="10">
        <f>IF($A700="","",IFERROR(INDEX('2_IMPORTAR_EJECUCION'!$F$9:$F$1208,MATCH($AN700,'2_IMPORTAR_EJECUCION'!$J$9:$J$1208,0)),0))</f>
        <v/>
      </c>
      <c r="AG700" s="10">
        <f>IF($A700="","",MAX(0,IFERROR(INDEX('2_IMPORTAR_EJECUCION'!$H$9:$H$1208,MATCH($AN700,'2_IMPORTAR_EJECUCION'!$J$9:$J$1208,0)),0)-$AF700))</f>
        <v/>
      </c>
      <c r="AH700" s="10">
        <f>IF($A700="","",$AF700+$AG700)</f>
        <v/>
      </c>
      <c r="AI700" s="6" t="n"/>
      <c r="AJ700" s="6" t="n"/>
      <c r="AK700" s="6" t="n"/>
      <c r="AL700" s="3">
        <f>IF($AK700="","",HYPERLINK(p_ruta_base_checklists&amp;$AK700,"abrir"))</f>
        <v/>
      </c>
      <c r="AM700" s="6" t="n"/>
      <c r="AN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1" t="n"/>
      <c r="K701" s="3" t="n"/>
      <c r="L701" s="10" t="n"/>
      <c r="M701" s="3">
        <f>IF($A701="","",IFERROR(INDEX('AJUSTES'!$B$4:$B$303,MATCH($AN701,'AJUSTES'!$A$4:$A$303,0)),IF($K701="","",$K701)))</f>
        <v/>
      </c>
      <c r="N701" s="3">
        <f>IF($A701="","",IFERROR(INDEX('CAT_ESTADOS_ERP'!$B$4:$B$7,MATCH(IFERROR(INDEX('2_IMPORTAR_EJECUCION'!$C$9:$C$1208,MATCH($AN701,'2_IMPORTAR_EJECUCION'!$J$9:$J$1208,0)),""),'CAT_ESTADOS_ERP'!$A$4:$A$7,0)),"Pendiente"))</f>
        <v/>
      </c>
      <c r="O701" s="3">
        <f>IF($J701="","",YEAR($J701+4-WEEKDAY($J701,2))&amp;"-S"&amp;TEXT(_xlfn.ISOWEEKNUM($J701),"00"))</f>
        <v/>
      </c>
      <c r="P701" s="3">
        <f>IF($J701="","",YEAR($J701))</f>
        <v/>
      </c>
      <c r="Q701" s="3">
        <f>IF($J701="","",MONTH($J701))</f>
        <v/>
      </c>
      <c r="R701" s="3">
        <f>IF($J701="","",INDEX(lista_dias,WEEKDAY($J701,2)))</f>
        <v/>
      </c>
      <c r="S701" s="3">
        <f>IF($I701="","",IFERROR(INDEX('CAT_TIPOS_OT'!$C$4:$C$7,MATCH($I701,'CAT_TIPOS_OT'!$A$4:$A$7,0)),"sin_clasificar"))</f>
        <v/>
      </c>
      <c r="T701" s="3">
        <f>IF($F701="","",IFERROR(INDEX('CAT_CENTROS_COSTO'!$E$4:$E$9,MATCH($F701,'CAT_CENTROS_COSTO'!$A$4:$A$9,0)),"(sin catálogo)"))</f>
        <v/>
      </c>
      <c r="U701" s="3">
        <f>IF($F701="","",IFERROR(INDEX('CAT_CENTROS_COSTO'!$D$4:$D$9,MATCH($F701,'CAT_CENTROS_COSTO'!$A$4:$A$9,0)),"(sin catálogo)"))</f>
        <v/>
      </c>
      <c r="V701" s="3">
        <f>IF($F701="","",IFERROR(INDEX('CAT_CENTROS_COSTO'!$F$4:$F$9,MATCH($F701,'CAT_CENTROS_COSTO'!$A$4:$A$9,0)),"(sin catálogo)"))</f>
        <v/>
      </c>
      <c r="W701" s="3">
        <f>IF($G701="","",IFERROR(INDEX('CAT_PUESTOS'!$B$4:$B$8,MATCH($G701,'CAT_PUESTOS'!$A$4:$A$8,0)),"(sin catálogo)"))</f>
        <v/>
      </c>
      <c r="X701" s="3">
        <f>IF($H701="","",IFERROR(INDEX('CAT_ACTIVIDADES'!$B$4:$B$8,MATCH($H701,'CAT_ACTIVIDADES'!$A$4:$A$8,0)),"(sin catálogo)"))</f>
        <v/>
      </c>
      <c r="Y701" s="12">
        <f>IF($J701="","",TODAY()-$J701)</f>
        <v/>
      </c>
      <c r="Z701" s="3">
        <f>IF($Y701="","",IF($Y701&lt;0,"FUTURO",IF($Y701&gt;p_dias_backlog_max,"BACKLOG","MES CORRIENTE")))</f>
        <v/>
      </c>
      <c r="AA701" s="3">
        <f>IF($Y701="",FALSE,AND($Y701&gt;p_dias_backlog_min,$Y701&lt;=p_dias_backlog_max))</f>
        <v/>
      </c>
      <c r="AB701" s="6" t="n"/>
      <c r="AC701" s="3">
        <f>IF($AB701="","",IFERROR(INDEX('ASIGNACIONES'!$F$4:$F$339,MATCH($O701&amp;"|"&amp;$R701&amp;"|"&amp;$AB701,'ASIGNACIONES'!$I$4:$I$339,0)),""))</f>
        <v/>
      </c>
      <c r="AD701" s="13">
        <f>IF($AB701="","",SUMIFS('ORDENES'!$M$4:$M$1203,'ORDENES'!$AB$4:$AB$1203,$AB701,'ORDENES'!$O$4:$O$1203,$O701,'ORDENES'!$R$4:$R$1203,$R701))</f>
        <v/>
      </c>
      <c r="AE701" s="13">
        <f>IF($AD701="","",p_factor_productividad*IFERROR(INDEX('ASIGNACIONES'!$H$4:$H$339,MATCH($O701&amp;"|"&amp;$R701&amp;"|"&amp;$AB701,'ASIGNACIONES'!$I$4:$I$339,0)),0)-$AD701)</f>
        <v/>
      </c>
      <c r="AF701" s="10">
        <f>IF($A701="","",IFERROR(INDEX('2_IMPORTAR_EJECUCION'!$F$9:$F$1208,MATCH($AN701,'2_IMPORTAR_EJECUCION'!$J$9:$J$1208,0)),0))</f>
        <v/>
      </c>
      <c r="AG701" s="10">
        <f>IF($A701="","",MAX(0,IFERROR(INDEX('2_IMPORTAR_EJECUCION'!$H$9:$H$1208,MATCH($AN701,'2_IMPORTAR_EJECUCION'!$J$9:$J$1208,0)),0)-$AF701))</f>
        <v/>
      </c>
      <c r="AH701" s="10">
        <f>IF($A701="","",$AF701+$AG701)</f>
        <v/>
      </c>
      <c r="AI701" s="6" t="n"/>
      <c r="AJ701" s="6" t="n"/>
      <c r="AK701" s="6" t="n"/>
      <c r="AL701" s="3">
        <f>IF($AK701="","",HYPERLINK(p_ruta_base_checklists&amp;$AK701,"abrir"))</f>
        <v/>
      </c>
      <c r="AM701" s="6" t="n"/>
      <c r="AN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1" t="n"/>
      <c r="K702" s="3" t="n"/>
      <c r="L702" s="10" t="n"/>
      <c r="M702" s="3">
        <f>IF($A702="","",IFERROR(INDEX('AJUSTES'!$B$4:$B$303,MATCH($AN702,'AJUSTES'!$A$4:$A$303,0)),IF($K702="","",$K702)))</f>
        <v/>
      </c>
      <c r="N702" s="3">
        <f>IF($A702="","",IFERROR(INDEX('CAT_ESTADOS_ERP'!$B$4:$B$7,MATCH(IFERROR(INDEX('2_IMPORTAR_EJECUCION'!$C$9:$C$1208,MATCH($AN702,'2_IMPORTAR_EJECUCION'!$J$9:$J$1208,0)),""),'CAT_ESTADOS_ERP'!$A$4:$A$7,0)),"Pendiente"))</f>
        <v/>
      </c>
      <c r="O702" s="3">
        <f>IF($J702="","",YEAR($J702+4-WEEKDAY($J702,2))&amp;"-S"&amp;TEXT(_xlfn.ISOWEEKNUM($J702),"00"))</f>
        <v/>
      </c>
      <c r="P702" s="3">
        <f>IF($J702="","",YEAR($J702))</f>
        <v/>
      </c>
      <c r="Q702" s="3">
        <f>IF($J702="","",MONTH($J702))</f>
        <v/>
      </c>
      <c r="R702" s="3">
        <f>IF($J702="","",INDEX(lista_dias,WEEKDAY($J702,2)))</f>
        <v/>
      </c>
      <c r="S702" s="3">
        <f>IF($I702="","",IFERROR(INDEX('CAT_TIPOS_OT'!$C$4:$C$7,MATCH($I702,'CAT_TIPOS_OT'!$A$4:$A$7,0)),"sin_clasificar"))</f>
        <v/>
      </c>
      <c r="T702" s="3">
        <f>IF($F702="","",IFERROR(INDEX('CAT_CENTROS_COSTO'!$E$4:$E$9,MATCH($F702,'CAT_CENTROS_COSTO'!$A$4:$A$9,0)),"(sin catálogo)"))</f>
        <v/>
      </c>
      <c r="U702" s="3">
        <f>IF($F702="","",IFERROR(INDEX('CAT_CENTROS_COSTO'!$D$4:$D$9,MATCH($F702,'CAT_CENTROS_COSTO'!$A$4:$A$9,0)),"(sin catálogo)"))</f>
        <v/>
      </c>
      <c r="V702" s="3">
        <f>IF($F702="","",IFERROR(INDEX('CAT_CENTROS_COSTO'!$F$4:$F$9,MATCH($F702,'CAT_CENTROS_COSTO'!$A$4:$A$9,0)),"(sin catálogo)"))</f>
        <v/>
      </c>
      <c r="W702" s="3">
        <f>IF($G702="","",IFERROR(INDEX('CAT_PUESTOS'!$B$4:$B$8,MATCH($G702,'CAT_PUESTOS'!$A$4:$A$8,0)),"(sin catálogo)"))</f>
        <v/>
      </c>
      <c r="X702" s="3">
        <f>IF($H702="","",IFERROR(INDEX('CAT_ACTIVIDADES'!$B$4:$B$8,MATCH($H702,'CAT_ACTIVIDADES'!$A$4:$A$8,0)),"(sin catálogo)"))</f>
        <v/>
      </c>
      <c r="Y702" s="12">
        <f>IF($J702="","",TODAY()-$J702)</f>
        <v/>
      </c>
      <c r="Z702" s="3">
        <f>IF($Y702="","",IF($Y702&lt;0,"FUTURO",IF($Y702&gt;p_dias_backlog_max,"BACKLOG","MES CORRIENTE")))</f>
        <v/>
      </c>
      <c r="AA702" s="3">
        <f>IF($Y702="",FALSE,AND($Y702&gt;p_dias_backlog_min,$Y702&lt;=p_dias_backlog_max))</f>
        <v/>
      </c>
      <c r="AB702" s="6" t="n"/>
      <c r="AC702" s="3">
        <f>IF($AB702="","",IFERROR(INDEX('ASIGNACIONES'!$F$4:$F$339,MATCH($O702&amp;"|"&amp;$R702&amp;"|"&amp;$AB702,'ASIGNACIONES'!$I$4:$I$339,0)),""))</f>
        <v/>
      </c>
      <c r="AD702" s="13">
        <f>IF($AB702="","",SUMIFS('ORDENES'!$M$4:$M$1203,'ORDENES'!$AB$4:$AB$1203,$AB702,'ORDENES'!$O$4:$O$1203,$O702,'ORDENES'!$R$4:$R$1203,$R702))</f>
        <v/>
      </c>
      <c r="AE702" s="13">
        <f>IF($AD702="","",p_factor_productividad*IFERROR(INDEX('ASIGNACIONES'!$H$4:$H$339,MATCH($O702&amp;"|"&amp;$R702&amp;"|"&amp;$AB702,'ASIGNACIONES'!$I$4:$I$339,0)),0)-$AD702)</f>
        <v/>
      </c>
      <c r="AF702" s="10">
        <f>IF($A702="","",IFERROR(INDEX('2_IMPORTAR_EJECUCION'!$F$9:$F$1208,MATCH($AN702,'2_IMPORTAR_EJECUCION'!$J$9:$J$1208,0)),0))</f>
        <v/>
      </c>
      <c r="AG702" s="10">
        <f>IF($A702="","",MAX(0,IFERROR(INDEX('2_IMPORTAR_EJECUCION'!$H$9:$H$1208,MATCH($AN702,'2_IMPORTAR_EJECUCION'!$J$9:$J$1208,0)),0)-$AF702))</f>
        <v/>
      </c>
      <c r="AH702" s="10">
        <f>IF($A702="","",$AF702+$AG702)</f>
        <v/>
      </c>
      <c r="AI702" s="6" t="n"/>
      <c r="AJ702" s="6" t="n"/>
      <c r="AK702" s="6" t="n"/>
      <c r="AL702" s="3">
        <f>IF($AK702="","",HYPERLINK(p_ruta_base_checklists&amp;$AK702,"abrir"))</f>
        <v/>
      </c>
      <c r="AM702" s="6" t="n"/>
      <c r="AN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1" t="n"/>
      <c r="K703" s="3" t="n"/>
      <c r="L703" s="10" t="n"/>
      <c r="M703" s="3">
        <f>IF($A703="","",IFERROR(INDEX('AJUSTES'!$B$4:$B$303,MATCH($AN703,'AJUSTES'!$A$4:$A$303,0)),IF($K703="","",$K703)))</f>
        <v/>
      </c>
      <c r="N703" s="3">
        <f>IF($A703="","",IFERROR(INDEX('CAT_ESTADOS_ERP'!$B$4:$B$7,MATCH(IFERROR(INDEX('2_IMPORTAR_EJECUCION'!$C$9:$C$1208,MATCH($AN703,'2_IMPORTAR_EJECUCION'!$J$9:$J$1208,0)),""),'CAT_ESTADOS_ERP'!$A$4:$A$7,0)),"Pendiente"))</f>
        <v/>
      </c>
      <c r="O703" s="3">
        <f>IF($J703="","",YEAR($J703+4-WEEKDAY($J703,2))&amp;"-S"&amp;TEXT(_xlfn.ISOWEEKNUM($J703),"00"))</f>
        <v/>
      </c>
      <c r="P703" s="3">
        <f>IF($J703="","",YEAR($J703))</f>
        <v/>
      </c>
      <c r="Q703" s="3">
        <f>IF($J703="","",MONTH($J703))</f>
        <v/>
      </c>
      <c r="R703" s="3">
        <f>IF($J703="","",INDEX(lista_dias,WEEKDAY($J703,2)))</f>
        <v/>
      </c>
      <c r="S703" s="3">
        <f>IF($I703="","",IFERROR(INDEX('CAT_TIPOS_OT'!$C$4:$C$7,MATCH($I703,'CAT_TIPOS_OT'!$A$4:$A$7,0)),"sin_clasificar"))</f>
        <v/>
      </c>
      <c r="T703" s="3">
        <f>IF($F703="","",IFERROR(INDEX('CAT_CENTROS_COSTO'!$E$4:$E$9,MATCH($F703,'CAT_CENTROS_COSTO'!$A$4:$A$9,0)),"(sin catálogo)"))</f>
        <v/>
      </c>
      <c r="U703" s="3">
        <f>IF($F703="","",IFERROR(INDEX('CAT_CENTROS_COSTO'!$D$4:$D$9,MATCH($F703,'CAT_CENTROS_COSTO'!$A$4:$A$9,0)),"(sin catálogo)"))</f>
        <v/>
      </c>
      <c r="V703" s="3">
        <f>IF($F703="","",IFERROR(INDEX('CAT_CENTROS_COSTO'!$F$4:$F$9,MATCH($F703,'CAT_CENTROS_COSTO'!$A$4:$A$9,0)),"(sin catálogo)"))</f>
        <v/>
      </c>
      <c r="W703" s="3">
        <f>IF($G703="","",IFERROR(INDEX('CAT_PUESTOS'!$B$4:$B$8,MATCH($G703,'CAT_PUESTOS'!$A$4:$A$8,0)),"(sin catálogo)"))</f>
        <v/>
      </c>
      <c r="X703" s="3">
        <f>IF($H703="","",IFERROR(INDEX('CAT_ACTIVIDADES'!$B$4:$B$8,MATCH($H703,'CAT_ACTIVIDADES'!$A$4:$A$8,0)),"(sin catálogo)"))</f>
        <v/>
      </c>
      <c r="Y703" s="12">
        <f>IF($J703="","",TODAY()-$J703)</f>
        <v/>
      </c>
      <c r="Z703" s="3">
        <f>IF($Y703="","",IF($Y703&lt;0,"FUTURO",IF($Y703&gt;p_dias_backlog_max,"BACKLOG","MES CORRIENTE")))</f>
        <v/>
      </c>
      <c r="AA703" s="3">
        <f>IF($Y703="",FALSE,AND($Y703&gt;p_dias_backlog_min,$Y703&lt;=p_dias_backlog_max))</f>
        <v/>
      </c>
      <c r="AB703" s="6" t="n"/>
      <c r="AC703" s="3">
        <f>IF($AB703="","",IFERROR(INDEX('ASIGNACIONES'!$F$4:$F$339,MATCH($O703&amp;"|"&amp;$R703&amp;"|"&amp;$AB703,'ASIGNACIONES'!$I$4:$I$339,0)),""))</f>
        <v/>
      </c>
      <c r="AD703" s="13">
        <f>IF($AB703="","",SUMIFS('ORDENES'!$M$4:$M$1203,'ORDENES'!$AB$4:$AB$1203,$AB703,'ORDENES'!$O$4:$O$1203,$O703,'ORDENES'!$R$4:$R$1203,$R703))</f>
        <v/>
      </c>
      <c r="AE703" s="13">
        <f>IF($AD703="","",p_factor_productividad*IFERROR(INDEX('ASIGNACIONES'!$H$4:$H$339,MATCH($O703&amp;"|"&amp;$R703&amp;"|"&amp;$AB703,'ASIGNACIONES'!$I$4:$I$339,0)),0)-$AD703)</f>
        <v/>
      </c>
      <c r="AF703" s="10">
        <f>IF($A703="","",IFERROR(INDEX('2_IMPORTAR_EJECUCION'!$F$9:$F$1208,MATCH($AN703,'2_IMPORTAR_EJECUCION'!$J$9:$J$1208,0)),0))</f>
        <v/>
      </c>
      <c r="AG703" s="10">
        <f>IF($A703="","",MAX(0,IFERROR(INDEX('2_IMPORTAR_EJECUCION'!$H$9:$H$1208,MATCH($AN703,'2_IMPORTAR_EJECUCION'!$J$9:$J$1208,0)),0)-$AF703))</f>
        <v/>
      </c>
      <c r="AH703" s="10">
        <f>IF($A703="","",$AF703+$AG703)</f>
        <v/>
      </c>
      <c r="AI703" s="6" t="n"/>
      <c r="AJ703" s="6" t="n"/>
      <c r="AK703" s="6" t="n"/>
      <c r="AL703" s="3">
        <f>IF($AK703="","",HYPERLINK(p_ruta_base_checklists&amp;$AK703,"abrir"))</f>
        <v/>
      </c>
      <c r="AM703" s="6" t="n"/>
      <c r="AN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1" t="n"/>
      <c r="K704" s="3" t="n"/>
      <c r="L704" s="10" t="n"/>
      <c r="M704" s="3">
        <f>IF($A704="","",IFERROR(INDEX('AJUSTES'!$B$4:$B$303,MATCH($AN704,'AJUSTES'!$A$4:$A$303,0)),IF($K704="","",$K704)))</f>
        <v/>
      </c>
      <c r="N704" s="3">
        <f>IF($A704="","",IFERROR(INDEX('CAT_ESTADOS_ERP'!$B$4:$B$7,MATCH(IFERROR(INDEX('2_IMPORTAR_EJECUCION'!$C$9:$C$1208,MATCH($AN704,'2_IMPORTAR_EJECUCION'!$J$9:$J$1208,0)),""),'CAT_ESTADOS_ERP'!$A$4:$A$7,0)),"Pendiente"))</f>
        <v/>
      </c>
      <c r="O704" s="3">
        <f>IF($J704="","",YEAR($J704+4-WEEKDAY($J704,2))&amp;"-S"&amp;TEXT(_xlfn.ISOWEEKNUM($J704),"00"))</f>
        <v/>
      </c>
      <c r="P704" s="3">
        <f>IF($J704="","",YEAR($J704))</f>
        <v/>
      </c>
      <c r="Q704" s="3">
        <f>IF($J704="","",MONTH($J704))</f>
        <v/>
      </c>
      <c r="R704" s="3">
        <f>IF($J704="","",INDEX(lista_dias,WEEKDAY($J704,2)))</f>
        <v/>
      </c>
      <c r="S704" s="3">
        <f>IF($I704="","",IFERROR(INDEX('CAT_TIPOS_OT'!$C$4:$C$7,MATCH($I704,'CAT_TIPOS_OT'!$A$4:$A$7,0)),"sin_clasificar"))</f>
        <v/>
      </c>
      <c r="T704" s="3">
        <f>IF($F704="","",IFERROR(INDEX('CAT_CENTROS_COSTO'!$E$4:$E$9,MATCH($F704,'CAT_CENTROS_COSTO'!$A$4:$A$9,0)),"(sin catálogo)"))</f>
        <v/>
      </c>
      <c r="U704" s="3">
        <f>IF($F704="","",IFERROR(INDEX('CAT_CENTROS_COSTO'!$D$4:$D$9,MATCH($F704,'CAT_CENTROS_COSTO'!$A$4:$A$9,0)),"(sin catálogo)"))</f>
        <v/>
      </c>
      <c r="V704" s="3">
        <f>IF($F704="","",IFERROR(INDEX('CAT_CENTROS_COSTO'!$F$4:$F$9,MATCH($F704,'CAT_CENTROS_COSTO'!$A$4:$A$9,0)),"(sin catálogo)"))</f>
        <v/>
      </c>
      <c r="W704" s="3">
        <f>IF($G704="","",IFERROR(INDEX('CAT_PUESTOS'!$B$4:$B$8,MATCH($G704,'CAT_PUESTOS'!$A$4:$A$8,0)),"(sin catálogo)"))</f>
        <v/>
      </c>
      <c r="X704" s="3">
        <f>IF($H704="","",IFERROR(INDEX('CAT_ACTIVIDADES'!$B$4:$B$8,MATCH($H704,'CAT_ACTIVIDADES'!$A$4:$A$8,0)),"(sin catálogo)"))</f>
        <v/>
      </c>
      <c r="Y704" s="12">
        <f>IF($J704="","",TODAY()-$J704)</f>
        <v/>
      </c>
      <c r="Z704" s="3">
        <f>IF($Y704="","",IF($Y704&lt;0,"FUTURO",IF($Y704&gt;p_dias_backlog_max,"BACKLOG","MES CORRIENTE")))</f>
        <v/>
      </c>
      <c r="AA704" s="3">
        <f>IF($Y704="",FALSE,AND($Y704&gt;p_dias_backlog_min,$Y704&lt;=p_dias_backlog_max))</f>
        <v/>
      </c>
      <c r="AB704" s="6" t="n"/>
      <c r="AC704" s="3">
        <f>IF($AB704="","",IFERROR(INDEX('ASIGNACIONES'!$F$4:$F$339,MATCH($O704&amp;"|"&amp;$R704&amp;"|"&amp;$AB704,'ASIGNACIONES'!$I$4:$I$339,0)),""))</f>
        <v/>
      </c>
      <c r="AD704" s="13">
        <f>IF($AB704="","",SUMIFS('ORDENES'!$M$4:$M$1203,'ORDENES'!$AB$4:$AB$1203,$AB704,'ORDENES'!$O$4:$O$1203,$O704,'ORDENES'!$R$4:$R$1203,$R704))</f>
        <v/>
      </c>
      <c r="AE704" s="13">
        <f>IF($AD704="","",p_factor_productividad*IFERROR(INDEX('ASIGNACIONES'!$H$4:$H$339,MATCH($O704&amp;"|"&amp;$R704&amp;"|"&amp;$AB704,'ASIGNACIONES'!$I$4:$I$339,0)),0)-$AD704)</f>
        <v/>
      </c>
      <c r="AF704" s="10">
        <f>IF($A704="","",IFERROR(INDEX('2_IMPORTAR_EJECUCION'!$F$9:$F$1208,MATCH($AN704,'2_IMPORTAR_EJECUCION'!$J$9:$J$1208,0)),0))</f>
        <v/>
      </c>
      <c r="AG704" s="10">
        <f>IF($A704="","",MAX(0,IFERROR(INDEX('2_IMPORTAR_EJECUCION'!$H$9:$H$1208,MATCH($AN704,'2_IMPORTAR_EJECUCION'!$J$9:$J$1208,0)),0)-$AF704))</f>
        <v/>
      </c>
      <c r="AH704" s="10">
        <f>IF($A704="","",$AF704+$AG704)</f>
        <v/>
      </c>
      <c r="AI704" s="6" t="n"/>
      <c r="AJ704" s="6" t="n"/>
      <c r="AK704" s="6" t="n"/>
      <c r="AL704" s="3">
        <f>IF($AK704="","",HYPERLINK(p_ruta_base_checklists&amp;$AK704,"abrir"))</f>
        <v/>
      </c>
      <c r="AM704" s="6" t="n"/>
      <c r="AN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1" t="n"/>
      <c r="K705" s="3" t="n"/>
      <c r="L705" s="10" t="n"/>
      <c r="M705" s="3">
        <f>IF($A705="","",IFERROR(INDEX('AJUSTES'!$B$4:$B$303,MATCH($AN705,'AJUSTES'!$A$4:$A$303,0)),IF($K705="","",$K705)))</f>
        <v/>
      </c>
      <c r="N705" s="3">
        <f>IF($A705="","",IFERROR(INDEX('CAT_ESTADOS_ERP'!$B$4:$B$7,MATCH(IFERROR(INDEX('2_IMPORTAR_EJECUCION'!$C$9:$C$1208,MATCH($AN705,'2_IMPORTAR_EJECUCION'!$J$9:$J$1208,0)),""),'CAT_ESTADOS_ERP'!$A$4:$A$7,0)),"Pendiente"))</f>
        <v/>
      </c>
      <c r="O705" s="3">
        <f>IF($J705="","",YEAR($J705+4-WEEKDAY($J705,2))&amp;"-S"&amp;TEXT(_xlfn.ISOWEEKNUM($J705),"00"))</f>
        <v/>
      </c>
      <c r="P705" s="3">
        <f>IF($J705="","",YEAR($J705))</f>
        <v/>
      </c>
      <c r="Q705" s="3">
        <f>IF($J705="","",MONTH($J705))</f>
        <v/>
      </c>
      <c r="R705" s="3">
        <f>IF($J705="","",INDEX(lista_dias,WEEKDAY($J705,2)))</f>
        <v/>
      </c>
      <c r="S705" s="3">
        <f>IF($I705="","",IFERROR(INDEX('CAT_TIPOS_OT'!$C$4:$C$7,MATCH($I705,'CAT_TIPOS_OT'!$A$4:$A$7,0)),"sin_clasificar"))</f>
        <v/>
      </c>
      <c r="T705" s="3">
        <f>IF($F705="","",IFERROR(INDEX('CAT_CENTROS_COSTO'!$E$4:$E$9,MATCH($F705,'CAT_CENTROS_COSTO'!$A$4:$A$9,0)),"(sin catálogo)"))</f>
        <v/>
      </c>
      <c r="U705" s="3">
        <f>IF($F705="","",IFERROR(INDEX('CAT_CENTROS_COSTO'!$D$4:$D$9,MATCH($F705,'CAT_CENTROS_COSTO'!$A$4:$A$9,0)),"(sin catálogo)"))</f>
        <v/>
      </c>
      <c r="V705" s="3">
        <f>IF($F705="","",IFERROR(INDEX('CAT_CENTROS_COSTO'!$F$4:$F$9,MATCH($F705,'CAT_CENTROS_COSTO'!$A$4:$A$9,0)),"(sin catálogo)"))</f>
        <v/>
      </c>
      <c r="W705" s="3">
        <f>IF($G705="","",IFERROR(INDEX('CAT_PUESTOS'!$B$4:$B$8,MATCH($G705,'CAT_PUESTOS'!$A$4:$A$8,0)),"(sin catálogo)"))</f>
        <v/>
      </c>
      <c r="X705" s="3">
        <f>IF($H705="","",IFERROR(INDEX('CAT_ACTIVIDADES'!$B$4:$B$8,MATCH($H705,'CAT_ACTIVIDADES'!$A$4:$A$8,0)),"(sin catálogo)"))</f>
        <v/>
      </c>
      <c r="Y705" s="12">
        <f>IF($J705="","",TODAY()-$J705)</f>
        <v/>
      </c>
      <c r="Z705" s="3">
        <f>IF($Y705="","",IF($Y705&lt;0,"FUTURO",IF($Y705&gt;p_dias_backlog_max,"BACKLOG","MES CORRIENTE")))</f>
        <v/>
      </c>
      <c r="AA705" s="3">
        <f>IF($Y705="",FALSE,AND($Y705&gt;p_dias_backlog_min,$Y705&lt;=p_dias_backlog_max))</f>
        <v/>
      </c>
      <c r="AB705" s="6" t="n"/>
      <c r="AC705" s="3">
        <f>IF($AB705="","",IFERROR(INDEX('ASIGNACIONES'!$F$4:$F$339,MATCH($O705&amp;"|"&amp;$R705&amp;"|"&amp;$AB705,'ASIGNACIONES'!$I$4:$I$339,0)),""))</f>
        <v/>
      </c>
      <c r="AD705" s="13">
        <f>IF($AB705="","",SUMIFS('ORDENES'!$M$4:$M$1203,'ORDENES'!$AB$4:$AB$1203,$AB705,'ORDENES'!$O$4:$O$1203,$O705,'ORDENES'!$R$4:$R$1203,$R705))</f>
        <v/>
      </c>
      <c r="AE705" s="13">
        <f>IF($AD705="","",p_factor_productividad*IFERROR(INDEX('ASIGNACIONES'!$H$4:$H$339,MATCH($O705&amp;"|"&amp;$R705&amp;"|"&amp;$AB705,'ASIGNACIONES'!$I$4:$I$339,0)),0)-$AD705)</f>
        <v/>
      </c>
      <c r="AF705" s="10">
        <f>IF($A705="","",IFERROR(INDEX('2_IMPORTAR_EJECUCION'!$F$9:$F$1208,MATCH($AN705,'2_IMPORTAR_EJECUCION'!$J$9:$J$1208,0)),0))</f>
        <v/>
      </c>
      <c r="AG705" s="10">
        <f>IF($A705="","",MAX(0,IFERROR(INDEX('2_IMPORTAR_EJECUCION'!$H$9:$H$1208,MATCH($AN705,'2_IMPORTAR_EJECUCION'!$J$9:$J$1208,0)),0)-$AF705))</f>
        <v/>
      </c>
      <c r="AH705" s="10">
        <f>IF($A705="","",$AF705+$AG705)</f>
        <v/>
      </c>
      <c r="AI705" s="6" t="n"/>
      <c r="AJ705" s="6" t="n"/>
      <c r="AK705" s="6" t="n"/>
      <c r="AL705" s="3">
        <f>IF($AK705="","",HYPERLINK(p_ruta_base_checklists&amp;$AK705,"abrir"))</f>
        <v/>
      </c>
      <c r="AM705" s="6" t="n"/>
      <c r="AN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1" t="n"/>
      <c r="K706" s="3" t="n"/>
      <c r="L706" s="10" t="n"/>
      <c r="M706" s="3">
        <f>IF($A706="","",IFERROR(INDEX('AJUSTES'!$B$4:$B$303,MATCH($AN706,'AJUSTES'!$A$4:$A$303,0)),IF($K706="","",$K706)))</f>
        <v/>
      </c>
      <c r="N706" s="3">
        <f>IF($A706="","",IFERROR(INDEX('CAT_ESTADOS_ERP'!$B$4:$B$7,MATCH(IFERROR(INDEX('2_IMPORTAR_EJECUCION'!$C$9:$C$1208,MATCH($AN706,'2_IMPORTAR_EJECUCION'!$J$9:$J$1208,0)),""),'CAT_ESTADOS_ERP'!$A$4:$A$7,0)),"Pendiente"))</f>
        <v/>
      </c>
      <c r="O706" s="3">
        <f>IF($J706="","",YEAR($J706+4-WEEKDAY($J706,2))&amp;"-S"&amp;TEXT(_xlfn.ISOWEEKNUM($J706),"00"))</f>
        <v/>
      </c>
      <c r="P706" s="3">
        <f>IF($J706="","",YEAR($J706))</f>
        <v/>
      </c>
      <c r="Q706" s="3">
        <f>IF($J706="","",MONTH($J706))</f>
        <v/>
      </c>
      <c r="R706" s="3">
        <f>IF($J706="","",INDEX(lista_dias,WEEKDAY($J706,2)))</f>
        <v/>
      </c>
      <c r="S706" s="3">
        <f>IF($I706="","",IFERROR(INDEX('CAT_TIPOS_OT'!$C$4:$C$7,MATCH($I706,'CAT_TIPOS_OT'!$A$4:$A$7,0)),"sin_clasificar"))</f>
        <v/>
      </c>
      <c r="T706" s="3">
        <f>IF($F706="","",IFERROR(INDEX('CAT_CENTROS_COSTO'!$E$4:$E$9,MATCH($F706,'CAT_CENTROS_COSTO'!$A$4:$A$9,0)),"(sin catálogo)"))</f>
        <v/>
      </c>
      <c r="U706" s="3">
        <f>IF($F706="","",IFERROR(INDEX('CAT_CENTROS_COSTO'!$D$4:$D$9,MATCH($F706,'CAT_CENTROS_COSTO'!$A$4:$A$9,0)),"(sin catálogo)"))</f>
        <v/>
      </c>
      <c r="V706" s="3">
        <f>IF($F706="","",IFERROR(INDEX('CAT_CENTROS_COSTO'!$F$4:$F$9,MATCH($F706,'CAT_CENTROS_COSTO'!$A$4:$A$9,0)),"(sin catálogo)"))</f>
        <v/>
      </c>
      <c r="W706" s="3">
        <f>IF($G706="","",IFERROR(INDEX('CAT_PUESTOS'!$B$4:$B$8,MATCH($G706,'CAT_PUESTOS'!$A$4:$A$8,0)),"(sin catálogo)"))</f>
        <v/>
      </c>
      <c r="X706" s="3">
        <f>IF($H706="","",IFERROR(INDEX('CAT_ACTIVIDADES'!$B$4:$B$8,MATCH($H706,'CAT_ACTIVIDADES'!$A$4:$A$8,0)),"(sin catálogo)"))</f>
        <v/>
      </c>
      <c r="Y706" s="12">
        <f>IF($J706="","",TODAY()-$J706)</f>
        <v/>
      </c>
      <c r="Z706" s="3">
        <f>IF($Y706="","",IF($Y706&lt;0,"FUTURO",IF($Y706&gt;p_dias_backlog_max,"BACKLOG","MES CORRIENTE")))</f>
        <v/>
      </c>
      <c r="AA706" s="3">
        <f>IF($Y706="",FALSE,AND($Y706&gt;p_dias_backlog_min,$Y706&lt;=p_dias_backlog_max))</f>
        <v/>
      </c>
      <c r="AB706" s="6" t="n"/>
      <c r="AC706" s="3">
        <f>IF($AB706="","",IFERROR(INDEX('ASIGNACIONES'!$F$4:$F$339,MATCH($O706&amp;"|"&amp;$R706&amp;"|"&amp;$AB706,'ASIGNACIONES'!$I$4:$I$339,0)),""))</f>
        <v/>
      </c>
      <c r="AD706" s="13">
        <f>IF($AB706="","",SUMIFS('ORDENES'!$M$4:$M$1203,'ORDENES'!$AB$4:$AB$1203,$AB706,'ORDENES'!$O$4:$O$1203,$O706,'ORDENES'!$R$4:$R$1203,$R706))</f>
        <v/>
      </c>
      <c r="AE706" s="13">
        <f>IF($AD706="","",p_factor_productividad*IFERROR(INDEX('ASIGNACIONES'!$H$4:$H$339,MATCH($O706&amp;"|"&amp;$R706&amp;"|"&amp;$AB706,'ASIGNACIONES'!$I$4:$I$339,0)),0)-$AD706)</f>
        <v/>
      </c>
      <c r="AF706" s="10">
        <f>IF($A706="","",IFERROR(INDEX('2_IMPORTAR_EJECUCION'!$F$9:$F$1208,MATCH($AN706,'2_IMPORTAR_EJECUCION'!$J$9:$J$1208,0)),0))</f>
        <v/>
      </c>
      <c r="AG706" s="10">
        <f>IF($A706="","",MAX(0,IFERROR(INDEX('2_IMPORTAR_EJECUCION'!$H$9:$H$1208,MATCH($AN706,'2_IMPORTAR_EJECUCION'!$J$9:$J$1208,0)),0)-$AF706))</f>
        <v/>
      </c>
      <c r="AH706" s="10">
        <f>IF($A706="","",$AF706+$AG706)</f>
        <v/>
      </c>
      <c r="AI706" s="6" t="n"/>
      <c r="AJ706" s="6" t="n"/>
      <c r="AK706" s="6" t="n"/>
      <c r="AL706" s="3">
        <f>IF($AK706="","",HYPERLINK(p_ruta_base_checklists&amp;$AK706,"abrir"))</f>
        <v/>
      </c>
      <c r="AM706" s="6" t="n"/>
      <c r="AN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1" t="n"/>
      <c r="K707" s="3" t="n"/>
      <c r="L707" s="10" t="n"/>
      <c r="M707" s="3">
        <f>IF($A707="","",IFERROR(INDEX('AJUSTES'!$B$4:$B$303,MATCH($AN707,'AJUSTES'!$A$4:$A$303,0)),IF($K707="","",$K707)))</f>
        <v/>
      </c>
      <c r="N707" s="3">
        <f>IF($A707="","",IFERROR(INDEX('CAT_ESTADOS_ERP'!$B$4:$B$7,MATCH(IFERROR(INDEX('2_IMPORTAR_EJECUCION'!$C$9:$C$1208,MATCH($AN707,'2_IMPORTAR_EJECUCION'!$J$9:$J$1208,0)),""),'CAT_ESTADOS_ERP'!$A$4:$A$7,0)),"Pendiente"))</f>
        <v/>
      </c>
      <c r="O707" s="3">
        <f>IF($J707="","",YEAR($J707+4-WEEKDAY($J707,2))&amp;"-S"&amp;TEXT(_xlfn.ISOWEEKNUM($J707),"00"))</f>
        <v/>
      </c>
      <c r="P707" s="3">
        <f>IF($J707="","",YEAR($J707))</f>
        <v/>
      </c>
      <c r="Q707" s="3">
        <f>IF($J707="","",MONTH($J707))</f>
        <v/>
      </c>
      <c r="R707" s="3">
        <f>IF($J707="","",INDEX(lista_dias,WEEKDAY($J707,2)))</f>
        <v/>
      </c>
      <c r="S707" s="3">
        <f>IF($I707="","",IFERROR(INDEX('CAT_TIPOS_OT'!$C$4:$C$7,MATCH($I707,'CAT_TIPOS_OT'!$A$4:$A$7,0)),"sin_clasificar"))</f>
        <v/>
      </c>
      <c r="T707" s="3">
        <f>IF($F707="","",IFERROR(INDEX('CAT_CENTROS_COSTO'!$E$4:$E$9,MATCH($F707,'CAT_CENTROS_COSTO'!$A$4:$A$9,0)),"(sin catálogo)"))</f>
        <v/>
      </c>
      <c r="U707" s="3">
        <f>IF($F707="","",IFERROR(INDEX('CAT_CENTROS_COSTO'!$D$4:$D$9,MATCH($F707,'CAT_CENTROS_COSTO'!$A$4:$A$9,0)),"(sin catálogo)"))</f>
        <v/>
      </c>
      <c r="V707" s="3">
        <f>IF($F707="","",IFERROR(INDEX('CAT_CENTROS_COSTO'!$F$4:$F$9,MATCH($F707,'CAT_CENTROS_COSTO'!$A$4:$A$9,0)),"(sin catálogo)"))</f>
        <v/>
      </c>
      <c r="W707" s="3">
        <f>IF($G707="","",IFERROR(INDEX('CAT_PUESTOS'!$B$4:$B$8,MATCH($G707,'CAT_PUESTOS'!$A$4:$A$8,0)),"(sin catálogo)"))</f>
        <v/>
      </c>
      <c r="X707" s="3">
        <f>IF($H707="","",IFERROR(INDEX('CAT_ACTIVIDADES'!$B$4:$B$8,MATCH($H707,'CAT_ACTIVIDADES'!$A$4:$A$8,0)),"(sin catálogo)"))</f>
        <v/>
      </c>
      <c r="Y707" s="12">
        <f>IF($J707="","",TODAY()-$J707)</f>
        <v/>
      </c>
      <c r="Z707" s="3">
        <f>IF($Y707="","",IF($Y707&lt;0,"FUTURO",IF($Y707&gt;p_dias_backlog_max,"BACKLOG","MES CORRIENTE")))</f>
        <v/>
      </c>
      <c r="AA707" s="3">
        <f>IF($Y707="",FALSE,AND($Y707&gt;p_dias_backlog_min,$Y707&lt;=p_dias_backlog_max))</f>
        <v/>
      </c>
      <c r="AB707" s="6" t="n"/>
      <c r="AC707" s="3">
        <f>IF($AB707="","",IFERROR(INDEX('ASIGNACIONES'!$F$4:$F$339,MATCH($O707&amp;"|"&amp;$R707&amp;"|"&amp;$AB707,'ASIGNACIONES'!$I$4:$I$339,0)),""))</f>
        <v/>
      </c>
      <c r="AD707" s="13">
        <f>IF($AB707="","",SUMIFS('ORDENES'!$M$4:$M$1203,'ORDENES'!$AB$4:$AB$1203,$AB707,'ORDENES'!$O$4:$O$1203,$O707,'ORDENES'!$R$4:$R$1203,$R707))</f>
        <v/>
      </c>
      <c r="AE707" s="13">
        <f>IF($AD707="","",p_factor_productividad*IFERROR(INDEX('ASIGNACIONES'!$H$4:$H$339,MATCH($O707&amp;"|"&amp;$R707&amp;"|"&amp;$AB707,'ASIGNACIONES'!$I$4:$I$339,0)),0)-$AD707)</f>
        <v/>
      </c>
      <c r="AF707" s="10">
        <f>IF($A707="","",IFERROR(INDEX('2_IMPORTAR_EJECUCION'!$F$9:$F$1208,MATCH($AN707,'2_IMPORTAR_EJECUCION'!$J$9:$J$1208,0)),0))</f>
        <v/>
      </c>
      <c r="AG707" s="10">
        <f>IF($A707="","",MAX(0,IFERROR(INDEX('2_IMPORTAR_EJECUCION'!$H$9:$H$1208,MATCH($AN707,'2_IMPORTAR_EJECUCION'!$J$9:$J$1208,0)),0)-$AF707))</f>
        <v/>
      </c>
      <c r="AH707" s="10">
        <f>IF($A707="","",$AF707+$AG707)</f>
        <v/>
      </c>
      <c r="AI707" s="6" t="n"/>
      <c r="AJ707" s="6" t="n"/>
      <c r="AK707" s="6" t="n"/>
      <c r="AL707" s="3">
        <f>IF($AK707="","",HYPERLINK(p_ruta_base_checklists&amp;$AK707,"abrir"))</f>
        <v/>
      </c>
      <c r="AM707" s="6" t="n"/>
      <c r="AN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1" t="n"/>
      <c r="K708" s="3" t="n"/>
      <c r="L708" s="10" t="n"/>
      <c r="M708" s="3">
        <f>IF($A708="","",IFERROR(INDEX('AJUSTES'!$B$4:$B$303,MATCH($AN708,'AJUSTES'!$A$4:$A$303,0)),IF($K708="","",$K708)))</f>
        <v/>
      </c>
      <c r="N708" s="3">
        <f>IF($A708="","",IFERROR(INDEX('CAT_ESTADOS_ERP'!$B$4:$B$7,MATCH(IFERROR(INDEX('2_IMPORTAR_EJECUCION'!$C$9:$C$1208,MATCH($AN708,'2_IMPORTAR_EJECUCION'!$J$9:$J$1208,0)),""),'CAT_ESTADOS_ERP'!$A$4:$A$7,0)),"Pendiente"))</f>
        <v/>
      </c>
      <c r="O708" s="3">
        <f>IF($J708="","",YEAR($J708+4-WEEKDAY($J708,2))&amp;"-S"&amp;TEXT(_xlfn.ISOWEEKNUM($J708),"00"))</f>
        <v/>
      </c>
      <c r="P708" s="3">
        <f>IF($J708="","",YEAR($J708))</f>
        <v/>
      </c>
      <c r="Q708" s="3">
        <f>IF($J708="","",MONTH($J708))</f>
        <v/>
      </c>
      <c r="R708" s="3">
        <f>IF($J708="","",INDEX(lista_dias,WEEKDAY($J708,2)))</f>
        <v/>
      </c>
      <c r="S708" s="3">
        <f>IF($I708="","",IFERROR(INDEX('CAT_TIPOS_OT'!$C$4:$C$7,MATCH($I708,'CAT_TIPOS_OT'!$A$4:$A$7,0)),"sin_clasificar"))</f>
        <v/>
      </c>
      <c r="T708" s="3">
        <f>IF($F708="","",IFERROR(INDEX('CAT_CENTROS_COSTO'!$E$4:$E$9,MATCH($F708,'CAT_CENTROS_COSTO'!$A$4:$A$9,0)),"(sin catálogo)"))</f>
        <v/>
      </c>
      <c r="U708" s="3">
        <f>IF($F708="","",IFERROR(INDEX('CAT_CENTROS_COSTO'!$D$4:$D$9,MATCH($F708,'CAT_CENTROS_COSTO'!$A$4:$A$9,0)),"(sin catálogo)"))</f>
        <v/>
      </c>
      <c r="V708" s="3">
        <f>IF($F708="","",IFERROR(INDEX('CAT_CENTROS_COSTO'!$F$4:$F$9,MATCH($F708,'CAT_CENTROS_COSTO'!$A$4:$A$9,0)),"(sin catálogo)"))</f>
        <v/>
      </c>
      <c r="W708" s="3">
        <f>IF($G708="","",IFERROR(INDEX('CAT_PUESTOS'!$B$4:$B$8,MATCH($G708,'CAT_PUESTOS'!$A$4:$A$8,0)),"(sin catálogo)"))</f>
        <v/>
      </c>
      <c r="X708" s="3">
        <f>IF($H708="","",IFERROR(INDEX('CAT_ACTIVIDADES'!$B$4:$B$8,MATCH($H708,'CAT_ACTIVIDADES'!$A$4:$A$8,0)),"(sin catálogo)"))</f>
        <v/>
      </c>
      <c r="Y708" s="12">
        <f>IF($J708="","",TODAY()-$J708)</f>
        <v/>
      </c>
      <c r="Z708" s="3">
        <f>IF($Y708="","",IF($Y708&lt;0,"FUTURO",IF($Y708&gt;p_dias_backlog_max,"BACKLOG","MES CORRIENTE")))</f>
        <v/>
      </c>
      <c r="AA708" s="3">
        <f>IF($Y708="",FALSE,AND($Y708&gt;p_dias_backlog_min,$Y708&lt;=p_dias_backlog_max))</f>
        <v/>
      </c>
      <c r="AB708" s="6" t="n"/>
      <c r="AC708" s="3">
        <f>IF($AB708="","",IFERROR(INDEX('ASIGNACIONES'!$F$4:$F$339,MATCH($O708&amp;"|"&amp;$R708&amp;"|"&amp;$AB708,'ASIGNACIONES'!$I$4:$I$339,0)),""))</f>
        <v/>
      </c>
      <c r="AD708" s="13">
        <f>IF($AB708="","",SUMIFS('ORDENES'!$M$4:$M$1203,'ORDENES'!$AB$4:$AB$1203,$AB708,'ORDENES'!$O$4:$O$1203,$O708,'ORDENES'!$R$4:$R$1203,$R708))</f>
        <v/>
      </c>
      <c r="AE708" s="13">
        <f>IF($AD708="","",p_factor_productividad*IFERROR(INDEX('ASIGNACIONES'!$H$4:$H$339,MATCH($O708&amp;"|"&amp;$R708&amp;"|"&amp;$AB708,'ASIGNACIONES'!$I$4:$I$339,0)),0)-$AD708)</f>
        <v/>
      </c>
      <c r="AF708" s="10">
        <f>IF($A708="","",IFERROR(INDEX('2_IMPORTAR_EJECUCION'!$F$9:$F$1208,MATCH($AN708,'2_IMPORTAR_EJECUCION'!$J$9:$J$1208,0)),0))</f>
        <v/>
      </c>
      <c r="AG708" s="10">
        <f>IF($A708="","",MAX(0,IFERROR(INDEX('2_IMPORTAR_EJECUCION'!$H$9:$H$1208,MATCH($AN708,'2_IMPORTAR_EJECUCION'!$J$9:$J$1208,0)),0)-$AF708))</f>
        <v/>
      </c>
      <c r="AH708" s="10">
        <f>IF($A708="","",$AF708+$AG708)</f>
        <v/>
      </c>
      <c r="AI708" s="6" t="n"/>
      <c r="AJ708" s="6" t="n"/>
      <c r="AK708" s="6" t="n"/>
      <c r="AL708" s="3">
        <f>IF($AK708="","",HYPERLINK(p_ruta_base_checklists&amp;$AK708,"abrir"))</f>
        <v/>
      </c>
      <c r="AM708" s="6" t="n"/>
      <c r="AN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1" t="n"/>
      <c r="K709" s="3" t="n"/>
      <c r="L709" s="10" t="n"/>
      <c r="M709" s="3">
        <f>IF($A709="","",IFERROR(INDEX('AJUSTES'!$B$4:$B$303,MATCH($AN709,'AJUSTES'!$A$4:$A$303,0)),IF($K709="","",$K709)))</f>
        <v/>
      </c>
      <c r="N709" s="3">
        <f>IF($A709="","",IFERROR(INDEX('CAT_ESTADOS_ERP'!$B$4:$B$7,MATCH(IFERROR(INDEX('2_IMPORTAR_EJECUCION'!$C$9:$C$1208,MATCH($AN709,'2_IMPORTAR_EJECUCION'!$J$9:$J$1208,0)),""),'CAT_ESTADOS_ERP'!$A$4:$A$7,0)),"Pendiente"))</f>
        <v/>
      </c>
      <c r="O709" s="3">
        <f>IF($J709="","",YEAR($J709+4-WEEKDAY($J709,2))&amp;"-S"&amp;TEXT(_xlfn.ISOWEEKNUM($J709),"00"))</f>
        <v/>
      </c>
      <c r="P709" s="3">
        <f>IF($J709="","",YEAR($J709))</f>
        <v/>
      </c>
      <c r="Q709" s="3">
        <f>IF($J709="","",MONTH($J709))</f>
        <v/>
      </c>
      <c r="R709" s="3">
        <f>IF($J709="","",INDEX(lista_dias,WEEKDAY($J709,2)))</f>
        <v/>
      </c>
      <c r="S709" s="3">
        <f>IF($I709="","",IFERROR(INDEX('CAT_TIPOS_OT'!$C$4:$C$7,MATCH($I709,'CAT_TIPOS_OT'!$A$4:$A$7,0)),"sin_clasificar"))</f>
        <v/>
      </c>
      <c r="T709" s="3">
        <f>IF($F709="","",IFERROR(INDEX('CAT_CENTROS_COSTO'!$E$4:$E$9,MATCH($F709,'CAT_CENTROS_COSTO'!$A$4:$A$9,0)),"(sin catálogo)"))</f>
        <v/>
      </c>
      <c r="U709" s="3">
        <f>IF($F709="","",IFERROR(INDEX('CAT_CENTROS_COSTO'!$D$4:$D$9,MATCH($F709,'CAT_CENTROS_COSTO'!$A$4:$A$9,0)),"(sin catálogo)"))</f>
        <v/>
      </c>
      <c r="V709" s="3">
        <f>IF($F709="","",IFERROR(INDEX('CAT_CENTROS_COSTO'!$F$4:$F$9,MATCH($F709,'CAT_CENTROS_COSTO'!$A$4:$A$9,0)),"(sin catálogo)"))</f>
        <v/>
      </c>
      <c r="W709" s="3">
        <f>IF($G709="","",IFERROR(INDEX('CAT_PUESTOS'!$B$4:$B$8,MATCH($G709,'CAT_PUESTOS'!$A$4:$A$8,0)),"(sin catálogo)"))</f>
        <v/>
      </c>
      <c r="X709" s="3">
        <f>IF($H709="","",IFERROR(INDEX('CAT_ACTIVIDADES'!$B$4:$B$8,MATCH($H709,'CAT_ACTIVIDADES'!$A$4:$A$8,0)),"(sin catálogo)"))</f>
        <v/>
      </c>
      <c r="Y709" s="12">
        <f>IF($J709="","",TODAY()-$J709)</f>
        <v/>
      </c>
      <c r="Z709" s="3">
        <f>IF($Y709="","",IF($Y709&lt;0,"FUTURO",IF($Y709&gt;p_dias_backlog_max,"BACKLOG","MES CORRIENTE")))</f>
        <v/>
      </c>
      <c r="AA709" s="3">
        <f>IF($Y709="",FALSE,AND($Y709&gt;p_dias_backlog_min,$Y709&lt;=p_dias_backlog_max))</f>
        <v/>
      </c>
      <c r="AB709" s="6" t="n"/>
      <c r="AC709" s="3">
        <f>IF($AB709="","",IFERROR(INDEX('ASIGNACIONES'!$F$4:$F$339,MATCH($O709&amp;"|"&amp;$R709&amp;"|"&amp;$AB709,'ASIGNACIONES'!$I$4:$I$339,0)),""))</f>
        <v/>
      </c>
      <c r="AD709" s="13">
        <f>IF($AB709="","",SUMIFS('ORDENES'!$M$4:$M$1203,'ORDENES'!$AB$4:$AB$1203,$AB709,'ORDENES'!$O$4:$O$1203,$O709,'ORDENES'!$R$4:$R$1203,$R709))</f>
        <v/>
      </c>
      <c r="AE709" s="13">
        <f>IF($AD709="","",p_factor_productividad*IFERROR(INDEX('ASIGNACIONES'!$H$4:$H$339,MATCH($O709&amp;"|"&amp;$R709&amp;"|"&amp;$AB709,'ASIGNACIONES'!$I$4:$I$339,0)),0)-$AD709)</f>
        <v/>
      </c>
      <c r="AF709" s="10">
        <f>IF($A709="","",IFERROR(INDEX('2_IMPORTAR_EJECUCION'!$F$9:$F$1208,MATCH($AN709,'2_IMPORTAR_EJECUCION'!$J$9:$J$1208,0)),0))</f>
        <v/>
      </c>
      <c r="AG709" s="10">
        <f>IF($A709="","",MAX(0,IFERROR(INDEX('2_IMPORTAR_EJECUCION'!$H$9:$H$1208,MATCH($AN709,'2_IMPORTAR_EJECUCION'!$J$9:$J$1208,0)),0)-$AF709))</f>
        <v/>
      </c>
      <c r="AH709" s="10">
        <f>IF($A709="","",$AF709+$AG709)</f>
        <v/>
      </c>
      <c r="AI709" s="6" t="n"/>
      <c r="AJ709" s="6" t="n"/>
      <c r="AK709" s="6" t="n"/>
      <c r="AL709" s="3">
        <f>IF($AK709="","",HYPERLINK(p_ruta_base_checklists&amp;$AK709,"abrir"))</f>
        <v/>
      </c>
      <c r="AM709" s="6" t="n"/>
      <c r="AN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1" t="n"/>
      <c r="K710" s="3" t="n"/>
      <c r="L710" s="10" t="n"/>
      <c r="M710" s="3">
        <f>IF($A710="","",IFERROR(INDEX('AJUSTES'!$B$4:$B$303,MATCH($AN710,'AJUSTES'!$A$4:$A$303,0)),IF($K710="","",$K710)))</f>
        <v/>
      </c>
      <c r="N710" s="3">
        <f>IF($A710="","",IFERROR(INDEX('CAT_ESTADOS_ERP'!$B$4:$B$7,MATCH(IFERROR(INDEX('2_IMPORTAR_EJECUCION'!$C$9:$C$1208,MATCH($AN710,'2_IMPORTAR_EJECUCION'!$J$9:$J$1208,0)),""),'CAT_ESTADOS_ERP'!$A$4:$A$7,0)),"Pendiente"))</f>
        <v/>
      </c>
      <c r="O710" s="3">
        <f>IF($J710="","",YEAR($J710+4-WEEKDAY($J710,2))&amp;"-S"&amp;TEXT(_xlfn.ISOWEEKNUM($J710),"00"))</f>
        <v/>
      </c>
      <c r="P710" s="3">
        <f>IF($J710="","",YEAR($J710))</f>
        <v/>
      </c>
      <c r="Q710" s="3">
        <f>IF($J710="","",MONTH($J710))</f>
        <v/>
      </c>
      <c r="R710" s="3">
        <f>IF($J710="","",INDEX(lista_dias,WEEKDAY($J710,2)))</f>
        <v/>
      </c>
      <c r="S710" s="3">
        <f>IF($I710="","",IFERROR(INDEX('CAT_TIPOS_OT'!$C$4:$C$7,MATCH($I710,'CAT_TIPOS_OT'!$A$4:$A$7,0)),"sin_clasificar"))</f>
        <v/>
      </c>
      <c r="T710" s="3">
        <f>IF($F710="","",IFERROR(INDEX('CAT_CENTROS_COSTO'!$E$4:$E$9,MATCH($F710,'CAT_CENTROS_COSTO'!$A$4:$A$9,0)),"(sin catálogo)"))</f>
        <v/>
      </c>
      <c r="U710" s="3">
        <f>IF($F710="","",IFERROR(INDEX('CAT_CENTROS_COSTO'!$D$4:$D$9,MATCH($F710,'CAT_CENTROS_COSTO'!$A$4:$A$9,0)),"(sin catálogo)"))</f>
        <v/>
      </c>
      <c r="V710" s="3">
        <f>IF($F710="","",IFERROR(INDEX('CAT_CENTROS_COSTO'!$F$4:$F$9,MATCH($F710,'CAT_CENTROS_COSTO'!$A$4:$A$9,0)),"(sin catálogo)"))</f>
        <v/>
      </c>
      <c r="W710" s="3">
        <f>IF($G710="","",IFERROR(INDEX('CAT_PUESTOS'!$B$4:$B$8,MATCH($G710,'CAT_PUESTOS'!$A$4:$A$8,0)),"(sin catálogo)"))</f>
        <v/>
      </c>
      <c r="X710" s="3">
        <f>IF($H710="","",IFERROR(INDEX('CAT_ACTIVIDADES'!$B$4:$B$8,MATCH($H710,'CAT_ACTIVIDADES'!$A$4:$A$8,0)),"(sin catálogo)"))</f>
        <v/>
      </c>
      <c r="Y710" s="12">
        <f>IF($J710="","",TODAY()-$J710)</f>
        <v/>
      </c>
      <c r="Z710" s="3">
        <f>IF($Y710="","",IF($Y710&lt;0,"FUTURO",IF($Y710&gt;p_dias_backlog_max,"BACKLOG","MES CORRIENTE")))</f>
        <v/>
      </c>
      <c r="AA710" s="3">
        <f>IF($Y710="",FALSE,AND($Y710&gt;p_dias_backlog_min,$Y710&lt;=p_dias_backlog_max))</f>
        <v/>
      </c>
      <c r="AB710" s="6" t="n"/>
      <c r="AC710" s="3">
        <f>IF($AB710="","",IFERROR(INDEX('ASIGNACIONES'!$F$4:$F$339,MATCH($O710&amp;"|"&amp;$R710&amp;"|"&amp;$AB710,'ASIGNACIONES'!$I$4:$I$339,0)),""))</f>
        <v/>
      </c>
      <c r="AD710" s="13">
        <f>IF($AB710="","",SUMIFS('ORDENES'!$M$4:$M$1203,'ORDENES'!$AB$4:$AB$1203,$AB710,'ORDENES'!$O$4:$O$1203,$O710,'ORDENES'!$R$4:$R$1203,$R710))</f>
        <v/>
      </c>
      <c r="AE710" s="13">
        <f>IF($AD710="","",p_factor_productividad*IFERROR(INDEX('ASIGNACIONES'!$H$4:$H$339,MATCH($O710&amp;"|"&amp;$R710&amp;"|"&amp;$AB710,'ASIGNACIONES'!$I$4:$I$339,0)),0)-$AD710)</f>
        <v/>
      </c>
      <c r="AF710" s="10">
        <f>IF($A710="","",IFERROR(INDEX('2_IMPORTAR_EJECUCION'!$F$9:$F$1208,MATCH($AN710,'2_IMPORTAR_EJECUCION'!$J$9:$J$1208,0)),0))</f>
        <v/>
      </c>
      <c r="AG710" s="10">
        <f>IF($A710="","",MAX(0,IFERROR(INDEX('2_IMPORTAR_EJECUCION'!$H$9:$H$1208,MATCH($AN710,'2_IMPORTAR_EJECUCION'!$J$9:$J$1208,0)),0)-$AF710))</f>
        <v/>
      </c>
      <c r="AH710" s="10">
        <f>IF($A710="","",$AF710+$AG710)</f>
        <v/>
      </c>
      <c r="AI710" s="6" t="n"/>
      <c r="AJ710" s="6" t="n"/>
      <c r="AK710" s="6" t="n"/>
      <c r="AL710" s="3">
        <f>IF($AK710="","",HYPERLINK(p_ruta_base_checklists&amp;$AK710,"abrir"))</f>
        <v/>
      </c>
      <c r="AM710" s="6" t="n"/>
      <c r="AN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1" t="n"/>
      <c r="K711" s="3" t="n"/>
      <c r="L711" s="10" t="n"/>
      <c r="M711" s="3">
        <f>IF($A711="","",IFERROR(INDEX('AJUSTES'!$B$4:$B$303,MATCH($AN711,'AJUSTES'!$A$4:$A$303,0)),IF($K711="","",$K711)))</f>
        <v/>
      </c>
      <c r="N711" s="3">
        <f>IF($A711="","",IFERROR(INDEX('CAT_ESTADOS_ERP'!$B$4:$B$7,MATCH(IFERROR(INDEX('2_IMPORTAR_EJECUCION'!$C$9:$C$1208,MATCH($AN711,'2_IMPORTAR_EJECUCION'!$J$9:$J$1208,0)),""),'CAT_ESTADOS_ERP'!$A$4:$A$7,0)),"Pendiente"))</f>
        <v/>
      </c>
      <c r="O711" s="3">
        <f>IF($J711="","",YEAR($J711+4-WEEKDAY($J711,2))&amp;"-S"&amp;TEXT(_xlfn.ISOWEEKNUM($J711),"00"))</f>
        <v/>
      </c>
      <c r="P711" s="3">
        <f>IF($J711="","",YEAR($J711))</f>
        <v/>
      </c>
      <c r="Q711" s="3">
        <f>IF($J711="","",MONTH($J711))</f>
        <v/>
      </c>
      <c r="R711" s="3">
        <f>IF($J711="","",INDEX(lista_dias,WEEKDAY($J711,2)))</f>
        <v/>
      </c>
      <c r="S711" s="3">
        <f>IF($I711="","",IFERROR(INDEX('CAT_TIPOS_OT'!$C$4:$C$7,MATCH($I711,'CAT_TIPOS_OT'!$A$4:$A$7,0)),"sin_clasificar"))</f>
        <v/>
      </c>
      <c r="T711" s="3">
        <f>IF($F711="","",IFERROR(INDEX('CAT_CENTROS_COSTO'!$E$4:$E$9,MATCH($F711,'CAT_CENTROS_COSTO'!$A$4:$A$9,0)),"(sin catálogo)"))</f>
        <v/>
      </c>
      <c r="U711" s="3">
        <f>IF($F711="","",IFERROR(INDEX('CAT_CENTROS_COSTO'!$D$4:$D$9,MATCH($F711,'CAT_CENTROS_COSTO'!$A$4:$A$9,0)),"(sin catálogo)"))</f>
        <v/>
      </c>
      <c r="V711" s="3">
        <f>IF($F711="","",IFERROR(INDEX('CAT_CENTROS_COSTO'!$F$4:$F$9,MATCH($F711,'CAT_CENTROS_COSTO'!$A$4:$A$9,0)),"(sin catálogo)"))</f>
        <v/>
      </c>
      <c r="W711" s="3">
        <f>IF($G711="","",IFERROR(INDEX('CAT_PUESTOS'!$B$4:$B$8,MATCH($G711,'CAT_PUESTOS'!$A$4:$A$8,0)),"(sin catálogo)"))</f>
        <v/>
      </c>
      <c r="X711" s="3">
        <f>IF($H711="","",IFERROR(INDEX('CAT_ACTIVIDADES'!$B$4:$B$8,MATCH($H711,'CAT_ACTIVIDADES'!$A$4:$A$8,0)),"(sin catálogo)"))</f>
        <v/>
      </c>
      <c r="Y711" s="12">
        <f>IF($J711="","",TODAY()-$J711)</f>
        <v/>
      </c>
      <c r="Z711" s="3">
        <f>IF($Y711="","",IF($Y711&lt;0,"FUTURO",IF($Y711&gt;p_dias_backlog_max,"BACKLOG","MES CORRIENTE")))</f>
        <v/>
      </c>
      <c r="AA711" s="3">
        <f>IF($Y711="",FALSE,AND($Y711&gt;p_dias_backlog_min,$Y711&lt;=p_dias_backlog_max))</f>
        <v/>
      </c>
      <c r="AB711" s="6" t="n"/>
      <c r="AC711" s="3">
        <f>IF($AB711="","",IFERROR(INDEX('ASIGNACIONES'!$F$4:$F$339,MATCH($O711&amp;"|"&amp;$R711&amp;"|"&amp;$AB711,'ASIGNACIONES'!$I$4:$I$339,0)),""))</f>
        <v/>
      </c>
      <c r="AD711" s="13">
        <f>IF($AB711="","",SUMIFS('ORDENES'!$M$4:$M$1203,'ORDENES'!$AB$4:$AB$1203,$AB711,'ORDENES'!$O$4:$O$1203,$O711,'ORDENES'!$R$4:$R$1203,$R711))</f>
        <v/>
      </c>
      <c r="AE711" s="13">
        <f>IF($AD711="","",p_factor_productividad*IFERROR(INDEX('ASIGNACIONES'!$H$4:$H$339,MATCH($O711&amp;"|"&amp;$R711&amp;"|"&amp;$AB711,'ASIGNACIONES'!$I$4:$I$339,0)),0)-$AD711)</f>
        <v/>
      </c>
      <c r="AF711" s="10">
        <f>IF($A711="","",IFERROR(INDEX('2_IMPORTAR_EJECUCION'!$F$9:$F$1208,MATCH($AN711,'2_IMPORTAR_EJECUCION'!$J$9:$J$1208,0)),0))</f>
        <v/>
      </c>
      <c r="AG711" s="10">
        <f>IF($A711="","",MAX(0,IFERROR(INDEX('2_IMPORTAR_EJECUCION'!$H$9:$H$1208,MATCH($AN711,'2_IMPORTAR_EJECUCION'!$J$9:$J$1208,0)),0)-$AF711))</f>
        <v/>
      </c>
      <c r="AH711" s="10">
        <f>IF($A711="","",$AF711+$AG711)</f>
        <v/>
      </c>
      <c r="AI711" s="6" t="n"/>
      <c r="AJ711" s="6" t="n"/>
      <c r="AK711" s="6" t="n"/>
      <c r="AL711" s="3">
        <f>IF($AK711="","",HYPERLINK(p_ruta_base_checklists&amp;$AK711,"abrir"))</f>
        <v/>
      </c>
      <c r="AM711" s="6" t="n"/>
      <c r="AN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1" t="n"/>
      <c r="K712" s="3" t="n"/>
      <c r="L712" s="10" t="n"/>
      <c r="M712" s="3">
        <f>IF($A712="","",IFERROR(INDEX('AJUSTES'!$B$4:$B$303,MATCH($AN712,'AJUSTES'!$A$4:$A$303,0)),IF($K712="","",$K712)))</f>
        <v/>
      </c>
      <c r="N712" s="3">
        <f>IF($A712="","",IFERROR(INDEX('CAT_ESTADOS_ERP'!$B$4:$B$7,MATCH(IFERROR(INDEX('2_IMPORTAR_EJECUCION'!$C$9:$C$1208,MATCH($AN712,'2_IMPORTAR_EJECUCION'!$J$9:$J$1208,0)),""),'CAT_ESTADOS_ERP'!$A$4:$A$7,0)),"Pendiente"))</f>
        <v/>
      </c>
      <c r="O712" s="3">
        <f>IF($J712="","",YEAR($J712+4-WEEKDAY($J712,2))&amp;"-S"&amp;TEXT(_xlfn.ISOWEEKNUM($J712),"00"))</f>
        <v/>
      </c>
      <c r="P712" s="3">
        <f>IF($J712="","",YEAR($J712))</f>
        <v/>
      </c>
      <c r="Q712" s="3">
        <f>IF($J712="","",MONTH($J712))</f>
        <v/>
      </c>
      <c r="R712" s="3">
        <f>IF($J712="","",INDEX(lista_dias,WEEKDAY($J712,2)))</f>
        <v/>
      </c>
      <c r="S712" s="3">
        <f>IF($I712="","",IFERROR(INDEX('CAT_TIPOS_OT'!$C$4:$C$7,MATCH($I712,'CAT_TIPOS_OT'!$A$4:$A$7,0)),"sin_clasificar"))</f>
        <v/>
      </c>
      <c r="T712" s="3">
        <f>IF($F712="","",IFERROR(INDEX('CAT_CENTROS_COSTO'!$E$4:$E$9,MATCH($F712,'CAT_CENTROS_COSTO'!$A$4:$A$9,0)),"(sin catálogo)"))</f>
        <v/>
      </c>
      <c r="U712" s="3">
        <f>IF($F712="","",IFERROR(INDEX('CAT_CENTROS_COSTO'!$D$4:$D$9,MATCH($F712,'CAT_CENTROS_COSTO'!$A$4:$A$9,0)),"(sin catálogo)"))</f>
        <v/>
      </c>
      <c r="V712" s="3">
        <f>IF($F712="","",IFERROR(INDEX('CAT_CENTROS_COSTO'!$F$4:$F$9,MATCH($F712,'CAT_CENTROS_COSTO'!$A$4:$A$9,0)),"(sin catálogo)"))</f>
        <v/>
      </c>
      <c r="W712" s="3">
        <f>IF($G712="","",IFERROR(INDEX('CAT_PUESTOS'!$B$4:$B$8,MATCH($G712,'CAT_PUESTOS'!$A$4:$A$8,0)),"(sin catálogo)"))</f>
        <v/>
      </c>
      <c r="X712" s="3">
        <f>IF($H712="","",IFERROR(INDEX('CAT_ACTIVIDADES'!$B$4:$B$8,MATCH($H712,'CAT_ACTIVIDADES'!$A$4:$A$8,0)),"(sin catálogo)"))</f>
        <v/>
      </c>
      <c r="Y712" s="12">
        <f>IF($J712="","",TODAY()-$J712)</f>
        <v/>
      </c>
      <c r="Z712" s="3">
        <f>IF($Y712="","",IF($Y712&lt;0,"FUTURO",IF($Y712&gt;p_dias_backlog_max,"BACKLOG","MES CORRIENTE")))</f>
        <v/>
      </c>
      <c r="AA712" s="3">
        <f>IF($Y712="",FALSE,AND($Y712&gt;p_dias_backlog_min,$Y712&lt;=p_dias_backlog_max))</f>
        <v/>
      </c>
      <c r="AB712" s="6" t="n"/>
      <c r="AC712" s="3">
        <f>IF($AB712="","",IFERROR(INDEX('ASIGNACIONES'!$F$4:$F$339,MATCH($O712&amp;"|"&amp;$R712&amp;"|"&amp;$AB712,'ASIGNACIONES'!$I$4:$I$339,0)),""))</f>
        <v/>
      </c>
      <c r="AD712" s="13">
        <f>IF($AB712="","",SUMIFS('ORDENES'!$M$4:$M$1203,'ORDENES'!$AB$4:$AB$1203,$AB712,'ORDENES'!$O$4:$O$1203,$O712,'ORDENES'!$R$4:$R$1203,$R712))</f>
        <v/>
      </c>
      <c r="AE712" s="13">
        <f>IF($AD712="","",p_factor_productividad*IFERROR(INDEX('ASIGNACIONES'!$H$4:$H$339,MATCH($O712&amp;"|"&amp;$R712&amp;"|"&amp;$AB712,'ASIGNACIONES'!$I$4:$I$339,0)),0)-$AD712)</f>
        <v/>
      </c>
      <c r="AF712" s="10">
        <f>IF($A712="","",IFERROR(INDEX('2_IMPORTAR_EJECUCION'!$F$9:$F$1208,MATCH($AN712,'2_IMPORTAR_EJECUCION'!$J$9:$J$1208,0)),0))</f>
        <v/>
      </c>
      <c r="AG712" s="10">
        <f>IF($A712="","",MAX(0,IFERROR(INDEX('2_IMPORTAR_EJECUCION'!$H$9:$H$1208,MATCH($AN712,'2_IMPORTAR_EJECUCION'!$J$9:$J$1208,0)),0)-$AF712))</f>
        <v/>
      </c>
      <c r="AH712" s="10">
        <f>IF($A712="","",$AF712+$AG712)</f>
        <v/>
      </c>
      <c r="AI712" s="6" t="n"/>
      <c r="AJ712" s="6" t="n"/>
      <c r="AK712" s="6" t="n"/>
      <c r="AL712" s="3">
        <f>IF($AK712="","",HYPERLINK(p_ruta_base_checklists&amp;$AK712,"abrir"))</f>
        <v/>
      </c>
      <c r="AM712" s="6" t="n"/>
      <c r="AN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1" t="n"/>
      <c r="K713" s="3" t="n"/>
      <c r="L713" s="10" t="n"/>
      <c r="M713" s="3">
        <f>IF($A713="","",IFERROR(INDEX('AJUSTES'!$B$4:$B$303,MATCH($AN713,'AJUSTES'!$A$4:$A$303,0)),IF($K713="","",$K713)))</f>
        <v/>
      </c>
      <c r="N713" s="3">
        <f>IF($A713="","",IFERROR(INDEX('CAT_ESTADOS_ERP'!$B$4:$B$7,MATCH(IFERROR(INDEX('2_IMPORTAR_EJECUCION'!$C$9:$C$1208,MATCH($AN713,'2_IMPORTAR_EJECUCION'!$J$9:$J$1208,0)),""),'CAT_ESTADOS_ERP'!$A$4:$A$7,0)),"Pendiente"))</f>
        <v/>
      </c>
      <c r="O713" s="3">
        <f>IF($J713="","",YEAR($J713+4-WEEKDAY($J713,2))&amp;"-S"&amp;TEXT(_xlfn.ISOWEEKNUM($J713),"00"))</f>
        <v/>
      </c>
      <c r="P713" s="3">
        <f>IF($J713="","",YEAR($J713))</f>
        <v/>
      </c>
      <c r="Q713" s="3">
        <f>IF($J713="","",MONTH($J713))</f>
        <v/>
      </c>
      <c r="R713" s="3">
        <f>IF($J713="","",INDEX(lista_dias,WEEKDAY($J713,2)))</f>
        <v/>
      </c>
      <c r="S713" s="3">
        <f>IF($I713="","",IFERROR(INDEX('CAT_TIPOS_OT'!$C$4:$C$7,MATCH($I713,'CAT_TIPOS_OT'!$A$4:$A$7,0)),"sin_clasificar"))</f>
        <v/>
      </c>
      <c r="T713" s="3">
        <f>IF($F713="","",IFERROR(INDEX('CAT_CENTROS_COSTO'!$E$4:$E$9,MATCH($F713,'CAT_CENTROS_COSTO'!$A$4:$A$9,0)),"(sin catálogo)"))</f>
        <v/>
      </c>
      <c r="U713" s="3">
        <f>IF($F713="","",IFERROR(INDEX('CAT_CENTROS_COSTO'!$D$4:$D$9,MATCH($F713,'CAT_CENTROS_COSTO'!$A$4:$A$9,0)),"(sin catálogo)"))</f>
        <v/>
      </c>
      <c r="V713" s="3">
        <f>IF($F713="","",IFERROR(INDEX('CAT_CENTROS_COSTO'!$F$4:$F$9,MATCH($F713,'CAT_CENTROS_COSTO'!$A$4:$A$9,0)),"(sin catálogo)"))</f>
        <v/>
      </c>
      <c r="W713" s="3">
        <f>IF($G713="","",IFERROR(INDEX('CAT_PUESTOS'!$B$4:$B$8,MATCH($G713,'CAT_PUESTOS'!$A$4:$A$8,0)),"(sin catálogo)"))</f>
        <v/>
      </c>
      <c r="X713" s="3">
        <f>IF($H713="","",IFERROR(INDEX('CAT_ACTIVIDADES'!$B$4:$B$8,MATCH($H713,'CAT_ACTIVIDADES'!$A$4:$A$8,0)),"(sin catálogo)"))</f>
        <v/>
      </c>
      <c r="Y713" s="12">
        <f>IF($J713="","",TODAY()-$J713)</f>
        <v/>
      </c>
      <c r="Z713" s="3">
        <f>IF($Y713="","",IF($Y713&lt;0,"FUTURO",IF($Y713&gt;p_dias_backlog_max,"BACKLOG","MES CORRIENTE")))</f>
        <v/>
      </c>
      <c r="AA713" s="3">
        <f>IF($Y713="",FALSE,AND($Y713&gt;p_dias_backlog_min,$Y713&lt;=p_dias_backlog_max))</f>
        <v/>
      </c>
      <c r="AB713" s="6" t="n"/>
      <c r="AC713" s="3">
        <f>IF($AB713="","",IFERROR(INDEX('ASIGNACIONES'!$F$4:$F$339,MATCH($O713&amp;"|"&amp;$R713&amp;"|"&amp;$AB713,'ASIGNACIONES'!$I$4:$I$339,0)),""))</f>
        <v/>
      </c>
      <c r="AD713" s="13">
        <f>IF($AB713="","",SUMIFS('ORDENES'!$M$4:$M$1203,'ORDENES'!$AB$4:$AB$1203,$AB713,'ORDENES'!$O$4:$O$1203,$O713,'ORDENES'!$R$4:$R$1203,$R713))</f>
        <v/>
      </c>
      <c r="AE713" s="13">
        <f>IF($AD713="","",p_factor_productividad*IFERROR(INDEX('ASIGNACIONES'!$H$4:$H$339,MATCH($O713&amp;"|"&amp;$R713&amp;"|"&amp;$AB713,'ASIGNACIONES'!$I$4:$I$339,0)),0)-$AD713)</f>
        <v/>
      </c>
      <c r="AF713" s="10">
        <f>IF($A713="","",IFERROR(INDEX('2_IMPORTAR_EJECUCION'!$F$9:$F$1208,MATCH($AN713,'2_IMPORTAR_EJECUCION'!$J$9:$J$1208,0)),0))</f>
        <v/>
      </c>
      <c r="AG713" s="10">
        <f>IF($A713="","",MAX(0,IFERROR(INDEX('2_IMPORTAR_EJECUCION'!$H$9:$H$1208,MATCH($AN713,'2_IMPORTAR_EJECUCION'!$J$9:$J$1208,0)),0)-$AF713))</f>
        <v/>
      </c>
      <c r="AH713" s="10">
        <f>IF($A713="","",$AF713+$AG713)</f>
        <v/>
      </c>
      <c r="AI713" s="6" t="n"/>
      <c r="AJ713" s="6" t="n"/>
      <c r="AK713" s="6" t="n"/>
      <c r="AL713" s="3">
        <f>IF($AK713="","",HYPERLINK(p_ruta_base_checklists&amp;$AK713,"abrir"))</f>
        <v/>
      </c>
      <c r="AM713" s="6" t="n"/>
      <c r="AN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1" t="n"/>
      <c r="K714" s="3" t="n"/>
      <c r="L714" s="10" t="n"/>
      <c r="M714" s="3">
        <f>IF($A714="","",IFERROR(INDEX('AJUSTES'!$B$4:$B$303,MATCH($AN714,'AJUSTES'!$A$4:$A$303,0)),IF($K714="","",$K714)))</f>
        <v/>
      </c>
      <c r="N714" s="3">
        <f>IF($A714="","",IFERROR(INDEX('CAT_ESTADOS_ERP'!$B$4:$B$7,MATCH(IFERROR(INDEX('2_IMPORTAR_EJECUCION'!$C$9:$C$1208,MATCH($AN714,'2_IMPORTAR_EJECUCION'!$J$9:$J$1208,0)),""),'CAT_ESTADOS_ERP'!$A$4:$A$7,0)),"Pendiente"))</f>
        <v/>
      </c>
      <c r="O714" s="3">
        <f>IF($J714="","",YEAR($J714+4-WEEKDAY($J714,2))&amp;"-S"&amp;TEXT(_xlfn.ISOWEEKNUM($J714),"00"))</f>
        <v/>
      </c>
      <c r="P714" s="3">
        <f>IF($J714="","",YEAR($J714))</f>
        <v/>
      </c>
      <c r="Q714" s="3">
        <f>IF($J714="","",MONTH($J714))</f>
        <v/>
      </c>
      <c r="R714" s="3">
        <f>IF($J714="","",INDEX(lista_dias,WEEKDAY($J714,2)))</f>
        <v/>
      </c>
      <c r="S714" s="3">
        <f>IF($I714="","",IFERROR(INDEX('CAT_TIPOS_OT'!$C$4:$C$7,MATCH($I714,'CAT_TIPOS_OT'!$A$4:$A$7,0)),"sin_clasificar"))</f>
        <v/>
      </c>
      <c r="T714" s="3">
        <f>IF($F714="","",IFERROR(INDEX('CAT_CENTROS_COSTO'!$E$4:$E$9,MATCH($F714,'CAT_CENTROS_COSTO'!$A$4:$A$9,0)),"(sin catálogo)"))</f>
        <v/>
      </c>
      <c r="U714" s="3">
        <f>IF($F714="","",IFERROR(INDEX('CAT_CENTROS_COSTO'!$D$4:$D$9,MATCH($F714,'CAT_CENTROS_COSTO'!$A$4:$A$9,0)),"(sin catálogo)"))</f>
        <v/>
      </c>
      <c r="V714" s="3">
        <f>IF($F714="","",IFERROR(INDEX('CAT_CENTROS_COSTO'!$F$4:$F$9,MATCH($F714,'CAT_CENTROS_COSTO'!$A$4:$A$9,0)),"(sin catálogo)"))</f>
        <v/>
      </c>
      <c r="W714" s="3">
        <f>IF($G714="","",IFERROR(INDEX('CAT_PUESTOS'!$B$4:$B$8,MATCH($G714,'CAT_PUESTOS'!$A$4:$A$8,0)),"(sin catálogo)"))</f>
        <v/>
      </c>
      <c r="X714" s="3">
        <f>IF($H714="","",IFERROR(INDEX('CAT_ACTIVIDADES'!$B$4:$B$8,MATCH($H714,'CAT_ACTIVIDADES'!$A$4:$A$8,0)),"(sin catálogo)"))</f>
        <v/>
      </c>
      <c r="Y714" s="12">
        <f>IF($J714="","",TODAY()-$J714)</f>
        <v/>
      </c>
      <c r="Z714" s="3">
        <f>IF($Y714="","",IF($Y714&lt;0,"FUTURO",IF($Y714&gt;p_dias_backlog_max,"BACKLOG","MES CORRIENTE")))</f>
        <v/>
      </c>
      <c r="AA714" s="3">
        <f>IF($Y714="",FALSE,AND($Y714&gt;p_dias_backlog_min,$Y714&lt;=p_dias_backlog_max))</f>
        <v/>
      </c>
      <c r="AB714" s="6" t="n"/>
      <c r="AC714" s="3">
        <f>IF($AB714="","",IFERROR(INDEX('ASIGNACIONES'!$F$4:$F$339,MATCH($O714&amp;"|"&amp;$R714&amp;"|"&amp;$AB714,'ASIGNACIONES'!$I$4:$I$339,0)),""))</f>
        <v/>
      </c>
      <c r="AD714" s="13">
        <f>IF($AB714="","",SUMIFS('ORDENES'!$M$4:$M$1203,'ORDENES'!$AB$4:$AB$1203,$AB714,'ORDENES'!$O$4:$O$1203,$O714,'ORDENES'!$R$4:$R$1203,$R714))</f>
        <v/>
      </c>
      <c r="AE714" s="13">
        <f>IF($AD714="","",p_factor_productividad*IFERROR(INDEX('ASIGNACIONES'!$H$4:$H$339,MATCH($O714&amp;"|"&amp;$R714&amp;"|"&amp;$AB714,'ASIGNACIONES'!$I$4:$I$339,0)),0)-$AD714)</f>
        <v/>
      </c>
      <c r="AF714" s="10">
        <f>IF($A714="","",IFERROR(INDEX('2_IMPORTAR_EJECUCION'!$F$9:$F$1208,MATCH($AN714,'2_IMPORTAR_EJECUCION'!$J$9:$J$1208,0)),0))</f>
        <v/>
      </c>
      <c r="AG714" s="10">
        <f>IF($A714="","",MAX(0,IFERROR(INDEX('2_IMPORTAR_EJECUCION'!$H$9:$H$1208,MATCH($AN714,'2_IMPORTAR_EJECUCION'!$J$9:$J$1208,0)),0)-$AF714))</f>
        <v/>
      </c>
      <c r="AH714" s="10">
        <f>IF($A714="","",$AF714+$AG714)</f>
        <v/>
      </c>
      <c r="AI714" s="6" t="n"/>
      <c r="AJ714" s="6" t="n"/>
      <c r="AK714" s="6" t="n"/>
      <c r="AL714" s="3">
        <f>IF($AK714="","",HYPERLINK(p_ruta_base_checklists&amp;$AK714,"abrir"))</f>
        <v/>
      </c>
      <c r="AM714" s="6" t="n"/>
      <c r="AN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1" t="n"/>
      <c r="K715" s="3" t="n"/>
      <c r="L715" s="10" t="n"/>
      <c r="M715" s="3">
        <f>IF($A715="","",IFERROR(INDEX('AJUSTES'!$B$4:$B$303,MATCH($AN715,'AJUSTES'!$A$4:$A$303,0)),IF($K715="","",$K715)))</f>
        <v/>
      </c>
      <c r="N715" s="3">
        <f>IF($A715="","",IFERROR(INDEX('CAT_ESTADOS_ERP'!$B$4:$B$7,MATCH(IFERROR(INDEX('2_IMPORTAR_EJECUCION'!$C$9:$C$1208,MATCH($AN715,'2_IMPORTAR_EJECUCION'!$J$9:$J$1208,0)),""),'CAT_ESTADOS_ERP'!$A$4:$A$7,0)),"Pendiente"))</f>
        <v/>
      </c>
      <c r="O715" s="3">
        <f>IF($J715="","",YEAR($J715+4-WEEKDAY($J715,2))&amp;"-S"&amp;TEXT(_xlfn.ISOWEEKNUM($J715),"00"))</f>
        <v/>
      </c>
      <c r="P715" s="3">
        <f>IF($J715="","",YEAR($J715))</f>
        <v/>
      </c>
      <c r="Q715" s="3">
        <f>IF($J715="","",MONTH($J715))</f>
        <v/>
      </c>
      <c r="R715" s="3">
        <f>IF($J715="","",INDEX(lista_dias,WEEKDAY($J715,2)))</f>
        <v/>
      </c>
      <c r="S715" s="3">
        <f>IF($I715="","",IFERROR(INDEX('CAT_TIPOS_OT'!$C$4:$C$7,MATCH($I715,'CAT_TIPOS_OT'!$A$4:$A$7,0)),"sin_clasificar"))</f>
        <v/>
      </c>
      <c r="T715" s="3">
        <f>IF($F715="","",IFERROR(INDEX('CAT_CENTROS_COSTO'!$E$4:$E$9,MATCH($F715,'CAT_CENTROS_COSTO'!$A$4:$A$9,0)),"(sin catálogo)"))</f>
        <v/>
      </c>
      <c r="U715" s="3">
        <f>IF($F715="","",IFERROR(INDEX('CAT_CENTROS_COSTO'!$D$4:$D$9,MATCH($F715,'CAT_CENTROS_COSTO'!$A$4:$A$9,0)),"(sin catálogo)"))</f>
        <v/>
      </c>
      <c r="V715" s="3">
        <f>IF($F715="","",IFERROR(INDEX('CAT_CENTROS_COSTO'!$F$4:$F$9,MATCH($F715,'CAT_CENTROS_COSTO'!$A$4:$A$9,0)),"(sin catálogo)"))</f>
        <v/>
      </c>
      <c r="W715" s="3">
        <f>IF($G715="","",IFERROR(INDEX('CAT_PUESTOS'!$B$4:$B$8,MATCH($G715,'CAT_PUESTOS'!$A$4:$A$8,0)),"(sin catálogo)"))</f>
        <v/>
      </c>
      <c r="X715" s="3">
        <f>IF($H715="","",IFERROR(INDEX('CAT_ACTIVIDADES'!$B$4:$B$8,MATCH($H715,'CAT_ACTIVIDADES'!$A$4:$A$8,0)),"(sin catálogo)"))</f>
        <v/>
      </c>
      <c r="Y715" s="12">
        <f>IF($J715="","",TODAY()-$J715)</f>
        <v/>
      </c>
      <c r="Z715" s="3">
        <f>IF($Y715="","",IF($Y715&lt;0,"FUTURO",IF($Y715&gt;p_dias_backlog_max,"BACKLOG","MES CORRIENTE")))</f>
        <v/>
      </c>
      <c r="AA715" s="3">
        <f>IF($Y715="",FALSE,AND($Y715&gt;p_dias_backlog_min,$Y715&lt;=p_dias_backlog_max))</f>
        <v/>
      </c>
      <c r="AB715" s="6" t="n"/>
      <c r="AC715" s="3">
        <f>IF($AB715="","",IFERROR(INDEX('ASIGNACIONES'!$F$4:$F$339,MATCH($O715&amp;"|"&amp;$R715&amp;"|"&amp;$AB715,'ASIGNACIONES'!$I$4:$I$339,0)),""))</f>
        <v/>
      </c>
      <c r="AD715" s="13">
        <f>IF($AB715="","",SUMIFS('ORDENES'!$M$4:$M$1203,'ORDENES'!$AB$4:$AB$1203,$AB715,'ORDENES'!$O$4:$O$1203,$O715,'ORDENES'!$R$4:$R$1203,$R715))</f>
        <v/>
      </c>
      <c r="AE715" s="13">
        <f>IF($AD715="","",p_factor_productividad*IFERROR(INDEX('ASIGNACIONES'!$H$4:$H$339,MATCH($O715&amp;"|"&amp;$R715&amp;"|"&amp;$AB715,'ASIGNACIONES'!$I$4:$I$339,0)),0)-$AD715)</f>
        <v/>
      </c>
      <c r="AF715" s="10">
        <f>IF($A715="","",IFERROR(INDEX('2_IMPORTAR_EJECUCION'!$F$9:$F$1208,MATCH($AN715,'2_IMPORTAR_EJECUCION'!$J$9:$J$1208,0)),0))</f>
        <v/>
      </c>
      <c r="AG715" s="10">
        <f>IF($A715="","",MAX(0,IFERROR(INDEX('2_IMPORTAR_EJECUCION'!$H$9:$H$1208,MATCH($AN715,'2_IMPORTAR_EJECUCION'!$J$9:$J$1208,0)),0)-$AF715))</f>
        <v/>
      </c>
      <c r="AH715" s="10">
        <f>IF($A715="","",$AF715+$AG715)</f>
        <v/>
      </c>
      <c r="AI715" s="6" t="n"/>
      <c r="AJ715" s="6" t="n"/>
      <c r="AK715" s="6" t="n"/>
      <c r="AL715" s="3">
        <f>IF($AK715="","",HYPERLINK(p_ruta_base_checklists&amp;$AK715,"abrir"))</f>
        <v/>
      </c>
      <c r="AM715" s="6" t="n"/>
      <c r="AN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1" t="n"/>
      <c r="K716" s="3" t="n"/>
      <c r="L716" s="10" t="n"/>
      <c r="M716" s="3">
        <f>IF($A716="","",IFERROR(INDEX('AJUSTES'!$B$4:$B$303,MATCH($AN716,'AJUSTES'!$A$4:$A$303,0)),IF($K716="","",$K716)))</f>
        <v/>
      </c>
      <c r="N716" s="3">
        <f>IF($A716="","",IFERROR(INDEX('CAT_ESTADOS_ERP'!$B$4:$B$7,MATCH(IFERROR(INDEX('2_IMPORTAR_EJECUCION'!$C$9:$C$1208,MATCH($AN716,'2_IMPORTAR_EJECUCION'!$J$9:$J$1208,0)),""),'CAT_ESTADOS_ERP'!$A$4:$A$7,0)),"Pendiente"))</f>
        <v/>
      </c>
      <c r="O716" s="3">
        <f>IF($J716="","",YEAR($J716+4-WEEKDAY($J716,2))&amp;"-S"&amp;TEXT(_xlfn.ISOWEEKNUM($J716),"00"))</f>
        <v/>
      </c>
      <c r="P716" s="3">
        <f>IF($J716="","",YEAR($J716))</f>
        <v/>
      </c>
      <c r="Q716" s="3">
        <f>IF($J716="","",MONTH($J716))</f>
        <v/>
      </c>
      <c r="R716" s="3">
        <f>IF($J716="","",INDEX(lista_dias,WEEKDAY($J716,2)))</f>
        <v/>
      </c>
      <c r="S716" s="3">
        <f>IF($I716="","",IFERROR(INDEX('CAT_TIPOS_OT'!$C$4:$C$7,MATCH($I716,'CAT_TIPOS_OT'!$A$4:$A$7,0)),"sin_clasificar"))</f>
        <v/>
      </c>
      <c r="T716" s="3">
        <f>IF($F716="","",IFERROR(INDEX('CAT_CENTROS_COSTO'!$E$4:$E$9,MATCH($F716,'CAT_CENTROS_COSTO'!$A$4:$A$9,0)),"(sin catálogo)"))</f>
        <v/>
      </c>
      <c r="U716" s="3">
        <f>IF($F716="","",IFERROR(INDEX('CAT_CENTROS_COSTO'!$D$4:$D$9,MATCH($F716,'CAT_CENTROS_COSTO'!$A$4:$A$9,0)),"(sin catálogo)"))</f>
        <v/>
      </c>
      <c r="V716" s="3">
        <f>IF($F716="","",IFERROR(INDEX('CAT_CENTROS_COSTO'!$F$4:$F$9,MATCH($F716,'CAT_CENTROS_COSTO'!$A$4:$A$9,0)),"(sin catálogo)"))</f>
        <v/>
      </c>
      <c r="W716" s="3">
        <f>IF($G716="","",IFERROR(INDEX('CAT_PUESTOS'!$B$4:$B$8,MATCH($G716,'CAT_PUESTOS'!$A$4:$A$8,0)),"(sin catálogo)"))</f>
        <v/>
      </c>
      <c r="X716" s="3">
        <f>IF($H716="","",IFERROR(INDEX('CAT_ACTIVIDADES'!$B$4:$B$8,MATCH($H716,'CAT_ACTIVIDADES'!$A$4:$A$8,0)),"(sin catálogo)"))</f>
        <v/>
      </c>
      <c r="Y716" s="12">
        <f>IF($J716="","",TODAY()-$J716)</f>
        <v/>
      </c>
      <c r="Z716" s="3">
        <f>IF($Y716="","",IF($Y716&lt;0,"FUTURO",IF($Y716&gt;p_dias_backlog_max,"BACKLOG","MES CORRIENTE")))</f>
        <v/>
      </c>
      <c r="AA716" s="3">
        <f>IF($Y716="",FALSE,AND($Y716&gt;p_dias_backlog_min,$Y716&lt;=p_dias_backlog_max))</f>
        <v/>
      </c>
      <c r="AB716" s="6" t="n"/>
      <c r="AC716" s="3">
        <f>IF($AB716="","",IFERROR(INDEX('ASIGNACIONES'!$F$4:$F$339,MATCH($O716&amp;"|"&amp;$R716&amp;"|"&amp;$AB716,'ASIGNACIONES'!$I$4:$I$339,0)),""))</f>
        <v/>
      </c>
      <c r="AD716" s="13">
        <f>IF($AB716="","",SUMIFS('ORDENES'!$M$4:$M$1203,'ORDENES'!$AB$4:$AB$1203,$AB716,'ORDENES'!$O$4:$O$1203,$O716,'ORDENES'!$R$4:$R$1203,$R716))</f>
        <v/>
      </c>
      <c r="AE716" s="13">
        <f>IF($AD716="","",p_factor_productividad*IFERROR(INDEX('ASIGNACIONES'!$H$4:$H$339,MATCH($O716&amp;"|"&amp;$R716&amp;"|"&amp;$AB716,'ASIGNACIONES'!$I$4:$I$339,0)),0)-$AD716)</f>
        <v/>
      </c>
      <c r="AF716" s="10">
        <f>IF($A716="","",IFERROR(INDEX('2_IMPORTAR_EJECUCION'!$F$9:$F$1208,MATCH($AN716,'2_IMPORTAR_EJECUCION'!$J$9:$J$1208,0)),0))</f>
        <v/>
      </c>
      <c r="AG716" s="10">
        <f>IF($A716="","",MAX(0,IFERROR(INDEX('2_IMPORTAR_EJECUCION'!$H$9:$H$1208,MATCH($AN716,'2_IMPORTAR_EJECUCION'!$J$9:$J$1208,0)),0)-$AF716))</f>
        <v/>
      </c>
      <c r="AH716" s="10">
        <f>IF($A716="","",$AF716+$AG716)</f>
        <v/>
      </c>
      <c r="AI716" s="6" t="n"/>
      <c r="AJ716" s="6" t="n"/>
      <c r="AK716" s="6" t="n"/>
      <c r="AL716" s="3">
        <f>IF($AK716="","",HYPERLINK(p_ruta_base_checklists&amp;$AK716,"abrir"))</f>
        <v/>
      </c>
      <c r="AM716" s="6" t="n"/>
      <c r="AN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1" t="n"/>
      <c r="K717" s="3" t="n"/>
      <c r="L717" s="10" t="n"/>
      <c r="M717" s="3">
        <f>IF($A717="","",IFERROR(INDEX('AJUSTES'!$B$4:$B$303,MATCH($AN717,'AJUSTES'!$A$4:$A$303,0)),IF($K717="","",$K717)))</f>
        <v/>
      </c>
      <c r="N717" s="3">
        <f>IF($A717="","",IFERROR(INDEX('CAT_ESTADOS_ERP'!$B$4:$B$7,MATCH(IFERROR(INDEX('2_IMPORTAR_EJECUCION'!$C$9:$C$1208,MATCH($AN717,'2_IMPORTAR_EJECUCION'!$J$9:$J$1208,0)),""),'CAT_ESTADOS_ERP'!$A$4:$A$7,0)),"Pendiente"))</f>
        <v/>
      </c>
      <c r="O717" s="3">
        <f>IF($J717="","",YEAR($J717+4-WEEKDAY($J717,2))&amp;"-S"&amp;TEXT(_xlfn.ISOWEEKNUM($J717),"00"))</f>
        <v/>
      </c>
      <c r="P717" s="3">
        <f>IF($J717="","",YEAR($J717))</f>
        <v/>
      </c>
      <c r="Q717" s="3">
        <f>IF($J717="","",MONTH($J717))</f>
        <v/>
      </c>
      <c r="R717" s="3">
        <f>IF($J717="","",INDEX(lista_dias,WEEKDAY($J717,2)))</f>
        <v/>
      </c>
      <c r="S717" s="3">
        <f>IF($I717="","",IFERROR(INDEX('CAT_TIPOS_OT'!$C$4:$C$7,MATCH($I717,'CAT_TIPOS_OT'!$A$4:$A$7,0)),"sin_clasificar"))</f>
        <v/>
      </c>
      <c r="T717" s="3">
        <f>IF($F717="","",IFERROR(INDEX('CAT_CENTROS_COSTO'!$E$4:$E$9,MATCH($F717,'CAT_CENTROS_COSTO'!$A$4:$A$9,0)),"(sin catálogo)"))</f>
        <v/>
      </c>
      <c r="U717" s="3">
        <f>IF($F717="","",IFERROR(INDEX('CAT_CENTROS_COSTO'!$D$4:$D$9,MATCH($F717,'CAT_CENTROS_COSTO'!$A$4:$A$9,0)),"(sin catálogo)"))</f>
        <v/>
      </c>
      <c r="V717" s="3">
        <f>IF($F717="","",IFERROR(INDEX('CAT_CENTROS_COSTO'!$F$4:$F$9,MATCH($F717,'CAT_CENTROS_COSTO'!$A$4:$A$9,0)),"(sin catálogo)"))</f>
        <v/>
      </c>
      <c r="W717" s="3">
        <f>IF($G717="","",IFERROR(INDEX('CAT_PUESTOS'!$B$4:$B$8,MATCH($G717,'CAT_PUESTOS'!$A$4:$A$8,0)),"(sin catálogo)"))</f>
        <v/>
      </c>
      <c r="X717" s="3">
        <f>IF($H717="","",IFERROR(INDEX('CAT_ACTIVIDADES'!$B$4:$B$8,MATCH($H717,'CAT_ACTIVIDADES'!$A$4:$A$8,0)),"(sin catálogo)"))</f>
        <v/>
      </c>
      <c r="Y717" s="12">
        <f>IF($J717="","",TODAY()-$J717)</f>
        <v/>
      </c>
      <c r="Z717" s="3">
        <f>IF($Y717="","",IF($Y717&lt;0,"FUTURO",IF($Y717&gt;p_dias_backlog_max,"BACKLOG","MES CORRIENTE")))</f>
        <v/>
      </c>
      <c r="AA717" s="3">
        <f>IF($Y717="",FALSE,AND($Y717&gt;p_dias_backlog_min,$Y717&lt;=p_dias_backlog_max))</f>
        <v/>
      </c>
      <c r="AB717" s="6" t="n"/>
      <c r="AC717" s="3">
        <f>IF($AB717="","",IFERROR(INDEX('ASIGNACIONES'!$F$4:$F$339,MATCH($O717&amp;"|"&amp;$R717&amp;"|"&amp;$AB717,'ASIGNACIONES'!$I$4:$I$339,0)),""))</f>
        <v/>
      </c>
      <c r="AD717" s="13">
        <f>IF($AB717="","",SUMIFS('ORDENES'!$M$4:$M$1203,'ORDENES'!$AB$4:$AB$1203,$AB717,'ORDENES'!$O$4:$O$1203,$O717,'ORDENES'!$R$4:$R$1203,$R717))</f>
        <v/>
      </c>
      <c r="AE717" s="13">
        <f>IF($AD717="","",p_factor_productividad*IFERROR(INDEX('ASIGNACIONES'!$H$4:$H$339,MATCH($O717&amp;"|"&amp;$R717&amp;"|"&amp;$AB717,'ASIGNACIONES'!$I$4:$I$339,0)),0)-$AD717)</f>
        <v/>
      </c>
      <c r="AF717" s="10">
        <f>IF($A717="","",IFERROR(INDEX('2_IMPORTAR_EJECUCION'!$F$9:$F$1208,MATCH($AN717,'2_IMPORTAR_EJECUCION'!$J$9:$J$1208,0)),0))</f>
        <v/>
      </c>
      <c r="AG717" s="10">
        <f>IF($A717="","",MAX(0,IFERROR(INDEX('2_IMPORTAR_EJECUCION'!$H$9:$H$1208,MATCH($AN717,'2_IMPORTAR_EJECUCION'!$J$9:$J$1208,0)),0)-$AF717))</f>
        <v/>
      </c>
      <c r="AH717" s="10">
        <f>IF($A717="","",$AF717+$AG717)</f>
        <v/>
      </c>
      <c r="AI717" s="6" t="n"/>
      <c r="AJ717" s="6" t="n"/>
      <c r="AK717" s="6" t="n"/>
      <c r="AL717" s="3">
        <f>IF($AK717="","",HYPERLINK(p_ruta_base_checklists&amp;$AK717,"abrir"))</f>
        <v/>
      </c>
      <c r="AM717" s="6" t="n"/>
      <c r="AN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1" t="n"/>
      <c r="K718" s="3" t="n"/>
      <c r="L718" s="10" t="n"/>
      <c r="M718" s="3">
        <f>IF($A718="","",IFERROR(INDEX('AJUSTES'!$B$4:$B$303,MATCH($AN718,'AJUSTES'!$A$4:$A$303,0)),IF($K718="","",$K718)))</f>
        <v/>
      </c>
      <c r="N718" s="3">
        <f>IF($A718="","",IFERROR(INDEX('CAT_ESTADOS_ERP'!$B$4:$B$7,MATCH(IFERROR(INDEX('2_IMPORTAR_EJECUCION'!$C$9:$C$1208,MATCH($AN718,'2_IMPORTAR_EJECUCION'!$J$9:$J$1208,0)),""),'CAT_ESTADOS_ERP'!$A$4:$A$7,0)),"Pendiente"))</f>
        <v/>
      </c>
      <c r="O718" s="3">
        <f>IF($J718="","",YEAR($J718+4-WEEKDAY($J718,2))&amp;"-S"&amp;TEXT(_xlfn.ISOWEEKNUM($J718),"00"))</f>
        <v/>
      </c>
      <c r="P718" s="3">
        <f>IF($J718="","",YEAR($J718))</f>
        <v/>
      </c>
      <c r="Q718" s="3">
        <f>IF($J718="","",MONTH($J718))</f>
        <v/>
      </c>
      <c r="R718" s="3">
        <f>IF($J718="","",INDEX(lista_dias,WEEKDAY($J718,2)))</f>
        <v/>
      </c>
      <c r="S718" s="3">
        <f>IF($I718="","",IFERROR(INDEX('CAT_TIPOS_OT'!$C$4:$C$7,MATCH($I718,'CAT_TIPOS_OT'!$A$4:$A$7,0)),"sin_clasificar"))</f>
        <v/>
      </c>
      <c r="T718" s="3">
        <f>IF($F718="","",IFERROR(INDEX('CAT_CENTROS_COSTO'!$E$4:$E$9,MATCH($F718,'CAT_CENTROS_COSTO'!$A$4:$A$9,0)),"(sin catálogo)"))</f>
        <v/>
      </c>
      <c r="U718" s="3">
        <f>IF($F718="","",IFERROR(INDEX('CAT_CENTROS_COSTO'!$D$4:$D$9,MATCH($F718,'CAT_CENTROS_COSTO'!$A$4:$A$9,0)),"(sin catálogo)"))</f>
        <v/>
      </c>
      <c r="V718" s="3">
        <f>IF($F718="","",IFERROR(INDEX('CAT_CENTROS_COSTO'!$F$4:$F$9,MATCH($F718,'CAT_CENTROS_COSTO'!$A$4:$A$9,0)),"(sin catálogo)"))</f>
        <v/>
      </c>
      <c r="W718" s="3">
        <f>IF($G718="","",IFERROR(INDEX('CAT_PUESTOS'!$B$4:$B$8,MATCH($G718,'CAT_PUESTOS'!$A$4:$A$8,0)),"(sin catálogo)"))</f>
        <v/>
      </c>
      <c r="X718" s="3">
        <f>IF($H718="","",IFERROR(INDEX('CAT_ACTIVIDADES'!$B$4:$B$8,MATCH($H718,'CAT_ACTIVIDADES'!$A$4:$A$8,0)),"(sin catálogo)"))</f>
        <v/>
      </c>
      <c r="Y718" s="12">
        <f>IF($J718="","",TODAY()-$J718)</f>
        <v/>
      </c>
      <c r="Z718" s="3">
        <f>IF($Y718="","",IF($Y718&lt;0,"FUTURO",IF($Y718&gt;p_dias_backlog_max,"BACKLOG","MES CORRIENTE")))</f>
        <v/>
      </c>
      <c r="AA718" s="3">
        <f>IF($Y718="",FALSE,AND($Y718&gt;p_dias_backlog_min,$Y718&lt;=p_dias_backlog_max))</f>
        <v/>
      </c>
      <c r="AB718" s="6" t="n"/>
      <c r="AC718" s="3">
        <f>IF($AB718="","",IFERROR(INDEX('ASIGNACIONES'!$F$4:$F$339,MATCH($O718&amp;"|"&amp;$R718&amp;"|"&amp;$AB718,'ASIGNACIONES'!$I$4:$I$339,0)),""))</f>
        <v/>
      </c>
      <c r="AD718" s="13">
        <f>IF($AB718="","",SUMIFS('ORDENES'!$M$4:$M$1203,'ORDENES'!$AB$4:$AB$1203,$AB718,'ORDENES'!$O$4:$O$1203,$O718,'ORDENES'!$R$4:$R$1203,$R718))</f>
        <v/>
      </c>
      <c r="AE718" s="13">
        <f>IF($AD718="","",p_factor_productividad*IFERROR(INDEX('ASIGNACIONES'!$H$4:$H$339,MATCH($O718&amp;"|"&amp;$R718&amp;"|"&amp;$AB718,'ASIGNACIONES'!$I$4:$I$339,0)),0)-$AD718)</f>
        <v/>
      </c>
      <c r="AF718" s="10">
        <f>IF($A718="","",IFERROR(INDEX('2_IMPORTAR_EJECUCION'!$F$9:$F$1208,MATCH($AN718,'2_IMPORTAR_EJECUCION'!$J$9:$J$1208,0)),0))</f>
        <v/>
      </c>
      <c r="AG718" s="10">
        <f>IF($A718="","",MAX(0,IFERROR(INDEX('2_IMPORTAR_EJECUCION'!$H$9:$H$1208,MATCH($AN718,'2_IMPORTAR_EJECUCION'!$J$9:$J$1208,0)),0)-$AF718))</f>
        <v/>
      </c>
      <c r="AH718" s="10">
        <f>IF($A718="","",$AF718+$AG718)</f>
        <v/>
      </c>
      <c r="AI718" s="6" t="n"/>
      <c r="AJ718" s="6" t="n"/>
      <c r="AK718" s="6" t="n"/>
      <c r="AL718" s="3">
        <f>IF($AK718="","",HYPERLINK(p_ruta_base_checklists&amp;$AK718,"abrir"))</f>
        <v/>
      </c>
      <c r="AM718" s="6" t="n"/>
      <c r="AN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1" t="n"/>
      <c r="K719" s="3" t="n"/>
      <c r="L719" s="10" t="n"/>
      <c r="M719" s="3">
        <f>IF($A719="","",IFERROR(INDEX('AJUSTES'!$B$4:$B$303,MATCH($AN719,'AJUSTES'!$A$4:$A$303,0)),IF($K719="","",$K719)))</f>
        <v/>
      </c>
      <c r="N719" s="3">
        <f>IF($A719="","",IFERROR(INDEX('CAT_ESTADOS_ERP'!$B$4:$B$7,MATCH(IFERROR(INDEX('2_IMPORTAR_EJECUCION'!$C$9:$C$1208,MATCH($AN719,'2_IMPORTAR_EJECUCION'!$J$9:$J$1208,0)),""),'CAT_ESTADOS_ERP'!$A$4:$A$7,0)),"Pendiente"))</f>
        <v/>
      </c>
      <c r="O719" s="3">
        <f>IF($J719="","",YEAR($J719+4-WEEKDAY($J719,2))&amp;"-S"&amp;TEXT(_xlfn.ISOWEEKNUM($J719),"00"))</f>
        <v/>
      </c>
      <c r="P719" s="3">
        <f>IF($J719="","",YEAR($J719))</f>
        <v/>
      </c>
      <c r="Q719" s="3">
        <f>IF($J719="","",MONTH($J719))</f>
        <v/>
      </c>
      <c r="R719" s="3">
        <f>IF($J719="","",INDEX(lista_dias,WEEKDAY($J719,2)))</f>
        <v/>
      </c>
      <c r="S719" s="3">
        <f>IF($I719="","",IFERROR(INDEX('CAT_TIPOS_OT'!$C$4:$C$7,MATCH($I719,'CAT_TIPOS_OT'!$A$4:$A$7,0)),"sin_clasificar"))</f>
        <v/>
      </c>
      <c r="T719" s="3">
        <f>IF($F719="","",IFERROR(INDEX('CAT_CENTROS_COSTO'!$E$4:$E$9,MATCH($F719,'CAT_CENTROS_COSTO'!$A$4:$A$9,0)),"(sin catálogo)"))</f>
        <v/>
      </c>
      <c r="U719" s="3">
        <f>IF($F719="","",IFERROR(INDEX('CAT_CENTROS_COSTO'!$D$4:$D$9,MATCH($F719,'CAT_CENTROS_COSTO'!$A$4:$A$9,0)),"(sin catálogo)"))</f>
        <v/>
      </c>
      <c r="V719" s="3">
        <f>IF($F719="","",IFERROR(INDEX('CAT_CENTROS_COSTO'!$F$4:$F$9,MATCH($F719,'CAT_CENTROS_COSTO'!$A$4:$A$9,0)),"(sin catálogo)"))</f>
        <v/>
      </c>
      <c r="W719" s="3">
        <f>IF($G719="","",IFERROR(INDEX('CAT_PUESTOS'!$B$4:$B$8,MATCH($G719,'CAT_PUESTOS'!$A$4:$A$8,0)),"(sin catálogo)"))</f>
        <v/>
      </c>
      <c r="X719" s="3">
        <f>IF($H719="","",IFERROR(INDEX('CAT_ACTIVIDADES'!$B$4:$B$8,MATCH($H719,'CAT_ACTIVIDADES'!$A$4:$A$8,0)),"(sin catálogo)"))</f>
        <v/>
      </c>
      <c r="Y719" s="12">
        <f>IF($J719="","",TODAY()-$J719)</f>
        <v/>
      </c>
      <c r="Z719" s="3">
        <f>IF($Y719="","",IF($Y719&lt;0,"FUTURO",IF($Y719&gt;p_dias_backlog_max,"BACKLOG","MES CORRIENTE")))</f>
        <v/>
      </c>
      <c r="AA719" s="3">
        <f>IF($Y719="",FALSE,AND($Y719&gt;p_dias_backlog_min,$Y719&lt;=p_dias_backlog_max))</f>
        <v/>
      </c>
      <c r="AB719" s="6" t="n"/>
      <c r="AC719" s="3">
        <f>IF($AB719="","",IFERROR(INDEX('ASIGNACIONES'!$F$4:$F$339,MATCH($O719&amp;"|"&amp;$R719&amp;"|"&amp;$AB719,'ASIGNACIONES'!$I$4:$I$339,0)),""))</f>
        <v/>
      </c>
      <c r="AD719" s="13">
        <f>IF($AB719="","",SUMIFS('ORDENES'!$M$4:$M$1203,'ORDENES'!$AB$4:$AB$1203,$AB719,'ORDENES'!$O$4:$O$1203,$O719,'ORDENES'!$R$4:$R$1203,$R719))</f>
        <v/>
      </c>
      <c r="AE719" s="13">
        <f>IF($AD719="","",p_factor_productividad*IFERROR(INDEX('ASIGNACIONES'!$H$4:$H$339,MATCH($O719&amp;"|"&amp;$R719&amp;"|"&amp;$AB719,'ASIGNACIONES'!$I$4:$I$339,0)),0)-$AD719)</f>
        <v/>
      </c>
      <c r="AF719" s="10">
        <f>IF($A719="","",IFERROR(INDEX('2_IMPORTAR_EJECUCION'!$F$9:$F$1208,MATCH($AN719,'2_IMPORTAR_EJECUCION'!$J$9:$J$1208,0)),0))</f>
        <v/>
      </c>
      <c r="AG719" s="10">
        <f>IF($A719="","",MAX(0,IFERROR(INDEX('2_IMPORTAR_EJECUCION'!$H$9:$H$1208,MATCH($AN719,'2_IMPORTAR_EJECUCION'!$J$9:$J$1208,0)),0)-$AF719))</f>
        <v/>
      </c>
      <c r="AH719" s="10">
        <f>IF($A719="","",$AF719+$AG719)</f>
        <v/>
      </c>
      <c r="AI719" s="6" t="n"/>
      <c r="AJ719" s="6" t="n"/>
      <c r="AK719" s="6" t="n"/>
      <c r="AL719" s="3">
        <f>IF($AK719="","",HYPERLINK(p_ruta_base_checklists&amp;$AK719,"abrir"))</f>
        <v/>
      </c>
      <c r="AM719" s="6" t="n"/>
      <c r="AN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1" t="n"/>
      <c r="K720" s="3" t="n"/>
      <c r="L720" s="10" t="n"/>
      <c r="M720" s="3">
        <f>IF($A720="","",IFERROR(INDEX('AJUSTES'!$B$4:$B$303,MATCH($AN720,'AJUSTES'!$A$4:$A$303,0)),IF($K720="","",$K720)))</f>
        <v/>
      </c>
      <c r="N720" s="3">
        <f>IF($A720="","",IFERROR(INDEX('CAT_ESTADOS_ERP'!$B$4:$B$7,MATCH(IFERROR(INDEX('2_IMPORTAR_EJECUCION'!$C$9:$C$1208,MATCH($AN720,'2_IMPORTAR_EJECUCION'!$J$9:$J$1208,0)),""),'CAT_ESTADOS_ERP'!$A$4:$A$7,0)),"Pendiente"))</f>
        <v/>
      </c>
      <c r="O720" s="3">
        <f>IF($J720="","",YEAR($J720+4-WEEKDAY($J720,2))&amp;"-S"&amp;TEXT(_xlfn.ISOWEEKNUM($J720),"00"))</f>
        <v/>
      </c>
      <c r="P720" s="3">
        <f>IF($J720="","",YEAR($J720))</f>
        <v/>
      </c>
      <c r="Q720" s="3">
        <f>IF($J720="","",MONTH($J720))</f>
        <v/>
      </c>
      <c r="R720" s="3">
        <f>IF($J720="","",INDEX(lista_dias,WEEKDAY($J720,2)))</f>
        <v/>
      </c>
      <c r="S720" s="3">
        <f>IF($I720="","",IFERROR(INDEX('CAT_TIPOS_OT'!$C$4:$C$7,MATCH($I720,'CAT_TIPOS_OT'!$A$4:$A$7,0)),"sin_clasificar"))</f>
        <v/>
      </c>
      <c r="T720" s="3">
        <f>IF($F720="","",IFERROR(INDEX('CAT_CENTROS_COSTO'!$E$4:$E$9,MATCH($F720,'CAT_CENTROS_COSTO'!$A$4:$A$9,0)),"(sin catálogo)"))</f>
        <v/>
      </c>
      <c r="U720" s="3">
        <f>IF($F720="","",IFERROR(INDEX('CAT_CENTROS_COSTO'!$D$4:$D$9,MATCH($F720,'CAT_CENTROS_COSTO'!$A$4:$A$9,0)),"(sin catálogo)"))</f>
        <v/>
      </c>
      <c r="V720" s="3">
        <f>IF($F720="","",IFERROR(INDEX('CAT_CENTROS_COSTO'!$F$4:$F$9,MATCH($F720,'CAT_CENTROS_COSTO'!$A$4:$A$9,0)),"(sin catálogo)"))</f>
        <v/>
      </c>
      <c r="W720" s="3">
        <f>IF($G720="","",IFERROR(INDEX('CAT_PUESTOS'!$B$4:$B$8,MATCH($G720,'CAT_PUESTOS'!$A$4:$A$8,0)),"(sin catálogo)"))</f>
        <v/>
      </c>
      <c r="X720" s="3">
        <f>IF($H720="","",IFERROR(INDEX('CAT_ACTIVIDADES'!$B$4:$B$8,MATCH($H720,'CAT_ACTIVIDADES'!$A$4:$A$8,0)),"(sin catálogo)"))</f>
        <v/>
      </c>
      <c r="Y720" s="12">
        <f>IF($J720="","",TODAY()-$J720)</f>
        <v/>
      </c>
      <c r="Z720" s="3">
        <f>IF($Y720="","",IF($Y720&lt;0,"FUTURO",IF($Y720&gt;p_dias_backlog_max,"BACKLOG","MES CORRIENTE")))</f>
        <v/>
      </c>
      <c r="AA720" s="3">
        <f>IF($Y720="",FALSE,AND($Y720&gt;p_dias_backlog_min,$Y720&lt;=p_dias_backlog_max))</f>
        <v/>
      </c>
      <c r="AB720" s="6" t="n"/>
      <c r="AC720" s="3">
        <f>IF($AB720="","",IFERROR(INDEX('ASIGNACIONES'!$F$4:$F$339,MATCH($O720&amp;"|"&amp;$R720&amp;"|"&amp;$AB720,'ASIGNACIONES'!$I$4:$I$339,0)),""))</f>
        <v/>
      </c>
      <c r="AD720" s="13">
        <f>IF($AB720="","",SUMIFS('ORDENES'!$M$4:$M$1203,'ORDENES'!$AB$4:$AB$1203,$AB720,'ORDENES'!$O$4:$O$1203,$O720,'ORDENES'!$R$4:$R$1203,$R720))</f>
        <v/>
      </c>
      <c r="AE720" s="13">
        <f>IF($AD720="","",p_factor_productividad*IFERROR(INDEX('ASIGNACIONES'!$H$4:$H$339,MATCH($O720&amp;"|"&amp;$R720&amp;"|"&amp;$AB720,'ASIGNACIONES'!$I$4:$I$339,0)),0)-$AD720)</f>
        <v/>
      </c>
      <c r="AF720" s="10">
        <f>IF($A720="","",IFERROR(INDEX('2_IMPORTAR_EJECUCION'!$F$9:$F$1208,MATCH($AN720,'2_IMPORTAR_EJECUCION'!$J$9:$J$1208,0)),0))</f>
        <v/>
      </c>
      <c r="AG720" s="10">
        <f>IF($A720="","",MAX(0,IFERROR(INDEX('2_IMPORTAR_EJECUCION'!$H$9:$H$1208,MATCH($AN720,'2_IMPORTAR_EJECUCION'!$J$9:$J$1208,0)),0)-$AF720))</f>
        <v/>
      </c>
      <c r="AH720" s="10">
        <f>IF($A720="","",$AF720+$AG720)</f>
        <v/>
      </c>
      <c r="AI720" s="6" t="n"/>
      <c r="AJ720" s="6" t="n"/>
      <c r="AK720" s="6" t="n"/>
      <c r="AL720" s="3">
        <f>IF($AK720="","",HYPERLINK(p_ruta_base_checklists&amp;$AK720,"abrir"))</f>
        <v/>
      </c>
      <c r="AM720" s="6" t="n"/>
      <c r="AN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1" t="n"/>
      <c r="K721" s="3" t="n"/>
      <c r="L721" s="10" t="n"/>
      <c r="M721" s="3">
        <f>IF($A721="","",IFERROR(INDEX('AJUSTES'!$B$4:$B$303,MATCH($AN721,'AJUSTES'!$A$4:$A$303,0)),IF($K721="","",$K721)))</f>
        <v/>
      </c>
      <c r="N721" s="3">
        <f>IF($A721="","",IFERROR(INDEX('CAT_ESTADOS_ERP'!$B$4:$B$7,MATCH(IFERROR(INDEX('2_IMPORTAR_EJECUCION'!$C$9:$C$1208,MATCH($AN721,'2_IMPORTAR_EJECUCION'!$J$9:$J$1208,0)),""),'CAT_ESTADOS_ERP'!$A$4:$A$7,0)),"Pendiente"))</f>
        <v/>
      </c>
      <c r="O721" s="3">
        <f>IF($J721="","",YEAR($J721+4-WEEKDAY($J721,2))&amp;"-S"&amp;TEXT(_xlfn.ISOWEEKNUM($J721),"00"))</f>
        <v/>
      </c>
      <c r="P721" s="3">
        <f>IF($J721="","",YEAR($J721))</f>
        <v/>
      </c>
      <c r="Q721" s="3">
        <f>IF($J721="","",MONTH($J721))</f>
        <v/>
      </c>
      <c r="R721" s="3">
        <f>IF($J721="","",INDEX(lista_dias,WEEKDAY($J721,2)))</f>
        <v/>
      </c>
      <c r="S721" s="3">
        <f>IF($I721="","",IFERROR(INDEX('CAT_TIPOS_OT'!$C$4:$C$7,MATCH($I721,'CAT_TIPOS_OT'!$A$4:$A$7,0)),"sin_clasificar"))</f>
        <v/>
      </c>
      <c r="T721" s="3">
        <f>IF($F721="","",IFERROR(INDEX('CAT_CENTROS_COSTO'!$E$4:$E$9,MATCH($F721,'CAT_CENTROS_COSTO'!$A$4:$A$9,0)),"(sin catálogo)"))</f>
        <v/>
      </c>
      <c r="U721" s="3">
        <f>IF($F721="","",IFERROR(INDEX('CAT_CENTROS_COSTO'!$D$4:$D$9,MATCH($F721,'CAT_CENTROS_COSTO'!$A$4:$A$9,0)),"(sin catálogo)"))</f>
        <v/>
      </c>
      <c r="V721" s="3">
        <f>IF($F721="","",IFERROR(INDEX('CAT_CENTROS_COSTO'!$F$4:$F$9,MATCH($F721,'CAT_CENTROS_COSTO'!$A$4:$A$9,0)),"(sin catálogo)"))</f>
        <v/>
      </c>
      <c r="W721" s="3">
        <f>IF($G721="","",IFERROR(INDEX('CAT_PUESTOS'!$B$4:$B$8,MATCH($G721,'CAT_PUESTOS'!$A$4:$A$8,0)),"(sin catálogo)"))</f>
        <v/>
      </c>
      <c r="X721" s="3">
        <f>IF($H721="","",IFERROR(INDEX('CAT_ACTIVIDADES'!$B$4:$B$8,MATCH($H721,'CAT_ACTIVIDADES'!$A$4:$A$8,0)),"(sin catálogo)"))</f>
        <v/>
      </c>
      <c r="Y721" s="12">
        <f>IF($J721="","",TODAY()-$J721)</f>
        <v/>
      </c>
      <c r="Z721" s="3">
        <f>IF($Y721="","",IF($Y721&lt;0,"FUTURO",IF($Y721&gt;p_dias_backlog_max,"BACKLOG","MES CORRIENTE")))</f>
        <v/>
      </c>
      <c r="AA721" s="3">
        <f>IF($Y721="",FALSE,AND($Y721&gt;p_dias_backlog_min,$Y721&lt;=p_dias_backlog_max))</f>
        <v/>
      </c>
      <c r="AB721" s="6" t="n"/>
      <c r="AC721" s="3">
        <f>IF($AB721="","",IFERROR(INDEX('ASIGNACIONES'!$F$4:$F$339,MATCH($O721&amp;"|"&amp;$R721&amp;"|"&amp;$AB721,'ASIGNACIONES'!$I$4:$I$339,0)),""))</f>
        <v/>
      </c>
      <c r="AD721" s="13">
        <f>IF($AB721="","",SUMIFS('ORDENES'!$M$4:$M$1203,'ORDENES'!$AB$4:$AB$1203,$AB721,'ORDENES'!$O$4:$O$1203,$O721,'ORDENES'!$R$4:$R$1203,$R721))</f>
        <v/>
      </c>
      <c r="AE721" s="13">
        <f>IF($AD721="","",p_factor_productividad*IFERROR(INDEX('ASIGNACIONES'!$H$4:$H$339,MATCH($O721&amp;"|"&amp;$R721&amp;"|"&amp;$AB721,'ASIGNACIONES'!$I$4:$I$339,0)),0)-$AD721)</f>
        <v/>
      </c>
      <c r="AF721" s="10">
        <f>IF($A721="","",IFERROR(INDEX('2_IMPORTAR_EJECUCION'!$F$9:$F$1208,MATCH($AN721,'2_IMPORTAR_EJECUCION'!$J$9:$J$1208,0)),0))</f>
        <v/>
      </c>
      <c r="AG721" s="10">
        <f>IF($A721="","",MAX(0,IFERROR(INDEX('2_IMPORTAR_EJECUCION'!$H$9:$H$1208,MATCH($AN721,'2_IMPORTAR_EJECUCION'!$J$9:$J$1208,0)),0)-$AF721))</f>
        <v/>
      </c>
      <c r="AH721" s="10">
        <f>IF($A721="","",$AF721+$AG721)</f>
        <v/>
      </c>
      <c r="AI721" s="6" t="n"/>
      <c r="AJ721" s="6" t="n"/>
      <c r="AK721" s="6" t="n"/>
      <c r="AL721" s="3">
        <f>IF($AK721="","",HYPERLINK(p_ruta_base_checklists&amp;$AK721,"abrir"))</f>
        <v/>
      </c>
      <c r="AM721" s="6" t="n"/>
      <c r="AN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1" t="n"/>
      <c r="K722" s="3" t="n"/>
      <c r="L722" s="10" t="n"/>
      <c r="M722" s="3">
        <f>IF($A722="","",IFERROR(INDEX('AJUSTES'!$B$4:$B$303,MATCH($AN722,'AJUSTES'!$A$4:$A$303,0)),IF($K722="","",$K722)))</f>
        <v/>
      </c>
      <c r="N722" s="3">
        <f>IF($A722="","",IFERROR(INDEX('CAT_ESTADOS_ERP'!$B$4:$B$7,MATCH(IFERROR(INDEX('2_IMPORTAR_EJECUCION'!$C$9:$C$1208,MATCH($AN722,'2_IMPORTAR_EJECUCION'!$J$9:$J$1208,0)),""),'CAT_ESTADOS_ERP'!$A$4:$A$7,0)),"Pendiente"))</f>
        <v/>
      </c>
      <c r="O722" s="3">
        <f>IF($J722="","",YEAR($J722+4-WEEKDAY($J722,2))&amp;"-S"&amp;TEXT(_xlfn.ISOWEEKNUM($J722),"00"))</f>
        <v/>
      </c>
      <c r="P722" s="3">
        <f>IF($J722="","",YEAR($J722))</f>
        <v/>
      </c>
      <c r="Q722" s="3">
        <f>IF($J722="","",MONTH($J722))</f>
        <v/>
      </c>
      <c r="R722" s="3">
        <f>IF($J722="","",INDEX(lista_dias,WEEKDAY($J722,2)))</f>
        <v/>
      </c>
      <c r="S722" s="3">
        <f>IF($I722="","",IFERROR(INDEX('CAT_TIPOS_OT'!$C$4:$C$7,MATCH($I722,'CAT_TIPOS_OT'!$A$4:$A$7,0)),"sin_clasificar"))</f>
        <v/>
      </c>
      <c r="T722" s="3">
        <f>IF($F722="","",IFERROR(INDEX('CAT_CENTROS_COSTO'!$E$4:$E$9,MATCH($F722,'CAT_CENTROS_COSTO'!$A$4:$A$9,0)),"(sin catálogo)"))</f>
        <v/>
      </c>
      <c r="U722" s="3">
        <f>IF($F722="","",IFERROR(INDEX('CAT_CENTROS_COSTO'!$D$4:$D$9,MATCH($F722,'CAT_CENTROS_COSTO'!$A$4:$A$9,0)),"(sin catálogo)"))</f>
        <v/>
      </c>
      <c r="V722" s="3">
        <f>IF($F722="","",IFERROR(INDEX('CAT_CENTROS_COSTO'!$F$4:$F$9,MATCH($F722,'CAT_CENTROS_COSTO'!$A$4:$A$9,0)),"(sin catálogo)"))</f>
        <v/>
      </c>
      <c r="W722" s="3">
        <f>IF($G722="","",IFERROR(INDEX('CAT_PUESTOS'!$B$4:$B$8,MATCH($G722,'CAT_PUESTOS'!$A$4:$A$8,0)),"(sin catálogo)"))</f>
        <v/>
      </c>
      <c r="X722" s="3">
        <f>IF($H722="","",IFERROR(INDEX('CAT_ACTIVIDADES'!$B$4:$B$8,MATCH($H722,'CAT_ACTIVIDADES'!$A$4:$A$8,0)),"(sin catálogo)"))</f>
        <v/>
      </c>
      <c r="Y722" s="12">
        <f>IF($J722="","",TODAY()-$J722)</f>
        <v/>
      </c>
      <c r="Z722" s="3">
        <f>IF($Y722="","",IF($Y722&lt;0,"FUTURO",IF($Y722&gt;p_dias_backlog_max,"BACKLOG","MES CORRIENTE")))</f>
        <v/>
      </c>
      <c r="AA722" s="3">
        <f>IF($Y722="",FALSE,AND($Y722&gt;p_dias_backlog_min,$Y722&lt;=p_dias_backlog_max))</f>
        <v/>
      </c>
      <c r="AB722" s="6" t="n"/>
      <c r="AC722" s="3">
        <f>IF($AB722="","",IFERROR(INDEX('ASIGNACIONES'!$F$4:$F$339,MATCH($O722&amp;"|"&amp;$R722&amp;"|"&amp;$AB722,'ASIGNACIONES'!$I$4:$I$339,0)),""))</f>
        <v/>
      </c>
      <c r="AD722" s="13">
        <f>IF($AB722="","",SUMIFS('ORDENES'!$M$4:$M$1203,'ORDENES'!$AB$4:$AB$1203,$AB722,'ORDENES'!$O$4:$O$1203,$O722,'ORDENES'!$R$4:$R$1203,$R722))</f>
        <v/>
      </c>
      <c r="AE722" s="13">
        <f>IF($AD722="","",p_factor_productividad*IFERROR(INDEX('ASIGNACIONES'!$H$4:$H$339,MATCH($O722&amp;"|"&amp;$R722&amp;"|"&amp;$AB722,'ASIGNACIONES'!$I$4:$I$339,0)),0)-$AD722)</f>
        <v/>
      </c>
      <c r="AF722" s="10">
        <f>IF($A722="","",IFERROR(INDEX('2_IMPORTAR_EJECUCION'!$F$9:$F$1208,MATCH($AN722,'2_IMPORTAR_EJECUCION'!$J$9:$J$1208,0)),0))</f>
        <v/>
      </c>
      <c r="AG722" s="10">
        <f>IF($A722="","",MAX(0,IFERROR(INDEX('2_IMPORTAR_EJECUCION'!$H$9:$H$1208,MATCH($AN722,'2_IMPORTAR_EJECUCION'!$J$9:$J$1208,0)),0)-$AF722))</f>
        <v/>
      </c>
      <c r="AH722" s="10">
        <f>IF($A722="","",$AF722+$AG722)</f>
        <v/>
      </c>
      <c r="AI722" s="6" t="n"/>
      <c r="AJ722" s="6" t="n"/>
      <c r="AK722" s="6" t="n"/>
      <c r="AL722" s="3">
        <f>IF($AK722="","",HYPERLINK(p_ruta_base_checklists&amp;$AK722,"abrir"))</f>
        <v/>
      </c>
      <c r="AM722" s="6" t="n"/>
      <c r="AN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1" t="n"/>
      <c r="K723" s="3" t="n"/>
      <c r="L723" s="10" t="n"/>
      <c r="M723" s="3">
        <f>IF($A723="","",IFERROR(INDEX('AJUSTES'!$B$4:$B$303,MATCH($AN723,'AJUSTES'!$A$4:$A$303,0)),IF($K723="","",$K723)))</f>
        <v/>
      </c>
      <c r="N723" s="3">
        <f>IF($A723="","",IFERROR(INDEX('CAT_ESTADOS_ERP'!$B$4:$B$7,MATCH(IFERROR(INDEX('2_IMPORTAR_EJECUCION'!$C$9:$C$1208,MATCH($AN723,'2_IMPORTAR_EJECUCION'!$J$9:$J$1208,0)),""),'CAT_ESTADOS_ERP'!$A$4:$A$7,0)),"Pendiente"))</f>
        <v/>
      </c>
      <c r="O723" s="3">
        <f>IF($J723="","",YEAR($J723+4-WEEKDAY($J723,2))&amp;"-S"&amp;TEXT(_xlfn.ISOWEEKNUM($J723),"00"))</f>
        <v/>
      </c>
      <c r="P723" s="3">
        <f>IF($J723="","",YEAR($J723))</f>
        <v/>
      </c>
      <c r="Q723" s="3">
        <f>IF($J723="","",MONTH($J723))</f>
        <v/>
      </c>
      <c r="R723" s="3">
        <f>IF($J723="","",INDEX(lista_dias,WEEKDAY($J723,2)))</f>
        <v/>
      </c>
      <c r="S723" s="3">
        <f>IF($I723="","",IFERROR(INDEX('CAT_TIPOS_OT'!$C$4:$C$7,MATCH($I723,'CAT_TIPOS_OT'!$A$4:$A$7,0)),"sin_clasificar"))</f>
        <v/>
      </c>
      <c r="T723" s="3">
        <f>IF($F723="","",IFERROR(INDEX('CAT_CENTROS_COSTO'!$E$4:$E$9,MATCH($F723,'CAT_CENTROS_COSTO'!$A$4:$A$9,0)),"(sin catálogo)"))</f>
        <v/>
      </c>
      <c r="U723" s="3">
        <f>IF($F723="","",IFERROR(INDEX('CAT_CENTROS_COSTO'!$D$4:$D$9,MATCH($F723,'CAT_CENTROS_COSTO'!$A$4:$A$9,0)),"(sin catálogo)"))</f>
        <v/>
      </c>
      <c r="V723" s="3">
        <f>IF($F723="","",IFERROR(INDEX('CAT_CENTROS_COSTO'!$F$4:$F$9,MATCH($F723,'CAT_CENTROS_COSTO'!$A$4:$A$9,0)),"(sin catálogo)"))</f>
        <v/>
      </c>
      <c r="W723" s="3">
        <f>IF($G723="","",IFERROR(INDEX('CAT_PUESTOS'!$B$4:$B$8,MATCH($G723,'CAT_PUESTOS'!$A$4:$A$8,0)),"(sin catálogo)"))</f>
        <v/>
      </c>
      <c r="X723" s="3">
        <f>IF($H723="","",IFERROR(INDEX('CAT_ACTIVIDADES'!$B$4:$B$8,MATCH($H723,'CAT_ACTIVIDADES'!$A$4:$A$8,0)),"(sin catálogo)"))</f>
        <v/>
      </c>
      <c r="Y723" s="12">
        <f>IF($J723="","",TODAY()-$J723)</f>
        <v/>
      </c>
      <c r="Z723" s="3">
        <f>IF($Y723="","",IF($Y723&lt;0,"FUTURO",IF($Y723&gt;p_dias_backlog_max,"BACKLOG","MES CORRIENTE")))</f>
        <v/>
      </c>
      <c r="AA723" s="3">
        <f>IF($Y723="",FALSE,AND($Y723&gt;p_dias_backlog_min,$Y723&lt;=p_dias_backlog_max))</f>
        <v/>
      </c>
      <c r="AB723" s="6" t="n"/>
      <c r="AC723" s="3">
        <f>IF($AB723="","",IFERROR(INDEX('ASIGNACIONES'!$F$4:$F$339,MATCH($O723&amp;"|"&amp;$R723&amp;"|"&amp;$AB723,'ASIGNACIONES'!$I$4:$I$339,0)),""))</f>
        <v/>
      </c>
      <c r="AD723" s="13">
        <f>IF($AB723="","",SUMIFS('ORDENES'!$M$4:$M$1203,'ORDENES'!$AB$4:$AB$1203,$AB723,'ORDENES'!$O$4:$O$1203,$O723,'ORDENES'!$R$4:$R$1203,$R723))</f>
        <v/>
      </c>
      <c r="AE723" s="13">
        <f>IF($AD723="","",p_factor_productividad*IFERROR(INDEX('ASIGNACIONES'!$H$4:$H$339,MATCH($O723&amp;"|"&amp;$R723&amp;"|"&amp;$AB723,'ASIGNACIONES'!$I$4:$I$339,0)),0)-$AD723)</f>
        <v/>
      </c>
      <c r="AF723" s="10">
        <f>IF($A723="","",IFERROR(INDEX('2_IMPORTAR_EJECUCION'!$F$9:$F$1208,MATCH($AN723,'2_IMPORTAR_EJECUCION'!$J$9:$J$1208,0)),0))</f>
        <v/>
      </c>
      <c r="AG723" s="10">
        <f>IF($A723="","",MAX(0,IFERROR(INDEX('2_IMPORTAR_EJECUCION'!$H$9:$H$1208,MATCH($AN723,'2_IMPORTAR_EJECUCION'!$J$9:$J$1208,0)),0)-$AF723))</f>
        <v/>
      </c>
      <c r="AH723" s="10">
        <f>IF($A723="","",$AF723+$AG723)</f>
        <v/>
      </c>
      <c r="AI723" s="6" t="n"/>
      <c r="AJ723" s="6" t="n"/>
      <c r="AK723" s="6" t="n"/>
      <c r="AL723" s="3">
        <f>IF($AK723="","",HYPERLINK(p_ruta_base_checklists&amp;$AK723,"abrir"))</f>
        <v/>
      </c>
      <c r="AM723" s="6" t="n"/>
      <c r="AN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1" t="n"/>
      <c r="K724" s="3" t="n"/>
      <c r="L724" s="10" t="n"/>
      <c r="M724" s="3">
        <f>IF($A724="","",IFERROR(INDEX('AJUSTES'!$B$4:$B$303,MATCH($AN724,'AJUSTES'!$A$4:$A$303,0)),IF($K724="","",$K724)))</f>
        <v/>
      </c>
      <c r="N724" s="3">
        <f>IF($A724="","",IFERROR(INDEX('CAT_ESTADOS_ERP'!$B$4:$B$7,MATCH(IFERROR(INDEX('2_IMPORTAR_EJECUCION'!$C$9:$C$1208,MATCH($AN724,'2_IMPORTAR_EJECUCION'!$J$9:$J$1208,0)),""),'CAT_ESTADOS_ERP'!$A$4:$A$7,0)),"Pendiente"))</f>
        <v/>
      </c>
      <c r="O724" s="3">
        <f>IF($J724="","",YEAR($J724+4-WEEKDAY($J724,2))&amp;"-S"&amp;TEXT(_xlfn.ISOWEEKNUM($J724),"00"))</f>
        <v/>
      </c>
      <c r="P724" s="3">
        <f>IF($J724="","",YEAR($J724))</f>
        <v/>
      </c>
      <c r="Q724" s="3">
        <f>IF($J724="","",MONTH($J724))</f>
        <v/>
      </c>
      <c r="R724" s="3">
        <f>IF($J724="","",INDEX(lista_dias,WEEKDAY($J724,2)))</f>
        <v/>
      </c>
      <c r="S724" s="3">
        <f>IF($I724="","",IFERROR(INDEX('CAT_TIPOS_OT'!$C$4:$C$7,MATCH($I724,'CAT_TIPOS_OT'!$A$4:$A$7,0)),"sin_clasificar"))</f>
        <v/>
      </c>
      <c r="T724" s="3">
        <f>IF($F724="","",IFERROR(INDEX('CAT_CENTROS_COSTO'!$E$4:$E$9,MATCH($F724,'CAT_CENTROS_COSTO'!$A$4:$A$9,0)),"(sin catálogo)"))</f>
        <v/>
      </c>
      <c r="U724" s="3">
        <f>IF($F724="","",IFERROR(INDEX('CAT_CENTROS_COSTO'!$D$4:$D$9,MATCH($F724,'CAT_CENTROS_COSTO'!$A$4:$A$9,0)),"(sin catálogo)"))</f>
        <v/>
      </c>
      <c r="V724" s="3">
        <f>IF($F724="","",IFERROR(INDEX('CAT_CENTROS_COSTO'!$F$4:$F$9,MATCH($F724,'CAT_CENTROS_COSTO'!$A$4:$A$9,0)),"(sin catálogo)"))</f>
        <v/>
      </c>
      <c r="W724" s="3">
        <f>IF($G724="","",IFERROR(INDEX('CAT_PUESTOS'!$B$4:$B$8,MATCH($G724,'CAT_PUESTOS'!$A$4:$A$8,0)),"(sin catálogo)"))</f>
        <v/>
      </c>
      <c r="X724" s="3">
        <f>IF($H724="","",IFERROR(INDEX('CAT_ACTIVIDADES'!$B$4:$B$8,MATCH($H724,'CAT_ACTIVIDADES'!$A$4:$A$8,0)),"(sin catálogo)"))</f>
        <v/>
      </c>
      <c r="Y724" s="12">
        <f>IF($J724="","",TODAY()-$J724)</f>
        <v/>
      </c>
      <c r="Z724" s="3">
        <f>IF($Y724="","",IF($Y724&lt;0,"FUTURO",IF($Y724&gt;p_dias_backlog_max,"BACKLOG","MES CORRIENTE")))</f>
        <v/>
      </c>
      <c r="AA724" s="3">
        <f>IF($Y724="",FALSE,AND($Y724&gt;p_dias_backlog_min,$Y724&lt;=p_dias_backlog_max))</f>
        <v/>
      </c>
      <c r="AB724" s="6" t="n"/>
      <c r="AC724" s="3">
        <f>IF($AB724="","",IFERROR(INDEX('ASIGNACIONES'!$F$4:$F$339,MATCH($O724&amp;"|"&amp;$R724&amp;"|"&amp;$AB724,'ASIGNACIONES'!$I$4:$I$339,0)),""))</f>
        <v/>
      </c>
      <c r="AD724" s="13">
        <f>IF($AB724="","",SUMIFS('ORDENES'!$M$4:$M$1203,'ORDENES'!$AB$4:$AB$1203,$AB724,'ORDENES'!$O$4:$O$1203,$O724,'ORDENES'!$R$4:$R$1203,$R724))</f>
        <v/>
      </c>
      <c r="AE724" s="13">
        <f>IF($AD724="","",p_factor_productividad*IFERROR(INDEX('ASIGNACIONES'!$H$4:$H$339,MATCH($O724&amp;"|"&amp;$R724&amp;"|"&amp;$AB724,'ASIGNACIONES'!$I$4:$I$339,0)),0)-$AD724)</f>
        <v/>
      </c>
      <c r="AF724" s="10">
        <f>IF($A724="","",IFERROR(INDEX('2_IMPORTAR_EJECUCION'!$F$9:$F$1208,MATCH($AN724,'2_IMPORTAR_EJECUCION'!$J$9:$J$1208,0)),0))</f>
        <v/>
      </c>
      <c r="AG724" s="10">
        <f>IF($A724="","",MAX(0,IFERROR(INDEX('2_IMPORTAR_EJECUCION'!$H$9:$H$1208,MATCH($AN724,'2_IMPORTAR_EJECUCION'!$J$9:$J$1208,0)),0)-$AF724))</f>
        <v/>
      </c>
      <c r="AH724" s="10">
        <f>IF($A724="","",$AF724+$AG724)</f>
        <v/>
      </c>
      <c r="AI724" s="6" t="n"/>
      <c r="AJ724" s="6" t="n"/>
      <c r="AK724" s="6" t="n"/>
      <c r="AL724" s="3">
        <f>IF($AK724="","",HYPERLINK(p_ruta_base_checklists&amp;$AK724,"abrir"))</f>
        <v/>
      </c>
      <c r="AM724" s="6" t="n"/>
      <c r="AN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1" t="n"/>
      <c r="K725" s="3" t="n"/>
      <c r="L725" s="10" t="n"/>
      <c r="M725" s="3">
        <f>IF($A725="","",IFERROR(INDEX('AJUSTES'!$B$4:$B$303,MATCH($AN725,'AJUSTES'!$A$4:$A$303,0)),IF($K725="","",$K725)))</f>
        <v/>
      </c>
      <c r="N725" s="3">
        <f>IF($A725="","",IFERROR(INDEX('CAT_ESTADOS_ERP'!$B$4:$B$7,MATCH(IFERROR(INDEX('2_IMPORTAR_EJECUCION'!$C$9:$C$1208,MATCH($AN725,'2_IMPORTAR_EJECUCION'!$J$9:$J$1208,0)),""),'CAT_ESTADOS_ERP'!$A$4:$A$7,0)),"Pendiente"))</f>
        <v/>
      </c>
      <c r="O725" s="3">
        <f>IF($J725="","",YEAR($J725+4-WEEKDAY($J725,2))&amp;"-S"&amp;TEXT(_xlfn.ISOWEEKNUM($J725),"00"))</f>
        <v/>
      </c>
      <c r="P725" s="3">
        <f>IF($J725="","",YEAR($J725))</f>
        <v/>
      </c>
      <c r="Q725" s="3">
        <f>IF($J725="","",MONTH($J725))</f>
        <v/>
      </c>
      <c r="R725" s="3">
        <f>IF($J725="","",INDEX(lista_dias,WEEKDAY($J725,2)))</f>
        <v/>
      </c>
      <c r="S725" s="3">
        <f>IF($I725="","",IFERROR(INDEX('CAT_TIPOS_OT'!$C$4:$C$7,MATCH($I725,'CAT_TIPOS_OT'!$A$4:$A$7,0)),"sin_clasificar"))</f>
        <v/>
      </c>
      <c r="T725" s="3">
        <f>IF($F725="","",IFERROR(INDEX('CAT_CENTROS_COSTO'!$E$4:$E$9,MATCH($F725,'CAT_CENTROS_COSTO'!$A$4:$A$9,0)),"(sin catálogo)"))</f>
        <v/>
      </c>
      <c r="U725" s="3">
        <f>IF($F725="","",IFERROR(INDEX('CAT_CENTROS_COSTO'!$D$4:$D$9,MATCH($F725,'CAT_CENTROS_COSTO'!$A$4:$A$9,0)),"(sin catálogo)"))</f>
        <v/>
      </c>
      <c r="V725" s="3">
        <f>IF($F725="","",IFERROR(INDEX('CAT_CENTROS_COSTO'!$F$4:$F$9,MATCH($F725,'CAT_CENTROS_COSTO'!$A$4:$A$9,0)),"(sin catálogo)"))</f>
        <v/>
      </c>
      <c r="W725" s="3">
        <f>IF($G725="","",IFERROR(INDEX('CAT_PUESTOS'!$B$4:$B$8,MATCH($G725,'CAT_PUESTOS'!$A$4:$A$8,0)),"(sin catálogo)"))</f>
        <v/>
      </c>
      <c r="X725" s="3">
        <f>IF($H725="","",IFERROR(INDEX('CAT_ACTIVIDADES'!$B$4:$B$8,MATCH($H725,'CAT_ACTIVIDADES'!$A$4:$A$8,0)),"(sin catálogo)"))</f>
        <v/>
      </c>
      <c r="Y725" s="12">
        <f>IF($J725="","",TODAY()-$J725)</f>
        <v/>
      </c>
      <c r="Z725" s="3">
        <f>IF($Y725="","",IF($Y725&lt;0,"FUTURO",IF($Y725&gt;p_dias_backlog_max,"BACKLOG","MES CORRIENTE")))</f>
        <v/>
      </c>
      <c r="AA725" s="3">
        <f>IF($Y725="",FALSE,AND($Y725&gt;p_dias_backlog_min,$Y725&lt;=p_dias_backlog_max))</f>
        <v/>
      </c>
      <c r="AB725" s="6" t="n"/>
      <c r="AC725" s="3">
        <f>IF($AB725="","",IFERROR(INDEX('ASIGNACIONES'!$F$4:$F$339,MATCH($O725&amp;"|"&amp;$R725&amp;"|"&amp;$AB725,'ASIGNACIONES'!$I$4:$I$339,0)),""))</f>
        <v/>
      </c>
      <c r="AD725" s="13">
        <f>IF($AB725="","",SUMIFS('ORDENES'!$M$4:$M$1203,'ORDENES'!$AB$4:$AB$1203,$AB725,'ORDENES'!$O$4:$O$1203,$O725,'ORDENES'!$R$4:$R$1203,$R725))</f>
        <v/>
      </c>
      <c r="AE725" s="13">
        <f>IF($AD725="","",p_factor_productividad*IFERROR(INDEX('ASIGNACIONES'!$H$4:$H$339,MATCH($O725&amp;"|"&amp;$R725&amp;"|"&amp;$AB725,'ASIGNACIONES'!$I$4:$I$339,0)),0)-$AD725)</f>
        <v/>
      </c>
      <c r="AF725" s="10">
        <f>IF($A725="","",IFERROR(INDEX('2_IMPORTAR_EJECUCION'!$F$9:$F$1208,MATCH($AN725,'2_IMPORTAR_EJECUCION'!$J$9:$J$1208,0)),0))</f>
        <v/>
      </c>
      <c r="AG725" s="10">
        <f>IF($A725="","",MAX(0,IFERROR(INDEX('2_IMPORTAR_EJECUCION'!$H$9:$H$1208,MATCH($AN725,'2_IMPORTAR_EJECUCION'!$J$9:$J$1208,0)),0)-$AF725))</f>
        <v/>
      </c>
      <c r="AH725" s="10">
        <f>IF($A725="","",$AF725+$AG725)</f>
        <v/>
      </c>
      <c r="AI725" s="6" t="n"/>
      <c r="AJ725" s="6" t="n"/>
      <c r="AK725" s="6" t="n"/>
      <c r="AL725" s="3">
        <f>IF($AK725="","",HYPERLINK(p_ruta_base_checklists&amp;$AK725,"abrir"))</f>
        <v/>
      </c>
      <c r="AM725" s="6" t="n"/>
      <c r="AN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1" t="n"/>
      <c r="K726" s="3" t="n"/>
      <c r="L726" s="10" t="n"/>
      <c r="M726" s="3">
        <f>IF($A726="","",IFERROR(INDEX('AJUSTES'!$B$4:$B$303,MATCH($AN726,'AJUSTES'!$A$4:$A$303,0)),IF($K726="","",$K726)))</f>
        <v/>
      </c>
      <c r="N726" s="3">
        <f>IF($A726="","",IFERROR(INDEX('CAT_ESTADOS_ERP'!$B$4:$B$7,MATCH(IFERROR(INDEX('2_IMPORTAR_EJECUCION'!$C$9:$C$1208,MATCH($AN726,'2_IMPORTAR_EJECUCION'!$J$9:$J$1208,0)),""),'CAT_ESTADOS_ERP'!$A$4:$A$7,0)),"Pendiente"))</f>
        <v/>
      </c>
      <c r="O726" s="3">
        <f>IF($J726="","",YEAR($J726+4-WEEKDAY($J726,2))&amp;"-S"&amp;TEXT(_xlfn.ISOWEEKNUM($J726),"00"))</f>
        <v/>
      </c>
      <c r="P726" s="3">
        <f>IF($J726="","",YEAR($J726))</f>
        <v/>
      </c>
      <c r="Q726" s="3">
        <f>IF($J726="","",MONTH($J726))</f>
        <v/>
      </c>
      <c r="R726" s="3">
        <f>IF($J726="","",INDEX(lista_dias,WEEKDAY($J726,2)))</f>
        <v/>
      </c>
      <c r="S726" s="3">
        <f>IF($I726="","",IFERROR(INDEX('CAT_TIPOS_OT'!$C$4:$C$7,MATCH($I726,'CAT_TIPOS_OT'!$A$4:$A$7,0)),"sin_clasificar"))</f>
        <v/>
      </c>
      <c r="T726" s="3">
        <f>IF($F726="","",IFERROR(INDEX('CAT_CENTROS_COSTO'!$E$4:$E$9,MATCH($F726,'CAT_CENTROS_COSTO'!$A$4:$A$9,0)),"(sin catálogo)"))</f>
        <v/>
      </c>
      <c r="U726" s="3">
        <f>IF($F726="","",IFERROR(INDEX('CAT_CENTROS_COSTO'!$D$4:$D$9,MATCH($F726,'CAT_CENTROS_COSTO'!$A$4:$A$9,0)),"(sin catálogo)"))</f>
        <v/>
      </c>
      <c r="V726" s="3">
        <f>IF($F726="","",IFERROR(INDEX('CAT_CENTROS_COSTO'!$F$4:$F$9,MATCH($F726,'CAT_CENTROS_COSTO'!$A$4:$A$9,0)),"(sin catálogo)"))</f>
        <v/>
      </c>
      <c r="W726" s="3">
        <f>IF($G726="","",IFERROR(INDEX('CAT_PUESTOS'!$B$4:$B$8,MATCH($G726,'CAT_PUESTOS'!$A$4:$A$8,0)),"(sin catálogo)"))</f>
        <v/>
      </c>
      <c r="X726" s="3">
        <f>IF($H726="","",IFERROR(INDEX('CAT_ACTIVIDADES'!$B$4:$B$8,MATCH($H726,'CAT_ACTIVIDADES'!$A$4:$A$8,0)),"(sin catálogo)"))</f>
        <v/>
      </c>
      <c r="Y726" s="12">
        <f>IF($J726="","",TODAY()-$J726)</f>
        <v/>
      </c>
      <c r="Z726" s="3">
        <f>IF($Y726="","",IF($Y726&lt;0,"FUTURO",IF($Y726&gt;p_dias_backlog_max,"BACKLOG","MES CORRIENTE")))</f>
        <v/>
      </c>
      <c r="AA726" s="3">
        <f>IF($Y726="",FALSE,AND($Y726&gt;p_dias_backlog_min,$Y726&lt;=p_dias_backlog_max))</f>
        <v/>
      </c>
      <c r="AB726" s="6" t="n"/>
      <c r="AC726" s="3">
        <f>IF($AB726="","",IFERROR(INDEX('ASIGNACIONES'!$F$4:$F$339,MATCH($O726&amp;"|"&amp;$R726&amp;"|"&amp;$AB726,'ASIGNACIONES'!$I$4:$I$339,0)),""))</f>
        <v/>
      </c>
      <c r="AD726" s="13">
        <f>IF($AB726="","",SUMIFS('ORDENES'!$M$4:$M$1203,'ORDENES'!$AB$4:$AB$1203,$AB726,'ORDENES'!$O$4:$O$1203,$O726,'ORDENES'!$R$4:$R$1203,$R726))</f>
        <v/>
      </c>
      <c r="AE726" s="13">
        <f>IF($AD726="","",p_factor_productividad*IFERROR(INDEX('ASIGNACIONES'!$H$4:$H$339,MATCH($O726&amp;"|"&amp;$R726&amp;"|"&amp;$AB726,'ASIGNACIONES'!$I$4:$I$339,0)),0)-$AD726)</f>
        <v/>
      </c>
      <c r="AF726" s="10">
        <f>IF($A726="","",IFERROR(INDEX('2_IMPORTAR_EJECUCION'!$F$9:$F$1208,MATCH($AN726,'2_IMPORTAR_EJECUCION'!$J$9:$J$1208,0)),0))</f>
        <v/>
      </c>
      <c r="AG726" s="10">
        <f>IF($A726="","",MAX(0,IFERROR(INDEX('2_IMPORTAR_EJECUCION'!$H$9:$H$1208,MATCH($AN726,'2_IMPORTAR_EJECUCION'!$J$9:$J$1208,0)),0)-$AF726))</f>
        <v/>
      </c>
      <c r="AH726" s="10">
        <f>IF($A726="","",$AF726+$AG726)</f>
        <v/>
      </c>
      <c r="AI726" s="6" t="n"/>
      <c r="AJ726" s="6" t="n"/>
      <c r="AK726" s="6" t="n"/>
      <c r="AL726" s="3">
        <f>IF($AK726="","",HYPERLINK(p_ruta_base_checklists&amp;$AK726,"abrir"))</f>
        <v/>
      </c>
      <c r="AM726" s="6" t="n"/>
      <c r="AN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1" t="n"/>
      <c r="K727" s="3" t="n"/>
      <c r="L727" s="10" t="n"/>
      <c r="M727" s="3">
        <f>IF($A727="","",IFERROR(INDEX('AJUSTES'!$B$4:$B$303,MATCH($AN727,'AJUSTES'!$A$4:$A$303,0)),IF($K727="","",$K727)))</f>
        <v/>
      </c>
      <c r="N727" s="3">
        <f>IF($A727="","",IFERROR(INDEX('CAT_ESTADOS_ERP'!$B$4:$B$7,MATCH(IFERROR(INDEX('2_IMPORTAR_EJECUCION'!$C$9:$C$1208,MATCH($AN727,'2_IMPORTAR_EJECUCION'!$J$9:$J$1208,0)),""),'CAT_ESTADOS_ERP'!$A$4:$A$7,0)),"Pendiente"))</f>
        <v/>
      </c>
      <c r="O727" s="3">
        <f>IF($J727="","",YEAR($J727+4-WEEKDAY($J727,2))&amp;"-S"&amp;TEXT(_xlfn.ISOWEEKNUM($J727),"00"))</f>
        <v/>
      </c>
      <c r="P727" s="3">
        <f>IF($J727="","",YEAR($J727))</f>
        <v/>
      </c>
      <c r="Q727" s="3">
        <f>IF($J727="","",MONTH($J727))</f>
        <v/>
      </c>
      <c r="R727" s="3">
        <f>IF($J727="","",INDEX(lista_dias,WEEKDAY($J727,2)))</f>
        <v/>
      </c>
      <c r="S727" s="3">
        <f>IF($I727="","",IFERROR(INDEX('CAT_TIPOS_OT'!$C$4:$C$7,MATCH($I727,'CAT_TIPOS_OT'!$A$4:$A$7,0)),"sin_clasificar"))</f>
        <v/>
      </c>
      <c r="T727" s="3">
        <f>IF($F727="","",IFERROR(INDEX('CAT_CENTROS_COSTO'!$E$4:$E$9,MATCH($F727,'CAT_CENTROS_COSTO'!$A$4:$A$9,0)),"(sin catálogo)"))</f>
        <v/>
      </c>
      <c r="U727" s="3">
        <f>IF($F727="","",IFERROR(INDEX('CAT_CENTROS_COSTO'!$D$4:$D$9,MATCH($F727,'CAT_CENTROS_COSTO'!$A$4:$A$9,0)),"(sin catálogo)"))</f>
        <v/>
      </c>
      <c r="V727" s="3">
        <f>IF($F727="","",IFERROR(INDEX('CAT_CENTROS_COSTO'!$F$4:$F$9,MATCH($F727,'CAT_CENTROS_COSTO'!$A$4:$A$9,0)),"(sin catálogo)"))</f>
        <v/>
      </c>
      <c r="W727" s="3">
        <f>IF($G727="","",IFERROR(INDEX('CAT_PUESTOS'!$B$4:$B$8,MATCH($G727,'CAT_PUESTOS'!$A$4:$A$8,0)),"(sin catálogo)"))</f>
        <v/>
      </c>
      <c r="X727" s="3">
        <f>IF($H727="","",IFERROR(INDEX('CAT_ACTIVIDADES'!$B$4:$B$8,MATCH($H727,'CAT_ACTIVIDADES'!$A$4:$A$8,0)),"(sin catálogo)"))</f>
        <v/>
      </c>
      <c r="Y727" s="12">
        <f>IF($J727="","",TODAY()-$J727)</f>
        <v/>
      </c>
      <c r="Z727" s="3">
        <f>IF($Y727="","",IF($Y727&lt;0,"FUTURO",IF($Y727&gt;p_dias_backlog_max,"BACKLOG","MES CORRIENTE")))</f>
        <v/>
      </c>
      <c r="AA727" s="3">
        <f>IF($Y727="",FALSE,AND($Y727&gt;p_dias_backlog_min,$Y727&lt;=p_dias_backlog_max))</f>
        <v/>
      </c>
      <c r="AB727" s="6" t="n"/>
      <c r="AC727" s="3">
        <f>IF($AB727="","",IFERROR(INDEX('ASIGNACIONES'!$F$4:$F$339,MATCH($O727&amp;"|"&amp;$R727&amp;"|"&amp;$AB727,'ASIGNACIONES'!$I$4:$I$339,0)),""))</f>
        <v/>
      </c>
      <c r="AD727" s="13">
        <f>IF($AB727="","",SUMIFS('ORDENES'!$M$4:$M$1203,'ORDENES'!$AB$4:$AB$1203,$AB727,'ORDENES'!$O$4:$O$1203,$O727,'ORDENES'!$R$4:$R$1203,$R727))</f>
        <v/>
      </c>
      <c r="AE727" s="13">
        <f>IF($AD727="","",p_factor_productividad*IFERROR(INDEX('ASIGNACIONES'!$H$4:$H$339,MATCH($O727&amp;"|"&amp;$R727&amp;"|"&amp;$AB727,'ASIGNACIONES'!$I$4:$I$339,0)),0)-$AD727)</f>
        <v/>
      </c>
      <c r="AF727" s="10">
        <f>IF($A727="","",IFERROR(INDEX('2_IMPORTAR_EJECUCION'!$F$9:$F$1208,MATCH($AN727,'2_IMPORTAR_EJECUCION'!$J$9:$J$1208,0)),0))</f>
        <v/>
      </c>
      <c r="AG727" s="10">
        <f>IF($A727="","",MAX(0,IFERROR(INDEX('2_IMPORTAR_EJECUCION'!$H$9:$H$1208,MATCH($AN727,'2_IMPORTAR_EJECUCION'!$J$9:$J$1208,0)),0)-$AF727))</f>
        <v/>
      </c>
      <c r="AH727" s="10">
        <f>IF($A727="","",$AF727+$AG727)</f>
        <v/>
      </c>
      <c r="AI727" s="6" t="n"/>
      <c r="AJ727" s="6" t="n"/>
      <c r="AK727" s="6" t="n"/>
      <c r="AL727" s="3">
        <f>IF($AK727="","",HYPERLINK(p_ruta_base_checklists&amp;$AK727,"abrir"))</f>
        <v/>
      </c>
      <c r="AM727" s="6" t="n"/>
      <c r="AN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1" t="n"/>
      <c r="K728" s="3" t="n"/>
      <c r="L728" s="10" t="n"/>
      <c r="M728" s="3">
        <f>IF($A728="","",IFERROR(INDEX('AJUSTES'!$B$4:$B$303,MATCH($AN728,'AJUSTES'!$A$4:$A$303,0)),IF($K728="","",$K728)))</f>
        <v/>
      </c>
      <c r="N728" s="3">
        <f>IF($A728="","",IFERROR(INDEX('CAT_ESTADOS_ERP'!$B$4:$B$7,MATCH(IFERROR(INDEX('2_IMPORTAR_EJECUCION'!$C$9:$C$1208,MATCH($AN728,'2_IMPORTAR_EJECUCION'!$J$9:$J$1208,0)),""),'CAT_ESTADOS_ERP'!$A$4:$A$7,0)),"Pendiente"))</f>
        <v/>
      </c>
      <c r="O728" s="3">
        <f>IF($J728="","",YEAR($J728+4-WEEKDAY($J728,2))&amp;"-S"&amp;TEXT(_xlfn.ISOWEEKNUM($J728),"00"))</f>
        <v/>
      </c>
      <c r="P728" s="3">
        <f>IF($J728="","",YEAR($J728))</f>
        <v/>
      </c>
      <c r="Q728" s="3">
        <f>IF($J728="","",MONTH($J728))</f>
        <v/>
      </c>
      <c r="R728" s="3">
        <f>IF($J728="","",INDEX(lista_dias,WEEKDAY($J728,2)))</f>
        <v/>
      </c>
      <c r="S728" s="3">
        <f>IF($I728="","",IFERROR(INDEX('CAT_TIPOS_OT'!$C$4:$C$7,MATCH($I728,'CAT_TIPOS_OT'!$A$4:$A$7,0)),"sin_clasificar"))</f>
        <v/>
      </c>
      <c r="T728" s="3">
        <f>IF($F728="","",IFERROR(INDEX('CAT_CENTROS_COSTO'!$E$4:$E$9,MATCH($F728,'CAT_CENTROS_COSTO'!$A$4:$A$9,0)),"(sin catálogo)"))</f>
        <v/>
      </c>
      <c r="U728" s="3">
        <f>IF($F728="","",IFERROR(INDEX('CAT_CENTROS_COSTO'!$D$4:$D$9,MATCH($F728,'CAT_CENTROS_COSTO'!$A$4:$A$9,0)),"(sin catálogo)"))</f>
        <v/>
      </c>
      <c r="V728" s="3">
        <f>IF($F728="","",IFERROR(INDEX('CAT_CENTROS_COSTO'!$F$4:$F$9,MATCH($F728,'CAT_CENTROS_COSTO'!$A$4:$A$9,0)),"(sin catálogo)"))</f>
        <v/>
      </c>
      <c r="W728" s="3">
        <f>IF($G728="","",IFERROR(INDEX('CAT_PUESTOS'!$B$4:$B$8,MATCH($G728,'CAT_PUESTOS'!$A$4:$A$8,0)),"(sin catálogo)"))</f>
        <v/>
      </c>
      <c r="X728" s="3">
        <f>IF($H728="","",IFERROR(INDEX('CAT_ACTIVIDADES'!$B$4:$B$8,MATCH($H728,'CAT_ACTIVIDADES'!$A$4:$A$8,0)),"(sin catálogo)"))</f>
        <v/>
      </c>
      <c r="Y728" s="12">
        <f>IF($J728="","",TODAY()-$J728)</f>
        <v/>
      </c>
      <c r="Z728" s="3">
        <f>IF($Y728="","",IF($Y728&lt;0,"FUTURO",IF($Y728&gt;p_dias_backlog_max,"BACKLOG","MES CORRIENTE")))</f>
        <v/>
      </c>
      <c r="AA728" s="3">
        <f>IF($Y728="",FALSE,AND($Y728&gt;p_dias_backlog_min,$Y728&lt;=p_dias_backlog_max))</f>
        <v/>
      </c>
      <c r="AB728" s="6" t="n"/>
      <c r="AC728" s="3">
        <f>IF($AB728="","",IFERROR(INDEX('ASIGNACIONES'!$F$4:$F$339,MATCH($O728&amp;"|"&amp;$R728&amp;"|"&amp;$AB728,'ASIGNACIONES'!$I$4:$I$339,0)),""))</f>
        <v/>
      </c>
      <c r="AD728" s="13">
        <f>IF($AB728="","",SUMIFS('ORDENES'!$M$4:$M$1203,'ORDENES'!$AB$4:$AB$1203,$AB728,'ORDENES'!$O$4:$O$1203,$O728,'ORDENES'!$R$4:$R$1203,$R728))</f>
        <v/>
      </c>
      <c r="AE728" s="13">
        <f>IF($AD728="","",p_factor_productividad*IFERROR(INDEX('ASIGNACIONES'!$H$4:$H$339,MATCH($O728&amp;"|"&amp;$R728&amp;"|"&amp;$AB728,'ASIGNACIONES'!$I$4:$I$339,0)),0)-$AD728)</f>
        <v/>
      </c>
      <c r="AF728" s="10">
        <f>IF($A728="","",IFERROR(INDEX('2_IMPORTAR_EJECUCION'!$F$9:$F$1208,MATCH($AN728,'2_IMPORTAR_EJECUCION'!$J$9:$J$1208,0)),0))</f>
        <v/>
      </c>
      <c r="AG728" s="10">
        <f>IF($A728="","",MAX(0,IFERROR(INDEX('2_IMPORTAR_EJECUCION'!$H$9:$H$1208,MATCH($AN728,'2_IMPORTAR_EJECUCION'!$J$9:$J$1208,0)),0)-$AF728))</f>
        <v/>
      </c>
      <c r="AH728" s="10">
        <f>IF($A728="","",$AF728+$AG728)</f>
        <v/>
      </c>
      <c r="AI728" s="6" t="n"/>
      <c r="AJ728" s="6" t="n"/>
      <c r="AK728" s="6" t="n"/>
      <c r="AL728" s="3">
        <f>IF($AK728="","",HYPERLINK(p_ruta_base_checklists&amp;$AK728,"abrir"))</f>
        <v/>
      </c>
      <c r="AM728" s="6" t="n"/>
      <c r="AN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1" t="n"/>
      <c r="K729" s="3" t="n"/>
      <c r="L729" s="10" t="n"/>
      <c r="M729" s="3">
        <f>IF($A729="","",IFERROR(INDEX('AJUSTES'!$B$4:$B$303,MATCH($AN729,'AJUSTES'!$A$4:$A$303,0)),IF($K729="","",$K729)))</f>
        <v/>
      </c>
      <c r="N729" s="3">
        <f>IF($A729="","",IFERROR(INDEX('CAT_ESTADOS_ERP'!$B$4:$B$7,MATCH(IFERROR(INDEX('2_IMPORTAR_EJECUCION'!$C$9:$C$1208,MATCH($AN729,'2_IMPORTAR_EJECUCION'!$J$9:$J$1208,0)),""),'CAT_ESTADOS_ERP'!$A$4:$A$7,0)),"Pendiente"))</f>
        <v/>
      </c>
      <c r="O729" s="3">
        <f>IF($J729="","",YEAR($J729+4-WEEKDAY($J729,2))&amp;"-S"&amp;TEXT(_xlfn.ISOWEEKNUM($J729),"00"))</f>
        <v/>
      </c>
      <c r="P729" s="3">
        <f>IF($J729="","",YEAR($J729))</f>
        <v/>
      </c>
      <c r="Q729" s="3">
        <f>IF($J729="","",MONTH($J729))</f>
        <v/>
      </c>
      <c r="R729" s="3">
        <f>IF($J729="","",INDEX(lista_dias,WEEKDAY($J729,2)))</f>
        <v/>
      </c>
      <c r="S729" s="3">
        <f>IF($I729="","",IFERROR(INDEX('CAT_TIPOS_OT'!$C$4:$C$7,MATCH($I729,'CAT_TIPOS_OT'!$A$4:$A$7,0)),"sin_clasificar"))</f>
        <v/>
      </c>
      <c r="T729" s="3">
        <f>IF($F729="","",IFERROR(INDEX('CAT_CENTROS_COSTO'!$E$4:$E$9,MATCH($F729,'CAT_CENTROS_COSTO'!$A$4:$A$9,0)),"(sin catálogo)"))</f>
        <v/>
      </c>
      <c r="U729" s="3">
        <f>IF($F729="","",IFERROR(INDEX('CAT_CENTROS_COSTO'!$D$4:$D$9,MATCH($F729,'CAT_CENTROS_COSTO'!$A$4:$A$9,0)),"(sin catálogo)"))</f>
        <v/>
      </c>
      <c r="V729" s="3">
        <f>IF($F729="","",IFERROR(INDEX('CAT_CENTROS_COSTO'!$F$4:$F$9,MATCH($F729,'CAT_CENTROS_COSTO'!$A$4:$A$9,0)),"(sin catálogo)"))</f>
        <v/>
      </c>
      <c r="W729" s="3">
        <f>IF($G729="","",IFERROR(INDEX('CAT_PUESTOS'!$B$4:$B$8,MATCH($G729,'CAT_PUESTOS'!$A$4:$A$8,0)),"(sin catálogo)"))</f>
        <v/>
      </c>
      <c r="X729" s="3">
        <f>IF($H729="","",IFERROR(INDEX('CAT_ACTIVIDADES'!$B$4:$B$8,MATCH($H729,'CAT_ACTIVIDADES'!$A$4:$A$8,0)),"(sin catálogo)"))</f>
        <v/>
      </c>
      <c r="Y729" s="12">
        <f>IF($J729="","",TODAY()-$J729)</f>
        <v/>
      </c>
      <c r="Z729" s="3">
        <f>IF($Y729="","",IF($Y729&lt;0,"FUTURO",IF($Y729&gt;p_dias_backlog_max,"BACKLOG","MES CORRIENTE")))</f>
        <v/>
      </c>
      <c r="AA729" s="3">
        <f>IF($Y729="",FALSE,AND($Y729&gt;p_dias_backlog_min,$Y729&lt;=p_dias_backlog_max))</f>
        <v/>
      </c>
      <c r="AB729" s="6" t="n"/>
      <c r="AC729" s="3">
        <f>IF($AB729="","",IFERROR(INDEX('ASIGNACIONES'!$F$4:$F$339,MATCH($O729&amp;"|"&amp;$R729&amp;"|"&amp;$AB729,'ASIGNACIONES'!$I$4:$I$339,0)),""))</f>
        <v/>
      </c>
      <c r="AD729" s="13">
        <f>IF($AB729="","",SUMIFS('ORDENES'!$M$4:$M$1203,'ORDENES'!$AB$4:$AB$1203,$AB729,'ORDENES'!$O$4:$O$1203,$O729,'ORDENES'!$R$4:$R$1203,$R729))</f>
        <v/>
      </c>
      <c r="AE729" s="13">
        <f>IF($AD729="","",p_factor_productividad*IFERROR(INDEX('ASIGNACIONES'!$H$4:$H$339,MATCH($O729&amp;"|"&amp;$R729&amp;"|"&amp;$AB729,'ASIGNACIONES'!$I$4:$I$339,0)),0)-$AD729)</f>
        <v/>
      </c>
      <c r="AF729" s="10">
        <f>IF($A729="","",IFERROR(INDEX('2_IMPORTAR_EJECUCION'!$F$9:$F$1208,MATCH($AN729,'2_IMPORTAR_EJECUCION'!$J$9:$J$1208,0)),0))</f>
        <v/>
      </c>
      <c r="AG729" s="10">
        <f>IF($A729="","",MAX(0,IFERROR(INDEX('2_IMPORTAR_EJECUCION'!$H$9:$H$1208,MATCH($AN729,'2_IMPORTAR_EJECUCION'!$J$9:$J$1208,0)),0)-$AF729))</f>
        <v/>
      </c>
      <c r="AH729" s="10">
        <f>IF($A729="","",$AF729+$AG729)</f>
        <v/>
      </c>
      <c r="AI729" s="6" t="n"/>
      <c r="AJ729" s="6" t="n"/>
      <c r="AK729" s="6" t="n"/>
      <c r="AL729" s="3">
        <f>IF($AK729="","",HYPERLINK(p_ruta_base_checklists&amp;$AK729,"abrir"))</f>
        <v/>
      </c>
      <c r="AM729" s="6" t="n"/>
      <c r="AN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1" t="n"/>
      <c r="K730" s="3" t="n"/>
      <c r="L730" s="10" t="n"/>
      <c r="M730" s="3">
        <f>IF($A730="","",IFERROR(INDEX('AJUSTES'!$B$4:$B$303,MATCH($AN730,'AJUSTES'!$A$4:$A$303,0)),IF($K730="","",$K730)))</f>
        <v/>
      </c>
      <c r="N730" s="3">
        <f>IF($A730="","",IFERROR(INDEX('CAT_ESTADOS_ERP'!$B$4:$B$7,MATCH(IFERROR(INDEX('2_IMPORTAR_EJECUCION'!$C$9:$C$1208,MATCH($AN730,'2_IMPORTAR_EJECUCION'!$J$9:$J$1208,0)),""),'CAT_ESTADOS_ERP'!$A$4:$A$7,0)),"Pendiente"))</f>
        <v/>
      </c>
      <c r="O730" s="3">
        <f>IF($J730="","",YEAR($J730+4-WEEKDAY($J730,2))&amp;"-S"&amp;TEXT(_xlfn.ISOWEEKNUM($J730),"00"))</f>
        <v/>
      </c>
      <c r="P730" s="3">
        <f>IF($J730="","",YEAR($J730))</f>
        <v/>
      </c>
      <c r="Q730" s="3">
        <f>IF($J730="","",MONTH($J730))</f>
        <v/>
      </c>
      <c r="R730" s="3">
        <f>IF($J730="","",INDEX(lista_dias,WEEKDAY($J730,2)))</f>
        <v/>
      </c>
      <c r="S730" s="3">
        <f>IF($I730="","",IFERROR(INDEX('CAT_TIPOS_OT'!$C$4:$C$7,MATCH($I730,'CAT_TIPOS_OT'!$A$4:$A$7,0)),"sin_clasificar"))</f>
        <v/>
      </c>
      <c r="T730" s="3">
        <f>IF($F730="","",IFERROR(INDEX('CAT_CENTROS_COSTO'!$E$4:$E$9,MATCH($F730,'CAT_CENTROS_COSTO'!$A$4:$A$9,0)),"(sin catálogo)"))</f>
        <v/>
      </c>
      <c r="U730" s="3">
        <f>IF($F730="","",IFERROR(INDEX('CAT_CENTROS_COSTO'!$D$4:$D$9,MATCH($F730,'CAT_CENTROS_COSTO'!$A$4:$A$9,0)),"(sin catálogo)"))</f>
        <v/>
      </c>
      <c r="V730" s="3">
        <f>IF($F730="","",IFERROR(INDEX('CAT_CENTROS_COSTO'!$F$4:$F$9,MATCH($F730,'CAT_CENTROS_COSTO'!$A$4:$A$9,0)),"(sin catálogo)"))</f>
        <v/>
      </c>
      <c r="W730" s="3">
        <f>IF($G730="","",IFERROR(INDEX('CAT_PUESTOS'!$B$4:$B$8,MATCH($G730,'CAT_PUESTOS'!$A$4:$A$8,0)),"(sin catálogo)"))</f>
        <v/>
      </c>
      <c r="X730" s="3">
        <f>IF($H730="","",IFERROR(INDEX('CAT_ACTIVIDADES'!$B$4:$B$8,MATCH($H730,'CAT_ACTIVIDADES'!$A$4:$A$8,0)),"(sin catálogo)"))</f>
        <v/>
      </c>
      <c r="Y730" s="12">
        <f>IF($J730="","",TODAY()-$J730)</f>
        <v/>
      </c>
      <c r="Z730" s="3">
        <f>IF($Y730="","",IF($Y730&lt;0,"FUTURO",IF($Y730&gt;p_dias_backlog_max,"BACKLOG","MES CORRIENTE")))</f>
        <v/>
      </c>
      <c r="AA730" s="3">
        <f>IF($Y730="",FALSE,AND($Y730&gt;p_dias_backlog_min,$Y730&lt;=p_dias_backlog_max))</f>
        <v/>
      </c>
      <c r="AB730" s="6" t="n"/>
      <c r="AC730" s="3">
        <f>IF($AB730="","",IFERROR(INDEX('ASIGNACIONES'!$F$4:$F$339,MATCH($O730&amp;"|"&amp;$R730&amp;"|"&amp;$AB730,'ASIGNACIONES'!$I$4:$I$339,0)),""))</f>
        <v/>
      </c>
      <c r="AD730" s="13">
        <f>IF($AB730="","",SUMIFS('ORDENES'!$M$4:$M$1203,'ORDENES'!$AB$4:$AB$1203,$AB730,'ORDENES'!$O$4:$O$1203,$O730,'ORDENES'!$R$4:$R$1203,$R730))</f>
        <v/>
      </c>
      <c r="AE730" s="13">
        <f>IF($AD730="","",p_factor_productividad*IFERROR(INDEX('ASIGNACIONES'!$H$4:$H$339,MATCH($O730&amp;"|"&amp;$R730&amp;"|"&amp;$AB730,'ASIGNACIONES'!$I$4:$I$339,0)),0)-$AD730)</f>
        <v/>
      </c>
      <c r="AF730" s="10">
        <f>IF($A730="","",IFERROR(INDEX('2_IMPORTAR_EJECUCION'!$F$9:$F$1208,MATCH($AN730,'2_IMPORTAR_EJECUCION'!$J$9:$J$1208,0)),0))</f>
        <v/>
      </c>
      <c r="AG730" s="10">
        <f>IF($A730="","",MAX(0,IFERROR(INDEX('2_IMPORTAR_EJECUCION'!$H$9:$H$1208,MATCH($AN730,'2_IMPORTAR_EJECUCION'!$J$9:$J$1208,0)),0)-$AF730))</f>
        <v/>
      </c>
      <c r="AH730" s="10">
        <f>IF($A730="","",$AF730+$AG730)</f>
        <v/>
      </c>
      <c r="AI730" s="6" t="n"/>
      <c r="AJ730" s="6" t="n"/>
      <c r="AK730" s="6" t="n"/>
      <c r="AL730" s="3">
        <f>IF($AK730="","",HYPERLINK(p_ruta_base_checklists&amp;$AK730,"abrir"))</f>
        <v/>
      </c>
      <c r="AM730" s="6" t="n"/>
      <c r="AN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1" t="n"/>
      <c r="K731" s="3" t="n"/>
      <c r="L731" s="10" t="n"/>
      <c r="M731" s="3">
        <f>IF($A731="","",IFERROR(INDEX('AJUSTES'!$B$4:$B$303,MATCH($AN731,'AJUSTES'!$A$4:$A$303,0)),IF($K731="","",$K731)))</f>
        <v/>
      </c>
      <c r="N731" s="3">
        <f>IF($A731="","",IFERROR(INDEX('CAT_ESTADOS_ERP'!$B$4:$B$7,MATCH(IFERROR(INDEX('2_IMPORTAR_EJECUCION'!$C$9:$C$1208,MATCH($AN731,'2_IMPORTAR_EJECUCION'!$J$9:$J$1208,0)),""),'CAT_ESTADOS_ERP'!$A$4:$A$7,0)),"Pendiente"))</f>
        <v/>
      </c>
      <c r="O731" s="3">
        <f>IF($J731="","",YEAR($J731+4-WEEKDAY($J731,2))&amp;"-S"&amp;TEXT(_xlfn.ISOWEEKNUM($J731),"00"))</f>
        <v/>
      </c>
      <c r="P731" s="3">
        <f>IF($J731="","",YEAR($J731))</f>
        <v/>
      </c>
      <c r="Q731" s="3">
        <f>IF($J731="","",MONTH($J731))</f>
        <v/>
      </c>
      <c r="R731" s="3">
        <f>IF($J731="","",INDEX(lista_dias,WEEKDAY($J731,2)))</f>
        <v/>
      </c>
      <c r="S731" s="3">
        <f>IF($I731="","",IFERROR(INDEX('CAT_TIPOS_OT'!$C$4:$C$7,MATCH($I731,'CAT_TIPOS_OT'!$A$4:$A$7,0)),"sin_clasificar"))</f>
        <v/>
      </c>
      <c r="T731" s="3">
        <f>IF($F731="","",IFERROR(INDEX('CAT_CENTROS_COSTO'!$E$4:$E$9,MATCH($F731,'CAT_CENTROS_COSTO'!$A$4:$A$9,0)),"(sin catálogo)"))</f>
        <v/>
      </c>
      <c r="U731" s="3">
        <f>IF($F731="","",IFERROR(INDEX('CAT_CENTROS_COSTO'!$D$4:$D$9,MATCH($F731,'CAT_CENTROS_COSTO'!$A$4:$A$9,0)),"(sin catálogo)"))</f>
        <v/>
      </c>
      <c r="V731" s="3">
        <f>IF($F731="","",IFERROR(INDEX('CAT_CENTROS_COSTO'!$F$4:$F$9,MATCH($F731,'CAT_CENTROS_COSTO'!$A$4:$A$9,0)),"(sin catálogo)"))</f>
        <v/>
      </c>
      <c r="W731" s="3">
        <f>IF($G731="","",IFERROR(INDEX('CAT_PUESTOS'!$B$4:$B$8,MATCH($G731,'CAT_PUESTOS'!$A$4:$A$8,0)),"(sin catálogo)"))</f>
        <v/>
      </c>
      <c r="X731" s="3">
        <f>IF($H731="","",IFERROR(INDEX('CAT_ACTIVIDADES'!$B$4:$B$8,MATCH($H731,'CAT_ACTIVIDADES'!$A$4:$A$8,0)),"(sin catálogo)"))</f>
        <v/>
      </c>
      <c r="Y731" s="12">
        <f>IF($J731="","",TODAY()-$J731)</f>
        <v/>
      </c>
      <c r="Z731" s="3">
        <f>IF($Y731="","",IF($Y731&lt;0,"FUTURO",IF($Y731&gt;p_dias_backlog_max,"BACKLOG","MES CORRIENTE")))</f>
        <v/>
      </c>
      <c r="AA731" s="3">
        <f>IF($Y731="",FALSE,AND($Y731&gt;p_dias_backlog_min,$Y731&lt;=p_dias_backlog_max))</f>
        <v/>
      </c>
      <c r="AB731" s="6" t="n"/>
      <c r="AC731" s="3">
        <f>IF($AB731="","",IFERROR(INDEX('ASIGNACIONES'!$F$4:$F$339,MATCH($O731&amp;"|"&amp;$R731&amp;"|"&amp;$AB731,'ASIGNACIONES'!$I$4:$I$339,0)),""))</f>
        <v/>
      </c>
      <c r="AD731" s="13">
        <f>IF($AB731="","",SUMIFS('ORDENES'!$M$4:$M$1203,'ORDENES'!$AB$4:$AB$1203,$AB731,'ORDENES'!$O$4:$O$1203,$O731,'ORDENES'!$R$4:$R$1203,$R731))</f>
        <v/>
      </c>
      <c r="AE731" s="13">
        <f>IF($AD731="","",p_factor_productividad*IFERROR(INDEX('ASIGNACIONES'!$H$4:$H$339,MATCH($O731&amp;"|"&amp;$R731&amp;"|"&amp;$AB731,'ASIGNACIONES'!$I$4:$I$339,0)),0)-$AD731)</f>
        <v/>
      </c>
      <c r="AF731" s="10">
        <f>IF($A731="","",IFERROR(INDEX('2_IMPORTAR_EJECUCION'!$F$9:$F$1208,MATCH($AN731,'2_IMPORTAR_EJECUCION'!$J$9:$J$1208,0)),0))</f>
        <v/>
      </c>
      <c r="AG731" s="10">
        <f>IF($A731="","",MAX(0,IFERROR(INDEX('2_IMPORTAR_EJECUCION'!$H$9:$H$1208,MATCH($AN731,'2_IMPORTAR_EJECUCION'!$J$9:$J$1208,0)),0)-$AF731))</f>
        <v/>
      </c>
      <c r="AH731" s="10">
        <f>IF($A731="","",$AF731+$AG731)</f>
        <v/>
      </c>
      <c r="AI731" s="6" t="n"/>
      <c r="AJ731" s="6" t="n"/>
      <c r="AK731" s="6" t="n"/>
      <c r="AL731" s="3">
        <f>IF($AK731="","",HYPERLINK(p_ruta_base_checklists&amp;$AK731,"abrir"))</f>
        <v/>
      </c>
      <c r="AM731" s="6" t="n"/>
      <c r="AN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1" t="n"/>
      <c r="K732" s="3" t="n"/>
      <c r="L732" s="10" t="n"/>
      <c r="M732" s="3">
        <f>IF($A732="","",IFERROR(INDEX('AJUSTES'!$B$4:$B$303,MATCH($AN732,'AJUSTES'!$A$4:$A$303,0)),IF($K732="","",$K732)))</f>
        <v/>
      </c>
      <c r="N732" s="3">
        <f>IF($A732="","",IFERROR(INDEX('CAT_ESTADOS_ERP'!$B$4:$B$7,MATCH(IFERROR(INDEX('2_IMPORTAR_EJECUCION'!$C$9:$C$1208,MATCH($AN732,'2_IMPORTAR_EJECUCION'!$J$9:$J$1208,0)),""),'CAT_ESTADOS_ERP'!$A$4:$A$7,0)),"Pendiente"))</f>
        <v/>
      </c>
      <c r="O732" s="3">
        <f>IF($J732="","",YEAR($J732+4-WEEKDAY($J732,2))&amp;"-S"&amp;TEXT(_xlfn.ISOWEEKNUM($J732),"00"))</f>
        <v/>
      </c>
      <c r="P732" s="3">
        <f>IF($J732="","",YEAR($J732))</f>
        <v/>
      </c>
      <c r="Q732" s="3">
        <f>IF($J732="","",MONTH($J732))</f>
        <v/>
      </c>
      <c r="R732" s="3">
        <f>IF($J732="","",INDEX(lista_dias,WEEKDAY($J732,2)))</f>
        <v/>
      </c>
      <c r="S732" s="3">
        <f>IF($I732="","",IFERROR(INDEX('CAT_TIPOS_OT'!$C$4:$C$7,MATCH($I732,'CAT_TIPOS_OT'!$A$4:$A$7,0)),"sin_clasificar"))</f>
        <v/>
      </c>
      <c r="T732" s="3">
        <f>IF($F732="","",IFERROR(INDEX('CAT_CENTROS_COSTO'!$E$4:$E$9,MATCH($F732,'CAT_CENTROS_COSTO'!$A$4:$A$9,0)),"(sin catálogo)"))</f>
        <v/>
      </c>
      <c r="U732" s="3">
        <f>IF($F732="","",IFERROR(INDEX('CAT_CENTROS_COSTO'!$D$4:$D$9,MATCH($F732,'CAT_CENTROS_COSTO'!$A$4:$A$9,0)),"(sin catálogo)"))</f>
        <v/>
      </c>
      <c r="V732" s="3">
        <f>IF($F732="","",IFERROR(INDEX('CAT_CENTROS_COSTO'!$F$4:$F$9,MATCH($F732,'CAT_CENTROS_COSTO'!$A$4:$A$9,0)),"(sin catálogo)"))</f>
        <v/>
      </c>
      <c r="W732" s="3">
        <f>IF($G732="","",IFERROR(INDEX('CAT_PUESTOS'!$B$4:$B$8,MATCH($G732,'CAT_PUESTOS'!$A$4:$A$8,0)),"(sin catálogo)"))</f>
        <v/>
      </c>
      <c r="X732" s="3">
        <f>IF($H732="","",IFERROR(INDEX('CAT_ACTIVIDADES'!$B$4:$B$8,MATCH($H732,'CAT_ACTIVIDADES'!$A$4:$A$8,0)),"(sin catálogo)"))</f>
        <v/>
      </c>
      <c r="Y732" s="12">
        <f>IF($J732="","",TODAY()-$J732)</f>
        <v/>
      </c>
      <c r="Z732" s="3">
        <f>IF($Y732="","",IF($Y732&lt;0,"FUTURO",IF($Y732&gt;p_dias_backlog_max,"BACKLOG","MES CORRIENTE")))</f>
        <v/>
      </c>
      <c r="AA732" s="3">
        <f>IF($Y732="",FALSE,AND($Y732&gt;p_dias_backlog_min,$Y732&lt;=p_dias_backlog_max))</f>
        <v/>
      </c>
      <c r="AB732" s="6" t="n"/>
      <c r="AC732" s="3">
        <f>IF($AB732="","",IFERROR(INDEX('ASIGNACIONES'!$F$4:$F$339,MATCH($O732&amp;"|"&amp;$R732&amp;"|"&amp;$AB732,'ASIGNACIONES'!$I$4:$I$339,0)),""))</f>
        <v/>
      </c>
      <c r="AD732" s="13">
        <f>IF($AB732="","",SUMIFS('ORDENES'!$M$4:$M$1203,'ORDENES'!$AB$4:$AB$1203,$AB732,'ORDENES'!$O$4:$O$1203,$O732,'ORDENES'!$R$4:$R$1203,$R732))</f>
        <v/>
      </c>
      <c r="AE732" s="13">
        <f>IF($AD732="","",p_factor_productividad*IFERROR(INDEX('ASIGNACIONES'!$H$4:$H$339,MATCH($O732&amp;"|"&amp;$R732&amp;"|"&amp;$AB732,'ASIGNACIONES'!$I$4:$I$339,0)),0)-$AD732)</f>
        <v/>
      </c>
      <c r="AF732" s="10">
        <f>IF($A732="","",IFERROR(INDEX('2_IMPORTAR_EJECUCION'!$F$9:$F$1208,MATCH($AN732,'2_IMPORTAR_EJECUCION'!$J$9:$J$1208,0)),0))</f>
        <v/>
      </c>
      <c r="AG732" s="10">
        <f>IF($A732="","",MAX(0,IFERROR(INDEX('2_IMPORTAR_EJECUCION'!$H$9:$H$1208,MATCH($AN732,'2_IMPORTAR_EJECUCION'!$J$9:$J$1208,0)),0)-$AF732))</f>
        <v/>
      </c>
      <c r="AH732" s="10">
        <f>IF($A732="","",$AF732+$AG732)</f>
        <v/>
      </c>
      <c r="AI732" s="6" t="n"/>
      <c r="AJ732" s="6" t="n"/>
      <c r="AK732" s="6" t="n"/>
      <c r="AL732" s="3">
        <f>IF($AK732="","",HYPERLINK(p_ruta_base_checklists&amp;$AK732,"abrir"))</f>
        <v/>
      </c>
      <c r="AM732" s="6" t="n"/>
      <c r="AN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1" t="n"/>
      <c r="K733" s="3" t="n"/>
      <c r="L733" s="10" t="n"/>
      <c r="M733" s="3">
        <f>IF($A733="","",IFERROR(INDEX('AJUSTES'!$B$4:$B$303,MATCH($AN733,'AJUSTES'!$A$4:$A$303,0)),IF($K733="","",$K733)))</f>
        <v/>
      </c>
      <c r="N733" s="3">
        <f>IF($A733="","",IFERROR(INDEX('CAT_ESTADOS_ERP'!$B$4:$B$7,MATCH(IFERROR(INDEX('2_IMPORTAR_EJECUCION'!$C$9:$C$1208,MATCH($AN733,'2_IMPORTAR_EJECUCION'!$J$9:$J$1208,0)),""),'CAT_ESTADOS_ERP'!$A$4:$A$7,0)),"Pendiente"))</f>
        <v/>
      </c>
      <c r="O733" s="3">
        <f>IF($J733="","",YEAR($J733+4-WEEKDAY($J733,2))&amp;"-S"&amp;TEXT(_xlfn.ISOWEEKNUM($J733),"00"))</f>
        <v/>
      </c>
      <c r="P733" s="3">
        <f>IF($J733="","",YEAR($J733))</f>
        <v/>
      </c>
      <c r="Q733" s="3">
        <f>IF($J733="","",MONTH($J733))</f>
        <v/>
      </c>
      <c r="R733" s="3">
        <f>IF($J733="","",INDEX(lista_dias,WEEKDAY($J733,2)))</f>
        <v/>
      </c>
      <c r="S733" s="3">
        <f>IF($I733="","",IFERROR(INDEX('CAT_TIPOS_OT'!$C$4:$C$7,MATCH($I733,'CAT_TIPOS_OT'!$A$4:$A$7,0)),"sin_clasificar"))</f>
        <v/>
      </c>
      <c r="T733" s="3">
        <f>IF($F733="","",IFERROR(INDEX('CAT_CENTROS_COSTO'!$E$4:$E$9,MATCH($F733,'CAT_CENTROS_COSTO'!$A$4:$A$9,0)),"(sin catálogo)"))</f>
        <v/>
      </c>
      <c r="U733" s="3">
        <f>IF($F733="","",IFERROR(INDEX('CAT_CENTROS_COSTO'!$D$4:$D$9,MATCH($F733,'CAT_CENTROS_COSTO'!$A$4:$A$9,0)),"(sin catálogo)"))</f>
        <v/>
      </c>
      <c r="V733" s="3">
        <f>IF($F733="","",IFERROR(INDEX('CAT_CENTROS_COSTO'!$F$4:$F$9,MATCH($F733,'CAT_CENTROS_COSTO'!$A$4:$A$9,0)),"(sin catálogo)"))</f>
        <v/>
      </c>
      <c r="W733" s="3">
        <f>IF($G733="","",IFERROR(INDEX('CAT_PUESTOS'!$B$4:$B$8,MATCH($G733,'CAT_PUESTOS'!$A$4:$A$8,0)),"(sin catálogo)"))</f>
        <v/>
      </c>
      <c r="X733" s="3">
        <f>IF($H733="","",IFERROR(INDEX('CAT_ACTIVIDADES'!$B$4:$B$8,MATCH($H733,'CAT_ACTIVIDADES'!$A$4:$A$8,0)),"(sin catálogo)"))</f>
        <v/>
      </c>
      <c r="Y733" s="12">
        <f>IF($J733="","",TODAY()-$J733)</f>
        <v/>
      </c>
      <c r="Z733" s="3">
        <f>IF($Y733="","",IF($Y733&lt;0,"FUTURO",IF($Y733&gt;p_dias_backlog_max,"BACKLOG","MES CORRIENTE")))</f>
        <v/>
      </c>
      <c r="AA733" s="3">
        <f>IF($Y733="",FALSE,AND($Y733&gt;p_dias_backlog_min,$Y733&lt;=p_dias_backlog_max))</f>
        <v/>
      </c>
      <c r="AB733" s="6" t="n"/>
      <c r="AC733" s="3">
        <f>IF($AB733="","",IFERROR(INDEX('ASIGNACIONES'!$F$4:$F$339,MATCH($O733&amp;"|"&amp;$R733&amp;"|"&amp;$AB733,'ASIGNACIONES'!$I$4:$I$339,0)),""))</f>
        <v/>
      </c>
      <c r="AD733" s="13">
        <f>IF($AB733="","",SUMIFS('ORDENES'!$M$4:$M$1203,'ORDENES'!$AB$4:$AB$1203,$AB733,'ORDENES'!$O$4:$O$1203,$O733,'ORDENES'!$R$4:$R$1203,$R733))</f>
        <v/>
      </c>
      <c r="AE733" s="13">
        <f>IF($AD733="","",p_factor_productividad*IFERROR(INDEX('ASIGNACIONES'!$H$4:$H$339,MATCH($O733&amp;"|"&amp;$R733&amp;"|"&amp;$AB733,'ASIGNACIONES'!$I$4:$I$339,0)),0)-$AD733)</f>
        <v/>
      </c>
      <c r="AF733" s="10">
        <f>IF($A733="","",IFERROR(INDEX('2_IMPORTAR_EJECUCION'!$F$9:$F$1208,MATCH($AN733,'2_IMPORTAR_EJECUCION'!$J$9:$J$1208,0)),0))</f>
        <v/>
      </c>
      <c r="AG733" s="10">
        <f>IF($A733="","",MAX(0,IFERROR(INDEX('2_IMPORTAR_EJECUCION'!$H$9:$H$1208,MATCH($AN733,'2_IMPORTAR_EJECUCION'!$J$9:$J$1208,0)),0)-$AF733))</f>
        <v/>
      </c>
      <c r="AH733" s="10">
        <f>IF($A733="","",$AF733+$AG733)</f>
        <v/>
      </c>
      <c r="AI733" s="6" t="n"/>
      <c r="AJ733" s="6" t="n"/>
      <c r="AK733" s="6" t="n"/>
      <c r="AL733" s="3">
        <f>IF($AK733="","",HYPERLINK(p_ruta_base_checklists&amp;$AK733,"abrir"))</f>
        <v/>
      </c>
      <c r="AM733" s="6" t="n"/>
      <c r="AN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1" t="n"/>
      <c r="K734" s="3" t="n"/>
      <c r="L734" s="10" t="n"/>
      <c r="M734" s="3">
        <f>IF($A734="","",IFERROR(INDEX('AJUSTES'!$B$4:$B$303,MATCH($AN734,'AJUSTES'!$A$4:$A$303,0)),IF($K734="","",$K734)))</f>
        <v/>
      </c>
      <c r="N734" s="3">
        <f>IF($A734="","",IFERROR(INDEX('CAT_ESTADOS_ERP'!$B$4:$B$7,MATCH(IFERROR(INDEX('2_IMPORTAR_EJECUCION'!$C$9:$C$1208,MATCH($AN734,'2_IMPORTAR_EJECUCION'!$J$9:$J$1208,0)),""),'CAT_ESTADOS_ERP'!$A$4:$A$7,0)),"Pendiente"))</f>
        <v/>
      </c>
      <c r="O734" s="3">
        <f>IF($J734="","",YEAR($J734+4-WEEKDAY($J734,2))&amp;"-S"&amp;TEXT(_xlfn.ISOWEEKNUM($J734),"00"))</f>
        <v/>
      </c>
      <c r="P734" s="3">
        <f>IF($J734="","",YEAR($J734))</f>
        <v/>
      </c>
      <c r="Q734" s="3">
        <f>IF($J734="","",MONTH($J734))</f>
        <v/>
      </c>
      <c r="R734" s="3">
        <f>IF($J734="","",INDEX(lista_dias,WEEKDAY($J734,2)))</f>
        <v/>
      </c>
      <c r="S734" s="3">
        <f>IF($I734="","",IFERROR(INDEX('CAT_TIPOS_OT'!$C$4:$C$7,MATCH($I734,'CAT_TIPOS_OT'!$A$4:$A$7,0)),"sin_clasificar"))</f>
        <v/>
      </c>
      <c r="T734" s="3">
        <f>IF($F734="","",IFERROR(INDEX('CAT_CENTROS_COSTO'!$E$4:$E$9,MATCH($F734,'CAT_CENTROS_COSTO'!$A$4:$A$9,0)),"(sin catálogo)"))</f>
        <v/>
      </c>
      <c r="U734" s="3">
        <f>IF($F734="","",IFERROR(INDEX('CAT_CENTROS_COSTO'!$D$4:$D$9,MATCH($F734,'CAT_CENTROS_COSTO'!$A$4:$A$9,0)),"(sin catálogo)"))</f>
        <v/>
      </c>
      <c r="V734" s="3">
        <f>IF($F734="","",IFERROR(INDEX('CAT_CENTROS_COSTO'!$F$4:$F$9,MATCH($F734,'CAT_CENTROS_COSTO'!$A$4:$A$9,0)),"(sin catálogo)"))</f>
        <v/>
      </c>
      <c r="W734" s="3">
        <f>IF($G734="","",IFERROR(INDEX('CAT_PUESTOS'!$B$4:$B$8,MATCH($G734,'CAT_PUESTOS'!$A$4:$A$8,0)),"(sin catálogo)"))</f>
        <v/>
      </c>
      <c r="X734" s="3">
        <f>IF($H734="","",IFERROR(INDEX('CAT_ACTIVIDADES'!$B$4:$B$8,MATCH($H734,'CAT_ACTIVIDADES'!$A$4:$A$8,0)),"(sin catálogo)"))</f>
        <v/>
      </c>
      <c r="Y734" s="12">
        <f>IF($J734="","",TODAY()-$J734)</f>
        <v/>
      </c>
      <c r="Z734" s="3">
        <f>IF($Y734="","",IF($Y734&lt;0,"FUTURO",IF($Y734&gt;p_dias_backlog_max,"BACKLOG","MES CORRIENTE")))</f>
        <v/>
      </c>
      <c r="AA734" s="3">
        <f>IF($Y734="",FALSE,AND($Y734&gt;p_dias_backlog_min,$Y734&lt;=p_dias_backlog_max))</f>
        <v/>
      </c>
      <c r="AB734" s="6" t="n"/>
      <c r="AC734" s="3">
        <f>IF($AB734="","",IFERROR(INDEX('ASIGNACIONES'!$F$4:$F$339,MATCH($O734&amp;"|"&amp;$R734&amp;"|"&amp;$AB734,'ASIGNACIONES'!$I$4:$I$339,0)),""))</f>
        <v/>
      </c>
      <c r="AD734" s="13">
        <f>IF($AB734="","",SUMIFS('ORDENES'!$M$4:$M$1203,'ORDENES'!$AB$4:$AB$1203,$AB734,'ORDENES'!$O$4:$O$1203,$O734,'ORDENES'!$R$4:$R$1203,$R734))</f>
        <v/>
      </c>
      <c r="AE734" s="13">
        <f>IF($AD734="","",p_factor_productividad*IFERROR(INDEX('ASIGNACIONES'!$H$4:$H$339,MATCH($O734&amp;"|"&amp;$R734&amp;"|"&amp;$AB734,'ASIGNACIONES'!$I$4:$I$339,0)),0)-$AD734)</f>
        <v/>
      </c>
      <c r="AF734" s="10">
        <f>IF($A734="","",IFERROR(INDEX('2_IMPORTAR_EJECUCION'!$F$9:$F$1208,MATCH($AN734,'2_IMPORTAR_EJECUCION'!$J$9:$J$1208,0)),0))</f>
        <v/>
      </c>
      <c r="AG734" s="10">
        <f>IF($A734="","",MAX(0,IFERROR(INDEX('2_IMPORTAR_EJECUCION'!$H$9:$H$1208,MATCH($AN734,'2_IMPORTAR_EJECUCION'!$J$9:$J$1208,0)),0)-$AF734))</f>
        <v/>
      </c>
      <c r="AH734" s="10">
        <f>IF($A734="","",$AF734+$AG734)</f>
        <v/>
      </c>
      <c r="AI734" s="6" t="n"/>
      <c r="AJ734" s="6" t="n"/>
      <c r="AK734" s="6" t="n"/>
      <c r="AL734" s="3">
        <f>IF($AK734="","",HYPERLINK(p_ruta_base_checklists&amp;$AK734,"abrir"))</f>
        <v/>
      </c>
      <c r="AM734" s="6" t="n"/>
      <c r="AN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1" t="n"/>
      <c r="K735" s="3" t="n"/>
      <c r="L735" s="10" t="n"/>
      <c r="M735" s="3">
        <f>IF($A735="","",IFERROR(INDEX('AJUSTES'!$B$4:$B$303,MATCH($AN735,'AJUSTES'!$A$4:$A$303,0)),IF($K735="","",$K735)))</f>
        <v/>
      </c>
      <c r="N735" s="3">
        <f>IF($A735="","",IFERROR(INDEX('CAT_ESTADOS_ERP'!$B$4:$B$7,MATCH(IFERROR(INDEX('2_IMPORTAR_EJECUCION'!$C$9:$C$1208,MATCH($AN735,'2_IMPORTAR_EJECUCION'!$J$9:$J$1208,0)),""),'CAT_ESTADOS_ERP'!$A$4:$A$7,0)),"Pendiente"))</f>
        <v/>
      </c>
      <c r="O735" s="3">
        <f>IF($J735="","",YEAR($J735+4-WEEKDAY($J735,2))&amp;"-S"&amp;TEXT(_xlfn.ISOWEEKNUM($J735),"00"))</f>
        <v/>
      </c>
      <c r="P735" s="3">
        <f>IF($J735="","",YEAR($J735))</f>
        <v/>
      </c>
      <c r="Q735" s="3">
        <f>IF($J735="","",MONTH($J735))</f>
        <v/>
      </c>
      <c r="R735" s="3">
        <f>IF($J735="","",INDEX(lista_dias,WEEKDAY($J735,2)))</f>
        <v/>
      </c>
      <c r="S735" s="3">
        <f>IF($I735="","",IFERROR(INDEX('CAT_TIPOS_OT'!$C$4:$C$7,MATCH($I735,'CAT_TIPOS_OT'!$A$4:$A$7,0)),"sin_clasificar"))</f>
        <v/>
      </c>
      <c r="T735" s="3">
        <f>IF($F735="","",IFERROR(INDEX('CAT_CENTROS_COSTO'!$E$4:$E$9,MATCH($F735,'CAT_CENTROS_COSTO'!$A$4:$A$9,0)),"(sin catálogo)"))</f>
        <v/>
      </c>
      <c r="U735" s="3">
        <f>IF($F735="","",IFERROR(INDEX('CAT_CENTROS_COSTO'!$D$4:$D$9,MATCH($F735,'CAT_CENTROS_COSTO'!$A$4:$A$9,0)),"(sin catálogo)"))</f>
        <v/>
      </c>
      <c r="V735" s="3">
        <f>IF($F735="","",IFERROR(INDEX('CAT_CENTROS_COSTO'!$F$4:$F$9,MATCH($F735,'CAT_CENTROS_COSTO'!$A$4:$A$9,0)),"(sin catálogo)"))</f>
        <v/>
      </c>
      <c r="W735" s="3">
        <f>IF($G735="","",IFERROR(INDEX('CAT_PUESTOS'!$B$4:$B$8,MATCH($G735,'CAT_PUESTOS'!$A$4:$A$8,0)),"(sin catálogo)"))</f>
        <v/>
      </c>
      <c r="X735" s="3">
        <f>IF($H735="","",IFERROR(INDEX('CAT_ACTIVIDADES'!$B$4:$B$8,MATCH($H735,'CAT_ACTIVIDADES'!$A$4:$A$8,0)),"(sin catálogo)"))</f>
        <v/>
      </c>
      <c r="Y735" s="12">
        <f>IF($J735="","",TODAY()-$J735)</f>
        <v/>
      </c>
      <c r="Z735" s="3">
        <f>IF($Y735="","",IF($Y735&lt;0,"FUTURO",IF($Y735&gt;p_dias_backlog_max,"BACKLOG","MES CORRIENTE")))</f>
        <v/>
      </c>
      <c r="AA735" s="3">
        <f>IF($Y735="",FALSE,AND($Y735&gt;p_dias_backlog_min,$Y735&lt;=p_dias_backlog_max))</f>
        <v/>
      </c>
      <c r="AB735" s="6" t="n"/>
      <c r="AC735" s="3">
        <f>IF($AB735="","",IFERROR(INDEX('ASIGNACIONES'!$F$4:$F$339,MATCH($O735&amp;"|"&amp;$R735&amp;"|"&amp;$AB735,'ASIGNACIONES'!$I$4:$I$339,0)),""))</f>
        <v/>
      </c>
      <c r="AD735" s="13">
        <f>IF($AB735="","",SUMIFS('ORDENES'!$M$4:$M$1203,'ORDENES'!$AB$4:$AB$1203,$AB735,'ORDENES'!$O$4:$O$1203,$O735,'ORDENES'!$R$4:$R$1203,$R735))</f>
        <v/>
      </c>
      <c r="AE735" s="13">
        <f>IF($AD735="","",p_factor_productividad*IFERROR(INDEX('ASIGNACIONES'!$H$4:$H$339,MATCH($O735&amp;"|"&amp;$R735&amp;"|"&amp;$AB735,'ASIGNACIONES'!$I$4:$I$339,0)),0)-$AD735)</f>
        <v/>
      </c>
      <c r="AF735" s="10">
        <f>IF($A735="","",IFERROR(INDEX('2_IMPORTAR_EJECUCION'!$F$9:$F$1208,MATCH($AN735,'2_IMPORTAR_EJECUCION'!$J$9:$J$1208,0)),0))</f>
        <v/>
      </c>
      <c r="AG735" s="10">
        <f>IF($A735="","",MAX(0,IFERROR(INDEX('2_IMPORTAR_EJECUCION'!$H$9:$H$1208,MATCH($AN735,'2_IMPORTAR_EJECUCION'!$J$9:$J$1208,0)),0)-$AF735))</f>
        <v/>
      </c>
      <c r="AH735" s="10">
        <f>IF($A735="","",$AF735+$AG735)</f>
        <v/>
      </c>
      <c r="AI735" s="6" t="n"/>
      <c r="AJ735" s="6" t="n"/>
      <c r="AK735" s="6" t="n"/>
      <c r="AL735" s="3">
        <f>IF($AK735="","",HYPERLINK(p_ruta_base_checklists&amp;$AK735,"abrir"))</f>
        <v/>
      </c>
      <c r="AM735" s="6" t="n"/>
      <c r="AN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1" t="n"/>
      <c r="K736" s="3" t="n"/>
      <c r="L736" s="10" t="n"/>
      <c r="M736" s="3">
        <f>IF($A736="","",IFERROR(INDEX('AJUSTES'!$B$4:$B$303,MATCH($AN736,'AJUSTES'!$A$4:$A$303,0)),IF($K736="","",$K736)))</f>
        <v/>
      </c>
      <c r="N736" s="3">
        <f>IF($A736="","",IFERROR(INDEX('CAT_ESTADOS_ERP'!$B$4:$B$7,MATCH(IFERROR(INDEX('2_IMPORTAR_EJECUCION'!$C$9:$C$1208,MATCH($AN736,'2_IMPORTAR_EJECUCION'!$J$9:$J$1208,0)),""),'CAT_ESTADOS_ERP'!$A$4:$A$7,0)),"Pendiente"))</f>
        <v/>
      </c>
      <c r="O736" s="3">
        <f>IF($J736="","",YEAR($J736+4-WEEKDAY($J736,2))&amp;"-S"&amp;TEXT(_xlfn.ISOWEEKNUM($J736),"00"))</f>
        <v/>
      </c>
      <c r="P736" s="3">
        <f>IF($J736="","",YEAR($J736))</f>
        <v/>
      </c>
      <c r="Q736" s="3">
        <f>IF($J736="","",MONTH($J736))</f>
        <v/>
      </c>
      <c r="R736" s="3">
        <f>IF($J736="","",INDEX(lista_dias,WEEKDAY($J736,2)))</f>
        <v/>
      </c>
      <c r="S736" s="3">
        <f>IF($I736="","",IFERROR(INDEX('CAT_TIPOS_OT'!$C$4:$C$7,MATCH($I736,'CAT_TIPOS_OT'!$A$4:$A$7,0)),"sin_clasificar"))</f>
        <v/>
      </c>
      <c r="T736" s="3">
        <f>IF($F736="","",IFERROR(INDEX('CAT_CENTROS_COSTO'!$E$4:$E$9,MATCH($F736,'CAT_CENTROS_COSTO'!$A$4:$A$9,0)),"(sin catálogo)"))</f>
        <v/>
      </c>
      <c r="U736" s="3">
        <f>IF($F736="","",IFERROR(INDEX('CAT_CENTROS_COSTO'!$D$4:$D$9,MATCH($F736,'CAT_CENTROS_COSTO'!$A$4:$A$9,0)),"(sin catálogo)"))</f>
        <v/>
      </c>
      <c r="V736" s="3">
        <f>IF($F736="","",IFERROR(INDEX('CAT_CENTROS_COSTO'!$F$4:$F$9,MATCH($F736,'CAT_CENTROS_COSTO'!$A$4:$A$9,0)),"(sin catálogo)"))</f>
        <v/>
      </c>
      <c r="W736" s="3">
        <f>IF($G736="","",IFERROR(INDEX('CAT_PUESTOS'!$B$4:$B$8,MATCH($G736,'CAT_PUESTOS'!$A$4:$A$8,0)),"(sin catálogo)"))</f>
        <v/>
      </c>
      <c r="X736" s="3">
        <f>IF($H736="","",IFERROR(INDEX('CAT_ACTIVIDADES'!$B$4:$B$8,MATCH($H736,'CAT_ACTIVIDADES'!$A$4:$A$8,0)),"(sin catálogo)"))</f>
        <v/>
      </c>
      <c r="Y736" s="12">
        <f>IF($J736="","",TODAY()-$J736)</f>
        <v/>
      </c>
      <c r="Z736" s="3">
        <f>IF($Y736="","",IF($Y736&lt;0,"FUTURO",IF($Y736&gt;p_dias_backlog_max,"BACKLOG","MES CORRIENTE")))</f>
        <v/>
      </c>
      <c r="AA736" s="3">
        <f>IF($Y736="",FALSE,AND($Y736&gt;p_dias_backlog_min,$Y736&lt;=p_dias_backlog_max))</f>
        <v/>
      </c>
      <c r="AB736" s="6" t="n"/>
      <c r="AC736" s="3">
        <f>IF($AB736="","",IFERROR(INDEX('ASIGNACIONES'!$F$4:$F$339,MATCH($O736&amp;"|"&amp;$R736&amp;"|"&amp;$AB736,'ASIGNACIONES'!$I$4:$I$339,0)),""))</f>
        <v/>
      </c>
      <c r="AD736" s="13">
        <f>IF($AB736="","",SUMIFS('ORDENES'!$M$4:$M$1203,'ORDENES'!$AB$4:$AB$1203,$AB736,'ORDENES'!$O$4:$O$1203,$O736,'ORDENES'!$R$4:$R$1203,$R736))</f>
        <v/>
      </c>
      <c r="AE736" s="13">
        <f>IF($AD736="","",p_factor_productividad*IFERROR(INDEX('ASIGNACIONES'!$H$4:$H$339,MATCH($O736&amp;"|"&amp;$R736&amp;"|"&amp;$AB736,'ASIGNACIONES'!$I$4:$I$339,0)),0)-$AD736)</f>
        <v/>
      </c>
      <c r="AF736" s="10">
        <f>IF($A736="","",IFERROR(INDEX('2_IMPORTAR_EJECUCION'!$F$9:$F$1208,MATCH($AN736,'2_IMPORTAR_EJECUCION'!$J$9:$J$1208,0)),0))</f>
        <v/>
      </c>
      <c r="AG736" s="10">
        <f>IF($A736="","",MAX(0,IFERROR(INDEX('2_IMPORTAR_EJECUCION'!$H$9:$H$1208,MATCH($AN736,'2_IMPORTAR_EJECUCION'!$J$9:$J$1208,0)),0)-$AF736))</f>
        <v/>
      </c>
      <c r="AH736" s="10">
        <f>IF($A736="","",$AF736+$AG736)</f>
        <v/>
      </c>
      <c r="AI736" s="6" t="n"/>
      <c r="AJ736" s="6" t="n"/>
      <c r="AK736" s="6" t="n"/>
      <c r="AL736" s="3">
        <f>IF($AK736="","",HYPERLINK(p_ruta_base_checklists&amp;$AK736,"abrir"))</f>
        <v/>
      </c>
      <c r="AM736" s="6" t="n"/>
      <c r="AN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1" t="n"/>
      <c r="K737" s="3" t="n"/>
      <c r="L737" s="10" t="n"/>
      <c r="M737" s="3">
        <f>IF($A737="","",IFERROR(INDEX('AJUSTES'!$B$4:$B$303,MATCH($AN737,'AJUSTES'!$A$4:$A$303,0)),IF($K737="","",$K737)))</f>
        <v/>
      </c>
      <c r="N737" s="3">
        <f>IF($A737="","",IFERROR(INDEX('CAT_ESTADOS_ERP'!$B$4:$B$7,MATCH(IFERROR(INDEX('2_IMPORTAR_EJECUCION'!$C$9:$C$1208,MATCH($AN737,'2_IMPORTAR_EJECUCION'!$J$9:$J$1208,0)),""),'CAT_ESTADOS_ERP'!$A$4:$A$7,0)),"Pendiente"))</f>
        <v/>
      </c>
      <c r="O737" s="3">
        <f>IF($J737="","",YEAR($J737+4-WEEKDAY($J737,2))&amp;"-S"&amp;TEXT(_xlfn.ISOWEEKNUM($J737),"00"))</f>
        <v/>
      </c>
      <c r="P737" s="3">
        <f>IF($J737="","",YEAR($J737))</f>
        <v/>
      </c>
      <c r="Q737" s="3">
        <f>IF($J737="","",MONTH($J737))</f>
        <v/>
      </c>
      <c r="R737" s="3">
        <f>IF($J737="","",INDEX(lista_dias,WEEKDAY($J737,2)))</f>
        <v/>
      </c>
      <c r="S737" s="3">
        <f>IF($I737="","",IFERROR(INDEX('CAT_TIPOS_OT'!$C$4:$C$7,MATCH($I737,'CAT_TIPOS_OT'!$A$4:$A$7,0)),"sin_clasificar"))</f>
        <v/>
      </c>
      <c r="T737" s="3">
        <f>IF($F737="","",IFERROR(INDEX('CAT_CENTROS_COSTO'!$E$4:$E$9,MATCH($F737,'CAT_CENTROS_COSTO'!$A$4:$A$9,0)),"(sin catálogo)"))</f>
        <v/>
      </c>
      <c r="U737" s="3">
        <f>IF($F737="","",IFERROR(INDEX('CAT_CENTROS_COSTO'!$D$4:$D$9,MATCH($F737,'CAT_CENTROS_COSTO'!$A$4:$A$9,0)),"(sin catálogo)"))</f>
        <v/>
      </c>
      <c r="V737" s="3">
        <f>IF($F737="","",IFERROR(INDEX('CAT_CENTROS_COSTO'!$F$4:$F$9,MATCH($F737,'CAT_CENTROS_COSTO'!$A$4:$A$9,0)),"(sin catálogo)"))</f>
        <v/>
      </c>
      <c r="W737" s="3">
        <f>IF($G737="","",IFERROR(INDEX('CAT_PUESTOS'!$B$4:$B$8,MATCH($G737,'CAT_PUESTOS'!$A$4:$A$8,0)),"(sin catálogo)"))</f>
        <v/>
      </c>
      <c r="X737" s="3">
        <f>IF($H737="","",IFERROR(INDEX('CAT_ACTIVIDADES'!$B$4:$B$8,MATCH($H737,'CAT_ACTIVIDADES'!$A$4:$A$8,0)),"(sin catálogo)"))</f>
        <v/>
      </c>
      <c r="Y737" s="12">
        <f>IF($J737="","",TODAY()-$J737)</f>
        <v/>
      </c>
      <c r="Z737" s="3">
        <f>IF($Y737="","",IF($Y737&lt;0,"FUTURO",IF($Y737&gt;p_dias_backlog_max,"BACKLOG","MES CORRIENTE")))</f>
        <v/>
      </c>
      <c r="AA737" s="3">
        <f>IF($Y737="",FALSE,AND($Y737&gt;p_dias_backlog_min,$Y737&lt;=p_dias_backlog_max))</f>
        <v/>
      </c>
      <c r="AB737" s="6" t="n"/>
      <c r="AC737" s="3">
        <f>IF($AB737="","",IFERROR(INDEX('ASIGNACIONES'!$F$4:$F$339,MATCH($O737&amp;"|"&amp;$R737&amp;"|"&amp;$AB737,'ASIGNACIONES'!$I$4:$I$339,0)),""))</f>
        <v/>
      </c>
      <c r="AD737" s="13">
        <f>IF($AB737="","",SUMIFS('ORDENES'!$M$4:$M$1203,'ORDENES'!$AB$4:$AB$1203,$AB737,'ORDENES'!$O$4:$O$1203,$O737,'ORDENES'!$R$4:$R$1203,$R737))</f>
        <v/>
      </c>
      <c r="AE737" s="13">
        <f>IF($AD737="","",p_factor_productividad*IFERROR(INDEX('ASIGNACIONES'!$H$4:$H$339,MATCH($O737&amp;"|"&amp;$R737&amp;"|"&amp;$AB737,'ASIGNACIONES'!$I$4:$I$339,0)),0)-$AD737)</f>
        <v/>
      </c>
      <c r="AF737" s="10">
        <f>IF($A737="","",IFERROR(INDEX('2_IMPORTAR_EJECUCION'!$F$9:$F$1208,MATCH($AN737,'2_IMPORTAR_EJECUCION'!$J$9:$J$1208,0)),0))</f>
        <v/>
      </c>
      <c r="AG737" s="10">
        <f>IF($A737="","",MAX(0,IFERROR(INDEX('2_IMPORTAR_EJECUCION'!$H$9:$H$1208,MATCH($AN737,'2_IMPORTAR_EJECUCION'!$J$9:$J$1208,0)),0)-$AF737))</f>
        <v/>
      </c>
      <c r="AH737" s="10">
        <f>IF($A737="","",$AF737+$AG737)</f>
        <v/>
      </c>
      <c r="AI737" s="6" t="n"/>
      <c r="AJ737" s="6" t="n"/>
      <c r="AK737" s="6" t="n"/>
      <c r="AL737" s="3">
        <f>IF($AK737="","",HYPERLINK(p_ruta_base_checklists&amp;$AK737,"abrir"))</f>
        <v/>
      </c>
      <c r="AM737" s="6" t="n"/>
      <c r="AN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1" t="n"/>
      <c r="K738" s="3" t="n"/>
      <c r="L738" s="10" t="n"/>
      <c r="M738" s="3">
        <f>IF($A738="","",IFERROR(INDEX('AJUSTES'!$B$4:$B$303,MATCH($AN738,'AJUSTES'!$A$4:$A$303,0)),IF($K738="","",$K738)))</f>
        <v/>
      </c>
      <c r="N738" s="3">
        <f>IF($A738="","",IFERROR(INDEX('CAT_ESTADOS_ERP'!$B$4:$B$7,MATCH(IFERROR(INDEX('2_IMPORTAR_EJECUCION'!$C$9:$C$1208,MATCH($AN738,'2_IMPORTAR_EJECUCION'!$J$9:$J$1208,0)),""),'CAT_ESTADOS_ERP'!$A$4:$A$7,0)),"Pendiente"))</f>
        <v/>
      </c>
      <c r="O738" s="3">
        <f>IF($J738="","",YEAR($J738+4-WEEKDAY($J738,2))&amp;"-S"&amp;TEXT(_xlfn.ISOWEEKNUM($J738),"00"))</f>
        <v/>
      </c>
      <c r="P738" s="3">
        <f>IF($J738="","",YEAR($J738))</f>
        <v/>
      </c>
      <c r="Q738" s="3">
        <f>IF($J738="","",MONTH($J738))</f>
        <v/>
      </c>
      <c r="R738" s="3">
        <f>IF($J738="","",INDEX(lista_dias,WEEKDAY($J738,2)))</f>
        <v/>
      </c>
      <c r="S738" s="3">
        <f>IF($I738="","",IFERROR(INDEX('CAT_TIPOS_OT'!$C$4:$C$7,MATCH($I738,'CAT_TIPOS_OT'!$A$4:$A$7,0)),"sin_clasificar"))</f>
        <v/>
      </c>
      <c r="T738" s="3">
        <f>IF($F738="","",IFERROR(INDEX('CAT_CENTROS_COSTO'!$E$4:$E$9,MATCH($F738,'CAT_CENTROS_COSTO'!$A$4:$A$9,0)),"(sin catálogo)"))</f>
        <v/>
      </c>
      <c r="U738" s="3">
        <f>IF($F738="","",IFERROR(INDEX('CAT_CENTROS_COSTO'!$D$4:$D$9,MATCH($F738,'CAT_CENTROS_COSTO'!$A$4:$A$9,0)),"(sin catálogo)"))</f>
        <v/>
      </c>
      <c r="V738" s="3">
        <f>IF($F738="","",IFERROR(INDEX('CAT_CENTROS_COSTO'!$F$4:$F$9,MATCH($F738,'CAT_CENTROS_COSTO'!$A$4:$A$9,0)),"(sin catálogo)"))</f>
        <v/>
      </c>
      <c r="W738" s="3">
        <f>IF($G738="","",IFERROR(INDEX('CAT_PUESTOS'!$B$4:$B$8,MATCH($G738,'CAT_PUESTOS'!$A$4:$A$8,0)),"(sin catálogo)"))</f>
        <v/>
      </c>
      <c r="X738" s="3">
        <f>IF($H738="","",IFERROR(INDEX('CAT_ACTIVIDADES'!$B$4:$B$8,MATCH($H738,'CAT_ACTIVIDADES'!$A$4:$A$8,0)),"(sin catálogo)"))</f>
        <v/>
      </c>
      <c r="Y738" s="12">
        <f>IF($J738="","",TODAY()-$J738)</f>
        <v/>
      </c>
      <c r="Z738" s="3">
        <f>IF($Y738="","",IF($Y738&lt;0,"FUTURO",IF($Y738&gt;p_dias_backlog_max,"BACKLOG","MES CORRIENTE")))</f>
        <v/>
      </c>
      <c r="AA738" s="3">
        <f>IF($Y738="",FALSE,AND($Y738&gt;p_dias_backlog_min,$Y738&lt;=p_dias_backlog_max))</f>
        <v/>
      </c>
      <c r="AB738" s="6" t="n"/>
      <c r="AC738" s="3">
        <f>IF($AB738="","",IFERROR(INDEX('ASIGNACIONES'!$F$4:$F$339,MATCH($O738&amp;"|"&amp;$R738&amp;"|"&amp;$AB738,'ASIGNACIONES'!$I$4:$I$339,0)),""))</f>
        <v/>
      </c>
      <c r="AD738" s="13">
        <f>IF($AB738="","",SUMIFS('ORDENES'!$M$4:$M$1203,'ORDENES'!$AB$4:$AB$1203,$AB738,'ORDENES'!$O$4:$O$1203,$O738,'ORDENES'!$R$4:$R$1203,$R738))</f>
        <v/>
      </c>
      <c r="AE738" s="13">
        <f>IF($AD738="","",p_factor_productividad*IFERROR(INDEX('ASIGNACIONES'!$H$4:$H$339,MATCH($O738&amp;"|"&amp;$R738&amp;"|"&amp;$AB738,'ASIGNACIONES'!$I$4:$I$339,0)),0)-$AD738)</f>
        <v/>
      </c>
      <c r="AF738" s="10">
        <f>IF($A738="","",IFERROR(INDEX('2_IMPORTAR_EJECUCION'!$F$9:$F$1208,MATCH($AN738,'2_IMPORTAR_EJECUCION'!$J$9:$J$1208,0)),0))</f>
        <v/>
      </c>
      <c r="AG738" s="10">
        <f>IF($A738="","",MAX(0,IFERROR(INDEX('2_IMPORTAR_EJECUCION'!$H$9:$H$1208,MATCH($AN738,'2_IMPORTAR_EJECUCION'!$J$9:$J$1208,0)),0)-$AF738))</f>
        <v/>
      </c>
      <c r="AH738" s="10">
        <f>IF($A738="","",$AF738+$AG738)</f>
        <v/>
      </c>
      <c r="AI738" s="6" t="n"/>
      <c r="AJ738" s="6" t="n"/>
      <c r="AK738" s="6" t="n"/>
      <c r="AL738" s="3">
        <f>IF($AK738="","",HYPERLINK(p_ruta_base_checklists&amp;$AK738,"abrir"))</f>
        <v/>
      </c>
      <c r="AM738" s="6" t="n"/>
      <c r="AN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1" t="n"/>
      <c r="K739" s="3" t="n"/>
      <c r="L739" s="10" t="n"/>
      <c r="M739" s="3">
        <f>IF($A739="","",IFERROR(INDEX('AJUSTES'!$B$4:$B$303,MATCH($AN739,'AJUSTES'!$A$4:$A$303,0)),IF($K739="","",$K739)))</f>
        <v/>
      </c>
      <c r="N739" s="3">
        <f>IF($A739="","",IFERROR(INDEX('CAT_ESTADOS_ERP'!$B$4:$B$7,MATCH(IFERROR(INDEX('2_IMPORTAR_EJECUCION'!$C$9:$C$1208,MATCH($AN739,'2_IMPORTAR_EJECUCION'!$J$9:$J$1208,0)),""),'CAT_ESTADOS_ERP'!$A$4:$A$7,0)),"Pendiente"))</f>
        <v/>
      </c>
      <c r="O739" s="3">
        <f>IF($J739="","",YEAR($J739+4-WEEKDAY($J739,2))&amp;"-S"&amp;TEXT(_xlfn.ISOWEEKNUM($J739),"00"))</f>
        <v/>
      </c>
      <c r="P739" s="3">
        <f>IF($J739="","",YEAR($J739))</f>
        <v/>
      </c>
      <c r="Q739" s="3">
        <f>IF($J739="","",MONTH($J739))</f>
        <v/>
      </c>
      <c r="R739" s="3">
        <f>IF($J739="","",INDEX(lista_dias,WEEKDAY($J739,2)))</f>
        <v/>
      </c>
      <c r="S739" s="3">
        <f>IF($I739="","",IFERROR(INDEX('CAT_TIPOS_OT'!$C$4:$C$7,MATCH($I739,'CAT_TIPOS_OT'!$A$4:$A$7,0)),"sin_clasificar"))</f>
        <v/>
      </c>
      <c r="T739" s="3">
        <f>IF($F739="","",IFERROR(INDEX('CAT_CENTROS_COSTO'!$E$4:$E$9,MATCH($F739,'CAT_CENTROS_COSTO'!$A$4:$A$9,0)),"(sin catálogo)"))</f>
        <v/>
      </c>
      <c r="U739" s="3">
        <f>IF($F739="","",IFERROR(INDEX('CAT_CENTROS_COSTO'!$D$4:$D$9,MATCH($F739,'CAT_CENTROS_COSTO'!$A$4:$A$9,0)),"(sin catálogo)"))</f>
        <v/>
      </c>
      <c r="V739" s="3">
        <f>IF($F739="","",IFERROR(INDEX('CAT_CENTROS_COSTO'!$F$4:$F$9,MATCH($F739,'CAT_CENTROS_COSTO'!$A$4:$A$9,0)),"(sin catálogo)"))</f>
        <v/>
      </c>
      <c r="W739" s="3">
        <f>IF($G739="","",IFERROR(INDEX('CAT_PUESTOS'!$B$4:$B$8,MATCH($G739,'CAT_PUESTOS'!$A$4:$A$8,0)),"(sin catálogo)"))</f>
        <v/>
      </c>
      <c r="X739" s="3">
        <f>IF($H739="","",IFERROR(INDEX('CAT_ACTIVIDADES'!$B$4:$B$8,MATCH($H739,'CAT_ACTIVIDADES'!$A$4:$A$8,0)),"(sin catálogo)"))</f>
        <v/>
      </c>
      <c r="Y739" s="12">
        <f>IF($J739="","",TODAY()-$J739)</f>
        <v/>
      </c>
      <c r="Z739" s="3">
        <f>IF($Y739="","",IF($Y739&lt;0,"FUTURO",IF($Y739&gt;p_dias_backlog_max,"BACKLOG","MES CORRIENTE")))</f>
        <v/>
      </c>
      <c r="AA739" s="3">
        <f>IF($Y739="",FALSE,AND($Y739&gt;p_dias_backlog_min,$Y739&lt;=p_dias_backlog_max))</f>
        <v/>
      </c>
      <c r="AB739" s="6" t="n"/>
      <c r="AC739" s="3">
        <f>IF($AB739="","",IFERROR(INDEX('ASIGNACIONES'!$F$4:$F$339,MATCH($O739&amp;"|"&amp;$R739&amp;"|"&amp;$AB739,'ASIGNACIONES'!$I$4:$I$339,0)),""))</f>
        <v/>
      </c>
      <c r="AD739" s="13">
        <f>IF($AB739="","",SUMIFS('ORDENES'!$M$4:$M$1203,'ORDENES'!$AB$4:$AB$1203,$AB739,'ORDENES'!$O$4:$O$1203,$O739,'ORDENES'!$R$4:$R$1203,$R739))</f>
        <v/>
      </c>
      <c r="AE739" s="13">
        <f>IF($AD739="","",p_factor_productividad*IFERROR(INDEX('ASIGNACIONES'!$H$4:$H$339,MATCH($O739&amp;"|"&amp;$R739&amp;"|"&amp;$AB739,'ASIGNACIONES'!$I$4:$I$339,0)),0)-$AD739)</f>
        <v/>
      </c>
      <c r="AF739" s="10">
        <f>IF($A739="","",IFERROR(INDEX('2_IMPORTAR_EJECUCION'!$F$9:$F$1208,MATCH($AN739,'2_IMPORTAR_EJECUCION'!$J$9:$J$1208,0)),0))</f>
        <v/>
      </c>
      <c r="AG739" s="10">
        <f>IF($A739="","",MAX(0,IFERROR(INDEX('2_IMPORTAR_EJECUCION'!$H$9:$H$1208,MATCH($AN739,'2_IMPORTAR_EJECUCION'!$J$9:$J$1208,0)),0)-$AF739))</f>
        <v/>
      </c>
      <c r="AH739" s="10">
        <f>IF($A739="","",$AF739+$AG739)</f>
        <v/>
      </c>
      <c r="AI739" s="6" t="n"/>
      <c r="AJ739" s="6" t="n"/>
      <c r="AK739" s="6" t="n"/>
      <c r="AL739" s="3">
        <f>IF($AK739="","",HYPERLINK(p_ruta_base_checklists&amp;$AK739,"abrir"))</f>
        <v/>
      </c>
      <c r="AM739" s="6" t="n"/>
      <c r="AN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1" t="n"/>
      <c r="K740" s="3" t="n"/>
      <c r="L740" s="10" t="n"/>
      <c r="M740" s="3">
        <f>IF($A740="","",IFERROR(INDEX('AJUSTES'!$B$4:$B$303,MATCH($AN740,'AJUSTES'!$A$4:$A$303,0)),IF($K740="","",$K740)))</f>
        <v/>
      </c>
      <c r="N740" s="3">
        <f>IF($A740="","",IFERROR(INDEX('CAT_ESTADOS_ERP'!$B$4:$B$7,MATCH(IFERROR(INDEX('2_IMPORTAR_EJECUCION'!$C$9:$C$1208,MATCH($AN740,'2_IMPORTAR_EJECUCION'!$J$9:$J$1208,0)),""),'CAT_ESTADOS_ERP'!$A$4:$A$7,0)),"Pendiente"))</f>
        <v/>
      </c>
      <c r="O740" s="3">
        <f>IF($J740="","",YEAR($J740+4-WEEKDAY($J740,2))&amp;"-S"&amp;TEXT(_xlfn.ISOWEEKNUM($J740),"00"))</f>
        <v/>
      </c>
      <c r="P740" s="3">
        <f>IF($J740="","",YEAR($J740))</f>
        <v/>
      </c>
      <c r="Q740" s="3">
        <f>IF($J740="","",MONTH($J740))</f>
        <v/>
      </c>
      <c r="R740" s="3">
        <f>IF($J740="","",INDEX(lista_dias,WEEKDAY($J740,2)))</f>
        <v/>
      </c>
      <c r="S740" s="3">
        <f>IF($I740="","",IFERROR(INDEX('CAT_TIPOS_OT'!$C$4:$C$7,MATCH($I740,'CAT_TIPOS_OT'!$A$4:$A$7,0)),"sin_clasificar"))</f>
        <v/>
      </c>
      <c r="T740" s="3">
        <f>IF($F740="","",IFERROR(INDEX('CAT_CENTROS_COSTO'!$E$4:$E$9,MATCH($F740,'CAT_CENTROS_COSTO'!$A$4:$A$9,0)),"(sin catálogo)"))</f>
        <v/>
      </c>
      <c r="U740" s="3">
        <f>IF($F740="","",IFERROR(INDEX('CAT_CENTROS_COSTO'!$D$4:$D$9,MATCH($F740,'CAT_CENTROS_COSTO'!$A$4:$A$9,0)),"(sin catálogo)"))</f>
        <v/>
      </c>
      <c r="V740" s="3">
        <f>IF($F740="","",IFERROR(INDEX('CAT_CENTROS_COSTO'!$F$4:$F$9,MATCH($F740,'CAT_CENTROS_COSTO'!$A$4:$A$9,0)),"(sin catálogo)"))</f>
        <v/>
      </c>
      <c r="W740" s="3">
        <f>IF($G740="","",IFERROR(INDEX('CAT_PUESTOS'!$B$4:$B$8,MATCH($G740,'CAT_PUESTOS'!$A$4:$A$8,0)),"(sin catálogo)"))</f>
        <v/>
      </c>
      <c r="X740" s="3">
        <f>IF($H740="","",IFERROR(INDEX('CAT_ACTIVIDADES'!$B$4:$B$8,MATCH($H740,'CAT_ACTIVIDADES'!$A$4:$A$8,0)),"(sin catálogo)"))</f>
        <v/>
      </c>
      <c r="Y740" s="12">
        <f>IF($J740="","",TODAY()-$J740)</f>
        <v/>
      </c>
      <c r="Z740" s="3">
        <f>IF($Y740="","",IF($Y740&lt;0,"FUTURO",IF($Y740&gt;p_dias_backlog_max,"BACKLOG","MES CORRIENTE")))</f>
        <v/>
      </c>
      <c r="AA740" s="3">
        <f>IF($Y740="",FALSE,AND($Y740&gt;p_dias_backlog_min,$Y740&lt;=p_dias_backlog_max))</f>
        <v/>
      </c>
      <c r="AB740" s="6" t="n"/>
      <c r="AC740" s="3">
        <f>IF($AB740="","",IFERROR(INDEX('ASIGNACIONES'!$F$4:$F$339,MATCH($O740&amp;"|"&amp;$R740&amp;"|"&amp;$AB740,'ASIGNACIONES'!$I$4:$I$339,0)),""))</f>
        <v/>
      </c>
      <c r="AD740" s="13">
        <f>IF($AB740="","",SUMIFS('ORDENES'!$M$4:$M$1203,'ORDENES'!$AB$4:$AB$1203,$AB740,'ORDENES'!$O$4:$O$1203,$O740,'ORDENES'!$R$4:$R$1203,$R740))</f>
        <v/>
      </c>
      <c r="AE740" s="13">
        <f>IF($AD740="","",p_factor_productividad*IFERROR(INDEX('ASIGNACIONES'!$H$4:$H$339,MATCH($O740&amp;"|"&amp;$R740&amp;"|"&amp;$AB740,'ASIGNACIONES'!$I$4:$I$339,0)),0)-$AD740)</f>
        <v/>
      </c>
      <c r="AF740" s="10">
        <f>IF($A740="","",IFERROR(INDEX('2_IMPORTAR_EJECUCION'!$F$9:$F$1208,MATCH($AN740,'2_IMPORTAR_EJECUCION'!$J$9:$J$1208,0)),0))</f>
        <v/>
      </c>
      <c r="AG740" s="10">
        <f>IF($A740="","",MAX(0,IFERROR(INDEX('2_IMPORTAR_EJECUCION'!$H$9:$H$1208,MATCH($AN740,'2_IMPORTAR_EJECUCION'!$J$9:$J$1208,0)),0)-$AF740))</f>
        <v/>
      </c>
      <c r="AH740" s="10">
        <f>IF($A740="","",$AF740+$AG740)</f>
        <v/>
      </c>
      <c r="AI740" s="6" t="n"/>
      <c r="AJ740" s="6" t="n"/>
      <c r="AK740" s="6" t="n"/>
      <c r="AL740" s="3">
        <f>IF($AK740="","",HYPERLINK(p_ruta_base_checklists&amp;$AK740,"abrir"))</f>
        <v/>
      </c>
      <c r="AM740" s="6" t="n"/>
      <c r="AN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1" t="n"/>
      <c r="K741" s="3" t="n"/>
      <c r="L741" s="10" t="n"/>
      <c r="M741" s="3">
        <f>IF($A741="","",IFERROR(INDEX('AJUSTES'!$B$4:$B$303,MATCH($AN741,'AJUSTES'!$A$4:$A$303,0)),IF($K741="","",$K741)))</f>
        <v/>
      </c>
      <c r="N741" s="3">
        <f>IF($A741="","",IFERROR(INDEX('CAT_ESTADOS_ERP'!$B$4:$B$7,MATCH(IFERROR(INDEX('2_IMPORTAR_EJECUCION'!$C$9:$C$1208,MATCH($AN741,'2_IMPORTAR_EJECUCION'!$J$9:$J$1208,0)),""),'CAT_ESTADOS_ERP'!$A$4:$A$7,0)),"Pendiente"))</f>
        <v/>
      </c>
      <c r="O741" s="3">
        <f>IF($J741="","",YEAR($J741+4-WEEKDAY($J741,2))&amp;"-S"&amp;TEXT(_xlfn.ISOWEEKNUM($J741),"00"))</f>
        <v/>
      </c>
      <c r="P741" s="3">
        <f>IF($J741="","",YEAR($J741))</f>
        <v/>
      </c>
      <c r="Q741" s="3">
        <f>IF($J741="","",MONTH($J741))</f>
        <v/>
      </c>
      <c r="R741" s="3">
        <f>IF($J741="","",INDEX(lista_dias,WEEKDAY($J741,2)))</f>
        <v/>
      </c>
      <c r="S741" s="3">
        <f>IF($I741="","",IFERROR(INDEX('CAT_TIPOS_OT'!$C$4:$C$7,MATCH($I741,'CAT_TIPOS_OT'!$A$4:$A$7,0)),"sin_clasificar"))</f>
        <v/>
      </c>
      <c r="T741" s="3">
        <f>IF($F741="","",IFERROR(INDEX('CAT_CENTROS_COSTO'!$E$4:$E$9,MATCH($F741,'CAT_CENTROS_COSTO'!$A$4:$A$9,0)),"(sin catálogo)"))</f>
        <v/>
      </c>
      <c r="U741" s="3">
        <f>IF($F741="","",IFERROR(INDEX('CAT_CENTROS_COSTO'!$D$4:$D$9,MATCH($F741,'CAT_CENTROS_COSTO'!$A$4:$A$9,0)),"(sin catálogo)"))</f>
        <v/>
      </c>
      <c r="V741" s="3">
        <f>IF($F741="","",IFERROR(INDEX('CAT_CENTROS_COSTO'!$F$4:$F$9,MATCH($F741,'CAT_CENTROS_COSTO'!$A$4:$A$9,0)),"(sin catálogo)"))</f>
        <v/>
      </c>
      <c r="W741" s="3">
        <f>IF($G741="","",IFERROR(INDEX('CAT_PUESTOS'!$B$4:$B$8,MATCH($G741,'CAT_PUESTOS'!$A$4:$A$8,0)),"(sin catálogo)"))</f>
        <v/>
      </c>
      <c r="X741" s="3">
        <f>IF($H741="","",IFERROR(INDEX('CAT_ACTIVIDADES'!$B$4:$B$8,MATCH($H741,'CAT_ACTIVIDADES'!$A$4:$A$8,0)),"(sin catálogo)"))</f>
        <v/>
      </c>
      <c r="Y741" s="12">
        <f>IF($J741="","",TODAY()-$J741)</f>
        <v/>
      </c>
      <c r="Z741" s="3">
        <f>IF($Y741="","",IF($Y741&lt;0,"FUTURO",IF($Y741&gt;p_dias_backlog_max,"BACKLOG","MES CORRIENTE")))</f>
        <v/>
      </c>
      <c r="AA741" s="3">
        <f>IF($Y741="",FALSE,AND($Y741&gt;p_dias_backlog_min,$Y741&lt;=p_dias_backlog_max))</f>
        <v/>
      </c>
      <c r="AB741" s="6" t="n"/>
      <c r="AC741" s="3">
        <f>IF($AB741="","",IFERROR(INDEX('ASIGNACIONES'!$F$4:$F$339,MATCH($O741&amp;"|"&amp;$R741&amp;"|"&amp;$AB741,'ASIGNACIONES'!$I$4:$I$339,0)),""))</f>
        <v/>
      </c>
      <c r="AD741" s="13">
        <f>IF($AB741="","",SUMIFS('ORDENES'!$M$4:$M$1203,'ORDENES'!$AB$4:$AB$1203,$AB741,'ORDENES'!$O$4:$O$1203,$O741,'ORDENES'!$R$4:$R$1203,$R741))</f>
        <v/>
      </c>
      <c r="AE741" s="13">
        <f>IF($AD741="","",p_factor_productividad*IFERROR(INDEX('ASIGNACIONES'!$H$4:$H$339,MATCH($O741&amp;"|"&amp;$R741&amp;"|"&amp;$AB741,'ASIGNACIONES'!$I$4:$I$339,0)),0)-$AD741)</f>
        <v/>
      </c>
      <c r="AF741" s="10">
        <f>IF($A741="","",IFERROR(INDEX('2_IMPORTAR_EJECUCION'!$F$9:$F$1208,MATCH($AN741,'2_IMPORTAR_EJECUCION'!$J$9:$J$1208,0)),0))</f>
        <v/>
      </c>
      <c r="AG741" s="10">
        <f>IF($A741="","",MAX(0,IFERROR(INDEX('2_IMPORTAR_EJECUCION'!$H$9:$H$1208,MATCH($AN741,'2_IMPORTAR_EJECUCION'!$J$9:$J$1208,0)),0)-$AF741))</f>
        <v/>
      </c>
      <c r="AH741" s="10">
        <f>IF($A741="","",$AF741+$AG741)</f>
        <v/>
      </c>
      <c r="AI741" s="6" t="n"/>
      <c r="AJ741" s="6" t="n"/>
      <c r="AK741" s="6" t="n"/>
      <c r="AL741" s="3">
        <f>IF($AK741="","",HYPERLINK(p_ruta_base_checklists&amp;$AK741,"abrir"))</f>
        <v/>
      </c>
      <c r="AM741" s="6" t="n"/>
      <c r="AN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1" t="n"/>
      <c r="K742" s="3" t="n"/>
      <c r="L742" s="10" t="n"/>
      <c r="M742" s="3">
        <f>IF($A742="","",IFERROR(INDEX('AJUSTES'!$B$4:$B$303,MATCH($AN742,'AJUSTES'!$A$4:$A$303,0)),IF($K742="","",$K742)))</f>
        <v/>
      </c>
      <c r="N742" s="3">
        <f>IF($A742="","",IFERROR(INDEX('CAT_ESTADOS_ERP'!$B$4:$B$7,MATCH(IFERROR(INDEX('2_IMPORTAR_EJECUCION'!$C$9:$C$1208,MATCH($AN742,'2_IMPORTAR_EJECUCION'!$J$9:$J$1208,0)),""),'CAT_ESTADOS_ERP'!$A$4:$A$7,0)),"Pendiente"))</f>
        <v/>
      </c>
      <c r="O742" s="3">
        <f>IF($J742="","",YEAR($J742+4-WEEKDAY($J742,2))&amp;"-S"&amp;TEXT(_xlfn.ISOWEEKNUM($J742),"00"))</f>
        <v/>
      </c>
      <c r="P742" s="3">
        <f>IF($J742="","",YEAR($J742))</f>
        <v/>
      </c>
      <c r="Q742" s="3">
        <f>IF($J742="","",MONTH($J742))</f>
        <v/>
      </c>
      <c r="R742" s="3">
        <f>IF($J742="","",INDEX(lista_dias,WEEKDAY($J742,2)))</f>
        <v/>
      </c>
      <c r="S742" s="3">
        <f>IF($I742="","",IFERROR(INDEX('CAT_TIPOS_OT'!$C$4:$C$7,MATCH($I742,'CAT_TIPOS_OT'!$A$4:$A$7,0)),"sin_clasificar"))</f>
        <v/>
      </c>
      <c r="T742" s="3">
        <f>IF($F742="","",IFERROR(INDEX('CAT_CENTROS_COSTO'!$E$4:$E$9,MATCH($F742,'CAT_CENTROS_COSTO'!$A$4:$A$9,0)),"(sin catálogo)"))</f>
        <v/>
      </c>
      <c r="U742" s="3">
        <f>IF($F742="","",IFERROR(INDEX('CAT_CENTROS_COSTO'!$D$4:$D$9,MATCH($F742,'CAT_CENTROS_COSTO'!$A$4:$A$9,0)),"(sin catálogo)"))</f>
        <v/>
      </c>
      <c r="V742" s="3">
        <f>IF($F742="","",IFERROR(INDEX('CAT_CENTROS_COSTO'!$F$4:$F$9,MATCH($F742,'CAT_CENTROS_COSTO'!$A$4:$A$9,0)),"(sin catálogo)"))</f>
        <v/>
      </c>
      <c r="W742" s="3">
        <f>IF($G742="","",IFERROR(INDEX('CAT_PUESTOS'!$B$4:$B$8,MATCH($G742,'CAT_PUESTOS'!$A$4:$A$8,0)),"(sin catálogo)"))</f>
        <v/>
      </c>
      <c r="X742" s="3">
        <f>IF($H742="","",IFERROR(INDEX('CAT_ACTIVIDADES'!$B$4:$B$8,MATCH($H742,'CAT_ACTIVIDADES'!$A$4:$A$8,0)),"(sin catálogo)"))</f>
        <v/>
      </c>
      <c r="Y742" s="12">
        <f>IF($J742="","",TODAY()-$J742)</f>
        <v/>
      </c>
      <c r="Z742" s="3">
        <f>IF($Y742="","",IF($Y742&lt;0,"FUTURO",IF($Y742&gt;p_dias_backlog_max,"BACKLOG","MES CORRIENTE")))</f>
        <v/>
      </c>
      <c r="AA742" s="3">
        <f>IF($Y742="",FALSE,AND($Y742&gt;p_dias_backlog_min,$Y742&lt;=p_dias_backlog_max))</f>
        <v/>
      </c>
      <c r="AB742" s="6" t="n"/>
      <c r="AC742" s="3">
        <f>IF($AB742="","",IFERROR(INDEX('ASIGNACIONES'!$F$4:$F$339,MATCH($O742&amp;"|"&amp;$R742&amp;"|"&amp;$AB742,'ASIGNACIONES'!$I$4:$I$339,0)),""))</f>
        <v/>
      </c>
      <c r="AD742" s="13">
        <f>IF($AB742="","",SUMIFS('ORDENES'!$M$4:$M$1203,'ORDENES'!$AB$4:$AB$1203,$AB742,'ORDENES'!$O$4:$O$1203,$O742,'ORDENES'!$R$4:$R$1203,$R742))</f>
        <v/>
      </c>
      <c r="AE742" s="13">
        <f>IF($AD742="","",p_factor_productividad*IFERROR(INDEX('ASIGNACIONES'!$H$4:$H$339,MATCH($O742&amp;"|"&amp;$R742&amp;"|"&amp;$AB742,'ASIGNACIONES'!$I$4:$I$339,0)),0)-$AD742)</f>
        <v/>
      </c>
      <c r="AF742" s="10">
        <f>IF($A742="","",IFERROR(INDEX('2_IMPORTAR_EJECUCION'!$F$9:$F$1208,MATCH($AN742,'2_IMPORTAR_EJECUCION'!$J$9:$J$1208,0)),0))</f>
        <v/>
      </c>
      <c r="AG742" s="10">
        <f>IF($A742="","",MAX(0,IFERROR(INDEX('2_IMPORTAR_EJECUCION'!$H$9:$H$1208,MATCH($AN742,'2_IMPORTAR_EJECUCION'!$J$9:$J$1208,0)),0)-$AF742))</f>
        <v/>
      </c>
      <c r="AH742" s="10">
        <f>IF($A742="","",$AF742+$AG742)</f>
        <v/>
      </c>
      <c r="AI742" s="6" t="n"/>
      <c r="AJ742" s="6" t="n"/>
      <c r="AK742" s="6" t="n"/>
      <c r="AL742" s="3">
        <f>IF($AK742="","",HYPERLINK(p_ruta_base_checklists&amp;$AK742,"abrir"))</f>
        <v/>
      </c>
      <c r="AM742" s="6" t="n"/>
      <c r="AN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1" t="n"/>
      <c r="K743" s="3" t="n"/>
      <c r="L743" s="10" t="n"/>
      <c r="M743" s="3">
        <f>IF($A743="","",IFERROR(INDEX('AJUSTES'!$B$4:$B$303,MATCH($AN743,'AJUSTES'!$A$4:$A$303,0)),IF($K743="","",$K743)))</f>
        <v/>
      </c>
      <c r="N743" s="3">
        <f>IF($A743="","",IFERROR(INDEX('CAT_ESTADOS_ERP'!$B$4:$B$7,MATCH(IFERROR(INDEX('2_IMPORTAR_EJECUCION'!$C$9:$C$1208,MATCH($AN743,'2_IMPORTAR_EJECUCION'!$J$9:$J$1208,0)),""),'CAT_ESTADOS_ERP'!$A$4:$A$7,0)),"Pendiente"))</f>
        <v/>
      </c>
      <c r="O743" s="3">
        <f>IF($J743="","",YEAR($J743+4-WEEKDAY($J743,2))&amp;"-S"&amp;TEXT(_xlfn.ISOWEEKNUM($J743),"00"))</f>
        <v/>
      </c>
      <c r="P743" s="3">
        <f>IF($J743="","",YEAR($J743))</f>
        <v/>
      </c>
      <c r="Q743" s="3">
        <f>IF($J743="","",MONTH($J743))</f>
        <v/>
      </c>
      <c r="R743" s="3">
        <f>IF($J743="","",INDEX(lista_dias,WEEKDAY($J743,2)))</f>
        <v/>
      </c>
      <c r="S743" s="3">
        <f>IF($I743="","",IFERROR(INDEX('CAT_TIPOS_OT'!$C$4:$C$7,MATCH($I743,'CAT_TIPOS_OT'!$A$4:$A$7,0)),"sin_clasificar"))</f>
        <v/>
      </c>
      <c r="T743" s="3">
        <f>IF($F743="","",IFERROR(INDEX('CAT_CENTROS_COSTO'!$E$4:$E$9,MATCH($F743,'CAT_CENTROS_COSTO'!$A$4:$A$9,0)),"(sin catálogo)"))</f>
        <v/>
      </c>
      <c r="U743" s="3">
        <f>IF($F743="","",IFERROR(INDEX('CAT_CENTROS_COSTO'!$D$4:$D$9,MATCH($F743,'CAT_CENTROS_COSTO'!$A$4:$A$9,0)),"(sin catálogo)"))</f>
        <v/>
      </c>
      <c r="V743" s="3">
        <f>IF($F743="","",IFERROR(INDEX('CAT_CENTROS_COSTO'!$F$4:$F$9,MATCH($F743,'CAT_CENTROS_COSTO'!$A$4:$A$9,0)),"(sin catálogo)"))</f>
        <v/>
      </c>
      <c r="W743" s="3">
        <f>IF($G743="","",IFERROR(INDEX('CAT_PUESTOS'!$B$4:$B$8,MATCH($G743,'CAT_PUESTOS'!$A$4:$A$8,0)),"(sin catálogo)"))</f>
        <v/>
      </c>
      <c r="X743" s="3">
        <f>IF($H743="","",IFERROR(INDEX('CAT_ACTIVIDADES'!$B$4:$B$8,MATCH($H743,'CAT_ACTIVIDADES'!$A$4:$A$8,0)),"(sin catálogo)"))</f>
        <v/>
      </c>
      <c r="Y743" s="12">
        <f>IF($J743="","",TODAY()-$J743)</f>
        <v/>
      </c>
      <c r="Z743" s="3">
        <f>IF($Y743="","",IF($Y743&lt;0,"FUTURO",IF($Y743&gt;p_dias_backlog_max,"BACKLOG","MES CORRIENTE")))</f>
        <v/>
      </c>
      <c r="AA743" s="3">
        <f>IF($Y743="",FALSE,AND($Y743&gt;p_dias_backlog_min,$Y743&lt;=p_dias_backlog_max))</f>
        <v/>
      </c>
      <c r="AB743" s="6" t="n"/>
      <c r="AC743" s="3">
        <f>IF($AB743="","",IFERROR(INDEX('ASIGNACIONES'!$F$4:$F$339,MATCH($O743&amp;"|"&amp;$R743&amp;"|"&amp;$AB743,'ASIGNACIONES'!$I$4:$I$339,0)),""))</f>
        <v/>
      </c>
      <c r="AD743" s="13">
        <f>IF($AB743="","",SUMIFS('ORDENES'!$M$4:$M$1203,'ORDENES'!$AB$4:$AB$1203,$AB743,'ORDENES'!$O$4:$O$1203,$O743,'ORDENES'!$R$4:$R$1203,$R743))</f>
        <v/>
      </c>
      <c r="AE743" s="13">
        <f>IF($AD743="","",p_factor_productividad*IFERROR(INDEX('ASIGNACIONES'!$H$4:$H$339,MATCH($O743&amp;"|"&amp;$R743&amp;"|"&amp;$AB743,'ASIGNACIONES'!$I$4:$I$339,0)),0)-$AD743)</f>
        <v/>
      </c>
      <c r="AF743" s="10">
        <f>IF($A743="","",IFERROR(INDEX('2_IMPORTAR_EJECUCION'!$F$9:$F$1208,MATCH($AN743,'2_IMPORTAR_EJECUCION'!$J$9:$J$1208,0)),0))</f>
        <v/>
      </c>
      <c r="AG743" s="10">
        <f>IF($A743="","",MAX(0,IFERROR(INDEX('2_IMPORTAR_EJECUCION'!$H$9:$H$1208,MATCH($AN743,'2_IMPORTAR_EJECUCION'!$J$9:$J$1208,0)),0)-$AF743))</f>
        <v/>
      </c>
      <c r="AH743" s="10">
        <f>IF($A743="","",$AF743+$AG743)</f>
        <v/>
      </c>
      <c r="AI743" s="6" t="n"/>
      <c r="AJ743" s="6" t="n"/>
      <c r="AK743" s="6" t="n"/>
      <c r="AL743" s="3">
        <f>IF($AK743="","",HYPERLINK(p_ruta_base_checklists&amp;$AK743,"abrir"))</f>
        <v/>
      </c>
      <c r="AM743" s="6" t="n"/>
      <c r="AN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1" t="n"/>
      <c r="K744" s="3" t="n"/>
      <c r="L744" s="10" t="n"/>
      <c r="M744" s="3">
        <f>IF($A744="","",IFERROR(INDEX('AJUSTES'!$B$4:$B$303,MATCH($AN744,'AJUSTES'!$A$4:$A$303,0)),IF($K744="","",$K744)))</f>
        <v/>
      </c>
      <c r="N744" s="3">
        <f>IF($A744="","",IFERROR(INDEX('CAT_ESTADOS_ERP'!$B$4:$B$7,MATCH(IFERROR(INDEX('2_IMPORTAR_EJECUCION'!$C$9:$C$1208,MATCH($AN744,'2_IMPORTAR_EJECUCION'!$J$9:$J$1208,0)),""),'CAT_ESTADOS_ERP'!$A$4:$A$7,0)),"Pendiente"))</f>
        <v/>
      </c>
      <c r="O744" s="3">
        <f>IF($J744="","",YEAR($J744+4-WEEKDAY($J744,2))&amp;"-S"&amp;TEXT(_xlfn.ISOWEEKNUM($J744),"00"))</f>
        <v/>
      </c>
      <c r="P744" s="3">
        <f>IF($J744="","",YEAR($J744))</f>
        <v/>
      </c>
      <c r="Q744" s="3">
        <f>IF($J744="","",MONTH($J744))</f>
        <v/>
      </c>
      <c r="R744" s="3">
        <f>IF($J744="","",INDEX(lista_dias,WEEKDAY($J744,2)))</f>
        <v/>
      </c>
      <c r="S744" s="3">
        <f>IF($I744="","",IFERROR(INDEX('CAT_TIPOS_OT'!$C$4:$C$7,MATCH($I744,'CAT_TIPOS_OT'!$A$4:$A$7,0)),"sin_clasificar"))</f>
        <v/>
      </c>
      <c r="T744" s="3">
        <f>IF($F744="","",IFERROR(INDEX('CAT_CENTROS_COSTO'!$E$4:$E$9,MATCH($F744,'CAT_CENTROS_COSTO'!$A$4:$A$9,0)),"(sin catálogo)"))</f>
        <v/>
      </c>
      <c r="U744" s="3">
        <f>IF($F744="","",IFERROR(INDEX('CAT_CENTROS_COSTO'!$D$4:$D$9,MATCH($F744,'CAT_CENTROS_COSTO'!$A$4:$A$9,0)),"(sin catálogo)"))</f>
        <v/>
      </c>
      <c r="V744" s="3">
        <f>IF($F744="","",IFERROR(INDEX('CAT_CENTROS_COSTO'!$F$4:$F$9,MATCH($F744,'CAT_CENTROS_COSTO'!$A$4:$A$9,0)),"(sin catálogo)"))</f>
        <v/>
      </c>
      <c r="W744" s="3">
        <f>IF($G744="","",IFERROR(INDEX('CAT_PUESTOS'!$B$4:$B$8,MATCH($G744,'CAT_PUESTOS'!$A$4:$A$8,0)),"(sin catálogo)"))</f>
        <v/>
      </c>
      <c r="X744" s="3">
        <f>IF($H744="","",IFERROR(INDEX('CAT_ACTIVIDADES'!$B$4:$B$8,MATCH($H744,'CAT_ACTIVIDADES'!$A$4:$A$8,0)),"(sin catálogo)"))</f>
        <v/>
      </c>
      <c r="Y744" s="12">
        <f>IF($J744="","",TODAY()-$J744)</f>
        <v/>
      </c>
      <c r="Z744" s="3">
        <f>IF($Y744="","",IF($Y744&lt;0,"FUTURO",IF($Y744&gt;p_dias_backlog_max,"BACKLOG","MES CORRIENTE")))</f>
        <v/>
      </c>
      <c r="AA744" s="3">
        <f>IF($Y744="",FALSE,AND($Y744&gt;p_dias_backlog_min,$Y744&lt;=p_dias_backlog_max))</f>
        <v/>
      </c>
      <c r="AB744" s="6" t="n"/>
      <c r="AC744" s="3">
        <f>IF($AB744="","",IFERROR(INDEX('ASIGNACIONES'!$F$4:$F$339,MATCH($O744&amp;"|"&amp;$R744&amp;"|"&amp;$AB744,'ASIGNACIONES'!$I$4:$I$339,0)),""))</f>
        <v/>
      </c>
      <c r="AD744" s="13">
        <f>IF($AB744="","",SUMIFS('ORDENES'!$M$4:$M$1203,'ORDENES'!$AB$4:$AB$1203,$AB744,'ORDENES'!$O$4:$O$1203,$O744,'ORDENES'!$R$4:$R$1203,$R744))</f>
        <v/>
      </c>
      <c r="AE744" s="13">
        <f>IF($AD744="","",p_factor_productividad*IFERROR(INDEX('ASIGNACIONES'!$H$4:$H$339,MATCH($O744&amp;"|"&amp;$R744&amp;"|"&amp;$AB744,'ASIGNACIONES'!$I$4:$I$339,0)),0)-$AD744)</f>
        <v/>
      </c>
      <c r="AF744" s="10">
        <f>IF($A744="","",IFERROR(INDEX('2_IMPORTAR_EJECUCION'!$F$9:$F$1208,MATCH($AN744,'2_IMPORTAR_EJECUCION'!$J$9:$J$1208,0)),0))</f>
        <v/>
      </c>
      <c r="AG744" s="10">
        <f>IF($A744="","",MAX(0,IFERROR(INDEX('2_IMPORTAR_EJECUCION'!$H$9:$H$1208,MATCH($AN744,'2_IMPORTAR_EJECUCION'!$J$9:$J$1208,0)),0)-$AF744))</f>
        <v/>
      </c>
      <c r="AH744" s="10">
        <f>IF($A744="","",$AF744+$AG744)</f>
        <v/>
      </c>
      <c r="AI744" s="6" t="n"/>
      <c r="AJ744" s="6" t="n"/>
      <c r="AK744" s="6" t="n"/>
      <c r="AL744" s="3">
        <f>IF($AK744="","",HYPERLINK(p_ruta_base_checklists&amp;$AK744,"abrir"))</f>
        <v/>
      </c>
      <c r="AM744" s="6" t="n"/>
      <c r="AN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1" t="n"/>
      <c r="K745" s="3" t="n"/>
      <c r="L745" s="10" t="n"/>
      <c r="M745" s="3">
        <f>IF($A745="","",IFERROR(INDEX('AJUSTES'!$B$4:$B$303,MATCH($AN745,'AJUSTES'!$A$4:$A$303,0)),IF($K745="","",$K745)))</f>
        <v/>
      </c>
      <c r="N745" s="3">
        <f>IF($A745="","",IFERROR(INDEX('CAT_ESTADOS_ERP'!$B$4:$B$7,MATCH(IFERROR(INDEX('2_IMPORTAR_EJECUCION'!$C$9:$C$1208,MATCH($AN745,'2_IMPORTAR_EJECUCION'!$J$9:$J$1208,0)),""),'CAT_ESTADOS_ERP'!$A$4:$A$7,0)),"Pendiente"))</f>
        <v/>
      </c>
      <c r="O745" s="3">
        <f>IF($J745="","",YEAR($J745+4-WEEKDAY($J745,2))&amp;"-S"&amp;TEXT(_xlfn.ISOWEEKNUM($J745),"00"))</f>
        <v/>
      </c>
      <c r="P745" s="3">
        <f>IF($J745="","",YEAR($J745))</f>
        <v/>
      </c>
      <c r="Q745" s="3">
        <f>IF($J745="","",MONTH($J745))</f>
        <v/>
      </c>
      <c r="R745" s="3">
        <f>IF($J745="","",INDEX(lista_dias,WEEKDAY($J745,2)))</f>
        <v/>
      </c>
      <c r="S745" s="3">
        <f>IF($I745="","",IFERROR(INDEX('CAT_TIPOS_OT'!$C$4:$C$7,MATCH($I745,'CAT_TIPOS_OT'!$A$4:$A$7,0)),"sin_clasificar"))</f>
        <v/>
      </c>
      <c r="T745" s="3">
        <f>IF($F745="","",IFERROR(INDEX('CAT_CENTROS_COSTO'!$E$4:$E$9,MATCH($F745,'CAT_CENTROS_COSTO'!$A$4:$A$9,0)),"(sin catálogo)"))</f>
        <v/>
      </c>
      <c r="U745" s="3">
        <f>IF($F745="","",IFERROR(INDEX('CAT_CENTROS_COSTO'!$D$4:$D$9,MATCH($F745,'CAT_CENTROS_COSTO'!$A$4:$A$9,0)),"(sin catálogo)"))</f>
        <v/>
      </c>
      <c r="V745" s="3">
        <f>IF($F745="","",IFERROR(INDEX('CAT_CENTROS_COSTO'!$F$4:$F$9,MATCH($F745,'CAT_CENTROS_COSTO'!$A$4:$A$9,0)),"(sin catálogo)"))</f>
        <v/>
      </c>
      <c r="W745" s="3">
        <f>IF($G745="","",IFERROR(INDEX('CAT_PUESTOS'!$B$4:$B$8,MATCH($G745,'CAT_PUESTOS'!$A$4:$A$8,0)),"(sin catálogo)"))</f>
        <v/>
      </c>
      <c r="X745" s="3">
        <f>IF($H745="","",IFERROR(INDEX('CAT_ACTIVIDADES'!$B$4:$B$8,MATCH($H745,'CAT_ACTIVIDADES'!$A$4:$A$8,0)),"(sin catálogo)"))</f>
        <v/>
      </c>
      <c r="Y745" s="12">
        <f>IF($J745="","",TODAY()-$J745)</f>
        <v/>
      </c>
      <c r="Z745" s="3">
        <f>IF($Y745="","",IF($Y745&lt;0,"FUTURO",IF($Y745&gt;p_dias_backlog_max,"BACKLOG","MES CORRIENTE")))</f>
        <v/>
      </c>
      <c r="AA745" s="3">
        <f>IF($Y745="",FALSE,AND($Y745&gt;p_dias_backlog_min,$Y745&lt;=p_dias_backlog_max))</f>
        <v/>
      </c>
      <c r="AB745" s="6" t="n"/>
      <c r="AC745" s="3">
        <f>IF($AB745="","",IFERROR(INDEX('ASIGNACIONES'!$F$4:$F$339,MATCH($O745&amp;"|"&amp;$R745&amp;"|"&amp;$AB745,'ASIGNACIONES'!$I$4:$I$339,0)),""))</f>
        <v/>
      </c>
      <c r="AD745" s="13">
        <f>IF($AB745="","",SUMIFS('ORDENES'!$M$4:$M$1203,'ORDENES'!$AB$4:$AB$1203,$AB745,'ORDENES'!$O$4:$O$1203,$O745,'ORDENES'!$R$4:$R$1203,$R745))</f>
        <v/>
      </c>
      <c r="AE745" s="13">
        <f>IF($AD745="","",p_factor_productividad*IFERROR(INDEX('ASIGNACIONES'!$H$4:$H$339,MATCH($O745&amp;"|"&amp;$R745&amp;"|"&amp;$AB745,'ASIGNACIONES'!$I$4:$I$339,0)),0)-$AD745)</f>
        <v/>
      </c>
      <c r="AF745" s="10">
        <f>IF($A745="","",IFERROR(INDEX('2_IMPORTAR_EJECUCION'!$F$9:$F$1208,MATCH($AN745,'2_IMPORTAR_EJECUCION'!$J$9:$J$1208,0)),0))</f>
        <v/>
      </c>
      <c r="AG745" s="10">
        <f>IF($A745="","",MAX(0,IFERROR(INDEX('2_IMPORTAR_EJECUCION'!$H$9:$H$1208,MATCH($AN745,'2_IMPORTAR_EJECUCION'!$J$9:$J$1208,0)),0)-$AF745))</f>
        <v/>
      </c>
      <c r="AH745" s="10">
        <f>IF($A745="","",$AF745+$AG745)</f>
        <v/>
      </c>
      <c r="AI745" s="6" t="n"/>
      <c r="AJ745" s="6" t="n"/>
      <c r="AK745" s="6" t="n"/>
      <c r="AL745" s="3">
        <f>IF($AK745="","",HYPERLINK(p_ruta_base_checklists&amp;$AK745,"abrir"))</f>
        <v/>
      </c>
      <c r="AM745" s="6" t="n"/>
      <c r="AN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1" t="n"/>
      <c r="K746" s="3" t="n"/>
      <c r="L746" s="10" t="n"/>
      <c r="M746" s="3">
        <f>IF($A746="","",IFERROR(INDEX('AJUSTES'!$B$4:$B$303,MATCH($AN746,'AJUSTES'!$A$4:$A$303,0)),IF($K746="","",$K746)))</f>
        <v/>
      </c>
      <c r="N746" s="3">
        <f>IF($A746="","",IFERROR(INDEX('CAT_ESTADOS_ERP'!$B$4:$B$7,MATCH(IFERROR(INDEX('2_IMPORTAR_EJECUCION'!$C$9:$C$1208,MATCH($AN746,'2_IMPORTAR_EJECUCION'!$J$9:$J$1208,0)),""),'CAT_ESTADOS_ERP'!$A$4:$A$7,0)),"Pendiente"))</f>
        <v/>
      </c>
      <c r="O746" s="3">
        <f>IF($J746="","",YEAR($J746+4-WEEKDAY($J746,2))&amp;"-S"&amp;TEXT(_xlfn.ISOWEEKNUM($J746),"00"))</f>
        <v/>
      </c>
      <c r="P746" s="3">
        <f>IF($J746="","",YEAR($J746))</f>
        <v/>
      </c>
      <c r="Q746" s="3">
        <f>IF($J746="","",MONTH($J746))</f>
        <v/>
      </c>
      <c r="R746" s="3">
        <f>IF($J746="","",INDEX(lista_dias,WEEKDAY($J746,2)))</f>
        <v/>
      </c>
      <c r="S746" s="3">
        <f>IF($I746="","",IFERROR(INDEX('CAT_TIPOS_OT'!$C$4:$C$7,MATCH($I746,'CAT_TIPOS_OT'!$A$4:$A$7,0)),"sin_clasificar"))</f>
        <v/>
      </c>
      <c r="T746" s="3">
        <f>IF($F746="","",IFERROR(INDEX('CAT_CENTROS_COSTO'!$E$4:$E$9,MATCH($F746,'CAT_CENTROS_COSTO'!$A$4:$A$9,0)),"(sin catálogo)"))</f>
        <v/>
      </c>
      <c r="U746" s="3">
        <f>IF($F746="","",IFERROR(INDEX('CAT_CENTROS_COSTO'!$D$4:$D$9,MATCH($F746,'CAT_CENTROS_COSTO'!$A$4:$A$9,0)),"(sin catálogo)"))</f>
        <v/>
      </c>
      <c r="V746" s="3">
        <f>IF($F746="","",IFERROR(INDEX('CAT_CENTROS_COSTO'!$F$4:$F$9,MATCH($F746,'CAT_CENTROS_COSTO'!$A$4:$A$9,0)),"(sin catálogo)"))</f>
        <v/>
      </c>
      <c r="W746" s="3">
        <f>IF($G746="","",IFERROR(INDEX('CAT_PUESTOS'!$B$4:$B$8,MATCH($G746,'CAT_PUESTOS'!$A$4:$A$8,0)),"(sin catálogo)"))</f>
        <v/>
      </c>
      <c r="X746" s="3">
        <f>IF($H746="","",IFERROR(INDEX('CAT_ACTIVIDADES'!$B$4:$B$8,MATCH($H746,'CAT_ACTIVIDADES'!$A$4:$A$8,0)),"(sin catálogo)"))</f>
        <v/>
      </c>
      <c r="Y746" s="12">
        <f>IF($J746="","",TODAY()-$J746)</f>
        <v/>
      </c>
      <c r="Z746" s="3">
        <f>IF($Y746="","",IF($Y746&lt;0,"FUTURO",IF($Y746&gt;p_dias_backlog_max,"BACKLOG","MES CORRIENTE")))</f>
        <v/>
      </c>
      <c r="AA746" s="3">
        <f>IF($Y746="",FALSE,AND($Y746&gt;p_dias_backlog_min,$Y746&lt;=p_dias_backlog_max))</f>
        <v/>
      </c>
      <c r="AB746" s="6" t="n"/>
      <c r="AC746" s="3">
        <f>IF($AB746="","",IFERROR(INDEX('ASIGNACIONES'!$F$4:$F$339,MATCH($O746&amp;"|"&amp;$R746&amp;"|"&amp;$AB746,'ASIGNACIONES'!$I$4:$I$339,0)),""))</f>
        <v/>
      </c>
      <c r="AD746" s="13">
        <f>IF($AB746="","",SUMIFS('ORDENES'!$M$4:$M$1203,'ORDENES'!$AB$4:$AB$1203,$AB746,'ORDENES'!$O$4:$O$1203,$O746,'ORDENES'!$R$4:$R$1203,$R746))</f>
        <v/>
      </c>
      <c r="AE746" s="13">
        <f>IF($AD746="","",p_factor_productividad*IFERROR(INDEX('ASIGNACIONES'!$H$4:$H$339,MATCH($O746&amp;"|"&amp;$R746&amp;"|"&amp;$AB746,'ASIGNACIONES'!$I$4:$I$339,0)),0)-$AD746)</f>
        <v/>
      </c>
      <c r="AF746" s="10">
        <f>IF($A746="","",IFERROR(INDEX('2_IMPORTAR_EJECUCION'!$F$9:$F$1208,MATCH($AN746,'2_IMPORTAR_EJECUCION'!$J$9:$J$1208,0)),0))</f>
        <v/>
      </c>
      <c r="AG746" s="10">
        <f>IF($A746="","",MAX(0,IFERROR(INDEX('2_IMPORTAR_EJECUCION'!$H$9:$H$1208,MATCH($AN746,'2_IMPORTAR_EJECUCION'!$J$9:$J$1208,0)),0)-$AF746))</f>
        <v/>
      </c>
      <c r="AH746" s="10">
        <f>IF($A746="","",$AF746+$AG746)</f>
        <v/>
      </c>
      <c r="AI746" s="6" t="n"/>
      <c r="AJ746" s="6" t="n"/>
      <c r="AK746" s="6" t="n"/>
      <c r="AL746" s="3">
        <f>IF($AK746="","",HYPERLINK(p_ruta_base_checklists&amp;$AK746,"abrir"))</f>
        <v/>
      </c>
      <c r="AM746" s="6" t="n"/>
      <c r="AN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1" t="n"/>
      <c r="K747" s="3" t="n"/>
      <c r="L747" s="10" t="n"/>
      <c r="M747" s="3">
        <f>IF($A747="","",IFERROR(INDEX('AJUSTES'!$B$4:$B$303,MATCH($AN747,'AJUSTES'!$A$4:$A$303,0)),IF($K747="","",$K747)))</f>
        <v/>
      </c>
      <c r="N747" s="3">
        <f>IF($A747="","",IFERROR(INDEX('CAT_ESTADOS_ERP'!$B$4:$B$7,MATCH(IFERROR(INDEX('2_IMPORTAR_EJECUCION'!$C$9:$C$1208,MATCH($AN747,'2_IMPORTAR_EJECUCION'!$J$9:$J$1208,0)),""),'CAT_ESTADOS_ERP'!$A$4:$A$7,0)),"Pendiente"))</f>
        <v/>
      </c>
      <c r="O747" s="3">
        <f>IF($J747="","",YEAR($J747+4-WEEKDAY($J747,2))&amp;"-S"&amp;TEXT(_xlfn.ISOWEEKNUM($J747),"00"))</f>
        <v/>
      </c>
      <c r="P747" s="3">
        <f>IF($J747="","",YEAR($J747))</f>
        <v/>
      </c>
      <c r="Q747" s="3">
        <f>IF($J747="","",MONTH($J747))</f>
        <v/>
      </c>
      <c r="R747" s="3">
        <f>IF($J747="","",INDEX(lista_dias,WEEKDAY($J747,2)))</f>
        <v/>
      </c>
      <c r="S747" s="3">
        <f>IF($I747="","",IFERROR(INDEX('CAT_TIPOS_OT'!$C$4:$C$7,MATCH($I747,'CAT_TIPOS_OT'!$A$4:$A$7,0)),"sin_clasificar"))</f>
        <v/>
      </c>
      <c r="T747" s="3">
        <f>IF($F747="","",IFERROR(INDEX('CAT_CENTROS_COSTO'!$E$4:$E$9,MATCH($F747,'CAT_CENTROS_COSTO'!$A$4:$A$9,0)),"(sin catálogo)"))</f>
        <v/>
      </c>
      <c r="U747" s="3">
        <f>IF($F747="","",IFERROR(INDEX('CAT_CENTROS_COSTO'!$D$4:$D$9,MATCH($F747,'CAT_CENTROS_COSTO'!$A$4:$A$9,0)),"(sin catálogo)"))</f>
        <v/>
      </c>
      <c r="V747" s="3">
        <f>IF($F747="","",IFERROR(INDEX('CAT_CENTROS_COSTO'!$F$4:$F$9,MATCH($F747,'CAT_CENTROS_COSTO'!$A$4:$A$9,0)),"(sin catálogo)"))</f>
        <v/>
      </c>
      <c r="W747" s="3">
        <f>IF($G747="","",IFERROR(INDEX('CAT_PUESTOS'!$B$4:$B$8,MATCH($G747,'CAT_PUESTOS'!$A$4:$A$8,0)),"(sin catálogo)"))</f>
        <v/>
      </c>
      <c r="X747" s="3">
        <f>IF($H747="","",IFERROR(INDEX('CAT_ACTIVIDADES'!$B$4:$B$8,MATCH($H747,'CAT_ACTIVIDADES'!$A$4:$A$8,0)),"(sin catálogo)"))</f>
        <v/>
      </c>
      <c r="Y747" s="12">
        <f>IF($J747="","",TODAY()-$J747)</f>
        <v/>
      </c>
      <c r="Z747" s="3">
        <f>IF($Y747="","",IF($Y747&lt;0,"FUTURO",IF($Y747&gt;p_dias_backlog_max,"BACKLOG","MES CORRIENTE")))</f>
        <v/>
      </c>
      <c r="AA747" s="3">
        <f>IF($Y747="",FALSE,AND($Y747&gt;p_dias_backlog_min,$Y747&lt;=p_dias_backlog_max))</f>
        <v/>
      </c>
      <c r="AB747" s="6" t="n"/>
      <c r="AC747" s="3">
        <f>IF($AB747="","",IFERROR(INDEX('ASIGNACIONES'!$F$4:$F$339,MATCH($O747&amp;"|"&amp;$R747&amp;"|"&amp;$AB747,'ASIGNACIONES'!$I$4:$I$339,0)),""))</f>
        <v/>
      </c>
      <c r="AD747" s="13">
        <f>IF($AB747="","",SUMIFS('ORDENES'!$M$4:$M$1203,'ORDENES'!$AB$4:$AB$1203,$AB747,'ORDENES'!$O$4:$O$1203,$O747,'ORDENES'!$R$4:$R$1203,$R747))</f>
        <v/>
      </c>
      <c r="AE747" s="13">
        <f>IF($AD747="","",p_factor_productividad*IFERROR(INDEX('ASIGNACIONES'!$H$4:$H$339,MATCH($O747&amp;"|"&amp;$R747&amp;"|"&amp;$AB747,'ASIGNACIONES'!$I$4:$I$339,0)),0)-$AD747)</f>
        <v/>
      </c>
      <c r="AF747" s="10">
        <f>IF($A747="","",IFERROR(INDEX('2_IMPORTAR_EJECUCION'!$F$9:$F$1208,MATCH($AN747,'2_IMPORTAR_EJECUCION'!$J$9:$J$1208,0)),0))</f>
        <v/>
      </c>
      <c r="AG747" s="10">
        <f>IF($A747="","",MAX(0,IFERROR(INDEX('2_IMPORTAR_EJECUCION'!$H$9:$H$1208,MATCH($AN747,'2_IMPORTAR_EJECUCION'!$J$9:$J$1208,0)),0)-$AF747))</f>
        <v/>
      </c>
      <c r="AH747" s="10">
        <f>IF($A747="","",$AF747+$AG747)</f>
        <v/>
      </c>
      <c r="AI747" s="6" t="n"/>
      <c r="AJ747" s="6" t="n"/>
      <c r="AK747" s="6" t="n"/>
      <c r="AL747" s="3">
        <f>IF($AK747="","",HYPERLINK(p_ruta_base_checklists&amp;$AK747,"abrir"))</f>
        <v/>
      </c>
      <c r="AM747" s="6" t="n"/>
      <c r="AN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1" t="n"/>
      <c r="K748" s="3" t="n"/>
      <c r="L748" s="10" t="n"/>
      <c r="M748" s="3">
        <f>IF($A748="","",IFERROR(INDEX('AJUSTES'!$B$4:$B$303,MATCH($AN748,'AJUSTES'!$A$4:$A$303,0)),IF($K748="","",$K748)))</f>
        <v/>
      </c>
      <c r="N748" s="3">
        <f>IF($A748="","",IFERROR(INDEX('CAT_ESTADOS_ERP'!$B$4:$B$7,MATCH(IFERROR(INDEX('2_IMPORTAR_EJECUCION'!$C$9:$C$1208,MATCH($AN748,'2_IMPORTAR_EJECUCION'!$J$9:$J$1208,0)),""),'CAT_ESTADOS_ERP'!$A$4:$A$7,0)),"Pendiente"))</f>
        <v/>
      </c>
      <c r="O748" s="3">
        <f>IF($J748="","",YEAR($J748+4-WEEKDAY($J748,2))&amp;"-S"&amp;TEXT(_xlfn.ISOWEEKNUM($J748),"00"))</f>
        <v/>
      </c>
      <c r="P748" s="3">
        <f>IF($J748="","",YEAR($J748))</f>
        <v/>
      </c>
      <c r="Q748" s="3">
        <f>IF($J748="","",MONTH($J748))</f>
        <v/>
      </c>
      <c r="R748" s="3">
        <f>IF($J748="","",INDEX(lista_dias,WEEKDAY($J748,2)))</f>
        <v/>
      </c>
      <c r="S748" s="3">
        <f>IF($I748="","",IFERROR(INDEX('CAT_TIPOS_OT'!$C$4:$C$7,MATCH($I748,'CAT_TIPOS_OT'!$A$4:$A$7,0)),"sin_clasificar"))</f>
        <v/>
      </c>
      <c r="T748" s="3">
        <f>IF($F748="","",IFERROR(INDEX('CAT_CENTROS_COSTO'!$E$4:$E$9,MATCH($F748,'CAT_CENTROS_COSTO'!$A$4:$A$9,0)),"(sin catálogo)"))</f>
        <v/>
      </c>
      <c r="U748" s="3">
        <f>IF($F748="","",IFERROR(INDEX('CAT_CENTROS_COSTO'!$D$4:$D$9,MATCH($F748,'CAT_CENTROS_COSTO'!$A$4:$A$9,0)),"(sin catálogo)"))</f>
        <v/>
      </c>
      <c r="V748" s="3">
        <f>IF($F748="","",IFERROR(INDEX('CAT_CENTROS_COSTO'!$F$4:$F$9,MATCH($F748,'CAT_CENTROS_COSTO'!$A$4:$A$9,0)),"(sin catálogo)"))</f>
        <v/>
      </c>
      <c r="W748" s="3">
        <f>IF($G748="","",IFERROR(INDEX('CAT_PUESTOS'!$B$4:$B$8,MATCH($G748,'CAT_PUESTOS'!$A$4:$A$8,0)),"(sin catálogo)"))</f>
        <v/>
      </c>
      <c r="X748" s="3">
        <f>IF($H748="","",IFERROR(INDEX('CAT_ACTIVIDADES'!$B$4:$B$8,MATCH($H748,'CAT_ACTIVIDADES'!$A$4:$A$8,0)),"(sin catálogo)"))</f>
        <v/>
      </c>
      <c r="Y748" s="12">
        <f>IF($J748="","",TODAY()-$J748)</f>
        <v/>
      </c>
      <c r="Z748" s="3">
        <f>IF($Y748="","",IF($Y748&lt;0,"FUTURO",IF($Y748&gt;p_dias_backlog_max,"BACKLOG","MES CORRIENTE")))</f>
        <v/>
      </c>
      <c r="AA748" s="3">
        <f>IF($Y748="",FALSE,AND($Y748&gt;p_dias_backlog_min,$Y748&lt;=p_dias_backlog_max))</f>
        <v/>
      </c>
      <c r="AB748" s="6" t="n"/>
      <c r="AC748" s="3">
        <f>IF($AB748="","",IFERROR(INDEX('ASIGNACIONES'!$F$4:$F$339,MATCH($O748&amp;"|"&amp;$R748&amp;"|"&amp;$AB748,'ASIGNACIONES'!$I$4:$I$339,0)),""))</f>
        <v/>
      </c>
      <c r="AD748" s="13">
        <f>IF($AB748="","",SUMIFS('ORDENES'!$M$4:$M$1203,'ORDENES'!$AB$4:$AB$1203,$AB748,'ORDENES'!$O$4:$O$1203,$O748,'ORDENES'!$R$4:$R$1203,$R748))</f>
        <v/>
      </c>
      <c r="AE748" s="13">
        <f>IF($AD748="","",p_factor_productividad*IFERROR(INDEX('ASIGNACIONES'!$H$4:$H$339,MATCH($O748&amp;"|"&amp;$R748&amp;"|"&amp;$AB748,'ASIGNACIONES'!$I$4:$I$339,0)),0)-$AD748)</f>
        <v/>
      </c>
      <c r="AF748" s="10">
        <f>IF($A748="","",IFERROR(INDEX('2_IMPORTAR_EJECUCION'!$F$9:$F$1208,MATCH($AN748,'2_IMPORTAR_EJECUCION'!$J$9:$J$1208,0)),0))</f>
        <v/>
      </c>
      <c r="AG748" s="10">
        <f>IF($A748="","",MAX(0,IFERROR(INDEX('2_IMPORTAR_EJECUCION'!$H$9:$H$1208,MATCH($AN748,'2_IMPORTAR_EJECUCION'!$J$9:$J$1208,0)),0)-$AF748))</f>
        <v/>
      </c>
      <c r="AH748" s="10">
        <f>IF($A748="","",$AF748+$AG748)</f>
        <v/>
      </c>
      <c r="AI748" s="6" t="n"/>
      <c r="AJ748" s="6" t="n"/>
      <c r="AK748" s="6" t="n"/>
      <c r="AL748" s="3">
        <f>IF($AK748="","",HYPERLINK(p_ruta_base_checklists&amp;$AK748,"abrir"))</f>
        <v/>
      </c>
      <c r="AM748" s="6" t="n"/>
      <c r="AN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1" t="n"/>
      <c r="K749" s="3" t="n"/>
      <c r="L749" s="10" t="n"/>
      <c r="M749" s="3">
        <f>IF($A749="","",IFERROR(INDEX('AJUSTES'!$B$4:$B$303,MATCH($AN749,'AJUSTES'!$A$4:$A$303,0)),IF($K749="","",$K749)))</f>
        <v/>
      </c>
      <c r="N749" s="3">
        <f>IF($A749="","",IFERROR(INDEX('CAT_ESTADOS_ERP'!$B$4:$B$7,MATCH(IFERROR(INDEX('2_IMPORTAR_EJECUCION'!$C$9:$C$1208,MATCH($AN749,'2_IMPORTAR_EJECUCION'!$J$9:$J$1208,0)),""),'CAT_ESTADOS_ERP'!$A$4:$A$7,0)),"Pendiente"))</f>
        <v/>
      </c>
      <c r="O749" s="3">
        <f>IF($J749="","",YEAR($J749+4-WEEKDAY($J749,2))&amp;"-S"&amp;TEXT(_xlfn.ISOWEEKNUM($J749),"00"))</f>
        <v/>
      </c>
      <c r="P749" s="3">
        <f>IF($J749="","",YEAR($J749))</f>
        <v/>
      </c>
      <c r="Q749" s="3">
        <f>IF($J749="","",MONTH($J749))</f>
        <v/>
      </c>
      <c r="R749" s="3">
        <f>IF($J749="","",INDEX(lista_dias,WEEKDAY($J749,2)))</f>
        <v/>
      </c>
      <c r="S749" s="3">
        <f>IF($I749="","",IFERROR(INDEX('CAT_TIPOS_OT'!$C$4:$C$7,MATCH($I749,'CAT_TIPOS_OT'!$A$4:$A$7,0)),"sin_clasificar"))</f>
        <v/>
      </c>
      <c r="T749" s="3">
        <f>IF($F749="","",IFERROR(INDEX('CAT_CENTROS_COSTO'!$E$4:$E$9,MATCH($F749,'CAT_CENTROS_COSTO'!$A$4:$A$9,0)),"(sin catálogo)"))</f>
        <v/>
      </c>
      <c r="U749" s="3">
        <f>IF($F749="","",IFERROR(INDEX('CAT_CENTROS_COSTO'!$D$4:$D$9,MATCH($F749,'CAT_CENTROS_COSTO'!$A$4:$A$9,0)),"(sin catálogo)"))</f>
        <v/>
      </c>
      <c r="V749" s="3">
        <f>IF($F749="","",IFERROR(INDEX('CAT_CENTROS_COSTO'!$F$4:$F$9,MATCH($F749,'CAT_CENTROS_COSTO'!$A$4:$A$9,0)),"(sin catálogo)"))</f>
        <v/>
      </c>
      <c r="W749" s="3">
        <f>IF($G749="","",IFERROR(INDEX('CAT_PUESTOS'!$B$4:$B$8,MATCH($G749,'CAT_PUESTOS'!$A$4:$A$8,0)),"(sin catálogo)"))</f>
        <v/>
      </c>
      <c r="X749" s="3">
        <f>IF($H749="","",IFERROR(INDEX('CAT_ACTIVIDADES'!$B$4:$B$8,MATCH($H749,'CAT_ACTIVIDADES'!$A$4:$A$8,0)),"(sin catálogo)"))</f>
        <v/>
      </c>
      <c r="Y749" s="12">
        <f>IF($J749="","",TODAY()-$J749)</f>
        <v/>
      </c>
      <c r="Z749" s="3">
        <f>IF($Y749="","",IF($Y749&lt;0,"FUTURO",IF($Y749&gt;p_dias_backlog_max,"BACKLOG","MES CORRIENTE")))</f>
        <v/>
      </c>
      <c r="AA749" s="3">
        <f>IF($Y749="",FALSE,AND($Y749&gt;p_dias_backlog_min,$Y749&lt;=p_dias_backlog_max))</f>
        <v/>
      </c>
      <c r="AB749" s="6" t="n"/>
      <c r="AC749" s="3">
        <f>IF($AB749="","",IFERROR(INDEX('ASIGNACIONES'!$F$4:$F$339,MATCH($O749&amp;"|"&amp;$R749&amp;"|"&amp;$AB749,'ASIGNACIONES'!$I$4:$I$339,0)),""))</f>
        <v/>
      </c>
      <c r="AD749" s="13">
        <f>IF($AB749="","",SUMIFS('ORDENES'!$M$4:$M$1203,'ORDENES'!$AB$4:$AB$1203,$AB749,'ORDENES'!$O$4:$O$1203,$O749,'ORDENES'!$R$4:$R$1203,$R749))</f>
        <v/>
      </c>
      <c r="AE749" s="13">
        <f>IF($AD749="","",p_factor_productividad*IFERROR(INDEX('ASIGNACIONES'!$H$4:$H$339,MATCH($O749&amp;"|"&amp;$R749&amp;"|"&amp;$AB749,'ASIGNACIONES'!$I$4:$I$339,0)),0)-$AD749)</f>
        <v/>
      </c>
      <c r="AF749" s="10">
        <f>IF($A749="","",IFERROR(INDEX('2_IMPORTAR_EJECUCION'!$F$9:$F$1208,MATCH($AN749,'2_IMPORTAR_EJECUCION'!$J$9:$J$1208,0)),0))</f>
        <v/>
      </c>
      <c r="AG749" s="10">
        <f>IF($A749="","",MAX(0,IFERROR(INDEX('2_IMPORTAR_EJECUCION'!$H$9:$H$1208,MATCH($AN749,'2_IMPORTAR_EJECUCION'!$J$9:$J$1208,0)),0)-$AF749))</f>
        <v/>
      </c>
      <c r="AH749" s="10">
        <f>IF($A749="","",$AF749+$AG749)</f>
        <v/>
      </c>
      <c r="AI749" s="6" t="n"/>
      <c r="AJ749" s="6" t="n"/>
      <c r="AK749" s="6" t="n"/>
      <c r="AL749" s="3">
        <f>IF($AK749="","",HYPERLINK(p_ruta_base_checklists&amp;$AK749,"abrir"))</f>
        <v/>
      </c>
      <c r="AM749" s="6" t="n"/>
      <c r="AN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1" t="n"/>
      <c r="K750" s="3" t="n"/>
      <c r="L750" s="10" t="n"/>
      <c r="M750" s="3">
        <f>IF($A750="","",IFERROR(INDEX('AJUSTES'!$B$4:$B$303,MATCH($AN750,'AJUSTES'!$A$4:$A$303,0)),IF($K750="","",$K750)))</f>
        <v/>
      </c>
      <c r="N750" s="3">
        <f>IF($A750="","",IFERROR(INDEX('CAT_ESTADOS_ERP'!$B$4:$B$7,MATCH(IFERROR(INDEX('2_IMPORTAR_EJECUCION'!$C$9:$C$1208,MATCH($AN750,'2_IMPORTAR_EJECUCION'!$J$9:$J$1208,0)),""),'CAT_ESTADOS_ERP'!$A$4:$A$7,0)),"Pendiente"))</f>
        <v/>
      </c>
      <c r="O750" s="3">
        <f>IF($J750="","",YEAR($J750+4-WEEKDAY($J750,2))&amp;"-S"&amp;TEXT(_xlfn.ISOWEEKNUM($J750),"00"))</f>
        <v/>
      </c>
      <c r="P750" s="3">
        <f>IF($J750="","",YEAR($J750))</f>
        <v/>
      </c>
      <c r="Q750" s="3">
        <f>IF($J750="","",MONTH($J750))</f>
        <v/>
      </c>
      <c r="R750" s="3">
        <f>IF($J750="","",INDEX(lista_dias,WEEKDAY($J750,2)))</f>
        <v/>
      </c>
      <c r="S750" s="3">
        <f>IF($I750="","",IFERROR(INDEX('CAT_TIPOS_OT'!$C$4:$C$7,MATCH($I750,'CAT_TIPOS_OT'!$A$4:$A$7,0)),"sin_clasificar"))</f>
        <v/>
      </c>
      <c r="T750" s="3">
        <f>IF($F750="","",IFERROR(INDEX('CAT_CENTROS_COSTO'!$E$4:$E$9,MATCH($F750,'CAT_CENTROS_COSTO'!$A$4:$A$9,0)),"(sin catálogo)"))</f>
        <v/>
      </c>
      <c r="U750" s="3">
        <f>IF($F750="","",IFERROR(INDEX('CAT_CENTROS_COSTO'!$D$4:$D$9,MATCH($F750,'CAT_CENTROS_COSTO'!$A$4:$A$9,0)),"(sin catálogo)"))</f>
        <v/>
      </c>
      <c r="V750" s="3">
        <f>IF($F750="","",IFERROR(INDEX('CAT_CENTROS_COSTO'!$F$4:$F$9,MATCH($F750,'CAT_CENTROS_COSTO'!$A$4:$A$9,0)),"(sin catálogo)"))</f>
        <v/>
      </c>
      <c r="W750" s="3">
        <f>IF($G750="","",IFERROR(INDEX('CAT_PUESTOS'!$B$4:$B$8,MATCH($G750,'CAT_PUESTOS'!$A$4:$A$8,0)),"(sin catálogo)"))</f>
        <v/>
      </c>
      <c r="X750" s="3">
        <f>IF($H750="","",IFERROR(INDEX('CAT_ACTIVIDADES'!$B$4:$B$8,MATCH($H750,'CAT_ACTIVIDADES'!$A$4:$A$8,0)),"(sin catálogo)"))</f>
        <v/>
      </c>
      <c r="Y750" s="12">
        <f>IF($J750="","",TODAY()-$J750)</f>
        <v/>
      </c>
      <c r="Z750" s="3">
        <f>IF($Y750="","",IF($Y750&lt;0,"FUTURO",IF($Y750&gt;p_dias_backlog_max,"BACKLOG","MES CORRIENTE")))</f>
        <v/>
      </c>
      <c r="AA750" s="3">
        <f>IF($Y750="",FALSE,AND($Y750&gt;p_dias_backlog_min,$Y750&lt;=p_dias_backlog_max))</f>
        <v/>
      </c>
      <c r="AB750" s="6" t="n"/>
      <c r="AC750" s="3">
        <f>IF($AB750="","",IFERROR(INDEX('ASIGNACIONES'!$F$4:$F$339,MATCH($O750&amp;"|"&amp;$R750&amp;"|"&amp;$AB750,'ASIGNACIONES'!$I$4:$I$339,0)),""))</f>
        <v/>
      </c>
      <c r="AD750" s="13">
        <f>IF($AB750="","",SUMIFS('ORDENES'!$M$4:$M$1203,'ORDENES'!$AB$4:$AB$1203,$AB750,'ORDENES'!$O$4:$O$1203,$O750,'ORDENES'!$R$4:$R$1203,$R750))</f>
        <v/>
      </c>
      <c r="AE750" s="13">
        <f>IF($AD750="","",p_factor_productividad*IFERROR(INDEX('ASIGNACIONES'!$H$4:$H$339,MATCH($O750&amp;"|"&amp;$R750&amp;"|"&amp;$AB750,'ASIGNACIONES'!$I$4:$I$339,0)),0)-$AD750)</f>
        <v/>
      </c>
      <c r="AF750" s="10">
        <f>IF($A750="","",IFERROR(INDEX('2_IMPORTAR_EJECUCION'!$F$9:$F$1208,MATCH($AN750,'2_IMPORTAR_EJECUCION'!$J$9:$J$1208,0)),0))</f>
        <v/>
      </c>
      <c r="AG750" s="10">
        <f>IF($A750="","",MAX(0,IFERROR(INDEX('2_IMPORTAR_EJECUCION'!$H$9:$H$1208,MATCH($AN750,'2_IMPORTAR_EJECUCION'!$J$9:$J$1208,0)),0)-$AF750))</f>
        <v/>
      </c>
      <c r="AH750" s="10">
        <f>IF($A750="","",$AF750+$AG750)</f>
        <v/>
      </c>
      <c r="AI750" s="6" t="n"/>
      <c r="AJ750" s="6" t="n"/>
      <c r="AK750" s="6" t="n"/>
      <c r="AL750" s="3">
        <f>IF($AK750="","",HYPERLINK(p_ruta_base_checklists&amp;$AK750,"abrir"))</f>
        <v/>
      </c>
      <c r="AM750" s="6" t="n"/>
      <c r="AN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1" t="n"/>
      <c r="K751" s="3" t="n"/>
      <c r="L751" s="10" t="n"/>
      <c r="M751" s="3">
        <f>IF($A751="","",IFERROR(INDEX('AJUSTES'!$B$4:$B$303,MATCH($AN751,'AJUSTES'!$A$4:$A$303,0)),IF($K751="","",$K751)))</f>
        <v/>
      </c>
      <c r="N751" s="3">
        <f>IF($A751="","",IFERROR(INDEX('CAT_ESTADOS_ERP'!$B$4:$B$7,MATCH(IFERROR(INDEX('2_IMPORTAR_EJECUCION'!$C$9:$C$1208,MATCH($AN751,'2_IMPORTAR_EJECUCION'!$J$9:$J$1208,0)),""),'CAT_ESTADOS_ERP'!$A$4:$A$7,0)),"Pendiente"))</f>
        <v/>
      </c>
      <c r="O751" s="3">
        <f>IF($J751="","",YEAR($J751+4-WEEKDAY($J751,2))&amp;"-S"&amp;TEXT(_xlfn.ISOWEEKNUM($J751),"00"))</f>
        <v/>
      </c>
      <c r="P751" s="3">
        <f>IF($J751="","",YEAR($J751))</f>
        <v/>
      </c>
      <c r="Q751" s="3">
        <f>IF($J751="","",MONTH($J751))</f>
        <v/>
      </c>
      <c r="R751" s="3">
        <f>IF($J751="","",INDEX(lista_dias,WEEKDAY($J751,2)))</f>
        <v/>
      </c>
      <c r="S751" s="3">
        <f>IF($I751="","",IFERROR(INDEX('CAT_TIPOS_OT'!$C$4:$C$7,MATCH($I751,'CAT_TIPOS_OT'!$A$4:$A$7,0)),"sin_clasificar"))</f>
        <v/>
      </c>
      <c r="T751" s="3">
        <f>IF($F751="","",IFERROR(INDEX('CAT_CENTROS_COSTO'!$E$4:$E$9,MATCH($F751,'CAT_CENTROS_COSTO'!$A$4:$A$9,0)),"(sin catálogo)"))</f>
        <v/>
      </c>
      <c r="U751" s="3">
        <f>IF($F751="","",IFERROR(INDEX('CAT_CENTROS_COSTO'!$D$4:$D$9,MATCH($F751,'CAT_CENTROS_COSTO'!$A$4:$A$9,0)),"(sin catálogo)"))</f>
        <v/>
      </c>
      <c r="V751" s="3">
        <f>IF($F751="","",IFERROR(INDEX('CAT_CENTROS_COSTO'!$F$4:$F$9,MATCH($F751,'CAT_CENTROS_COSTO'!$A$4:$A$9,0)),"(sin catálogo)"))</f>
        <v/>
      </c>
      <c r="W751" s="3">
        <f>IF($G751="","",IFERROR(INDEX('CAT_PUESTOS'!$B$4:$B$8,MATCH($G751,'CAT_PUESTOS'!$A$4:$A$8,0)),"(sin catálogo)"))</f>
        <v/>
      </c>
      <c r="X751" s="3">
        <f>IF($H751="","",IFERROR(INDEX('CAT_ACTIVIDADES'!$B$4:$B$8,MATCH($H751,'CAT_ACTIVIDADES'!$A$4:$A$8,0)),"(sin catálogo)"))</f>
        <v/>
      </c>
      <c r="Y751" s="12">
        <f>IF($J751="","",TODAY()-$J751)</f>
        <v/>
      </c>
      <c r="Z751" s="3">
        <f>IF($Y751="","",IF($Y751&lt;0,"FUTURO",IF($Y751&gt;p_dias_backlog_max,"BACKLOG","MES CORRIENTE")))</f>
        <v/>
      </c>
      <c r="AA751" s="3">
        <f>IF($Y751="",FALSE,AND($Y751&gt;p_dias_backlog_min,$Y751&lt;=p_dias_backlog_max))</f>
        <v/>
      </c>
      <c r="AB751" s="6" t="n"/>
      <c r="AC751" s="3">
        <f>IF($AB751="","",IFERROR(INDEX('ASIGNACIONES'!$F$4:$F$339,MATCH($O751&amp;"|"&amp;$R751&amp;"|"&amp;$AB751,'ASIGNACIONES'!$I$4:$I$339,0)),""))</f>
        <v/>
      </c>
      <c r="AD751" s="13">
        <f>IF($AB751="","",SUMIFS('ORDENES'!$M$4:$M$1203,'ORDENES'!$AB$4:$AB$1203,$AB751,'ORDENES'!$O$4:$O$1203,$O751,'ORDENES'!$R$4:$R$1203,$R751))</f>
        <v/>
      </c>
      <c r="AE751" s="13">
        <f>IF($AD751="","",p_factor_productividad*IFERROR(INDEX('ASIGNACIONES'!$H$4:$H$339,MATCH($O751&amp;"|"&amp;$R751&amp;"|"&amp;$AB751,'ASIGNACIONES'!$I$4:$I$339,0)),0)-$AD751)</f>
        <v/>
      </c>
      <c r="AF751" s="10">
        <f>IF($A751="","",IFERROR(INDEX('2_IMPORTAR_EJECUCION'!$F$9:$F$1208,MATCH($AN751,'2_IMPORTAR_EJECUCION'!$J$9:$J$1208,0)),0))</f>
        <v/>
      </c>
      <c r="AG751" s="10">
        <f>IF($A751="","",MAX(0,IFERROR(INDEX('2_IMPORTAR_EJECUCION'!$H$9:$H$1208,MATCH($AN751,'2_IMPORTAR_EJECUCION'!$J$9:$J$1208,0)),0)-$AF751))</f>
        <v/>
      </c>
      <c r="AH751" s="10">
        <f>IF($A751="","",$AF751+$AG751)</f>
        <v/>
      </c>
      <c r="AI751" s="6" t="n"/>
      <c r="AJ751" s="6" t="n"/>
      <c r="AK751" s="6" t="n"/>
      <c r="AL751" s="3">
        <f>IF($AK751="","",HYPERLINK(p_ruta_base_checklists&amp;$AK751,"abrir"))</f>
        <v/>
      </c>
      <c r="AM751" s="6" t="n"/>
      <c r="AN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1" t="n"/>
      <c r="K752" s="3" t="n"/>
      <c r="L752" s="10" t="n"/>
      <c r="M752" s="3">
        <f>IF($A752="","",IFERROR(INDEX('AJUSTES'!$B$4:$B$303,MATCH($AN752,'AJUSTES'!$A$4:$A$303,0)),IF($K752="","",$K752)))</f>
        <v/>
      </c>
      <c r="N752" s="3">
        <f>IF($A752="","",IFERROR(INDEX('CAT_ESTADOS_ERP'!$B$4:$B$7,MATCH(IFERROR(INDEX('2_IMPORTAR_EJECUCION'!$C$9:$C$1208,MATCH($AN752,'2_IMPORTAR_EJECUCION'!$J$9:$J$1208,0)),""),'CAT_ESTADOS_ERP'!$A$4:$A$7,0)),"Pendiente"))</f>
        <v/>
      </c>
      <c r="O752" s="3">
        <f>IF($J752="","",YEAR($J752+4-WEEKDAY($J752,2))&amp;"-S"&amp;TEXT(_xlfn.ISOWEEKNUM($J752),"00"))</f>
        <v/>
      </c>
      <c r="P752" s="3">
        <f>IF($J752="","",YEAR($J752))</f>
        <v/>
      </c>
      <c r="Q752" s="3">
        <f>IF($J752="","",MONTH($J752))</f>
        <v/>
      </c>
      <c r="R752" s="3">
        <f>IF($J752="","",INDEX(lista_dias,WEEKDAY($J752,2)))</f>
        <v/>
      </c>
      <c r="S752" s="3">
        <f>IF($I752="","",IFERROR(INDEX('CAT_TIPOS_OT'!$C$4:$C$7,MATCH($I752,'CAT_TIPOS_OT'!$A$4:$A$7,0)),"sin_clasificar"))</f>
        <v/>
      </c>
      <c r="T752" s="3">
        <f>IF($F752="","",IFERROR(INDEX('CAT_CENTROS_COSTO'!$E$4:$E$9,MATCH($F752,'CAT_CENTROS_COSTO'!$A$4:$A$9,0)),"(sin catálogo)"))</f>
        <v/>
      </c>
      <c r="U752" s="3">
        <f>IF($F752="","",IFERROR(INDEX('CAT_CENTROS_COSTO'!$D$4:$D$9,MATCH($F752,'CAT_CENTROS_COSTO'!$A$4:$A$9,0)),"(sin catálogo)"))</f>
        <v/>
      </c>
      <c r="V752" s="3">
        <f>IF($F752="","",IFERROR(INDEX('CAT_CENTROS_COSTO'!$F$4:$F$9,MATCH($F752,'CAT_CENTROS_COSTO'!$A$4:$A$9,0)),"(sin catálogo)"))</f>
        <v/>
      </c>
      <c r="W752" s="3">
        <f>IF($G752="","",IFERROR(INDEX('CAT_PUESTOS'!$B$4:$B$8,MATCH($G752,'CAT_PUESTOS'!$A$4:$A$8,0)),"(sin catálogo)"))</f>
        <v/>
      </c>
      <c r="X752" s="3">
        <f>IF($H752="","",IFERROR(INDEX('CAT_ACTIVIDADES'!$B$4:$B$8,MATCH($H752,'CAT_ACTIVIDADES'!$A$4:$A$8,0)),"(sin catálogo)"))</f>
        <v/>
      </c>
      <c r="Y752" s="12">
        <f>IF($J752="","",TODAY()-$J752)</f>
        <v/>
      </c>
      <c r="Z752" s="3">
        <f>IF($Y752="","",IF($Y752&lt;0,"FUTURO",IF($Y752&gt;p_dias_backlog_max,"BACKLOG","MES CORRIENTE")))</f>
        <v/>
      </c>
      <c r="AA752" s="3">
        <f>IF($Y752="",FALSE,AND($Y752&gt;p_dias_backlog_min,$Y752&lt;=p_dias_backlog_max))</f>
        <v/>
      </c>
      <c r="AB752" s="6" t="n"/>
      <c r="AC752" s="3">
        <f>IF($AB752="","",IFERROR(INDEX('ASIGNACIONES'!$F$4:$F$339,MATCH($O752&amp;"|"&amp;$R752&amp;"|"&amp;$AB752,'ASIGNACIONES'!$I$4:$I$339,0)),""))</f>
        <v/>
      </c>
      <c r="AD752" s="13">
        <f>IF($AB752="","",SUMIFS('ORDENES'!$M$4:$M$1203,'ORDENES'!$AB$4:$AB$1203,$AB752,'ORDENES'!$O$4:$O$1203,$O752,'ORDENES'!$R$4:$R$1203,$R752))</f>
        <v/>
      </c>
      <c r="AE752" s="13">
        <f>IF($AD752="","",p_factor_productividad*IFERROR(INDEX('ASIGNACIONES'!$H$4:$H$339,MATCH($O752&amp;"|"&amp;$R752&amp;"|"&amp;$AB752,'ASIGNACIONES'!$I$4:$I$339,0)),0)-$AD752)</f>
        <v/>
      </c>
      <c r="AF752" s="10">
        <f>IF($A752="","",IFERROR(INDEX('2_IMPORTAR_EJECUCION'!$F$9:$F$1208,MATCH($AN752,'2_IMPORTAR_EJECUCION'!$J$9:$J$1208,0)),0))</f>
        <v/>
      </c>
      <c r="AG752" s="10">
        <f>IF($A752="","",MAX(0,IFERROR(INDEX('2_IMPORTAR_EJECUCION'!$H$9:$H$1208,MATCH($AN752,'2_IMPORTAR_EJECUCION'!$J$9:$J$1208,0)),0)-$AF752))</f>
        <v/>
      </c>
      <c r="AH752" s="10">
        <f>IF($A752="","",$AF752+$AG752)</f>
        <v/>
      </c>
      <c r="AI752" s="6" t="n"/>
      <c r="AJ752" s="6" t="n"/>
      <c r="AK752" s="6" t="n"/>
      <c r="AL752" s="3">
        <f>IF($AK752="","",HYPERLINK(p_ruta_base_checklists&amp;$AK752,"abrir"))</f>
        <v/>
      </c>
      <c r="AM752" s="6" t="n"/>
      <c r="AN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1" t="n"/>
      <c r="K753" s="3" t="n"/>
      <c r="L753" s="10" t="n"/>
      <c r="M753" s="3">
        <f>IF($A753="","",IFERROR(INDEX('AJUSTES'!$B$4:$B$303,MATCH($AN753,'AJUSTES'!$A$4:$A$303,0)),IF($K753="","",$K753)))</f>
        <v/>
      </c>
      <c r="N753" s="3">
        <f>IF($A753="","",IFERROR(INDEX('CAT_ESTADOS_ERP'!$B$4:$B$7,MATCH(IFERROR(INDEX('2_IMPORTAR_EJECUCION'!$C$9:$C$1208,MATCH($AN753,'2_IMPORTAR_EJECUCION'!$J$9:$J$1208,0)),""),'CAT_ESTADOS_ERP'!$A$4:$A$7,0)),"Pendiente"))</f>
        <v/>
      </c>
      <c r="O753" s="3">
        <f>IF($J753="","",YEAR($J753+4-WEEKDAY($J753,2))&amp;"-S"&amp;TEXT(_xlfn.ISOWEEKNUM($J753),"00"))</f>
        <v/>
      </c>
      <c r="P753" s="3">
        <f>IF($J753="","",YEAR($J753))</f>
        <v/>
      </c>
      <c r="Q753" s="3">
        <f>IF($J753="","",MONTH($J753))</f>
        <v/>
      </c>
      <c r="R753" s="3">
        <f>IF($J753="","",INDEX(lista_dias,WEEKDAY($J753,2)))</f>
        <v/>
      </c>
      <c r="S753" s="3">
        <f>IF($I753="","",IFERROR(INDEX('CAT_TIPOS_OT'!$C$4:$C$7,MATCH($I753,'CAT_TIPOS_OT'!$A$4:$A$7,0)),"sin_clasificar"))</f>
        <v/>
      </c>
      <c r="T753" s="3">
        <f>IF($F753="","",IFERROR(INDEX('CAT_CENTROS_COSTO'!$E$4:$E$9,MATCH($F753,'CAT_CENTROS_COSTO'!$A$4:$A$9,0)),"(sin catálogo)"))</f>
        <v/>
      </c>
      <c r="U753" s="3">
        <f>IF($F753="","",IFERROR(INDEX('CAT_CENTROS_COSTO'!$D$4:$D$9,MATCH($F753,'CAT_CENTROS_COSTO'!$A$4:$A$9,0)),"(sin catálogo)"))</f>
        <v/>
      </c>
      <c r="V753" s="3">
        <f>IF($F753="","",IFERROR(INDEX('CAT_CENTROS_COSTO'!$F$4:$F$9,MATCH($F753,'CAT_CENTROS_COSTO'!$A$4:$A$9,0)),"(sin catálogo)"))</f>
        <v/>
      </c>
      <c r="W753" s="3">
        <f>IF($G753="","",IFERROR(INDEX('CAT_PUESTOS'!$B$4:$B$8,MATCH($G753,'CAT_PUESTOS'!$A$4:$A$8,0)),"(sin catálogo)"))</f>
        <v/>
      </c>
      <c r="X753" s="3">
        <f>IF($H753="","",IFERROR(INDEX('CAT_ACTIVIDADES'!$B$4:$B$8,MATCH($H753,'CAT_ACTIVIDADES'!$A$4:$A$8,0)),"(sin catálogo)"))</f>
        <v/>
      </c>
      <c r="Y753" s="12">
        <f>IF($J753="","",TODAY()-$J753)</f>
        <v/>
      </c>
      <c r="Z753" s="3">
        <f>IF($Y753="","",IF($Y753&lt;0,"FUTURO",IF($Y753&gt;p_dias_backlog_max,"BACKLOG","MES CORRIENTE")))</f>
        <v/>
      </c>
      <c r="AA753" s="3">
        <f>IF($Y753="",FALSE,AND($Y753&gt;p_dias_backlog_min,$Y753&lt;=p_dias_backlog_max))</f>
        <v/>
      </c>
      <c r="AB753" s="6" t="n"/>
      <c r="AC753" s="3">
        <f>IF($AB753="","",IFERROR(INDEX('ASIGNACIONES'!$F$4:$F$339,MATCH($O753&amp;"|"&amp;$R753&amp;"|"&amp;$AB753,'ASIGNACIONES'!$I$4:$I$339,0)),""))</f>
        <v/>
      </c>
      <c r="AD753" s="13">
        <f>IF($AB753="","",SUMIFS('ORDENES'!$M$4:$M$1203,'ORDENES'!$AB$4:$AB$1203,$AB753,'ORDENES'!$O$4:$O$1203,$O753,'ORDENES'!$R$4:$R$1203,$R753))</f>
        <v/>
      </c>
      <c r="AE753" s="13">
        <f>IF($AD753="","",p_factor_productividad*IFERROR(INDEX('ASIGNACIONES'!$H$4:$H$339,MATCH($O753&amp;"|"&amp;$R753&amp;"|"&amp;$AB753,'ASIGNACIONES'!$I$4:$I$339,0)),0)-$AD753)</f>
        <v/>
      </c>
      <c r="AF753" s="10">
        <f>IF($A753="","",IFERROR(INDEX('2_IMPORTAR_EJECUCION'!$F$9:$F$1208,MATCH($AN753,'2_IMPORTAR_EJECUCION'!$J$9:$J$1208,0)),0))</f>
        <v/>
      </c>
      <c r="AG753" s="10">
        <f>IF($A753="","",MAX(0,IFERROR(INDEX('2_IMPORTAR_EJECUCION'!$H$9:$H$1208,MATCH($AN753,'2_IMPORTAR_EJECUCION'!$J$9:$J$1208,0)),0)-$AF753))</f>
        <v/>
      </c>
      <c r="AH753" s="10">
        <f>IF($A753="","",$AF753+$AG753)</f>
        <v/>
      </c>
      <c r="AI753" s="6" t="n"/>
      <c r="AJ753" s="6" t="n"/>
      <c r="AK753" s="6" t="n"/>
      <c r="AL753" s="3">
        <f>IF($AK753="","",HYPERLINK(p_ruta_base_checklists&amp;$AK753,"abrir"))</f>
        <v/>
      </c>
      <c r="AM753" s="6" t="n"/>
      <c r="AN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1" t="n"/>
      <c r="K754" s="3" t="n"/>
      <c r="L754" s="10" t="n"/>
      <c r="M754" s="3">
        <f>IF($A754="","",IFERROR(INDEX('AJUSTES'!$B$4:$B$303,MATCH($AN754,'AJUSTES'!$A$4:$A$303,0)),IF($K754="","",$K754)))</f>
        <v/>
      </c>
      <c r="N754" s="3">
        <f>IF($A754="","",IFERROR(INDEX('CAT_ESTADOS_ERP'!$B$4:$B$7,MATCH(IFERROR(INDEX('2_IMPORTAR_EJECUCION'!$C$9:$C$1208,MATCH($AN754,'2_IMPORTAR_EJECUCION'!$J$9:$J$1208,0)),""),'CAT_ESTADOS_ERP'!$A$4:$A$7,0)),"Pendiente"))</f>
        <v/>
      </c>
      <c r="O754" s="3">
        <f>IF($J754="","",YEAR($J754+4-WEEKDAY($J754,2))&amp;"-S"&amp;TEXT(_xlfn.ISOWEEKNUM($J754),"00"))</f>
        <v/>
      </c>
      <c r="P754" s="3">
        <f>IF($J754="","",YEAR($J754))</f>
        <v/>
      </c>
      <c r="Q754" s="3">
        <f>IF($J754="","",MONTH($J754))</f>
        <v/>
      </c>
      <c r="R754" s="3">
        <f>IF($J754="","",INDEX(lista_dias,WEEKDAY($J754,2)))</f>
        <v/>
      </c>
      <c r="S754" s="3">
        <f>IF($I754="","",IFERROR(INDEX('CAT_TIPOS_OT'!$C$4:$C$7,MATCH($I754,'CAT_TIPOS_OT'!$A$4:$A$7,0)),"sin_clasificar"))</f>
        <v/>
      </c>
      <c r="T754" s="3">
        <f>IF($F754="","",IFERROR(INDEX('CAT_CENTROS_COSTO'!$E$4:$E$9,MATCH($F754,'CAT_CENTROS_COSTO'!$A$4:$A$9,0)),"(sin catálogo)"))</f>
        <v/>
      </c>
      <c r="U754" s="3">
        <f>IF($F754="","",IFERROR(INDEX('CAT_CENTROS_COSTO'!$D$4:$D$9,MATCH($F754,'CAT_CENTROS_COSTO'!$A$4:$A$9,0)),"(sin catálogo)"))</f>
        <v/>
      </c>
      <c r="V754" s="3">
        <f>IF($F754="","",IFERROR(INDEX('CAT_CENTROS_COSTO'!$F$4:$F$9,MATCH($F754,'CAT_CENTROS_COSTO'!$A$4:$A$9,0)),"(sin catálogo)"))</f>
        <v/>
      </c>
      <c r="W754" s="3">
        <f>IF($G754="","",IFERROR(INDEX('CAT_PUESTOS'!$B$4:$B$8,MATCH($G754,'CAT_PUESTOS'!$A$4:$A$8,0)),"(sin catálogo)"))</f>
        <v/>
      </c>
      <c r="X754" s="3">
        <f>IF($H754="","",IFERROR(INDEX('CAT_ACTIVIDADES'!$B$4:$B$8,MATCH($H754,'CAT_ACTIVIDADES'!$A$4:$A$8,0)),"(sin catálogo)"))</f>
        <v/>
      </c>
      <c r="Y754" s="12">
        <f>IF($J754="","",TODAY()-$J754)</f>
        <v/>
      </c>
      <c r="Z754" s="3">
        <f>IF($Y754="","",IF($Y754&lt;0,"FUTURO",IF($Y754&gt;p_dias_backlog_max,"BACKLOG","MES CORRIENTE")))</f>
        <v/>
      </c>
      <c r="AA754" s="3">
        <f>IF($Y754="",FALSE,AND($Y754&gt;p_dias_backlog_min,$Y754&lt;=p_dias_backlog_max))</f>
        <v/>
      </c>
      <c r="AB754" s="6" t="n"/>
      <c r="AC754" s="3">
        <f>IF($AB754="","",IFERROR(INDEX('ASIGNACIONES'!$F$4:$F$339,MATCH($O754&amp;"|"&amp;$R754&amp;"|"&amp;$AB754,'ASIGNACIONES'!$I$4:$I$339,0)),""))</f>
        <v/>
      </c>
      <c r="AD754" s="13">
        <f>IF($AB754="","",SUMIFS('ORDENES'!$M$4:$M$1203,'ORDENES'!$AB$4:$AB$1203,$AB754,'ORDENES'!$O$4:$O$1203,$O754,'ORDENES'!$R$4:$R$1203,$R754))</f>
        <v/>
      </c>
      <c r="AE754" s="13">
        <f>IF($AD754="","",p_factor_productividad*IFERROR(INDEX('ASIGNACIONES'!$H$4:$H$339,MATCH($O754&amp;"|"&amp;$R754&amp;"|"&amp;$AB754,'ASIGNACIONES'!$I$4:$I$339,0)),0)-$AD754)</f>
        <v/>
      </c>
      <c r="AF754" s="10">
        <f>IF($A754="","",IFERROR(INDEX('2_IMPORTAR_EJECUCION'!$F$9:$F$1208,MATCH($AN754,'2_IMPORTAR_EJECUCION'!$J$9:$J$1208,0)),0))</f>
        <v/>
      </c>
      <c r="AG754" s="10">
        <f>IF($A754="","",MAX(0,IFERROR(INDEX('2_IMPORTAR_EJECUCION'!$H$9:$H$1208,MATCH($AN754,'2_IMPORTAR_EJECUCION'!$J$9:$J$1208,0)),0)-$AF754))</f>
        <v/>
      </c>
      <c r="AH754" s="10">
        <f>IF($A754="","",$AF754+$AG754)</f>
        <v/>
      </c>
      <c r="AI754" s="6" t="n"/>
      <c r="AJ754" s="6" t="n"/>
      <c r="AK754" s="6" t="n"/>
      <c r="AL754" s="3">
        <f>IF($AK754="","",HYPERLINK(p_ruta_base_checklists&amp;$AK754,"abrir"))</f>
        <v/>
      </c>
      <c r="AM754" s="6" t="n"/>
      <c r="AN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1" t="n"/>
      <c r="K755" s="3" t="n"/>
      <c r="L755" s="10" t="n"/>
      <c r="M755" s="3">
        <f>IF($A755="","",IFERROR(INDEX('AJUSTES'!$B$4:$B$303,MATCH($AN755,'AJUSTES'!$A$4:$A$303,0)),IF($K755="","",$K755)))</f>
        <v/>
      </c>
      <c r="N755" s="3">
        <f>IF($A755="","",IFERROR(INDEX('CAT_ESTADOS_ERP'!$B$4:$B$7,MATCH(IFERROR(INDEX('2_IMPORTAR_EJECUCION'!$C$9:$C$1208,MATCH($AN755,'2_IMPORTAR_EJECUCION'!$J$9:$J$1208,0)),""),'CAT_ESTADOS_ERP'!$A$4:$A$7,0)),"Pendiente"))</f>
        <v/>
      </c>
      <c r="O755" s="3">
        <f>IF($J755="","",YEAR($J755+4-WEEKDAY($J755,2))&amp;"-S"&amp;TEXT(_xlfn.ISOWEEKNUM($J755),"00"))</f>
        <v/>
      </c>
      <c r="P755" s="3">
        <f>IF($J755="","",YEAR($J755))</f>
        <v/>
      </c>
      <c r="Q755" s="3">
        <f>IF($J755="","",MONTH($J755))</f>
        <v/>
      </c>
      <c r="R755" s="3">
        <f>IF($J755="","",INDEX(lista_dias,WEEKDAY($J755,2)))</f>
        <v/>
      </c>
      <c r="S755" s="3">
        <f>IF($I755="","",IFERROR(INDEX('CAT_TIPOS_OT'!$C$4:$C$7,MATCH($I755,'CAT_TIPOS_OT'!$A$4:$A$7,0)),"sin_clasificar"))</f>
        <v/>
      </c>
      <c r="T755" s="3">
        <f>IF($F755="","",IFERROR(INDEX('CAT_CENTROS_COSTO'!$E$4:$E$9,MATCH($F755,'CAT_CENTROS_COSTO'!$A$4:$A$9,0)),"(sin catálogo)"))</f>
        <v/>
      </c>
      <c r="U755" s="3">
        <f>IF($F755="","",IFERROR(INDEX('CAT_CENTROS_COSTO'!$D$4:$D$9,MATCH($F755,'CAT_CENTROS_COSTO'!$A$4:$A$9,0)),"(sin catálogo)"))</f>
        <v/>
      </c>
      <c r="V755" s="3">
        <f>IF($F755="","",IFERROR(INDEX('CAT_CENTROS_COSTO'!$F$4:$F$9,MATCH($F755,'CAT_CENTROS_COSTO'!$A$4:$A$9,0)),"(sin catálogo)"))</f>
        <v/>
      </c>
      <c r="W755" s="3">
        <f>IF($G755="","",IFERROR(INDEX('CAT_PUESTOS'!$B$4:$B$8,MATCH($G755,'CAT_PUESTOS'!$A$4:$A$8,0)),"(sin catálogo)"))</f>
        <v/>
      </c>
      <c r="X755" s="3">
        <f>IF($H755="","",IFERROR(INDEX('CAT_ACTIVIDADES'!$B$4:$B$8,MATCH($H755,'CAT_ACTIVIDADES'!$A$4:$A$8,0)),"(sin catálogo)"))</f>
        <v/>
      </c>
      <c r="Y755" s="12">
        <f>IF($J755="","",TODAY()-$J755)</f>
        <v/>
      </c>
      <c r="Z755" s="3">
        <f>IF($Y755="","",IF($Y755&lt;0,"FUTURO",IF($Y755&gt;p_dias_backlog_max,"BACKLOG","MES CORRIENTE")))</f>
        <v/>
      </c>
      <c r="AA755" s="3">
        <f>IF($Y755="",FALSE,AND($Y755&gt;p_dias_backlog_min,$Y755&lt;=p_dias_backlog_max))</f>
        <v/>
      </c>
      <c r="AB755" s="6" t="n"/>
      <c r="AC755" s="3">
        <f>IF($AB755="","",IFERROR(INDEX('ASIGNACIONES'!$F$4:$F$339,MATCH($O755&amp;"|"&amp;$R755&amp;"|"&amp;$AB755,'ASIGNACIONES'!$I$4:$I$339,0)),""))</f>
        <v/>
      </c>
      <c r="AD755" s="13">
        <f>IF($AB755="","",SUMIFS('ORDENES'!$M$4:$M$1203,'ORDENES'!$AB$4:$AB$1203,$AB755,'ORDENES'!$O$4:$O$1203,$O755,'ORDENES'!$R$4:$R$1203,$R755))</f>
        <v/>
      </c>
      <c r="AE755" s="13">
        <f>IF($AD755="","",p_factor_productividad*IFERROR(INDEX('ASIGNACIONES'!$H$4:$H$339,MATCH($O755&amp;"|"&amp;$R755&amp;"|"&amp;$AB755,'ASIGNACIONES'!$I$4:$I$339,0)),0)-$AD755)</f>
        <v/>
      </c>
      <c r="AF755" s="10">
        <f>IF($A755="","",IFERROR(INDEX('2_IMPORTAR_EJECUCION'!$F$9:$F$1208,MATCH($AN755,'2_IMPORTAR_EJECUCION'!$J$9:$J$1208,0)),0))</f>
        <v/>
      </c>
      <c r="AG755" s="10">
        <f>IF($A755="","",MAX(0,IFERROR(INDEX('2_IMPORTAR_EJECUCION'!$H$9:$H$1208,MATCH($AN755,'2_IMPORTAR_EJECUCION'!$J$9:$J$1208,0)),0)-$AF755))</f>
        <v/>
      </c>
      <c r="AH755" s="10">
        <f>IF($A755="","",$AF755+$AG755)</f>
        <v/>
      </c>
      <c r="AI755" s="6" t="n"/>
      <c r="AJ755" s="6" t="n"/>
      <c r="AK755" s="6" t="n"/>
      <c r="AL755" s="3">
        <f>IF($AK755="","",HYPERLINK(p_ruta_base_checklists&amp;$AK755,"abrir"))</f>
        <v/>
      </c>
      <c r="AM755" s="6" t="n"/>
      <c r="AN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1" t="n"/>
      <c r="K756" s="3" t="n"/>
      <c r="L756" s="10" t="n"/>
      <c r="M756" s="3">
        <f>IF($A756="","",IFERROR(INDEX('AJUSTES'!$B$4:$B$303,MATCH($AN756,'AJUSTES'!$A$4:$A$303,0)),IF($K756="","",$K756)))</f>
        <v/>
      </c>
      <c r="N756" s="3">
        <f>IF($A756="","",IFERROR(INDEX('CAT_ESTADOS_ERP'!$B$4:$B$7,MATCH(IFERROR(INDEX('2_IMPORTAR_EJECUCION'!$C$9:$C$1208,MATCH($AN756,'2_IMPORTAR_EJECUCION'!$J$9:$J$1208,0)),""),'CAT_ESTADOS_ERP'!$A$4:$A$7,0)),"Pendiente"))</f>
        <v/>
      </c>
      <c r="O756" s="3">
        <f>IF($J756="","",YEAR($J756+4-WEEKDAY($J756,2))&amp;"-S"&amp;TEXT(_xlfn.ISOWEEKNUM($J756),"00"))</f>
        <v/>
      </c>
      <c r="P756" s="3">
        <f>IF($J756="","",YEAR($J756))</f>
        <v/>
      </c>
      <c r="Q756" s="3">
        <f>IF($J756="","",MONTH($J756))</f>
        <v/>
      </c>
      <c r="R756" s="3">
        <f>IF($J756="","",INDEX(lista_dias,WEEKDAY($J756,2)))</f>
        <v/>
      </c>
      <c r="S756" s="3">
        <f>IF($I756="","",IFERROR(INDEX('CAT_TIPOS_OT'!$C$4:$C$7,MATCH($I756,'CAT_TIPOS_OT'!$A$4:$A$7,0)),"sin_clasificar"))</f>
        <v/>
      </c>
      <c r="T756" s="3">
        <f>IF($F756="","",IFERROR(INDEX('CAT_CENTROS_COSTO'!$E$4:$E$9,MATCH($F756,'CAT_CENTROS_COSTO'!$A$4:$A$9,0)),"(sin catálogo)"))</f>
        <v/>
      </c>
      <c r="U756" s="3">
        <f>IF($F756="","",IFERROR(INDEX('CAT_CENTROS_COSTO'!$D$4:$D$9,MATCH($F756,'CAT_CENTROS_COSTO'!$A$4:$A$9,0)),"(sin catálogo)"))</f>
        <v/>
      </c>
      <c r="V756" s="3">
        <f>IF($F756="","",IFERROR(INDEX('CAT_CENTROS_COSTO'!$F$4:$F$9,MATCH($F756,'CAT_CENTROS_COSTO'!$A$4:$A$9,0)),"(sin catálogo)"))</f>
        <v/>
      </c>
      <c r="W756" s="3">
        <f>IF($G756="","",IFERROR(INDEX('CAT_PUESTOS'!$B$4:$B$8,MATCH($G756,'CAT_PUESTOS'!$A$4:$A$8,0)),"(sin catálogo)"))</f>
        <v/>
      </c>
      <c r="X756" s="3">
        <f>IF($H756="","",IFERROR(INDEX('CAT_ACTIVIDADES'!$B$4:$B$8,MATCH($H756,'CAT_ACTIVIDADES'!$A$4:$A$8,0)),"(sin catálogo)"))</f>
        <v/>
      </c>
      <c r="Y756" s="12">
        <f>IF($J756="","",TODAY()-$J756)</f>
        <v/>
      </c>
      <c r="Z756" s="3">
        <f>IF($Y756="","",IF($Y756&lt;0,"FUTURO",IF($Y756&gt;p_dias_backlog_max,"BACKLOG","MES CORRIENTE")))</f>
        <v/>
      </c>
      <c r="AA756" s="3">
        <f>IF($Y756="",FALSE,AND($Y756&gt;p_dias_backlog_min,$Y756&lt;=p_dias_backlog_max))</f>
        <v/>
      </c>
      <c r="AB756" s="6" t="n"/>
      <c r="AC756" s="3">
        <f>IF($AB756="","",IFERROR(INDEX('ASIGNACIONES'!$F$4:$F$339,MATCH($O756&amp;"|"&amp;$R756&amp;"|"&amp;$AB756,'ASIGNACIONES'!$I$4:$I$339,0)),""))</f>
        <v/>
      </c>
      <c r="AD756" s="13">
        <f>IF($AB756="","",SUMIFS('ORDENES'!$M$4:$M$1203,'ORDENES'!$AB$4:$AB$1203,$AB756,'ORDENES'!$O$4:$O$1203,$O756,'ORDENES'!$R$4:$R$1203,$R756))</f>
        <v/>
      </c>
      <c r="AE756" s="13">
        <f>IF($AD756="","",p_factor_productividad*IFERROR(INDEX('ASIGNACIONES'!$H$4:$H$339,MATCH($O756&amp;"|"&amp;$R756&amp;"|"&amp;$AB756,'ASIGNACIONES'!$I$4:$I$339,0)),0)-$AD756)</f>
        <v/>
      </c>
      <c r="AF756" s="10">
        <f>IF($A756="","",IFERROR(INDEX('2_IMPORTAR_EJECUCION'!$F$9:$F$1208,MATCH($AN756,'2_IMPORTAR_EJECUCION'!$J$9:$J$1208,0)),0))</f>
        <v/>
      </c>
      <c r="AG756" s="10">
        <f>IF($A756="","",MAX(0,IFERROR(INDEX('2_IMPORTAR_EJECUCION'!$H$9:$H$1208,MATCH($AN756,'2_IMPORTAR_EJECUCION'!$J$9:$J$1208,0)),0)-$AF756))</f>
        <v/>
      </c>
      <c r="AH756" s="10">
        <f>IF($A756="","",$AF756+$AG756)</f>
        <v/>
      </c>
      <c r="AI756" s="6" t="n"/>
      <c r="AJ756" s="6" t="n"/>
      <c r="AK756" s="6" t="n"/>
      <c r="AL756" s="3">
        <f>IF($AK756="","",HYPERLINK(p_ruta_base_checklists&amp;$AK756,"abrir"))</f>
        <v/>
      </c>
      <c r="AM756" s="6" t="n"/>
      <c r="AN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1" t="n"/>
      <c r="K757" s="3" t="n"/>
      <c r="L757" s="10" t="n"/>
      <c r="M757" s="3">
        <f>IF($A757="","",IFERROR(INDEX('AJUSTES'!$B$4:$B$303,MATCH($AN757,'AJUSTES'!$A$4:$A$303,0)),IF($K757="","",$K757)))</f>
        <v/>
      </c>
      <c r="N757" s="3">
        <f>IF($A757="","",IFERROR(INDEX('CAT_ESTADOS_ERP'!$B$4:$B$7,MATCH(IFERROR(INDEX('2_IMPORTAR_EJECUCION'!$C$9:$C$1208,MATCH($AN757,'2_IMPORTAR_EJECUCION'!$J$9:$J$1208,0)),""),'CAT_ESTADOS_ERP'!$A$4:$A$7,0)),"Pendiente"))</f>
        <v/>
      </c>
      <c r="O757" s="3">
        <f>IF($J757="","",YEAR($J757+4-WEEKDAY($J757,2))&amp;"-S"&amp;TEXT(_xlfn.ISOWEEKNUM($J757),"00"))</f>
        <v/>
      </c>
      <c r="P757" s="3">
        <f>IF($J757="","",YEAR($J757))</f>
        <v/>
      </c>
      <c r="Q757" s="3">
        <f>IF($J757="","",MONTH($J757))</f>
        <v/>
      </c>
      <c r="R757" s="3">
        <f>IF($J757="","",INDEX(lista_dias,WEEKDAY($J757,2)))</f>
        <v/>
      </c>
      <c r="S757" s="3">
        <f>IF($I757="","",IFERROR(INDEX('CAT_TIPOS_OT'!$C$4:$C$7,MATCH($I757,'CAT_TIPOS_OT'!$A$4:$A$7,0)),"sin_clasificar"))</f>
        <v/>
      </c>
      <c r="T757" s="3">
        <f>IF($F757="","",IFERROR(INDEX('CAT_CENTROS_COSTO'!$E$4:$E$9,MATCH($F757,'CAT_CENTROS_COSTO'!$A$4:$A$9,0)),"(sin catálogo)"))</f>
        <v/>
      </c>
      <c r="U757" s="3">
        <f>IF($F757="","",IFERROR(INDEX('CAT_CENTROS_COSTO'!$D$4:$D$9,MATCH($F757,'CAT_CENTROS_COSTO'!$A$4:$A$9,0)),"(sin catálogo)"))</f>
        <v/>
      </c>
      <c r="V757" s="3">
        <f>IF($F757="","",IFERROR(INDEX('CAT_CENTROS_COSTO'!$F$4:$F$9,MATCH($F757,'CAT_CENTROS_COSTO'!$A$4:$A$9,0)),"(sin catálogo)"))</f>
        <v/>
      </c>
      <c r="W757" s="3">
        <f>IF($G757="","",IFERROR(INDEX('CAT_PUESTOS'!$B$4:$B$8,MATCH($G757,'CAT_PUESTOS'!$A$4:$A$8,0)),"(sin catálogo)"))</f>
        <v/>
      </c>
      <c r="X757" s="3">
        <f>IF($H757="","",IFERROR(INDEX('CAT_ACTIVIDADES'!$B$4:$B$8,MATCH($H757,'CAT_ACTIVIDADES'!$A$4:$A$8,0)),"(sin catálogo)"))</f>
        <v/>
      </c>
      <c r="Y757" s="12">
        <f>IF($J757="","",TODAY()-$J757)</f>
        <v/>
      </c>
      <c r="Z757" s="3">
        <f>IF($Y757="","",IF($Y757&lt;0,"FUTURO",IF($Y757&gt;p_dias_backlog_max,"BACKLOG","MES CORRIENTE")))</f>
        <v/>
      </c>
      <c r="AA757" s="3">
        <f>IF($Y757="",FALSE,AND($Y757&gt;p_dias_backlog_min,$Y757&lt;=p_dias_backlog_max))</f>
        <v/>
      </c>
      <c r="AB757" s="6" t="n"/>
      <c r="AC757" s="3">
        <f>IF($AB757="","",IFERROR(INDEX('ASIGNACIONES'!$F$4:$F$339,MATCH($O757&amp;"|"&amp;$R757&amp;"|"&amp;$AB757,'ASIGNACIONES'!$I$4:$I$339,0)),""))</f>
        <v/>
      </c>
      <c r="AD757" s="13">
        <f>IF($AB757="","",SUMIFS('ORDENES'!$M$4:$M$1203,'ORDENES'!$AB$4:$AB$1203,$AB757,'ORDENES'!$O$4:$O$1203,$O757,'ORDENES'!$R$4:$R$1203,$R757))</f>
        <v/>
      </c>
      <c r="AE757" s="13">
        <f>IF($AD757="","",p_factor_productividad*IFERROR(INDEX('ASIGNACIONES'!$H$4:$H$339,MATCH($O757&amp;"|"&amp;$R757&amp;"|"&amp;$AB757,'ASIGNACIONES'!$I$4:$I$339,0)),0)-$AD757)</f>
        <v/>
      </c>
      <c r="AF757" s="10">
        <f>IF($A757="","",IFERROR(INDEX('2_IMPORTAR_EJECUCION'!$F$9:$F$1208,MATCH($AN757,'2_IMPORTAR_EJECUCION'!$J$9:$J$1208,0)),0))</f>
        <v/>
      </c>
      <c r="AG757" s="10">
        <f>IF($A757="","",MAX(0,IFERROR(INDEX('2_IMPORTAR_EJECUCION'!$H$9:$H$1208,MATCH($AN757,'2_IMPORTAR_EJECUCION'!$J$9:$J$1208,0)),0)-$AF757))</f>
        <v/>
      </c>
      <c r="AH757" s="10">
        <f>IF($A757="","",$AF757+$AG757)</f>
        <v/>
      </c>
      <c r="AI757" s="6" t="n"/>
      <c r="AJ757" s="6" t="n"/>
      <c r="AK757" s="6" t="n"/>
      <c r="AL757" s="3">
        <f>IF($AK757="","",HYPERLINK(p_ruta_base_checklists&amp;$AK757,"abrir"))</f>
        <v/>
      </c>
      <c r="AM757" s="6" t="n"/>
      <c r="AN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1" t="n"/>
      <c r="K758" s="3" t="n"/>
      <c r="L758" s="10" t="n"/>
      <c r="M758" s="3">
        <f>IF($A758="","",IFERROR(INDEX('AJUSTES'!$B$4:$B$303,MATCH($AN758,'AJUSTES'!$A$4:$A$303,0)),IF($K758="","",$K758)))</f>
        <v/>
      </c>
      <c r="N758" s="3">
        <f>IF($A758="","",IFERROR(INDEX('CAT_ESTADOS_ERP'!$B$4:$B$7,MATCH(IFERROR(INDEX('2_IMPORTAR_EJECUCION'!$C$9:$C$1208,MATCH($AN758,'2_IMPORTAR_EJECUCION'!$J$9:$J$1208,0)),""),'CAT_ESTADOS_ERP'!$A$4:$A$7,0)),"Pendiente"))</f>
        <v/>
      </c>
      <c r="O758" s="3">
        <f>IF($J758="","",YEAR($J758+4-WEEKDAY($J758,2))&amp;"-S"&amp;TEXT(_xlfn.ISOWEEKNUM($J758),"00"))</f>
        <v/>
      </c>
      <c r="P758" s="3">
        <f>IF($J758="","",YEAR($J758))</f>
        <v/>
      </c>
      <c r="Q758" s="3">
        <f>IF($J758="","",MONTH($J758))</f>
        <v/>
      </c>
      <c r="R758" s="3">
        <f>IF($J758="","",INDEX(lista_dias,WEEKDAY($J758,2)))</f>
        <v/>
      </c>
      <c r="S758" s="3">
        <f>IF($I758="","",IFERROR(INDEX('CAT_TIPOS_OT'!$C$4:$C$7,MATCH($I758,'CAT_TIPOS_OT'!$A$4:$A$7,0)),"sin_clasificar"))</f>
        <v/>
      </c>
      <c r="T758" s="3">
        <f>IF($F758="","",IFERROR(INDEX('CAT_CENTROS_COSTO'!$E$4:$E$9,MATCH($F758,'CAT_CENTROS_COSTO'!$A$4:$A$9,0)),"(sin catálogo)"))</f>
        <v/>
      </c>
      <c r="U758" s="3">
        <f>IF($F758="","",IFERROR(INDEX('CAT_CENTROS_COSTO'!$D$4:$D$9,MATCH($F758,'CAT_CENTROS_COSTO'!$A$4:$A$9,0)),"(sin catálogo)"))</f>
        <v/>
      </c>
      <c r="V758" s="3">
        <f>IF($F758="","",IFERROR(INDEX('CAT_CENTROS_COSTO'!$F$4:$F$9,MATCH($F758,'CAT_CENTROS_COSTO'!$A$4:$A$9,0)),"(sin catálogo)"))</f>
        <v/>
      </c>
      <c r="W758" s="3">
        <f>IF($G758="","",IFERROR(INDEX('CAT_PUESTOS'!$B$4:$B$8,MATCH($G758,'CAT_PUESTOS'!$A$4:$A$8,0)),"(sin catálogo)"))</f>
        <v/>
      </c>
      <c r="X758" s="3">
        <f>IF($H758="","",IFERROR(INDEX('CAT_ACTIVIDADES'!$B$4:$B$8,MATCH($H758,'CAT_ACTIVIDADES'!$A$4:$A$8,0)),"(sin catálogo)"))</f>
        <v/>
      </c>
      <c r="Y758" s="12">
        <f>IF($J758="","",TODAY()-$J758)</f>
        <v/>
      </c>
      <c r="Z758" s="3">
        <f>IF($Y758="","",IF($Y758&lt;0,"FUTURO",IF($Y758&gt;p_dias_backlog_max,"BACKLOG","MES CORRIENTE")))</f>
        <v/>
      </c>
      <c r="AA758" s="3">
        <f>IF($Y758="",FALSE,AND($Y758&gt;p_dias_backlog_min,$Y758&lt;=p_dias_backlog_max))</f>
        <v/>
      </c>
      <c r="AB758" s="6" t="n"/>
      <c r="AC758" s="3">
        <f>IF($AB758="","",IFERROR(INDEX('ASIGNACIONES'!$F$4:$F$339,MATCH($O758&amp;"|"&amp;$R758&amp;"|"&amp;$AB758,'ASIGNACIONES'!$I$4:$I$339,0)),""))</f>
        <v/>
      </c>
      <c r="AD758" s="13">
        <f>IF($AB758="","",SUMIFS('ORDENES'!$M$4:$M$1203,'ORDENES'!$AB$4:$AB$1203,$AB758,'ORDENES'!$O$4:$O$1203,$O758,'ORDENES'!$R$4:$R$1203,$R758))</f>
        <v/>
      </c>
      <c r="AE758" s="13">
        <f>IF($AD758="","",p_factor_productividad*IFERROR(INDEX('ASIGNACIONES'!$H$4:$H$339,MATCH($O758&amp;"|"&amp;$R758&amp;"|"&amp;$AB758,'ASIGNACIONES'!$I$4:$I$339,0)),0)-$AD758)</f>
        <v/>
      </c>
      <c r="AF758" s="10">
        <f>IF($A758="","",IFERROR(INDEX('2_IMPORTAR_EJECUCION'!$F$9:$F$1208,MATCH($AN758,'2_IMPORTAR_EJECUCION'!$J$9:$J$1208,0)),0))</f>
        <v/>
      </c>
      <c r="AG758" s="10">
        <f>IF($A758="","",MAX(0,IFERROR(INDEX('2_IMPORTAR_EJECUCION'!$H$9:$H$1208,MATCH($AN758,'2_IMPORTAR_EJECUCION'!$J$9:$J$1208,0)),0)-$AF758))</f>
        <v/>
      </c>
      <c r="AH758" s="10">
        <f>IF($A758="","",$AF758+$AG758)</f>
        <v/>
      </c>
      <c r="AI758" s="6" t="n"/>
      <c r="AJ758" s="6" t="n"/>
      <c r="AK758" s="6" t="n"/>
      <c r="AL758" s="3">
        <f>IF($AK758="","",HYPERLINK(p_ruta_base_checklists&amp;$AK758,"abrir"))</f>
        <v/>
      </c>
      <c r="AM758" s="6" t="n"/>
      <c r="AN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1" t="n"/>
      <c r="K759" s="3" t="n"/>
      <c r="L759" s="10" t="n"/>
      <c r="M759" s="3">
        <f>IF($A759="","",IFERROR(INDEX('AJUSTES'!$B$4:$B$303,MATCH($AN759,'AJUSTES'!$A$4:$A$303,0)),IF($K759="","",$K759)))</f>
        <v/>
      </c>
      <c r="N759" s="3">
        <f>IF($A759="","",IFERROR(INDEX('CAT_ESTADOS_ERP'!$B$4:$B$7,MATCH(IFERROR(INDEX('2_IMPORTAR_EJECUCION'!$C$9:$C$1208,MATCH($AN759,'2_IMPORTAR_EJECUCION'!$J$9:$J$1208,0)),""),'CAT_ESTADOS_ERP'!$A$4:$A$7,0)),"Pendiente"))</f>
        <v/>
      </c>
      <c r="O759" s="3">
        <f>IF($J759="","",YEAR($J759+4-WEEKDAY($J759,2))&amp;"-S"&amp;TEXT(_xlfn.ISOWEEKNUM($J759),"00"))</f>
        <v/>
      </c>
      <c r="P759" s="3">
        <f>IF($J759="","",YEAR($J759))</f>
        <v/>
      </c>
      <c r="Q759" s="3">
        <f>IF($J759="","",MONTH($J759))</f>
        <v/>
      </c>
      <c r="R759" s="3">
        <f>IF($J759="","",INDEX(lista_dias,WEEKDAY($J759,2)))</f>
        <v/>
      </c>
      <c r="S759" s="3">
        <f>IF($I759="","",IFERROR(INDEX('CAT_TIPOS_OT'!$C$4:$C$7,MATCH($I759,'CAT_TIPOS_OT'!$A$4:$A$7,0)),"sin_clasificar"))</f>
        <v/>
      </c>
      <c r="T759" s="3">
        <f>IF($F759="","",IFERROR(INDEX('CAT_CENTROS_COSTO'!$E$4:$E$9,MATCH($F759,'CAT_CENTROS_COSTO'!$A$4:$A$9,0)),"(sin catálogo)"))</f>
        <v/>
      </c>
      <c r="U759" s="3">
        <f>IF($F759="","",IFERROR(INDEX('CAT_CENTROS_COSTO'!$D$4:$D$9,MATCH($F759,'CAT_CENTROS_COSTO'!$A$4:$A$9,0)),"(sin catálogo)"))</f>
        <v/>
      </c>
      <c r="V759" s="3">
        <f>IF($F759="","",IFERROR(INDEX('CAT_CENTROS_COSTO'!$F$4:$F$9,MATCH($F759,'CAT_CENTROS_COSTO'!$A$4:$A$9,0)),"(sin catálogo)"))</f>
        <v/>
      </c>
      <c r="W759" s="3">
        <f>IF($G759="","",IFERROR(INDEX('CAT_PUESTOS'!$B$4:$B$8,MATCH($G759,'CAT_PUESTOS'!$A$4:$A$8,0)),"(sin catálogo)"))</f>
        <v/>
      </c>
      <c r="X759" s="3">
        <f>IF($H759="","",IFERROR(INDEX('CAT_ACTIVIDADES'!$B$4:$B$8,MATCH($H759,'CAT_ACTIVIDADES'!$A$4:$A$8,0)),"(sin catálogo)"))</f>
        <v/>
      </c>
      <c r="Y759" s="12">
        <f>IF($J759="","",TODAY()-$J759)</f>
        <v/>
      </c>
      <c r="Z759" s="3">
        <f>IF($Y759="","",IF($Y759&lt;0,"FUTURO",IF($Y759&gt;p_dias_backlog_max,"BACKLOG","MES CORRIENTE")))</f>
        <v/>
      </c>
      <c r="AA759" s="3">
        <f>IF($Y759="",FALSE,AND($Y759&gt;p_dias_backlog_min,$Y759&lt;=p_dias_backlog_max))</f>
        <v/>
      </c>
      <c r="AB759" s="6" t="n"/>
      <c r="AC759" s="3">
        <f>IF($AB759="","",IFERROR(INDEX('ASIGNACIONES'!$F$4:$F$339,MATCH($O759&amp;"|"&amp;$R759&amp;"|"&amp;$AB759,'ASIGNACIONES'!$I$4:$I$339,0)),""))</f>
        <v/>
      </c>
      <c r="AD759" s="13">
        <f>IF($AB759="","",SUMIFS('ORDENES'!$M$4:$M$1203,'ORDENES'!$AB$4:$AB$1203,$AB759,'ORDENES'!$O$4:$O$1203,$O759,'ORDENES'!$R$4:$R$1203,$R759))</f>
        <v/>
      </c>
      <c r="AE759" s="13">
        <f>IF($AD759="","",p_factor_productividad*IFERROR(INDEX('ASIGNACIONES'!$H$4:$H$339,MATCH($O759&amp;"|"&amp;$R759&amp;"|"&amp;$AB759,'ASIGNACIONES'!$I$4:$I$339,0)),0)-$AD759)</f>
        <v/>
      </c>
      <c r="AF759" s="10">
        <f>IF($A759="","",IFERROR(INDEX('2_IMPORTAR_EJECUCION'!$F$9:$F$1208,MATCH($AN759,'2_IMPORTAR_EJECUCION'!$J$9:$J$1208,0)),0))</f>
        <v/>
      </c>
      <c r="AG759" s="10">
        <f>IF($A759="","",MAX(0,IFERROR(INDEX('2_IMPORTAR_EJECUCION'!$H$9:$H$1208,MATCH($AN759,'2_IMPORTAR_EJECUCION'!$J$9:$J$1208,0)),0)-$AF759))</f>
        <v/>
      </c>
      <c r="AH759" s="10">
        <f>IF($A759="","",$AF759+$AG759)</f>
        <v/>
      </c>
      <c r="AI759" s="6" t="n"/>
      <c r="AJ759" s="6" t="n"/>
      <c r="AK759" s="6" t="n"/>
      <c r="AL759" s="3">
        <f>IF($AK759="","",HYPERLINK(p_ruta_base_checklists&amp;$AK759,"abrir"))</f>
        <v/>
      </c>
      <c r="AM759" s="6" t="n"/>
      <c r="AN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1" t="n"/>
      <c r="K760" s="3" t="n"/>
      <c r="L760" s="10" t="n"/>
      <c r="M760" s="3">
        <f>IF($A760="","",IFERROR(INDEX('AJUSTES'!$B$4:$B$303,MATCH($AN760,'AJUSTES'!$A$4:$A$303,0)),IF($K760="","",$K760)))</f>
        <v/>
      </c>
      <c r="N760" s="3">
        <f>IF($A760="","",IFERROR(INDEX('CAT_ESTADOS_ERP'!$B$4:$B$7,MATCH(IFERROR(INDEX('2_IMPORTAR_EJECUCION'!$C$9:$C$1208,MATCH($AN760,'2_IMPORTAR_EJECUCION'!$J$9:$J$1208,0)),""),'CAT_ESTADOS_ERP'!$A$4:$A$7,0)),"Pendiente"))</f>
        <v/>
      </c>
      <c r="O760" s="3">
        <f>IF($J760="","",YEAR($J760+4-WEEKDAY($J760,2))&amp;"-S"&amp;TEXT(_xlfn.ISOWEEKNUM($J760),"00"))</f>
        <v/>
      </c>
      <c r="P760" s="3">
        <f>IF($J760="","",YEAR($J760))</f>
        <v/>
      </c>
      <c r="Q760" s="3">
        <f>IF($J760="","",MONTH($J760))</f>
        <v/>
      </c>
      <c r="R760" s="3">
        <f>IF($J760="","",INDEX(lista_dias,WEEKDAY($J760,2)))</f>
        <v/>
      </c>
      <c r="S760" s="3">
        <f>IF($I760="","",IFERROR(INDEX('CAT_TIPOS_OT'!$C$4:$C$7,MATCH($I760,'CAT_TIPOS_OT'!$A$4:$A$7,0)),"sin_clasificar"))</f>
        <v/>
      </c>
      <c r="T760" s="3">
        <f>IF($F760="","",IFERROR(INDEX('CAT_CENTROS_COSTO'!$E$4:$E$9,MATCH($F760,'CAT_CENTROS_COSTO'!$A$4:$A$9,0)),"(sin catálogo)"))</f>
        <v/>
      </c>
      <c r="U760" s="3">
        <f>IF($F760="","",IFERROR(INDEX('CAT_CENTROS_COSTO'!$D$4:$D$9,MATCH($F760,'CAT_CENTROS_COSTO'!$A$4:$A$9,0)),"(sin catálogo)"))</f>
        <v/>
      </c>
      <c r="V760" s="3">
        <f>IF($F760="","",IFERROR(INDEX('CAT_CENTROS_COSTO'!$F$4:$F$9,MATCH($F760,'CAT_CENTROS_COSTO'!$A$4:$A$9,0)),"(sin catálogo)"))</f>
        <v/>
      </c>
      <c r="W760" s="3">
        <f>IF($G760="","",IFERROR(INDEX('CAT_PUESTOS'!$B$4:$B$8,MATCH($G760,'CAT_PUESTOS'!$A$4:$A$8,0)),"(sin catálogo)"))</f>
        <v/>
      </c>
      <c r="X760" s="3">
        <f>IF($H760="","",IFERROR(INDEX('CAT_ACTIVIDADES'!$B$4:$B$8,MATCH($H760,'CAT_ACTIVIDADES'!$A$4:$A$8,0)),"(sin catálogo)"))</f>
        <v/>
      </c>
      <c r="Y760" s="12">
        <f>IF($J760="","",TODAY()-$J760)</f>
        <v/>
      </c>
      <c r="Z760" s="3">
        <f>IF($Y760="","",IF($Y760&lt;0,"FUTURO",IF($Y760&gt;p_dias_backlog_max,"BACKLOG","MES CORRIENTE")))</f>
        <v/>
      </c>
      <c r="AA760" s="3">
        <f>IF($Y760="",FALSE,AND($Y760&gt;p_dias_backlog_min,$Y760&lt;=p_dias_backlog_max))</f>
        <v/>
      </c>
      <c r="AB760" s="6" t="n"/>
      <c r="AC760" s="3">
        <f>IF($AB760="","",IFERROR(INDEX('ASIGNACIONES'!$F$4:$F$339,MATCH($O760&amp;"|"&amp;$R760&amp;"|"&amp;$AB760,'ASIGNACIONES'!$I$4:$I$339,0)),""))</f>
        <v/>
      </c>
      <c r="AD760" s="13">
        <f>IF($AB760="","",SUMIFS('ORDENES'!$M$4:$M$1203,'ORDENES'!$AB$4:$AB$1203,$AB760,'ORDENES'!$O$4:$O$1203,$O760,'ORDENES'!$R$4:$R$1203,$R760))</f>
        <v/>
      </c>
      <c r="AE760" s="13">
        <f>IF($AD760="","",p_factor_productividad*IFERROR(INDEX('ASIGNACIONES'!$H$4:$H$339,MATCH($O760&amp;"|"&amp;$R760&amp;"|"&amp;$AB760,'ASIGNACIONES'!$I$4:$I$339,0)),0)-$AD760)</f>
        <v/>
      </c>
      <c r="AF760" s="10">
        <f>IF($A760="","",IFERROR(INDEX('2_IMPORTAR_EJECUCION'!$F$9:$F$1208,MATCH($AN760,'2_IMPORTAR_EJECUCION'!$J$9:$J$1208,0)),0))</f>
        <v/>
      </c>
      <c r="AG760" s="10">
        <f>IF($A760="","",MAX(0,IFERROR(INDEX('2_IMPORTAR_EJECUCION'!$H$9:$H$1208,MATCH($AN760,'2_IMPORTAR_EJECUCION'!$J$9:$J$1208,0)),0)-$AF760))</f>
        <v/>
      </c>
      <c r="AH760" s="10">
        <f>IF($A760="","",$AF760+$AG760)</f>
        <v/>
      </c>
      <c r="AI760" s="6" t="n"/>
      <c r="AJ760" s="6" t="n"/>
      <c r="AK760" s="6" t="n"/>
      <c r="AL760" s="3">
        <f>IF($AK760="","",HYPERLINK(p_ruta_base_checklists&amp;$AK760,"abrir"))</f>
        <v/>
      </c>
      <c r="AM760" s="6" t="n"/>
      <c r="AN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1" t="n"/>
      <c r="K761" s="3" t="n"/>
      <c r="L761" s="10" t="n"/>
      <c r="M761" s="3">
        <f>IF($A761="","",IFERROR(INDEX('AJUSTES'!$B$4:$B$303,MATCH($AN761,'AJUSTES'!$A$4:$A$303,0)),IF($K761="","",$K761)))</f>
        <v/>
      </c>
      <c r="N761" s="3">
        <f>IF($A761="","",IFERROR(INDEX('CAT_ESTADOS_ERP'!$B$4:$B$7,MATCH(IFERROR(INDEX('2_IMPORTAR_EJECUCION'!$C$9:$C$1208,MATCH($AN761,'2_IMPORTAR_EJECUCION'!$J$9:$J$1208,0)),""),'CAT_ESTADOS_ERP'!$A$4:$A$7,0)),"Pendiente"))</f>
        <v/>
      </c>
      <c r="O761" s="3">
        <f>IF($J761="","",YEAR($J761+4-WEEKDAY($J761,2))&amp;"-S"&amp;TEXT(_xlfn.ISOWEEKNUM($J761),"00"))</f>
        <v/>
      </c>
      <c r="P761" s="3">
        <f>IF($J761="","",YEAR($J761))</f>
        <v/>
      </c>
      <c r="Q761" s="3">
        <f>IF($J761="","",MONTH($J761))</f>
        <v/>
      </c>
      <c r="R761" s="3">
        <f>IF($J761="","",INDEX(lista_dias,WEEKDAY($J761,2)))</f>
        <v/>
      </c>
      <c r="S761" s="3">
        <f>IF($I761="","",IFERROR(INDEX('CAT_TIPOS_OT'!$C$4:$C$7,MATCH($I761,'CAT_TIPOS_OT'!$A$4:$A$7,0)),"sin_clasificar"))</f>
        <v/>
      </c>
      <c r="T761" s="3">
        <f>IF($F761="","",IFERROR(INDEX('CAT_CENTROS_COSTO'!$E$4:$E$9,MATCH($F761,'CAT_CENTROS_COSTO'!$A$4:$A$9,0)),"(sin catálogo)"))</f>
        <v/>
      </c>
      <c r="U761" s="3">
        <f>IF($F761="","",IFERROR(INDEX('CAT_CENTROS_COSTO'!$D$4:$D$9,MATCH($F761,'CAT_CENTROS_COSTO'!$A$4:$A$9,0)),"(sin catálogo)"))</f>
        <v/>
      </c>
      <c r="V761" s="3">
        <f>IF($F761="","",IFERROR(INDEX('CAT_CENTROS_COSTO'!$F$4:$F$9,MATCH($F761,'CAT_CENTROS_COSTO'!$A$4:$A$9,0)),"(sin catálogo)"))</f>
        <v/>
      </c>
      <c r="W761" s="3">
        <f>IF($G761="","",IFERROR(INDEX('CAT_PUESTOS'!$B$4:$B$8,MATCH($G761,'CAT_PUESTOS'!$A$4:$A$8,0)),"(sin catálogo)"))</f>
        <v/>
      </c>
      <c r="X761" s="3">
        <f>IF($H761="","",IFERROR(INDEX('CAT_ACTIVIDADES'!$B$4:$B$8,MATCH($H761,'CAT_ACTIVIDADES'!$A$4:$A$8,0)),"(sin catálogo)"))</f>
        <v/>
      </c>
      <c r="Y761" s="12">
        <f>IF($J761="","",TODAY()-$J761)</f>
        <v/>
      </c>
      <c r="Z761" s="3">
        <f>IF($Y761="","",IF($Y761&lt;0,"FUTURO",IF($Y761&gt;p_dias_backlog_max,"BACKLOG","MES CORRIENTE")))</f>
        <v/>
      </c>
      <c r="AA761" s="3">
        <f>IF($Y761="",FALSE,AND($Y761&gt;p_dias_backlog_min,$Y761&lt;=p_dias_backlog_max))</f>
        <v/>
      </c>
      <c r="AB761" s="6" t="n"/>
      <c r="AC761" s="3">
        <f>IF($AB761="","",IFERROR(INDEX('ASIGNACIONES'!$F$4:$F$339,MATCH($O761&amp;"|"&amp;$R761&amp;"|"&amp;$AB761,'ASIGNACIONES'!$I$4:$I$339,0)),""))</f>
        <v/>
      </c>
      <c r="AD761" s="13">
        <f>IF($AB761="","",SUMIFS('ORDENES'!$M$4:$M$1203,'ORDENES'!$AB$4:$AB$1203,$AB761,'ORDENES'!$O$4:$O$1203,$O761,'ORDENES'!$R$4:$R$1203,$R761))</f>
        <v/>
      </c>
      <c r="AE761" s="13">
        <f>IF($AD761="","",p_factor_productividad*IFERROR(INDEX('ASIGNACIONES'!$H$4:$H$339,MATCH($O761&amp;"|"&amp;$R761&amp;"|"&amp;$AB761,'ASIGNACIONES'!$I$4:$I$339,0)),0)-$AD761)</f>
        <v/>
      </c>
      <c r="AF761" s="10">
        <f>IF($A761="","",IFERROR(INDEX('2_IMPORTAR_EJECUCION'!$F$9:$F$1208,MATCH($AN761,'2_IMPORTAR_EJECUCION'!$J$9:$J$1208,0)),0))</f>
        <v/>
      </c>
      <c r="AG761" s="10">
        <f>IF($A761="","",MAX(0,IFERROR(INDEX('2_IMPORTAR_EJECUCION'!$H$9:$H$1208,MATCH($AN761,'2_IMPORTAR_EJECUCION'!$J$9:$J$1208,0)),0)-$AF761))</f>
        <v/>
      </c>
      <c r="AH761" s="10">
        <f>IF($A761="","",$AF761+$AG761)</f>
        <v/>
      </c>
      <c r="AI761" s="6" t="n"/>
      <c r="AJ761" s="6" t="n"/>
      <c r="AK761" s="6" t="n"/>
      <c r="AL761" s="3">
        <f>IF($AK761="","",HYPERLINK(p_ruta_base_checklists&amp;$AK761,"abrir"))</f>
        <v/>
      </c>
      <c r="AM761" s="6" t="n"/>
      <c r="AN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1" t="n"/>
      <c r="K762" s="3" t="n"/>
      <c r="L762" s="10" t="n"/>
      <c r="M762" s="3">
        <f>IF($A762="","",IFERROR(INDEX('AJUSTES'!$B$4:$B$303,MATCH($AN762,'AJUSTES'!$A$4:$A$303,0)),IF($K762="","",$K762)))</f>
        <v/>
      </c>
      <c r="N762" s="3">
        <f>IF($A762="","",IFERROR(INDEX('CAT_ESTADOS_ERP'!$B$4:$B$7,MATCH(IFERROR(INDEX('2_IMPORTAR_EJECUCION'!$C$9:$C$1208,MATCH($AN762,'2_IMPORTAR_EJECUCION'!$J$9:$J$1208,0)),""),'CAT_ESTADOS_ERP'!$A$4:$A$7,0)),"Pendiente"))</f>
        <v/>
      </c>
      <c r="O762" s="3">
        <f>IF($J762="","",YEAR($J762+4-WEEKDAY($J762,2))&amp;"-S"&amp;TEXT(_xlfn.ISOWEEKNUM($J762),"00"))</f>
        <v/>
      </c>
      <c r="P762" s="3">
        <f>IF($J762="","",YEAR($J762))</f>
        <v/>
      </c>
      <c r="Q762" s="3">
        <f>IF($J762="","",MONTH($J762))</f>
        <v/>
      </c>
      <c r="R762" s="3">
        <f>IF($J762="","",INDEX(lista_dias,WEEKDAY($J762,2)))</f>
        <v/>
      </c>
      <c r="S762" s="3">
        <f>IF($I762="","",IFERROR(INDEX('CAT_TIPOS_OT'!$C$4:$C$7,MATCH($I762,'CAT_TIPOS_OT'!$A$4:$A$7,0)),"sin_clasificar"))</f>
        <v/>
      </c>
      <c r="T762" s="3">
        <f>IF($F762="","",IFERROR(INDEX('CAT_CENTROS_COSTO'!$E$4:$E$9,MATCH($F762,'CAT_CENTROS_COSTO'!$A$4:$A$9,0)),"(sin catálogo)"))</f>
        <v/>
      </c>
      <c r="U762" s="3">
        <f>IF($F762="","",IFERROR(INDEX('CAT_CENTROS_COSTO'!$D$4:$D$9,MATCH($F762,'CAT_CENTROS_COSTO'!$A$4:$A$9,0)),"(sin catálogo)"))</f>
        <v/>
      </c>
      <c r="V762" s="3">
        <f>IF($F762="","",IFERROR(INDEX('CAT_CENTROS_COSTO'!$F$4:$F$9,MATCH($F762,'CAT_CENTROS_COSTO'!$A$4:$A$9,0)),"(sin catálogo)"))</f>
        <v/>
      </c>
      <c r="W762" s="3">
        <f>IF($G762="","",IFERROR(INDEX('CAT_PUESTOS'!$B$4:$B$8,MATCH($G762,'CAT_PUESTOS'!$A$4:$A$8,0)),"(sin catálogo)"))</f>
        <v/>
      </c>
      <c r="X762" s="3">
        <f>IF($H762="","",IFERROR(INDEX('CAT_ACTIVIDADES'!$B$4:$B$8,MATCH($H762,'CAT_ACTIVIDADES'!$A$4:$A$8,0)),"(sin catálogo)"))</f>
        <v/>
      </c>
      <c r="Y762" s="12">
        <f>IF($J762="","",TODAY()-$J762)</f>
        <v/>
      </c>
      <c r="Z762" s="3">
        <f>IF($Y762="","",IF($Y762&lt;0,"FUTURO",IF($Y762&gt;p_dias_backlog_max,"BACKLOG","MES CORRIENTE")))</f>
        <v/>
      </c>
      <c r="AA762" s="3">
        <f>IF($Y762="",FALSE,AND($Y762&gt;p_dias_backlog_min,$Y762&lt;=p_dias_backlog_max))</f>
        <v/>
      </c>
      <c r="AB762" s="6" t="n"/>
      <c r="AC762" s="3">
        <f>IF($AB762="","",IFERROR(INDEX('ASIGNACIONES'!$F$4:$F$339,MATCH($O762&amp;"|"&amp;$R762&amp;"|"&amp;$AB762,'ASIGNACIONES'!$I$4:$I$339,0)),""))</f>
        <v/>
      </c>
      <c r="AD762" s="13">
        <f>IF($AB762="","",SUMIFS('ORDENES'!$M$4:$M$1203,'ORDENES'!$AB$4:$AB$1203,$AB762,'ORDENES'!$O$4:$O$1203,$O762,'ORDENES'!$R$4:$R$1203,$R762))</f>
        <v/>
      </c>
      <c r="AE762" s="13">
        <f>IF($AD762="","",p_factor_productividad*IFERROR(INDEX('ASIGNACIONES'!$H$4:$H$339,MATCH($O762&amp;"|"&amp;$R762&amp;"|"&amp;$AB762,'ASIGNACIONES'!$I$4:$I$339,0)),0)-$AD762)</f>
        <v/>
      </c>
      <c r="AF762" s="10">
        <f>IF($A762="","",IFERROR(INDEX('2_IMPORTAR_EJECUCION'!$F$9:$F$1208,MATCH($AN762,'2_IMPORTAR_EJECUCION'!$J$9:$J$1208,0)),0))</f>
        <v/>
      </c>
      <c r="AG762" s="10">
        <f>IF($A762="","",MAX(0,IFERROR(INDEX('2_IMPORTAR_EJECUCION'!$H$9:$H$1208,MATCH($AN762,'2_IMPORTAR_EJECUCION'!$J$9:$J$1208,0)),0)-$AF762))</f>
        <v/>
      </c>
      <c r="AH762" s="10">
        <f>IF($A762="","",$AF762+$AG762)</f>
        <v/>
      </c>
      <c r="AI762" s="6" t="n"/>
      <c r="AJ762" s="6" t="n"/>
      <c r="AK762" s="6" t="n"/>
      <c r="AL762" s="3">
        <f>IF($AK762="","",HYPERLINK(p_ruta_base_checklists&amp;$AK762,"abrir"))</f>
        <v/>
      </c>
      <c r="AM762" s="6" t="n"/>
      <c r="AN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1" t="n"/>
      <c r="K763" s="3" t="n"/>
      <c r="L763" s="10" t="n"/>
      <c r="M763" s="3">
        <f>IF($A763="","",IFERROR(INDEX('AJUSTES'!$B$4:$B$303,MATCH($AN763,'AJUSTES'!$A$4:$A$303,0)),IF($K763="","",$K763)))</f>
        <v/>
      </c>
      <c r="N763" s="3">
        <f>IF($A763="","",IFERROR(INDEX('CAT_ESTADOS_ERP'!$B$4:$B$7,MATCH(IFERROR(INDEX('2_IMPORTAR_EJECUCION'!$C$9:$C$1208,MATCH($AN763,'2_IMPORTAR_EJECUCION'!$J$9:$J$1208,0)),""),'CAT_ESTADOS_ERP'!$A$4:$A$7,0)),"Pendiente"))</f>
        <v/>
      </c>
      <c r="O763" s="3">
        <f>IF($J763="","",YEAR($J763+4-WEEKDAY($J763,2))&amp;"-S"&amp;TEXT(_xlfn.ISOWEEKNUM($J763),"00"))</f>
        <v/>
      </c>
      <c r="P763" s="3">
        <f>IF($J763="","",YEAR($J763))</f>
        <v/>
      </c>
      <c r="Q763" s="3">
        <f>IF($J763="","",MONTH($J763))</f>
        <v/>
      </c>
      <c r="R763" s="3">
        <f>IF($J763="","",INDEX(lista_dias,WEEKDAY($J763,2)))</f>
        <v/>
      </c>
      <c r="S763" s="3">
        <f>IF($I763="","",IFERROR(INDEX('CAT_TIPOS_OT'!$C$4:$C$7,MATCH($I763,'CAT_TIPOS_OT'!$A$4:$A$7,0)),"sin_clasificar"))</f>
        <v/>
      </c>
      <c r="T763" s="3">
        <f>IF($F763="","",IFERROR(INDEX('CAT_CENTROS_COSTO'!$E$4:$E$9,MATCH($F763,'CAT_CENTROS_COSTO'!$A$4:$A$9,0)),"(sin catálogo)"))</f>
        <v/>
      </c>
      <c r="U763" s="3">
        <f>IF($F763="","",IFERROR(INDEX('CAT_CENTROS_COSTO'!$D$4:$D$9,MATCH($F763,'CAT_CENTROS_COSTO'!$A$4:$A$9,0)),"(sin catálogo)"))</f>
        <v/>
      </c>
      <c r="V763" s="3">
        <f>IF($F763="","",IFERROR(INDEX('CAT_CENTROS_COSTO'!$F$4:$F$9,MATCH($F763,'CAT_CENTROS_COSTO'!$A$4:$A$9,0)),"(sin catálogo)"))</f>
        <v/>
      </c>
      <c r="W763" s="3">
        <f>IF($G763="","",IFERROR(INDEX('CAT_PUESTOS'!$B$4:$B$8,MATCH($G763,'CAT_PUESTOS'!$A$4:$A$8,0)),"(sin catálogo)"))</f>
        <v/>
      </c>
      <c r="X763" s="3">
        <f>IF($H763="","",IFERROR(INDEX('CAT_ACTIVIDADES'!$B$4:$B$8,MATCH($H763,'CAT_ACTIVIDADES'!$A$4:$A$8,0)),"(sin catálogo)"))</f>
        <v/>
      </c>
      <c r="Y763" s="12">
        <f>IF($J763="","",TODAY()-$J763)</f>
        <v/>
      </c>
      <c r="Z763" s="3">
        <f>IF($Y763="","",IF($Y763&lt;0,"FUTURO",IF($Y763&gt;p_dias_backlog_max,"BACKLOG","MES CORRIENTE")))</f>
        <v/>
      </c>
      <c r="AA763" s="3">
        <f>IF($Y763="",FALSE,AND($Y763&gt;p_dias_backlog_min,$Y763&lt;=p_dias_backlog_max))</f>
        <v/>
      </c>
      <c r="AB763" s="6" t="n"/>
      <c r="AC763" s="3">
        <f>IF($AB763="","",IFERROR(INDEX('ASIGNACIONES'!$F$4:$F$339,MATCH($O763&amp;"|"&amp;$R763&amp;"|"&amp;$AB763,'ASIGNACIONES'!$I$4:$I$339,0)),""))</f>
        <v/>
      </c>
      <c r="AD763" s="13">
        <f>IF($AB763="","",SUMIFS('ORDENES'!$M$4:$M$1203,'ORDENES'!$AB$4:$AB$1203,$AB763,'ORDENES'!$O$4:$O$1203,$O763,'ORDENES'!$R$4:$R$1203,$R763))</f>
        <v/>
      </c>
      <c r="AE763" s="13">
        <f>IF($AD763="","",p_factor_productividad*IFERROR(INDEX('ASIGNACIONES'!$H$4:$H$339,MATCH($O763&amp;"|"&amp;$R763&amp;"|"&amp;$AB763,'ASIGNACIONES'!$I$4:$I$339,0)),0)-$AD763)</f>
        <v/>
      </c>
      <c r="AF763" s="10">
        <f>IF($A763="","",IFERROR(INDEX('2_IMPORTAR_EJECUCION'!$F$9:$F$1208,MATCH($AN763,'2_IMPORTAR_EJECUCION'!$J$9:$J$1208,0)),0))</f>
        <v/>
      </c>
      <c r="AG763" s="10">
        <f>IF($A763="","",MAX(0,IFERROR(INDEX('2_IMPORTAR_EJECUCION'!$H$9:$H$1208,MATCH($AN763,'2_IMPORTAR_EJECUCION'!$J$9:$J$1208,0)),0)-$AF763))</f>
        <v/>
      </c>
      <c r="AH763" s="10">
        <f>IF($A763="","",$AF763+$AG763)</f>
        <v/>
      </c>
      <c r="AI763" s="6" t="n"/>
      <c r="AJ763" s="6" t="n"/>
      <c r="AK763" s="6" t="n"/>
      <c r="AL763" s="3">
        <f>IF($AK763="","",HYPERLINK(p_ruta_base_checklists&amp;$AK763,"abrir"))</f>
        <v/>
      </c>
      <c r="AM763" s="6" t="n"/>
      <c r="AN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1" t="n"/>
      <c r="K764" s="3" t="n"/>
      <c r="L764" s="10" t="n"/>
      <c r="M764" s="3">
        <f>IF($A764="","",IFERROR(INDEX('AJUSTES'!$B$4:$B$303,MATCH($AN764,'AJUSTES'!$A$4:$A$303,0)),IF($K764="","",$K764)))</f>
        <v/>
      </c>
      <c r="N764" s="3">
        <f>IF($A764="","",IFERROR(INDEX('CAT_ESTADOS_ERP'!$B$4:$B$7,MATCH(IFERROR(INDEX('2_IMPORTAR_EJECUCION'!$C$9:$C$1208,MATCH($AN764,'2_IMPORTAR_EJECUCION'!$J$9:$J$1208,0)),""),'CAT_ESTADOS_ERP'!$A$4:$A$7,0)),"Pendiente"))</f>
        <v/>
      </c>
      <c r="O764" s="3">
        <f>IF($J764="","",YEAR($J764+4-WEEKDAY($J764,2))&amp;"-S"&amp;TEXT(_xlfn.ISOWEEKNUM($J764),"00"))</f>
        <v/>
      </c>
      <c r="P764" s="3">
        <f>IF($J764="","",YEAR($J764))</f>
        <v/>
      </c>
      <c r="Q764" s="3">
        <f>IF($J764="","",MONTH($J764))</f>
        <v/>
      </c>
      <c r="R764" s="3">
        <f>IF($J764="","",INDEX(lista_dias,WEEKDAY($J764,2)))</f>
        <v/>
      </c>
      <c r="S764" s="3">
        <f>IF($I764="","",IFERROR(INDEX('CAT_TIPOS_OT'!$C$4:$C$7,MATCH($I764,'CAT_TIPOS_OT'!$A$4:$A$7,0)),"sin_clasificar"))</f>
        <v/>
      </c>
      <c r="T764" s="3">
        <f>IF($F764="","",IFERROR(INDEX('CAT_CENTROS_COSTO'!$E$4:$E$9,MATCH($F764,'CAT_CENTROS_COSTO'!$A$4:$A$9,0)),"(sin catálogo)"))</f>
        <v/>
      </c>
      <c r="U764" s="3">
        <f>IF($F764="","",IFERROR(INDEX('CAT_CENTROS_COSTO'!$D$4:$D$9,MATCH($F764,'CAT_CENTROS_COSTO'!$A$4:$A$9,0)),"(sin catálogo)"))</f>
        <v/>
      </c>
      <c r="V764" s="3">
        <f>IF($F764="","",IFERROR(INDEX('CAT_CENTROS_COSTO'!$F$4:$F$9,MATCH($F764,'CAT_CENTROS_COSTO'!$A$4:$A$9,0)),"(sin catálogo)"))</f>
        <v/>
      </c>
      <c r="W764" s="3">
        <f>IF($G764="","",IFERROR(INDEX('CAT_PUESTOS'!$B$4:$B$8,MATCH($G764,'CAT_PUESTOS'!$A$4:$A$8,0)),"(sin catálogo)"))</f>
        <v/>
      </c>
      <c r="X764" s="3">
        <f>IF($H764="","",IFERROR(INDEX('CAT_ACTIVIDADES'!$B$4:$B$8,MATCH($H764,'CAT_ACTIVIDADES'!$A$4:$A$8,0)),"(sin catálogo)"))</f>
        <v/>
      </c>
      <c r="Y764" s="12">
        <f>IF($J764="","",TODAY()-$J764)</f>
        <v/>
      </c>
      <c r="Z764" s="3">
        <f>IF($Y764="","",IF($Y764&lt;0,"FUTURO",IF($Y764&gt;p_dias_backlog_max,"BACKLOG","MES CORRIENTE")))</f>
        <v/>
      </c>
      <c r="AA764" s="3">
        <f>IF($Y764="",FALSE,AND($Y764&gt;p_dias_backlog_min,$Y764&lt;=p_dias_backlog_max))</f>
        <v/>
      </c>
      <c r="AB764" s="6" t="n"/>
      <c r="AC764" s="3">
        <f>IF($AB764="","",IFERROR(INDEX('ASIGNACIONES'!$F$4:$F$339,MATCH($O764&amp;"|"&amp;$R764&amp;"|"&amp;$AB764,'ASIGNACIONES'!$I$4:$I$339,0)),""))</f>
        <v/>
      </c>
      <c r="AD764" s="13">
        <f>IF($AB764="","",SUMIFS('ORDENES'!$M$4:$M$1203,'ORDENES'!$AB$4:$AB$1203,$AB764,'ORDENES'!$O$4:$O$1203,$O764,'ORDENES'!$R$4:$R$1203,$R764))</f>
        <v/>
      </c>
      <c r="AE764" s="13">
        <f>IF($AD764="","",p_factor_productividad*IFERROR(INDEX('ASIGNACIONES'!$H$4:$H$339,MATCH($O764&amp;"|"&amp;$R764&amp;"|"&amp;$AB764,'ASIGNACIONES'!$I$4:$I$339,0)),0)-$AD764)</f>
        <v/>
      </c>
      <c r="AF764" s="10">
        <f>IF($A764="","",IFERROR(INDEX('2_IMPORTAR_EJECUCION'!$F$9:$F$1208,MATCH($AN764,'2_IMPORTAR_EJECUCION'!$J$9:$J$1208,0)),0))</f>
        <v/>
      </c>
      <c r="AG764" s="10">
        <f>IF($A764="","",MAX(0,IFERROR(INDEX('2_IMPORTAR_EJECUCION'!$H$9:$H$1208,MATCH($AN764,'2_IMPORTAR_EJECUCION'!$J$9:$J$1208,0)),0)-$AF764))</f>
        <v/>
      </c>
      <c r="AH764" s="10">
        <f>IF($A764="","",$AF764+$AG764)</f>
        <v/>
      </c>
      <c r="AI764" s="6" t="n"/>
      <c r="AJ764" s="6" t="n"/>
      <c r="AK764" s="6" t="n"/>
      <c r="AL764" s="3">
        <f>IF($AK764="","",HYPERLINK(p_ruta_base_checklists&amp;$AK764,"abrir"))</f>
        <v/>
      </c>
      <c r="AM764" s="6" t="n"/>
      <c r="AN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1" t="n"/>
      <c r="K765" s="3" t="n"/>
      <c r="L765" s="10" t="n"/>
      <c r="M765" s="3">
        <f>IF($A765="","",IFERROR(INDEX('AJUSTES'!$B$4:$B$303,MATCH($AN765,'AJUSTES'!$A$4:$A$303,0)),IF($K765="","",$K765)))</f>
        <v/>
      </c>
      <c r="N765" s="3">
        <f>IF($A765="","",IFERROR(INDEX('CAT_ESTADOS_ERP'!$B$4:$B$7,MATCH(IFERROR(INDEX('2_IMPORTAR_EJECUCION'!$C$9:$C$1208,MATCH($AN765,'2_IMPORTAR_EJECUCION'!$J$9:$J$1208,0)),""),'CAT_ESTADOS_ERP'!$A$4:$A$7,0)),"Pendiente"))</f>
        <v/>
      </c>
      <c r="O765" s="3">
        <f>IF($J765="","",YEAR($J765+4-WEEKDAY($J765,2))&amp;"-S"&amp;TEXT(_xlfn.ISOWEEKNUM($J765),"00"))</f>
        <v/>
      </c>
      <c r="P765" s="3">
        <f>IF($J765="","",YEAR($J765))</f>
        <v/>
      </c>
      <c r="Q765" s="3">
        <f>IF($J765="","",MONTH($J765))</f>
        <v/>
      </c>
      <c r="R765" s="3">
        <f>IF($J765="","",INDEX(lista_dias,WEEKDAY($J765,2)))</f>
        <v/>
      </c>
      <c r="S765" s="3">
        <f>IF($I765="","",IFERROR(INDEX('CAT_TIPOS_OT'!$C$4:$C$7,MATCH($I765,'CAT_TIPOS_OT'!$A$4:$A$7,0)),"sin_clasificar"))</f>
        <v/>
      </c>
      <c r="T765" s="3">
        <f>IF($F765="","",IFERROR(INDEX('CAT_CENTROS_COSTO'!$E$4:$E$9,MATCH($F765,'CAT_CENTROS_COSTO'!$A$4:$A$9,0)),"(sin catálogo)"))</f>
        <v/>
      </c>
      <c r="U765" s="3">
        <f>IF($F765="","",IFERROR(INDEX('CAT_CENTROS_COSTO'!$D$4:$D$9,MATCH($F765,'CAT_CENTROS_COSTO'!$A$4:$A$9,0)),"(sin catálogo)"))</f>
        <v/>
      </c>
      <c r="V765" s="3">
        <f>IF($F765="","",IFERROR(INDEX('CAT_CENTROS_COSTO'!$F$4:$F$9,MATCH($F765,'CAT_CENTROS_COSTO'!$A$4:$A$9,0)),"(sin catálogo)"))</f>
        <v/>
      </c>
      <c r="W765" s="3">
        <f>IF($G765="","",IFERROR(INDEX('CAT_PUESTOS'!$B$4:$B$8,MATCH($G765,'CAT_PUESTOS'!$A$4:$A$8,0)),"(sin catálogo)"))</f>
        <v/>
      </c>
      <c r="X765" s="3">
        <f>IF($H765="","",IFERROR(INDEX('CAT_ACTIVIDADES'!$B$4:$B$8,MATCH($H765,'CAT_ACTIVIDADES'!$A$4:$A$8,0)),"(sin catálogo)"))</f>
        <v/>
      </c>
      <c r="Y765" s="12">
        <f>IF($J765="","",TODAY()-$J765)</f>
        <v/>
      </c>
      <c r="Z765" s="3">
        <f>IF($Y765="","",IF($Y765&lt;0,"FUTURO",IF($Y765&gt;p_dias_backlog_max,"BACKLOG","MES CORRIENTE")))</f>
        <v/>
      </c>
      <c r="AA765" s="3">
        <f>IF($Y765="",FALSE,AND($Y765&gt;p_dias_backlog_min,$Y765&lt;=p_dias_backlog_max))</f>
        <v/>
      </c>
      <c r="AB765" s="6" t="n"/>
      <c r="AC765" s="3">
        <f>IF($AB765="","",IFERROR(INDEX('ASIGNACIONES'!$F$4:$F$339,MATCH($O765&amp;"|"&amp;$R765&amp;"|"&amp;$AB765,'ASIGNACIONES'!$I$4:$I$339,0)),""))</f>
        <v/>
      </c>
      <c r="AD765" s="13">
        <f>IF($AB765="","",SUMIFS('ORDENES'!$M$4:$M$1203,'ORDENES'!$AB$4:$AB$1203,$AB765,'ORDENES'!$O$4:$O$1203,$O765,'ORDENES'!$R$4:$R$1203,$R765))</f>
        <v/>
      </c>
      <c r="AE765" s="13">
        <f>IF($AD765="","",p_factor_productividad*IFERROR(INDEX('ASIGNACIONES'!$H$4:$H$339,MATCH($O765&amp;"|"&amp;$R765&amp;"|"&amp;$AB765,'ASIGNACIONES'!$I$4:$I$339,0)),0)-$AD765)</f>
        <v/>
      </c>
      <c r="AF765" s="10">
        <f>IF($A765="","",IFERROR(INDEX('2_IMPORTAR_EJECUCION'!$F$9:$F$1208,MATCH($AN765,'2_IMPORTAR_EJECUCION'!$J$9:$J$1208,0)),0))</f>
        <v/>
      </c>
      <c r="AG765" s="10">
        <f>IF($A765="","",MAX(0,IFERROR(INDEX('2_IMPORTAR_EJECUCION'!$H$9:$H$1208,MATCH($AN765,'2_IMPORTAR_EJECUCION'!$J$9:$J$1208,0)),0)-$AF765))</f>
        <v/>
      </c>
      <c r="AH765" s="10">
        <f>IF($A765="","",$AF765+$AG765)</f>
        <v/>
      </c>
      <c r="AI765" s="6" t="n"/>
      <c r="AJ765" s="6" t="n"/>
      <c r="AK765" s="6" t="n"/>
      <c r="AL765" s="3">
        <f>IF($AK765="","",HYPERLINK(p_ruta_base_checklists&amp;$AK765,"abrir"))</f>
        <v/>
      </c>
      <c r="AM765" s="6" t="n"/>
      <c r="AN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1" t="n"/>
      <c r="K766" s="3" t="n"/>
      <c r="L766" s="10" t="n"/>
      <c r="M766" s="3">
        <f>IF($A766="","",IFERROR(INDEX('AJUSTES'!$B$4:$B$303,MATCH($AN766,'AJUSTES'!$A$4:$A$303,0)),IF($K766="","",$K766)))</f>
        <v/>
      </c>
      <c r="N766" s="3">
        <f>IF($A766="","",IFERROR(INDEX('CAT_ESTADOS_ERP'!$B$4:$B$7,MATCH(IFERROR(INDEX('2_IMPORTAR_EJECUCION'!$C$9:$C$1208,MATCH($AN766,'2_IMPORTAR_EJECUCION'!$J$9:$J$1208,0)),""),'CAT_ESTADOS_ERP'!$A$4:$A$7,0)),"Pendiente"))</f>
        <v/>
      </c>
      <c r="O766" s="3">
        <f>IF($J766="","",YEAR($J766+4-WEEKDAY($J766,2))&amp;"-S"&amp;TEXT(_xlfn.ISOWEEKNUM($J766),"00"))</f>
        <v/>
      </c>
      <c r="P766" s="3">
        <f>IF($J766="","",YEAR($J766))</f>
        <v/>
      </c>
      <c r="Q766" s="3">
        <f>IF($J766="","",MONTH($J766))</f>
        <v/>
      </c>
      <c r="R766" s="3">
        <f>IF($J766="","",INDEX(lista_dias,WEEKDAY($J766,2)))</f>
        <v/>
      </c>
      <c r="S766" s="3">
        <f>IF($I766="","",IFERROR(INDEX('CAT_TIPOS_OT'!$C$4:$C$7,MATCH($I766,'CAT_TIPOS_OT'!$A$4:$A$7,0)),"sin_clasificar"))</f>
        <v/>
      </c>
      <c r="T766" s="3">
        <f>IF($F766="","",IFERROR(INDEX('CAT_CENTROS_COSTO'!$E$4:$E$9,MATCH($F766,'CAT_CENTROS_COSTO'!$A$4:$A$9,0)),"(sin catálogo)"))</f>
        <v/>
      </c>
      <c r="U766" s="3">
        <f>IF($F766="","",IFERROR(INDEX('CAT_CENTROS_COSTO'!$D$4:$D$9,MATCH($F766,'CAT_CENTROS_COSTO'!$A$4:$A$9,0)),"(sin catálogo)"))</f>
        <v/>
      </c>
      <c r="V766" s="3">
        <f>IF($F766="","",IFERROR(INDEX('CAT_CENTROS_COSTO'!$F$4:$F$9,MATCH($F766,'CAT_CENTROS_COSTO'!$A$4:$A$9,0)),"(sin catálogo)"))</f>
        <v/>
      </c>
      <c r="W766" s="3">
        <f>IF($G766="","",IFERROR(INDEX('CAT_PUESTOS'!$B$4:$B$8,MATCH($G766,'CAT_PUESTOS'!$A$4:$A$8,0)),"(sin catálogo)"))</f>
        <v/>
      </c>
      <c r="X766" s="3">
        <f>IF($H766="","",IFERROR(INDEX('CAT_ACTIVIDADES'!$B$4:$B$8,MATCH($H766,'CAT_ACTIVIDADES'!$A$4:$A$8,0)),"(sin catálogo)"))</f>
        <v/>
      </c>
      <c r="Y766" s="12">
        <f>IF($J766="","",TODAY()-$J766)</f>
        <v/>
      </c>
      <c r="Z766" s="3">
        <f>IF($Y766="","",IF($Y766&lt;0,"FUTURO",IF($Y766&gt;p_dias_backlog_max,"BACKLOG","MES CORRIENTE")))</f>
        <v/>
      </c>
      <c r="AA766" s="3">
        <f>IF($Y766="",FALSE,AND($Y766&gt;p_dias_backlog_min,$Y766&lt;=p_dias_backlog_max))</f>
        <v/>
      </c>
      <c r="AB766" s="6" t="n"/>
      <c r="AC766" s="3">
        <f>IF($AB766="","",IFERROR(INDEX('ASIGNACIONES'!$F$4:$F$339,MATCH($O766&amp;"|"&amp;$R766&amp;"|"&amp;$AB766,'ASIGNACIONES'!$I$4:$I$339,0)),""))</f>
        <v/>
      </c>
      <c r="AD766" s="13">
        <f>IF($AB766="","",SUMIFS('ORDENES'!$M$4:$M$1203,'ORDENES'!$AB$4:$AB$1203,$AB766,'ORDENES'!$O$4:$O$1203,$O766,'ORDENES'!$R$4:$R$1203,$R766))</f>
        <v/>
      </c>
      <c r="AE766" s="13">
        <f>IF($AD766="","",p_factor_productividad*IFERROR(INDEX('ASIGNACIONES'!$H$4:$H$339,MATCH($O766&amp;"|"&amp;$R766&amp;"|"&amp;$AB766,'ASIGNACIONES'!$I$4:$I$339,0)),0)-$AD766)</f>
        <v/>
      </c>
      <c r="AF766" s="10">
        <f>IF($A766="","",IFERROR(INDEX('2_IMPORTAR_EJECUCION'!$F$9:$F$1208,MATCH($AN766,'2_IMPORTAR_EJECUCION'!$J$9:$J$1208,0)),0))</f>
        <v/>
      </c>
      <c r="AG766" s="10">
        <f>IF($A766="","",MAX(0,IFERROR(INDEX('2_IMPORTAR_EJECUCION'!$H$9:$H$1208,MATCH($AN766,'2_IMPORTAR_EJECUCION'!$J$9:$J$1208,0)),0)-$AF766))</f>
        <v/>
      </c>
      <c r="AH766" s="10">
        <f>IF($A766="","",$AF766+$AG766)</f>
        <v/>
      </c>
      <c r="AI766" s="6" t="n"/>
      <c r="AJ766" s="6" t="n"/>
      <c r="AK766" s="6" t="n"/>
      <c r="AL766" s="3">
        <f>IF($AK766="","",HYPERLINK(p_ruta_base_checklists&amp;$AK766,"abrir"))</f>
        <v/>
      </c>
      <c r="AM766" s="6" t="n"/>
      <c r="AN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1" t="n"/>
      <c r="K767" s="3" t="n"/>
      <c r="L767" s="10" t="n"/>
      <c r="M767" s="3">
        <f>IF($A767="","",IFERROR(INDEX('AJUSTES'!$B$4:$B$303,MATCH($AN767,'AJUSTES'!$A$4:$A$303,0)),IF($K767="","",$K767)))</f>
        <v/>
      </c>
      <c r="N767" s="3">
        <f>IF($A767="","",IFERROR(INDEX('CAT_ESTADOS_ERP'!$B$4:$B$7,MATCH(IFERROR(INDEX('2_IMPORTAR_EJECUCION'!$C$9:$C$1208,MATCH($AN767,'2_IMPORTAR_EJECUCION'!$J$9:$J$1208,0)),""),'CAT_ESTADOS_ERP'!$A$4:$A$7,0)),"Pendiente"))</f>
        <v/>
      </c>
      <c r="O767" s="3">
        <f>IF($J767="","",YEAR($J767+4-WEEKDAY($J767,2))&amp;"-S"&amp;TEXT(_xlfn.ISOWEEKNUM($J767),"00"))</f>
        <v/>
      </c>
      <c r="P767" s="3">
        <f>IF($J767="","",YEAR($J767))</f>
        <v/>
      </c>
      <c r="Q767" s="3">
        <f>IF($J767="","",MONTH($J767))</f>
        <v/>
      </c>
      <c r="R767" s="3">
        <f>IF($J767="","",INDEX(lista_dias,WEEKDAY($J767,2)))</f>
        <v/>
      </c>
      <c r="S767" s="3">
        <f>IF($I767="","",IFERROR(INDEX('CAT_TIPOS_OT'!$C$4:$C$7,MATCH($I767,'CAT_TIPOS_OT'!$A$4:$A$7,0)),"sin_clasificar"))</f>
        <v/>
      </c>
      <c r="T767" s="3">
        <f>IF($F767="","",IFERROR(INDEX('CAT_CENTROS_COSTO'!$E$4:$E$9,MATCH($F767,'CAT_CENTROS_COSTO'!$A$4:$A$9,0)),"(sin catálogo)"))</f>
        <v/>
      </c>
      <c r="U767" s="3">
        <f>IF($F767="","",IFERROR(INDEX('CAT_CENTROS_COSTO'!$D$4:$D$9,MATCH($F767,'CAT_CENTROS_COSTO'!$A$4:$A$9,0)),"(sin catálogo)"))</f>
        <v/>
      </c>
      <c r="V767" s="3">
        <f>IF($F767="","",IFERROR(INDEX('CAT_CENTROS_COSTO'!$F$4:$F$9,MATCH($F767,'CAT_CENTROS_COSTO'!$A$4:$A$9,0)),"(sin catálogo)"))</f>
        <v/>
      </c>
      <c r="W767" s="3">
        <f>IF($G767="","",IFERROR(INDEX('CAT_PUESTOS'!$B$4:$B$8,MATCH($G767,'CAT_PUESTOS'!$A$4:$A$8,0)),"(sin catálogo)"))</f>
        <v/>
      </c>
      <c r="X767" s="3">
        <f>IF($H767="","",IFERROR(INDEX('CAT_ACTIVIDADES'!$B$4:$B$8,MATCH($H767,'CAT_ACTIVIDADES'!$A$4:$A$8,0)),"(sin catálogo)"))</f>
        <v/>
      </c>
      <c r="Y767" s="12">
        <f>IF($J767="","",TODAY()-$J767)</f>
        <v/>
      </c>
      <c r="Z767" s="3">
        <f>IF($Y767="","",IF($Y767&lt;0,"FUTURO",IF($Y767&gt;p_dias_backlog_max,"BACKLOG","MES CORRIENTE")))</f>
        <v/>
      </c>
      <c r="AA767" s="3">
        <f>IF($Y767="",FALSE,AND($Y767&gt;p_dias_backlog_min,$Y767&lt;=p_dias_backlog_max))</f>
        <v/>
      </c>
      <c r="AB767" s="6" t="n"/>
      <c r="AC767" s="3">
        <f>IF($AB767="","",IFERROR(INDEX('ASIGNACIONES'!$F$4:$F$339,MATCH($O767&amp;"|"&amp;$R767&amp;"|"&amp;$AB767,'ASIGNACIONES'!$I$4:$I$339,0)),""))</f>
        <v/>
      </c>
      <c r="AD767" s="13">
        <f>IF($AB767="","",SUMIFS('ORDENES'!$M$4:$M$1203,'ORDENES'!$AB$4:$AB$1203,$AB767,'ORDENES'!$O$4:$O$1203,$O767,'ORDENES'!$R$4:$R$1203,$R767))</f>
        <v/>
      </c>
      <c r="AE767" s="13">
        <f>IF($AD767="","",p_factor_productividad*IFERROR(INDEX('ASIGNACIONES'!$H$4:$H$339,MATCH($O767&amp;"|"&amp;$R767&amp;"|"&amp;$AB767,'ASIGNACIONES'!$I$4:$I$339,0)),0)-$AD767)</f>
        <v/>
      </c>
      <c r="AF767" s="10">
        <f>IF($A767="","",IFERROR(INDEX('2_IMPORTAR_EJECUCION'!$F$9:$F$1208,MATCH($AN767,'2_IMPORTAR_EJECUCION'!$J$9:$J$1208,0)),0))</f>
        <v/>
      </c>
      <c r="AG767" s="10">
        <f>IF($A767="","",MAX(0,IFERROR(INDEX('2_IMPORTAR_EJECUCION'!$H$9:$H$1208,MATCH($AN767,'2_IMPORTAR_EJECUCION'!$J$9:$J$1208,0)),0)-$AF767))</f>
        <v/>
      </c>
      <c r="AH767" s="10">
        <f>IF($A767="","",$AF767+$AG767)</f>
        <v/>
      </c>
      <c r="AI767" s="6" t="n"/>
      <c r="AJ767" s="6" t="n"/>
      <c r="AK767" s="6" t="n"/>
      <c r="AL767" s="3">
        <f>IF($AK767="","",HYPERLINK(p_ruta_base_checklists&amp;$AK767,"abrir"))</f>
        <v/>
      </c>
      <c r="AM767" s="6" t="n"/>
      <c r="AN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1" t="n"/>
      <c r="K768" s="3" t="n"/>
      <c r="L768" s="10" t="n"/>
      <c r="M768" s="3">
        <f>IF($A768="","",IFERROR(INDEX('AJUSTES'!$B$4:$B$303,MATCH($AN768,'AJUSTES'!$A$4:$A$303,0)),IF($K768="","",$K768)))</f>
        <v/>
      </c>
      <c r="N768" s="3">
        <f>IF($A768="","",IFERROR(INDEX('CAT_ESTADOS_ERP'!$B$4:$B$7,MATCH(IFERROR(INDEX('2_IMPORTAR_EJECUCION'!$C$9:$C$1208,MATCH($AN768,'2_IMPORTAR_EJECUCION'!$J$9:$J$1208,0)),""),'CAT_ESTADOS_ERP'!$A$4:$A$7,0)),"Pendiente"))</f>
        <v/>
      </c>
      <c r="O768" s="3">
        <f>IF($J768="","",YEAR($J768+4-WEEKDAY($J768,2))&amp;"-S"&amp;TEXT(_xlfn.ISOWEEKNUM($J768),"00"))</f>
        <v/>
      </c>
      <c r="P768" s="3">
        <f>IF($J768="","",YEAR($J768))</f>
        <v/>
      </c>
      <c r="Q768" s="3">
        <f>IF($J768="","",MONTH($J768))</f>
        <v/>
      </c>
      <c r="R768" s="3">
        <f>IF($J768="","",INDEX(lista_dias,WEEKDAY($J768,2)))</f>
        <v/>
      </c>
      <c r="S768" s="3">
        <f>IF($I768="","",IFERROR(INDEX('CAT_TIPOS_OT'!$C$4:$C$7,MATCH($I768,'CAT_TIPOS_OT'!$A$4:$A$7,0)),"sin_clasificar"))</f>
        <v/>
      </c>
      <c r="T768" s="3">
        <f>IF($F768="","",IFERROR(INDEX('CAT_CENTROS_COSTO'!$E$4:$E$9,MATCH($F768,'CAT_CENTROS_COSTO'!$A$4:$A$9,0)),"(sin catálogo)"))</f>
        <v/>
      </c>
      <c r="U768" s="3">
        <f>IF($F768="","",IFERROR(INDEX('CAT_CENTROS_COSTO'!$D$4:$D$9,MATCH($F768,'CAT_CENTROS_COSTO'!$A$4:$A$9,0)),"(sin catálogo)"))</f>
        <v/>
      </c>
      <c r="V768" s="3">
        <f>IF($F768="","",IFERROR(INDEX('CAT_CENTROS_COSTO'!$F$4:$F$9,MATCH($F768,'CAT_CENTROS_COSTO'!$A$4:$A$9,0)),"(sin catálogo)"))</f>
        <v/>
      </c>
      <c r="W768" s="3">
        <f>IF($G768="","",IFERROR(INDEX('CAT_PUESTOS'!$B$4:$B$8,MATCH($G768,'CAT_PUESTOS'!$A$4:$A$8,0)),"(sin catálogo)"))</f>
        <v/>
      </c>
      <c r="X768" s="3">
        <f>IF($H768="","",IFERROR(INDEX('CAT_ACTIVIDADES'!$B$4:$B$8,MATCH($H768,'CAT_ACTIVIDADES'!$A$4:$A$8,0)),"(sin catálogo)"))</f>
        <v/>
      </c>
      <c r="Y768" s="12">
        <f>IF($J768="","",TODAY()-$J768)</f>
        <v/>
      </c>
      <c r="Z768" s="3">
        <f>IF($Y768="","",IF($Y768&lt;0,"FUTURO",IF($Y768&gt;p_dias_backlog_max,"BACKLOG","MES CORRIENTE")))</f>
        <v/>
      </c>
      <c r="AA768" s="3">
        <f>IF($Y768="",FALSE,AND($Y768&gt;p_dias_backlog_min,$Y768&lt;=p_dias_backlog_max))</f>
        <v/>
      </c>
      <c r="AB768" s="6" t="n"/>
      <c r="AC768" s="3">
        <f>IF($AB768="","",IFERROR(INDEX('ASIGNACIONES'!$F$4:$F$339,MATCH($O768&amp;"|"&amp;$R768&amp;"|"&amp;$AB768,'ASIGNACIONES'!$I$4:$I$339,0)),""))</f>
        <v/>
      </c>
      <c r="AD768" s="13">
        <f>IF($AB768="","",SUMIFS('ORDENES'!$M$4:$M$1203,'ORDENES'!$AB$4:$AB$1203,$AB768,'ORDENES'!$O$4:$O$1203,$O768,'ORDENES'!$R$4:$R$1203,$R768))</f>
        <v/>
      </c>
      <c r="AE768" s="13">
        <f>IF($AD768="","",p_factor_productividad*IFERROR(INDEX('ASIGNACIONES'!$H$4:$H$339,MATCH($O768&amp;"|"&amp;$R768&amp;"|"&amp;$AB768,'ASIGNACIONES'!$I$4:$I$339,0)),0)-$AD768)</f>
        <v/>
      </c>
      <c r="AF768" s="10">
        <f>IF($A768="","",IFERROR(INDEX('2_IMPORTAR_EJECUCION'!$F$9:$F$1208,MATCH($AN768,'2_IMPORTAR_EJECUCION'!$J$9:$J$1208,0)),0))</f>
        <v/>
      </c>
      <c r="AG768" s="10">
        <f>IF($A768="","",MAX(0,IFERROR(INDEX('2_IMPORTAR_EJECUCION'!$H$9:$H$1208,MATCH($AN768,'2_IMPORTAR_EJECUCION'!$J$9:$J$1208,0)),0)-$AF768))</f>
        <v/>
      </c>
      <c r="AH768" s="10">
        <f>IF($A768="","",$AF768+$AG768)</f>
        <v/>
      </c>
      <c r="AI768" s="6" t="n"/>
      <c r="AJ768" s="6" t="n"/>
      <c r="AK768" s="6" t="n"/>
      <c r="AL768" s="3">
        <f>IF($AK768="","",HYPERLINK(p_ruta_base_checklists&amp;$AK768,"abrir"))</f>
        <v/>
      </c>
      <c r="AM768" s="6" t="n"/>
      <c r="AN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1" t="n"/>
      <c r="K769" s="3" t="n"/>
      <c r="L769" s="10" t="n"/>
      <c r="M769" s="3">
        <f>IF($A769="","",IFERROR(INDEX('AJUSTES'!$B$4:$B$303,MATCH($AN769,'AJUSTES'!$A$4:$A$303,0)),IF($K769="","",$K769)))</f>
        <v/>
      </c>
      <c r="N769" s="3">
        <f>IF($A769="","",IFERROR(INDEX('CAT_ESTADOS_ERP'!$B$4:$B$7,MATCH(IFERROR(INDEX('2_IMPORTAR_EJECUCION'!$C$9:$C$1208,MATCH($AN769,'2_IMPORTAR_EJECUCION'!$J$9:$J$1208,0)),""),'CAT_ESTADOS_ERP'!$A$4:$A$7,0)),"Pendiente"))</f>
        <v/>
      </c>
      <c r="O769" s="3">
        <f>IF($J769="","",YEAR($J769+4-WEEKDAY($J769,2))&amp;"-S"&amp;TEXT(_xlfn.ISOWEEKNUM($J769),"00"))</f>
        <v/>
      </c>
      <c r="P769" s="3">
        <f>IF($J769="","",YEAR($J769))</f>
        <v/>
      </c>
      <c r="Q769" s="3">
        <f>IF($J769="","",MONTH($J769))</f>
        <v/>
      </c>
      <c r="R769" s="3">
        <f>IF($J769="","",INDEX(lista_dias,WEEKDAY($J769,2)))</f>
        <v/>
      </c>
      <c r="S769" s="3">
        <f>IF($I769="","",IFERROR(INDEX('CAT_TIPOS_OT'!$C$4:$C$7,MATCH($I769,'CAT_TIPOS_OT'!$A$4:$A$7,0)),"sin_clasificar"))</f>
        <v/>
      </c>
      <c r="T769" s="3">
        <f>IF($F769="","",IFERROR(INDEX('CAT_CENTROS_COSTO'!$E$4:$E$9,MATCH($F769,'CAT_CENTROS_COSTO'!$A$4:$A$9,0)),"(sin catálogo)"))</f>
        <v/>
      </c>
      <c r="U769" s="3">
        <f>IF($F769="","",IFERROR(INDEX('CAT_CENTROS_COSTO'!$D$4:$D$9,MATCH($F769,'CAT_CENTROS_COSTO'!$A$4:$A$9,0)),"(sin catálogo)"))</f>
        <v/>
      </c>
      <c r="V769" s="3">
        <f>IF($F769="","",IFERROR(INDEX('CAT_CENTROS_COSTO'!$F$4:$F$9,MATCH($F769,'CAT_CENTROS_COSTO'!$A$4:$A$9,0)),"(sin catálogo)"))</f>
        <v/>
      </c>
      <c r="W769" s="3">
        <f>IF($G769="","",IFERROR(INDEX('CAT_PUESTOS'!$B$4:$B$8,MATCH($G769,'CAT_PUESTOS'!$A$4:$A$8,0)),"(sin catálogo)"))</f>
        <v/>
      </c>
      <c r="X769" s="3">
        <f>IF($H769="","",IFERROR(INDEX('CAT_ACTIVIDADES'!$B$4:$B$8,MATCH($H769,'CAT_ACTIVIDADES'!$A$4:$A$8,0)),"(sin catálogo)"))</f>
        <v/>
      </c>
      <c r="Y769" s="12">
        <f>IF($J769="","",TODAY()-$J769)</f>
        <v/>
      </c>
      <c r="Z769" s="3">
        <f>IF($Y769="","",IF($Y769&lt;0,"FUTURO",IF($Y769&gt;p_dias_backlog_max,"BACKLOG","MES CORRIENTE")))</f>
        <v/>
      </c>
      <c r="AA769" s="3">
        <f>IF($Y769="",FALSE,AND($Y769&gt;p_dias_backlog_min,$Y769&lt;=p_dias_backlog_max))</f>
        <v/>
      </c>
      <c r="AB769" s="6" t="n"/>
      <c r="AC769" s="3">
        <f>IF($AB769="","",IFERROR(INDEX('ASIGNACIONES'!$F$4:$F$339,MATCH($O769&amp;"|"&amp;$R769&amp;"|"&amp;$AB769,'ASIGNACIONES'!$I$4:$I$339,0)),""))</f>
        <v/>
      </c>
      <c r="AD769" s="13">
        <f>IF($AB769="","",SUMIFS('ORDENES'!$M$4:$M$1203,'ORDENES'!$AB$4:$AB$1203,$AB769,'ORDENES'!$O$4:$O$1203,$O769,'ORDENES'!$R$4:$R$1203,$R769))</f>
        <v/>
      </c>
      <c r="AE769" s="13">
        <f>IF($AD769="","",p_factor_productividad*IFERROR(INDEX('ASIGNACIONES'!$H$4:$H$339,MATCH($O769&amp;"|"&amp;$R769&amp;"|"&amp;$AB769,'ASIGNACIONES'!$I$4:$I$339,0)),0)-$AD769)</f>
        <v/>
      </c>
      <c r="AF769" s="10">
        <f>IF($A769="","",IFERROR(INDEX('2_IMPORTAR_EJECUCION'!$F$9:$F$1208,MATCH($AN769,'2_IMPORTAR_EJECUCION'!$J$9:$J$1208,0)),0))</f>
        <v/>
      </c>
      <c r="AG769" s="10">
        <f>IF($A769="","",MAX(0,IFERROR(INDEX('2_IMPORTAR_EJECUCION'!$H$9:$H$1208,MATCH($AN769,'2_IMPORTAR_EJECUCION'!$J$9:$J$1208,0)),0)-$AF769))</f>
        <v/>
      </c>
      <c r="AH769" s="10">
        <f>IF($A769="","",$AF769+$AG769)</f>
        <v/>
      </c>
      <c r="AI769" s="6" t="n"/>
      <c r="AJ769" s="6" t="n"/>
      <c r="AK769" s="6" t="n"/>
      <c r="AL769" s="3">
        <f>IF($AK769="","",HYPERLINK(p_ruta_base_checklists&amp;$AK769,"abrir"))</f>
        <v/>
      </c>
      <c r="AM769" s="6" t="n"/>
      <c r="AN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1" t="n"/>
      <c r="K770" s="3" t="n"/>
      <c r="L770" s="10" t="n"/>
      <c r="M770" s="3">
        <f>IF($A770="","",IFERROR(INDEX('AJUSTES'!$B$4:$B$303,MATCH($AN770,'AJUSTES'!$A$4:$A$303,0)),IF($K770="","",$K770)))</f>
        <v/>
      </c>
      <c r="N770" s="3">
        <f>IF($A770="","",IFERROR(INDEX('CAT_ESTADOS_ERP'!$B$4:$B$7,MATCH(IFERROR(INDEX('2_IMPORTAR_EJECUCION'!$C$9:$C$1208,MATCH($AN770,'2_IMPORTAR_EJECUCION'!$J$9:$J$1208,0)),""),'CAT_ESTADOS_ERP'!$A$4:$A$7,0)),"Pendiente"))</f>
        <v/>
      </c>
      <c r="O770" s="3">
        <f>IF($J770="","",YEAR($J770+4-WEEKDAY($J770,2))&amp;"-S"&amp;TEXT(_xlfn.ISOWEEKNUM($J770),"00"))</f>
        <v/>
      </c>
      <c r="P770" s="3">
        <f>IF($J770="","",YEAR($J770))</f>
        <v/>
      </c>
      <c r="Q770" s="3">
        <f>IF($J770="","",MONTH($J770))</f>
        <v/>
      </c>
      <c r="R770" s="3">
        <f>IF($J770="","",INDEX(lista_dias,WEEKDAY($J770,2)))</f>
        <v/>
      </c>
      <c r="S770" s="3">
        <f>IF($I770="","",IFERROR(INDEX('CAT_TIPOS_OT'!$C$4:$C$7,MATCH($I770,'CAT_TIPOS_OT'!$A$4:$A$7,0)),"sin_clasificar"))</f>
        <v/>
      </c>
      <c r="T770" s="3">
        <f>IF($F770="","",IFERROR(INDEX('CAT_CENTROS_COSTO'!$E$4:$E$9,MATCH($F770,'CAT_CENTROS_COSTO'!$A$4:$A$9,0)),"(sin catálogo)"))</f>
        <v/>
      </c>
      <c r="U770" s="3">
        <f>IF($F770="","",IFERROR(INDEX('CAT_CENTROS_COSTO'!$D$4:$D$9,MATCH($F770,'CAT_CENTROS_COSTO'!$A$4:$A$9,0)),"(sin catálogo)"))</f>
        <v/>
      </c>
      <c r="V770" s="3">
        <f>IF($F770="","",IFERROR(INDEX('CAT_CENTROS_COSTO'!$F$4:$F$9,MATCH($F770,'CAT_CENTROS_COSTO'!$A$4:$A$9,0)),"(sin catálogo)"))</f>
        <v/>
      </c>
      <c r="W770" s="3">
        <f>IF($G770="","",IFERROR(INDEX('CAT_PUESTOS'!$B$4:$B$8,MATCH($G770,'CAT_PUESTOS'!$A$4:$A$8,0)),"(sin catálogo)"))</f>
        <v/>
      </c>
      <c r="X770" s="3">
        <f>IF($H770="","",IFERROR(INDEX('CAT_ACTIVIDADES'!$B$4:$B$8,MATCH($H770,'CAT_ACTIVIDADES'!$A$4:$A$8,0)),"(sin catálogo)"))</f>
        <v/>
      </c>
      <c r="Y770" s="12">
        <f>IF($J770="","",TODAY()-$J770)</f>
        <v/>
      </c>
      <c r="Z770" s="3">
        <f>IF($Y770="","",IF($Y770&lt;0,"FUTURO",IF($Y770&gt;p_dias_backlog_max,"BACKLOG","MES CORRIENTE")))</f>
        <v/>
      </c>
      <c r="AA770" s="3">
        <f>IF($Y770="",FALSE,AND($Y770&gt;p_dias_backlog_min,$Y770&lt;=p_dias_backlog_max))</f>
        <v/>
      </c>
      <c r="AB770" s="6" t="n"/>
      <c r="AC770" s="3">
        <f>IF($AB770="","",IFERROR(INDEX('ASIGNACIONES'!$F$4:$F$339,MATCH($O770&amp;"|"&amp;$R770&amp;"|"&amp;$AB770,'ASIGNACIONES'!$I$4:$I$339,0)),""))</f>
        <v/>
      </c>
      <c r="AD770" s="13">
        <f>IF($AB770="","",SUMIFS('ORDENES'!$M$4:$M$1203,'ORDENES'!$AB$4:$AB$1203,$AB770,'ORDENES'!$O$4:$O$1203,$O770,'ORDENES'!$R$4:$R$1203,$R770))</f>
        <v/>
      </c>
      <c r="AE770" s="13">
        <f>IF($AD770="","",p_factor_productividad*IFERROR(INDEX('ASIGNACIONES'!$H$4:$H$339,MATCH($O770&amp;"|"&amp;$R770&amp;"|"&amp;$AB770,'ASIGNACIONES'!$I$4:$I$339,0)),0)-$AD770)</f>
        <v/>
      </c>
      <c r="AF770" s="10">
        <f>IF($A770="","",IFERROR(INDEX('2_IMPORTAR_EJECUCION'!$F$9:$F$1208,MATCH($AN770,'2_IMPORTAR_EJECUCION'!$J$9:$J$1208,0)),0))</f>
        <v/>
      </c>
      <c r="AG770" s="10">
        <f>IF($A770="","",MAX(0,IFERROR(INDEX('2_IMPORTAR_EJECUCION'!$H$9:$H$1208,MATCH($AN770,'2_IMPORTAR_EJECUCION'!$J$9:$J$1208,0)),0)-$AF770))</f>
        <v/>
      </c>
      <c r="AH770" s="10">
        <f>IF($A770="","",$AF770+$AG770)</f>
        <v/>
      </c>
      <c r="AI770" s="6" t="n"/>
      <c r="AJ770" s="6" t="n"/>
      <c r="AK770" s="6" t="n"/>
      <c r="AL770" s="3">
        <f>IF($AK770="","",HYPERLINK(p_ruta_base_checklists&amp;$AK770,"abrir"))</f>
        <v/>
      </c>
      <c r="AM770" s="6" t="n"/>
      <c r="AN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1" t="n"/>
      <c r="K771" s="3" t="n"/>
      <c r="L771" s="10" t="n"/>
      <c r="M771" s="3">
        <f>IF($A771="","",IFERROR(INDEX('AJUSTES'!$B$4:$B$303,MATCH($AN771,'AJUSTES'!$A$4:$A$303,0)),IF($K771="","",$K771)))</f>
        <v/>
      </c>
      <c r="N771" s="3">
        <f>IF($A771="","",IFERROR(INDEX('CAT_ESTADOS_ERP'!$B$4:$B$7,MATCH(IFERROR(INDEX('2_IMPORTAR_EJECUCION'!$C$9:$C$1208,MATCH($AN771,'2_IMPORTAR_EJECUCION'!$J$9:$J$1208,0)),""),'CAT_ESTADOS_ERP'!$A$4:$A$7,0)),"Pendiente"))</f>
        <v/>
      </c>
      <c r="O771" s="3">
        <f>IF($J771="","",YEAR($J771+4-WEEKDAY($J771,2))&amp;"-S"&amp;TEXT(_xlfn.ISOWEEKNUM($J771),"00"))</f>
        <v/>
      </c>
      <c r="P771" s="3">
        <f>IF($J771="","",YEAR($J771))</f>
        <v/>
      </c>
      <c r="Q771" s="3">
        <f>IF($J771="","",MONTH($J771))</f>
        <v/>
      </c>
      <c r="R771" s="3">
        <f>IF($J771="","",INDEX(lista_dias,WEEKDAY($J771,2)))</f>
        <v/>
      </c>
      <c r="S771" s="3">
        <f>IF($I771="","",IFERROR(INDEX('CAT_TIPOS_OT'!$C$4:$C$7,MATCH($I771,'CAT_TIPOS_OT'!$A$4:$A$7,0)),"sin_clasificar"))</f>
        <v/>
      </c>
      <c r="T771" s="3">
        <f>IF($F771="","",IFERROR(INDEX('CAT_CENTROS_COSTO'!$E$4:$E$9,MATCH($F771,'CAT_CENTROS_COSTO'!$A$4:$A$9,0)),"(sin catálogo)"))</f>
        <v/>
      </c>
      <c r="U771" s="3">
        <f>IF($F771="","",IFERROR(INDEX('CAT_CENTROS_COSTO'!$D$4:$D$9,MATCH($F771,'CAT_CENTROS_COSTO'!$A$4:$A$9,0)),"(sin catálogo)"))</f>
        <v/>
      </c>
      <c r="V771" s="3">
        <f>IF($F771="","",IFERROR(INDEX('CAT_CENTROS_COSTO'!$F$4:$F$9,MATCH($F771,'CAT_CENTROS_COSTO'!$A$4:$A$9,0)),"(sin catálogo)"))</f>
        <v/>
      </c>
      <c r="W771" s="3">
        <f>IF($G771="","",IFERROR(INDEX('CAT_PUESTOS'!$B$4:$B$8,MATCH($G771,'CAT_PUESTOS'!$A$4:$A$8,0)),"(sin catálogo)"))</f>
        <v/>
      </c>
      <c r="X771" s="3">
        <f>IF($H771="","",IFERROR(INDEX('CAT_ACTIVIDADES'!$B$4:$B$8,MATCH($H771,'CAT_ACTIVIDADES'!$A$4:$A$8,0)),"(sin catálogo)"))</f>
        <v/>
      </c>
      <c r="Y771" s="12">
        <f>IF($J771="","",TODAY()-$J771)</f>
        <v/>
      </c>
      <c r="Z771" s="3">
        <f>IF($Y771="","",IF($Y771&lt;0,"FUTURO",IF($Y771&gt;p_dias_backlog_max,"BACKLOG","MES CORRIENTE")))</f>
        <v/>
      </c>
      <c r="AA771" s="3">
        <f>IF($Y771="",FALSE,AND($Y771&gt;p_dias_backlog_min,$Y771&lt;=p_dias_backlog_max))</f>
        <v/>
      </c>
      <c r="AB771" s="6" t="n"/>
      <c r="AC771" s="3">
        <f>IF($AB771="","",IFERROR(INDEX('ASIGNACIONES'!$F$4:$F$339,MATCH($O771&amp;"|"&amp;$R771&amp;"|"&amp;$AB771,'ASIGNACIONES'!$I$4:$I$339,0)),""))</f>
        <v/>
      </c>
      <c r="AD771" s="13">
        <f>IF($AB771="","",SUMIFS('ORDENES'!$M$4:$M$1203,'ORDENES'!$AB$4:$AB$1203,$AB771,'ORDENES'!$O$4:$O$1203,$O771,'ORDENES'!$R$4:$R$1203,$R771))</f>
        <v/>
      </c>
      <c r="AE771" s="13">
        <f>IF($AD771="","",p_factor_productividad*IFERROR(INDEX('ASIGNACIONES'!$H$4:$H$339,MATCH($O771&amp;"|"&amp;$R771&amp;"|"&amp;$AB771,'ASIGNACIONES'!$I$4:$I$339,0)),0)-$AD771)</f>
        <v/>
      </c>
      <c r="AF771" s="10">
        <f>IF($A771="","",IFERROR(INDEX('2_IMPORTAR_EJECUCION'!$F$9:$F$1208,MATCH($AN771,'2_IMPORTAR_EJECUCION'!$J$9:$J$1208,0)),0))</f>
        <v/>
      </c>
      <c r="AG771" s="10">
        <f>IF($A771="","",MAX(0,IFERROR(INDEX('2_IMPORTAR_EJECUCION'!$H$9:$H$1208,MATCH($AN771,'2_IMPORTAR_EJECUCION'!$J$9:$J$1208,0)),0)-$AF771))</f>
        <v/>
      </c>
      <c r="AH771" s="10">
        <f>IF($A771="","",$AF771+$AG771)</f>
        <v/>
      </c>
      <c r="AI771" s="6" t="n"/>
      <c r="AJ771" s="6" t="n"/>
      <c r="AK771" s="6" t="n"/>
      <c r="AL771" s="3">
        <f>IF($AK771="","",HYPERLINK(p_ruta_base_checklists&amp;$AK771,"abrir"))</f>
        <v/>
      </c>
      <c r="AM771" s="6" t="n"/>
      <c r="AN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1" t="n"/>
      <c r="K772" s="3" t="n"/>
      <c r="L772" s="10" t="n"/>
      <c r="M772" s="3">
        <f>IF($A772="","",IFERROR(INDEX('AJUSTES'!$B$4:$B$303,MATCH($AN772,'AJUSTES'!$A$4:$A$303,0)),IF($K772="","",$K772)))</f>
        <v/>
      </c>
      <c r="N772" s="3">
        <f>IF($A772="","",IFERROR(INDEX('CAT_ESTADOS_ERP'!$B$4:$B$7,MATCH(IFERROR(INDEX('2_IMPORTAR_EJECUCION'!$C$9:$C$1208,MATCH($AN772,'2_IMPORTAR_EJECUCION'!$J$9:$J$1208,0)),""),'CAT_ESTADOS_ERP'!$A$4:$A$7,0)),"Pendiente"))</f>
        <v/>
      </c>
      <c r="O772" s="3">
        <f>IF($J772="","",YEAR($J772+4-WEEKDAY($J772,2))&amp;"-S"&amp;TEXT(_xlfn.ISOWEEKNUM($J772),"00"))</f>
        <v/>
      </c>
      <c r="P772" s="3">
        <f>IF($J772="","",YEAR($J772))</f>
        <v/>
      </c>
      <c r="Q772" s="3">
        <f>IF($J772="","",MONTH($J772))</f>
        <v/>
      </c>
      <c r="R772" s="3">
        <f>IF($J772="","",INDEX(lista_dias,WEEKDAY($J772,2)))</f>
        <v/>
      </c>
      <c r="S772" s="3">
        <f>IF($I772="","",IFERROR(INDEX('CAT_TIPOS_OT'!$C$4:$C$7,MATCH($I772,'CAT_TIPOS_OT'!$A$4:$A$7,0)),"sin_clasificar"))</f>
        <v/>
      </c>
      <c r="T772" s="3">
        <f>IF($F772="","",IFERROR(INDEX('CAT_CENTROS_COSTO'!$E$4:$E$9,MATCH($F772,'CAT_CENTROS_COSTO'!$A$4:$A$9,0)),"(sin catálogo)"))</f>
        <v/>
      </c>
      <c r="U772" s="3">
        <f>IF($F772="","",IFERROR(INDEX('CAT_CENTROS_COSTO'!$D$4:$D$9,MATCH($F772,'CAT_CENTROS_COSTO'!$A$4:$A$9,0)),"(sin catálogo)"))</f>
        <v/>
      </c>
      <c r="V772" s="3">
        <f>IF($F772="","",IFERROR(INDEX('CAT_CENTROS_COSTO'!$F$4:$F$9,MATCH($F772,'CAT_CENTROS_COSTO'!$A$4:$A$9,0)),"(sin catálogo)"))</f>
        <v/>
      </c>
      <c r="W772" s="3">
        <f>IF($G772="","",IFERROR(INDEX('CAT_PUESTOS'!$B$4:$B$8,MATCH($G772,'CAT_PUESTOS'!$A$4:$A$8,0)),"(sin catálogo)"))</f>
        <v/>
      </c>
      <c r="X772" s="3">
        <f>IF($H772="","",IFERROR(INDEX('CAT_ACTIVIDADES'!$B$4:$B$8,MATCH($H772,'CAT_ACTIVIDADES'!$A$4:$A$8,0)),"(sin catálogo)"))</f>
        <v/>
      </c>
      <c r="Y772" s="12">
        <f>IF($J772="","",TODAY()-$J772)</f>
        <v/>
      </c>
      <c r="Z772" s="3">
        <f>IF($Y772="","",IF($Y772&lt;0,"FUTURO",IF($Y772&gt;p_dias_backlog_max,"BACKLOG","MES CORRIENTE")))</f>
        <v/>
      </c>
      <c r="AA772" s="3">
        <f>IF($Y772="",FALSE,AND($Y772&gt;p_dias_backlog_min,$Y772&lt;=p_dias_backlog_max))</f>
        <v/>
      </c>
      <c r="AB772" s="6" t="n"/>
      <c r="AC772" s="3">
        <f>IF($AB772="","",IFERROR(INDEX('ASIGNACIONES'!$F$4:$F$339,MATCH($O772&amp;"|"&amp;$R772&amp;"|"&amp;$AB772,'ASIGNACIONES'!$I$4:$I$339,0)),""))</f>
        <v/>
      </c>
      <c r="AD772" s="13">
        <f>IF($AB772="","",SUMIFS('ORDENES'!$M$4:$M$1203,'ORDENES'!$AB$4:$AB$1203,$AB772,'ORDENES'!$O$4:$O$1203,$O772,'ORDENES'!$R$4:$R$1203,$R772))</f>
        <v/>
      </c>
      <c r="AE772" s="13">
        <f>IF($AD772="","",p_factor_productividad*IFERROR(INDEX('ASIGNACIONES'!$H$4:$H$339,MATCH($O772&amp;"|"&amp;$R772&amp;"|"&amp;$AB772,'ASIGNACIONES'!$I$4:$I$339,0)),0)-$AD772)</f>
        <v/>
      </c>
      <c r="AF772" s="10">
        <f>IF($A772="","",IFERROR(INDEX('2_IMPORTAR_EJECUCION'!$F$9:$F$1208,MATCH($AN772,'2_IMPORTAR_EJECUCION'!$J$9:$J$1208,0)),0))</f>
        <v/>
      </c>
      <c r="AG772" s="10">
        <f>IF($A772="","",MAX(0,IFERROR(INDEX('2_IMPORTAR_EJECUCION'!$H$9:$H$1208,MATCH($AN772,'2_IMPORTAR_EJECUCION'!$J$9:$J$1208,0)),0)-$AF772))</f>
        <v/>
      </c>
      <c r="AH772" s="10">
        <f>IF($A772="","",$AF772+$AG772)</f>
        <v/>
      </c>
      <c r="AI772" s="6" t="n"/>
      <c r="AJ772" s="6" t="n"/>
      <c r="AK772" s="6" t="n"/>
      <c r="AL772" s="3">
        <f>IF($AK772="","",HYPERLINK(p_ruta_base_checklists&amp;$AK772,"abrir"))</f>
        <v/>
      </c>
      <c r="AM772" s="6" t="n"/>
      <c r="AN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1" t="n"/>
      <c r="K773" s="3" t="n"/>
      <c r="L773" s="10" t="n"/>
      <c r="M773" s="3">
        <f>IF($A773="","",IFERROR(INDEX('AJUSTES'!$B$4:$B$303,MATCH($AN773,'AJUSTES'!$A$4:$A$303,0)),IF($K773="","",$K773)))</f>
        <v/>
      </c>
      <c r="N773" s="3">
        <f>IF($A773="","",IFERROR(INDEX('CAT_ESTADOS_ERP'!$B$4:$B$7,MATCH(IFERROR(INDEX('2_IMPORTAR_EJECUCION'!$C$9:$C$1208,MATCH($AN773,'2_IMPORTAR_EJECUCION'!$J$9:$J$1208,0)),""),'CAT_ESTADOS_ERP'!$A$4:$A$7,0)),"Pendiente"))</f>
        <v/>
      </c>
      <c r="O773" s="3">
        <f>IF($J773="","",YEAR($J773+4-WEEKDAY($J773,2))&amp;"-S"&amp;TEXT(_xlfn.ISOWEEKNUM($J773),"00"))</f>
        <v/>
      </c>
      <c r="P773" s="3">
        <f>IF($J773="","",YEAR($J773))</f>
        <v/>
      </c>
      <c r="Q773" s="3">
        <f>IF($J773="","",MONTH($J773))</f>
        <v/>
      </c>
      <c r="R773" s="3">
        <f>IF($J773="","",INDEX(lista_dias,WEEKDAY($J773,2)))</f>
        <v/>
      </c>
      <c r="S773" s="3">
        <f>IF($I773="","",IFERROR(INDEX('CAT_TIPOS_OT'!$C$4:$C$7,MATCH($I773,'CAT_TIPOS_OT'!$A$4:$A$7,0)),"sin_clasificar"))</f>
        <v/>
      </c>
      <c r="T773" s="3">
        <f>IF($F773="","",IFERROR(INDEX('CAT_CENTROS_COSTO'!$E$4:$E$9,MATCH($F773,'CAT_CENTROS_COSTO'!$A$4:$A$9,0)),"(sin catálogo)"))</f>
        <v/>
      </c>
      <c r="U773" s="3">
        <f>IF($F773="","",IFERROR(INDEX('CAT_CENTROS_COSTO'!$D$4:$D$9,MATCH($F773,'CAT_CENTROS_COSTO'!$A$4:$A$9,0)),"(sin catálogo)"))</f>
        <v/>
      </c>
      <c r="V773" s="3">
        <f>IF($F773="","",IFERROR(INDEX('CAT_CENTROS_COSTO'!$F$4:$F$9,MATCH($F773,'CAT_CENTROS_COSTO'!$A$4:$A$9,0)),"(sin catálogo)"))</f>
        <v/>
      </c>
      <c r="W773" s="3">
        <f>IF($G773="","",IFERROR(INDEX('CAT_PUESTOS'!$B$4:$B$8,MATCH($G773,'CAT_PUESTOS'!$A$4:$A$8,0)),"(sin catálogo)"))</f>
        <v/>
      </c>
      <c r="X773" s="3">
        <f>IF($H773="","",IFERROR(INDEX('CAT_ACTIVIDADES'!$B$4:$B$8,MATCH($H773,'CAT_ACTIVIDADES'!$A$4:$A$8,0)),"(sin catálogo)"))</f>
        <v/>
      </c>
      <c r="Y773" s="12">
        <f>IF($J773="","",TODAY()-$J773)</f>
        <v/>
      </c>
      <c r="Z773" s="3">
        <f>IF($Y773="","",IF($Y773&lt;0,"FUTURO",IF($Y773&gt;p_dias_backlog_max,"BACKLOG","MES CORRIENTE")))</f>
        <v/>
      </c>
      <c r="AA773" s="3">
        <f>IF($Y773="",FALSE,AND($Y773&gt;p_dias_backlog_min,$Y773&lt;=p_dias_backlog_max))</f>
        <v/>
      </c>
      <c r="AB773" s="6" t="n"/>
      <c r="AC773" s="3">
        <f>IF($AB773="","",IFERROR(INDEX('ASIGNACIONES'!$F$4:$F$339,MATCH($O773&amp;"|"&amp;$R773&amp;"|"&amp;$AB773,'ASIGNACIONES'!$I$4:$I$339,0)),""))</f>
        <v/>
      </c>
      <c r="AD773" s="13">
        <f>IF($AB773="","",SUMIFS('ORDENES'!$M$4:$M$1203,'ORDENES'!$AB$4:$AB$1203,$AB773,'ORDENES'!$O$4:$O$1203,$O773,'ORDENES'!$R$4:$R$1203,$R773))</f>
        <v/>
      </c>
      <c r="AE773" s="13">
        <f>IF($AD773="","",p_factor_productividad*IFERROR(INDEX('ASIGNACIONES'!$H$4:$H$339,MATCH($O773&amp;"|"&amp;$R773&amp;"|"&amp;$AB773,'ASIGNACIONES'!$I$4:$I$339,0)),0)-$AD773)</f>
        <v/>
      </c>
      <c r="AF773" s="10">
        <f>IF($A773="","",IFERROR(INDEX('2_IMPORTAR_EJECUCION'!$F$9:$F$1208,MATCH($AN773,'2_IMPORTAR_EJECUCION'!$J$9:$J$1208,0)),0))</f>
        <v/>
      </c>
      <c r="AG773" s="10">
        <f>IF($A773="","",MAX(0,IFERROR(INDEX('2_IMPORTAR_EJECUCION'!$H$9:$H$1208,MATCH($AN773,'2_IMPORTAR_EJECUCION'!$J$9:$J$1208,0)),0)-$AF773))</f>
        <v/>
      </c>
      <c r="AH773" s="10">
        <f>IF($A773="","",$AF773+$AG773)</f>
        <v/>
      </c>
      <c r="AI773" s="6" t="n"/>
      <c r="AJ773" s="6" t="n"/>
      <c r="AK773" s="6" t="n"/>
      <c r="AL773" s="3">
        <f>IF($AK773="","",HYPERLINK(p_ruta_base_checklists&amp;$AK773,"abrir"))</f>
        <v/>
      </c>
      <c r="AM773" s="6" t="n"/>
      <c r="AN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1" t="n"/>
      <c r="K774" s="3" t="n"/>
      <c r="L774" s="10" t="n"/>
      <c r="M774" s="3">
        <f>IF($A774="","",IFERROR(INDEX('AJUSTES'!$B$4:$B$303,MATCH($AN774,'AJUSTES'!$A$4:$A$303,0)),IF($K774="","",$K774)))</f>
        <v/>
      </c>
      <c r="N774" s="3">
        <f>IF($A774="","",IFERROR(INDEX('CAT_ESTADOS_ERP'!$B$4:$B$7,MATCH(IFERROR(INDEX('2_IMPORTAR_EJECUCION'!$C$9:$C$1208,MATCH($AN774,'2_IMPORTAR_EJECUCION'!$J$9:$J$1208,0)),""),'CAT_ESTADOS_ERP'!$A$4:$A$7,0)),"Pendiente"))</f>
        <v/>
      </c>
      <c r="O774" s="3">
        <f>IF($J774="","",YEAR($J774+4-WEEKDAY($J774,2))&amp;"-S"&amp;TEXT(_xlfn.ISOWEEKNUM($J774),"00"))</f>
        <v/>
      </c>
      <c r="P774" s="3">
        <f>IF($J774="","",YEAR($J774))</f>
        <v/>
      </c>
      <c r="Q774" s="3">
        <f>IF($J774="","",MONTH($J774))</f>
        <v/>
      </c>
      <c r="R774" s="3">
        <f>IF($J774="","",INDEX(lista_dias,WEEKDAY($J774,2)))</f>
        <v/>
      </c>
      <c r="S774" s="3">
        <f>IF($I774="","",IFERROR(INDEX('CAT_TIPOS_OT'!$C$4:$C$7,MATCH($I774,'CAT_TIPOS_OT'!$A$4:$A$7,0)),"sin_clasificar"))</f>
        <v/>
      </c>
      <c r="T774" s="3">
        <f>IF($F774="","",IFERROR(INDEX('CAT_CENTROS_COSTO'!$E$4:$E$9,MATCH($F774,'CAT_CENTROS_COSTO'!$A$4:$A$9,0)),"(sin catálogo)"))</f>
        <v/>
      </c>
      <c r="U774" s="3">
        <f>IF($F774="","",IFERROR(INDEX('CAT_CENTROS_COSTO'!$D$4:$D$9,MATCH($F774,'CAT_CENTROS_COSTO'!$A$4:$A$9,0)),"(sin catálogo)"))</f>
        <v/>
      </c>
      <c r="V774" s="3">
        <f>IF($F774="","",IFERROR(INDEX('CAT_CENTROS_COSTO'!$F$4:$F$9,MATCH($F774,'CAT_CENTROS_COSTO'!$A$4:$A$9,0)),"(sin catálogo)"))</f>
        <v/>
      </c>
      <c r="W774" s="3">
        <f>IF($G774="","",IFERROR(INDEX('CAT_PUESTOS'!$B$4:$B$8,MATCH($G774,'CAT_PUESTOS'!$A$4:$A$8,0)),"(sin catálogo)"))</f>
        <v/>
      </c>
      <c r="X774" s="3">
        <f>IF($H774="","",IFERROR(INDEX('CAT_ACTIVIDADES'!$B$4:$B$8,MATCH($H774,'CAT_ACTIVIDADES'!$A$4:$A$8,0)),"(sin catálogo)"))</f>
        <v/>
      </c>
      <c r="Y774" s="12">
        <f>IF($J774="","",TODAY()-$J774)</f>
        <v/>
      </c>
      <c r="Z774" s="3">
        <f>IF($Y774="","",IF($Y774&lt;0,"FUTURO",IF($Y774&gt;p_dias_backlog_max,"BACKLOG","MES CORRIENTE")))</f>
        <v/>
      </c>
      <c r="AA774" s="3">
        <f>IF($Y774="",FALSE,AND($Y774&gt;p_dias_backlog_min,$Y774&lt;=p_dias_backlog_max))</f>
        <v/>
      </c>
      <c r="AB774" s="6" t="n"/>
      <c r="AC774" s="3">
        <f>IF($AB774="","",IFERROR(INDEX('ASIGNACIONES'!$F$4:$F$339,MATCH($O774&amp;"|"&amp;$R774&amp;"|"&amp;$AB774,'ASIGNACIONES'!$I$4:$I$339,0)),""))</f>
        <v/>
      </c>
      <c r="AD774" s="13">
        <f>IF($AB774="","",SUMIFS('ORDENES'!$M$4:$M$1203,'ORDENES'!$AB$4:$AB$1203,$AB774,'ORDENES'!$O$4:$O$1203,$O774,'ORDENES'!$R$4:$R$1203,$R774))</f>
        <v/>
      </c>
      <c r="AE774" s="13">
        <f>IF($AD774="","",p_factor_productividad*IFERROR(INDEX('ASIGNACIONES'!$H$4:$H$339,MATCH($O774&amp;"|"&amp;$R774&amp;"|"&amp;$AB774,'ASIGNACIONES'!$I$4:$I$339,0)),0)-$AD774)</f>
        <v/>
      </c>
      <c r="AF774" s="10">
        <f>IF($A774="","",IFERROR(INDEX('2_IMPORTAR_EJECUCION'!$F$9:$F$1208,MATCH($AN774,'2_IMPORTAR_EJECUCION'!$J$9:$J$1208,0)),0))</f>
        <v/>
      </c>
      <c r="AG774" s="10">
        <f>IF($A774="","",MAX(0,IFERROR(INDEX('2_IMPORTAR_EJECUCION'!$H$9:$H$1208,MATCH($AN774,'2_IMPORTAR_EJECUCION'!$J$9:$J$1208,0)),0)-$AF774))</f>
        <v/>
      </c>
      <c r="AH774" s="10">
        <f>IF($A774="","",$AF774+$AG774)</f>
        <v/>
      </c>
      <c r="AI774" s="6" t="n"/>
      <c r="AJ774" s="6" t="n"/>
      <c r="AK774" s="6" t="n"/>
      <c r="AL774" s="3">
        <f>IF($AK774="","",HYPERLINK(p_ruta_base_checklists&amp;$AK774,"abrir"))</f>
        <v/>
      </c>
      <c r="AM774" s="6" t="n"/>
      <c r="AN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1" t="n"/>
      <c r="K775" s="3" t="n"/>
      <c r="L775" s="10" t="n"/>
      <c r="M775" s="3">
        <f>IF($A775="","",IFERROR(INDEX('AJUSTES'!$B$4:$B$303,MATCH($AN775,'AJUSTES'!$A$4:$A$303,0)),IF($K775="","",$K775)))</f>
        <v/>
      </c>
      <c r="N775" s="3">
        <f>IF($A775="","",IFERROR(INDEX('CAT_ESTADOS_ERP'!$B$4:$B$7,MATCH(IFERROR(INDEX('2_IMPORTAR_EJECUCION'!$C$9:$C$1208,MATCH($AN775,'2_IMPORTAR_EJECUCION'!$J$9:$J$1208,0)),""),'CAT_ESTADOS_ERP'!$A$4:$A$7,0)),"Pendiente"))</f>
        <v/>
      </c>
      <c r="O775" s="3">
        <f>IF($J775="","",YEAR($J775+4-WEEKDAY($J775,2))&amp;"-S"&amp;TEXT(_xlfn.ISOWEEKNUM($J775),"00"))</f>
        <v/>
      </c>
      <c r="P775" s="3">
        <f>IF($J775="","",YEAR($J775))</f>
        <v/>
      </c>
      <c r="Q775" s="3">
        <f>IF($J775="","",MONTH($J775))</f>
        <v/>
      </c>
      <c r="R775" s="3">
        <f>IF($J775="","",INDEX(lista_dias,WEEKDAY($J775,2)))</f>
        <v/>
      </c>
      <c r="S775" s="3">
        <f>IF($I775="","",IFERROR(INDEX('CAT_TIPOS_OT'!$C$4:$C$7,MATCH($I775,'CAT_TIPOS_OT'!$A$4:$A$7,0)),"sin_clasificar"))</f>
        <v/>
      </c>
      <c r="T775" s="3">
        <f>IF($F775="","",IFERROR(INDEX('CAT_CENTROS_COSTO'!$E$4:$E$9,MATCH($F775,'CAT_CENTROS_COSTO'!$A$4:$A$9,0)),"(sin catálogo)"))</f>
        <v/>
      </c>
      <c r="U775" s="3">
        <f>IF($F775="","",IFERROR(INDEX('CAT_CENTROS_COSTO'!$D$4:$D$9,MATCH($F775,'CAT_CENTROS_COSTO'!$A$4:$A$9,0)),"(sin catálogo)"))</f>
        <v/>
      </c>
      <c r="V775" s="3">
        <f>IF($F775="","",IFERROR(INDEX('CAT_CENTROS_COSTO'!$F$4:$F$9,MATCH($F775,'CAT_CENTROS_COSTO'!$A$4:$A$9,0)),"(sin catálogo)"))</f>
        <v/>
      </c>
      <c r="W775" s="3">
        <f>IF($G775="","",IFERROR(INDEX('CAT_PUESTOS'!$B$4:$B$8,MATCH($G775,'CAT_PUESTOS'!$A$4:$A$8,0)),"(sin catálogo)"))</f>
        <v/>
      </c>
      <c r="X775" s="3">
        <f>IF($H775="","",IFERROR(INDEX('CAT_ACTIVIDADES'!$B$4:$B$8,MATCH($H775,'CAT_ACTIVIDADES'!$A$4:$A$8,0)),"(sin catálogo)"))</f>
        <v/>
      </c>
      <c r="Y775" s="12">
        <f>IF($J775="","",TODAY()-$J775)</f>
        <v/>
      </c>
      <c r="Z775" s="3">
        <f>IF($Y775="","",IF($Y775&lt;0,"FUTURO",IF($Y775&gt;p_dias_backlog_max,"BACKLOG","MES CORRIENTE")))</f>
        <v/>
      </c>
      <c r="AA775" s="3">
        <f>IF($Y775="",FALSE,AND($Y775&gt;p_dias_backlog_min,$Y775&lt;=p_dias_backlog_max))</f>
        <v/>
      </c>
      <c r="AB775" s="6" t="n"/>
      <c r="AC775" s="3">
        <f>IF($AB775="","",IFERROR(INDEX('ASIGNACIONES'!$F$4:$F$339,MATCH($O775&amp;"|"&amp;$R775&amp;"|"&amp;$AB775,'ASIGNACIONES'!$I$4:$I$339,0)),""))</f>
        <v/>
      </c>
      <c r="AD775" s="13">
        <f>IF($AB775="","",SUMIFS('ORDENES'!$M$4:$M$1203,'ORDENES'!$AB$4:$AB$1203,$AB775,'ORDENES'!$O$4:$O$1203,$O775,'ORDENES'!$R$4:$R$1203,$R775))</f>
        <v/>
      </c>
      <c r="AE775" s="13">
        <f>IF($AD775="","",p_factor_productividad*IFERROR(INDEX('ASIGNACIONES'!$H$4:$H$339,MATCH($O775&amp;"|"&amp;$R775&amp;"|"&amp;$AB775,'ASIGNACIONES'!$I$4:$I$339,0)),0)-$AD775)</f>
        <v/>
      </c>
      <c r="AF775" s="10">
        <f>IF($A775="","",IFERROR(INDEX('2_IMPORTAR_EJECUCION'!$F$9:$F$1208,MATCH($AN775,'2_IMPORTAR_EJECUCION'!$J$9:$J$1208,0)),0))</f>
        <v/>
      </c>
      <c r="AG775" s="10">
        <f>IF($A775="","",MAX(0,IFERROR(INDEX('2_IMPORTAR_EJECUCION'!$H$9:$H$1208,MATCH($AN775,'2_IMPORTAR_EJECUCION'!$J$9:$J$1208,0)),0)-$AF775))</f>
        <v/>
      </c>
      <c r="AH775" s="10">
        <f>IF($A775="","",$AF775+$AG775)</f>
        <v/>
      </c>
      <c r="AI775" s="6" t="n"/>
      <c r="AJ775" s="6" t="n"/>
      <c r="AK775" s="6" t="n"/>
      <c r="AL775" s="3">
        <f>IF($AK775="","",HYPERLINK(p_ruta_base_checklists&amp;$AK775,"abrir"))</f>
        <v/>
      </c>
      <c r="AM775" s="6" t="n"/>
      <c r="AN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1" t="n"/>
      <c r="K776" s="3" t="n"/>
      <c r="L776" s="10" t="n"/>
      <c r="M776" s="3">
        <f>IF($A776="","",IFERROR(INDEX('AJUSTES'!$B$4:$B$303,MATCH($AN776,'AJUSTES'!$A$4:$A$303,0)),IF($K776="","",$K776)))</f>
        <v/>
      </c>
      <c r="N776" s="3">
        <f>IF($A776="","",IFERROR(INDEX('CAT_ESTADOS_ERP'!$B$4:$B$7,MATCH(IFERROR(INDEX('2_IMPORTAR_EJECUCION'!$C$9:$C$1208,MATCH($AN776,'2_IMPORTAR_EJECUCION'!$J$9:$J$1208,0)),""),'CAT_ESTADOS_ERP'!$A$4:$A$7,0)),"Pendiente"))</f>
        <v/>
      </c>
      <c r="O776" s="3">
        <f>IF($J776="","",YEAR($J776+4-WEEKDAY($J776,2))&amp;"-S"&amp;TEXT(_xlfn.ISOWEEKNUM($J776),"00"))</f>
        <v/>
      </c>
      <c r="P776" s="3">
        <f>IF($J776="","",YEAR($J776))</f>
        <v/>
      </c>
      <c r="Q776" s="3">
        <f>IF($J776="","",MONTH($J776))</f>
        <v/>
      </c>
      <c r="R776" s="3">
        <f>IF($J776="","",INDEX(lista_dias,WEEKDAY($J776,2)))</f>
        <v/>
      </c>
      <c r="S776" s="3">
        <f>IF($I776="","",IFERROR(INDEX('CAT_TIPOS_OT'!$C$4:$C$7,MATCH($I776,'CAT_TIPOS_OT'!$A$4:$A$7,0)),"sin_clasificar"))</f>
        <v/>
      </c>
      <c r="T776" s="3">
        <f>IF($F776="","",IFERROR(INDEX('CAT_CENTROS_COSTO'!$E$4:$E$9,MATCH($F776,'CAT_CENTROS_COSTO'!$A$4:$A$9,0)),"(sin catálogo)"))</f>
        <v/>
      </c>
      <c r="U776" s="3">
        <f>IF($F776="","",IFERROR(INDEX('CAT_CENTROS_COSTO'!$D$4:$D$9,MATCH($F776,'CAT_CENTROS_COSTO'!$A$4:$A$9,0)),"(sin catálogo)"))</f>
        <v/>
      </c>
      <c r="V776" s="3">
        <f>IF($F776="","",IFERROR(INDEX('CAT_CENTROS_COSTO'!$F$4:$F$9,MATCH($F776,'CAT_CENTROS_COSTO'!$A$4:$A$9,0)),"(sin catálogo)"))</f>
        <v/>
      </c>
      <c r="W776" s="3">
        <f>IF($G776="","",IFERROR(INDEX('CAT_PUESTOS'!$B$4:$B$8,MATCH($G776,'CAT_PUESTOS'!$A$4:$A$8,0)),"(sin catálogo)"))</f>
        <v/>
      </c>
      <c r="X776" s="3">
        <f>IF($H776="","",IFERROR(INDEX('CAT_ACTIVIDADES'!$B$4:$B$8,MATCH($H776,'CAT_ACTIVIDADES'!$A$4:$A$8,0)),"(sin catálogo)"))</f>
        <v/>
      </c>
      <c r="Y776" s="12">
        <f>IF($J776="","",TODAY()-$J776)</f>
        <v/>
      </c>
      <c r="Z776" s="3">
        <f>IF($Y776="","",IF($Y776&lt;0,"FUTURO",IF($Y776&gt;p_dias_backlog_max,"BACKLOG","MES CORRIENTE")))</f>
        <v/>
      </c>
      <c r="AA776" s="3">
        <f>IF($Y776="",FALSE,AND($Y776&gt;p_dias_backlog_min,$Y776&lt;=p_dias_backlog_max))</f>
        <v/>
      </c>
      <c r="AB776" s="6" t="n"/>
      <c r="AC776" s="3">
        <f>IF($AB776="","",IFERROR(INDEX('ASIGNACIONES'!$F$4:$F$339,MATCH($O776&amp;"|"&amp;$R776&amp;"|"&amp;$AB776,'ASIGNACIONES'!$I$4:$I$339,0)),""))</f>
        <v/>
      </c>
      <c r="AD776" s="13">
        <f>IF($AB776="","",SUMIFS('ORDENES'!$M$4:$M$1203,'ORDENES'!$AB$4:$AB$1203,$AB776,'ORDENES'!$O$4:$O$1203,$O776,'ORDENES'!$R$4:$R$1203,$R776))</f>
        <v/>
      </c>
      <c r="AE776" s="13">
        <f>IF($AD776="","",p_factor_productividad*IFERROR(INDEX('ASIGNACIONES'!$H$4:$H$339,MATCH($O776&amp;"|"&amp;$R776&amp;"|"&amp;$AB776,'ASIGNACIONES'!$I$4:$I$339,0)),0)-$AD776)</f>
        <v/>
      </c>
      <c r="AF776" s="10">
        <f>IF($A776="","",IFERROR(INDEX('2_IMPORTAR_EJECUCION'!$F$9:$F$1208,MATCH($AN776,'2_IMPORTAR_EJECUCION'!$J$9:$J$1208,0)),0))</f>
        <v/>
      </c>
      <c r="AG776" s="10">
        <f>IF($A776="","",MAX(0,IFERROR(INDEX('2_IMPORTAR_EJECUCION'!$H$9:$H$1208,MATCH($AN776,'2_IMPORTAR_EJECUCION'!$J$9:$J$1208,0)),0)-$AF776))</f>
        <v/>
      </c>
      <c r="AH776" s="10">
        <f>IF($A776="","",$AF776+$AG776)</f>
        <v/>
      </c>
      <c r="AI776" s="6" t="n"/>
      <c r="AJ776" s="6" t="n"/>
      <c r="AK776" s="6" t="n"/>
      <c r="AL776" s="3">
        <f>IF($AK776="","",HYPERLINK(p_ruta_base_checklists&amp;$AK776,"abrir"))</f>
        <v/>
      </c>
      <c r="AM776" s="6" t="n"/>
      <c r="AN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1" t="n"/>
      <c r="K777" s="3" t="n"/>
      <c r="L777" s="10" t="n"/>
      <c r="M777" s="3">
        <f>IF($A777="","",IFERROR(INDEX('AJUSTES'!$B$4:$B$303,MATCH($AN777,'AJUSTES'!$A$4:$A$303,0)),IF($K777="","",$K777)))</f>
        <v/>
      </c>
      <c r="N777" s="3">
        <f>IF($A777="","",IFERROR(INDEX('CAT_ESTADOS_ERP'!$B$4:$B$7,MATCH(IFERROR(INDEX('2_IMPORTAR_EJECUCION'!$C$9:$C$1208,MATCH($AN777,'2_IMPORTAR_EJECUCION'!$J$9:$J$1208,0)),""),'CAT_ESTADOS_ERP'!$A$4:$A$7,0)),"Pendiente"))</f>
        <v/>
      </c>
      <c r="O777" s="3">
        <f>IF($J777="","",YEAR($J777+4-WEEKDAY($J777,2))&amp;"-S"&amp;TEXT(_xlfn.ISOWEEKNUM($J777),"00"))</f>
        <v/>
      </c>
      <c r="P777" s="3">
        <f>IF($J777="","",YEAR($J777))</f>
        <v/>
      </c>
      <c r="Q777" s="3">
        <f>IF($J777="","",MONTH($J777))</f>
        <v/>
      </c>
      <c r="R777" s="3">
        <f>IF($J777="","",INDEX(lista_dias,WEEKDAY($J777,2)))</f>
        <v/>
      </c>
      <c r="S777" s="3">
        <f>IF($I777="","",IFERROR(INDEX('CAT_TIPOS_OT'!$C$4:$C$7,MATCH($I777,'CAT_TIPOS_OT'!$A$4:$A$7,0)),"sin_clasificar"))</f>
        <v/>
      </c>
      <c r="T777" s="3">
        <f>IF($F777="","",IFERROR(INDEX('CAT_CENTROS_COSTO'!$E$4:$E$9,MATCH($F777,'CAT_CENTROS_COSTO'!$A$4:$A$9,0)),"(sin catálogo)"))</f>
        <v/>
      </c>
      <c r="U777" s="3">
        <f>IF($F777="","",IFERROR(INDEX('CAT_CENTROS_COSTO'!$D$4:$D$9,MATCH($F777,'CAT_CENTROS_COSTO'!$A$4:$A$9,0)),"(sin catálogo)"))</f>
        <v/>
      </c>
      <c r="V777" s="3">
        <f>IF($F777="","",IFERROR(INDEX('CAT_CENTROS_COSTO'!$F$4:$F$9,MATCH($F777,'CAT_CENTROS_COSTO'!$A$4:$A$9,0)),"(sin catálogo)"))</f>
        <v/>
      </c>
      <c r="W777" s="3">
        <f>IF($G777="","",IFERROR(INDEX('CAT_PUESTOS'!$B$4:$B$8,MATCH($G777,'CAT_PUESTOS'!$A$4:$A$8,0)),"(sin catálogo)"))</f>
        <v/>
      </c>
      <c r="X777" s="3">
        <f>IF($H777="","",IFERROR(INDEX('CAT_ACTIVIDADES'!$B$4:$B$8,MATCH($H777,'CAT_ACTIVIDADES'!$A$4:$A$8,0)),"(sin catálogo)"))</f>
        <v/>
      </c>
      <c r="Y777" s="12">
        <f>IF($J777="","",TODAY()-$J777)</f>
        <v/>
      </c>
      <c r="Z777" s="3">
        <f>IF($Y777="","",IF($Y777&lt;0,"FUTURO",IF($Y777&gt;p_dias_backlog_max,"BACKLOG","MES CORRIENTE")))</f>
        <v/>
      </c>
      <c r="AA777" s="3">
        <f>IF($Y777="",FALSE,AND($Y777&gt;p_dias_backlog_min,$Y777&lt;=p_dias_backlog_max))</f>
        <v/>
      </c>
      <c r="AB777" s="6" t="n"/>
      <c r="AC777" s="3">
        <f>IF($AB777="","",IFERROR(INDEX('ASIGNACIONES'!$F$4:$F$339,MATCH($O777&amp;"|"&amp;$R777&amp;"|"&amp;$AB777,'ASIGNACIONES'!$I$4:$I$339,0)),""))</f>
        <v/>
      </c>
      <c r="AD777" s="13">
        <f>IF($AB777="","",SUMIFS('ORDENES'!$M$4:$M$1203,'ORDENES'!$AB$4:$AB$1203,$AB777,'ORDENES'!$O$4:$O$1203,$O777,'ORDENES'!$R$4:$R$1203,$R777))</f>
        <v/>
      </c>
      <c r="AE777" s="13">
        <f>IF($AD777="","",p_factor_productividad*IFERROR(INDEX('ASIGNACIONES'!$H$4:$H$339,MATCH($O777&amp;"|"&amp;$R777&amp;"|"&amp;$AB777,'ASIGNACIONES'!$I$4:$I$339,0)),0)-$AD777)</f>
        <v/>
      </c>
      <c r="AF777" s="10">
        <f>IF($A777="","",IFERROR(INDEX('2_IMPORTAR_EJECUCION'!$F$9:$F$1208,MATCH($AN777,'2_IMPORTAR_EJECUCION'!$J$9:$J$1208,0)),0))</f>
        <v/>
      </c>
      <c r="AG777" s="10">
        <f>IF($A777="","",MAX(0,IFERROR(INDEX('2_IMPORTAR_EJECUCION'!$H$9:$H$1208,MATCH($AN777,'2_IMPORTAR_EJECUCION'!$J$9:$J$1208,0)),0)-$AF777))</f>
        <v/>
      </c>
      <c r="AH777" s="10">
        <f>IF($A777="","",$AF777+$AG777)</f>
        <v/>
      </c>
      <c r="AI777" s="6" t="n"/>
      <c r="AJ777" s="6" t="n"/>
      <c r="AK777" s="6" t="n"/>
      <c r="AL777" s="3">
        <f>IF($AK777="","",HYPERLINK(p_ruta_base_checklists&amp;$AK777,"abrir"))</f>
        <v/>
      </c>
      <c r="AM777" s="6" t="n"/>
      <c r="AN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1" t="n"/>
      <c r="K778" s="3" t="n"/>
      <c r="L778" s="10" t="n"/>
      <c r="M778" s="3">
        <f>IF($A778="","",IFERROR(INDEX('AJUSTES'!$B$4:$B$303,MATCH($AN778,'AJUSTES'!$A$4:$A$303,0)),IF($K778="","",$K778)))</f>
        <v/>
      </c>
      <c r="N778" s="3">
        <f>IF($A778="","",IFERROR(INDEX('CAT_ESTADOS_ERP'!$B$4:$B$7,MATCH(IFERROR(INDEX('2_IMPORTAR_EJECUCION'!$C$9:$C$1208,MATCH($AN778,'2_IMPORTAR_EJECUCION'!$J$9:$J$1208,0)),""),'CAT_ESTADOS_ERP'!$A$4:$A$7,0)),"Pendiente"))</f>
        <v/>
      </c>
      <c r="O778" s="3">
        <f>IF($J778="","",YEAR($J778+4-WEEKDAY($J778,2))&amp;"-S"&amp;TEXT(_xlfn.ISOWEEKNUM($J778),"00"))</f>
        <v/>
      </c>
      <c r="P778" s="3">
        <f>IF($J778="","",YEAR($J778))</f>
        <v/>
      </c>
      <c r="Q778" s="3">
        <f>IF($J778="","",MONTH($J778))</f>
        <v/>
      </c>
      <c r="R778" s="3">
        <f>IF($J778="","",INDEX(lista_dias,WEEKDAY($J778,2)))</f>
        <v/>
      </c>
      <c r="S778" s="3">
        <f>IF($I778="","",IFERROR(INDEX('CAT_TIPOS_OT'!$C$4:$C$7,MATCH($I778,'CAT_TIPOS_OT'!$A$4:$A$7,0)),"sin_clasificar"))</f>
        <v/>
      </c>
      <c r="T778" s="3">
        <f>IF($F778="","",IFERROR(INDEX('CAT_CENTROS_COSTO'!$E$4:$E$9,MATCH($F778,'CAT_CENTROS_COSTO'!$A$4:$A$9,0)),"(sin catálogo)"))</f>
        <v/>
      </c>
      <c r="U778" s="3">
        <f>IF($F778="","",IFERROR(INDEX('CAT_CENTROS_COSTO'!$D$4:$D$9,MATCH($F778,'CAT_CENTROS_COSTO'!$A$4:$A$9,0)),"(sin catálogo)"))</f>
        <v/>
      </c>
      <c r="V778" s="3">
        <f>IF($F778="","",IFERROR(INDEX('CAT_CENTROS_COSTO'!$F$4:$F$9,MATCH($F778,'CAT_CENTROS_COSTO'!$A$4:$A$9,0)),"(sin catálogo)"))</f>
        <v/>
      </c>
      <c r="W778" s="3">
        <f>IF($G778="","",IFERROR(INDEX('CAT_PUESTOS'!$B$4:$B$8,MATCH($G778,'CAT_PUESTOS'!$A$4:$A$8,0)),"(sin catálogo)"))</f>
        <v/>
      </c>
      <c r="X778" s="3">
        <f>IF($H778="","",IFERROR(INDEX('CAT_ACTIVIDADES'!$B$4:$B$8,MATCH($H778,'CAT_ACTIVIDADES'!$A$4:$A$8,0)),"(sin catálogo)"))</f>
        <v/>
      </c>
      <c r="Y778" s="12">
        <f>IF($J778="","",TODAY()-$J778)</f>
        <v/>
      </c>
      <c r="Z778" s="3">
        <f>IF($Y778="","",IF($Y778&lt;0,"FUTURO",IF($Y778&gt;p_dias_backlog_max,"BACKLOG","MES CORRIENTE")))</f>
        <v/>
      </c>
      <c r="AA778" s="3">
        <f>IF($Y778="",FALSE,AND($Y778&gt;p_dias_backlog_min,$Y778&lt;=p_dias_backlog_max))</f>
        <v/>
      </c>
      <c r="AB778" s="6" t="n"/>
      <c r="AC778" s="3">
        <f>IF($AB778="","",IFERROR(INDEX('ASIGNACIONES'!$F$4:$F$339,MATCH($O778&amp;"|"&amp;$R778&amp;"|"&amp;$AB778,'ASIGNACIONES'!$I$4:$I$339,0)),""))</f>
        <v/>
      </c>
      <c r="AD778" s="13">
        <f>IF($AB778="","",SUMIFS('ORDENES'!$M$4:$M$1203,'ORDENES'!$AB$4:$AB$1203,$AB778,'ORDENES'!$O$4:$O$1203,$O778,'ORDENES'!$R$4:$R$1203,$R778))</f>
        <v/>
      </c>
      <c r="AE778" s="13">
        <f>IF($AD778="","",p_factor_productividad*IFERROR(INDEX('ASIGNACIONES'!$H$4:$H$339,MATCH($O778&amp;"|"&amp;$R778&amp;"|"&amp;$AB778,'ASIGNACIONES'!$I$4:$I$339,0)),0)-$AD778)</f>
        <v/>
      </c>
      <c r="AF778" s="10">
        <f>IF($A778="","",IFERROR(INDEX('2_IMPORTAR_EJECUCION'!$F$9:$F$1208,MATCH($AN778,'2_IMPORTAR_EJECUCION'!$J$9:$J$1208,0)),0))</f>
        <v/>
      </c>
      <c r="AG778" s="10">
        <f>IF($A778="","",MAX(0,IFERROR(INDEX('2_IMPORTAR_EJECUCION'!$H$9:$H$1208,MATCH($AN778,'2_IMPORTAR_EJECUCION'!$J$9:$J$1208,0)),0)-$AF778))</f>
        <v/>
      </c>
      <c r="AH778" s="10">
        <f>IF($A778="","",$AF778+$AG778)</f>
        <v/>
      </c>
      <c r="AI778" s="6" t="n"/>
      <c r="AJ778" s="6" t="n"/>
      <c r="AK778" s="6" t="n"/>
      <c r="AL778" s="3">
        <f>IF($AK778="","",HYPERLINK(p_ruta_base_checklists&amp;$AK778,"abrir"))</f>
        <v/>
      </c>
      <c r="AM778" s="6" t="n"/>
      <c r="AN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1" t="n"/>
      <c r="K779" s="3" t="n"/>
      <c r="L779" s="10" t="n"/>
      <c r="M779" s="3">
        <f>IF($A779="","",IFERROR(INDEX('AJUSTES'!$B$4:$B$303,MATCH($AN779,'AJUSTES'!$A$4:$A$303,0)),IF($K779="","",$K779)))</f>
        <v/>
      </c>
      <c r="N779" s="3">
        <f>IF($A779="","",IFERROR(INDEX('CAT_ESTADOS_ERP'!$B$4:$B$7,MATCH(IFERROR(INDEX('2_IMPORTAR_EJECUCION'!$C$9:$C$1208,MATCH($AN779,'2_IMPORTAR_EJECUCION'!$J$9:$J$1208,0)),""),'CAT_ESTADOS_ERP'!$A$4:$A$7,0)),"Pendiente"))</f>
        <v/>
      </c>
      <c r="O779" s="3">
        <f>IF($J779="","",YEAR($J779+4-WEEKDAY($J779,2))&amp;"-S"&amp;TEXT(_xlfn.ISOWEEKNUM($J779),"00"))</f>
        <v/>
      </c>
      <c r="P779" s="3">
        <f>IF($J779="","",YEAR($J779))</f>
        <v/>
      </c>
      <c r="Q779" s="3">
        <f>IF($J779="","",MONTH($J779))</f>
        <v/>
      </c>
      <c r="R779" s="3">
        <f>IF($J779="","",INDEX(lista_dias,WEEKDAY($J779,2)))</f>
        <v/>
      </c>
      <c r="S779" s="3">
        <f>IF($I779="","",IFERROR(INDEX('CAT_TIPOS_OT'!$C$4:$C$7,MATCH($I779,'CAT_TIPOS_OT'!$A$4:$A$7,0)),"sin_clasificar"))</f>
        <v/>
      </c>
      <c r="T779" s="3">
        <f>IF($F779="","",IFERROR(INDEX('CAT_CENTROS_COSTO'!$E$4:$E$9,MATCH($F779,'CAT_CENTROS_COSTO'!$A$4:$A$9,0)),"(sin catálogo)"))</f>
        <v/>
      </c>
      <c r="U779" s="3">
        <f>IF($F779="","",IFERROR(INDEX('CAT_CENTROS_COSTO'!$D$4:$D$9,MATCH($F779,'CAT_CENTROS_COSTO'!$A$4:$A$9,0)),"(sin catálogo)"))</f>
        <v/>
      </c>
      <c r="V779" s="3">
        <f>IF($F779="","",IFERROR(INDEX('CAT_CENTROS_COSTO'!$F$4:$F$9,MATCH($F779,'CAT_CENTROS_COSTO'!$A$4:$A$9,0)),"(sin catálogo)"))</f>
        <v/>
      </c>
      <c r="W779" s="3">
        <f>IF($G779="","",IFERROR(INDEX('CAT_PUESTOS'!$B$4:$B$8,MATCH($G779,'CAT_PUESTOS'!$A$4:$A$8,0)),"(sin catálogo)"))</f>
        <v/>
      </c>
      <c r="X779" s="3">
        <f>IF($H779="","",IFERROR(INDEX('CAT_ACTIVIDADES'!$B$4:$B$8,MATCH($H779,'CAT_ACTIVIDADES'!$A$4:$A$8,0)),"(sin catálogo)"))</f>
        <v/>
      </c>
      <c r="Y779" s="12">
        <f>IF($J779="","",TODAY()-$J779)</f>
        <v/>
      </c>
      <c r="Z779" s="3">
        <f>IF($Y779="","",IF($Y779&lt;0,"FUTURO",IF($Y779&gt;p_dias_backlog_max,"BACKLOG","MES CORRIENTE")))</f>
        <v/>
      </c>
      <c r="AA779" s="3">
        <f>IF($Y779="",FALSE,AND($Y779&gt;p_dias_backlog_min,$Y779&lt;=p_dias_backlog_max))</f>
        <v/>
      </c>
      <c r="AB779" s="6" t="n"/>
      <c r="AC779" s="3">
        <f>IF($AB779="","",IFERROR(INDEX('ASIGNACIONES'!$F$4:$F$339,MATCH($O779&amp;"|"&amp;$R779&amp;"|"&amp;$AB779,'ASIGNACIONES'!$I$4:$I$339,0)),""))</f>
        <v/>
      </c>
      <c r="AD779" s="13">
        <f>IF($AB779="","",SUMIFS('ORDENES'!$M$4:$M$1203,'ORDENES'!$AB$4:$AB$1203,$AB779,'ORDENES'!$O$4:$O$1203,$O779,'ORDENES'!$R$4:$R$1203,$R779))</f>
        <v/>
      </c>
      <c r="AE779" s="13">
        <f>IF($AD779="","",p_factor_productividad*IFERROR(INDEX('ASIGNACIONES'!$H$4:$H$339,MATCH($O779&amp;"|"&amp;$R779&amp;"|"&amp;$AB779,'ASIGNACIONES'!$I$4:$I$339,0)),0)-$AD779)</f>
        <v/>
      </c>
      <c r="AF779" s="10">
        <f>IF($A779="","",IFERROR(INDEX('2_IMPORTAR_EJECUCION'!$F$9:$F$1208,MATCH($AN779,'2_IMPORTAR_EJECUCION'!$J$9:$J$1208,0)),0))</f>
        <v/>
      </c>
      <c r="AG779" s="10">
        <f>IF($A779="","",MAX(0,IFERROR(INDEX('2_IMPORTAR_EJECUCION'!$H$9:$H$1208,MATCH($AN779,'2_IMPORTAR_EJECUCION'!$J$9:$J$1208,0)),0)-$AF779))</f>
        <v/>
      </c>
      <c r="AH779" s="10">
        <f>IF($A779="","",$AF779+$AG779)</f>
        <v/>
      </c>
      <c r="AI779" s="6" t="n"/>
      <c r="AJ779" s="6" t="n"/>
      <c r="AK779" s="6" t="n"/>
      <c r="AL779" s="3">
        <f>IF($AK779="","",HYPERLINK(p_ruta_base_checklists&amp;$AK779,"abrir"))</f>
        <v/>
      </c>
      <c r="AM779" s="6" t="n"/>
      <c r="AN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1" t="n"/>
      <c r="K780" s="3" t="n"/>
      <c r="L780" s="10" t="n"/>
      <c r="M780" s="3">
        <f>IF($A780="","",IFERROR(INDEX('AJUSTES'!$B$4:$B$303,MATCH($AN780,'AJUSTES'!$A$4:$A$303,0)),IF($K780="","",$K780)))</f>
        <v/>
      </c>
      <c r="N780" s="3">
        <f>IF($A780="","",IFERROR(INDEX('CAT_ESTADOS_ERP'!$B$4:$B$7,MATCH(IFERROR(INDEX('2_IMPORTAR_EJECUCION'!$C$9:$C$1208,MATCH($AN780,'2_IMPORTAR_EJECUCION'!$J$9:$J$1208,0)),""),'CAT_ESTADOS_ERP'!$A$4:$A$7,0)),"Pendiente"))</f>
        <v/>
      </c>
      <c r="O780" s="3">
        <f>IF($J780="","",YEAR($J780+4-WEEKDAY($J780,2))&amp;"-S"&amp;TEXT(_xlfn.ISOWEEKNUM($J780),"00"))</f>
        <v/>
      </c>
      <c r="P780" s="3">
        <f>IF($J780="","",YEAR($J780))</f>
        <v/>
      </c>
      <c r="Q780" s="3">
        <f>IF($J780="","",MONTH($J780))</f>
        <v/>
      </c>
      <c r="R780" s="3">
        <f>IF($J780="","",INDEX(lista_dias,WEEKDAY($J780,2)))</f>
        <v/>
      </c>
      <c r="S780" s="3">
        <f>IF($I780="","",IFERROR(INDEX('CAT_TIPOS_OT'!$C$4:$C$7,MATCH($I780,'CAT_TIPOS_OT'!$A$4:$A$7,0)),"sin_clasificar"))</f>
        <v/>
      </c>
      <c r="T780" s="3">
        <f>IF($F780="","",IFERROR(INDEX('CAT_CENTROS_COSTO'!$E$4:$E$9,MATCH($F780,'CAT_CENTROS_COSTO'!$A$4:$A$9,0)),"(sin catálogo)"))</f>
        <v/>
      </c>
      <c r="U780" s="3">
        <f>IF($F780="","",IFERROR(INDEX('CAT_CENTROS_COSTO'!$D$4:$D$9,MATCH($F780,'CAT_CENTROS_COSTO'!$A$4:$A$9,0)),"(sin catálogo)"))</f>
        <v/>
      </c>
      <c r="V780" s="3">
        <f>IF($F780="","",IFERROR(INDEX('CAT_CENTROS_COSTO'!$F$4:$F$9,MATCH($F780,'CAT_CENTROS_COSTO'!$A$4:$A$9,0)),"(sin catálogo)"))</f>
        <v/>
      </c>
      <c r="W780" s="3">
        <f>IF($G780="","",IFERROR(INDEX('CAT_PUESTOS'!$B$4:$B$8,MATCH($G780,'CAT_PUESTOS'!$A$4:$A$8,0)),"(sin catálogo)"))</f>
        <v/>
      </c>
      <c r="X780" s="3">
        <f>IF($H780="","",IFERROR(INDEX('CAT_ACTIVIDADES'!$B$4:$B$8,MATCH($H780,'CAT_ACTIVIDADES'!$A$4:$A$8,0)),"(sin catálogo)"))</f>
        <v/>
      </c>
      <c r="Y780" s="12">
        <f>IF($J780="","",TODAY()-$J780)</f>
        <v/>
      </c>
      <c r="Z780" s="3">
        <f>IF($Y780="","",IF($Y780&lt;0,"FUTURO",IF($Y780&gt;p_dias_backlog_max,"BACKLOG","MES CORRIENTE")))</f>
        <v/>
      </c>
      <c r="AA780" s="3">
        <f>IF($Y780="",FALSE,AND($Y780&gt;p_dias_backlog_min,$Y780&lt;=p_dias_backlog_max))</f>
        <v/>
      </c>
      <c r="AB780" s="6" t="n"/>
      <c r="AC780" s="3">
        <f>IF($AB780="","",IFERROR(INDEX('ASIGNACIONES'!$F$4:$F$339,MATCH($O780&amp;"|"&amp;$R780&amp;"|"&amp;$AB780,'ASIGNACIONES'!$I$4:$I$339,0)),""))</f>
        <v/>
      </c>
      <c r="AD780" s="13">
        <f>IF($AB780="","",SUMIFS('ORDENES'!$M$4:$M$1203,'ORDENES'!$AB$4:$AB$1203,$AB780,'ORDENES'!$O$4:$O$1203,$O780,'ORDENES'!$R$4:$R$1203,$R780))</f>
        <v/>
      </c>
      <c r="AE780" s="13">
        <f>IF($AD780="","",p_factor_productividad*IFERROR(INDEX('ASIGNACIONES'!$H$4:$H$339,MATCH($O780&amp;"|"&amp;$R780&amp;"|"&amp;$AB780,'ASIGNACIONES'!$I$4:$I$339,0)),0)-$AD780)</f>
        <v/>
      </c>
      <c r="AF780" s="10">
        <f>IF($A780="","",IFERROR(INDEX('2_IMPORTAR_EJECUCION'!$F$9:$F$1208,MATCH($AN780,'2_IMPORTAR_EJECUCION'!$J$9:$J$1208,0)),0))</f>
        <v/>
      </c>
      <c r="AG780" s="10">
        <f>IF($A780="","",MAX(0,IFERROR(INDEX('2_IMPORTAR_EJECUCION'!$H$9:$H$1208,MATCH($AN780,'2_IMPORTAR_EJECUCION'!$J$9:$J$1208,0)),0)-$AF780))</f>
        <v/>
      </c>
      <c r="AH780" s="10">
        <f>IF($A780="","",$AF780+$AG780)</f>
        <v/>
      </c>
      <c r="AI780" s="6" t="n"/>
      <c r="AJ780" s="6" t="n"/>
      <c r="AK780" s="6" t="n"/>
      <c r="AL780" s="3">
        <f>IF($AK780="","",HYPERLINK(p_ruta_base_checklists&amp;$AK780,"abrir"))</f>
        <v/>
      </c>
      <c r="AM780" s="6" t="n"/>
      <c r="AN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1" t="n"/>
      <c r="K781" s="3" t="n"/>
      <c r="L781" s="10" t="n"/>
      <c r="M781" s="3">
        <f>IF($A781="","",IFERROR(INDEX('AJUSTES'!$B$4:$B$303,MATCH($AN781,'AJUSTES'!$A$4:$A$303,0)),IF($K781="","",$K781)))</f>
        <v/>
      </c>
      <c r="N781" s="3">
        <f>IF($A781="","",IFERROR(INDEX('CAT_ESTADOS_ERP'!$B$4:$B$7,MATCH(IFERROR(INDEX('2_IMPORTAR_EJECUCION'!$C$9:$C$1208,MATCH($AN781,'2_IMPORTAR_EJECUCION'!$J$9:$J$1208,0)),""),'CAT_ESTADOS_ERP'!$A$4:$A$7,0)),"Pendiente"))</f>
        <v/>
      </c>
      <c r="O781" s="3">
        <f>IF($J781="","",YEAR($J781+4-WEEKDAY($J781,2))&amp;"-S"&amp;TEXT(_xlfn.ISOWEEKNUM($J781),"00"))</f>
        <v/>
      </c>
      <c r="P781" s="3">
        <f>IF($J781="","",YEAR($J781))</f>
        <v/>
      </c>
      <c r="Q781" s="3">
        <f>IF($J781="","",MONTH($J781))</f>
        <v/>
      </c>
      <c r="R781" s="3">
        <f>IF($J781="","",INDEX(lista_dias,WEEKDAY($J781,2)))</f>
        <v/>
      </c>
      <c r="S781" s="3">
        <f>IF($I781="","",IFERROR(INDEX('CAT_TIPOS_OT'!$C$4:$C$7,MATCH($I781,'CAT_TIPOS_OT'!$A$4:$A$7,0)),"sin_clasificar"))</f>
        <v/>
      </c>
      <c r="T781" s="3">
        <f>IF($F781="","",IFERROR(INDEX('CAT_CENTROS_COSTO'!$E$4:$E$9,MATCH($F781,'CAT_CENTROS_COSTO'!$A$4:$A$9,0)),"(sin catálogo)"))</f>
        <v/>
      </c>
      <c r="U781" s="3">
        <f>IF($F781="","",IFERROR(INDEX('CAT_CENTROS_COSTO'!$D$4:$D$9,MATCH($F781,'CAT_CENTROS_COSTO'!$A$4:$A$9,0)),"(sin catálogo)"))</f>
        <v/>
      </c>
      <c r="V781" s="3">
        <f>IF($F781="","",IFERROR(INDEX('CAT_CENTROS_COSTO'!$F$4:$F$9,MATCH($F781,'CAT_CENTROS_COSTO'!$A$4:$A$9,0)),"(sin catálogo)"))</f>
        <v/>
      </c>
      <c r="W781" s="3">
        <f>IF($G781="","",IFERROR(INDEX('CAT_PUESTOS'!$B$4:$B$8,MATCH($G781,'CAT_PUESTOS'!$A$4:$A$8,0)),"(sin catálogo)"))</f>
        <v/>
      </c>
      <c r="X781" s="3">
        <f>IF($H781="","",IFERROR(INDEX('CAT_ACTIVIDADES'!$B$4:$B$8,MATCH($H781,'CAT_ACTIVIDADES'!$A$4:$A$8,0)),"(sin catálogo)"))</f>
        <v/>
      </c>
      <c r="Y781" s="12">
        <f>IF($J781="","",TODAY()-$J781)</f>
        <v/>
      </c>
      <c r="Z781" s="3">
        <f>IF($Y781="","",IF($Y781&lt;0,"FUTURO",IF($Y781&gt;p_dias_backlog_max,"BACKLOG","MES CORRIENTE")))</f>
        <v/>
      </c>
      <c r="AA781" s="3">
        <f>IF($Y781="",FALSE,AND($Y781&gt;p_dias_backlog_min,$Y781&lt;=p_dias_backlog_max))</f>
        <v/>
      </c>
      <c r="AB781" s="6" t="n"/>
      <c r="AC781" s="3">
        <f>IF($AB781="","",IFERROR(INDEX('ASIGNACIONES'!$F$4:$F$339,MATCH($O781&amp;"|"&amp;$R781&amp;"|"&amp;$AB781,'ASIGNACIONES'!$I$4:$I$339,0)),""))</f>
        <v/>
      </c>
      <c r="AD781" s="13">
        <f>IF($AB781="","",SUMIFS('ORDENES'!$M$4:$M$1203,'ORDENES'!$AB$4:$AB$1203,$AB781,'ORDENES'!$O$4:$O$1203,$O781,'ORDENES'!$R$4:$R$1203,$R781))</f>
        <v/>
      </c>
      <c r="AE781" s="13">
        <f>IF($AD781="","",p_factor_productividad*IFERROR(INDEX('ASIGNACIONES'!$H$4:$H$339,MATCH($O781&amp;"|"&amp;$R781&amp;"|"&amp;$AB781,'ASIGNACIONES'!$I$4:$I$339,0)),0)-$AD781)</f>
        <v/>
      </c>
      <c r="AF781" s="10">
        <f>IF($A781="","",IFERROR(INDEX('2_IMPORTAR_EJECUCION'!$F$9:$F$1208,MATCH($AN781,'2_IMPORTAR_EJECUCION'!$J$9:$J$1208,0)),0))</f>
        <v/>
      </c>
      <c r="AG781" s="10">
        <f>IF($A781="","",MAX(0,IFERROR(INDEX('2_IMPORTAR_EJECUCION'!$H$9:$H$1208,MATCH($AN781,'2_IMPORTAR_EJECUCION'!$J$9:$J$1208,0)),0)-$AF781))</f>
        <v/>
      </c>
      <c r="AH781" s="10">
        <f>IF($A781="","",$AF781+$AG781)</f>
        <v/>
      </c>
      <c r="AI781" s="6" t="n"/>
      <c r="AJ781" s="6" t="n"/>
      <c r="AK781" s="6" t="n"/>
      <c r="AL781" s="3">
        <f>IF($AK781="","",HYPERLINK(p_ruta_base_checklists&amp;$AK781,"abrir"))</f>
        <v/>
      </c>
      <c r="AM781" s="6" t="n"/>
      <c r="AN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1" t="n"/>
      <c r="K782" s="3" t="n"/>
      <c r="L782" s="10" t="n"/>
      <c r="M782" s="3">
        <f>IF($A782="","",IFERROR(INDEX('AJUSTES'!$B$4:$B$303,MATCH($AN782,'AJUSTES'!$A$4:$A$303,0)),IF($K782="","",$K782)))</f>
        <v/>
      </c>
      <c r="N782" s="3">
        <f>IF($A782="","",IFERROR(INDEX('CAT_ESTADOS_ERP'!$B$4:$B$7,MATCH(IFERROR(INDEX('2_IMPORTAR_EJECUCION'!$C$9:$C$1208,MATCH($AN782,'2_IMPORTAR_EJECUCION'!$J$9:$J$1208,0)),""),'CAT_ESTADOS_ERP'!$A$4:$A$7,0)),"Pendiente"))</f>
        <v/>
      </c>
      <c r="O782" s="3">
        <f>IF($J782="","",YEAR($J782+4-WEEKDAY($J782,2))&amp;"-S"&amp;TEXT(_xlfn.ISOWEEKNUM($J782),"00"))</f>
        <v/>
      </c>
      <c r="P782" s="3">
        <f>IF($J782="","",YEAR($J782))</f>
        <v/>
      </c>
      <c r="Q782" s="3">
        <f>IF($J782="","",MONTH($J782))</f>
        <v/>
      </c>
      <c r="R782" s="3">
        <f>IF($J782="","",INDEX(lista_dias,WEEKDAY($J782,2)))</f>
        <v/>
      </c>
      <c r="S782" s="3">
        <f>IF($I782="","",IFERROR(INDEX('CAT_TIPOS_OT'!$C$4:$C$7,MATCH($I782,'CAT_TIPOS_OT'!$A$4:$A$7,0)),"sin_clasificar"))</f>
        <v/>
      </c>
      <c r="T782" s="3">
        <f>IF($F782="","",IFERROR(INDEX('CAT_CENTROS_COSTO'!$E$4:$E$9,MATCH($F782,'CAT_CENTROS_COSTO'!$A$4:$A$9,0)),"(sin catálogo)"))</f>
        <v/>
      </c>
      <c r="U782" s="3">
        <f>IF($F782="","",IFERROR(INDEX('CAT_CENTROS_COSTO'!$D$4:$D$9,MATCH($F782,'CAT_CENTROS_COSTO'!$A$4:$A$9,0)),"(sin catálogo)"))</f>
        <v/>
      </c>
      <c r="V782" s="3">
        <f>IF($F782="","",IFERROR(INDEX('CAT_CENTROS_COSTO'!$F$4:$F$9,MATCH($F782,'CAT_CENTROS_COSTO'!$A$4:$A$9,0)),"(sin catálogo)"))</f>
        <v/>
      </c>
      <c r="W782" s="3">
        <f>IF($G782="","",IFERROR(INDEX('CAT_PUESTOS'!$B$4:$B$8,MATCH($G782,'CAT_PUESTOS'!$A$4:$A$8,0)),"(sin catálogo)"))</f>
        <v/>
      </c>
      <c r="X782" s="3">
        <f>IF($H782="","",IFERROR(INDEX('CAT_ACTIVIDADES'!$B$4:$B$8,MATCH($H782,'CAT_ACTIVIDADES'!$A$4:$A$8,0)),"(sin catálogo)"))</f>
        <v/>
      </c>
      <c r="Y782" s="12">
        <f>IF($J782="","",TODAY()-$J782)</f>
        <v/>
      </c>
      <c r="Z782" s="3">
        <f>IF($Y782="","",IF($Y782&lt;0,"FUTURO",IF($Y782&gt;p_dias_backlog_max,"BACKLOG","MES CORRIENTE")))</f>
        <v/>
      </c>
      <c r="AA782" s="3">
        <f>IF($Y782="",FALSE,AND($Y782&gt;p_dias_backlog_min,$Y782&lt;=p_dias_backlog_max))</f>
        <v/>
      </c>
      <c r="AB782" s="6" t="n"/>
      <c r="AC782" s="3">
        <f>IF($AB782="","",IFERROR(INDEX('ASIGNACIONES'!$F$4:$F$339,MATCH($O782&amp;"|"&amp;$R782&amp;"|"&amp;$AB782,'ASIGNACIONES'!$I$4:$I$339,0)),""))</f>
        <v/>
      </c>
      <c r="AD782" s="13">
        <f>IF($AB782="","",SUMIFS('ORDENES'!$M$4:$M$1203,'ORDENES'!$AB$4:$AB$1203,$AB782,'ORDENES'!$O$4:$O$1203,$O782,'ORDENES'!$R$4:$R$1203,$R782))</f>
        <v/>
      </c>
      <c r="AE782" s="13">
        <f>IF($AD782="","",p_factor_productividad*IFERROR(INDEX('ASIGNACIONES'!$H$4:$H$339,MATCH($O782&amp;"|"&amp;$R782&amp;"|"&amp;$AB782,'ASIGNACIONES'!$I$4:$I$339,0)),0)-$AD782)</f>
        <v/>
      </c>
      <c r="AF782" s="10">
        <f>IF($A782="","",IFERROR(INDEX('2_IMPORTAR_EJECUCION'!$F$9:$F$1208,MATCH($AN782,'2_IMPORTAR_EJECUCION'!$J$9:$J$1208,0)),0))</f>
        <v/>
      </c>
      <c r="AG782" s="10">
        <f>IF($A782="","",MAX(0,IFERROR(INDEX('2_IMPORTAR_EJECUCION'!$H$9:$H$1208,MATCH($AN782,'2_IMPORTAR_EJECUCION'!$J$9:$J$1208,0)),0)-$AF782))</f>
        <v/>
      </c>
      <c r="AH782" s="10">
        <f>IF($A782="","",$AF782+$AG782)</f>
        <v/>
      </c>
      <c r="AI782" s="6" t="n"/>
      <c r="AJ782" s="6" t="n"/>
      <c r="AK782" s="6" t="n"/>
      <c r="AL782" s="3">
        <f>IF($AK782="","",HYPERLINK(p_ruta_base_checklists&amp;$AK782,"abrir"))</f>
        <v/>
      </c>
      <c r="AM782" s="6" t="n"/>
      <c r="AN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1" t="n"/>
      <c r="K783" s="3" t="n"/>
      <c r="L783" s="10" t="n"/>
      <c r="M783" s="3">
        <f>IF($A783="","",IFERROR(INDEX('AJUSTES'!$B$4:$B$303,MATCH($AN783,'AJUSTES'!$A$4:$A$303,0)),IF($K783="","",$K783)))</f>
        <v/>
      </c>
      <c r="N783" s="3">
        <f>IF($A783="","",IFERROR(INDEX('CAT_ESTADOS_ERP'!$B$4:$B$7,MATCH(IFERROR(INDEX('2_IMPORTAR_EJECUCION'!$C$9:$C$1208,MATCH($AN783,'2_IMPORTAR_EJECUCION'!$J$9:$J$1208,0)),""),'CAT_ESTADOS_ERP'!$A$4:$A$7,0)),"Pendiente"))</f>
        <v/>
      </c>
      <c r="O783" s="3">
        <f>IF($J783="","",YEAR($J783+4-WEEKDAY($J783,2))&amp;"-S"&amp;TEXT(_xlfn.ISOWEEKNUM($J783),"00"))</f>
        <v/>
      </c>
      <c r="P783" s="3">
        <f>IF($J783="","",YEAR($J783))</f>
        <v/>
      </c>
      <c r="Q783" s="3">
        <f>IF($J783="","",MONTH($J783))</f>
        <v/>
      </c>
      <c r="R783" s="3">
        <f>IF($J783="","",INDEX(lista_dias,WEEKDAY($J783,2)))</f>
        <v/>
      </c>
      <c r="S783" s="3">
        <f>IF($I783="","",IFERROR(INDEX('CAT_TIPOS_OT'!$C$4:$C$7,MATCH($I783,'CAT_TIPOS_OT'!$A$4:$A$7,0)),"sin_clasificar"))</f>
        <v/>
      </c>
      <c r="T783" s="3">
        <f>IF($F783="","",IFERROR(INDEX('CAT_CENTROS_COSTO'!$E$4:$E$9,MATCH($F783,'CAT_CENTROS_COSTO'!$A$4:$A$9,0)),"(sin catálogo)"))</f>
        <v/>
      </c>
      <c r="U783" s="3">
        <f>IF($F783="","",IFERROR(INDEX('CAT_CENTROS_COSTO'!$D$4:$D$9,MATCH($F783,'CAT_CENTROS_COSTO'!$A$4:$A$9,0)),"(sin catálogo)"))</f>
        <v/>
      </c>
      <c r="V783" s="3">
        <f>IF($F783="","",IFERROR(INDEX('CAT_CENTROS_COSTO'!$F$4:$F$9,MATCH($F783,'CAT_CENTROS_COSTO'!$A$4:$A$9,0)),"(sin catálogo)"))</f>
        <v/>
      </c>
      <c r="W783" s="3">
        <f>IF($G783="","",IFERROR(INDEX('CAT_PUESTOS'!$B$4:$B$8,MATCH($G783,'CAT_PUESTOS'!$A$4:$A$8,0)),"(sin catálogo)"))</f>
        <v/>
      </c>
      <c r="X783" s="3">
        <f>IF($H783="","",IFERROR(INDEX('CAT_ACTIVIDADES'!$B$4:$B$8,MATCH($H783,'CAT_ACTIVIDADES'!$A$4:$A$8,0)),"(sin catálogo)"))</f>
        <v/>
      </c>
      <c r="Y783" s="12">
        <f>IF($J783="","",TODAY()-$J783)</f>
        <v/>
      </c>
      <c r="Z783" s="3">
        <f>IF($Y783="","",IF($Y783&lt;0,"FUTURO",IF($Y783&gt;p_dias_backlog_max,"BACKLOG","MES CORRIENTE")))</f>
        <v/>
      </c>
      <c r="AA783" s="3">
        <f>IF($Y783="",FALSE,AND($Y783&gt;p_dias_backlog_min,$Y783&lt;=p_dias_backlog_max))</f>
        <v/>
      </c>
      <c r="AB783" s="6" t="n"/>
      <c r="AC783" s="3">
        <f>IF($AB783="","",IFERROR(INDEX('ASIGNACIONES'!$F$4:$F$339,MATCH($O783&amp;"|"&amp;$R783&amp;"|"&amp;$AB783,'ASIGNACIONES'!$I$4:$I$339,0)),""))</f>
        <v/>
      </c>
      <c r="AD783" s="13">
        <f>IF($AB783="","",SUMIFS('ORDENES'!$M$4:$M$1203,'ORDENES'!$AB$4:$AB$1203,$AB783,'ORDENES'!$O$4:$O$1203,$O783,'ORDENES'!$R$4:$R$1203,$R783))</f>
        <v/>
      </c>
      <c r="AE783" s="13">
        <f>IF($AD783="","",p_factor_productividad*IFERROR(INDEX('ASIGNACIONES'!$H$4:$H$339,MATCH($O783&amp;"|"&amp;$R783&amp;"|"&amp;$AB783,'ASIGNACIONES'!$I$4:$I$339,0)),0)-$AD783)</f>
        <v/>
      </c>
      <c r="AF783" s="10">
        <f>IF($A783="","",IFERROR(INDEX('2_IMPORTAR_EJECUCION'!$F$9:$F$1208,MATCH($AN783,'2_IMPORTAR_EJECUCION'!$J$9:$J$1208,0)),0))</f>
        <v/>
      </c>
      <c r="AG783" s="10">
        <f>IF($A783="","",MAX(0,IFERROR(INDEX('2_IMPORTAR_EJECUCION'!$H$9:$H$1208,MATCH($AN783,'2_IMPORTAR_EJECUCION'!$J$9:$J$1208,0)),0)-$AF783))</f>
        <v/>
      </c>
      <c r="AH783" s="10">
        <f>IF($A783="","",$AF783+$AG783)</f>
        <v/>
      </c>
      <c r="AI783" s="6" t="n"/>
      <c r="AJ783" s="6" t="n"/>
      <c r="AK783" s="6" t="n"/>
      <c r="AL783" s="3">
        <f>IF($AK783="","",HYPERLINK(p_ruta_base_checklists&amp;$AK783,"abrir"))</f>
        <v/>
      </c>
      <c r="AM783" s="6" t="n"/>
      <c r="AN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1" t="n"/>
      <c r="K784" s="3" t="n"/>
      <c r="L784" s="10" t="n"/>
      <c r="M784" s="3">
        <f>IF($A784="","",IFERROR(INDEX('AJUSTES'!$B$4:$B$303,MATCH($AN784,'AJUSTES'!$A$4:$A$303,0)),IF($K784="","",$K784)))</f>
        <v/>
      </c>
      <c r="N784" s="3">
        <f>IF($A784="","",IFERROR(INDEX('CAT_ESTADOS_ERP'!$B$4:$B$7,MATCH(IFERROR(INDEX('2_IMPORTAR_EJECUCION'!$C$9:$C$1208,MATCH($AN784,'2_IMPORTAR_EJECUCION'!$J$9:$J$1208,0)),""),'CAT_ESTADOS_ERP'!$A$4:$A$7,0)),"Pendiente"))</f>
        <v/>
      </c>
      <c r="O784" s="3">
        <f>IF($J784="","",YEAR($J784+4-WEEKDAY($J784,2))&amp;"-S"&amp;TEXT(_xlfn.ISOWEEKNUM($J784),"00"))</f>
        <v/>
      </c>
      <c r="P784" s="3">
        <f>IF($J784="","",YEAR($J784))</f>
        <v/>
      </c>
      <c r="Q784" s="3">
        <f>IF($J784="","",MONTH($J784))</f>
        <v/>
      </c>
      <c r="R784" s="3">
        <f>IF($J784="","",INDEX(lista_dias,WEEKDAY($J784,2)))</f>
        <v/>
      </c>
      <c r="S784" s="3">
        <f>IF($I784="","",IFERROR(INDEX('CAT_TIPOS_OT'!$C$4:$C$7,MATCH($I784,'CAT_TIPOS_OT'!$A$4:$A$7,0)),"sin_clasificar"))</f>
        <v/>
      </c>
      <c r="T784" s="3">
        <f>IF($F784="","",IFERROR(INDEX('CAT_CENTROS_COSTO'!$E$4:$E$9,MATCH($F784,'CAT_CENTROS_COSTO'!$A$4:$A$9,0)),"(sin catálogo)"))</f>
        <v/>
      </c>
      <c r="U784" s="3">
        <f>IF($F784="","",IFERROR(INDEX('CAT_CENTROS_COSTO'!$D$4:$D$9,MATCH($F784,'CAT_CENTROS_COSTO'!$A$4:$A$9,0)),"(sin catálogo)"))</f>
        <v/>
      </c>
      <c r="V784" s="3">
        <f>IF($F784="","",IFERROR(INDEX('CAT_CENTROS_COSTO'!$F$4:$F$9,MATCH($F784,'CAT_CENTROS_COSTO'!$A$4:$A$9,0)),"(sin catálogo)"))</f>
        <v/>
      </c>
      <c r="W784" s="3">
        <f>IF($G784="","",IFERROR(INDEX('CAT_PUESTOS'!$B$4:$B$8,MATCH($G784,'CAT_PUESTOS'!$A$4:$A$8,0)),"(sin catálogo)"))</f>
        <v/>
      </c>
      <c r="X784" s="3">
        <f>IF($H784="","",IFERROR(INDEX('CAT_ACTIVIDADES'!$B$4:$B$8,MATCH($H784,'CAT_ACTIVIDADES'!$A$4:$A$8,0)),"(sin catálogo)"))</f>
        <v/>
      </c>
      <c r="Y784" s="12">
        <f>IF($J784="","",TODAY()-$J784)</f>
        <v/>
      </c>
      <c r="Z784" s="3">
        <f>IF($Y784="","",IF($Y784&lt;0,"FUTURO",IF($Y784&gt;p_dias_backlog_max,"BACKLOG","MES CORRIENTE")))</f>
        <v/>
      </c>
      <c r="AA784" s="3">
        <f>IF($Y784="",FALSE,AND($Y784&gt;p_dias_backlog_min,$Y784&lt;=p_dias_backlog_max))</f>
        <v/>
      </c>
      <c r="AB784" s="6" t="n"/>
      <c r="AC784" s="3">
        <f>IF($AB784="","",IFERROR(INDEX('ASIGNACIONES'!$F$4:$F$339,MATCH($O784&amp;"|"&amp;$R784&amp;"|"&amp;$AB784,'ASIGNACIONES'!$I$4:$I$339,0)),""))</f>
        <v/>
      </c>
      <c r="AD784" s="13">
        <f>IF($AB784="","",SUMIFS('ORDENES'!$M$4:$M$1203,'ORDENES'!$AB$4:$AB$1203,$AB784,'ORDENES'!$O$4:$O$1203,$O784,'ORDENES'!$R$4:$R$1203,$R784))</f>
        <v/>
      </c>
      <c r="AE784" s="13">
        <f>IF($AD784="","",p_factor_productividad*IFERROR(INDEX('ASIGNACIONES'!$H$4:$H$339,MATCH($O784&amp;"|"&amp;$R784&amp;"|"&amp;$AB784,'ASIGNACIONES'!$I$4:$I$339,0)),0)-$AD784)</f>
        <v/>
      </c>
      <c r="AF784" s="10">
        <f>IF($A784="","",IFERROR(INDEX('2_IMPORTAR_EJECUCION'!$F$9:$F$1208,MATCH($AN784,'2_IMPORTAR_EJECUCION'!$J$9:$J$1208,0)),0))</f>
        <v/>
      </c>
      <c r="AG784" s="10">
        <f>IF($A784="","",MAX(0,IFERROR(INDEX('2_IMPORTAR_EJECUCION'!$H$9:$H$1208,MATCH($AN784,'2_IMPORTAR_EJECUCION'!$J$9:$J$1208,0)),0)-$AF784))</f>
        <v/>
      </c>
      <c r="AH784" s="10">
        <f>IF($A784="","",$AF784+$AG784)</f>
        <v/>
      </c>
      <c r="AI784" s="6" t="n"/>
      <c r="AJ784" s="6" t="n"/>
      <c r="AK784" s="6" t="n"/>
      <c r="AL784" s="3">
        <f>IF($AK784="","",HYPERLINK(p_ruta_base_checklists&amp;$AK784,"abrir"))</f>
        <v/>
      </c>
      <c r="AM784" s="6" t="n"/>
      <c r="AN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1" t="n"/>
      <c r="K785" s="3" t="n"/>
      <c r="L785" s="10" t="n"/>
      <c r="M785" s="3">
        <f>IF($A785="","",IFERROR(INDEX('AJUSTES'!$B$4:$B$303,MATCH($AN785,'AJUSTES'!$A$4:$A$303,0)),IF($K785="","",$K785)))</f>
        <v/>
      </c>
      <c r="N785" s="3">
        <f>IF($A785="","",IFERROR(INDEX('CAT_ESTADOS_ERP'!$B$4:$B$7,MATCH(IFERROR(INDEX('2_IMPORTAR_EJECUCION'!$C$9:$C$1208,MATCH($AN785,'2_IMPORTAR_EJECUCION'!$J$9:$J$1208,0)),""),'CAT_ESTADOS_ERP'!$A$4:$A$7,0)),"Pendiente"))</f>
        <v/>
      </c>
      <c r="O785" s="3">
        <f>IF($J785="","",YEAR($J785+4-WEEKDAY($J785,2))&amp;"-S"&amp;TEXT(_xlfn.ISOWEEKNUM($J785),"00"))</f>
        <v/>
      </c>
      <c r="P785" s="3">
        <f>IF($J785="","",YEAR($J785))</f>
        <v/>
      </c>
      <c r="Q785" s="3">
        <f>IF($J785="","",MONTH($J785))</f>
        <v/>
      </c>
      <c r="R785" s="3">
        <f>IF($J785="","",INDEX(lista_dias,WEEKDAY($J785,2)))</f>
        <v/>
      </c>
      <c r="S785" s="3">
        <f>IF($I785="","",IFERROR(INDEX('CAT_TIPOS_OT'!$C$4:$C$7,MATCH($I785,'CAT_TIPOS_OT'!$A$4:$A$7,0)),"sin_clasificar"))</f>
        <v/>
      </c>
      <c r="T785" s="3">
        <f>IF($F785="","",IFERROR(INDEX('CAT_CENTROS_COSTO'!$E$4:$E$9,MATCH($F785,'CAT_CENTROS_COSTO'!$A$4:$A$9,0)),"(sin catálogo)"))</f>
        <v/>
      </c>
      <c r="U785" s="3">
        <f>IF($F785="","",IFERROR(INDEX('CAT_CENTROS_COSTO'!$D$4:$D$9,MATCH($F785,'CAT_CENTROS_COSTO'!$A$4:$A$9,0)),"(sin catálogo)"))</f>
        <v/>
      </c>
      <c r="V785" s="3">
        <f>IF($F785="","",IFERROR(INDEX('CAT_CENTROS_COSTO'!$F$4:$F$9,MATCH($F785,'CAT_CENTROS_COSTO'!$A$4:$A$9,0)),"(sin catálogo)"))</f>
        <v/>
      </c>
      <c r="W785" s="3">
        <f>IF($G785="","",IFERROR(INDEX('CAT_PUESTOS'!$B$4:$B$8,MATCH($G785,'CAT_PUESTOS'!$A$4:$A$8,0)),"(sin catálogo)"))</f>
        <v/>
      </c>
      <c r="X785" s="3">
        <f>IF($H785="","",IFERROR(INDEX('CAT_ACTIVIDADES'!$B$4:$B$8,MATCH($H785,'CAT_ACTIVIDADES'!$A$4:$A$8,0)),"(sin catálogo)"))</f>
        <v/>
      </c>
      <c r="Y785" s="12">
        <f>IF($J785="","",TODAY()-$J785)</f>
        <v/>
      </c>
      <c r="Z785" s="3">
        <f>IF($Y785="","",IF($Y785&lt;0,"FUTURO",IF($Y785&gt;p_dias_backlog_max,"BACKLOG","MES CORRIENTE")))</f>
        <v/>
      </c>
      <c r="AA785" s="3">
        <f>IF($Y785="",FALSE,AND($Y785&gt;p_dias_backlog_min,$Y785&lt;=p_dias_backlog_max))</f>
        <v/>
      </c>
      <c r="AB785" s="6" t="n"/>
      <c r="AC785" s="3">
        <f>IF($AB785="","",IFERROR(INDEX('ASIGNACIONES'!$F$4:$F$339,MATCH($O785&amp;"|"&amp;$R785&amp;"|"&amp;$AB785,'ASIGNACIONES'!$I$4:$I$339,0)),""))</f>
        <v/>
      </c>
      <c r="AD785" s="13">
        <f>IF($AB785="","",SUMIFS('ORDENES'!$M$4:$M$1203,'ORDENES'!$AB$4:$AB$1203,$AB785,'ORDENES'!$O$4:$O$1203,$O785,'ORDENES'!$R$4:$R$1203,$R785))</f>
        <v/>
      </c>
      <c r="AE785" s="13">
        <f>IF($AD785="","",p_factor_productividad*IFERROR(INDEX('ASIGNACIONES'!$H$4:$H$339,MATCH($O785&amp;"|"&amp;$R785&amp;"|"&amp;$AB785,'ASIGNACIONES'!$I$4:$I$339,0)),0)-$AD785)</f>
        <v/>
      </c>
      <c r="AF785" s="10">
        <f>IF($A785="","",IFERROR(INDEX('2_IMPORTAR_EJECUCION'!$F$9:$F$1208,MATCH($AN785,'2_IMPORTAR_EJECUCION'!$J$9:$J$1208,0)),0))</f>
        <v/>
      </c>
      <c r="AG785" s="10">
        <f>IF($A785="","",MAX(0,IFERROR(INDEX('2_IMPORTAR_EJECUCION'!$H$9:$H$1208,MATCH($AN785,'2_IMPORTAR_EJECUCION'!$J$9:$J$1208,0)),0)-$AF785))</f>
        <v/>
      </c>
      <c r="AH785" s="10">
        <f>IF($A785="","",$AF785+$AG785)</f>
        <v/>
      </c>
      <c r="AI785" s="6" t="n"/>
      <c r="AJ785" s="6" t="n"/>
      <c r="AK785" s="6" t="n"/>
      <c r="AL785" s="3">
        <f>IF($AK785="","",HYPERLINK(p_ruta_base_checklists&amp;$AK785,"abrir"))</f>
        <v/>
      </c>
      <c r="AM785" s="6" t="n"/>
      <c r="AN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1" t="n"/>
      <c r="K786" s="3" t="n"/>
      <c r="L786" s="10" t="n"/>
      <c r="M786" s="3">
        <f>IF($A786="","",IFERROR(INDEX('AJUSTES'!$B$4:$B$303,MATCH($AN786,'AJUSTES'!$A$4:$A$303,0)),IF($K786="","",$K786)))</f>
        <v/>
      </c>
      <c r="N786" s="3">
        <f>IF($A786="","",IFERROR(INDEX('CAT_ESTADOS_ERP'!$B$4:$B$7,MATCH(IFERROR(INDEX('2_IMPORTAR_EJECUCION'!$C$9:$C$1208,MATCH($AN786,'2_IMPORTAR_EJECUCION'!$J$9:$J$1208,0)),""),'CAT_ESTADOS_ERP'!$A$4:$A$7,0)),"Pendiente"))</f>
        <v/>
      </c>
      <c r="O786" s="3">
        <f>IF($J786="","",YEAR($J786+4-WEEKDAY($J786,2))&amp;"-S"&amp;TEXT(_xlfn.ISOWEEKNUM($J786),"00"))</f>
        <v/>
      </c>
      <c r="P786" s="3">
        <f>IF($J786="","",YEAR($J786))</f>
        <v/>
      </c>
      <c r="Q786" s="3">
        <f>IF($J786="","",MONTH($J786))</f>
        <v/>
      </c>
      <c r="R786" s="3">
        <f>IF($J786="","",INDEX(lista_dias,WEEKDAY($J786,2)))</f>
        <v/>
      </c>
      <c r="S786" s="3">
        <f>IF($I786="","",IFERROR(INDEX('CAT_TIPOS_OT'!$C$4:$C$7,MATCH($I786,'CAT_TIPOS_OT'!$A$4:$A$7,0)),"sin_clasificar"))</f>
        <v/>
      </c>
      <c r="T786" s="3">
        <f>IF($F786="","",IFERROR(INDEX('CAT_CENTROS_COSTO'!$E$4:$E$9,MATCH($F786,'CAT_CENTROS_COSTO'!$A$4:$A$9,0)),"(sin catálogo)"))</f>
        <v/>
      </c>
      <c r="U786" s="3">
        <f>IF($F786="","",IFERROR(INDEX('CAT_CENTROS_COSTO'!$D$4:$D$9,MATCH($F786,'CAT_CENTROS_COSTO'!$A$4:$A$9,0)),"(sin catálogo)"))</f>
        <v/>
      </c>
      <c r="V786" s="3">
        <f>IF($F786="","",IFERROR(INDEX('CAT_CENTROS_COSTO'!$F$4:$F$9,MATCH($F786,'CAT_CENTROS_COSTO'!$A$4:$A$9,0)),"(sin catálogo)"))</f>
        <v/>
      </c>
      <c r="W786" s="3">
        <f>IF($G786="","",IFERROR(INDEX('CAT_PUESTOS'!$B$4:$B$8,MATCH($G786,'CAT_PUESTOS'!$A$4:$A$8,0)),"(sin catálogo)"))</f>
        <v/>
      </c>
      <c r="X786" s="3">
        <f>IF($H786="","",IFERROR(INDEX('CAT_ACTIVIDADES'!$B$4:$B$8,MATCH($H786,'CAT_ACTIVIDADES'!$A$4:$A$8,0)),"(sin catálogo)"))</f>
        <v/>
      </c>
      <c r="Y786" s="12">
        <f>IF($J786="","",TODAY()-$J786)</f>
        <v/>
      </c>
      <c r="Z786" s="3">
        <f>IF($Y786="","",IF($Y786&lt;0,"FUTURO",IF($Y786&gt;p_dias_backlog_max,"BACKLOG","MES CORRIENTE")))</f>
        <v/>
      </c>
      <c r="AA786" s="3">
        <f>IF($Y786="",FALSE,AND($Y786&gt;p_dias_backlog_min,$Y786&lt;=p_dias_backlog_max))</f>
        <v/>
      </c>
      <c r="AB786" s="6" t="n"/>
      <c r="AC786" s="3">
        <f>IF($AB786="","",IFERROR(INDEX('ASIGNACIONES'!$F$4:$F$339,MATCH($O786&amp;"|"&amp;$R786&amp;"|"&amp;$AB786,'ASIGNACIONES'!$I$4:$I$339,0)),""))</f>
        <v/>
      </c>
      <c r="AD786" s="13">
        <f>IF($AB786="","",SUMIFS('ORDENES'!$M$4:$M$1203,'ORDENES'!$AB$4:$AB$1203,$AB786,'ORDENES'!$O$4:$O$1203,$O786,'ORDENES'!$R$4:$R$1203,$R786))</f>
        <v/>
      </c>
      <c r="AE786" s="13">
        <f>IF($AD786="","",p_factor_productividad*IFERROR(INDEX('ASIGNACIONES'!$H$4:$H$339,MATCH($O786&amp;"|"&amp;$R786&amp;"|"&amp;$AB786,'ASIGNACIONES'!$I$4:$I$339,0)),0)-$AD786)</f>
        <v/>
      </c>
      <c r="AF786" s="10">
        <f>IF($A786="","",IFERROR(INDEX('2_IMPORTAR_EJECUCION'!$F$9:$F$1208,MATCH($AN786,'2_IMPORTAR_EJECUCION'!$J$9:$J$1208,0)),0))</f>
        <v/>
      </c>
      <c r="AG786" s="10">
        <f>IF($A786="","",MAX(0,IFERROR(INDEX('2_IMPORTAR_EJECUCION'!$H$9:$H$1208,MATCH($AN786,'2_IMPORTAR_EJECUCION'!$J$9:$J$1208,0)),0)-$AF786))</f>
        <v/>
      </c>
      <c r="AH786" s="10">
        <f>IF($A786="","",$AF786+$AG786)</f>
        <v/>
      </c>
      <c r="AI786" s="6" t="n"/>
      <c r="AJ786" s="6" t="n"/>
      <c r="AK786" s="6" t="n"/>
      <c r="AL786" s="3">
        <f>IF($AK786="","",HYPERLINK(p_ruta_base_checklists&amp;$AK786,"abrir"))</f>
        <v/>
      </c>
      <c r="AM786" s="6" t="n"/>
      <c r="AN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1" t="n"/>
      <c r="K787" s="3" t="n"/>
      <c r="L787" s="10" t="n"/>
      <c r="M787" s="3">
        <f>IF($A787="","",IFERROR(INDEX('AJUSTES'!$B$4:$B$303,MATCH($AN787,'AJUSTES'!$A$4:$A$303,0)),IF($K787="","",$K787)))</f>
        <v/>
      </c>
      <c r="N787" s="3">
        <f>IF($A787="","",IFERROR(INDEX('CAT_ESTADOS_ERP'!$B$4:$B$7,MATCH(IFERROR(INDEX('2_IMPORTAR_EJECUCION'!$C$9:$C$1208,MATCH($AN787,'2_IMPORTAR_EJECUCION'!$J$9:$J$1208,0)),""),'CAT_ESTADOS_ERP'!$A$4:$A$7,0)),"Pendiente"))</f>
        <v/>
      </c>
      <c r="O787" s="3">
        <f>IF($J787="","",YEAR($J787+4-WEEKDAY($J787,2))&amp;"-S"&amp;TEXT(_xlfn.ISOWEEKNUM($J787),"00"))</f>
        <v/>
      </c>
      <c r="P787" s="3">
        <f>IF($J787="","",YEAR($J787))</f>
        <v/>
      </c>
      <c r="Q787" s="3">
        <f>IF($J787="","",MONTH($J787))</f>
        <v/>
      </c>
      <c r="R787" s="3">
        <f>IF($J787="","",INDEX(lista_dias,WEEKDAY($J787,2)))</f>
        <v/>
      </c>
      <c r="S787" s="3">
        <f>IF($I787="","",IFERROR(INDEX('CAT_TIPOS_OT'!$C$4:$C$7,MATCH($I787,'CAT_TIPOS_OT'!$A$4:$A$7,0)),"sin_clasificar"))</f>
        <v/>
      </c>
      <c r="T787" s="3">
        <f>IF($F787="","",IFERROR(INDEX('CAT_CENTROS_COSTO'!$E$4:$E$9,MATCH($F787,'CAT_CENTROS_COSTO'!$A$4:$A$9,0)),"(sin catálogo)"))</f>
        <v/>
      </c>
      <c r="U787" s="3">
        <f>IF($F787="","",IFERROR(INDEX('CAT_CENTROS_COSTO'!$D$4:$D$9,MATCH($F787,'CAT_CENTROS_COSTO'!$A$4:$A$9,0)),"(sin catálogo)"))</f>
        <v/>
      </c>
      <c r="V787" s="3">
        <f>IF($F787="","",IFERROR(INDEX('CAT_CENTROS_COSTO'!$F$4:$F$9,MATCH($F787,'CAT_CENTROS_COSTO'!$A$4:$A$9,0)),"(sin catálogo)"))</f>
        <v/>
      </c>
      <c r="W787" s="3">
        <f>IF($G787="","",IFERROR(INDEX('CAT_PUESTOS'!$B$4:$B$8,MATCH($G787,'CAT_PUESTOS'!$A$4:$A$8,0)),"(sin catálogo)"))</f>
        <v/>
      </c>
      <c r="X787" s="3">
        <f>IF($H787="","",IFERROR(INDEX('CAT_ACTIVIDADES'!$B$4:$B$8,MATCH($H787,'CAT_ACTIVIDADES'!$A$4:$A$8,0)),"(sin catálogo)"))</f>
        <v/>
      </c>
      <c r="Y787" s="12">
        <f>IF($J787="","",TODAY()-$J787)</f>
        <v/>
      </c>
      <c r="Z787" s="3">
        <f>IF($Y787="","",IF($Y787&lt;0,"FUTURO",IF($Y787&gt;p_dias_backlog_max,"BACKLOG","MES CORRIENTE")))</f>
        <v/>
      </c>
      <c r="AA787" s="3">
        <f>IF($Y787="",FALSE,AND($Y787&gt;p_dias_backlog_min,$Y787&lt;=p_dias_backlog_max))</f>
        <v/>
      </c>
      <c r="AB787" s="6" t="n"/>
      <c r="AC787" s="3">
        <f>IF($AB787="","",IFERROR(INDEX('ASIGNACIONES'!$F$4:$F$339,MATCH($O787&amp;"|"&amp;$R787&amp;"|"&amp;$AB787,'ASIGNACIONES'!$I$4:$I$339,0)),""))</f>
        <v/>
      </c>
      <c r="AD787" s="13">
        <f>IF($AB787="","",SUMIFS('ORDENES'!$M$4:$M$1203,'ORDENES'!$AB$4:$AB$1203,$AB787,'ORDENES'!$O$4:$O$1203,$O787,'ORDENES'!$R$4:$R$1203,$R787))</f>
        <v/>
      </c>
      <c r="AE787" s="13">
        <f>IF($AD787="","",p_factor_productividad*IFERROR(INDEX('ASIGNACIONES'!$H$4:$H$339,MATCH($O787&amp;"|"&amp;$R787&amp;"|"&amp;$AB787,'ASIGNACIONES'!$I$4:$I$339,0)),0)-$AD787)</f>
        <v/>
      </c>
      <c r="AF787" s="10">
        <f>IF($A787="","",IFERROR(INDEX('2_IMPORTAR_EJECUCION'!$F$9:$F$1208,MATCH($AN787,'2_IMPORTAR_EJECUCION'!$J$9:$J$1208,0)),0))</f>
        <v/>
      </c>
      <c r="AG787" s="10">
        <f>IF($A787="","",MAX(0,IFERROR(INDEX('2_IMPORTAR_EJECUCION'!$H$9:$H$1208,MATCH($AN787,'2_IMPORTAR_EJECUCION'!$J$9:$J$1208,0)),0)-$AF787))</f>
        <v/>
      </c>
      <c r="AH787" s="10">
        <f>IF($A787="","",$AF787+$AG787)</f>
        <v/>
      </c>
      <c r="AI787" s="6" t="n"/>
      <c r="AJ787" s="6" t="n"/>
      <c r="AK787" s="6" t="n"/>
      <c r="AL787" s="3">
        <f>IF($AK787="","",HYPERLINK(p_ruta_base_checklists&amp;$AK787,"abrir"))</f>
        <v/>
      </c>
      <c r="AM787" s="6" t="n"/>
      <c r="AN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1" t="n"/>
      <c r="K788" s="3" t="n"/>
      <c r="L788" s="10" t="n"/>
      <c r="M788" s="3">
        <f>IF($A788="","",IFERROR(INDEX('AJUSTES'!$B$4:$B$303,MATCH($AN788,'AJUSTES'!$A$4:$A$303,0)),IF($K788="","",$K788)))</f>
        <v/>
      </c>
      <c r="N788" s="3">
        <f>IF($A788="","",IFERROR(INDEX('CAT_ESTADOS_ERP'!$B$4:$B$7,MATCH(IFERROR(INDEX('2_IMPORTAR_EJECUCION'!$C$9:$C$1208,MATCH($AN788,'2_IMPORTAR_EJECUCION'!$J$9:$J$1208,0)),""),'CAT_ESTADOS_ERP'!$A$4:$A$7,0)),"Pendiente"))</f>
        <v/>
      </c>
      <c r="O788" s="3">
        <f>IF($J788="","",YEAR($J788+4-WEEKDAY($J788,2))&amp;"-S"&amp;TEXT(_xlfn.ISOWEEKNUM($J788),"00"))</f>
        <v/>
      </c>
      <c r="P788" s="3">
        <f>IF($J788="","",YEAR($J788))</f>
        <v/>
      </c>
      <c r="Q788" s="3">
        <f>IF($J788="","",MONTH($J788))</f>
        <v/>
      </c>
      <c r="R788" s="3">
        <f>IF($J788="","",INDEX(lista_dias,WEEKDAY($J788,2)))</f>
        <v/>
      </c>
      <c r="S788" s="3">
        <f>IF($I788="","",IFERROR(INDEX('CAT_TIPOS_OT'!$C$4:$C$7,MATCH($I788,'CAT_TIPOS_OT'!$A$4:$A$7,0)),"sin_clasificar"))</f>
        <v/>
      </c>
      <c r="T788" s="3">
        <f>IF($F788="","",IFERROR(INDEX('CAT_CENTROS_COSTO'!$E$4:$E$9,MATCH($F788,'CAT_CENTROS_COSTO'!$A$4:$A$9,0)),"(sin catálogo)"))</f>
        <v/>
      </c>
      <c r="U788" s="3">
        <f>IF($F788="","",IFERROR(INDEX('CAT_CENTROS_COSTO'!$D$4:$D$9,MATCH($F788,'CAT_CENTROS_COSTO'!$A$4:$A$9,0)),"(sin catálogo)"))</f>
        <v/>
      </c>
      <c r="V788" s="3">
        <f>IF($F788="","",IFERROR(INDEX('CAT_CENTROS_COSTO'!$F$4:$F$9,MATCH($F788,'CAT_CENTROS_COSTO'!$A$4:$A$9,0)),"(sin catálogo)"))</f>
        <v/>
      </c>
      <c r="W788" s="3">
        <f>IF($G788="","",IFERROR(INDEX('CAT_PUESTOS'!$B$4:$B$8,MATCH($G788,'CAT_PUESTOS'!$A$4:$A$8,0)),"(sin catálogo)"))</f>
        <v/>
      </c>
      <c r="X788" s="3">
        <f>IF($H788="","",IFERROR(INDEX('CAT_ACTIVIDADES'!$B$4:$B$8,MATCH($H788,'CAT_ACTIVIDADES'!$A$4:$A$8,0)),"(sin catálogo)"))</f>
        <v/>
      </c>
      <c r="Y788" s="12">
        <f>IF($J788="","",TODAY()-$J788)</f>
        <v/>
      </c>
      <c r="Z788" s="3">
        <f>IF($Y788="","",IF($Y788&lt;0,"FUTURO",IF($Y788&gt;p_dias_backlog_max,"BACKLOG","MES CORRIENTE")))</f>
        <v/>
      </c>
      <c r="AA788" s="3">
        <f>IF($Y788="",FALSE,AND($Y788&gt;p_dias_backlog_min,$Y788&lt;=p_dias_backlog_max))</f>
        <v/>
      </c>
      <c r="AB788" s="6" t="n"/>
      <c r="AC788" s="3">
        <f>IF($AB788="","",IFERROR(INDEX('ASIGNACIONES'!$F$4:$F$339,MATCH($O788&amp;"|"&amp;$R788&amp;"|"&amp;$AB788,'ASIGNACIONES'!$I$4:$I$339,0)),""))</f>
        <v/>
      </c>
      <c r="AD788" s="13">
        <f>IF($AB788="","",SUMIFS('ORDENES'!$M$4:$M$1203,'ORDENES'!$AB$4:$AB$1203,$AB788,'ORDENES'!$O$4:$O$1203,$O788,'ORDENES'!$R$4:$R$1203,$R788))</f>
        <v/>
      </c>
      <c r="AE788" s="13">
        <f>IF($AD788="","",p_factor_productividad*IFERROR(INDEX('ASIGNACIONES'!$H$4:$H$339,MATCH($O788&amp;"|"&amp;$R788&amp;"|"&amp;$AB788,'ASIGNACIONES'!$I$4:$I$339,0)),0)-$AD788)</f>
        <v/>
      </c>
      <c r="AF788" s="10">
        <f>IF($A788="","",IFERROR(INDEX('2_IMPORTAR_EJECUCION'!$F$9:$F$1208,MATCH($AN788,'2_IMPORTAR_EJECUCION'!$J$9:$J$1208,0)),0))</f>
        <v/>
      </c>
      <c r="AG788" s="10">
        <f>IF($A788="","",MAX(0,IFERROR(INDEX('2_IMPORTAR_EJECUCION'!$H$9:$H$1208,MATCH($AN788,'2_IMPORTAR_EJECUCION'!$J$9:$J$1208,0)),0)-$AF788))</f>
        <v/>
      </c>
      <c r="AH788" s="10">
        <f>IF($A788="","",$AF788+$AG788)</f>
        <v/>
      </c>
      <c r="AI788" s="6" t="n"/>
      <c r="AJ788" s="6" t="n"/>
      <c r="AK788" s="6" t="n"/>
      <c r="AL788" s="3">
        <f>IF($AK788="","",HYPERLINK(p_ruta_base_checklists&amp;$AK788,"abrir"))</f>
        <v/>
      </c>
      <c r="AM788" s="6" t="n"/>
      <c r="AN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1" t="n"/>
      <c r="K789" s="3" t="n"/>
      <c r="L789" s="10" t="n"/>
      <c r="M789" s="3">
        <f>IF($A789="","",IFERROR(INDEX('AJUSTES'!$B$4:$B$303,MATCH($AN789,'AJUSTES'!$A$4:$A$303,0)),IF($K789="","",$K789)))</f>
        <v/>
      </c>
      <c r="N789" s="3">
        <f>IF($A789="","",IFERROR(INDEX('CAT_ESTADOS_ERP'!$B$4:$B$7,MATCH(IFERROR(INDEX('2_IMPORTAR_EJECUCION'!$C$9:$C$1208,MATCH($AN789,'2_IMPORTAR_EJECUCION'!$J$9:$J$1208,0)),""),'CAT_ESTADOS_ERP'!$A$4:$A$7,0)),"Pendiente"))</f>
        <v/>
      </c>
      <c r="O789" s="3">
        <f>IF($J789="","",YEAR($J789+4-WEEKDAY($J789,2))&amp;"-S"&amp;TEXT(_xlfn.ISOWEEKNUM($J789),"00"))</f>
        <v/>
      </c>
      <c r="P789" s="3">
        <f>IF($J789="","",YEAR($J789))</f>
        <v/>
      </c>
      <c r="Q789" s="3">
        <f>IF($J789="","",MONTH($J789))</f>
        <v/>
      </c>
      <c r="R789" s="3">
        <f>IF($J789="","",INDEX(lista_dias,WEEKDAY($J789,2)))</f>
        <v/>
      </c>
      <c r="S789" s="3">
        <f>IF($I789="","",IFERROR(INDEX('CAT_TIPOS_OT'!$C$4:$C$7,MATCH($I789,'CAT_TIPOS_OT'!$A$4:$A$7,0)),"sin_clasificar"))</f>
        <v/>
      </c>
      <c r="T789" s="3">
        <f>IF($F789="","",IFERROR(INDEX('CAT_CENTROS_COSTO'!$E$4:$E$9,MATCH($F789,'CAT_CENTROS_COSTO'!$A$4:$A$9,0)),"(sin catálogo)"))</f>
        <v/>
      </c>
      <c r="U789" s="3">
        <f>IF($F789="","",IFERROR(INDEX('CAT_CENTROS_COSTO'!$D$4:$D$9,MATCH($F789,'CAT_CENTROS_COSTO'!$A$4:$A$9,0)),"(sin catálogo)"))</f>
        <v/>
      </c>
      <c r="V789" s="3">
        <f>IF($F789="","",IFERROR(INDEX('CAT_CENTROS_COSTO'!$F$4:$F$9,MATCH($F789,'CAT_CENTROS_COSTO'!$A$4:$A$9,0)),"(sin catálogo)"))</f>
        <v/>
      </c>
      <c r="W789" s="3">
        <f>IF($G789="","",IFERROR(INDEX('CAT_PUESTOS'!$B$4:$B$8,MATCH($G789,'CAT_PUESTOS'!$A$4:$A$8,0)),"(sin catálogo)"))</f>
        <v/>
      </c>
      <c r="X789" s="3">
        <f>IF($H789="","",IFERROR(INDEX('CAT_ACTIVIDADES'!$B$4:$B$8,MATCH($H789,'CAT_ACTIVIDADES'!$A$4:$A$8,0)),"(sin catálogo)"))</f>
        <v/>
      </c>
      <c r="Y789" s="12">
        <f>IF($J789="","",TODAY()-$J789)</f>
        <v/>
      </c>
      <c r="Z789" s="3">
        <f>IF($Y789="","",IF($Y789&lt;0,"FUTURO",IF($Y789&gt;p_dias_backlog_max,"BACKLOG","MES CORRIENTE")))</f>
        <v/>
      </c>
      <c r="AA789" s="3">
        <f>IF($Y789="",FALSE,AND($Y789&gt;p_dias_backlog_min,$Y789&lt;=p_dias_backlog_max))</f>
        <v/>
      </c>
      <c r="AB789" s="6" t="n"/>
      <c r="AC789" s="3">
        <f>IF($AB789="","",IFERROR(INDEX('ASIGNACIONES'!$F$4:$F$339,MATCH($O789&amp;"|"&amp;$R789&amp;"|"&amp;$AB789,'ASIGNACIONES'!$I$4:$I$339,0)),""))</f>
        <v/>
      </c>
      <c r="AD789" s="13">
        <f>IF($AB789="","",SUMIFS('ORDENES'!$M$4:$M$1203,'ORDENES'!$AB$4:$AB$1203,$AB789,'ORDENES'!$O$4:$O$1203,$O789,'ORDENES'!$R$4:$R$1203,$R789))</f>
        <v/>
      </c>
      <c r="AE789" s="13">
        <f>IF($AD789="","",p_factor_productividad*IFERROR(INDEX('ASIGNACIONES'!$H$4:$H$339,MATCH($O789&amp;"|"&amp;$R789&amp;"|"&amp;$AB789,'ASIGNACIONES'!$I$4:$I$339,0)),0)-$AD789)</f>
        <v/>
      </c>
      <c r="AF789" s="10">
        <f>IF($A789="","",IFERROR(INDEX('2_IMPORTAR_EJECUCION'!$F$9:$F$1208,MATCH($AN789,'2_IMPORTAR_EJECUCION'!$J$9:$J$1208,0)),0))</f>
        <v/>
      </c>
      <c r="AG789" s="10">
        <f>IF($A789="","",MAX(0,IFERROR(INDEX('2_IMPORTAR_EJECUCION'!$H$9:$H$1208,MATCH($AN789,'2_IMPORTAR_EJECUCION'!$J$9:$J$1208,0)),0)-$AF789))</f>
        <v/>
      </c>
      <c r="AH789" s="10">
        <f>IF($A789="","",$AF789+$AG789)</f>
        <v/>
      </c>
      <c r="AI789" s="6" t="n"/>
      <c r="AJ789" s="6" t="n"/>
      <c r="AK789" s="6" t="n"/>
      <c r="AL789" s="3">
        <f>IF($AK789="","",HYPERLINK(p_ruta_base_checklists&amp;$AK789,"abrir"))</f>
        <v/>
      </c>
      <c r="AM789" s="6" t="n"/>
      <c r="AN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1" t="n"/>
      <c r="K790" s="3" t="n"/>
      <c r="L790" s="10" t="n"/>
      <c r="M790" s="3">
        <f>IF($A790="","",IFERROR(INDEX('AJUSTES'!$B$4:$B$303,MATCH($AN790,'AJUSTES'!$A$4:$A$303,0)),IF($K790="","",$K790)))</f>
        <v/>
      </c>
      <c r="N790" s="3">
        <f>IF($A790="","",IFERROR(INDEX('CAT_ESTADOS_ERP'!$B$4:$B$7,MATCH(IFERROR(INDEX('2_IMPORTAR_EJECUCION'!$C$9:$C$1208,MATCH($AN790,'2_IMPORTAR_EJECUCION'!$J$9:$J$1208,0)),""),'CAT_ESTADOS_ERP'!$A$4:$A$7,0)),"Pendiente"))</f>
        <v/>
      </c>
      <c r="O790" s="3">
        <f>IF($J790="","",YEAR($J790+4-WEEKDAY($J790,2))&amp;"-S"&amp;TEXT(_xlfn.ISOWEEKNUM($J790),"00"))</f>
        <v/>
      </c>
      <c r="P790" s="3">
        <f>IF($J790="","",YEAR($J790))</f>
        <v/>
      </c>
      <c r="Q790" s="3">
        <f>IF($J790="","",MONTH($J790))</f>
        <v/>
      </c>
      <c r="R790" s="3">
        <f>IF($J790="","",INDEX(lista_dias,WEEKDAY($J790,2)))</f>
        <v/>
      </c>
      <c r="S790" s="3">
        <f>IF($I790="","",IFERROR(INDEX('CAT_TIPOS_OT'!$C$4:$C$7,MATCH($I790,'CAT_TIPOS_OT'!$A$4:$A$7,0)),"sin_clasificar"))</f>
        <v/>
      </c>
      <c r="T790" s="3">
        <f>IF($F790="","",IFERROR(INDEX('CAT_CENTROS_COSTO'!$E$4:$E$9,MATCH($F790,'CAT_CENTROS_COSTO'!$A$4:$A$9,0)),"(sin catálogo)"))</f>
        <v/>
      </c>
      <c r="U790" s="3">
        <f>IF($F790="","",IFERROR(INDEX('CAT_CENTROS_COSTO'!$D$4:$D$9,MATCH($F790,'CAT_CENTROS_COSTO'!$A$4:$A$9,0)),"(sin catálogo)"))</f>
        <v/>
      </c>
      <c r="V790" s="3">
        <f>IF($F790="","",IFERROR(INDEX('CAT_CENTROS_COSTO'!$F$4:$F$9,MATCH($F790,'CAT_CENTROS_COSTO'!$A$4:$A$9,0)),"(sin catálogo)"))</f>
        <v/>
      </c>
      <c r="W790" s="3">
        <f>IF($G790="","",IFERROR(INDEX('CAT_PUESTOS'!$B$4:$B$8,MATCH($G790,'CAT_PUESTOS'!$A$4:$A$8,0)),"(sin catálogo)"))</f>
        <v/>
      </c>
      <c r="X790" s="3">
        <f>IF($H790="","",IFERROR(INDEX('CAT_ACTIVIDADES'!$B$4:$B$8,MATCH($H790,'CAT_ACTIVIDADES'!$A$4:$A$8,0)),"(sin catálogo)"))</f>
        <v/>
      </c>
      <c r="Y790" s="12">
        <f>IF($J790="","",TODAY()-$J790)</f>
        <v/>
      </c>
      <c r="Z790" s="3">
        <f>IF($Y790="","",IF($Y790&lt;0,"FUTURO",IF($Y790&gt;p_dias_backlog_max,"BACKLOG","MES CORRIENTE")))</f>
        <v/>
      </c>
      <c r="AA790" s="3">
        <f>IF($Y790="",FALSE,AND($Y790&gt;p_dias_backlog_min,$Y790&lt;=p_dias_backlog_max))</f>
        <v/>
      </c>
      <c r="AB790" s="6" t="n"/>
      <c r="AC790" s="3">
        <f>IF($AB790="","",IFERROR(INDEX('ASIGNACIONES'!$F$4:$F$339,MATCH($O790&amp;"|"&amp;$R790&amp;"|"&amp;$AB790,'ASIGNACIONES'!$I$4:$I$339,0)),""))</f>
        <v/>
      </c>
      <c r="AD790" s="13">
        <f>IF($AB790="","",SUMIFS('ORDENES'!$M$4:$M$1203,'ORDENES'!$AB$4:$AB$1203,$AB790,'ORDENES'!$O$4:$O$1203,$O790,'ORDENES'!$R$4:$R$1203,$R790))</f>
        <v/>
      </c>
      <c r="AE790" s="13">
        <f>IF($AD790="","",p_factor_productividad*IFERROR(INDEX('ASIGNACIONES'!$H$4:$H$339,MATCH($O790&amp;"|"&amp;$R790&amp;"|"&amp;$AB790,'ASIGNACIONES'!$I$4:$I$339,0)),0)-$AD790)</f>
        <v/>
      </c>
      <c r="AF790" s="10">
        <f>IF($A790="","",IFERROR(INDEX('2_IMPORTAR_EJECUCION'!$F$9:$F$1208,MATCH($AN790,'2_IMPORTAR_EJECUCION'!$J$9:$J$1208,0)),0))</f>
        <v/>
      </c>
      <c r="AG790" s="10">
        <f>IF($A790="","",MAX(0,IFERROR(INDEX('2_IMPORTAR_EJECUCION'!$H$9:$H$1208,MATCH($AN790,'2_IMPORTAR_EJECUCION'!$J$9:$J$1208,0)),0)-$AF790))</f>
        <v/>
      </c>
      <c r="AH790" s="10">
        <f>IF($A790="","",$AF790+$AG790)</f>
        <v/>
      </c>
      <c r="AI790" s="6" t="n"/>
      <c r="AJ790" s="6" t="n"/>
      <c r="AK790" s="6" t="n"/>
      <c r="AL790" s="3">
        <f>IF($AK790="","",HYPERLINK(p_ruta_base_checklists&amp;$AK790,"abrir"))</f>
        <v/>
      </c>
      <c r="AM790" s="6" t="n"/>
      <c r="AN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1" t="n"/>
      <c r="K791" s="3" t="n"/>
      <c r="L791" s="10" t="n"/>
      <c r="M791" s="3">
        <f>IF($A791="","",IFERROR(INDEX('AJUSTES'!$B$4:$B$303,MATCH($AN791,'AJUSTES'!$A$4:$A$303,0)),IF($K791="","",$K791)))</f>
        <v/>
      </c>
      <c r="N791" s="3">
        <f>IF($A791="","",IFERROR(INDEX('CAT_ESTADOS_ERP'!$B$4:$B$7,MATCH(IFERROR(INDEX('2_IMPORTAR_EJECUCION'!$C$9:$C$1208,MATCH($AN791,'2_IMPORTAR_EJECUCION'!$J$9:$J$1208,0)),""),'CAT_ESTADOS_ERP'!$A$4:$A$7,0)),"Pendiente"))</f>
        <v/>
      </c>
      <c r="O791" s="3">
        <f>IF($J791="","",YEAR($J791+4-WEEKDAY($J791,2))&amp;"-S"&amp;TEXT(_xlfn.ISOWEEKNUM($J791),"00"))</f>
        <v/>
      </c>
      <c r="P791" s="3">
        <f>IF($J791="","",YEAR($J791))</f>
        <v/>
      </c>
      <c r="Q791" s="3">
        <f>IF($J791="","",MONTH($J791))</f>
        <v/>
      </c>
      <c r="R791" s="3">
        <f>IF($J791="","",INDEX(lista_dias,WEEKDAY($J791,2)))</f>
        <v/>
      </c>
      <c r="S791" s="3">
        <f>IF($I791="","",IFERROR(INDEX('CAT_TIPOS_OT'!$C$4:$C$7,MATCH($I791,'CAT_TIPOS_OT'!$A$4:$A$7,0)),"sin_clasificar"))</f>
        <v/>
      </c>
      <c r="T791" s="3">
        <f>IF($F791="","",IFERROR(INDEX('CAT_CENTROS_COSTO'!$E$4:$E$9,MATCH($F791,'CAT_CENTROS_COSTO'!$A$4:$A$9,0)),"(sin catálogo)"))</f>
        <v/>
      </c>
      <c r="U791" s="3">
        <f>IF($F791="","",IFERROR(INDEX('CAT_CENTROS_COSTO'!$D$4:$D$9,MATCH($F791,'CAT_CENTROS_COSTO'!$A$4:$A$9,0)),"(sin catálogo)"))</f>
        <v/>
      </c>
      <c r="V791" s="3">
        <f>IF($F791="","",IFERROR(INDEX('CAT_CENTROS_COSTO'!$F$4:$F$9,MATCH($F791,'CAT_CENTROS_COSTO'!$A$4:$A$9,0)),"(sin catálogo)"))</f>
        <v/>
      </c>
      <c r="W791" s="3">
        <f>IF($G791="","",IFERROR(INDEX('CAT_PUESTOS'!$B$4:$B$8,MATCH($G791,'CAT_PUESTOS'!$A$4:$A$8,0)),"(sin catálogo)"))</f>
        <v/>
      </c>
      <c r="X791" s="3">
        <f>IF($H791="","",IFERROR(INDEX('CAT_ACTIVIDADES'!$B$4:$B$8,MATCH($H791,'CAT_ACTIVIDADES'!$A$4:$A$8,0)),"(sin catálogo)"))</f>
        <v/>
      </c>
      <c r="Y791" s="12">
        <f>IF($J791="","",TODAY()-$J791)</f>
        <v/>
      </c>
      <c r="Z791" s="3">
        <f>IF($Y791="","",IF($Y791&lt;0,"FUTURO",IF($Y791&gt;p_dias_backlog_max,"BACKLOG","MES CORRIENTE")))</f>
        <v/>
      </c>
      <c r="AA791" s="3">
        <f>IF($Y791="",FALSE,AND($Y791&gt;p_dias_backlog_min,$Y791&lt;=p_dias_backlog_max))</f>
        <v/>
      </c>
      <c r="AB791" s="6" t="n"/>
      <c r="AC791" s="3">
        <f>IF($AB791="","",IFERROR(INDEX('ASIGNACIONES'!$F$4:$F$339,MATCH($O791&amp;"|"&amp;$R791&amp;"|"&amp;$AB791,'ASIGNACIONES'!$I$4:$I$339,0)),""))</f>
        <v/>
      </c>
      <c r="AD791" s="13">
        <f>IF($AB791="","",SUMIFS('ORDENES'!$M$4:$M$1203,'ORDENES'!$AB$4:$AB$1203,$AB791,'ORDENES'!$O$4:$O$1203,$O791,'ORDENES'!$R$4:$R$1203,$R791))</f>
        <v/>
      </c>
      <c r="AE791" s="13">
        <f>IF($AD791="","",p_factor_productividad*IFERROR(INDEX('ASIGNACIONES'!$H$4:$H$339,MATCH($O791&amp;"|"&amp;$R791&amp;"|"&amp;$AB791,'ASIGNACIONES'!$I$4:$I$339,0)),0)-$AD791)</f>
        <v/>
      </c>
      <c r="AF791" s="10">
        <f>IF($A791="","",IFERROR(INDEX('2_IMPORTAR_EJECUCION'!$F$9:$F$1208,MATCH($AN791,'2_IMPORTAR_EJECUCION'!$J$9:$J$1208,0)),0))</f>
        <v/>
      </c>
      <c r="AG791" s="10">
        <f>IF($A791="","",MAX(0,IFERROR(INDEX('2_IMPORTAR_EJECUCION'!$H$9:$H$1208,MATCH($AN791,'2_IMPORTAR_EJECUCION'!$J$9:$J$1208,0)),0)-$AF791))</f>
        <v/>
      </c>
      <c r="AH791" s="10">
        <f>IF($A791="","",$AF791+$AG791)</f>
        <v/>
      </c>
      <c r="AI791" s="6" t="n"/>
      <c r="AJ791" s="6" t="n"/>
      <c r="AK791" s="6" t="n"/>
      <c r="AL791" s="3">
        <f>IF($AK791="","",HYPERLINK(p_ruta_base_checklists&amp;$AK791,"abrir"))</f>
        <v/>
      </c>
      <c r="AM791" s="6" t="n"/>
      <c r="AN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1" t="n"/>
      <c r="K792" s="3" t="n"/>
      <c r="L792" s="10" t="n"/>
      <c r="M792" s="3">
        <f>IF($A792="","",IFERROR(INDEX('AJUSTES'!$B$4:$B$303,MATCH($AN792,'AJUSTES'!$A$4:$A$303,0)),IF($K792="","",$K792)))</f>
        <v/>
      </c>
      <c r="N792" s="3">
        <f>IF($A792="","",IFERROR(INDEX('CAT_ESTADOS_ERP'!$B$4:$B$7,MATCH(IFERROR(INDEX('2_IMPORTAR_EJECUCION'!$C$9:$C$1208,MATCH($AN792,'2_IMPORTAR_EJECUCION'!$J$9:$J$1208,0)),""),'CAT_ESTADOS_ERP'!$A$4:$A$7,0)),"Pendiente"))</f>
        <v/>
      </c>
      <c r="O792" s="3">
        <f>IF($J792="","",YEAR($J792+4-WEEKDAY($J792,2))&amp;"-S"&amp;TEXT(_xlfn.ISOWEEKNUM($J792),"00"))</f>
        <v/>
      </c>
      <c r="P792" s="3">
        <f>IF($J792="","",YEAR($J792))</f>
        <v/>
      </c>
      <c r="Q792" s="3">
        <f>IF($J792="","",MONTH($J792))</f>
        <v/>
      </c>
      <c r="R792" s="3">
        <f>IF($J792="","",INDEX(lista_dias,WEEKDAY($J792,2)))</f>
        <v/>
      </c>
      <c r="S792" s="3">
        <f>IF($I792="","",IFERROR(INDEX('CAT_TIPOS_OT'!$C$4:$C$7,MATCH($I792,'CAT_TIPOS_OT'!$A$4:$A$7,0)),"sin_clasificar"))</f>
        <v/>
      </c>
      <c r="T792" s="3">
        <f>IF($F792="","",IFERROR(INDEX('CAT_CENTROS_COSTO'!$E$4:$E$9,MATCH($F792,'CAT_CENTROS_COSTO'!$A$4:$A$9,0)),"(sin catálogo)"))</f>
        <v/>
      </c>
      <c r="U792" s="3">
        <f>IF($F792="","",IFERROR(INDEX('CAT_CENTROS_COSTO'!$D$4:$D$9,MATCH($F792,'CAT_CENTROS_COSTO'!$A$4:$A$9,0)),"(sin catálogo)"))</f>
        <v/>
      </c>
      <c r="V792" s="3">
        <f>IF($F792="","",IFERROR(INDEX('CAT_CENTROS_COSTO'!$F$4:$F$9,MATCH($F792,'CAT_CENTROS_COSTO'!$A$4:$A$9,0)),"(sin catálogo)"))</f>
        <v/>
      </c>
      <c r="W792" s="3">
        <f>IF($G792="","",IFERROR(INDEX('CAT_PUESTOS'!$B$4:$B$8,MATCH($G792,'CAT_PUESTOS'!$A$4:$A$8,0)),"(sin catálogo)"))</f>
        <v/>
      </c>
      <c r="X792" s="3">
        <f>IF($H792="","",IFERROR(INDEX('CAT_ACTIVIDADES'!$B$4:$B$8,MATCH($H792,'CAT_ACTIVIDADES'!$A$4:$A$8,0)),"(sin catálogo)"))</f>
        <v/>
      </c>
      <c r="Y792" s="12">
        <f>IF($J792="","",TODAY()-$J792)</f>
        <v/>
      </c>
      <c r="Z792" s="3">
        <f>IF($Y792="","",IF($Y792&lt;0,"FUTURO",IF($Y792&gt;p_dias_backlog_max,"BACKLOG","MES CORRIENTE")))</f>
        <v/>
      </c>
      <c r="AA792" s="3">
        <f>IF($Y792="",FALSE,AND($Y792&gt;p_dias_backlog_min,$Y792&lt;=p_dias_backlog_max))</f>
        <v/>
      </c>
      <c r="AB792" s="6" t="n"/>
      <c r="AC792" s="3">
        <f>IF($AB792="","",IFERROR(INDEX('ASIGNACIONES'!$F$4:$F$339,MATCH($O792&amp;"|"&amp;$R792&amp;"|"&amp;$AB792,'ASIGNACIONES'!$I$4:$I$339,0)),""))</f>
        <v/>
      </c>
      <c r="AD792" s="13">
        <f>IF($AB792="","",SUMIFS('ORDENES'!$M$4:$M$1203,'ORDENES'!$AB$4:$AB$1203,$AB792,'ORDENES'!$O$4:$O$1203,$O792,'ORDENES'!$R$4:$R$1203,$R792))</f>
        <v/>
      </c>
      <c r="AE792" s="13">
        <f>IF($AD792="","",p_factor_productividad*IFERROR(INDEX('ASIGNACIONES'!$H$4:$H$339,MATCH($O792&amp;"|"&amp;$R792&amp;"|"&amp;$AB792,'ASIGNACIONES'!$I$4:$I$339,0)),0)-$AD792)</f>
        <v/>
      </c>
      <c r="AF792" s="10">
        <f>IF($A792="","",IFERROR(INDEX('2_IMPORTAR_EJECUCION'!$F$9:$F$1208,MATCH($AN792,'2_IMPORTAR_EJECUCION'!$J$9:$J$1208,0)),0))</f>
        <v/>
      </c>
      <c r="AG792" s="10">
        <f>IF($A792="","",MAX(0,IFERROR(INDEX('2_IMPORTAR_EJECUCION'!$H$9:$H$1208,MATCH($AN792,'2_IMPORTAR_EJECUCION'!$J$9:$J$1208,0)),0)-$AF792))</f>
        <v/>
      </c>
      <c r="AH792" s="10">
        <f>IF($A792="","",$AF792+$AG792)</f>
        <v/>
      </c>
      <c r="AI792" s="6" t="n"/>
      <c r="AJ792" s="6" t="n"/>
      <c r="AK792" s="6" t="n"/>
      <c r="AL792" s="3">
        <f>IF($AK792="","",HYPERLINK(p_ruta_base_checklists&amp;$AK792,"abrir"))</f>
        <v/>
      </c>
      <c r="AM792" s="6" t="n"/>
      <c r="AN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1" t="n"/>
      <c r="K793" s="3" t="n"/>
      <c r="L793" s="10" t="n"/>
      <c r="M793" s="3">
        <f>IF($A793="","",IFERROR(INDEX('AJUSTES'!$B$4:$B$303,MATCH($AN793,'AJUSTES'!$A$4:$A$303,0)),IF($K793="","",$K793)))</f>
        <v/>
      </c>
      <c r="N793" s="3">
        <f>IF($A793="","",IFERROR(INDEX('CAT_ESTADOS_ERP'!$B$4:$B$7,MATCH(IFERROR(INDEX('2_IMPORTAR_EJECUCION'!$C$9:$C$1208,MATCH($AN793,'2_IMPORTAR_EJECUCION'!$J$9:$J$1208,0)),""),'CAT_ESTADOS_ERP'!$A$4:$A$7,0)),"Pendiente"))</f>
        <v/>
      </c>
      <c r="O793" s="3">
        <f>IF($J793="","",YEAR($J793+4-WEEKDAY($J793,2))&amp;"-S"&amp;TEXT(_xlfn.ISOWEEKNUM($J793),"00"))</f>
        <v/>
      </c>
      <c r="P793" s="3">
        <f>IF($J793="","",YEAR($J793))</f>
        <v/>
      </c>
      <c r="Q793" s="3">
        <f>IF($J793="","",MONTH($J793))</f>
        <v/>
      </c>
      <c r="R793" s="3">
        <f>IF($J793="","",INDEX(lista_dias,WEEKDAY($J793,2)))</f>
        <v/>
      </c>
      <c r="S793" s="3">
        <f>IF($I793="","",IFERROR(INDEX('CAT_TIPOS_OT'!$C$4:$C$7,MATCH($I793,'CAT_TIPOS_OT'!$A$4:$A$7,0)),"sin_clasificar"))</f>
        <v/>
      </c>
      <c r="T793" s="3">
        <f>IF($F793="","",IFERROR(INDEX('CAT_CENTROS_COSTO'!$E$4:$E$9,MATCH($F793,'CAT_CENTROS_COSTO'!$A$4:$A$9,0)),"(sin catálogo)"))</f>
        <v/>
      </c>
      <c r="U793" s="3">
        <f>IF($F793="","",IFERROR(INDEX('CAT_CENTROS_COSTO'!$D$4:$D$9,MATCH($F793,'CAT_CENTROS_COSTO'!$A$4:$A$9,0)),"(sin catálogo)"))</f>
        <v/>
      </c>
      <c r="V793" s="3">
        <f>IF($F793="","",IFERROR(INDEX('CAT_CENTROS_COSTO'!$F$4:$F$9,MATCH($F793,'CAT_CENTROS_COSTO'!$A$4:$A$9,0)),"(sin catálogo)"))</f>
        <v/>
      </c>
      <c r="W793" s="3">
        <f>IF($G793="","",IFERROR(INDEX('CAT_PUESTOS'!$B$4:$B$8,MATCH($G793,'CAT_PUESTOS'!$A$4:$A$8,0)),"(sin catálogo)"))</f>
        <v/>
      </c>
      <c r="X793" s="3">
        <f>IF($H793="","",IFERROR(INDEX('CAT_ACTIVIDADES'!$B$4:$B$8,MATCH($H793,'CAT_ACTIVIDADES'!$A$4:$A$8,0)),"(sin catálogo)"))</f>
        <v/>
      </c>
      <c r="Y793" s="12">
        <f>IF($J793="","",TODAY()-$J793)</f>
        <v/>
      </c>
      <c r="Z793" s="3">
        <f>IF($Y793="","",IF($Y793&lt;0,"FUTURO",IF($Y793&gt;p_dias_backlog_max,"BACKLOG","MES CORRIENTE")))</f>
        <v/>
      </c>
      <c r="AA793" s="3">
        <f>IF($Y793="",FALSE,AND($Y793&gt;p_dias_backlog_min,$Y793&lt;=p_dias_backlog_max))</f>
        <v/>
      </c>
      <c r="AB793" s="6" t="n"/>
      <c r="AC793" s="3">
        <f>IF($AB793="","",IFERROR(INDEX('ASIGNACIONES'!$F$4:$F$339,MATCH($O793&amp;"|"&amp;$R793&amp;"|"&amp;$AB793,'ASIGNACIONES'!$I$4:$I$339,0)),""))</f>
        <v/>
      </c>
      <c r="AD793" s="13">
        <f>IF($AB793="","",SUMIFS('ORDENES'!$M$4:$M$1203,'ORDENES'!$AB$4:$AB$1203,$AB793,'ORDENES'!$O$4:$O$1203,$O793,'ORDENES'!$R$4:$R$1203,$R793))</f>
        <v/>
      </c>
      <c r="AE793" s="13">
        <f>IF($AD793="","",p_factor_productividad*IFERROR(INDEX('ASIGNACIONES'!$H$4:$H$339,MATCH($O793&amp;"|"&amp;$R793&amp;"|"&amp;$AB793,'ASIGNACIONES'!$I$4:$I$339,0)),0)-$AD793)</f>
        <v/>
      </c>
      <c r="AF793" s="10">
        <f>IF($A793="","",IFERROR(INDEX('2_IMPORTAR_EJECUCION'!$F$9:$F$1208,MATCH($AN793,'2_IMPORTAR_EJECUCION'!$J$9:$J$1208,0)),0))</f>
        <v/>
      </c>
      <c r="AG793" s="10">
        <f>IF($A793="","",MAX(0,IFERROR(INDEX('2_IMPORTAR_EJECUCION'!$H$9:$H$1208,MATCH($AN793,'2_IMPORTAR_EJECUCION'!$J$9:$J$1208,0)),0)-$AF793))</f>
        <v/>
      </c>
      <c r="AH793" s="10">
        <f>IF($A793="","",$AF793+$AG793)</f>
        <v/>
      </c>
      <c r="AI793" s="6" t="n"/>
      <c r="AJ793" s="6" t="n"/>
      <c r="AK793" s="6" t="n"/>
      <c r="AL793" s="3">
        <f>IF($AK793="","",HYPERLINK(p_ruta_base_checklists&amp;$AK793,"abrir"))</f>
        <v/>
      </c>
      <c r="AM793" s="6" t="n"/>
      <c r="AN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1" t="n"/>
      <c r="K794" s="3" t="n"/>
      <c r="L794" s="10" t="n"/>
      <c r="M794" s="3">
        <f>IF($A794="","",IFERROR(INDEX('AJUSTES'!$B$4:$B$303,MATCH($AN794,'AJUSTES'!$A$4:$A$303,0)),IF($K794="","",$K794)))</f>
        <v/>
      </c>
      <c r="N794" s="3">
        <f>IF($A794="","",IFERROR(INDEX('CAT_ESTADOS_ERP'!$B$4:$B$7,MATCH(IFERROR(INDEX('2_IMPORTAR_EJECUCION'!$C$9:$C$1208,MATCH($AN794,'2_IMPORTAR_EJECUCION'!$J$9:$J$1208,0)),""),'CAT_ESTADOS_ERP'!$A$4:$A$7,0)),"Pendiente"))</f>
        <v/>
      </c>
      <c r="O794" s="3">
        <f>IF($J794="","",YEAR($J794+4-WEEKDAY($J794,2))&amp;"-S"&amp;TEXT(_xlfn.ISOWEEKNUM($J794),"00"))</f>
        <v/>
      </c>
      <c r="P794" s="3">
        <f>IF($J794="","",YEAR($J794))</f>
        <v/>
      </c>
      <c r="Q794" s="3">
        <f>IF($J794="","",MONTH($J794))</f>
        <v/>
      </c>
      <c r="R794" s="3">
        <f>IF($J794="","",INDEX(lista_dias,WEEKDAY($J794,2)))</f>
        <v/>
      </c>
      <c r="S794" s="3">
        <f>IF($I794="","",IFERROR(INDEX('CAT_TIPOS_OT'!$C$4:$C$7,MATCH($I794,'CAT_TIPOS_OT'!$A$4:$A$7,0)),"sin_clasificar"))</f>
        <v/>
      </c>
      <c r="T794" s="3">
        <f>IF($F794="","",IFERROR(INDEX('CAT_CENTROS_COSTO'!$E$4:$E$9,MATCH($F794,'CAT_CENTROS_COSTO'!$A$4:$A$9,0)),"(sin catálogo)"))</f>
        <v/>
      </c>
      <c r="U794" s="3">
        <f>IF($F794="","",IFERROR(INDEX('CAT_CENTROS_COSTO'!$D$4:$D$9,MATCH($F794,'CAT_CENTROS_COSTO'!$A$4:$A$9,0)),"(sin catálogo)"))</f>
        <v/>
      </c>
      <c r="V794" s="3">
        <f>IF($F794="","",IFERROR(INDEX('CAT_CENTROS_COSTO'!$F$4:$F$9,MATCH($F794,'CAT_CENTROS_COSTO'!$A$4:$A$9,0)),"(sin catálogo)"))</f>
        <v/>
      </c>
      <c r="W794" s="3">
        <f>IF($G794="","",IFERROR(INDEX('CAT_PUESTOS'!$B$4:$B$8,MATCH($G794,'CAT_PUESTOS'!$A$4:$A$8,0)),"(sin catálogo)"))</f>
        <v/>
      </c>
      <c r="X794" s="3">
        <f>IF($H794="","",IFERROR(INDEX('CAT_ACTIVIDADES'!$B$4:$B$8,MATCH($H794,'CAT_ACTIVIDADES'!$A$4:$A$8,0)),"(sin catálogo)"))</f>
        <v/>
      </c>
      <c r="Y794" s="12">
        <f>IF($J794="","",TODAY()-$J794)</f>
        <v/>
      </c>
      <c r="Z794" s="3">
        <f>IF($Y794="","",IF($Y794&lt;0,"FUTURO",IF($Y794&gt;p_dias_backlog_max,"BACKLOG","MES CORRIENTE")))</f>
        <v/>
      </c>
      <c r="AA794" s="3">
        <f>IF($Y794="",FALSE,AND($Y794&gt;p_dias_backlog_min,$Y794&lt;=p_dias_backlog_max))</f>
        <v/>
      </c>
      <c r="AB794" s="6" t="n"/>
      <c r="AC794" s="3">
        <f>IF($AB794="","",IFERROR(INDEX('ASIGNACIONES'!$F$4:$F$339,MATCH($O794&amp;"|"&amp;$R794&amp;"|"&amp;$AB794,'ASIGNACIONES'!$I$4:$I$339,0)),""))</f>
        <v/>
      </c>
      <c r="AD794" s="13">
        <f>IF($AB794="","",SUMIFS('ORDENES'!$M$4:$M$1203,'ORDENES'!$AB$4:$AB$1203,$AB794,'ORDENES'!$O$4:$O$1203,$O794,'ORDENES'!$R$4:$R$1203,$R794))</f>
        <v/>
      </c>
      <c r="AE794" s="13">
        <f>IF($AD794="","",p_factor_productividad*IFERROR(INDEX('ASIGNACIONES'!$H$4:$H$339,MATCH($O794&amp;"|"&amp;$R794&amp;"|"&amp;$AB794,'ASIGNACIONES'!$I$4:$I$339,0)),0)-$AD794)</f>
        <v/>
      </c>
      <c r="AF794" s="10">
        <f>IF($A794="","",IFERROR(INDEX('2_IMPORTAR_EJECUCION'!$F$9:$F$1208,MATCH($AN794,'2_IMPORTAR_EJECUCION'!$J$9:$J$1208,0)),0))</f>
        <v/>
      </c>
      <c r="AG794" s="10">
        <f>IF($A794="","",MAX(0,IFERROR(INDEX('2_IMPORTAR_EJECUCION'!$H$9:$H$1208,MATCH($AN794,'2_IMPORTAR_EJECUCION'!$J$9:$J$1208,0)),0)-$AF794))</f>
        <v/>
      </c>
      <c r="AH794" s="10">
        <f>IF($A794="","",$AF794+$AG794)</f>
        <v/>
      </c>
      <c r="AI794" s="6" t="n"/>
      <c r="AJ794" s="6" t="n"/>
      <c r="AK794" s="6" t="n"/>
      <c r="AL794" s="3">
        <f>IF($AK794="","",HYPERLINK(p_ruta_base_checklists&amp;$AK794,"abrir"))</f>
        <v/>
      </c>
      <c r="AM794" s="6" t="n"/>
      <c r="AN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1" t="n"/>
      <c r="K795" s="3" t="n"/>
      <c r="L795" s="10" t="n"/>
      <c r="M795" s="3">
        <f>IF($A795="","",IFERROR(INDEX('AJUSTES'!$B$4:$B$303,MATCH($AN795,'AJUSTES'!$A$4:$A$303,0)),IF($K795="","",$K795)))</f>
        <v/>
      </c>
      <c r="N795" s="3">
        <f>IF($A795="","",IFERROR(INDEX('CAT_ESTADOS_ERP'!$B$4:$B$7,MATCH(IFERROR(INDEX('2_IMPORTAR_EJECUCION'!$C$9:$C$1208,MATCH($AN795,'2_IMPORTAR_EJECUCION'!$J$9:$J$1208,0)),""),'CAT_ESTADOS_ERP'!$A$4:$A$7,0)),"Pendiente"))</f>
        <v/>
      </c>
      <c r="O795" s="3">
        <f>IF($J795="","",YEAR($J795+4-WEEKDAY($J795,2))&amp;"-S"&amp;TEXT(_xlfn.ISOWEEKNUM($J795),"00"))</f>
        <v/>
      </c>
      <c r="P795" s="3">
        <f>IF($J795="","",YEAR($J795))</f>
        <v/>
      </c>
      <c r="Q795" s="3">
        <f>IF($J795="","",MONTH($J795))</f>
        <v/>
      </c>
      <c r="R795" s="3">
        <f>IF($J795="","",INDEX(lista_dias,WEEKDAY($J795,2)))</f>
        <v/>
      </c>
      <c r="S795" s="3">
        <f>IF($I795="","",IFERROR(INDEX('CAT_TIPOS_OT'!$C$4:$C$7,MATCH($I795,'CAT_TIPOS_OT'!$A$4:$A$7,0)),"sin_clasificar"))</f>
        <v/>
      </c>
      <c r="T795" s="3">
        <f>IF($F795="","",IFERROR(INDEX('CAT_CENTROS_COSTO'!$E$4:$E$9,MATCH($F795,'CAT_CENTROS_COSTO'!$A$4:$A$9,0)),"(sin catálogo)"))</f>
        <v/>
      </c>
      <c r="U795" s="3">
        <f>IF($F795="","",IFERROR(INDEX('CAT_CENTROS_COSTO'!$D$4:$D$9,MATCH($F795,'CAT_CENTROS_COSTO'!$A$4:$A$9,0)),"(sin catálogo)"))</f>
        <v/>
      </c>
      <c r="V795" s="3">
        <f>IF($F795="","",IFERROR(INDEX('CAT_CENTROS_COSTO'!$F$4:$F$9,MATCH($F795,'CAT_CENTROS_COSTO'!$A$4:$A$9,0)),"(sin catálogo)"))</f>
        <v/>
      </c>
      <c r="W795" s="3">
        <f>IF($G795="","",IFERROR(INDEX('CAT_PUESTOS'!$B$4:$B$8,MATCH($G795,'CAT_PUESTOS'!$A$4:$A$8,0)),"(sin catálogo)"))</f>
        <v/>
      </c>
      <c r="X795" s="3">
        <f>IF($H795="","",IFERROR(INDEX('CAT_ACTIVIDADES'!$B$4:$B$8,MATCH($H795,'CAT_ACTIVIDADES'!$A$4:$A$8,0)),"(sin catálogo)"))</f>
        <v/>
      </c>
      <c r="Y795" s="12">
        <f>IF($J795="","",TODAY()-$J795)</f>
        <v/>
      </c>
      <c r="Z795" s="3">
        <f>IF($Y795="","",IF($Y795&lt;0,"FUTURO",IF($Y795&gt;p_dias_backlog_max,"BACKLOG","MES CORRIENTE")))</f>
        <v/>
      </c>
      <c r="AA795" s="3">
        <f>IF($Y795="",FALSE,AND($Y795&gt;p_dias_backlog_min,$Y795&lt;=p_dias_backlog_max))</f>
        <v/>
      </c>
      <c r="AB795" s="6" t="n"/>
      <c r="AC795" s="3">
        <f>IF($AB795="","",IFERROR(INDEX('ASIGNACIONES'!$F$4:$F$339,MATCH($O795&amp;"|"&amp;$R795&amp;"|"&amp;$AB795,'ASIGNACIONES'!$I$4:$I$339,0)),""))</f>
        <v/>
      </c>
      <c r="AD795" s="13">
        <f>IF($AB795="","",SUMIFS('ORDENES'!$M$4:$M$1203,'ORDENES'!$AB$4:$AB$1203,$AB795,'ORDENES'!$O$4:$O$1203,$O795,'ORDENES'!$R$4:$R$1203,$R795))</f>
        <v/>
      </c>
      <c r="AE795" s="13">
        <f>IF($AD795="","",p_factor_productividad*IFERROR(INDEX('ASIGNACIONES'!$H$4:$H$339,MATCH($O795&amp;"|"&amp;$R795&amp;"|"&amp;$AB795,'ASIGNACIONES'!$I$4:$I$339,0)),0)-$AD795)</f>
        <v/>
      </c>
      <c r="AF795" s="10">
        <f>IF($A795="","",IFERROR(INDEX('2_IMPORTAR_EJECUCION'!$F$9:$F$1208,MATCH($AN795,'2_IMPORTAR_EJECUCION'!$J$9:$J$1208,0)),0))</f>
        <v/>
      </c>
      <c r="AG795" s="10">
        <f>IF($A795="","",MAX(0,IFERROR(INDEX('2_IMPORTAR_EJECUCION'!$H$9:$H$1208,MATCH($AN795,'2_IMPORTAR_EJECUCION'!$J$9:$J$1208,0)),0)-$AF795))</f>
        <v/>
      </c>
      <c r="AH795" s="10">
        <f>IF($A795="","",$AF795+$AG795)</f>
        <v/>
      </c>
      <c r="AI795" s="6" t="n"/>
      <c r="AJ795" s="6" t="n"/>
      <c r="AK795" s="6" t="n"/>
      <c r="AL795" s="3">
        <f>IF($AK795="","",HYPERLINK(p_ruta_base_checklists&amp;$AK795,"abrir"))</f>
        <v/>
      </c>
      <c r="AM795" s="6" t="n"/>
      <c r="AN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1" t="n"/>
      <c r="K796" s="3" t="n"/>
      <c r="L796" s="10" t="n"/>
      <c r="M796" s="3">
        <f>IF($A796="","",IFERROR(INDEX('AJUSTES'!$B$4:$B$303,MATCH($AN796,'AJUSTES'!$A$4:$A$303,0)),IF($K796="","",$K796)))</f>
        <v/>
      </c>
      <c r="N796" s="3">
        <f>IF($A796="","",IFERROR(INDEX('CAT_ESTADOS_ERP'!$B$4:$B$7,MATCH(IFERROR(INDEX('2_IMPORTAR_EJECUCION'!$C$9:$C$1208,MATCH($AN796,'2_IMPORTAR_EJECUCION'!$J$9:$J$1208,0)),""),'CAT_ESTADOS_ERP'!$A$4:$A$7,0)),"Pendiente"))</f>
        <v/>
      </c>
      <c r="O796" s="3">
        <f>IF($J796="","",YEAR($J796+4-WEEKDAY($J796,2))&amp;"-S"&amp;TEXT(_xlfn.ISOWEEKNUM($J796),"00"))</f>
        <v/>
      </c>
      <c r="P796" s="3">
        <f>IF($J796="","",YEAR($J796))</f>
        <v/>
      </c>
      <c r="Q796" s="3">
        <f>IF($J796="","",MONTH($J796))</f>
        <v/>
      </c>
      <c r="R796" s="3">
        <f>IF($J796="","",INDEX(lista_dias,WEEKDAY($J796,2)))</f>
        <v/>
      </c>
      <c r="S796" s="3">
        <f>IF($I796="","",IFERROR(INDEX('CAT_TIPOS_OT'!$C$4:$C$7,MATCH($I796,'CAT_TIPOS_OT'!$A$4:$A$7,0)),"sin_clasificar"))</f>
        <v/>
      </c>
      <c r="T796" s="3">
        <f>IF($F796="","",IFERROR(INDEX('CAT_CENTROS_COSTO'!$E$4:$E$9,MATCH($F796,'CAT_CENTROS_COSTO'!$A$4:$A$9,0)),"(sin catálogo)"))</f>
        <v/>
      </c>
      <c r="U796" s="3">
        <f>IF($F796="","",IFERROR(INDEX('CAT_CENTROS_COSTO'!$D$4:$D$9,MATCH($F796,'CAT_CENTROS_COSTO'!$A$4:$A$9,0)),"(sin catálogo)"))</f>
        <v/>
      </c>
      <c r="V796" s="3">
        <f>IF($F796="","",IFERROR(INDEX('CAT_CENTROS_COSTO'!$F$4:$F$9,MATCH($F796,'CAT_CENTROS_COSTO'!$A$4:$A$9,0)),"(sin catálogo)"))</f>
        <v/>
      </c>
      <c r="W796" s="3">
        <f>IF($G796="","",IFERROR(INDEX('CAT_PUESTOS'!$B$4:$B$8,MATCH($G796,'CAT_PUESTOS'!$A$4:$A$8,0)),"(sin catálogo)"))</f>
        <v/>
      </c>
      <c r="X796" s="3">
        <f>IF($H796="","",IFERROR(INDEX('CAT_ACTIVIDADES'!$B$4:$B$8,MATCH($H796,'CAT_ACTIVIDADES'!$A$4:$A$8,0)),"(sin catálogo)"))</f>
        <v/>
      </c>
      <c r="Y796" s="12">
        <f>IF($J796="","",TODAY()-$J796)</f>
        <v/>
      </c>
      <c r="Z796" s="3">
        <f>IF($Y796="","",IF($Y796&lt;0,"FUTURO",IF($Y796&gt;p_dias_backlog_max,"BACKLOG","MES CORRIENTE")))</f>
        <v/>
      </c>
      <c r="AA796" s="3">
        <f>IF($Y796="",FALSE,AND($Y796&gt;p_dias_backlog_min,$Y796&lt;=p_dias_backlog_max))</f>
        <v/>
      </c>
      <c r="AB796" s="6" t="n"/>
      <c r="AC796" s="3">
        <f>IF($AB796="","",IFERROR(INDEX('ASIGNACIONES'!$F$4:$F$339,MATCH($O796&amp;"|"&amp;$R796&amp;"|"&amp;$AB796,'ASIGNACIONES'!$I$4:$I$339,0)),""))</f>
        <v/>
      </c>
      <c r="AD796" s="13">
        <f>IF($AB796="","",SUMIFS('ORDENES'!$M$4:$M$1203,'ORDENES'!$AB$4:$AB$1203,$AB796,'ORDENES'!$O$4:$O$1203,$O796,'ORDENES'!$R$4:$R$1203,$R796))</f>
        <v/>
      </c>
      <c r="AE796" s="13">
        <f>IF($AD796="","",p_factor_productividad*IFERROR(INDEX('ASIGNACIONES'!$H$4:$H$339,MATCH($O796&amp;"|"&amp;$R796&amp;"|"&amp;$AB796,'ASIGNACIONES'!$I$4:$I$339,0)),0)-$AD796)</f>
        <v/>
      </c>
      <c r="AF796" s="10">
        <f>IF($A796="","",IFERROR(INDEX('2_IMPORTAR_EJECUCION'!$F$9:$F$1208,MATCH($AN796,'2_IMPORTAR_EJECUCION'!$J$9:$J$1208,0)),0))</f>
        <v/>
      </c>
      <c r="AG796" s="10">
        <f>IF($A796="","",MAX(0,IFERROR(INDEX('2_IMPORTAR_EJECUCION'!$H$9:$H$1208,MATCH($AN796,'2_IMPORTAR_EJECUCION'!$J$9:$J$1208,0)),0)-$AF796))</f>
        <v/>
      </c>
      <c r="AH796" s="10">
        <f>IF($A796="","",$AF796+$AG796)</f>
        <v/>
      </c>
      <c r="AI796" s="6" t="n"/>
      <c r="AJ796" s="6" t="n"/>
      <c r="AK796" s="6" t="n"/>
      <c r="AL796" s="3">
        <f>IF($AK796="","",HYPERLINK(p_ruta_base_checklists&amp;$AK796,"abrir"))</f>
        <v/>
      </c>
      <c r="AM796" s="6" t="n"/>
      <c r="AN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1" t="n"/>
      <c r="K797" s="3" t="n"/>
      <c r="L797" s="10" t="n"/>
      <c r="M797" s="3">
        <f>IF($A797="","",IFERROR(INDEX('AJUSTES'!$B$4:$B$303,MATCH($AN797,'AJUSTES'!$A$4:$A$303,0)),IF($K797="","",$K797)))</f>
        <v/>
      </c>
      <c r="N797" s="3">
        <f>IF($A797="","",IFERROR(INDEX('CAT_ESTADOS_ERP'!$B$4:$B$7,MATCH(IFERROR(INDEX('2_IMPORTAR_EJECUCION'!$C$9:$C$1208,MATCH($AN797,'2_IMPORTAR_EJECUCION'!$J$9:$J$1208,0)),""),'CAT_ESTADOS_ERP'!$A$4:$A$7,0)),"Pendiente"))</f>
        <v/>
      </c>
      <c r="O797" s="3">
        <f>IF($J797="","",YEAR($J797+4-WEEKDAY($J797,2))&amp;"-S"&amp;TEXT(_xlfn.ISOWEEKNUM($J797),"00"))</f>
        <v/>
      </c>
      <c r="P797" s="3">
        <f>IF($J797="","",YEAR($J797))</f>
        <v/>
      </c>
      <c r="Q797" s="3">
        <f>IF($J797="","",MONTH($J797))</f>
        <v/>
      </c>
      <c r="R797" s="3">
        <f>IF($J797="","",INDEX(lista_dias,WEEKDAY($J797,2)))</f>
        <v/>
      </c>
      <c r="S797" s="3">
        <f>IF($I797="","",IFERROR(INDEX('CAT_TIPOS_OT'!$C$4:$C$7,MATCH($I797,'CAT_TIPOS_OT'!$A$4:$A$7,0)),"sin_clasificar"))</f>
        <v/>
      </c>
      <c r="T797" s="3">
        <f>IF($F797="","",IFERROR(INDEX('CAT_CENTROS_COSTO'!$E$4:$E$9,MATCH($F797,'CAT_CENTROS_COSTO'!$A$4:$A$9,0)),"(sin catálogo)"))</f>
        <v/>
      </c>
      <c r="U797" s="3">
        <f>IF($F797="","",IFERROR(INDEX('CAT_CENTROS_COSTO'!$D$4:$D$9,MATCH($F797,'CAT_CENTROS_COSTO'!$A$4:$A$9,0)),"(sin catálogo)"))</f>
        <v/>
      </c>
      <c r="V797" s="3">
        <f>IF($F797="","",IFERROR(INDEX('CAT_CENTROS_COSTO'!$F$4:$F$9,MATCH($F797,'CAT_CENTROS_COSTO'!$A$4:$A$9,0)),"(sin catálogo)"))</f>
        <v/>
      </c>
      <c r="W797" s="3">
        <f>IF($G797="","",IFERROR(INDEX('CAT_PUESTOS'!$B$4:$B$8,MATCH($G797,'CAT_PUESTOS'!$A$4:$A$8,0)),"(sin catálogo)"))</f>
        <v/>
      </c>
      <c r="X797" s="3">
        <f>IF($H797="","",IFERROR(INDEX('CAT_ACTIVIDADES'!$B$4:$B$8,MATCH($H797,'CAT_ACTIVIDADES'!$A$4:$A$8,0)),"(sin catálogo)"))</f>
        <v/>
      </c>
      <c r="Y797" s="12">
        <f>IF($J797="","",TODAY()-$J797)</f>
        <v/>
      </c>
      <c r="Z797" s="3">
        <f>IF($Y797="","",IF($Y797&lt;0,"FUTURO",IF($Y797&gt;p_dias_backlog_max,"BACKLOG","MES CORRIENTE")))</f>
        <v/>
      </c>
      <c r="AA797" s="3">
        <f>IF($Y797="",FALSE,AND($Y797&gt;p_dias_backlog_min,$Y797&lt;=p_dias_backlog_max))</f>
        <v/>
      </c>
      <c r="AB797" s="6" t="n"/>
      <c r="AC797" s="3">
        <f>IF($AB797="","",IFERROR(INDEX('ASIGNACIONES'!$F$4:$F$339,MATCH($O797&amp;"|"&amp;$R797&amp;"|"&amp;$AB797,'ASIGNACIONES'!$I$4:$I$339,0)),""))</f>
        <v/>
      </c>
      <c r="AD797" s="13">
        <f>IF($AB797="","",SUMIFS('ORDENES'!$M$4:$M$1203,'ORDENES'!$AB$4:$AB$1203,$AB797,'ORDENES'!$O$4:$O$1203,$O797,'ORDENES'!$R$4:$R$1203,$R797))</f>
        <v/>
      </c>
      <c r="AE797" s="13">
        <f>IF($AD797="","",p_factor_productividad*IFERROR(INDEX('ASIGNACIONES'!$H$4:$H$339,MATCH($O797&amp;"|"&amp;$R797&amp;"|"&amp;$AB797,'ASIGNACIONES'!$I$4:$I$339,0)),0)-$AD797)</f>
        <v/>
      </c>
      <c r="AF797" s="10">
        <f>IF($A797="","",IFERROR(INDEX('2_IMPORTAR_EJECUCION'!$F$9:$F$1208,MATCH($AN797,'2_IMPORTAR_EJECUCION'!$J$9:$J$1208,0)),0))</f>
        <v/>
      </c>
      <c r="AG797" s="10">
        <f>IF($A797="","",MAX(0,IFERROR(INDEX('2_IMPORTAR_EJECUCION'!$H$9:$H$1208,MATCH($AN797,'2_IMPORTAR_EJECUCION'!$J$9:$J$1208,0)),0)-$AF797))</f>
        <v/>
      </c>
      <c r="AH797" s="10">
        <f>IF($A797="","",$AF797+$AG797)</f>
        <v/>
      </c>
      <c r="AI797" s="6" t="n"/>
      <c r="AJ797" s="6" t="n"/>
      <c r="AK797" s="6" t="n"/>
      <c r="AL797" s="3">
        <f>IF($AK797="","",HYPERLINK(p_ruta_base_checklists&amp;$AK797,"abrir"))</f>
        <v/>
      </c>
      <c r="AM797" s="6" t="n"/>
      <c r="AN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1" t="n"/>
      <c r="K798" s="3" t="n"/>
      <c r="L798" s="10" t="n"/>
      <c r="M798" s="3">
        <f>IF($A798="","",IFERROR(INDEX('AJUSTES'!$B$4:$B$303,MATCH($AN798,'AJUSTES'!$A$4:$A$303,0)),IF($K798="","",$K798)))</f>
        <v/>
      </c>
      <c r="N798" s="3">
        <f>IF($A798="","",IFERROR(INDEX('CAT_ESTADOS_ERP'!$B$4:$B$7,MATCH(IFERROR(INDEX('2_IMPORTAR_EJECUCION'!$C$9:$C$1208,MATCH($AN798,'2_IMPORTAR_EJECUCION'!$J$9:$J$1208,0)),""),'CAT_ESTADOS_ERP'!$A$4:$A$7,0)),"Pendiente"))</f>
        <v/>
      </c>
      <c r="O798" s="3">
        <f>IF($J798="","",YEAR($J798+4-WEEKDAY($J798,2))&amp;"-S"&amp;TEXT(_xlfn.ISOWEEKNUM($J798),"00"))</f>
        <v/>
      </c>
      <c r="P798" s="3">
        <f>IF($J798="","",YEAR($J798))</f>
        <v/>
      </c>
      <c r="Q798" s="3">
        <f>IF($J798="","",MONTH($J798))</f>
        <v/>
      </c>
      <c r="R798" s="3">
        <f>IF($J798="","",INDEX(lista_dias,WEEKDAY($J798,2)))</f>
        <v/>
      </c>
      <c r="S798" s="3">
        <f>IF($I798="","",IFERROR(INDEX('CAT_TIPOS_OT'!$C$4:$C$7,MATCH($I798,'CAT_TIPOS_OT'!$A$4:$A$7,0)),"sin_clasificar"))</f>
        <v/>
      </c>
      <c r="T798" s="3">
        <f>IF($F798="","",IFERROR(INDEX('CAT_CENTROS_COSTO'!$E$4:$E$9,MATCH($F798,'CAT_CENTROS_COSTO'!$A$4:$A$9,0)),"(sin catálogo)"))</f>
        <v/>
      </c>
      <c r="U798" s="3">
        <f>IF($F798="","",IFERROR(INDEX('CAT_CENTROS_COSTO'!$D$4:$D$9,MATCH($F798,'CAT_CENTROS_COSTO'!$A$4:$A$9,0)),"(sin catálogo)"))</f>
        <v/>
      </c>
      <c r="V798" s="3">
        <f>IF($F798="","",IFERROR(INDEX('CAT_CENTROS_COSTO'!$F$4:$F$9,MATCH($F798,'CAT_CENTROS_COSTO'!$A$4:$A$9,0)),"(sin catálogo)"))</f>
        <v/>
      </c>
      <c r="W798" s="3">
        <f>IF($G798="","",IFERROR(INDEX('CAT_PUESTOS'!$B$4:$B$8,MATCH($G798,'CAT_PUESTOS'!$A$4:$A$8,0)),"(sin catálogo)"))</f>
        <v/>
      </c>
      <c r="X798" s="3">
        <f>IF($H798="","",IFERROR(INDEX('CAT_ACTIVIDADES'!$B$4:$B$8,MATCH($H798,'CAT_ACTIVIDADES'!$A$4:$A$8,0)),"(sin catálogo)"))</f>
        <v/>
      </c>
      <c r="Y798" s="12">
        <f>IF($J798="","",TODAY()-$J798)</f>
        <v/>
      </c>
      <c r="Z798" s="3">
        <f>IF($Y798="","",IF($Y798&lt;0,"FUTURO",IF($Y798&gt;p_dias_backlog_max,"BACKLOG","MES CORRIENTE")))</f>
        <v/>
      </c>
      <c r="AA798" s="3">
        <f>IF($Y798="",FALSE,AND($Y798&gt;p_dias_backlog_min,$Y798&lt;=p_dias_backlog_max))</f>
        <v/>
      </c>
      <c r="AB798" s="6" t="n"/>
      <c r="AC798" s="3">
        <f>IF($AB798="","",IFERROR(INDEX('ASIGNACIONES'!$F$4:$F$339,MATCH($O798&amp;"|"&amp;$R798&amp;"|"&amp;$AB798,'ASIGNACIONES'!$I$4:$I$339,0)),""))</f>
        <v/>
      </c>
      <c r="AD798" s="13">
        <f>IF($AB798="","",SUMIFS('ORDENES'!$M$4:$M$1203,'ORDENES'!$AB$4:$AB$1203,$AB798,'ORDENES'!$O$4:$O$1203,$O798,'ORDENES'!$R$4:$R$1203,$R798))</f>
        <v/>
      </c>
      <c r="AE798" s="13">
        <f>IF($AD798="","",p_factor_productividad*IFERROR(INDEX('ASIGNACIONES'!$H$4:$H$339,MATCH($O798&amp;"|"&amp;$R798&amp;"|"&amp;$AB798,'ASIGNACIONES'!$I$4:$I$339,0)),0)-$AD798)</f>
        <v/>
      </c>
      <c r="AF798" s="10">
        <f>IF($A798="","",IFERROR(INDEX('2_IMPORTAR_EJECUCION'!$F$9:$F$1208,MATCH($AN798,'2_IMPORTAR_EJECUCION'!$J$9:$J$1208,0)),0))</f>
        <v/>
      </c>
      <c r="AG798" s="10">
        <f>IF($A798="","",MAX(0,IFERROR(INDEX('2_IMPORTAR_EJECUCION'!$H$9:$H$1208,MATCH($AN798,'2_IMPORTAR_EJECUCION'!$J$9:$J$1208,0)),0)-$AF798))</f>
        <v/>
      </c>
      <c r="AH798" s="10">
        <f>IF($A798="","",$AF798+$AG798)</f>
        <v/>
      </c>
      <c r="AI798" s="6" t="n"/>
      <c r="AJ798" s="6" t="n"/>
      <c r="AK798" s="6" t="n"/>
      <c r="AL798" s="3">
        <f>IF($AK798="","",HYPERLINK(p_ruta_base_checklists&amp;$AK798,"abrir"))</f>
        <v/>
      </c>
      <c r="AM798" s="6" t="n"/>
      <c r="AN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1" t="n"/>
      <c r="K799" s="3" t="n"/>
      <c r="L799" s="10" t="n"/>
      <c r="M799" s="3">
        <f>IF($A799="","",IFERROR(INDEX('AJUSTES'!$B$4:$B$303,MATCH($AN799,'AJUSTES'!$A$4:$A$303,0)),IF($K799="","",$K799)))</f>
        <v/>
      </c>
      <c r="N799" s="3">
        <f>IF($A799="","",IFERROR(INDEX('CAT_ESTADOS_ERP'!$B$4:$B$7,MATCH(IFERROR(INDEX('2_IMPORTAR_EJECUCION'!$C$9:$C$1208,MATCH($AN799,'2_IMPORTAR_EJECUCION'!$J$9:$J$1208,0)),""),'CAT_ESTADOS_ERP'!$A$4:$A$7,0)),"Pendiente"))</f>
        <v/>
      </c>
      <c r="O799" s="3">
        <f>IF($J799="","",YEAR($J799+4-WEEKDAY($J799,2))&amp;"-S"&amp;TEXT(_xlfn.ISOWEEKNUM($J799),"00"))</f>
        <v/>
      </c>
      <c r="P799" s="3">
        <f>IF($J799="","",YEAR($J799))</f>
        <v/>
      </c>
      <c r="Q799" s="3">
        <f>IF($J799="","",MONTH($J799))</f>
        <v/>
      </c>
      <c r="R799" s="3">
        <f>IF($J799="","",INDEX(lista_dias,WEEKDAY($J799,2)))</f>
        <v/>
      </c>
      <c r="S799" s="3">
        <f>IF($I799="","",IFERROR(INDEX('CAT_TIPOS_OT'!$C$4:$C$7,MATCH($I799,'CAT_TIPOS_OT'!$A$4:$A$7,0)),"sin_clasificar"))</f>
        <v/>
      </c>
      <c r="T799" s="3">
        <f>IF($F799="","",IFERROR(INDEX('CAT_CENTROS_COSTO'!$E$4:$E$9,MATCH($F799,'CAT_CENTROS_COSTO'!$A$4:$A$9,0)),"(sin catálogo)"))</f>
        <v/>
      </c>
      <c r="U799" s="3">
        <f>IF($F799="","",IFERROR(INDEX('CAT_CENTROS_COSTO'!$D$4:$D$9,MATCH($F799,'CAT_CENTROS_COSTO'!$A$4:$A$9,0)),"(sin catálogo)"))</f>
        <v/>
      </c>
      <c r="V799" s="3">
        <f>IF($F799="","",IFERROR(INDEX('CAT_CENTROS_COSTO'!$F$4:$F$9,MATCH($F799,'CAT_CENTROS_COSTO'!$A$4:$A$9,0)),"(sin catálogo)"))</f>
        <v/>
      </c>
      <c r="W799" s="3">
        <f>IF($G799="","",IFERROR(INDEX('CAT_PUESTOS'!$B$4:$B$8,MATCH($G799,'CAT_PUESTOS'!$A$4:$A$8,0)),"(sin catálogo)"))</f>
        <v/>
      </c>
      <c r="X799" s="3">
        <f>IF($H799="","",IFERROR(INDEX('CAT_ACTIVIDADES'!$B$4:$B$8,MATCH($H799,'CAT_ACTIVIDADES'!$A$4:$A$8,0)),"(sin catálogo)"))</f>
        <v/>
      </c>
      <c r="Y799" s="12">
        <f>IF($J799="","",TODAY()-$J799)</f>
        <v/>
      </c>
      <c r="Z799" s="3">
        <f>IF($Y799="","",IF($Y799&lt;0,"FUTURO",IF($Y799&gt;p_dias_backlog_max,"BACKLOG","MES CORRIENTE")))</f>
        <v/>
      </c>
      <c r="AA799" s="3">
        <f>IF($Y799="",FALSE,AND($Y799&gt;p_dias_backlog_min,$Y799&lt;=p_dias_backlog_max))</f>
        <v/>
      </c>
      <c r="AB799" s="6" t="n"/>
      <c r="AC799" s="3">
        <f>IF($AB799="","",IFERROR(INDEX('ASIGNACIONES'!$F$4:$F$339,MATCH($O799&amp;"|"&amp;$R799&amp;"|"&amp;$AB799,'ASIGNACIONES'!$I$4:$I$339,0)),""))</f>
        <v/>
      </c>
      <c r="AD799" s="13">
        <f>IF($AB799="","",SUMIFS('ORDENES'!$M$4:$M$1203,'ORDENES'!$AB$4:$AB$1203,$AB799,'ORDENES'!$O$4:$O$1203,$O799,'ORDENES'!$R$4:$R$1203,$R799))</f>
        <v/>
      </c>
      <c r="AE799" s="13">
        <f>IF($AD799="","",p_factor_productividad*IFERROR(INDEX('ASIGNACIONES'!$H$4:$H$339,MATCH($O799&amp;"|"&amp;$R799&amp;"|"&amp;$AB799,'ASIGNACIONES'!$I$4:$I$339,0)),0)-$AD799)</f>
        <v/>
      </c>
      <c r="AF799" s="10">
        <f>IF($A799="","",IFERROR(INDEX('2_IMPORTAR_EJECUCION'!$F$9:$F$1208,MATCH($AN799,'2_IMPORTAR_EJECUCION'!$J$9:$J$1208,0)),0))</f>
        <v/>
      </c>
      <c r="AG799" s="10">
        <f>IF($A799="","",MAX(0,IFERROR(INDEX('2_IMPORTAR_EJECUCION'!$H$9:$H$1208,MATCH($AN799,'2_IMPORTAR_EJECUCION'!$J$9:$J$1208,0)),0)-$AF799))</f>
        <v/>
      </c>
      <c r="AH799" s="10">
        <f>IF($A799="","",$AF799+$AG799)</f>
        <v/>
      </c>
      <c r="AI799" s="6" t="n"/>
      <c r="AJ799" s="6" t="n"/>
      <c r="AK799" s="6" t="n"/>
      <c r="AL799" s="3">
        <f>IF($AK799="","",HYPERLINK(p_ruta_base_checklists&amp;$AK799,"abrir"))</f>
        <v/>
      </c>
      <c r="AM799" s="6" t="n"/>
      <c r="AN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1" t="n"/>
      <c r="K800" s="3" t="n"/>
      <c r="L800" s="10" t="n"/>
      <c r="M800" s="3">
        <f>IF($A800="","",IFERROR(INDEX('AJUSTES'!$B$4:$B$303,MATCH($AN800,'AJUSTES'!$A$4:$A$303,0)),IF($K800="","",$K800)))</f>
        <v/>
      </c>
      <c r="N800" s="3">
        <f>IF($A800="","",IFERROR(INDEX('CAT_ESTADOS_ERP'!$B$4:$B$7,MATCH(IFERROR(INDEX('2_IMPORTAR_EJECUCION'!$C$9:$C$1208,MATCH($AN800,'2_IMPORTAR_EJECUCION'!$J$9:$J$1208,0)),""),'CAT_ESTADOS_ERP'!$A$4:$A$7,0)),"Pendiente"))</f>
        <v/>
      </c>
      <c r="O800" s="3">
        <f>IF($J800="","",YEAR($J800+4-WEEKDAY($J800,2))&amp;"-S"&amp;TEXT(_xlfn.ISOWEEKNUM($J800),"00"))</f>
        <v/>
      </c>
      <c r="P800" s="3">
        <f>IF($J800="","",YEAR($J800))</f>
        <v/>
      </c>
      <c r="Q800" s="3">
        <f>IF($J800="","",MONTH($J800))</f>
        <v/>
      </c>
      <c r="R800" s="3">
        <f>IF($J800="","",INDEX(lista_dias,WEEKDAY($J800,2)))</f>
        <v/>
      </c>
      <c r="S800" s="3">
        <f>IF($I800="","",IFERROR(INDEX('CAT_TIPOS_OT'!$C$4:$C$7,MATCH($I800,'CAT_TIPOS_OT'!$A$4:$A$7,0)),"sin_clasificar"))</f>
        <v/>
      </c>
      <c r="T800" s="3">
        <f>IF($F800="","",IFERROR(INDEX('CAT_CENTROS_COSTO'!$E$4:$E$9,MATCH($F800,'CAT_CENTROS_COSTO'!$A$4:$A$9,0)),"(sin catálogo)"))</f>
        <v/>
      </c>
      <c r="U800" s="3">
        <f>IF($F800="","",IFERROR(INDEX('CAT_CENTROS_COSTO'!$D$4:$D$9,MATCH($F800,'CAT_CENTROS_COSTO'!$A$4:$A$9,0)),"(sin catálogo)"))</f>
        <v/>
      </c>
      <c r="V800" s="3">
        <f>IF($F800="","",IFERROR(INDEX('CAT_CENTROS_COSTO'!$F$4:$F$9,MATCH($F800,'CAT_CENTROS_COSTO'!$A$4:$A$9,0)),"(sin catálogo)"))</f>
        <v/>
      </c>
      <c r="W800" s="3">
        <f>IF($G800="","",IFERROR(INDEX('CAT_PUESTOS'!$B$4:$B$8,MATCH($G800,'CAT_PUESTOS'!$A$4:$A$8,0)),"(sin catálogo)"))</f>
        <v/>
      </c>
      <c r="X800" s="3">
        <f>IF($H800="","",IFERROR(INDEX('CAT_ACTIVIDADES'!$B$4:$B$8,MATCH($H800,'CAT_ACTIVIDADES'!$A$4:$A$8,0)),"(sin catálogo)"))</f>
        <v/>
      </c>
      <c r="Y800" s="12">
        <f>IF($J800="","",TODAY()-$J800)</f>
        <v/>
      </c>
      <c r="Z800" s="3">
        <f>IF($Y800="","",IF($Y800&lt;0,"FUTURO",IF($Y800&gt;p_dias_backlog_max,"BACKLOG","MES CORRIENTE")))</f>
        <v/>
      </c>
      <c r="AA800" s="3">
        <f>IF($Y800="",FALSE,AND($Y800&gt;p_dias_backlog_min,$Y800&lt;=p_dias_backlog_max))</f>
        <v/>
      </c>
      <c r="AB800" s="6" t="n"/>
      <c r="AC800" s="3">
        <f>IF($AB800="","",IFERROR(INDEX('ASIGNACIONES'!$F$4:$F$339,MATCH($O800&amp;"|"&amp;$R800&amp;"|"&amp;$AB800,'ASIGNACIONES'!$I$4:$I$339,0)),""))</f>
        <v/>
      </c>
      <c r="AD800" s="13">
        <f>IF($AB800="","",SUMIFS('ORDENES'!$M$4:$M$1203,'ORDENES'!$AB$4:$AB$1203,$AB800,'ORDENES'!$O$4:$O$1203,$O800,'ORDENES'!$R$4:$R$1203,$R800))</f>
        <v/>
      </c>
      <c r="AE800" s="13">
        <f>IF($AD800="","",p_factor_productividad*IFERROR(INDEX('ASIGNACIONES'!$H$4:$H$339,MATCH($O800&amp;"|"&amp;$R800&amp;"|"&amp;$AB800,'ASIGNACIONES'!$I$4:$I$339,0)),0)-$AD800)</f>
        <v/>
      </c>
      <c r="AF800" s="10">
        <f>IF($A800="","",IFERROR(INDEX('2_IMPORTAR_EJECUCION'!$F$9:$F$1208,MATCH($AN800,'2_IMPORTAR_EJECUCION'!$J$9:$J$1208,0)),0))</f>
        <v/>
      </c>
      <c r="AG800" s="10">
        <f>IF($A800="","",MAX(0,IFERROR(INDEX('2_IMPORTAR_EJECUCION'!$H$9:$H$1208,MATCH($AN800,'2_IMPORTAR_EJECUCION'!$J$9:$J$1208,0)),0)-$AF800))</f>
        <v/>
      </c>
      <c r="AH800" s="10">
        <f>IF($A800="","",$AF800+$AG800)</f>
        <v/>
      </c>
      <c r="AI800" s="6" t="n"/>
      <c r="AJ800" s="6" t="n"/>
      <c r="AK800" s="6" t="n"/>
      <c r="AL800" s="3">
        <f>IF($AK800="","",HYPERLINK(p_ruta_base_checklists&amp;$AK800,"abrir"))</f>
        <v/>
      </c>
      <c r="AM800" s="6" t="n"/>
      <c r="AN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1" t="n"/>
      <c r="K801" s="3" t="n"/>
      <c r="L801" s="10" t="n"/>
      <c r="M801" s="3">
        <f>IF($A801="","",IFERROR(INDEX('AJUSTES'!$B$4:$B$303,MATCH($AN801,'AJUSTES'!$A$4:$A$303,0)),IF($K801="","",$K801)))</f>
        <v/>
      </c>
      <c r="N801" s="3">
        <f>IF($A801="","",IFERROR(INDEX('CAT_ESTADOS_ERP'!$B$4:$B$7,MATCH(IFERROR(INDEX('2_IMPORTAR_EJECUCION'!$C$9:$C$1208,MATCH($AN801,'2_IMPORTAR_EJECUCION'!$J$9:$J$1208,0)),""),'CAT_ESTADOS_ERP'!$A$4:$A$7,0)),"Pendiente"))</f>
        <v/>
      </c>
      <c r="O801" s="3">
        <f>IF($J801="","",YEAR($J801+4-WEEKDAY($J801,2))&amp;"-S"&amp;TEXT(_xlfn.ISOWEEKNUM($J801),"00"))</f>
        <v/>
      </c>
      <c r="P801" s="3">
        <f>IF($J801="","",YEAR($J801))</f>
        <v/>
      </c>
      <c r="Q801" s="3">
        <f>IF($J801="","",MONTH($J801))</f>
        <v/>
      </c>
      <c r="R801" s="3">
        <f>IF($J801="","",INDEX(lista_dias,WEEKDAY($J801,2)))</f>
        <v/>
      </c>
      <c r="S801" s="3">
        <f>IF($I801="","",IFERROR(INDEX('CAT_TIPOS_OT'!$C$4:$C$7,MATCH($I801,'CAT_TIPOS_OT'!$A$4:$A$7,0)),"sin_clasificar"))</f>
        <v/>
      </c>
      <c r="T801" s="3">
        <f>IF($F801="","",IFERROR(INDEX('CAT_CENTROS_COSTO'!$E$4:$E$9,MATCH($F801,'CAT_CENTROS_COSTO'!$A$4:$A$9,0)),"(sin catálogo)"))</f>
        <v/>
      </c>
      <c r="U801" s="3">
        <f>IF($F801="","",IFERROR(INDEX('CAT_CENTROS_COSTO'!$D$4:$D$9,MATCH($F801,'CAT_CENTROS_COSTO'!$A$4:$A$9,0)),"(sin catálogo)"))</f>
        <v/>
      </c>
      <c r="V801" s="3">
        <f>IF($F801="","",IFERROR(INDEX('CAT_CENTROS_COSTO'!$F$4:$F$9,MATCH($F801,'CAT_CENTROS_COSTO'!$A$4:$A$9,0)),"(sin catálogo)"))</f>
        <v/>
      </c>
      <c r="W801" s="3">
        <f>IF($G801="","",IFERROR(INDEX('CAT_PUESTOS'!$B$4:$B$8,MATCH($G801,'CAT_PUESTOS'!$A$4:$A$8,0)),"(sin catálogo)"))</f>
        <v/>
      </c>
      <c r="X801" s="3">
        <f>IF($H801="","",IFERROR(INDEX('CAT_ACTIVIDADES'!$B$4:$B$8,MATCH($H801,'CAT_ACTIVIDADES'!$A$4:$A$8,0)),"(sin catálogo)"))</f>
        <v/>
      </c>
      <c r="Y801" s="12">
        <f>IF($J801="","",TODAY()-$J801)</f>
        <v/>
      </c>
      <c r="Z801" s="3">
        <f>IF($Y801="","",IF($Y801&lt;0,"FUTURO",IF($Y801&gt;p_dias_backlog_max,"BACKLOG","MES CORRIENTE")))</f>
        <v/>
      </c>
      <c r="AA801" s="3">
        <f>IF($Y801="",FALSE,AND($Y801&gt;p_dias_backlog_min,$Y801&lt;=p_dias_backlog_max))</f>
        <v/>
      </c>
      <c r="AB801" s="6" t="n"/>
      <c r="AC801" s="3">
        <f>IF($AB801="","",IFERROR(INDEX('ASIGNACIONES'!$F$4:$F$339,MATCH($O801&amp;"|"&amp;$R801&amp;"|"&amp;$AB801,'ASIGNACIONES'!$I$4:$I$339,0)),""))</f>
        <v/>
      </c>
      <c r="AD801" s="13">
        <f>IF($AB801="","",SUMIFS('ORDENES'!$M$4:$M$1203,'ORDENES'!$AB$4:$AB$1203,$AB801,'ORDENES'!$O$4:$O$1203,$O801,'ORDENES'!$R$4:$R$1203,$R801))</f>
        <v/>
      </c>
      <c r="AE801" s="13">
        <f>IF($AD801="","",p_factor_productividad*IFERROR(INDEX('ASIGNACIONES'!$H$4:$H$339,MATCH($O801&amp;"|"&amp;$R801&amp;"|"&amp;$AB801,'ASIGNACIONES'!$I$4:$I$339,0)),0)-$AD801)</f>
        <v/>
      </c>
      <c r="AF801" s="10">
        <f>IF($A801="","",IFERROR(INDEX('2_IMPORTAR_EJECUCION'!$F$9:$F$1208,MATCH($AN801,'2_IMPORTAR_EJECUCION'!$J$9:$J$1208,0)),0))</f>
        <v/>
      </c>
      <c r="AG801" s="10">
        <f>IF($A801="","",MAX(0,IFERROR(INDEX('2_IMPORTAR_EJECUCION'!$H$9:$H$1208,MATCH($AN801,'2_IMPORTAR_EJECUCION'!$J$9:$J$1208,0)),0)-$AF801))</f>
        <v/>
      </c>
      <c r="AH801" s="10">
        <f>IF($A801="","",$AF801+$AG801)</f>
        <v/>
      </c>
      <c r="AI801" s="6" t="n"/>
      <c r="AJ801" s="6" t="n"/>
      <c r="AK801" s="6" t="n"/>
      <c r="AL801" s="3">
        <f>IF($AK801="","",HYPERLINK(p_ruta_base_checklists&amp;$AK801,"abrir"))</f>
        <v/>
      </c>
      <c r="AM801" s="6" t="n"/>
      <c r="AN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1" t="n"/>
      <c r="K802" s="3" t="n"/>
      <c r="L802" s="10" t="n"/>
      <c r="M802" s="3">
        <f>IF($A802="","",IFERROR(INDEX('AJUSTES'!$B$4:$B$303,MATCH($AN802,'AJUSTES'!$A$4:$A$303,0)),IF($K802="","",$K802)))</f>
        <v/>
      </c>
      <c r="N802" s="3">
        <f>IF($A802="","",IFERROR(INDEX('CAT_ESTADOS_ERP'!$B$4:$B$7,MATCH(IFERROR(INDEX('2_IMPORTAR_EJECUCION'!$C$9:$C$1208,MATCH($AN802,'2_IMPORTAR_EJECUCION'!$J$9:$J$1208,0)),""),'CAT_ESTADOS_ERP'!$A$4:$A$7,0)),"Pendiente"))</f>
        <v/>
      </c>
      <c r="O802" s="3">
        <f>IF($J802="","",YEAR($J802+4-WEEKDAY($J802,2))&amp;"-S"&amp;TEXT(_xlfn.ISOWEEKNUM($J802),"00"))</f>
        <v/>
      </c>
      <c r="P802" s="3">
        <f>IF($J802="","",YEAR($J802))</f>
        <v/>
      </c>
      <c r="Q802" s="3">
        <f>IF($J802="","",MONTH($J802))</f>
        <v/>
      </c>
      <c r="R802" s="3">
        <f>IF($J802="","",INDEX(lista_dias,WEEKDAY($J802,2)))</f>
        <v/>
      </c>
      <c r="S802" s="3">
        <f>IF($I802="","",IFERROR(INDEX('CAT_TIPOS_OT'!$C$4:$C$7,MATCH($I802,'CAT_TIPOS_OT'!$A$4:$A$7,0)),"sin_clasificar"))</f>
        <v/>
      </c>
      <c r="T802" s="3">
        <f>IF($F802="","",IFERROR(INDEX('CAT_CENTROS_COSTO'!$E$4:$E$9,MATCH($F802,'CAT_CENTROS_COSTO'!$A$4:$A$9,0)),"(sin catálogo)"))</f>
        <v/>
      </c>
      <c r="U802" s="3">
        <f>IF($F802="","",IFERROR(INDEX('CAT_CENTROS_COSTO'!$D$4:$D$9,MATCH($F802,'CAT_CENTROS_COSTO'!$A$4:$A$9,0)),"(sin catálogo)"))</f>
        <v/>
      </c>
      <c r="V802" s="3">
        <f>IF($F802="","",IFERROR(INDEX('CAT_CENTROS_COSTO'!$F$4:$F$9,MATCH($F802,'CAT_CENTROS_COSTO'!$A$4:$A$9,0)),"(sin catálogo)"))</f>
        <v/>
      </c>
      <c r="W802" s="3">
        <f>IF($G802="","",IFERROR(INDEX('CAT_PUESTOS'!$B$4:$B$8,MATCH($G802,'CAT_PUESTOS'!$A$4:$A$8,0)),"(sin catálogo)"))</f>
        <v/>
      </c>
      <c r="X802" s="3">
        <f>IF($H802="","",IFERROR(INDEX('CAT_ACTIVIDADES'!$B$4:$B$8,MATCH($H802,'CAT_ACTIVIDADES'!$A$4:$A$8,0)),"(sin catálogo)"))</f>
        <v/>
      </c>
      <c r="Y802" s="12">
        <f>IF($J802="","",TODAY()-$J802)</f>
        <v/>
      </c>
      <c r="Z802" s="3">
        <f>IF($Y802="","",IF($Y802&lt;0,"FUTURO",IF($Y802&gt;p_dias_backlog_max,"BACKLOG","MES CORRIENTE")))</f>
        <v/>
      </c>
      <c r="AA802" s="3">
        <f>IF($Y802="",FALSE,AND($Y802&gt;p_dias_backlog_min,$Y802&lt;=p_dias_backlog_max))</f>
        <v/>
      </c>
      <c r="AB802" s="6" t="n"/>
      <c r="AC802" s="3">
        <f>IF($AB802="","",IFERROR(INDEX('ASIGNACIONES'!$F$4:$F$339,MATCH($O802&amp;"|"&amp;$R802&amp;"|"&amp;$AB802,'ASIGNACIONES'!$I$4:$I$339,0)),""))</f>
        <v/>
      </c>
      <c r="AD802" s="13">
        <f>IF($AB802="","",SUMIFS('ORDENES'!$M$4:$M$1203,'ORDENES'!$AB$4:$AB$1203,$AB802,'ORDENES'!$O$4:$O$1203,$O802,'ORDENES'!$R$4:$R$1203,$R802))</f>
        <v/>
      </c>
      <c r="AE802" s="13">
        <f>IF($AD802="","",p_factor_productividad*IFERROR(INDEX('ASIGNACIONES'!$H$4:$H$339,MATCH($O802&amp;"|"&amp;$R802&amp;"|"&amp;$AB802,'ASIGNACIONES'!$I$4:$I$339,0)),0)-$AD802)</f>
        <v/>
      </c>
      <c r="AF802" s="10">
        <f>IF($A802="","",IFERROR(INDEX('2_IMPORTAR_EJECUCION'!$F$9:$F$1208,MATCH($AN802,'2_IMPORTAR_EJECUCION'!$J$9:$J$1208,0)),0))</f>
        <v/>
      </c>
      <c r="AG802" s="10">
        <f>IF($A802="","",MAX(0,IFERROR(INDEX('2_IMPORTAR_EJECUCION'!$H$9:$H$1208,MATCH($AN802,'2_IMPORTAR_EJECUCION'!$J$9:$J$1208,0)),0)-$AF802))</f>
        <v/>
      </c>
      <c r="AH802" s="10">
        <f>IF($A802="","",$AF802+$AG802)</f>
        <v/>
      </c>
      <c r="AI802" s="6" t="n"/>
      <c r="AJ802" s="6" t="n"/>
      <c r="AK802" s="6" t="n"/>
      <c r="AL802" s="3">
        <f>IF($AK802="","",HYPERLINK(p_ruta_base_checklists&amp;$AK802,"abrir"))</f>
        <v/>
      </c>
      <c r="AM802" s="6" t="n"/>
      <c r="AN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1" t="n"/>
      <c r="K803" s="3" t="n"/>
      <c r="L803" s="10" t="n"/>
      <c r="M803" s="3">
        <f>IF($A803="","",IFERROR(INDEX('AJUSTES'!$B$4:$B$303,MATCH($AN803,'AJUSTES'!$A$4:$A$303,0)),IF($K803="","",$K803)))</f>
        <v/>
      </c>
      <c r="N803" s="3">
        <f>IF($A803="","",IFERROR(INDEX('CAT_ESTADOS_ERP'!$B$4:$B$7,MATCH(IFERROR(INDEX('2_IMPORTAR_EJECUCION'!$C$9:$C$1208,MATCH($AN803,'2_IMPORTAR_EJECUCION'!$J$9:$J$1208,0)),""),'CAT_ESTADOS_ERP'!$A$4:$A$7,0)),"Pendiente"))</f>
        <v/>
      </c>
      <c r="O803" s="3">
        <f>IF($J803="","",YEAR($J803+4-WEEKDAY($J803,2))&amp;"-S"&amp;TEXT(_xlfn.ISOWEEKNUM($J803),"00"))</f>
        <v/>
      </c>
      <c r="P803" s="3">
        <f>IF($J803="","",YEAR($J803))</f>
        <v/>
      </c>
      <c r="Q803" s="3">
        <f>IF($J803="","",MONTH($J803))</f>
        <v/>
      </c>
      <c r="R803" s="3">
        <f>IF($J803="","",INDEX(lista_dias,WEEKDAY($J803,2)))</f>
        <v/>
      </c>
      <c r="S803" s="3">
        <f>IF($I803="","",IFERROR(INDEX('CAT_TIPOS_OT'!$C$4:$C$7,MATCH($I803,'CAT_TIPOS_OT'!$A$4:$A$7,0)),"sin_clasificar"))</f>
        <v/>
      </c>
      <c r="T803" s="3">
        <f>IF($F803="","",IFERROR(INDEX('CAT_CENTROS_COSTO'!$E$4:$E$9,MATCH($F803,'CAT_CENTROS_COSTO'!$A$4:$A$9,0)),"(sin catálogo)"))</f>
        <v/>
      </c>
      <c r="U803" s="3">
        <f>IF($F803="","",IFERROR(INDEX('CAT_CENTROS_COSTO'!$D$4:$D$9,MATCH($F803,'CAT_CENTROS_COSTO'!$A$4:$A$9,0)),"(sin catálogo)"))</f>
        <v/>
      </c>
      <c r="V803" s="3">
        <f>IF($F803="","",IFERROR(INDEX('CAT_CENTROS_COSTO'!$F$4:$F$9,MATCH($F803,'CAT_CENTROS_COSTO'!$A$4:$A$9,0)),"(sin catálogo)"))</f>
        <v/>
      </c>
      <c r="W803" s="3">
        <f>IF($G803="","",IFERROR(INDEX('CAT_PUESTOS'!$B$4:$B$8,MATCH($G803,'CAT_PUESTOS'!$A$4:$A$8,0)),"(sin catálogo)"))</f>
        <v/>
      </c>
      <c r="X803" s="3">
        <f>IF($H803="","",IFERROR(INDEX('CAT_ACTIVIDADES'!$B$4:$B$8,MATCH($H803,'CAT_ACTIVIDADES'!$A$4:$A$8,0)),"(sin catálogo)"))</f>
        <v/>
      </c>
      <c r="Y803" s="12">
        <f>IF($J803="","",TODAY()-$J803)</f>
        <v/>
      </c>
      <c r="Z803" s="3">
        <f>IF($Y803="","",IF($Y803&lt;0,"FUTURO",IF($Y803&gt;p_dias_backlog_max,"BACKLOG","MES CORRIENTE")))</f>
        <v/>
      </c>
      <c r="AA803" s="3">
        <f>IF($Y803="",FALSE,AND($Y803&gt;p_dias_backlog_min,$Y803&lt;=p_dias_backlog_max))</f>
        <v/>
      </c>
      <c r="AB803" s="6" t="n"/>
      <c r="AC803" s="3">
        <f>IF($AB803="","",IFERROR(INDEX('ASIGNACIONES'!$F$4:$F$339,MATCH($O803&amp;"|"&amp;$R803&amp;"|"&amp;$AB803,'ASIGNACIONES'!$I$4:$I$339,0)),""))</f>
        <v/>
      </c>
      <c r="AD803" s="13">
        <f>IF($AB803="","",SUMIFS('ORDENES'!$M$4:$M$1203,'ORDENES'!$AB$4:$AB$1203,$AB803,'ORDENES'!$O$4:$O$1203,$O803,'ORDENES'!$R$4:$R$1203,$R803))</f>
        <v/>
      </c>
      <c r="AE803" s="13">
        <f>IF($AD803="","",p_factor_productividad*IFERROR(INDEX('ASIGNACIONES'!$H$4:$H$339,MATCH($O803&amp;"|"&amp;$R803&amp;"|"&amp;$AB803,'ASIGNACIONES'!$I$4:$I$339,0)),0)-$AD803)</f>
        <v/>
      </c>
      <c r="AF803" s="10">
        <f>IF($A803="","",IFERROR(INDEX('2_IMPORTAR_EJECUCION'!$F$9:$F$1208,MATCH($AN803,'2_IMPORTAR_EJECUCION'!$J$9:$J$1208,0)),0))</f>
        <v/>
      </c>
      <c r="AG803" s="10">
        <f>IF($A803="","",MAX(0,IFERROR(INDEX('2_IMPORTAR_EJECUCION'!$H$9:$H$1208,MATCH($AN803,'2_IMPORTAR_EJECUCION'!$J$9:$J$1208,0)),0)-$AF803))</f>
        <v/>
      </c>
      <c r="AH803" s="10">
        <f>IF($A803="","",$AF803+$AG803)</f>
        <v/>
      </c>
      <c r="AI803" s="6" t="n"/>
      <c r="AJ803" s="6" t="n"/>
      <c r="AK803" s="6" t="n"/>
      <c r="AL803" s="3">
        <f>IF($AK803="","",HYPERLINK(p_ruta_base_checklists&amp;$AK803,"abrir"))</f>
        <v/>
      </c>
      <c r="AM803" s="6" t="n"/>
      <c r="AN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1" t="n"/>
      <c r="K804" s="3" t="n"/>
      <c r="L804" s="10" t="n"/>
      <c r="M804" s="3">
        <f>IF($A804="","",IFERROR(INDEX('AJUSTES'!$B$4:$B$303,MATCH($AN804,'AJUSTES'!$A$4:$A$303,0)),IF($K804="","",$K804)))</f>
        <v/>
      </c>
      <c r="N804" s="3">
        <f>IF($A804="","",IFERROR(INDEX('CAT_ESTADOS_ERP'!$B$4:$B$7,MATCH(IFERROR(INDEX('2_IMPORTAR_EJECUCION'!$C$9:$C$1208,MATCH($AN804,'2_IMPORTAR_EJECUCION'!$J$9:$J$1208,0)),""),'CAT_ESTADOS_ERP'!$A$4:$A$7,0)),"Pendiente"))</f>
        <v/>
      </c>
      <c r="O804" s="3">
        <f>IF($J804="","",YEAR($J804+4-WEEKDAY($J804,2))&amp;"-S"&amp;TEXT(_xlfn.ISOWEEKNUM($J804),"00"))</f>
        <v/>
      </c>
      <c r="P804" s="3">
        <f>IF($J804="","",YEAR($J804))</f>
        <v/>
      </c>
      <c r="Q804" s="3">
        <f>IF($J804="","",MONTH($J804))</f>
        <v/>
      </c>
      <c r="R804" s="3">
        <f>IF($J804="","",INDEX(lista_dias,WEEKDAY($J804,2)))</f>
        <v/>
      </c>
      <c r="S804" s="3">
        <f>IF($I804="","",IFERROR(INDEX('CAT_TIPOS_OT'!$C$4:$C$7,MATCH($I804,'CAT_TIPOS_OT'!$A$4:$A$7,0)),"sin_clasificar"))</f>
        <v/>
      </c>
      <c r="T804" s="3">
        <f>IF($F804="","",IFERROR(INDEX('CAT_CENTROS_COSTO'!$E$4:$E$9,MATCH($F804,'CAT_CENTROS_COSTO'!$A$4:$A$9,0)),"(sin catálogo)"))</f>
        <v/>
      </c>
      <c r="U804" s="3">
        <f>IF($F804="","",IFERROR(INDEX('CAT_CENTROS_COSTO'!$D$4:$D$9,MATCH($F804,'CAT_CENTROS_COSTO'!$A$4:$A$9,0)),"(sin catálogo)"))</f>
        <v/>
      </c>
      <c r="V804" s="3">
        <f>IF($F804="","",IFERROR(INDEX('CAT_CENTROS_COSTO'!$F$4:$F$9,MATCH($F804,'CAT_CENTROS_COSTO'!$A$4:$A$9,0)),"(sin catálogo)"))</f>
        <v/>
      </c>
      <c r="W804" s="3">
        <f>IF($G804="","",IFERROR(INDEX('CAT_PUESTOS'!$B$4:$B$8,MATCH($G804,'CAT_PUESTOS'!$A$4:$A$8,0)),"(sin catálogo)"))</f>
        <v/>
      </c>
      <c r="X804" s="3">
        <f>IF($H804="","",IFERROR(INDEX('CAT_ACTIVIDADES'!$B$4:$B$8,MATCH($H804,'CAT_ACTIVIDADES'!$A$4:$A$8,0)),"(sin catálogo)"))</f>
        <v/>
      </c>
      <c r="Y804" s="12">
        <f>IF($J804="","",TODAY()-$J804)</f>
        <v/>
      </c>
      <c r="Z804" s="3">
        <f>IF($Y804="","",IF($Y804&lt;0,"FUTURO",IF($Y804&gt;p_dias_backlog_max,"BACKLOG","MES CORRIENTE")))</f>
        <v/>
      </c>
      <c r="AA804" s="3">
        <f>IF($Y804="",FALSE,AND($Y804&gt;p_dias_backlog_min,$Y804&lt;=p_dias_backlog_max))</f>
        <v/>
      </c>
      <c r="AB804" s="6" t="n"/>
      <c r="AC804" s="3">
        <f>IF($AB804="","",IFERROR(INDEX('ASIGNACIONES'!$F$4:$F$339,MATCH($O804&amp;"|"&amp;$R804&amp;"|"&amp;$AB804,'ASIGNACIONES'!$I$4:$I$339,0)),""))</f>
        <v/>
      </c>
      <c r="AD804" s="13">
        <f>IF($AB804="","",SUMIFS('ORDENES'!$M$4:$M$1203,'ORDENES'!$AB$4:$AB$1203,$AB804,'ORDENES'!$O$4:$O$1203,$O804,'ORDENES'!$R$4:$R$1203,$R804))</f>
        <v/>
      </c>
      <c r="AE804" s="13">
        <f>IF($AD804="","",p_factor_productividad*IFERROR(INDEX('ASIGNACIONES'!$H$4:$H$339,MATCH($O804&amp;"|"&amp;$R804&amp;"|"&amp;$AB804,'ASIGNACIONES'!$I$4:$I$339,0)),0)-$AD804)</f>
        <v/>
      </c>
      <c r="AF804" s="10">
        <f>IF($A804="","",IFERROR(INDEX('2_IMPORTAR_EJECUCION'!$F$9:$F$1208,MATCH($AN804,'2_IMPORTAR_EJECUCION'!$J$9:$J$1208,0)),0))</f>
        <v/>
      </c>
      <c r="AG804" s="10">
        <f>IF($A804="","",MAX(0,IFERROR(INDEX('2_IMPORTAR_EJECUCION'!$H$9:$H$1208,MATCH($AN804,'2_IMPORTAR_EJECUCION'!$J$9:$J$1208,0)),0)-$AF804))</f>
        <v/>
      </c>
      <c r="AH804" s="10">
        <f>IF($A804="","",$AF804+$AG804)</f>
        <v/>
      </c>
      <c r="AI804" s="6" t="n"/>
      <c r="AJ804" s="6" t="n"/>
      <c r="AK804" s="6" t="n"/>
      <c r="AL804" s="3">
        <f>IF($AK804="","",HYPERLINK(p_ruta_base_checklists&amp;$AK804,"abrir"))</f>
        <v/>
      </c>
      <c r="AM804" s="6" t="n"/>
      <c r="AN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1" t="n"/>
      <c r="K805" s="3" t="n"/>
      <c r="L805" s="10" t="n"/>
      <c r="M805" s="3">
        <f>IF($A805="","",IFERROR(INDEX('AJUSTES'!$B$4:$B$303,MATCH($AN805,'AJUSTES'!$A$4:$A$303,0)),IF($K805="","",$K805)))</f>
        <v/>
      </c>
      <c r="N805" s="3">
        <f>IF($A805="","",IFERROR(INDEX('CAT_ESTADOS_ERP'!$B$4:$B$7,MATCH(IFERROR(INDEX('2_IMPORTAR_EJECUCION'!$C$9:$C$1208,MATCH($AN805,'2_IMPORTAR_EJECUCION'!$J$9:$J$1208,0)),""),'CAT_ESTADOS_ERP'!$A$4:$A$7,0)),"Pendiente"))</f>
        <v/>
      </c>
      <c r="O805" s="3">
        <f>IF($J805="","",YEAR($J805+4-WEEKDAY($J805,2))&amp;"-S"&amp;TEXT(_xlfn.ISOWEEKNUM($J805),"00"))</f>
        <v/>
      </c>
      <c r="P805" s="3">
        <f>IF($J805="","",YEAR($J805))</f>
        <v/>
      </c>
      <c r="Q805" s="3">
        <f>IF($J805="","",MONTH($J805))</f>
        <v/>
      </c>
      <c r="R805" s="3">
        <f>IF($J805="","",INDEX(lista_dias,WEEKDAY($J805,2)))</f>
        <v/>
      </c>
      <c r="S805" s="3">
        <f>IF($I805="","",IFERROR(INDEX('CAT_TIPOS_OT'!$C$4:$C$7,MATCH($I805,'CAT_TIPOS_OT'!$A$4:$A$7,0)),"sin_clasificar"))</f>
        <v/>
      </c>
      <c r="T805" s="3">
        <f>IF($F805="","",IFERROR(INDEX('CAT_CENTROS_COSTO'!$E$4:$E$9,MATCH($F805,'CAT_CENTROS_COSTO'!$A$4:$A$9,0)),"(sin catálogo)"))</f>
        <v/>
      </c>
      <c r="U805" s="3">
        <f>IF($F805="","",IFERROR(INDEX('CAT_CENTROS_COSTO'!$D$4:$D$9,MATCH($F805,'CAT_CENTROS_COSTO'!$A$4:$A$9,0)),"(sin catálogo)"))</f>
        <v/>
      </c>
      <c r="V805" s="3">
        <f>IF($F805="","",IFERROR(INDEX('CAT_CENTROS_COSTO'!$F$4:$F$9,MATCH($F805,'CAT_CENTROS_COSTO'!$A$4:$A$9,0)),"(sin catálogo)"))</f>
        <v/>
      </c>
      <c r="W805" s="3">
        <f>IF($G805="","",IFERROR(INDEX('CAT_PUESTOS'!$B$4:$B$8,MATCH($G805,'CAT_PUESTOS'!$A$4:$A$8,0)),"(sin catálogo)"))</f>
        <v/>
      </c>
      <c r="X805" s="3">
        <f>IF($H805="","",IFERROR(INDEX('CAT_ACTIVIDADES'!$B$4:$B$8,MATCH($H805,'CAT_ACTIVIDADES'!$A$4:$A$8,0)),"(sin catálogo)"))</f>
        <v/>
      </c>
      <c r="Y805" s="12">
        <f>IF($J805="","",TODAY()-$J805)</f>
        <v/>
      </c>
      <c r="Z805" s="3">
        <f>IF($Y805="","",IF($Y805&lt;0,"FUTURO",IF($Y805&gt;p_dias_backlog_max,"BACKLOG","MES CORRIENTE")))</f>
        <v/>
      </c>
      <c r="AA805" s="3">
        <f>IF($Y805="",FALSE,AND($Y805&gt;p_dias_backlog_min,$Y805&lt;=p_dias_backlog_max))</f>
        <v/>
      </c>
      <c r="AB805" s="6" t="n"/>
      <c r="AC805" s="3">
        <f>IF($AB805="","",IFERROR(INDEX('ASIGNACIONES'!$F$4:$F$339,MATCH($O805&amp;"|"&amp;$R805&amp;"|"&amp;$AB805,'ASIGNACIONES'!$I$4:$I$339,0)),""))</f>
        <v/>
      </c>
      <c r="AD805" s="13">
        <f>IF($AB805="","",SUMIFS('ORDENES'!$M$4:$M$1203,'ORDENES'!$AB$4:$AB$1203,$AB805,'ORDENES'!$O$4:$O$1203,$O805,'ORDENES'!$R$4:$R$1203,$R805))</f>
        <v/>
      </c>
      <c r="AE805" s="13">
        <f>IF($AD805="","",p_factor_productividad*IFERROR(INDEX('ASIGNACIONES'!$H$4:$H$339,MATCH($O805&amp;"|"&amp;$R805&amp;"|"&amp;$AB805,'ASIGNACIONES'!$I$4:$I$339,0)),0)-$AD805)</f>
        <v/>
      </c>
      <c r="AF805" s="10">
        <f>IF($A805="","",IFERROR(INDEX('2_IMPORTAR_EJECUCION'!$F$9:$F$1208,MATCH($AN805,'2_IMPORTAR_EJECUCION'!$J$9:$J$1208,0)),0))</f>
        <v/>
      </c>
      <c r="AG805" s="10">
        <f>IF($A805="","",MAX(0,IFERROR(INDEX('2_IMPORTAR_EJECUCION'!$H$9:$H$1208,MATCH($AN805,'2_IMPORTAR_EJECUCION'!$J$9:$J$1208,0)),0)-$AF805))</f>
        <v/>
      </c>
      <c r="AH805" s="10">
        <f>IF($A805="","",$AF805+$AG805)</f>
        <v/>
      </c>
      <c r="AI805" s="6" t="n"/>
      <c r="AJ805" s="6" t="n"/>
      <c r="AK805" s="6" t="n"/>
      <c r="AL805" s="3">
        <f>IF($AK805="","",HYPERLINK(p_ruta_base_checklists&amp;$AK805,"abrir"))</f>
        <v/>
      </c>
      <c r="AM805" s="6" t="n"/>
      <c r="AN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1" t="n"/>
      <c r="K806" s="3" t="n"/>
      <c r="L806" s="10" t="n"/>
      <c r="M806" s="3">
        <f>IF($A806="","",IFERROR(INDEX('AJUSTES'!$B$4:$B$303,MATCH($AN806,'AJUSTES'!$A$4:$A$303,0)),IF($K806="","",$K806)))</f>
        <v/>
      </c>
      <c r="N806" s="3">
        <f>IF($A806="","",IFERROR(INDEX('CAT_ESTADOS_ERP'!$B$4:$B$7,MATCH(IFERROR(INDEX('2_IMPORTAR_EJECUCION'!$C$9:$C$1208,MATCH($AN806,'2_IMPORTAR_EJECUCION'!$J$9:$J$1208,0)),""),'CAT_ESTADOS_ERP'!$A$4:$A$7,0)),"Pendiente"))</f>
        <v/>
      </c>
      <c r="O806" s="3">
        <f>IF($J806="","",YEAR($J806+4-WEEKDAY($J806,2))&amp;"-S"&amp;TEXT(_xlfn.ISOWEEKNUM($J806),"00"))</f>
        <v/>
      </c>
      <c r="P806" s="3">
        <f>IF($J806="","",YEAR($J806))</f>
        <v/>
      </c>
      <c r="Q806" s="3">
        <f>IF($J806="","",MONTH($J806))</f>
        <v/>
      </c>
      <c r="R806" s="3">
        <f>IF($J806="","",INDEX(lista_dias,WEEKDAY($J806,2)))</f>
        <v/>
      </c>
      <c r="S806" s="3">
        <f>IF($I806="","",IFERROR(INDEX('CAT_TIPOS_OT'!$C$4:$C$7,MATCH($I806,'CAT_TIPOS_OT'!$A$4:$A$7,0)),"sin_clasificar"))</f>
        <v/>
      </c>
      <c r="T806" s="3">
        <f>IF($F806="","",IFERROR(INDEX('CAT_CENTROS_COSTO'!$E$4:$E$9,MATCH($F806,'CAT_CENTROS_COSTO'!$A$4:$A$9,0)),"(sin catálogo)"))</f>
        <v/>
      </c>
      <c r="U806" s="3">
        <f>IF($F806="","",IFERROR(INDEX('CAT_CENTROS_COSTO'!$D$4:$D$9,MATCH($F806,'CAT_CENTROS_COSTO'!$A$4:$A$9,0)),"(sin catálogo)"))</f>
        <v/>
      </c>
      <c r="V806" s="3">
        <f>IF($F806="","",IFERROR(INDEX('CAT_CENTROS_COSTO'!$F$4:$F$9,MATCH($F806,'CAT_CENTROS_COSTO'!$A$4:$A$9,0)),"(sin catálogo)"))</f>
        <v/>
      </c>
      <c r="W806" s="3">
        <f>IF($G806="","",IFERROR(INDEX('CAT_PUESTOS'!$B$4:$B$8,MATCH($G806,'CAT_PUESTOS'!$A$4:$A$8,0)),"(sin catálogo)"))</f>
        <v/>
      </c>
      <c r="X806" s="3">
        <f>IF($H806="","",IFERROR(INDEX('CAT_ACTIVIDADES'!$B$4:$B$8,MATCH($H806,'CAT_ACTIVIDADES'!$A$4:$A$8,0)),"(sin catálogo)"))</f>
        <v/>
      </c>
      <c r="Y806" s="12">
        <f>IF($J806="","",TODAY()-$J806)</f>
        <v/>
      </c>
      <c r="Z806" s="3">
        <f>IF($Y806="","",IF($Y806&lt;0,"FUTURO",IF($Y806&gt;p_dias_backlog_max,"BACKLOG","MES CORRIENTE")))</f>
        <v/>
      </c>
      <c r="AA806" s="3">
        <f>IF($Y806="",FALSE,AND($Y806&gt;p_dias_backlog_min,$Y806&lt;=p_dias_backlog_max))</f>
        <v/>
      </c>
      <c r="AB806" s="6" t="n"/>
      <c r="AC806" s="3">
        <f>IF($AB806="","",IFERROR(INDEX('ASIGNACIONES'!$F$4:$F$339,MATCH($O806&amp;"|"&amp;$R806&amp;"|"&amp;$AB806,'ASIGNACIONES'!$I$4:$I$339,0)),""))</f>
        <v/>
      </c>
      <c r="AD806" s="13">
        <f>IF($AB806="","",SUMIFS('ORDENES'!$M$4:$M$1203,'ORDENES'!$AB$4:$AB$1203,$AB806,'ORDENES'!$O$4:$O$1203,$O806,'ORDENES'!$R$4:$R$1203,$R806))</f>
        <v/>
      </c>
      <c r="AE806" s="13">
        <f>IF($AD806="","",p_factor_productividad*IFERROR(INDEX('ASIGNACIONES'!$H$4:$H$339,MATCH($O806&amp;"|"&amp;$R806&amp;"|"&amp;$AB806,'ASIGNACIONES'!$I$4:$I$339,0)),0)-$AD806)</f>
        <v/>
      </c>
      <c r="AF806" s="10">
        <f>IF($A806="","",IFERROR(INDEX('2_IMPORTAR_EJECUCION'!$F$9:$F$1208,MATCH($AN806,'2_IMPORTAR_EJECUCION'!$J$9:$J$1208,0)),0))</f>
        <v/>
      </c>
      <c r="AG806" s="10">
        <f>IF($A806="","",MAX(0,IFERROR(INDEX('2_IMPORTAR_EJECUCION'!$H$9:$H$1208,MATCH($AN806,'2_IMPORTAR_EJECUCION'!$J$9:$J$1208,0)),0)-$AF806))</f>
        <v/>
      </c>
      <c r="AH806" s="10">
        <f>IF($A806="","",$AF806+$AG806)</f>
        <v/>
      </c>
      <c r="AI806" s="6" t="n"/>
      <c r="AJ806" s="6" t="n"/>
      <c r="AK806" s="6" t="n"/>
      <c r="AL806" s="3">
        <f>IF($AK806="","",HYPERLINK(p_ruta_base_checklists&amp;$AK806,"abrir"))</f>
        <v/>
      </c>
      <c r="AM806" s="6" t="n"/>
      <c r="AN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1" t="n"/>
      <c r="K807" s="3" t="n"/>
      <c r="L807" s="10" t="n"/>
      <c r="M807" s="3">
        <f>IF($A807="","",IFERROR(INDEX('AJUSTES'!$B$4:$B$303,MATCH($AN807,'AJUSTES'!$A$4:$A$303,0)),IF($K807="","",$K807)))</f>
        <v/>
      </c>
      <c r="N807" s="3">
        <f>IF($A807="","",IFERROR(INDEX('CAT_ESTADOS_ERP'!$B$4:$B$7,MATCH(IFERROR(INDEX('2_IMPORTAR_EJECUCION'!$C$9:$C$1208,MATCH($AN807,'2_IMPORTAR_EJECUCION'!$J$9:$J$1208,0)),""),'CAT_ESTADOS_ERP'!$A$4:$A$7,0)),"Pendiente"))</f>
        <v/>
      </c>
      <c r="O807" s="3">
        <f>IF($J807="","",YEAR($J807+4-WEEKDAY($J807,2))&amp;"-S"&amp;TEXT(_xlfn.ISOWEEKNUM($J807),"00"))</f>
        <v/>
      </c>
      <c r="P807" s="3">
        <f>IF($J807="","",YEAR($J807))</f>
        <v/>
      </c>
      <c r="Q807" s="3">
        <f>IF($J807="","",MONTH($J807))</f>
        <v/>
      </c>
      <c r="R807" s="3">
        <f>IF($J807="","",INDEX(lista_dias,WEEKDAY($J807,2)))</f>
        <v/>
      </c>
      <c r="S807" s="3">
        <f>IF($I807="","",IFERROR(INDEX('CAT_TIPOS_OT'!$C$4:$C$7,MATCH($I807,'CAT_TIPOS_OT'!$A$4:$A$7,0)),"sin_clasificar"))</f>
        <v/>
      </c>
      <c r="T807" s="3">
        <f>IF($F807="","",IFERROR(INDEX('CAT_CENTROS_COSTO'!$E$4:$E$9,MATCH($F807,'CAT_CENTROS_COSTO'!$A$4:$A$9,0)),"(sin catálogo)"))</f>
        <v/>
      </c>
      <c r="U807" s="3">
        <f>IF($F807="","",IFERROR(INDEX('CAT_CENTROS_COSTO'!$D$4:$D$9,MATCH($F807,'CAT_CENTROS_COSTO'!$A$4:$A$9,0)),"(sin catálogo)"))</f>
        <v/>
      </c>
      <c r="V807" s="3">
        <f>IF($F807="","",IFERROR(INDEX('CAT_CENTROS_COSTO'!$F$4:$F$9,MATCH($F807,'CAT_CENTROS_COSTO'!$A$4:$A$9,0)),"(sin catálogo)"))</f>
        <v/>
      </c>
      <c r="W807" s="3">
        <f>IF($G807="","",IFERROR(INDEX('CAT_PUESTOS'!$B$4:$B$8,MATCH($G807,'CAT_PUESTOS'!$A$4:$A$8,0)),"(sin catálogo)"))</f>
        <v/>
      </c>
      <c r="X807" s="3">
        <f>IF($H807="","",IFERROR(INDEX('CAT_ACTIVIDADES'!$B$4:$B$8,MATCH($H807,'CAT_ACTIVIDADES'!$A$4:$A$8,0)),"(sin catálogo)"))</f>
        <v/>
      </c>
      <c r="Y807" s="12">
        <f>IF($J807="","",TODAY()-$J807)</f>
        <v/>
      </c>
      <c r="Z807" s="3">
        <f>IF($Y807="","",IF($Y807&lt;0,"FUTURO",IF($Y807&gt;p_dias_backlog_max,"BACKLOG","MES CORRIENTE")))</f>
        <v/>
      </c>
      <c r="AA807" s="3">
        <f>IF($Y807="",FALSE,AND($Y807&gt;p_dias_backlog_min,$Y807&lt;=p_dias_backlog_max))</f>
        <v/>
      </c>
      <c r="AB807" s="6" t="n"/>
      <c r="AC807" s="3">
        <f>IF($AB807="","",IFERROR(INDEX('ASIGNACIONES'!$F$4:$F$339,MATCH($O807&amp;"|"&amp;$R807&amp;"|"&amp;$AB807,'ASIGNACIONES'!$I$4:$I$339,0)),""))</f>
        <v/>
      </c>
      <c r="AD807" s="13">
        <f>IF($AB807="","",SUMIFS('ORDENES'!$M$4:$M$1203,'ORDENES'!$AB$4:$AB$1203,$AB807,'ORDENES'!$O$4:$O$1203,$O807,'ORDENES'!$R$4:$R$1203,$R807))</f>
        <v/>
      </c>
      <c r="AE807" s="13">
        <f>IF($AD807="","",p_factor_productividad*IFERROR(INDEX('ASIGNACIONES'!$H$4:$H$339,MATCH($O807&amp;"|"&amp;$R807&amp;"|"&amp;$AB807,'ASIGNACIONES'!$I$4:$I$339,0)),0)-$AD807)</f>
        <v/>
      </c>
      <c r="AF807" s="10">
        <f>IF($A807="","",IFERROR(INDEX('2_IMPORTAR_EJECUCION'!$F$9:$F$1208,MATCH($AN807,'2_IMPORTAR_EJECUCION'!$J$9:$J$1208,0)),0))</f>
        <v/>
      </c>
      <c r="AG807" s="10">
        <f>IF($A807="","",MAX(0,IFERROR(INDEX('2_IMPORTAR_EJECUCION'!$H$9:$H$1208,MATCH($AN807,'2_IMPORTAR_EJECUCION'!$J$9:$J$1208,0)),0)-$AF807))</f>
        <v/>
      </c>
      <c r="AH807" s="10">
        <f>IF($A807="","",$AF807+$AG807)</f>
        <v/>
      </c>
      <c r="AI807" s="6" t="n"/>
      <c r="AJ807" s="6" t="n"/>
      <c r="AK807" s="6" t="n"/>
      <c r="AL807" s="3">
        <f>IF($AK807="","",HYPERLINK(p_ruta_base_checklists&amp;$AK807,"abrir"))</f>
        <v/>
      </c>
      <c r="AM807" s="6" t="n"/>
      <c r="AN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1" t="n"/>
      <c r="K808" s="3" t="n"/>
      <c r="L808" s="10" t="n"/>
      <c r="M808" s="3">
        <f>IF($A808="","",IFERROR(INDEX('AJUSTES'!$B$4:$B$303,MATCH($AN808,'AJUSTES'!$A$4:$A$303,0)),IF($K808="","",$K808)))</f>
        <v/>
      </c>
      <c r="N808" s="3">
        <f>IF($A808="","",IFERROR(INDEX('CAT_ESTADOS_ERP'!$B$4:$B$7,MATCH(IFERROR(INDEX('2_IMPORTAR_EJECUCION'!$C$9:$C$1208,MATCH($AN808,'2_IMPORTAR_EJECUCION'!$J$9:$J$1208,0)),""),'CAT_ESTADOS_ERP'!$A$4:$A$7,0)),"Pendiente"))</f>
        <v/>
      </c>
      <c r="O808" s="3">
        <f>IF($J808="","",YEAR($J808+4-WEEKDAY($J808,2))&amp;"-S"&amp;TEXT(_xlfn.ISOWEEKNUM($J808),"00"))</f>
        <v/>
      </c>
      <c r="P808" s="3">
        <f>IF($J808="","",YEAR($J808))</f>
        <v/>
      </c>
      <c r="Q808" s="3">
        <f>IF($J808="","",MONTH($J808))</f>
        <v/>
      </c>
      <c r="R808" s="3">
        <f>IF($J808="","",INDEX(lista_dias,WEEKDAY($J808,2)))</f>
        <v/>
      </c>
      <c r="S808" s="3">
        <f>IF($I808="","",IFERROR(INDEX('CAT_TIPOS_OT'!$C$4:$C$7,MATCH($I808,'CAT_TIPOS_OT'!$A$4:$A$7,0)),"sin_clasificar"))</f>
        <v/>
      </c>
      <c r="T808" s="3">
        <f>IF($F808="","",IFERROR(INDEX('CAT_CENTROS_COSTO'!$E$4:$E$9,MATCH($F808,'CAT_CENTROS_COSTO'!$A$4:$A$9,0)),"(sin catálogo)"))</f>
        <v/>
      </c>
      <c r="U808" s="3">
        <f>IF($F808="","",IFERROR(INDEX('CAT_CENTROS_COSTO'!$D$4:$D$9,MATCH($F808,'CAT_CENTROS_COSTO'!$A$4:$A$9,0)),"(sin catálogo)"))</f>
        <v/>
      </c>
      <c r="V808" s="3">
        <f>IF($F808="","",IFERROR(INDEX('CAT_CENTROS_COSTO'!$F$4:$F$9,MATCH($F808,'CAT_CENTROS_COSTO'!$A$4:$A$9,0)),"(sin catálogo)"))</f>
        <v/>
      </c>
      <c r="W808" s="3">
        <f>IF($G808="","",IFERROR(INDEX('CAT_PUESTOS'!$B$4:$B$8,MATCH($G808,'CAT_PUESTOS'!$A$4:$A$8,0)),"(sin catálogo)"))</f>
        <v/>
      </c>
      <c r="X808" s="3">
        <f>IF($H808="","",IFERROR(INDEX('CAT_ACTIVIDADES'!$B$4:$B$8,MATCH($H808,'CAT_ACTIVIDADES'!$A$4:$A$8,0)),"(sin catálogo)"))</f>
        <v/>
      </c>
      <c r="Y808" s="12">
        <f>IF($J808="","",TODAY()-$J808)</f>
        <v/>
      </c>
      <c r="Z808" s="3">
        <f>IF($Y808="","",IF($Y808&lt;0,"FUTURO",IF($Y808&gt;p_dias_backlog_max,"BACKLOG","MES CORRIENTE")))</f>
        <v/>
      </c>
      <c r="AA808" s="3">
        <f>IF($Y808="",FALSE,AND($Y808&gt;p_dias_backlog_min,$Y808&lt;=p_dias_backlog_max))</f>
        <v/>
      </c>
      <c r="AB808" s="6" t="n"/>
      <c r="AC808" s="3">
        <f>IF($AB808="","",IFERROR(INDEX('ASIGNACIONES'!$F$4:$F$339,MATCH($O808&amp;"|"&amp;$R808&amp;"|"&amp;$AB808,'ASIGNACIONES'!$I$4:$I$339,0)),""))</f>
        <v/>
      </c>
      <c r="AD808" s="13">
        <f>IF($AB808="","",SUMIFS('ORDENES'!$M$4:$M$1203,'ORDENES'!$AB$4:$AB$1203,$AB808,'ORDENES'!$O$4:$O$1203,$O808,'ORDENES'!$R$4:$R$1203,$R808))</f>
        <v/>
      </c>
      <c r="AE808" s="13">
        <f>IF($AD808="","",p_factor_productividad*IFERROR(INDEX('ASIGNACIONES'!$H$4:$H$339,MATCH($O808&amp;"|"&amp;$R808&amp;"|"&amp;$AB808,'ASIGNACIONES'!$I$4:$I$339,0)),0)-$AD808)</f>
        <v/>
      </c>
      <c r="AF808" s="10">
        <f>IF($A808="","",IFERROR(INDEX('2_IMPORTAR_EJECUCION'!$F$9:$F$1208,MATCH($AN808,'2_IMPORTAR_EJECUCION'!$J$9:$J$1208,0)),0))</f>
        <v/>
      </c>
      <c r="AG808" s="10">
        <f>IF($A808="","",MAX(0,IFERROR(INDEX('2_IMPORTAR_EJECUCION'!$H$9:$H$1208,MATCH($AN808,'2_IMPORTAR_EJECUCION'!$J$9:$J$1208,0)),0)-$AF808))</f>
        <v/>
      </c>
      <c r="AH808" s="10">
        <f>IF($A808="","",$AF808+$AG808)</f>
        <v/>
      </c>
      <c r="AI808" s="6" t="n"/>
      <c r="AJ808" s="6" t="n"/>
      <c r="AK808" s="6" t="n"/>
      <c r="AL808" s="3">
        <f>IF($AK808="","",HYPERLINK(p_ruta_base_checklists&amp;$AK808,"abrir"))</f>
        <v/>
      </c>
      <c r="AM808" s="6" t="n"/>
      <c r="AN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1" t="n"/>
      <c r="K809" s="3" t="n"/>
      <c r="L809" s="10" t="n"/>
      <c r="M809" s="3">
        <f>IF($A809="","",IFERROR(INDEX('AJUSTES'!$B$4:$B$303,MATCH($AN809,'AJUSTES'!$A$4:$A$303,0)),IF($K809="","",$K809)))</f>
        <v/>
      </c>
      <c r="N809" s="3">
        <f>IF($A809="","",IFERROR(INDEX('CAT_ESTADOS_ERP'!$B$4:$B$7,MATCH(IFERROR(INDEX('2_IMPORTAR_EJECUCION'!$C$9:$C$1208,MATCH($AN809,'2_IMPORTAR_EJECUCION'!$J$9:$J$1208,0)),""),'CAT_ESTADOS_ERP'!$A$4:$A$7,0)),"Pendiente"))</f>
        <v/>
      </c>
      <c r="O809" s="3">
        <f>IF($J809="","",YEAR($J809+4-WEEKDAY($J809,2))&amp;"-S"&amp;TEXT(_xlfn.ISOWEEKNUM($J809),"00"))</f>
        <v/>
      </c>
      <c r="P809" s="3">
        <f>IF($J809="","",YEAR($J809))</f>
        <v/>
      </c>
      <c r="Q809" s="3">
        <f>IF($J809="","",MONTH($J809))</f>
        <v/>
      </c>
      <c r="R809" s="3">
        <f>IF($J809="","",INDEX(lista_dias,WEEKDAY($J809,2)))</f>
        <v/>
      </c>
      <c r="S809" s="3">
        <f>IF($I809="","",IFERROR(INDEX('CAT_TIPOS_OT'!$C$4:$C$7,MATCH($I809,'CAT_TIPOS_OT'!$A$4:$A$7,0)),"sin_clasificar"))</f>
        <v/>
      </c>
      <c r="T809" s="3">
        <f>IF($F809="","",IFERROR(INDEX('CAT_CENTROS_COSTO'!$E$4:$E$9,MATCH($F809,'CAT_CENTROS_COSTO'!$A$4:$A$9,0)),"(sin catálogo)"))</f>
        <v/>
      </c>
      <c r="U809" s="3">
        <f>IF($F809="","",IFERROR(INDEX('CAT_CENTROS_COSTO'!$D$4:$D$9,MATCH($F809,'CAT_CENTROS_COSTO'!$A$4:$A$9,0)),"(sin catálogo)"))</f>
        <v/>
      </c>
      <c r="V809" s="3">
        <f>IF($F809="","",IFERROR(INDEX('CAT_CENTROS_COSTO'!$F$4:$F$9,MATCH($F809,'CAT_CENTROS_COSTO'!$A$4:$A$9,0)),"(sin catálogo)"))</f>
        <v/>
      </c>
      <c r="W809" s="3">
        <f>IF($G809="","",IFERROR(INDEX('CAT_PUESTOS'!$B$4:$B$8,MATCH($G809,'CAT_PUESTOS'!$A$4:$A$8,0)),"(sin catálogo)"))</f>
        <v/>
      </c>
      <c r="X809" s="3">
        <f>IF($H809="","",IFERROR(INDEX('CAT_ACTIVIDADES'!$B$4:$B$8,MATCH($H809,'CAT_ACTIVIDADES'!$A$4:$A$8,0)),"(sin catálogo)"))</f>
        <v/>
      </c>
      <c r="Y809" s="12">
        <f>IF($J809="","",TODAY()-$J809)</f>
        <v/>
      </c>
      <c r="Z809" s="3">
        <f>IF($Y809="","",IF($Y809&lt;0,"FUTURO",IF($Y809&gt;p_dias_backlog_max,"BACKLOG","MES CORRIENTE")))</f>
        <v/>
      </c>
      <c r="AA809" s="3">
        <f>IF($Y809="",FALSE,AND($Y809&gt;p_dias_backlog_min,$Y809&lt;=p_dias_backlog_max))</f>
        <v/>
      </c>
      <c r="AB809" s="6" t="n"/>
      <c r="AC809" s="3">
        <f>IF($AB809="","",IFERROR(INDEX('ASIGNACIONES'!$F$4:$F$339,MATCH($O809&amp;"|"&amp;$R809&amp;"|"&amp;$AB809,'ASIGNACIONES'!$I$4:$I$339,0)),""))</f>
        <v/>
      </c>
      <c r="AD809" s="13">
        <f>IF($AB809="","",SUMIFS('ORDENES'!$M$4:$M$1203,'ORDENES'!$AB$4:$AB$1203,$AB809,'ORDENES'!$O$4:$O$1203,$O809,'ORDENES'!$R$4:$R$1203,$R809))</f>
        <v/>
      </c>
      <c r="AE809" s="13">
        <f>IF($AD809="","",p_factor_productividad*IFERROR(INDEX('ASIGNACIONES'!$H$4:$H$339,MATCH($O809&amp;"|"&amp;$R809&amp;"|"&amp;$AB809,'ASIGNACIONES'!$I$4:$I$339,0)),0)-$AD809)</f>
        <v/>
      </c>
      <c r="AF809" s="10">
        <f>IF($A809="","",IFERROR(INDEX('2_IMPORTAR_EJECUCION'!$F$9:$F$1208,MATCH($AN809,'2_IMPORTAR_EJECUCION'!$J$9:$J$1208,0)),0))</f>
        <v/>
      </c>
      <c r="AG809" s="10">
        <f>IF($A809="","",MAX(0,IFERROR(INDEX('2_IMPORTAR_EJECUCION'!$H$9:$H$1208,MATCH($AN809,'2_IMPORTAR_EJECUCION'!$J$9:$J$1208,0)),0)-$AF809))</f>
        <v/>
      </c>
      <c r="AH809" s="10">
        <f>IF($A809="","",$AF809+$AG809)</f>
        <v/>
      </c>
      <c r="AI809" s="6" t="n"/>
      <c r="AJ809" s="6" t="n"/>
      <c r="AK809" s="6" t="n"/>
      <c r="AL809" s="3">
        <f>IF($AK809="","",HYPERLINK(p_ruta_base_checklists&amp;$AK809,"abrir"))</f>
        <v/>
      </c>
      <c r="AM809" s="6" t="n"/>
      <c r="AN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1" t="n"/>
      <c r="K810" s="3" t="n"/>
      <c r="L810" s="10" t="n"/>
      <c r="M810" s="3">
        <f>IF($A810="","",IFERROR(INDEX('AJUSTES'!$B$4:$B$303,MATCH($AN810,'AJUSTES'!$A$4:$A$303,0)),IF($K810="","",$K810)))</f>
        <v/>
      </c>
      <c r="N810" s="3">
        <f>IF($A810="","",IFERROR(INDEX('CAT_ESTADOS_ERP'!$B$4:$B$7,MATCH(IFERROR(INDEX('2_IMPORTAR_EJECUCION'!$C$9:$C$1208,MATCH($AN810,'2_IMPORTAR_EJECUCION'!$J$9:$J$1208,0)),""),'CAT_ESTADOS_ERP'!$A$4:$A$7,0)),"Pendiente"))</f>
        <v/>
      </c>
      <c r="O810" s="3">
        <f>IF($J810="","",YEAR($J810+4-WEEKDAY($J810,2))&amp;"-S"&amp;TEXT(_xlfn.ISOWEEKNUM($J810),"00"))</f>
        <v/>
      </c>
      <c r="P810" s="3">
        <f>IF($J810="","",YEAR($J810))</f>
        <v/>
      </c>
      <c r="Q810" s="3">
        <f>IF($J810="","",MONTH($J810))</f>
        <v/>
      </c>
      <c r="R810" s="3">
        <f>IF($J810="","",INDEX(lista_dias,WEEKDAY($J810,2)))</f>
        <v/>
      </c>
      <c r="S810" s="3">
        <f>IF($I810="","",IFERROR(INDEX('CAT_TIPOS_OT'!$C$4:$C$7,MATCH($I810,'CAT_TIPOS_OT'!$A$4:$A$7,0)),"sin_clasificar"))</f>
        <v/>
      </c>
      <c r="T810" s="3">
        <f>IF($F810="","",IFERROR(INDEX('CAT_CENTROS_COSTO'!$E$4:$E$9,MATCH($F810,'CAT_CENTROS_COSTO'!$A$4:$A$9,0)),"(sin catálogo)"))</f>
        <v/>
      </c>
      <c r="U810" s="3">
        <f>IF($F810="","",IFERROR(INDEX('CAT_CENTROS_COSTO'!$D$4:$D$9,MATCH($F810,'CAT_CENTROS_COSTO'!$A$4:$A$9,0)),"(sin catálogo)"))</f>
        <v/>
      </c>
      <c r="V810" s="3">
        <f>IF($F810="","",IFERROR(INDEX('CAT_CENTROS_COSTO'!$F$4:$F$9,MATCH($F810,'CAT_CENTROS_COSTO'!$A$4:$A$9,0)),"(sin catálogo)"))</f>
        <v/>
      </c>
      <c r="W810" s="3">
        <f>IF($G810="","",IFERROR(INDEX('CAT_PUESTOS'!$B$4:$B$8,MATCH($G810,'CAT_PUESTOS'!$A$4:$A$8,0)),"(sin catálogo)"))</f>
        <v/>
      </c>
      <c r="X810" s="3">
        <f>IF($H810="","",IFERROR(INDEX('CAT_ACTIVIDADES'!$B$4:$B$8,MATCH($H810,'CAT_ACTIVIDADES'!$A$4:$A$8,0)),"(sin catálogo)"))</f>
        <v/>
      </c>
      <c r="Y810" s="12">
        <f>IF($J810="","",TODAY()-$J810)</f>
        <v/>
      </c>
      <c r="Z810" s="3">
        <f>IF($Y810="","",IF($Y810&lt;0,"FUTURO",IF($Y810&gt;p_dias_backlog_max,"BACKLOG","MES CORRIENTE")))</f>
        <v/>
      </c>
      <c r="AA810" s="3">
        <f>IF($Y810="",FALSE,AND($Y810&gt;p_dias_backlog_min,$Y810&lt;=p_dias_backlog_max))</f>
        <v/>
      </c>
      <c r="AB810" s="6" t="n"/>
      <c r="AC810" s="3">
        <f>IF($AB810="","",IFERROR(INDEX('ASIGNACIONES'!$F$4:$F$339,MATCH($O810&amp;"|"&amp;$R810&amp;"|"&amp;$AB810,'ASIGNACIONES'!$I$4:$I$339,0)),""))</f>
        <v/>
      </c>
      <c r="AD810" s="13">
        <f>IF($AB810="","",SUMIFS('ORDENES'!$M$4:$M$1203,'ORDENES'!$AB$4:$AB$1203,$AB810,'ORDENES'!$O$4:$O$1203,$O810,'ORDENES'!$R$4:$R$1203,$R810))</f>
        <v/>
      </c>
      <c r="AE810" s="13">
        <f>IF($AD810="","",p_factor_productividad*IFERROR(INDEX('ASIGNACIONES'!$H$4:$H$339,MATCH($O810&amp;"|"&amp;$R810&amp;"|"&amp;$AB810,'ASIGNACIONES'!$I$4:$I$339,0)),0)-$AD810)</f>
        <v/>
      </c>
      <c r="AF810" s="10">
        <f>IF($A810="","",IFERROR(INDEX('2_IMPORTAR_EJECUCION'!$F$9:$F$1208,MATCH($AN810,'2_IMPORTAR_EJECUCION'!$J$9:$J$1208,0)),0))</f>
        <v/>
      </c>
      <c r="AG810" s="10">
        <f>IF($A810="","",MAX(0,IFERROR(INDEX('2_IMPORTAR_EJECUCION'!$H$9:$H$1208,MATCH($AN810,'2_IMPORTAR_EJECUCION'!$J$9:$J$1208,0)),0)-$AF810))</f>
        <v/>
      </c>
      <c r="AH810" s="10">
        <f>IF($A810="","",$AF810+$AG810)</f>
        <v/>
      </c>
      <c r="AI810" s="6" t="n"/>
      <c r="AJ810" s="6" t="n"/>
      <c r="AK810" s="6" t="n"/>
      <c r="AL810" s="3">
        <f>IF($AK810="","",HYPERLINK(p_ruta_base_checklists&amp;$AK810,"abrir"))</f>
        <v/>
      </c>
      <c r="AM810" s="6" t="n"/>
      <c r="AN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1" t="n"/>
      <c r="K811" s="3" t="n"/>
      <c r="L811" s="10" t="n"/>
      <c r="M811" s="3">
        <f>IF($A811="","",IFERROR(INDEX('AJUSTES'!$B$4:$B$303,MATCH($AN811,'AJUSTES'!$A$4:$A$303,0)),IF($K811="","",$K811)))</f>
        <v/>
      </c>
      <c r="N811" s="3">
        <f>IF($A811="","",IFERROR(INDEX('CAT_ESTADOS_ERP'!$B$4:$B$7,MATCH(IFERROR(INDEX('2_IMPORTAR_EJECUCION'!$C$9:$C$1208,MATCH($AN811,'2_IMPORTAR_EJECUCION'!$J$9:$J$1208,0)),""),'CAT_ESTADOS_ERP'!$A$4:$A$7,0)),"Pendiente"))</f>
        <v/>
      </c>
      <c r="O811" s="3">
        <f>IF($J811="","",YEAR($J811+4-WEEKDAY($J811,2))&amp;"-S"&amp;TEXT(_xlfn.ISOWEEKNUM($J811),"00"))</f>
        <v/>
      </c>
      <c r="P811" s="3">
        <f>IF($J811="","",YEAR($J811))</f>
        <v/>
      </c>
      <c r="Q811" s="3">
        <f>IF($J811="","",MONTH($J811))</f>
        <v/>
      </c>
      <c r="R811" s="3">
        <f>IF($J811="","",INDEX(lista_dias,WEEKDAY($J811,2)))</f>
        <v/>
      </c>
      <c r="S811" s="3">
        <f>IF($I811="","",IFERROR(INDEX('CAT_TIPOS_OT'!$C$4:$C$7,MATCH($I811,'CAT_TIPOS_OT'!$A$4:$A$7,0)),"sin_clasificar"))</f>
        <v/>
      </c>
      <c r="T811" s="3">
        <f>IF($F811="","",IFERROR(INDEX('CAT_CENTROS_COSTO'!$E$4:$E$9,MATCH($F811,'CAT_CENTROS_COSTO'!$A$4:$A$9,0)),"(sin catálogo)"))</f>
        <v/>
      </c>
      <c r="U811" s="3">
        <f>IF($F811="","",IFERROR(INDEX('CAT_CENTROS_COSTO'!$D$4:$D$9,MATCH($F811,'CAT_CENTROS_COSTO'!$A$4:$A$9,0)),"(sin catálogo)"))</f>
        <v/>
      </c>
      <c r="V811" s="3">
        <f>IF($F811="","",IFERROR(INDEX('CAT_CENTROS_COSTO'!$F$4:$F$9,MATCH($F811,'CAT_CENTROS_COSTO'!$A$4:$A$9,0)),"(sin catálogo)"))</f>
        <v/>
      </c>
      <c r="W811" s="3">
        <f>IF($G811="","",IFERROR(INDEX('CAT_PUESTOS'!$B$4:$B$8,MATCH($G811,'CAT_PUESTOS'!$A$4:$A$8,0)),"(sin catálogo)"))</f>
        <v/>
      </c>
      <c r="X811" s="3">
        <f>IF($H811="","",IFERROR(INDEX('CAT_ACTIVIDADES'!$B$4:$B$8,MATCH($H811,'CAT_ACTIVIDADES'!$A$4:$A$8,0)),"(sin catálogo)"))</f>
        <v/>
      </c>
      <c r="Y811" s="12">
        <f>IF($J811="","",TODAY()-$J811)</f>
        <v/>
      </c>
      <c r="Z811" s="3">
        <f>IF($Y811="","",IF($Y811&lt;0,"FUTURO",IF($Y811&gt;p_dias_backlog_max,"BACKLOG","MES CORRIENTE")))</f>
        <v/>
      </c>
      <c r="AA811" s="3">
        <f>IF($Y811="",FALSE,AND($Y811&gt;p_dias_backlog_min,$Y811&lt;=p_dias_backlog_max))</f>
        <v/>
      </c>
      <c r="AB811" s="6" t="n"/>
      <c r="AC811" s="3">
        <f>IF($AB811="","",IFERROR(INDEX('ASIGNACIONES'!$F$4:$F$339,MATCH($O811&amp;"|"&amp;$R811&amp;"|"&amp;$AB811,'ASIGNACIONES'!$I$4:$I$339,0)),""))</f>
        <v/>
      </c>
      <c r="AD811" s="13">
        <f>IF($AB811="","",SUMIFS('ORDENES'!$M$4:$M$1203,'ORDENES'!$AB$4:$AB$1203,$AB811,'ORDENES'!$O$4:$O$1203,$O811,'ORDENES'!$R$4:$R$1203,$R811))</f>
        <v/>
      </c>
      <c r="AE811" s="13">
        <f>IF($AD811="","",p_factor_productividad*IFERROR(INDEX('ASIGNACIONES'!$H$4:$H$339,MATCH($O811&amp;"|"&amp;$R811&amp;"|"&amp;$AB811,'ASIGNACIONES'!$I$4:$I$339,0)),0)-$AD811)</f>
        <v/>
      </c>
      <c r="AF811" s="10">
        <f>IF($A811="","",IFERROR(INDEX('2_IMPORTAR_EJECUCION'!$F$9:$F$1208,MATCH($AN811,'2_IMPORTAR_EJECUCION'!$J$9:$J$1208,0)),0))</f>
        <v/>
      </c>
      <c r="AG811" s="10">
        <f>IF($A811="","",MAX(0,IFERROR(INDEX('2_IMPORTAR_EJECUCION'!$H$9:$H$1208,MATCH($AN811,'2_IMPORTAR_EJECUCION'!$J$9:$J$1208,0)),0)-$AF811))</f>
        <v/>
      </c>
      <c r="AH811" s="10">
        <f>IF($A811="","",$AF811+$AG811)</f>
        <v/>
      </c>
      <c r="AI811" s="6" t="n"/>
      <c r="AJ811" s="6" t="n"/>
      <c r="AK811" s="6" t="n"/>
      <c r="AL811" s="3">
        <f>IF($AK811="","",HYPERLINK(p_ruta_base_checklists&amp;$AK811,"abrir"))</f>
        <v/>
      </c>
      <c r="AM811" s="6" t="n"/>
      <c r="AN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1" t="n"/>
      <c r="K812" s="3" t="n"/>
      <c r="L812" s="10" t="n"/>
      <c r="M812" s="3">
        <f>IF($A812="","",IFERROR(INDEX('AJUSTES'!$B$4:$B$303,MATCH($AN812,'AJUSTES'!$A$4:$A$303,0)),IF($K812="","",$K812)))</f>
        <v/>
      </c>
      <c r="N812" s="3">
        <f>IF($A812="","",IFERROR(INDEX('CAT_ESTADOS_ERP'!$B$4:$B$7,MATCH(IFERROR(INDEX('2_IMPORTAR_EJECUCION'!$C$9:$C$1208,MATCH($AN812,'2_IMPORTAR_EJECUCION'!$J$9:$J$1208,0)),""),'CAT_ESTADOS_ERP'!$A$4:$A$7,0)),"Pendiente"))</f>
        <v/>
      </c>
      <c r="O812" s="3">
        <f>IF($J812="","",YEAR($J812+4-WEEKDAY($J812,2))&amp;"-S"&amp;TEXT(_xlfn.ISOWEEKNUM($J812),"00"))</f>
        <v/>
      </c>
      <c r="P812" s="3">
        <f>IF($J812="","",YEAR($J812))</f>
        <v/>
      </c>
      <c r="Q812" s="3">
        <f>IF($J812="","",MONTH($J812))</f>
        <v/>
      </c>
      <c r="R812" s="3">
        <f>IF($J812="","",INDEX(lista_dias,WEEKDAY($J812,2)))</f>
        <v/>
      </c>
      <c r="S812" s="3">
        <f>IF($I812="","",IFERROR(INDEX('CAT_TIPOS_OT'!$C$4:$C$7,MATCH($I812,'CAT_TIPOS_OT'!$A$4:$A$7,0)),"sin_clasificar"))</f>
        <v/>
      </c>
      <c r="T812" s="3">
        <f>IF($F812="","",IFERROR(INDEX('CAT_CENTROS_COSTO'!$E$4:$E$9,MATCH($F812,'CAT_CENTROS_COSTO'!$A$4:$A$9,0)),"(sin catálogo)"))</f>
        <v/>
      </c>
      <c r="U812" s="3">
        <f>IF($F812="","",IFERROR(INDEX('CAT_CENTROS_COSTO'!$D$4:$D$9,MATCH($F812,'CAT_CENTROS_COSTO'!$A$4:$A$9,0)),"(sin catálogo)"))</f>
        <v/>
      </c>
      <c r="V812" s="3">
        <f>IF($F812="","",IFERROR(INDEX('CAT_CENTROS_COSTO'!$F$4:$F$9,MATCH($F812,'CAT_CENTROS_COSTO'!$A$4:$A$9,0)),"(sin catálogo)"))</f>
        <v/>
      </c>
      <c r="W812" s="3">
        <f>IF($G812="","",IFERROR(INDEX('CAT_PUESTOS'!$B$4:$B$8,MATCH($G812,'CAT_PUESTOS'!$A$4:$A$8,0)),"(sin catálogo)"))</f>
        <v/>
      </c>
      <c r="X812" s="3">
        <f>IF($H812="","",IFERROR(INDEX('CAT_ACTIVIDADES'!$B$4:$B$8,MATCH($H812,'CAT_ACTIVIDADES'!$A$4:$A$8,0)),"(sin catálogo)"))</f>
        <v/>
      </c>
      <c r="Y812" s="12">
        <f>IF($J812="","",TODAY()-$J812)</f>
        <v/>
      </c>
      <c r="Z812" s="3">
        <f>IF($Y812="","",IF($Y812&lt;0,"FUTURO",IF($Y812&gt;p_dias_backlog_max,"BACKLOG","MES CORRIENTE")))</f>
        <v/>
      </c>
      <c r="AA812" s="3">
        <f>IF($Y812="",FALSE,AND($Y812&gt;p_dias_backlog_min,$Y812&lt;=p_dias_backlog_max))</f>
        <v/>
      </c>
      <c r="AB812" s="6" t="n"/>
      <c r="AC812" s="3">
        <f>IF($AB812="","",IFERROR(INDEX('ASIGNACIONES'!$F$4:$F$339,MATCH($O812&amp;"|"&amp;$R812&amp;"|"&amp;$AB812,'ASIGNACIONES'!$I$4:$I$339,0)),""))</f>
        <v/>
      </c>
      <c r="AD812" s="13">
        <f>IF($AB812="","",SUMIFS('ORDENES'!$M$4:$M$1203,'ORDENES'!$AB$4:$AB$1203,$AB812,'ORDENES'!$O$4:$O$1203,$O812,'ORDENES'!$R$4:$R$1203,$R812))</f>
        <v/>
      </c>
      <c r="AE812" s="13">
        <f>IF($AD812="","",p_factor_productividad*IFERROR(INDEX('ASIGNACIONES'!$H$4:$H$339,MATCH($O812&amp;"|"&amp;$R812&amp;"|"&amp;$AB812,'ASIGNACIONES'!$I$4:$I$339,0)),0)-$AD812)</f>
        <v/>
      </c>
      <c r="AF812" s="10">
        <f>IF($A812="","",IFERROR(INDEX('2_IMPORTAR_EJECUCION'!$F$9:$F$1208,MATCH($AN812,'2_IMPORTAR_EJECUCION'!$J$9:$J$1208,0)),0))</f>
        <v/>
      </c>
      <c r="AG812" s="10">
        <f>IF($A812="","",MAX(0,IFERROR(INDEX('2_IMPORTAR_EJECUCION'!$H$9:$H$1208,MATCH($AN812,'2_IMPORTAR_EJECUCION'!$J$9:$J$1208,0)),0)-$AF812))</f>
        <v/>
      </c>
      <c r="AH812" s="10">
        <f>IF($A812="","",$AF812+$AG812)</f>
        <v/>
      </c>
      <c r="AI812" s="6" t="n"/>
      <c r="AJ812" s="6" t="n"/>
      <c r="AK812" s="6" t="n"/>
      <c r="AL812" s="3">
        <f>IF($AK812="","",HYPERLINK(p_ruta_base_checklists&amp;$AK812,"abrir"))</f>
        <v/>
      </c>
      <c r="AM812" s="6" t="n"/>
      <c r="AN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1" t="n"/>
      <c r="K813" s="3" t="n"/>
      <c r="L813" s="10" t="n"/>
      <c r="M813" s="3">
        <f>IF($A813="","",IFERROR(INDEX('AJUSTES'!$B$4:$B$303,MATCH($AN813,'AJUSTES'!$A$4:$A$303,0)),IF($K813="","",$K813)))</f>
        <v/>
      </c>
      <c r="N813" s="3">
        <f>IF($A813="","",IFERROR(INDEX('CAT_ESTADOS_ERP'!$B$4:$B$7,MATCH(IFERROR(INDEX('2_IMPORTAR_EJECUCION'!$C$9:$C$1208,MATCH($AN813,'2_IMPORTAR_EJECUCION'!$J$9:$J$1208,0)),""),'CAT_ESTADOS_ERP'!$A$4:$A$7,0)),"Pendiente"))</f>
        <v/>
      </c>
      <c r="O813" s="3">
        <f>IF($J813="","",YEAR($J813+4-WEEKDAY($J813,2))&amp;"-S"&amp;TEXT(_xlfn.ISOWEEKNUM($J813),"00"))</f>
        <v/>
      </c>
      <c r="P813" s="3">
        <f>IF($J813="","",YEAR($J813))</f>
        <v/>
      </c>
      <c r="Q813" s="3">
        <f>IF($J813="","",MONTH($J813))</f>
        <v/>
      </c>
      <c r="R813" s="3">
        <f>IF($J813="","",INDEX(lista_dias,WEEKDAY($J813,2)))</f>
        <v/>
      </c>
      <c r="S813" s="3">
        <f>IF($I813="","",IFERROR(INDEX('CAT_TIPOS_OT'!$C$4:$C$7,MATCH($I813,'CAT_TIPOS_OT'!$A$4:$A$7,0)),"sin_clasificar"))</f>
        <v/>
      </c>
      <c r="T813" s="3">
        <f>IF($F813="","",IFERROR(INDEX('CAT_CENTROS_COSTO'!$E$4:$E$9,MATCH($F813,'CAT_CENTROS_COSTO'!$A$4:$A$9,0)),"(sin catálogo)"))</f>
        <v/>
      </c>
      <c r="U813" s="3">
        <f>IF($F813="","",IFERROR(INDEX('CAT_CENTROS_COSTO'!$D$4:$D$9,MATCH($F813,'CAT_CENTROS_COSTO'!$A$4:$A$9,0)),"(sin catálogo)"))</f>
        <v/>
      </c>
      <c r="V813" s="3">
        <f>IF($F813="","",IFERROR(INDEX('CAT_CENTROS_COSTO'!$F$4:$F$9,MATCH($F813,'CAT_CENTROS_COSTO'!$A$4:$A$9,0)),"(sin catálogo)"))</f>
        <v/>
      </c>
      <c r="W813" s="3">
        <f>IF($G813="","",IFERROR(INDEX('CAT_PUESTOS'!$B$4:$B$8,MATCH($G813,'CAT_PUESTOS'!$A$4:$A$8,0)),"(sin catálogo)"))</f>
        <v/>
      </c>
      <c r="X813" s="3">
        <f>IF($H813="","",IFERROR(INDEX('CAT_ACTIVIDADES'!$B$4:$B$8,MATCH($H813,'CAT_ACTIVIDADES'!$A$4:$A$8,0)),"(sin catálogo)"))</f>
        <v/>
      </c>
      <c r="Y813" s="12">
        <f>IF($J813="","",TODAY()-$J813)</f>
        <v/>
      </c>
      <c r="Z813" s="3">
        <f>IF($Y813="","",IF($Y813&lt;0,"FUTURO",IF($Y813&gt;p_dias_backlog_max,"BACKLOG","MES CORRIENTE")))</f>
        <v/>
      </c>
      <c r="AA813" s="3">
        <f>IF($Y813="",FALSE,AND($Y813&gt;p_dias_backlog_min,$Y813&lt;=p_dias_backlog_max))</f>
        <v/>
      </c>
      <c r="AB813" s="6" t="n"/>
      <c r="AC813" s="3">
        <f>IF($AB813="","",IFERROR(INDEX('ASIGNACIONES'!$F$4:$F$339,MATCH($O813&amp;"|"&amp;$R813&amp;"|"&amp;$AB813,'ASIGNACIONES'!$I$4:$I$339,0)),""))</f>
        <v/>
      </c>
      <c r="AD813" s="13">
        <f>IF($AB813="","",SUMIFS('ORDENES'!$M$4:$M$1203,'ORDENES'!$AB$4:$AB$1203,$AB813,'ORDENES'!$O$4:$O$1203,$O813,'ORDENES'!$R$4:$R$1203,$R813))</f>
        <v/>
      </c>
      <c r="AE813" s="13">
        <f>IF($AD813="","",p_factor_productividad*IFERROR(INDEX('ASIGNACIONES'!$H$4:$H$339,MATCH($O813&amp;"|"&amp;$R813&amp;"|"&amp;$AB813,'ASIGNACIONES'!$I$4:$I$339,0)),0)-$AD813)</f>
        <v/>
      </c>
      <c r="AF813" s="10">
        <f>IF($A813="","",IFERROR(INDEX('2_IMPORTAR_EJECUCION'!$F$9:$F$1208,MATCH($AN813,'2_IMPORTAR_EJECUCION'!$J$9:$J$1208,0)),0))</f>
        <v/>
      </c>
      <c r="AG813" s="10">
        <f>IF($A813="","",MAX(0,IFERROR(INDEX('2_IMPORTAR_EJECUCION'!$H$9:$H$1208,MATCH($AN813,'2_IMPORTAR_EJECUCION'!$J$9:$J$1208,0)),0)-$AF813))</f>
        <v/>
      </c>
      <c r="AH813" s="10">
        <f>IF($A813="","",$AF813+$AG813)</f>
        <v/>
      </c>
      <c r="AI813" s="6" t="n"/>
      <c r="AJ813" s="6" t="n"/>
      <c r="AK813" s="6" t="n"/>
      <c r="AL813" s="3">
        <f>IF($AK813="","",HYPERLINK(p_ruta_base_checklists&amp;$AK813,"abrir"))</f>
        <v/>
      </c>
      <c r="AM813" s="6" t="n"/>
      <c r="AN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1" t="n"/>
      <c r="K814" s="3" t="n"/>
      <c r="L814" s="10" t="n"/>
      <c r="M814" s="3">
        <f>IF($A814="","",IFERROR(INDEX('AJUSTES'!$B$4:$B$303,MATCH($AN814,'AJUSTES'!$A$4:$A$303,0)),IF($K814="","",$K814)))</f>
        <v/>
      </c>
      <c r="N814" s="3">
        <f>IF($A814="","",IFERROR(INDEX('CAT_ESTADOS_ERP'!$B$4:$B$7,MATCH(IFERROR(INDEX('2_IMPORTAR_EJECUCION'!$C$9:$C$1208,MATCH($AN814,'2_IMPORTAR_EJECUCION'!$J$9:$J$1208,0)),""),'CAT_ESTADOS_ERP'!$A$4:$A$7,0)),"Pendiente"))</f>
        <v/>
      </c>
      <c r="O814" s="3">
        <f>IF($J814="","",YEAR($J814+4-WEEKDAY($J814,2))&amp;"-S"&amp;TEXT(_xlfn.ISOWEEKNUM($J814),"00"))</f>
        <v/>
      </c>
      <c r="P814" s="3">
        <f>IF($J814="","",YEAR($J814))</f>
        <v/>
      </c>
      <c r="Q814" s="3">
        <f>IF($J814="","",MONTH($J814))</f>
        <v/>
      </c>
      <c r="R814" s="3">
        <f>IF($J814="","",INDEX(lista_dias,WEEKDAY($J814,2)))</f>
        <v/>
      </c>
      <c r="S814" s="3">
        <f>IF($I814="","",IFERROR(INDEX('CAT_TIPOS_OT'!$C$4:$C$7,MATCH($I814,'CAT_TIPOS_OT'!$A$4:$A$7,0)),"sin_clasificar"))</f>
        <v/>
      </c>
      <c r="T814" s="3">
        <f>IF($F814="","",IFERROR(INDEX('CAT_CENTROS_COSTO'!$E$4:$E$9,MATCH($F814,'CAT_CENTROS_COSTO'!$A$4:$A$9,0)),"(sin catálogo)"))</f>
        <v/>
      </c>
      <c r="U814" s="3">
        <f>IF($F814="","",IFERROR(INDEX('CAT_CENTROS_COSTO'!$D$4:$D$9,MATCH($F814,'CAT_CENTROS_COSTO'!$A$4:$A$9,0)),"(sin catálogo)"))</f>
        <v/>
      </c>
      <c r="V814" s="3">
        <f>IF($F814="","",IFERROR(INDEX('CAT_CENTROS_COSTO'!$F$4:$F$9,MATCH($F814,'CAT_CENTROS_COSTO'!$A$4:$A$9,0)),"(sin catálogo)"))</f>
        <v/>
      </c>
      <c r="W814" s="3">
        <f>IF($G814="","",IFERROR(INDEX('CAT_PUESTOS'!$B$4:$B$8,MATCH($G814,'CAT_PUESTOS'!$A$4:$A$8,0)),"(sin catálogo)"))</f>
        <v/>
      </c>
      <c r="X814" s="3">
        <f>IF($H814="","",IFERROR(INDEX('CAT_ACTIVIDADES'!$B$4:$B$8,MATCH($H814,'CAT_ACTIVIDADES'!$A$4:$A$8,0)),"(sin catálogo)"))</f>
        <v/>
      </c>
      <c r="Y814" s="12">
        <f>IF($J814="","",TODAY()-$J814)</f>
        <v/>
      </c>
      <c r="Z814" s="3">
        <f>IF($Y814="","",IF($Y814&lt;0,"FUTURO",IF($Y814&gt;p_dias_backlog_max,"BACKLOG","MES CORRIENTE")))</f>
        <v/>
      </c>
      <c r="AA814" s="3">
        <f>IF($Y814="",FALSE,AND($Y814&gt;p_dias_backlog_min,$Y814&lt;=p_dias_backlog_max))</f>
        <v/>
      </c>
      <c r="AB814" s="6" t="n"/>
      <c r="AC814" s="3">
        <f>IF($AB814="","",IFERROR(INDEX('ASIGNACIONES'!$F$4:$F$339,MATCH($O814&amp;"|"&amp;$R814&amp;"|"&amp;$AB814,'ASIGNACIONES'!$I$4:$I$339,0)),""))</f>
        <v/>
      </c>
      <c r="AD814" s="13">
        <f>IF($AB814="","",SUMIFS('ORDENES'!$M$4:$M$1203,'ORDENES'!$AB$4:$AB$1203,$AB814,'ORDENES'!$O$4:$O$1203,$O814,'ORDENES'!$R$4:$R$1203,$R814))</f>
        <v/>
      </c>
      <c r="AE814" s="13">
        <f>IF($AD814="","",p_factor_productividad*IFERROR(INDEX('ASIGNACIONES'!$H$4:$H$339,MATCH($O814&amp;"|"&amp;$R814&amp;"|"&amp;$AB814,'ASIGNACIONES'!$I$4:$I$339,0)),0)-$AD814)</f>
        <v/>
      </c>
      <c r="AF814" s="10">
        <f>IF($A814="","",IFERROR(INDEX('2_IMPORTAR_EJECUCION'!$F$9:$F$1208,MATCH($AN814,'2_IMPORTAR_EJECUCION'!$J$9:$J$1208,0)),0))</f>
        <v/>
      </c>
      <c r="AG814" s="10">
        <f>IF($A814="","",MAX(0,IFERROR(INDEX('2_IMPORTAR_EJECUCION'!$H$9:$H$1208,MATCH($AN814,'2_IMPORTAR_EJECUCION'!$J$9:$J$1208,0)),0)-$AF814))</f>
        <v/>
      </c>
      <c r="AH814" s="10">
        <f>IF($A814="","",$AF814+$AG814)</f>
        <v/>
      </c>
      <c r="AI814" s="6" t="n"/>
      <c r="AJ814" s="6" t="n"/>
      <c r="AK814" s="6" t="n"/>
      <c r="AL814" s="3">
        <f>IF($AK814="","",HYPERLINK(p_ruta_base_checklists&amp;$AK814,"abrir"))</f>
        <v/>
      </c>
      <c r="AM814" s="6" t="n"/>
      <c r="AN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1" t="n"/>
      <c r="K815" s="3" t="n"/>
      <c r="L815" s="10" t="n"/>
      <c r="M815" s="3">
        <f>IF($A815="","",IFERROR(INDEX('AJUSTES'!$B$4:$B$303,MATCH($AN815,'AJUSTES'!$A$4:$A$303,0)),IF($K815="","",$K815)))</f>
        <v/>
      </c>
      <c r="N815" s="3">
        <f>IF($A815="","",IFERROR(INDEX('CAT_ESTADOS_ERP'!$B$4:$B$7,MATCH(IFERROR(INDEX('2_IMPORTAR_EJECUCION'!$C$9:$C$1208,MATCH($AN815,'2_IMPORTAR_EJECUCION'!$J$9:$J$1208,0)),""),'CAT_ESTADOS_ERP'!$A$4:$A$7,0)),"Pendiente"))</f>
        <v/>
      </c>
      <c r="O815" s="3">
        <f>IF($J815="","",YEAR($J815+4-WEEKDAY($J815,2))&amp;"-S"&amp;TEXT(_xlfn.ISOWEEKNUM($J815),"00"))</f>
        <v/>
      </c>
      <c r="P815" s="3">
        <f>IF($J815="","",YEAR($J815))</f>
        <v/>
      </c>
      <c r="Q815" s="3">
        <f>IF($J815="","",MONTH($J815))</f>
        <v/>
      </c>
      <c r="R815" s="3">
        <f>IF($J815="","",INDEX(lista_dias,WEEKDAY($J815,2)))</f>
        <v/>
      </c>
      <c r="S815" s="3">
        <f>IF($I815="","",IFERROR(INDEX('CAT_TIPOS_OT'!$C$4:$C$7,MATCH($I815,'CAT_TIPOS_OT'!$A$4:$A$7,0)),"sin_clasificar"))</f>
        <v/>
      </c>
      <c r="T815" s="3">
        <f>IF($F815="","",IFERROR(INDEX('CAT_CENTROS_COSTO'!$E$4:$E$9,MATCH($F815,'CAT_CENTROS_COSTO'!$A$4:$A$9,0)),"(sin catálogo)"))</f>
        <v/>
      </c>
      <c r="U815" s="3">
        <f>IF($F815="","",IFERROR(INDEX('CAT_CENTROS_COSTO'!$D$4:$D$9,MATCH($F815,'CAT_CENTROS_COSTO'!$A$4:$A$9,0)),"(sin catálogo)"))</f>
        <v/>
      </c>
      <c r="V815" s="3">
        <f>IF($F815="","",IFERROR(INDEX('CAT_CENTROS_COSTO'!$F$4:$F$9,MATCH($F815,'CAT_CENTROS_COSTO'!$A$4:$A$9,0)),"(sin catálogo)"))</f>
        <v/>
      </c>
      <c r="W815" s="3">
        <f>IF($G815="","",IFERROR(INDEX('CAT_PUESTOS'!$B$4:$B$8,MATCH($G815,'CAT_PUESTOS'!$A$4:$A$8,0)),"(sin catálogo)"))</f>
        <v/>
      </c>
      <c r="X815" s="3">
        <f>IF($H815="","",IFERROR(INDEX('CAT_ACTIVIDADES'!$B$4:$B$8,MATCH($H815,'CAT_ACTIVIDADES'!$A$4:$A$8,0)),"(sin catálogo)"))</f>
        <v/>
      </c>
      <c r="Y815" s="12">
        <f>IF($J815="","",TODAY()-$J815)</f>
        <v/>
      </c>
      <c r="Z815" s="3">
        <f>IF($Y815="","",IF($Y815&lt;0,"FUTURO",IF($Y815&gt;p_dias_backlog_max,"BACKLOG","MES CORRIENTE")))</f>
        <v/>
      </c>
      <c r="AA815" s="3">
        <f>IF($Y815="",FALSE,AND($Y815&gt;p_dias_backlog_min,$Y815&lt;=p_dias_backlog_max))</f>
        <v/>
      </c>
      <c r="AB815" s="6" t="n"/>
      <c r="AC815" s="3">
        <f>IF($AB815="","",IFERROR(INDEX('ASIGNACIONES'!$F$4:$F$339,MATCH($O815&amp;"|"&amp;$R815&amp;"|"&amp;$AB815,'ASIGNACIONES'!$I$4:$I$339,0)),""))</f>
        <v/>
      </c>
      <c r="AD815" s="13">
        <f>IF($AB815="","",SUMIFS('ORDENES'!$M$4:$M$1203,'ORDENES'!$AB$4:$AB$1203,$AB815,'ORDENES'!$O$4:$O$1203,$O815,'ORDENES'!$R$4:$R$1203,$R815))</f>
        <v/>
      </c>
      <c r="AE815" s="13">
        <f>IF($AD815="","",p_factor_productividad*IFERROR(INDEX('ASIGNACIONES'!$H$4:$H$339,MATCH($O815&amp;"|"&amp;$R815&amp;"|"&amp;$AB815,'ASIGNACIONES'!$I$4:$I$339,0)),0)-$AD815)</f>
        <v/>
      </c>
      <c r="AF815" s="10">
        <f>IF($A815="","",IFERROR(INDEX('2_IMPORTAR_EJECUCION'!$F$9:$F$1208,MATCH($AN815,'2_IMPORTAR_EJECUCION'!$J$9:$J$1208,0)),0))</f>
        <v/>
      </c>
      <c r="AG815" s="10">
        <f>IF($A815="","",MAX(0,IFERROR(INDEX('2_IMPORTAR_EJECUCION'!$H$9:$H$1208,MATCH($AN815,'2_IMPORTAR_EJECUCION'!$J$9:$J$1208,0)),0)-$AF815))</f>
        <v/>
      </c>
      <c r="AH815" s="10">
        <f>IF($A815="","",$AF815+$AG815)</f>
        <v/>
      </c>
      <c r="AI815" s="6" t="n"/>
      <c r="AJ815" s="6" t="n"/>
      <c r="AK815" s="6" t="n"/>
      <c r="AL815" s="3">
        <f>IF($AK815="","",HYPERLINK(p_ruta_base_checklists&amp;$AK815,"abrir"))</f>
        <v/>
      </c>
      <c r="AM815" s="6" t="n"/>
      <c r="AN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1" t="n"/>
      <c r="K816" s="3" t="n"/>
      <c r="L816" s="10" t="n"/>
      <c r="M816" s="3">
        <f>IF($A816="","",IFERROR(INDEX('AJUSTES'!$B$4:$B$303,MATCH($AN816,'AJUSTES'!$A$4:$A$303,0)),IF($K816="","",$K816)))</f>
        <v/>
      </c>
      <c r="N816" s="3">
        <f>IF($A816="","",IFERROR(INDEX('CAT_ESTADOS_ERP'!$B$4:$B$7,MATCH(IFERROR(INDEX('2_IMPORTAR_EJECUCION'!$C$9:$C$1208,MATCH($AN816,'2_IMPORTAR_EJECUCION'!$J$9:$J$1208,0)),""),'CAT_ESTADOS_ERP'!$A$4:$A$7,0)),"Pendiente"))</f>
        <v/>
      </c>
      <c r="O816" s="3">
        <f>IF($J816="","",YEAR($J816+4-WEEKDAY($J816,2))&amp;"-S"&amp;TEXT(_xlfn.ISOWEEKNUM($J816),"00"))</f>
        <v/>
      </c>
      <c r="P816" s="3">
        <f>IF($J816="","",YEAR($J816))</f>
        <v/>
      </c>
      <c r="Q816" s="3">
        <f>IF($J816="","",MONTH($J816))</f>
        <v/>
      </c>
      <c r="R816" s="3">
        <f>IF($J816="","",INDEX(lista_dias,WEEKDAY($J816,2)))</f>
        <v/>
      </c>
      <c r="S816" s="3">
        <f>IF($I816="","",IFERROR(INDEX('CAT_TIPOS_OT'!$C$4:$C$7,MATCH($I816,'CAT_TIPOS_OT'!$A$4:$A$7,0)),"sin_clasificar"))</f>
        <v/>
      </c>
      <c r="T816" s="3">
        <f>IF($F816="","",IFERROR(INDEX('CAT_CENTROS_COSTO'!$E$4:$E$9,MATCH($F816,'CAT_CENTROS_COSTO'!$A$4:$A$9,0)),"(sin catálogo)"))</f>
        <v/>
      </c>
      <c r="U816" s="3">
        <f>IF($F816="","",IFERROR(INDEX('CAT_CENTROS_COSTO'!$D$4:$D$9,MATCH($F816,'CAT_CENTROS_COSTO'!$A$4:$A$9,0)),"(sin catálogo)"))</f>
        <v/>
      </c>
      <c r="V816" s="3">
        <f>IF($F816="","",IFERROR(INDEX('CAT_CENTROS_COSTO'!$F$4:$F$9,MATCH($F816,'CAT_CENTROS_COSTO'!$A$4:$A$9,0)),"(sin catálogo)"))</f>
        <v/>
      </c>
      <c r="W816" s="3">
        <f>IF($G816="","",IFERROR(INDEX('CAT_PUESTOS'!$B$4:$B$8,MATCH($G816,'CAT_PUESTOS'!$A$4:$A$8,0)),"(sin catálogo)"))</f>
        <v/>
      </c>
      <c r="X816" s="3">
        <f>IF($H816="","",IFERROR(INDEX('CAT_ACTIVIDADES'!$B$4:$B$8,MATCH($H816,'CAT_ACTIVIDADES'!$A$4:$A$8,0)),"(sin catálogo)"))</f>
        <v/>
      </c>
      <c r="Y816" s="12">
        <f>IF($J816="","",TODAY()-$J816)</f>
        <v/>
      </c>
      <c r="Z816" s="3">
        <f>IF($Y816="","",IF($Y816&lt;0,"FUTURO",IF($Y816&gt;p_dias_backlog_max,"BACKLOG","MES CORRIENTE")))</f>
        <v/>
      </c>
      <c r="AA816" s="3">
        <f>IF($Y816="",FALSE,AND($Y816&gt;p_dias_backlog_min,$Y816&lt;=p_dias_backlog_max))</f>
        <v/>
      </c>
      <c r="AB816" s="6" t="n"/>
      <c r="AC816" s="3">
        <f>IF($AB816="","",IFERROR(INDEX('ASIGNACIONES'!$F$4:$F$339,MATCH($O816&amp;"|"&amp;$R816&amp;"|"&amp;$AB816,'ASIGNACIONES'!$I$4:$I$339,0)),""))</f>
        <v/>
      </c>
      <c r="AD816" s="13">
        <f>IF($AB816="","",SUMIFS('ORDENES'!$M$4:$M$1203,'ORDENES'!$AB$4:$AB$1203,$AB816,'ORDENES'!$O$4:$O$1203,$O816,'ORDENES'!$R$4:$R$1203,$R816))</f>
        <v/>
      </c>
      <c r="AE816" s="13">
        <f>IF($AD816="","",p_factor_productividad*IFERROR(INDEX('ASIGNACIONES'!$H$4:$H$339,MATCH($O816&amp;"|"&amp;$R816&amp;"|"&amp;$AB816,'ASIGNACIONES'!$I$4:$I$339,0)),0)-$AD816)</f>
        <v/>
      </c>
      <c r="AF816" s="10">
        <f>IF($A816="","",IFERROR(INDEX('2_IMPORTAR_EJECUCION'!$F$9:$F$1208,MATCH($AN816,'2_IMPORTAR_EJECUCION'!$J$9:$J$1208,0)),0))</f>
        <v/>
      </c>
      <c r="AG816" s="10">
        <f>IF($A816="","",MAX(0,IFERROR(INDEX('2_IMPORTAR_EJECUCION'!$H$9:$H$1208,MATCH($AN816,'2_IMPORTAR_EJECUCION'!$J$9:$J$1208,0)),0)-$AF816))</f>
        <v/>
      </c>
      <c r="AH816" s="10">
        <f>IF($A816="","",$AF816+$AG816)</f>
        <v/>
      </c>
      <c r="AI816" s="6" t="n"/>
      <c r="AJ816" s="6" t="n"/>
      <c r="AK816" s="6" t="n"/>
      <c r="AL816" s="3">
        <f>IF($AK816="","",HYPERLINK(p_ruta_base_checklists&amp;$AK816,"abrir"))</f>
        <v/>
      </c>
      <c r="AM816" s="6" t="n"/>
      <c r="AN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1" t="n"/>
      <c r="K817" s="3" t="n"/>
      <c r="L817" s="10" t="n"/>
      <c r="M817" s="3">
        <f>IF($A817="","",IFERROR(INDEX('AJUSTES'!$B$4:$B$303,MATCH($AN817,'AJUSTES'!$A$4:$A$303,0)),IF($K817="","",$K817)))</f>
        <v/>
      </c>
      <c r="N817" s="3">
        <f>IF($A817="","",IFERROR(INDEX('CAT_ESTADOS_ERP'!$B$4:$B$7,MATCH(IFERROR(INDEX('2_IMPORTAR_EJECUCION'!$C$9:$C$1208,MATCH($AN817,'2_IMPORTAR_EJECUCION'!$J$9:$J$1208,0)),""),'CAT_ESTADOS_ERP'!$A$4:$A$7,0)),"Pendiente"))</f>
        <v/>
      </c>
      <c r="O817" s="3">
        <f>IF($J817="","",YEAR($J817+4-WEEKDAY($J817,2))&amp;"-S"&amp;TEXT(_xlfn.ISOWEEKNUM($J817),"00"))</f>
        <v/>
      </c>
      <c r="P817" s="3">
        <f>IF($J817="","",YEAR($J817))</f>
        <v/>
      </c>
      <c r="Q817" s="3">
        <f>IF($J817="","",MONTH($J817))</f>
        <v/>
      </c>
      <c r="R817" s="3">
        <f>IF($J817="","",INDEX(lista_dias,WEEKDAY($J817,2)))</f>
        <v/>
      </c>
      <c r="S817" s="3">
        <f>IF($I817="","",IFERROR(INDEX('CAT_TIPOS_OT'!$C$4:$C$7,MATCH($I817,'CAT_TIPOS_OT'!$A$4:$A$7,0)),"sin_clasificar"))</f>
        <v/>
      </c>
      <c r="T817" s="3">
        <f>IF($F817="","",IFERROR(INDEX('CAT_CENTROS_COSTO'!$E$4:$E$9,MATCH($F817,'CAT_CENTROS_COSTO'!$A$4:$A$9,0)),"(sin catálogo)"))</f>
        <v/>
      </c>
      <c r="U817" s="3">
        <f>IF($F817="","",IFERROR(INDEX('CAT_CENTROS_COSTO'!$D$4:$D$9,MATCH($F817,'CAT_CENTROS_COSTO'!$A$4:$A$9,0)),"(sin catálogo)"))</f>
        <v/>
      </c>
      <c r="V817" s="3">
        <f>IF($F817="","",IFERROR(INDEX('CAT_CENTROS_COSTO'!$F$4:$F$9,MATCH($F817,'CAT_CENTROS_COSTO'!$A$4:$A$9,0)),"(sin catálogo)"))</f>
        <v/>
      </c>
      <c r="W817" s="3">
        <f>IF($G817="","",IFERROR(INDEX('CAT_PUESTOS'!$B$4:$B$8,MATCH($G817,'CAT_PUESTOS'!$A$4:$A$8,0)),"(sin catálogo)"))</f>
        <v/>
      </c>
      <c r="X817" s="3">
        <f>IF($H817="","",IFERROR(INDEX('CAT_ACTIVIDADES'!$B$4:$B$8,MATCH($H817,'CAT_ACTIVIDADES'!$A$4:$A$8,0)),"(sin catálogo)"))</f>
        <v/>
      </c>
      <c r="Y817" s="12">
        <f>IF($J817="","",TODAY()-$J817)</f>
        <v/>
      </c>
      <c r="Z817" s="3">
        <f>IF($Y817="","",IF($Y817&lt;0,"FUTURO",IF($Y817&gt;p_dias_backlog_max,"BACKLOG","MES CORRIENTE")))</f>
        <v/>
      </c>
      <c r="AA817" s="3">
        <f>IF($Y817="",FALSE,AND($Y817&gt;p_dias_backlog_min,$Y817&lt;=p_dias_backlog_max))</f>
        <v/>
      </c>
      <c r="AB817" s="6" t="n"/>
      <c r="AC817" s="3">
        <f>IF($AB817="","",IFERROR(INDEX('ASIGNACIONES'!$F$4:$F$339,MATCH($O817&amp;"|"&amp;$R817&amp;"|"&amp;$AB817,'ASIGNACIONES'!$I$4:$I$339,0)),""))</f>
        <v/>
      </c>
      <c r="AD817" s="13">
        <f>IF($AB817="","",SUMIFS('ORDENES'!$M$4:$M$1203,'ORDENES'!$AB$4:$AB$1203,$AB817,'ORDENES'!$O$4:$O$1203,$O817,'ORDENES'!$R$4:$R$1203,$R817))</f>
        <v/>
      </c>
      <c r="AE817" s="13">
        <f>IF($AD817="","",p_factor_productividad*IFERROR(INDEX('ASIGNACIONES'!$H$4:$H$339,MATCH($O817&amp;"|"&amp;$R817&amp;"|"&amp;$AB817,'ASIGNACIONES'!$I$4:$I$339,0)),0)-$AD817)</f>
        <v/>
      </c>
      <c r="AF817" s="10">
        <f>IF($A817="","",IFERROR(INDEX('2_IMPORTAR_EJECUCION'!$F$9:$F$1208,MATCH($AN817,'2_IMPORTAR_EJECUCION'!$J$9:$J$1208,0)),0))</f>
        <v/>
      </c>
      <c r="AG817" s="10">
        <f>IF($A817="","",MAX(0,IFERROR(INDEX('2_IMPORTAR_EJECUCION'!$H$9:$H$1208,MATCH($AN817,'2_IMPORTAR_EJECUCION'!$J$9:$J$1208,0)),0)-$AF817))</f>
        <v/>
      </c>
      <c r="AH817" s="10">
        <f>IF($A817="","",$AF817+$AG817)</f>
        <v/>
      </c>
      <c r="AI817" s="6" t="n"/>
      <c r="AJ817" s="6" t="n"/>
      <c r="AK817" s="6" t="n"/>
      <c r="AL817" s="3">
        <f>IF($AK817="","",HYPERLINK(p_ruta_base_checklists&amp;$AK817,"abrir"))</f>
        <v/>
      </c>
      <c r="AM817" s="6" t="n"/>
      <c r="AN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1" t="n"/>
      <c r="K818" s="3" t="n"/>
      <c r="L818" s="10" t="n"/>
      <c r="M818" s="3">
        <f>IF($A818="","",IFERROR(INDEX('AJUSTES'!$B$4:$B$303,MATCH($AN818,'AJUSTES'!$A$4:$A$303,0)),IF($K818="","",$K818)))</f>
        <v/>
      </c>
      <c r="N818" s="3">
        <f>IF($A818="","",IFERROR(INDEX('CAT_ESTADOS_ERP'!$B$4:$B$7,MATCH(IFERROR(INDEX('2_IMPORTAR_EJECUCION'!$C$9:$C$1208,MATCH($AN818,'2_IMPORTAR_EJECUCION'!$J$9:$J$1208,0)),""),'CAT_ESTADOS_ERP'!$A$4:$A$7,0)),"Pendiente"))</f>
        <v/>
      </c>
      <c r="O818" s="3">
        <f>IF($J818="","",YEAR($J818+4-WEEKDAY($J818,2))&amp;"-S"&amp;TEXT(_xlfn.ISOWEEKNUM($J818),"00"))</f>
        <v/>
      </c>
      <c r="P818" s="3">
        <f>IF($J818="","",YEAR($J818))</f>
        <v/>
      </c>
      <c r="Q818" s="3">
        <f>IF($J818="","",MONTH($J818))</f>
        <v/>
      </c>
      <c r="R818" s="3">
        <f>IF($J818="","",INDEX(lista_dias,WEEKDAY($J818,2)))</f>
        <v/>
      </c>
      <c r="S818" s="3">
        <f>IF($I818="","",IFERROR(INDEX('CAT_TIPOS_OT'!$C$4:$C$7,MATCH($I818,'CAT_TIPOS_OT'!$A$4:$A$7,0)),"sin_clasificar"))</f>
        <v/>
      </c>
      <c r="T818" s="3">
        <f>IF($F818="","",IFERROR(INDEX('CAT_CENTROS_COSTO'!$E$4:$E$9,MATCH($F818,'CAT_CENTROS_COSTO'!$A$4:$A$9,0)),"(sin catálogo)"))</f>
        <v/>
      </c>
      <c r="U818" s="3">
        <f>IF($F818="","",IFERROR(INDEX('CAT_CENTROS_COSTO'!$D$4:$D$9,MATCH($F818,'CAT_CENTROS_COSTO'!$A$4:$A$9,0)),"(sin catálogo)"))</f>
        <v/>
      </c>
      <c r="V818" s="3">
        <f>IF($F818="","",IFERROR(INDEX('CAT_CENTROS_COSTO'!$F$4:$F$9,MATCH($F818,'CAT_CENTROS_COSTO'!$A$4:$A$9,0)),"(sin catálogo)"))</f>
        <v/>
      </c>
      <c r="W818" s="3">
        <f>IF($G818="","",IFERROR(INDEX('CAT_PUESTOS'!$B$4:$B$8,MATCH($G818,'CAT_PUESTOS'!$A$4:$A$8,0)),"(sin catálogo)"))</f>
        <v/>
      </c>
      <c r="X818" s="3">
        <f>IF($H818="","",IFERROR(INDEX('CAT_ACTIVIDADES'!$B$4:$B$8,MATCH($H818,'CAT_ACTIVIDADES'!$A$4:$A$8,0)),"(sin catálogo)"))</f>
        <v/>
      </c>
      <c r="Y818" s="12">
        <f>IF($J818="","",TODAY()-$J818)</f>
        <v/>
      </c>
      <c r="Z818" s="3">
        <f>IF($Y818="","",IF($Y818&lt;0,"FUTURO",IF($Y818&gt;p_dias_backlog_max,"BACKLOG","MES CORRIENTE")))</f>
        <v/>
      </c>
      <c r="AA818" s="3">
        <f>IF($Y818="",FALSE,AND($Y818&gt;p_dias_backlog_min,$Y818&lt;=p_dias_backlog_max))</f>
        <v/>
      </c>
      <c r="AB818" s="6" t="n"/>
      <c r="AC818" s="3">
        <f>IF($AB818="","",IFERROR(INDEX('ASIGNACIONES'!$F$4:$F$339,MATCH($O818&amp;"|"&amp;$R818&amp;"|"&amp;$AB818,'ASIGNACIONES'!$I$4:$I$339,0)),""))</f>
        <v/>
      </c>
      <c r="AD818" s="13">
        <f>IF($AB818="","",SUMIFS('ORDENES'!$M$4:$M$1203,'ORDENES'!$AB$4:$AB$1203,$AB818,'ORDENES'!$O$4:$O$1203,$O818,'ORDENES'!$R$4:$R$1203,$R818))</f>
        <v/>
      </c>
      <c r="AE818" s="13">
        <f>IF($AD818="","",p_factor_productividad*IFERROR(INDEX('ASIGNACIONES'!$H$4:$H$339,MATCH($O818&amp;"|"&amp;$R818&amp;"|"&amp;$AB818,'ASIGNACIONES'!$I$4:$I$339,0)),0)-$AD818)</f>
        <v/>
      </c>
      <c r="AF818" s="10">
        <f>IF($A818="","",IFERROR(INDEX('2_IMPORTAR_EJECUCION'!$F$9:$F$1208,MATCH($AN818,'2_IMPORTAR_EJECUCION'!$J$9:$J$1208,0)),0))</f>
        <v/>
      </c>
      <c r="AG818" s="10">
        <f>IF($A818="","",MAX(0,IFERROR(INDEX('2_IMPORTAR_EJECUCION'!$H$9:$H$1208,MATCH($AN818,'2_IMPORTAR_EJECUCION'!$J$9:$J$1208,0)),0)-$AF818))</f>
        <v/>
      </c>
      <c r="AH818" s="10">
        <f>IF($A818="","",$AF818+$AG818)</f>
        <v/>
      </c>
      <c r="AI818" s="6" t="n"/>
      <c r="AJ818" s="6" t="n"/>
      <c r="AK818" s="6" t="n"/>
      <c r="AL818" s="3">
        <f>IF($AK818="","",HYPERLINK(p_ruta_base_checklists&amp;$AK818,"abrir"))</f>
        <v/>
      </c>
      <c r="AM818" s="6" t="n"/>
      <c r="AN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1" t="n"/>
      <c r="K819" s="3" t="n"/>
      <c r="L819" s="10" t="n"/>
      <c r="M819" s="3">
        <f>IF($A819="","",IFERROR(INDEX('AJUSTES'!$B$4:$B$303,MATCH($AN819,'AJUSTES'!$A$4:$A$303,0)),IF($K819="","",$K819)))</f>
        <v/>
      </c>
      <c r="N819" s="3">
        <f>IF($A819="","",IFERROR(INDEX('CAT_ESTADOS_ERP'!$B$4:$B$7,MATCH(IFERROR(INDEX('2_IMPORTAR_EJECUCION'!$C$9:$C$1208,MATCH($AN819,'2_IMPORTAR_EJECUCION'!$J$9:$J$1208,0)),""),'CAT_ESTADOS_ERP'!$A$4:$A$7,0)),"Pendiente"))</f>
        <v/>
      </c>
      <c r="O819" s="3">
        <f>IF($J819="","",YEAR($J819+4-WEEKDAY($J819,2))&amp;"-S"&amp;TEXT(_xlfn.ISOWEEKNUM($J819),"00"))</f>
        <v/>
      </c>
      <c r="P819" s="3">
        <f>IF($J819="","",YEAR($J819))</f>
        <v/>
      </c>
      <c r="Q819" s="3">
        <f>IF($J819="","",MONTH($J819))</f>
        <v/>
      </c>
      <c r="R819" s="3">
        <f>IF($J819="","",INDEX(lista_dias,WEEKDAY($J819,2)))</f>
        <v/>
      </c>
      <c r="S819" s="3">
        <f>IF($I819="","",IFERROR(INDEX('CAT_TIPOS_OT'!$C$4:$C$7,MATCH($I819,'CAT_TIPOS_OT'!$A$4:$A$7,0)),"sin_clasificar"))</f>
        <v/>
      </c>
      <c r="T819" s="3">
        <f>IF($F819="","",IFERROR(INDEX('CAT_CENTROS_COSTO'!$E$4:$E$9,MATCH($F819,'CAT_CENTROS_COSTO'!$A$4:$A$9,0)),"(sin catálogo)"))</f>
        <v/>
      </c>
      <c r="U819" s="3">
        <f>IF($F819="","",IFERROR(INDEX('CAT_CENTROS_COSTO'!$D$4:$D$9,MATCH($F819,'CAT_CENTROS_COSTO'!$A$4:$A$9,0)),"(sin catálogo)"))</f>
        <v/>
      </c>
      <c r="V819" s="3">
        <f>IF($F819="","",IFERROR(INDEX('CAT_CENTROS_COSTO'!$F$4:$F$9,MATCH($F819,'CAT_CENTROS_COSTO'!$A$4:$A$9,0)),"(sin catálogo)"))</f>
        <v/>
      </c>
      <c r="W819" s="3">
        <f>IF($G819="","",IFERROR(INDEX('CAT_PUESTOS'!$B$4:$B$8,MATCH($G819,'CAT_PUESTOS'!$A$4:$A$8,0)),"(sin catálogo)"))</f>
        <v/>
      </c>
      <c r="X819" s="3">
        <f>IF($H819="","",IFERROR(INDEX('CAT_ACTIVIDADES'!$B$4:$B$8,MATCH($H819,'CAT_ACTIVIDADES'!$A$4:$A$8,0)),"(sin catálogo)"))</f>
        <v/>
      </c>
      <c r="Y819" s="12">
        <f>IF($J819="","",TODAY()-$J819)</f>
        <v/>
      </c>
      <c r="Z819" s="3">
        <f>IF($Y819="","",IF($Y819&lt;0,"FUTURO",IF($Y819&gt;p_dias_backlog_max,"BACKLOG","MES CORRIENTE")))</f>
        <v/>
      </c>
      <c r="AA819" s="3">
        <f>IF($Y819="",FALSE,AND($Y819&gt;p_dias_backlog_min,$Y819&lt;=p_dias_backlog_max))</f>
        <v/>
      </c>
      <c r="AB819" s="6" t="n"/>
      <c r="AC819" s="3">
        <f>IF($AB819="","",IFERROR(INDEX('ASIGNACIONES'!$F$4:$F$339,MATCH($O819&amp;"|"&amp;$R819&amp;"|"&amp;$AB819,'ASIGNACIONES'!$I$4:$I$339,0)),""))</f>
        <v/>
      </c>
      <c r="AD819" s="13">
        <f>IF($AB819="","",SUMIFS('ORDENES'!$M$4:$M$1203,'ORDENES'!$AB$4:$AB$1203,$AB819,'ORDENES'!$O$4:$O$1203,$O819,'ORDENES'!$R$4:$R$1203,$R819))</f>
        <v/>
      </c>
      <c r="AE819" s="13">
        <f>IF($AD819="","",p_factor_productividad*IFERROR(INDEX('ASIGNACIONES'!$H$4:$H$339,MATCH($O819&amp;"|"&amp;$R819&amp;"|"&amp;$AB819,'ASIGNACIONES'!$I$4:$I$339,0)),0)-$AD819)</f>
        <v/>
      </c>
      <c r="AF819" s="10">
        <f>IF($A819="","",IFERROR(INDEX('2_IMPORTAR_EJECUCION'!$F$9:$F$1208,MATCH($AN819,'2_IMPORTAR_EJECUCION'!$J$9:$J$1208,0)),0))</f>
        <v/>
      </c>
      <c r="AG819" s="10">
        <f>IF($A819="","",MAX(0,IFERROR(INDEX('2_IMPORTAR_EJECUCION'!$H$9:$H$1208,MATCH($AN819,'2_IMPORTAR_EJECUCION'!$J$9:$J$1208,0)),0)-$AF819))</f>
        <v/>
      </c>
      <c r="AH819" s="10">
        <f>IF($A819="","",$AF819+$AG819)</f>
        <v/>
      </c>
      <c r="AI819" s="6" t="n"/>
      <c r="AJ819" s="6" t="n"/>
      <c r="AK819" s="6" t="n"/>
      <c r="AL819" s="3">
        <f>IF($AK819="","",HYPERLINK(p_ruta_base_checklists&amp;$AK819,"abrir"))</f>
        <v/>
      </c>
      <c r="AM819" s="6" t="n"/>
      <c r="AN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1" t="n"/>
      <c r="K820" s="3" t="n"/>
      <c r="L820" s="10" t="n"/>
      <c r="M820" s="3">
        <f>IF($A820="","",IFERROR(INDEX('AJUSTES'!$B$4:$B$303,MATCH($AN820,'AJUSTES'!$A$4:$A$303,0)),IF($K820="","",$K820)))</f>
        <v/>
      </c>
      <c r="N820" s="3">
        <f>IF($A820="","",IFERROR(INDEX('CAT_ESTADOS_ERP'!$B$4:$B$7,MATCH(IFERROR(INDEX('2_IMPORTAR_EJECUCION'!$C$9:$C$1208,MATCH($AN820,'2_IMPORTAR_EJECUCION'!$J$9:$J$1208,0)),""),'CAT_ESTADOS_ERP'!$A$4:$A$7,0)),"Pendiente"))</f>
        <v/>
      </c>
      <c r="O820" s="3">
        <f>IF($J820="","",YEAR($J820+4-WEEKDAY($J820,2))&amp;"-S"&amp;TEXT(_xlfn.ISOWEEKNUM($J820),"00"))</f>
        <v/>
      </c>
      <c r="P820" s="3">
        <f>IF($J820="","",YEAR($J820))</f>
        <v/>
      </c>
      <c r="Q820" s="3">
        <f>IF($J820="","",MONTH($J820))</f>
        <v/>
      </c>
      <c r="R820" s="3">
        <f>IF($J820="","",INDEX(lista_dias,WEEKDAY($J820,2)))</f>
        <v/>
      </c>
      <c r="S820" s="3">
        <f>IF($I820="","",IFERROR(INDEX('CAT_TIPOS_OT'!$C$4:$C$7,MATCH($I820,'CAT_TIPOS_OT'!$A$4:$A$7,0)),"sin_clasificar"))</f>
        <v/>
      </c>
      <c r="T820" s="3">
        <f>IF($F820="","",IFERROR(INDEX('CAT_CENTROS_COSTO'!$E$4:$E$9,MATCH($F820,'CAT_CENTROS_COSTO'!$A$4:$A$9,0)),"(sin catálogo)"))</f>
        <v/>
      </c>
      <c r="U820" s="3">
        <f>IF($F820="","",IFERROR(INDEX('CAT_CENTROS_COSTO'!$D$4:$D$9,MATCH($F820,'CAT_CENTROS_COSTO'!$A$4:$A$9,0)),"(sin catálogo)"))</f>
        <v/>
      </c>
      <c r="V820" s="3">
        <f>IF($F820="","",IFERROR(INDEX('CAT_CENTROS_COSTO'!$F$4:$F$9,MATCH($F820,'CAT_CENTROS_COSTO'!$A$4:$A$9,0)),"(sin catálogo)"))</f>
        <v/>
      </c>
      <c r="W820" s="3">
        <f>IF($G820="","",IFERROR(INDEX('CAT_PUESTOS'!$B$4:$B$8,MATCH($G820,'CAT_PUESTOS'!$A$4:$A$8,0)),"(sin catálogo)"))</f>
        <v/>
      </c>
      <c r="X820" s="3">
        <f>IF($H820="","",IFERROR(INDEX('CAT_ACTIVIDADES'!$B$4:$B$8,MATCH($H820,'CAT_ACTIVIDADES'!$A$4:$A$8,0)),"(sin catálogo)"))</f>
        <v/>
      </c>
      <c r="Y820" s="12">
        <f>IF($J820="","",TODAY()-$J820)</f>
        <v/>
      </c>
      <c r="Z820" s="3">
        <f>IF($Y820="","",IF($Y820&lt;0,"FUTURO",IF($Y820&gt;p_dias_backlog_max,"BACKLOG","MES CORRIENTE")))</f>
        <v/>
      </c>
      <c r="AA820" s="3">
        <f>IF($Y820="",FALSE,AND($Y820&gt;p_dias_backlog_min,$Y820&lt;=p_dias_backlog_max))</f>
        <v/>
      </c>
      <c r="AB820" s="6" t="n"/>
      <c r="AC820" s="3">
        <f>IF($AB820="","",IFERROR(INDEX('ASIGNACIONES'!$F$4:$F$339,MATCH($O820&amp;"|"&amp;$R820&amp;"|"&amp;$AB820,'ASIGNACIONES'!$I$4:$I$339,0)),""))</f>
        <v/>
      </c>
      <c r="AD820" s="13">
        <f>IF($AB820="","",SUMIFS('ORDENES'!$M$4:$M$1203,'ORDENES'!$AB$4:$AB$1203,$AB820,'ORDENES'!$O$4:$O$1203,$O820,'ORDENES'!$R$4:$R$1203,$R820))</f>
        <v/>
      </c>
      <c r="AE820" s="13">
        <f>IF($AD820="","",p_factor_productividad*IFERROR(INDEX('ASIGNACIONES'!$H$4:$H$339,MATCH($O820&amp;"|"&amp;$R820&amp;"|"&amp;$AB820,'ASIGNACIONES'!$I$4:$I$339,0)),0)-$AD820)</f>
        <v/>
      </c>
      <c r="AF820" s="10">
        <f>IF($A820="","",IFERROR(INDEX('2_IMPORTAR_EJECUCION'!$F$9:$F$1208,MATCH($AN820,'2_IMPORTAR_EJECUCION'!$J$9:$J$1208,0)),0))</f>
        <v/>
      </c>
      <c r="AG820" s="10">
        <f>IF($A820="","",MAX(0,IFERROR(INDEX('2_IMPORTAR_EJECUCION'!$H$9:$H$1208,MATCH($AN820,'2_IMPORTAR_EJECUCION'!$J$9:$J$1208,0)),0)-$AF820))</f>
        <v/>
      </c>
      <c r="AH820" s="10">
        <f>IF($A820="","",$AF820+$AG820)</f>
        <v/>
      </c>
      <c r="AI820" s="6" t="n"/>
      <c r="AJ820" s="6" t="n"/>
      <c r="AK820" s="6" t="n"/>
      <c r="AL820" s="3">
        <f>IF($AK820="","",HYPERLINK(p_ruta_base_checklists&amp;$AK820,"abrir"))</f>
        <v/>
      </c>
      <c r="AM820" s="6" t="n"/>
      <c r="AN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1" t="n"/>
      <c r="K821" s="3" t="n"/>
      <c r="L821" s="10" t="n"/>
      <c r="M821" s="3">
        <f>IF($A821="","",IFERROR(INDEX('AJUSTES'!$B$4:$B$303,MATCH($AN821,'AJUSTES'!$A$4:$A$303,0)),IF($K821="","",$K821)))</f>
        <v/>
      </c>
      <c r="N821" s="3">
        <f>IF($A821="","",IFERROR(INDEX('CAT_ESTADOS_ERP'!$B$4:$B$7,MATCH(IFERROR(INDEX('2_IMPORTAR_EJECUCION'!$C$9:$C$1208,MATCH($AN821,'2_IMPORTAR_EJECUCION'!$J$9:$J$1208,0)),""),'CAT_ESTADOS_ERP'!$A$4:$A$7,0)),"Pendiente"))</f>
        <v/>
      </c>
      <c r="O821" s="3">
        <f>IF($J821="","",YEAR($J821+4-WEEKDAY($J821,2))&amp;"-S"&amp;TEXT(_xlfn.ISOWEEKNUM($J821),"00"))</f>
        <v/>
      </c>
      <c r="P821" s="3">
        <f>IF($J821="","",YEAR($J821))</f>
        <v/>
      </c>
      <c r="Q821" s="3">
        <f>IF($J821="","",MONTH($J821))</f>
        <v/>
      </c>
      <c r="R821" s="3">
        <f>IF($J821="","",INDEX(lista_dias,WEEKDAY($J821,2)))</f>
        <v/>
      </c>
      <c r="S821" s="3">
        <f>IF($I821="","",IFERROR(INDEX('CAT_TIPOS_OT'!$C$4:$C$7,MATCH($I821,'CAT_TIPOS_OT'!$A$4:$A$7,0)),"sin_clasificar"))</f>
        <v/>
      </c>
      <c r="T821" s="3">
        <f>IF($F821="","",IFERROR(INDEX('CAT_CENTROS_COSTO'!$E$4:$E$9,MATCH($F821,'CAT_CENTROS_COSTO'!$A$4:$A$9,0)),"(sin catálogo)"))</f>
        <v/>
      </c>
      <c r="U821" s="3">
        <f>IF($F821="","",IFERROR(INDEX('CAT_CENTROS_COSTO'!$D$4:$D$9,MATCH($F821,'CAT_CENTROS_COSTO'!$A$4:$A$9,0)),"(sin catálogo)"))</f>
        <v/>
      </c>
      <c r="V821" s="3">
        <f>IF($F821="","",IFERROR(INDEX('CAT_CENTROS_COSTO'!$F$4:$F$9,MATCH($F821,'CAT_CENTROS_COSTO'!$A$4:$A$9,0)),"(sin catálogo)"))</f>
        <v/>
      </c>
      <c r="W821" s="3">
        <f>IF($G821="","",IFERROR(INDEX('CAT_PUESTOS'!$B$4:$B$8,MATCH($G821,'CAT_PUESTOS'!$A$4:$A$8,0)),"(sin catálogo)"))</f>
        <v/>
      </c>
      <c r="X821" s="3">
        <f>IF($H821="","",IFERROR(INDEX('CAT_ACTIVIDADES'!$B$4:$B$8,MATCH($H821,'CAT_ACTIVIDADES'!$A$4:$A$8,0)),"(sin catálogo)"))</f>
        <v/>
      </c>
      <c r="Y821" s="12">
        <f>IF($J821="","",TODAY()-$J821)</f>
        <v/>
      </c>
      <c r="Z821" s="3">
        <f>IF($Y821="","",IF($Y821&lt;0,"FUTURO",IF($Y821&gt;p_dias_backlog_max,"BACKLOG","MES CORRIENTE")))</f>
        <v/>
      </c>
      <c r="AA821" s="3">
        <f>IF($Y821="",FALSE,AND($Y821&gt;p_dias_backlog_min,$Y821&lt;=p_dias_backlog_max))</f>
        <v/>
      </c>
      <c r="AB821" s="6" t="n"/>
      <c r="AC821" s="3">
        <f>IF($AB821="","",IFERROR(INDEX('ASIGNACIONES'!$F$4:$F$339,MATCH($O821&amp;"|"&amp;$R821&amp;"|"&amp;$AB821,'ASIGNACIONES'!$I$4:$I$339,0)),""))</f>
        <v/>
      </c>
      <c r="AD821" s="13">
        <f>IF($AB821="","",SUMIFS('ORDENES'!$M$4:$M$1203,'ORDENES'!$AB$4:$AB$1203,$AB821,'ORDENES'!$O$4:$O$1203,$O821,'ORDENES'!$R$4:$R$1203,$R821))</f>
        <v/>
      </c>
      <c r="AE821" s="13">
        <f>IF($AD821="","",p_factor_productividad*IFERROR(INDEX('ASIGNACIONES'!$H$4:$H$339,MATCH($O821&amp;"|"&amp;$R821&amp;"|"&amp;$AB821,'ASIGNACIONES'!$I$4:$I$339,0)),0)-$AD821)</f>
        <v/>
      </c>
      <c r="AF821" s="10">
        <f>IF($A821="","",IFERROR(INDEX('2_IMPORTAR_EJECUCION'!$F$9:$F$1208,MATCH($AN821,'2_IMPORTAR_EJECUCION'!$J$9:$J$1208,0)),0))</f>
        <v/>
      </c>
      <c r="AG821" s="10">
        <f>IF($A821="","",MAX(0,IFERROR(INDEX('2_IMPORTAR_EJECUCION'!$H$9:$H$1208,MATCH($AN821,'2_IMPORTAR_EJECUCION'!$J$9:$J$1208,0)),0)-$AF821))</f>
        <v/>
      </c>
      <c r="AH821" s="10">
        <f>IF($A821="","",$AF821+$AG821)</f>
        <v/>
      </c>
      <c r="AI821" s="6" t="n"/>
      <c r="AJ821" s="6" t="n"/>
      <c r="AK821" s="6" t="n"/>
      <c r="AL821" s="3">
        <f>IF($AK821="","",HYPERLINK(p_ruta_base_checklists&amp;$AK821,"abrir"))</f>
        <v/>
      </c>
      <c r="AM821" s="6" t="n"/>
      <c r="AN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1" t="n"/>
      <c r="K822" s="3" t="n"/>
      <c r="L822" s="10" t="n"/>
      <c r="M822" s="3">
        <f>IF($A822="","",IFERROR(INDEX('AJUSTES'!$B$4:$B$303,MATCH($AN822,'AJUSTES'!$A$4:$A$303,0)),IF($K822="","",$K822)))</f>
        <v/>
      </c>
      <c r="N822" s="3">
        <f>IF($A822="","",IFERROR(INDEX('CAT_ESTADOS_ERP'!$B$4:$B$7,MATCH(IFERROR(INDEX('2_IMPORTAR_EJECUCION'!$C$9:$C$1208,MATCH($AN822,'2_IMPORTAR_EJECUCION'!$J$9:$J$1208,0)),""),'CAT_ESTADOS_ERP'!$A$4:$A$7,0)),"Pendiente"))</f>
        <v/>
      </c>
      <c r="O822" s="3">
        <f>IF($J822="","",YEAR($J822+4-WEEKDAY($J822,2))&amp;"-S"&amp;TEXT(_xlfn.ISOWEEKNUM($J822),"00"))</f>
        <v/>
      </c>
      <c r="P822" s="3">
        <f>IF($J822="","",YEAR($J822))</f>
        <v/>
      </c>
      <c r="Q822" s="3">
        <f>IF($J822="","",MONTH($J822))</f>
        <v/>
      </c>
      <c r="R822" s="3">
        <f>IF($J822="","",INDEX(lista_dias,WEEKDAY($J822,2)))</f>
        <v/>
      </c>
      <c r="S822" s="3">
        <f>IF($I822="","",IFERROR(INDEX('CAT_TIPOS_OT'!$C$4:$C$7,MATCH($I822,'CAT_TIPOS_OT'!$A$4:$A$7,0)),"sin_clasificar"))</f>
        <v/>
      </c>
      <c r="T822" s="3">
        <f>IF($F822="","",IFERROR(INDEX('CAT_CENTROS_COSTO'!$E$4:$E$9,MATCH($F822,'CAT_CENTROS_COSTO'!$A$4:$A$9,0)),"(sin catálogo)"))</f>
        <v/>
      </c>
      <c r="U822" s="3">
        <f>IF($F822="","",IFERROR(INDEX('CAT_CENTROS_COSTO'!$D$4:$D$9,MATCH($F822,'CAT_CENTROS_COSTO'!$A$4:$A$9,0)),"(sin catálogo)"))</f>
        <v/>
      </c>
      <c r="V822" s="3">
        <f>IF($F822="","",IFERROR(INDEX('CAT_CENTROS_COSTO'!$F$4:$F$9,MATCH($F822,'CAT_CENTROS_COSTO'!$A$4:$A$9,0)),"(sin catálogo)"))</f>
        <v/>
      </c>
      <c r="W822" s="3">
        <f>IF($G822="","",IFERROR(INDEX('CAT_PUESTOS'!$B$4:$B$8,MATCH($G822,'CAT_PUESTOS'!$A$4:$A$8,0)),"(sin catálogo)"))</f>
        <v/>
      </c>
      <c r="X822" s="3">
        <f>IF($H822="","",IFERROR(INDEX('CAT_ACTIVIDADES'!$B$4:$B$8,MATCH($H822,'CAT_ACTIVIDADES'!$A$4:$A$8,0)),"(sin catálogo)"))</f>
        <v/>
      </c>
      <c r="Y822" s="12">
        <f>IF($J822="","",TODAY()-$J822)</f>
        <v/>
      </c>
      <c r="Z822" s="3">
        <f>IF($Y822="","",IF($Y822&lt;0,"FUTURO",IF($Y822&gt;p_dias_backlog_max,"BACKLOG","MES CORRIENTE")))</f>
        <v/>
      </c>
      <c r="AA822" s="3">
        <f>IF($Y822="",FALSE,AND($Y822&gt;p_dias_backlog_min,$Y822&lt;=p_dias_backlog_max))</f>
        <v/>
      </c>
      <c r="AB822" s="6" t="n"/>
      <c r="AC822" s="3">
        <f>IF($AB822="","",IFERROR(INDEX('ASIGNACIONES'!$F$4:$F$339,MATCH($O822&amp;"|"&amp;$R822&amp;"|"&amp;$AB822,'ASIGNACIONES'!$I$4:$I$339,0)),""))</f>
        <v/>
      </c>
      <c r="AD822" s="13">
        <f>IF($AB822="","",SUMIFS('ORDENES'!$M$4:$M$1203,'ORDENES'!$AB$4:$AB$1203,$AB822,'ORDENES'!$O$4:$O$1203,$O822,'ORDENES'!$R$4:$R$1203,$R822))</f>
        <v/>
      </c>
      <c r="AE822" s="13">
        <f>IF($AD822="","",p_factor_productividad*IFERROR(INDEX('ASIGNACIONES'!$H$4:$H$339,MATCH($O822&amp;"|"&amp;$R822&amp;"|"&amp;$AB822,'ASIGNACIONES'!$I$4:$I$339,0)),0)-$AD822)</f>
        <v/>
      </c>
      <c r="AF822" s="10">
        <f>IF($A822="","",IFERROR(INDEX('2_IMPORTAR_EJECUCION'!$F$9:$F$1208,MATCH($AN822,'2_IMPORTAR_EJECUCION'!$J$9:$J$1208,0)),0))</f>
        <v/>
      </c>
      <c r="AG822" s="10">
        <f>IF($A822="","",MAX(0,IFERROR(INDEX('2_IMPORTAR_EJECUCION'!$H$9:$H$1208,MATCH($AN822,'2_IMPORTAR_EJECUCION'!$J$9:$J$1208,0)),0)-$AF822))</f>
        <v/>
      </c>
      <c r="AH822" s="10">
        <f>IF($A822="","",$AF822+$AG822)</f>
        <v/>
      </c>
      <c r="AI822" s="6" t="n"/>
      <c r="AJ822" s="6" t="n"/>
      <c r="AK822" s="6" t="n"/>
      <c r="AL822" s="3">
        <f>IF($AK822="","",HYPERLINK(p_ruta_base_checklists&amp;$AK822,"abrir"))</f>
        <v/>
      </c>
      <c r="AM822" s="6" t="n"/>
      <c r="AN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1" t="n"/>
      <c r="K823" s="3" t="n"/>
      <c r="L823" s="10" t="n"/>
      <c r="M823" s="3">
        <f>IF($A823="","",IFERROR(INDEX('AJUSTES'!$B$4:$B$303,MATCH($AN823,'AJUSTES'!$A$4:$A$303,0)),IF($K823="","",$K823)))</f>
        <v/>
      </c>
      <c r="N823" s="3">
        <f>IF($A823="","",IFERROR(INDEX('CAT_ESTADOS_ERP'!$B$4:$B$7,MATCH(IFERROR(INDEX('2_IMPORTAR_EJECUCION'!$C$9:$C$1208,MATCH($AN823,'2_IMPORTAR_EJECUCION'!$J$9:$J$1208,0)),""),'CAT_ESTADOS_ERP'!$A$4:$A$7,0)),"Pendiente"))</f>
        <v/>
      </c>
      <c r="O823" s="3">
        <f>IF($J823="","",YEAR($J823+4-WEEKDAY($J823,2))&amp;"-S"&amp;TEXT(_xlfn.ISOWEEKNUM($J823),"00"))</f>
        <v/>
      </c>
      <c r="P823" s="3">
        <f>IF($J823="","",YEAR($J823))</f>
        <v/>
      </c>
      <c r="Q823" s="3">
        <f>IF($J823="","",MONTH($J823))</f>
        <v/>
      </c>
      <c r="R823" s="3">
        <f>IF($J823="","",INDEX(lista_dias,WEEKDAY($J823,2)))</f>
        <v/>
      </c>
      <c r="S823" s="3">
        <f>IF($I823="","",IFERROR(INDEX('CAT_TIPOS_OT'!$C$4:$C$7,MATCH($I823,'CAT_TIPOS_OT'!$A$4:$A$7,0)),"sin_clasificar"))</f>
        <v/>
      </c>
      <c r="T823" s="3">
        <f>IF($F823="","",IFERROR(INDEX('CAT_CENTROS_COSTO'!$E$4:$E$9,MATCH($F823,'CAT_CENTROS_COSTO'!$A$4:$A$9,0)),"(sin catálogo)"))</f>
        <v/>
      </c>
      <c r="U823" s="3">
        <f>IF($F823="","",IFERROR(INDEX('CAT_CENTROS_COSTO'!$D$4:$D$9,MATCH($F823,'CAT_CENTROS_COSTO'!$A$4:$A$9,0)),"(sin catálogo)"))</f>
        <v/>
      </c>
      <c r="V823" s="3">
        <f>IF($F823="","",IFERROR(INDEX('CAT_CENTROS_COSTO'!$F$4:$F$9,MATCH($F823,'CAT_CENTROS_COSTO'!$A$4:$A$9,0)),"(sin catálogo)"))</f>
        <v/>
      </c>
      <c r="W823" s="3">
        <f>IF($G823="","",IFERROR(INDEX('CAT_PUESTOS'!$B$4:$B$8,MATCH($G823,'CAT_PUESTOS'!$A$4:$A$8,0)),"(sin catálogo)"))</f>
        <v/>
      </c>
      <c r="X823" s="3">
        <f>IF($H823="","",IFERROR(INDEX('CAT_ACTIVIDADES'!$B$4:$B$8,MATCH($H823,'CAT_ACTIVIDADES'!$A$4:$A$8,0)),"(sin catálogo)"))</f>
        <v/>
      </c>
      <c r="Y823" s="12">
        <f>IF($J823="","",TODAY()-$J823)</f>
        <v/>
      </c>
      <c r="Z823" s="3">
        <f>IF($Y823="","",IF($Y823&lt;0,"FUTURO",IF($Y823&gt;p_dias_backlog_max,"BACKLOG","MES CORRIENTE")))</f>
        <v/>
      </c>
      <c r="AA823" s="3">
        <f>IF($Y823="",FALSE,AND($Y823&gt;p_dias_backlog_min,$Y823&lt;=p_dias_backlog_max))</f>
        <v/>
      </c>
      <c r="AB823" s="6" t="n"/>
      <c r="AC823" s="3">
        <f>IF($AB823="","",IFERROR(INDEX('ASIGNACIONES'!$F$4:$F$339,MATCH($O823&amp;"|"&amp;$R823&amp;"|"&amp;$AB823,'ASIGNACIONES'!$I$4:$I$339,0)),""))</f>
        <v/>
      </c>
      <c r="AD823" s="13">
        <f>IF($AB823="","",SUMIFS('ORDENES'!$M$4:$M$1203,'ORDENES'!$AB$4:$AB$1203,$AB823,'ORDENES'!$O$4:$O$1203,$O823,'ORDENES'!$R$4:$R$1203,$R823))</f>
        <v/>
      </c>
      <c r="AE823" s="13">
        <f>IF($AD823="","",p_factor_productividad*IFERROR(INDEX('ASIGNACIONES'!$H$4:$H$339,MATCH($O823&amp;"|"&amp;$R823&amp;"|"&amp;$AB823,'ASIGNACIONES'!$I$4:$I$339,0)),0)-$AD823)</f>
        <v/>
      </c>
      <c r="AF823" s="10">
        <f>IF($A823="","",IFERROR(INDEX('2_IMPORTAR_EJECUCION'!$F$9:$F$1208,MATCH($AN823,'2_IMPORTAR_EJECUCION'!$J$9:$J$1208,0)),0))</f>
        <v/>
      </c>
      <c r="AG823" s="10">
        <f>IF($A823="","",MAX(0,IFERROR(INDEX('2_IMPORTAR_EJECUCION'!$H$9:$H$1208,MATCH($AN823,'2_IMPORTAR_EJECUCION'!$J$9:$J$1208,0)),0)-$AF823))</f>
        <v/>
      </c>
      <c r="AH823" s="10">
        <f>IF($A823="","",$AF823+$AG823)</f>
        <v/>
      </c>
      <c r="AI823" s="6" t="n"/>
      <c r="AJ823" s="6" t="n"/>
      <c r="AK823" s="6" t="n"/>
      <c r="AL823" s="3">
        <f>IF($AK823="","",HYPERLINK(p_ruta_base_checklists&amp;$AK823,"abrir"))</f>
        <v/>
      </c>
      <c r="AM823" s="6" t="n"/>
      <c r="AN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1" t="n"/>
      <c r="K824" s="3" t="n"/>
      <c r="L824" s="10" t="n"/>
      <c r="M824" s="3">
        <f>IF($A824="","",IFERROR(INDEX('AJUSTES'!$B$4:$B$303,MATCH($AN824,'AJUSTES'!$A$4:$A$303,0)),IF($K824="","",$K824)))</f>
        <v/>
      </c>
      <c r="N824" s="3">
        <f>IF($A824="","",IFERROR(INDEX('CAT_ESTADOS_ERP'!$B$4:$B$7,MATCH(IFERROR(INDEX('2_IMPORTAR_EJECUCION'!$C$9:$C$1208,MATCH($AN824,'2_IMPORTAR_EJECUCION'!$J$9:$J$1208,0)),""),'CAT_ESTADOS_ERP'!$A$4:$A$7,0)),"Pendiente"))</f>
        <v/>
      </c>
      <c r="O824" s="3">
        <f>IF($J824="","",YEAR($J824+4-WEEKDAY($J824,2))&amp;"-S"&amp;TEXT(_xlfn.ISOWEEKNUM($J824),"00"))</f>
        <v/>
      </c>
      <c r="P824" s="3">
        <f>IF($J824="","",YEAR($J824))</f>
        <v/>
      </c>
      <c r="Q824" s="3">
        <f>IF($J824="","",MONTH($J824))</f>
        <v/>
      </c>
      <c r="R824" s="3">
        <f>IF($J824="","",INDEX(lista_dias,WEEKDAY($J824,2)))</f>
        <v/>
      </c>
      <c r="S824" s="3">
        <f>IF($I824="","",IFERROR(INDEX('CAT_TIPOS_OT'!$C$4:$C$7,MATCH($I824,'CAT_TIPOS_OT'!$A$4:$A$7,0)),"sin_clasificar"))</f>
        <v/>
      </c>
      <c r="T824" s="3">
        <f>IF($F824="","",IFERROR(INDEX('CAT_CENTROS_COSTO'!$E$4:$E$9,MATCH($F824,'CAT_CENTROS_COSTO'!$A$4:$A$9,0)),"(sin catálogo)"))</f>
        <v/>
      </c>
      <c r="U824" s="3">
        <f>IF($F824="","",IFERROR(INDEX('CAT_CENTROS_COSTO'!$D$4:$D$9,MATCH($F824,'CAT_CENTROS_COSTO'!$A$4:$A$9,0)),"(sin catálogo)"))</f>
        <v/>
      </c>
      <c r="V824" s="3">
        <f>IF($F824="","",IFERROR(INDEX('CAT_CENTROS_COSTO'!$F$4:$F$9,MATCH($F824,'CAT_CENTROS_COSTO'!$A$4:$A$9,0)),"(sin catálogo)"))</f>
        <v/>
      </c>
      <c r="W824" s="3">
        <f>IF($G824="","",IFERROR(INDEX('CAT_PUESTOS'!$B$4:$B$8,MATCH($G824,'CAT_PUESTOS'!$A$4:$A$8,0)),"(sin catálogo)"))</f>
        <v/>
      </c>
      <c r="X824" s="3">
        <f>IF($H824="","",IFERROR(INDEX('CAT_ACTIVIDADES'!$B$4:$B$8,MATCH($H824,'CAT_ACTIVIDADES'!$A$4:$A$8,0)),"(sin catálogo)"))</f>
        <v/>
      </c>
      <c r="Y824" s="12">
        <f>IF($J824="","",TODAY()-$J824)</f>
        <v/>
      </c>
      <c r="Z824" s="3">
        <f>IF($Y824="","",IF($Y824&lt;0,"FUTURO",IF($Y824&gt;p_dias_backlog_max,"BACKLOG","MES CORRIENTE")))</f>
        <v/>
      </c>
      <c r="AA824" s="3">
        <f>IF($Y824="",FALSE,AND($Y824&gt;p_dias_backlog_min,$Y824&lt;=p_dias_backlog_max))</f>
        <v/>
      </c>
      <c r="AB824" s="6" t="n"/>
      <c r="AC824" s="3">
        <f>IF($AB824="","",IFERROR(INDEX('ASIGNACIONES'!$F$4:$F$339,MATCH($O824&amp;"|"&amp;$R824&amp;"|"&amp;$AB824,'ASIGNACIONES'!$I$4:$I$339,0)),""))</f>
        <v/>
      </c>
      <c r="AD824" s="13">
        <f>IF($AB824="","",SUMIFS('ORDENES'!$M$4:$M$1203,'ORDENES'!$AB$4:$AB$1203,$AB824,'ORDENES'!$O$4:$O$1203,$O824,'ORDENES'!$R$4:$R$1203,$R824))</f>
        <v/>
      </c>
      <c r="AE824" s="13">
        <f>IF($AD824="","",p_factor_productividad*IFERROR(INDEX('ASIGNACIONES'!$H$4:$H$339,MATCH($O824&amp;"|"&amp;$R824&amp;"|"&amp;$AB824,'ASIGNACIONES'!$I$4:$I$339,0)),0)-$AD824)</f>
        <v/>
      </c>
      <c r="AF824" s="10">
        <f>IF($A824="","",IFERROR(INDEX('2_IMPORTAR_EJECUCION'!$F$9:$F$1208,MATCH($AN824,'2_IMPORTAR_EJECUCION'!$J$9:$J$1208,0)),0))</f>
        <v/>
      </c>
      <c r="AG824" s="10">
        <f>IF($A824="","",MAX(0,IFERROR(INDEX('2_IMPORTAR_EJECUCION'!$H$9:$H$1208,MATCH($AN824,'2_IMPORTAR_EJECUCION'!$J$9:$J$1208,0)),0)-$AF824))</f>
        <v/>
      </c>
      <c r="AH824" s="10">
        <f>IF($A824="","",$AF824+$AG824)</f>
        <v/>
      </c>
      <c r="AI824" s="6" t="n"/>
      <c r="AJ824" s="6" t="n"/>
      <c r="AK824" s="6" t="n"/>
      <c r="AL824" s="3">
        <f>IF($AK824="","",HYPERLINK(p_ruta_base_checklists&amp;$AK824,"abrir"))</f>
        <v/>
      </c>
      <c r="AM824" s="6" t="n"/>
      <c r="AN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1" t="n"/>
      <c r="K825" s="3" t="n"/>
      <c r="L825" s="10" t="n"/>
      <c r="M825" s="3">
        <f>IF($A825="","",IFERROR(INDEX('AJUSTES'!$B$4:$B$303,MATCH($AN825,'AJUSTES'!$A$4:$A$303,0)),IF($K825="","",$K825)))</f>
        <v/>
      </c>
      <c r="N825" s="3">
        <f>IF($A825="","",IFERROR(INDEX('CAT_ESTADOS_ERP'!$B$4:$B$7,MATCH(IFERROR(INDEX('2_IMPORTAR_EJECUCION'!$C$9:$C$1208,MATCH($AN825,'2_IMPORTAR_EJECUCION'!$J$9:$J$1208,0)),""),'CAT_ESTADOS_ERP'!$A$4:$A$7,0)),"Pendiente"))</f>
        <v/>
      </c>
      <c r="O825" s="3">
        <f>IF($J825="","",YEAR($J825+4-WEEKDAY($J825,2))&amp;"-S"&amp;TEXT(_xlfn.ISOWEEKNUM($J825),"00"))</f>
        <v/>
      </c>
      <c r="P825" s="3">
        <f>IF($J825="","",YEAR($J825))</f>
        <v/>
      </c>
      <c r="Q825" s="3">
        <f>IF($J825="","",MONTH($J825))</f>
        <v/>
      </c>
      <c r="R825" s="3">
        <f>IF($J825="","",INDEX(lista_dias,WEEKDAY($J825,2)))</f>
        <v/>
      </c>
      <c r="S825" s="3">
        <f>IF($I825="","",IFERROR(INDEX('CAT_TIPOS_OT'!$C$4:$C$7,MATCH($I825,'CAT_TIPOS_OT'!$A$4:$A$7,0)),"sin_clasificar"))</f>
        <v/>
      </c>
      <c r="T825" s="3">
        <f>IF($F825="","",IFERROR(INDEX('CAT_CENTROS_COSTO'!$E$4:$E$9,MATCH($F825,'CAT_CENTROS_COSTO'!$A$4:$A$9,0)),"(sin catálogo)"))</f>
        <v/>
      </c>
      <c r="U825" s="3">
        <f>IF($F825="","",IFERROR(INDEX('CAT_CENTROS_COSTO'!$D$4:$D$9,MATCH($F825,'CAT_CENTROS_COSTO'!$A$4:$A$9,0)),"(sin catálogo)"))</f>
        <v/>
      </c>
      <c r="V825" s="3">
        <f>IF($F825="","",IFERROR(INDEX('CAT_CENTROS_COSTO'!$F$4:$F$9,MATCH($F825,'CAT_CENTROS_COSTO'!$A$4:$A$9,0)),"(sin catálogo)"))</f>
        <v/>
      </c>
      <c r="W825" s="3">
        <f>IF($G825="","",IFERROR(INDEX('CAT_PUESTOS'!$B$4:$B$8,MATCH($G825,'CAT_PUESTOS'!$A$4:$A$8,0)),"(sin catálogo)"))</f>
        <v/>
      </c>
      <c r="X825" s="3">
        <f>IF($H825="","",IFERROR(INDEX('CAT_ACTIVIDADES'!$B$4:$B$8,MATCH($H825,'CAT_ACTIVIDADES'!$A$4:$A$8,0)),"(sin catálogo)"))</f>
        <v/>
      </c>
      <c r="Y825" s="12">
        <f>IF($J825="","",TODAY()-$J825)</f>
        <v/>
      </c>
      <c r="Z825" s="3">
        <f>IF($Y825="","",IF($Y825&lt;0,"FUTURO",IF($Y825&gt;p_dias_backlog_max,"BACKLOG","MES CORRIENTE")))</f>
        <v/>
      </c>
      <c r="AA825" s="3">
        <f>IF($Y825="",FALSE,AND($Y825&gt;p_dias_backlog_min,$Y825&lt;=p_dias_backlog_max))</f>
        <v/>
      </c>
      <c r="AB825" s="6" t="n"/>
      <c r="AC825" s="3">
        <f>IF($AB825="","",IFERROR(INDEX('ASIGNACIONES'!$F$4:$F$339,MATCH($O825&amp;"|"&amp;$R825&amp;"|"&amp;$AB825,'ASIGNACIONES'!$I$4:$I$339,0)),""))</f>
        <v/>
      </c>
      <c r="AD825" s="13">
        <f>IF($AB825="","",SUMIFS('ORDENES'!$M$4:$M$1203,'ORDENES'!$AB$4:$AB$1203,$AB825,'ORDENES'!$O$4:$O$1203,$O825,'ORDENES'!$R$4:$R$1203,$R825))</f>
        <v/>
      </c>
      <c r="AE825" s="13">
        <f>IF($AD825="","",p_factor_productividad*IFERROR(INDEX('ASIGNACIONES'!$H$4:$H$339,MATCH($O825&amp;"|"&amp;$R825&amp;"|"&amp;$AB825,'ASIGNACIONES'!$I$4:$I$339,0)),0)-$AD825)</f>
        <v/>
      </c>
      <c r="AF825" s="10">
        <f>IF($A825="","",IFERROR(INDEX('2_IMPORTAR_EJECUCION'!$F$9:$F$1208,MATCH($AN825,'2_IMPORTAR_EJECUCION'!$J$9:$J$1208,0)),0))</f>
        <v/>
      </c>
      <c r="AG825" s="10">
        <f>IF($A825="","",MAX(0,IFERROR(INDEX('2_IMPORTAR_EJECUCION'!$H$9:$H$1208,MATCH($AN825,'2_IMPORTAR_EJECUCION'!$J$9:$J$1208,0)),0)-$AF825))</f>
        <v/>
      </c>
      <c r="AH825" s="10">
        <f>IF($A825="","",$AF825+$AG825)</f>
        <v/>
      </c>
      <c r="AI825" s="6" t="n"/>
      <c r="AJ825" s="6" t="n"/>
      <c r="AK825" s="6" t="n"/>
      <c r="AL825" s="3">
        <f>IF($AK825="","",HYPERLINK(p_ruta_base_checklists&amp;$AK825,"abrir"))</f>
        <v/>
      </c>
      <c r="AM825" s="6" t="n"/>
      <c r="AN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1" t="n"/>
      <c r="K826" s="3" t="n"/>
      <c r="L826" s="10" t="n"/>
      <c r="M826" s="3">
        <f>IF($A826="","",IFERROR(INDEX('AJUSTES'!$B$4:$B$303,MATCH($AN826,'AJUSTES'!$A$4:$A$303,0)),IF($K826="","",$K826)))</f>
        <v/>
      </c>
      <c r="N826" s="3">
        <f>IF($A826="","",IFERROR(INDEX('CAT_ESTADOS_ERP'!$B$4:$B$7,MATCH(IFERROR(INDEX('2_IMPORTAR_EJECUCION'!$C$9:$C$1208,MATCH($AN826,'2_IMPORTAR_EJECUCION'!$J$9:$J$1208,0)),""),'CAT_ESTADOS_ERP'!$A$4:$A$7,0)),"Pendiente"))</f>
        <v/>
      </c>
      <c r="O826" s="3">
        <f>IF($J826="","",YEAR($J826+4-WEEKDAY($J826,2))&amp;"-S"&amp;TEXT(_xlfn.ISOWEEKNUM($J826),"00"))</f>
        <v/>
      </c>
      <c r="P826" s="3">
        <f>IF($J826="","",YEAR($J826))</f>
        <v/>
      </c>
      <c r="Q826" s="3">
        <f>IF($J826="","",MONTH($J826))</f>
        <v/>
      </c>
      <c r="R826" s="3">
        <f>IF($J826="","",INDEX(lista_dias,WEEKDAY($J826,2)))</f>
        <v/>
      </c>
      <c r="S826" s="3">
        <f>IF($I826="","",IFERROR(INDEX('CAT_TIPOS_OT'!$C$4:$C$7,MATCH($I826,'CAT_TIPOS_OT'!$A$4:$A$7,0)),"sin_clasificar"))</f>
        <v/>
      </c>
      <c r="T826" s="3">
        <f>IF($F826="","",IFERROR(INDEX('CAT_CENTROS_COSTO'!$E$4:$E$9,MATCH($F826,'CAT_CENTROS_COSTO'!$A$4:$A$9,0)),"(sin catálogo)"))</f>
        <v/>
      </c>
      <c r="U826" s="3">
        <f>IF($F826="","",IFERROR(INDEX('CAT_CENTROS_COSTO'!$D$4:$D$9,MATCH($F826,'CAT_CENTROS_COSTO'!$A$4:$A$9,0)),"(sin catálogo)"))</f>
        <v/>
      </c>
      <c r="V826" s="3">
        <f>IF($F826="","",IFERROR(INDEX('CAT_CENTROS_COSTO'!$F$4:$F$9,MATCH($F826,'CAT_CENTROS_COSTO'!$A$4:$A$9,0)),"(sin catálogo)"))</f>
        <v/>
      </c>
      <c r="W826" s="3">
        <f>IF($G826="","",IFERROR(INDEX('CAT_PUESTOS'!$B$4:$B$8,MATCH($G826,'CAT_PUESTOS'!$A$4:$A$8,0)),"(sin catálogo)"))</f>
        <v/>
      </c>
      <c r="X826" s="3">
        <f>IF($H826="","",IFERROR(INDEX('CAT_ACTIVIDADES'!$B$4:$B$8,MATCH($H826,'CAT_ACTIVIDADES'!$A$4:$A$8,0)),"(sin catálogo)"))</f>
        <v/>
      </c>
      <c r="Y826" s="12">
        <f>IF($J826="","",TODAY()-$J826)</f>
        <v/>
      </c>
      <c r="Z826" s="3">
        <f>IF($Y826="","",IF($Y826&lt;0,"FUTURO",IF($Y826&gt;p_dias_backlog_max,"BACKLOG","MES CORRIENTE")))</f>
        <v/>
      </c>
      <c r="AA826" s="3">
        <f>IF($Y826="",FALSE,AND($Y826&gt;p_dias_backlog_min,$Y826&lt;=p_dias_backlog_max))</f>
        <v/>
      </c>
      <c r="AB826" s="6" t="n"/>
      <c r="AC826" s="3">
        <f>IF($AB826="","",IFERROR(INDEX('ASIGNACIONES'!$F$4:$F$339,MATCH($O826&amp;"|"&amp;$R826&amp;"|"&amp;$AB826,'ASIGNACIONES'!$I$4:$I$339,0)),""))</f>
        <v/>
      </c>
      <c r="AD826" s="13">
        <f>IF($AB826="","",SUMIFS('ORDENES'!$M$4:$M$1203,'ORDENES'!$AB$4:$AB$1203,$AB826,'ORDENES'!$O$4:$O$1203,$O826,'ORDENES'!$R$4:$R$1203,$R826))</f>
        <v/>
      </c>
      <c r="AE826" s="13">
        <f>IF($AD826="","",p_factor_productividad*IFERROR(INDEX('ASIGNACIONES'!$H$4:$H$339,MATCH($O826&amp;"|"&amp;$R826&amp;"|"&amp;$AB826,'ASIGNACIONES'!$I$4:$I$339,0)),0)-$AD826)</f>
        <v/>
      </c>
      <c r="AF826" s="10">
        <f>IF($A826="","",IFERROR(INDEX('2_IMPORTAR_EJECUCION'!$F$9:$F$1208,MATCH($AN826,'2_IMPORTAR_EJECUCION'!$J$9:$J$1208,0)),0))</f>
        <v/>
      </c>
      <c r="AG826" s="10">
        <f>IF($A826="","",MAX(0,IFERROR(INDEX('2_IMPORTAR_EJECUCION'!$H$9:$H$1208,MATCH($AN826,'2_IMPORTAR_EJECUCION'!$J$9:$J$1208,0)),0)-$AF826))</f>
        <v/>
      </c>
      <c r="AH826" s="10">
        <f>IF($A826="","",$AF826+$AG826)</f>
        <v/>
      </c>
      <c r="AI826" s="6" t="n"/>
      <c r="AJ826" s="6" t="n"/>
      <c r="AK826" s="6" t="n"/>
      <c r="AL826" s="3">
        <f>IF($AK826="","",HYPERLINK(p_ruta_base_checklists&amp;$AK826,"abrir"))</f>
        <v/>
      </c>
      <c r="AM826" s="6" t="n"/>
      <c r="AN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1" t="n"/>
      <c r="K827" s="3" t="n"/>
      <c r="L827" s="10" t="n"/>
      <c r="M827" s="3">
        <f>IF($A827="","",IFERROR(INDEX('AJUSTES'!$B$4:$B$303,MATCH($AN827,'AJUSTES'!$A$4:$A$303,0)),IF($K827="","",$K827)))</f>
        <v/>
      </c>
      <c r="N827" s="3">
        <f>IF($A827="","",IFERROR(INDEX('CAT_ESTADOS_ERP'!$B$4:$B$7,MATCH(IFERROR(INDEX('2_IMPORTAR_EJECUCION'!$C$9:$C$1208,MATCH($AN827,'2_IMPORTAR_EJECUCION'!$J$9:$J$1208,0)),""),'CAT_ESTADOS_ERP'!$A$4:$A$7,0)),"Pendiente"))</f>
        <v/>
      </c>
      <c r="O827" s="3">
        <f>IF($J827="","",YEAR($J827+4-WEEKDAY($J827,2))&amp;"-S"&amp;TEXT(_xlfn.ISOWEEKNUM($J827),"00"))</f>
        <v/>
      </c>
      <c r="P827" s="3">
        <f>IF($J827="","",YEAR($J827))</f>
        <v/>
      </c>
      <c r="Q827" s="3">
        <f>IF($J827="","",MONTH($J827))</f>
        <v/>
      </c>
      <c r="R827" s="3">
        <f>IF($J827="","",INDEX(lista_dias,WEEKDAY($J827,2)))</f>
        <v/>
      </c>
      <c r="S827" s="3">
        <f>IF($I827="","",IFERROR(INDEX('CAT_TIPOS_OT'!$C$4:$C$7,MATCH($I827,'CAT_TIPOS_OT'!$A$4:$A$7,0)),"sin_clasificar"))</f>
        <v/>
      </c>
      <c r="T827" s="3">
        <f>IF($F827="","",IFERROR(INDEX('CAT_CENTROS_COSTO'!$E$4:$E$9,MATCH($F827,'CAT_CENTROS_COSTO'!$A$4:$A$9,0)),"(sin catálogo)"))</f>
        <v/>
      </c>
      <c r="U827" s="3">
        <f>IF($F827="","",IFERROR(INDEX('CAT_CENTROS_COSTO'!$D$4:$D$9,MATCH($F827,'CAT_CENTROS_COSTO'!$A$4:$A$9,0)),"(sin catálogo)"))</f>
        <v/>
      </c>
      <c r="V827" s="3">
        <f>IF($F827="","",IFERROR(INDEX('CAT_CENTROS_COSTO'!$F$4:$F$9,MATCH($F827,'CAT_CENTROS_COSTO'!$A$4:$A$9,0)),"(sin catálogo)"))</f>
        <v/>
      </c>
      <c r="W827" s="3">
        <f>IF($G827="","",IFERROR(INDEX('CAT_PUESTOS'!$B$4:$B$8,MATCH($G827,'CAT_PUESTOS'!$A$4:$A$8,0)),"(sin catálogo)"))</f>
        <v/>
      </c>
      <c r="X827" s="3">
        <f>IF($H827="","",IFERROR(INDEX('CAT_ACTIVIDADES'!$B$4:$B$8,MATCH($H827,'CAT_ACTIVIDADES'!$A$4:$A$8,0)),"(sin catálogo)"))</f>
        <v/>
      </c>
      <c r="Y827" s="12">
        <f>IF($J827="","",TODAY()-$J827)</f>
        <v/>
      </c>
      <c r="Z827" s="3">
        <f>IF($Y827="","",IF($Y827&lt;0,"FUTURO",IF($Y827&gt;p_dias_backlog_max,"BACKLOG","MES CORRIENTE")))</f>
        <v/>
      </c>
      <c r="AA827" s="3">
        <f>IF($Y827="",FALSE,AND($Y827&gt;p_dias_backlog_min,$Y827&lt;=p_dias_backlog_max))</f>
        <v/>
      </c>
      <c r="AB827" s="6" t="n"/>
      <c r="AC827" s="3">
        <f>IF($AB827="","",IFERROR(INDEX('ASIGNACIONES'!$F$4:$F$339,MATCH($O827&amp;"|"&amp;$R827&amp;"|"&amp;$AB827,'ASIGNACIONES'!$I$4:$I$339,0)),""))</f>
        <v/>
      </c>
      <c r="AD827" s="13">
        <f>IF($AB827="","",SUMIFS('ORDENES'!$M$4:$M$1203,'ORDENES'!$AB$4:$AB$1203,$AB827,'ORDENES'!$O$4:$O$1203,$O827,'ORDENES'!$R$4:$R$1203,$R827))</f>
        <v/>
      </c>
      <c r="AE827" s="13">
        <f>IF($AD827="","",p_factor_productividad*IFERROR(INDEX('ASIGNACIONES'!$H$4:$H$339,MATCH($O827&amp;"|"&amp;$R827&amp;"|"&amp;$AB827,'ASIGNACIONES'!$I$4:$I$339,0)),0)-$AD827)</f>
        <v/>
      </c>
      <c r="AF827" s="10">
        <f>IF($A827="","",IFERROR(INDEX('2_IMPORTAR_EJECUCION'!$F$9:$F$1208,MATCH($AN827,'2_IMPORTAR_EJECUCION'!$J$9:$J$1208,0)),0))</f>
        <v/>
      </c>
      <c r="AG827" s="10">
        <f>IF($A827="","",MAX(0,IFERROR(INDEX('2_IMPORTAR_EJECUCION'!$H$9:$H$1208,MATCH($AN827,'2_IMPORTAR_EJECUCION'!$J$9:$J$1208,0)),0)-$AF827))</f>
        <v/>
      </c>
      <c r="AH827" s="10">
        <f>IF($A827="","",$AF827+$AG827)</f>
        <v/>
      </c>
      <c r="AI827" s="6" t="n"/>
      <c r="AJ827" s="6" t="n"/>
      <c r="AK827" s="6" t="n"/>
      <c r="AL827" s="3">
        <f>IF($AK827="","",HYPERLINK(p_ruta_base_checklists&amp;$AK827,"abrir"))</f>
        <v/>
      </c>
      <c r="AM827" s="6" t="n"/>
      <c r="AN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1" t="n"/>
      <c r="K828" s="3" t="n"/>
      <c r="L828" s="10" t="n"/>
      <c r="M828" s="3">
        <f>IF($A828="","",IFERROR(INDEX('AJUSTES'!$B$4:$B$303,MATCH($AN828,'AJUSTES'!$A$4:$A$303,0)),IF($K828="","",$K828)))</f>
        <v/>
      </c>
      <c r="N828" s="3">
        <f>IF($A828="","",IFERROR(INDEX('CAT_ESTADOS_ERP'!$B$4:$B$7,MATCH(IFERROR(INDEX('2_IMPORTAR_EJECUCION'!$C$9:$C$1208,MATCH($AN828,'2_IMPORTAR_EJECUCION'!$J$9:$J$1208,0)),""),'CAT_ESTADOS_ERP'!$A$4:$A$7,0)),"Pendiente"))</f>
        <v/>
      </c>
      <c r="O828" s="3">
        <f>IF($J828="","",YEAR($J828+4-WEEKDAY($J828,2))&amp;"-S"&amp;TEXT(_xlfn.ISOWEEKNUM($J828),"00"))</f>
        <v/>
      </c>
      <c r="P828" s="3">
        <f>IF($J828="","",YEAR($J828))</f>
        <v/>
      </c>
      <c r="Q828" s="3">
        <f>IF($J828="","",MONTH($J828))</f>
        <v/>
      </c>
      <c r="R828" s="3">
        <f>IF($J828="","",INDEX(lista_dias,WEEKDAY($J828,2)))</f>
        <v/>
      </c>
      <c r="S828" s="3">
        <f>IF($I828="","",IFERROR(INDEX('CAT_TIPOS_OT'!$C$4:$C$7,MATCH($I828,'CAT_TIPOS_OT'!$A$4:$A$7,0)),"sin_clasificar"))</f>
        <v/>
      </c>
      <c r="T828" s="3">
        <f>IF($F828="","",IFERROR(INDEX('CAT_CENTROS_COSTO'!$E$4:$E$9,MATCH($F828,'CAT_CENTROS_COSTO'!$A$4:$A$9,0)),"(sin catálogo)"))</f>
        <v/>
      </c>
      <c r="U828" s="3">
        <f>IF($F828="","",IFERROR(INDEX('CAT_CENTROS_COSTO'!$D$4:$D$9,MATCH($F828,'CAT_CENTROS_COSTO'!$A$4:$A$9,0)),"(sin catálogo)"))</f>
        <v/>
      </c>
      <c r="V828" s="3">
        <f>IF($F828="","",IFERROR(INDEX('CAT_CENTROS_COSTO'!$F$4:$F$9,MATCH($F828,'CAT_CENTROS_COSTO'!$A$4:$A$9,0)),"(sin catálogo)"))</f>
        <v/>
      </c>
      <c r="W828" s="3">
        <f>IF($G828="","",IFERROR(INDEX('CAT_PUESTOS'!$B$4:$B$8,MATCH($G828,'CAT_PUESTOS'!$A$4:$A$8,0)),"(sin catálogo)"))</f>
        <v/>
      </c>
      <c r="X828" s="3">
        <f>IF($H828="","",IFERROR(INDEX('CAT_ACTIVIDADES'!$B$4:$B$8,MATCH($H828,'CAT_ACTIVIDADES'!$A$4:$A$8,0)),"(sin catálogo)"))</f>
        <v/>
      </c>
      <c r="Y828" s="12">
        <f>IF($J828="","",TODAY()-$J828)</f>
        <v/>
      </c>
      <c r="Z828" s="3">
        <f>IF($Y828="","",IF($Y828&lt;0,"FUTURO",IF($Y828&gt;p_dias_backlog_max,"BACKLOG","MES CORRIENTE")))</f>
        <v/>
      </c>
      <c r="AA828" s="3">
        <f>IF($Y828="",FALSE,AND($Y828&gt;p_dias_backlog_min,$Y828&lt;=p_dias_backlog_max))</f>
        <v/>
      </c>
      <c r="AB828" s="6" t="n"/>
      <c r="AC828" s="3">
        <f>IF($AB828="","",IFERROR(INDEX('ASIGNACIONES'!$F$4:$F$339,MATCH($O828&amp;"|"&amp;$R828&amp;"|"&amp;$AB828,'ASIGNACIONES'!$I$4:$I$339,0)),""))</f>
        <v/>
      </c>
      <c r="AD828" s="13">
        <f>IF($AB828="","",SUMIFS('ORDENES'!$M$4:$M$1203,'ORDENES'!$AB$4:$AB$1203,$AB828,'ORDENES'!$O$4:$O$1203,$O828,'ORDENES'!$R$4:$R$1203,$R828))</f>
        <v/>
      </c>
      <c r="AE828" s="13">
        <f>IF($AD828="","",p_factor_productividad*IFERROR(INDEX('ASIGNACIONES'!$H$4:$H$339,MATCH($O828&amp;"|"&amp;$R828&amp;"|"&amp;$AB828,'ASIGNACIONES'!$I$4:$I$339,0)),0)-$AD828)</f>
        <v/>
      </c>
      <c r="AF828" s="10">
        <f>IF($A828="","",IFERROR(INDEX('2_IMPORTAR_EJECUCION'!$F$9:$F$1208,MATCH($AN828,'2_IMPORTAR_EJECUCION'!$J$9:$J$1208,0)),0))</f>
        <v/>
      </c>
      <c r="AG828" s="10">
        <f>IF($A828="","",MAX(0,IFERROR(INDEX('2_IMPORTAR_EJECUCION'!$H$9:$H$1208,MATCH($AN828,'2_IMPORTAR_EJECUCION'!$J$9:$J$1208,0)),0)-$AF828))</f>
        <v/>
      </c>
      <c r="AH828" s="10">
        <f>IF($A828="","",$AF828+$AG828)</f>
        <v/>
      </c>
      <c r="AI828" s="6" t="n"/>
      <c r="AJ828" s="6" t="n"/>
      <c r="AK828" s="6" t="n"/>
      <c r="AL828" s="3">
        <f>IF($AK828="","",HYPERLINK(p_ruta_base_checklists&amp;$AK828,"abrir"))</f>
        <v/>
      </c>
      <c r="AM828" s="6" t="n"/>
      <c r="AN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1" t="n"/>
      <c r="K829" s="3" t="n"/>
      <c r="L829" s="10" t="n"/>
      <c r="M829" s="3">
        <f>IF($A829="","",IFERROR(INDEX('AJUSTES'!$B$4:$B$303,MATCH($AN829,'AJUSTES'!$A$4:$A$303,0)),IF($K829="","",$K829)))</f>
        <v/>
      </c>
      <c r="N829" s="3">
        <f>IF($A829="","",IFERROR(INDEX('CAT_ESTADOS_ERP'!$B$4:$B$7,MATCH(IFERROR(INDEX('2_IMPORTAR_EJECUCION'!$C$9:$C$1208,MATCH($AN829,'2_IMPORTAR_EJECUCION'!$J$9:$J$1208,0)),""),'CAT_ESTADOS_ERP'!$A$4:$A$7,0)),"Pendiente"))</f>
        <v/>
      </c>
      <c r="O829" s="3">
        <f>IF($J829="","",YEAR($J829+4-WEEKDAY($J829,2))&amp;"-S"&amp;TEXT(_xlfn.ISOWEEKNUM($J829),"00"))</f>
        <v/>
      </c>
      <c r="P829" s="3">
        <f>IF($J829="","",YEAR($J829))</f>
        <v/>
      </c>
      <c r="Q829" s="3">
        <f>IF($J829="","",MONTH($J829))</f>
        <v/>
      </c>
      <c r="R829" s="3">
        <f>IF($J829="","",INDEX(lista_dias,WEEKDAY($J829,2)))</f>
        <v/>
      </c>
      <c r="S829" s="3">
        <f>IF($I829="","",IFERROR(INDEX('CAT_TIPOS_OT'!$C$4:$C$7,MATCH($I829,'CAT_TIPOS_OT'!$A$4:$A$7,0)),"sin_clasificar"))</f>
        <v/>
      </c>
      <c r="T829" s="3">
        <f>IF($F829="","",IFERROR(INDEX('CAT_CENTROS_COSTO'!$E$4:$E$9,MATCH($F829,'CAT_CENTROS_COSTO'!$A$4:$A$9,0)),"(sin catálogo)"))</f>
        <v/>
      </c>
      <c r="U829" s="3">
        <f>IF($F829="","",IFERROR(INDEX('CAT_CENTROS_COSTO'!$D$4:$D$9,MATCH($F829,'CAT_CENTROS_COSTO'!$A$4:$A$9,0)),"(sin catálogo)"))</f>
        <v/>
      </c>
      <c r="V829" s="3">
        <f>IF($F829="","",IFERROR(INDEX('CAT_CENTROS_COSTO'!$F$4:$F$9,MATCH($F829,'CAT_CENTROS_COSTO'!$A$4:$A$9,0)),"(sin catálogo)"))</f>
        <v/>
      </c>
      <c r="W829" s="3">
        <f>IF($G829="","",IFERROR(INDEX('CAT_PUESTOS'!$B$4:$B$8,MATCH($G829,'CAT_PUESTOS'!$A$4:$A$8,0)),"(sin catálogo)"))</f>
        <v/>
      </c>
      <c r="X829" s="3">
        <f>IF($H829="","",IFERROR(INDEX('CAT_ACTIVIDADES'!$B$4:$B$8,MATCH($H829,'CAT_ACTIVIDADES'!$A$4:$A$8,0)),"(sin catálogo)"))</f>
        <v/>
      </c>
      <c r="Y829" s="12">
        <f>IF($J829="","",TODAY()-$J829)</f>
        <v/>
      </c>
      <c r="Z829" s="3">
        <f>IF($Y829="","",IF($Y829&lt;0,"FUTURO",IF($Y829&gt;p_dias_backlog_max,"BACKLOG","MES CORRIENTE")))</f>
        <v/>
      </c>
      <c r="AA829" s="3">
        <f>IF($Y829="",FALSE,AND($Y829&gt;p_dias_backlog_min,$Y829&lt;=p_dias_backlog_max))</f>
        <v/>
      </c>
      <c r="AB829" s="6" t="n"/>
      <c r="AC829" s="3">
        <f>IF($AB829="","",IFERROR(INDEX('ASIGNACIONES'!$F$4:$F$339,MATCH($O829&amp;"|"&amp;$R829&amp;"|"&amp;$AB829,'ASIGNACIONES'!$I$4:$I$339,0)),""))</f>
        <v/>
      </c>
      <c r="AD829" s="13">
        <f>IF($AB829="","",SUMIFS('ORDENES'!$M$4:$M$1203,'ORDENES'!$AB$4:$AB$1203,$AB829,'ORDENES'!$O$4:$O$1203,$O829,'ORDENES'!$R$4:$R$1203,$R829))</f>
        <v/>
      </c>
      <c r="AE829" s="13">
        <f>IF($AD829="","",p_factor_productividad*IFERROR(INDEX('ASIGNACIONES'!$H$4:$H$339,MATCH($O829&amp;"|"&amp;$R829&amp;"|"&amp;$AB829,'ASIGNACIONES'!$I$4:$I$339,0)),0)-$AD829)</f>
        <v/>
      </c>
      <c r="AF829" s="10">
        <f>IF($A829="","",IFERROR(INDEX('2_IMPORTAR_EJECUCION'!$F$9:$F$1208,MATCH($AN829,'2_IMPORTAR_EJECUCION'!$J$9:$J$1208,0)),0))</f>
        <v/>
      </c>
      <c r="AG829" s="10">
        <f>IF($A829="","",MAX(0,IFERROR(INDEX('2_IMPORTAR_EJECUCION'!$H$9:$H$1208,MATCH($AN829,'2_IMPORTAR_EJECUCION'!$J$9:$J$1208,0)),0)-$AF829))</f>
        <v/>
      </c>
      <c r="AH829" s="10">
        <f>IF($A829="","",$AF829+$AG829)</f>
        <v/>
      </c>
      <c r="AI829" s="6" t="n"/>
      <c r="AJ829" s="6" t="n"/>
      <c r="AK829" s="6" t="n"/>
      <c r="AL829" s="3">
        <f>IF($AK829="","",HYPERLINK(p_ruta_base_checklists&amp;$AK829,"abrir"))</f>
        <v/>
      </c>
      <c r="AM829" s="6" t="n"/>
      <c r="AN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1" t="n"/>
      <c r="K830" s="3" t="n"/>
      <c r="L830" s="10" t="n"/>
      <c r="M830" s="3">
        <f>IF($A830="","",IFERROR(INDEX('AJUSTES'!$B$4:$B$303,MATCH($AN830,'AJUSTES'!$A$4:$A$303,0)),IF($K830="","",$K830)))</f>
        <v/>
      </c>
      <c r="N830" s="3">
        <f>IF($A830="","",IFERROR(INDEX('CAT_ESTADOS_ERP'!$B$4:$B$7,MATCH(IFERROR(INDEX('2_IMPORTAR_EJECUCION'!$C$9:$C$1208,MATCH($AN830,'2_IMPORTAR_EJECUCION'!$J$9:$J$1208,0)),""),'CAT_ESTADOS_ERP'!$A$4:$A$7,0)),"Pendiente"))</f>
        <v/>
      </c>
      <c r="O830" s="3">
        <f>IF($J830="","",YEAR($J830+4-WEEKDAY($J830,2))&amp;"-S"&amp;TEXT(_xlfn.ISOWEEKNUM($J830),"00"))</f>
        <v/>
      </c>
      <c r="P830" s="3">
        <f>IF($J830="","",YEAR($J830))</f>
        <v/>
      </c>
      <c r="Q830" s="3">
        <f>IF($J830="","",MONTH($J830))</f>
        <v/>
      </c>
      <c r="R830" s="3">
        <f>IF($J830="","",INDEX(lista_dias,WEEKDAY($J830,2)))</f>
        <v/>
      </c>
      <c r="S830" s="3">
        <f>IF($I830="","",IFERROR(INDEX('CAT_TIPOS_OT'!$C$4:$C$7,MATCH($I830,'CAT_TIPOS_OT'!$A$4:$A$7,0)),"sin_clasificar"))</f>
        <v/>
      </c>
      <c r="T830" s="3">
        <f>IF($F830="","",IFERROR(INDEX('CAT_CENTROS_COSTO'!$E$4:$E$9,MATCH($F830,'CAT_CENTROS_COSTO'!$A$4:$A$9,0)),"(sin catálogo)"))</f>
        <v/>
      </c>
      <c r="U830" s="3">
        <f>IF($F830="","",IFERROR(INDEX('CAT_CENTROS_COSTO'!$D$4:$D$9,MATCH($F830,'CAT_CENTROS_COSTO'!$A$4:$A$9,0)),"(sin catálogo)"))</f>
        <v/>
      </c>
      <c r="V830" s="3">
        <f>IF($F830="","",IFERROR(INDEX('CAT_CENTROS_COSTO'!$F$4:$F$9,MATCH($F830,'CAT_CENTROS_COSTO'!$A$4:$A$9,0)),"(sin catálogo)"))</f>
        <v/>
      </c>
      <c r="W830" s="3">
        <f>IF($G830="","",IFERROR(INDEX('CAT_PUESTOS'!$B$4:$B$8,MATCH($G830,'CAT_PUESTOS'!$A$4:$A$8,0)),"(sin catálogo)"))</f>
        <v/>
      </c>
      <c r="X830" s="3">
        <f>IF($H830="","",IFERROR(INDEX('CAT_ACTIVIDADES'!$B$4:$B$8,MATCH($H830,'CAT_ACTIVIDADES'!$A$4:$A$8,0)),"(sin catálogo)"))</f>
        <v/>
      </c>
      <c r="Y830" s="12">
        <f>IF($J830="","",TODAY()-$J830)</f>
        <v/>
      </c>
      <c r="Z830" s="3">
        <f>IF($Y830="","",IF($Y830&lt;0,"FUTURO",IF($Y830&gt;p_dias_backlog_max,"BACKLOG","MES CORRIENTE")))</f>
        <v/>
      </c>
      <c r="AA830" s="3">
        <f>IF($Y830="",FALSE,AND($Y830&gt;p_dias_backlog_min,$Y830&lt;=p_dias_backlog_max))</f>
        <v/>
      </c>
      <c r="AB830" s="6" t="n"/>
      <c r="AC830" s="3">
        <f>IF($AB830="","",IFERROR(INDEX('ASIGNACIONES'!$F$4:$F$339,MATCH($O830&amp;"|"&amp;$R830&amp;"|"&amp;$AB830,'ASIGNACIONES'!$I$4:$I$339,0)),""))</f>
        <v/>
      </c>
      <c r="AD830" s="13">
        <f>IF($AB830="","",SUMIFS('ORDENES'!$M$4:$M$1203,'ORDENES'!$AB$4:$AB$1203,$AB830,'ORDENES'!$O$4:$O$1203,$O830,'ORDENES'!$R$4:$R$1203,$R830))</f>
        <v/>
      </c>
      <c r="AE830" s="13">
        <f>IF($AD830="","",p_factor_productividad*IFERROR(INDEX('ASIGNACIONES'!$H$4:$H$339,MATCH($O830&amp;"|"&amp;$R830&amp;"|"&amp;$AB830,'ASIGNACIONES'!$I$4:$I$339,0)),0)-$AD830)</f>
        <v/>
      </c>
      <c r="AF830" s="10">
        <f>IF($A830="","",IFERROR(INDEX('2_IMPORTAR_EJECUCION'!$F$9:$F$1208,MATCH($AN830,'2_IMPORTAR_EJECUCION'!$J$9:$J$1208,0)),0))</f>
        <v/>
      </c>
      <c r="AG830" s="10">
        <f>IF($A830="","",MAX(0,IFERROR(INDEX('2_IMPORTAR_EJECUCION'!$H$9:$H$1208,MATCH($AN830,'2_IMPORTAR_EJECUCION'!$J$9:$J$1208,0)),0)-$AF830))</f>
        <v/>
      </c>
      <c r="AH830" s="10">
        <f>IF($A830="","",$AF830+$AG830)</f>
        <v/>
      </c>
      <c r="AI830" s="6" t="n"/>
      <c r="AJ830" s="6" t="n"/>
      <c r="AK830" s="6" t="n"/>
      <c r="AL830" s="3">
        <f>IF($AK830="","",HYPERLINK(p_ruta_base_checklists&amp;$AK830,"abrir"))</f>
        <v/>
      </c>
      <c r="AM830" s="6" t="n"/>
      <c r="AN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1" t="n"/>
      <c r="K831" s="3" t="n"/>
      <c r="L831" s="10" t="n"/>
      <c r="M831" s="3">
        <f>IF($A831="","",IFERROR(INDEX('AJUSTES'!$B$4:$B$303,MATCH($AN831,'AJUSTES'!$A$4:$A$303,0)),IF($K831="","",$K831)))</f>
        <v/>
      </c>
      <c r="N831" s="3">
        <f>IF($A831="","",IFERROR(INDEX('CAT_ESTADOS_ERP'!$B$4:$B$7,MATCH(IFERROR(INDEX('2_IMPORTAR_EJECUCION'!$C$9:$C$1208,MATCH($AN831,'2_IMPORTAR_EJECUCION'!$J$9:$J$1208,0)),""),'CAT_ESTADOS_ERP'!$A$4:$A$7,0)),"Pendiente"))</f>
        <v/>
      </c>
      <c r="O831" s="3">
        <f>IF($J831="","",YEAR($J831+4-WEEKDAY($J831,2))&amp;"-S"&amp;TEXT(_xlfn.ISOWEEKNUM($J831),"00"))</f>
        <v/>
      </c>
      <c r="P831" s="3">
        <f>IF($J831="","",YEAR($J831))</f>
        <v/>
      </c>
      <c r="Q831" s="3">
        <f>IF($J831="","",MONTH($J831))</f>
        <v/>
      </c>
      <c r="R831" s="3">
        <f>IF($J831="","",INDEX(lista_dias,WEEKDAY($J831,2)))</f>
        <v/>
      </c>
      <c r="S831" s="3">
        <f>IF($I831="","",IFERROR(INDEX('CAT_TIPOS_OT'!$C$4:$C$7,MATCH($I831,'CAT_TIPOS_OT'!$A$4:$A$7,0)),"sin_clasificar"))</f>
        <v/>
      </c>
      <c r="T831" s="3">
        <f>IF($F831="","",IFERROR(INDEX('CAT_CENTROS_COSTO'!$E$4:$E$9,MATCH($F831,'CAT_CENTROS_COSTO'!$A$4:$A$9,0)),"(sin catálogo)"))</f>
        <v/>
      </c>
      <c r="U831" s="3">
        <f>IF($F831="","",IFERROR(INDEX('CAT_CENTROS_COSTO'!$D$4:$D$9,MATCH($F831,'CAT_CENTROS_COSTO'!$A$4:$A$9,0)),"(sin catálogo)"))</f>
        <v/>
      </c>
      <c r="V831" s="3">
        <f>IF($F831="","",IFERROR(INDEX('CAT_CENTROS_COSTO'!$F$4:$F$9,MATCH($F831,'CAT_CENTROS_COSTO'!$A$4:$A$9,0)),"(sin catálogo)"))</f>
        <v/>
      </c>
      <c r="W831" s="3">
        <f>IF($G831="","",IFERROR(INDEX('CAT_PUESTOS'!$B$4:$B$8,MATCH($G831,'CAT_PUESTOS'!$A$4:$A$8,0)),"(sin catálogo)"))</f>
        <v/>
      </c>
      <c r="X831" s="3">
        <f>IF($H831="","",IFERROR(INDEX('CAT_ACTIVIDADES'!$B$4:$B$8,MATCH($H831,'CAT_ACTIVIDADES'!$A$4:$A$8,0)),"(sin catálogo)"))</f>
        <v/>
      </c>
      <c r="Y831" s="12">
        <f>IF($J831="","",TODAY()-$J831)</f>
        <v/>
      </c>
      <c r="Z831" s="3">
        <f>IF($Y831="","",IF($Y831&lt;0,"FUTURO",IF($Y831&gt;p_dias_backlog_max,"BACKLOG","MES CORRIENTE")))</f>
        <v/>
      </c>
      <c r="AA831" s="3">
        <f>IF($Y831="",FALSE,AND($Y831&gt;p_dias_backlog_min,$Y831&lt;=p_dias_backlog_max))</f>
        <v/>
      </c>
      <c r="AB831" s="6" t="n"/>
      <c r="AC831" s="3">
        <f>IF($AB831="","",IFERROR(INDEX('ASIGNACIONES'!$F$4:$F$339,MATCH($O831&amp;"|"&amp;$R831&amp;"|"&amp;$AB831,'ASIGNACIONES'!$I$4:$I$339,0)),""))</f>
        <v/>
      </c>
      <c r="AD831" s="13">
        <f>IF($AB831="","",SUMIFS('ORDENES'!$M$4:$M$1203,'ORDENES'!$AB$4:$AB$1203,$AB831,'ORDENES'!$O$4:$O$1203,$O831,'ORDENES'!$R$4:$R$1203,$R831))</f>
        <v/>
      </c>
      <c r="AE831" s="13">
        <f>IF($AD831="","",p_factor_productividad*IFERROR(INDEX('ASIGNACIONES'!$H$4:$H$339,MATCH($O831&amp;"|"&amp;$R831&amp;"|"&amp;$AB831,'ASIGNACIONES'!$I$4:$I$339,0)),0)-$AD831)</f>
        <v/>
      </c>
      <c r="AF831" s="10">
        <f>IF($A831="","",IFERROR(INDEX('2_IMPORTAR_EJECUCION'!$F$9:$F$1208,MATCH($AN831,'2_IMPORTAR_EJECUCION'!$J$9:$J$1208,0)),0))</f>
        <v/>
      </c>
      <c r="AG831" s="10">
        <f>IF($A831="","",MAX(0,IFERROR(INDEX('2_IMPORTAR_EJECUCION'!$H$9:$H$1208,MATCH($AN831,'2_IMPORTAR_EJECUCION'!$J$9:$J$1208,0)),0)-$AF831))</f>
        <v/>
      </c>
      <c r="AH831" s="10">
        <f>IF($A831="","",$AF831+$AG831)</f>
        <v/>
      </c>
      <c r="AI831" s="6" t="n"/>
      <c r="AJ831" s="6" t="n"/>
      <c r="AK831" s="6" t="n"/>
      <c r="AL831" s="3">
        <f>IF($AK831="","",HYPERLINK(p_ruta_base_checklists&amp;$AK831,"abrir"))</f>
        <v/>
      </c>
      <c r="AM831" s="6" t="n"/>
      <c r="AN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1" t="n"/>
      <c r="K832" s="3" t="n"/>
      <c r="L832" s="10" t="n"/>
      <c r="M832" s="3">
        <f>IF($A832="","",IFERROR(INDEX('AJUSTES'!$B$4:$B$303,MATCH($AN832,'AJUSTES'!$A$4:$A$303,0)),IF($K832="","",$K832)))</f>
        <v/>
      </c>
      <c r="N832" s="3">
        <f>IF($A832="","",IFERROR(INDEX('CAT_ESTADOS_ERP'!$B$4:$B$7,MATCH(IFERROR(INDEX('2_IMPORTAR_EJECUCION'!$C$9:$C$1208,MATCH($AN832,'2_IMPORTAR_EJECUCION'!$J$9:$J$1208,0)),""),'CAT_ESTADOS_ERP'!$A$4:$A$7,0)),"Pendiente"))</f>
        <v/>
      </c>
      <c r="O832" s="3">
        <f>IF($J832="","",YEAR($J832+4-WEEKDAY($J832,2))&amp;"-S"&amp;TEXT(_xlfn.ISOWEEKNUM($J832),"00"))</f>
        <v/>
      </c>
      <c r="P832" s="3">
        <f>IF($J832="","",YEAR($J832))</f>
        <v/>
      </c>
      <c r="Q832" s="3">
        <f>IF($J832="","",MONTH($J832))</f>
        <v/>
      </c>
      <c r="R832" s="3">
        <f>IF($J832="","",INDEX(lista_dias,WEEKDAY($J832,2)))</f>
        <v/>
      </c>
      <c r="S832" s="3">
        <f>IF($I832="","",IFERROR(INDEX('CAT_TIPOS_OT'!$C$4:$C$7,MATCH($I832,'CAT_TIPOS_OT'!$A$4:$A$7,0)),"sin_clasificar"))</f>
        <v/>
      </c>
      <c r="T832" s="3">
        <f>IF($F832="","",IFERROR(INDEX('CAT_CENTROS_COSTO'!$E$4:$E$9,MATCH($F832,'CAT_CENTROS_COSTO'!$A$4:$A$9,0)),"(sin catálogo)"))</f>
        <v/>
      </c>
      <c r="U832" s="3">
        <f>IF($F832="","",IFERROR(INDEX('CAT_CENTROS_COSTO'!$D$4:$D$9,MATCH($F832,'CAT_CENTROS_COSTO'!$A$4:$A$9,0)),"(sin catálogo)"))</f>
        <v/>
      </c>
      <c r="V832" s="3">
        <f>IF($F832="","",IFERROR(INDEX('CAT_CENTROS_COSTO'!$F$4:$F$9,MATCH($F832,'CAT_CENTROS_COSTO'!$A$4:$A$9,0)),"(sin catálogo)"))</f>
        <v/>
      </c>
      <c r="W832" s="3">
        <f>IF($G832="","",IFERROR(INDEX('CAT_PUESTOS'!$B$4:$B$8,MATCH($G832,'CAT_PUESTOS'!$A$4:$A$8,0)),"(sin catálogo)"))</f>
        <v/>
      </c>
      <c r="X832" s="3">
        <f>IF($H832="","",IFERROR(INDEX('CAT_ACTIVIDADES'!$B$4:$B$8,MATCH($H832,'CAT_ACTIVIDADES'!$A$4:$A$8,0)),"(sin catálogo)"))</f>
        <v/>
      </c>
      <c r="Y832" s="12">
        <f>IF($J832="","",TODAY()-$J832)</f>
        <v/>
      </c>
      <c r="Z832" s="3">
        <f>IF($Y832="","",IF($Y832&lt;0,"FUTURO",IF($Y832&gt;p_dias_backlog_max,"BACKLOG","MES CORRIENTE")))</f>
        <v/>
      </c>
      <c r="AA832" s="3">
        <f>IF($Y832="",FALSE,AND($Y832&gt;p_dias_backlog_min,$Y832&lt;=p_dias_backlog_max))</f>
        <v/>
      </c>
      <c r="AB832" s="6" t="n"/>
      <c r="AC832" s="3">
        <f>IF($AB832="","",IFERROR(INDEX('ASIGNACIONES'!$F$4:$F$339,MATCH($O832&amp;"|"&amp;$R832&amp;"|"&amp;$AB832,'ASIGNACIONES'!$I$4:$I$339,0)),""))</f>
        <v/>
      </c>
      <c r="AD832" s="13">
        <f>IF($AB832="","",SUMIFS('ORDENES'!$M$4:$M$1203,'ORDENES'!$AB$4:$AB$1203,$AB832,'ORDENES'!$O$4:$O$1203,$O832,'ORDENES'!$R$4:$R$1203,$R832))</f>
        <v/>
      </c>
      <c r="AE832" s="13">
        <f>IF($AD832="","",p_factor_productividad*IFERROR(INDEX('ASIGNACIONES'!$H$4:$H$339,MATCH($O832&amp;"|"&amp;$R832&amp;"|"&amp;$AB832,'ASIGNACIONES'!$I$4:$I$339,0)),0)-$AD832)</f>
        <v/>
      </c>
      <c r="AF832" s="10">
        <f>IF($A832="","",IFERROR(INDEX('2_IMPORTAR_EJECUCION'!$F$9:$F$1208,MATCH($AN832,'2_IMPORTAR_EJECUCION'!$J$9:$J$1208,0)),0))</f>
        <v/>
      </c>
      <c r="AG832" s="10">
        <f>IF($A832="","",MAX(0,IFERROR(INDEX('2_IMPORTAR_EJECUCION'!$H$9:$H$1208,MATCH($AN832,'2_IMPORTAR_EJECUCION'!$J$9:$J$1208,0)),0)-$AF832))</f>
        <v/>
      </c>
      <c r="AH832" s="10">
        <f>IF($A832="","",$AF832+$AG832)</f>
        <v/>
      </c>
      <c r="AI832" s="6" t="n"/>
      <c r="AJ832" s="6" t="n"/>
      <c r="AK832" s="6" t="n"/>
      <c r="AL832" s="3">
        <f>IF($AK832="","",HYPERLINK(p_ruta_base_checklists&amp;$AK832,"abrir"))</f>
        <v/>
      </c>
      <c r="AM832" s="6" t="n"/>
      <c r="AN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1" t="n"/>
      <c r="K833" s="3" t="n"/>
      <c r="L833" s="10" t="n"/>
      <c r="M833" s="3">
        <f>IF($A833="","",IFERROR(INDEX('AJUSTES'!$B$4:$B$303,MATCH($AN833,'AJUSTES'!$A$4:$A$303,0)),IF($K833="","",$K833)))</f>
        <v/>
      </c>
      <c r="N833" s="3">
        <f>IF($A833="","",IFERROR(INDEX('CAT_ESTADOS_ERP'!$B$4:$B$7,MATCH(IFERROR(INDEX('2_IMPORTAR_EJECUCION'!$C$9:$C$1208,MATCH($AN833,'2_IMPORTAR_EJECUCION'!$J$9:$J$1208,0)),""),'CAT_ESTADOS_ERP'!$A$4:$A$7,0)),"Pendiente"))</f>
        <v/>
      </c>
      <c r="O833" s="3">
        <f>IF($J833="","",YEAR($J833+4-WEEKDAY($J833,2))&amp;"-S"&amp;TEXT(_xlfn.ISOWEEKNUM($J833),"00"))</f>
        <v/>
      </c>
      <c r="P833" s="3">
        <f>IF($J833="","",YEAR($J833))</f>
        <v/>
      </c>
      <c r="Q833" s="3">
        <f>IF($J833="","",MONTH($J833))</f>
        <v/>
      </c>
      <c r="R833" s="3">
        <f>IF($J833="","",INDEX(lista_dias,WEEKDAY($J833,2)))</f>
        <v/>
      </c>
      <c r="S833" s="3">
        <f>IF($I833="","",IFERROR(INDEX('CAT_TIPOS_OT'!$C$4:$C$7,MATCH($I833,'CAT_TIPOS_OT'!$A$4:$A$7,0)),"sin_clasificar"))</f>
        <v/>
      </c>
      <c r="T833" s="3">
        <f>IF($F833="","",IFERROR(INDEX('CAT_CENTROS_COSTO'!$E$4:$E$9,MATCH($F833,'CAT_CENTROS_COSTO'!$A$4:$A$9,0)),"(sin catálogo)"))</f>
        <v/>
      </c>
      <c r="U833" s="3">
        <f>IF($F833="","",IFERROR(INDEX('CAT_CENTROS_COSTO'!$D$4:$D$9,MATCH($F833,'CAT_CENTROS_COSTO'!$A$4:$A$9,0)),"(sin catálogo)"))</f>
        <v/>
      </c>
      <c r="V833" s="3">
        <f>IF($F833="","",IFERROR(INDEX('CAT_CENTROS_COSTO'!$F$4:$F$9,MATCH($F833,'CAT_CENTROS_COSTO'!$A$4:$A$9,0)),"(sin catálogo)"))</f>
        <v/>
      </c>
      <c r="W833" s="3">
        <f>IF($G833="","",IFERROR(INDEX('CAT_PUESTOS'!$B$4:$B$8,MATCH($G833,'CAT_PUESTOS'!$A$4:$A$8,0)),"(sin catálogo)"))</f>
        <v/>
      </c>
      <c r="X833" s="3">
        <f>IF($H833="","",IFERROR(INDEX('CAT_ACTIVIDADES'!$B$4:$B$8,MATCH($H833,'CAT_ACTIVIDADES'!$A$4:$A$8,0)),"(sin catálogo)"))</f>
        <v/>
      </c>
      <c r="Y833" s="12">
        <f>IF($J833="","",TODAY()-$J833)</f>
        <v/>
      </c>
      <c r="Z833" s="3">
        <f>IF($Y833="","",IF($Y833&lt;0,"FUTURO",IF($Y833&gt;p_dias_backlog_max,"BACKLOG","MES CORRIENTE")))</f>
        <v/>
      </c>
      <c r="AA833" s="3">
        <f>IF($Y833="",FALSE,AND($Y833&gt;p_dias_backlog_min,$Y833&lt;=p_dias_backlog_max))</f>
        <v/>
      </c>
      <c r="AB833" s="6" t="n"/>
      <c r="AC833" s="3">
        <f>IF($AB833="","",IFERROR(INDEX('ASIGNACIONES'!$F$4:$F$339,MATCH($O833&amp;"|"&amp;$R833&amp;"|"&amp;$AB833,'ASIGNACIONES'!$I$4:$I$339,0)),""))</f>
        <v/>
      </c>
      <c r="AD833" s="13">
        <f>IF($AB833="","",SUMIFS('ORDENES'!$M$4:$M$1203,'ORDENES'!$AB$4:$AB$1203,$AB833,'ORDENES'!$O$4:$O$1203,$O833,'ORDENES'!$R$4:$R$1203,$R833))</f>
        <v/>
      </c>
      <c r="AE833" s="13">
        <f>IF($AD833="","",p_factor_productividad*IFERROR(INDEX('ASIGNACIONES'!$H$4:$H$339,MATCH($O833&amp;"|"&amp;$R833&amp;"|"&amp;$AB833,'ASIGNACIONES'!$I$4:$I$339,0)),0)-$AD833)</f>
        <v/>
      </c>
      <c r="AF833" s="10">
        <f>IF($A833="","",IFERROR(INDEX('2_IMPORTAR_EJECUCION'!$F$9:$F$1208,MATCH($AN833,'2_IMPORTAR_EJECUCION'!$J$9:$J$1208,0)),0))</f>
        <v/>
      </c>
      <c r="AG833" s="10">
        <f>IF($A833="","",MAX(0,IFERROR(INDEX('2_IMPORTAR_EJECUCION'!$H$9:$H$1208,MATCH($AN833,'2_IMPORTAR_EJECUCION'!$J$9:$J$1208,0)),0)-$AF833))</f>
        <v/>
      </c>
      <c r="AH833" s="10">
        <f>IF($A833="","",$AF833+$AG833)</f>
        <v/>
      </c>
      <c r="AI833" s="6" t="n"/>
      <c r="AJ833" s="6" t="n"/>
      <c r="AK833" s="6" t="n"/>
      <c r="AL833" s="3">
        <f>IF($AK833="","",HYPERLINK(p_ruta_base_checklists&amp;$AK833,"abrir"))</f>
        <v/>
      </c>
      <c r="AM833" s="6" t="n"/>
      <c r="AN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1" t="n"/>
      <c r="K834" s="3" t="n"/>
      <c r="L834" s="10" t="n"/>
      <c r="M834" s="3">
        <f>IF($A834="","",IFERROR(INDEX('AJUSTES'!$B$4:$B$303,MATCH($AN834,'AJUSTES'!$A$4:$A$303,0)),IF($K834="","",$K834)))</f>
        <v/>
      </c>
      <c r="N834" s="3">
        <f>IF($A834="","",IFERROR(INDEX('CAT_ESTADOS_ERP'!$B$4:$B$7,MATCH(IFERROR(INDEX('2_IMPORTAR_EJECUCION'!$C$9:$C$1208,MATCH($AN834,'2_IMPORTAR_EJECUCION'!$J$9:$J$1208,0)),""),'CAT_ESTADOS_ERP'!$A$4:$A$7,0)),"Pendiente"))</f>
        <v/>
      </c>
      <c r="O834" s="3">
        <f>IF($J834="","",YEAR($J834+4-WEEKDAY($J834,2))&amp;"-S"&amp;TEXT(_xlfn.ISOWEEKNUM($J834),"00"))</f>
        <v/>
      </c>
      <c r="P834" s="3">
        <f>IF($J834="","",YEAR($J834))</f>
        <v/>
      </c>
      <c r="Q834" s="3">
        <f>IF($J834="","",MONTH($J834))</f>
        <v/>
      </c>
      <c r="R834" s="3">
        <f>IF($J834="","",INDEX(lista_dias,WEEKDAY($J834,2)))</f>
        <v/>
      </c>
      <c r="S834" s="3">
        <f>IF($I834="","",IFERROR(INDEX('CAT_TIPOS_OT'!$C$4:$C$7,MATCH($I834,'CAT_TIPOS_OT'!$A$4:$A$7,0)),"sin_clasificar"))</f>
        <v/>
      </c>
      <c r="T834" s="3">
        <f>IF($F834="","",IFERROR(INDEX('CAT_CENTROS_COSTO'!$E$4:$E$9,MATCH($F834,'CAT_CENTROS_COSTO'!$A$4:$A$9,0)),"(sin catálogo)"))</f>
        <v/>
      </c>
      <c r="U834" s="3">
        <f>IF($F834="","",IFERROR(INDEX('CAT_CENTROS_COSTO'!$D$4:$D$9,MATCH($F834,'CAT_CENTROS_COSTO'!$A$4:$A$9,0)),"(sin catálogo)"))</f>
        <v/>
      </c>
      <c r="V834" s="3">
        <f>IF($F834="","",IFERROR(INDEX('CAT_CENTROS_COSTO'!$F$4:$F$9,MATCH($F834,'CAT_CENTROS_COSTO'!$A$4:$A$9,0)),"(sin catálogo)"))</f>
        <v/>
      </c>
      <c r="W834" s="3">
        <f>IF($G834="","",IFERROR(INDEX('CAT_PUESTOS'!$B$4:$B$8,MATCH($G834,'CAT_PUESTOS'!$A$4:$A$8,0)),"(sin catálogo)"))</f>
        <v/>
      </c>
      <c r="X834" s="3">
        <f>IF($H834="","",IFERROR(INDEX('CAT_ACTIVIDADES'!$B$4:$B$8,MATCH($H834,'CAT_ACTIVIDADES'!$A$4:$A$8,0)),"(sin catálogo)"))</f>
        <v/>
      </c>
      <c r="Y834" s="12">
        <f>IF($J834="","",TODAY()-$J834)</f>
        <v/>
      </c>
      <c r="Z834" s="3">
        <f>IF($Y834="","",IF($Y834&lt;0,"FUTURO",IF($Y834&gt;p_dias_backlog_max,"BACKLOG","MES CORRIENTE")))</f>
        <v/>
      </c>
      <c r="AA834" s="3">
        <f>IF($Y834="",FALSE,AND($Y834&gt;p_dias_backlog_min,$Y834&lt;=p_dias_backlog_max))</f>
        <v/>
      </c>
      <c r="AB834" s="6" t="n"/>
      <c r="AC834" s="3">
        <f>IF($AB834="","",IFERROR(INDEX('ASIGNACIONES'!$F$4:$F$339,MATCH($O834&amp;"|"&amp;$R834&amp;"|"&amp;$AB834,'ASIGNACIONES'!$I$4:$I$339,0)),""))</f>
        <v/>
      </c>
      <c r="AD834" s="13">
        <f>IF($AB834="","",SUMIFS('ORDENES'!$M$4:$M$1203,'ORDENES'!$AB$4:$AB$1203,$AB834,'ORDENES'!$O$4:$O$1203,$O834,'ORDENES'!$R$4:$R$1203,$R834))</f>
        <v/>
      </c>
      <c r="AE834" s="13">
        <f>IF($AD834="","",p_factor_productividad*IFERROR(INDEX('ASIGNACIONES'!$H$4:$H$339,MATCH($O834&amp;"|"&amp;$R834&amp;"|"&amp;$AB834,'ASIGNACIONES'!$I$4:$I$339,0)),0)-$AD834)</f>
        <v/>
      </c>
      <c r="AF834" s="10">
        <f>IF($A834="","",IFERROR(INDEX('2_IMPORTAR_EJECUCION'!$F$9:$F$1208,MATCH($AN834,'2_IMPORTAR_EJECUCION'!$J$9:$J$1208,0)),0))</f>
        <v/>
      </c>
      <c r="AG834" s="10">
        <f>IF($A834="","",MAX(0,IFERROR(INDEX('2_IMPORTAR_EJECUCION'!$H$9:$H$1208,MATCH($AN834,'2_IMPORTAR_EJECUCION'!$J$9:$J$1208,0)),0)-$AF834))</f>
        <v/>
      </c>
      <c r="AH834" s="10">
        <f>IF($A834="","",$AF834+$AG834)</f>
        <v/>
      </c>
      <c r="AI834" s="6" t="n"/>
      <c r="AJ834" s="6" t="n"/>
      <c r="AK834" s="6" t="n"/>
      <c r="AL834" s="3">
        <f>IF($AK834="","",HYPERLINK(p_ruta_base_checklists&amp;$AK834,"abrir"))</f>
        <v/>
      </c>
      <c r="AM834" s="6" t="n"/>
      <c r="AN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1" t="n"/>
      <c r="K835" s="3" t="n"/>
      <c r="L835" s="10" t="n"/>
      <c r="M835" s="3">
        <f>IF($A835="","",IFERROR(INDEX('AJUSTES'!$B$4:$B$303,MATCH($AN835,'AJUSTES'!$A$4:$A$303,0)),IF($K835="","",$K835)))</f>
        <v/>
      </c>
      <c r="N835" s="3">
        <f>IF($A835="","",IFERROR(INDEX('CAT_ESTADOS_ERP'!$B$4:$B$7,MATCH(IFERROR(INDEX('2_IMPORTAR_EJECUCION'!$C$9:$C$1208,MATCH($AN835,'2_IMPORTAR_EJECUCION'!$J$9:$J$1208,0)),""),'CAT_ESTADOS_ERP'!$A$4:$A$7,0)),"Pendiente"))</f>
        <v/>
      </c>
      <c r="O835" s="3">
        <f>IF($J835="","",YEAR($J835+4-WEEKDAY($J835,2))&amp;"-S"&amp;TEXT(_xlfn.ISOWEEKNUM($J835),"00"))</f>
        <v/>
      </c>
      <c r="P835" s="3">
        <f>IF($J835="","",YEAR($J835))</f>
        <v/>
      </c>
      <c r="Q835" s="3">
        <f>IF($J835="","",MONTH($J835))</f>
        <v/>
      </c>
      <c r="R835" s="3">
        <f>IF($J835="","",INDEX(lista_dias,WEEKDAY($J835,2)))</f>
        <v/>
      </c>
      <c r="S835" s="3">
        <f>IF($I835="","",IFERROR(INDEX('CAT_TIPOS_OT'!$C$4:$C$7,MATCH($I835,'CAT_TIPOS_OT'!$A$4:$A$7,0)),"sin_clasificar"))</f>
        <v/>
      </c>
      <c r="T835" s="3">
        <f>IF($F835="","",IFERROR(INDEX('CAT_CENTROS_COSTO'!$E$4:$E$9,MATCH($F835,'CAT_CENTROS_COSTO'!$A$4:$A$9,0)),"(sin catálogo)"))</f>
        <v/>
      </c>
      <c r="U835" s="3">
        <f>IF($F835="","",IFERROR(INDEX('CAT_CENTROS_COSTO'!$D$4:$D$9,MATCH($F835,'CAT_CENTROS_COSTO'!$A$4:$A$9,0)),"(sin catálogo)"))</f>
        <v/>
      </c>
      <c r="V835" s="3">
        <f>IF($F835="","",IFERROR(INDEX('CAT_CENTROS_COSTO'!$F$4:$F$9,MATCH($F835,'CAT_CENTROS_COSTO'!$A$4:$A$9,0)),"(sin catálogo)"))</f>
        <v/>
      </c>
      <c r="W835" s="3">
        <f>IF($G835="","",IFERROR(INDEX('CAT_PUESTOS'!$B$4:$B$8,MATCH($G835,'CAT_PUESTOS'!$A$4:$A$8,0)),"(sin catálogo)"))</f>
        <v/>
      </c>
      <c r="X835" s="3">
        <f>IF($H835="","",IFERROR(INDEX('CAT_ACTIVIDADES'!$B$4:$B$8,MATCH($H835,'CAT_ACTIVIDADES'!$A$4:$A$8,0)),"(sin catálogo)"))</f>
        <v/>
      </c>
      <c r="Y835" s="12">
        <f>IF($J835="","",TODAY()-$J835)</f>
        <v/>
      </c>
      <c r="Z835" s="3">
        <f>IF($Y835="","",IF($Y835&lt;0,"FUTURO",IF($Y835&gt;p_dias_backlog_max,"BACKLOG","MES CORRIENTE")))</f>
        <v/>
      </c>
      <c r="AA835" s="3">
        <f>IF($Y835="",FALSE,AND($Y835&gt;p_dias_backlog_min,$Y835&lt;=p_dias_backlog_max))</f>
        <v/>
      </c>
      <c r="AB835" s="6" t="n"/>
      <c r="AC835" s="3">
        <f>IF($AB835="","",IFERROR(INDEX('ASIGNACIONES'!$F$4:$F$339,MATCH($O835&amp;"|"&amp;$R835&amp;"|"&amp;$AB835,'ASIGNACIONES'!$I$4:$I$339,0)),""))</f>
        <v/>
      </c>
      <c r="AD835" s="13">
        <f>IF($AB835="","",SUMIFS('ORDENES'!$M$4:$M$1203,'ORDENES'!$AB$4:$AB$1203,$AB835,'ORDENES'!$O$4:$O$1203,$O835,'ORDENES'!$R$4:$R$1203,$R835))</f>
        <v/>
      </c>
      <c r="AE835" s="13">
        <f>IF($AD835="","",p_factor_productividad*IFERROR(INDEX('ASIGNACIONES'!$H$4:$H$339,MATCH($O835&amp;"|"&amp;$R835&amp;"|"&amp;$AB835,'ASIGNACIONES'!$I$4:$I$339,0)),0)-$AD835)</f>
        <v/>
      </c>
      <c r="AF835" s="10">
        <f>IF($A835="","",IFERROR(INDEX('2_IMPORTAR_EJECUCION'!$F$9:$F$1208,MATCH($AN835,'2_IMPORTAR_EJECUCION'!$J$9:$J$1208,0)),0))</f>
        <v/>
      </c>
      <c r="AG835" s="10">
        <f>IF($A835="","",MAX(0,IFERROR(INDEX('2_IMPORTAR_EJECUCION'!$H$9:$H$1208,MATCH($AN835,'2_IMPORTAR_EJECUCION'!$J$9:$J$1208,0)),0)-$AF835))</f>
        <v/>
      </c>
      <c r="AH835" s="10">
        <f>IF($A835="","",$AF835+$AG835)</f>
        <v/>
      </c>
      <c r="AI835" s="6" t="n"/>
      <c r="AJ835" s="6" t="n"/>
      <c r="AK835" s="6" t="n"/>
      <c r="AL835" s="3">
        <f>IF($AK835="","",HYPERLINK(p_ruta_base_checklists&amp;$AK835,"abrir"))</f>
        <v/>
      </c>
      <c r="AM835" s="6" t="n"/>
      <c r="AN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1" t="n"/>
      <c r="K836" s="3" t="n"/>
      <c r="L836" s="10" t="n"/>
      <c r="M836" s="3">
        <f>IF($A836="","",IFERROR(INDEX('AJUSTES'!$B$4:$B$303,MATCH($AN836,'AJUSTES'!$A$4:$A$303,0)),IF($K836="","",$K836)))</f>
        <v/>
      </c>
      <c r="N836" s="3">
        <f>IF($A836="","",IFERROR(INDEX('CAT_ESTADOS_ERP'!$B$4:$B$7,MATCH(IFERROR(INDEX('2_IMPORTAR_EJECUCION'!$C$9:$C$1208,MATCH($AN836,'2_IMPORTAR_EJECUCION'!$J$9:$J$1208,0)),""),'CAT_ESTADOS_ERP'!$A$4:$A$7,0)),"Pendiente"))</f>
        <v/>
      </c>
      <c r="O836" s="3">
        <f>IF($J836="","",YEAR($J836+4-WEEKDAY($J836,2))&amp;"-S"&amp;TEXT(_xlfn.ISOWEEKNUM($J836),"00"))</f>
        <v/>
      </c>
      <c r="P836" s="3">
        <f>IF($J836="","",YEAR($J836))</f>
        <v/>
      </c>
      <c r="Q836" s="3">
        <f>IF($J836="","",MONTH($J836))</f>
        <v/>
      </c>
      <c r="R836" s="3">
        <f>IF($J836="","",INDEX(lista_dias,WEEKDAY($J836,2)))</f>
        <v/>
      </c>
      <c r="S836" s="3">
        <f>IF($I836="","",IFERROR(INDEX('CAT_TIPOS_OT'!$C$4:$C$7,MATCH($I836,'CAT_TIPOS_OT'!$A$4:$A$7,0)),"sin_clasificar"))</f>
        <v/>
      </c>
      <c r="T836" s="3">
        <f>IF($F836="","",IFERROR(INDEX('CAT_CENTROS_COSTO'!$E$4:$E$9,MATCH($F836,'CAT_CENTROS_COSTO'!$A$4:$A$9,0)),"(sin catálogo)"))</f>
        <v/>
      </c>
      <c r="U836" s="3">
        <f>IF($F836="","",IFERROR(INDEX('CAT_CENTROS_COSTO'!$D$4:$D$9,MATCH($F836,'CAT_CENTROS_COSTO'!$A$4:$A$9,0)),"(sin catálogo)"))</f>
        <v/>
      </c>
      <c r="V836" s="3">
        <f>IF($F836="","",IFERROR(INDEX('CAT_CENTROS_COSTO'!$F$4:$F$9,MATCH($F836,'CAT_CENTROS_COSTO'!$A$4:$A$9,0)),"(sin catálogo)"))</f>
        <v/>
      </c>
      <c r="W836" s="3">
        <f>IF($G836="","",IFERROR(INDEX('CAT_PUESTOS'!$B$4:$B$8,MATCH($G836,'CAT_PUESTOS'!$A$4:$A$8,0)),"(sin catálogo)"))</f>
        <v/>
      </c>
      <c r="X836" s="3">
        <f>IF($H836="","",IFERROR(INDEX('CAT_ACTIVIDADES'!$B$4:$B$8,MATCH($H836,'CAT_ACTIVIDADES'!$A$4:$A$8,0)),"(sin catálogo)"))</f>
        <v/>
      </c>
      <c r="Y836" s="12">
        <f>IF($J836="","",TODAY()-$J836)</f>
        <v/>
      </c>
      <c r="Z836" s="3">
        <f>IF($Y836="","",IF($Y836&lt;0,"FUTURO",IF($Y836&gt;p_dias_backlog_max,"BACKLOG","MES CORRIENTE")))</f>
        <v/>
      </c>
      <c r="AA836" s="3">
        <f>IF($Y836="",FALSE,AND($Y836&gt;p_dias_backlog_min,$Y836&lt;=p_dias_backlog_max))</f>
        <v/>
      </c>
      <c r="AB836" s="6" t="n"/>
      <c r="AC836" s="3">
        <f>IF($AB836="","",IFERROR(INDEX('ASIGNACIONES'!$F$4:$F$339,MATCH($O836&amp;"|"&amp;$R836&amp;"|"&amp;$AB836,'ASIGNACIONES'!$I$4:$I$339,0)),""))</f>
        <v/>
      </c>
      <c r="AD836" s="13">
        <f>IF($AB836="","",SUMIFS('ORDENES'!$M$4:$M$1203,'ORDENES'!$AB$4:$AB$1203,$AB836,'ORDENES'!$O$4:$O$1203,$O836,'ORDENES'!$R$4:$R$1203,$R836))</f>
        <v/>
      </c>
      <c r="AE836" s="13">
        <f>IF($AD836="","",p_factor_productividad*IFERROR(INDEX('ASIGNACIONES'!$H$4:$H$339,MATCH($O836&amp;"|"&amp;$R836&amp;"|"&amp;$AB836,'ASIGNACIONES'!$I$4:$I$339,0)),0)-$AD836)</f>
        <v/>
      </c>
      <c r="AF836" s="10">
        <f>IF($A836="","",IFERROR(INDEX('2_IMPORTAR_EJECUCION'!$F$9:$F$1208,MATCH($AN836,'2_IMPORTAR_EJECUCION'!$J$9:$J$1208,0)),0))</f>
        <v/>
      </c>
      <c r="AG836" s="10">
        <f>IF($A836="","",MAX(0,IFERROR(INDEX('2_IMPORTAR_EJECUCION'!$H$9:$H$1208,MATCH($AN836,'2_IMPORTAR_EJECUCION'!$J$9:$J$1208,0)),0)-$AF836))</f>
        <v/>
      </c>
      <c r="AH836" s="10">
        <f>IF($A836="","",$AF836+$AG836)</f>
        <v/>
      </c>
      <c r="AI836" s="6" t="n"/>
      <c r="AJ836" s="6" t="n"/>
      <c r="AK836" s="6" t="n"/>
      <c r="AL836" s="3">
        <f>IF($AK836="","",HYPERLINK(p_ruta_base_checklists&amp;$AK836,"abrir"))</f>
        <v/>
      </c>
      <c r="AM836" s="6" t="n"/>
      <c r="AN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1" t="n"/>
      <c r="K837" s="3" t="n"/>
      <c r="L837" s="10" t="n"/>
      <c r="M837" s="3">
        <f>IF($A837="","",IFERROR(INDEX('AJUSTES'!$B$4:$B$303,MATCH($AN837,'AJUSTES'!$A$4:$A$303,0)),IF($K837="","",$K837)))</f>
        <v/>
      </c>
      <c r="N837" s="3">
        <f>IF($A837="","",IFERROR(INDEX('CAT_ESTADOS_ERP'!$B$4:$B$7,MATCH(IFERROR(INDEX('2_IMPORTAR_EJECUCION'!$C$9:$C$1208,MATCH($AN837,'2_IMPORTAR_EJECUCION'!$J$9:$J$1208,0)),""),'CAT_ESTADOS_ERP'!$A$4:$A$7,0)),"Pendiente"))</f>
        <v/>
      </c>
      <c r="O837" s="3">
        <f>IF($J837="","",YEAR($J837+4-WEEKDAY($J837,2))&amp;"-S"&amp;TEXT(_xlfn.ISOWEEKNUM($J837),"00"))</f>
        <v/>
      </c>
      <c r="P837" s="3">
        <f>IF($J837="","",YEAR($J837))</f>
        <v/>
      </c>
      <c r="Q837" s="3">
        <f>IF($J837="","",MONTH($J837))</f>
        <v/>
      </c>
      <c r="R837" s="3">
        <f>IF($J837="","",INDEX(lista_dias,WEEKDAY($J837,2)))</f>
        <v/>
      </c>
      <c r="S837" s="3">
        <f>IF($I837="","",IFERROR(INDEX('CAT_TIPOS_OT'!$C$4:$C$7,MATCH($I837,'CAT_TIPOS_OT'!$A$4:$A$7,0)),"sin_clasificar"))</f>
        <v/>
      </c>
      <c r="T837" s="3">
        <f>IF($F837="","",IFERROR(INDEX('CAT_CENTROS_COSTO'!$E$4:$E$9,MATCH($F837,'CAT_CENTROS_COSTO'!$A$4:$A$9,0)),"(sin catálogo)"))</f>
        <v/>
      </c>
      <c r="U837" s="3">
        <f>IF($F837="","",IFERROR(INDEX('CAT_CENTROS_COSTO'!$D$4:$D$9,MATCH($F837,'CAT_CENTROS_COSTO'!$A$4:$A$9,0)),"(sin catálogo)"))</f>
        <v/>
      </c>
      <c r="V837" s="3">
        <f>IF($F837="","",IFERROR(INDEX('CAT_CENTROS_COSTO'!$F$4:$F$9,MATCH($F837,'CAT_CENTROS_COSTO'!$A$4:$A$9,0)),"(sin catálogo)"))</f>
        <v/>
      </c>
      <c r="W837" s="3">
        <f>IF($G837="","",IFERROR(INDEX('CAT_PUESTOS'!$B$4:$B$8,MATCH($G837,'CAT_PUESTOS'!$A$4:$A$8,0)),"(sin catálogo)"))</f>
        <v/>
      </c>
      <c r="X837" s="3">
        <f>IF($H837="","",IFERROR(INDEX('CAT_ACTIVIDADES'!$B$4:$B$8,MATCH($H837,'CAT_ACTIVIDADES'!$A$4:$A$8,0)),"(sin catálogo)"))</f>
        <v/>
      </c>
      <c r="Y837" s="12">
        <f>IF($J837="","",TODAY()-$J837)</f>
        <v/>
      </c>
      <c r="Z837" s="3">
        <f>IF($Y837="","",IF($Y837&lt;0,"FUTURO",IF($Y837&gt;p_dias_backlog_max,"BACKLOG","MES CORRIENTE")))</f>
        <v/>
      </c>
      <c r="AA837" s="3">
        <f>IF($Y837="",FALSE,AND($Y837&gt;p_dias_backlog_min,$Y837&lt;=p_dias_backlog_max))</f>
        <v/>
      </c>
      <c r="AB837" s="6" t="n"/>
      <c r="AC837" s="3">
        <f>IF($AB837="","",IFERROR(INDEX('ASIGNACIONES'!$F$4:$F$339,MATCH($O837&amp;"|"&amp;$R837&amp;"|"&amp;$AB837,'ASIGNACIONES'!$I$4:$I$339,0)),""))</f>
        <v/>
      </c>
      <c r="AD837" s="13">
        <f>IF($AB837="","",SUMIFS('ORDENES'!$M$4:$M$1203,'ORDENES'!$AB$4:$AB$1203,$AB837,'ORDENES'!$O$4:$O$1203,$O837,'ORDENES'!$R$4:$R$1203,$R837))</f>
        <v/>
      </c>
      <c r="AE837" s="13">
        <f>IF($AD837="","",p_factor_productividad*IFERROR(INDEX('ASIGNACIONES'!$H$4:$H$339,MATCH($O837&amp;"|"&amp;$R837&amp;"|"&amp;$AB837,'ASIGNACIONES'!$I$4:$I$339,0)),0)-$AD837)</f>
        <v/>
      </c>
      <c r="AF837" s="10">
        <f>IF($A837="","",IFERROR(INDEX('2_IMPORTAR_EJECUCION'!$F$9:$F$1208,MATCH($AN837,'2_IMPORTAR_EJECUCION'!$J$9:$J$1208,0)),0))</f>
        <v/>
      </c>
      <c r="AG837" s="10">
        <f>IF($A837="","",MAX(0,IFERROR(INDEX('2_IMPORTAR_EJECUCION'!$H$9:$H$1208,MATCH($AN837,'2_IMPORTAR_EJECUCION'!$J$9:$J$1208,0)),0)-$AF837))</f>
        <v/>
      </c>
      <c r="AH837" s="10">
        <f>IF($A837="","",$AF837+$AG837)</f>
        <v/>
      </c>
      <c r="AI837" s="6" t="n"/>
      <c r="AJ837" s="6" t="n"/>
      <c r="AK837" s="6" t="n"/>
      <c r="AL837" s="3">
        <f>IF($AK837="","",HYPERLINK(p_ruta_base_checklists&amp;$AK837,"abrir"))</f>
        <v/>
      </c>
      <c r="AM837" s="6" t="n"/>
      <c r="AN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1" t="n"/>
      <c r="K838" s="3" t="n"/>
      <c r="L838" s="10" t="n"/>
      <c r="M838" s="3">
        <f>IF($A838="","",IFERROR(INDEX('AJUSTES'!$B$4:$B$303,MATCH($AN838,'AJUSTES'!$A$4:$A$303,0)),IF($K838="","",$K838)))</f>
        <v/>
      </c>
      <c r="N838" s="3">
        <f>IF($A838="","",IFERROR(INDEX('CAT_ESTADOS_ERP'!$B$4:$B$7,MATCH(IFERROR(INDEX('2_IMPORTAR_EJECUCION'!$C$9:$C$1208,MATCH($AN838,'2_IMPORTAR_EJECUCION'!$J$9:$J$1208,0)),""),'CAT_ESTADOS_ERP'!$A$4:$A$7,0)),"Pendiente"))</f>
        <v/>
      </c>
      <c r="O838" s="3">
        <f>IF($J838="","",YEAR($J838+4-WEEKDAY($J838,2))&amp;"-S"&amp;TEXT(_xlfn.ISOWEEKNUM($J838),"00"))</f>
        <v/>
      </c>
      <c r="P838" s="3">
        <f>IF($J838="","",YEAR($J838))</f>
        <v/>
      </c>
      <c r="Q838" s="3">
        <f>IF($J838="","",MONTH($J838))</f>
        <v/>
      </c>
      <c r="R838" s="3">
        <f>IF($J838="","",INDEX(lista_dias,WEEKDAY($J838,2)))</f>
        <v/>
      </c>
      <c r="S838" s="3">
        <f>IF($I838="","",IFERROR(INDEX('CAT_TIPOS_OT'!$C$4:$C$7,MATCH($I838,'CAT_TIPOS_OT'!$A$4:$A$7,0)),"sin_clasificar"))</f>
        <v/>
      </c>
      <c r="T838" s="3">
        <f>IF($F838="","",IFERROR(INDEX('CAT_CENTROS_COSTO'!$E$4:$E$9,MATCH($F838,'CAT_CENTROS_COSTO'!$A$4:$A$9,0)),"(sin catálogo)"))</f>
        <v/>
      </c>
      <c r="U838" s="3">
        <f>IF($F838="","",IFERROR(INDEX('CAT_CENTROS_COSTO'!$D$4:$D$9,MATCH($F838,'CAT_CENTROS_COSTO'!$A$4:$A$9,0)),"(sin catálogo)"))</f>
        <v/>
      </c>
      <c r="V838" s="3">
        <f>IF($F838="","",IFERROR(INDEX('CAT_CENTROS_COSTO'!$F$4:$F$9,MATCH($F838,'CAT_CENTROS_COSTO'!$A$4:$A$9,0)),"(sin catálogo)"))</f>
        <v/>
      </c>
      <c r="W838" s="3">
        <f>IF($G838="","",IFERROR(INDEX('CAT_PUESTOS'!$B$4:$B$8,MATCH($G838,'CAT_PUESTOS'!$A$4:$A$8,0)),"(sin catálogo)"))</f>
        <v/>
      </c>
      <c r="X838" s="3">
        <f>IF($H838="","",IFERROR(INDEX('CAT_ACTIVIDADES'!$B$4:$B$8,MATCH($H838,'CAT_ACTIVIDADES'!$A$4:$A$8,0)),"(sin catálogo)"))</f>
        <v/>
      </c>
      <c r="Y838" s="12">
        <f>IF($J838="","",TODAY()-$J838)</f>
        <v/>
      </c>
      <c r="Z838" s="3">
        <f>IF($Y838="","",IF($Y838&lt;0,"FUTURO",IF($Y838&gt;p_dias_backlog_max,"BACKLOG","MES CORRIENTE")))</f>
        <v/>
      </c>
      <c r="AA838" s="3">
        <f>IF($Y838="",FALSE,AND($Y838&gt;p_dias_backlog_min,$Y838&lt;=p_dias_backlog_max))</f>
        <v/>
      </c>
      <c r="AB838" s="6" t="n"/>
      <c r="AC838" s="3">
        <f>IF($AB838="","",IFERROR(INDEX('ASIGNACIONES'!$F$4:$F$339,MATCH($O838&amp;"|"&amp;$R838&amp;"|"&amp;$AB838,'ASIGNACIONES'!$I$4:$I$339,0)),""))</f>
        <v/>
      </c>
      <c r="AD838" s="13">
        <f>IF($AB838="","",SUMIFS('ORDENES'!$M$4:$M$1203,'ORDENES'!$AB$4:$AB$1203,$AB838,'ORDENES'!$O$4:$O$1203,$O838,'ORDENES'!$R$4:$R$1203,$R838))</f>
        <v/>
      </c>
      <c r="AE838" s="13">
        <f>IF($AD838="","",p_factor_productividad*IFERROR(INDEX('ASIGNACIONES'!$H$4:$H$339,MATCH($O838&amp;"|"&amp;$R838&amp;"|"&amp;$AB838,'ASIGNACIONES'!$I$4:$I$339,0)),0)-$AD838)</f>
        <v/>
      </c>
      <c r="AF838" s="10">
        <f>IF($A838="","",IFERROR(INDEX('2_IMPORTAR_EJECUCION'!$F$9:$F$1208,MATCH($AN838,'2_IMPORTAR_EJECUCION'!$J$9:$J$1208,0)),0))</f>
        <v/>
      </c>
      <c r="AG838" s="10">
        <f>IF($A838="","",MAX(0,IFERROR(INDEX('2_IMPORTAR_EJECUCION'!$H$9:$H$1208,MATCH($AN838,'2_IMPORTAR_EJECUCION'!$J$9:$J$1208,0)),0)-$AF838))</f>
        <v/>
      </c>
      <c r="AH838" s="10">
        <f>IF($A838="","",$AF838+$AG838)</f>
        <v/>
      </c>
      <c r="AI838" s="6" t="n"/>
      <c r="AJ838" s="6" t="n"/>
      <c r="AK838" s="6" t="n"/>
      <c r="AL838" s="3">
        <f>IF($AK838="","",HYPERLINK(p_ruta_base_checklists&amp;$AK838,"abrir"))</f>
        <v/>
      </c>
      <c r="AM838" s="6" t="n"/>
      <c r="AN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1" t="n"/>
      <c r="K839" s="3" t="n"/>
      <c r="L839" s="10" t="n"/>
      <c r="M839" s="3">
        <f>IF($A839="","",IFERROR(INDEX('AJUSTES'!$B$4:$B$303,MATCH($AN839,'AJUSTES'!$A$4:$A$303,0)),IF($K839="","",$K839)))</f>
        <v/>
      </c>
      <c r="N839" s="3">
        <f>IF($A839="","",IFERROR(INDEX('CAT_ESTADOS_ERP'!$B$4:$B$7,MATCH(IFERROR(INDEX('2_IMPORTAR_EJECUCION'!$C$9:$C$1208,MATCH($AN839,'2_IMPORTAR_EJECUCION'!$J$9:$J$1208,0)),""),'CAT_ESTADOS_ERP'!$A$4:$A$7,0)),"Pendiente"))</f>
        <v/>
      </c>
      <c r="O839" s="3">
        <f>IF($J839="","",YEAR($J839+4-WEEKDAY($J839,2))&amp;"-S"&amp;TEXT(_xlfn.ISOWEEKNUM($J839),"00"))</f>
        <v/>
      </c>
      <c r="P839" s="3">
        <f>IF($J839="","",YEAR($J839))</f>
        <v/>
      </c>
      <c r="Q839" s="3">
        <f>IF($J839="","",MONTH($J839))</f>
        <v/>
      </c>
      <c r="R839" s="3">
        <f>IF($J839="","",INDEX(lista_dias,WEEKDAY($J839,2)))</f>
        <v/>
      </c>
      <c r="S839" s="3">
        <f>IF($I839="","",IFERROR(INDEX('CAT_TIPOS_OT'!$C$4:$C$7,MATCH($I839,'CAT_TIPOS_OT'!$A$4:$A$7,0)),"sin_clasificar"))</f>
        <v/>
      </c>
      <c r="T839" s="3">
        <f>IF($F839="","",IFERROR(INDEX('CAT_CENTROS_COSTO'!$E$4:$E$9,MATCH($F839,'CAT_CENTROS_COSTO'!$A$4:$A$9,0)),"(sin catálogo)"))</f>
        <v/>
      </c>
      <c r="U839" s="3">
        <f>IF($F839="","",IFERROR(INDEX('CAT_CENTROS_COSTO'!$D$4:$D$9,MATCH($F839,'CAT_CENTROS_COSTO'!$A$4:$A$9,0)),"(sin catálogo)"))</f>
        <v/>
      </c>
      <c r="V839" s="3">
        <f>IF($F839="","",IFERROR(INDEX('CAT_CENTROS_COSTO'!$F$4:$F$9,MATCH($F839,'CAT_CENTROS_COSTO'!$A$4:$A$9,0)),"(sin catálogo)"))</f>
        <v/>
      </c>
      <c r="W839" s="3">
        <f>IF($G839="","",IFERROR(INDEX('CAT_PUESTOS'!$B$4:$B$8,MATCH($G839,'CAT_PUESTOS'!$A$4:$A$8,0)),"(sin catálogo)"))</f>
        <v/>
      </c>
      <c r="X839" s="3">
        <f>IF($H839="","",IFERROR(INDEX('CAT_ACTIVIDADES'!$B$4:$B$8,MATCH($H839,'CAT_ACTIVIDADES'!$A$4:$A$8,0)),"(sin catálogo)"))</f>
        <v/>
      </c>
      <c r="Y839" s="12">
        <f>IF($J839="","",TODAY()-$J839)</f>
        <v/>
      </c>
      <c r="Z839" s="3">
        <f>IF($Y839="","",IF($Y839&lt;0,"FUTURO",IF($Y839&gt;p_dias_backlog_max,"BACKLOG","MES CORRIENTE")))</f>
        <v/>
      </c>
      <c r="AA839" s="3">
        <f>IF($Y839="",FALSE,AND($Y839&gt;p_dias_backlog_min,$Y839&lt;=p_dias_backlog_max))</f>
        <v/>
      </c>
      <c r="AB839" s="6" t="n"/>
      <c r="AC839" s="3">
        <f>IF($AB839="","",IFERROR(INDEX('ASIGNACIONES'!$F$4:$F$339,MATCH($O839&amp;"|"&amp;$R839&amp;"|"&amp;$AB839,'ASIGNACIONES'!$I$4:$I$339,0)),""))</f>
        <v/>
      </c>
      <c r="AD839" s="13">
        <f>IF($AB839="","",SUMIFS('ORDENES'!$M$4:$M$1203,'ORDENES'!$AB$4:$AB$1203,$AB839,'ORDENES'!$O$4:$O$1203,$O839,'ORDENES'!$R$4:$R$1203,$R839))</f>
        <v/>
      </c>
      <c r="AE839" s="13">
        <f>IF($AD839="","",p_factor_productividad*IFERROR(INDEX('ASIGNACIONES'!$H$4:$H$339,MATCH($O839&amp;"|"&amp;$R839&amp;"|"&amp;$AB839,'ASIGNACIONES'!$I$4:$I$339,0)),0)-$AD839)</f>
        <v/>
      </c>
      <c r="AF839" s="10">
        <f>IF($A839="","",IFERROR(INDEX('2_IMPORTAR_EJECUCION'!$F$9:$F$1208,MATCH($AN839,'2_IMPORTAR_EJECUCION'!$J$9:$J$1208,0)),0))</f>
        <v/>
      </c>
      <c r="AG839" s="10">
        <f>IF($A839="","",MAX(0,IFERROR(INDEX('2_IMPORTAR_EJECUCION'!$H$9:$H$1208,MATCH($AN839,'2_IMPORTAR_EJECUCION'!$J$9:$J$1208,0)),0)-$AF839))</f>
        <v/>
      </c>
      <c r="AH839" s="10">
        <f>IF($A839="","",$AF839+$AG839)</f>
        <v/>
      </c>
      <c r="AI839" s="6" t="n"/>
      <c r="AJ839" s="6" t="n"/>
      <c r="AK839" s="6" t="n"/>
      <c r="AL839" s="3">
        <f>IF($AK839="","",HYPERLINK(p_ruta_base_checklists&amp;$AK839,"abrir"))</f>
        <v/>
      </c>
      <c r="AM839" s="6" t="n"/>
      <c r="AN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1" t="n"/>
      <c r="K840" s="3" t="n"/>
      <c r="L840" s="10" t="n"/>
      <c r="M840" s="3">
        <f>IF($A840="","",IFERROR(INDEX('AJUSTES'!$B$4:$B$303,MATCH($AN840,'AJUSTES'!$A$4:$A$303,0)),IF($K840="","",$K840)))</f>
        <v/>
      </c>
      <c r="N840" s="3">
        <f>IF($A840="","",IFERROR(INDEX('CAT_ESTADOS_ERP'!$B$4:$B$7,MATCH(IFERROR(INDEX('2_IMPORTAR_EJECUCION'!$C$9:$C$1208,MATCH($AN840,'2_IMPORTAR_EJECUCION'!$J$9:$J$1208,0)),""),'CAT_ESTADOS_ERP'!$A$4:$A$7,0)),"Pendiente"))</f>
        <v/>
      </c>
      <c r="O840" s="3">
        <f>IF($J840="","",YEAR($J840+4-WEEKDAY($J840,2))&amp;"-S"&amp;TEXT(_xlfn.ISOWEEKNUM($J840),"00"))</f>
        <v/>
      </c>
      <c r="P840" s="3">
        <f>IF($J840="","",YEAR($J840))</f>
        <v/>
      </c>
      <c r="Q840" s="3">
        <f>IF($J840="","",MONTH($J840))</f>
        <v/>
      </c>
      <c r="R840" s="3">
        <f>IF($J840="","",INDEX(lista_dias,WEEKDAY($J840,2)))</f>
        <v/>
      </c>
      <c r="S840" s="3">
        <f>IF($I840="","",IFERROR(INDEX('CAT_TIPOS_OT'!$C$4:$C$7,MATCH($I840,'CAT_TIPOS_OT'!$A$4:$A$7,0)),"sin_clasificar"))</f>
        <v/>
      </c>
      <c r="T840" s="3">
        <f>IF($F840="","",IFERROR(INDEX('CAT_CENTROS_COSTO'!$E$4:$E$9,MATCH($F840,'CAT_CENTROS_COSTO'!$A$4:$A$9,0)),"(sin catálogo)"))</f>
        <v/>
      </c>
      <c r="U840" s="3">
        <f>IF($F840="","",IFERROR(INDEX('CAT_CENTROS_COSTO'!$D$4:$D$9,MATCH($F840,'CAT_CENTROS_COSTO'!$A$4:$A$9,0)),"(sin catálogo)"))</f>
        <v/>
      </c>
      <c r="V840" s="3">
        <f>IF($F840="","",IFERROR(INDEX('CAT_CENTROS_COSTO'!$F$4:$F$9,MATCH($F840,'CAT_CENTROS_COSTO'!$A$4:$A$9,0)),"(sin catálogo)"))</f>
        <v/>
      </c>
      <c r="W840" s="3">
        <f>IF($G840="","",IFERROR(INDEX('CAT_PUESTOS'!$B$4:$B$8,MATCH($G840,'CAT_PUESTOS'!$A$4:$A$8,0)),"(sin catálogo)"))</f>
        <v/>
      </c>
      <c r="X840" s="3">
        <f>IF($H840="","",IFERROR(INDEX('CAT_ACTIVIDADES'!$B$4:$B$8,MATCH($H840,'CAT_ACTIVIDADES'!$A$4:$A$8,0)),"(sin catálogo)"))</f>
        <v/>
      </c>
      <c r="Y840" s="12">
        <f>IF($J840="","",TODAY()-$J840)</f>
        <v/>
      </c>
      <c r="Z840" s="3">
        <f>IF($Y840="","",IF($Y840&lt;0,"FUTURO",IF($Y840&gt;p_dias_backlog_max,"BACKLOG","MES CORRIENTE")))</f>
        <v/>
      </c>
      <c r="AA840" s="3">
        <f>IF($Y840="",FALSE,AND($Y840&gt;p_dias_backlog_min,$Y840&lt;=p_dias_backlog_max))</f>
        <v/>
      </c>
      <c r="AB840" s="6" t="n"/>
      <c r="AC840" s="3">
        <f>IF($AB840="","",IFERROR(INDEX('ASIGNACIONES'!$F$4:$F$339,MATCH($O840&amp;"|"&amp;$R840&amp;"|"&amp;$AB840,'ASIGNACIONES'!$I$4:$I$339,0)),""))</f>
        <v/>
      </c>
      <c r="AD840" s="13">
        <f>IF($AB840="","",SUMIFS('ORDENES'!$M$4:$M$1203,'ORDENES'!$AB$4:$AB$1203,$AB840,'ORDENES'!$O$4:$O$1203,$O840,'ORDENES'!$R$4:$R$1203,$R840))</f>
        <v/>
      </c>
      <c r="AE840" s="13">
        <f>IF($AD840="","",p_factor_productividad*IFERROR(INDEX('ASIGNACIONES'!$H$4:$H$339,MATCH($O840&amp;"|"&amp;$R840&amp;"|"&amp;$AB840,'ASIGNACIONES'!$I$4:$I$339,0)),0)-$AD840)</f>
        <v/>
      </c>
      <c r="AF840" s="10">
        <f>IF($A840="","",IFERROR(INDEX('2_IMPORTAR_EJECUCION'!$F$9:$F$1208,MATCH($AN840,'2_IMPORTAR_EJECUCION'!$J$9:$J$1208,0)),0))</f>
        <v/>
      </c>
      <c r="AG840" s="10">
        <f>IF($A840="","",MAX(0,IFERROR(INDEX('2_IMPORTAR_EJECUCION'!$H$9:$H$1208,MATCH($AN840,'2_IMPORTAR_EJECUCION'!$J$9:$J$1208,0)),0)-$AF840))</f>
        <v/>
      </c>
      <c r="AH840" s="10">
        <f>IF($A840="","",$AF840+$AG840)</f>
        <v/>
      </c>
      <c r="AI840" s="6" t="n"/>
      <c r="AJ840" s="6" t="n"/>
      <c r="AK840" s="6" t="n"/>
      <c r="AL840" s="3">
        <f>IF($AK840="","",HYPERLINK(p_ruta_base_checklists&amp;$AK840,"abrir"))</f>
        <v/>
      </c>
      <c r="AM840" s="6" t="n"/>
      <c r="AN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1" t="n"/>
      <c r="K841" s="3" t="n"/>
      <c r="L841" s="10" t="n"/>
      <c r="M841" s="3">
        <f>IF($A841="","",IFERROR(INDEX('AJUSTES'!$B$4:$B$303,MATCH($AN841,'AJUSTES'!$A$4:$A$303,0)),IF($K841="","",$K841)))</f>
        <v/>
      </c>
      <c r="N841" s="3">
        <f>IF($A841="","",IFERROR(INDEX('CAT_ESTADOS_ERP'!$B$4:$B$7,MATCH(IFERROR(INDEX('2_IMPORTAR_EJECUCION'!$C$9:$C$1208,MATCH($AN841,'2_IMPORTAR_EJECUCION'!$J$9:$J$1208,0)),""),'CAT_ESTADOS_ERP'!$A$4:$A$7,0)),"Pendiente"))</f>
        <v/>
      </c>
      <c r="O841" s="3">
        <f>IF($J841="","",YEAR($J841+4-WEEKDAY($J841,2))&amp;"-S"&amp;TEXT(_xlfn.ISOWEEKNUM($J841),"00"))</f>
        <v/>
      </c>
      <c r="P841" s="3">
        <f>IF($J841="","",YEAR($J841))</f>
        <v/>
      </c>
      <c r="Q841" s="3">
        <f>IF($J841="","",MONTH($J841))</f>
        <v/>
      </c>
      <c r="R841" s="3">
        <f>IF($J841="","",INDEX(lista_dias,WEEKDAY($J841,2)))</f>
        <v/>
      </c>
      <c r="S841" s="3">
        <f>IF($I841="","",IFERROR(INDEX('CAT_TIPOS_OT'!$C$4:$C$7,MATCH($I841,'CAT_TIPOS_OT'!$A$4:$A$7,0)),"sin_clasificar"))</f>
        <v/>
      </c>
      <c r="T841" s="3">
        <f>IF($F841="","",IFERROR(INDEX('CAT_CENTROS_COSTO'!$E$4:$E$9,MATCH($F841,'CAT_CENTROS_COSTO'!$A$4:$A$9,0)),"(sin catálogo)"))</f>
        <v/>
      </c>
      <c r="U841" s="3">
        <f>IF($F841="","",IFERROR(INDEX('CAT_CENTROS_COSTO'!$D$4:$D$9,MATCH($F841,'CAT_CENTROS_COSTO'!$A$4:$A$9,0)),"(sin catálogo)"))</f>
        <v/>
      </c>
      <c r="V841" s="3">
        <f>IF($F841="","",IFERROR(INDEX('CAT_CENTROS_COSTO'!$F$4:$F$9,MATCH($F841,'CAT_CENTROS_COSTO'!$A$4:$A$9,0)),"(sin catálogo)"))</f>
        <v/>
      </c>
      <c r="W841" s="3">
        <f>IF($G841="","",IFERROR(INDEX('CAT_PUESTOS'!$B$4:$B$8,MATCH($G841,'CAT_PUESTOS'!$A$4:$A$8,0)),"(sin catálogo)"))</f>
        <v/>
      </c>
      <c r="X841" s="3">
        <f>IF($H841="","",IFERROR(INDEX('CAT_ACTIVIDADES'!$B$4:$B$8,MATCH($H841,'CAT_ACTIVIDADES'!$A$4:$A$8,0)),"(sin catálogo)"))</f>
        <v/>
      </c>
      <c r="Y841" s="12">
        <f>IF($J841="","",TODAY()-$J841)</f>
        <v/>
      </c>
      <c r="Z841" s="3">
        <f>IF($Y841="","",IF($Y841&lt;0,"FUTURO",IF($Y841&gt;p_dias_backlog_max,"BACKLOG","MES CORRIENTE")))</f>
        <v/>
      </c>
      <c r="AA841" s="3">
        <f>IF($Y841="",FALSE,AND($Y841&gt;p_dias_backlog_min,$Y841&lt;=p_dias_backlog_max))</f>
        <v/>
      </c>
      <c r="AB841" s="6" t="n"/>
      <c r="AC841" s="3">
        <f>IF($AB841="","",IFERROR(INDEX('ASIGNACIONES'!$F$4:$F$339,MATCH($O841&amp;"|"&amp;$R841&amp;"|"&amp;$AB841,'ASIGNACIONES'!$I$4:$I$339,0)),""))</f>
        <v/>
      </c>
      <c r="AD841" s="13">
        <f>IF($AB841="","",SUMIFS('ORDENES'!$M$4:$M$1203,'ORDENES'!$AB$4:$AB$1203,$AB841,'ORDENES'!$O$4:$O$1203,$O841,'ORDENES'!$R$4:$R$1203,$R841))</f>
        <v/>
      </c>
      <c r="AE841" s="13">
        <f>IF($AD841="","",p_factor_productividad*IFERROR(INDEX('ASIGNACIONES'!$H$4:$H$339,MATCH($O841&amp;"|"&amp;$R841&amp;"|"&amp;$AB841,'ASIGNACIONES'!$I$4:$I$339,0)),0)-$AD841)</f>
        <v/>
      </c>
      <c r="AF841" s="10">
        <f>IF($A841="","",IFERROR(INDEX('2_IMPORTAR_EJECUCION'!$F$9:$F$1208,MATCH($AN841,'2_IMPORTAR_EJECUCION'!$J$9:$J$1208,0)),0))</f>
        <v/>
      </c>
      <c r="AG841" s="10">
        <f>IF($A841="","",MAX(0,IFERROR(INDEX('2_IMPORTAR_EJECUCION'!$H$9:$H$1208,MATCH($AN841,'2_IMPORTAR_EJECUCION'!$J$9:$J$1208,0)),0)-$AF841))</f>
        <v/>
      </c>
      <c r="AH841" s="10">
        <f>IF($A841="","",$AF841+$AG841)</f>
        <v/>
      </c>
      <c r="AI841" s="6" t="n"/>
      <c r="AJ841" s="6" t="n"/>
      <c r="AK841" s="6" t="n"/>
      <c r="AL841" s="3">
        <f>IF($AK841="","",HYPERLINK(p_ruta_base_checklists&amp;$AK841,"abrir"))</f>
        <v/>
      </c>
      <c r="AM841" s="6" t="n"/>
      <c r="AN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1" t="n"/>
      <c r="K842" s="3" t="n"/>
      <c r="L842" s="10" t="n"/>
      <c r="M842" s="3">
        <f>IF($A842="","",IFERROR(INDEX('AJUSTES'!$B$4:$B$303,MATCH($AN842,'AJUSTES'!$A$4:$A$303,0)),IF($K842="","",$K842)))</f>
        <v/>
      </c>
      <c r="N842" s="3">
        <f>IF($A842="","",IFERROR(INDEX('CAT_ESTADOS_ERP'!$B$4:$B$7,MATCH(IFERROR(INDEX('2_IMPORTAR_EJECUCION'!$C$9:$C$1208,MATCH($AN842,'2_IMPORTAR_EJECUCION'!$J$9:$J$1208,0)),""),'CAT_ESTADOS_ERP'!$A$4:$A$7,0)),"Pendiente"))</f>
        <v/>
      </c>
      <c r="O842" s="3">
        <f>IF($J842="","",YEAR($J842+4-WEEKDAY($J842,2))&amp;"-S"&amp;TEXT(_xlfn.ISOWEEKNUM($J842),"00"))</f>
        <v/>
      </c>
      <c r="P842" s="3">
        <f>IF($J842="","",YEAR($J842))</f>
        <v/>
      </c>
      <c r="Q842" s="3">
        <f>IF($J842="","",MONTH($J842))</f>
        <v/>
      </c>
      <c r="R842" s="3">
        <f>IF($J842="","",INDEX(lista_dias,WEEKDAY($J842,2)))</f>
        <v/>
      </c>
      <c r="S842" s="3">
        <f>IF($I842="","",IFERROR(INDEX('CAT_TIPOS_OT'!$C$4:$C$7,MATCH($I842,'CAT_TIPOS_OT'!$A$4:$A$7,0)),"sin_clasificar"))</f>
        <v/>
      </c>
      <c r="T842" s="3">
        <f>IF($F842="","",IFERROR(INDEX('CAT_CENTROS_COSTO'!$E$4:$E$9,MATCH($F842,'CAT_CENTROS_COSTO'!$A$4:$A$9,0)),"(sin catálogo)"))</f>
        <v/>
      </c>
      <c r="U842" s="3">
        <f>IF($F842="","",IFERROR(INDEX('CAT_CENTROS_COSTO'!$D$4:$D$9,MATCH($F842,'CAT_CENTROS_COSTO'!$A$4:$A$9,0)),"(sin catálogo)"))</f>
        <v/>
      </c>
      <c r="V842" s="3">
        <f>IF($F842="","",IFERROR(INDEX('CAT_CENTROS_COSTO'!$F$4:$F$9,MATCH($F842,'CAT_CENTROS_COSTO'!$A$4:$A$9,0)),"(sin catálogo)"))</f>
        <v/>
      </c>
      <c r="W842" s="3">
        <f>IF($G842="","",IFERROR(INDEX('CAT_PUESTOS'!$B$4:$B$8,MATCH($G842,'CAT_PUESTOS'!$A$4:$A$8,0)),"(sin catálogo)"))</f>
        <v/>
      </c>
      <c r="X842" s="3">
        <f>IF($H842="","",IFERROR(INDEX('CAT_ACTIVIDADES'!$B$4:$B$8,MATCH($H842,'CAT_ACTIVIDADES'!$A$4:$A$8,0)),"(sin catálogo)"))</f>
        <v/>
      </c>
      <c r="Y842" s="12">
        <f>IF($J842="","",TODAY()-$J842)</f>
        <v/>
      </c>
      <c r="Z842" s="3">
        <f>IF($Y842="","",IF($Y842&lt;0,"FUTURO",IF($Y842&gt;p_dias_backlog_max,"BACKLOG","MES CORRIENTE")))</f>
        <v/>
      </c>
      <c r="AA842" s="3">
        <f>IF($Y842="",FALSE,AND($Y842&gt;p_dias_backlog_min,$Y842&lt;=p_dias_backlog_max))</f>
        <v/>
      </c>
      <c r="AB842" s="6" t="n"/>
      <c r="AC842" s="3">
        <f>IF($AB842="","",IFERROR(INDEX('ASIGNACIONES'!$F$4:$F$339,MATCH($O842&amp;"|"&amp;$R842&amp;"|"&amp;$AB842,'ASIGNACIONES'!$I$4:$I$339,0)),""))</f>
        <v/>
      </c>
      <c r="AD842" s="13">
        <f>IF($AB842="","",SUMIFS('ORDENES'!$M$4:$M$1203,'ORDENES'!$AB$4:$AB$1203,$AB842,'ORDENES'!$O$4:$O$1203,$O842,'ORDENES'!$R$4:$R$1203,$R842))</f>
        <v/>
      </c>
      <c r="AE842" s="13">
        <f>IF($AD842="","",p_factor_productividad*IFERROR(INDEX('ASIGNACIONES'!$H$4:$H$339,MATCH($O842&amp;"|"&amp;$R842&amp;"|"&amp;$AB842,'ASIGNACIONES'!$I$4:$I$339,0)),0)-$AD842)</f>
        <v/>
      </c>
      <c r="AF842" s="10">
        <f>IF($A842="","",IFERROR(INDEX('2_IMPORTAR_EJECUCION'!$F$9:$F$1208,MATCH($AN842,'2_IMPORTAR_EJECUCION'!$J$9:$J$1208,0)),0))</f>
        <v/>
      </c>
      <c r="AG842" s="10">
        <f>IF($A842="","",MAX(0,IFERROR(INDEX('2_IMPORTAR_EJECUCION'!$H$9:$H$1208,MATCH($AN842,'2_IMPORTAR_EJECUCION'!$J$9:$J$1208,0)),0)-$AF842))</f>
        <v/>
      </c>
      <c r="AH842" s="10">
        <f>IF($A842="","",$AF842+$AG842)</f>
        <v/>
      </c>
      <c r="AI842" s="6" t="n"/>
      <c r="AJ842" s="6" t="n"/>
      <c r="AK842" s="6" t="n"/>
      <c r="AL842" s="3">
        <f>IF($AK842="","",HYPERLINK(p_ruta_base_checklists&amp;$AK842,"abrir"))</f>
        <v/>
      </c>
      <c r="AM842" s="6" t="n"/>
      <c r="AN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1" t="n"/>
      <c r="K843" s="3" t="n"/>
      <c r="L843" s="10" t="n"/>
      <c r="M843" s="3">
        <f>IF($A843="","",IFERROR(INDEX('AJUSTES'!$B$4:$B$303,MATCH($AN843,'AJUSTES'!$A$4:$A$303,0)),IF($K843="","",$K843)))</f>
        <v/>
      </c>
      <c r="N843" s="3">
        <f>IF($A843="","",IFERROR(INDEX('CAT_ESTADOS_ERP'!$B$4:$B$7,MATCH(IFERROR(INDEX('2_IMPORTAR_EJECUCION'!$C$9:$C$1208,MATCH($AN843,'2_IMPORTAR_EJECUCION'!$J$9:$J$1208,0)),""),'CAT_ESTADOS_ERP'!$A$4:$A$7,0)),"Pendiente"))</f>
        <v/>
      </c>
      <c r="O843" s="3">
        <f>IF($J843="","",YEAR($J843+4-WEEKDAY($J843,2))&amp;"-S"&amp;TEXT(_xlfn.ISOWEEKNUM($J843),"00"))</f>
        <v/>
      </c>
      <c r="P843" s="3">
        <f>IF($J843="","",YEAR($J843))</f>
        <v/>
      </c>
      <c r="Q843" s="3">
        <f>IF($J843="","",MONTH($J843))</f>
        <v/>
      </c>
      <c r="R843" s="3">
        <f>IF($J843="","",INDEX(lista_dias,WEEKDAY($J843,2)))</f>
        <v/>
      </c>
      <c r="S843" s="3">
        <f>IF($I843="","",IFERROR(INDEX('CAT_TIPOS_OT'!$C$4:$C$7,MATCH($I843,'CAT_TIPOS_OT'!$A$4:$A$7,0)),"sin_clasificar"))</f>
        <v/>
      </c>
      <c r="T843" s="3">
        <f>IF($F843="","",IFERROR(INDEX('CAT_CENTROS_COSTO'!$E$4:$E$9,MATCH($F843,'CAT_CENTROS_COSTO'!$A$4:$A$9,0)),"(sin catálogo)"))</f>
        <v/>
      </c>
      <c r="U843" s="3">
        <f>IF($F843="","",IFERROR(INDEX('CAT_CENTROS_COSTO'!$D$4:$D$9,MATCH($F843,'CAT_CENTROS_COSTO'!$A$4:$A$9,0)),"(sin catálogo)"))</f>
        <v/>
      </c>
      <c r="V843" s="3">
        <f>IF($F843="","",IFERROR(INDEX('CAT_CENTROS_COSTO'!$F$4:$F$9,MATCH($F843,'CAT_CENTROS_COSTO'!$A$4:$A$9,0)),"(sin catálogo)"))</f>
        <v/>
      </c>
      <c r="W843" s="3">
        <f>IF($G843="","",IFERROR(INDEX('CAT_PUESTOS'!$B$4:$B$8,MATCH($G843,'CAT_PUESTOS'!$A$4:$A$8,0)),"(sin catálogo)"))</f>
        <v/>
      </c>
      <c r="X843" s="3">
        <f>IF($H843="","",IFERROR(INDEX('CAT_ACTIVIDADES'!$B$4:$B$8,MATCH($H843,'CAT_ACTIVIDADES'!$A$4:$A$8,0)),"(sin catálogo)"))</f>
        <v/>
      </c>
      <c r="Y843" s="12">
        <f>IF($J843="","",TODAY()-$J843)</f>
        <v/>
      </c>
      <c r="Z843" s="3">
        <f>IF($Y843="","",IF($Y843&lt;0,"FUTURO",IF($Y843&gt;p_dias_backlog_max,"BACKLOG","MES CORRIENTE")))</f>
        <v/>
      </c>
      <c r="AA843" s="3">
        <f>IF($Y843="",FALSE,AND($Y843&gt;p_dias_backlog_min,$Y843&lt;=p_dias_backlog_max))</f>
        <v/>
      </c>
      <c r="AB843" s="6" t="n"/>
      <c r="AC843" s="3">
        <f>IF($AB843="","",IFERROR(INDEX('ASIGNACIONES'!$F$4:$F$339,MATCH($O843&amp;"|"&amp;$R843&amp;"|"&amp;$AB843,'ASIGNACIONES'!$I$4:$I$339,0)),""))</f>
        <v/>
      </c>
      <c r="AD843" s="13">
        <f>IF($AB843="","",SUMIFS('ORDENES'!$M$4:$M$1203,'ORDENES'!$AB$4:$AB$1203,$AB843,'ORDENES'!$O$4:$O$1203,$O843,'ORDENES'!$R$4:$R$1203,$R843))</f>
        <v/>
      </c>
      <c r="AE843" s="13">
        <f>IF($AD843="","",p_factor_productividad*IFERROR(INDEX('ASIGNACIONES'!$H$4:$H$339,MATCH($O843&amp;"|"&amp;$R843&amp;"|"&amp;$AB843,'ASIGNACIONES'!$I$4:$I$339,0)),0)-$AD843)</f>
        <v/>
      </c>
      <c r="AF843" s="10">
        <f>IF($A843="","",IFERROR(INDEX('2_IMPORTAR_EJECUCION'!$F$9:$F$1208,MATCH($AN843,'2_IMPORTAR_EJECUCION'!$J$9:$J$1208,0)),0))</f>
        <v/>
      </c>
      <c r="AG843" s="10">
        <f>IF($A843="","",MAX(0,IFERROR(INDEX('2_IMPORTAR_EJECUCION'!$H$9:$H$1208,MATCH($AN843,'2_IMPORTAR_EJECUCION'!$J$9:$J$1208,0)),0)-$AF843))</f>
        <v/>
      </c>
      <c r="AH843" s="10">
        <f>IF($A843="","",$AF843+$AG843)</f>
        <v/>
      </c>
      <c r="AI843" s="6" t="n"/>
      <c r="AJ843" s="6" t="n"/>
      <c r="AK843" s="6" t="n"/>
      <c r="AL843" s="3">
        <f>IF($AK843="","",HYPERLINK(p_ruta_base_checklists&amp;$AK843,"abrir"))</f>
        <v/>
      </c>
      <c r="AM843" s="6" t="n"/>
      <c r="AN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1" t="n"/>
      <c r="K844" s="3" t="n"/>
      <c r="L844" s="10" t="n"/>
      <c r="M844" s="3">
        <f>IF($A844="","",IFERROR(INDEX('AJUSTES'!$B$4:$B$303,MATCH($AN844,'AJUSTES'!$A$4:$A$303,0)),IF($K844="","",$K844)))</f>
        <v/>
      </c>
      <c r="N844" s="3">
        <f>IF($A844="","",IFERROR(INDEX('CAT_ESTADOS_ERP'!$B$4:$B$7,MATCH(IFERROR(INDEX('2_IMPORTAR_EJECUCION'!$C$9:$C$1208,MATCH($AN844,'2_IMPORTAR_EJECUCION'!$J$9:$J$1208,0)),""),'CAT_ESTADOS_ERP'!$A$4:$A$7,0)),"Pendiente"))</f>
        <v/>
      </c>
      <c r="O844" s="3">
        <f>IF($J844="","",YEAR($J844+4-WEEKDAY($J844,2))&amp;"-S"&amp;TEXT(_xlfn.ISOWEEKNUM($J844),"00"))</f>
        <v/>
      </c>
      <c r="P844" s="3">
        <f>IF($J844="","",YEAR($J844))</f>
        <v/>
      </c>
      <c r="Q844" s="3">
        <f>IF($J844="","",MONTH($J844))</f>
        <v/>
      </c>
      <c r="R844" s="3">
        <f>IF($J844="","",INDEX(lista_dias,WEEKDAY($J844,2)))</f>
        <v/>
      </c>
      <c r="S844" s="3">
        <f>IF($I844="","",IFERROR(INDEX('CAT_TIPOS_OT'!$C$4:$C$7,MATCH($I844,'CAT_TIPOS_OT'!$A$4:$A$7,0)),"sin_clasificar"))</f>
        <v/>
      </c>
      <c r="T844" s="3">
        <f>IF($F844="","",IFERROR(INDEX('CAT_CENTROS_COSTO'!$E$4:$E$9,MATCH($F844,'CAT_CENTROS_COSTO'!$A$4:$A$9,0)),"(sin catálogo)"))</f>
        <v/>
      </c>
      <c r="U844" s="3">
        <f>IF($F844="","",IFERROR(INDEX('CAT_CENTROS_COSTO'!$D$4:$D$9,MATCH($F844,'CAT_CENTROS_COSTO'!$A$4:$A$9,0)),"(sin catálogo)"))</f>
        <v/>
      </c>
      <c r="V844" s="3">
        <f>IF($F844="","",IFERROR(INDEX('CAT_CENTROS_COSTO'!$F$4:$F$9,MATCH($F844,'CAT_CENTROS_COSTO'!$A$4:$A$9,0)),"(sin catálogo)"))</f>
        <v/>
      </c>
      <c r="W844" s="3">
        <f>IF($G844="","",IFERROR(INDEX('CAT_PUESTOS'!$B$4:$B$8,MATCH($G844,'CAT_PUESTOS'!$A$4:$A$8,0)),"(sin catálogo)"))</f>
        <v/>
      </c>
      <c r="X844" s="3">
        <f>IF($H844="","",IFERROR(INDEX('CAT_ACTIVIDADES'!$B$4:$B$8,MATCH($H844,'CAT_ACTIVIDADES'!$A$4:$A$8,0)),"(sin catálogo)"))</f>
        <v/>
      </c>
      <c r="Y844" s="12">
        <f>IF($J844="","",TODAY()-$J844)</f>
        <v/>
      </c>
      <c r="Z844" s="3">
        <f>IF($Y844="","",IF($Y844&lt;0,"FUTURO",IF($Y844&gt;p_dias_backlog_max,"BACKLOG","MES CORRIENTE")))</f>
        <v/>
      </c>
      <c r="AA844" s="3">
        <f>IF($Y844="",FALSE,AND($Y844&gt;p_dias_backlog_min,$Y844&lt;=p_dias_backlog_max))</f>
        <v/>
      </c>
      <c r="AB844" s="6" t="n"/>
      <c r="AC844" s="3">
        <f>IF($AB844="","",IFERROR(INDEX('ASIGNACIONES'!$F$4:$F$339,MATCH($O844&amp;"|"&amp;$R844&amp;"|"&amp;$AB844,'ASIGNACIONES'!$I$4:$I$339,0)),""))</f>
        <v/>
      </c>
      <c r="AD844" s="13">
        <f>IF($AB844="","",SUMIFS('ORDENES'!$M$4:$M$1203,'ORDENES'!$AB$4:$AB$1203,$AB844,'ORDENES'!$O$4:$O$1203,$O844,'ORDENES'!$R$4:$R$1203,$R844))</f>
        <v/>
      </c>
      <c r="AE844" s="13">
        <f>IF($AD844="","",p_factor_productividad*IFERROR(INDEX('ASIGNACIONES'!$H$4:$H$339,MATCH($O844&amp;"|"&amp;$R844&amp;"|"&amp;$AB844,'ASIGNACIONES'!$I$4:$I$339,0)),0)-$AD844)</f>
        <v/>
      </c>
      <c r="AF844" s="10">
        <f>IF($A844="","",IFERROR(INDEX('2_IMPORTAR_EJECUCION'!$F$9:$F$1208,MATCH($AN844,'2_IMPORTAR_EJECUCION'!$J$9:$J$1208,0)),0))</f>
        <v/>
      </c>
      <c r="AG844" s="10">
        <f>IF($A844="","",MAX(0,IFERROR(INDEX('2_IMPORTAR_EJECUCION'!$H$9:$H$1208,MATCH($AN844,'2_IMPORTAR_EJECUCION'!$J$9:$J$1208,0)),0)-$AF844))</f>
        <v/>
      </c>
      <c r="AH844" s="10">
        <f>IF($A844="","",$AF844+$AG844)</f>
        <v/>
      </c>
      <c r="AI844" s="6" t="n"/>
      <c r="AJ844" s="6" t="n"/>
      <c r="AK844" s="6" t="n"/>
      <c r="AL844" s="3">
        <f>IF($AK844="","",HYPERLINK(p_ruta_base_checklists&amp;$AK844,"abrir"))</f>
        <v/>
      </c>
      <c r="AM844" s="6" t="n"/>
      <c r="AN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1" t="n"/>
      <c r="K845" s="3" t="n"/>
      <c r="L845" s="10" t="n"/>
      <c r="M845" s="3">
        <f>IF($A845="","",IFERROR(INDEX('AJUSTES'!$B$4:$B$303,MATCH($AN845,'AJUSTES'!$A$4:$A$303,0)),IF($K845="","",$K845)))</f>
        <v/>
      </c>
      <c r="N845" s="3">
        <f>IF($A845="","",IFERROR(INDEX('CAT_ESTADOS_ERP'!$B$4:$B$7,MATCH(IFERROR(INDEX('2_IMPORTAR_EJECUCION'!$C$9:$C$1208,MATCH($AN845,'2_IMPORTAR_EJECUCION'!$J$9:$J$1208,0)),""),'CAT_ESTADOS_ERP'!$A$4:$A$7,0)),"Pendiente"))</f>
        <v/>
      </c>
      <c r="O845" s="3">
        <f>IF($J845="","",YEAR($J845+4-WEEKDAY($J845,2))&amp;"-S"&amp;TEXT(_xlfn.ISOWEEKNUM($J845),"00"))</f>
        <v/>
      </c>
      <c r="P845" s="3">
        <f>IF($J845="","",YEAR($J845))</f>
        <v/>
      </c>
      <c r="Q845" s="3">
        <f>IF($J845="","",MONTH($J845))</f>
        <v/>
      </c>
      <c r="R845" s="3">
        <f>IF($J845="","",INDEX(lista_dias,WEEKDAY($J845,2)))</f>
        <v/>
      </c>
      <c r="S845" s="3">
        <f>IF($I845="","",IFERROR(INDEX('CAT_TIPOS_OT'!$C$4:$C$7,MATCH($I845,'CAT_TIPOS_OT'!$A$4:$A$7,0)),"sin_clasificar"))</f>
        <v/>
      </c>
      <c r="T845" s="3">
        <f>IF($F845="","",IFERROR(INDEX('CAT_CENTROS_COSTO'!$E$4:$E$9,MATCH($F845,'CAT_CENTROS_COSTO'!$A$4:$A$9,0)),"(sin catálogo)"))</f>
        <v/>
      </c>
      <c r="U845" s="3">
        <f>IF($F845="","",IFERROR(INDEX('CAT_CENTROS_COSTO'!$D$4:$D$9,MATCH($F845,'CAT_CENTROS_COSTO'!$A$4:$A$9,0)),"(sin catálogo)"))</f>
        <v/>
      </c>
      <c r="V845" s="3">
        <f>IF($F845="","",IFERROR(INDEX('CAT_CENTROS_COSTO'!$F$4:$F$9,MATCH($F845,'CAT_CENTROS_COSTO'!$A$4:$A$9,0)),"(sin catálogo)"))</f>
        <v/>
      </c>
      <c r="W845" s="3">
        <f>IF($G845="","",IFERROR(INDEX('CAT_PUESTOS'!$B$4:$B$8,MATCH($G845,'CAT_PUESTOS'!$A$4:$A$8,0)),"(sin catálogo)"))</f>
        <v/>
      </c>
      <c r="X845" s="3">
        <f>IF($H845="","",IFERROR(INDEX('CAT_ACTIVIDADES'!$B$4:$B$8,MATCH($H845,'CAT_ACTIVIDADES'!$A$4:$A$8,0)),"(sin catálogo)"))</f>
        <v/>
      </c>
      <c r="Y845" s="12">
        <f>IF($J845="","",TODAY()-$J845)</f>
        <v/>
      </c>
      <c r="Z845" s="3">
        <f>IF($Y845="","",IF($Y845&lt;0,"FUTURO",IF($Y845&gt;p_dias_backlog_max,"BACKLOG","MES CORRIENTE")))</f>
        <v/>
      </c>
      <c r="AA845" s="3">
        <f>IF($Y845="",FALSE,AND($Y845&gt;p_dias_backlog_min,$Y845&lt;=p_dias_backlog_max))</f>
        <v/>
      </c>
      <c r="AB845" s="6" t="n"/>
      <c r="AC845" s="3">
        <f>IF($AB845="","",IFERROR(INDEX('ASIGNACIONES'!$F$4:$F$339,MATCH($O845&amp;"|"&amp;$R845&amp;"|"&amp;$AB845,'ASIGNACIONES'!$I$4:$I$339,0)),""))</f>
        <v/>
      </c>
      <c r="AD845" s="13">
        <f>IF($AB845="","",SUMIFS('ORDENES'!$M$4:$M$1203,'ORDENES'!$AB$4:$AB$1203,$AB845,'ORDENES'!$O$4:$O$1203,$O845,'ORDENES'!$R$4:$R$1203,$R845))</f>
        <v/>
      </c>
      <c r="AE845" s="13">
        <f>IF($AD845="","",p_factor_productividad*IFERROR(INDEX('ASIGNACIONES'!$H$4:$H$339,MATCH($O845&amp;"|"&amp;$R845&amp;"|"&amp;$AB845,'ASIGNACIONES'!$I$4:$I$339,0)),0)-$AD845)</f>
        <v/>
      </c>
      <c r="AF845" s="10">
        <f>IF($A845="","",IFERROR(INDEX('2_IMPORTAR_EJECUCION'!$F$9:$F$1208,MATCH($AN845,'2_IMPORTAR_EJECUCION'!$J$9:$J$1208,0)),0))</f>
        <v/>
      </c>
      <c r="AG845" s="10">
        <f>IF($A845="","",MAX(0,IFERROR(INDEX('2_IMPORTAR_EJECUCION'!$H$9:$H$1208,MATCH($AN845,'2_IMPORTAR_EJECUCION'!$J$9:$J$1208,0)),0)-$AF845))</f>
        <v/>
      </c>
      <c r="AH845" s="10">
        <f>IF($A845="","",$AF845+$AG845)</f>
        <v/>
      </c>
      <c r="AI845" s="6" t="n"/>
      <c r="AJ845" s="6" t="n"/>
      <c r="AK845" s="6" t="n"/>
      <c r="AL845" s="3">
        <f>IF($AK845="","",HYPERLINK(p_ruta_base_checklists&amp;$AK845,"abrir"))</f>
        <v/>
      </c>
      <c r="AM845" s="6" t="n"/>
      <c r="AN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1" t="n"/>
      <c r="K846" s="3" t="n"/>
      <c r="L846" s="10" t="n"/>
      <c r="M846" s="3">
        <f>IF($A846="","",IFERROR(INDEX('AJUSTES'!$B$4:$B$303,MATCH($AN846,'AJUSTES'!$A$4:$A$303,0)),IF($K846="","",$K846)))</f>
        <v/>
      </c>
      <c r="N846" s="3">
        <f>IF($A846="","",IFERROR(INDEX('CAT_ESTADOS_ERP'!$B$4:$B$7,MATCH(IFERROR(INDEX('2_IMPORTAR_EJECUCION'!$C$9:$C$1208,MATCH($AN846,'2_IMPORTAR_EJECUCION'!$J$9:$J$1208,0)),""),'CAT_ESTADOS_ERP'!$A$4:$A$7,0)),"Pendiente"))</f>
        <v/>
      </c>
      <c r="O846" s="3">
        <f>IF($J846="","",YEAR($J846+4-WEEKDAY($J846,2))&amp;"-S"&amp;TEXT(_xlfn.ISOWEEKNUM($J846),"00"))</f>
        <v/>
      </c>
      <c r="P846" s="3">
        <f>IF($J846="","",YEAR($J846))</f>
        <v/>
      </c>
      <c r="Q846" s="3">
        <f>IF($J846="","",MONTH($J846))</f>
        <v/>
      </c>
      <c r="R846" s="3">
        <f>IF($J846="","",INDEX(lista_dias,WEEKDAY($J846,2)))</f>
        <v/>
      </c>
      <c r="S846" s="3">
        <f>IF($I846="","",IFERROR(INDEX('CAT_TIPOS_OT'!$C$4:$C$7,MATCH($I846,'CAT_TIPOS_OT'!$A$4:$A$7,0)),"sin_clasificar"))</f>
        <v/>
      </c>
      <c r="T846" s="3">
        <f>IF($F846="","",IFERROR(INDEX('CAT_CENTROS_COSTO'!$E$4:$E$9,MATCH($F846,'CAT_CENTROS_COSTO'!$A$4:$A$9,0)),"(sin catálogo)"))</f>
        <v/>
      </c>
      <c r="U846" s="3">
        <f>IF($F846="","",IFERROR(INDEX('CAT_CENTROS_COSTO'!$D$4:$D$9,MATCH($F846,'CAT_CENTROS_COSTO'!$A$4:$A$9,0)),"(sin catálogo)"))</f>
        <v/>
      </c>
      <c r="V846" s="3">
        <f>IF($F846="","",IFERROR(INDEX('CAT_CENTROS_COSTO'!$F$4:$F$9,MATCH($F846,'CAT_CENTROS_COSTO'!$A$4:$A$9,0)),"(sin catálogo)"))</f>
        <v/>
      </c>
      <c r="W846" s="3">
        <f>IF($G846="","",IFERROR(INDEX('CAT_PUESTOS'!$B$4:$B$8,MATCH($G846,'CAT_PUESTOS'!$A$4:$A$8,0)),"(sin catálogo)"))</f>
        <v/>
      </c>
      <c r="X846" s="3">
        <f>IF($H846="","",IFERROR(INDEX('CAT_ACTIVIDADES'!$B$4:$B$8,MATCH($H846,'CAT_ACTIVIDADES'!$A$4:$A$8,0)),"(sin catálogo)"))</f>
        <v/>
      </c>
      <c r="Y846" s="12">
        <f>IF($J846="","",TODAY()-$J846)</f>
        <v/>
      </c>
      <c r="Z846" s="3">
        <f>IF($Y846="","",IF($Y846&lt;0,"FUTURO",IF($Y846&gt;p_dias_backlog_max,"BACKLOG","MES CORRIENTE")))</f>
        <v/>
      </c>
      <c r="AA846" s="3">
        <f>IF($Y846="",FALSE,AND($Y846&gt;p_dias_backlog_min,$Y846&lt;=p_dias_backlog_max))</f>
        <v/>
      </c>
      <c r="AB846" s="6" t="n"/>
      <c r="AC846" s="3">
        <f>IF($AB846="","",IFERROR(INDEX('ASIGNACIONES'!$F$4:$F$339,MATCH($O846&amp;"|"&amp;$R846&amp;"|"&amp;$AB846,'ASIGNACIONES'!$I$4:$I$339,0)),""))</f>
        <v/>
      </c>
      <c r="AD846" s="13">
        <f>IF($AB846="","",SUMIFS('ORDENES'!$M$4:$M$1203,'ORDENES'!$AB$4:$AB$1203,$AB846,'ORDENES'!$O$4:$O$1203,$O846,'ORDENES'!$R$4:$R$1203,$R846))</f>
        <v/>
      </c>
      <c r="AE846" s="13">
        <f>IF($AD846="","",p_factor_productividad*IFERROR(INDEX('ASIGNACIONES'!$H$4:$H$339,MATCH($O846&amp;"|"&amp;$R846&amp;"|"&amp;$AB846,'ASIGNACIONES'!$I$4:$I$339,0)),0)-$AD846)</f>
        <v/>
      </c>
      <c r="AF846" s="10">
        <f>IF($A846="","",IFERROR(INDEX('2_IMPORTAR_EJECUCION'!$F$9:$F$1208,MATCH($AN846,'2_IMPORTAR_EJECUCION'!$J$9:$J$1208,0)),0))</f>
        <v/>
      </c>
      <c r="AG846" s="10">
        <f>IF($A846="","",MAX(0,IFERROR(INDEX('2_IMPORTAR_EJECUCION'!$H$9:$H$1208,MATCH($AN846,'2_IMPORTAR_EJECUCION'!$J$9:$J$1208,0)),0)-$AF846))</f>
        <v/>
      </c>
      <c r="AH846" s="10">
        <f>IF($A846="","",$AF846+$AG846)</f>
        <v/>
      </c>
      <c r="AI846" s="6" t="n"/>
      <c r="AJ846" s="6" t="n"/>
      <c r="AK846" s="6" t="n"/>
      <c r="AL846" s="3">
        <f>IF($AK846="","",HYPERLINK(p_ruta_base_checklists&amp;$AK846,"abrir"))</f>
        <v/>
      </c>
      <c r="AM846" s="6" t="n"/>
      <c r="AN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1" t="n"/>
      <c r="K847" s="3" t="n"/>
      <c r="L847" s="10" t="n"/>
      <c r="M847" s="3">
        <f>IF($A847="","",IFERROR(INDEX('AJUSTES'!$B$4:$B$303,MATCH($AN847,'AJUSTES'!$A$4:$A$303,0)),IF($K847="","",$K847)))</f>
        <v/>
      </c>
      <c r="N847" s="3">
        <f>IF($A847="","",IFERROR(INDEX('CAT_ESTADOS_ERP'!$B$4:$B$7,MATCH(IFERROR(INDEX('2_IMPORTAR_EJECUCION'!$C$9:$C$1208,MATCH($AN847,'2_IMPORTAR_EJECUCION'!$J$9:$J$1208,0)),""),'CAT_ESTADOS_ERP'!$A$4:$A$7,0)),"Pendiente"))</f>
        <v/>
      </c>
      <c r="O847" s="3">
        <f>IF($J847="","",YEAR($J847+4-WEEKDAY($J847,2))&amp;"-S"&amp;TEXT(_xlfn.ISOWEEKNUM($J847),"00"))</f>
        <v/>
      </c>
      <c r="P847" s="3">
        <f>IF($J847="","",YEAR($J847))</f>
        <v/>
      </c>
      <c r="Q847" s="3">
        <f>IF($J847="","",MONTH($J847))</f>
        <v/>
      </c>
      <c r="R847" s="3">
        <f>IF($J847="","",INDEX(lista_dias,WEEKDAY($J847,2)))</f>
        <v/>
      </c>
      <c r="S847" s="3">
        <f>IF($I847="","",IFERROR(INDEX('CAT_TIPOS_OT'!$C$4:$C$7,MATCH($I847,'CAT_TIPOS_OT'!$A$4:$A$7,0)),"sin_clasificar"))</f>
        <v/>
      </c>
      <c r="T847" s="3">
        <f>IF($F847="","",IFERROR(INDEX('CAT_CENTROS_COSTO'!$E$4:$E$9,MATCH($F847,'CAT_CENTROS_COSTO'!$A$4:$A$9,0)),"(sin catálogo)"))</f>
        <v/>
      </c>
      <c r="U847" s="3">
        <f>IF($F847="","",IFERROR(INDEX('CAT_CENTROS_COSTO'!$D$4:$D$9,MATCH($F847,'CAT_CENTROS_COSTO'!$A$4:$A$9,0)),"(sin catálogo)"))</f>
        <v/>
      </c>
      <c r="V847" s="3">
        <f>IF($F847="","",IFERROR(INDEX('CAT_CENTROS_COSTO'!$F$4:$F$9,MATCH($F847,'CAT_CENTROS_COSTO'!$A$4:$A$9,0)),"(sin catálogo)"))</f>
        <v/>
      </c>
      <c r="W847" s="3">
        <f>IF($G847="","",IFERROR(INDEX('CAT_PUESTOS'!$B$4:$B$8,MATCH($G847,'CAT_PUESTOS'!$A$4:$A$8,0)),"(sin catálogo)"))</f>
        <v/>
      </c>
      <c r="X847" s="3">
        <f>IF($H847="","",IFERROR(INDEX('CAT_ACTIVIDADES'!$B$4:$B$8,MATCH($H847,'CAT_ACTIVIDADES'!$A$4:$A$8,0)),"(sin catálogo)"))</f>
        <v/>
      </c>
      <c r="Y847" s="12">
        <f>IF($J847="","",TODAY()-$J847)</f>
        <v/>
      </c>
      <c r="Z847" s="3">
        <f>IF($Y847="","",IF($Y847&lt;0,"FUTURO",IF($Y847&gt;p_dias_backlog_max,"BACKLOG","MES CORRIENTE")))</f>
        <v/>
      </c>
      <c r="AA847" s="3">
        <f>IF($Y847="",FALSE,AND($Y847&gt;p_dias_backlog_min,$Y847&lt;=p_dias_backlog_max))</f>
        <v/>
      </c>
      <c r="AB847" s="6" t="n"/>
      <c r="AC847" s="3">
        <f>IF($AB847="","",IFERROR(INDEX('ASIGNACIONES'!$F$4:$F$339,MATCH($O847&amp;"|"&amp;$R847&amp;"|"&amp;$AB847,'ASIGNACIONES'!$I$4:$I$339,0)),""))</f>
        <v/>
      </c>
      <c r="AD847" s="13">
        <f>IF($AB847="","",SUMIFS('ORDENES'!$M$4:$M$1203,'ORDENES'!$AB$4:$AB$1203,$AB847,'ORDENES'!$O$4:$O$1203,$O847,'ORDENES'!$R$4:$R$1203,$R847))</f>
        <v/>
      </c>
      <c r="AE847" s="13">
        <f>IF($AD847="","",p_factor_productividad*IFERROR(INDEX('ASIGNACIONES'!$H$4:$H$339,MATCH($O847&amp;"|"&amp;$R847&amp;"|"&amp;$AB847,'ASIGNACIONES'!$I$4:$I$339,0)),0)-$AD847)</f>
        <v/>
      </c>
      <c r="AF847" s="10">
        <f>IF($A847="","",IFERROR(INDEX('2_IMPORTAR_EJECUCION'!$F$9:$F$1208,MATCH($AN847,'2_IMPORTAR_EJECUCION'!$J$9:$J$1208,0)),0))</f>
        <v/>
      </c>
      <c r="AG847" s="10">
        <f>IF($A847="","",MAX(0,IFERROR(INDEX('2_IMPORTAR_EJECUCION'!$H$9:$H$1208,MATCH($AN847,'2_IMPORTAR_EJECUCION'!$J$9:$J$1208,0)),0)-$AF847))</f>
        <v/>
      </c>
      <c r="AH847" s="10">
        <f>IF($A847="","",$AF847+$AG847)</f>
        <v/>
      </c>
      <c r="AI847" s="6" t="n"/>
      <c r="AJ847" s="6" t="n"/>
      <c r="AK847" s="6" t="n"/>
      <c r="AL847" s="3">
        <f>IF($AK847="","",HYPERLINK(p_ruta_base_checklists&amp;$AK847,"abrir"))</f>
        <v/>
      </c>
      <c r="AM847" s="6" t="n"/>
      <c r="AN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1" t="n"/>
      <c r="K848" s="3" t="n"/>
      <c r="L848" s="10" t="n"/>
      <c r="M848" s="3">
        <f>IF($A848="","",IFERROR(INDEX('AJUSTES'!$B$4:$B$303,MATCH($AN848,'AJUSTES'!$A$4:$A$303,0)),IF($K848="","",$K848)))</f>
        <v/>
      </c>
      <c r="N848" s="3">
        <f>IF($A848="","",IFERROR(INDEX('CAT_ESTADOS_ERP'!$B$4:$B$7,MATCH(IFERROR(INDEX('2_IMPORTAR_EJECUCION'!$C$9:$C$1208,MATCH($AN848,'2_IMPORTAR_EJECUCION'!$J$9:$J$1208,0)),""),'CAT_ESTADOS_ERP'!$A$4:$A$7,0)),"Pendiente"))</f>
        <v/>
      </c>
      <c r="O848" s="3">
        <f>IF($J848="","",YEAR($J848+4-WEEKDAY($J848,2))&amp;"-S"&amp;TEXT(_xlfn.ISOWEEKNUM($J848),"00"))</f>
        <v/>
      </c>
      <c r="P848" s="3">
        <f>IF($J848="","",YEAR($J848))</f>
        <v/>
      </c>
      <c r="Q848" s="3">
        <f>IF($J848="","",MONTH($J848))</f>
        <v/>
      </c>
      <c r="R848" s="3">
        <f>IF($J848="","",INDEX(lista_dias,WEEKDAY($J848,2)))</f>
        <v/>
      </c>
      <c r="S848" s="3">
        <f>IF($I848="","",IFERROR(INDEX('CAT_TIPOS_OT'!$C$4:$C$7,MATCH($I848,'CAT_TIPOS_OT'!$A$4:$A$7,0)),"sin_clasificar"))</f>
        <v/>
      </c>
      <c r="T848" s="3">
        <f>IF($F848="","",IFERROR(INDEX('CAT_CENTROS_COSTO'!$E$4:$E$9,MATCH($F848,'CAT_CENTROS_COSTO'!$A$4:$A$9,0)),"(sin catálogo)"))</f>
        <v/>
      </c>
      <c r="U848" s="3">
        <f>IF($F848="","",IFERROR(INDEX('CAT_CENTROS_COSTO'!$D$4:$D$9,MATCH($F848,'CAT_CENTROS_COSTO'!$A$4:$A$9,0)),"(sin catálogo)"))</f>
        <v/>
      </c>
      <c r="V848" s="3">
        <f>IF($F848="","",IFERROR(INDEX('CAT_CENTROS_COSTO'!$F$4:$F$9,MATCH($F848,'CAT_CENTROS_COSTO'!$A$4:$A$9,0)),"(sin catálogo)"))</f>
        <v/>
      </c>
      <c r="W848" s="3">
        <f>IF($G848="","",IFERROR(INDEX('CAT_PUESTOS'!$B$4:$B$8,MATCH($G848,'CAT_PUESTOS'!$A$4:$A$8,0)),"(sin catálogo)"))</f>
        <v/>
      </c>
      <c r="X848" s="3">
        <f>IF($H848="","",IFERROR(INDEX('CAT_ACTIVIDADES'!$B$4:$B$8,MATCH($H848,'CAT_ACTIVIDADES'!$A$4:$A$8,0)),"(sin catálogo)"))</f>
        <v/>
      </c>
      <c r="Y848" s="12">
        <f>IF($J848="","",TODAY()-$J848)</f>
        <v/>
      </c>
      <c r="Z848" s="3">
        <f>IF($Y848="","",IF($Y848&lt;0,"FUTURO",IF($Y848&gt;p_dias_backlog_max,"BACKLOG","MES CORRIENTE")))</f>
        <v/>
      </c>
      <c r="AA848" s="3">
        <f>IF($Y848="",FALSE,AND($Y848&gt;p_dias_backlog_min,$Y848&lt;=p_dias_backlog_max))</f>
        <v/>
      </c>
      <c r="AB848" s="6" t="n"/>
      <c r="AC848" s="3">
        <f>IF($AB848="","",IFERROR(INDEX('ASIGNACIONES'!$F$4:$F$339,MATCH($O848&amp;"|"&amp;$R848&amp;"|"&amp;$AB848,'ASIGNACIONES'!$I$4:$I$339,0)),""))</f>
        <v/>
      </c>
      <c r="AD848" s="13">
        <f>IF($AB848="","",SUMIFS('ORDENES'!$M$4:$M$1203,'ORDENES'!$AB$4:$AB$1203,$AB848,'ORDENES'!$O$4:$O$1203,$O848,'ORDENES'!$R$4:$R$1203,$R848))</f>
        <v/>
      </c>
      <c r="AE848" s="13">
        <f>IF($AD848="","",p_factor_productividad*IFERROR(INDEX('ASIGNACIONES'!$H$4:$H$339,MATCH($O848&amp;"|"&amp;$R848&amp;"|"&amp;$AB848,'ASIGNACIONES'!$I$4:$I$339,0)),0)-$AD848)</f>
        <v/>
      </c>
      <c r="AF848" s="10">
        <f>IF($A848="","",IFERROR(INDEX('2_IMPORTAR_EJECUCION'!$F$9:$F$1208,MATCH($AN848,'2_IMPORTAR_EJECUCION'!$J$9:$J$1208,0)),0))</f>
        <v/>
      </c>
      <c r="AG848" s="10">
        <f>IF($A848="","",MAX(0,IFERROR(INDEX('2_IMPORTAR_EJECUCION'!$H$9:$H$1208,MATCH($AN848,'2_IMPORTAR_EJECUCION'!$J$9:$J$1208,0)),0)-$AF848))</f>
        <v/>
      </c>
      <c r="AH848" s="10">
        <f>IF($A848="","",$AF848+$AG848)</f>
        <v/>
      </c>
      <c r="AI848" s="6" t="n"/>
      <c r="AJ848" s="6" t="n"/>
      <c r="AK848" s="6" t="n"/>
      <c r="AL848" s="3">
        <f>IF($AK848="","",HYPERLINK(p_ruta_base_checklists&amp;$AK848,"abrir"))</f>
        <v/>
      </c>
      <c r="AM848" s="6" t="n"/>
      <c r="AN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1" t="n"/>
      <c r="K849" s="3" t="n"/>
      <c r="L849" s="10" t="n"/>
      <c r="M849" s="3">
        <f>IF($A849="","",IFERROR(INDEX('AJUSTES'!$B$4:$B$303,MATCH($AN849,'AJUSTES'!$A$4:$A$303,0)),IF($K849="","",$K849)))</f>
        <v/>
      </c>
      <c r="N849" s="3">
        <f>IF($A849="","",IFERROR(INDEX('CAT_ESTADOS_ERP'!$B$4:$B$7,MATCH(IFERROR(INDEX('2_IMPORTAR_EJECUCION'!$C$9:$C$1208,MATCH($AN849,'2_IMPORTAR_EJECUCION'!$J$9:$J$1208,0)),""),'CAT_ESTADOS_ERP'!$A$4:$A$7,0)),"Pendiente"))</f>
        <v/>
      </c>
      <c r="O849" s="3">
        <f>IF($J849="","",YEAR($J849+4-WEEKDAY($J849,2))&amp;"-S"&amp;TEXT(_xlfn.ISOWEEKNUM($J849),"00"))</f>
        <v/>
      </c>
      <c r="P849" s="3">
        <f>IF($J849="","",YEAR($J849))</f>
        <v/>
      </c>
      <c r="Q849" s="3">
        <f>IF($J849="","",MONTH($J849))</f>
        <v/>
      </c>
      <c r="R849" s="3">
        <f>IF($J849="","",INDEX(lista_dias,WEEKDAY($J849,2)))</f>
        <v/>
      </c>
      <c r="S849" s="3">
        <f>IF($I849="","",IFERROR(INDEX('CAT_TIPOS_OT'!$C$4:$C$7,MATCH($I849,'CAT_TIPOS_OT'!$A$4:$A$7,0)),"sin_clasificar"))</f>
        <v/>
      </c>
      <c r="T849" s="3">
        <f>IF($F849="","",IFERROR(INDEX('CAT_CENTROS_COSTO'!$E$4:$E$9,MATCH($F849,'CAT_CENTROS_COSTO'!$A$4:$A$9,0)),"(sin catálogo)"))</f>
        <v/>
      </c>
      <c r="U849" s="3">
        <f>IF($F849="","",IFERROR(INDEX('CAT_CENTROS_COSTO'!$D$4:$D$9,MATCH($F849,'CAT_CENTROS_COSTO'!$A$4:$A$9,0)),"(sin catálogo)"))</f>
        <v/>
      </c>
      <c r="V849" s="3">
        <f>IF($F849="","",IFERROR(INDEX('CAT_CENTROS_COSTO'!$F$4:$F$9,MATCH($F849,'CAT_CENTROS_COSTO'!$A$4:$A$9,0)),"(sin catálogo)"))</f>
        <v/>
      </c>
      <c r="W849" s="3">
        <f>IF($G849="","",IFERROR(INDEX('CAT_PUESTOS'!$B$4:$B$8,MATCH($G849,'CAT_PUESTOS'!$A$4:$A$8,0)),"(sin catálogo)"))</f>
        <v/>
      </c>
      <c r="X849" s="3">
        <f>IF($H849="","",IFERROR(INDEX('CAT_ACTIVIDADES'!$B$4:$B$8,MATCH($H849,'CAT_ACTIVIDADES'!$A$4:$A$8,0)),"(sin catálogo)"))</f>
        <v/>
      </c>
      <c r="Y849" s="12">
        <f>IF($J849="","",TODAY()-$J849)</f>
        <v/>
      </c>
      <c r="Z849" s="3">
        <f>IF($Y849="","",IF($Y849&lt;0,"FUTURO",IF($Y849&gt;p_dias_backlog_max,"BACKLOG","MES CORRIENTE")))</f>
        <v/>
      </c>
      <c r="AA849" s="3">
        <f>IF($Y849="",FALSE,AND($Y849&gt;p_dias_backlog_min,$Y849&lt;=p_dias_backlog_max))</f>
        <v/>
      </c>
      <c r="AB849" s="6" t="n"/>
      <c r="AC849" s="3">
        <f>IF($AB849="","",IFERROR(INDEX('ASIGNACIONES'!$F$4:$F$339,MATCH($O849&amp;"|"&amp;$R849&amp;"|"&amp;$AB849,'ASIGNACIONES'!$I$4:$I$339,0)),""))</f>
        <v/>
      </c>
      <c r="AD849" s="13">
        <f>IF($AB849="","",SUMIFS('ORDENES'!$M$4:$M$1203,'ORDENES'!$AB$4:$AB$1203,$AB849,'ORDENES'!$O$4:$O$1203,$O849,'ORDENES'!$R$4:$R$1203,$R849))</f>
        <v/>
      </c>
      <c r="AE849" s="13">
        <f>IF($AD849="","",p_factor_productividad*IFERROR(INDEX('ASIGNACIONES'!$H$4:$H$339,MATCH($O849&amp;"|"&amp;$R849&amp;"|"&amp;$AB849,'ASIGNACIONES'!$I$4:$I$339,0)),0)-$AD849)</f>
        <v/>
      </c>
      <c r="AF849" s="10">
        <f>IF($A849="","",IFERROR(INDEX('2_IMPORTAR_EJECUCION'!$F$9:$F$1208,MATCH($AN849,'2_IMPORTAR_EJECUCION'!$J$9:$J$1208,0)),0))</f>
        <v/>
      </c>
      <c r="AG849" s="10">
        <f>IF($A849="","",MAX(0,IFERROR(INDEX('2_IMPORTAR_EJECUCION'!$H$9:$H$1208,MATCH($AN849,'2_IMPORTAR_EJECUCION'!$J$9:$J$1208,0)),0)-$AF849))</f>
        <v/>
      </c>
      <c r="AH849" s="10">
        <f>IF($A849="","",$AF849+$AG849)</f>
        <v/>
      </c>
      <c r="AI849" s="6" t="n"/>
      <c r="AJ849" s="6" t="n"/>
      <c r="AK849" s="6" t="n"/>
      <c r="AL849" s="3">
        <f>IF($AK849="","",HYPERLINK(p_ruta_base_checklists&amp;$AK849,"abrir"))</f>
        <v/>
      </c>
      <c r="AM849" s="6" t="n"/>
      <c r="AN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1" t="n"/>
      <c r="K850" s="3" t="n"/>
      <c r="L850" s="10" t="n"/>
      <c r="M850" s="3">
        <f>IF($A850="","",IFERROR(INDEX('AJUSTES'!$B$4:$B$303,MATCH($AN850,'AJUSTES'!$A$4:$A$303,0)),IF($K850="","",$K850)))</f>
        <v/>
      </c>
      <c r="N850" s="3">
        <f>IF($A850="","",IFERROR(INDEX('CAT_ESTADOS_ERP'!$B$4:$B$7,MATCH(IFERROR(INDEX('2_IMPORTAR_EJECUCION'!$C$9:$C$1208,MATCH($AN850,'2_IMPORTAR_EJECUCION'!$J$9:$J$1208,0)),""),'CAT_ESTADOS_ERP'!$A$4:$A$7,0)),"Pendiente"))</f>
        <v/>
      </c>
      <c r="O850" s="3">
        <f>IF($J850="","",YEAR($J850+4-WEEKDAY($J850,2))&amp;"-S"&amp;TEXT(_xlfn.ISOWEEKNUM($J850),"00"))</f>
        <v/>
      </c>
      <c r="P850" s="3">
        <f>IF($J850="","",YEAR($J850))</f>
        <v/>
      </c>
      <c r="Q850" s="3">
        <f>IF($J850="","",MONTH($J850))</f>
        <v/>
      </c>
      <c r="R850" s="3">
        <f>IF($J850="","",INDEX(lista_dias,WEEKDAY($J850,2)))</f>
        <v/>
      </c>
      <c r="S850" s="3">
        <f>IF($I850="","",IFERROR(INDEX('CAT_TIPOS_OT'!$C$4:$C$7,MATCH($I850,'CAT_TIPOS_OT'!$A$4:$A$7,0)),"sin_clasificar"))</f>
        <v/>
      </c>
      <c r="T850" s="3">
        <f>IF($F850="","",IFERROR(INDEX('CAT_CENTROS_COSTO'!$E$4:$E$9,MATCH($F850,'CAT_CENTROS_COSTO'!$A$4:$A$9,0)),"(sin catálogo)"))</f>
        <v/>
      </c>
      <c r="U850" s="3">
        <f>IF($F850="","",IFERROR(INDEX('CAT_CENTROS_COSTO'!$D$4:$D$9,MATCH($F850,'CAT_CENTROS_COSTO'!$A$4:$A$9,0)),"(sin catálogo)"))</f>
        <v/>
      </c>
      <c r="V850" s="3">
        <f>IF($F850="","",IFERROR(INDEX('CAT_CENTROS_COSTO'!$F$4:$F$9,MATCH($F850,'CAT_CENTROS_COSTO'!$A$4:$A$9,0)),"(sin catálogo)"))</f>
        <v/>
      </c>
      <c r="W850" s="3">
        <f>IF($G850="","",IFERROR(INDEX('CAT_PUESTOS'!$B$4:$B$8,MATCH($G850,'CAT_PUESTOS'!$A$4:$A$8,0)),"(sin catálogo)"))</f>
        <v/>
      </c>
      <c r="X850" s="3">
        <f>IF($H850="","",IFERROR(INDEX('CAT_ACTIVIDADES'!$B$4:$B$8,MATCH($H850,'CAT_ACTIVIDADES'!$A$4:$A$8,0)),"(sin catálogo)"))</f>
        <v/>
      </c>
      <c r="Y850" s="12">
        <f>IF($J850="","",TODAY()-$J850)</f>
        <v/>
      </c>
      <c r="Z850" s="3">
        <f>IF($Y850="","",IF($Y850&lt;0,"FUTURO",IF($Y850&gt;p_dias_backlog_max,"BACKLOG","MES CORRIENTE")))</f>
        <v/>
      </c>
      <c r="AA850" s="3">
        <f>IF($Y850="",FALSE,AND($Y850&gt;p_dias_backlog_min,$Y850&lt;=p_dias_backlog_max))</f>
        <v/>
      </c>
      <c r="AB850" s="6" t="n"/>
      <c r="AC850" s="3">
        <f>IF($AB850="","",IFERROR(INDEX('ASIGNACIONES'!$F$4:$F$339,MATCH($O850&amp;"|"&amp;$R850&amp;"|"&amp;$AB850,'ASIGNACIONES'!$I$4:$I$339,0)),""))</f>
        <v/>
      </c>
      <c r="AD850" s="13">
        <f>IF($AB850="","",SUMIFS('ORDENES'!$M$4:$M$1203,'ORDENES'!$AB$4:$AB$1203,$AB850,'ORDENES'!$O$4:$O$1203,$O850,'ORDENES'!$R$4:$R$1203,$R850))</f>
        <v/>
      </c>
      <c r="AE850" s="13">
        <f>IF($AD850="","",p_factor_productividad*IFERROR(INDEX('ASIGNACIONES'!$H$4:$H$339,MATCH($O850&amp;"|"&amp;$R850&amp;"|"&amp;$AB850,'ASIGNACIONES'!$I$4:$I$339,0)),0)-$AD850)</f>
        <v/>
      </c>
      <c r="AF850" s="10">
        <f>IF($A850="","",IFERROR(INDEX('2_IMPORTAR_EJECUCION'!$F$9:$F$1208,MATCH($AN850,'2_IMPORTAR_EJECUCION'!$J$9:$J$1208,0)),0))</f>
        <v/>
      </c>
      <c r="AG850" s="10">
        <f>IF($A850="","",MAX(0,IFERROR(INDEX('2_IMPORTAR_EJECUCION'!$H$9:$H$1208,MATCH($AN850,'2_IMPORTAR_EJECUCION'!$J$9:$J$1208,0)),0)-$AF850))</f>
        <v/>
      </c>
      <c r="AH850" s="10">
        <f>IF($A850="","",$AF850+$AG850)</f>
        <v/>
      </c>
      <c r="AI850" s="6" t="n"/>
      <c r="AJ850" s="6" t="n"/>
      <c r="AK850" s="6" t="n"/>
      <c r="AL850" s="3">
        <f>IF($AK850="","",HYPERLINK(p_ruta_base_checklists&amp;$AK850,"abrir"))</f>
        <v/>
      </c>
      <c r="AM850" s="6" t="n"/>
      <c r="AN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1" t="n"/>
      <c r="K851" s="3" t="n"/>
      <c r="L851" s="10" t="n"/>
      <c r="M851" s="3">
        <f>IF($A851="","",IFERROR(INDEX('AJUSTES'!$B$4:$B$303,MATCH($AN851,'AJUSTES'!$A$4:$A$303,0)),IF($K851="","",$K851)))</f>
        <v/>
      </c>
      <c r="N851" s="3">
        <f>IF($A851="","",IFERROR(INDEX('CAT_ESTADOS_ERP'!$B$4:$B$7,MATCH(IFERROR(INDEX('2_IMPORTAR_EJECUCION'!$C$9:$C$1208,MATCH($AN851,'2_IMPORTAR_EJECUCION'!$J$9:$J$1208,0)),""),'CAT_ESTADOS_ERP'!$A$4:$A$7,0)),"Pendiente"))</f>
        <v/>
      </c>
      <c r="O851" s="3">
        <f>IF($J851="","",YEAR($J851+4-WEEKDAY($J851,2))&amp;"-S"&amp;TEXT(_xlfn.ISOWEEKNUM($J851),"00"))</f>
        <v/>
      </c>
      <c r="P851" s="3">
        <f>IF($J851="","",YEAR($J851))</f>
        <v/>
      </c>
      <c r="Q851" s="3">
        <f>IF($J851="","",MONTH($J851))</f>
        <v/>
      </c>
      <c r="R851" s="3">
        <f>IF($J851="","",INDEX(lista_dias,WEEKDAY($J851,2)))</f>
        <v/>
      </c>
      <c r="S851" s="3">
        <f>IF($I851="","",IFERROR(INDEX('CAT_TIPOS_OT'!$C$4:$C$7,MATCH($I851,'CAT_TIPOS_OT'!$A$4:$A$7,0)),"sin_clasificar"))</f>
        <v/>
      </c>
      <c r="T851" s="3">
        <f>IF($F851="","",IFERROR(INDEX('CAT_CENTROS_COSTO'!$E$4:$E$9,MATCH($F851,'CAT_CENTROS_COSTO'!$A$4:$A$9,0)),"(sin catálogo)"))</f>
        <v/>
      </c>
      <c r="U851" s="3">
        <f>IF($F851="","",IFERROR(INDEX('CAT_CENTROS_COSTO'!$D$4:$D$9,MATCH($F851,'CAT_CENTROS_COSTO'!$A$4:$A$9,0)),"(sin catálogo)"))</f>
        <v/>
      </c>
      <c r="V851" s="3">
        <f>IF($F851="","",IFERROR(INDEX('CAT_CENTROS_COSTO'!$F$4:$F$9,MATCH($F851,'CAT_CENTROS_COSTO'!$A$4:$A$9,0)),"(sin catálogo)"))</f>
        <v/>
      </c>
      <c r="W851" s="3">
        <f>IF($G851="","",IFERROR(INDEX('CAT_PUESTOS'!$B$4:$B$8,MATCH($G851,'CAT_PUESTOS'!$A$4:$A$8,0)),"(sin catálogo)"))</f>
        <v/>
      </c>
      <c r="X851" s="3">
        <f>IF($H851="","",IFERROR(INDEX('CAT_ACTIVIDADES'!$B$4:$B$8,MATCH($H851,'CAT_ACTIVIDADES'!$A$4:$A$8,0)),"(sin catálogo)"))</f>
        <v/>
      </c>
      <c r="Y851" s="12">
        <f>IF($J851="","",TODAY()-$J851)</f>
        <v/>
      </c>
      <c r="Z851" s="3">
        <f>IF($Y851="","",IF($Y851&lt;0,"FUTURO",IF($Y851&gt;p_dias_backlog_max,"BACKLOG","MES CORRIENTE")))</f>
        <v/>
      </c>
      <c r="AA851" s="3">
        <f>IF($Y851="",FALSE,AND($Y851&gt;p_dias_backlog_min,$Y851&lt;=p_dias_backlog_max))</f>
        <v/>
      </c>
      <c r="AB851" s="6" t="n"/>
      <c r="AC851" s="3">
        <f>IF($AB851="","",IFERROR(INDEX('ASIGNACIONES'!$F$4:$F$339,MATCH($O851&amp;"|"&amp;$R851&amp;"|"&amp;$AB851,'ASIGNACIONES'!$I$4:$I$339,0)),""))</f>
        <v/>
      </c>
      <c r="AD851" s="13">
        <f>IF($AB851="","",SUMIFS('ORDENES'!$M$4:$M$1203,'ORDENES'!$AB$4:$AB$1203,$AB851,'ORDENES'!$O$4:$O$1203,$O851,'ORDENES'!$R$4:$R$1203,$R851))</f>
        <v/>
      </c>
      <c r="AE851" s="13">
        <f>IF($AD851="","",p_factor_productividad*IFERROR(INDEX('ASIGNACIONES'!$H$4:$H$339,MATCH($O851&amp;"|"&amp;$R851&amp;"|"&amp;$AB851,'ASIGNACIONES'!$I$4:$I$339,0)),0)-$AD851)</f>
        <v/>
      </c>
      <c r="AF851" s="10">
        <f>IF($A851="","",IFERROR(INDEX('2_IMPORTAR_EJECUCION'!$F$9:$F$1208,MATCH($AN851,'2_IMPORTAR_EJECUCION'!$J$9:$J$1208,0)),0))</f>
        <v/>
      </c>
      <c r="AG851" s="10">
        <f>IF($A851="","",MAX(0,IFERROR(INDEX('2_IMPORTAR_EJECUCION'!$H$9:$H$1208,MATCH($AN851,'2_IMPORTAR_EJECUCION'!$J$9:$J$1208,0)),0)-$AF851))</f>
        <v/>
      </c>
      <c r="AH851" s="10">
        <f>IF($A851="","",$AF851+$AG851)</f>
        <v/>
      </c>
      <c r="AI851" s="6" t="n"/>
      <c r="AJ851" s="6" t="n"/>
      <c r="AK851" s="6" t="n"/>
      <c r="AL851" s="3">
        <f>IF($AK851="","",HYPERLINK(p_ruta_base_checklists&amp;$AK851,"abrir"))</f>
        <v/>
      </c>
      <c r="AM851" s="6" t="n"/>
      <c r="AN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1" t="n"/>
      <c r="K852" s="3" t="n"/>
      <c r="L852" s="10" t="n"/>
      <c r="M852" s="3">
        <f>IF($A852="","",IFERROR(INDEX('AJUSTES'!$B$4:$B$303,MATCH($AN852,'AJUSTES'!$A$4:$A$303,0)),IF($K852="","",$K852)))</f>
        <v/>
      </c>
      <c r="N852" s="3">
        <f>IF($A852="","",IFERROR(INDEX('CAT_ESTADOS_ERP'!$B$4:$B$7,MATCH(IFERROR(INDEX('2_IMPORTAR_EJECUCION'!$C$9:$C$1208,MATCH($AN852,'2_IMPORTAR_EJECUCION'!$J$9:$J$1208,0)),""),'CAT_ESTADOS_ERP'!$A$4:$A$7,0)),"Pendiente"))</f>
        <v/>
      </c>
      <c r="O852" s="3">
        <f>IF($J852="","",YEAR($J852+4-WEEKDAY($J852,2))&amp;"-S"&amp;TEXT(_xlfn.ISOWEEKNUM($J852),"00"))</f>
        <v/>
      </c>
      <c r="P852" s="3">
        <f>IF($J852="","",YEAR($J852))</f>
        <v/>
      </c>
      <c r="Q852" s="3">
        <f>IF($J852="","",MONTH($J852))</f>
        <v/>
      </c>
      <c r="R852" s="3">
        <f>IF($J852="","",INDEX(lista_dias,WEEKDAY($J852,2)))</f>
        <v/>
      </c>
      <c r="S852" s="3">
        <f>IF($I852="","",IFERROR(INDEX('CAT_TIPOS_OT'!$C$4:$C$7,MATCH($I852,'CAT_TIPOS_OT'!$A$4:$A$7,0)),"sin_clasificar"))</f>
        <v/>
      </c>
      <c r="T852" s="3">
        <f>IF($F852="","",IFERROR(INDEX('CAT_CENTROS_COSTO'!$E$4:$E$9,MATCH($F852,'CAT_CENTROS_COSTO'!$A$4:$A$9,0)),"(sin catálogo)"))</f>
        <v/>
      </c>
      <c r="U852" s="3">
        <f>IF($F852="","",IFERROR(INDEX('CAT_CENTROS_COSTO'!$D$4:$D$9,MATCH($F852,'CAT_CENTROS_COSTO'!$A$4:$A$9,0)),"(sin catálogo)"))</f>
        <v/>
      </c>
      <c r="V852" s="3">
        <f>IF($F852="","",IFERROR(INDEX('CAT_CENTROS_COSTO'!$F$4:$F$9,MATCH($F852,'CAT_CENTROS_COSTO'!$A$4:$A$9,0)),"(sin catálogo)"))</f>
        <v/>
      </c>
      <c r="W852" s="3">
        <f>IF($G852="","",IFERROR(INDEX('CAT_PUESTOS'!$B$4:$B$8,MATCH($G852,'CAT_PUESTOS'!$A$4:$A$8,0)),"(sin catálogo)"))</f>
        <v/>
      </c>
      <c r="X852" s="3">
        <f>IF($H852="","",IFERROR(INDEX('CAT_ACTIVIDADES'!$B$4:$B$8,MATCH($H852,'CAT_ACTIVIDADES'!$A$4:$A$8,0)),"(sin catálogo)"))</f>
        <v/>
      </c>
      <c r="Y852" s="12">
        <f>IF($J852="","",TODAY()-$J852)</f>
        <v/>
      </c>
      <c r="Z852" s="3">
        <f>IF($Y852="","",IF($Y852&lt;0,"FUTURO",IF($Y852&gt;p_dias_backlog_max,"BACKLOG","MES CORRIENTE")))</f>
        <v/>
      </c>
      <c r="AA852" s="3">
        <f>IF($Y852="",FALSE,AND($Y852&gt;p_dias_backlog_min,$Y852&lt;=p_dias_backlog_max))</f>
        <v/>
      </c>
      <c r="AB852" s="6" t="n"/>
      <c r="AC852" s="3">
        <f>IF($AB852="","",IFERROR(INDEX('ASIGNACIONES'!$F$4:$F$339,MATCH($O852&amp;"|"&amp;$R852&amp;"|"&amp;$AB852,'ASIGNACIONES'!$I$4:$I$339,0)),""))</f>
        <v/>
      </c>
      <c r="AD852" s="13">
        <f>IF($AB852="","",SUMIFS('ORDENES'!$M$4:$M$1203,'ORDENES'!$AB$4:$AB$1203,$AB852,'ORDENES'!$O$4:$O$1203,$O852,'ORDENES'!$R$4:$R$1203,$R852))</f>
        <v/>
      </c>
      <c r="AE852" s="13">
        <f>IF($AD852="","",p_factor_productividad*IFERROR(INDEX('ASIGNACIONES'!$H$4:$H$339,MATCH($O852&amp;"|"&amp;$R852&amp;"|"&amp;$AB852,'ASIGNACIONES'!$I$4:$I$339,0)),0)-$AD852)</f>
        <v/>
      </c>
      <c r="AF852" s="10">
        <f>IF($A852="","",IFERROR(INDEX('2_IMPORTAR_EJECUCION'!$F$9:$F$1208,MATCH($AN852,'2_IMPORTAR_EJECUCION'!$J$9:$J$1208,0)),0))</f>
        <v/>
      </c>
      <c r="AG852" s="10">
        <f>IF($A852="","",MAX(0,IFERROR(INDEX('2_IMPORTAR_EJECUCION'!$H$9:$H$1208,MATCH($AN852,'2_IMPORTAR_EJECUCION'!$J$9:$J$1208,0)),0)-$AF852))</f>
        <v/>
      </c>
      <c r="AH852" s="10">
        <f>IF($A852="","",$AF852+$AG852)</f>
        <v/>
      </c>
      <c r="AI852" s="6" t="n"/>
      <c r="AJ852" s="6" t="n"/>
      <c r="AK852" s="6" t="n"/>
      <c r="AL852" s="3">
        <f>IF($AK852="","",HYPERLINK(p_ruta_base_checklists&amp;$AK852,"abrir"))</f>
        <v/>
      </c>
      <c r="AM852" s="6" t="n"/>
      <c r="AN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1" t="n"/>
      <c r="K853" s="3" t="n"/>
      <c r="L853" s="10" t="n"/>
      <c r="M853" s="3">
        <f>IF($A853="","",IFERROR(INDEX('AJUSTES'!$B$4:$B$303,MATCH($AN853,'AJUSTES'!$A$4:$A$303,0)),IF($K853="","",$K853)))</f>
        <v/>
      </c>
      <c r="N853" s="3">
        <f>IF($A853="","",IFERROR(INDEX('CAT_ESTADOS_ERP'!$B$4:$B$7,MATCH(IFERROR(INDEX('2_IMPORTAR_EJECUCION'!$C$9:$C$1208,MATCH($AN853,'2_IMPORTAR_EJECUCION'!$J$9:$J$1208,0)),""),'CAT_ESTADOS_ERP'!$A$4:$A$7,0)),"Pendiente"))</f>
        <v/>
      </c>
      <c r="O853" s="3">
        <f>IF($J853="","",YEAR($J853+4-WEEKDAY($J853,2))&amp;"-S"&amp;TEXT(_xlfn.ISOWEEKNUM($J853),"00"))</f>
        <v/>
      </c>
      <c r="P853" s="3">
        <f>IF($J853="","",YEAR($J853))</f>
        <v/>
      </c>
      <c r="Q853" s="3">
        <f>IF($J853="","",MONTH($J853))</f>
        <v/>
      </c>
      <c r="R853" s="3">
        <f>IF($J853="","",INDEX(lista_dias,WEEKDAY($J853,2)))</f>
        <v/>
      </c>
      <c r="S853" s="3">
        <f>IF($I853="","",IFERROR(INDEX('CAT_TIPOS_OT'!$C$4:$C$7,MATCH($I853,'CAT_TIPOS_OT'!$A$4:$A$7,0)),"sin_clasificar"))</f>
        <v/>
      </c>
      <c r="T853" s="3">
        <f>IF($F853="","",IFERROR(INDEX('CAT_CENTROS_COSTO'!$E$4:$E$9,MATCH($F853,'CAT_CENTROS_COSTO'!$A$4:$A$9,0)),"(sin catálogo)"))</f>
        <v/>
      </c>
      <c r="U853" s="3">
        <f>IF($F853="","",IFERROR(INDEX('CAT_CENTROS_COSTO'!$D$4:$D$9,MATCH($F853,'CAT_CENTROS_COSTO'!$A$4:$A$9,0)),"(sin catálogo)"))</f>
        <v/>
      </c>
      <c r="V853" s="3">
        <f>IF($F853="","",IFERROR(INDEX('CAT_CENTROS_COSTO'!$F$4:$F$9,MATCH($F853,'CAT_CENTROS_COSTO'!$A$4:$A$9,0)),"(sin catálogo)"))</f>
        <v/>
      </c>
      <c r="W853" s="3">
        <f>IF($G853="","",IFERROR(INDEX('CAT_PUESTOS'!$B$4:$B$8,MATCH($G853,'CAT_PUESTOS'!$A$4:$A$8,0)),"(sin catálogo)"))</f>
        <v/>
      </c>
      <c r="X853" s="3">
        <f>IF($H853="","",IFERROR(INDEX('CAT_ACTIVIDADES'!$B$4:$B$8,MATCH($H853,'CAT_ACTIVIDADES'!$A$4:$A$8,0)),"(sin catálogo)"))</f>
        <v/>
      </c>
      <c r="Y853" s="12">
        <f>IF($J853="","",TODAY()-$J853)</f>
        <v/>
      </c>
      <c r="Z853" s="3">
        <f>IF($Y853="","",IF($Y853&lt;0,"FUTURO",IF($Y853&gt;p_dias_backlog_max,"BACKLOG","MES CORRIENTE")))</f>
        <v/>
      </c>
      <c r="AA853" s="3">
        <f>IF($Y853="",FALSE,AND($Y853&gt;p_dias_backlog_min,$Y853&lt;=p_dias_backlog_max))</f>
        <v/>
      </c>
      <c r="AB853" s="6" t="n"/>
      <c r="AC853" s="3">
        <f>IF($AB853="","",IFERROR(INDEX('ASIGNACIONES'!$F$4:$F$339,MATCH($O853&amp;"|"&amp;$R853&amp;"|"&amp;$AB853,'ASIGNACIONES'!$I$4:$I$339,0)),""))</f>
        <v/>
      </c>
      <c r="AD853" s="13">
        <f>IF($AB853="","",SUMIFS('ORDENES'!$M$4:$M$1203,'ORDENES'!$AB$4:$AB$1203,$AB853,'ORDENES'!$O$4:$O$1203,$O853,'ORDENES'!$R$4:$R$1203,$R853))</f>
        <v/>
      </c>
      <c r="AE853" s="13">
        <f>IF($AD853="","",p_factor_productividad*IFERROR(INDEX('ASIGNACIONES'!$H$4:$H$339,MATCH($O853&amp;"|"&amp;$R853&amp;"|"&amp;$AB853,'ASIGNACIONES'!$I$4:$I$339,0)),0)-$AD853)</f>
        <v/>
      </c>
      <c r="AF853" s="10">
        <f>IF($A853="","",IFERROR(INDEX('2_IMPORTAR_EJECUCION'!$F$9:$F$1208,MATCH($AN853,'2_IMPORTAR_EJECUCION'!$J$9:$J$1208,0)),0))</f>
        <v/>
      </c>
      <c r="AG853" s="10">
        <f>IF($A853="","",MAX(0,IFERROR(INDEX('2_IMPORTAR_EJECUCION'!$H$9:$H$1208,MATCH($AN853,'2_IMPORTAR_EJECUCION'!$J$9:$J$1208,0)),0)-$AF853))</f>
        <v/>
      </c>
      <c r="AH853" s="10">
        <f>IF($A853="","",$AF853+$AG853)</f>
        <v/>
      </c>
      <c r="AI853" s="6" t="n"/>
      <c r="AJ853" s="6" t="n"/>
      <c r="AK853" s="6" t="n"/>
      <c r="AL853" s="3">
        <f>IF($AK853="","",HYPERLINK(p_ruta_base_checklists&amp;$AK853,"abrir"))</f>
        <v/>
      </c>
      <c r="AM853" s="6" t="n"/>
      <c r="AN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1" t="n"/>
      <c r="K854" s="3" t="n"/>
      <c r="L854" s="10" t="n"/>
      <c r="M854" s="3">
        <f>IF($A854="","",IFERROR(INDEX('AJUSTES'!$B$4:$B$303,MATCH($AN854,'AJUSTES'!$A$4:$A$303,0)),IF($K854="","",$K854)))</f>
        <v/>
      </c>
      <c r="N854" s="3">
        <f>IF($A854="","",IFERROR(INDEX('CAT_ESTADOS_ERP'!$B$4:$B$7,MATCH(IFERROR(INDEX('2_IMPORTAR_EJECUCION'!$C$9:$C$1208,MATCH($AN854,'2_IMPORTAR_EJECUCION'!$J$9:$J$1208,0)),""),'CAT_ESTADOS_ERP'!$A$4:$A$7,0)),"Pendiente"))</f>
        <v/>
      </c>
      <c r="O854" s="3">
        <f>IF($J854="","",YEAR($J854+4-WEEKDAY($J854,2))&amp;"-S"&amp;TEXT(_xlfn.ISOWEEKNUM($J854),"00"))</f>
        <v/>
      </c>
      <c r="P854" s="3">
        <f>IF($J854="","",YEAR($J854))</f>
        <v/>
      </c>
      <c r="Q854" s="3">
        <f>IF($J854="","",MONTH($J854))</f>
        <v/>
      </c>
      <c r="R854" s="3">
        <f>IF($J854="","",INDEX(lista_dias,WEEKDAY($J854,2)))</f>
        <v/>
      </c>
      <c r="S854" s="3">
        <f>IF($I854="","",IFERROR(INDEX('CAT_TIPOS_OT'!$C$4:$C$7,MATCH($I854,'CAT_TIPOS_OT'!$A$4:$A$7,0)),"sin_clasificar"))</f>
        <v/>
      </c>
      <c r="T854" s="3">
        <f>IF($F854="","",IFERROR(INDEX('CAT_CENTROS_COSTO'!$E$4:$E$9,MATCH($F854,'CAT_CENTROS_COSTO'!$A$4:$A$9,0)),"(sin catálogo)"))</f>
        <v/>
      </c>
      <c r="U854" s="3">
        <f>IF($F854="","",IFERROR(INDEX('CAT_CENTROS_COSTO'!$D$4:$D$9,MATCH($F854,'CAT_CENTROS_COSTO'!$A$4:$A$9,0)),"(sin catálogo)"))</f>
        <v/>
      </c>
      <c r="V854" s="3">
        <f>IF($F854="","",IFERROR(INDEX('CAT_CENTROS_COSTO'!$F$4:$F$9,MATCH($F854,'CAT_CENTROS_COSTO'!$A$4:$A$9,0)),"(sin catálogo)"))</f>
        <v/>
      </c>
      <c r="W854" s="3">
        <f>IF($G854="","",IFERROR(INDEX('CAT_PUESTOS'!$B$4:$B$8,MATCH($G854,'CAT_PUESTOS'!$A$4:$A$8,0)),"(sin catálogo)"))</f>
        <v/>
      </c>
      <c r="X854" s="3">
        <f>IF($H854="","",IFERROR(INDEX('CAT_ACTIVIDADES'!$B$4:$B$8,MATCH($H854,'CAT_ACTIVIDADES'!$A$4:$A$8,0)),"(sin catálogo)"))</f>
        <v/>
      </c>
      <c r="Y854" s="12">
        <f>IF($J854="","",TODAY()-$J854)</f>
        <v/>
      </c>
      <c r="Z854" s="3">
        <f>IF($Y854="","",IF($Y854&lt;0,"FUTURO",IF($Y854&gt;p_dias_backlog_max,"BACKLOG","MES CORRIENTE")))</f>
        <v/>
      </c>
      <c r="AA854" s="3">
        <f>IF($Y854="",FALSE,AND($Y854&gt;p_dias_backlog_min,$Y854&lt;=p_dias_backlog_max))</f>
        <v/>
      </c>
      <c r="AB854" s="6" t="n"/>
      <c r="AC854" s="3">
        <f>IF($AB854="","",IFERROR(INDEX('ASIGNACIONES'!$F$4:$F$339,MATCH($O854&amp;"|"&amp;$R854&amp;"|"&amp;$AB854,'ASIGNACIONES'!$I$4:$I$339,0)),""))</f>
        <v/>
      </c>
      <c r="AD854" s="13">
        <f>IF($AB854="","",SUMIFS('ORDENES'!$M$4:$M$1203,'ORDENES'!$AB$4:$AB$1203,$AB854,'ORDENES'!$O$4:$O$1203,$O854,'ORDENES'!$R$4:$R$1203,$R854))</f>
        <v/>
      </c>
      <c r="AE854" s="13">
        <f>IF($AD854="","",p_factor_productividad*IFERROR(INDEX('ASIGNACIONES'!$H$4:$H$339,MATCH($O854&amp;"|"&amp;$R854&amp;"|"&amp;$AB854,'ASIGNACIONES'!$I$4:$I$339,0)),0)-$AD854)</f>
        <v/>
      </c>
      <c r="AF854" s="10">
        <f>IF($A854="","",IFERROR(INDEX('2_IMPORTAR_EJECUCION'!$F$9:$F$1208,MATCH($AN854,'2_IMPORTAR_EJECUCION'!$J$9:$J$1208,0)),0))</f>
        <v/>
      </c>
      <c r="AG854" s="10">
        <f>IF($A854="","",MAX(0,IFERROR(INDEX('2_IMPORTAR_EJECUCION'!$H$9:$H$1208,MATCH($AN854,'2_IMPORTAR_EJECUCION'!$J$9:$J$1208,0)),0)-$AF854))</f>
        <v/>
      </c>
      <c r="AH854" s="10">
        <f>IF($A854="","",$AF854+$AG854)</f>
        <v/>
      </c>
      <c r="AI854" s="6" t="n"/>
      <c r="AJ854" s="6" t="n"/>
      <c r="AK854" s="6" t="n"/>
      <c r="AL854" s="3">
        <f>IF($AK854="","",HYPERLINK(p_ruta_base_checklists&amp;$AK854,"abrir"))</f>
        <v/>
      </c>
      <c r="AM854" s="6" t="n"/>
      <c r="AN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1" t="n"/>
      <c r="K855" s="3" t="n"/>
      <c r="L855" s="10" t="n"/>
      <c r="M855" s="3">
        <f>IF($A855="","",IFERROR(INDEX('AJUSTES'!$B$4:$B$303,MATCH($AN855,'AJUSTES'!$A$4:$A$303,0)),IF($K855="","",$K855)))</f>
        <v/>
      </c>
      <c r="N855" s="3">
        <f>IF($A855="","",IFERROR(INDEX('CAT_ESTADOS_ERP'!$B$4:$B$7,MATCH(IFERROR(INDEX('2_IMPORTAR_EJECUCION'!$C$9:$C$1208,MATCH($AN855,'2_IMPORTAR_EJECUCION'!$J$9:$J$1208,0)),""),'CAT_ESTADOS_ERP'!$A$4:$A$7,0)),"Pendiente"))</f>
        <v/>
      </c>
      <c r="O855" s="3">
        <f>IF($J855="","",YEAR($J855+4-WEEKDAY($J855,2))&amp;"-S"&amp;TEXT(_xlfn.ISOWEEKNUM($J855),"00"))</f>
        <v/>
      </c>
      <c r="P855" s="3">
        <f>IF($J855="","",YEAR($J855))</f>
        <v/>
      </c>
      <c r="Q855" s="3">
        <f>IF($J855="","",MONTH($J855))</f>
        <v/>
      </c>
      <c r="R855" s="3">
        <f>IF($J855="","",INDEX(lista_dias,WEEKDAY($J855,2)))</f>
        <v/>
      </c>
      <c r="S855" s="3">
        <f>IF($I855="","",IFERROR(INDEX('CAT_TIPOS_OT'!$C$4:$C$7,MATCH($I855,'CAT_TIPOS_OT'!$A$4:$A$7,0)),"sin_clasificar"))</f>
        <v/>
      </c>
      <c r="T855" s="3">
        <f>IF($F855="","",IFERROR(INDEX('CAT_CENTROS_COSTO'!$E$4:$E$9,MATCH($F855,'CAT_CENTROS_COSTO'!$A$4:$A$9,0)),"(sin catálogo)"))</f>
        <v/>
      </c>
      <c r="U855" s="3">
        <f>IF($F855="","",IFERROR(INDEX('CAT_CENTROS_COSTO'!$D$4:$D$9,MATCH($F855,'CAT_CENTROS_COSTO'!$A$4:$A$9,0)),"(sin catálogo)"))</f>
        <v/>
      </c>
      <c r="V855" s="3">
        <f>IF($F855="","",IFERROR(INDEX('CAT_CENTROS_COSTO'!$F$4:$F$9,MATCH($F855,'CAT_CENTROS_COSTO'!$A$4:$A$9,0)),"(sin catálogo)"))</f>
        <v/>
      </c>
      <c r="W855" s="3">
        <f>IF($G855="","",IFERROR(INDEX('CAT_PUESTOS'!$B$4:$B$8,MATCH($G855,'CAT_PUESTOS'!$A$4:$A$8,0)),"(sin catálogo)"))</f>
        <v/>
      </c>
      <c r="X855" s="3">
        <f>IF($H855="","",IFERROR(INDEX('CAT_ACTIVIDADES'!$B$4:$B$8,MATCH($H855,'CAT_ACTIVIDADES'!$A$4:$A$8,0)),"(sin catálogo)"))</f>
        <v/>
      </c>
      <c r="Y855" s="12">
        <f>IF($J855="","",TODAY()-$J855)</f>
        <v/>
      </c>
      <c r="Z855" s="3">
        <f>IF($Y855="","",IF($Y855&lt;0,"FUTURO",IF($Y855&gt;p_dias_backlog_max,"BACKLOG","MES CORRIENTE")))</f>
        <v/>
      </c>
      <c r="AA855" s="3">
        <f>IF($Y855="",FALSE,AND($Y855&gt;p_dias_backlog_min,$Y855&lt;=p_dias_backlog_max))</f>
        <v/>
      </c>
      <c r="AB855" s="6" t="n"/>
      <c r="AC855" s="3">
        <f>IF($AB855="","",IFERROR(INDEX('ASIGNACIONES'!$F$4:$F$339,MATCH($O855&amp;"|"&amp;$R855&amp;"|"&amp;$AB855,'ASIGNACIONES'!$I$4:$I$339,0)),""))</f>
        <v/>
      </c>
      <c r="AD855" s="13">
        <f>IF($AB855="","",SUMIFS('ORDENES'!$M$4:$M$1203,'ORDENES'!$AB$4:$AB$1203,$AB855,'ORDENES'!$O$4:$O$1203,$O855,'ORDENES'!$R$4:$R$1203,$R855))</f>
        <v/>
      </c>
      <c r="AE855" s="13">
        <f>IF($AD855="","",p_factor_productividad*IFERROR(INDEX('ASIGNACIONES'!$H$4:$H$339,MATCH($O855&amp;"|"&amp;$R855&amp;"|"&amp;$AB855,'ASIGNACIONES'!$I$4:$I$339,0)),0)-$AD855)</f>
        <v/>
      </c>
      <c r="AF855" s="10">
        <f>IF($A855="","",IFERROR(INDEX('2_IMPORTAR_EJECUCION'!$F$9:$F$1208,MATCH($AN855,'2_IMPORTAR_EJECUCION'!$J$9:$J$1208,0)),0))</f>
        <v/>
      </c>
      <c r="AG855" s="10">
        <f>IF($A855="","",MAX(0,IFERROR(INDEX('2_IMPORTAR_EJECUCION'!$H$9:$H$1208,MATCH($AN855,'2_IMPORTAR_EJECUCION'!$J$9:$J$1208,0)),0)-$AF855))</f>
        <v/>
      </c>
      <c r="AH855" s="10">
        <f>IF($A855="","",$AF855+$AG855)</f>
        <v/>
      </c>
      <c r="AI855" s="6" t="n"/>
      <c r="AJ855" s="6" t="n"/>
      <c r="AK855" s="6" t="n"/>
      <c r="AL855" s="3">
        <f>IF($AK855="","",HYPERLINK(p_ruta_base_checklists&amp;$AK855,"abrir"))</f>
        <v/>
      </c>
      <c r="AM855" s="6" t="n"/>
      <c r="AN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1" t="n"/>
      <c r="K856" s="3" t="n"/>
      <c r="L856" s="10" t="n"/>
      <c r="M856" s="3">
        <f>IF($A856="","",IFERROR(INDEX('AJUSTES'!$B$4:$B$303,MATCH($AN856,'AJUSTES'!$A$4:$A$303,0)),IF($K856="","",$K856)))</f>
        <v/>
      </c>
      <c r="N856" s="3">
        <f>IF($A856="","",IFERROR(INDEX('CAT_ESTADOS_ERP'!$B$4:$B$7,MATCH(IFERROR(INDEX('2_IMPORTAR_EJECUCION'!$C$9:$C$1208,MATCH($AN856,'2_IMPORTAR_EJECUCION'!$J$9:$J$1208,0)),""),'CAT_ESTADOS_ERP'!$A$4:$A$7,0)),"Pendiente"))</f>
        <v/>
      </c>
      <c r="O856" s="3">
        <f>IF($J856="","",YEAR($J856+4-WEEKDAY($J856,2))&amp;"-S"&amp;TEXT(_xlfn.ISOWEEKNUM($J856),"00"))</f>
        <v/>
      </c>
      <c r="P856" s="3">
        <f>IF($J856="","",YEAR($J856))</f>
        <v/>
      </c>
      <c r="Q856" s="3">
        <f>IF($J856="","",MONTH($J856))</f>
        <v/>
      </c>
      <c r="R856" s="3">
        <f>IF($J856="","",INDEX(lista_dias,WEEKDAY($J856,2)))</f>
        <v/>
      </c>
      <c r="S856" s="3">
        <f>IF($I856="","",IFERROR(INDEX('CAT_TIPOS_OT'!$C$4:$C$7,MATCH($I856,'CAT_TIPOS_OT'!$A$4:$A$7,0)),"sin_clasificar"))</f>
        <v/>
      </c>
      <c r="T856" s="3">
        <f>IF($F856="","",IFERROR(INDEX('CAT_CENTROS_COSTO'!$E$4:$E$9,MATCH($F856,'CAT_CENTROS_COSTO'!$A$4:$A$9,0)),"(sin catálogo)"))</f>
        <v/>
      </c>
      <c r="U856" s="3">
        <f>IF($F856="","",IFERROR(INDEX('CAT_CENTROS_COSTO'!$D$4:$D$9,MATCH($F856,'CAT_CENTROS_COSTO'!$A$4:$A$9,0)),"(sin catálogo)"))</f>
        <v/>
      </c>
      <c r="V856" s="3">
        <f>IF($F856="","",IFERROR(INDEX('CAT_CENTROS_COSTO'!$F$4:$F$9,MATCH($F856,'CAT_CENTROS_COSTO'!$A$4:$A$9,0)),"(sin catálogo)"))</f>
        <v/>
      </c>
      <c r="W856" s="3">
        <f>IF($G856="","",IFERROR(INDEX('CAT_PUESTOS'!$B$4:$B$8,MATCH($G856,'CAT_PUESTOS'!$A$4:$A$8,0)),"(sin catálogo)"))</f>
        <v/>
      </c>
      <c r="X856" s="3">
        <f>IF($H856="","",IFERROR(INDEX('CAT_ACTIVIDADES'!$B$4:$B$8,MATCH($H856,'CAT_ACTIVIDADES'!$A$4:$A$8,0)),"(sin catálogo)"))</f>
        <v/>
      </c>
      <c r="Y856" s="12">
        <f>IF($J856="","",TODAY()-$J856)</f>
        <v/>
      </c>
      <c r="Z856" s="3">
        <f>IF($Y856="","",IF($Y856&lt;0,"FUTURO",IF($Y856&gt;p_dias_backlog_max,"BACKLOG","MES CORRIENTE")))</f>
        <v/>
      </c>
      <c r="AA856" s="3">
        <f>IF($Y856="",FALSE,AND($Y856&gt;p_dias_backlog_min,$Y856&lt;=p_dias_backlog_max))</f>
        <v/>
      </c>
      <c r="AB856" s="6" t="n"/>
      <c r="AC856" s="3">
        <f>IF($AB856="","",IFERROR(INDEX('ASIGNACIONES'!$F$4:$F$339,MATCH($O856&amp;"|"&amp;$R856&amp;"|"&amp;$AB856,'ASIGNACIONES'!$I$4:$I$339,0)),""))</f>
        <v/>
      </c>
      <c r="AD856" s="13">
        <f>IF($AB856="","",SUMIFS('ORDENES'!$M$4:$M$1203,'ORDENES'!$AB$4:$AB$1203,$AB856,'ORDENES'!$O$4:$O$1203,$O856,'ORDENES'!$R$4:$R$1203,$R856))</f>
        <v/>
      </c>
      <c r="AE856" s="13">
        <f>IF($AD856="","",p_factor_productividad*IFERROR(INDEX('ASIGNACIONES'!$H$4:$H$339,MATCH($O856&amp;"|"&amp;$R856&amp;"|"&amp;$AB856,'ASIGNACIONES'!$I$4:$I$339,0)),0)-$AD856)</f>
        <v/>
      </c>
      <c r="AF856" s="10">
        <f>IF($A856="","",IFERROR(INDEX('2_IMPORTAR_EJECUCION'!$F$9:$F$1208,MATCH($AN856,'2_IMPORTAR_EJECUCION'!$J$9:$J$1208,0)),0))</f>
        <v/>
      </c>
      <c r="AG856" s="10">
        <f>IF($A856="","",MAX(0,IFERROR(INDEX('2_IMPORTAR_EJECUCION'!$H$9:$H$1208,MATCH($AN856,'2_IMPORTAR_EJECUCION'!$J$9:$J$1208,0)),0)-$AF856))</f>
        <v/>
      </c>
      <c r="AH856" s="10">
        <f>IF($A856="","",$AF856+$AG856)</f>
        <v/>
      </c>
      <c r="AI856" s="6" t="n"/>
      <c r="AJ856" s="6" t="n"/>
      <c r="AK856" s="6" t="n"/>
      <c r="AL856" s="3">
        <f>IF($AK856="","",HYPERLINK(p_ruta_base_checklists&amp;$AK856,"abrir"))</f>
        <v/>
      </c>
      <c r="AM856" s="6" t="n"/>
      <c r="AN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1" t="n"/>
      <c r="K857" s="3" t="n"/>
      <c r="L857" s="10" t="n"/>
      <c r="M857" s="3">
        <f>IF($A857="","",IFERROR(INDEX('AJUSTES'!$B$4:$B$303,MATCH($AN857,'AJUSTES'!$A$4:$A$303,0)),IF($K857="","",$K857)))</f>
        <v/>
      </c>
      <c r="N857" s="3">
        <f>IF($A857="","",IFERROR(INDEX('CAT_ESTADOS_ERP'!$B$4:$B$7,MATCH(IFERROR(INDEX('2_IMPORTAR_EJECUCION'!$C$9:$C$1208,MATCH($AN857,'2_IMPORTAR_EJECUCION'!$J$9:$J$1208,0)),""),'CAT_ESTADOS_ERP'!$A$4:$A$7,0)),"Pendiente"))</f>
        <v/>
      </c>
      <c r="O857" s="3">
        <f>IF($J857="","",YEAR($J857+4-WEEKDAY($J857,2))&amp;"-S"&amp;TEXT(_xlfn.ISOWEEKNUM($J857),"00"))</f>
        <v/>
      </c>
      <c r="P857" s="3">
        <f>IF($J857="","",YEAR($J857))</f>
        <v/>
      </c>
      <c r="Q857" s="3">
        <f>IF($J857="","",MONTH($J857))</f>
        <v/>
      </c>
      <c r="R857" s="3">
        <f>IF($J857="","",INDEX(lista_dias,WEEKDAY($J857,2)))</f>
        <v/>
      </c>
      <c r="S857" s="3">
        <f>IF($I857="","",IFERROR(INDEX('CAT_TIPOS_OT'!$C$4:$C$7,MATCH($I857,'CAT_TIPOS_OT'!$A$4:$A$7,0)),"sin_clasificar"))</f>
        <v/>
      </c>
      <c r="T857" s="3">
        <f>IF($F857="","",IFERROR(INDEX('CAT_CENTROS_COSTO'!$E$4:$E$9,MATCH($F857,'CAT_CENTROS_COSTO'!$A$4:$A$9,0)),"(sin catálogo)"))</f>
        <v/>
      </c>
      <c r="U857" s="3">
        <f>IF($F857="","",IFERROR(INDEX('CAT_CENTROS_COSTO'!$D$4:$D$9,MATCH($F857,'CAT_CENTROS_COSTO'!$A$4:$A$9,0)),"(sin catálogo)"))</f>
        <v/>
      </c>
      <c r="V857" s="3">
        <f>IF($F857="","",IFERROR(INDEX('CAT_CENTROS_COSTO'!$F$4:$F$9,MATCH($F857,'CAT_CENTROS_COSTO'!$A$4:$A$9,0)),"(sin catálogo)"))</f>
        <v/>
      </c>
      <c r="W857" s="3">
        <f>IF($G857="","",IFERROR(INDEX('CAT_PUESTOS'!$B$4:$B$8,MATCH($G857,'CAT_PUESTOS'!$A$4:$A$8,0)),"(sin catálogo)"))</f>
        <v/>
      </c>
      <c r="X857" s="3">
        <f>IF($H857="","",IFERROR(INDEX('CAT_ACTIVIDADES'!$B$4:$B$8,MATCH($H857,'CAT_ACTIVIDADES'!$A$4:$A$8,0)),"(sin catálogo)"))</f>
        <v/>
      </c>
      <c r="Y857" s="12">
        <f>IF($J857="","",TODAY()-$J857)</f>
        <v/>
      </c>
      <c r="Z857" s="3">
        <f>IF($Y857="","",IF($Y857&lt;0,"FUTURO",IF($Y857&gt;p_dias_backlog_max,"BACKLOG","MES CORRIENTE")))</f>
        <v/>
      </c>
      <c r="AA857" s="3">
        <f>IF($Y857="",FALSE,AND($Y857&gt;p_dias_backlog_min,$Y857&lt;=p_dias_backlog_max))</f>
        <v/>
      </c>
      <c r="AB857" s="6" t="n"/>
      <c r="AC857" s="3">
        <f>IF($AB857="","",IFERROR(INDEX('ASIGNACIONES'!$F$4:$F$339,MATCH($O857&amp;"|"&amp;$R857&amp;"|"&amp;$AB857,'ASIGNACIONES'!$I$4:$I$339,0)),""))</f>
        <v/>
      </c>
      <c r="AD857" s="13">
        <f>IF($AB857="","",SUMIFS('ORDENES'!$M$4:$M$1203,'ORDENES'!$AB$4:$AB$1203,$AB857,'ORDENES'!$O$4:$O$1203,$O857,'ORDENES'!$R$4:$R$1203,$R857))</f>
        <v/>
      </c>
      <c r="AE857" s="13">
        <f>IF($AD857="","",p_factor_productividad*IFERROR(INDEX('ASIGNACIONES'!$H$4:$H$339,MATCH($O857&amp;"|"&amp;$R857&amp;"|"&amp;$AB857,'ASIGNACIONES'!$I$4:$I$339,0)),0)-$AD857)</f>
        <v/>
      </c>
      <c r="AF857" s="10">
        <f>IF($A857="","",IFERROR(INDEX('2_IMPORTAR_EJECUCION'!$F$9:$F$1208,MATCH($AN857,'2_IMPORTAR_EJECUCION'!$J$9:$J$1208,0)),0))</f>
        <v/>
      </c>
      <c r="AG857" s="10">
        <f>IF($A857="","",MAX(0,IFERROR(INDEX('2_IMPORTAR_EJECUCION'!$H$9:$H$1208,MATCH($AN857,'2_IMPORTAR_EJECUCION'!$J$9:$J$1208,0)),0)-$AF857))</f>
        <v/>
      </c>
      <c r="AH857" s="10">
        <f>IF($A857="","",$AF857+$AG857)</f>
        <v/>
      </c>
      <c r="AI857" s="6" t="n"/>
      <c r="AJ857" s="6" t="n"/>
      <c r="AK857" s="6" t="n"/>
      <c r="AL857" s="3">
        <f>IF($AK857="","",HYPERLINK(p_ruta_base_checklists&amp;$AK857,"abrir"))</f>
        <v/>
      </c>
      <c r="AM857" s="6" t="n"/>
      <c r="AN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1" t="n"/>
      <c r="K858" s="3" t="n"/>
      <c r="L858" s="10" t="n"/>
      <c r="M858" s="3">
        <f>IF($A858="","",IFERROR(INDEX('AJUSTES'!$B$4:$B$303,MATCH($AN858,'AJUSTES'!$A$4:$A$303,0)),IF($K858="","",$K858)))</f>
        <v/>
      </c>
      <c r="N858" s="3">
        <f>IF($A858="","",IFERROR(INDEX('CAT_ESTADOS_ERP'!$B$4:$B$7,MATCH(IFERROR(INDEX('2_IMPORTAR_EJECUCION'!$C$9:$C$1208,MATCH($AN858,'2_IMPORTAR_EJECUCION'!$J$9:$J$1208,0)),""),'CAT_ESTADOS_ERP'!$A$4:$A$7,0)),"Pendiente"))</f>
        <v/>
      </c>
      <c r="O858" s="3">
        <f>IF($J858="","",YEAR($J858+4-WEEKDAY($J858,2))&amp;"-S"&amp;TEXT(_xlfn.ISOWEEKNUM($J858),"00"))</f>
        <v/>
      </c>
      <c r="P858" s="3">
        <f>IF($J858="","",YEAR($J858))</f>
        <v/>
      </c>
      <c r="Q858" s="3">
        <f>IF($J858="","",MONTH($J858))</f>
        <v/>
      </c>
      <c r="R858" s="3">
        <f>IF($J858="","",INDEX(lista_dias,WEEKDAY($J858,2)))</f>
        <v/>
      </c>
      <c r="S858" s="3">
        <f>IF($I858="","",IFERROR(INDEX('CAT_TIPOS_OT'!$C$4:$C$7,MATCH($I858,'CAT_TIPOS_OT'!$A$4:$A$7,0)),"sin_clasificar"))</f>
        <v/>
      </c>
      <c r="T858" s="3">
        <f>IF($F858="","",IFERROR(INDEX('CAT_CENTROS_COSTO'!$E$4:$E$9,MATCH($F858,'CAT_CENTROS_COSTO'!$A$4:$A$9,0)),"(sin catálogo)"))</f>
        <v/>
      </c>
      <c r="U858" s="3">
        <f>IF($F858="","",IFERROR(INDEX('CAT_CENTROS_COSTO'!$D$4:$D$9,MATCH($F858,'CAT_CENTROS_COSTO'!$A$4:$A$9,0)),"(sin catálogo)"))</f>
        <v/>
      </c>
      <c r="V858" s="3">
        <f>IF($F858="","",IFERROR(INDEX('CAT_CENTROS_COSTO'!$F$4:$F$9,MATCH($F858,'CAT_CENTROS_COSTO'!$A$4:$A$9,0)),"(sin catálogo)"))</f>
        <v/>
      </c>
      <c r="W858" s="3">
        <f>IF($G858="","",IFERROR(INDEX('CAT_PUESTOS'!$B$4:$B$8,MATCH($G858,'CAT_PUESTOS'!$A$4:$A$8,0)),"(sin catálogo)"))</f>
        <v/>
      </c>
      <c r="X858" s="3">
        <f>IF($H858="","",IFERROR(INDEX('CAT_ACTIVIDADES'!$B$4:$B$8,MATCH($H858,'CAT_ACTIVIDADES'!$A$4:$A$8,0)),"(sin catálogo)"))</f>
        <v/>
      </c>
      <c r="Y858" s="12">
        <f>IF($J858="","",TODAY()-$J858)</f>
        <v/>
      </c>
      <c r="Z858" s="3">
        <f>IF($Y858="","",IF($Y858&lt;0,"FUTURO",IF($Y858&gt;p_dias_backlog_max,"BACKLOG","MES CORRIENTE")))</f>
        <v/>
      </c>
      <c r="AA858" s="3">
        <f>IF($Y858="",FALSE,AND($Y858&gt;p_dias_backlog_min,$Y858&lt;=p_dias_backlog_max))</f>
        <v/>
      </c>
      <c r="AB858" s="6" t="n"/>
      <c r="AC858" s="3">
        <f>IF($AB858="","",IFERROR(INDEX('ASIGNACIONES'!$F$4:$F$339,MATCH($O858&amp;"|"&amp;$R858&amp;"|"&amp;$AB858,'ASIGNACIONES'!$I$4:$I$339,0)),""))</f>
        <v/>
      </c>
      <c r="AD858" s="13">
        <f>IF($AB858="","",SUMIFS('ORDENES'!$M$4:$M$1203,'ORDENES'!$AB$4:$AB$1203,$AB858,'ORDENES'!$O$4:$O$1203,$O858,'ORDENES'!$R$4:$R$1203,$R858))</f>
        <v/>
      </c>
      <c r="AE858" s="13">
        <f>IF($AD858="","",p_factor_productividad*IFERROR(INDEX('ASIGNACIONES'!$H$4:$H$339,MATCH($O858&amp;"|"&amp;$R858&amp;"|"&amp;$AB858,'ASIGNACIONES'!$I$4:$I$339,0)),0)-$AD858)</f>
        <v/>
      </c>
      <c r="AF858" s="10">
        <f>IF($A858="","",IFERROR(INDEX('2_IMPORTAR_EJECUCION'!$F$9:$F$1208,MATCH($AN858,'2_IMPORTAR_EJECUCION'!$J$9:$J$1208,0)),0))</f>
        <v/>
      </c>
      <c r="AG858" s="10">
        <f>IF($A858="","",MAX(0,IFERROR(INDEX('2_IMPORTAR_EJECUCION'!$H$9:$H$1208,MATCH($AN858,'2_IMPORTAR_EJECUCION'!$J$9:$J$1208,0)),0)-$AF858))</f>
        <v/>
      </c>
      <c r="AH858" s="10">
        <f>IF($A858="","",$AF858+$AG858)</f>
        <v/>
      </c>
      <c r="AI858" s="6" t="n"/>
      <c r="AJ858" s="6" t="n"/>
      <c r="AK858" s="6" t="n"/>
      <c r="AL858" s="3">
        <f>IF($AK858="","",HYPERLINK(p_ruta_base_checklists&amp;$AK858,"abrir"))</f>
        <v/>
      </c>
      <c r="AM858" s="6" t="n"/>
      <c r="AN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1" t="n"/>
      <c r="K859" s="3" t="n"/>
      <c r="L859" s="10" t="n"/>
      <c r="M859" s="3">
        <f>IF($A859="","",IFERROR(INDEX('AJUSTES'!$B$4:$B$303,MATCH($AN859,'AJUSTES'!$A$4:$A$303,0)),IF($K859="","",$K859)))</f>
        <v/>
      </c>
      <c r="N859" s="3">
        <f>IF($A859="","",IFERROR(INDEX('CAT_ESTADOS_ERP'!$B$4:$B$7,MATCH(IFERROR(INDEX('2_IMPORTAR_EJECUCION'!$C$9:$C$1208,MATCH($AN859,'2_IMPORTAR_EJECUCION'!$J$9:$J$1208,0)),""),'CAT_ESTADOS_ERP'!$A$4:$A$7,0)),"Pendiente"))</f>
        <v/>
      </c>
      <c r="O859" s="3">
        <f>IF($J859="","",YEAR($J859+4-WEEKDAY($J859,2))&amp;"-S"&amp;TEXT(_xlfn.ISOWEEKNUM($J859),"00"))</f>
        <v/>
      </c>
      <c r="P859" s="3">
        <f>IF($J859="","",YEAR($J859))</f>
        <v/>
      </c>
      <c r="Q859" s="3">
        <f>IF($J859="","",MONTH($J859))</f>
        <v/>
      </c>
      <c r="R859" s="3">
        <f>IF($J859="","",INDEX(lista_dias,WEEKDAY($J859,2)))</f>
        <v/>
      </c>
      <c r="S859" s="3">
        <f>IF($I859="","",IFERROR(INDEX('CAT_TIPOS_OT'!$C$4:$C$7,MATCH($I859,'CAT_TIPOS_OT'!$A$4:$A$7,0)),"sin_clasificar"))</f>
        <v/>
      </c>
      <c r="T859" s="3">
        <f>IF($F859="","",IFERROR(INDEX('CAT_CENTROS_COSTO'!$E$4:$E$9,MATCH($F859,'CAT_CENTROS_COSTO'!$A$4:$A$9,0)),"(sin catálogo)"))</f>
        <v/>
      </c>
      <c r="U859" s="3">
        <f>IF($F859="","",IFERROR(INDEX('CAT_CENTROS_COSTO'!$D$4:$D$9,MATCH($F859,'CAT_CENTROS_COSTO'!$A$4:$A$9,0)),"(sin catálogo)"))</f>
        <v/>
      </c>
      <c r="V859" s="3">
        <f>IF($F859="","",IFERROR(INDEX('CAT_CENTROS_COSTO'!$F$4:$F$9,MATCH($F859,'CAT_CENTROS_COSTO'!$A$4:$A$9,0)),"(sin catálogo)"))</f>
        <v/>
      </c>
      <c r="W859" s="3">
        <f>IF($G859="","",IFERROR(INDEX('CAT_PUESTOS'!$B$4:$B$8,MATCH($G859,'CAT_PUESTOS'!$A$4:$A$8,0)),"(sin catálogo)"))</f>
        <v/>
      </c>
      <c r="X859" s="3">
        <f>IF($H859="","",IFERROR(INDEX('CAT_ACTIVIDADES'!$B$4:$B$8,MATCH($H859,'CAT_ACTIVIDADES'!$A$4:$A$8,0)),"(sin catálogo)"))</f>
        <v/>
      </c>
      <c r="Y859" s="12">
        <f>IF($J859="","",TODAY()-$J859)</f>
        <v/>
      </c>
      <c r="Z859" s="3">
        <f>IF($Y859="","",IF($Y859&lt;0,"FUTURO",IF($Y859&gt;p_dias_backlog_max,"BACKLOG","MES CORRIENTE")))</f>
        <v/>
      </c>
      <c r="AA859" s="3">
        <f>IF($Y859="",FALSE,AND($Y859&gt;p_dias_backlog_min,$Y859&lt;=p_dias_backlog_max))</f>
        <v/>
      </c>
      <c r="AB859" s="6" t="n"/>
      <c r="AC859" s="3">
        <f>IF($AB859="","",IFERROR(INDEX('ASIGNACIONES'!$F$4:$F$339,MATCH($O859&amp;"|"&amp;$R859&amp;"|"&amp;$AB859,'ASIGNACIONES'!$I$4:$I$339,0)),""))</f>
        <v/>
      </c>
      <c r="AD859" s="13">
        <f>IF($AB859="","",SUMIFS('ORDENES'!$M$4:$M$1203,'ORDENES'!$AB$4:$AB$1203,$AB859,'ORDENES'!$O$4:$O$1203,$O859,'ORDENES'!$R$4:$R$1203,$R859))</f>
        <v/>
      </c>
      <c r="AE859" s="13">
        <f>IF($AD859="","",p_factor_productividad*IFERROR(INDEX('ASIGNACIONES'!$H$4:$H$339,MATCH($O859&amp;"|"&amp;$R859&amp;"|"&amp;$AB859,'ASIGNACIONES'!$I$4:$I$339,0)),0)-$AD859)</f>
        <v/>
      </c>
      <c r="AF859" s="10">
        <f>IF($A859="","",IFERROR(INDEX('2_IMPORTAR_EJECUCION'!$F$9:$F$1208,MATCH($AN859,'2_IMPORTAR_EJECUCION'!$J$9:$J$1208,0)),0))</f>
        <v/>
      </c>
      <c r="AG859" s="10">
        <f>IF($A859="","",MAX(0,IFERROR(INDEX('2_IMPORTAR_EJECUCION'!$H$9:$H$1208,MATCH($AN859,'2_IMPORTAR_EJECUCION'!$J$9:$J$1208,0)),0)-$AF859))</f>
        <v/>
      </c>
      <c r="AH859" s="10">
        <f>IF($A859="","",$AF859+$AG859)</f>
        <v/>
      </c>
      <c r="AI859" s="6" t="n"/>
      <c r="AJ859" s="6" t="n"/>
      <c r="AK859" s="6" t="n"/>
      <c r="AL859" s="3">
        <f>IF($AK859="","",HYPERLINK(p_ruta_base_checklists&amp;$AK859,"abrir"))</f>
        <v/>
      </c>
      <c r="AM859" s="6" t="n"/>
      <c r="AN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1" t="n"/>
      <c r="K860" s="3" t="n"/>
      <c r="L860" s="10" t="n"/>
      <c r="M860" s="3">
        <f>IF($A860="","",IFERROR(INDEX('AJUSTES'!$B$4:$B$303,MATCH($AN860,'AJUSTES'!$A$4:$A$303,0)),IF($K860="","",$K860)))</f>
        <v/>
      </c>
      <c r="N860" s="3">
        <f>IF($A860="","",IFERROR(INDEX('CAT_ESTADOS_ERP'!$B$4:$B$7,MATCH(IFERROR(INDEX('2_IMPORTAR_EJECUCION'!$C$9:$C$1208,MATCH($AN860,'2_IMPORTAR_EJECUCION'!$J$9:$J$1208,0)),""),'CAT_ESTADOS_ERP'!$A$4:$A$7,0)),"Pendiente"))</f>
        <v/>
      </c>
      <c r="O860" s="3">
        <f>IF($J860="","",YEAR($J860+4-WEEKDAY($J860,2))&amp;"-S"&amp;TEXT(_xlfn.ISOWEEKNUM($J860),"00"))</f>
        <v/>
      </c>
      <c r="P860" s="3">
        <f>IF($J860="","",YEAR($J860))</f>
        <v/>
      </c>
      <c r="Q860" s="3">
        <f>IF($J860="","",MONTH($J860))</f>
        <v/>
      </c>
      <c r="R860" s="3">
        <f>IF($J860="","",INDEX(lista_dias,WEEKDAY($J860,2)))</f>
        <v/>
      </c>
      <c r="S860" s="3">
        <f>IF($I860="","",IFERROR(INDEX('CAT_TIPOS_OT'!$C$4:$C$7,MATCH($I860,'CAT_TIPOS_OT'!$A$4:$A$7,0)),"sin_clasificar"))</f>
        <v/>
      </c>
      <c r="T860" s="3">
        <f>IF($F860="","",IFERROR(INDEX('CAT_CENTROS_COSTO'!$E$4:$E$9,MATCH($F860,'CAT_CENTROS_COSTO'!$A$4:$A$9,0)),"(sin catálogo)"))</f>
        <v/>
      </c>
      <c r="U860" s="3">
        <f>IF($F860="","",IFERROR(INDEX('CAT_CENTROS_COSTO'!$D$4:$D$9,MATCH($F860,'CAT_CENTROS_COSTO'!$A$4:$A$9,0)),"(sin catálogo)"))</f>
        <v/>
      </c>
      <c r="V860" s="3">
        <f>IF($F860="","",IFERROR(INDEX('CAT_CENTROS_COSTO'!$F$4:$F$9,MATCH($F860,'CAT_CENTROS_COSTO'!$A$4:$A$9,0)),"(sin catálogo)"))</f>
        <v/>
      </c>
      <c r="W860" s="3">
        <f>IF($G860="","",IFERROR(INDEX('CAT_PUESTOS'!$B$4:$B$8,MATCH($G860,'CAT_PUESTOS'!$A$4:$A$8,0)),"(sin catálogo)"))</f>
        <v/>
      </c>
      <c r="X860" s="3">
        <f>IF($H860="","",IFERROR(INDEX('CAT_ACTIVIDADES'!$B$4:$B$8,MATCH($H860,'CAT_ACTIVIDADES'!$A$4:$A$8,0)),"(sin catálogo)"))</f>
        <v/>
      </c>
      <c r="Y860" s="12">
        <f>IF($J860="","",TODAY()-$J860)</f>
        <v/>
      </c>
      <c r="Z860" s="3">
        <f>IF($Y860="","",IF($Y860&lt;0,"FUTURO",IF($Y860&gt;p_dias_backlog_max,"BACKLOG","MES CORRIENTE")))</f>
        <v/>
      </c>
      <c r="AA860" s="3">
        <f>IF($Y860="",FALSE,AND($Y860&gt;p_dias_backlog_min,$Y860&lt;=p_dias_backlog_max))</f>
        <v/>
      </c>
      <c r="AB860" s="6" t="n"/>
      <c r="AC860" s="3">
        <f>IF($AB860="","",IFERROR(INDEX('ASIGNACIONES'!$F$4:$F$339,MATCH($O860&amp;"|"&amp;$R860&amp;"|"&amp;$AB860,'ASIGNACIONES'!$I$4:$I$339,0)),""))</f>
        <v/>
      </c>
      <c r="AD860" s="13">
        <f>IF($AB860="","",SUMIFS('ORDENES'!$M$4:$M$1203,'ORDENES'!$AB$4:$AB$1203,$AB860,'ORDENES'!$O$4:$O$1203,$O860,'ORDENES'!$R$4:$R$1203,$R860))</f>
        <v/>
      </c>
      <c r="AE860" s="13">
        <f>IF($AD860="","",p_factor_productividad*IFERROR(INDEX('ASIGNACIONES'!$H$4:$H$339,MATCH($O860&amp;"|"&amp;$R860&amp;"|"&amp;$AB860,'ASIGNACIONES'!$I$4:$I$339,0)),0)-$AD860)</f>
        <v/>
      </c>
      <c r="AF860" s="10">
        <f>IF($A860="","",IFERROR(INDEX('2_IMPORTAR_EJECUCION'!$F$9:$F$1208,MATCH($AN860,'2_IMPORTAR_EJECUCION'!$J$9:$J$1208,0)),0))</f>
        <v/>
      </c>
      <c r="AG860" s="10">
        <f>IF($A860="","",MAX(0,IFERROR(INDEX('2_IMPORTAR_EJECUCION'!$H$9:$H$1208,MATCH($AN860,'2_IMPORTAR_EJECUCION'!$J$9:$J$1208,0)),0)-$AF860))</f>
        <v/>
      </c>
      <c r="AH860" s="10">
        <f>IF($A860="","",$AF860+$AG860)</f>
        <v/>
      </c>
      <c r="AI860" s="6" t="n"/>
      <c r="AJ860" s="6" t="n"/>
      <c r="AK860" s="6" t="n"/>
      <c r="AL860" s="3">
        <f>IF($AK860="","",HYPERLINK(p_ruta_base_checklists&amp;$AK860,"abrir"))</f>
        <v/>
      </c>
      <c r="AM860" s="6" t="n"/>
      <c r="AN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1" t="n"/>
      <c r="K861" s="3" t="n"/>
      <c r="L861" s="10" t="n"/>
      <c r="M861" s="3">
        <f>IF($A861="","",IFERROR(INDEX('AJUSTES'!$B$4:$B$303,MATCH($AN861,'AJUSTES'!$A$4:$A$303,0)),IF($K861="","",$K861)))</f>
        <v/>
      </c>
      <c r="N861" s="3">
        <f>IF($A861="","",IFERROR(INDEX('CAT_ESTADOS_ERP'!$B$4:$B$7,MATCH(IFERROR(INDEX('2_IMPORTAR_EJECUCION'!$C$9:$C$1208,MATCH($AN861,'2_IMPORTAR_EJECUCION'!$J$9:$J$1208,0)),""),'CAT_ESTADOS_ERP'!$A$4:$A$7,0)),"Pendiente"))</f>
        <v/>
      </c>
      <c r="O861" s="3">
        <f>IF($J861="","",YEAR($J861+4-WEEKDAY($J861,2))&amp;"-S"&amp;TEXT(_xlfn.ISOWEEKNUM($J861),"00"))</f>
        <v/>
      </c>
      <c r="P861" s="3">
        <f>IF($J861="","",YEAR($J861))</f>
        <v/>
      </c>
      <c r="Q861" s="3">
        <f>IF($J861="","",MONTH($J861))</f>
        <v/>
      </c>
      <c r="R861" s="3">
        <f>IF($J861="","",INDEX(lista_dias,WEEKDAY($J861,2)))</f>
        <v/>
      </c>
      <c r="S861" s="3">
        <f>IF($I861="","",IFERROR(INDEX('CAT_TIPOS_OT'!$C$4:$C$7,MATCH($I861,'CAT_TIPOS_OT'!$A$4:$A$7,0)),"sin_clasificar"))</f>
        <v/>
      </c>
      <c r="T861" s="3">
        <f>IF($F861="","",IFERROR(INDEX('CAT_CENTROS_COSTO'!$E$4:$E$9,MATCH($F861,'CAT_CENTROS_COSTO'!$A$4:$A$9,0)),"(sin catálogo)"))</f>
        <v/>
      </c>
      <c r="U861" s="3">
        <f>IF($F861="","",IFERROR(INDEX('CAT_CENTROS_COSTO'!$D$4:$D$9,MATCH($F861,'CAT_CENTROS_COSTO'!$A$4:$A$9,0)),"(sin catálogo)"))</f>
        <v/>
      </c>
      <c r="V861" s="3">
        <f>IF($F861="","",IFERROR(INDEX('CAT_CENTROS_COSTO'!$F$4:$F$9,MATCH($F861,'CAT_CENTROS_COSTO'!$A$4:$A$9,0)),"(sin catálogo)"))</f>
        <v/>
      </c>
      <c r="W861" s="3">
        <f>IF($G861="","",IFERROR(INDEX('CAT_PUESTOS'!$B$4:$B$8,MATCH($G861,'CAT_PUESTOS'!$A$4:$A$8,0)),"(sin catálogo)"))</f>
        <v/>
      </c>
      <c r="X861" s="3">
        <f>IF($H861="","",IFERROR(INDEX('CAT_ACTIVIDADES'!$B$4:$B$8,MATCH($H861,'CAT_ACTIVIDADES'!$A$4:$A$8,0)),"(sin catálogo)"))</f>
        <v/>
      </c>
      <c r="Y861" s="12">
        <f>IF($J861="","",TODAY()-$J861)</f>
        <v/>
      </c>
      <c r="Z861" s="3">
        <f>IF($Y861="","",IF($Y861&lt;0,"FUTURO",IF($Y861&gt;p_dias_backlog_max,"BACKLOG","MES CORRIENTE")))</f>
        <v/>
      </c>
      <c r="AA861" s="3">
        <f>IF($Y861="",FALSE,AND($Y861&gt;p_dias_backlog_min,$Y861&lt;=p_dias_backlog_max))</f>
        <v/>
      </c>
      <c r="AB861" s="6" t="n"/>
      <c r="AC861" s="3">
        <f>IF($AB861="","",IFERROR(INDEX('ASIGNACIONES'!$F$4:$F$339,MATCH($O861&amp;"|"&amp;$R861&amp;"|"&amp;$AB861,'ASIGNACIONES'!$I$4:$I$339,0)),""))</f>
        <v/>
      </c>
      <c r="AD861" s="13">
        <f>IF($AB861="","",SUMIFS('ORDENES'!$M$4:$M$1203,'ORDENES'!$AB$4:$AB$1203,$AB861,'ORDENES'!$O$4:$O$1203,$O861,'ORDENES'!$R$4:$R$1203,$R861))</f>
        <v/>
      </c>
      <c r="AE861" s="13">
        <f>IF($AD861="","",p_factor_productividad*IFERROR(INDEX('ASIGNACIONES'!$H$4:$H$339,MATCH($O861&amp;"|"&amp;$R861&amp;"|"&amp;$AB861,'ASIGNACIONES'!$I$4:$I$339,0)),0)-$AD861)</f>
        <v/>
      </c>
      <c r="AF861" s="10">
        <f>IF($A861="","",IFERROR(INDEX('2_IMPORTAR_EJECUCION'!$F$9:$F$1208,MATCH($AN861,'2_IMPORTAR_EJECUCION'!$J$9:$J$1208,0)),0))</f>
        <v/>
      </c>
      <c r="AG861" s="10">
        <f>IF($A861="","",MAX(0,IFERROR(INDEX('2_IMPORTAR_EJECUCION'!$H$9:$H$1208,MATCH($AN861,'2_IMPORTAR_EJECUCION'!$J$9:$J$1208,0)),0)-$AF861))</f>
        <v/>
      </c>
      <c r="AH861" s="10">
        <f>IF($A861="","",$AF861+$AG861)</f>
        <v/>
      </c>
      <c r="AI861" s="6" t="n"/>
      <c r="AJ861" s="6" t="n"/>
      <c r="AK861" s="6" t="n"/>
      <c r="AL861" s="3">
        <f>IF($AK861="","",HYPERLINK(p_ruta_base_checklists&amp;$AK861,"abrir"))</f>
        <v/>
      </c>
      <c r="AM861" s="6" t="n"/>
      <c r="AN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1" t="n"/>
      <c r="K862" s="3" t="n"/>
      <c r="L862" s="10" t="n"/>
      <c r="M862" s="3">
        <f>IF($A862="","",IFERROR(INDEX('AJUSTES'!$B$4:$B$303,MATCH($AN862,'AJUSTES'!$A$4:$A$303,0)),IF($K862="","",$K862)))</f>
        <v/>
      </c>
      <c r="N862" s="3">
        <f>IF($A862="","",IFERROR(INDEX('CAT_ESTADOS_ERP'!$B$4:$B$7,MATCH(IFERROR(INDEX('2_IMPORTAR_EJECUCION'!$C$9:$C$1208,MATCH($AN862,'2_IMPORTAR_EJECUCION'!$J$9:$J$1208,0)),""),'CAT_ESTADOS_ERP'!$A$4:$A$7,0)),"Pendiente"))</f>
        <v/>
      </c>
      <c r="O862" s="3">
        <f>IF($J862="","",YEAR($J862+4-WEEKDAY($J862,2))&amp;"-S"&amp;TEXT(_xlfn.ISOWEEKNUM($J862),"00"))</f>
        <v/>
      </c>
      <c r="P862" s="3">
        <f>IF($J862="","",YEAR($J862))</f>
        <v/>
      </c>
      <c r="Q862" s="3">
        <f>IF($J862="","",MONTH($J862))</f>
        <v/>
      </c>
      <c r="R862" s="3">
        <f>IF($J862="","",INDEX(lista_dias,WEEKDAY($J862,2)))</f>
        <v/>
      </c>
      <c r="S862" s="3">
        <f>IF($I862="","",IFERROR(INDEX('CAT_TIPOS_OT'!$C$4:$C$7,MATCH($I862,'CAT_TIPOS_OT'!$A$4:$A$7,0)),"sin_clasificar"))</f>
        <v/>
      </c>
      <c r="T862" s="3">
        <f>IF($F862="","",IFERROR(INDEX('CAT_CENTROS_COSTO'!$E$4:$E$9,MATCH($F862,'CAT_CENTROS_COSTO'!$A$4:$A$9,0)),"(sin catálogo)"))</f>
        <v/>
      </c>
      <c r="U862" s="3">
        <f>IF($F862="","",IFERROR(INDEX('CAT_CENTROS_COSTO'!$D$4:$D$9,MATCH($F862,'CAT_CENTROS_COSTO'!$A$4:$A$9,0)),"(sin catálogo)"))</f>
        <v/>
      </c>
      <c r="V862" s="3">
        <f>IF($F862="","",IFERROR(INDEX('CAT_CENTROS_COSTO'!$F$4:$F$9,MATCH($F862,'CAT_CENTROS_COSTO'!$A$4:$A$9,0)),"(sin catálogo)"))</f>
        <v/>
      </c>
      <c r="W862" s="3">
        <f>IF($G862="","",IFERROR(INDEX('CAT_PUESTOS'!$B$4:$B$8,MATCH($G862,'CAT_PUESTOS'!$A$4:$A$8,0)),"(sin catálogo)"))</f>
        <v/>
      </c>
      <c r="X862" s="3">
        <f>IF($H862="","",IFERROR(INDEX('CAT_ACTIVIDADES'!$B$4:$B$8,MATCH($H862,'CAT_ACTIVIDADES'!$A$4:$A$8,0)),"(sin catálogo)"))</f>
        <v/>
      </c>
      <c r="Y862" s="12">
        <f>IF($J862="","",TODAY()-$J862)</f>
        <v/>
      </c>
      <c r="Z862" s="3">
        <f>IF($Y862="","",IF($Y862&lt;0,"FUTURO",IF($Y862&gt;p_dias_backlog_max,"BACKLOG","MES CORRIENTE")))</f>
        <v/>
      </c>
      <c r="AA862" s="3">
        <f>IF($Y862="",FALSE,AND($Y862&gt;p_dias_backlog_min,$Y862&lt;=p_dias_backlog_max))</f>
        <v/>
      </c>
      <c r="AB862" s="6" t="n"/>
      <c r="AC862" s="3">
        <f>IF($AB862="","",IFERROR(INDEX('ASIGNACIONES'!$F$4:$F$339,MATCH($O862&amp;"|"&amp;$R862&amp;"|"&amp;$AB862,'ASIGNACIONES'!$I$4:$I$339,0)),""))</f>
        <v/>
      </c>
      <c r="AD862" s="13">
        <f>IF($AB862="","",SUMIFS('ORDENES'!$M$4:$M$1203,'ORDENES'!$AB$4:$AB$1203,$AB862,'ORDENES'!$O$4:$O$1203,$O862,'ORDENES'!$R$4:$R$1203,$R862))</f>
        <v/>
      </c>
      <c r="AE862" s="13">
        <f>IF($AD862="","",p_factor_productividad*IFERROR(INDEX('ASIGNACIONES'!$H$4:$H$339,MATCH($O862&amp;"|"&amp;$R862&amp;"|"&amp;$AB862,'ASIGNACIONES'!$I$4:$I$339,0)),0)-$AD862)</f>
        <v/>
      </c>
      <c r="AF862" s="10">
        <f>IF($A862="","",IFERROR(INDEX('2_IMPORTAR_EJECUCION'!$F$9:$F$1208,MATCH($AN862,'2_IMPORTAR_EJECUCION'!$J$9:$J$1208,0)),0))</f>
        <v/>
      </c>
      <c r="AG862" s="10">
        <f>IF($A862="","",MAX(0,IFERROR(INDEX('2_IMPORTAR_EJECUCION'!$H$9:$H$1208,MATCH($AN862,'2_IMPORTAR_EJECUCION'!$J$9:$J$1208,0)),0)-$AF862))</f>
        <v/>
      </c>
      <c r="AH862" s="10">
        <f>IF($A862="","",$AF862+$AG862)</f>
        <v/>
      </c>
      <c r="AI862" s="6" t="n"/>
      <c r="AJ862" s="6" t="n"/>
      <c r="AK862" s="6" t="n"/>
      <c r="AL862" s="3">
        <f>IF($AK862="","",HYPERLINK(p_ruta_base_checklists&amp;$AK862,"abrir"))</f>
        <v/>
      </c>
      <c r="AM862" s="6" t="n"/>
      <c r="AN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1" t="n"/>
      <c r="K863" s="3" t="n"/>
      <c r="L863" s="10" t="n"/>
      <c r="M863" s="3">
        <f>IF($A863="","",IFERROR(INDEX('AJUSTES'!$B$4:$B$303,MATCH($AN863,'AJUSTES'!$A$4:$A$303,0)),IF($K863="","",$K863)))</f>
        <v/>
      </c>
      <c r="N863" s="3">
        <f>IF($A863="","",IFERROR(INDEX('CAT_ESTADOS_ERP'!$B$4:$B$7,MATCH(IFERROR(INDEX('2_IMPORTAR_EJECUCION'!$C$9:$C$1208,MATCH($AN863,'2_IMPORTAR_EJECUCION'!$J$9:$J$1208,0)),""),'CAT_ESTADOS_ERP'!$A$4:$A$7,0)),"Pendiente"))</f>
        <v/>
      </c>
      <c r="O863" s="3">
        <f>IF($J863="","",YEAR($J863+4-WEEKDAY($J863,2))&amp;"-S"&amp;TEXT(_xlfn.ISOWEEKNUM($J863),"00"))</f>
        <v/>
      </c>
      <c r="P863" s="3">
        <f>IF($J863="","",YEAR($J863))</f>
        <v/>
      </c>
      <c r="Q863" s="3">
        <f>IF($J863="","",MONTH($J863))</f>
        <v/>
      </c>
      <c r="R863" s="3">
        <f>IF($J863="","",INDEX(lista_dias,WEEKDAY($J863,2)))</f>
        <v/>
      </c>
      <c r="S863" s="3">
        <f>IF($I863="","",IFERROR(INDEX('CAT_TIPOS_OT'!$C$4:$C$7,MATCH($I863,'CAT_TIPOS_OT'!$A$4:$A$7,0)),"sin_clasificar"))</f>
        <v/>
      </c>
      <c r="T863" s="3">
        <f>IF($F863="","",IFERROR(INDEX('CAT_CENTROS_COSTO'!$E$4:$E$9,MATCH($F863,'CAT_CENTROS_COSTO'!$A$4:$A$9,0)),"(sin catálogo)"))</f>
        <v/>
      </c>
      <c r="U863" s="3">
        <f>IF($F863="","",IFERROR(INDEX('CAT_CENTROS_COSTO'!$D$4:$D$9,MATCH($F863,'CAT_CENTROS_COSTO'!$A$4:$A$9,0)),"(sin catálogo)"))</f>
        <v/>
      </c>
      <c r="V863" s="3">
        <f>IF($F863="","",IFERROR(INDEX('CAT_CENTROS_COSTO'!$F$4:$F$9,MATCH($F863,'CAT_CENTROS_COSTO'!$A$4:$A$9,0)),"(sin catálogo)"))</f>
        <v/>
      </c>
      <c r="W863" s="3">
        <f>IF($G863="","",IFERROR(INDEX('CAT_PUESTOS'!$B$4:$B$8,MATCH($G863,'CAT_PUESTOS'!$A$4:$A$8,0)),"(sin catálogo)"))</f>
        <v/>
      </c>
      <c r="X863" s="3">
        <f>IF($H863="","",IFERROR(INDEX('CAT_ACTIVIDADES'!$B$4:$B$8,MATCH($H863,'CAT_ACTIVIDADES'!$A$4:$A$8,0)),"(sin catálogo)"))</f>
        <v/>
      </c>
      <c r="Y863" s="12">
        <f>IF($J863="","",TODAY()-$J863)</f>
        <v/>
      </c>
      <c r="Z863" s="3">
        <f>IF($Y863="","",IF($Y863&lt;0,"FUTURO",IF($Y863&gt;p_dias_backlog_max,"BACKLOG","MES CORRIENTE")))</f>
        <v/>
      </c>
      <c r="AA863" s="3">
        <f>IF($Y863="",FALSE,AND($Y863&gt;p_dias_backlog_min,$Y863&lt;=p_dias_backlog_max))</f>
        <v/>
      </c>
      <c r="AB863" s="6" t="n"/>
      <c r="AC863" s="3">
        <f>IF($AB863="","",IFERROR(INDEX('ASIGNACIONES'!$F$4:$F$339,MATCH($O863&amp;"|"&amp;$R863&amp;"|"&amp;$AB863,'ASIGNACIONES'!$I$4:$I$339,0)),""))</f>
        <v/>
      </c>
      <c r="AD863" s="13">
        <f>IF($AB863="","",SUMIFS('ORDENES'!$M$4:$M$1203,'ORDENES'!$AB$4:$AB$1203,$AB863,'ORDENES'!$O$4:$O$1203,$O863,'ORDENES'!$R$4:$R$1203,$R863))</f>
        <v/>
      </c>
      <c r="AE863" s="13">
        <f>IF($AD863="","",p_factor_productividad*IFERROR(INDEX('ASIGNACIONES'!$H$4:$H$339,MATCH($O863&amp;"|"&amp;$R863&amp;"|"&amp;$AB863,'ASIGNACIONES'!$I$4:$I$339,0)),0)-$AD863)</f>
        <v/>
      </c>
      <c r="AF863" s="10">
        <f>IF($A863="","",IFERROR(INDEX('2_IMPORTAR_EJECUCION'!$F$9:$F$1208,MATCH($AN863,'2_IMPORTAR_EJECUCION'!$J$9:$J$1208,0)),0))</f>
        <v/>
      </c>
      <c r="AG863" s="10">
        <f>IF($A863="","",MAX(0,IFERROR(INDEX('2_IMPORTAR_EJECUCION'!$H$9:$H$1208,MATCH($AN863,'2_IMPORTAR_EJECUCION'!$J$9:$J$1208,0)),0)-$AF863))</f>
        <v/>
      </c>
      <c r="AH863" s="10">
        <f>IF($A863="","",$AF863+$AG863)</f>
        <v/>
      </c>
      <c r="AI863" s="6" t="n"/>
      <c r="AJ863" s="6" t="n"/>
      <c r="AK863" s="6" t="n"/>
      <c r="AL863" s="3">
        <f>IF($AK863="","",HYPERLINK(p_ruta_base_checklists&amp;$AK863,"abrir"))</f>
        <v/>
      </c>
      <c r="AM863" s="6" t="n"/>
      <c r="AN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1" t="n"/>
      <c r="K864" s="3" t="n"/>
      <c r="L864" s="10" t="n"/>
      <c r="M864" s="3">
        <f>IF($A864="","",IFERROR(INDEX('AJUSTES'!$B$4:$B$303,MATCH($AN864,'AJUSTES'!$A$4:$A$303,0)),IF($K864="","",$K864)))</f>
        <v/>
      </c>
      <c r="N864" s="3">
        <f>IF($A864="","",IFERROR(INDEX('CAT_ESTADOS_ERP'!$B$4:$B$7,MATCH(IFERROR(INDEX('2_IMPORTAR_EJECUCION'!$C$9:$C$1208,MATCH($AN864,'2_IMPORTAR_EJECUCION'!$J$9:$J$1208,0)),""),'CAT_ESTADOS_ERP'!$A$4:$A$7,0)),"Pendiente"))</f>
        <v/>
      </c>
      <c r="O864" s="3">
        <f>IF($J864="","",YEAR($J864+4-WEEKDAY($J864,2))&amp;"-S"&amp;TEXT(_xlfn.ISOWEEKNUM($J864),"00"))</f>
        <v/>
      </c>
      <c r="P864" s="3">
        <f>IF($J864="","",YEAR($J864))</f>
        <v/>
      </c>
      <c r="Q864" s="3">
        <f>IF($J864="","",MONTH($J864))</f>
        <v/>
      </c>
      <c r="R864" s="3">
        <f>IF($J864="","",INDEX(lista_dias,WEEKDAY($J864,2)))</f>
        <v/>
      </c>
      <c r="S864" s="3">
        <f>IF($I864="","",IFERROR(INDEX('CAT_TIPOS_OT'!$C$4:$C$7,MATCH($I864,'CAT_TIPOS_OT'!$A$4:$A$7,0)),"sin_clasificar"))</f>
        <v/>
      </c>
      <c r="T864" s="3">
        <f>IF($F864="","",IFERROR(INDEX('CAT_CENTROS_COSTO'!$E$4:$E$9,MATCH($F864,'CAT_CENTROS_COSTO'!$A$4:$A$9,0)),"(sin catálogo)"))</f>
        <v/>
      </c>
      <c r="U864" s="3">
        <f>IF($F864="","",IFERROR(INDEX('CAT_CENTROS_COSTO'!$D$4:$D$9,MATCH($F864,'CAT_CENTROS_COSTO'!$A$4:$A$9,0)),"(sin catálogo)"))</f>
        <v/>
      </c>
      <c r="V864" s="3">
        <f>IF($F864="","",IFERROR(INDEX('CAT_CENTROS_COSTO'!$F$4:$F$9,MATCH($F864,'CAT_CENTROS_COSTO'!$A$4:$A$9,0)),"(sin catálogo)"))</f>
        <v/>
      </c>
      <c r="W864" s="3">
        <f>IF($G864="","",IFERROR(INDEX('CAT_PUESTOS'!$B$4:$B$8,MATCH($G864,'CAT_PUESTOS'!$A$4:$A$8,0)),"(sin catálogo)"))</f>
        <v/>
      </c>
      <c r="X864" s="3">
        <f>IF($H864="","",IFERROR(INDEX('CAT_ACTIVIDADES'!$B$4:$B$8,MATCH($H864,'CAT_ACTIVIDADES'!$A$4:$A$8,0)),"(sin catálogo)"))</f>
        <v/>
      </c>
      <c r="Y864" s="12">
        <f>IF($J864="","",TODAY()-$J864)</f>
        <v/>
      </c>
      <c r="Z864" s="3">
        <f>IF($Y864="","",IF($Y864&lt;0,"FUTURO",IF($Y864&gt;p_dias_backlog_max,"BACKLOG","MES CORRIENTE")))</f>
        <v/>
      </c>
      <c r="AA864" s="3">
        <f>IF($Y864="",FALSE,AND($Y864&gt;p_dias_backlog_min,$Y864&lt;=p_dias_backlog_max))</f>
        <v/>
      </c>
      <c r="AB864" s="6" t="n"/>
      <c r="AC864" s="3">
        <f>IF($AB864="","",IFERROR(INDEX('ASIGNACIONES'!$F$4:$F$339,MATCH($O864&amp;"|"&amp;$R864&amp;"|"&amp;$AB864,'ASIGNACIONES'!$I$4:$I$339,0)),""))</f>
        <v/>
      </c>
      <c r="AD864" s="13">
        <f>IF($AB864="","",SUMIFS('ORDENES'!$M$4:$M$1203,'ORDENES'!$AB$4:$AB$1203,$AB864,'ORDENES'!$O$4:$O$1203,$O864,'ORDENES'!$R$4:$R$1203,$R864))</f>
        <v/>
      </c>
      <c r="AE864" s="13">
        <f>IF($AD864="","",p_factor_productividad*IFERROR(INDEX('ASIGNACIONES'!$H$4:$H$339,MATCH($O864&amp;"|"&amp;$R864&amp;"|"&amp;$AB864,'ASIGNACIONES'!$I$4:$I$339,0)),0)-$AD864)</f>
        <v/>
      </c>
      <c r="AF864" s="10">
        <f>IF($A864="","",IFERROR(INDEX('2_IMPORTAR_EJECUCION'!$F$9:$F$1208,MATCH($AN864,'2_IMPORTAR_EJECUCION'!$J$9:$J$1208,0)),0))</f>
        <v/>
      </c>
      <c r="AG864" s="10">
        <f>IF($A864="","",MAX(0,IFERROR(INDEX('2_IMPORTAR_EJECUCION'!$H$9:$H$1208,MATCH($AN864,'2_IMPORTAR_EJECUCION'!$J$9:$J$1208,0)),0)-$AF864))</f>
        <v/>
      </c>
      <c r="AH864" s="10">
        <f>IF($A864="","",$AF864+$AG864)</f>
        <v/>
      </c>
      <c r="AI864" s="6" t="n"/>
      <c r="AJ864" s="6" t="n"/>
      <c r="AK864" s="6" t="n"/>
      <c r="AL864" s="3">
        <f>IF($AK864="","",HYPERLINK(p_ruta_base_checklists&amp;$AK864,"abrir"))</f>
        <v/>
      </c>
      <c r="AM864" s="6" t="n"/>
      <c r="AN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1" t="n"/>
      <c r="K865" s="3" t="n"/>
      <c r="L865" s="10" t="n"/>
      <c r="M865" s="3">
        <f>IF($A865="","",IFERROR(INDEX('AJUSTES'!$B$4:$B$303,MATCH($AN865,'AJUSTES'!$A$4:$A$303,0)),IF($K865="","",$K865)))</f>
        <v/>
      </c>
      <c r="N865" s="3">
        <f>IF($A865="","",IFERROR(INDEX('CAT_ESTADOS_ERP'!$B$4:$B$7,MATCH(IFERROR(INDEX('2_IMPORTAR_EJECUCION'!$C$9:$C$1208,MATCH($AN865,'2_IMPORTAR_EJECUCION'!$J$9:$J$1208,0)),""),'CAT_ESTADOS_ERP'!$A$4:$A$7,0)),"Pendiente"))</f>
        <v/>
      </c>
      <c r="O865" s="3">
        <f>IF($J865="","",YEAR($J865+4-WEEKDAY($J865,2))&amp;"-S"&amp;TEXT(_xlfn.ISOWEEKNUM($J865),"00"))</f>
        <v/>
      </c>
      <c r="P865" s="3">
        <f>IF($J865="","",YEAR($J865))</f>
        <v/>
      </c>
      <c r="Q865" s="3">
        <f>IF($J865="","",MONTH($J865))</f>
        <v/>
      </c>
      <c r="R865" s="3">
        <f>IF($J865="","",INDEX(lista_dias,WEEKDAY($J865,2)))</f>
        <v/>
      </c>
      <c r="S865" s="3">
        <f>IF($I865="","",IFERROR(INDEX('CAT_TIPOS_OT'!$C$4:$C$7,MATCH($I865,'CAT_TIPOS_OT'!$A$4:$A$7,0)),"sin_clasificar"))</f>
        <v/>
      </c>
      <c r="T865" s="3">
        <f>IF($F865="","",IFERROR(INDEX('CAT_CENTROS_COSTO'!$E$4:$E$9,MATCH($F865,'CAT_CENTROS_COSTO'!$A$4:$A$9,0)),"(sin catálogo)"))</f>
        <v/>
      </c>
      <c r="U865" s="3">
        <f>IF($F865="","",IFERROR(INDEX('CAT_CENTROS_COSTO'!$D$4:$D$9,MATCH($F865,'CAT_CENTROS_COSTO'!$A$4:$A$9,0)),"(sin catálogo)"))</f>
        <v/>
      </c>
      <c r="V865" s="3">
        <f>IF($F865="","",IFERROR(INDEX('CAT_CENTROS_COSTO'!$F$4:$F$9,MATCH($F865,'CAT_CENTROS_COSTO'!$A$4:$A$9,0)),"(sin catálogo)"))</f>
        <v/>
      </c>
      <c r="W865" s="3">
        <f>IF($G865="","",IFERROR(INDEX('CAT_PUESTOS'!$B$4:$B$8,MATCH($G865,'CAT_PUESTOS'!$A$4:$A$8,0)),"(sin catálogo)"))</f>
        <v/>
      </c>
      <c r="X865" s="3">
        <f>IF($H865="","",IFERROR(INDEX('CAT_ACTIVIDADES'!$B$4:$B$8,MATCH($H865,'CAT_ACTIVIDADES'!$A$4:$A$8,0)),"(sin catálogo)"))</f>
        <v/>
      </c>
      <c r="Y865" s="12">
        <f>IF($J865="","",TODAY()-$J865)</f>
        <v/>
      </c>
      <c r="Z865" s="3">
        <f>IF($Y865="","",IF($Y865&lt;0,"FUTURO",IF($Y865&gt;p_dias_backlog_max,"BACKLOG","MES CORRIENTE")))</f>
        <v/>
      </c>
      <c r="AA865" s="3">
        <f>IF($Y865="",FALSE,AND($Y865&gt;p_dias_backlog_min,$Y865&lt;=p_dias_backlog_max))</f>
        <v/>
      </c>
      <c r="AB865" s="6" t="n"/>
      <c r="AC865" s="3">
        <f>IF($AB865="","",IFERROR(INDEX('ASIGNACIONES'!$F$4:$F$339,MATCH($O865&amp;"|"&amp;$R865&amp;"|"&amp;$AB865,'ASIGNACIONES'!$I$4:$I$339,0)),""))</f>
        <v/>
      </c>
      <c r="AD865" s="13">
        <f>IF($AB865="","",SUMIFS('ORDENES'!$M$4:$M$1203,'ORDENES'!$AB$4:$AB$1203,$AB865,'ORDENES'!$O$4:$O$1203,$O865,'ORDENES'!$R$4:$R$1203,$R865))</f>
        <v/>
      </c>
      <c r="AE865" s="13">
        <f>IF($AD865="","",p_factor_productividad*IFERROR(INDEX('ASIGNACIONES'!$H$4:$H$339,MATCH($O865&amp;"|"&amp;$R865&amp;"|"&amp;$AB865,'ASIGNACIONES'!$I$4:$I$339,0)),0)-$AD865)</f>
        <v/>
      </c>
      <c r="AF865" s="10">
        <f>IF($A865="","",IFERROR(INDEX('2_IMPORTAR_EJECUCION'!$F$9:$F$1208,MATCH($AN865,'2_IMPORTAR_EJECUCION'!$J$9:$J$1208,0)),0))</f>
        <v/>
      </c>
      <c r="AG865" s="10">
        <f>IF($A865="","",MAX(0,IFERROR(INDEX('2_IMPORTAR_EJECUCION'!$H$9:$H$1208,MATCH($AN865,'2_IMPORTAR_EJECUCION'!$J$9:$J$1208,0)),0)-$AF865))</f>
        <v/>
      </c>
      <c r="AH865" s="10">
        <f>IF($A865="","",$AF865+$AG865)</f>
        <v/>
      </c>
      <c r="AI865" s="6" t="n"/>
      <c r="AJ865" s="6" t="n"/>
      <c r="AK865" s="6" t="n"/>
      <c r="AL865" s="3">
        <f>IF($AK865="","",HYPERLINK(p_ruta_base_checklists&amp;$AK865,"abrir"))</f>
        <v/>
      </c>
      <c r="AM865" s="6" t="n"/>
      <c r="AN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1" t="n"/>
      <c r="K866" s="3" t="n"/>
      <c r="L866" s="10" t="n"/>
      <c r="M866" s="3">
        <f>IF($A866="","",IFERROR(INDEX('AJUSTES'!$B$4:$B$303,MATCH($AN866,'AJUSTES'!$A$4:$A$303,0)),IF($K866="","",$K866)))</f>
        <v/>
      </c>
      <c r="N866" s="3">
        <f>IF($A866="","",IFERROR(INDEX('CAT_ESTADOS_ERP'!$B$4:$B$7,MATCH(IFERROR(INDEX('2_IMPORTAR_EJECUCION'!$C$9:$C$1208,MATCH($AN866,'2_IMPORTAR_EJECUCION'!$J$9:$J$1208,0)),""),'CAT_ESTADOS_ERP'!$A$4:$A$7,0)),"Pendiente"))</f>
        <v/>
      </c>
      <c r="O866" s="3">
        <f>IF($J866="","",YEAR($J866+4-WEEKDAY($J866,2))&amp;"-S"&amp;TEXT(_xlfn.ISOWEEKNUM($J866),"00"))</f>
        <v/>
      </c>
      <c r="P866" s="3">
        <f>IF($J866="","",YEAR($J866))</f>
        <v/>
      </c>
      <c r="Q866" s="3">
        <f>IF($J866="","",MONTH($J866))</f>
        <v/>
      </c>
      <c r="R866" s="3">
        <f>IF($J866="","",INDEX(lista_dias,WEEKDAY($J866,2)))</f>
        <v/>
      </c>
      <c r="S866" s="3">
        <f>IF($I866="","",IFERROR(INDEX('CAT_TIPOS_OT'!$C$4:$C$7,MATCH($I866,'CAT_TIPOS_OT'!$A$4:$A$7,0)),"sin_clasificar"))</f>
        <v/>
      </c>
      <c r="T866" s="3">
        <f>IF($F866="","",IFERROR(INDEX('CAT_CENTROS_COSTO'!$E$4:$E$9,MATCH($F866,'CAT_CENTROS_COSTO'!$A$4:$A$9,0)),"(sin catálogo)"))</f>
        <v/>
      </c>
      <c r="U866" s="3">
        <f>IF($F866="","",IFERROR(INDEX('CAT_CENTROS_COSTO'!$D$4:$D$9,MATCH($F866,'CAT_CENTROS_COSTO'!$A$4:$A$9,0)),"(sin catálogo)"))</f>
        <v/>
      </c>
      <c r="V866" s="3">
        <f>IF($F866="","",IFERROR(INDEX('CAT_CENTROS_COSTO'!$F$4:$F$9,MATCH($F866,'CAT_CENTROS_COSTO'!$A$4:$A$9,0)),"(sin catálogo)"))</f>
        <v/>
      </c>
      <c r="W866" s="3">
        <f>IF($G866="","",IFERROR(INDEX('CAT_PUESTOS'!$B$4:$B$8,MATCH($G866,'CAT_PUESTOS'!$A$4:$A$8,0)),"(sin catálogo)"))</f>
        <v/>
      </c>
      <c r="X866" s="3">
        <f>IF($H866="","",IFERROR(INDEX('CAT_ACTIVIDADES'!$B$4:$B$8,MATCH($H866,'CAT_ACTIVIDADES'!$A$4:$A$8,0)),"(sin catálogo)"))</f>
        <v/>
      </c>
      <c r="Y866" s="12">
        <f>IF($J866="","",TODAY()-$J866)</f>
        <v/>
      </c>
      <c r="Z866" s="3">
        <f>IF($Y866="","",IF($Y866&lt;0,"FUTURO",IF($Y866&gt;p_dias_backlog_max,"BACKLOG","MES CORRIENTE")))</f>
        <v/>
      </c>
      <c r="AA866" s="3">
        <f>IF($Y866="",FALSE,AND($Y866&gt;p_dias_backlog_min,$Y866&lt;=p_dias_backlog_max))</f>
        <v/>
      </c>
      <c r="AB866" s="6" t="n"/>
      <c r="AC866" s="3">
        <f>IF($AB866="","",IFERROR(INDEX('ASIGNACIONES'!$F$4:$F$339,MATCH($O866&amp;"|"&amp;$R866&amp;"|"&amp;$AB866,'ASIGNACIONES'!$I$4:$I$339,0)),""))</f>
        <v/>
      </c>
      <c r="AD866" s="13">
        <f>IF($AB866="","",SUMIFS('ORDENES'!$M$4:$M$1203,'ORDENES'!$AB$4:$AB$1203,$AB866,'ORDENES'!$O$4:$O$1203,$O866,'ORDENES'!$R$4:$R$1203,$R866))</f>
        <v/>
      </c>
      <c r="AE866" s="13">
        <f>IF($AD866="","",p_factor_productividad*IFERROR(INDEX('ASIGNACIONES'!$H$4:$H$339,MATCH($O866&amp;"|"&amp;$R866&amp;"|"&amp;$AB866,'ASIGNACIONES'!$I$4:$I$339,0)),0)-$AD866)</f>
        <v/>
      </c>
      <c r="AF866" s="10">
        <f>IF($A866="","",IFERROR(INDEX('2_IMPORTAR_EJECUCION'!$F$9:$F$1208,MATCH($AN866,'2_IMPORTAR_EJECUCION'!$J$9:$J$1208,0)),0))</f>
        <v/>
      </c>
      <c r="AG866" s="10">
        <f>IF($A866="","",MAX(0,IFERROR(INDEX('2_IMPORTAR_EJECUCION'!$H$9:$H$1208,MATCH($AN866,'2_IMPORTAR_EJECUCION'!$J$9:$J$1208,0)),0)-$AF866))</f>
        <v/>
      </c>
      <c r="AH866" s="10">
        <f>IF($A866="","",$AF866+$AG866)</f>
        <v/>
      </c>
      <c r="AI866" s="6" t="n"/>
      <c r="AJ866" s="6" t="n"/>
      <c r="AK866" s="6" t="n"/>
      <c r="AL866" s="3">
        <f>IF($AK866="","",HYPERLINK(p_ruta_base_checklists&amp;$AK866,"abrir"))</f>
        <v/>
      </c>
      <c r="AM866" s="6" t="n"/>
      <c r="AN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1" t="n"/>
      <c r="K867" s="3" t="n"/>
      <c r="L867" s="10" t="n"/>
      <c r="M867" s="3">
        <f>IF($A867="","",IFERROR(INDEX('AJUSTES'!$B$4:$B$303,MATCH($AN867,'AJUSTES'!$A$4:$A$303,0)),IF($K867="","",$K867)))</f>
        <v/>
      </c>
      <c r="N867" s="3">
        <f>IF($A867="","",IFERROR(INDEX('CAT_ESTADOS_ERP'!$B$4:$B$7,MATCH(IFERROR(INDEX('2_IMPORTAR_EJECUCION'!$C$9:$C$1208,MATCH($AN867,'2_IMPORTAR_EJECUCION'!$J$9:$J$1208,0)),""),'CAT_ESTADOS_ERP'!$A$4:$A$7,0)),"Pendiente"))</f>
        <v/>
      </c>
      <c r="O867" s="3">
        <f>IF($J867="","",YEAR($J867+4-WEEKDAY($J867,2))&amp;"-S"&amp;TEXT(_xlfn.ISOWEEKNUM($J867),"00"))</f>
        <v/>
      </c>
      <c r="P867" s="3">
        <f>IF($J867="","",YEAR($J867))</f>
        <v/>
      </c>
      <c r="Q867" s="3">
        <f>IF($J867="","",MONTH($J867))</f>
        <v/>
      </c>
      <c r="R867" s="3">
        <f>IF($J867="","",INDEX(lista_dias,WEEKDAY($J867,2)))</f>
        <v/>
      </c>
      <c r="S867" s="3">
        <f>IF($I867="","",IFERROR(INDEX('CAT_TIPOS_OT'!$C$4:$C$7,MATCH($I867,'CAT_TIPOS_OT'!$A$4:$A$7,0)),"sin_clasificar"))</f>
        <v/>
      </c>
      <c r="T867" s="3">
        <f>IF($F867="","",IFERROR(INDEX('CAT_CENTROS_COSTO'!$E$4:$E$9,MATCH($F867,'CAT_CENTROS_COSTO'!$A$4:$A$9,0)),"(sin catálogo)"))</f>
        <v/>
      </c>
      <c r="U867" s="3">
        <f>IF($F867="","",IFERROR(INDEX('CAT_CENTROS_COSTO'!$D$4:$D$9,MATCH($F867,'CAT_CENTROS_COSTO'!$A$4:$A$9,0)),"(sin catálogo)"))</f>
        <v/>
      </c>
      <c r="V867" s="3">
        <f>IF($F867="","",IFERROR(INDEX('CAT_CENTROS_COSTO'!$F$4:$F$9,MATCH($F867,'CAT_CENTROS_COSTO'!$A$4:$A$9,0)),"(sin catálogo)"))</f>
        <v/>
      </c>
      <c r="W867" s="3">
        <f>IF($G867="","",IFERROR(INDEX('CAT_PUESTOS'!$B$4:$B$8,MATCH($G867,'CAT_PUESTOS'!$A$4:$A$8,0)),"(sin catálogo)"))</f>
        <v/>
      </c>
      <c r="X867" s="3">
        <f>IF($H867="","",IFERROR(INDEX('CAT_ACTIVIDADES'!$B$4:$B$8,MATCH($H867,'CAT_ACTIVIDADES'!$A$4:$A$8,0)),"(sin catálogo)"))</f>
        <v/>
      </c>
      <c r="Y867" s="12">
        <f>IF($J867="","",TODAY()-$J867)</f>
        <v/>
      </c>
      <c r="Z867" s="3">
        <f>IF($Y867="","",IF($Y867&lt;0,"FUTURO",IF($Y867&gt;p_dias_backlog_max,"BACKLOG","MES CORRIENTE")))</f>
        <v/>
      </c>
      <c r="AA867" s="3">
        <f>IF($Y867="",FALSE,AND($Y867&gt;p_dias_backlog_min,$Y867&lt;=p_dias_backlog_max))</f>
        <v/>
      </c>
      <c r="AB867" s="6" t="n"/>
      <c r="AC867" s="3">
        <f>IF($AB867="","",IFERROR(INDEX('ASIGNACIONES'!$F$4:$F$339,MATCH($O867&amp;"|"&amp;$R867&amp;"|"&amp;$AB867,'ASIGNACIONES'!$I$4:$I$339,0)),""))</f>
        <v/>
      </c>
      <c r="AD867" s="13">
        <f>IF($AB867="","",SUMIFS('ORDENES'!$M$4:$M$1203,'ORDENES'!$AB$4:$AB$1203,$AB867,'ORDENES'!$O$4:$O$1203,$O867,'ORDENES'!$R$4:$R$1203,$R867))</f>
        <v/>
      </c>
      <c r="AE867" s="13">
        <f>IF($AD867="","",p_factor_productividad*IFERROR(INDEX('ASIGNACIONES'!$H$4:$H$339,MATCH($O867&amp;"|"&amp;$R867&amp;"|"&amp;$AB867,'ASIGNACIONES'!$I$4:$I$339,0)),0)-$AD867)</f>
        <v/>
      </c>
      <c r="AF867" s="10">
        <f>IF($A867="","",IFERROR(INDEX('2_IMPORTAR_EJECUCION'!$F$9:$F$1208,MATCH($AN867,'2_IMPORTAR_EJECUCION'!$J$9:$J$1208,0)),0))</f>
        <v/>
      </c>
      <c r="AG867" s="10">
        <f>IF($A867="","",MAX(0,IFERROR(INDEX('2_IMPORTAR_EJECUCION'!$H$9:$H$1208,MATCH($AN867,'2_IMPORTAR_EJECUCION'!$J$9:$J$1208,0)),0)-$AF867))</f>
        <v/>
      </c>
      <c r="AH867" s="10">
        <f>IF($A867="","",$AF867+$AG867)</f>
        <v/>
      </c>
      <c r="AI867" s="6" t="n"/>
      <c r="AJ867" s="6" t="n"/>
      <c r="AK867" s="6" t="n"/>
      <c r="AL867" s="3">
        <f>IF($AK867="","",HYPERLINK(p_ruta_base_checklists&amp;$AK867,"abrir"))</f>
        <v/>
      </c>
      <c r="AM867" s="6" t="n"/>
      <c r="AN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1" t="n"/>
      <c r="K868" s="3" t="n"/>
      <c r="L868" s="10" t="n"/>
      <c r="M868" s="3">
        <f>IF($A868="","",IFERROR(INDEX('AJUSTES'!$B$4:$B$303,MATCH($AN868,'AJUSTES'!$A$4:$A$303,0)),IF($K868="","",$K868)))</f>
        <v/>
      </c>
      <c r="N868" s="3">
        <f>IF($A868="","",IFERROR(INDEX('CAT_ESTADOS_ERP'!$B$4:$B$7,MATCH(IFERROR(INDEX('2_IMPORTAR_EJECUCION'!$C$9:$C$1208,MATCH($AN868,'2_IMPORTAR_EJECUCION'!$J$9:$J$1208,0)),""),'CAT_ESTADOS_ERP'!$A$4:$A$7,0)),"Pendiente"))</f>
        <v/>
      </c>
      <c r="O868" s="3">
        <f>IF($J868="","",YEAR($J868+4-WEEKDAY($J868,2))&amp;"-S"&amp;TEXT(_xlfn.ISOWEEKNUM($J868),"00"))</f>
        <v/>
      </c>
      <c r="P868" s="3">
        <f>IF($J868="","",YEAR($J868))</f>
        <v/>
      </c>
      <c r="Q868" s="3">
        <f>IF($J868="","",MONTH($J868))</f>
        <v/>
      </c>
      <c r="R868" s="3">
        <f>IF($J868="","",INDEX(lista_dias,WEEKDAY($J868,2)))</f>
        <v/>
      </c>
      <c r="S868" s="3">
        <f>IF($I868="","",IFERROR(INDEX('CAT_TIPOS_OT'!$C$4:$C$7,MATCH($I868,'CAT_TIPOS_OT'!$A$4:$A$7,0)),"sin_clasificar"))</f>
        <v/>
      </c>
      <c r="T868" s="3">
        <f>IF($F868="","",IFERROR(INDEX('CAT_CENTROS_COSTO'!$E$4:$E$9,MATCH($F868,'CAT_CENTROS_COSTO'!$A$4:$A$9,0)),"(sin catálogo)"))</f>
        <v/>
      </c>
      <c r="U868" s="3">
        <f>IF($F868="","",IFERROR(INDEX('CAT_CENTROS_COSTO'!$D$4:$D$9,MATCH($F868,'CAT_CENTROS_COSTO'!$A$4:$A$9,0)),"(sin catálogo)"))</f>
        <v/>
      </c>
      <c r="V868" s="3">
        <f>IF($F868="","",IFERROR(INDEX('CAT_CENTROS_COSTO'!$F$4:$F$9,MATCH($F868,'CAT_CENTROS_COSTO'!$A$4:$A$9,0)),"(sin catálogo)"))</f>
        <v/>
      </c>
      <c r="W868" s="3">
        <f>IF($G868="","",IFERROR(INDEX('CAT_PUESTOS'!$B$4:$B$8,MATCH($G868,'CAT_PUESTOS'!$A$4:$A$8,0)),"(sin catálogo)"))</f>
        <v/>
      </c>
      <c r="X868" s="3">
        <f>IF($H868="","",IFERROR(INDEX('CAT_ACTIVIDADES'!$B$4:$B$8,MATCH($H868,'CAT_ACTIVIDADES'!$A$4:$A$8,0)),"(sin catálogo)"))</f>
        <v/>
      </c>
      <c r="Y868" s="12">
        <f>IF($J868="","",TODAY()-$J868)</f>
        <v/>
      </c>
      <c r="Z868" s="3">
        <f>IF($Y868="","",IF($Y868&lt;0,"FUTURO",IF($Y868&gt;p_dias_backlog_max,"BACKLOG","MES CORRIENTE")))</f>
        <v/>
      </c>
      <c r="AA868" s="3">
        <f>IF($Y868="",FALSE,AND($Y868&gt;p_dias_backlog_min,$Y868&lt;=p_dias_backlog_max))</f>
        <v/>
      </c>
      <c r="AB868" s="6" t="n"/>
      <c r="AC868" s="3">
        <f>IF($AB868="","",IFERROR(INDEX('ASIGNACIONES'!$F$4:$F$339,MATCH($O868&amp;"|"&amp;$R868&amp;"|"&amp;$AB868,'ASIGNACIONES'!$I$4:$I$339,0)),""))</f>
        <v/>
      </c>
      <c r="AD868" s="13">
        <f>IF($AB868="","",SUMIFS('ORDENES'!$M$4:$M$1203,'ORDENES'!$AB$4:$AB$1203,$AB868,'ORDENES'!$O$4:$O$1203,$O868,'ORDENES'!$R$4:$R$1203,$R868))</f>
        <v/>
      </c>
      <c r="AE868" s="13">
        <f>IF($AD868="","",p_factor_productividad*IFERROR(INDEX('ASIGNACIONES'!$H$4:$H$339,MATCH($O868&amp;"|"&amp;$R868&amp;"|"&amp;$AB868,'ASIGNACIONES'!$I$4:$I$339,0)),0)-$AD868)</f>
        <v/>
      </c>
      <c r="AF868" s="10">
        <f>IF($A868="","",IFERROR(INDEX('2_IMPORTAR_EJECUCION'!$F$9:$F$1208,MATCH($AN868,'2_IMPORTAR_EJECUCION'!$J$9:$J$1208,0)),0))</f>
        <v/>
      </c>
      <c r="AG868" s="10">
        <f>IF($A868="","",MAX(0,IFERROR(INDEX('2_IMPORTAR_EJECUCION'!$H$9:$H$1208,MATCH($AN868,'2_IMPORTAR_EJECUCION'!$J$9:$J$1208,0)),0)-$AF868))</f>
        <v/>
      </c>
      <c r="AH868" s="10">
        <f>IF($A868="","",$AF868+$AG868)</f>
        <v/>
      </c>
      <c r="AI868" s="6" t="n"/>
      <c r="AJ868" s="6" t="n"/>
      <c r="AK868" s="6" t="n"/>
      <c r="AL868" s="3">
        <f>IF($AK868="","",HYPERLINK(p_ruta_base_checklists&amp;$AK868,"abrir"))</f>
        <v/>
      </c>
      <c r="AM868" s="6" t="n"/>
      <c r="AN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1" t="n"/>
      <c r="K869" s="3" t="n"/>
      <c r="L869" s="10" t="n"/>
      <c r="M869" s="3">
        <f>IF($A869="","",IFERROR(INDEX('AJUSTES'!$B$4:$B$303,MATCH($AN869,'AJUSTES'!$A$4:$A$303,0)),IF($K869="","",$K869)))</f>
        <v/>
      </c>
      <c r="N869" s="3">
        <f>IF($A869="","",IFERROR(INDEX('CAT_ESTADOS_ERP'!$B$4:$B$7,MATCH(IFERROR(INDEX('2_IMPORTAR_EJECUCION'!$C$9:$C$1208,MATCH($AN869,'2_IMPORTAR_EJECUCION'!$J$9:$J$1208,0)),""),'CAT_ESTADOS_ERP'!$A$4:$A$7,0)),"Pendiente"))</f>
        <v/>
      </c>
      <c r="O869" s="3">
        <f>IF($J869="","",YEAR($J869+4-WEEKDAY($J869,2))&amp;"-S"&amp;TEXT(_xlfn.ISOWEEKNUM($J869),"00"))</f>
        <v/>
      </c>
      <c r="P869" s="3">
        <f>IF($J869="","",YEAR($J869))</f>
        <v/>
      </c>
      <c r="Q869" s="3">
        <f>IF($J869="","",MONTH($J869))</f>
        <v/>
      </c>
      <c r="R869" s="3">
        <f>IF($J869="","",INDEX(lista_dias,WEEKDAY($J869,2)))</f>
        <v/>
      </c>
      <c r="S869" s="3">
        <f>IF($I869="","",IFERROR(INDEX('CAT_TIPOS_OT'!$C$4:$C$7,MATCH($I869,'CAT_TIPOS_OT'!$A$4:$A$7,0)),"sin_clasificar"))</f>
        <v/>
      </c>
      <c r="T869" s="3">
        <f>IF($F869="","",IFERROR(INDEX('CAT_CENTROS_COSTO'!$E$4:$E$9,MATCH($F869,'CAT_CENTROS_COSTO'!$A$4:$A$9,0)),"(sin catálogo)"))</f>
        <v/>
      </c>
      <c r="U869" s="3">
        <f>IF($F869="","",IFERROR(INDEX('CAT_CENTROS_COSTO'!$D$4:$D$9,MATCH($F869,'CAT_CENTROS_COSTO'!$A$4:$A$9,0)),"(sin catálogo)"))</f>
        <v/>
      </c>
      <c r="V869" s="3">
        <f>IF($F869="","",IFERROR(INDEX('CAT_CENTROS_COSTO'!$F$4:$F$9,MATCH($F869,'CAT_CENTROS_COSTO'!$A$4:$A$9,0)),"(sin catálogo)"))</f>
        <v/>
      </c>
      <c r="W869" s="3">
        <f>IF($G869="","",IFERROR(INDEX('CAT_PUESTOS'!$B$4:$B$8,MATCH($G869,'CAT_PUESTOS'!$A$4:$A$8,0)),"(sin catálogo)"))</f>
        <v/>
      </c>
      <c r="X869" s="3">
        <f>IF($H869="","",IFERROR(INDEX('CAT_ACTIVIDADES'!$B$4:$B$8,MATCH($H869,'CAT_ACTIVIDADES'!$A$4:$A$8,0)),"(sin catálogo)"))</f>
        <v/>
      </c>
      <c r="Y869" s="12">
        <f>IF($J869="","",TODAY()-$J869)</f>
        <v/>
      </c>
      <c r="Z869" s="3">
        <f>IF($Y869="","",IF($Y869&lt;0,"FUTURO",IF($Y869&gt;p_dias_backlog_max,"BACKLOG","MES CORRIENTE")))</f>
        <v/>
      </c>
      <c r="AA869" s="3">
        <f>IF($Y869="",FALSE,AND($Y869&gt;p_dias_backlog_min,$Y869&lt;=p_dias_backlog_max))</f>
        <v/>
      </c>
      <c r="AB869" s="6" t="n"/>
      <c r="AC869" s="3">
        <f>IF($AB869="","",IFERROR(INDEX('ASIGNACIONES'!$F$4:$F$339,MATCH($O869&amp;"|"&amp;$R869&amp;"|"&amp;$AB869,'ASIGNACIONES'!$I$4:$I$339,0)),""))</f>
        <v/>
      </c>
      <c r="AD869" s="13">
        <f>IF($AB869="","",SUMIFS('ORDENES'!$M$4:$M$1203,'ORDENES'!$AB$4:$AB$1203,$AB869,'ORDENES'!$O$4:$O$1203,$O869,'ORDENES'!$R$4:$R$1203,$R869))</f>
        <v/>
      </c>
      <c r="AE869" s="13">
        <f>IF($AD869="","",p_factor_productividad*IFERROR(INDEX('ASIGNACIONES'!$H$4:$H$339,MATCH($O869&amp;"|"&amp;$R869&amp;"|"&amp;$AB869,'ASIGNACIONES'!$I$4:$I$339,0)),0)-$AD869)</f>
        <v/>
      </c>
      <c r="AF869" s="10">
        <f>IF($A869="","",IFERROR(INDEX('2_IMPORTAR_EJECUCION'!$F$9:$F$1208,MATCH($AN869,'2_IMPORTAR_EJECUCION'!$J$9:$J$1208,0)),0))</f>
        <v/>
      </c>
      <c r="AG869" s="10">
        <f>IF($A869="","",MAX(0,IFERROR(INDEX('2_IMPORTAR_EJECUCION'!$H$9:$H$1208,MATCH($AN869,'2_IMPORTAR_EJECUCION'!$J$9:$J$1208,0)),0)-$AF869))</f>
        <v/>
      </c>
      <c r="AH869" s="10">
        <f>IF($A869="","",$AF869+$AG869)</f>
        <v/>
      </c>
      <c r="AI869" s="6" t="n"/>
      <c r="AJ869" s="6" t="n"/>
      <c r="AK869" s="6" t="n"/>
      <c r="AL869" s="3">
        <f>IF($AK869="","",HYPERLINK(p_ruta_base_checklists&amp;$AK869,"abrir"))</f>
        <v/>
      </c>
      <c r="AM869" s="6" t="n"/>
      <c r="AN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1" t="n"/>
      <c r="K870" s="3" t="n"/>
      <c r="L870" s="10" t="n"/>
      <c r="M870" s="3">
        <f>IF($A870="","",IFERROR(INDEX('AJUSTES'!$B$4:$B$303,MATCH($AN870,'AJUSTES'!$A$4:$A$303,0)),IF($K870="","",$K870)))</f>
        <v/>
      </c>
      <c r="N870" s="3">
        <f>IF($A870="","",IFERROR(INDEX('CAT_ESTADOS_ERP'!$B$4:$B$7,MATCH(IFERROR(INDEX('2_IMPORTAR_EJECUCION'!$C$9:$C$1208,MATCH($AN870,'2_IMPORTAR_EJECUCION'!$J$9:$J$1208,0)),""),'CAT_ESTADOS_ERP'!$A$4:$A$7,0)),"Pendiente"))</f>
        <v/>
      </c>
      <c r="O870" s="3">
        <f>IF($J870="","",YEAR($J870+4-WEEKDAY($J870,2))&amp;"-S"&amp;TEXT(_xlfn.ISOWEEKNUM($J870),"00"))</f>
        <v/>
      </c>
      <c r="P870" s="3">
        <f>IF($J870="","",YEAR($J870))</f>
        <v/>
      </c>
      <c r="Q870" s="3">
        <f>IF($J870="","",MONTH($J870))</f>
        <v/>
      </c>
      <c r="R870" s="3">
        <f>IF($J870="","",INDEX(lista_dias,WEEKDAY($J870,2)))</f>
        <v/>
      </c>
      <c r="S870" s="3">
        <f>IF($I870="","",IFERROR(INDEX('CAT_TIPOS_OT'!$C$4:$C$7,MATCH($I870,'CAT_TIPOS_OT'!$A$4:$A$7,0)),"sin_clasificar"))</f>
        <v/>
      </c>
      <c r="T870" s="3">
        <f>IF($F870="","",IFERROR(INDEX('CAT_CENTROS_COSTO'!$E$4:$E$9,MATCH($F870,'CAT_CENTROS_COSTO'!$A$4:$A$9,0)),"(sin catálogo)"))</f>
        <v/>
      </c>
      <c r="U870" s="3">
        <f>IF($F870="","",IFERROR(INDEX('CAT_CENTROS_COSTO'!$D$4:$D$9,MATCH($F870,'CAT_CENTROS_COSTO'!$A$4:$A$9,0)),"(sin catálogo)"))</f>
        <v/>
      </c>
      <c r="V870" s="3">
        <f>IF($F870="","",IFERROR(INDEX('CAT_CENTROS_COSTO'!$F$4:$F$9,MATCH($F870,'CAT_CENTROS_COSTO'!$A$4:$A$9,0)),"(sin catálogo)"))</f>
        <v/>
      </c>
      <c r="W870" s="3">
        <f>IF($G870="","",IFERROR(INDEX('CAT_PUESTOS'!$B$4:$B$8,MATCH($G870,'CAT_PUESTOS'!$A$4:$A$8,0)),"(sin catálogo)"))</f>
        <v/>
      </c>
      <c r="X870" s="3">
        <f>IF($H870="","",IFERROR(INDEX('CAT_ACTIVIDADES'!$B$4:$B$8,MATCH($H870,'CAT_ACTIVIDADES'!$A$4:$A$8,0)),"(sin catálogo)"))</f>
        <v/>
      </c>
      <c r="Y870" s="12">
        <f>IF($J870="","",TODAY()-$J870)</f>
        <v/>
      </c>
      <c r="Z870" s="3">
        <f>IF($Y870="","",IF($Y870&lt;0,"FUTURO",IF($Y870&gt;p_dias_backlog_max,"BACKLOG","MES CORRIENTE")))</f>
        <v/>
      </c>
      <c r="AA870" s="3">
        <f>IF($Y870="",FALSE,AND($Y870&gt;p_dias_backlog_min,$Y870&lt;=p_dias_backlog_max))</f>
        <v/>
      </c>
      <c r="AB870" s="6" t="n"/>
      <c r="AC870" s="3">
        <f>IF($AB870="","",IFERROR(INDEX('ASIGNACIONES'!$F$4:$F$339,MATCH($O870&amp;"|"&amp;$R870&amp;"|"&amp;$AB870,'ASIGNACIONES'!$I$4:$I$339,0)),""))</f>
        <v/>
      </c>
      <c r="AD870" s="13">
        <f>IF($AB870="","",SUMIFS('ORDENES'!$M$4:$M$1203,'ORDENES'!$AB$4:$AB$1203,$AB870,'ORDENES'!$O$4:$O$1203,$O870,'ORDENES'!$R$4:$R$1203,$R870))</f>
        <v/>
      </c>
      <c r="AE870" s="13">
        <f>IF($AD870="","",p_factor_productividad*IFERROR(INDEX('ASIGNACIONES'!$H$4:$H$339,MATCH($O870&amp;"|"&amp;$R870&amp;"|"&amp;$AB870,'ASIGNACIONES'!$I$4:$I$339,0)),0)-$AD870)</f>
        <v/>
      </c>
      <c r="AF870" s="10">
        <f>IF($A870="","",IFERROR(INDEX('2_IMPORTAR_EJECUCION'!$F$9:$F$1208,MATCH($AN870,'2_IMPORTAR_EJECUCION'!$J$9:$J$1208,0)),0))</f>
        <v/>
      </c>
      <c r="AG870" s="10">
        <f>IF($A870="","",MAX(0,IFERROR(INDEX('2_IMPORTAR_EJECUCION'!$H$9:$H$1208,MATCH($AN870,'2_IMPORTAR_EJECUCION'!$J$9:$J$1208,0)),0)-$AF870))</f>
        <v/>
      </c>
      <c r="AH870" s="10">
        <f>IF($A870="","",$AF870+$AG870)</f>
        <v/>
      </c>
      <c r="AI870" s="6" t="n"/>
      <c r="AJ870" s="6" t="n"/>
      <c r="AK870" s="6" t="n"/>
      <c r="AL870" s="3">
        <f>IF($AK870="","",HYPERLINK(p_ruta_base_checklists&amp;$AK870,"abrir"))</f>
        <v/>
      </c>
      <c r="AM870" s="6" t="n"/>
      <c r="AN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1" t="n"/>
      <c r="K871" s="3" t="n"/>
      <c r="L871" s="10" t="n"/>
      <c r="M871" s="3">
        <f>IF($A871="","",IFERROR(INDEX('AJUSTES'!$B$4:$B$303,MATCH($AN871,'AJUSTES'!$A$4:$A$303,0)),IF($K871="","",$K871)))</f>
        <v/>
      </c>
      <c r="N871" s="3">
        <f>IF($A871="","",IFERROR(INDEX('CAT_ESTADOS_ERP'!$B$4:$B$7,MATCH(IFERROR(INDEX('2_IMPORTAR_EJECUCION'!$C$9:$C$1208,MATCH($AN871,'2_IMPORTAR_EJECUCION'!$J$9:$J$1208,0)),""),'CAT_ESTADOS_ERP'!$A$4:$A$7,0)),"Pendiente"))</f>
        <v/>
      </c>
      <c r="O871" s="3">
        <f>IF($J871="","",YEAR($J871+4-WEEKDAY($J871,2))&amp;"-S"&amp;TEXT(_xlfn.ISOWEEKNUM($J871),"00"))</f>
        <v/>
      </c>
      <c r="P871" s="3">
        <f>IF($J871="","",YEAR($J871))</f>
        <v/>
      </c>
      <c r="Q871" s="3">
        <f>IF($J871="","",MONTH($J871))</f>
        <v/>
      </c>
      <c r="R871" s="3">
        <f>IF($J871="","",INDEX(lista_dias,WEEKDAY($J871,2)))</f>
        <v/>
      </c>
      <c r="S871" s="3">
        <f>IF($I871="","",IFERROR(INDEX('CAT_TIPOS_OT'!$C$4:$C$7,MATCH($I871,'CAT_TIPOS_OT'!$A$4:$A$7,0)),"sin_clasificar"))</f>
        <v/>
      </c>
      <c r="T871" s="3">
        <f>IF($F871="","",IFERROR(INDEX('CAT_CENTROS_COSTO'!$E$4:$E$9,MATCH($F871,'CAT_CENTROS_COSTO'!$A$4:$A$9,0)),"(sin catálogo)"))</f>
        <v/>
      </c>
      <c r="U871" s="3">
        <f>IF($F871="","",IFERROR(INDEX('CAT_CENTROS_COSTO'!$D$4:$D$9,MATCH($F871,'CAT_CENTROS_COSTO'!$A$4:$A$9,0)),"(sin catálogo)"))</f>
        <v/>
      </c>
      <c r="V871" s="3">
        <f>IF($F871="","",IFERROR(INDEX('CAT_CENTROS_COSTO'!$F$4:$F$9,MATCH($F871,'CAT_CENTROS_COSTO'!$A$4:$A$9,0)),"(sin catálogo)"))</f>
        <v/>
      </c>
      <c r="W871" s="3">
        <f>IF($G871="","",IFERROR(INDEX('CAT_PUESTOS'!$B$4:$B$8,MATCH($G871,'CAT_PUESTOS'!$A$4:$A$8,0)),"(sin catálogo)"))</f>
        <v/>
      </c>
      <c r="X871" s="3">
        <f>IF($H871="","",IFERROR(INDEX('CAT_ACTIVIDADES'!$B$4:$B$8,MATCH($H871,'CAT_ACTIVIDADES'!$A$4:$A$8,0)),"(sin catálogo)"))</f>
        <v/>
      </c>
      <c r="Y871" s="12">
        <f>IF($J871="","",TODAY()-$J871)</f>
        <v/>
      </c>
      <c r="Z871" s="3">
        <f>IF($Y871="","",IF($Y871&lt;0,"FUTURO",IF($Y871&gt;p_dias_backlog_max,"BACKLOG","MES CORRIENTE")))</f>
        <v/>
      </c>
      <c r="AA871" s="3">
        <f>IF($Y871="",FALSE,AND($Y871&gt;p_dias_backlog_min,$Y871&lt;=p_dias_backlog_max))</f>
        <v/>
      </c>
      <c r="AB871" s="6" t="n"/>
      <c r="AC871" s="3">
        <f>IF($AB871="","",IFERROR(INDEX('ASIGNACIONES'!$F$4:$F$339,MATCH($O871&amp;"|"&amp;$R871&amp;"|"&amp;$AB871,'ASIGNACIONES'!$I$4:$I$339,0)),""))</f>
        <v/>
      </c>
      <c r="AD871" s="13">
        <f>IF($AB871="","",SUMIFS('ORDENES'!$M$4:$M$1203,'ORDENES'!$AB$4:$AB$1203,$AB871,'ORDENES'!$O$4:$O$1203,$O871,'ORDENES'!$R$4:$R$1203,$R871))</f>
        <v/>
      </c>
      <c r="AE871" s="13">
        <f>IF($AD871="","",p_factor_productividad*IFERROR(INDEX('ASIGNACIONES'!$H$4:$H$339,MATCH($O871&amp;"|"&amp;$R871&amp;"|"&amp;$AB871,'ASIGNACIONES'!$I$4:$I$339,0)),0)-$AD871)</f>
        <v/>
      </c>
      <c r="AF871" s="10">
        <f>IF($A871="","",IFERROR(INDEX('2_IMPORTAR_EJECUCION'!$F$9:$F$1208,MATCH($AN871,'2_IMPORTAR_EJECUCION'!$J$9:$J$1208,0)),0))</f>
        <v/>
      </c>
      <c r="AG871" s="10">
        <f>IF($A871="","",MAX(0,IFERROR(INDEX('2_IMPORTAR_EJECUCION'!$H$9:$H$1208,MATCH($AN871,'2_IMPORTAR_EJECUCION'!$J$9:$J$1208,0)),0)-$AF871))</f>
        <v/>
      </c>
      <c r="AH871" s="10">
        <f>IF($A871="","",$AF871+$AG871)</f>
        <v/>
      </c>
      <c r="AI871" s="6" t="n"/>
      <c r="AJ871" s="6" t="n"/>
      <c r="AK871" s="6" t="n"/>
      <c r="AL871" s="3">
        <f>IF($AK871="","",HYPERLINK(p_ruta_base_checklists&amp;$AK871,"abrir"))</f>
        <v/>
      </c>
      <c r="AM871" s="6" t="n"/>
      <c r="AN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1" t="n"/>
      <c r="K872" s="3" t="n"/>
      <c r="L872" s="10" t="n"/>
      <c r="M872" s="3">
        <f>IF($A872="","",IFERROR(INDEX('AJUSTES'!$B$4:$B$303,MATCH($AN872,'AJUSTES'!$A$4:$A$303,0)),IF($K872="","",$K872)))</f>
        <v/>
      </c>
      <c r="N872" s="3">
        <f>IF($A872="","",IFERROR(INDEX('CAT_ESTADOS_ERP'!$B$4:$B$7,MATCH(IFERROR(INDEX('2_IMPORTAR_EJECUCION'!$C$9:$C$1208,MATCH($AN872,'2_IMPORTAR_EJECUCION'!$J$9:$J$1208,0)),""),'CAT_ESTADOS_ERP'!$A$4:$A$7,0)),"Pendiente"))</f>
        <v/>
      </c>
      <c r="O872" s="3">
        <f>IF($J872="","",YEAR($J872+4-WEEKDAY($J872,2))&amp;"-S"&amp;TEXT(_xlfn.ISOWEEKNUM($J872),"00"))</f>
        <v/>
      </c>
      <c r="P872" s="3">
        <f>IF($J872="","",YEAR($J872))</f>
        <v/>
      </c>
      <c r="Q872" s="3">
        <f>IF($J872="","",MONTH($J872))</f>
        <v/>
      </c>
      <c r="R872" s="3">
        <f>IF($J872="","",INDEX(lista_dias,WEEKDAY($J872,2)))</f>
        <v/>
      </c>
      <c r="S872" s="3">
        <f>IF($I872="","",IFERROR(INDEX('CAT_TIPOS_OT'!$C$4:$C$7,MATCH($I872,'CAT_TIPOS_OT'!$A$4:$A$7,0)),"sin_clasificar"))</f>
        <v/>
      </c>
      <c r="T872" s="3">
        <f>IF($F872="","",IFERROR(INDEX('CAT_CENTROS_COSTO'!$E$4:$E$9,MATCH($F872,'CAT_CENTROS_COSTO'!$A$4:$A$9,0)),"(sin catálogo)"))</f>
        <v/>
      </c>
      <c r="U872" s="3">
        <f>IF($F872="","",IFERROR(INDEX('CAT_CENTROS_COSTO'!$D$4:$D$9,MATCH($F872,'CAT_CENTROS_COSTO'!$A$4:$A$9,0)),"(sin catálogo)"))</f>
        <v/>
      </c>
      <c r="V872" s="3">
        <f>IF($F872="","",IFERROR(INDEX('CAT_CENTROS_COSTO'!$F$4:$F$9,MATCH($F872,'CAT_CENTROS_COSTO'!$A$4:$A$9,0)),"(sin catálogo)"))</f>
        <v/>
      </c>
      <c r="W872" s="3">
        <f>IF($G872="","",IFERROR(INDEX('CAT_PUESTOS'!$B$4:$B$8,MATCH($G872,'CAT_PUESTOS'!$A$4:$A$8,0)),"(sin catálogo)"))</f>
        <v/>
      </c>
      <c r="X872" s="3">
        <f>IF($H872="","",IFERROR(INDEX('CAT_ACTIVIDADES'!$B$4:$B$8,MATCH($H872,'CAT_ACTIVIDADES'!$A$4:$A$8,0)),"(sin catálogo)"))</f>
        <v/>
      </c>
      <c r="Y872" s="12">
        <f>IF($J872="","",TODAY()-$J872)</f>
        <v/>
      </c>
      <c r="Z872" s="3">
        <f>IF($Y872="","",IF($Y872&lt;0,"FUTURO",IF($Y872&gt;p_dias_backlog_max,"BACKLOG","MES CORRIENTE")))</f>
        <v/>
      </c>
      <c r="AA872" s="3">
        <f>IF($Y872="",FALSE,AND($Y872&gt;p_dias_backlog_min,$Y872&lt;=p_dias_backlog_max))</f>
        <v/>
      </c>
      <c r="AB872" s="6" t="n"/>
      <c r="AC872" s="3">
        <f>IF($AB872="","",IFERROR(INDEX('ASIGNACIONES'!$F$4:$F$339,MATCH($O872&amp;"|"&amp;$R872&amp;"|"&amp;$AB872,'ASIGNACIONES'!$I$4:$I$339,0)),""))</f>
        <v/>
      </c>
      <c r="AD872" s="13">
        <f>IF($AB872="","",SUMIFS('ORDENES'!$M$4:$M$1203,'ORDENES'!$AB$4:$AB$1203,$AB872,'ORDENES'!$O$4:$O$1203,$O872,'ORDENES'!$R$4:$R$1203,$R872))</f>
        <v/>
      </c>
      <c r="AE872" s="13">
        <f>IF($AD872="","",p_factor_productividad*IFERROR(INDEX('ASIGNACIONES'!$H$4:$H$339,MATCH($O872&amp;"|"&amp;$R872&amp;"|"&amp;$AB872,'ASIGNACIONES'!$I$4:$I$339,0)),0)-$AD872)</f>
        <v/>
      </c>
      <c r="AF872" s="10">
        <f>IF($A872="","",IFERROR(INDEX('2_IMPORTAR_EJECUCION'!$F$9:$F$1208,MATCH($AN872,'2_IMPORTAR_EJECUCION'!$J$9:$J$1208,0)),0))</f>
        <v/>
      </c>
      <c r="AG872" s="10">
        <f>IF($A872="","",MAX(0,IFERROR(INDEX('2_IMPORTAR_EJECUCION'!$H$9:$H$1208,MATCH($AN872,'2_IMPORTAR_EJECUCION'!$J$9:$J$1208,0)),0)-$AF872))</f>
        <v/>
      </c>
      <c r="AH872" s="10">
        <f>IF($A872="","",$AF872+$AG872)</f>
        <v/>
      </c>
      <c r="AI872" s="6" t="n"/>
      <c r="AJ872" s="6" t="n"/>
      <c r="AK872" s="6" t="n"/>
      <c r="AL872" s="3">
        <f>IF($AK872="","",HYPERLINK(p_ruta_base_checklists&amp;$AK872,"abrir"))</f>
        <v/>
      </c>
      <c r="AM872" s="6" t="n"/>
      <c r="AN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1" t="n"/>
      <c r="K873" s="3" t="n"/>
      <c r="L873" s="10" t="n"/>
      <c r="M873" s="3">
        <f>IF($A873="","",IFERROR(INDEX('AJUSTES'!$B$4:$B$303,MATCH($AN873,'AJUSTES'!$A$4:$A$303,0)),IF($K873="","",$K873)))</f>
        <v/>
      </c>
      <c r="N873" s="3">
        <f>IF($A873="","",IFERROR(INDEX('CAT_ESTADOS_ERP'!$B$4:$B$7,MATCH(IFERROR(INDEX('2_IMPORTAR_EJECUCION'!$C$9:$C$1208,MATCH($AN873,'2_IMPORTAR_EJECUCION'!$J$9:$J$1208,0)),""),'CAT_ESTADOS_ERP'!$A$4:$A$7,0)),"Pendiente"))</f>
        <v/>
      </c>
      <c r="O873" s="3">
        <f>IF($J873="","",YEAR($J873+4-WEEKDAY($J873,2))&amp;"-S"&amp;TEXT(_xlfn.ISOWEEKNUM($J873),"00"))</f>
        <v/>
      </c>
      <c r="P873" s="3">
        <f>IF($J873="","",YEAR($J873))</f>
        <v/>
      </c>
      <c r="Q873" s="3">
        <f>IF($J873="","",MONTH($J873))</f>
        <v/>
      </c>
      <c r="R873" s="3">
        <f>IF($J873="","",INDEX(lista_dias,WEEKDAY($J873,2)))</f>
        <v/>
      </c>
      <c r="S873" s="3">
        <f>IF($I873="","",IFERROR(INDEX('CAT_TIPOS_OT'!$C$4:$C$7,MATCH($I873,'CAT_TIPOS_OT'!$A$4:$A$7,0)),"sin_clasificar"))</f>
        <v/>
      </c>
      <c r="T873" s="3">
        <f>IF($F873="","",IFERROR(INDEX('CAT_CENTROS_COSTO'!$E$4:$E$9,MATCH($F873,'CAT_CENTROS_COSTO'!$A$4:$A$9,0)),"(sin catálogo)"))</f>
        <v/>
      </c>
      <c r="U873" s="3">
        <f>IF($F873="","",IFERROR(INDEX('CAT_CENTROS_COSTO'!$D$4:$D$9,MATCH($F873,'CAT_CENTROS_COSTO'!$A$4:$A$9,0)),"(sin catálogo)"))</f>
        <v/>
      </c>
      <c r="V873" s="3">
        <f>IF($F873="","",IFERROR(INDEX('CAT_CENTROS_COSTO'!$F$4:$F$9,MATCH($F873,'CAT_CENTROS_COSTO'!$A$4:$A$9,0)),"(sin catálogo)"))</f>
        <v/>
      </c>
      <c r="W873" s="3">
        <f>IF($G873="","",IFERROR(INDEX('CAT_PUESTOS'!$B$4:$B$8,MATCH($G873,'CAT_PUESTOS'!$A$4:$A$8,0)),"(sin catálogo)"))</f>
        <v/>
      </c>
      <c r="X873" s="3">
        <f>IF($H873="","",IFERROR(INDEX('CAT_ACTIVIDADES'!$B$4:$B$8,MATCH($H873,'CAT_ACTIVIDADES'!$A$4:$A$8,0)),"(sin catálogo)"))</f>
        <v/>
      </c>
      <c r="Y873" s="12">
        <f>IF($J873="","",TODAY()-$J873)</f>
        <v/>
      </c>
      <c r="Z873" s="3">
        <f>IF($Y873="","",IF($Y873&lt;0,"FUTURO",IF($Y873&gt;p_dias_backlog_max,"BACKLOG","MES CORRIENTE")))</f>
        <v/>
      </c>
      <c r="AA873" s="3">
        <f>IF($Y873="",FALSE,AND($Y873&gt;p_dias_backlog_min,$Y873&lt;=p_dias_backlog_max))</f>
        <v/>
      </c>
      <c r="AB873" s="6" t="n"/>
      <c r="AC873" s="3">
        <f>IF($AB873="","",IFERROR(INDEX('ASIGNACIONES'!$F$4:$F$339,MATCH($O873&amp;"|"&amp;$R873&amp;"|"&amp;$AB873,'ASIGNACIONES'!$I$4:$I$339,0)),""))</f>
        <v/>
      </c>
      <c r="AD873" s="13">
        <f>IF($AB873="","",SUMIFS('ORDENES'!$M$4:$M$1203,'ORDENES'!$AB$4:$AB$1203,$AB873,'ORDENES'!$O$4:$O$1203,$O873,'ORDENES'!$R$4:$R$1203,$R873))</f>
        <v/>
      </c>
      <c r="AE873" s="13">
        <f>IF($AD873="","",p_factor_productividad*IFERROR(INDEX('ASIGNACIONES'!$H$4:$H$339,MATCH($O873&amp;"|"&amp;$R873&amp;"|"&amp;$AB873,'ASIGNACIONES'!$I$4:$I$339,0)),0)-$AD873)</f>
        <v/>
      </c>
      <c r="AF873" s="10">
        <f>IF($A873="","",IFERROR(INDEX('2_IMPORTAR_EJECUCION'!$F$9:$F$1208,MATCH($AN873,'2_IMPORTAR_EJECUCION'!$J$9:$J$1208,0)),0))</f>
        <v/>
      </c>
      <c r="AG873" s="10">
        <f>IF($A873="","",MAX(0,IFERROR(INDEX('2_IMPORTAR_EJECUCION'!$H$9:$H$1208,MATCH($AN873,'2_IMPORTAR_EJECUCION'!$J$9:$J$1208,0)),0)-$AF873))</f>
        <v/>
      </c>
      <c r="AH873" s="10">
        <f>IF($A873="","",$AF873+$AG873)</f>
        <v/>
      </c>
      <c r="AI873" s="6" t="n"/>
      <c r="AJ873" s="6" t="n"/>
      <c r="AK873" s="6" t="n"/>
      <c r="AL873" s="3">
        <f>IF($AK873="","",HYPERLINK(p_ruta_base_checklists&amp;$AK873,"abrir"))</f>
        <v/>
      </c>
      <c r="AM873" s="6" t="n"/>
      <c r="AN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1" t="n"/>
      <c r="K874" s="3" t="n"/>
      <c r="L874" s="10" t="n"/>
      <c r="M874" s="3">
        <f>IF($A874="","",IFERROR(INDEX('AJUSTES'!$B$4:$B$303,MATCH($AN874,'AJUSTES'!$A$4:$A$303,0)),IF($K874="","",$K874)))</f>
        <v/>
      </c>
      <c r="N874" s="3">
        <f>IF($A874="","",IFERROR(INDEX('CAT_ESTADOS_ERP'!$B$4:$B$7,MATCH(IFERROR(INDEX('2_IMPORTAR_EJECUCION'!$C$9:$C$1208,MATCH($AN874,'2_IMPORTAR_EJECUCION'!$J$9:$J$1208,0)),""),'CAT_ESTADOS_ERP'!$A$4:$A$7,0)),"Pendiente"))</f>
        <v/>
      </c>
      <c r="O874" s="3">
        <f>IF($J874="","",YEAR($J874+4-WEEKDAY($J874,2))&amp;"-S"&amp;TEXT(_xlfn.ISOWEEKNUM($J874),"00"))</f>
        <v/>
      </c>
      <c r="P874" s="3">
        <f>IF($J874="","",YEAR($J874))</f>
        <v/>
      </c>
      <c r="Q874" s="3">
        <f>IF($J874="","",MONTH($J874))</f>
        <v/>
      </c>
      <c r="R874" s="3">
        <f>IF($J874="","",INDEX(lista_dias,WEEKDAY($J874,2)))</f>
        <v/>
      </c>
      <c r="S874" s="3">
        <f>IF($I874="","",IFERROR(INDEX('CAT_TIPOS_OT'!$C$4:$C$7,MATCH($I874,'CAT_TIPOS_OT'!$A$4:$A$7,0)),"sin_clasificar"))</f>
        <v/>
      </c>
      <c r="T874" s="3">
        <f>IF($F874="","",IFERROR(INDEX('CAT_CENTROS_COSTO'!$E$4:$E$9,MATCH($F874,'CAT_CENTROS_COSTO'!$A$4:$A$9,0)),"(sin catálogo)"))</f>
        <v/>
      </c>
      <c r="U874" s="3">
        <f>IF($F874="","",IFERROR(INDEX('CAT_CENTROS_COSTO'!$D$4:$D$9,MATCH($F874,'CAT_CENTROS_COSTO'!$A$4:$A$9,0)),"(sin catálogo)"))</f>
        <v/>
      </c>
      <c r="V874" s="3">
        <f>IF($F874="","",IFERROR(INDEX('CAT_CENTROS_COSTO'!$F$4:$F$9,MATCH($F874,'CAT_CENTROS_COSTO'!$A$4:$A$9,0)),"(sin catálogo)"))</f>
        <v/>
      </c>
      <c r="W874" s="3">
        <f>IF($G874="","",IFERROR(INDEX('CAT_PUESTOS'!$B$4:$B$8,MATCH($G874,'CAT_PUESTOS'!$A$4:$A$8,0)),"(sin catálogo)"))</f>
        <v/>
      </c>
      <c r="X874" s="3">
        <f>IF($H874="","",IFERROR(INDEX('CAT_ACTIVIDADES'!$B$4:$B$8,MATCH($H874,'CAT_ACTIVIDADES'!$A$4:$A$8,0)),"(sin catálogo)"))</f>
        <v/>
      </c>
      <c r="Y874" s="12">
        <f>IF($J874="","",TODAY()-$J874)</f>
        <v/>
      </c>
      <c r="Z874" s="3">
        <f>IF($Y874="","",IF($Y874&lt;0,"FUTURO",IF($Y874&gt;p_dias_backlog_max,"BACKLOG","MES CORRIENTE")))</f>
        <v/>
      </c>
      <c r="AA874" s="3">
        <f>IF($Y874="",FALSE,AND($Y874&gt;p_dias_backlog_min,$Y874&lt;=p_dias_backlog_max))</f>
        <v/>
      </c>
      <c r="AB874" s="6" t="n"/>
      <c r="AC874" s="3">
        <f>IF($AB874="","",IFERROR(INDEX('ASIGNACIONES'!$F$4:$F$339,MATCH($O874&amp;"|"&amp;$R874&amp;"|"&amp;$AB874,'ASIGNACIONES'!$I$4:$I$339,0)),""))</f>
        <v/>
      </c>
      <c r="AD874" s="13">
        <f>IF($AB874="","",SUMIFS('ORDENES'!$M$4:$M$1203,'ORDENES'!$AB$4:$AB$1203,$AB874,'ORDENES'!$O$4:$O$1203,$O874,'ORDENES'!$R$4:$R$1203,$R874))</f>
        <v/>
      </c>
      <c r="AE874" s="13">
        <f>IF($AD874="","",p_factor_productividad*IFERROR(INDEX('ASIGNACIONES'!$H$4:$H$339,MATCH($O874&amp;"|"&amp;$R874&amp;"|"&amp;$AB874,'ASIGNACIONES'!$I$4:$I$339,0)),0)-$AD874)</f>
        <v/>
      </c>
      <c r="AF874" s="10">
        <f>IF($A874="","",IFERROR(INDEX('2_IMPORTAR_EJECUCION'!$F$9:$F$1208,MATCH($AN874,'2_IMPORTAR_EJECUCION'!$J$9:$J$1208,0)),0))</f>
        <v/>
      </c>
      <c r="AG874" s="10">
        <f>IF($A874="","",MAX(0,IFERROR(INDEX('2_IMPORTAR_EJECUCION'!$H$9:$H$1208,MATCH($AN874,'2_IMPORTAR_EJECUCION'!$J$9:$J$1208,0)),0)-$AF874))</f>
        <v/>
      </c>
      <c r="AH874" s="10">
        <f>IF($A874="","",$AF874+$AG874)</f>
        <v/>
      </c>
      <c r="AI874" s="6" t="n"/>
      <c r="AJ874" s="6" t="n"/>
      <c r="AK874" s="6" t="n"/>
      <c r="AL874" s="3">
        <f>IF($AK874="","",HYPERLINK(p_ruta_base_checklists&amp;$AK874,"abrir"))</f>
        <v/>
      </c>
      <c r="AM874" s="6" t="n"/>
      <c r="AN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1" t="n"/>
      <c r="K875" s="3" t="n"/>
      <c r="L875" s="10" t="n"/>
      <c r="M875" s="3">
        <f>IF($A875="","",IFERROR(INDEX('AJUSTES'!$B$4:$B$303,MATCH($AN875,'AJUSTES'!$A$4:$A$303,0)),IF($K875="","",$K875)))</f>
        <v/>
      </c>
      <c r="N875" s="3">
        <f>IF($A875="","",IFERROR(INDEX('CAT_ESTADOS_ERP'!$B$4:$B$7,MATCH(IFERROR(INDEX('2_IMPORTAR_EJECUCION'!$C$9:$C$1208,MATCH($AN875,'2_IMPORTAR_EJECUCION'!$J$9:$J$1208,0)),""),'CAT_ESTADOS_ERP'!$A$4:$A$7,0)),"Pendiente"))</f>
        <v/>
      </c>
      <c r="O875" s="3">
        <f>IF($J875="","",YEAR($J875+4-WEEKDAY($J875,2))&amp;"-S"&amp;TEXT(_xlfn.ISOWEEKNUM($J875),"00"))</f>
        <v/>
      </c>
      <c r="P875" s="3">
        <f>IF($J875="","",YEAR($J875))</f>
        <v/>
      </c>
      <c r="Q875" s="3">
        <f>IF($J875="","",MONTH($J875))</f>
        <v/>
      </c>
      <c r="R875" s="3">
        <f>IF($J875="","",INDEX(lista_dias,WEEKDAY($J875,2)))</f>
        <v/>
      </c>
      <c r="S875" s="3">
        <f>IF($I875="","",IFERROR(INDEX('CAT_TIPOS_OT'!$C$4:$C$7,MATCH($I875,'CAT_TIPOS_OT'!$A$4:$A$7,0)),"sin_clasificar"))</f>
        <v/>
      </c>
      <c r="T875" s="3">
        <f>IF($F875="","",IFERROR(INDEX('CAT_CENTROS_COSTO'!$E$4:$E$9,MATCH($F875,'CAT_CENTROS_COSTO'!$A$4:$A$9,0)),"(sin catálogo)"))</f>
        <v/>
      </c>
      <c r="U875" s="3">
        <f>IF($F875="","",IFERROR(INDEX('CAT_CENTROS_COSTO'!$D$4:$D$9,MATCH($F875,'CAT_CENTROS_COSTO'!$A$4:$A$9,0)),"(sin catálogo)"))</f>
        <v/>
      </c>
      <c r="V875" s="3">
        <f>IF($F875="","",IFERROR(INDEX('CAT_CENTROS_COSTO'!$F$4:$F$9,MATCH($F875,'CAT_CENTROS_COSTO'!$A$4:$A$9,0)),"(sin catálogo)"))</f>
        <v/>
      </c>
      <c r="W875" s="3">
        <f>IF($G875="","",IFERROR(INDEX('CAT_PUESTOS'!$B$4:$B$8,MATCH($G875,'CAT_PUESTOS'!$A$4:$A$8,0)),"(sin catálogo)"))</f>
        <v/>
      </c>
      <c r="X875" s="3">
        <f>IF($H875="","",IFERROR(INDEX('CAT_ACTIVIDADES'!$B$4:$B$8,MATCH($H875,'CAT_ACTIVIDADES'!$A$4:$A$8,0)),"(sin catálogo)"))</f>
        <v/>
      </c>
      <c r="Y875" s="12">
        <f>IF($J875="","",TODAY()-$J875)</f>
        <v/>
      </c>
      <c r="Z875" s="3">
        <f>IF($Y875="","",IF($Y875&lt;0,"FUTURO",IF($Y875&gt;p_dias_backlog_max,"BACKLOG","MES CORRIENTE")))</f>
        <v/>
      </c>
      <c r="AA875" s="3">
        <f>IF($Y875="",FALSE,AND($Y875&gt;p_dias_backlog_min,$Y875&lt;=p_dias_backlog_max))</f>
        <v/>
      </c>
      <c r="AB875" s="6" t="n"/>
      <c r="AC875" s="3">
        <f>IF($AB875="","",IFERROR(INDEX('ASIGNACIONES'!$F$4:$F$339,MATCH($O875&amp;"|"&amp;$R875&amp;"|"&amp;$AB875,'ASIGNACIONES'!$I$4:$I$339,0)),""))</f>
        <v/>
      </c>
      <c r="AD875" s="13">
        <f>IF($AB875="","",SUMIFS('ORDENES'!$M$4:$M$1203,'ORDENES'!$AB$4:$AB$1203,$AB875,'ORDENES'!$O$4:$O$1203,$O875,'ORDENES'!$R$4:$R$1203,$R875))</f>
        <v/>
      </c>
      <c r="AE875" s="13">
        <f>IF($AD875="","",p_factor_productividad*IFERROR(INDEX('ASIGNACIONES'!$H$4:$H$339,MATCH($O875&amp;"|"&amp;$R875&amp;"|"&amp;$AB875,'ASIGNACIONES'!$I$4:$I$339,0)),0)-$AD875)</f>
        <v/>
      </c>
      <c r="AF875" s="10">
        <f>IF($A875="","",IFERROR(INDEX('2_IMPORTAR_EJECUCION'!$F$9:$F$1208,MATCH($AN875,'2_IMPORTAR_EJECUCION'!$J$9:$J$1208,0)),0))</f>
        <v/>
      </c>
      <c r="AG875" s="10">
        <f>IF($A875="","",MAX(0,IFERROR(INDEX('2_IMPORTAR_EJECUCION'!$H$9:$H$1208,MATCH($AN875,'2_IMPORTAR_EJECUCION'!$J$9:$J$1208,0)),0)-$AF875))</f>
        <v/>
      </c>
      <c r="AH875" s="10">
        <f>IF($A875="","",$AF875+$AG875)</f>
        <v/>
      </c>
      <c r="AI875" s="6" t="n"/>
      <c r="AJ875" s="6" t="n"/>
      <c r="AK875" s="6" t="n"/>
      <c r="AL875" s="3">
        <f>IF($AK875="","",HYPERLINK(p_ruta_base_checklists&amp;$AK875,"abrir"))</f>
        <v/>
      </c>
      <c r="AM875" s="6" t="n"/>
      <c r="AN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1" t="n"/>
      <c r="K876" s="3" t="n"/>
      <c r="L876" s="10" t="n"/>
      <c r="M876" s="3">
        <f>IF($A876="","",IFERROR(INDEX('AJUSTES'!$B$4:$B$303,MATCH($AN876,'AJUSTES'!$A$4:$A$303,0)),IF($K876="","",$K876)))</f>
        <v/>
      </c>
      <c r="N876" s="3">
        <f>IF($A876="","",IFERROR(INDEX('CAT_ESTADOS_ERP'!$B$4:$B$7,MATCH(IFERROR(INDEX('2_IMPORTAR_EJECUCION'!$C$9:$C$1208,MATCH($AN876,'2_IMPORTAR_EJECUCION'!$J$9:$J$1208,0)),""),'CAT_ESTADOS_ERP'!$A$4:$A$7,0)),"Pendiente"))</f>
        <v/>
      </c>
      <c r="O876" s="3">
        <f>IF($J876="","",YEAR($J876+4-WEEKDAY($J876,2))&amp;"-S"&amp;TEXT(_xlfn.ISOWEEKNUM($J876),"00"))</f>
        <v/>
      </c>
      <c r="P876" s="3">
        <f>IF($J876="","",YEAR($J876))</f>
        <v/>
      </c>
      <c r="Q876" s="3">
        <f>IF($J876="","",MONTH($J876))</f>
        <v/>
      </c>
      <c r="R876" s="3">
        <f>IF($J876="","",INDEX(lista_dias,WEEKDAY($J876,2)))</f>
        <v/>
      </c>
      <c r="S876" s="3">
        <f>IF($I876="","",IFERROR(INDEX('CAT_TIPOS_OT'!$C$4:$C$7,MATCH($I876,'CAT_TIPOS_OT'!$A$4:$A$7,0)),"sin_clasificar"))</f>
        <v/>
      </c>
      <c r="T876" s="3">
        <f>IF($F876="","",IFERROR(INDEX('CAT_CENTROS_COSTO'!$E$4:$E$9,MATCH($F876,'CAT_CENTROS_COSTO'!$A$4:$A$9,0)),"(sin catálogo)"))</f>
        <v/>
      </c>
      <c r="U876" s="3">
        <f>IF($F876="","",IFERROR(INDEX('CAT_CENTROS_COSTO'!$D$4:$D$9,MATCH($F876,'CAT_CENTROS_COSTO'!$A$4:$A$9,0)),"(sin catálogo)"))</f>
        <v/>
      </c>
      <c r="V876" s="3">
        <f>IF($F876="","",IFERROR(INDEX('CAT_CENTROS_COSTO'!$F$4:$F$9,MATCH($F876,'CAT_CENTROS_COSTO'!$A$4:$A$9,0)),"(sin catálogo)"))</f>
        <v/>
      </c>
      <c r="W876" s="3">
        <f>IF($G876="","",IFERROR(INDEX('CAT_PUESTOS'!$B$4:$B$8,MATCH($G876,'CAT_PUESTOS'!$A$4:$A$8,0)),"(sin catálogo)"))</f>
        <v/>
      </c>
      <c r="X876" s="3">
        <f>IF($H876="","",IFERROR(INDEX('CAT_ACTIVIDADES'!$B$4:$B$8,MATCH($H876,'CAT_ACTIVIDADES'!$A$4:$A$8,0)),"(sin catálogo)"))</f>
        <v/>
      </c>
      <c r="Y876" s="12">
        <f>IF($J876="","",TODAY()-$J876)</f>
        <v/>
      </c>
      <c r="Z876" s="3">
        <f>IF($Y876="","",IF($Y876&lt;0,"FUTURO",IF($Y876&gt;p_dias_backlog_max,"BACKLOG","MES CORRIENTE")))</f>
        <v/>
      </c>
      <c r="AA876" s="3">
        <f>IF($Y876="",FALSE,AND($Y876&gt;p_dias_backlog_min,$Y876&lt;=p_dias_backlog_max))</f>
        <v/>
      </c>
      <c r="AB876" s="6" t="n"/>
      <c r="AC876" s="3">
        <f>IF($AB876="","",IFERROR(INDEX('ASIGNACIONES'!$F$4:$F$339,MATCH($O876&amp;"|"&amp;$R876&amp;"|"&amp;$AB876,'ASIGNACIONES'!$I$4:$I$339,0)),""))</f>
        <v/>
      </c>
      <c r="AD876" s="13">
        <f>IF($AB876="","",SUMIFS('ORDENES'!$M$4:$M$1203,'ORDENES'!$AB$4:$AB$1203,$AB876,'ORDENES'!$O$4:$O$1203,$O876,'ORDENES'!$R$4:$R$1203,$R876))</f>
        <v/>
      </c>
      <c r="AE876" s="13">
        <f>IF($AD876="","",p_factor_productividad*IFERROR(INDEX('ASIGNACIONES'!$H$4:$H$339,MATCH($O876&amp;"|"&amp;$R876&amp;"|"&amp;$AB876,'ASIGNACIONES'!$I$4:$I$339,0)),0)-$AD876)</f>
        <v/>
      </c>
      <c r="AF876" s="10">
        <f>IF($A876="","",IFERROR(INDEX('2_IMPORTAR_EJECUCION'!$F$9:$F$1208,MATCH($AN876,'2_IMPORTAR_EJECUCION'!$J$9:$J$1208,0)),0))</f>
        <v/>
      </c>
      <c r="AG876" s="10">
        <f>IF($A876="","",MAX(0,IFERROR(INDEX('2_IMPORTAR_EJECUCION'!$H$9:$H$1208,MATCH($AN876,'2_IMPORTAR_EJECUCION'!$J$9:$J$1208,0)),0)-$AF876))</f>
        <v/>
      </c>
      <c r="AH876" s="10">
        <f>IF($A876="","",$AF876+$AG876)</f>
        <v/>
      </c>
      <c r="AI876" s="6" t="n"/>
      <c r="AJ876" s="6" t="n"/>
      <c r="AK876" s="6" t="n"/>
      <c r="AL876" s="3">
        <f>IF($AK876="","",HYPERLINK(p_ruta_base_checklists&amp;$AK876,"abrir"))</f>
        <v/>
      </c>
      <c r="AM876" s="6" t="n"/>
      <c r="AN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1" t="n"/>
      <c r="K877" s="3" t="n"/>
      <c r="L877" s="10" t="n"/>
      <c r="M877" s="3">
        <f>IF($A877="","",IFERROR(INDEX('AJUSTES'!$B$4:$B$303,MATCH($AN877,'AJUSTES'!$A$4:$A$303,0)),IF($K877="","",$K877)))</f>
        <v/>
      </c>
      <c r="N877" s="3">
        <f>IF($A877="","",IFERROR(INDEX('CAT_ESTADOS_ERP'!$B$4:$B$7,MATCH(IFERROR(INDEX('2_IMPORTAR_EJECUCION'!$C$9:$C$1208,MATCH($AN877,'2_IMPORTAR_EJECUCION'!$J$9:$J$1208,0)),""),'CAT_ESTADOS_ERP'!$A$4:$A$7,0)),"Pendiente"))</f>
        <v/>
      </c>
      <c r="O877" s="3">
        <f>IF($J877="","",YEAR($J877+4-WEEKDAY($J877,2))&amp;"-S"&amp;TEXT(_xlfn.ISOWEEKNUM($J877),"00"))</f>
        <v/>
      </c>
      <c r="P877" s="3">
        <f>IF($J877="","",YEAR($J877))</f>
        <v/>
      </c>
      <c r="Q877" s="3">
        <f>IF($J877="","",MONTH($J877))</f>
        <v/>
      </c>
      <c r="R877" s="3">
        <f>IF($J877="","",INDEX(lista_dias,WEEKDAY($J877,2)))</f>
        <v/>
      </c>
      <c r="S877" s="3">
        <f>IF($I877="","",IFERROR(INDEX('CAT_TIPOS_OT'!$C$4:$C$7,MATCH($I877,'CAT_TIPOS_OT'!$A$4:$A$7,0)),"sin_clasificar"))</f>
        <v/>
      </c>
      <c r="T877" s="3">
        <f>IF($F877="","",IFERROR(INDEX('CAT_CENTROS_COSTO'!$E$4:$E$9,MATCH($F877,'CAT_CENTROS_COSTO'!$A$4:$A$9,0)),"(sin catálogo)"))</f>
        <v/>
      </c>
      <c r="U877" s="3">
        <f>IF($F877="","",IFERROR(INDEX('CAT_CENTROS_COSTO'!$D$4:$D$9,MATCH($F877,'CAT_CENTROS_COSTO'!$A$4:$A$9,0)),"(sin catálogo)"))</f>
        <v/>
      </c>
      <c r="V877" s="3">
        <f>IF($F877="","",IFERROR(INDEX('CAT_CENTROS_COSTO'!$F$4:$F$9,MATCH($F877,'CAT_CENTROS_COSTO'!$A$4:$A$9,0)),"(sin catálogo)"))</f>
        <v/>
      </c>
      <c r="W877" s="3">
        <f>IF($G877="","",IFERROR(INDEX('CAT_PUESTOS'!$B$4:$B$8,MATCH($G877,'CAT_PUESTOS'!$A$4:$A$8,0)),"(sin catálogo)"))</f>
        <v/>
      </c>
      <c r="X877" s="3">
        <f>IF($H877="","",IFERROR(INDEX('CAT_ACTIVIDADES'!$B$4:$B$8,MATCH($H877,'CAT_ACTIVIDADES'!$A$4:$A$8,0)),"(sin catálogo)"))</f>
        <v/>
      </c>
      <c r="Y877" s="12">
        <f>IF($J877="","",TODAY()-$J877)</f>
        <v/>
      </c>
      <c r="Z877" s="3">
        <f>IF($Y877="","",IF($Y877&lt;0,"FUTURO",IF($Y877&gt;p_dias_backlog_max,"BACKLOG","MES CORRIENTE")))</f>
        <v/>
      </c>
      <c r="AA877" s="3">
        <f>IF($Y877="",FALSE,AND($Y877&gt;p_dias_backlog_min,$Y877&lt;=p_dias_backlog_max))</f>
        <v/>
      </c>
      <c r="AB877" s="6" t="n"/>
      <c r="AC877" s="3">
        <f>IF($AB877="","",IFERROR(INDEX('ASIGNACIONES'!$F$4:$F$339,MATCH($O877&amp;"|"&amp;$R877&amp;"|"&amp;$AB877,'ASIGNACIONES'!$I$4:$I$339,0)),""))</f>
        <v/>
      </c>
      <c r="AD877" s="13">
        <f>IF($AB877="","",SUMIFS('ORDENES'!$M$4:$M$1203,'ORDENES'!$AB$4:$AB$1203,$AB877,'ORDENES'!$O$4:$O$1203,$O877,'ORDENES'!$R$4:$R$1203,$R877))</f>
        <v/>
      </c>
      <c r="AE877" s="13">
        <f>IF($AD877="","",p_factor_productividad*IFERROR(INDEX('ASIGNACIONES'!$H$4:$H$339,MATCH($O877&amp;"|"&amp;$R877&amp;"|"&amp;$AB877,'ASIGNACIONES'!$I$4:$I$339,0)),0)-$AD877)</f>
        <v/>
      </c>
      <c r="AF877" s="10">
        <f>IF($A877="","",IFERROR(INDEX('2_IMPORTAR_EJECUCION'!$F$9:$F$1208,MATCH($AN877,'2_IMPORTAR_EJECUCION'!$J$9:$J$1208,0)),0))</f>
        <v/>
      </c>
      <c r="AG877" s="10">
        <f>IF($A877="","",MAX(0,IFERROR(INDEX('2_IMPORTAR_EJECUCION'!$H$9:$H$1208,MATCH($AN877,'2_IMPORTAR_EJECUCION'!$J$9:$J$1208,0)),0)-$AF877))</f>
        <v/>
      </c>
      <c r="AH877" s="10">
        <f>IF($A877="","",$AF877+$AG877)</f>
        <v/>
      </c>
      <c r="AI877" s="6" t="n"/>
      <c r="AJ877" s="6" t="n"/>
      <c r="AK877" s="6" t="n"/>
      <c r="AL877" s="3">
        <f>IF($AK877="","",HYPERLINK(p_ruta_base_checklists&amp;$AK877,"abrir"))</f>
        <v/>
      </c>
      <c r="AM877" s="6" t="n"/>
      <c r="AN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1" t="n"/>
      <c r="K878" s="3" t="n"/>
      <c r="L878" s="10" t="n"/>
      <c r="M878" s="3">
        <f>IF($A878="","",IFERROR(INDEX('AJUSTES'!$B$4:$B$303,MATCH($AN878,'AJUSTES'!$A$4:$A$303,0)),IF($K878="","",$K878)))</f>
        <v/>
      </c>
      <c r="N878" s="3">
        <f>IF($A878="","",IFERROR(INDEX('CAT_ESTADOS_ERP'!$B$4:$B$7,MATCH(IFERROR(INDEX('2_IMPORTAR_EJECUCION'!$C$9:$C$1208,MATCH($AN878,'2_IMPORTAR_EJECUCION'!$J$9:$J$1208,0)),""),'CAT_ESTADOS_ERP'!$A$4:$A$7,0)),"Pendiente"))</f>
        <v/>
      </c>
      <c r="O878" s="3">
        <f>IF($J878="","",YEAR($J878+4-WEEKDAY($J878,2))&amp;"-S"&amp;TEXT(_xlfn.ISOWEEKNUM($J878),"00"))</f>
        <v/>
      </c>
      <c r="P878" s="3">
        <f>IF($J878="","",YEAR($J878))</f>
        <v/>
      </c>
      <c r="Q878" s="3">
        <f>IF($J878="","",MONTH($J878))</f>
        <v/>
      </c>
      <c r="R878" s="3">
        <f>IF($J878="","",INDEX(lista_dias,WEEKDAY($J878,2)))</f>
        <v/>
      </c>
      <c r="S878" s="3">
        <f>IF($I878="","",IFERROR(INDEX('CAT_TIPOS_OT'!$C$4:$C$7,MATCH($I878,'CAT_TIPOS_OT'!$A$4:$A$7,0)),"sin_clasificar"))</f>
        <v/>
      </c>
      <c r="T878" s="3">
        <f>IF($F878="","",IFERROR(INDEX('CAT_CENTROS_COSTO'!$E$4:$E$9,MATCH($F878,'CAT_CENTROS_COSTO'!$A$4:$A$9,0)),"(sin catálogo)"))</f>
        <v/>
      </c>
      <c r="U878" s="3">
        <f>IF($F878="","",IFERROR(INDEX('CAT_CENTROS_COSTO'!$D$4:$D$9,MATCH($F878,'CAT_CENTROS_COSTO'!$A$4:$A$9,0)),"(sin catálogo)"))</f>
        <v/>
      </c>
      <c r="V878" s="3">
        <f>IF($F878="","",IFERROR(INDEX('CAT_CENTROS_COSTO'!$F$4:$F$9,MATCH($F878,'CAT_CENTROS_COSTO'!$A$4:$A$9,0)),"(sin catálogo)"))</f>
        <v/>
      </c>
      <c r="W878" s="3">
        <f>IF($G878="","",IFERROR(INDEX('CAT_PUESTOS'!$B$4:$B$8,MATCH($G878,'CAT_PUESTOS'!$A$4:$A$8,0)),"(sin catálogo)"))</f>
        <v/>
      </c>
      <c r="X878" s="3">
        <f>IF($H878="","",IFERROR(INDEX('CAT_ACTIVIDADES'!$B$4:$B$8,MATCH($H878,'CAT_ACTIVIDADES'!$A$4:$A$8,0)),"(sin catálogo)"))</f>
        <v/>
      </c>
      <c r="Y878" s="12">
        <f>IF($J878="","",TODAY()-$J878)</f>
        <v/>
      </c>
      <c r="Z878" s="3">
        <f>IF($Y878="","",IF($Y878&lt;0,"FUTURO",IF($Y878&gt;p_dias_backlog_max,"BACKLOG","MES CORRIENTE")))</f>
        <v/>
      </c>
      <c r="AA878" s="3">
        <f>IF($Y878="",FALSE,AND($Y878&gt;p_dias_backlog_min,$Y878&lt;=p_dias_backlog_max))</f>
        <v/>
      </c>
      <c r="AB878" s="6" t="n"/>
      <c r="AC878" s="3">
        <f>IF($AB878="","",IFERROR(INDEX('ASIGNACIONES'!$F$4:$F$339,MATCH($O878&amp;"|"&amp;$R878&amp;"|"&amp;$AB878,'ASIGNACIONES'!$I$4:$I$339,0)),""))</f>
        <v/>
      </c>
      <c r="AD878" s="13">
        <f>IF($AB878="","",SUMIFS('ORDENES'!$M$4:$M$1203,'ORDENES'!$AB$4:$AB$1203,$AB878,'ORDENES'!$O$4:$O$1203,$O878,'ORDENES'!$R$4:$R$1203,$R878))</f>
        <v/>
      </c>
      <c r="AE878" s="13">
        <f>IF($AD878="","",p_factor_productividad*IFERROR(INDEX('ASIGNACIONES'!$H$4:$H$339,MATCH($O878&amp;"|"&amp;$R878&amp;"|"&amp;$AB878,'ASIGNACIONES'!$I$4:$I$339,0)),0)-$AD878)</f>
        <v/>
      </c>
      <c r="AF878" s="10">
        <f>IF($A878="","",IFERROR(INDEX('2_IMPORTAR_EJECUCION'!$F$9:$F$1208,MATCH($AN878,'2_IMPORTAR_EJECUCION'!$J$9:$J$1208,0)),0))</f>
        <v/>
      </c>
      <c r="AG878" s="10">
        <f>IF($A878="","",MAX(0,IFERROR(INDEX('2_IMPORTAR_EJECUCION'!$H$9:$H$1208,MATCH($AN878,'2_IMPORTAR_EJECUCION'!$J$9:$J$1208,0)),0)-$AF878))</f>
        <v/>
      </c>
      <c r="AH878" s="10">
        <f>IF($A878="","",$AF878+$AG878)</f>
        <v/>
      </c>
      <c r="AI878" s="6" t="n"/>
      <c r="AJ878" s="6" t="n"/>
      <c r="AK878" s="6" t="n"/>
      <c r="AL878" s="3">
        <f>IF($AK878="","",HYPERLINK(p_ruta_base_checklists&amp;$AK878,"abrir"))</f>
        <v/>
      </c>
      <c r="AM878" s="6" t="n"/>
      <c r="AN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1" t="n"/>
      <c r="K879" s="3" t="n"/>
      <c r="L879" s="10" t="n"/>
      <c r="M879" s="3">
        <f>IF($A879="","",IFERROR(INDEX('AJUSTES'!$B$4:$B$303,MATCH($AN879,'AJUSTES'!$A$4:$A$303,0)),IF($K879="","",$K879)))</f>
        <v/>
      </c>
      <c r="N879" s="3">
        <f>IF($A879="","",IFERROR(INDEX('CAT_ESTADOS_ERP'!$B$4:$B$7,MATCH(IFERROR(INDEX('2_IMPORTAR_EJECUCION'!$C$9:$C$1208,MATCH($AN879,'2_IMPORTAR_EJECUCION'!$J$9:$J$1208,0)),""),'CAT_ESTADOS_ERP'!$A$4:$A$7,0)),"Pendiente"))</f>
        <v/>
      </c>
      <c r="O879" s="3">
        <f>IF($J879="","",YEAR($J879+4-WEEKDAY($J879,2))&amp;"-S"&amp;TEXT(_xlfn.ISOWEEKNUM($J879),"00"))</f>
        <v/>
      </c>
      <c r="P879" s="3">
        <f>IF($J879="","",YEAR($J879))</f>
        <v/>
      </c>
      <c r="Q879" s="3">
        <f>IF($J879="","",MONTH($J879))</f>
        <v/>
      </c>
      <c r="R879" s="3">
        <f>IF($J879="","",INDEX(lista_dias,WEEKDAY($J879,2)))</f>
        <v/>
      </c>
      <c r="S879" s="3">
        <f>IF($I879="","",IFERROR(INDEX('CAT_TIPOS_OT'!$C$4:$C$7,MATCH($I879,'CAT_TIPOS_OT'!$A$4:$A$7,0)),"sin_clasificar"))</f>
        <v/>
      </c>
      <c r="T879" s="3">
        <f>IF($F879="","",IFERROR(INDEX('CAT_CENTROS_COSTO'!$E$4:$E$9,MATCH($F879,'CAT_CENTROS_COSTO'!$A$4:$A$9,0)),"(sin catálogo)"))</f>
        <v/>
      </c>
      <c r="U879" s="3">
        <f>IF($F879="","",IFERROR(INDEX('CAT_CENTROS_COSTO'!$D$4:$D$9,MATCH($F879,'CAT_CENTROS_COSTO'!$A$4:$A$9,0)),"(sin catálogo)"))</f>
        <v/>
      </c>
      <c r="V879" s="3">
        <f>IF($F879="","",IFERROR(INDEX('CAT_CENTROS_COSTO'!$F$4:$F$9,MATCH($F879,'CAT_CENTROS_COSTO'!$A$4:$A$9,0)),"(sin catálogo)"))</f>
        <v/>
      </c>
      <c r="W879" s="3">
        <f>IF($G879="","",IFERROR(INDEX('CAT_PUESTOS'!$B$4:$B$8,MATCH($G879,'CAT_PUESTOS'!$A$4:$A$8,0)),"(sin catálogo)"))</f>
        <v/>
      </c>
      <c r="X879" s="3">
        <f>IF($H879="","",IFERROR(INDEX('CAT_ACTIVIDADES'!$B$4:$B$8,MATCH($H879,'CAT_ACTIVIDADES'!$A$4:$A$8,0)),"(sin catálogo)"))</f>
        <v/>
      </c>
      <c r="Y879" s="12">
        <f>IF($J879="","",TODAY()-$J879)</f>
        <v/>
      </c>
      <c r="Z879" s="3">
        <f>IF($Y879="","",IF($Y879&lt;0,"FUTURO",IF($Y879&gt;p_dias_backlog_max,"BACKLOG","MES CORRIENTE")))</f>
        <v/>
      </c>
      <c r="AA879" s="3">
        <f>IF($Y879="",FALSE,AND($Y879&gt;p_dias_backlog_min,$Y879&lt;=p_dias_backlog_max))</f>
        <v/>
      </c>
      <c r="AB879" s="6" t="n"/>
      <c r="AC879" s="3">
        <f>IF($AB879="","",IFERROR(INDEX('ASIGNACIONES'!$F$4:$F$339,MATCH($O879&amp;"|"&amp;$R879&amp;"|"&amp;$AB879,'ASIGNACIONES'!$I$4:$I$339,0)),""))</f>
        <v/>
      </c>
      <c r="AD879" s="13">
        <f>IF($AB879="","",SUMIFS('ORDENES'!$M$4:$M$1203,'ORDENES'!$AB$4:$AB$1203,$AB879,'ORDENES'!$O$4:$O$1203,$O879,'ORDENES'!$R$4:$R$1203,$R879))</f>
        <v/>
      </c>
      <c r="AE879" s="13">
        <f>IF($AD879="","",p_factor_productividad*IFERROR(INDEX('ASIGNACIONES'!$H$4:$H$339,MATCH($O879&amp;"|"&amp;$R879&amp;"|"&amp;$AB879,'ASIGNACIONES'!$I$4:$I$339,0)),0)-$AD879)</f>
        <v/>
      </c>
      <c r="AF879" s="10">
        <f>IF($A879="","",IFERROR(INDEX('2_IMPORTAR_EJECUCION'!$F$9:$F$1208,MATCH($AN879,'2_IMPORTAR_EJECUCION'!$J$9:$J$1208,0)),0))</f>
        <v/>
      </c>
      <c r="AG879" s="10">
        <f>IF($A879="","",MAX(0,IFERROR(INDEX('2_IMPORTAR_EJECUCION'!$H$9:$H$1208,MATCH($AN879,'2_IMPORTAR_EJECUCION'!$J$9:$J$1208,0)),0)-$AF879))</f>
        <v/>
      </c>
      <c r="AH879" s="10">
        <f>IF($A879="","",$AF879+$AG879)</f>
        <v/>
      </c>
      <c r="AI879" s="6" t="n"/>
      <c r="AJ879" s="6" t="n"/>
      <c r="AK879" s="6" t="n"/>
      <c r="AL879" s="3">
        <f>IF($AK879="","",HYPERLINK(p_ruta_base_checklists&amp;$AK879,"abrir"))</f>
        <v/>
      </c>
      <c r="AM879" s="6" t="n"/>
      <c r="AN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1" t="n"/>
      <c r="K880" s="3" t="n"/>
      <c r="L880" s="10" t="n"/>
      <c r="M880" s="3">
        <f>IF($A880="","",IFERROR(INDEX('AJUSTES'!$B$4:$B$303,MATCH($AN880,'AJUSTES'!$A$4:$A$303,0)),IF($K880="","",$K880)))</f>
        <v/>
      </c>
      <c r="N880" s="3">
        <f>IF($A880="","",IFERROR(INDEX('CAT_ESTADOS_ERP'!$B$4:$B$7,MATCH(IFERROR(INDEX('2_IMPORTAR_EJECUCION'!$C$9:$C$1208,MATCH($AN880,'2_IMPORTAR_EJECUCION'!$J$9:$J$1208,0)),""),'CAT_ESTADOS_ERP'!$A$4:$A$7,0)),"Pendiente"))</f>
        <v/>
      </c>
      <c r="O880" s="3">
        <f>IF($J880="","",YEAR($J880+4-WEEKDAY($J880,2))&amp;"-S"&amp;TEXT(_xlfn.ISOWEEKNUM($J880),"00"))</f>
        <v/>
      </c>
      <c r="P880" s="3">
        <f>IF($J880="","",YEAR($J880))</f>
        <v/>
      </c>
      <c r="Q880" s="3">
        <f>IF($J880="","",MONTH($J880))</f>
        <v/>
      </c>
      <c r="R880" s="3">
        <f>IF($J880="","",INDEX(lista_dias,WEEKDAY($J880,2)))</f>
        <v/>
      </c>
      <c r="S880" s="3">
        <f>IF($I880="","",IFERROR(INDEX('CAT_TIPOS_OT'!$C$4:$C$7,MATCH($I880,'CAT_TIPOS_OT'!$A$4:$A$7,0)),"sin_clasificar"))</f>
        <v/>
      </c>
      <c r="T880" s="3">
        <f>IF($F880="","",IFERROR(INDEX('CAT_CENTROS_COSTO'!$E$4:$E$9,MATCH($F880,'CAT_CENTROS_COSTO'!$A$4:$A$9,0)),"(sin catálogo)"))</f>
        <v/>
      </c>
      <c r="U880" s="3">
        <f>IF($F880="","",IFERROR(INDEX('CAT_CENTROS_COSTO'!$D$4:$D$9,MATCH($F880,'CAT_CENTROS_COSTO'!$A$4:$A$9,0)),"(sin catálogo)"))</f>
        <v/>
      </c>
      <c r="V880" s="3">
        <f>IF($F880="","",IFERROR(INDEX('CAT_CENTROS_COSTO'!$F$4:$F$9,MATCH($F880,'CAT_CENTROS_COSTO'!$A$4:$A$9,0)),"(sin catálogo)"))</f>
        <v/>
      </c>
      <c r="W880" s="3">
        <f>IF($G880="","",IFERROR(INDEX('CAT_PUESTOS'!$B$4:$B$8,MATCH($G880,'CAT_PUESTOS'!$A$4:$A$8,0)),"(sin catálogo)"))</f>
        <v/>
      </c>
      <c r="X880" s="3">
        <f>IF($H880="","",IFERROR(INDEX('CAT_ACTIVIDADES'!$B$4:$B$8,MATCH($H880,'CAT_ACTIVIDADES'!$A$4:$A$8,0)),"(sin catálogo)"))</f>
        <v/>
      </c>
      <c r="Y880" s="12">
        <f>IF($J880="","",TODAY()-$J880)</f>
        <v/>
      </c>
      <c r="Z880" s="3">
        <f>IF($Y880="","",IF($Y880&lt;0,"FUTURO",IF($Y880&gt;p_dias_backlog_max,"BACKLOG","MES CORRIENTE")))</f>
        <v/>
      </c>
      <c r="AA880" s="3">
        <f>IF($Y880="",FALSE,AND($Y880&gt;p_dias_backlog_min,$Y880&lt;=p_dias_backlog_max))</f>
        <v/>
      </c>
      <c r="AB880" s="6" t="n"/>
      <c r="AC880" s="3">
        <f>IF($AB880="","",IFERROR(INDEX('ASIGNACIONES'!$F$4:$F$339,MATCH($O880&amp;"|"&amp;$R880&amp;"|"&amp;$AB880,'ASIGNACIONES'!$I$4:$I$339,0)),""))</f>
        <v/>
      </c>
      <c r="AD880" s="13">
        <f>IF($AB880="","",SUMIFS('ORDENES'!$M$4:$M$1203,'ORDENES'!$AB$4:$AB$1203,$AB880,'ORDENES'!$O$4:$O$1203,$O880,'ORDENES'!$R$4:$R$1203,$R880))</f>
        <v/>
      </c>
      <c r="AE880" s="13">
        <f>IF($AD880="","",p_factor_productividad*IFERROR(INDEX('ASIGNACIONES'!$H$4:$H$339,MATCH($O880&amp;"|"&amp;$R880&amp;"|"&amp;$AB880,'ASIGNACIONES'!$I$4:$I$339,0)),0)-$AD880)</f>
        <v/>
      </c>
      <c r="AF880" s="10">
        <f>IF($A880="","",IFERROR(INDEX('2_IMPORTAR_EJECUCION'!$F$9:$F$1208,MATCH($AN880,'2_IMPORTAR_EJECUCION'!$J$9:$J$1208,0)),0))</f>
        <v/>
      </c>
      <c r="AG880" s="10">
        <f>IF($A880="","",MAX(0,IFERROR(INDEX('2_IMPORTAR_EJECUCION'!$H$9:$H$1208,MATCH($AN880,'2_IMPORTAR_EJECUCION'!$J$9:$J$1208,0)),0)-$AF880))</f>
        <v/>
      </c>
      <c r="AH880" s="10">
        <f>IF($A880="","",$AF880+$AG880)</f>
        <v/>
      </c>
      <c r="AI880" s="6" t="n"/>
      <c r="AJ880" s="6" t="n"/>
      <c r="AK880" s="6" t="n"/>
      <c r="AL880" s="3">
        <f>IF($AK880="","",HYPERLINK(p_ruta_base_checklists&amp;$AK880,"abrir"))</f>
        <v/>
      </c>
      <c r="AM880" s="6" t="n"/>
      <c r="AN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1" t="n"/>
      <c r="K881" s="3" t="n"/>
      <c r="L881" s="10" t="n"/>
      <c r="M881" s="3">
        <f>IF($A881="","",IFERROR(INDEX('AJUSTES'!$B$4:$B$303,MATCH($AN881,'AJUSTES'!$A$4:$A$303,0)),IF($K881="","",$K881)))</f>
        <v/>
      </c>
      <c r="N881" s="3">
        <f>IF($A881="","",IFERROR(INDEX('CAT_ESTADOS_ERP'!$B$4:$B$7,MATCH(IFERROR(INDEX('2_IMPORTAR_EJECUCION'!$C$9:$C$1208,MATCH($AN881,'2_IMPORTAR_EJECUCION'!$J$9:$J$1208,0)),""),'CAT_ESTADOS_ERP'!$A$4:$A$7,0)),"Pendiente"))</f>
        <v/>
      </c>
      <c r="O881" s="3">
        <f>IF($J881="","",YEAR($J881+4-WEEKDAY($J881,2))&amp;"-S"&amp;TEXT(_xlfn.ISOWEEKNUM($J881),"00"))</f>
        <v/>
      </c>
      <c r="P881" s="3">
        <f>IF($J881="","",YEAR($J881))</f>
        <v/>
      </c>
      <c r="Q881" s="3">
        <f>IF($J881="","",MONTH($J881))</f>
        <v/>
      </c>
      <c r="R881" s="3">
        <f>IF($J881="","",INDEX(lista_dias,WEEKDAY($J881,2)))</f>
        <v/>
      </c>
      <c r="S881" s="3">
        <f>IF($I881="","",IFERROR(INDEX('CAT_TIPOS_OT'!$C$4:$C$7,MATCH($I881,'CAT_TIPOS_OT'!$A$4:$A$7,0)),"sin_clasificar"))</f>
        <v/>
      </c>
      <c r="T881" s="3">
        <f>IF($F881="","",IFERROR(INDEX('CAT_CENTROS_COSTO'!$E$4:$E$9,MATCH($F881,'CAT_CENTROS_COSTO'!$A$4:$A$9,0)),"(sin catálogo)"))</f>
        <v/>
      </c>
      <c r="U881" s="3">
        <f>IF($F881="","",IFERROR(INDEX('CAT_CENTROS_COSTO'!$D$4:$D$9,MATCH($F881,'CAT_CENTROS_COSTO'!$A$4:$A$9,0)),"(sin catálogo)"))</f>
        <v/>
      </c>
      <c r="V881" s="3">
        <f>IF($F881="","",IFERROR(INDEX('CAT_CENTROS_COSTO'!$F$4:$F$9,MATCH($F881,'CAT_CENTROS_COSTO'!$A$4:$A$9,0)),"(sin catálogo)"))</f>
        <v/>
      </c>
      <c r="W881" s="3">
        <f>IF($G881="","",IFERROR(INDEX('CAT_PUESTOS'!$B$4:$B$8,MATCH($G881,'CAT_PUESTOS'!$A$4:$A$8,0)),"(sin catálogo)"))</f>
        <v/>
      </c>
      <c r="X881" s="3">
        <f>IF($H881="","",IFERROR(INDEX('CAT_ACTIVIDADES'!$B$4:$B$8,MATCH($H881,'CAT_ACTIVIDADES'!$A$4:$A$8,0)),"(sin catálogo)"))</f>
        <v/>
      </c>
      <c r="Y881" s="12">
        <f>IF($J881="","",TODAY()-$J881)</f>
        <v/>
      </c>
      <c r="Z881" s="3">
        <f>IF($Y881="","",IF($Y881&lt;0,"FUTURO",IF($Y881&gt;p_dias_backlog_max,"BACKLOG","MES CORRIENTE")))</f>
        <v/>
      </c>
      <c r="AA881" s="3">
        <f>IF($Y881="",FALSE,AND($Y881&gt;p_dias_backlog_min,$Y881&lt;=p_dias_backlog_max))</f>
        <v/>
      </c>
      <c r="AB881" s="6" t="n"/>
      <c r="AC881" s="3">
        <f>IF($AB881="","",IFERROR(INDEX('ASIGNACIONES'!$F$4:$F$339,MATCH($O881&amp;"|"&amp;$R881&amp;"|"&amp;$AB881,'ASIGNACIONES'!$I$4:$I$339,0)),""))</f>
        <v/>
      </c>
      <c r="AD881" s="13">
        <f>IF($AB881="","",SUMIFS('ORDENES'!$M$4:$M$1203,'ORDENES'!$AB$4:$AB$1203,$AB881,'ORDENES'!$O$4:$O$1203,$O881,'ORDENES'!$R$4:$R$1203,$R881))</f>
        <v/>
      </c>
      <c r="AE881" s="13">
        <f>IF($AD881="","",p_factor_productividad*IFERROR(INDEX('ASIGNACIONES'!$H$4:$H$339,MATCH($O881&amp;"|"&amp;$R881&amp;"|"&amp;$AB881,'ASIGNACIONES'!$I$4:$I$339,0)),0)-$AD881)</f>
        <v/>
      </c>
      <c r="AF881" s="10">
        <f>IF($A881="","",IFERROR(INDEX('2_IMPORTAR_EJECUCION'!$F$9:$F$1208,MATCH($AN881,'2_IMPORTAR_EJECUCION'!$J$9:$J$1208,0)),0))</f>
        <v/>
      </c>
      <c r="AG881" s="10">
        <f>IF($A881="","",MAX(0,IFERROR(INDEX('2_IMPORTAR_EJECUCION'!$H$9:$H$1208,MATCH($AN881,'2_IMPORTAR_EJECUCION'!$J$9:$J$1208,0)),0)-$AF881))</f>
        <v/>
      </c>
      <c r="AH881" s="10">
        <f>IF($A881="","",$AF881+$AG881)</f>
        <v/>
      </c>
      <c r="AI881" s="6" t="n"/>
      <c r="AJ881" s="6" t="n"/>
      <c r="AK881" s="6" t="n"/>
      <c r="AL881" s="3">
        <f>IF($AK881="","",HYPERLINK(p_ruta_base_checklists&amp;$AK881,"abrir"))</f>
        <v/>
      </c>
      <c r="AM881" s="6" t="n"/>
      <c r="AN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1" t="n"/>
      <c r="K882" s="3" t="n"/>
      <c r="L882" s="10" t="n"/>
      <c r="M882" s="3">
        <f>IF($A882="","",IFERROR(INDEX('AJUSTES'!$B$4:$B$303,MATCH($AN882,'AJUSTES'!$A$4:$A$303,0)),IF($K882="","",$K882)))</f>
        <v/>
      </c>
      <c r="N882" s="3">
        <f>IF($A882="","",IFERROR(INDEX('CAT_ESTADOS_ERP'!$B$4:$B$7,MATCH(IFERROR(INDEX('2_IMPORTAR_EJECUCION'!$C$9:$C$1208,MATCH($AN882,'2_IMPORTAR_EJECUCION'!$J$9:$J$1208,0)),""),'CAT_ESTADOS_ERP'!$A$4:$A$7,0)),"Pendiente"))</f>
        <v/>
      </c>
      <c r="O882" s="3">
        <f>IF($J882="","",YEAR($J882+4-WEEKDAY($J882,2))&amp;"-S"&amp;TEXT(_xlfn.ISOWEEKNUM($J882),"00"))</f>
        <v/>
      </c>
      <c r="P882" s="3">
        <f>IF($J882="","",YEAR($J882))</f>
        <v/>
      </c>
      <c r="Q882" s="3">
        <f>IF($J882="","",MONTH($J882))</f>
        <v/>
      </c>
      <c r="R882" s="3">
        <f>IF($J882="","",INDEX(lista_dias,WEEKDAY($J882,2)))</f>
        <v/>
      </c>
      <c r="S882" s="3">
        <f>IF($I882="","",IFERROR(INDEX('CAT_TIPOS_OT'!$C$4:$C$7,MATCH($I882,'CAT_TIPOS_OT'!$A$4:$A$7,0)),"sin_clasificar"))</f>
        <v/>
      </c>
      <c r="T882" s="3">
        <f>IF($F882="","",IFERROR(INDEX('CAT_CENTROS_COSTO'!$E$4:$E$9,MATCH($F882,'CAT_CENTROS_COSTO'!$A$4:$A$9,0)),"(sin catálogo)"))</f>
        <v/>
      </c>
      <c r="U882" s="3">
        <f>IF($F882="","",IFERROR(INDEX('CAT_CENTROS_COSTO'!$D$4:$D$9,MATCH($F882,'CAT_CENTROS_COSTO'!$A$4:$A$9,0)),"(sin catálogo)"))</f>
        <v/>
      </c>
      <c r="V882" s="3">
        <f>IF($F882="","",IFERROR(INDEX('CAT_CENTROS_COSTO'!$F$4:$F$9,MATCH($F882,'CAT_CENTROS_COSTO'!$A$4:$A$9,0)),"(sin catálogo)"))</f>
        <v/>
      </c>
      <c r="W882" s="3">
        <f>IF($G882="","",IFERROR(INDEX('CAT_PUESTOS'!$B$4:$B$8,MATCH($G882,'CAT_PUESTOS'!$A$4:$A$8,0)),"(sin catálogo)"))</f>
        <v/>
      </c>
      <c r="X882" s="3">
        <f>IF($H882="","",IFERROR(INDEX('CAT_ACTIVIDADES'!$B$4:$B$8,MATCH($H882,'CAT_ACTIVIDADES'!$A$4:$A$8,0)),"(sin catálogo)"))</f>
        <v/>
      </c>
      <c r="Y882" s="12">
        <f>IF($J882="","",TODAY()-$J882)</f>
        <v/>
      </c>
      <c r="Z882" s="3">
        <f>IF($Y882="","",IF($Y882&lt;0,"FUTURO",IF($Y882&gt;p_dias_backlog_max,"BACKLOG","MES CORRIENTE")))</f>
        <v/>
      </c>
      <c r="AA882" s="3">
        <f>IF($Y882="",FALSE,AND($Y882&gt;p_dias_backlog_min,$Y882&lt;=p_dias_backlog_max))</f>
        <v/>
      </c>
      <c r="AB882" s="6" t="n"/>
      <c r="AC882" s="3">
        <f>IF($AB882="","",IFERROR(INDEX('ASIGNACIONES'!$F$4:$F$339,MATCH($O882&amp;"|"&amp;$R882&amp;"|"&amp;$AB882,'ASIGNACIONES'!$I$4:$I$339,0)),""))</f>
        <v/>
      </c>
      <c r="AD882" s="13">
        <f>IF($AB882="","",SUMIFS('ORDENES'!$M$4:$M$1203,'ORDENES'!$AB$4:$AB$1203,$AB882,'ORDENES'!$O$4:$O$1203,$O882,'ORDENES'!$R$4:$R$1203,$R882))</f>
        <v/>
      </c>
      <c r="AE882" s="13">
        <f>IF($AD882="","",p_factor_productividad*IFERROR(INDEX('ASIGNACIONES'!$H$4:$H$339,MATCH($O882&amp;"|"&amp;$R882&amp;"|"&amp;$AB882,'ASIGNACIONES'!$I$4:$I$339,0)),0)-$AD882)</f>
        <v/>
      </c>
      <c r="AF882" s="10">
        <f>IF($A882="","",IFERROR(INDEX('2_IMPORTAR_EJECUCION'!$F$9:$F$1208,MATCH($AN882,'2_IMPORTAR_EJECUCION'!$J$9:$J$1208,0)),0))</f>
        <v/>
      </c>
      <c r="AG882" s="10">
        <f>IF($A882="","",MAX(0,IFERROR(INDEX('2_IMPORTAR_EJECUCION'!$H$9:$H$1208,MATCH($AN882,'2_IMPORTAR_EJECUCION'!$J$9:$J$1208,0)),0)-$AF882))</f>
        <v/>
      </c>
      <c r="AH882" s="10">
        <f>IF($A882="","",$AF882+$AG882)</f>
        <v/>
      </c>
      <c r="AI882" s="6" t="n"/>
      <c r="AJ882" s="6" t="n"/>
      <c r="AK882" s="6" t="n"/>
      <c r="AL882" s="3">
        <f>IF($AK882="","",HYPERLINK(p_ruta_base_checklists&amp;$AK882,"abrir"))</f>
        <v/>
      </c>
      <c r="AM882" s="6" t="n"/>
      <c r="AN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1" t="n"/>
      <c r="K883" s="3" t="n"/>
      <c r="L883" s="10" t="n"/>
      <c r="M883" s="3">
        <f>IF($A883="","",IFERROR(INDEX('AJUSTES'!$B$4:$B$303,MATCH($AN883,'AJUSTES'!$A$4:$A$303,0)),IF($K883="","",$K883)))</f>
        <v/>
      </c>
      <c r="N883" s="3">
        <f>IF($A883="","",IFERROR(INDEX('CAT_ESTADOS_ERP'!$B$4:$B$7,MATCH(IFERROR(INDEX('2_IMPORTAR_EJECUCION'!$C$9:$C$1208,MATCH($AN883,'2_IMPORTAR_EJECUCION'!$J$9:$J$1208,0)),""),'CAT_ESTADOS_ERP'!$A$4:$A$7,0)),"Pendiente"))</f>
        <v/>
      </c>
      <c r="O883" s="3">
        <f>IF($J883="","",YEAR($J883+4-WEEKDAY($J883,2))&amp;"-S"&amp;TEXT(_xlfn.ISOWEEKNUM($J883),"00"))</f>
        <v/>
      </c>
      <c r="P883" s="3">
        <f>IF($J883="","",YEAR($J883))</f>
        <v/>
      </c>
      <c r="Q883" s="3">
        <f>IF($J883="","",MONTH($J883))</f>
        <v/>
      </c>
      <c r="R883" s="3">
        <f>IF($J883="","",INDEX(lista_dias,WEEKDAY($J883,2)))</f>
        <v/>
      </c>
      <c r="S883" s="3">
        <f>IF($I883="","",IFERROR(INDEX('CAT_TIPOS_OT'!$C$4:$C$7,MATCH($I883,'CAT_TIPOS_OT'!$A$4:$A$7,0)),"sin_clasificar"))</f>
        <v/>
      </c>
      <c r="T883" s="3">
        <f>IF($F883="","",IFERROR(INDEX('CAT_CENTROS_COSTO'!$E$4:$E$9,MATCH($F883,'CAT_CENTROS_COSTO'!$A$4:$A$9,0)),"(sin catálogo)"))</f>
        <v/>
      </c>
      <c r="U883" s="3">
        <f>IF($F883="","",IFERROR(INDEX('CAT_CENTROS_COSTO'!$D$4:$D$9,MATCH($F883,'CAT_CENTROS_COSTO'!$A$4:$A$9,0)),"(sin catálogo)"))</f>
        <v/>
      </c>
      <c r="V883" s="3">
        <f>IF($F883="","",IFERROR(INDEX('CAT_CENTROS_COSTO'!$F$4:$F$9,MATCH($F883,'CAT_CENTROS_COSTO'!$A$4:$A$9,0)),"(sin catálogo)"))</f>
        <v/>
      </c>
      <c r="W883" s="3">
        <f>IF($G883="","",IFERROR(INDEX('CAT_PUESTOS'!$B$4:$B$8,MATCH($G883,'CAT_PUESTOS'!$A$4:$A$8,0)),"(sin catálogo)"))</f>
        <v/>
      </c>
      <c r="X883" s="3">
        <f>IF($H883="","",IFERROR(INDEX('CAT_ACTIVIDADES'!$B$4:$B$8,MATCH($H883,'CAT_ACTIVIDADES'!$A$4:$A$8,0)),"(sin catálogo)"))</f>
        <v/>
      </c>
      <c r="Y883" s="12">
        <f>IF($J883="","",TODAY()-$J883)</f>
        <v/>
      </c>
      <c r="Z883" s="3">
        <f>IF($Y883="","",IF($Y883&lt;0,"FUTURO",IF($Y883&gt;p_dias_backlog_max,"BACKLOG","MES CORRIENTE")))</f>
        <v/>
      </c>
      <c r="AA883" s="3">
        <f>IF($Y883="",FALSE,AND($Y883&gt;p_dias_backlog_min,$Y883&lt;=p_dias_backlog_max))</f>
        <v/>
      </c>
      <c r="AB883" s="6" t="n"/>
      <c r="AC883" s="3">
        <f>IF($AB883="","",IFERROR(INDEX('ASIGNACIONES'!$F$4:$F$339,MATCH($O883&amp;"|"&amp;$R883&amp;"|"&amp;$AB883,'ASIGNACIONES'!$I$4:$I$339,0)),""))</f>
        <v/>
      </c>
      <c r="AD883" s="13">
        <f>IF($AB883="","",SUMIFS('ORDENES'!$M$4:$M$1203,'ORDENES'!$AB$4:$AB$1203,$AB883,'ORDENES'!$O$4:$O$1203,$O883,'ORDENES'!$R$4:$R$1203,$R883))</f>
        <v/>
      </c>
      <c r="AE883" s="13">
        <f>IF($AD883="","",p_factor_productividad*IFERROR(INDEX('ASIGNACIONES'!$H$4:$H$339,MATCH($O883&amp;"|"&amp;$R883&amp;"|"&amp;$AB883,'ASIGNACIONES'!$I$4:$I$339,0)),0)-$AD883)</f>
        <v/>
      </c>
      <c r="AF883" s="10">
        <f>IF($A883="","",IFERROR(INDEX('2_IMPORTAR_EJECUCION'!$F$9:$F$1208,MATCH($AN883,'2_IMPORTAR_EJECUCION'!$J$9:$J$1208,0)),0))</f>
        <v/>
      </c>
      <c r="AG883" s="10">
        <f>IF($A883="","",MAX(0,IFERROR(INDEX('2_IMPORTAR_EJECUCION'!$H$9:$H$1208,MATCH($AN883,'2_IMPORTAR_EJECUCION'!$J$9:$J$1208,0)),0)-$AF883))</f>
        <v/>
      </c>
      <c r="AH883" s="10">
        <f>IF($A883="","",$AF883+$AG883)</f>
        <v/>
      </c>
      <c r="AI883" s="6" t="n"/>
      <c r="AJ883" s="6" t="n"/>
      <c r="AK883" s="6" t="n"/>
      <c r="AL883" s="3">
        <f>IF($AK883="","",HYPERLINK(p_ruta_base_checklists&amp;$AK883,"abrir"))</f>
        <v/>
      </c>
      <c r="AM883" s="6" t="n"/>
      <c r="AN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1" t="n"/>
      <c r="K884" s="3" t="n"/>
      <c r="L884" s="10" t="n"/>
      <c r="M884" s="3">
        <f>IF($A884="","",IFERROR(INDEX('AJUSTES'!$B$4:$B$303,MATCH($AN884,'AJUSTES'!$A$4:$A$303,0)),IF($K884="","",$K884)))</f>
        <v/>
      </c>
      <c r="N884" s="3">
        <f>IF($A884="","",IFERROR(INDEX('CAT_ESTADOS_ERP'!$B$4:$B$7,MATCH(IFERROR(INDEX('2_IMPORTAR_EJECUCION'!$C$9:$C$1208,MATCH($AN884,'2_IMPORTAR_EJECUCION'!$J$9:$J$1208,0)),""),'CAT_ESTADOS_ERP'!$A$4:$A$7,0)),"Pendiente"))</f>
        <v/>
      </c>
      <c r="O884" s="3">
        <f>IF($J884="","",YEAR($J884+4-WEEKDAY($J884,2))&amp;"-S"&amp;TEXT(_xlfn.ISOWEEKNUM($J884),"00"))</f>
        <v/>
      </c>
      <c r="P884" s="3">
        <f>IF($J884="","",YEAR($J884))</f>
        <v/>
      </c>
      <c r="Q884" s="3">
        <f>IF($J884="","",MONTH($J884))</f>
        <v/>
      </c>
      <c r="R884" s="3">
        <f>IF($J884="","",INDEX(lista_dias,WEEKDAY($J884,2)))</f>
        <v/>
      </c>
      <c r="S884" s="3">
        <f>IF($I884="","",IFERROR(INDEX('CAT_TIPOS_OT'!$C$4:$C$7,MATCH($I884,'CAT_TIPOS_OT'!$A$4:$A$7,0)),"sin_clasificar"))</f>
        <v/>
      </c>
      <c r="T884" s="3">
        <f>IF($F884="","",IFERROR(INDEX('CAT_CENTROS_COSTO'!$E$4:$E$9,MATCH($F884,'CAT_CENTROS_COSTO'!$A$4:$A$9,0)),"(sin catálogo)"))</f>
        <v/>
      </c>
      <c r="U884" s="3">
        <f>IF($F884="","",IFERROR(INDEX('CAT_CENTROS_COSTO'!$D$4:$D$9,MATCH($F884,'CAT_CENTROS_COSTO'!$A$4:$A$9,0)),"(sin catálogo)"))</f>
        <v/>
      </c>
      <c r="V884" s="3">
        <f>IF($F884="","",IFERROR(INDEX('CAT_CENTROS_COSTO'!$F$4:$F$9,MATCH($F884,'CAT_CENTROS_COSTO'!$A$4:$A$9,0)),"(sin catálogo)"))</f>
        <v/>
      </c>
      <c r="W884" s="3">
        <f>IF($G884="","",IFERROR(INDEX('CAT_PUESTOS'!$B$4:$B$8,MATCH($G884,'CAT_PUESTOS'!$A$4:$A$8,0)),"(sin catálogo)"))</f>
        <v/>
      </c>
      <c r="X884" s="3">
        <f>IF($H884="","",IFERROR(INDEX('CAT_ACTIVIDADES'!$B$4:$B$8,MATCH($H884,'CAT_ACTIVIDADES'!$A$4:$A$8,0)),"(sin catálogo)"))</f>
        <v/>
      </c>
      <c r="Y884" s="12">
        <f>IF($J884="","",TODAY()-$J884)</f>
        <v/>
      </c>
      <c r="Z884" s="3">
        <f>IF($Y884="","",IF($Y884&lt;0,"FUTURO",IF($Y884&gt;p_dias_backlog_max,"BACKLOG","MES CORRIENTE")))</f>
        <v/>
      </c>
      <c r="AA884" s="3">
        <f>IF($Y884="",FALSE,AND($Y884&gt;p_dias_backlog_min,$Y884&lt;=p_dias_backlog_max))</f>
        <v/>
      </c>
      <c r="AB884" s="6" t="n"/>
      <c r="AC884" s="3">
        <f>IF($AB884="","",IFERROR(INDEX('ASIGNACIONES'!$F$4:$F$339,MATCH($O884&amp;"|"&amp;$R884&amp;"|"&amp;$AB884,'ASIGNACIONES'!$I$4:$I$339,0)),""))</f>
        <v/>
      </c>
      <c r="AD884" s="13">
        <f>IF($AB884="","",SUMIFS('ORDENES'!$M$4:$M$1203,'ORDENES'!$AB$4:$AB$1203,$AB884,'ORDENES'!$O$4:$O$1203,$O884,'ORDENES'!$R$4:$R$1203,$R884))</f>
        <v/>
      </c>
      <c r="AE884" s="13">
        <f>IF($AD884="","",p_factor_productividad*IFERROR(INDEX('ASIGNACIONES'!$H$4:$H$339,MATCH($O884&amp;"|"&amp;$R884&amp;"|"&amp;$AB884,'ASIGNACIONES'!$I$4:$I$339,0)),0)-$AD884)</f>
        <v/>
      </c>
      <c r="AF884" s="10">
        <f>IF($A884="","",IFERROR(INDEX('2_IMPORTAR_EJECUCION'!$F$9:$F$1208,MATCH($AN884,'2_IMPORTAR_EJECUCION'!$J$9:$J$1208,0)),0))</f>
        <v/>
      </c>
      <c r="AG884" s="10">
        <f>IF($A884="","",MAX(0,IFERROR(INDEX('2_IMPORTAR_EJECUCION'!$H$9:$H$1208,MATCH($AN884,'2_IMPORTAR_EJECUCION'!$J$9:$J$1208,0)),0)-$AF884))</f>
        <v/>
      </c>
      <c r="AH884" s="10">
        <f>IF($A884="","",$AF884+$AG884)</f>
        <v/>
      </c>
      <c r="AI884" s="6" t="n"/>
      <c r="AJ884" s="6" t="n"/>
      <c r="AK884" s="6" t="n"/>
      <c r="AL884" s="3">
        <f>IF($AK884="","",HYPERLINK(p_ruta_base_checklists&amp;$AK884,"abrir"))</f>
        <v/>
      </c>
      <c r="AM884" s="6" t="n"/>
      <c r="AN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1" t="n"/>
      <c r="K885" s="3" t="n"/>
      <c r="L885" s="10" t="n"/>
      <c r="M885" s="3">
        <f>IF($A885="","",IFERROR(INDEX('AJUSTES'!$B$4:$B$303,MATCH($AN885,'AJUSTES'!$A$4:$A$303,0)),IF($K885="","",$K885)))</f>
        <v/>
      </c>
      <c r="N885" s="3">
        <f>IF($A885="","",IFERROR(INDEX('CAT_ESTADOS_ERP'!$B$4:$B$7,MATCH(IFERROR(INDEX('2_IMPORTAR_EJECUCION'!$C$9:$C$1208,MATCH($AN885,'2_IMPORTAR_EJECUCION'!$J$9:$J$1208,0)),""),'CAT_ESTADOS_ERP'!$A$4:$A$7,0)),"Pendiente"))</f>
        <v/>
      </c>
      <c r="O885" s="3">
        <f>IF($J885="","",YEAR($J885+4-WEEKDAY($J885,2))&amp;"-S"&amp;TEXT(_xlfn.ISOWEEKNUM($J885),"00"))</f>
        <v/>
      </c>
      <c r="P885" s="3">
        <f>IF($J885="","",YEAR($J885))</f>
        <v/>
      </c>
      <c r="Q885" s="3">
        <f>IF($J885="","",MONTH($J885))</f>
        <v/>
      </c>
      <c r="R885" s="3">
        <f>IF($J885="","",INDEX(lista_dias,WEEKDAY($J885,2)))</f>
        <v/>
      </c>
      <c r="S885" s="3">
        <f>IF($I885="","",IFERROR(INDEX('CAT_TIPOS_OT'!$C$4:$C$7,MATCH($I885,'CAT_TIPOS_OT'!$A$4:$A$7,0)),"sin_clasificar"))</f>
        <v/>
      </c>
      <c r="T885" s="3">
        <f>IF($F885="","",IFERROR(INDEX('CAT_CENTROS_COSTO'!$E$4:$E$9,MATCH($F885,'CAT_CENTROS_COSTO'!$A$4:$A$9,0)),"(sin catálogo)"))</f>
        <v/>
      </c>
      <c r="U885" s="3">
        <f>IF($F885="","",IFERROR(INDEX('CAT_CENTROS_COSTO'!$D$4:$D$9,MATCH($F885,'CAT_CENTROS_COSTO'!$A$4:$A$9,0)),"(sin catálogo)"))</f>
        <v/>
      </c>
      <c r="V885" s="3">
        <f>IF($F885="","",IFERROR(INDEX('CAT_CENTROS_COSTO'!$F$4:$F$9,MATCH($F885,'CAT_CENTROS_COSTO'!$A$4:$A$9,0)),"(sin catálogo)"))</f>
        <v/>
      </c>
      <c r="W885" s="3">
        <f>IF($G885="","",IFERROR(INDEX('CAT_PUESTOS'!$B$4:$B$8,MATCH($G885,'CAT_PUESTOS'!$A$4:$A$8,0)),"(sin catálogo)"))</f>
        <v/>
      </c>
      <c r="X885" s="3">
        <f>IF($H885="","",IFERROR(INDEX('CAT_ACTIVIDADES'!$B$4:$B$8,MATCH($H885,'CAT_ACTIVIDADES'!$A$4:$A$8,0)),"(sin catálogo)"))</f>
        <v/>
      </c>
      <c r="Y885" s="12">
        <f>IF($J885="","",TODAY()-$J885)</f>
        <v/>
      </c>
      <c r="Z885" s="3">
        <f>IF($Y885="","",IF($Y885&lt;0,"FUTURO",IF($Y885&gt;p_dias_backlog_max,"BACKLOG","MES CORRIENTE")))</f>
        <v/>
      </c>
      <c r="AA885" s="3">
        <f>IF($Y885="",FALSE,AND($Y885&gt;p_dias_backlog_min,$Y885&lt;=p_dias_backlog_max))</f>
        <v/>
      </c>
      <c r="AB885" s="6" t="n"/>
      <c r="AC885" s="3">
        <f>IF($AB885="","",IFERROR(INDEX('ASIGNACIONES'!$F$4:$F$339,MATCH($O885&amp;"|"&amp;$R885&amp;"|"&amp;$AB885,'ASIGNACIONES'!$I$4:$I$339,0)),""))</f>
        <v/>
      </c>
      <c r="AD885" s="13">
        <f>IF($AB885="","",SUMIFS('ORDENES'!$M$4:$M$1203,'ORDENES'!$AB$4:$AB$1203,$AB885,'ORDENES'!$O$4:$O$1203,$O885,'ORDENES'!$R$4:$R$1203,$R885))</f>
        <v/>
      </c>
      <c r="AE885" s="13">
        <f>IF($AD885="","",p_factor_productividad*IFERROR(INDEX('ASIGNACIONES'!$H$4:$H$339,MATCH($O885&amp;"|"&amp;$R885&amp;"|"&amp;$AB885,'ASIGNACIONES'!$I$4:$I$339,0)),0)-$AD885)</f>
        <v/>
      </c>
      <c r="AF885" s="10">
        <f>IF($A885="","",IFERROR(INDEX('2_IMPORTAR_EJECUCION'!$F$9:$F$1208,MATCH($AN885,'2_IMPORTAR_EJECUCION'!$J$9:$J$1208,0)),0))</f>
        <v/>
      </c>
      <c r="AG885" s="10">
        <f>IF($A885="","",MAX(0,IFERROR(INDEX('2_IMPORTAR_EJECUCION'!$H$9:$H$1208,MATCH($AN885,'2_IMPORTAR_EJECUCION'!$J$9:$J$1208,0)),0)-$AF885))</f>
        <v/>
      </c>
      <c r="AH885" s="10">
        <f>IF($A885="","",$AF885+$AG885)</f>
        <v/>
      </c>
      <c r="AI885" s="6" t="n"/>
      <c r="AJ885" s="6" t="n"/>
      <c r="AK885" s="6" t="n"/>
      <c r="AL885" s="3">
        <f>IF($AK885="","",HYPERLINK(p_ruta_base_checklists&amp;$AK885,"abrir"))</f>
        <v/>
      </c>
      <c r="AM885" s="6" t="n"/>
      <c r="AN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1" t="n"/>
      <c r="K886" s="3" t="n"/>
      <c r="L886" s="10" t="n"/>
      <c r="M886" s="3">
        <f>IF($A886="","",IFERROR(INDEX('AJUSTES'!$B$4:$B$303,MATCH($AN886,'AJUSTES'!$A$4:$A$303,0)),IF($K886="","",$K886)))</f>
        <v/>
      </c>
      <c r="N886" s="3">
        <f>IF($A886="","",IFERROR(INDEX('CAT_ESTADOS_ERP'!$B$4:$B$7,MATCH(IFERROR(INDEX('2_IMPORTAR_EJECUCION'!$C$9:$C$1208,MATCH($AN886,'2_IMPORTAR_EJECUCION'!$J$9:$J$1208,0)),""),'CAT_ESTADOS_ERP'!$A$4:$A$7,0)),"Pendiente"))</f>
        <v/>
      </c>
      <c r="O886" s="3">
        <f>IF($J886="","",YEAR($J886+4-WEEKDAY($J886,2))&amp;"-S"&amp;TEXT(_xlfn.ISOWEEKNUM($J886),"00"))</f>
        <v/>
      </c>
      <c r="P886" s="3">
        <f>IF($J886="","",YEAR($J886))</f>
        <v/>
      </c>
      <c r="Q886" s="3">
        <f>IF($J886="","",MONTH($J886))</f>
        <v/>
      </c>
      <c r="R886" s="3">
        <f>IF($J886="","",INDEX(lista_dias,WEEKDAY($J886,2)))</f>
        <v/>
      </c>
      <c r="S886" s="3">
        <f>IF($I886="","",IFERROR(INDEX('CAT_TIPOS_OT'!$C$4:$C$7,MATCH($I886,'CAT_TIPOS_OT'!$A$4:$A$7,0)),"sin_clasificar"))</f>
        <v/>
      </c>
      <c r="T886" s="3">
        <f>IF($F886="","",IFERROR(INDEX('CAT_CENTROS_COSTO'!$E$4:$E$9,MATCH($F886,'CAT_CENTROS_COSTO'!$A$4:$A$9,0)),"(sin catálogo)"))</f>
        <v/>
      </c>
      <c r="U886" s="3">
        <f>IF($F886="","",IFERROR(INDEX('CAT_CENTROS_COSTO'!$D$4:$D$9,MATCH($F886,'CAT_CENTROS_COSTO'!$A$4:$A$9,0)),"(sin catálogo)"))</f>
        <v/>
      </c>
      <c r="V886" s="3">
        <f>IF($F886="","",IFERROR(INDEX('CAT_CENTROS_COSTO'!$F$4:$F$9,MATCH($F886,'CAT_CENTROS_COSTO'!$A$4:$A$9,0)),"(sin catálogo)"))</f>
        <v/>
      </c>
      <c r="W886" s="3">
        <f>IF($G886="","",IFERROR(INDEX('CAT_PUESTOS'!$B$4:$B$8,MATCH($G886,'CAT_PUESTOS'!$A$4:$A$8,0)),"(sin catálogo)"))</f>
        <v/>
      </c>
      <c r="X886" s="3">
        <f>IF($H886="","",IFERROR(INDEX('CAT_ACTIVIDADES'!$B$4:$B$8,MATCH($H886,'CAT_ACTIVIDADES'!$A$4:$A$8,0)),"(sin catálogo)"))</f>
        <v/>
      </c>
      <c r="Y886" s="12">
        <f>IF($J886="","",TODAY()-$J886)</f>
        <v/>
      </c>
      <c r="Z886" s="3">
        <f>IF($Y886="","",IF($Y886&lt;0,"FUTURO",IF($Y886&gt;p_dias_backlog_max,"BACKLOG","MES CORRIENTE")))</f>
        <v/>
      </c>
      <c r="AA886" s="3">
        <f>IF($Y886="",FALSE,AND($Y886&gt;p_dias_backlog_min,$Y886&lt;=p_dias_backlog_max))</f>
        <v/>
      </c>
      <c r="AB886" s="6" t="n"/>
      <c r="AC886" s="3">
        <f>IF($AB886="","",IFERROR(INDEX('ASIGNACIONES'!$F$4:$F$339,MATCH($O886&amp;"|"&amp;$R886&amp;"|"&amp;$AB886,'ASIGNACIONES'!$I$4:$I$339,0)),""))</f>
        <v/>
      </c>
      <c r="AD886" s="13">
        <f>IF($AB886="","",SUMIFS('ORDENES'!$M$4:$M$1203,'ORDENES'!$AB$4:$AB$1203,$AB886,'ORDENES'!$O$4:$O$1203,$O886,'ORDENES'!$R$4:$R$1203,$R886))</f>
        <v/>
      </c>
      <c r="AE886" s="13">
        <f>IF($AD886="","",p_factor_productividad*IFERROR(INDEX('ASIGNACIONES'!$H$4:$H$339,MATCH($O886&amp;"|"&amp;$R886&amp;"|"&amp;$AB886,'ASIGNACIONES'!$I$4:$I$339,0)),0)-$AD886)</f>
        <v/>
      </c>
      <c r="AF886" s="10">
        <f>IF($A886="","",IFERROR(INDEX('2_IMPORTAR_EJECUCION'!$F$9:$F$1208,MATCH($AN886,'2_IMPORTAR_EJECUCION'!$J$9:$J$1208,0)),0))</f>
        <v/>
      </c>
      <c r="AG886" s="10">
        <f>IF($A886="","",MAX(0,IFERROR(INDEX('2_IMPORTAR_EJECUCION'!$H$9:$H$1208,MATCH($AN886,'2_IMPORTAR_EJECUCION'!$J$9:$J$1208,0)),0)-$AF886))</f>
        <v/>
      </c>
      <c r="AH886" s="10">
        <f>IF($A886="","",$AF886+$AG886)</f>
        <v/>
      </c>
      <c r="AI886" s="6" t="n"/>
      <c r="AJ886" s="6" t="n"/>
      <c r="AK886" s="6" t="n"/>
      <c r="AL886" s="3">
        <f>IF($AK886="","",HYPERLINK(p_ruta_base_checklists&amp;$AK886,"abrir"))</f>
        <v/>
      </c>
      <c r="AM886" s="6" t="n"/>
      <c r="AN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1" t="n"/>
      <c r="K887" s="3" t="n"/>
      <c r="L887" s="10" t="n"/>
      <c r="M887" s="3">
        <f>IF($A887="","",IFERROR(INDEX('AJUSTES'!$B$4:$B$303,MATCH($AN887,'AJUSTES'!$A$4:$A$303,0)),IF($K887="","",$K887)))</f>
        <v/>
      </c>
      <c r="N887" s="3">
        <f>IF($A887="","",IFERROR(INDEX('CAT_ESTADOS_ERP'!$B$4:$B$7,MATCH(IFERROR(INDEX('2_IMPORTAR_EJECUCION'!$C$9:$C$1208,MATCH($AN887,'2_IMPORTAR_EJECUCION'!$J$9:$J$1208,0)),""),'CAT_ESTADOS_ERP'!$A$4:$A$7,0)),"Pendiente"))</f>
        <v/>
      </c>
      <c r="O887" s="3">
        <f>IF($J887="","",YEAR($J887+4-WEEKDAY($J887,2))&amp;"-S"&amp;TEXT(_xlfn.ISOWEEKNUM($J887),"00"))</f>
        <v/>
      </c>
      <c r="P887" s="3">
        <f>IF($J887="","",YEAR($J887))</f>
        <v/>
      </c>
      <c r="Q887" s="3">
        <f>IF($J887="","",MONTH($J887))</f>
        <v/>
      </c>
      <c r="R887" s="3">
        <f>IF($J887="","",INDEX(lista_dias,WEEKDAY($J887,2)))</f>
        <v/>
      </c>
      <c r="S887" s="3">
        <f>IF($I887="","",IFERROR(INDEX('CAT_TIPOS_OT'!$C$4:$C$7,MATCH($I887,'CAT_TIPOS_OT'!$A$4:$A$7,0)),"sin_clasificar"))</f>
        <v/>
      </c>
      <c r="T887" s="3">
        <f>IF($F887="","",IFERROR(INDEX('CAT_CENTROS_COSTO'!$E$4:$E$9,MATCH($F887,'CAT_CENTROS_COSTO'!$A$4:$A$9,0)),"(sin catálogo)"))</f>
        <v/>
      </c>
      <c r="U887" s="3">
        <f>IF($F887="","",IFERROR(INDEX('CAT_CENTROS_COSTO'!$D$4:$D$9,MATCH($F887,'CAT_CENTROS_COSTO'!$A$4:$A$9,0)),"(sin catálogo)"))</f>
        <v/>
      </c>
      <c r="V887" s="3">
        <f>IF($F887="","",IFERROR(INDEX('CAT_CENTROS_COSTO'!$F$4:$F$9,MATCH($F887,'CAT_CENTROS_COSTO'!$A$4:$A$9,0)),"(sin catálogo)"))</f>
        <v/>
      </c>
      <c r="W887" s="3">
        <f>IF($G887="","",IFERROR(INDEX('CAT_PUESTOS'!$B$4:$B$8,MATCH($G887,'CAT_PUESTOS'!$A$4:$A$8,0)),"(sin catálogo)"))</f>
        <v/>
      </c>
      <c r="X887" s="3">
        <f>IF($H887="","",IFERROR(INDEX('CAT_ACTIVIDADES'!$B$4:$B$8,MATCH($H887,'CAT_ACTIVIDADES'!$A$4:$A$8,0)),"(sin catálogo)"))</f>
        <v/>
      </c>
      <c r="Y887" s="12">
        <f>IF($J887="","",TODAY()-$J887)</f>
        <v/>
      </c>
      <c r="Z887" s="3">
        <f>IF($Y887="","",IF($Y887&lt;0,"FUTURO",IF($Y887&gt;p_dias_backlog_max,"BACKLOG","MES CORRIENTE")))</f>
        <v/>
      </c>
      <c r="AA887" s="3">
        <f>IF($Y887="",FALSE,AND($Y887&gt;p_dias_backlog_min,$Y887&lt;=p_dias_backlog_max))</f>
        <v/>
      </c>
      <c r="AB887" s="6" t="n"/>
      <c r="AC887" s="3">
        <f>IF($AB887="","",IFERROR(INDEX('ASIGNACIONES'!$F$4:$F$339,MATCH($O887&amp;"|"&amp;$R887&amp;"|"&amp;$AB887,'ASIGNACIONES'!$I$4:$I$339,0)),""))</f>
        <v/>
      </c>
      <c r="AD887" s="13">
        <f>IF($AB887="","",SUMIFS('ORDENES'!$M$4:$M$1203,'ORDENES'!$AB$4:$AB$1203,$AB887,'ORDENES'!$O$4:$O$1203,$O887,'ORDENES'!$R$4:$R$1203,$R887))</f>
        <v/>
      </c>
      <c r="AE887" s="13">
        <f>IF($AD887="","",p_factor_productividad*IFERROR(INDEX('ASIGNACIONES'!$H$4:$H$339,MATCH($O887&amp;"|"&amp;$R887&amp;"|"&amp;$AB887,'ASIGNACIONES'!$I$4:$I$339,0)),0)-$AD887)</f>
        <v/>
      </c>
      <c r="AF887" s="10">
        <f>IF($A887="","",IFERROR(INDEX('2_IMPORTAR_EJECUCION'!$F$9:$F$1208,MATCH($AN887,'2_IMPORTAR_EJECUCION'!$J$9:$J$1208,0)),0))</f>
        <v/>
      </c>
      <c r="AG887" s="10">
        <f>IF($A887="","",MAX(0,IFERROR(INDEX('2_IMPORTAR_EJECUCION'!$H$9:$H$1208,MATCH($AN887,'2_IMPORTAR_EJECUCION'!$J$9:$J$1208,0)),0)-$AF887))</f>
        <v/>
      </c>
      <c r="AH887" s="10">
        <f>IF($A887="","",$AF887+$AG887)</f>
        <v/>
      </c>
      <c r="AI887" s="6" t="n"/>
      <c r="AJ887" s="6" t="n"/>
      <c r="AK887" s="6" t="n"/>
      <c r="AL887" s="3">
        <f>IF($AK887="","",HYPERLINK(p_ruta_base_checklists&amp;$AK887,"abrir"))</f>
        <v/>
      </c>
      <c r="AM887" s="6" t="n"/>
      <c r="AN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1" t="n"/>
      <c r="K888" s="3" t="n"/>
      <c r="L888" s="10" t="n"/>
      <c r="M888" s="3">
        <f>IF($A888="","",IFERROR(INDEX('AJUSTES'!$B$4:$B$303,MATCH($AN888,'AJUSTES'!$A$4:$A$303,0)),IF($K888="","",$K888)))</f>
        <v/>
      </c>
      <c r="N888" s="3">
        <f>IF($A888="","",IFERROR(INDEX('CAT_ESTADOS_ERP'!$B$4:$B$7,MATCH(IFERROR(INDEX('2_IMPORTAR_EJECUCION'!$C$9:$C$1208,MATCH($AN888,'2_IMPORTAR_EJECUCION'!$J$9:$J$1208,0)),""),'CAT_ESTADOS_ERP'!$A$4:$A$7,0)),"Pendiente"))</f>
        <v/>
      </c>
      <c r="O888" s="3">
        <f>IF($J888="","",YEAR($J888+4-WEEKDAY($J888,2))&amp;"-S"&amp;TEXT(_xlfn.ISOWEEKNUM($J888),"00"))</f>
        <v/>
      </c>
      <c r="P888" s="3">
        <f>IF($J888="","",YEAR($J888))</f>
        <v/>
      </c>
      <c r="Q888" s="3">
        <f>IF($J888="","",MONTH($J888))</f>
        <v/>
      </c>
      <c r="R888" s="3">
        <f>IF($J888="","",INDEX(lista_dias,WEEKDAY($J888,2)))</f>
        <v/>
      </c>
      <c r="S888" s="3">
        <f>IF($I888="","",IFERROR(INDEX('CAT_TIPOS_OT'!$C$4:$C$7,MATCH($I888,'CAT_TIPOS_OT'!$A$4:$A$7,0)),"sin_clasificar"))</f>
        <v/>
      </c>
      <c r="T888" s="3">
        <f>IF($F888="","",IFERROR(INDEX('CAT_CENTROS_COSTO'!$E$4:$E$9,MATCH($F888,'CAT_CENTROS_COSTO'!$A$4:$A$9,0)),"(sin catálogo)"))</f>
        <v/>
      </c>
      <c r="U888" s="3">
        <f>IF($F888="","",IFERROR(INDEX('CAT_CENTROS_COSTO'!$D$4:$D$9,MATCH($F888,'CAT_CENTROS_COSTO'!$A$4:$A$9,0)),"(sin catálogo)"))</f>
        <v/>
      </c>
      <c r="V888" s="3">
        <f>IF($F888="","",IFERROR(INDEX('CAT_CENTROS_COSTO'!$F$4:$F$9,MATCH($F888,'CAT_CENTROS_COSTO'!$A$4:$A$9,0)),"(sin catálogo)"))</f>
        <v/>
      </c>
      <c r="W888" s="3">
        <f>IF($G888="","",IFERROR(INDEX('CAT_PUESTOS'!$B$4:$B$8,MATCH($G888,'CAT_PUESTOS'!$A$4:$A$8,0)),"(sin catálogo)"))</f>
        <v/>
      </c>
      <c r="X888" s="3">
        <f>IF($H888="","",IFERROR(INDEX('CAT_ACTIVIDADES'!$B$4:$B$8,MATCH($H888,'CAT_ACTIVIDADES'!$A$4:$A$8,0)),"(sin catálogo)"))</f>
        <v/>
      </c>
      <c r="Y888" s="12">
        <f>IF($J888="","",TODAY()-$J888)</f>
        <v/>
      </c>
      <c r="Z888" s="3">
        <f>IF($Y888="","",IF($Y888&lt;0,"FUTURO",IF($Y888&gt;p_dias_backlog_max,"BACKLOG","MES CORRIENTE")))</f>
        <v/>
      </c>
      <c r="AA888" s="3">
        <f>IF($Y888="",FALSE,AND($Y888&gt;p_dias_backlog_min,$Y888&lt;=p_dias_backlog_max))</f>
        <v/>
      </c>
      <c r="AB888" s="6" t="n"/>
      <c r="AC888" s="3">
        <f>IF($AB888="","",IFERROR(INDEX('ASIGNACIONES'!$F$4:$F$339,MATCH($O888&amp;"|"&amp;$R888&amp;"|"&amp;$AB888,'ASIGNACIONES'!$I$4:$I$339,0)),""))</f>
        <v/>
      </c>
      <c r="AD888" s="13">
        <f>IF($AB888="","",SUMIFS('ORDENES'!$M$4:$M$1203,'ORDENES'!$AB$4:$AB$1203,$AB888,'ORDENES'!$O$4:$O$1203,$O888,'ORDENES'!$R$4:$R$1203,$R888))</f>
        <v/>
      </c>
      <c r="AE888" s="13">
        <f>IF($AD888="","",p_factor_productividad*IFERROR(INDEX('ASIGNACIONES'!$H$4:$H$339,MATCH($O888&amp;"|"&amp;$R888&amp;"|"&amp;$AB888,'ASIGNACIONES'!$I$4:$I$339,0)),0)-$AD888)</f>
        <v/>
      </c>
      <c r="AF888" s="10">
        <f>IF($A888="","",IFERROR(INDEX('2_IMPORTAR_EJECUCION'!$F$9:$F$1208,MATCH($AN888,'2_IMPORTAR_EJECUCION'!$J$9:$J$1208,0)),0))</f>
        <v/>
      </c>
      <c r="AG888" s="10">
        <f>IF($A888="","",MAX(0,IFERROR(INDEX('2_IMPORTAR_EJECUCION'!$H$9:$H$1208,MATCH($AN888,'2_IMPORTAR_EJECUCION'!$J$9:$J$1208,0)),0)-$AF888))</f>
        <v/>
      </c>
      <c r="AH888" s="10">
        <f>IF($A888="","",$AF888+$AG888)</f>
        <v/>
      </c>
      <c r="AI888" s="6" t="n"/>
      <c r="AJ888" s="6" t="n"/>
      <c r="AK888" s="6" t="n"/>
      <c r="AL888" s="3">
        <f>IF($AK888="","",HYPERLINK(p_ruta_base_checklists&amp;$AK888,"abrir"))</f>
        <v/>
      </c>
      <c r="AM888" s="6" t="n"/>
      <c r="AN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1" t="n"/>
      <c r="K889" s="3" t="n"/>
      <c r="L889" s="10" t="n"/>
      <c r="M889" s="3">
        <f>IF($A889="","",IFERROR(INDEX('AJUSTES'!$B$4:$B$303,MATCH($AN889,'AJUSTES'!$A$4:$A$303,0)),IF($K889="","",$K889)))</f>
        <v/>
      </c>
      <c r="N889" s="3">
        <f>IF($A889="","",IFERROR(INDEX('CAT_ESTADOS_ERP'!$B$4:$B$7,MATCH(IFERROR(INDEX('2_IMPORTAR_EJECUCION'!$C$9:$C$1208,MATCH($AN889,'2_IMPORTAR_EJECUCION'!$J$9:$J$1208,0)),""),'CAT_ESTADOS_ERP'!$A$4:$A$7,0)),"Pendiente"))</f>
        <v/>
      </c>
      <c r="O889" s="3">
        <f>IF($J889="","",YEAR($J889+4-WEEKDAY($J889,2))&amp;"-S"&amp;TEXT(_xlfn.ISOWEEKNUM($J889),"00"))</f>
        <v/>
      </c>
      <c r="P889" s="3">
        <f>IF($J889="","",YEAR($J889))</f>
        <v/>
      </c>
      <c r="Q889" s="3">
        <f>IF($J889="","",MONTH($J889))</f>
        <v/>
      </c>
      <c r="R889" s="3">
        <f>IF($J889="","",INDEX(lista_dias,WEEKDAY($J889,2)))</f>
        <v/>
      </c>
      <c r="S889" s="3">
        <f>IF($I889="","",IFERROR(INDEX('CAT_TIPOS_OT'!$C$4:$C$7,MATCH($I889,'CAT_TIPOS_OT'!$A$4:$A$7,0)),"sin_clasificar"))</f>
        <v/>
      </c>
      <c r="T889" s="3">
        <f>IF($F889="","",IFERROR(INDEX('CAT_CENTROS_COSTO'!$E$4:$E$9,MATCH($F889,'CAT_CENTROS_COSTO'!$A$4:$A$9,0)),"(sin catálogo)"))</f>
        <v/>
      </c>
      <c r="U889" s="3">
        <f>IF($F889="","",IFERROR(INDEX('CAT_CENTROS_COSTO'!$D$4:$D$9,MATCH($F889,'CAT_CENTROS_COSTO'!$A$4:$A$9,0)),"(sin catálogo)"))</f>
        <v/>
      </c>
      <c r="V889" s="3">
        <f>IF($F889="","",IFERROR(INDEX('CAT_CENTROS_COSTO'!$F$4:$F$9,MATCH($F889,'CAT_CENTROS_COSTO'!$A$4:$A$9,0)),"(sin catálogo)"))</f>
        <v/>
      </c>
      <c r="W889" s="3">
        <f>IF($G889="","",IFERROR(INDEX('CAT_PUESTOS'!$B$4:$B$8,MATCH($G889,'CAT_PUESTOS'!$A$4:$A$8,0)),"(sin catálogo)"))</f>
        <v/>
      </c>
      <c r="X889" s="3">
        <f>IF($H889="","",IFERROR(INDEX('CAT_ACTIVIDADES'!$B$4:$B$8,MATCH($H889,'CAT_ACTIVIDADES'!$A$4:$A$8,0)),"(sin catálogo)"))</f>
        <v/>
      </c>
      <c r="Y889" s="12">
        <f>IF($J889="","",TODAY()-$J889)</f>
        <v/>
      </c>
      <c r="Z889" s="3">
        <f>IF($Y889="","",IF($Y889&lt;0,"FUTURO",IF($Y889&gt;p_dias_backlog_max,"BACKLOG","MES CORRIENTE")))</f>
        <v/>
      </c>
      <c r="AA889" s="3">
        <f>IF($Y889="",FALSE,AND($Y889&gt;p_dias_backlog_min,$Y889&lt;=p_dias_backlog_max))</f>
        <v/>
      </c>
      <c r="AB889" s="6" t="n"/>
      <c r="AC889" s="3">
        <f>IF($AB889="","",IFERROR(INDEX('ASIGNACIONES'!$F$4:$F$339,MATCH($O889&amp;"|"&amp;$R889&amp;"|"&amp;$AB889,'ASIGNACIONES'!$I$4:$I$339,0)),""))</f>
        <v/>
      </c>
      <c r="AD889" s="13">
        <f>IF($AB889="","",SUMIFS('ORDENES'!$M$4:$M$1203,'ORDENES'!$AB$4:$AB$1203,$AB889,'ORDENES'!$O$4:$O$1203,$O889,'ORDENES'!$R$4:$R$1203,$R889))</f>
        <v/>
      </c>
      <c r="AE889" s="13">
        <f>IF($AD889="","",p_factor_productividad*IFERROR(INDEX('ASIGNACIONES'!$H$4:$H$339,MATCH($O889&amp;"|"&amp;$R889&amp;"|"&amp;$AB889,'ASIGNACIONES'!$I$4:$I$339,0)),0)-$AD889)</f>
        <v/>
      </c>
      <c r="AF889" s="10">
        <f>IF($A889="","",IFERROR(INDEX('2_IMPORTAR_EJECUCION'!$F$9:$F$1208,MATCH($AN889,'2_IMPORTAR_EJECUCION'!$J$9:$J$1208,0)),0))</f>
        <v/>
      </c>
      <c r="AG889" s="10">
        <f>IF($A889="","",MAX(0,IFERROR(INDEX('2_IMPORTAR_EJECUCION'!$H$9:$H$1208,MATCH($AN889,'2_IMPORTAR_EJECUCION'!$J$9:$J$1208,0)),0)-$AF889))</f>
        <v/>
      </c>
      <c r="AH889" s="10">
        <f>IF($A889="","",$AF889+$AG889)</f>
        <v/>
      </c>
      <c r="AI889" s="6" t="n"/>
      <c r="AJ889" s="6" t="n"/>
      <c r="AK889" s="6" t="n"/>
      <c r="AL889" s="3">
        <f>IF($AK889="","",HYPERLINK(p_ruta_base_checklists&amp;$AK889,"abrir"))</f>
        <v/>
      </c>
      <c r="AM889" s="6" t="n"/>
      <c r="AN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1" t="n"/>
      <c r="K890" s="3" t="n"/>
      <c r="L890" s="10" t="n"/>
      <c r="M890" s="3">
        <f>IF($A890="","",IFERROR(INDEX('AJUSTES'!$B$4:$B$303,MATCH($AN890,'AJUSTES'!$A$4:$A$303,0)),IF($K890="","",$K890)))</f>
        <v/>
      </c>
      <c r="N890" s="3">
        <f>IF($A890="","",IFERROR(INDEX('CAT_ESTADOS_ERP'!$B$4:$B$7,MATCH(IFERROR(INDEX('2_IMPORTAR_EJECUCION'!$C$9:$C$1208,MATCH($AN890,'2_IMPORTAR_EJECUCION'!$J$9:$J$1208,0)),""),'CAT_ESTADOS_ERP'!$A$4:$A$7,0)),"Pendiente"))</f>
        <v/>
      </c>
      <c r="O890" s="3">
        <f>IF($J890="","",YEAR($J890+4-WEEKDAY($J890,2))&amp;"-S"&amp;TEXT(_xlfn.ISOWEEKNUM($J890),"00"))</f>
        <v/>
      </c>
      <c r="P890" s="3">
        <f>IF($J890="","",YEAR($J890))</f>
        <v/>
      </c>
      <c r="Q890" s="3">
        <f>IF($J890="","",MONTH($J890))</f>
        <v/>
      </c>
      <c r="R890" s="3">
        <f>IF($J890="","",INDEX(lista_dias,WEEKDAY($J890,2)))</f>
        <v/>
      </c>
      <c r="S890" s="3">
        <f>IF($I890="","",IFERROR(INDEX('CAT_TIPOS_OT'!$C$4:$C$7,MATCH($I890,'CAT_TIPOS_OT'!$A$4:$A$7,0)),"sin_clasificar"))</f>
        <v/>
      </c>
      <c r="T890" s="3">
        <f>IF($F890="","",IFERROR(INDEX('CAT_CENTROS_COSTO'!$E$4:$E$9,MATCH($F890,'CAT_CENTROS_COSTO'!$A$4:$A$9,0)),"(sin catálogo)"))</f>
        <v/>
      </c>
      <c r="U890" s="3">
        <f>IF($F890="","",IFERROR(INDEX('CAT_CENTROS_COSTO'!$D$4:$D$9,MATCH($F890,'CAT_CENTROS_COSTO'!$A$4:$A$9,0)),"(sin catálogo)"))</f>
        <v/>
      </c>
      <c r="V890" s="3">
        <f>IF($F890="","",IFERROR(INDEX('CAT_CENTROS_COSTO'!$F$4:$F$9,MATCH($F890,'CAT_CENTROS_COSTO'!$A$4:$A$9,0)),"(sin catálogo)"))</f>
        <v/>
      </c>
      <c r="W890" s="3">
        <f>IF($G890="","",IFERROR(INDEX('CAT_PUESTOS'!$B$4:$B$8,MATCH($G890,'CAT_PUESTOS'!$A$4:$A$8,0)),"(sin catálogo)"))</f>
        <v/>
      </c>
      <c r="X890" s="3">
        <f>IF($H890="","",IFERROR(INDEX('CAT_ACTIVIDADES'!$B$4:$B$8,MATCH($H890,'CAT_ACTIVIDADES'!$A$4:$A$8,0)),"(sin catálogo)"))</f>
        <v/>
      </c>
      <c r="Y890" s="12">
        <f>IF($J890="","",TODAY()-$J890)</f>
        <v/>
      </c>
      <c r="Z890" s="3">
        <f>IF($Y890="","",IF($Y890&lt;0,"FUTURO",IF($Y890&gt;p_dias_backlog_max,"BACKLOG","MES CORRIENTE")))</f>
        <v/>
      </c>
      <c r="AA890" s="3">
        <f>IF($Y890="",FALSE,AND($Y890&gt;p_dias_backlog_min,$Y890&lt;=p_dias_backlog_max))</f>
        <v/>
      </c>
      <c r="AB890" s="6" t="n"/>
      <c r="AC890" s="3">
        <f>IF($AB890="","",IFERROR(INDEX('ASIGNACIONES'!$F$4:$F$339,MATCH($O890&amp;"|"&amp;$R890&amp;"|"&amp;$AB890,'ASIGNACIONES'!$I$4:$I$339,0)),""))</f>
        <v/>
      </c>
      <c r="AD890" s="13">
        <f>IF($AB890="","",SUMIFS('ORDENES'!$M$4:$M$1203,'ORDENES'!$AB$4:$AB$1203,$AB890,'ORDENES'!$O$4:$O$1203,$O890,'ORDENES'!$R$4:$R$1203,$R890))</f>
        <v/>
      </c>
      <c r="AE890" s="13">
        <f>IF($AD890="","",p_factor_productividad*IFERROR(INDEX('ASIGNACIONES'!$H$4:$H$339,MATCH($O890&amp;"|"&amp;$R890&amp;"|"&amp;$AB890,'ASIGNACIONES'!$I$4:$I$339,0)),0)-$AD890)</f>
        <v/>
      </c>
      <c r="AF890" s="10">
        <f>IF($A890="","",IFERROR(INDEX('2_IMPORTAR_EJECUCION'!$F$9:$F$1208,MATCH($AN890,'2_IMPORTAR_EJECUCION'!$J$9:$J$1208,0)),0))</f>
        <v/>
      </c>
      <c r="AG890" s="10">
        <f>IF($A890="","",MAX(0,IFERROR(INDEX('2_IMPORTAR_EJECUCION'!$H$9:$H$1208,MATCH($AN890,'2_IMPORTAR_EJECUCION'!$J$9:$J$1208,0)),0)-$AF890))</f>
        <v/>
      </c>
      <c r="AH890" s="10">
        <f>IF($A890="","",$AF890+$AG890)</f>
        <v/>
      </c>
      <c r="AI890" s="6" t="n"/>
      <c r="AJ890" s="6" t="n"/>
      <c r="AK890" s="6" t="n"/>
      <c r="AL890" s="3">
        <f>IF($AK890="","",HYPERLINK(p_ruta_base_checklists&amp;$AK890,"abrir"))</f>
        <v/>
      </c>
      <c r="AM890" s="6" t="n"/>
      <c r="AN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1" t="n"/>
      <c r="K891" s="3" t="n"/>
      <c r="L891" s="10" t="n"/>
      <c r="M891" s="3">
        <f>IF($A891="","",IFERROR(INDEX('AJUSTES'!$B$4:$B$303,MATCH($AN891,'AJUSTES'!$A$4:$A$303,0)),IF($K891="","",$K891)))</f>
        <v/>
      </c>
      <c r="N891" s="3">
        <f>IF($A891="","",IFERROR(INDEX('CAT_ESTADOS_ERP'!$B$4:$B$7,MATCH(IFERROR(INDEX('2_IMPORTAR_EJECUCION'!$C$9:$C$1208,MATCH($AN891,'2_IMPORTAR_EJECUCION'!$J$9:$J$1208,0)),""),'CAT_ESTADOS_ERP'!$A$4:$A$7,0)),"Pendiente"))</f>
        <v/>
      </c>
      <c r="O891" s="3">
        <f>IF($J891="","",YEAR($J891+4-WEEKDAY($J891,2))&amp;"-S"&amp;TEXT(_xlfn.ISOWEEKNUM($J891),"00"))</f>
        <v/>
      </c>
      <c r="P891" s="3">
        <f>IF($J891="","",YEAR($J891))</f>
        <v/>
      </c>
      <c r="Q891" s="3">
        <f>IF($J891="","",MONTH($J891))</f>
        <v/>
      </c>
      <c r="R891" s="3">
        <f>IF($J891="","",INDEX(lista_dias,WEEKDAY($J891,2)))</f>
        <v/>
      </c>
      <c r="S891" s="3">
        <f>IF($I891="","",IFERROR(INDEX('CAT_TIPOS_OT'!$C$4:$C$7,MATCH($I891,'CAT_TIPOS_OT'!$A$4:$A$7,0)),"sin_clasificar"))</f>
        <v/>
      </c>
      <c r="T891" s="3">
        <f>IF($F891="","",IFERROR(INDEX('CAT_CENTROS_COSTO'!$E$4:$E$9,MATCH($F891,'CAT_CENTROS_COSTO'!$A$4:$A$9,0)),"(sin catálogo)"))</f>
        <v/>
      </c>
      <c r="U891" s="3">
        <f>IF($F891="","",IFERROR(INDEX('CAT_CENTROS_COSTO'!$D$4:$D$9,MATCH($F891,'CAT_CENTROS_COSTO'!$A$4:$A$9,0)),"(sin catálogo)"))</f>
        <v/>
      </c>
      <c r="V891" s="3">
        <f>IF($F891="","",IFERROR(INDEX('CAT_CENTROS_COSTO'!$F$4:$F$9,MATCH($F891,'CAT_CENTROS_COSTO'!$A$4:$A$9,0)),"(sin catálogo)"))</f>
        <v/>
      </c>
      <c r="W891" s="3">
        <f>IF($G891="","",IFERROR(INDEX('CAT_PUESTOS'!$B$4:$B$8,MATCH($G891,'CAT_PUESTOS'!$A$4:$A$8,0)),"(sin catálogo)"))</f>
        <v/>
      </c>
      <c r="X891" s="3">
        <f>IF($H891="","",IFERROR(INDEX('CAT_ACTIVIDADES'!$B$4:$B$8,MATCH($H891,'CAT_ACTIVIDADES'!$A$4:$A$8,0)),"(sin catálogo)"))</f>
        <v/>
      </c>
      <c r="Y891" s="12">
        <f>IF($J891="","",TODAY()-$J891)</f>
        <v/>
      </c>
      <c r="Z891" s="3">
        <f>IF($Y891="","",IF($Y891&lt;0,"FUTURO",IF($Y891&gt;p_dias_backlog_max,"BACKLOG","MES CORRIENTE")))</f>
        <v/>
      </c>
      <c r="AA891" s="3">
        <f>IF($Y891="",FALSE,AND($Y891&gt;p_dias_backlog_min,$Y891&lt;=p_dias_backlog_max))</f>
        <v/>
      </c>
      <c r="AB891" s="6" t="n"/>
      <c r="AC891" s="3">
        <f>IF($AB891="","",IFERROR(INDEX('ASIGNACIONES'!$F$4:$F$339,MATCH($O891&amp;"|"&amp;$R891&amp;"|"&amp;$AB891,'ASIGNACIONES'!$I$4:$I$339,0)),""))</f>
        <v/>
      </c>
      <c r="AD891" s="13">
        <f>IF($AB891="","",SUMIFS('ORDENES'!$M$4:$M$1203,'ORDENES'!$AB$4:$AB$1203,$AB891,'ORDENES'!$O$4:$O$1203,$O891,'ORDENES'!$R$4:$R$1203,$R891))</f>
        <v/>
      </c>
      <c r="AE891" s="13">
        <f>IF($AD891="","",p_factor_productividad*IFERROR(INDEX('ASIGNACIONES'!$H$4:$H$339,MATCH($O891&amp;"|"&amp;$R891&amp;"|"&amp;$AB891,'ASIGNACIONES'!$I$4:$I$339,0)),0)-$AD891)</f>
        <v/>
      </c>
      <c r="AF891" s="10">
        <f>IF($A891="","",IFERROR(INDEX('2_IMPORTAR_EJECUCION'!$F$9:$F$1208,MATCH($AN891,'2_IMPORTAR_EJECUCION'!$J$9:$J$1208,0)),0))</f>
        <v/>
      </c>
      <c r="AG891" s="10">
        <f>IF($A891="","",MAX(0,IFERROR(INDEX('2_IMPORTAR_EJECUCION'!$H$9:$H$1208,MATCH($AN891,'2_IMPORTAR_EJECUCION'!$J$9:$J$1208,0)),0)-$AF891))</f>
        <v/>
      </c>
      <c r="AH891" s="10">
        <f>IF($A891="","",$AF891+$AG891)</f>
        <v/>
      </c>
      <c r="AI891" s="6" t="n"/>
      <c r="AJ891" s="6" t="n"/>
      <c r="AK891" s="6" t="n"/>
      <c r="AL891" s="3">
        <f>IF($AK891="","",HYPERLINK(p_ruta_base_checklists&amp;$AK891,"abrir"))</f>
        <v/>
      </c>
      <c r="AM891" s="6" t="n"/>
      <c r="AN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1" t="n"/>
      <c r="K892" s="3" t="n"/>
      <c r="L892" s="10" t="n"/>
      <c r="M892" s="3">
        <f>IF($A892="","",IFERROR(INDEX('AJUSTES'!$B$4:$B$303,MATCH($AN892,'AJUSTES'!$A$4:$A$303,0)),IF($K892="","",$K892)))</f>
        <v/>
      </c>
      <c r="N892" s="3">
        <f>IF($A892="","",IFERROR(INDEX('CAT_ESTADOS_ERP'!$B$4:$B$7,MATCH(IFERROR(INDEX('2_IMPORTAR_EJECUCION'!$C$9:$C$1208,MATCH($AN892,'2_IMPORTAR_EJECUCION'!$J$9:$J$1208,0)),""),'CAT_ESTADOS_ERP'!$A$4:$A$7,0)),"Pendiente"))</f>
        <v/>
      </c>
      <c r="O892" s="3">
        <f>IF($J892="","",YEAR($J892+4-WEEKDAY($J892,2))&amp;"-S"&amp;TEXT(_xlfn.ISOWEEKNUM($J892),"00"))</f>
        <v/>
      </c>
      <c r="P892" s="3">
        <f>IF($J892="","",YEAR($J892))</f>
        <v/>
      </c>
      <c r="Q892" s="3">
        <f>IF($J892="","",MONTH($J892))</f>
        <v/>
      </c>
      <c r="R892" s="3">
        <f>IF($J892="","",INDEX(lista_dias,WEEKDAY($J892,2)))</f>
        <v/>
      </c>
      <c r="S892" s="3">
        <f>IF($I892="","",IFERROR(INDEX('CAT_TIPOS_OT'!$C$4:$C$7,MATCH($I892,'CAT_TIPOS_OT'!$A$4:$A$7,0)),"sin_clasificar"))</f>
        <v/>
      </c>
      <c r="T892" s="3">
        <f>IF($F892="","",IFERROR(INDEX('CAT_CENTROS_COSTO'!$E$4:$E$9,MATCH($F892,'CAT_CENTROS_COSTO'!$A$4:$A$9,0)),"(sin catálogo)"))</f>
        <v/>
      </c>
      <c r="U892" s="3">
        <f>IF($F892="","",IFERROR(INDEX('CAT_CENTROS_COSTO'!$D$4:$D$9,MATCH($F892,'CAT_CENTROS_COSTO'!$A$4:$A$9,0)),"(sin catálogo)"))</f>
        <v/>
      </c>
      <c r="V892" s="3">
        <f>IF($F892="","",IFERROR(INDEX('CAT_CENTROS_COSTO'!$F$4:$F$9,MATCH($F892,'CAT_CENTROS_COSTO'!$A$4:$A$9,0)),"(sin catálogo)"))</f>
        <v/>
      </c>
      <c r="W892" s="3">
        <f>IF($G892="","",IFERROR(INDEX('CAT_PUESTOS'!$B$4:$B$8,MATCH($G892,'CAT_PUESTOS'!$A$4:$A$8,0)),"(sin catálogo)"))</f>
        <v/>
      </c>
      <c r="X892" s="3">
        <f>IF($H892="","",IFERROR(INDEX('CAT_ACTIVIDADES'!$B$4:$B$8,MATCH($H892,'CAT_ACTIVIDADES'!$A$4:$A$8,0)),"(sin catálogo)"))</f>
        <v/>
      </c>
      <c r="Y892" s="12">
        <f>IF($J892="","",TODAY()-$J892)</f>
        <v/>
      </c>
      <c r="Z892" s="3">
        <f>IF($Y892="","",IF($Y892&lt;0,"FUTURO",IF($Y892&gt;p_dias_backlog_max,"BACKLOG","MES CORRIENTE")))</f>
        <v/>
      </c>
      <c r="AA892" s="3">
        <f>IF($Y892="",FALSE,AND($Y892&gt;p_dias_backlog_min,$Y892&lt;=p_dias_backlog_max))</f>
        <v/>
      </c>
      <c r="AB892" s="6" t="n"/>
      <c r="AC892" s="3">
        <f>IF($AB892="","",IFERROR(INDEX('ASIGNACIONES'!$F$4:$F$339,MATCH($O892&amp;"|"&amp;$R892&amp;"|"&amp;$AB892,'ASIGNACIONES'!$I$4:$I$339,0)),""))</f>
        <v/>
      </c>
      <c r="AD892" s="13">
        <f>IF($AB892="","",SUMIFS('ORDENES'!$M$4:$M$1203,'ORDENES'!$AB$4:$AB$1203,$AB892,'ORDENES'!$O$4:$O$1203,$O892,'ORDENES'!$R$4:$R$1203,$R892))</f>
        <v/>
      </c>
      <c r="AE892" s="13">
        <f>IF($AD892="","",p_factor_productividad*IFERROR(INDEX('ASIGNACIONES'!$H$4:$H$339,MATCH($O892&amp;"|"&amp;$R892&amp;"|"&amp;$AB892,'ASIGNACIONES'!$I$4:$I$339,0)),0)-$AD892)</f>
        <v/>
      </c>
      <c r="AF892" s="10">
        <f>IF($A892="","",IFERROR(INDEX('2_IMPORTAR_EJECUCION'!$F$9:$F$1208,MATCH($AN892,'2_IMPORTAR_EJECUCION'!$J$9:$J$1208,0)),0))</f>
        <v/>
      </c>
      <c r="AG892" s="10">
        <f>IF($A892="","",MAX(0,IFERROR(INDEX('2_IMPORTAR_EJECUCION'!$H$9:$H$1208,MATCH($AN892,'2_IMPORTAR_EJECUCION'!$J$9:$J$1208,0)),0)-$AF892))</f>
        <v/>
      </c>
      <c r="AH892" s="10">
        <f>IF($A892="","",$AF892+$AG892)</f>
        <v/>
      </c>
      <c r="AI892" s="6" t="n"/>
      <c r="AJ892" s="6" t="n"/>
      <c r="AK892" s="6" t="n"/>
      <c r="AL892" s="3">
        <f>IF($AK892="","",HYPERLINK(p_ruta_base_checklists&amp;$AK892,"abrir"))</f>
        <v/>
      </c>
      <c r="AM892" s="6" t="n"/>
      <c r="AN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1" t="n"/>
      <c r="K893" s="3" t="n"/>
      <c r="L893" s="10" t="n"/>
      <c r="M893" s="3">
        <f>IF($A893="","",IFERROR(INDEX('AJUSTES'!$B$4:$B$303,MATCH($AN893,'AJUSTES'!$A$4:$A$303,0)),IF($K893="","",$K893)))</f>
        <v/>
      </c>
      <c r="N893" s="3">
        <f>IF($A893="","",IFERROR(INDEX('CAT_ESTADOS_ERP'!$B$4:$B$7,MATCH(IFERROR(INDEX('2_IMPORTAR_EJECUCION'!$C$9:$C$1208,MATCH($AN893,'2_IMPORTAR_EJECUCION'!$J$9:$J$1208,0)),""),'CAT_ESTADOS_ERP'!$A$4:$A$7,0)),"Pendiente"))</f>
        <v/>
      </c>
      <c r="O893" s="3">
        <f>IF($J893="","",YEAR($J893+4-WEEKDAY($J893,2))&amp;"-S"&amp;TEXT(_xlfn.ISOWEEKNUM($J893),"00"))</f>
        <v/>
      </c>
      <c r="P893" s="3">
        <f>IF($J893="","",YEAR($J893))</f>
        <v/>
      </c>
      <c r="Q893" s="3">
        <f>IF($J893="","",MONTH($J893))</f>
        <v/>
      </c>
      <c r="R893" s="3">
        <f>IF($J893="","",INDEX(lista_dias,WEEKDAY($J893,2)))</f>
        <v/>
      </c>
      <c r="S893" s="3">
        <f>IF($I893="","",IFERROR(INDEX('CAT_TIPOS_OT'!$C$4:$C$7,MATCH($I893,'CAT_TIPOS_OT'!$A$4:$A$7,0)),"sin_clasificar"))</f>
        <v/>
      </c>
      <c r="T893" s="3">
        <f>IF($F893="","",IFERROR(INDEX('CAT_CENTROS_COSTO'!$E$4:$E$9,MATCH($F893,'CAT_CENTROS_COSTO'!$A$4:$A$9,0)),"(sin catálogo)"))</f>
        <v/>
      </c>
      <c r="U893" s="3">
        <f>IF($F893="","",IFERROR(INDEX('CAT_CENTROS_COSTO'!$D$4:$D$9,MATCH($F893,'CAT_CENTROS_COSTO'!$A$4:$A$9,0)),"(sin catálogo)"))</f>
        <v/>
      </c>
      <c r="V893" s="3">
        <f>IF($F893="","",IFERROR(INDEX('CAT_CENTROS_COSTO'!$F$4:$F$9,MATCH($F893,'CAT_CENTROS_COSTO'!$A$4:$A$9,0)),"(sin catálogo)"))</f>
        <v/>
      </c>
      <c r="W893" s="3">
        <f>IF($G893="","",IFERROR(INDEX('CAT_PUESTOS'!$B$4:$B$8,MATCH($G893,'CAT_PUESTOS'!$A$4:$A$8,0)),"(sin catálogo)"))</f>
        <v/>
      </c>
      <c r="X893" s="3">
        <f>IF($H893="","",IFERROR(INDEX('CAT_ACTIVIDADES'!$B$4:$B$8,MATCH($H893,'CAT_ACTIVIDADES'!$A$4:$A$8,0)),"(sin catálogo)"))</f>
        <v/>
      </c>
      <c r="Y893" s="12">
        <f>IF($J893="","",TODAY()-$J893)</f>
        <v/>
      </c>
      <c r="Z893" s="3">
        <f>IF($Y893="","",IF($Y893&lt;0,"FUTURO",IF($Y893&gt;p_dias_backlog_max,"BACKLOG","MES CORRIENTE")))</f>
        <v/>
      </c>
      <c r="AA893" s="3">
        <f>IF($Y893="",FALSE,AND($Y893&gt;p_dias_backlog_min,$Y893&lt;=p_dias_backlog_max))</f>
        <v/>
      </c>
      <c r="AB893" s="6" t="n"/>
      <c r="AC893" s="3">
        <f>IF($AB893="","",IFERROR(INDEX('ASIGNACIONES'!$F$4:$F$339,MATCH($O893&amp;"|"&amp;$R893&amp;"|"&amp;$AB893,'ASIGNACIONES'!$I$4:$I$339,0)),""))</f>
        <v/>
      </c>
      <c r="AD893" s="13">
        <f>IF($AB893="","",SUMIFS('ORDENES'!$M$4:$M$1203,'ORDENES'!$AB$4:$AB$1203,$AB893,'ORDENES'!$O$4:$O$1203,$O893,'ORDENES'!$R$4:$R$1203,$R893))</f>
        <v/>
      </c>
      <c r="AE893" s="13">
        <f>IF($AD893="","",p_factor_productividad*IFERROR(INDEX('ASIGNACIONES'!$H$4:$H$339,MATCH($O893&amp;"|"&amp;$R893&amp;"|"&amp;$AB893,'ASIGNACIONES'!$I$4:$I$339,0)),0)-$AD893)</f>
        <v/>
      </c>
      <c r="AF893" s="10">
        <f>IF($A893="","",IFERROR(INDEX('2_IMPORTAR_EJECUCION'!$F$9:$F$1208,MATCH($AN893,'2_IMPORTAR_EJECUCION'!$J$9:$J$1208,0)),0))</f>
        <v/>
      </c>
      <c r="AG893" s="10">
        <f>IF($A893="","",MAX(0,IFERROR(INDEX('2_IMPORTAR_EJECUCION'!$H$9:$H$1208,MATCH($AN893,'2_IMPORTAR_EJECUCION'!$J$9:$J$1208,0)),0)-$AF893))</f>
        <v/>
      </c>
      <c r="AH893" s="10">
        <f>IF($A893="","",$AF893+$AG893)</f>
        <v/>
      </c>
      <c r="AI893" s="6" t="n"/>
      <c r="AJ893" s="6" t="n"/>
      <c r="AK893" s="6" t="n"/>
      <c r="AL893" s="3">
        <f>IF($AK893="","",HYPERLINK(p_ruta_base_checklists&amp;$AK893,"abrir"))</f>
        <v/>
      </c>
      <c r="AM893" s="6" t="n"/>
      <c r="AN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1" t="n"/>
      <c r="K894" s="3" t="n"/>
      <c r="L894" s="10" t="n"/>
      <c r="M894" s="3">
        <f>IF($A894="","",IFERROR(INDEX('AJUSTES'!$B$4:$B$303,MATCH($AN894,'AJUSTES'!$A$4:$A$303,0)),IF($K894="","",$K894)))</f>
        <v/>
      </c>
      <c r="N894" s="3">
        <f>IF($A894="","",IFERROR(INDEX('CAT_ESTADOS_ERP'!$B$4:$B$7,MATCH(IFERROR(INDEX('2_IMPORTAR_EJECUCION'!$C$9:$C$1208,MATCH($AN894,'2_IMPORTAR_EJECUCION'!$J$9:$J$1208,0)),""),'CAT_ESTADOS_ERP'!$A$4:$A$7,0)),"Pendiente"))</f>
        <v/>
      </c>
      <c r="O894" s="3">
        <f>IF($J894="","",YEAR($J894+4-WEEKDAY($J894,2))&amp;"-S"&amp;TEXT(_xlfn.ISOWEEKNUM($J894),"00"))</f>
        <v/>
      </c>
      <c r="P894" s="3">
        <f>IF($J894="","",YEAR($J894))</f>
        <v/>
      </c>
      <c r="Q894" s="3">
        <f>IF($J894="","",MONTH($J894))</f>
        <v/>
      </c>
      <c r="R894" s="3">
        <f>IF($J894="","",INDEX(lista_dias,WEEKDAY($J894,2)))</f>
        <v/>
      </c>
      <c r="S894" s="3">
        <f>IF($I894="","",IFERROR(INDEX('CAT_TIPOS_OT'!$C$4:$C$7,MATCH($I894,'CAT_TIPOS_OT'!$A$4:$A$7,0)),"sin_clasificar"))</f>
        <v/>
      </c>
      <c r="T894" s="3">
        <f>IF($F894="","",IFERROR(INDEX('CAT_CENTROS_COSTO'!$E$4:$E$9,MATCH($F894,'CAT_CENTROS_COSTO'!$A$4:$A$9,0)),"(sin catálogo)"))</f>
        <v/>
      </c>
      <c r="U894" s="3">
        <f>IF($F894="","",IFERROR(INDEX('CAT_CENTROS_COSTO'!$D$4:$D$9,MATCH($F894,'CAT_CENTROS_COSTO'!$A$4:$A$9,0)),"(sin catálogo)"))</f>
        <v/>
      </c>
      <c r="V894" s="3">
        <f>IF($F894="","",IFERROR(INDEX('CAT_CENTROS_COSTO'!$F$4:$F$9,MATCH($F894,'CAT_CENTROS_COSTO'!$A$4:$A$9,0)),"(sin catálogo)"))</f>
        <v/>
      </c>
      <c r="W894" s="3">
        <f>IF($G894="","",IFERROR(INDEX('CAT_PUESTOS'!$B$4:$B$8,MATCH($G894,'CAT_PUESTOS'!$A$4:$A$8,0)),"(sin catálogo)"))</f>
        <v/>
      </c>
      <c r="X894" s="3">
        <f>IF($H894="","",IFERROR(INDEX('CAT_ACTIVIDADES'!$B$4:$B$8,MATCH($H894,'CAT_ACTIVIDADES'!$A$4:$A$8,0)),"(sin catálogo)"))</f>
        <v/>
      </c>
      <c r="Y894" s="12">
        <f>IF($J894="","",TODAY()-$J894)</f>
        <v/>
      </c>
      <c r="Z894" s="3">
        <f>IF($Y894="","",IF($Y894&lt;0,"FUTURO",IF($Y894&gt;p_dias_backlog_max,"BACKLOG","MES CORRIENTE")))</f>
        <v/>
      </c>
      <c r="AA894" s="3">
        <f>IF($Y894="",FALSE,AND($Y894&gt;p_dias_backlog_min,$Y894&lt;=p_dias_backlog_max))</f>
        <v/>
      </c>
      <c r="AB894" s="6" t="n"/>
      <c r="AC894" s="3">
        <f>IF($AB894="","",IFERROR(INDEX('ASIGNACIONES'!$F$4:$F$339,MATCH($O894&amp;"|"&amp;$R894&amp;"|"&amp;$AB894,'ASIGNACIONES'!$I$4:$I$339,0)),""))</f>
        <v/>
      </c>
      <c r="AD894" s="13">
        <f>IF($AB894="","",SUMIFS('ORDENES'!$M$4:$M$1203,'ORDENES'!$AB$4:$AB$1203,$AB894,'ORDENES'!$O$4:$O$1203,$O894,'ORDENES'!$R$4:$R$1203,$R894))</f>
        <v/>
      </c>
      <c r="AE894" s="13">
        <f>IF($AD894="","",p_factor_productividad*IFERROR(INDEX('ASIGNACIONES'!$H$4:$H$339,MATCH($O894&amp;"|"&amp;$R894&amp;"|"&amp;$AB894,'ASIGNACIONES'!$I$4:$I$339,0)),0)-$AD894)</f>
        <v/>
      </c>
      <c r="AF894" s="10">
        <f>IF($A894="","",IFERROR(INDEX('2_IMPORTAR_EJECUCION'!$F$9:$F$1208,MATCH($AN894,'2_IMPORTAR_EJECUCION'!$J$9:$J$1208,0)),0))</f>
        <v/>
      </c>
      <c r="AG894" s="10">
        <f>IF($A894="","",MAX(0,IFERROR(INDEX('2_IMPORTAR_EJECUCION'!$H$9:$H$1208,MATCH($AN894,'2_IMPORTAR_EJECUCION'!$J$9:$J$1208,0)),0)-$AF894))</f>
        <v/>
      </c>
      <c r="AH894" s="10">
        <f>IF($A894="","",$AF894+$AG894)</f>
        <v/>
      </c>
      <c r="AI894" s="6" t="n"/>
      <c r="AJ894" s="6" t="n"/>
      <c r="AK894" s="6" t="n"/>
      <c r="AL894" s="3">
        <f>IF($AK894="","",HYPERLINK(p_ruta_base_checklists&amp;$AK894,"abrir"))</f>
        <v/>
      </c>
      <c r="AM894" s="6" t="n"/>
      <c r="AN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1" t="n"/>
      <c r="K895" s="3" t="n"/>
      <c r="L895" s="10" t="n"/>
      <c r="M895" s="3">
        <f>IF($A895="","",IFERROR(INDEX('AJUSTES'!$B$4:$B$303,MATCH($AN895,'AJUSTES'!$A$4:$A$303,0)),IF($K895="","",$K895)))</f>
        <v/>
      </c>
      <c r="N895" s="3">
        <f>IF($A895="","",IFERROR(INDEX('CAT_ESTADOS_ERP'!$B$4:$B$7,MATCH(IFERROR(INDEX('2_IMPORTAR_EJECUCION'!$C$9:$C$1208,MATCH($AN895,'2_IMPORTAR_EJECUCION'!$J$9:$J$1208,0)),""),'CAT_ESTADOS_ERP'!$A$4:$A$7,0)),"Pendiente"))</f>
        <v/>
      </c>
      <c r="O895" s="3">
        <f>IF($J895="","",YEAR($J895+4-WEEKDAY($J895,2))&amp;"-S"&amp;TEXT(_xlfn.ISOWEEKNUM($J895),"00"))</f>
        <v/>
      </c>
      <c r="P895" s="3">
        <f>IF($J895="","",YEAR($J895))</f>
        <v/>
      </c>
      <c r="Q895" s="3">
        <f>IF($J895="","",MONTH($J895))</f>
        <v/>
      </c>
      <c r="R895" s="3">
        <f>IF($J895="","",INDEX(lista_dias,WEEKDAY($J895,2)))</f>
        <v/>
      </c>
      <c r="S895" s="3">
        <f>IF($I895="","",IFERROR(INDEX('CAT_TIPOS_OT'!$C$4:$C$7,MATCH($I895,'CAT_TIPOS_OT'!$A$4:$A$7,0)),"sin_clasificar"))</f>
        <v/>
      </c>
      <c r="T895" s="3">
        <f>IF($F895="","",IFERROR(INDEX('CAT_CENTROS_COSTO'!$E$4:$E$9,MATCH($F895,'CAT_CENTROS_COSTO'!$A$4:$A$9,0)),"(sin catálogo)"))</f>
        <v/>
      </c>
      <c r="U895" s="3">
        <f>IF($F895="","",IFERROR(INDEX('CAT_CENTROS_COSTO'!$D$4:$D$9,MATCH($F895,'CAT_CENTROS_COSTO'!$A$4:$A$9,0)),"(sin catálogo)"))</f>
        <v/>
      </c>
      <c r="V895" s="3">
        <f>IF($F895="","",IFERROR(INDEX('CAT_CENTROS_COSTO'!$F$4:$F$9,MATCH($F895,'CAT_CENTROS_COSTO'!$A$4:$A$9,0)),"(sin catálogo)"))</f>
        <v/>
      </c>
      <c r="W895" s="3">
        <f>IF($G895="","",IFERROR(INDEX('CAT_PUESTOS'!$B$4:$B$8,MATCH($G895,'CAT_PUESTOS'!$A$4:$A$8,0)),"(sin catálogo)"))</f>
        <v/>
      </c>
      <c r="X895" s="3">
        <f>IF($H895="","",IFERROR(INDEX('CAT_ACTIVIDADES'!$B$4:$B$8,MATCH($H895,'CAT_ACTIVIDADES'!$A$4:$A$8,0)),"(sin catálogo)"))</f>
        <v/>
      </c>
      <c r="Y895" s="12">
        <f>IF($J895="","",TODAY()-$J895)</f>
        <v/>
      </c>
      <c r="Z895" s="3">
        <f>IF($Y895="","",IF($Y895&lt;0,"FUTURO",IF($Y895&gt;p_dias_backlog_max,"BACKLOG","MES CORRIENTE")))</f>
        <v/>
      </c>
      <c r="AA895" s="3">
        <f>IF($Y895="",FALSE,AND($Y895&gt;p_dias_backlog_min,$Y895&lt;=p_dias_backlog_max))</f>
        <v/>
      </c>
      <c r="AB895" s="6" t="n"/>
      <c r="AC895" s="3">
        <f>IF($AB895="","",IFERROR(INDEX('ASIGNACIONES'!$F$4:$F$339,MATCH($O895&amp;"|"&amp;$R895&amp;"|"&amp;$AB895,'ASIGNACIONES'!$I$4:$I$339,0)),""))</f>
        <v/>
      </c>
      <c r="AD895" s="13">
        <f>IF($AB895="","",SUMIFS('ORDENES'!$M$4:$M$1203,'ORDENES'!$AB$4:$AB$1203,$AB895,'ORDENES'!$O$4:$O$1203,$O895,'ORDENES'!$R$4:$R$1203,$R895))</f>
        <v/>
      </c>
      <c r="AE895" s="13">
        <f>IF($AD895="","",p_factor_productividad*IFERROR(INDEX('ASIGNACIONES'!$H$4:$H$339,MATCH($O895&amp;"|"&amp;$R895&amp;"|"&amp;$AB895,'ASIGNACIONES'!$I$4:$I$339,0)),0)-$AD895)</f>
        <v/>
      </c>
      <c r="AF895" s="10">
        <f>IF($A895="","",IFERROR(INDEX('2_IMPORTAR_EJECUCION'!$F$9:$F$1208,MATCH($AN895,'2_IMPORTAR_EJECUCION'!$J$9:$J$1208,0)),0))</f>
        <v/>
      </c>
      <c r="AG895" s="10">
        <f>IF($A895="","",MAX(0,IFERROR(INDEX('2_IMPORTAR_EJECUCION'!$H$9:$H$1208,MATCH($AN895,'2_IMPORTAR_EJECUCION'!$J$9:$J$1208,0)),0)-$AF895))</f>
        <v/>
      </c>
      <c r="AH895" s="10">
        <f>IF($A895="","",$AF895+$AG895)</f>
        <v/>
      </c>
      <c r="AI895" s="6" t="n"/>
      <c r="AJ895" s="6" t="n"/>
      <c r="AK895" s="6" t="n"/>
      <c r="AL895" s="3">
        <f>IF($AK895="","",HYPERLINK(p_ruta_base_checklists&amp;$AK895,"abrir"))</f>
        <v/>
      </c>
      <c r="AM895" s="6" t="n"/>
      <c r="AN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1" t="n"/>
      <c r="K896" s="3" t="n"/>
      <c r="L896" s="10" t="n"/>
      <c r="M896" s="3">
        <f>IF($A896="","",IFERROR(INDEX('AJUSTES'!$B$4:$B$303,MATCH($AN896,'AJUSTES'!$A$4:$A$303,0)),IF($K896="","",$K896)))</f>
        <v/>
      </c>
      <c r="N896" s="3">
        <f>IF($A896="","",IFERROR(INDEX('CAT_ESTADOS_ERP'!$B$4:$B$7,MATCH(IFERROR(INDEX('2_IMPORTAR_EJECUCION'!$C$9:$C$1208,MATCH($AN896,'2_IMPORTAR_EJECUCION'!$J$9:$J$1208,0)),""),'CAT_ESTADOS_ERP'!$A$4:$A$7,0)),"Pendiente"))</f>
        <v/>
      </c>
      <c r="O896" s="3">
        <f>IF($J896="","",YEAR($J896+4-WEEKDAY($J896,2))&amp;"-S"&amp;TEXT(_xlfn.ISOWEEKNUM($J896),"00"))</f>
        <v/>
      </c>
      <c r="P896" s="3">
        <f>IF($J896="","",YEAR($J896))</f>
        <v/>
      </c>
      <c r="Q896" s="3">
        <f>IF($J896="","",MONTH($J896))</f>
        <v/>
      </c>
      <c r="R896" s="3">
        <f>IF($J896="","",INDEX(lista_dias,WEEKDAY($J896,2)))</f>
        <v/>
      </c>
      <c r="S896" s="3">
        <f>IF($I896="","",IFERROR(INDEX('CAT_TIPOS_OT'!$C$4:$C$7,MATCH($I896,'CAT_TIPOS_OT'!$A$4:$A$7,0)),"sin_clasificar"))</f>
        <v/>
      </c>
      <c r="T896" s="3">
        <f>IF($F896="","",IFERROR(INDEX('CAT_CENTROS_COSTO'!$E$4:$E$9,MATCH($F896,'CAT_CENTROS_COSTO'!$A$4:$A$9,0)),"(sin catálogo)"))</f>
        <v/>
      </c>
      <c r="U896" s="3">
        <f>IF($F896="","",IFERROR(INDEX('CAT_CENTROS_COSTO'!$D$4:$D$9,MATCH($F896,'CAT_CENTROS_COSTO'!$A$4:$A$9,0)),"(sin catálogo)"))</f>
        <v/>
      </c>
      <c r="V896" s="3">
        <f>IF($F896="","",IFERROR(INDEX('CAT_CENTROS_COSTO'!$F$4:$F$9,MATCH($F896,'CAT_CENTROS_COSTO'!$A$4:$A$9,0)),"(sin catálogo)"))</f>
        <v/>
      </c>
      <c r="W896" s="3">
        <f>IF($G896="","",IFERROR(INDEX('CAT_PUESTOS'!$B$4:$B$8,MATCH($G896,'CAT_PUESTOS'!$A$4:$A$8,0)),"(sin catálogo)"))</f>
        <v/>
      </c>
      <c r="X896" s="3">
        <f>IF($H896="","",IFERROR(INDEX('CAT_ACTIVIDADES'!$B$4:$B$8,MATCH($H896,'CAT_ACTIVIDADES'!$A$4:$A$8,0)),"(sin catálogo)"))</f>
        <v/>
      </c>
      <c r="Y896" s="12">
        <f>IF($J896="","",TODAY()-$J896)</f>
        <v/>
      </c>
      <c r="Z896" s="3">
        <f>IF($Y896="","",IF($Y896&lt;0,"FUTURO",IF($Y896&gt;p_dias_backlog_max,"BACKLOG","MES CORRIENTE")))</f>
        <v/>
      </c>
      <c r="AA896" s="3">
        <f>IF($Y896="",FALSE,AND($Y896&gt;p_dias_backlog_min,$Y896&lt;=p_dias_backlog_max))</f>
        <v/>
      </c>
      <c r="AB896" s="6" t="n"/>
      <c r="AC896" s="3">
        <f>IF($AB896="","",IFERROR(INDEX('ASIGNACIONES'!$F$4:$F$339,MATCH($O896&amp;"|"&amp;$R896&amp;"|"&amp;$AB896,'ASIGNACIONES'!$I$4:$I$339,0)),""))</f>
        <v/>
      </c>
      <c r="AD896" s="13">
        <f>IF($AB896="","",SUMIFS('ORDENES'!$M$4:$M$1203,'ORDENES'!$AB$4:$AB$1203,$AB896,'ORDENES'!$O$4:$O$1203,$O896,'ORDENES'!$R$4:$R$1203,$R896))</f>
        <v/>
      </c>
      <c r="AE896" s="13">
        <f>IF($AD896="","",p_factor_productividad*IFERROR(INDEX('ASIGNACIONES'!$H$4:$H$339,MATCH($O896&amp;"|"&amp;$R896&amp;"|"&amp;$AB896,'ASIGNACIONES'!$I$4:$I$339,0)),0)-$AD896)</f>
        <v/>
      </c>
      <c r="AF896" s="10">
        <f>IF($A896="","",IFERROR(INDEX('2_IMPORTAR_EJECUCION'!$F$9:$F$1208,MATCH($AN896,'2_IMPORTAR_EJECUCION'!$J$9:$J$1208,0)),0))</f>
        <v/>
      </c>
      <c r="AG896" s="10">
        <f>IF($A896="","",MAX(0,IFERROR(INDEX('2_IMPORTAR_EJECUCION'!$H$9:$H$1208,MATCH($AN896,'2_IMPORTAR_EJECUCION'!$J$9:$J$1208,0)),0)-$AF896))</f>
        <v/>
      </c>
      <c r="AH896" s="10">
        <f>IF($A896="","",$AF896+$AG896)</f>
        <v/>
      </c>
      <c r="AI896" s="6" t="n"/>
      <c r="AJ896" s="6" t="n"/>
      <c r="AK896" s="6" t="n"/>
      <c r="AL896" s="3">
        <f>IF($AK896="","",HYPERLINK(p_ruta_base_checklists&amp;$AK896,"abrir"))</f>
        <v/>
      </c>
      <c r="AM896" s="6" t="n"/>
      <c r="AN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1" t="n"/>
      <c r="K897" s="3" t="n"/>
      <c r="L897" s="10" t="n"/>
      <c r="M897" s="3">
        <f>IF($A897="","",IFERROR(INDEX('AJUSTES'!$B$4:$B$303,MATCH($AN897,'AJUSTES'!$A$4:$A$303,0)),IF($K897="","",$K897)))</f>
        <v/>
      </c>
      <c r="N897" s="3">
        <f>IF($A897="","",IFERROR(INDEX('CAT_ESTADOS_ERP'!$B$4:$B$7,MATCH(IFERROR(INDEX('2_IMPORTAR_EJECUCION'!$C$9:$C$1208,MATCH($AN897,'2_IMPORTAR_EJECUCION'!$J$9:$J$1208,0)),""),'CAT_ESTADOS_ERP'!$A$4:$A$7,0)),"Pendiente"))</f>
        <v/>
      </c>
      <c r="O897" s="3">
        <f>IF($J897="","",YEAR($J897+4-WEEKDAY($J897,2))&amp;"-S"&amp;TEXT(_xlfn.ISOWEEKNUM($J897),"00"))</f>
        <v/>
      </c>
      <c r="P897" s="3">
        <f>IF($J897="","",YEAR($J897))</f>
        <v/>
      </c>
      <c r="Q897" s="3">
        <f>IF($J897="","",MONTH($J897))</f>
        <v/>
      </c>
      <c r="R897" s="3">
        <f>IF($J897="","",INDEX(lista_dias,WEEKDAY($J897,2)))</f>
        <v/>
      </c>
      <c r="S897" s="3">
        <f>IF($I897="","",IFERROR(INDEX('CAT_TIPOS_OT'!$C$4:$C$7,MATCH($I897,'CAT_TIPOS_OT'!$A$4:$A$7,0)),"sin_clasificar"))</f>
        <v/>
      </c>
      <c r="T897" s="3">
        <f>IF($F897="","",IFERROR(INDEX('CAT_CENTROS_COSTO'!$E$4:$E$9,MATCH($F897,'CAT_CENTROS_COSTO'!$A$4:$A$9,0)),"(sin catálogo)"))</f>
        <v/>
      </c>
      <c r="U897" s="3">
        <f>IF($F897="","",IFERROR(INDEX('CAT_CENTROS_COSTO'!$D$4:$D$9,MATCH($F897,'CAT_CENTROS_COSTO'!$A$4:$A$9,0)),"(sin catálogo)"))</f>
        <v/>
      </c>
      <c r="V897" s="3">
        <f>IF($F897="","",IFERROR(INDEX('CAT_CENTROS_COSTO'!$F$4:$F$9,MATCH($F897,'CAT_CENTROS_COSTO'!$A$4:$A$9,0)),"(sin catálogo)"))</f>
        <v/>
      </c>
      <c r="W897" s="3">
        <f>IF($G897="","",IFERROR(INDEX('CAT_PUESTOS'!$B$4:$B$8,MATCH($G897,'CAT_PUESTOS'!$A$4:$A$8,0)),"(sin catálogo)"))</f>
        <v/>
      </c>
      <c r="X897" s="3">
        <f>IF($H897="","",IFERROR(INDEX('CAT_ACTIVIDADES'!$B$4:$B$8,MATCH($H897,'CAT_ACTIVIDADES'!$A$4:$A$8,0)),"(sin catálogo)"))</f>
        <v/>
      </c>
      <c r="Y897" s="12">
        <f>IF($J897="","",TODAY()-$J897)</f>
        <v/>
      </c>
      <c r="Z897" s="3">
        <f>IF($Y897="","",IF($Y897&lt;0,"FUTURO",IF($Y897&gt;p_dias_backlog_max,"BACKLOG","MES CORRIENTE")))</f>
        <v/>
      </c>
      <c r="AA897" s="3">
        <f>IF($Y897="",FALSE,AND($Y897&gt;p_dias_backlog_min,$Y897&lt;=p_dias_backlog_max))</f>
        <v/>
      </c>
      <c r="AB897" s="6" t="n"/>
      <c r="AC897" s="3">
        <f>IF($AB897="","",IFERROR(INDEX('ASIGNACIONES'!$F$4:$F$339,MATCH($O897&amp;"|"&amp;$R897&amp;"|"&amp;$AB897,'ASIGNACIONES'!$I$4:$I$339,0)),""))</f>
        <v/>
      </c>
      <c r="AD897" s="13">
        <f>IF($AB897="","",SUMIFS('ORDENES'!$M$4:$M$1203,'ORDENES'!$AB$4:$AB$1203,$AB897,'ORDENES'!$O$4:$O$1203,$O897,'ORDENES'!$R$4:$R$1203,$R897))</f>
        <v/>
      </c>
      <c r="AE897" s="13">
        <f>IF($AD897="","",p_factor_productividad*IFERROR(INDEX('ASIGNACIONES'!$H$4:$H$339,MATCH($O897&amp;"|"&amp;$R897&amp;"|"&amp;$AB897,'ASIGNACIONES'!$I$4:$I$339,0)),0)-$AD897)</f>
        <v/>
      </c>
      <c r="AF897" s="10">
        <f>IF($A897="","",IFERROR(INDEX('2_IMPORTAR_EJECUCION'!$F$9:$F$1208,MATCH($AN897,'2_IMPORTAR_EJECUCION'!$J$9:$J$1208,0)),0))</f>
        <v/>
      </c>
      <c r="AG897" s="10">
        <f>IF($A897="","",MAX(0,IFERROR(INDEX('2_IMPORTAR_EJECUCION'!$H$9:$H$1208,MATCH($AN897,'2_IMPORTAR_EJECUCION'!$J$9:$J$1208,0)),0)-$AF897))</f>
        <v/>
      </c>
      <c r="AH897" s="10">
        <f>IF($A897="","",$AF897+$AG897)</f>
        <v/>
      </c>
      <c r="AI897" s="6" t="n"/>
      <c r="AJ897" s="6" t="n"/>
      <c r="AK897" s="6" t="n"/>
      <c r="AL897" s="3">
        <f>IF($AK897="","",HYPERLINK(p_ruta_base_checklists&amp;$AK897,"abrir"))</f>
        <v/>
      </c>
      <c r="AM897" s="6" t="n"/>
      <c r="AN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1" t="n"/>
      <c r="K898" s="3" t="n"/>
      <c r="L898" s="10" t="n"/>
      <c r="M898" s="3">
        <f>IF($A898="","",IFERROR(INDEX('AJUSTES'!$B$4:$B$303,MATCH($AN898,'AJUSTES'!$A$4:$A$303,0)),IF($K898="","",$K898)))</f>
        <v/>
      </c>
      <c r="N898" s="3">
        <f>IF($A898="","",IFERROR(INDEX('CAT_ESTADOS_ERP'!$B$4:$B$7,MATCH(IFERROR(INDEX('2_IMPORTAR_EJECUCION'!$C$9:$C$1208,MATCH($AN898,'2_IMPORTAR_EJECUCION'!$J$9:$J$1208,0)),""),'CAT_ESTADOS_ERP'!$A$4:$A$7,0)),"Pendiente"))</f>
        <v/>
      </c>
      <c r="O898" s="3">
        <f>IF($J898="","",YEAR($J898+4-WEEKDAY($J898,2))&amp;"-S"&amp;TEXT(_xlfn.ISOWEEKNUM($J898),"00"))</f>
        <v/>
      </c>
      <c r="P898" s="3">
        <f>IF($J898="","",YEAR($J898))</f>
        <v/>
      </c>
      <c r="Q898" s="3">
        <f>IF($J898="","",MONTH($J898))</f>
        <v/>
      </c>
      <c r="R898" s="3">
        <f>IF($J898="","",INDEX(lista_dias,WEEKDAY($J898,2)))</f>
        <v/>
      </c>
      <c r="S898" s="3">
        <f>IF($I898="","",IFERROR(INDEX('CAT_TIPOS_OT'!$C$4:$C$7,MATCH($I898,'CAT_TIPOS_OT'!$A$4:$A$7,0)),"sin_clasificar"))</f>
        <v/>
      </c>
      <c r="T898" s="3">
        <f>IF($F898="","",IFERROR(INDEX('CAT_CENTROS_COSTO'!$E$4:$E$9,MATCH($F898,'CAT_CENTROS_COSTO'!$A$4:$A$9,0)),"(sin catálogo)"))</f>
        <v/>
      </c>
      <c r="U898" s="3">
        <f>IF($F898="","",IFERROR(INDEX('CAT_CENTROS_COSTO'!$D$4:$D$9,MATCH($F898,'CAT_CENTROS_COSTO'!$A$4:$A$9,0)),"(sin catálogo)"))</f>
        <v/>
      </c>
      <c r="V898" s="3">
        <f>IF($F898="","",IFERROR(INDEX('CAT_CENTROS_COSTO'!$F$4:$F$9,MATCH($F898,'CAT_CENTROS_COSTO'!$A$4:$A$9,0)),"(sin catálogo)"))</f>
        <v/>
      </c>
      <c r="W898" s="3">
        <f>IF($G898="","",IFERROR(INDEX('CAT_PUESTOS'!$B$4:$B$8,MATCH($G898,'CAT_PUESTOS'!$A$4:$A$8,0)),"(sin catálogo)"))</f>
        <v/>
      </c>
      <c r="X898" s="3">
        <f>IF($H898="","",IFERROR(INDEX('CAT_ACTIVIDADES'!$B$4:$B$8,MATCH($H898,'CAT_ACTIVIDADES'!$A$4:$A$8,0)),"(sin catálogo)"))</f>
        <v/>
      </c>
      <c r="Y898" s="12">
        <f>IF($J898="","",TODAY()-$J898)</f>
        <v/>
      </c>
      <c r="Z898" s="3">
        <f>IF($Y898="","",IF($Y898&lt;0,"FUTURO",IF($Y898&gt;p_dias_backlog_max,"BACKLOG","MES CORRIENTE")))</f>
        <v/>
      </c>
      <c r="AA898" s="3">
        <f>IF($Y898="",FALSE,AND($Y898&gt;p_dias_backlog_min,$Y898&lt;=p_dias_backlog_max))</f>
        <v/>
      </c>
      <c r="AB898" s="6" t="n"/>
      <c r="AC898" s="3">
        <f>IF($AB898="","",IFERROR(INDEX('ASIGNACIONES'!$F$4:$F$339,MATCH($O898&amp;"|"&amp;$R898&amp;"|"&amp;$AB898,'ASIGNACIONES'!$I$4:$I$339,0)),""))</f>
        <v/>
      </c>
      <c r="AD898" s="13">
        <f>IF($AB898="","",SUMIFS('ORDENES'!$M$4:$M$1203,'ORDENES'!$AB$4:$AB$1203,$AB898,'ORDENES'!$O$4:$O$1203,$O898,'ORDENES'!$R$4:$R$1203,$R898))</f>
        <v/>
      </c>
      <c r="AE898" s="13">
        <f>IF($AD898="","",p_factor_productividad*IFERROR(INDEX('ASIGNACIONES'!$H$4:$H$339,MATCH($O898&amp;"|"&amp;$R898&amp;"|"&amp;$AB898,'ASIGNACIONES'!$I$4:$I$339,0)),0)-$AD898)</f>
        <v/>
      </c>
      <c r="AF898" s="10">
        <f>IF($A898="","",IFERROR(INDEX('2_IMPORTAR_EJECUCION'!$F$9:$F$1208,MATCH($AN898,'2_IMPORTAR_EJECUCION'!$J$9:$J$1208,0)),0))</f>
        <v/>
      </c>
      <c r="AG898" s="10">
        <f>IF($A898="","",MAX(0,IFERROR(INDEX('2_IMPORTAR_EJECUCION'!$H$9:$H$1208,MATCH($AN898,'2_IMPORTAR_EJECUCION'!$J$9:$J$1208,0)),0)-$AF898))</f>
        <v/>
      </c>
      <c r="AH898" s="10">
        <f>IF($A898="","",$AF898+$AG898)</f>
        <v/>
      </c>
      <c r="AI898" s="6" t="n"/>
      <c r="AJ898" s="6" t="n"/>
      <c r="AK898" s="6" t="n"/>
      <c r="AL898" s="3">
        <f>IF($AK898="","",HYPERLINK(p_ruta_base_checklists&amp;$AK898,"abrir"))</f>
        <v/>
      </c>
      <c r="AM898" s="6" t="n"/>
      <c r="AN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1" t="n"/>
      <c r="K899" s="3" t="n"/>
      <c r="L899" s="10" t="n"/>
      <c r="M899" s="3">
        <f>IF($A899="","",IFERROR(INDEX('AJUSTES'!$B$4:$B$303,MATCH($AN899,'AJUSTES'!$A$4:$A$303,0)),IF($K899="","",$K899)))</f>
        <v/>
      </c>
      <c r="N899" s="3">
        <f>IF($A899="","",IFERROR(INDEX('CAT_ESTADOS_ERP'!$B$4:$B$7,MATCH(IFERROR(INDEX('2_IMPORTAR_EJECUCION'!$C$9:$C$1208,MATCH($AN899,'2_IMPORTAR_EJECUCION'!$J$9:$J$1208,0)),""),'CAT_ESTADOS_ERP'!$A$4:$A$7,0)),"Pendiente"))</f>
        <v/>
      </c>
      <c r="O899" s="3">
        <f>IF($J899="","",YEAR($J899+4-WEEKDAY($J899,2))&amp;"-S"&amp;TEXT(_xlfn.ISOWEEKNUM($J899),"00"))</f>
        <v/>
      </c>
      <c r="P899" s="3">
        <f>IF($J899="","",YEAR($J899))</f>
        <v/>
      </c>
      <c r="Q899" s="3">
        <f>IF($J899="","",MONTH($J899))</f>
        <v/>
      </c>
      <c r="R899" s="3">
        <f>IF($J899="","",INDEX(lista_dias,WEEKDAY($J899,2)))</f>
        <v/>
      </c>
      <c r="S899" s="3">
        <f>IF($I899="","",IFERROR(INDEX('CAT_TIPOS_OT'!$C$4:$C$7,MATCH($I899,'CAT_TIPOS_OT'!$A$4:$A$7,0)),"sin_clasificar"))</f>
        <v/>
      </c>
      <c r="T899" s="3">
        <f>IF($F899="","",IFERROR(INDEX('CAT_CENTROS_COSTO'!$E$4:$E$9,MATCH($F899,'CAT_CENTROS_COSTO'!$A$4:$A$9,0)),"(sin catálogo)"))</f>
        <v/>
      </c>
      <c r="U899" s="3">
        <f>IF($F899="","",IFERROR(INDEX('CAT_CENTROS_COSTO'!$D$4:$D$9,MATCH($F899,'CAT_CENTROS_COSTO'!$A$4:$A$9,0)),"(sin catálogo)"))</f>
        <v/>
      </c>
      <c r="V899" s="3">
        <f>IF($F899="","",IFERROR(INDEX('CAT_CENTROS_COSTO'!$F$4:$F$9,MATCH($F899,'CAT_CENTROS_COSTO'!$A$4:$A$9,0)),"(sin catálogo)"))</f>
        <v/>
      </c>
      <c r="W899" s="3">
        <f>IF($G899="","",IFERROR(INDEX('CAT_PUESTOS'!$B$4:$B$8,MATCH($G899,'CAT_PUESTOS'!$A$4:$A$8,0)),"(sin catálogo)"))</f>
        <v/>
      </c>
      <c r="X899" s="3">
        <f>IF($H899="","",IFERROR(INDEX('CAT_ACTIVIDADES'!$B$4:$B$8,MATCH($H899,'CAT_ACTIVIDADES'!$A$4:$A$8,0)),"(sin catálogo)"))</f>
        <v/>
      </c>
      <c r="Y899" s="12">
        <f>IF($J899="","",TODAY()-$J899)</f>
        <v/>
      </c>
      <c r="Z899" s="3">
        <f>IF($Y899="","",IF($Y899&lt;0,"FUTURO",IF($Y899&gt;p_dias_backlog_max,"BACKLOG","MES CORRIENTE")))</f>
        <v/>
      </c>
      <c r="AA899" s="3">
        <f>IF($Y899="",FALSE,AND($Y899&gt;p_dias_backlog_min,$Y899&lt;=p_dias_backlog_max))</f>
        <v/>
      </c>
      <c r="AB899" s="6" t="n"/>
      <c r="AC899" s="3">
        <f>IF($AB899="","",IFERROR(INDEX('ASIGNACIONES'!$F$4:$F$339,MATCH($O899&amp;"|"&amp;$R899&amp;"|"&amp;$AB899,'ASIGNACIONES'!$I$4:$I$339,0)),""))</f>
        <v/>
      </c>
      <c r="AD899" s="13">
        <f>IF($AB899="","",SUMIFS('ORDENES'!$M$4:$M$1203,'ORDENES'!$AB$4:$AB$1203,$AB899,'ORDENES'!$O$4:$O$1203,$O899,'ORDENES'!$R$4:$R$1203,$R899))</f>
        <v/>
      </c>
      <c r="AE899" s="13">
        <f>IF($AD899="","",p_factor_productividad*IFERROR(INDEX('ASIGNACIONES'!$H$4:$H$339,MATCH($O899&amp;"|"&amp;$R899&amp;"|"&amp;$AB899,'ASIGNACIONES'!$I$4:$I$339,0)),0)-$AD899)</f>
        <v/>
      </c>
      <c r="AF899" s="10">
        <f>IF($A899="","",IFERROR(INDEX('2_IMPORTAR_EJECUCION'!$F$9:$F$1208,MATCH($AN899,'2_IMPORTAR_EJECUCION'!$J$9:$J$1208,0)),0))</f>
        <v/>
      </c>
      <c r="AG899" s="10">
        <f>IF($A899="","",MAX(0,IFERROR(INDEX('2_IMPORTAR_EJECUCION'!$H$9:$H$1208,MATCH($AN899,'2_IMPORTAR_EJECUCION'!$J$9:$J$1208,0)),0)-$AF899))</f>
        <v/>
      </c>
      <c r="AH899" s="10">
        <f>IF($A899="","",$AF899+$AG899)</f>
        <v/>
      </c>
      <c r="AI899" s="6" t="n"/>
      <c r="AJ899" s="6" t="n"/>
      <c r="AK899" s="6" t="n"/>
      <c r="AL899" s="3">
        <f>IF($AK899="","",HYPERLINK(p_ruta_base_checklists&amp;$AK899,"abrir"))</f>
        <v/>
      </c>
      <c r="AM899" s="6" t="n"/>
      <c r="AN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1" t="n"/>
      <c r="K900" s="3" t="n"/>
      <c r="L900" s="10" t="n"/>
      <c r="M900" s="3">
        <f>IF($A900="","",IFERROR(INDEX('AJUSTES'!$B$4:$B$303,MATCH($AN900,'AJUSTES'!$A$4:$A$303,0)),IF($K900="","",$K900)))</f>
        <v/>
      </c>
      <c r="N900" s="3">
        <f>IF($A900="","",IFERROR(INDEX('CAT_ESTADOS_ERP'!$B$4:$B$7,MATCH(IFERROR(INDEX('2_IMPORTAR_EJECUCION'!$C$9:$C$1208,MATCH($AN900,'2_IMPORTAR_EJECUCION'!$J$9:$J$1208,0)),""),'CAT_ESTADOS_ERP'!$A$4:$A$7,0)),"Pendiente"))</f>
        <v/>
      </c>
      <c r="O900" s="3">
        <f>IF($J900="","",YEAR($J900+4-WEEKDAY($J900,2))&amp;"-S"&amp;TEXT(_xlfn.ISOWEEKNUM($J900),"00"))</f>
        <v/>
      </c>
      <c r="P900" s="3">
        <f>IF($J900="","",YEAR($J900))</f>
        <v/>
      </c>
      <c r="Q900" s="3">
        <f>IF($J900="","",MONTH($J900))</f>
        <v/>
      </c>
      <c r="R900" s="3">
        <f>IF($J900="","",INDEX(lista_dias,WEEKDAY($J900,2)))</f>
        <v/>
      </c>
      <c r="S900" s="3">
        <f>IF($I900="","",IFERROR(INDEX('CAT_TIPOS_OT'!$C$4:$C$7,MATCH($I900,'CAT_TIPOS_OT'!$A$4:$A$7,0)),"sin_clasificar"))</f>
        <v/>
      </c>
      <c r="T900" s="3">
        <f>IF($F900="","",IFERROR(INDEX('CAT_CENTROS_COSTO'!$E$4:$E$9,MATCH($F900,'CAT_CENTROS_COSTO'!$A$4:$A$9,0)),"(sin catálogo)"))</f>
        <v/>
      </c>
      <c r="U900" s="3">
        <f>IF($F900="","",IFERROR(INDEX('CAT_CENTROS_COSTO'!$D$4:$D$9,MATCH($F900,'CAT_CENTROS_COSTO'!$A$4:$A$9,0)),"(sin catálogo)"))</f>
        <v/>
      </c>
      <c r="V900" s="3">
        <f>IF($F900="","",IFERROR(INDEX('CAT_CENTROS_COSTO'!$F$4:$F$9,MATCH($F900,'CAT_CENTROS_COSTO'!$A$4:$A$9,0)),"(sin catálogo)"))</f>
        <v/>
      </c>
      <c r="W900" s="3">
        <f>IF($G900="","",IFERROR(INDEX('CAT_PUESTOS'!$B$4:$B$8,MATCH($G900,'CAT_PUESTOS'!$A$4:$A$8,0)),"(sin catálogo)"))</f>
        <v/>
      </c>
      <c r="X900" s="3">
        <f>IF($H900="","",IFERROR(INDEX('CAT_ACTIVIDADES'!$B$4:$B$8,MATCH($H900,'CAT_ACTIVIDADES'!$A$4:$A$8,0)),"(sin catálogo)"))</f>
        <v/>
      </c>
      <c r="Y900" s="12">
        <f>IF($J900="","",TODAY()-$J900)</f>
        <v/>
      </c>
      <c r="Z900" s="3">
        <f>IF($Y900="","",IF($Y900&lt;0,"FUTURO",IF($Y900&gt;p_dias_backlog_max,"BACKLOG","MES CORRIENTE")))</f>
        <v/>
      </c>
      <c r="AA900" s="3">
        <f>IF($Y900="",FALSE,AND($Y900&gt;p_dias_backlog_min,$Y900&lt;=p_dias_backlog_max))</f>
        <v/>
      </c>
      <c r="AB900" s="6" t="n"/>
      <c r="AC900" s="3">
        <f>IF($AB900="","",IFERROR(INDEX('ASIGNACIONES'!$F$4:$F$339,MATCH($O900&amp;"|"&amp;$R900&amp;"|"&amp;$AB900,'ASIGNACIONES'!$I$4:$I$339,0)),""))</f>
        <v/>
      </c>
      <c r="AD900" s="13">
        <f>IF($AB900="","",SUMIFS('ORDENES'!$M$4:$M$1203,'ORDENES'!$AB$4:$AB$1203,$AB900,'ORDENES'!$O$4:$O$1203,$O900,'ORDENES'!$R$4:$R$1203,$R900))</f>
        <v/>
      </c>
      <c r="AE900" s="13">
        <f>IF($AD900="","",p_factor_productividad*IFERROR(INDEX('ASIGNACIONES'!$H$4:$H$339,MATCH($O900&amp;"|"&amp;$R900&amp;"|"&amp;$AB900,'ASIGNACIONES'!$I$4:$I$339,0)),0)-$AD900)</f>
        <v/>
      </c>
      <c r="AF900" s="10">
        <f>IF($A900="","",IFERROR(INDEX('2_IMPORTAR_EJECUCION'!$F$9:$F$1208,MATCH($AN900,'2_IMPORTAR_EJECUCION'!$J$9:$J$1208,0)),0))</f>
        <v/>
      </c>
      <c r="AG900" s="10">
        <f>IF($A900="","",MAX(0,IFERROR(INDEX('2_IMPORTAR_EJECUCION'!$H$9:$H$1208,MATCH($AN900,'2_IMPORTAR_EJECUCION'!$J$9:$J$1208,0)),0)-$AF900))</f>
        <v/>
      </c>
      <c r="AH900" s="10">
        <f>IF($A900="","",$AF900+$AG900)</f>
        <v/>
      </c>
      <c r="AI900" s="6" t="n"/>
      <c r="AJ900" s="6" t="n"/>
      <c r="AK900" s="6" t="n"/>
      <c r="AL900" s="3">
        <f>IF($AK900="","",HYPERLINK(p_ruta_base_checklists&amp;$AK900,"abrir"))</f>
        <v/>
      </c>
      <c r="AM900" s="6" t="n"/>
      <c r="AN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1" t="n"/>
      <c r="K901" s="3" t="n"/>
      <c r="L901" s="10" t="n"/>
      <c r="M901" s="3">
        <f>IF($A901="","",IFERROR(INDEX('AJUSTES'!$B$4:$B$303,MATCH($AN901,'AJUSTES'!$A$4:$A$303,0)),IF($K901="","",$K901)))</f>
        <v/>
      </c>
      <c r="N901" s="3">
        <f>IF($A901="","",IFERROR(INDEX('CAT_ESTADOS_ERP'!$B$4:$B$7,MATCH(IFERROR(INDEX('2_IMPORTAR_EJECUCION'!$C$9:$C$1208,MATCH($AN901,'2_IMPORTAR_EJECUCION'!$J$9:$J$1208,0)),""),'CAT_ESTADOS_ERP'!$A$4:$A$7,0)),"Pendiente"))</f>
        <v/>
      </c>
      <c r="O901" s="3">
        <f>IF($J901="","",YEAR($J901+4-WEEKDAY($J901,2))&amp;"-S"&amp;TEXT(_xlfn.ISOWEEKNUM($J901),"00"))</f>
        <v/>
      </c>
      <c r="P901" s="3">
        <f>IF($J901="","",YEAR($J901))</f>
        <v/>
      </c>
      <c r="Q901" s="3">
        <f>IF($J901="","",MONTH($J901))</f>
        <v/>
      </c>
      <c r="R901" s="3">
        <f>IF($J901="","",INDEX(lista_dias,WEEKDAY($J901,2)))</f>
        <v/>
      </c>
      <c r="S901" s="3">
        <f>IF($I901="","",IFERROR(INDEX('CAT_TIPOS_OT'!$C$4:$C$7,MATCH($I901,'CAT_TIPOS_OT'!$A$4:$A$7,0)),"sin_clasificar"))</f>
        <v/>
      </c>
      <c r="T901" s="3">
        <f>IF($F901="","",IFERROR(INDEX('CAT_CENTROS_COSTO'!$E$4:$E$9,MATCH($F901,'CAT_CENTROS_COSTO'!$A$4:$A$9,0)),"(sin catálogo)"))</f>
        <v/>
      </c>
      <c r="U901" s="3">
        <f>IF($F901="","",IFERROR(INDEX('CAT_CENTROS_COSTO'!$D$4:$D$9,MATCH($F901,'CAT_CENTROS_COSTO'!$A$4:$A$9,0)),"(sin catálogo)"))</f>
        <v/>
      </c>
      <c r="V901" s="3">
        <f>IF($F901="","",IFERROR(INDEX('CAT_CENTROS_COSTO'!$F$4:$F$9,MATCH($F901,'CAT_CENTROS_COSTO'!$A$4:$A$9,0)),"(sin catálogo)"))</f>
        <v/>
      </c>
      <c r="W901" s="3">
        <f>IF($G901="","",IFERROR(INDEX('CAT_PUESTOS'!$B$4:$B$8,MATCH($G901,'CAT_PUESTOS'!$A$4:$A$8,0)),"(sin catálogo)"))</f>
        <v/>
      </c>
      <c r="X901" s="3">
        <f>IF($H901="","",IFERROR(INDEX('CAT_ACTIVIDADES'!$B$4:$B$8,MATCH($H901,'CAT_ACTIVIDADES'!$A$4:$A$8,0)),"(sin catálogo)"))</f>
        <v/>
      </c>
      <c r="Y901" s="12">
        <f>IF($J901="","",TODAY()-$J901)</f>
        <v/>
      </c>
      <c r="Z901" s="3">
        <f>IF($Y901="","",IF($Y901&lt;0,"FUTURO",IF($Y901&gt;p_dias_backlog_max,"BACKLOG","MES CORRIENTE")))</f>
        <v/>
      </c>
      <c r="AA901" s="3">
        <f>IF($Y901="",FALSE,AND($Y901&gt;p_dias_backlog_min,$Y901&lt;=p_dias_backlog_max))</f>
        <v/>
      </c>
      <c r="AB901" s="6" t="n"/>
      <c r="AC901" s="3">
        <f>IF($AB901="","",IFERROR(INDEX('ASIGNACIONES'!$F$4:$F$339,MATCH($O901&amp;"|"&amp;$R901&amp;"|"&amp;$AB901,'ASIGNACIONES'!$I$4:$I$339,0)),""))</f>
        <v/>
      </c>
      <c r="AD901" s="13">
        <f>IF($AB901="","",SUMIFS('ORDENES'!$M$4:$M$1203,'ORDENES'!$AB$4:$AB$1203,$AB901,'ORDENES'!$O$4:$O$1203,$O901,'ORDENES'!$R$4:$R$1203,$R901))</f>
        <v/>
      </c>
      <c r="AE901" s="13">
        <f>IF($AD901="","",p_factor_productividad*IFERROR(INDEX('ASIGNACIONES'!$H$4:$H$339,MATCH($O901&amp;"|"&amp;$R901&amp;"|"&amp;$AB901,'ASIGNACIONES'!$I$4:$I$339,0)),0)-$AD901)</f>
        <v/>
      </c>
      <c r="AF901" s="10">
        <f>IF($A901="","",IFERROR(INDEX('2_IMPORTAR_EJECUCION'!$F$9:$F$1208,MATCH($AN901,'2_IMPORTAR_EJECUCION'!$J$9:$J$1208,0)),0))</f>
        <v/>
      </c>
      <c r="AG901" s="10">
        <f>IF($A901="","",MAX(0,IFERROR(INDEX('2_IMPORTAR_EJECUCION'!$H$9:$H$1208,MATCH($AN901,'2_IMPORTAR_EJECUCION'!$J$9:$J$1208,0)),0)-$AF901))</f>
        <v/>
      </c>
      <c r="AH901" s="10">
        <f>IF($A901="","",$AF901+$AG901)</f>
        <v/>
      </c>
      <c r="AI901" s="6" t="n"/>
      <c r="AJ901" s="6" t="n"/>
      <c r="AK901" s="6" t="n"/>
      <c r="AL901" s="3">
        <f>IF($AK901="","",HYPERLINK(p_ruta_base_checklists&amp;$AK901,"abrir"))</f>
        <v/>
      </c>
      <c r="AM901" s="6" t="n"/>
      <c r="AN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1" t="n"/>
      <c r="K902" s="3" t="n"/>
      <c r="L902" s="10" t="n"/>
      <c r="M902" s="3">
        <f>IF($A902="","",IFERROR(INDEX('AJUSTES'!$B$4:$B$303,MATCH($AN902,'AJUSTES'!$A$4:$A$303,0)),IF($K902="","",$K902)))</f>
        <v/>
      </c>
      <c r="N902" s="3">
        <f>IF($A902="","",IFERROR(INDEX('CAT_ESTADOS_ERP'!$B$4:$B$7,MATCH(IFERROR(INDEX('2_IMPORTAR_EJECUCION'!$C$9:$C$1208,MATCH($AN902,'2_IMPORTAR_EJECUCION'!$J$9:$J$1208,0)),""),'CAT_ESTADOS_ERP'!$A$4:$A$7,0)),"Pendiente"))</f>
        <v/>
      </c>
      <c r="O902" s="3">
        <f>IF($J902="","",YEAR($J902+4-WEEKDAY($J902,2))&amp;"-S"&amp;TEXT(_xlfn.ISOWEEKNUM($J902),"00"))</f>
        <v/>
      </c>
      <c r="P902" s="3">
        <f>IF($J902="","",YEAR($J902))</f>
        <v/>
      </c>
      <c r="Q902" s="3">
        <f>IF($J902="","",MONTH($J902))</f>
        <v/>
      </c>
      <c r="R902" s="3">
        <f>IF($J902="","",INDEX(lista_dias,WEEKDAY($J902,2)))</f>
        <v/>
      </c>
      <c r="S902" s="3">
        <f>IF($I902="","",IFERROR(INDEX('CAT_TIPOS_OT'!$C$4:$C$7,MATCH($I902,'CAT_TIPOS_OT'!$A$4:$A$7,0)),"sin_clasificar"))</f>
        <v/>
      </c>
      <c r="T902" s="3">
        <f>IF($F902="","",IFERROR(INDEX('CAT_CENTROS_COSTO'!$E$4:$E$9,MATCH($F902,'CAT_CENTROS_COSTO'!$A$4:$A$9,0)),"(sin catálogo)"))</f>
        <v/>
      </c>
      <c r="U902" s="3">
        <f>IF($F902="","",IFERROR(INDEX('CAT_CENTROS_COSTO'!$D$4:$D$9,MATCH($F902,'CAT_CENTROS_COSTO'!$A$4:$A$9,0)),"(sin catálogo)"))</f>
        <v/>
      </c>
      <c r="V902" s="3">
        <f>IF($F902="","",IFERROR(INDEX('CAT_CENTROS_COSTO'!$F$4:$F$9,MATCH($F902,'CAT_CENTROS_COSTO'!$A$4:$A$9,0)),"(sin catálogo)"))</f>
        <v/>
      </c>
      <c r="W902" s="3">
        <f>IF($G902="","",IFERROR(INDEX('CAT_PUESTOS'!$B$4:$B$8,MATCH($G902,'CAT_PUESTOS'!$A$4:$A$8,0)),"(sin catálogo)"))</f>
        <v/>
      </c>
      <c r="X902" s="3">
        <f>IF($H902="","",IFERROR(INDEX('CAT_ACTIVIDADES'!$B$4:$B$8,MATCH($H902,'CAT_ACTIVIDADES'!$A$4:$A$8,0)),"(sin catálogo)"))</f>
        <v/>
      </c>
      <c r="Y902" s="12">
        <f>IF($J902="","",TODAY()-$J902)</f>
        <v/>
      </c>
      <c r="Z902" s="3">
        <f>IF($Y902="","",IF($Y902&lt;0,"FUTURO",IF($Y902&gt;p_dias_backlog_max,"BACKLOG","MES CORRIENTE")))</f>
        <v/>
      </c>
      <c r="AA902" s="3">
        <f>IF($Y902="",FALSE,AND($Y902&gt;p_dias_backlog_min,$Y902&lt;=p_dias_backlog_max))</f>
        <v/>
      </c>
      <c r="AB902" s="6" t="n"/>
      <c r="AC902" s="3">
        <f>IF($AB902="","",IFERROR(INDEX('ASIGNACIONES'!$F$4:$F$339,MATCH($O902&amp;"|"&amp;$R902&amp;"|"&amp;$AB902,'ASIGNACIONES'!$I$4:$I$339,0)),""))</f>
        <v/>
      </c>
      <c r="AD902" s="13">
        <f>IF($AB902="","",SUMIFS('ORDENES'!$M$4:$M$1203,'ORDENES'!$AB$4:$AB$1203,$AB902,'ORDENES'!$O$4:$O$1203,$O902,'ORDENES'!$R$4:$R$1203,$R902))</f>
        <v/>
      </c>
      <c r="AE902" s="13">
        <f>IF($AD902="","",p_factor_productividad*IFERROR(INDEX('ASIGNACIONES'!$H$4:$H$339,MATCH($O902&amp;"|"&amp;$R902&amp;"|"&amp;$AB902,'ASIGNACIONES'!$I$4:$I$339,0)),0)-$AD902)</f>
        <v/>
      </c>
      <c r="AF902" s="10">
        <f>IF($A902="","",IFERROR(INDEX('2_IMPORTAR_EJECUCION'!$F$9:$F$1208,MATCH($AN902,'2_IMPORTAR_EJECUCION'!$J$9:$J$1208,0)),0))</f>
        <v/>
      </c>
      <c r="AG902" s="10">
        <f>IF($A902="","",MAX(0,IFERROR(INDEX('2_IMPORTAR_EJECUCION'!$H$9:$H$1208,MATCH($AN902,'2_IMPORTAR_EJECUCION'!$J$9:$J$1208,0)),0)-$AF902))</f>
        <v/>
      </c>
      <c r="AH902" s="10">
        <f>IF($A902="","",$AF902+$AG902)</f>
        <v/>
      </c>
      <c r="AI902" s="6" t="n"/>
      <c r="AJ902" s="6" t="n"/>
      <c r="AK902" s="6" t="n"/>
      <c r="AL902" s="3">
        <f>IF($AK902="","",HYPERLINK(p_ruta_base_checklists&amp;$AK902,"abrir"))</f>
        <v/>
      </c>
      <c r="AM902" s="6" t="n"/>
      <c r="AN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1" t="n"/>
      <c r="K903" s="3" t="n"/>
      <c r="L903" s="10" t="n"/>
      <c r="M903" s="3">
        <f>IF($A903="","",IFERROR(INDEX('AJUSTES'!$B$4:$B$303,MATCH($AN903,'AJUSTES'!$A$4:$A$303,0)),IF($K903="","",$K903)))</f>
        <v/>
      </c>
      <c r="N903" s="3">
        <f>IF($A903="","",IFERROR(INDEX('CAT_ESTADOS_ERP'!$B$4:$B$7,MATCH(IFERROR(INDEX('2_IMPORTAR_EJECUCION'!$C$9:$C$1208,MATCH($AN903,'2_IMPORTAR_EJECUCION'!$J$9:$J$1208,0)),""),'CAT_ESTADOS_ERP'!$A$4:$A$7,0)),"Pendiente"))</f>
        <v/>
      </c>
      <c r="O903" s="3">
        <f>IF($J903="","",YEAR($J903+4-WEEKDAY($J903,2))&amp;"-S"&amp;TEXT(_xlfn.ISOWEEKNUM($J903),"00"))</f>
        <v/>
      </c>
      <c r="P903" s="3">
        <f>IF($J903="","",YEAR($J903))</f>
        <v/>
      </c>
      <c r="Q903" s="3">
        <f>IF($J903="","",MONTH($J903))</f>
        <v/>
      </c>
      <c r="R903" s="3">
        <f>IF($J903="","",INDEX(lista_dias,WEEKDAY($J903,2)))</f>
        <v/>
      </c>
      <c r="S903" s="3">
        <f>IF($I903="","",IFERROR(INDEX('CAT_TIPOS_OT'!$C$4:$C$7,MATCH($I903,'CAT_TIPOS_OT'!$A$4:$A$7,0)),"sin_clasificar"))</f>
        <v/>
      </c>
      <c r="T903" s="3">
        <f>IF($F903="","",IFERROR(INDEX('CAT_CENTROS_COSTO'!$E$4:$E$9,MATCH($F903,'CAT_CENTROS_COSTO'!$A$4:$A$9,0)),"(sin catálogo)"))</f>
        <v/>
      </c>
      <c r="U903" s="3">
        <f>IF($F903="","",IFERROR(INDEX('CAT_CENTROS_COSTO'!$D$4:$D$9,MATCH($F903,'CAT_CENTROS_COSTO'!$A$4:$A$9,0)),"(sin catálogo)"))</f>
        <v/>
      </c>
      <c r="V903" s="3">
        <f>IF($F903="","",IFERROR(INDEX('CAT_CENTROS_COSTO'!$F$4:$F$9,MATCH($F903,'CAT_CENTROS_COSTO'!$A$4:$A$9,0)),"(sin catálogo)"))</f>
        <v/>
      </c>
      <c r="W903" s="3">
        <f>IF($G903="","",IFERROR(INDEX('CAT_PUESTOS'!$B$4:$B$8,MATCH($G903,'CAT_PUESTOS'!$A$4:$A$8,0)),"(sin catálogo)"))</f>
        <v/>
      </c>
      <c r="X903" s="3">
        <f>IF($H903="","",IFERROR(INDEX('CAT_ACTIVIDADES'!$B$4:$B$8,MATCH($H903,'CAT_ACTIVIDADES'!$A$4:$A$8,0)),"(sin catálogo)"))</f>
        <v/>
      </c>
      <c r="Y903" s="12">
        <f>IF($J903="","",TODAY()-$J903)</f>
        <v/>
      </c>
      <c r="Z903" s="3">
        <f>IF($Y903="","",IF($Y903&lt;0,"FUTURO",IF($Y903&gt;p_dias_backlog_max,"BACKLOG","MES CORRIENTE")))</f>
        <v/>
      </c>
      <c r="AA903" s="3">
        <f>IF($Y903="",FALSE,AND($Y903&gt;p_dias_backlog_min,$Y903&lt;=p_dias_backlog_max))</f>
        <v/>
      </c>
      <c r="AB903" s="6" t="n"/>
      <c r="AC903" s="3">
        <f>IF($AB903="","",IFERROR(INDEX('ASIGNACIONES'!$F$4:$F$339,MATCH($O903&amp;"|"&amp;$R903&amp;"|"&amp;$AB903,'ASIGNACIONES'!$I$4:$I$339,0)),""))</f>
        <v/>
      </c>
      <c r="AD903" s="13">
        <f>IF($AB903="","",SUMIFS('ORDENES'!$M$4:$M$1203,'ORDENES'!$AB$4:$AB$1203,$AB903,'ORDENES'!$O$4:$O$1203,$O903,'ORDENES'!$R$4:$R$1203,$R903))</f>
        <v/>
      </c>
      <c r="AE903" s="13">
        <f>IF($AD903="","",p_factor_productividad*IFERROR(INDEX('ASIGNACIONES'!$H$4:$H$339,MATCH($O903&amp;"|"&amp;$R903&amp;"|"&amp;$AB903,'ASIGNACIONES'!$I$4:$I$339,0)),0)-$AD903)</f>
        <v/>
      </c>
      <c r="AF903" s="10">
        <f>IF($A903="","",IFERROR(INDEX('2_IMPORTAR_EJECUCION'!$F$9:$F$1208,MATCH($AN903,'2_IMPORTAR_EJECUCION'!$J$9:$J$1208,0)),0))</f>
        <v/>
      </c>
      <c r="AG903" s="10">
        <f>IF($A903="","",MAX(0,IFERROR(INDEX('2_IMPORTAR_EJECUCION'!$H$9:$H$1208,MATCH($AN903,'2_IMPORTAR_EJECUCION'!$J$9:$J$1208,0)),0)-$AF903))</f>
        <v/>
      </c>
      <c r="AH903" s="10">
        <f>IF($A903="","",$AF903+$AG903)</f>
        <v/>
      </c>
      <c r="AI903" s="6" t="n"/>
      <c r="AJ903" s="6" t="n"/>
      <c r="AK903" s="6" t="n"/>
      <c r="AL903" s="3">
        <f>IF($AK903="","",HYPERLINK(p_ruta_base_checklists&amp;$AK903,"abrir"))</f>
        <v/>
      </c>
      <c r="AM903" s="6" t="n"/>
      <c r="AN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1" t="n"/>
      <c r="K904" s="3" t="n"/>
      <c r="L904" s="10" t="n"/>
      <c r="M904" s="3">
        <f>IF($A904="","",IFERROR(INDEX('AJUSTES'!$B$4:$B$303,MATCH($AN904,'AJUSTES'!$A$4:$A$303,0)),IF($K904="","",$K904)))</f>
        <v/>
      </c>
      <c r="N904" s="3">
        <f>IF($A904="","",IFERROR(INDEX('CAT_ESTADOS_ERP'!$B$4:$B$7,MATCH(IFERROR(INDEX('2_IMPORTAR_EJECUCION'!$C$9:$C$1208,MATCH($AN904,'2_IMPORTAR_EJECUCION'!$J$9:$J$1208,0)),""),'CAT_ESTADOS_ERP'!$A$4:$A$7,0)),"Pendiente"))</f>
        <v/>
      </c>
      <c r="O904" s="3">
        <f>IF($J904="","",YEAR($J904+4-WEEKDAY($J904,2))&amp;"-S"&amp;TEXT(_xlfn.ISOWEEKNUM($J904),"00"))</f>
        <v/>
      </c>
      <c r="P904" s="3">
        <f>IF($J904="","",YEAR($J904))</f>
        <v/>
      </c>
      <c r="Q904" s="3">
        <f>IF($J904="","",MONTH($J904))</f>
        <v/>
      </c>
      <c r="R904" s="3">
        <f>IF($J904="","",INDEX(lista_dias,WEEKDAY($J904,2)))</f>
        <v/>
      </c>
      <c r="S904" s="3">
        <f>IF($I904="","",IFERROR(INDEX('CAT_TIPOS_OT'!$C$4:$C$7,MATCH($I904,'CAT_TIPOS_OT'!$A$4:$A$7,0)),"sin_clasificar"))</f>
        <v/>
      </c>
      <c r="T904" s="3">
        <f>IF($F904="","",IFERROR(INDEX('CAT_CENTROS_COSTO'!$E$4:$E$9,MATCH($F904,'CAT_CENTROS_COSTO'!$A$4:$A$9,0)),"(sin catálogo)"))</f>
        <v/>
      </c>
      <c r="U904" s="3">
        <f>IF($F904="","",IFERROR(INDEX('CAT_CENTROS_COSTO'!$D$4:$D$9,MATCH($F904,'CAT_CENTROS_COSTO'!$A$4:$A$9,0)),"(sin catálogo)"))</f>
        <v/>
      </c>
      <c r="V904" s="3">
        <f>IF($F904="","",IFERROR(INDEX('CAT_CENTROS_COSTO'!$F$4:$F$9,MATCH($F904,'CAT_CENTROS_COSTO'!$A$4:$A$9,0)),"(sin catálogo)"))</f>
        <v/>
      </c>
      <c r="W904" s="3">
        <f>IF($G904="","",IFERROR(INDEX('CAT_PUESTOS'!$B$4:$B$8,MATCH($G904,'CAT_PUESTOS'!$A$4:$A$8,0)),"(sin catálogo)"))</f>
        <v/>
      </c>
      <c r="X904" s="3">
        <f>IF($H904="","",IFERROR(INDEX('CAT_ACTIVIDADES'!$B$4:$B$8,MATCH($H904,'CAT_ACTIVIDADES'!$A$4:$A$8,0)),"(sin catálogo)"))</f>
        <v/>
      </c>
      <c r="Y904" s="12">
        <f>IF($J904="","",TODAY()-$J904)</f>
        <v/>
      </c>
      <c r="Z904" s="3">
        <f>IF($Y904="","",IF($Y904&lt;0,"FUTURO",IF($Y904&gt;p_dias_backlog_max,"BACKLOG","MES CORRIENTE")))</f>
        <v/>
      </c>
      <c r="AA904" s="3">
        <f>IF($Y904="",FALSE,AND($Y904&gt;p_dias_backlog_min,$Y904&lt;=p_dias_backlog_max))</f>
        <v/>
      </c>
      <c r="AB904" s="6" t="n"/>
      <c r="AC904" s="3">
        <f>IF($AB904="","",IFERROR(INDEX('ASIGNACIONES'!$F$4:$F$339,MATCH($O904&amp;"|"&amp;$R904&amp;"|"&amp;$AB904,'ASIGNACIONES'!$I$4:$I$339,0)),""))</f>
        <v/>
      </c>
      <c r="AD904" s="13">
        <f>IF($AB904="","",SUMIFS('ORDENES'!$M$4:$M$1203,'ORDENES'!$AB$4:$AB$1203,$AB904,'ORDENES'!$O$4:$O$1203,$O904,'ORDENES'!$R$4:$R$1203,$R904))</f>
        <v/>
      </c>
      <c r="AE904" s="13">
        <f>IF($AD904="","",p_factor_productividad*IFERROR(INDEX('ASIGNACIONES'!$H$4:$H$339,MATCH($O904&amp;"|"&amp;$R904&amp;"|"&amp;$AB904,'ASIGNACIONES'!$I$4:$I$339,0)),0)-$AD904)</f>
        <v/>
      </c>
      <c r="AF904" s="10">
        <f>IF($A904="","",IFERROR(INDEX('2_IMPORTAR_EJECUCION'!$F$9:$F$1208,MATCH($AN904,'2_IMPORTAR_EJECUCION'!$J$9:$J$1208,0)),0))</f>
        <v/>
      </c>
      <c r="AG904" s="10">
        <f>IF($A904="","",MAX(0,IFERROR(INDEX('2_IMPORTAR_EJECUCION'!$H$9:$H$1208,MATCH($AN904,'2_IMPORTAR_EJECUCION'!$J$9:$J$1208,0)),0)-$AF904))</f>
        <v/>
      </c>
      <c r="AH904" s="10">
        <f>IF($A904="","",$AF904+$AG904)</f>
        <v/>
      </c>
      <c r="AI904" s="6" t="n"/>
      <c r="AJ904" s="6" t="n"/>
      <c r="AK904" s="6" t="n"/>
      <c r="AL904" s="3">
        <f>IF($AK904="","",HYPERLINK(p_ruta_base_checklists&amp;$AK904,"abrir"))</f>
        <v/>
      </c>
      <c r="AM904" s="6" t="n"/>
      <c r="AN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1" t="n"/>
      <c r="K905" s="3" t="n"/>
      <c r="L905" s="10" t="n"/>
      <c r="M905" s="3">
        <f>IF($A905="","",IFERROR(INDEX('AJUSTES'!$B$4:$B$303,MATCH($AN905,'AJUSTES'!$A$4:$A$303,0)),IF($K905="","",$K905)))</f>
        <v/>
      </c>
      <c r="N905" s="3">
        <f>IF($A905="","",IFERROR(INDEX('CAT_ESTADOS_ERP'!$B$4:$B$7,MATCH(IFERROR(INDEX('2_IMPORTAR_EJECUCION'!$C$9:$C$1208,MATCH($AN905,'2_IMPORTAR_EJECUCION'!$J$9:$J$1208,0)),""),'CAT_ESTADOS_ERP'!$A$4:$A$7,0)),"Pendiente"))</f>
        <v/>
      </c>
      <c r="O905" s="3">
        <f>IF($J905="","",YEAR($J905+4-WEEKDAY($J905,2))&amp;"-S"&amp;TEXT(_xlfn.ISOWEEKNUM($J905),"00"))</f>
        <v/>
      </c>
      <c r="P905" s="3">
        <f>IF($J905="","",YEAR($J905))</f>
        <v/>
      </c>
      <c r="Q905" s="3">
        <f>IF($J905="","",MONTH($J905))</f>
        <v/>
      </c>
      <c r="R905" s="3">
        <f>IF($J905="","",INDEX(lista_dias,WEEKDAY($J905,2)))</f>
        <v/>
      </c>
      <c r="S905" s="3">
        <f>IF($I905="","",IFERROR(INDEX('CAT_TIPOS_OT'!$C$4:$C$7,MATCH($I905,'CAT_TIPOS_OT'!$A$4:$A$7,0)),"sin_clasificar"))</f>
        <v/>
      </c>
      <c r="T905" s="3">
        <f>IF($F905="","",IFERROR(INDEX('CAT_CENTROS_COSTO'!$E$4:$E$9,MATCH($F905,'CAT_CENTROS_COSTO'!$A$4:$A$9,0)),"(sin catálogo)"))</f>
        <v/>
      </c>
      <c r="U905" s="3">
        <f>IF($F905="","",IFERROR(INDEX('CAT_CENTROS_COSTO'!$D$4:$D$9,MATCH($F905,'CAT_CENTROS_COSTO'!$A$4:$A$9,0)),"(sin catálogo)"))</f>
        <v/>
      </c>
      <c r="V905" s="3">
        <f>IF($F905="","",IFERROR(INDEX('CAT_CENTROS_COSTO'!$F$4:$F$9,MATCH($F905,'CAT_CENTROS_COSTO'!$A$4:$A$9,0)),"(sin catálogo)"))</f>
        <v/>
      </c>
      <c r="W905" s="3">
        <f>IF($G905="","",IFERROR(INDEX('CAT_PUESTOS'!$B$4:$B$8,MATCH($G905,'CAT_PUESTOS'!$A$4:$A$8,0)),"(sin catálogo)"))</f>
        <v/>
      </c>
      <c r="X905" s="3">
        <f>IF($H905="","",IFERROR(INDEX('CAT_ACTIVIDADES'!$B$4:$B$8,MATCH($H905,'CAT_ACTIVIDADES'!$A$4:$A$8,0)),"(sin catálogo)"))</f>
        <v/>
      </c>
      <c r="Y905" s="12">
        <f>IF($J905="","",TODAY()-$J905)</f>
        <v/>
      </c>
      <c r="Z905" s="3">
        <f>IF($Y905="","",IF($Y905&lt;0,"FUTURO",IF($Y905&gt;p_dias_backlog_max,"BACKLOG","MES CORRIENTE")))</f>
        <v/>
      </c>
      <c r="AA905" s="3">
        <f>IF($Y905="",FALSE,AND($Y905&gt;p_dias_backlog_min,$Y905&lt;=p_dias_backlog_max))</f>
        <v/>
      </c>
      <c r="AB905" s="6" t="n"/>
      <c r="AC905" s="3">
        <f>IF($AB905="","",IFERROR(INDEX('ASIGNACIONES'!$F$4:$F$339,MATCH($O905&amp;"|"&amp;$R905&amp;"|"&amp;$AB905,'ASIGNACIONES'!$I$4:$I$339,0)),""))</f>
        <v/>
      </c>
      <c r="AD905" s="13">
        <f>IF($AB905="","",SUMIFS('ORDENES'!$M$4:$M$1203,'ORDENES'!$AB$4:$AB$1203,$AB905,'ORDENES'!$O$4:$O$1203,$O905,'ORDENES'!$R$4:$R$1203,$R905))</f>
        <v/>
      </c>
      <c r="AE905" s="13">
        <f>IF($AD905="","",p_factor_productividad*IFERROR(INDEX('ASIGNACIONES'!$H$4:$H$339,MATCH($O905&amp;"|"&amp;$R905&amp;"|"&amp;$AB905,'ASIGNACIONES'!$I$4:$I$339,0)),0)-$AD905)</f>
        <v/>
      </c>
      <c r="AF905" s="10">
        <f>IF($A905="","",IFERROR(INDEX('2_IMPORTAR_EJECUCION'!$F$9:$F$1208,MATCH($AN905,'2_IMPORTAR_EJECUCION'!$J$9:$J$1208,0)),0))</f>
        <v/>
      </c>
      <c r="AG905" s="10">
        <f>IF($A905="","",MAX(0,IFERROR(INDEX('2_IMPORTAR_EJECUCION'!$H$9:$H$1208,MATCH($AN905,'2_IMPORTAR_EJECUCION'!$J$9:$J$1208,0)),0)-$AF905))</f>
        <v/>
      </c>
      <c r="AH905" s="10">
        <f>IF($A905="","",$AF905+$AG905)</f>
        <v/>
      </c>
      <c r="AI905" s="6" t="n"/>
      <c r="AJ905" s="6" t="n"/>
      <c r="AK905" s="6" t="n"/>
      <c r="AL905" s="3">
        <f>IF($AK905="","",HYPERLINK(p_ruta_base_checklists&amp;$AK905,"abrir"))</f>
        <v/>
      </c>
      <c r="AM905" s="6" t="n"/>
      <c r="AN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1" t="n"/>
      <c r="K906" s="3" t="n"/>
      <c r="L906" s="10" t="n"/>
      <c r="M906" s="3">
        <f>IF($A906="","",IFERROR(INDEX('AJUSTES'!$B$4:$B$303,MATCH($AN906,'AJUSTES'!$A$4:$A$303,0)),IF($K906="","",$K906)))</f>
        <v/>
      </c>
      <c r="N906" s="3">
        <f>IF($A906="","",IFERROR(INDEX('CAT_ESTADOS_ERP'!$B$4:$B$7,MATCH(IFERROR(INDEX('2_IMPORTAR_EJECUCION'!$C$9:$C$1208,MATCH($AN906,'2_IMPORTAR_EJECUCION'!$J$9:$J$1208,0)),""),'CAT_ESTADOS_ERP'!$A$4:$A$7,0)),"Pendiente"))</f>
        <v/>
      </c>
      <c r="O906" s="3">
        <f>IF($J906="","",YEAR($J906+4-WEEKDAY($J906,2))&amp;"-S"&amp;TEXT(_xlfn.ISOWEEKNUM($J906),"00"))</f>
        <v/>
      </c>
      <c r="P906" s="3">
        <f>IF($J906="","",YEAR($J906))</f>
        <v/>
      </c>
      <c r="Q906" s="3">
        <f>IF($J906="","",MONTH($J906))</f>
        <v/>
      </c>
      <c r="R906" s="3">
        <f>IF($J906="","",INDEX(lista_dias,WEEKDAY($J906,2)))</f>
        <v/>
      </c>
      <c r="S906" s="3">
        <f>IF($I906="","",IFERROR(INDEX('CAT_TIPOS_OT'!$C$4:$C$7,MATCH($I906,'CAT_TIPOS_OT'!$A$4:$A$7,0)),"sin_clasificar"))</f>
        <v/>
      </c>
      <c r="T906" s="3">
        <f>IF($F906="","",IFERROR(INDEX('CAT_CENTROS_COSTO'!$E$4:$E$9,MATCH($F906,'CAT_CENTROS_COSTO'!$A$4:$A$9,0)),"(sin catálogo)"))</f>
        <v/>
      </c>
      <c r="U906" s="3">
        <f>IF($F906="","",IFERROR(INDEX('CAT_CENTROS_COSTO'!$D$4:$D$9,MATCH($F906,'CAT_CENTROS_COSTO'!$A$4:$A$9,0)),"(sin catálogo)"))</f>
        <v/>
      </c>
      <c r="V906" s="3">
        <f>IF($F906="","",IFERROR(INDEX('CAT_CENTROS_COSTO'!$F$4:$F$9,MATCH($F906,'CAT_CENTROS_COSTO'!$A$4:$A$9,0)),"(sin catálogo)"))</f>
        <v/>
      </c>
      <c r="W906" s="3">
        <f>IF($G906="","",IFERROR(INDEX('CAT_PUESTOS'!$B$4:$B$8,MATCH($G906,'CAT_PUESTOS'!$A$4:$A$8,0)),"(sin catálogo)"))</f>
        <v/>
      </c>
      <c r="X906" s="3">
        <f>IF($H906="","",IFERROR(INDEX('CAT_ACTIVIDADES'!$B$4:$B$8,MATCH($H906,'CAT_ACTIVIDADES'!$A$4:$A$8,0)),"(sin catálogo)"))</f>
        <v/>
      </c>
      <c r="Y906" s="12">
        <f>IF($J906="","",TODAY()-$J906)</f>
        <v/>
      </c>
      <c r="Z906" s="3">
        <f>IF($Y906="","",IF($Y906&lt;0,"FUTURO",IF($Y906&gt;p_dias_backlog_max,"BACKLOG","MES CORRIENTE")))</f>
        <v/>
      </c>
      <c r="AA906" s="3">
        <f>IF($Y906="",FALSE,AND($Y906&gt;p_dias_backlog_min,$Y906&lt;=p_dias_backlog_max))</f>
        <v/>
      </c>
      <c r="AB906" s="6" t="n"/>
      <c r="AC906" s="3">
        <f>IF($AB906="","",IFERROR(INDEX('ASIGNACIONES'!$F$4:$F$339,MATCH($O906&amp;"|"&amp;$R906&amp;"|"&amp;$AB906,'ASIGNACIONES'!$I$4:$I$339,0)),""))</f>
        <v/>
      </c>
      <c r="AD906" s="13">
        <f>IF($AB906="","",SUMIFS('ORDENES'!$M$4:$M$1203,'ORDENES'!$AB$4:$AB$1203,$AB906,'ORDENES'!$O$4:$O$1203,$O906,'ORDENES'!$R$4:$R$1203,$R906))</f>
        <v/>
      </c>
      <c r="AE906" s="13">
        <f>IF($AD906="","",p_factor_productividad*IFERROR(INDEX('ASIGNACIONES'!$H$4:$H$339,MATCH($O906&amp;"|"&amp;$R906&amp;"|"&amp;$AB906,'ASIGNACIONES'!$I$4:$I$339,0)),0)-$AD906)</f>
        <v/>
      </c>
      <c r="AF906" s="10">
        <f>IF($A906="","",IFERROR(INDEX('2_IMPORTAR_EJECUCION'!$F$9:$F$1208,MATCH($AN906,'2_IMPORTAR_EJECUCION'!$J$9:$J$1208,0)),0))</f>
        <v/>
      </c>
      <c r="AG906" s="10">
        <f>IF($A906="","",MAX(0,IFERROR(INDEX('2_IMPORTAR_EJECUCION'!$H$9:$H$1208,MATCH($AN906,'2_IMPORTAR_EJECUCION'!$J$9:$J$1208,0)),0)-$AF906))</f>
        <v/>
      </c>
      <c r="AH906" s="10">
        <f>IF($A906="","",$AF906+$AG906)</f>
        <v/>
      </c>
      <c r="AI906" s="6" t="n"/>
      <c r="AJ906" s="6" t="n"/>
      <c r="AK906" s="6" t="n"/>
      <c r="AL906" s="3">
        <f>IF($AK906="","",HYPERLINK(p_ruta_base_checklists&amp;$AK906,"abrir"))</f>
        <v/>
      </c>
      <c r="AM906" s="6" t="n"/>
      <c r="AN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1" t="n"/>
      <c r="K907" s="3" t="n"/>
      <c r="L907" s="10" t="n"/>
      <c r="M907" s="3">
        <f>IF($A907="","",IFERROR(INDEX('AJUSTES'!$B$4:$B$303,MATCH($AN907,'AJUSTES'!$A$4:$A$303,0)),IF($K907="","",$K907)))</f>
        <v/>
      </c>
      <c r="N907" s="3">
        <f>IF($A907="","",IFERROR(INDEX('CAT_ESTADOS_ERP'!$B$4:$B$7,MATCH(IFERROR(INDEX('2_IMPORTAR_EJECUCION'!$C$9:$C$1208,MATCH($AN907,'2_IMPORTAR_EJECUCION'!$J$9:$J$1208,0)),""),'CAT_ESTADOS_ERP'!$A$4:$A$7,0)),"Pendiente"))</f>
        <v/>
      </c>
      <c r="O907" s="3">
        <f>IF($J907="","",YEAR($J907+4-WEEKDAY($J907,2))&amp;"-S"&amp;TEXT(_xlfn.ISOWEEKNUM($J907),"00"))</f>
        <v/>
      </c>
      <c r="P907" s="3">
        <f>IF($J907="","",YEAR($J907))</f>
        <v/>
      </c>
      <c r="Q907" s="3">
        <f>IF($J907="","",MONTH($J907))</f>
        <v/>
      </c>
      <c r="R907" s="3">
        <f>IF($J907="","",INDEX(lista_dias,WEEKDAY($J907,2)))</f>
        <v/>
      </c>
      <c r="S907" s="3">
        <f>IF($I907="","",IFERROR(INDEX('CAT_TIPOS_OT'!$C$4:$C$7,MATCH($I907,'CAT_TIPOS_OT'!$A$4:$A$7,0)),"sin_clasificar"))</f>
        <v/>
      </c>
      <c r="T907" s="3">
        <f>IF($F907="","",IFERROR(INDEX('CAT_CENTROS_COSTO'!$E$4:$E$9,MATCH($F907,'CAT_CENTROS_COSTO'!$A$4:$A$9,0)),"(sin catálogo)"))</f>
        <v/>
      </c>
      <c r="U907" s="3">
        <f>IF($F907="","",IFERROR(INDEX('CAT_CENTROS_COSTO'!$D$4:$D$9,MATCH($F907,'CAT_CENTROS_COSTO'!$A$4:$A$9,0)),"(sin catálogo)"))</f>
        <v/>
      </c>
      <c r="V907" s="3">
        <f>IF($F907="","",IFERROR(INDEX('CAT_CENTROS_COSTO'!$F$4:$F$9,MATCH($F907,'CAT_CENTROS_COSTO'!$A$4:$A$9,0)),"(sin catálogo)"))</f>
        <v/>
      </c>
      <c r="W907" s="3">
        <f>IF($G907="","",IFERROR(INDEX('CAT_PUESTOS'!$B$4:$B$8,MATCH($G907,'CAT_PUESTOS'!$A$4:$A$8,0)),"(sin catálogo)"))</f>
        <v/>
      </c>
      <c r="X907" s="3">
        <f>IF($H907="","",IFERROR(INDEX('CAT_ACTIVIDADES'!$B$4:$B$8,MATCH($H907,'CAT_ACTIVIDADES'!$A$4:$A$8,0)),"(sin catálogo)"))</f>
        <v/>
      </c>
      <c r="Y907" s="12">
        <f>IF($J907="","",TODAY()-$J907)</f>
        <v/>
      </c>
      <c r="Z907" s="3">
        <f>IF($Y907="","",IF($Y907&lt;0,"FUTURO",IF($Y907&gt;p_dias_backlog_max,"BACKLOG","MES CORRIENTE")))</f>
        <v/>
      </c>
      <c r="AA907" s="3">
        <f>IF($Y907="",FALSE,AND($Y907&gt;p_dias_backlog_min,$Y907&lt;=p_dias_backlog_max))</f>
        <v/>
      </c>
      <c r="AB907" s="6" t="n"/>
      <c r="AC907" s="3">
        <f>IF($AB907="","",IFERROR(INDEX('ASIGNACIONES'!$F$4:$F$339,MATCH($O907&amp;"|"&amp;$R907&amp;"|"&amp;$AB907,'ASIGNACIONES'!$I$4:$I$339,0)),""))</f>
        <v/>
      </c>
      <c r="AD907" s="13">
        <f>IF($AB907="","",SUMIFS('ORDENES'!$M$4:$M$1203,'ORDENES'!$AB$4:$AB$1203,$AB907,'ORDENES'!$O$4:$O$1203,$O907,'ORDENES'!$R$4:$R$1203,$R907))</f>
        <v/>
      </c>
      <c r="AE907" s="13">
        <f>IF($AD907="","",p_factor_productividad*IFERROR(INDEX('ASIGNACIONES'!$H$4:$H$339,MATCH($O907&amp;"|"&amp;$R907&amp;"|"&amp;$AB907,'ASIGNACIONES'!$I$4:$I$339,0)),0)-$AD907)</f>
        <v/>
      </c>
      <c r="AF907" s="10">
        <f>IF($A907="","",IFERROR(INDEX('2_IMPORTAR_EJECUCION'!$F$9:$F$1208,MATCH($AN907,'2_IMPORTAR_EJECUCION'!$J$9:$J$1208,0)),0))</f>
        <v/>
      </c>
      <c r="AG907" s="10">
        <f>IF($A907="","",MAX(0,IFERROR(INDEX('2_IMPORTAR_EJECUCION'!$H$9:$H$1208,MATCH($AN907,'2_IMPORTAR_EJECUCION'!$J$9:$J$1208,0)),0)-$AF907))</f>
        <v/>
      </c>
      <c r="AH907" s="10">
        <f>IF($A907="","",$AF907+$AG907)</f>
        <v/>
      </c>
      <c r="AI907" s="6" t="n"/>
      <c r="AJ907" s="6" t="n"/>
      <c r="AK907" s="6" t="n"/>
      <c r="AL907" s="3">
        <f>IF($AK907="","",HYPERLINK(p_ruta_base_checklists&amp;$AK907,"abrir"))</f>
        <v/>
      </c>
      <c r="AM907" s="6" t="n"/>
      <c r="AN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1" t="n"/>
      <c r="K908" s="3" t="n"/>
      <c r="L908" s="10" t="n"/>
      <c r="M908" s="3">
        <f>IF($A908="","",IFERROR(INDEX('AJUSTES'!$B$4:$B$303,MATCH($AN908,'AJUSTES'!$A$4:$A$303,0)),IF($K908="","",$K908)))</f>
        <v/>
      </c>
      <c r="N908" s="3">
        <f>IF($A908="","",IFERROR(INDEX('CAT_ESTADOS_ERP'!$B$4:$B$7,MATCH(IFERROR(INDEX('2_IMPORTAR_EJECUCION'!$C$9:$C$1208,MATCH($AN908,'2_IMPORTAR_EJECUCION'!$J$9:$J$1208,0)),""),'CAT_ESTADOS_ERP'!$A$4:$A$7,0)),"Pendiente"))</f>
        <v/>
      </c>
      <c r="O908" s="3">
        <f>IF($J908="","",YEAR($J908+4-WEEKDAY($J908,2))&amp;"-S"&amp;TEXT(_xlfn.ISOWEEKNUM($J908),"00"))</f>
        <v/>
      </c>
      <c r="P908" s="3">
        <f>IF($J908="","",YEAR($J908))</f>
        <v/>
      </c>
      <c r="Q908" s="3">
        <f>IF($J908="","",MONTH($J908))</f>
        <v/>
      </c>
      <c r="R908" s="3">
        <f>IF($J908="","",INDEX(lista_dias,WEEKDAY($J908,2)))</f>
        <v/>
      </c>
      <c r="S908" s="3">
        <f>IF($I908="","",IFERROR(INDEX('CAT_TIPOS_OT'!$C$4:$C$7,MATCH($I908,'CAT_TIPOS_OT'!$A$4:$A$7,0)),"sin_clasificar"))</f>
        <v/>
      </c>
      <c r="T908" s="3">
        <f>IF($F908="","",IFERROR(INDEX('CAT_CENTROS_COSTO'!$E$4:$E$9,MATCH($F908,'CAT_CENTROS_COSTO'!$A$4:$A$9,0)),"(sin catálogo)"))</f>
        <v/>
      </c>
      <c r="U908" s="3">
        <f>IF($F908="","",IFERROR(INDEX('CAT_CENTROS_COSTO'!$D$4:$D$9,MATCH($F908,'CAT_CENTROS_COSTO'!$A$4:$A$9,0)),"(sin catálogo)"))</f>
        <v/>
      </c>
      <c r="V908" s="3">
        <f>IF($F908="","",IFERROR(INDEX('CAT_CENTROS_COSTO'!$F$4:$F$9,MATCH($F908,'CAT_CENTROS_COSTO'!$A$4:$A$9,0)),"(sin catálogo)"))</f>
        <v/>
      </c>
      <c r="W908" s="3">
        <f>IF($G908="","",IFERROR(INDEX('CAT_PUESTOS'!$B$4:$B$8,MATCH($G908,'CAT_PUESTOS'!$A$4:$A$8,0)),"(sin catálogo)"))</f>
        <v/>
      </c>
      <c r="X908" s="3">
        <f>IF($H908="","",IFERROR(INDEX('CAT_ACTIVIDADES'!$B$4:$B$8,MATCH($H908,'CAT_ACTIVIDADES'!$A$4:$A$8,0)),"(sin catálogo)"))</f>
        <v/>
      </c>
      <c r="Y908" s="12">
        <f>IF($J908="","",TODAY()-$J908)</f>
        <v/>
      </c>
      <c r="Z908" s="3">
        <f>IF($Y908="","",IF($Y908&lt;0,"FUTURO",IF($Y908&gt;p_dias_backlog_max,"BACKLOG","MES CORRIENTE")))</f>
        <v/>
      </c>
      <c r="AA908" s="3">
        <f>IF($Y908="",FALSE,AND($Y908&gt;p_dias_backlog_min,$Y908&lt;=p_dias_backlog_max))</f>
        <v/>
      </c>
      <c r="AB908" s="6" t="n"/>
      <c r="AC908" s="3">
        <f>IF($AB908="","",IFERROR(INDEX('ASIGNACIONES'!$F$4:$F$339,MATCH($O908&amp;"|"&amp;$R908&amp;"|"&amp;$AB908,'ASIGNACIONES'!$I$4:$I$339,0)),""))</f>
        <v/>
      </c>
      <c r="AD908" s="13">
        <f>IF($AB908="","",SUMIFS('ORDENES'!$M$4:$M$1203,'ORDENES'!$AB$4:$AB$1203,$AB908,'ORDENES'!$O$4:$O$1203,$O908,'ORDENES'!$R$4:$R$1203,$R908))</f>
        <v/>
      </c>
      <c r="AE908" s="13">
        <f>IF($AD908="","",p_factor_productividad*IFERROR(INDEX('ASIGNACIONES'!$H$4:$H$339,MATCH($O908&amp;"|"&amp;$R908&amp;"|"&amp;$AB908,'ASIGNACIONES'!$I$4:$I$339,0)),0)-$AD908)</f>
        <v/>
      </c>
      <c r="AF908" s="10">
        <f>IF($A908="","",IFERROR(INDEX('2_IMPORTAR_EJECUCION'!$F$9:$F$1208,MATCH($AN908,'2_IMPORTAR_EJECUCION'!$J$9:$J$1208,0)),0))</f>
        <v/>
      </c>
      <c r="AG908" s="10">
        <f>IF($A908="","",MAX(0,IFERROR(INDEX('2_IMPORTAR_EJECUCION'!$H$9:$H$1208,MATCH($AN908,'2_IMPORTAR_EJECUCION'!$J$9:$J$1208,0)),0)-$AF908))</f>
        <v/>
      </c>
      <c r="AH908" s="10">
        <f>IF($A908="","",$AF908+$AG908)</f>
        <v/>
      </c>
      <c r="AI908" s="6" t="n"/>
      <c r="AJ908" s="6" t="n"/>
      <c r="AK908" s="6" t="n"/>
      <c r="AL908" s="3">
        <f>IF($AK908="","",HYPERLINK(p_ruta_base_checklists&amp;$AK908,"abrir"))</f>
        <v/>
      </c>
      <c r="AM908" s="6" t="n"/>
      <c r="AN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1" t="n"/>
      <c r="K909" s="3" t="n"/>
      <c r="L909" s="10" t="n"/>
      <c r="M909" s="3">
        <f>IF($A909="","",IFERROR(INDEX('AJUSTES'!$B$4:$B$303,MATCH($AN909,'AJUSTES'!$A$4:$A$303,0)),IF($K909="","",$K909)))</f>
        <v/>
      </c>
      <c r="N909" s="3">
        <f>IF($A909="","",IFERROR(INDEX('CAT_ESTADOS_ERP'!$B$4:$B$7,MATCH(IFERROR(INDEX('2_IMPORTAR_EJECUCION'!$C$9:$C$1208,MATCH($AN909,'2_IMPORTAR_EJECUCION'!$J$9:$J$1208,0)),""),'CAT_ESTADOS_ERP'!$A$4:$A$7,0)),"Pendiente"))</f>
        <v/>
      </c>
      <c r="O909" s="3">
        <f>IF($J909="","",YEAR($J909+4-WEEKDAY($J909,2))&amp;"-S"&amp;TEXT(_xlfn.ISOWEEKNUM($J909),"00"))</f>
        <v/>
      </c>
      <c r="P909" s="3">
        <f>IF($J909="","",YEAR($J909))</f>
        <v/>
      </c>
      <c r="Q909" s="3">
        <f>IF($J909="","",MONTH($J909))</f>
        <v/>
      </c>
      <c r="R909" s="3">
        <f>IF($J909="","",INDEX(lista_dias,WEEKDAY($J909,2)))</f>
        <v/>
      </c>
      <c r="S909" s="3">
        <f>IF($I909="","",IFERROR(INDEX('CAT_TIPOS_OT'!$C$4:$C$7,MATCH($I909,'CAT_TIPOS_OT'!$A$4:$A$7,0)),"sin_clasificar"))</f>
        <v/>
      </c>
      <c r="T909" s="3">
        <f>IF($F909="","",IFERROR(INDEX('CAT_CENTROS_COSTO'!$E$4:$E$9,MATCH($F909,'CAT_CENTROS_COSTO'!$A$4:$A$9,0)),"(sin catálogo)"))</f>
        <v/>
      </c>
      <c r="U909" s="3">
        <f>IF($F909="","",IFERROR(INDEX('CAT_CENTROS_COSTO'!$D$4:$D$9,MATCH($F909,'CAT_CENTROS_COSTO'!$A$4:$A$9,0)),"(sin catálogo)"))</f>
        <v/>
      </c>
      <c r="V909" s="3">
        <f>IF($F909="","",IFERROR(INDEX('CAT_CENTROS_COSTO'!$F$4:$F$9,MATCH($F909,'CAT_CENTROS_COSTO'!$A$4:$A$9,0)),"(sin catálogo)"))</f>
        <v/>
      </c>
      <c r="W909" s="3">
        <f>IF($G909="","",IFERROR(INDEX('CAT_PUESTOS'!$B$4:$B$8,MATCH($G909,'CAT_PUESTOS'!$A$4:$A$8,0)),"(sin catálogo)"))</f>
        <v/>
      </c>
      <c r="X909" s="3">
        <f>IF($H909="","",IFERROR(INDEX('CAT_ACTIVIDADES'!$B$4:$B$8,MATCH($H909,'CAT_ACTIVIDADES'!$A$4:$A$8,0)),"(sin catálogo)"))</f>
        <v/>
      </c>
      <c r="Y909" s="12">
        <f>IF($J909="","",TODAY()-$J909)</f>
        <v/>
      </c>
      <c r="Z909" s="3">
        <f>IF($Y909="","",IF($Y909&lt;0,"FUTURO",IF($Y909&gt;p_dias_backlog_max,"BACKLOG","MES CORRIENTE")))</f>
        <v/>
      </c>
      <c r="AA909" s="3">
        <f>IF($Y909="",FALSE,AND($Y909&gt;p_dias_backlog_min,$Y909&lt;=p_dias_backlog_max))</f>
        <v/>
      </c>
      <c r="AB909" s="6" t="n"/>
      <c r="AC909" s="3">
        <f>IF($AB909="","",IFERROR(INDEX('ASIGNACIONES'!$F$4:$F$339,MATCH($O909&amp;"|"&amp;$R909&amp;"|"&amp;$AB909,'ASIGNACIONES'!$I$4:$I$339,0)),""))</f>
        <v/>
      </c>
      <c r="AD909" s="13">
        <f>IF($AB909="","",SUMIFS('ORDENES'!$M$4:$M$1203,'ORDENES'!$AB$4:$AB$1203,$AB909,'ORDENES'!$O$4:$O$1203,$O909,'ORDENES'!$R$4:$R$1203,$R909))</f>
        <v/>
      </c>
      <c r="AE909" s="13">
        <f>IF($AD909="","",p_factor_productividad*IFERROR(INDEX('ASIGNACIONES'!$H$4:$H$339,MATCH($O909&amp;"|"&amp;$R909&amp;"|"&amp;$AB909,'ASIGNACIONES'!$I$4:$I$339,0)),0)-$AD909)</f>
        <v/>
      </c>
      <c r="AF909" s="10">
        <f>IF($A909="","",IFERROR(INDEX('2_IMPORTAR_EJECUCION'!$F$9:$F$1208,MATCH($AN909,'2_IMPORTAR_EJECUCION'!$J$9:$J$1208,0)),0))</f>
        <v/>
      </c>
      <c r="AG909" s="10">
        <f>IF($A909="","",MAX(0,IFERROR(INDEX('2_IMPORTAR_EJECUCION'!$H$9:$H$1208,MATCH($AN909,'2_IMPORTAR_EJECUCION'!$J$9:$J$1208,0)),0)-$AF909))</f>
        <v/>
      </c>
      <c r="AH909" s="10">
        <f>IF($A909="","",$AF909+$AG909)</f>
        <v/>
      </c>
      <c r="AI909" s="6" t="n"/>
      <c r="AJ909" s="6" t="n"/>
      <c r="AK909" s="6" t="n"/>
      <c r="AL909" s="3">
        <f>IF($AK909="","",HYPERLINK(p_ruta_base_checklists&amp;$AK909,"abrir"))</f>
        <v/>
      </c>
      <c r="AM909" s="6" t="n"/>
      <c r="AN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1" t="n"/>
      <c r="K910" s="3" t="n"/>
      <c r="L910" s="10" t="n"/>
      <c r="M910" s="3">
        <f>IF($A910="","",IFERROR(INDEX('AJUSTES'!$B$4:$B$303,MATCH($AN910,'AJUSTES'!$A$4:$A$303,0)),IF($K910="","",$K910)))</f>
        <v/>
      </c>
      <c r="N910" s="3">
        <f>IF($A910="","",IFERROR(INDEX('CAT_ESTADOS_ERP'!$B$4:$B$7,MATCH(IFERROR(INDEX('2_IMPORTAR_EJECUCION'!$C$9:$C$1208,MATCH($AN910,'2_IMPORTAR_EJECUCION'!$J$9:$J$1208,0)),""),'CAT_ESTADOS_ERP'!$A$4:$A$7,0)),"Pendiente"))</f>
        <v/>
      </c>
      <c r="O910" s="3">
        <f>IF($J910="","",YEAR($J910+4-WEEKDAY($J910,2))&amp;"-S"&amp;TEXT(_xlfn.ISOWEEKNUM($J910),"00"))</f>
        <v/>
      </c>
      <c r="P910" s="3">
        <f>IF($J910="","",YEAR($J910))</f>
        <v/>
      </c>
      <c r="Q910" s="3">
        <f>IF($J910="","",MONTH($J910))</f>
        <v/>
      </c>
      <c r="R910" s="3">
        <f>IF($J910="","",INDEX(lista_dias,WEEKDAY($J910,2)))</f>
        <v/>
      </c>
      <c r="S910" s="3">
        <f>IF($I910="","",IFERROR(INDEX('CAT_TIPOS_OT'!$C$4:$C$7,MATCH($I910,'CAT_TIPOS_OT'!$A$4:$A$7,0)),"sin_clasificar"))</f>
        <v/>
      </c>
      <c r="T910" s="3">
        <f>IF($F910="","",IFERROR(INDEX('CAT_CENTROS_COSTO'!$E$4:$E$9,MATCH($F910,'CAT_CENTROS_COSTO'!$A$4:$A$9,0)),"(sin catálogo)"))</f>
        <v/>
      </c>
      <c r="U910" s="3">
        <f>IF($F910="","",IFERROR(INDEX('CAT_CENTROS_COSTO'!$D$4:$D$9,MATCH($F910,'CAT_CENTROS_COSTO'!$A$4:$A$9,0)),"(sin catálogo)"))</f>
        <v/>
      </c>
      <c r="V910" s="3">
        <f>IF($F910="","",IFERROR(INDEX('CAT_CENTROS_COSTO'!$F$4:$F$9,MATCH($F910,'CAT_CENTROS_COSTO'!$A$4:$A$9,0)),"(sin catálogo)"))</f>
        <v/>
      </c>
      <c r="W910" s="3">
        <f>IF($G910="","",IFERROR(INDEX('CAT_PUESTOS'!$B$4:$B$8,MATCH($G910,'CAT_PUESTOS'!$A$4:$A$8,0)),"(sin catálogo)"))</f>
        <v/>
      </c>
      <c r="X910" s="3">
        <f>IF($H910="","",IFERROR(INDEX('CAT_ACTIVIDADES'!$B$4:$B$8,MATCH($H910,'CAT_ACTIVIDADES'!$A$4:$A$8,0)),"(sin catálogo)"))</f>
        <v/>
      </c>
      <c r="Y910" s="12">
        <f>IF($J910="","",TODAY()-$J910)</f>
        <v/>
      </c>
      <c r="Z910" s="3">
        <f>IF($Y910="","",IF($Y910&lt;0,"FUTURO",IF($Y910&gt;p_dias_backlog_max,"BACKLOG","MES CORRIENTE")))</f>
        <v/>
      </c>
      <c r="AA910" s="3">
        <f>IF($Y910="",FALSE,AND($Y910&gt;p_dias_backlog_min,$Y910&lt;=p_dias_backlog_max))</f>
        <v/>
      </c>
      <c r="AB910" s="6" t="n"/>
      <c r="AC910" s="3">
        <f>IF($AB910="","",IFERROR(INDEX('ASIGNACIONES'!$F$4:$F$339,MATCH($O910&amp;"|"&amp;$R910&amp;"|"&amp;$AB910,'ASIGNACIONES'!$I$4:$I$339,0)),""))</f>
        <v/>
      </c>
      <c r="AD910" s="13">
        <f>IF($AB910="","",SUMIFS('ORDENES'!$M$4:$M$1203,'ORDENES'!$AB$4:$AB$1203,$AB910,'ORDENES'!$O$4:$O$1203,$O910,'ORDENES'!$R$4:$R$1203,$R910))</f>
        <v/>
      </c>
      <c r="AE910" s="13">
        <f>IF($AD910="","",p_factor_productividad*IFERROR(INDEX('ASIGNACIONES'!$H$4:$H$339,MATCH($O910&amp;"|"&amp;$R910&amp;"|"&amp;$AB910,'ASIGNACIONES'!$I$4:$I$339,0)),0)-$AD910)</f>
        <v/>
      </c>
      <c r="AF910" s="10">
        <f>IF($A910="","",IFERROR(INDEX('2_IMPORTAR_EJECUCION'!$F$9:$F$1208,MATCH($AN910,'2_IMPORTAR_EJECUCION'!$J$9:$J$1208,0)),0))</f>
        <v/>
      </c>
      <c r="AG910" s="10">
        <f>IF($A910="","",MAX(0,IFERROR(INDEX('2_IMPORTAR_EJECUCION'!$H$9:$H$1208,MATCH($AN910,'2_IMPORTAR_EJECUCION'!$J$9:$J$1208,0)),0)-$AF910))</f>
        <v/>
      </c>
      <c r="AH910" s="10">
        <f>IF($A910="","",$AF910+$AG910)</f>
        <v/>
      </c>
      <c r="AI910" s="6" t="n"/>
      <c r="AJ910" s="6" t="n"/>
      <c r="AK910" s="6" t="n"/>
      <c r="AL910" s="3">
        <f>IF($AK910="","",HYPERLINK(p_ruta_base_checklists&amp;$AK910,"abrir"))</f>
        <v/>
      </c>
      <c r="AM910" s="6" t="n"/>
      <c r="AN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1" t="n"/>
      <c r="K911" s="3" t="n"/>
      <c r="L911" s="10" t="n"/>
      <c r="M911" s="3">
        <f>IF($A911="","",IFERROR(INDEX('AJUSTES'!$B$4:$B$303,MATCH($AN911,'AJUSTES'!$A$4:$A$303,0)),IF($K911="","",$K911)))</f>
        <v/>
      </c>
      <c r="N911" s="3">
        <f>IF($A911="","",IFERROR(INDEX('CAT_ESTADOS_ERP'!$B$4:$B$7,MATCH(IFERROR(INDEX('2_IMPORTAR_EJECUCION'!$C$9:$C$1208,MATCH($AN911,'2_IMPORTAR_EJECUCION'!$J$9:$J$1208,0)),""),'CAT_ESTADOS_ERP'!$A$4:$A$7,0)),"Pendiente"))</f>
        <v/>
      </c>
      <c r="O911" s="3">
        <f>IF($J911="","",YEAR($J911+4-WEEKDAY($J911,2))&amp;"-S"&amp;TEXT(_xlfn.ISOWEEKNUM($J911),"00"))</f>
        <v/>
      </c>
      <c r="P911" s="3">
        <f>IF($J911="","",YEAR($J911))</f>
        <v/>
      </c>
      <c r="Q911" s="3">
        <f>IF($J911="","",MONTH($J911))</f>
        <v/>
      </c>
      <c r="R911" s="3">
        <f>IF($J911="","",INDEX(lista_dias,WEEKDAY($J911,2)))</f>
        <v/>
      </c>
      <c r="S911" s="3">
        <f>IF($I911="","",IFERROR(INDEX('CAT_TIPOS_OT'!$C$4:$C$7,MATCH($I911,'CAT_TIPOS_OT'!$A$4:$A$7,0)),"sin_clasificar"))</f>
        <v/>
      </c>
      <c r="T911" s="3">
        <f>IF($F911="","",IFERROR(INDEX('CAT_CENTROS_COSTO'!$E$4:$E$9,MATCH($F911,'CAT_CENTROS_COSTO'!$A$4:$A$9,0)),"(sin catálogo)"))</f>
        <v/>
      </c>
      <c r="U911" s="3">
        <f>IF($F911="","",IFERROR(INDEX('CAT_CENTROS_COSTO'!$D$4:$D$9,MATCH($F911,'CAT_CENTROS_COSTO'!$A$4:$A$9,0)),"(sin catálogo)"))</f>
        <v/>
      </c>
      <c r="V911" s="3">
        <f>IF($F911="","",IFERROR(INDEX('CAT_CENTROS_COSTO'!$F$4:$F$9,MATCH($F911,'CAT_CENTROS_COSTO'!$A$4:$A$9,0)),"(sin catálogo)"))</f>
        <v/>
      </c>
      <c r="W911" s="3">
        <f>IF($G911="","",IFERROR(INDEX('CAT_PUESTOS'!$B$4:$B$8,MATCH($G911,'CAT_PUESTOS'!$A$4:$A$8,0)),"(sin catálogo)"))</f>
        <v/>
      </c>
      <c r="X911" s="3">
        <f>IF($H911="","",IFERROR(INDEX('CAT_ACTIVIDADES'!$B$4:$B$8,MATCH($H911,'CAT_ACTIVIDADES'!$A$4:$A$8,0)),"(sin catálogo)"))</f>
        <v/>
      </c>
      <c r="Y911" s="12">
        <f>IF($J911="","",TODAY()-$J911)</f>
        <v/>
      </c>
      <c r="Z911" s="3">
        <f>IF($Y911="","",IF($Y911&lt;0,"FUTURO",IF($Y911&gt;p_dias_backlog_max,"BACKLOG","MES CORRIENTE")))</f>
        <v/>
      </c>
      <c r="AA911" s="3">
        <f>IF($Y911="",FALSE,AND($Y911&gt;p_dias_backlog_min,$Y911&lt;=p_dias_backlog_max))</f>
        <v/>
      </c>
      <c r="AB911" s="6" t="n"/>
      <c r="AC911" s="3">
        <f>IF($AB911="","",IFERROR(INDEX('ASIGNACIONES'!$F$4:$F$339,MATCH($O911&amp;"|"&amp;$R911&amp;"|"&amp;$AB911,'ASIGNACIONES'!$I$4:$I$339,0)),""))</f>
        <v/>
      </c>
      <c r="AD911" s="13">
        <f>IF($AB911="","",SUMIFS('ORDENES'!$M$4:$M$1203,'ORDENES'!$AB$4:$AB$1203,$AB911,'ORDENES'!$O$4:$O$1203,$O911,'ORDENES'!$R$4:$R$1203,$R911))</f>
        <v/>
      </c>
      <c r="AE911" s="13">
        <f>IF($AD911="","",p_factor_productividad*IFERROR(INDEX('ASIGNACIONES'!$H$4:$H$339,MATCH($O911&amp;"|"&amp;$R911&amp;"|"&amp;$AB911,'ASIGNACIONES'!$I$4:$I$339,0)),0)-$AD911)</f>
        <v/>
      </c>
      <c r="AF911" s="10">
        <f>IF($A911="","",IFERROR(INDEX('2_IMPORTAR_EJECUCION'!$F$9:$F$1208,MATCH($AN911,'2_IMPORTAR_EJECUCION'!$J$9:$J$1208,0)),0))</f>
        <v/>
      </c>
      <c r="AG911" s="10">
        <f>IF($A911="","",MAX(0,IFERROR(INDEX('2_IMPORTAR_EJECUCION'!$H$9:$H$1208,MATCH($AN911,'2_IMPORTAR_EJECUCION'!$J$9:$J$1208,0)),0)-$AF911))</f>
        <v/>
      </c>
      <c r="AH911" s="10">
        <f>IF($A911="","",$AF911+$AG911)</f>
        <v/>
      </c>
      <c r="AI911" s="6" t="n"/>
      <c r="AJ911" s="6" t="n"/>
      <c r="AK911" s="6" t="n"/>
      <c r="AL911" s="3">
        <f>IF($AK911="","",HYPERLINK(p_ruta_base_checklists&amp;$AK911,"abrir"))</f>
        <v/>
      </c>
      <c r="AM911" s="6" t="n"/>
      <c r="AN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1" t="n"/>
      <c r="K912" s="3" t="n"/>
      <c r="L912" s="10" t="n"/>
      <c r="M912" s="3">
        <f>IF($A912="","",IFERROR(INDEX('AJUSTES'!$B$4:$B$303,MATCH($AN912,'AJUSTES'!$A$4:$A$303,0)),IF($K912="","",$K912)))</f>
        <v/>
      </c>
      <c r="N912" s="3">
        <f>IF($A912="","",IFERROR(INDEX('CAT_ESTADOS_ERP'!$B$4:$B$7,MATCH(IFERROR(INDEX('2_IMPORTAR_EJECUCION'!$C$9:$C$1208,MATCH($AN912,'2_IMPORTAR_EJECUCION'!$J$9:$J$1208,0)),""),'CAT_ESTADOS_ERP'!$A$4:$A$7,0)),"Pendiente"))</f>
        <v/>
      </c>
      <c r="O912" s="3">
        <f>IF($J912="","",YEAR($J912+4-WEEKDAY($J912,2))&amp;"-S"&amp;TEXT(_xlfn.ISOWEEKNUM($J912),"00"))</f>
        <v/>
      </c>
      <c r="P912" s="3">
        <f>IF($J912="","",YEAR($J912))</f>
        <v/>
      </c>
      <c r="Q912" s="3">
        <f>IF($J912="","",MONTH($J912))</f>
        <v/>
      </c>
      <c r="R912" s="3">
        <f>IF($J912="","",INDEX(lista_dias,WEEKDAY($J912,2)))</f>
        <v/>
      </c>
      <c r="S912" s="3">
        <f>IF($I912="","",IFERROR(INDEX('CAT_TIPOS_OT'!$C$4:$C$7,MATCH($I912,'CAT_TIPOS_OT'!$A$4:$A$7,0)),"sin_clasificar"))</f>
        <v/>
      </c>
      <c r="T912" s="3">
        <f>IF($F912="","",IFERROR(INDEX('CAT_CENTROS_COSTO'!$E$4:$E$9,MATCH($F912,'CAT_CENTROS_COSTO'!$A$4:$A$9,0)),"(sin catálogo)"))</f>
        <v/>
      </c>
      <c r="U912" s="3">
        <f>IF($F912="","",IFERROR(INDEX('CAT_CENTROS_COSTO'!$D$4:$D$9,MATCH($F912,'CAT_CENTROS_COSTO'!$A$4:$A$9,0)),"(sin catálogo)"))</f>
        <v/>
      </c>
      <c r="V912" s="3">
        <f>IF($F912="","",IFERROR(INDEX('CAT_CENTROS_COSTO'!$F$4:$F$9,MATCH($F912,'CAT_CENTROS_COSTO'!$A$4:$A$9,0)),"(sin catálogo)"))</f>
        <v/>
      </c>
      <c r="W912" s="3">
        <f>IF($G912="","",IFERROR(INDEX('CAT_PUESTOS'!$B$4:$B$8,MATCH($G912,'CAT_PUESTOS'!$A$4:$A$8,0)),"(sin catálogo)"))</f>
        <v/>
      </c>
      <c r="X912" s="3">
        <f>IF($H912="","",IFERROR(INDEX('CAT_ACTIVIDADES'!$B$4:$B$8,MATCH($H912,'CAT_ACTIVIDADES'!$A$4:$A$8,0)),"(sin catálogo)"))</f>
        <v/>
      </c>
      <c r="Y912" s="12">
        <f>IF($J912="","",TODAY()-$J912)</f>
        <v/>
      </c>
      <c r="Z912" s="3">
        <f>IF($Y912="","",IF($Y912&lt;0,"FUTURO",IF($Y912&gt;p_dias_backlog_max,"BACKLOG","MES CORRIENTE")))</f>
        <v/>
      </c>
      <c r="AA912" s="3">
        <f>IF($Y912="",FALSE,AND($Y912&gt;p_dias_backlog_min,$Y912&lt;=p_dias_backlog_max))</f>
        <v/>
      </c>
      <c r="AB912" s="6" t="n"/>
      <c r="AC912" s="3">
        <f>IF($AB912="","",IFERROR(INDEX('ASIGNACIONES'!$F$4:$F$339,MATCH($O912&amp;"|"&amp;$R912&amp;"|"&amp;$AB912,'ASIGNACIONES'!$I$4:$I$339,0)),""))</f>
        <v/>
      </c>
      <c r="AD912" s="13">
        <f>IF($AB912="","",SUMIFS('ORDENES'!$M$4:$M$1203,'ORDENES'!$AB$4:$AB$1203,$AB912,'ORDENES'!$O$4:$O$1203,$O912,'ORDENES'!$R$4:$R$1203,$R912))</f>
        <v/>
      </c>
      <c r="AE912" s="13">
        <f>IF($AD912="","",p_factor_productividad*IFERROR(INDEX('ASIGNACIONES'!$H$4:$H$339,MATCH($O912&amp;"|"&amp;$R912&amp;"|"&amp;$AB912,'ASIGNACIONES'!$I$4:$I$339,0)),0)-$AD912)</f>
        <v/>
      </c>
      <c r="AF912" s="10">
        <f>IF($A912="","",IFERROR(INDEX('2_IMPORTAR_EJECUCION'!$F$9:$F$1208,MATCH($AN912,'2_IMPORTAR_EJECUCION'!$J$9:$J$1208,0)),0))</f>
        <v/>
      </c>
      <c r="AG912" s="10">
        <f>IF($A912="","",MAX(0,IFERROR(INDEX('2_IMPORTAR_EJECUCION'!$H$9:$H$1208,MATCH($AN912,'2_IMPORTAR_EJECUCION'!$J$9:$J$1208,0)),0)-$AF912))</f>
        <v/>
      </c>
      <c r="AH912" s="10">
        <f>IF($A912="","",$AF912+$AG912)</f>
        <v/>
      </c>
      <c r="AI912" s="6" t="n"/>
      <c r="AJ912" s="6" t="n"/>
      <c r="AK912" s="6" t="n"/>
      <c r="AL912" s="3">
        <f>IF($AK912="","",HYPERLINK(p_ruta_base_checklists&amp;$AK912,"abrir"))</f>
        <v/>
      </c>
      <c r="AM912" s="6" t="n"/>
      <c r="AN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1" t="n"/>
      <c r="K913" s="3" t="n"/>
      <c r="L913" s="10" t="n"/>
      <c r="M913" s="3">
        <f>IF($A913="","",IFERROR(INDEX('AJUSTES'!$B$4:$B$303,MATCH($AN913,'AJUSTES'!$A$4:$A$303,0)),IF($K913="","",$K913)))</f>
        <v/>
      </c>
      <c r="N913" s="3">
        <f>IF($A913="","",IFERROR(INDEX('CAT_ESTADOS_ERP'!$B$4:$B$7,MATCH(IFERROR(INDEX('2_IMPORTAR_EJECUCION'!$C$9:$C$1208,MATCH($AN913,'2_IMPORTAR_EJECUCION'!$J$9:$J$1208,0)),""),'CAT_ESTADOS_ERP'!$A$4:$A$7,0)),"Pendiente"))</f>
        <v/>
      </c>
      <c r="O913" s="3">
        <f>IF($J913="","",YEAR($J913+4-WEEKDAY($J913,2))&amp;"-S"&amp;TEXT(_xlfn.ISOWEEKNUM($J913),"00"))</f>
        <v/>
      </c>
      <c r="P913" s="3">
        <f>IF($J913="","",YEAR($J913))</f>
        <v/>
      </c>
      <c r="Q913" s="3">
        <f>IF($J913="","",MONTH($J913))</f>
        <v/>
      </c>
      <c r="R913" s="3">
        <f>IF($J913="","",INDEX(lista_dias,WEEKDAY($J913,2)))</f>
        <v/>
      </c>
      <c r="S913" s="3">
        <f>IF($I913="","",IFERROR(INDEX('CAT_TIPOS_OT'!$C$4:$C$7,MATCH($I913,'CAT_TIPOS_OT'!$A$4:$A$7,0)),"sin_clasificar"))</f>
        <v/>
      </c>
      <c r="T913" s="3">
        <f>IF($F913="","",IFERROR(INDEX('CAT_CENTROS_COSTO'!$E$4:$E$9,MATCH($F913,'CAT_CENTROS_COSTO'!$A$4:$A$9,0)),"(sin catálogo)"))</f>
        <v/>
      </c>
      <c r="U913" s="3">
        <f>IF($F913="","",IFERROR(INDEX('CAT_CENTROS_COSTO'!$D$4:$D$9,MATCH($F913,'CAT_CENTROS_COSTO'!$A$4:$A$9,0)),"(sin catálogo)"))</f>
        <v/>
      </c>
      <c r="V913" s="3">
        <f>IF($F913="","",IFERROR(INDEX('CAT_CENTROS_COSTO'!$F$4:$F$9,MATCH($F913,'CAT_CENTROS_COSTO'!$A$4:$A$9,0)),"(sin catálogo)"))</f>
        <v/>
      </c>
      <c r="W913" s="3">
        <f>IF($G913="","",IFERROR(INDEX('CAT_PUESTOS'!$B$4:$B$8,MATCH($G913,'CAT_PUESTOS'!$A$4:$A$8,0)),"(sin catálogo)"))</f>
        <v/>
      </c>
      <c r="X913" s="3">
        <f>IF($H913="","",IFERROR(INDEX('CAT_ACTIVIDADES'!$B$4:$B$8,MATCH($H913,'CAT_ACTIVIDADES'!$A$4:$A$8,0)),"(sin catálogo)"))</f>
        <v/>
      </c>
      <c r="Y913" s="12">
        <f>IF($J913="","",TODAY()-$J913)</f>
        <v/>
      </c>
      <c r="Z913" s="3">
        <f>IF($Y913="","",IF($Y913&lt;0,"FUTURO",IF($Y913&gt;p_dias_backlog_max,"BACKLOG","MES CORRIENTE")))</f>
        <v/>
      </c>
      <c r="AA913" s="3">
        <f>IF($Y913="",FALSE,AND($Y913&gt;p_dias_backlog_min,$Y913&lt;=p_dias_backlog_max))</f>
        <v/>
      </c>
      <c r="AB913" s="6" t="n"/>
      <c r="AC913" s="3">
        <f>IF($AB913="","",IFERROR(INDEX('ASIGNACIONES'!$F$4:$F$339,MATCH($O913&amp;"|"&amp;$R913&amp;"|"&amp;$AB913,'ASIGNACIONES'!$I$4:$I$339,0)),""))</f>
        <v/>
      </c>
      <c r="AD913" s="13">
        <f>IF($AB913="","",SUMIFS('ORDENES'!$M$4:$M$1203,'ORDENES'!$AB$4:$AB$1203,$AB913,'ORDENES'!$O$4:$O$1203,$O913,'ORDENES'!$R$4:$R$1203,$R913))</f>
        <v/>
      </c>
      <c r="AE913" s="13">
        <f>IF($AD913="","",p_factor_productividad*IFERROR(INDEX('ASIGNACIONES'!$H$4:$H$339,MATCH($O913&amp;"|"&amp;$R913&amp;"|"&amp;$AB913,'ASIGNACIONES'!$I$4:$I$339,0)),0)-$AD913)</f>
        <v/>
      </c>
      <c r="AF913" s="10">
        <f>IF($A913="","",IFERROR(INDEX('2_IMPORTAR_EJECUCION'!$F$9:$F$1208,MATCH($AN913,'2_IMPORTAR_EJECUCION'!$J$9:$J$1208,0)),0))</f>
        <v/>
      </c>
      <c r="AG913" s="10">
        <f>IF($A913="","",MAX(0,IFERROR(INDEX('2_IMPORTAR_EJECUCION'!$H$9:$H$1208,MATCH($AN913,'2_IMPORTAR_EJECUCION'!$J$9:$J$1208,0)),0)-$AF913))</f>
        <v/>
      </c>
      <c r="AH913" s="10">
        <f>IF($A913="","",$AF913+$AG913)</f>
        <v/>
      </c>
      <c r="AI913" s="6" t="n"/>
      <c r="AJ913" s="6" t="n"/>
      <c r="AK913" s="6" t="n"/>
      <c r="AL913" s="3">
        <f>IF($AK913="","",HYPERLINK(p_ruta_base_checklists&amp;$AK913,"abrir"))</f>
        <v/>
      </c>
      <c r="AM913" s="6" t="n"/>
      <c r="AN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1" t="n"/>
      <c r="K914" s="3" t="n"/>
      <c r="L914" s="10" t="n"/>
      <c r="M914" s="3">
        <f>IF($A914="","",IFERROR(INDEX('AJUSTES'!$B$4:$B$303,MATCH($AN914,'AJUSTES'!$A$4:$A$303,0)),IF($K914="","",$K914)))</f>
        <v/>
      </c>
      <c r="N914" s="3">
        <f>IF($A914="","",IFERROR(INDEX('CAT_ESTADOS_ERP'!$B$4:$B$7,MATCH(IFERROR(INDEX('2_IMPORTAR_EJECUCION'!$C$9:$C$1208,MATCH($AN914,'2_IMPORTAR_EJECUCION'!$J$9:$J$1208,0)),""),'CAT_ESTADOS_ERP'!$A$4:$A$7,0)),"Pendiente"))</f>
        <v/>
      </c>
      <c r="O914" s="3">
        <f>IF($J914="","",YEAR($J914+4-WEEKDAY($J914,2))&amp;"-S"&amp;TEXT(_xlfn.ISOWEEKNUM($J914),"00"))</f>
        <v/>
      </c>
      <c r="P914" s="3">
        <f>IF($J914="","",YEAR($J914))</f>
        <v/>
      </c>
      <c r="Q914" s="3">
        <f>IF($J914="","",MONTH($J914))</f>
        <v/>
      </c>
      <c r="R914" s="3">
        <f>IF($J914="","",INDEX(lista_dias,WEEKDAY($J914,2)))</f>
        <v/>
      </c>
      <c r="S914" s="3">
        <f>IF($I914="","",IFERROR(INDEX('CAT_TIPOS_OT'!$C$4:$C$7,MATCH($I914,'CAT_TIPOS_OT'!$A$4:$A$7,0)),"sin_clasificar"))</f>
        <v/>
      </c>
      <c r="T914" s="3">
        <f>IF($F914="","",IFERROR(INDEX('CAT_CENTROS_COSTO'!$E$4:$E$9,MATCH($F914,'CAT_CENTROS_COSTO'!$A$4:$A$9,0)),"(sin catálogo)"))</f>
        <v/>
      </c>
      <c r="U914" s="3">
        <f>IF($F914="","",IFERROR(INDEX('CAT_CENTROS_COSTO'!$D$4:$D$9,MATCH($F914,'CAT_CENTROS_COSTO'!$A$4:$A$9,0)),"(sin catálogo)"))</f>
        <v/>
      </c>
      <c r="V914" s="3">
        <f>IF($F914="","",IFERROR(INDEX('CAT_CENTROS_COSTO'!$F$4:$F$9,MATCH($F914,'CAT_CENTROS_COSTO'!$A$4:$A$9,0)),"(sin catálogo)"))</f>
        <v/>
      </c>
      <c r="W914" s="3">
        <f>IF($G914="","",IFERROR(INDEX('CAT_PUESTOS'!$B$4:$B$8,MATCH($G914,'CAT_PUESTOS'!$A$4:$A$8,0)),"(sin catálogo)"))</f>
        <v/>
      </c>
      <c r="X914" s="3">
        <f>IF($H914="","",IFERROR(INDEX('CAT_ACTIVIDADES'!$B$4:$B$8,MATCH($H914,'CAT_ACTIVIDADES'!$A$4:$A$8,0)),"(sin catálogo)"))</f>
        <v/>
      </c>
      <c r="Y914" s="12">
        <f>IF($J914="","",TODAY()-$J914)</f>
        <v/>
      </c>
      <c r="Z914" s="3">
        <f>IF($Y914="","",IF($Y914&lt;0,"FUTURO",IF($Y914&gt;p_dias_backlog_max,"BACKLOG","MES CORRIENTE")))</f>
        <v/>
      </c>
      <c r="AA914" s="3">
        <f>IF($Y914="",FALSE,AND($Y914&gt;p_dias_backlog_min,$Y914&lt;=p_dias_backlog_max))</f>
        <v/>
      </c>
      <c r="AB914" s="6" t="n"/>
      <c r="AC914" s="3">
        <f>IF($AB914="","",IFERROR(INDEX('ASIGNACIONES'!$F$4:$F$339,MATCH($O914&amp;"|"&amp;$R914&amp;"|"&amp;$AB914,'ASIGNACIONES'!$I$4:$I$339,0)),""))</f>
        <v/>
      </c>
      <c r="AD914" s="13">
        <f>IF($AB914="","",SUMIFS('ORDENES'!$M$4:$M$1203,'ORDENES'!$AB$4:$AB$1203,$AB914,'ORDENES'!$O$4:$O$1203,$O914,'ORDENES'!$R$4:$R$1203,$R914))</f>
        <v/>
      </c>
      <c r="AE914" s="13">
        <f>IF($AD914="","",p_factor_productividad*IFERROR(INDEX('ASIGNACIONES'!$H$4:$H$339,MATCH($O914&amp;"|"&amp;$R914&amp;"|"&amp;$AB914,'ASIGNACIONES'!$I$4:$I$339,0)),0)-$AD914)</f>
        <v/>
      </c>
      <c r="AF914" s="10">
        <f>IF($A914="","",IFERROR(INDEX('2_IMPORTAR_EJECUCION'!$F$9:$F$1208,MATCH($AN914,'2_IMPORTAR_EJECUCION'!$J$9:$J$1208,0)),0))</f>
        <v/>
      </c>
      <c r="AG914" s="10">
        <f>IF($A914="","",MAX(0,IFERROR(INDEX('2_IMPORTAR_EJECUCION'!$H$9:$H$1208,MATCH($AN914,'2_IMPORTAR_EJECUCION'!$J$9:$J$1208,0)),0)-$AF914))</f>
        <v/>
      </c>
      <c r="AH914" s="10">
        <f>IF($A914="","",$AF914+$AG914)</f>
        <v/>
      </c>
      <c r="AI914" s="6" t="n"/>
      <c r="AJ914" s="6" t="n"/>
      <c r="AK914" s="6" t="n"/>
      <c r="AL914" s="3">
        <f>IF($AK914="","",HYPERLINK(p_ruta_base_checklists&amp;$AK914,"abrir"))</f>
        <v/>
      </c>
      <c r="AM914" s="6" t="n"/>
      <c r="AN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1" t="n"/>
      <c r="K915" s="3" t="n"/>
      <c r="L915" s="10" t="n"/>
      <c r="M915" s="3">
        <f>IF($A915="","",IFERROR(INDEX('AJUSTES'!$B$4:$B$303,MATCH($AN915,'AJUSTES'!$A$4:$A$303,0)),IF($K915="","",$K915)))</f>
        <v/>
      </c>
      <c r="N915" s="3">
        <f>IF($A915="","",IFERROR(INDEX('CAT_ESTADOS_ERP'!$B$4:$B$7,MATCH(IFERROR(INDEX('2_IMPORTAR_EJECUCION'!$C$9:$C$1208,MATCH($AN915,'2_IMPORTAR_EJECUCION'!$J$9:$J$1208,0)),""),'CAT_ESTADOS_ERP'!$A$4:$A$7,0)),"Pendiente"))</f>
        <v/>
      </c>
      <c r="O915" s="3">
        <f>IF($J915="","",YEAR($J915+4-WEEKDAY($J915,2))&amp;"-S"&amp;TEXT(_xlfn.ISOWEEKNUM($J915),"00"))</f>
        <v/>
      </c>
      <c r="P915" s="3">
        <f>IF($J915="","",YEAR($J915))</f>
        <v/>
      </c>
      <c r="Q915" s="3">
        <f>IF($J915="","",MONTH($J915))</f>
        <v/>
      </c>
      <c r="R915" s="3">
        <f>IF($J915="","",INDEX(lista_dias,WEEKDAY($J915,2)))</f>
        <v/>
      </c>
      <c r="S915" s="3">
        <f>IF($I915="","",IFERROR(INDEX('CAT_TIPOS_OT'!$C$4:$C$7,MATCH($I915,'CAT_TIPOS_OT'!$A$4:$A$7,0)),"sin_clasificar"))</f>
        <v/>
      </c>
      <c r="T915" s="3">
        <f>IF($F915="","",IFERROR(INDEX('CAT_CENTROS_COSTO'!$E$4:$E$9,MATCH($F915,'CAT_CENTROS_COSTO'!$A$4:$A$9,0)),"(sin catálogo)"))</f>
        <v/>
      </c>
      <c r="U915" s="3">
        <f>IF($F915="","",IFERROR(INDEX('CAT_CENTROS_COSTO'!$D$4:$D$9,MATCH($F915,'CAT_CENTROS_COSTO'!$A$4:$A$9,0)),"(sin catálogo)"))</f>
        <v/>
      </c>
      <c r="V915" s="3">
        <f>IF($F915="","",IFERROR(INDEX('CAT_CENTROS_COSTO'!$F$4:$F$9,MATCH($F915,'CAT_CENTROS_COSTO'!$A$4:$A$9,0)),"(sin catálogo)"))</f>
        <v/>
      </c>
      <c r="W915" s="3">
        <f>IF($G915="","",IFERROR(INDEX('CAT_PUESTOS'!$B$4:$B$8,MATCH($G915,'CAT_PUESTOS'!$A$4:$A$8,0)),"(sin catálogo)"))</f>
        <v/>
      </c>
      <c r="X915" s="3">
        <f>IF($H915="","",IFERROR(INDEX('CAT_ACTIVIDADES'!$B$4:$B$8,MATCH($H915,'CAT_ACTIVIDADES'!$A$4:$A$8,0)),"(sin catálogo)"))</f>
        <v/>
      </c>
      <c r="Y915" s="12">
        <f>IF($J915="","",TODAY()-$J915)</f>
        <v/>
      </c>
      <c r="Z915" s="3">
        <f>IF($Y915="","",IF($Y915&lt;0,"FUTURO",IF($Y915&gt;p_dias_backlog_max,"BACKLOG","MES CORRIENTE")))</f>
        <v/>
      </c>
      <c r="AA915" s="3">
        <f>IF($Y915="",FALSE,AND($Y915&gt;p_dias_backlog_min,$Y915&lt;=p_dias_backlog_max))</f>
        <v/>
      </c>
      <c r="AB915" s="6" t="n"/>
      <c r="AC915" s="3">
        <f>IF($AB915="","",IFERROR(INDEX('ASIGNACIONES'!$F$4:$F$339,MATCH($O915&amp;"|"&amp;$R915&amp;"|"&amp;$AB915,'ASIGNACIONES'!$I$4:$I$339,0)),""))</f>
        <v/>
      </c>
      <c r="AD915" s="13">
        <f>IF($AB915="","",SUMIFS('ORDENES'!$M$4:$M$1203,'ORDENES'!$AB$4:$AB$1203,$AB915,'ORDENES'!$O$4:$O$1203,$O915,'ORDENES'!$R$4:$R$1203,$R915))</f>
        <v/>
      </c>
      <c r="AE915" s="13">
        <f>IF($AD915="","",p_factor_productividad*IFERROR(INDEX('ASIGNACIONES'!$H$4:$H$339,MATCH($O915&amp;"|"&amp;$R915&amp;"|"&amp;$AB915,'ASIGNACIONES'!$I$4:$I$339,0)),0)-$AD915)</f>
        <v/>
      </c>
      <c r="AF915" s="10">
        <f>IF($A915="","",IFERROR(INDEX('2_IMPORTAR_EJECUCION'!$F$9:$F$1208,MATCH($AN915,'2_IMPORTAR_EJECUCION'!$J$9:$J$1208,0)),0))</f>
        <v/>
      </c>
      <c r="AG915" s="10">
        <f>IF($A915="","",MAX(0,IFERROR(INDEX('2_IMPORTAR_EJECUCION'!$H$9:$H$1208,MATCH($AN915,'2_IMPORTAR_EJECUCION'!$J$9:$J$1208,0)),0)-$AF915))</f>
        <v/>
      </c>
      <c r="AH915" s="10">
        <f>IF($A915="","",$AF915+$AG915)</f>
        <v/>
      </c>
      <c r="AI915" s="6" t="n"/>
      <c r="AJ915" s="6" t="n"/>
      <c r="AK915" s="6" t="n"/>
      <c r="AL915" s="3">
        <f>IF($AK915="","",HYPERLINK(p_ruta_base_checklists&amp;$AK915,"abrir"))</f>
        <v/>
      </c>
      <c r="AM915" s="6" t="n"/>
      <c r="AN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1" t="n"/>
      <c r="K916" s="3" t="n"/>
      <c r="L916" s="10" t="n"/>
      <c r="M916" s="3">
        <f>IF($A916="","",IFERROR(INDEX('AJUSTES'!$B$4:$B$303,MATCH($AN916,'AJUSTES'!$A$4:$A$303,0)),IF($K916="","",$K916)))</f>
        <v/>
      </c>
      <c r="N916" s="3">
        <f>IF($A916="","",IFERROR(INDEX('CAT_ESTADOS_ERP'!$B$4:$B$7,MATCH(IFERROR(INDEX('2_IMPORTAR_EJECUCION'!$C$9:$C$1208,MATCH($AN916,'2_IMPORTAR_EJECUCION'!$J$9:$J$1208,0)),""),'CAT_ESTADOS_ERP'!$A$4:$A$7,0)),"Pendiente"))</f>
        <v/>
      </c>
      <c r="O916" s="3">
        <f>IF($J916="","",YEAR($J916+4-WEEKDAY($J916,2))&amp;"-S"&amp;TEXT(_xlfn.ISOWEEKNUM($J916),"00"))</f>
        <v/>
      </c>
      <c r="P916" s="3">
        <f>IF($J916="","",YEAR($J916))</f>
        <v/>
      </c>
      <c r="Q916" s="3">
        <f>IF($J916="","",MONTH($J916))</f>
        <v/>
      </c>
      <c r="R916" s="3">
        <f>IF($J916="","",INDEX(lista_dias,WEEKDAY($J916,2)))</f>
        <v/>
      </c>
      <c r="S916" s="3">
        <f>IF($I916="","",IFERROR(INDEX('CAT_TIPOS_OT'!$C$4:$C$7,MATCH($I916,'CAT_TIPOS_OT'!$A$4:$A$7,0)),"sin_clasificar"))</f>
        <v/>
      </c>
      <c r="T916" s="3">
        <f>IF($F916="","",IFERROR(INDEX('CAT_CENTROS_COSTO'!$E$4:$E$9,MATCH($F916,'CAT_CENTROS_COSTO'!$A$4:$A$9,0)),"(sin catálogo)"))</f>
        <v/>
      </c>
      <c r="U916" s="3">
        <f>IF($F916="","",IFERROR(INDEX('CAT_CENTROS_COSTO'!$D$4:$D$9,MATCH($F916,'CAT_CENTROS_COSTO'!$A$4:$A$9,0)),"(sin catálogo)"))</f>
        <v/>
      </c>
      <c r="V916" s="3">
        <f>IF($F916="","",IFERROR(INDEX('CAT_CENTROS_COSTO'!$F$4:$F$9,MATCH($F916,'CAT_CENTROS_COSTO'!$A$4:$A$9,0)),"(sin catálogo)"))</f>
        <v/>
      </c>
      <c r="W916" s="3">
        <f>IF($G916="","",IFERROR(INDEX('CAT_PUESTOS'!$B$4:$B$8,MATCH($G916,'CAT_PUESTOS'!$A$4:$A$8,0)),"(sin catálogo)"))</f>
        <v/>
      </c>
      <c r="X916" s="3">
        <f>IF($H916="","",IFERROR(INDEX('CAT_ACTIVIDADES'!$B$4:$B$8,MATCH($H916,'CAT_ACTIVIDADES'!$A$4:$A$8,0)),"(sin catálogo)"))</f>
        <v/>
      </c>
      <c r="Y916" s="12">
        <f>IF($J916="","",TODAY()-$J916)</f>
        <v/>
      </c>
      <c r="Z916" s="3">
        <f>IF($Y916="","",IF($Y916&lt;0,"FUTURO",IF($Y916&gt;p_dias_backlog_max,"BACKLOG","MES CORRIENTE")))</f>
        <v/>
      </c>
      <c r="AA916" s="3">
        <f>IF($Y916="",FALSE,AND($Y916&gt;p_dias_backlog_min,$Y916&lt;=p_dias_backlog_max))</f>
        <v/>
      </c>
      <c r="AB916" s="6" t="n"/>
      <c r="AC916" s="3">
        <f>IF($AB916="","",IFERROR(INDEX('ASIGNACIONES'!$F$4:$F$339,MATCH($O916&amp;"|"&amp;$R916&amp;"|"&amp;$AB916,'ASIGNACIONES'!$I$4:$I$339,0)),""))</f>
        <v/>
      </c>
      <c r="AD916" s="13">
        <f>IF($AB916="","",SUMIFS('ORDENES'!$M$4:$M$1203,'ORDENES'!$AB$4:$AB$1203,$AB916,'ORDENES'!$O$4:$O$1203,$O916,'ORDENES'!$R$4:$R$1203,$R916))</f>
        <v/>
      </c>
      <c r="AE916" s="13">
        <f>IF($AD916="","",p_factor_productividad*IFERROR(INDEX('ASIGNACIONES'!$H$4:$H$339,MATCH($O916&amp;"|"&amp;$R916&amp;"|"&amp;$AB916,'ASIGNACIONES'!$I$4:$I$339,0)),0)-$AD916)</f>
        <v/>
      </c>
      <c r="AF916" s="10">
        <f>IF($A916="","",IFERROR(INDEX('2_IMPORTAR_EJECUCION'!$F$9:$F$1208,MATCH($AN916,'2_IMPORTAR_EJECUCION'!$J$9:$J$1208,0)),0))</f>
        <v/>
      </c>
      <c r="AG916" s="10">
        <f>IF($A916="","",MAX(0,IFERROR(INDEX('2_IMPORTAR_EJECUCION'!$H$9:$H$1208,MATCH($AN916,'2_IMPORTAR_EJECUCION'!$J$9:$J$1208,0)),0)-$AF916))</f>
        <v/>
      </c>
      <c r="AH916" s="10">
        <f>IF($A916="","",$AF916+$AG916)</f>
        <v/>
      </c>
      <c r="AI916" s="6" t="n"/>
      <c r="AJ916" s="6" t="n"/>
      <c r="AK916" s="6" t="n"/>
      <c r="AL916" s="3">
        <f>IF($AK916="","",HYPERLINK(p_ruta_base_checklists&amp;$AK916,"abrir"))</f>
        <v/>
      </c>
      <c r="AM916" s="6" t="n"/>
      <c r="AN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1" t="n"/>
      <c r="K917" s="3" t="n"/>
      <c r="L917" s="10" t="n"/>
      <c r="M917" s="3">
        <f>IF($A917="","",IFERROR(INDEX('AJUSTES'!$B$4:$B$303,MATCH($AN917,'AJUSTES'!$A$4:$A$303,0)),IF($K917="","",$K917)))</f>
        <v/>
      </c>
      <c r="N917" s="3">
        <f>IF($A917="","",IFERROR(INDEX('CAT_ESTADOS_ERP'!$B$4:$B$7,MATCH(IFERROR(INDEX('2_IMPORTAR_EJECUCION'!$C$9:$C$1208,MATCH($AN917,'2_IMPORTAR_EJECUCION'!$J$9:$J$1208,0)),""),'CAT_ESTADOS_ERP'!$A$4:$A$7,0)),"Pendiente"))</f>
        <v/>
      </c>
      <c r="O917" s="3">
        <f>IF($J917="","",YEAR($J917+4-WEEKDAY($J917,2))&amp;"-S"&amp;TEXT(_xlfn.ISOWEEKNUM($J917),"00"))</f>
        <v/>
      </c>
      <c r="P917" s="3">
        <f>IF($J917="","",YEAR($J917))</f>
        <v/>
      </c>
      <c r="Q917" s="3">
        <f>IF($J917="","",MONTH($J917))</f>
        <v/>
      </c>
      <c r="R917" s="3">
        <f>IF($J917="","",INDEX(lista_dias,WEEKDAY($J917,2)))</f>
        <v/>
      </c>
      <c r="S917" s="3">
        <f>IF($I917="","",IFERROR(INDEX('CAT_TIPOS_OT'!$C$4:$C$7,MATCH($I917,'CAT_TIPOS_OT'!$A$4:$A$7,0)),"sin_clasificar"))</f>
        <v/>
      </c>
      <c r="T917" s="3">
        <f>IF($F917="","",IFERROR(INDEX('CAT_CENTROS_COSTO'!$E$4:$E$9,MATCH($F917,'CAT_CENTROS_COSTO'!$A$4:$A$9,0)),"(sin catálogo)"))</f>
        <v/>
      </c>
      <c r="U917" s="3">
        <f>IF($F917="","",IFERROR(INDEX('CAT_CENTROS_COSTO'!$D$4:$D$9,MATCH($F917,'CAT_CENTROS_COSTO'!$A$4:$A$9,0)),"(sin catálogo)"))</f>
        <v/>
      </c>
      <c r="V917" s="3">
        <f>IF($F917="","",IFERROR(INDEX('CAT_CENTROS_COSTO'!$F$4:$F$9,MATCH($F917,'CAT_CENTROS_COSTO'!$A$4:$A$9,0)),"(sin catálogo)"))</f>
        <v/>
      </c>
      <c r="W917" s="3">
        <f>IF($G917="","",IFERROR(INDEX('CAT_PUESTOS'!$B$4:$B$8,MATCH($G917,'CAT_PUESTOS'!$A$4:$A$8,0)),"(sin catálogo)"))</f>
        <v/>
      </c>
      <c r="X917" s="3">
        <f>IF($H917="","",IFERROR(INDEX('CAT_ACTIVIDADES'!$B$4:$B$8,MATCH($H917,'CAT_ACTIVIDADES'!$A$4:$A$8,0)),"(sin catálogo)"))</f>
        <v/>
      </c>
      <c r="Y917" s="12">
        <f>IF($J917="","",TODAY()-$J917)</f>
        <v/>
      </c>
      <c r="Z917" s="3">
        <f>IF($Y917="","",IF($Y917&lt;0,"FUTURO",IF($Y917&gt;p_dias_backlog_max,"BACKLOG","MES CORRIENTE")))</f>
        <v/>
      </c>
      <c r="AA917" s="3">
        <f>IF($Y917="",FALSE,AND($Y917&gt;p_dias_backlog_min,$Y917&lt;=p_dias_backlog_max))</f>
        <v/>
      </c>
      <c r="AB917" s="6" t="n"/>
      <c r="AC917" s="3">
        <f>IF($AB917="","",IFERROR(INDEX('ASIGNACIONES'!$F$4:$F$339,MATCH($O917&amp;"|"&amp;$R917&amp;"|"&amp;$AB917,'ASIGNACIONES'!$I$4:$I$339,0)),""))</f>
        <v/>
      </c>
      <c r="AD917" s="13">
        <f>IF($AB917="","",SUMIFS('ORDENES'!$M$4:$M$1203,'ORDENES'!$AB$4:$AB$1203,$AB917,'ORDENES'!$O$4:$O$1203,$O917,'ORDENES'!$R$4:$R$1203,$R917))</f>
        <v/>
      </c>
      <c r="AE917" s="13">
        <f>IF($AD917="","",p_factor_productividad*IFERROR(INDEX('ASIGNACIONES'!$H$4:$H$339,MATCH($O917&amp;"|"&amp;$R917&amp;"|"&amp;$AB917,'ASIGNACIONES'!$I$4:$I$339,0)),0)-$AD917)</f>
        <v/>
      </c>
      <c r="AF917" s="10">
        <f>IF($A917="","",IFERROR(INDEX('2_IMPORTAR_EJECUCION'!$F$9:$F$1208,MATCH($AN917,'2_IMPORTAR_EJECUCION'!$J$9:$J$1208,0)),0))</f>
        <v/>
      </c>
      <c r="AG917" s="10">
        <f>IF($A917="","",MAX(0,IFERROR(INDEX('2_IMPORTAR_EJECUCION'!$H$9:$H$1208,MATCH($AN917,'2_IMPORTAR_EJECUCION'!$J$9:$J$1208,0)),0)-$AF917))</f>
        <v/>
      </c>
      <c r="AH917" s="10">
        <f>IF($A917="","",$AF917+$AG917)</f>
        <v/>
      </c>
      <c r="AI917" s="6" t="n"/>
      <c r="AJ917" s="6" t="n"/>
      <c r="AK917" s="6" t="n"/>
      <c r="AL917" s="3">
        <f>IF($AK917="","",HYPERLINK(p_ruta_base_checklists&amp;$AK917,"abrir"))</f>
        <v/>
      </c>
      <c r="AM917" s="6" t="n"/>
      <c r="AN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1" t="n"/>
      <c r="K918" s="3" t="n"/>
      <c r="L918" s="10" t="n"/>
      <c r="M918" s="3">
        <f>IF($A918="","",IFERROR(INDEX('AJUSTES'!$B$4:$B$303,MATCH($AN918,'AJUSTES'!$A$4:$A$303,0)),IF($K918="","",$K918)))</f>
        <v/>
      </c>
      <c r="N918" s="3">
        <f>IF($A918="","",IFERROR(INDEX('CAT_ESTADOS_ERP'!$B$4:$B$7,MATCH(IFERROR(INDEX('2_IMPORTAR_EJECUCION'!$C$9:$C$1208,MATCH($AN918,'2_IMPORTAR_EJECUCION'!$J$9:$J$1208,0)),""),'CAT_ESTADOS_ERP'!$A$4:$A$7,0)),"Pendiente"))</f>
        <v/>
      </c>
      <c r="O918" s="3">
        <f>IF($J918="","",YEAR($J918+4-WEEKDAY($J918,2))&amp;"-S"&amp;TEXT(_xlfn.ISOWEEKNUM($J918),"00"))</f>
        <v/>
      </c>
      <c r="P918" s="3">
        <f>IF($J918="","",YEAR($J918))</f>
        <v/>
      </c>
      <c r="Q918" s="3">
        <f>IF($J918="","",MONTH($J918))</f>
        <v/>
      </c>
      <c r="R918" s="3">
        <f>IF($J918="","",INDEX(lista_dias,WEEKDAY($J918,2)))</f>
        <v/>
      </c>
      <c r="S918" s="3">
        <f>IF($I918="","",IFERROR(INDEX('CAT_TIPOS_OT'!$C$4:$C$7,MATCH($I918,'CAT_TIPOS_OT'!$A$4:$A$7,0)),"sin_clasificar"))</f>
        <v/>
      </c>
      <c r="T918" s="3">
        <f>IF($F918="","",IFERROR(INDEX('CAT_CENTROS_COSTO'!$E$4:$E$9,MATCH($F918,'CAT_CENTROS_COSTO'!$A$4:$A$9,0)),"(sin catálogo)"))</f>
        <v/>
      </c>
      <c r="U918" s="3">
        <f>IF($F918="","",IFERROR(INDEX('CAT_CENTROS_COSTO'!$D$4:$D$9,MATCH($F918,'CAT_CENTROS_COSTO'!$A$4:$A$9,0)),"(sin catálogo)"))</f>
        <v/>
      </c>
      <c r="V918" s="3">
        <f>IF($F918="","",IFERROR(INDEX('CAT_CENTROS_COSTO'!$F$4:$F$9,MATCH($F918,'CAT_CENTROS_COSTO'!$A$4:$A$9,0)),"(sin catálogo)"))</f>
        <v/>
      </c>
      <c r="W918" s="3">
        <f>IF($G918="","",IFERROR(INDEX('CAT_PUESTOS'!$B$4:$B$8,MATCH($G918,'CAT_PUESTOS'!$A$4:$A$8,0)),"(sin catálogo)"))</f>
        <v/>
      </c>
      <c r="X918" s="3">
        <f>IF($H918="","",IFERROR(INDEX('CAT_ACTIVIDADES'!$B$4:$B$8,MATCH($H918,'CAT_ACTIVIDADES'!$A$4:$A$8,0)),"(sin catálogo)"))</f>
        <v/>
      </c>
      <c r="Y918" s="12">
        <f>IF($J918="","",TODAY()-$J918)</f>
        <v/>
      </c>
      <c r="Z918" s="3">
        <f>IF($Y918="","",IF($Y918&lt;0,"FUTURO",IF($Y918&gt;p_dias_backlog_max,"BACKLOG","MES CORRIENTE")))</f>
        <v/>
      </c>
      <c r="AA918" s="3">
        <f>IF($Y918="",FALSE,AND($Y918&gt;p_dias_backlog_min,$Y918&lt;=p_dias_backlog_max))</f>
        <v/>
      </c>
      <c r="AB918" s="6" t="n"/>
      <c r="AC918" s="3">
        <f>IF($AB918="","",IFERROR(INDEX('ASIGNACIONES'!$F$4:$F$339,MATCH($O918&amp;"|"&amp;$R918&amp;"|"&amp;$AB918,'ASIGNACIONES'!$I$4:$I$339,0)),""))</f>
        <v/>
      </c>
      <c r="AD918" s="13">
        <f>IF($AB918="","",SUMIFS('ORDENES'!$M$4:$M$1203,'ORDENES'!$AB$4:$AB$1203,$AB918,'ORDENES'!$O$4:$O$1203,$O918,'ORDENES'!$R$4:$R$1203,$R918))</f>
        <v/>
      </c>
      <c r="AE918" s="13">
        <f>IF($AD918="","",p_factor_productividad*IFERROR(INDEX('ASIGNACIONES'!$H$4:$H$339,MATCH($O918&amp;"|"&amp;$R918&amp;"|"&amp;$AB918,'ASIGNACIONES'!$I$4:$I$339,0)),0)-$AD918)</f>
        <v/>
      </c>
      <c r="AF918" s="10">
        <f>IF($A918="","",IFERROR(INDEX('2_IMPORTAR_EJECUCION'!$F$9:$F$1208,MATCH($AN918,'2_IMPORTAR_EJECUCION'!$J$9:$J$1208,0)),0))</f>
        <v/>
      </c>
      <c r="AG918" s="10">
        <f>IF($A918="","",MAX(0,IFERROR(INDEX('2_IMPORTAR_EJECUCION'!$H$9:$H$1208,MATCH($AN918,'2_IMPORTAR_EJECUCION'!$J$9:$J$1208,0)),0)-$AF918))</f>
        <v/>
      </c>
      <c r="AH918" s="10">
        <f>IF($A918="","",$AF918+$AG918)</f>
        <v/>
      </c>
      <c r="AI918" s="6" t="n"/>
      <c r="AJ918" s="6" t="n"/>
      <c r="AK918" s="6" t="n"/>
      <c r="AL918" s="3">
        <f>IF($AK918="","",HYPERLINK(p_ruta_base_checklists&amp;$AK918,"abrir"))</f>
        <v/>
      </c>
      <c r="AM918" s="6" t="n"/>
      <c r="AN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1" t="n"/>
      <c r="K919" s="3" t="n"/>
      <c r="L919" s="10" t="n"/>
      <c r="M919" s="3">
        <f>IF($A919="","",IFERROR(INDEX('AJUSTES'!$B$4:$B$303,MATCH($AN919,'AJUSTES'!$A$4:$A$303,0)),IF($K919="","",$K919)))</f>
        <v/>
      </c>
      <c r="N919" s="3">
        <f>IF($A919="","",IFERROR(INDEX('CAT_ESTADOS_ERP'!$B$4:$B$7,MATCH(IFERROR(INDEX('2_IMPORTAR_EJECUCION'!$C$9:$C$1208,MATCH($AN919,'2_IMPORTAR_EJECUCION'!$J$9:$J$1208,0)),""),'CAT_ESTADOS_ERP'!$A$4:$A$7,0)),"Pendiente"))</f>
        <v/>
      </c>
      <c r="O919" s="3">
        <f>IF($J919="","",YEAR($J919+4-WEEKDAY($J919,2))&amp;"-S"&amp;TEXT(_xlfn.ISOWEEKNUM($J919),"00"))</f>
        <v/>
      </c>
      <c r="P919" s="3">
        <f>IF($J919="","",YEAR($J919))</f>
        <v/>
      </c>
      <c r="Q919" s="3">
        <f>IF($J919="","",MONTH($J919))</f>
        <v/>
      </c>
      <c r="R919" s="3">
        <f>IF($J919="","",INDEX(lista_dias,WEEKDAY($J919,2)))</f>
        <v/>
      </c>
      <c r="S919" s="3">
        <f>IF($I919="","",IFERROR(INDEX('CAT_TIPOS_OT'!$C$4:$C$7,MATCH($I919,'CAT_TIPOS_OT'!$A$4:$A$7,0)),"sin_clasificar"))</f>
        <v/>
      </c>
      <c r="T919" s="3">
        <f>IF($F919="","",IFERROR(INDEX('CAT_CENTROS_COSTO'!$E$4:$E$9,MATCH($F919,'CAT_CENTROS_COSTO'!$A$4:$A$9,0)),"(sin catálogo)"))</f>
        <v/>
      </c>
      <c r="U919" s="3">
        <f>IF($F919="","",IFERROR(INDEX('CAT_CENTROS_COSTO'!$D$4:$D$9,MATCH($F919,'CAT_CENTROS_COSTO'!$A$4:$A$9,0)),"(sin catálogo)"))</f>
        <v/>
      </c>
      <c r="V919" s="3">
        <f>IF($F919="","",IFERROR(INDEX('CAT_CENTROS_COSTO'!$F$4:$F$9,MATCH($F919,'CAT_CENTROS_COSTO'!$A$4:$A$9,0)),"(sin catálogo)"))</f>
        <v/>
      </c>
      <c r="W919" s="3">
        <f>IF($G919="","",IFERROR(INDEX('CAT_PUESTOS'!$B$4:$B$8,MATCH($G919,'CAT_PUESTOS'!$A$4:$A$8,0)),"(sin catálogo)"))</f>
        <v/>
      </c>
      <c r="X919" s="3">
        <f>IF($H919="","",IFERROR(INDEX('CAT_ACTIVIDADES'!$B$4:$B$8,MATCH($H919,'CAT_ACTIVIDADES'!$A$4:$A$8,0)),"(sin catálogo)"))</f>
        <v/>
      </c>
      <c r="Y919" s="12">
        <f>IF($J919="","",TODAY()-$J919)</f>
        <v/>
      </c>
      <c r="Z919" s="3">
        <f>IF($Y919="","",IF($Y919&lt;0,"FUTURO",IF($Y919&gt;p_dias_backlog_max,"BACKLOG","MES CORRIENTE")))</f>
        <v/>
      </c>
      <c r="AA919" s="3">
        <f>IF($Y919="",FALSE,AND($Y919&gt;p_dias_backlog_min,$Y919&lt;=p_dias_backlog_max))</f>
        <v/>
      </c>
      <c r="AB919" s="6" t="n"/>
      <c r="AC919" s="3">
        <f>IF($AB919="","",IFERROR(INDEX('ASIGNACIONES'!$F$4:$F$339,MATCH($O919&amp;"|"&amp;$R919&amp;"|"&amp;$AB919,'ASIGNACIONES'!$I$4:$I$339,0)),""))</f>
        <v/>
      </c>
      <c r="AD919" s="13">
        <f>IF($AB919="","",SUMIFS('ORDENES'!$M$4:$M$1203,'ORDENES'!$AB$4:$AB$1203,$AB919,'ORDENES'!$O$4:$O$1203,$O919,'ORDENES'!$R$4:$R$1203,$R919))</f>
        <v/>
      </c>
      <c r="AE919" s="13">
        <f>IF($AD919="","",p_factor_productividad*IFERROR(INDEX('ASIGNACIONES'!$H$4:$H$339,MATCH($O919&amp;"|"&amp;$R919&amp;"|"&amp;$AB919,'ASIGNACIONES'!$I$4:$I$339,0)),0)-$AD919)</f>
        <v/>
      </c>
      <c r="AF919" s="10">
        <f>IF($A919="","",IFERROR(INDEX('2_IMPORTAR_EJECUCION'!$F$9:$F$1208,MATCH($AN919,'2_IMPORTAR_EJECUCION'!$J$9:$J$1208,0)),0))</f>
        <v/>
      </c>
      <c r="AG919" s="10">
        <f>IF($A919="","",MAX(0,IFERROR(INDEX('2_IMPORTAR_EJECUCION'!$H$9:$H$1208,MATCH($AN919,'2_IMPORTAR_EJECUCION'!$J$9:$J$1208,0)),0)-$AF919))</f>
        <v/>
      </c>
      <c r="AH919" s="10">
        <f>IF($A919="","",$AF919+$AG919)</f>
        <v/>
      </c>
      <c r="AI919" s="6" t="n"/>
      <c r="AJ919" s="6" t="n"/>
      <c r="AK919" s="6" t="n"/>
      <c r="AL919" s="3">
        <f>IF($AK919="","",HYPERLINK(p_ruta_base_checklists&amp;$AK919,"abrir"))</f>
        <v/>
      </c>
      <c r="AM919" s="6" t="n"/>
      <c r="AN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1" t="n"/>
      <c r="K920" s="3" t="n"/>
      <c r="L920" s="10" t="n"/>
      <c r="M920" s="3">
        <f>IF($A920="","",IFERROR(INDEX('AJUSTES'!$B$4:$B$303,MATCH($AN920,'AJUSTES'!$A$4:$A$303,0)),IF($K920="","",$K920)))</f>
        <v/>
      </c>
      <c r="N920" s="3">
        <f>IF($A920="","",IFERROR(INDEX('CAT_ESTADOS_ERP'!$B$4:$B$7,MATCH(IFERROR(INDEX('2_IMPORTAR_EJECUCION'!$C$9:$C$1208,MATCH($AN920,'2_IMPORTAR_EJECUCION'!$J$9:$J$1208,0)),""),'CAT_ESTADOS_ERP'!$A$4:$A$7,0)),"Pendiente"))</f>
        <v/>
      </c>
      <c r="O920" s="3">
        <f>IF($J920="","",YEAR($J920+4-WEEKDAY($J920,2))&amp;"-S"&amp;TEXT(_xlfn.ISOWEEKNUM($J920),"00"))</f>
        <v/>
      </c>
      <c r="P920" s="3">
        <f>IF($J920="","",YEAR($J920))</f>
        <v/>
      </c>
      <c r="Q920" s="3">
        <f>IF($J920="","",MONTH($J920))</f>
        <v/>
      </c>
      <c r="R920" s="3">
        <f>IF($J920="","",INDEX(lista_dias,WEEKDAY($J920,2)))</f>
        <v/>
      </c>
      <c r="S920" s="3">
        <f>IF($I920="","",IFERROR(INDEX('CAT_TIPOS_OT'!$C$4:$C$7,MATCH($I920,'CAT_TIPOS_OT'!$A$4:$A$7,0)),"sin_clasificar"))</f>
        <v/>
      </c>
      <c r="T920" s="3">
        <f>IF($F920="","",IFERROR(INDEX('CAT_CENTROS_COSTO'!$E$4:$E$9,MATCH($F920,'CAT_CENTROS_COSTO'!$A$4:$A$9,0)),"(sin catálogo)"))</f>
        <v/>
      </c>
      <c r="U920" s="3">
        <f>IF($F920="","",IFERROR(INDEX('CAT_CENTROS_COSTO'!$D$4:$D$9,MATCH($F920,'CAT_CENTROS_COSTO'!$A$4:$A$9,0)),"(sin catálogo)"))</f>
        <v/>
      </c>
      <c r="V920" s="3">
        <f>IF($F920="","",IFERROR(INDEX('CAT_CENTROS_COSTO'!$F$4:$F$9,MATCH($F920,'CAT_CENTROS_COSTO'!$A$4:$A$9,0)),"(sin catálogo)"))</f>
        <v/>
      </c>
      <c r="W920" s="3">
        <f>IF($G920="","",IFERROR(INDEX('CAT_PUESTOS'!$B$4:$B$8,MATCH($G920,'CAT_PUESTOS'!$A$4:$A$8,0)),"(sin catálogo)"))</f>
        <v/>
      </c>
      <c r="X920" s="3">
        <f>IF($H920="","",IFERROR(INDEX('CAT_ACTIVIDADES'!$B$4:$B$8,MATCH($H920,'CAT_ACTIVIDADES'!$A$4:$A$8,0)),"(sin catálogo)"))</f>
        <v/>
      </c>
      <c r="Y920" s="12">
        <f>IF($J920="","",TODAY()-$J920)</f>
        <v/>
      </c>
      <c r="Z920" s="3">
        <f>IF($Y920="","",IF($Y920&lt;0,"FUTURO",IF($Y920&gt;p_dias_backlog_max,"BACKLOG","MES CORRIENTE")))</f>
        <v/>
      </c>
      <c r="AA920" s="3">
        <f>IF($Y920="",FALSE,AND($Y920&gt;p_dias_backlog_min,$Y920&lt;=p_dias_backlog_max))</f>
        <v/>
      </c>
      <c r="AB920" s="6" t="n"/>
      <c r="AC920" s="3">
        <f>IF($AB920="","",IFERROR(INDEX('ASIGNACIONES'!$F$4:$F$339,MATCH($O920&amp;"|"&amp;$R920&amp;"|"&amp;$AB920,'ASIGNACIONES'!$I$4:$I$339,0)),""))</f>
        <v/>
      </c>
      <c r="AD920" s="13">
        <f>IF($AB920="","",SUMIFS('ORDENES'!$M$4:$M$1203,'ORDENES'!$AB$4:$AB$1203,$AB920,'ORDENES'!$O$4:$O$1203,$O920,'ORDENES'!$R$4:$R$1203,$R920))</f>
        <v/>
      </c>
      <c r="AE920" s="13">
        <f>IF($AD920="","",p_factor_productividad*IFERROR(INDEX('ASIGNACIONES'!$H$4:$H$339,MATCH($O920&amp;"|"&amp;$R920&amp;"|"&amp;$AB920,'ASIGNACIONES'!$I$4:$I$339,0)),0)-$AD920)</f>
        <v/>
      </c>
      <c r="AF920" s="10">
        <f>IF($A920="","",IFERROR(INDEX('2_IMPORTAR_EJECUCION'!$F$9:$F$1208,MATCH($AN920,'2_IMPORTAR_EJECUCION'!$J$9:$J$1208,0)),0))</f>
        <v/>
      </c>
      <c r="AG920" s="10">
        <f>IF($A920="","",MAX(0,IFERROR(INDEX('2_IMPORTAR_EJECUCION'!$H$9:$H$1208,MATCH($AN920,'2_IMPORTAR_EJECUCION'!$J$9:$J$1208,0)),0)-$AF920))</f>
        <v/>
      </c>
      <c r="AH920" s="10">
        <f>IF($A920="","",$AF920+$AG920)</f>
        <v/>
      </c>
      <c r="AI920" s="6" t="n"/>
      <c r="AJ920" s="6" t="n"/>
      <c r="AK920" s="6" t="n"/>
      <c r="AL920" s="3">
        <f>IF($AK920="","",HYPERLINK(p_ruta_base_checklists&amp;$AK920,"abrir"))</f>
        <v/>
      </c>
      <c r="AM920" s="6" t="n"/>
      <c r="AN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1" t="n"/>
      <c r="K921" s="3" t="n"/>
      <c r="L921" s="10" t="n"/>
      <c r="M921" s="3">
        <f>IF($A921="","",IFERROR(INDEX('AJUSTES'!$B$4:$B$303,MATCH($AN921,'AJUSTES'!$A$4:$A$303,0)),IF($K921="","",$K921)))</f>
        <v/>
      </c>
      <c r="N921" s="3">
        <f>IF($A921="","",IFERROR(INDEX('CAT_ESTADOS_ERP'!$B$4:$B$7,MATCH(IFERROR(INDEX('2_IMPORTAR_EJECUCION'!$C$9:$C$1208,MATCH($AN921,'2_IMPORTAR_EJECUCION'!$J$9:$J$1208,0)),""),'CAT_ESTADOS_ERP'!$A$4:$A$7,0)),"Pendiente"))</f>
        <v/>
      </c>
      <c r="O921" s="3">
        <f>IF($J921="","",YEAR($J921+4-WEEKDAY($J921,2))&amp;"-S"&amp;TEXT(_xlfn.ISOWEEKNUM($J921),"00"))</f>
        <v/>
      </c>
      <c r="P921" s="3">
        <f>IF($J921="","",YEAR($J921))</f>
        <v/>
      </c>
      <c r="Q921" s="3">
        <f>IF($J921="","",MONTH($J921))</f>
        <v/>
      </c>
      <c r="R921" s="3">
        <f>IF($J921="","",INDEX(lista_dias,WEEKDAY($J921,2)))</f>
        <v/>
      </c>
      <c r="S921" s="3">
        <f>IF($I921="","",IFERROR(INDEX('CAT_TIPOS_OT'!$C$4:$C$7,MATCH($I921,'CAT_TIPOS_OT'!$A$4:$A$7,0)),"sin_clasificar"))</f>
        <v/>
      </c>
      <c r="T921" s="3">
        <f>IF($F921="","",IFERROR(INDEX('CAT_CENTROS_COSTO'!$E$4:$E$9,MATCH($F921,'CAT_CENTROS_COSTO'!$A$4:$A$9,0)),"(sin catálogo)"))</f>
        <v/>
      </c>
      <c r="U921" s="3">
        <f>IF($F921="","",IFERROR(INDEX('CAT_CENTROS_COSTO'!$D$4:$D$9,MATCH($F921,'CAT_CENTROS_COSTO'!$A$4:$A$9,0)),"(sin catálogo)"))</f>
        <v/>
      </c>
      <c r="V921" s="3">
        <f>IF($F921="","",IFERROR(INDEX('CAT_CENTROS_COSTO'!$F$4:$F$9,MATCH($F921,'CAT_CENTROS_COSTO'!$A$4:$A$9,0)),"(sin catálogo)"))</f>
        <v/>
      </c>
      <c r="W921" s="3">
        <f>IF($G921="","",IFERROR(INDEX('CAT_PUESTOS'!$B$4:$B$8,MATCH($G921,'CAT_PUESTOS'!$A$4:$A$8,0)),"(sin catálogo)"))</f>
        <v/>
      </c>
      <c r="X921" s="3">
        <f>IF($H921="","",IFERROR(INDEX('CAT_ACTIVIDADES'!$B$4:$B$8,MATCH($H921,'CAT_ACTIVIDADES'!$A$4:$A$8,0)),"(sin catálogo)"))</f>
        <v/>
      </c>
      <c r="Y921" s="12">
        <f>IF($J921="","",TODAY()-$J921)</f>
        <v/>
      </c>
      <c r="Z921" s="3">
        <f>IF($Y921="","",IF($Y921&lt;0,"FUTURO",IF($Y921&gt;p_dias_backlog_max,"BACKLOG","MES CORRIENTE")))</f>
        <v/>
      </c>
      <c r="AA921" s="3">
        <f>IF($Y921="",FALSE,AND($Y921&gt;p_dias_backlog_min,$Y921&lt;=p_dias_backlog_max))</f>
        <v/>
      </c>
      <c r="AB921" s="6" t="n"/>
      <c r="AC921" s="3">
        <f>IF($AB921="","",IFERROR(INDEX('ASIGNACIONES'!$F$4:$F$339,MATCH($O921&amp;"|"&amp;$R921&amp;"|"&amp;$AB921,'ASIGNACIONES'!$I$4:$I$339,0)),""))</f>
        <v/>
      </c>
      <c r="AD921" s="13">
        <f>IF($AB921="","",SUMIFS('ORDENES'!$M$4:$M$1203,'ORDENES'!$AB$4:$AB$1203,$AB921,'ORDENES'!$O$4:$O$1203,$O921,'ORDENES'!$R$4:$R$1203,$R921))</f>
        <v/>
      </c>
      <c r="AE921" s="13">
        <f>IF($AD921="","",p_factor_productividad*IFERROR(INDEX('ASIGNACIONES'!$H$4:$H$339,MATCH($O921&amp;"|"&amp;$R921&amp;"|"&amp;$AB921,'ASIGNACIONES'!$I$4:$I$339,0)),0)-$AD921)</f>
        <v/>
      </c>
      <c r="AF921" s="10">
        <f>IF($A921="","",IFERROR(INDEX('2_IMPORTAR_EJECUCION'!$F$9:$F$1208,MATCH($AN921,'2_IMPORTAR_EJECUCION'!$J$9:$J$1208,0)),0))</f>
        <v/>
      </c>
      <c r="AG921" s="10">
        <f>IF($A921="","",MAX(0,IFERROR(INDEX('2_IMPORTAR_EJECUCION'!$H$9:$H$1208,MATCH($AN921,'2_IMPORTAR_EJECUCION'!$J$9:$J$1208,0)),0)-$AF921))</f>
        <v/>
      </c>
      <c r="AH921" s="10">
        <f>IF($A921="","",$AF921+$AG921)</f>
        <v/>
      </c>
      <c r="AI921" s="6" t="n"/>
      <c r="AJ921" s="6" t="n"/>
      <c r="AK921" s="6" t="n"/>
      <c r="AL921" s="3">
        <f>IF($AK921="","",HYPERLINK(p_ruta_base_checklists&amp;$AK921,"abrir"))</f>
        <v/>
      </c>
      <c r="AM921" s="6" t="n"/>
      <c r="AN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1" t="n"/>
      <c r="K922" s="3" t="n"/>
      <c r="L922" s="10" t="n"/>
      <c r="M922" s="3">
        <f>IF($A922="","",IFERROR(INDEX('AJUSTES'!$B$4:$B$303,MATCH($AN922,'AJUSTES'!$A$4:$A$303,0)),IF($K922="","",$K922)))</f>
        <v/>
      </c>
      <c r="N922" s="3">
        <f>IF($A922="","",IFERROR(INDEX('CAT_ESTADOS_ERP'!$B$4:$B$7,MATCH(IFERROR(INDEX('2_IMPORTAR_EJECUCION'!$C$9:$C$1208,MATCH($AN922,'2_IMPORTAR_EJECUCION'!$J$9:$J$1208,0)),""),'CAT_ESTADOS_ERP'!$A$4:$A$7,0)),"Pendiente"))</f>
        <v/>
      </c>
      <c r="O922" s="3">
        <f>IF($J922="","",YEAR($J922+4-WEEKDAY($J922,2))&amp;"-S"&amp;TEXT(_xlfn.ISOWEEKNUM($J922),"00"))</f>
        <v/>
      </c>
      <c r="P922" s="3">
        <f>IF($J922="","",YEAR($J922))</f>
        <v/>
      </c>
      <c r="Q922" s="3">
        <f>IF($J922="","",MONTH($J922))</f>
        <v/>
      </c>
      <c r="R922" s="3">
        <f>IF($J922="","",INDEX(lista_dias,WEEKDAY($J922,2)))</f>
        <v/>
      </c>
      <c r="S922" s="3">
        <f>IF($I922="","",IFERROR(INDEX('CAT_TIPOS_OT'!$C$4:$C$7,MATCH($I922,'CAT_TIPOS_OT'!$A$4:$A$7,0)),"sin_clasificar"))</f>
        <v/>
      </c>
      <c r="T922" s="3">
        <f>IF($F922="","",IFERROR(INDEX('CAT_CENTROS_COSTO'!$E$4:$E$9,MATCH($F922,'CAT_CENTROS_COSTO'!$A$4:$A$9,0)),"(sin catálogo)"))</f>
        <v/>
      </c>
      <c r="U922" s="3">
        <f>IF($F922="","",IFERROR(INDEX('CAT_CENTROS_COSTO'!$D$4:$D$9,MATCH($F922,'CAT_CENTROS_COSTO'!$A$4:$A$9,0)),"(sin catálogo)"))</f>
        <v/>
      </c>
      <c r="V922" s="3">
        <f>IF($F922="","",IFERROR(INDEX('CAT_CENTROS_COSTO'!$F$4:$F$9,MATCH($F922,'CAT_CENTROS_COSTO'!$A$4:$A$9,0)),"(sin catálogo)"))</f>
        <v/>
      </c>
      <c r="W922" s="3">
        <f>IF($G922="","",IFERROR(INDEX('CAT_PUESTOS'!$B$4:$B$8,MATCH($G922,'CAT_PUESTOS'!$A$4:$A$8,0)),"(sin catálogo)"))</f>
        <v/>
      </c>
      <c r="X922" s="3">
        <f>IF($H922="","",IFERROR(INDEX('CAT_ACTIVIDADES'!$B$4:$B$8,MATCH($H922,'CAT_ACTIVIDADES'!$A$4:$A$8,0)),"(sin catálogo)"))</f>
        <v/>
      </c>
      <c r="Y922" s="12">
        <f>IF($J922="","",TODAY()-$J922)</f>
        <v/>
      </c>
      <c r="Z922" s="3">
        <f>IF($Y922="","",IF($Y922&lt;0,"FUTURO",IF($Y922&gt;p_dias_backlog_max,"BACKLOG","MES CORRIENTE")))</f>
        <v/>
      </c>
      <c r="AA922" s="3">
        <f>IF($Y922="",FALSE,AND($Y922&gt;p_dias_backlog_min,$Y922&lt;=p_dias_backlog_max))</f>
        <v/>
      </c>
      <c r="AB922" s="6" t="n"/>
      <c r="AC922" s="3">
        <f>IF($AB922="","",IFERROR(INDEX('ASIGNACIONES'!$F$4:$F$339,MATCH($O922&amp;"|"&amp;$R922&amp;"|"&amp;$AB922,'ASIGNACIONES'!$I$4:$I$339,0)),""))</f>
        <v/>
      </c>
      <c r="AD922" s="13">
        <f>IF($AB922="","",SUMIFS('ORDENES'!$M$4:$M$1203,'ORDENES'!$AB$4:$AB$1203,$AB922,'ORDENES'!$O$4:$O$1203,$O922,'ORDENES'!$R$4:$R$1203,$R922))</f>
        <v/>
      </c>
      <c r="AE922" s="13">
        <f>IF($AD922="","",p_factor_productividad*IFERROR(INDEX('ASIGNACIONES'!$H$4:$H$339,MATCH($O922&amp;"|"&amp;$R922&amp;"|"&amp;$AB922,'ASIGNACIONES'!$I$4:$I$339,0)),0)-$AD922)</f>
        <v/>
      </c>
      <c r="AF922" s="10">
        <f>IF($A922="","",IFERROR(INDEX('2_IMPORTAR_EJECUCION'!$F$9:$F$1208,MATCH($AN922,'2_IMPORTAR_EJECUCION'!$J$9:$J$1208,0)),0))</f>
        <v/>
      </c>
      <c r="AG922" s="10">
        <f>IF($A922="","",MAX(0,IFERROR(INDEX('2_IMPORTAR_EJECUCION'!$H$9:$H$1208,MATCH($AN922,'2_IMPORTAR_EJECUCION'!$J$9:$J$1208,0)),0)-$AF922))</f>
        <v/>
      </c>
      <c r="AH922" s="10">
        <f>IF($A922="","",$AF922+$AG922)</f>
        <v/>
      </c>
      <c r="AI922" s="6" t="n"/>
      <c r="AJ922" s="6" t="n"/>
      <c r="AK922" s="6" t="n"/>
      <c r="AL922" s="3">
        <f>IF($AK922="","",HYPERLINK(p_ruta_base_checklists&amp;$AK922,"abrir"))</f>
        <v/>
      </c>
      <c r="AM922" s="6" t="n"/>
      <c r="AN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1" t="n"/>
      <c r="K923" s="3" t="n"/>
      <c r="L923" s="10" t="n"/>
      <c r="M923" s="3">
        <f>IF($A923="","",IFERROR(INDEX('AJUSTES'!$B$4:$B$303,MATCH($AN923,'AJUSTES'!$A$4:$A$303,0)),IF($K923="","",$K923)))</f>
        <v/>
      </c>
      <c r="N923" s="3">
        <f>IF($A923="","",IFERROR(INDEX('CAT_ESTADOS_ERP'!$B$4:$B$7,MATCH(IFERROR(INDEX('2_IMPORTAR_EJECUCION'!$C$9:$C$1208,MATCH($AN923,'2_IMPORTAR_EJECUCION'!$J$9:$J$1208,0)),""),'CAT_ESTADOS_ERP'!$A$4:$A$7,0)),"Pendiente"))</f>
        <v/>
      </c>
      <c r="O923" s="3">
        <f>IF($J923="","",YEAR($J923+4-WEEKDAY($J923,2))&amp;"-S"&amp;TEXT(_xlfn.ISOWEEKNUM($J923),"00"))</f>
        <v/>
      </c>
      <c r="P923" s="3">
        <f>IF($J923="","",YEAR($J923))</f>
        <v/>
      </c>
      <c r="Q923" s="3">
        <f>IF($J923="","",MONTH($J923))</f>
        <v/>
      </c>
      <c r="R923" s="3">
        <f>IF($J923="","",INDEX(lista_dias,WEEKDAY($J923,2)))</f>
        <v/>
      </c>
      <c r="S923" s="3">
        <f>IF($I923="","",IFERROR(INDEX('CAT_TIPOS_OT'!$C$4:$C$7,MATCH($I923,'CAT_TIPOS_OT'!$A$4:$A$7,0)),"sin_clasificar"))</f>
        <v/>
      </c>
      <c r="T923" s="3">
        <f>IF($F923="","",IFERROR(INDEX('CAT_CENTROS_COSTO'!$E$4:$E$9,MATCH($F923,'CAT_CENTROS_COSTO'!$A$4:$A$9,0)),"(sin catálogo)"))</f>
        <v/>
      </c>
      <c r="U923" s="3">
        <f>IF($F923="","",IFERROR(INDEX('CAT_CENTROS_COSTO'!$D$4:$D$9,MATCH($F923,'CAT_CENTROS_COSTO'!$A$4:$A$9,0)),"(sin catálogo)"))</f>
        <v/>
      </c>
      <c r="V923" s="3">
        <f>IF($F923="","",IFERROR(INDEX('CAT_CENTROS_COSTO'!$F$4:$F$9,MATCH($F923,'CAT_CENTROS_COSTO'!$A$4:$A$9,0)),"(sin catálogo)"))</f>
        <v/>
      </c>
      <c r="W923" s="3">
        <f>IF($G923="","",IFERROR(INDEX('CAT_PUESTOS'!$B$4:$B$8,MATCH($G923,'CAT_PUESTOS'!$A$4:$A$8,0)),"(sin catálogo)"))</f>
        <v/>
      </c>
      <c r="X923" s="3">
        <f>IF($H923="","",IFERROR(INDEX('CAT_ACTIVIDADES'!$B$4:$B$8,MATCH($H923,'CAT_ACTIVIDADES'!$A$4:$A$8,0)),"(sin catálogo)"))</f>
        <v/>
      </c>
      <c r="Y923" s="12">
        <f>IF($J923="","",TODAY()-$J923)</f>
        <v/>
      </c>
      <c r="Z923" s="3">
        <f>IF($Y923="","",IF($Y923&lt;0,"FUTURO",IF($Y923&gt;p_dias_backlog_max,"BACKLOG","MES CORRIENTE")))</f>
        <v/>
      </c>
      <c r="AA923" s="3">
        <f>IF($Y923="",FALSE,AND($Y923&gt;p_dias_backlog_min,$Y923&lt;=p_dias_backlog_max))</f>
        <v/>
      </c>
      <c r="AB923" s="6" t="n"/>
      <c r="AC923" s="3">
        <f>IF($AB923="","",IFERROR(INDEX('ASIGNACIONES'!$F$4:$F$339,MATCH($O923&amp;"|"&amp;$R923&amp;"|"&amp;$AB923,'ASIGNACIONES'!$I$4:$I$339,0)),""))</f>
        <v/>
      </c>
      <c r="AD923" s="13">
        <f>IF($AB923="","",SUMIFS('ORDENES'!$M$4:$M$1203,'ORDENES'!$AB$4:$AB$1203,$AB923,'ORDENES'!$O$4:$O$1203,$O923,'ORDENES'!$R$4:$R$1203,$R923))</f>
        <v/>
      </c>
      <c r="AE923" s="13">
        <f>IF($AD923="","",p_factor_productividad*IFERROR(INDEX('ASIGNACIONES'!$H$4:$H$339,MATCH($O923&amp;"|"&amp;$R923&amp;"|"&amp;$AB923,'ASIGNACIONES'!$I$4:$I$339,0)),0)-$AD923)</f>
        <v/>
      </c>
      <c r="AF923" s="10">
        <f>IF($A923="","",IFERROR(INDEX('2_IMPORTAR_EJECUCION'!$F$9:$F$1208,MATCH($AN923,'2_IMPORTAR_EJECUCION'!$J$9:$J$1208,0)),0))</f>
        <v/>
      </c>
      <c r="AG923" s="10">
        <f>IF($A923="","",MAX(0,IFERROR(INDEX('2_IMPORTAR_EJECUCION'!$H$9:$H$1208,MATCH($AN923,'2_IMPORTAR_EJECUCION'!$J$9:$J$1208,0)),0)-$AF923))</f>
        <v/>
      </c>
      <c r="AH923" s="10">
        <f>IF($A923="","",$AF923+$AG923)</f>
        <v/>
      </c>
      <c r="AI923" s="6" t="n"/>
      <c r="AJ923" s="6" t="n"/>
      <c r="AK923" s="6" t="n"/>
      <c r="AL923" s="3">
        <f>IF($AK923="","",HYPERLINK(p_ruta_base_checklists&amp;$AK923,"abrir"))</f>
        <v/>
      </c>
      <c r="AM923" s="6" t="n"/>
      <c r="AN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1" t="n"/>
      <c r="K924" s="3" t="n"/>
      <c r="L924" s="10" t="n"/>
      <c r="M924" s="3">
        <f>IF($A924="","",IFERROR(INDEX('AJUSTES'!$B$4:$B$303,MATCH($AN924,'AJUSTES'!$A$4:$A$303,0)),IF($K924="","",$K924)))</f>
        <v/>
      </c>
      <c r="N924" s="3">
        <f>IF($A924="","",IFERROR(INDEX('CAT_ESTADOS_ERP'!$B$4:$B$7,MATCH(IFERROR(INDEX('2_IMPORTAR_EJECUCION'!$C$9:$C$1208,MATCH($AN924,'2_IMPORTAR_EJECUCION'!$J$9:$J$1208,0)),""),'CAT_ESTADOS_ERP'!$A$4:$A$7,0)),"Pendiente"))</f>
        <v/>
      </c>
      <c r="O924" s="3">
        <f>IF($J924="","",YEAR($J924+4-WEEKDAY($J924,2))&amp;"-S"&amp;TEXT(_xlfn.ISOWEEKNUM($J924),"00"))</f>
        <v/>
      </c>
      <c r="P924" s="3">
        <f>IF($J924="","",YEAR($J924))</f>
        <v/>
      </c>
      <c r="Q924" s="3">
        <f>IF($J924="","",MONTH($J924))</f>
        <v/>
      </c>
      <c r="R924" s="3">
        <f>IF($J924="","",INDEX(lista_dias,WEEKDAY($J924,2)))</f>
        <v/>
      </c>
      <c r="S924" s="3">
        <f>IF($I924="","",IFERROR(INDEX('CAT_TIPOS_OT'!$C$4:$C$7,MATCH($I924,'CAT_TIPOS_OT'!$A$4:$A$7,0)),"sin_clasificar"))</f>
        <v/>
      </c>
      <c r="T924" s="3">
        <f>IF($F924="","",IFERROR(INDEX('CAT_CENTROS_COSTO'!$E$4:$E$9,MATCH($F924,'CAT_CENTROS_COSTO'!$A$4:$A$9,0)),"(sin catálogo)"))</f>
        <v/>
      </c>
      <c r="U924" s="3">
        <f>IF($F924="","",IFERROR(INDEX('CAT_CENTROS_COSTO'!$D$4:$D$9,MATCH($F924,'CAT_CENTROS_COSTO'!$A$4:$A$9,0)),"(sin catálogo)"))</f>
        <v/>
      </c>
      <c r="V924" s="3">
        <f>IF($F924="","",IFERROR(INDEX('CAT_CENTROS_COSTO'!$F$4:$F$9,MATCH($F924,'CAT_CENTROS_COSTO'!$A$4:$A$9,0)),"(sin catálogo)"))</f>
        <v/>
      </c>
      <c r="W924" s="3">
        <f>IF($G924="","",IFERROR(INDEX('CAT_PUESTOS'!$B$4:$B$8,MATCH($G924,'CAT_PUESTOS'!$A$4:$A$8,0)),"(sin catálogo)"))</f>
        <v/>
      </c>
      <c r="X924" s="3">
        <f>IF($H924="","",IFERROR(INDEX('CAT_ACTIVIDADES'!$B$4:$B$8,MATCH($H924,'CAT_ACTIVIDADES'!$A$4:$A$8,0)),"(sin catálogo)"))</f>
        <v/>
      </c>
      <c r="Y924" s="12">
        <f>IF($J924="","",TODAY()-$J924)</f>
        <v/>
      </c>
      <c r="Z924" s="3">
        <f>IF($Y924="","",IF($Y924&lt;0,"FUTURO",IF($Y924&gt;p_dias_backlog_max,"BACKLOG","MES CORRIENTE")))</f>
        <v/>
      </c>
      <c r="AA924" s="3">
        <f>IF($Y924="",FALSE,AND($Y924&gt;p_dias_backlog_min,$Y924&lt;=p_dias_backlog_max))</f>
        <v/>
      </c>
      <c r="AB924" s="6" t="n"/>
      <c r="AC924" s="3">
        <f>IF($AB924="","",IFERROR(INDEX('ASIGNACIONES'!$F$4:$F$339,MATCH($O924&amp;"|"&amp;$R924&amp;"|"&amp;$AB924,'ASIGNACIONES'!$I$4:$I$339,0)),""))</f>
        <v/>
      </c>
      <c r="AD924" s="13">
        <f>IF($AB924="","",SUMIFS('ORDENES'!$M$4:$M$1203,'ORDENES'!$AB$4:$AB$1203,$AB924,'ORDENES'!$O$4:$O$1203,$O924,'ORDENES'!$R$4:$R$1203,$R924))</f>
        <v/>
      </c>
      <c r="AE924" s="13">
        <f>IF($AD924="","",p_factor_productividad*IFERROR(INDEX('ASIGNACIONES'!$H$4:$H$339,MATCH($O924&amp;"|"&amp;$R924&amp;"|"&amp;$AB924,'ASIGNACIONES'!$I$4:$I$339,0)),0)-$AD924)</f>
        <v/>
      </c>
      <c r="AF924" s="10">
        <f>IF($A924="","",IFERROR(INDEX('2_IMPORTAR_EJECUCION'!$F$9:$F$1208,MATCH($AN924,'2_IMPORTAR_EJECUCION'!$J$9:$J$1208,0)),0))</f>
        <v/>
      </c>
      <c r="AG924" s="10">
        <f>IF($A924="","",MAX(0,IFERROR(INDEX('2_IMPORTAR_EJECUCION'!$H$9:$H$1208,MATCH($AN924,'2_IMPORTAR_EJECUCION'!$J$9:$J$1208,0)),0)-$AF924))</f>
        <v/>
      </c>
      <c r="AH924" s="10">
        <f>IF($A924="","",$AF924+$AG924)</f>
        <v/>
      </c>
      <c r="AI924" s="6" t="n"/>
      <c r="AJ924" s="6" t="n"/>
      <c r="AK924" s="6" t="n"/>
      <c r="AL924" s="3">
        <f>IF($AK924="","",HYPERLINK(p_ruta_base_checklists&amp;$AK924,"abrir"))</f>
        <v/>
      </c>
      <c r="AM924" s="6" t="n"/>
      <c r="AN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1" t="n"/>
      <c r="K925" s="3" t="n"/>
      <c r="L925" s="10" t="n"/>
      <c r="M925" s="3">
        <f>IF($A925="","",IFERROR(INDEX('AJUSTES'!$B$4:$B$303,MATCH($AN925,'AJUSTES'!$A$4:$A$303,0)),IF($K925="","",$K925)))</f>
        <v/>
      </c>
      <c r="N925" s="3">
        <f>IF($A925="","",IFERROR(INDEX('CAT_ESTADOS_ERP'!$B$4:$B$7,MATCH(IFERROR(INDEX('2_IMPORTAR_EJECUCION'!$C$9:$C$1208,MATCH($AN925,'2_IMPORTAR_EJECUCION'!$J$9:$J$1208,0)),""),'CAT_ESTADOS_ERP'!$A$4:$A$7,0)),"Pendiente"))</f>
        <v/>
      </c>
      <c r="O925" s="3">
        <f>IF($J925="","",YEAR($J925+4-WEEKDAY($J925,2))&amp;"-S"&amp;TEXT(_xlfn.ISOWEEKNUM($J925),"00"))</f>
        <v/>
      </c>
      <c r="P925" s="3">
        <f>IF($J925="","",YEAR($J925))</f>
        <v/>
      </c>
      <c r="Q925" s="3">
        <f>IF($J925="","",MONTH($J925))</f>
        <v/>
      </c>
      <c r="R925" s="3">
        <f>IF($J925="","",INDEX(lista_dias,WEEKDAY($J925,2)))</f>
        <v/>
      </c>
      <c r="S925" s="3">
        <f>IF($I925="","",IFERROR(INDEX('CAT_TIPOS_OT'!$C$4:$C$7,MATCH($I925,'CAT_TIPOS_OT'!$A$4:$A$7,0)),"sin_clasificar"))</f>
        <v/>
      </c>
      <c r="T925" s="3">
        <f>IF($F925="","",IFERROR(INDEX('CAT_CENTROS_COSTO'!$E$4:$E$9,MATCH($F925,'CAT_CENTROS_COSTO'!$A$4:$A$9,0)),"(sin catálogo)"))</f>
        <v/>
      </c>
      <c r="U925" s="3">
        <f>IF($F925="","",IFERROR(INDEX('CAT_CENTROS_COSTO'!$D$4:$D$9,MATCH($F925,'CAT_CENTROS_COSTO'!$A$4:$A$9,0)),"(sin catálogo)"))</f>
        <v/>
      </c>
      <c r="V925" s="3">
        <f>IF($F925="","",IFERROR(INDEX('CAT_CENTROS_COSTO'!$F$4:$F$9,MATCH($F925,'CAT_CENTROS_COSTO'!$A$4:$A$9,0)),"(sin catálogo)"))</f>
        <v/>
      </c>
      <c r="W925" s="3">
        <f>IF($G925="","",IFERROR(INDEX('CAT_PUESTOS'!$B$4:$B$8,MATCH($G925,'CAT_PUESTOS'!$A$4:$A$8,0)),"(sin catálogo)"))</f>
        <v/>
      </c>
      <c r="X925" s="3">
        <f>IF($H925="","",IFERROR(INDEX('CAT_ACTIVIDADES'!$B$4:$B$8,MATCH($H925,'CAT_ACTIVIDADES'!$A$4:$A$8,0)),"(sin catálogo)"))</f>
        <v/>
      </c>
      <c r="Y925" s="12">
        <f>IF($J925="","",TODAY()-$J925)</f>
        <v/>
      </c>
      <c r="Z925" s="3">
        <f>IF($Y925="","",IF($Y925&lt;0,"FUTURO",IF($Y925&gt;p_dias_backlog_max,"BACKLOG","MES CORRIENTE")))</f>
        <v/>
      </c>
      <c r="AA925" s="3">
        <f>IF($Y925="",FALSE,AND($Y925&gt;p_dias_backlog_min,$Y925&lt;=p_dias_backlog_max))</f>
        <v/>
      </c>
      <c r="AB925" s="6" t="n"/>
      <c r="AC925" s="3">
        <f>IF($AB925="","",IFERROR(INDEX('ASIGNACIONES'!$F$4:$F$339,MATCH($O925&amp;"|"&amp;$R925&amp;"|"&amp;$AB925,'ASIGNACIONES'!$I$4:$I$339,0)),""))</f>
        <v/>
      </c>
      <c r="AD925" s="13">
        <f>IF($AB925="","",SUMIFS('ORDENES'!$M$4:$M$1203,'ORDENES'!$AB$4:$AB$1203,$AB925,'ORDENES'!$O$4:$O$1203,$O925,'ORDENES'!$R$4:$R$1203,$R925))</f>
        <v/>
      </c>
      <c r="AE925" s="13">
        <f>IF($AD925="","",p_factor_productividad*IFERROR(INDEX('ASIGNACIONES'!$H$4:$H$339,MATCH($O925&amp;"|"&amp;$R925&amp;"|"&amp;$AB925,'ASIGNACIONES'!$I$4:$I$339,0)),0)-$AD925)</f>
        <v/>
      </c>
      <c r="AF925" s="10">
        <f>IF($A925="","",IFERROR(INDEX('2_IMPORTAR_EJECUCION'!$F$9:$F$1208,MATCH($AN925,'2_IMPORTAR_EJECUCION'!$J$9:$J$1208,0)),0))</f>
        <v/>
      </c>
      <c r="AG925" s="10">
        <f>IF($A925="","",MAX(0,IFERROR(INDEX('2_IMPORTAR_EJECUCION'!$H$9:$H$1208,MATCH($AN925,'2_IMPORTAR_EJECUCION'!$J$9:$J$1208,0)),0)-$AF925))</f>
        <v/>
      </c>
      <c r="AH925" s="10">
        <f>IF($A925="","",$AF925+$AG925)</f>
        <v/>
      </c>
      <c r="AI925" s="6" t="n"/>
      <c r="AJ925" s="6" t="n"/>
      <c r="AK925" s="6" t="n"/>
      <c r="AL925" s="3">
        <f>IF($AK925="","",HYPERLINK(p_ruta_base_checklists&amp;$AK925,"abrir"))</f>
        <v/>
      </c>
      <c r="AM925" s="6" t="n"/>
      <c r="AN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1" t="n"/>
      <c r="K926" s="3" t="n"/>
      <c r="L926" s="10" t="n"/>
      <c r="M926" s="3">
        <f>IF($A926="","",IFERROR(INDEX('AJUSTES'!$B$4:$B$303,MATCH($AN926,'AJUSTES'!$A$4:$A$303,0)),IF($K926="","",$K926)))</f>
        <v/>
      </c>
      <c r="N926" s="3">
        <f>IF($A926="","",IFERROR(INDEX('CAT_ESTADOS_ERP'!$B$4:$B$7,MATCH(IFERROR(INDEX('2_IMPORTAR_EJECUCION'!$C$9:$C$1208,MATCH($AN926,'2_IMPORTAR_EJECUCION'!$J$9:$J$1208,0)),""),'CAT_ESTADOS_ERP'!$A$4:$A$7,0)),"Pendiente"))</f>
        <v/>
      </c>
      <c r="O926" s="3">
        <f>IF($J926="","",YEAR($J926+4-WEEKDAY($J926,2))&amp;"-S"&amp;TEXT(_xlfn.ISOWEEKNUM($J926),"00"))</f>
        <v/>
      </c>
      <c r="P926" s="3">
        <f>IF($J926="","",YEAR($J926))</f>
        <v/>
      </c>
      <c r="Q926" s="3">
        <f>IF($J926="","",MONTH($J926))</f>
        <v/>
      </c>
      <c r="R926" s="3">
        <f>IF($J926="","",INDEX(lista_dias,WEEKDAY($J926,2)))</f>
        <v/>
      </c>
      <c r="S926" s="3">
        <f>IF($I926="","",IFERROR(INDEX('CAT_TIPOS_OT'!$C$4:$C$7,MATCH($I926,'CAT_TIPOS_OT'!$A$4:$A$7,0)),"sin_clasificar"))</f>
        <v/>
      </c>
      <c r="T926" s="3">
        <f>IF($F926="","",IFERROR(INDEX('CAT_CENTROS_COSTO'!$E$4:$E$9,MATCH($F926,'CAT_CENTROS_COSTO'!$A$4:$A$9,0)),"(sin catálogo)"))</f>
        <v/>
      </c>
      <c r="U926" s="3">
        <f>IF($F926="","",IFERROR(INDEX('CAT_CENTROS_COSTO'!$D$4:$D$9,MATCH($F926,'CAT_CENTROS_COSTO'!$A$4:$A$9,0)),"(sin catálogo)"))</f>
        <v/>
      </c>
      <c r="V926" s="3">
        <f>IF($F926="","",IFERROR(INDEX('CAT_CENTROS_COSTO'!$F$4:$F$9,MATCH($F926,'CAT_CENTROS_COSTO'!$A$4:$A$9,0)),"(sin catálogo)"))</f>
        <v/>
      </c>
      <c r="W926" s="3">
        <f>IF($G926="","",IFERROR(INDEX('CAT_PUESTOS'!$B$4:$B$8,MATCH($G926,'CAT_PUESTOS'!$A$4:$A$8,0)),"(sin catálogo)"))</f>
        <v/>
      </c>
      <c r="X926" s="3">
        <f>IF($H926="","",IFERROR(INDEX('CAT_ACTIVIDADES'!$B$4:$B$8,MATCH($H926,'CAT_ACTIVIDADES'!$A$4:$A$8,0)),"(sin catálogo)"))</f>
        <v/>
      </c>
      <c r="Y926" s="12">
        <f>IF($J926="","",TODAY()-$J926)</f>
        <v/>
      </c>
      <c r="Z926" s="3">
        <f>IF($Y926="","",IF($Y926&lt;0,"FUTURO",IF($Y926&gt;p_dias_backlog_max,"BACKLOG","MES CORRIENTE")))</f>
        <v/>
      </c>
      <c r="AA926" s="3">
        <f>IF($Y926="",FALSE,AND($Y926&gt;p_dias_backlog_min,$Y926&lt;=p_dias_backlog_max))</f>
        <v/>
      </c>
      <c r="AB926" s="6" t="n"/>
      <c r="AC926" s="3">
        <f>IF($AB926="","",IFERROR(INDEX('ASIGNACIONES'!$F$4:$F$339,MATCH($O926&amp;"|"&amp;$R926&amp;"|"&amp;$AB926,'ASIGNACIONES'!$I$4:$I$339,0)),""))</f>
        <v/>
      </c>
      <c r="AD926" s="13">
        <f>IF($AB926="","",SUMIFS('ORDENES'!$M$4:$M$1203,'ORDENES'!$AB$4:$AB$1203,$AB926,'ORDENES'!$O$4:$O$1203,$O926,'ORDENES'!$R$4:$R$1203,$R926))</f>
        <v/>
      </c>
      <c r="AE926" s="13">
        <f>IF($AD926="","",p_factor_productividad*IFERROR(INDEX('ASIGNACIONES'!$H$4:$H$339,MATCH($O926&amp;"|"&amp;$R926&amp;"|"&amp;$AB926,'ASIGNACIONES'!$I$4:$I$339,0)),0)-$AD926)</f>
        <v/>
      </c>
      <c r="AF926" s="10">
        <f>IF($A926="","",IFERROR(INDEX('2_IMPORTAR_EJECUCION'!$F$9:$F$1208,MATCH($AN926,'2_IMPORTAR_EJECUCION'!$J$9:$J$1208,0)),0))</f>
        <v/>
      </c>
      <c r="AG926" s="10">
        <f>IF($A926="","",MAX(0,IFERROR(INDEX('2_IMPORTAR_EJECUCION'!$H$9:$H$1208,MATCH($AN926,'2_IMPORTAR_EJECUCION'!$J$9:$J$1208,0)),0)-$AF926))</f>
        <v/>
      </c>
      <c r="AH926" s="10">
        <f>IF($A926="","",$AF926+$AG926)</f>
        <v/>
      </c>
      <c r="AI926" s="6" t="n"/>
      <c r="AJ926" s="6" t="n"/>
      <c r="AK926" s="6" t="n"/>
      <c r="AL926" s="3">
        <f>IF($AK926="","",HYPERLINK(p_ruta_base_checklists&amp;$AK926,"abrir"))</f>
        <v/>
      </c>
      <c r="AM926" s="6" t="n"/>
      <c r="AN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1" t="n"/>
      <c r="K927" s="3" t="n"/>
      <c r="L927" s="10" t="n"/>
      <c r="M927" s="3">
        <f>IF($A927="","",IFERROR(INDEX('AJUSTES'!$B$4:$B$303,MATCH($AN927,'AJUSTES'!$A$4:$A$303,0)),IF($K927="","",$K927)))</f>
        <v/>
      </c>
      <c r="N927" s="3">
        <f>IF($A927="","",IFERROR(INDEX('CAT_ESTADOS_ERP'!$B$4:$B$7,MATCH(IFERROR(INDEX('2_IMPORTAR_EJECUCION'!$C$9:$C$1208,MATCH($AN927,'2_IMPORTAR_EJECUCION'!$J$9:$J$1208,0)),""),'CAT_ESTADOS_ERP'!$A$4:$A$7,0)),"Pendiente"))</f>
        <v/>
      </c>
      <c r="O927" s="3">
        <f>IF($J927="","",YEAR($J927+4-WEEKDAY($J927,2))&amp;"-S"&amp;TEXT(_xlfn.ISOWEEKNUM($J927),"00"))</f>
        <v/>
      </c>
      <c r="P927" s="3">
        <f>IF($J927="","",YEAR($J927))</f>
        <v/>
      </c>
      <c r="Q927" s="3">
        <f>IF($J927="","",MONTH($J927))</f>
        <v/>
      </c>
      <c r="R927" s="3">
        <f>IF($J927="","",INDEX(lista_dias,WEEKDAY($J927,2)))</f>
        <v/>
      </c>
      <c r="S927" s="3">
        <f>IF($I927="","",IFERROR(INDEX('CAT_TIPOS_OT'!$C$4:$C$7,MATCH($I927,'CAT_TIPOS_OT'!$A$4:$A$7,0)),"sin_clasificar"))</f>
        <v/>
      </c>
      <c r="T927" s="3">
        <f>IF($F927="","",IFERROR(INDEX('CAT_CENTROS_COSTO'!$E$4:$E$9,MATCH($F927,'CAT_CENTROS_COSTO'!$A$4:$A$9,0)),"(sin catálogo)"))</f>
        <v/>
      </c>
      <c r="U927" s="3">
        <f>IF($F927="","",IFERROR(INDEX('CAT_CENTROS_COSTO'!$D$4:$D$9,MATCH($F927,'CAT_CENTROS_COSTO'!$A$4:$A$9,0)),"(sin catálogo)"))</f>
        <v/>
      </c>
      <c r="V927" s="3">
        <f>IF($F927="","",IFERROR(INDEX('CAT_CENTROS_COSTO'!$F$4:$F$9,MATCH($F927,'CAT_CENTROS_COSTO'!$A$4:$A$9,0)),"(sin catálogo)"))</f>
        <v/>
      </c>
      <c r="W927" s="3">
        <f>IF($G927="","",IFERROR(INDEX('CAT_PUESTOS'!$B$4:$B$8,MATCH($G927,'CAT_PUESTOS'!$A$4:$A$8,0)),"(sin catálogo)"))</f>
        <v/>
      </c>
      <c r="X927" s="3">
        <f>IF($H927="","",IFERROR(INDEX('CAT_ACTIVIDADES'!$B$4:$B$8,MATCH($H927,'CAT_ACTIVIDADES'!$A$4:$A$8,0)),"(sin catálogo)"))</f>
        <v/>
      </c>
      <c r="Y927" s="12">
        <f>IF($J927="","",TODAY()-$J927)</f>
        <v/>
      </c>
      <c r="Z927" s="3">
        <f>IF($Y927="","",IF($Y927&lt;0,"FUTURO",IF($Y927&gt;p_dias_backlog_max,"BACKLOG","MES CORRIENTE")))</f>
        <v/>
      </c>
      <c r="AA927" s="3">
        <f>IF($Y927="",FALSE,AND($Y927&gt;p_dias_backlog_min,$Y927&lt;=p_dias_backlog_max))</f>
        <v/>
      </c>
      <c r="AB927" s="6" t="n"/>
      <c r="AC927" s="3">
        <f>IF($AB927="","",IFERROR(INDEX('ASIGNACIONES'!$F$4:$F$339,MATCH($O927&amp;"|"&amp;$R927&amp;"|"&amp;$AB927,'ASIGNACIONES'!$I$4:$I$339,0)),""))</f>
        <v/>
      </c>
      <c r="AD927" s="13">
        <f>IF($AB927="","",SUMIFS('ORDENES'!$M$4:$M$1203,'ORDENES'!$AB$4:$AB$1203,$AB927,'ORDENES'!$O$4:$O$1203,$O927,'ORDENES'!$R$4:$R$1203,$R927))</f>
        <v/>
      </c>
      <c r="AE927" s="13">
        <f>IF($AD927="","",p_factor_productividad*IFERROR(INDEX('ASIGNACIONES'!$H$4:$H$339,MATCH($O927&amp;"|"&amp;$R927&amp;"|"&amp;$AB927,'ASIGNACIONES'!$I$4:$I$339,0)),0)-$AD927)</f>
        <v/>
      </c>
      <c r="AF927" s="10">
        <f>IF($A927="","",IFERROR(INDEX('2_IMPORTAR_EJECUCION'!$F$9:$F$1208,MATCH($AN927,'2_IMPORTAR_EJECUCION'!$J$9:$J$1208,0)),0))</f>
        <v/>
      </c>
      <c r="AG927" s="10">
        <f>IF($A927="","",MAX(0,IFERROR(INDEX('2_IMPORTAR_EJECUCION'!$H$9:$H$1208,MATCH($AN927,'2_IMPORTAR_EJECUCION'!$J$9:$J$1208,0)),0)-$AF927))</f>
        <v/>
      </c>
      <c r="AH927" s="10">
        <f>IF($A927="","",$AF927+$AG927)</f>
        <v/>
      </c>
      <c r="AI927" s="6" t="n"/>
      <c r="AJ927" s="6" t="n"/>
      <c r="AK927" s="6" t="n"/>
      <c r="AL927" s="3">
        <f>IF($AK927="","",HYPERLINK(p_ruta_base_checklists&amp;$AK927,"abrir"))</f>
        <v/>
      </c>
      <c r="AM927" s="6" t="n"/>
      <c r="AN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1" t="n"/>
      <c r="K928" s="3" t="n"/>
      <c r="L928" s="10" t="n"/>
      <c r="M928" s="3">
        <f>IF($A928="","",IFERROR(INDEX('AJUSTES'!$B$4:$B$303,MATCH($AN928,'AJUSTES'!$A$4:$A$303,0)),IF($K928="","",$K928)))</f>
        <v/>
      </c>
      <c r="N928" s="3">
        <f>IF($A928="","",IFERROR(INDEX('CAT_ESTADOS_ERP'!$B$4:$B$7,MATCH(IFERROR(INDEX('2_IMPORTAR_EJECUCION'!$C$9:$C$1208,MATCH($AN928,'2_IMPORTAR_EJECUCION'!$J$9:$J$1208,0)),""),'CAT_ESTADOS_ERP'!$A$4:$A$7,0)),"Pendiente"))</f>
        <v/>
      </c>
      <c r="O928" s="3">
        <f>IF($J928="","",YEAR($J928+4-WEEKDAY($J928,2))&amp;"-S"&amp;TEXT(_xlfn.ISOWEEKNUM($J928),"00"))</f>
        <v/>
      </c>
      <c r="P928" s="3">
        <f>IF($J928="","",YEAR($J928))</f>
        <v/>
      </c>
      <c r="Q928" s="3">
        <f>IF($J928="","",MONTH($J928))</f>
        <v/>
      </c>
      <c r="R928" s="3">
        <f>IF($J928="","",INDEX(lista_dias,WEEKDAY($J928,2)))</f>
        <v/>
      </c>
      <c r="S928" s="3">
        <f>IF($I928="","",IFERROR(INDEX('CAT_TIPOS_OT'!$C$4:$C$7,MATCH($I928,'CAT_TIPOS_OT'!$A$4:$A$7,0)),"sin_clasificar"))</f>
        <v/>
      </c>
      <c r="T928" s="3">
        <f>IF($F928="","",IFERROR(INDEX('CAT_CENTROS_COSTO'!$E$4:$E$9,MATCH($F928,'CAT_CENTROS_COSTO'!$A$4:$A$9,0)),"(sin catálogo)"))</f>
        <v/>
      </c>
      <c r="U928" s="3">
        <f>IF($F928="","",IFERROR(INDEX('CAT_CENTROS_COSTO'!$D$4:$D$9,MATCH($F928,'CAT_CENTROS_COSTO'!$A$4:$A$9,0)),"(sin catálogo)"))</f>
        <v/>
      </c>
      <c r="V928" s="3">
        <f>IF($F928="","",IFERROR(INDEX('CAT_CENTROS_COSTO'!$F$4:$F$9,MATCH($F928,'CAT_CENTROS_COSTO'!$A$4:$A$9,0)),"(sin catálogo)"))</f>
        <v/>
      </c>
      <c r="W928" s="3">
        <f>IF($G928="","",IFERROR(INDEX('CAT_PUESTOS'!$B$4:$B$8,MATCH($G928,'CAT_PUESTOS'!$A$4:$A$8,0)),"(sin catálogo)"))</f>
        <v/>
      </c>
      <c r="X928" s="3">
        <f>IF($H928="","",IFERROR(INDEX('CAT_ACTIVIDADES'!$B$4:$B$8,MATCH($H928,'CAT_ACTIVIDADES'!$A$4:$A$8,0)),"(sin catálogo)"))</f>
        <v/>
      </c>
      <c r="Y928" s="12">
        <f>IF($J928="","",TODAY()-$J928)</f>
        <v/>
      </c>
      <c r="Z928" s="3">
        <f>IF($Y928="","",IF($Y928&lt;0,"FUTURO",IF($Y928&gt;p_dias_backlog_max,"BACKLOG","MES CORRIENTE")))</f>
        <v/>
      </c>
      <c r="AA928" s="3">
        <f>IF($Y928="",FALSE,AND($Y928&gt;p_dias_backlog_min,$Y928&lt;=p_dias_backlog_max))</f>
        <v/>
      </c>
      <c r="AB928" s="6" t="n"/>
      <c r="AC928" s="3">
        <f>IF($AB928="","",IFERROR(INDEX('ASIGNACIONES'!$F$4:$F$339,MATCH($O928&amp;"|"&amp;$R928&amp;"|"&amp;$AB928,'ASIGNACIONES'!$I$4:$I$339,0)),""))</f>
        <v/>
      </c>
      <c r="AD928" s="13">
        <f>IF($AB928="","",SUMIFS('ORDENES'!$M$4:$M$1203,'ORDENES'!$AB$4:$AB$1203,$AB928,'ORDENES'!$O$4:$O$1203,$O928,'ORDENES'!$R$4:$R$1203,$R928))</f>
        <v/>
      </c>
      <c r="AE928" s="13">
        <f>IF($AD928="","",p_factor_productividad*IFERROR(INDEX('ASIGNACIONES'!$H$4:$H$339,MATCH($O928&amp;"|"&amp;$R928&amp;"|"&amp;$AB928,'ASIGNACIONES'!$I$4:$I$339,0)),0)-$AD928)</f>
        <v/>
      </c>
      <c r="AF928" s="10">
        <f>IF($A928="","",IFERROR(INDEX('2_IMPORTAR_EJECUCION'!$F$9:$F$1208,MATCH($AN928,'2_IMPORTAR_EJECUCION'!$J$9:$J$1208,0)),0))</f>
        <v/>
      </c>
      <c r="AG928" s="10">
        <f>IF($A928="","",MAX(0,IFERROR(INDEX('2_IMPORTAR_EJECUCION'!$H$9:$H$1208,MATCH($AN928,'2_IMPORTAR_EJECUCION'!$J$9:$J$1208,0)),0)-$AF928))</f>
        <v/>
      </c>
      <c r="AH928" s="10">
        <f>IF($A928="","",$AF928+$AG928)</f>
        <v/>
      </c>
      <c r="AI928" s="6" t="n"/>
      <c r="AJ928" s="6" t="n"/>
      <c r="AK928" s="6" t="n"/>
      <c r="AL928" s="3">
        <f>IF($AK928="","",HYPERLINK(p_ruta_base_checklists&amp;$AK928,"abrir"))</f>
        <v/>
      </c>
      <c r="AM928" s="6" t="n"/>
      <c r="AN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1" t="n"/>
      <c r="K929" s="3" t="n"/>
      <c r="L929" s="10" t="n"/>
      <c r="M929" s="3">
        <f>IF($A929="","",IFERROR(INDEX('AJUSTES'!$B$4:$B$303,MATCH($AN929,'AJUSTES'!$A$4:$A$303,0)),IF($K929="","",$K929)))</f>
        <v/>
      </c>
      <c r="N929" s="3">
        <f>IF($A929="","",IFERROR(INDEX('CAT_ESTADOS_ERP'!$B$4:$B$7,MATCH(IFERROR(INDEX('2_IMPORTAR_EJECUCION'!$C$9:$C$1208,MATCH($AN929,'2_IMPORTAR_EJECUCION'!$J$9:$J$1208,0)),""),'CAT_ESTADOS_ERP'!$A$4:$A$7,0)),"Pendiente"))</f>
        <v/>
      </c>
      <c r="O929" s="3">
        <f>IF($J929="","",YEAR($J929+4-WEEKDAY($J929,2))&amp;"-S"&amp;TEXT(_xlfn.ISOWEEKNUM($J929),"00"))</f>
        <v/>
      </c>
      <c r="P929" s="3">
        <f>IF($J929="","",YEAR($J929))</f>
        <v/>
      </c>
      <c r="Q929" s="3">
        <f>IF($J929="","",MONTH($J929))</f>
        <v/>
      </c>
      <c r="R929" s="3">
        <f>IF($J929="","",INDEX(lista_dias,WEEKDAY($J929,2)))</f>
        <v/>
      </c>
      <c r="S929" s="3">
        <f>IF($I929="","",IFERROR(INDEX('CAT_TIPOS_OT'!$C$4:$C$7,MATCH($I929,'CAT_TIPOS_OT'!$A$4:$A$7,0)),"sin_clasificar"))</f>
        <v/>
      </c>
      <c r="T929" s="3">
        <f>IF($F929="","",IFERROR(INDEX('CAT_CENTROS_COSTO'!$E$4:$E$9,MATCH($F929,'CAT_CENTROS_COSTO'!$A$4:$A$9,0)),"(sin catálogo)"))</f>
        <v/>
      </c>
      <c r="U929" s="3">
        <f>IF($F929="","",IFERROR(INDEX('CAT_CENTROS_COSTO'!$D$4:$D$9,MATCH($F929,'CAT_CENTROS_COSTO'!$A$4:$A$9,0)),"(sin catálogo)"))</f>
        <v/>
      </c>
      <c r="V929" s="3">
        <f>IF($F929="","",IFERROR(INDEX('CAT_CENTROS_COSTO'!$F$4:$F$9,MATCH($F929,'CAT_CENTROS_COSTO'!$A$4:$A$9,0)),"(sin catálogo)"))</f>
        <v/>
      </c>
      <c r="W929" s="3">
        <f>IF($G929="","",IFERROR(INDEX('CAT_PUESTOS'!$B$4:$B$8,MATCH($G929,'CAT_PUESTOS'!$A$4:$A$8,0)),"(sin catálogo)"))</f>
        <v/>
      </c>
      <c r="X929" s="3">
        <f>IF($H929="","",IFERROR(INDEX('CAT_ACTIVIDADES'!$B$4:$B$8,MATCH($H929,'CAT_ACTIVIDADES'!$A$4:$A$8,0)),"(sin catálogo)"))</f>
        <v/>
      </c>
      <c r="Y929" s="12">
        <f>IF($J929="","",TODAY()-$J929)</f>
        <v/>
      </c>
      <c r="Z929" s="3">
        <f>IF($Y929="","",IF($Y929&lt;0,"FUTURO",IF($Y929&gt;p_dias_backlog_max,"BACKLOG","MES CORRIENTE")))</f>
        <v/>
      </c>
      <c r="AA929" s="3">
        <f>IF($Y929="",FALSE,AND($Y929&gt;p_dias_backlog_min,$Y929&lt;=p_dias_backlog_max))</f>
        <v/>
      </c>
      <c r="AB929" s="6" t="n"/>
      <c r="AC929" s="3">
        <f>IF($AB929="","",IFERROR(INDEX('ASIGNACIONES'!$F$4:$F$339,MATCH($O929&amp;"|"&amp;$R929&amp;"|"&amp;$AB929,'ASIGNACIONES'!$I$4:$I$339,0)),""))</f>
        <v/>
      </c>
      <c r="AD929" s="13">
        <f>IF($AB929="","",SUMIFS('ORDENES'!$M$4:$M$1203,'ORDENES'!$AB$4:$AB$1203,$AB929,'ORDENES'!$O$4:$O$1203,$O929,'ORDENES'!$R$4:$R$1203,$R929))</f>
        <v/>
      </c>
      <c r="AE929" s="13">
        <f>IF($AD929="","",p_factor_productividad*IFERROR(INDEX('ASIGNACIONES'!$H$4:$H$339,MATCH($O929&amp;"|"&amp;$R929&amp;"|"&amp;$AB929,'ASIGNACIONES'!$I$4:$I$339,0)),0)-$AD929)</f>
        <v/>
      </c>
      <c r="AF929" s="10">
        <f>IF($A929="","",IFERROR(INDEX('2_IMPORTAR_EJECUCION'!$F$9:$F$1208,MATCH($AN929,'2_IMPORTAR_EJECUCION'!$J$9:$J$1208,0)),0))</f>
        <v/>
      </c>
      <c r="AG929" s="10">
        <f>IF($A929="","",MAX(0,IFERROR(INDEX('2_IMPORTAR_EJECUCION'!$H$9:$H$1208,MATCH($AN929,'2_IMPORTAR_EJECUCION'!$J$9:$J$1208,0)),0)-$AF929))</f>
        <v/>
      </c>
      <c r="AH929" s="10">
        <f>IF($A929="","",$AF929+$AG929)</f>
        <v/>
      </c>
      <c r="AI929" s="6" t="n"/>
      <c r="AJ929" s="6" t="n"/>
      <c r="AK929" s="6" t="n"/>
      <c r="AL929" s="3">
        <f>IF($AK929="","",HYPERLINK(p_ruta_base_checklists&amp;$AK929,"abrir"))</f>
        <v/>
      </c>
      <c r="AM929" s="6" t="n"/>
      <c r="AN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1" t="n"/>
      <c r="K930" s="3" t="n"/>
      <c r="L930" s="10" t="n"/>
      <c r="M930" s="3">
        <f>IF($A930="","",IFERROR(INDEX('AJUSTES'!$B$4:$B$303,MATCH($AN930,'AJUSTES'!$A$4:$A$303,0)),IF($K930="","",$K930)))</f>
        <v/>
      </c>
      <c r="N930" s="3">
        <f>IF($A930="","",IFERROR(INDEX('CAT_ESTADOS_ERP'!$B$4:$B$7,MATCH(IFERROR(INDEX('2_IMPORTAR_EJECUCION'!$C$9:$C$1208,MATCH($AN930,'2_IMPORTAR_EJECUCION'!$J$9:$J$1208,0)),""),'CAT_ESTADOS_ERP'!$A$4:$A$7,0)),"Pendiente"))</f>
        <v/>
      </c>
      <c r="O930" s="3">
        <f>IF($J930="","",YEAR($J930+4-WEEKDAY($J930,2))&amp;"-S"&amp;TEXT(_xlfn.ISOWEEKNUM($J930),"00"))</f>
        <v/>
      </c>
      <c r="P930" s="3">
        <f>IF($J930="","",YEAR($J930))</f>
        <v/>
      </c>
      <c r="Q930" s="3">
        <f>IF($J930="","",MONTH($J930))</f>
        <v/>
      </c>
      <c r="R930" s="3">
        <f>IF($J930="","",INDEX(lista_dias,WEEKDAY($J930,2)))</f>
        <v/>
      </c>
      <c r="S930" s="3">
        <f>IF($I930="","",IFERROR(INDEX('CAT_TIPOS_OT'!$C$4:$C$7,MATCH($I930,'CAT_TIPOS_OT'!$A$4:$A$7,0)),"sin_clasificar"))</f>
        <v/>
      </c>
      <c r="T930" s="3">
        <f>IF($F930="","",IFERROR(INDEX('CAT_CENTROS_COSTO'!$E$4:$E$9,MATCH($F930,'CAT_CENTROS_COSTO'!$A$4:$A$9,0)),"(sin catálogo)"))</f>
        <v/>
      </c>
      <c r="U930" s="3">
        <f>IF($F930="","",IFERROR(INDEX('CAT_CENTROS_COSTO'!$D$4:$D$9,MATCH($F930,'CAT_CENTROS_COSTO'!$A$4:$A$9,0)),"(sin catálogo)"))</f>
        <v/>
      </c>
      <c r="V930" s="3">
        <f>IF($F930="","",IFERROR(INDEX('CAT_CENTROS_COSTO'!$F$4:$F$9,MATCH($F930,'CAT_CENTROS_COSTO'!$A$4:$A$9,0)),"(sin catálogo)"))</f>
        <v/>
      </c>
      <c r="W930" s="3">
        <f>IF($G930="","",IFERROR(INDEX('CAT_PUESTOS'!$B$4:$B$8,MATCH($G930,'CAT_PUESTOS'!$A$4:$A$8,0)),"(sin catálogo)"))</f>
        <v/>
      </c>
      <c r="X930" s="3">
        <f>IF($H930="","",IFERROR(INDEX('CAT_ACTIVIDADES'!$B$4:$B$8,MATCH($H930,'CAT_ACTIVIDADES'!$A$4:$A$8,0)),"(sin catálogo)"))</f>
        <v/>
      </c>
      <c r="Y930" s="12">
        <f>IF($J930="","",TODAY()-$J930)</f>
        <v/>
      </c>
      <c r="Z930" s="3">
        <f>IF($Y930="","",IF($Y930&lt;0,"FUTURO",IF($Y930&gt;p_dias_backlog_max,"BACKLOG","MES CORRIENTE")))</f>
        <v/>
      </c>
      <c r="AA930" s="3">
        <f>IF($Y930="",FALSE,AND($Y930&gt;p_dias_backlog_min,$Y930&lt;=p_dias_backlog_max))</f>
        <v/>
      </c>
      <c r="AB930" s="6" t="n"/>
      <c r="AC930" s="3">
        <f>IF($AB930="","",IFERROR(INDEX('ASIGNACIONES'!$F$4:$F$339,MATCH($O930&amp;"|"&amp;$R930&amp;"|"&amp;$AB930,'ASIGNACIONES'!$I$4:$I$339,0)),""))</f>
        <v/>
      </c>
      <c r="AD930" s="13">
        <f>IF($AB930="","",SUMIFS('ORDENES'!$M$4:$M$1203,'ORDENES'!$AB$4:$AB$1203,$AB930,'ORDENES'!$O$4:$O$1203,$O930,'ORDENES'!$R$4:$R$1203,$R930))</f>
        <v/>
      </c>
      <c r="AE930" s="13">
        <f>IF($AD930="","",p_factor_productividad*IFERROR(INDEX('ASIGNACIONES'!$H$4:$H$339,MATCH($O930&amp;"|"&amp;$R930&amp;"|"&amp;$AB930,'ASIGNACIONES'!$I$4:$I$339,0)),0)-$AD930)</f>
        <v/>
      </c>
      <c r="AF930" s="10">
        <f>IF($A930="","",IFERROR(INDEX('2_IMPORTAR_EJECUCION'!$F$9:$F$1208,MATCH($AN930,'2_IMPORTAR_EJECUCION'!$J$9:$J$1208,0)),0))</f>
        <v/>
      </c>
      <c r="AG930" s="10">
        <f>IF($A930="","",MAX(0,IFERROR(INDEX('2_IMPORTAR_EJECUCION'!$H$9:$H$1208,MATCH($AN930,'2_IMPORTAR_EJECUCION'!$J$9:$J$1208,0)),0)-$AF930))</f>
        <v/>
      </c>
      <c r="AH930" s="10">
        <f>IF($A930="","",$AF930+$AG930)</f>
        <v/>
      </c>
      <c r="AI930" s="6" t="n"/>
      <c r="AJ930" s="6" t="n"/>
      <c r="AK930" s="6" t="n"/>
      <c r="AL930" s="3">
        <f>IF($AK930="","",HYPERLINK(p_ruta_base_checklists&amp;$AK930,"abrir"))</f>
        <v/>
      </c>
      <c r="AM930" s="6" t="n"/>
      <c r="AN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1" t="n"/>
      <c r="K931" s="3" t="n"/>
      <c r="L931" s="10" t="n"/>
      <c r="M931" s="3">
        <f>IF($A931="","",IFERROR(INDEX('AJUSTES'!$B$4:$B$303,MATCH($AN931,'AJUSTES'!$A$4:$A$303,0)),IF($K931="","",$K931)))</f>
        <v/>
      </c>
      <c r="N931" s="3">
        <f>IF($A931="","",IFERROR(INDEX('CAT_ESTADOS_ERP'!$B$4:$B$7,MATCH(IFERROR(INDEX('2_IMPORTAR_EJECUCION'!$C$9:$C$1208,MATCH($AN931,'2_IMPORTAR_EJECUCION'!$J$9:$J$1208,0)),""),'CAT_ESTADOS_ERP'!$A$4:$A$7,0)),"Pendiente"))</f>
        <v/>
      </c>
      <c r="O931" s="3">
        <f>IF($J931="","",YEAR($J931+4-WEEKDAY($J931,2))&amp;"-S"&amp;TEXT(_xlfn.ISOWEEKNUM($J931),"00"))</f>
        <v/>
      </c>
      <c r="P931" s="3">
        <f>IF($J931="","",YEAR($J931))</f>
        <v/>
      </c>
      <c r="Q931" s="3">
        <f>IF($J931="","",MONTH($J931))</f>
        <v/>
      </c>
      <c r="R931" s="3">
        <f>IF($J931="","",INDEX(lista_dias,WEEKDAY($J931,2)))</f>
        <v/>
      </c>
      <c r="S931" s="3">
        <f>IF($I931="","",IFERROR(INDEX('CAT_TIPOS_OT'!$C$4:$C$7,MATCH($I931,'CAT_TIPOS_OT'!$A$4:$A$7,0)),"sin_clasificar"))</f>
        <v/>
      </c>
      <c r="T931" s="3">
        <f>IF($F931="","",IFERROR(INDEX('CAT_CENTROS_COSTO'!$E$4:$E$9,MATCH($F931,'CAT_CENTROS_COSTO'!$A$4:$A$9,0)),"(sin catálogo)"))</f>
        <v/>
      </c>
      <c r="U931" s="3">
        <f>IF($F931="","",IFERROR(INDEX('CAT_CENTROS_COSTO'!$D$4:$D$9,MATCH($F931,'CAT_CENTROS_COSTO'!$A$4:$A$9,0)),"(sin catálogo)"))</f>
        <v/>
      </c>
      <c r="V931" s="3">
        <f>IF($F931="","",IFERROR(INDEX('CAT_CENTROS_COSTO'!$F$4:$F$9,MATCH($F931,'CAT_CENTROS_COSTO'!$A$4:$A$9,0)),"(sin catálogo)"))</f>
        <v/>
      </c>
      <c r="W931" s="3">
        <f>IF($G931="","",IFERROR(INDEX('CAT_PUESTOS'!$B$4:$B$8,MATCH($G931,'CAT_PUESTOS'!$A$4:$A$8,0)),"(sin catálogo)"))</f>
        <v/>
      </c>
      <c r="X931" s="3">
        <f>IF($H931="","",IFERROR(INDEX('CAT_ACTIVIDADES'!$B$4:$B$8,MATCH($H931,'CAT_ACTIVIDADES'!$A$4:$A$8,0)),"(sin catálogo)"))</f>
        <v/>
      </c>
      <c r="Y931" s="12">
        <f>IF($J931="","",TODAY()-$J931)</f>
        <v/>
      </c>
      <c r="Z931" s="3">
        <f>IF($Y931="","",IF($Y931&lt;0,"FUTURO",IF($Y931&gt;p_dias_backlog_max,"BACKLOG","MES CORRIENTE")))</f>
        <v/>
      </c>
      <c r="AA931" s="3">
        <f>IF($Y931="",FALSE,AND($Y931&gt;p_dias_backlog_min,$Y931&lt;=p_dias_backlog_max))</f>
        <v/>
      </c>
      <c r="AB931" s="6" t="n"/>
      <c r="AC931" s="3">
        <f>IF($AB931="","",IFERROR(INDEX('ASIGNACIONES'!$F$4:$F$339,MATCH($O931&amp;"|"&amp;$R931&amp;"|"&amp;$AB931,'ASIGNACIONES'!$I$4:$I$339,0)),""))</f>
        <v/>
      </c>
      <c r="AD931" s="13">
        <f>IF($AB931="","",SUMIFS('ORDENES'!$M$4:$M$1203,'ORDENES'!$AB$4:$AB$1203,$AB931,'ORDENES'!$O$4:$O$1203,$O931,'ORDENES'!$R$4:$R$1203,$R931))</f>
        <v/>
      </c>
      <c r="AE931" s="13">
        <f>IF($AD931="","",p_factor_productividad*IFERROR(INDEX('ASIGNACIONES'!$H$4:$H$339,MATCH($O931&amp;"|"&amp;$R931&amp;"|"&amp;$AB931,'ASIGNACIONES'!$I$4:$I$339,0)),0)-$AD931)</f>
        <v/>
      </c>
      <c r="AF931" s="10">
        <f>IF($A931="","",IFERROR(INDEX('2_IMPORTAR_EJECUCION'!$F$9:$F$1208,MATCH($AN931,'2_IMPORTAR_EJECUCION'!$J$9:$J$1208,0)),0))</f>
        <v/>
      </c>
      <c r="AG931" s="10">
        <f>IF($A931="","",MAX(0,IFERROR(INDEX('2_IMPORTAR_EJECUCION'!$H$9:$H$1208,MATCH($AN931,'2_IMPORTAR_EJECUCION'!$J$9:$J$1208,0)),0)-$AF931))</f>
        <v/>
      </c>
      <c r="AH931" s="10">
        <f>IF($A931="","",$AF931+$AG931)</f>
        <v/>
      </c>
      <c r="AI931" s="6" t="n"/>
      <c r="AJ931" s="6" t="n"/>
      <c r="AK931" s="6" t="n"/>
      <c r="AL931" s="3">
        <f>IF($AK931="","",HYPERLINK(p_ruta_base_checklists&amp;$AK931,"abrir"))</f>
        <v/>
      </c>
      <c r="AM931" s="6" t="n"/>
      <c r="AN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1" t="n"/>
      <c r="K932" s="3" t="n"/>
      <c r="L932" s="10" t="n"/>
      <c r="M932" s="3">
        <f>IF($A932="","",IFERROR(INDEX('AJUSTES'!$B$4:$B$303,MATCH($AN932,'AJUSTES'!$A$4:$A$303,0)),IF($K932="","",$K932)))</f>
        <v/>
      </c>
      <c r="N932" s="3">
        <f>IF($A932="","",IFERROR(INDEX('CAT_ESTADOS_ERP'!$B$4:$B$7,MATCH(IFERROR(INDEX('2_IMPORTAR_EJECUCION'!$C$9:$C$1208,MATCH($AN932,'2_IMPORTAR_EJECUCION'!$J$9:$J$1208,0)),""),'CAT_ESTADOS_ERP'!$A$4:$A$7,0)),"Pendiente"))</f>
        <v/>
      </c>
      <c r="O932" s="3">
        <f>IF($J932="","",YEAR($J932+4-WEEKDAY($J932,2))&amp;"-S"&amp;TEXT(_xlfn.ISOWEEKNUM($J932),"00"))</f>
        <v/>
      </c>
      <c r="P932" s="3">
        <f>IF($J932="","",YEAR($J932))</f>
        <v/>
      </c>
      <c r="Q932" s="3">
        <f>IF($J932="","",MONTH($J932))</f>
        <v/>
      </c>
      <c r="R932" s="3">
        <f>IF($J932="","",INDEX(lista_dias,WEEKDAY($J932,2)))</f>
        <v/>
      </c>
      <c r="S932" s="3">
        <f>IF($I932="","",IFERROR(INDEX('CAT_TIPOS_OT'!$C$4:$C$7,MATCH($I932,'CAT_TIPOS_OT'!$A$4:$A$7,0)),"sin_clasificar"))</f>
        <v/>
      </c>
      <c r="T932" s="3">
        <f>IF($F932="","",IFERROR(INDEX('CAT_CENTROS_COSTO'!$E$4:$E$9,MATCH($F932,'CAT_CENTROS_COSTO'!$A$4:$A$9,0)),"(sin catálogo)"))</f>
        <v/>
      </c>
      <c r="U932" s="3">
        <f>IF($F932="","",IFERROR(INDEX('CAT_CENTROS_COSTO'!$D$4:$D$9,MATCH($F932,'CAT_CENTROS_COSTO'!$A$4:$A$9,0)),"(sin catálogo)"))</f>
        <v/>
      </c>
      <c r="V932" s="3">
        <f>IF($F932="","",IFERROR(INDEX('CAT_CENTROS_COSTO'!$F$4:$F$9,MATCH($F932,'CAT_CENTROS_COSTO'!$A$4:$A$9,0)),"(sin catálogo)"))</f>
        <v/>
      </c>
      <c r="W932" s="3">
        <f>IF($G932="","",IFERROR(INDEX('CAT_PUESTOS'!$B$4:$B$8,MATCH($G932,'CAT_PUESTOS'!$A$4:$A$8,0)),"(sin catálogo)"))</f>
        <v/>
      </c>
      <c r="X932" s="3">
        <f>IF($H932="","",IFERROR(INDEX('CAT_ACTIVIDADES'!$B$4:$B$8,MATCH($H932,'CAT_ACTIVIDADES'!$A$4:$A$8,0)),"(sin catálogo)"))</f>
        <v/>
      </c>
      <c r="Y932" s="12">
        <f>IF($J932="","",TODAY()-$J932)</f>
        <v/>
      </c>
      <c r="Z932" s="3">
        <f>IF($Y932="","",IF($Y932&lt;0,"FUTURO",IF($Y932&gt;p_dias_backlog_max,"BACKLOG","MES CORRIENTE")))</f>
        <v/>
      </c>
      <c r="AA932" s="3">
        <f>IF($Y932="",FALSE,AND($Y932&gt;p_dias_backlog_min,$Y932&lt;=p_dias_backlog_max))</f>
        <v/>
      </c>
      <c r="AB932" s="6" t="n"/>
      <c r="AC932" s="3">
        <f>IF($AB932="","",IFERROR(INDEX('ASIGNACIONES'!$F$4:$F$339,MATCH($O932&amp;"|"&amp;$R932&amp;"|"&amp;$AB932,'ASIGNACIONES'!$I$4:$I$339,0)),""))</f>
        <v/>
      </c>
      <c r="AD932" s="13">
        <f>IF($AB932="","",SUMIFS('ORDENES'!$M$4:$M$1203,'ORDENES'!$AB$4:$AB$1203,$AB932,'ORDENES'!$O$4:$O$1203,$O932,'ORDENES'!$R$4:$R$1203,$R932))</f>
        <v/>
      </c>
      <c r="AE932" s="13">
        <f>IF($AD932="","",p_factor_productividad*IFERROR(INDEX('ASIGNACIONES'!$H$4:$H$339,MATCH($O932&amp;"|"&amp;$R932&amp;"|"&amp;$AB932,'ASIGNACIONES'!$I$4:$I$339,0)),0)-$AD932)</f>
        <v/>
      </c>
      <c r="AF932" s="10">
        <f>IF($A932="","",IFERROR(INDEX('2_IMPORTAR_EJECUCION'!$F$9:$F$1208,MATCH($AN932,'2_IMPORTAR_EJECUCION'!$J$9:$J$1208,0)),0))</f>
        <v/>
      </c>
      <c r="AG932" s="10">
        <f>IF($A932="","",MAX(0,IFERROR(INDEX('2_IMPORTAR_EJECUCION'!$H$9:$H$1208,MATCH($AN932,'2_IMPORTAR_EJECUCION'!$J$9:$J$1208,0)),0)-$AF932))</f>
        <v/>
      </c>
      <c r="AH932" s="10">
        <f>IF($A932="","",$AF932+$AG932)</f>
        <v/>
      </c>
      <c r="AI932" s="6" t="n"/>
      <c r="AJ932" s="6" t="n"/>
      <c r="AK932" s="6" t="n"/>
      <c r="AL932" s="3">
        <f>IF($AK932="","",HYPERLINK(p_ruta_base_checklists&amp;$AK932,"abrir"))</f>
        <v/>
      </c>
      <c r="AM932" s="6" t="n"/>
      <c r="AN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1" t="n"/>
      <c r="K933" s="3" t="n"/>
      <c r="L933" s="10" t="n"/>
      <c r="M933" s="3">
        <f>IF($A933="","",IFERROR(INDEX('AJUSTES'!$B$4:$B$303,MATCH($AN933,'AJUSTES'!$A$4:$A$303,0)),IF($K933="","",$K933)))</f>
        <v/>
      </c>
      <c r="N933" s="3">
        <f>IF($A933="","",IFERROR(INDEX('CAT_ESTADOS_ERP'!$B$4:$B$7,MATCH(IFERROR(INDEX('2_IMPORTAR_EJECUCION'!$C$9:$C$1208,MATCH($AN933,'2_IMPORTAR_EJECUCION'!$J$9:$J$1208,0)),""),'CAT_ESTADOS_ERP'!$A$4:$A$7,0)),"Pendiente"))</f>
        <v/>
      </c>
      <c r="O933" s="3">
        <f>IF($J933="","",YEAR($J933+4-WEEKDAY($J933,2))&amp;"-S"&amp;TEXT(_xlfn.ISOWEEKNUM($J933),"00"))</f>
        <v/>
      </c>
      <c r="P933" s="3">
        <f>IF($J933="","",YEAR($J933))</f>
        <v/>
      </c>
      <c r="Q933" s="3">
        <f>IF($J933="","",MONTH($J933))</f>
        <v/>
      </c>
      <c r="R933" s="3">
        <f>IF($J933="","",INDEX(lista_dias,WEEKDAY($J933,2)))</f>
        <v/>
      </c>
      <c r="S933" s="3">
        <f>IF($I933="","",IFERROR(INDEX('CAT_TIPOS_OT'!$C$4:$C$7,MATCH($I933,'CAT_TIPOS_OT'!$A$4:$A$7,0)),"sin_clasificar"))</f>
        <v/>
      </c>
      <c r="T933" s="3">
        <f>IF($F933="","",IFERROR(INDEX('CAT_CENTROS_COSTO'!$E$4:$E$9,MATCH($F933,'CAT_CENTROS_COSTO'!$A$4:$A$9,0)),"(sin catálogo)"))</f>
        <v/>
      </c>
      <c r="U933" s="3">
        <f>IF($F933="","",IFERROR(INDEX('CAT_CENTROS_COSTO'!$D$4:$D$9,MATCH($F933,'CAT_CENTROS_COSTO'!$A$4:$A$9,0)),"(sin catálogo)"))</f>
        <v/>
      </c>
      <c r="V933" s="3">
        <f>IF($F933="","",IFERROR(INDEX('CAT_CENTROS_COSTO'!$F$4:$F$9,MATCH($F933,'CAT_CENTROS_COSTO'!$A$4:$A$9,0)),"(sin catálogo)"))</f>
        <v/>
      </c>
      <c r="W933" s="3">
        <f>IF($G933="","",IFERROR(INDEX('CAT_PUESTOS'!$B$4:$B$8,MATCH($G933,'CAT_PUESTOS'!$A$4:$A$8,0)),"(sin catálogo)"))</f>
        <v/>
      </c>
      <c r="X933" s="3">
        <f>IF($H933="","",IFERROR(INDEX('CAT_ACTIVIDADES'!$B$4:$B$8,MATCH($H933,'CAT_ACTIVIDADES'!$A$4:$A$8,0)),"(sin catálogo)"))</f>
        <v/>
      </c>
      <c r="Y933" s="12">
        <f>IF($J933="","",TODAY()-$J933)</f>
        <v/>
      </c>
      <c r="Z933" s="3">
        <f>IF($Y933="","",IF($Y933&lt;0,"FUTURO",IF($Y933&gt;p_dias_backlog_max,"BACKLOG","MES CORRIENTE")))</f>
        <v/>
      </c>
      <c r="AA933" s="3">
        <f>IF($Y933="",FALSE,AND($Y933&gt;p_dias_backlog_min,$Y933&lt;=p_dias_backlog_max))</f>
        <v/>
      </c>
      <c r="AB933" s="6" t="n"/>
      <c r="AC933" s="3">
        <f>IF($AB933="","",IFERROR(INDEX('ASIGNACIONES'!$F$4:$F$339,MATCH($O933&amp;"|"&amp;$R933&amp;"|"&amp;$AB933,'ASIGNACIONES'!$I$4:$I$339,0)),""))</f>
        <v/>
      </c>
      <c r="AD933" s="13">
        <f>IF($AB933="","",SUMIFS('ORDENES'!$M$4:$M$1203,'ORDENES'!$AB$4:$AB$1203,$AB933,'ORDENES'!$O$4:$O$1203,$O933,'ORDENES'!$R$4:$R$1203,$R933))</f>
        <v/>
      </c>
      <c r="AE933" s="13">
        <f>IF($AD933="","",p_factor_productividad*IFERROR(INDEX('ASIGNACIONES'!$H$4:$H$339,MATCH($O933&amp;"|"&amp;$R933&amp;"|"&amp;$AB933,'ASIGNACIONES'!$I$4:$I$339,0)),0)-$AD933)</f>
        <v/>
      </c>
      <c r="AF933" s="10">
        <f>IF($A933="","",IFERROR(INDEX('2_IMPORTAR_EJECUCION'!$F$9:$F$1208,MATCH($AN933,'2_IMPORTAR_EJECUCION'!$J$9:$J$1208,0)),0))</f>
        <v/>
      </c>
      <c r="AG933" s="10">
        <f>IF($A933="","",MAX(0,IFERROR(INDEX('2_IMPORTAR_EJECUCION'!$H$9:$H$1208,MATCH($AN933,'2_IMPORTAR_EJECUCION'!$J$9:$J$1208,0)),0)-$AF933))</f>
        <v/>
      </c>
      <c r="AH933" s="10">
        <f>IF($A933="","",$AF933+$AG933)</f>
        <v/>
      </c>
      <c r="AI933" s="6" t="n"/>
      <c r="AJ933" s="6" t="n"/>
      <c r="AK933" s="6" t="n"/>
      <c r="AL933" s="3">
        <f>IF($AK933="","",HYPERLINK(p_ruta_base_checklists&amp;$AK933,"abrir"))</f>
        <v/>
      </c>
      <c r="AM933" s="6" t="n"/>
      <c r="AN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1" t="n"/>
      <c r="K934" s="3" t="n"/>
      <c r="L934" s="10" t="n"/>
      <c r="M934" s="3">
        <f>IF($A934="","",IFERROR(INDEX('AJUSTES'!$B$4:$B$303,MATCH($AN934,'AJUSTES'!$A$4:$A$303,0)),IF($K934="","",$K934)))</f>
        <v/>
      </c>
      <c r="N934" s="3">
        <f>IF($A934="","",IFERROR(INDEX('CAT_ESTADOS_ERP'!$B$4:$B$7,MATCH(IFERROR(INDEX('2_IMPORTAR_EJECUCION'!$C$9:$C$1208,MATCH($AN934,'2_IMPORTAR_EJECUCION'!$J$9:$J$1208,0)),""),'CAT_ESTADOS_ERP'!$A$4:$A$7,0)),"Pendiente"))</f>
        <v/>
      </c>
      <c r="O934" s="3">
        <f>IF($J934="","",YEAR($J934+4-WEEKDAY($J934,2))&amp;"-S"&amp;TEXT(_xlfn.ISOWEEKNUM($J934),"00"))</f>
        <v/>
      </c>
      <c r="P934" s="3">
        <f>IF($J934="","",YEAR($J934))</f>
        <v/>
      </c>
      <c r="Q934" s="3">
        <f>IF($J934="","",MONTH($J934))</f>
        <v/>
      </c>
      <c r="R934" s="3">
        <f>IF($J934="","",INDEX(lista_dias,WEEKDAY($J934,2)))</f>
        <v/>
      </c>
      <c r="S934" s="3">
        <f>IF($I934="","",IFERROR(INDEX('CAT_TIPOS_OT'!$C$4:$C$7,MATCH($I934,'CAT_TIPOS_OT'!$A$4:$A$7,0)),"sin_clasificar"))</f>
        <v/>
      </c>
      <c r="T934" s="3">
        <f>IF($F934="","",IFERROR(INDEX('CAT_CENTROS_COSTO'!$E$4:$E$9,MATCH($F934,'CAT_CENTROS_COSTO'!$A$4:$A$9,0)),"(sin catálogo)"))</f>
        <v/>
      </c>
      <c r="U934" s="3">
        <f>IF($F934="","",IFERROR(INDEX('CAT_CENTROS_COSTO'!$D$4:$D$9,MATCH($F934,'CAT_CENTROS_COSTO'!$A$4:$A$9,0)),"(sin catálogo)"))</f>
        <v/>
      </c>
      <c r="V934" s="3">
        <f>IF($F934="","",IFERROR(INDEX('CAT_CENTROS_COSTO'!$F$4:$F$9,MATCH($F934,'CAT_CENTROS_COSTO'!$A$4:$A$9,0)),"(sin catálogo)"))</f>
        <v/>
      </c>
      <c r="W934" s="3">
        <f>IF($G934="","",IFERROR(INDEX('CAT_PUESTOS'!$B$4:$B$8,MATCH($G934,'CAT_PUESTOS'!$A$4:$A$8,0)),"(sin catálogo)"))</f>
        <v/>
      </c>
      <c r="X934" s="3">
        <f>IF($H934="","",IFERROR(INDEX('CAT_ACTIVIDADES'!$B$4:$B$8,MATCH($H934,'CAT_ACTIVIDADES'!$A$4:$A$8,0)),"(sin catálogo)"))</f>
        <v/>
      </c>
      <c r="Y934" s="12">
        <f>IF($J934="","",TODAY()-$J934)</f>
        <v/>
      </c>
      <c r="Z934" s="3">
        <f>IF($Y934="","",IF($Y934&lt;0,"FUTURO",IF($Y934&gt;p_dias_backlog_max,"BACKLOG","MES CORRIENTE")))</f>
        <v/>
      </c>
      <c r="AA934" s="3">
        <f>IF($Y934="",FALSE,AND($Y934&gt;p_dias_backlog_min,$Y934&lt;=p_dias_backlog_max))</f>
        <v/>
      </c>
      <c r="AB934" s="6" t="n"/>
      <c r="AC934" s="3">
        <f>IF($AB934="","",IFERROR(INDEX('ASIGNACIONES'!$F$4:$F$339,MATCH($O934&amp;"|"&amp;$R934&amp;"|"&amp;$AB934,'ASIGNACIONES'!$I$4:$I$339,0)),""))</f>
        <v/>
      </c>
      <c r="AD934" s="13">
        <f>IF($AB934="","",SUMIFS('ORDENES'!$M$4:$M$1203,'ORDENES'!$AB$4:$AB$1203,$AB934,'ORDENES'!$O$4:$O$1203,$O934,'ORDENES'!$R$4:$R$1203,$R934))</f>
        <v/>
      </c>
      <c r="AE934" s="13">
        <f>IF($AD934="","",p_factor_productividad*IFERROR(INDEX('ASIGNACIONES'!$H$4:$H$339,MATCH($O934&amp;"|"&amp;$R934&amp;"|"&amp;$AB934,'ASIGNACIONES'!$I$4:$I$339,0)),0)-$AD934)</f>
        <v/>
      </c>
      <c r="AF934" s="10">
        <f>IF($A934="","",IFERROR(INDEX('2_IMPORTAR_EJECUCION'!$F$9:$F$1208,MATCH($AN934,'2_IMPORTAR_EJECUCION'!$J$9:$J$1208,0)),0))</f>
        <v/>
      </c>
      <c r="AG934" s="10">
        <f>IF($A934="","",MAX(0,IFERROR(INDEX('2_IMPORTAR_EJECUCION'!$H$9:$H$1208,MATCH($AN934,'2_IMPORTAR_EJECUCION'!$J$9:$J$1208,0)),0)-$AF934))</f>
        <v/>
      </c>
      <c r="AH934" s="10">
        <f>IF($A934="","",$AF934+$AG934)</f>
        <v/>
      </c>
      <c r="AI934" s="6" t="n"/>
      <c r="AJ934" s="6" t="n"/>
      <c r="AK934" s="6" t="n"/>
      <c r="AL934" s="3">
        <f>IF($AK934="","",HYPERLINK(p_ruta_base_checklists&amp;$AK934,"abrir"))</f>
        <v/>
      </c>
      <c r="AM934" s="6" t="n"/>
      <c r="AN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1" t="n"/>
      <c r="K935" s="3" t="n"/>
      <c r="L935" s="10" t="n"/>
      <c r="M935" s="3">
        <f>IF($A935="","",IFERROR(INDEX('AJUSTES'!$B$4:$B$303,MATCH($AN935,'AJUSTES'!$A$4:$A$303,0)),IF($K935="","",$K935)))</f>
        <v/>
      </c>
      <c r="N935" s="3">
        <f>IF($A935="","",IFERROR(INDEX('CAT_ESTADOS_ERP'!$B$4:$B$7,MATCH(IFERROR(INDEX('2_IMPORTAR_EJECUCION'!$C$9:$C$1208,MATCH($AN935,'2_IMPORTAR_EJECUCION'!$J$9:$J$1208,0)),""),'CAT_ESTADOS_ERP'!$A$4:$A$7,0)),"Pendiente"))</f>
        <v/>
      </c>
      <c r="O935" s="3">
        <f>IF($J935="","",YEAR($J935+4-WEEKDAY($J935,2))&amp;"-S"&amp;TEXT(_xlfn.ISOWEEKNUM($J935),"00"))</f>
        <v/>
      </c>
      <c r="P935" s="3">
        <f>IF($J935="","",YEAR($J935))</f>
        <v/>
      </c>
      <c r="Q935" s="3">
        <f>IF($J935="","",MONTH($J935))</f>
        <v/>
      </c>
      <c r="R935" s="3">
        <f>IF($J935="","",INDEX(lista_dias,WEEKDAY($J935,2)))</f>
        <v/>
      </c>
      <c r="S935" s="3">
        <f>IF($I935="","",IFERROR(INDEX('CAT_TIPOS_OT'!$C$4:$C$7,MATCH($I935,'CAT_TIPOS_OT'!$A$4:$A$7,0)),"sin_clasificar"))</f>
        <v/>
      </c>
      <c r="T935" s="3">
        <f>IF($F935="","",IFERROR(INDEX('CAT_CENTROS_COSTO'!$E$4:$E$9,MATCH($F935,'CAT_CENTROS_COSTO'!$A$4:$A$9,0)),"(sin catálogo)"))</f>
        <v/>
      </c>
      <c r="U935" s="3">
        <f>IF($F935="","",IFERROR(INDEX('CAT_CENTROS_COSTO'!$D$4:$D$9,MATCH($F935,'CAT_CENTROS_COSTO'!$A$4:$A$9,0)),"(sin catálogo)"))</f>
        <v/>
      </c>
      <c r="V935" s="3">
        <f>IF($F935="","",IFERROR(INDEX('CAT_CENTROS_COSTO'!$F$4:$F$9,MATCH($F935,'CAT_CENTROS_COSTO'!$A$4:$A$9,0)),"(sin catálogo)"))</f>
        <v/>
      </c>
      <c r="W935" s="3">
        <f>IF($G935="","",IFERROR(INDEX('CAT_PUESTOS'!$B$4:$B$8,MATCH($G935,'CAT_PUESTOS'!$A$4:$A$8,0)),"(sin catálogo)"))</f>
        <v/>
      </c>
      <c r="X935" s="3">
        <f>IF($H935="","",IFERROR(INDEX('CAT_ACTIVIDADES'!$B$4:$B$8,MATCH($H935,'CAT_ACTIVIDADES'!$A$4:$A$8,0)),"(sin catálogo)"))</f>
        <v/>
      </c>
      <c r="Y935" s="12">
        <f>IF($J935="","",TODAY()-$J935)</f>
        <v/>
      </c>
      <c r="Z935" s="3">
        <f>IF($Y935="","",IF($Y935&lt;0,"FUTURO",IF($Y935&gt;p_dias_backlog_max,"BACKLOG","MES CORRIENTE")))</f>
        <v/>
      </c>
      <c r="AA935" s="3">
        <f>IF($Y935="",FALSE,AND($Y935&gt;p_dias_backlog_min,$Y935&lt;=p_dias_backlog_max))</f>
        <v/>
      </c>
      <c r="AB935" s="6" t="n"/>
      <c r="AC935" s="3">
        <f>IF($AB935="","",IFERROR(INDEX('ASIGNACIONES'!$F$4:$F$339,MATCH($O935&amp;"|"&amp;$R935&amp;"|"&amp;$AB935,'ASIGNACIONES'!$I$4:$I$339,0)),""))</f>
        <v/>
      </c>
      <c r="AD935" s="13">
        <f>IF($AB935="","",SUMIFS('ORDENES'!$M$4:$M$1203,'ORDENES'!$AB$4:$AB$1203,$AB935,'ORDENES'!$O$4:$O$1203,$O935,'ORDENES'!$R$4:$R$1203,$R935))</f>
        <v/>
      </c>
      <c r="AE935" s="13">
        <f>IF($AD935="","",p_factor_productividad*IFERROR(INDEX('ASIGNACIONES'!$H$4:$H$339,MATCH($O935&amp;"|"&amp;$R935&amp;"|"&amp;$AB935,'ASIGNACIONES'!$I$4:$I$339,0)),0)-$AD935)</f>
        <v/>
      </c>
      <c r="AF935" s="10">
        <f>IF($A935="","",IFERROR(INDEX('2_IMPORTAR_EJECUCION'!$F$9:$F$1208,MATCH($AN935,'2_IMPORTAR_EJECUCION'!$J$9:$J$1208,0)),0))</f>
        <v/>
      </c>
      <c r="AG935" s="10">
        <f>IF($A935="","",MAX(0,IFERROR(INDEX('2_IMPORTAR_EJECUCION'!$H$9:$H$1208,MATCH($AN935,'2_IMPORTAR_EJECUCION'!$J$9:$J$1208,0)),0)-$AF935))</f>
        <v/>
      </c>
      <c r="AH935" s="10">
        <f>IF($A935="","",$AF935+$AG935)</f>
        <v/>
      </c>
      <c r="AI935" s="6" t="n"/>
      <c r="AJ935" s="6" t="n"/>
      <c r="AK935" s="6" t="n"/>
      <c r="AL935" s="3">
        <f>IF($AK935="","",HYPERLINK(p_ruta_base_checklists&amp;$AK935,"abrir"))</f>
        <v/>
      </c>
      <c r="AM935" s="6" t="n"/>
      <c r="AN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1" t="n"/>
      <c r="K936" s="3" t="n"/>
      <c r="L936" s="10" t="n"/>
      <c r="M936" s="3">
        <f>IF($A936="","",IFERROR(INDEX('AJUSTES'!$B$4:$B$303,MATCH($AN936,'AJUSTES'!$A$4:$A$303,0)),IF($K936="","",$K936)))</f>
        <v/>
      </c>
      <c r="N936" s="3">
        <f>IF($A936="","",IFERROR(INDEX('CAT_ESTADOS_ERP'!$B$4:$B$7,MATCH(IFERROR(INDEX('2_IMPORTAR_EJECUCION'!$C$9:$C$1208,MATCH($AN936,'2_IMPORTAR_EJECUCION'!$J$9:$J$1208,0)),""),'CAT_ESTADOS_ERP'!$A$4:$A$7,0)),"Pendiente"))</f>
        <v/>
      </c>
      <c r="O936" s="3">
        <f>IF($J936="","",YEAR($J936+4-WEEKDAY($J936,2))&amp;"-S"&amp;TEXT(_xlfn.ISOWEEKNUM($J936),"00"))</f>
        <v/>
      </c>
      <c r="P936" s="3">
        <f>IF($J936="","",YEAR($J936))</f>
        <v/>
      </c>
      <c r="Q936" s="3">
        <f>IF($J936="","",MONTH($J936))</f>
        <v/>
      </c>
      <c r="R936" s="3">
        <f>IF($J936="","",INDEX(lista_dias,WEEKDAY($J936,2)))</f>
        <v/>
      </c>
      <c r="S936" s="3">
        <f>IF($I936="","",IFERROR(INDEX('CAT_TIPOS_OT'!$C$4:$C$7,MATCH($I936,'CAT_TIPOS_OT'!$A$4:$A$7,0)),"sin_clasificar"))</f>
        <v/>
      </c>
      <c r="T936" s="3">
        <f>IF($F936="","",IFERROR(INDEX('CAT_CENTROS_COSTO'!$E$4:$E$9,MATCH($F936,'CAT_CENTROS_COSTO'!$A$4:$A$9,0)),"(sin catálogo)"))</f>
        <v/>
      </c>
      <c r="U936" s="3">
        <f>IF($F936="","",IFERROR(INDEX('CAT_CENTROS_COSTO'!$D$4:$D$9,MATCH($F936,'CAT_CENTROS_COSTO'!$A$4:$A$9,0)),"(sin catálogo)"))</f>
        <v/>
      </c>
      <c r="V936" s="3">
        <f>IF($F936="","",IFERROR(INDEX('CAT_CENTROS_COSTO'!$F$4:$F$9,MATCH($F936,'CAT_CENTROS_COSTO'!$A$4:$A$9,0)),"(sin catálogo)"))</f>
        <v/>
      </c>
      <c r="W936" s="3">
        <f>IF($G936="","",IFERROR(INDEX('CAT_PUESTOS'!$B$4:$B$8,MATCH($G936,'CAT_PUESTOS'!$A$4:$A$8,0)),"(sin catálogo)"))</f>
        <v/>
      </c>
      <c r="X936" s="3">
        <f>IF($H936="","",IFERROR(INDEX('CAT_ACTIVIDADES'!$B$4:$B$8,MATCH($H936,'CAT_ACTIVIDADES'!$A$4:$A$8,0)),"(sin catálogo)"))</f>
        <v/>
      </c>
      <c r="Y936" s="12">
        <f>IF($J936="","",TODAY()-$J936)</f>
        <v/>
      </c>
      <c r="Z936" s="3">
        <f>IF($Y936="","",IF($Y936&lt;0,"FUTURO",IF($Y936&gt;p_dias_backlog_max,"BACKLOG","MES CORRIENTE")))</f>
        <v/>
      </c>
      <c r="AA936" s="3">
        <f>IF($Y936="",FALSE,AND($Y936&gt;p_dias_backlog_min,$Y936&lt;=p_dias_backlog_max))</f>
        <v/>
      </c>
      <c r="AB936" s="6" t="n"/>
      <c r="AC936" s="3">
        <f>IF($AB936="","",IFERROR(INDEX('ASIGNACIONES'!$F$4:$F$339,MATCH($O936&amp;"|"&amp;$R936&amp;"|"&amp;$AB936,'ASIGNACIONES'!$I$4:$I$339,0)),""))</f>
        <v/>
      </c>
      <c r="AD936" s="13">
        <f>IF($AB936="","",SUMIFS('ORDENES'!$M$4:$M$1203,'ORDENES'!$AB$4:$AB$1203,$AB936,'ORDENES'!$O$4:$O$1203,$O936,'ORDENES'!$R$4:$R$1203,$R936))</f>
        <v/>
      </c>
      <c r="AE936" s="13">
        <f>IF($AD936="","",p_factor_productividad*IFERROR(INDEX('ASIGNACIONES'!$H$4:$H$339,MATCH($O936&amp;"|"&amp;$R936&amp;"|"&amp;$AB936,'ASIGNACIONES'!$I$4:$I$339,0)),0)-$AD936)</f>
        <v/>
      </c>
      <c r="AF936" s="10">
        <f>IF($A936="","",IFERROR(INDEX('2_IMPORTAR_EJECUCION'!$F$9:$F$1208,MATCH($AN936,'2_IMPORTAR_EJECUCION'!$J$9:$J$1208,0)),0))</f>
        <v/>
      </c>
      <c r="AG936" s="10">
        <f>IF($A936="","",MAX(0,IFERROR(INDEX('2_IMPORTAR_EJECUCION'!$H$9:$H$1208,MATCH($AN936,'2_IMPORTAR_EJECUCION'!$J$9:$J$1208,0)),0)-$AF936))</f>
        <v/>
      </c>
      <c r="AH936" s="10">
        <f>IF($A936="","",$AF936+$AG936)</f>
        <v/>
      </c>
      <c r="AI936" s="6" t="n"/>
      <c r="AJ936" s="6" t="n"/>
      <c r="AK936" s="6" t="n"/>
      <c r="AL936" s="3">
        <f>IF($AK936="","",HYPERLINK(p_ruta_base_checklists&amp;$AK936,"abrir"))</f>
        <v/>
      </c>
      <c r="AM936" s="6" t="n"/>
      <c r="AN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1" t="n"/>
      <c r="K937" s="3" t="n"/>
      <c r="L937" s="10" t="n"/>
      <c r="M937" s="3">
        <f>IF($A937="","",IFERROR(INDEX('AJUSTES'!$B$4:$B$303,MATCH($AN937,'AJUSTES'!$A$4:$A$303,0)),IF($K937="","",$K937)))</f>
        <v/>
      </c>
      <c r="N937" s="3">
        <f>IF($A937="","",IFERROR(INDEX('CAT_ESTADOS_ERP'!$B$4:$B$7,MATCH(IFERROR(INDEX('2_IMPORTAR_EJECUCION'!$C$9:$C$1208,MATCH($AN937,'2_IMPORTAR_EJECUCION'!$J$9:$J$1208,0)),""),'CAT_ESTADOS_ERP'!$A$4:$A$7,0)),"Pendiente"))</f>
        <v/>
      </c>
      <c r="O937" s="3">
        <f>IF($J937="","",YEAR($J937+4-WEEKDAY($J937,2))&amp;"-S"&amp;TEXT(_xlfn.ISOWEEKNUM($J937),"00"))</f>
        <v/>
      </c>
      <c r="P937" s="3">
        <f>IF($J937="","",YEAR($J937))</f>
        <v/>
      </c>
      <c r="Q937" s="3">
        <f>IF($J937="","",MONTH($J937))</f>
        <v/>
      </c>
      <c r="R937" s="3">
        <f>IF($J937="","",INDEX(lista_dias,WEEKDAY($J937,2)))</f>
        <v/>
      </c>
      <c r="S937" s="3">
        <f>IF($I937="","",IFERROR(INDEX('CAT_TIPOS_OT'!$C$4:$C$7,MATCH($I937,'CAT_TIPOS_OT'!$A$4:$A$7,0)),"sin_clasificar"))</f>
        <v/>
      </c>
      <c r="T937" s="3">
        <f>IF($F937="","",IFERROR(INDEX('CAT_CENTROS_COSTO'!$E$4:$E$9,MATCH($F937,'CAT_CENTROS_COSTO'!$A$4:$A$9,0)),"(sin catálogo)"))</f>
        <v/>
      </c>
      <c r="U937" s="3">
        <f>IF($F937="","",IFERROR(INDEX('CAT_CENTROS_COSTO'!$D$4:$D$9,MATCH($F937,'CAT_CENTROS_COSTO'!$A$4:$A$9,0)),"(sin catálogo)"))</f>
        <v/>
      </c>
      <c r="V937" s="3">
        <f>IF($F937="","",IFERROR(INDEX('CAT_CENTROS_COSTO'!$F$4:$F$9,MATCH($F937,'CAT_CENTROS_COSTO'!$A$4:$A$9,0)),"(sin catálogo)"))</f>
        <v/>
      </c>
      <c r="W937" s="3">
        <f>IF($G937="","",IFERROR(INDEX('CAT_PUESTOS'!$B$4:$B$8,MATCH($G937,'CAT_PUESTOS'!$A$4:$A$8,0)),"(sin catálogo)"))</f>
        <v/>
      </c>
      <c r="X937" s="3">
        <f>IF($H937="","",IFERROR(INDEX('CAT_ACTIVIDADES'!$B$4:$B$8,MATCH($H937,'CAT_ACTIVIDADES'!$A$4:$A$8,0)),"(sin catálogo)"))</f>
        <v/>
      </c>
      <c r="Y937" s="12">
        <f>IF($J937="","",TODAY()-$J937)</f>
        <v/>
      </c>
      <c r="Z937" s="3">
        <f>IF($Y937="","",IF($Y937&lt;0,"FUTURO",IF($Y937&gt;p_dias_backlog_max,"BACKLOG","MES CORRIENTE")))</f>
        <v/>
      </c>
      <c r="AA937" s="3">
        <f>IF($Y937="",FALSE,AND($Y937&gt;p_dias_backlog_min,$Y937&lt;=p_dias_backlog_max))</f>
        <v/>
      </c>
      <c r="AB937" s="6" t="n"/>
      <c r="AC937" s="3">
        <f>IF($AB937="","",IFERROR(INDEX('ASIGNACIONES'!$F$4:$F$339,MATCH($O937&amp;"|"&amp;$R937&amp;"|"&amp;$AB937,'ASIGNACIONES'!$I$4:$I$339,0)),""))</f>
        <v/>
      </c>
      <c r="AD937" s="13">
        <f>IF($AB937="","",SUMIFS('ORDENES'!$M$4:$M$1203,'ORDENES'!$AB$4:$AB$1203,$AB937,'ORDENES'!$O$4:$O$1203,$O937,'ORDENES'!$R$4:$R$1203,$R937))</f>
        <v/>
      </c>
      <c r="AE937" s="13">
        <f>IF($AD937="","",p_factor_productividad*IFERROR(INDEX('ASIGNACIONES'!$H$4:$H$339,MATCH($O937&amp;"|"&amp;$R937&amp;"|"&amp;$AB937,'ASIGNACIONES'!$I$4:$I$339,0)),0)-$AD937)</f>
        <v/>
      </c>
      <c r="AF937" s="10">
        <f>IF($A937="","",IFERROR(INDEX('2_IMPORTAR_EJECUCION'!$F$9:$F$1208,MATCH($AN937,'2_IMPORTAR_EJECUCION'!$J$9:$J$1208,0)),0))</f>
        <v/>
      </c>
      <c r="AG937" s="10">
        <f>IF($A937="","",MAX(0,IFERROR(INDEX('2_IMPORTAR_EJECUCION'!$H$9:$H$1208,MATCH($AN937,'2_IMPORTAR_EJECUCION'!$J$9:$J$1208,0)),0)-$AF937))</f>
        <v/>
      </c>
      <c r="AH937" s="10">
        <f>IF($A937="","",$AF937+$AG937)</f>
        <v/>
      </c>
      <c r="AI937" s="6" t="n"/>
      <c r="AJ937" s="6" t="n"/>
      <c r="AK937" s="6" t="n"/>
      <c r="AL937" s="3">
        <f>IF($AK937="","",HYPERLINK(p_ruta_base_checklists&amp;$AK937,"abrir"))</f>
        <v/>
      </c>
      <c r="AM937" s="6" t="n"/>
      <c r="AN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1" t="n"/>
      <c r="K938" s="3" t="n"/>
      <c r="L938" s="10" t="n"/>
      <c r="M938" s="3">
        <f>IF($A938="","",IFERROR(INDEX('AJUSTES'!$B$4:$B$303,MATCH($AN938,'AJUSTES'!$A$4:$A$303,0)),IF($K938="","",$K938)))</f>
        <v/>
      </c>
      <c r="N938" s="3">
        <f>IF($A938="","",IFERROR(INDEX('CAT_ESTADOS_ERP'!$B$4:$B$7,MATCH(IFERROR(INDEX('2_IMPORTAR_EJECUCION'!$C$9:$C$1208,MATCH($AN938,'2_IMPORTAR_EJECUCION'!$J$9:$J$1208,0)),""),'CAT_ESTADOS_ERP'!$A$4:$A$7,0)),"Pendiente"))</f>
        <v/>
      </c>
      <c r="O938" s="3">
        <f>IF($J938="","",YEAR($J938+4-WEEKDAY($J938,2))&amp;"-S"&amp;TEXT(_xlfn.ISOWEEKNUM($J938),"00"))</f>
        <v/>
      </c>
      <c r="P938" s="3">
        <f>IF($J938="","",YEAR($J938))</f>
        <v/>
      </c>
      <c r="Q938" s="3">
        <f>IF($J938="","",MONTH($J938))</f>
        <v/>
      </c>
      <c r="R938" s="3">
        <f>IF($J938="","",INDEX(lista_dias,WEEKDAY($J938,2)))</f>
        <v/>
      </c>
      <c r="S938" s="3">
        <f>IF($I938="","",IFERROR(INDEX('CAT_TIPOS_OT'!$C$4:$C$7,MATCH($I938,'CAT_TIPOS_OT'!$A$4:$A$7,0)),"sin_clasificar"))</f>
        <v/>
      </c>
      <c r="T938" s="3">
        <f>IF($F938="","",IFERROR(INDEX('CAT_CENTROS_COSTO'!$E$4:$E$9,MATCH($F938,'CAT_CENTROS_COSTO'!$A$4:$A$9,0)),"(sin catálogo)"))</f>
        <v/>
      </c>
      <c r="U938" s="3">
        <f>IF($F938="","",IFERROR(INDEX('CAT_CENTROS_COSTO'!$D$4:$D$9,MATCH($F938,'CAT_CENTROS_COSTO'!$A$4:$A$9,0)),"(sin catálogo)"))</f>
        <v/>
      </c>
      <c r="V938" s="3">
        <f>IF($F938="","",IFERROR(INDEX('CAT_CENTROS_COSTO'!$F$4:$F$9,MATCH($F938,'CAT_CENTROS_COSTO'!$A$4:$A$9,0)),"(sin catálogo)"))</f>
        <v/>
      </c>
      <c r="W938" s="3">
        <f>IF($G938="","",IFERROR(INDEX('CAT_PUESTOS'!$B$4:$B$8,MATCH($G938,'CAT_PUESTOS'!$A$4:$A$8,0)),"(sin catálogo)"))</f>
        <v/>
      </c>
      <c r="X938" s="3">
        <f>IF($H938="","",IFERROR(INDEX('CAT_ACTIVIDADES'!$B$4:$B$8,MATCH($H938,'CAT_ACTIVIDADES'!$A$4:$A$8,0)),"(sin catálogo)"))</f>
        <v/>
      </c>
      <c r="Y938" s="12">
        <f>IF($J938="","",TODAY()-$J938)</f>
        <v/>
      </c>
      <c r="Z938" s="3">
        <f>IF($Y938="","",IF($Y938&lt;0,"FUTURO",IF($Y938&gt;p_dias_backlog_max,"BACKLOG","MES CORRIENTE")))</f>
        <v/>
      </c>
      <c r="AA938" s="3">
        <f>IF($Y938="",FALSE,AND($Y938&gt;p_dias_backlog_min,$Y938&lt;=p_dias_backlog_max))</f>
        <v/>
      </c>
      <c r="AB938" s="6" t="n"/>
      <c r="AC938" s="3">
        <f>IF($AB938="","",IFERROR(INDEX('ASIGNACIONES'!$F$4:$F$339,MATCH($O938&amp;"|"&amp;$R938&amp;"|"&amp;$AB938,'ASIGNACIONES'!$I$4:$I$339,0)),""))</f>
        <v/>
      </c>
      <c r="AD938" s="13">
        <f>IF($AB938="","",SUMIFS('ORDENES'!$M$4:$M$1203,'ORDENES'!$AB$4:$AB$1203,$AB938,'ORDENES'!$O$4:$O$1203,$O938,'ORDENES'!$R$4:$R$1203,$R938))</f>
        <v/>
      </c>
      <c r="AE938" s="13">
        <f>IF($AD938="","",p_factor_productividad*IFERROR(INDEX('ASIGNACIONES'!$H$4:$H$339,MATCH($O938&amp;"|"&amp;$R938&amp;"|"&amp;$AB938,'ASIGNACIONES'!$I$4:$I$339,0)),0)-$AD938)</f>
        <v/>
      </c>
      <c r="AF938" s="10">
        <f>IF($A938="","",IFERROR(INDEX('2_IMPORTAR_EJECUCION'!$F$9:$F$1208,MATCH($AN938,'2_IMPORTAR_EJECUCION'!$J$9:$J$1208,0)),0))</f>
        <v/>
      </c>
      <c r="AG938" s="10">
        <f>IF($A938="","",MAX(0,IFERROR(INDEX('2_IMPORTAR_EJECUCION'!$H$9:$H$1208,MATCH($AN938,'2_IMPORTAR_EJECUCION'!$J$9:$J$1208,0)),0)-$AF938))</f>
        <v/>
      </c>
      <c r="AH938" s="10">
        <f>IF($A938="","",$AF938+$AG938)</f>
        <v/>
      </c>
      <c r="AI938" s="6" t="n"/>
      <c r="AJ938" s="6" t="n"/>
      <c r="AK938" s="6" t="n"/>
      <c r="AL938" s="3">
        <f>IF($AK938="","",HYPERLINK(p_ruta_base_checklists&amp;$AK938,"abrir"))</f>
        <v/>
      </c>
      <c r="AM938" s="6" t="n"/>
      <c r="AN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1" t="n"/>
      <c r="K939" s="3" t="n"/>
      <c r="L939" s="10" t="n"/>
      <c r="M939" s="3">
        <f>IF($A939="","",IFERROR(INDEX('AJUSTES'!$B$4:$B$303,MATCH($AN939,'AJUSTES'!$A$4:$A$303,0)),IF($K939="","",$K939)))</f>
        <v/>
      </c>
      <c r="N939" s="3">
        <f>IF($A939="","",IFERROR(INDEX('CAT_ESTADOS_ERP'!$B$4:$B$7,MATCH(IFERROR(INDEX('2_IMPORTAR_EJECUCION'!$C$9:$C$1208,MATCH($AN939,'2_IMPORTAR_EJECUCION'!$J$9:$J$1208,0)),""),'CAT_ESTADOS_ERP'!$A$4:$A$7,0)),"Pendiente"))</f>
        <v/>
      </c>
      <c r="O939" s="3">
        <f>IF($J939="","",YEAR($J939+4-WEEKDAY($J939,2))&amp;"-S"&amp;TEXT(_xlfn.ISOWEEKNUM($J939),"00"))</f>
        <v/>
      </c>
      <c r="P939" s="3">
        <f>IF($J939="","",YEAR($J939))</f>
        <v/>
      </c>
      <c r="Q939" s="3">
        <f>IF($J939="","",MONTH($J939))</f>
        <v/>
      </c>
      <c r="R939" s="3">
        <f>IF($J939="","",INDEX(lista_dias,WEEKDAY($J939,2)))</f>
        <v/>
      </c>
      <c r="S939" s="3">
        <f>IF($I939="","",IFERROR(INDEX('CAT_TIPOS_OT'!$C$4:$C$7,MATCH($I939,'CAT_TIPOS_OT'!$A$4:$A$7,0)),"sin_clasificar"))</f>
        <v/>
      </c>
      <c r="T939" s="3">
        <f>IF($F939="","",IFERROR(INDEX('CAT_CENTROS_COSTO'!$E$4:$E$9,MATCH($F939,'CAT_CENTROS_COSTO'!$A$4:$A$9,0)),"(sin catálogo)"))</f>
        <v/>
      </c>
      <c r="U939" s="3">
        <f>IF($F939="","",IFERROR(INDEX('CAT_CENTROS_COSTO'!$D$4:$D$9,MATCH($F939,'CAT_CENTROS_COSTO'!$A$4:$A$9,0)),"(sin catálogo)"))</f>
        <v/>
      </c>
      <c r="V939" s="3">
        <f>IF($F939="","",IFERROR(INDEX('CAT_CENTROS_COSTO'!$F$4:$F$9,MATCH($F939,'CAT_CENTROS_COSTO'!$A$4:$A$9,0)),"(sin catálogo)"))</f>
        <v/>
      </c>
      <c r="W939" s="3">
        <f>IF($G939="","",IFERROR(INDEX('CAT_PUESTOS'!$B$4:$B$8,MATCH($G939,'CAT_PUESTOS'!$A$4:$A$8,0)),"(sin catálogo)"))</f>
        <v/>
      </c>
      <c r="X939" s="3">
        <f>IF($H939="","",IFERROR(INDEX('CAT_ACTIVIDADES'!$B$4:$B$8,MATCH($H939,'CAT_ACTIVIDADES'!$A$4:$A$8,0)),"(sin catálogo)"))</f>
        <v/>
      </c>
      <c r="Y939" s="12">
        <f>IF($J939="","",TODAY()-$J939)</f>
        <v/>
      </c>
      <c r="Z939" s="3">
        <f>IF($Y939="","",IF($Y939&lt;0,"FUTURO",IF($Y939&gt;p_dias_backlog_max,"BACKLOG","MES CORRIENTE")))</f>
        <v/>
      </c>
      <c r="AA939" s="3">
        <f>IF($Y939="",FALSE,AND($Y939&gt;p_dias_backlog_min,$Y939&lt;=p_dias_backlog_max))</f>
        <v/>
      </c>
      <c r="AB939" s="6" t="n"/>
      <c r="AC939" s="3">
        <f>IF($AB939="","",IFERROR(INDEX('ASIGNACIONES'!$F$4:$F$339,MATCH($O939&amp;"|"&amp;$R939&amp;"|"&amp;$AB939,'ASIGNACIONES'!$I$4:$I$339,0)),""))</f>
        <v/>
      </c>
      <c r="AD939" s="13">
        <f>IF($AB939="","",SUMIFS('ORDENES'!$M$4:$M$1203,'ORDENES'!$AB$4:$AB$1203,$AB939,'ORDENES'!$O$4:$O$1203,$O939,'ORDENES'!$R$4:$R$1203,$R939))</f>
        <v/>
      </c>
      <c r="AE939" s="13">
        <f>IF($AD939="","",p_factor_productividad*IFERROR(INDEX('ASIGNACIONES'!$H$4:$H$339,MATCH($O939&amp;"|"&amp;$R939&amp;"|"&amp;$AB939,'ASIGNACIONES'!$I$4:$I$339,0)),0)-$AD939)</f>
        <v/>
      </c>
      <c r="AF939" s="10">
        <f>IF($A939="","",IFERROR(INDEX('2_IMPORTAR_EJECUCION'!$F$9:$F$1208,MATCH($AN939,'2_IMPORTAR_EJECUCION'!$J$9:$J$1208,0)),0))</f>
        <v/>
      </c>
      <c r="AG939" s="10">
        <f>IF($A939="","",MAX(0,IFERROR(INDEX('2_IMPORTAR_EJECUCION'!$H$9:$H$1208,MATCH($AN939,'2_IMPORTAR_EJECUCION'!$J$9:$J$1208,0)),0)-$AF939))</f>
        <v/>
      </c>
      <c r="AH939" s="10">
        <f>IF($A939="","",$AF939+$AG939)</f>
        <v/>
      </c>
      <c r="AI939" s="6" t="n"/>
      <c r="AJ939" s="6" t="n"/>
      <c r="AK939" s="6" t="n"/>
      <c r="AL939" s="3">
        <f>IF($AK939="","",HYPERLINK(p_ruta_base_checklists&amp;$AK939,"abrir"))</f>
        <v/>
      </c>
      <c r="AM939" s="6" t="n"/>
      <c r="AN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1" t="n"/>
      <c r="K940" s="3" t="n"/>
      <c r="L940" s="10" t="n"/>
      <c r="M940" s="3">
        <f>IF($A940="","",IFERROR(INDEX('AJUSTES'!$B$4:$B$303,MATCH($AN940,'AJUSTES'!$A$4:$A$303,0)),IF($K940="","",$K940)))</f>
        <v/>
      </c>
      <c r="N940" s="3">
        <f>IF($A940="","",IFERROR(INDEX('CAT_ESTADOS_ERP'!$B$4:$B$7,MATCH(IFERROR(INDEX('2_IMPORTAR_EJECUCION'!$C$9:$C$1208,MATCH($AN940,'2_IMPORTAR_EJECUCION'!$J$9:$J$1208,0)),""),'CAT_ESTADOS_ERP'!$A$4:$A$7,0)),"Pendiente"))</f>
        <v/>
      </c>
      <c r="O940" s="3">
        <f>IF($J940="","",YEAR($J940+4-WEEKDAY($J940,2))&amp;"-S"&amp;TEXT(_xlfn.ISOWEEKNUM($J940),"00"))</f>
        <v/>
      </c>
      <c r="P940" s="3">
        <f>IF($J940="","",YEAR($J940))</f>
        <v/>
      </c>
      <c r="Q940" s="3">
        <f>IF($J940="","",MONTH($J940))</f>
        <v/>
      </c>
      <c r="R940" s="3">
        <f>IF($J940="","",INDEX(lista_dias,WEEKDAY($J940,2)))</f>
        <v/>
      </c>
      <c r="S940" s="3">
        <f>IF($I940="","",IFERROR(INDEX('CAT_TIPOS_OT'!$C$4:$C$7,MATCH($I940,'CAT_TIPOS_OT'!$A$4:$A$7,0)),"sin_clasificar"))</f>
        <v/>
      </c>
      <c r="T940" s="3">
        <f>IF($F940="","",IFERROR(INDEX('CAT_CENTROS_COSTO'!$E$4:$E$9,MATCH($F940,'CAT_CENTROS_COSTO'!$A$4:$A$9,0)),"(sin catálogo)"))</f>
        <v/>
      </c>
      <c r="U940" s="3">
        <f>IF($F940="","",IFERROR(INDEX('CAT_CENTROS_COSTO'!$D$4:$D$9,MATCH($F940,'CAT_CENTROS_COSTO'!$A$4:$A$9,0)),"(sin catálogo)"))</f>
        <v/>
      </c>
      <c r="V940" s="3">
        <f>IF($F940="","",IFERROR(INDEX('CAT_CENTROS_COSTO'!$F$4:$F$9,MATCH($F940,'CAT_CENTROS_COSTO'!$A$4:$A$9,0)),"(sin catálogo)"))</f>
        <v/>
      </c>
      <c r="W940" s="3">
        <f>IF($G940="","",IFERROR(INDEX('CAT_PUESTOS'!$B$4:$B$8,MATCH($G940,'CAT_PUESTOS'!$A$4:$A$8,0)),"(sin catálogo)"))</f>
        <v/>
      </c>
      <c r="X940" s="3">
        <f>IF($H940="","",IFERROR(INDEX('CAT_ACTIVIDADES'!$B$4:$B$8,MATCH($H940,'CAT_ACTIVIDADES'!$A$4:$A$8,0)),"(sin catálogo)"))</f>
        <v/>
      </c>
      <c r="Y940" s="12">
        <f>IF($J940="","",TODAY()-$J940)</f>
        <v/>
      </c>
      <c r="Z940" s="3">
        <f>IF($Y940="","",IF($Y940&lt;0,"FUTURO",IF($Y940&gt;p_dias_backlog_max,"BACKLOG","MES CORRIENTE")))</f>
        <v/>
      </c>
      <c r="AA940" s="3">
        <f>IF($Y940="",FALSE,AND($Y940&gt;p_dias_backlog_min,$Y940&lt;=p_dias_backlog_max))</f>
        <v/>
      </c>
      <c r="AB940" s="6" t="n"/>
      <c r="AC940" s="3">
        <f>IF($AB940="","",IFERROR(INDEX('ASIGNACIONES'!$F$4:$F$339,MATCH($O940&amp;"|"&amp;$R940&amp;"|"&amp;$AB940,'ASIGNACIONES'!$I$4:$I$339,0)),""))</f>
        <v/>
      </c>
      <c r="AD940" s="13">
        <f>IF($AB940="","",SUMIFS('ORDENES'!$M$4:$M$1203,'ORDENES'!$AB$4:$AB$1203,$AB940,'ORDENES'!$O$4:$O$1203,$O940,'ORDENES'!$R$4:$R$1203,$R940))</f>
        <v/>
      </c>
      <c r="AE940" s="13">
        <f>IF($AD940="","",p_factor_productividad*IFERROR(INDEX('ASIGNACIONES'!$H$4:$H$339,MATCH($O940&amp;"|"&amp;$R940&amp;"|"&amp;$AB940,'ASIGNACIONES'!$I$4:$I$339,0)),0)-$AD940)</f>
        <v/>
      </c>
      <c r="AF940" s="10">
        <f>IF($A940="","",IFERROR(INDEX('2_IMPORTAR_EJECUCION'!$F$9:$F$1208,MATCH($AN940,'2_IMPORTAR_EJECUCION'!$J$9:$J$1208,0)),0))</f>
        <v/>
      </c>
      <c r="AG940" s="10">
        <f>IF($A940="","",MAX(0,IFERROR(INDEX('2_IMPORTAR_EJECUCION'!$H$9:$H$1208,MATCH($AN940,'2_IMPORTAR_EJECUCION'!$J$9:$J$1208,0)),0)-$AF940))</f>
        <v/>
      </c>
      <c r="AH940" s="10">
        <f>IF($A940="","",$AF940+$AG940)</f>
        <v/>
      </c>
      <c r="AI940" s="6" t="n"/>
      <c r="AJ940" s="6" t="n"/>
      <c r="AK940" s="6" t="n"/>
      <c r="AL940" s="3">
        <f>IF($AK940="","",HYPERLINK(p_ruta_base_checklists&amp;$AK940,"abrir"))</f>
        <v/>
      </c>
      <c r="AM940" s="6" t="n"/>
      <c r="AN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1" t="n"/>
      <c r="K941" s="3" t="n"/>
      <c r="L941" s="10" t="n"/>
      <c r="M941" s="3">
        <f>IF($A941="","",IFERROR(INDEX('AJUSTES'!$B$4:$B$303,MATCH($AN941,'AJUSTES'!$A$4:$A$303,0)),IF($K941="","",$K941)))</f>
        <v/>
      </c>
      <c r="N941" s="3">
        <f>IF($A941="","",IFERROR(INDEX('CAT_ESTADOS_ERP'!$B$4:$B$7,MATCH(IFERROR(INDEX('2_IMPORTAR_EJECUCION'!$C$9:$C$1208,MATCH($AN941,'2_IMPORTAR_EJECUCION'!$J$9:$J$1208,0)),""),'CAT_ESTADOS_ERP'!$A$4:$A$7,0)),"Pendiente"))</f>
        <v/>
      </c>
      <c r="O941" s="3">
        <f>IF($J941="","",YEAR($J941+4-WEEKDAY($J941,2))&amp;"-S"&amp;TEXT(_xlfn.ISOWEEKNUM($J941),"00"))</f>
        <v/>
      </c>
      <c r="P941" s="3">
        <f>IF($J941="","",YEAR($J941))</f>
        <v/>
      </c>
      <c r="Q941" s="3">
        <f>IF($J941="","",MONTH($J941))</f>
        <v/>
      </c>
      <c r="R941" s="3">
        <f>IF($J941="","",INDEX(lista_dias,WEEKDAY($J941,2)))</f>
        <v/>
      </c>
      <c r="S941" s="3">
        <f>IF($I941="","",IFERROR(INDEX('CAT_TIPOS_OT'!$C$4:$C$7,MATCH($I941,'CAT_TIPOS_OT'!$A$4:$A$7,0)),"sin_clasificar"))</f>
        <v/>
      </c>
      <c r="T941" s="3">
        <f>IF($F941="","",IFERROR(INDEX('CAT_CENTROS_COSTO'!$E$4:$E$9,MATCH($F941,'CAT_CENTROS_COSTO'!$A$4:$A$9,0)),"(sin catálogo)"))</f>
        <v/>
      </c>
      <c r="U941" s="3">
        <f>IF($F941="","",IFERROR(INDEX('CAT_CENTROS_COSTO'!$D$4:$D$9,MATCH($F941,'CAT_CENTROS_COSTO'!$A$4:$A$9,0)),"(sin catálogo)"))</f>
        <v/>
      </c>
      <c r="V941" s="3">
        <f>IF($F941="","",IFERROR(INDEX('CAT_CENTROS_COSTO'!$F$4:$F$9,MATCH($F941,'CAT_CENTROS_COSTO'!$A$4:$A$9,0)),"(sin catálogo)"))</f>
        <v/>
      </c>
      <c r="W941" s="3">
        <f>IF($G941="","",IFERROR(INDEX('CAT_PUESTOS'!$B$4:$B$8,MATCH($G941,'CAT_PUESTOS'!$A$4:$A$8,0)),"(sin catálogo)"))</f>
        <v/>
      </c>
      <c r="X941" s="3">
        <f>IF($H941="","",IFERROR(INDEX('CAT_ACTIVIDADES'!$B$4:$B$8,MATCH($H941,'CAT_ACTIVIDADES'!$A$4:$A$8,0)),"(sin catálogo)"))</f>
        <v/>
      </c>
      <c r="Y941" s="12">
        <f>IF($J941="","",TODAY()-$J941)</f>
        <v/>
      </c>
      <c r="Z941" s="3">
        <f>IF($Y941="","",IF($Y941&lt;0,"FUTURO",IF($Y941&gt;p_dias_backlog_max,"BACKLOG","MES CORRIENTE")))</f>
        <v/>
      </c>
      <c r="AA941" s="3">
        <f>IF($Y941="",FALSE,AND($Y941&gt;p_dias_backlog_min,$Y941&lt;=p_dias_backlog_max))</f>
        <v/>
      </c>
      <c r="AB941" s="6" t="n"/>
      <c r="AC941" s="3">
        <f>IF($AB941="","",IFERROR(INDEX('ASIGNACIONES'!$F$4:$F$339,MATCH($O941&amp;"|"&amp;$R941&amp;"|"&amp;$AB941,'ASIGNACIONES'!$I$4:$I$339,0)),""))</f>
        <v/>
      </c>
      <c r="AD941" s="13">
        <f>IF($AB941="","",SUMIFS('ORDENES'!$M$4:$M$1203,'ORDENES'!$AB$4:$AB$1203,$AB941,'ORDENES'!$O$4:$O$1203,$O941,'ORDENES'!$R$4:$R$1203,$R941))</f>
        <v/>
      </c>
      <c r="AE941" s="13">
        <f>IF($AD941="","",p_factor_productividad*IFERROR(INDEX('ASIGNACIONES'!$H$4:$H$339,MATCH($O941&amp;"|"&amp;$R941&amp;"|"&amp;$AB941,'ASIGNACIONES'!$I$4:$I$339,0)),0)-$AD941)</f>
        <v/>
      </c>
      <c r="AF941" s="10">
        <f>IF($A941="","",IFERROR(INDEX('2_IMPORTAR_EJECUCION'!$F$9:$F$1208,MATCH($AN941,'2_IMPORTAR_EJECUCION'!$J$9:$J$1208,0)),0))</f>
        <v/>
      </c>
      <c r="AG941" s="10">
        <f>IF($A941="","",MAX(0,IFERROR(INDEX('2_IMPORTAR_EJECUCION'!$H$9:$H$1208,MATCH($AN941,'2_IMPORTAR_EJECUCION'!$J$9:$J$1208,0)),0)-$AF941))</f>
        <v/>
      </c>
      <c r="AH941" s="10">
        <f>IF($A941="","",$AF941+$AG941)</f>
        <v/>
      </c>
      <c r="AI941" s="6" t="n"/>
      <c r="AJ941" s="6" t="n"/>
      <c r="AK941" s="6" t="n"/>
      <c r="AL941" s="3">
        <f>IF($AK941="","",HYPERLINK(p_ruta_base_checklists&amp;$AK941,"abrir"))</f>
        <v/>
      </c>
      <c r="AM941" s="6" t="n"/>
      <c r="AN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1" t="n"/>
      <c r="K942" s="3" t="n"/>
      <c r="L942" s="10" t="n"/>
      <c r="M942" s="3">
        <f>IF($A942="","",IFERROR(INDEX('AJUSTES'!$B$4:$B$303,MATCH($AN942,'AJUSTES'!$A$4:$A$303,0)),IF($K942="","",$K942)))</f>
        <v/>
      </c>
      <c r="N942" s="3">
        <f>IF($A942="","",IFERROR(INDEX('CAT_ESTADOS_ERP'!$B$4:$B$7,MATCH(IFERROR(INDEX('2_IMPORTAR_EJECUCION'!$C$9:$C$1208,MATCH($AN942,'2_IMPORTAR_EJECUCION'!$J$9:$J$1208,0)),""),'CAT_ESTADOS_ERP'!$A$4:$A$7,0)),"Pendiente"))</f>
        <v/>
      </c>
      <c r="O942" s="3">
        <f>IF($J942="","",YEAR($J942+4-WEEKDAY($J942,2))&amp;"-S"&amp;TEXT(_xlfn.ISOWEEKNUM($J942),"00"))</f>
        <v/>
      </c>
      <c r="P942" s="3">
        <f>IF($J942="","",YEAR($J942))</f>
        <v/>
      </c>
      <c r="Q942" s="3">
        <f>IF($J942="","",MONTH($J942))</f>
        <v/>
      </c>
      <c r="R942" s="3">
        <f>IF($J942="","",INDEX(lista_dias,WEEKDAY($J942,2)))</f>
        <v/>
      </c>
      <c r="S942" s="3">
        <f>IF($I942="","",IFERROR(INDEX('CAT_TIPOS_OT'!$C$4:$C$7,MATCH($I942,'CAT_TIPOS_OT'!$A$4:$A$7,0)),"sin_clasificar"))</f>
        <v/>
      </c>
      <c r="T942" s="3">
        <f>IF($F942="","",IFERROR(INDEX('CAT_CENTROS_COSTO'!$E$4:$E$9,MATCH($F942,'CAT_CENTROS_COSTO'!$A$4:$A$9,0)),"(sin catálogo)"))</f>
        <v/>
      </c>
      <c r="U942" s="3">
        <f>IF($F942="","",IFERROR(INDEX('CAT_CENTROS_COSTO'!$D$4:$D$9,MATCH($F942,'CAT_CENTROS_COSTO'!$A$4:$A$9,0)),"(sin catálogo)"))</f>
        <v/>
      </c>
      <c r="V942" s="3">
        <f>IF($F942="","",IFERROR(INDEX('CAT_CENTROS_COSTO'!$F$4:$F$9,MATCH($F942,'CAT_CENTROS_COSTO'!$A$4:$A$9,0)),"(sin catálogo)"))</f>
        <v/>
      </c>
      <c r="W942" s="3">
        <f>IF($G942="","",IFERROR(INDEX('CAT_PUESTOS'!$B$4:$B$8,MATCH($G942,'CAT_PUESTOS'!$A$4:$A$8,0)),"(sin catálogo)"))</f>
        <v/>
      </c>
      <c r="X942" s="3">
        <f>IF($H942="","",IFERROR(INDEX('CAT_ACTIVIDADES'!$B$4:$B$8,MATCH($H942,'CAT_ACTIVIDADES'!$A$4:$A$8,0)),"(sin catálogo)"))</f>
        <v/>
      </c>
      <c r="Y942" s="12">
        <f>IF($J942="","",TODAY()-$J942)</f>
        <v/>
      </c>
      <c r="Z942" s="3">
        <f>IF($Y942="","",IF($Y942&lt;0,"FUTURO",IF($Y942&gt;p_dias_backlog_max,"BACKLOG","MES CORRIENTE")))</f>
        <v/>
      </c>
      <c r="AA942" s="3">
        <f>IF($Y942="",FALSE,AND($Y942&gt;p_dias_backlog_min,$Y942&lt;=p_dias_backlog_max))</f>
        <v/>
      </c>
      <c r="AB942" s="6" t="n"/>
      <c r="AC942" s="3">
        <f>IF($AB942="","",IFERROR(INDEX('ASIGNACIONES'!$F$4:$F$339,MATCH($O942&amp;"|"&amp;$R942&amp;"|"&amp;$AB942,'ASIGNACIONES'!$I$4:$I$339,0)),""))</f>
        <v/>
      </c>
      <c r="AD942" s="13">
        <f>IF($AB942="","",SUMIFS('ORDENES'!$M$4:$M$1203,'ORDENES'!$AB$4:$AB$1203,$AB942,'ORDENES'!$O$4:$O$1203,$O942,'ORDENES'!$R$4:$R$1203,$R942))</f>
        <v/>
      </c>
      <c r="AE942" s="13">
        <f>IF($AD942="","",p_factor_productividad*IFERROR(INDEX('ASIGNACIONES'!$H$4:$H$339,MATCH($O942&amp;"|"&amp;$R942&amp;"|"&amp;$AB942,'ASIGNACIONES'!$I$4:$I$339,0)),0)-$AD942)</f>
        <v/>
      </c>
      <c r="AF942" s="10">
        <f>IF($A942="","",IFERROR(INDEX('2_IMPORTAR_EJECUCION'!$F$9:$F$1208,MATCH($AN942,'2_IMPORTAR_EJECUCION'!$J$9:$J$1208,0)),0))</f>
        <v/>
      </c>
      <c r="AG942" s="10">
        <f>IF($A942="","",MAX(0,IFERROR(INDEX('2_IMPORTAR_EJECUCION'!$H$9:$H$1208,MATCH($AN942,'2_IMPORTAR_EJECUCION'!$J$9:$J$1208,0)),0)-$AF942))</f>
        <v/>
      </c>
      <c r="AH942" s="10">
        <f>IF($A942="","",$AF942+$AG942)</f>
        <v/>
      </c>
      <c r="AI942" s="6" t="n"/>
      <c r="AJ942" s="6" t="n"/>
      <c r="AK942" s="6" t="n"/>
      <c r="AL942" s="3">
        <f>IF($AK942="","",HYPERLINK(p_ruta_base_checklists&amp;$AK942,"abrir"))</f>
        <v/>
      </c>
      <c r="AM942" s="6" t="n"/>
      <c r="AN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1" t="n"/>
      <c r="K943" s="3" t="n"/>
      <c r="L943" s="10" t="n"/>
      <c r="M943" s="3">
        <f>IF($A943="","",IFERROR(INDEX('AJUSTES'!$B$4:$B$303,MATCH($AN943,'AJUSTES'!$A$4:$A$303,0)),IF($K943="","",$K943)))</f>
        <v/>
      </c>
      <c r="N943" s="3">
        <f>IF($A943="","",IFERROR(INDEX('CAT_ESTADOS_ERP'!$B$4:$B$7,MATCH(IFERROR(INDEX('2_IMPORTAR_EJECUCION'!$C$9:$C$1208,MATCH($AN943,'2_IMPORTAR_EJECUCION'!$J$9:$J$1208,0)),""),'CAT_ESTADOS_ERP'!$A$4:$A$7,0)),"Pendiente"))</f>
        <v/>
      </c>
      <c r="O943" s="3">
        <f>IF($J943="","",YEAR($J943+4-WEEKDAY($J943,2))&amp;"-S"&amp;TEXT(_xlfn.ISOWEEKNUM($J943),"00"))</f>
        <v/>
      </c>
      <c r="P943" s="3">
        <f>IF($J943="","",YEAR($J943))</f>
        <v/>
      </c>
      <c r="Q943" s="3">
        <f>IF($J943="","",MONTH($J943))</f>
        <v/>
      </c>
      <c r="R943" s="3">
        <f>IF($J943="","",INDEX(lista_dias,WEEKDAY($J943,2)))</f>
        <v/>
      </c>
      <c r="S943" s="3">
        <f>IF($I943="","",IFERROR(INDEX('CAT_TIPOS_OT'!$C$4:$C$7,MATCH($I943,'CAT_TIPOS_OT'!$A$4:$A$7,0)),"sin_clasificar"))</f>
        <v/>
      </c>
      <c r="T943" s="3">
        <f>IF($F943="","",IFERROR(INDEX('CAT_CENTROS_COSTO'!$E$4:$E$9,MATCH($F943,'CAT_CENTROS_COSTO'!$A$4:$A$9,0)),"(sin catálogo)"))</f>
        <v/>
      </c>
      <c r="U943" s="3">
        <f>IF($F943="","",IFERROR(INDEX('CAT_CENTROS_COSTO'!$D$4:$D$9,MATCH($F943,'CAT_CENTROS_COSTO'!$A$4:$A$9,0)),"(sin catálogo)"))</f>
        <v/>
      </c>
      <c r="V943" s="3">
        <f>IF($F943="","",IFERROR(INDEX('CAT_CENTROS_COSTO'!$F$4:$F$9,MATCH($F943,'CAT_CENTROS_COSTO'!$A$4:$A$9,0)),"(sin catálogo)"))</f>
        <v/>
      </c>
      <c r="W943" s="3">
        <f>IF($G943="","",IFERROR(INDEX('CAT_PUESTOS'!$B$4:$B$8,MATCH($G943,'CAT_PUESTOS'!$A$4:$A$8,0)),"(sin catálogo)"))</f>
        <v/>
      </c>
      <c r="X943" s="3">
        <f>IF($H943="","",IFERROR(INDEX('CAT_ACTIVIDADES'!$B$4:$B$8,MATCH($H943,'CAT_ACTIVIDADES'!$A$4:$A$8,0)),"(sin catálogo)"))</f>
        <v/>
      </c>
      <c r="Y943" s="12">
        <f>IF($J943="","",TODAY()-$J943)</f>
        <v/>
      </c>
      <c r="Z943" s="3">
        <f>IF($Y943="","",IF($Y943&lt;0,"FUTURO",IF($Y943&gt;p_dias_backlog_max,"BACKLOG","MES CORRIENTE")))</f>
        <v/>
      </c>
      <c r="AA943" s="3">
        <f>IF($Y943="",FALSE,AND($Y943&gt;p_dias_backlog_min,$Y943&lt;=p_dias_backlog_max))</f>
        <v/>
      </c>
      <c r="AB943" s="6" t="n"/>
      <c r="AC943" s="3">
        <f>IF($AB943="","",IFERROR(INDEX('ASIGNACIONES'!$F$4:$F$339,MATCH($O943&amp;"|"&amp;$R943&amp;"|"&amp;$AB943,'ASIGNACIONES'!$I$4:$I$339,0)),""))</f>
        <v/>
      </c>
      <c r="AD943" s="13">
        <f>IF($AB943="","",SUMIFS('ORDENES'!$M$4:$M$1203,'ORDENES'!$AB$4:$AB$1203,$AB943,'ORDENES'!$O$4:$O$1203,$O943,'ORDENES'!$R$4:$R$1203,$R943))</f>
        <v/>
      </c>
      <c r="AE943" s="13">
        <f>IF($AD943="","",p_factor_productividad*IFERROR(INDEX('ASIGNACIONES'!$H$4:$H$339,MATCH($O943&amp;"|"&amp;$R943&amp;"|"&amp;$AB943,'ASIGNACIONES'!$I$4:$I$339,0)),0)-$AD943)</f>
        <v/>
      </c>
      <c r="AF943" s="10">
        <f>IF($A943="","",IFERROR(INDEX('2_IMPORTAR_EJECUCION'!$F$9:$F$1208,MATCH($AN943,'2_IMPORTAR_EJECUCION'!$J$9:$J$1208,0)),0))</f>
        <v/>
      </c>
      <c r="AG943" s="10">
        <f>IF($A943="","",MAX(0,IFERROR(INDEX('2_IMPORTAR_EJECUCION'!$H$9:$H$1208,MATCH($AN943,'2_IMPORTAR_EJECUCION'!$J$9:$J$1208,0)),0)-$AF943))</f>
        <v/>
      </c>
      <c r="AH943" s="10">
        <f>IF($A943="","",$AF943+$AG943)</f>
        <v/>
      </c>
      <c r="AI943" s="6" t="n"/>
      <c r="AJ943" s="6" t="n"/>
      <c r="AK943" s="6" t="n"/>
      <c r="AL943" s="3">
        <f>IF($AK943="","",HYPERLINK(p_ruta_base_checklists&amp;$AK943,"abrir"))</f>
        <v/>
      </c>
      <c r="AM943" s="6" t="n"/>
      <c r="AN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1" t="n"/>
      <c r="K944" s="3" t="n"/>
      <c r="L944" s="10" t="n"/>
      <c r="M944" s="3">
        <f>IF($A944="","",IFERROR(INDEX('AJUSTES'!$B$4:$B$303,MATCH($AN944,'AJUSTES'!$A$4:$A$303,0)),IF($K944="","",$K944)))</f>
        <v/>
      </c>
      <c r="N944" s="3">
        <f>IF($A944="","",IFERROR(INDEX('CAT_ESTADOS_ERP'!$B$4:$B$7,MATCH(IFERROR(INDEX('2_IMPORTAR_EJECUCION'!$C$9:$C$1208,MATCH($AN944,'2_IMPORTAR_EJECUCION'!$J$9:$J$1208,0)),""),'CAT_ESTADOS_ERP'!$A$4:$A$7,0)),"Pendiente"))</f>
        <v/>
      </c>
      <c r="O944" s="3">
        <f>IF($J944="","",YEAR($J944+4-WEEKDAY($J944,2))&amp;"-S"&amp;TEXT(_xlfn.ISOWEEKNUM($J944),"00"))</f>
        <v/>
      </c>
      <c r="P944" s="3">
        <f>IF($J944="","",YEAR($J944))</f>
        <v/>
      </c>
      <c r="Q944" s="3">
        <f>IF($J944="","",MONTH($J944))</f>
        <v/>
      </c>
      <c r="R944" s="3">
        <f>IF($J944="","",INDEX(lista_dias,WEEKDAY($J944,2)))</f>
        <v/>
      </c>
      <c r="S944" s="3">
        <f>IF($I944="","",IFERROR(INDEX('CAT_TIPOS_OT'!$C$4:$C$7,MATCH($I944,'CAT_TIPOS_OT'!$A$4:$A$7,0)),"sin_clasificar"))</f>
        <v/>
      </c>
      <c r="T944" s="3">
        <f>IF($F944="","",IFERROR(INDEX('CAT_CENTROS_COSTO'!$E$4:$E$9,MATCH($F944,'CAT_CENTROS_COSTO'!$A$4:$A$9,0)),"(sin catálogo)"))</f>
        <v/>
      </c>
      <c r="U944" s="3">
        <f>IF($F944="","",IFERROR(INDEX('CAT_CENTROS_COSTO'!$D$4:$D$9,MATCH($F944,'CAT_CENTROS_COSTO'!$A$4:$A$9,0)),"(sin catálogo)"))</f>
        <v/>
      </c>
      <c r="V944" s="3">
        <f>IF($F944="","",IFERROR(INDEX('CAT_CENTROS_COSTO'!$F$4:$F$9,MATCH($F944,'CAT_CENTROS_COSTO'!$A$4:$A$9,0)),"(sin catálogo)"))</f>
        <v/>
      </c>
      <c r="W944" s="3">
        <f>IF($G944="","",IFERROR(INDEX('CAT_PUESTOS'!$B$4:$B$8,MATCH($G944,'CAT_PUESTOS'!$A$4:$A$8,0)),"(sin catálogo)"))</f>
        <v/>
      </c>
      <c r="X944" s="3">
        <f>IF($H944="","",IFERROR(INDEX('CAT_ACTIVIDADES'!$B$4:$B$8,MATCH($H944,'CAT_ACTIVIDADES'!$A$4:$A$8,0)),"(sin catálogo)"))</f>
        <v/>
      </c>
      <c r="Y944" s="12">
        <f>IF($J944="","",TODAY()-$J944)</f>
        <v/>
      </c>
      <c r="Z944" s="3">
        <f>IF($Y944="","",IF($Y944&lt;0,"FUTURO",IF($Y944&gt;p_dias_backlog_max,"BACKLOG","MES CORRIENTE")))</f>
        <v/>
      </c>
      <c r="AA944" s="3">
        <f>IF($Y944="",FALSE,AND($Y944&gt;p_dias_backlog_min,$Y944&lt;=p_dias_backlog_max))</f>
        <v/>
      </c>
      <c r="AB944" s="6" t="n"/>
      <c r="AC944" s="3">
        <f>IF($AB944="","",IFERROR(INDEX('ASIGNACIONES'!$F$4:$F$339,MATCH($O944&amp;"|"&amp;$R944&amp;"|"&amp;$AB944,'ASIGNACIONES'!$I$4:$I$339,0)),""))</f>
        <v/>
      </c>
      <c r="AD944" s="13">
        <f>IF($AB944="","",SUMIFS('ORDENES'!$M$4:$M$1203,'ORDENES'!$AB$4:$AB$1203,$AB944,'ORDENES'!$O$4:$O$1203,$O944,'ORDENES'!$R$4:$R$1203,$R944))</f>
        <v/>
      </c>
      <c r="AE944" s="13">
        <f>IF($AD944="","",p_factor_productividad*IFERROR(INDEX('ASIGNACIONES'!$H$4:$H$339,MATCH($O944&amp;"|"&amp;$R944&amp;"|"&amp;$AB944,'ASIGNACIONES'!$I$4:$I$339,0)),0)-$AD944)</f>
        <v/>
      </c>
      <c r="AF944" s="10">
        <f>IF($A944="","",IFERROR(INDEX('2_IMPORTAR_EJECUCION'!$F$9:$F$1208,MATCH($AN944,'2_IMPORTAR_EJECUCION'!$J$9:$J$1208,0)),0))</f>
        <v/>
      </c>
      <c r="AG944" s="10">
        <f>IF($A944="","",MAX(0,IFERROR(INDEX('2_IMPORTAR_EJECUCION'!$H$9:$H$1208,MATCH($AN944,'2_IMPORTAR_EJECUCION'!$J$9:$J$1208,0)),0)-$AF944))</f>
        <v/>
      </c>
      <c r="AH944" s="10">
        <f>IF($A944="","",$AF944+$AG944)</f>
        <v/>
      </c>
      <c r="AI944" s="6" t="n"/>
      <c r="AJ944" s="6" t="n"/>
      <c r="AK944" s="6" t="n"/>
      <c r="AL944" s="3">
        <f>IF($AK944="","",HYPERLINK(p_ruta_base_checklists&amp;$AK944,"abrir"))</f>
        <v/>
      </c>
      <c r="AM944" s="6" t="n"/>
      <c r="AN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1" t="n"/>
      <c r="K945" s="3" t="n"/>
      <c r="L945" s="10" t="n"/>
      <c r="M945" s="3">
        <f>IF($A945="","",IFERROR(INDEX('AJUSTES'!$B$4:$B$303,MATCH($AN945,'AJUSTES'!$A$4:$A$303,0)),IF($K945="","",$K945)))</f>
        <v/>
      </c>
      <c r="N945" s="3">
        <f>IF($A945="","",IFERROR(INDEX('CAT_ESTADOS_ERP'!$B$4:$B$7,MATCH(IFERROR(INDEX('2_IMPORTAR_EJECUCION'!$C$9:$C$1208,MATCH($AN945,'2_IMPORTAR_EJECUCION'!$J$9:$J$1208,0)),""),'CAT_ESTADOS_ERP'!$A$4:$A$7,0)),"Pendiente"))</f>
        <v/>
      </c>
      <c r="O945" s="3">
        <f>IF($J945="","",YEAR($J945+4-WEEKDAY($J945,2))&amp;"-S"&amp;TEXT(_xlfn.ISOWEEKNUM($J945),"00"))</f>
        <v/>
      </c>
      <c r="P945" s="3">
        <f>IF($J945="","",YEAR($J945))</f>
        <v/>
      </c>
      <c r="Q945" s="3">
        <f>IF($J945="","",MONTH($J945))</f>
        <v/>
      </c>
      <c r="R945" s="3">
        <f>IF($J945="","",INDEX(lista_dias,WEEKDAY($J945,2)))</f>
        <v/>
      </c>
      <c r="S945" s="3">
        <f>IF($I945="","",IFERROR(INDEX('CAT_TIPOS_OT'!$C$4:$C$7,MATCH($I945,'CAT_TIPOS_OT'!$A$4:$A$7,0)),"sin_clasificar"))</f>
        <v/>
      </c>
      <c r="T945" s="3">
        <f>IF($F945="","",IFERROR(INDEX('CAT_CENTROS_COSTO'!$E$4:$E$9,MATCH($F945,'CAT_CENTROS_COSTO'!$A$4:$A$9,0)),"(sin catálogo)"))</f>
        <v/>
      </c>
      <c r="U945" s="3">
        <f>IF($F945="","",IFERROR(INDEX('CAT_CENTROS_COSTO'!$D$4:$D$9,MATCH($F945,'CAT_CENTROS_COSTO'!$A$4:$A$9,0)),"(sin catálogo)"))</f>
        <v/>
      </c>
      <c r="V945" s="3">
        <f>IF($F945="","",IFERROR(INDEX('CAT_CENTROS_COSTO'!$F$4:$F$9,MATCH($F945,'CAT_CENTROS_COSTO'!$A$4:$A$9,0)),"(sin catálogo)"))</f>
        <v/>
      </c>
      <c r="W945" s="3">
        <f>IF($G945="","",IFERROR(INDEX('CAT_PUESTOS'!$B$4:$B$8,MATCH($G945,'CAT_PUESTOS'!$A$4:$A$8,0)),"(sin catálogo)"))</f>
        <v/>
      </c>
      <c r="X945" s="3">
        <f>IF($H945="","",IFERROR(INDEX('CAT_ACTIVIDADES'!$B$4:$B$8,MATCH($H945,'CAT_ACTIVIDADES'!$A$4:$A$8,0)),"(sin catálogo)"))</f>
        <v/>
      </c>
      <c r="Y945" s="12">
        <f>IF($J945="","",TODAY()-$J945)</f>
        <v/>
      </c>
      <c r="Z945" s="3">
        <f>IF($Y945="","",IF($Y945&lt;0,"FUTURO",IF($Y945&gt;p_dias_backlog_max,"BACKLOG","MES CORRIENTE")))</f>
        <v/>
      </c>
      <c r="AA945" s="3">
        <f>IF($Y945="",FALSE,AND($Y945&gt;p_dias_backlog_min,$Y945&lt;=p_dias_backlog_max))</f>
        <v/>
      </c>
      <c r="AB945" s="6" t="n"/>
      <c r="AC945" s="3">
        <f>IF($AB945="","",IFERROR(INDEX('ASIGNACIONES'!$F$4:$F$339,MATCH($O945&amp;"|"&amp;$R945&amp;"|"&amp;$AB945,'ASIGNACIONES'!$I$4:$I$339,0)),""))</f>
        <v/>
      </c>
      <c r="AD945" s="13">
        <f>IF($AB945="","",SUMIFS('ORDENES'!$M$4:$M$1203,'ORDENES'!$AB$4:$AB$1203,$AB945,'ORDENES'!$O$4:$O$1203,$O945,'ORDENES'!$R$4:$R$1203,$R945))</f>
        <v/>
      </c>
      <c r="AE945" s="13">
        <f>IF($AD945="","",p_factor_productividad*IFERROR(INDEX('ASIGNACIONES'!$H$4:$H$339,MATCH($O945&amp;"|"&amp;$R945&amp;"|"&amp;$AB945,'ASIGNACIONES'!$I$4:$I$339,0)),0)-$AD945)</f>
        <v/>
      </c>
      <c r="AF945" s="10">
        <f>IF($A945="","",IFERROR(INDEX('2_IMPORTAR_EJECUCION'!$F$9:$F$1208,MATCH($AN945,'2_IMPORTAR_EJECUCION'!$J$9:$J$1208,0)),0))</f>
        <v/>
      </c>
      <c r="AG945" s="10">
        <f>IF($A945="","",MAX(0,IFERROR(INDEX('2_IMPORTAR_EJECUCION'!$H$9:$H$1208,MATCH($AN945,'2_IMPORTAR_EJECUCION'!$J$9:$J$1208,0)),0)-$AF945))</f>
        <v/>
      </c>
      <c r="AH945" s="10">
        <f>IF($A945="","",$AF945+$AG945)</f>
        <v/>
      </c>
      <c r="AI945" s="6" t="n"/>
      <c r="AJ945" s="6" t="n"/>
      <c r="AK945" s="6" t="n"/>
      <c r="AL945" s="3">
        <f>IF($AK945="","",HYPERLINK(p_ruta_base_checklists&amp;$AK945,"abrir"))</f>
        <v/>
      </c>
      <c r="AM945" s="6" t="n"/>
      <c r="AN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1" t="n"/>
      <c r="K946" s="3" t="n"/>
      <c r="L946" s="10" t="n"/>
      <c r="M946" s="3">
        <f>IF($A946="","",IFERROR(INDEX('AJUSTES'!$B$4:$B$303,MATCH($AN946,'AJUSTES'!$A$4:$A$303,0)),IF($K946="","",$K946)))</f>
        <v/>
      </c>
      <c r="N946" s="3">
        <f>IF($A946="","",IFERROR(INDEX('CAT_ESTADOS_ERP'!$B$4:$B$7,MATCH(IFERROR(INDEX('2_IMPORTAR_EJECUCION'!$C$9:$C$1208,MATCH($AN946,'2_IMPORTAR_EJECUCION'!$J$9:$J$1208,0)),""),'CAT_ESTADOS_ERP'!$A$4:$A$7,0)),"Pendiente"))</f>
        <v/>
      </c>
      <c r="O946" s="3">
        <f>IF($J946="","",YEAR($J946+4-WEEKDAY($J946,2))&amp;"-S"&amp;TEXT(_xlfn.ISOWEEKNUM($J946),"00"))</f>
        <v/>
      </c>
      <c r="P946" s="3">
        <f>IF($J946="","",YEAR($J946))</f>
        <v/>
      </c>
      <c r="Q946" s="3">
        <f>IF($J946="","",MONTH($J946))</f>
        <v/>
      </c>
      <c r="R946" s="3">
        <f>IF($J946="","",INDEX(lista_dias,WEEKDAY($J946,2)))</f>
        <v/>
      </c>
      <c r="S946" s="3">
        <f>IF($I946="","",IFERROR(INDEX('CAT_TIPOS_OT'!$C$4:$C$7,MATCH($I946,'CAT_TIPOS_OT'!$A$4:$A$7,0)),"sin_clasificar"))</f>
        <v/>
      </c>
      <c r="T946" s="3">
        <f>IF($F946="","",IFERROR(INDEX('CAT_CENTROS_COSTO'!$E$4:$E$9,MATCH($F946,'CAT_CENTROS_COSTO'!$A$4:$A$9,0)),"(sin catálogo)"))</f>
        <v/>
      </c>
      <c r="U946" s="3">
        <f>IF($F946="","",IFERROR(INDEX('CAT_CENTROS_COSTO'!$D$4:$D$9,MATCH($F946,'CAT_CENTROS_COSTO'!$A$4:$A$9,0)),"(sin catálogo)"))</f>
        <v/>
      </c>
      <c r="V946" s="3">
        <f>IF($F946="","",IFERROR(INDEX('CAT_CENTROS_COSTO'!$F$4:$F$9,MATCH($F946,'CAT_CENTROS_COSTO'!$A$4:$A$9,0)),"(sin catálogo)"))</f>
        <v/>
      </c>
      <c r="W946" s="3">
        <f>IF($G946="","",IFERROR(INDEX('CAT_PUESTOS'!$B$4:$B$8,MATCH($G946,'CAT_PUESTOS'!$A$4:$A$8,0)),"(sin catálogo)"))</f>
        <v/>
      </c>
      <c r="X946" s="3">
        <f>IF($H946="","",IFERROR(INDEX('CAT_ACTIVIDADES'!$B$4:$B$8,MATCH($H946,'CAT_ACTIVIDADES'!$A$4:$A$8,0)),"(sin catálogo)"))</f>
        <v/>
      </c>
      <c r="Y946" s="12">
        <f>IF($J946="","",TODAY()-$J946)</f>
        <v/>
      </c>
      <c r="Z946" s="3">
        <f>IF($Y946="","",IF($Y946&lt;0,"FUTURO",IF($Y946&gt;p_dias_backlog_max,"BACKLOG","MES CORRIENTE")))</f>
        <v/>
      </c>
      <c r="AA946" s="3">
        <f>IF($Y946="",FALSE,AND($Y946&gt;p_dias_backlog_min,$Y946&lt;=p_dias_backlog_max))</f>
        <v/>
      </c>
      <c r="AB946" s="6" t="n"/>
      <c r="AC946" s="3">
        <f>IF($AB946="","",IFERROR(INDEX('ASIGNACIONES'!$F$4:$F$339,MATCH($O946&amp;"|"&amp;$R946&amp;"|"&amp;$AB946,'ASIGNACIONES'!$I$4:$I$339,0)),""))</f>
        <v/>
      </c>
      <c r="AD946" s="13">
        <f>IF($AB946="","",SUMIFS('ORDENES'!$M$4:$M$1203,'ORDENES'!$AB$4:$AB$1203,$AB946,'ORDENES'!$O$4:$O$1203,$O946,'ORDENES'!$R$4:$R$1203,$R946))</f>
        <v/>
      </c>
      <c r="AE946" s="13">
        <f>IF($AD946="","",p_factor_productividad*IFERROR(INDEX('ASIGNACIONES'!$H$4:$H$339,MATCH($O946&amp;"|"&amp;$R946&amp;"|"&amp;$AB946,'ASIGNACIONES'!$I$4:$I$339,0)),0)-$AD946)</f>
        <v/>
      </c>
      <c r="AF946" s="10">
        <f>IF($A946="","",IFERROR(INDEX('2_IMPORTAR_EJECUCION'!$F$9:$F$1208,MATCH($AN946,'2_IMPORTAR_EJECUCION'!$J$9:$J$1208,0)),0))</f>
        <v/>
      </c>
      <c r="AG946" s="10">
        <f>IF($A946="","",MAX(0,IFERROR(INDEX('2_IMPORTAR_EJECUCION'!$H$9:$H$1208,MATCH($AN946,'2_IMPORTAR_EJECUCION'!$J$9:$J$1208,0)),0)-$AF946))</f>
        <v/>
      </c>
      <c r="AH946" s="10">
        <f>IF($A946="","",$AF946+$AG946)</f>
        <v/>
      </c>
      <c r="AI946" s="6" t="n"/>
      <c r="AJ946" s="6" t="n"/>
      <c r="AK946" s="6" t="n"/>
      <c r="AL946" s="3">
        <f>IF($AK946="","",HYPERLINK(p_ruta_base_checklists&amp;$AK946,"abrir"))</f>
        <v/>
      </c>
      <c r="AM946" s="6" t="n"/>
      <c r="AN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1" t="n"/>
      <c r="K947" s="3" t="n"/>
      <c r="L947" s="10" t="n"/>
      <c r="M947" s="3">
        <f>IF($A947="","",IFERROR(INDEX('AJUSTES'!$B$4:$B$303,MATCH($AN947,'AJUSTES'!$A$4:$A$303,0)),IF($K947="","",$K947)))</f>
        <v/>
      </c>
      <c r="N947" s="3">
        <f>IF($A947="","",IFERROR(INDEX('CAT_ESTADOS_ERP'!$B$4:$B$7,MATCH(IFERROR(INDEX('2_IMPORTAR_EJECUCION'!$C$9:$C$1208,MATCH($AN947,'2_IMPORTAR_EJECUCION'!$J$9:$J$1208,0)),""),'CAT_ESTADOS_ERP'!$A$4:$A$7,0)),"Pendiente"))</f>
        <v/>
      </c>
      <c r="O947" s="3">
        <f>IF($J947="","",YEAR($J947+4-WEEKDAY($J947,2))&amp;"-S"&amp;TEXT(_xlfn.ISOWEEKNUM($J947),"00"))</f>
        <v/>
      </c>
      <c r="P947" s="3">
        <f>IF($J947="","",YEAR($J947))</f>
        <v/>
      </c>
      <c r="Q947" s="3">
        <f>IF($J947="","",MONTH($J947))</f>
        <v/>
      </c>
      <c r="R947" s="3">
        <f>IF($J947="","",INDEX(lista_dias,WEEKDAY($J947,2)))</f>
        <v/>
      </c>
      <c r="S947" s="3">
        <f>IF($I947="","",IFERROR(INDEX('CAT_TIPOS_OT'!$C$4:$C$7,MATCH($I947,'CAT_TIPOS_OT'!$A$4:$A$7,0)),"sin_clasificar"))</f>
        <v/>
      </c>
      <c r="T947" s="3">
        <f>IF($F947="","",IFERROR(INDEX('CAT_CENTROS_COSTO'!$E$4:$E$9,MATCH($F947,'CAT_CENTROS_COSTO'!$A$4:$A$9,0)),"(sin catálogo)"))</f>
        <v/>
      </c>
      <c r="U947" s="3">
        <f>IF($F947="","",IFERROR(INDEX('CAT_CENTROS_COSTO'!$D$4:$D$9,MATCH($F947,'CAT_CENTROS_COSTO'!$A$4:$A$9,0)),"(sin catálogo)"))</f>
        <v/>
      </c>
      <c r="V947" s="3">
        <f>IF($F947="","",IFERROR(INDEX('CAT_CENTROS_COSTO'!$F$4:$F$9,MATCH($F947,'CAT_CENTROS_COSTO'!$A$4:$A$9,0)),"(sin catálogo)"))</f>
        <v/>
      </c>
      <c r="W947" s="3">
        <f>IF($G947="","",IFERROR(INDEX('CAT_PUESTOS'!$B$4:$B$8,MATCH($G947,'CAT_PUESTOS'!$A$4:$A$8,0)),"(sin catálogo)"))</f>
        <v/>
      </c>
      <c r="X947" s="3">
        <f>IF($H947="","",IFERROR(INDEX('CAT_ACTIVIDADES'!$B$4:$B$8,MATCH($H947,'CAT_ACTIVIDADES'!$A$4:$A$8,0)),"(sin catálogo)"))</f>
        <v/>
      </c>
      <c r="Y947" s="12">
        <f>IF($J947="","",TODAY()-$J947)</f>
        <v/>
      </c>
      <c r="Z947" s="3">
        <f>IF($Y947="","",IF($Y947&lt;0,"FUTURO",IF($Y947&gt;p_dias_backlog_max,"BACKLOG","MES CORRIENTE")))</f>
        <v/>
      </c>
      <c r="AA947" s="3">
        <f>IF($Y947="",FALSE,AND($Y947&gt;p_dias_backlog_min,$Y947&lt;=p_dias_backlog_max))</f>
        <v/>
      </c>
      <c r="AB947" s="6" t="n"/>
      <c r="AC947" s="3">
        <f>IF($AB947="","",IFERROR(INDEX('ASIGNACIONES'!$F$4:$F$339,MATCH($O947&amp;"|"&amp;$R947&amp;"|"&amp;$AB947,'ASIGNACIONES'!$I$4:$I$339,0)),""))</f>
        <v/>
      </c>
      <c r="AD947" s="13">
        <f>IF($AB947="","",SUMIFS('ORDENES'!$M$4:$M$1203,'ORDENES'!$AB$4:$AB$1203,$AB947,'ORDENES'!$O$4:$O$1203,$O947,'ORDENES'!$R$4:$R$1203,$R947))</f>
        <v/>
      </c>
      <c r="AE947" s="13">
        <f>IF($AD947="","",p_factor_productividad*IFERROR(INDEX('ASIGNACIONES'!$H$4:$H$339,MATCH($O947&amp;"|"&amp;$R947&amp;"|"&amp;$AB947,'ASIGNACIONES'!$I$4:$I$339,0)),0)-$AD947)</f>
        <v/>
      </c>
      <c r="AF947" s="10">
        <f>IF($A947="","",IFERROR(INDEX('2_IMPORTAR_EJECUCION'!$F$9:$F$1208,MATCH($AN947,'2_IMPORTAR_EJECUCION'!$J$9:$J$1208,0)),0))</f>
        <v/>
      </c>
      <c r="AG947" s="10">
        <f>IF($A947="","",MAX(0,IFERROR(INDEX('2_IMPORTAR_EJECUCION'!$H$9:$H$1208,MATCH($AN947,'2_IMPORTAR_EJECUCION'!$J$9:$J$1208,0)),0)-$AF947))</f>
        <v/>
      </c>
      <c r="AH947" s="10">
        <f>IF($A947="","",$AF947+$AG947)</f>
        <v/>
      </c>
      <c r="AI947" s="6" t="n"/>
      <c r="AJ947" s="6" t="n"/>
      <c r="AK947" s="6" t="n"/>
      <c r="AL947" s="3">
        <f>IF($AK947="","",HYPERLINK(p_ruta_base_checklists&amp;$AK947,"abrir"))</f>
        <v/>
      </c>
      <c r="AM947" s="6" t="n"/>
      <c r="AN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1" t="n"/>
      <c r="K948" s="3" t="n"/>
      <c r="L948" s="10" t="n"/>
      <c r="M948" s="3">
        <f>IF($A948="","",IFERROR(INDEX('AJUSTES'!$B$4:$B$303,MATCH($AN948,'AJUSTES'!$A$4:$A$303,0)),IF($K948="","",$K948)))</f>
        <v/>
      </c>
      <c r="N948" s="3">
        <f>IF($A948="","",IFERROR(INDEX('CAT_ESTADOS_ERP'!$B$4:$B$7,MATCH(IFERROR(INDEX('2_IMPORTAR_EJECUCION'!$C$9:$C$1208,MATCH($AN948,'2_IMPORTAR_EJECUCION'!$J$9:$J$1208,0)),""),'CAT_ESTADOS_ERP'!$A$4:$A$7,0)),"Pendiente"))</f>
        <v/>
      </c>
      <c r="O948" s="3">
        <f>IF($J948="","",YEAR($J948+4-WEEKDAY($J948,2))&amp;"-S"&amp;TEXT(_xlfn.ISOWEEKNUM($J948),"00"))</f>
        <v/>
      </c>
      <c r="P948" s="3">
        <f>IF($J948="","",YEAR($J948))</f>
        <v/>
      </c>
      <c r="Q948" s="3">
        <f>IF($J948="","",MONTH($J948))</f>
        <v/>
      </c>
      <c r="R948" s="3">
        <f>IF($J948="","",INDEX(lista_dias,WEEKDAY($J948,2)))</f>
        <v/>
      </c>
      <c r="S948" s="3">
        <f>IF($I948="","",IFERROR(INDEX('CAT_TIPOS_OT'!$C$4:$C$7,MATCH($I948,'CAT_TIPOS_OT'!$A$4:$A$7,0)),"sin_clasificar"))</f>
        <v/>
      </c>
      <c r="T948" s="3">
        <f>IF($F948="","",IFERROR(INDEX('CAT_CENTROS_COSTO'!$E$4:$E$9,MATCH($F948,'CAT_CENTROS_COSTO'!$A$4:$A$9,0)),"(sin catálogo)"))</f>
        <v/>
      </c>
      <c r="U948" s="3">
        <f>IF($F948="","",IFERROR(INDEX('CAT_CENTROS_COSTO'!$D$4:$D$9,MATCH($F948,'CAT_CENTROS_COSTO'!$A$4:$A$9,0)),"(sin catálogo)"))</f>
        <v/>
      </c>
      <c r="V948" s="3">
        <f>IF($F948="","",IFERROR(INDEX('CAT_CENTROS_COSTO'!$F$4:$F$9,MATCH($F948,'CAT_CENTROS_COSTO'!$A$4:$A$9,0)),"(sin catálogo)"))</f>
        <v/>
      </c>
      <c r="W948" s="3">
        <f>IF($G948="","",IFERROR(INDEX('CAT_PUESTOS'!$B$4:$B$8,MATCH($G948,'CAT_PUESTOS'!$A$4:$A$8,0)),"(sin catálogo)"))</f>
        <v/>
      </c>
      <c r="X948" s="3">
        <f>IF($H948="","",IFERROR(INDEX('CAT_ACTIVIDADES'!$B$4:$B$8,MATCH($H948,'CAT_ACTIVIDADES'!$A$4:$A$8,0)),"(sin catálogo)"))</f>
        <v/>
      </c>
      <c r="Y948" s="12">
        <f>IF($J948="","",TODAY()-$J948)</f>
        <v/>
      </c>
      <c r="Z948" s="3">
        <f>IF($Y948="","",IF($Y948&lt;0,"FUTURO",IF($Y948&gt;p_dias_backlog_max,"BACKLOG","MES CORRIENTE")))</f>
        <v/>
      </c>
      <c r="AA948" s="3">
        <f>IF($Y948="",FALSE,AND($Y948&gt;p_dias_backlog_min,$Y948&lt;=p_dias_backlog_max))</f>
        <v/>
      </c>
      <c r="AB948" s="6" t="n"/>
      <c r="AC948" s="3">
        <f>IF($AB948="","",IFERROR(INDEX('ASIGNACIONES'!$F$4:$F$339,MATCH($O948&amp;"|"&amp;$R948&amp;"|"&amp;$AB948,'ASIGNACIONES'!$I$4:$I$339,0)),""))</f>
        <v/>
      </c>
      <c r="AD948" s="13">
        <f>IF($AB948="","",SUMIFS('ORDENES'!$M$4:$M$1203,'ORDENES'!$AB$4:$AB$1203,$AB948,'ORDENES'!$O$4:$O$1203,$O948,'ORDENES'!$R$4:$R$1203,$R948))</f>
        <v/>
      </c>
      <c r="AE948" s="13">
        <f>IF($AD948="","",p_factor_productividad*IFERROR(INDEX('ASIGNACIONES'!$H$4:$H$339,MATCH($O948&amp;"|"&amp;$R948&amp;"|"&amp;$AB948,'ASIGNACIONES'!$I$4:$I$339,0)),0)-$AD948)</f>
        <v/>
      </c>
      <c r="AF948" s="10">
        <f>IF($A948="","",IFERROR(INDEX('2_IMPORTAR_EJECUCION'!$F$9:$F$1208,MATCH($AN948,'2_IMPORTAR_EJECUCION'!$J$9:$J$1208,0)),0))</f>
        <v/>
      </c>
      <c r="AG948" s="10">
        <f>IF($A948="","",MAX(0,IFERROR(INDEX('2_IMPORTAR_EJECUCION'!$H$9:$H$1208,MATCH($AN948,'2_IMPORTAR_EJECUCION'!$J$9:$J$1208,0)),0)-$AF948))</f>
        <v/>
      </c>
      <c r="AH948" s="10">
        <f>IF($A948="","",$AF948+$AG948)</f>
        <v/>
      </c>
      <c r="AI948" s="6" t="n"/>
      <c r="AJ948" s="6" t="n"/>
      <c r="AK948" s="6" t="n"/>
      <c r="AL948" s="3">
        <f>IF($AK948="","",HYPERLINK(p_ruta_base_checklists&amp;$AK948,"abrir"))</f>
        <v/>
      </c>
      <c r="AM948" s="6" t="n"/>
      <c r="AN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1" t="n"/>
      <c r="K949" s="3" t="n"/>
      <c r="L949" s="10" t="n"/>
      <c r="M949" s="3">
        <f>IF($A949="","",IFERROR(INDEX('AJUSTES'!$B$4:$B$303,MATCH($AN949,'AJUSTES'!$A$4:$A$303,0)),IF($K949="","",$K949)))</f>
        <v/>
      </c>
      <c r="N949" s="3">
        <f>IF($A949="","",IFERROR(INDEX('CAT_ESTADOS_ERP'!$B$4:$B$7,MATCH(IFERROR(INDEX('2_IMPORTAR_EJECUCION'!$C$9:$C$1208,MATCH($AN949,'2_IMPORTAR_EJECUCION'!$J$9:$J$1208,0)),""),'CAT_ESTADOS_ERP'!$A$4:$A$7,0)),"Pendiente"))</f>
        <v/>
      </c>
      <c r="O949" s="3">
        <f>IF($J949="","",YEAR($J949+4-WEEKDAY($J949,2))&amp;"-S"&amp;TEXT(_xlfn.ISOWEEKNUM($J949),"00"))</f>
        <v/>
      </c>
      <c r="P949" s="3">
        <f>IF($J949="","",YEAR($J949))</f>
        <v/>
      </c>
      <c r="Q949" s="3">
        <f>IF($J949="","",MONTH($J949))</f>
        <v/>
      </c>
      <c r="R949" s="3">
        <f>IF($J949="","",INDEX(lista_dias,WEEKDAY($J949,2)))</f>
        <v/>
      </c>
      <c r="S949" s="3">
        <f>IF($I949="","",IFERROR(INDEX('CAT_TIPOS_OT'!$C$4:$C$7,MATCH($I949,'CAT_TIPOS_OT'!$A$4:$A$7,0)),"sin_clasificar"))</f>
        <v/>
      </c>
      <c r="T949" s="3">
        <f>IF($F949="","",IFERROR(INDEX('CAT_CENTROS_COSTO'!$E$4:$E$9,MATCH($F949,'CAT_CENTROS_COSTO'!$A$4:$A$9,0)),"(sin catálogo)"))</f>
        <v/>
      </c>
      <c r="U949" s="3">
        <f>IF($F949="","",IFERROR(INDEX('CAT_CENTROS_COSTO'!$D$4:$D$9,MATCH($F949,'CAT_CENTROS_COSTO'!$A$4:$A$9,0)),"(sin catálogo)"))</f>
        <v/>
      </c>
      <c r="V949" s="3">
        <f>IF($F949="","",IFERROR(INDEX('CAT_CENTROS_COSTO'!$F$4:$F$9,MATCH($F949,'CAT_CENTROS_COSTO'!$A$4:$A$9,0)),"(sin catálogo)"))</f>
        <v/>
      </c>
      <c r="W949" s="3">
        <f>IF($G949="","",IFERROR(INDEX('CAT_PUESTOS'!$B$4:$B$8,MATCH($G949,'CAT_PUESTOS'!$A$4:$A$8,0)),"(sin catálogo)"))</f>
        <v/>
      </c>
      <c r="X949" s="3">
        <f>IF($H949="","",IFERROR(INDEX('CAT_ACTIVIDADES'!$B$4:$B$8,MATCH($H949,'CAT_ACTIVIDADES'!$A$4:$A$8,0)),"(sin catálogo)"))</f>
        <v/>
      </c>
      <c r="Y949" s="12">
        <f>IF($J949="","",TODAY()-$J949)</f>
        <v/>
      </c>
      <c r="Z949" s="3">
        <f>IF($Y949="","",IF($Y949&lt;0,"FUTURO",IF($Y949&gt;p_dias_backlog_max,"BACKLOG","MES CORRIENTE")))</f>
        <v/>
      </c>
      <c r="AA949" s="3">
        <f>IF($Y949="",FALSE,AND($Y949&gt;p_dias_backlog_min,$Y949&lt;=p_dias_backlog_max))</f>
        <v/>
      </c>
      <c r="AB949" s="6" t="n"/>
      <c r="AC949" s="3">
        <f>IF($AB949="","",IFERROR(INDEX('ASIGNACIONES'!$F$4:$F$339,MATCH($O949&amp;"|"&amp;$R949&amp;"|"&amp;$AB949,'ASIGNACIONES'!$I$4:$I$339,0)),""))</f>
        <v/>
      </c>
      <c r="AD949" s="13">
        <f>IF($AB949="","",SUMIFS('ORDENES'!$M$4:$M$1203,'ORDENES'!$AB$4:$AB$1203,$AB949,'ORDENES'!$O$4:$O$1203,$O949,'ORDENES'!$R$4:$R$1203,$R949))</f>
        <v/>
      </c>
      <c r="AE949" s="13">
        <f>IF($AD949="","",p_factor_productividad*IFERROR(INDEX('ASIGNACIONES'!$H$4:$H$339,MATCH($O949&amp;"|"&amp;$R949&amp;"|"&amp;$AB949,'ASIGNACIONES'!$I$4:$I$339,0)),0)-$AD949)</f>
        <v/>
      </c>
      <c r="AF949" s="10">
        <f>IF($A949="","",IFERROR(INDEX('2_IMPORTAR_EJECUCION'!$F$9:$F$1208,MATCH($AN949,'2_IMPORTAR_EJECUCION'!$J$9:$J$1208,0)),0))</f>
        <v/>
      </c>
      <c r="AG949" s="10">
        <f>IF($A949="","",MAX(0,IFERROR(INDEX('2_IMPORTAR_EJECUCION'!$H$9:$H$1208,MATCH($AN949,'2_IMPORTAR_EJECUCION'!$J$9:$J$1208,0)),0)-$AF949))</f>
        <v/>
      </c>
      <c r="AH949" s="10">
        <f>IF($A949="","",$AF949+$AG949)</f>
        <v/>
      </c>
      <c r="AI949" s="6" t="n"/>
      <c r="AJ949" s="6" t="n"/>
      <c r="AK949" s="6" t="n"/>
      <c r="AL949" s="3">
        <f>IF($AK949="","",HYPERLINK(p_ruta_base_checklists&amp;$AK949,"abrir"))</f>
        <v/>
      </c>
      <c r="AM949" s="6" t="n"/>
      <c r="AN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1" t="n"/>
      <c r="K950" s="3" t="n"/>
      <c r="L950" s="10" t="n"/>
      <c r="M950" s="3">
        <f>IF($A950="","",IFERROR(INDEX('AJUSTES'!$B$4:$B$303,MATCH($AN950,'AJUSTES'!$A$4:$A$303,0)),IF($K950="","",$K950)))</f>
        <v/>
      </c>
      <c r="N950" s="3">
        <f>IF($A950="","",IFERROR(INDEX('CAT_ESTADOS_ERP'!$B$4:$B$7,MATCH(IFERROR(INDEX('2_IMPORTAR_EJECUCION'!$C$9:$C$1208,MATCH($AN950,'2_IMPORTAR_EJECUCION'!$J$9:$J$1208,0)),""),'CAT_ESTADOS_ERP'!$A$4:$A$7,0)),"Pendiente"))</f>
        <v/>
      </c>
      <c r="O950" s="3">
        <f>IF($J950="","",YEAR($J950+4-WEEKDAY($J950,2))&amp;"-S"&amp;TEXT(_xlfn.ISOWEEKNUM($J950),"00"))</f>
        <v/>
      </c>
      <c r="P950" s="3">
        <f>IF($J950="","",YEAR($J950))</f>
        <v/>
      </c>
      <c r="Q950" s="3">
        <f>IF($J950="","",MONTH($J950))</f>
        <v/>
      </c>
      <c r="R950" s="3">
        <f>IF($J950="","",INDEX(lista_dias,WEEKDAY($J950,2)))</f>
        <v/>
      </c>
      <c r="S950" s="3">
        <f>IF($I950="","",IFERROR(INDEX('CAT_TIPOS_OT'!$C$4:$C$7,MATCH($I950,'CAT_TIPOS_OT'!$A$4:$A$7,0)),"sin_clasificar"))</f>
        <v/>
      </c>
      <c r="T950" s="3">
        <f>IF($F950="","",IFERROR(INDEX('CAT_CENTROS_COSTO'!$E$4:$E$9,MATCH($F950,'CAT_CENTROS_COSTO'!$A$4:$A$9,0)),"(sin catálogo)"))</f>
        <v/>
      </c>
      <c r="U950" s="3">
        <f>IF($F950="","",IFERROR(INDEX('CAT_CENTROS_COSTO'!$D$4:$D$9,MATCH($F950,'CAT_CENTROS_COSTO'!$A$4:$A$9,0)),"(sin catálogo)"))</f>
        <v/>
      </c>
      <c r="V950" s="3">
        <f>IF($F950="","",IFERROR(INDEX('CAT_CENTROS_COSTO'!$F$4:$F$9,MATCH($F950,'CAT_CENTROS_COSTO'!$A$4:$A$9,0)),"(sin catálogo)"))</f>
        <v/>
      </c>
      <c r="W950" s="3">
        <f>IF($G950="","",IFERROR(INDEX('CAT_PUESTOS'!$B$4:$B$8,MATCH($G950,'CAT_PUESTOS'!$A$4:$A$8,0)),"(sin catálogo)"))</f>
        <v/>
      </c>
      <c r="X950" s="3">
        <f>IF($H950="","",IFERROR(INDEX('CAT_ACTIVIDADES'!$B$4:$B$8,MATCH($H950,'CAT_ACTIVIDADES'!$A$4:$A$8,0)),"(sin catálogo)"))</f>
        <v/>
      </c>
      <c r="Y950" s="12">
        <f>IF($J950="","",TODAY()-$J950)</f>
        <v/>
      </c>
      <c r="Z950" s="3">
        <f>IF($Y950="","",IF($Y950&lt;0,"FUTURO",IF($Y950&gt;p_dias_backlog_max,"BACKLOG","MES CORRIENTE")))</f>
        <v/>
      </c>
      <c r="AA950" s="3">
        <f>IF($Y950="",FALSE,AND($Y950&gt;p_dias_backlog_min,$Y950&lt;=p_dias_backlog_max))</f>
        <v/>
      </c>
      <c r="AB950" s="6" t="n"/>
      <c r="AC950" s="3">
        <f>IF($AB950="","",IFERROR(INDEX('ASIGNACIONES'!$F$4:$F$339,MATCH($O950&amp;"|"&amp;$R950&amp;"|"&amp;$AB950,'ASIGNACIONES'!$I$4:$I$339,0)),""))</f>
        <v/>
      </c>
      <c r="AD950" s="13">
        <f>IF($AB950="","",SUMIFS('ORDENES'!$M$4:$M$1203,'ORDENES'!$AB$4:$AB$1203,$AB950,'ORDENES'!$O$4:$O$1203,$O950,'ORDENES'!$R$4:$R$1203,$R950))</f>
        <v/>
      </c>
      <c r="AE950" s="13">
        <f>IF($AD950="","",p_factor_productividad*IFERROR(INDEX('ASIGNACIONES'!$H$4:$H$339,MATCH($O950&amp;"|"&amp;$R950&amp;"|"&amp;$AB950,'ASIGNACIONES'!$I$4:$I$339,0)),0)-$AD950)</f>
        <v/>
      </c>
      <c r="AF950" s="10">
        <f>IF($A950="","",IFERROR(INDEX('2_IMPORTAR_EJECUCION'!$F$9:$F$1208,MATCH($AN950,'2_IMPORTAR_EJECUCION'!$J$9:$J$1208,0)),0))</f>
        <v/>
      </c>
      <c r="AG950" s="10">
        <f>IF($A950="","",MAX(0,IFERROR(INDEX('2_IMPORTAR_EJECUCION'!$H$9:$H$1208,MATCH($AN950,'2_IMPORTAR_EJECUCION'!$J$9:$J$1208,0)),0)-$AF950))</f>
        <v/>
      </c>
      <c r="AH950" s="10">
        <f>IF($A950="","",$AF950+$AG950)</f>
        <v/>
      </c>
      <c r="AI950" s="6" t="n"/>
      <c r="AJ950" s="6" t="n"/>
      <c r="AK950" s="6" t="n"/>
      <c r="AL950" s="3">
        <f>IF($AK950="","",HYPERLINK(p_ruta_base_checklists&amp;$AK950,"abrir"))</f>
        <v/>
      </c>
      <c r="AM950" s="6" t="n"/>
      <c r="AN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1" t="n"/>
      <c r="K951" s="3" t="n"/>
      <c r="L951" s="10" t="n"/>
      <c r="M951" s="3">
        <f>IF($A951="","",IFERROR(INDEX('AJUSTES'!$B$4:$B$303,MATCH($AN951,'AJUSTES'!$A$4:$A$303,0)),IF($K951="","",$K951)))</f>
        <v/>
      </c>
      <c r="N951" s="3">
        <f>IF($A951="","",IFERROR(INDEX('CAT_ESTADOS_ERP'!$B$4:$B$7,MATCH(IFERROR(INDEX('2_IMPORTAR_EJECUCION'!$C$9:$C$1208,MATCH($AN951,'2_IMPORTAR_EJECUCION'!$J$9:$J$1208,0)),""),'CAT_ESTADOS_ERP'!$A$4:$A$7,0)),"Pendiente"))</f>
        <v/>
      </c>
      <c r="O951" s="3">
        <f>IF($J951="","",YEAR($J951+4-WEEKDAY($J951,2))&amp;"-S"&amp;TEXT(_xlfn.ISOWEEKNUM($J951),"00"))</f>
        <v/>
      </c>
      <c r="P951" s="3">
        <f>IF($J951="","",YEAR($J951))</f>
        <v/>
      </c>
      <c r="Q951" s="3">
        <f>IF($J951="","",MONTH($J951))</f>
        <v/>
      </c>
      <c r="R951" s="3">
        <f>IF($J951="","",INDEX(lista_dias,WEEKDAY($J951,2)))</f>
        <v/>
      </c>
      <c r="S951" s="3">
        <f>IF($I951="","",IFERROR(INDEX('CAT_TIPOS_OT'!$C$4:$C$7,MATCH($I951,'CAT_TIPOS_OT'!$A$4:$A$7,0)),"sin_clasificar"))</f>
        <v/>
      </c>
      <c r="T951" s="3">
        <f>IF($F951="","",IFERROR(INDEX('CAT_CENTROS_COSTO'!$E$4:$E$9,MATCH($F951,'CAT_CENTROS_COSTO'!$A$4:$A$9,0)),"(sin catálogo)"))</f>
        <v/>
      </c>
      <c r="U951" s="3">
        <f>IF($F951="","",IFERROR(INDEX('CAT_CENTROS_COSTO'!$D$4:$D$9,MATCH($F951,'CAT_CENTROS_COSTO'!$A$4:$A$9,0)),"(sin catálogo)"))</f>
        <v/>
      </c>
      <c r="V951" s="3">
        <f>IF($F951="","",IFERROR(INDEX('CAT_CENTROS_COSTO'!$F$4:$F$9,MATCH($F951,'CAT_CENTROS_COSTO'!$A$4:$A$9,0)),"(sin catálogo)"))</f>
        <v/>
      </c>
      <c r="W951" s="3">
        <f>IF($G951="","",IFERROR(INDEX('CAT_PUESTOS'!$B$4:$B$8,MATCH($G951,'CAT_PUESTOS'!$A$4:$A$8,0)),"(sin catálogo)"))</f>
        <v/>
      </c>
      <c r="X951" s="3">
        <f>IF($H951="","",IFERROR(INDEX('CAT_ACTIVIDADES'!$B$4:$B$8,MATCH($H951,'CAT_ACTIVIDADES'!$A$4:$A$8,0)),"(sin catálogo)"))</f>
        <v/>
      </c>
      <c r="Y951" s="12">
        <f>IF($J951="","",TODAY()-$J951)</f>
        <v/>
      </c>
      <c r="Z951" s="3">
        <f>IF($Y951="","",IF($Y951&lt;0,"FUTURO",IF($Y951&gt;p_dias_backlog_max,"BACKLOG","MES CORRIENTE")))</f>
        <v/>
      </c>
      <c r="AA951" s="3">
        <f>IF($Y951="",FALSE,AND($Y951&gt;p_dias_backlog_min,$Y951&lt;=p_dias_backlog_max))</f>
        <v/>
      </c>
      <c r="AB951" s="6" t="n"/>
      <c r="AC951" s="3">
        <f>IF($AB951="","",IFERROR(INDEX('ASIGNACIONES'!$F$4:$F$339,MATCH($O951&amp;"|"&amp;$R951&amp;"|"&amp;$AB951,'ASIGNACIONES'!$I$4:$I$339,0)),""))</f>
        <v/>
      </c>
      <c r="AD951" s="13">
        <f>IF($AB951="","",SUMIFS('ORDENES'!$M$4:$M$1203,'ORDENES'!$AB$4:$AB$1203,$AB951,'ORDENES'!$O$4:$O$1203,$O951,'ORDENES'!$R$4:$R$1203,$R951))</f>
        <v/>
      </c>
      <c r="AE951" s="13">
        <f>IF($AD951="","",p_factor_productividad*IFERROR(INDEX('ASIGNACIONES'!$H$4:$H$339,MATCH($O951&amp;"|"&amp;$R951&amp;"|"&amp;$AB951,'ASIGNACIONES'!$I$4:$I$339,0)),0)-$AD951)</f>
        <v/>
      </c>
      <c r="AF951" s="10">
        <f>IF($A951="","",IFERROR(INDEX('2_IMPORTAR_EJECUCION'!$F$9:$F$1208,MATCH($AN951,'2_IMPORTAR_EJECUCION'!$J$9:$J$1208,0)),0))</f>
        <v/>
      </c>
      <c r="AG951" s="10">
        <f>IF($A951="","",MAX(0,IFERROR(INDEX('2_IMPORTAR_EJECUCION'!$H$9:$H$1208,MATCH($AN951,'2_IMPORTAR_EJECUCION'!$J$9:$J$1208,0)),0)-$AF951))</f>
        <v/>
      </c>
      <c r="AH951" s="10">
        <f>IF($A951="","",$AF951+$AG951)</f>
        <v/>
      </c>
      <c r="AI951" s="6" t="n"/>
      <c r="AJ951" s="6" t="n"/>
      <c r="AK951" s="6" t="n"/>
      <c r="AL951" s="3">
        <f>IF($AK951="","",HYPERLINK(p_ruta_base_checklists&amp;$AK951,"abrir"))</f>
        <v/>
      </c>
      <c r="AM951" s="6" t="n"/>
      <c r="AN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1" t="n"/>
      <c r="K952" s="3" t="n"/>
      <c r="L952" s="10" t="n"/>
      <c r="M952" s="3">
        <f>IF($A952="","",IFERROR(INDEX('AJUSTES'!$B$4:$B$303,MATCH($AN952,'AJUSTES'!$A$4:$A$303,0)),IF($K952="","",$K952)))</f>
        <v/>
      </c>
      <c r="N952" s="3">
        <f>IF($A952="","",IFERROR(INDEX('CAT_ESTADOS_ERP'!$B$4:$B$7,MATCH(IFERROR(INDEX('2_IMPORTAR_EJECUCION'!$C$9:$C$1208,MATCH($AN952,'2_IMPORTAR_EJECUCION'!$J$9:$J$1208,0)),""),'CAT_ESTADOS_ERP'!$A$4:$A$7,0)),"Pendiente"))</f>
        <v/>
      </c>
      <c r="O952" s="3">
        <f>IF($J952="","",YEAR($J952+4-WEEKDAY($J952,2))&amp;"-S"&amp;TEXT(_xlfn.ISOWEEKNUM($J952),"00"))</f>
        <v/>
      </c>
      <c r="P952" s="3">
        <f>IF($J952="","",YEAR($J952))</f>
        <v/>
      </c>
      <c r="Q952" s="3">
        <f>IF($J952="","",MONTH($J952))</f>
        <v/>
      </c>
      <c r="R952" s="3">
        <f>IF($J952="","",INDEX(lista_dias,WEEKDAY($J952,2)))</f>
        <v/>
      </c>
      <c r="S952" s="3">
        <f>IF($I952="","",IFERROR(INDEX('CAT_TIPOS_OT'!$C$4:$C$7,MATCH($I952,'CAT_TIPOS_OT'!$A$4:$A$7,0)),"sin_clasificar"))</f>
        <v/>
      </c>
      <c r="T952" s="3">
        <f>IF($F952="","",IFERROR(INDEX('CAT_CENTROS_COSTO'!$E$4:$E$9,MATCH($F952,'CAT_CENTROS_COSTO'!$A$4:$A$9,0)),"(sin catálogo)"))</f>
        <v/>
      </c>
      <c r="U952" s="3">
        <f>IF($F952="","",IFERROR(INDEX('CAT_CENTROS_COSTO'!$D$4:$D$9,MATCH($F952,'CAT_CENTROS_COSTO'!$A$4:$A$9,0)),"(sin catálogo)"))</f>
        <v/>
      </c>
      <c r="V952" s="3">
        <f>IF($F952="","",IFERROR(INDEX('CAT_CENTROS_COSTO'!$F$4:$F$9,MATCH($F952,'CAT_CENTROS_COSTO'!$A$4:$A$9,0)),"(sin catálogo)"))</f>
        <v/>
      </c>
      <c r="W952" s="3">
        <f>IF($G952="","",IFERROR(INDEX('CAT_PUESTOS'!$B$4:$B$8,MATCH($G952,'CAT_PUESTOS'!$A$4:$A$8,0)),"(sin catálogo)"))</f>
        <v/>
      </c>
      <c r="X952" s="3">
        <f>IF($H952="","",IFERROR(INDEX('CAT_ACTIVIDADES'!$B$4:$B$8,MATCH($H952,'CAT_ACTIVIDADES'!$A$4:$A$8,0)),"(sin catálogo)"))</f>
        <v/>
      </c>
      <c r="Y952" s="12">
        <f>IF($J952="","",TODAY()-$J952)</f>
        <v/>
      </c>
      <c r="Z952" s="3">
        <f>IF($Y952="","",IF($Y952&lt;0,"FUTURO",IF($Y952&gt;p_dias_backlog_max,"BACKLOG","MES CORRIENTE")))</f>
        <v/>
      </c>
      <c r="AA952" s="3">
        <f>IF($Y952="",FALSE,AND($Y952&gt;p_dias_backlog_min,$Y952&lt;=p_dias_backlog_max))</f>
        <v/>
      </c>
      <c r="AB952" s="6" t="n"/>
      <c r="AC952" s="3">
        <f>IF($AB952="","",IFERROR(INDEX('ASIGNACIONES'!$F$4:$F$339,MATCH($O952&amp;"|"&amp;$R952&amp;"|"&amp;$AB952,'ASIGNACIONES'!$I$4:$I$339,0)),""))</f>
        <v/>
      </c>
      <c r="AD952" s="13">
        <f>IF($AB952="","",SUMIFS('ORDENES'!$M$4:$M$1203,'ORDENES'!$AB$4:$AB$1203,$AB952,'ORDENES'!$O$4:$O$1203,$O952,'ORDENES'!$R$4:$R$1203,$R952))</f>
        <v/>
      </c>
      <c r="AE952" s="13">
        <f>IF($AD952="","",p_factor_productividad*IFERROR(INDEX('ASIGNACIONES'!$H$4:$H$339,MATCH($O952&amp;"|"&amp;$R952&amp;"|"&amp;$AB952,'ASIGNACIONES'!$I$4:$I$339,0)),0)-$AD952)</f>
        <v/>
      </c>
      <c r="AF952" s="10">
        <f>IF($A952="","",IFERROR(INDEX('2_IMPORTAR_EJECUCION'!$F$9:$F$1208,MATCH($AN952,'2_IMPORTAR_EJECUCION'!$J$9:$J$1208,0)),0))</f>
        <v/>
      </c>
      <c r="AG952" s="10">
        <f>IF($A952="","",MAX(0,IFERROR(INDEX('2_IMPORTAR_EJECUCION'!$H$9:$H$1208,MATCH($AN952,'2_IMPORTAR_EJECUCION'!$J$9:$J$1208,0)),0)-$AF952))</f>
        <v/>
      </c>
      <c r="AH952" s="10">
        <f>IF($A952="","",$AF952+$AG952)</f>
        <v/>
      </c>
      <c r="AI952" s="6" t="n"/>
      <c r="AJ952" s="6" t="n"/>
      <c r="AK952" s="6" t="n"/>
      <c r="AL952" s="3">
        <f>IF($AK952="","",HYPERLINK(p_ruta_base_checklists&amp;$AK952,"abrir"))</f>
        <v/>
      </c>
      <c r="AM952" s="6" t="n"/>
      <c r="AN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1" t="n"/>
      <c r="K953" s="3" t="n"/>
      <c r="L953" s="10" t="n"/>
      <c r="M953" s="3">
        <f>IF($A953="","",IFERROR(INDEX('AJUSTES'!$B$4:$B$303,MATCH($AN953,'AJUSTES'!$A$4:$A$303,0)),IF($K953="","",$K953)))</f>
        <v/>
      </c>
      <c r="N953" s="3">
        <f>IF($A953="","",IFERROR(INDEX('CAT_ESTADOS_ERP'!$B$4:$B$7,MATCH(IFERROR(INDEX('2_IMPORTAR_EJECUCION'!$C$9:$C$1208,MATCH($AN953,'2_IMPORTAR_EJECUCION'!$J$9:$J$1208,0)),""),'CAT_ESTADOS_ERP'!$A$4:$A$7,0)),"Pendiente"))</f>
        <v/>
      </c>
      <c r="O953" s="3">
        <f>IF($J953="","",YEAR($J953+4-WEEKDAY($J953,2))&amp;"-S"&amp;TEXT(_xlfn.ISOWEEKNUM($J953),"00"))</f>
        <v/>
      </c>
      <c r="P953" s="3">
        <f>IF($J953="","",YEAR($J953))</f>
        <v/>
      </c>
      <c r="Q953" s="3">
        <f>IF($J953="","",MONTH($J953))</f>
        <v/>
      </c>
      <c r="R953" s="3">
        <f>IF($J953="","",INDEX(lista_dias,WEEKDAY($J953,2)))</f>
        <v/>
      </c>
      <c r="S953" s="3">
        <f>IF($I953="","",IFERROR(INDEX('CAT_TIPOS_OT'!$C$4:$C$7,MATCH($I953,'CAT_TIPOS_OT'!$A$4:$A$7,0)),"sin_clasificar"))</f>
        <v/>
      </c>
      <c r="T953" s="3">
        <f>IF($F953="","",IFERROR(INDEX('CAT_CENTROS_COSTO'!$E$4:$E$9,MATCH($F953,'CAT_CENTROS_COSTO'!$A$4:$A$9,0)),"(sin catálogo)"))</f>
        <v/>
      </c>
      <c r="U953" s="3">
        <f>IF($F953="","",IFERROR(INDEX('CAT_CENTROS_COSTO'!$D$4:$D$9,MATCH($F953,'CAT_CENTROS_COSTO'!$A$4:$A$9,0)),"(sin catálogo)"))</f>
        <v/>
      </c>
      <c r="V953" s="3">
        <f>IF($F953="","",IFERROR(INDEX('CAT_CENTROS_COSTO'!$F$4:$F$9,MATCH($F953,'CAT_CENTROS_COSTO'!$A$4:$A$9,0)),"(sin catálogo)"))</f>
        <v/>
      </c>
      <c r="W953" s="3">
        <f>IF($G953="","",IFERROR(INDEX('CAT_PUESTOS'!$B$4:$B$8,MATCH($G953,'CAT_PUESTOS'!$A$4:$A$8,0)),"(sin catálogo)"))</f>
        <v/>
      </c>
      <c r="X953" s="3">
        <f>IF($H953="","",IFERROR(INDEX('CAT_ACTIVIDADES'!$B$4:$B$8,MATCH($H953,'CAT_ACTIVIDADES'!$A$4:$A$8,0)),"(sin catálogo)"))</f>
        <v/>
      </c>
      <c r="Y953" s="12">
        <f>IF($J953="","",TODAY()-$J953)</f>
        <v/>
      </c>
      <c r="Z953" s="3">
        <f>IF($Y953="","",IF($Y953&lt;0,"FUTURO",IF($Y953&gt;p_dias_backlog_max,"BACKLOG","MES CORRIENTE")))</f>
        <v/>
      </c>
      <c r="AA953" s="3">
        <f>IF($Y953="",FALSE,AND($Y953&gt;p_dias_backlog_min,$Y953&lt;=p_dias_backlog_max))</f>
        <v/>
      </c>
      <c r="AB953" s="6" t="n"/>
      <c r="AC953" s="3">
        <f>IF($AB953="","",IFERROR(INDEX('ASIGNACIONES'!$F$4:$F$339,MATCH($O953&amp;"|"&amp;$R953&amp;"|"&amp;$AB953,'ASIGNACIONES'!$I$4:$I$339,0)),""))</f>
        <v/>
      </c>
      <c r="AD953" s="13">
        <f>IF($AB953="","",SUMIFS('ORDENES'!$M$4:$M$1203,'ORDENES'!$AB$4:$AB$1203,$AB953,'ORDENES'!$O$4:$O$1203,$O953,'ORDENES'!$R$4:$R$1203,$R953))</f>
        <v/>
      </c>
      <c r="AE953" s="13">
        <f>IF($AD953="","",p_factor_productividad*IFERROR(INDEX('ASIGNACIONES'!$H$4:$H$339,MATCH($O953&amp;"|"&amp;$R953&amp;"|"&amp;$AB953,'ASIGNACIONES'!$I$4:$I$339,0)),0)-$AD953)</f>
        <v/>
      </c>
      <c r="AF953" s="10">
        <f>IF($A953="","",IFERROR(INDEX('2_IMPORTAR_EJECUCION'!$F$9:$F$1208,MATCH($AN953,'2_IMPORTAR_EJECUCION'!$J$9:$J$1208,0)),0))</f>
        <v/>
      </c>
      <c r="AG953" s="10">
        <f>IF($A953="","",MAX(0,IFERROR(INDEX('2_IMPORTAR_EJECUCION'!$H$9:$H$1208,MATCH($AN953,'2_IMPORTAR_EJECUCION'!$J$9:$J$1208,0)),0)-$AF953))</f>
        <v/>
      </c>
      <c r="AH953" s="10">
        <f>IF($A953="","",$AF953+$AG953)</f>
        <v/>
      </c>
      <c r="AI953" s="6" t="n"/>
      <c r="AJ953" s="6" t="n"/>
      <c r="AK953" s="6" t="n"/>
      <c r="AL953" s="3">
        <f>IF($AK953="","",HYPERLINK(p_ruta_base_checklists&amp;$AK953,"abrir"))</f>
        <v/>
      </c>
      <c r="AM953" s="6" t="n"/>
      <c r="AN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1" t="n"/>
      <c r="K954" s="3" t="n"/>
      <c r="L954" s="10" t="n"/>
      <c r="M954" s="3">
        <f>IF($A954="","",IFERROR(INDEX('AJUSTES'!$B$4:$B$303,MATCH($AN954,'AJUSTES'!$A$4:$A$303,0)),IF($K954="","",$K954)))</f>
        <v/>
      </c>
      <c r="N954" s="3">
        <f>IF($A954="","",IFERROR(INDEX('CAT_ESTADOS_ERP'!$B$4:$B$7,MATCH(IFERROR(INDEX('2_IMPORTAR_EJECUCION'!$C$9:$C$1208,MATCH($AN954,'2_IMPORTAR_EJECUCION'!$J$9:$J$1208,0)),""),'CAT_ESTADOS_ERP'!$A$4:$A$7,0)),"Pendiente"))</f>
        <v/>
      </c>
      <c r="O954" s="3">
        <f>IF($J954="","",YEAR($J954+4-WEEKDAY($J954,2))&amp;"-S"&amp;TEXT(_xlfn.ISOWEEKNUM($J954),"00"))</f>
        <v/>
      </c>
      <c r="P954" s="3">
        <f>IF($J954="","",YEAR($J954))</f>
        <v/>
      </c>
      <c r="Q954" s="3">
        <f>IF($J954="","",MONTH($J954))</f>
        <v/>
      </c>
      <c r="R954" s="3">
        <f>IF($J954="","",INDEX(lista_dias,WEEKDAY($J954,2)))</f>
        <v/>
      </c>
      <c r="S954" s="3">
        <f>IF($I954="","",IFERROR(INDEX('CAT_TIPOS_OT'!$C$4:$C$7,MATCH($I954,'CAT_TIPOS_OT'!$A$4:$A$7,0)),"sin_clasificar"))</f>
        <v/>
      </c>
      <c r="T954" s="3">
        <f>IF($F954="","",IFERROR(INDEX('CAT_CENTROS_COSTO'!$E$4:$E$9,MATCH($F954,'CAT_CENTROS_COSTO'!$A$4:$A$9,0)),"(sin catálogo)"))</f>
        <v/>
      </c>
      <c r="U954" s="3">
        <f>IF($F954="","",IFERROR(INDEX('CAT_CENTROS_COSTO'!$D$4:$D$9,MATCH($F954,'CAT_CENTROS_COSTO'!$A$4:$A$9,0)),"(sin catálogo)"))</f>
        <v/>
      </c>
      <c r="V954" s="3">
        <f>IF($F954="","",IFERROR(INDEX('CAT_CENTROS_COSTO'!$F$4:$F$9,MATCH($F954,'CAT_CENTROS_COSTO'!$A$4:$A$9,0)),"(sin catálogo)"))</f>
        <v/>
      </c>
      <c r="W954" s="3">
        <f>IF($G954="","",IFERROR(INDEX('CAT_PUESTOS'!$B$4:$B$8,MATCH($G954,'CAT_PUESTOS'!$A$4:$A$8,0)),"(sin catálogo)"))</f>
        <v/>
      </c>
      <c r="X954" s="3">
        <f>IF($H954="","",IFERROR(INDEX('CAT_ACTIVIDADES'!$B$4:$B$8,MATCH($H954,'CAT_ACTIVIDADES'!$A$4:$A$8,0)),"(sin catálogo)"))</f>
        <v/>
      </c>
      <c r="Y954" s="12">
        <f>IF($J954="","",TODAY()-$J954)</f>
        <v/>
      </c>
      <c r="Z954" s="3">
        <f>IF($Y954="","",IF($Y954&lt;0,"FUTURO",IF($Y954&gt;p_dias_backlog_max,"BACKLOG","MES CORRIENTE")))</f>
        <v/>
      </c>
      <c r="AA954" s="3">
        <f>IF($Y954="",FALSE,AND($Y954&gt;p_dias_backlog_min,$Y954&lt;=p_dias_backlog_max))</f>
        <v/>
      </c>
      <c r="AB954" s="6" t="n"/>
      <c r="AC954" s="3">
        <f>IF($AB954="","",IFERROR(INDEX('ASIGNACIONES'!$F$4:$F$339,MATCH($O954&amp;"|"&amp;$R954&amp;"|"&amp;$AB954,'ASIGNACIONES'!$I$4:$I$339,0)),""))</f>
        <v/>
      </c>
      <c r="AD954" s="13">
        <f>IF($AB954="","",SUMIFS('ORDENES'!$M$4:$M$1203,'ORDENES'!$AB$4:$AB$1203,$AB954,'ORDENES'!$O$4:$O$1203,$O954,'ORDENES'!$R$4:$R$1203,$R954))</f>
        <v/>
      </c>
      <c r="AE954" s="13">
        <f>IF($AD954="","",p_factor_productividad*IFERROR(INDEX('ASIGNACIONES'!$H$4:$H$339,MATCH($O954&amp;"|"&amp;$R954&amp;"|"&amp;$AB954,'ASIGNACIONES'!$I$4:$I$339,0)),0)-$AD954)</f>
        <v/>
      </c>
      <c r="AF954" s="10">
        <f>IF($A954="","",IFERROR(INDEX('2_IMPORTAR_EJECUCION'!$F$9:$F$1208,MATCH($AN954,'2_IMPORTAR_EJECUCION'!$J$9:$J$1208,0)),0))</f>
        <v/>
      </c>
      <c r="AG954" s="10">
        <f>IF($A954="","",MAX(0,IFERROR(INDEX('2_IMPORTAR_EJECUCION'!$H$9:$H$1208,MATCH($AN954,'2_IMPORTAR_EJECUCION'!$J$9:$J$1208,0)),0)-$AF954))</f>
        <v/>
      </c>
      <c r="AH954" s="10">
        <f>IF($A954="","",$AF954+$AG954)</f>
        <v/>
      </c>
      <c r="AI954" s="6" t="n"/>
      <c r="AJ954" s="6" t="n"/>
      <c r="AK954" s="6" t="n"/>
      <c r="AL954" s="3">
        <f>IF($AK954="","",HYPERLINK(p_ruta_base_checklists&amp;$AK954,"abrir"))</f>
        <v/>
      </c>
      <c r="AM954" s="6" t="n"/>
      <c r="AN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1" t="n"/>
      <c r="K955" s="3" t="n"/>
      <c r="L955" s="10" t="n"/>
      <c r="M955" s="3">
        <f>IF($A955="","",IFERROR(INDEX('AJUSTES'!$B$4:$B$303,MATCH($AN955,'AJUSTES'!$A$4:$A$303,0)),IF($K955="","",$K955)))</f>
        <v/>
      </c>
      <c r="N955" s="3">
        <f>IF($A955="","",IFERROR(INDEX('CAT_ESTADOS_ERP'!$B$4:$B$7,MATCH(IFERROR(INDEX('2_IMPORTAR_EJECUCION'!$C$9:$C$1208,MATCH($AN955,'2_IMPORTAR_EJECUCION'!$J$9:$J$1208,0)),""),'CAT_ESTADOS_ERP'!$A$4:$A$7,0)),"Pendiente"))</f>
        <v/>
      </c>
      <c r="O955" s="3">
        <f>IF($J955="","",YEAR($J955+4-WEEKDAY($J955,2))&amp;"-S"&amp;TEXT(_xlfn.ISOWEEKNUM($J955),"00"))</f>
        <v/>
      </c>
      <c r="P955" s="3">
        <f>IF($J955="","",YEAR($J955))</f>
        <v/>
      </c>
      <c r="Q955" s="3">
        <f>IF($J955="","",MONTH($J955))</f>
        <v/>
      </c>
      <c r="R955" s="3">
        <f>IF($J955="","",INDEX(lista_dias,WEEKDAY($J955,2)))</f>
        <v/>
      </c>
      <c r="S955" s="3">
        <f>IF($I955="","",IFERROR(INDEX('CAT_TIPOS_OT'!$C$4:$C$7,MATCH($I955,'CAT_TIPOS_OT'!$A$4:$A$7,0)),"sin_clasificar"))</f>
        <v/>
      </c>
      <c r="T955" s="3">
        <f>IF($F955="","",IFERROR(INDEX('CAT_CENTROS_COSTO'!$E$4:$E$9,MATCH($F955,'CAT_CENTROS_COSTO'!$A$4:$A$9,0)),"(sin catálogo)"))</f>
        <v/>
      </c>
      <c r="U955" s="3">
        <f>IF($F955="","",IFERROR(INDEX('CAT_CENTROS_COSTO'!$D$4:$D$9,MATCH($F955,'CAT_CENTROS_COSTO'!$A$4:$A$9,0)),"(sin catálogo)"))</f>
        <v/>
      </c>
      <c r="V955" s="3">
        <f>IF($F955="","",IFERROR(INDEX('CAT_CENTROS_COSTO'!$F$4:$F$9,MATCH($F955,'CAT_CENTROS_COSTO'!$A$4:$A$9,0)),"(sin catálogo)"))</f>
        <v/>
      </c>
      <c r="W955" s="3">
        <f>IF($G955="","",IFERROR(INDEX('CAT_PUESTOS'!$B$4:$B$8,MATCH($G955,'CAT_PUESTOS'!$A$4:$A$8,0)),"(sin catálogo)"))</f>
        <v/>
      </c>
      <c r="X955" s="3">
        <f>IF($H955="","",IFERROR(INDEX('CAT_ACTIVIDADES'!$B$4:$B$8,MATCH($H955,'CAT_ACTIVIDADES'!$A$4:$A$8,0)),"(sin catálogo)"))</f>
        <v/>
      </c>
      <c r="Y955" s="12">
        <f>IF($J955="","",TODAY()-$J955)</f>
        <v/>
      </c>
      <c r="Z955" s="3">
        <f>IF($Y955="","",IF($Y955&lt;0,"FUTURO",IF($Y955&gt;p_dias_backlog_max,"BACKLOG","MES CORRIENTE")))</f>
        <v/>
      </c>
      <c r="AA955" s="3">
        <f>IF($Y955="",FALSE,AND($Y955&gt;p_dias_backlog_min,$Y955&lt;=p_dias_backlog_max))</f>
        <v/>
      </c>
      <c r="AB955" s="6" t="n"/>
      <c r="AC955" s="3">
        <f>IF($AB955="","",IFERROR(INDEX('ASIGNACIONES'!$F$4:$F$339,MATCH($O955&amp;"|"&amp;$R955&amp;"|"&amp;$AB955,'ASIGNACIONES'!$I$4:$I$339,0)),""))</f>
        <v/>
      </c>
      <c r="AD955" s="13">
        <f>IF($AB955="","",SUMIFS('ORDENES'!$M$4:$M$1203,'ORDENES'!$AB$4:$AB$1203,$AB955,'ORDENES'!$O$4:$O$1203,$O955,'ORDENES'!$R$4:$R$1203,$R955))</f>
        <v/>
      </c>
      <c r="AE955" s="13">
        <f>IF($AD955="","",p_factor_productividad*IFERROR(INDEX('ASIGNACIONES'!$H$4:$H$339,MATCH($O955&amp;"|"&amp;$R955&amp;"|"&amp;$AB955,'ASIGNACIONES'!$I$4:$I$339,0)),0)-$AD955)</f>
        <v/>
      </c>
      <c r="AF955" s="10">
        <f>IF($A955="","",IFERROR(INDEX('2_IMPORTAR_EJECUCION'!$F$9:$F$1208,MATCH($AN955,'2_IMPORTAR_EJECUCION'!$J$9:$J$1208,0)),0))</f>
        <v/>
      </c>
      <c r="AG955" s="10">
        <f>IF($A955="","",MAX(0,IFERROR(INDEX('2_IMPORTAR_EJECUCION'!$H$9:$H$1208,MATCH($AN955,'2_IMPORTAR_EJECUCION'!$J$9:$J$1208,0)),0)-$AF955))</f>
        <v/>
      </c>
      <c r="AH955" s="10">
        <f>IF($A955="","",$AF955+$AG955)</f>
        <v/>
      </c>
      <c r="AI955" s="6" t="n"/>
      <c r="AJ955" s="6" t="n"/>
      <c r="AK955" s="6" t="n"/>
      <c r="AL955" s="3">
        <f>IF($AK955="","",HYPERLINK(p_ruta_base_checklists&amp;$AK955,"abrir"))</f>
        <v/>
      </c>
      <c r="AM955" s="6" t="n"/>
      <c r="AN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1" t="n"/>
      <c r="K956" s="3" t="n"/>
      <c r="L956" s="10" t="n"/>
      <c r="M956" s="3">
        <f>IF($A956="","",IFERROR(INDEX('AJUSTES'!$B$4:$B$303,MATCH($AN956,'AJUSTES'!$A$4:$A$303,0)),IF($K956="","",$K956)))</f>
        <v/>
      </c>
      <c r="N956" s="3">
        <f>IF($A956="","",IFERROR(INDEX('CAT_ESTADOS_ERP'!$B$4:$B$7,MATCH(IFERROR(INDEX('2_IMPORTAR_EJECUCION'!$C$9:$C$1208,MATCH($AN956,'2_IMPORTAR_EJECUCION'!$J$9:$J$1208,0)),""),'CAT_ESTADOS_ERP'!$A$4:$A$7,0)),"Pendiente"))</f>
        <v/>
      </c>
      <c r="O956" s="3">
        <f>IF($J956="","",YEAR($J956+4-WEEKDAY($J956,2))&amp;"-S"&amp;TEXT(_xlfn.ISOWEEKNUM($J956),"00"))</f>
        <v/>
      </c>
      <c r="P956" s="3">
        <f>IF($J956="","",YEAR($J956))</f>
        <v/>
      </c>
      <c r="Q956" s="3">
        <f>IF($J956="","",MONTH($J956))</f>
        <v/>
      </c>
      <c r="R956" s="3">
        <f>IF($J956="","",INDEX(lista_dias,WEEKDAY($J956,2)))</f>
        <v/>
      </c>
      <c r="S956" s="3">
        <f>IF($I956="","",IFERROR(INDEX('CAT_TIPOS_OT'!$C$4:$C$7,MATCH($I956,'CAT_TIPOS_OT'!$A$4:$A$7,0)),"sin_clasificar"))</f>
        <v/>
      </c>
      <c r="T956" s="3">
        <f>IF($F956="","",IFERROR(INDEX('CAT_CENTROS_COSTO'!$E$4:$E$9,MATCH($F956,'CAT_CENTROS_COSTO'!$A$4:$A$9,0)),"(sin catálogo)"))</f>
        <v/>
      </c>
      <c r="U956" s="3">
        <f>IF($F956="","",IFERROR(INDEX('CAT_CENTROS_COSTO'!$D$4:$D$9,MATCH($F956,'CAT_CENTROS_COSTO'!$A$4:$A$9,0)),"(sin catálogo)"))</f>
        <v/>
      </c>
      <c r="V956" s="3">
        <f>IF($F956="","",IFERROR(INDEX('CAT_CENTROS_COSTO'!$F$4:$F$9,MATCH($F956,'CAT_CENTROS_COSTO'!$A$4:$A$9,0)),"(sin catálogo)"))</f>
        <v/>
      </c>
      <c r="W956" s="3">
        <f>IF($G956="","",IFERROR(INDEX('CAT_PUESTOS'!$B$4:$B$8,MATCH($G956,'CAT_PUESTOS'!$A$4:$A$8,0)),"(sin catálogo)"))</f>
        <v/>
      </c>
      <c r="X956" s="3">
        <f>IF($H956="","",IFERROR(INDEX('CAT_ACTIVIDADES'!$B$4:$B$8,MATCH($H956,'CAT_ACTIVIDADES'!$A$4:$A$8,0)),"(sin catálogo)"))</f>
        <v/>
      </c>
      <c r="Y956" s="12">
        <f>IF($J956="","",TODAY()-$J956)</f>
        <v/>
      </c>
      <c r="Z956" s="3">
        <f>IF($Y956="","",IF($Y956&lt;0,"FUTURO",IF($Y956&gt;p_dias_backlog_max,"BACKLOG","MES CORRIENTE")))</f>
        <v/>
      </c>
      <c r="AA956" s="3">
        <f>IF($Y956="",FALSE,AND($Y956&gt;p_dias_backlog_min,$Y956&lt;=p_dias_backlog_max))</f>
        <v/>
      </c>
      <c r="AB956" s="6" t="n"/>
      <c r="AC956" s="3">
        <f>IF($AB956="","",IFERROR(INDEX('ASIGNACIONES'!$F$4:$F$339,MATCH($O956&amp;"|"&amp;$R956&amp;"|"&amp;$AB956,'ASIGNACIONES'!$I$4:$I$339,0)),""))</f>
        <v/>
      </c>
      <c r="AD956" s="13">
        <f>IF($AB956="","",SUMIFS('ORDENES'!$M$4:$M$1203,'ORDENES'!$AB$4:$AB$1203,$AB956,'ORDENES'!$O$4:$O$1203,$O956,'ORDENES'!$R$4:$R$1203,$R956))</f>
        <v/>
      </c>
      <c r="AE956" s="13">
        <f>IF($AD956="","",p_factor_productividad*IFERROR(INDEX('ASIGNACIONES'!$H$4:$H$339,MATCH($O956&amp;"|"&amp;$R956&amp;"|"&amp;$AB956,'ASIGNACIONES'!$I$4:$I$339,0)),0)-$AD956)</f>
        <v/>
      </c>
      <c r="AF956" s="10">
        <f>IF($A956="","",IFERROR(INDEX('2_IMPORTAR_EJECUCION'!$F$9:$F$1208,MATCH($AN956,'2_IMPORTAR_EJECUCION'!$J$9:$J$1208,0)),0))</f>
        <v/>
      </c>
      <c r="AG956" s="10">
        <f>IF($A956="","",MAX(0,IFERROR(INDEX('2_IMPORTAR_EJECUCION'!$H$9:$H$1208,MATCH($AN956,'2_IMPORTAR_EJECUCION'!$J$9:$J$1208,0)),0)-$AF956))</f>
        <v/>
      </c>
      <c r="AH956" s="10">
        <f>IF($A956="","",$AF956+$AG956)</f>
        <v/>
      </c>
      <c r="AI956" s="6" t="n"/>
      <c r="AJ956" s="6" t="n"/>
      <c r="AK956" s="6" t="n"/>
      <c r="AL956" s="3">
        <f>IF($AK956="","",HYPERLINK(p_ruta_base_checklists&amp;$AK956,"abrir"))</f>
        <v/>
      </c>
      <c r="AM956" s="6" t="n"/>
      <c r="AN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1" t="n"/>
      <c r="K957" s="3" t="n"/>
      <c r="L957" s="10" t="n"/>
      <c r="M957" s="3">
        <f>IF($A957="","",IFERROR(INDEX('AJUSTES'!$B$4:$B$303,MATCH($AN957,'AJUSTES'!$A$4:$A$303,0)),IF($K957="","",$K957)))</f>
        <v/>
      </c>
      <c r="N957" s="3">
        <f>IF($A957="","",IFERROR(INDEX('CAT_ESTADOS_ERP'!$B$4:$B$7,MATCH(IFERROR(INDEX('2_IMPORTAR_EJECUCION'!$C$9:$C$1208,MATCH($AN957,'2_IMPORTAR_EJECUCION'!$J$9:$J$1208,0)),""),'CAT_ESTADOS_ERP'!$A$4:$A$7,0)),"Pendiente"))</f>
        <v/>
      </c>
      <c r="O957" s="3">
        <f>IF($J957="","",YEAR($J957+4-WEEKDAY($J957,2))&amp;"-S"&amp;TEXT(_xlfn.ISOWEEKNUM($J957),"00"))</f>
        <v/>
      </c>
      <c r="P957" s="3">
        <f>IF($J957="","",YEAR($J957))</f>
        <v/>
      </c>
      <c r="Q957" s="3">
        <f>IF($J957="","",MONTH($J957))</f>
        <v/>
      </c>
      <c r="R957" s="3">
        <f>IF($J957="","",INDEX(lista_dias,WEEKDAY($J957,2)))</f>
        <v/>
      </c>
      <c r="S957" s="3">
        <f>IF($I957="","",IFERROR(INDEX('CAT_TIPOS_OT'!$C$4:$C$7,MATCH($I957,'CAT_TIPOS_OT'!$A$4:$A$7,0)),"sin_clasificar"))</f>
        <v/>
      </c>
      <c r="T957" s="3">
        <f>IF($F957="","",IFERROR(INDEX('CAT_CENTROS_COSTO'!$E$4:$E$9,MATCH($F957,'CAT_CENTROS_COSTO'!$A$4:$A$9,0)),"(sin catálogo)"))</f>
        <v/>
      </c>
      <c r="U957" s="3">
        <f>IF($F957="","",IFERROR(INDEX('CAT_CENTROS_COSTO'!$D$4:$D$9,MATCH($F957,'CAT_CENTROS_COSTO'!$A$4:$A$9,0)),"(sin catálogo)"))</f>
        <v/>
      </c>
      <c r="V957" s="3">
        <f>IF($F957="","",IFERROR(INDEX('CAT_CENTROS_COSTO'!$F$4:$F$9,MATCH($F957,'CAT_CENTROS_COSTO'!$A$4:$A$9,0)),"(sin catálogo)"))</f>
        <v/>
      </c>
      <c r="W957" s="3">
        <f>IF($G957="","",IFERROR(INDEX('CAT_PUESTOS'!$B$4:$B$8,MATCH($G957,'CAT_PUESTOS'!$A$4:$A$8,0)),"(sin catálogo)"))</f>
        <v/>
      </c>
      <c r="X957" s="3">
        <f>IF($H957="","",IFERROR(INDEX('CAT_ACTIVIDADES'!$B$4:$B$8,MATCH($H957,'CAT_ACTIVIDADES'!$A$4:$A$8,0)),"(sin catálogo)"))</f>
        <v/>
      </c>
      <c r="Y957" s="12">
        <f>IF($J957="","",TODAY()-$J957)</f>
        <v/>
      </c>
      <c r="Z957" s="3">
        <f>IF($Y957="","",IF($Y957&lt;0,"FUTURO",IF($Y957&gt;p_dias_backlog_max,"BACKLOG","MES CORRIENTE")))</f>
        <v/>
      </c>
      <c r="AA957" s="3">
        <f>IF($Y957="",FALSE,AND($Y957&gt;p_dias_backlog_min,$Y957&lt;=p_dias_backlog_max))</f>
        <v/>
      </c>
      <c r="AB957" s="6" t="n"/>
      <c r="AC957" s="3">
        <f>IF($AB957="","",IFERROR(INDEX('ASIGNACIONES'!$F$4:$F$339,MATCH($O957&amp;"|"&amp;$R957&amp;"|"&amp;$AB957,'ASIGNACIONES'!$I$4:$I$339,0)),""))</f>
        <v/>
      </c>
      <c r="AD957" s="13">
        <f>IF($AB957="","",SUMIFS('ORDENES'!$M$4:$M$1203,'ORDENES'!$AB$4:$AB$1203,$AB957,'ORDENES'!$O$4:$O$1203,$O957,'ORDENES'!$R$4:$R$1203,$R957))</f>
        <v/>
      </c>
      <c r="AE957" s="13">
        <f>IF($AD957="","",p_factor_productividad*IFERROR(INDEX('ASIGNACIONES'!$H$4:$H$339,MATCH($O957&amp;"|"&amp;$R957&amp;"|"&amp;$AB957,'ASIGNACIONES'!$I$4:$I$339,0)),0)-$AD957)</f>
        <v/>
      </c>
      <c r="AF957" s="10">
        <f>IF($A957="","",IFERROR(INDEX('2_IMPORTAR_EJECUCION'!$F$9:$F$1208,MATCH($AN957,'2_IMPORTAR_EJECUCION'!$J$9:$J$1208,0)),0))</f>
        <v/>
      </c>
      <c r="AG957" s="10">
        <f>IF($A957="","",MAX(0,IFERROR(INDEX('2_IMPORTAR_EJECUCION'!$H$9:$H$1208,MATCH($AN957,'2_IMPORTAR_EJECUCION'!$J$9:$J$1208,0)),0)-$AF957))</f>
        <v/>
      </c>
      <c r="AH957" s="10">
        <f>IF($A957="","",$AF957+$AG957)</f>
        <v/>
      </c>
      <c r="AI957" s="6" t="n"/>
      <c r="AJ957" s="6" t="n"/>
      <c r="AK957" s="6" t="n"/>
      <c r="AL957" s="3">
        <f>IF($AK957="","",HYPERLINK(p_ruta_base_checklists&amp;$AK957,"abrir"))</f>
        <v/>
      </c>
      <c r="AM957" s="6" t="n"/>
      <c r="AN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1" t="n"/>
      <c r="K958" s="3" t="n"/>
      <c r="L958" s="10" t="n"/>
      <c r="M958" s="3">
        <f>IF($A958="","",IFERROR(INDEX('AJUSTES'!$B$4:$B$303,MATCH($AN958,'AJUSTES'!$A$4:$A$303,0)),IF($K958="","",$K958)))</f>
        <v/>
      </c>
      <c r="N958" s="3">
        <f>IF($A958="","",IFERROR(INDEX('CAT_ESTADOS_ERP'!$B$4:$B$7,MATCH(IFERROR(INDEX('2_IMPORTAR_EJECUCION'!$C$9:$C$1208,MATCH($AN958,'2_IMPORTAR_EJECUCION'!$J$9:$J$1208,0)),""),'CAT_ESTADOS_ERP'!$A$4:$A$7,0)),"Pendiente"))</f>
        <v/>
      </c>
      <c r="O958" s="3">
        <f>IF($J958="","",YEAR($J958+4-WEEKDAY($J958,2))&amp;"-S"&amp;TEXT(_xlfn.ISOWEEKNUM($J958),"00"))</f>
        <v/>
      </c>
      <c r="P958" s="3">
        <f>IF($J958="","",YEAR($J958))</f>
        <v/>
      </c>
      <c r="Q958" s="3">
        <f>IF($J958="","",MONTH($J958))</f>
        <v/>
      </c>
      <c r="R958" s="3">
        <f>IF($J958="","",INDEX(lista_dias,WEEKDAY($J958,2)))</f>
        <v/>
      </c>
      <c r="S958" s="3">
        <f>IF($I958="","",IFERROR(INDEX('CAT_TIPOS_OT'!$C$4:$C$7,MATCH($I958,'CAT_TIPOS_OT'!$A$4:$A$7,0)),"sin_clasificar"))</f>
        <v/>
      </c>
      <c r="T958" s="3">
        <f>IF($F958="","",IFERROR(INDEX('CAT_CENTROS_COSTO'!$E$4:$E$9,MATCH($F958,'CAT_CENTROS_COSTO'!$A$4:$A$9,0)),"(sin catálogo)"))</f>
        <v/>
      </c>
      <c r="U958" s="3">
        <f>IF($F958="","",IFERROR(INDEX('CAT_CENTROS_COSTO'!$D$4:$D$9,MATCH($F958,'CAT_CENTROS_COSTO'!$A$4:$A$9,0)),"(sin catálogo)"))</f>
        <v/>
      </c>
      <c r="V958" s="3">
        <f>IF($F958="","",IFERROR(INDEX('CAT_CENTROS_COSTO'!$F$4:$F$9,MATCH($F958,'CAT_CENTROS_COSTO'!$A$4:$A$9,0)),"(sin catálogo)"))</f>
        <v/>
      </c>
      <c r="W958" s="3">
        <f>IF($G958="","",IFERROR(INDEX('CAT_PUESTOS'!$B$4:$B$8,MATCH($G958,'CAT_PUESTOS'!$A$4:$A$8,0)),"(sin catálogo)"))</f>
        <v/>
      </c>
      <c r="X958" s="3">
        <f>IF($H958="","",IFERROR(INDEX('CAT_ACTIVIDADES'!$B$4:$B$8,MATCH($H958,'CAT_ACTIVIDADES'!$A$4:$A$8,0)),"(sin catálogo)"))</f>
        <v/>
      </c>
      <c r="Y958" s="12">
        <f>IF($J958="","",TODAY()-$J958)</f>
        <v/>
      </c>
      <c r="Z958" s="3">
        <f>IF($Y958="","",IF($Y958&lt;0,"FUTURO",IF($Y958&gt;p_dias_backlog_max,"BACKLOG","MES CORRIENTE")))</f>
        <v/>
      </c>
      <c r="AA958" s="3">
        <f>IF($Y958="",FALSE,AND($Y958&gt;p_dias_backlog_min,$Y958&lt;=p_dias_backlog_max))</f>
        <v/>
      </c>
      <c r="AB958" s="6" t="n"/>
      <c r="AC958" s="3">
        <f>IF($AB958="","",IFERROR(INDEX('ASIGNACIONES'!$F$4:$F$339,MATCH($O958&amp;"|"&amp;$R958&amp;"|"&amp;$AB958,'ASIGNACIONES'!$I$4:$I$339,0)),""))</f>
        <v/>
      </c>
      <c r="AD958" s="13">
        <f>IF($AB958="","",SUMIFS('ORDENES'!$M$4:$M$1203,'ORDENES'!$AB$4:$AB$1203,$AB958,'ORDENES'!$O$4:$O$1203,$O958,'ORDENES'!$R$4:$R$1203,$R958))</f>
        <v/>
      </c>
      <c r="AE958" s="13">
        <f>IF($AD958="","",p_factor_productividad*IFERROR(INDEX('ASIGNACIONES'!$H$4:$H$339,MATCH($O958&amp;"|"&amp;$R958&amp;"|"&amp;$AB958,'ASIGNACIONES'!$I$4:$I$339,0)),0)-$AD958)</f>
        <v/>
      </c>
      <c r="AF958" s="10">
        <f>IF($A958="","",IFERROR(INDEX('2_IMPORTAR_EJECUCION'!$F$9:$F$1208,MATCH($AN958,'2_IMPORTAR_EJECUCION'!$J$9:$J$1208,0)),0))</f>
        <v/>
      </c>
      <c r="AG958" s="10">
        <f>IF($A958="","",MAX(0,IFERROR(INDEX('2_IMPORTAR_EJECUCION'!$H$9:$H$1208,MATCH($AN958,'2_IMPORTAR_EJECUCION'!$J$9:$J$1208,0)),0)-$AF958))</f>
        <v/>
      </c>
      <c r="AH958" s="10">
        <f>IF($A958="","",$AF958+$AG958)</f>
        <v/>
      </c>
      <c r="AI958" s="6" t="n"/>
      <c r="AJ958" s="6" t="n"/>
      <c r="AK958" s="6" t="n"/>
      <c r="AL958" s="3">
        <f>IF($AK958="","",HYPERLINK(p_ruta_base_checklists&amp;$AK958,"abrir"))</f>
        <v/>
      </c>
      <c r="AM958" s="6" t="n"/>
      <c r="AN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1" t="n"/>
      <c r="K959" s="3" t="n"/>
      <c r="L959" s="10" t="n"/>
      <c r="M959" s="3">
        <f>IF($A959="","",IFERROR(INDEX('AJUSTES'!$B$4:$B$303,MATCH($AN959,'AJUSTES'!$A$4:$A$303,0)),IF($K959="","",$K959)))</f>
        <v/>
      </c>
      <c r="N959" s="3">
        <f>IF($A959="","",IFERROR(INDEX('CAT_ESTADOS_ERP'!$B$4:$B$7,MATCH(IFERROR(INDEX('2_IMPORTAR_EJECUCION'!$C$9:$C$1208,MATCH($AN959,'2_IMPORTAR_EJECUCION'!$J$9:$J$1208,0)),""),'CAT_ESTADOS_ERP'!$A$4:$A$7,0)),"Pendiente"))</f>
        <v/>
      </c>
      <c r="O959" s="3">
        <f>IF($J959="","",YEAR($J959+4-WEEKDAY($J959,2))&amp;"-S"&amp;TEXT(_xlfn.ISOWEEKNUM($J959),"00"))</f>
        <v/>
      </c>
      <c r="P959" s="3">
        <f>IF($J959="","",YEAR($J959))</f>
        <v/>
      </c>
      <c r="Q959" s="3">
        <f>IF($J959="","",MONTH($J959))</f>
        <v/>
      </c>
      <c r="R959" s="3">
        <f>IF($J959="","",INDEX(lista_dias,WEEKDAY($J959,2)))</f>
        <v/>
      </c>
      <c r="S959" s="3">
        <f>IF($I959="","",IFERROR(INDEX('CAT_TIPOS_OT'!$C$4:$C$7,MATCH($I959,'CAT_TIPOS_OT'!$A$4:$A$7,0)),"sin_clasificar"))</f>
        <v/>
      </c>
      <c r="T959" s="3">
        <f>IF($F959="","",IFERROR(INDEX('CAT_CENTROS_COSTO'!$E$4:$E$9,MATCH($F959,'CAT_CENTROS_COSTO'!$A$4:$A$9,0)),"(sin catálogo)"))</f>
        <v/>
      </c>
      <c r="U959" s="3">
        <f>IF($F959="","",IFERROR(INDEX('CAT_CENTROS_COSTO'!$D$4:$D$9,MATCH($F959,'CAT_CENTROS_COSTO'!$A$4:$A$9,0)),"(sin catálogo)"))</f>
        <v/>
      </c>
      <c r="V959" s="3">
        <f>IF($F959="","",IFERROR(INDEX('CAT_CENTROS_COSTO'!$F$4:$F$9,MATCH($F959,'CAT_CENTROS_COSTO'!$A$4:$A$9,0)),"(sin catálogo)"))</f>
        <v/>
      </c>
      <c r="W959" s="3">
        <f>IF($G959="","",IFERROR(INDEX('CAT_PUESTOS'!$B$4:$B$8,MATCH($G959,'CAT_PUESTOS'!$A$4:$A$8,0)),"(sin catálogo)"))</f>
        <v/>
      </c>
      <c r="X959" s="3">
        <f>IF($H959="","",IFERROR(INDEX('CAT_ACTIVIDADES'!$B$4:$B$8,MATCH($H959,'CAT_ACTIVIDADES'!$A$4:$A$8,0)),"(sin catálogo)"))</f>
        <v/>
      </c>
      <c r="Y959" s="12">
        <f>IF($J959="","",TODAY()-$J959)</f>
        <v/>
      </c>
      <c r="Z959" s="3">
        <f>IF($Y959="","",IF($Y959&lt;0,"FUTURO",IF($Y959&gt;p_dias_backlog_max,"BACKLOG","MES CORRIENTE")))</f>
        <v/>
      </c>
      <c r="AA959" s="3">
        <f>IF($Y959="",FALSE,AND($Y959&gt;p_dias_backlog_min,$Y959&lt;=p_dias_backlog_max))</f>
        <v/>
      </c>
      <c r="AB959" s="6" t="n"/>
      <c r="AC959" s="3">
        <f>IF($AB959="","",IFERROR(INDEX('ASIGNACIONES'!$F$4:$F$339,MATCH($O959&amp;"|"&amp;$R959&amp;"|"&amp;$AB959,'ASIGNACIONES'!$I$4:$I$339,0)),""))</f>
        <v/>
      </c>
      <c r="AD959" s="13">
        <f>IF($AB959="","",SUMIFS('ORDENES'!$M$4:$M$1203,'ORDENES'!$AB$4:$AB$1203,$AB959,'ORDENES'!$O$4:$O$1203,$O959,'ORDENES'!$R$4:$R$1203,$R959))</f>
        <v/>
      </c>
      <c r="AE959" s="13">
        <f>IF($AD959="","",p_factor_productividad*IFERROR(INDEX('ASIGNACIONES'!$H$4:$H$339,MATCH($O959&amp;"|"&amp;$R959&amp;"|"&amp;$AB959,'ASIGNACIONES'!$I$4:$I$339,0)),0)-$AD959)</f>
        <v/>
      </c>
      <c r="AF959" s="10">
        <f>IF($A959="","",IFERROR(INDEX('2_IMPORTAR_EJECUCION'!$F$9:$F$1208,MATCH($AN959,'2_IMPORTAR_EJECUCION'!$J$9:$J$1208,0)),0))</f>
        <v/>
      </c>
      <c r="AG959" s="10">
        <f>IF($A959="","",MAX(0,IFERROR(INDEX('2_IMPORTAR_EJECUCION'!$H$9:$H$1208,MATCH($AN959,'2_IMPORTAR_EJECUCION'!$J$9:$J$1208,0)),0)-$AF959))</f>
        <v/>
      </c>
      <c r="AH959" s="10">
        <f>IF($A959="","",$AF959+$AG959)</f>
        <v/>
      </c>
      <c r="AI959" s="6" t="n"/>
      <c r="AJ959" s="6" t="n"/>
      <c r="AK959" s="6" t="n"/>
      <c r="AL959" s="3">
        <f>IF($AK959="","",HYPERLINK(p_ruta_base_checklists&amp;$AK959,"abrir"))</f>
        <v/>
      </c>
      <c r="AM959" s="6" t="n"/>
      <c r="AN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1" t="n"/>
      <c r="K960" s="3" t="n"/>
      <c r="L960" s="10" t="n"/>
      <c r="M960" s="3">
        <f>IF($A960="","",IFERROR(INDEX('AJUSTES'!$B$4:$B$303,MATCH($AN960,'AJUSTES'!$A$4:$A$303,0)),IF($K960="","",$K960)))</f>
        <v/>
      </c>
      <c r="N960" s="3">
        <f>IF($A960="","",IFERROR(INDEX('CAT_ESTADOS_ERP'!$B$4:$B$7,MATCH(IFERROR(INDEX('2_IMPORTAR_EJECUCION'!$C$9:$C$1208,MATCH($AN960,'2_IMPORTAR_EJECUCION'!$J$9:$J$1208,0)),""),'CAT_ESTADOS_ERP'!$A$4:$A$7,0)),"Pendiente"))</f>
        <v/>
      </c>
      <c r="O960" s="3">
        <f>IF($J960="","",YEAR($J960+4-WEEKDAY($J960,2))&amp;"-S"&amp;TEXT(_xlfn.ISOWEEKNUM($J960),"00"))</f>
        <v/>
      </c>
      <c r="P960" s="3">
        <f>IF($J960="","",YEAR($J960))</f>
        <v/>
      </c>
      <c r="Q960" s="3">
        <f>IF($J960="","",MONTH($J960))</f>
        <v/>
      </c>
      <c r="R960" s="3">
        <f>IF($J960="","",INDEX(lista_dias,WEEKDAY($J960,2)))</f>
        <v/>
      </c>
      <c r="S960" s="3">
        <f>IF($I960="","",IFERROR(INDEX('CAT_TIPOS_OT'!$C$4:$C$7,MATCH($I960,'CAT_TIPOS_OT'!$A$4:$A$7,0)),"sin_clasificar"))</f>
        <v/>
      </c>
      <c r="T960" s="3">
        <f>IF($F960="","",IFERROR(INDEX('CAT_CENTROS_COSTO'!$E$4:$E$9,MATCH($F960,'CAT_CENTROS_COSTO'!$A$4:$A$9,0)),"(sin catálogo)"))</f>
        <v/>
      </c>
      <c r="U960" s="3">
        <f>IF($F960="","",IFERROR(INDEX('CAT_CENTROS_COSTO'!$D$4:$D$9,MATCH($F960,'CAT_CENTROS_COSTO'!$A$4:$A$9,0)),"(sin catálogo)"))</f>
        <v/>
      </c>
      <c r="V960" s="3">
        <f>IF($F960="","",IFERROR(INDEX('CAT_CENTROS_COSTO'!$F$4:$F$9,MATCH($F960,'CAT_CENTROS_COSTO'!$A$4:$A$9,0)),"(sin catálogo)"))</f>
        <v/>
      </c>
      <c r="W960" s="3">
        <f>IF($G960="","",IFERROR(INDEX('CAT_PUESTOS'!$B$4:$B$8,MATCH($G960,'CAT_PUESTOS'!$A$4:$A$8,0)),"(sin catálogo)"))</f>
        <v/>
      </c>
      <c r="X960" s="3">
        <f>IF($H960="","",IFERROR(INDEX('CAT_ACTIVIDADES'!$B$4:$B$8,MATCH($H960,'CAT_ACTIVIDADES'!$A$4:$A$8,0)),"(sin catálogo)"))</f>
        <v/>
      </c>
      <c r="Y960" s="12">
        <f>IF($J960="","",TODAY()-$J960)</f>
        <v/>
      </c>
      <c r="Z960" s="3">
        <f>IF($Y960="","",IF($Y960&lt;0,"FUTURO",IF($Y960&gt;p_dias_backlog_max,"BACKLOG","MES CORRIENTE")))</f>
        <v/>
      </c>
      <c r="AA960" s="3">
        <f>IF($Y960="",FALSE,AND($Y960&gt;p_dias_backlog_min,$Y960&lt;=p_dias_backlog_max))</f>
        <v/>
      </c>
      <c r="AB960" s="6" t="n"/>
      <c r="AC960" s="3">
        <f>IF($AB960="","",IFERROR(INDEX('ASIGNACIONES'!$F$4:$F$339,MATCH($O960&amp;"|"&amp;$R960&amp;"|"&amp;$AB960,'ASIGNACIONES'!$I$4:$I$339,0)),""))</f>
        <v/>
      </c>
      <c r="AD960" s="13">
        <f>IF($AB960="","",SUMIFS('ORDENES'!$M$4:$M$1203,'ORDENES'!$AB$4:$AB$1203,$AB960,'ORDENES'!$O$4:$O$1203,$O960,'ORDENES'!$R$4:$R$1203,$R960))</f>
        <v/>
      </c>
      <c r="AE960" s="13">
        <f>IF($AD960="","",p_factor_productividad*IFERROR(INDEX('ASIGNACIONES'!$H$4:$H$339,MATCH($O960&amp;"|"&amp;$R960&amp;"|"&amp;$AB960,'ASIGNACIONES'!$I$4:$I$339,0)),0)-$AD960)</f>
        <v/>
      </c>
      <c r="AF960" s="10">
        <f>IF($A960="","",IFERROR(INDEX('2_IMPORTAR_EJECUCION'!$F$9:$F$1208,MATCH($AN960,'2_IMPORTAR_EJECUCION'!$J$9:$J$1208,0)),0))</f>
        <v/>
      </c>
      <c r="AG960" s="10">
        <f>IF($A960="","",MAX(0,IFERROR(INDEX('2_IMPORTAR_EJECUCION'!$H$9:$H$1208,MATCH($AN960,'2_IMPORTAR_EJECUCION'!$J$9:$J$1208,0)),0)-$AF960))</f>
        <v/>
      </c>
      <c r="AH960" s="10">
        <f>IF($A960="","",$AF960+$AG960)</f>
        <v/>
      </c>
      <c r="AI960" s="6" t="n"/>
      <c r="AJ960" s="6" t="n"/>
      <c r="AK960" s="6" t="n"/>
      <c r="AL960" s="3">
        <f>IF($AK960="","",HYPERLINK(p_ruta_base_checklists&amp;$AK960,"abrir"))</f>
        <v/>
      </c>
      <c r="AM960" s="6" t="n"/>
      <c r="AN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1" t="n"/>
      <c r="K961" s="3" t="n"/>
      <c r="L961" s="10" t="n"/>
      <c r="M961" s="3">
        <f>IF($A961="","",IFERROR(INDEX('AJUSTES'!$B$4:$B$303,MATCH($AN961,'AJUSTES'!$A$4:$A$303,0)),IF($K961="","",$K961)))</f>
        <v/>
      </c>
      <c r="N961" s="3">
        <f>IF($A961="","",IFERROR(INDEX('CAT_ESTADOS_ERP'!$B$4:$B$7,MATCH(IFERROR(INDEX('2_IMPORTAR_EJECUCION'!$C$9:$C$1208,MATCH($AN961,'2_IMPORTAR_EJECUCION'!$J$9:$J$1208,0)),""),'CAT_ESTADOS_ERP'!$A$4:$A$7,0)),"Pendiente"))</f>
        <v/>
      </c>
      <c r="O961" s="3">
        <f>IF($J961="","",YEAR($J961+4-WEEKDAY($J961,2))&amp;"-S"&amp;TEXT(_xlfn.ISOWEEKNUM($J961),"00"))</f>
        <v/>
      </c>
      <c r="P961" s="3">
        <f>IF($J961="","",YEAR($J961))</f>
        <v/>
      </c>
      <c r="Q961" s="3">
        <f>IF($J961="","",MONTH($J961))</f>
        <v/>
      </c>
      <c r="R961" s="3">
        <f>IF($J961="","",INDEX(lista_dias,WEEKDAY($J961,2)))</f>
        <v/>
      </c>
      <c r="S961" s="3">
        <f>IF($I961="","",IFERROR(INDEX('CAT_TIPOS_OT'!$C$4:$C$7,MATCH($I961,'CAT_TIPOS_OT'!$A$4:$A$7,0)),"sin_clasificar"))</f>
        <v/>
      </c>
      <c r="T961" s="3">
        <f>IF($F961="","",IFERROR(INDEX('CAT_CENTROS_COSTO'!$E$4:$E$9,MATCH($F961,'CAT_CENTROS_COSTO'!$A$4:$A$9,0)),"(sin catálogo)"))</f>
        <v/>
      </c>
      <c r="U961" s="3">
        <f>IF($F961="","",IFERROR(INDEX('CAT_CENTROS_COSTO'!$D$4:$D$9,MATCH($F961,'CAT_CENTROS_COSTO'!$A$4:$A$9,0)),"(sin catálogo)"))</f>
        <v/>
      </c>
      <c r="V961" s="3">
        <f>IF($F961="","",IFERROR(INDEX('CAT_CENTROS_COSTO'!$F$4:$F$9,MATCH($F961,'CAT_CENTROS_COSTO'!$A$4:$A$9,0)),"(sin catálogo)"))</f>
        <v/>
      </c>
      <c r="W961" s="3">
        <f>IF($G961="","",IFERROR(INDEX('CAT_PUESTOS'!$B$4:$B$8,MATCH($G961,'CAT_PUESTOS'!$A$4:$A$8,0)),"(sin catálogo)"))</f>
        <v/>
      </c>
      <c r="X961" s="3">
        <f>IF($H961="","",IFERROR(INDEX('CAT_ACTIVIDADES'!$B$4:$B$8,MATCH($H961,'CAT_ACTIVIDADES'!$A$4:$A$8,0)),"(sin catálogo)"))</f>
        <v/>
      </c>
      <c r="Y961" s="12">
        <f>IF($J961="","",TODAY()-$J961)</f>
        <v/>
      </c>
      <c r="Z961" s="3">
        <f>IF($Y961="","",IF($Y961&lt;0,"FUTURO",IF($Y961&gt;p_dias_backlog_max,"BACKLOG","MES CORRIENTE")))</f>
        <v/>
      </c>
      <c r="AA961" s="3">
        <f>IF($Y961="",FALSE,AND($Y961&gt;p_dias_backlog_min,$Y961&lt;=p_dias_backlog_max))</f>
        <v/>
      </c>
      <c r="AB961" s="6" t="n"/>
      <c r="AC961" s="3">
        <f>IF($AB961="","",IFERROR(INDEX('ASIGNACIONES'!$F$4:$F$339,MATCH($O961&amp;"|"&amp;$R961&amp;"|"&amp;$AB961,'ASIGNACIONES'!$I$4:$I$339,0)),""))</f>
        <v/>
      </c>
      <c r="AD961" s="13">
        <f>IF($AB961="","",SUMIFS('ORDENES'!$M$4:$M$1203,'ORDENES'!$AB$4:$AB$1203,$AB961,'ORDENES'!$O$4:$O$1203,$O961,'ORDENES'!$R$4:$R$1203,$R961))</f>
        <v/>
      </c>
      <c r="AE961" s="13">
        <f>IF($AD961="","",p_factor_productividad*IFERROR(INDEX('ASIGNACIONES'!$H$4:$H$339,MATCH($O961&amp;"|"&amp;$R961&amp;"|"&amp;$AB961,'ASIGNACIONES'!$I$4:$I$339,0)),0)-$AD961)</f>
        <v/>
      </c>
      <c r="AF961" s="10">
        <f>IF($A961="","",IFERROR(INDEX('2_IMPORTAR_EJECUCION'!$F$9:$F$1208,MATCH($AN961,'2_IMPORTAR_EJECUCION'!$J$9:$J$1208,0)),0))</f>
        <v/>
      </c>
      <c r="AG961" s="10">
        <f>IF($A961="","",MAX(0,IFERROR(INDEX('2_IMPORTAR_EJECUCION'!$H$9:$H$1208,MATCH($AN961,'2_IMPORTAR_EJECUCION'!$J$9:$J$1208,0)),0)-$AF961))</f>
        <v/>
      </c>
      <c r="AH961" s="10">
        <f>IF($A961="","",$AF961+$AG961)</f>
        <v/>
      </c>
      <c r="AI961" s="6" t="n"/>
      <c r="AJ961" s="6" t="n"/>
      <c r="AK961" s="6" t="n"/>
      <c r="AL961" s="3">
        <f>IF($AK961="","",HYPERLINK(p_ruta_base_checklists&amp;$AK961,"abrir"))</f>
        <v/>
      </c>
      <c r="AM961" s="6" t="n"/>
      <c r="AN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1" t="n"/>
      <c r="K962" s="3" t="n"/>
      <c r="L962" s="10" t="n"/>
      <c r="M962" s="3">
        <f>IF($A962="","",IFERROR(INDEX('AJUSTES'!$B$4:$B$303,MATCH($AN962,'AJUSTES'!$A$4:$A$303,0)),IF($K962="","",$K962)))</f>
        <v/>
      </c>
      <c r="N962" s="3">
        <f>IF($A962="","",IFERROR(INDEX('CAT_ESTADOS_ERP'!$B$4:$B$7,MATCH(IFERROR(INDEX('2_IMPORTAR_EJECUCION'!$C$9:$C$1208,MATCH($AN962,'2_IMPORTAR_EJECUCION'!$J$9:$J$1208,0)),""),'CAT_ESTADOS_ERP'!$A$4:$A$7,0)),"Pendiente"))</f>
        <v/>
      </c>
      <c r="O962" s="3">
        <f>IF($J962="","",YEAR($J962+4-WEEKDAY($J962,2))&amp;"-S"&amp;TEXT(_xlfn.ISOWEEKNUM($J962),"00"))</f>
        <v/>
      </c>
      <c r="P962" s="3">
        <f>IF($J962="","",YEAR($J962))</f>
        <v/>
      </c>
      <c r="Q962" s="3">
        <f>IF($J962="","",MONTH($J962))</f>
        <v/>
      </c>
      <c r="R962" s="3">
        <f>IF($J962="","",INDEX(lista_dias,WEEKDAY($J962,2)))</f>
        <v/>
      </c>
      <c r="S962" s="3">
        <f>IF($I962="","",IFERROR(INDEX('CAT_TIPOS_OT'!$C$4:$C$7,MATCH($I962,'CAT_TIPOS_OT'!$A$4:$A$7,0)),"sin_clasificar"))</f>
        <v/>
      </c>
      <c r="T962" s="3">
        <f>IF($F962="","",IFERROR(INDEX('CAT_CENTROS_COSTO'!$E$4:$E$9,MATCH($F962,'CAT_CENTROS_COSTO'!$A$4:$A$9,0)),"(sin catálogo)"))</f>
        <v/>
      </c>
      <c r="U962" s="3">
        <f>IF($F962="","",IFERROR(INDEX('CAT_CENTROS_COSTO'!$D$4:$D$9,MATCH($F962,'CAT_CENTROS_COSTO'!$A$4:$A$9,0)),"(sin catálogo)"))</f>
        <v/>
      </c>
      <c r="V962" s="3">
        <f>IF($F962="","",IFERROR(INDEX('CAT_CENTROS_COSTO'!$F$4:$F$9,MATCH($F962,'CAT_CENTROS_COSTO'!$A$4:$A$9,0)),"(sin catálogo)"))</f>
        <v/>
      </c>
      <c r="W962" s="3">
        <f>IF($G962="","",IFERROR(INDEX('CAT_PUESTOS'!$B$4:$B$8,MATCH($G962,'CAT_PUESTOS'!$A$4:$A$8,0)),"(sin catálogo)"))</f>
        <v/>
      </c>
      <c r="X962" s="3">
        <f>IF($H962="","",IFERROR(INDEX('CAT_ACTIVIDADES'!$B$4:$B$8,MATCH($H962,'CAT_ACTIVIDADES'!$A$4:$A$8,0)),"(sin catálogo)"))</f>
        <v/>
      </c>
      <c r="Y962" s="12">
        <f>IF($J962="","",TODAY()-$J962)</f>
        <v/>
      </c>
      <c r="Z962" s="3">
        <f>IF($Y962="","",IF($Y962&lt;0,"FUTURO",IF($Y962&gt;p_dias_backlog_max,"BACKLOG","MES CORRIENTE")))</f>
        <v/>
      </c>
      <c r="AA962" s="3">
        <f>IF($Y962="",FALSE,AND($Y962&gt;p_dias_backlog_min,$Y962&lt;=p_dias_backlog_max))</f>
        <v/>
      </c>
      <c r="AB962" s="6" t="n"/>
      <c r="AC962" s="3">
        <f>IF($AB962="","",IFERROR(INDEX('ASIGNACIONES'!$F$4:$F$339,MATCH($O962&amp;"|"&amp;$R962&amp;"|"&amp;$AB962,'ASIGNACIONES'!$I$4:$I$339,0)),""))</f>
        <v/>
      </c>
      <c r="AD962" s="13">
        <f>IF($AB962="","",SUMIFS('ORDENES'!$M$4:$M$1203,'ORDENES'!$AB$4:$AB$1203,$AB962,'ORDENES'!$O$4:$O$1203,$O962,'ORDENES'!$R$4:$R$1203,$R962))</f>
        <v/>
      </c>
      <c r="AE962" s="13">
        <f>IF($AD962="","",p_factor_productividad*IFERROR(INDEX('ASIGNACIONES'!$H$4:$H$339,MATCH($O962&amp;"|"&amp;$R962&amp;"|"&amp;$AB962,'ASIGNACIONES'!$I$4:$I$339,0)),0)-$AD962)</f>
        <v/>
      </c>
      <c r="AF962" s="10">
        <f>IF($A962="","",IFERROR(INDEX('2_IMPORTAR_EJECUCION'!$F$9:$F$1208,MATCH($AN962,'2_IMPORTAR_EJECUCION'!$J$9:$J$1208,0)),0))</f>
        <v/>
      </c>
      <c r="AG962" s="10">
        <f>IF($A962="","",MAX(0,IFERROR(INDEX('2_IMPORTAR_EJECUCION'!$H$9:$H$1208,MATCH($AN962,'2_IMPORTAR_EJECUCION'!$J$9:$J$1208,0)),0)-$AF962))</f>
        <v/>
      </c>
      <c r="AH962" s="10">
        <f>IF($A962="","",$AF962+$AG962)</f>
        <v/>
      </c>
      <c r="AI962" s="6" t="n"/>
      <c r="AJ962" s="6" t="n"/>
      <c r="AK962" s="6" t="n"/>
      <c r="AL962" s="3">
        <f>IF($AK962="","",HYPERLINK(p_ruta_base_checklists&amp;$AK962,"abrir"))</f>
        <v/>
      </c>
      <c r="AM962" s="6" t="n"/>
      <c r="AN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1" t="n"/>
      <c r="K963" s="3" t="n"/>
      <c r="L963" s="10" t="n"/>
      <c r="M963" s="3">
        <f>IF($A963="","",IFERROR(INDEX('AJUSTES'!$B$4:$B$303,MATCH($AN963,'AJUSTES'!$A$4:$A$303,0)),IF($K963="","",$K963)))</f>
        <v/>
      </c>
      <c r="N963" s="3">
        <f>IF($A963="","",IFERROR(INDEX('CAT_ESTADOS_ERP'!$B$4:$B$7,MATCH(IFERROR(INDEX('2_IMPORTAR_EJECUCION'!$C$9:$C$1208,MATCH($AN963,'2_IMPORTAR_EJECUCION'!$J$9:$J$1208,0)),""),'CAT_ESTADOS_ERP'!$A$4:$A$7,0)),"Pendiente"))</f>
        <v/>
      </c>
      <c r="O963" s="3">
        <f>IF($J963="","",YEAR($J963+4-WEEKDAY($J963,2))&amp;"-S"&amp;TEXT(_xlfn.ISOWEEKNUM($J963),"00"))</f>
        <v/>
      </c>
      <c r="P963" s="3">
        <f>IF($J963="","",YEAR($J963))</f>
        <v/>
      </c>
      <c r="Q963" s="3">
        <f>IF($J963="","",MONTH($J963))</f>
        <v/>
      </c>
      <c r="R963" s="3">
        <f>IF($J963="","",INDEX(lista_dias,WEEKDAY($J963,2)))</f>
        <v/>
      </c>
      <c r="S963" s="3">
        <f>IF($I963="","",IFERROR(INDEX('CAT_TIPOS_OT'!$C$4:$C$7,MATCH($I963,'CAT_TIPOS_OT'!$A$4:$A$7,0)),"sin_clasificar"))</f>
        <v/>
      </c>
      <c r="T963" s="3">
        <f>IF($F963="","",IFERROR(INDEX('CAT_CENTROS_COSTO'!$E$4:$E$9,MATCH($F963,'CAT_CENTROS_COSTO'!$A$4:$A$9,0)),"(sin catálogo)"))</f>
        <v/>
      </c>
      <c r="U963" s="3">
        <f>IF($F963="","",IFERROR(INDEX('CAT_CENTROS_COSTO'!$D$4:$D$9,MATCH($F963,'CAT_CENTROS_COSTO'!$A$4:$A$9,0)),"(sin catálogo)"))</f>
        <v/>
      </c>
      <c r="V963" s="3">
        <f>IF($F963="","",IFERROR(INDEX('CAT_CENTROS_COSTO'!$F$4:$F$9,MATCH($F963,'CAT_CENTROS_COSTO'!$A$4:$A$9,0)),"(sin catálogo)"))</f>
        <v/>
      </c>
      <c r="W963" s="3">
        <f>IF($G963="","",IFERROR(INDEX('CAT_PUESTOS'!$B$4:$B$8,MATCH($G963,'CAT_PUESTOS'!$A$4:$A$8,0)),"(sin catálogo)"))</f>
        <v/>
      </c>
      <c r="X963" s="3">
        <f>IF($H963="","",IFERROR(INDEX('CAT_ACTIVIDADES'!$B$4:$B$8,MATCH($H963,'CAT_ACTIVIDADES'!$A$4:$A$8,0)),"(sin catálogo)"))</f>
        <v/>
      </c>
      <c r="Y963" s="12">
        <f>IF($J963="","",TODAY()-$J963)</f>
        <v/>
      </c>
      <c r="Z963" s="3">
        <f>IF($Y963="","",IF($Y963&lt;0,"FUTURO",IF($Y963&gt;p_dias_backlog_max,"BACKLOG","MES CORRIENTE")))</f>
        <v/>
      </c>
      <c r="AA963" s="3">
        <f>IF($Y963="",FALSE,AND($Y963&gt;p_dias_backlog_min,$Y963&lt;=p_dias_backlog_max))</f>
        <v/>
      </c>
      <c r="AB963" s="6" t="n"/>
      <c r="AC963" s="3">
        <f>IF($AB963="","",IFERROR(INDEX('ASIGNACIONES'!$F$4:$F$339,MATCH($O963&amp;"|"&amp;$R963&amp;"|"&amp;$AB963,'ASIGNACIONES'!$I$4:$I$339,0)),""))</f>
        <v/>
      </c>
      <c r="AD963" s="13">
        <f>IF($AB963="","",SUMIFS('ORDENES'!$M$4:$M$1203,'ORDENES'!$AB$4:$AB$1203,$AB963,'ORDENES'!$O$4:$O$1203,$O963,'ORDENES'!$R$4:$R$1203,$R963))</f>
        <v/>
      </c>
      <c r="AE963" s="13">
        <f>IF($AD963="","",p_factor_productividad*IFERROR(INDEX('ASIGNACIONES'!$H$4:$H$339,MATCH($O963&amp;"|"&amp;$R963&amp;"|"&amp;$AB963,'ASIGNACIONES'!$I$4:$I$339,0)),0)-$AD963)</f>
        <v/>
      </c>
      <c r="AF963" s="10">
        <f>IF($A963="","",IFERROR(INDEX('2_IMPORTAR_EJECUCION'!$F$9:$F$1208,MATCH($AN963,'2_IMPORTAR_EJECUCION'!$J$9:$J$1208,0)),0))</f>
        <v/>
      </c>
      <c r="AG963" s="10">
        <f>IF($A963="","",MAX(0,IFERROR(INDEX('2_IMPORTAR_EJECUCION'!$H$9:$H$1208,MATCH($AN963,'2_IMPORTAR_EJECUCION'!$J$9:$J$1208,0)),0)-$AF963))</f>
        <v/>
      </c>
      <c r="AH963" s="10">
        <f>IF($A963="","",$AF963+$AG963)</f>
        <v/>
      </c>
      <c r="AI963" s="6" t="n"/>
      <c r="AJ963" s="6" t="n"/>
      <c r="AK963" s="6" t="n"/>
      <c r="AL963" s="3">
        <f>IF($AK963="","",HYPERLINK(p_ruta_base_checklists&amp;$AK963,"abrir"))</f>
        <v/>
      </c>
      <c r="AM963" s="6" t="n"/>
      <c r="AN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1" t="n"/>
      <c r="K964" s="3" t="n"/>
      <c r="L964" s="10" t="n"/>
      <c r="M964" s="3">
        <f>IF($A964="","",IFERROR(INDEX('AJUSTES'!$B$4:$B$303,MATCH($AN964,'AJUSTES'!$A$4:$A$303,0)),IF($K964="","",$K964)))</f>
        <v/>
      </c>
      <c r="N964" s="3">
        <f>IF($A964="","",IFERROR(INDEX('CAT_ESTADOS_ERP'!$B$4:$B$7,MATCH(IFERROR(INDEX('2_IMPORTAR_EJECUCION'!$C$9:$C$1208,MATCH($AN964,'2_IMPORTAR_EJECUCION'!$J$9:$J$1208,0)),""),'CAT_ESTADOS_ERP'!$A$4:$A$7,0)),"Pendiente"))</f>
        <v/>
      </c>
      <c r="O964" s="3">
        <f>IF($J964="","",YEAR($J964+4-WEEKDAY($J964,2))&amp;"-S"&amp;TEXT(_xlfn.ISOWEEKNUM($J964),"00"))</f>
        <v/>
      </c>
      <c r="P964" s="3">
        <f>IF($J964="","",YEAR($J964))</f>
        <v/>
      </c>
      <c r="Q964" s="3">
        <f>IF($J964="","",MONTH($J964))</f>
        <v/>
      </c>
      <c r="R964" s="3">
        <f>IF($J964="","",INDEX(lista_dias,WEEKDAY($J964,2)))</f>
        <v/>
      </c>
      <c r="S964" s="3">
        <f>IF($I964="","",IFERROR(INDEX('CAT_TIPOS_OT'!$C$4:$C$7,MATCH($I964,'CAT_TIPOS_OT'!$A$4:$A$7,0)),"sin_clasificar"))</f>
        <v/>
      </c>
      <c r="T964" s="3">
        <f>IF($F964="","",IFERROR(INDEX('CAT_CENTROS_COSTO'!$E$4:$E$9,MATCH($F964,'CAT_CENTROS_COSTO'!$A$4:$A$9,0)),"(sin catálogo)"))</f>
        <v/>
      </c>
      <c r="U964" s="3">
        <f>IF($F964="","",IFERROR(INDEX('CAT_CENTROS_COSTO'!$D$4:$D$9,MATCH($F964,'CAT_CENTROS_COSTO'!$A$4:$A$9,0)),"(sin catálogo)"))</f>
        <v/>
      </c>
      <c r="V964" s="3">
        <f>IF($F964="","",IFERROR(INDEX('CAT_CENTROS_COSTO'!$F$4:$F$9,MATCH($F964,'CAT_CENTROS_COSTO'!$A$4:$A$9,0)),"(sin catálogo)"))</f>
        <v/>
      </c>
      <c r="W964" s="3">
        <f>IF($G964="","",IFERROR(INDEX('CAT_PUESTOS'!$B$4:$B$8,MATCH($G964,'CAT_PUESTOS'!$A$4:$A$8,0)),"(sin catálogo)"))</f>
        <v/>
      </c>
      <c r="X964" s="3">
        <f>IF($H964="","",IFERROR(INDEX('CAT_ACTIVIDADES'!$B$4:$B$8,MATCH($H964,'CAT_ACTIVIDADES'!$A$4:$A$8,0)),"(sin catálogo)"))</f>
        <v/>
      </c>
      <c r="Y964" s="12">
        <f>IF($J964="","",TODAY()-$J964)</f>
        <v/>
      </c>
      <c r="Z964" s="3">
        <f>IF($Y964="","",IF($Y964&lt;0,"FUTURO",IF($Y964&gt;p_dias_backlog_max,"BACKLOG","MES CORRIENTE")))</f>
        <v/>
      </c>
      <c r="AA964" s="3">
        <f>IF($Y964="",FALSE,AND($Y964&gt;p_dias_backlog_min,$Y964&lt;=p_dias_backlog_max))</f>
        <v/>
      </c>
      <c r="AB964" s="6" t="n"/>
      <c r="AC964" s="3">
        <f>IF($AB964="","",IFERROR(INDEX('ASIGNACIONES'!$F$4:$F$339,MATCH($O964&amp;"|"&amp;$R964&amp;"|"&amp;$AB964,'ASIGNACIONES'!$I$4:$I$339,0)),""))</f>
        <v/>
      </c>
      <c r="AD964" s="13">
        <f>IF($AB964="","",SUMIFS('ORDENES'!$M$4:$M$1203,'ORDENES'!$AB$4:$AB$1203,$AB964,'ORDENES'!$O$4:$O$1203,$O964,'ORDENES'!$R$4:$R$1203,$R964))</f>
        <v/>
      </c>
      <c r="AE964" s="13">
        <f>IF($AD964="","",p_factor_productividad*IFERROR(INDEX('ASIGNACIONES'!$H$4:$H$339,MATCH($O964&amp;"|"&amp;$R964&amp;"|"&amp;$AB964,'ASIGNACIONES'!$I$4:$I$339,0)),0)-$AD964)</f>
        <v/>
      </c>
      <c r="AF964" s="10">
        <f>IF($A964="","",IFERROR(INDEX('2_IMPORTAR_EJECUCION'!$F$9:$F$1208,MATCH($AN964,'2_IMPORTAR_EJECUCION'!$J$9:$J$1208,0)),0))</f>
        <v/>
      </c>
      <c r="AG964" s="10">
        <f>IF($A964="","",MAX(0,IFERROR(INDEX('2_IMPORTAR_EJECUCION'!$H$9:$H$1208,MATCH($AN964,'2_IMPORTAR_EJECUCION'!$J$9:$J$1208,0)),0)-$AF964))</f>
        <v/>
      </c>
      <c r="AH964" s="10">
        <f>IF($A964="","",$AF964+$AG964)</f>
        <v/>
      </c>
      <c r="AI964" s="6" t="n"/>
      <c r="AJ964" s="6" t="n"/>
      <c r="AK964" s="6" t="n"/>
      <c r="AL964" s="3">
        <f>IF($AK964="","",HYPERLINK(p_ruta_base_checklists&amp;$AK964,"abrir"))</f>
        <v/>
      </c>
      <c r="AM964" s="6" t="n"/>
      <c r="AN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1" t="n"/>
      <c r="K965" s="3" t="n"/>
      <c r="L965" s="10" t="n"/>
      <c r="M965" s="3">
        <f>IF($A965="","",IFERROR(INDEX('AJUSTES'!$B$4:$B$303,MATCH($AN965,'AJUSTES'!$A$4:$A$303,0)),IF($K965="","",$K965)))</f>
        <v/>
      </c>
      <c r="N965" s="3">
        <f>IF($A965="","",IFERROR(INDEX('CAT_ESTADOS_ERP'!$B$4:$B$7,MATCH(IFERROR(INDEX('2_IMPORTAR_EJECUCION'!$C$9:$C$1208,MATCH($AN965,'2_IMPORTAR_EJECUCION'!$J$9:$J$1208,0)),""),'CAT_ESTADOS_ERP'!$A$4:$A$7,0)),"Pendiente"))</f>
        <v/>
      </c>
      <c r="O965" s="3">
        <f>IF($J965="","",YEAR($J965+4-WEEKDAY($J965,2))&amp;"-S"&amp;TEXT(_xlfn.ISOWEEKNUM($J965),"00"))</f>
        <v/>
      </c>
      <c r="P965" s="3">
        <f>IF($J965="","",YEAR($J965))</f>
        <v/>
      </c>
      <c r="Q965" s="3">
        <f>IF($J965="","",MONTH($J965))</f>
        <v/>
      </c>
      <c r="R965" s="3">
        <f>IF($J965="","",INDEX(lista_dias,WEEKDAY($J965,2)))</f>
        <v/>
      </c>
      <c r="S965" s="3">
        <f>IF($I965="","",IFERROR(INDEX('CAT_TIPOS_OT'!$C$4:$C$7,MATCH($I965,'CAT_TIPOS_OT'!$A$4:$A$7,0)),"sin_clasificar"))</f>
        <v/>
      </c>
      <c r="T965" s="3">
        <f>IF($F965="","",IFERROR(INDEX('CAT_CENTROS_COSTO'!$E$4:$E$9,MATCH($F965,'CAT_CENTROS_COSTO'!$A$4:$A$9,0)),"(sin catálogo)"))</f>
        <v/>
      </c>
      <c r="U965" s="3">
        <f>IF($F965="","",IFERROR(INDEX('CAT_CENTROS_COSTO'!$D$4:$D$9,MATCH($F965,'CAT_CENTROS_COSTO'!$A$4:$A$9,0)),"(sin catálogo)"))</f>
        <v/>
      </c>
      <c r="V965" s="3">
        <f>IF($F965="","",IFERROR(INDEX('CAT_CENTROS_COSTO'!$F$4:$F$9,MATCH($F965,'CAT_CENTROS_COSTO'!$A$4:$A$9,0)),"(sin catálogo)"))</f>
        <v/>
      </c>
      <c r="W965" s="3">
        <f>IF($G965="","",IFERROR(INDEX('CAT_PUESTOS'!$B$4:$B$8,MATCH($G965,'CAT_PUESTOS'!$A$4:$A$8,0)),"(sin catálogo)"))</f>
        <v/>
      </c>
      <c r="X965" s="3">
        <f>IF($H965="","",IFERROR(INDEX('CAT_ACTIVIDADES'!$B$4:$B$8,MATCH($H965,'CAT_ACTIVIDADES'!$A$4:$A$8,0)),"(sin catálogo)"))</f>
        <v/>
      </c>
      <c r="Y965" s="12">
        <f>IF($J965="","",TODAY()-$J965)</f>
        <v/>
      </c>
      <c r="Z965" s="3">
        <f>IF($Y965="","",IF($Y965&lt;0,"FUTURO",IF($Y965&gt;p_dias_backlog_max,"BACKLOG","MES CORRIENTE")))</f>
        <v/>
      </c>
      <c r="AA965" s="3">
        <f>IF($Y965="",FALSE,AND($Y965&gt;p_dias_backlog_min,$Y965&lt;=p_dias_backlog_max))</f>
        <v/>
      </c>
      <c r="AB965" s="6" t="n"/>
      <c r="AC965" s="3">
        <f>IF($AB965="","",IFERROR(INDEX('ASIGNACIONES'!$F$4:$F$339,MATCH($O965&amp;"|"&amp;$R965&amp;"|"&amp;$AB965,'ASIGNACIONES'!$I$4:$I$339,0)),""))</f>
        <v/>
      </c>
      <c r="AD965" s="13">
        <f>IF($AB965="","",SUMIFS('ORDENES'!$M$4:$M$1203,'ORDENES'!$AB$4:$AB$1203,$AB965,'ORDENES'!$O$4:$O$1203,$O965,'ORDENES'!$R$4:$R$1203,$R965))</f>
        <v/>
      </c>
      <c r="AE965" s="13">
        <f>IF($AD965="","",p_factor_productividad*IFERROR(INDEX('ASIGNACIONES'!$H$4:$H$339,MATCH($O965&amp;"|"&amp;$R965&amp;"|"&amp;$AB965,'ASIGNACIONES'!$I$4:$I$339,0)),0)-$AD965)</f>
        <v/>
      </c>
      <c r="AF965" s="10">
        <f>IF($A965="","",IFERROR(INDEX('2_IMPORTAR_EJECUCION'!$F$9:$F$1208,MATCH($AN965,'2_IMPORTAR_EJECUCION'!$J$9:$J$1208,0)),0))</f>
        <v/>
      </c>
      <c r="AG965" s="10">
        <f>IF($A965="","",MAX(0,IFERROR(INDEX('2_IMPORTAR_EJECUCION'!$H$9:$H$1208,MATCH($AN965,'2_IMPORTAR_EJECUCION'!$J$9:$J$1208,0)),0)-$AF965))</f>
        <v/>
      </c>
      <c r="AH965" s="10">
        <f>IF($A965="","",$AF965+$AG965)</f>
        <v/>
      </c>
      <c r="AI965" s="6" t="n"/>
      <c r="AJ965" s="6" t="n"/>
      <c r="AK965" s="6" t="n"/>
      <c r="AL965" s="3">
        <f>IF($AK965="","",HYPERLINK(p_ruta_base_checklists&amp;$AK965,"abrir"))</f>
        <v/>
      </c>
      <c r="AM965" s="6" t="n"/>
      <c r="AN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1" t="n"/>
      <c r="K966" s="3" t="n"/>
      <c r="L966" s="10" t="n"/>
      <c r="M966" s="3">
        <f>IF($A966="","",IFERROR(INDEX('AJUSTES'!$B$4:$B$303,MATCH($AN966,'AJUSTES'!$A$4:$A$303,0)),IF($K966="","",$K966)))</f>
        <v/>
      </c>
      <c r="N966" s="3">
        <f>IF($A966="","",IFERROR(INDEX('CAT_ESTADOS_ERP'!$B$4:$B$7,MATCH(IFERROR(INDEX('2_IMPORTAR_EJECUCION'!$C$9:$C$1208,MATCH($AN966,'2_IMPORTAR_EJECUCION'!$J$9:$J$1208,0)),""),'CAT_ESTADOS_ERP'!$A$4:$A$7,0)),"Pendiente"))</f>
        <v/>
      </c>
      <c r="O966" s="3">
        <f>IF($J966="","",YEAR($J966+4-WEEKDAY($J966,2))&amp;"-S"&amp;TEXT(_xlfn.ISOWEEKNUM($J966),"00"))</f>
        <v/>
      </c>
      <c r="P966" s="3">
        <f>IF($J966="","",YEAR($J966))</f>
        <v/>
      </c>
      <c r="Q966" s="3">
        <f>IF($J966="","",MONTH($J966))</f>
        <v/>
      </c>
      <c r="R966" s="3">
        <f>IF($J966="","",INDEX(lista_dias,WEEKDAY($J966,2)))</f>
        <v/>
      </c>
      <c r="S966" s="3">
        <f>IF($I966="","",IFERROR(INDEX('CAT_TIPOS_OT'!$C$4:$C$7,MATCH($I966,'CAT_TIPOS_OT'!$A$4:$A$7,0)),"sin_clasificar"))</f>
        <v/>
      </c>
      <c r="T966" s="3">
        <f>IF($F966="","",IFERROR(INDEX('CAT_CENTROS_COSTO'!$E$4:$E$9,MATCH($F966,'CAT_CENTROS_COSTO'!$A$4:$A$9,0)),"(sin catálogo)"))</f>
        <v/>
      </c>
      <c r="U966" s="3">
        <f>IF($F966="","",IFERROR(INDEX('CAT_CENTROS_COSTO'!$D$4:$D$9,MATCH($F966,'CAT_CENTROS_COSTO'!$A$4:$A$9,0)),"(sin catálogo)"))</f>
        <v/>
      </c>
      <c r="V966" s="3">
        <f>IF($F966="","",IFERROR(INDEX('CAT_CENTROS_COSTO'!$F$4:$F$9,MATCH($F966,'CAT_CENTROS_COSTO'!$A$4:$A$9,0)),"(sin catálogo)"))</f>
        <v/>
      </c>
      <c r="W966" s="3">
        <f>IF($G966="","",IFERROR(INDEX('CAT_PUESTOS'!$B$4:$B$8,MATCH($G966,'CAT_PUESTOS'!$A$4:$A$8,0)),"(sin catálogo)"))</f>
        <v/>
      </c>
      <c r="X966" s="3">
        <f>IF($H966="","",IFERROR(INDEX('CAT_ACTIVIDADES'!$B$4:$B$8,MATCH($H966,'CAT_ACTIVIDADES'!$A$4:$A$8,0)),"(sin catálogo)"))</f>
        <v/>
      </c>
      <c r="Y966" s="12">
        <f>IF($J966="","",TODAY()-$J966)</f>
        <v/>
      </c>
      <c r="Z966" s="3">
        <f>IF($Y966="","",IF($Y966&lt;0,"FUTURO",IF($Y966&gt;p_dias_backlog_max,"BACKLOG","MES CORRIENTE")))</f>
        <v/>
      </c>
      <c r="AA966" s="3">
        <f>IF($Y966="",FALSE,AND($Y966&gt;p_dias_backlog_min,$Y966&lt;=p_dias_backlog_max))</f>
        <v/>
      </c>
      <c r="AB966" s="6" t="n"/>
      <c r="AC966" s="3">
        <f>IF($AB966="","",IFERROR(INDEX('ASIGNACIONES'!$F$4:$F$339,MATCH($O966&amp;"|"&amp;$R966&amp;"|"&amp;$AB966,'ASIGNACIONES'!$I$4:$I$339,0)),""))</f>
        <v/>
      </c>
      <c r="AD966" s="13">
        <f>IF($AB966="","",SUMIFS('ORDENES'!$M$4:$M$1203,'ORDENES'!$AB$4:$AB$1203,$AB966,'ORDENES'!$O$4:$O$1203,$O966,'ORDENES'!$R$4:$R$1203,$R966))</f>
        <v/>
      </c>
      <c r="AE966" s="13">
        <f>IF($AD966="","",p_factor_productividad*IFERROR(INDEX('ASIGNACIONES'!$H$4:$H$339,MATCH($O966&amp;"|"&amp;$R966&amp;"|"&amp;$AB966,'ASIGNACIONES'!$I$4:$I$339,0)),0)-$AD966)</f>
        <v/>
      </c>
      <c r="AF966" s="10">
        <f>IF($A966="","",IFERROR(INDEX('2_IMPORTAR_EJECUCION'!$F$9:$F$1208,MATCH($AN966,'2_IMPORTAR_EJECUCION'!$J$9:$J$1208,0)),0))</f>
        <v/>
      </c>
      <c r="AG966" s="10">
        <f>IF($A966="","",MAX(0,IFERROR(INDEX('2_IMPORTAR_EJECUCION'!$H$9:$H$1208,MATCH($AN966,'2_IMPORTAR_EJECUCION'!$J$9:$J$1208,0)),0)-$AF966))</f>
        <v/>
      </c>
      <c r="AH966" s="10">
        <f>IF($A966="","",$AF966+$AG966)</f>
        <v/>
      </c>
      <c r="AI966" s="6" t="n"/>
      <c r="AJ966" s="6" t="n"/>
      <c r="AK966" s="6" t="n"/>
      <c r="AL966" s="3">
        <f>IF($AK966="","",HYPERLINK(p_ruta_base_checklists&amp;$AK966,"abrir"))</f>
        <v/>
      </c>
      <c r="AM966" s="6" t="n"/>
      <c r="AN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1" t="n"/>
      <c r="K967" s="3" t="n"/>
      <c r="L967" s="10" t="n"/>
      <c r="M967" s="3">
        <f>IF($A967="","",IFERROR(INDEX('AJUSTES'!$B$4:$B$303,MATCH($AN967,'AJUSTES'!$A$4:$A$303,0)),IF($K967="","",$K967)))</f>
        <v/>
      </c>
      <c r="N967" s="3">
        <f>IF($A967="","",IFERROR(INDEX('CAT_ESTADOS_ERP'!$B$4:$B$7,MATCH(IFERROR(INDEX('2_IMPORTAR_EJECUCION'!$C$9:$C$1208,MATCH($AN967,'2_IMPORTAR_EJECUCION'!$J$9:$J$1208,0)),""),'CAT_ESTADOS_ERP'!$A$4:$A$7,0)),"Pendiente"))</f>
        <v/>
      </c>
      <c r="O967" s="3">
        <f>IF($J967="","",YEAR($J967+4-WEEKDAY($J967,2))&amp;"-S"&amp;TEXT(_xlfn.ISOWEEKNUM($J967),"00"))</f>
        <v/>
      </c>
      <c r="P967" s="3">
        <f>IF($J967="","",YEAR($J967))</f>
        <v/>
      </c>
      <c r="Q967" s="3">
        <f>IF($J967="","",MONTH($J967))</f>
        <v/>
      </c>
      <c r="R967" s="3">
        <f>IF($J967="","",INDEX(lista_dias,WEEKDAY($J967,2)))</f>
        <v/>
      </c>
      <c r="S967" s="3">
        <f>IF($I967="","",IFERROR(INDEX('CAT_TIPOS_OT'!$C$4:$C$7,MATCH($I967,'CAT_TIPOS_OT'!$A$4:$A$7,0)),"sin_clasificar"))</f>
        <v/>
      </c>
      <c r="T967" s="3">
        <f>IF($F967="","",IFERROR(INDEX('CAT_CENTROS_COSTO'!$E$4:$E$9,MATCH($F967,'CAT_CENTROS_COSTO'!$A$4:$A$9,0)),"(sin catálogo)"))</f>
        <v/>
      </c>
      <c r="U967" s="3">
        <f>IF($F967="","",IFERROR(INDEX('CAT_CENTROS_COSTO'!$D$4:$D$9,MATCH($F967,'CAT_CENTROS_COSTO'!$A$4:$A$9,0)),"(sin catálogo)"))</f>
        <v/>
      </c>
      <c r="V967" s="3">
        <f>IF($F967="","",IFERROR(INDEX('CAT_CENTROS_COSTO'!$F$4:$F$9,MATCH($F967,'CAT_CENTROS_COSTO'!$A$4:$A$9,0)),"(sin catálogo)"))</f>
        <v/>
      </c>
      <c r="W967" s="3">
        <f>IF($G967="","",IFERROR(INDEX('CAT_PUESTOS'!$B$4:$B$8,MATCH($G967,'CAT_PUESTOS'!$A$4:$A$8,0)),"(sin catálogo)"))</f>
        <v/>
      </c>
      <c r="X967" s="3">
        <f>IF($H967="","",IFERROR(INDEX('CAT_ACTIVIDADES'!$B$4:$B$8,MATCH($H967,'CAT_ACTIVIDADES'!$A$4:$A$8,0)),"(sin catálogo)"))</f>
        <v/>
      </c>
      <c r="Y967" s="12">
        <f>IF($J967="","",TODAY()-$J967)</f>
        <v/>
      </c>
      <c r="Z967" s="3">
        <f>IF($Y967="","",IF($Y967&lt;0,"FUTURO",IF($Y967&gt;p_dias_backlog_max,"BACKLOG","MES CORRIENTE")))</f>
        <v/>
      </c>
      <c r="AA967" s="3">
        <f>IF($Y967="",FALSE,AND($Y967&gt;p_dias_backlog_min,$Y967&lt;=p_dias_backlog_max))</f>
        <v/>
      </c>
      <c r="AB967" s="6" t="n"/>
      <c r="AC967" s="3">
        <f>IF($AB967="","",IFERROR(INDEX('ASIGNACIONES'!$F$4:$F$339,MATCH($O967&amp;"|"&amp;$R967&amp;"|"&amp;$AB967,'ASIGNACIONES'!$I$4:$I$339,0)),""))</f>
        <v/>
      </c>
      <c r="AD967" s="13">
        <f>IF($AB967="","",SUMIFS('ORDENES'!$M$4:$M$1203,'ORDENES'!$AB$4:$AB$1203,$AB967,'ORDENES'!$O$4:$O$1203,$O967,'ORDENES'!$R$4:$R$1203,$R967))</f>
        <v/>
      </c>
      <c r="AE967" s="13">
        <f>IF($AD967="","",p_factor_productividad*IFERROR(INDEX('ASIGNACIONES'!$H$4:$H$339,MATCH($O967&amp;"|"&amp;$R967&amp;"|"&amp;$AB967,'ASIGNACIONES'!$I$4:$I$339,0)),0)-$AD967)</f>
        <v/>
      </c>
      <c r="AF967" s="10">
        <f>IF($A967="","",IFERROR(INDEX('2_IMPORTAR_EJECUCION'!$F$9:$F$1208,MATCH($AN967,'2_IMPORTAR_EJECUCION'!$J$9:$J$1208,0)),0))</f>
        <v/>
      </c>
      <c r="AG967" s="10">
        <f>IF($A967="","",MAX(0,IFERROR(INDEX('2_IMPORTAR_EJECUCION'!$H$9:$H$1208,MATCH($AN967,'2_IMPORTAR_EJECUCION'!$J$9:$J$1208,0)),0)-$AF967))</f>
        <v/>
      </c>
      <c r="AH967" s="10">
        <f>IF($A967="","",$AF967+$AG967)</f>
        <v/>
      </c>
      <c r="AI967" s="6" t="n"/>
      <c r="AJ967" s="6" t="n"/>
      <c r="AK967" s="6" t="n"/>
      <c r="AL967" s="3">
        <f>IF($AK967="","",HYPERLINK(p_ruta_base_checklists&amp;$AK967,"abrir"))</f>
        <v/>
      </c>
      <c r="AM967" s="6" t="n"/>
      <c r="AN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1" t="n"/>
      <c r="K968" s="3" t="n"/>
      <c r="L968" s="10" t="n"/>
      <c r="M968" s="3">
        <f>IF($A968="","",IFERROR(INDEX('AJUSTES'!$B$4:$B$303,MATCH($AN968,'AJUSTES'!$A$4:$A$303,0)),IF($K968="","",$K968)))</f>
        <v/>
      </c>
      <c r="N968" s="3">
        <f>IF($A968="","",IFERROR(INDEX('CAT_ESTADOS_ERP'!$B$4:$B$7,MATCH(IFERROR(INDEX('2_IMPORTAR_EJECUCION'!$C$9:$C$1208,MATCH($AN968,'2_IMPORTAR_EJECUCION'!$J$9:$J$1208,0)),""),'CAT_ESTADOS_ERP'!$A$4:$A$7,0)),"Pendiente"))</f>
        <v/>
      </c>
      <c r="O968" s="3">
        <f>IF($J968="","",YEAR($J968+4-WEEKDAY($J968,2))&amp;"-S"&amp;TEXT(_xlfn.ISOWEEKNUM($J968),"00"))</f>
        <v/>
      </c>
      <c r="P968" s="3">
        <f>IF($J968="","",YEAR($J968))</f>
        <v/>
      </c>
      <c r="Q968" s="3">
        <f>IF($J968="","",MONTH($J968))</f>
        <v/>
      </c>
      <c r="R968" s="3">
        <f>IF($J968="","",INDEX(lista_dias,WEEKDAY($J968,2)))</f>
        <v/>
      </c>
      <c r="S968" s="3">
        <f>IF($I968="","",IFERROR(INDEX('CAT_TIPOS_OT'!$C$4:$C$7,MATCH($I968,'CAT_TIPOS_OT'!$A$4:$A$7,0)),"sin_clasificar"))</f>
        <v/>
      </c>
      <c r="T968" s="3">
        <f>IF($F968="","",IFERROR(INDEX('CAT_CENTROS_COSTO'!$E$4:$E$9,MATCH($F968,'CAT_CENTROS_COSTO'!$A$4:$A$9,0)),"(sin catálogo)"))</f>
        <v/>
      </c>
      <c r="U968" s="3">
        <f>IF($F968="","",IFERROR(INDEX('CAT_CENTROS_COSTO'!$D$4:$D$9,MATCH($F968,'CAT_CENTROS_COSTO'!$A$4:$A$9,0)),"(sin catálogo)"))</f>
        <v/>
      </c>
      <c r="V968" s="3">
        <f>IF($F968="","",IFERROR(INDEX('CAT_CENTROS_COSTO'!$F$4:$F$9,MATCH($F968,'CAT_CENTROS_COSTO'!$A$4:$A$9,0)),"(sin catálogo)"))</f>
        <v/>
      </c>
      <c r="W968" s="3">
        <f>IF($G968="","",IFERROR(INDEX('CAT_PUESTOS'!$B$4:$B$8,MATCH($G968,'CAT_PUESTOS'!$A$4:$A$8,0)),"(sin catálogo)"))</f>
        <v/>
      </c>
      <c r="X968" s="3">
        <f>IF($H968="","",IFERROR(INDEX('CAT_ACTIVIDADES'!$B$4:$B$8,MATCH($H968,'CAT_ACTIVIDADES'!$A$4:$A$8,0)),"(sin catálogo)"))</f>
        <v/>
      </c>
      <c r="Y968" s="12">
        <f>IF($J968="","",TODAY()-$J968)</f>
        <v/>
      </c>
      <c r="Z968" s="3">
        <f>IF($Y968="","",IF($Y968&lt;0,"FUTURO",IF($Y968&gt;p_dias_backlog_max,"BACKLOG","MES CORRIENTE")))</f>
        <v/>
      </c>
      <c r="AA968" s="3">
        <f>IF($Y968="",FALSE,AND($Y968&gt;p_dias_backlog_min,$Y968&lt;=p_dias_backlog_max))</f>
        <v/>
      </c>
      <c r="AB968" s="6" t="n"/>
      <c r="AC968" s="3">
        <f>IF($AB968="","",IFERROR(INDEX('ASIGNACIONES'!$F$4:$F$339,MATCH($O968&amp;"|"&amp;$R968&amp;"|"&amp;$AB968,'ASIGNACIONES'!$I$4:$I$339,0)),""))</f>
        <v/>
      </c>
      <c r="AD968" s="13">
        <f>IF($AB968="","",SUMIFS('ORDENES'!$M$4:$M$1203,'ORDENES'!$AB$4:$AB$1203,$AB968,'ORDENES'!$O$4:$O$1203,$O968,'ORDENES'!$R$4:$R$1203,$R968))</f>
        <v/>
      </c>
      <c r="AE968" s="13">
        <f>IF($AD968="","",p_factor_productividad*IFERROR(INDEX('ASIGNACIONES'!$H$4:$H$339,MATCH($O968&amp;"|"&amp;$R968&amp;"|"&amp;$AB968,'ASIGNACIONES'!$I$4:$I$339,0)),0)-$AD968)</f>
        <v/>
      </c>
      <c r="AF968" s="10">
        <f>IF($A968="","",IFERROR(INDEX('2_IMPORTAR_EJECUCION'!$F$9:$F$1208,MATCH($AN968,'2_IMPORTAR_EJECUCION'!$J$9:$J$1208,0)),0))</f>
        <v/>
      </c>
      <c r="AG968" s="10">
        <f>IF($A968="","",MAX(0,IFERROR(INDEX('2_IMPORTAR_EJECUCION'!$H$9:$H$1208,MATCH($AN968,'2_IMPORTAR_EJECUCION'!$J$9:$J$1208,0)),0)-$AF968))</f>
        <v/>
      </c>
      <c r="AH968" s="10">
        <f>IF($A968="","",$AF968+$AG968)</f>
        <v/>
      </c>
      <c r="AI968" s="6" t="n"/>
      <c r="AJ968" s="6" t="n"/>
      <c r="AK968" s="6" t="n"/>
      <c r="AL968" s="3">
        <f>IF($AK968="","",HYPERLINK(p_ruta_base_checklists&amp;$AK968,"abrir"))</f>
        <v/>
      </c>
      <c r="AM968" s="6" t="n"/>
      <c r="AN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1" t="n"/>
      <c r="K969" s="3" t="n"/>
      <c r="L969" s="10" t="n"/>
      <c r="M969" s="3">
        <f>IF($A969="","",IFERROR(INDEX('AJUSTES'!$B$4:$B$303,MATCH($AN969,'AJUSTES'!$A$4:$A$303,0)),IF($K969="","",$K969)))</f>
        <v/>
      </c>
      <c r="N969" s="3">
        <f>IF($A969="","",IFERROR(INDEX('CAT_ESTADOS_ERP'!$B$4:$B$7,MATCH(IFERROR(INDEX('2_IMPORTAR_EJECUCION'!$C$9:$C$1208,MATCH($AN969,'2_IMPORTAR_EJECUCION'!$J$9:$J$1208,0)),""),'CAT_ESTADOS_ERP'!$A$4:$A$7,0)),"Pendiente"))</f>
        <v/>
      </c>
      <c r="O969" s="3">
        <f>IF($J969="","",YEAR($J969+4-WEEKDAY($J969,2))&amp;"-S"&amp;TEXT(_xlfn.ISOWEEKNUM($J969),"00"))</f>
        <v/>
      </c>
      <c r="P969" s="3">
        <f>IF($J969="","",YEAR($J969))</f>
        <v/>
      </c>
      <c r="Q969" s="3">
        <f>IF($J969="","",MONTH($J969))</f>
        <v/>
      </c>
      <c r="R969" s="3">
        <f>IF($J969="","",INDEX(lista_dias,WEEKDAY($J969,2)))</f>
        <v/>
      </c>
      <c r="S969" s="3">
        <f>IF($I969="","",IFERROR(INDEX('CAT_TIPOS_OT'!$C$4:$C$7,MATCH($I969,'CAT_TIPOS_OT'!$A$4:$A$7,0)),"sin_clasificar"))</f>
        <v/>
      </c>
      <c r="T969" s="3">
        <f>IF($F969="","",IFERROR(INDEX('CAT_CENTROS_COSTO'!$E$4:$E$9,MATCH($F969,'CAT_CENTROS_COSTO'!$A$4:$A$9,0)),"(sin catálogo)"))</f>
        <v/>
      </c>
      <c r="U969" s="3">
        <f>IF($F969="","",IFERROR(INDEX('CAT_CENTROS_COSTO'!$D$4:$D$9,MATCH($F969,'CAT_CENTROS_COSTO'!$A$4:$A$9,0)),"(sin catálogo)"))</f>
        <v/>
      </c>
      <c r="V969" s="3">
        <f>IF($F969="","",IFERROR(INDEX('CAT_CENTROS_COSTO'!$F$4:$F$9,MATCH($F969,'CAT_CENTROS_COSTO'!$A$4:$A$9,0)),"(sin catálogo)"))</f>
        <v/>
      </c>
      <c r="W969" s="3">
        <f>IF($G969="","",IFERROR(INDEX('CAT_PUESTOS'!$B$4:$B$8,MATCH($G969,'CAT_PUESTOS'!$A$4:$A$8,0)),"(sin catálogo)"))</f>
        <v/>
      </c>
      <c r="X969" s="3">
        <f>IF($H969="","",IFERROR(INDEX('CAT_ACTIVIDADES'!$B$4:$B$8,MATCH($H969,'CAT_ACTIVIDADES'!$A$4:$A$8,0)),"(sin catálogo)"))</f>
        <v/>
      </c>
      <c r="Y969" s="12">
        <f>IF($J969="","",TODAY()-$J969)</f>
        <v/>
      </c>
      <c r="Z969" s="3">
        <f>IF($Y969="","",IF($Y969&lt;0,"FUTURO",IF($Y969&gt;p_dias_backlog_max,"BACKLOG","MES CORRIENTE")))</f>
        <v/>
      </c>
      <c r="AA969" s="3">
        <f>IF($Y969="",FALSE,AND($Y969&gt;p_dias_backlog_min,$Y969&lt;=p_dias_backlog_max))</f>
        <v/>
      </c>
      <c r="AB969" s="6" t="n"/>
      <c r="AC969" s="3">
        <f>IF($AB969="","",IFERROR(INDEX('ASIGNACIONES'!$F$4:$F$339,MATCH($O969&amp;"|"&amp;$R969&amp;"|"&amp;$AB969,'ASIGNACIONES'!$I$4:$I$339,0)),""))</f>
        <v/>
      </c>
      <c r="AD969" s="13">
        <f>IF($AB969="","",SUMIFS('ORDENES'!$M$4:$M$1203,'ORDENES'!$AB$4:$AB$1203,$AB969,'ORDENES'!$O$4:$O$1203,$O969,'ORDENES'!$R$4:$R$1203,$R969))</f>
        <v/>
      </c>
      <c r="AE969" s="13">
        <f>IF($AD969="","",p_factor_productividad*IFERROR(INDEX('ASIGNACIONES'!$H$4:$H$339,MATCH($O969&amp;"|"&amp;$R969&amp;"|"&amp;$AB969,'ASIGNACIONES'!$I$4:$I$339,0)),0)-$AD969)</f>
        <v/>
      </c>
      <c r="AF969" s="10">
        <f>IF($A969="","",IFERROR(INDEX('2_IMPORTAR_EJECUCION'!$F$9:$F$1208,MATCH($AN969,'2_IMPORTAR_EJECUCION'!$J$9:$J$1208,0)),0))</f>
        <v/>
      </c>
      <c r="AG969" s="10">
        <f>IF($A969="","",MAX(0,IFERROR(INDEX('2_IMPORTAR_EJECUCION'!$H$9:$H$1208,MATCH($AN969,'2_IMPORTAR_EJECUCION'!$J$9:$J$1208,0)),0)-$AF969))</f>
        <v/>
      </c>
      <c r="AH969" s="10">
        <f>IF($A969="","",$AF969+$AG969)</f>
        <v/>
      </c>
      <c r="AI969" s="6" t="n"/>
      <c r="AJ969" s="6" t="n"/>
      <c r="AK969" s="6" t="n"/>
      <c r="AL969" s="3">
        <f>IF($AK969="","",HYPERLINK(p_ruta_base_checklists&amp;$AK969,"abrir"))</f>
        <v/>
      </c>
      <c r="AM969" s="6" t="n"/>
      <c r="AN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1" t="n"/>
      <c r="K970" s="3" t="n"/>
      <c r="L970" s="10" t="n"/>
      <c r="M970" s="3">
        <f>IF($A970="","",IFERROR(INDEX('AJUSTES'!$B$4:$B$303,MATCH($AN970,'AJUSTES'!$A$4:$A$303,0)),IF($K970="","",$K970)))</f>
        <v/>
      </c>
      <c r="N970" s="3">
        <f>IF($A970="","",IFERROR(INDEX('CAT_ESTADOS_ERP'!$B$4:$B$7,MATCH(IFERROR(INDEX('2_IMPORTAR_EJECUCION'!$C$9:$C$1208,MATCH($AN970,'2_IMPORTAR_EJECUCION'!$J$9:$J$1208,0)),""),'CAT_ESTADOS_ERP'!$A$4:$A$7,0)),"Pendiente"))</f>
        <v/>
      </c>
      <c r="O970" s="3">
        <f>IF($J970="","",YEAR($J970+4-WEEKDAY($J970,2))&amp;"-S"&amp;TEXT(_xlfn.ISOWEEKNUM($J970),"00"))</f>
        <v/>
      </c>
      <c r="P970" s="3">
        <f>IF($J970="","",YEAR($J970))</f>
        <v/>
      </c>
      <c r="Q970" s="3">
        <f>IF($J970="","",MONTH($J970))</f>
        <v/>
      </c>
      <c r="R970" s="3">
        <f>IF($J970="","",INDEX(lista_dias,WEEKDAY($J970,2)))</f>
        <v/>
      </c>
      <c r="S970" s="3">
        <f>IF($I970="","",IFERROR(INDEX('CAT_TIPOS_OT'!$C$4:$C$7,MATCH($I970,'CAT_TIPOS_OT'!$A$4:$A$7,0)),"sin_clasificar"))</f>
        <v/>
      </c>
      <c r="T970" s="3">
        <f>IF($F970="","",IFERROR(INDEX('CAT_CENTROS_COSTO'!$E$4:$E$9,MATCH($F970,'CAT_CENTROS_COSTO'!$A$4:$A$9,0)),"(sin catálogo)"))</f>
        <v/>
      </c>
      <c r="U970" s="3">
        <f>IF($F970="","",IFERROR(INDEX('CAT_CENTROS_COSTO'!$D$4:$D$9,MATCH($F970,'CAT_CENTROS_COSTO'!$A$4:$A$9,0)),"(sin catálogo)"))</f>
        <v/>
      </c>
      <c r="V970" s="3">
        <f>IF($F970="","",IFERROR(INDEX('CAT_CENTROS_COSTO'!$F$4:$F$9,MATCH($F970,'CAT_CENTROS_COSTO'!$A$4:$A$9,0)),"(sin catálogo)"))</f>
        <v/>
      </c>
      <c r="W970" s="3">
        <f>IF($G970="","",IFERROR(INDEX('CAT_PUESTOS'!$B$4:$B$8,MATCH($G970,'CAT_PUESTOS'!$A$4:$A$8,0)),"(sin catálogo)"))</f>
        <v/>
      </c>
      <c r="X970" s="3">
        <f>IF($H970="","",IFERROR(INDEX('CAT_ACTIVIDADES'!$B$4:$B$8,MATCH($H970,'CAT_ACTIVIDADES'!$A$4:$A$8,0)),"(sin catálogo)"))</f>
        <v/>
      </c>
      <c r="Y970" s="12">
        <f>IF($J970="","",TODAY()-$J970)</f>
        <v/>
      </c>
      <c r="Z970" s="3">
        <f>IF($Y970="","",IF($Y970&lt;0,"FUTURO",IF($Y970&gt;p_dias_backlog_max,"BACKLOG","MES CORRIENTE")))</f>
        <v/>
      </c>
      <c r="AA970" s="3">
        <f>IF($Y970="",FALSE,AND($Y970&gt;p_dias_backlog_min,$Y970&lt;=p_dias_backlog_max))</f>
        <v/>
      </c>
      <c r="AB970" s="6" t="n"/>
      <c r="AC970" s="3">
        <f>IF($AB970="","",IFERROR(INDEX('ASIGNACIONES'!$F$4:$F$339,MATCH($O970&amp;"|"&amp;$R970&amp;"|"&amp;$AB970,'ASIGNACIONES'!$I$4:$I$339,0)),""))</f>
        <v/>
      </c>
      <c r="AD970" s="13">
        <f>IF($AB970="","",SUMIFS('ORDENES'!$M$4:$M$1203,'ORDENES'!$AB$4:$AB$1203,$AB970,'ORDENES'!$O$4:$O$1203,$O970,'ORDENES'!$R$4:$R$1203,$R970))</f>
        <v/>
      </c>
      <c r="AE970" s="13">
        <f>IF($AD970="","",p_factor_productividad*IFERROR(INDEX('ASIGNACIONES'!$H$4:$H$339,MATCH($O970&amp;"|"&amp;$R970&amp;"|"&amp;$AB970,'ASIGNACIONES'!$I$4:$I$339,0)),0)-$AD970)</f>
        <v/>
      </c>
      <c r="AF970" s="10">
        <f>IF($A970="","",IFERROR(INDEX('2_IMPORTAR_EJECUCION'!$F$9:$F$1208,MATCH($AN970,'2_IMPORTAR_EJECUCION'!$J$9:$J$1208,0)),0))</f>
        <v/>
      </c>
      <c r="AG970" s="10">
        <f>IF($A970="","",MAX(0,IFERROR(INDEX('2_IMPORTAR_EJECUCION'!$H$9:$H$1208,MATCH($AN970,'2_IMPORTAR_EJECUCION'!$J$9:$J$1208,0)),0)-$AF970))</f>
        <v/>
      </c>
      <c r="AH970" s="10">
        <f>IF($A970="","",$AF970+$AG970)</f>
        <v/>
      </c>
      <c r="AI970" s="6" t="n"/>
      <c r="AJ970" s="6" t="n"/>
      <c r="AK970" s="6" t="n"/>
      <c r="AL970" s="3">
        <f>IF($AK970="","",HYPERLINK(p_ruta_base_checklists&amp;$AK970,"abrir"))</f>
        <v/>
      </c>
      <c r="AM970" s="6" t="n"/>
      <c r="AN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1" t="n"/>
      <c r="K971" s="3" t="n"/>
      <c r="L971" s="10" t="n"/>
      <c r="M971" s="3">
        <f>IF($A971="","",IFERROR(INDEX('AJUSTES'!$B$4:$B$303,MATCH($AN971,'AJUSTES'!$A$4:$A$303,0)),IF($K971="","",$K971)))</f>
        <v/>
      </c>
      <c r="N971" s="3">
        <f>IF($A971="","",IFERROR(INDEX('CAT_ESTADOS_ERP'!$B$4:$B$7,MATCH(IFERROR(INDEX('2_IMPORTAR_EJECUCION'!$C$9:$C$1208,MATCH($AN971,'2_IMPORTAR_EJECUCION'!$J$9:$J$1208,0)),""),'CAT_ESTADOS_ERP'!$A$4:$A$7,0)),"Pendiente"))</f>
        <v/>
      </c>
      <c r="O971" s="3">
        <f>IF($J971="","",YEAR($J971+4-WEEKDAY($J971,2))&amp;"-S"&amp;TEXT(_xlfn.ISOWEEKNUM($J971),"00"))</f>
        <v/>
      </c>
      <c r="P971" s="3">
        <f>IF($J971="","",YEAR($J971))</f>
        <v/>
      </c>
      <c r="Q971" s="3">
        <f>IF($J971="","",MONTH($J971))</f>
        <v/>
      </c>
      <c r="R971" s="3">
        <f>IF($J971="","",INDEX(lista_dias,WEEKDAY($J971,2)))</f>
        <v/>
      </c>
      <c r="S971" s="3">
        <f>IF($I971="","",IFERROR(INDEX('CAT_TIPOS_OT'!$C$4:$C$7,MATCH($I971,'CAT_TIPOS_OT'!$A$4:$A$7,0)),"sin_clasificar"))</f>
        <v/>
      </c>
      <c r="T971" s="3">
        <f>IF($F971="","",IFERROR(INDEX('CAT_CENTROS_COSTO'!$E$4:$E$9,MATCH($F971,'CAT_CENTROS_COSTO'!$A$4:$A$9,0)),"(sin catálogo)"))</f>
        <v/>
      </c>
      <c r="U971" s="3">
        <f>IF($F971="","",IFERROR(INDEX('CAT_CENTROS_COSTO'!$D$4:$D$9,MATCH($F971,'CAT_CENTROS_COSTO'!$A$4:$A$9,0)),"(sin catálogo)"))</f>
        <v/>
      </c>
      <c r="V971" s="3">
        <f>IF($F971="","",IFERROR(INDEX('CAT_CENTROS_COSTO'!$F$4:$F$9,MATCH($F971,'CAT_CENTROS_COSTO'!$A$4:$A$9,0)),"(sin catálogo)"))</f>
        <v/>
      </c>
      <c r="W971" s="3">
        <f>IF($G971="","",IFERROR(INDEX('CAT_PUESTOS'!$B$4:$B$8,MATCH($G971,'CAT_PUESTOS'!$A$4:$A$8,0)),"(sin catálogo)"))</f>
        <v/>
      </c>
      <c r="X971" s="3">
        <f>IF($H971="","",IFERROR(INDEX('CAT_ACTIVIDADES'!$B$4:$B$8,MATCH($H971,'CAT_ACTIVIDADES'!$A$4:$A$8,0)),"(sin catálogo)"))</f>
        <v/>
      </c>
      <c r="Y971" s="12">
        <f>IF($J971="","",TODAY()-$J971)</f>
        <v/>
      </c>
      <c r="Z971" s="3">
        <f>IF($Y971="","",IF($Y971&lt;0,"FUTURO",IF($Y971&gt;p_dias_backlog_max,"BACKLOG","MES CORRIENTE")))</f>
        <v/>
      </c>
      <c r="AA971" s="3">
        <f>IF($Y971="",FALSE,AND($Y971&gt;p_dias_backlog_min,$Y971&lt;=p_dias_backlog_max))</f>
        <v/>
      </c>
      <c r="AB971" s="6" t="n"/>
      <c r="AC971" s="3">
        <f>IF($AB971="","",IFERROR(INDEX('ASIGNACIONES'!$F$4:$F$339,MATCH($O971&amp;"|"&amp;$R971&amp;"|"&amp;$AB971,'ASIGNACIONES'!$I$4:$I$339,0)),""))</f>
        <v/>
      </c>
      <c r="AD971" s="13">
        <f>IF($AB971="","",SUMIFS('ORDENES'!$M$4:$M$1203,'ORDENES'!$AB$4:$AB$1203,$AB971,'ORDENES'!$O$4:$O$1203,$O971,'ORDENES'!$R$4:$R$1203,$R971))</f>
        <v/>
      </c>
      <c r="AE971" s="13">
        <f>IF($AD971="","",p_factor_productividad*IFERROR(INDEX('ASIGNACIONES'!$H$4:$H$339,MATCH($O971&amp;"|"&amp;$R971&amp;"|"&amp;$AB971,'ASIGNACIONES'!$I$4:$I$339,0)),0)-$AD971)</f>
        <v/>
      </c>
      <c r="AF971" s="10">
        <f>IF($A971="","",IFERROR(INDEX('2_IMPORTAR_EJECUCION'!$F$9:$F$1208,MATCH($AN971,'2_IMPORTAR_EJECUCION'!$J$9:$J$1208,0)),0))</f>
        <v/>
      </c>
      <c r="AG971" s="10">
        <f>IF($A971="","",MAX(0,IFERROR(INDEX('2_IMPORTAR_EJECUCION'!$H$9:$H$1208,MATCH($AN971,'2_IMPORTAR_EJECUCION'!$J$9:$J$1208,0)),0)-$AF971))</f>
        <v/>
      </c>
      <c r="AH971" s="10">
        <f>IF($A971="","",$AF971+$AG971)</f>
        <v/>
      </c>
      <c r="AI971" s="6" t="n"/>
      <c r="AJ971" s="6" t="n"/>
      <c r="AK971" s="6" t="n"/>
      <c r="AL971" s="3">
        <f>IF($AK971="","",HYPERLINK(p_ruta_base_checklists&amp;$AK971,"abrir"))</f>
        <v/>
      </c>
      <c r="AM971" s="6" t="n"/>
      <c r="AN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1" t="n"/>
      <c r="K972" s="3" t="n"/>
      <c r="L972" s="10" t="n"/>
      <c r="M972" s="3">
        <f>IF($A972="","",IFERROR(INDEX('AJUSTES'!$B$4:$B$303,MATCH($AN972,'AJUSTES'!$A$4:$A$303,0)),IF($K972="","",$K972)))</f>
        <v/>
      </c>
      <c r="N972" s="3">
        <f>IF($A972="","",IFERROR(INDEX('CAT_ESTADOS_ERP'!$B$4:$B$7,MATCH(IFERROR(INDEX('2_IMPORTAR_EJECUCION'!$C$9:$C$1208,MATCH($AN972,'2_IMPORTAR_EJECUCION'!$J$9:$J$1208,0)),""),'CAT_ESTADOS_ERP'!$A$4:$A$7,0)),"Pendiente"))</f>
        <v/>
      </c>
      <c r="O972" s="3">
        <f>IF($J972="","",YEAR($J972+4-WEEKDAY($J972,2))&amp;"-S"&amp;TEXT(_xlfn.ISOWEEKNUM($J972),"00"))</f>
        <v/>
      </c>
      <c r="P972" s="3">
        <f>IF($J972="","",YEAR($J972))</f>
        <v/>
      </c>
      <c r="Q972" s="3">
        <f>IF($J972="","",MONTH($J972))</f>
        <v/>
      </c>
      <c r="R972" s="3">
        <f>IF($J972="","",INDEX(lista_dias,WEEKDAY($J972,2)))</f>
        <v/>
      </c>
      <c r="S972" s="3">
        <f>IF($I972="","",IFERROR(INDEX('CAT_TIPOS_OT'!$C$4:$C$7,MATCH($I972,'CAT_TIPOS_OT'!$A$4:$A$7,0)),"sin_clasificar"))</f>
        <v/>
      </c>
      <c r="T972" s="3">
        <f>IF($F972="","",IFERROR(INDEX('CAT_CENTROS_COSTO'!$E$4:$E$9,MATCH($F972,'CAT_CENTROS_COSTO'!$A$4:$A$9,0)),"(sin catálogo)"))</f>
        <v/>
      </c>
      <c r="U972" s="3">
        <f>IF($F972="","",IFERROR(INDEX('CAT_CENTROS_COSTO'!$D$4:$D$9,MATCH($F972,'CAT_CENTROS_COSTO'!$A$4:$A$9,0)),"(sin catálogo)"))</f>
        <v/>
      </c>
      <c r="V972" s="3">
        <f>IF($F972="","",IFERROR(INDEX('CAT_CENTROS_COSTO'!$F$4:$F$9,MATCH($F972,'CAT_CENTROS_COSTO'!$A$4:$A$9,0)),"(sin catálogo)"))</f>
        <v/>
      </c>
      <c r="W972" s="3">
        <f>IF($G972="","",IFERROR(INDEX('CAT_PUESTOS'!$B$4:$B$8,MATCH($G972,'CAT_PUESTOS'!$A$4:$A$8,0)),"(sin catálogo)"))</f>
        <v/>
      </c>
      <c r="X972" s="3">
        <f>IF($H972="","",IFERROR(INDEX('CAT_ACTIVIDADES'!$B$4:$B$8,MATCH($H972,'CAT_ACTIVIDADES'!$A$4:$A$8,0)),"(sin catálogo)"))</f>
        <v/>
      </c>
      <c r="Y972" s="12">
        <f>IF($J972="","",TODAY()-$J972)</f>
        <v/>
      </c>
      <c r="Z972" s="3">
        <f>IF($Y972="","",IF($Y972&lt;0,"FUTURO",IF($Y972&gt;p_dias_backlog_max,"BACKLOG","MES CORRIENTE")))</f>
        <v/>
      </c>
      <c r="AA972" s="3">
        <f>IF($Y972="",FALSE,AND($Y972&gt;p_dias_backlog_min,$Y972&lt;=p_dias_backlog_max))</f>
        <v/>
      </c>
      <c r="AB972" s="6" t="n"/>
      <c r="AC972" s="3">
        <f>IF($AB972="","",IFERROR(INDEX('ASIGNACIONES'!$F$4:$F$339,MATCH($O972&amp;"|"&amp;$R972&amp;"|"&amp;$AB972,'ASIGNACIONES'!$I$4:$I$339,0)),""))</f>
        <v/>
      </c>
      <c r="AD972" s="13">
        <f>IF($AB972="","",SUMIFS('ORDENES'!$M$4:$M$1203,'ORDENES'!$AB$4:$AB$1203,$AB972,'ORDENES'!$O$4:$O$1203,$O972,'ORDENES'!$R$4:$R$1203,$R972))</f>
        <v/>
      </c>
      <c r="AE972" s="13">
        <f>IF($AD972="","",p_factor_productividad*IFERROR(INDEX('ASIGNACIONES'!$H$4:$H$339,MATCH($O972&amp;"|"&amp;$R972&amp;"|"&amp;$AB972,'ASIGNACIONES'!$I$4:$I$339,0)),0)-$AD972)</f>
        <v/>
      </c>
      <c r="AF972" s="10">
        <f>IF($A972="","",IFERROR(INDEX('2_IMPORTAR_EJECUCION'!$F$9:$F$1208,MATCH($AN972,'2_IMPORTAR_EJECUCION'!$J$9:$J$1208,0)),0))</f>
        <v/>
      </c>
      <c r="AG972" s="10">
        <f>IF($A972="","",MAX(0,IFERROR(INDEX('2_IMPORTAR_EJECUCION'!$H$9:$H$1208,MATCH($AN972,'2_IMPORTAR_EJECUCION'!$J$9:$J$1208,0)),0)-$AF972))</f>
        <v/>
      </c>
      <c r="AH972" s="10">
        <f>IF($A972="","",$AF972+$AG972)</f>
        <v/>
      </c>
      <c r="AI972" s="6" t="n"/>
      <c r="AJ972" s="6" t="n"/>
      <c r="AK972" s="6" t="n"/>
      <c r="AL972" s="3">
        <f>IF($AK972="","",HYPERLINK(p_ruta_base_checklists&amp;$AK972,"abrir"))</f>
        <v/>
      </c>
      <c r="AM972" s="6" t="n"/>
      <c r="AN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1" t="n"/>
      <c r="K973" s="3" t="n"/>
      <c r="L973" s="10" t="n"/>
      <c r="M973" s="3">
        <f>IF($A973="","",IFERROR(INDEX('AJUSTES'!$B$4:$B$303,MATCH($AN973,'AJUSTES'!$A$4:$A$303,0)),IF($K973="","",$K973)))</f>
        <v/>
      </c>
      <c r="N973" s="3">
        <f>IF($A973="","",IFERROR(INDEX('CAT_ESTADOS_ERP'!$B$4:$B$7,MATCH(IFERROR(INDEX('2_IMPORTAR_EJECUCION'!$C$9:$C$1208,MATCH($AN973,'2_IMPORTAR_EJECUCION'!$J$9:$J$1208,0)),""),'CAT_ESTADOS_ERP'!$A$4:$A$7,0)),"Pendiente"))</f>
        <v/>
      </c>
      <c r="O973" s="3">
        <f>IF($J973="","",YEAR($J973+4-WEEKDAY($J973,2))&amp;"-S"&amp;TEXT(_xlfn.ISOWEEKNUM($J973),"00"))</f>
        <v/>
      </c>
      <c r="P973" s="3">
        <f>IF($J973="","",YEAR($J973))</f>
        <v/>
      </c>
      <c r="Q973" s="3">
        <f>IF($J973="","",MONTH($J973))</f>
        <v/>
      </c>
      <c r="R973" s="3">
        <f>IF($J973="","",INDEX(lista_dias,WEEKDAY($J973,2)))</f>
        <v/>
      </c>
      <c r="S973" s="3">
        <f>IF($I973="","",IFERROR(INDEX('CAT_TIPOS_OT'!$C$4:$C$7,MATCH($I973,'CAT_TIPOS_OT'!$A$4:$A$7,0)),"sin_clasificar"))</f>
        <v/>
      </c>
      <c r="T973" s="3">
        <f>IF($F973="","",IFERROR(INDEX('CAT_CENTROS_COSTO'!$E$4:$E$9,MATCH($F973,'CAT_CENTROS_COSTO'!$A$4:$A$9,0)),"(sin catálogo)"))</f>
        <v/>
      </c>
      <c r="U973" s="3">
        <f>IF($F973="","",IFERROR(INDEX('CAT_CENTROS_COSTO'!$D$4:$D$9,MATCH($F973,'CAT_CENTROS_COSTO'!$A$4:$A$9,0)),"(sin catálogo)"))</f>
        <v/>
      </c>
      <c r="V973" s="3">
        <f>IF($F973="","",IFERROR(INDEX('CAT_CENTROS_COSTO'!$F$4:$F$9,MATCH($F973,'CAT_CENTROS_COSTO'!$A$4:$A$9,0)),"(sin catálogo)"))</f>
        <v/>
      </c>
      <c r="W973" s="3">
        <f>IF($G973="","",IFERROR(INDEX('CAT_PUESTOS'!$B$4:$B$8,MATCH($G973,'CAT_PUESTOS'!$A$4:$A$8,0)),"(sin catálogo)"))</f>
        <v/>
      </c>
      <c r="X973" s="3">
        <f>IF($H973="","",IFERROR(INDEX('CAT_ACTIVIDADES'!$B$4:$B$8,MATCH($H973,'CAT_ACTIVIDADES'!$A$4:$A$8,0)),"(sin catálogo)"))</f>
        <v/>
      </c>
      <c r="Y973" s="12">
        <f>IF($J973="","",TODAY()-$J973)</f>
        <v/>
      </c>
      <c r="Z973" s="3">
        <f>IF($Y973="","",IF($Y973&lt;0,"FUTURO",IF($Y973&gt;p_dias_backlog_max,"BACKLOG","MES CORRIENTE")))</f>
        <v/>
      </c>
      <c r="AA973" s="3">
        <f>IF($Y973="",FALSE,AND($Y973&gt;p_dias_backlog_min,$Y973&lt;=p_dias_backlog_max))</f>
        <v/>
      </c>
      <c r="AB973" s="6" t="n"/>
      <c r="AC973" s="3">
        <f>IF($AB973="","",IFERROR(INDEX('ASIGNACIONES'!$F$4:$F$339,MATCH($O973&amp;"|"&amp;$R973&amp;"|"&amp;$AB973,'ASIGNACIONES'!$I$4:$I$339,0)),""))</f>
        <v/>
      </c>
      <c r="AD973" s="13">
        <f>IF($AB973="","",SUMIFS('ORDENES'!$M$4:$M$1203,'ORDENES'!$AB$4:$AB$1203,$AB973,'ORDENES'!$O$4:$O$1203,$O973,'ORDENES'!$R$4:$R$1203,$R973))</f>
        <v/>
      </c>
      <c r="AE973" s="13">
        <f>IF($AD973="","",p_factor_productividad*IFERROR(INDEX('ASIGNACIONES'!$H$4:$H$339,MATCH($O973&amp;"|"&amp;$R973&amp;"|"&amp;$AB973,'ASIGNACIONES'!$I$4:$I$339,0)),0)-$AD973)</f>
        <v/>
      </c>
      <c r="AF973" s="10">
        <f>IF($A973="","",IFERROR(INDEX('2_IMPORTAR_EJECUCION'!$F$9:$F$1208,MATCH($AN973,'2_IMPORTAR_EJECUCION'!$J$9:$J$1208,0)),0))</f>
        <v/>
      </c>
      <c r="AG973" s="10">
        <f>IF($A973="","",MAX(0,IFERROR(INDEX('2_IMPORTAR_EJECUCION'!$H$9:$H$1208,MATCH($AN973,'2_IMPORTAR_EJECUCION'!$J$9:$J$1208,0)),0)-$AF973))</f>
        <v/>
      </c>
      <c r="AH973" s="10">
        <f>IF($A973="","",$AF973+$AG973)</f>
        <v/>
      </c>
      <c r="AI973" s="6" t="n"/>
      <c r="AJ973" s="6" t="n"/>
      <c r="AK973" s="6" t="n"/>
      <c r="AL973" s="3">
        <f>IF($AK973="","",HYPERLINK(p_ruta_base_checklists&amp;$AK973,"abrir"))</f>
        <v/>
      </c>
      <c r="AM973" s="6" t="n"/>
      <c r="AN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1" t="n"/>
      <c r="K974" s="3" t="n"/>
      <c r="L974" s="10" t="n"/>
      <c r="M974" s="3">
        <f>IF($A974="","",IFERROR(INDEX('AJUSTES'!$B$4:$B$303,MATCH($AN974,'AJUSTES'!$A$4:$A$303,0)),IF($K974="","",$K974)))</f>
        <v/>
      </c>
      <c r="N974" s="3">
        <f>IF($A974="","",IFERROR(INDEX('CAT_ESTADOS_ERP'!$B$4:$B$7,MATCH(IFERROR(INDEX('2_IMPORTAR_EJECUCION'!$C$9:$C$1208,MATCH($AN974,'2_IMPORTAR_EJECUCION'!$J$9:$J$1208,0)),""),'CAT_ESTADOS_ERP'!$A$4:$A$7,0)),"Pendiente"))</f>
        <v/>
      </c>
      <c r="O974" s="3">
        <f>IF($J974="","",YEAR($J974+4-WEEKDAY($J974,2))&amp;"-S"&amp;TEXT(_xlfn.ISOWEEKNUM($J974),"00"))</f>
        <v/>
      </c>
      <c r="P974" s="3">
        <f>IF($J974="","",YEAR($J974))</f>
        <v/>
      </c>
      <c r="Q974" s="3">
        <f>IF($J974="","",MONTH($J974))</f>
        <v/>
      </c>
      <c r="R974" s="3">
        <f>IF($J974="","",INDEX(lista_dias,WEEKDAY($J974,2)))</f>
        <v/>
      </c>
      <c r="S974" s="3">
        <f>IF($I974="","",IFERROR(INDEX('CAT_TIPOS_OT'!$C$4:$C$7,MATCH($I974,'CAT_TIPOS_OT'!$A$4:$A$7,0)),"sin_clasificar"))</f>
        <v/>
      </c>
      <c r="T974" s="3">
        <f>IF($F974="","",IFERROR(INDEX('CAT_CENTROS_COSTO'!$E$4:$E$9,MATCH($F974,'CAT_CENTROS_COSTO'!$A$4:$A$9,0)),"(sin catálogo)"))</f>
        <v/>
      </c>
      <c r="U974" s="3">
        <f>IF($F974="","",IFERROR(INDEX('CAT_CENTROS_COSTO'!$D$4:$D$9,MATCH($F974,'CAT_CENTROS_COSTO'!$A$4:$A$9,0)),"(sin catálogo)"))</f>
        <v/>
      </c>
      <c r="V974" s="3">
        <f>IF($F974="","",IFERROR(INDEX('CAT_CENTROS_COSTO'!$F$4:$F$9,MATCH($F974,'CAT_CENTROS_COSTO'!$A$4:$A$9,0)),"(sin catálogo)"))</f>
        <v/>
      </c>
      <c r="W974" s="3">
        <f>IF($G974="","",IFERROR(INDEX('CAT_PUESTOS'!$B$4:$B$8,MATCH($G974,'CAT_PUESTOS'!$A$4:$A$8,0)),"(sin catálogo)"))</f>
        <v/>
      </c>
      <c r="X974" s="3">
        <f>IF($H974="","",IFERROR(INDEX('CAT_ACTIVIDADES'!$B$4:$B$8,MATCH($H974,'CAT_ACTIVIDADES'!$A$4:$A$8,0)),"(sin catálogo)"))</f>
        <v/>
      </c>
      <c r="Y974" s="12">
        <f>IF($J974="","",TODAY()-$J974)</f>
        <v/>
      </c>
      <c r="Z974" s="3">
        <f>IF($Y974="","",IF($Y974&lt;0,"FUTURO",IF($Y974&gt;p_dias_backlog_max,"BACKLOG","MES CORRIENTE")))</f>
        <v/>
      </c>
      <c r="AA974" s="3">
        <f>IF($Y974="",FALSE,AND($Y974&gt;p_dias_backlog_min,$Y974&lt;=p_dias_backlog_max))</f>
        <v/>
      </c>
      <c r="AB974" s="6" t="n"/>
      <c r="AC974" s="3">
        <f>IF($AB974="","",IFERROR(INDEX('ASIGNACIONES'!$F$4:$F$339,MATCH($O974&amp;"|"&amp;$R974&amp;"|"&amp;$AB974,'ASIGNACIONES'!$I$4:$I$339,0)),""))</f>
        <v/>
      </c>
      <c r="AD974" s="13">
        <f>IF($AB974="","",SUMIFS('ORDENES'!$M$4:$M$1203,'ORDENES'!$AB$4:$AB$1203,$AB974,'ORDENES'!$O$4:$O$1203,$O974,'ORDENES'!$R$4:$R$1203,$R974))</f>
        <v/>
      </c>
      <c r="AE974" s="13">
        <f>IF($AD974="","",p_factor_productividad*IFERROR(INDEX('ASIGNACIONES'!$H$4:$H$339,MATCH($O974&amp;"|"&amp;$R974&amp;"|"&amp;$AB974,'ASIGNACIONES'!$I$4:$I$339,0)),0)-$AD974)</f>
        <v/>
      </c>
      <c r="AF974" s="10">
        <f>IF($A974="","",IFERROR(INDEX('2_IMPORTAR_EJECUCION'!$F$9:$F$1208,MATCH($AN974,'2_IMPORTAR_EJECUCION'!$J$9:$J$1208,0)),0))</f>
        <v/>
      </c>
      <c r="AG974" s="10">
        <f>IF($A974="","",MAX(0,IFERROR(INDEX('2_IMPORTAR_EJECUCION'!$H$9:$H$1208,MATCH($AN974,'2_IMPORTAR_EJECUCION'!$J$9:$J$1208,0)),0)-$AF974))</f>
        <v/>
      </c>
      <c r="AH974" s="10">
        <f>IF($A974="","",$AF974+$AG974)</f>
        <v/>
      </c>
      <c r="AI974" s="6" t="n"/>
      <c r="AJ974" s="6" t="n"/>
      <c r="AK974" s="6" t="n"/>
      <c r="AL974" s="3">
        <f>IF($AK974="","",HYPERLINK(p_ruta_base_checklists&amp;$AK974,"abrir"))</f>
        <v/>
      </c>
      <c r="AM974" s="6" t="n"/>
      <c r="AN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1" t="n"/>
      <c r="K975" s="3" t="n"/>
      <c r="L975" s="10" t="n"/>
      <c r="M975" s="3">
        <f>IF($A975="","",IFERROR(INDEX('AJUSTES'!$B$4:$B$303,MATCH($AN975,'AJUSTES'!$A$4:$A$303,0)),IF($K975="","",$K975)))</f>
        <v/>
      </c>
      <c r="N975" s="3">
        <f>IF($A975="","",IFERROR(INDEX('CAT_ESTADOS_ERP'!$B$4:$B$7,MATCH(IFERROR(INDEX('2_IMPORTAR_EJECUCION'!$C$9:$C$1208,MATCH($AN975,'2_IMPORTAR_EJECUCION'!$J$9:$J$1208,0)),""),'CAT_ESTADOS_ERP'!$A$4:$A$7,0)),"Pendiente"))</f>
        <v/>
      </c>
      <c r="O975" s="3">
        <f>IF($J975="","",YEAR($J975+4-WEEKDAY($J975,2))&amp;"-S"&amp;TEXT(_xlfn.ISOWEEKNUM($J975),"00"))</f>
        <v/>
      </c>
      <c r="P975" s="3">
        <f>IF($J975="","",YEAR($J975))</f>
        <v/>
      </c>
      <c r="Q975" s="3">
        <f>IF($J975="","",MONTH($J975))</f>
        <v/>
      </c>
      <c r="R975" s="3">
        <f>IF($J975="","",INDEX(lista_dias,WEEKDAY($J975,2)))</f>
        <v/>
      </c>
      <c r="S975" s="3">
        <f>IF($I975="","",IFERROR(INDEX('CAT_TIPOS_OT'!$C$4:$C$7,MATCH($I975,'CAT_TIPOS_OT'!$A$4:$A$7,0)),"sin_clasificar"))</f>
        <v/>
      </c>
      <c r="T975" s="3">
        <f>IF($F975="","",IFERROR(INDEX('CAT_CENTROS_COSTO'!$E$4:$E$9,MATCH($F975,'CAT_CENTROS_COSTO'!$A$4:$A$9,0)),"(sin catálogo)"))</f>
        <v/>
      </c>
      <c r="U975" s="3">
        <f>IF($F975="","",IFERROR(INDEX('CAT_CENTROS_COSTO'!$D$4:$D$9,MATCH($F975,'CAT_CENTROS_COSTO'!$A$4:$A$9,0)),"(sin catálogo)"))</f>
        <v/>
      </c>
      <c r="V975" s="3">
        <f>IF($F975="","",IFERROR(INDEX('CAT_CENTROS_COSTO'!$F$4:$F$9,MATCH($F975,'CAT_CENTROS_COSTO'!$A$4:$A$9,0)),"(sin catálogo)"))</f>
        <v/>
      </c>
      <c r="W975" s="3">
        <f>IF($G975="","",IFERROR(INDEX('CAT_PUESTOS'!$B$4:$B$8,MATCH($G975,'CAT_PUESTOS'!$A$4:$A$8,0)),"(sin catálogo)"))</f>
        <v/>
      </c>
      <c r="X975" s="3">
        <f>IF($H975="","",IFERROR(INDEX('CAT_ACTIVIDADES'!$B$4:$B$8,MATCH($H975,'CAT_ACTIVIDADES'!$A$4:$A$8,0)),"(sin catálogo)"))</f>
        <v/>
      </c>
      <c r="Y975" s="12">
        <f>IF($J975="","",TODAY()-$J975)</f>
        <v/>
      </c>
      <c r="Z975" s="3">
        <f>IF($Y975="","",IF($Y975&lt;0,"FUTURO",IF($Y975&gt;p_dias_backlog_max,"BACKLOG","MES CORRIENTE")))</f>
        <v/>
      </c>
      <c r="AA975" s="3">
        <f>IF($Y975="",FALSE,AND($Y975&gt;p_dias_backlog_min,$Y975&lt;=p_dias_backlog_max))</f>
        <v/>
      </c>
      <c r="AB975" s="6" t="n"/>
      <c r="AC975" s="3">
        <f>IF($AB975="","",IFERROR(INDEX('ASIGNACIONES'!$F$4:$F$339,MATCH($O975&amp;"|"&amp;$R975&amp;"|"&amp;$AB975,'ASIGNACIONES'!$I$4:$I$339,0)),""))</f>
        <v/>
      </c>
      <c r="AD975" s="13">
        <f>IF($AB975="","",SUMIFS('ORDENES'!$M$4:$M$1203,'ORDENES'!$AB$4:$AB$1203,$AB975,'ORDENES'!$O$4:$O$1203,$O975,'ORDENES'!$R$4:$R$1203,$R975))</f>
        <v/>
      </c>
      <c r="AE975" s="13">
        <f>IF($AD975="","",p_factor_productividad*IFERROR(INDEX('ASIGNACIONES'!$H$4:$H$339,MATCH($O975&amp;"|"&amp;$R975&amp;"|"&amp;$AB975,'ASIGNACIONES'!$I$4:$I$339,0)),0)-$AD975)</f>
        <v/>
      </c>
      <c r="AF975" s="10">
        <f>IF($A975="","",IFERROR(INDEX('2_IMPORTAR_EJECUCION'!$F$9:$F$1208,MATCH($AN975,'2_IMPORTAR_EJECUCION'!$J$9:$J$1208,0)),0))</f>
        <v/>
      </c>
      <c r="AG975" s="10">
        <f>IF($A975="","",MAX(0,IFERROR(INDEX('2_IMPORTAR_EJECUCION'!$H$9:$H$1208,MATCH($AN975,'2_IMPORTAR_EJECUCION'!$J$9:$J$1208,0)),0)-$AF975))</f>
        <v/>
      </c>
      <c r="AH975" s="10">
        <f>IF($A975="","",$AF975+$AG975)</f>
        <v/>
      </c>
      <c r="AI975" s="6" t="n"/>
      <c r="AJ975" s="6" t="n"/>
      <c r="AK975" s="6" t="n"/>
      <c r="AL975" s="3">
        <f>IF($AK975="","",HYPERLINK(p_ruta_base_checklists&amp;$AK975,"abrir"))</f>
        <v/>
      </c>
      <c r="AM975" s="6" t="n"/>
      <c r="AN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1" t="n"/>
      <c r="K976" s="3" t="n"/>
      <c r="L976" s="10" t="n"/>
      <c r="M976" s="3">
        <f>IF($A976="","",IFERROR(INDEX('AJUSTES'!$B$4:$B$303,MATCH($AN976,'AJUSTES'!$A$4:$A$303,0)),IF($K976="","",$K976)))</f>
        <v/>
      </c>
      <c r="N976" s="3">
        <f>IF($A976="","",IFERROR(INDEX('CAT_ESTADOS_ERP'!$B$4:$B$7,MATCH(IFERROR(INDEX('2_IMPORTAR_EJECUCION'!$C$9:$C$1208,MATCH($AN976,'2_IMPORTAR_EJECUCION'!$J$9:$J$1208,0)),""),'CAT_ESTADOS_ERP'!$A$4:$A$7,0)),"Pendiente"))</f>
        <v/>
      </c>
      <c r="O976" s="3">
        <f>IF($J976="","",YEAR($J976+4-WEEKDAY($J976,2))&amp;"-S"&amp;TEXT(_xlfn.ISOWEEKNUM($J976),"00"))</f>
        <v/>
      </c>
      <c r="P976" s="3">
        <f>IF($J976="","",YEAR($J976))</f>
        <v/>
      </c>
      <c r="Q976" s="3">
        <f>IF($J976="","",MONTH($J976))</f>
        <v/>
      </c>
      <c r="R976" s="3">
        <f>IF($J976="","",INDEX(lista_dias,WEEKDAY($J976,2)))</f>
        <v/>
      </c>
      <c r="S976" s="3">
        <f>IF($I976="","",IFERROR(INDEX('CAT_TIPOS_OT'!$C$4:$C$7,MATCH($I976,'CAT_TIPOS_OT'!$A$4:$A$7,0)),"sin_clasificar"))</f>
        <v/>
      </c>
      <c r="T976" s="3">
        <f>IF($F976="","",IFERROR(INDEX('CAT_CENTROS_COSTO'!$E$4:$E$9,MATCH($F976,'CAT_CENTROS_COSTO'!$A$4:$A$9,0)),"(sin catálogo)"))</f>
        <v/>
      </c>
      <c r="U976" s="3">
        <f>IF($F976="","",IFERROR(INDEX('CAT_CENTROS_COSTO'!$D$4:$D$9,MATCH($F976,'CAT_CENTROS_COSTO'!$A$4:$A$9,0)),"(sin catálogo)"))</f>
        <v/>
      </c>
      <c r="V976" s="3">
        <f>IF($F976="","",IFERROR(INDEX('CAT_CENTROS_COSTO'!$F$4:$F$9,MATCH($F976,'CAT_CENTROS_COSTO'!$A$4:$A$9,0)),"(sin catálogo)"))</f>
        <v/>
      </c>
      <c r="W976" s="3">
        <f>IF($G976="","",IFERROR(INDEX('CAT_PUESTOS'!$B$4:$B$8,MATCH($G976,'CAT_PUESTOS'!$A$4:$A$8,0)),"(sin catálogo)"))</f>
        <v/>
      </c>
      <c r="X976" s="3">
        <f>IF($H976="","",IFERROR(INDEX('CAT_ACTIVIDADES'!$B$4:$B$8,MATCH($H976,'CAT_ACTIVIDADES'!$A$4:$A$8,0)),"(sin catálogo)"))</f>
        <v/>
      </c>
      <c r="Y976" s="12">
        <f>IF($J976="","",TODAY()-$J976)</f>
        <v/>
      </c>
      <c r="Z976" s="3">
        <f>IF($Y976="","",IF($Y976&lt;0,"FUTURO",IF($Y976&gt;p_dias_backlog_max,"BACKLOG","MES CORRIENTE")))</f>
        <v/>
      </c>
      <c r="AA976" s="3">
        <f>IF($Y976="",FALSE,AND($Y976&gt;p_dias_backlog_min,$Y976&lt;=p_dias_backlog_max))</f>
        <v/>
      </c>
      <c r="AB976" s="6" t="n"/>
      <c r="AC976" s="3">
        <f>IF($AB976="","",IFERROR(INDEX('ASIGNACIONES'!$F$4:$F$339,MATCH($O976&amp;"|"&amp;$R976&amp;"|"&amp;$AB976,'ASIGNACIONES'!$I$4:$I$339,0)),""))</f>
        <v/>
      </c>
      <c r="AD976" s="13">
        <f>IF($AB976="","",SUMIFS('ORDENES'!$M$4:$M$1203,'ORDENES'!$AB$4:$AB$1203,$AB976,'ORDENES'!$O$4:$O$1203,$O976,'ORDENES'!$R$4:$R$1203,$R976))</f>
        <v/>
      </c>
      <c r="AE976" s="13">
        <f>IF($AD976="","",p_factor_productividad*IFERROR(INDEX('ASIGNACIONES'!$H$4:$H$339,MATCH($O976&amp;"|"&amp;$R976&amp;"|"&amp;$AB976,'ASIGNACIONES'!$I$4:$I$339,0)),0)-$AD976)</f>
        <v/>
      </c>
      <c r="AF976" s="10">
        <f>IF($A976="","",IFERROR(INDEX('2_IMPORTAR_EJECUCION'!$F$9:$F$1208,MATCH($AN976,'2_IMPORTAR_EJECUCION'!$J$9:$J$1208,0)),0))</f>
        <v/>
      </c>
      <c r="AG976" s="10">
        <f>IF($A976="","",MAX(0,IFERROR(INDEX('2_IMPORTAR_EJECUCION'!$H$9:$H$1208,MATCH($AN976,'2_IMPORTAR_EJECUCION'!$J$9:$J$1208,0)),0)-$AF976))</f>
        <v/>
      </c>
      <c r="AH976" s="10">
        <f>IF($A976="","",$AF976+$AG976)</f>
        <v/>
      </c>
      <c r="AI976" s="6" t="n"/>
      <c r="AJ976" s="6" t="n"/>
      <c r="AK976" s="6" t="n"/>
      <c r="AL976" s="3">
        <f>IF($AK976="","",HYPERLINK(p_ruta_base_checklists&amp;$AK976,"abrir"))</f>
        <v/>
      </c>
      <c r="AM976" s="6" t="n"/>
      <c r="AN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1" t="n"/>
      <c r="K977" s="3" t="n"/>
      <c r="L977" s="10" t="n"/>
      <c r="M977" s="3">
        <f>IF($A977="","",IFERROR(INDEX('AJUSTES'!$B$4:$B$303,MATCH($AN977,'AJUSTES'!$A$4:$A$303,0)),IF($K977="","",$K977)))</f>
        <v/>
      </c>
      <c r="N977" s="3">
        <f>IF($A977="","",IFERROR(INDEX('CAT_ESTADOS_ERP'!$B$4:$B$7,MATCH(IFERROR(INDEX('2_IMPORTAR_EJECUCION'!$C$9:$C$1208,MATCH($AN977,'2_IMPORTAR_EJECUCION'!$J$9:$J$1208,0)),""),'CAT_ESTADOS_ERP'!$A$4:$A$7,0)),"Pendiente"))</f>
        <v/>
      </c>
      <c r="O977" s="3">
        <f>IF($J977="","",YEAR($J977+4-WEEKDAY($J977,2))&amp;"-S"&amp;TEXT(_xlfn.ISOWEEKNUM($J977),"00"))</f>
        <v/>
      </c>
      <c r="P977" s="3">
        <f>IF($J977="","",YEAR($J977))</f>
        <v/>
      </c>
      <c r="Q977" s="3">
        <f>IF($J977="","",MONTH($J977))</f>
        <v/>
      </c>
      <c r="R977" s="3">
        <f>IF($J977="","",INDEX(lista_dias,WEEKDAY($J977,2)))</f>
        <v/>
      </c>
      <c r="S977" s="3">
        <f>IF($I977="","",IFERROR(INDEX('CAT_TIPOS_OT'!$C$4:$C$7,MATCH($I977,'CAT_TIPOS_OT'!$A$4:$A$7,0)),"sin_clasificar"))</f>
        <v/>
      </c>
      <c r="T977" s="3">
        <f>IF($F977="","",IFERROR(INDEX('CAT_CENTROS_COSTO'!$E$4:$E$9,MATCH($F977,'CAT_CENTROS_COSTO'!$A$4:$A$9,0)),"(sin catálogo)"))</f>
        <v/>
      </c>
      <c r="U977" s="3">
        <f>IF($F977="","",IFERROR(INDEX('CAT_CENTROS_COSTO'!$D$4:$D$9,MATCH($F977,'CAT_CENTROS_COSTO'!$A$4:$A$9,0)),"(sin catálogo)"))</f>
        <v/>
      </c>
      <c r="V977" s="3">
        <f>IF($F977="","",IFERROR(INDEX('CAT_CENTROS_COSTO'!$F$4:$F$9,MATCH($F977,'CAT_CENTROS_COSTO'!$A$4:$A$9,0)),"(sin catálogo)"))</f>
        <v/>
      </c>
      <c r="W977" s="3">
        <f>IF($G977="","",IFERROR(INDEX('CAT_PUESTOS'!$B$4:$B$8,MATCH($G977,'CAT_PUESTOS'!$A$4:$A$8,0)),"(sin catálogo)"))</f>
        <v/>
      </c>
      <c r="X977" s="3">
        <f>IF($H977="","",IFERROR(INDEX('CAT_ACTIVIDADES'!$B$4:$B$8,MATCH($H977,'CAT_ACTIVIDADES'!$A$4:$A$8,0)),"(sin catálogo)"))</f>
        <v/>
      </c>
      <c r="Y977" s="12">
        <f>IF($J977="","",TODAY()-$J977)</f>
        <v/>
      </c>
      <c r="Z977" s="3">
        <f>IF($Y977="","",IF($Y977&lt;0,"FUTURO",IF($Y977&gt;p_dias_backlog_max,"BACKLOG","MES CORRIENTE")))</f>
        <v/>
      </c>
      <c r="AA977" s="3">
        <f>IF($Y977="",FALSE,AND($Y977&gt;p_dias_backlog_min,$Y977&lt;=p_dias_backlog_max))</f>
        <v/>
      </c>
      <c r="AB977" s="6" t="n"/>
      <c r="AC977" s="3">
        <f>IF($AB977="","",IFERROR(INDEX('ASIGNACIONES'!$F$4:$F$339,MATCH($O977&amp;"|"&amp;$R977&amp;"|"&amp;$AB977,'ASIGNACIONES'!$I$4:$I$339,0)),""))</f>
        <v/>
      </c>
      <c r="AD977" s="13">
        <f>IF($AB977="","",SUMIFS('ORDENES'!$M$4:$M$1203,'ORDENES'!$AB$4:$AB$1203,$AB977,'ORDENES'!$O$4:$O$1203,$O977,'ORDENES'!$R$4:$R$1203,$R977))</f>
        <v/>
      </c>
      <c r="AE977" s="13">
        <f>IF($AD977="","",p_factor_productividad*IFERROR(INDEX('ASIGNACIONES'!$H$4:$H$339,MATCH($O977&amp;"|"&amp;$R977&amp;"|"&amp;$AB977,'ASIGNACIONES'!$I$4:$I$339,0)),0)-$AD977)</f>
        <v/>
      </c>
      <c r="AF977" s="10">
        <f>IF($A977="","",IFERROR(INDEX('2_IMPORTAR_EJECUCION'!$F$9:$F$1208,MATCH($AN977,'2_IMPORTAR_EJECUCION'!$J$9:$J$1208,0)),0))</f>
        <v/>
      </c>
      <c r="AG977" s="10">
        <f>IF($A977="","",MAX(0,IFERROR(INDEX('2_IMPORTAR_EJECUCION'!$H$9:$H$1208,MATCH($AN977,'2_IMPORTAR_EJECUCION'!$J$9:$J$1208,0)),0)-$AF977))</f>
        <v/>
      </c>
      <c r="AH977" s="10">
        <f>IF($A977="","",$AF977+$AG977)</f>
        <v/>
      </c>
      <c r="AI977" s="6" t="n"/>
      <c r="AJ977" s="6" t="n"/>
      <c r="AK977" s="6" t="n"/>
      <c r="AL977" s="3">
        <f>IF($AK977="","",HYPERLINK(p_ruta_base_checklists&amp;$AK977,"abrir"))</f>
        <v/>
      </c>
      <c r="AM977" s="6" t="n"/>
      <c r="AN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1" t="n"/>
      <c r="K978" s="3" t="n"/>
      <c r="L978" s="10" t="n"/>
      <c r="M978" s="3">
        <f>IF($A978="","",IFERROR(INDEX('AJUSTES'!$B$4:$B$303,MATCH($AN978,'AJUSTES'!$A$4:$A$303,0)),IF($K978="","",$K978)))</f>
        <v/>
      </c>
      <c r="N978" s="3">
        <f>IF($A978="","",IFERROR(INDEX('CAT_ESTADOS_ERP'!$B$4:$B$7,MATCH(IFERROR(INDEX('2_IMPORTAR_EJECUCION'!$C$9:$C$1208,MATCH($AN978,'2_IMPORTAR_EJECUCION'!$J$9:$J$1208,0)),""),'CAT_ESTADOS_ERP'!$A$4:$A$7,0)),"Pendiente"))</f>
        <v/>
      </c>
      <c r="O978" s="3">
        <f>IF($J978="","",YEAR($J978+4-WEEKDAY($J978,2))&amp;"-S"&amp;TEXT(_xlfn.ISOWEEKNUM($J978),"00"))</f>
        <v/>
      </c>
      <c r="P978" s="3">
        <f>IF($J978="","",YEAR($J978))</f>
        <v/>
      </c>
      <c r="Q978" s="3">
        <f>IF($J978="","",MONTH($J978))</f>
        <v/>
      </c>
      <c r="R978" s="3">
        <f>IF($J978="","",INDEX(lista_dias,WEEKDAY($J978,2)))</f>
        <v/>
      </c>
      <c r="S978" s="3">
        <f>IF($I978="","",IFERROR(INDEX('CAT_TIPOS_OT'!$C$4:$C$7,MATCH($I978,'CAT_TIPOS_OT'!$A$4:$A$7,0)),"sin_clasificar"))</f>
        <v/>
      </c>
      <c r="T978" s="3">
        <f>IF($F978="","",IFERROR(INDEX('CAT_CENTROS_COSTO'!$E$4:$E$9,MATCH($F978,'CAT_CENTROS_COSTO'!$A$4:$A$9,0)),"(sin catálogo)"))</f>
        <v/>
      </c>
      <c r="U978" s="3">
        <f>IF($F978="","",IFERROR(INDEX('CAT_CENTROS_COSTO'!$D$4:$D$9,MATCH($F978,'CAT_CENTROS_COSTO'!$A$4:$A$9,0)),"(sin catálogo)"))</f>
        <v/>
      </c>
      <c r="V978" s="3">
        <f>IF($F978="","",IFERROR(INDEX('CAT_CENTROS_COSTO'!$F$4:$F$9,MATCH($F978,'CAT_CENTROS_COSTO'!$A$4:$A$9,0)),"(sin catálogo)"))</f>
        <v/>
      </c>
      <c r="W978" s="3">
        <f>IF($G978="","",IFERROR(INDEX('CAT_PUESTOS'!$B$4:$B$8,MATCH($G978,'CAT_PUESTOS'!$A$4:$A$8,0)),"(sin catálogo)"))</f>
        <v/>
      </c>
      <c r="X978" s="3">
        <f>IF($H978="","",IFERROR(INDEX('CAT_ACTIVIDADES'!$B$4:$B$8,MATCH($H978,'CAT_ACTIVIDADES'!$A$4:$A$8,0)),"(sin catálogo)"))</f>
        <v/>
      </c>
      <c r="Y978" s="12">
        <f>IF($J978="","",TODAY()-$J978)</f>
        <v/>
      </c>
      <c r="Z978" s="3">
        <f>IF($Y978="","",IF($Y978&lt;0,"FUTURO",IF($Y978&gt;p_dias_backlog_max,"BACKLOG","MES CORRIENTE")))</f>
        <v/>
      </c>
      <c r="AA978" s="3">
        <f>IF($Y978="",FALSE,AND($Y978&gt;p_dias_backlog_min,$Y978&lt;=p_dias_backlog_max))</f>
        <v/>
      </c>
      <c r="AB978" s="6" t="n"/>
      <c r="AC978" s="3">
        <f>IF($AB978="","",IFERROR(INDEX('ASIGNACIONES'!$F$4:$F$339,MATCH($O978&amp;"|"&amp;$R978&amp;"|"&amp;$AB978,'ASIGNACIONES'!$I$4:$I$339,0)),""))</f>
        <v/>
      </c>
      <c r="AD978" s="13">
        <f>IF($AB978="","",SUMIFS('ORDENES'!$M$4:$M$1203,'ORDENES'!$AB$4:$AB$1203,$AB978,'ORDENES'!$O$4:$O$1203,$O978,'ORDENES'!$R$4:$R$1203,$R978))</f>
        <v/>
      </c>
      <c r="AE978" s="13">
        <f>IF($AD978="","",p_factor_productividad*IFERROR(INDEX('ASIGNACIONES'!$H$4:$H$339,MATCH($O978&amp;"|"&amp;$R978&amp;"|"&amp;$AB978,'ASIGNACIONES'!$I$4:$I$339,0)),0)-$AD978)</f>
        <v/>
      </c>
      <c r="AF978" s="10">
        <f>IF($A978="","",IFERROR(INDEX('2_IMPORTAR_EJECUCION'!$F$9:$F$1208,MATCH($AN978,'2_IMPORTAR_EJECUCION'!$J$9:$J$1208,0)),0))</f>
        <v/>
      </c>
      <c r="AG978" s="10">
        <f>IF($A978="","",MAX(0,IFERROR(INDEX('2_IMPORTAR_EJECUCION'!$H$9:$H$1208,MATCH($AN978,'2_IMPORTAR_EJECUCION'!$J$9:$J$1208,0)),0)-$AF978))</f>
        <v/>
      </c>
      <c r="AH978" s="10">
        <f>IF($A978="","",$AF978+$AG978)</f>
        <v/>
      </c>
      <c r="AI978" s="6" t="n"/>
      <c r="AJ978" s="6" t="n"/>
      <c r="AK978" s="6" t="n"/>
      <c r="AL978" s="3">
        <f>IF($AK978="","",HYPERLINK(p_ruta_base_checklists&amp;$AK978,"abrir"))</f>
        <v/>
      </c>
      <c r="AM978" s="6" t="n"/>
      <c r="AN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1" t="n"/>
      <c r="K979" s="3" t="n"/>
      <c r="L979" s="10" t="n"/>
      <c r="M979" s="3">
        <f>IF($A979="","",IFERROR(INDEX('AJUSTES'!$B$4:$B$303,MATCH($AN979,'AJUSTES'!$A$4:$A$303,0)),IF($K979="","",$K979)))</f>
        <v/>
      </c>
      <c r="N979" s="3">
        <f>IF($A979="","",IFERROR(INDEX('CAT_ESTADOS_ERP'!$B$4:$B$7,MATCH(IFERROR(INDEX('2_IMPORTAR_EJECUCION'!$C$9:$C$1208,MATCH($AN979,'2_IMPORTAR_EJECUCION'!$J$9:$J$1208,0)),""),'CAT_ESTADOS_ERP'!$A$4:$A$7,0)),"Pendiente"))</f>
        <v/>
      </c>
      <c r="O979" s="3">
        <f>IF($J979="","",YEAR($J979+4-WEEKDAY($J979,2))&amp;"-S"&amp;TEXT(_xlfn.ISOWEEKNUM($J979),"00"))</f>
        <v/>
      </c>
      <c r="P979" s="3">
        <f>IF($J979="","",YEAR($J979))</f>
        <v/>
      </c>
      <c r="Q979" s="3">
        <f>IF($J979="","",MONTH($J979))</f>
        <v/>
      </c>
      <c r="R979" s="3">
        <f>IF($J979="","",INDEX(lista_dias,WEEKDAY($J979,2)))</f>
        <v/>
      </c>
      <c r="S979" s="3">
        <f>IF($I979="","",IFERROR(INDEX('CAT_TIPOS_OT'!$C$4:$C$7,MATCH($I979,'CAT_TIPOS_OT'!$A$4:$A$7,0)),"sin_clasificar"))</f>
        <v/>
      </c>
      <c r="T979" s="3">
        <f>IF($F979="","",IFERROR(INDEX('CAT_CENTROS_COSTO'!$E$4:$E$9,MATCH($F979,'CAT_CENTROS_COSTO'!$A$4:$A$9,0)),"(sin catálogo)"))</f>
        <v/>
      </c>
      <c r="U979" s="3">
        <f>IF($F979="","",IFERROR(INDEX('CAT_CENTROS_COSTO'!$D$4:$D$9,MATCH($F979,'CAT_CENTROS_COSTO'!$A$4:$A$9,0)),"(sin catálogo)"))</f>
        <v/>
      </c>
      <c r="V979" s="3">
        <f>IF($F979="","",IFERROR(INDEX('CAT_CENTROS_COSTO'!$F$4:$F$9,MATCH($F979,'CAT_CENTROS_COSTO'!$A$4:$A$9,0)),"(sin catálogo)"))</f>
        <v/>
      </c>
      <c r="W979" s="3">
        <f>IF($G979="","",IFERROR(INDEX('CAT_PUESTOS'!$B$4:$B$8,MATCH($G979,'CAT_PUESTOS'!$A$4:$A$8,0)),"(sin catálogo)"))</f>
        <v/>
      </c>
      <c r="X979" s="3">
        <f>IF($H979="","",IFERROR(INDEX('CAT_ACTIVIDADES'!$B$4:$B$8,MATCH($H979,'CAT_ACTIVIDADES'!$A$4:$A$8,0)),"(sin catálogo)"))</f>
        <v/>
      </c>
      <c r="Y979" s="12">
        <f>IF($J979="","",TODAY()-$J979)</f>
        <v/>
      </c>
      <c r="Z979" s="3">
        <f>IF($Y979="","",IF($Y979&lt;0,"FUTURO",IF($Y979&gt;p_dias_backlog_max,"BACKLOG","MES CORRIENTE")))</f>
        <v/>
      </c>
      <c r="AA979" s="3">
        <f>IF($Y979="",FALSE,AND($Y979&gt;p_dias_backlog_min,$Y979&lt;=p_dias_backlog_max))</f>
        <v/>
      </c>
      <c r="AB979" s="6" t="n"/>
      <c r="AC979" s="3">
        <f>IF($AB979="","",IFERROR(INDEX('ASIGNACIONES'!$F$4:$F$339,MATCH($O979&amp;"|"&amp;$R979&amp;"|"&amp;$AB979,'ASIGNACIONES'!$I$4:$I$339,0)),""))</f>
        <v/>
      </c>
      <c r="AD979" s="13">
        <f>IF($AB979="","",SUMIFS('ORDENES'!$M$4:$M$1203,'ORDENES'!$AB$4:$AB$1203,$AB979,'ORDENES'!$O$4:$O$1203,$O979,'ORDENES'!$R$4:$R$1203,$R979))</f>
        <v/>
      </c>
      <c r="AE979" s="13">
        <f>IF($AD979="","",p_factor_productividad*IFERROR(INDEX('ASIGNACIONES'!$H$4:$H$339,MATCH($O979&amp;"|"&amp;$R979&amp;"|"&amp;$AB979,'ASIGNACIONES'!$I$4:$I$339,0)),0)-$AD979)</f>
        <v/>
      </c>
      <c r="AF979" s="10">
        <f>IF($A979="","",IFERROR(INDEX('2_IMPORTAR_EJECUCION'!$F$9:$F$1208,MATCH($AN979,'2_IMPORTAR_EJECUCION'!$J$9:$J$1208,0)),0))</f>
        <v/>
      </c>
      <c r="AG979" s="10">
        <f>IF($A979="","",MAX(0,IFERROR(INDEX('2_IMPORTAR_EJECUCION'!$H$9:$H$1208,MATCH($AN979,'2_IMPORTAR_EJECUCION'!$J$9:$J$1208,0)),0)-$AF979))</f>
        <v/>
      </c>
      <c r="AH979" s="10">
        <f>IF($A979="","",$AF979+$AG979)</f>
        <v/>
      </c>
      <c r="AI979" s="6" t="n"/>
      <c r="AJ979" s="6" t="n"/>
      <c r="AK979" s="6" t="n"/>
      <c r="AL979" s="3">
        <f>IF($AK979="","",HYPERLINK(p_ruta_base_checklists&amp;$AK979,"abrir"))</f>
        <v/>
      </c>
      <c r="AM979" s="6" t="n"/>
      <c r="AN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1" t="n"/>
      <c r="K980" s="3" t="n"/>
      <c r="L980" s="10" t="n"/>
      <c r="M980" s="3">
        <f>IF($A980="","",IFERROR(INDEX('AJUSTES'!$B$4:$B$303,MATCH($AN980,'AJUSTES'!$A$4:$A$303,0)),IF($K980="","",$K980)))</f>
        <v/>
      </c>
      <c r="N980" s="3">
        <f>IF($A980="","",IFERROR(INDEX('CAT_ESTADOS_ERP'!$B$4:$B$7,MATCH(IFERROR(INDEX('2_IMPORTAR_EJECUCION'!$C$9:$C$1208,MATCH($AN980,'2_IMPORTAR_EJECUCION'!$J$9:$J$1208,0)),""),'CAT_ESTADOS_ERP'!$A$4:$A$7,0)),"Pendiente"))</f>
        <v/>
      </c>
      <c r="O980" s="3">
        <f>IF($J980="","",YEAR($J980+4-WEEKDAY($J980,2))&amp;"-S"&amp;TEXT(_xlfn.ISOWEEKNUM($J980),"00"))</f>
        <v/>
      </c>
      <c r="P980" s="3">
        <f>IF($J980="","",YEAR($J980))</f>
        <v/>
      </c>
      <c r="Q980" s="3">
        <f>IF($J980="","",MONTH($J980))</f>
        <v/>
      </c>
      <c r="R980" s="3">
        <f>IF($J980="","",INDEX(lista_dias,WEEKDAY($J980,2)))</f>
        <v/>
      </c>
      <c r="S980" s="3">
        <f>IF($I980="","",IFERROR(INDEX('CAT_TIPOS_OT'!$C$4:$C$7,MATCH($I980,'CAT_TIPOS_OT'!$A$4:$A$7,0)),"sin_clasificar"))</f>
        <v/>
      </c>
      <c r="T980" s="3">
        <f>IF($F980="","",IFERROR(INDEX('CAT_CENTROS_COSTO'!$E$4:$E$9,MATCH($F980,'CAT_CENTROS_COSTO'!$A$4:$A$9,0)),"(sin catálogo)"))</f>
        <v/>
      </c>
      <c r="U980" s="3">
        <f>IF($F980="","",IFERROR(INDEX('CAT_CENTROS_COSTO'!$D$4:$D$9,MATCH($F980,'CAT_CENTROS_COSTO'!$A$4:$A$9,0)),"(sin catálogo)"))</f>
        <v/>
      </c>
      <c r="V980" s="3">
        <f>IF($F980="","",IFERROR(INDEX('CAT_CENTROS_COSTO'!$F$4:$F$9,MATCH($F980,'CAT_CENTROS_COSTO'!$A$4:$A$9,0)),"(sin catálogo)"))</f>
        <v/>
      </c>
      <c r="W980" s="3">
        <f>IF($G980="","",IFERROR(INDEX('CAT_PUESTOS'!$B$4:$B$8,MATCH($G980,'CAT_PUESTOS'!$A$4:$A$8,0)),"(sin catálogo)"))</f>
        <v/>
      </c>
      <c r="X980" s="3">
        <f>IF($H980="","",IFERROR(INDEX('CAT_ACTIVIDADES'!$B$4:$B$8,MATCH($H980,'CAT_ACTIVIDADES'!$A$4:$A$8,0)),"(sin catálogo)"))</f>
        <v/>
      </c>
      <c r="Y980" s="12">
        <f>IF($J980="","",TODAY()-$J980)</f>
        <v/>
      </c>
      <c r="Z980" s="3">
        <f>IF($Y980="","",IF($Y980&lt;0,"FUTURO",IF($Y980&gt;p_dias_backlog_max,"BACKLOG","MES CORRIENTE")))</f>
        <v/>
      </c>
      <c r="AA980" s="3">
        <f>IF($Y980="",FALSE,AND($Y980&gt;p_dias_backlog_min,$Y980&lt;=p_dias_backlog_max))</f>
        <v/>
      </c>
      <c r="AB980" s="6" t="n"/>
      <c r="AC980" s="3">
        <f>IF($AB980="","",IFERROR(INDEX('ASIGNACIONES'!$F$4:$F$339,MATCH($O980&amp;"|"&amp;$R980&amp;"|"&amp;$AB980,'ASIGNACIONES'!$I$4:$I$339,0)),""))</f>
        <v/>
      </c>
      <c r="AD980" s="13">
        <f>IF($AB980="","",SUMIFS('ORDENES'!$M$4:$M$1203,'ORDENES'!$AB$4:$AB$1203,$AB980,'ORDENES'!$O$4:$O$1203,$O980,'ORDENES'!$R$4:$R$1203,$R980))</f>
        <v/>
      </c>
      <c r="AE980" s="13">
        <f>IF($AD980="","",p_factor_productividad*IFERROR(INDEX('ASIGNACIONES'!$H$4:$H$339,MATCH($O980&amp;"|"&amp;$R980&amp;"|"&amp;$AB980,'ASIGNACIONES'!$I$4:$I$339,0)),0)-$AD980)</f>
        <v/>
      </c>
      <c r="AF980" s="10">
        <f>IF($A980="","",IFERROR(INDEX('2_IMPORTAR_EJECUCION'!$F$9:$F$1208,MATCH($AN980,'2_IMPORTAR_EJECUCION'!$J$9:$J$1208,0)),0))</f>
        <v/>
      </c>
      <c r="AG980" s="10">
        <f>IF($A980="","",MAX(0,IFERROR(INDEX('2_IMPORTAR_EJECUCION'!$H$9:$H$1208,MATCH($AN980,'2_IMPORTAR_EJECUCION'!$J$9:$J$1208,0)),0)-$AF980))</f>
        <v/>
      </c>
      <c r="AH980" s="10">
        <f>IF($A980="","",$AF980+$AG980)</f>
        <v/>
      </c>
      <c r="AI980" s="6" t="n"/>
      <c r="AJ980" s="6" t="n"/>
      <c r="AK980" s="6" t="n"/>
      <c r="AL980" s="3">
        <f>IF($AK980="","",HYPERLINK(p_ruta_base_checklists&amp;$AK980,"abrir"))</f>
        <v/>
      </c>
      <c r="AM980" s="6" t="n"/>
      <c r="AN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1" t="n"/>
      <c r="K981" s="3" t="n"/>
      <c r="L981" s="10" t="n"/>
      <c r="M981" s="3">
        <f>IF($A981="","",IFERROR(INDEX('AJUSTES'!$B$4:$B$303,MATCH($AN981,'AJUSTES'!$A$4:$A$303,0)),IF($K981="","",$K981)))</f>
        <v/>
      </c>
      <c r="N981" s="3">
        <f>IF($A981="","",IFERROR(INDEX('CAT_ESTADOS_ERP'!$B$4:$B$7,MATCH(IFERROR(INDEX('2_IMPORTAR_EJECUCION'!$C$9:$C$1208,MATCH($AN981,'2_IMPORTAR_EJECUCION'!$J$9:$J$1208,0)),""),'CAT_ESTADOS_ERP'!$A$4:$A$7,0)),"Pendiente"))</f>
        <v/>
      </c>
      <c r="O981" s="3">
        <f>IF($J981="","",YEAR($J981+4-WEEKDAY($J981,2))&amp;"-S"&amp;TEXT(_xlfn.ISOWEEKNUM($J981),"00"))</f>
        <v/>
      </c>
      <c r="P981" s="3">
        <f>IF($J981="","",YEAR($J981))</f>
        <v/>
      </c>
      <c r="Q981" s="3">
        <f>IF($J981="","",MONTH($J981))</f>
        <v/>
      </c>
      <c r="R981" s="3">
        <f>IF($J981="","",INDEX(lista_dias,WEEKDAY($J981,2)))</f>
        <v/>
      </c>
      <c r="S981" s="3">
        <f>IF($I981="","",IFERROR(INDEX('CAT_TIPOS_OT'!$C$4:$C$7,MATCH($I981,'CAT_TIPOS_OT'!$A$4:$A$7,0)),"sin_clasificar"))</f>
        <v/>
      </c>
      <c r="T981" s="3">
        <f>IF($F981="","",IFERROR(INDEX('CAT_CENTROS_COSTO'!$E$4:$E$9,MATCH($F981,'CAT_CENTROS_COSTO'!$A$4:$A$9,0)),"(sin catálogo)"))</f>
        <v/>
      </c>
      <c r="U981" s="3">
        <f>IF($F981="","",IFERROR(INDEX('CAT_CENTROS_COSTO'!$D$4:$D$9,MATCH($F981,'CAT_CENTROS_COSTO'!$A$4:$A$9,0)),"(sin catálogo)"))</f>
        <v/>
      </c>
      <c r="V981" s="3">
        <f>IF($F981="","",IFERROR(INDEX('CAT_CENTROS_COSTO'!$F$4:$F$9,MATCH($F981,'CAT_CENTROS_COSTO'!$A$4:$A$9,0)),"(sin catálogo)"))</f>
        <v/>
      </c>
      <c r="W981" s="3">
        <f>IF($G981="","",IFERROR(INDEX('CAT_PUESTOS'!$B$4:$B$8,MATCH($G981,'CAT_PUESTOS'!$A$4:$A$8,0)),"(sin catálogo)"))</f>
        <v/>
      </c>
      <c r="X981" s="3">
        <f>IF($H981="","",IFERROR(INDEX('CAT_ACTIVIDADES'!$B$4:$B$8,MATCH($H981,'CAT_ACTIVIDADES'!$A$4:$A$8,0)),"(sin catálogo)"))</f>
        <v/>
      </c>
      <c r="Y981" s="12">
        <f>IF($J981="","",TODAY()-$J981)</f>
        <v/>
      </c>
      <c r="Z981" s="3">
        <f>IF($Y981="","",IF($Y981&lt;0,"FUTURO",IF($Y981&gt;p_dias_backlog_max,"BACKLOG","MES CORRIENTE")))</f>
        <v/>
      </c>
      <c r="AA981" s="3">
        <f>IF($Y981="",FALSE,AND($Y981&gt;p_dias_backlog_min,$Y981&lt;=p_dias_backlog_max))</f>
        <v/>
      </c>
      <c r="AB981" s="6" t="n"/>
      <c r="AC981" s="3">
        <f>IF($AB981="","",IFERROR(INDEX('ASIGNACIONES'!$F$4:$F$339,MATCH($O981&amp;"|"&amp;$R981&amp;"|"&amp;$AB981,'ASIGNACIONES'!$I$4:$I$339,0)),""))</f>
        <v/>
      </c>
      <c r="AD981" s="13">
        <f>IF($AB981="","",SUMIFS('ORDENES'!$M$4:$M$1203,'ORDENES'!$AB$4:$AB$1203,$AB981,'ORDENES'!$O$4:$O$1203,$O981,'ORDENES'!$R$4:$R$1203,$R981))</f>
        <v/>
      </c>
      <c r="AE981" s="13">
        <f>IF($AD981="","",p_factor_productividad*IFERROR(INDEX('ASIGNACIONES'!$H$4:$H$339,MATCH($O981&amp;"|"&amp;$R981&amp;"|"&amp;$AB981,'ASIGNACIONES'!$I$4:$I$339,0)),0)-$AD981)</f>
        <v/>
      </c>
      <c r="AF981" s="10">
        <f>IF($A981="","",IFERROR(INDEX('2_IMPORTAR_EJECUCION'!$F$9:$F$1208,MATCH($AN981,'2_IMPORTAR_EJECUCION'!$J$9:$J$1208,0)),0))</f>
        <v/>
      </c>
      <c r="AG981" s="10">
        <f>IF($A981="","",MAX(0,IFERROR(INDEX('2_IMPORTAR_EJECUCION'!$H$9:$H$1208,MATCH($AN981,'2_IMPORTAR_EJECUCION'!$J$9:$J$1208,0)),0)-$AF981))</f>
        <v/>
      </c>
      <c r="AH981" s="10">
        <f>IF($A981="","",$AF981+$AG981)</f>
        <v/>
      </c>
      <c r="AI981" s="6" t="n"/>
      <c r="AJ981" s="6" t="n"/>
      <c r="AK981" s="6" t="n"/>
      <c r="AL981" s="3">
        <f>IF($AK981="","",HYPERLINK(p_ruta_base_checklists&amp;$AK981,"abrir"))</f>
        <v/>
      </c>
      <c r="AM981" s="6" t="n"/>
      <c r="AN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1" t="n"/>
      <c r="K982" s="3" t="n"/>
      <c r="L982" s="10" t="n"/>
      <c r="M982" s="3">
        <f>IF($A982="","",IFERROR(INDEX('AJUSTES'!$B$4:$B$303,MATCH($AN982,'AJUSTES'!$A$4:$A$303,0)),IF($K982="","",$K982)))</f>
        <v/>
      </c>
      <c r="N982" s="3">
        <f>IF($A982="","",IFERROR(INDEX('CAT_ESTADOS_ERP'!$B$4:$B$7,MATCH(IFERROR(INDEX('2_IMPORTAR_EJECUCION'!$C$9:$C$1208,MATCH($AN982,'2_IMPORTAR_EJECUCION'!$J$9:$J$1208,0)),""),'CAT_ESTADOS_ERP'!$A$4:$A$7,0)),"Pendiente"))</f>
        <v/>
      </c>
      <c r="O982" s="3">
        <f>IF($J982="","",YEAR($J982+4-WEEKDAY($J982,2))&amp;"-S"&amp;TEXT(_xlfn.ISOWEEKNUM($J982),"00"))</f>
        <v/>
      </c>
      <c r="P982" s="3">
        <f>IF($J982="","",YEAR($J982))</f>
        <v/>
      </c>
      <c r="Q982" s="3">
        <f>IF($J982="","",MONTH($J982))</f>
        <v/>
      </c>
      <c r="R982" s="3">
        <f>IF($J982="","",INDEX(lista_dias,WEEKDAY($J982,2)))</f>
        <v/>
      </c>
      <c r="S982" s="3">
        <f>IF($I982="","",IFERROR(INDEX('CAT_TIPOS_OT'!$C$4:$C$7,MATCH($I982,'CAT_TIPOS_OT'!$A$4:$A$7,0)),"sin_clasificar"))</f>
        <v/>
      </c>
      <c r="T982" s="3">
        <f>IF($F982="","",IFERROR(INDEX('CAT_CENTROS_COSTO'!$E$4:$E$9,MATCH($F982,'CAT_CENTROS_COSTO'!$A$4:$A$9,0)),"(sin catálogo)"))</f>
        <v/>
      </c>
      <c r="U982" s="3">
        <f>IF($F982="","",IFERROR(INDEX('CAT_CENTROS_COSTO'!$D$4:$D$9,MATCH($F982,'CAT_CENTROS_COSTO'!$A$4:$A$9,0)),"(sin catálogo)"))</f>
        <v/>
      </c>
      <c r="V982" s="3">
        <f>IF($F982="","",IFERROR(INDEX('CAT_CENTROS_COSTO'!$F$4:$F$9,MATCH($F982,'CAT_CENTROS_COSTO'!$A$4:$A$9,0)),"(sin catálogo)"))</f>
        <v/>
      </c>
      <c r="W982" s="3">
        <f>IF($G982="","",IFERROR(INDEX('CAT_PUESTOS'!$B$4:$B$8,MATCH($G982,'CAT_PUESTOS'!$A$4:$A$8,0)),"(sin catálogo)"))</f>
        <v/>
      </c>
      <c r="X982" s="3">
        <f>IF($H982="","",IFERROR(INDEX('CAT_ACTIVIDADES'!$B$4:$B$8,MATCH($H982,'CAT_ACTIVIDADES'!$A$4:$A$8,0)),"(sin catálogo)"))</f>
        <v/>
      </c>
      <c r="Y982" s="12">
        <f>IF($J982="","",TODAY()-$J982)</f>
        <v/>
      </c>
      <c r="Z982" s="3">
        <f>IF($Y982="","",IF($Y982&lt;0,"FUTURO",IF($Y982&gt;p_dias_backlog_max,"BACKLOG","MES CORRIENTE")))</f>
        <v/>
      </c>
      <c r="AA982" s="3">
        <f>IF($Y982="",FALSE,AND($Y982&gt;p_dias_backlog_min,$Y982&lt;=p_dias_backlog_max))</f>
        <v/>
      </c>
      <c r="AB982" s="6" t="n"/>
      <c r="AC982" s="3">
        <f>IF($AB982="","",IFERROR(INDEX('ASIGNACIONES'!$F$4:$F$339,MATCH($O982&amp;"|"&amp;$R982&amp;"|"&amp;$AB982,'ASIGNACIONES'!$I$4:$I$339,0)),""))</f>
        <v/>
      </c>
      <c r="AD982" s="13">
        <f>IF($AB982="","",SUMIFS('ORDENES'!$M$4:$M$1203,'ORDENES'!$AB$4:$AB$1203,$AB982,'ORDENES'!$O$4:$O$1203,$O982,'ORDENES'!$R$4:$R$1203,$R982))</f>
        <v/>
      </c>
      <c r="AE982" s="13">
        <f>IF($AD982="","",p_factor_productividad*IFERROR(INDEX('ASIGNACIONES'!$H$4:$H$339,MATCH($O982&amp;"|"&amp;$R982&amp;"|"&amp;$AB982,'ASIGNACIONES'!$I$4:$I$339,0)),0)-$AD982)</f>
        <v/>
      </c>
      <c r="AF982" s="10">
        <f>IF($A982="","",IFERROR(INDEX('2_IMPORTAR_EJECUCION'!$F$9:$F$1208,MATCH($AN982,'2_IMPORTAR_EJECUCION'!$J$9:$J$1208,0)),0))</f>
        <v/>
      </c>
      <c r="AG982" s="10">
        <f>IF($A982="","",MAX(0,IFERROR(INDEX('2_IMPORTAR_EJECUCION'!$H$9:$H$1208,MATCH($AN982,'2_IMPORTAR_EJECUCION'!$J$9:$J$1208,0)),0)-$AF982))</f>
        <v/>
      </c>
      <c r="AH982" s="10">
        <f>IF($A982="","",$AF982+$AG982)</f>
        <v/>
      </c>
      <c r="AI982" s="6" t="n"/>
      <c r="AJ982" s="6" t="n"/>
      <c r="AK982" s="6" t="n"/>
      <c r="AL982" s="3">
        <f>IF($AK982="","",HYPERLINK(p_ruta_base_checklists&amp;$AK982,"abrir"))</f>
        <v/>
      </c>
      <c r="AM982" s="6" t="n"/>
      <c r="AN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1" t="n"/>
      <c r="K983" s="3" t="n"/>
      <c r="L983" s="10" t="n"/>
      <c r="M983" s="3">
        <f>IF($A983="","",IFERROR(INDEX('AJUSTES'!$B$4:$B$303,MATCH($AN983,'AJUSTES'!$A$4:$A$303,0)),IF($K983="","",$K983)))</f>
        <v/>
      </c>
      <c r="N983" s="3">
        <f>IF($A983="","",IFERROR(INDEX('CAT_ESTADOS_ERP'!$B$4:$B$7,MATCH(IFERROR(INDEX('2_IMPORTAR_EJECUCION'!$C$9:$C$1208,MATCH($AN983,'2_IMPORTAR_EJECUCION'!$J$9:$J$1208,0)),""),'CAT_ESTADOS_ERP'!$A$4:$A$7,0)),"Pendiente"))</f>
        <v/>
      </c>
      <c r="O983" s="3">
        <f>IF($J983="","",YEAR($J983+4-WEEKDAY($J983,2))&amp;"-S"&amp;TEXT(_xlfn.ISOWEEKNUM($J983),"00"))</f>
        <v/>
      </c>
      <c r="P983" s="3">
        <f>IF($J983="","",YEAR($J983))</f>
        <v/>
      </c>
      <c r="Q983" s="3">
        <f>IF($J983="","",MONTH($J983))</f>
        <v/>
      </c>
      <c r="R983" s="3">
        <f>IF($J983="","",INDEX(lista_dias,WEEKDAY($J983,2)))</f>
        <v/>
      </c>
      <c r="S983" s="3">
        <f>IF($I983="","",IFERROR(INDEX('CAT_TIPOS_OT'!$C$4:$C$7,MATCH($I983,'CAT_TIPOS_OT'!$A$4:$A$7,0)),"sin_clasificar"))</f>
        <v/>
      </c>
      <c r="T983" s="3">
        <f>IF($F983="","",IFERROR(INDEX('CAT_CENTROS_COSTO'!$E$4:$E$9,MATCH($F983,'CAT_CENTROS_COSTO'!$A$4:$A$9,0)),"(sin catálogo)"))</f>
        <v/>
      </c>
      <c r="U983" s="3">
        <f>IF($F983="","",IFERROR(INDEX('CAT_CENTROS_COSTO'!$D$4:$D$9,MATCH($F983,'CAT_CENTROS_COSTO'!$A$4:$A$9,0)),"(sin catálogo)"))</f>
        <v/>
      </c>
      <c r="V983" s="3">
        <f>IF($F983="","",IFERROR(INDEX('CAT_CENTROS_COSTO'!$F$4:$F$9,MATCH($F983,'CAT_CENTROS_COSTO'!$A$4:$A$9,0)),"(sin catálogo)"))</f>
        <v/>
      </c>
      <c r="W983" s="3">
        <f>IF($G983="","",IFERROR(INDEX('CAT_PUESTOS'!$B$4:$B$8,MATCH($G983,'CAT_PUESTOS'!$A$4:$A$8,0)),"(sin catálogo)"))</f>
        <v/>
      </c>
      <c r="X983" s="3">
        <f>IF($H983="","",IFERROR(INDEX('CAT_ACTIVIDADES'!$B$4:$B$8,MATCH($H983,'CAT_ACTIVIDADES'!$A$4:$A$8,0)),"(sin catálogo)"))</f>
        <v/>
      </c>
      <c r="Y983" s="12">
        <f>IF($J983="","",TODAY()-$J983)</f>
        <v/>
      </c>
      <c r="Z983" s="3">
        <f>IF($Y983="","",IF($Y983&lt;0,"FUTURO",IF($Y983&gt;p_dias_backlog_max,"BACKLOG","MES CORRIENTE")))</f>
        <v/>
      </c>
      <c r="AA983" s="3">
        <f>IF($Y983="",FALSE,AND($Y983&gt;p_dias_backlog_min,$Y983&lt;=p_dias_backlog_max))</f>
        <v/>
      </c>
      <c r="AB983" s="6" t="n"/>
      <c r="AC983" s="3">
        <f>IF($AB983="","",IFERROR(INDEX('ASIGNACIONES'!$F$4:$F$339,MATCH($O983&amp;"|"&amp;$R983&amp;"|"&amp;$AB983,'ASIGNACIONES'!$I$4:$I$339,0)),""))</f>
        <v/>
      </c>
      <c r="AD983" s="13">
        <f>IF($AB983="","",SUMIFS('ORDENES'!$M$4:$M$1203,'ORDENES'!$AB$4:$AB$1203,$AB983,'ORDENES'!$O$4:$O$1203,$O983,'ORDENES'!$R$4:$R$1203,$R983))</f>
        <v/>
      </c>
      <c r="AE983" s="13">
        <f>IF($AD983="","",p_factor_productividad*IFERROR(INDEX('ASIGNACIONES'!$H$4:$H$339,MATCH($O983&amp;"|"&amp;$R983&amp;"|"&amp;$AB983,'ASIGNACIONES'!$I$4:$I$339,0)),0)-$AD983)</f>
        <v/>
      </c>
      <c r="AF983" s="10">
        <f>IF($A983="","",IFERROR(INDEX('2_IMPORTAR_EJECUCION'!$F$9:$F$1208,MATCH($AN983,'2_IMPORTAR_EJECUCION'!$J$9:$J$1208,0)),0))</f>
        <v/>
      </c>
      <c r="AG983" s="10">
        <f>IF($A983="","",MAX(0,IFERROR(INDEX('2_IMPORTAR_EJECUCION'!$H$9:$H$1208,MATCH($AN983,'2_IMPORTAR_EJECUCION'!$J$9:$J$1208,0)),0)-$AF983))</f>
        <v/>
      </c>
      <c r="AH983" s="10">
        <f>IF($A983="","",$AF983+$AG983)</f>
        <v/>
      </c>
      <c r="AI983" s="6" t="n"/>
      <c r="AJ983" s="6" t="n"/>
      <c r="AK983" s="6" t="n"/>
      <c r="AL983" s="3">
        <f>IF($AK983="","",HYPERLINK(p_ruta_base_checklists&amp;$AK983,"abrir"))</f>
        <v/>
      </c>
      <c r="AM983" s="6" t="n"/>
      <c r="AN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1" t="n"/>
      <c r="K984" s="3" t="n"/>
      <c r="L984" s="10" t="n"/>
      <c r="M984" s="3">
        <f>IF($A984="","",IFERROR(INDEX('AJUSTES'!$B$4:$B$303,MATCH($AN984,'AJUSTES'!$A$4:$A$303,0)),IF($K984="","",$K984)))</f>
        <v/>
      </c>
      <c r="N984" s="3">
        <f>IF($A984="","",IFERROR(INDEX('CAT_ESTADOS_ERP'!$B$4:$B$7,MATCH(IFERROR(INDEX('2_IMPORTAR_EJECUCION'!$C$9:$C$1208,MATCH($AN984,'2_IMPORTAR_EJECUCION'!$J$9:$J$1208,0)),""),'CAT_ESTADOS_ERP'!$A$4:$A$7,0)),"Pendiente"))</f>
        <v/>
      </c>
      <c r="O984" s="3">
        <f>IF($J984="","",YEAR($J984+4-WEEKDAY($J984,2))&amp;"-S"&amp;TEXT(_xlfn.ISOWEEKNUM($J984),"00"))</f>
        <v/>
      </c>
      <c r="P984" s="3">
        <f>IF($J984="","",YEAR($J984))</f>
        <v/>
      </c>
      <c r="Q984" s="3">
        <f>IF($J984="","",MONTH($J984))</f>
        <v/>
      </c>
      <c r="R984" s="3">
        <f>IF($J984="","",INDEX(lista_dias,WEEKDAY($J984,2)))</f>
        <v/>
      </c>
      <c r="S984" s="3">
        <f>IF($I984="","",IFERROR(INDEX('CAT_TIPOS_OT'!$C$4:$C$7,MATCH($I984,'CAT_TIPOS_OT'!$A$4:$A$7,0)),"sin_clasificar"))</f>
        <v/>
      </c>
      <c r="T984" s="3">
        <f>IF($F984="","",IFERROR(INDEX('CAT_CENTROS_COSTO'!$E$4:$E$9,MATCH($F984,'CAT_CENTROS_COSTO'!$A$4:$A$9,0)),"(sin catálogo)"))</f>
        <v/>
      </c>
      <c r="U984" s="3">
        <f>IF($F984="","",IFERROR(INDEX('CAT_CENTROS_COSTO'!$D$4:$D$9,MATCH($F984,'CAT_CENTROS_COSTO'!$A$4:$A$9,0)),"(sin catálogo)"))</f>
        <v/>
      </c>
      <c r="V984" s="3">
        <f>IF($F984="","",IFERROR(INDEX('CAT_CENTROS_COSTO'!$F$4:$F$9,MATCH($F984,'CAT_CENTROS_COSTO'!$A$4:$A$9,0)),"(sin catálogo)"))</f>
        <v/>
      </c>
      <c r="W984" s="3">
        <f>IF($G984="","",IFERROR(INDEX('CAT_PUESTOS'!$B$4:$B$8,MATCH($G984,'CAT_PUESTOS'!$A$4:$A$8,0)),"(sin catálogo)"))</f>
        <v/>
      </c>
      <c r="X984" s="3">
        <f>IF($H984="","",IFERROR(INDEX('CAT_ACTIVIDADES'!$B$4:$B$8,MATCH($H984,'CAT_ACTIVIDADES'!$A$4:$A$8,0)),"(sin catálogo)"))</f>
        <v/>
      </c>
      <c r="Y984" s="12">
        <f>IF($J984="","",TODAY()-$J984)</f>
        <v/>
      </c>
      <c r="Z984" s="3">
        <f>IF($Y984="","",IF($Y984&lt;0,"FUTURO",IF($Y984&gt;p_dias_backlog_max,"BACKLOG","MES CORRIENTE")))</f>
        <v/>
      </c>
      <c r="AA984" s="3">
        <f>IF($Y984="",FALSE,AND($Y984&gt;p_dias_backlog_min,$Y984&lt;=p_dias_backlog_max))</f>
        <v/>
      </c>
      <c r="AB984" s="6" t="n"/>
      <c r="AC984" s="3">
        <f>IF($AB984="","",IFERROR(INDEX('ASIGNACIONES'!$F$4:$F$339,MATCH($O984&amp;"|"&amp;$R984&amp;"|"&amp;$AB984,'ASIGNACIONES'!$I$4:$I$339,0)),""))</f>
        <v/>
      </c>
      <c r="AD984" s="13">
        <f>IF($AB984="","",SUMIFS('ORDENES'!$M$4:$M$1203,'ORDENES'!$AB$4:$AB$1203,$AB984,'ORDENES'!$O$4:$O$1203,$O984,'ORDENES'!$R$4:$R$1203,$R984))</f>
        <v/>
      </c>
      <c r="AE984" s="13">
        <f>IF($AD984="","",p_factor_productividad*IFERROR(INDEX('ASIGNACIONES'!$H$4:$H$339,MATCH($O984&amp;"|"&amp;$R984&amp;"|"&amp;$AB984,'ASIGNACIONES'!$I$4:$I$339,0)),0)-$AD984)</f>
        <v/>
      </c>
      <c r="AF984" s="10">
        <f>IF($A984="","",IFERROR(INDEX('2_IMPORTAR_EJECUCION'!$F$9:$F$1208,MATCH($AN984,'2_IMPORTAR_EJECUCION'!$J$9:$J$1208,0)),0))</f>
        <v/>
      </c>
      <c r="AG984" s="10">
        <f>IF($A984="","",MAX(0,IFERROR(INDEX('2_IMPORTAR_EJECUCION'!$H$9:$H$1208,MATCH($AN984,'2_IMPORTAR_EJECUCION'!$J$9:$J$1208,0)),0)-$AF984))</f>
        <v/>
      </c>
      <c r="AH984" s="10">
        <f>IF($A984="","",$AF984+$AG984)</f>
        <v/>
      </c>
      <c r="AI984" s="6" t="n"/>
      <c r="AJ984" s="6" t="n"/>
      <c r="AK984" s="6" t="n"/>
      <c r="AL984" s="3">
        <f>IF($AK984="","",HYPERLINK(p_ruta_base_checklists&amp;$AK984,"abrir"))</f>
        <v/>
      </c>
      <c r="AM984" s="6" t="n"/>
      <c r="AN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1" t="n"/>
      <c r="K985" s="3" t="n"/>
      <c r="L985" s="10" t="n"/>
      <c r="M985" s="3">
        <f>IF($A985="","",IFERROR(INDEX('AJUSTES'!$B$4:$B$303,MATCH($AN985,'AJUSTES'!$A$4:$A$303,0)),IF($K985="","",$K985)))</f>
        <v/>
      </c>
      <c r="N985" s="3">
        <f>IF($A985="","",IFERROR(INDEX('CAT_ESTADOS_ERP'!$B$4:$B$7,MATCH(IFERROR(INDEX('2_IMPORTAR_EJECUCION'!$C$9:$C$1208,MATCH($AN985,'2_IMPORTAR_EJECUCION'!$J$9:$J$1208,0)),""),'CAT_ESTADOS_ERP'!$A$4:$A$7,0)),"Pendiente"))</f>
        <v/>
      </c>
      <c r="O985" s="3">
        <f>IF($J985="","",YEAR($J985+4-WEEKDAY($J985,2))&amp;"-S"&amp;TEXT(_xlfn.ISOWEEKNUM($J985),"00"))</f>
        <v/>
      </c>
      <c r="P985" s="3">
        <f>IF($J985="","",YEAR($J985))</f>
        <v/>
      </c>
      <c r="Q985" s="3">
        <f>IF($J985="","",MONTH($J985))</f>
        <v/>
      </c>
      <c r="R985" s="3">
        <f>IF($J985="","",INDEX(lista_dias,WEEKDAY($J985,2)))</f>
        <v/>
      </c>
      <c r="S985" s="3">
        <f>IF($I985="","",IFERROR(INDEX('CAT_TIPOS_OT'!$C$4:$C$7,MATCH($I985,'CAT_TIPOS_OT'!$A$4:$A$7,0)),"sin_clasificar"))</f>
        <v/>
      </c>
      <c r="T985" s="3">
        <f>IF($F985="","",IFERROR(INDEX('CAT_CENTROS_COSTO'!$E$4:$E$9,MATCH($F985,'CAT_CENTROS_COSTO'!$A$4:$A$9,0)),"(sin catálogo)"))</f>
        <v/>
      </c>
      <c r="U985" s="3">
        <f>IF($F985="","",IFERROR(INDEX('CAT_CENTROS_COSTO'!$D$4:$D$9,MATCH($F985,'CAT_CENTROS_COSTO'!$A$4:$A$9,0)),"(sin catálogo)"))</f>
        <v/>
      </c>
      <c r="V985" s="3">
        <f>IF($F985="","",IFERROR(INDEX('CAT_CENTROS_COSTO'!$F$4:$F$9,MATCH($F985,'CAT_CENTROS_COSTO'!$A$4:$A$9,0)),"(sin catálogo)"))</f>
        <v/>
      </c>
      <c r="W985" s="3">
        <f>IF($G985="","",IFERROR(INDEX('CAT_PUESTOS'!$B$4:$B$8,MATCH($G985,'CAT_PUESTOS'!$A$4:$A$8,0)),"(sin catálogo)"))</f>
        <v/>
      </c>
      <c r="X985" s="3">
        <f>IF($H985="","",IFERROR(INDEX('CAT_ACTIVIDADES'!$B$4:$B$8,MATCH($H985,'CAT_ACTIVIDADES'!$A$4:$A$8,0)),"(sin catálogo)"))</f>
        <v/>
      </c>
      <c r="Y985" s="12">
        <f>IF($J985="","",TODAY()-$J985)</f>
        <v/>
      </c>
      <c r="Z985" s="3">
        <f>IF($Y985="","",IF($Y985&lt;0,"FUTURO",IF($Y985&gt;p_dias_backlog_max,"BACKLOG","MES CORRIENTE")))</f>
        <v/>
      </c>
      <c r="AA985" s="3">
        <f>IF($Y985="",FALSE,AND($Y985&gt;p_dias_backlog_min,$Y985&lt;=p_dias_backlog_max))</f>
        <v/>
      </c>
      <c r="AB985" s="6" t="n"/>
      <c r="AC985" s="3">
        <f>IF($AB985="","",IFERROR(INDEX('ASIGNACIONES'!$F$4:$F$339,MATCH($O985&amp;"|"&amp;$R985&amp;"|"&amp;$AB985,'ASIGNACIONES'!$I$4:$I$339,0)),""))</f>
        <v/>
      </c>
      <c r="AD985" s="13">
        <f>IF($AB985="","",SUMIFS('ORDENES'!$M$4:$M$1203,'ORDENES'!$AB$4:$AB$1203,$AB985,'ORDENES'!$O$4:$O$1203,$O985,'ORDENES'!$R$4:$R$1203,$R985))</f>
        <v/>
      </c>
      <c r="AE985" s="13">
        <f>IF($AD985="","",p_factor_productividad*IFERROR(INDEX('ASIGNACIONES'!$H$4:$H$339,MATCH($O985&amp;"|"&amp;$R985&amp;"|"&amp;$AB985,'ASIGNACIONES'!$I$4:$I$339,0)),0)-$AD985)</f>
        <v/>
      </c>
      <c r="AF985" s="10">
        <f>IF($A985="","",IFERROR(INDEX('2_IMPORTAR_EJECUCION'!$F$9:$F$1208,MATCH($AN985,'2_IMPORTAR_EJECUCION'!$J$9:$J$1208,0)),0))</f>
        <v/>
      </c>
      <c r="AG985" s="10">
        <f>IF($A985="","",MAX(0,IFERROR(INDEX('2_IMPORTAR_EJECUCION'!$H$9:$H$1208,MATCH($AN985,'2_IMPORTAR_EJECUCION'!$J$9:$J$1208,0)),0)-$AF985))</f>
        <v/>
      </c>
      <c r="AH985" s="10">
        <f>IF($A985="","",$AF985+$AG985)</f>
        <v/>
      </c>
      <c r="AI985" s="6" t="n"/>
      <c r="AJ985" s="6" t="n"/>
      <c r="AK985" s="6" t="n"/>
      <c r="AL985" s="3">
        <f>IF($AK985="","",HYPERLINK(p_ruta_base_checklists&amp;$AK985,"abrir"))</f>
        <v/>
      </c>
      <c r="AM985" s="6" t="n"/>
      <c r="AN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1" t="n"/>
      <c r="K986" s="3" t="n"/>
      <c r="L986" s="10" t="n"/>
      <c r="M986" s="3">
        <f>IF($A986="","",IFERROR(INDEX('AJUSTES'!$B$4:$B$303,MATCH($AN986,'AJUSTES'!$A$4:$A$303,0)),IF($K986="","",$K986)))</f>
        <v/>
      </c>
      <c r="N986" s="3">
        <f>IF($A986="","",IFERROR(INDEX('CAT_ESTADOS_ERP'!$B$4:$B$7,MATCH(IFERROR(INDEX('2_IMPORTAR_EJECUCION'!$C$9:$C$1208,MATCH($AN986,'2_IMPORTAR_EJECUCION'!$J$9:$J$1208,0)),""),'CAT_ESTADOS_ERP'!$A$4:$A$7,0)),"Pendiente"))</f>
        <v/>
      </c>
      <c r="O986" s="3">
        <f>IF($J986="","",YEAR($J986+4-WEEKDAY($J986,2))&amp;"-S"&amp;TEXT(_xlfn.ISOWEEKNUM($J986),"00"))</f>
        <v/>
      </c>
      <c r="P986" s="3">
        <f>IF($J986="","",YEAR($J986))</f>
        <v/>
      </c>
      <c r="Q986" s="3">
        <f>IF($J986="","",MONTH($J986))</f>
        <v/>
      </c>
      <c r="R986" s="3">
        <f>IF($J986="","",INDEX(lista_dias,WEEKDAY($J986,2)))</f>
        <v/>
      </c>
      <c r="S986" s="3">
        <f>IF($I986="","",IFERROR(INDEX('CAT_TIPOS_OT'!$C$4:$C$7,MATCH($I986,'CAT_TIPOS_OT'!$A$4:$A$7,0)),"sin_clasificar"))</f>
        <v/>
      </c>
      <c r="T986" s="3">
        <f>IF($F986="","",IFERROR(INDEX('CAT_CENTROS_COSTO'!$E$4:$E$9,MATCH($F986,'CAT_CENTROS_COSTO'!$A$4:$A$9,0)),"(sin catálogo)"))</f>
        <v/>
      </c>
      <c r="U986" s="3">
        <f>IF($F986="","",IFERROR(INDEX('CAT_CENTROS_COSTO'!$D$4:$D$9,MATCH($F986,'CAT_CENTROS_COSTO'!$A$4:$A$9,0)),"(sin catálogo)"))</f>
        <v/>
      </c>
      <c r="V986" s="3">
        <f>IF($F986="","",IFERROR(INDEX('CAT_CENTROS_COSTO'!$F$4:$F$9,MATCH($F986,'CAT_CENTROS_COSTO'!$A$4:$A$9,0)),"(sin catálogo)"))</f>
        <v/>
      </c>
      <c r="W986" s="3">
        <f>IF($G986="","",IFERROR(INDEX('CAT_PUESTOS'!$B$4:$B$8,MATCH($G986,'CAT_PUESTOS'!$A$4:$A$8,0)),"(sin catálogo)"))</f>
        <v/>
      </c>
      <c r="X986" s="3">
        <f>IF($H986="","",IFERROR(INDEX('CAT_ACTIVIDADES'!$B$4:$B$8,MATCH($H986,'CAT_ACTIVIDADES'!$A$4:$A$8,0)),"(sin catálogo)"))</f>
        <v/>
      </c>
      <c r="Y986" s="12">
        <f>IF($J986="","",TODAY()-$J986)</f>
        <v/>
      </c>
      <c r="Z986" s="3">
        <f>IF($Y986="","",IF($Y986&lt;0,"FUTURO",IF($Y986&gt;p_dias_backlog_max,"BACKLOG","MES CORRIENTE")))</f>
        <v/>
      </c>
      <c r="AA986" s="3">
        <f>IF($Y986="",FALSE,AND($Y986&gt;p_dias_backlog_min,$Y986&lt;=p_dias_backlog_max))</f>
        <v/>
      </c>
      <c r="AB986" s="6" t="n"/>
      <c r="AC986" s="3">
        <f>IF($AB986="","",IFERROR(INDEX('ASIGNACIONES'!$F$4:$F$339,MATCH($O986&amp;"|"&amp;$R986&amp;"|"&amp;$AB986,'ASIGNACIONES'!$I$4:$I$339,0)),""))</f>
        <v/>
      </c>
      <c r="AD986" s="13">
        <f>IF($AB986="","",SUMIFS('ORDENES'!$M$4:$M$1203,'ORDENES'!$AB$4:$AB$1203,$AB986,'ORDENES'!$O$4:$O$1203,$O986,'ORDENES'!$R$4:$R$1203,$R986))</f>
        <v/>
      </c>
      <c r="AE986" s="13">
        <f>IF($AD986="","",p_factor_productividad*IFERROR(INDEX('ASIGNACIONES'!$H$4:$H$339,MATCH($O986&amp;"|"&amp;$R986&amp;"|"&amp;$AB986,'ASIGNACIONES'!$I$4:$I$339,0)),0)-$AD986)</f>
        <v/>
      </c>
      <c r="AF986" s="10">
        <f>IF($A986="","",IFERROR(INDEX('2_IMPORTAR_EJECUCION'!$F$9:$F$1208,MATCH($AN986,'2_IMPORTAR_EJECUCION'!$J$9:$J$1208,0)),0))</f>
        <v/>
      </c>
      <c r="AG986" s="10">
        <f>IF($A986="","",MAX(0,IFERROR(INDEX('2_IMPORTAR_EJECUCION'!$H$9:$H$1208,MATCH($AN986,'2_IMPORTAR_EJECUCION'!$J$9:$J$1208,0)),0)-$AF986))</f>
        <v/>
      </c>
      <c r="AH986" s="10">
        <f>IF($A986="","",$AF986+$AG986)</f>
        <v/>
      </c>
      <c r="AI986" s="6" t="n"/>
      <c r="AJ986" s="6" t="n"/>
      <c r="AK986" s="6" t="n"/>
      <c r="AL986" s="3">
        <f>IF($AK986="","",HYPERLINK(p_ruta_base_checklists&amp;$AK986,"abrir"))</f>
        <v/>
      </c>
      <c r="AM986" s="6" t="n"/>
      <c r="AN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1" t="n"/>
      <c r="K987" s="3" t="n"/>
      <c r="L987" s="10" t="n"/>
      <c r="M987" s="3">
        <f>IF($A987="","",IFERROR(INDEX('AJUSTES'!$B$4:$B$303,MATCH($AN987,'AJUSTES'!$A$4:$A$303,0)),IF($K987="","",$K987)))</f>
        <v/>
      </c>
      <c r="N987" s="3">
        <f>IF($A987="","",IFERROR(INDEX('CAT_ESTADOS_ERP'!$B$4:$B$7,MATCH(IFERROR(INDEX('2_IMPORTAR_EJECUCION'!$C$9:$C$1208,MATCH($AN987,'2_IMPORTAR_EJECUCION'!$J$9:$J$1208,0)),""),'CAT_ESTADOS_ERP'!$A$4:$A$7,0)),"Pendiente"))</f>
        <v/>
      </c>
      <c r="O987" s="3">
        <f>IF($J987="","",YEAR($J987+4-WEEKDAY($J987,2))&amp;"-S"&amp;TEXT(_xlfn.ISOWEEKNUM($J987),"00"))</f>
        <v/>
      </c>
      <c r="P987" s="3">
        <f>IF($J987="","",YEAR($J987))</f>
        <v/>
      </c>
      <c r="Q987" s="3">
        <f>IF($J987="","",MONTH($J987))</f>
        <v/>
      </c>
      <c r="R987" s="3">
        <f>IF($J987="","",INDEX(lista_dias,WEEKDAY($J987,2)))</f>
        <v/>
      </c>
      <c r="S987" s="3">
        <f>IF($I987="","",IFERROR(INDEX('CAT_TIPOS_OT'!$C$4:$C$7,MATCH($I987,'CAT_TIPOS_OT'!$A$4:$A$7,0)),"sin_clasificar"))</f>
        <v/>
      </c>
      <c r="T987" s="3">
        <f>IF($F987="","",IFERROR(INDEX('CAT_CENTROS_COSTO'!$E$4:$E$9,MATCH($F987,'CAT_CENTROS_COSTO'!$A$4:$A$9,0)),"(sin catálogo)"))</f>
        <v/>
      </c>
      <c r="U987" s="3">
        <f>IF($F987="","",IFERROR(INDEX('CAT_CENTROS_COSTO'!$D$4:$D$9,MATCH($F987,'CAT_CENTROS_COSTO'!$A$4:$A$9,0)),"(sin catálogo)"))</f>
        <v/>
      </c>
      <c r="V987" s="3">
        <f>IF($F987="","",IFERROR(INDEX('CAT_CENTROS_COSTO'!$F$4:$F$9,MATCH($F987,'CAT_CENTROS_COSTO'!$A$4:$A$9,0)),"(sin catálogo)"))</f>
        <v/>
      </c>
      <c r="W987" s="3">
        <f>IF($G987="","",IFERROR(INDEX('CAT_PUESTOS'!$B$4:$B$8,MATCH($G987,'CAT_PUESTOS'!$A$4:$A$8,0)),"(sin catálogo)"))</f>
        <v/>
      </c>
      <c r="X987" s="3">
        <f>IF($H987="","",IFERROR(INDEX('CAT_ACTIVIDADES'!$B$4:$B$8,MATCH($H987,'CAT_ACTIVIDADES'!$A$4:$A$8,0)),"(sin catálogo)"))</f>
        <v/>
      </c>
      <c r="Y987" s="12">
        <f>IF($J987="","",TODAY()-$J987)</f>
        <v/>
      </c>
      <c r="Z987" s="3">
        <f>IF($Y987="","",IF($Y987&lt;0,"FUTURO",IF($Y987&gt;p_dias_backlog_max,"BACKLOG","MES CORRIENTE")))</f>
        <v/>
      </c>
      <c r="AA987" s="3">
        <f>IF($Y987="",FALSE,AND($Y987&gt;p_dias_backlog_min,$Y987&lt;=p_dias_backlog_max))</f>
        <v/>
      </c>
      <c r="AB987" s="6" t="n"/>
      <c r="AC987" s="3">
        <f>IF($AB987="","",IFERROR(INDEX('ASIGNACIONES'!$F$4:$F$339,MATCH($O987&amp;"|"&amp;$R987&amp;"|"&amp;$AB987,'ASIGNACIONES'!$I$4:$I$339,0)),""))</f>
        <v/>
      </c>
      <c r="AD987" s="13">
        <f>IF($AB987="","",SUMIFS('ORDENES'!$M$4:$M$1203,'ORDENES'!$AB$4:$AB$1203,$AB987,'ORDENES'!$O$4:$O$1203,$O987,'ORDENES'!$R$4:$R$1203,$R987))</f>
        <v/>
      </c>
      <c r="AE987" s="13">
        <f>IF($AD987="","",p_factor_productividad*IFERROR(INDEX('ASIGNACIONES'!$H$4:$H$339,MATCH($O987&amp;"|"&amp;$R987&amp;"|"&amp;$AB987,'ASIGNACIONES'!$I$4:$I$339,0)),0)-$AD987)</f>
        <v/>
      </c>
      <c r="AF987" s="10">
        <f>IF($A987="","",IFERROR(INDEX('2_IMPORTAR_EJECUCION'!$F$9:$F$1208,MATCH($AN987,'2_IMPORTAR_EJECUCION'!$J$9:$J$1208,0)),0))</f>
        <v/>
      </c>
      <c r="AG987" s="10">
        <f>IF($A987="","",MAX(0,IFERROR(INDEX('2_IMPORTAR_EJECUCION'!$H$9:$H$1208,MATCH($AN987,'2_IMPORTAR_EJECUCION'!$J$9:$J$1208,0)),0)-$AF987))</f>
        <v/>
      </c>
      <c r="AH987" s="10">
        <f>IF($A987="","",$AF987+$AG987)</f>
        <v/>
      </c>
      <c r="AI987" s="6" t="n"/>
      <c r="AJ987" s="6" t="n"/>
      <c r="AK987" s="6" t="n"/>
      <c r="AL987" s="3">
        <f>IF($AK987="","",HYPERLINK(p_ruta_base_checklists&amp;$AK987,"abrir"))</f>
        <v/>
      </c>
      <c r="AM987" s="6" t="n"/>
      <c r="AN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1" t="n"/>
      <c r="K988" s="3" t="n"/>
      <c r="L988" s="10" t="n"/>
      <c r="M988" s="3">
        <f>IF($A988="","",IFERROR(INDEX('AJUSTES'!$B$4:$B$303,MATCH($AN988,'AJUSTES'!$A$4:$A$303,0)),IF($K988="","",$K988)))</f>
        <v/>
      </c>
      <c r="N988" s="3">
        <f>IF($A988="","",IFERROR(INDEX('CAT_ESTADOS_ERP'!$B$4:$B$7,MATCH(IFERROR(INDEX('2_IMPORTAR_EJECUCION'!$C$9:$C$1208,MATCH($AN988,'2_IMPORTAR_EJECUCION'!$J$9:$J$1208,0)),""),'CAT_ESTADOS_ERP'!$A$4:$A$7,0)),"Pendiente"))</f>
        <v/>
      </c>
      <c r="O988" s="3">
        <f>IF($J988="","",YEAR($J988+4-WEEKDAY($J988,2))&amp;"-S"&amp;TEXT(_xlfn.ISOWEEKNUM($J988),"00"))</f>
        <v/>
      </c>
      <c r="P988" s="3">
        <f>IF($J988="","",YEAR($J988))</f>
        <v/>
      </c>
      <c r="Q988" s="3">
        <f>IF($J988="","",MONTH($J988))</f>
        <v/>
      </c>
      <c r="R988" s="3">
        <f>IF($J988="","",INDEX(lista_dias,WEEKDAY($J988,2)))</f>
        <v/>
      </c>
      <c r="S988" s="3">
        <f>IF($I988="","",IFERROR(INDEX('CAT_TIPOS_OT'!$C$4:$C$7,MATCH($I988,'CAT_TIPOS_OT'!$A$4:$A$7,0)),"sin_clasificar"))</f>
        <v/>
      </c>
      <c r="T988" s="3">
        <f>IF($F988="","",IFERROR(INDEX('CAT_CENTROS_COSTO'!$E$4:$E$9,MATCH($F988,'CAT_CENTROS_COSTO'!$A$4:$A$9,0)),"(sin catálogo)"))</f>
        <v/>
      </c>
      <c r="U988" s="3">
        <f>IF($F988="","",IFERROR(INDEX('CAT_CENTROS_COSTO'!$D$4:$D$9,MATCH($F988,'CAT_CENTROS_COSTO'!$A$4:$A$9,0)),"(sin catálogo)"))</f>
        <v/>
      </c>
      <c r="V988" s="3">
        <f>IF($F988="","",IFERROR(INDEX('CAT_CENTROS_COSTO'!$F$4:$F$9,MATCH($F988,'CAT_CENTROS_COSTO'!$A$4:$A$9,0)),"(sin catálogo)"))</f>
        <v/>
      </c>
      <c r="W988" s="3">
        <f>IF($G988="","",IFERROR(INDEX('CAT_PUESTOS'!$B$4:$B$8,MATCH($G988,'CAT_PUESTOS'!$A$4:$A$8,0)),"(sin catálogo)"))</f>
        <v/>
      </c>
      <c r="X988" s="3">
        <f>IF($H988="","",IFERROR(INDEX('CAT_ACTIVIDADES'!$B$4:$B$8,MATCH($H988,'CAT_ACTIVIDADES'!$A$4:$A$8,0)),"(sin catálogo)"))</f>
        <v/>
      </c>
      <c r="Y988" s="12">
        <f>IF($J988="","",TODAY()-$J988)</f>
        <v/>
      </c>
      <c r="Z988" s="3">
        <f>IF($Y988="","",IF($Y988&lt;0,"FUTURO",IF($Y988&gt;p_dias_backlog_max,"BACKLOG","MES CORRIENTE")))</f>
        <v/>
      </c>
      <c r="AA988" s="3">
        <f>IF($Y988="",FALSE,AND($Y988&gt;p_dias_backlog_min,$Y988&lt;=p_dias_backlog_max))</f>
        <v/>
      </c>
      <c r="AB988" s="6" t="n"/>
      <c r="AC988" s="3">
        <f>IF($AB988="","",IFERROR(INDEX('ASIGNACIONES'!$F$4:$F$339,MATCH($O988&amp;"|"&amp;$R988&amp;"|"&amp;$AB988,'ASIGNACIONES'!$I$4:$I$339,0)),""))</f>
        <v/>
      </c>
      <c r="AD988" s="13">
        <f>IF($AB988="","",SUMIFS('ORDENES'!$M$4:$M$1203,'ORDENES'!$AB$4:$AB$1203,$AB988,'ORDENES'!$O$4:$O$1203,$O988,'ORDENES'!$R$4:$R$1203,$R988))</f>
        <v/>
      </c>
      <c r="AE988" s="13">
        <f>IF($AD988="","",p_factor_productividad*IFERROR(INDEX('ASIGNACIONES'!$H$4:$H$339,MATCH($O988&amp;"|"&amp;$R988&amp;"|"&amp;$AB988,'ASIGNACIONES'!$I$4:$I$339,0)),0)-$AD988)</f>
        <v/>
      </c>
      <c r="AF988" s="10">
        <f>IF($A988="","",IFERROR(INDEX('2_IMPORTAR_EJECUCION'!$F$9:$F$1208,MATCH($AN988,'2_IMPORTAR_EJECUCION'!$J$9:$J$1208,0)),0))</f>
        <v/>
      </c>
      <c r="AG988" s="10">
        <f>IF($A988="","",MAX(0,IFERROR(INDEX('2_IMPORTAR_EJECUCION'!$H$9:$H$1208,MATCH($AN988,'2_IMPORTAR_EJECUCION'!$J$9:$J$1208,0)),0)-$AF988))</f>
        <v/>
      </c>
      <c r="AH988" s="10">
        <f>IF($A988="","",$AF988+$AG988)</f>
        <v/>
      </c>
      <c r="AI988" s="6" t="n"/>
      <c r="AJ988" s="6" t="n"/>
      <c r="AK988" s="6" t="n"/>
      <c r="AL988" s="3">
        <f>IF($AK988="","",HYPERLINK(p_ruta_base_checklists&amp;$AK988,"abrir"))</f>
        <v/>
      </c>
      <c r="AM988" s="6" t="n"/>
      <c r="AN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1" t="n"/>
      <c r="K989" s="3" t="n"/>
      <c r="L989" s="10" t="n"/>
      <c r="M989" s="3">
        <f>IF($A989="","",IFERROR(INDEX('AJUSTES'!$B$4:$B$303,MATCH($AN989,'AJUSTES'!$A$4:$A$303,0)),IF($K989="","",$K989)))</f>
        <v/>
      </c>
      <c r="N989" s="3">
        <f>IF($A989="","",IFERROR(INDEX('CAT_ESTADOS_ERP'!$B$4:$B$7,MATCH(IFERROR(INDEX('2_IMPORTAR_EJECUCION'!$C$9:$C$1208,MATCH($AN989,'2_IMPORTAR_EJECUCION'!$J$9:$J$1208,0)),""),'CAT_ESTADOS_ERP'!$A$4:$A$7,0)),"Pendiente"))</f>
        <v/>
      </c>
      <c r="O989" s="3">
        <f>IF($J989="","",YEAR($J989+4-WEEKDAY($J989,2))&amp;"-S"&amp;TEXT(_xlfn.ISOWEEKNUM($J989),"00"))</f>
        <v/>
      </c>
      <c r="P989" s="3">
        <f>IF($J989="","",YEAR($J989))</f>
        <v/>
      </c>
      <c r="Q989" s="3">
        <f>IF($J989="","",MONTH($J989))</f>
        <v/>
      </c>
      <c r="R989" s="3">
        <f>IF($J989="","",INDEX(lista_dias,WEEKDAY($J989,2)))</f>
        <v/>
      </c>
      <c r="S989" s="3">
        <f>IF($I989="","",IFERROR(INDEX('CAT_TIPOS_OT'!$C$4:$C$7,MATCH($I989,'CAT_TIPOS_OT'!$A$4:$A$7,0)),"sin_clasificar"))</f>
        <v/>
      </c>
      <c r="T989" s="3">
        <f>IF($F989="","",IFERROR(INDEX('CAT_CENTROS_COSTO'!$E$4:$E$9,MATCH($F989,'CAT_CENTROS_COSTO'!$A$4:$A$9,0)),"(sin catálogo)"))</f>
        <v/>
      </c>
      <c r="U989" s="3">
        <f>IF($F989="","",IFERROR(INDEX('CAT_CENTROS_COSTO'!$D$4:$D$9,MATCH($F989,'CAT_CENTROS_COSTO'!$A$4:$A$9,0)),"(sin catálogo)"))</f>
        <v/>
      </c>
      <c r="V989" s="3">
        <f>IF($F989="","",IFERROR(INDEX('CAT_CENTROS_COSTO'!$F$4:$F$9,MATCH($F989,'CAT_CENTROS_COSTO'!$A$4:$A$9,0)),"(sin catálogo)"))</f>
        <v/>
      </c>
      <c r="W989" s="3">
        <f>IF($G989="","",IFERROR(INDEX('CAT_PUESTOS'!$B$4:$B$8,MATCH($G989,'CAT_PUESTOS'!$A$4:$A$8,0)),"(sin catálogo)"))</f>
        <v/>
      </c>
      <c r="X989" s="3">
        <f>IF($H989="","",IFERROR(INDEX('CAT_ACTIVIDADES'!$B$4:$B$8,MATCH($H989,'CAT_ACTIVIDADES'!$A$4:$A$8,0)),"(sin catálogo)"))</f>
        <v/>
      </c>
      <c r="Y989" s="12">
        <f>IF($J989="","",TODAY()-$J989)</f>
        <v/>
      </c>
      <c r="Z989" s="3">
        <f>IF($Y989="","",IF($Y989&lt;0,"FUTURO",IF($Y989&gt;p_dias_backlog_max,"BACKLOG","MES CORRIENTE")))</f>
        <v/>
      </c>
      <c r="AA989" s="3">
        <f>IF($Y989="",FALSE,AND($Y989&gt;p_dias_backlog_min,$Y989&lt;=p_dias_backlog_max))</f>
        <v/>
      </c>
      <c r="AB989" s="6" t="n"/>
      <c r="AC989" s="3">
        <f>IF($AB989="","",IFERROR(INDEX('ASIGNACIONES'!$F$4:$F$339,MATCH($O989&amp;"|"&amp;$R989&amp;"|"&amp;$AB989,'ASIGNACIONES'!$I$4:$I$339,0)),""))</f>
        <v/>
      </c>
      <c r="AD989" s="13">
        <f>IF($AB989="","",SUMIFS('ORDENES'!$M$4:$M$1203,'ORDENES'!$AB$4:$AB$1203,$AB989,'ORDENES'!$O$4:$O$1203,$O989,'ORDENES'!$R$4:$R$1203,$R989))</f>
        <v/>
      </c>
      <c r="AE989" s="13">
        <f>IF($AD989="","",p_factor_productividad*IFERROR(INDEX('ASIGNACIONES'!$H$4:$H$339,MATCH($O989&amp;"|"&amp;$R989&amp;"|"&amp;$AB989,'ASIGNACIONES'!$I$4:$I$339,0)),0)-$AD989)</f>
        <v/>
      </c>
      <c r="AF989" s="10">
        <f>IF($A989="","",IFERROR(INDEX('2_IMPORTAR_EJECUCION'!$F$9:$F$1208,MATCH($AN989,'2_IMPORTAR_EJECUCION'!$J$9:$J$1208,0)),0))</f>
        <v/>
      </c>
      <c r="AG989" s="10">
        <f>IF($A989="","",MAX(0,IFERROR(INDEX('2_IMPORTAR_EJECUCION'!$H$9:$H$1208,MATCH($AN989,'2_IMPORTAR_EJECUCION'!$J$9:$J$1208,0)),0)-$AF989))</f>
        <v/>
      </c>
      <c r="AH989" s="10">
        <f>IF($A989="","",$AF989+$AG989)</f>
        <v/>
      </c>
      <c r="AI989" s="6" t="n"/>
      <c r="AJ989" s="6" t="n"/>
      <c r="AK989" s="6" t="n"/>
      <c r="AL989" s="3">
        <f>IF($AK989="","",HYPERLINK(p_ruta_base_checklists&amp;$AK989,"abrir"))</f>
        <v/>
      </c>
      <c r="AM989" s="6" t="n"/>
      <c r="AN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1" t="n"/>
      <c r="K990" s="3" t="n"/>
      <c r="L990" s="10" t="n"/>
      <c r="M990" s="3">
        <f>IF($A990="","",IFERROR(INDEX('AJUSTES'!$B$4:$B$303,MATCH($AN990,'AJUSTES'!$A$4:$A$303,0)),IF($K990="","",$K990)))</f>
        <v/>
      </c>
      <c r="N990" s="3">
        <f>IF($A990="","",IFERROR(INDEX('CAT_ESTADOS_ERP'!$B$4:$B$7,MATCH(IFERROR(INDEX('2_IMPORTAR_EJECUCION'!$C$9:$C$1208,MATCH($AN990,'2_IMPORTAR_EJECUCION'!$J$9:$J$1208,0)),""),'CAT_ESTADOS_ERP'!$A$4:$A$7,0)),"Pendiente"))</f>
        <v/>
      </c>
      <c r="O990" s="3">
        <f>IF($J990="","",YEAR($J990+4-WEEKDAY($J990,2))&amp;"-S"&amp;TEXT(_xlfn.ISOWEEKNUM($J990),"00"))</f>
        <v/>
      </c>
      <c r="P990" s="3">
        <f>IF($J990="","",YEAR($J990))</f>
        <v/>
      </c>
      <c r="Q990" s="3">
        <f>IF($J990="","",MONTH($J990))</f>
        <v/>
      </c>
      <c r="R990" s="3">
        <f>IF($J990="","",INDEX(lista_dias,WEEKDAY($J990,2)))</f>
        <v/>
      </c>
      <c r="S990" s="3">
        <f>IF($I990="","",IFERROR(INDEX('CAT_TIPOS_OT'!$C$4:$C$7,MATCH($I990,'CAT_TIPOS_OT'!$A$4:$A$7,0)),"sin_clasificar"))</f>
        <v/>
      </c>
      <c r="T990" s="3">
        <f>IF($F990="","",IFERROR(INDEX('CAT_CENTROS_COSTO'!$E$4:$E$9,MATCH($F990,'CAT_CENTROS_COSTO'!$A$4:$A$9,0)),"(sin catálogo)"))</f>
        <v/>
      </c>
      <c r="U990" s="3">
        <f>IF($F990="","",IFERROR(INDEX('CAT_CENTROS_COSTO'!$D$4:$D$9,MATCH($F990,'CAT_CENTROS_COSTO'!$A$4:$A$9,0)),"(sin catálogo)"))</f>
        <v/>
      </c>
      <c r="V990" s="3">
        <f>IF($F990="","",IFERROR(INDEX('CAT_CENTROS_COSTO'!$F$4:$F$9,MATCH($F990,'CAT_CENTROS_COSTO'!$A$4:$A$9,0)),"(sin catálogo)"))</f>
        <v/>
      </c>
      <c r="W990" s="3">
        <f>IF($G990="","",IFERROR(INDEX('CAT_PUESTOS'!$B$4:$B$8,MATCH($G990,'CAT_PUESTOS'!$A$4:$A$8,0)),"(sin catálogo)"))</f>
        <v/>
      </c>
      <c r="X990" s="3">
        <f>IF($H990="","",IFERROR(INDEX('CAT_ACTIVIDADES'!$B$4:$B$8,MATCH($H990,'CAT_ACTIVIDADES'!$A$4:$A$8,0)),"(sin catálogo)"))</f>
        <v/>
      </c>
      <c r="Y990" s="12">
        <f>IF($J990="","",TODAY()-$J990)</f>
        <v/>
      </c>
      <c r="Z990" s="3">
        <f>IF($Y990="","",IF($Y990&lt;0,"FUTURO",IF($Y990&gt;p_dias_backlog_max,"BACKLOG","MES CORRIENTE")))</f>
        <v/>
      </c>
      <c r="AA990" s="3">
        <f>IF($Y990="",FALSE,AND($Y990&gt;p_dias_backlog_min,$Y990&lt;=p_dias_backlog_max))</f>
        <v/>
      </c>
      <c r="AB990" s="6" t="n"/>
      <c r="AC990" s="3">
        <f>IF($AB990="","",IFERROR(INDEX('ASIGNACIONES'!$F$4:$F$339,MATCH($O990&amp;"|"&amp;$R990&amp;"|"&amp;$AB990,'ASIGNACIONES'!$I$4:$I$339,0)),""))</f>
        <v/>
      </c>
      <c r="AD990" s="13">
        <f>IF($AB990="","",SUMIFS('ORDENES'!$M$4:$M$1203,'ORDENES'!$AB$4:$AB$1203,$AB990,'ORDENES'!$O$4:$O$1203,$O990,'ORDENES'!$R$4:$R$1203,$R990))</f>
        <v/>
      </c>
      <c r="AE990" s="13">
        <f>IF($AD990="","",p_factor_productividad*IFERROR(INDEX('ASIGNACIONES'!$H$4:$H$339,MATCH($O990&amp;"|"&amp;$R990&amp;"|"&amp;$AB990,'ASIGNACIONES'!$I$4:$I$339,0)),0)-$AD990)</f>
        <v/>
      </c>
      <c r="AF990" s="10">
        <f>IF($A990="","",IFERROR(INDEX('2_IMPORTAR_EJECUCION'!$F$9:$F$1208,MATCH($AN990,'2_IMPORTAR_EJECUCION'!$J$9:$J$1208,0)),0))</f>
        <v/>
      </c>
      <c r="AG990" s="10">
        <f>IF($A990="","",MAX(0,IFERROR(INDEX('2_IMPORTAR_EJECUCION'!$H$9:$H$1208,MATCH($AN990,'2_IMPORTAR_EJECUCION'!$J$9:$J$1208,0)),0)-$AF990))</f>
        <v/>
      </c>
      <c r="AH990" s="10">
        <f>IF($A990="","",$AF990+$AG990)</f>
        <v/>
      </c>
      <c r="AI990" s="6" t="n"/>
      <c r="AJ990" s="6" t="n"/>
      <c r="AK990" s="6" t="n"/>
      <c r="AL990" s="3">
        <f>IF($AK990="","",HYPERLINK(p_ruta_base_checklists&amp;$AK990,"abrir"))</f>
        <v/>
      </c>
      <c r="AM990" s="6" t="n"/>
      <c r="AN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1" t="n"/>
      <c r="K991" s="3" t="n"/>
      <c r="L991" s="10" t="n"/>
      <c r="M991" s="3">
        <f>IF($A991="","",IFERROR(INDEX('AJUSTES'!$B$4:$B$303,MATCH($AN991,'AJUSTES'!$A$4:$A$303,0)),IF($K991="","",$K991)))</f>
        <v/>
      </c>
      <c r="N991" s="3">
        <f>IF($A991="","",IFERROR(INDEX('CAT_ESTADOS_ERP'!$B$4:$B$7,MATCH(IFERROR(INDEX('2_IMPORTAR_EJECUCION'!$C$9:$C$1208,MATCH($AN991,'2_IMPORTAR_EJECUCION'!$J$9:$J$1208,0)),""),'CAT_ESTADOS_ERP'!$A$4:$A$7,0)),"Pendiente"))</f>
        <v/>
      </c>
      <c r="O991" s="3">
        <f>IF($J991="","",YEAR($J991+4-WEEKDAY($J991,2))&amp;"-S"&amp;TEXT(_xlfn.ISOWEEKNUM($J991),"00"))</f>
        <v/>
      </c>
      <c r="P991" s="3">
        <f>IF($J991="","",YEAR($J991))</f>
        <v/>
      </c>
      <c r="Q991" s="3">
        <f>IF($J991="","",MONTH($J991))</f>
        <v/>
      </c>
      <c r="R991" s="3">
        <f>IF($J991="","",INDEX(lista_dias,WEEKDAY($J991,2)))</f>
        <v/>
      </c>
      <c r="S991" s="3">
        <f>IF($I991="","",IFERROR(INDEX('CAT_TIPOS_OT'!$C$4:$C$7,MATCH($I991,'CAT_TIPOS_OT'!$A$4:$A$7,0)),"sin_clasificar"))</f>
        <v/>
      </c>
      <c r="T991" s="3">
        <f>IF($F991="","",IFERROR(INDEX('CAT_CENTROS_COSTO'!$E$4:$E$9,MATCH($F991,'CAT_CENTROS_COSTO'!$A$4:$A$9,0)),"(sin catálogo)"))</f>
        <v/>
      </c>
      <c r="U991" s="3">
        <f>IF($F991="","",IFERROR(INDEX('CAT_CENTROS_COSTO'!$D$4:$D$9,MATCH($F991,'CAT_CENTROS_COSTO'!$A$4:$A$9,0)),"(sin catálogo)"))</f>
        <v/>
      </c>
      <c r="V991" s="3">
        <f>IF($F991="","",IFERROR(INDEX('CAT_CENTROS_COSTO'!$F$4:$F$9,MATCH($F991,'CAT_CENTROS_COSTO'!$A$4:$A$9,0)),"(sin catálogo)"))</f>
        <v/>
      </c>
      <c r="W991" s="3">
        <f>IF($G991="","",IFERROR(INDEX('CAT_PUESTOS'!$B$4:$B$8,MATCH($G991,'CAT_PUESTOS'!$A$4:$A$8,0)),"(sin catálogo)"))</f>
        <v/>
      </c>
      <c r="X991" s="3">
        <f>IF($H991="","",IFERROR(INDEX('CAT_ACTIVIDADES'!$B$4:$B$8,MATCH($H991,'CAT_ACTIVIDADES'!$A$4:$A$8,0)),"(sin catálogo)"))</f>
        <v/>
      </c>
      <c r="Y991" s="12">
        <f>IF($J991="","",TODAY()-$J991)</f>
        <v/>
      </c>
      <c r="Z991" s="3">
        <f>IF($Y991="","",IF($Y991&lt;0,"FUTURO",IF($Y991&gt;p_dias_backlog_max,"BACKLOG","MES CORRIENTE")))</f>
        <v/>
      </c>
      <c r="AA991" s="3">
        <f>IF($Y991="",FALSE,AND($Y991&gt;p_dias_backlog_min,$Y991&lt;=p_dias_backlog_max))</f>
        <v/>
      </c>
      <c r="AB991" s="6" t="n"/>
      <c r="AC991" s="3">
        <f>IF($AB991="","",IFERROR(INDEX('ASIGNACIONES'!$F$4:$F$339,MATCH($O991&amp;"|"&amp;$R991&amp;"|"&amp;$AB991,'ASIGNACIONES'!$I$4:$I$339,0)),""))</f>
        <v/>
      </c>
      <c r="AD991" s="13">
        <f>IF($AB991="","",SUMIFS('ORDENES'!$M$4:$M$1203,'ORDENES'!$AB$4:$AB$1203,$AB991,'ORDENES'!$O$4:$O$1203,$O991,'ORDENES'!$R$4:$R$1203,$R991))</f>
        <v/>
      </c>
      <c r="AE991" s="13">
        <f>IF($AD991="","",p_factor_productividad*IFERROR(INDEX('ASIGNACIONES'!$H$4:$H$339,MATCH($O991&amp;"|"&amp;$R991&amp;"|"&amp;$AB991,'ASIGNACIONES'!$I$4:$I$339,0)),0)-$AD991)</f>
        <v/>
      </c>
      <c r="AF991" s="10">
        <f>IF($A991="","",IFERROR(INDEX('2_IMPORTAR_EJECUCION'!$F$9:$F$1208,MATCH($AN991,'2_IMPORTAR_EJECUCION'!$J$9:$J$1208,0)),0))</f>
        <v/>
      </c>
      <c r="AG991" s="10">
        <f>IF($A991="","",MAX(0,IFERROR(INDEX('2_IMPORTAR_EJECUCION'!$H$9:$H$1208,MATCH($AN991,'2_IMPORTAR_EJECUCION'!$J$9:$J$1208,0)),0)-$AF991))</f>
        <v/>
      </c>
      <c r="AH991" s="10">
        <f>IF($A991="","",$AF991+$AG991)</f>
        <v/>
      </c>
      <c r="AI991" s="6" t="n"/>
      <c r="AJ991" s="6" t="n"/>
      <c r="AK991" s="6" t="n"/>
      <c r="AL991" s="3">
        <f>IF($AK991="","",HYPERLINK(p_ruta_base_checklists&amp;$AK991,"abrir"))</f>
        <v/>
      </c>
      <c r="AM991" s="6" t="n"/>
      <c r="AN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1" t="n"/>
      <c r="K992" s="3" t="n"/>
      <c r="L992" s="10" t="n"/>
      <c r="M992" s="3">
        <f>IF($A992="","",IFERROR(INDEX('AJUSTES'!$B$4:$B$303,MATCH($AN992,'AJUSTES'!$A$4:$A$303,0)),IF($K992="","",$K992)))</f>
        <v/>
      </c>
      <c r="N992" s="3">
        <f>IF($A992="","",IFERROR(INDEX('CAT_ESTADOS_ERP'!$B$4:$B$7,MATCH(IFERROR(INDEX('2_IMPORTAR_EJECUCION'!$C$9:$C$1208,MATCH($AN992,'2_IMPORTAR_EJECUCION'!$J$9:$J$1208,0)),""),'CAT_ESTADOS_ERP'!$A$4:$A$7,0)),"Pendiente"))</f>
        <v/>
      </c>
      <c r="O992" s="3">
        <f>IF($J992="","",YEAR($J992+4-WEEKDAY($J992,2))&amp;"-S"&amp;TEXT(_xlfn.ISOWEEKNUM($J992),"00"))</f>
        <v/>
      </c>
      <c r="P992" s="3">
        <f>IF($J992="","",YEAR($J992))</f>
        <v/>
      </c>
      <c r="Q992" s="3">
        <f>IF($J992="","",MONTH($J992))</f>
        <v/>
      </c>
      <c r="R992" s="3">
        <f>IF($J992="","",INDEX(lista_dias,WEEKDAY($J992,2)))</f>
        <v/>
      </c>
      <c r="S992" s="3">
        <f>IF($I992="","",IFERROR(INDEX('CAT_TIPOS_OT'!$C$4:$C$7,MATCH($I992,'CAT_TIPOS_OT'!$A$4:$A$7,0)),"sin_clasificar"))</f>
        <v/>
      </c>
      <c r="T992" s="3">
        <f>IF($F992="","",IFERROR(INDEX('CAT_CENTROS_COSTO'!$E$4:$E$9,MATCH($F992,'CAT_CENTROS_COSTO'!$A$4:$A$9,0)),"(sin catálogo)"))</f>
        <v/>
      </c>
      <c r="U992" s="3">
        <f>IF($F992="","",IFERROR(INDEX('CAT_CENTROS_COSTO'!$D$4:$D$9,MATCH($F992,'CAT_CENTROS_COSTO'!$A$4:$A$9,0)),"(sin catálogo)"))</f>
        <v/>
      </c>
      <c r="V992" s="3">
        <f>IF($F992="","",IFERROR(INDEX('CAT_CENTROS_COSTO'!$F$4:$F$9,MATCH($F992,'CAT_CENTROS_COSTO'!$A$4:$A$9,0)),"(sin catálogo)"))</f>
        <v/>
      </c>
      <c r="W992" s="3">
        <f>IF($G992="","",IFERROR(INDEX('CAT_PUESTOS'!$B$4:$B$8,MATCH($G992,'CAT_PUESTOS'!$A$4:$A$8,0)),"(sin catálogo)"))</f>
        <v/>
      </c>
      <c r="X992" s="3">
        <f>IF($H992="","",IFERROR(INDEX('CAT_ACTIVIDADES'!$B$4:$B$8,MATCH($H992,'CAT_ACTIVIDADES'!$A$4:$A$8,0)),"(sin catálogo)"))</f>
        <v/>
      </c>
      <c r="Y992" s="12">
        <f>IF($J992="","",TODAY()-$J992)</f>
        <v/>
      </c>
      <c r="Z992" s="3">
        <f>IF($Y992="","",IF($Y992&lt;0,"FUTURO",IF($Y992&gt;p_dias_backlog_max,"BACKLOG","MES CORRIENTE")))</f>
        <v/>
      </c>
      <c r="AA992" s="3">
        <f>IF($Y992="",FALSE,AND($Y992&gt;p_dias_backlog_min,$Y992&lt;=p_dias_backlog_max))</f>
        <v/>
      </c>
      <c r="AB992" s="6" t="n"/>
      <c r="AC992" s="3">
        <f>IF($AB992="","",IFERROR(INDEX('ASIGNACIONES'!$F$4:$F$339,MATCH($O992&amp;"|"&amp;$R992&amp;"|"&amp;$AB992,'ASIGNACIONES'!$I$4:$I$339,0)),""))</f>
        <v/>
      </c>
      <c r="AD992" s="13">
        <f>IF($AB992="","",SUMIFS('ORDENES'!$M$4:$M$1203,'ORDENES'!$AB$4:$AB$1203,$AB992,'ORDENES'!$O$4:$O$1203,$O992,'ORDENES'!$R$4:$R$1203,$R992))</f>
        <v/>
      </c>
      <c r="AE992" s="13">
        <f>IF($AD992="","",p_factor_productividad*IFERROR(INDEX('ASIGNACIONES'!$H$4:$H$339,MATCH($O992&amp;"|"&amp;$R992&amp;"|"&amp;$AB992,'ASIGNACIONES'!$I$4:$I$339,0)),0)-$AD992)</f>
        <v/>
      </c>
      <c r="AF992" s="10">
        <f>IF($A992="","",IFERROR(INDEX('2_IMPORTAR_EJECUCION'!$F$9:$F$1208,MATCH($AN992,'2_IMPORTAR_EJECUCION'!$J$9:$J$1208,0)),0))</f>
        <v/>
      </c>
      <c r="AG992" s="10">
        <f>IF($A992="","",MAX(0,IFERROR(INDEX('2_IMPORTAR_EJECUCION'!$H$9:$H$1208,MATCH($AN992,'2_IMPORTAR_EJECUCION'!$J$9:$J$1208,0)),0)-$AF992))</f>
        <v/>
      </c>
      <c r="AH992" s="10">
        <f>IF($A992="","",$AF992+$AG992)</f>
        <v/>
      </c>
      <c r="AI992" s="6" t="n"/>
      <c r="AJ992" s="6" t="n"/>
      <c r="AK992" s="6" t="n"/>
      <c r="AL992" s="3">
        <f>IF($AK992="","",HYPERLINK(p_ruta_base_checklists&amp;$AK992,"abrir"))</f>
        <v/>
      </c>
      <c r="AM992" s="6" t="n"/>
      <c r="AN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1" t="n"/>
      <c r="K993" s="3" t="n"/>
      <c r="L993" s="10" t="n"/>
      <c r="M993" s="3">
        <f>IF($A993="","",IFERROR(INDEX('AJUSTES'!$B$4:$B$303,MATCH($AN993,'AJUSTES'!$A$4:$A$303,0)),IF($K993="","",$K993)))</f>
        <v/>
      </c>
      <c r="N993" s="3">
        <f>IF($A993="","",IFERROR(INDEX('CAT_ESTADOS_ERP'!$B$4:$B$7,MATCH(IFERROR(INDEX('2_IMPORTAR_EJECUCION'!$C$9:$C$1208,MATCH($AN993,'2_IMPORTAR_EJECUCION'!$J$9:$J$1208,0)),""),'CAT_ESTADOS_ERP'!$A$4:$A$7,0)),"Pendiente"))</f>
        <v/>
      </c>
      <c r="O993" s="3">
        <f>IF($J993="","",YEAR($J993+4-WEEKDAY($J993,2))&amp;"-S"&amp;TEXT(_xlfn.ISOWEEKNUM($J993),"00"))</f>
        <v/>
      </c>
      <c r="P993" s="3">
        <f>IF($J993="","",YEAR($J993))</f>
        <v/>
      </c>
      <c r="Q993" s="3">
        <f>IF($J993="","",MONTH($J993))</f>
        <v/>
      </c>
      <c r="R993" s="3">
        <f>IF($J993="","",INDEX(lista_dias,WEEKDAY($J993,2)))</f>
        <v/>
      </c>
      <c r="S993" s="3">
        <f>IF($I993="","",IFERROR(INDEX('CAT_TIPOS_OT'!$C$4:$C$7,MATCH($I993,'CAT_TIPOS_OT'!$A$4:$A$7,0)),"sin_clasificar"))</f>
        <v/>
      </c>
      <c r="T993" s="3">
        <f>IF($F993="","",IFERROR(INDEX('CAT_CENTROS_COSTO'!$E$4:$E$9,MATCH($F993,'CAT_CENTROS_COSTO'!$A$4:$A$9,0)),"(sin catálogo)"))</f>
        <v/>
      </c>
      <c r="U993" s="3">
        <f>IF($F993="","",IFERROR(INDEX('CAT_CENTROS_COSTO'!$D$4:$D$9,MATCH($F993,'CAT_CENTROS_COSTO'!$A$4:$A$9,0)),"(sin catálogo)"))</f>
        <v/>
      </c>
      <c r="V993" s="3">
        <f>IF($F993="","",IFERROR(INDEX('CAT_CENTROS_COSTO'!$F$4:$F$9,MATCH($F993,'CAT_CENTROS_COSTO'!$A$4:$A$9,0)),"(sin catálogo)"))</f>
        <v/>
      </c>
      <c r="W993" s="3">
        <f>IF($G993="","",IFERROR(INDEX('CAT_PUESTOS'!$B$4:$B$8,MATCH($G993,'CAT_PUESTOS'!$A$4:$A$8,0)),"(sin catálogo)"))</f>
        <v/>
      </c>
      <c r="X993" s="3">
        <f>IF($H993="","",IFERROR(INDEX('CAT_ACTIVIDADES'!$B$4:$B$8,MATCH($H993,'CAT_ACTIVIDADES'!$A$4:$A$8,0)),"(sin catálogo)"))</f>
        <v/>
      </c>
      <c r="Y993" s="12">
        <f>IF($J993="","",TODAY()-$J993)</f>
        <v/>
      </c>
      <c r="Z993" s="3">
        <f>IF($Y993="","",IF($Y993&lt;0,"FUTURO",IF($Y993&gt;p_dias_backlog_max,"BACKLOG","MES CORRIENTE")))</f>
        <v/>
      </c>
      <c r="AA993" s="3">
        <f>IF($Y993="",FALSE,AND($Y993&gt;p_dias_backlog_min,$Y993&lt;=p_dias_backlog_max))</f>
        <v/>
      </c>
      <c r="AB993" s="6" t="n"/>
      <c r="AC993" s="3">
        <f>IF($AB993="","",IFERROR(INDEX('ASIGNACIONES'!$F$4:$F$339,MATCH($O993&amp;"|"&amp;$R993&amp;"|"&amp;$AB993,'ASIGNACIONES'!$I$4:$I$339,0)),""))</f>
        <v/>
      </c>
      <c r="AD993" s="13">
        <f>IF($AB993="","",SUMIFS('ORDENES'!$M$4:$M$1203,'ORDENES'!$AB$4:$AB$1203,$AB993,'ORDENES'!$O$4:$O$1203,$O993,'ORDENES'!$R$4:$R$1203,$R993))</f>
        <v/>
      </c>
      <c r="AE993" s="13">
        <f>IF($AD993="","",p_factor_productividad*IFERROR(INDEX('ASIGNACIONES'!$H$4:$H$339,MATCH($O993&amp;"|"&amp;$R993&amp;"|"&amp;$AB993,'ASIGNACIONES'!$I$4:$I$339,0)),0)-$AD993)</f>
        <v/>
      </c>
      <c r="AF993" s="10">
        <f>IF($A993="","",IFERROR(INDEX('2_IMPORTAR_EJECUCION'!$F$9:$F$1208,MATCH($AN993,'2_IMPORTAR_EJECUCION'!$J$9:$J$1208,0)),0))</f>
        <v/>
      </c>
      <c r="AG993" s="10">
        <f>IF($A993="","",MAX(0,IFERROR(INDEX('2_IMPORTAR_EJECUCION'!$H$9:$H$1208,MATCH($AN993,'2_IMPORTAR_EJECUCION'!$J$9:$J$1208,0)),0)-$AF993))</f>
        <v/>
      </c>
      <c r="AH993" s="10">
        <f>IF($A993="","",$AF993+$AG993)</f>
        <v/>
      </c>
      <c r="AI993" s="6" t="n"/>
      <c r="AJ993" s="6" t="n"/>
      <c r="AK993" s="6" t="n"/>
      <c r="AL993" s="3">
        <f>IF($AK993="","",HYPERLINK(p_ruta_base_checklists&amp;$AK993,"abrir"))</f>
        <v/>
      </c>
      <c r="AM993" s="6" t="n"/>
      <c r="AN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1" t="n"/>
      <c r="K994" s="3" t="n"/>
      <c r="L994" s="10" t="n"/>
      <c r="M994" s="3">
        <f>IF($A994="","",IFERROR(INDEX('AJUSTES'!$B$4:$B$303,MATCH($AN994,'AJUSTES'!$A$4:$A$303,0)),IF($K994="","",$K994)))</f>
        <v/>
      </c>
      <c r="N994" s="3">
        <f>IF($A994="","",IFERROR(INDEX('CAT_ESTADOS_ERP'!$B$4:$B$7,MATCH(IFERROR(INDEX('2_IMPORTAR_EJECUCION'!$C$9:$C$1208,MATCH($AN994,'2_IMPORTAR_EJECUCION'!$J$9:$J$1208,0)),""),'CAT_ESTADOS_ERP'!$A$4:$A$7,0)),"Pendiente"))</f>
        <v/>
      </c>
      <c r="O994" s="3">
        <f>IF($J994="","",YEAR($J994+4-WEEKDAY($J994,2))&amp;"-S"&amp;TEXT(_xlfn.ISOWEEKNUM($J994),"00"))</f>
        <v/>
      </c>
      <c r="P994" s="3">
        <f>IF($J994="","",YEAR($J994))</f>
        <v/>
      </c>
      <c r="Q994" s="3">
        <f>IF($J994="","",MONTH($J994))</f>
        <v/>
      </c>
      <c r="R994" s="3">
        <f>IF($J994="","",INDEX(lista_dias,WEEKDAY($J994,2)))</f>
        <v/>
      </c>
      <c r="S994" s="3">
        <f>IF($I994="","",IFERROR(INDEX('CAT_TIPOS_OT'!$C$4:$C$7,MATCH($I994,'CAT_TIPOS_OT'!$A$4:$A$7,0)),"sin_clasificar"))</f>
        <v/>
      </c>
      <c r="T994" s="3">
        <f>IF($F994="","",IFERROR(INDEX('CAT_CENTROS_COSTO'!$E$4:$E$9,MATCH($F994,'CAT_CENTROS_COSTO'!$A$4:$A$9,0)),"(sin catálogo)"))</f>
        <v/>
      </c>
      <c r="U994" s="3">
        <f>IF($F994="","",IFERROR(INDEX('CAT_CENTROS_COSTO'!$D$4:$D$9,MATCH($F994,'CAT_CENTROS_COSTO'!$A$4:$A$9,0)),"(sin catálogo)"))</f>
        <v/>
      </c>
      <c r="V994" s="3">
        <f>IF($F994="","",IFERROR(INDEX('CAT_CENTROS_COSTO'!$F$4:$F$9,MATCH($F994,'CAT_CENTROS_COSTO'!$A$4:$A$9,0)),"(sin catálogo)"))</f>
        <v/>
      </c>
      <c r="W994" s="3">
        <f>IF($G994="","",IFERROR(INDEX('CAT_PUESTOS'!$B$4:$B$8,MATCH($G994,'CAT_PUESTOS'!$A$4:$A$8,0)),"(sin catálogo)"))</f>
        <v/>
      </c>
      <c r="X994" s="3">
        <f>IF($H994="","",IFERROR(INDEX('CAT_ACTIVIDADES'!$B$4:$B$8,MATCH($H994,'CAT_ACTIVIDADES'!$A$4:$A$8,0)),"(sin catálogo)"))</f>
        <v/>
      </c>
      <c r="Y994" s="12">
        <f>IF($J994="","",TODAY()-$J994)</f>
        <v/>
      </c>
      <c r="Z994" s="3">
        <f>IF($Y994="","",IF($Y994&lt;0,"FUTURO",IF($Y994&gt;p_dias_backlog_max,"BACKLOG","MES CORRIENTE")))</f>
        <v/>
      </c>
      <c r="AA994" s="3">
        <f>IF($Y994="",FALSE,AND($Y994&gt;p_dias_backlog_min,$Y994&lt;=p_dias_backlog_max))</f>
        <v/>
      </c>
      <c r="AB994" s="6" t="n"/>
      <c r="AC994" s="3">
        <f>IF($AB994="","",IFERROR(INDEX('ASIGNACIONES'!$F$4:$F$339,MATCH($O994&amp;"|"&amp;$R994&amp;"|"&amp;$AB994,'ASIGNACIONES'!$I$4:$I$339,0)),""))</f>
        <v/>
      </c>
      <c r="AD994" s="13">
        <f>IF($AB994="","",SUMIFS('ORDENES'!$M$4:$M$1203,'ORDENES'!$AB$4:$AB$1203,$AB994,'ORDENES'!$O$4:$O$1203,$O994,'ORDENES'!$R$4:$R$1203,$R994))</f>
        <v/>
      </c>
      <c r="AE994" s="13">
        <f>IF($AD994="","",p_factor_productividad*IFERROR(INDEX('ASIGNACIONES'!$H$4:$H$339,MATCH($O994&amp;"|"&amp;$R994&amp;"|"&amp;$AB994,'ASIGNACIONES'!$I$4:$I$339,0)),0)-$AD994)</f>
        <v/>
      </c>
      <c r="AF994" s="10">
        <f>IF($A994="","",IFERROR(INDEX('2_IMPORTAR_EJECUCION'!$F$9:$F$1208,MATCH($AN994,'2_IMPORTAR_EJECUCION'!$J$9:$J$1208,0)),0))</f>
        <v/>
      </c>
      <c r="AG994" s="10">
        <f>IF($A994="","",MAX(0,IFERROR(INDEX('2_IMPORTAR_EJECUCION'!$H$9:$H$1208,MATCH($AN994,'2_IMPORTAR_EJECUCION'!$J$9:$J$1208,0)),0)-$AF994))</f>
        <v/>
      </c>
      <c r="AH994" s="10">
        <f>IF($A994="","",$AF994+$AG994)</f>
        <v/>
      </c>
      <c r="AI994" s="6" t="n"/>
      <c r="AJ994" s="6" t="n"/>
      <c r="AK994" s="6" t="n"/>
      <c r="AL994" s="3">
        <f>IF($AK994="","",HYPERLINK(p_ruta_base_checklists&amp;$AK994,"abrir"))</f>
        <v/>
      </c>
      <c r="AM994" s="6" t="n"/>
      <c r="AN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1" t="n"/>
      <c r="K995" s="3" t="n"/>
      <c r="L995" s="10" t="n"/>
      <c r="M995" s="3">
        <f>IF($A995="","",IFERROR(INDEX('AJUSTES'!$B$4:$B$303,MATCH($AN995,'AJUSTES'!$A$4:$A$303,0)),IF($K995="","",$K995)))</f>
        <v/>
      </c>
      <c r="N995" s="3">
        <f>IF($A995="","",IFERROR(INDEX('CAT_ESTADOS_ERP'!$B$4:$B$7,MATCH(IFERROR(INDEX('2_IMPORTAR_EJECUCION'!$C$9:$C$1208,MATCH($AN995,'2_IMPORTAR_EJECUCION'!$J$9:$J$1208,0)),""),'CAT_ESTADOS_ERP'!$A$4:$A$7,0)),"Pendiente"))</f>
        <v/>
      </c>
      <c r="O995" s="3">
        <f>IF($J995="","",YEAR($J995+4-WEEKDAY($J995,2))&amp;"-S"&amp;TEXT(_xlfn.ISOWEEKNUM($J995),"00"))</f>
        <v/>
      </c>
      <c r="P995" s="3">
        <f>IF($J995="","",YEAR($J995))</f>
        <v/>
      </c>
      <c r="Q995" s="3">
        <f>IF($J995="","",MONTH($J995))</f>
        <v/>
      </c>
      <c r="R995" s="3">
        <f>IF($J995="","",INDEX(lista_dias,WEEKDAY($J995,2)))</f>
        <v/>
      </c>
      <c r="S995" s="3">
        <f>IF($I995="","",IFERROR(INDEX('CAT_TIPOS_OT'!$C$4:$C$7,MATCH($I995,'CAT_TIPOS_OT'!$A$4:$A$7,0)),"sin_clasificar"))</f>
        <v/>
      </c>
      <c r="T995" s="3">
        <f>IF($F995="","",IFERROR(INDEX('CAT_CENTROS_COSTO'!$E$4:$E$9,MATCH($F995,'CAT_CENTROS_COSTO'!$A$4:$A$9,0)),"(sin catálogo)"))</f>
        <v/>
      </c>
      <c r="U995" s="3">
        <f>IF($F995="","",IFERROR(INDEX('CAT_CENTROS_COSTO'!$D$4:$D$9,MATCH($F995,'CAT_CENTROS_COSTO'!$A$4:$A$9,0)),"(sin catálogo)"))</f>
        <v/>
      </c>
      <c r="V995" s="3">
        <f>IF($F995="","",IFERROR(INDEX('CAT_CENTROS_COSTO'!$F$4:$F$9,MATCH($F995,'CAT_CENTROS_COSTO'!$A$4:$A$9,0)),"(sin catálogo)"))</f>
        <v/>
      </c>
      <c r="W995" s="3">
        <f>IF($G995="","",IFERROR(INDEX('CAT_PUESTOS'!$B$4:$B$8,MATCH($G995,'CAT_PUESTOS'!$A$4:$A$8,0)),"(sin catálogo)"))</f>
        <v/>
      </c>
      <c r="X995" s="3">
        <f>IF($H995="","",IFERROR(INDEX('CAT_ACTIVIDADES'!$B$4:$B$8,MATCH($H995,'CAT_ACTIVIDADES'!$A$4:$A$8,0)),"(sin catálogo)"))</f>
        <v/>
      </c>
      <c r="Y995" s="12">
        <f>IF($J995="","",TODAY()-$J995)</f>
        <v/>
      </c>
      <c r="Z995" s="3">
        <f>IF($Y995="","",IF($Y995&lt;0,"FUTURO",IF($Y995&gt;p_dias_backlog_max,"BACKLOG","MES CORRIENTE")))</f>
        <v/>
      </c>
      <c r="AA995" s="3">
        <f>IF($Y995="",FALSE,AND($Y995&gt;p_dias_backlog_min,$Y995&lt;=p_dias_backlog_max))</f>
        <v/>
      </c>
      <c r="AB995" s="6" t="n"/>
      <c r="AC995" s="3">
        <f>IF($AB995="","",IFERROR(INDEX('ASIGNACIONES'!$F$4:$F$339,MATCH($O995&amp;"|"&amp;$R995&amp;"|"&amp;$AB995,'ASIGNACIONES'!$I$4:$I$339,0)),""))</f>
        <v/>
      </c>
      <c r="AD995" s="13">
        <f>IF($AB995="","",SUMIFS('ORDENES'!$M$4:$M$1203,'ORDENES'!$AB$4:$AB$1203,$AB995,'ORDENES'!$O$4:$O$1203,$O995,'ORDENES'!$R$4:$R$1203,$R995))</f>
        <v/>
      </c>
      <c r="AE995" s="13">
        <f>IF($AD995="","",p_factor_productividad*IFERROR(INDEX('ASIGNACIONES'!$H$4:$H$339,MATCH($O995&amp;"|"&amp;$R995&amp;"|"&amp;$AB995,'ASIGNACIONES'!$I$4:$I$339,0)),0)-$AD995)</f>
        <v/>
      </c>
      <c r="AF995" s="10">
        <f>IF($A995="","",IFERROR(INDEX('2_IMPORTAR_EJECUCION'!$F$9:$F$1208,MATCH($AN995,'2_IMPORTAR_EJECUCION'!$J$9:$J$1208,0)),0))</f>
        <v/>
      </c>
      <c r="AG995" s="10">
        <f>IF($A995="","",MAX(0,IFERROR(INDEX('2_IMPORTAR_EJECUCION'!$H$9:$H$1208,MATCH($AN995,'2_IMPORTAR_EJECUCION'!$J$9:$J$1208,0)),0)-$AF995))</f>
        <v/>
      </c>
      <c r="AH995" s="10">
        <f>IF($A995="","",$AF995+$AG995)</f>
        <v/>
      </c>
      <c r="AI995" s="6" t="n"/>
      <c r="AJ995" s="6" t="n"/>
      <c r="AK995" s="6" t="n"/>
      <c r="AL995" s="3">
        <f>IF($AK995="","",HYPERLINK(p_ruta_base_checklists&amp;$AK995,"abrir"))</f>
        <v/>
      </c>
      <c r="AM995" s="6" t="n"/>
      <c r="AN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1" t="n"/>
      <c r="K996" s="3" t="n"/>
      <c r="L996" s="10" t="n"/>
      <c r="M996" s="3">
        <f>IF($A996="","",IFERROR(INDEX('AJUSTES'!$B$4:$B$303,MATCH($AN996,'AJUSTES'!$A$4:$A$303,0)),IF($K996="","",$K996)))</f>
        <v/>
      </c>
      <c r="N996" s="3">
        <f>IF($A996="","",IFERROR(INDEX('CAT_ESTADOS_ERP'!$B$4:$B$7,MATCH(IFERROR(INDEX('2_IMPORTAR_EJECUCION'!$C$9:$C$1208,MATCH($AN996,'2_IMPORTAR_EJECUCION'!$J$9:$J$1208,0)),""),'CAT_ESTADOS_ERP'!$A$4:$A$7,0)),"Pendiente"))</f>
        <v/>
      </c>
      <c r="O996" s="3">
        <f>IF($J996="","",YEAR($J996+4-WEEKDAY($J996,2))&amp;"-S"&amp;TEXT(_xlfn.ISOWEEKNUM($J996),"00"))</f>
        <v/>
      </c>
      <c r="P996" s="3">
        <f>IF($J996="","",YEAR($J996))</f>
        <v/>
      </c>
      <c r="Q996" s="3">
        <f>IF($J996="","",MONTH($J996))</f>
        <v/>
      </c>
      <c r="R996" s="3">
        <f>IF($J996="","",INDEX(lista_dias,WEEKDAY($J996,2)))</f>
        <v/>
      </c>
      <c r="S996" s="3">
        <f>IF($I996="","",IFERROR(INDEX('CAT_TIPOS_OT'!$C$4:$C$7,MATCH($I996,'CAT_TIPOS_OT'!$A$4:$A$7,0)),"sin_clasificar"))</f>
        <v/>
      </c>
      <c r="T996" s="3">
        <f>IF($F996="","",IFERROR(INDEX('CAT_CENTROS_COSTO'!$E$4:$E$9,MATCH($F996,'CAT_CENTROS_COSTO'!$A$4:$A$9,0)),"(sin catálogo)"))</f>
        <v/>
      </c>
      <c r="U996" s="3">
        <f>IF($F996="","",IFERROR(INDEX('CAT_CENTROS_COSTO'!$D$4:$D$9,MATCH($F996,'CAT_CENTROS_COSTO'!$A$4:$A$9,0)),"(sin catálogo)"))</f>
        <v/>
      </c>
      <c r="V996" s="3">
        <f>IF($F996="","",IFERROR(INDEX('CAT_CENTROS_COSTO'!$F$4:$F$9,MATCH($F996,'CAT_CENTROS_COSTO'!$A$4:$A$9,0)),"(sin catálogo)"))</f>
        <v/>
      </c>
      <c r="W996" s="3">
        <f>IF($G996="","",IFERROR(INDEX('CAT_PUESTOS'!$B$4:$B$8,MATCH($G996,'CAT_PUESTOS'!$A$4:$A$8,0)),"(sin catálogo)"))</f>
        <v/>
      </c>
      <c r="X996" s="3">
        <f>IF($H996="","",IFERROR(INDEX('CAT_ACTIVIDADES'!$B$4:$B$8,MATCH($H996,'CAT_ACTIVIDADES'!$A$4:$A$8,0)),"(sin catálogo)"))</f>
        <v/>
      </c>
      <c r="Y996" s="12">
        <f>IF($J996="","",TODAY()-$J996)</f>
        <v/>
      </c>
      <c r="Z996" s="3">
        <f>IF($Y996="","",IF($Y996&lt;0,"FUTURO",IF($Y996&gt;p_dias_backlog_max,"BACKLOG","MES CORRIENTE")))</f>
        <v/>
      </c>
      <c r="AA996" s="3">
        <f>IF($Y996="",FALSE,AND($Y996&gt;p_dias_backlog_min,$Y996&lt;=p_dias_backlog_max))</f>
        <v/>
      </c>
      <c r="AB996" s="6" t="n"/>
      <c r="AC996" s="3">
        <f>IF($AB996="","",IFERROR(INDEX('ASIGNACIONES'!$F$4:$F$339,MATCH($O996&amp;"|"&amp;$R996&amp;"|"&amp;$AB996,'ASIGNACIONES'!$I$4:$I$339,0)),""))</f>
        <v/>
      </c>
      <c r="AD996" s="13">
        <f>IF($AB996="","",SUMIFS('ORDENES'!$M$4:$M$1203,'ORDENES'!$AB$4:$AB$1203,$AB996,'ORDENES'!$O$4:$O$1203,$O996,'ORDENES'!$R$4:$R$1203,$R996))</f>
        <v/>
      </c>
      <c r="AE996" s="13">
        <f>IF($AD996="","",p_factor_productividad*IFERROR(INDEX('ASIGNACIONES'!$H$4:$H$339,MATCH($O996&amp;"|"&amp;$R996&amp;"|"&amp;$AB996,'ASIGNACIONES'!$I$4:$I$339,0)),0)-$AD996)</f>
        <v/>
      </c>
      <c r="AF996" s="10">
        <f>IF($A996="","",IFERROR(INDEX('2_IMPORTAR_EJECUCION'!$F$9:$F$1208,MATCH($AN996,'2_IMPORTAR_EJECUCION'!$J$9:$J$1208,0)),0))</f>
        <v/>
      </c>
      <c r="AG996" s="10">
        <f>IF($A996="","",MAX(0,IFERROR(INDEX('2_IMPORTAR_EJECUCION'!$H$9:$H$1208,MATCH($AN996,'2_IMPORTAR_EJECUCION'!$J$9:$J$1208,0)),0)-$AF996))</f>
        <v/>
      </c>
      <c r="AH996" s="10">
        <f>IF($A996="","",$AF996+$AG996)</f>
        <v/>
      </c>
      <c r="AI996" s="6" t="n"/>
      <c r="AJ996" s="6" t="n"/>
      <c r="AK996" s="6" t="n"/>
      <c r="AL996" s="3">
        <f>IF($AK996="","",HYPERLINK(p_ruta_base_checklists&amp;$AK996,"abrir"))</f>
        <v/>
      </c>
      <c r="AM996" s="6" t="n"/>
      <c r="AN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1" t="n"/>
      <c r="K997" s="3" t="n"/>
      <c r="L997" s="10" t="n"/>
      <c r="M997" s="3">
        <f>IF($A997="","",IFERROR(INDEX('AJUSTES'!$B$4:$B$303,MATCH($AN997,'AJUSTES'!$A$4:$A$303,0)),IF($K997="","",$K997)))</f>
        <v/>
      </c>
      <c r="N997" s="3">
        <f>IF($A997="","",IFERROR(INDEX('CAT_ESTADOS_ERP'!$B$4:$B$7,MATCH(IFERROR(INDEX('2_IMPORTAR_EJECUCION'!$C$9:$C$1208,MATCH($AN997,'2_IMPORTAR_EJECUCION'!$J$9:$J$1208,0)),""),'CAT_ESTADOS_ERP'!$A$4:$A$7,0)),"Pendiente"))</f>
        <v/>
      </c>
      <c r="O997" s="3">
        <f>IF($J997="","",YEAR($J997+4-WEEKDAY($J997,2))&amp;"-S"&amp;TEXT(_xlfn.ISOWEEKNUM($J997),"00"))</f>
        <v/>
      </c>
      <c r="P997" s="3">
        <f>IF($J997="","",YEAR($J997))</f>
        <v/>
      </c>
      <c r="Q997" s="3">
        <f>IF($J997="","",MONTH($J997))</f>
        <v/>
      </c>
      <c r="R997" s="3">
        <f>IF($J997="","",INDEX(lista_dias,WEEKDAY($J997,2)))</f>
        <v/>
      </c>
      <c r="S997" s="3">
        <f>IF($I997="","",IFERROR(INDEX('CAT_TIPOS_OT'!$C$4:$C$7,MATCH($I997,'CAT_TIPOS_OT'!$A$4:$A$7,0)),"sin_clasificar"))</f>
        <v/>
      </c>
      <c r="T997" s="3">
        <f>IF($F997="","",IFERROR(INDEX('CAT_CENTROS_COSTO'!$E$4:$E$9,MATCH($F997,'CAT_CENTROS_COSTO'!$A$4:$A$9,0)),"(sin catálogo)"))</f>
        <v/>
      </c>
      <c r="U997" s="3">
        <f>IF($F997="","",IFERROR(INDEX('CAT_CENTROS_COSTO'!$D$4:$D$9,MATCH($F997,'CAT_CENTROS_COSTO'!$A$4:$A$9,0)),"(sin catálogo)"))</f>
        <v/>
      </c>
      <c r="V997" s="3">
        <f>IF($F997="","",IFERROR(INDEX('CAT_CENTROS_COSTO'!$F$4:$F$9,MATCH($F997,'CAT_CENTROS_COSTO'!$A$4:$A$9,0)),"(sin catálogo)"))</f>
        <v/>
      </c>
      <c r="W997" s="3">
        <f>IF($G997="","",IFERROR(INDEX('CAT_PUESTOS'!$B$4:$B$8,MATCH($G997,'CAT_PUESTOS'!$A$4:$A$8,0)),"(sin catálogo)"))</f>
        <v/>
      </c>
      <c r="X997" s="3">
        <f>IF($H997="","",IFERROR(INDEX('CAT_ACTIVIDADES'!$B$4:$B$8,MATCH($H997,'CAT_ACTIVIDADES'!$A$4:$A$8,0)),"(sin catálogo)"))</f>
        <v/>
      </c>
      <c r="Y997" s="12">
        <f>IF($J997="","",TODAY()-$J997)</f>
        <v/>
      </c>
      <c r="Z997" s="3">
        <f>IF($Y997="","",IF($Y997&lt;0,"FUTURO",IF($Y997&gt;p_dias_backlog_max,"BACKLOG","MES CORRIENTE")))</f>
        <v/>
      </c>
      <c r="AA997" s="3">
        <f>IF($Y997="",FALSE,AND($Y997&gt;p_dias_backlog_min,$Y997&lt;=p_dias_backlog_max))</f>
        <v/>
      </c>
      <c r="AB997" s="6" t="n"/>
      <c r="AC997" s="3">
        <f>IF($AB997="","",IFERROR(INDEX('ASIGNACIONES'!$F$4:$F$339,MATCH($O997&amp;"|"&amp;$R997&amp;"|"&amp;$AB997,'ASIGNACIONES'!$I$4:$I$339,0)),""))</f>
        <v/>
      </c>
      <c r="AD997" s="13">
        <f>IF($AB997="","",SUMIFS('ORDENES'!$M$4:$M$1203,'ORDENES'!$AB$4:$AB$1203,$AB997,'ORDENES'!$O$4:$O$1203,$O997,'ORDENES'!$R$4:$R$1203,$R997))</f>
        <v/>
      </c>
      <c r="AE997" s="13">
        <f>IF($AD997="","",p_factor_productividad*IFERROR(INDEX('ASIGNACIONES'!$H$4:$H$339,MATCH($O997&amp;"|"&amp;$R997&amp;"|"&amp;$AB997,'ASIGNACIONES'!$I$4:$I$339,0)),0)-$AD997)</f>
        <v/>
      </c>
      <c r="AF997" s="10">
        <f>IF($A997="","",IFERROR(INDEX('2_IMPORTAR_EJECUCION'!$F$9:$F$1208,MATCH($AN997,'2_IMPORTAR_EJECUCION'!$J$9:$J$1208,0)),0))</f>
        <v/>
      </c>
      <c r="AG997" s="10">
        <f>IF($A997="","",MAX(0,IFERROR(INDEX('2_IMPORTAR_EJECUCION'!$H$9:$H$1208,MATCH($AN997,'2_IMPORTAR_EJECUCION'!$J$9:$J$1208,0)),0)-$AF997))</f>
        <v/>
      </c>
      <c r="AH997" s="10">
        <f>IF($A997="","",$AF997+$AG997)</f>
        <v/>
      </c>
      <c r="AI997" s="6" t="n"/>
      <c r="AJ997" s="6" t="n"/>
      <c r="AK997" s="6" t="n"/>
      <c r="AL997" s="3">
        <f>IF($AK997="","",HYPERLINK(p_ruta_base_checklists&amp;$AK997,"abrir"))</f>
        <v/>
      </c>
      <c r="AM997" s="6" t="n"/>
      <c r="AN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1" t="n"/>
      <c r="K998" s="3" t="n"/>
      <c r="L998" s="10" t="n"/>
      <c r="M998" s="3">
        <f>IF($A998="","",IFERROR(INDEX('AJUSTES'!$B$4:$B$303,MATCH($AN998,'AJUSTES'!$A$4:$A$303,0)),IF($K998="","",$K998)))</f>
        <v/>
      </c>
      <c r="N998" s="3">
        <f>IF($A998="","",IFERROR(INDEX('CAT_ESTADOS_ERP'!$B$4:$B$7,MATCH(IFERROR(INDEX('2_IMPORTAR_EJECUCION'!$C$9:$C$1208,MATCH($AN998,'2_IMPORTAR_EJECUCION'!$J$9:$J$1208,0)),""),'CAT_ESTADOS_ERP'!$A$4:$A$7,0)),"Pendiente"))</f>
        <v/>
      </c>
      <c r="O998" s="3">
        <f>IF($J998="","",YEAR($J998+4-WEEKDAY($J998,2))&amp;"-S"&amp;TEXT(_xlfn.ISOWEEKNUM($J998),"00"))</f>
        <v/>
      </c>
      <c r="P998" s="3">
        <f>IF($J998="","",YEAR($J998))</f>
        <v/>
      </c>
      <c r="Q998" s="3">
        <f>IF($J998="","",MONTH($J998))</f>
        <v/>
      </c>
      <c r="R998" s="3">
        <f>IF($J998="","",INDEX(lista_dias,WEEKDAY($J998,2)))</f>
        <v/>
      </c>
      <c r="S998" s="3">
        <f>IF($I998="","",IFERROR(INDEX('CAT_TIPOS_OT'!$C$4:$C$7,MATCH($I998,'CAT_TIPOS_OT'!$A$4:$A$7,0)),"sin_clasificar"))</f>
        <v/>
      </c>
      <c r="T998" s="3">
        <f>IF($F998="","",IFERROR(INDEX('CAT_CENTROS_COSTO'!$E$4:$E$9,MATCH($F998,'CAT_CENTROS_COSTO'!$A$4:$A$9,0)),"(sin catálogo)"))</f>
        <v/>
      </c>
      <c r="U998" s="3">
        <f>IF($F998="","",IFERROR(INDEX('CAT_CENTROS_COSTO'!$D$4:$D$9,MATCH($F998,'CAT_CENTROS_COSTO'!$A$4:$A$9,0)),"(sin catálogo)"))</f>
        <v/>
      </c>
      <c r="V998" s="3">
        <f>IF($F998="","",IFERROR(INDEX('CAT_CENTROS_COSTO'!$F$4:$F$9,MATCH($F998,'CAT_CENTROS_COSTO'!$A$4:$A$9,0)),"(sin catálogo)"))</f>
        <v/>
      </c>
      <c r="W998" s="3">
        <f>IF($G998="","",IFERROR(INDEX('CAT_PUESTOS'!$B$4:$B$8,MATCH($G998,'CAT_PUESTOS'!$A$4:$A$8,0)),"(sin catálogo)"))</f>
        <v/>
      </c>
      <c r="X998" s="3">
        <f>IF($H998="","",IFERROR(INDEX('CAT_ACTIVIDADES'!$B$4:$B$8,MATCH($H998,'CAT_ACTIVIDADES'!$A$4:$A$8,0)),"(sin catálogo)"))</f>
        <v/>
      </c>
      <c r="Y998" s="12">
        <f>IF($J998="","",TODAY()-$J998)</f>
        <v/>
      </c>
      <c r="Z998" s="3">
        <f>IF($Y998="","",IF($Y998&lt;0,"FUTURO",IF($Y998&gt;p_dias_backlog_max,"BACKLOG","MES CORRIENTE")))</f>
        <v/>
      </c>
      <c r="AA998" s="3">
        <f>IF($Y998="",FALSE,AND($Y998&gt;p_dias_backlog_min,$Y998&lt;=p_dias_backlog_max))</f>
        <v/>
      </c>
      <c r="AB998" s="6" t="n"/>
      <c r="AC998" s="3">
        <f>IF($AB998="","",IFERROR(INDEX('ASIGNACIONES'!$F$4:$F$339,MATCH($O998&amp;"|"&amp;$R998&amp;"|"&amp;$AB998,'ASIGNACIONES'!$I$4:$I$339,0)),""))</f>
        <v/>
      </c>
      <c r="AD998" s="13">
        <f>IF($AB998="","",SUMIFS('ORDENES'!$M$4:$M$1203,'ORDENES'!$AB$4:$AB$1203,$AB998,'ORDENES'!$O$4:$O$1203,$O998,'ORDENES'!$R$4:$R$1203,$R998))</f>
        <v/>
      </c>
      <c r="AE998" s="13">
        <f>IF($AD998="","",p_factor_productividad*IFERROR(INDEX('ASIGNACIONES'!$H$4:$H$339,MATCH($O998&amp;"|"&amp;$R998&amp;"|"&amp;$AB998,'ASIGNACIONES'!$I$4:$I$339,0)),0)-$AD998)</f>
        <v/>
      </c>
      <c r="AF998" s="10">
        <f>IF($A998="","",IFERROR(INDEX('2_IMPORTAR_EJECUCION'!$F$9:$F$1208,MATCH($AN998,'2_IMPORTAR_EJECUCION'!$J$9:$J$1208,0)),0))</f>
        <v/>
      </c>
      <c r="AG998" s="10">
        <f>IF($A998="","",MAX(0,IFERROR(INDEX('2_IMPORTAR_EJECUCION'!$H$9:$H$1208,MATCH($AN998,'2_IMPORTAR_EJECUCION'!$J$9:$J$1208,0)),0)-$AF998))</f>
        <v/>
      </c>
      <c r="AH998" s="10">
        <f>IF($A998="","",$AF998+$AG998)</f>
        <v/>
      </c>
      <c r="AI998" s="6" t="n"/>
      <c r="AJ998" s="6" t="n"/>
      <c r="AK998" s="6" t="n"/>
      <c r="AL998" s="3">
        <f>IF($AK998="","",HYPERLINK(p_ruta_base_checklists&amp;$AK998,"abrir"))</f>
        <v/>
      </c>
      <c r="AM998" s="6" t="n"/>
      <c r="AN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1" t="n"/>
      <c r="K999" s="3" t="n"/>
      <c r="L999" s="10" t="n"/>
      <c r="M999" s="3">
        <f>IF($A999="","",IFERROR(INDEX('AJUSTES'!$B$4:$B$303,MATCH($AN999,'AJUSTES'!$A$4:$A$303,0)),IF($K999="","",$K999)))</f>
        <v/>
      </c>
      <c r="N999" s="3">
        <f>IF($A999="","",IFERROR(INDEX('CAT_ESTADOS_ERP'!$B$4:$B$7,MATCH(IFERROR(INDEX('2_IMPORTAR_EJECUCION'!$C$9:$C$1208,MATCH($AN999,'2_IMPORTAR_EJECUCION'!$J$9:$J$1208,0)),""),'CAT_ESTADOS_ERP'!$A$4:$A$7,0)),"Pendiente"))</f>
        <v/>
      </c>
      <c r="O999" s="3">
        <f>IF($J999="","",YEAR($J999+4-WEEKDAY($J999,2))&amp;"-S"&amp;TEXT(_xlfn.ISOWEEKNUM($J999),"00"))</f>
        <v/>
      </c>
      <c r="P999" s="3">
        <f>IF($J999="","",YEAR($J999))</f>
        <v/>
      </c>
      <c r="Q999" s="3">
        <f>IF($J999="","",MONTH($J999))</f>
        <v/>
      </c>
      <c r="R999" s="3">
        <f>IF($J999="","",INDEX(lista_dias,WEEKDAY($J999,2)))</f>
        <v/>
      </c>
      <c r="S999" s="3">
        <f>IF($I999="","",IFERROR(INDEX('CAT_TIPOS_OT'!$C$4:$C$7,MATCH($I999,'CAT_TIPOS_OT'!$A$4:$A$7,0)),"sin_clasificar"))</f>
        <v/>
      </c>
      <c r="T999" s="3">
        <f>IF($F999="","",IFERROR(INDEX('CAT_CENTROS_COSTO'!$E$4:$E$9,MATCH($F999,'CAT_CENTROS_COSTO'!$A$4:$A$9,0)),"(sin catálogo)"))</f>
        <v/>
      </c>
      <c r="U999" s="3">
        <f>IF($F999="","",IFERROR(INDEX('CAT_CENTROS_COSTO'!$D$4:$D$9,MATCH($F999,'CAT_CENTROS_COSTO'!$A$4:$A$9,0)),"(sin catálogo)"))</f>
        <v/>
      </c>
      <c r="V999" s="3">
        <f>IF($F999="","",IFERROR(INDEX('CAT_CENTROS_COSTO'!$F$4:$F$9,MATCH($F999,'CAT_CENTROS_COSTO'!$A$4:$A$9,0)),"(sin catálogo)"))</f>
        <v/>
      </c>
      <c r="W999" s="3">
        <f>IF($G999="","",IFERROR(INDEX('CAT_PUESTOS'!$B$4:$B$8,MATCH($G999,'CAT_PUESTOS'!$A$4:$A$8,0)),"(sin catálogo)"))</f>
        <v/>
      </c>
      <c r="X999" s="3">
        <f>IF($H999="","",IFERROR(INDEX('CAT_ACTIVIDADES'!$B$4:$B$8,MATCH($H999,'CAT_ACTIVIDADES'!$A$4:$A$8,0)),"(sin catálogo)"))</f>
        <v/>
      </c>
      <c r="Y999" s="12">
        <f>IF($J999="","",TODAY()-$J999)</f>
        <v/>
      </c>
      <c r="Z999" s="3">
        <f>IF($Y999="","",IF($Y999&lt;0,"FUTURO",IF($Y999&gt;p_dias_backlog_max,"BACKLOG","MES CORRIENTE")))</f>
        <v/>
      </c>
      <c r="AA999" s="3">
        <f>IF($Y999="",FALSE,AND($Y999&gt;p_dias_backlog_min,$Y999&lt;=p_dias_backlog_max))</f>
        <v/>
      </c>
      <c r="AB999" s="6" t="n"/>
      <c r="AC999" s="3">
        <f>IF($AB999="","",IFERROR(INDEX('ASIGNACIONES'!$F$4:$F$339,MATCH($O999&amp;"|"&amp;$R999&amp;"|"&amp;$AB999,'ASIGNACIONES'!$I$4:$I$339,0)),""))</f>
        <v/>
      </c>
      <c r="AD999" s="13">
        <f>IF($AB999="","",SUMIFS('ORDENES'!$M$4:$M$1203,'ORDENES'!$AB$4:$AB$1203,$AB999,'ORDENES'!$O$4:$O$1203,$O999,'ORDENES'!$R$4:$R$1203,$R999))</f>
        <v/>
      </c>
      <c r="AE999" s="13">
        <f>IF($AD999="","",p_factor_productividad*IFERROR(INDEX('ASIGNACIONES'!$H$4:$H$339,MATCH($O999&amp;"|"&amp;$R999&amp;"|"&amp;$AB999,'ASIGNACIONES'!$I$4:$I$339,0)),0)-$AD999)</f>
        <v/>
      </c>
      <c r="AF999" s="10">
        <f>IF($A999="","",IFERROR(INDEX('2_IMPORTAR_EJECUCION'!$F$9:$F$1208,MATCH($AN999,'2_IMPORTAR_EJECUCION'!$J$9:$J$1208,0)),0))</f>
        <v/>
      </c>
      <c r="AG999" s="10">
        <f>IF($A999="","",MAX(0,IFERROR(INDEX('2_IMPORTAR_EJECUCION'!$H$9:$H$1208,MATCH($AN999,'2_IMPORTAR_EJECUCION'!$J$9:$J$1208,0)),0)-$AF999))</f>
        <v/>
      </c>
      <c r="AH999" s="10">
        <f>IF($A999="","",$AF999+$AG999)</f>
        <v/>
      </c>
      <c r="AI999" s="6" t="n"/>
      <c r="AJ999" s="6" t="n"/>
      <c r="AK999" s="6" t="n"/>
      <c r="AL999" s="3">
        <f>IF($AK999="","",HYPERLINK(p_ruta_base_checklists&amp;$AK999,"abrir"))</f>
        <v/>
      </c>
      <c r="AM999" s="6" t="n"/>
      <c r="AN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1" t="n"/>
      <c r="K1000" s="3" t="n"/>
      <c r="L1000" s="10" t="n"/>
      <c r="M1000" s="3">
        <f>IF($A1000="","",IFERROR(INDEX('AJUSTES'!$B$4:$B$303,MATCH($AN1000,'AJUSTES'!$A$4:$A$303,0)),IF($K1000="","",$K1000)))</f>
        <v/>
      </c>
      <c r="N1000" s="3">
        <f>IF($A1000="","",IFERROR(INDEX('CAT_ESTADOS_ERP'!$B$4:$B$7,MATCH(IFERROR(INDEX('2_IMPORTAR_EJECUCION'!$C$9:$C$1208,MATCH($AN1000,'2_IMPORTAR_EJECUCION'!$J$9:$J$1208,0)),""),'CAT_ESTADOS_ERP'!$A$4:$A$7,0)),"Pendiente"))</f>
        <v/>
      </c>
      <c r="O1000" s="3">
        <f>IF($J1000="","",YEAR($J1000+4-WEEKDAY($J1000,2))&amp;"-S"&amp;TEXT(_xlfn.ISOWEEKNUM($J1000),"00"))</f>
        <v/>
      </c>
      <c r="P1000" s="3">
        <f>IF($J1000="","",YEAR($J1000))</f>
        <v/>
      </c>
      <c r="Q1000" s="3">
        <f>IF($J1000="","",MONTH($J1000))</f>
        <v/>
      </c>
      <c r="R1000" s="3">
        <f>IF($J1000="","",INDEX(lista_dias,WEEKDAY($J1000,2)))</f>
        <v/>
      </c>
      <c r="S1000" s="3">
        <f>IF($I1000="","",IFERROR(INDEX('CAT_TIPOS_OT'!$C$4:$C$7,MATCH($I1000,'CAT_TIPOS_OT'!$A$4:$A$7,0)),"sin_clasificar"))</f>
        <v/>
      </c>
      <c r="T1000" s="3">
        <f>IF($F1000="","",IFERROR(INDEX('CAT_CENTROS_COSTO'!$E$4:$E$9,MATCH($F1000,'CAT_CENTROS_COSTO'!$A$4:$A$9,0)),"(sin catálogo)"))</f>
        <v/>
      </c>
      <c r="U1000" s="3">
        <f>IF($F1000="","",IFERROR(INDEX('CAT_CENTROS_COSTO'!$D$4:$D$9,MATCH($F1000,'CAT_CENTROS_COSTO'!$A$4:$A$9,0)),"(sin catálogo)"))</f>
        <v/>
      </c>
      <c r="V1000" s="3">
        <f>IF($F1000="","",IFERROR(INDEX('CAT_CENTROS_COSTO'!$F$4:$F$9,MATCH($F1000,'CAT_CENTROS_COSTO'!$A$4:$A$9,0)),"(sin catálogo)"))</f>
        <v/>
      </c>
      <c r="W1000" s="3">
        <f>IF($G1000="","",IFERROR(INDEX('CAT_PUESTOS'!$B$4:$B$8,MATCH($G1000,'CAT_PUESTOS'!$A$4:$A$8,0)),"(sin catálogo)"))</f>
        <v/>
      </c>
      <c r="X1000" s="3">
        <f>IF($H1000="","",IFERROR(INDEX('CAT_ACTIVIDADES'!$B$4:$B$8,MATCH($H1000,'CAT_ACTIVIDADES'!$A$4:$A$8,0)),"(sin catálogo)"))</f>
        <v/>
      </c>
      <c r="Y1000" s="12">
        <f>IF($J1000="","",TODAY()-$J1000)</f>
        <v/>
      </c>
      <c r="Z1000" s="3">
        <f>IF($Y1000="","",IF($Y1000&lt;0,"FUTURO",IF($Y1000&gt;p_dias_backlog_max,"BACKLOG","MES CORRIENTE")))</f>
        <v/>
      </c>
      <c r="AA1000" s="3">
        <f>IF($Y1000="",FALSE,AND($Y1000&gt;p_dias_backlog_min,$Y1000&lt;=p_dias_backlog_max))</f>
        <v/>
      </c>
      <c r="AB1000" s="6" t="n"/>
      <c r="AC1000" s="3">
        <f>IF($AB1000="","",IFERROR(INDEX('ASIGNACIONES'!$F$4:$F$339,MATCH($O1000&amp;"|"&amp;$R1000&amp;"|"&amp;$AB1000,'ASIGNACIONES'!$I$4:$I$339,0)),""))</f>
        <v/>
      </c>
      <c r="AD1000" s="13">
        <f>IF($AB1000="","",SUMIFS('ORDENES'!$M$4:$M$1203,'ORDENES'!$AB$4:$AB$1203,$AB1000,'ORDENES'!$O$4:$O$1203,$O1000,'ORDENES'!$R$4:$R$1203,$R1000))</f>
        <v/>
      </c>
      <c r="AE1000" s="13">
        <f>IF($AD1000="","",p_factor_productividad*IFERROR(INDEX('ASIGNACIONES'!$H$4:$H$339,MATCH($O1000&amp;"|"&amp;$R1000&amp;"|"&amp;$AB1000,'ASIGNACIONES'!$I$4:$I$339,0)),0)-$AD1000)</f>
        <v/>
      </c>
      <c r="AF1000" s="10">
        <f>IF($A1000="","",IFERROR(INDEX('2_IMPORTAR_EJECUCION'!$F$9:$F$1208,MATCH($AN1000,'2_IMPORTAR_EJECUCION'!$J$9:$J$1208,0)),0))</f>
        <v/>
      </c>
      <c r="AG1000" s="10">
        <f>IF($A1000="","",MAX(0,IFERROR(INDEX('2_IMPORTAR_EJECUCION'!$H$9:$H$1208,MATCH($AN1000,'2_IMPORTAR_EJECUCION'!$J$9:$J$1208,0)),0)-$AF1000))</f>
        <v/>
      </c>
      <c r="AH1000" s="10">
        <f>IF($A1000="","",$AF1000+$AG1000)</f>
        <v/>
      </c>
      <c r="AI1000" s="6" t="n"/>
      <c r="AJ1000" s="6" t="n"/>
      <c r="AK1000" s="6" t="n"/>
      <c r="AL1000" s="3">
        <f>IF($AK1000="","",HYPERLINK(p_ruta_base_checklists&amp;$AK1000,"abrir"))</f>
        <v/>
      </c>
      <c r="AM1000" s="6" t="n"/>
      <c r="AN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1" t="n"/>
      <c r="K1001" s="3" t="n"/>
      <c r="L1001" s="10" t="n"/>
      <c r="M1001" s="3">
        <f>IF($A1001="","",IFERROR(INDEX('AJUSTES'!$B$4:$B$303,MATCH($AN1001,'AJUSTES'!$A$4:$A$303,0)),IF($K1001="","",$K1001)))</f>
        <v/>
      </c>
      <c r="N1001" s="3">
        <f>IF($A1001="","",IFERROR(INDEX('CAT_ESTADOS_ERP'!$B$4:$B$7,MATCH(IFERROR(INDEX('2_IMPORTAR_EJECUCION'!$C$9:$C$1208,MATCH($AN1001,'2_IMPORTAR_EJECUCION'!$J$9:$J$1208,0)),""),'CAT_ESTADOS_ERP'!$A$4:$A$7,0)),"Pendiente"))</f>
        <v/>
      </c>
      <c r="O1001" s="3">
        <f>IF($J1001="","",YEAR($J1001+4-WEEKDAY($J1001,2))&amp;"-S"&amp;TEXT(_xlfn.ISOWEEKNUM($J1001),"00"))</f>
        <v/>
      </c>
      <c r="P1001" s="3">
        <f>IF($J1001="","",YEAR($J1001))</f>
        <v/>
      </c>
      <c r="Q1001" s="3">
        <f>IF($J1001="","",MONTH($J1001))</f>
        <v/>
      </c>
      <c r="R1001" s="3">
        <f>IF($J1001="","",INDEX(lista_dias,WEEKDAY($J1001,2)))</f>
        <v/>
      </c>
      <c r="S1001" s="3">
        <f>IF($I1001="","",IFERROR(INDEX('CAT_TIPOS_OT'!$C$4:$C$7,MATCH($I1001,'CAT_TIPOS_OT'!$A$4:$A$7,0)),"sin_clasificar"))</f>
        <v/>
      </c>
      <c r="T1001" s="3">
        <f>IF($F1001="","",IFERROR(INDEX('CAT_CENTROS_COSTO'!$E$4:$E$9,MATCH($F1001,'CAT_CENTROS_COSTO'!$A$4:$A$9,0)),"(sin catálogo)"))</f>
        <v/>
      </c>
      <c r="U1001" s="3">
        <f>IF($F1001="","",IFERROR(INDEX('CAT_CENTROS_COSTO'!$D$4:$D$9,MATCH($F1001,'CAT_CENTROS_COSTO'!$A$4:$A$9,0)),"(sin catálogo)"))</f>
        <v/>
      </c>
      <c r="V1001" s="3">
        <f>IF($F1001="","",IFERROR(INDEX('CAT_CENTROS_COSTO'!$F$4:$F$9,MATCH($F1001,'CAT_CENTROS_COSTO'!$A$4:$A$9,0)),"(sin catálogo)"))</f>
        <v/>
      </c>
      <c r="W1001" s="3">
        <f>IF($G1001="","",IFERROR(INDEX('CAT_PUESTOS'!$B$4:$B$8,MATCH($G1001,'CAT_PUESTOS'!$A$4:$A$8,0)),"(sin catálogo)"))</f>
        <v/>
      </c>
      <c r="X1001" s="3">
        <f>IF($H1001="","",IFERROR(INDEX('CAT_ACTIVIDADES'!$B$4:$B$8,MATCH($H1001,'CAT_ACTIVIDADES'!$A$4:$A$8,0)),"(sin catálogo)"))</f>
        <v/>
      </c>
      <c r="Y1001" s="12">
        <f>IF($J1001="","",TODAY()-$J1001)</f>
        <v/>
      </c>
      <c r="Z1001" s="3">
        <f>IF($Y1001="","",IF($Y1001&lt;0,"FUTURO",IF($Y1001&gt;p_dias_backlog_max,"BACKLOG","MES CORRIENTE")))</f>
        <v/>
      </c>
      <c r="AA1001" s="3">
        <f>IF($Y1001="",FALSE,AND($Y1001&gt;p_dias_backlog_min,$Y1001&lt;=p_dias_backlog_max))</f>
        <v/>
      </c>
      <c r="AB1001" s="6" t="n"/>
      <c r="AC1001" s="3">
        <f>IF($AB1001="","",IFERROR(INDEX('ASIGNACIONES'!$F$4:$F$339,MATCH($O1001&amp;"|"&amp;$R1001&amp;"|"&amp;$AB1001,'ASIGNACIONES'!$I$4:$I$339,0)),""))</f>
        <v/>
      </c>
      <c r="AD1001" s="13">
        <f>IF($AB1001="","",SUMIFS('ORDENES'!$M$4:$M$1203,'ORDENES'!$AB$4:$AB$1203,$AB1001,'ORDENES'!$O$4:$O$1203,$O1001,'ORDENES'!$R$4:$R$1203,$R1001))</f>
        <v/>
      </c>
      <c r="AE1001" s="13">
        <f>IF($AD1001="","",p_factor_productividad*IFERROR(INDEX('ASIGNACIONES'!$H$4:$H$339,MATCH($O1001&amp;"|"&amp;$R1001&amp;"|"&amp;$AB1001,'ASIGNACIONES'!$I$4:$I$339,0)),0)-$AD1001)</f>
        <v/>
      </c>
      <c r="AF1001" s="10">
        <f>IF($A1001="","",IFERROR(INDEX('2_IMPORTAR_EJECUCION'!$F$9:$F$1208,MATCH($AN1001,'2_IMPORTAR_EJECUCION'!$J$9:$J$1208,0)),0))</f>
        <v/>
      </c>
      <c r="AG1001" s="10">
        <f>IF($A1001="","",MAX(0,IFERROR(INDEX('2_IMPORTAR_EJECUCION'!$H$9:$H$1208,MATCH($AN1001,'2_IMPORTAR_EJECUCION'!$J$9:$J$1208,0)),0)-$AF1001))</f>
        <v/>
      </c>
      <c r="AH1001" s="10">
        <f>IF($A1001="","",$AF1001+$AG1001)</f>
        <v/>
      </c>
      <c r="AI1001" s="6" t="n"/>
      <c r="AJ1001" s="6" t="n"/>
      <c r="AK1001" s="6" t="n"/>
      <c r="AL1001" s="3">
        <f>IF($AK1001="","",HYPERLINK(p_ruta_base_checklists&amp;$AK1001,"abrir"))</f>
        <v/>
      </c>
      <c r="AM1001" s="6" t="n"/>
      <c r="AN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1" t="n"/>
      <c r="K1002" s="3" t="n"/>
      <c r="L1002" s="10" t="n"/>
      <c r="M1002" s="3">
        <f>IF($A1002="","",IFERROR(INDEX('AJUSTES'!$B$4:$B$303,MATCH($AN1002,'AJUSTES'!$A$4:$A$303,0)),IF($K1002="","",$K1002)))</f>
        <v/>
      </c>
      <c r="N1002" s="3">
        <f>IF($A1002="","",IFERROR(INDEX('CAT_ESTADOS_ERP'!$B$4:$B$7,MATCH(IFERROR(INDEX('2_IMPORTAR_EJECUCION'!$C$9:$C$1208,MATCH($AN1002,'2_IMPORTAR_EJECUCION'!$J$9:$J$1208,0)),""),'CAT_ESTADOS_ERP'!$A$4:$A$7,0)),"Pendiente"))</f>
        <v/>
      </c>
      <c r="O1002" s="3">
        <f>IF($J1002="","",YEAR($J1002+4-WEEKDAY($J1002,2))&amp;"-S"&amp;TEXT(_xlfn.ISOWEEKNUM($J1002),"00"))</f>
        <v/>
      </c>
      <c r="P1002" s="3">
        <f>IF($J1002="","",YEAR($J1002))</f>
        <v/>
      </c>
      <c r="Q1002" s="3">
        <f>IF($J1002="","",MONTH($J1002))</f>
        <v/>
      </c>
      <c r="R1002" s="3">
        <f>IF($J1002="","",INDEX(lista_dias,WEEKDAY($J1002,2)))</f>
        <v/>
      </c>
      <c r="S1002" s="3">
        <f>IF($I1002="","",IFERROR(INDEX('CAT_TIPOS_OT'!$C$4:$C$7,MATCH($I1002,'CAT_TIPOS_OT'!$A$4:$A$7,0)),"sin_clasificar"))</f>
        <v/>
      </c>
      <c r="T1002" s="3">
        <f>IF($F1002="","",IFERROR(INDEX('CAT_CENTROS_COSTO'!$E$4:$E$9,MATCH($F1002,'CAT_CENTROS_COSTO'!$A$4:$A$9,0)),"(sin catálogo)"))</f>
        <v/>
      </c>
      <c r="U1002" s="3">
        <f>IF($F1002="","",IFERROR(INDEX('CAT_CENTROS_COSTO'!$D$4:$D$9,MATCH($F1002,'CAT_CENTROS_COSTO'!$A$4:$A$9,0)),"(sin catálogo)"))</f>
        <v/>
      </c>
      <c r="V1002" s="3">
        <f>IF($F1002="","",IFERROR(INDEX('CAT_CENTROS_COSTO'!$F$4:$F$9,MATCH($F1002,'CAT_CENTROS_COSTO'!$A$4:$A$9,0)),"(sin catálogo)"))</f>
        <v/>
      </c>
      <c r="W1002" s="3">
        <f>IF($G1002="","",IFERROR(INDEX('CAT_PUESTOS'!$B$4:$B$8,MATCH($G1002,'CAT_PUESTOS'!$A$4:$A$8,0)),"(sin catálogo)"))</f>
        <v/>
      </c>
      <c r="X1002" s="3">
        <f>IF($H1002="","",IFERROR(INDEX('CAT_ACTIVIDADES'!$B$4:$B$8,MATCH($H1002,'CAT_ACTIVIDADES'!$A$4:$A$8,0)),"(sin catálogo)"))</f>
        <v/>
      </c>
      <c r="Y1002" s="12">
        <f>IF($J1002="","",TODAY()-$J1002)</f>
        <v/>
      </c>
      <c r="Z1002" s="3">
        <f>IF($Y1002="","",IF($Y1002&lt;0,"FUTURO",IF($Y1002&gt;p_dias_backlog_max,"BACKLOG","MES CORRIENTE")))</f>
        <v/>
      </c>
      <c r="AA1002" s="3">
        <f>IF($Y1002="",FALSE,AND($Y1002&gt;p_dias_backlog_min,$Y1002&lt;=p_dias_backlog_max))</f>
        <v/>
      </c>
      <c r="AB1002" s="6" t="n"/>
      <c r="AC1002" s="3">
        <f>IF($AB1002="","",IFERROR(INDEX('ASIGNACIONES'!$F$4:$F$339,MATCH($O1002&amp;"|"&amp;$R1002&amp;"|"&amp;$AB1002,'ASIGNACIONES'!$I$4:$I$339,0)),""))</f>
        <v/>
      </c>
      <c r="AD1002" s="13">
        <f>IF($AB1002="","",SUMIFS('ORDENES'!$M$4:$M$1203,'ORDENES'!$AB$4:$AB$1203,$AB1002,'ORDENES'!$O$4:$O$1203,$O1002,'ORDENES'!$R$4:$R$1203,$R1002))</f>
        <v/>
      </c>
      <c r="AE1002" s="13">
        <f>IF($AD1002="","",p_factor_productividad*IFERROR(INDEX('ASIGNACIONES'!$H$4:$H$339,MATCH($O1002&amp;"|"&amp;$R1002&amp;"|"&amp;$AB1002,'ASIGNACIONES'!$I$4:$I$339,0)),0)-$AD1002)</f>
        <v/>
      </c>
      <c r="AF1002" s="10">
        <f>IF($A1002="","",IFERROR(INDEX('2_IMPORTAR_EJECUCION'!$F$9:$F$1208,MATCH($AN1002,'2_IMPORTAR_EJECUCION'!$J$9:$J$1208,0)),0))</f>
        <v/>
      </c>
      <c r="AG1002" s="10">
        <f>IF($A1002="","",MAX(0,IFERROR(INDEX('2_IMPORTAR_EJECUCION'!$H$9:$H$1208,MATCH($AN1002,'2_IMPORTAR_EJECUCION'!$J$9:$J$1208,0)),0)-$AF1002))</f>
        <v/>
      </c>
      <c r="AH1002" s="10">
        <f>IF($A1002="","",$AF1002+$AG1002)</f>
        <v/>
      </c>
      <c r="AI1002" s="6" t="n"/>
      <c r="AJ1002" s="6" t="n"/>
      <c r="AK1002" s="6" t="n"/>
      <c r="AL1002" s="3">
        <f>IF($AK1002="","",HYPERLINK(p_ruta_base_checklists&amp;$AK1002,"abrir"))</f>
        <v/>
      </c>
      <c r="AM1002" s="6" t="n"/>
      <c r="AN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1" t="n"/>
      <c r="K1003" s="3" t="n"/>
      <c r="L1003" s="10" t="n"/>
      <c r="M1003" s="3">
        <f>IF($A1003="","",IFERROR(INDEX('AJUSTES'!$B$4:$B$303,MATCH($AN1003,'AJUSTES'!$A$4:$A$303,0)),IF($K1003="","",$K1003)))</f>
        <v/>
      </c>
      <c r="N1003" s="3">
        <f>IF($A1003="","",IFERROR(INDEX('CAT_ESTADOS_ERP'!$B$4:$B$7,MATCH(IFERROR(INDEX('2_IMPORTAR_EJECUCION'!$C$9:$C$1208,MATCH($AN1003,'2_IMPORTAR_EJECUCION'!$J$9:$J$1208,0)),""),'CAT_ESTADOS_ERP'!$A$4:$A$7,0)),"Pendiente"))</f>
        <v/>
      </c>
      <c r="O1003" s="3">
        <f>IF($J1003="","",YEAR($J1003+4-WEEKDAY($J1003,2))&amp;"-S"&amp;TEXT(_xlfn.ISOWEEKNUM($J1003),"00"))</f>
        <v/>
      </c>
      <c r="P1003" s="3">
        <f>IF($J1003="","",YEAR($J1003))</f>
        <v/>
      </c>
      <c r="Q1003" s="3">
        <f>IF($J1003="","",MONTH($J1003))</f>
        <v/>
      </c>
      <c r="R1003" s="3">
        <f>IF($J1003="","",INDEX(lista_dias,WEEKDAY($J1003,2)))</f>
        <v/>
      </c>
      <c r="S1003" s="3">
        <f>IF($I1003="","",IFERROR(INDEX('CAT_TIPOS_OT'!$C$4:$C$7,MATCH($I1003,'CAT_TIPOS_OT'!$A$4:$A$7,0)),"sin_clasificar"))</f>
        <v/>
      </c>
      <c r="T1003" s="3">
        <f>IF($F1003="","",IFERROR(INDEX('CAT_CENTROS_COSTO'!$E$4:$E$9,MATCH($F1003,'CAT_CENTROS_COSTO'!$A$4:$A$9,0)),"(sin catálogo)"))</f>
        <v/>
      </c>
      <c r="U1003" s="3">
        <f>IF($F1003="","",IFERROR(INDEX('CAT_CENTROS_COSTO'!$D$4:$D$9,MATCH($F1003,'CAT_CENTROS_COSTO'!$A$4:$A$9,0)),"(sin catálogo)"))</f>
        <v/>
      </c>
      <c r="V1003" s="3">
        <f>IF($F1003="","",IFERROR(INDEX('CAT_CENTROS_COSTO'!$F$4:$F$9,MATCH($F1003,'CAT_CENTROS_COSTO'!$A$4:$A$9,0)),"(sin catálogo)"))</f>
        <v/>
      </c>
      <c r="W1003" s="3">
        <f>IF($G1003="","",IFERROR(INDEX('CAT_PUESTOS'!$B$4:$B$8,MATCH($G1003,'CAT_PUESTOS'!$A$4:$A$8,0)),"(sin catálogo)"))</f>
        <v/>
      </c>
      <c r="X1003" s="3">
        <f>IF($H1003="","",IFERROR(INDEX('CAT_ACTIVIDADES'!$B$4:$B$8,MATCH($H1003,'CAT_ACTIVIDADES'!$A$4:$A$8,0)),"(sin catálogo)"))</f>
        <v/>
      </c>
      <c r="Y1003" s="12">
        <f>IF($J1003="","",TODAY()-$J1003)</f>
        <v/>
      </c>
      <c r="Z1003" s="3">
        <f>IF($Y1003="","",IF($Y1003&lt;0,"FUTURO",IF($Y1003&gt;p_dias_backlog_max,"BACKLOG","MES CORRIENTE")))</f>
        <v/>
      </c>
      <c r="AA1003" s="3">
        <f>IF($Y1003="",FALSE,AND($Y1003&gt;p_dias_backlog_min,$Y1003&lt;=p_dias_backlog_max))</f>
        <v/>
      </c>
      <c r="AB1003" s="6" t="n"/>
      <c r="AC1003" s="3">
        <f>IF($AB1003="","",IFERROR(INDEX('ASIGNACIONES'!$F$4:$F$339,MATCH($O1003&amp;"|"&amp;$R1003&amp;"|"&amp;$AB1003,'ASIGNACIONES'!$I$4:$I$339,0)),""))</f>
        <v/>
      </c>
      <c r="AD1003" s="13">
        <f>IF($AB1003="","",SUMIFS('ORDENES'!$M$4:$M$1203,'ORDENES'!$AB$4:$AB$1203,$AB1003,'ORDENES'!$O$4:$O$1203,$O1003,'ORDENES'!$R$4:$R$1203,$R1003))</f>
        <v/>
      </c>
      <c r="AE1003" s="13">
        <f>IF($AD1003="","",p_factor_productividad*IFERROR(INDEX('ASIGNACIONES'!$H$4:$H$339,MATCH($O1003&amp;"|"&amp;$R1003&amp;"|"&amp;$AB1003,'ASIGNACIONES'!$I$4:$I$339,0)),0)-$AD1003)</f>
        <v/>
      </c>
      <c r="AF1003" s="10">
        <f>IF($A1003="","",IFERROR(INDEX('2_IMPORTAR_EJECUCION'!$F$9:$F$1208,MATCH($AN1003,'2_IMPORTAR_EJECUCION'!$J$9:$J$1208,0)),0))</f>
        <v/>
      </c>
      <c r="AG1003" s="10">
        <f>IF($A1003="","",MAX(0,IFERROR(INDEX('2_IMPORTAR_EJECUCION'!$H$9:$H$1208,MATCH($AN1003,'2_IMPORTAR_EJECUCION'!$J$9:$J$1208,0)),0)-$AF1003))</f>
        <v/>
      </c>
      <c r="AH1003" s="10">
        <f>IF($A1003="","",$AF1003+$AG1003)</f>
        <v/>
      </c>
      <c r="AI1003" s="6" t="n"/>
      <c r="AJ1003" s="6" t="n"/>
      <c r="AK1003" s="6" t="n"/>
      <c r="AL1003" s="3">
        <f>IF($AK1003="","",HYPERLINK(p_ruta_base_checklists&amp;$AK1003,"abrir"))</f>
        <v/>
      </c>
      <c r="AM1003" s="6" t="n"/>
      <c r="AN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1" t="n"/>
      <c r="K1004" s="3" t="n"/>
      <c r="L1004" s="10" t="n"/>
      <c r="M1004" s="3">
        <f>IF($A1004="","",IFERROR(INDEX('AJUSTES'!$B$4:$B$303,MATCH($AN1004,'AJUSTES'!$A$4:$A$303,0)),IF($K1004="","",$K1004)))</f>
        <v/>
      </c>
      <c r="N1004" s="3">
        <f>IF($A1004="","",IFERROR(INDEX('CAT_ESTADOS_ERP'!$B$4:$B$7,MATCH(IFERROR(INDEX('2_IMPORTAR_EJECUCION'!$C$9:$C$1208,MATCH($AN1004,'2_IMPORTAR_EJECUCION'!$J$9:$J$1208,0)),""),'CAT_ESTADOS_ERP'!$A$4:$A$7,0)),"Pendiente"))</f>
        <v/>
      </c>
      <c r="O1004" s="3">
        <f>IF($J1004="","",YEAR($J1004+4-WEEKDAY($J1004,2))&amp;"-S"&amp;TEXT(_xlfn.ISOWEEKNUM($J1004),"00"))</f>
        <v/>
      </c>
      <c r="P1004" s="3">
        <f>IF($J1004="","",YEAR($J1004))</f>
        <v/>
      </c>
      <c r="Q1004" s="3">
        <f>IF($J1004="","",MONTH($J1004))</f>
        <v/>
      </c>
      <c r="R1004" s="3">
        <f>IF($J1004="","",INDEX(lista_dias,WEEKDAY($J1004,2)))</f>
        <v/>
      </c>
      <c r="S1004" s="3">
        <f>IF($I1004="","",IFERROR(INDEX('CAT_TIPOS_OT'!$C$4:$C$7,MATCH($I1004,'CAT_TIPOS_OT'!$A$4:$A$7,0)),"sin_clasificar"))</f>
        <v/>
      </c>
      <c r="T1004" s="3">
        <f>IF($F1004="","",IFERROR(INDEX('CAT_CENTROS_COSTO'!$E$4:$E$9,MATCH($F1004,'CAT_CENTROS_COSTO'!$A$4:$A$9,0)),"(sin catálogo)"))</f>
        <v/>
      </c>
      <c r="U1004" s="3">
        <f>IF($F1004="","",IFERROR(INDEX('CAT_CENTROS_COSTO'!$D$4:$D$9,MATCH($F1004,'CAT_CENTROS_COSTO'!$A$4:$A$9,0)),"(sin catálogo)"))</f>
        <v/>
      </c>
      <c r="V1004" s="3">
        <f>IF($F1004="","",IFERROR(INDEX('CAT_CENTROS_COSTO'!$F$4:$F$9,MATCH($F1004,'CAT_CENTROS_COSTO'!$A$4:$A$9,0)),"(sin catálogo)"))</f>
        <v/>
      </c>
      <c r="W1004" s="3">
        <f>IF($G1004="","",IFERROR(INDEX('CAT_PUESTOS'!$B$4:$B$8,MATCH($G1004,'CAT_PUESTOS'!$A$4:$A$8,0)),"(sin catálogo)"))</f>
        <v/>
      </c>
      <c r="X1004" s="3">
        <f>IF($H1004="","",IFERROR(INDEX('CAT_ACTIVIDADES'!$B$4:$B$8,MATCH($H1004,'CAT_ACTIVIDADES'!$A$4:$A$8,0)),"(sin catálogo)"))</f>
        <v/>
      </c>
      <c r="Y1004" s="12">
        <f>IF($J1004="","",TODAY()-$J1004)</f>
        <v/>
      </c>
      <c r="Z1004" s="3">
        <f>IF($Y1004="","",IF($Y1004&lt;0,"FUTURO",IF($Y1004&gt;p_dias_backlog_max,"BACKLOG","MES CORRIENTE")))</f>
        <v/>
      </c>
      <c r="AA1004" s="3">
        <f>IF($Y1004="",FALSE,AND($Y1004&gt;p_dias_backlog_min,$Y1004&lt;=p_dias_backlog_max))</f>
        <v/>
      </c>
      <c r="AB1004" s="6" t="n"/>
      <c r="AC1004" s="3">
        <f>IF($AB1004="","",IFERROR(INDEX('ASIGNACIONES'!$F$4:$F$339,MATCH($O1004&amp;"|"&amp;$R1004&amp;"|"&amp;$AB1004,'ASIGNACIONES'!$I$4:$I$339,0)),""))</f>
        <v/>
      </c>
      <c r="AD1004" s="13">
        <f>IF($AB1004="","",SUMIFS('ORDENES'!$M$4:$M$1203,'ORDENES'!$AB$4:$AB$1203,$AB1004,'ORDENES'!$O$4:$O$1203,$O1004,'ORDENES'!$R$4:$R$1203,$R1004))</f>
        <v/>
      </c>
      <c r="AE1004" s="13">
        <f>IF($AD1004="","",p_factor_productividad*IFERROR(INDEX('ASIGNACIONES'!$H$4:$H$339,MATCH($O1004&amp;"|"&amp;$R1004&amp;"|"&amp;$AB1004,'ASIGNACIONES'!$I$4:$I$339,0)),0)-$AD1004)</f>
        <v/>
      </c>
      <c r="AF1004" s="10">
        <f>IF($A1004="","",IFERROR(INDEX('2_IMPORTAR_EJECUCION'!$F$9:$F$1208,MATCH($AN1004,'2_IMPORTAR_EJECUCION'!$J$9:$J$1208,0)),0))</f>
        <v/>
      </c>
      <c r="AG1004" s="10">
        <f>IF($A1004="","",MAX(0,IFERROR(INDEX('2_IMPORTAR_EJECUCION'!$H$9:$H$1208,MATCH($AN1004,'2_IMPORTAR_EJECUCION'!$J$9:$J$1208,0)),0)-$AF1004))</f>
        <v/>
      </c>
      <c r="AH1004" s="10">
        <f>IF($A1004="","",$AF1004+$AG1004)</f>
        <v/>
      </c>
      <c r="AI1004" s="6" t="n"/>
      <c r="AJ1004" s="6" t="n"/>
      <c r="AK1004" s="6" t="n"/>
      <c r="AL1004" s="3">
        <f>IF($AK1004="","",HYPERLINK(p_ruta_base_checklists&amp;$AK1004,"abrir"))</f>
        <v/>
      </c>
      <c r="AM1004" s="6" t="n"/>
      <c r="AN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1" t="n"/>
      <c r="K1005" s="3" t="n"/>
      <c r="L1005" s="10" t="n"/>
      <c r="M1005" s="3">
        <f>IF($A1005="","",IFERROR(INDEX('AJUSTES'!$B$4:$B$303,MATCH($AN1005,'AJUSTES'!$A$4:$A$303,0)),IF($K1005="","",$K1005)))</f>
        <v/>
      </c>
      <c r="N1005" s="3">
        <f>IF($A1005="","",IFERROR(INDEX('CAT_ESTADOS_ERP'!$B$4:$B$7,MATCH(IFERROR(INDEX('2_IMPORTAR_EJECUCION'!$C$9:$C$1208,MATCH($AN1005,'2_IMPORTAR_EJECUCION'!$J$9:$J$1208,0)),""),'CAT_ESTADOS_ERP'!$A$4:$A$7,0)),"Pendiente"))</f>
        <v/>
      </c>
      <c r="O1005" s="3">
        <f>IF($J1005="","",YEAR($J1005+4-WEEKDAY($J1005,2))&amp;"-S"&amp;TEXT(_xlfn.ISOWEEKNUM($J1005),"00"))</f>
        <v/>
      </c>
      <c r="P1005" s="3">
        <f>IF($J1005="","",YEAR($J1005))</f>
        <v/>
      </c>
      <c r="Q1005" s="3">
        <f>IF($J1005="","",MONTH($J1005))</f>
        <v/>
      </c>
      <c r="R1005" s="3">
        <f>IF($J1005="","",INDEX(lista_dias,WEEKDAY($J1005,2)))</f>
        <v/>
      </c>
      <c r="S1005" s="3">
        <f>IF($I1005="","",IFERROR(INDEX('CAT_TIPOS_OT'!$C$4:$C$7,MATCH($I1005,'CAT_TIPOS_OT'!$A$4:$A$7,0)),"sin_clasificar"))</f>
        <v/>
      </c>
      <c r="T1005" s="3">
        <f>IF($F1005="","",IFERROR(INDEX('CAT_CENTROS_COSTO'!$E$4:$E$9,MATCH($F1005,'CAT_CENTROS_COSTO'!$A$4:$A$9,0)),"(sin catálogo)"))</f>
        <v/>
      </c>
      <c r="U1005" s="3">
        <f>IF($F1005="","",IFERROR(INDEX('CAT_CENTROS_COSTO'!$D$4:$D$9,MATCH($F1005,'CAT_CENTROS_COSTO'!$A$4:$A$9,0)),"(sin catálogo)"))</f>
        <v/>
      </c>
      <c r="V1005" s="3">
        <f>IF($F1005="","",IFERROR(INDEX('CAT_CENTROS_COSTO'!$F$4:$F$9,MATCH($F1005,'CAT_CENTROS_COSTO'!$A$4:$A$9,0)),"(sin catálogo)"))</f>
        <v/>
      </c>
      <c r="W1005" s="3">
        <f>IF($G1005="","",IFERROR(INDEX('CAT_PUESTOS'!$B$4:$B$8,MATCH($G1005,'CAT_PUESTOS'!$A$4:$A$8,0)),"(sin catálogo)"))</f>
        <v/>
      </c>
      <c r="X1005" s="3">
        <f>IF($H1005="","",IFERROR(INDEX('CAT_ACTIVIDADES'!$B$4:$B$8,MATCH($H1005,'CAT_ACTIVIDADES'!$A$4:$A$8,0)),"(sin catálogo)"))</f>
        <v/>
      </c>
      <c r="Y1005" s="12">
        <f>IF($J1005="","",TODAY()-$J1005)</f>
        <v/>
      </c>
      <c r="Z1005" s="3">
        <f>IF($Y1005="","",IF($Y1005&lt;0,"FUTURO",IF($Y1005&gt;p_dias_backlog_max,"BACKLOG","MES CORRIENTE")))</f>
        <v/>
      </c>
      <c r="AA1005" s="3">
        <f>IF($Y1005="",FALSE,AND($Y1005&gt;p_dias_backlog_min,$Y1005&lt;=p_dias_backlog_max))</f>
        <v/>
      </c>
      <c r="AB1005" s="6" t="n"/>
      <c r="AC1005" s="3">
        <f>IF($AB1005="","",IFERROR(INDEX('ASIGNACIONES'!$F$4:$F$339,MATCH($O1005&amp;"|"&amp;$R1005&amp;"|"&amp;$AB1005,'ASIGNACIONES'!$I$4:$I$339,0)),""))</f>
        <v/>
      </c>
      <c r="AD1005" s="13">
        <f>IF($AB1005="","",SUMIFS('ORDENES'!$M$4:$M$1203,'ORDENES'!$AB$4:$AB$1203,$AB1005,'ORDENES'!$O$4:$O$1203,$O1005,'ORDENES'!$R$4:$R$1203,$R1005))</f>
        <v/>
      </c>
      <c r="AE1005" s="13">
        <f>IF($AD1005="","",p_factor_productividad*IFERROR(INDEX('ASIGNACIONES'!$H$4:$H$339,MATCH($O1005&amp;"|"&amp;$R1005&amp;"|"&amp;$AB1005,'ASIGNACIONES'!$I$4:$I$339,0)),0)-$AD1005)</f>
        <v/>
      </c>
      <c r="AF1005" s="10">
        <f>IF($A1005="","",IFERROR(INDEX('2_IMPORTAR_EJECUCION'!$F$9:$F$1208,MATCH($AN1005,'2_IMPORTAR_EJECUCION'!$J$9:$J$1208,0)),0))</f>
        <v/>
      </c>
      <c r="AG1005" s="10">
        <f>IF($A1005="","",MAX(0,IFERROR(INDEX('2_IMPORTAR_EJECUCION'!$H$9:$H$1208,MATCH($AN1005,'2_IMPORTAR_EJECUCION'!$J$9:$J$1208,0)),0)-$AF1005))</f>
        <v/>
      </c>
      <c r="AH1005" s="10">
        <f>IF($A1005="","",$AF1005+$AG1005)</f>
        <v/>
      </c>
      <c r="AI1005" s="6" t="n"/>
      <c r="AJ1005" s="6" t="n"/>
      <c r="AK1005" s="6" t="n"/>
      <c r="AL1005" s="3">
        <f>IF($AK1005="","",HYPERLINK(p_ruta_base_checklists&amp;$AK1005,"abrir"))</f>
        <v/>
      </c>
      <c r="AM1005" s="6" t="n"/>
      <c r="AN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1" t="n"/>
      <c r="K1006" s="3" t="n"/>
      <c r="L1006" s="10" t="n"/>
      <c r="M1006" s="3">
        <f>IF($A1006="","",IFERROR(INDEX('AJUSTES'!$B$4:$B$303,MATCH($AN1006,'AJUSTES'!$A$4:$A$303,0)),IF($K1006="","",$K1006)))</f>
        <v/>
      </c>
      <c r="N1006" s="3">
        <f>IF($A1006="","",IFERROR(INDEX('CAT_ESTADOS_ERP'!$B$4:$B$7,MATCH(IFERROR(INDEX('2_IMPORTAR_EJECUCION'!$C$9:$C$1208,MATCH($AN1006,'2_IMPORTAR_EJECUCION'!$J$9:$J$1208,0)),""),'CAT_ESTADOS_ERP'!$A$4:$A$7,0)),"Pendiente"))</f>
        <v/>
      </c>
      <c r="O1006" s="3">
        <f>IF($J1006="","",YEAR($J1006+4-WEEKDAY($J1006,2))&amp;"-S"&amp;TEXT(_xlfn.ISOWEEKNUM($J1006),"00"))</f>
        <v/>
      </c>
      <c r="P1006" s="3">
        <f>IF($J1006="","",YEAR($J1006))</f>
        <v/>
      </c>
      <c r="Q1006" s="3">
        <f>IF($J1006="","",MONTH($J1006))</f>
        <v/>
      </c>
      <c r="R1006" s="3">
        <f>IF($J1006="","",INDEX(lista_dias,WEEKDAY($J1006,2)))</f>
        <v/>
      </c>
      <c r="S1006" s="3">
        <f>IF($I1006="","",IFERROR(INDEX('CAT_TIPOS_OT'!$C$4:$C$7,MATCH($I1006,'CAT_TIPOS_OT'!$A$4:$A$7,0)),"sin_clasificar"))</f>
        <v/>
      </c>
      <c r="T1006" s="3">
        <f>IF($F1006="","",IFERROR(INDEX('CAT_CENTROS_COSTO'!$E$4:$E$9,MATCH($F1006,'CAT_CENTROS_COSTO'!$A$4:$A$9,0)),"(sin catálogo)"))</f>
        <v/>
      </c>
      <c r="U1006" s="3">
        <f>IF($F1006="","",IFERROR(INDEX('CAT_CENTROS_COSTO'!$D$4:$D$9,MATCH($F1006,'CAT_CENTROS_COSTO'!$A$4:$A$9,0)),"(sin catálogo)"))</f>
        <v/>
      </c>
      <c r="V1006" s="3">
        <f>IF($F1006="","",IFERROR(INDEX('CAT_CENTROS_COSTO'!$F$4:$F$9,MATCH($F1006,'CAT_CENTROS_COSTO'!$A$4:$A$9,0)),"(sin catálogo)"))</f>
        <v/>
      </c>
      <c r="W1006" s="3">
        <f>IF($G1006="","",IFERROR(INDEX('CAT_PUESTOS'!$B$4:$B$8,MATCH($G1006,'CAT_PUESTOS'!$A$4:$A$8,0)),"(sin catálogo)"))</f>
        <v/>
      </c>
      <c r="X1006" s="3">
        <f>IF($H1006="","",IFERROR(INDEX('CAT_ACTIVIDADES'!$B$4:$B$8,MATCH($H1006,'CAT_ACTIVIDADES'!$A$4:$A$8,0)),"(sin catálogo)"))</f>
        <v/>
      </c>
      <c r="Y1006" s="12">
        <f>IF($J1006="","",TODAY()-$J1006)</f>
        <v/>
      </c>
      <c r="Z1006" s="3">
        <f>IF($Y1006="","",IF($Y1006&lt;0,"FUTURO",IF($Y1006&gt;p_dias_backlog_max,"BACKLOG","MES CORRIENTE")))</f>
        <v/>
      </c>
      <c r="AA1006" s="3">
        <f>IF($Y1006="",FALSE,AND($Y1006&gt;p_dias_backlog_min,$Y1006&lt;=p_dias_backlog_max))</f>
        <v/>
      </c>
      <c r="AB1006" s="6" t="n"/>
      <c r="AC1006" s="3">
        <f>IF($AB1006="","",IFERROR(INDEX('ASIGNACIONES'!$F$4:$F$339,MATCH($O1006&amp;"|"&amp;$R1006&amp;"|"&amp;$AB1006,'ASIGNACIONES'!$I$4:$I$339,0)),""))</f>
        <v/>
      </c>
      <c r="AD1006" s="13">
        <f>IF($AB1006="","",SUMIFS('ORDENES'!$M$4:$M$1203,'ORDENES'!$AB$4:$AB$1203,$AB1006,'ORDENES'!$O$4:$O$1203,$O1006,'ORDENES'!$R$4:$R$1203,$R1006))</f>
        <v/>
      </c>
      <c r="AE1006" s="13">
        <f>IF($AD1006="","",p_factor_productividad*IFERROR(INDEX('ASIGNACIONES'!$H$4:$H$339,MATCH($O1006&amp;"|"&amp;$R1006&amp;"|"&amp;$AB1006,'ASIGNACIONES'!$I$4:$I$339,0)),0)-$AD1006)</f>
        <v/>
      </c>
      <c r="AF1006" s="10">
        <f>IF($A1006="","",IFERROR(INDEX('2_IMPORTAR_EJECUCION'!$F$9:$F$1208,MATCH($AN1006,'2_IMPORTAR_EJECUCION'!$J$9:$J$1208,0)),0))</f>
        <v/>
      </c>
      <c r="AG1006" s="10">
        <f>IF($A1006="","",MAX(0,IFERROR(INDEX('2_IMPORTAR_EJECUCION'!$H$9:$H$1208,MATCH($AN1006,'2_IMPORTAR_EJECUCION'!$J$9:$J$1208,0)),0)-$AF1006))</f>
        <v/>
      </c>
      <c r="AH1006" s="10">
        <f>IF($A1006="","",$AF1006+$AG1006)</f>
        <v/>
      </c>
      <c r="AI1006" s="6" t="n"/>
      <c r="AJ1006" s="6" t="n"/>
      <c r="AK1006" s="6" t="n"/>
      <c r="AL1006" s="3">
        <f>IF($AK1006="","",HYPERLINK(p_ruta_base_checklists&amp;$AK1006,"abrir"))</f>
        <v/>
      </c>
      <c r="AM1006" s="6" t="n"/>
      <c r="AN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1" t="n"/>
      <c r="K1007" s="3" t="n"/>
      <c r="L1007" s="10" t="n"/>
      <c r="M1007" s="3">
        <f>IF($A1007="","",IFERROR(INDEX('AJUSTES'!$B$4:$B$303,MATCH($AN1007,'AJUSTES'!$A$4:$A$303,0)),IF($K1007="","",$K1007)))</f>
        <v/>
      </c>
      <c r="N1007" s="3">
        <f>IF($A1007="","",IFERROR(INDEX('CAT_ESTADOS_ERP'!$B$4:$B$7,MATCH(IFERROR(INDEX('2_IMPORTAR_EJECUCION'!$C$9:$C$1208,MATCH($AN1007,'2_IMPORTAR_EJECUCION'!$J$9:$J$1208,0)),""),'CAT_ESTADOS_ERP'!$A$4:$A$7,0)),"Pendiente"))</f>
        <v/>
      </c>
      <c r="O1007" s="3">
        <f>IF($J1007="","",YEAR($J1007+4-WEEKDAY($J1007,2))&amp;"-S"&amp;TEXT(_xlfn.ISOWEEKNUM($J1007),"00"))</f>
        <v/>
      </c>
      <c r="P1007" s="3">
        <f>IF($J1007="","",YEAR($J1007))</f>
        <v/>
      </c>
      <c r="Q1007" s="3">
        <f>IF($J1007="","",MONTH($J1007))</f>
        <v/>
      </c>
      <c r="R1007" s="3">
        <f>IF($J1007="","",INDEX(lista_dias,WEEKDAY($J1007,2)))</f>
        <v/>
      </c>
      <c r="S1007" s="3">
        <f>IF($I1007="","",IFERROR(INDEX('CAT_TIPOS_OT'!$C$4:$C$7,MATCH($I1007,'CAT_TIPOS_OT'!$A$4:$A$7,0)),"sin_clasificar"))</f>
        <v/>
      </c>
      <c r="T1007" s="3">
        <f>IF($F1007="","",IFERROR(INDEX('CAT_CENTROS_COSTO'!$E$4:$E$9,MATCH($F1007,'CAT_CENTROS_COSTO'!$A$4:$A$9,0)),"(sin catálogo)"))</f>
        <v/>
      </c>
      <c r="U1007" s="3">
        <f>IF($F1007="","",IFERROR(INDEX('CAT_CENTROS_COSTO'!$D$4:$D$9,MATCH($F1007,'CAT_CENTROS_COSTO'!$A$4:$A$9,0)),"(sin catálogo)"))</f>
        <v/>
      </c>
      <c r="V1007" s="3">
        <f>IF($F1007="","",IFERROR(INDEX('CAT_CENTROS_COSTO'!$F$4:$F$9,MATCH($F1007,'CAT_CENTROS_COSTO'!$A$4:$A$9,0)),"(sin catálogo)"))</f>
        <v/>
      </c>
      <c r="W1007" s="3">
        <f>IF($G1007="","",IFERROR(INDEX('CAT_PUESTOS'!$B$4:$B$8,MATCH($G1007,'CAT_PUESTOS'!$A$4:$A$8,0)),"(sin catálogo)"))</f>
        <v/>
      </c>
      <c r="X1007" s="3">
        <f>IF($H1007="","",IFERROR(INDEX('CAT_ACTIVIDADES'!$B$4:$B$8,MATCH($H1007,'CAT_ACTIVIDADES'!$A$4:$A$8,0)),"(sin catálogo)"))</f>
        <v/>
      </c>
      <c r="Y1007" s="12">
        <f>IF($J1007="","",TODAY()-$J1007)</f>
        <v/>
      </c>
      <c r="Z1007" s="3">
        <f>IF($Y1007="","",IF($Y1007&lt;0,"FUTURO",IF($Y1007&gt;p_dias_backlog_max,"BACKLOG","MES CORRIENTE")))</f>
        <v/>
      </c>
      <c r="AA1007" s="3">
        <f>IF($Y1007="",FALSE,AND($Y1007&gt;p_dias_backlog_min,$Y1007&lt;=p_dias_backlog_max))</f>
        <v/>
      </c>
      <c r="AB1007" s="6" t="n"/>
      <c r="AC1007" s="3">
        <f>IF($AB1007="","",IFERROR(INDEX('ASIGNACIONES'!$F$4:$F$339,MATCH($O1007&amp;"|"&amp;$R1007&amp;"|"&amp;$AB1007,'ASIGNACIONES'!$I$4:$I$339,0)),""))</f>
        <v/>
      </c>
      <c r="AD1007" s="13">
        <f>IF($AB1007="","",SUMIFS('ORDENES'!$M$4:$M$1203,'ORDENES'!$AB$4:$AB$1203,$AB1007,'ORDENES'!$O$4:$O$1203,$O1007,'ORDENES'!$R$4:$R$1203,$R1007))</f>
        <v/>
      </c>
      <c r="AE1007" s="13">
        <f>IF($AD1007="","",p_factor_productividad*IFERROR(INDEX('ASIGNACIONES'!$H$4:$H$339,MATCH($O1007&amp;"|"&amp;$R1007&amp;"|"&amp;$AB1007,'ASIGNACIONES'!$I$4:$I$339,0)),0)-$AD1007)</f>
        <v/>
      </c>
      <c r="AF1007" s="10">
        <f>IF($A1007="","",IFERROR(INDEX('2_IMPORTAR_EJECUCION'!$F$9:$F$1208,MATCH($AN1007,'2_IMPORTAR_EJECUCION'!$J$9:$J$1208,0)),0))</f>
        <v/>
      </c>
      <c r="AG1007" s="10">
        <f>IF($A1007="","",MAX(0,IFERROR(INDEX('2_IMPORTAR_EJECUCION'!$H$9:$H$1208,MATCH($AN1007,'2_IMPORTAR_EJECUCION'!$J$9:$J$1208,0)),0)-$AF1007))</f>
        <v/>
      </c>
      <c r="AH1007" s="10">
        <f>IF($A1007="","",$AF1007+$AG1007)</f>
        <v/>
      </c>
      <c r="AI1007" s="6" t="n"/>
      <c r="AJ1007" s="6" t="n"/>
      <c r="AK1007" s="6" t="n"/>
      <c r="AL1007" s="3">
        <f>IF($AK1007="","",HYPERLINK(p_ruta_base_checklists&amp;$AK1007,"abrir"))</f>
        <v/>
      </c>
      <c r="AM1007" s="6" t="n"/>
      <c r="AN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1" t="n"/>
      <c r="K1008" s="3" t="n"/>
      <c r="L1008" s="10" t="n"/>
      <c r="M1008" s="3">
        <f>IF($A1008="","",IFERROR(INDEX('AJUSTES'!$B$4:$B$303,MATCH($AN1008,'AJUSTES'!$A$4:$A$303,0)),IF($K1008="","",$K1008)))</f>
        <v/>
      </c>
      <c r="N1008" s="3">
        <f>IF($A1008="","",IFERROR(INDEX('CAT_ESTADOS_ERP'!$B$4:$B$7,MATCH(IFERROR(INDEX('2_IMPORTAR_EJECUCION'!$C$9:$C$1208,MATCH($AN1008,'2_IMPORTAR_EJECUCION'!$J$9:$J$1208,0)),""),'CAT_ESTADOS_ERP'!$A$4:$A$7,0)),"Pendiente"))</f>
        <v/>
      </c>
      <c r="O1008" s="3">
        <f>IF($J1008="","",YEAR($J1008+4-WEEKDAY($J1008,2))&amp;"-S"&amp;TEXT(_xlfn.ISOWEEKNUM($J1008),"00"))</f>
        <v/>
      </c>
      <c r="P1008" s="3">
        <f>IF($J1008="","",YEAR($J1008))</f>
        <v/>
      </c>
      <c r="Q1008" s="3">
        <f>IF($J1008="","",MONTH($J1008))</f>
        <v/>
      </c>
      <c r="R1008" s="3">
        <f>IF($J1008="","",INDEX(lista_dias,WEEKDAY($J1008,2)))</f>
        <v/>
      </c>
      <c r="S1008" s="3">
        <f>IF($I1008="","",IFERROR(INDEX('CAT_TIPOS_OT'!$C$4:$C$7,MATCH($I1008,'CAT_TIPOS_OT'!$A$4:$A$7,0)),"sin_clasificar"))</f>
        <v/>
      </c>
      <c r="T1008" s="3">
        <f>IF($F1008="","",IFERROR(INDEX('CAT_CENTROS_COSTO'!$E$4:$E$9,MATCH($F1008,'CAT_CENTROS_COSTO'!$A$4:$A$9,0)),"(sin catálogo)"))</f>
        <v/>
      </c>
      <c r="U1008" s="3">
        <f>IF($F1008="","",IFERROR(INDEX('CAT_CENTROS_COSTO'!$D$4:$D$9,MATCH($F1008,'CAT_CENTROS_COSTO'!$A$4:$A$9,0)),"(sin catálogo)"))</f>
        <v/>
      </c>
      <c r="V1008" s="3">
        <f>IF($F1008="","",IFERROR(INDEX('CAT_CENTROS_COSTO'!$F$4:$F$9,MATCH($F1008,'CAT_CENTROS_COSTO'!$A$4:$A$9,0)),"(sin catálogo)"))</f>
        <v/>
      </c>
      <c r="W1008" s="3">
        <f>IF($G1008="","",IFERROR(INDEX('CAT_PUESTOS'!$B$4:$B$8,MATCH($G1008,'CAT_PUESTOS'!$A$4:$A$8,0)),"(sin catálogo)"))</f>
        <v/>
      </c>
      <c r="X1008" s="3">
        <f>IF($H1008="","",IFERROR(INDEX('CAT_ACTIVIDADES'!$B$4:$B$8,MATCH($H1008,'CAT_ACTIVIDADES'!$A$4:$A$8,0)),"(sin catálogo)"))</f>
        <v/>
      </c>
      <c r="Y1008" s="12">
        <f>IF($J1008="","",TODAY()-$J1008)</f>
        <v/>
      </c>
      <c r="Z1008" s="3">
        <f>IF($Y1008="","",IF($Y1008&lt;0,"FUTURO",IF($Y1008&gt;p_dias_backlog_max,"BACKLOG","MES CORRIENTE")))</f>
        <v/>
      </c>
      <c r="AA1008" s="3">
        <f>IF($Y1008="",FALSE,AND($Y1008&gt;p_dias_backlog_min,$Y1008&lt;=p_dias_backlog_max))</f>
        <v/>
      </c>
      <c r="AB1008" s="6" t="n"/>
      <c r="AC1008" s="3">
        <f>IF($AB1008="","",IFERROR(INDEX('ASIGNACIONES'!$F$4:$F$339,MATCH($O1008&amp;"|"&amp;$R1008&amp;"|"&amp;$AB1008,'ASIGNACIONES'!$I$4:$I$339,0)),""))</f>
        <v/>
      </c>
      <c r="AD1008" s="13">
        <f>IF($AB1008="","",SUMIFS('ORDENES'!$M$4:$M$1203,'ORDENES'!$AB$4:$AB$1203,$AB1008,'ORDENES'!$O$4:$O$1203,$O1008,'ORDENES'!$R$4:$R$1203,$R1008))</f>
        <v/>
      </c>
      <c r="AE1008" s="13">
        <f>IF($AD1008="","",p_factor_productividad*IFERROR(INDEX('ASIGNACIONES'!$H$4:$H$339,MATCH($O1008&amp;"|"&amp;$R1008&amp;"|"&amp;$AB1008,'ASIGNACIONES'!$I$4:$I$339,0)),0)-$AD1008)</f>
        <v/>
      </c>
      <c r="AF1008" s="10">
        <f>IF($A1008="","",IFERROR(INDEX('2_IMPORTAR_EJECUCION'!$F$9:$F$1208,MATCH($AN1008,'2_IMPORTAR_EJECUCION'!$J$9:$J$1208,0)),0))</f>
        <v/>
      </c>
      <c r="AG1008" s="10">
        <f>IF($A1008="","",MAX(0,IFERROR(INDEX('2_IMPORTAR_EJECUCION'!$H$9:$H$1208,MATCH($AN1008,'2_IMPORTAR_EJECUCION'!$J$9:$J$1208,0)),0)-$AF1008))</f>
        <v/>
      </c>
      <c r="AH1008" s="10">
        <f>IF($A1008="","",$AF1008+$AG1008)</f>
        <v/>
      </c>
      <c r="AI1008" s="6" t="n"/>
      <c r="AJ1008" s="6" t="n"/>
      <c r="AK1008" s="6" t="n"/>
      <c r="AL1008" s="3">
        <f>IF($AK1008="","",HYPERLINK(p_ruta_base_checklists&amp;$AK1008,"abrir"))</f>
        <v/>
      </c>
      <c r="AM1008" s="6" t="n"/>
      <c r="AN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1" t="n"/>
      <c r="K1009" s="3" t="n"/>
      <c r="L1009" s="10" t="n"/>
      <c r="M1009" s="3">
        <f>IF($A1009="","",IFERROR(INDEX('AJUSTES'!$B$4:$B$303,MATCH($AN1009,'AJUSTES'!$A$4:$A$303,0)),IF($K1009="","",$K1009)))</f>
        <v/>
      </c>
      <c r="N1009" s="3">
        <f>IF($A1009="","",IFERROR(INDEX('CAT_ESTADOS_ERP'!$B$4:$B$7,MATCH(IFERROR(INDEX('2_IMPORTAR_EJECUCION'!$C$9:$C$1208,MATCH($AN1009,'2_IMPORTAR_EJECUCION'!$J$9:$J$1208,0)),""),'CAT_ESTADOS_ERP'!$A$4:$A$7,0)),"Pendiente"))</f>
        <v/>
      </c>
      <c r="O1009" s="3">
        <f>IF($J1009="","",YEAR($J1009+4-WEEKDAY($J1009,2))&amp;"-S"&amp;TEXT(_xlfn.ISOWEEKNUM($J1009),"00"))</f>
        <v/>
      </c>
      <c r="P1009" s="3">
        <f>IF($J1009="","",YEAR($J1009))</f>
        <v/>
      </c>
      <c r="Q1009" s="3">
        <f>IF($J1009="","",MONTH($J1009))</f>
        <v/>
      </c>
      <c r="R1009" s="3">
        <f>IF($J1009="","",INDEX(lista_dias,WEEKDAY($J1009,2)))</f>
        <v/>
      </c>
      <c r="S1009" s="3">
        <f>IF($I1009="","",IFERROR(INDEX('CAT_TIPOS_OT'!$C$4:$C$7,MATCH($I1009,'CAT_TIPOS_OT'!$A$4:$A$7,0)),"sin_clasificar"))</f>
        <v/>
      </c>
      <c r="T1009" s="3">
        <f>IF($F1009="","",IFERROR(INDEX('CAT_CENTROS_COSTO'!$E$4:$E$9,MATCH($F1009,'CAT_CENTROS_COSTO'!$A$4:$A$9,0)),"(sin catálogo)"))</f>
        <v/>
      </c>
      <c r="U1009" s="3">
        <f>IF($F1009="","",IFERROR(INDEX('CAT_CENTROS_COSTO'!$D$4:$D$9,MATCH($F1009,'CAT_CENTROS_COSTO'!$A$4:$A$9,0)),"(sin catálogo)"))</f>
        <v/>
      </c>
      <c r="V1009" s="3">
        <f>IF($F1009="","",IFERROR(INDEX('CAT_CENTROS_COSTO'!$F$4:$F$9,MATCH($F1009,'CAT_CENTROS_COSTO'!$A$4:$A$9,0)),"(sin catálogo)"))</f>
        <v/>
      </c>
      <c r="W1009" s="3">
        <f>IF($G1009="","",IFERROR(INDEX('CAT_PUESTOS'!$B$4:$B$8,MATCH($G1009,'CAT_PUESTOS'!$A$4:$A$8,0)),"(sin catálogo)"))</f>
        <v/>
      </c>
      <c r="X1009" s="3">
        <f>IF($H1009="","",IFERROR(INDEX('CAT_ACTIVIDADES'!$B$4:$B$8,MATCH($H1009,'CAT_ACTIVIDADES'!$A$4:$A$8,0)),"(sin catálogo)"))</f>
        <v/>
      </c>
      <c r="Y1009" s="12">
        <f>IF($J1009="","",TODAY()-$J1009)</f>
        <v/>
      </c>
      <c r="Z1009" s="3">
        <f>IF($Y1009="","",IF($Y1009&lt;0,"FUTURO",IF($Y1009&gt;p_dias_backlog_max,"BACKLOG","MES CORRIENTE")))</f>
        <v/>
      </c>
      <c r="AA1009" s="3">
        <f>IF($Y1009="",FALSE,AND($Y1009&gt;p_dias_backlog_min,$Y1009&lt;=p_dias_backlog_max))</f>
        <v/>
      </c>
      <c r="AB1009" s="6" t="n"/>
      <c r="AC1009" s="3">
        <f>IF($AB1009="","",IFERROR(INDEX('ASIGNACIONES'!$F$4:$F$339,MATCH($O1009&amp;"|"&amp;$R1009&amp;"|"&amp;$AB1009,'ASIGNACIONES'!$I$4:$I$339,0)),""))</f>
        <v/>
      </c>
      <c r="AD1009" s="13">
        <f>IF($AB1009="","",SUMIFS('ORDENES'!$M$4:$M$1203,'ORDENES'!$AB$4:$AB$1203,$AB1009,'ORDENES'!$O$4:$O$1203,$O1009,'ORDENES'!$R$4:$R$1203,$R1009))</f>
        <v/>
      </c>
      <c r="AE1009" s="13">
        <f>IF($AD1009="","",p_factor_productividad*IFERROR(INDEX('ASIGNACIONES'!$H$4:$H$339,MATCH($O1009&amp;"|"&amp;$R1009&amp;"|"&amp;$AB1009,'ASIGNACIONES'!$I$4:$I$339,0)),0)-$AD1009)</f>
        <v/>
      </c>
      <c r="AF1009" s="10">
        <f>IF($A1009="","",IFERROR(INDEX('2_IMPORTAR_EJECUCION'!$F$9:$F$1208,MATCH($AN1009,'2_IMPORTAR_EJECUCION'!$J$9:$J$1208,0)),0))</f>
        <v/>
      </c>
      <c r="AG1009" s="10">
        <f>IF($A1009="","",MAX(0,IFERROR(INDEX('2_IMPORTAR_EJECUCION'!$H$9:$H$1208,MATCH($AN1009,'2_IMPORTAR_EJECUCION'!$J$9:$J$1208,0)),0)-$AF1009))</f>
        <v/>
      </c>
      <c r="AH1009" s="10">
        <f>IF($A1009="","",$AF1009+$AG1009)</f>
        <v/>
      </c>
      <c r="AI1009" s="6" t="n"/>
      <c r="AJ1009" s="6" t="n"/>
      <c r="AK1009" s="6" t="n"/>
      <c r="AL1009" s="3">
        <f>IF($AK1009="","",HYPERLINK(p_ruta_base_checklists&amp;$AK1009,"abrir"))</f>
        <v/>
      </c>
      <c r="AM1009" s="6" t="n"/>
      <c r="AN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1" t="n"/>
      <c r="K1010" s="3" t="n"/>
      <c r="L1010" s="10" t="n"/>
      <c r="M1010" s="3">
        <f>IF($A1010="","",IFERROR(INDEX('AJUSTES'!$B$4:$B$303,MATCH($AN1010,'AJUSTES'!$A$4:$A$303,0)),IF($K1010="","",$K1010)))</f>
        <v/>
      </c>
      <c r="N1010" s="3">
        <f>IF($A1010="","",IFERROR(INDEX('CAT_ESTADOS_ERP'!$B$4:$B$7,MATCH(IFERROR(INDEX('2_IMPORTAR_EJECUCION'!$C$9:$C$1208,MATCH($AN1010,'2_IMPORTAR_EJECUCION'!$J$9:$J$1208,0)),""),'CAT_ESTADOS_ERP'!$A$4:$A$7,0)),"Pendiente"))</f>
        <v/>
      </c>
      <c r="O1010" s="3">
        <f>IF($J1010="","",YEAR($J1010+4-WEEKDAY($J1010,2))&amp;"-S"&amp;TEXT(_xlfn.ISOWEEKNUM($J1010),"00"))</f>
        <v/>
      </c>
      <c r="P1010" s="3">
        <f>IF($J1010="","",YEAR($J1010))</f>
        <v/>
      </c>
      <c r="Q1010" s="3">
        <f>IF($J1010="","",MONTH($J1010))</f>
        <v/>
      </c>
      <c r="R1010" s="3">
        <f>IF($J1010="","",INDEX(lista_dias,WEEKDAY($J1010,2)))</f>
        <v/>
      </c>
      <c r="S1010" s="3">
        <f>IF($I1010="","",IFERROR(INDEX('CAT_TIPOS_OT'!$C$4:$C$7,MATCH($I1010,'CAT_TIPOS_OT'!$A$4:$A$7,0)),"sin_clasificar"))</f>
        <v/>
      </c>
      <c r="T1010" s="3">
        <f>IF($F1010="","",IFERROR(INDEX('CAT_CENTROS_COSTO'!$E$4:$E$9,MATCH($F1010,'CAT_CENTROS_COSTO'!$A$4:$A$9,0)),"(sin catálogo)"))</f>
        <v/>
      </c>
      <c r="U1010" s="3">
        <f>IF($F1010="","",IFERROR(INDEX('CAT_CENTROS_COSTO'!$D$4:$D$9,MATCH($F1010,'CAT_CENTROS_COSTO'!$A$4:$A$9,0)),"(sin catálogo)"))</f>
        <v/>
      </c>
      <c r="V1010" s="3">
        <f>IF($F1010="","",IFERROR(INDEX('CAT_CENTROS_COSTO'!$F$4:$F$9,MATCH($F1010,'CAT_CENTROS_COSTO'!$A$4:$A$9,0)),"(sin catálogo)"))</f>
        <v/>
      </c>
      <c r="W1010" s="3">
        <f>IF($G1010="","",IFERROR(INDEX('CAT_PUESTOS'!$B$4:$B$8,MATCH($G1010,'CAT_PUESTOS'!$A$4:$A$8,0)),"(sin catálogo)"))</f>
        <v/>
      </c>
      <c r="X1010" s="3">
        <f>IF($H1010="","",IFERROR(INDEX('CAT_ACTIVIDADES'!$B$4:$B$8,MATCH($H1010,'CAT_ACTIVIDADES'!$A$4:$A$8,0)),"(sin catálogo)"))</f>
        <v/>
      </c>
      <c r="Y1010" s="12">
        <f>IF($J1010="","",TODAY()-$J1010)</f>
        <v/>
      </c>
      <c r="Z1010" s="3">
        <f>IF($Y1010="","",IF($Y1010&lt;0,"FUTURO",IF($Y1010&gt;p_dias_backlog_max,"BACKLOG","MES CORRIENTE")))</f>
        <v/>
      </c>
      <c r="AA1010" s="3">
        <f>IF($Y1010="",FALSE,AND($Y1010&gt;p_dias_backlog_min,$Y1010&lt;=p_dias_backlog_max))</f>
        <v/>
      </c>
      <c r="AB1010" s="6" t="n"/>
      <c r="AC1010" s="3">
        <f>IF($AB1010="","",IFERROR(INDEX('ASIGNACIONES'!$F$4:$F$339,MATCH($O1010&amp;"|"&amp;$R1010&amp;"|"&amp;$AB1010,'ASIGNACIONES'!$I$4:$I$339,0)),""))</f>
        <v/>
      </c>
      <c r="AD1010" s="13">
        <f>IF($AB1010="","",SUMIFS('ORDENES'!$M$4:$M$1203,'ORDENES'!$AB$4:$AB$1203,$AB1010,'ORDENES'!$O$4:$O$1203,$O1010,'ORDENES'!$R$4:$R$1203,$R1010))</f>
        <v/>
      </c>
      <c r="AE1010" s="13">
        <f>IF($AD1010="","",p_factor_productividad*IFERROR(INDEX('ASIGNACIONES'!$H$4:$H$339,MATCH($O1010&amp;"|"&amp;$R1010&amp;"|"&amp;$AB1010,'ASIGNACIONES'!$I$4:$I$339,0)),0)-$AD1010)</f>
        <v/>
      </c>
      <c r="AF1010" s="10">
        <f>IF($A1010="","",IFERROR(INDEX('2_IMPORTAR_EJECUCION'!$F$9:$F$1208,MATCH($AN1010,'2_IMPORTAR_EJECUCION'!$J$9:$J$1208,0)),0))</f>
        <v/>
      </c>
      <c r="AG1010" s="10">
        <f>IF($A1010="","",MAX(0,IFERROR(INDEX('2_IMPORTAR_EJECUCION'!$H$9:$H$1208,MATCH($AN1010,'2_IMPORTAR_EJECUCION'!$J$9:$J$1208,0)),0)-$AF1010))</f>
        <v/>
      </c>
      <c r="AH1010" s="10">
        <f>IF($A1010="","",$AF1010+$AG1010)</f>
        <v/>
      </c>
      <c r="AI1010" s="6" t="n"/>
      <c r="AJ1010" s="6" t="n"/>
      <c r="AK1010" s="6" t="n"/>
      <c r="AL1010" s="3">
        <f>IF($AK1010="","",HYPERLINK(p_ruta_base_checklists&amp;$AK1010,"abrir"))</f>
        <v/>
      </c>
      <c r="AM1010" s="6" t="n"/>
      <c r="AN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1" t="n"/>
      <c r="K1011" s="3" t="n"/>
      <c r="L1011" s="10" t="n"/>
      <c r="M1011" s="3">
        <f>IF($A1011="","",IFERROR(INDEX('AJUSTES'!$B$4:$B$303,MATCH($AN1011,'AJUSTES'!$A$4:$A$303,0)),IF($K1011="","",$K1011)))</f>
        <v/>
      </c>
      <c r="N1011" s="3">
        <f>IF($A1011="","",IFERROR(INDEX('CAT_ESTADOS_ERP'!$B$4:$B$7,MATCH(IFERROR(INDEX('2_IMPORTAR_EJECUCION'!$C$9:$C$1208,MATCH($AN1011,'2_IMPORTAR_EJECUCION'!$J$9:$J$1208,0)),""),'CAT_ESTADOS_ERP'!$A$4:$A$7,0)),"Pendiente"))</f>
        <v/>
      </c>
      <c r="O1011" s="3">
        <f>IF($J1011="","",YEAR($J1011+4-WEEKDAY($J1011,2))&amp;"-S"&amp;TEXT(_xlfn.ISOWEEKNUM($J1011),"00"))</f>
        <v/>
      </c>
      <c r="P1011" s="3">
        <f>IF($J1011="","",YEAR($J1011))</f>
        <v/>
      </c>
      <c r="Q1011" s="3">
        <f>IF($J1011="","",MONTH($J1011))</f>
        <v/>
      </c>
      <c r="R1011" s="3">
        <f>IF($J1011="","",INDEX(lista_dias,WEEKDAY($J1011,2)))</f>
        <v/>
      </c>
      <c r="S1011" s="3">
        <f>IF($I1011="","",IFERROR(INDEX('CAT_TIPOS_OT'!$C$4:$C$7,MATCH($I1011,'CAT_TIPOS_OT'!$A$4:$A$7,0)),"sin_clasificar"))</f>
        <v/>
      </c>
      <c r="T1011" s="3">
        <f>IF($F1011="","",IFERROR(INDEX('CAT_CENTROS_COSTO'!$E$4:$E$9,MATCH($F1011,'CAT_CENTROS_COSTO'!$A$4:$A$9,0)),"(sin catálogo)"))</f>
        <v/>
      </c>
      <c r="U1011" s="3">
        <f>IF($F1011="","",IFERROR(INDEX('CAT_CENTROS_COSTO'!$D$4:$D$9,MATCH($F1011,'CAT_CENTROS_COSTO'!$A$4:$A$9,0)),"(sin catálogo)"))</f>
        <v/>
      </c>
      <c r="V1011" s="3">
        <f>IF($F1011="","",IFERROR(INDEX('CAT_CENTROS_COSTO'!$F$4:$F$9,MATCH($F1011,'CAT_CENTROS_COSTO'!$A$4:$A$9,0)),"(sin catálogo)"))</f>
        <v/>
      </c>
      <c r="W1011" s="3">
        <f>IF($G1011="","",IFERROR(INDEX('CAT_PUESTOS'!$B$4:$B$8,MATCH($G1011,'CAT_PUESTOS'!$A$4:$A$8,0)),"(sin catálogo)"))</f>
        <v/>
      </c>
      <c r="X1011" s="3">
        <f>IF($H1011="","",IFERROR(INDEX('CAT_ACTIVIDADES'!$B$4:$B$8,MATCH($H1011,'CAT_ACTIVIDADES'!$A$4:$A$8,0)),"(sin catálogo)"))</f>
        <v/>
      </c>
      <c r="Y1011" s="12">
        <f>IF($J1011="","",TODAY()-$J1011)</f>
        <v/>
      </c>
      <c r="Z1011" s="3">
        <f>IF($Y1011="","",IF($Y1011&lt;0,"FUTURO",IF($Y1011&gt;p_dias_backlog_max,"BACKLOG","MES CORRIENTE")))</f>
        <v/>
      </c>
      <c r="AA1011" s="3">
        <f>IF($Y1011="",FALSE,AND($Y1011&gt;p_dias_backlog_min,$Y1011&lt;=p_dias_backlog_max))</f>
        <v/>
      </c>
      <c r="AB1011" s="6" t="n"/>
      <c r="AC1011" s="3">
        <f>IF($AB1011="","",IFERROR(INDEX('ASIGNACIONES'!$F$4:$F$339,MATCH($O1011&amp;"|"&amp;$R1011&amp;"|"&amp;$AB1011,'ASIGNACIONES'!$I$4:$I$339,0)),""))</f>
        <v/>
      </c>
      <c r="AD1011" s="13">
        <f>IF($AB1011="","",SUMIFS('ORDENES'!$M$4:$M$1203,'ORDENES'!$AB$4:$AB$1203,$AB1011,'ORDENES'!$O$4:$O$1203,$O1011,'ORDENES'!$R$4:$R$1203,$R1011))</f>
        <v/>
      </c>
      <c r="AE1011" s="13">
        <f>IF($AD1011="","",p_factor_productividad*IFERROR(INDEX('ASIGNACIONES'!$H$4:$H$339,MATCH($O1011&amp;"|"&amp;$R1011&amp;"|"&amp;$AB1011,'ASIGNACIONES'!$I$4:$I$339,0)),0)-$AD1011)</f>
        <v/>
      </c>
      <c r="AF1011" s="10">
        <f>IF($A1011="","",IFERROR(INDEX('2_IMPORTAR_EJECUCION'!$F$9:$F$1208,MATCH($AN1011,'2_IMPORTAR_EJECUCION'!$J$9:$J$1208,0)),0))</f>
        <v/>
      </c>
      <c r="AG1011" s="10">
        <f>IF($A1011="","",MAX(0,IFERROR(INDEX('2_IMPORTAR_EJECUCION'!$H$9:$H$1208,MATCH($AN1011,'2_IMPORTAR_EJECUCION'!$J$9:$J$1208,0)),0)-$AF1011))</f>
        <v/>
      </c>
      <c r="AH1011" s="10">
        <f>IF($A1011="","",$AF1011+$AG1011)</f>
        <v/>
      </c>
      <c r="AI1011" s="6" t="n"/>
      <c r="AJ1011" s="6" t="n"/>
      <c r="AK1011" s="6" t="n"/>
      <c r="AL1011" s="3">
        <f>IF($AK1011="","",HYPERLINK(p_ruta_base_checklists&amp;$AK1011,"abrir"))</f>
        <v/>
      </c>
      <c r="AM1011" s="6" t="n"/>
      <c r="AN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1" t="n"/>
      <c r="K1012" s="3" t="n"/>
      <c r="L1012" s="10" t="n"/>
      <c r="M1012" s="3">
        <f>IF($A1012="","",IFERROR(INDEX('AJUSTES'!$B$4:$B$303,MATCH($AN1012,'AJUSTES'!$A$4:$A$303,0)),IF($K1012="","",$K1012)))</f>
        <v/>
      </c>
      <c r="N1012" s="3">
        <f>IF($A1012="","",IFERROR(INDEX('CAT_ESTADOS_ERP'!$B$4:$B$7,MATCH(IFERROR(INDEX('2_IMPORTAR_EJECUCION'!$C$9:$C$1208,MATCH($AN1012,'2_IMPORTAR_EJECUCION'!$J$9:$J$1208,0)),""),'CAT_ESTADOS_ERP'!$A$4:$A$7,0)),"Pendiente"))</f>
        <v/>
      </c>
      <c r="O1012" s="3">
        <f>IF($J1012="","",YEAR($J1012+4-WEEKDAY($J1012,2))&amp;"-S"&amp;TEXT(_xlfn.ISOWEEKNUM($J1012),"00"))</f>
        <v/>
      </c>
      <c r="P1012" s="3">
        <f>IF($J1012="","",YEAR($J1012))</f>
        <v/>
      </c>
      <c r="Q1012" s="3">
        <f>IF($J1012="","",MONTH($J1012))</f>
        <v/>
      </c>
      <c r="R1012" s="3">
        <f>IF($J1012="","",INDEX(lista_dias,WEEKDAY($J1012,2)))</f>
        <v/>
      </c>
      <c r="S1012" s="3">
        <f>IF($I1012="","",IFERROR(INDEX('CAT_TIPOS_OT'!$C$4:$C$7,MATCH($I1012,'CAT_TIPOS_OT'!$A$4:$A$7,0)),"sin_clasificar"))</f>
        <v/>
      </c>
      <c r="T1012" s="3">
        <f>IF($F1012="","",IFERROR(INDEX('CAT_CENTROS_COSTO'!$E$4:$E$9,MATCH($F1012,'CAT_CENTROS_COSTO'!$A$4:$A$9,0)),"(sin catálogo)"))</f>
        <v/>
      </c>
      <c r="U1012" s="3">
        <f>IF($F1012="","",IFERROR(INDEX('CAT_CENTROS_COSTO'!$D$4:$D$9,MATCH($F1012,'CAT_CENTROS_COSTO'!$A$4:$A$9,0)),"(sin catálogo)"))</f>
        <v/>
      </c>
      <c r="V1012" s="3">
        <f>IF($F1012="","",IFERROR(INDEX('CAT_CENTROS_COSTO'!$F$4:$F$9,MATCH($F1012,'CAT_CENTROS_COSTO'!$A$4:$A$9,0)),"(sin catálogo)"))</f>
        <v/>
      </c>
      <c r="W1012" s="3">
        <f>IF($G1012="","",IFERROR(INDEX('CAT_PUESTOS'!$B$4:$B$8,MATCH($G1012,'CAT_PUESTOS'!$A$4:$A$8,0)),"(sin catálogo)"))</f>
        <v/>
      </c>
      <c r="X1012" s="3">
        <f>IF($H1012="","",IFERROR(INDEX('CAT_ACTIVIDADES'!$B$4:$B$8,MATCH($H1012,'CAT_ACTIVIDADES'!$A$4:$A$8,0)),"(sin catálogo)"))</f>
        <v/>
      </c>
      <c r="Y1012" s="12">
        <f>IF($J1012="","",TODAY()-$J1012)</f>
        <v/>
      </c>
      <c r="Z1012" s="3">
        <f>IF($Y1012="","",IF($Y1012&lt;0,"FUTURO",IF($Y1012&gt;p_dias_backlog_max,"BACKLOG","MES CORRIENTE")))</f>
        <v/>
      </c>
      <c r="AA1012" s="3">
        <f>IF($Y1012="",FALSE,AND($Y1012&gt;p_dias_backlog_min,$Y1012&lt;=p_dias_backlog_max))</f>
        <v/>
      </c>
      <c r="AB1012" s="6" t="n"/>
      <c r="AC1012" s="3">
        <f>IF($AB1012="","",IFERROR(INDEX('ASIGNACIONES'!$F$4:$F$339,MATCH($O1012&amp;"|"&amp;$R1012&amp;"|"&amp;$AB1012,'ASIGNACIONES'!$I$4:$I$339,0)),""))</f>
        <v/>
      </c>
      <c r="AD1012" s="13">
        <f>IF($AB1012="","",SUMIFS('ORDENES'!$M$4:$M$1203,'ORDENES'!$AB$4:$AB$1203,$AB1012,'ORDENES'!$O$4:$O$1203,$O1012,'ORDENES'!$R$4:$R$1203,$R1012))</f>
        <v/>
      </c>
      <c r="AE1012" s="13">
        <f>IF($AD1012="","",p_factor_productividad*IFERROR(INDEX('ASIGNACIONES'!$H$4:$H$339,MATCH($O1012&amp;"|"&amp;$R1012&amp;"|"&amp;$AB1012,'ASIGNACIONES'!$I$4:$I$339,0)),0)-$AD1012)</f>
        <v/>
      </c>
      <c r="AF1012" s="10">
        <f>IF($A1012="","",IFERROR(INDEX('2_IMPORTAR_EJECUCION'!$F$9:$F$1208,MATCH($AN1012,'2_IMPORTAR_EJECUCION'!$J$9:$J$1208,0)),0))</f>
        <v/>
      </c>
      <c r="AG1012" s="10">
        <f>IF($A1012="","",MAX(0,IFERROR(INDEX('2_IMPORTAR_EJECUCION'!$H$9:$H$1208,MATCH($AN1012,'2_IMPORTAR_EJECUCION'!$J$9:$J$1208,0)),0)-$AF1012))</f>
        <v/>
      </c>
      <c r="AH1012" s="10">
        <f>IF($A1012="","",$AF1012+$AG1012)</f>
        <v/>
      </c>
      <c r="AI1012" s="6" t="n"/>
      <c r="AJ1012" s="6" t="n"/>
      <c r="AK1012" s="6" t="n"/>
      <c r="AL1012" s="3">
        <f>IF($AK1012="","",HYPERLINK(p_ruta_base_checklists&amp;$AK1012,"abrir"))</f>
        <v/>
      </c>
      <c r="AM1012" s="6" t="n"/>
      <c r="AN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1" t="n"/>
      <c r="K1013" s="3" t="n"/>
      <c r="L1013" s="10" t="n"/>
      <c r="M1013" s="3">
        <f>IF($A1013="","",IFERROR(INDEX('AJUSTES'!$B$4:$B$303,MATCH($AN1013,'AJUSTES'!$A$4:$A$303,0)),IF($K1013="","",$K1013)))</f>
        <v/>
      </c>
      <c r="N1013" s="3">
        <f>IF($A1013="","",IFERROR(INDEX('CAT_ESTADOS_ERP'!$B$4:$B$7,MATCH(IFERROR(INDEX('2_IMPORTAR_EJECUCION'!$C$9:$C$1208,MATCH($AN1013,'2_IMPORTAR_EJECUCION'!$J$9:$J$1208,0)),""),'CAT_ESTADOS_ERP'!$A$4:$A$7,0)),"Pendiente"))</f>
        <v/>
      </c>
      <c r="O1013" s="3">
        <f>IF($J1013="","",YEAR($J1013+4-WEEKDAY($J1013,2))&amp;"-S"&amp;TEXT(_xlfn.ISOWEEKNUM($J1013),"00"))</f>
        <v/>
      </c>
      <c r="P1013" s="3">
        <f>IF($J1013="","",YEAR($J1013))</f>
        <v/>
      </c>
      <c r="Q1013" s="3">
        <f>IF($J1013="","",MONTH($J1013))</f>
        <v/>
      </c>
      <c r="R1013" s="3">
        <f>IF($J1013="","",INDEX(lista_dias,WEEKDAY($J1013,2)))</f>
        <v/>
      </c>
      <c r="S1013" s="3">
        <f>IF($I1013="","",IFERROR(INDEX('CAT_TIPOS_OT'!$C$4:$C$7,MATCH($I1013,'CAT_TIPOS_OT'!$A$4:$A$7,0)),"sin_clasificar"))</f>
        <v/>
      </c>
      <c r="T1013" s="3">
        <f>IF($F1013="","",IFERROR(INDEX('CAT_CENTROS_COSTO'!$E$4:$E$9,MATCH($F1013,'CAT_CENTROS_COSTO'!$A$4:$A$9,0)),"(sin catálogo)"))</f>
        <v/>
      </c>
      <c r="U1013" s="3">
        <f>IF($F1013="","",IFERROR(INDEX('CAT_CENTROS_COSTO'!$D$4:$D$9,MATCH($F1013,'CAT_CENTROS_COSTO'!$A$4:$A$9,0)),"(sin catálogo)"))</f>
        <v/>
      </c>
      <c r="V1013" s="3">
        <f>IF($F1013="","",IFERROR(INDEX('CAT_CENTROS_COSTO'!$F$4:$F$9,MATCH($F1013,'CAT_CENTROS_COSTO'!$A$4:$A$9,0)),"(sin catálogo)"))</f>
        <v/>
      </c>
      <c r="W1013" s="3">
        <f>IF($G1013="","",IFERROR(INDEX('CAT_PUESTOS'!$B$4:$B$8,MATCH($G1013,'CAT_PUESTOS'!$A$4:$A$8,0)),"(sin catálogo)"))</f>
        <v/>
      </c>
      <c r="X1013" s="3">
        <f>IF($H1013="","",IFERROR(INDEX('CAT_ACTIVIDADES'!$B$4:$B$8,MATCH($H1013,'CAT_ACTIVIDADES'!$A$4:$A$8,0)),"(sin catálogo)"))</f>
        <v/>
      </c>
      <c r="Y1013" s="12">
        <f>IF($J1013="","",TODAY()-$J1013)</f>
        <v/>
      </c>
      <c r="Z1013" s="3">
        <f>IF($Y1013="","",IF($Y1013&lt;0,"FUTURO",IF($Y1013&gt;p_dias_backlog_max,"BACKLOG","MES CORRIENTE")))</f>
        <v/>
      </c>
      <c r="AA1013" s="3">
        <f>IF($Y1013="",FALSE,AND($Y1013&gt;p_dias_backlog_min,$Y1013&lt;=p_dias_backlog_max))</f>
        <v/>
      </c>
      <c r="AB1013" s="6" t="n"/>
      <c r="AC1013" s="3">
        <f>IF($AB1013="","",IFERROR(INDEX('ASIGNACIONES'!$F$4:$F$339,MATCH($O1013&amp;"|"&amp;$R1013&amp;"|"&amp;$AB1013,'ASIGNACIONES'!$I$4:$I$339,0)),""))</f>
        <v/>
      </c>
      <c r="AD1013" s="13">
        <f>IF($AB1013="","",SUMIFS('ORDENES'!$M$4:$M$1203,'ORDENES'!$AB$4:$AB$1203,$AB1013,'ORDENES'!$O$4:$O$1203,$O1013,'ORDENES'!$R$4:$R$1203,$R1013))</f>
        <v/>
      </c>
      <c r="AE1013" s="13">
        <f>IF($AD1013="","",p_factor_productividad*IFERROR(INDEX('ASIGNACIONES'!$H$4:$H$339,MATCH($O1013&amp;"|"&amp;$R1013&amp;"|"&amp;$AB1013,'ASIGNACIONES'!$I$4:$I$339,0)),0)-$AD1013)</f>
        <v/>
      </c>
      <c r="AF1013" s="10">
        <f>IF($A1013="","",IFERROR(INDEX('2_IMPORTAR_EJECUCION'!$F$9:$F$1208,MATCH($AN1013,'2_IMPORTAR_EJECUCION'!$J$9:$J$1208,0)),0))</f>
        <v/>
      </c>
      <c r="AG1013" s="10">
        <f>IF($A1013="","",MAX(0,IFERROR(INDEX('2_IMPORTAR_EJECUCION'!$H$9:$H$1208,MATCH($AN1013,'2_IMPORTAR_EJECUCION'!$J$9:$J$1208,0)),0)-$AF1013))</f>
        <v/>
      </c>
      <c r="AH1013" s="10">
        <f>IF($A1013="","",$AF1013+$AG1013)</f>
        <v/>
      </c>
      <c r="AI1013" s="6" t="n"/>
      <c r="AJ1013" s="6" t="n"/>
      <c r="AK1013" s="6" t="n"/>
      <c r="AL1013" s="3">
        <f>IF($AK1013="","",HYPERLINK(p_ruta_base_checklists&amp;$AK1013,"abrir"))</f>
        <v/>
      </c>
      <c r="AM1013" s="6" t="n"/>
      <c r="AN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1" t="n"/>
      <c r="K1014" s="3" t="n"/>
      <c r="L1014" s="10" t="n"/>
      <c r="M1014" s="3">
        <f>IF($A1014="","",IFERROR(INDEX('AJUSTES'!$B$4:$B$303,MATCH($AN1014,'AJUSTES'!$A$4:$A$303,0)),IF($K1014="","",$K1014)))</f>
        <v/>
      </c>
      <c r="N1014" s="3">
        <f>IF($A1014="","",IFERROR(INDEX('CAT_ESTADOS_ERP'!$B$4:$B$7,MATCH(IFERROR(INDEX('2_IMPORTAR_EJECUCION'!$C$9:$C$1208,MATCH($AN1014,'2_IMPORTAR_EJECUCION'!$J$9:$J$1208,0)),""),'CAT_ESTADOS_ERP'!$A$4:$A$7,0)),"Pendiente"))</f>
        <v/>
      </c>
      <c r="O1014" s="3">
        <f>IF($J1014="","",YEAR($J1014+4-WEEKDAY($J1014,2))&amp;"-S"&amp;TEXT(_xlfn.ISOWEEKNUM($J1014),"00"))</f>
        <v/>
      </c>
      <c r="P1014" s="3">
        <f>IF($J1014="","",YEAR($J1014))</f>
        <v/>
      </c>
      <c r="Q1014" s="3">
        <f>IF($J1014="","",MONTH($J1014))</f>
        <v/>
      </c>
      <c r="R1014" s="3">
        <f>IF($J1014="","",INDEX(lista_dias,WEEKDAY($J1014,2)))</f>
        <v/>
      </c>
      <c r="S1014" s="3">
        <f>IF($I1014="","",IFERROR(INDEX('CAT_TIPOS_OT'!$C$4:$C$7,MATCH($I1014,'CAT_TIPOS_OT'!$A$4:$A$7,0)),"sin_clasificar"))</f>
        <v/>
      </c>
      <c r="T1014" s="3">
        <f>IF($F1014="","",IFERROR(INDEX('CAT_CENTROS_COSTO'!$E$4:$E$9,MATCH($F1014,'CAT_CENTROS_COSTO'!$A$4:$A$9,0)),"(sin catálogo)"))</f>
        <v/>
      </c>
      <c r="U1014" s="3">
        <f>IF($F1014="","",IFERROR(INDEX('CAT_CENTROS_COSTO'!$D$4:$D$9,MATCH($F1014,'CAT_CENTROS_COSTO'!$A$4:$A$9,0)),"(sin catálogo)"))</f>
        <v/>
      </c>
      <c r="V1014" s="3">
        <f>IF($F1014="","",IFERROR(INDEX('CAT_CENTROS_COSTO'!$F$4:$F$9,MATCH($F1014,'CAT_CENTROS_COSTO'!$A$4:$A$9,0)),"(sin catálogo)"))</f>
        <v/>
      </c>
      <c r="W1014" s="3">
        <f>IF($G1014="","",IFERROR(INDEX('CAT_PUESTOS'!$B$4:$B$8,MATCH($G1014,'CAT_PUESTOS'!$A$4:$A$8,0)),"(sin catálogo)"))</f>
        <v/>
      </c>
      <c r="X1014" s="3">
        <f>IF($H1014="","",IFERROR(INDEX('CAT_ACTIVIDADES'!$B$4:$B$8,MATCH($H1014,'CAT_ACTIVIDADES'!$A$4:$A$8,0)),"(sin catálogo)"))</f>
        <v/>
      </c>
      <c r="Y1014" s="12">
        <f>IF($J1014="","",TODAY()-$J1014)</f>
        <v/>
      </c>
      <c r="Z1014" s="3">
        <f>IF($Y1014="","",IF($Y1014&lt;0,"FUTURO",IF($Y1014&gt;p_dias_backlog_max,"BACKLOG","MES CORRIENTE")))</f>
        <v/>
      </c>
      <c r="AA1014" s="3">
        <f>IF($Y1014="",FALSE,AND($Y1014&gt;p_dias_backlog_min,$Y1014&lt;=p_dias_backlog_max))</f>
        <v/>
      </c>
      <c r="AB1014" s="6" t="n"/>
      <c r="AC1014" s="3">
        <f>IF($AB1014="","",IFERROR(INDEX('ASIGNACIONES'!$F$4:$F$339,MATCH($O1014&amp;"|"&amp;$R1014&amp;"|"&amp;$AB1014,'ASIGNACIONES'!$I$4:$I$339,0)),""))</f>
        <v/>
      </c>
      <c r="AD1014" s="13">
        <f>IF($AB1014="","",SUMIFS('ORDENES'!$M$4:$M$1203,'ORDENES'!$AB$4:$AB$1203,$AB1014,'ORDENES'!$O$4:$O$1203,$O1014,'ORDENES'!$R$4:$R$1203,$R1014))</f>
        <v/>
      </c>
      <c r="AE1014" s="13">
        <f>IF($AD1014="","",p_factor_productividad*IFERROR(INDEX('ASIGNACIONES'!$H$4:$H$339,MATCH($O1014&amp;"|"&amp;$R1014&amp;"|"&amp;$AB1014,'ASIGNACIONES'!$I$4:$I$339,0)),0)-$AD1014)</f>
        <v/>
      </c>
      <c r="AF1014" s="10">
        <f>IF($A1014="","",IFERROR(INDEX('2_IMPORTAR_EJECUCION'!$F$9:$F$1208,MATCH($AN1014,'2_IMPORTAR_EJECUCION'!$J$9:$J$1208,0)),0))</f>
        <v/>
      </c>
      <c r="AG1014" s="10">
        <f>IF($A1014="","",MAX(0,IFERROR(INDEX('2_IMPORTAR_EJECUCION'!$H$9:$H$1208,MATCH($AN1014,'2_IMPORTAR_EJECUCION'!$J$9:$J$1208,0)),0)-$AF1014))</f>
        <v/>
      </c>
      <c r="AH1014" s="10">
        <f>IF($A1014="","",$AF1014+$AG1014)</f>
        <v/>
      </c>
      <c r="AI1014" s="6" t="n"/>
      <c r="AJ1014" s="6" t="n"/>
      <c r="AK1014" s="6" t="n"/>
      <c r="AL1014" s="3">
        <f>IF($AK1014="","",HYPERLINK(p_ruta_base_checklists&amp;$AK1014,"abrir"))</f>
        <v/>
      </c>
      <c r="AM1014" s="6" t="n"/>
      <c r="AN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1" t="n"/>
      <c r="K1015" s="3" t="n"/>
      <c r="L1015" s="10" t="n"/>
      <c r="M1015" s="3">
        <f>IF($A1015="","",IFERROR(INDEX('AJUSTES'!$B$4:$B$303,MATCH($AN1015,'AJUSTES'!$A$4:$A$303,0)),IF($K1015="","",$K1015)))</f>
        <v/>
      </c>
      <c r="N1015" s="3">
        <f>IF($A1015="","",IFERROR(INDEX('CAT_ESTADOS_ERP'!$B$4:$B$7,MATCH(IFERROR(INDEX('2_IMPORTAR_EJECUCION'!$C$9:$C$1208,MATCH($AN1015,'2_IMPORTAR_EJECUCION'!$J$9:$J$1208,0)),""),'CAT_ESTADOS_ERP'!$A$4:$A$7,0)),"Pendiente"))</f>
        <v/>
      </c>
      <c r="O1015" s="3">
        <f>IF($J1015="","",YEAR($J1015+4-WEEKDAY($J1015,2))&amp;"-S"&amp;TEXT(_xlfn.ISOWEEKNUM($J1015),"00"))</f>
        <v/>
      </c>
      <c r="P1015" s="3">
        <f>IF($J1015="","",YEAR($J1015))</f>
        <v/>
      </c>
      <c r="Q1015" s="3">
        <f>IF($J1015="","",MONTH($J1015))</f>
        <v/>
      </c>
      <c r="R1015" s="3">
        <f>IF($J1015="","",INDEX(lista_dias,WEEKDAY($J1015,2)))</f>
        <v/>
      </c>
      <c r="S1015" s="3">
        <f>IF($I1015="","",IFERROR(INDEX('CAT_TIPOS_OT'!$C$4:$C$7,MATCH($I1015,'CAT_TIPOS_OT'!$A$4:$A$7,0)),"sin_clasificar"))</f>
        <v/>
      </c>
      <c r="T1015" s="3">
        <f>IF($F1015="","",IFERROR(INDEX('CAT_CENTROS_COSTO'!$E$4:$E$9,MATCH($F1015,'CAT_CENTROS_COSTO'!$A$4:$A$9,0)),"(sin catálogo)"))</f>
        <v/>
      </c>
      <c r="U1015" s="3">
        <f>IF($F1015="","",IFERROR(INDEX('CAT_CENTROS_COSTO'!$D$4:$D$9,MATCH($F1015,'CAT_CENTROS_COSTO'!$A$4:$A$9,0)),"(sin catálogo)"))</f>
        <v/>
      </c>
      <c r="V1015" s="3">
        <f>IF($F1015="","",IFERROR(INDEX('CAT_CENTROS_COSTO'!$F$4:$F$9,MATCH($F1015,'CAT_CENTROS_COSTO'!$A$4:$A$9,0)),"(sin catálogo)"))</f>
        <v/>
      </c>
      <c r="W1015" s="3">
        <f>IF($G1015="","",IFERROR(INDEX('CAT_PUESTOS'!$B$4:$B$8,MATCH($G1015,'CAT_PUESTOS'!$A$4:$A$8,0)),"(sin catálogo)"))</f>
        <v/>
      </c>
      <c r="X1015" s="3">
        <f>IF($H1015="","",IFERROR(INDEX('CAT_ACTIVIDADES'!$B$4:$B$8,MATCH($H1015,'CAT_ACTIVIDADES'!$A$4:$A$8,0)),"(sin catálogo)"))</f>
        <v/>
      </c>
      <c r="Y1015" s="12">
        <f>IF($J1015="","",TODAY()-$J1015)</f>
        <v/>
      </c>
      <c r="Z1015" s="3">
        <f>IF($Y1015="","",IF($Y1015&lt;0,"FUTURO",IF($Y1015&gt;p_dias_backlog_max,"BACKLOG","MES CORRIENTE")))</f>
        <v/>
      </c>
      <c r="AA1015" s="3">
        <f>IF($Y1015="",FALSE,AND($Y1015&gt;p_dias_backlog_min,$Y1015&lt;=p_dias_backlog_max))</f>
        <v/>
      </c>
      <c r="AB1015" s="6" t="n"/>
      <c r="AC1015" s="3">
        <f>IF($AB1015="","",IFERROR(INDEX('ASIGNACIONES'!$F$4:$F$339,MATCH($O1015&amp;"|"&amp;$R1015&amp;"|"&amp;$AB1015,'ASIGNACIONES'!$I$4:$I$339,0)),""))</f>
        <v/>
      </c>
      <c r="AD1015" s="13">
        <f>IF($AB1015="","",SUMIFS('ORDENES'!$M$4:$M$1203,'ORDENES'!$AB$4:$AB$1203,$AB1015,'ORDENES'!$O$4:$O$1203,$O1015,'ORDENES'!$R$4:$R$1203,$R1015))</f>
        <v/>
      </c>
      <c r="AE1015" s="13">
        <f>IF($AD1015="","",p_factor_productividad*IFERROR(INDEX('ASIGNACIONES'!$H$4:$H$339,MATCH($O1015&amp;"|"&amp;$R1015&amp;"|"&amp;$AB1015,'ASIGNACIONES'!$I$4:$I$339,0)),0)-$AD1015)</f>
        <v/>
      </c>
      <c r="AF1015" s="10">
        <f>IF($A1015="","",IFERROR(INDEX('2_IMPORTAR_EJECUCION'!$F$9:$F$1208,MATCH($AN1015,'2_IMPORTAR_EJECUCION'!$J$9:$J$1208,0)),0))</f>
        <v/>
      </c>
      <c r="AG1015" s="10">
        <f>IF($A1015="","",MAX(0,IFERROR(INDEX('2_IMPORTAR_EJECUCION'!$H$9:$H$1208,MATCH($AN1015,'2_IMPORTAR_EJECUCION'!$J$9:$J$1208,0)),0)-$AF1015))</f>
        <v/>
      </c>
      <c r="AH1015" s="10">
        <f>IF($A1015="","",$AF1015+$AG1015)</f>
        <v/>
      </c>
      <c r="AI1015" s="6" t="n"/>
      <c r="AJ1015" s="6" t="n"/>
      <c r="AK1015" s="6" t="n"/>
      <c r="AL1015" s="3">
        <f>IF($AK1015="","",HYPERLINK(p_ruta_base_checklists&amp;$AK1015,"abrir"))</f>
        <v/>
      </c>
      <c r="AM1015" s="6" t="n"/>
      <c r="AN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1" t="n"/>
      <c r="K1016" s="3" t="n"/>
      <c r="L1016" s="10" t="n"/>
      <c r="M1016" s="3">
        <f>IF($A1016="","",IFERROR(INDEX('AJUSTES'!$B$4:$B$303,MATCH($AN1016,'AJUSTES'!$A$4:$A$303,0)),IF($K1016="","",$K1016)))</f>
        <v/>
      </c>
      <c r="N1016" s="3">
        <f>IF($A1016="","",IFERROR(INDEX('CAT_ESTADOS_ERP'!$B$4:$B$7,MATCH(IFERROR(INDEX('2_IMPORTAR_EJECUCION'!$C$9:$C$1208,MATCH($AN1016,'2_IMPORTAR_EJECUCION'!$J$9:$J$1208,0)),""),'CAT_ESTADOS_ERP'!$A$4:$A$7,0)),"Pendiente"))</f>
        <v/>
      </c>
      <c r="O1016" s="3">
        <f>IF($J1016="","",YEAR($J1016+4-WEEKDAY($J1016,2))&amp;"-S"&amp;TEXT(_xlfn.ISOWEEKNUM($J1016),"00"))</f>
        <v/>
      </c>
      <c r="P1016" s="3">
        <f>IF($J1016="","",YEAR($J1016))</f>
        <v/>
      </c>
      <c r="Q1016" s="3">
        <f>IF($J1016="","",MONTH($J1016))</f>
        <v/>
      </c>
      <c r="R1016" s="3">
        <f>IF($J1016="","",INDEX(lista_dias,WEEKDAY($J1016,2)))</f>
        <v/>
      </c>
      <c r="S1016" s="3">
        <f>IF($I1016="","",IFERROR(INDEX('CAT_TIPOS_OT'!$C$4:$C$7,MATCH($I1016,'CAT_TIPOS_OT'!$A$4:$A$7,0)),"sin_clasificar"))</f>
        <v/>
      </c>
      <c r="T1016" s="3">
        <f>IF($F1016="","",IFERROR(INDEX('CAT_CENTROS_COSTO'!$E$4:$E$9,MATCH($F1016,'CAT_CENTROS_COSTO'!$A$4:$A$9,0)),"(sin catálogo)"))</f>
        <v/>
      </c>
      <c r="U1016" s="3">
        <f>IF($F1016="","",IFERROR(INDEX('CAT_CENTROS_COSTO'!$D$4:$D$9,MATCH($F1016,'CAT_CENTROS_COSTO'!$A$4:$A$9,0)),"(sin catálogo)"))</f>
        <v/>
      </c>
      <c r="V1016" s="3">
        <f>IF($F1016="","",IFERROR(INDEX('CAT_CENTROS_COSTO'!$F$4:$F$9,MATCH($F1016,'CAT_CENTROS_COSTO'!$A$4:$A$9,0)),"(sin catálogo)"))</f>
        <v/>
      </c>
      <c r="W1016" s="3">
        <f>IF($G1016="","",IFERROR(INDEX('CAT_PUESTOS'!$B$4:$B$8,MATCH($G1016,'CAT_PUESTOS'!$A$4:$A$8,0)),"(sin catálogo)"))</f>
        <v/>
      </c>
      <c r="X1016" s="3">
        <f>IF($H1016="","",IFERROR(INDEX('CAT_ACTIVIDADES'!$B$4:$B$8,MATCH($H1016,'CAT_ACTIVIDADES'!$A$4:$A$8,0)),"(sin catálogo)"))</f>
        <v/>
      </c>
      <c r="Y1016" s="12">
        <f>IF($J1016="","",TODAY()-$J1016)</f>
        <v/>
      </c>
      <c r="Z1016" s="3">
        <f>IF($Y1016="","",IF($Y1016&lt;0,"FUTURO",IF($Y1016&gt;p_dias_backlog_max,"BACKLOG","MES CORRIENTE")))</f>
        <v/>
      </c>
      <c r="AA1016" s="3">
        <f>IF($Y1016="",FALSE,AND($Y1016&gt;p_dias_backlog_min,$Y1016&lt;=p_dias_backlog_max))</f>
        <v/>
      </c>
      <c r="AB1016" s="6" t="n"/>
      <c r="AC1016" s="3">
        <f>IF($AB1016="","",IFERROR(INDEX('ASIGNACIONES'!$F$4:$F$339,MATCH($O1016&amp;"|"&amp;$R1016&amp;"|"&amp;$AB1016,'ASIGNACIONES'!$I$4:$I$339,0)),""))</f>
        <v/>
      </c>
      <c r="AD1016" s="13">
        <f>IF($AB1016="","",SUMIFS('ORDENES'!$M$4:$M$1203,'ORDENES'!$AB$4:$AB$1203,$AB1016,'ORDENES'!$O$4:$O$1203,$O1016,'ORDENES'!$R$4:$R$1203,$R1016))</f>
        <v/>
      </c>
      <c r="AE1016" s="13">
        <f>IF($AD1016="","",p_factor_productividad*IFERROR(INDEX('ASIGNACIONES'!$H$4:$H$339,MATCH($O1016&amp;"|"&amp;$R1016&amp;"|"&amp;$AB1016,'ASIGNACIONES'!$I$4:$I$339,0)),0)-$AD1016)</f>
        <v/>
      </c>
      <c r="AF1016" s="10">
        <f>IF($A1016="","",IFERROR(INDEX('2_IMPORTAR_EJECUCION'!$F$9:$F$1208,MATCH($AN1016,'2_IMPORTAR_EJECUCION'!$J$9:$J$1208,0)),0))</f>
        <v/>
      </c>
      <c r="AG1016" s="10">
        <f>IF($A1016="","",MAX(0,IFERROR(INDEX('2_IMPORTAR_EJECUCION'!$H$9:$H$1208,MATCH($AN1016,'2_IMPORTAR_EJECUCION'!$J$9:$J$1208,0)),0)-$AF1016))</f>
        <v/>
      </c>
      <c r="AH1016" s="10">
        <f>IF($A1016="","",$AF1016+$AG1016)</f>
        <v/>
      </c>
      <c r="AI1016" s="6" t="n"/>
      <c r="AJ1016" s="6" t="n"/>
      <c r="AK1016" s="6" t="n"/>
      <c r="AL1016" s="3">
        <f>IF($AK1016="","",HYPERLINK(p_ruta_base_checklists&amp;$AK1016,"abrir"))</f>
        <v/>
      </c>
      <c r="AM1016" s="6" t="n"/>
      <c r="AN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1" t="n"/>
      <c r="K1017" s="3" t="n"/>
      <c r="L1017" s="10" t="n"/>
      <c r="M1017" s="3">
        <f>IF($A1017="","",IFERROR(INDEX('AJUSTES'!$B$4:$B$303,MATCH($AN1017,'AJUSTES'!$A$4:$A$303,0)),IF($K1017="","",$K1017)))</f>
        <v/>
      </c>
      <c r="N1017" s="3">
        <f>IF($A1017="","",IFERROR(INDEX('CAT_ESTADOS_ERP'!$B$4:$B$7,MATCH(IFERROR(INDEX('2_IMPORTAR_EJECUCION'!$C$9:$C$1208,MATCH($AN1017,'2_IMPORTAR_EJECUCION'!$J$9:$J$1208,0)),""),'CAT_ESTADOS_ERP'!$A$4:$A$7,0)),"Pendiente"))</f>
        <v/>
      </c>
      <c r="O1017" s="3">
        <f>IF($J1017="","",YEAR($J1017+4-WEEKDAY($J1017,2))&amp;"-S"&amp;TEXT(_xlfn.ISOWEEKNUM($J1017),"00"))</f>
        <v/>
      </c>
      <c r="P1017" s="3">
        <f>IF($J1017="","",YEAR($J1017))</f>
        <v/>
      </c>
      <c r="Q1017" s="3">
        <f>IF($J1017="","",MONTH($J1017))</f>
        <v/>
      </c>
      <c r="R1017" s="3">
        <f>IF($J1017="","",INDEX(lista_dias,WEEKDAY($J1017,2)))</f>
        <v/>
      </c>
      <c r="S1017" s="3">
        <f>IF($I1017="","",IFERROR(INDEX('CAT_TIPOS_OT'!$C$4:$C$7,MATCH($I1017,'CAT_TIPOS_OT'!$A$4:$A$7,0)),"sin_clasificar"))</f>
        <v/>
      </c>
      <c r="T1017" s="3">
        <f>IF($F1017="","",IFERROR(INDEX('CAT_CENTROS_COSTO'!$E$4:$E$9,MATCH($F1017,'CAT_CENTROS_COSTO'!$A$4:$A$9,0)),"(sin catálogo)"))</f>
        <v/>
      </c>
      <c r="U1017" s="3">
        <f>IF($F1017="","",IFERROR(INDEX('CAT_CENTROS_COSTO'!$D$4:$D$9,MATCH($F1017,'CAT_CENTROS_COSTO'!$A$4:$A$9,0)),"(sin catálogo)"))</f>
        <v/>
      </c>
      <c r="V1017" s="3">
        <f>IF($F1017="","",IFERROR(INDEX('CAT_CENTROS_COSTO'!$F$4:$F$9,MATCH($F1017,'CAT_CENTROS_COSTO'!$A$4:$A$9,0)),"(sin catálogo)"))</f>
        <v/>
      </c>
      <c r="W1017" s="3">
        <f>IF($G1017="","",IFERROR(INDEX('CAT_PUESTOS'!$B$4:$B$8,MATCH($G1017,'CAT_PUESTOS'!$A$4:$A$8,0)),"(sin catálogo)"))</f>
        <v/>
      </c>
      <c r="X1017" s="3">
        <f>IF($H1017="","",IFERROR(INDEX('CAT_ACTIVIDADES'!$B$4:$B$8,MATCH($H1017,'CAT_ACTIVIDADES'!$A$4:$A$8,0)),"(sin catálogo)"))</f>
        <v/>
      </c>
      <c r="Y1017" s="12">
        <f>IF($J1017="","",TODAY()-$J1017)</f>
        <v/>
      </c>
      <c r="Z1017" s="3">
        <f>IF($Y1017="","",IF($Y1017&lt;0,"FUTURO",IF($Y1017&gt;p_dias_backlog_max,"BACKLOG","MES CORRIENTE")))</f>
        <v/>
      </c>
      <c r="AA1017" s="3">
        <f>IF($Y1017="",FALSE,AND($Y1017&gt;p_dias_backlog_min,$Y1017&lt;=p_dias_backlog_max))</f>
        <v/>
      </c>
      <c r="AB1017" s="6" t="n"/>
      <c r="AC1017" s="3">
        <f>IF($AB1017="","",IFERROR(INDEX('ASIGNACIONES'!$F$4:$F$339,MATCH($O1017&amp;"|"&amp;$R1017&amp;"|"&amp;$AB1017,'ASIGNACIONES'!$I$4:$I$339,0)),""))</f>
        <v/>
      </c>
      <c r="AD1017" s="13">
        <f>IF($AB1017="","",SUMIFS('ORDENES'!$M$4:$M$1203,'ORDENES'!$AB$4:$AB$1203,$AB1017,'ORDENES'!$O$4:$O$1203,$O1017,'ORDENES'!$R$4:$R$1203,$R1017))</f>
        <v/>
      </c>
      <c r="AE1017" s="13">
        <f>IF($AD1017="","",p_factor_productividad*IFERROR(INDEX('ASIGNACIONES'!$H$4:$H$339,MATCH($O1017&amp;"|"&amp;$R1017&amp;"|"&amp;$AB1017,'ASIGNACIONES'!$I$4:$I$339,0)),0)-$AD1017)</f>
        <v/>
      </c>
      <c r="AF1017" s="10">
        <f>IF($A1017="","",IFERROR(INDEX('2_IMPORTAR_EJECUCION'!$F$9:$F$1208,MATCH($AN1017,'2_IMPORTAR_EJECUCION'!$J$9:$J$1208,0)),0))</f>
        <v/>
      </c>
      <c r="AG1017" s="10">
        <f>IF($A1017="","",MAX(0,IFERROR(INDEX('2_IMPORTAR_EJECUCION'!$H$9:$H$1208,MATCH($AN1017,'2_IMPORTAR_EJECUCION'!$J$9:$J$1208,0)),0)-$AF1017))</f>
        <v/>
      </c>
      <c r="AH1017" s="10">
        <f>IF($A1017="","",$AF1017+$AG1017)</f>
        <v/>
      </c>
      <c r="AI1017" s="6" t="n"/>
      <c r="AJ1017" s="6" t="n"/>
      <c r="AK1017" s="6" t="n"/>
      <c r="AL1017" s="3">
        <f>IF($AK1017="","",HYPERLINK(p_ruta_base_checklists&amp;$AK1017,"abrir"))</f>
        <v/>
      </c>
      <c r="AM1017" s="6" t="n"/>
      <c r="AN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1" t="n"/>
      <c r="K1018" s="3" t="n"/>
      <c r="L1018" s="10" t="n"/>
      <c r="M1018" s="3">
        <f>IF($A1018="","",IFERROR(INDEX('AJUSTES'!$B$4:$B$303,MATCH($AN1018,'AJUSTES'!$A$4:$A$303,0)),IF($K1018="","",$K1018)))</f>
        <v/>
      </c>
      <c r="N1018" s="3">
        <f>IF($A1018="","",IFERROR(INDEX('CAT_ESTADOS_ERP'!$B$4:$B$7,MATCH(IFERROR(INDEX('2_IMPORTAR_EJECUCION'!$C$9:$C$1208,MATCH($AN1018,'2_IMPORTAR_EJECUCION'!$J$9:$J$1208,0)),""),'CAT_ESTADOS_ERP'!$A$4:$A$7,0)),"Pendiente"))</f>
        <v/>
      </c>
      <c r="O1018" s="3">
        <f>IF($J1018="","",YEAR($J1018+4-WEEKDAY($J1018,2))&amp;"-S"&amp;TEXT(_xlfn.ISOWEEKNUM($J1018),"00"))</f>
        <v/>
      </c>
      <c r="P1018" s="3">
        <f>IF($J1018="","",YEAR($J1018))</f>
        <v/>
      </c>
      <c r="Q1018" s="3">
        <f>IF($J1018="","",MONTH($J1018))</f>
        <v/>
      </c>
      <c r="R1018" s="3">
        <f>IF($J1018="","",INDEX(lista_dias,WEEKDAY($J1018,2)))</f>
        <v/>
      </c>
      <c r="S1018" s="3">
        <f>IF($I1018="","",IFERROR(INDEX('CAT_TIPOS_OT'!$C$4:$C$7,MATCH($I1018,'CAT_TIPOS_OT'!$A$4:$A$7,0)),"sin_clasificar"))</f>
        <v/>
      </c>
      <c r="T1018" s="3">
        <f>IF($F1018="","",IFERROR(INDEX('CAT_CENTROS_COSTO'!$E$4:$E$9,MATCH($F1018,'CAT_CENTROS_COSTO'!$A$4:$A$9,0)),"(sin catálogo)"))</f>
        <v/>
      </c>
      <c r="U1018" s="3">
        <f>IF($F1018="","",IFERROR(INDEX('CAT_CENTROS_COSTO'!$D$4:$D$9,MATCH($F1018,'CAT_CENTROS_COSTO'!$A$4:$A$9,0)),"(sin catálogo)"))</f>
        <v/>
      </c>
      <c r="V1018" s="3">
        <f>IF($F1018="","",IFERROR(INDEX('CAT_CENTROS_COSTO'!$F$4:$F$9,MATCH($F1018,'CAT_CENTROS_COSTO'!$A$4:$A$9,0)),"(sin catálogo)"))</f>
        <v/>
      </c>
      <c r="W1018" s="3">
        <f>IF($G1018="","",IFERROR(INDEX('CAT_PUESTOS'!$B$4:$B$8,MATCH($G1018,'CAT_PUESTOS'!$A$4:$A$8,0)),"(sin catálogo)"))</f>
        <v/>
      </c>
      <c r="X1018" s="3">
        <f>IF($H1018="","",IFERROR(INDEX('CAT_ACTIVIDADES'!$B$4:$B$8,MATCH($H1018,'CAT_ACTIVIDADES'!$A$4:$A$8,0)),"(sin catálogo)"))</f>
        <v/>
      </c>
      <c r="Y1018" s="12">
        <f>IF($J1018="","",TODAY()-$J1018)</f>
        <v/>
      </c>
      <c r="Z1018" s="3">
        <f>IF($Y1018="","",IF($Y1018&lt;0,"FUTURO",IF($Y1018&gt;p_dias_backlog_max,"BACKLOG","MES CORRIENTE")))</f>
        <v/>
      </c>
      <c r="AA1018" s="3">
        <f>IF($Y1018="",FALSE,AND($Y1018&gt;p_dias_backlog_min,$Y1018&lt;=p_dias_backlog_max))</f>
        <v/>
      </c>
      <c r="AB1018" s="6" t="n"/>
      <c r="AC1018" s="3">
        <f>IF($AB1018="","",IFERROR(INDEX('ASIGNACIONES'!$F$4:$F$339,MATCH($O1018&amp;"|"&amp;$R1018&amp;"|"&amp;$AB1018,'ASIGNACIONES'!$I$4:$I$339,0)),""))</f>
        <v/>
      </c>
      <c r="AD1018" s="13">
        <f>IF($AB1018="","",SUMIFS('ORDENES'!$M$4:$M$1203,'ORDENES'!$AB$4:$AB$1203,$AB1018,'ORDENES'!$O$4:$O$1203,$O1018,'ORDENES'!$R$4:$R$1203,$R1018))</f>
        <v/>
      </c>
      <c r="AE1018" s="13">
        <f>IF($AD1018="","",p_factor_productividad*IFERROR(INDEX('ASIGNACIONES'!$H$4:$H$339,MATCH($O1018&amp;"|"&amp;$R1018&amp;"|"&amp;$AB1018,'ASIGNACIONES'!$I$4:$I$339,0)),0)-$AD1018)</f>
        <v/>
      </c>
      <c r="AF1018" s="10">
        <f>IF($A1018="","",IFERROR(INDEX('2_IMPORTAR_EJECUCION'!$F$9:$F$1208,MATCH($AN1018,'2_IMPORTAR_EJECUCION'!$J$9:$J$1208,0)),0))</f>
        <v/>
      </c>
      <c r="AG1018" s="10">
        <f>IF($A1018="","",MAX(0,IFERROR(INDEX('2_IMPORTAR_EJECUCION'!$H$9:$H$1208,MATCH($AN1018,'2_IMPORTAR_EJECUCION'!$J$9:$J$1208,0)),0)-$AF1018))</f>
        <v/>
      </c>
      <c r="AH1018" s="10">
        <f>IF($A1018="","",$AF1018+$AG1018)</f>
        <v/>
      </c>
      <c r="AI1018" s="6" t="n"/>
      <c r="AJ1018" s="6" t="n"/>
      <c r="AK1018" s="6" t="n"/>
      <c r="AL1018" s="3">
        <f>IF($AK1018="","",HYPERLINK(p_ruta_base_checklists&amp;$AK1018,"abrir"))</f>
        <v/>
      </c>
      <c r="AM1018" s="6" t="n"/>
      <c r="AN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1" t="n"/>
      <c r="K1019" s="3" t="n"/>
      <c r="L1019" s="10" t="n"/>
      <c r="M1019" s="3">
        <f>IF($A1019="","",IFERROR(INDEX('AJUSTES'!$B$4:$B$303,MATCH($AN1019,'AJUSTES'!$A$4:$A$303,0)),IF($K1019="","",$K1019)))</f>
        <v/>
      </c>
      <c r="N1019" s="3">
        <f>IF($A1019="","",IFERROR(INDEX('CAT_ESTADOS_ERP'!$B$4:$B$7,MATCH(IFERROR(INDEX('2_IMPORTAR_EJECUCION'!$C$9:$C$1208,MATCH($AN1019,'2_IMPORTAR_EJECUCION'!$J$9:$J$1208,0)),""),'CAT_ESTADOS_ERP'!$A$4:$A$7,0)),"Pendiente"))</f>
        <v/>
      </c>
      <c r="O1019" s="3">
        <f>IF($J1019="","",YEAR($J1019+4-WEEKDAY($J1019,2))&amp;"-S"&amp;TEXT(_xlfn.ISOWEEKNUM($J1019),"00"))</f>
        <v/>
      </c>
      <c r="P1019" s="3">
        <f>IF($J1019="","",YEAR($J1019))</f>
        <v/>
      </c>
      <c r="Q1019" s="3">
        <f>IF($J1019="","",MONTH($J1019))</f>
        <v/>
      </c>
      <c r="R1019" s="3">
        <f>IF($J1019="","",INDEX(lista_dias,WEEKDAY($J1019,2)))</f>
        <v/>
      </c>
      <c r="S1019" s="3">
        <f>IF($I1019="","",IFERROR(INDEX('CAT_TIPOS_OT'!$C$4:$C$7,MATCH($I1019,'CAT_TIPOS_OT'!$A$4:$A$7,0)),"sin_clasificar"))</f>
        <v/>
      </c>
      <c r="T1019" s="3">
        <f>IF($F1019="","",IFERROR(INDEX('CAT_CENTROS_COSTO'!$E$4:$E$9,MATCH($F1019,'CAT_CENTROS_COSTO'!$A$4:$A$9,0)),"(sin catálogo)"))</f>
        <v/>
      </c>
      <c r="U1019" s="3">
        <f>IF($F1019="","",IFERROR(INDEX('CAT_CENTROS_COSTO'!$D$4:$D$9,MATCH($F1019,'CAT_CENTROS_COSTO'!$A$4:$A$9,0)),"(sin catálogo)"))</f>
        <v/>
      </c>
      <c r="V1019" s="3">
        <f>IF($F1019="","",IFERROR(INDEX('CAT_CENTROS_COSTO'!$F$4:$F$9,MATCH($F1019,'CAT_CENTROS_COSTO'!$A$4:$A$9,0)),"(sin catálogo)"))</f>
        <v/>
      </c>
      <c r="W1019" s="3">
        <f>IF($G1019="","",IFERROR(INDEX('CAT_PUESTOS'!$B$4:$B$8,MATCH($G1019,'CAT_PUESTOS'!$A$4:$A$8,0)),"(sin catálogo)"))</f>
        <v/>
      </c>
      <c r="X1019" s="3">
        <f>IF($H1019="","",IFERROR(INDEX('CAT_ACTIVIDADES'!$B$4:$B$8,MATCH($H1019,'CAT_ACTIVIDADES'!$A$4:$A$8,0)),"(sin catálogo)"))</f>
        <v/>
      </c>
      <c r="Y1019" s="12">
        <f>IF($J1019="","",TODAY()-$J1019)</f>
        <v/>
      </c>
      <c r="Z1019" s="3">
        <f>IF($Y1019="","",IF($Y1019&lt;0,"FUTURO",IF($Y1019&gt;p_dias_backlog_max,"BACKLOG","MES CORRIENTE")))</f>
        <v/>
      </c>
      <c r="AA1019" s="3">
        <f>IF($Y1019="",FALSE,AND($Y1019&gt;p_dias_backlog_min,$Y1019&lt;=p_dias_backlog_max))</f>
        <v/>
      </c>
      <c r="AB1019" s="6" t="n"/>
      <c r="AC1019" s="3">
        <f>IF($AB1019="","",IFERROR(INDEX('ASIGNACIONES'!$F$4:$F$339,MATCH($O1019&amp;"|"&amp;$R1019&amp;"|"&amp;$AB1019,'ASIGNACIONES'!$I$4:$I$339,0)),""))</f>
        <v/>
      </c>
      <c r="AD1019" s="13">
        <f>IF($AB1019="","",SUMIFS('ORDENES'!$M$4:$M$1203,'ORDENES'!$AB$4:$AB$1203,$AB1019,'ORDENES'!$O$4:$O$1203,$O1019,'ORDENES'!$R$4:$R$1203,$R1019))</f>
        <v/>
      </c>
      <c r="AE1019" s="13">
        <f>IF($AD1019="","",p_factor_productividad*IFERROR(INDEX('ASIGNACIONES'!$H$4:$H$339,MATCH($O1019&amp;"|"&amp;$R1019&amp;"|"&amp;$AB1019,'ASIGNACIONES'!$I$4:$I$339,0)),0)-$AD1019)</f>
        <v/>
      </c>
      <c r="AF1019" s="10">
        <f>IF($A1019="","",IFERROR(INDEX('2_IMPORTAR_EJECUCION'!$F$9:$F$1208,MATCH($AN1019,'2_IMPORTAR_EJECUCION'!$J$9:$J$1208,0)),0))</f>
        <v/>
      </c>
      <c r="AG1019" s="10">
        <f>IF($A1019="","",MAX(0,IFERROR(INDEX('2_IMPORTAR_EJECUCION'!$H$9:$H$1208,MATCH($AN1019,'2_IMPORTAR_EJECUCION'!$J$9:$J$1208,0)),0)-$AF1019))</f>
        <v/>
      </c>
      <c r="AH1019" s="10">
        <f>IF($A1019="","",$AF1019+$AG1019)</f>
        <v/>
      </c>
      <c r="AI1019" s="6" t="n"/>
      <c r="AJ1019" s="6" t="n"/>
      <c r="AK1019" s="6" t="n"/>
      <c r="AL1019" s="3">
        <f>IF($AK1019="","",HYPERLINK(p_ruta_base_checklists&amp;$AK1019,"abrir"))</f>
        <v/>
      </c>
      <c r="AM1019" s="6" t="n"/>
      <c r="AN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1" t="n"/>
      <c r="K1020" s="3" t="n"/>
      <c r="L1020" s="10" t="n"/>
      <c r="M1020" s="3">
        <f>IF($A1020="","",IFERROR(INDEX('AJUSTES'!$B$4:$B$303,MATCH($AN1020,'AJUSTES'!$A$4:$A$303,0)),IF($K1020="","",$K1020)))</f>
        <v/>
      </c>
      <c r="N1020" s="3">
        <f>IF($A1020="","",IFERROR(INDEX('CAT_ESTADOS_ERP'!$B$4:$B$7,MATCH(IFERROR(INDEX('2_IMPORTAR_EJECUCION'!$C$9:$C$1208,MATCH($AN1020,'2_IMPORTAR_EJECUCION'!$J$9:$J$1208,0)),""),'CAT_ESTADOS_ERP'!$A$4:$A$7,0)),"Pendiente"))</f>
        <v/>
      </c>
      <c r="O1020" s="3">
        <f>IF($J1020="","",YEAR($J1020+4-WEEKDAY($J1020,2))&amp;"-S"&amp;TEXT(_xlfn.ISOWEEKNUM($J1020),"00"))</f>
        <v/>
      </c>
      <c r="P1020" s="3">
        <f>IF($J1020="","",YEAR($J1020))</f>
        <v/>
      </c>
      <c r="Q1020" s="3">
        <f>IF($J1020="","",MONTH($J1020))</f>
        <v/>
      </c>
      <c r="R1020" s="3">
        <f>IF($J1020="","",INDEX(lista_dias,WEEKDAY($J1020,2)))</f>
        <v/>
      </c>
      <c r="S1020" s="3">
        <f>IF($I1020="","",IFERROR(INDEX('CAT_TIPOS_OT'!$C$4:$C$7,MATCH($I1020,'CAT_TIPOS_OT'!$A$4:$A$7,0)),"sin_clasificar"))</f>
        <v/>
      </c>
      <c r="T1020" s="3">
        <f>IF($F1020="","",IFERROR(INDEX('CAT_CENTROS_COSTO'!$E$4:$E$9,MATCH($F1020,'CAT_CENTROS_COSTO'!$A$4:$A$9,0)),"(sin catálogo)"))</f>
        <v/>
      </c>
      <c r="U1020" s="3">
        <f>IF($F1020="","",IFERROR(INDEX('CAT_CENTROS_COSTO'!$D$4:$D$9,MATCH($F1020,'CAT_CENTROS_COSTO'!$A$4:$A$9,0)),"(sin catálogo)"))</f>
        <v/>
      </c>
      <c r="V1020" s="3">
        <f>IF($F1020="","",IFERROR(INDEX('CAT_CENTROS_COSTO'!$F$4:$F$9,MATCH($F1020,'CAT_CENTROS_COSTO'!$A$4:$A$9,0)),"(sin catálogo)"))</f>
        <v/>
      </c>
      <c r="W1020" s="3">
        <f>IF($G1020="","",IFERROR(INDEX('CAT_PUESTOS'!$B$4:$B$8,MATCH($G1020,'CAT_PUESTOS'!$A$4:$A$8,0)),"(sin catálogo)"))</f>
        <v/>
      </c>
      <c r="X1020" s="3">
        <f>IF($H1020="","",IFERROR(INDEX('CAT_ACTIVIDADES'!$B$4:$B$8,MATCH($H1020,'CAT_ACTIVIDADES'!$A$4:$A$8,0)),"(sin catálogo)"))</f>
        <v/>
      </c>
      <c r="Y1020" s="12">
        <f>IF($J1020="","",TODAY()-$J1020)</f>
        <v/>
      </c>
      <c r="Z1020" s="3">
        <f>IF($Y1020="","",IF($Y1020&lt;0,"FUTURO",IF($Y1020&gt;p_dias_backlog_max,"BACKLOG","MES CORRIENTE")))</f>
        <v/>
      </c>
      <c r="AA1020" s="3">
        <f>IF($Y1020="",FALSE,AND($Y1020&gt;p_dias_backlog_min,$Y1020&lt;=p_dias_backlog_max))</f>
        <v/>
      </c>
      <c r="AB1020" s="6" t="n"/>
      <c r="AC1020" s="3">
        <f>IF($AB1020="","",IFERROR(INDEX('ASIGNACIONES'!$F$4:$F$339,MATCH($O1020&amp;"|"&amp;$R1020&amp;"|"&amp;$AB1020,'ASIGNACIONES'!$I$4:$I$339,0)),""))</f>
        <v/>
      </c>
      <c r="AD1020" s="13">
        <f>IF($AB1020="","",SUMIFS('ORDENES'!$M$4:$M$1203,'ORDENES'!$AB$4:$AB$1203,$AB1020,'ORDENES'!$O$4:$O$1203,$O1020,'ORDENES'!$R$4:$R$1203,$R1020))</f>
        <v/>
      </c>
      <c r="AE1020" s="13">
        <f>IF($AD1020="","",p_factor_productividad*IFERROR(INDEX('ASIGNACIONES'!$H$4:$H$339,MATCH($O1020&amp;"|"&amp;$R1020&amp;"|"&amp;$AB1020,'ASIGNACIONES'!$I$4:$I$339,0)),0)-$AD1020)</f>
        <v/>
      </c>
      <c r="AF1020" s="10">
        <f>IF($A1020="","",IFERROR(INDEX('2_IMPORTAR_EJECUCION'!$F$9:$F$1208,MATCH($AN1020,'2_IMPORTAR_EJECUCION'!$J$9:$J$1208,0)),0))</f>
        <v/>
      </c>
      <c r="AG1020" s="10">
        <f>IF($A1020="","",MAX(0,IFERROR(INDEX('2_IMPORTAR_EJECUCION'!$H$9:$H$1208,MATCH($AN1020,'2_IMPORTAR_EJECUCION'!$J$9:$J$1208,0)),0)-$AF1020))</f>
        <v/>
      </c>
      <c r="AH1020" s="10">
        <f>IF($A1020="","",$AF1020+$AG1020)</f>
        <v/>
      </c>
      <c r="AI1020" s="6" t="n"/>
      <c r="AJ1020" s="6" t="n"/>
      <c r="AK1020" s="6" t="n"/>
      <c r="AL1020" s="3">
        <f>IF($AK1020="","",HYPERLINK(p_ruta_base_checklists&amp;$AK1020,"abrir"))</f>
        <v/>
      </c>
      <c r="AM1020" s="6" t="n"/>
      <c r="AN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1" t="n"/>
      <c r="K1021" s="3" t="n"/>
      <c r="L1021" s="10" t="n"/>
      <c r="M1021" s="3">
        <f>IF($A1021="","",IFERROR(INDEX('AJUSTES'!$B$4:$B$303,MATCH($AN1021,'AJUSTES'!$A$4:$A$303,0)),IF($K1021="","",$K1021)))</f>
        <v/>
      </c>
      <c r="N1021" s="3">
        <f>IF($A1021="","",IFERROR(INDEX('CAT_ESTADOS_ERP'!$B$4:$B$7,MATCH(IFERROR(INDEX('2_IMPORTAR_EJECUCION'!$C$9:$C$1208,MATCH($AN1021,'2_IMPORTAR_EJECUCION'!$J$9:$J$1208,0)),""),'CAT_ESTADOS_ERP'!$A$4:$A$7,0)),"Pendiente"))</f>
        <v/>
      </c>
      <c r="O1021" s="3">
        <f>IF($J1021="","",YEAR($J1021+4-WEEKDAY($J1021,2))&amp;"-S"&amp;TEXT(_xlfn.ISOWEEKNUM($J1021),"00"))</f>
        <v/>
      </c>
      <c r="P1021" s="3">
        <f>IF($J1021="","",YEAR($J1021))</f>
        <v/>
      </c>
      <c r="Q1021" s="3">
        <f>IF($J1021="","",MONTH($J1021))</f>
        <v/>
      </c>
      <c r="R1021" s="3">
        <f>IF($J1021="","",INDEX(lista_dias,WEEKDAY($J1021,2)))</f>
        <v/>
      </c>
      <c r="S1021" s="3">
        <f>IF($I1021="","",IFERROR(INDEX('CAT_TIPOS_OT'!$C$4:$C$7,MATCH($I1021,'CAT_TIPOS_OT'!$A$4:$A$7,0)),"sin_clasificar"))</f>
        <v/>
      </c>
      <c r="T1021" s="3">
        <f>IF($F1021="","",IFERROR(INDEX('CAT_CENTROS_COSTO'!$E$4:$E$9,MATCH($F1021,'CAT_CENTROS_COSTO'!$A$4:$A$9,0)),"(sin catálogo)"))</f>
        <v/>
      </c>
      <c r="U1021" s="3">
        <f>IF($F1021="","",IFERROR(INDEX('CAT_CENTROS_COSTO'!$D$4:$D$9,MATCH($F1021,'CAT_CENTROS_COSTO'!$A$4:$A$9,0)),"(sin catálogo)"))</f>
        <v/>
      </c>
      <c r="V1021" s="3">
        <f>IF($F1021="","",IFERROR(INDEX('CAT_CENTROS_COSTO'!$F$4:$F$9,MATCH($F1021,'CAT_CENTROS_COSTO'!$A$4:$A$9,0)),"(sin catálogo)"))</f>
        <v/>
      </c>
      <c r="W1021" s="3">
        <f>IF($G1021="","",IFERROR(INDEX('CAT_PUESTOS'!$B$4:$B$8,MATCH($G1021,'CAT_PUESTOS'!$A$4:$A$8,0)),"(sin catálogo)"))</f>
        <v/>
      </c>
      <c r="X1021" s="3">
        <f>IF($H1021="","",IFERROR(INDEX('CAT_ACTIVIDADES'!$B$4:$B$8,MATCH($H1021,'CAT_ACTIVIDADES'!$A$4:$A$8,0)),"(sin catálogo)"))</f>
        <v/>
      </c>
      <c r="Y1021" s="12">
        <f>IF($J1021="","",TODAY()-$J1021)</f>
        <v/>
      </c>
      <c r="Z1021" s="3">
        <f>IF($Y1021="","",IF($Y1021&lt;0,"FUTURO",IF($Y1021&gt;p_dias_backlog_max,"BACKLOG","MES CORRIENTE")))</f>
        <v/>
      </c>
      <c r="AA1021" s="3">
        <f>IF($Y1021="",FALSE,AND($Y1021&gt;p_dias_backlog_min,$Y1021&lt;=p_dias_backlog_max))</f>
        <v/>
      </c>
      <c r="AB1021" s="6" t="n"/>
      <c r="AC1021" s="3">
        <f>IF($AB1021="","",IFERROR(INDEX('ASIGNACIONES'!$F$4:$F$339,MATCH($O1021&amp;"|"&amp;$R1021&amp;"|"&amp;$AB1021,'ASIGNACIONES'!$I$4:$I$339,0)),""))</f>
        <v/>
      </c>
      <c r="AD1021" s="13">
        <f>IF($AB1021="","",SUMIFS('ORDENES'!$M$4:$M$1203,'ORDENES'!$AB$4:$AB$1203,$AB1021,'ORDENES'!$O$4:$O$1203,$O1021,'ORDENES'!$R$4:$R$1203,$R1021))</f>
        <v/>
      </c>
      <c r="AE1021" s="13">
        <f>IF($AD1021="","",p_factor_productividad*IFERROR(INDEX('ASIGNACIONES'!$H$4:$H$339,MATCH($O1021&amp;"|"&amp;$R1021&amp;"|"&amp;$AB1021,'ASIGNACIONES'!$I$4:$I$339,0)),0)-$AD1021)</f>
        <v/>
      </c>
      <c r="AF1021" s="10">
        <f>IF($A1021="","",IFERROR(INDEX('2_IMPORTAR_EJECUCION'!$F$9:$F$1208,MATCH($AN1021,'2_IMPORTAR_EJECUCION'!$J$9:$J$1208,0)),0))</f>
        <v/>
      </c>
      <c r="AG1021" s="10">
        <f>IF($A1021="","",MAX(0,IFERROR(INDEX('2_IMPORTAR_EJECUCION'!$H$9:$H$1208,MATCH($AN1021,'2_IMPORTAR_EJECUCION'!$J$9:$J$1208,0)),0)-$AF1021))</f>
        <v/>
      </c>
      <c r="AH1021" s="10">
        <f>IF($A1021="","",$AF1021+$AG1021)</f>
        <v/>
      </c>
      <c r="AI1021" s="6" t="n"/>
      <c r="AJ1021" s="6" t="n"/>
      <c r="AK1021" s="6" t="n"/>
      <c r="AL1021" s="3">
        <f>IF($AK1021="","",HYPERLINK(p_ruta_base_checklists&amp;$AK1021,"abrir"))</f>
        <v/>
      </c>
      <c r="AM1021" s="6" t="n"/>
      <c r="AN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1" t="n"/>
      <c r="K1022" s="3" t="n"/>
      <c r="L1022" s="10" t="n"/>
      <c r="M1022" s="3">
        <f>IF($A1022="","",IFERROR(INDEX('AJUSTES'!$B$4:$B$303,MATCH($AN1022,'AJUSTES'!$A$4:$A$303,0)),IF($K1022="","",$K1022)))</f>
        <v/>
      </c>
      <c r="N1022" s="3">
        <f>IF($A1022="","",IFERROR(INDEX('CAT_ESTADOS_ERP'!$B$4:$B$7,MATCH(IFERROR(INDEX('2_IMPORTAR_EJECUCION'!$C$9:$C$1208,MATCH($AN1022,'2_IMPORTAR_EJECUCION'!$J$9:$J$1208,0)),""),'CAT_ESTADOS_ERP'!$A$4:$A$7,0)),"Pendiente"))</f>
        <v/>
      </c>
      <c r="O1022" s="3">
        <f>IF($J1022="","",YEAR($J1022+4-WEEKDAY($J1022,2))&amp;"-S"&amp;TEXT(_xlfn.ISOWEEKNUM($J1022),"00"))</f>
        <v/>
      </c>
      <c r="P1022" s="3">
        <f>IF($J1022="","",YEAR($J1022))</f>
        <v/>
      </c>
      <c r="Q1022" s="3">
        <f>IF($J1022="","",MONTH($J1022))</f>
        <v/>
      </c>
      <c r="R1022" s="3">
        <f>IF($J1022="","",INDEX(lista_dias,WEEKDAY($J1022,2)))</f>
        <v/>
      </c>
      <c r="S1022" s="3">
        <f>IF($I1022="","",IFERROR(INDEX('CAT_TIPOS_OT'!$C$4:$C$7,MATCH($I1022,'CAT_TIPOS_OT'!$A$4:$A$7,0)),"sin_clasificar"))</f>
        <v/>
      </c>
      <c r="T1022" s="3">
        <f>IF($F1022="","",IFERROR(INDEX('CAT_CENTROS_COSTO'!$E$4:$E$9,MATCH($F1022,'CAT_CENTROS_COSTO'!$A$4:$A$9,0)),"(sin catálogo)"))</f>
        <v/>
      </c>
      <c r="U1022" s="3">
        <f>IF($F1022="","",IFERROR(INDEX('CAT_CENTROS_COSTO'!$D$4:$D$9,MATCH($F1022,'CAT_CENTROS_COSTO'!$A$4:$A$9,0)),"(sin catálogo)"))</f>
        <v/>
      </c>
      <c r="V1022" s="3">
        <f>IF($F1022="","",IFERROR(INDEX('CAT_CENTROS_COSTO'!$F$4:$F$9,MATCH($F1022,'CAT_CENTROS_COSTO'!$A$4:$A$9,0)),"(sin catálogo)"))</f>
        <v/>
      </c>
      <c r="W1022" s="3">
        <f>IF($G1022="","",IFERROR(INDEX('CAT_PUESTOS'!$B$4:$B$8,MATCH($G1022,'CAT_PUESTOS'!$A$4:$A$8,0)),"(sin catálogo)"))</f>
        <v/>
      </c>
      <c r="X1022" s="3">
        <f>IF($H1022="","",IFERROR(INDEX('CAT_ACTIVIDADES'!$B$4:$B$8,MATCH($H1022,'CAT_ACTIVIDADES'!$A$4:$A$8,0)),"(sin catálogo)"))</f>
        <v/>
      </c>
      <c r="Y1022" s="12">
        <f>IF($J1022="","",TODAY()-$J1022)</f>
        <v/>
      </c>
      <c r="Z1022" s="3">
        <f>IF($Y1022="","",IF($Y1022&lt;0,"FUTURO",IF($Y1022&gt;p_dias_backlog_max,"BACKLOG","MES CORRIENTE")))</f>
        <v/>
      </c>
      <c r="AA1022" s="3">
        <f>IF($Y1022="",FALSE,AND($Y1022&gt;p_dias_backlog_min,$Y1022&lt;=p_dias_backlog_max))</f>
        <v/>
      </c>
      <c r="AB1022" s="6" t="n"/>
      <c r="AC1022" s="3">
        <f>IF($AB1022="","",IFERROR(INDEX('ASIGNACIONES'!$F$4:$F$339,MATCH($O1022&amp;"|"&amp;$R1022&amp;"|"&amp;$AB1022,'ASIGNACIONES'!$I$4:$I$339,0)),""))</f>
        <v/>
      </c>
      <c r="AD1022" s="13">
        <f>IF($AB1022="","",SUMIFS('ORDENES'!$M$4:$M$1203,'ORDENES'!$AB$4:$AB$1203,$AB1022,'ORDENES'!$O$4:$O$1203,$O1022,'ORDENES'!$R$4:$R$1203,$R1022))</f>
        <v/>
      </c>
      <c r="AE1022" s="13">
        <f>IF($AD1022="","",p_factor_productividad*IFERROR(INDEX('ASIGNACIONES'!$H$4:$H$339,MATCH($O1022&amp;"|"&amp;$R1022&amp;"|"&amp;$AB1022,'ASIGNACIONES'!$I$4:$I$339,0)),0)-$AD1022)</f>
        <v/>
      </c>
      <c r="AF1022" s="10">
        <f>IF($A1022="","",IFERROR(INDEX('2_IMPORTAR_EJECUCION'!$F$9:$F$1208,MATCH($AN1022,'2_IMPORTAR_EJECUCION'!$J$9:$J$1208,0)),0))</f>
        <v/>
      </c>
      <c r="AG1022" s="10">
        <f>IF($A1022="","",MAX(0,IFERROR(INDEX('2_IMPORTAR_EJECUCION'!$H$9:$H$1208,MATCH($AN1022,'2_IMPORTAR_EJECUCION'!$J$9:$J$1208,0)),0)-$AF1022))</f>
        <v/>
      </c>
      <c r="AH1022" s="10">
        <f>IF($A1022="","",$AF1022+$AG1022)</f>
        <v/>
      </c>
      <c r="AI1022" s="6" t="n"/>
      <c r="AJ1022" s="6" t="n"/>
      <c r="AK1022" s="6" t="n"/>
      <c r="AL1022" s="3">
        <f>IF($AK1022="","",HYPERLINK(p_ruta_base_checklists&amp;$AK1022,"abrir"))</f>
        <v/>
      </c>
      <c r="AM1022" s="6" t="n"/>
      <c r="AN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1" t="n"/>
      <c r="K1023" s="3" t="n"/>
      <c r="L1023" s="10" t="n"/>
      <c r="M1023" s="3">
        <f>IF($A1023="","",IFERROR(INDEX('AJUSTES'!$B$4:$B$303,MATCH($AN1023,'AJUSTES'!$A$4:$A$303,0)),IF($K1023="","",$K1023)))</f>
        <v/>
      </c>
      <c r="N1023" s="3">
        <f>IF($A1023="","",IFERROR(INDEX('CAT_ESTADOS_ERP'!$B$4:$B$7,MATCH(IFERROR(INDEX('2_IMPORTAR_EJECUCION'!$C$9:$C$1208,MATCH($AN1023,'2_IMPORTAR_EJECUCION'!$J$9:$J$1208,0)),""),'CAT_ESTADOS_ERP'!$A$4:$A$7,0)),"Pendiente"))</f>
        <v/>
      </c>
      <c r="O1023" s="3">
        <f>IF($J1023="","",YEAR($J1023+4-WEEKDAY($J1023,2))&amp;"-S"&amp;TEXT(_xlfn.ISOWEEKNUM($J1023),"00"))</f>
        <v/>
      </c>
      <c r="P1023" s="3">
        <f>IF($J1023="","",YEAR($J1023))</f>
        <v/>
      </c>
      <c r="Q1023" s="3">
        <f>IF($J1023="","",MONTH($J1023))</f>
        <v/>
      </c>
      <c r="R1023" s="3">
        <f>IF($J1023="","",INDEX(lista_dias,WEEKDAY($J1023,2)))</f>
        <v/>
      </c>
      <c r="S1023" s="3">
        <f>IF($I1023="","",IFERROR(INDEX('CAT_TIPOS_OT'!$C$4:$C$7,MATCH($I1023,'CAT_TIPOS_OT'!$A$4:$A$7,0)),"sin_clasificar"))</f>
        <v/>
      </c>
      <c r="T1023" s="3">
        <f>IF($F1023="","",IFERROR(INDEX('CAT_CENTROS_COSTO'!$E$4:$E$9,MATCH($F1023,'CAT_CENTROS_COSTO'!$A$4:$A$9,0)),"(sin catálogo)"))</f>
        <v/>
      </c>
      <c r="U1023" s="3">
        <f>IF($F1023="","",IFERROR(INDEX('CAT_CENTROS_COSTO'!$D$4:$D$9,MATCH($F1023,'CAT_CENTROS_COSTO'!$A$4:$A$9,0)),"(sin catálogo)"))</f>
        <v/>
      </c>
      <c r="V1023" s="3">
        <f>IF($F1023="","",IFERROR(INDEX('CAT_CENTROS_COSTO'!$F$4:$F$9,MATCH($F1023,'CAT_CENTROS_COSTO'!$A$4:$A$9,0)),"(sin catálogo)"))</f>
        <v/>
      </c>
      <c r="W1023" s="3">
        <f>IF($G1023="","",IFERROR(INDEX('CAT_PUESTOS'!$B$4:$B$8,MATCH($G1023,'CAT_PUESTOS'!$A$4:$A$8,0)),"(sin catálogo)"))</f>
        <v/>
      </c>
      <c r="X1023" s="3">
        <f>IF($H1023="","",IFERROR(INDEX('CAT_ACTIVIDADES'!$B$4:$B$8,MATCH($H1023,'CAT_ACTIVIDADES'!$A$4:$A$8,0)),"(sin catálogo)"))</f>
        <v/>
      </c>
      <c r="Y1023" s="12">
        <f>IF($J1023="","",TODAY()-$J1023)</f>
        <v/>
      </c>
      <c r="Z1023" s="3">
        <f>IF($Y1023="","",IF($Y1023&lt;0,"FUTURO",IF($Y1023&gt;p_dias_backlog_max,"BACKLOG","MES CORRIENTE")))</f>
        <v/>
      </c>
      <c r="AA1023" s="3">
        <f>IF($Y1023="",FALSE,AND($Y1023&gt;p_dias_backlog_min,$Y1023&lt;=p_dias_backlog_max))</f>
        <v/>
      </c>
      <c r="AB1023" s="6" t="n"/>
      <c r="AC1023" s="3">
        <f>IF($AB1023="","",IFERROR(INDEX('ASIGNACIONES'!$F$4:$F$339,MATCH($O1023&amp;"|"&amp;$R1023&amp;"|"&amp;$AB1023,'ASIGNACIONES'!$I$4:$I$339,0)),""))</f>
        <v/>
      </c>
      <c r="AD1023" s="13">
        <f>IF($AB1023="","",SUMIFS('ORDENES'!$M$4:$M$1203,'ORDENES'!$AB$4:$AB$1203,$AB1023,'ORDENES'!$O$4:$O$1203,$O1023,'ORDENES'!$R$4:$R$1203,$R1023))</f>
        <v/>
      </c>
      <c r="AE1023" s="13">
        <f>IF($AD1023="","",p_factor_productividad*IFERROR(INDEX('ASIGNACIONES'!$H$4:$H$339,MATCH($O1023&amp;"|"&amp;$R1023&amp;"|"&amp;$AB1023,'ASIGNACIONES'!$I$4:$I$339,0)),0)-$AD1023)</f>
        <v/>
      </c>
      <c r="AF1023" s="10">
        <f>IF($A1023="","",IFERROR(INDEX('2_IMPORTAR_EJECUCION'!$F$9:$F$1208,MATCH($AN1023,'2_IMPORTAR_EJECUCION'!$J$9:$J$1208,0)),0))</f>
        <v/>
      </c>
      <c r="AG1023" s="10">
        <f>IF($A1023="","",MAX(0,IFERROR(INDEX('2_IMPORTAR_EJECUCION'!$H$9:$H$1208,MATCH($AN1023,'2_IMPORTAR_EJECUCION'!$J$9:$J$1208,0)),0)-$AF1023))</f>
        <v/>
      </c>
      <c r="AH1023" s="10">
        <f>IF($A1023="","",$AF1023+$AG1023)</f>
        <v/>
      </c>
      <c r="AI1023" s="6" t="n"/>
      <c r="AJ1023" s="6" t="n"/>
      <c r="AK1023" s="6" t="n"/>
      <c r="AL1023" s="3">
        <f>IF($AK1023="","",HYPERLINK(p_ruta_base_checklists&amp;$AK1023,"abrir"))</f>
        <v/>
      </c>
      <c r="AM1023" s="6" t="n"/>
      <c r="AN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1" t="n"/>
      <c r="K1024" s="3" t="n"/>
      <c r="L1024" s="10" t="n"/>
      <c r="M1024" s="3">
        <f>IF($A1024="","",IFERROR(INDEX('AJUSTES'!$B$4:$B$303,MATCH($AN1024,'AJUSTES'!$A$4:$A$303,0)),IF($K1024="","",$K1024)))</f>
        <v/>
      </c>
      <c r="N1024" s="3">
        <f>IF($A1024="","",IFERROR(INDEX('CAT_ESTADOS_ERP'!$B$4:$B$7,MATCH(IFERROR(INDEX('2_IMPORTAR_EJECUCION'!$C$9:$C$1208,MATCH($AN1024,'2_IMPORTAR_EJECUCION'!$J$9:$J$1208,0)),""),'CAT_ESTADOS_ERP'!$A$4:$A$7,0)),"Pendiente"))</f>
        <v/>
      </c>
      <c r="O1024" s="3">
        <f>IF($J1024="","",YEAR($J1024+4-WEEKDAY($J1024,2))&amp;"-S"&amp;TEXT(_xlfn.ISOWEEKNUM($J1024),"00"))</f>
        <v/>
      </c>
      <c r="P1024" s="3">
        <f>IF($J1024="","",YEAR($J1024))</f>
        <v/>
      </c>
      <c r="Q1024" s="3">
        <f>IF($J1024="","",MONTH($J1024))</f>
        <v/>
      </c>
      <c r="R1024" s="3">
        <f>IF($J1024="","",INDEX(lista_dias,WEEKDAY($J1024,2)))</f>
        <v/>
      </c>
      <c r="S1024" s="3">
        <f>IF($I1024="","",IFERROR(INDEX('CAT_TIPOS_OT'!$C$4:$C$7,MATCH($I1024,'CAT_TIPOS_OT'!$A$4:$A$7,0)),"sin_clasificar"))</f>
        <v/>
      </c>
      <c r="T1024" s="3">
        <f>IF($F1024="","",IFERROR(INDEX('CAT_CENTROS_COSTO'!$E$4:$E$9,MATCH($F1024,'CAT_CENTROS_COSTO'!$A$4:$A$9,0)),"(sin catálogo)"))</f>
        <v/>
      </c>
      <c r="U1024" s="3">
        <f>IF($F1024="","",IFERROR(INDEX('CAT_CENTROS_COSTO'!$D$4:$D$9,MATCH($F1024,'CAT_CENTROS_COSTO'!$A$4:$A$9,0)),"(sin catálogo)"))</f>
        <v/>
      </c>
      <c r="V1024" s="3">
        <f>IF($F1024="","",IFERROR(INDEX('CAT_CENTROS_COSTO'!$F$4:$F$9,MATCH($F1024,'CAT_CENTROS_COSTO'!$A$4:$A$9,0)),"(sin catálogo)"))</f>
        <v/>
      </c>
      <c r="W1024" s="3">
        <f>IF($G1024="","",IFERROR(INDEX('CAT_PUESTOS'!$B$4:$B$8,MATCH($G1024,'CAT_PUESTOS'!$A$4:$A$8,0)),"(sin catálogo)"))</f>
        <v/>
      </c>
      <c r="X1024" s="3">
        <f>IF($H1024="","",IFERROR(INDEX('CAT_ACTIVIDADES'!$B$4:$B$8,MATCH($H1024,'CAT_ACTIVIDADES'!$A$4:$A$8,0)),"(sin catálogo)"))</f>
        <v/>
      </c>
      <c r="Y1024" s="12">
        <f>IF($J1024="","",TODAY()-$J1024)</f>
        <v/>
      </c>
      <c r="Z1024" s="3">
        <f>IF($Y1024="","",IF($Y1024&lt;0,"FUTURO",IF($Y1024&gt;p_dias_backlog_max,"BACKLOG","MES CORRIENTE")))</f>
        <v/>
      </c>
      <c r="AA1024" s="3">
        <f>IF($Y1024="",FALSE,AND($Y1024&gt;p_dias_backlog_min,$Y1024&lt;=p_dias_backlog_max))</f>
        <v/>
      </c>
      <c r="AB1024" s="6" t="n"/>
      <c r="AC1024" s="3">
        <f>IF($AB1024="","",IFERROR(INDEX('ASIGNACIONES'!$F$4:$F$339,MATCH($O1024&amp;"|"&amp;$R1024&amp;"|"&amp;$AB1024,'ASIGNACIONES'!$I$4:$I$339,0)),""))</f>
        <v/>
      </c>
      <c r="AD1024" s="13">
        <f>IF($AB1024="","",SUMIFS('ORDENES'!$M$4:$M$1203,'ORDENES'!$AB$4:$AB$1203,$AB1024,'ORDENES'!$O$4:$O$1203,$O1024,'ORDENES'!$R$4:$R$1203,$R1024))</f>
        <v/>
      </c>
      <c r="AE1024" s="13">
        <f>IF($AD1024="","",p_factor_productividad*IFERROR(INDEX('ASIGNACIONES'!$H$4:$H$339,MATCH($O1024&amp;"|"&amp;$R1024&amp;"|"&amp;$AB1024,'ASIGNACIONES'!$I$4:$I$339,0)),0)-$AD1024)</f>
        <v/>
      </c>
      <c r="AF1024" s="10">
        <f>IF($A1024="","",IFERROR(INDEX('2_IMPORTAR_EJECUCION'!$F$9:$F$1208,MATCH($AN1024,'2_IMPORTAR_EJECUCION'!$J$9:$J$1208,0)),0))</f>
        <v/>
      </c>
      <c r="AG1024" s="10">
        <f>IF($A1024="","",MAX(0,IFERROR(INDEX('2_IMPORTAR_EJECUCION'!$H$9:$H$1208,MATCH($AN1024,'2_IMPORTAR_EJECUCION'!$J$9:$J$1208,0)),0)-$AF1024))</f>
        <v/>
      </c>
      <c r="AH1024" s="10">
        <f>IF($A1024="","",$AF1024+$AG1024)</f>
        <v/>
      </c>
      <c r="AI1024" s="6" t="n"/>
      <c r="AJ1024" s="6" t="n"/>
      <c r="AK1024" s="6" t="n"/>
      <c r="AL1024" s="3">
        <f>IF($AK1024="","",HYPERLINK(p_ruta_base_checklists&amp;$AK1024,"abrir"))</f>
        <v/>
      </c>
      <c r="AM1024" s="6" t="n"/>
      <c r="AN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1" t="n"/>
      <c r="K1025" s="3" t="n"/>
      <c r="L1025" s="10" t="n"/>
      <c r="M1025" s="3">
        <f>IF($A1025="","",IFERROR(INDEX('AJUSTES'!$B$4:$B$303,MATCH($AN1025,'AJUSTES'!$A$4:$A$303,0)),IF($K1025="","",$K1025)))</f>
        <v/>
      </c>
      <c r="N1025" s="3">
        <f>IF($A1025="","",IFERROR(INDEX('CAT_ESTADOS_ERP'!$B$4:$B$7,MATCH(IFERROR(INDEX('2_IMPORTAR_EJECUCION'!$C$9:$C$1208,MATCH($AN1025,'2_IMPORTAR_EJECUCION'!$J$9:$J$1208,0)),""),'CAT_ESTADOS_ERP'!$A$4:$A$7,0)),"Pendiente"))</f>
        <v/>
      </c>
      <c r="O1025" s="3">
        <f>IF($J1025="","",YEAR($J1025+4-WEEKDAY($J1025,2))&amp;"-S"&amp;TEXT(_xlfn.ISOWEEKNUM($J1025),"00"))</f>
        <v/>
      </c>
      <c r="P1025" s="3">
        <f>IF($J1025="","",YEAR($J1025))</f>
        <v/>
      </c>
      <c r="Q1025" s="3">
        <f>IF($J1025="","",MONTH($J1025))</f>
        <v/>
      </c>
      <c r="R1025" s="3">
        <f>IF($J1025="","",INDEX(lista_dias,WEEKDAY($J1025,2)))</f>
        <v/>
      </c>
      <c r="S1025" s="3">
        <f>IF($I1025="","",IFERROR(INDEX('CAT_TIPOS_OT'!$C$4:$C$7,MATCH($I1025,'CAT_TIPOS_OT'!$A$4:$A$7,0)),"sin_clasificar"))</f>
        <v/>
      </c>
      <c r="T1025" s="3">
        <f>IF($F1025="","",IFERROR(INDEX('CAT_CENTROS_COSTO'!$E$4:$E$9,MATCH($F1025,'CAT_CENTROS_COSTO'!$A$4:$A$9,0)),"(sin catálogo)"))</f>
        <v/>
      </c>
      <c r="U1025" s="3">
        <f>IF($F1025="","",IFERROR(INDEX('CAT_CENTROS_COSTO'!$D$4:$D$9,MATCH($F1025,'CAT_CENTROS_COSTO'!$A$4:$A$9,0)),"(sin catálogo)"))</f>
        <v/>
      </c>
      <c r="V1025" s="3">
        <f>IF($F1025="","",IFERROR(INDEX('CAT_CENTROS_COSTO'!$F$4:$F$9,MATCH($F1025,'CAT_CENTROS_COSTO'!$A$4:$A$9,0)),"(sin catálogo)"))</f>
        <v/>
      </c>
      <c r="W1025" s="3">
        <f>IF($G1025="","",IFERROR(INDEX('CAT_PUESTOS'!$B$4:$B$8,MATCH($G1025,'CAT_PUESTOS'!$A$4:$A$8,0)),"(sin catálogo)"))</f>
        <v/>
      </c>
      <c r="X1025" s="3">
        <f>IF($H1025="","",IFERROR(INDEX('CAT_ACTIVIDADES'!$B$4:$B$8,MATCH($H1025,'CAT_ACTIVIDADES'!$A$4:$A$8,0)),"(sin catálogo)"))</f>
        <v/>
      </c>
      <c r="Y1025" s="12">
        <f>IF($J1025="","",TODAY()-$J1025)</f>
        <v/>
      </c>
      <c r="Z1025" s="3">
        <f>IF($Y1025="","",IF($Y1025&lt;0,"FUTURO",IF($Y1025&gt;p_dias_backlog_max,"BACKLOG","MES CORRIENTE")))</f>
        <v/>
      </c>
      <c r="AA1025" s="3">
        <f>IF($Y1025="",FALSE,AND($Y1025&gt;p_dias_backlog_min,$Y1025&lt;=p_dias_backlog_max))</f>
        <v/>
      </c>
      <c r="AB1025" s="6" t="n"/>
      <c r="AC1025" s="3">
        <f>IF($AB1025="","",IFERROR(INDEX('ASIGNACIONES'!$F$4:$F$339,MATCH($O1025&amp;"|"&amp;$R1025&amp;"|"&amp;$AB1025,'ASIGNACIONES'!$I$4:$I$339,0)),""))</f>
        <v/>
      </c>
      <c r="AD1025" s="13">
        <f>IF($AB1025="","",SUMIFS('ORDENES'!$M$4:$M$1203,'ORDENES'!$AB$4:$AB$1203,$AB1025,'ORDENES'!$O$4:$O$1203,$O1025,'ORDENES'!$R$4:$R$1203,$R1025))</f>
        <v/>
      </c>
      <c r="AE1025" s="13">
        <f>IF($AD1025="","",p_factor_productividad*IFERROR(INDEX('ASIGNACIONES'!$H$4:$H$339,MATCH($O1025&amp;"|"&amp;$R1025&amp;"|"&amp;$AB1025,'ASIGNACIONES'!$I$4:$I$339,0)),0)-$AD1025)</f>
        <v/>
      </c>
      <c r="AF1025" s="10">
        <f>IF($A1025="","",IFERROR(INDEX('2_IMPORTAR_EJECUCION'!$F$9:$F$1208,MATCH($AN1025,'2_IMPORTAR_EJECUCION'!$J$9:$J$1208,0)),0))</f>
        <v/>
      </c>
      <c r="AG1025" s="10">
        <f>IF($A1025="","",MAX(0,IFERROR(INDEX('2_IMPORTAR_EJECUCION'!$H$9:$H$1208,MATCH($AN1025,'2_IMPORTAR_EJECUCION'!$J$9:$J$1208,0)),0)-$AF1025))</f>
        <v/>
      </c>
      <c r="AH1025" s="10">
        <f>IF($A1025="","",$AF1025+$AG1025)</f>
        <v/>
      </c>
      <c r="AI1025" s="6" t="n"/>
      <c r="AJ1025" s="6" t="n"/>
      <c r="AK1025" s="6" t="n"/>
      <c r="AL1025" s="3">
        <f>IF($AK1025="","",HYPERLINK(p_ruta_base_checklists&amp;$AK1025,"abrir"))</f>
        <v/>
      </c>
      <c r="AM1025" s="6" t="n"/>
      <c r="AN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1" t="n"/>
      <c r="K1026" s="3" t="n"/>
      <c r="L1026" s="10" t="n"/>
      <c r="M1026" s="3">
        <f>IF($A1026="","",IFERROR(INDEX('AJUSTES'!$B$4:$B$303,MATCH($AN1026,'AJUSTES'!$A$4:$A$303,0)),IF($K1026="","",$K1026)))</f>
        <v/>
      </c>
      <c r="N1026" s="3">
        <f>IF($A1026="","",IFERROR(INDEX('CAT_ESTADOS_ERP'!$B$4:$B$7,MATCH(IFERROR(INDEX('2_IMPORTAR_EJECUCION'!$C$9:$C$1208,MATCH($AN1026,'2_IMPORTAR_EJECUCION'!$J$9:$J$1208,0)),""),'CAT_ESTADOS_ERP'!$A$4:$A$7,0)),"Pendiente"))</f>
        <v/>
      </c>
      <c r="O1026" s="3">
        <f>IF($J1026="","",YEAR($J1026+4-WEEKDAY($J1026,2))&amp;"-S"&amp;TEXT(_xlfn.ISOWEEKNUM($J1026),"00"))</f>
        <v/>
      </c>
      <c r="P1026" s="3">
        <f>IF($J1026="","",YEAR($J1026))</f>
        <v/>
      </c>
      <c r="Q1026" s="3">
        <f>IF($J1026="","",MONTH($J1026))</f>
        <v/>
      </c>
      <c r="R1026" s="3">
        <f>IF($J1026="","",INDEX(lista_dias,WEEKDAY($J1026,2)))</f>
        <v/>
      </c>
      <c r="S1026" s="3">
        <f>IF($I1026="","",IFERROR(INDEX('CAT_TIPOS_OT'!$C$4:$C$7,MATCH($I1026,'CAT_TIPOS_OT'!$A$4:$A$7,0)),"sin_clasificar"))</f>
        <v/>
      </c>
      <c r="T1026" s="3">
        <f>IF($F1026="","",IFERROR(INDEX('CAT_CENTROS_COSTO'!$E$4:$E$9,MATCH($F1026,'CAT_CENTROS_COSTO'!$A$4:$A$9,0)),"(sin catálogo)"))</f>
        <v/>
      </c>
      <c r="U1026" s="3">
        <f>IF($F1026="","",IFERROR(INDEX('CAT_CENTROS_COSTO'!$D$4:$D$9,MATCH($F1026,'CAT_CENTROS_COSTO'!$A$4:$A$9,0)),"(sin catálogo)"))</f>
        <v/>
      </c>
      <c r="V1026" s="3">
        <f>IF($F1026="","",IFERROR(INDEX('CAT_CENTROS_COSTO'!$F$4:$F$9,MATCH($F1026,'CAT_CENTROS_COSTO'!$A$4:$A$9,0)),"(sin catálogo)"))</f>
        <v/>
      </c>
      <c r="W1026" s="3">
        <f>IF($G1026="","",IFERROR(INDEX('CAT_PUESTOS'!$B$4:$B$8,MATCH($G1026,'CAT_PUESTOS'!$A$4:$A$8,0)),"(sin catálogo)"))</f>
        <v/>
      </c>
      <c r="X1026" s="3">
        <f>IF($H1026="","",IFERROR(INDEX('CAT_ACTIVIDADES'!$B$4:$B$8,MATCH($H1026,'CAT_ACTIVIDADES'!$A$4:$A$8,0)),"(sin catálogo)"))</f>
        <v/>
      </c>
      <c r="Y1026" s="12">
        <f>IF($J1026="","",TODAY()-$J1026)</f>
        <v/>
      </c>
      <c r="Z1026" s="3">
        <f>IF($Y1026="","",IF($Y1026&lt;0,"FUTURO",IF($Y1026&gt;p_dias_backlog_max,"BACKLOG","MES CORRIENTE")))</f>
        <v/>
      </c>
      <c r="AA1026" s="3">
        <f>IF($Y1026="",FALSE,AND($Y1026&gt;p_dias_backlog_min,$Y1026&lt;=p_dias_backlog_max))</f>
        <v/>
      </c>
      <c r="AB1026" s="6" t="n"/>
      <c r="AC1026" s="3">
        <f>IF($AB1026="","",IFERROR(INDEX('ASIGNACIONES'!$F$4:$F$339,MATCH($O1026&amp;"|"&amp;$R1026&amp;"|"&amp;$AB1026,'ASIGNACIONES'!$I$4:$I$339,0)),""))</f>
        <v/>
      </c>
      <c r="AD1026" s="13">
        <f>IF($AB1026="","",SUMIFS('ORDENES'!$M$4:$M$1203,'ORDENES'!$AB$4:$AB$1203,$AB1026,'ORDENES'!$O$4:$O$1203,$O1026,'ORDENES'!$R$4:$R$1203,$R1026))</f>
        <v/>
      </c>
      <c r="AE1026" s="13">
        <f>IF($AD1026="","",p_factor_productividad*IFERROR(INDEX('ASIGNACIONES'!$H$4:$H$339,MATCH($O1026&amp;"|"&amp;$R1026&amp;"|"&amp;$AB1026,'ASIGNACIONES'!$I$4:$I$339,0)),0)-$AD1026)</f>
        <v/>
      </c>
      <c r="AF1026" s="10">
        <f>IF($A1026="","",IFERROR(INDEX('2_IMPORTAR_EJECUCION'!$F$9:$F$1208,MATCH($AN1026,'2_IMPORTAR_EJECUCION'!$J$9:$J$1208,0)),0))</f>
        <v/>
      </c>
      <c r="AG1026" s="10">
        <f>IF($A1026="","",MAX(0,IFERROR(INDEX('2_IMPORTAR_EJECUCION'!$H$9:$H$1208,MATCH($AN1026,'2_IMPORTAR_EJECUCION'!$J$9:$J$1208,0)),0)-$AF1026))</f>
        <v/>
      </c>
      <c r="AH1026" s="10">
        <f>IF($A1026="","",$AF1026+$AG1026)</f>
        <v/>
      </c>
      <c r="AI1026" s="6" t="n"/>
      <c r="AJ1026" s="6" t="n"/>
      <c r="AK1026" s="6" t="n"/>
      <c r="AL1026" s="3">
        <f>IF($AK1026="","",HYPERLINK(p_ruta_base_checklists&amp;$AK1026,"abrir"))</f>
        <v/>
      </c>
      <c r="AM1026" s="6" t="n"/>
      <c r="AN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1" t="n"/>
      <c r="K1027" s="3" t="n"/>
      <c r="L1027" s="10" t="n"/>
      <c r="M1027" s="3">
        <f>IF($A1027="","",IFERROR(INDEX('AJUSTES'!$B$4:$B$303,MATCH($AN1027,'AJUSTES'!$A$4:$A$303,0)),IF($K1027="","",$K1027)))</f>
        <v/>
      </c>
      <c r="N1027" s="3">
        <f>IF($A1027="","",IFERROR(INDEX('CAT_ESTADOS_ERP'!$B$4:$B$7,MATCH(IFERROR(INDEX('2_IMPORTAR_EJECUCION'!$C$9:$C$1208,MATCH($AN1027,'2_IMPORTAR_EJECUCION'!$J$9:$J$1208,0)),""),'CAT_ESTADOS_ERP'!$A$4:$A$7,0)),"Pendiente"))</f>
        <v/>
      </c>
      <c r="O1027" s="3">
        <f>IF($J1027="","",YEAR($J1027+4-WEEKDAY($J1027,2))&amp;"-S"&amp;TEXT(_xlfn.ISOWEEKNUM($J1027),"00"))</f>
        <v/>
      </c>
      <c r="P1027" s="3">
        <f>IF($J1027="","",YEAR($J1027))</f>
        <v/>
      </c>
      <c r="Q1027" s="3">
        <f>IF($J1027="","",MONTH($J1027))</f>
        <v/>
      </c>
      <c r="R1027" s="3">
        <f>IF($J1027="","",INDEX(lista_dias,WEEKDAY($J1027,2)))</f>
        <v/>
      </c>
      <c r="S1027" s="3">
        <f>IF($I1027="","",IFERROR(INDEX('CAT_TIPOS_OT'!$C$4:$C$7,MATCH($I1027,'CAT_TIPOS_OT'!$A$4:$A$7,0)),"sin_clasificar"))</f>
        <v/>
      </c>
      <c r="T1027" s="3">
        <f>IF($F1027="","",IFERROR(INDEX('CAT_CENTROS_COSTO'!$E$4:$E$9,MATCH($F1027,'CAT_CENTROS_COSTO'!$A$4:$A$9,0)),"(sin catálogo)"))</f>
        <v/>
      </c>
      <c r="U1027" s="3">
        <f>IF($F1027="","",IFERROR(INDEX('CAT_CENTROS_COSTO'!$D$4:$D$9,MATCH($F1027,'CAT_CENTROS_COSTO'!$A$4:$A$9,0)),"(sin catálogo)"))</f>
        <v/>
      </c>
      <c r="V1027" s="3">
        <f>IF($F1027="","",IFERROR(INDEX('CAT_CENTROS_COSTO'!$F$4:$F$9,MATCH($F1027,'CAT_CENTROS_COSTO'!$A$4:$A$9,0)),"(sin catálogo)"))</f>
        <v/>
      </c>
      <c r="W1027" s="3">
        <f>IF($G1027="","",IFERROR(INDEX('CAT_PUESTOS'!$B$4:$B$8,MATCH($G1027,'CAT_PUESTOS'!$A$4:$A$8,0)),"(sin catálogo)"))</f>
        <v/>
      </c>
      <c r="X1027" s="3">
        <f>IF($H1027="","",IFERROR(INDEX('CAT_ACTIVIDADES'!$B$4:$B$8,MATCH($H1027,'CAT_ACTIVIDADES'!$A$4:$A$8,0)),"(sin catálogo)"))</f>
        <v/>
      </c>
      <c r="Y1027" s="12">
        <f>IF($J1027="","",TODAY()-$J1027)</f>
        <v/>
      </c>
      <c r="Z1027" s="3">
        <f>IF($Y1027="","",IF($Y1027&lt;0,"FUTURO",IF($Y1027&gt;p_dias_backlog_max,"BACKLOG","MES CORRIENTE")))</f>
        <v/>
      </c>
      <c r="AA1027" s="3">
        <f>IF($Y1027="",FALSE,AND($Y1027&gt;p_dias_backlog_min,$Y1027&lt;=p_dias_backlog_max))</f>
        <v/>
      </c>
      <c r="AB1027" s="6" t="n"/>
      <c r="AC1027" s="3">
        <f>IF($AB1027="","",IFERROR(INDEX('ASIGNACIONES'!$F$4:$F$339,MATCH($O1027&amp;"|"&amp;$R1027&amp;"|"&amp;$AB1027,'ASIGNACIONES'!$I$4:$I$339,0)),""))</f>
        <v/>
      </c>
      <c r="AD1027" s="13">
        <f>IF($AB1027="","",SUMIFS('ORDENES'!$M$4:$M$1203,'ORDENES'!$AB$4:$AB$1203,$AB1027,'ORDENES'!$O$4:$O$1203,$O1027,'ORDENES'!$R$4:$R$1203,$R1027))</f>
        <v/>
      </c>
      <c r="AE1027" s="13">
        <f>IF($AD1027="","",p_factor_productividad*IFERROR(INDEX('ASIGNACIONES'!$H$4:$H$339,MATCH($O1027&amp;"|"&amp;$R1027&amp;"|"&amp;$AB1027,'ASIGNACIONES'!$I$4:$I$339,0)),0)-$AD1027)</f>
        <v/>
      </c>
      <c r="AF1027" s="10">
        <f>IF($A1027="","",IFERROR(INDEX('2_IMPORTAR_EJECUCION'!$F$9:$F$1208,MATCH($AN1027,'2_IMPORTAR_EJECUCION'!$J$9:$J$1208,0)),0))</f>
        <v/>
      </c>
      <c r="AG1027" s="10">
        <f>IF($A1027="","",MAX(0,IFERROR(INDEX('2_IMPORTAR_EJECUCION'!$H$9:$H$1208,MATCH($AN1027,'2_IMPORTAR_EJECUCION'!$J$9:$J$1208,0)),0)-$AF1027))</f>
        <v/>
      </c>
      <c r="AH1027" s="10">
        <f>IF($A1027="","",$AF1027+$AG1027)</f>
        <v/>
      </c>
      <c r="AI1027" s="6" t="n"/>
      <c r="AJ1027" s="6" t="n"/>
      <c r="AK1027" s="6" t="n"/>
      <c r="AL1027" s="3">
        <f>IF($AK1027="","",HYPERLINK(p_ruta_base_checklists&amp;$AK1027,"abrir"))</f>
        <v/>
      </c>
      <c r="AM1027" s="6" t="n"/>
      <c r="AN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1" t="n"/>
      <c r="K1028" s="3" t="n"/>
      <c r="L1028" s="10" t="n"/>
      <c r="M1028" s="3">
        <f>IF($A1028="","",IFERROR(INDEX('AJUSTES'!$B$4:$B$303,MATCH($AN1028,'AJUSTES'!$A$4:$A$303,0)),IF($K1028="","",$K1028)))</f>
        <v/>
      </c>
      <c r="N1028" s="3">
        <f>IF($A1028="","",IFERROR(INDEX('CAT_ESTADOS_ERP'!$B$4:$B$7,MATCH(IFERROR(INDEX('2_IMPORTAR_EJECUCION'!$C$9:$C$1208,MATCH($AN1028,'2_IMPORTAR_EJECUCION'!$J$9:$J$1208,0)),""),'CAT_ESTADOS_ERP'!$A$4:$A$7,0)),"Pendiente"))</f>
        <v/>
      </c>
      <c r="O1028" s="3">
        <f>IF($J1028="","",YEAR($J1028+4-WEEKDAY($J1028,2))&amp;"-S"&amp;TEXT(_xlfn.ISOWEEKNUM($J1028),"00"))</f>
        <v/>
      </c>
      <c r="P1028" s="3">
        <f>IF($J1028="","",YEAR($J1028))</f>
        <v/>
      </c>
      <c r="Q1028" s="3">
        <f>IF($J1028="","",MONTH($J1028))</f>
        <v/>
      </c>
      <c r="R1028" s="3">
        <f>IF($J1028="","",INDEX(lista_dias,WEEKDAY($J1028,2)))</f>
        <v/>
      </c>
      <c r="S1028" s="3">
        <f>IF($I1028="","",IFERROR(INDEX('CAT_TIPOS_OT'!$C$4:$C$7,MATCH($I1028,'CAT_TIPOS_OT'!$A$4:$A$7,0)),"sin_clasificar"))</f>
        <v/>
      </c>
      <c r="T1028" s="3">
        <f>IF($F1028="","",IFERROR(INDEX('CAT_CENTROS_COSTO'!$E$4:$E$9,MATCH($F1028,'CAT_CENTROS_COSTO'!$A$4:$A$9,0)),"(sin catálogo)"))</f>
        <v/>
      </c>
      <c r="U1028" s="3">
        <f>IF($F1028="","",IFERROR(INDEX('CAT_CENTROS_COSTO'!$D$4:$D$9,MATCH($F1028,'CAT_CENTROS_COSTO'!$A$4:$A$9,0)),"(sin catálogo)"))</f>
        <v/>
      </c>
      <c r="V1028" s="3">
        <f>IF($F1028="","",IFERROR(INDEX('CAT_CENTROS_COSTO'!$F$4:$F$9,MATCH($F1028,'CAT_CENTROS_COSTO'!$A$4:$A$9,0)),"(sin catálogo)"))</f>
        <v/>
      </c>
      <c r="W1028" s="3">
        <f>IF($G1028="","",IFERROR(INDEX('CAT_PUESTOS'!$B$4:$B$8,MATCH($G1028,'CAT_PUESTOS'!$A$4:$A$8,0)),"(sin catálogo)"))</f>
        <v/>
      </c>
      <c r="X1028" s="3">
        <f>IF($H1028="","",IFERROR(INDEX('CAT_ACTIVIDADES'!$B$4:$B$8,MATCH($H1028,'CAT_ACTIVIDADES'!$A$4:$A$8,0)),"(sin catálogo)"))</f>
        <v/>
      </c>
      <c r="Y1028" s="12">
        <f>IF($J1028="","",TODAY()-$J1028)</f>
        <v/>
      </c>
      <c r="Z1028" s="3">
        <f>IF($Y1028="","",IF($Y1028&lt;0,"FUTURO",IF($Y1028&gt;p_dias_backlog_max,"BACKLOG","MES CORRIENTE")))</f>
        <v/>
      </c>
      <c r="AA1028" s="3">
        <f>IF($Y1028="",FALSE,AND($Y1028&gt;p_dias_backlog_min,$Y1028&lt;=p_dias_backlog_max))</f>
        <v/>
      </c>
      <c r="AB1028" s="6" t="n"/>
      <c r="AC1028" s="3">
        <f>IF($AB1028="","",IFERROR(INDEX('ASIGNACIONES'!$F$4:$F$339,MATCH($O1028&amp;"|"&amp;$R1028&amp;"|"&amp;$AB1028,'ASIGNACIONES'!$I$4:$I$339,0)),""))</f>
        <v/>
      </c>
      <c r="AD1028" s="13">
        <f>IF($AB1028="","",SUMIFS('ORDENES'!$M$4:$M$1203,'ORDENES'!$AB$4:$AB$1203,$AB1028,'ORDENES'!$O$4:$O$1203,$O1028,'ORDENES'!$R$4:$R$1203,$R1028))</f>
        <v/>
      </c>
      <c r="AE1028" s="13">
        <f>IF($AD1028="","",p_factor_productividad*IFERROR(INDEX('ASIGNACIONES'!$H$4:$H$339,MATCH($O1028&amp;"|"&amp;$R1028&amp;"|"&amp;$AB1028,'ASIGNACIONES'!$I$4:$I$339,0)),0)-$AD1028)</f>
        <v/>
      </c>
      <c r="AF1028" s="10">
        <f>IF($A1028="","",IFERROR(INDEX('2_IMPORTAR_EJECUCION'!$F$9:$F$1208,MATCH($AN1028,'2_IMPORTAR_EJECUCION'!$J$9:$J$1208,0)),0))</f>
        <v/>
      </c>
      <c r="AG1028" s="10">
        <f>IF($A1028="","",MAX(0,IFERROR(INDEX('2_IMPORTAR_EJECUCION'!$H$9:$H$1208,MATCH($AN1028,'2_IMPORTAR_EJECUCION'!$J$9:$J$1208,0)),0)-$AF1028))</f>
        <v/>
      </c>
      <c r="AH1028" s="10">
        <f>IF($A1028="","",$AF1028+$AG1028)</f>
        <v/>
      </c>
      <c r="AI1028" s="6" t="n"/>
      <c r="AJ1028" s="6" t="n"/>
      <c r="AK1028" s="6" t="n"/>
      <c r="AL1028" s="3">
        <f>IF($AK1028="","",HYPERLINK(p_ruta_base_checklists&amp;$AK1028,"abrir"))</f>
        <v/>
      </c>
      <c r="AM1028" s="6" t="n"/>
      <c r="AN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1" t="n"/>
      <c r="K1029" s="3" t="n"/>
      <c r="L1029" s="10" t="n"/>
      <c r="M1029" s="3">
        <f>IF($A1029="","",IFERROR(INDEX('AJUSTES'!$B$4:$B$303,MATCH($AN1029,'AJUSTES'!$A$4:$A$303,0)),IF($K1029="","",$K1029)))</f>
        <v/>
      </c>
      <c r="N1029" s="3">
        <f>IF($A1029="","",IFERROR(INDEX('CAT_ESTADOS_ERP'!$B$4:$B$7,MATCH(IFERROR(INDEX('2_IMPORTAR_EJECUCION'!$C$9:$C$1208,MATCH($AN1029,'2_IMPORTAR_EJECUCION'!$J$9:$J$1208,0)),""),'CAT_ESTADOS_ERP'!$A$4:$A$7,0)),"Pendiente"))</f>
        <v/>
      </c>
      <c r="O1029" s="3">
        <f>IF($J1029="","",YEAR($J1029+4-WEEKDAY($J1029,2))&amp;"-S"&amp;TEXT(_xlfn.ISOWEEKNUM($J1029),"00"))</f>
        <v/>
      </c>
      <c r="P1029" s="3">
        <f>IF($J1029="","",YEAR($J1029))</f>
        <v/>
      </c>
      <c r="Q1029" s="3">
        <f>IF($J1029="","",MONTH($J1029))</f>
        <v/>
      </c>
      <c r="R1029" s="3">
        <f>IF($J1029="","",INDEX(lista_dias,WEEKDAY($J1029,2)))</f>
        <v/>
      </c>
      <c r="S1029" s="3">
        <f>IF($I1029="","",IFERROR(INDEX('CAT_TIPOS_OT'!$C$4:$C$7,MATCH($I1029,'CAT_TIPOS_OT'!$A$4:$A$7,0)),"sin_clasificar"))</f>
        <v/>
      </c>
      <c r="T1029" s="3">
        <f>IF($F1029="","",IFERROR(INDEX('CAT_CENTROS_COSTO'!$E$4:$E$9,MATCH($F1029,'CAT_CENTROS_COSTO'!$A$4:$A$9,0)),"(sin catálogo)"))</f>
        <v/>
      </c>
      <c r="U1029" s="3">
        <f>IF($F1029="","",IFERROR(INDEX('CAT_CENTROS_COSTO'!$D$4:$D$9,MATCH($F1029,'CAT_CENTROS_COSTO'!$A$4:$A$9,0)),"(sin catálogo)"))</f>
        <v/>
      </c>
      <c r="V1029" s="3">
        <f>IF($F1029="","",IFERROR(INDEX('CAT_CENTROS_COSTO'!$F$4:$F$9,MATCH($F1029,'CAT_CENTROS_COSTO'!$A$4:$A$9,0)),"(sin catálogo)"))</f>
        <v/>
      </c>
      <c r="W1029" s="3">
        <f>IF($G1029="","",IFERROR(INDEX('CAT_PUESTOS'!$B$4:$B$8,MATCH($G1029,'CAT_PUESTOS'!$A$4:$A$8,0)),"(sin catálogo)"))</f>
        <v/>
      </c>
      <c r="X1029" s="3">
        <f>IF($H1029="","",IFERROR(INDEX('CAT_ACTIVIDADES'!$B$4:$B$8,MATCH($H1029,'CAT_ACTIVIDADES'!$A$4:$A$8,0)),"(sin catálogo)"))</f>
        <v/>
      </c>
      <c r="Y1029" s="12">
        <f>IF($J1029="","",TODAY()-$J1029)</f>
        <v/>
      </c>
      <c r="Z1029" s="3">
        <f>IF($Y1029="","",IF($Y1029&lt;0,"FUTURO",IF($Y1029&gt;p_dias_backlog_max,"BACKLOG","MES CORRIENTE")))</f>
        <v/>
      </c>
      <c r="AA1029" s="3">
        <f>IF($Y1029="",FALSE,AND($Y1029&gt;p_dias_backlog_min,$Y1029&lt;=p_dias_backlog_max))</f>
        <v/>
      </c>
      <c r="AB1029" s="6" t="n"/>
      <c r="AC1029" s="3">
        <f>IF($AB1029="","",IFERROR(INDEX('ASIGNACIONES'!$F$4:$F$339,MATCH($O1029&amp;"|"&amp;$R1029&amp;"|"&amp;$AB1029,'ASIGNACIONES'!$I$4:$I$339,0)),""))</f>
        <v/>
      </c>
      <c r="AD1029" s="13">
        <f>IF($AB1029="","",SUMIFS('ORDENES'!$M$4:$M$1203,'ORDENES'!$AB$4:$AB$1203,$AB1029,'ORDENES'!$O$4:$O$1203,$O1029,'ORDENES'!$R$4:$R$1203,$R1029))</f>
        <v/>
      </c>
      <c r="AE1029" s="13">
        <f>IF($AD1029="","",p_factor_productividad*IFERROR(INDEX('ASIGNACIONES'!$H$4:$H$339,MATCH($O1029&amp;"|"&amp;$R1029&amp;"|"&amp;$AB1029,'ASIGNACIONES'!$I$4:$I$339,0)),0)-$AD1029)</f>
        <v/>
      </c>
      <c r="AF1029" s="10">
        <f>IF($A1029="","",IFERROR(INDEX('2_IMPORTAR_EJECUCION'!$F$9:$F$1208,MATCH($AN1029,'2_IMPORTAR_EJECUCION'!$J$9:$J$1208,0)),0))</f>
        <v/>
      </c>
      <c r="AG1029" s="10">
        <f>IF($A1029="","",MAX(0,IFERROR(INDEX('2_IMPORTAR_EJECUCION'!$H$9:$H$1208,MATCH($AN1029,'2_IMPORTAR_EJECUCION'!$J$9:$J$1208,0)),0)-$AF1029))</f>
        <v/>
      </c>
      <c r="AH1029" s="10">
        <f>IF($A1029="","",$AF1029+$AG1029)</f>
        <v/>
      </c>
      <c r="AI1029" s="6" t="n"/>
      <c r="AJ1029" s="6" t="n"/>
      <c r="AK1029" s="6" t="n"/>
      <c r="AL1029" s="3">
        <f>IF($AK1029="","",HYPERLINK(p_ruta_base_checklists&amp;$AK1029,"abrir"))</f>
        <v/>
      </c>
      <c r="AM1029" s="6" t="n"/>
      <c r="AN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1" t="n"/>
      <c r="K1030" s="3" t="n"/>
      <c r="L1030" s="10" t="n"/>
      <c r="M1030" s="3">
        <f>IF($A1030="","",IFERROR(INDEX('AJUSTES'!$B$4:$B$303,MATCH($AN1030,'AJUSTES'!$A$4:$A$303,0)),IF($K1030="","",$K1030)))</f>
        <v/>
      </c>
      <c r="N1030" s="3">
        <f>IF($A1030="","",IFERROR(INDEX('CAT_ESTADOS_ERP'!$B$4:$B$7,MATCH(IFERROR(INDEX('2_IMPORTAR_EJECUCION'!$C$9:$C$1208,MATCH($AN1030,'2_IMPORTAR_EJECUCION'!$J$9:$J$1208,0)),""),'CAT_ESTADOS_ERP'!$A$4:$A$7,0)),"Pendiente"))</f>
        <v/>
      </c>
      <c r="O1030" s="3">
        <f>IF($J1030="","",YEAR($J1030+4-WEEKDAY($J1030,2))&amp;"-S"&amp;TEXT(_xlfn.ISOWEEKNUM($J1030),"00"))</f>
        <v/>
      </c>
      <c r="P1030" s="3">
        <f>IF($J1030="","",YEAR($J1030))</f>
        <v/>
      </c>
      <c r="Q1030" s="3">
        <f>IF($J1030="","",MONTH($J1030))</f>
        <v/>
      </c>
      <c r="R1030" s="3">
        <f>IF($J1030="","",INDEX(lista_dias,WEEKDAY($J1030,2)))</f>
        <v/>
      </c>
      <c r="S1030" s="3">
        <f>IF($I1030="","",IFERROR(INDEX('CAT_TIPOS_OT'!$C$4:$C$7,MATCH($I1030,'CAT_TIPOS_OT'!$A$4:$A$7,0)),"sin_clasificar"))</f>
        <v/>
      </c>
      <c r="T1030" s="3">
        <f>IF($F1030="","",IFERROR(INDEX('CAT_CENTROS_COSTO'!$E$4:$E$9,MATCH($F1030,'CAT_CENTROS_COSTO'!$A$4:$A$9,0)),"(sin catálogo)"))</f>
        <v/>
      </c>
      <c r="U1030" s="3">
        <f>IF($F1030="","",IFERROR(INDEX('CAT_CENTROS_COSTO'!$D$4:$D$9,MATCH($F1030,'CAT_CENTROS_COSTO'!$A$4:$A$9,0)),"(sin catálogo)"))</f>
        <v/>
      </c>
      <c r="V1030" s="3">
        <f>IF($F1030="","",IFERROR(INDEX('CAT_CENTROS_COSTO'!$F$4:$F$9,MATCH($F1030,'CAT_CENTROS_COSTO'!$A$4:$A$9,0)),"(sin catálogo)"))</f>
        <v/>
      </c>
      <c r="W1030" s="3">
        <f>IF($G1030="","",IFERROR(INDEX('CAT_PUESTOS'!$B$4:$B$8,MATCH($G1030,'CAT_PUESTOS'!$A$4:$A$8,0)),"(sin catálogo)"))</f>
        <v/>
      </c>
      <c r="X1030" s="3">
        <f>IF($H1030="","",IFERROR(INDEX('CAT_ACTIVIDADES'!$B$4:$B$8,MATCH($H1030,'CAT_ACTIVIDADES'!$A$4:$A$8,0)),"(sin catálogo)"))</f>
        <v/>
      </c>
      <c r="Y1030" s="12">
        <f>IF($J1030="","",TODAY()-$J1030)</f>
        <v/>
      </c>
      <c r="Z1030" s="3">
        <f>IF($Y1030="","",IF($Y1030&lt;0,"FUTURO",IF($Y1030&gt;p_dias_backlog_max,"BACKLOG","MES CORRIENTE")))</f>
        <v/>
      </c>
      <c r="AA1030" s="3">
        <f>IF($Y1030="",FALSE,AND($Y1030&gt;p_dias_backlog_min,$Y1030&lt;=p_dias_backlog_max))</f>
        <v/>
      </c>
      <c r="AB1030" s="6" t="n"/>
      <c r="AC1030" s="3">
        <f>IF($AB1030="","",IFERROR(INDEX('ASIGNACIONES'!$F$4:$F$339,MATCH($O1030&amp;"|"&amp;$R1030&amp;"|"&amp;$AB1030,'ASIGNACIONES'!$I$4:$I$339,0)),""))</f>
        <v/>
      </c>
      <c r="AD1030" s="13">
        <f>IF($AB1030="","",SUMIFS('ORDENES'!$M$4:$M$1203,'ORDENES'!$AB$4:$AB$1203,$AB1030,'ORDENES'!$O$4:$O$1203,$O1030,'ORDENES'!$R$4:$R$1203,$R1030))</f>
        <v/>
      </c>
      <c r="AE1030" s="13">
        <f>IF($AD1030="","",p_factor_productividad*IFERROR(INDEX('ASIGNACIONES'!$H$4:$H$339,MATCH($O1030&amp;"|"&amp;$R1030&amp;"|"&amp;$AB1030,'ASIGNACIONES'!$I$4:$I$339,0)),0)-$AD1030)</f>
        <v/>
      </c>
      <c r="AF1030" s="10">
        <f>IF($A1030="","",IFERROR(INDEX('2_IMPORTAR_EJECUCION'!$F$9:$F$1208,MATCH($AN1030,'2_IMPORTAR_EJECUCION'!$J$9:$J$1208,0)),0))</f>
        <v/>
      </c>
      <c r="AG1030" s="10">
        <f>IF($A1030="","",MAX(0,IFERROR(INDEX('2_IMPORTAR_EJECUCION'!$H$9:$H$1208,MATCH($AN1030,'2_IMPORTAR_EJECUCION'!$J$9:$J$1208,0)),0)-$AF1030))</f>
        <v/>
      </c>
      <c r="AH1030" s="10">
        <f>IF($A1030="","",$AF1030+$AG1030)</f>
        <v/>
      </c>
      <c r="AI1030" s="6" t="n"/>
      <c r="AJ1030" s="6" t="n"/>
      <c r="AK1030" s="6" t="n"/>
      <c r="AL1030" s="3">
        <f>IF($AK1030="","",HYPERLINK(p_ruta_base_checklists&amp;$AK1030,"abrir"))</f>
        <v/>
      </c>
      <c r="AM1030" s="6" t="n"/>
      <c r="AN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1" t="n"/>
      <c r="K1031" s="3" t="n"/>
      <c r="L1031" s="10" t="n"/>
      <c r="M1031" s="3">
        <f>IF($A1031="","",IFERROR(INDEX('AJUSTES'!$B$4:$B$303,MATCH($AN1031,'AJUSTES'!$A$4:$A$303,0)),IF($K1031="","",$K1031)))</f>
        <v/>
      </c>
      <c r="N1031" s="3">
        <f>IF($A1031="","",IFERROR(INDEX('CAT_ESTADOS_ERP'!$B$4:$B$7,MATCH(IFERROR(INDEX('2_IMPORTAR_EJECUCION'!$C$9:$C$1208,MATCH($AN1031,'2_IMPORTAR_EJECUCION'!$J$9:$J$1208,0)),""),'CAT_ESTADOS_ERP'!$A$4:$A$7,0)),"Pendiente"))</f>
        <v/>
      </c>
      <c r="O1031" s="3">
        <f>IF($J1031="","",YEAR($J1031+4-WEEKDAY($J1031,2))&amp;"-S"&amp;TEXT(_xlfn.ISOWEEKNUM($J1031),"00"))</f>
        <v/>
      </c>
      <c r="P1031" s="3">
        <f>IF($J1031="","",YEAR($J1031))</f>
        <v/>
      </c>
      <c r="Q1031" s="3">
        <f>IF($J1031="","",MONTH($J1031))</f>
        <v/>
      </c>
      <c r="R1031" s="3">
        <f>IF($J1031="","",INDEX(lista_dias,WEEKDAY($J1031,2)))</f>
        <v/>
      </c>
      <c r="S1031" s="3">
        <f>IF($I1031="","",IFERROR(INDEX('CAT_TIPOS_OT'!$C$4:$C$7,MATCH($I1031,'CAT_TIPOS_OT'!$A$4:$A$7,0)),"sin_clasificar"))</f>
        <v/>
      </c>
      <c r="T1031" s="3">
        <f>IF($F1031="","",IFERROR(INDEX('CAT_CENTROS_COSTO'!$E$4:$E$9,MATCH($F1031,'CAT_CENTROS_COSTO'!$A$4:$A$9,0)),"(sin catálogo)"))</f>
        <v/>
      </c>
      <c r="U1031" s="3">
        <f>IF($F1031="","",IFERROR(INDEX('CAT_CENTROS_COSTO'!$D$4:$D$9,MATCH($F1031,'CAT_CENTROS_COSTO'!$A$4:$A$9,0)),"(sin catálogo)"))</f>
        <v/>
      </c>
      <c r="V1031" s="3">
        <f>IF($F1031="","",IFERROR(INDEX('CAT_CENTROS_COSTO'!$F$4:$F$9,MATCH($F1031,'CAT_CENTROS_COSTO'!$A$4:$A$9,0)),"(sin catálogo)"))</f>
        <v/>
      </c>
      <c r="W1031" s="3">
        <f>IF($G1031="","",IFERROR(INDEX('CAT_PUESTOS'!$B$4:$B$8,MATCH($G1031,'CAT_PUESTOS'!$A$4:$A$8,0)),"(sin catálogo)"))</f>
        <v/>
      </c>
      <c r="X1031" s="3">
        <f>IF($H1031="","",IFERROR(INDEX('CAT_ACTIVIDADES'!$B$4:$B$8,MATCH($H1031,'CAT_ACTIVIDADES'!$A$4:$A$8,0)),"(sin catálogo)"))</f>
        <v/>
      </c>
      <c r="Y1031" s="12">
        <f>IF($J1031="","",TODAY()-$J1031)</f>
        <v/>
      </c>
      <c r="Z1031" s="3">
        <f>IF($Y1031="","",IF($Y1031&lt;0,"FUTURO",IF($Y1031&gt;p_dias_backlog_max,"BACKLOG","MES CORRIENTE")))</f>
        <v/>
      </c>
      <c r="AA1031" s="3">
        <f>IF($Y1031="",FALSE,AND($Y1031&gt;p_dias_backlog_min,$Y1031&lt;=p_dias_backlog_max))</f>
        <v/>
      </c>
      <c r="AB1031" s="6" t="n"/>
      <c r="AC1031" s="3">
        <f>IF($AB1031="","",IFERROR(INDEX('ASIGNACIONES'!$F$4:$F$339,MATCH($O1031&amp;"|"&amp;$R1031&amp;"|"&amp;$AB1031,'ASIGNACIONES'!$I$4:$I$339,0)),""))</f>
        <v/>
      </c>
      <c r="AD1031" s="13">
        <f>IF($AB1031="","",SUMIFS('ORDENES'!$M$4:$M$1203,'ORDENES'!$AB$4:$AB$1203,$AB1031,'ORDENES'!$O$4:$O$1203,$O1031,'ORDENES'!$R$4:$R$1203,$R1031))</f>
        <v/>
      </c>
      <c r="AE1031" s="13">
        <f>IF($AD1031="","",p_factor_productividad*IFERROR(INDEX('ASIGNACIONES'!$H$4:$H$339,MATCH($O1031&amp;"|"&amp;$R1031&amp;"|"&amp;$AB1031,'ASIGNACIONES'!$I$4:$I$339,0)),0)-$AD1031)</f>
        <v/>
      </c>
      <c r="AF1031" s="10">
        <f>IF($A1031="","",IFERROR(INDEX('2_IMPORTAR_EJECUCION'!$F$9:$F$1208,MATCH($AN1031,'2_IMPORTAR_EJECUCION'!$J$9:$J$1208,0)),0))</f>
        <v/>
      </c>
      <c r="AG1031" s="10">
        <f>IF($A1031="","",MAX(0,IFERROR(INDEX('2_IMPORTAR_EJECUCION'!$H$9:$H$1208,MATCH($AN1031,'2_IMPORTAR_EJECUCION'!$J$9:$J$1208,0)),0)-$AF1031))</f>
        <v/>
      </c>
      <c r="AH1031" s="10">
        <f>IF($A1031="","",$AF1031+$AG1031)</f>
        <v/>
      </c>
      <c r="AI1031" s="6" t="n"/>
      <c r="AJ1031" s="6" t="n"/>
      <c r="AK1031" s="6" t="n"/>
      <c r="AL1031" s="3">
        <f>IF($AK1031="","",HYPERLINK(p_ruta_base_checklists&amp;$AK1031,"abrir"))</f>
        <v/>
      </c>
      <c r="AM1031" s="6" t="n"/>
      <c r="AN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1" t="n"/>
      <c r="K1032" s="3" t="n"/>
      <c r="L1032" s="10" t="n"/>
      <c r="M1032" s="3">
        <f>IF($A1032="","",IFERROR(INDEX('AJUSTES'!$B$4:$B$303,MATCH($AN1032,'AJUSTES'!$A$4:$A$303,0)),IF($K1032="","",$K1032)))</f>
        <v/>
      </c>
      <c r="N1032" s="3">
        <f>IF($A1032="","",IFERROR(INDEX('CAT_ESTADOS_ERP'!$B$4:$B$7,MATCH(IFERROR(INDEX('2_IMPORTAR_EJECUCION'!$C$9:$C$1208,MATCH($AN1032,'2_IMPORTAR_EJECUCION'!$J$9:$J$1208,0)),""),'CAT_ESTADOS_ERP'!$A$4:$A$7,0)),"Pendiente"))</f>
        <v/>
      </c>
      <c r="O1032" s="3">
        <f>IF($J1032="","",YEAR($J1032+4-WEEKDAY($J1032,2))&amp;"-S"&amp;TEXT(_xlfn.ISOWEEKNUM($J1032),"00"))</f>
        <v/>
      </c>
      <c r="P1032" s="3">
        <f>IF($J1032="","",YEAR($J1032))</f>
        <v/>
      </c>
      <c r="Q1032" s="3">
        <f>IF($J1032="","",MONTH($J1032))</f>
        <v/>
      </c>
      <c r="R1032" s="3">
        <f>IF($J1032="","",INDEX(lista_dias,WEEKDAY($J1032,2)))</f>
        <v/>
      </c>
      <c r="S1032" s="3">
        <f>IF($I1032="","",IFERROR(INDEX('CAT_TIPOS_OT'!$C$4:$C$7,MATCH($I1032,'CAT_TIPOS_OT'!$A$4:$A$7,0)),"sin_clasificar"))</f>
        <v/>
      </c>
      <c r="T1032" s="3">
        <f>IF($F1032="","",IFERROR(INDEX('CAT_CENTROS_COSTO'!$E$4:$E$9,MATCH($F1032,'CAT_CENTROS_COSTO'!$A$4:$A$9,0)),"(sin catálogo)"))</f>
        <v/>
      </c>
      <c r="U1032" s="3">
        <f>IF($F1032="","",IFERROR(INDEX('CAT_CENTROS_COSTO'!$D$4:$D$9,MATCH($F1032,'CAT_CENTROS_COSTO'!$A$4:$A$9,0)),"(sin catálogo)"))</f>
        <v/>
      </c>
      <c r="V1032" s="3">
        <f>IF($F1032="","",IFERROR(INDEX('CAT_CENTROS_COSTO'!$F$4:$F$9,MATCH($F1032,'CAT_CENTROS_COSTO'!$A$4:$A$9,0)),"(sin catálogo)"))</f>
        <v/>
      </c>
      <c r="W1032" s="3">
        <f>IF($G1032="","",IFERROR(INDEX('CAT_PUESTOS'!$B$4:$B$8,MATCH($G1032,'CAT_PUESTOS'!$A$4:$A$8,0)),"(sin catálogo)"))</f>
        <v/>
      </c>
      <c r="X1032" s="3">
        <f>IF($H1032="","",IFERROR(INDEX('CAT_ACTIVIDADES'!$B$4:$B$8,MATCH($H1032,'CAT_ACTIVIDADES'!$A$4:$A$8,0)),"(sin catálogo)"))</f>
        <v/>
      </c>
      <c r="Y1032" s="12">
        <f>IF($J1032="","",TODAY()-$J1032)</f>
        <v/>
      </c>
      <c r="Z1032" s="3">
        <f>IF($Y1032="","",IF($Y1032&lt;0,"FUTURO",IF($Y1032&gt;p_dias_backlog_max,"BACKLOG","MES CORRIENTE")))</f>
        <v/>
      </c>
      <c r="AA1032" s="3">
        <f>IF($Y1032="",FALSE,AND($Y1032&gt;p_dias_backlog_min,$Y1032&lt;=p_dias_backlog_max))</f>
        <v/>
      </c>
      <c r="AB1032" s="6" t="n"/>
      <c r="AC1032" s="3">
        <f>IF($AB1032="","",IFERROR(INDEX('ASIGNACIONES'!$F$4:$F$339,MATCH($O1032&amp;"|"&amp;$R1032&amp;"|"&amp;$AB1032,'ASIGNACIONES'!$I$4:$I$339,0)),""))</f>
        <v/>
      </c>
      <c r="AD1032" s="13">
        <f>IF($AB1032="","",SUMIFS('ORDENES'!$M$4:$M$1203,'ORDENES'!$AB$4:$AB$1203,$AB1032,'ORDENES'!$O$4:$O$1203,$O1032,'ORDENES'!$R$4:$R$1203,$R1032))</f>
        <v/>
      </c>
      <c r="AE1032" s="13">
        <f>IF($AD1032="","",p_factor_productividad*IFERROR(INDEX('ASIGNACIONES'!$H$4:$H$339,MATCH($O1032&amp;"|"&amp;$R1032&amp;"|"&amp;$AB1032,'ASIGNACIONES'!$I$4:$I$339,0)),0)-$AD1032)</f>
        <v/>
      </c>
      <c r="AF1032" s="10">
        <f>IF($A1032="","",IFERROR(INDEX('2_IMPORTAR_EJECUCION'!$F$9:$F$1208,MATCH($AN1032,'2_IMPORTAR_EJECUCION'!$J$9:$J$1208,0)),0))</f>
        <v/>
      </c>
      <c r="AG1032" s="10">
        <f>IF($A1032="","",MAX(0,IFERROR(INDEX('2_IMPORTAR_EJECUCION'!$H$9:$H$1208,MATCH($AN1032,'2_IMPORTAR_EJECUCION'!$J$9:$J$1208,0)),0)-$AF1032))</f>
        <v/>
      </c>
      <c r="AH1032" s="10">
        <f>IF($A1032="","",$AF1032+$AG1032)</f>
        <v/>
      </c>
      <c r="AI1032" s="6" t="n"/>
      <c r="AJ1032" s="6" t="n"/>
      <c r="AK1032" s="6" t="n"/>
      <c r="AL1032" s="3">
        <f>IF($AK1032="","",HYPERLINK(p_ruta_base_checklists&amp;$AK1032,"abrir"))</f>
        <v/>
      </c>
      <c r="AM1032" s="6" t="n"/>
      <c r="AN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1" t="n"/>
      <c r="K1033" s="3" t="n"/>
      <c r="L1033" s="10" t="n"/>
      <c r="M1033" s="3">
        <f>IF($A1033="","",IFERROR(INDEX('AJUSTES'!$B$4:$B$303,MATCH($AN1033,'AJUSTES'!$A$4:$A$303,0)),IF($K1033="","",$K1033)))</f>
        <v/>
      </c>
      <c r="N1033" s="3">
        <f>IF($A1033="","",IFERROR(INDEX('CAT_ESTADOS_ERP'!$B$4:$B$7,MATCH(IFERROR(INDEX('2_IMPORTAR_EJECUCION'!$C$9:$C$1208,MATCH($AN1033,'2_IMPORTAR_EJECUCION'!$J$9:$J$1208,0)),""),'CAT_ESTADOS_ERP'!$A$4:$A$7,0)),"Pendiente"))</f>
        <v/>
      </c>
      <c r="O1033" s="3">
        <f>IF($J1033="","",YEAR($J1033+4-WEEKDAY($J1033,2))&amp;"-S"&amp;TEXT(_xlfn.ISOWEEKNUM($J1033),"00"))</f>
        <v/>
      </c>
      <c r="P1033" s="3">
        <f>IF($J1033="","",YEAR($J1033))</f>
        <v/>
      </c>
      <c r="Q1033" s="3">
        <f>IF($J1033="","",MONTH($J1033))</f>
        <v/>
      </c>
      <c r="R1033" s="3">
        <f>IF($J1033="","",INDEX(lista_dias,WEEKDAY($J1033,2)))</f>
        <v/>
      </c>
      <c r="S1033" s="3">
        <f>IF($I1033="","",IFERROR(INDEX('CAT_TIPOS_OT'!$C$4:$C$7,MATCH($I1033,'CAT_TIPOS_OT'!$A$4:$A$7,0)),"sin_clasificar"))</f>
        <v/>
      </c>
      <c r="T1033" s="3">
        <f>IF($F1033="","",IFERROR(INDEX('CAT_CENTROS_COSTO'!$E$4:$E$9,MATCH($F1033,'CAT_CENTROS_COSTO'!$A$4:$A$9,0)),"(sin catálogo)"))</f>
        <v/>
      </c>
      <c r="U1033" s="3">
        <f>IF($F1033="","",IFERROR(INDEX('CAT_CENTROS_COSTO'!$D$4:$D$9,MATCH($F1033,'CAT_CENTROS_COSTO'!$A$4:$A$9,0)),"(sin catálogo)"))</f>
        <v/>
      </c>
      <c r="V1033" s="3">
        <f>IF($F1033="","",IFERROR(INDEX('CAT_CENTROS_COSTO'!$F$4:$F$9,MATCH($F1033,'CAT_CENTROS_COSTO'!$A$4:$A$9,0)),"(sin catálogo)"))</f>
        <v/>
      </c>
      <c r="W1033" s="3">
        <f>IF($G1033="","",IFERROR(INDEX('CAT_PUESTOS'!$B$4:$B$8,MATCH($G1033,'CAT_PUESTOS'!$A$4:$A$8,0)),"(sin catálogo)"))</f>
        <v/>
      </c>
      <c r="X1033" s="3">
        <f>IF($H1033="","",IFERROR(INDEX('CAT_ACTIVIDADES'!$B$4:$B$8,MATCH($H1033,'CAT_ACTIVIDADES'!$A$4:$A$8,0)),"(sin catálogo)"))</f>
        <v/>
      </c>
      <c r="Y1033" s="12">
        <f>IF($J1033="","",TODAY()-$J1033)</f>
        <v/>
      </c>
      <c r="Z1033" s="3">
        <f>IF($Y1033="","",IF($Y1033&lt;0,"FUTURO",IF($Y1033&gt;p_dias_backlog_max,"BACKLOG","MES CORRIENTE")))</f>
        <v/>
      </c>
      <c r="AA1033" s="3">
        <f>IF($Y1033="",FALSE,AND($Y1033&gt;p_dias_backlog_min,$Y1033&lt;=p_dias_backlog_max))</f>
        <v/>
      </c>
      <c r="AB1033" s="6" t="n"/>
      <c r="AC1033" s="3">
        <f>IF($AB1033="","",IFERROR(INDEX('ASIGNACIONES'!$F$4:$F$339,MATCH($O1033&amp;"|"&amp;$R1033&amp;"|"&amp;$AB1033,'ASIGNACIONES'!$I$4:$I$339,0)),""))</f>
        <v/>
      </c>
      <c r="AD1033" s="13">
        <f>IF($AB1033="","",SUMIFS('ORDENES'!$M$4:$M$1203,'ORDENES'!$AB$4:$AB$1203,$AB1033,'ORDENES'!$O$4:$O$1203,$O1033,'ORDENES'!$R$4:$R$1203,$R1033))</f>
        <v/>
      </c>
      <c r="AE1033" s="13">
        <f>IF($AD1033="","",p_factor_productividad*IFERROR(INDEX('ASIGNACIONES'!$H$4:$H$339,MATCH($O1033&amp;"|"&amp;$R1033&amp;"|"&amp;$AB1033,'ASIGNACIONES'!$I$4:$I$339,0)),0)-$AD1033)</f>
        <v/>
      </c>
      <c r="AF1033" s="10">
        <f>IF($A1033="","",IFERROR(INDEX('2_IMPORTAR_EJECUCION'!$F$9:$F$1208,MATCH($AN1033,'2_IMPORTAR_EJECUCION'!$J$9:$J$1208,0)),0))</f>
        <v/>
      </c>
      <c r="AG1033" s="10">
        <f>IF($A1033="","",MAX(0,IFERROR(INDEX('2_IMPORTAR_EJECUCION'!$H$9:$H$1208,MATCH($AN1033,'2_IMPORTAR_EJECUCION'!$J$9:$J$1208,0)),0)-$AF1033))</f>
        <v/>
      </c>
      <c r="AH1033" s="10">
        <f>IF($A1033="","",$AF1033+$AG1033)</f>
        <v/>
      </c>
      <c r="AI1033" s="6" t="n"/>
      <c r="AJ1033" s="6" t="n"/>
      <c r="AK1033" s="6" t="n"/>
      <c r="AL1033" s="3">
        <f>IF($AK1033="","",HYPERLINK(p_ruta_base_checklists&amp;$AK1033,"abrir"))</f>
        <v/>
      </c>
      <c r="AM1033" s="6" t="n"/>
      <c r="AN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1" t="n"/>
      <c r="K1034" s="3" t="n"/>
      <c r="L1034" s="10" t="n"/>
      <c r="M1034" s="3">
        <f>IF($A1034="","",IFERROR(INDEX('AJUSTES'!$B$4:$B$303,MATCH($AN1034,'AJUSTES'!$A$4:$A$303,0)),IF($K1034="","",$K1034)))</f>
        <v/>
      </c>
      <c r="N1034" s="3">
        <f>IF($A1034="","",IFERROR(INDEX('CAT_ESTADOS_ERP'!$B$4:$B$7,MATCH(IFERROR(INDEX('2_IMPORTAR_EJECUCION'!$C$9:$C$1208,MATCH($AN1034,'2_IMPORTAR_EJECUCION'!$J$9:$J$1208,0)),""),'CAT_ESTADOS_ERP'!$A$4:$A$7,0)),"Pendiente"))</f>
        <v/>
      </c>
      <c r="O1034" s="3">
        <f>IF($J1034="","",YEAR($J1034+4-WEEKDAY($J1034,2))&amp;"-S"&amp;TEXT(_xlfn.ISOWEEKNUM($J1034),"00"))</f>
        <v/>
      </c>
      <c r="P1034" s="3">
        <f>IF($J1034="","",YEAR($J1034))</f>
        <v/>
      </c>
      <c r="Q1034" s="3">
        <f>IF($J1034="","",MONTH($J1034))</f>
        <v/>
      </c>
      <c r="R1034" s="3">
        <f>IF($J1034="","",INDEX(lista_dias,WEEKDAY($J1034,2)))</f>
        <v/>
      </c>
      <c r="S1034" s="3">
        <f>IF($I1034="","",IFERROR(INDEX('CAT_TIPOS_OT'!$C$4:$C$7,MATCH($I1034,'CAT_TIPOS_OT'!$A$4:$A$7,0)),"sin_clasificar"))</f>
        <v/>
      </c>
      <c r="T1034" s="3">
        <f>IF($F1034="","",IFERROR(INDEX('CAT_CENTROS_COSTO'!$E$4:$E$9,MATCH($F1034,'CAT_CENTROS_COSTO'!$A$4:$A$9,0)),"(sin catálogo)"))</f>
        <v/>
      </c>
      <c r="U1034" s="3">
        <f>IF($F1034="","",IFERROR(INDEX('CAT_CENTROS_COSTO'!$D$4:$D$9,MATCH($F1034,'CAT_CENTROS_COSTO'!$A$4:$A$9,0)),"(sin catálogo)"))</f>
        <v/>
      </c>
      <c r="V1034" s="3">
        <f>IF($F1034="","",IFERROR(INDEX('CAT_CENTROS_COSTO'!$F$4:$F$9,MATCH($F1034,'CAT_CENTROS_COSTO'!$A$4:$A$9,0)),"(sin catálogo)"))</f>
        <v/>
      </c>
      <c r="W1034" s="3">
        <f>IF($G1034="","",IFERROR(INDEX('CAT_PUESTOS'!$B$4:$B$8,MATCH($G1034,'CAT_PUESTOS'!$A$4:$A$8,0)),"(sin catálogo)"))</f>
        <v/>
      </c>
      <c r="X1034" s="3">
        <f>IF($H1034="","",IFERROR(INDEX('CAT_ACTIVIDADES'!$B$4:$B$8,MATCH($H1034,'CAT_ACTIVIDADES'!$A$4:$A$8,0)),"(sin catálogo)"))</f>
        <v/>
      </c>
      <c r="Y1034" s="12">
        <f>IF($J1034="","",TODAY()-$J1034)</f>
        <v/>
      </c>
      <c r="Z1034" s="3">
        <f>IF($Y1034="","",IF($Y1034&lt;0,"FUTURO",IF($Y1034&gt;p_dias_backlog_max,"BACKLOG","MES CORRIENTE")))</f>
        <v/>
      </c>
      <c r="AA1034" s="3">
        <f>IF($Y1034="",FALSE,AND($Y1034&gt;p_dias_backlog_min,$Y1034&lt;=p_dias_backlog_max))</f>
        <v/>
      </c>
      <c r="AB1034" s="6" t="n"/>
      <c r="AC1034" s="3">
        <f>IF($AB1034="","",IFERROR(INDEX('ASIGNACIONES'!$F$4:$F$339,MATCH($O1034&amp;"|"&amp;$R1034&amp;"|"&amp;$AB1034,'ASIGNACIONES'!$I$4:$I$339,0)),""))</f>
        <v/>
      </c>
      <c r="AD1034" s="13">
        <f>IF($AB1034="","",SUMIFS('ORDENES'!$M$4:$M$1203,'ORDENES'!$AB$4:$AB$1203,$AB1034,'ORDENES'!$O$4:$O$1203,$O1034,'ORDENES'!$R$4:$R$1203,$R1034))</f>
        <v/>
      </c>
      <c r="AE1034" s="13">
        <f>IF($AD1034="","",p_factor_productividad*IFERROR(INDEX('ASIGNACIONES'!$H$4:$H$339,MATCH($O1034&amp;"|"&amp;$R1034&amp;"|"&amp;$AB1034,'ASIGNACIONES'!$I$4:$I$339,0)),0)-$AD1034)</f>
        <v/>
      </c>
      <c r="AF1034" s="10">
        <f>IF($A1034="","",IFERROR(INDEX('2_IMPORTAR_EJECUCION'!$F$9:$F$1208,MATCH($AN1034,'2_IMPORTAR_EJECUCION'!$J$9:$J$1208,0)),0))</f>
        <v/>
      </c>
      <c r="AG1034" s="10">
        <f>IF($A1034="","",MAX(0,IFERROR(INDEX('2_IMPORTAR_EJECUCION'!$H$9:$H$1208,MATCH($AN1034,'2_IMPORTAR_EJECUCION'!$J$9:$J$1208,0)),0)-$AF1034))</f>
        <v/>
      </c>
      <c r="AH1034" s="10">
        <f>IF($A1034="","",$AF1034+$AG1034)</f>
        <v/>
      </c>
      <c r="AI1034" s="6" t="n"/>
      <c r="AJ1034" s="6" t="n"/>
      <c r="AK1034" s="6" t="n"/>
      <c r="AL1034" s="3">
        <f>IF($AK1034="","",HYPERLINK(p_ruta_base_checklists&amp;$AK1034,"abrir"))</f>
        <v/>
      </c>
      <c r="AM1034" s="6" t="n"/>
      <c r="AN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1" t="n"/>
      <c r="K1035" s="3" t="n"/>
      <c r="L1035" s="10" t="n"/>
      <c r="M1035" s="3">
        <f>IF($A1035="","",IFERROR(INDEX('AJUSTES'!$B$4:$B$303,MATCH($AN1035,'AJUSTES'!$A$4:$A$303,0)),IF($K1035="","",$K1035)))</f>
        <v/>
      </c>
      <c r="N1035" s="3">
        <f>IF($A1035="","",IFERROR(INDEX('CAT_ESTADOS_ERP'!$B$4:$B$7,MATCH(IFERROR(INDEX('2_IMPORTAR_EJECUCION'!$C$9:$C$1208,MATCH($AN1035,'2_IMPORTAR_EJECUCION'!$J$9:$J$1208,0)),""),'CAT_ESTADOS_ERP'!$A$4:$A$7,0)),"Pendiente"))</f>
        <v/>
      </c>
      <c r="O1035" s="3">
        <f>IF($J1035="","",YEAR($J1035+4-WEEKDAY($J1035,2))&amp;"-S"&amp;TEXT(_xlfn.ISOWEEKNUM($J1035),"00"))</f>
        <v/>
      </c>
      <c r="P1035" s="3">
        <f>IF($J1035="","",YEAR($J1035))</f>
        <v/>
      </c>
      <c r="Q1035" s="3">
        <f>IF($J1035="","",MONTH($J1035))</f>
        <v/>
      </c>
      <c r="R1035" s="3">
        <f>IF($J1035="","",INDEX(lista_dias,WEEKDAY($J1035,2)))</f>
        <v/>
      </c>
      <c r="S1035" s="3">
        <f>IF($I1035="","",IFERROR(INDEX('CAT_TIPOS_OT'!$C$4:$C$7,MATCH($I1035,'CAT_TIPOS_OT'!$A$4:$A$7,0)),"sin_clasificar"))</f>
        <v/>
      </c>
      <c r="T1035" s="3">
        <f>IF($F1035="","",IFERROR(INDEX('CAT_CENTROS_COSTO'!$E$4:$E$9,MATCH($F1035,'CAT_CENTROS_COSTO'!$A$4:$A$9,0)),"(sin catálogo)"))</f>
        <v/>
      </c>
      <c r="U1035" s="3">
        <f>IF($F1035="","",IFERROR(INDEX('CAT_CENTROS_COSTO'!$D$4:$D$9,MATCH($F1035,'CAT_CENTROS_COSTO'!$A$4:$A$9,0)),"(sin catálogo)"))</f>
        <v/>
      </c>
      <c r="V1035" s="3">
        <f>IF($F1035="","",IFERROR(INDEX('CAT_CENTROS_COSTO'!$F$4:$F$9,MATCH($F1035,'CAT_CENTROS_COSTO'!$A$4:$A$9,0)),"(sin catálogo)"))</f>
        <v/>
      </c>
      <c r="W1035" s="3">
        <f>IF($G1035="","",IFERROR(INDEX('CAT_PUESTOS'!$B$4:$B$8,MATCH($G1035,'CAT_PUESTOS'!$A$4:$A$8,0)),"(sin catálogo)"))</f>
        <v/>
      </c>
      <c r="X1035" s="3">
        <f>IF($H1035="","",IFERROR(INDEX('CAT_ACTIVIDADES'!$B$4:$B$8,MATCH($H1035,'CAT_ACTIVIDADES'!$A$4:$A$8,0)),"(sin catálogo)"))</f>
        <v/>
      </c>
      <c r="Y1035" s="12">
        <f>IF($J1035="","",TODAY()-$J1035)</f>
        <v/>
      </c>
      <c r="Z1035" s="3">
        <f>IF($Y1035="","",IF($Y1035&lt;0,"FUTURO",IF($Y1035&gt;p_dias_backlog_max,"BACKLOG","MES CORRIENTE")))</f>
        <v/>
      </c>
      <c r="AA1035" s="3">
        <f>IF($Y1035="",FALSE,AND($Y1035&gt;p_dias_backlog_min,$Y1035&lt;=p_dias_backlog_max))</f>
        <v/>
      </c>
      <c r="AB1035" s="6" t="n"/>
      <c r="AC1035" s="3">
        <f>IF($AB1035="","",IFERROR(INDEX('ASIGNACIONES'!$F$4:$F$339,MATCH($O1035&amp;"|"&amp;$R1035&amp;"|"&amp;$AB1035,'ASIGNACIONES'!$I$4:$I$339,0)),""))</f>
        <v/>
      </c>
      <c r="AD1035" s="13">
        <f>IF($AB1035="","",SUMIFS('ORDENES'!$M$4:$M$1203,'ORDENES'!$AB$4:$AB$1203,$AB1035,'ORDENES'!$O$4:$O$1203,$O1035,'ORDENES'!$R$4:$R$1203,$R1035))</f>
        <v/>
      </c>
      <c r="AE1035" s="13">
        <f>IF($AD1035="","",p_factor_productividad*IFERROR(INDEX('ASIGNACIONES'!$H$4:$H$339,MATCH($O1035&amp;"|"&amp;$R1035&amp;"|"&amp;$AB1035,'ASIGNACIONES'!$I$4:$I$339,0)),0)-$AD1035)</f>
        <v/>
      </c>
      <c r="AF1035" s="10">
        <f>IF($A1035="","",IFERROR(INDEX('2_IMPORTAR_EJECUCION'!$F$9:$F$1208,MATCH($AN1035,'2_IMPORTAR_EJECUCION'!$J$9:$J$1208,0)),0))</f>
        <v/>
      </c>
      <c r="AG1035" s="10">
        <f>IF($A1035="","",MAX(0,IFERROR(INDEX('2_IMPORTAR_EJECUCION'!$H$9:$H$1208,MATCH($AN1035,'2_IMPORTAR_EJECUCION'!$J$9:$J$1208,0)),0)-$AF1035))</f>
        <v/>
      </c>
      <c r="AH1035" s="10">
        <f>IF($A1035="","",$AF1035+$AG1035)</f>
        <v/>
      </c>
      <c r="AI1035" s="6" t="n"/>
      <c r="AJ1035" s="6" t="n"/>
      <c r="AK1035" s="6" t="n"/>
      <c r="AL1035" s="3">
        <f>IF($AK1035="","",HYPERLINK(p_ruta_base_checklists&amp;$AK1035,"abrir"))</f>
        <v/>
      </c>
      <c r="AM1035" s="6" t="n"/>
      <c r="AN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1" t="n"/>
      <c r="K1036" s="3" t="n"/>
      <c r="L1036" s="10" t="n"/>
      <c r="M1036" s="3">
        <f>IF($A1036="","",IFERROR(INDEX('AJUSTES'!$B$4:$B$303,MATCH($AN1036,'AJUSTES'!$A$4:$A$303,0)),IF($K1036="","",$K1036)))</f>
        <v/>
      </c>
      <c r="N1036" s="3">
        <f>IF($A1036="","",IFERROR(INDEX('CAT_ESTADOS_ERP'!$B$4:$B$7,MATCH(IFERROR(INDEX('2_IMPORTAR_EJECUCION'!$C$9:$C$1208,MATCH($AN1036,'2_IMPORTAR_EJECUCION'!$J$9:$J$1208,0)),""),'CAT_ESTADOS_ERP'!$A$4:$A$7,0)),"Pendiente"))</f>
        <v/>
      </c>
      <c r="O1036" s="3">
        <f>IF($J1036="","",YEAR($J1036+4-WEEKDAY($J1036,2))&amp;"-S"&amp;TEXT(_xlfn.ISOWEEKNUM($J1036),"00"))</f>
        <v/>
      </c>
      <c r="P1036" s="3">
        <f>IF($J1036="","",YEAR($J1036))</f>
        <v/>
      </c>
      <c r="Q1036" s="3">
        <f>IF($J1036="","",MONTH($J1036))</f>
        <v/>
      </c>
      <c r="R1036" s="3">
        <f>IF($J1036="","",INDEX(lista_dias,WEEKDAY($J1036,2)))</f>
        <v/>
      </c>
      <c r="S1036" s="3">
        <f>IF($I1036="","",IFERROR(INDEX('CAT_TIPOS_OT'!$C$4:$C$7,MATCH($I1036,'CAT_TIPOS_OT'!$A$4:$A$7,0)),"sin_clasificar"))</f>
        <v/>
      </c>
      <c r="T1036" s="3">
        <f>IF($F1036="","",IFERROR(INDEX('CAT_CENTROS_COSTO'!$E$4:$E$9,MATCH($F1036,'CAT_CENTROS_COSTO'!$A$4:$A$9,0)),"(sin catálogo)"))</f>
        <v/>
      </c>
      <c r="U1036" s="3">
        <f>IF($F1036="","",IFERROR(INDEX('CAT_CENTROS_COSTO'!$D$4:$D$9,MATCH($F1036,'CAT_CENTROS_COSTO'!$A$4:$A$9,0)),"(sin catálogo)"))</f>
        <v/>
      </c>
      <c r="V1036" s="3">
        <f>IF($F1036="","",IFERROR(INDEX('CAT_CENTROS_COSTO'!$F$4:$F$9,MATCH($F1036,'CAT_CENTROS_COSTO'!$A$4:$A$9,0)),"(sin catálogo)"))</f>
        <v/>
      </c>
      <c r="W1036" s="3">
        <f>IF($G1036="","",IFERROR(INDEX('CAT_PUESTOS'!$B$4:$B$8,MATCH($G1036,'CAT_PUESTOS'!$A$4:$A$8,0)),"(sin catálogo)"))</f>
        <v/>
      </c>
      <c r="X1036" s="3">
        <f>IF($H1036="","",IFERROR(INDEX('CAT_ACTIVIDADES'!$B$4:$B$8,MATCH($H1036,'CAT_ACTIVIDADES'!$A$4:$A$8,0)),"(sin catálogo)"))</f>
        <v/>
      </c>
      <c r="Y1036" s="12">
        <f>IF($J1036="","",TODAY()-$J1036)</f>
        <v/>
      </c>
      <c r="Z1036" s="3">
        <f>IF($Y1036="","",IF($Y1036&lt;0,"FUTURO",IF($Y1036&gt;p_dias_backlog_max,"BACKLOG","MES CORRIENTE")))</f>
        <v/>
      </c>
      <c r="AA1036" s="3">
        <f>IF($Y1036="",FALSE,AND($Y1036&gt;p_dias_backlog_min,$Y1036&lt;=p_dias_backlog_max))</f>
        <v/>
      </c>
      <c r="AB1036" s="6" t="n"/>
      <c r="AC1036" s="3">
        <f>IF($AB1036="","",IFERROR(INDEX('ASIGNACIONES'!$F$4:$F$339,MATCH($O1036&amp;"|"&amp;$R1036&amp;"|"&amp;$AB1036,'ASIGNACIONES'!$I$4:$I$339,0)),""))</f>
        <v/>
      </c>
      <c r="AD1036" s="13">
        <f>IF($AB1036="","",SUMIFS('ORDENES'!$M$4:$M$1203,'ORDENES'!$AB$4:$AB$1203,$AB1036,'ORDENES'!$O$4:$O$1203,$O1036,'ORDENES'!$R$4:$R$1203,$R1036))</f>
        <v/>
      </c>
      <c r="AE1036" s="13">
        <f>IF($AD1036="","",p_factor_productividad*IFERROR(INDEX('ASIGNACIONES'!$H$4:$H$339,MATCH($O1036&amp;"|"&amp;$R1036&amp;"|"&amp;$AB1036,'ASIGNACIONES'!$I$4:$I$339,0)),0)-$AD1036)</f>
        <v/>
      </c>
      <c r="AF1036" s="10">
        <f>IF($A1036="","",IFERROR(INDEX('2_IMPORTAR_EJECUCION'!$F$9:$F$1208,MATCH($AN1036,'2_IMPORTAR_EJECUCION'!$J$9:$J$1208,0)),0))</f>
        <v/>
      </c>
      <c r="AG1036" s="10">
        <f>IF($A1036="","",MAX(0,IFERROR(INDEX('2_IMPORTAR_EJECUCION'!$H$9:$H$1208,MATCH($AN1036,'2_IMPORTAR_EJECUCION'!$J$9:$J$1208,0)),0)-$AF1036))</f>
        <v/>
      </c>
      <c r="AH1036" s="10">
        <f>IF($A1036="","",$AF1036+$AG1036)</f>
        <v/>
      </c>
      <c r="AI1036" s="6" t="n"/>
      <c r="AJ1036" s="6" t="n"/>
      <c r="AK1036" s="6" t="n"/>
      <c r="AL1036" s="3">
        <f>IF($AK1036="","",HYPERLINK(p_ruta_base_checklists&amp;$AK1036,"abrir"))</f>
        <v/>
      </c>
      <c r="AM1036" s="6" t="n"/>
      <c r="AN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1" t="n"/>
      <c r="K1037" s="3" t="n"/>
      <c r="L1037" s="10" t="n"/>
      <c r="M1037" s="3">
        <f>IF($A1037="","",IFERROR(INDEX('AJUSTES'!$B$4:$B$303,MATCH($AN1037,'AJUSTES'!$A$4:$A$303,0)),IF($K1037="","",$K1037)))</f>
        <v/>
      </c>
      <c r="N1037" s="3">
        <f>IF($A1037="","",IFERROR(INDEX('CAT_ESTADOS_ERP'!$B$4:$B$7,MATCH(IFERROR(INDEX('2_IMPORTAR_EJECUCION'!$C$9:$C$1208,MATCH($AN1037,'2_IMPORTAR_EJECUCION'!$J$9:$J$1208,0)),""),'CAT_ESTADOS_ERP'!$A$4:$A$7,0)),"Pendiente"))</f>
        <v/>
      </c>
      <c r="O1037" s="3">
        <f>IF($J1037="","",YEAR($J1037+4-WEEKDAY($J1037,2))&amp;"-S"&amp;TEXT(_xlfn.ISOWEEKNUM($J1037),"00"))</f>
        <v/>
      </c>
      <c r="P1037" s="3">
        <f>IF($J1037="","",YEAR($J1037))</f>
        <v/>
      </c>
      <c r="Q1037" s="3">
        <f>IF($J1037="","",MONTH($J1037))</f>
        <v/>
      </c>
      <c r="R1037" s="3">
        <f>IF($J1037="","",INDEX(lista_dias,WEEKDAY($J1037,2)))</f>
        <v/>
      </c>
      <c r="S1037" s="3">
        <f>IF($I1037="","",IFERROR(INDEX('CAT_TIPOS_OT'!$C$4:$C$7,MATCH($I1037,'CAT_TIPOS_OT'!$A$4:$A$7,0)),"sin_clasificar"))</f>
        <v/>
      </c>
      <c r="T1037" s="3">
        <f>IF($F1037="","",IFERROR(INDEX('CAT_CENTROS_COSTO'!$E$4:$E$9,MATCH($F1037,'CAT_CENTROS_COSTO'!$A$4:$A$9,0)),"(sin catálogo)"))</f>
        <v/>
      </c>
      <c r="U1037" s="3">
        <f>IF($F1037="","",IFERROR(INDEX('CAT_CENTROS_COSTO'!$D$4:$D$9,MATCH($F1037,'CAT_CENTROS_COSTO'!$A$4:$A$9,0)),"(sin catálogo)"))</f>
        <v/>
      </c>
      <c r="V1037" s="3">
        <f>IF($F1037="","",IFERROR(INDEX('CAT_CENTROS_COSTO'!$F$4:$F$9,MATCH($F1037,'CAT_CENTROS_COSTO'!$A$4:$A$9,0)),"(sin catálogo)"))</f>
        <v/>
      </c>
      <c r="W1037" s="3">
        <f>IF($G1037="","",IFERROR(INDEX('CAT_PUESTOS'!$B$4:$B$8,MATCH($G1037,'CAT_PUESTOS'!$A$4:$A$8,0)),"(sin catálogo)"))</f>
        <v/>
      </c>
      <c r="X1037" s="3">
        <f>IF($H1037="","",IFERROR(INDEX('CAT_ACTIVIDADES'!$B$4:$B$8,MATCH($H1037,'CAT_ACTIVIDADES'!$A$4:$A$8,0)),"(sin catálogo)"))</f>
        <v/>
      </c>
      <c r="Y1037" s="12">
        <f>IF($J1037="","",TODAY()-$J1037)</f>
        <v/>
      </c>
      <c r="Z1037" s="3">
        <f>IF($Y1037="","",IF($Y1037&lt;0,"FUTURO",IF($Y1037&gt;p_dias_backlog_max,"BACKLOG","MES CORRIENTE")))</f>
        <v/>
      </c>
      <c r="AA1037" s="3">
        <f>IF($Y1037="",FALSE,AND($Y1037&gt;p_dias_backlog_min,$Y1037&lt;=p_dias_backlog_max))</f>
        <v/>
      </c>
      <c r="AB1037" s="6" t="n"/>
      <c r="AC1037" s="3">
        <f>IF($AB1037="","",IFERROR(INDEX('ASIGNACIONES'!$F$4:$F$339,MATCH($O1037&amp;"|"&amp;$R1037&amp;"|"&amp;$AB1037,'ASIGNACIONES'!$I$4:$I$339,0)),""))</f>
        <v/>
      </c>
      <c r="AD1037" s="13">
        <f>IF($AB1037="","",SUMIFS('ORDENES'!$M$4:$M$1203,'ORDENES'!$AB$4:$AB$1203,$AB1037,'ORDENES'!$O$4:$O$1203,$O1037,'ORDENES'!$R$4:$R$1203,$R1037))</f>
        <v/>
      </c>
      <c r="AE1037" s="13">
        <f>IF($AD1037="","",p_factor_productividad*IFERROR(INDEX('ASIGNACIONES'!$H$4:$H$339,MATCH($O1037&amp;"|"&amp;$R1037&amp;"|"&amp;$AB1037,'ASIGNACIONES'!$I$4:$I$339,0)),0)-$AD1037)</f>
        <v/>
      </c>
      <c r="AF1037" s="10">
        <f>IF($A1037="","",IFERROR(INDEX('2_IMPORTAR_EJECUCION'!$F$9:$F$1208,MATCH($AN1037,'2_IMPORTAR_EJECUCION'!$J$9:$J$1208,0)),0))</f>
        <v/>
      </c>
      <c r="AG1037" s="10">
        <f>IF($A1037="","",MAX(0,IFERROR(INDEX('2_IMPORTAR_EJECUCION'!$H$9:$H$1208,MATCH($AN1037,'2_IMPORTAR_EJECUCION'!$J$9:$J$1208,0)),0)-$AF1037))</f>
        <v/>
      </c>
      <c r="AH1037" s="10">
        <f>IF($A1037="","",$AF1037+$AG1037)</f>
        <v/>
      </c>
      <c r="AI1037" s="6" t="n"/>
      <c r="AJ1037" s="6" t="n"/>
      <c r="AK1037" s="6" t="n"/>
      <c r="AL1037" s="3">
        <f>IF($AK1037="","",HYPERLINK(p_ruta_base_checklists&amp;$AK1037,"abrir"))</f>
        <v/>
      </c>
      <c r="AM1037" s="6" t="n"/>
      <c r="AN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1" t="n"/>
      <c r="K1038" s="3" t="n"/>
      <c r="L1038" s="10" t="n"/>
      <c r="M1038" s="3">
        <f>IF($A1038="","",IFERROR(INDEX('AJUSTES'!$B$4:$B$303,MATCH($AN1038,'AJUSTES'!$A$4:$A$303,0)),IF($K1038="","",$K1038)))</f>
        <v/>
      </c>
      <c r="N1038" s="3">
        <f>IF($A1038="","",IFERROR(INDEX('CAT_ESTADOS_ERP'!$B$4:$B$7,MATCH(IFERROR(INDEX('2_IMPORTAR_EJECUCION'!$C$9:$C$1208,MATCH($AN1038,'2_IMPORTAR_EJECUCION'!$J$9:$J$1208,0)),""),'CAT_ESTADOS_ERP'!$A$4:$A$7,0)),"Pendiente"))</f>
        <v/>
      </c>
      <c r="O1038" s="3">
        <f>IF($J1038="","",YEAR($J1038+4-WEEKDAY($J1038,2))&amp;"-S"&amp;TEXT(_xlfn.ISOWEEKNUM($J1038),"00"))</f>
        <v/>
      </c>
      <c r="P1038" s="3">
        <f>IF($J1038="","",YEAR($J1038))</f>
        <v/>
      </c>
      <c r="Q1038" s="3">
        <f>IF($J1038="","",MONTH($J1038))</f>
        <v/>
      </c>
      <c r="R1038" s="3">
        <f>IF($J1038="","",INDEX(lista_dias,WEEKDAY($J1038,2)))</f>
        <v/>
      </c>
      <c r="S1038" s="3">
        <f>IF($I1038="","",IFERROR(INDEX('CAT_TIPOS_OT'!$C$4:$C$7,MATCH($I1038,'CAT_TIPOS_OT'!$A$4:$A$7,0)),"sin_clasificar"))</f>
        <v/>
      </c>
      <c r="T1038" s="3">
        <f>IF($F1038="","",IFERROR(INDEX('CAT_CENTROS_COSTO'!$E$4:$E$9,MATCH($F1038,'CAT_CENTROS_COSTO'!$A$4:$A$9,0)),"(sin catálogo)"))</f>
        <v/>
      </c>
      <c r="U1038" s="3">
        <f>IF($F1038="","",IFERROR(INDEX('CAT_CENTROS_COSTO'!$D$4:$D$9,MATCH($F1038,'CAT_CENTROS_COSTO'!$A$4:$A$9,0)),"(sin catálogo)"))</f>
        <v/>
      </c>
      <c r="V1038" s="3">
        <f>IF($F1038="","",IFERROR(INDEX('CAT_CENTROS_COSTO'!$F$4:$F$9,MATCH($F1038,'CAT_CENTROS_COSTO'!$A$4:$A$9,0)),"(sin catálogo)"))</f>
        <v/>
      </c>
      <c r="W1038" s="3">
        <f>IF($G1038="","",IFERROR(INDEX('CAT_PUESTOS'!$B$4:$B$8,MATCH($G1038,'CAT_PUESTOS'!$A$4:$A$8,0)),"(sin catálogo)"))</f>
        <v/>
      </c>
      <c r="X1038" s="3">
        <f>IF($H1038="","",IFERROR(INDEX('CAT_ACTIVIDADES'!$B$4:$B$8,MATCH($H1038,'CAT_ACTIVIDADES'!$A$4:$A$8,0)),"(sin catálogo)"))</f>
        <v/>
      </c>
      <c r="Y1038" s="12">
        <f>IF($J1038="","",TODAY()-$J1038)</f>
        <v/>
      </c>
      <c r="Z1038" s="3">
        <f>IF($Y1038="","",IF($Y1038&lt;0,"FUTURO",IF($Y1038&gt;p_dias_backlog_max,"BACKLOG","MES CORRIENTE")))</f>
        <v/>
      </c>
      <c r="AA1038" s="3">
        <f>IF($Y1038="",FALSE,AND($Y1038&gt;p_dias_backlog_min,$Y1038&lt;=p_dias_backlog_max))</f>
        <v/>
      </c>
      <c r="AB1038" s="6" t="n"/>
      <c r="AC1038" s="3">
        <f>IF($AB1038="","",IFERROR(INDEX('ASIGNACIONES'!$F$4:$F$339,MATCH($O1038&amp;"|"&amp;$R1038&amp;"|"&amp;$AB1038,'ASIGNACIONES'!$I$4:$I$339,0)),""))</f>
        <v/>
      </c>
      <c r="AD1038" s="13">
        <f>IF($AB1038="","",SUMIFS('ORDENES'!$M$4:$M$1203,'ORDENES'!$AB$4:$AB$1203,$AB1038,'ORDENES'!$O$4:$O$1203,$O1038,'ORDENES'!$R$4:$R$1203,$R1038))</f>
        <v/>
      </c>
      <c r="AE1038" s="13">
        <f>IF($AD1038="","",p_factor_productividad*IFERROR(INDEX('ASIGNACIONES'!$H$4:$H$339,MATCH($O1038&amp;"|"&amp;$R1038&amp;"|"&amp;$AB1038,'ASIGNACIONES'!$I$4:$I$339,0)),0)-$AD1038)</f>
        <v/>
      </c>
      <c r="AF1038" s="10">
        <f>IF($A1038="","",IFERROR(INDEX('2_IMPORTAR_EJECUCION'!$F$9:$F$1208,MATCH($AN1038,'2_IMPORTAR_EJECUCION'!$J$9:$J$1208,0)),0))</f>
        <v/>
      </c>
      <c r="AG1038" s="10">
        <f>IF($A1038="","",MAX(0,IFERROR(INDEX('2_IMPORTAR_EJECUCION'!$H$9:$H$1208,MATCH($AN1038,'2_IMPORTAR_EJECUCION'!$J$9:$J$1208,0)),0)-$AF1038))</f>
        <v/>
      </c>
      <c r="AH1038" s="10">
        <f>IF($A1038="","",$AF1038+$AG1038)</f>
        <v/>
      </c>
      <c r="AI1038" s="6" t="n"/>
      <c r="AJ1038" s="6" t="n"/>
      <c r="AK1038" s="6" t="n"/>
      <c r="AL1038" s="3">
        <f>IF($AK1038="","",HYPERLINK(p_ruta_base_checklists&amp;$AK1038,"abrir"))</f>
        <v/>
      </c>
      <c r="AM1038" s="6" t="n"/>
      <c r="AN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1" t="n"/>
      <c r="K1039" s="3" t="n"/>
      <c r="L1039" s="10" t="n"/>
      <c r="M1039" s="3">
        <f>IF($A1039="","",IFERROR(INDEX('AJUSTES'!$B$4:$B$303,MATCH($AN1039,'AJUSTES'!$A$4:$A$303,0)),IF($K1039="","",$K1039)))</f>
        <v/>
      </c>
      <c r="N1039" s="3">
        <f>IF($A1039="","",IFERROR(INDEX('CAT_ESTADOS_ERP'!$B$4:$B$7,MATCH(IFERROR(INDEX('2_IMPORTAR_EJECUCION'!$C$9:$C$1208,MATCH($AN1039,'2_IMPORTAR_EJECUCION'!$J$9:$J$1208,0)),""),'CAT_ESTADOS_ERP'!$A$4:$A$7,0)),"Pendiente"))</f>
        <v/>
      </c>
      <c r="O1039" s="3">
        <f>IF($J1039="","",YEAR($J1039+4-WEEKDAY($J1039,2))&amp;"-S"&amp;TEXT(_xlfn.ISOWEEKNUM($J1039),"00"))</f>
        <v/>
      </c>
      <c r="P1039" s="3">
        <f>IF($J1039="","",YEAR($J1039))</f>
        <v/>
      </c>
      <c r="Q1039" s="3">
        <f>IF($J1039="","",MONTH($J1039))</f>
        <v/>
      </c>
      <c r="R1039" s="3">
        <f>IF($J1039="","",INDEX(lista_dias,WEEKDAY($J1039,2)))</f>
        <v/>
      </c>
      <c r="S1039" s="3">
        <f>IF($I1039="","",IFERROR(INDEX('CAT_TIPOS_OT'!$C$4:$C$7,MATCH($I1039,'CAT_TIPOS_OT'!$A$4:$A$7,0)),"sin_clasificar"))</f>
        <v/>
      </c>
      <c r="T1039" s="3">
        <f>IF($F1039="","",IFERROR(INDEX('CAT_CENTROS_COSTO'!$E$4:$E$9,MATCH($F1039,'CAT_CENTROS_COSTO'!$A$4:$A$9,0)),"(sin catálogo)"))</f>
        <v/>
      </c>
      <c r="U1039" s="3">
        <f>IF($F1039="","",IFERROR(INDEX('CAT_CENTROS_COSTO'!$D$4:$D$9,MATCH($F1039,'CAT_CENTROS_COSTO'!$A$4:$A$9,0)),"(sin catálogo)"))</f>
        <v/>
      </c>
      <c r="V1039" s="3">
        <f>IF($F1039="","",IFERROR(INDEX('CAT_CENTROS_COSTO'!$F$4:$F$9,MATCH($F1039,'CAT_CENTROS_COSTO'!$A$4:$A$9,0)),"(sin catálogo)"))</f>
        <v/>
      </c>
      <c r="W1039" s="3">
        <f>IF($G1039="","",IFERROR(INDEX('CAT_PUESTOS'!$B$4:$B$8,MATCH($G1039,'CAT_PUESTOS'!$A$4:$A$8,0)),"(sin catálogo)"))</f>
        <v/>
      </c>
      <c r="X1039" s="3">
        <f>IF($H1039="","",IFERROR(INDEX('CAT_ACTIVIDADES'!$B$4:$B$8,MATCH($H1039,'CAT_ACTIVIDADES'!$A$4:$A$8,0)),"(sin catálogo)"))</f>
        <v/>
      </c>
      <c r="Y1039" s="12">
        <f>IF($J1039="","",TODAY()-$J1039)</f>
        <v/>
      </c>
      <c r="Z1039" s="3">
        <f>IF($Y1039="","",IF($Y1039&lt;0,"FUTURO",IF($Y1039&gt;p_dias_backlog_max,"BACKLOG","MES CORRIENTE")))</f>
        <v/>
      </c>
      <c r="AA1039" s="3">
        <f>IF($Y1039="",FALSE,AND($Y1039&gt;p_dias_backlog_min,$Y1039&lt;=p_dias_backlog_max))</f>
        <v/>
      </c>
      <c r="AB1039" s="6" t="n"/>
      <c r="AC1039" s="3">
        <f>IF($AB1039="","",IFERROR(INDEX('ASIGNACIONES'!$F$4:$F$339,MATCH($O1039&amp;"|"&amp;$R1039&amp;"|"&amp;$AB1039,'ASIGNACIONES'!$I$4:$I$339,0)),""))</f>
        <v/>
      </c>
      <c r="AD1039" s="13">
        <f>IF($AB1039="","",SUMIFS('ORDENES'!$M$4:$M$1203,'ORDENES'!$AB$4:$AB$1203,$AB1039,'ORDENES'!$O$4:$O$1203,$O1039,'ORDENES'!$R$4:$R$1203,$R1039))</f>
        <v/>
      </c>
      <c r="AE1039" s="13">
        <f>IF($AD1039="","",p_factor_productividad*IFERROR(INDEX('ASIGNACIONES'!$H$4:$H$339,MATCH($O1039&amp;"|"&amp;$R1039&amp;"|"&amp;$AB1039,'ASIGNACIONES'!$I$4:$I$339,0)),0)-$AD1039)</f>
        <v/>
      </c>
      <c r="AF1039" s="10">
        <f>IF($A1039="","",IFERROR(INDEX('2_IMPORTAR_EJECUCION'!$F$9:$F$1208,MATCH($AN1039,'2_IMPORTAR_EJECUCION'!$J$9:$J$1208,0)),0))</f>
        <v/>
      </c>
      <c r="AG1039" s="10">
        <f>IF($A1039="","",MAX(0,IFERROR(INDEX('2_IMPORTAR_EJECUCION'!$H$9:$H$1208,MATCH($AN1039,'2_IMPORTAR_EJECUCION'!$J$9:$J$1208,0)),0)-$AF1039))</f>
        <v/>
      </c>
      <c r="AH1039" s="10">
        <f>IF($A1039="","",$AF1039+$AG1039)</f>
        <v/>
      </c>
      <c r="AI1039" s="6" t="n"/>
      <c r="AJ1039" s="6" t="n"/>
      <c r="AK1039" s="6" t="n"/>
      <c r="AL1039" s="3">
        <f>IF($AK1039="","",HYPERLINK(p_ruta_base_checklists&amp;$AK1039,"abrir"))</f>
        <v/>
      </c>
      <c r="AM1039" s="6" t="n"/>
      <c r="AN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1" t="n"/>
      <c r="K1040" s="3" t="n"/>
      <c r="L1040" s="10" t="n"/>
      <c r="M1040" s="3">
        <f>IF($A1040="","",IFERROR(INDEX('AJUSTES'!$B$4:$B$303,MATCH($AN1040,'AJUSTES'!$A$4:$A$303,0)),IF($K1040="","",$K1040)))</f>
        <v/>
      </c>
      <c r="N1040" s="3">
        <f>IF($A1040="","",IFERROR(INDEX('CAT_ESTADOS_ERP'!$B$4:$B$7,MATCH(IFERROR(INDEX('2_IMPORTAR_EJECUCION'!$C$9:$C$1208,MATCH($AN1040,'2_IMPORTAR_EJECUCION'!$J$9:$J$1208,0)),""),'CAT_ESTADOS_ERP'!$A$4:$A$7,0)),"Pendiente"))</f>
        <v/>
      </c>
      <c r="O1040" s="3">
        <f>IF($J1040="","",YEAR($J1040+4-WEEKDAY($J1040,2))&amp;"-S"&amp;TEXT(_xlfn.ISOWEEKNUM($J1040),"00"))</f>
        <v/>
      </c>
      <c r="P1040" s="3">
        <f>IF($J1040="","",YEAR($J1040))</f>
        <v/>
      </c>
      <c r="Q1040" s="3">
        <f>IF($J1040="","",MONTH($J1040))</f>
        <v/>
      </c>
      <c r="R1040" s="3">
        <f>IF($J1040="","",INDEX(lista_dias,WEEKDAY($J1040,2)))</f>
        <v/>
      </c>
      <c r="S1040" s="3">
        <f>IF($I1040="","",IFERROR(INDEX('CAT_TIPOS_OT'!$C$4:$C$7,MATCH($I1040,'CAT_TIPOS_OT'!$A$4:$A$7,0)),"sin_clasificar"))</f>
        <v/>
      </c>
      <c r="T1040" s="3">
        <f>IF($F1040="","",IFERROR(INDEX('CAT_CENTROS_COSTO'!$E$4:$E$9,MATCH($F1040,'CAT_CENTROS_COSTO'!$A$4:$A$9,0)),"(sin catálogo)"))</f>
        <v/>
      </c>
      <c r="U1040" s="3">
        <f>IF($F1040="","",IFERROR(INDEX('CAT_CENTROS_COSTO'!$D$4:$D$9,MATCH($F1040,'CAT_CENTROS_COSTO'!$A$4:$A$9,0)),"(sin catálogo)"))</f>
        <v/>
      </c>
      <c r="V1040" s="3">
        <f>IF($F1040="","",IFERROR(INDEX('CAT_CENTROS_COSTO'!$F$4:$F$9,MATCH($F1040,'CAT_CENTROS_COSTO'!$A$4:$A$9,0)),"(sin catálogo)"))</f>
        <v/>
      </c>
      <c r="W1040" s="3">
        <f>IF($G1040="","",IFERROR(INDEX('CAT_PUESTOS'!$B$4:$B$8,MATCH($G1040,'CAT_PUESTOS'!$A$4:$A$8,0)),"(sin catálogo)"))</f>
        <v/>
      </c>
      <c r="X1040" s="3">
        <f>IF($H1040="","",IFERROR(INDEX('CAT_ACTIVIDADES'!$B$4:$B$8,MATCH($H1040,'CAT_ACTIVIDADES'!$A$4:$A$8,0)),"(sin catálogo)"))</f>
        <v/>
      </c>
      <c r="Y1040" s="12">
        <f>IF($J1040="","",TODAY()-$J1040)</f>
        <v/>
      </c>
      <c r="Z1040" s="3">
        <f>IF($Y1040="","",IF($Y1040&lt;0,"FUTURO",IF($Y1040&gt;p_dias_backlog_max,"BACKLOG","MES CORRIENTE")))</f>
        <v/>
      </c>
      <c r="AA1040" s="3">
        <f>IF($Y1040="",FALSE,AND($Y1040&gt;p_dias_backlog_min,$Y1040&lt;=p_dias_backlog_max))</f>
        <v/>
      </c>
      <c r="AB1040" s="6" t="n"/>
      <c r="AC1040" s="3">
        <f>IF($AB1040="","",IFERROR(INDEX('ASIGNACIONES'!$F$4:$F$339,MATCH($O1040&amp;"|"&amp;$R1040&amp;"|"&amp;$AB1040,'ASIGNACIONES'!$I$4:$I$339,0)),""))</f>
        <v/>
      </c>
      <c r="AD1040" s="13">
        <f>IF($AB1040="","",SUMIFS('ORDENES'!$M$4:$M$1203,'ORDENES'!$AB$4:$AB$1203,$AB1040,'ORDENES'!$O$4:$O$1203,$O1040,'ORDENES'!$R$4:$R$1203,$R1040))</f>
        <v/>
      </c>
      <c r="AE1040" s="13">
        <f>IF($AD1040="","",p_factor_productividad*IFERROR(INDEX('ASIGNACIONES'!$H$4:$H$339,MATCH($O1040&amp;"|"&amp;$R1040&amp;"|"&amp;$AB1040,'ASIGNACIONES'!$I$4:$I$339,0)),0)-$AD1040)</f>
        <v/>
      </c>
      <c r="AF1040" s="10">
        <f>IF($A1040="","",IFERROR(INDEX('2_IMPORTAR_EJECUCION'!$F$9:$F$1208,MATCH($AN1040,'2_IMPORTAR_EJECUCION'!$J$9:$J$1208,0)),0))</f>
        <v/>
      </c>
      <c r="AG1040" s="10">
        <f>IF($A1040="","",MAX(0,IFERROR(INDEX('2_IMPORTAR_EJECUCION'!$H$9:$H$1208,MATCH($AN1040,'2_IMPORTAR_EJECUCION'!$J$9:$J$1208,0)),0)-$AF1040))</f>
        <v/>
      </c>
      <c r="AH1040" s="10">
        <f>IF($A1040="","",$AF1040+$AG1040)</f>
        <v/>
      </c>
      <c r="AI1040" s="6" t="n"/>
      <c r="AJ1040" s="6" t="n"/>
      <c r="AK1040" s="6" t="n"/>
      <c r="AL1040" s="3">
        <f>IF($AK1040="","",HYPERLINK(p_ruta_base_checklists&amp;$AK1040,"abrir"))</f>
        <v/>
      </c>
      <c r="AM1040" s="6" t="n"/>
      <c r="AN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1" t="n"/>
      <c r="K1041" s="3" t="n"/>
      <c r="L1041" s="10" t="n"/>
      <c r="M1041" s="3">
        <f>IF($A1041="","",IFERROR(INDEX('AJUSTES'!$B$4:$B$303,MATCH($AN1041,'AJUSTES'!$A$4:$A$303,0)),IF($K1041="","",$K1041)))</f>
        <v/>
      </c>
      <c r="N1041" s="3">
        <f>IF($A1041="","",IFERROR(INDEX('CAT_ESTADOS_ERP'!$B$4:$B$7,MATCH(IFERROR(INDEX('2_IMPORTAR_EJECUCION'!$C$9:$C$1208,MATCH($AN1041,'2_IMPORTAR_EJECUCION'!$J$9:$J$1208,0)),""),'CAT_ESTADOS_ERP'!$A$4:$A$7,0)),"Pendiente"))</f>
        <v/>
      </c>
      <c r="O1041" s="3">
        <f>IF($J1041="","",YEAR($J1041+4-WEEKDAY($J1041,2))&amp;"-S"&amp;TEXT(_xlfn.ISOWEEKNUM($J1041),"00"))</f>
        <v/>
      </c>
      <c r="P1041" s="3">
        <f>IF($J1041="","",YEAR($J1041))</f>
        <v/>
      </c>
      <c r="Q1041" s="3">
        <f>IF($J1041="","",MONTH($J1041))</f>
        <v/>
      </c>
      <c r="R1041" s="3">
        <f>IF($J1041="","",INDEX(lista_dias,WEEKDAY($J1041,2)))</f>
        <v/>
      </c>
      <c r="S1041" s="3">
        <f>IF($I1041="","",IFERROR(INDEX('CAT_TIPOS_OT'!$C$4:$C$7,MATCH($I1041,'CAT_TIPOS_OT'!$A$4:$A$7,0)),"sin_clasificar"))</f>
        <v/>
      </c>
      <c r="T1041" s="3">
        <f>IF($F1041="","",IFERROR(INDEX('CAT_CENTROS_COSTO'!$E$4:$E$9,MATCH($F1041,'CAT_CENTROS_COSTO'!$A$4:$A$9,0)),"(sin catálogo)"))</f>
        <v/>
      </c>
      <c r="U1041" s="3">
        <f>IF($F1041="","",IFERROR(INDEX('CAT_CENTROS_COSTO'!$D$4:$D$9,MATCH($F1041,'CAT_CENTROS_COSTO'!$A$4:$A$9,0)),"(sin catálogo)"))</f>
        <v/>
      </c>
      <c r="V1041" s="3">
        <f>IF($F1041="","",IFERROR(INDEX('CAT_CENTROS_COSTO'!$F$4:$F$9,MATCH($F1041,'CAT_CENTROS_COSTO'!$A$4:$A$9,0)),"(sin catálogo)"))</f>
        <v/>
      </c>
      <c r="W1041" s="3">
        <f>IF($G1041="","",IFERROR(INDEX('CAT_PUESTOS'!$B$4:$B$8,MATCH($G1041,'CAT_PUESTOS'!$A$4:$A$8,0)),"(sin catálogo)"))</f>
        <v/>
      </c>
      <c r="X1041" s="3">
        <f>IF($H1041="","",IFERROR(INDEX('CAT_ACTIVIDADES'!$B$4:$B$8,MATCH($H1041,'CAT_ACTIVIDADES'!$A$4:$A$8,0)),"(sin catálogo)"))</f>
        <v/>
      </c>
      <c r="Y1041" s="12">
        <f>IF($J1041="","",TODAY()-$J1041)</f>
        <v/>
      </c>
      <c r="Z1041" s="3">
        <f>IF($Y1041="","",IF($Y1041&lt;0,"FUTURO",IF($Y1041&gt;p_dias_backlog_max,"BACKLOG","MES CORRIENTE")))</f>
        <v/>
      </c>
      <c r="AA1041" s="3">
        <f>IF($Y1041="",FALSE,AND($Y1041&gt;p_dias_backlog_min,$Y1041&lt;=p_dias_backlog_max))</f>
        <v/>
      </c>
      <c r="AB1041" s="6" t="n"/>
      <c r="AC1041" s="3">
        <f>IF($AB1041="","",IFERROR(INDEX('ASIGNACIONES'!$F$4:$F$339,MATCH($O1041&amp;"|"&amp;$R1041&amp;"|"&amp;$AB1041,'ASIGNACIONES'!$I$4:$I$339,0)),""))</f>
        <v/>
      </c>
      <c r="AD1041" s="13">
        <f>IF($AB1041="","",SUMIFS('ORDENES'!$M$4:$M$1203,'ORDENES'!$AB$4:$AB$1203,$AB1041,'ORDENES'!$O$4:$O$1203,$O1041,'ORDENES'!$R$4:$R$1203,$R1041))</f>
        <v/>
      </c>
      <c r="AE1041" s="13">
        <f>IF($AD1041="","",p_factor_productividad*IFERROR(INDEX('ASIGNACIONES'!$H$4:$H$339,MATCH($O1041&amp;"|"&amp;$R1041&amp;"|"&amp;$AB1041,'ASIGNACIONES'!$I$4:$I$339,0)),0)-$AD1041)</f>
        <v/>
      </c>
      <c r="AF1041" s="10">
        <f>IF($A1041="","",IFERROR(INDEX('2_IMPORTAR_EJECUCION'!$F$9:$F$1208,MATCH($AN1041,'2_IMPORTAR_EJECUCION'!$J$9:$J$1208,0)),0))</f>
        <v/>
      </c>
      <c r="AG1041" s="10">
        <f>IF($A1041="","",MAX(0,IFERROR(INDEX('2_IMPORTAR_EJECUCION'!$H$9:$H$1208,MATCH($AN1041,'2_IMPORTAR_EJECUCION'!$J$9:$J$1208,0)),0)-$AF1041))</f>
        <v/>
      </c>
      <c r="AH1041" s="10">
        <f>IF($A1041="","",$AF1041+$AG1041)</f>
        <v/>
      </c>
      <c r="AI1041" s="6" t="n"/>
      <c r="AJ1041" s="6" t="n"/>
      <c r="AK1041" s="6" t="n"/>
      <c r="AL1041" s="3">
        <f>IF($AK1041="","",HYPERLINK(p_ruta_base_checklists&amp;$AK1041,"abrir"))</f>
        <v/>
      </c>
      <c r="AM1041" s="6" t="n"/>
      <c r="AN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1" t="n"/>
      <c r="K1042" s="3" t="n"/>
      <c r="L1042" s="10" t="n"/>
      <c r="M1042" s="3">
        <f>IF($A1042="","",IFERROR(INDEX('AJUSTES'!$B$4:$B$303,MATCH($AN1042,'AJUSTES'!$A$4:$A$303,0)),IF($K1042="","",$K1042)))</f>
        <v/>
      </c>
      <c r="N1042" s="3">
        <f>IF($A1042="","",IFERROR(INDEX('CAT_ESTADOS_ERP'!$B$4:$B$7,MATCH(IFERROR(INDEX('2_IMPORTAR_EJECUCION'!$C$9:$C$1208,MATCH($AN1042,'2_IMPORTAR_EJECUCION'!$J$9:$J$1208,0)),""),'CAT_ESTADOS_ERP'!$A$4:$A$7,0)),"Pendiente"))</f>
        <v/>
      </c>
      <c r="O1042" s="3">
        <f>IF($J1042="","",YEAR($J1042+4-WEEKDAY($J1042,2))&amp;"-S"&amp;TEXT(_xlfn.ISOWEEKNUM($J1042),"00"))</f>
        <v/>
      </c>
      <c r="P1042" s="3">
        <f>IF($J1042="","",YEAR($J1042))</f>
        <v/>
      </c>
      <c r="Q1042" s="3">
        <f>IF($J1042="","",MONTH($J1042))</f>
        <v/>
      </c>
      <c r="R1042" s="3">
        <f>IF($J1042="","",INDEX(lista_dias,WEEKDAY($J1042,2)))</f>
        <v/>
      </c>
      <c r="S1042" s="3">
        <f>IF($I1042="","",IFERROR(INDEX('CAT_TIPOS_OT'!$C$4:$C$7,MATCH($I1042,'CAT_TIPOS_OT'!$A$4:$A$7,0)),"sin_clasificar"))</f>
        <v/>
      </c>
      <c r="T1042" s="3">
        <f>IF($F1042="","",IFERROR(INDEX('CAT_CENTROS_COSTO'!$E$4:$E$9,MATCH($F1042,'CAT_CENTROS_COSTO'!$A$4:$A$9,0)),"(sin catálogo)"))</f>
        <v/>
      </c>
      <c r="U1042" s="3">
        <f>IF($F1042="","",IFERROR(INDEX('CAT_CENTROS_COSTO'!$D$4:$D$9,MATCH($F1042,'CAT_CENTROS_COSTO'!$A$4:$A$9,0)),"(sin catálogo)"))</f>
        <v/>
      </c>
      <c r="V1042" s="3">
        <f>IF($F1042="","",IFERROR(INDEX('CAT_CENTROS_COSTO'!$F$4:$F$9,MATCH($F1042,'CAT_CENTROS_COSTO'!$A$4:$A$9,0)),"(sin catálogo)"))</f>
        <v/>
      </c>
      <c r="W1042" s="3">
        <f>IF($G1042="","",IFERROR(INDEX('CAT_PUESTOS'!$B$4:$B$8,MATCH($G1042,'CAT_PUESTOS'!$A$4:$A$8,0)),"(sin catálogo)"))</f>
        <v/>
      </c>
      <c r="X1042" s="3">
        <f>IF($H1042="","",IFERROR(INDEX('CAT_ACTIVIDADES'!$B$4:$B$8,MATCH($H1042,'CAT_ACTIVIDADES'!$A$4:$A$8,0)),"(sin catálogo)"))</f>
        <v/>
      </c>
      <c r="Y1042" s="12">
        <f>IF($J1042="","",TODAY()-$J1042)</f>
        <v/>
      </c>
      <c r="Z1042" s="3">
        <f>IF($Y1042="","",IF($Y1042&lt;0,"FUTURO",IF($Y1042&gt;p_dias_backlog_max,"BACKLOG","MES CORRIENTE")))</f>
        <v/>
      </c>
      <c r="AA1042" s="3">
        <f>IF($Y1042="",FALSE,AND($Y1042&gt;p_dias_backlog_min,$Y1042&lt;=p_dias_backlog_max))</f>
        <v/>
      </c>
      <c r="AB1042" s="6" t="n"/>
      <c r="AC1042" s="3">
        <f>IF($AB1042="","",IFERROR(INDEX('ASIGNACIONES'!$F$4:$F$339,MATCH($O1042&amp;"|"&amp;$R1042&amp;"|"&amp;$AB1042,'ASIGNACIONES'!$I$4:$I$339,0)),""))</f>
        <v/>
      </c>
      <c r="AD1042" s="13">
        <f>IF($AB1042="","",SUMIFS('ORDENES'!$M$4:$M$1203,'ORDENES'!$AB$4:$AB$1203,$AB1042,'ORDENES'!$O$4:$O$1203,$O1042,'ORDENES'!$R$4:$R$1203,$R1042))</f>
        <v/>
      </c>
      <c r="AE1042" s="13">
        <f>IF($AD1042="","",p_factor_productividad*IFERROR(INDEX('ASIGNACIONES'!$H$4:$H$339,MATCH($O1042&amp;"|"&amp;$R1042&amp;"|"&amp;$AB1042,'ASIGNACIONES'!$I$4:$I$339,0)),0)-$AD1042)</f>
        <v/>
      </c>
      <c r="AF1042" s="10">
        <f>IF($A1042="","",IFERROR(INDEX('2_IMPORTAR_EJECUCION'!$F$9:$F$1208,MATCH($AN1042,'2_IMPORTAR_EJECUCION'!$J$9:$J$1208,0)),0))</f>
        <v/>
      </c>
      <c r="AG1042" s="10">
        <f>IF($A1042="","",MAX(0,IFERROR(INDEX('2_IMPORTAR_EJECUCION'!$H$9:$H$1208,MATCH($AN1042,'2_IMPORTAR_EJECUCION'!$J$9:$J$1208,0)),0)-$AF1042))</f>
        <v/>
      </c>
      <c r="AH1042" s="10">
        <f>IF($A1042="","",$AF1042+$AG1042)</f>
        <v/>
      </c>
      <c r="AI1042" s="6" t="n"/>
      <c r="AJ1042" s="6" t="n"/>
      <c r="AK1042" s="6" t="n"/>
      <c r="AL1042" s="3">
        <f>IF($AK1042="","",HYPERLINK(p_ruta_base_checklists&amp;$AK1042,"abrir"))</f>
        <v/>
      </c>
      <c r="AM1042" s="6" t="n"/>
      <c r="AN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1" t="n"/>
      <c r="K1043" s="3" t="n"/>
      <c r="L1043" s="10" t="n"/>
      <c r="M1043" s="3">
        <f>IF($A1043="","",IFERROR(INDEX('AJUSTES'!$B$4:$B$303,MATCH($AN1043,'AJUSTES'!$A$4:$A$303,0)),IF($K1043="","",$K1043)))</f>
        <v/>
      </c>
      <c r="N1043" s="3">
        <f>IF($A1043="","",IFERROR(INDEX('CAT_ESTADOS_ERP'!$B$4:$B$7,MATCH(IFERROR(INDEX('2_IMPORTAR_EJECUCION'!$C$9:$C$1208,MATCH($AN1043,'2_IMPORTAR_EJECUCION'!$J$9:$J$1208,0)),""),'CAT_ESTADOS_ERP'!$A$4:$A$7,0)),"Pendiente"))</f>
        <v/>
      </c>
      <c r="O1043" s="3">
        <f>IF($J1043="","",YEAR($J1043+4-WEEKDAY($J1043,2))&amp;"-S"&amp;TEXT(_xlfn.ISOWEEKNUM($J1043),"00"))</f>
        <v/>
      </c>
      <c r="P1043" s="3">
        <f>IF($J1043="","",YEAR($J1043))</f>
        <v/>
      </c>
      <c r="Q1043" s="3">
        <f>IF($J1043="","",MONTH($J1043))</f>
        <v/>
      </c>
      <c r="R1043" s="3">
        <f>IF($J1043="","",INDEX(lista_dias,WEEKDAY($J1043,2)))</f>
        <v/>
      </c>
      <c r="S1043" s="3">
        <f>IF($I1043="","",IFERROR(INDEX('CAT_TIPOS_OT'!$C$4:$C$7,MATCH($I1043,'CAT_TIPOS_OT'!$A$4:$A$7,0)),"sin_clasificar"))</f>
        <v/>
      </c>
      <c r="T1043" s="3">
        <f>IF($F1043="","",IFERROR(INDEX('CAT_CENTROS_COSTO'!$E$4:$E$9,MATCH($F1043,'CAT_CENTROS_COSTO'!$A$4:$A$9,0)),"(sin catálogo)"))</f>
        <v/>
      </c>
      <c r="U1043" s="3">
        <f>IF($F1043="","",IFERROR(INDEX('CAT_CENTROS_COSTO'!$D$4:$D$9,MATCH($F1043,'CAT_CENTROS_COSTO'!$A$4:$A$9,0)),"(sin catálogo)"))</f>
        <v/>
      </c>
      <c r="V1043" s="3">
        <f>IF($F1043="","",IFERROR(INDEX('CAT_CENTROS_COSTO'!$F$4:$F$9,MATCH($F1043,'CAT_CENTROS_COSTO'!$A$4:$A$9,0)),"(sin catálogo)"))</f>
        <v/>
      </c>
      <c r="W1043" s="3">
        <f>IF($G1043="","",IFERROR(INDEX('CAT_PUESTOS'!$B$4:$B$8,MATCH($G1043,'CAT_PUESTOS'!$A$4:$A$8,0)),"(sin catálogo)"))</f>
        <v/>
      </c>
      <c r="X1043" s="3">
        <f>IF($H1043="","",IFERROR(INDEX('CAT_ACTIVIDADES'!$B$4:$B$8,MATCH($H1043,'CAT_ACTIVIDADES'!$A$4:$A$8,0)),"(sin catálogo)"))</f>
        <v/>
      </c>
      <c r="Y1043" s="12">
        <f>IF($J1043="","",TODAY()-$J1043)</f>
        <v/>
      </c>
      <c r="Z1043" s="3">
        <f>IF($Y1043="","",IF($Y1043&lt;0,"FUTURO",IF($Y1043&gt;p_dias_backlog_max,"BACKLOG","MES CORRIENTE")))</f>
        <v/>
      </c>
      <c r="AA1043" s="3">
        <f>IF($Y1043="",FALSE,AND($Y1043&gt;p_dias_backlog_min,$Y1043&lt;=p_dias_backlog_max))</f>
        <v/>
      </c>
      <c r="AB1043" s="6" t="n"/>
      <c r="AC1043" s="3">
        <f>IF($AB1043="","",IFERROR(INDEX('ASIGNACIONES'!$F$4:$F$339,MATCH($O1043&amp;"|"&amp;$R1043&amp;"|"&amp;$AB1043,'ASIGNACIONES'!$I$4:$I$339,0)),""))</f>
        <v/>
      </c>
      <c r="AD1043" s="13">
        <f>IF($AB1043="","",SUMIFS('ORDENES'!$M$4:$M$1203,'ORDENES'!$AB$4:$AB$1203,$AB1043,'ORDENES'!$O$4:$O$1203,$O1043,'ORDENES'!$R$4:$R$1203,$R1043))</f>
        <v/>
      </c>
      <c r="AE1043" s="13">
        <f>IF($AD1043="","",p_factor_productividad*IFERROR(INDEX('ASIGNACIONES'!$H$4:$H$339,MATCH($O1043&amp;"|"&amp;$R1043&amp;"|"&amp;$AB1043,'ASIGNACIONES'!$I$4:$I$339,0)),0)-$AD1043)</f>
        <v/>
      </c>
      <c r="AF1043" s="10">
        <f>IF($A1043="","",IFERROR(INDEX('2_IMPORTAR_EJECUCION'!$F$9:$F$1208,MATCH($AN1043,'2_IMPORTAR_EJECUCION'!$J$9:$J$1208,0)),0))</f>
        <v/>
      </c>
      <c r="AG1043" s="10">
        <f>IF($A1043="","",MAX(0,IFERROR(INDEX('2_IMPORTAR_EJECUCION'!$H$9:$H$1208,MATCH($AN1043,'2_IMPORTAR_EJECUCION'!$J$9:$J$1208,0)),0)-$AF1043))</f>
        <v/>
      </c>
      <c r="AH1043" s="10">
        <f>IF($A1043="","",$AF1043+$AG1043)</f>
        <v/>
      </c>
      <c r="AI1043" s="6" t="n"/>
      <c r="AJ1043" s="6" t="n"/>
      <c r="AK1043" s="6" t="n"/>
      <c r="AL1043" s="3">
        <f>IF($AK1043="","",HYPERLINK(p_ruta_base_checklists&amp;$AK1043,"abrir"))</f>
        <v/>
      </c>
      <c r="AM1043" s="6" t="n"/>
      <c r="AN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1" t="n"/>
      <c r="K1044" s="3" t="n"/>
      <c r="L1044" s="10" t="n"/>
      <c r="M1044" s="3">
        <f>IF($A1044="","",IFERROR(INDEX('AJUSTES'!$B$4:$B$303,MATCH($AN1044,'AJUSTES'!$A$4:$A$303,0)),IF($K1044="","",$K1044)))</f>
        <v/>
      </c>
      <c r="N1044" s="3">
        <f>IF($A1044="","",IFERROR(INDEX('CAT_ESTADOS_ERP'!$B$4:$B$7,MATCH(IFERROR(INDEX('2_IMPORTAR_EJECUCION'!$C$9:$C$1208,MATCH($AN1044,'2_IMPORTAR_EJECUCION'!$J$9:$J$1208,0)),""),'CAT_ESTADOS_ERP'!$A$4:$A$7,0)),"Pendiente"))</f>
        <v/>
      </c>
      <c r="O1044" s="3">
        <f>IF($J1044="","",YEAR($J1044+4-WEEKDAY($J1044,2))&amp;"-S"&amp;TEXT(_xlfn.ISOWEEKNUM($J1044),"00"))</f>
        <v/>
      </c>
      <c r="P1044" s="3">
        <f>IF($J1044="","",YEAR($J1044))</f>
        <v/>
      </c>
      <c r="Q1044" s="3">
        <f>IF($J1044="","",MONTH($J1044))</f>
        <v/>
      </c>
      <c r="R1044" s="3">
        <f>IF($J1044="","",INDEX(lista_dias,WEEKDAY($J1044,2)))</f>
        <v/>
      </c>
      <c r="S1044" s="3">
        <f>IF($I1044="","",IFERROR(INDEX('CAT_TIPOS_OT'!$C$4:$C$7,MATCH($I1044,'CAT_TIPOS_OT'!$A$4:$A$7,0)),"sin_clasificar"))</f>
        <v/>
      </c>
      <c r="T1044" s="3">
        <f>IF($F1044="","",IFERROR(INDEX('CAT_CENTROS_COSTO'!$E$4:$E$9,MATCH($F1044,'CAT_CENTROS_COSTO'!$A$4:$A$9,0)),"(sin catálogo)"))</f>
        <v/>
      </c>
      <c r="U1044" s="3">
        <f>IF($F1044="","",IFERROR(INDEX('CAT_CENTROS_COSTO'!$D$4:$D$9,MATCH($F1044,'CAT_CENTROS_COSTO'!$A$4:$A$9,0)),"(sin catálogo)"))</f>
        <v/>
      </c>
      <c r="V1044" s="3">
        <f>IF($F1044="","",IFERROR(INDEX('CAT_CENTROS_COSTO'!$F$4:$F$9,MATCH($F1044,'CAT_CENTROS_COSTO'!$A$4:$A$9,0)),"(sin catálogo)"))</f>
        <v/>
      </c>
      <c r="W1044" s="3">
        <f>IF($G1044="","",IFERROR(INDEX('CAT_PUESTOS'!$B$4:$B$8,MATCH($G1044,'CAT_PUESTOS'!$A$4:$A$8,0)),"(sin catálogo)"))</f>
        <v/>
      </c>
      <c r="X1044" s="3">
        <f>IF($H1044="","",IFERROR(INDEX('CAT_ACTIVIDADES'!$B$4:$B$8,MATCH($H1044,'CAT_ACTIVIDADES'!$A$4:$A$8,0)),"(sin catálogo)"))</f>
        <v/>
      </c>
      <c r="Y1044" s="12">
        <f>IF($J1044="","",TODAY()-$J1044)</f>
        <v/>
      </c>
      <c r="Z1044" s="3">
        <f>IF($Y1044="","",IF($Y1044&lt;0,"FUTURO",IF($Y1044&gt;p_dias_backlog_max,"BACKLOG","MES CORRIENTE")))</f>
        <v/>
      </c>
      <c r="AA1044" s="3">
        <f>IF($Y1044="",FALSE,AND($Y1044&gt;p_dias_backlog_min,$Y1044&lt;=p_dias_backlog_max))</f>
        <v/>
      </c>
      <c r="AB1044" s="6" t="n"/>
      <c r="AC1044" s="3">
        <f>IF($AB1044="","",IFERROR(INDEX('ASIGNACIONES'!$F$4:$F$339,MATCH($O1044&amp;"|"&amp;$R1044&amp;"|"&amp;$AB1044,'ASIGNACIONES'!$I$4:$I$339,0)),""))</f>
        <v/>
      </c>
      <c r="AD1044" s="13">
        <f>IF($AB1044="","",SUMIFS('ORDENES'!$M$4:$M$1203,'ORDENES'!$AB$4:$AB$1203,$AB1044,'ORDENES'!$O$4:$O$1203,$O1044,'ORDENES'!$R$4:$R$1203,$R1044))</f>
        <v/>
      </c>
      <c r="AE1044" s="13">
        <f>IF($AD1044="","",p_factor_productividad*IFERROR(INDEX('ASIGNACIONES'!$H$4:$H$339,MATCH($O1044&amp;"|"&amp;$R1044&amp;"|"&amp;$AB1044,'ASIGNACIONES'!$I$4:$I$339,0)),0)-$AD1044)</f>
        <v/>
      </c>
      <c r="AF1044" s="10">
        <f>IF($A1044="","",IFERROR(INDEX('2_IMPORTAR_EJECUCION'!$F$9:$F$1208,MATCH($AN1044,'2_IMPORTAR_EJECUCION'!$J$9:$J$1208,0)),0))</f>
        <v/>
      </c>
      <c r="AG1044" s="10">
        <f>IF($A1044="","",MAX(0,IFERROR(INDEX('2_IMPORTAR_EJECUCION'!$H$9:$H$1208,MATCH($AN1044,'2_IMPORTAR_EJECUCION'!$J$9:$J$1208,0)),0)-$AF1044))</f>
        <v/>
      </c>
      <c r="AH1044" s="10">
        <f>IF($A1044="","",$AF1044+$AG1044)</f>
        <v/>
      </c>
      <c r="AI1044" s="6" t="n"/>
      <c r="AJ1044" s="6" t="n"/>
      <c r="AK1044" s="6" t="n"/>
      <c r="AL1044" s="3">
        <f>IF($AK1044="","",HYPERLINK(p_ruta_base_checklists&amp;$AK1044,"abrir"))</f>
        <v/>
      </c>
      <c r="AM1044" s="6" t="n"/>
      <c r="AN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1" t="n"/>
      <c r="K1045" s="3" t="n"/>
      <c r="L1045" s="10" t="n"/>
      <c r="M1045" s="3">
        <f>IF($A1045="","",IFERROR(INDEX('AJUSTES'!$B$4:$B$303,MATCH($AN1045,'AJUSTES'!$A$4:$A$303,0)),IF($K1045="","",$K1045)))</f>
        <v/>
      </c>
      <c r="N1045" s="3">
        <f>IF($A1045="","",IFERROR(INDEX('CAT_ESTADOS_ERP'!$B$4:$B$7,MATCH(IFERROR(INDEX('2_IMPORTAR_EJECUCION'!$C$9:$C$1208,MATCH($AN1045,'2_IMPORTAR_EJECUCION'!$J$9:$J$1208,0)),""),'CAT_ESTADOS_ERP'!$A$4:$A$7,0)),"Pendiente"))</f>
        <v/>
      </c>
      <c r="O1045" s="3">
        <f>IF($J1045="","",YEAR($J1045+4-WEEKDAY($J1045,2))&amp;"-S"&amp;TEXT(_xlfn.ISOWEEKNUM($J1045),"00"))</f>
        <v/>
      </c>
      <c r="P1045" s="3">
        <f>IF($J1045="","",YEAR($J1045))</f>
        <v/>
      </c>
      <c r="Q1045" s="3">
        <f>IF($J1045="","",MONTH($J1045))</f>
        <v/>
      </c>
      <c r="R1045" s="3">
        <f>IF($J1045="","",INDEX(lista_dias,WEEKDAY($J1045,2)))</f>
        <v/>
      </c>
      <c r="S1045" s="3">
        <f>IF($I1045="","",IFERROR(INDEX('CAT_TIPOS_OT'!$C$4:$C$7,MATCH($I1045,'CAT_TIPOS_OT'!$A$4:$A$7,0)),"sin_clasificar"))</f>
        <v/>
      </c>
      <c r="T1045" s="3">
        <f>IF($F1045="","",IFERROR(INDEX('CAT_CENTROS_COSTO'!$E$4:$E$9,MATCH($F1045,'CAT_CENTROS_COSTO'!$A$4:$A$9,0)),"(sin catálogo)"))</f>
        <v/>
      </c>
      <c r="U1045" s="3">
        <f>IF($F1045="","",IFERROR(INDEX('CAT_CENTROS_COSTO'!$D$4:$D$9,MATCH($F1045,'CAT_CENTROS_COSTO'!$A$4:$A$9,0)),"(sin catálogo)"))</f>
        <v/>
      </c>
      <c r="V1045" s="3">
        <f>IF($F1045="","",IFERROR(INDEX('CAT_CENTROS_COSTO'!$F$4:$F$9,MATCH($F1045,'CAT_CENTROS_COSTO'!$A$4:$A$9,0)),"(sin catálogo)"))</f>
        <v/>
      </c>
      <c r="W1045" s="3">
        <f>IF($G1045="","",IFERROR(INDEX('CAT_PUESTOS'!$B$4:$B$8,MATCH($G1045,'CAT_PUESTOS'!$A$4:$A$8,0)),"(sin catálogo)"))</f>
        <v/>
      </c>
      <c r="X1045" s="3">
        <f>IF($H1045="","",IFERROR(INDEX('CAT_ACTIVIDADES'!$B$4:$B$8,MATCH($H1045,'CAT_ACTIVIDADES'!$A$4:$A$8,0)),"(sin catálogo)"))</f>
        <v/>
      </c>
      <c r="Y1045" s="12">
        <f>IF($J1045="","",TODAY()-$J1045)</f>
        <v/>
      </c>
      <c r="Z1045" s="3">
        <f>IF($Y1045="","",IF($Y1045&lt;0,"FUTURO",IF($Y1045&gt;p_dias_backlog_max,"BACKLOG","MES CORRIENTE")))</f>
        <v/>
      </c>
      <c r="AA1045" s="3">
        <f>IF($Y1045="",FALSE,AND($Y1045&gt;p_dias_backlog_min,$Y1045&lt;=p_dias_backlog_max))</f>
        <v/>
      </c>
      <c r="AB1045" s="6" t="n"/>
      <c r="AC1045" s="3">
        <f>IF($AB1045="","",IFERROR(INDEX('ASIGNACIONES'!$F$4:$F$339,MATCH($O1045&amp;"|"&amp;$R1045&amp;"|"&amp;$AB1045,'ASIGNACIONES'!$I$4:$I$339,0)),""))</f>
        <v/>
      </c>
      <c r="AD1045" s="13">
        <f>IF($AB1045="","",SUMIFS('ORDENES'!$M$4:$M$1203,'ORDENES'!$AB$4:$AB$1203,$AB1045,'ORDENES'!$O$4:$O$1203,$O1045,'ORDENES'!$R$4:$R$1203,$R1045))</f>
        <v/>
      </c>
      <c r="AE1045" s="13">
        <f>IF($AD1045="","",p_factor_productividad*IFERROR(INDEX('ASIGNACIONES'!$H$4:$H$339,MATCH($O1045&amp;"|"&amp;$R1045&amp;"|"&amp;$AB1045,'ASIGNACIONES'!$I$4:$I$339,0)),0)-$AD1045)</f>
        <v/>
      </c>
      <c r="AF1045" s="10">
        <f>IF($A1045="","",IFERROR(INDEX('2_IMPORTAR_EJECUCION'!$F$9:$F$1208,MATCH($AN1045,'2_IMPORTAR_EJECUCION'!$J$9:$J$1208,0)),0))</f>
        <v/>
      </c>
      <c r="AG1045" s="10">
        <f>IF($A1045="","",MAX(0,IFERROR(INDEX('2_IMPORTAR_EJECUCION'!$H$9:$H$1208,MATCH($AN1045,'2_IMPORTAR_EJECUCION'!$J$9:$J$1208,0)),0)-$AF1045))</f>
        <v/>
      </c>
      <c r="AH1045" s="10">
        <f>IF($A1045="","",$AF1045+$AG1045)</f>
        <v/>
      </c>
      <c r="AI1045" s="6" t="n"/>
      <c r="AJ1045" s="6" t="n"/>
      <c r="AK1045" s="6" t="n"/>
      <c r="AL1045" s="3">
        <f>IF($AK1045="","",HYPERLINK(p_ruta_base_checklists&amp;$AK1045,"abrir"))</f>
        <v/>
      </c>
      <c r="AM1045" s="6" t="n"/>
      <c r="AN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1" t="n"/>
      <c r="K1046" s="3" t="n"/>
      <c r="L1046" s="10" t="n"/>
      <c r="M1046" s="3">
        <f>IF($A1046="","",IFERROR(INDEX('AJUSTES'!$B$4:$B$303,MATCH($AN1046,'AJUSTES'!$A$4:$A$303,0)),IF($K1046="","",$K1046)))</f>
        <v/>
      </c>
      <c r="N1046" s="3">
        <f>IF($A1046="","",IFERROR(INDEX('CAT_ESTADOS_ERP'!$B$4:$B$7,MATCH(IFERROR(INDEX('2_IMPORTAR_EJECUCION'!$C$9:$C$1208,MATCH($AN1046,'2_IMPORTAR_EJECUCION'!$J$9:$J$1208,0)),""),'CAT_ESTADOS_ERP'!$A$4:$A$7,0)),"Pendiente"))</f>
        <v/>
      </c>
      <c r="O1046" s="3">
        <f>IF($J1046="","",YEAR($J1046+4-WEEKDAY($J1046,2))&amp;"-S"&amp;TEXT(_xlfn.ISOWEEKNUM($J1046),"00"))</f>
        <v/>
      </c>
      <c r="P1046" s="3">
        <f>IF($J1046="","",YEAR($J1046))</f>
        <v/>
      </c>
      <c r="Q1046" s="3">
        <f>IF($J1046="","",MONTH($J1046))</f>
        <v/>
      </c>
      <c r="R1046" s="3">
        <f>IF($J1046="","",INDEX(lista_dias,WEEKDAY($J1046,2)))</f>
        <v/>
      </c>
      <c r="S1046" s="3">
        <f>IF($I1046="","",IFERROR(INDEX('CAT_TIPOS_OT'!$C$4:$C$7,MATCH($I1046,'CAT_TIPOS_OT'!$A$4:$A$7,0)),"sin_clasificar"))</f>
        <v/>
      </c>
      <c r="T1046" s="3">
        <f>IF($F1046="","",IFERROR(INDEX('CAT_CENTROS_COSTO'!$E$4:$E$9,MATCH($F1046,'CAT_CENTROS_COSTO'!$A$4:$A$9,0)),"(sin catálogo)"))</f>
        <v/>
      </c>
      <c r="U1046" s="3">
        <f>IF($F1046="","",IFERROR(INDEX('CAT_CENTROS_COSTO'!$D$4:$D$9,MATCH($F1046,'CAT_CENTROS_COSTO'!$A$4:$A$9,0)),"(sin catálogo)"))</f>
        <v/>
      </c>
      <c r="V1046" s="3">
        <f>IF($F1046="","",IFERROR(INDEX('CAT_CENTROS_COSTO'!$F$4:$F$9,MATCH($F1046,'CAT_CENTROS_COSTO'!$A$4:$A$9,0)),"(sin catálogo)"))</f>
        <v/>
      </c>
      <c r="W1046" s="3">
        <f>IF($G1046="","",IFERROR(INDEX('CAT_PUESTOS'!$B$4:$B$8,MATCH($G1046,'CAT_PUESTOS'!$A$4:$A$8,0)),"(sin catálogo)"))</f>
        <v/>
      </c>
      <c r="X1046" s="3">
        <f>IF($H1046="","",IFERROR(INDEX('CAT_ACTIVIDADES'!$B$4:$B$8,MATCH($H1046,'CAT_ACTIVIDADES'!$A$4:$A$8,0)),"(sin catálogo)"))</f>
        <v/>
      </c>
      <c r="Y1046" s="12">
        <f>IF($J1046="","",TODAY()-$J1046)</f>
        <v/>
      </c>
      <c r="Z1046" s="3">
        <f>IF($Y1046="","",IF($Y1046&lt;0,"FUTURO",IF($Y1046&gt;p_dias_backlog_max,"BACKLOG","MES CORRIENTE")))</f>
        <v/>
      </c>
      <c r="AA1046" s="3">
        <f>IF($Y1046="",FALSE,AND($Y1046&gt;p_dias_backlog_min,$Y1046&lt;=p_dias_backlog_max))</f>
        <v/>
      </c>
      <c r="AB1046" s="6" t="n"/>
      <c r="AC1046" s="3">
        <f>IF($AB1046="","",IFERROR(INDEX('ASIGNACIONES'!$F$4:$F$339,MATCH($O1046&amp;"|"&amp;$R1046&amp;"|"&amp;$AB1046,'ASIGNACIONES'!$I$4:$I$339,0)),""))</f>
        <v/>
      </c>
      <c r="AD1046" s="13">
        <f>IF($AB1046="","",SUMIFS('ORDENES'!$M$4:$M$1203,'ORDENES'!$AB$4:$AB$1203,$AB1046,'ORDENES'!$O$4:$O$1203,$O1046,'ORDENES'!$R$4:$R$1203,$R1046))</f>
        <v/>
      </c>
      <c r="AE1046" s="13">
        <f>IF($AD1046="","",p_factor_productividad*IFERROR(INDEX('ASIGNACIONES'!$H$4:$H$339,MATCH($O1046&amp;"|"&amp;$R1046&amp;"|"&amp;$AB1046,'ASIGNACIONES'!$I$4:$I$339,0)),0)-$AD1046)</f>
        <v/>
      </c>
      <c r="AF1046" s="10">
        <f>IF($A1046="","",IFERROR(INDEX('2_IMPORTAR_EJECUCION'!$F$9:$F$1208,MATCH($AN1046,'2_IMPORTAR_EJECUCION'!$J$9:$J$1208,0)),0))</f>
        <v/>
      </c>
      <c r="AG1046" s="10">
        <f>IF($A1046="","",MAX(0,IFERROR(INDEX('2_IMPORTAR_EJECUCION'!$H$9:$H$1208,MATCH($AN1046,'2_IMPORTAR_EJECUCION'!$J$9:$J$1208,0)),0)-$AF1046))</f>
        <v/>
      </c>
      <c r="AH1046" s="10">
        <f>IF($A1046="","",$AF1046+$AG1046)</f>
        <v/>
      </c>
      <c r="AI1046" s="6" t="n"/>
      <c r="AJ1046" s="6" t="n"/>
      <c r="AK1046" s="6" t="n"/>
      <c r="AL1046" s="3">
        <f>IF($AK1046="","",HYPERLINK(p_ruta_base_checklists&amp;$AK1046,"abrir"))</f>
        <v/>
      </c>
      <c r="AM1046" s="6" t="n"/>
      <c r="AN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1" t="n"/>
      <c r="K1047" s="3" t="n"/>
      <c r="L1047" s="10" t="n"/>
      <c r="M1047" s="3">
        <f>IF($A1047="","",IFERROR(INDEX('AJUSTES'!$B$4:$B$303,MATCH($AN1047,'AJUSTES'!$A$4:$A$303,0)),IF($K1047="","",$K1047)))</f>
        <v/>
      </c>
      <c r="N1047" s="3">
        <f>IF($A1047="","",IFERROR(INDEX('CAT_ESTADOS_ERP'!$B$4:$B$7,MATCH(IFERROR(INDEX('2_IMPORTAR_EJECUCION'!$C$9:$C$1208,MATCH($AN1047,'2_IMPORTAR_EJECUCION'!$J$9:$J$1208,0)),""),'CAT_ESTADOS_ERP'!$A$4:$A$7,0)),"Pendiente"))</f>
        <v/>
      </c>
      <c r="O1047" s="3">
        <f>IF($J1047="","",YEAR($J1047+4-WEEKDAY($J1047,2))&amp;"-S"&amp;TEXT(_xlfn.ISOWEEKNUM($J1047),"00"))</f>
        <v/>
      </c>
      <c r="P1047" s="3">
        <f>IF($J1047="","",YEAR($J1047))</f>
        <v/>
      </c>
      <c r="Q1047" s="3">
        <f>IF($J1047="","",MONTH($J1047))</f>
        <v/>
      </c>
      <c r="R1047" s="3">
        <f>IF($J1047="","",INDEX(lista_dias,WEEKDAY($J1047,2)))</f>
        <v/>
      </c>
      <c r="S1047" s="3">
        <f>IF($I1047="","",IFERROR(INDEX('CAT_TIPOS_OT'!$C$4:$C$7,MATCH($I1047,'CAT_TIPOS_OT'!$A$4:$A$7,0)),"sin_clasificar"))</f>
        <v/>
      </c>
      <c r="T1047" s="3">
        <f>IF($F1047="","",IFERROR(INDEX('CAT_CENTROS_COSTO'!$E$4:$E$9,MATCH($F1047,'CAT_CENTROS_COSTO'!$A$4:$A$9,0)),"(sin catálogo)"))</f>
        <v/>
      </c>
      <c r="U1047" s="3">
        <f>IF($F1047="","",IFERROR(INDEX('CAT_CENTROS_COSTO'!$D$4:$D$9,MATCH($F1047,'CAT_CENTROS_COSTO'!$A$4:$A$9,0)),"(sin catálogo)"))</f>
        <v/>
      </c>
      <c r="V1047" s="3">
        <f>IF($F1047="","",IFERROR(INDEX('CAT_CENTROS_COSTO'!$F$4:$F$9,MATCH($F1047,'CAT_CENTROS_COSTO'!$A$4:$A$9,0)),"(sin catálogo)"))</f>
        <v/>
      </c>
      <c r="W1047" s="3">
        <f>IF($G1047="","",IFERROR(INDEX('CAT_PUESTOS'!$B$4:$B$8,MATCH($G1047,'CAT_PUESTOS'!$A$4:$A$8,0)),"(sin catálogo)"))</f>
        <v/>
      </c>
      <c r="X1047" s="3">
        <f>IF($H1047="","",IFERROR(INDEX('CAT_ACTIVIDADES'!$B$4:$B$8,MATCH($H1047,'CAT_ACTIVIDADES'!$A$4:$A$8,0)),"(sin catálogo)"))</f>
        <v/>
      </c>
      <c r="Y1047" s="12">
        <f>IF($J1047="","",TODAY()-$J1047)</f>
        <v/>
      </c>
      <c r="Z1047" s="3">
        <f>IF($Y1047="","",IF($Y1047&lt;0,"FUTURO",IF($Y1047&gt;p_dias_backlog_max,"BACKLOG","MES CORRIENTE")))</f>
        <v/>
      </c>
      <c r="AA1047" s="3">
        <f>IF($Y1047="",FALSE,AND($Y1047&gt;p_dias_backlog_min,$Y1047&lt;=p_dias_backlog_max))</f>
        <v/>
      </c>
      <c r="AB1047" s="6" t="n"/>
      <c r="AC1047" s="3">
        <f>IF($AB1047="","",IFERROR(INDEX('ASIGNACIONES'!$F$4:$F$339,MATCH($O1047&amp;"|"&amp;$R1047&amp;"|"&amp;$AB1047,'ASIGNACIONES'!$I$4:$I$339,0)),""))</f>
        <v/>
      </c>
      <c r="AD1047" s="13">
        <f>IF($AB1047="","",SUMIFS('ORDENES'!$M$4:$M$1203,'ORDENES'!$AB$4:$AB$1203,$AB1047,'ORDENES'!$O$4:$O$1203,$O1047,'ORDENES'!$R$4:$R$1203,$R1047))</f>
        <v/>
      </c>
      <c r="AE1047" s="13">
        <f>IF($AD1047="","",p_factor_productividad*IFERROR(INDEX('ASIGNACIONES'!$H$4:$H$339,MATCH($O1047&amp;"|"&amp;$R1047&amp;"|"&amp;$AB1047,'ASIGNACIONES'!$I$4:$I$339,0)),0)-$AD1047)</f>
        <v/>
      </c>
      <c r="AF1047" s="10">
        <f>IF($A1047="","",IFERROR(INDEX('2_IMPORTAR_EJECUCION'!$F$9:$F$1208,MATCH($AN1047,'2_IMPORTAR_EJECUCION'!$J$9:$J$1208,0)),0))</f>
        <v/>
      </c>
      <c r="AG1047" s="10">
        <f>IF($A1047="","",MAX(0,IFERROR(INDEX('2_IMPORTAR_EJECUCION'!$H$9:$H$1208,MATCH($AN1047,'2_IMPORTAR_EJECUCION'!$J$9:$J$1208,0)),0)-$AF1047))</f>
        <v/>
      </c>
      <c r="AH1047" s="10">
        <f>IF($A1047="","",$AF1047+$AG1047)</f>
        <v/>
      </c>
      <c r="AI1047" s="6" t="n"/>
      <c r="AJ1047" s="6" t="n"/>
      <c r="AK1047" s="6" t="n"/>
      <c r="AL1047" s="3">
        <f>IF($AK1047="","",HYPERLINK(p_ruta_base_checklists&amp;$AK1047,"abrir"))</f>
        <v/>
      </c>
      <c r="AM1047" s="6" t="n"/>
      <c r="AN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1" t="n"/>
      <c r="K1048" s="3" t="n"/>
      <c r="L1048" s="10" t="n"/>
      <c r="M1048" s="3">
        <f>IF($A1048="","",IFERROR(INDEX('AJUSTES'!$B$4:$B$303,MATCH($AN1048,'AJUSTES'!$A$4:$A$303,0)),IF($K1048="","",$K1048)))</f>
        <v/>
      </c>
      <c r="N1048" s="3">
        <f>IF($A1048="","",IFERROR(INDEX('CAT_ESTADOS_ERP'!$B$4:$B$7,MATCH(IFERROR(INDEX('2_IMPORTAR_EJECUCION'!$C$9:$C$1208,MATCH($AN1048,'2_IMPORTAR_EJECUCION'!$J$9:$J$1208,0)),""),'CAT_ESTADOS_ERP'!$A$4:$A$7,0)),"Pendiente"))</f>
        <v/>
      </c>
      <c r="O1048" s="3">
        <f>IF($J1048="","",YEAR($J1048+4-WEEKDAY($J1048,2))&amp;"-S"&amp;TEXT(_xlfn.ISOWEEKNUM($J1048),"00"))</f>
        <v/>
      </c>
      <c r="P1048" s="3">
        <f>IF($J1048="","",YEAR($J1048))</f>
        <v/>
      </c>
      <c r="Q1048" s="3">
        <f>IF($J1048="","",MONTH($J1048))</f>
        <v/>
      </c>
      <c r="R1048" s="3">
        <f>IF($J1048="","",INDEX(lista_dias,WEEKDAY($J1048,2)))</f>
        <v/>
      </c>
      <c r="S1048" s="3">
        <f>IF($I1048="","",IFERROR(INDEX('CAT_TIPOS_OT'!$C$4:$C$7,MATCH($I1048,'CAT_TIPOS_OT'!$A$4:$A$7,0)),"sin_clasificar"))</f>
        <v/>
      </c>
      <c r="T1048" s="3">
        <f>IF($F1048="","",IFERROR(INDEX('CAT_CENTROS_COSTO'!$E$4:$E$9,MATCH($F1048,'CAT_CENTROS_COSTO'!$A$4:$A$9,0)),"(sin catálogo)"))</f>
        <v/>
      </c>
      <c r="U1048" s="3">
        <f>IF($F1048="","",IFERROR(INDEX('CAT_CENTROS_COSTO'!$D$4:$D$9,MATCH($F1048,'CAT_CENTROS_COSTO'!$A$4:$A$9,0)),"(sin catálogo)"))</f>
        <v/>
      </c>
      <c r="V1048" s="3">
        <f>IF($F1048="","",IFERROR(INDEX('CAT_CENTROS_COSTO'!$F$4:$F$9,MATCH($F1048,'CAT_CENTROS_COSTO'!$A$4:$A$9,0)),"(sin catálogo)"))</f>
        <v/>
      </c>
      <c r="W1048" s="3">
        <f>IF($G1048="","",IFERROR(INDEX('CAT_PUESTOS'!$B$4:$B$8,MATCH($G1048,'CAT_PUESTOS'!$A$4:$A$8,0)),"(sin catálogo)"))</f>
        <v/>
      </c>
      <c r="X1048" s="3">
        <f>IF($H1048="","",IFERROR(INDEX('CAT_ACTIVIDADES'!$B$4:$B$8,MATCH($H1048,'CAT_ACTIVIDADES'!$A$4:$A$8,0)),"(sin catálogo)"))</f>
        <v/>
      </c>
      <c r="Y1048" s="12">
        <f>IF($J1048="","",TODAY()-$J1048)</f>
        <v/>
      </c>
      <c r="Z1048" s="3">
        <f>IF($Y1048="","",IF($Y1048&lt;0,"FUTURO",IF($Y1048&gt;p_dias_backlog_max,"BACKLOG","MES CORRIENTE")))</f>
        <v/>
      </c>
      <c r="AA1048" s="3">
        <f>IF($Y1048="",FALSE,AND($Y1048&gt;p_dias_backlog_min,$Y1048&lt;=p_dias_backlog_max))</f>
        <v/>
      </c>
      <c r="AB1048" s="6" t="n"/>
      <c r="AC1048" s="3">
        <f>IF($AB1048="","",IFERROR(INDEX('ASIGNACIONES'!$F$4:$F$339,MATCH($O1048&amp;"|"&amp;$R1048&amp;"|"&amp;$AB1048,'ASIGNACIONES'!$I$4:$I$339,0)),""))</f>
        <v/>
      </c>
      <c r="AD1048" s="13">
        <f>IF($AB1048="","",SUMIFS('ORDENES'!$M$4:$M$1203,'ORDENES'!$AB$4:$AB$1203,$AB1048,'ORDENES'!$O$4:$O$1203,$O1048,'ORDENES'!$R$4:$R$1203,$R1048))</f>
        <v/>
      </c>
      <c r="AE1048" s="13">
        <f>IF($AD1048="","",p_factor_productividad*IFERROR(INDEX('ASIGNACIONES'!$H$4:$H$339,MATCH($O1048&amp;"|"&amp;$R1048&amp;"|"&amp;$AB1048,'ASIGNACIONES'!$I$4:$I$339,0)),0)-$AD1048)</f>
        <v/>
      </c>
      <c r="AF1048" s="10">
        <f>IF($A1048="","",IFERROR(INDEX('2_IMPORTAR_EJECUCION'!$F$9:$F$1208,MATCH($AN1048,'2_IMPORTAR_EJECUCION'!$J$9:$J$1208,0)),0))</f>
        <v/>
      </c>
      <c r="AG1048" s="10">
        <f>IF($A1048="","",MAX(0,IFERROR(INDEX('2_IMPORTAR_EJECUCION'!$H$9:$H$1208,MATCH($AN1048,'2_IMPORTAR_EJECUCION'!$J$9:$J$1208,0)),0)-$AF1048))</f>
        <v/>
      </c>
      <c r="AH1048" s="10">
        <f>IF($A1048="","",$AF1048+$AG1048)</f>
        <v/>
      </c>
      <c r="AI1048" s="6" t="n"/>
      <c r="AJ1048" s="6" t="n"/>
      <c r="AK1048" s="6" t="n"/>
      <c r="AL1048" s="3">
        <f>IF($AK1048="","",HYPERLINK(p_ruta_base_checklists&amp;$AK1048,"abrir"))</f>
        <v/>
      </c>
      <c r="AM1048" s="6" t="n"/>
      <c r="AN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1" t="n"/>
      <c r="K1049" s="3" t="n"/>
      <c r="L1049" s="10" t="n"/>
      <c r="M1049" s="3">
        <f>IF($A1049="","",IFERROR(INDEX('AJUSTES'!$B$4:$B$303,MATCH($AN1049,'AJUSTES'!$A$4:$A$303,0)),IF($K1049="","",$K1049)))</f>
        <v/>
      </c>
      <c r="N1049" s="3">
        <f>IF($A1049="","",IFERROR(INDEX('CAT_ESTADOS_ERP'!$B$4:$B$7,MATCH(IFERROR(INDEX('2_IMPORTAR_EJECUCION'!$C$9:$C$1208,MATCH($AN1049,'2_IMPORTAR_EJECUCION'!$J$9:$J$1208,0)),""),'CAT_ESTADOS_ERP'!$A$4:$A$7,0)),"Pendiente"))</f>
        <v/>
      </c>
      <c r="O1049" s="3">
        <f>IF($J1049="","",YEAR($J1049+4-WEEKDAY($J1049,2))&amp;"-S"&amp;TEXT(_xlfn.ISOWEEKNUM($J1049),"00"))</f>
        <v/>
      </c>
      <c r="P1049" s="3">
        <f>IF($J1049="","",YEAR($J1049))</f>
        <v/>
      </c>
      <c r="Q1049" s="3">
        <f>IF($J1049="","",MONTH($J1049))</f>
        <v/>
      </c>
      <c r="R1049" s="3">
        <f>IF($J1049="","",INDEX(lista_dias,WEEKDAY($J1049,2)))</f>
        <v/>
      </c>
      <c r="S1049" s="3">
        <f>IF($I1049="","",IFERROR(INDEX('CAT_TIPOS_OT'!$C$4:$C$7,MATCH($I1049,'CAT_TIPOS_OT'!$A$4:$A$7,0)),"sin_clasificar"))</f>
        <v/>
      </c>
      <c r="T1049" s="3">
        <f>IF($F1049="","",IFERROR(INDEX('CAT_CENTROS_COSTO'!$E$4:$E$9,MATCH($F1049,'CAT_CENTROS_COSTO'!$A$4:$A$9,0)),"(sin catálogo)"))</f>
        <v/>
      </c>
      <c r="U1049" s="3">
        <f>IF($F1049="","",IFERROR(INDEX('CAT_CENTROS_COSTO'!$D$4:$D$9,MATCH($F1049,'CAT_CENTROS_COSTO'!$A$4:$A$9,0)),"(sin catálogo)"))</f>
        <v/>
      </c>
      <c r="V1049" s="3">
        <f>IF($F1049="","",IFERROR(INDEX('CAT_CENTROS_COSTO'!$F$4:$F$9,MATCH($F1049,'CAT_CENTROS_COSTO'!$A$4:$A$9,0)),"(sin catálogo)"))</f>
        <v/>
      </c>
      <c r="W1049" s="3">
        <f>IF($G1049="","",IFERROR(INDEX('CAT_PUESTOS'!$B$4:$B$8,MATCH($G1049,'CAT_PUESTOS'!$A$4:$A$8,0)),"(sin catálogo)"))</f>
        <v/>
      </c>
      <c r="X1049" s="3">
        <f>IF($H1049="","",IFERROR(INDEX('CAT_ACTIVIDADES'!$B$4:$B$8,MATCH($H1049,'CAT_ACTIVIDADES'!$A$4:$A$8,0)),"(sin catálogo)"))</f>
        <v/>
      </c>
      <c r="Y1049" s="12">
        <f>IF($J1049="","",TODAY()-$J1049)</f>
        <v/>
      </c>
      <c r="Z1049" s="3">
        <f>IF($Y1049="","",IF($Y1049&lt;0,"FUTURO",IF($Y1049&gt;p_dias_backlog_max,"BACKLOG","MES CORRIENTE")))</f>
        <v/>
      </c>
      <c r="AA1049" s="3">
        <f>IF($Y1049="",FALSE,AND($Y1049&gt;p_dias_backlog_min,$Y1049&lt;=p_dias_backlog_max))</f>
        <v/>
      </c>
      <c r="AB1049" s="6" t="n"/>
      <c r="AC1049" s="3">
        <f>IF($AB1049="","",IFERROR(INDEX('ASIGNACIONES'!$F$4:$F$339,MATCH($O1049&amp;"|"&amp;$R1049&amp;"|"&amp;$AB1049,'ASIGNACIONES'!$I$4:$I$339,0)),""))</f>
        <v/>
      </c>
      <c r="AD1049" s="13">
        <f>IF($AB1049="","",SUMIFS('ORDENES'!$M$4:$M$1203,'ORDENES'!$AB$4:$AB$1203,$AB1049,'ORDENES'!$O$4:$O$1203,$O1049,'ORDENES'!$R$4:$R$1203,$R1049))</f>
        <v/>
      </c>
      <c r="AE1049" s="13">
        <f>IF($AD1049="","",p_factor_productividad*IFERROR(INDEX('ASIGNACIONES'!$H$4:$H$339,MATCH($O1049&amp;"|"&amp;$R1049&amp;"|"&amp;$AB1049,'ASIGNACIONES'!$I$4:$I$339,0)),0)-$AD1049)</f>
        <v/>
      </c>
      <c r="AF1049" s="10">
        <f>IF($A1049="","",IFERROR(INDEX('2_IMPORTAR_EJECUCION'!$F$9:$F$1208,MATCH($AN1049,'2_IMPORTAR_EJECUCION'!$J$9:$J$1208,0)),0))</f>
        <v/>
      </c>
      <c r="AG1049" s="10">
        <f>IF($A1049="","",MAX(0,IFERROR(INDEX('2_IMPORTAR_EJECUCION'!$H$9:$H$1208,MATCH($AN1049,'2_IMPORTAR_EJECUCION'!$J$9:$J$1208,0)),0)-$AF1049))</f>
        <v/>
      </c>
      <c r="AH1049" s="10">
        <f>IF($A1049="","",$AF1049+$AG1049)</f>
        <v/>
      </c>
      <c r="AI1049" s="6" t="n"/>
      <c r="AJ1049" s="6" t="n"/>
      <c r="AK1049" s="6" t="n"/>
      <c r="AL1049" s="3">
        <f>IF($AK1049="","",HYPERLINK(p_ruta_base_checklists&amp;$AK1049,"abrir"))</f>
        <v/>
      </c>
      <c r="AM1049" s="6" t="n"/>
      <c r="AN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1" t="n"/>
      <c r="K1050" s="3" t="n"/>
      <c r="L1050" s="10" t="n"/>
      <c r="M1050" s="3">
        <f>IF($A1050="","",IFERROR(INDEX('AJUSTES'!$B$4:$B$303,MATCH($AN1050,'AJUSTES'!$A$4:$A$303,0)),IF($K1050="","",$K1050)))</f>
        <v/>
      </c>
      <c r="N1050" s="3">
        <f>IF($A1050="","",IFERROR(INDEX('CAT_ESTADOS_ERP'!$B$4:$B$7,MATCH(IFERROR(INDEX('2_IMPORTAR_EJECUCION'!$C$9:$C$1208,MATCH($AN1050,'2_IMPORTAR_EJECUCION'!$J$9:$J$1208,0)),""),'CAT_ESTADOS_ERP'!$A$4:$A$7,0)),"Pendiente"))</f>
        <v/>
      </c>
      <c r="O1050" s="3">
        <f>IF($J1050="","",YEAR($J1050+4-WEEKDAY($J1050,2))&amp;"-S"&amp;TEXT(_xlfn.ISOWEEKNUM($J1050),"00"))</f>
        <v/>
      </c>
      <c r="P1050" s="3">
        <f>IF($J1050="","",YEAR($J1050))</f>
        <v/>
      </c>
      <c r="Q1050" s="3">
        <f>IF($J1050="","",MONTH($J1050))</f>
        <v/>
      </c>
      <c r="R1050" s="3">
        <f>IF($J1050="","",INDEX(lista_dias,WEEKDAY($J1050,2)))</f>
        <v/>
      </c>
      <c r="S1050" s="3">
        <f>IF($I1050="","",IFERROR(INDEX('CAT_TIPOS_OT'!$C$4:$C$7,MATCH($I1050,'CAT_TIPOS_OT'!$A$4:$A$7,0)),"sin_clasificar"))</f>
        <v/>
      </c>
      <c r="T1050" s="3">
        <f>IF($F1050="","",IFERROR(INDEX('CAT_CENTROS_COSTO'!$E$4:$E$9,MATCH($F1050,'CAT_CENTROS_COSTO'!$A$4:$A$9,0)),"(sin catálogo)"))</f>
        <v/>
      </c>
      <c r="U1050" s="3">
        <f>IF($F1050="","",IFERROR(INDEX('CAT_CENTROS_COSTO'!$D$4:$D$9,MATCH($F1050,'CAT_CENTROS_COSTO'!$A$4:$A$9,0)),"(sin catálogo)"))</f>
        <v/>
      </c>
      <c r="V1050" s="3">
        <f>IF($F1050="","",IFERROR(INDEX('CAT_CENTROS_COSTO'!$F$4:$F$9,MATCH($F1050,'CAT_CENTROS_COSTO'!$A$4:$A$9,0)),"(sin catálogo)"))</f>
        <v/>
      </c>
      <c r="W1050" s="3">
        <f>IF($G1050="","",IFERROR(INDEX('CAT_PUESTOS'!$B$4:$B$8,MATCH($G1050,'CAT_PUESTOS'!$A$4:$A$8,0)),"(sin catálogo)"))</f>
        <v/>
      </c>
      <c r="X1050" s="3">
        <f>IF($H1050="","",IFERROR(INDEX('CAT_ACTIVIDADES'!$B$4:$B$8,MATCH($H1050,'CAT_ACTIVIDADES'!$A$4:$A$8,0)),"(sin catálogo)"))</f>
        <v/>
      </c>
      <c r="Y1050" s="12">
        <f>IF($J1050="","",TODAY()-$J1050)</f>
        <v/>
      </c>
      <c r="Z1050" s="3">
        <f>IF($Y1050="","",IF($Y1050&lt;0,"FUTURO",IF($Y1050&gt;p_dias_backlog_max,"BACKLOG","MES CORRIENTE")))</f>
        <v/>
      </c>
      <c r="AA1050" s="3">
        <f>IF($Y1050="",FALSE,AND($Y1050&gt;p_dias_backlog_min,$Y1050&lt;=p_dias_backlog_max))</f>
        <v/>
      </c>
      <c r="AB1050" s="6" t="n"/>
      <c r="AC1050" s="3">
        <f>IF($AB1050="","",IFERROR(INDEX('ASIGNACIONES'!$F$4:$F$339,MATCH($O1050&amp;"|"&amp;$R1050&amp;"|"&amp;$AB1050,'ASIGNACIONES'!$I$4:$I$339,0)),""))</f>
        <v/>
      </c>
      <c r="AD1050" s="13">
        <f>IF($AB1050="","",SUMIFS('ORDENES'!$M$4:$M$1203,'ORDENES'!$AB$4:$AB$1203,$AB1050,'ORDENES'!$O$4:$O$1203,$O1050,'ORDENES'!$R$4:$R$1203,$R1050))</f>
        <v/>
      </c>
      <c r="AE1050" s="13">
        <f>IF($AD1050="","",p_factor_productividad*IFERROR(INDEX('ASIGNACIONES'!$H$4:$H$339,MATCH($O1050&amp;"|"&amp;$R1050&amp;"|"&amp;$AB1050,'ASIGNACIONES'!$I$4:$I$339,0)),0)-$AD1050)</f>
        <v/>
      </c>
      <c r="AF1050" s="10">
        <f>IF($A1050="","",IFERROR(INDEX('2_IMPORTAR_EJECUCION'!$F$9:$F$1208,MATCH($AN1050,'2_IMPORTAR_EJECUCION'!$J$9:$J$1208,0)),0))</f>
        <v/>
      </c>
      <c r="AG1050" s="10">
        <f>IF($A1050="","",MAX(0,IFERROR(INDEX('2_IMPORTAR_EJECUCION'!$H$9:$H$1208,MATCH($AN1050,'2_IMPORTAR_EJECUCION'!$J$9:$J$1208,0)),0)-$AF1050))</f>
        <v/>
      </c>
      <c r="AH1050" s="10">
        <f>IF($A1050="","",$AF1050+$AG1050)</f>
        <v/>
      </c>
      <c r="AI1050" s="6" t="n"/>
      <c r="AJ1050" s="6" t="n"/>
      <c r="AK1050" s="6" t="n"/>
      <c r="AL1050" s="3">
        <f>IF($AK1050="","",HYPERLINK(p_ruta_base_checklists&amp;$AK1050,"abrir"))</f>
        <v/>
      </c>
      <c r="AM1050" s="6" t="n"/>
      <c r="AN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1" t="n"/>
      <c r="K1051" s="3" t="n"/>
      <c r="L1051" s="10" t="n"/>
      <c r="M1051" s="3">
        <f>IF($A1051="","",IFERROR(INDEX('AJUSTES'!$B$4:$B$303,MATCH($AN1051,'AJUSTES'!$A$4:$A$303,0)),IF($K1051="","",$K1051)))</f>
        <v/>
      </c>
      <c r="N1051" s="3">
        <f>IF($A1051="","",IFERROR(INDEX('CAT_ESTADOS_ERP'!$B$4:$B$7,MATCH(IFERROR(INDEX('2_IMPORTAR_EJECUCION'!$C$9:$C$1208,MATCH($AN1051,'2_IMPORTAR_EJECUCION'!$J$9:$J$1208,0)),""),'CAT_ESTADOS_ERP'!$A$4:$A$7,0)),"Pendiente"))</f>
        <v/>
      </c>
      <c r="O1051" s="3">
        <f>IF($J1051="","",YEAR($J1051+4-WEEKDAY($J1051,2))&amp;"-S"&amp;TEXT(_xlfn.ISOWEEKNUM($J1051),"00"))</f>
        <v/>
      </c>
      <c r="P1051" s="3">
        <f>IF($J1051="","",YEAR($J1051))</f>
        <v/>
      </c>
      <c r="Q1051" s="3">
        <f>IF($J1051="","",MONTH($J1051))</f>
        <v/>
      </c>
      <c r="R1051" s="3">
        <f>IF($J1051="","",INDEX(lista_dias,WEEKDAY($J1051,2)))</f>
        <v/>
      </c>
      <c r="S1051" s="3">
        <f>IF($I1051="","",IFERROR(INDEX('CAT_TIPOS_OT'!$C$4:$C$7,MATCH($I1051,'CAT_TIPOS_OT'!$A$4:$A$7,0)),"sin_clasificar"))</f>
        <v/>
      </c>
      <c r="T1051" s="3">
        <f>IF($F1051="","",IFERROR(INDEX('CAT_CENTROS_COSTO'!$E$4:$E$9,MATCH($F1051,'CAT_CENTROS_COSTO'!$A$4:$A$9,0)),"(sin catálogo)"))</f>
        <v/>
      </c>
      <c r="U1051" s="3">
        <f>IF($F1051="","",IFERROR(INDEX('CAT_CENTROS_COSTO'!$D$4:$D$9,MATCH($F1051,'CAT_CENTROS_COSTO'!$A$4:$A$9,0)),"(sin catálogo)"))</f>
        <v/>
      </c>
      <c r="V1051" s="3">
        <f>IF($F1051="","",IFERROR(INDEX('CAT_CENTROS_COSTO'!$F$4:$F$9,MATCH($F1051,'CAT_CENTROS_COSTO'!$A$4:$A$9,0)),"(sin catálogo)"))</f>
        <v/>
      </c>
      <c r="W1051" s="3">
        <f>IF($G1051="","",IFERROR(INDEX('CAT_PUESTOS'!$B$4:$B$8,MATCH($G1051,'CAT_PUESTOS'!$A$4:$A$8,0)),"(sin catálogo)"))</f>
        <v/>
      </c>
      <c r="X1051" s="3">
        <f>IF($H1051="","",IFERROR(INDEX('CAT_ACTIVIDADES'!$B$4:$B$8,MATCH($H1051,'CAT_ACTIVIDADES'!$A$4:$A$8,0)),"(sin catálogo)"))</f>
        <v/>
      </c>
      <c r="Y1051" s="12">
        <f>IF($J1051="","",TODAY()-$J1051)</f>
        <v/>
      </c>
      <c r="Z1051" s="3">
        <f>IF($Y1051="","",IF($Y1051&lt;0,"FUTURO",IF($Y1051&gt;p_dias_backlog_max,"BACKLOG","MES CORRIENTE")))</f>
        <v/>
      </c>
      <c r="AA1051" s="3">
        <f>IF($Y1051="",FALSE,AND($Y1051&gt;p_dias_backlog_min,$Y1051&lt;=p_dias_backlog_max))</f>
        <v/>
      </c>
      <c r="AB1051" s="6" t="n"/>
      <c r="AC1051" s="3">
        <f>IF($AB1051="","",IFERROR(INDEX('ASIGNACIONES'!$F$4:$F$339,MATCH($O1051&amp;"|"&amp;$R1051&amp;"|"&amp;$AB1051,'ASIGNACIONES'!$I$4:$I$339,0)),""))</f>
        <v/>
      </c>
      <c r="AD1051" s="13">
        <f>IF($AB1051="","",SUMIFS('ORDENES'!$M$4:$M$1203,'ORDENES'!$AB$4:$AB$1203,$AB1051,'ORDENES'!$O$4:$O$1203,$O1051,'ORDENES'!$R$4:$R$1203,$R1051))</f>
        <v/>
      </c>
      <c r="AE1051" s="13">
        <f>IF($AD1051="","",p_factor_productividad*IFERROR(INDEX('ASIGNACIONES'!$H$4:$H$339,MATCH($O1051&amp;"|"&amp;$R1051&amp;"|"&amp;$AB1051,'ASIGNACIONES'!$I$4:$I$339,0)),0)-$AD1051)</f>
        <v/>
      </c>
      <c r="AF1051" s="10">
        <f>IF($A1051="","",IFERROR(INDEX('2_IMPORTAR_EJECUCION'!$F$9:$F$1208,MATCH($AN1051,'2_IMPORTAR_EJECUCION'!$J$9:$J$1208,0)),0))</f>
        <v/>
      </c>
      <c r="AG1051" s="10">
        <f>IF($A1051="","",MAX(0,IFERROR(INDEX('2_IMPORTAR_EJECUCION'!$H$9:$H$1208,MATCH($AN1051,'2_IMPORTAR_EJECUCION'!$J$9:$J$1208,0)),0)-$AF1051))</f>
        <v/>
      </c>
      <c r="AH1051" s="10">
        <f>IF($A1051="","",$AF1051+$AG1051)</f>
        <v/>
      </c>
      <c r="AI1051" s="6" t="n"/>
      <c r="AJ1051" s="6" t="n"/>
      <c r="AK1051" s="6" t="n"/>
      <c r="AL1051" s="3">
        <f>IF($AK1051="","",HYPERLINK(p_ruta_base_checklists&amp;$AK1051,"abrir"))</f>
        <v/>
      </c>
      <c r="AM1051" s="6" t="n"/>
      <c r="AN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1" t="n"/>
      <c r="K1052" s="3" t="n"/>
      <c r="L1052" s="10" t="n"/>
      <c r="M1052" s="3">
        <f>IF($A1052="","",IFERROR(INDEX('AJUSTES'!$B$4:$B$303,MATCH($AN1052,'AJUSTES'!$A$4:$A$303,0)),IF($K1052="","",$K1052)))</f>
        <v/>
      </c>
      <c r="N1052" s="3">
        <f>IF($A1052="","",IFERROR(INDEX('CAT_ESTADOS_ERP'!$B$4:$B$7,MATCH(IFERROR(INDEX('2_IMPORTAR_EJECUCION'!$C$9:$C$1208,MATCH($AN1052,'2_IMPORTAR_EJECUCION'!$J$9:$J$1208,0)),""),'CAT_ESTADOS_ERP'!$A$4:$A$7,0)),"Pendiente"))</f>
        <v/>
      </c>
      <c r="O1052" s="3">
        <f>IF($J1052="","",YEAR($J1052+4-WEEKDAY($J1052,2))&amp;"-S"&amp;TEXT(_xlfn.ISOWEEKNUM($J1052),"00"))</f>
        <v/>
      </c>
      <c r="P1052" s="3">
        <f>IF($J1052="","",YEAR($J1052))</f>
        <v/>
      </c>
      <c r="Q1052" s="3">
        <f>IF($J1052="","",MONTH($J1052))</f>
        <v/>
      </c>
      <c r="R1052" s="3">
        <f>IF($J1052="","",INDEX(lista_dias,WEEKDAY($J1052,2)))</f>
        <v/>
      </c>
      <c r="S1052" s="3">
        <f>IF($I1052="","",IFERROR(INDEX('CAT_TIPOS_OT'!$C$4:$C$7,MATCH($I1052,'CAT_TIPOS_OT'!$A$4:$A$7,0)),"sin_clasificar"))</f>
        <v/>
      </c>
      <c r="T1052" s="3">
        <f>IF($F1052="","",IFERROR(INDEX('CAT_CENTROS_COSTO'!$E$4:$E$9,MATCH($F1052,'CAT_CENTROS_COSTO'!$A$4:$A$9,0)),"(sin catálogo)"))</f>
        <v/>
      </c>
      <c r="U1052" s="3">
        <f>IF($F1052="","",IFERROR(INDEX('CAT_CENTROS_COSTO'!$D$4:$D$9,MATCH($F1052,'CAT_CENTROS_COSTO'!$A$4:$A$9,0)),"(sin catálogo)"))</f>
        <v/>
      </c>
      <c r="V1052" s="3">
        <f>IF($F1052="","",IFERROR(INDEX('CAT_CENTROS_COSTO'!$F$4:$F$9,MATCH($F1052,'CAT_CENTROS_COSTO'!$A$4:$A$9,0)),"(sin catálogo)"))</f>
        <v/>
      </c>
      <c r="W1052" s="3">
        <f>IF($G1052="","",IFERROR(INDEX('CAT_PUESTOS'!$B$4:$B$8,MATCH($G1052,'CAT_PUESTOS'!$A$4:$A$8,0)),"(sin catálogo)"))</f>
        <v/>
      </c>
      <c r="X1052" s="3">
        <f>IF($H1052="","",IFERROR(INDEX('CAT_ACTIVIDADES'!$B$4:$B$8,MATCH($H1052,'CAT_ACTIVIDADES'!$A$4:$A$8,0)),"(sin catálogo)"))</f>
        <v/>
      </c>
      <c r="Y1052" s="12">
        <f>IF($J1052="","",TODAY()-$J1052)</f>
        <v/>
      </c>
      <c r="Z1052" s="3">
        <f>IF($Y1052="","",IF($Y1052&lt;0,"FUTURO",IF($Y1052&gt;p_dias_backlog_max,"BACKLOG","MES CORRIENTE")))</f>
        <v/>
      </c>
      <c r="AA1052" s="3">
        <f>IF($Y1052="",FALSE,AND($Y1052&gt;p_dias_backlog_min,$Y1052&lt;=p_dias_backlog_max))</f>
        <v/>
      </c>
      <c r="AB1052" s="6" t="n"/>
      <c r="AC1052" s="3">
        <f>IF($AB1052="","",IFERROR(INDEX('ASIGNACIONES'!$F$4:$F$339,MATCH($O1052&amp;"|"&amp;$R1052&amp;"|"&amp;$AB1052,'ASIGNACIONES'!$I$4:$I$339,0)),""))</f>
        <v/>
      </c>
      <c r="AD1052" s="13">
        <f>IF($AB1052="","",SUMIFS('ORDENES'!$M$4:$M$1203,'ORDENES'!$AB$4:$AB$1203,$AB1052,'ORDENES'!$O$4:$O$1203,$O1052,'ORDENES'!$R$4:$R$1203,$R1052))</f>
        <v/>
      </c>
      <c r="AE1052" s="13">
        <f>IF($AD1052="","",p_factor_productividad*IFERROR(INDEX('ASIGNACIONES'!$H$4:$H$339,MATCH($O1052&amp;"|"&amp;$R1052&amp;"|"&amp;$AB1052,'ASIGNACIONES'!$I$4:$I$339,0)),0)-$AD1052)</f>
        <v/>
      </c>
      <c r="AF1052" s="10">
        <f>IF($A1052="","",IFERROR(INDEX('2_IMPORTAR_EJECUCION'!$F$9:$F$1208,MATCH($AN1052,'2_IMPORTAR_EJECUCION'!$J$9:$J$1208,0)),0))</f>
        <v/>
      </c>
      <c r="AG1052" s="10">
        <f>IF($A1052="","",MAX(0,IFERROR(INDEX('2_IMPORTAR_EJECUCION'!$H$9:$H$1208,MATCH($AN1052,'2_IMPORTAR_EJECUCION'!$J$9:$J$1208,0)),0)-$AF1052))</f>
        <v/>
      </c>
      <c r="AH1052" s="10">
        <f>IF($A1052="","",$AF1052+$AG1052)</f>
        <v/>
      </c>
      <c r="AI1052" s="6" t="n"/>
      <c r="AJ1052" s="6" t="n"/>
      <c r="AK1052" s="6" t="n"/>
      <c r="AL1052" s="3">
        <f>IF($AK1052="","",HYPERLINK(p_ruta_base_checklists&amp;$AK1052,"abrir"))</f>
        <v/>
      </c>
      <c r="AM1052" s="6" t="n"/>
      <c r="AN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1" t="n"/>
      <c r="K1053" s="3" t="n"/>
      <c r="L1053" s="10" t="n"/>
      <c r="M1053" s="3">
        <f>IF($A1053="","",IFERROR(INDEX('AJUSTES'!$B$4:$B$303,MATCH($AN1053,'AJUSTES'!$A$4:$A$303,0)),IF($K1053="","",$K1053)))</f>
        <v/>
      </c>
      <c r="N1053" s="3">
        <f>IF($A1053="","",IFERROR(INDEX('CAT_ESTADOS_ERP'!$B$4:$B$7,MATCH(IFERROR(INDEX('2_IMPORTAR_EJECUCION'!$C$9:$C$1208,MATCH($AN1053,'2_IMPORTAR_EJECUCION'!$J$9:$J$1208,0)),""),'CAT_ESTADOS_ERP'!$A$4:$A$7,0)),"Pendiente"))</f>
        <v/>
      </c>
      <c r="O1053" s="3">
        <f>IF($J1053="","",YEAR($J1053+4-WEEKDAY($J1053,2))&amp;"-S"&amp;TEXT(_xlfn.ISOWEEKNUM($J1053),"00"))</f>
        <v/>
      </c>
      <c r="P1053" s="3">
        <f>IF($J1053="","",YEAR($J1053))</f>
        <v/>
      </c>
      <c r="Q1053" s="3">
        <f>IF($J1053="","",MONTH($J1053))</f>
        <v/>
      </c>
      <c r="R1053" s="3">
        <f>IF($J1053="","",INDEX(lista_dias,WEEKDAY($J1053,2)))</f>
        <v/>
      </c>
      <c r="S1053" s="3">
        <f>IF($I1053="","",IFERROR(INDEX('CAT_TIPOS_OT'!$C$4:$C$7,MATCH($I1053,'CAT_TIPOS_OT'!$A$4:$A$7,0)),"sin_clasificar"))</f>
        <v/>
      </c>
      <c r="T1053" s="3">
        <f>IF($F1053="","",IFERROR(INDEX('CAT_CENTROS_COSTO'!$E$4:$E$9,MATCH($F1053,'CAT_CENTROS_COSTO'!$A$4:$A$9,0)),"(sin catálogo)"))</f>
        <v/>
      </c>
      <c r="U1053" s="3">
        <f>IF($F1053="","",IFERROR(INDEX('CAT_CENTROS_COSTO'!$D$4:$D$9,MATCH($F1053,'CAT_CENTROS_COSTO'!$A$4:$A$9,0)),"(sin catálogo)"))</f>
        <v/>
      </c>
      <c r="V1053" s="3">
        <f>IF($F1053="","",IFERROR(INDEX('CAT_CENTROS_COSTO'!$F$4:$F$9,MATCH($F1053,'CAT_CENTROS_COSTO'!$A$4:$A$9,0)),"(sin catálogo)"))</f>
        <v/>
      </c>
      <c r="W1053" s="3">
        <f>IF($G1053="","",IFERROR(INDEX('CAT_PUESTOS'!$B$4:$B$8,MATCH($G1053,'CAT_PUESTOS'!$A$4:$A$8,0)),"(sin catálogo)"))</f>
        <v/>
      </c>
      <c r="X1053" s="3">
        <f>IF($H1053="","",IFERROR(INDEX('CAT_ACTIVIDADES'!$B$4:$B$8,MATCH($H1053,'CAT_ACTIVIDADES'!$A$4:$A$8,0)),"(sin catálogo)"))</f>
        <v/>
      </c>
      <c r="Y1053" s="12">
        <f>IF($J1053="","",TODAY()-$J1053)</f>
        <v/>
      </c>
      <c r="Z1053" s="3">
        <f>IF($Y1053="","",IF($Y1053&lt;0,"FUTURO",IF($Y1053&gt;p_dias_backlog_max,"BACKLOG","MES CORRIENTE")))</f>
        <v/>
      </c>
      <c r="AA1053" s="3">
        <f>IF($Y1053="",FALSE,AND($Y1053&gt;p_dias_backlog_min,$Y1053&lt;=p_dias_backlog_max))</f>
        <v/>
      </c>
      <c r="AB1053" s="6" t="n"/>
      <c r="AC1053" s="3">
        <f>IF($AB1053="","",IFERROR(INDEX('ASIGNACIONES'!$F$4:$F$339,MATCH($O1053&amp;"|"&amp;$R1053&amp;"|"&amp;$AB1053,'ASIGNACIONES'!$I$4:$I$339,0)),""))</f>
        <v/>
      </c>
      <c r="AD1053" s="13">
        <f>IF($AB1053="","",SUMIFS('ORDENES'!$M$4:$M$1203,'ORDENES'!$AB$4:$AB$1203,$AB1053,'ORDENES'!$O$4:$O$1203,$O1053,'ORDENES'!$R$4:$R$1203,$R1053))</f>
        <v/>
      </c>
      <c r="AE1053" s="13">
        <f>IF($AD1053="","",p_factor_productividad*IFERROR(INDEX('ASIGNACIONES'!$H$4:$H$339,MATCH($O1053&amp;"|"&amp;$R1053&amp;"|"&amp;$AB1053,'ASIGNACIONES'!$I$4:$I$339,0)),0)-$AD1053)</f>
        <v/>
      </c>
      <c r="AF1053" s="10">
        <f>IF($A1053="","",IFERROR(INDEX('2_IMPORTAR_EJECUCION'!$F$9:$F$1208,MATCH($AN1053,'2_IMPORTAR_EJECUCION'!$J$9:$J$1208,0)),0))</f>
        <v/>
      </c>
      <c r="AG1053" s="10">
        <f>IF($A1053="","",MAX(0,IFERROR(INDEX('2_IMPORTAR_EJECUCION'!$H$9:$H$1208,MATCH($AN1053,'2_IMPORTAR_EJECUCION'!$J$9:$J$1208,0)),0)-$AF1053))</f>
        <v/>
      </c>
      <c r="AH1053" s="10">
        <f>IF($A1053="","",$AF1053+$AG1053)</f>
        <v/>
      </c>
      <c r="AI1053" s="6" t="n"/>
      <c r="AJ1053" s="6" t="n"/>
      <c r="AK1053" s="6" t="n"/>
      <c r="AL1053" s="3">
        <f>IF($AK1053="","",HYPERLINK(p_ruta_base_checklists&amp;$AK1053,"abrir"))</f>
        <v/>
      </c>
      <c r="AM1053" s="6" t="n"/>
      <c r="AN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1" t="n"/>
      <c r="K1054" s="3" t="n"/>
      <c r="L1054" s="10" t="n"/>
      <c r="M1054" s="3">
        <f>IF($A1054="","",IFERROR(INDEX('AJUSTES'!$B$4:$B$303,MATCH($AN1054,'AJUSTES'!$A$4:$A$303,0)),IF($K1054="","",$K1054)))</f>
        <v/>
      </c>
      <c r="N1054" s="3">
        <f>IF($A1054="","",IFERROR(INDEX('CAT_ESTADOS_ERP'!$B$4:$B$7,MATCH(IFERROR(INDEX('2_IMPORTAR_EJECUCION'!$C$9:$C$1208,MATCH($AN1054,'2_IMPORTAR_EJECUCION'!$J$9:$J$1208,0)),""),'CAT_ESTADOS_ERP'!$A$4:$A$7,0)),"Pendiente"))</f>
        <v/>
      </c>
      <c r="O1054" s="3">
        <f>IF($J1054="","",YEAR($J1054+4-WEEKDAY($J1054,2))&amp;"-S"&amp;TEXT(_xlfn.ISOWEEKNUM($J1054),"00"))</f>
        <v/>
      </c>
      <c r="P1054" s="3">
        <f>IF($J1054="","",YEAR($J1054))</f>
        <v/>
      </c>
      <c r="Q1054" s="3">
        <f>IF($J1054="","",MONTH($J1054))</f>
        <v/>
      </c>
      <c r="R1054" s="3">
        <f>IF($J1054="","",INDEX(lista_dias,WEEKDAY($J1054,2)))</f>
        <v/>
      </c>
      <c r="S1054" s="3">
        <f>IF($I1054="","",IFERROR(INDEX('CAT_TIPOS_OT'!$C$4:$C$7,MATCH($I1054,'CAT_TIPOS_OT'!$A$4:$A$7,0)),"sin_clasificar"))</f>
        <v/>
      </c>
      <c r="T1054" s="3">
        <f>IF($F1054="","",IFERROR(INDEX('CAT_CENTROS_COSTO'!$E$4:$E$9,MATCH($F1054,'CAT_CENTROS_COSTO'!$A$4:$A$9,0)),"(sin catálogo)"))</f>
        <v/>
      </c>
      <c r="U1054" s="3">
        <f>IF($F1054="","",IFERROR(INDEX('CAT_CENTROS_COSTO'!$D$4:$D$9,MATCH($F1054,'CAT_CENTROS_COSTO'!$A$4:$A$9,0)),"(sin catálogo)"))</f>
        <v/>
      </c>
      <c r="V1054" s="3">
        <f>IF($F1054="","",IFERROR(INDEX('CAT_CENTROS_COSTO'!$F$4:$F$9,MATCH($F1054,'CAT_CENTROS_COSTO'!$A$4:$A$9,0)),"(sin catálogo)"))</f>
        <v/>
      </c>
      <c r="W1054" s="3">
        <f>IF($G1054="","",IFERROR(INDEX('CAT_PUESTOS'!$B$4:$B$8,MATCH($G1054,'CAT_PUESTOS'!$A$4:$A$8,0)),"(sin catálogo)"))</f>
        <v/>
      </c>
      <c r="X1054" s="3">
        <f>IF($H1054="","",IFERROR(INDEX('CAT_ACTIVIDADES'!$B$4:$B$8,MATCH($H1054,'CAT_ACTIVIDADES'!$A$4:$A$8,0)),"(sin catálogo)"))</f>
        <v/>
      </c>
      <c r="Y1054" s="12">
        <f>IF($J1054="","",TODAY()-$J1054)</f>
        <v/>
      </c>
      <c r="Z1054" s="3">
        <f>IF($Y1054="","",IF($Y1054&lt;0,"FUTURO",IF($Y1054&gt;p_dias_backlog_max,"BACKLOG","MES CORRIENTE")))</f>
        <v/>
      </c>
      <c r="AA1054" s="3">
        <f>IF($Y1054="",FALSE,AND($Y1054&gt;p_dias_backlog_min,$Y1054&lt;=p_dias_backlog_max))</f>
        <v/>
      </c>
      <c r="AB1054" s="6" t="n"/>
      <c r="AC1054" s="3">
        <f>IF($AB1054="","",IFERROR(INDEX('ASIGNACIONES'!$F$4:$F$339,MATCH($O1054&amp;"|"&amp;$R1054&amp;"|"&amp;$AB1054,'ASIGNACIONES'!$I$4:$I$339,0)),""))</f>
        <v/>
      </c>
      <c r="AD1054" s="13">
        <f>IF($AB1054="","",SUMIFS('ORDENES'!$M$4:$M$1203,'ORDENES'!$AB$4:$AB$1203,$AB1054,'ORDENES'!$O$4:$O$1203,$O1054,'ORDENES'!$R$4:$R$1203,$R1054))</f>
        <v/>
      </c>
      <c r="AE1054" s="13">
        <f>IF($AD1054="","",p_factor_productividad*IFERROR(INDEX('ASIGNACIONES'!$H$4:$H$339,MATCH($O1054&amp;"|"&amp;$R1054&amp;"|"&amp;$AB1054,'ASIGNACIONES'!$I$4:$I$339,0)),0)-$AD1054)</f>
        <v/>
      </c>
      <c r="AF1054" s="10">
        <f>IF($A1054="","",IFERROR(INDEX('2_IMPORTAR_EJECUCION'!$F$9:$F$1208,MATCH($AN1054,'2_IMPORTAR_EJECUCION'!$J$9:$J$1208,0)),0))</f>
        <v/>
      </c>
      <c r="AG1054" s="10">
        <f>IF($A1054="","",MAX(0,IFERROR(INDEX('2_IMPORTAR_EJECUCION'!$H$9:$H$1208,MATCH($AN1054,'2_IMPORTAR_EJECUCION'!$J$9:$J$1208,0)),0)-$AF1054))</f>
        <v/>
      </c>
      <c r="AH1054" s="10">
        <f>IF($A1054="","",$AF1054+$AG1054)</f>
        <v/>
      </c>
      <c r="AI1054" s="6" t="n"/>
      <c r="AJ1054" s="6" t="n"/>
      <c r="AK1054" s="6" t="n"/>
      <c r="AL1054" s="3">
        <f>IF($AK1054="","",HYPERLINK(p_ruta_base_checklists&amp;$AK1054,"abrir"))</f>
        <v/>
      </c>
      <c r="AM1054" s="6" t="n"/>
      <c r="AN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1" t="n"/>
      <c r="K1055" s="3" t="n"/>
      <c r="L1055" s="10" t="n"/>
      <c r="M1055" s="3">
        <f>IF($A1055="","",IFERROR(INDEX('AJUSTES'!$B$4:$B$303,MATCH($AN1055,'AJUSTES'!$A$4:$A$303,0)),IF($K1055="","",$K1055)))</f>
        <v/>
      </c>
      <c r="N1055" s="3">
        <f>IF($A1055="","",IFERROR(INDEX('CAT_ESTADOS_ERP'!$B$4:$B$7,MATCH(IFERROR(INDEX('2_IMPORTAR_EJECUCION'!$C$9:$C$1208,MATCH($AN1055,'2_IMPORTAR_EJECUCION'!$J$9:$J$1208,0)),""),'CAT_ESTADOS_ERP'!$A$4:$A$7,0)),"Pendiente"))</f>
        <v/>
      </c>
      <c r="O1055" s="3">
        <f>IF($J1055="","",YEAR($J1055+4-WEEKDAY($J1055,2))&amp;"-S"&amp;TEXT(_xlfn.ISOWEEKNUM($J1055),"00"))</f>
        <v/>
      </c>
      <c r="P1055" s="3">
        <f>IF($J1055="","",YEAR($J1055))</f>
        <v/>
      </c>
      <c r="Q1055" s="3">
        <f>IF($J1055="","",MONTH($J1055))</f>
        <v/>
      </c>
      <c r="R1055" s="3">
        <f>IF($J1055="","",INDEX(lista_dias,WEEKDAY($J1055,2)))</f>
        <v/>
      </c>
      <c r="S1055" s="3">
        <f>IF($I1055="","",IFERROR(INDEX('CAT_TIPOS_OT'!$C$4:$C$7,MATCH($I1055,'CAT_TIPOS_OT'!$A$4:$A$7,0)),"sin_clasificar"))</f>
        <v/>
      </c>
      <c r="T1055" s="3">
        <f>IF($F1055="","",IFERROR(INDEX('CAT_CENTROS_COSTO'!$E$4:$E$9,MATCH($F1055,'CAT_CENTROS_COSTO'!$A$4:$A$9,0)),"(sin catálogo)"))</f>
        <v/>
      </c>
      <c r="U1055" s="3">
        <f>IF($F1055="","",IFERROR(INDEX('CAT_CENTROS_COSTO'!$D$4:$D$9,MATCH($F1055,'CAT_CENTROS_COSTO'!$A$4:$A$9,0)),"(sin catálogo)"))</f>
        <v/>
      </c>
      <c r="V1055" s="3">
        <f>IF($F1055="","",IFERROR(INDEX('CAT_CENTROS_COSTO'!$F$4:$F$9,MATCH($F1055,'CAT_CENTROS_COSTO'!$A$4:$A$9,0)),"(sin catálogo)"))</f>
        <v/>
      </c>
      <c r="W1055" s="3">
        <f>IF($G1055="","",IFERROR(INDEX('CAT_PUESTOS'!$B$4:$B$8,MATCH($G1055,'CAT_PUESTOS'!$A$4:$A$8,0)),"(sin catálogo)"))</f>
        <v/>
      </c>
      <c r="X1055" s="3">
        <f>IF($H1055="","",IFERROR(INDEX('CAT_ACTIVIDADES'!$B$4:$B$8,MATCH($H1055,'CAT_ACTIVIDADES'!$A$4:$A$8,0)),"(sin catálogo)"))</f>
        <v/>
      </c>
      <c r="Y1055" s="12">
        <f>IF($J1055="","",TODAY()-$J1055)</f>
        <v/>
      </c>
      <c r="Z1055" s="3">
        <f>IF($Y1055="","",IF($Y1055&lt;0,"FUTURO",IF($Y1055&gt;p_dias_backlog_max,"BACKLOG","MES CORRIENTE")))</f>
        <v/>
      </c>
      <c r="AA1055" s="3">
        <f>IF($Y1055="",FALSE,AND($Y1055&gt;p_dias_backlog_min,$Y1055&lt;=p_dias_backlog_max))</f>
        <v/>
      </c>
      <c r="AB1055" s="6" t="n"/>
      <c r="AC1055" s="3">
        <f>IF($AB1055="","",IFERROR(INDEX('ASIGNACIONES'!$F$4:$F$339,MATCH($O1055&amp;"|"&amp;$R1055&amp;"|"&amp;$AB1055,'ASIGNACIONES'!$I$4:$I$339,0)),""))</f>
        <v/>
      </c>
      <c r="AD1055" s="13">
        <f>IF($AB1055="","",SUMIFS('ORDENES'!$M$4:$M$1203,'ORDENES'!$AB$4:$AB$1203,$AB1055,'ORDENES'!$O$4:$O$1203,$O1055,'ORDENES'!$R$4:$R$1203,$R1055))</f>
        <v/>
      </c>
      <c r="AE1055" s="13">
        <f>IF($AD1055="","",p_factor_productividad*IFERROR(INDEX('ASIGNACIONES'!$H$4:$H$339,MATCH($O1055&amp;"|"&amp;$R1055&amp;"|"&amp;$AB1055,'ASIGNACIONES'!$I$4:$I$339,0)),0)-$AD1055)</f>
        <v/>
      </c>
      <c r="AF1055" s="10">
        <f>IF($A1055="","",IFERROR(INDEX('2_IMPORTAR_EJECUCION'!$F$9:$F$1208,MATCH($AN1055,'2_IMPORTAR_EJECUCION'!$J$9:$J$1208,0)),0))</f>
        <v/>
      </c>
      <c r="AG1055" s="10">
        <f>IF($A1055="","",MAX(0,IFERROR(INDEX('2_IMPORTAR_EJECUCION'!$H$9:$H$1208,MATCH($AN1055,'2_IMPORTAR_EJECUCION'!$J$9:$J$1208,0)),0)-$AF1055))</f>
        <v/>
      </c>
      <c r="AH1055" s="10">
        <f>IF($A1055="","",$AF1055+$AG1055)</f>
        <v/>
      </c>
      <c r="AI1055" s="6" t="n"/>
      <c r="AJ1055" s="6" t="n"/>
      <c r="AK1055" s="6" t="n"/>
      <c r="AL1055" s="3">
        <f>IF($AK1055="","",HYPERLINK(p_ruta_base_checklists&amp;$AK1055,"abrir"))</f>
        <v/>
      </c>
      <c r="AM1055" s="6" t="n"/>
      <c r="AN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1" t="n"/>
      <c r="K1056" s="3" t="n"/>
      <c r="L1056" s="10" t="n"/>
      <c r="M1056" s="3">
        <f>IF($A1056="","",IFERROR(INDEX('AJUSTES'!$B$4:$B$303,MATCH($AN1056,'AJUSTES'!$A$4:$A$303,0)),IF($K1056="","",$K1056)))</f>
        <v/>
      </c>
      <c r="N1056" s="3">
        <f>IF($A1056="","",IFERROR(INDEX('CAT_ESTADOS_ERP'!$B$4:$B$7,MATCH(IFERROR(INDEX('2_IMPORTAR_EJECUCION'!$C$9:$C$1208,MATCH($AN1056,'2_IMPORTAR_EJECUCION'!$J$9:$J$1208,0)),""),'CAT_ESTADOS_ERP'!$A$4:$A$7,0)),"Pendiente"))</f>
        <v/>
      </c>
      <c r="O1056" s="3">
        <f>IF($J1056="","",YEAR($J1056+4-WEEKDAY($J1056,2))&amp;"-S"&amp;TEXT(_xlfn.ISOWEEKNUM($J1056),"00"))</f>
        <v/>
      </c>
      <c r="P1056" s="3">
        <f>IF($J1056="","",YEAR($J1056))</f>
        <v/>
      </c>
      <c r="Q1056" s="3">
        <f>IF($J1056="","",MONTH($J1056))</f>
        <v/>
      </c>
      <c r="R1056" s="3">
        <f>IF($J1056="","",INDEX(lista_dias,WEEKDAY($J1056,2)))</f>
        <v/>
      </c>
      <c r="S1056" s="3">
        <f>IF($I1056="","",IFERROR(INDEX('CAT_TIPOS_OT'!$C$4:$C$7,MATCH($I1056,'CAT_TIPOS_OT'!$A$4:$A$7,0)),"sin_clasificar"))</f>
        <v/>
      </c>
      <c r="T1056" s="3">
        <f>IF($F1056="","",IFERROR(INDEX('CAT_CENTROS_COSTO'!$E$4:$E$9,MATCH($F1056,'CAT_CENTROS_COSTO'!$A$4:$A$9,0)),"(sin catálogo)"))</f>
        <v/>
      </c>
      <c r="U1056" s="3">
        <f>IF($F1056="","",IFERROR(INDEX('CAT_CENTROS_COSTO'!$D$4:$D$9,MATCH($F1056,'CAT_CENTROS_COSTO'!$A$4:$A$9,0)),"(sin catálogo)"))</f>
        <v/>
      </c>
      <c r="V1056" s="3">
        <f>IF($F1056="","",IFERROR(INDEX('CAT_CENTROS_COSTO'!$F$4:$F$9,MATCH($F1056,'CAT_CENTROS_COSTO'!$A$4:$A$9,0)),"(sin catálogo)"))</f>
        <v/>
      </c>
      <c r="W1056" s="3">
        <f>IF($G1056="","",IFERROR(INDEX('CAT_PUESTOS'!$B$4:$B$8,MATCH($G1056,'CAT_PUESTOS'!$A$4:$A$8,0)),"(sin catálogo)"))</f>
        <v/>
      </c>
      <c r="X1056" s="3">
        <f>IF($H1056="","",IFERROR(INDEX('CAT_ACTIVIDADES'!$B$4:$B$8,MATCH($H1056,'CAT_ACTIVIDADES'!$A$4:$A$8,0)),"(sin catálogo)"))</f>
        <v/>
      </c>
      <c r="Y1056" s="12">
        <f>IF($J1056="","",TODAY()-$J1056)</f>
        <v/>
      </c>
      <c r="Z1056" s="3">
        <f>IF($Y1056="","",IF($Y1056&lt;0,"FUTURO",IF($Y1056&gt;p_dias_backlog_max,"BACKLOG","MES CORRIENTE")))</f>
        <v/>
      </c>
      <c r="AA1056" s="3">
        <f>IF($Y1056="",FALSE,AND($Y1056&gt;p_dias_backlog_min,$Y1056&lt;=p_dias_backlog_max))</f>
        <v/>
      </c>
      <c r="AB1056" s="6" t="n"/>
      <c r="AC1056" s="3">
        <f>IF($AB1056="","",IFERROR(INDEX('ASIGNACIONES'!$F$4:$F$339,MATCH($O1056&amp;"|"&amp;$R1056&amp;"|"&amp;$AB1056,'ASIGNACIONES'!$I$4:$I$339,0)),""))</f>
        <v/>
      </c>
      <c r="AD1056" s="13">
        <f>IF($AB1056="","",SUMIFS('ORDENES'!$M$4:$M$1203,'ORDENES'!$AB$4:$AB$1203,$AB1056,'ORDENES'!$O$4:$O$1203,$O1056,'ORDENES'!$R$4:$R$1203,$R1056))</f>
        <v/>
      </c>
      <c r="AE1056" s="13">
        <f>IF($AD1056="","",p_factor_productividad*IFERROR(INDEX('ASIGNACIONES'!$H$4:$H$339,MATCH($O1056&amp;"|"&amp;$R1056&amp;"|"&amp;$AB1056,'ASIGNACIONES'!$I$4:$I$339,0)),0)-$AD1056)</f>
        <v/>
      </c>
      <c r="AF1056" s="10">
        <f>IF($A1056="","",IFERROR(INDEX('2_IMPORTAR_EJECUCION'!$F$9:$F$1208,MATCH($AN1056,'2_IMPORTAR_EJECUCION'!$J$9:$J$1208,0)),0))</f>
        <v/>
      </c>
      <c r="AG1056" s="10">
        <f>IF($A1056="","",MAX(0,IFERROR(INDEX('2_IMPORTAR_EJECUCION'!$H$9:$H$1208,MATCH($AN1056,'2_IMPORTAR_EJECUCION'!$J$9:$J$1208,0)),0)-$AF1056))</f>
        <v/>
      </c>
      <c r="AH1056" s="10">
        <f>IF($A1056="","",$AF1056+$AG1056)</f>
        <v/>
      </c>
      <c r="AI1056" s="6" t="n"/>
      <c r="AJ1056" s="6" t="n"/>
      <c r="AK1056" s="6" t="n"/>
      <c r="AL1056" s="3">
        <f>IF($AK1056="","",HYPERLINK(p_ruta_base_checklists&amp;$AK1056,"abrir"))</f>
        <v/>
      </c>
      <c r="AM1056" s="6" t="n"/>
      <c r="AN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1" t="n"/>
      <c r="K1057" s="3" t="n"/>
      <c r="L1057" s="10" t="n"/>
      <c r="M1057" s="3">
        <f>IF($A1057="","",IFERROR(INDEX('AJUSTES'!$B$4:$B$303,MATCH($AN1057,'AJUSTES'!$A$4:$A$303,0)),IF($K1057="","",$K1057)))</f>
        <v/>
      </c>
      <c r="N1057" s="3">
        <f>IF($A1057="","",IFERROR(INDEX('CAT_ESTADOS_ERP'!$B$4:$B$7,MATCH(IFERROR(INDEX('2_IMPORTAR_EJECUCION'!$C$9:$C$1208,MATCH($AN1057,'2_IMPORTAR_EJECUCION'!$J$9:$J$1208,0)),""),'CAT_ESTADOS_ERP'!$A$4:$A$7,0)),"Pendiente"))</f>
        <v/>
      </c>
      <c r="O1057" s="3">
        <f>IF($J1057="","",YEAR($J1057+4-WEEKDAY($J1057,2))&amp;"-S"&amp;TEXT(_xlfn.ISOWEEKNUM($J1057),"00"))</f>
        <v/>
      </c>
      <c r="P1057" s="3">
        <f>IF($J1057="","",YEAR($J1057))</f>
        <v/>
      </c>
      <c r="Q1057" s="3">
        <f>IF($J1057="","",MONTH($J1057))</f>
        <v/>
      </c>
      <c r="R1057" s="3">
        <f>IF($J1057="","",INDEX(lista_dias,WEEKDAY($J1057,2)))</f>
        <v/>
      </c>
      <c r="S1057" s="3">
        <f>IF($I1057="","",IFERROR(INDEX('CAT_TIPOS_OT'!$C$4:$C$7,MATCH($I1057,'CAT_TIPOS_OT'!$A$4:$A$7,0)),"sin_clasificar"))</f>
        <v/>
      </c>
      <c r="T1057" s="3">
        <f>IF($F1057="","",IFERROR(INDEX('CAT_CENTROS_COSTO'!$E$4:$E$9,MATCH($F1057,'CAT_CENTROS_COSTO'!$A$4:$A$9,0)),"(sin catálogo)"))</f>
        <v/>
      </c>
      <c r="U1057" s="3">
        <f>IF($F1057="","",IFERROR(INDEX('CAT_CENTROS_COSTO'!$D$4:$D$9,MATCH($F1057,'CAT_CENTROS_COSTO'!$A$4:$A$9,0)),"(sin catálogo)"))</f>
        <v/>
      </c>
      <c r="V1057" s="3">
        <f>IF($F1057="","",IFERROR(INDEX('CAT_CENTROS_COSTO'!$F$4:$F$9,MATCH($F1057,'CAT_CENTROS_COSTO'!$A$4:$A$9,0)),"(sin catálogo)"))</f>
        <v/>
      </c>
      <c r="W1057" s="3">
        <f>IF($G1057="","",IFERROR(INDEX('CAT_PUESTOS'!$B$4:$B$8,MATCH($G1057,'CAT_PUESTOS'!$A$4:$A$8,0)),"(sin catálogo)"))</f>
        <v/>
      </c>
      <c r="X1057" s="3">
        <f>IF($H1057="","",IFERROR(INDEX('CAT_ACTIVIDADES'!$B$4:$B$8,MATCH($H1057,'CAT_ACTIVIDADES'!$A$4:$A$8,0)),"(sin catálogo)"))</f>
        <v/>
      </c>
      <c r="Y1057" s="12">
        <f>IF($J1057="","",TODAY()-$J1057)</f>
        <v/>
      </c>
      <c r="Z1057" s="3">
        <f>IF($Y1057="","",IF($Y1057&lt;0,"FUTURO",IF($Y1057&gt;p_dias_backlog_max,"BACKLOG","MES CORRIENTE")))</f>
        <v/>
      </c>
      <c r="AA1057" s="3">
        <f>IF($Y1057="",FALSE,AND($Y1057&gt;p_dias_backlog_min,$Y1057&lt;=p_dias_backlog_max))</f>
        <v/>
      </c>
      <c r="AB1057" s="6" t="n"/>
      <c r="AC1057" s="3">
        <f>IF($AB1057="","",IFERROR(INDEX('ASIGNACIONES'!$F$4:$F$339,MATCH($O1057&amp;"|"&amp;$R1057&amp;"|"&amp;$AB1057,'ASIGNACIONES'!$I$4:$I$339,0)),""))</f>
        <v/>
      </c>
      <c r="AD1057" s="13">
        <f>IF($AB1057="","",SUMIFS('ORDENES'!$M$4:$M$1203,'ORDENES'!$AB$4:$AB$1203,$AB1057,'ORDENES'!$O$4:$O$1203,$O1057,'ORDENES'!$R$4:$R$1203,$R1057))</f>
        <v/>
      </c>
      <c r="AE1057" s="13">
        <f>IF($AD1057="","",p_factor_productividad*IFERROR(INDEX('ASIGNACIONES'!$H$4:$H$339,MATCH($O1057&amp;"|"&amp;$R1057&amp;"|"&amp;$AB1057,'ASIGNACIONES'!$I$4:$I$339,0)),0)-$AD1057)</f>
        <v/>
      </c>
      <c r="AF1057" s="10">
        <f>IF($A1057="","",IFERROR(INDEX('2_IMPORTAR_EJECUCION'!$F$9:$F$1208,MATCH($AN1057,'2_IMPORTAR_EJECUCION'!$J$9:$J$1208,0)),0))</f>
        <v/>
      </c>
      <c r="AG1057" s="10">
        <f>IF($A1057="","",MAX(0,IFERROR(INDEX('2_IMPORTAR_EJECUCION'!$H$9:$H$1208,MATCH($AN1057,'2_IMPORTAR_EJECUCION'!$J$9:$J$1208,0)),0)-$AF1057))</f>
        <v/>
      </c>
      <c r="AH1057" s="10">
        <f>IF($A1057="","",$AF1057+$AG1057)</f>
        <v/>
      </c>
      <c r="AI1057" s="6" t="n"/>
      <c r="AJ1057" s="6" t="n"/>
      <c r="AK1057" s="6" t="n"/>
      <c r="AL1057" s="3">
        <f>IF($AK1057="","",HYPERLINK(p_ruta_base_checklists&amp;$AK1057,"abrir"))</f>
        <v/>
      </c>
      <c r="AM1057" s="6" t="n"/>
      <c r="AN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1" t="n"/>
      <c r="K1058" s="3" t="n"/>
      <c r="L1058" s="10" t="n"/>
      <c r="M1058" s="3">
        <f>IF($A1058="","",IFERROR(INDEX('AJUSTES'!$B$4:$B$303,MATCH($AN1058,'AJUSTES'!$A$4:$A$303,0)),IF($K1058="","",$K1058)))</f>
        <v/>
      </c>
      <c r="N1058" s="3">
        <f>IF($A1058="","",IFERROR(INDEX('CAT_ESTADOS_ERP'!$B$4:$B$7,MATCH(IFERROR(INDEX('2_IMPORTAR_EJECUCION'!$C$9:$C$1208,MATCH($AN1058,'2_IMPORTAR_EJECUCION'!$J$9:$J$1208,0)),""),'CAT_ESTADOS_ERP'!$A$4:$A$7,0)),"Pendiente"))</f>
        <v/>
      </c>
      <c r="O1058" s="3">
        <f>IF($J1058="","",YEAR($J1058+4-WEEKDAY($J1058,2))&amp;"-S"&amp;TEXT(_xlfn.ISOWEEKNUM($J1058),"00"))</f>
        <v/>
      </c>
      <c r="P1058" s="3">
        <f>IF($J1058="","",YEAR($J1058))</f>
        <v/>
      </c>
      <c r="Q1058" s="3">
        <f>IF($J1058="","",MONTH($J1058))</f>
        <v/>
      </c>
      <c r="R1058" s="3">
        <f>IF($J1058="","",INDEX(lista_dias,WEEKDAY($J1058,2)))</f>
        <v/>
      </c>
      <c r="S1058" s="3">
        <f>IF($I1058="","",IFERROR(INDEX('CAT_TIPOS_OT'!$C$4:$C$7,MATCH($I1058,'CAT_TIPOS_OT'!$A$4:$A$7,0)),"sin_clasificar"))</f>
        <v/>
      </c>
      <c r="T1058" s="3">
        <f>IF($F1058="","",IFERROR(INDEX('CAT_CENTROS_COSTO'!$E$4:$E$9,MATCH($F1058,'CAT_CENTROS_COSTO'!$A$4:$A$9,0)),"(sin catálogo)"))</f>
        <v/>
      </c>
      <c r="U1058" s="3">
        <f>IF($F1058="","",IFERROR(INDEX('CAT_CENTROS_COSTO'!$D$4:$D$9,MATCH($F1058,'CAT_CENTROS_COSTO'!$A$4:$A$9,0)),"(sin catálogo)"))</f>
        <v/>
      </c>
      <c r="V1058" s="3">
        <f>IF($F1058="","",IFERROR(INDEX('CAT_CENTROS_COSTO'!$F$4:$F$9,MATCH($F1058,'CAT_CENTROS_COSTO'!$A$4:$A$9,0)),"(sin catálogo)"))</f>
        <v/>
      </c>
      <c r="W1058" s="3">
        <f>IF($G1058="","",IFERROR(INDEX('CAT_PUESTOS'!$B$4:$B$8,MATCH($G1058,'CAT_PUESTOS'!$A$4:$A$8,0)),"(sin catálogo)"))</f>
        <v/>
      </c>
      <c r="X1058" s="3">
        <f>IF($H1058="","",IFERROR(INDEX('CAT_ACTIVIDADES'!$B$4:$B$8,MATCH($H1058,'CAT_ACTIVIDADES'!$A$4:$A$8,0)),"(sin catálogo)"))</f>
        <v/>
      </c>
      <c r="Y1058" s="12">
        <f>IF($J1058="","",TODAY()-$J1058)</f>
        <v/>
      </c>
      <c r="Z1058" s="3">
        <f>IF($Y1058="","",IF($Y1058&lt;0,"FUTURO",IF($Y1058&gt;p_dias_backlog_max,"BACKLOG","MES CORRIENTE")))</f>
        <v/>
      </c>
      <c r="AA1058" s="3">
        <f>IF($Y1058="",FALSE,AND($Y1058&gt;p_dias_backlog_min,$Y1058&lt;=p_dias_backlog_max))</f>
        <v/>
      </c>
      <c r="AB1058" s="6" t="n"/>
      <c r="AC1058" s="3">
        <f>IF($AB1058="","",IFERROR(INDEX('ASIGNACIONES'!$F$4:$F$339,MATCH($O1058&amp;"|"&amp;$R1058&amp;"|"&amp;$AB1058,'ASIGNACIONES'!$I$4:$I$339,0)),""))</f>
        <v/>
      </c>
      <c r="AD1058" s="13">
        <f>IF($AB1058="","",SUMIFS('ORDENES'!$M$4:$M$1203,'ORDENES'!$AB$4:$AB$1203,$AB1058,'ORDENES'!$O$4:$O$1203,$O1058,'ORDENES'!$R$4:$R$1203,$R1058))</f>
        <v/>
      </c>
      <c r="AE1058" s="13">
        <f>IF($AD1058="","",p_factor_productividad*IFERROR(INDEX('ASIGNACIONES'!$H$4:$H$339,MATCH($O1058&amp;"|"&amp;$R1058&amp;"|"&amp;$AB1058,'ASIGNACIONES'!$I$4:$I$339,0)),0)-$AD1058)</f>
        <v/>
      </c>
      <c r="AF1058" s="10">
        <f>IF($A1058="","",IFERROR(INDEX('2_IMPORTAR_EJECUCION'!$F$9:$F$1208,MATCH($AN1058,'2_IMPORTAR_EJECUCION'!$J$9:$J$1208,0)),0))</f>
        <v/>
      </c>
      <c r="AG1058" s="10">
        <f>IF($A1058="","",MAX(0,IFERROR(INDEX('2_IMPORTAR_EJECUCION'!$H$9:$H$1208,MATCH($AN1058,'2_IMPORTAR_EJECUCION'!$J$9:$J$1208,0)),0)-$AF1058))</f>
        <v/>
      </c>
      <c r="AH1058" s="10">
        <f>IF($A1058="","",$AF1058+$AG1058)</f>
        <v/>
      </c>
      <c r="AI1058" s="6" t="n"/>
      <c r="AJ1058" s="6" t="n"/>
      <c r="AK1058" s="6" t="n"/>
      <c r="AL1058" s="3">
        <f>IF($AK1058="","",HYPERLINK(p_ruta_base_checklists&amp;$AK1058,"abrir"))</f>
        <v/>
      </c>
      <c r="AM1058" s="6" t="n"/>
      <c r="AN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1" t="n"/>
      <c r="K1059" s="3" t="n"/>
      <c r="L1059" s="10" t="n"/>
      <c r="M1059" s="3">
        <f>IF($A1059="","",IFERROR(INDEX('AJUSTES'!$B$4:$B$303,MATCH($AN1059,'AJUSTES'!$A$4:$A$303,0)),IF($K1059="","",$K1059)))</f>
        <v/>
      </c>
      <c r="N1059" s="3">
        <f>IF($A1059="","",IFERROR(INDEX('CAT_ESTADOS_ERP'!$B$4:$B$7,MATCH(IFERROR(INDEX('2_IMPORTAR_EJECUCION'!$C$9:$C$1208,MATCH($AN1059,'2_IMPORTAR_EJECUCION'!$J$9:$J$1208,0)),""),'CAT_ESTADOS_ERP'!$A$4:$A$7,0)),"Pendiente"))</f>
        <v/>
      </c>
      <c r="O1059" s="3">
        <f>IF($J1059="","",YEAR($J1059+4-WEEKDAY($J1059,2))&amp;"-S"&amp;TEXT(_xlfn.ISOWEEKNUM($J1059),"00"))</f>
        <v/>
      </c>
      <c r="P1059" s="3">
        <f>IF($J1059="","",YEAR($J1059))</f>
        <v/>
      </c>
      <c r="Q1059" s="3">
        <f>IF($J1059="","",MONTH($J1059))</f>
        <v/>
      </c>
      <c r="R1059" s="3">
        <f>IF($J1059="","",INDEX(lista_dias,WEEKDAY($J1059,2)))</f>
        <v/>
      </c>
      <c r="S1059" s="3">
        <f>IF($I1059="","",IFERROR(INDEX('CAT_TIPOS_OT'!$C$4:$C$7,MATCH($I1059,'CAT_TIPOS_OT'!$A$4:$A$7,0)),"sin_clasificar"))</f>
        <v/>
      </c>
      <c r="T1059" s="3">
        <f>IF($F1059="","",IFERROR(INDEX('CAT_CENTROS_COSTO'!$E$4:$E$9,MATCH($F1059,'CAT_CENTROS_COSTO'!$A$4:$A$9,0)),"(sin catálogo)"))</f>
        <v/>
      </c>
      <c r="U1059" s="3">
        <f>IF($F1059="","",IFERROR(INDEX('CAT_CENTROS_COSTO'!$D$4:$D$9,MATCH($F1059,'CAT_CENTROS_COSTO'!$A$4:$A$9,0)),"(sin catálogo)"))</f>
        <v/>
      </c>
      <c r="V1059" s="3">
        <f>IF($F1059="","",IFERROR(INDEX('CAT_CENTROS_COSTO'!$F$4:$F$9,MATCH($F1059,'CAT_CENTROS_COSTO'!$A$4:$A$9,0)),"(sin catálogo)"))</f>
        <v/>
      </c>
      <c r="W1059" s="3">
        <f>IF($G1059="","",IFERROR(INDEX('CAT_PUESTOS'!$B$4:$B$8,MATCH($G1059,'CAT_PUESTOS'!$A$4:$A$8,0)),"(sin catálogo)"))</f>
        <v/>
      </c>
      <c r="X1059" s="3">
        <f>IF($H1059="","",IFERROR(INDEX('CAT_ACTIVIDADES'!$B$4:$B$8,MATCH($H1059,'CAT_ACTIVIDADES'!$A$4:$A$8,0)),"(sin catálogo)"))</f>
        <v/>
      </c>
      <c r="Y1059" s="12">
        <f>IF($J1059="","",TODAY()-$J1059)</f>
        <v/>
      </c>
      <c r="Z1059" s="3">
        <f>IF($Y1059="","",IF($Y1059&lt;0,"FUTURO",IF($Y1059&gt;p_dias_backlog_max,"BACKLOG","MES CORRIENTE")))</f>
        <v/>
      </c>
      <c r="AA1059" s="3">
        <f>IF($Y1059="",FALSE,AND($Y1059&gt;p_dias_backlog_min,$Y1059&lt;=p_dias_backlog_max))</f>
        <v/>
      </c>
      <c r="AB1059" s="6" t="n"/>
      <c r="AC1059" s="3">
        <f>IF($AB1059="","",IFERROR(INDEX('ASIGNACIONES'!$F$4:$F$339,MATCH($O1059&amp;"|"&amp;$R1059&amp;"|"&amp;$AB1059,'ASIGNACIONES'!$I$4:$I$339,0)),""))</f>
        <v/>
      </c>
      <c r="AD1059" s="13">
        <f>IF($AB1059="","",SUMIFS('ORDENES'!$M$4:$M$1203,'ORDENES'!$AB$4:$AB$1203,$AB1059,'ORDENES'!$O$4:$O$1203,$O1059,'ORDENES'!$R$4:$R$1203,$R1059))</f>
        <v/>
      </c>
      <c r="AE1059" s="13">
        <f>IF($AD1059="","",p_factor_productividad*IFERROR(INDEX('ASIGNACIONES'!$H$4:$H$339,MATCH($O1059&amp;"|"&amp;$R1059&amp;"|"&amp;$AB1059,'ASIGNACIONES'!$I$4:$I$339,0)),0)-$AD1059)</f>
        <v/>
      </c>
      <c r="AF1059" s="10">
        <f>IF($A1059="","",IFERROR(INDEX('2_IMPORTAR_EJECUCION'!$F$9:$F$1208,MATCH($AN1059,'2_IMPORTAR_EJECUCION'!$J$9:$J$1208,0)),0))</f>
        <v/>
      </c>
      <c r="AG1059" s="10">
        <f>IF($A1059="","",MAX(0,IFERROR(INDEX('2_IMPORTAR_EJECUCION'!$H$9:$H$1208,MATCH($AN1059,'2_IMPORTAR_EJECUCION'!$J$9:$J$1208,0)),0)-$AF1059))</f>
        <v/>
      </c>
      <c r="AH1059" s="10">
        <f>IF($A1059="","",$AF1059+$AG1059)</f>
        <v/>
      </c>
      <c r="AI1059" s="6" t="n"/>
      <c r="AJ1059" s="6" t="n"/>
      <c r="AK1059" s="6" t="n"/>
      <c r="AL1059" s="3">
        <f>IF($AK1059="","",HYPERLINK(p_ruta_base_checklists&amp;$AK1059,"abrir"))</f>
        <v/>
      </c>
      <c r="AM1059" s="6" t="n"/>
      <c r="AN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1" t="n"/>
      <c r="K1060" s="3" t="n"/>
      <c r="L1060" s="10" t="n"/>
      <c r="M1060" s="3">
        <f>IF($A1060="","",IFERROR(INDEX('AJUSTES'!$B$4:$B$303,MATCH($AN1060,'AJUSTES'!$A$4:$A$303,0)),IF($K1060="","",$K1060)))</f>
        <v/>
      </c>
      <c r="N1060" s="3">
        <f>IF($A1060="","",IFERROR(INDEX('CAT_ESTADOS_ERP'!$B$4:$B$7,MATCH(IFERROR(INDEX('2_IMPORTAR_EJECUCION'!$C$9:$C$1208,MATCH($AN1060,'2_IMPORTAR_EJECUCION'!$J$9:$J$1208,0)),""),'CAT_ESTADOS_ERP'!$A$4:$A$7,0)),"Pendiente"))</f>
        <v/>
      </c>
      <c r="O1060" s="3">
        <f>IF($J1060="","",YEAR($J1060+4-WEEKDAY($J1060,2))&amp;"-S"&amp;TEXT(_xlfn.ISOWEEKNUM($J1060),"00"))</f>
        <v/>
      </c>
      <c r="P1060" s="3">
        <f>IF($J1060="","",YEAR($J1060))</f>
        <v/>
      </c>
      <c r="Q1060" s="3">
        <f>IF($J1060="","",MONTH($J1060))</f>
        <v/>
      </c>
      <c r="R1060" s="3">
        <f>IF($J1060="","",INDEX(lista_dias,WEEKDAY($J1060,2)))</f>
        <v/>
      </c>
      <c r="S1060" s="3">
        <f>IF($I1060="","",IFERROR(INDEX('CAT_TIPOS_OT'!$C$4:$C$7,MATCH($I1060,'CAT_TIPOS_OT'!$A$4:$A$7,0)),"sin_clasificar"))</f>
        <v/>
      </c>
      <c r="T1060" s="3">
        <f>IF($F1060="","",IFERROR(INDEX('CAT_CENTROS_COSTO'!$E$4:$E$9,MATCH($F1060,'CAT_CENTROS_COSTO'!$A$4:$A$9,0)),"(sin catálogo)"))</f>
        <v/>
      </c>
      <c r="U1060" s="3">
        <f>IF($F1060="","",IFERROR(INDEX('CAT_CENTROS_COSTO'!$D$4:$D$9,MATCH($F1060,'CAT_CENTROS_COSTO'!$A$4:$A$9,0)),"(sin catálogo)"))</f>
        <v/>
      </c>
      <c r="V1060" s="3">
        <f>IF($F1060="","",IFERROR(INDEX('CAT_CENTROS_COSTO'!$F$4:$F$9,MATCH($F1060,'CAT_CENTROS_COSTO'!$A$4:$A$9,0)),"(sin catálogo)"))</f>
        <v/>
      </c>
      <c r="W1060" s="3">
        <f>IF($G1060="","",IFERROR(INDEX('CAT_PUESTOS'!$B$4:$B$8,MATCH($G1060,'CAT_PUESTOS'!$A$4:$A$8,0)),"(sin catálogo)"))</f>
        <v/>
      </c>
      <c r="X1060" s="3">
        <f>IF($H1060="","",IFERROR(INDEX('CAT_ACTIVIDADES'!$B$4:$B$8,MATCH($H1060,'CAT_ACTIVIDADES'!$A$4:$A$8,0)),"(sin catálogo)"))</f>
        <v/>
      </c>
      <c r="Y1060" s="12">
        <f>IF($J1060="","",TODAY()-$J1060)</f>
        <v/>
      </c>
      <c r="Z1060" s="3">
        <f>IF($Y1060="","",IF($Y1060&lt;0,"FUTURO",IF($Y1060&gt;p_dias_backlog_max,"BACKLOG","MES CORRIENTE")))</f>
        <v/>
      </c>
      <c r="AA1060" s="3">
        <f>IF($Y1060="",FALSE,AND($Y1060&gt;p_dias_backlog_min,$Y1060&lt;=p_dias_backlog_max))</f>
        <v/>
      </c>
      <c r="AB1060" s="6" t="n"/>
      <c r="AC1060" s="3">
        <f>IF($AB1060="","",IFERROR(INDEX('ASIGNACIONES'!$F$4:$F$339,MATCH($O1060&amp;"|"&amp;$R1060&amp;"|"&amp;$AB1060,'ASIGNACIONES'!$I$4:$I$339,0)),""))</f>
        <v/>
      </c>
      <c r="AD1060" s="13">
        <f>IF($AB1060="","",SUMIFS('ORDENES'!$M$4:$M$1203,'ORDENES'!$AB$4:$AB$1203,$AB1060,'ORDENES'!$O$4:$O$1203,$O1060,'ORDENES'!$R$4:$R$1203,$R1060))</f>
        <v/>
      </c>
      <c r="AE1060" s="13">
        <f>IF($AD1060="","",p_factor_productividad*IFERROR(INDEX('ASIGNACIONES'!$H$4:$H$339,MATCH($O1060&amp;"|"&amp;$R1060&amp;"|"&amp;$AB1060,'ASIGNACIONES'!$I$4:$I$339,0)),0)-$AD1060)</f>
        <v/>
      </c>
      <c r="AF1060" s="10">
        <f>IF($A1060="","",IFERROR(INDEX('2_IMPORTAR_EJECUCION'!$F$9:$F$1208,MATCH($AN1060,'2_IMPORTAR_EJECUCION'!$J$9:$J$1208,0)),0))</f>
        <v/>
      </c>
      <c r="AG1060" s="10">
        <f>IF($A1060="","",MAX(0,IFERROR(INDEX('2_IMPORTAR_EJECUCION'!$H$9:$H$1208,MATCH($AN1060,'2_IMPORTAR_EJECUCION'!$J$9:$J$1208,0)),0)-$AF1060))</f>
        <v/>
      </c>
      <c r="AH1060" s="10">
        <f>IF($A1060="","",$AF1060+$AG1060)</f>
        <v/>
      </c>
      <c r="AI1060" s="6" t="n"/>
      <c r="AJ1060" s="6" t="n"/>
      <c r="AK1060" s="6" t="n"/>
      <c r="AL1060" s="3">
        <f>IF($AK1060="","",HYPERLINK(p_ruta_base_checklists&amp;$AK1060,"abrir"))</f>
        <v/>
      </c>
      <c r="AM1060" s="6" t="n"/>
      <c r="AN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1" t="n"/>
      <c r="K1061" s="3" t="n"/>
      <c r="L1061" s="10" t="n"/>
      <c r="M1061" s="3">
        <f>IF($A1061="","",IFERROR(INDEX('AJUSTES'!$B$4:$B$303,MATCH($AN1061,'AJUSTES'!$A$4:$A$303,0)),IF($K1061="","",$K1061)))</f>
        <v/>
      </c>
      <c r="N1061" s="3">
        <f>IF($A1061="","",IFERROR(INDEX('CAT_ESTADOS_ERP'!$B$4:$B$7,MATCH(IFERROR(INDEX('2_IMPORTAR_EJECUCION'!$C$9:$C$1208,MATCH($AN1061,'2_IMPORTAR_EJECUCION'!$J$9:$J$1208,0)),""),'CAT_ESTADOS_ERP'!$A$4:$A$7,0)),"Pendiente"))</f>
        <v/>
      </c>
      <c r="O1061" s="3">
        <f>IF($J1061="","",YEAR($J1061+4-WEEKDAY($J1061,2))&amp;"-S"&amp;TEXT(_xlfn.ISOWEEKNUM($J1061),"00"))</f>
        <v/>
      </c>
      <c r="P1061" s="3">
        <f>IF($J1061="","",YEAR($J1061))</f>
        <v/>
      </c>
      <c r="Q1061" s="3">
        <f>IF($J1061="","",MONTH($J1061))</f>
        <v/>
      </c>
      <c r="R1061" s="3">
        <f>IF($J1061="","",INDEX(lista_dias,WEEKDAY($J1061,2)))</f>
        <v/>
      </c>
      <c r="S1061" s="3">
        <f>IF($I1061="","",IFERROR(INDEX('CAT_TIPOS_OT'!$C$4:$C$7,MATCH($I1061,'CAT_TIPOS_OT'!$A$4:$A$7,0)),"sin_clasificar"))</f>
        <v/>
      </c>
      <c r="T1061" s="3">
        <f>IF($F1061="","",IFERROR(INDEX('CAT_CENTROS_COSTO'!$E$4:$E$9,MATCH($F1061,'CAT_CENTROS_COSTO'!$A$4:$A$9,0)),"(sin catálogo)"))</f>
        <v/>
      </c>
      <c r="U1061" s="3">
        <f>IF($F1061="","",IFERROR(INDEX('CAT_CENTROS_COSTO'!$D$4:$D$9,MATCH($F1061,'CAT_CENTROS_COSTO'!$A$4:$A$9,0)),"(sin catálogo)"))</f>
        <v/>
      </c>
      <c r="V1061" s="3">
        <f>IF($F1061="","",IFERROR(INDEX('CAT_CENTROS_COSTO'!$F$4:$F$9,MATCH($F1061,'CAT_CENTROS_COSTO'!$A$4:$A$9,0)),"(sin catálogo)"))</f>
        <v/>
      </c>
      <c r="W1061" s="3">
        <f>IF($G1061="","",IFERROR(INDEX('CAT_PUESTOS'!$B$4:$B$8,MATCH($G1061,'CAT_PUESTOS'!$A$4:$A$8,0)),"(sin catálogo)"))</f>
        <v/>
      </c>
      <c r="X1061" s="3">
        <f>IF($H1061="","",IFERROR(INDEX('CAT_ACTIVIDADES'!$B$4:$B$8,MATCH($H1061,'CAT_ACTIVIDADES'!$A$4:$A$8,0)),"(sin catálogo)"))</f>
        <v/>
      </c>
      <c r="Y1061" s="12">
        <f>IF($J1061="","",TODAY()-$J1061)</f>
        <v/>
      </c>
      <c r="Z1061" s="3">
        <f>IF($Y1061="","",IF($Y1061&lt;0,"FUTURO",IF($Y1061&gt;p_dias_backlog_max,"BACKLOG","MES CORRIENTE")))</f>
        <v/>
      </c>
      <c r="AA1061" s="3">
        <f>IF($Y1061="",FALSE,AND($Y1061&gt;p_dias_backlog_min,$Y1061&lt;=p_dias_backlog_max))</f>
        <v/>
      </c>
      <c r="AB1061" s="6" t="n"/>
      <c r="AC1061" s="3">
        <f>IF($AB1061="","",IFERROR(INDEX('ASIGNACIONES'!$F$4:$F$339,MATCH($O1061&amp;"|"&amp;$R1061&amp;"|"&amp;$AB1061,'ASIGNACIONES'!$I$4:$I$339,0)),""))</f>
        <v/>
      </c>
      <c r="AD1061" s="13">
        <f>IF($AB1061="","",SUMIFS('ORDENES'!$M$4:$M$1203,'ORDENES'!$AB$4:$AB$1203,$AB1061,'ORDENES'!$O$4:$O$1203,$O1061,'ORDENES'!$R$4:$R$1203,$R1061))</f>
        <v/>
      </c>
      <c r="AE1061" s="13">
        <f>IF($AD1061="","",p_factor_productividad*IFERROR(INDEX('ASIGNACIONES'!$H$4:$H$339,MATCH($O1061&amp;"|"&amp;$R1061&amp;"|"&amp;$AB1061,'ASIGNACIONES'!$I$4:$I$339,0)),0)-$AD1061)</f>
        <v/>
      </c>
      <c r="AF1061" s="10">
        <f>IF($A1061="","",IFERROR(INDEX('2_IMPORTAR_EJECUCION'!$F$9:$F$1208,MATCH($AN1061,'2_IMPORTAR_EJECUCION'!$J$9:$J$1208,0)),0))</f>
        <v/>
      </c>
      <c r="AG1061" s="10">
        <f>IF($A1061="","",MAX(0,IFERROR(INDEX('2_IMPORTAR_EJECUCION'!$H$9:$H$1208,MATCH($AN1061,'2_IMPORTAR_EJECUCION'!$J$9:$J$1208,0)),0)-$AF1061))</f>
        <v/>
      </c>
      <c r="AH1061" s="10">
        <f>IF($A1061="","",$AF1061+$AG1061)</f>
        <v/>
      </c>
      <c r="AI1061" s="6" t="n"/>
      <c r="AJ1061" s="6" t="n"/>
      <c r="AK1061" s="6" t="n"/>
      <c r="AL1061" s="3">
        <f>IF($AK1061="","",HYPERLINK(p_ruta_base_checklists&amp;$AK1061,"abrir"))</f>
        <v/>
      </c>
      <c r="AM1061" s="6" t="n"/>
      <c r="AN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1" t="n"/>
      <c r="K1062" s="3" t="n"/>
      <c r="L1062" s="10" t="n"/>
      <c r="M1062" s="3">
        <f>IF($A1062="","",IFERROR(INDEX('AJUSTES'!$B$4:$B$303,MATCH($AN1062,'AJUSTES'!$A$4:$A$303,0)),IF($K1062="","",$K1062)))</f>
        <v/>
      </c>
      <c r="N1062" s="3">
        <f>IF($A1062="","",IFERROR(INDEX('CAT_ESTADOS_ERP'!$B$4:$B$7,MATCH(IFERROR(INDEX('2_IMPORTAR_EJECUCION'!$C$9:$C$1208,MATCH($AN1062,'2_IMPORTAR_EJECUCION'!$J$9:$J$1208,0)),""),'CAT_ESTADOS_ERP'!$A$4:$A$7,0)),"Pendiente"))</f>
        <v/>
      </c>
      <c r="O1062" s="3">
        <f>IF($J1062="","",YEAR($J1062+4-WEEKDAY($J1062,2))&amp;"-S"&amp;TEXT(_xlfn.ISOWEEKNUM($J1062),"00"))</f>
        <v/>
      </c>
      <c r="P1062" s="3">
        <f>IF($J1062="","",YEAR($J1062))</f>
        <v/>
      </c>
      <c r="Q1062" s="3">
        <f>IF($J1062="","",MONTH($J1062))</f>
        <v/>
      </c>
      <c r="R1062" s="3">
        <f>IF($J1062="","",INDEX(lista_dias,WEEKDAY($J1062,2)))</f>
        <v/>
      </c>
      <c r="S1062" s="3">
        <f>IF($I1062="","",IFERROR(INDEX('CAT_TIPOS_OT'!$C$4:$C$7,MATCH($I1062,'CAT_TIPOS_OT'!$A$4:$A$7,0)),"sin_clasificar"))</f>
        <v/>
      </c>
      <c r="T1062" s="3">
        <f>IF($F1062="","",IFERROR(INDEX('CAT_CENTROS_COSTO'!$E$4:$E$9,MATCH($F1062,'CAT_CENTROS_COSTO'!$A$4:$A$9,0)),"(sin catálogo)"))</f>
        <v/>
      </c>
      <c r="U1062" s="3">
        <f>IF($F1062="","",IFERROR(INDEX('CAT_CENTROS_COSTO'!$D$4:$D$9,MATCH($F1062,'CAT_CENTROS_COSTO'!$A$4:$A$9,0)),"(sin catálogo)"))</f>
        <v/>
      </c>
      <c r="V1062" s="3">
        <f>IF($F1062="","",IFERROR(INDEX('CAT_CENTROS_COSTO'!$F$4:$F$9,MATCH($F1062,'CAT_CENTROS_COSTO'!$A$4:$A$9,0)),"(sin catálogo)"))</f>
        <v/>
      </c>
      <c r="W1062" s="3">
        <f>IF($G1062="","",IFERROR(INDEX('CAT_PUESTOS'!$B$4:$B$8,MATCH($G1062,'CAT_PUESTOS'!$A$4:$A$8,0)),"(sin catálogo)"))</f>
        <v/>
      </c>
      <c r="X1062" s="3">
        <f>IF($H1062="","",IFERROR(INDEX('CAT_ACTIVIDADES'!$B$4:$B$8,MATCH($H1062,'CAT_ACTIVIDADES'!$A$4:$A$8,0)),"(sin catálogo)"))</f>
        <v/>
      </c>
      <c r="Y1062" s="12">
        <f>IF($J1062="","",TODAY()-$J1062)</f>
        <v/>
      </c>
      <c r="Z1062" s="3">
        <f>IF($Y1062="","",IF($Y1062&lt;0,"FUTURO",IF($Y1062&gt;p_dias_backlog_max,"BACKLOG","MES CORRIENTE")))</f>
        <v/>
      </c>
      <c r="AA1062" s="3">
        <f>IF($Y1062="",FALSE,AND($Y1062&gt;p_dias_backlog_min,$Y1062&lt;=p_dias_backlog_max))</f>
        <v/>
      </c>
      <c r="AB1062" s="6" t="n"/>
      <c r="AC1062" s="3">
        <f>IF($AB1062="","",IFERROR(INDEX('ASIGNACIONES'!$F$4:$F$339,MATCH($O1062&amp;"|"&amp;$R1062&amp;"|"&amp;$AB1062,'ASIGNACIONES'!$I$4:$I$339,0)),""))</f>
        <v/>
      </c>
      <c r="AD1062" s="13">
        <f>IF($AB1062="","",SUMIFS('ORDENES'!$M$4:$M$1203,'ORDENES'!$AB$4:$AB$1203,$AB1062,'ORDENES'!$O$4:$O$1203,$O1062,'ORDENES'!$R$4:$R$1203,$R1062))</f>
        <v/>
      </c>
      <c r="AE1062" s="13">
        <f>IF($AD1062="","",p_factor_productividad*IFERROR(INDEX('ASIGNACIONES'!$H$4:$H$339,MATCH($O1062&amp;"|"&amp;$R1062&amp;"|"&amp;$AB1062,'ASIGNACIONES'!$I$4:$I$339,0)),0)-$AD1062)</f>
        <v/>
      </c>
      <c r="AF1062" s="10">
        <f>IF($A1062="","",IFERROR(INDEX('2_IMPORTAR_EJECUCION'!$F$9:$F$1208,MATCH($AN1062,'2_IMPORTAR_EJECUCION'!$J$9:$J$1208,0)),0))</f>
        <v/>
      </c>
      <c r="AG1062" s="10">
        <f>IF($A1062="","",MAX(0,IFERROR(INDEX('2_IMPORTAR_EJECUCION'!$H$9:$H$1208,MATCH($AN1062,'2_IMPORTAR_EJECUCION'!$J$9:$J$1208,0)),0)-$AF1062))</f>
        <v/>
      </c>
      <c r="AH1062" s="10">
        <f>IF($A1062="","",$AF1062+$AG1062)</f>
        <v/>
      </c>
      <c r="AI1062" s="6" t="n"/>
      <c r="AJ1062" s="6" t="n"/>
      <c r="AK1062" s="6" t="n"/>
      <c r="AL1062" s="3">
        <f>IF($AK1062="","",HYPERLINK(p_ruta_base_checklists&amp;$AK1062,"abrir"))</f>
        <v/>
      </c>
      <c r="AM1062" s="6" t="n"/>
      <c r="AN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1" t="n"/>
      <c r="K1063" s="3" t="n"/>
      <c r="L1063" s="10" t="n"/>
      <c r="M1063" s="3">
        <f>IF($A1063="","",IFERROR(INDEX('AJUSTES'!$B$4:$B$303,MATCH($AN1063,'AJUSTES'!$A$4:$A$303,0)),IF($K1063="","",$K1063)))</f>
        <v/>
      </c>
      <c r="N1063" s="3">
        <f>IF($A1063="","",IFERROR(INDEX('CAT_ESTADOS_ERP'!$B$4:$B$7,MATCH(IFERROR(INDEX('2_IMPORTAR_EJECUCION'!$C$9:$C$1208,MATCH($AN1063,'2_IMPORTAR_EJECUCION'!$J$9:$J$1208,0)),""),'CAT_ESTADOS_ERP'!$A$4:$A$7,0)),"Pendiente"))</f>
        <v/>
      </c>
      <c r="O1063" s="3">
        <f>IF($J1063="","",YEAR($J1063+4-WEEKDAY($J1063,2))&amp;"-S"&amp;TEXT(_xlfn.ISOWEEKNUM($J1063),"00"))</f>
        <v/>
      </c>
      <c r="P1063" s="3">
        <f>IF($J1063="","",YEAR($J1063))</f>
        <v/>
      </c>
      <c r="Q1063" s="3">
        <f>IF($J1063="","",MONTH($J1063))</f>
        <v/>
      </c>
      <c r="R1063" s="3">
        <f>IF($J1063="","",INDEX(lista_dias,WEEKDAY($J1063,2)))</f>
        <v/>
      </c>
      <c r="S1063" s="3">
        <f>IF($I1063="","",IFERROR(INDEX('CAT_TIPOS_OT'!$C$4:$C$7,MATCH($I1063,'CAT_TIPOS_OT'!$A$4:$A$7,0)),"sin_clasificar"))</f>
        <v/>
      </c>
      <c r="T1063" s="3">
        <f>IF($F1063="","",IFERROR(INDEX('CAT_CENTROS_COSTO'!$E$4:$E$9,MATCH($F1063,'CAT_CENTROS_COSTO'!$A$4:$A$9,0)),"(sin catálogo)"))</f>
        <v/>
      </c>
      <c r="U1063" s="3">
        <f>IF($F1063="","",IFERROR(INDEX('CAT_CENTROS_COSTO'!$D$4:$D$9,MATCH($F1063,'CAT_CENTROS_COSTO'!$A$4:$A$9,0)),"(sin catálogo)"))</f>
        <v/>
      </c>
      <c r="V1063" s="3">
        <f>IF($F1063="","",IFERROR(INDEX('CAT_CENTROS_COSTO'!$F$4:$F$9,MATCH($F1063,'CAT_CENTROS_COSTO'!$A$4:$A$9,0)),"(sin catálogo)"))</f>
        <v/>
      </c>
      <c r="W1063" s="3">
        <f>IF($G1063="","",IFERROR(INDEX('CAT_PUESTOS'!$B$4:$B$8,MATCH($G1063,'CAT_PUESTOS'!$A$4:$A$8,0)),"(sin catálogo)"))</f>
        <v/>
      </c>
      <c r="X1063" s="3">
        <f>IF($H1063="","",IFERROR(INDEX('CAT_ACTIVIDADES'!$B$4:$B$8,MATCH($H1063,'CAT_ACTIVIDADES'!$A$4:$A$8,0)),"(sin catálogo)"))</f>
        <v/>
      </c>
      <c r="Y1063" s="12">
        <f>IF($J1063="","",TODAY()-$J1063)</f>
        <v/>
      </c>
      <c r="Z1063" s="3">
        <f>IF($Y1063="","",IF($Y1063&lt;0,"FUTURO",IF($Y1063&gt;p_dias_backlog_max,"BACKLOG","MES CORRIENTE")))</f>
        <v/>
      </c>
      <c r="AA1063" s="3">
        <f>IF($Y1063="",FALSE,AND($Y1063&gt;p_dias_backlog_min,$Y1063&lt;=p_dias_backlog_max))</f>
        <v/>
      </c>
      <c r="AB1063" s="6" t="n"/>
      <c r="AC1063" s="3">
        <f>IF($AB1063="","",IFERROR(INDEX('ASIGNACIONES'!$F$4:$F$339,MATCH($O1063&amp;"|"&amp;$R1063&amp;"|"&amp;$AB1063,'ASIGNACIONES'!$I$4:$I$339,0)),""))</f>
        <v/>
      </c>
      <c r="AD1063" s="13">
        <f>IF($AB1063="","",SUMIFS('ORDENES'!$M$4:$M$1203,'ORDENES'!$AB$4:$AB$1203,$AB1063,'ORDENES'!$O$4:$O$1203,$O1063,'ORDENES'!$R$4:$R$1203,$R1063))</f>
        <v/>
      </c>
      <c r="AE1063" s="13">
        <f>IF($AD1063="","",p_factor_productividad*IFERROR(INDEX('ASIGNACIONES'!$H$4:$H$339,MATCH($O1063&amp;"|"&amp;$R1063&amp;"|"&amp;$AB1063,'ASIGNACIONES'!$I$4:$I$339,0)),0)-$AD1063)</f>
        <v/>
      </c>
      <c r="AF1063" s="10">
        <f>IF($A1063="","",IFERROR(INDEX('2_IMPORTAR_EJECUCION'!$F$9:$F$1208,MATCH($AN1063,'2_IMPORTAR_EJECUCION'!$J$9:$J$1208,0)),0))</f>
        <v/>
      </c>
      <c r="AG1063" s="10">
        <f>IF($A1063="","",MAX(0,IFERROR(INDEX('2_IMPORTAR_EJECUCION'!$H$9:$H$1208,MATCH($AN1063,'2_IMPORTAR_EJECUCION'!$J$9:$J$1208,0)),0)-$AF1063))</f>
        <v/>
      </c>
      <c r="AH1063" s="10">
        <f>IF($A1063="","",$AF1063+$AG1063)</f>
        <v/>
      </c>
      <c r="AI1063" s="6" t="n"/>
      <c r="AJ1063" s="6" t="n"/>
      <c r="AK1063" s="6" t="n"/>
      <c r="AL1063" s="3">
        <f>IF($AK1063="","",HYPERLINK(p_ruta_base_checklists&amp;$AK1063,"abrir"))</f>
        <v/>
      </c>
      <c r="AM1063" s="6" t="n"/>
      <c r="AN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1" t="n"/>
      <c r="K1064" s="3" t="n"/>
      <c r="L1064" s="10" t="n"/>
      <c r="M1064" s="3">
        <f>IF($A1064="","",IFERROR(INDEX('AJUSTES'!$B$4:$B$303,MATCH($AN1064,'AJUSTES'!$A$4:$A$303,0)),IF($K1064="","",$K1064)))</f>
        <v/>
      </c>
      <c r="N1064" s="3">
        <f>IF($A1064="","",IFERROR(INDEX('CAT_ESTADOS_ERP'!$B$4:$B$7,MATCH(IFERROR(INDEX('2_IMPORTAR_EJECUCION'!$C$9:$C$1208,MATCH($AN1064,'2_IMPORTAR_EJECUCION'!$J$9:$J$1208,0)),""),'CAT_ESTADOS_ERP'!$A$4:$A$7,0)),"Pendiente"))</f>
        <v/>
      </c>
      <c r="O1064" s="3">
        <f>IF($J1064="","",YEAR($J1064+4-WEEKDAY($J1064,2))&amp;"-S"&amp;TEXT(_xlfn.ISOWEEKNUM($J1064),"00"))</f>
        <v/>
      </c>
      <c r="P1064" s="3">
        <f>IF($J1064="","",YEAR($J1064))</f>
        <v/>
      </c>
      <c r="Q1064" s="3">
        <f>IF($J1064="","",MONTH($J1064))</f>
        <v/>
      </c>
      <c r="R1064" s="3">
        <f>IF($J1064="","",INDEX(lista_dias,WEEKDAY($J1064,2)))</f>
        <v/>
      </c>
      <c r="S1064" s="3">
        <f>IF($I1064="","",IFERROR(INDEX('CAT_TIPOS_OT'!$C$4:$C$7,MATCH($I1064,'CAT_TIPOS_OT'!$A$4:$A$7,0)),"sin_clasificar"))</f>
        <v/>
      </c>
      <c r="T1064" s="3">
        <f>IF($F1064="","",IFERROR(INDEX('CAT_CENTROS_COSTO'!$E$4:$E$9,MATCH($F1064,'CAT_CENTROS_COSTO'!$A$4:$A$9,0)),"(sin catálogo)"))</f>
        <v/>
      </c>
      <c r="U1064" s="3">
        <f>IF($F1064="","",IFERROR(INDEX('CAT_CENTROS_COSTO'!$D$4:$D$9,MATCH($F1064,'CAT_CENTROS_COSTO'!$A$4:$A$9,0)),"(sin catálogo)"))</f>
        <v/>
      </c>
      <c r="V1064" s="3">
        <f>IF($F1064="","",IFERROR(INDEX('CAT_CENTROS_COSTO'!$F$4:$F$9,MATCH($F1064,'CAT_CENTROS_COSTO'!$A$4:$A$9,0)),"(sin catálogo)"))</f>
        <v/>
      </c>
      <c r="W1064" s="3">
        <f>IF($G1064="","",IFERROR(INDEX('CAT_PUESTOS'!$B$4:$B$8,MATCH($G1064,'CAT_PUESTOS'!$A$4:$A$8,0)),"(sin catálogo)"))</f>
        <v/>
      </c>
      <c r="X1064" s="3">
        <f>IF($H1064="","",IFERROR(INDEX('CAT_ACTIVIDADES'!$B$4:$B$8,MATCH($H1064,'CAT_ACTIVIDADES'!$A$4:$A$8,0)),"(sin catálogo)"))</f>
        <v/>
      </c>
      <c r="Y1064" s="12">
        <f>IF($J1064="","",TODAY()-$J1064)</f>
        <v/>
      </c>
      <c r="Z1064" s="3">
        <f>IF($Y1064="","",IF($Y1064&lt;0,"FUTURO",IF($Y1064&gt;p_dias_backlog_max,"BACKLOG","MES CORRIENTE")))</f>
        <v/>
      </c>
      <c r="AA1064" s="3">
        <f>IF($Y1064="",FALSE,AND($Y1064&gt;p_dias_backlog_min,$Y1064&lt;=p_dias_backlog_max))</f>
        <v/>
      </c>
      <c r="AB1064" s="6" t="n"/>
      <c r="AC1064" s="3">
        <f>IF($AB1064="","",IFERROR(INDEX('ASIGNACIONES'!$F$4:$F$339,MATCH($O1064&amp;"|"&amp;$R1064&amp;"|"&amp;$AB1064,'ASIGNACIONES'!$I$4:$I$339,0)),""))</f>
        <v/>
      </c>
      <c r="AD1064" s="13">
        <f>IF($AB1064="","",SUMIFS('ORDENES'!$M$4:$M$1203,'ORDENES'!$AB$4:$AB$1203,$AB1064,'ORDENES'!$O$4:$O$1203,$O1064,'ORDENES'!$R$4:$R$1203,$R1064))</f>
        <v/>
      </c>
      <c r="AE1064" s="13">
        <f>IF($AD1064="","",p_factor_productividad*IFERROR(INDEX('ASIGNACIONES'!$H$4:$H$339,MATCH($O1064&amp;"|"&amp;$R1064&amp;"|"&amp;$AB1064,'ASIGNACIONES'!$I$4:$I$339,0)),0)-$AD1064)</f>
        <v/>
      </c>
      <c r="AF1064" s="10">
        <f>IF($A1064="","",IFERROR(INDEX('2_IMPORTAR_EJECUCION'!$F$9:$F$1208,MATCH($AN1064,'2_IMPORTAR_EJECUCION'!$J$9:$J$1208,0)),0))</f>
        <v/>
      </c>
      <c r="AG1064" s="10">
        <f>IF($A1064="","",MAX(0,IFERROR(INDEX('2_IMPORTAR_EJECUCION'!$H$9:$H$1208,MATCH($AN1064,'2_IMPORTAR_EJECUCION'!$J$9:$J$1208,0)),0)-$AF1064))</f>
        <v/>
      </c>
      <c r="AH1064" s="10">
        <f>IF($A1064="","",$AF1064+$AG1064)</f>
        <v/>
      </c>
      <c r="AI1064" s="6" t="n"/>
      <c r="AJ1064" s="6" t="n"/>
      <c r="AK1064" s="6" t="n"/>
      <c r="AL1064" s="3">
        <f>IF($AK1064="","",HYPERLINK(p_ruta_base_checklists&amp;$AK1064,"abrir"))</f>
        <v/>
      </c>
      <c r="AM1064" s="6" t="n"/>
      <c r="AN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1" t="n"/>
      <c r="K1065" s="3" t="n"/>
      <c r="L1065" s="10" t="n"/>
      <c r="M1065" s="3">
        <f>IF($A1065="","",IFERROR(INDEX('AJUSTES'!$B$4:$B$303,MATCH($AN1065,'AJUSTES'!$A$4:$A$303,0)),IF($K1065="","",$K1065)))</f>
        <v/>
      </c>
      <c r="N1065" s="3">
        <f>IF($A1065="","",IFERROR(INDEX('CAT_ESTADOS_ERP'!$B$4:$B$7,MATCH(IFERROR(INDEX('2_IMPORTAR_EJECUCION'!$C$9:$C$1208,MATCH($AN1065,'2_IMPORTAR_EJECUCION'!$J$9:$J$1208,0)),""),'CAT_ESTADOS_ERP'!$A$4:$A$7,0)),"Pendiente"))</f>
        <v/>
      </c>
      <c r="O1065" s="3">
        <f>IF($J1065="","",YEAR($J1065+4-WEEKDAY($J1065,2))&amp;"-S"&amp;TEXT(_xlfn.ISOWEEKNUM($J1065),"00"))</f>
        <v/>
      </c>
      <c r="P1065" s="3">
        <f>IF($J1065="","",YEAR($J1065))</f>
        <v/>
      </c>
      <c r="Q1065" s="3">
        <f>IF($J1065="","",MONTH($J1065))</f>
        <v/>
      </c>
      <c r="R1065" s="3">
        <f>IF($J1065="","",INDEX(lista_dias,WEEKDAY($J1065,2)))</f>
        <v/>
      </c>
      <c r="S1065" s="3">
        <f>IF($I1065="","",IFERROR(INDEX('CAT_TIPOS_OT'!$C$4:$C$7,MATCH($I1065,'CAT_TIPOS_OT'!$A$4:$A$7,0)),"sin_clasificar"))</f>
        <v/>
      </c>
      <c r="T1065" s="3">
        <f>IF($F1065="","",IFERROR(INDEX('CAT_CENTROS_COSTO'!$E$4:$E$9,MATCH($F1065,'CAT_CENTROS_COSTO'!$A$4:$A$9,0)),"(sin catálogo)"))</f>
        <v/>
      </c>
      <c r="U1065" s="3">
        <f>IF($F1065="","",IFERROR(INDEX('CAT_CENTROS_COSTO'!$D$4:$D$9,MATCH($F1065,'CAT_CENTROS_COSTO'!$A$4:$A$9,0)),"(sin catálogo)"))</f>
        <v/>
      </c>
      <c r="V1065" s="3">
        <f>IF($F1065="","",IFERROR(INDEX('CAT_CENTROS_COSTO'!$F$4:$F$9,MATCH($F1065,'CAT_CENTROS_COSTO'!$A$4:$A$9,0)),"(sin catálogo)"))</f>
        <v/>
      </c>
      <c r="W1065" s="3">
        <f>IF($G1065="","",IFERROR(INDEX('CAT_PUESTOS'!$B$4:$B$8,MATCH($G1065,'CAT_PUESTOS'!$A$4:$A$8,0)),"(sin catálogo)"))</f>
        <v/>
      </c>
      <c r="X1065" s="3">
        <f>IF($H1065="","",IFERROR(INDEX('CAT_ACTIVIDADES'!$B$4:$B$8,MATCH($H1065,'CAT_ACTIVIDADES'!$A$4:$A$8,0)),"(sin catálogo)"))</f>
        <v/>
      </c>
      <c r="Y1065" s="12">
        <f>IF($J1065="","",TODAY()-$J1065)</f>
        <v/>
      </c>
      <c r="Z1065" s="3">
        <f>IF($Y1065="","",IF($Y1065&lt;0,"FUTURO",IF($Y1065&gt;p_dias_backlog_max,"BACKLOG","MES CORRIENTE")))</f>
        <v/>
      </c>
      <c r="AA1065" s="3">
        <f>IF($Y1065="",FALSE,AND($Y1065&gt;p_dias_backlog_min,$Y1065&lt;=p_dias_backlog_max))</f>
        <v/>
      </c>
      <c r="AB1065" s="6" t="n"/>
      <c r="AC1065" s="3">
        <f>IF($AB1065="","",IFERROR(INDEX('ASIGNACIONES'!$F$4:$F$339,MATCH($O1065&amp;"|"&amp;$R1065&amp;"|"&amp;$AB1065,'ASIGNACIONES'!$I$4:$I$339,0)),""))</f>
        <v/>
      </c>
      <c r="AD1065" s="13">
        <f>IF($AB1065="","",SUMIFS('ORDENES'!$M$4:$M$1203,'ORDENES'!$AB$4:$AB$1203,$AB1065,'ORDENES'!$O$4:$O$1203,$O1065,'ORDENES'!$R$4:$R$1203,$R1065))</f>
        <v/>
      </c>
      <c r="AE1065" s="13">
        <f>IF($AD1065="","",p_factor_productividad*IFERROR(INDEX('ASIGNACIONES'!$H$4:$H$339,MATCH($O1065&amp;"|"&amp;$R1065&amp;"|"&amp;$AB1065,'ASIGNACIONES'!$I$4:$I$339,0)),0)-$AD1065)</f>
        <v/>
      </c>
      <c r="AF1065" s="10">
        <f>IF($A1065="","",IFERROR(INDEX('2_IMPORTAR_EJECUCION'!$F$9:$F$1208,MATCH($AN1065,'2_IMPORTAR_EJECUCION'!$J$9:$J$1208,0)),0))</f>
        <v/>
      </c>
      <c r="AG1065" s="10">
        <f>IF($A1065="","",MAX(0,IFERROR(INDEX('2_IMPORTAR_EJECUCION'!$H$9:$H$1208,MATCH($AN1065,'2_IMPORTAR_EJECUCION'!$J$9:$J$1208,0)),0)-$AF1065))</f>
        <v/>
      </c>
      <c r="AH1065" s="10">
        <f>IF($A1065="","",$AF1065+$AG1065)</f>
        <v/>
      </c>
      <c r="AI1065" s="6" t="n"/>
      <c r="AJ1065" s="6" t="n"/>
      <c r="AK1065" s="6" t="n"/>
      <c r="AL1065" s="3">
        <f>IF($AK1065="","",HYPERLINK(p_ruta_base_checklists&amp;$AK1065,"abrir"))</f>
        <v/>
      </c>
      <c r="AM1065" s="6" t="n"/>
      <c r="AN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1" t="n"/>
      <c r="K1066" s="3" t="n"/>
      <c r="L1066" s="10" t="n"/>
      <c r="M1066" s="3">
        <f>IF($A1066="","",IFERROR(INDEX('AJUSTES'!$B$4:$B$303,MATCH($AN1066,'AJUSTES'!$A$4:$A$303,0)),IF($K1066="","",$K1066)))</f>
        <v/>
      </c>
      <c r="N1066" s="3">
        <f>IF($A1066="","",IFERROR(INDEX('CAT_ESTADOS_ERP'!$B$4:$B$7,MATCH(IFERROR(INDEX('2_IMPORTAR_EJECUCION'!$C$9:$C$1208,MATCH($AN1066,'2_IMPORTAR_EJECUCION'!$J$9:$J$1208,0)),""),'CAT_ESTADOS_ERP'!$A$4:$A$7,0)),"Pendiente"))</f>
        <v/>
      </c>
      <c r="O1066" s="3">
        <f>IF($J1066="","",YEAR($J1066+4-WEEKDAY($J1066,2))&amp;"-S"&amp;TEXT(_xlfn.ISOWEEKNUM($J1066),"00"))</f>
        <v/>
      </c>
      <c r="P1066" s="3">
        <f>IF($J1066="","",YEAR($J1066))</f>
        <v/>
      </c>
      <c r="Q1066" s="3">
        <f>IF($J1066="","",MONTH($J1066))</f>
        <v/>
      </c>
      <c r="R1066" s="3">
        <f>IF($J1066="","",INDEX(lista_dias,WEEKDAY($J1066,2)))</f>
        <v/>
      </c>
      <c r="S1066" s="3">
        <f>IF($I1066="","",IFERROR(INDEX('CAT_TIPOS_OT'!$C$4:$C$7,MATCH($I1066,'CAT_TIPOS_OT'!$A$4:$A$7,0)),"sin_clasificar"))</f>
        <v/>
      </c>
      <c r="T1066" s="3">
        <f>IF($F1066="","",IFERROR(INDEX('CAT_CENTROS_COSTO'!$E$4:$E$9,MATCH($F1066,'CAT_CENTROS_COSTO'!$A$4:$A$9,0)),"(sin catálogo)"))</f>
        <v/>
      </c>
      <c r="U1066" s="3">
        <f>IF($F1066="","",IFERROR(INDEX('CAT_CENTROS_COSTO'!$D$4:$D$9,MATCH($F1066,'CAT_CENTROS_COSTO'!$A$4:$A$9,0)),"(sin catálogo)"))</f>
        <v/>
      </c>
      <c r="V1066" s="3">
        <f>IF($F1066="","",IFERROR(INDEX('CAT_CENTROS_COSTO'!$F$4:$F$9,MATCH($F1066,'CAT_CENTROS_COSTO'!$A$4:$A$9,0)),"(sin catálogo)"))</f>
        <v/>
      </c>
      <c r="W1066" s="3">
        <f>IF($G1066="","",IFERROR(INDEX('CAT_PUESTOS'!$B$4:$B$8,MATCH($G1066,'CAT_PUESTOS'!$A$4:$A$8,0)),"(sin catálogo)"))</f>
        <v/>
      </c>
      <c r="X1066" s="3">
        <f>IF($H1066="","",IFERROR(INDEX('CAT_ACTIVIDADES'!$B$4:$B$8,MATCH($H1066,'CAT_ACTIVIDADES'!$A$4:$A$8,0)),"(sin catálogo)"))</f>
        <v/>
      </c>
      <c r="Y1066" s="12">
        <f>IF($J1066="","",TODAY()-$J1066)</f>
        <v/>
      </c>
      <c r="Z1066" s="3">
        <f>IF($Y1066="","",IF($Y1066&lt;0,"FUTURO",IF($Y1066&gt;p_dias_backlog_max,"BACKLOG","MES CORRIENTE")))</f>
        <v/>
      </c>
      <c r="AA1066" s="3">
        <f>IF($Y1066="",FALSE,AND($Y1066&gt;p_dias_backlog_min,$Y1066&lt;=p_dias_backlog_max))</f>
        <v/>
      </c>
      <c r="AB1066" s="6" t="n"/>
      <c r="AC1066" s="3">
        <f>IF($AB1066="","",IFERROR(INDEX('ASIGNACIONES'!$F$4:$F$339,MATCH($O1066&amp;"|"&amp;$R1066&amp;"|"&amp;$AB1066,'ASIGNACIONES'!$I$4:$I$339,0)),""))</f>
        <v/>
      </c>
      <c r="AD1066" s="13">
        <f>IF($AB1066="","",SUMIFS('ORDENES'!$M$4:$M$1203,'ORDENES'!$AB$4:$AB$1203,$AB1066,'ORDENES'!$O$4:$O$1203,$O1066,'ORDENES'!$R$4:$R$1203,$R1066))</f>
        <v/>
      </c>
      <c r="AE1066" s="13">
        <f>IF($AD1066="","",p_factor_productividad*IFERROR(INDEX('ASIGNACIONES'!$H$4:$H$339,MATCH($O1066&amp;"|"&amp;$R1066&amp;"|"&amp;$AB1066,'ASIGNACIONES'!$I$4:$I$339,0)),0)-$AD1066)</f>
        <v/>
      </c>
      <c r="AF1066" s="10">
        <f>IF($A1066="","",IFERROR(INDEX('2_IMPORTAR_EJECUCION'!$F$9:$F$1208,MATCH($AN1066,'2_IMPORTAR_EJECUCION'!$J$9:$J$1208,0)),0))</f>
        <v/>
      </c>
      <c r="AG1066" s="10">
        <f>IF($A1066="","",MAX(0,IFERROR(INDEX('2_IMPORTAR_EJECUCION'!$H$9:$H$1208,MATCH($AN1066,'2_IMPORTAR_EJECUCION'!$J$9:$J$1208,0)),0)-$AF1066))</f>
        <v/>
      </c>
      <c r="AH1066" s="10">
        <f>IF($A1066="","",$AF1066+$AG1066)</f>
        <v/>
      </c>
      <c r="AI1066" s="6" t="n"/>
      <c r="AJ1066" s="6" t="n"/>
      <c r="AK1066" s="6" t="n"/>
      <c r="AL1066" s="3">
        <f>IF($AK1066="","",HYPERLINK(p_ruta_base_checklists&amp;$AK1066,"abrir"))</f>
        <v/>
      </c>
      <c r="AM1066" s="6" t="n"/>
      <c r="AN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1" t="n"/>
      <c r="K1067" s="3" t="n"/>
      <c r="L1067" s="10" t="n"/>
      <c r="M1067" s="3">
        <f>IF($A1067="","",IFERROR(INDEX('AJUSTES'!$B$4:$B$303,MATCH($AN1067,'AJUSTES'!$A$4:$A$303,0)),IF($K1067="","",$K1067)))</f>
        <v/>
      </c>
      <c r="N1067" s="3">
        <f>IF($A1067="","",IFERROR(INDEX('CAT_ESTADOS_ERP'!$B$4:$B$7,MATCH(IFERROR(INDEX('2_IMPORTAR_EJECUCION'!$C$9:$C$1208,MATCH($AN1067,'2_IMPORTAR_EJECUCION'!$J$9:$J$1208,0)),""),'CAT_ESTADOS_ERP'!$A$4:$A$7,0)),"Pendiente"))</f>
        <v/>
      </c>
      <c r="O1067" s="3">
        <f>IF($J1067="","",YEAR($J1067+4-WEEKDAY($J1067,2))&amp;"-S"&amp;TEXT(_xlfn.ISOWEEKNUM($J1067),"00"))</f>
        <v/>
      </c>
      <c r="P1067" s="3">
        <f>IF($J1067="","",YEAR($J1067))</f>
        <v/>
      </c>
      <c r="Q1067" s="3">
        <f>IF($J1067="","",MONTH($J1067))</f>
        <v/>
      </c>
      <c r="R1067" s="3">
        <f>IF($J1067="","",INDEX(lista_dias,WEEKDAY($J1067,2)))</f>
        <v/>
      </c>
      <c r="S1067" s="3">
        <f>IF($I1067="","",IFERROR(INDEX('CAT_TIPOS_OT'!$C$4:$C$7,MATCH($I1067,'CAT_TIPOS_OT'!$A$4:$A$7,0)),"sin_clasificar"))</f>
        <v/>
      </c>
      <c r="T1067" s="3">
        <f>IF($F1067="","",IFERROR(INDEX('CAT_CENTROS_COSTO'!$E$4:$E$9,MATCH($F1067,'CAT_CENTROS_COSTO'!$A$4:$A$9,0)),"(sin catálogo)"))</f>
        <v/>
      </c>
      <c r="U1067" s="3">
        <f>IF($F1067="","",IFERROR(INDEX('CAT_CENTROS_COSTO'!$D$4:$D$9,MATCH($F1067,'CAT_CENTROS_COSTO'!$A$4:$A$9,0)),"(sin catálogo)"))</f>
        <v/>
      </c>
      <c r="V1067" s="3">
        <f>IF($F1067="","",IFERROR(INDEX('CAT_CENTROS_COSTO'!$F$4:$F$9,MATCH($F1067,'CAT_CENTROS_COSTO'!$A$4:$A$9,0)),"(sin catálogo)"))</f>
        <v/>
      </c>
      <c r="W1067" s="3">
        <f>IF($G1067="","",IFERROR(INDEX('CAT_PUESTOS'!$B$4:$B$8,MATCH($G1067,'CAT_PUESTOS'!$A$4:$A$8,0)),"(sin catálogo)"))</f>
        <v/>
      </c>
      <c r="X1067" s="3">
        <f>IF($H1067="","",IFERROR(INDEX('CAT_ACTIVIDADES'!$B$4:$B$8,MATCH($H1067,'CAT_ACTIVIDADES'!$A$4:$A$8,0)),"(sin catálogo)"))</f>
        <v/>
      </c>
      <c r="Y1067" s="12">
        <f>IF($J1067="","",TODAY()-$J1067)</f>
        <v/>
      </c>
      <c r="Z1067" s="3">
        <f>IF($Y1067="","",IF($Y1067&lt;0,"FUTURO",IF($Y1067&gt;p_dias_backlog_max,"BACKLOG","MES CORRIENTE")))</f>
        <v/>
      </c>
      <c r="AA1067" s="3">
        <f>IF($Y1067="",FALSE,AND($Y1067&gt;p_dias_backlog_min,$Y1067&lt;=p_dias_backlog_max))</f>
        <v/>
      </c>
      <c r="AB1067" s="6" t="n"/>
      <c r="AC1067" s="3">
        <f>IF($AB1067="","",IFERROR(INDEX('ASIGNACIONES'!$F$4:$F$339,MATCH($O1067&amp;"|"&amp;$R1067&amp;"|"&amp;$AB1067,'ASIGNACIONES'!$I$4:$I$339,0)),""))</f>
        <v/>
      </c>
      <c r="AD1067" s="13">
        <f>IF($AB1067="","",SUMIFS('ORDENES'!$M$4:$M$1203,'ORDENES'!$AB$4:$AB$1203,$AB1067,'ORDENES'!$O$4:$O$1203,$O1067,'ORDENES'!$R$4:$R$1203,$R1067))</f>
        <v/>
      </c>
      <c r="AE1067" s="13">
        <f>IF($AD1067="","",p_factor_productividad*IFERROR(INDEX('ASIGNACIONES'!$H$4:$H$339,MATCH($O1067&amp;"|"&amp;$R1067&amp;"|"&amp;$AB1067,'ASIGNACIONES'!$I$4:$I$339,0)),0)-$AD1067)</f>
        <v/>
      </c>
      <c r="AF1067" s="10">
        <f>IF($A1067="","",IFERROR(INDEX('2_IMPORTAR_EJECUCION'!$F$9:$F$1208,MATCH($AN1067,'2_IMPORTAR_EJECUCION'!$J$9:$J$1208,0)),0))</f>
        <v/>
      </c>
      <c r="AG1067" s="10">
        <f>IF($A1067="","",MAX(0,IFERROR(INDEX('2_IMPORTAR_EJECUCION'!$H$9:$H$1208,MATCH($AN1067,'2_IMPORTAR_EJECUCION'!$J$9:$J$1208,0)),0)-$AF1067))</f>
        <v/>
      </c>
      <c r="AH1067" s="10">
        <f>IF($A1067="","",$AF1067+$AG1067)</f>
        <v/>
      </c>
      <c r="AI1067" s="6" t="n"/>
      <c r="AJ1067" s="6" t="n"/>
      <c r="AK1067" s="6" t="n"/>
      <c r="AL1067" s="3">
        <f>IF($AK1067="","",HYPERLINK(p_ruta_base_checklists&amp;$AK1067,"abrir"))</f>
        <v/>
      </c>
      <c r="AM1067" s="6" t="n"/>
      <c r="AN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1" t="n"/>
      <c r="K1068" s="3" t="n"/>
      <c r="L1068" s="10" t="n"/>
      <c r="M1068" s="3">
        <f>IF($A1068="","",IFERROR(INDEX('AJUSTES'!$B$4:$B$303,MATCH($AN1068,'AJUSTES'!$A$4:$A$303,0)),IF($K1068="","",$K1068)))</f>
        <v/>
      </c>
      <c r="N1068" s="3">
        <f>IF($A1068="","",IFERROR(INDEX('CAT_ESTADOS_ERP'!$B$4:$B$7,MATCH(IFERROR(INDEX('2_IMPORTAR_EJECUCION'!$C$9:$C$1208,MATCH($AN1068,'2_IMPORTAR_EJECUCION'!$J$9:$J$1208,0)),""),'CAT_ESTADOS_ERP'!$A$4:$A$7,0)),"Pendiente"))</f>
        <v/>
      </c>
      <c r="O1068" s="3">
        <f>IF($J1068="","",YEAR($J1068+4-WEEKDAY($J1068,2))&amp;"-S"&amp;TEXT(_xlfn.ISOWEEKNUM($J1068),"00"))</f>
        <v/>
      </c>
      <c r="P1068" s="3">
        <f>IF($J1068="","",YEAR($J1068))</f>
        <v/>
      </c>
      <c r="Q1068" s="3">
        <f>IF($J1068="","",MONTH($J1068))</f>
        <v/>
      </c>
      <c r="R1068" s="3">
        <f>IF($J1068="","",INDEX(lista_dias,WEEKDAY($J1068,2)))</f>
        <v/>
      </c>
      <c r="S1068" s="3">
        <f>IF($I1068="","",IFERROR(INDEX('CAT_TIPOS_OT'!$C$4:$C$7,MATCH($I1068,'CAT_TIPOS_OT'!$A$4:$A$7,0)),"sin_clasificar"))</f>
        <v/>
      </c>
      <c r="T1068" s="3">
        <f>IF($F1068="","",IFERROR(INDEX('CAT_CENTROS_COSTO'!$E$4:$E$9,MATCH($F1068,'CAT_CENTROS_COSTO'!$A$4:$A$9,0)),"(sin catálogo)"))</f>
        <v/>
      </c>
      <c r="U1068" s="3">
        <f>IF($F1068="","",IFERROR(INDEX('CAT_CENTROS_COSTO'!$D$4:$D$9,MATCH($F1068,'CAT_CENTROS_COSTO'!$A$4:$A$9,0)),"(sin catálogo)"))</f>
        <v/>
      </c>
      <c r="V1068" s="3">
        <f>IF($F1068="","",IFERROR(INDEX('CAT_CENTROS_COSTO'!$F$4:$F$9,MATCH($F1068,'CAT_CENTROS_COSTO'!$A$4:$A$9,0)),"(sin catálogo)"))</f>
        <v/>
      </c>
      <c r="W1068" s="3">
        <f>IF($G1068="","",IFERROR(INDEX('CAT_PUESTOS'!$B$4:$B$8,MATCH($G1068,'CAT_PUESTOS'!$A$4:$A$8,0)),"(sin catálogo)"))</f>
        <v/>
      </c>
      <c r="X1068" s="3">
        <f>IF($H1068="","",IFERROR(INDEX('CAT_ACTIVIDADES'!$B$4:$B$8,MATCH($H1068,'CAT_ACTIVIDADES'!$A$4:$A$8,0)),"(sin catálogo)"))</f>
        <v/>
      </c>
      <c r="Y1068" s="12">
        <f>IF($J1068="","",TODAY()-$J1068)</f>
        <v/>
      </c>
      <c r="Z1068" s="3">
        <f>IF($Y1068="","",IF($Y1068&lt;0,"FUTURO",IF($Y1068&gt;p_dias_backlog_max,"BACKLOG","MES CORRIENTE")))</f>
        <v/>
      </c>
      <c r="AA1068" s="3">
        <f>IF($Y1068="",FALSE,AND($Y1068&gt;p_dias_backlog_min,$Y1068&lt;=p_dias_backlog_max))</f>
        <v/>
      </c>
      <c r="AB1068" s="6" t="n"/>
      <c r="AC1068" s="3">
        <f>IF($AB1068="","",IFERROR(INDEX('ASIGNACIONES'!$F$4:$F$339,MATCH($O1068&amp;"|"&amp;$R1068&amp;"|"&amp;$AB1068,'ASIGNACIONES'!$I$4:$I$339,0)),""))</f>
        <v/>
      </c>
      <c r="AD1068" s="13">
        <f>IF($AB1068="","",SUMIFS('ORDENES'!$M$4:$M$1203,'ORDENES'!$AB$4:$AB$1203,$AB1068,'ORDENES'!$O$4:$O$1203,$O1068,'ORDENES'!$R$4:$R$1203,$R1068))</f>
        <v/>
      </c>
      <c r="AE1068" s="13">
        <f>IF($AD1068="","",p_factor_productividad*IFERROR(INDEX('ASIGNACIONES'!$H$4:$H$339,MATCH($O1068&amp;"|"&amp;$R1068&amp;"|"&amp;$AB1068,'ASIGNACIONES'!$I$4:$I$339,0)),0)-$AD1068)</f>
        <v/>
      </c>
      <c r="AF1068" s="10">
        <f>IF($A1068="","",IFERROR(INDEX('2_IMPORTAR_EJECUCION'!$F$9:$F$1208,MATCH($AN1068,'2_IMPORTAR_EJECUCION'!$J$9:$J$1208,0)),0))</f>
        <v/>
      </c>
      <c r="AG1068" s="10">
        <f>IF($A1068="","",MAX(0,IFERROR(INDEX('2_IMPORTAR_EJECUCION'!$H$9:$H$1208,MATCH($AN1068,'2_IMPORTAR_EJECUCION'!$J$9:$J$1208,0)),0)-$AF1068))</f>
        <v/>
      </c>
      <c r="AH1068" s="10">
        <f>IF($A1068="","",$AF1068+$AG1068)</f>
        <v/>
      </c>
      <c r="AI1068" s="6" t="n"/>
      <c r="AJ1068" s="6" t="n"/>
      <c r="AK1068" s="6" t="n"/>
      <c r="AL1068" s="3">
        <f>IF($AK1068="","",HYPERLINK(p_ruta_base_checklists&amp;$AK1068,"abrir"))</f>
        <v/>
      </c>
      <c r="AM1068" s="6" t="n"/>
      <c r="AN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1" t="n"/>
      <c r="K1069" s="3" t="n"/>
      <c r="L1069" s="10" t="n"/>
      <c r="M1069" s="3">
        <f>IF($A1069="","",IFERROR(INDEX('AJUSTES'!$B$4:$B$303,MATCH($AN1069,'AJUSTES'!$A$4:$A$303,0)),IF($K1069="","",$K1069)))</f>
        <v/>
      </c>
      <c r="N1069" s="3">
        <f>IF($A1069="","",IFERROR(INDEX('CAT_ESTADOS_ERP'!$B$4:$B$7,MATCH(IFERROR(INDEX('2_IMPORTAR_EJECUCION'!$C$9:$C$1208,MATCH($AN1069,'2_IMPORTAR_EJECUCION'!$J$9:$J$1208,0)),""),'CAT_ESTADOS_ERP'!$A$4:$A$7,0)),"Pendiente"))</f>
        <v/>
      </c>
      <c r="O1069" s="3">
        <f>IF($J1069="","",YEAR($J1069+4-WEEKDAY($J1069,2))&amp;"-S"&amp;TEXT(_xlfn.ISOWEEKNUM($J1069),"00"))</f>
        <v/>
      </c>
      <c r="P1069" s="3">
        <f>IF($J1069="","",YEAR($J1069))</f>
        <v/>
      </c>
      <c r="Q1069" s="3">
        <f>IF($J1069="","",MONTH($J1069))</f>
        <v/>
      </c>
      <c r="R1069" s="3">
        <f>IF($J1069="","",INDEX(lista_dias,WEEKDAY($J1069,2)))</f>
        <v/>
      </c>
      <c r="S1069" s="3">
        <f>IF($I1069="","",IFERROR(INDEX('CAT_TIPOS_OT'!$C$4:$C$7,MATCH($I1069,'CAT_TIPOS_OT'!$A$4:$A$7,0)),"sin_clasificar"))</f>
        <v/>
      </c>
      <c r="T1069" s="3">
        <f>IF($F1069="","",IFERROR(INDEX('CAT_CENTROS_COSTO'!$E$4:$E$9,MATCH($F1069,'CAT_CENTROS_COSTO'!$A$4:$A$9,0)),"(sin catálogo)"))</f>
        <v/>
      </c>
      <c r="U1069" s="3">
        <f>IF($F1069="","",IFERROR(INDEX('CAT_CENTROS_COSTO'!$D$4:$D$9,MATCH($F1069,'CAT_CENTROS_COSTO'!$A$4:$A$9,0)),"(sin catálogo)"))</f>
        <v/>
      </c>
      <c r="V1069" s="3">
        <f>IF($F1069="","",IFERROR(INDEX('CAT_CENTROS_COSTO'!$F$4:$F$9,MATCH($F1069,'CAT_CENTROS_COSTO'!$A$4:$A$9,0)),"(sin catálogo)"))</f>
        <v/>
      </c>
      <c r="W1069" s="3">
        <f>IF($G1069="","",IFERROR(INDEX('CAT_PUESTOS'!$B$4:$B$8,MATCH($G1069,'CAT_PUESTOS'!$A$4:$A$8,0)),"(sin catálogo)"))</f>
        <v/>
      </c>
      <c r="X1069" s="3">
        <f>IF($H1069="","",IFERROR(INDEX('CAT_ACTIVIDADES'!$B$4:$B$8,MATCH($H1069,'CAT_ACTIVIDADES'!$A$4:$A$8,0)),"(sin catálogo)"))</f>
        <v/>
      </c>
      <c r="Y1069" s="12">
        <f>IF($J1069="","",TODAY()-$J1069)</f>
        <v/>
      </c>
      <c r="Z1069" s="3">
        <f>IF($Y1069="","",IF($Y1069&lt;0,"FUTURO",IF($Y1069&gt;p_dias_backlog_max,"BACKLOG","MES CORRIENTE")))</f>
        <v/>
      </c>
      <c r="AA1069" s="3">
        <f>IF($Y1069="",FALSE,AND($Y1069&gt;p_dias_backlog_min,$Y1069&lt;=p_dias_backlog_max))</f>
        <v/>
      </c>
      <c r="AB1069" s="6" t="n"/>
      <c r="AC1069" s="3">
        <f>IF($AB1069="","",IFERROR(INDEX('ASIGNACIONES'!$F$4:$F$339,MATCH($O1069&amp;"|"&amp;$R1069&amp;"|"&amp;$AB1069,'ASIGNACIONES'!$I$4:$I$339,0)),""))</f>
        <v/>
      </c>
      <c r="AD1069" s="13">
        <f>IF($AB1069="","",SUMIFS('ORDENES'!$M$4:$M$1203,'ORDENES'!$AB$4:$AB$1203,$AB1069,'ORDENES'!$O$4:$O$1203,$O1069,'ORDENES'!$R$4:$R$1203,$R1069))</f>
        <v/>
      </c>
      <c r="AE1069" s="13">
        <f>IF($AD1069="","",p_factor_productividad*IFERROR(INDEX('ASIGNACIONES'!$H$4:$H$339,MATCH($O1069&amp;"|"&amp;$R1069&amp;"|"&amp;$AB1069,'ASIGNACIONES'!$I$4:$I$339,0)),0)-$AD1069)</f>
        <v/>
      </c>
      <c r="AF1069" s="10">
        <f>IF($A1069="","",IFERROR(INDEX('2_IMPORTAR_EJECUCION'!$F$9:$F$1208,MATCH($AN1069,'2_IMPORTAR_EJECUCION'!$J$9:$J$1208,0)),0))</f>
        <v/>
      </c>
      <c r="AG1069" s="10">
        <f>IF($A1069="","",MAX(0,IFERROR(INDEX('2_IMPORTAR_EJECUCION'!$H$9:$H$1208,MATCH($AN1069,'2_IMPORTAR_EJECUCION'!$J$9:$J$1208,0)),0)-$AF1069))</f>
        <v/>
      </c>
      <c r="AH1069" s="10">
        <f>IF($A1069="","",$AF1069+$AG1069)</f>
        <v/>
      </c>
      <c r="AI1069" s="6" t="n"/>
      <c r="AJ1069" s="6" t="n"/>
      <c r="AK1069" s="6" t="n"/>
      <c r="AL1069" s="3">
        <f>IF($AK1069="","",HYPERLINK(p_ruta_base_checklists&amp;$AK1069,"abrir"))</f>
        <v/>
      </c>
      <c r="AM1069" s="6" t="n"/>
      <c r="AN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1" t="n"/>
      <c r="K1070" s="3" t="n"/>
      <c r="L1070" s="10" t="n"/>
      <c r="M1070" s="3">
        <f>IF($A1070="","",IFERROR(INDEX('AJUSTES'!$B$4:$B$303,MATCH($AN1070,'AJUSTES'!$A$4:$A$303,0)),IF($K1070="","",$K1070)))</f>
        <v/>
      </c>
      <c r="N1070" s="3">
        <f>IF($A1070="","",IFERROR(INDEX('CAT_ESTADOS_ERP'!$B$4:$B$7,MATCH(IFERROR(INDEX('2_IMPORTAR_EJECUCION'!$C$9:$C$1208,MATCH($AN1070,'2_IMPORTAR_EJECUCION'!$J$9:$J$1208,0)),""),'CAT_ESTADOS_ERP'!$A$4:$A$7,0)),"Pendiente"))</f>
        <v/>
      </c>
      <c r="O1070" s="3">
        <f>IF($J1070="","",YEAR($J1070+4-WEEKDAY($J1070,2))&amp;"-S"&amp;TEXT(_xlfn.ISOWEEKNUM($J1070),"00"))</f>
        <v/>
      </c>
      <c r="P1070" s="3">
        <f>IF($J1070="","",YEAR($J1070))</f>
        <v/>
      </c>
      <c r="Q1070" s="3">
        <f>IF($J1070="","",MONTH($J1070))</f>
        <v/>
      </c>
      <c r="R1070" s="3">
        <f>IF($J1070="","",INDEX(lista_dias,WEEKDAY($J1070,2)))</f>
        <v/>
      </c>
      <c r="S1070" s="3">
        <f>IF($I1070="","",IFERROR(INDEX('CAT_TIPOS_OT'!$C$4:$C$7,MATCH($I1070,'CAT_TIPOS_OT'!$A$4:$A$7,0)),"sin_clasificar"))</f>
        <v/>
      </c>
      <c r="T1070" s="3">
        <f>IF($F1070="","",IFERROR(INDEX('CAT_CENTROS_COSTO'!$E$4:$E$9,MATCH($F1070,'CAT_CENTROS_COSTO'!$A$4:$A$9,0)),"(sin catálogo)"))</f>
        <v/>
      </c>
      <c r="U1070" s="3">
        <f>IF($F1070="","",IFERROR(INDEX('CAT_CENTROS_COSTO'!$D$4:$D$9,MATCH($F1070,'CAT_CENTROS_COSTO'!$A$4:$A$9,0)),"(sin catálogo)"))</f>
        <v/>
      </c>
      <c r="V1070" s="3">
        <f>IF($F1070="","",IFERROR(INDEX('CAT_CENTROS_COSTO'!$F$4:$F$9,MATCH($F1070,'CAT_CENTROS_COSTO'!$A$4:$A$9,0)),"(sin catálogo)"))</f>
        <v/>
      </c>
      <c r="W1070" s="3">
        <f>IF($G1070="","",IFERROR(INDEX('CAT_PUESTOS'!$B$4:$B$8,MATCH($G1070,'CAT_PUESTOS'!$A$4:$A$8,0)),"(sin catálogo)"))</f>
        <v/>
      </c>
      <c r="X1070" s="3">
        <f>IF($H1070="","",IFERROR(INDEX('CAT_ACTIVIDADES'!$B$4:$B$8,MATCH($H1070,'CAT_ACTIVIDADES'!$A$4:$A$8,0)),"(sin catálogo)"))</f>
        <v/>
      </c>
      <c r="Y1070" s="12">
        <f>IF($J1070="","",TODAY()-$J1070)</f>
        <v/>
      </c>
      <c r="Z1070" s="3">
        <f>IF($Y1070="","",IF($Y1070&lt;0,"FUTURO",IF($Y1070&gt;p_dias_backlog_max,"BACKLOG","MES CORRIENTE")))</f>
        <v/>
      </c>
      <c r="AA1070" s="3">
        <f>IF($Y1070="",FALSE,AND($Y1070&gt;p_dias_backlog_min,$Y1070&lt;=p_dias_backlog_max))</f>
        <v/>
      </c>
      <c r="AB1070" s="6" t="n"/>
      <c r="AC1070" s="3">
        <f>IF($AB1070="","",IFERROR(INDEX('ASIGNACIONES'!$F$4:$F$339,MATCH($O1070&amp;"|"&amp;$R1070&amp;"|"&amp;$AB1070,'ASIGNACIONES'!$I$4:$I$339,0)),""))</f>
        <v/>
      </c>
      <c r="AD1070" s="13">
        <f>IF($AB1070="","",SUMIFS('ORDENES'!$M$4:$M$1203,'ORDENES'!$AB$4:$AB$1203,$AB1070,'ORDENES'!$O$4:$O$1203,$O1070,'ORDENES'!$R$4:$R$1203,$R1070))</f>
        <v/>
      </c>
      <c r="AE1070" s="13">
        <f>IF($AD1070="","",p_factor_productividad*IFERROR(INDEX('ASIGNACIONES'!$H$4:$H$339,MATCH($O1070&amp;"|"&amp;$R1070&amp;"|"&amp;$AB1070,'ASIGNACIONES'!$I$4:$I$339,0)),0)-$AD1070)</f>
        <v/>
      </c>
      <c r="AF1070" s="10">
        <f>IF($A1070="","",IFERROR(INDEX('2_IMPORTAR_EJECUCION'!$F$9:$F$1208,MATCH($AN1070,'2_IMPORTAR_EJECUCION'!$J$9:$J$1208,0)),0))</f>
        <v/>
      </c>
      <c r="AG1070" s="10">
        <f>IF($A1070="","",MAX(0,IFERROR(INDEX('2_IMPORTAR_EJECUCION'!$H$9:$H$1208,MATCH($AN1070,'2_IMPORTAR_EJECUCION'!$J$9:$J$1208,0)),0)-$AF1070))</f>
        <v/>
      </c>
      <c r="AH1070" s="10">
        <f>IF($A1070="","",$AF1070+$AG1070)</f>
        <v/>
      </c>
      <c r="AI1070" s="6" t="n"/>
      <c r="AJ1070" s="6" t="n"/>
      <c r="AK1070" s="6" t="n"/>
      <c r="AL1070" s="3">
        <f>IF($AK1070="","",HYPERLINK(p_ruta_base_checklists&amp;$AK1070,"abrir"))</f>
        <v/>
      </c>
      <c r="AM1070" s="6" t="n"/>
      <c r="AN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1" t="n"/>
      <c r="K1071" s="3" t="n"/>
      <c r="L1071" s="10" t="n"/>
      <c r="M1071" s="3">
        <f>IF($A1071="","",IFERROR(INDEX('AJUSTES'!$B$4:$B$303,MATCH($AN1071,'AJUSTES'!$A$4:$A$303,0)),IF($K1071="","",$K1071)))</f>
        <v/>
      </c>
      <c r="N1071" s="3">
        <f>IF($A1071="","",IFERROR(INDEX('CAT_ESTADOS_ERP'!$B$4:$B$7,MATCH(IFERROR(INDEX('2_IMPORTAR_EJECUCION'!$C$9:$C$1208,MATCH($AN1071,'2_IMPORTAR_EJECUCION'!$J$9:$J$1208,0)),""),'CAT_ESTADOS_ERP'!$A$4:$A$7,0)),"Pendiente"))</f>
        <v/>
      </c>
      <c r="O1071" s="3">
        <f>IF($J1071="","",YEAR($J1071+4-WEEKDAY($J1071,2))&amp;"-S"&amp;TEXT(_xlfn.ISOWEEKNUM($J1071),"00"))</f>
        <v/>
      </c>
      <c r="P1071" s="3">
        <f>IF($J1071="","",YEAR($J1071))</f>
        <v/>
      </c>
      <c r="Q1071" s="3">
        <f>IF($J1071="","",MONTH($J1071))</f>
        <v/>
      </c>
      <c r="R1071" s="3">
        <f>IF($J1071="","",INDEX(lista_dias,WEEKDAY($J1071,2)))</f>
        <v/>
      </c>
      <c r="S1071" s="3">
        <f>IF($I1071="","",IFERROR(INDEX('CAT_TIPOS_OT'!$C$4:$C$7,MATCH($I1071,'CAT_TIPOS_OT'!$A$4:$A$7,0)),"sin_clasificar"))</f>
        <v/>
      </c>
      <c r="T1071" s="3">
        <f>IF($F1071="","",IFERROR(INDEX('CAT_CENTROS_COSTO'!$E$4:$E$9,MATCH($F1071,'CAT_CENTROS_COSTO'!$A$4:$A$9,0)),"(sin catálogo)"))</f>
        <v/>
      </c>
      <c r="U1071" s="3">
        <f>IF($F1071="","",IFERROR(INDEX('CAT_CENTROS_COSTO'!$D$4:$D$9,MATCH($F1071,'CAT_CENTROS_COSTO'!$A$4:$A$9,0)),"(sin catálogo)"))</f>
        <v/>
      </c>
      <c r="V1071" s="3">
        <f>IF($F1071="","",IFERROR(INDEX('CAT_CENTROS_COSTO'!$F$4:$F$9,MATCH($F1071,'CAT_CENTROS_COSTO'!$A$4:$A$9,0)),"(sin catálogo)"))</f>
        <v/>
      </c>
      <c r="W1071" s="3">
        <f>IF($G1071="","",IFERROR(INDEX('CAT_PUESTOS'!$B$4:$B$8,MATCH($G1071,'CAT_PUESTOS'!$A$4:$A$8,0)),"(sin catálogo)"))</f>
        <v/>
      </c>
      <c r="X1071" s="3">
        <f>IF($H1071="","",IFERROR(INDEX('CAT_ACTIVIDADES'!$B$4:$B$8,MATCH($H1071,'CAT_ACTIVIDADES'!$A$4:$A$8,0)),"(sin catálogo)"))</f>
        <v/>
      </c>
      <c r="Y1071" s="12">
        <f>IF($J1071="","",TODAY()-$J1071)</f>
        <v/>
      </c>
      <c r="Z1071" s="3">
        <f>IF($Y1071="","",IF($Y1071&lt;0,"FUTURO",IF($Y1071&gt;p_dias_backlog_max,"BACKLOG","MES CORRIENTE")))</f>
        <v/>
      </c>
      <c r="AA1071" s="3">
        <f>IF($Y1071="",FALSE,AND($Y1071&gt;p_dias_backlog_min,$Y1071&lt;=p_dias_backlog_max))</f>
        <v/>
      </c>
      <c r="AB1071" s="6" t="n"/>
      <c r="AC1071" s="3">
        <f>IF($AB1071="","",IFERROR(INDEX('ASIGNACIONES'!$F$4:$F$339,MATCH($O1071&amp;"|"&amp;$R1071&amp;"|"&amp;$AB1071,'ASIGNACIONES'!$I$4:$I$339,0)),""))</f>
        <v/>
      </c>
      <c r="AD1071" s="13">
        <f>IF($AB1071="","",SUMIFS('ORDENES'!$M$4:$M$1203,'ORDENES'!$AB$4:$AB$1203,$AB1071,'ORDENES'!$O$4:$O$1203,$O1071,'ORDENES'!$R$4:$R$1203,$R1071))</f>
        <v/>
      </c>
      <c r="AE1071" s="13">
        <f>IF($AD1071="","",p_factor_productividad*IFERROR(INDEX('ASIGNACIONES'!$H$4:$H$339,MATCH($O1071&amp;"|"&amp;$R1071&amp;"|"&amp;$AB1071,'ASIGNACIONES'!$I$4:$I$339,0)),0)-$AD1071)</f>
        <v/>
      </c>
      <c r="AF1071" s="10">
        <f>IF($A1071="","",IFERROR(INDEX('2_IMPORTAR_EJECUCION'!$F$9:$F$1208,MATCH($AN1071,'2_IMPORTAR_EJECUCION'!$J$9:$J$1208,0)),0))</f>
        <v/>
      </c>
      <c r="AG1071" s="10">
        <f>IF($A1071="","",MAX(0,IFERROR(INDEX('2_IMPORTAR_EJECUCION'!$H$9:$H$1208,MATCH($AN1071,'2_IMPORTAR_EJECUCION'!$J$9:$J$1208,0)),0)-$AF1071))</f>
        <v/>
      </c>
      <c r="AH1071" s="10">
        <f>IF($A1071="","",$AF1071+$AG1071)</f>
        <v/>
      </c>
      <c r="AI1071" s="6" t="n"/>
      <c r="AJ1071" s="6" t="n"/>
      <c r="AK1071" s="6" t="n"/>
      <c r="AL1071" s="3">
        <f>IF($AK1071="","",HYPERLINK(p_ruta_base_checklists&amp;$AK1071,"abrir"))</f>
        <v/>
      </c>
      <c r="AM1071" s="6" t="n"/>
      <c r="AN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1" t="n"/>
      <c r="K1072" s="3" t="n"/>
      <c r="L1072" s="10" t="n"/>
      <c r="M1072" s="3">
        <f>IF($A1072="","",IFERROR(INDEX('AJUSTES'!$B$4:$B$303,MATCH($AN1072,'AJUSTES'!$A$4:$A$303,0)),IF($K1072="","",$K1072)))</f>
        <v/>
      </c>
      <c r="N1072" s="3">
        <f>IF($A1072="","",IFERROR(INDEX('CAT_ESTADOS_ERP'!$B$4:$B$7,MATCH(IFERROR(INDEX('2_IMPORTAR_EJECUCION'!$C$9:$C$1208,MATCH($AN1072,'2_IMPORTAR_EJECUCION'!$J$9:$J$1208,0)),""),'CAT_ESTADOS_ERP'!$A$4:$A$7,0)),"Pendiente"))</f>
        <v/>
      </c>
      <c r="O1072" s="3">
        <f>IF($J1072="","",YEAR($J1072+4-WEEKDAY($J1072,2))&amp;"-S"&amp;TEXT(_xlfn.ISOWEEKNUM($J1072),"00"))</f>
        <v/>
      </c>
      <c r="P1072" s="3">
        <f>IF($J1072="","",YEAR($J1072))</f>
        <v/>
      </c>
      <c r="Q1072" s="3">
        <f>IF($J1072="","",MONTH($J1072))</f>
        <v/>
      </c>
      <c r="R1072" s="3">
        <f>IF($J1072="","",INDEX(lista_dias,WEEKDAY($J1072,2)))</f>
        <v/>
      </c>
      <c r="S1072" s="3">
        <f>IF($I1072="","",IFERROR(INDEX('CAT_TIPOS_OT'!$C$4:$C$7,MATCH($I1072,'CAT_TIPOS_OT'!$A$4:$A$7,0)),"sin_clasificar"))</f>
        <v/>
      </c>
      <c r="T1072" s="3">
        <f>IF($F1072="","",IFERROR(INDEX('CAT_CENTROS_COSTO'!$E$4:$E$9,MATCH($F1072,'CAT_CENTROS_COSTO'!$A$4:$A$9,0)),"(sin catálogo)"))</f>
        <v/>
      </c>
      <c r="U1072" s="3">
        <f>IF($F1072="","",IFERROR(INDEX('CAT_CENTROS_COSTO'!$D$4:$D$9,MATCH($F1072,'CAT_CENTROS_COSTO'!$A$4:$A$9,0)),"(sin catálogo)"))</f>
        <v/>
      </c>
      <c r="V1072" s="3">
        <f>IF($F1072="","",IFERROR(INDEX('CAT_CENTROS_COSTO'!$F$4:$F$9,MATCH($F1072,'CAT_CENTROS_COSTO'!$A$4:$A$9,0)),"(sin catálogo)"))</f>
        <v/>
      </c>
      <c r="W1072" s="3">
        <f>IF($G1072="","",IFERROR(INDEX('CAT_PUESTOS'!$B$4:$B$8,MATCH($G1072,'CAT_PUESTOS'!$A$4:$A$8,0)),"(sin catálogo)"))</f>
        <v/>
      </c>
      <c r="X1072" s="3">
        <f>IF($H1072="","",IFERROR(INDEX('CAT_ACTIVIDADES'!$B$4:$B$8,MATCH($H1072,'CAT_ACTIVIDADES'!$A$4:$A$8,0)),"(sin catálogo)"))</f>
        <v/>
      </c>
      <c r="Y1072" s="12">
        <f>IF($J1072="","",TODAY()-$J1072)</f>
        <v/>
      </c>
      <c r="Z1072" s="3">
        <f>IF($Y1072="","",IF($Y1072&lt;0,"FUTURO",IF($Y1072&gt;p_dias_backlog_max,"BACKLOG","MES CORRIENTE")))</f>
        <v/>
      </c>
      <c r="AA1072" s="3">
        <f>IF($Y1072="",FALSE,AND($Y1072&gt;p_dias_backlog_min,$Y1072&lt;=p_dias_backlog_max))</f>
        <v/>
      </c>
      <c r="AB1072" s="6" t="n"/>
      <c r="AC1072" s="3">
        <f>IF($AB1072="","",IFERROR(INDEX('ASIGNACIONES'!$F$4:$F$339,MATCH($O1072&amp;"|"&amp;$R1072&amp;"|"&amp;$AB1072,'ASIGNACIONES'!$I$4:$I$339,0)),""))</f>
        <v/>
      </c>
      <c r="AD1072" s="13">
        <f>IF($AB1072="","",SUMIFS('ORDENES'!$M$4:$M$1203,'ORDENES'!$AB$4:$AB$1203,$AB1072,'ORDENES'!$O$4:$O$1203,$O1072,'ORDENES'!$R$4:$R$1203,$R1072))</f>
        <v/>
      </c>
      <c r="AE1072" s="13">
        <f>IF($AD1072="","",p_factor_productividad*IFERROR(INDEX('ASIGNACIONES'!$H$4:$H$339,MATCH($O1072&amp;"|"&amp;$R1072&amp;"|"&amp;$AB1072,'ASIGNACIONES'!$I$4:$I$339,0)),0)-$AD1072)</f>
        <v/>
      </c>
      <c r="AF1072" s="10">
        <f>IF($A1072="","",IFERROR(INDEX('2_IMPORTAR_EJECUCION'!$F$9:$F$1208,MATCH($AN1072,'2_IMPORTAR_EJECUCION'!$J$9:$J$1208,0)),0))</f>
        <v/>
      </c>
      <c r="AG1072" s="10">
        <f>IF($A1072="","",MAX(0,IFERROR(INDEX('2_IMPORTAR_EJECUCION'!$H$9:$H$1208,MATCH($AN1072,'2_IMPORTAR_EJECUCION'!$J$9:$J$1208,0)),0)-$AF1072))</f>
        <v/>
      </c>
      <c r="AH1072" s="10">
        <f>IF($A1072="","",$AF1072+$AG1072)</f>
        <v/>
      </c>
      <c r="AI1072" s="6" t="n"/>
      <c r="AJ1072" s="6" t="n"/>
      <c r="AK1072" s="6" t="n"/>
      <c r="AL1072" s="3">
        <f>IF($AK1072="","",HYPERLINK(p_ruta_base_checklists&amp;$AK1072,"abrir"))</f>
        <v/>
      </c>
      <c r="AM1072" s="6" t="n"/>
      <c r="AN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1" t="n"/>
      <c r="K1073" s="3" t="n"/>
      <c r="L1073" s="10" t="n"/>
      <c r="M1073" s="3">
        <f>IF($A1073="","",IFERROR(INDEX('AJUSTES'!$B$4:$B$303,MATCH($AN1073,'AJUSTES'!$A$4:$A$303,0)),IF($K1073="","",$K1073)))</f>
        <v/>
      </c>
      <c r="N1073" s="3">
        <f>IF($A1073="","",IFERROR(INDEX('CAT_ESTADOS_ERP'!$B$4:$B$7,MATCH(IFERROR(INDEX('2_IMPORTAR_EJECUCION'!$C$9:$C$1208,MATCH($AN1073,'2_IMPORTAR_EJECUCION'!$J$9:$J$1208,0)),""),'CAT_ESTADOS_ERP'!$A$4:$A$7,0)),"Pendiente"))</f>
        <v/>
      </c>
      <c r="O1073" s="3">
        <f>IF($J1073="","",YEAR($J1073+4-WEEKDAY($J1073,2))&amp;"-S"&amp;TEXT(_xlfn.ISOWEEKNUM($J1073),"00"))</f>
        <v/>
      </c>
      <c r="P1073" s="3">
        <f>IF($J1073="","",YEAR($J1073))</f>
        <v/>
      </c>
      <c r="Q1073" s="3">
        <f>IF($J1073="","",MONTH($J1073))</f>
        <v/>
      </c>
      <c r="R1073" s="3">
        <f>IF($J1073="","",INDEX(lista_dias,WEEKDAY($J1073,2)))</f>
        <v/>
      </c>
      <c r="S1073" s="3">
        <f>IF($I1073="","",IFERROR(INDEX('CAT_TIPOS_OT'!$C$4:$C$7,MATCH($I1073,'CAT_TIPOS_OT'!$A$4:$A$7,0)),"sin_clasificar"))</f>
        <v/>
      </c>
      <c r="T1073" s="3">
        <f>IF($F1073="","",IFERROR(INDEX('CAT_CENTROS_COSTO'!$E$4:$E$9,MATCH($F1073,'CAT_CENTROS_COSTO'!$A$4:$A$9,0)),"(sin catálogo)"))</f>
        <v/>
      </c>
      <c r="U1073" s="3">
        <f>IF($F1073="","",IFERROR(INDEX('CAT_CENTROS_COSTO'!$D$4:$D$9,MATCH($F1073,'CAT_CENTROS_COSTO'!$A$4:$A$9,0)),"(sin catálogo)"))</f>
        <v/>
      </c>
      <c r="V1073" s="3">
        <f>IF($F1073="","",IFERROR(INDEX('CAT_CENTROS_COSTO'!$F$4:$F$9,MATCH($F1073,'CAT_CENTROS_COSTO'!$A$4:$A$9,0)),"(sin catálogo)"))</f>
        <v/>
      </c>
      <c r="W1073" s="3">
        <f>IF($G1073="","",IFERROR(INDEX('CAT_PUESTOS'!$B$4:$B$8,MATCH($G1073,'CAT_PUESTOS'!$A$4:$A$8,0)),"(sin catálogo)"))</f>
        <v/>
      </c>
      <c r="X1073" s="3">
        <f>IF($H1073="","",IFERROR(INDEX('CAT_ACTIVIDADES'!$B$4:$B$8,MATCH($H1073,'CAT_ACTIVIDADES'!$A$4:$A$8,0)),"(sin catálogo)"))</f>
        <v/>
      </c>
      <c r="Y1073" s="12">
        <f>IF($J1073="","",TODAY()-$J1073)</f>
        <v/>
      </c>
      <c r="Z1073" s="3">
        <f>IF($Y1073="","",IF($Y1073&lt;0,"FUTURO",IF($Y1073&gt;p_dias_backlog_max,"BACKLOG","MES CORRIENTE")))</f>
        <v/>
      </c>
      <c r="AA1073" s="3">
        <f>IF($Y1073="",FALSE,AND($Y1073&gt;p_dias_backlog_min,$Y1073&lt;=p_dias_backlog_max))</f>
        <v/>
      </c>
      <c r="AB1073" s="6" t="n"/>
      <c r="AC1073" s="3">
        <f>IF($AB1073="","",IFERROR(INDEX('ASIGNACIONES'!$F$4:$F$339,MATCH($O1073&amp;"|"&amp;$R1073&amp;"|"&amp;$AB1073,'ASIGNACIONES'!$I$4:$I$339,0)),""))</f>
        <v/>
      </c>
      <c r="AD1073" s="13">
        <f>IF($AB1073="","",SUMIFS('ORDENES'!$M$4:$M$1203,'ORDENES'!$AB$4:$AB$1203,$AB1073,'ORDENES'!$O$4:$O$1203,$O1073,'ORDENES'!$R$4:$R$1203,$R1073))</f>
        <v/>
      </c>
      <c r="AE1073" s="13">
        <f>IF($AD1073="","",p_factor_productividad*IFERROR(INDEX('ASIGNACIONES'!$H$4:$H$339,MATCH($O1073&amp;"|"&amp;$R1073&amp;"|"&amp;$AB1073,'ASIGNACIONES'!$I$4:$I$339,0)),0)-$AD1073)</f>
        <v/>
      </c>
      <c r="AF1073" s="10">
        <f>IF($A1073="","",IFERROR(INDEX('2_IMPORTAR_EJECUCION'!$F$9:$F$1208,MATCH($AN1073,'2_IMPORTAR_EJECUCION'!$J$9:$J$1208,0)),0))</f>
        <v/>
      </c>
      <c r="AG1073" s="10">
        <f>IF($A1073="","",MAX(0,IFERROR(INDEX('2_IMPORTAR_EJECUCION'!$H$9:$H$1208,MATCH($AN1073,'2_IMPORTAR_EJECUCION'!$J$9:$J$1208,0)),0)-$AF1073))</f>
        <v/>
      </c>
      <c r="AH1073" s="10">
        <f>IF($A1073="","",$AF1073+$AG1073)</f>
        <v/>
      </c>
      <c r="AI1073" s="6" t="n"/>
      <c r="AJ1073" s="6" t="n"/>
      <c r="AK1073" s="6" t="n"/>
      <c r="AL1073" s="3">
        <f>IF($AK1073="","",HYPERLINK(p_ruta_base_checklists&amp;$AK1073,"abrir"))</f>
        <v/>
      </c>
      <c r="AM1073" s="6" t="n"/>
      <c r="AN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1" t="n"/>
      <c r="K1074" s="3" t="n"/>
      <c r="L1074" s="10" t="n"/>
      <c r="M1074" s="3">
        <f>IF($A1074="","",IFERROR(INDEX('AJUSTES'!$B$4:$B$303,MATCH($AN1074,'AJUSTES'!$A$4:$A$303,0)),IF($K1074="","",$K1074)))</f>
        <v/>
      </c>
      <c r="N1074" s="3">
        <f>IF($A1074="","",IFERROR(INDEX('CAT_ESTADOS_ERP'!$B$4:$B$7,MATCH(IFERROR(INDEX('2_IMPORTAR_EJECUCION'!$C$9:$C$1208,MATCH($AN1074,'2_IMPORTAR_EJECUCION'!$J$9:$J$1208,0)),""),'CAT_ESTADOS_ERP'!$A$4:$A$7,0)),"Pendiente"))</f>
        <v/>
      </c>
      <c r="O1074" s="3">
        <f>IF($J1074="","",YEAR($J1074+4-WEEKDAY($J1074,2))&amp;"-S"&amp;TEXT(_xlfn.ISOWEEKNUM($J1074),"00"))</f>
        <v/>
      </c>
      <c r="P1074" s="3">
        <f>IF($J1074="","",YEAR($J1074))</f>
        <v/>
      </c>
      <c r="Q1074" s="3">
        <f>IF($J1074="","",MONTH($J1074))</f>
        <v/>
      </c>
      <c r="R1074" s="3">
        <f>IF($J1074="","",INDEX(lista_dias,WEEKDAY($J1074,2)))</f>
        <v/>
      </c>
      <c r="S1074" s="3">
        <f>IF($I1074="","",IFERROR(INDEX('CAT_TIPOS_OT'!$C$4:$C$7,MATCH($I1074,'CAT_TIPOS_OT'!$A$4:$A$7,0)),"sin_clasificar"))</f>
        <v/>
      </c>
      <c r="T1074" s="3">
        <f>IF($F1074="","",IFERROR(INDEX('CAT_CENTROS_COSTO'!$E$4:$E$9,MATCH($F1074,'CAT_CENTROS_COSTO'!$A$4:$A$9,0)),"(sin catálogo)"))</f>
        <v/>
      </c>
      <c r="U1074" s="3">
        <f>IF($F1074="","",IFERROR(INDEX('CAT_CENTROS_COSTO'!$D$4:$D$9,MATCH($F1074,'CAT_CENTROS_COSTO'!$A$4:$A$9,0)),"(sin catálogo)"))</f>
        <v/>
      </c>
      <c r="V1074" s="3">
        <f>IF($F1074="","",IFERROR(INDEX('CAT_CENTROS_COSTO'!$F$4:$F$9,MATCH($F1074,'CAT_CENTROS_COSTO'!$A$4:$A$9,0)),"(sin catálogo)"))</f>
        <v/>
      </c>
      <c r="W1074" s="3">
        <f>IF($G1074="","",IFERROR(INDEX('CAT_PUESTOS'!$B$4:$B$8,MATCH($G1074,'CAT_PUESTOS'!$A$4:$A$8,0)),"(sin catálogo)"))</f>
        <v/>
      </c>
      <c r="X1074" s="3">
        <f>IF($H1074="","",IFERROR(INDEX('CAT_ACTIVIDADES'!$B$4:$B$8,MATCH($H1074,'CAT_ACTIVIDADES'!$A$4:$A$8,0)),"(sin catálogo)"))</f>
        <v/>
      </c>
      <c r="Y1074" s="12">
        <f>IF($J1074="","",TODAY()-$J1074)</f>
        <v/>
      </c>
      <c r="Z1074" s="3">
        <f>IF($Y1074="","",IF($Y1074&lt;0,"FUTURO",IF($Y1074&gt;p_dias_backlog_max,"BACKLOG","MES CORRIENTE")))</f>
        <v/>
      </c>
      <c r="AA1074" s="3">
        <f>IF($Y1074="",FALSE,AND($Y1074&gt;p_dias_backlog_min,$Y1074&lt;=p_dias_backlog_max))</f>
        <v/>
      </c>
      <c r="AB1074" s="6" t="n"/>
      <c r="AC1074" s="3">
        <f>IF($AB1074="","",IFERROR(INDEX('ASIGNACIONES'!$F$4:$F$339,MATCH($O1074&amp;"|"&amp;$R1074&amp;"|"&amp;$AB1074,'ASIGNACIONES'!$I$4:$I$339,0)),""))</f>
        <v/>
      </c>
      <c r="AD1074" s="13">
        <f>IF($AB1074="","",SUMIFS('ORDENES'!$M$4:$M$1203,'ORDENES'!$AB$4:$AB$1203,$AB1074,'ORDENES'!$O$4:$O$1203,$O1074,'ORDENES'!$R$4:$R$1203,$R1074))</f>
        <v/>
      </c>
      <c r="AE1074" s="13">
        <f>IF($AD1074="","",p_factor_productividad*IFERROR(INDEX('ASIGNACIONES'!$H$4:$H$339,MATCH($O1074&amp;"|"&amp;$R1074&amp;"|"&amp;$AB1074,'ASIGNACIONES'!$I$4:$I$339,0)),0)-$AD1074)</f>
        <v/>
      </c>
      <c r="AF1074" s="10">
        <f>IF($A1074="","",IFERROR(INDEX('2_IMPORTAR_EJECUCION'!$F$9:$F$1208,MATCH($AN1074,'2_IMPORTAR_EJECUCION'!$J$9:$J$1208,0)),0))</f>
        <v/>
      </c>
      <c r="AG1074" s="10">
        <f>IF($A1074="","",MAX(0,IFERROR(INDEX('2_IMPORTAR_EJECUCION'!$H$9:$H$1208,MATCH($AN1074,'2_IMPORTAR_EJECUCION'!$J$9:$J$1208,0)),0)-$AF1074))</f>
        <v/>
      </c>
      <c r="AH1074" s="10">
        <f>IF($A1074="","",$AF1074+$AG1074)</f>
        <v/>
      </c>
      <c r="AI1074" s="6" t="n"/>
      <c r="AJ1074" s="6" t="n"/>
      <c r="AK1074" s="6" t="n"/>
      <c r="AL1074" s="3">
        <f>IF($AK1074="","",HYPERLINK(p_ruta_base_checklists&amp;$AK1074,"abrir"))</f>
        <v/>
      </c>
      <c r="AM1074" s="6" t="n"/>
      <c r="AN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1" t="n"/>
      <c r="K1075" s="3" t="n"/>
      <c r="L1075" s="10" t="n"/>
      <c r="M1075" s="3">
        <f>IF($A1075="","",IFERROR(INDEX('AJUSTES'!$B$4:$B$303,MATCH($AN1075,'AJUSTES'!$A$4:$A$303,0)),IF($K1075="","",$K1075)))</f>
        <v/>
      </c>
      <c r="N1075" s="3">
        <f>IF($A1075="","",IFERROR(INDEX('CAT_ESTADOS_ERP'!$B$4:$B$7,MATCH(IFERROR(INDEX('2_IMPORTAR_EJECUCION'!$C$9:$C$1208,MATCH($AN1075,'2_IMPORTAR_EJECUCION'!$J$9:$J$1208,0)),""),'CAT_ESTADOS_ERP'!$A$4:$A$7,0)),"Pendiente"))</f>
        <v/>
      </c>
      <c r="O1075" s="3">
        <f>IF($J1075="","",YEAR($J1075+4-WEEKDAY($J1075,2))&amp;"-S"&amp;TEXT(_xlfn.ISOWEEKNUM($J1075),"00"))</f>
        <v/>
      </c>
      <c r="P1075" s="3">
        <f>IF($J1075="","",YEAR($J1075))</f>
        <v/>
      </c>
      <c r="Q1075" s="3">
        <f>IF($J1075="","",MONTH($J1075))</f>
        <v/>
      </c>
      <c r="R1075" s="3">
        <f>IF($J1075="","",INDEX(lista_dias,WEEKDAY($J1075,2)))</f>
        <v/>
      </c>
      <c r="S1075" s="3">
        <f>IF($I1075="","",IFERROR(INDEX('CAT_TIPOS_OT'!$C$4:$C$7,MATCH($I1075,'CAT_TIPOS_OT'!$A$4:$A$7,0)),"sin_clasificar"))</f>
        <v/>
      </c>
      <c r="T1075" s="3">
        <f>IF($F1075="","",IFERROR(INDEX('CAT_CENTROS_COSTO'!$E$4:$E$9,MATCH($F1075,'CAT_CENTROS_COSTO'!$A$4:$A$9,0)),"(sin catálogo)"))</f>
        <v/>
      </c>
      <c r="U1075" s="3">
        <f>IF($F1075="","",IFERROR(INDEX('CAT_CENTROS_COSTO'!$D$4:$D$9,MATCH($F1075,'CAT_CENTROS_COSTO'!$A$4:$A$9,0)),"(sin catálogo)"))</f>
        <v/>
      </c>
      <c r="V1075" s="3">
        <f>IF($F1075="","",IFERROR(INDEX('CAT_CENTROS_COSTO'!$F$4:$F$9,MATCH($F1075,'CAT_CENTROS_COSTO'!$A$4:$A$9,0)),"(sin catálogo)"))</f>
        <v/>
      </c>
      <c r="W1075" s="3">
        <f>IF($G1075="","",IFERROR(INDEX('CAT_PUESTOS'!$B$4:$B$8,MATCH($G1075,'CAT_PUESTOS'!$A$4:$A$8,0)),"(sin catálogo)"))</f>
        <v/>
      </c>
      <c r="X1075" s="3">
        <f>IF($H1075="","",IFERROR(INDEX('CAT_ACTIVIDADES'!$B$4:$B$8,MATCH($H1075,'CAT_ACTIVIDADES'!$A$4:$A$8,0)),"(sin catálogo)"))</f>
        <v/>
      </c>
      <c r="Y1075" s="12">
        <f>IF($J1075="","",TODAY()-$J1075)</f>
        <v/>
      </c>
      <c r="Z1075" s="3">
        <f>IF($Y1075="","",IF($Y1075&lt;0,"FUTURO",IF($Y1075&gt;p_dias_backlog_max,"BACKLOG","MES CORRIENTE")))</f>
        <v/>
      </c>
      <c r="AA1075" s="3">
        <f>IF($Y1075="",FALSE,AND($Y1075&gt;p_dias_backlog_min,$Y1075&lt;=p_dias_backlog_max))</f>
        <v/>
      </c>
      <c r="AB1075" s="6" t="n"/>
      <c r="AC1075" s="3">
        <f>IF($AB1075="","",IFERROR(INDEX('ASIGNACIONES'!$F$4:$F$339,MATCH($O1075&amp;"|"&amp;$R1075&amp;"|"&amp;$AB1075,'ASIGNACIONES'!$I$4:$I$339,0)),""))</f>
        <v/>
      </c>
      <c r="AD1075" s="13">
        <f>IF($AB1075="","",SUMIFS('ORDENES'!$M$4:$M$1203,'ORDENES'!$AB$4:$AB$1203,$AB1075,'ORDENES'!$O$4:$O$1203,$O1075,'ORDENES'!$R$4:$R$1203,$R1075))</f>
        <v/>
      </c>
      <c r="AE1075" s="13">
        <f>IF($AD1075="","",p_factor_productividad*IFERROR(INDEX('ASIGNACIONES'!$H$4:$H$339,MATCH($O1075&amp;"|"&amp;$R1075&amp;"|"&amp;$AB1075,'ASIGNACIONES'!$I$4:$I$339,0)),0)-$AD1075)</f>
        <v/>
      </c>
      <c r="AF1075" s="10">
        <f>IF($A1075="","",IFERROR(INDEX('2_IMPORTAR_EJECUCION'!$F$9:$F$1208,MATCH($AN1075,'2_IMPORTAR_EJECUCION'!$J$9:$J$1208,0)),0))</f>
        <v/>
      </c>
      <c r="AG1075" s="10">
        <f>IF($A1075="","",MAX(0,IFERROR(INDEX('2_IMPORTAR_EJECUCION'!$H$9:$H$1208,MATCH($AN1075,'2_IMPORTAR_EJECUCION'!$J$9:$J$1208,0)),0)-$AF1075))</f>
        <v/>
      </c>
      <c r="AH1075" s="10">
        <f>IF($A1075="","",$AF1075+$AG1075)</f>
        <v/>
      </c>
      <c r="AI1075" s="6" t="n"/>
      <c r="AJ1075" s="6" t="n"/>
      <c r="AK1075" s="6" t="n"/>
      <c r="AL1075" s="3">
        <f>IF($AK1075="","",HYPERLINK(p_ruta_base_checklists&amp;$AK1075,"abrir"))</f>
        <v/>
      </c>
      <c r="AM1075" s="6" t="n"/>
      <c r="AN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1" t="n"/>
      <c r="K1076" s="3" t="n"/>
      <c r="L1076" s="10" t="n"/>
      <c r="M1076" s="3">
        <f>IF($A1076="","",IFERROR(INDEX('AJUSTES'!$B$4:$B$303,MATCH($AN1076,'AJUSTES'!$A$4:$A$303,0)),IF($K1076="","",$K1076)))</f>
        <v/>
      </c>
      <c r="N1076" s="3">
        <f>IF($A1076="","",IFERROR(INDEX('CAT_ESTADOS_ERP'!$B$4:$B$7,MATCH(IFERROR(INDEX('2_IMPORTAR_EJECUCION'!$C$9:$C$1208,MATCH($AN1076,'2_IMPORTAR_EJECUCION'!$J$9:$J$1208,0)),""),'CAT_ESTADOS_ERP'!$A$4:$A$7,0)),"Pendiente"))</f>
        <v/>
      </c>
      <c r="O1076" s="3">
        <f>IF($J1076="","",YEAR($J1076+4-WEEKDAY($J1076,2))&amp;"-S"&amp;TEXT(_xlfn.ISOWEEKNUM($J1076),"00"))</f>
        <v/>
      </c>
      <c r="P1076" s="3">
        <f>IF($J1076="","",YEAR($J1076))</f>
        <v/>
      </c>
      <c r="Q1076" s="3">
        <f>IF($J1076="","",MONTH($J1076))</f>
        <v/>
      </c>
      <c r="R1076" s="3">
        <f>IF($J1076="","",INDEX(lista_dias,WEEKDAY($J1076,2)))</f>
        <v/>
      </c>
      <c r="S1076" s="3">
        <f>IF($I1076="","",IFERROR(INDEX('CAT_TIPOS_OT'!$C$4:$C$7,MATCH($I1076,'CAT_TIPOS_OT'!$A$4:$A$7,0)),"sin_clasificar"))</f>
        <v/>
      </c>
      <c r="T1076" s="3">
        <f>IF($F1076="","",IFERROR(INDEX('CAT_CENTROS_COSTO'!$E$4:$E$9,MATCH($F1076,'CAT_CENTROS_COSTO'!$A$4:$A$9,0)),"(sin catálogo)"))</f>
        <v/>
      </c>
      <c r="U1076" s="3">
        <f>IF($F1076="","",IFERROR(INDEX('CAT_CENTROS_COSTO'!$D$4:$D$9,MATCH($F1076,'CAT_CENTROS_COSTO'!$A$4:$A$9,0)),"(sin catálogo)"))</f>
        <v/>
      </c>
      <c r="V1076" s="3">
        <f>IF($F1076="","",IFERROR(INDEX('CAT_CENTROS_COSTO'!$F$4:$F$9,MATCH($F1076,'CAT_CENTROS_COSTO'!$A$4:$A$9,0)),"(sin catálogo)"))</f>
        <v/>
      </c>
      <c r="W1076" s="3">
        <f>IF($G1076="","",IFERROR(INDEX('CAT_PUESTOS'!$B$4:$B$8,MATCH($G1076,'CAT_PUESTOS'!$A$4:$A$8,0)),"(sin catálogo)"))</f>
        <v/>
      </c>
      <c r="X1076" s="3">
        <f>IF($H1076="","",IFERROR(INDEX('CAT_ACTIVIDADES'!$B$4:$B$8,MATCH($H1076,'CAT_ACTIVIDADES'!$A$4:$A$8,0)),"(sin catálogo)"))</f>
        <v/>
      </c>
      <c r="Y1076" s="12">
        <f>IF($J1076="","",TODAY()-$J1076)</f>
        <v/>
      </c>
      <c r="Z1076" s="3">
        <f>IF($Y1076="","",IF($Y1076&lt;0,"FUTURO",IF($Y1076&gt;p_dias_backlog_max,"BACKLOG","MES CORRIENTE")))</f>
        <v/>
      </c>
      <c r="AA1076" s="3">
        <f>IF($Y1076="",FALSE,AND($Y1076&gt;p_dias_backlog_min,$Y1076&lt;=p_dias_backlog_max))</f>
        <v/>
      </c>
      <c r="AB1076" s="6" t="n"/>
      <c r="AC1076" s="3">
        <f>IF($AB1076="","",IFERROR(INDEX('ASIGNACIONES'!$F$4:$F$339,MATCH($O1076&amp;"|"&amp;$R1076&amp;"|"&amp;$AB1076,'ASIGNACIONES'!$I$4:$I$339,0)),""))</f>
        <v/>
      </c>
      <c r="AD1076" s="13">
        <f>IF($AB1076="","",SUMIFS('ORDENES'!$M$4:$M$1203,'ORDENES'!$AB$4:$AB$1203,$AB1076,'ORDENES'!$O$4:$O$1203,$O1076,'ORDENES'!$R$4:$R$1203,$R1076))</f>
        <v/>
      </c>
      <c r="AE1076" s="13">
        <f>IF($AD1076="","",p_factor_productividad*IFERROR(INDEX('ASIGNACIONES'!$H$4:$H$339,MATCH($O1076&amp;"|"&amp;$R1076&amp;"|"&amp;$AB1076,'ASIGNACIONES'!$I$4:$I$339,0)),0)-$AD1076)</f>
        <v/>
      </c>
      <c r="AF1076" s="10">
        <f>IF($A1076="","",IFERROR(INDEX('2_IMPORTAR_EJECUCION'!$F$9:$F$1208,MATCH($AN1076,'2_IMPORTAR_EJECUCION'!$J$9:$J$1208,0)),0))</f>
        <v/>
      </c>
      <c r="AG1076" s="10">
        <f>IF($A1076="","",MAX(0,IFERROR(INDEX('2_IMPORTAR_EJECUCION'!$H$9:$H$1208,MATCH($AN1076,'2_IMPORTAR_EJECUCION'!$J$9:$J$1208,0)),0)-$AF1076))</f>
        <v/>
      </c>
      <c r="AH1076" s="10">
        <f>IF($A1076="","",$AF1076+$AG1076)</f>
        <v/>
      </c>
      <c r="AI1076" s="6" t="n"/>
      <c r="AJ1076" s="6" t="n"/>
      <c r="AK1076" s="6" t="n"/>
      <c r="AL1076" s="3">
        <f>IF($AK1076="","",HYPERLINK(p_ruta_base_checklists&amp;$AK1076,"abrir"))</f>
        <v/>
      </c>
      <c r="AM1076" s="6" t="n"/>
      <c r="AN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1" t="n"/>
      <c r="K1077" s="3" t="n"/>
      <c r="L1077" s="10" t="n"/>
      <c r="M1077" s="3">
        <f>IF($A1077="","",IFERROR(INDEX('AJUSTES'!$B$4:$B$303,MATCH($AN1077,'AJUSTES'!$A$4:$A$303,0)),IF($K1077="","",$K1077)))</f>
        <v/>
      </c>
      <c r="N1077" s="3">
        <f>IF($A1077="","",IFERROR(INDEX('CAT_ESTADOS_ERP'!$B$4:$B$7,MATCH(IFERROR(INDEX('2_IMPORTAR_EJECUCION'!$C$9:$C$1208,MATCH($AN1077,'2_IMPORTAR_EJECUCION'!$J$9:$J$1208,0)),""),'CAT_ESTADOS_ERP'!$A$4:$A$7,0)),"Pendiente"))</f>
        <v/>
      </c>
      <c r="O1077" s="3">
        <f>IF($J1077="","",YEAR($J1077+4-WEEKDAY($J1077,2))&amp;"-S"&amp;TEXT(_xlfn.ISOWEEKNUM($J1077),"00"))</f>
        <v/>
      </c>
      <c r="P1077" s="3">
        <f>IF($J1077="","",YEAR($J1077))</f>
        <v/>
      </c>
      <c r="Q1077" s="3">
        <f>IF($J1077="","",MONTH($J1077))</f>
        <v/>
      </c>
      <c r="R1077" s="3">
        <f>IF($J1077="","",INDEX(lista_dias,WEEKDAY($J1077,2)))</f>
        <v/>
      </c>
      <c r="S1077" s="3">
        <f>IF($I1077="","",IFERROR(INDEX('CAT_TIPOS_OT'!$C$4:$C$7,MATCH($I1077,'CAT_TIPOS_OT'!$A$4:$A$7,0)),"sin_clasificar"))</f>
        <v/>
      </c>
      <c r="T1077" s="3">
        <f>IF($F1077="","",IFERROR(INDEX('CAT_CENTROS_COSTO'!$E$4:$E$9,MATCH($F1077,'CAT_CENTROS_COSTO'!$A$4:$A$9,0)),"(sin catálogo)"))</f>
        <v/>
      </c>
      <c r="U1077" s="3">
        <f>IF($F1077="","",IFERROR(INDEX('CAT_CENTROS_COSTO'!$D$4:$D$9,MATCH($F1077,'CAT_CENTROS_COSTO'!$A$4:$A$9,0)),"(sin catálogo)"))</f>
        <v/>
      </c>
      <c r="V1077" s="3">
        <f>IF($F1077="","",IFERROR(INDEX('CAT_CENTROS_COSTO'!$F$4:$F$9,MATCH($F1077,'CAT_CENTROS_COSTO'!$A$4:$A$9,0)),"(sin catálogo)"))</f>
        <v/>
      </c>
      <c r="W1077" s="3">
        <f>IF($G1077="","",IFERROR(INDEX('CAT_PUESTOS'!$B$4:$B$8,MATCH($G1077,'CAT_PUESTOS'!$A$4:$A$8,0)),"(sin catálogo)"))</f>
        <v/>
      </c>
      <c r="X1077" s="3">
        <f>IF($H1077="","",IFERROR(INDEX('CAT_ACTIVIDADES'!$B$4:$B$8,MATCH($H1077,'CAT_ACTIVIDADES'!$A$4:$A$8,0)),"(sin catálogo)"))</f>
        <v/>
      </c>
      <c r="Y1077" s="12">
        <f>IF($J1077="","",TODAY()-$J1077)</f>
        <v/>
      </c>
      <c r="Z1077" s="3">
        <f>IF($Y1077="","",IF($Y1077&lt;0,"FUTURO",IF($Y1077&gt;p_dias_backlog_max,"BACKLOG","MES CORRIENTE")))</f>
        <v/>
      </c>
      <c r="AA1077" s="3">
        <f>IF($Y1077="",FALSE,AND($Y1077&gt;p_dias_backlog_min,$Y1077&lt;=p_dias_backlog_max))</f>
        <v/>
      </c>
      <c r="AB1077" s="6" t="n"/>
      <c r="AC1077" s="3">
        <f>IF($AB1077="","",IFERROR(INDEX('ASIGNACIONES'!$F$4:$F$339,MATCH($O1077&amp;"|"&amp;$R1077&amp;"|"&amp;$AB1077,'ASIGNACIONES'!$I$4:$I$339,0)),""))</f>
        <v/>
      </c>
      <c r="AD1077" s="13">
        <f>IF($AB1077="","",SUMIFS('ORDENES'!$M$4:$M$1203,'ORDENES'!$AB$4:$AB$1203,$AB1077,'ORDENES'!$O$4:$O$1203,$O1077,'ORDENES'!$R$4:$R$1203,$R1077))</f>
        <v/>
      </c>
      <c r="AE1077" s="13">
        <f>IF($AD1077="","",p_factor_productividad*IFERROR(INDEX('ASIGNACIONES'!$H$4:$H$339,MATCH($O1077&amp;"|"&amp;$R1077&amp;"|"&amp;$AB1077,'ASIGNACIONES'!$I$4:$I$339,0)),0)-$AD1077)</f>
        <v/>
      </c>
      <c r="AF1077" s="10">
        <f>IF($A1077="","",IFERROR(INDEX('2_IMPORTAR_EJECUCION'!$F$9:$F$1208,MATCH($AN1077,'2_IMPORTAR_EJECUCION'!$J$9:$J$1208,0)),0))</f>
        <v/>
      </c>
      <c r="AG1077" s="10">
        <f>IF($A1077="","",MAX(0,IFERROR(INDEX('2_IMPORTAR_EJECUCION'!$H$9:$H$1208,MATCH($AN1077,'2_IMPORTAR_EJECUCION'!$J$9:$J$1208,0)),0)-$AF1077))</f>
        <v/>
      </c>
      <c r="AH1077" s="10">
        <f>IF($A1077="","",$AF1077+$AG1077)</f>
        <v/>
      </c>
      <c r="AI1077" s="6" t="n"/>
      <c r="AJ1077" s="6" t="n"/>
      <c r="AK1077" s="6" t="n"/>
      <c r="AL1077" s="3">
        <f>IF($AK1077="","",HYPERLINK(p_ruta_base_checklists&amp;$AK1077,"abrir"))</f>
        <v/>
      </c>
      <c r="AM1077" s="6" t="n"/>
      <c r="AN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1" t="n"/>
      <c r="K1078" s="3" t="n"/>
      <c r="L1078" s="10" t="n"/>
      <c r="M1078" s="3">
        <f>IF($A1078="","",IFERROR(INDEX('AJUSTES'!$B$4:$B$303,MATCH($AN1078,'AJUSTES'!$A$4:$A$303,0)),IF($K1078="","",$K1078)))</f>
        <v/>
      </c>
      <c r="N1078" s="3">
        <f>IF($A1078="","",IFERROR(INDEX('CAT_ESTADOS_ERP'!$B$4:$B$7,MATCH(IFERROR(INDEX('2_IMPORTAR_EJECUCION'!$C$9:$C$1208,MATCH($AN1078,'2_IMPORTAR_EJECUCION'!$J$9:$J$1208,0)),""),'CAT_ESTADOS_ERP'!$A$4:$A$7,0)),"Pendiente"))</f>
        <v/>
      </c>
      <c r="O1078" s="3">
        <f>IF($J1078="","",YEAR($J1078+4-WEEKDAY($J1078,2))&amp;"-S"&amp;TEXT(_xlfn.ISOWEEKNUM($J1078),"00"))</f>
        <v/>
      </c>
      <c r="P1078" s="3">
        <f>IF($J1078="","",YEAR($J1078))</f>
        <v/>
      </c>
      <c r="Q1078" s="3">
        <f>IF($J1078="","",MONTH($J1078))</f>
        <v/>
      </c>
      <c r="R1078" s="3">
        <f>IF($J1078="","",INDEX(lista_dias,WEEKDAY($J1078,2)))</f>
        <v/>
      </c>
      <c r="S1078" s="3">
        <f>IF($I1078="","",IFERROR(INDEX('CAT_TIPOS_OT'!$C$4:$C$7,MATCH($I1078,'CAT_TIPOS_OT'!$A$4:$A$7,0)),"sin_clasificar"))</f>
        <v/>
      </c>
      <c r="T1078" s="3">
        <f>IF($F1078="","",IFERROR(INDEX('CAT_CENTROS_COSTO'!$E$4:$E$9,MATCH($F1078,'CAT_CENTROS_COSTO'!$A$4:$A$9,0)),"(sin catálogo)"))</f>
        <v/>
      </c>
      <c r="U1078" s="3">
        <f>IF($F1078="","",IFERROR(INDEX('CAT_CENTROS_COSTO'!$D$4:$D$9,MATCH($F1078,'CAT_CENTROS_COSTO'!$A$4:$A$9,0)),"(sin catálogo)"))</f>
        <v/>
      </c>
      <c r="V1078" s="3">
        <f>IF($F1078="","",IFERROR(INDEX('CAT_CENTROS_COSTO'!$F$4:$F$9,MATCH($F1078,'CAT_CENTROS_COSTO'!$A$4:$A$9,0)),"(sin catálogo)"))</f>
        <v/>
      </c>
      <c r="W1078" s="3">
        <f>IF($G1078="","",IFERROR(INDEX('CAT_PUESTOS'!$B$4:$B$8,MATCH($G1078,'CAT_PUESTOS'!$A$4:$A$8,0)),"(sin catálogo)"))</f>
        <v/>
      </c>
      <c r="X1078" s="3">
        <f>IF($H1078="","",IFERROR(INDEX('CAT_ACTIVIDADES'!$B$4:$B$8,MATCH($H1078,'CAT_ACTIVIDADES'!$A$4:$A$8,0)),"(sin catálogo)"))</f>
        <v/>
      </c>
      <c r="Y1078" s="12">
        <f>IF($J1078="","",TODAY()-$J1078)</f>
        <v/>
      </c>
      <c r="Z1078" s="3">
        <f>IF($Y1078="","",IF($Y1078&lt;0,"FUTURO",IF($Y1078&gt;p_dias_backlog_max,"BACKLOG","MES CORRIENTE")))</f>
        <v/>
      </c>
      <c r="AA1078" s="3">
        <f>IF($Y1078="",FALSE,AND($Y1078&gt;p_dias_backlog_min,$Y1078&lt;=p_dias_backlog_max))</f>
        <v/>
      </c>
      <c r="AB1078" s="6" t="n"/>
      <c r="AC1078" s="3">
        <f>IF($AB1078="","",IFERROR(INDEX('ASIGNACIONES'!$F$4:$F$339,MATCH($O1078&amp;"|"&amp;$R1078&amp;"|"&amp;$AB1078,'ASIGNACIONES'!$I$4:$I$339,0)),""))</f>
        <v/>
      </c>
      <c r="AD1078" s="13">
        <f>IF($AB1078="","",SUMIFS('ORDENES'!$M$4:$M$1203,'ORDENES'!$AB$4:$AB$1203,$AB1078,'ORDENES'!$O$4:$O$1203,$O1078,'ORDENES'!$R$4:$R$1203,$R1078))</f>
        <v/>
      </c>
      <c r="AE1078" s="13">
        <f>IF($AD1078="","",p_factor_productividad*IFERROR(INDEX('ASIGNACIONES'!$H$4:$H$339,MATCH($O1078&amp;"|"&amp;$R1078&amp;"|"&amp;$AB1078,'ASIGNACIONES'!$I$4:$I$339,0)),0)-$AD1078)</f>
        <v/>
      </c>
      <c r="AF1078" s="10">
        <f>IF($A1078="","",IFERROR(INDEX('2_IMPORTAR_EJECUCION'!$F$9:$F$1208,MATCH($AN1078,'2_IMPORTAR_EJECUCION'!$J$9:$J$1208,0)),0))</f>
        <v/>
      </c>
      <c r="AG1078" s="10">
        <f>IF($A1078="","",MAX(0,IFERROR(INDEX('2_IMPORTAR_EJECUCION'!$H$9:$H$1208,MATCH($AN1078,'2_IMPORTAR_EJECUCION'!$J$9:$J$1208,0)),0)-$AF1078))</f>
        <v/>
      </c>
      <c r="AH1078" s="10">
        <f>IF($A1078="","",$AF1078+$AG1078)</f>
        <v/>
      </c>
      <c r="AI1078" s="6" t="n"/>
      <c r="AJ1078" s="6" t="n"/>
      <c r="AK1078" s="6" t="n"/>
      <c r="AL1078" s="3">
        <f>IF($AK1078="","",HYPERLINK(p_ruta_base_checklists&amp;$AK1078,"abrir"))</f>
        <v/>
      </c>
      <c r="AM1078" s="6" t="n"/>
      <c r="AN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1" t="n"/>
      <c r="K1079" s="3" t="n"/>
      <c r="L1079" s="10" t="n"/>
      <c r="M1079" s="3">
        <f>IF($A1079="","",IFERROR(INDEX('AJUSTES'!$B$4:$B$303,MATCH($AN1079,'AJUSTES'!$A$4:$A$303,0)),IF($K1079="","",$K1079)))</f>
        <v/>
      </c>
      <c r="N1079" s="3">
        <f>IF($A1079="","",IFERROR(INDEX('CAT_ESTADOS_ERP'!$B$4:$B$7,MATCH(IFERROR(INDEX('2_IMPORTAR_EJECUCION'!$C$9:$C$1208,MATCH($AN1079,'2_IMPORTAR_EJECUCION'!$J$9:$J$1208,0)),""),'CAT_ESTADOS_ERP'!$A$4:$A$7,0)),"Pendiente"))</f>
        <v/>
      </c>
      <c r="O1079" s="3">
        <f>IF($J1079="","",YEAR($J1079+4-WEEKDAY($J1079,2))&amp;"-S"&amp;TEXT(_xlfn.ISOWEEKNUM($J1079),"00"))</f>
        <v/>
      </c>
      <c r="P1079" s="3">
        <f>IF($J1079="","",YEAR($J1079))</f>
        <v/>
      </c>
      <c r="Q1079" s="3">
        <f>IF($J1079="","",MONTH($J1079))</f>
        <v/>
      </c>
      <c r="R1079" s="3">
        <f>IF($J1079="","",INDEX(lista_dias,WEEKDAY($J1079,2)))</f>
        <v/>
      </c>
      <c r="S1079" s="3">
        <f>IF($I1079="","",IFERROR(INDEX('CAT_TIPOS_OT'!$C$4:$C$7,MATCH($I1079,'CAT_TIPOS_OT'!$A$4:$A$7,0)),"sin_clasificar"))</f>
        <v/>
      </c>
      <c r="T1079" s="3">
        <f>IF($F1079="","",IFERROR(INDEX('CAT_CENTROS_COSTO'!$E$4:$E$9,MATCH($F1079,'CAT_CENTROS_COSTO'!$A$4:$A$9,0)),"(sin catálogo)"))</f>
        <v/>
      </c>
      <c r="U1079" s="3">
        <f>IF($F1079="","",IFERROR(INDEX('CAT_CENTROS_COSTO'!$D$4:$D$9,MATCH($F1079,'CAT_CENTROS_COSTO'!$A$4:$A$9,0)),"(sin catálogo)"))</f>
        <v/>
      </c>
      <c r="V1079" s="3">
        <f>IF($F1079="","",IFERROR(INDEX('CAT_CENTROS_COSTO'!$F$4:$F$9,MATCH($F1079,'CAT_CENTROS_COSTO'!$A$4:$A$9,0)),"(sin catálogo)"))</f>
        <v/>
      </c>
      <c r="W1079" s="3">
        <f>IF($G1079="","",IFERROR(INDEX('CAT_PUESTOS'!$B$4:$B$8,MATCH($G1079,'CAT_PUESTOS'!$A$4:$A$8,0)),"(sin catálogo)"))</f>
        <v/>
      </c>
      <c r="X1079" s="3">
        <f>IF($H1079="","",IFERROR(INDEX('CAT_ACTIVIDADES'!$B$4:$B$8,MATCH($H1079,'CAT_ACTIVIDADES'!$A$4:$A$8,0)),"(sin catálogo)"))</f>
        <v/>
      </c>
      <c r="Y1079" s="12">
        <f>IF($J1079="","",TODAY()-$J1079)</f>
        <v/>
      </c>
      <c r="Z1079" s="3">
        <f>IF($Y1079="","",IF($Y1079&lt;0,"FUTURO",IF($Y1079&gt;p_dias_backlog_max,"BACKLOG","MES CORRIENTE")))</f>
        <v/>
      </c>
      <c r="AA1079" s="3">
        <f>IF($Y1079="",FALSE,AND($Y1079&gt;p_dias_backlog_min,$Y1079&lt;=p_dias_backlog_max))</f>
        <v/>
      </c>
      <c r="AB1079" s="6" t="n"/>
      <c r="AC1079" s="3">
        <f>IF($AB1079="","",IFERROR(INDEX('ASIGNACIONES'!$F$4:$F$339,MATCH($O1079&amp;"|"&amp;$R1079&amp;"|"&amp;$AB1079,'ASIGNACIONES'!$I$4:$I$339,0)),""))</f>
        <v/>
      </c>
      <c r="AD1079" s="13">
        <f>IF($AB1079="","",SUMIFS('ORDENES'!$M$4:$M$1203,'ORDENES'!$AB$4:$AB$1203,$AB1079,'ORDENES'!$O$4:$O$1203,$O1079,'ORDENES'!$R$4:$R$1203,$R1079))</f>
        <v/>
      </c>
      <c r="AE1079" s="13">
        <f>IF($AD1079="","",p_factor_productividad*IFERROR(INDEX('ASIGNACIONES'!$H$4:$H$339,MATCH($O1079&amp;"|"&amp;$R1079&amp;"|"&amp;$AB1079,'ASIGNACIONES'!$I$4:$I$339,0)),0)-$AD1079)</f>
        <v/>
      </c>
      <c r="AF1079" s="10">
        <f>IF($A1079="","",IFERROR(INDEX('2_IMPORTAR_EJECUCION'!$F$9:$F$1208,MATCH($AN1079,'2_IMPORTAR_EJECUCION'!$J$9:$J$1208,0)),0))</f>
        <v/>
      </c>
      <c r="AG1079" s="10">
        <f>IF($A1079="","",MAX(0,IFERROR(INDEX('2_IMPORTAR_EJECUCION'!$H$9:$H$1208,MATCH($AN1079,'2_IMPORTAR_EJECUCION'!$J$9:$J$1208,0)),0)-$AF1079))</f>
        <v/>
      </c>
      <c r="AH1079" s="10">
        <f>IF($A1079="","",$AF1079+$AG1079)</f>
        <v/>
      </c>
      <c r="AI1079" s="6" t="n"/>
      <c r="AJ1079" s="6" t="n"/>
      <c r="AK1079" s="6" t="n"/>
      <c r="AL1079" s="3">
        <f>IF($AK1079="","",HYPERLINK(p_ruta_base_checklists&amp;$AK1079,"abrir"))</f>
        <v/>
      </c>
      <c r="AM1079" s="6" t="n"/>
      <c r="AN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1" t="n"/>
      <c r="K1080" s="3" t="n"/>
      <c r="L1080" s="10" t="n"/>
      <c r="M1080" s="3">
        <f>IF($A1080="","",IFERROR(INDEX('AJUSTES'!$B$4:$B$303,MATCH($AN1080,'AJUSTES'!$A$4:$A$303,0)),IF($K1080="","",$K1080)))</f>
        <v/>
      </c>
      <c r="N1080" s="3">
        <f>IF($A1080="","",IFERROR(INDEX('CAT_ESTADOS_ERP'!$B$4:$B$7,MATCH(IFERROR(INDEX('2_IMPORTAR_EJECUCION'!$C$9:$C$1208,MATCH($AN1080,'2_IMPORTAR_EJECUCION'!$J$9:$J$1208,0)),""),'CAT_ESTADOS_ERP'!$A$4:$A$7,0)),"Pendiente"))</f>
        <v/>
      </c>
      <c r="O1080" s="3">
        <f>IF($J1080="","",YEAR($J1080+4-WEEKDAY($J1080,2))&amp;"-S"&amp;TEXT(_xlfn.ISOWEEKNUM($J1080),"00"))</f>
        <v/>
      </c>
      <c r="P1080" s="3">
        <f>IF($J1080="","",YEAR($J1080))</f>
        <v/>
      </c>
      <c r="Q1080" s="3">
        <f>IF($J1080="","",MONTH($J1080))</f>
        <v/>
      </c>
      <c r="R1080" s="3">
        <f>IF($J1080="","",INDEX(lista_dias,WEEKDAY($J1080,2)))</f>
        <v/>
      </c>
      <c r="S1080" s="3">
        <f>IF($I1080="","",IFERROR(INDEX('CAT_TIPOS_OT'!$C$4:$C$7,MATCH($I1080,'CAT_TIPOS_OT'!$A$4:$A$7,0)),"sin_clasificar"))</f>
        <v/>
      </c>
      <c r="T1080" s="3">
        <f>IF($F1080="","",IFERROR(INDEX('CAT_CENTROS_COSTO'!$E$4:$E$9,MATCH($F1080,'CAT_CENTROS_COSTO'!$A$4:$A$9,0)),"(sin catálogo)"))</f>
        <v/>
      </c>
      <c r="U1080" s="3">
        <f>IF($F1080="","",IFERROR(INDEX('CAT_CENTROS_COSTO'!$D$4:$D$9,MATCH($F1080,'CAT_CENTROS_COSTO'!$A$4:$A$9,0)),"(sin catálogo)"))</f>
        <v/>
      </c>
      <c r="V1080" s="3">
        <f>IF($F1080="","",IFERROR(INDEX('CAT_CENTROS_COSTO'!$F$4:$F$9,MATCH($F1080,'CAT_CENTROS_COSTO'!$A$4:$A$9,0)),"(sin catálogo)"))</f>
        <v/>
      </c>
      <c r="W1080" s="3">
        <f>IF($G1080="","",IFERROR(INDEX('CAT_PUESTOS'!$B$4:$B$8,MATCH($G1080,'CAT_PUESTOS'!$A$4:$A$8,0)),"(sin catálogo)"))</f>
        <v/>
      </c>
      <c r="X1080" s="3">
        <f>IF($H1080="","",IFERROR(INDEX('CAT_ACTIVIDADES'!$B$4:$B$8,MATCH($H1080,'CAT_ACTIVIDADES'!$A$4:$A$8,0)),"(sin catálogo)"))</f>
        <v/>
      </c>
      <c r="Y1080" s="12">
        <f>IF($J1080="","",TODAY()-$J1080)</f>
        <v/>
      </c>
      <c r="Z1080" s="3">
        <f>IF($Y1080="","",IF($Y1080&lt;0,"FUTURO",IF($Y1080&gt;p_dias_backlog_max,"BACKLOG","MES CORRIENTE")))</f>
        <v/>
      </c>
      <c r="AA1080" s="3">
        <f>IF($Y1080="",FALSE,AND($Y1080&gt;p_dias_backlog_min,$Y1080&lt;=p_dias_backlog_max))</f>
        <v/>
      </c>
      <c r="AB1080" s="6" t="n"/>
      <c r="AC1080" s="3">
        <f>IF($AB1080="","",IFERROR(INDEX('ASIGNACIONES'!$F$4:$F$339,MATCH($O1080&amp;"|"&amp;$R1080&amp;"|"&amp;$AB1080,'ASIGNACIONES'!$I$4:$I$339,0)),""))</f>
        <v/>
      </c>
      <c r="AD1080" s="13">
        <f>IF($AB1080="","",SUMIFS('ORDENES'!$M$4:$M$1203,'ORDENES'!$AB$4:$AB$1203,$AB1080,'ORDENES'!$O$4:$O$1203,$O1080,'ORDENES'!$R$4:$R$1203,$R1080))</f>
        <v/>
      </c>
      <c r="AE1080" s="13">
        <f>IF($AD1080="","",p_factor_productividad*IFERROR(INDEX('ASIGNACIONES'!$H$4:$H$339,MATCH($O1080&amp;"|"&amp;$R1080&amp;"|"&amp;$AB1080,'ASIGNACIONES'!$I$4:$I$339,0)),0)-$AD1080)</f>
        <v/>
      </c>
      <c r="AF1080" s="10">
        <f>IF($A1080="","",IFERROR(INDEX('2_IMPORTAR_EJECUCION'!$F$9:$F$1208,MATCH($AN1080,'2_IMPORTAR_EJECUCION'!$J$9:$J$1208,0)),0))</f>
        <v/>
      </c>
      <c r="AG1080" s="10">
        <f>IF($A1080="","",MAX(0,IFERROR(INDEX('2_IMPORTAR_EJECUCION'!$H$9:$H$1208,MATCH($AN1080,'2_IMPORTAR_EJECUCION'!$J$9:$J$1208,0)),0)-$AF1080))</f>
        <v/>
      </c>
      <c r="AH1080" s="10">
        <f>IF($A1080="","",$AF1080+$AG1080)</f>
        <v/>
      </c>
      <c r="AI1080" s="6" t="n"/>
      <c r="AJ1080" s="6" t="n"/>
      <c r="AK1080" s="6" t="n"/>
      <c r="AL1080" s="3">
        <f>IF($AK1080="","",HYPERLINK(p_ruta_base_checklists&amp;$AK1080,"abrir"))</f>
        <v/>
      </c>
      <c r="AM1080" s="6" t="n"/>
      <c r="AN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1" t="n"/>
      <c r="K1081" s="3" t="n"/>
      <c r="L1081" s="10" t="n"/>
      <c r="M1081" s="3">
        <f>IF($A1081="","",IFERROR(INDEX('AJUSTES'!$B$4:$B$303,MATCH($AN1081,'AJUSTES'!$A$4:$A$303,0)),IF($K1081="","",$K1081)))</f>
        <v/>
      </c>
      <c r="N1081" s="3">
        <f>IF($A1081="","",IFERROR(INDEX('CAT_ESTADOS_ERP'!$B$4:$B$7,MATCH(IFERROR(INDEX('2_IMPORTAR_EJECUCION'!$C$9:$C$1208,MATCH($AN1081,'2_IMPORTAR_EJECUCION'!$J$9:$J$1208,0)),""),'CAT_ESTADOS_ERP'!$A$4:$A$7,0)),"Pendiente"))</f>
        <v/>
      </c>
      <c r="O1081" s="3">
        <f>IF($J1081="","",YEAR($J1081+4-WEEKDAY($J1081,2))&amp;"-S"&amp;TEXT(_xlfn.ISOWEEKNUM($J1081),"00"))</f>
        <v/>
      </c>
      <c r="P1081" s="3">
        <f>IF($J1081="","",YEAR($J1081))</f>
        <v/>
      </c>
      <c r="Q1081" s="3">
        <f>IF($J1081="","",MONTH($J1081))</f>
        <v/>
      </c>
      <c r="R1081" s="3">
        <f>IF($J1081="","",INDEX(lista_dias,WEEKDAY($J1081,2)))</f>
        <v/>
      </c>
      <c r="S1081" s="3">
        <f>IF($I1081="","",IFERROR(INDEX('CAT_TIPOS_OT'!$C$4:$C$7,MATCH($I1081,'CAT_TIPOS_OT'!$A$4:$A$7,0)),"sin_clasificar"))</f>
        <v/>
      </c>
      <c r="T1081" s="3">
        <f>IF($F1081="","",IFERROR(INDEX('CAT_CENTROS_COSTO'!$E$4:$E$9,MATCH($F1081,'CAT_CENTROS_COSTO'!$A$4:$A$9,0)),"(sin catálogo)"))</f>
        <v/>
      </c>
      <c r="U1081" s="3">
        <f>IF($F1081="","",IFERROR(INDEX('CAT_CENTROS_COSTO'!$D$4:$D$9,MATCH($F1081,'CAT_CENTROS_COSTO'!$A$4:$A$9,0)),"(sin catálogo)"))</f>
        <v/>
      </c>
      <c r="V1081" s="3">
        <f>IF($F1081="","",IFERROR(INDEX('CAT_CENTROS_COSTO'!$F$4:$F$9,MATCH($F1081,'CAT_CENTROS_COSTO'!$A$4:$A$9,0)),"(sin catálogo)"))</f>
        <v/>
      </c>
      <c r="W1081" s="3">
        <f>IF($G1081="","",IFERROR(INDEX('CAT_PUESTOS'!$B$4:$B$8,MATCH($G1081,'CAT_PUESTOS'!$A$4:$A$8,0)),"(sin catálogo)"))</f>
        <v/>
      </c>
      <c r="X1081" s="3">
        <f>IF($H1081="","",IFERROR(INDEX('CAT_ACTIVIDADES'!$B$4:$B$8,MATCH($H1081,'CAT_ACTIVIDADES'!$A$4:$A$8,0)),"(sin catálogo)"))</f>
        <v/>
      </c>
      <c r="Y1081" s="12">
        <f>IF($J1081="","",TODAY()-$J1081)</f>
        <v/>
      </c>
      <c r="Z1081" s="3">
        <f>IF($Y1081="","",IF($Y1081&lt;0,"FUTURO",IF($Y1081&gt;p_dias_backlog_max,"BACKLOG","MES CORRIENTE")))</f>
        <v/>
      </c>
      <c r="AA1081" s="3">
        <f>IF($Y1081="",FALSE,AND($Y1081&gt;p_dias_backlog_min,$Y1081&lt;=p_dias_backlog_max))</f>
        <v/>
      </c>
      <c r="AB1081" s="6" t="n"/>
      <c r="AC1081" s="3">
        <f>IF($AB1081="","",IFERROR(INDEX('ASIGNACIONES'!$F$4:$F$339,MATCH($O1081&amp;"|"&amp;$R1081&amp;"|"&amp;$AB1081,'ASIGNACIONES'!$I$4:$I$339,0)),""))</f>
        <v/>
      </c>
      <c r="AD1081" s="13">
        <f>IF($AB1081="","",SUMIFS('ORDENES'!$M$4:$M$1203,'ORDENES'!$AB$4:$AB$1203,$AB1081,'ORDENES'!$O$4:$O$1203,$O1081,'ORDENES'!$R$4:$R$1203,$R1081))</f>
        <v/>
      </c>
      <c r="AE1081" s="13">
        <f>IF($AD1081="","",p_factor_productividad*IFERROR(INDEX('ASIGNACIONES'!$H$4:$H$339,MATCH($O1081&amp;"|"&amp;$R1081&amp;"|"&amp;$AB1081,'ASIGNACIONES'!$I$4:$I$339,0)),0)-$AD1081)</f>
        <v/>
      </c>
      <c r="AF1081" s="10">
        <f>IF($A1081="","",IFERROR(INDEX('2_IMPORTAR_EJECUCION'!$F$9:$F$1208,MATCH($AN1081,'2_IMPORTAR_EJECUCION'!$J$9:$J$1208,0)),0))</f>
        <v/>
      </c>
      <c r="AG1081" s="10">
        <f>IF($A1081="","",MAX(0,IFERROR(INDEX('2_IMPORTAR_EJECUCION'!$H$9:$H$1208,MATCH($AN1081,'2_IMPORTAR_EJECUCION'!$J$9:$J$1208,0)),0)-$AF1081))</f>
        <v/>
      </c>
      <c r="AH1081" s="10">
        <f>IF($A1081="","",$AF1081+$AG1081)</f>
        <v/>
      </c>
      <c r="AI1081" s="6" t="n"/>
      <c r="AJ1081" s="6" t="n"/>
      <c r="AK1081" s="6" t="n"/>
      <c r="AL1081" s="3">
        <f>IF($AK1081="","",HYPERLINK(p_ruta_base_checklists&amp;$AK1081,"abrir"))</f>
        <v/>
      </c>
      <c r="AM1081" s="6" t="n"/>
      <c r="AN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1" t="n"/>
      <c r="K1082" s="3" t="n"/>
      <c r="L1082" s="10" t="n"/>
      <c r="M1082" s="3">
        <f>IF($A1082="","",IFERROR(INDEX('AJUSTES'!$B$4:$B$303,MATCH($AN1082,'AJUSTES'!$A$4:$A$303,0)),IF($K1082="","",$K1082)))</f>
        <v/>
      </c>
      <c r="N1082" s="3">
        <f>IF($A1082="","",IFERROR(INDEX('CAT_ESTADOS_ERP'!$B$4:$B$7,MATCH(IFERROR(INDEX('2_IMPORTAR_EJECUCION'!$C$9:$C$1208,MATCH($AN1082,'2_IMPORTAR_EJECUCION'!$J$9:$J$1208,0)),""),'CAT_ESTADOS_ERP'!$A$4:$A$7,0)),"Pendiente"))</f>
        <v/>
      </c>
      <c r="O1082" s="3">
        <f>IF($J1082="","",YEAR($J1082+4-WEEKDAY($J1082,2))&amp;"-S"&amp;TEXT(_xlfn.ISOWEEKNUM($J1082),"00"))</f>
        <v/>
      </c>
      <c r="P1082" s="3">
        <f>IF($J1082="","",YEAR($J1082))</f>
        <v/>
      </c>
      <c r="Q1082" s="3">
        <f>IF($J1082="","",MONTH($J1082))</f>
        <v/>
      </c>
      <c r="R1082" s="3">
        <f>IF($J1082="","",INDEX(lista_dias,WEEKDAY($J1082,2)))</f>
        <v/>
      </c>
      <c r="S1082" s="3">
        <f>IF($I1082="","",IFERROR(INDEX('CAT_TIPOS_OT'!$C$4:$C$7,MATCH($I1082,'CAT_TIPOS_OT'!$A$4:$A$7,0)),"sin_clasificar"))</f>
        <v/>
      </c>
      <c r="T1082" s="3">
        <f>IF($F1082="","",IFERROR(INDEX('CAT_CENTROS_COSTO'!$E$4:$E$9,MATCH($F1082,'CAT_CENTROS_COSTO'!$A$4:$A$9,0)),"(sin catálogo)"))</f>
        <v/>
      </c>
      <c r="U1082" s="3">
        <f>IF($F1082="","",IFERROR(INDEX('CAT_CENTROS_COSTO'!$D$4:$D$9,MATCH($F1082,'CAT_CENTROS_COSTO'!$A$4:$A$9,0)),"(sin catálogo)"))</f>
        <v/>
      </c>
      <c r="V1082" s="3">
        <f>IF($F1082="","",IFERROR(INDEX('CAT_CENTROS_COSTO'!$F$4:$F$9,MATCH($F1082,'CAT_CENTROS_COSTO'!$A$4:$A$9,0)),"(sin catálogo)"))</f>
        <v/>
      </c>
      <c r="W1082" s="3">
        <f>IF($G1082="","",IFERROR(INDEX('CAT_PUESTOS'!$B$4:$B$8,MATCH($G1082,'CAT_PUESTOS'!$A$4:$A$8,0)),"(sin catálogo)"))</f>
        <v/>
      </c>
      <c r="X1082" s="3">
        <f>IF($H1082="","",IFERROR(INDEX('CAT_ACTIVIDADES'!$B$4:$B$8,MATCH($H1082,'CAT_ACTIVIDADES'!$A$4:$A$8,0)),"(sin catálogo)"))</f>
        <v/>
      </c>
      <c r="Y1082" s="12">
        <f>IF($J1082="","",TODAY()-$J1082)</f>
        <v/>
      </c>
      <c r="Z1082" s="3">
        <f>IF($Y1082="","",IF($Y1082&lt;0,"FUTURO",IF($Y1082&gt;p_dias_backlog_max,"BACKLOG","MES CORRIENTE")))</f>
        <v/>
      </c>
      <c r="AA1082" s="3">
        <f>IF($Y1082="",FALSE,AND($Y1082&gt;p_dias_backlog_min,$Y1082&lt;=p_dias_backlog_max))</f>
        <v/>
      </c>
      <c r="AB1082" s="6" t="n"/>
      <c r="AC1082" s="3">
        <f>IF($AB1082="","",IFERROR(INDEX('ASIGNACIONES'!$F$4:$F$339,MATCH($O1082&amp;"|"&amp;$R1082&amp;"|"&amp;$AB1082,'ASIGNACIONES'!$I$4:$I$339,0)),""))</f>
        <v/>
      </c>
      <c r="AD1082" s="13">
        <f>IF($AB1082="","",SUMIFS('ORDENES'!$M$4:$M$1203,'ORDENES'!$AB$4:$AB$1203,$AB1082,'ORDENES'!$O$4:$O$1203,$O1082,'ORDENES'!$R$4:$R$1203,$R1082))</f>
        <v/>
      </c>
      <c r="AE1082" s="13">
        <f>IF($AD1082="","",p_factor_productividad*IFERROR(INDEX('ASIGNACIONES'!$H$4:$H$339,MATCH($O1082&amp;"|"&amp;$R1082&amp;"|"&amp;$AB1082,'ASIGNACIONES'!$I$4:$I$339,0)),0)-$AD1082)</f>
        <v/>
      </c>
      <c r="AF1082" s="10">
        <f>IF($A1082="","",IFERROR(INDEX('2_IMPORTAR_EJECUCION'!$F$9:$F$1208,MATCH($AN1082,'2_IMPORTAR_EJECUCION'!$J$9:$J$1208,0)),0))</f>
        <v/>
      </c>
      <c r="AG1082" s="10">
        <f>IF($A1082="","",MAX(0,IFERROR(INDEX('2_IMPORTAR_EJECUCION'!$H$9:$H$1208,MATCH($AN1082,'2_IMPORTAR_EJECUCION'!$J$9:$J$1208,0)),0)-$AF1082))</f>
        <v/>
      </c>
      <c r="AH1082" s="10">
        <f>IF($A1082="","",$AF1082+$AG1082)</f>
        <v/>
      </c>
      <c r="AI1082" s="6" t="n"/>
      <c r="AJ1082" s="6" t="n"/>
      <c r="AK1082" s="6" t="n"/>
      <c r="AL1082" s="3">
        <f>IF($AK1082="","",HYPERLINK(p_ruta_base_checklists&amp;$AK1082,"abrir"))</f>
        <v/>
      </c>
      <c r="AM1082" s="6" t="n"/>
      <c r="AN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1" t="n"/>
      <c r="K1083" s="3" t="n"/>
      <c r="L1083" s="10" t="n"/>
      <c r="M1083" s="3">
        <f>IF($A1083="","",IFERROR(INDEX('AJUSTES'!$B$4:$B$303,MATCH($AN1083,'AJUSTES'!$A$4:$A$303,0)),IF($K1083="","",$K1083)))</f>
        <v/>
      </c>
      <c r="N1083" s="3">
        <f>IF($A1083="","",IFERROR(INDEX('CAT_ESTADOS_ERP'!$B$4:$B$7,MATCH(IFERROR(INDEX('2_IMPORTAR_EJECUCION'!$C$9:$C$1208,MATCH($AN1083,'2_IMPORTAR_EJECUCION'!$J$9:$J$1208,0)),""),'CAT_ESTADOS_ERP'!$A$4:$A$7,0)),"Pendiente"))</f>
        <v/>
      </c>
      <c r="O1083" s="3">
        <f>IF($J1083="","",YEAR($J1083+4-WEEKDAY($J1083,2))&amp;"-S"&amp;TEXT(_xlfn.ISOWEEKNUM($J1083),"00"))</f>
        <v/>
      </c>
      <c r="P1083" s="3">
        <f>IF($J1083="","",YEAR($J1083))</f>
        <v/>
      </c>
      <c r="Q1083" s="3">
        <f>IF($J1083="","",MONTH($J1083))</f>
        <v/>
      </c>
      <c r="R1083" s="3">
        <f>IF($J1083="","",INDEX(lista_dias,WEEKDAY($J1083,2)))</f>
        <v/>
      </c>
      <c r="S1083" s="3">
        <f>IF($I1083="","",IFERROR(INDEX('CAT_TIPOS_OT'!$C$4:$C$7,MATCH($I1083,'CAT_TIPOS_OT'!$A$4:$A$7,0)),"sin_clasificar"))</f>
        <v/>
      </c>
      <c r="T1083" s="3">
        <f>IF($F1083="","",IFERROR(INDEX('CAT_CENTROS_COSTO'!$E$4:$E$9,MATCH($F1083,'CAT_CENTROS_COSTO'!$A$4:$A$9,0)),"(sin catálogo)"))</f>
        <v/>
      </c>
      <c r="U1083" s="3">
        <f>IF($F1083="","",IFERROR(INDEX('CAT_CENTROS_COSTO'!$D$4:$D$9,MATCH($F1083,'CAT_CENTROS_COSTO'!$A$4:$A$9,0)),"(sin catálogo)"))</f>
        <v/>
      </c>
      <c r="V1083" s="3">
        <f>IF($F1083="","",IFERROR(INDEX('CAT_CENTROS_COSTO'!$F$4:$F$9,MATCH($F1083,'CAT_CENTROS_COSTO'!$A$4:$A$9,0)),"(sin catálogo)"))</f>
        <v/>
      </c>
      <c r="W1083" s="3">
        <f>IF($G1083="","",IFERROR(INDEX('CAT_PUESTOS'!$B$4:$B$8,MATCH($G1083,'CAT_PUESTOS'!$A$4:$A$8,0)),"(sin catálogo)"))</f>
        <v/>
      </c>
      <c r="X1083" s="3">
        <f>IF($H1083="","",IFERROR(INDEX('CAT_ACTIVIDADES'!$B$4:$B$8,MATCH($H1083,'CAT_ACTIVIDADES'!$A$4:$A$8,0)),"(sin catálogo)"))</f>
        <v/>
      </c>
      <c r="Y1083" s="12">
        <f>IF($J1083="","",TODAY()-$J1083)</f>
        <v/>
      </c>
      <c r="Z1083" s="3">
        <f>IF($Y1083="","",IF($Y1083&lt;0,"FUTURO",IF($Y1083&gt;p_dias_backlog_max,"BACKLOG","MES CORRIENTE")))</f>
        <v/>
      </c>
      <c r="AA1083" s="3">
        <f>IF($Y1083="",FALSE,AND($Y1083&gt;p_dias_backlog_min,$Y1083&lt;=p_dias_backlog_max))</f>
        <v/>
      </c>
      <c r="AB1083" s="6" t="n"/>
      <c r="AC1083" s="3">
        <f>IF($AB1083="","",IFERROR(INDEX('ASIGNACIONES'!$F$4:$F$339,MATCH($O1083&amp;"|"&amp;$R1083&amp;"|"&amp;$AB1083,'ASIGNACIONES'!$I$4:$I$339,0)),""))</f>
        <v/>
      </c>
      <c r="AD1083" s="13">
        <f>IF($AB1083="","",SUMIFS('ORDENES'!$M$4:$M$1203,'ORDENES'!$AB$4:$AB$1203,$AB1083,'ORDENES'!$O$4:$O$1203,$O1083,'ORDENES'!$R$4:$R$1203,$R1083))</f>
        <v/>
      </c>
      <c r="AE1083" s="13">
        <f>IF($AD1083="","",p_factor_productividad*IFERROR(INDEX('ASIGNACIONES'!$H$4:$H$339,MATCH($O1083&amp;"|"&amp;$R1083&amp;"|"&amp;$AB1083,'ASIGNACIONES'!$I$4:$I$339,0)),0)-$AD1083)</f>
        <v/>
      </c>
      <c r="AF1083" s="10">
        <f>IF($A1083="","",IFERROR(INDEX('2_IMPORTAR_EJECUCION'!$F$9:$F$1208,MATCH($AN1083,'2_IMPORTAR_EJECUCION'!$J$9:$J$1208,0)),0))</f>
        <v/>
      </c>
      <c r="AG1083" s="10">
        <f>IF($A1083="","",MAX(0,IFERROR(INDEX('2_IMPORTAR_EJECUCION'!$H$9:$H$1208,MATCH($AN1083,'2_IMPORTAR_EJECUCION'!$J$9:$J$1208,0)),0)-$AF1083))</f>
        <v/>
      </c>
      <c r="AH1083" s="10">
        <f>IF($A1083="","",$AF1083+$AG1083)</f>
        <v/>
      </c>
      <c r="AI1083" s="6" t="n"/>
      <c r="AJ1083" s="6" t="n"/>
      <c r="AK1083" s="6" t="n"/>
      <c r="AL1083" s="3">
        <f>IF($AK1083="","",HYPERLINK(p_ruta_base_checklists&amp;$AK1083,"abrir"))</f>
        <v/>
      </c>
      <c r="AM1083" s="6" t="n"/>
      <c r="AN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1" t="n"/>
      <c r="K1084" s="3" t="n"/>
      <c r="L1084" s="10" t="n"/>
      <c r="M1084" s="3">
        <f>IF($A1084="","",IFERROR(INDEX('AJUSTES'!$B$4:$B$303,MATCH($AN1084,'AJUSTES'!$A$4:$A$303,0)),IF($K1084="","",$K1084)))</f>
        <v/>
      </c>
      <c r="N1084" s="3">
        <f>IF($A1084="","",IFERROR(INDEX('CAT_ESTADOS_ERP'!$B$4:$B$7,MATCH(IFERROR(INDEX('2_IMPORTAR_EJECUCION'!$C$9:$C$1208,MATCH($AN1084,'2_IMPORTAR_EJECUCION'!$J$9:$J$1208,0)),""),'CAT_ESTADOS_ERP'!$A$4:$A$7,0)),"Pendiente"))</f>
        <v/>
      </c>
      <c r="O1084" s="3">
        <f>IF($J1084="","",YEAR($J1084+4-WEEKDAY($J1084,2))&amp;"-S"&amp;TEXT(_xlfn.ISOWEEKNUM($J1084),"00"))</f>
        <v/>
      </c>
      <c r="P1084" s="3">
        <f>IF($J1084="","",YEAR($J1084))</f>
        <v/>
      </c>
      <c r="Q1084" s="3">
        <f>IF($J1084="","",MONTH($J1084))</f>
        <v/>
      </c>
      <c r="R1084" s="3">
        <f>IF($J1084="","",INDEX(lista_dias,WEEKDAY($J1084,2)))</f>
        <v/>
      </c>
      <c r="S1084" s="3">
        <f>IF($I1084="","",IFERROR(INDEX('CAT_TIPOS_OT'!$C$4:$C$7,MATCH($I1084,'CAT_TIPOS_OT'!$A$4:$A$7,0)),"sin_clasificar"))</f>
        <v/>
      </c>
      <c r="T1084" s="3">
        <f>IF($F1084="","",IFERROR(INDEX('CAT_CENTROS_COSTO'!$E$4:$E$9,MATCH($F1084,'CAT_CENTROS_COSTO'!$A$4:$A$9,0)),"(sin catálogo)"))</f>
        <v/>
      </c>
      <c r="U1084" s="3">
        <f>IF($F1084="","",IFERROR(INDEX('CAT_CENTROS_COSTO'!$D$4:$D$9,MATCH($F1084,'CAT_CENTROS_COSTO'!$A$4:$A$9,0)),"(sin catálogo)"))</f>
        <v/>
      </c>
      <c r="V1084" s="3">
        <f>IF($F1084="","",IFERROR(INDEX('CAT_CENTROS_COSTO'!$F$4:$F$9,MATCH($F1084,'CAT_CENTROS_COSTO'!$A$4:$A$9,0)),"(sin catálogo)"))</f>
        <v/>
      </c>
      <c r="W1084" s="3">
        <f>IF($G1084="","",IFERROR(INDEX('CAT_PUESTOS'!$B$4:$B$8,MATCH($G1084,'CAT_PUESTOS'!$A$4:$A$8,0)),"(sin catálogo)"))</f>
        <v/>
      </c>
      <c r="X1084" s="3">
        <f>IF($H1084="","",IFERROR(INDEX('CAT_ACTIVIDADES'!$B$4:$B$8,MATCH($H1084,'CAT_ACTIVIDADES'!$A$4:$A$8,0)),"(sin catálogo)"))</f>
        <v/>
      </c>
      <c r="Y1084" s="12">
        <f>IF($J1084="","",TODAY()-$J1084)</f>
        <v/>
      </c>
      <c r="Z1084" s="3">
        <f>IF($Y1084="","",IF($Y1084&lt;0,"FUTURO",IF($Y1084&gt;p_dias_backlog_max,"BACKLOG","MES CORRIENTE")))</f>
        <v/>
      </c>
      <c r="AA1084" s="3">
        <f>IF($Y1084="",FALSE,AND($Y1084&gt;p_dias_backlog_min,$Y1084&lt;=p_dias_backlog_max))</f>
        <v/>
      </c>
      <c r="AB1084" s="6" t="n"/>
      <c r="AC1084" s="3">
        <f>IF($AB1084="","",IFERROR(INDEX('ASIGNACIONES'!$F$4:$F$339,MATCH($O1084&amp;"|"&amp;$R1084&amp;"|"&amp;$AB1084,'ASIGNACIONES'!$I$4:$I$339,0)),""))</f>
        <v/>
      </c>
      <c r="AD1084" s="13">
        <f>IF($AB1084="","",SUMIFS('ORDENES'!$M$4:$M$1203,'ORDENES'!$AB$4:$AB$1203,$AB1084,'ORDENES'!$O$4:$O$1203,$O1084,'ORDENES'!$R$4:$R$1203,$R1084))</f>
        <v/>
      </c>
      <c r="AE1084" s="13">
        <f>IF($AD1084="","",p_factor_productividad*IFERROR(INDEX('ASIGNACIONES'!$H$4:$H$339,MATCH($O1084&amp;"|"&amp;$R1084&amp;"|"&amp;$AB1084,'ASIGNACIONES'!$I$4:$I$339,0)),0)-$AD1084)</f>
        <v/>
      </c>
      <c r="AF1084" s="10">
        <f>IF($A1084="","",IFERROR(INDEX('2_IMPORTAR_EJECUCION'!$F$9:$F$1208,MATCH($AN1084,'2_IMPORTAR_EJECUCION'!$J$9:$J$1208,0)),0))</f>
        <v/>
      </c>
      <c r="AG1084" s="10">
        <f>IF($A1084="","",MAX(0,IFERROR(INDEX('2_IMPORTAR_EJECUCION'!$H$9:$H$1208,MATCH($AN1084,'2_IMPORTAR_EJECUCION'!$J$9:$J$1208,0)),0)-$AF1084))</f>
        <v/>
      </c>
      <c r="AH1084" s="10">
        <f>IF($A1084="","",$AF1084+$AG1084)</f>
        <v/>
      </c>
      <c r="AI1084" s="6" t="n"/>
      <c r="AJ1084" s="6" t="n"/>
      <c r="AK1084" s="6" t="n"/>
      <c r="AL1084" s="3">
        <f>IF($AK1084="","",HYPERLINK(p_ruta_base_checklists&amp;$AK1084,"abrir"))</f>
        <v/>
      </c>
      <c r="AM1084" s="6" t="n"/>
      <c r="AN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1" t="n"/>
      <c r="K1085" s="3" t="n"/>
      <c r="L1085" s="10" t="n"/>
      <c r="M1085" s="3">
        <f>IF($A1085="","",IFERROR(INDEX('AJUSTES'!$B$4:$B$303,MATCH($AN1085,'AJUSTES'!$A$4:$A$303,0)),IF($K1085="","",$K1085)))</f>
        <v/>
      </c>
      <c r="N1085" s="3">
        <f>IF($A1085="","",IFERROR(INDEX('CAT_ESTADOS_ERP'!$B$4:$B$7,MATCH(IFERROR(INDEX('2_IMPORTAR_EJECUCION'!$C$9:$C$1208,MATCH($AN1085,'2_IMPORTAR_EJECUCION'!$J$9:$J$1208,0)),""),'CAT_ESTADOS_ERP'!$A$4:$A$7,0)),"Pendiente"))</f>
        <v/>
      </c>
      <c r="O1085" s="3">
        <f>IF($J1085="","",YEAR($J1085+4-WEEKDAY($J1085,2))&amp;"-S"&amp;TEXT(_xlfn.ISOWEEKNUM($J1085),"00"))</f>
        <v/>
      </c>
      <c r="P1085" s="3">
        <f>IF($J1085="","",YEAR($J1085))</f>
        <v/>
      </c>
      <c r="Q1085" s="3">
        <f>IF($J1085="","",MONTH($J1085))</f>
        <v/>
      </c>
      <c r="R1085" s="3">
        <f>IF($J1085="","",INDEX(lista_dias,WEEKDAY($J1085,2)))</f>
        <v/>
      </c>
      <c r="S1085" s="3">
        <f>IF($I1085="","",IFERROR(INDEX('CAT_TIPOS_OT'!$C$4:$C$7,MATCH($I1085,'CAT_TIPOS_OT'!$A$4:$A$7,0)),"sin_clasificar"))</f>
        <v/>
      </c>
      <c r="T1085" s="3">
        <f>IF($F1085="","",IFERROR(INDEX('CAT_CENTROS_COSTO'!$E$4:$E$9,MATCH($F1085,'CAT_CENTROS_COSTO'!$A$4:$A$9,0)),"(sin catálogo)"))</f>
        <v/>
      </c>
      <c r="U1085" s="3">
        <f>IF($F1085="","",IFERROR(INDEX('CAT_CENTROS_COSTO'!$D$4:$D$9,MATCH($F1085,'CAT_CENTROS_COSTO'!$A$4:$A$9,0)),"(sin catálogo)"))</f>
        <v/>
      </c>
      <c r="V1085" s="3">
        <f>IF($F1085="","",IFERROR(INDEX('CAT_CENTROS_COSTO'!$F$4:$F$9,MATCH($F1085,'CAT_CENTROS_COSTO'!$A$4:$A$9,0)),"(sin catálogo)"))</f>
        <v/>
      </c>
      <c r="W1085" s="3">
        <f>IF($G1085="","",IFERROR(INDEX('CAT_PUESTOS'!$B$4:$B$8,MATCH($G1085,'CAT_PUESTOS'!$A$4:$A$8,0)),"(sin catálogo)"))</f>
        <v/>
      </c>
      <c r="X1085" s="3">
        <f>IF($H1085="","",IFERROR(INDEX('CAT_ACTIVIDADES'!$B$4:$B$8,MATCH($H1085,'CAT_ACTIVIDADES'!$A$4:$A$8,0)),"(sin catálogo)"))</f>
        <v/>
      </c>
      <c r="Y1085" s="12">
        <f>IF($J1085="","",TODAY()-$J1085)</f>
        <v/>
      </c>
      <c r="Z1085" s="3">
        <f>IF($Y1085="","",IF($Y1085&lt;0,"FUTURO",IF($Y1085&gt;p_dias_backlog_max,"BACKLOG","MES CORRIENTE")))</f>
        <v/>
      </c>
      <c r="AA1085" s="3">
        <f>IF($Y1085="",FALSE,AND($Y1085&gt;p_dias_backlog_min,$Y1085&lt;=p_dias_backlog_max))</f>
        <v/>
      </c>
      <c r="AB1085" s="6" t="n"/>
      <c r="AC1085" s="3">
        <f>IF($AB1085="","",IFERROR(INDEX('ASIGNACIONES'!$F$4:$F$339,MATCH($O1085&amp;"|"&amp;$R1085&amp;"|"&amp;$AB1085,'ASIGNACIONES'!$I$4:$I$339,0)),""))</f>
        <v/>
      </c>
      <c r="AD1085" s="13">
        <f>IF($AB1085="","",SUMIFS('ORDENES'!$M$4:$M$1203,'ORDENES'!$AB$4:$AB$1203,$AB1085,'ORDENES'!$O$4:$O$1203,$O1085,'ORDENES'!$R$4:$R$1203,$R1085))</f>
        <v/>
      </c>
      <c r="AE1085" s="13">
        <f>IF($AD1085="","",p_factor_productividad*IFERROR(INDEX('ASIGNACIONES'!$H$4:$H$339,MATCH($O1085&amp;"|"&amp;$R1085&amp;"|"&amp;$AB1085,'ASIGNACIONES'!$I$4:$I$339,0)),0)-$AD1085)</f>
        <v/>
      </c>
      <c r="AF1085" s="10">
        <f>IF($A1085="","",IFERROR(INDEX('2_IMPORTAR_EJECUCION'!$F$9:$F$1208,MATCH($AN1085,'2_IMPORTAR_EJECUCION'!$J$9:$J$1208,0)),0))</f>
        <v/>
      </c>
      <c r="AG1085" s="10">
        <f>IF($A1085="","",MAX(0,IFERROR(INDEX('2_IMPORTAR_EJECUCION'!$H$9:$H$1208,MATCH($AN1085,'2_IMPORTAR_EJECUCION'!$J$9:$J$1208,0)),0)-$AF1085))</f>
        <v/>
      </c>
      <c r="AH1085" s="10">
        <f>IF($A1085="","",$AF1085+$AG1085)</f>
        <v/>
      </c>
      <c r="AI1085" s="6" t="n"/>
      <c r="AJ1085" s="6" t="n"/>
      <c r="AK1085" s="6" t="n"/>
      <c r="AL1085" s="3">
        <f>IF($AK1085="","",HYPERLINK(p_ruta_base_checklists&amp;$AK1085,"abrir"))</f>
        <v/>
      </c>
      <c r="AM1085" s="6" t="n"/>
      <c r="AN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1" t="n"/>
      <c r="K1086" s="3" t="n"/>
      <c r="L1086" s="10" t="n"/>
      <c r="M1086" s="3">
        <f>IF($A1086="","",IFERROR(INDEX('AJUSTES'!$B$4:$B$303,MATCH($AN1086,'AJUSTES'!$A$4:$A$303,0)),IF($K1086="","",$K1086)))</f>
        <v/>
      </c>
      <c r="N1086" s="3">
        <f>IF($A1086="","",IFERROR(INDEX('CAT_ESTADOS_ERP'!$B$4:$B$7,MATCH(IFERROR(INDEX('2_IMPORTAR_EJECUCION'!$C$9:$C$1208,MATCH($AN1086,'2_IMPORTAR_EJECUCION'!$J$9:$J$1208,0)),""),'CAT_ESTADOS_ERP'!$A$4:$A$7,0)),"Pendiente"))</f>
        <v/>
      </c>
      <c r="O1086" s="3">
        <f>IF($J1086="","",YEAR($J1086+4-WEEKDAY($J1086,2))&amp;"-S"&amp;TEXT(_xlfn.ISOWEEKNUM($J1086),"00"))</f>
        <v/>
      </c>
      <c r="P1086" s="3">
        <f>IF($J1086="","",YEAR($J1086))</f>
        <v/>
      </c>
      <c r="Q1086" s="3">
        <f>IF($J1086="","",MONTH($J1086))</f>
        <v/>
      </c>
      <c r="R1086" s="3">
        <f>IF($J1086="","",INDEX(lista_dias,WEEKDAY($J1086,2)))</f>
        <v/>
      </c>
      <c r="S1086" s="3">
        <f>IF($I1086="","",IFERROR(INDEX('CAT_TIPOS_OT'!$C$4:$C$7,MATCH($I1086,'CAT_TIPOS_OT'!$A$4:$A$7,0)),"sin_clasificar"))</f>
        <v/>
      </c>
      <c r="T1086" s="3">
        <f>IF($F1086="","",IFERROR(INDEX('CAT_CENTROS_COSTO'!$E$4:$E$9,MATCH($F1086,'CAT_CENTROS_COSTO'!$A$4:$A$9,0)),"(sin catálogo)"))</f>
        <v/>
      </c>
      <c r="U1086" s="3">
        <f>IF($F1086="","",IFERROR(INDEX('CAT_CENTROS_COSTO'!$D$4:$D$9,MATCH($F1086,'CAT_CENTROS_COSTO'!$A$4:$A$9,0)),"(sin catálogo)"))</f>
        <v/>
      </c>
      <c r="V1086" s="3">
        <f>IF($F1086="","",IFERROR(INDEX('CAT_CENTROS_COSTO'!$F$4:$F$9,MATCH($F1086,'CAT_CENTROS_COSTO'!$A$4:$A$9,0)),"(sin catálogo)"))</f>
        <v/>
      </c>
      <c r="W1086" s="3">
        <f>IF($G1086="","",IFERROR(INDEX('CAT_PUESTOS'!$B$4:$B$8,MATCH($G1086,'CAT_PUESTOS'!$A$4:$A$8,0)),"(sin catálogo)"))</f>
        <v/>
      </c>
      <c r="X1086" s="3">
        <f>IF($H1086="","",IFERROR(INDEX('CAT_ACTIVIDADES'!$B$4:$B$8,MATCH($H1086,'CAT_ACTIVIDADES'!$A$4:$A$8,0)),"(sin catálogo)"))</f>
        <v/>
      </c>
      <c r="Y1086" s="12">
        <f>IF($J1086="","",TODAY()-$J1086)</f>
        <v/>
      </c>
      <c r="Z1086" s="3">
        <f>IF($Y1086="","",IF($Y1086&lt;0,"FUTURO",IF($Y1086&gt;p_dias_backlog_max,"BACKLOG","MES CORRIENTE")))</f>
        <v/>
      </c>
      <c r="AA1086" s="3">
        <f>IF($Y1086="",FALSE,AND($Y1086&gt;p_dias_backlog_min,$Y1086&lt;=p_dias_backlog_max))</f>
        <v/>
      </c>
      <c r="AB1086" s="6" t="n"/>
      <c r="AC1086" s="3">
        <f>IF($AB1086="","",IFERROR(INDEX('ASIGNACIONES'!$F$4:$F$339,MATCH($O1086&amp;"|"&amp;$R1086&amp;"|"&amp;$AB1086,'ASIGNACIONES'!$I$4:$I$339,0)),""))</f>
        <v/>
      </c>
      <c r="AD1086" s="13">
        <f>IF($AB1086="","",SUMIFS('ORDENES'!$M$4:$M$1203,'ORDENES'!$AB$4:$AB$1203,$AB1086,'ORDENES'!$O$4:$O$1203,$O1086,'ORDENES'!$R$4:$R$1203,$R1086))</f>
        <v/>
      </c>
      <c r="AE1086" s="13">
        <f>IF($AD1086="","",p_factor_productividad*IFERROR(INDEX('ASIGNACIONES'!$H$4:$H$339,MATCH($O1086&amp;"|"&amp;$R1086&amp;"|"&amp;$AB1086,'ASIGNACIONES'!$I$4:$I$339,0)),0)-$AD1086)</f>
        <v/>
      </c>
      <c r="AF1086" s="10">
        <f>IF($A1086="","",IFERROR(INDEX('2_IMPORTAR_EJECUCION'!$F$9:$F$1208,MATCH($AN1086,'2_IMPORTAR_EJECUCION'!$J$9:$J$1208,0)),0))</f>
        <v/>
      </c>
      <c r="AG1086" s="10">
        <f>IF($A1086="","",MAX(0,IFERROR(INDEX('2_IMPORTAR_EJECUCION'!$H$9:$H$1208,MATCH($AN1086,'2_IMPORTAR_EJECUCION'!$J$9:$J$1208,0)),0)-$AF1086))</f>
        <v/>
      </c>
      <c r="AH1086" s="10">
        <f>IF($A1086="","",$AF1086+$AG1086)</f>
        <v/>
      </c>
      <c r="AI1086" s="6" t="n"/>
      <c r="AJ1086" s="6" t="n"/>
      <c r="AK1086" s="6" t="n"/>
      <c r="AL1086" s="3">
        <f>IF($AK1086="","",HYPERLINK(p_ruta_base_checklists&amp;$AK1086,"abrir"))</f>
        <v/>
      </c>
      <c r="AM1086" s="6" t="n"/>
      <c r="AN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1" t="n"/>
      <c r="K1087" s="3" t="n"/>
      <c r="L1087" s="10" t="n"/>
      <c r="M1087" s="3">
        <f>IF($A1087="","",IFERROR(INDEX('AJUSTES'!$B$4:$B$303,MATCH($AN1087,'AJUSTES'!$A$4:$A$303,0)),IF($K1087="","",$K1087)))</f>
        <v/>
      </c>
      <c r="N1087" s="3">
        <f>IF($A1087="","",IFERROR(INDEX('CAT_ESTADOS_ERP'!$B$4:$B$7,MATCH(IFERROR(INDEX('2_IMPORTAR_EJECUCION'!$C$9:$C$1208,MATCH($AN1087,'2_IMPORTAR_EJECUCION'!$J$9:$J$1208,0)),""),'CAT_ESTADOS_ERP'!$A$4:$A$7,0)),"Pendiente"))</f>
        <v/>
      </c>
      <c r="O1087" s="3">
        <f>IF($J1087="","",YEAR($J1087+4-WEEKDAY($J1087,2))&amp;"-S"&amp;TEXT(_xlfn.ISOWEEKNUM($J1087),"00"))</f>
        <v/>
      </c>
      <c r="P1087" s="3">
        <f>IF($J1087="","",YEAR($J1087))</f>
        <v/>
      </c>
      <c r="Q1087" s="3">
        <f>IF($J1087="","",MONTH($J1087))</f>
        <v/>
      </c>
      <c r="R1087" s="3">
        <f>IF($J1087="","",INDEX(lista_dias,WEEKDAY($J1087,2)))</f>
        <v/>
      </c>
      <c r="S1087" s="3">
        <f>IF($I1087="","",IFERROR(INDEX('CAT_TIPOS_OT'!$C$4:$C$7,MATCH($I1087,'CAT_TIPOS_OT'!$A$4:$A$7,0)),"sin_clasificar"))</f>
        <v/>
      </c>
      <c r="T1087" s="3">
        <f>IF($F1087="","",IFERROR(INDEX('CAT_CENTROS_COSTO'!$E$4:$E$9,MATCH($F1087,'CAT_CENTROS_COSTO'!$A$4:$A$9,0)),"(sin catálogo)"))</f>
        <v/>
      </c>
      <c r="U1087" s="3">
        <f>IF($F1087="","",IFERROR(INDEX('CAT_CENTROS_COSTO'!$D$4:$D$9,MATCH($F1087,'CAT_CENTROS_COSTO'!$A$4:$A$9,0)),"(sin catálogo)"))</f>
        <v/>
      </c>
      <c r="V1087" s="3">
        <f>IF($F1087="","",IFERROR(INDEX('CAT_CENTROS_COSTO'!$F$4:$F$9,MATCH($F1087,'CAT_CENTROS_COSTO'!$A$4:$A$9,0)),"(sin catálogo)"))</f>
        <v/>
      </c>
      <c r="W1087" s="3">
        <f>IF($G1087="","",IFERROR(INDEX('CAT_PUESTOS'!$B$4:$B$8,MATCH($G1087,'CAT_PUESTOS'!$A$4:$A$8,0)),"(sin catálogo)"))</f>
        <v/>
      </c>
      <c r="X1087" s="3">
        <f>IF($H1087="","",IFERROR(INDEX('CAT_ACTIVIDADES'!$B$4:$B$8,MATCH($H1087,'CAT_ACTIVIDADES'!$A$4:$A$8,0)),"(sin catálogo)"))</f>
        <v/>
      </c>
      <c r="Y1087" s="12">
        <f>IF($J1087="","",TODAY()-$J1087)</f>
        <v/>
      </c>
      <c r="Z1087" s="3">
        <f>IF($Y1087="","",IF($Y1087&lt;0,"FUTURO",IF($Y1087&gt;p_dias_backlog_max,"BACKLOG","MES CORRIENTE")))</f>
        <v/>
      </c>
      <c r="AA1087" s="3">
        <f>IF($Y1087="",FALSE,AND($Y1087&gt;p_dias_backlog_min,$Y1087&lt;=p_dias_backlog_max))</f>
        <v/>
      </c>
      <c r="AB1087" s="6" t="n"/>
      <c r="AC1087" s="3">
        <f>IF($AB1087="","",IFERROR(INDEX('ASIGNACIONES'!$F$4:$F$339,MATCH($O1087&amp;"|"&amp;$R1087&amp;"|"&amp;$AB1087,'ASIGNACIONES'!$I$4:$I$339,0)),""))</f>
        <v/>
      </c>
      <c r="AD1087" s="13">
        <f>IF($AB1087="","",SUMIFS('ORDENES'!$M$4:$M$1203,'ORDENES'!$AB$4:$AB$1203,$AB1087,'ORDENES'!$O$4:$O$1203,$O1087,'ORDENES'!$R$4:$R$1203,$R1087))</f>
        <v/>
      </c>
      <c r="AE1087" s="13">
        <f>IF($AD1087="","",p_factor_productividad*IFERROR(INDEX('ASIGNACIONES'!$H$4:$H$339,MATCH($O1087&amp;"|"&amp;$R1087&amp;"|"&amp;$AB1087,'ASIGNACIONES'!$I$4:$I$339,0)),0)-$AD1087)</f>
        <v/>
      </c>
      <c r="AF1087" s="10">
        <f>IF($A1087="","",IFERROR(INDEX('2_IMPORTAR_EJECUCION'!$F$9:$F$1208,MATCH($AN1087,'2_IMPORTAR_EJECUCION'!$J$9:$J$1208,0)),0))</f>
        <v/>
      </c>
      <c r="AG1087" s="10">
        <f>IF($A1087="","",MAX(0,IFERROR(INDEX('2_IMPORTAR_EJECUCION'!$H$9:$H$1208,MATCH($AN1087,'2_IMPORTAR_EJECUCION'!$J$9:$J$1208,0)),0)-$AF1087))</f>
        <v/>
      </c>
      <c r="AH1087" s="10">
        <f>IF($A1087="","",$AF1087+$AG1087)</f>
        <v/>
      </c>
      <c r="AI1087" s="6" t="n"/>
      <c r="AJ1087" s="6" t="n"/>
      <c r="AK1087" s="6" t="n"/>
      <c r="AL1087" s="3">
        <f>IF($AK1087="","",HYPERLINK(p_ruta_base_checklists&amp;$AK1087,"abrir"))</f>
        <v/>
      </c>
      <c r="AM1087" s="6" t="n"/>
      <c r="AN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1" t="n"/>
      <c r="K1088" s="3" t="n"/>
      <c r="L1088" s="10" t="n"/>
      <c r="M1088" s="3">
        <f>IF($A1088="","",IFERROR(INDEX('AJUSTES'!$B$4:$B$303,MATCH($AN1088,'AJUSTES'!$A$4:$A$303,0)),IF($K1088="","",$K1088)))</f>
        <v/>
      </c>
      <c r="N1088" s="3">
        <f>IF($A1088="","",IFERROR(INDEX('CAT_ESTADOS_ERP'!$B$4:$B$7,MATCH(IFERROR(INDEX('2_IMPORTAR_EJECUCION'!$C$9:$C$1208,MATCH($AN1088,'2_IMPORTAR_EJECUCION'!$J$9:$J$1208,0)),""),'CAT_ESTADOS_ERP'!$A$4:$A$7,0)),"Pendiente"))</f>
        <v/>
      </c>
      <c r="O1088" s="3">
        <f>IF($J1088="","",YEAR($J1088+4-WEEKDAY($J1088,2))&amp;"-S"&amp;TEXT(_xlfn.ISOWEEKNUM($J1088),"00"))</f>
        <v/>
      </c>
      <c r="P1088" s="3">
        <f>IF($J1088="","",YEAR($J1088))</f>
        <v/>
      </c>
      <c r="Q1088" s="3">
        <f>IF($J1088="","",MONTH($J1088))</f>
        <v/>
      </c>
      <c r="R1088" s="3">
        <f>IF($J1088="","",INDEX(lista_dias,WEEKDAY($J1088,2)))</f>
        <v/>
      </c>
      <c r="S1088" s="3">
        <f>IF($I1088="","",IFERROR(INDEX('CAT_TIPOS_OT'!$C$4:$C$7,MATCH($I1088,'CAT_TIPOS_OT'!$A$4:$A$7,0)),"sin_clasificar"))</f>
        <v/>
      </c>
      <c r="T1088" s="3">
        <f>IF($F1088="","",IFERROR(INDEX('CAT_CENTROS_COSTO'!$E$4:$E$9,MATCH($F1088,'CAT_CENTROS_COSTO'!$A$4:$A$9,0)),"(sin catálogo)"))</f>
        <v/>
      </c>
      <c r="U1088" s="3">
        <f>IF($F1088="","",IFERROR(INDEX('CAT_CENTROS_COSTO'!$D$4:$D$9,MATCH($F1088,'CAT_CENTROS_COSTO'!$A$4:$A$9,0)),"(sin catálogo)"))</f>
        <v/>
      </c>
      <c r="V1088" s="3">
        <f>IF($F1088="","",IFERROR(INDEX('CAT_CENTROS_COSTO'!$F$4:$F$9,MATCH($F1088,'CAT_CENTROS_COSTO'!$A$4:$A$9,0)),"(sin catálogo)"))</f>
        <v/>
      </c>
      <c r="W1088" s="3">
        <f>IF($G1088="","",IFERROR(INDEX('CAT_PUESTOS'!$B$4:$B$8,MATCH($G1088,'CAT_PUESTOS'!$A$4:$A$8,0)),"(sin catálogo)"))</f>
        <v/>
      </c>
      <c r="X1088" s="3">
        <f>IF($H1088="","",IFERROR(INDEX('CAT_ACTIVIDADES'!$B$4:$B$8,MATCH($H1088,'CAT_ACTIVIDADES'!$A$4:$A$8,0)),"(sin catálogo)"))</f>
        <v/>
      </c>
      <c r="Y1088" s="12">
        <f>IF($J1088="","",TODAY()-$J1088)</f>
        <v/>
      </c>
      <c r="Z1088" s="3">
        <f>IF($Y1088="","",IF($Y1088&lt;0,"FUTURO",IF($Y1088&gt;p_dias_backlog_max,"BACKLOG","MES CORRIENTE")))</f>
        <v/>
      </c>
      <c r="AA1088" s="3">
        <f>IF($Y1088="",FALSE,AND($Y1088&gt;p_dias_backlog_min,$Y1088&lt;=p_dias_backlog_max))</f>
        <v/>
      </c>
      <c r="AB1088" s="6" t="n"/>
      <c r="AC1088" s="3">
        <f>IF($AB1088="","",IFERROR(INDEX('ASIGNACIONES'!$F$4:$F$339,MATCH($O1088&amp;"|"&amp;$R1088&amp;"|"&amp;$AB1088,'ASIGNACIONES'!$I$4:$I$339,0)),""))</f>
        <v/>
      </c>
      <c r="AD1088" s="13">
        <f>IF($AB1088="","",SUMIFS('ORDENES'!$M$4:$M$1203,'ORDENES'!$AB$4:$AB$1203,$AB1088,'ORDENES'!$O$4:$O$1203,$O1088,'ORDENES'!$R$4:$R$1203,$R1088))</f>
        <v/>
      </c>
      <c r="AE1088" s="13">
        <f>IF($AD1088="","",p_factor_productividad*IFERROR(INDEX('ASIGNACIONES'!$H$4:$H$339,MATCH($O1088&amp;"|"&amp;$R1088&amp;"|"&amp;$AB1088,'ASIGNACIONES'!$I$4:$I$339,0)),0)-$AD1088)</f>
        <v/>
      </c>
      <c r="AF1088" s="10">
        <f>IF($A1088="","",IFERROR(INDEX('2_IMPORTAR_EJECUCION'!$F$9:$F$1208,MATCH($AN1088,'2_IMPORTAR_EJECUCION'!$J$9:$J$1208,0)),0))</f>
        <v/>
      </c>
      <c r="AG1088" s="10">
        <f>IF($A1088="","",MAX(0,IFERROR(INDEX('2_IMPORTAR_EJECUCION'!$H$9:$H$1208,MATCH($AN1088,'2_IMPORTAR_EJECUCION'!$J$9:$J$1208,0)),0)-$AF1088))</f>
        <v/>
      </c>
      <c r="AH1088" s="10">
        <f>IF($A1088="","",$AF1088+$AG1088)</f>
        <v/>
      </c>
      <c r="AI1088" s="6" t="n"/>
      <c r="AJ1088" s="6" t="n"/>
      <c r="AK1088" s="6" t="n"/>
      <c r="AL1088" s="3">
        <f>IF($AK1088="","",HYPERLINK(p_ruta_base_checklists&amp;$AK1088,"abrir"))</f>
        <v/>
      </c>
      <c r="AM1088" s="6" t="n"/>
      <c r="AN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1" t="n"/>
      <c r="K1089" s="3" t="n"/>
      <c r="L1089" s="10" t="n"/>
      <c r="M1089" s="3">
        <f>IF($A1089="","",IFERROR(INDEX('AJUSTES'!$B$4:$B$303,MATCH($AN1089,'AJUSTES'!$A$4:$A$303,0)),IF($K1089="","",$K1089)))</f>
        <v/>
      </c>
      <c r="N1089" s="3">
        <f>IF($A1089="","",IFERROR(INDEX('CAT_ESTADOS_ERP'!$B$4:$B$7,MATCH(IFERROR(INDEX('2_IMPORTAR_EJECUCION'!$C$9:$C$1208,MATCH($AN1089,'2_IMPORTAR_EJECUCION'!$J$9:$J$1208,0)),""),'CAT_ESTADOS_ERP'!$A$4:$A$7,0)),"Pendiente"))</f>
        <v/>
      </c>
      <c r="O1089" s="3">
        <f>IF($J1089="","",YEAR($J1089+4-WEEKDAY($J1089,2))&amp;"-S"&amp;TEXT(_xlfn.ISOWEEKNUM($J1089),"00"))</f>
        <v/>
      </c>
      <c r="P1089" s="3">
        <f>IF($J1089="","",YEAR($J1089))</f>
        <v/>
      </c>
      <c r="Q1089" s="3">
        <f>IF($J1089="","",MONTH($J1089))</f>
        <v/>
      </c>
      <c r="R1089" s="3">
        <f>IF($J1089="","",INDEX(lista_dias,WEEKDAY($J1089,2)))</f>
        <v/>
      </c>
      <c r="S1089" s="3">
        <f>IF($I1089="","",IFERROR(INDEX('CAT_TIPOS_OT'!$C$4:$C$7,MATCH($I1089,'CAT_TIPOS_OT'!$A$4:$A$7,0)),"sin_clasificar"))</f>
        <v/>
      </c>
      <c r="T1089" s="3">
        <f>IF($F1089="","",IFERROR(INDEX('CAT_CENTROS_COSTO'!$E$4:$E$9,MATCH($F1089,'CAT_CENTROS_COSTO'!$A$4:$A$9,0)),"(sin catálogo)"))</f>
        <v/>
      </c>
      <c r="U1089" s="3">
        <f>IF($F1089="","",IFERROR(INDEX('CAT_CENTROS_COSTO'!$D$4:$D$9,MATCH($F1089,'CAT_CENTROS_COSTO'!$A$4:$A$9,0)),"(sin catálogo)"))</f>
        <v/>
      </c>
      <c r="V1089" s="3">
        <f>IF($F1089="","",IFERROR(INDEX('CAT_CENTROS_COSTO'!$F$4:$F$9,MATCH($F1089,'CAT_CENTROS_COSTO'!$A$4:$A$9,0)),"(sin catálogo)"))</f>
        <v/>
      </c>
      <c r="W1089" s="3">
        <f>IF($G1089="","",IFERROR(INDEX('CAT_PUESTOS'!$B$4:$B$8,MATCH($G1089,'CAT_PUESTOS'!$A$4:$A$8,0)),"(sin catálogo)"))</f>
        <v/>
      </c>
      <c r="X1089" s="3">
        <f>IF($H1089="","",IFERROR(INDEX('CAT_ACTIVIDADES'!$B$4:$B$8,MATCH($H1089,'CAT_ACTIVIDADES'!$A$4:$A$8,0)),"(sin catálogo)"))</f>
        <v/>
      </c>
      <c r="Y1089" s="12">
        <f>IF($J1089="","",TODAY()-$J1089)</f>
        <v/>
      </c>
      <c r="Z1089" s="3">
        <f>IF($Y1089="","",IF($Y1089&lt;0,"FUTURO",IF($Y1089&gt;p_dias_backlog_max,"BACKLOG","MES CORRIENTE")))</f>
        <v/>
      </c>
      <c r="AA1089" s="3">
        <f>IF($Y1089="",FALSE,AND($Y1089&gt;p_dias_backlog_min,$Y1089&lt;=p_dias_backlog_max))</f>
        <v/>
      </c>
      <c r="AB1089" s="6" t="n"/>
      <c r="AC1089" s="3">
        <f>IF($AB1089="","",IFERROR(INDEX('ASIGNACIONES'!$F$4:$F$339,MATCH($O1089&amp;"|"&amp;$R1089&amp;"|"&amp;$AB1089,'ASIGNACIONES'!$I$4:$I$339,0)),""))</f>
        <v/>
      </c>
      <c r="AD1089" s="13">
        <f>IF($AB1089="","",SUMIFS('ORDENES'!$M$4:$M$1203,'ORDENES'!$AB$4:$AB$1203,$AB1089,'ORDENES'!$O$4:$O$1203,$O1089,'ORDENES'!$R$4:$R$1203,$R1089))</f>
        <v/>
      </c>
      <c r="AE1089" s="13">
        <f>IF($AD1089="","",p_factor_productividad*IFERROR(INDEX('ASIGNACIONES'!$H$4:$H$339,MATCH($O1089&amp;"|"&amp;$R1089&amp;"|"&amp;$AB1089,'ASIGNACIONES'!$I$4:$I$339,0)),0)-$AD1089)</f>
        <v/>
      </c>
      <c r="AF1089" s="10">
        <f>IF($A1089="","",IFERROR(INDEX('2_IMPORTAR_EJECUCION'!$F$9:$F$1208,MATCH($AN1089,'2_IMPORTAR_EJECUCION'!$J$9:$J$1208,0)),0))</f>
        <v/>
      </c>
      <c r="AG1089" s="10">
        <f>IF($A1089="","",MAX(0,IFERROR(INDEX('2_IMPORTAR_EJECUCION'!$H$9:$H$1208,MATCH($AN1089,'2_IMPORTAR_EJECUCION'!$J$9:$J$1208,0)),0)-$AF1089))</f>
        <v/>
      </c>
      <c r="AH1089" s="10">
        <f>IF($A1089="","",$AF1089+$AG1089)</f>
        <v/>
      </c>
      <c r="AI1089" s="6" t="n"/>
      <c r="AJ1089" s="6" t="n"/>
      <c r="AK1089" s="6" t="n"/>
      <c r="AL1089" s="3">
        <f>IF($AK1089="","",HYPERLINK(p_ruta_base_checklists&amp;$AK1089,"abrir"))</f>
        <v/>
      </c>
      <c r="AM1089" s="6" t="n"/>
      <c r="AN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1" t="n"/>
      <c r="K1090" s="3" t="n"/>
      <c r="L1090" s="10" t="n"/>
      <c r="M1090" s="3">
        <f>IF($A1090="","",IFERROR(INDEX('AJUSTES'!$B$4:$B$303,MATCH($AN1090,'AJUSTES'!$A$4:$A$303,0)),IF($K1090="","",$K1090)))</f>
        <v/>
      </c>
      <c r="N1090" s="3">
        <f>IF($A1090="","",IFERROR(INDEX('CAT_ESTADOS_ERP'!$B$4:$B$7,MATCH(IFERROR(INDEX('2_IMPORTAR_EJECUCION'!$C$9:$C$1208,MATCH($AN1090,'2_IMPORTAR_EJECUCION'!$J$9:$J$1208,0)),""),'CAT_ESTADOS_ERP'!$A$4:$A$7,0)),"Pendiente"))</f>
        <v/>
      </c>
      <c r="O1090" s="3">
        <f>IF($J1090="","",YEAR($J1090+4-WEEKDAY($J1090,2))&amp;"-S"&amp;TEXT(_xlfn.ISOWEEKNUM($J1090),"00"))</f>
        <v/>
      </c>
      <c r="P1090" s="3">
        <f>IF($J1090="","",YEAR($J1090))</f>
        <v/>
      </c>
      <c r="Q1090" s="3">
        <f>IF($J1090="","",MONTH($J1090))</f>
        <v/>
      </c>
      <c r="R1090" s="3">
        <f>IF($J1090="","",INDEX(lista_dias,WEEKDAY($J1090,2)))</f>
        <v/>
      </c>
      <c r="S1090" s="3">
        <f>IF($I1090="","",IFERROR(INDEX('CAT_TIPOS_OT'!$C$4:$C$7,MATCH($I1090,'CAT_TIPOS_OT'!$A$4:$A$7,0)),"sin_clasificar"))</f>
        <v/>
      </c>
      <c r="T1090" s="3">
        <f>IF($F1090="","",IFERROR(INDEX('CAT_CENTROS_COSTO'!$E$4:$E$9,MATCH($F1090,'CAT_CENTROS_COSTO'!$A$4:$A$9,0)),"(sin catálogo)"))</f>
        <v/>
      </c>
      <c r="U1090" s="3">
        <f>IF($F1090="","",IFERROR(INDEX('CAT_CENTROS_COSTO'!$D$4:$D$9,MATCH($F1090,'CAT_CENTROS_COSTO'!$A$4:$A$9,0)),"(sin catálogo)"))</f>
        <v/>
      </c>
      <c r="V1090" s="3">
        <f>IF($F1090="","",IFERROR(INDEX('CAT_CENTROS_COSTO'!$F$4:$F$9,MATCH($F1090,'CAT_CENTROS_COSTO'!$A$4:$A$9,0)),"(sin catálogo)"))</f>
        <v/>
      </c>
      <c r="W1090" s="3">
        <f>IF($G1090="","",IFERROR(INDEX('CAT_PUESTOS'!$B$4:$B$8,MATCH($G1090,'CAT_PUESTOS'!$A$4:$A$8,0)),"(sin catálogo)"))</f>
        <v/>
      </c>
      <c r="X1090" s="3">
        <f>IF($H1090="","",IFERROR(INDEX('CAT_ACTIVIDADES'!$B$4:$B$8,MATCH($H1090,'CAT_ACTIVIDADES'!$A$4:$A$8,0)),"(sin catálogo)"))</f>
        <v/>
      </c>
      <c r="Y1090" s="12">
        <f>IF($J1090="","",TODAY()-$J1090)</f>
        <v/>
      </c>
      <c r="Z1090" s="3">
        <f>IF($Y1090="","",IF($Y1090&lt;0,"FUTURO",IF($Y1090&gt;p_dias_backlog_max,"BACKLOG","MES CORRIENTE")))</f>
        <v/>
      </c>
      <c r="AA1090" s="3">
        <f>IF($Y1090="",FALSE,AND($Y1090&gt;p_dias_backlog_min,$Y1090&lt;=p_dias_backlog_max))</f>
        <v/>
      </c>
      <c r="AB1090" s="6" t="n"/>
      <c r="AC1090" s="3">
        <f>IF($AB1090="","",IFERROR(INDEX('ASIGNACIONES'!$F$4:$F$339,MATCH($O1090&amp;"|"&amp;$R1090&amp;"|"&amp;$AB1090,'ASIGNACIONES'!$I$4:$I$339,0)),""))</f>
        <v/>
      </c>
      <c r="AD1090" s="13">
        <f>IF($AB1090="","",SUMIFS('ORDENES'!$M$4:$M$1203,'ORDENES'!$AB$4:$AB$1203,$AB1090,'ORDENES'!$O$4:$O$1203,$O1090,'ORDENES'!$R$4:$R$1203,$R1090))</f>
        <v/>
      </c>
      <c r="AE1090" s="13">
        <f>IF($AD1090="","",p_factor_productividad*IFERROR(INDEX('ASIGNACIONES'!$H$4:$H$339,MATCH($O1090&amp;"|"&amp;$R1090&amp;"|"&amp;$AB1090,'ASIGNACIONES'!$I$4:$I$339,0)),0)-$AD1090)</f>
        <v/>
      </c>
      <c r="AF1090" s="10">
        <f>IF($A1090="","",IFERROR(INDEX('2_IMPORTAR_EJECUCION'!$F$9:$F$1208,MATCH($AN1090,'2_IMPORTAR_EJECUCION'!$J$9:$J$1208,0)),0))</f>
        <v/>
      </c>
      <c r="AG1090" s="10">
        <f>IF($A1090="","",MAX(0,IFERROR(INDEX('2_IMPORTAR_EJECUCION'!$H$9:$H$1208,MATCH($AN1090,'2_IMPORTAR_EJECUCION'!$J$9:$J$1208,0)),0)-$AF1090))</f>
        <v/>
      </c>
      <c r="AH1090" s="10">
        <f>IF($A1090="","",$AF1090+$AG1090)</f>
        <v/>
      </c>
      <c r="AI1090" s="6" t="n"/>
      <c r="AJ1090" s="6" t="n"/>
      <c r="AK1090" s="6" t="n"/>
      <c r="AL1090" s="3">
        <f>IF($AK1090="","",HYPERLINK(p_ruta_base_checklists&amp;$AK1090,"abrir"))</f>
        <v/>
      </c>
      <c r="AM1090" s="6" t="n"/>
      <c r="AN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1" t="n"/>
      <c r="K1091" s="3" t="n"/>
      <c r="L1091" s="10" t="n"/>
      <c r="M1091" s="3">
        <f>IF($A1091="","",IFERROR(INDEX('AJUSTES'!$B$4:$B$303,MATCH($AN1091,'AJUSTES'!$A$4:$A$303,0)),IF($K1091="","",$K1091)))</f>
        <v/>
      </c>
      <c r="N1091" s="3">
        <f>IF($A1091="","",IFERROR(INDEX('CAT_ESTADOS_ERP'!$B$4:$B$7,MATCH(IFERROR(INDEX('2_IMPORTAR_EJECUCION'!$C$9:$C$1208,MATCH($AN1091,'2_IMPORTAR_EJECUCION'!$J$9:$J$1208,0)),""),'CAT_ESTADOS_ERP'!$A$4:$A$7,0)),"Pendiente"))</f>
        <v/>
      </c>
      <c r="O1091" s="3">
        <f>IF($J1091="","",YEAR($J1091+4-WEEKDAY($J1091,2))&amp;"-S"&amp;TEXT(_xlfn.ISOWEEKNUM($J1091),"00"))</f>
        <v/>
      </c>
      <c r="P1091" s="3">
        <f>IF($J1091="","",YEAR($J1091))</f>
        <v/>
      </c>
      <c r="Q1091" s="3">
        <f>IF($J1091="","",MONTH($J1091))</f>
        <v/>
      </c>
      <c r="R1091" s="3">
        <f>IF($J1091="","",INDEX(lista_dias,WEEKDAY($J1091,2)))</f>
        <v/>
      </c>
      <c r="S1091" s="3">
        <f>IF($I1091="","",IFERROR(INDEX('CAT_TIPOS_OT'!$C$4:$C$7,MATCH($I1091,'CAT_TIPOS_OT'!$A$4:$A$7,0)),"sin_clasificar"))</f>
        <v/>
      </c>
      <c r="T1091" s="3">
        <f>IF($F1091="","",IFERROR(INDEX('CAT_CENTROS_COSTO'!$E$4:$E$9,MATCH($F1091,'CAT_CENTROS_COSTO'!$A$4:$A$9,0)),"(sin catálogo)"))</f>
        <v/>
      </c>
      <c r="U1091" s="3">
        <f>IF($F1091="","",IFERROR(INDEX('CAT_CENTROS_COSTO'!$D$4:$D$9,MATCH($F1091,'CAT_CENTROS_COSTO'!$A$4:$A$9,0)),"(sin catálogo)"))</f>
        <v/>
      </c>
      <c r="V1091" s="3">
        <f>IF($F1091="","",IFERROR(INDEX('CAT_CENTROS_COSTO'!$F$4:$F$9,MATCH($F1091,'CAT_CENTROS_COSTO'!$A$4:$A$9,0)),"(sin catálogo)"))</f>
        <v/>
      </c>
      <c r="W1091" s="3">
        <f>IF($G1091="","",IFERROR(INDEX('CAT_PUESTOS'!$B$4:$B$8,MATCH($G1091,'CAT_PUESTOS'!$A$4:$A$8,0)),"(sin catálogo)"))</f>
        <v/>
      </c>
      <c r="X1091" s="3">
        <f>IF($H1091="","",IFERROR(INDEX('CAT_ACTIVIDADES'!$B$4:$B$8,MATCH($H1091,'CAT_ACTIVIDADES'!$A$4:$A$8,0)),"(sin catálogo)"))</f>
        <v/>
      </c>
      <c r="Y1091" s="12">
        <f>IF($J1091="","",TODAY()-$J1091)</f>
        <v/>
      </c>
      <c r="Z1091" s="3">
        <f>IF($Y1091="","",IF($Y1091&lt;0,"FUTURO",IF($Y1091&gt;p_dias_backlog_max,"BACKLOG","MES CORRIENTE")))</f>
        <v/>
      </c>
      <c r="AA1091" s="3">
        <f>IF($Y1091="",FALSE,AND($Y1091&gt;p_dias_backlog_min,$Y1091&lt;=p_dias_backlog_max))</f>
        <v/>
      </c>
      <c r="AB1091" s="6" t="n"/>
      <c r="AC1091" s="3">
        <f>IF($AB1091="","",IFERROR(INDEX('ASIGNACIONES'!$F$4:$F$339,MATCH($O1091&amp;"|"&amp;$R1091&amp;"|"&amp;$AB1091,'ASIGNACIONES'!$I$4:$I$339,0)),""))</f>
        <v/>
      </c>
      <c r="AD1091" s="13">
        <f>IF($AB1091="","",SUMIFS('ORDENES'!$M$4:$M$1203,'ORDENES'!$AB$4:$AB$1203,$AB1091,'ORDENES'!$O$4:$O$1203,$O1091,'ORDENES'!$R$4:$R$1203,$R1091))</f>
        <v/>
      </c>
      <c r="AE1091" s="13">
        <f>IF($AD1091="","",p_factor_productividad*IFERROR(INDEX('ASIGNACIONES'!$H$4:$H$339,MATCH($O1091&amp;"|"&amp;$R1091&amp;"|"&amp;$AB1091,'ASIGNACIONES'!$I$4:$I$339,0)),0)-$AD1091)</f>
        <v/>
      </c>
      <c r="AF1091" s="10">
        <f>IF($A1091="","",IFERROR(INDEX('2_IMPORTAR_EJECUCION'!$F$9:$F$1208,MATCH($AN1091,'2_IMPORTAR_EJECUCION'!$J$9:$J$1208,0)),0))</f>
        <v/>
      </c>
      <c r="AG1091" s="10">
        <f>IF($A1091="","",MAX(0,IFERROR(INDEX('2_IMPORTAR_EJECUCION'!$H$9:$H$1208,MATCH($AN1091,'2_IMPORTAR_EJECUCION'!$J$9:$J$1208,0)),0)-$AF1091))</f>
        <v/>
      </c>
      <c r="AH1091" s="10">
        <f>IF($A1091="","",$AF1091+$AG1091)</f>
        <v/>
      </c>
      <c r="AI1091" s="6" t="n"/>
      <c r="AJ1091" s="6" t="n"/>
      <c r="AK1091" s="6" t="n"/>
      <c r="AL1091" s="3">
        <f>IF($AK1091="","",HYPERLINK(p_ruta_base_checklists&amp;$AK1091,"abrir"))</f>
        <v/>
      </c>
      <c r="AM1091" s="6" t="n"/>
      <c r="AN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1" t="n"/>
      <c r="K1092" s="3" t="n"/>
      <c r="L1092" s="10" t="n"/>
      <c r="M1092" s="3">
        <f>IF($A1092="","",IFERROR(INDEX('AJUSTES'!$B$4:$B$303,MATCH($AN1092,'AJUSTES'!$A$4:$A$303,0)),IF($K1092="","",$K1092)))</f>
        <v/>
      </c>
      <c r="N1092" s="3">
        <f>IF($A1092="","",IFERROR(INDEX('CAT_ESTADOS_ERP'!$B$4:$B$7,MATCH(IFERROR(INDEX('2_IMPORTAR_EJECUCION'!$C$9:$C$1208,MATCH($AN1092,'2_IMPORTAR_EJECUCION'!$J$9:$J$1208,0)),""),'CAT_ESTADOS_ERP'!$A$4:$A$7,0)),"Pendiente"))</f>
        <v/>
      </c>
      <c r="O1092" s="3">
        <f>IF($J1092="","",YEAR($J1092+4-WEEKDAY($J1092,2))&amp;"-S"&amp;TEXT(_xlfn.ISOWEEKNUM($J1092),"00"))</f>
        <v/>
      </c>
      <c r="P1092" s="3">
        <f>IF($J1092="","",YEAR($J1092))</f>
        <v/>
      </c>
      <c r="Q1092" s="3">
        <f>IF($J1092="","",MONTH($J1092))</f>
        <v/>
      </c>
      <c r="R1092" s="3">
        <f>IF($J1092="","",INDEX(lista_dias,WEEKDAY($J1092,2)))</f>
        <v/>
      </c>
      <c r="S1092" s="3">
        <f>IF($I1092="","",IFERROR(INDEX('CAT_TIPOS_OT'!$C$4:$C$7,MATCH($I1092,'CAT_TIPOS_OT'!$A$4:$A$7,0)),"sin_clasificar"))</f>
        <v/>
      </c>
      <c r="T1092" s="3">
        <f>IF($F1092="","",IFERROR(INDEX('CAT_CENTROS_COSTO'!$E$4:$E$9,MATCH($F1092,'CAT_CENTROS_COSTO'!$A$4:$A$9,0)),"(sin catálogo)"))</f>
        <v/>
      </c>
      <c r="U1092" s="3">
        <f>IF($F1092="","",IFERROR(INDEX('CAT_CENTROS_COSTO'!$D$4:$D$9,MATCH($F1092,'CAT_CENTROS_COSTO'!$A$4:$A$9,0)),"(sin catálogo)"))</f>
        <v/>
      </c>
      <c r="V1092" s="3">
        <f>IF($F1092="","",IFERROR(INDEX('CAT_CENTROS_COSTO'!$F$4:$F$9,MATCH($F1092,'CAT_CENTROS_COSTO'!$A$4:$A$9,0)),"(sin catálogo)"))</f>
        <v/>
      </c>
      <c r="W1092" s="3">
        <f>IF($G1092="","",IFERROR(INDEX('CAT_PUESTOS'!$B$4:$B$8,MATCH($G1092,'CAT_PUESTOS'!$A$4:$A$8,0)),"(sin catálogo)"))</f>
        <v/>
      </c>
      <c r="X1092" s="3">
        <f>IF($H1092="","",IFERROR(INDEX('CAT_ACTIVIDADES'!$B$4:$B$8,MATCH($H1092,'CAT_ACTIVIDADES'!$A$4:$A$8,0)),"(sin catálogo)"))</f>
        <v/>
      </c>
      <c r="Y1092" s="12">
        <f>IF($J1092="","",TODAY()-$J1092)</f>
        <v/>
      </c>
      <c r="Z1092" s="3">
        <f>IF($Y1092="","",IF($Y1092&lt;0,"FUTURO",IF($Y1092&gt;p_dias_backlog_max,"BACKLOG","MES CORRIENTE")))</f>
        <v/>
      </c>
      <c r="AA1092" s="3">
        <f>IF($Y1092="",FALSE,AND($Y1092&gt;p_dias_backlog_min,$Y1092&lt;=p_dias_backlog_max))</f>
        <v/>
      </c>
      <c r="AB1092" s="6" t="n"/>
      <c r="AC1092" s="3">
        <f>IF($AB1092="","",IFERROR(INDEX('ASIGNACIONES'!$F$4:$F$339,MATCH($O1092&amp;"|"&amp;$R1092&amp;"|"&amp;$AB1092,'ASIGNACIONES'!$I$4:$I$339,0)),""))</f>
        <v/>
      </c>
      <c r="AD1092" s="13">
        <f>IF($AB1092="","",SUMIFS('ORDENES'!$M$4:$M$1203,'ORDENES'!$AB$4:$AB$1203,$AB1092,'ORDENES'!$O$4:$O$1203,$O1092,'ORDENES'!$R$4:$R$1203,$R1092))</f>
        <v/>
      </c>
      <c r="AE1092" s="13">
        <f>IF($AD1092="","",p_factor_productividad*IFERROR(INDEX('ASIGNACIONES'!$H$4:$H$339,MATCH($O1092&amp;"|"&amp;$R1092&amp;"|"&amp;$AB1092,'ASIGNACIONES'!$I$4:$I$339,0)),0)-$AD1092)</f>
        <v/>
      </c>
      <c r="AF1092" s="10">
        <f>IF($A1092="","",IFERROR(INDEX('2_IMPORTAR_EJECUCION'!$F$9:$F$1208,MATCH($AN1092,'2_IMPORTAR_EJECUCION'!$J$9:$J$1208,0)),0))</f>
        <v/>
      </c>
      <c r="AG1092" s="10">
        <f>IF($A1092="","",MAX(0,IFERROR(INDEX('2_IMPORTAR_EJECUCION'!$H$9:$H$1208,MATCH($AN1092,'2_IMPORTAR_EJECUCION'!$J$9:$J$1208,0)),0)-$AF1092))</f>
        <v/>
      </c>
      <c r="AH1092" s="10">
        <f>IF($A1092="","",$AF1092+$AG1092)</f>
        <v/>
      </c>
      <c r="AI1092" s="6" t="n"/>
      <c r="AJ1092" s="6" t="n"/>
      <c r="AK1092" s="6" t="n"/>
      <c r="AL1092" s="3">
        <f>IF($AK1092="","",HYPERLINK(p_ruta_base_checklists&amp;$AK1092,"abrir"))</f>
        <v/>
      </c>
      <c r="AM1092" s="6" t="n"/>
      <c r="AN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1" t="n"/>
      <c r="K1093" s="3" t="n"/>
      <c r="L1093" s="10" t="n"/>
      <c r="M1093" s="3">
        <f>IF($A1093="","",IFERROR(INDEX('AJUSTES'!$B$4:$B$303,MATCH($AN1093,'AJUSTES'!$A$4:$A$303,0)),IF($K1093="","",$K1093)))</f>
        <v/>
      </c>
      <c r="N1093" s="3">
        <f>IF($A1093="","",IFERROR(INDEX('CAT_ESTADOS_ERP'!$B$4:$B$7,MATCH(IFERROR(INDEX('2_IMPORTAR_EJECUCION'!$C$9:$C$1208,MATCH($AN1093,'2_IMPORTAR_EJECUCION'!$J$9:$J$1208,0)),""),'CAT_ESTADOS_ERP'!$A$4:$A$7,0)),"Pendiente"))</f>
        <v/>
      </c>
      <c r="O1093" s="3">
        <f>IF($J1093="","",YEAR($J1093+4-WEEKDAY($J1093,2))&amp;"-S"&amp;TEXT(_xlfn.ISOWEEKNUM($J1093),"00"))</f>
        <v/>
      </c>
      <c r="P1093" s="3">
        <f>IF($J1093="","",YEAR($J1093))</f>
        <v/>
      </c>
      <c r="Q1093" s="3">
        <f>IF($J1093="","",MONTH($J1093))</f>
        <v/>
      </c>
      <c r="R1093" s="3">
        <f>IF($J1093="","",INDEX(lista_dias,WEEKDAY($J1093,2)))</f>
        <v/>
      </c>
      <c r="S1093" s="3">
        <f>IF($I1093="","",IFERROR(INDEX('CAT_TIPOS_OT'!$C$4:$C$7,MATCH($I1093,'CAT_TIPOS_OT'!$A$4:$A$7,0)),"sin_clasificar"))</f>
        <v/>
      </c>
      <c r="T1093" s="3">
        <f>IF($F1093="","",IFERROR(INDEX('CAT_CENTROS_COSTO'!$E$4:$E$9,MATCH($F1093,'CAT_CENTROS_COSTO'!$A$4:$A$9,0)),"(sin catálogo)"))</f>
        <v/>
      </c>
      <c r="U1093" s="3">
        <f>IF($F1093="","",IFERROR(INDEX('CAT_CENTROS_COSTO'!$D$4:$D$9,MATCH($F1093,'CAT_CENTROS_COSTO'!$A$4:$A$9,0)),"(sin catálogo)"))</f>
        <v/>
      </c>
      <c r="V1093" s="3">
        <f>IF($F1093="","",IFERROR(INDEX('CAT_CENTROS_COSTO'!$F$4:$F$9,MATCH($F1093,'CAT_CENTROS_COSTO'!$A$4:$A$9,0)),"(sin catálogo)"))</f>
        <v/>
      </c>
      <c r="W1093" s="3">
        <f>IF($G1093="","",IFERROR(INDEX('CAT_PUESTOS'!$B$4:$B$8,MATCH($G1093,'CAT_PUESTOS'!$A$4:$A$8,0)),"(sin catálogo)"))</f>
        <v/>
      </c>
      <c r="X1093" s="3">
        <f>IF($H1093="","",IFERROR(INDEX('CAT_ACTIVIDADES'!$B$4:$B$8,MATCH($H1093,'CAT_ACTIVIDADES'!$A$4:$A$8,0)),"(sin catálogo)"))</f>
        <v/>
      </c>
      <c r="Y1093" s="12">
        <f>IF($J1093="","",TODAY()-$J1093)</f>
        <v/>
      </c>
      <c r="Z1093" s="3">
        <f>IF($Y1093="","",IF($Y1093&lt;0,"FUTURO",IF($Y1093&gt;p_dias_backlog_max,"BACKLOG","MES CORRIENTE")))</f>
        <v/>
      </c>
      <c r="AA1093" s="3">
        <f>IF($Y1093="",FALSE,AND($Y1093&gt;p_dias_backlog_min,$Y1093&lt;=p_dias_backlog_max))</f>
        <v/>
      </c>
      <c r="AB1093" s="6" t="n"/>
      <c r="AC1093" s="3">
        <f>IF($AB1093="","",IFERROR(INDEX('ASIGNACIONES'!$F$4:$F$339,MATCH($O1093&amp;"|"&amp;$R1093&amp;"|"&amp;$AB1093,'ASIGNACIONES'!$I$4:$I$339,0)),""))</f>
        <v/>
      </c>
      <c r="AD1093" s="13">
        <f>IF($AB1093="","",SUMIFS('ORDENES'!$M$4:$M$1203,'ORDENES'!$AB$4:$AB$1203,$AB1093,'ORDENES'!$O$4:$O$1203,$O1093,'ORDENES'!$R$4:$R$1203,$R1093))</f>
        <v/>
      </c>
      <c r="AE1093" s="13">
        <f>IF($AD1093="","",p_factor_productividad*IFERROR(INDEX('ASIGNACIONES'!$H$4:$H$339,MATCH($O1093&amp;"|"&amp;$R1093&amp;"|"&amp;$AB1093,'ASIGNACIONES'!$I$4:$I$339,0)),0)-$AD1093)</f>
        <v/>
      </c>
      <c r="AF1093" s="10">
        <f>IF($A1093="","",IFERROR(INDEX('2_IMPORTAR_EJECUCION'!$F$9:$F$1208,MATCH($AN1093,'2_IMPORTAR_EJECUCION'!$J$9:$J$1208,0)),0))</f>
        <v/>
      </c>
      <c r="AG1093" s="10">
        <f>IF($A1093="","",MAX(0,IFERROR(INDEX('2_IMPORTAR_EJECUCION'!$H$9:$H$1208,MATCH($AN1093,'2_IMPORTAR_EJECUCION'!$J$9:$J$1208,0)),0)-$AF1093))</f>
        <v/>
      </c>
      <c r="AH1093" s="10">
        <f>IF($A1093="","",$AF1093+$AG1093)</f>
        <v/>
      </c>
      <c r="AI1093" s="6" t="n"/>
      <c r="AJ1093" s="6" t="n"/>
      <c r="AK1093" s="6" t="n"/>
      <c r="AL1093" s="3">
        <f>IF($AK1093="","",HYPERLINK(p_ruta_base_checklists&amp;$AK1093,"abrir"))</f>
        <v/>
      </c>
      <c r="AM1093" s="6" t="n"/>
      <c r="AN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1" t="n"/>
      <c r="K1094" s="3" t="n"/>
      <c r="L1094" s="10" t="n"/>
      <c r="M1094" s="3">
        <f>IF($A1094="","",IFERROR(INDEX('AJUSTES'!$B$4:$B$303,MATCH($AN1094,'AJUSTES'!$A$4:$A$303,0)),IF($K1094="","",$K1094)))</f>
        <v/>
      </c>
      <c r="N1094" s="3">
        <f>IF($A1094="","",IFERROR(INDEX('CAT_ESTADOS_ERP'!$B$4:$B$7,MATCH(IFERROR(INDEX('2_IMPORTAR_EJECUCION'!$C$9:$C$1208,MATCH($AN1094,'2_IMPORTAR_EJECUCION'!$J$9:$J$1208,0)),""),'CAT_ESTADOS_ERP'!$A$4:$A$7,0)),"Pendiente"))</f>
        <v/>
      </c>
      <c r="O1094" s="3">
        <f>IF($J1094="","",YEAR($J1094+4-WEEKDAY($J1094,2))&amp;"-S"&amp;TEXT(_xlfn.ISOWEEKNUM($J1094),"00"))</f>
        <v/>
      </c>
      <c r="P1094" s="3">
        <f>IF($J1094="","",YEAR($J1094))</f>
        <v/>
      </c>
      <c r="Q1094" s="3">
        <f>IF($J1094="","",MONTH($J1094))</f>
        <v/>
      </c>
      <c r="R1094" s="3">
        <f>IF($J1094="","",INDEX(lista_dias,WEEKDAY($J1094,2)))</f>
        <v/>
      </c>
      <c r="S1094" s="3">
        <f>IF($I1094="","",IFERROR(INDEX('CAT_TIPOS_OT'!$C$4:$C$7,MATCH($I1094,'CAT_TIPOS_OT'!$A$4:$A$7,0)),"sin_clasificar"))</f>
        <v/>
      </c>
      <c r="T1094" s="3">
        <f>IF($F1094="","",IFERROR(INDEX('CAT_CENTROS_COSTO'!$E$4:$E$9,MATCH($F1094,'CAT_CENTROS_COSTO'!$A$4:$A$9,0)),"(sin catálogo)"))</f>
        <v/>
      </c>
      <c r="U1094" s="3">
        <f>IF($F1094="","",IFERROR(INDEX('CAT_CENTROS_COSTO'!$D$4:$D$9,MATCH($F1094,'CAT_CENTROS_COSTO'!$A$4:$A$9,0)),"(sin catálogo)"))</f>
        <v/>
      </c>
      <c r="V1094" s="3">
        <f>IF($F1094="","",IFERROR(INDEX('CAT_CENTROS_COSTO'!$F$4:$F$9,MATCH($F1094,'CAT_CENTROS_COSTO'!$A$4:$A$9,0)),"(sin catálogo)"))</f>
        <v/>
      </c>
      <c r="W1094" s="3">
        <f>IF($G1094="","",IFERROR(INDEX('CAT_PUESTOS'!$B$4:$B$8,MATCH($G1094,'CAT_PUESTOS'!$A$4:$A$8,0)),"(sin catálogo)"))</f>
        <v/>
      </c>
      <c r="X1094" s="3">
        <f>IF($H1094="","",IFERROR(INDEX('CAT_ACTIVIDADES'!$B$4:$B$8,MATCH($H1094,'CAT_ACTIVIDADES'!$A$4:$A$8,0)),"(sin catálogo)"))</f>
        <v/>
      </c>
      <c r="Y1094" s="12">
        <f>IF($J1094="","",TODAY()-$J1094)</f>
        <v/>
      </c>
      <c r="Z1094" s="3">
        <f>IF($Y1094="","",IF($Y1094&lt;0,"FUTURO",IF($Y1094&gt;p_dias_backlog_max,"BACKLOG","MES CORRIENTE")))</f>
        <v/>
      </c>
      <c r="AA1094" s="3">
        <f>IF($Y1094="",FALSE,AND($Y1094&gt;p_dias_backlog_min,$Y1094&lt;=p_dias_backlog_max))</f>
        <v/>
      </c>
      <c r="AB1094" s="6" t="n"/>
      <c r="AC1094" s="3">
        <f>IF($AB1094="","",IFERROR(INDEX('ASIGNACIONES'!$F$4:$F$339,MATCH($O1094&amp;"|"&amp;$R1094&amp;"|"&amp;$AB1094,'ASIGNACIONES'!$I$4:$I$339,0)),""))</f>
        <v/>
      </c>
      <c r="AD1094" s="13">
        <f>IF($AB1094="","",SUMIFS('ORDENES'!$M$4:$M$1203,'ORDENES'!$AB$4:$AB$1203,$AB1094,'ORDENES'!$O$4:$O$1203,$O1094,'ORDENES'!$R$4:$R$1203,$R1094))</f>
        <v/>
      </c>
      <c r="AE1094" s="13">
        <f>IF($AD1094="","",p_factor_productividad*IFERROR(INDEX('ASIGNACIONES'!$H$4:$H$339,MATCH($O1094&amp;"|"&amp;$R1094&amp;"|"&amp;$AB1094,'ASIGNACIONES'!$I$4:$I$339,0)),0)-$AD1094)</f>
        <v/>
      </c>
      <c r="AF1094" s="10">
        <f>IF($A1094="","",IFERROR(INDEX('2_IMPORTAR_EJECUCION'!$F$9:$F$1208,MATCH($AN1094,'2_IMPORTAR_EJECUCION'!$J$9:$J$1208,0)),0))</f>
        <v/>
      </c>
      <c r="AG1094" s="10">
        <f>IF($A1094="","",MAX(0,IFERROR(INDEX('2_IMPORTAR_EJECUCION'!$H$9:$H$1208,MATCH($AN1094,'2_IMPORTAR_EJECUCION'!$J$9:$J$1208,0)),0)-$AF1094))</f>
        <v/>
      </c>
      <c r="AH1094" s="10">
        <f>IF($A1094="","",$AF1094+$AG1094)</f>
        <v/>
      </c>
      <c r="AI1094" s="6" t="n"/>
      <c r="AJ1094" s="6" t="n"/>
      <c r="AK1094" s="6" t="n"/>
      <c r="AL1094" s="3">
        <f>IF($AK1094="","",HYPERLINK(p_ruta_base_checklists&amp;$AK1094,"abrir"))</f>
        <v/>
      </c>
      <c r="AM1094" s="6" t="n"/>
      <c r="AN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1" t="n"/>
      <c r="K1095" s="3" t="n"/>
      <c r="L1095" s="10" t="n"/>
      <c r="M1095" s="3">
        <f>IF($A1095="","",IFERROR(INDEX('AJUSTES'!$B$4:$B$303,MATCH($AN1095,'AJUSTES'!$A$4:$A$303,0)),IF($K1095="","",$K1095)))</f>
        <v/>
      </c>
      <c r="N1095" s="3">
        <f>IF($A1095="","",IFERROR(INDEX('CAT_ESTADOS_ERP'!$B$4:$B$7,MATCH(IFERROR(INDEX('2_IMPORTAR_EJECUCION'!$C$9:$C$1208,MATCH($AN1095,'2_IMPORTAR_EJECUCION'!$J$9:$J$1208,0)),""),'CAT_ESTADOS_ERP'!$A$4:$A$7,0)),"Pendiente"))</f>
        <v/>
      </c>
      <c r="O1095" s="3">
        <f>IF($J1095="","",YEAR($J1095+4-WEEKDAY($J1095,2))&amp;"-S"&amp;TEXT(_xlfn.ISOWEEKNUM($J1095),"00"))</f>
        <v/>
      </c>
      <c r="P1095" s="3">
        <f>IF($J1095="","",YEAR($J1095))</f>
        <v/>
      </c>
      <c r="Q1095" s="3">
        <f>IF($J1095="","",MONTH($J1095))</f>
        <v/>
      </c>
      <c r="R1095" s="3">
        <f>IF($J1095="","",INDEX(lista_dias,WEEKDAY($J1095,2)))</f>
        <v/>
      </c>
      <c r="S1095" s="3">
        <f>IF($I1095="","",IFERROR(INDEX('CAT_TIPOS_OT'!$C$4:$C$7,MATCH($I1095,'CAT_TIPOS_OT'!$A$4:$A$7,0)),"sin_clasificar"))</f>
        <v/>
      </c>
      <c r="T1095" s="3">
        <f>IF($F1095="","",IFERROR(INDEX('CAT_CENTROS_COSTO'!$E$4:$E$9,MATCH($F1095,'CAT_CENTROS_COSTO'!$A$4:$A$9,0)),"(sin catálogo)"))</f>
        <v/>
      </c>
      <c r="U1095" s="3">
        <f>IF($F1095="","",IFERROR(INDEX('CAT_CENTROS_COSTO'!$D$4:$D$9,MATCH($F1095,'CAT_CENTROS_COSTO'!$A$4:$A$9,0)),"(sin catálogo)"))</f>
        <v/>
      </c>
      <c r="V1095" s="3">
        <f>IF($F1095="","",IFERROR(INDEX('CAT_CENTROS_COSTO'!$F$4:$F$9,MATCH($F1095,'CAT_CENTROS_COSTO'!$A$4:$A$9,0)),"(sin catálogo)"))</f>
        <v/>
      </c>
      <c r="W1095" s="3">
        <f>IF($G1095="","",IFERROR(INDEX('CAT_PUESTOS'!$B$4:$B$8,MATCH($G1095,'CAT_PUESTOS'!$A$4:$A$8,0)),"(sin catálogo)"))</f>
        <v/>
      </c>
      <c r="X1095" s="3">
        <f>IF($H1095="","",IFERROR(INDEX('CAT_ACTIVIDADES'!$B$4:$B$8,MATCH($H1095,'CAT_ACTIVIDADES'!$A$4:$A$8,0)),"(sin catálogo)"))</f>
        <v/>
      </c>
      <c r="Y1095" s="12">
        <f>IF($J1095="","",TODAY()-$J1095)</f>
        <v/>
      </c>
      <c r="Z1095" s="3">
        <f>IF($Y1095="","",IF($Y1095&lt;0,"FUTURO",IF($Y1095&gt;p_dias_backlog_max,"BACKLOG","MES CORRIENTE")))</f>
        <v/>
      </c>
      <c r="AA1095" s="3">
        <f>IF($Y1095="",FALSE,AND($Y1095&gt;p_dias_backlog_min,$Y1095&lt;=p_dias_backlog_max))</f>
        <v/>
      </c>
      <c r="AB1095" s="6" t="n"/>
      <c r="AC1095" s="3">
        <f>IF($AB1095="","",IFERROR(INDEX('ASIGNACIONES'!$F$4:$F$339,MATCH($O1095&amp;"|"&amp;$R1095&amp;"|"&amp;$AB1095,'ASIGNACIONES'!$I$4:$I$339,0)),""))</f>
        <v/>
      </c>
      <c r="AD1095" s="13">
        <f>IF($AB1095="","",SUMIFS('ORDENES'!$M$4:$M$1203,'ORDENES'!$AB$4:$AB$1203,$AB1095,'ORDENES'!$O$4:$O$1203,$O1095,'ORDENES'!$R$4:$R$1203,$R1095))</f>
        <v/>
      </c>
      <c r="AE1095" s="13">
        <f>IF($AD1095="","",p_factor_productividad*IFERROR(INDEX('ASIGNACIONES'!$H$4:$H$339,MATCH($O1095&amp;"|"&amp;$R1095&amp;"|"&amp;$AB1095,'ASIGNACIONES'!$I$4:$I$339,0)),0)-$AD1095)</f>
        <v/>
      </c>
      <c r="AF1095" s="10">
        <f>IF($A1095="","",IFERROR(INDEX('2_IMPORTAR_EJECUCION'!$F$9:$F$1208,MATCH($AN1095,'2_IMPORTAR_EJECUCION'!$J$9:$J$1208,0)),0))</f>
        <v/>
      </c>
      <c r="AG1095" s="10">
        <f>IF($A1095="","",MAX(0,IFERROR(INDEX('2_IMPORTAR_EJECUCION'!$H$9:$H$1208,MATCH($AN1095,'2_IMPORTAR_EJECUCION'!$J$9:$J$1208,0)),0)-$AF1095))</f>
        <v/>
      </c>
      <c r="AH1095" s="10">
        <f>IF($A1095="","",$AF1095+$AG1095)</f>
        <v/>
      </c>
      <c r="AI1095" s="6" t="n"/>
      <c r="AJ1095" s="6" t="n"/>
      <c r="AK1095" s="6" t="n"/>
      <c r="AL1095" s="3">
        <f>IF($AK1095="","",HYPERLINK(p_ruta_base_checklists&amp;$AK1095,"abrir"))</f>
        <v/>
      </c>
      <c r="AM1095" s="6" t="n"/>
      <c r="AN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1" t="n"/>
      <c r="K1096" s="3" t="n"/>
      <c r="L1096" s="10" t="n"/>
      <c r="M1096" s="3">
        <f>IF($A1096="","",IFERROR(INDEX('AJUSTES'!$B$4:$B$303,MATCH($AN1096,'AJUSTES'!$A$4:$A$303,0)),IF($K1096="","",$K1096)))</f>
        <v/>
      </c>
      <c r="N1096" s="3">
        <f>IF($A1096="","",IFERROR(INDEX('CAT_ESTADOS_ERP'!$B$4:$B$7,MATCH(IFERROR(INDEX('2_IMPORTAR_EJECUCION'!$C$9:$C$1208,MATCH($AN1096,'2_IMPORTAR_EJECUCION'!$J$9:$J$1208,0)),""),'CAT_ESTADOS_ERP'!$A$4:$A$7,0)),"Pendiente"))</f>
        <v/>
      </c>
      <c r="O1096" s="3">
        <f>IF($J1096="","",YEAR($J1096+4-WEEKDAY($J1096,2))&amp;"-S"&amp;TEXT(_xlfn.ISOWEEKNUM($J1096),"00"))</f>
        <v/>
      </c>
      <c r="P1096" s="3">
        <f>IF($J1096="","",YEAR($J1096))</f>
        <v/>
      </c>
      <c r="Q1096" s="3">
        <f>IF($J1096="","",MONTH($J1096))</f>
        <v/>
      </c>
      <c r="R1096" s="3">
        <f>IF($J1096="","",INDEX(lista_dias,WEEKDAY($J1096,2)))</f>
        <v/>
      </c>
      <c r="S1096" s="3">
        <f>IF($I1096="","",IFERROR(INDEX('CAT_TIPOS_OT'!$C$4:$C$7,MATCH($I1096,'CAT_TIPOS_OT'!$A$4:$A$7,0)),"sin_clasificar"))</f>
        <v/>
      </c>
      <c r="T1096" s="3">
        <f>IF($F1096="","",IFERROR(INDEX('CAT_CENTROS_COSTO'!$E$4:$E$9,MATCH($F1096,'CAT_CENTROS_COSTO'!$A$4:$A$9,0)),"(sin catálogo)"))</f>
        <v/>
      </c>
      <c r="U1096" s="3">
        <f>IF($F1096="","",IFERROR(INDEX('CAT_CENTROS_COSTO'!$D$4:$D$9,MATCH($F1096,'CAT_CENTROS_COSTO'!$A$4:$A$9,0)),"(sin catálogo)"))</f>
        <v/>
      </c>
      <c r="V1096" s="3">
        <f>IF($F1096="","",IFERROR(INDEX('CAT_CENTROS_COSTO'!$F$4:$F$9,MATCH($F1096,'CAT_CENTROS_COSTO'!$A$4:$A$9,0)),"(sin catálogo)"))</f>
        <v/>
      </c>
      <c r="W1096" s="3">
        <f>IF($G1096="","",IFERROR(INDEX('CAT_PUESTOS'!$B$4:$B$8,MATCH($G1096,'CAT_PUESTOS'!$A$4:$A$8,0)),"(sin catálogo)"))</f>
        <v/>
      </c>
      <c r="X1096" s="3">
        <f>IF($H1096="","",IFERROR(INDEX('CAT_ACTIVIDADES'!$B$4:$B$8,MATCH($H1096,'CAT_ACTIVIDADES'!$A$4:$A$8,0)),"(sin catálogo)"))</f>
        <v/>
      </c>
      <c r="Y1096" s="12">
        <f>IF($J1096="","",TODAY()-$J1096)</f>
        <v/>
      </c>
      <c r="Z1096" s="3">
        <f>IF($Y1096="","",IF($Y1096&lt;0,"FUTURO",IF($Y1096&gt;p_dias_backlog_max,"BACKLOG","MES CORRIENTE")))</f>
        <v/>
      </c>
      <c r="AA1096" s="3">
        <f>IF($Y1096="",FALSE,AND($Y1096&gt;p_dias_backlog_min,$Y1096&lt;=p_dias_backlog_max))</f>
        <v/>
      </c>
      <c r="AB1096" s="6" t="n"/>
      <c r="AC1096" s="3">
        <f>IF($AB1096="","",IFERROR(INDEX('ASIGNACIONES'!$F$4:$F$339,MATCH($O1096&amp;"|"&amp;$R1096&amp;"|"&amp;$AB1096,'ASIGNACIONES'!$I$4:$I$339,0)),""))</f>
        <v/>
      </c>
      <c r="AD1096" s="13">
        <f>IF($AB1096="","",SUMIFS('ORDENES'!$M$4:$M$1203,'ORDENES'!$AB$4:$AB$1203,$AB1096,'ORDENES'!$O$4:$O$1203,$O1096,'ORDENES'!$R$4:$R$1203,$R1096))</f>
        <v/>
      </c>
      <c r="AE1096" s="13">
        <f>IF($AD1096="","",p_factor_productividad*IFERROR(INDEX('ASIGNACIONES'!$H$4:$H$339,MATCH($O1096&amp;"|"&amp;$R1096&amp;"|"&amp;$AB1096,'ASIGNACIONES'!$I$4:$I$339,0)),0)-$AD1096)</f>
        <v/>
      </c>
      <c r="AF1096" s="10">
        <f>IF($A1096="","",IFERROR(INDEX('2_IMPORTAR_EJECUCION'!$F$9:$F$1208,MATCH($AN1096,'2_IMPORTAR_EJECUCION'!$J$9:$J$1208,0)),0))</f>
        <v/>
      </c>
      <c r="AG1096" s="10">
        <f>IF($A1096="","",MAX(0,IFERROR(INDEX('2_IMPORTAR_EJECUCION'!$H$9:$H$1208,MATCH($AN1096,'2_IMPORTAR_EJECUCION'!$J$9:$J$1208,0)),0)-$AF1096))</f>
        <v/>
      </c>
      <c r="AH1096" s="10">
        <f>IF($A1096="","",$AF1096+$AG1096)</f>
        <v/>
      </c>
      <c r="AI1096" s="6" t="n"/>
      <c r="AJ1096" s="6" t="n"/>
      <c r="AK1096" s="6" t="n"/>
      <c r="AL1096" s="3">
        <f>IF($AK1096="","",HYPERLINK(p_ruta_base_checklists&amp;$AK1096,"abrir"))</f>
        <v/>
      </c>
      <c r="AM1096" s="6" t="n"/>
      <c r="AN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1" t="n"/>
      <c r="K1097" s="3" t="n"/>
      <c r="L1097" s="10" t="n"/>
      <c r="M1097" s="3">
        <f>IF($A1097="","",IFERROR(INDEX('AJUSTES'!$B$4:$B$303,MATCH($AN1097,'AJUSTES'!$A$4:$A$303,0)),IF($K1097="","",$K1097)))</f>
        <v/>
      </c>
      <c r="N1097" s="3">
        <f>IF($A1097="","",IFERROR(INDEX('CAT_ESTADOS_ERP'!$B$4:$B$7,MATCH(IFERROR(INDEX('2_IMPORTAR_EJECUCION'!$C$9:$C$1208,MATCH($AN1097,'2_IMPORTAR_EJECUCION'!$J$9:$J$1208,0)),""),'CAT_ESTADOS_ERP'!$A$4:$A$7,0)),"Pendiente"))</f>
        <v/>
      </c>
      <c r="O1097" s="3">
        <f>IF($J1097="","",YEAR($J1097+4-WEEKDAY($J1097,2))&amp;"-S"&amp;TEXT(_xlfn.ISOWEEKNUM($J1097),"00"))</f>
        <v/>
      </c>
      <c r="P1097" s="3">
        <f>IF($J1097="","",YEAR($J1097))</f>
        <v/>
      </c>
      <c r="Q1097" s="3">
        <f>IF($J1097="","",MONTH($J1097))</f>
        <v/>
      </c>
      <c r="R1097" s="3">
        <f>IF($J1097="","",INDEX(lista_dias,WEEKDAY($J1097,2)))</f>
        <v/>
      </c>
      <c r="S1097" s="3">
        <f>IF($I1097="","",IFERROR(INDEX('CAT_TIPOS_OT'!$C$4:$C$7,MATCH($I1097,'CAT_TIPOS_OT'!$A$4:$A$7,0)),"sin_clasificar"))</f>
        <v/>
      </c>
      <c r="T1097" s="3">
        <f>IF($F1097="","",IFERROR(INDEX('CAT_CENTROS_COSTO'!$E$4:$E$9,MATCH($F1097,'CAT_CENTROS_COSTO'!$A$4:$A$9,0)),"(sin catálogo)"))</f>
        <v/>
      </c>
      <c r="U1097" s="3">
        <f>IF($F1097="","",IFERROR(INDEX('CAT_CENTROS_COSTO'!$D$4:$D$9,MATCH($F1097,'CAT_CENTROS_COSTO'!$A$4:$A$9,0)),"(sin catálogo)"))</f>
        <v/>
      </c>
      <c r="V1097" s="3">
        <f>IF($F1097="","",IFERROR(INDEX('CAT_CENTROS_COSTO'!$F$4:$F$9,MATCH($F1097,'CAT_CENTROS_COSTO'!$A$4:$A$9,0)),"(sin catálogo)"))</f>
        <v/>
      </c>
      <c r="W1097" s="3">
        <f>IF($G1097="","",IFERROR(INDEX('CAT_PUESTOS'!$B$4:$B$8,MATCH($G1097,'CAT_PUESTOS'!$A$4:$A$8,0)),"(sin catálogo)"))</f>
        <v/>
      </c>
      <c r="X1097" s="3">
        <f>IF($H1097="","",IFERROR(INDEX('CAT_ACTIVIDADES'!$B$4:$B$8,MATCH($H1097,'CAT_ACTIVIDADES'!$A$4:$A$8,0)),"(sin catálogo)"))</f>
        <v/>
      </c>
      <c r="Y1097" s="12">
        <f>IF($J1097="","",TODAY()-$J1097)</f>
        <v/>
      </c>
      <c r="Z1097" s="3">
        <f>IF($Y1097="","",IF($Y1097&lt;0,"FUTURO",IF($Y1097&gt;p_dias_backlog_max,"BACKLOG","MES CORRIENTE")))</f>
        <v/>
      </c>
      <c r="AA1097" s="3">
        <f>IF($Y1097="",FALSE,AND($Y1097&gt;p_dias_backlog_min,$Y1097&lt;=p_dias_backlog_max))</f>
        <v/>
      </c>
      <c r="AB1097" s="6" t="n"/>
      <c r="AC1097" s="3">
        <f>IF($AB1097="","",IFERROR(INDEX('ASIGNACIONES'!$F$4:$F$339,MATCH($O1097&amp;"|"&amp;$R1097&amp;"|"&amp;$AB1097,'ASIGNACIONES'!$I$4:$I$339,0)),""))</f>
        <v/>
      </c>
      <c r="AD1097" s="13">
        <f>IF($AB1097="","",SUMIFS('ORDENES'!$M$4:$M$1203,'ORDENES'!$AB$4:$AB$1203,$AB1097,'ORDENES'!$O$4:$O$1203,$O1097,'ORDENES'!$R$4:$R$1203,$R1097))</f>
        <v/>
      </c>
      <c r="AE1097" s="13">
        <f>IF($AD1097="","",p_factor_productividad*IFERROR(INDEX('ASIGNACIONES'!$H$4:$H$339,MATCH($O1097&amp;"|"&amp;$R1097&amp;"|"&amp;$AB1097,'ASIGNACIONES'!$I$4:$I$339,0)),0)-$AD1097)</f>
        <v/>
      </c>
      <c r="AF1097" s="10">
        <f>IF($A1097="","",IFERROR(INDEX('2_IMPORTAR_EJECUCION'!$F$9:$F$1208,MATCH($AN1097,'2_IMPORTAR_EJECUCION'!$J$9:$J$1208,0)),0))</f>
        <v/>
      </c>
      <c r="AG1097" s="10">
        <f>IF($A1097="","",MAX(0,IFERROR(INDEX('2_IMPORTAR_EJECUCION'!$H$9:$H$1208,MATCH($AN1097,'2_IMPORTAR_EJECUCION'!$J$9:$J$1208,0)),0)-$AF1097))</f>
        <v/>
      </c>
      <c r="AH1097" s="10">
        <f>IF($A1097="","",$AF1097+$AG1097)</f>
        <v/>
      </c>
      <c r="AI1097" s="6" t="n"/>
      <c r="AJ1097" s="6" t="n"/>
      <c r="AK1097" s="6" t="n"/>
      <c r="AL1097" s="3">
        <f>IF($AK1097="","",HYPERLINK(p_ruta_base_checklists&amp;$AK1097,"abrir"))</f>
        <v/>
      </c>
      <c r="AM1097" s="6" t="n"/>
      <c r="AN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1" t="n"/>
      <c r="K1098" s="3" t="n"/>
      <c r="L1098" s="10" t="n"/>
      <c r="M1098" s="3">
        <f>IF($A1098="","",IFERROR(INDEX('AJUSTES'!$B$4:$B$303,MATCH($AN1098,'AJUSTES'!$A$4:$A$303,0)),IF($K1098="","",$K1098)))</f>
        <v/>
      </c>
      <c r="N1098" s="3">
        <f>IF($A1098="","",IFERROR(INDEX('CAT_ESTADOS_ERP'!$B$4:$B$7,MATCH(IFERROR(INDEX('2_IMPORTAR_EJECUCION'!$C$9:$C$1208,MATCH($AN1098,'2_IMPORTAR_EJECUCION'!$J$9:$J$1208,0)),""),'CAT_ESTADOS_ERP'!$A$4:$A$7,0)),"Pendiente"))</f>
        <v/>
      </c>
      <c r="O1098" s="3">
        <f>IF($J1098="","",YEAR($J1098+4-WEEKDAY($J1098,2))&amp;"-S"&amp;TEXT(_xlfn.ISOWEEKNUM($J1098),"00"))</f>
        <v/>
      </c>
      <c r="P1098" s="3">
        <f>IF($J1098="","",YEAR($J1098))</f>
        <v/>
      </c>
      <c r="Q1098" s="3">
        <f>IF($J1098="","",MONTH($J1098))</f>
        <v/>
      </c>
      <c r="R1098" s="3">
        <f>IF($J1098="","",INDEX(lista_dias,WEEKDAY($J1098,2)))</f>
        <v/>
      </c>
      <c r="S1098" s="3">
        <f>IF($I1098="","",IFERROR(INDEX('CAT_TIPOS_OT'!$C$4:$C$7,MATCH($I1098,'CAT_TIPOS_OT'!$A$4:$A$7,0)),"sin_clasificar"))</f>
        <v/>
      </c>
      <c r="T1098" s="3">
        <f>IF($F1098="","",IFERROR(INDEX('CAT_CENTROS_COSTO'!$E$4:$E$9,MATCH($F1098,'CAT_CENTROS_COSTO'!$A$4:$A$9,0)),"(sin catálogo)"))</f>
        <v/>
      </c>
      <c r="U1098" s="3">
        <f>IF($F1098="","",IFERROR(INDEX('CAT_CENTROS_COSTO'!$D$4:$D$9,MATCH($F1098,'CAT_CENTROS_COSTO'!$A$4:$A$9,0)),"(sin catálogo)"))</f>
        <v/>
      </c>
      <c r="V1098" s="3">
        <f>IF($F1098="","",IFERROR(INDEX('CAT_CENTROS_COSTO'!$F$4:$F$9,MATCH($F1098,'CAT_CENTROS_COSTO'!$A$4:$A$9,0)),"(sin catálogo)"))</f>
        <v/>
      </c>
      <c r="W1098" s="3">
        <f>IF($G1098="","",IFERROR(INDEX('CAT_PUESTOS'!$B$4:$B$8,MATCH($G1098,'CAT_PUESTOS'!$A$4:$A$8,0)),"(sin catálogo)"))</f>
        <v/>
      </c>
      <c r="X1098" s="3">
        <f>IF($H1098="","",IFERROR(INDEX('CAT_ACTIVIDADES'!$B$4:$B$8,MATCH($H1098,'CAT_ACTIVIDADES'!$A$4:$A$8,0)),"(sin catálogo)"))</f>
        <v/>
      </c>
      <c r="Y1098" s="12">
        <f>IF($J1098="","",TODAY()-$J1098)</f>
        <v/>
      </c>
      <c r="Z1098" s="3">
        <f>IF($Y1098="","",IF($Y1098&lt;0,"FUTURO",IF($Y1098&gt;p_dias_backlog_max,"BACKLOG","MES CORRIENTE")))</f>
        <v/>
      </c>
      <c r="AA1098" s="3">
        <f>IF($Y1098="",FALSE,AND($Y1098&gt;p_dias_backlog_min,$Y1098&lt;=p_dias_backlog_max))</f>
        <v/>
      </c>
      <c r="AB1098" s="6" t="n"/>
      <c r="AC1098" s="3">
        <f>IF($AB1098="","",IFERROR(INDEX('ASIGNACIONES'!$F$4:$F$339,MATCH($O1098&amp;"|"&amp;$R1098&amp;"|"&amp;$AB1098,'ASIGNACIONES'!$I$4:$I$339,0)),""))</f>
        <v/>
      </c>
      <c r="AD1098" s="13">
        <f>IF($AB1098="","",SUMIFS('ORDENES'!$M$4:$M$1203,'ORDENES'!$AB$4:$AB$1203,$AB1098,'ORDENES'!$O$4:$O$1203,$O1098,'ORDENES'!$R$4:$R$1203,$R1098))</f>
        <v/>
      </c>
      <c r="AE1098" s="13">
        <f>IF($AD1098="","",p_factor_productividad*IFERROR(INDEX('ASIGNACIONES'!$H$4:$H$339,MATCH($O1098&amp;"|"&amp;$R1098&amp;"|"&amp;$AB1098,'ASIGNACIONES'!$I$4:$I$339,0)),0)-$AD1098)</f>
        <v/>
      </c>
      <c r="AF1098" s="10">
        <f>IF($A1098="","",IFERROR(INDEX('2_IMPORTAR_EJECUCION'!$F$9:$F$1208,MATCH($AN1098,'2_IMPORTAR_EJECUCION'!$J$9:$J$1208,0)),0))</f>
        <v/>
      </c>
      <c r="AG1098" s="10">
        <f>IF($A1098="","",MAX(0,IFERROR(INDEX('2_IMPORTAR_EJECUCION'!$H$9:$H$1208,MATCH($AN1098,'2_IMPORTAR_EJECUCION'!$J$9:$J$1208,0)),0)-$AF1098))</f>
        <v/>
      </c>
      <c r="AH1098" s="10">
        <f>IF($A1098="","",$AF1098+$AG1098)</f>
        <v/>
      </c>
      <c r="AI1098" s="6" t="n"/>
      <c r="AJ1098" s="6" t="n"/>
      <c r="AK1098" s="6" t="n"/>
      <c r="AL1098" s="3">
        <f>IF($AK1098="","",HYPERLINK(p_ruta_base_checklists&amp;$AK1098,"abrir"))</f>
        <v/>
      </c>
      <c r="AM1098" s="6" t="n"/>
      <c r="AN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1" t="n"/>
      <c r="K1099" s="3" t="n"/>
      <c r="L1099" s="10" t="n"/>
      <c r="M1099" s="3">
        <f>IF($A1099="","",IFERROR(INDEX('AJUSTES'!$B$4:$B$303,MATCH($AN1099,'AJUSTES'!$A$4:$A$303,0)),IF($K1099="","",$K1099)))</f>
        <v/>
      </c>
      <c r="N1099" s="3">
        <f>IF($A1099="","",IFERROR(INDEX('CAT_ESTADOS_ERP'!$B$4:$B$7,MATCH(IFERROR(INDEX('2_IMPORTAR_EJECUCION'!$C$9:$C$1208,MATCH($AN1099,'2_IMPORTAR_EJECUCION'!$J$9:$J$1208,0)),""),'CAT_ESTADOS_ERP'!$A$4:$A$7,0)),"Pendiente"))</f>
        <v/>
      </c>
      <c r="O1099" s="3">
        <f>IF($J1099="","",YEAR($J1099+4-WEEKDAY($J1099,2))&amp;"-S"&amp;TEXT(_xlfn.ISOWEEKNUM($J1099),"00"))</f>
        <v/>
      </c>
      <c r="P1099" s="3">
        <f>IF($J1099="","",YEAR($J1099))</f>
        <v/>
      </c>
      <c r="Q1099" s="3">
        <f>IF($J1099="","",MONTH($J1099))</f>
        <v/>
      </c>
      <c r="R1099" s="3">
        <f>IF($J1099="","",INDEX(lista_dias,WEEKDAY($J1099,2)))</f>
        <v/>
      </c>
      <c r="S1099" s="3">
        <f>IF($I1099="","",IFERROR(INDEX('CAT_TIPOS_OT'!$C$4:$C$7,MATCH($I1099,'CAT_TIPOS_OT'!$A$4:$A$7,0)),"sin_clasificar"))</f>
        <v/>
      </c>
      <c r="T1099" s="3">
        <f>IF($F1099="","",IFERROR(INDEX('CAT_CENTROS_COSTO'!$E$4:$E$9,MATCH($F1099,'CAT_CENTROS_COSTO'!$A$4:$A$9,0)),"(sin catálogo)"))</f>
        <v/>
      </c>
      <c r="U1099" s="3">
        <f>IF($F1099="","",IFERROR(INDEX('CAT_CENTROS_COSTO'!$D$4:$D$9,MATCH($F1099,'CAT_CENTROS_COSTO'!$A$4:$A$9,0)),"(sin catálogo)"))</f>
        <v/>
      </c>
      <c r="V1099" s="3">
        <f>IF($F1099="","",IFERROR(INDEX('CAT_CENTROS_COSTO'!$F$4:$F$9,MATCH($F1099,'CAT_CENTROS_COSTO'!$A$4:$A$9,0)),"(sin catálogo)"))</f>
        <v/>
      </c>
      <c r="W1099" s="3">
        <f>IF($G1099="","",IFERROR(INDEX('CAT_PUESTOS'!$B$4:$B$8,MATCH($G1099,'CAT_PUESTOS'!$A$4:$A$8,0)),"(sin catálogo)"))</f>
        <v/>
      </c>
      <c r="X1099" s="3">
        <f>IF($H1099="","",IFERROR(INDEX('CAT_ACTIVIDADES'!$B$4:$B$8,MATCH($H1099,'CAT_ACTIVIDADES'!$A$4:$A$8,0)),"(sin catálogo)"))</f>
        <v/>
      </c>
      <c r="Y1099" s="12">
        <f>IF($J1099="","",TODAY()-$J1099)</f>
        <v/>
      </c>
      <c r="Z1099" s="3">
        <f>IF($Y1099="","",IF($Y1099&lt;0,"FUTURO",IF($Y1099&gt;p_dias_backlog_max,"BACKLOG","MES CORRIENTE")))</f>
        <v/>
      </c>
      <c r="AA1099" s="3">
        <f>IF($Y1099="",FALSE,AND($Y1099&gt;p_dias_backlog_min,$Y1099&lt;=p_dias_backlog_max))</f>
        <v/>
      </c>
      <c r="AB1099" s="6" t="n"/>
      <c r="AC1099" s="3">
        <f>IF($AB1099="","",IFERROR(INDEX('ASIGNACIONES'!$F$4:$F$339,MATCH($O1099&amp;"|"&amp;$R1099&amp;"|"&amp;$AB1099,'ASIGNACIONES'!$I$4:$I$339,0)),""))</f>
        <v/>
      </c>
      <c r="AD1099" s="13">
        <f>IF($AB1099="","",SUMIFS('ORDENES'!$M$4:$M$1203,'ORDENES'!$AB$4:$AB$1203,$AB1099,'ORDENES'!$O$4:$O$1203,$O1099,'ORDENES'!$R$4:$R$1203,$R1099))</f>
        <v/>
      </c>
      <c r="AE1099" s="13">
        <f>IF($AD1099="","",p_factor_productividad*IFERROR(INDEX('ASIGNACIONES'!$H$4:$H$339,MATCH($O1099&amp;"|"&amp;$R1099&amp;"|"&amp;$AB1099,'ASIGNACIONES'!$I$4:$I$339,0)),0)-$AD1099)</f>
        <v/>
      </c>
      <c r="AF1099" s="10">
        <f>IF($A1099="","",IFERROR(INDEX('2_IMPORTAR_EJECUCION'!$F$9:$F$1208,MATCH($AN1099,'2_IMPORTAR_EJECUCION'!$J$9:$J$1208,0)),0))</f>
        <v/>
      </c>
      <c r="AG1099" s="10">
        <f>IF($A1099="","",MAX(0,IFERROR(INDEX('2_IMPORTAR_EJECUCION'!$H$9:$H$1208,MATCH($AN1099,'2_IMPORTAR_EJECUCION'!$J$9:$J$1208,0)),0)-$AF1099))</f>
        <v/>
      </c>
      <c r="AH1099" s="10">
        <f>IF($A1099="","",$AF1099+$AG1099)</f>
        <v/>
      </c>
      <c r="AI1099" s="6" t="n"/>
      <c r="AJ1099" s="6" t="n"/>
      <c r="AK1099" s="6" t="n"/>
      <c r="AL1099" s="3">
        <f>IF($AK1099="","",HYPERLINK(p_ruta_base_checklists&amp;$AK1099,"abrir"))</f>
        <v/>
      </c>
      <c r="AM1099" s="6" t="n"/>
      <c r="AN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1" t="n"/>
      <c r="K1100" s="3" t="n"/>
      <c r="L1100" s="10" t="n"/>
      <c r="M1100" s="3">
        <f>IF($A1100="","",IFERROR(INDEX('AJUSTES'!$B$4:$B$303,MATCH($AN1100,'AJUSTES'!$A$4:$A$303,0)),IF($K1100="","",$K1100)))</f>
        <v/>
      </c>
      <c r="N1100" s="3">
        <f>IF($A1100="","",IFERROR(INDEX('CAT_ESTADOS_ERP'!$B$4:$B$7,MATCH(IFERROR(INDEX('2_IMPORTAR_EJECUCION'!$C$9:$C$1208,MATCH($AN1100,'2_IMPORTAR_EJECUCION'!$J$9:$J$1208,0)),""),'CAT_ESTADOS_ERP'!$A$4:$A$7,0)),"Pendiente"))</f>
        <v/>
      </c>
      <c r="O1100" s="3">
        <f>IF($J1100="","",YEAR($J1100+4-WEEKDAY($J1100,2))&amp;"-S"&amp;TEXT(_xlfn.ISOWEEKNUM($J1100),"00"))</f>
        <v/>
      </c>
      <c r="P1100" s="3">
        <f>IF($J1100="","",YEAR($J1100))</f>
        <v/>
      </c>
      <c r="Q1100" s="3">
        <f>IF($J1100="","",MONTH($J1100))</f>
        <v/>
      </c>
      <c r="R1100" s="3">
        <f>IF($J1100="","",INDEX(lista_dias,WEEKDAY($J1100,2)))</f>
        <v/>
      </c>
      <c r="S1100" s="3">
        <f>IF($I1100="","",IFERROR(INDEX('CAT_TIPOS_OT'!$C$4:$C$7,MATCH($I1100,'CAT_TIPOS_OT'!$A$4:$A$7,0)),"sin_clasificar"))</f>
        <v/>
      </c>
      <c r="T1100" s="3">
        <f>IF($F1100="","",IFERROR(INDEX('CAT_CENTROS_COSTO'!$E$4:$E$9,MATCH($F1100,'CAT_CENTROS_COSTO'!$A$4:$A$9,0)),"(sin catálogo)"))</f>
        <v/>
      </c>
      <c r="U1100" s="3">
        <f>IF($F1100="","",IFERROR(INDEX('CAT_CENTROS_COSTO'!$D$4:$D$9,MATCH($F1100,'CAT_CENTROS_COSTO'!$A$4:$A$9,0)),"(sin catálogo)"))</f>
        <v/>
      </c>
      <c r="V1100" s="3">
        <f>IF($F1100="","",IFERROR(INDEX('CAT_CENTROS_COSTO'!$F$4:$F$9,MATCH($F1100,'CAT_CENTROS_COSTO'!$A$4:$A$9,0)),"(sin catálogo)"))</f>
        <v/>
      </c>
      <c r="W1100" s="3">
        <f>IF($G1100="","",IFERROR(INDEX('CAT_PUESTOS'!$B$4:$B$8,MATCH($G1100,'CAT_PUESTOS'!$A$4:$A$8,0)),"(sin catálogo)"))</f>
        <v/>
      </c>
      <c r="X1100" s="3">
        <f>IF($H1100="","",IFERROR(INDEX('CAT_ACTIVIDADES'!$B$4:$B$8,MATCH($H1100,'CAT_ACTIVIDADES'!$A$4:$A$8,0)),"(sin catálogo)"))</f>
        <v/>
      </c>
      <c r="Y1100" s="12">
        <f>IF($J1100="","",TODAY()-$J1100)</f>
        <v/>
      </c>
      <c r="Z1100" s="3">
        <f>IF($Y1100="","",IF($Y1100&lt;0,"FUTURO",IF($Y1100&gt;p_dias_backlog_max,"BACKLOG","MES CORRIENTE")))</f>
        <v/>
      </c>
      <c r="AA1100" s="3">
        <f>IF($Y1100="",FALSE,AND($Y1100&gt;p_dias_backlog_min,$Y1100&lt;=p_dias_backlog_max))</f>
        <v/>
      </c>
      <c r="AB1100" s="6" t="n"/>
      <c r="AC1100" s="3">
        <f>IF($AB1100="","",IFERROR(INDEX('ASIGNACIONES'!$F$4:$F$339,MATCH($O1100&amp;"|"&amp;$R1100&amp;"|"&amp;$AB1100,'ASIGNACIONES'!$I$4:$I$339,0)),""))</f>
        <v/>
      </c>
      <c r="AD1100" s="13">
        <f>IF($AB1100="","",SUMIFS('ORDENES'!$M$4:$M$1203,'ORDENES'!$AB$4:$AB$1203,$AB1100,'ORDENES'!$O$4:$O$1203,$O1100,'ORDENES'!$R$4:$R$1203,$R1100))</f>
        <v/>
      </c>
      <c r="AE1100" s="13">
        <f>IF($AD1100="","",p_factor_productividad*IFERROR(INDEX('ASIGNACIONES'!$H$4:$H$339,MATCH($O1100&amp;"|"&amp;$R1100&amp;"|"&amp;$AB1100,'ASIGNACIONES'!$I$4:$I$339,0)),0)-$AD1100)</f>
        <v/>
      </c>
      <c r="AF1100" s="10">
        <f>IF($A1100="","",IFERROR(INDEX('2_IMPORTAR_EJECUCION'!$F$9:$F$1208,MATCH($AN1100,'2_IMPORTAR_EJECUCION'!$J$9:$J$1208,0)),0))</f>
        <v/>
      </c>
      <c r="AG1100" s="10">
        <f>IF($A1100="","",MAX(0,IFERROR(INDEX('2_IMPORTAR_EJECUCION'!$H$9:$H$1208,MATCH($AN1100,'2_IMPORTAR_EJECUCION'!$J$9:$J$1208,0)),0)-$AF1100))</f>
        <v/>
      </c>
      <c r="AH1100" s="10">
        <f>IF($A1100="","",$AF1100+$AG1100)</f>
        <v/>
      </c>
      <c r="AI1100" s="6" t="n"/>
      <c r="AJ1100" s="6" t="n"/>
      <c r="AK1100" s="6" t="n"/>
      <c r="AL1100" s="3">
        <f>IF($AK1100="","",HYPERLINK(p_ruta_base_checklists&amp;$AK1100,"abrir"))</f>
        <v/>
      </c>
      <c r="AM1100" s="6" t="n"/>
      <c r="AN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1" t="n"/>
      <c r="K1101" s="3" t="n"/>
      <c r="L1101" s="10" t="n"/>
      <c r="M1101" s="3">
        <f>IF($A1101="","",IFERROR(INDEX('AJUSTES'!$B$4:$B$303,MATCH($AN1101,'AJUSTES'!$A$4:$A$303,0)),IF($K1101="","",$K1101)))</f>
        <v/>
      </c>
      <c r="N1101" s="3">
        <f>IF($A1101="","",IFERROR(INDEX('CAT_ESTADOS_ERP'!$B$4:$B$7,MATCH(IFERROR(INDEX('2_IMPORTAR_EJECUCION'!$C$9:$C$1208,MATCH($AN1101,'2_IMPORTAR_EJECUCION'!$J$9:$J$1208,0)),""),'CAT_ESTADOS_ERP'!$A$4:$A$7,0)),"Pendiente"))</f>
        <v/>
      </c>
      <c r="O1101" s="3">
        <f>IF($J1101="","",YEAR($J1101+4-WEEKDAY($J1101,2))&amp;"-S"&amp;TEXT(_xlfn.ISOWEEKNUM($J1101),"00"))</f>
        <v/>
      </c>
      <c r="P1101" s="3">
        <f>IF($J1101="","",YEAR($J1101))</f>
        <v/>
      </c>
      <c r="Q1101" s="3">
        <f>IF($J1101="","",MONTH($J1101))</f>
        <v/>
      </c>
      <c r="R1101" s="3">
        <f>IF($J1101="","",INDEX(lista_dias,WEEKDAY($J1101,2)))</f>
        <v/>
      </c>
      <c r="S1101" s="3">
        <f>IF($I1101="","",IFERROR(INDEX('CAT_TIPOS_OT'!$C$4:$C$7,MATCH($I1101,'CAT_TIPOS_OT'!$A$4:$A$7,0)),"sin_clasificar"))</f>
        <v/>
      </c>
      <c r="T1101" s="3">
        <f>IF($F1101="","",IFERROR(INDEX('CAT_CENTROS_COSTO'!$E$4:$E$9,MATCH($F1101,'CAT_CENTROS_COSTO'!$A$4:$A$9,0)),"(sin catálogo)"))</f>
        <v/>
      </c>
      <c r="U1101" s="3">
        <f>IF($F1101="","",IFERROR(INDEX('CAT_CENTROS_COSTO'!$D$4:$D$9,MATCH($F1101,'CAT_CENTROS_COSTO'!$A$4:$A$9,0)),"(sin catálogo)"))</f>
        <v/>
      </c>
      <c r="V1101" s="3">
        <f>IF($F1101="","",IFERROR(INDEX('CAT_CENTROS_COSTO'!$F$4:$F$9,MATCH($F1101,'CAT_CENTROS_COSTO'!$A$4:$A$9,0)),"(sin catálogo)"))</f>
        <v/>
      </c>
      <c r="W1101" s="3">
        <f>IF($G1101="","",IFERROR(INDEX('CAT_PUESTOS'!$B$4:$B$8,MATCH($G1101,'CAT_PUESTOS'!$A$4:$A$8,0)),"(sin catálogo)"))</f>
        <v/>
      </c>
      <c r="X1101" s="3">
        <f>IF($H1101="","",IFERROR(INDEX('CAT_ACTIVIDADES'!$B$4:$B$8,MATCH($H1101,'CAT_ACTIVIDADES'!$A$4:$A$8,0)),"(sin catálogo)"))</f>
        <v/>
      </c>
      <c r="Y1101" s="12">
        <f>IF($J1101="","",TODAY()-$J1101)</f>
        <v/>
      </c>
      <c r="Z1101" s="3">
        <f>IF($Y1101="","",IF($Y1101&lt;0,"FUTURO",IF($Y1101&gt;p_dias_backlog_max,"BACKLOG","MES CORRIENTE")))</f>
        <v/>
      </c>
      <c r="AA1101" s="3">
        <f>IF($Y1101="",FALSE,AND($Y1101&gt;p_dias_backlog_min,$Y1101&lt;=p_dias_backlog_max))</f>
        <v/>
      </c>
      <c r="AB1101" s="6" t="n"/>
      <c r="AC1101" s="3">
        <f>IF($AB1101="","",IFERROR(INDEX('ASIGNACIONES'!$F$4:$F$339,MATCH($O1101&amp;"|"&amp;$R1101&amp;"|"&amp;$AB1101,'ASIGNACIONES'!$I$4:$I$339,0)),""))</f>
        <v/>
      </c>
      <c r="AD1101" s="13">
        <f>IF($AB1101="","",SUMIFS('ORDENES'!$M$4:$M$1203,'ORDENES'!$AB$4:$AB$1203,$AB1101,'ORDENES'!$O$4:$O$1203,$O1101,'ORDENES'!$R$4:$R$1203,$R1101))</f>
        <v/>
      </c>
      <c r="AE1101" s="13">
        <f>IF($AD1101="","",p_factor_productividad*IFERROR(INDEX('ASIGNACIONES'!$H$4:$H$339,MATCH($O1101&amp;"|"&amp;$R1101&amp;"|"&amp;$AB1101,'ASIGNACIONES'!$I$4:$I$339,0)),0)-$AD1101)</f>
        <v/>
      </c>
      <c r="AF1101" s="10">
        <f>IF($A1101="","",IFERROR(INDEX('2_IMPORTAR_EJECUCION'!$F$9:$F$1208,MATCH($AN1101,'2_IMPORTAR_EJECUCION'!$J$9:$J$1208,0)),0))</f>
        <v/>
      </c>
      <c r="AG1101" s="10">
        <f>IF($A1101="","",MAX(0,IFERROR(INDEX('2_IMPORTAR_EJECUCION'!$H$9:$H$1208,MATCH($AN1101,'2_IMPORTAR_EJECUCION'!$J$9:$J$1208,0)),0)-$AF1101))</f>
        <v/>
      </c>
      <c r="AH1101" s="10">
        <f>IF($A1101="","",$AF1101+$AG1101)</f>
        <v/>
      </c>
      <c r="AI1101" s="6" t="n"/>
      <c r="AJ1101" s="6" t="n"/>
      <c r="AK1101" s="6" t="n"/>
      <c r="AL1101" s="3">
        <f>IF($AK1101="","",HYPERLINK(p_ruta_base_checklists&amp;$AK1101,"abrir"))</f>
        <v/>
      </c>
      <c r="AM1101" s="6" t="n"/>
      <c r="AN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1" t="n"/>
      <c r="K1102" s="3" t="n"/>
      <c r="L1102" s="10" t="n"/>
      <c r="M1102" s="3">
        <f>IF($A1102="","",IFERROR(INDEX('AJUSTES'!$B$4:$B$303,MATCH($AN1102,'AJUSTES'!$A$4:$A$303,0)),IF($K1102="","",$K1102)))</f>
        <v/>
      </c>
      <c r="N1102" s="3">
        <f>IF($A1102="","",IFERROR(INDEX('CAT_ESTADOS_ERP'!$B$4:$B$7,MATCH(IFERROR(INDEX('2_IMPORTAR_EJECUCION'!$C$9:$C$1208,MATCH($AN1102,'2_IMPORTAR_EJECUCION'!$J$9:$J$1208,0)),""),'CAT_ESTADOS_ERP'!$A$4:$A$7,0)),"Pendiente"))</f>
        <v/>
      </c>
      <c r="O1102" s="3">
        <f>IF($J1102="","",YEAR($J1102+4-WEEKDAY($J1102,2))&amp;"-S"&amp;TEXT(_xlfn.ISOWEEKNUM($J1102),"00"))</f>
        <v/>
      </c>
      <c r="P1102" s="3">
        <f>IF($J1102="","",YEAR($J1102))</f>
        <v/>
      </c>
      <c r="Q1102" s="3">
        <f>IF($J1102="","",MONTH($J1102))</f>
        <v/>
      </c>
      <c r="R1102" s="3">
        <f>IF($J1102="","",INDEX(lista_dias,WEEKDAY($J1102,2)))</f>
        <v/>
      </c>
      <c r="S1102" s="3">
        <f>IF($I1102="","",IFERROR(INDEX('CAT_TIPOS_OT'!$C$4:$C$7,MATCH($I1102,'CAT_TIPOS_OT'!$A$4:$A$7,0)),"sin_clasificar"))</f>
        <v/>
      </c>
      <c r="T1102" s="3">
        <f>IF($F1102="","",IFERROR(INDEX('CAT_CENTROS_COSTO'!$E$4:$E$9,MATCH($F1102,'CAT_CENTROS_COSTO'!$A$4:$A$9,0)),"(sin catálogo)"))</f>
        <v/>
      </c>
      <c r="U1102" s="3">
        <f>IF($F1102="","",IFERROR(INDEX('CAT_CENTROS_COSTO'!$D$4:$D$9,MATCH($F1102,'CAT_CENTROS_COSTO'!$A$4:$A$9,0)),"(sin catálogo)"))</f>
        <v/>
      </c>
      <c r="V1102" s="3">
        <f>IF($F1102="","",IFERROR(INDEX('CAT_CENTROS_COSTO'!$F$4:$F$9,MATCH($F1102,'CAT_CENTROS_COSTO'!$A$4:$A$9,0)),"(sin catálogo)"))</f>
        <v/>
      </c>
      <c r="W1102" s="3">
        <f>IF($G1102="","",IFERROR(INDEX('CAT_PUESTOS'!$B$4:$B$8,MATCH($G1102,'CAT_PUESTOS'!$A$4:$A$8,0)),"(sin catálogo)"))</f>
        <v/>
      </c>
      <c r="X1102" s="3">
        <f>IF($H1102="","",IFERROR(INDEX('CAT_ACTIVIDADES'!$B$4:$B$8,MATCH($H1102,'CAT_ACTIVIDADES'!$A$4:$A$8,0)),"(sin catálogo)"))</f>
        <v/>
      </c>
      <c r="Y1102" s="12">
        <f>IF($J1102="","",TODAY()-$J1102)</f>
        <v/>
      </c>
      <c r="Z1102" s="3">
        <f>IF($Y1102="","",IF($Y1102&lt;0,"FUTURO",IF($Y1102&gt;p_dias_backlog_max,"BACKLOG","MES CORRIENTE")))</f>
        <v/>
      </c>
      <c r="AA1102" s="3">
        <f>IF($Y1102="",FALSE,AND($Y1102&gt;p_dias_backlog_min,$Y1102&lt;=p_dias_backlog_max))</f>
        <v/>
      </c>
      <c r="AB1102" s="6" t="n"/>
      <c r="AC1102" s="3">
        <f>IF($AB1102="","",IFERROR(INDEX('ASIGNACIONES'!$F$4:$F$339,MATCH($O1102&amp;"|"&amp;$R1102&amp;"|"&amp;$AB1102,'ASIGNACIONES'!$I$4:$I$339,0)),""))</f>
        <v/>
      </c>
      <c r="AD1102" s="13">
        <f>IF($AB1102="","",SUMIFS('ORDENES'!$M$4:$M$1203,'ORDENES'!$AB$4:$AB$1203,$AB1102,'ORDENES'!$O$4:$O$1203,$O1102,'ORDENES'!$R$4:$R$1203,$R1102))</f>
        <v/>
      </c>
      <c r="AE1102" s="13">
        <f>IF($AD1102="","",p_factor_productividad*IFERROR(INDEX('ASIGNACIONES'!$H$4:$H$339,MATCH($O1102&amp;"|"&amp;$R1102&amp;"|"&amp;$AB1102,'ASIGNACIONES'!$I$4:$I$339,0)),0)-$AD1102)</f>
        <v/>
      </c>
      <c r="AF1102" s="10">
        <f>IF($A1102="","",IFERROR(INDEX('2_IMPORTAR_EJECUCION'!$F$9:$F$1208,MATCH($AN1102,'2_IMPORTAR_EJECUCION'!$J$9:$J$1208,0)),0))</f>
        <v/>
      </c>
      <c r="AG1102" s="10">
        <f>IF($A1102="","",MAX(0,IFERROR(INDEX('2_IMPORTAR_EJECUCION'!$H$9:$H$1208,MATCH($AN1102,'2_IMPORTAR_EJECUCION'!$J$9:$J$1208,0)),0)-$AF1102))</f>
        <v/>
      </c>
      <c r="AH1102" s="10">
        <f>IF($A1102="","",$AF1102+$AG1102)</f>
        <v/>
      </c>
      <c r="AI1102" s="6" t="n"/>
      <c r="AJ1102" s="6" t="n"/>
      <c r="AK1102" s="6" t="n"/>
      <c r="AL1102" s="3">
        <f>IF($AK1102="","",HYPERLINK(p_ruta_base_checklists&amp;$AK1102,"abrir"))</f>
        <v/>
      </c>
      <c r="AM1102" s="6" t="n"/>
      <c r="AN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1" t="n"/>
      <c r="K1103" s="3" t="n"/>
      <c r="L1103" s="10" t="n"/>
      <c r="M1103" s="3">
        <f>IF($A1103="","",IFERROR(INDEX('AJUSTES'!$B$4:$B$303,MATCH($AN1103,'AJUSTES'!$A$4:$A$303,0)),IF($K1103="","",$K1103)))</f>
        <v/>
      </c>
      <c r="N1103" s="3">
        <f>IF($A1103="","",IFERROR(INDEX('CAT_ESTADOS_ERP'!$B$4:$B$7,MATCH(IFERROR(INDEX('2_IMPORTAR_EJECUCION'!$C$9:$C$1208,MATCH($AN1103,'2_IMPORTAR_EJECUCION'!$J$9:$J$1208,0)),""),'CAT_ESTADOS_ERP'!$A$4:$A$7,0)),"Pendiente"))</f>
        <v/>
      </c>
      <c r="O1103" s="3">
        <f>IF($J1103="","",YEAR($J1103+4-WEEKDAY($J1103,2))&amp;"-S"&amp;TEXT(_xlfn.ISOWEEKNUM($J1103),"00"))</f>
        <v/>
      </c>
      <c r="P1103" s="3">
        <f>IF($J1103="","",YEAR($J1103))</f>
        <v/>
      </c>
      <c r="Q1103" s="3">
        <f>IF($J1103="","",MONTH($J1103))</f>
        <v/>
      </c>
      <c r="R1103" s="3">
        <f>IF($J1103="","",INDEX(lista_dias,WEEKDAY($J1103,2)))</f>
        <v/>
      </c>
      <c r="S1103" s="3">
        <f>IF($I1103="","",IFERROR(INDEX('CAT_TIPOS_OT'!$C$4:$C$7,MATCH($I1103,'CAT_TIPOS_OT'!$A$4:$A$7,0)),"sin_clasificar"))</f>
        <v/>
      </c>
      <c r="T1103" s="3">
        <f>IF($F1103="","",IFERROR(INDEX('CAT_CENTROS_COSTO'!$E$4:$E$9,MATCH($F1103,'CAT_CENTROS_COSTO'!$A$4:$A$9,0)),"(sin catálogo)"))</f>
        <v/>
      </c>
      <c r="U1103" s="3">
        <f>IF($F1103="","",IFERROR(INDEX('CAT_CENTROS_COSTO'!$D$4:$D$9,MATCH($F1103,'CAT_CENTROS_COSTO'!$A$4:$A$9,0)),"(sin catálogo)"))</f>
        <v/>
      </c>
      <c r="V1103" s="3">
        <f>IF($F1103="","",IFERROR(INDEX('CAT_CENTROS_COSTO'!$F$4:$F$9,MATCH($F1103,'CAT_CENTROS_COSTO'!$A$4:$A$9,0)),"(sin catálogo)"))</f>
        <v/>
      </c>
      <c r="W1103" s="3">
        <f>IF($G1103="","",IFERROR(INDEX('CAT_PUESTOS'!$B$4:$B$8,MATCH($G1103,'CAT_PUESTOS'!$A$4:$A$8,0)),"(sin catálogo)"))</f>
        <v/>
      </c>
      <c r="X1103" s="3">
        <f>IF($H1103="","",IFERROR(INDEX('CAT_ACTIVIDADES'!$B$4:$B$8,MATCH($H1103,'CAT_ACTIVIDADES'!$A$4:$A$8,0)),"(sin catálogo)"))</f>
        <v/>
      </c>
      <c r="Y1103" s="12">
        <f>IF($J1103="","",TODAY()-$J1103)</f>
        <v/>
      </c>
      <c r="Z1103" s="3">
        <f>IF($Y1103="","",IF($Y1103&lt;0,"FUTURO",IF($Y1103&gt;p_dias_backlog_max,"BACKLOG","MES CORRIENTE")))</f>
        <v/>
      </c>
      <c r="AA1103" s="3">
        <f>IF($Y1103="",FALSE,AND($Y1103&gt;p_dias_backlog_min,$Y1103&lt;=p_dias_backlog_max))</f>
        <v/>
      </c>
      <c r="AB1103" s="6" t="n"/>
      <c r="AC1103" s="3">
        <f>IF($AB1103="","",IFERROR(INDEX('ASIGNACIONES'!$F$4:$F$339,MATCH($O1103&amp;"|"&amp;$R1103&amp;"|"&amp;$AB1103,'ASIGNACIONES'!$I$4:$I$339,0)),""))</f>
        <v/>
      </c>
      <c r="AD1103" s="13">
        <f>IF($AB1103="","",SUMIFS('ORDENES'!$M$4:$M$1203,'ORDENES'!$AB$4:$AB$1203,$AB1103,'ORDENES'!$O$4:$O$1203,$O1103,'ORDENES'!$R$4:$R$1203,$R1103))</f>
        <v/>
      </c>
      <c r="AE1103" s="13">
        <f>IF($AD1103="","",p_factor_productividad*IFERROR(INDEX('ASIGNACIONES'!$H$4:$H$339,MATCH($O1103&amp;"|"&amp;$R1103&amp;"|"&amp;$AB1103,'ASIGNACIONES'!$I$4:$I$339,0)),0)-$AD1103)</f>
        <v/>
      </c>
      <c r="AF1103" s="10">
        <f>IF($A1103="","",IFERROR(INDEX('2_IMPORTAR_EJECUCION'!$F$9:$F$1208,MATCH($AN1103,'2_IMPORTAR_EJECUCION'!$J$9:$J$1208,0)),0))</f>
        <v/>
      </c>
      <c r="AG1103" s="10">
        <f>IF($A1103="","",MAX(0,IFERROR(INDEX('2_IMPORTAR_EJECUCION'!$H$9:$H$1208,MATCH($AN1103,'2_IMPORTAR_EJECUCION'!$J$9:$J$1208,0)),0)-$AF1103))</f>
        <v/>
      </c>
      <c r="AH1103" s="10">
        <f>IF($A1103="","",$AF1103+$AG1103)</f>
        <v/>
      </c>
      <c r="AI1103" s="6" t="n"/>
      <c r="AJ1103" s="6" t="n"/>
      <c r="AK1103" s="6" t="n"/>
      <c r="AL1103" s="3">
        <f>IF($AK1103="","",HYPERLINK(p_ruta_base_checklists&amp;$AK1103,"abrir"))</f>
        <v/>
      </c>
      <c r="AM1103" s="6" t="n"/>
      <c r="AN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1" t="n"/>
      <c r="K1104" s="3" t="n"/>
      <c r="L1104" s="10" t="n"/>
      <c r="M1104" s="3">
        <f>IF($A1104="","",IFERROR(INDEX('AJUSTES'!$B$4:$B$303,MATCH($AN1104,'AJUSTES'!$A$4:$A$303,0)),IF($K1104="","",$K1104)))</f>
        <v/>
      </c>
      <c r="N1104" s="3">
        <f>IF($A1104="","",IFERROR(INDEX('CAT_ESTADOS_ERP'!$B$4:$B$7,MATCH(IFERROR(INDEX('2_IMPORTAR_EJECUCION'!$C$9:$C$1208,MATCH($AN1104,'2_IMPORTAR_EJECUCION'!$J$9:$J$1208,0)),""),'CAT_ESTADOS_ERP'!$A$4:$A$7,0)),"Pendiente"))</f>
        <v/>
      </c>
      <c r="O1104" s="3">
        <f>IF($J1104="","",YEAR($J1104+4-WEEKDAY($J1104,2))&amp;"-S"&amp;TEXT(_xlfn.ISOWEEKNUM($J1104),"00"))</f>
        <v/>
      </c>
      <c r="P1104" s="3">
        <f>IF($J1104="","",YEAR($J1104))</f>
        <v/>
      </c>
      <c r="Q1104" s="3">
        <f>IF($J1104="","",MONTH($J1104))</f>
        <v/>
      </c>
      <c r="R1104" s="3">
        <f>IF($J1104="","",INDEX(lista_dias,WEEKDAY($J1104,2)))</f>
        <v/>
      </c>
      <c r="S1104" s="3">
        <f>IF($I1104="","",IFERROR(INDEX('CAT_TIPOS_OT'!$C$4:$C$7,MATCH($I1104,'CAT_TIPOS_OT'!$A$4:$A$7,0)),"sin_clasificar"))</f>
        <v/>
      </c>
      <c r="T1104" s="3">
        <f>IF($F1104="","",IFERROR(INDEX('CAT_CENTROS_COSTO'!$E$4:$E$9,MATCH($F1104,'CAT_CENTROS_COSTO'!$A$4:$A$9,0)),"(sin catálogo)"))</f>
        <v/>
      </c>
      <c r="U1104" s="3">
        <f>IF($F1104="","",IFERROR(INDEX('CAT_CENTROS_COSTO'!$D$4:$D$9,MATCH($F1104,'CAT_CENTROS_COSTO'!$A$4:$A$9,0)),"(sin catálogo)"))</f>
        <v/>
      </c>
      <c r="V1104" s="3">
        <f>IF($F1104="","",IFERROR(INDEX('CAT_CENTROS_COSTO'!$F$4:$F$9,MATCH($F1104,'CAT_CENTROS_COSTO'!$A$4:$A$9,0)),"(sin catálogo)"))</f>
        <v/>
      </c>
      <c r="W1104" s="3">
        <f>IF($G1104="","",IFERROR(INDEX('CAT_PUESTOS'!$B$4:$B$8,MATCH($G1104,'CAT_PUESTOS'!$A$4:$A$8,0)),"(sin catálogo)"))</f>
        <v/>
      </c>
      <c r="X1104" s="3">
        <f>IF($H1104="","",IFERROR(INDEX('CAT_ACTIVIDADES'!$B$4:$B$8,MATCH($H1104,'CAT_ACTIVIDADES'!$A$4:$A$8,0)),"(sin catálogo)"))</f>
        <v/>
      </c>
      <c r="Y1104" s="12">
        <f>IF($J1104="","",TODAY()-$J1104)</f>
        <v/>
      </c>
      <c r="Z1104" s="3">
        <f>IF($Y1104="","",IF($Y1104&lt;0,"FUTURO",IF($Y1104&gt;p_dias_backlog_max,"BACKLOG","MES CORRIENTE")))</f>
        <v/>
      </c>
      <c r="AA1104" s="3">
        <f>IF($Y1104="",FALSE,AND($Y1104&gt;p_dias_backlog_min,$Y1104&lt;=p_dias_backlog_max))</f>
        <v/>
      </c>
      <c r="AB1104" s="6" t="n"/>
      <c r="AC1104" s="3">
        <f>IF($AB1104="","",IFERROR(INDEX('ASIGNACIONES'!$F$4:$F$339,MATCH($O1104&amp;"|"&amp;$R1104&amp;"|"&amp;$AB1104,'ASIGNACIONES'!$I$4:$I$339,0)),""))</f>
        <v/>
      </c>
      <c r="AD1104" s="13">
        <f>IF($AB1104="","",SUMIFS('ORDENES'!$M$4:$M$1203,'ORDENES'!$AB$4:$AB$1203,$AB1104,'ORDENES'!$O$4:$O$1203,$O1104,'ORDENES'!$R$4:$R$1203,$R1104))</f>
        <v/>
      </c>
      <c r="AE1104" s="13">
        <f>IF($AD1104="","",p_factor_productividad*IFERROR(INDEX('ASIGNACIONES'!$H$4:$H$339,MATCH($O1104&amp;"|"&amp;$R1104&amp;"|"&amp;$AB1104,'ASIGNACIONES'!$I$4:$I$339,0)),0)-$AD1104)</f>
        <v/>
      </c>
      <c r="AF1104" s="10">
        <f>IF($A1104="","",IFERROR(INDEX('2_IMPORTAR_EJECUCION'!$F$9:$F$1208,MATCH($AN1104,'2_IMPORTAR_EJECUCION'!$J$9:$J$1208,0)),0))</f>
        <v/>
      </c>
      <c r="AG1104" s="10">
        <f>IF($A1104="","",MAX(0,IFERROR(INDEX('2_IMPORTAR_EJECUCION'!$H$9:$H$1208,MATCH($AN1104,'2_IMPORTAR_EJECUCION'!$J$9:$J$1208,0)),0)-$AF1104))</f>
        <v/>
      </c>
      <c r="AH1104" s="10">
        <f>IF($A1104="","",$AF1104+$AG1104)</f>
        <v/>
      </c>
      <c r="AI1104" s="6" t="n"/>
      <c r="AJ1104" s="6" t="n"/>
      <c r="AK1104" s="6" t="n"/>
      <c r="AL1104" s="3">
        <f>IF($AK1104="","",HYPERLINK(p_ruta_base_checklists&amp;$AK1104,"abrir"))</f>
        <v/>
      </c>
      <c r="AM1104" s="6" t="n"/>
      <c r="AN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1" t="n"/>
      <c r="K1105" s="3" t="n"/>
      <c r="L1105" s="10" t="n"/>
      <c r="M1105" s="3">
        <f>IF($A1105="","",IFERROR(INDEX('AJUSTES'!$B$4:$B$303,MATCH($AN1105,'AJUSTES'!$A$4:$A$303,0)),IF($K1105="","",$K1105)))</f>
        <v/>
      </c>
      <c r="N1105" s="3">
        <f>IF($A1105="","",IFERROR(INDEX('CAT_ESTADOS_ERP'!$B$4:$B$7,MATCH(IFERROR(INDEX('2_IMPORTAR_EJECUCION'!$C$9:$C$1208,MATCH($AN1105,'2_IMPORTAR_EJECUCION'!$J$9:$J$1208,0)),""),'CAT_ESTADOS_ERP'!$A$4:$A$7,0)),"Pendiente"))</f>
        <v/>
      </c>
      <c r="O1105" s="3">
        <f>IF($J1105="","",YEAR($J1105+4-WEEKDAY($J1105,2))&amp;"-S"&amp;TEXT(_xlfn.ISOWEEKNUM($J1105),"00"))</f>
        <v/>
      </c>
      <c r="P1105" s="3">
        <f>IF($J1105="","",YEAR($J1105))</f>
        <v/>
      </c>
      <c r="Q1105" s="3">
        <f>IF($J1105="","",MONTH($J1105))</f>
        <v/>
      </c>
      <c r="R1105" s="3">
        <f>IF($J1105="","",INDEX(lista_dias,WEEKDAY($J1105,2)))</f>
        <v/>
      </c>
      <c r="S1105" s="3">
        <f>IF($I1105="","",IFERROR(INDEX('CAT_TIPOS_OT'!$C$4:$C$7,MATCH($I1105,'CAT_TIPOS_OT'!$A$4:$A$7,0)),"sin_clasificar"))</f>
        <v/>
      </c>
      <c r="T1105" s="3">
        <f>IF($F1105="","",IFERROR(INDEX('CAT_CENTROS_COSTO'!$E$4:$E$9,MATCH($F1105,'CAT_CENTROS_COSTO'!$A$4:$A$9,0)),"(sin catálogo)"))</f>
        <v/>
      </c>
      <c r="U1105" s="3">
        <f>IF($F1105="","",IFERROR(INDEX('CAT_CENTROS_COSTO'!$D$4:$D$9,MATCH($F1105,'CAT_CENTROS_COSTO'!$A$4:$A$9,0)),"(sin catálogo)"))</f>
        <v/>
      </c>
      <c r="V1105" s="3">
        <f>IF($F1105="","",IFERROR(INDEX('CAT_CENTROS_COSTO'!$F$4:$F$9,MATCH($F1105,'CAT_CENTROS_COSTO'!$A$4:$A$9,0)),"(sin catálogo)"))</f>
        <v/>
      </c>
      <c r="W1105" s="3">
        <f>IF($G1105="","",IFERROR(INDEX('CAT_PUESTOS'!$B$4:$B$8,MATCH($G1105,'CAT_PUESTOS'!$A$4:$A$8,0)),"(sin catálogo)"))</f>
        <v/>
      </c>
      <c r="X1105" s="3">
        <f>IF($H1105="","",IFERROR(INDEX('CAT_ACTIVIDADES'!$B$4:$B$8,MATCH($H1105,'CAT_ACTIVIDADES'!$A$4:$A$8,0)),"(sin catálogo)"))</f>
        <v/>
      </c>
      <c r="Y1105" s="12">
        <f>IF($J1105="","",TODAY()-$J1105)</f>
        <v/>
      </c>
      <c r="Z1105" s="3">
        <f>IF($Y1105="","",IF($Y1105&lt;0,"FUTURO",IF($Y1105&gt;p_dias_backlog_max,"BACKLOG","MES CORRIENTE")))</f>
        <v/>
      </c>
      <c r="AA1105" s="3">
        <f>IF($Y1105="",FALSE,AND($Y1105&gt;p_dias_backlog_min,$Y1105&lt;=p_dias_backlog_max))</f>
        <v/>
      </c>
      <c r="AB1105" s="6" t="n"/>
      <c r="AC1105" s="3">
        <f>IF($AB1105="","",IFERROR(INDEX('ASIGNACIONES'!$F$4:$F$339,MATCH($O1105&amp;"|"&amp;$R1105&amp;"|"&amp;$AB1105,'ASIGNACIONES'!$I$4:$I$339,0)),""))</f>
        <v/>
      </c>
      <c r="AD1105" s="13">
        <f>IF($AB1105="","",SUMIFS('ORDENES'!$M$4:$M$1203,'ORDENES'!$AB$4:$AB$1203,$AB1105,'ORDENES'!$O$4:$O$1203,$O1105,'ORDENES'!$R$4:$R$1203,$R1105))</f>
        <v/>
      </c>
      <c r="AE1105" s="13">
        <f>IF($AD1105="","",p_factor_productividad*IFERROR(INDEX('ASIGNACIONES'!$H$4:$H$339,MATCH($O1105&amp;"|"&amp;$R1105&amp;"|"&amp;$AB1105,'ASIGNACIONES'!$I$4:$I$339,0)),0)-$AD1105)</f>
        <v/>
      </c>
      <c r="AF1105" s="10">
        <f>IF($A1105="","",IFERROR(INDEX('2_IMPORTAR_EJECUCION'!$F$9:$F$1208,MATCH($AN1105,'2_IMPORTAR_EJECUCION'!$J$9:$J$1208,0)),0))</f>
        <v/>
      </c>
      <c r="AG1105" s="10">
        <f>IF($A1105="","",MAX(0,IFERROR(INDEX('2_IMPORTAR_EJECUCION'!$H$9:$H$1208,MATCH($AN1105,'2_IMPORTAR_EJECUCION'!$J$9:$J$1208,0)),0)-$AF1105))</f>
        <v/>
      </c>
      <c r="AH1105" s="10">
        <f>IF($A1105="","",$AF1105+$AG1105)</f>
        <v/>
      </c>
      <c r="AI1105" s="6" t="n"/>
      <c r="AJ1105" s="6" t="n"/>
      <c r="AK1105" s="6" t="n"/>
      <c r="AL1105" s="3">
        <f>IF($AK1105="","",HYPERLINK(p_ruta_base_checklists&amp;$AK1105,"abrir"))</f>
        <v/>
      </c>
      <c r="AM1105" s="6" t="n"/>
      <c r="AN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1" t="n"/>
      <c r="K1106" s="3" t="n"/>
      <c r="L1106" s="10" t="n"/>
      <c r="M1106" s="3">
        <f>IF($A1106="","",IFERROR(INDEX('AJUSTES'!$B$4:$B$303,MATCH($AN1106,'AJUSTES'!$A$4:$A$303,0)),IF($K1106="","",$K1106)))</f>
        <v/>
      </c>
      <c r="N1106" s="3">
        <f>IF($A1106="","",IFERROR(INDEX('CAT_ESTADOS_ERP'!$B$4:$B$7,MATCH(IFERROR(INDEX('2_IMPORTAR_EJECUCION'!$C$9:$C$1208,MATCH($AN1106,'2_IMPORTAR_EJECUCION'!$J$9:$J$1208,0)),""),'CAT_ESTADOS_ERP'!$A$4:$A$7,0)),"Pendiente"))</f>
        <v/>
      </c>
      <c r="O1106" s="3">
        <f>IF($J1106="","",YEAR($J1106+4-WEEKDAY($J1106,2))&amp;"-S"&amp;TEXT(_xlfn.ISOWEEKNUM($J1106),"00"))</f>
        <v/>
      </c>
      <c r="P1106" s="3">
        <f>IF($J1106="","",YEAR($J1106))</f>
        <v/>
      </c>
      <c r="Q1106" s="3">
        <f>IF($J1106="","",MONTH($J1106))</f>
        <v/>
      </c>
      <c r="R1106" s="3">
        <f>IF($J1106="","",INDEX(lista_dias,WEEKDAY($J1106,2)))</f>
        <v/>
      </c>
      <c r="S1106" s="3">
        <f>IF($I1106="","",IFERROR(INDEX('CAT_TIPOS_OT'!$C$4:$C$7,MATCH($I1106,'CAT_TIPOS_OT'!$A$4:$A$7,0)),"sin_clasificar"))</f>
        <v/>
      </c>
      <c r="T1106" s="3">
        <f>IF($F1106="","",IFERROR(INDEX('CAT_CENTROS_COSTO'!$E$4:$E$9,MATCH($F1106,'CAT_CENTROS_COSTO'!$A$4:$A$9,0)),"(sin catálogo)"))</f>
        <v/>
      </c>
      <c r="U1106" s="3">
        <f>IF($F1106="","",IFERROR(INDEX('CAT_CENTROS_COSTO'!$D$4:$D$9,MATCH($F1106,'CAT_CENTROS_COSTO'!$A$4:$A$9,0)),"(sin catálogo)"))</f>
        <v/>
      </c>
      <c r="V1106" s="3">
        <f>IF($F1106="","",IFERROR(INDEX('CAT_CENTROS_COSTO'!$F$4:$F$9,MATCH($F1106,'CAT_CENTROS_COSTO'!$A$4:$A$9,0)),"(sin catálogo)"))</f>
        <v/>
      </c>
      <c r="W1106" s="3">
        <f>IF($G1106="","",IFERROR(INDEX('CAT_PUESTOS'!$B$4:$B$8,MATCH($G1106,'CAT_PUESTOS'!$A$4:$A$8,0)),"(sin catálogo)"))</f>
        <v/>
      </c>
      <c r="X1106" s="3">
        <f>IF($H1106="","",IFERROR(INDEX('CAT_ACTIVIDADES'!$B$4:$B$8,MATCH($H1106,'CAT_ACTIVIDADES'!$A$4:$A$8,0)),"(sin catálogo)"))</f>
        <v/>
      </c>
      <c r="Y1106" s="12">
        <f>IF($J1106="","",TODAY()-$J1106)</f>
        <v/>
      </c>
      <c r="Z1106" s="3">
        <f>IF($Y1106="","",IF($Y1106&lt;0,"FUTURO",IF($Y1106&gt;p_dias_backlog_max,"BACKLOG","MES CORRIENTE")))</f>
        <v/>
      </c>
      <c r="AA1106" s="3">
        <f>IF($Y1106="",FALSE,AND($Y1106&gt;p_dias_backlog_min,$Y1106&lt;=p_dias_backlog_max))</f>
        <v/>
      </c>
      <c r="AB1106" s="6" t="n"/>
      <c r="AC1106" s="3">
        <f>IF($AB1106="","",IFERROR(INDEX('ASIGNACIONES'!$F$4:$F$339,MATCH($O1106&amp;"|"&amp;$R1106&amp;"|"&amp;$AB1106,'ASIGNACIONES'!$I$4:$I$339,0)),""))</f>
        <v/>
      </c>
      <c r="AD1106" s="13">
        <f>IF($AB1106="","",SUMIFS('ORDENES'!$M$4:$M$1203,'ORDENES'!$AB$4:$AB$1203,$AB1106,'ORDENES'!$O$4:$O$1203,$O1106,'ORDENES'!$R$4:$R$1203,$R1106))</f>
        <v/>
      </c>
      <c r="AE1106" s="13">
        <f>IF($AD1106="","",p_factor_productividad*IFERROR(INDEX('ASIGNACIONES'!$H$4:$H$339,MATCH($O1106&amp;"|"&amp;$R1106&amp;"|"&amp;$AB1106,'ASIGNACIONES'!$I$4:$I$339,0)),0)-$AD1106)</f>
        <v/>
      </c>
      <c r="AF1106" s="10">
        <f>IF($A1106="","",IFERROR(INDEX('2_IMPORTAR_EJECUCION'!$F$9:$F$1208,MATCH($AN1106,'2_IMPORTAR_EJECUCION'!$J$9:$J$1208,0)),0))</f>
        <v/>
      </c>
      <c r="AG1106" s="10">
        <f>IF($A1106="","",MAX(0,IFERROR(INDEX('2_IMPORTAR_EJECUCION'!$H$9:$H$1208,MATCH($AN1106,'2_IMPORTAR_EJECUCION'!$J$9:$J$1208,0)),0)-$AF1106))</f>
        <v/>
      </c>
      <c r="AH1106" s="10">
        <f>IF($A1106="","",$AF1106+$AG1106)</f>
        <v/>
      </c>
      <c r="AI1106" s="6" t="n"/>
      <c r="AJ1106" s="6" t="n"/>
      <c r="AK1106" s="6" t="n"/>
      <c r="AL1106" s="3">
        <f>IF($AK1106="","",HYPERLINK(p_ruta_base_checklists&amp;$AK1106,"abrir"))</f>
        <v/>
      </c>
      <c r="AM1106" s="6" t="n"/>
      <c r="AN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1" t="n"/>
      <c r="K1107" s="3" t="n"/>
      <c r="L1107" s="10" t="n"/>
      <c r="M1107" s="3">
        <f>IF($A1107="","",IFERROR(INDEX('AJUSTES'!$B$4:$B$303,MATCH($AN1107,'AJUSTES'!$A$4:$A$303,0)),IF($K1107="","",$K1107)))</f>
        <v/>
      </c>
      <c r="N1107" s="3">
        <f>IF($A1107="","",IFERROR(INDEX('CAT_ESTADOS_ERP'!$B$4:$B$7,MATCH(IFERROR(INDEX('2_IMPORTAR_EJECUCION'!$C$9:$C$1208,MATCH($AN1107,'2_IMPORTAR_EJECUCION'!$J$9:$J$1208,0)),""),'CAT_ESTADOS_ERP'!$A$4:$A$7,0)),"Pendiente"))</f>
        <v/>
      </c>
      <c r="O1107" s="3">
        <f>IF($J1107="","",YEAR($J1107+4-WEEKDAY($J1107,2))&amp;"-S"&amp;TEXT(_xlfn.ISOWEEKNUM($J1107),"00"))</f>
        <v/>
      </c>
      <c r="P1107" s="3">
        <f>IF($J1107="","",YEAR($J1107))</f>
        <v/>
      </c>
      <c r="Q1107" s="3">
        <f>IF($J1107="","",MONTH($J1107))</f>
        <v/>
      </c>
      <c r="R1107" s="3">
        <f>IF($J1107="","",INDEX(lista_dias,WEEKDAY($J1107,2)))</f>
        <v/>
      </c>
      <c r="S1107" s="3">
        <f>IF($I1107="","",IFERROR(INDEX('CAT_TIPOS_OT'!$C$4:$C$7,MATCH($I1107,'CAT_TIPOS_OT'!$A$4:$A$7,0)),"sin_clasificar"))</f>
        <v/>
      </c>
      <c r="T1107" s="3">
        <f>IF($F1107="","",IFERROR(INDEX('CAT_CENTROS_COSTO'!$E$4:$E$9,MATCH($F1107,'CAT_CENTROS_COSTO'!$A$4:$A$9,0)),"(sin catálogo)"))</f>
        <v/>
      </c>
      <c r="U1107" s="3">
        <f>IF($F1107="","",IFERROR(INDEX('CAT_CENTROS_COSTO'!$D$4:$D$9,MATCH($F1107,'CAT_CENTROS_COSTO'!$A$4:$A$9,0)),"(sin catálogo)"))</f>
        <v/>
      </c>
      <c r="V1107" s="3">
        <f>IF($F1107="","",IFERROR(INDEX('CAT_CENTROS_COSTO'!$F$4:$F$9,MATCH($F1107,'CAT_CENTROS_COSTO'!$A$4:$A$9,0)),"(sin catálogo)"))</f>
        <v/>
      </c>
      <c r="W1107" s="3">
        <f>IF($G1107="","",IFERROR(INDEX('CAT_PUESTOS'!$B$4:$B$8,MATCH($G1107,'CAT_PUESTOS'!$A$4:$A$8,0)),"(sin catálogo)"))</f>
        <v/>
      </c>
      <c r="X1107" s="3">
        <f>IF($H1107="","",IFERROR(INDEX('CAT_ACTIVIDADES'!$B$4:$B$8,MATCH($H1107,'CAT_ACTIVIDADES'!$A$4:$A$8,0)),"(sin catálogo)"))</f>
        <v/>
      </c>
      <c r="Y1107" s="12">
        <f>IF($J1107="","",TODAY()-$J1107)</f>
        <v/>
      </c>
      <c r="Z1107" s="3">
        <f>IF($Y1107="","",IF($Y1107&lt;0,"FUTURO",IF($Y1107&gt;p_dias_backlog_max,"BACKLOG","MES CORRIENTE")))</f>
        <v/>
      </c>
      <c r="AA1107" s="3">
        <f>IF($Y1107="",FALSE,AND($Y1107&gt;p_dias_backlog_min,$Y1107&lt;=p_dias_backlog_max))</f>
        <v/>
      </c>
      <c r="AB1107" s="6" t="n"/>
      <c r="AC1107" s="3">
        <f>IF($AB1107="","",IFERROR(INDEX('ASIGNACIONES'!$F$4:$F$339,MATCH($O1107&amp;"|"&amp;$R1107&amp;"|"&amp;$AB1107,'ASIGNACIONES'!$I$4:$I$339,0)),""))</f>
        <v/>
      </c>
      <c r="AD1107" s="13">
        <f>IF($AB1107="","",SUMIFS('ORDENES'!$M$4:$M$1203,'ORDENES'!$AB$4:$AB$1203,$AB1107,'ORDENES'!$O$4:$O$1203,$O1107,'ORDENES'!$R$4:$R$1203,$R1107))</f>
        <v/>
      </c>
      <c r="AE1107" s="13">
        <f>IF($AD1107="","",p_factor_productividad*IFERROR(INDEX('ASIGNACIONES'!$H$4:$H$339,MATCH($O1107&amp;"|"&amp;$R1107&amp;"|"&amp;$AB1107,'ASIGNACIONES'!$I$4:$I$339,0)),0)-$AD1107)</f>
        <v/>
      </c>
      <c r="AF1107" s="10">
        <f>IF($A1107="","",IFERROR(INDEX('2_IMPORTAR_EJECUCION'!$F$9:$F$1208,MATCH($AN1107,'2_IMPORTAR_EJECUCION'!$J$9:$J$1208,0)),0))</f>
        <v/>
      </c>
      <c r="AG1107" s="10">
        <f>IF($A1107="","",MAX(0,IFERROR(INDEX('2_IMPORTAR_EJECUCION'!$H$9:$H$1208,MATCH($AN1107,'2_IMPORTAR_EJECUCION'!$J$9:$J$1208,0)),0)-$AF1107))</f>
        <v/>
      </c>
      <c r="AH1107" s="10">
        <f>IF($A1107="","",$AF1107+$AG1107)</f>
        <v/>
      </c>
      <c r="AI1107" s="6" t="n"/>
      <c r="AJ1107" s="6" t="n"/>
      <c r="AK1107" s="6" t="n"/>
      <c r="AL1107" s="3">
        <f>IF($AK1107="","",HYPERLINK(p_ruta_base_checklists&amp;$AK1107,"abrir"))</f>
        <v/>
      </c>
      <c r="AM1107" s="6" t="n"/>
      <c r="AN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1" t="n"/>
      <c r="K1108" s="3" t="n"/>
      <c r="L1108" s="10" t="n"/>
      <c r="M1108" s="3">
        <f>IF($A1108="","",IFERROR(INDEX('AJUSTES'!$B$4:$B$303,MATCH($AN1108,'AJUSTES'!$A$4:$A$303,0)),IF($K1108="","",$K1108)))</f>
        <v/>
      </c>
      <c r="N1108" s="3">
        <f>IF($A1108="","",IFERROR(INDEX('CAT_ESTADOS_ERP'!$B$4:$B$7,MATCH(IFERROR(INDEX('2_IMPORTAR_EJECUCION'!$C$9:$C$1208,MATCH($AN1108,'2_IMPORTAR_EJECUCION'!$J$9:$J$1208,0)),""),'CAT_ESTADOS_ERP'!$A$4:$A$7,0)),"Pendiente"))</f>
        <v/>
      </c>
      <c r="O1108" s="3">
        <f>IF($J1108="","",YEAR($J1108+4-WEEKDAY($J1108,2))&amp;"-S"&amp;TEXT(_xlfn.ISOWEEKNUM($J1108),"00"))</f>
        <v/>
      </c>
      <c r="P1108" s="3">
        <f>IF($J1108="","",YEAR($J1108))</f>
        <v/>
      </c>
      <c r="Q1108" s="3">
        <f>IF($J1108="","",MONTH($J1108))</f>
        <v/>
      </c>
      <c r="R1108" s="3">
        <f>IF($J1108="","",INDEX(lista_dias,WEEKDAY($J1108,2)))</f>
        <v/>
      </c>
      <c r="S1108" s="3">
        <f>IF($I1108="","",IFERROR(INDEX('CAT_TIPOS_OT'!$C$4:$C$7,MATCH($I1108,'CAT_TIPOS_OT'!$A$4:$A$7,0)),"sin_clasificar"))</f>
        <v/>
      </c>
      <c r="T1108" s="3">
        <f>IF($F1108="","",IFERROR(INDEX('CAT_CENTROS_COSTO'!$E$4:$E$9,MATCH($F1108,'CAT_CENTROS_COSTO'!$A$4:$A$9,0)),"(sin catálogo)"))</f>
        <v/>
      </c>
      <c r="U1108" s="3">
        <f>IF($F1108="","",IFERROR(INDEX('CAT_CENTROS_COSTO'!$D$4:$D$9,MATCH($F1108,'CAT_CENTROS_COSTO'!$A$4:$A$9,0)),"(sin catálogo)"))</f>
        <v/>
      </c>
      <c r="V1108" s="3">
        <f>IF($F1108="","",IFERROR(INDEX('CAT_CENTROS_COSTO'!$F$4:$F$9,MATCH($F1108,'CAT_CENTROS_COSTO'!$A$4:$A$9,0)),"(sin catálogo)"))</f>
        <v/>
      </c>
      <c r="W1108" s="3">
        <f>IF($G1108="","",IFERROR(INDEX('CAT_PUESTOS'!$B$4:$B$8,MATCH($G1108,'CAT_PUESTOS'!$A$4:$A$8,0)),"(sin catálogo)"))</f>
        <v/>
      </c>
      <c r="X1108" s="3">
        <f>IF($H1108="","",IFERROR(INDEX('CAT_ACTIVIDADES'!$B$4:$B$8,MATCH($H1108,'CAT_ACTIVIDADES'!$A$4:$A$8,0)),"(sin catálogo)"))</f>
        <v/>
      </c>
      <c r="Y1108" s="12">
        <f>IF($J1108="","",TODAY()-$J1108)</f>
        <v/>
      </c>
      <c r="Z1108" s="3">
        <f>IF($Y1108="","",IF($Y1108&lt;0,"FUTURO",IF($Y1108&gt;p_dias_backlog_max,"BACKLOG","MES CORRIENTE")))</f>
        <v/>
      </c>
      <c r="AA1108" s="3">
        <f>IF($Y1108="",FALSE,AND($Y1108&gt;p_dias_backlog_min,$Y1108&lt;=p_dias_backlog_max))</f>
        <v/>
      </c>
      <c r="AB1108" s="6" t="n"/>
      <c r="AC1108" s="3">
        <f>IF($AB1108="","",IFERROR(INDEX('ASIGNACIONES'!$F$4:$F$339,MATCH($O1108&amp;"|"&amp;$R1108&amp;"|"&amp;$AB1108,'ASIGNACIONES'!$I$4:$I$339,0)),""))</f>
        <v/>
      </c>
      <c r="AD1108" s="13">
        <f>IF($AB1108="","",SUMIFS('ORDENES'!$M$4:$M$1203,'ORDENES'!$AB$4:$AB$1203,$AB1108,'ORDENES'!$O$4:$O$1203,$O1108,'ORDENES'!$R$4:$R$1203,$R1108))</f>
        <v/>
      </c>
      <c r="AE1108" s="13">
        <f>IF($AD1108="","",p_factor_productividad*IFERROR(INDEX('ASIGNACIONES'!$H$4:$H$339,MATCH($O1108&amp;"|"&amp;$R1108&amp;"|"&amp;$AB1108,'ASIGNACIONES'!$I$4:$I$339,0)),0)-$AD1108)</f>
        <v/>
      </c>
      <c r="AF1108" s="10">
        <f>IF($A1108="","",IFERROR(INDEX('2_IMPORTAR_EJECUCION'!$F$9:$F$1208,MATCH($AN1108,'2_IMPORTAR_EJECUCION'!$J$9:$J$1208,0)),0))</f>
        <v/>
      </c>
      <c r="AG1108" s="10">
        <f>IF($A1108="","",MAX(0,IFERROR(INDEX('2_IMPORTAR_EJECUCION'!$H$9:$H$1208,MATCH($AN1108,'2_IMPORTAR_EJECUCION'!$J$9:$J$1208,0)),0)-$AF1108))</f>
        <v/>
      </c>
      <c r="AH1108" s="10">
        <f>IF($A1108="","",$AF1108+$AG1108)</f>
        <v/>
      </c>
      <c r="AI1108" s="6" t="n"/>
      <c r="AJ1108" s="6" t="n"/>
      <c r="AK1108" s="6" t="n"/>
      <c r="AL1108" s="3">
        <f>IF($AK1108="","",HYPERLINK(p_ruta_base_checklists&amp;$AK1108,"abrir"))</f>
        <v/>
      </c>
      <c r="AM1108" s="6" t="n"/>
      <c r="AN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1" t="n"/>
      <c r="K1109" s="3" t="n"/>
      <c r="L1109" s="10" t="n"/>
      <c r="M1109" s="3">
        <f>IF($A1109="","",IFERROR(INDEX('AJUSTES'!$B$4:$B$303,MATCH($AN1109,'AJUSTES'!$A$4:$A$303,0)),IF($K1109="","",$K1109)))</f>
        <v/>
      </c>
      <c r="N1109" s="3">
        <f>IF($A1109="","",IFERROR(INDEX('CAT_ESTADOS_ERP'!$B$4:$B$7,MATCH(IFERROR(INDEX('2_IMPORTAR_EJECUCION'!$C$9:$C$1208,MATCH($AN1109,'2_IMPORTAR_EJECUCION'!$J$9:$J$1208,0)),""),'CAT_ESTADOS_ERP'!$A$4:$A$7,0)),"Pendiente"))</f>
        <v/>
      </c>
      <c r="O1109" s="3">
        <f>IF($J1109="","",YEAR($J1109+4-WEEKDAY($J1109,2))&amp;"-S"&amp;TEXT(_xlfn.ISOWEEKNUM($J1109),"00"))</f>
        <v/>
      </c>
      <c r="P1109" s="3">
        <f>IF($J1109="","",YEAR($J1109))</f>
        <v/>
      </c>
      <c r="Q1109" s="3">
        <f>IF($J1109="","",MONTH($J1109))</f>
        <v/>
      </c>
      <c r="R1109" s="3">
        <f>IF($J1109="","",INDEX(lista_dias,WEEKDAY($J1109,2)))</f>
        <v/>
      </c>
      <c r="S1109" s="3">
        <f>IF($I1109="","",IFERROR(INDEX('CAT_TIPOS_OT'!$C$4:$C$7,MATCH($I1109,'CAT_TIPOS_OT'!$A$4:$A$7,0)),"sin_clasificar"))</f>
        <v/>
      </c>
      <c r="T1109" s="3">
        <f>IF($F1109="","",IFERROR(INDEX('CAT_CENTROS_COSTO'!$E$4:$E$9,MATCH($F1109,'CAT_CENTROS_COSTO'!$A$4:$A$9,0)),"(sin catálogo)"))</f>
        <v/>
      </c>
      <c r="U1109" s="3">
        <f>IF($F1109="","",IFERROR(INDEX('CAT_CENTROS_COSTO'!$D$4:$D$9,MATCH($F1109,'CAT_CENTROS_COSTO'!$A$4:$A$9,0)),"(sin catálogo)"))</f>
        <v/>
      </c>
      <c r="V1109" s="3">
        <f>IF($F1109="","",IFERROR(INDEX('CAT_CENTROS_COSTO'!$F$4:$F$9,MATCH($F1109,'CAT_CENTROS_COSTO'!$A$4:$A$9,0)),"(sin catálogo)"))</f>
        <v/>
      </c>
      <c r="W1109" s="3">
        <f>IF($G1109="","",IFERROR(INDEX('CAT_PUESTOS'!$B$4:$B$8,MATCH($G1109,'CAT_PUESTOS'!$A$4:$A$8,0)),"(sin catálogo)"))</f>
        <v/>
      </c>
      <c r="X1109" s="3">
        <f>IF($H1109="","",IFERROR(INDEX('CAT_ACTIVIDADES'!$B$4:$B$8,MATCH($H1109,'CAT_ACTIVIDADES'!$A$4:$A$8,0)),"(sin catálogo)"))</f>
        <v/>
      </c>
      <c r="Y1109" s="12">
        <f>IF($J1109="","",TODAY()-$J1109)</f>
        <v/>
      </c>
      <c r="Z1109" s="3">
        <f>IF($Y1109="","",IF($Y1109&lt;0,"FUTURO",IF($Y1109&gt;p_dias_backlog_max,"BACKLOG","MES CORRIENTE")))</f>
        <v/>
      </c>
      <c r="AA1109" s="3">
        <f>IF($Y1109="",FALSE,AND($Y1109&gt;p_dias_backlog_min,$Y1109&lt;=p_dias_backlog_max))</f>
        <v/>
      </c>
      <c r="AB1109" s="6" t="n"/>
      <c r="AC1109" s="3">
        <f>IF($AB1109="","",IFERROR(INDEX('ASIGNACIONES'!$F$4:$F$339,MATCH($O1109&amp;"|"&amp;$R1109&amp;"|"&amp;$AB1109,'ASIGNACIONES'!$I$4:$I$339,0)),""))</f>
        <v/>
      </c>
      <c r="AD1109" s="13">
        <f>IF($AB1109="","",SUMIFS('ORDENES'!$M$4:$M$1203,'ORDENES'!$AB$4:$AB$1203,$AB1109,'ORDENES'!$O$4:$O$1203,$O1109,'ORDENES'!$R$4:$R$1203,$R1109))</f>
        <v/>
      </c>
      <c r="AE1109" s="13">
        <f>IF($AD1109="","",p_factor_productividad*IFERROR(INDEX('ASIGNACIONES'!$H$4:$H$339,MATCH($O1109&amp;"|"&amp;$R1109&amp;"|"&amp;$AB1109,'ASIGNACIONES'!$I$4:$I$339,0)),0)-$AD1109)</f>
        <v/>
      </c>
      <c r="AF1109" s="10">
        <f>IF($A1109="","",IFERROR(INDEX('2_IMPORTAR_EJECUCION'!$F$9:$F$1208,MATCH($AN1109,'2_IMPORTAR_EJECUCION'!$J$9:$J$1208,0)),0))</f>
        <v/>
      </c>
      <c r="AG1109" s="10">
        <f>IF($A1109="","",MAX(0,IFERROR(INDEX('2_IMPORTAR_EJECUCION'!$H$9:$H$1208,MATCH($AN1109,'2_IMPORTAR_EJECUCION'!$J$9:$J$1208,0)),0)-$AF1109))</f>
        <v/>
      </c>
      <c r="AH1109" s="10">
        <f>IF($A1109="","",$AF1109+$AG1109)</f>
        <v/>
      </c>
      <c r="AI1109" s="6" t="n"/>
      <c r="AJ1109" s="6" t="n"/>
      <c r="AK1109" s="6" t="n"/>
      <c r="AL1109" s="3">
        <f>IF($AK1109="","",HYPERLINK(p_ruta_base_checklists&amp;$AK1109,"abrir"))</f>
        <v/>
      </c>
      <c r="AM1109" s="6" t="n"/>
      <c r="AN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1" t="n"/>
      <c r="K1110" s="3" t="n"/>
      <c r="L1110" s="10" t="n"/>
      <c r="M1110" s="3">
        <f>IF($A1110="","",IFERROR(INDEX('AJUSTES'!$B$4:$B$303,MATCH($AN1110,'AJUSTES'!$A$4:$A$303,0)),IF($K1110="","",$K1110)))</f>
        <v/>
      </c>
      <c r="N1110" s="3">
        <f>IF($A1110="","",IFERROR(INDEX('CAT_ESTADOS_ERP'!$B$4:$B$7,MATCH(IFERROR(INDEX('2_IMPORTAR_EJECUCION'!$C$9:$C$1208,MATCH($AN1110,'2_IMPORTAR_EJECUCION'!$J$9:$J$1208,0)),""),'CAT_ESTADOS_ERP'!$A$4:$A$7,0)),"Pendiente"))</f>
        <v/>
      </c>
      <c r="O1110" s="3">
        <f>IF($J1110="","",YEAR($J1110+4-WEEKDAY($J1110,2))&amp;"-S"&amp;TEXT(_xlfn.ISOWEEKNUM($J1110),"00"))</f>
        <v/>
      </c>
      <c r="P1110" s="3">
        <f>IF($J1110="","",YEAR($J1110))</f>
        <v/>
      </c>
      <c r="Q1110" s="3">
        <f>IF($J1110="","",MONTH($J1110))</f>
        <v/>
      </c>
      <c r="R1110" s="3">
        <f>IF($J1110="","",INDEX(lista_dias,WEEKDAY($J1110,2)))</f>
        <v/>
      </c>
      <c r="S1110" s="3">
        <f>IF($I1110="","",IFERROR(INDEX('CAT_TIPOS_OT'!$C$4:$C$7,MATCH($I1110,'CAT_TIPOS_OT'!$A$4:$A$7,0)),"sin_clasificar"))</f>
        <v/>
      </c>
      <c r="T1110" s="3">
        <f>IF($F1110="","",IFERROR(INDEX('CAT_CENTROS_COSTO'!$E$4:$E$9,MATCH($F1110,'CAT_CENTROS_COSTO'!$A$4:$A$9,0)),"(sin catálogo)"))</f>
        <v/>
      </c>
      <c r="U1110" s="3">
        <f>IF($F1110="","",IFERROR(INDEX('CAT_CENTROS_COSTO'!$D$4:$D$9,MATCH($F1110,'CAT_CENTROS_COSTO'!$A$4:$A$9,0)),"(sin catálogo)"))</f>
        <v/>
      </c>
      <c r="V1110" s="3">
        <f>IF($F1110="","",IFERROR(INDEX('CAT_CENTROS_COSTO'!$F$4:$F$9,MATCH($F1110,'CAT_CENTROS_COSTO'!$A$4:$A$9,0)),"(sin catálogo)"))</f>
        <v/>
      </c>
      <c r="W1110" s="3">
        <f>IF($G1110="","",IFERROR(INDEX('CAT_PUESTOS'!$B$4:$B$8,MATCH($G1110,'CAT_PUESTOS'!$A$4:$A$8,0)),"(sin catálogo)"))</f>
        <v/>
      </c>
      <c r="X1110" s="3">
        <f>IF($H1110="","",IFERROR(INDEX('CAT_ACTIVIDADES'!$B$4:$B$8,MATCH($H1110,'CAT_ACTIVIDADES'!$A$4:$A$8,0)),"(sin catálogo)"))</f>
        <v/>
      </c>
      <c r="Y1110" s="12">
        <f>IF($J1110="","",TODAY()-$J1110)</f>
        <v/>
      </c>
      <c r="Z1110" s="3">
        <f>IF($Y1110="","",IF($Y1110&lt;0,"FUTURO",IF($Y1110&gt;p_dias_backlog_max,"BACKLOG","MES CORRIENTE")))</f>
        <v/>
      </c>
      <c r="AA1110" s="3">
        <f>IF($Y1110="",FALSE,AND($Y1110&gt;p_dias_backlog_min,$Y1110&lt;=p_dias_backlog_max))</f>
        <v/>
      </c>
      <c r="AB1110" s="6" t="n"/>
      <c r="AC1110" s="3">
        <f>IF($AB1110="","",IFERROR(INDEX('ASIGNACIONES'!$F$4:$F$339,MATCH($O1110&amp;"|"&amp;$R1110&amp;"|"&amp;$AB1110,'ASIGNACIONES'!$I$4:$I$339,0)),""))</f>
        <v/>
      </c>
      <c r="AD1110" s="13">
        <f>IF($AB1110="","",SUMIFS('ORDENES'!$M$4:$M$1203,'ORDENES'!$AB$4:$AB$1203,$AB1110,'ORDENES'!$O$4:$O$1203,$O1110,'ORDENES'!$R$4:$R$1203,$R1110))</f>
        <v/>
      </c>
      <c r="AE1110" s="13">
        <f>IF($AD1110="","",p_factor_productividad*IFERROR(INDEX('ASIGNACIONES'!$H$4:$H$339,MATCH($O1110&amp;"|"&amp;$R1110&amp;"|"&amp;$AB1110,'ASIGNACIONES'!$I$4:$I$339,0)),0)-$AD1110)</f>
        <v/>
      </c>
      <c r="AF1110" s="10">
        <f>IF($A1110="","",IFERROR(INDEX('2_IMPORTAR_EJECUCION'!$F$9:$F$1208,MATCH($AN1110,'2_IMPORTAR_EJECUCION'!$J$9:$J$1208,0)),0))</f>
        <v/>
      </c>
      <c r="AG1110" s="10">
        <f>IF($A1110="","",MAX(0,IFERROR(INDEX('2_IMPORTAR_EJECUCION'!$H$9:$H$1208,MATCH($AN1110,'2_IMPORTAR_EJECUCION'!$J$9:$J$1208,0)),0)-$AF1110))</f>
        <v/>
      </c>
      <c r="AH1110" s="10">
        <f>IF($A1110="","",$AF1110+$AG1110)</f>
        <v/>
      </c>
      <c r="AI1110" s="6" t="n"/>
      <c r="AJ1110" s="6" t="n"/>
      <c r="AK1110" s="6" t="n"/>
      <c r="AL1110" s="3">
        <f>IF($AK1110="","",HYPERLINK(p_ruta_base_checklists&amp;$AK1110,"abrir"))</f>
        <v/>
      </c>
      <c r="AM1110" s="6" t="n"/>
      <c r="AN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1" t="n"/>
      <c r="K1111" s="3" t="n"/>
      <c r="L1111" s="10" t="n"/>
      <c r="M1111" s="3">
        <f>IF($A1111="","",IFERROR(INDEX('AJUSTES'!$B$4:$B$303,MATCH($AN1111,'AJUSTES'!$A$4:$A$303,0)),IF($K1111="","",$K1111)))</f>
        <v/>
      </c>
      <c r="N1111" s="3">
        <f>IF($A1111="","",IFERROR(INDEX('CAT_ESTADOS_ERP'!$B$4:$B$7,MATCH(IFERROR(INDEX('2_IMPORTAR_EJECUCION'!$C$9:$C$1208,MATCH($AN1111,'2_IMPORTAR_EJECUCION'!$J$9:$J$1208,0)),""),'CAT_ESTADOS_ERP'!$A$4:$A$7,0)),"Pendiente"))</f>
        <v/>
      </c>
      <c r="O1111" s="3">
        <f>IF($J1111="","",YEAR($J1111+4-WEEKDAY($J1111,2))&amp;"-S"&amp;TEXT(_xlfn.ISOWEEKNUM($J1111),"00"))</f>
        <v/>
      </c>
      <c r="P1111" s="3">
        <f>IF($J1111="","",YEAR($J1111))</f>
        <v/>
      </c>
      <c r="Q1111" s="3">
        <f>IF($J1111="","",MONTH($J1111))</f>
        <v/>
      </c>
      <c r="R1111" s="3">
        <f>IF($J1111="","",INDEX(lista_dias,WEEKDAY($J1111,2)))</f>
        <v/>
      </c>
      <c r="S1111" s="3">
        <f>IF($I1111="","",IFERROR(INDEX('CAT_TIPOS_OT'!$C$4:$C$7,MATCH($I1111,'CAT_TIPOS_OT'!$A$4:$A$7,0)),"sin_clasificar"))</f>
        <v/>
      </c>
      <c r="T1111" s="3">
        <f>IF($F1111="","",IFERROR(INDEX('CAT_CENTROS_COSTO'!$E$4:$E$9,MATCH($F1111,'CAT_CENTROS_COSTO'!$A$4:$A$9,0)),"(sin catálogo)"))</f>
        <v/>
      </c>
      <c r="U1111" s="3">
        <f>IF($F1111="","",IFERROR(INDEX('CAT_CENTROS_COSTO'!$D$4:$D$9,MATCH($F1111,'CAT_CENTROS_COSTO'!$A$4:$A$9,0)),"(sin catálogo)"))</f>
        <v/>
      </c>
      <c r="V1111" s="3">
        <f>IF($F1111="","",IFERROR(INDEX('CAT_CENTROS_COSTO'!$F$4:$F$9,MATCH($F1111,'CAT_CENTROS_COSTO'!$A$4:$A$9,0)),"(sin catálogo)"))</f>
        <v/>
      </c>
      <c r="W1111" s="3">
        <f>IF($G1111="","",IFERROR(INDEX('CAT_PUESTOS'!$B$4:$B$8,MATCH($G1111,'CAT_PUESTOS'!$A$4:$A$8,0)),"(sin catálogo)"))</f>
        <v/>
      </c>
      <c r="X1111" s="3">
        <f>IF($H1111="","",IFERROR(INDEX('CAT_ACTIVIDADES'!$B$4:$B$8,MATCH($H1111,'CAT_ACTIVIDADES'!$A$4:$A$8,0)),"(sin catálogo)"))</f>
        <v/>
      </c>
      <c r="Y1111" s="12">
        <f>IF($J1111="","",TODAY()-$J1111)</f>
        <v/>
      </c>
      <c r="Z1111" s="3">
        <f>IF($Y1111="","",IF($Y1111&lt;0,"FUTURO",IF($Y1111&gt;p_dias_backlog_max,"BACKLOG","MES CORRIENTE")))</f>
        <v/>
      </c>
      <c r="AA1111" s="3">
        <f>IF($Y1111="",FALSE,AND($Y1111&gt;p_dias_backlog_min,$Y1111&lt;=p_dias_backlog_max))</f>
        <v/>
      </c>
      <c r="AB1111" s="6" t="n"/>
      <c r="AC1111" s="3">
        <f>IF($AB1111="","",IFERROR(INDEX('ASIGNACIONES'!$F$4:$F$339,MATCH($O1111&amp;"|"&amp;$R1111&amp;"|"&amp;$AB1111,'ASIGNACIONES'!$I$4:$I$339,0)),""))</f>
        <v/>
      </c>
      <c r="AD1111" s="13">
        <f>IF($AB1111="","",SUMIFS('ORDENES'!$M$4:$M$1203,'ORDENES'!$AB$4:$AB$1203,$AB1111,'ORDENES'!$O$4:$O$1203,$O1111,'ORDENES'!$R$4:$R$1203,$R1111))</f>
        <v/>
      </c>
      <c r="AE1111" s="13">
        <f>IF($AD1111="","",p_factor_productividad*IFERROR(INDEX('ASIGNACIONES'!$H$4:$H$339,MATCH($O1111&amp;"|"&amp;$R1111&amp;"|"&amp;$AB1111,'ASIGNACIONES'!$I$4:$I$339,0)),0)-$AD1111)</f>
        <v/>
      </c>
      <c r="AF1111" s="10">
        <f>IF($A1111="","",IFERROR(INDEX('2_IMPORTAR_EJECUCION'!$F$9:$F$1208,MATCH($AN1111,'2_IMPORTAR_EJECUCION'!$J$9:$J$1208,0)),0))</f>
        <v/>
      </c>
      <c r="AG1111" s="10">
        <f>IF($A1111="","",MAX(0,IFERROR(INDEX('2_IMPORTAR_EJECUCION'!$H$9:$H$1208,MATCH($AN1111,'2_IMPORTAR_EJECUCION'!$J$9:$J$1208,0)),0)-$AF1111))</f>
        <v/>
      </c>
      <c r="AH1111" s="10">
        <f>IF($A1111="","",$AF1111+$AG1111)</f>
        <v/>
      </c>
      <c r="AI1111" s="6" t="n"/>
      <c r="AJ1111" s="6" t="n"/>
      <c r="AK1111" s="6" t="n"/>
      <c r="AL1111" s="3">
        <f>IF($AK1111="","",HYPERLINK(p_ruta_base_checklists&amp;$AK1111,"abrir"))</f>
        <v/>
      </c>
      <c r="AM1111" s="6" t="n"/>
      <c r="AN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1" t="n"/>
      <c r="K1112" s="3" t="n"/>
      <c r="L1112" s="10" t="n"/>
      <c r="M1112" s="3">
        <f>IF($A1112="","",IFERROR(INDEX('AJUSTES'!$B$4:$B$303,MATCH($AN1112,'AJUSTES'!$A$4:$A$303,0)),IF($K1112="","",$K1112)))</f>
        <v/>
      </c>
      <c r="N1112" s="3">
        <f>IF($A1112="","",IFERROR(INDEX('CAT_ESTADOS_ERP'!$B$4:$B$7,MATCH(IFERROR(INDEX('2_IMPORTAR_EJECUCION'!$C$9:$C$1208,MATCH($AN1112,'2_IMPORTAR_EJECUCION'!$J$9:$J$1208,0)),""),'CAT_ESTADOS_ERP'!$A$4:$A$7,0)),"Pendiente"))</f>
        <v/>
      </c>
      <c r="O1112" s="3">
        <f>IF($J1112="","",YEAR($J1112+4-WEEKDAY($J1112,2))&amp;"-S"&amp;TEXT(_xlfn.ISOWEEKNUM($J1112),"00"))</f>
        <v/>
      </c>
      <c r="P1112" s="3">
        <f>IF($J1112="","",YEAR($J1112))</f>
        <v/>
      </c>
      <c r="Q1112" s="3">
        <f>IF($J1112="","",MONTH($J1112))</f>
        <v/>
      </c>
      <c r="R1112" s="3">
        <f>IF($J1112="","",INDEX(lista_dias,WEEKDAY($J1112,2)))</f>
        <v/>
      </c>
      <c r="S1112" s="3">
        <f>IF($I1112="","",IFERROR(INDEX('CAT_TIPOS_OT'!$C$4:$C$7,MATCH($I1112,'CAT_TIPOS_OT'!$A$4:$A$7,0)),"sin_clasificar"))</f>
        <v/>
      </c>
      <c r="T1112" s="3">
        <f>IF($F1112="","",IFERROR(INDEX('CAT_CENTROS_COSTO'!$E$4:$E$9,MATCH($F1112,'CAT_CENTROS_COSTO'!$A$4:$A$9,0)),"(sin catálogo)"))</f>
        <v/>
      </c>
      <c r="U1112" s="3">
        <f>IF($F1112="","",IFERROR(INDEX('CAT_CENTROS_COSTO'!$D$4:$D$9,MATCH($F1112,'CAT_CENTROS_COSTO'!$A$4:$A$9,0)),"(sin catálogo)"))</f>
        <v/>
      </c>
      <c r="V1112" s="3">
        <f>IF($F1112="","",IFERROR(INDEX('CAT_CENTROS_COSTO'!$F$4:$F$9,MATCH($F1112,'CAT_CENTROS_COSTO'!$A$4:$A$9,0)),"(sin catálogo)"))</f>
        <v/>
      </c>
      <c r="W1112" s="3">
        <f>IF($G1112="","",IFERROR(INDEX('CAT_PUESTOS'!$B$4:$B$8,MATCH($G1112,'CAT_PUESTOS'!$A$4:$A$8,0)),"(sin catálogo)"))</f>
        <v/>
      </c>
      <c r="X1112" s="3">
        <f>IF($H1112="","",IFERROR(INDEX('CAT_ACTIVIDADES'!$B$4:$B$8,MATCH($H1112,'CAT_ACTIVIDADES'!$A$4:$A$8,0)),"(sin catálogo)"))</f>
        <v/>
      </c>
      <c r="Y1112" s="12">
        <f>IF($J1112="","",TODAY()-$J1112)</f>
        <v/>
      </c>
      <c r="Z1112" s="3">
        <f>IF($Y1112="","",IF($Y1112&lt;0,"FUTURO",IF($Y1112&gt;p_dias_backlog_max,"BACKLOG","MES CORRIENTE")))</f>
        <v/>
      </c>
      <c r="AA1112" s="3">
        <f>IF($Y1112="",FALSE,AND($Y1112&gt;p_dias_backlog_min,$Y1112&lt;=p_dias_backlog_max))</f>
        <v/>
      </c>
      <c r="AB1112" s="6" t="n"/>
      <c r="AC1112" s="3">
        <f>IF($AB1112="","",IFERROR(INDEX('ASIGNACIONES'!$F$4:$F$339,MATCH($O1112&amp;"|"&amp;$R1112&amp;"|"&amp;$AB1112,'ASIGNACIONES'!$I$4:$I$339,0)),""))</f>
        <v/>
      </c>
      <c r="AD1112" s="13">
        <f>IF($AB1112="","",SUMIFS('ORDENES'!$M$4:$M$1203,'ORDENES'!$AB$4:$AB$1203,$AB1112,'ORDENES'!$O$4:$O$1203,$O1112,'ORDENES'!$R$4:$R$1203,$R1112))</f>
        <v/>
      </c>
      <c r="AE1112" s="13">
        <f>IF($AD1112="","",p_factor_productividad*IFERROR(INDEX('ASIGNACIONES'!$H$4:$H$339,MATCH($O1112&amp;"|"&amp;$R1112&amp;"|"&amp;$AB1112,'ASIGNACIONES'!$I$4:$I$339,0)),0)-$AD1112)</f>
        <v/>
      </c>
      <c r="AF1112" s="10">
        <f>IF($A1112="","",IFERROR(INDEX('2_IMPORTAR_EJECUCION'!$F$9:$F$1208,MATCH($AN1112,'2_IMPORTAR_EJECUCION'!$J$9:$J$1208,0)),0))</f>
        <v/>
      </c>
      <c r="AG1112" s="10">
        <f>IF($A1112="","",MAX(0,IFERROR(INDEX('2_IMPORTAR_EJECUCION'!$H$9:$H$1208,MATCH($AN1112,'2_IMPORTAR_EJECUCION'!$J$9:$J$1208,0)),0)-$AF1112))</f>
        <v/>
      </c>
      <c r="AH1112" s="10">
        <f>IF($A1112="","",$AF1112+$AG1112)</f>
        <v/>
      </c>
      <c r="AI1112" s="6" t="n"/>
      <c r="AJ1112" s="6" t="n"/>
      <c r="AK1112" s="6" t="n"/>
      <c r="AL1112" s="3">
        <f>IF($AK1112="","",HYPERLINK(p_ruta_base_checklists&amp;$AK1112,"abrir"))</f>
        <v/>
      </c>
      <c r="AM1112" s="6" t="n"/>
      <c r="AN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1" t="n"/>
      <c r="K1113" s="3" t="n"/>
      <c r="L1113" s="10" t="n"/>
      <c r="M1113" s="3">
        <f>IF($A1113="","",IFERROR(INDEX('AJUSTES'!$B$4:$B$303,MATCH($AN1113,'AJUSTES'!$A$4:$A$303,0)),IF($K1113="","",$K1113)))</f>
        <v/>
      </c>
      <c r="N1113" s="3">
        <f>IF($A1113="","",IFERROR(INDEX('CAT_ESTADOS_ERP'!$B$4:$B$7,MATCH(IFERROR(INDEX('2_IMPORTAR_EJECUCION'!$C$9:$C$1208,MATCH($AN1113,'2_IMPORTAR_EJECUCION'!$J$9:$J$1208,0)),""),'CAT_ESTADOS_ERP'!$A$4:$A$7,0)),"Pendiente"))</f>
        <v/>
      </c>
      <c r="O1113" s="3">
        <f>IF($J1113="","",YEAR($J1113+4-WEEKDAY($J1113,2))&amp;"-S"&amp;TEXT(_xlfn.ISOWEEKNUM($J1113),"00"))</f>
        <v/>
      </c>
      <c r="P1113" s="3">
        <f>IF($J1113="","",YEAR($J1113))</f>
        <v/>
      </c>
      <c r="Q1113" s="3">
        <f>IF($J1113="","",MONTH($J1113))</f>
        <v/>
      </c>
      <c r="R1113" s="3">
        <f>IF($J1113="","",INDEX(lista_dias,WEEKDAY($J1113,2)))</f>
        <v/>
      </c>
      <c r="S1113" s="3">
        <f>IF($I1113="","",IFERROR(INDEX('CAT_TIPOS_OT'!$C$4:$C$7,MATCH($I1113,'CAT_TIPOS_OT'!$A$4:$A$7,0)),"sin_clasificar"))</f>
        <v/>
      </c>
      <c r="T1113" s="3">
        <f>IF($F1113="","",IFERROR(INDEX('CAT_CENTROS_COSTO'!$E$4:$E$9,MATCH($F1113,'CAT_CENTROS_COSTO'!$A$4:$A$9,0)),"(sin catálogo)"))</f>
        <v/>
      </c>
      <c r="U1113" s="3">
        <f>IF($F1113="","",IFERROR(INDEX('CAT_CENTROS_COSTO'!$D$4:$D$9,MATCH($F1113,'CAT_CENTROS_COSTO'!$A$4:$A$9,0)),"(sin catálogo)"))</f>
        <v/>
      </c>
      <c r="V1113" s="3">
        <f>IF($F1113="","",IFERROR(INDEX('CAT_CENTROS_COSTO'!$F$4:$F$9,MATCH($F1113,'CAT_CENTROS_COSTO'!$A$4:$A$9,0)),"(sin catálogo)"))</f>
        <v/>
      </c>
      <c r="W1113" s="3">
        <f>IF($G1113="","",IFERROR(INDEX('CAT_PUESTOS'!$B$4:$B$8,MATCH($G1113,'CAT_PUESTOS'!$A$4:$A$8,0)),"(sin catálogo)"))</f>
        <v/>
      </c>
      <c r="X1113" s="3">
        <f>IF($H1113="","",IFERROR(INDEX('CAT_ACTIVIDADES'!$B$4:$B$8,MATCH($H1113,'CAT_ACTIVIDADES'!$A$4:$A$8,0)),"(sin catálogo)"))</f>
        <v/>
      </c>
      <c r="Y1113" s="12">
        <f>IF($J1113="","",TODAY()-$J1113)</f>
        <v/>
      </c>
      <c r="Z1113" s="3">
        <f>IF($Y1113="","",IF($Y1113&lt;0,"FUTURO",IF($Y1113&gt;p_dias_backlog_max,"BACKLOG","MES CORRIENTE")))</f>
        <v/>
      </c>
      <c r="AA1113" s="3">
        <f>IF($Y1113="",FALSE,AND($Y1113&gt;p_dias_backlog_min,$Y1113&lt;=p_dias_backlog_max))</f>
        <v/>
      </c>
      <c r="AB1113" s="6" t="n"/>
      <c r="AC1113" s="3">
        <f>IF($AB1113="","",IFERROR(INDEX('ASIGNACIONES'!$F$4:$F$339,MATCH($O1113&amp;"|"&amp;$R1113&amp;"|"&amp;$AB1113,'ASIGNACIONES'!$I$4:$I$339,0)),""))</f>
        <v/>
      </c>
      <c r="AD1113" s="13">
        <f>IF($AB1113="","",SUMIFS('ORDENES'!$M$4:$M$1203,'ORDENES'!$AB$4:$AB$1203,$AB1113,'ORDENES'!$O$4:$O$1203,$O1113,'ORDENES'!$R$4:$R$1203,$R1113))</f>
        <v/>
      </c>
      <c r="AE1113" s="13">
        <f>IF($AD1113="","",p_factor_productividad*IFERROR(INDEX('ASIGNACIONES'!$H$4:$H$339,MATCH($O1113&amp;"|"&amp;$R1113&amp;"|"&amp;$AB1113,'ASIGNACIONES'!$I$4:$I$339,0)),0)-$AD1113)</f>
        <v/>
      </c>
      <c r="AF1113" s="10">
        <f>IF($A1113="","",IFERROR(INDEX('2_IMPORTAR_EJECUCION'!$F$9:$F$1208,MATCH($AN1113,'2_IMPORTAR_EJECUCION'!$J$9:$J$1208,0)),0))</f>
        <v/>
      </c>
      <c r="AG1113" s="10">
        <f>IF($A1113="","",MAX(0,IFERROR(INDEX('2_IMPORTAR_EJECUCION'!$H$9:$H$1208,MATCH($AN1113,'2_IMPORTAR_EJECUCION'!$J$9:$J$1208,0)),0)-$AF1113))</f>
        <v/>
      </c>
      <c r="AH1113" s="10">
        <f>IF($A1113="","",$AF1113+$AG1113)</f>
        <v/>
      </c>
      <c r="AI1113" s="6" t="n"/>
      <c r="AJ1113" s="6" t="n"/>
      <c r="AK1113" s="6" t="n"/>
      <c r="AL1113" s="3">
        <f>IF($AK1113="","",HYPERLINK(p_ruta_base_checklists&amp;$AK1113,"abrir"))</f>
        <v/>
      </c>
      <c r="AM1113" s="6" t="n"/>
      <c r="AN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1" t="n"/>
      <c r="K1114" s="3" t="n"/>
      <c r="L1114" s="10" t="n"/>
      <c r="M1114" s="3">
        <f>IF($A1114="","",IFERROR(INDEX('AJUSTES'!$B$4:$B$303,MATCH($AN1114,'AJUSTES'!$A$4:$A$303,0)),IF($K1114="","",$K1114)))</f>
        <v/>
      </c>
      <c r="N1114" s="3">
        <f>IF($A1114="","",IFERROR(INDEX('CAT_ESTADOS_ERP'!$B$4:$B$7,MATCH(IFERROR(INDEX('2_IMPORTAR_EJECUCION'!$C$9:$C$1208,MATCH($AN1114,'2_IMPORTAR_EJECUCION'!$J$9:$J$1208,0)),""),'CAT_ESTADOS_ERP'!$A$4:$A$7,0)),"Pendiente"))</f>
        <v/>
      </c>
      <c r="O1114" s="3">
        <f>IF($J1114="","",YEAR($J1114+4-WEEKDAY($J1114,2))&amp;"-S"&amp;TEXT(_xlfn.ISOWEEKNUM($J1114),"00"))</f>
        <v/>
      </c>
      <c r="P1114" s="3">
        <f>IF($J1114="","",YEAR($J1114))</f>
        <v/>
      </c>
      <c r="Q1114" s="3">
        <f>IF($J1114="","",MONTH($J1114))</f>
        <v/>
      </c>
      <c r="R1114" s="3">
        <f>IF($J1114="","",INDEX(lista_dias,WEEKDAY($J1114,2)))</f>
        <v/>
      </c>
      <c r="S1114" s="3">
        <f>IF($I1114="","",IFERROR(INDEX('CAT_TIPOS_OT'!$C$4:$C$7,MATCH($I1114,'CAT_TIPOS_OT'!$A$4:$A$7,0)),"sin_clasificar"))</f>
        <v/>
      </c>
      <c r="T1114" s="3">
        <f>IF($F1114="","",IFERROR(INDEX('CAT_CENTROS_COSTO'!$E$4:$E$9,MATCH($F1114,'CAT_CENTROS_COSTO'!$A$4:$A$9,0)),"(sin catálogo)"))</f>
        <v/>
      </c>
      <c r="U1114" s="3">
        <f>IF($F1114="","",IFERROR(INDEX('CAT_CENTROS_COSTO'!$D$4:$D$9,MATCH($F1114,'CAT_CENTROS_COSTO'!$A$4:$A$9,0)),"(sin catálogo)"))</f>
        <v/>
      </c>
      <c r="V1114" s="3">
        <f>IF($F1114="","",IFERROR(INDEX('CAT_CENTROS_COSTO'!$F$4:$F$9,MATCH($F1114,'CAT_CENTROS_COSTO'!$A$4:$A$9,0)),"(sin catálogo)"))</f>
        <v/>
      </c>
      <c r="W1114" s="3">
        <f>IF($G1114="","",IFERROR(INDEX('CAT_PUESTOS'!$B$4:$B$8,MATCH($G1114,'CAT_PUESTOS'!$A$4:$A$8,0)),"(sin catálogo)"))</f>
        <v/>
      </c>
      <c r="X1114" s="3">
        <f>IF($H1114="","",IFERROR(INDEX('CAT_ACTIVIDADES'!$B$4:$B$8,MATCH($H1114,'CAT_ACTIVIDADES'!$A$4:$A$8,0)),"(sin catálogo)"))</f>
        <v/>
      </c>
      <c r="Y1114" s="12">
        <f>IF($J1114="","",TODAY()-$J1114)</f>
        <v/>
      </c>
      <c r="Z1114" s="3">
        <f>IF($Y1114="","",IF($Y1114&lt;0,"FUTURO",IF($Y1114&gt;p_dias_backlog_max,"BACKLOG","MES CORRIENTE")))</f>
        <v/>
      </c>
      <c r="AA1114" s="3">
        <f>IF($Y1114="",FALSE,AND($Y1114&gt;p_dias_backlog_min,$Y1114&lt;=p_dias_backlog_max))</f>
        <v/>
      </c>
      <c r="AB1114" s="6" t="n"/>
      <c r="AC1114" s="3">
        <f>IF($AB1114="","",IFERROR(INDEX('ASIGNACIONES'!$F$4:$F$339,MATCH($O1114&amp;"|"&amp;$R1114&amp;"|"&amp;$AB1114,'ASIGNACIONES'!$I$4:$I$339,0)),""))</f>
        <v/>
      </c>
      <c r="AD1114" s="13">
        <f>IF($AB1114="","",SUMIFS('ORDENES'!$M$4:$M$1203,'ORDENES'!$AB$4:$AB$1203,$AB1114,'ORDENES'!$O$4:$O$1203,$O1114,'ORDENES'!$R$4:$R$1203,$R1114))</f>
        <v/>
      </c>
      <c r="AE1114" s="13">
        <f>IF($AD1114="","",p_factor_productividad*IFERROR(INDEX('ASIGNACIONES'!$H$4:$H$339,MATCH($O1114&amp;"|"&amp;$R1114&amp;"|"&amp;$AB1114,'ASIGNACIONES'!$I$4:$I$339,0)),0)-$AD1114)</f>
        <v/>
      </c>
      <c r="AF1114" s="10">
        <f>IF($A1114="","",IFERROR(INDEX('2_IMPORTAR_EJECUCION'!$F$9:$F$1208,MATCH($AN1114,'2_IMPORTAR_EJECUCION'!$J$9:$J$1208,0)),0))</f>
        <v/>
      </c>
      <c r="AG1114" s="10">
        <f>IF($A1114="","",MAX(0,IFERROR(INDEX('2_IMPORTAR_EJECUCION'!$H$9:$H$1208,MATCH($AN1114,'2_IMPORTAR_EJECUCION'!$J$9:$J$1208,0)),0)-$AF1114))</f>
        <v/>
      </c>
      <c r="AH1114" s="10">
        <f>IF($A1114="","",$AF1114+$AG1114)</f>
        <v/>
      </c>
      <c r="AI1114" s="6" t="n"/>
      <c r="AJ1114" s="6" t="n"/>
      <c r="AK1114" s="6" t="n"/>
      <c r="AL1114" s="3">
        <f>IF($AK1114="","",HYPERLINK(p_ruta_base_checklists&amp;$AK1114,"abrir"))</f>
        <v/>
      </c>
      <c r="AM1114" s="6" t="n"/>
      <c r="AN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1" t="n"/>
      <c r="K1115" s="3" t="n"/>
      <c r="L1115" s="10" t="n"/>
      <c r="M1115" s="3">
        <f>IF($A1115="","",IFERROR(INDEX('AJUSTES'!$B$4:$B$303,MATCH($AN1115,'AJUSTES'!$A$4:$A$303,0)),IF($K1115="","",$K1115)))</f>
        <v/>
      </c>
      <c r="N1115" s="3">
        <f>IF($A1115="","",IFERROR(INDEX('CAT_ESTADOS_ERP'!$B$4:$B$7,MATCH(IFERROR(INDEX('2_IMPORTAR_EJECUCION'!$C$9:$C$1208,MATCH($AN1115,'2_IMPORTAR_EJECUCION'!$J$9:$J$1208,0)),""),'CAT_ESTADOS_ERP'!$A$4:$A$7,0)),"Pendiente"))</f>
        <v/>
      </c>
      <c r="O1115" s="3">
        <f>IF($J1115="","",YEAR($J1115+4-WEEKDAY($J1115,2))&amp;"-S"&amp;TEXT(_xlfn.ISOWEEKNUM($J1115),"00"))</f>
        <v/>
      </c>
      <c r="P1115" s="3">
        <f>IF($J1115="","",YEAR($J1115))</f>
        <v/>
      </c>
      <c r="Q1115" s="3">
        <f>IF($J1115="","",MONTH($J1115))</f>
        <v/>
      </c>
      <c r="R1115" s="3">
        <f>IF($J1115="","",INDEX(lista_dias,WEEKDAY($J1115,2)))</f>
        <v/>
      </c>
      <c r="S1115" s="3">
        <f>IF($I1115="","",IFERROR(INDEX('CAT_TIPOS_OT'!$C$4:$C$7,MATCH($I1115,'CAT_TIPOS_OT'!$A$4:$A$7,0)),"sin_clasificar"))</f>
        <v/>
      </c>
      <c r="T1115" s="3">
        <f>IF($F1115="","",IFERROR(INDEX('CAT_CENTROS_COSTO'!$E$4:$E$9,MATCH($F1115,'CAT_CENTROS_COSTO'!$A$4:$A$9,0)),"(sin catálogo)"))</f>
        <v/>
      </c>
      <c r="U1115" s="3">
        <f>IF($F1115="","",IFERROR(INDEX('CAT_CENTROS_COSTO'!$D$4:$D$9,MATCH($F1115,'CAT_CENTROS_COSTO'!$A$4:$A$9,0)),"(sin catálogo)"))</f>
        <v/>
      </c>
      <c r="V1115" s="3">
        <f>IF($F1115="","",IFERROR(INDEX('CAT_CENTROS_COSTO'!$F$4:$F$9,MATCH($F1115,'CAT_CENTROS_COSTO'!$A$4:$A$9,0)),"(sin catálogo)"))</f>
        <v/>
      </c>
      <c r="W1115" s="3">
        <f>IF($G1115="","",IFERROR(INDEX('CAT_PUESTOS'!$B$4:$B$8,MATCH($G1115,'CAT_PUESTOS'!$A$4:$A$8,0)),"(sin catálogo)"))</f>
        <v/>
      </c>
      <c r="X1115" s="3">
        <f>IF($H1115="","",IFERROR(INDEX('CAT_ACTIVIDADES'!$B$4:$B$8,MATCH($H1115,'CAT_ACTIVIDADES'!$A$4:$A$8,0)),"(sin catálogo)"))</f>
        <v/>
      </c>
      <c r="Y1115" s="12">
        <f>IF($J1115="","",TODAY()-$J1115)</f>
        <v/>
      </c>
      <c r="Z1115" s="3">
        <f>IF($Y1115="","",IF($Y1115&lt;0,"FUTURO",IF($Y1115&gt;p_dias_backlog_max,"BACKLOG","MES CORRIENTE")))</f>
        <v/>
      </c>
      <c r="AA1115" s="3">
        <f>IF($Y1115="",FALSE,AND($Y1115&gt;p_dias_backlog_min,$Y1115&lt;=p_dias_backlog_max))</f>
        <v/>
      </c>
      <c r="AB1115" s="6" t="n"/>
      <c r="AC1115" s="3">
        <f>IF($AB1115="","",IFERROR(INDEX('ASIGNACIONES'!$F$4:$F$339,MATCH($O1115&amp;"|"&amp;$R1115&amp;"|"&amp;$AB1115,'ASIGNACIONES'!$I$4:$I$339,0)),""))</f>
        <v/>
      </c>
      <c r="AD1115" s="13">
        <f>IF($AB1115="","",SUMIFS('ORDENES'!$M$4:$M$1203,'ORDENES'!$AB$4:$AB$1203,$AB1115,'ORDENES'!$O$4:$O$1203,$O1115,'ORDENES'!$R$4:$R$1203,$R1115))</f>
        <v/>
      </c>
      <c r="AE1115" s="13">
        <f>IF($AD1115="","",p_factor_productividad*IFERROR(INDEX('ASIGNACIONES'!$H$4:$H$339,MATCH($O1115&amp;"|"&amp;$R1115&amp;"|"&amp;$AB1115,'ASIGNACIONES'!$I$4:$I$339,0)),0)-$AD1115)</f>
        <v/>
      </c>
      <c r="AF1115" s="10">
        <f>IF($A1115="","",IFERROR(INDEX('2_IMPORTAR_EJECUCION'!$F$9:$F$1208,MATCH($AN1115,'2_IMPORTAR_EJECUCION'!$J$9:$J$1208,0)),0))</f>
        <v/>
      </c>
      <c r="AG1115" s="10">
        <f>IF($A1115="","",MAX(0,IFERROR(INDEX('2_IMPORTAR_EJECUCION'!$H$9:$H$1208,MATCH($AN1115,'2_IMPORTAR_EJECUCION'!$J$9:$J$1208,0)),0)-$AF1115))</f>
        <v/>
      </c>
      <c r="AH1115" s="10">
        <f>IF($A1115="","",$AF1115+$AG1115)</f>
        <v/>
      </c>
      <c r="AI1115" s="6" t="n"/>
      <c r="AJ1115" s="6" t="n"/>
      <c r="AK1115" s="6" t="n"/>
      <c r="AL1115" s="3">
        <f>IF($AK1115="","",HYPERLINK(p_ruta_base_checklists&amp;$AK1115,"abrir"))</f>
        <v/>
      </c>
      <c r="AM1115" s="6" t="n"/>
      <c r="AN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1" t="n"/>
      <c r="K1116" s="3" t="n"/>
      <c r="L1116" s="10" t="n"/>
      <c r="M1116" s="3">
        <f>IF($A1116="","",IFERROR(INDEX('AJUSTES'!$B$4:$B$303,MATCH($AN1116,'AJUSTES'!$A$4:$A$303,0)),IF($K1116="","",$K1116)))</f>
        <v/>
      </c>
      <c r="N1116" s="3">
        <f>IF($A1116="","",IFERROR(INDEX('CAT_ESTADOS_ERP'!$B$4:$B$7,MATCH(IFERROR(INDEX('2_IMPORTAR_EJECUCION'!$C$9:$C$1208,MATCH($AN1116,'2_IMPORTAR_EJECUCION'!$J$9:$J$1208,0)),""),'CAT_ESTADOS_ERP'!$A$4:$A$7,0)),"Pendiente"))</f>
        <v/>
      </c>
      <c r="O1116" s="3">
        <f>IF($J1116="","",YEAR($J1116+4-WEEKDAY($J1116,2))&amp;"-S"&amp;TEXT(_xlfn.ISOWEEKNUM($J1116),"00"))</f>
        <v/>
      </c>
      <c r="P1116" s="3">
        <f>IF($J1116="","",YEAR($J1116))</f>
        <v/>
      </c>
      <c r="Q1116" s="3">
        <f>IF($J1116="","",MONTH($J1116))</f>
        <v/>
      </c>
      <c r="R1116" s="3">
        <f>IF($J1116="","",INDEX(lista_dias,WEEKDAY($J1116,2)))</f>
        <v/>
      </c>
      <c r="S1116" s="3">
        <f>IF($I1116="","",IFERROR(INDEX('CAT_TIPOS_OT'!$C$4:$C$7,MATCH($I1116,'CAT_TIPOS_OT'!$A$4:$A$7,0)),"sin_clasificar"))</f>
        <v/>
      </c>
      <c r="T1116" s="3">
        <f>IF($F1116="","",IFERROR(INDEX('CAT_CENTROS_COSTO'!$E$4:$E$9,MATCH($F1116,'CAT_CENTROS_COSTO'!$A$4:$A$9,0)),"(sin catálogo)"))</f>
        <v/>
      </c>
      <c r="U1116" s="3">
        <f>IF($F1116="","",IFERROR(INDEX('CAT_CENTROS_COSTO'!$D$4:$D$9,MATCH($F1116,'CAT_CENTROS_COSTO'!$A$4:$A$9,0)),"(sin catálogo)"))</f>
        <v/>
      </c>
      <c r="V1116" s="3">
        <f>IF($F1116="","",IFERROR(INDEX('CAT_CENTROS_COSTO'!$F$4:$F$9,MATCH($F1116,'CAT_CENTROS_COSTO'!$A$4:$A$9,0)),"(sin catálogo)"))</f>
        <v/>
      </c>
      <c r="W1116" s="3">
        <f>IF($G1116="","",IFERROR(INDEX('CAT_PUESTOS'!$B$4:$B$8,MATCH($G1116,'CAT_PUESTOS'!$A$4:$A$8,0)),"(sin catálogo)"))</f>
        <v/>
      </c>
      <c r="X1116" s="3">
        <f>IF($H1116="","",IFERROR(INDEX('CAT_ACTIVIDADES'!$B$4:$B$8,MATCH($H1116,'CAT_ACTIVIDADES'!$A$4:$A$8,0)),"(sin catálogo)"))</f>
        <v/>
      </c>
      <c r="Y1116" s="12">
        <f>IF($J1116="","",TODAY()-$J1116)</f>
        <v/>
      </c>
      <c r="Z1116" s="3">
        <f>IF($Y1116="","",IF($Y1116&lt;0,"FUTURO",IF($Y1116&gt;p_dias_backlog_max,"BACKLOG","MES CORRIENTE")))</f>
        <v/>
      </c>
      <c r="AA1116" s="3">
        <f>IF($Y1116="",FALSE,AND($Y1116&gt;p_dias_backlog_min,$Y1116&lt;=p_dias_backlog_max))</f>
        <v/>
      </c>
      <c r="AB1116" s="6" t="n"/>
      <c r="AC1116" s="3">
        <f>IF($AB1116="","",IFERROR(INDEX('ASIGNACIONES'!$F$4:$F$339,MATCH($O1116&amp;"|"&amp;$R1116&amp;"|"&amp;$AB1116,'ASIGNACIONES'!$I$4:$I$339,0)),""))</f>
        <v/>
      </c>
      <c r="AD1116" s="13">
        <f>IF($AB1116="","",SUMIFS('ORDENES'!$M$4:$M$1203,'ORDENES'!$AB$4:$AB$1203,$AB1116,'ORDENES'!$O$4:$O$1203,$O1116,'ORDENES'!$R$4:$R$1203,$R1116))</f>
        <v/>
      </c>
      <c r="AE1116" s="13">
        <f>IF($AD1116="","",p_factor_productividad*IFERROR(INDEX('ASIGNACIONES'!$H$4:$H$339,MATCH($O1116&amp;"|"&amp;$R1116&amp;"|"&amp;$AB1116,'ASIGNACIONES'!$I$4:$I$339,0)),0)-$AD1116)</f>
        <v/>
      </c>
      <c r="AF1116" s="10">
        <f>IF($A1116="","",IFERROR(INDEX('2_IMPORTAR_EJECUCION'!$F$9:$F$1208,MATCH($AN1116,'2_IMPORTAR_EJECUCION'!$J$9:$J$1208,0)),0))</f>
        <v/>
      </c>
      <c r="AG1116" s="10">
        <f>IF($A1116="","",MAX(0,IFERROR(INDEX('2_IMPORTAR_EJECUCION'!$H$9:$H$1208,MATCH($AN1116,'2_IMPORTAR_EJECUCION'!$J$9:$J$1208,0)),0)-$AF1116))</f>
        <v/>
      </c>
      <c r="AH1116" s="10">
        <f>IF($A1116="","",$AF1116+$AG1116)</f>
        <v/>
      </c>
      <c r="AI1116" s="6" t="n"/>
      <c r="AJ1116" s="6" t="n"/>
      <c r="AK1116" s="6" t="n"/>
      <c r="AL1116" s="3">
        <f>IF($AK1116="","",HYPERLINK(p_ruta_base_checklists&amp;$AK1116,"abrir"))</f>
        <v/>
      </c>
      <c r="AM1116" s="6" t="n"/>
      <c r="AN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1" t="n"/>
      <c r="K1117" s="3" t="n"/>
      <c r="L1117" s="10" t="n"/>
      <c r="M1117" s="3">
        <f>IF($A1117="","",IFERROR(INDEX('AJUSTES'!$B$4:$B$303,MATCH($AN1117,'AJUSTES'!$A$4:$A$303,0)),IF($K1117="","",$K1117)))</f>
        <v/>
      </c>
      <c r="N1117" s="3">
        <f>IF($A1117="","",IFERROR(INDEX('CAT_ESTADOS_ERP'!$B$4:$B$7,MATCH(IFERROR(INDEX('2_IMPORTAR_EJECUCION'!$C$9:$C$1208,MATCH($AN1117,'2_IMPORTAR_EJECUCION'!$J$9:$J$1208,0)),""),'CAT_ESTADOS_ERP'!$A$4:$A$7,0)),"Pendiente"))</f>
        <v/>
      </c>
      <c r="O1117" s="3">
        <f>IF($J1117="","",YEAR($J1117+4-WEEKDAY($J1117,2))&amp;"-S"&amp;TEXT(_xlfn.ISOWEEKNUM($J1117),"00"))</f>
        <v/>
      </c>
      <c r="P1117" s="3">
        <f>IF($J1117="","",YEAR($J1117))</f>
        <v/>
      </c>
      <c r="Q1117" s="3">
        <f>IF($J1117="","",MONTH($J1117))</f>
        <v/>
      </c>
      <c r="R1117" s="3">
        <f>IF($J1117="","",INDEX(lista_dias,WEEKDAY($J1117,2)))</f>
        <v/>
      </c>
      <c r="S1117" s="3">
        <f>IF($I1117="","",IFERROR(INDEX('CAT_TIPOS_OT'!$C$4:$C$7,MATCH($I1117,'CAT_TIPOS_OT'!$A$4:$A$7,0)),"sin_clasificar"))</f>
        <v/>
      </c>
      <c r="T1117" s="3">
        <f>IF($F1117="","",IFERROR(INDEX('CAT_CENTROS_COSTO'!$E$4:$E$9,MATCH($F1117,'CAT_CENTROS_COSTO'!$A$4:$A$9,0)),"(sin catálogo)"))</f>
        <v/>
      </c>
      <c r="U1117" s="3">
        <f>IF($F1117="","",IFERROR(INDEX('CAT_CENTROS_COSTO'!$D$4:$D$9,MATCH($F1117,'CAT_CENTROS_COSTO'!$A$4:$A$9,0)),"(sin catálogo)"))</f>
        <v/>
      </c>
      <c r="V1117" s="3">
        <f>IF($F1117="","",IFERROR(INDEX('CAT_CENTROS_COSTO'!$F$4:$F$9,MATCH($F1117,'CAT_CENTROS_COSTO'!$A$4:$A$9,0)),"(sin catálogo)"))</f>
        <v/>
      </c>
      <c r="W1117" s="3">
        <f>IF($G1117="","",IFERROR(INDEX('CAT_PUESTOS'!$B$4:$B$8,MATCH($G1117,'CAT_PUESTOS'!$A$4:$A$8,0)),"(sin catálogo)"))</f>
        <v/>
      </c>
      <c r="X1117" s="3">
        <f>IF($H1117="","",IFERROR(INDEX('CAT_ACTIVIDADES'!$B$4:$B$8,MATCH($H1117,'CAT_ACTIVIDADES'!$A$4:$A$8,0)),"(sin catálogo)"))</f>
        <v/>
      </c>
      <c r="Y1117" s="12">
        <f>IF($J1117="","",TODAY()-$J1117)</f>
        <v/>
      </c>
      <c r="Z1117" s="3">
        <f>IF($Y1117="","",IF($Y1117&lt;0,"FUTURO",IF($Y1117&gt;p_dias_backlog_max,"BACKLOG","MES CORRIENTE")))</f>
        <v/>
      </c>
      <c r="AA1117" s="3">
        <f>IF($Y1117="",FALSE,AND($Y1117&gt;p_dias_backlog_min,$Y1117&lt;=p_dias_backlog_max))</f>
        <v/>
      </c>
      <c r="AB1117" s="6" t="n"/>
      <c r="AC1117" s="3">
        <f>IF($AB1117="","",IFERROR(INDEX('ASIGNACIONES'!$F$4:$F$339,MATCH($O1117&amp;"|"&amp;$R1117&amp;"|"&amp;$AB1117,'ASIGNACIONES'!$I$4:$I$339,0)),""))</f>
        <v/>
      </c>
      <c r="AD1117" s="13">
        <f>IF($AB1117="","",SUMIFS('ORDENES'!$M$4:$M$1203,'ORDENES'!$AB$4:$AB$1203,$AB1117,'ORDENES'!$O$4:$O$1203,$O1117,'ORDENES'!$R$4:$R$1203,$R1117))</f>
        <v/>
      </c>
      <c r="AE1117" s="13">
        <f>IF($AD1117="","",p_factor_productividad*IFERROR(INDEX('ASIGNACIONES'!$H$4:$H$339,MATCH($O1117&amp;"|"&amp;$R1117&amp;"|"&amp;$AB1117,'ASIGNACIONES'!$I$4:$I$339,0)),0)-$AD1117)</f>
        <v/>
      </c>
      <c r="AF1117" s="10">
        <f>IF($A1117="","",IFERROR(INDEX('2_IMPORTAR_EJECUCION'!$F$9:$F$1208,MATCH($AN1117,'2_IMPORTAR_EJECUCION'!$J$9:$J$1208,0)),0))</f>
        <v/>
      </c>
      <c r="AG1117" s="10">
        <f>IF($A1117="","",MAX(0,IFERROR(INDEX('2_IMPORTAR_EJECUCION'!$H$9:$H$1208,MATCH($AN1117,'2_IMPORTAR_EJECUCION'!$J$9:$J$1208,0)),0)-$AF1117))</f>
        <v/>
      </c>
      <c r="AH1117" s="10">
        <f>IF($A1117="","",$AF1117+$AG1117)</f>
        <v/>
      </c>
      <c r="AI1117" s="6" t="n"/>
      <c r="AJ1117" s="6" t="n"/>
      <c r="AK1117" s="6" t="n"/>
      <c r="AL1117" s="3">
        <f>IF($AK1117="","",HYPERLINK(p_ruta_base_checklists&amp;$AK1117,"abrir"))</f>
        <v/>
      </c>
      <c r="AM1117" s="6" t="n"/>
      <c r="AN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1" t="n"/>
      <c r="K1118" s="3" t="n"/>
      <c r="L1118" s="10" t="n"/>
      <c r="M1118" s="3">
        <f>IF($A1118="","",IFERROR(INDEX('AJUSTES'!$B$4:$B$303,MATCH($AN1118,'AJUSTES'!$A$4:$A$303,0)),IF($K1118="","",$K1118)))</f>
        <v/>
      </c>
      <c r="N1118" s="3">
        <f>IF($A1118="","",IFERROR(INDEX('CAT_ESTADOS_ERP'!$B$4:$B$7,MATCH(IFERROR(INDEX('2_IMPORTAR_EJECUCION'!$C$9:$C$1208,MATCH($AN1118,'2_IMPORTAR_EJECUCION'!$J$9:$J$1208,0)),""),'CAT_ESTADOS_ERP'!$A$4:$A$7,0)),"Pendiente"))</f>
        <v/>
      </c>
      <c r="O1118" s="3">
        <f>IF($J1118="","",YEAR($J1118+4-WEEKDAY($J1118,2))&amp;"-S"&amp;TEXT(_xlfn.ISOWEEKNUM($J1118),"00"))</f>
        <v/>
      </c>
      <c r="P1118" s="3">
        <f>IF($J1118="","",YEAR($J1118))</f>
        <v/>
      </c>
      <c r="Q1118" s="3">
        <f>IF($J1118="","",MONTH($J1118))</f>
        <v/>
      </c>
      <c r="R1118" s="3">
        <f>IF($J1118="","",INDEX(lista_dias,WEEKDAY($J1118,2)))</f>
        <v/>
      </c>
      <c r="S1118" s="3">
        <f>IF($I1118="","",IFERROR(INDEX('CAT_TIPOS_OT'!$C$4:$C$7,MATCH($I1118,'CAT_TIPOS_OT'!$A$4:$A$7,0)),"sin_clasificar"))</f>
        <v/>
      </c>
      <c r="T1118" s="3">
        <f>IF($F1118="","",IFERROR(INDEX('CAT_CENTROS_COSTO'!$E$4:$E$9,MATCH($F1118,'CAT_CENTROS_COSTO'!$A$4:$A$9,0)),"(sin catálogo)"))</f>
        <v/>
      </c>
      <c r="U1118" s="3">
        <f>IF($F1118="","",IFERROR(INDEX('CAT_CENTROS_COSTO'!$D$4:$D$9,MATCH($F1118,'CAT_CENTROS_COSTO'!$A$4:$A$9,0)),"(sin catálogo)"))</f>
        <v/>
      </c>
      <c r="V1118" s="3">
        <f>IF($F1118="","",IFERROR(INDEX('CAT_CENTROS_COSTO'!$F$4:$F$9,MATCH($F1118,'CAT_CENTROS_COSTO'!$A$4:$A$9,0)),"(sin catálogo)"))</f>
        <v/>
      </c>
      <c r="W1118" s="3">
        <f>IF($G1118="","",IFERROR(INDEX('CAT_PUESTOS'!$B$4:$B$8,MATCH($G1118,'CAT_PUESTOS'!$A$4:$A$8,0)),"(sin catálogo)"))</f>
        <v/>
      </c>
      <c r="X1118" s="3">
        <f>IF($H1118="","",IFERROR(INDEX('CAT_ACTIVIDADES'!$B$4:$B$8,MATCH($H1118,'CAT_ACTIVIDADES'!$A$4:$A$8,0)),"(sin catálogo)"))</f>
        <v/>
      </c>
      <c r="Y1118" s="12">
        <f>IF($J1118="","",TODAY()-$J1118)</f>
        <v/>
      </c>
      <c r="Z1118" s="3">
        <f>IF($Y1118="","",IF($Y1118&lt;0,"FUTURO",IF($Y1118&gt;p_dias_backlog_max,"BACKLOG","MES CORRIENTE")))</f>
        <v/>
      </c>
      <c r="AA1118" s="3">
        <f>IF($Y1118="",FALSE,AND($Y1118&gt;p_dias_backlog_min,$Y1118&lt;=p_dias_backlog_max))</f>
        <v/>
      </c>
      <c r="AB1118" s="6" t="n"/>
      <c r="AC1118" s="3">
        <f>IF($AB1118="","",IFERROR(INDEX('ASIGNACIONES'!$F$4:$F$339,MATCH($O1118&amp;"|"&amp;$R1118&amp;"|"&amp;$AB1118,'ASIGNACIONES'!$I$4:$I$339,0)),""))</f>
        <v/>
      </c>
      <c r="AD1118" s="13">
        <f>IF($AB1118="","",SUMIFS('ORDENES'!$M$4:$M$1203,'ORDENES'!$AB$4:$AB$1203,$AB1118,'ORDENES'!$O$4:$O$1203,$O1118,'ORDENES'!$R$4:$R$1203,$R1118))</f>
        <v/>
      </c>
      <c r="AE1118" s="13">
        <f>IF($AD1118="","",p_factor_productividad*IFERROR(INDEX('ASIGNACIONES'!$H$4:$H$339,MATCH($O1118&amp;"|"&amp;$R1118&amp;"|"&amp;$AB1118,'ASIGNACIONES'!$I$4:$I$339,0)),0)-$AD1118)</f>
        <v/>
      </c>
      <c r="AF1118" s="10">
        <f>IF($A1118="","",IFERROR(INDEX('2_IMPORTAR_EJECUCION'!$F$9:$F$1208,MATCH($AN1118,'2_IMPORTAR_EJECUCION'!$J$9:$J$1208,0)),0))</f>
        <v/>
      </c>
      <c r="AG1118" s="10">
        <f>IF($A1118="","",MAX(0,IFERROR(INDEX('2_IMPORTAR_EJECUCION'!$H$9:$H$1208,MATCH($AN1118,'2_IMPORTAR_EJECUCION'!$J$9:$J$1208,0)),0)-$AF1118))</f>
        <v/>
      </c>
      <c r="AH1118" s="10">
        <f>IF($A1118="","",$AF1118+$AG1118)</f>
        <v/>
      </c>
      <c r="AI1118" s="6" t="n"/>
      <c r="AJ1118" s="6" t="n"/>
      <c r="AK1118" s="6" t="n"/>
      <c r="AL1118" s="3">
        <f>IF($AK1118="","",HYPERLINK(p_ruta_base_checklists&amp;$AK1118,"abrir"))</f>
        <v/>
      </c>
      <c r="AM1118" s="6" t="n"/>
      <c r="AN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1" t="n"/>
      <c r="K1119" s="3" t="n"/>
      <c r="L1119" s="10" t="n"/>
      <c r="M1119" s="3">
        <f>IF($A1119="","",IFERROR(INDEX('AJUSTES'!$B$4:$B$303,MATCH($AN1119,'AJUSTES'!$A$4:$A$303,0)),IF($K1119="","",$K1119)))</f>
        <v/>
      </c>
      <c r="N1119" s="3">
        <f>IF($A1119="","",IFERROR(INDEX('CAT_ESTADOS_ERP'!$B$4:$B$7,MATCH(IFERROR(INDEX('2_IMPORTAR_EJECUCION'!$C$9:$C$1208,MATCH($AN1119,'2_IMPORTAR_EJECUCION'!$J$9:$J$1208,0)),""),'CAT_ESTADOS_ERP'!$A$4:$A$7,0)),"Pendiente"))</f>
        <v/>
      </c>
      <c r="O1119" s="3">
        <f>IF($J1119="","",YEAR($J1119+4-WEEKDAY($J1119,2))&amp;"-S"&amp;TEXT(_xlfn.ISOWEEKNUM($J1119),"00"))</f>
        <v/>
      </c>
      <c r="P1119" s="3">
        <f>IF($J1119="","",YEAR($J1119))</f>
        <v/>
      </c>
      <c r="Q1119" s="3">
        <f>IF($J1119="","",MONTH($J1119))</f>
        <v/>
      </c>
      <c r="R1119" s="3">
        <f>IF($J1119="","",INDEX(lista_dias,WEEKDAY($J1119,2)))</f>
        <v/>
      </c>
      <c r="S1119" s="3">
        <f>IF($I1119="","",IFERROR(INDEX('CAT_TIPOS_OT'!$C$4:$C$7,MATCH($I1119,'CAT_TIPOS_OT'!$A$4:$A$7,0)),"sin_clasificar"))</f>
        <v/>
      </c>
      <c r="T1119" s="3">
        <f>IF($F1119="","",IFERROR(INDEX('CAT_CENTROS_COSTO'!$E$4:$E$9,MATCH($F1119,'CAT_CENTROS_COSTO'!$A$4:$A$9,0)),"(sin catálogo)"))</f>
        <v/>
      </c>
      <c r="U1119" s="3">
        <f>IF($F1119="","",IFERROR(INDEX('CAT_CENTROS_COSTO'!$D$4:$D$9,MATCH($F1119,'CAT_CENTROS_COSTO'!$A$4:$A$9,0)),"(sin catálogo)"))</f>
        <v/>
      </c>
      <c r="V1119" s="3">
        <f>IF($F1119="","",IFERROR(INDEX('CAT_CENTROS_COSTO'!$F$4:$F$9,MATCH($F1119,'CAT_CENTROS_COSTO'!$A$4:$A$9,0)),"(sin catálogo)"))</f>
        <v/>
      </c>
      <c r="W1119" s="3">
        <f>IF($G1119="","",IFERROR(INDEX('CAT_PUESTOS'!$B$4:$B$8,MATCH($G1119,'CAT_PUESTOS'!$A$4:$A$8,0)),"(sin catálogo)"))</f>
        <v/>
      </c>
      <c r="X1119" s="3">
        <f>IF($H1119="","",IFERROR(INDEX('CAT_ACTIVIDADES'!$B$4:$B$8,MATCH($H1119,'CAT_ACTIVIDADES'!$A$4:$A$8,0)),"(sin catálogo)"))</f>
        <v/>
      </c>
      <c r="Y1119" s="12">
        <f>IF($J1119="","",TODAY()-$J1119)</f>
        <v/>
      </c>
      <c r="Z1119" s="3">
        <f>IF($Y1119="","",IF($Y1119&lt;0,"FUTURO",IF($Y1119&gt;p_dias_backlog_max,"BACKLOG","MES CORRIENTE")))</f>
        <v/>
      </c>
      <c r="AA1119" s="3">
        <f>IF($Y1119="",FALSE,AND($Y1119&gt;p_dias_backlog_min,$Y1119&lt;=p_dias_backlog_max))</f>
        <v/>
      </c>
      <c r="AB1119" s="6" t="n"/>
      <c r="AC1119" s="3">
        <f>IF($AB1119="","",IFERROR(INDEX('ASIGNACIONES'!$F$4:$F$339,MATCH($O1119&amp;"|"&amp;$R1119&amp;"|"&amp;$AB1119,'ASIGNACIONES'!$I$4:$I$339,0)),""))</f>
        <v/>
      </c>
      <c r="AD1119" s="13">
        <f>IF($AB1119="","",SUMIFS('ORDENES'!$M$4:$M$1203,'ORDENES'!$AB$4:$AB$1203,$AB1119,'ORDENES'!$O$4:$O$1203,$O1119,'ORDENES'!$R$4:$R$1203,$R1119))</f>
        <v/>
      </c>
      <c r="AE1119" s="13">
        <f>IF($AD1119="","",p_factor_productividad*IFERROR(INDEX('ASIGNACIONES'!$H$4:$H$339,MATCH($O1119&amp;"|"&amp;$R1119&amp;"|"&amp;$AB1119,'ASIGNACIONES'!$I$4:$I$339,0)),0)-$AD1119)</f>
        <v/>
      </c>
      <c r="AF1119" s="10">
        <f>IF($A1119="","",IFERROR(INDEX('2_IMPORTAR_EJECUCION'!$F$9:$F$1208,MATCH($AN1119,'2_IMPORTAR_EJECUCION'!$J$9:$J$1208,0)),0))</f>
        <v/>
      </c>
      <c r="AG1119" s="10">
        <f>IF($A1119="","",MAX(0,IFERROR(INDEX('2_IMPORTAR_EJECUCION'!$H$9:$H$1208,MATCH($AN1119,'2_IMPORTAR_EJECUCION'!$J$9:$J$1208,0)),0)-$AF1119))</f>
        <v/>
      </c>
      <c r="AH1119" s="10">
        <f>IF($A1119="","",$AF1119+$AG1119)</f>
        <v/>
      </c>
      <c r="AI1119" s="6" t="n"/>
      <c r="AJ1119" s="6" t="n"/>
      <c r="AK1119" s="6" t="n"/>
      <c r="AL1119" s="3">
        <f>IF($AK1119="","",HYPERLINK(p_ruta_base_checklists&amp;$AK1119,"abrir"))</f>
        <v/>
      </c>
      <c r="AM1119" s="6" t="n"/>
      <c r="AN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1" t="n"/>
      <c r="K1120" s="3" t="n"/>
      <c r="L1120" s="10" t="n"/>
      <c r="M1120" s="3">
        <f>IF($A1120="","",IFERROR(INDEX('AJUSTES'!$B$4:$B$303,MATCH($AN1120,'AJUSTES'!$A$4:$A$303,0)),IF($K1120="","",$K1120)))</f>
        <v/>
      </c>
      <c r="N1120" s="3">
        <f>IF($A1120="","",IFERROR(INDEX('CAT_ESTADOS_ERP'!$B$4:$B$7,MATCH(IFERROR(INDEX('2_IMPORTAR_EJECUCION'!$C$9:$C$1208,MATCH($AN1120,'2_IMPORTAR_EJECUCION'!$J$9:$J$1208,0)),""),'CAT_ESTADOS_ERP'!$A$4:$A$7,0)),"Pendiente"))</f>
        <v/>
      </c>
      <c r="O1120" s="3">
        <f>IF($J1120="","",YEAR($J1120+4-WEEKDAY($J1120,2))&amp;"-S"&amp;TEXT(_xlfn.ISOWEEKNUM($J1120),"00"))</f>
        <v/>
      </c>
      <c r="P1120" s="3">
        <f>IF($J1120="","",YEAR($J1120))</f>
        <v/>
      </c>
      <c r="Q1120" s="3">
        <f>IF($J1120="","",MONTH($J1120))</f>
        <v/>
      </c>
      <c r="R1120" s="3">
        <f>IF($J1120="","",INDEX(lista_dias,WEEKDAY($J1120,2)))</f>
        <v/>
      </c>
      <c r="S1120" s="3">
        <f>IF($I1120="","",IFERROR(INDEX('CAT_TIPOS_OT'!$C$4:$C$7,MATCH($I1120,'CAT_TIPOS_OT'!$A$4:$A$7,0)),"sin_clasificar"))</f>
        <v/>
      </c>
      <c r="T1120" s="3">
        <f>IF($F1120="","",IFERROR(INDEX('CAT_CENTROS_COSTO'!$E$4:$E$9,MATCH($F1120,'CAT_CENTROS_COSTO'!$A$4:$A$9,0)),"(sin catálogo)"))</f>
        <v/>
      </c>
      <c r="U1120" s="3">
        <f>IF($F1120="","",IFERROR(INDEX('CAT_CENTROS_COSTO'!$D$4:$D$9,MATCH($F1120,'CAT_CENTROS_COSTO'!$A$4:$A$9,0)),"(sin catálogo)"))</f>
        <v/>
      </c>
      <c r="V1120" s="3">
        <f>IF($F1120="","",IFERROR(INDEX('CAT_CENTROS_COSTO'!$F$4:$F$9,MATCH($F1120,'CAT_CENTROS_COSTO'!$A$4:$A$9,0)),"(sin catálogo)"))</f>
        <v/>
      </c>
      <c r="W1120" s="3">
        <f>IF($G1120="","",IFERROR(INDEX('CAT_PUESTOS'!$B$4:$B$8,MATCH($G1120,'CAT_PUESTOS'!$A$4:$A$8,0)),"(sin catálogo)"))</f>
        <v/>
      </c>
      <c r="X1120" s="3">
        <f>IF($H1120="","",IFERROR(INDEX('CAT_ACTIVIDADES'!$B$4:$B$8,MATCH($H1120,'CAT_ACTIVIDADES'!$A$4:$A$8,0)),"(sin catálogo)"))</f>
        <v/>
      </c>
      <c r="Y1120" s="12">
        <f>IF($J1120="","",TODAY()-$J1120)</f>
        <v/>
      </c>
      <c r="Z1120" s="3">
        <f>IF($Y1120="","",IF($Y1120&lt;0,"FUTURO",IF($Y1120&gt;p_dias_backlog_max,"BACKLOG","MES CORRIENTE")))</f>
        <v/>
      </c>
      <c r="AA1120" s="3">
        <f>IF($Y1120="",FALSE,AND($Y1120&gt;p_dias_backlog_min,$Y1120&lt;=p_dias_backlog_max))</f>
        <v/>
      </c>
      <c r="AB1120" s="6" t="n"/>
      <c r="AC1120" s="3">
        <f>IF($AB1120="","",IFERROR(INDEX('ASIGNACIONES'!$F$4:$F$339,MATCH($O1120&amp;"|"&amp;$R1120&amp;"|"&amp;$AB1120,'ASIGNACIONES'!$I$4:$I$339,0)),""))</f>
        <v/>
      </c>
      <c r="AD1120" s="13">
        <f>IF($AB1120="","",SUMIFS('ORDENES'!$M$4:$M$1203,'ORDENES'!$AB$4:$AB$1203,$AB1120,'ORDENES'!$O$4:$O$1203,$O1120,'ORDENES'!$R$4:$R$1203,$R1120))</f>
        <v/>
      </c>
      <c r="AE1120" s="13">
        <f>IF($AD1120="","",p_factor_productividad*IFERROR(INDEX('ASIGNACIONES'!$H$4:$H$339,MATCH($O1120&amp;"|"&amp;$R1120&amp;"|"&amp;$AB1120,'ASIGNACIONES'!$I$4:$I$339,0)),0)-$AD1120)</f>
        <v/>
      </c>
      <c r="AF1120" s="10">
        <f>IF($A1120="","",IFERROR(INDEX('2_IMPORTAR_EJECUCION'!$F$9:$F$1208,MATCH($AN1120,'2_IMPORTAR_EJECUCION'!$J$9:$J$1208,0)),0))</f>
        <v/>
      </c>
      <c r="AG1120" s="10">
        <f>IF($A1120="","",MAX(0,IFERROR(INDEX('2_IMPORTAR_EJECUCION'!$H$9:$H$1208,MATCH($AN1120,'2_IMPORTAR_EJECUCION'!$J$9:$J$1208,0)),0)-$AF1120))</f>
        <v/>
      </c>
      <c r="AH1120" s="10">
        <f>IF($A1120="","",$AF1120+$AG1120)</f>
        <v/>
      </c>
      <c r="AI1120" s="6" t="n"/>
      <c r="AJ1120" s="6" t="n"/>
      <c r="AK1120" s="6" t="n"/>
      <c r="AL1120" s="3">
        <f>IF($AK1120="","",HYPERLINK(p_ruta_base_checklists&amp;$AK1120,"abrir"))</f>
        <v/>
      </c>
      <c r="AM1120" s="6" t="n"/>
      <c r="AN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1" t="n"/>
      <c r="K1121" s="3" t="n"/>
      <c r="L1121" s="10" t="n"/>
      <c r="M1121" s="3">
        <f>IF($A1121="","",IFERROR(INDEX('AJUSTES'!$B$4:$B$303,MATCH($AN1121,'AJUSTES'!$A$4:$A$303,0)),IF($K1121="","",$K1121)))</f>
        <v/>
      </c>
      <c r="N1121" s="3">
        <f>IF($A1121="","",IFERROR(INDEX('CAT_ESTADOS_ERP'!$B$4:$B$7,MATCH(IFERROR(INDEX('2_IMPORTAR_EJECUCION'!$C$9:$C$1208,MATCH($AN1121,'2_IMPORTAR_EJECUCION'!$J$9:$J$1208,0)),""),'CAT_ESTADOS_ERP'!$A$4:$A$7,0)),"Pendiente"))</f>
        <v/>
      </c>
      <c r="O1121" s="3">
        <f>IF($J1121="","",YEAR($J1121+4-WEEKDAY($J1121,2))&amp;"-S"&amp;TEXT(_xlfn.ISOWEEKNUM($J1121),"00"))</f>
        <v/>
      </c>
      <c r="P1121" s="3">
        <f>IF($J1121="","",YEAR($J1121))</f>
        <v/>
      </c>
      <c r="Q1121" s="3">
        <f>IF($J1121="","",MONTH($J1121))</f>
        <v/>
      </c>
      <c r="R1121" s="3">
        <f>IF($J1121="","",INDEX(lista_dias,WEEKDAY($J1121,2)))</f>
        <v/>
      </c>
      <c r="S1121" s="3">
        <f>IF($I1121="","",IFERROR(INDEX('CAT_TIPOS_OT'!$C$4:$C$7,MATCH($I1121,'CAT_TIPOS_OT'!$A$4:$A$7,0)),"sin_clasificar"))</f>
        <v/>
      </c>
      <c r="T1121" s="3">
        <f>IF($F1121="","",IFERROR(INDEX('CAT_CENTROS_COSTO'!$E$4:$E$9,MATCH($F1121,'CAT_CENTROS_COSTO'!$A$4:$A$9,0)),"(sin catálogo)"))</f>
        <v/>
      </c>
      <c r="U1121" s="3">
        <f>IF($F1121="","",IFERROR(INDEX('CAT_CENTROS_COSTO'!$D$4:$D$9,MATCH($F1121,'CAT_CENTROS_COSTO'!$A$4:$A$9,0)),"(sin catálogo)"))</f>
        <v/>
      </c>
      <c r="V1121" s="3">
        <f>IF($F1121="","",IFERROR(INDEX('CAT_CENTROS_COSTO'!$F$4:$F$9,MATCH($F1121,'CAT_CENTROS_COSTO'!$A$4:$A$9,0)),"(sin catálogo)"))</f>
        <v/>
      </c>
      <c r="W1121" s="3">
        <f>IF($G1121="","",IFERROR(INDEX('CAT_PUESTOS'!$B$4:$B$8,MATCH($G1121,'CAT_PUESTOS'!$A$4:$A$8,0)),"(sin catálogo)"))</f>
        <v/>
      </c>
      <c r="X1121" s="3">
        <f>IF($H1121="","",IFERROR(INDEX('CAT_ACTIVIDADES'!$B$4:$B$8,MATCH($H1121,'CAT_ACTIVIDADES'!$A$4:$A$8,0)),"(sin catálogo)"))</f>
        <v/>
      </c>
      <c r="Y1121" s="12">
        <f>IF($J1121="","",TODAY()-$J1121)</f>
        <v/>
      </c>
      <c r="Z1121" s="3">
        <f>IF($Y1121="","",IF($Y1121&lt;0,"FUTURO",IF($Y1121&gt;p_dias_backlog_max,"BACKLOG","MES CORRIENTE")))</f>
        <v/>
      </c>
      <c r="AA1121" s="3">
        <f>IF($Y1121="",FALSE,AND($Y1121&gt;p_dias_backlog_min,$Y1121&lt;=p_dias_backlog_max))</f>
        <v/>
      </c>
      <c r="AB1121" s="6" t="n"/>
      <c r="AC1121" s="3">
        <f>IF($AB1121="","",IFERROR(INDEX('ASIGNACIONES'!$F$4:$F$339,MATCH($O1121&amp;"|"&amp;$R1121&amp;"|"&amp;$AB1121,'ASIGNACIONES'!$I$4:$I$339,0)),""))</f>
        <v/>
      </c>
      <c r="AD1121" s="13">
        <f>IF($AB1121="","",SUMIFS('ORDENES'!$M$4:$M$1203,'ORDENES'!$AB$4:$AB$1203,$AB1121,'ORDENES'!$O$4:$O$1203,$O1121,'ORDENES'!$R$4:$R$1203,$R1121))</f>
        <v/>
      </c>
      <c r="AE1121" s="13">
        <f>IF($AD1121="","",p_factor_productividad*IFERROR(INDEX('ASIGNACIONES'!$H$4:$H$339,MATCH($O1121&amp;"|"&amp;$R1121&amp;"|"&amp;$AB1121,'ASIGNACIONES'!$I$4:$I$339,0)),0)-$AD1121)</f>
        <v/>
      </c>
      <c r="AF1121" s="10">
        <f>IF($A1121="","",IFERROR(INDEX('2_IMPORTAR_EJECUCION'!$F$9:$F$1208,MATCH($AN1121,'2_IMPORTAR_EJECUCION'!$J$9:$J$1208,0)),0))</f>
        <v/>
      </c>
      <c r="AG1121" s="10">
        <f>IF($A1121="","",MAX(0,IFERROR(INDEX('2_IMPORTAR_EJECUCION'!$H$9:$H$1208,MATCH($AN1121,'2_IMPORTAR_EJECUCION'!$J$9:$J$1208,0)),0)-$AF1121))</f>
        <v/>
      </c>
      <c r="AH1121" s="10">
        <f>IF($A1121="","",$AF1121+$AG1121)</f>
        <v/>
      </c>
      <c r="AI1121" s="6" t="n"/>
      <c r="AJ1121" s="6" t="n"/>
      <c r="AK1121" s="6" t="n"/>
      <c r="AL1121" s="3">
        <f>IF($AK1121="","",HYPERLINK(p_ruta_base_checklists&amp;$AK1121,"abrir"))</f>
        <v/>
      </c>
      <c r="AM1121" s="6" t="n"/>
      <c r="AN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1" t="n"/>
      <c r="K1122" s="3" t="n"/>
      <c r="L1122" s="10" t="n"/>
      <c r="M1122" s="3">
        <f>IF($A1122="","",IFERROR(INDEX('AJUSTES'!$B$4:$B$303,MATCH($AN1122,'AJUSTES'!$A$4:$A$303,0)),IF($K1122="","",$K1122)))</f>
        <v/>
      </c>
      <c r="N1122" s="3">
        <f>IF($A1122="","",IFERROR(INDEX('CAT_ESTADOS_ERP'!$B$4:$B$7,MATCH(IFERROR(INDEX('2_IMPORTAR_EJECUCION'!$C$9:$C$1208,MATCH($AN1122,'2_IMPORTAR_EJECUCION'!$J$9:$J$1208,0)),""),'CAT_ESTADOS_ERP'!$A$4:$A$7,0)),"Pendiente"))</f>
        <v/>
      </c>
      <c r="O1122" s="3">
        <f>IF($J1122="","",YEAR($J1122+4-WEEKDAY($J1122,2))&amp;"-S"&amp;TEXT(_xlfn.ISOWEEKNUM($J1122),"00"))</f>
        <v/>
      </c>
      <c r="P1122" s="3">
        <f>IF($J1122="","",YEAR($J1122))</f>
        <v/>
      </c>
      <c r="Q1122" s="3">
        <f>IF($J1122="","",MONTH($J1122))</f>
        <v/>
      </c>
      <c r="R1122" s="3">
        <f>IF($J1122="","",INDEX(lista_dias,WEEKDAY($J1122,2)))</f>
        <v/>
      </c>
      <c r="S1122" s="3">
        <f>IF($I1122="","",IFERROR(INDEX('CAT_TIPOS_OT'!$C$4:$C$7,MATCH($I1122,'CAT_TIPOS_OT'!$A$4:$A$7,0)),"sin_clasificar"))</f>
        <v/>
      </c>
      <c r="T1122" s="3">
        <f>IF($F1122="","",IFERROR(INDEX('CAT_CENTROS_COSTO'!$E$4:$E$9,MATCH($F1122,'CAT_CENTROS_COSTO'!$A$4:$A$9,0)),"(sin catálogo)"))</f>
        <v/>
      </c>
      <c r="U1122" s="3">
        <f>IF($F1122="","",IFERROR(INDEX('CAT_CENTROS_COSTO'!$D$4:$D$9,MATCH($F1122,'CAT_CENTROS_COSTO'!$A$4:$A$9,0)),"(sin catálogo)"))</f>
        <v/>
      </c>
      <c r="V1122" s="3">
        <f>IF($F1122="","",IFERROR(INDEX('CAT_CENTROS_COSTO'!$F$4:$F$9,MATCH($F1122,'CAT_CENTROS_COSTO'!$A$4:$A$9,0)),"(sin catálogo)"))</f>
        <v/>
      </c>
      <c r="W1122" s="3">
        <f>IF($G1122="","",IFERROR(INDEX('CAT_PUESTOS'!$B$4:$B$8,MATCH($G1122,'CAT_PUESTOS'!$A$4:$A$8,0)),"(sin catálogo)"))</f>
        <v/>
      </c>
      <c r="X1122" s="3">
        <f>IF($H1122="","",IFERROR(INDEX('CAT_ACTIVIDADES'!$B$4:$B$8,MATCH($H1122,'CAT_ACTIVIDADES'!$A$4:$A$8,0)),"(sin catálogo)"))</f>
        <v/>
      </c>
      <c r="Y1122" s="12">
        <f>IF($J1122="","",TODAY()-$J1122)</f>
        <v/>
      </c>
      <c r="Z1122" s="3">
        <f>IF($Y1122="","",IF($Y1122&lt;0,"FUTURO",IF($Y1122&gt;p_dias_backlog_max,"BACKLOG","MES CORRIENTE")))</f>
        <v/>
      </c>
      <c r="AA1122" s="3">
        <f>IF($Y1122="",FALSE,AND($Y1122&gt;p_dias_backlog_min,$Y1122&lt;=p_dias_backlog_max))</f>
        <v/>
      </c>
      <c r="AB1122" s="6" t="n"/>
      <c r="AC1122" s="3">
        <f>IF($AB1122="","",IFERROR(INDEX('ASIGNACIONES'!$F$4:$F$339,MATCH($O1122&amp;"|"&amp;$R1122&amp;"|"&amp;$AB1122,'ASIGNACIONES'!$I$4:$I$339,0)),""))</f>
        <v/>
      </c>
      <c r="AD1122" s="13">
        <f>IF($AB1122="","",SUMIFS('ORDENES'!$M$4:$M$1203,'ORDENES'!$AB$4:$AB$1203,$AB1122,'ORDENES'!$O$4:$O$1203,$O1122,'ORDENES'!$R$4:$R$1203,$R1122))</f>
        <v/>
      </c>
      <c r="AE1122" s="13">
        <f>IF($AD1122="","",p_factor_productividad*IFERROR(INDEX('ASIGNACIONES'!$H$4:$H$339,MATCH($O1122&amp;"|"&amp;$R1122&amp;"|"&amp;$AB1122,'ASIGNACIONES'!$I$4:$I$339,0)),0)-$AD1122)</f>
        <v/>
      </c>
      <c r="AF1122" s="10">
        <f>IF($A1122="","",IFERROR(INDEX('2_IMPORTAR_EJECUCION'!$F$9:$F$1208,MATCH($AN1122,'2_IMPORTAR_EJECUCION'!$J$9:$J$1208,0)),0))</f>
        <v/>
      </c>
      <c r="AG1122" s="10">
        <f>IF($A1122="","",MAX(0,IFERROR(INDEX('2_IMPORTAR_EJECUCION'!$H$9:$H$1208,MATCH($AN1122,'2_IMPORTAR_EJECUCION'!$J$9:$J$1208,0)),0)-$AF1122))</f>
        <v/>
      </c>
      <c r="AH1122" s="10">
        <f>IF($A1122="","",$AF1122+$AG1122)</f>
        <v/>
      </c>
      <c r="AI1122" s="6" t="n"/>
      <c r="AJ1122" s="6" t="n"/>
      <c r="AK1122" s="6" t="n"/>
      <c r="AL1122" s="3">
        <f>IF($AK1122="","",HYPERLINK(p_ruta_base_checklists&amp;$AK1122,"abrir"))</f>
        <v/>
      </c>
      <c r="AM1122" s="6" t="n"/>
      <c r="AN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1" t="n"/>
      <c r="K1123" s="3" t="n"/>
      <c r="L1123" s="10" t="n"/>
      <c r="M1123" s="3">
        <f>IF($A1123="","",IFERROR(INDEX('AJUSTES'!$B$4:$B$303,MATCH($AN1123,'AJUSTES'!$A$4:$A$303,0)),IF($K1123="","",$K1123)))</f>
        <v/>
      </c>
      <c r="N1123" s="3">
        <f>IF($A1123="","",IFERROR(INDEX('CAT_ESTADOS_ERP'!$B$4:$B$7,MATCH(IFERROR(INDEX('2_IMPORTAR_EJECUCION'!$C$9:$C$1208,MATCH($AN1123,'2_IMPORTAR_EJECUCION'!$J$9:$J$1208,0)),""),'CAT_ESTADOS_ERP'!$A$4:$A$7,0)),"Pendiente"))</f>
        <v/>
      </c>
      <c r="O1123" s="3">
        <f>IF($J1123="","",YEAR($J1123+4-WEEKDAY($J1123,2))&amp;"-S"&amp;TEXT(_xlfn.ISOWEEKNUM($J1123),"00"))</f>
        <v/>
      </c>
      <c r="P1123" s="3">
        <f>IF($J1123="","",YEAR($J1123))</f>
        <v/>
      </c>
      <c r="Q1123" s="3">
        <f>IF($J1123="","",MONTH($J1123))</f>
        <v/>
      </c>
      <c r="R1123" s="3">
        <f>IF($J1123="","",INDEX(lista_dias,WEEKDAY($J1123,2)))</f>
        <v/>
      </c>
      <c r="S1123" s="3">
        <f>IF($I1123="","",IFERROR(INDEX('CAT_TIPOS_OT'!$C$4:$C$7,MATCH($I1123,'CAT_TIPOS_OT'!$A$4:$A$7,0)),"sin_clasificar"))</f>
        <v/>
      </c>
      <c r="T1123" s="3">
        <f>IF($F1123="","",IFERROR(INDEX('CAT_CENTROS_COSTO'!$E$4:$E$9,MATCH($F1123,'CAT_CENTROS_COSTO'!$A$4:$A$9,0)),"(sin catálogo)"))</f>
        <v/>
      </c>
      <c r="U1123" s="3">
        <f>IF($F1123="","",IFERROR(INDEX('CAT_CENTROS_COSTO'!$D$4:$D$9,MATCH($F1123,'CAT_CENTROS_COSTO'!$A$4:$A$9,0)),"(sin catálogo)"))</f>
        <v/>
      </c>
      <c r="V1123" s="3">
        <f>IF($F1123="","",IFERROR(INDEX('CAT_CENTROS_COSTO'!$F$4:$F$9,MATCH($F1123,'CAT_CENTROS_COSTO'!$A$4:$A$9,0)),"(sin catálogo)"))</f>
        <v/>
      </c>
      <c r="W1123" s="3">
        <f>IF($G1123="","",IFERROR(INDEX('CAT_PUESTOS'!$B$4:$B$8,MATCH($G1123,'CAT_PUESTOS'!$A$4:$A$8,0)),"(sin catálogo)"))</f>
        <v/>
      </c>
      <c r="X1123" s="3">
        <f>IF($H1123="","",IFERROR(INDEX('CAT_ACTIVIDADES'!$B$4:$B$8,MATCH($H1123,'CAT_ACTIVIDADES'!$A$4:$A$8,0)),"(sin catálogo)"))</f>
        <v/>
      </c>
      <c r="Y1123" s="12">
        <f>IF($J1123="","",TODAY()-$J1123)</f>
        <v/>
      </c>
      <c r="Z1123" s="3">
        <f>IF($Y1123="","",IF($Y1123&lt;0,"FUTURO",IF($Y1123&gt;p_dias_backlog_max,"BACKLOG","MES CORRIENTE")))</f>
        <v/>
      </c>
      <c r="AA1123" s="3">
        <f>IF($Y1123="",FALSE,AND($Y1123&gt;p_dias_backlog_min,$Y1123&lt;=p_dias_backlog_max))</f>
        <v/>
      </c>
      <c r="AB1123" s="6" t="n"/>
      <c r="AC1123" s="3">
        <f>IF($AB1123="","",IFERROR(INDEX('ASIGNACIONES'!$F$4:$F$339,MATCH($O1123&amp;"|"&amp;$R1123&amp;"|"&amp;$AB1123,'ASIGNACIONES'!$I$4:$I$339,0)),""))</f>
        <v/>
      </c>
      <c r="AD1123" s="13">
        <f>IF($AB1123="","",SUMIFS('ORDENES'!$M$4:$M$1203,'ORDENES'!$AB$4:$AB$1203,$AB1123,'ORDENES'!$O$4:$O$1203,$O1123,'ORDENES'!$R$4:$R$1203,$R1123))</f>
        <v/>
      </c>
      <c r="AE1123" s="13">
        <f>IF($AD1123="","",p_factor_productividad*IFERROR(INDEX('ASIGNACIONES'!$H$4:$H$339,MATCH($O1123&amp;"|"&amp;$R1123&amp;"|"&amp;$AB1123,'ASIGNACIONES'!$I$4:$I$339,0)),0)-$AD1123)</f>
        <v/>
      </c>
      <c r="AF1123" s="10">
        <f>IF($A1123="","",IFERROR(INDEX('2_IMPORTAR_EJECUCION'!$F$9:$F$1208,MATCH($AN1123,'2_IMPORTAR_EJECUCION'!$J$9:$J$1208,0)),0))</f>
        <v/>
      </c>
      <c r="AG1123" s="10">
        <f>IF($A1123="","",MAX(0,IFERROR(INDEX('2_IMPORTAR_EJECUCION'!$H$9:$H$1208,MATCH($AN1123,'2_IMPORTAR_EJECUCION'!$J$9:$J$1208,0)),0)-$AF1123))</f>
        <v/>
      </c>
      <c r="AH1123" s="10">
        <f>IF($A1123="","",$AF1123+$AG1123)</f>
        <v/>
      </c>
      <c r="AI1123" s="6" t="n"/>
      <c r="AJ1123" s="6" t="n"/>
      <c r="AK1123" s="6" t="n"/>
      <c r="AL1123" s="3">
        <f>IF($AK1123="","",HYPERLINK(p_ruta_base_checklists&amp;$AK1123,"abrir"))</f>
        <v/>
      </c>
      <c r="AM1123" s="6" t="n"/>
      <c r="AN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1" t="n"/>
      <c r="K1124" s="3" t="n"/>
      <c r="L1124" s="10" t="n"/>
      <c r="M1124" s="3">
        <f>IF($A1124="","",IFERROR(INDEX('AJUSTES'!$B$4:$B$303,MATCH($AN1124,'AJUSTES'!$A$4:$A$303,0)),IF($K1124="","",$K1124)))</f>
        <v/>
      </c>
      <c r="N1124" s="3">
        <f>IF($A1124="","",IFERROR(INDEX('CAT_ESTADOS_ERP'!$B$4:$B$7,MATCH(IFERROR(INDEX('2_IMPORTAR_EJECUCION'!$C$9:$C$1208,MATCH($AN1124,'2_IMPORTAR_EJECUCION'!$J$9:$J$1208,0)),""),'CAT_ESTADOS_ERP'!$A$4:$A$7,0)),"Pendiente"))</f>
        <v/>
      </c>
      <c r="O1124" s="3">
        <f>IF($J1124="","",YEAR($J1124+4-WEEKDAY($J1124,2))&amp;"-S"&amp;TEXT(_xlfn.ISOWEEKNUM($J1124),"00"))</f>
        <v/>
      </c>
      <c r="P1124" s="3">
        <f>IF($J1124="","",YEAR($J1124))</f>
        <v/>
      </c>
      <c r="Q1124" s="3">
        <f>IF($J1124="","",MONTH($J1124))</f>
        <v/>
      </c>
      <c r="R1124" s="3">
        <f>IF($J1124="","",INDEX(lista_dias,WEEKDAY($J1124,2)))</f>
        <v/>
      </c>
      <c r="S1124" s="3">
        <f>IF($I1124="","",IFERROR(INDEX('CAT_TIPOS_OT'!$C$4:$C$7,MATCH($I1124,'CAT_TIPOS_OT'!$A$4:$A$7,0)),"sin_clasificar"))</f>
        <v/>
      </c>
      <c r="T1124" s="3">
        <f>IF($F1124="","",IFERROR(INDEX('CAT_CENTROS_COSTO'!$E$4:$E$9,MATCH($F1124,'CAT_CENTROS_COSTO'!$A$4:$A$9,0)),"(sin catálogo)"))</f>
        <v/>
      </c>
      <c r="U1124" s="3">
        <f>IF($F1124="","",IFERROR(INDEX('CAT_CENTROS_COSTO'!$D$4:$D$9,MATCH($F1124,'CAT_CENTROS_COSTO'!$A$4:$A$9,0)),"(sin catálogo)"))</f>
        <v/>
      </c>
      <c r="V1124" s="3">
        <f>IF($F1124="","",IFERROR(INDEX('CAT_CENTROS_COSTO'!$F$4:$F$9,MATCH($F1124,'CAT_CENTROS_COSTO'!$A$4:$A$9,0)),"(sin catálogo)"))</f>
        <v/>
      </c>
      <c r="W1124" s="3">
        <f>IF($G1124="","",IFERROR(INDEX('CAT_PUESTOS'!$B$4:$B$8,MATCH($G1124,'CAT_PUESTOS'!$A$4:$A$8,0)),"(sin catálogo)"))</f>
        <v/>
      </c>
      <c r="X1124" s="3">
        <f>IF($H1124="","",IFERROR(INDEX('CAT_ACTIVIDADES'!$B$4:$B$8,MATCH($H1124,'CAT_ACTIVIDADES'!$A$4:$A$8,0)),"(sin catálogo)"))</f>
        <v/>
      </c>
      <c r="Y1124" s="12">
        <f>IF($J1124="","",TODAY()-$J1124)</f>
        <v/>
      </c>
      <c r="Z1124" s="3">
        <f>IF($Y1124="","",IF($Y1124&lt;0,"FUTURO",IF($Y1124&gt;p_dias_backlog_max,"BACKLOG","MES CORRIENTE")))</f>
        <v/>
      </c>
      <c r="AA1124" s="3">
        <f>IF($Y1124="",FALSE,AND($Y1124&gt;p_dias_backlog_min,$Y1124&lt;=p_dias_backlog_max))</f>
        <v/>
      </c>
      <c r="AB1124" s="6" t="n"/>
      <c r="AC1124" s="3">
        <f>IF($AB1124="","",IFERROR(INDEX('ASIGNACIONES'!$F$4:$F$339,MATCH($O1124&amp;"|"&amp;$R1124&amp;"|"&amp;$AB1124,'ASIGNACIONES'!$I$4:$I$339,0)),""))</f>
        <v/>
      </c>
      <c r="AD1124" s="13">
        <f>IF($AB1124="","",SUMIFS('ORDENES'!$M$4:$M$1203,'ORDENES'!$AB$4:$AB$1203,$AB1124,'ORDENES'!$O$4:$O$1203,$O1124,'ORDENES'!$R$4:$R$1203,$R1124))</f>
        <v/>
      </c>
      <c r="AE1124" s="13">
        <f>IF($AD1124="","",p_factor_productividad*IFERROR(INDEX('ASIGNACIONES'!$H$4:$H$339,MATCH($O1124&amp;"|"&amp;$R1124&amp;"|"&amp;$AB1124,'ASIGNACIONES'!$I$4:$I$339,0)),0)-$AD1124)</f>
        <v/>
      </c>
      <c r="AF1124" s="10">
        <f>IF($A1124="","",IFERROR(INDEX('2_IMPORTAR_EJECUCION'!$F$9:$F$1208,MATCH($AN1124,'2_IMPORTAR_EJECUCION'!$J$9:$J$1208,0)),0))</f>
        <v/>
      </c>
      <c r="AG1124" s="10">
        <f>IF($A1124="","",MAX(0,IFERROR(INDEX('2_IMPORTAR_EJECUCION'!$H$9:$H$1208,MATCH($AN1124,'2_IMPORTAR_EJECUCION'!$J$9:$J$1208,0)),0)-$AF1124))</f>
        <v/>
      </c>
      <c r="AH1124" s="10">
        <f>IF($A1124="","",$AF1124+$AG1124)</f>
        <v/>
      </c>
      <c r="AI1124" s="6" t="n"/>
      <c r="AJ1124" s="6" t="n"/>
      <c r="AK1124" s="6" t="n"/>
      <c r="AL1124" s="3">
        <f>IF($AK1124="","",HYPERLINK(p_ruta_base_checklists&amp;$AK1124,"abrir"))</f>
        <v/>
      </c>
      <c r="AM1124" s="6" t="n"/>
      <c r="AN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1" t="n"/>
      <c r="K1125" s="3" t="n"/>
      <c r="L1125" s="10" t="n"/>
      <c r="M1125" s="3">
        <f>IF($A1125="","",IFERROR(INDEX('AJUSTES'!$B$4:$B$303,MATCH($AN1125,'AJUSTES'!$A$4:$A$303,0)),IF($K1125="","",$K1125)))</f>
        <v/>
      </c>
      <c r="N1125" s="3">
        <f>IF($A1125="","",IFERROR(INDEX('CAT_ESTADOS_ERP'!$B$4:$B$7,MATCH(IFERROR(INDEX('2_IMPORTAR_EJECUCION'!$C$9:$C$1208,MATCH($AN1125,'2_IMPORTAR_EJECUCION'!$J$9:$J$1208,0)),""),'CAT_ESTADOS_ERP'!$A$4:$A$7,0)),"Pendiente"))</f>
        <v/>
      </c>
      <c r="O1125" s="3">
        <f>IF($J1125="","",YEAR($J1125+4-WEEKDAY($J1125,2))&amp;"-S"&amp;TEXT(_xlfn.ISOWEEKNUM($J1125),"00"))</f>
        <v/>
      </c>
      <c r="P1125" s="3">
        <f>IF($J1125="","",YEAR($J1125))</f>
        <v/>
      </c>
      <c r="Q1125" s="3">
        <f>IF($J1125="","",MONTH($J1125))</f>
        <v/>
      </c>
      <c r="R1125" s="3">
        <f>IF($J1125="","",INDEX(lista_dias,WEEKDAY($J1125,2)))</f>
        <v/>
      </c>
      <c r="S1125" s="3">
        <f>IF($I1125="","",IFERROR(INDEX('CAT_TIPOS_OT'!$C$4:$C$7,MATCH($I1125,'CAT_TIPOS_OT'!$A$4:$A$7,0)),"sin_clasificar"))</f>
        <v/>
      </c>
      <c r="T1125" s="3">
        <f>IF($F1125="","",IFERROR(INDEX('CAT_CENTROS_COSTO'!$E$4:$E$9,MATCH($F1125,'CAT_CENTROS_COSTO'!$A$4:$A$9,0)),"(sin catálogo)"))</f>
        <v/>
      </c>
      <c r="U1125" s="3">
        <f>IF($F1125="","",IFERROR(INDEX('CAT_CENTROS_COSTO'!$D$4:$D$9,MATCH($F1125,'CAT_CENTROS_COSTO'!$A$4:$A$9,0)),"(sin catálogo)"))</f>
        <v/>
      </c>
      <c r="V1125" s="3">
        <f>IF($F1125="","",IFERROR(INDEX('CAT_CENTROS_COSTO'!$F$4:$F$9,MATCH($F1125,'CAT_CENTROS_COSTO'!$A$4:$A$9,0)),"(sin catálogo)"))</f>
        <v/>
      </c>
      <c r="W1125" s="3">
        <f>IF($G1125="","",IFERROR(INDEX('CAT_PUESTOS'!$B$4:$B$8,MATCH($G1125,'CAT_PUESTOS'!$A$4:$A$8,0)),"(sin catálogo)"))</f>
        <v/>
      </c>
      <c r="X1125" s="3">
        <f>IF($H1125="","",IFERROR(INDEX('CAT_ACTIVIDADES'!$B$4:$B$8,MATCH($H1125,'CAT_ACTIVIDADES'!$A$4:$A$8,0)),"(sin catálogo)"))</f>
        <v/>
      </c>
      <c r="Y1125" s="12">
        <f>IF($J1125="","",TODAY()-$J1125)</f>
        <v/>
      </c>
      <c r="Z1125" s="3">
        <f>IF($Y1125="","",IF($Y1125&lt;0,"FUTURO",IF($Y1125&gt;p_dias_backlog_max,"BACKLOG","MES CORRIENTE")))</f>
        <v/>
      </c>
      <c r="AA1125" s="3">
        <f>IF($Y1125="",FALSE,AND($Y1125&gt;p_dias_backlog_min,$Y1125&lt;=p_dias_backlog_max))</f>
        <v/>
      </c>
      <c r="AB1125" s="6" t="n"/>
      <c r="AC1125" s="3">
        <f>IF($AB1125="","",IFERROR(INDEX('ASIGNACIONES'!$F$4:$F$339,MATCH($O1125&amp;"|"&amp;$R1125&amp;"|"&amp;$AB1125,'ASIGNACIONES'!$I$4:$I$339,0)),""))</f>
        <v/>
      </c>
      <c r="AD1125" s="13">
        <f>IF($AB1125="","",SUMIFS('ORDENES'!$M$4:$M$1203,'ORDENES'!$AB$4:$AB$1203,$AB1125,'ORDENES'!$O$4:$O$1203,$O1125,'ORDENES'!$R$4:$R$1203,$R1125))</f>
        <v/>
      </c>
      <c r="AE1125" s="13">
        <f>IF($AD1125="","",p_factor_productividad*IFERROR(INDEX('ASIGNACIONES'!$H$4:$H$339,MATCH($O1125&amp;"|"&amp;$R1125&amp;"|"&amp;$AB1125,'ASIGNACIONES'!$I$4:$I$339,0)),0)-$AD1125)</f>
        <v/>
      </c>
      <c r="AF1125" s="10">
        <f>IF($A1125="","",IFERROR(INDEX('2_IMPORTAR_EJECUCION'!$F$9:$F$1208,MATCH($AN1125,'2_IMPORTAR_EJECUCION'!$J$9:$J$1208,0)),0))</f>
        <v/>
      </c>
      <c r="AG1125" s="10">
        <f>IF($A1125="","",MAX(0,IFERROR(INDEX('2_IMPORTAR_EJECUCION'!$H$9:$H$1208,MATCH($AN1125,'2_IMPORTAR_EJECUCION'!$J$9:$J$1208,0)),0)-$AF1125))</f>
        <v/>
      </c>
      <c r="AH1125" s="10">
        <f>IF($A1125="","",$AF1125+$AG1125)</f>
        <v/>
      </c>
      <c r="AI1125" s="6" t="n"/>
      <c r="AJ1125" s="6" t="n"/>
      <c r="AK1125" s="6" t="n"/>
      <c r="AL1125" s="3">
        <f>IF($AK1125="","",HYPERLINK(p_ruta_base_checklists&amp;$AK1125,"abrir"))</f>
        <v/>
      </c>
      <c r="AM1125" s="6" t="n"/>
      <c r="AN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1" t="n"/>
      <c r="K1126" s="3" t="n"/>
      <c r="L1126" s="10" t="n"/>
      <c r="M1126" s="3">
        <f>IF($A1126="","",IFERROR(INDEX('AJUSTES'!$B$4:$B$303,MATCH($AN1126,'AJUSTES'!$A$4:$A$303,0)),IF($K1126="","",$K1126)))</f>
        <v/>
      </c>
      <c r="N1126" s="3">
        <f>IF($A1126="","",IFERROR(INDEX('CAT_ESTADOS_ERP'!$B$4:$B$7,MATCH(IFERROR(INDEX('2_IMPORTAR_EJECUCION'!$C$9:$C$1208,MATCH($AN1126,'2_IMPORTAR_EJECUCION'!$J$9:$J$1208,0)),""),'CAT_ESTADOS_ERP'!$A$4:$A$7,0)),"Pendiente"))</f>
        <v/>
      </c>
      <c r="O1126" s="3">
        <f>IF($J1126="","",YEAR($J1126+4-WEEKDAY($J1126,2))&amp;"-S"&amp;TEXT(_xlfn.ISOWEEKNUM($J1126),"00"))</f>
        <v/>
      </c>
      <c r="P1126" s="3">
        <f>IF($J1126="","",YEAR($J1126))</f>
        <v/>
      </c>
      <c r="Q1126" s="3">
        <f>IF($J1126="","",MONTH($J1126))</f>
        <v/>
      </c>
      <c r="R1126" s="3">
        <f>IF($J1126="","",INDEX(lista_dias,WEEKDAY($J1126,2)))</f>
        <v/>
      </c>
      <c r="S1126" s="3">
        <f>IF($I1126="","",IFERROR(INDEX('CAT_TIPOS_OT'!$C$4:$C$7,MATCH($I1126,'CAT_TIPOS_OT'!$A$4:$A$7,0)),"sin_clasificar"))</f>
        <v/>
      </c>
      <c r="T1126" s="3">
        <f>IF($F1126="","",IFERROR(INDEX('CAT_CENTROS_COSTO'!$E$4:$E$9,MATCH($F1126,'CAT_CENTROS_COSTO'!$A$4:$A$9,0)),"(sin catálogo)"))</f>
        <v/>
      </c>
      <c r="U1126" s="3">
        <f>IF($F1126="","",IFERROR(INDEX('CAT_CENTROS_COSTO'!$D$4:$D$9,MATCH($F1126,'CAT_CENTROS_COSTO'!$A$4:$A$9,0)),"(sin catálogo)"))</f>
        <v/>
      </c>
      <c r="V1126" s="3">
        <f>IF($F1126="","",IFERROR(INDEX('CAT_CENTROS_COSTO'!$F$4:$F$9,MATCH($F1126,'CAT_CENTROS_COSTO'!$A$4:$A$9,0)),"(sin catálogo)"))</f>
        <v/>
      </c>
      <c r="W1126" s="3">
        <f>IF($G1126="","",IFERROR(INDEX('CAT_PUESTOS'!$B$4:$B$8,MATCH($G1126,'CAT_PUESTOS'!$A$4:$A$8,0)),"(sin catálogo)"))</f>
        <v/>
      </c>
      <c r="X1126" s="3">
        <f>IF($H1126="","",IFERROR(INDEX('CAT_ACTIVIDADES'!$B$4:$B$8,MATCH($H1126,'CAT_ACTIVIDADES'!$A$4:$A$8,0)),"(sin catálogo)"))</f>
        <v/>
      </c>
      <c r="Y1126" s="12">
        <f>IF($J1126="","",TODAY()-$J1126)</f>
        <v/>
      </c>
      <c r="Z1126" s="3">
        <f>IF($Y1126="","",IF($Y1126&lt;0,"FUTURO",IF($Y1126&gt;p_dias_backlog_max,"BACKLOG","MES CORRIENTE")))</f>
        <v/>
      </c>
      <c r="AA1126" s="3">
        <f>IF($Y1126="",FALSE,AND($Y1126&gt;p_dias_backlog_min,$Y1126&lt;=p_dias_backlog_max))</f>
        <v/>
      </c>
      <c r="AB1126" s="6" t="n"/>
      <c r="AC1126" s="3">
        <f>IF($AB1126="","",IFERROR(INDEX('ASIGNACIONES'!$F$4:$F$339,MATCH($O1126&amp;"|"&amp;$R1126&amp;"|"&amp;$AB1126,'ASIGNACIONES'!$I$4:$I$339,0)),""))</f>
        <v/>
      </c>
      <c r="AD1126" s="13">
        <f>IF($AB1126="","",SUMIFS('ORDENES'!$M$4:$M$1203,'ORDENES'!$AB$4:$AB$1203,$AB1126,'ORDENES'!$O$4:$O$1203,$O1126,'ORDENES'!$R$4:$R$1203,$R1126))</f>
        <v/>
      </c>
      <c r="AE1126" s="13">
        <f>IF($AD1126="","",p_factor_productividad*IFERROR(INDEX('ASIGNACIONES'!$H$4:$H$339,MATCH($O1126&amp;"|"&amp;$R1126&amp;"|"&amp;$AB1126,'ASIGNACIONES'!$I$4:$I$339,0)),0)-$AD1126)</f>
        <v/>
      </c>
      <c r="AF1126" s="10">
        <f>IF($A1126="","",IFERROR(INDEX('2_IMPORTAR_EJECUCION'!$F$9:$F$1208,MATCH($AN1126,'2_IMPORTAR_EJECUCION'!$J$9:$J$1208,0)),0))</f>
        <v/>
      </c>
      <c r="AG1126" s="10">
        <f>IF($A1126="","",MAX(0,IFERROR(INDEX('2_IMPORTAR_EJECUCION'!$H$9:$H$1208,MATCH($AN1126,'2_IMPORTAR_EJECUCION'!$J$9:$J$1208,0)),0)-$AF1126))</f>
        <v/>
      </c>
      <c r="AH1126" s="10">
        <f>IF($A1126="","",$AF1126+$AG1126)</f>
        <v/>
      </c>
      <c r="AI1126" s="6" t="n"/>
      <c r="AJ1126" s="6" t="n"/>
      <c r="AK1126" s="6" t="n"/>
      <c r="AL1126" s="3">
        <f>IF($AK1126="","",HYPERLINK(p_ruta_base_checklists&amp;$AK1126,"abrir"))</f>
        <v/>
      </c>
      <c r="AM1126" s="6" t="n"/>
      <c r="AN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1" t="n"/>
      <c r="K1127" s="3" t="n"/>
      <c r="L1127" s="10" t="n"/>
      <c r="M1127" s="3">
        <f>IF($A1127="","",IFERROR(INDEX('AJUSTES'!$B$4:$B$303,MATCH($AN1127,'AJUSTES'!$A$4:$A$303,0)),IF($K1127="","",$K1127)))</f>
        <v/>
      </c>
      <c r="N1127" s="3">
        <f>IF($A1127="","",IFERROR(INDEX('CAT_ESTADOS_ERP'!$B$4:$B$7,MATCH(IFERROR(INDEX('2_IMPORTAR_EJECUCION'!$C$9:$C$1208,MATCH($AN1127,'2_IMPORTAR_EJECUCION'!$J$9:$J$1208,0)),""),'CAT_ESTADOS_ERP'!$A$4:$A$7,0)),"Pendiente"))</f>
        <v/>
      </c>
      <c r="O1127" s="3">
        <f>IF($J1127="","",YEAR($J1127+4-WEEKDAY($J1127,2))&amp;"-S"&amp;TEXT(_xlfn.ISOWEEKNUM($J1127),"00"))</f>
        <v/>
      </c>
      <c r="P1127" s="3">
        <f>IF($J1127="","",YEAR($J1127))</f>
        <v/>
      </c>
      <c r="Q1127" s="3">
        <f>IF($J1127="","",MONTH($J1127))</f>
        <v/>
      </c>
      <c r="R1127" s="3">
        <f>IF($J1127="","",INDEX(lista_dias,WEEKDAY($J1127,2)))</f>
        <v/>
      </c>
      <c r="S1127" s="3">
        <f>IF($I1127="","",IFERROR(INDEX('CAT_TIPOS_OT'!$C$4:$C$7,MATCH($I1127,'CAT_TIPOS_OT'!$A$4:$A$7,0)),"sin_clasificar"))</f>
        <v/>
      </c>
      <c r="T1127" s="3">
        <f>IF($F1127="","",IFERROR(INDEX('CAT_CENTROS_COSTO'!$E$4:$E$9,MATCH($F1127,'CAT_CENTROS_COSTO'!$A$4:$A$9,0)),"(sin catálogo)"))</f>
        <v/>
      </c>
      <c r="U1127" s="3">
        <f>IF($F1127="","",IFERROR(INDEX('CAT_CENTROS_COSTO'!$D$4:$D$9,MATCH($F1127,'CAT_CENTROS_COSTO'!$A$4:$A$9,0)),"(sin catálogo)"))</f>
        <v/>
      </c>
      <c r="V1127" s="3">
        <f>IF($F1127="","",IFERROR(INDEX('CAT_CENTROS_COSTO'!$F$4:$F$9,MATCH($F1127,'CAT_CENTROS_COSTO'!$A$4:$A$9,0)),"(sin catálogo)"))</f>
        <v/>
      </c>
      <c r="W1127" s="3">
        <f>IF($G1127="","",IFERROR(INDEX('CAT_PUESTOS'!$B$4:$B$8,MATCH($G1127,'CAT_PUESTOS'!$A$4:$A$8,0)),"(sin catálogo)"))</f>
        <v/>
      </c>
      <c r="X1127" s="3">
        <f>IF($H1127="","",IFERROR(INDEX('CAT_ACTIVIDADES'!$B$4:$B$8,MATCH($H1127,'CAT_ACTIVIDADES'!$A$4:$A$8,0)),"(sin catálogo)"))</f>
        <v/>
      </c>
      <c r="Y1127" s="12">
        <f>IF($J1127="","",TODAY()-$J1127)</f>
        <v/>
      </c>
      <c r="Z1127" s="3">
        <f>IF($Y1127="","",IF($Y1127&lt;0,"FUTURO",IF($Y1127&gt;p_dias_backlog_max,"BACKLOG","MES CORRIENTE")))</f>
        <v/>
      </c>
      <c r="AA1127" s="3">
        <f>IF($Y1127="",FALSE,AND($Y1127&gt;p_dias_backlog_min,$Y1127&lt;=p_dias_backlog_max))</f>
        <v/>
      </c>
      <c r="AB1127" s="6" t="n"/>
      <c r="AC1127" s="3">
        <f>IF($AB1127="","",IFERROR(INDEX('ASIGNACIONES'!$F$4:$F$339,MATCH($O1127&amp;"|"&amp;$R1127&amp;"|"&amp;$AB1127,'ASIGNACIONES'!$I$4:$I$339,0)),""))</f>
        <v/>
      </c>
      <c r="AD1127" s="13">
        <f>IF($AB1127="","",SUMIFS('ORDENES'!$M$4:$M$1203,'ORDENES'!$AB$4:$AB$1203,$AB1127,'ORDENES'!$O$4:$O$1203,$O1127,'ORDENES'!$R$4:$R$1203,$R1127))</f>
        <v/>
      </c>
      <c r="AE1127" s="13">
        <f>IF($AD1127="","",p_factor_productividad*IFERROR(INDEX('ASIGNACIONES'!$H$4:$H$339,MATCH($O1127&amp;"|"&amp;$R1127&amp;"|"&amp;$AB1127,'ASIGNACIONES'!$I$4:$I$339,0)),0)-$AD1127)</f>
        <v/>
      </c>
      <c r="AF1127" s="10">
        <f>IF($A1127="","",IFERROR(INDEX('2_IMPORTAR_EJECUCION'!$F$9:$F$1208,MATCH($AN1127,'2_IMPORTAR_EJECUCION'!$J$9:$J$1208,0)),0))</f>
        <v/>
      </c>
      <c r="AG1127" s="10">
        <f>IF($A1127="","",MAX(0,IFERROR(INDEX('2_IMPORTAR_EJECUCION'!$H$9:$H$1208,MATCH($AN1127,'2_IMPORTAR_EJECUCION'!$J$9:$J$1208,0)),0)-$AF1127))</f>
        <v/>
      </c>
      <c r="AH1127" s="10">
        <f>IF($A1127="","",$AF1127+$AG1127)</f>
        <v/>
      </c>
      <c r="AI1127" s="6" t="n"/>
      <c r="AJ1127" s="6" t="n"/>
      <c r="AK1127" s="6" t="n"/>
      <c r="AL1127" s="3">
        <f>IF($AK1127="","",HYPERLINK(p_ruta_base_checklists&amp;$AK1127,"abrir"))</f>
        <v/>
      </c>
      <c r="AM1127" s="6" t="n"/>
      <c r="AN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1" t="n"/>
      <c r="K1128" s="3" t="n"/>
      <c r="L1128" s="10" t="n"/>
      <c r="M1128" s="3">
        <f>IF($A1128="","",IFERROR(INDEX('AJUSTES'!$B$4:$B$303,MATCH($AN1128,'AJUSTES'!$A$4:$A$303,0)),IF($K1128="","",$K1128)))</f>
        <v/>
      </c>
      <c r="N1128" s="3">
        <f>IF($A1128="","",IFERROR(INDEX('CAT_ESTADOS_ERP'!$B$4:$B$7,MATCH(IFERROR(INDEX('2_IMPORTAR_EJECUCION'!$C$9:$C$1208,MATCH($AN1128,'2_IMPORTAR_EJECUCION'!$J$9:$J$1208,0)),""),'CAT_ESTADOS_ERP'!$A$4:$A$7,0)),"Pendiente"))</f>
        <v/>
      </c>
      <c r="O1128" s="3">
        <f>IF($J1128="","",YEAR($J1128+4-WEEKDAY($J1128,2))&amp;"-S"&amp;TEXT(_xlfn.ISOWEEKNUM($J1128),"00"))</f>
        <v/>
      </c>
      <c r="P1128" s="3">
        <f>IF($J1128="","",YEAR($J1128))</f>
        <v/>
      </c>
      <c r="Q1128" s="3">
        <f>IF($J1128="","",MONTH($J1128))</f>
        <v/>
      </c>
      <c r="R1128" s="3">
        <f>IF($J1128="","",INDEX(lista_dias,WEEKDAY($J1128,2)))</f>
        <v/>
      </c>
      <c r="S1128" s="3">
        <f>IF($I1128="","",IFERROR(INDEX('CAT_TIPOS_OT'!$C$4:$C$7,MATCH($I1128,'CAT_TIPOS_OT'!$A$4:$A$7,0)),"sin_clasificar"))</f>
        <v/>
      </c>
      <c r="T1128" s="3">
        <f>IF($F1128="","",IFERROR(INDEX('CAT_CENTROS_COSTO'!$E$4:$E$9,MATCH($F1128,'CAT_CENTROS_COSTO'!$A$4:$A$9,0)),"(sin catálogo)"))</f>
        <v/>
      </c>
      <c r="U1128" s="3">
        <f>IF($F1128="","",IFERROR(INDEX('CAT_CENTROS_COSTO'!$D$4:$D$9,MATCH($F1128,'CAT_CENTROS_COSTO'!$A$4:$A$9,0)),"(sin catálogo)"))</f>
        <v/>
      </c>
      <c r="V1128" s="3">
        <f>IF($F1128="","",IFERROR(INDEX('CAT_CENTROS_COSTO'!$F$4:$F$9,MATCH($F1128,'CAT_CENTROS_COSTO'!$A$4:$A$9,0)),"(sin catálogo)"))</f>
        <v/>
      </c>
      <c r="W1128" s="3">
        <f>IF($G1128="","",IFERROR(INDEX('CAT_PUESTOS'!$B$4:$B$8,MATCH($G1128,'CAT_PUESTOS'!$A$4:$A$8,0)),"(sin catálogo)"))</f>
        <v/>
      </c>
      <c r="X1128" s="3">
        <f>IF($H1128="","",IFERROR(INDEX('CAT_ACTIVIDADES'!$B$4:$B$8,MATCH($H1128,'CAT_ACTIVIDADES'!$A$4:$A$8,0)),"(sin catálogo)"))</f>
        <v/>
      </c>
      <c r="Y1128" s="12">
        <f>IF($J1128="","",TODAY()-$J1128)</f>
        <v/>
      </c>
      <c r="Z1128" s="3">
        <f>IF($Y1128="","",IF($Y1128&lt;0,"FUTURO",IF($Y1128&gt;p_dias_backlog_max,"BACKLOG","MES CORRIENTE")))</f>
        <v/>
      </c>
      <c r="AA1128" s="3">
        <f>IF($Y1128="",FALSE,AND($Y1128&gt;p_dias_backlog_min,$Y1128&lt;=p_dias_backlog_max))</f>
        <v/>
      </c>
      <c r="AB1128" s="6" t="n"/>
      <c r="AC1128" s="3">
        <f>IF($AB1128="","",IFERROR(INDEX('ASIGNACIONES'!$F$4:$F$339,MATCH($O1128&amp;"|"&amp;$R1128&amp;"|"&amp;$AB1128,'ASIGNACIONES'!$I$4:$I$339,0)),""))</f>
        <v/>
      </c>
      <c r="AD1128" s="13">
        <f>IF($AB1128="","",SUMIFS('ORDENES'!$M$4:$M$1203,'ORDENES'!$AB$4:$AB$1203,$AB1128,'ORDENES'!$O$4:$O$1203,$O1128,'ORDENES'!$R$4:$R$1203,$R1128))</f>
        <v/>
      </c>
      <c r="AE1128" s="13">
        <f>IF($AD1128="","",p_factor_productividad*IFERROR(INDEX('ASIGNACIONES'!$H$4:$H$339,MATCH($O1128&amp;"|"&amp;$R1128&amp;"|"&amp;$AB1128,'ASIGNACIONES'!$I$4:$I$339,0)),0)-$AD1128)</f>
        <v/>
      </c>
      <c r="AF1128" s="10">
        <f>IF($A1128="","",IFERROR(INDEX('2_IMPORTAR_EJECUCION'!$F$9:$F$1208,MATCH($AN1128,'2_IMPORTAR_EJECUCION'!$J$9:$J$1208,0)),0))</f>
        <v/>
      </c>
      <c r="AG1128" s="10">
        <f>IF($A1128="","",MAX(0,IFERROR(INDEX('2_IMPORTAR_EJECUCION'!$H$9:$H$1208,MATCH($AN1128,'2_IMPORTAR_EJECUCION'!$J$9:$J$1208,0)),0)-$AF1128))</f>
        <v/>
      </c>
      <c r="AH1128" s="10">
        <f>IF($A1128="","",$AF1128+$AG1128)</f>
        <v/>
      </c>
      <c r="AI1128" s="6" t="n"/>
      <c r="AJ1128" s="6" t="n"/>
      <c r="AK1128" s="6" t="n"/>
      <c r="AL1128" s="3">
        <f>IF($AK1128="","",HYPERLINK(p_ruta_base_checklists&amp;$AK1128,"abrir"))</f>
        <v/>
      </c>
      <c r="AM1128" s="6" t="n"/>
      <c r="AN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1" t="n"/>
      <c r="K1129" s="3" t="n"/>
      <c r="L1129" s="10" t="n"/>
      <c r="M1129" s="3">
        <f>IF($A1129="","",IFERROR(INDEX('AJUSTES'!$B$4:$B$303,MATCH($AN1129,'AJUSTES'!$A$4:$A$303,0)),IF($K1129="","",$K1129)))</f>
        <v/>
      </c>
      <c r="N1129" s="3">
        <f>IF($A1129="","",IFERROR(INDEX('CAT_ESTADOS_ERP'!$B$4:$B$7,MATCH(IFERROR(INDEX('2_IMPORTAR_EJECUCION'!$C$9:$C$1208,MATCH($AN1129,'2_IMPORTAR_EJECUCION'!$J$9:$J$1208,0)),""),'CAT_ESTADOS_ERP'!$A$4:$A$7,0)),"Pendiente"))</f>
        <v/>
      </c>
      <c r="O1129" s="3">
        <f>IF($J1129="","",YEAR($J1129+4-WEEKDAY($J1129,2))&amp;"-S"&amp;TEXT(_xlfn.ISOWEEKNUM($J1129),"00"))</f>
        <v/>
      </c>
      <c r="P1129" s="3">
        <f>IF($J1129="","",YEAR($J1129))</f>
        <v/>
      </c>
      <c r="Q1129" s="3">
        <f>IF($J1129="","",MONTH($J1129))</f>
        <v/>
      </c>
      <c r="R1129" s="3">
        <f>IF($J1129="","",INDEX(lista_dias,WEEKDAY($J1129,2)))</f>
        <v/>
      </c>
      <c r="S1129" s="3">
        <f>IF($I1129="","",IFERROR(INDEX('CAT_TIPOS_OT'!$C$4:$C$7,MATCH($I1129,'CAT_TIPOS_OT'!$A$4:$A$7,0)),"sin_clasificar"))</f>
        <v/>
      </c>
      <c r="T1129" s="3">
        <f>IF($F1129="","",IFERROR(INDEX('CAT_CENTROS_COSTO'!$E$4:$E$9,MATCH($F1129,'CAT_CENTROS_COSTO'!$A$4:$A$9,0)),"(sin catálogo)"))</f>
        <v/>
      </c>
      <c r="U1129" s="3">
        <f>IF($F1129="","",IFERROR(INDEX('CAT_CENTROS_COSTO'!$D$4:$D$9,MATCH($F1129,'CAT_CENTROS_COSTO'!$A$4:$A$9,0)),"(sin catálogo)"))</f>
        <v/>
      </c>
      <c r="V1129" s="3">
        <f>IF($F1129="","",IFERROR(INDEX('CAT_CENTROS_COSTO'!$F$4:$F$9,MATCH($F1129,'CAT_CENTROS_COSTO'!$A$4:$A$9,0)),"(sin catálogo)"))</f>
        <v/>
      </c>
      <c r="W1129" s="3">
        <f>IF($G1129="","",IFERROR(INDEX('CAT_PUESTOS'!$B$4:$B$8,MATCH($G1129,'CAT_PUESTOS'!$A$4:$A$8,0)),"(sin catálogo)"))</f>
        <v/>
      </c>
      <c r="X1129" s="3">
        <f>IF($H1129="","",IFERROR(INDEX('CAT_ACTIVIDADES'!$B$4:$B$8,MATCH($H1129,'CAT_ACTIVIDADES'!$A$4:$A$8,0)),"(sin catálogo)"))</f>
        <v/>
      </c>
      <c r="Y1129" s="12">
        <f>IF($J1129="","",TODAY()-$J1129)</f>
        <v/>
      </c>
      <c r="Z1129" s="3">
        <f>IF($Y1129="","",IF($Y1129&lt;0,"FUTURO",IF($Y1129&gt;p_dias_backlog_max,"BACKLOG","MES CORRIENTE")))</f>
        <v/>
      </c>
      <c r="AA1129" s="3">
        <f>IF($Y1129="",FALSE,AND($Y1129&gt;p_dias_backlog_min,$Y1129&lt;=p_dias_backlog_max))</f>
        <v/>
      </c>
      <c r="AB1129" s="6" t="n"/>
      <c r="AC1129" s="3">
        <f>IF($AB1129="","",IFERROR(INDEX('ASIGNACIONES'!$F$4:$F$339,MATCH($O1129&amp;"|"&amp;$R1129&amp;"|"&amp;$AB1129,'ASIGNACIONES'!$I$4:$I$339,0)),""))</f>
        <v/>
      </c>
      <c r="AD1129" s="13">
        <f>IF($AB1129="","",SUMIFS('ORDENES'!$M$4:$M$1203,'ORDENES'!$AB$4:$AB$1203,$AB1129,'ORDENES'!$O$4:$O$1203,$O1129,'ORDENES'!$R$4:$R$1203,$R1129))</f>
        <v/>
      </c>
      <c r="AE1129" s="13">
        <f>IF($AD1129="","",p_factor_productividad*IFERROR(INDEX('ASIGNACIONES'!$H$4:$H$339,MATCH($O1129&amp;"|"&amp;$R1129&amp;"|"&amp;$AB1129,'ASIGNACIONES'!$I$4:$I$339,0)),0)-$AD1129)</f>
        <v/>
      </c>
      <c r="AF1129" s="10">
        <f>IF($A1129="","",IFERROR(INDEX('2_IMPORTAR_EJECUCION'!$F$9:$F$1208,MATCH($AN1129,'2_IMPORTAR_EJECUCION'!$J$9:$J$1208,0)),0))</f>
        <v/>
      </c>
      <c r="AG1129" s="10">
        <f>IF($A1129="","",MAX(0,IFERROR(INDEX('2_IMPORTAR_EJECUCION'!$H$9:$H$1208,MATCH($AN1129,'2_IMPORTAR_EJECUCION'!$J$9:$J$1208,0)),0)-$AF1129))</f>
        <v/>
      </c>
      <c r="AH1129" s="10">
        <f>IF($A1129="","",$AF1129+$AG1129)</f>
        <v/>
      </c>
      <c r="AI1129" s="6" t="n"/>
      <c r="AJ1129" s="6" t="n"/>
      <c r="AK1129" s="6" t="n"/>
      <c r="AL1129" s="3">
        <f>IF($AK1129="","",HYPERLINK(p_ruta_base_checklists&amp;$AK1129,"abrir"))</f>
        <v/>
      </c>
      <c r="AM1129" s="6" t="n"/>
      <c r="AN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1" t="n"/>
      <c r="K1130" s="3" t="n"/>
      <c r="L1130" s="10" t="n"/>
      <c r="M1130" s="3">
        <f>IF($A1130="","",IFERROR(INDEX('AJUSTES'!$B$4:$B$303,MATCH($AN1130,'AJUSTES'!$A$4:$A$303,0)),IF($K1130="","",$K1130)))</f>
        <v/>
      </c>
      <c r="N1130" s="3">
        <f>IF($A1130="","",IFERROR(INDEX('CAT_ESTADOS_ERP'!$B$4:$B$7,MATCH(IFERROR(INDEX('2_IMPORTAR_EJECUCION'!$C$9:$C$1208,MATCH($AN1130,'2_IMPORTAR_EJECUCION'!$J$9:$J$1208,0)),""),'CAT_ESTADOS_ERP'!$A$4:$A$7,0)),"Pendiente"))</f>
        <v/>
      </c>
      <c r="O1130" s="3">
        <f>IF($J1130="","",YEAR($J1130+4-WEEKDAY($J1130,2))&amp;"-S"&amp;TEXT(_xlfn.ISOWEEKNUM($J1130),"00"))</f>
        <v/>
      </c>
      <c r="P1130" s="3">
        <f>IF($J1130="","",YEAR($J1130))</f>
        <v/>
      </c>
      <c r="Q1130" s="3">
        <f>IF($J1130="","",MONTH($J1130))</f>
        <v/>
      </c>
      <c r="R1130" s="3">
        <f>IF($J1130="","",INDEX(lista_dias,WEEKDAY($J1130,2)))</f>
        <v/>
      </c>
      <c r="S1130" s="3">
        <f>IF($I1130="","",IFERROR(INDEX('CAT_TIPOS_OT'!$C$4:$C$7,MATCH($I1130,'CAT_TIPOS_OT'!$A$4:$A$7,0)),"sin_clasificar"))</f>
        <v/>
      </c>
      <c r="T1130" s="3">
        <f>IF($F1130="","",IFERROR(INDEX('CAT_CENTROS_COSTO'!$E$4:$E$9,MATCH($F1130,'CAT_CENTROS_COSTO'!$A$4:$A$9,0)),"(sin catálogo)"))</f>
        <v/>
      </c>
      <c r="U1130" s="3">
        <f>IF($F1130="","",IFERROR(INDEX('CAT_CENTROS_COSTO'!$D$4:$D$9,MATCH($F1130,'CAT_CENTROS_COSTO'!$A$4:$A$9,0)),"(sin catálogo)"))</f>
        <v/>
      </c>
      <c r="V1130" s="3">
        <f>IF($F1130="","",IFERROR(INDEX('CAT_CENTROS_COSTO'!$F$4:$F$9,MATCH($F1130,'CAT_CENTROS_COSTO'!$A$4:$A$9,0)),"(sin catálogo)"))</f>
        <v/>
      </c>
      <c r="W1130" s="3">
        <f>IF($G1130="","",IFERROR(INDEX('CAT_PUESTOS'!$B$4:$B$8,MATCH($G1130,'CAT_PUESTOS'!$A$4:$A$8,0)),"(sin catálogo)"))</f>
        <v/>
      </c>
      <c r="X1130" s="3">
        <f>IF($H1130="","",IFERROR(INDEX('CAT_ACTIVIDADES'!$B$4:$B$8,MATCH($H1130,'CAT_ACTIVIDADES'!$A$4:$A$8,0)),"(sin catálogo)"))</f>
        <v/>
      </c>
      <c r="Y1130" s="12">
        <f>IF($J1130="","",TODAY()-$J1130)</f>
        <v/>
      </c>
      <c r="Z1130" s="3">
        <f>IF($Y1130="","",IF($Y1130&lt;0,"FUTURO",IF($Y1130&gt;p_dias_backlog_max,"BACKLOG","MES CORRIENTE")))</f>
        <v/>
      </c>
      <c r="AA1130" s="3">
        <f>IF($Y1130="",FALSE,AND($Y1130&gt;p_dias_backlog_min,$Y1130&lt;=p_dias_backlog_max))</f>
        <v/>
      </c>
      <c r="AB1130" s="6" t="n"/>
      <c r="AC1130" s="3">
        <f>IF($AB1130="","",IFERROR(INDEX('ASIGNACIONES'!$F$4:$F$339,MATCH($O1130&amp;"|"&amp;$R1130&amp;"|"&amp;$AB1130,'ASIGNACIONES'!$I$4:$I$339,0)),""))</f>
        <v/>
      </c>
      <c r="AD1130" s="13">
        <f>IF($AB1130="","",SUMIFS('ORDENES'!$M$4:$M$1203,'ORDENES'!$AB$4:$AB$1203,$AB1130,'ORDENES'!$O$4:$O$1203,$O1130,'ORDENES'!$R$4:$R$1203,$R1130))</f>
        <v/>
      </c>
      <c r="AE1130" s="13">
        <f>IF($AD1130="","",p_factor_productividad*IFERROR(INDEX('ASIGNACIONES'!$H$4:$H$339,MATCH($O1130&amp;"|"&amp;$R1130&amp;"|"&amp;$AB1130,'ASIGNACIONES'!$I$4:$I$339,0)),0)-$AD1130)</f>
        <v/>
      </c>
      <c r="AF1130" s="10">
        <f>IF($A1130="","",IFERROR(INDEX('2_IMPORTAR_EJECUCION'!$F$9:$F$1208,MATCH($AN1130,'2_IMPORTAR_EJECUCION'!$J$9:$J$1208,0)),0))</f>
        <v/>
      </c>
      <c r="AG1130" s="10">
        <f>IF($A1130="","",MAX(0,IFERROR(INDEX('2_IMPORTAR_EJECUCION'!$H$9:$H$1208,MATCH($AN1130,'2_IMPORTAR_EJECUCION'!$J$9:$J$1208,0)),0)-$AF1130))</f>
        <v/>
      </c>
      <c r="AH1130" s="10">
        <f>IF($A1130="","",$AF1130+$AG1130)</f>
        <v/>
      </c>
      <c r="AI1130" s="6" t="n"/>
      <c r="AJ1130" s="6" t="n"/>
      <c r="AK1130" s="6" t="n"/>
      <c r="AL1130" s="3">
        <f>IF($AK1130="","",HYPERLINK(p_ruta_base_checklists&amp;$AK1130,"abrir"))</f>
        <v/>
      </c>
      <c r="AM1130" s="6" t="n"/>
      <c r="AN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1" t="n"/>
      <c r="K1131" s="3" t="n"/>
      <c r="L1131" s="10" t="n"/>
      <c r="M1131" s="3">
        <f>IF($A1131="","",IFERROR(INDEX('AJUSTES'!$B$4:$B$303,MATCH($AN1131,'AJUSTES'!$A$4:$A$303,0)),IF($K1131="","",$K1131)))</f>
        <v/>
      </c>
      <c r="N1131" s="3">
        <f>IF($A1131="","",IFERROR(INDEX('CAT_ESTADOS_ERP'!$B$4:$B$7,MATCH(IFERROR(INDEX('2_IMPORTAR_EJECUCION'!$C$9:$C$1208,MATCH($AN1131,'2_IMPORTAR_EJECUCION'!$J$9:$J$1208,0)),""),'CAT_ESTADOS_ERP'!$A$4:$A$7,0)),"Pendiente"))</f>
        <v/>
      </c>
      <c r="O1131" s="3">
        <f>IF($J1131="","",YEAR($J1131+4-WEEKDAY($J1131,2))&amp;"-S"&amp;TEXT(_xlfn.ISOWEEKNUM($J1131),"00"))</f>
        <v/>
      </c>
      <c r="P1131" s="3">
        <f>IF($J1131="","",YEAR($J1131))</f>
        <v/>
      </c>
      <c r="Q1131" s="3">
        <f>IF($J1131="","",MONTH($J1131))</f>
        <v/>
      </c>
      <c r="R1131" s="3">
        <f>IF($J1131="","",INDEX(lista_dias,WEEKDAY($J1131,2)))</f>
        <v/>
      </c>
      <c r="S1131" s="3">
        <f>IF($I1131="","",IFERROR(INDEX('CAT_TIPOS_OT'!$C$4:$C$7,MATCH($I1131,'CAT_TIPOS_OT'!$A$4:$A$7,0)),"sin_clasificar"))</f>
        <v/>
      </c>
      <c r="T1131" s="3">
        <f>IF($F1131="","",IFERROR(INDEX('CAT_CENTROS_COSTO'!$E$4:$E$9,MATCH($F1131,'CAT_CENTROS_COSTO'!$A$4:$A$9,0)),"(sin catálogo)"))</f>
        <v/>
      </c>
      <c r="U1131" s="3">
        <f>IF($F1131="","",IFERROR(INDEX('CAT_CENTROS_COSTO'!$D$4:$D$9,MATCH($F1131,'CAT_CENTROS_COSTO'!$A$4:$A$9,0)),"(sin catálogo)"))</f>
        <v/>
      </c>
      <c r="V1131" s="3">
        <f>IF($F1131="","",IFERROR(INDEX('CAT_CENTROS_COSTO'!$F$4:$F$9,MATCH($F1131,'CAT_CENTROS_COSTO'!$A$4:$A$9,0)),"(sin catálogo)"))</f>
        <v/>
      </c>
      <c r="W1131" s="3">
        <f>IF($G1131="","",IFERROR(INDEX('CAT_PUESTOS'!$B$4:$B$8,MATCH($G1131,'CAT_PUESTOS'!$A$4:$A$8,0)),"(sin catálogo)"))</f>
        <v/>
      </c>
      <c r="X1131" s="3">
        <f>IF($H1131="","",IFERROR(INDEX('CAT_ACTIVIDADES'!$B$4:$B$8,MATCH($H1131,'CAT_ACTIVIDADES'!$A$4:$A$8,0)),"(sin catálogo)"))</f>
        <v/>
      </c>
      <c r="Y1131" s="12">
        <f>IF($J1131="","",TODAY()-$J1131)</f>
        <v/>
      </c>
      <c r="Z1131" s="3">
        <f>IF($Y1131="","",IF($Y1131&lt;0,"FUTURO",IF($Y1131&gt;p_dias_backlog_max,"BACKLOG","MES CORRIENTE")))</f>
        <v/>
      </c>
      <c r="AA1131" s="3">
        <f>IF($Y1131="",FALSE,AND($Y1131&gt;p_dias_backlog_min,$Y1131&lt;=p_dias_backlog_max))</f>
        <v/>
      </c>
      <c r="AB1131" s="6" t="n"/>
      <c r="AC1131" s="3">
        <f>IF($AB1131="","",IFERROR(INDEX('ASIGNACIONES'!$F$4:$F$339,MATCH($O1131&amp;"|"&amp;$R1131&amp;"|"&amp;$AB1131,'ASIGNACIONES'!$I$4:$I$339,0)),""))</f>
        <v/>
      </c>
      <c r="AD1131" s="13">
        <f>IF($AB1131="","",SUMIFS('ORDENES'!$M$4:$M$1203,'ORDENES'!$AB$4:$AB$1203,$AB1131,'ORDENES'!$O$4:$O$1203,$O1131,'ORDENES'!$R$4:$R$1203,$R1131))</f>
        <v/>
      </c>
      <c r="AE1131" s="13">
        <f>IF($AD1131="","",p_factor_productividad*IFERROR(INDEX('ASIGNACIONES'!$H$4:$H$339,MATCH($O1131&amp;"|"&amp;$R1131&amp;"|"&amp;$AB1131,'ASIGNACIONES'!$I$4:$I$339,0)),0)-$AD1131)</f>
        <v/>
      </c>
      <c r="AF1131" s="10">
        <f>IF($A1131="","",IFERROR(INDEX('2_IMPORTAR_EJECUCION'!$F$9:$F$1208,MATCH($AN1131,'2_IMPORTAR_EJECUCION'!$J$9:$J$1208,0)),0))</f>
        <v/>
      </c>
      <c r="AG1131" s="10">
        <f>IF($A1131="","",MAX(0,IFERROR(INDEX('2_IMPORTAR_EJECUCION'!$H$9:$H$1208,MATCH($AN1131,'2_IMPORTAR_EJECUCION'!$J$9:$J$1208,0)),0)-$AF1131))</f>
        <v/>
      </c>
      <c r="AH1131" s="10">
        <f>IF($A1131="","",$AF1131+$AG1131)</f>
        <v/>
      </c>
      <c r="AI1131" s="6" t="n"/>
      <c r="AJ1131" s="6" t="n"/>
      <c r="AK1131" s="6" t="n"/>
      <c r="AL1131" s="3">
        <f>IF($AK1131="","",HYPERLINK(p_ruta_base_checklists&amp;$AK1131,"abrir"))</f>
        <v/>
      </c>
      <c r="AM1131" s="6" t="n"/>
      <c r="AN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1" t="n"/>
      <c r="K1132" s="3" t="n"/>
      <c r="L1132" s="10" t="n"/>
      <c r="M1132" s="3">
        <f>IF($A1132="","",IFERROR(INDEX('AJUSTES'!$B$4:$B$303,MATCH($AN1132,'AJUSTES'!$A$4:$A$303,0)),IF($K1132="","",$K1132)))</f>
        <v/>
      </c>
      <c r="N1132" s="3">
        <f>IF($A1132="","",IFERROR(INDEX('CAT_ESTADOS_ERP'!$B$4:$B$7,MATCH(IFERROR(INDEX('2_IMPORTAR_EJECUCION'!$C$9:$C$1208,MATCH($AN1132,'2_IMPORTAR_EJECUCION'!$J$9:$J$1208,0)),""),'CAT_ESTADOS_ERP'!$A$4:$A$7,0)),"Pendiente"))</f>
        <v/>
      </c>
      <c r="O1132" s="3">
        <f>IF($J1132="","",YEAR($J1132+4-WEEKDAY($J1132,2))&amp;"-S"&amp;TEXT(_xlfn.ISOWEEKNUM($J1132),"00"))</f>
        <v/>
      </c>
      <c r="P1132" s="3">
        <f>IF($J1132="","",YEAR($J1132))</f>
        <v/>
      </c>
      <c r="Q1132" s="3">
        <f>IF($J1132="","",MONTH($J1132))</f>
        <v/>
      </c>
      <c r="R1132" s="3">
        <f>IF($J1132="","",INDEX(lista_dias,WEEKDAY($J1132,2)))</f>
        <v/>
      </c>
      <c r="S1132" s="3">
        <f>IF($I1132="","",IFERROR(INDEX('CAT_TIPOS_OT'!$C$4:$C$7,MATCH($I1132,'CAT_TIPOS_OT'!$A$4:$A$7,0)),"sin_clasificar"))</f>
        <v/>
      </c>
      <c r="T1132" s="3">
        <f>IF($F1132="","",IFERROR(INDEX('CAT_CENTROS_COSTO'!$E$4:$E$9,MATCH($F1132,'CAT_CENTROS_COSTO'!$A$4:$A$9,0)),"(sin catálogo)"))</f>
        <v/>
      </c>
      <c r="U1132" s="3">
        <f>IF($F1132="","",IFERROR(INDEX('CAT_CENTROS_COSTO'!$D$4:$D$9,MATCH($F1132,'CAT_CENTROS_COSTO'!$A$4:$A$9,0)),"(sin catálogo)"))</f>
        <v/>
      </c>
      <c r="V1132" s="3">
        <f>IF($F1132="","",IFERROR(INDEX('CAT_CENTROS_COSTO'!$F$4:$F$9,MATCH($F1132,'CAT_CENTROS_COSTO'!$A$4:$A$9,0)),"(sin catálogo)"))</f>
        <v/>
      </c>
      <c r="W1132" s="3">
        <f>IF($G1132="","",IFERROR(INDEX('CAT_PUESTOS'!$B$4:$B$8,MATCH($G1132,'CAT_PUESTOS'!$A$4:$A$8,0)),"(sin catálogo)"))</f>
        <v/>
      </c>
      <c r="X1132" s="3">
        <f>IF($H1132="","",IFERROR(INDEX('CAT_ACTIVIDADES'!$B$4:$B$8,MATCH($H1132,'CAT_ACTIVIDADES'!$A$4:$A$8,0)),"(sin catálogo)"))</f>
        <v/>
      </c>
      <c r="Y1132" s="12">
        <f>IF($J1132="","",TODAY()-$J1132)</f>
        <v/>
      </c>
      <c r="Z1132" s="3">
        <f>IF($Y1132="","",IF($Y1132&lt;0,"FUTURO",IF($Y1132&gt;p_dias_backlog_max,"BACKLOG","MES CORRIENTE")))</f>
        <v/>
      </c>
      <c r="AA1132" s="3">
        <f>IF($Y1132="",FALSE,AND($Y1132&gt;p_dias_backlog_min,$Y1132&lt;=p_dias_backlog_max))</f>
        <v/>
      </c>
      <c r="AB1132" s="6" t="n"/>
      <c r="AC1132" s="3">
        <f>IF($AB1132="","",IFERROR(INDEX('ASIGNACIONES'!$F$4:$F$339,MATCH($O1132&amp;"|"&amp;$R1132&amp;"|"&amp;$AB1132,'ASIGNACIONES'!$I$4:$I$339,0)),""))</f>
        <v/>
      </c>
      <c r="AD1132" s="13">
        <f>IF($AB1132="","",SUMIFS('ORDENES'!$M$4:$M$1203,'ORDENES'!$AB$4:$AB$1203,$AB1132,'ORDENES'!$O$4:$O$1203,$O1132,'ORDENES'!$R$4:$R$1203,$R1132))</f>
        <v/>
      </c>
      <c r="AE1132" s="13">
        <f>IF($AD1132="","",p_factor_productividad*IFERROR(INDEX('ASIGNACIONES'!$H$4:$H$339,MATCH($O1132&amp;"|"&amp;$R1132&amp;"|"&amp;$AB1132,'ASIGNACIONES'!$I$4:$I$339,0)),0)-$AD1132)</f>
        <v/>
      </c>
      <c r="AF1132" s="10">
        <f>IF($A1132="","",IFERROR(INDEX('2_IMPORTAR_EJECUCION'!$F$9:$F$1208,MATCH($AN1132,'2_IMPORTAR_EJECUCION'!$J$9:$J$1208,0)),0))</f>
        <v/>
      </c>
      <c r="AG1132" s="10">
        <f>IF($A1132="","",MAX(0,IFERROR(INDEX('2_IMPORTAR_EJECUCION'!$H$9:$H$1208,MATCH($AN1132,'2_IMPORTAR_EJECUCION'!$J$9:$J$1208,0)),0)-$AF1132))</f>
        <v/>
      </c>
      <c r="AH1132" s="10">
        <f>IF($A1132="","",$AF1132+$AG1132)</f>
        <v/>
      </c>
      <c r="AI1132" s="6" t="n"/>
      <c r="AJ1132" s="6" t="n"/>
      <c r="AK1132" s="6" t="n"/>
      <c r="AL1132" s="3">
        <f>IF($AK1132="","",HYPERLINK(p_ruta_base_checklists&amp;$AK1132,"abrir"))</f>
        <v/>
      </c>
      <c r="AM1132" s="6" t="n"/>
      <c r="AN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1" t="n"/>
      <c r="K1133" s="3" t="n"/>
      <c r="L1133" s="10" t="n"/>
      <c r="M1133" s="3">
        <f>IF($A1133="","",IFERROR(INDEX('AJUSTES'!$B$4:$B$303,MATCH($AN1133,'AJUSTES'!$A$4:$A$303,0)),IF($K1133="","",$K1133)))</f>
        <v/>
      </c>
      <c r="N1133" s="3">
        <f>IF($A1133="","",IFERROR(INDEX('CAT_ESTADOS_ERP'!$B$4:$B$7,MATCH(IFERROR(INDEX('2_IMPORTAR_EJECUCION'!$C$9:$C$1208,MATCH($AN1133,'2_IMPORTAR_EJECUCION'!$J$9:$J$1208,0)),""),'CAT_ESTADOS_ERP'!$A$4:$A$7,0)),"Pendiente"))</f>
        <v/>
      </c>
      <c r="O1133" s="3">
        <f>IF($J1133="","",YEAR($J1133+4-WEEKDAY($J1133,2))&amp;"-S"&amp;TEXT(_xlfn.ISOWEEKNUM($J1133),"00"))</f>
        <v/>
      </c>
      <c r="P1133" s="3">
        <f>IF($J1133="","",YEAR($J1133))</f>
        <v/>
      </c>
      <c r="Q1133" s="3">
        <f>IF($J1133="","",MONTH($J1133))</f>
        <v/>
      </c>
      <c r="R1133" s="3">
        <f>IF($J1133="","",INDEX(lista_dias,WEEKDAY($J1133,2)))</f>
        <v/>
      </c>
      <c r="S1133" s="3">
        <f>IF($I1133="","",IFERROR(INDEX('CAT_TIPOS_OT'!$C$4:$C$7,MATCH($I1133,'CAT_TIPOS_OT'!$A$4:$A$7,0)),"sin_clasificar"))</f>
        <v/>
      </c>
      <c r="T1133" s="3">
        <f>IF($F1133="","",IFERROR(INDEX('CAT_CENTROS_COSTO'!$E$4:$E$9,MATCH($F1133,'CAT_CENTROS_COSTO'!$A$4:$A$9,0)),"(sin catálogo)"))</f>
        <v/>
      </c>
      <c r="U1133" s="3">
        <f>IF($F1133="","",IFERROR(INDEX('CAT_CENTROS_COSTO'!$D$4:$D$9,MATCH($F1133,'CAT_CENTROS_COSTO'!$A$4:$A$9,0)),"(sin catálogo)"))</f>
        <v/>
      </c>
      <c r="V1133" s="3">
        <f>IF($F1133="","",IFERROR(INDEX('CAT_CENTROS_COSTO'!$F$4:$F$9,MATCH($F1133,'CAT_CENTROS_COSTO'!$A$4:$A$9,0)),"(sin catálogo)"))</f>
        <v/>
      </c>
      <c r="W1133" s="3">
        <f>IF($G1133="","",IFERROR(INDEX('CAT_PUESTOS'!$B$4:$B$8,MATCH($G1133,'CAT_PUESTOS'!$A$4:$A$8,0)),"(sin catálogo)"))</f>
        <v/>
      </c>
      <c r="X1133" s="3">
        <f>IF($H1133="","",IFERROR(INDEX('CAT_ACTIVIDADES'!$B$4:$B$8,MATCH($H1133,'CAT_ACTIVIDADES'!$A$4:$A$8,0)),"(sin catálogo)"))</f>
        <v/>
      </c>
      <c r="Y1133" s="12">
        <f>IF($J1133="","",TODAY()-$J1133)</f>
        <v/>
      </c>
      <c r="Z1133" s="3">
        <f>IF($Y1133="","",IF($Y1133&lt;0,"FUTURO",IF($Y1133&gt;p_dias_backlog_max,"BACKLOG","MES CORRIENTE")))</f>
        <v/>
      </c>
      <c r="AA1133" s="3">
        <f>IF($Y1133="",FALSE,AND($Y1133&gt;p_dias_backlog_min,$Y1133&lt;=p_dias_backlog_max))</f>
        <v/>
      </c>
      <c r="AB1133" s="6" t="n"/>
      <c r="AC1133" s="3">
        <f>IF($AB1133="","",IFERROR(INDEX('ASIGNACIONES'!$F$4:$F$339,MATCH($O1133&amp;"|"&amp;$R1133&amp;"|"&amp;$AB1133,'ASIGNACIONES'!$I$4:$I$339,0)),""))</f>
        <v/>
      </c>
      <c r="AD1133" s="13">
        <f>IF($AB1133="","",SUMIFS('ORDENES'!$M$4:$M$1203,'ORDENES'!$AB$4:$AB$1203,$AB1133,'ORDENES'!$O$4:$O$1203,$O1133,'ORDENES'!$R$4:$R$1203,$R1133))</f>
        <v/>
      </c>
      <c r="AE1133" s="13">
        <f>IF($AD1133="","",p_factor_productividad*IFERROR(INDEX('ASIGNACIONES'!$H$4:$H$339,MATCH($O1133&amp;"|"&amp;$R1133&amp;"|"&amp;$AB1133,'ASIGNACIONES'!$I$4:$I$339,0)),0)-$AD1133)</f>
        <v/>
      </c>
      <c r="AF1133" s="10">
        <f>IF($A1133="","",IFERROR(INDEX('2_IMPORTAR_EJECUCION'!$F$9:$F$1208,MATCH($AN1133,'2_IMPORTAR_EJECUCION'!$J$9:$J$1208,0)),0))</f>
        <v/>
      </c>
      <c r="AG1133" s="10">
        <f>IF($A1133="","",MAX(0,IFERROR(INDEX('2_IMPORTAR_EJECUCION'!$H$9:$H$1208,MATCH($AN1133,'2_IMPORTAR_EJECUCION'!$J$9:$J$1208,0)),0)-$AF1133))</f>
        <v/>
      </c>
      <c r="AH1133" s="10">
        <f>IF($A1133="","",$AF1133+$AG1133)</f>
        <v/>
      </c>
      <c r="AI1133" s="6" t="n"/>
      <c r="AJ1133" s="6" t="n"/>
      <c r="AK1133" s="6" t="n"/>
      <c r="AL1133" s="3">
        <f>IF($AK1133="","",HYPERLINK(p_ruta_base_checklists&amp;$AK1133,"abrir"))</f>
        <v/>
      </c>
      <c r="AM1133" s="6" t="n"/>
      <c r="AN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1" t="n"/>
      <c r="K1134" s="3" t="n"/>
      <c r="L1134" s="10" t="n"/>
      <c r="M1134" s="3">
        <f>IF($A1134="","",IFERROR(INDEX('AJUSTES'!$B$4:$B$303,MATCH($AN1134,'AJUSTES'!$A$4:$A$303,0)),IF($K1134="","",$K1134)))</f>
        <v/>
      </c>
      <c r="N1134" s="3">
        <f>IF($A1134="","",IFERROR(INDEX('CAT_ESTADOS_ERP'!$B$4:$B$7,MATCH(IFERROR(INDEX('2_IMPORTAR_EJECUCION'!$C$9:$C$1208,MATCH($AN1134,'2_IMPORTAR_EJECUCION'!$J$9:$J$1208,0)),""),'CAT_ESTADOS_ERP'!$A$4:$A$7,0)),"Pendiente"))</f>
        <v/>
      </c>
      <c r="O1134" s="3">
        <f>IF($J1134="","",YEAR($J1134+4-WEEKDAY($J1134,2))&amp;"-S"&amp;TEXT(_xlfn.ISOWEEKNUM($J1134),"00"))</f>
        <v/>
      </c>
      <c r="P1134" s="3">
        <f>IF($J1134="","",YEAR($J1134))</f>
        <v/>
      </c>
      <c r="Q1134" s="3">
        <f>IF($J1134="","",MONTH($J1134))</f>
        <v/>
      </c>
      <c r="R1134" s="3">
        <f>IF($J1134="","",INDEX(lista_dias,WEEKDAY($J1134,2)))</f>
        <v/>
      </c>
      <c r="S1134" s="3">
        <f>IF($I1134="","",IFERROR(INDEX('CAT_TIPOS_OT'!$C$4:$C$7,MATCH($I1134,'CAT_TIPOS_OT'!$A$4:$A$7,0)),"sin_clasificar"))</f>
        <v/>
      </c>
      <c r="T1134" s="3">
        <f>IF($F1134="","",IFERROR(INDEX('CAT_CENTROS_COSTO'!$E$4:$E$9,MATCH($F1134,'CAT_CENTROS_COSTO'!$A$4:$A$9,0)),"(sin catálogo)"))</f>
        <v/>
      </c>
      <c r="U1134" s="3">
        <f>IF($F1134="","",IFERROR(INDEX('CAT_CENTROS_COSTO'!$D$4:$D$9,MATCH($F1134,'CAT_CENTROS_COSTO'!$A$4:$A$9,0)),"(sin catálogo)"))</f>
        <v/>
      </c>
      <c r="V1134" s="3">
        <f>IF($F1134="","",IFERROR(INDEX('CAT_CENTROS_COSTO'!$F$4:$F$9,MATCH($F1134,'CAT_CENTROS_COSTO'!$A$4:$A$9,0)),"(sin catálogo)"))</f>
        <v/>
      </c>
      <c r="W1134" s="3">
        <f>IF($G1134="","",IFERROR(INDEX('CAT_PUESTOS'!$B$4:$B$8,MATCH($G1134,'CAT_PUESTOS'!$A$4:$A$8,0)),"(sin catálogo)"))</f>
        <v/>
      </c>
      <c r="X1134" s="3">
        <f>IF($H1134="","",IFERROR(INDEX('CAT_ACTIVIDADES'!$B$4:$B$8,MATCH($H1134,'CAT_ACTIVIDADES'!$A$4:$A$8,0)),"(sin catálogo)"))</f>
        <v/>
      </c>
      <c r="Y1134" s="12">
        <f>IF($J1134="","",TODAY()-$J1134)</f>
        <v/>
      </c>
      <c r="Z1134" s="3">
        <f>IF($Y1134="","",IF($Y1134&lt;0,"FUTURO",IF($Y1134&gt;p_dias_backlog_max,"BACKLOG","MES CORRIENTE")))</f>
        <v/>
      </c>
      <c r="AA1134" s="3">
        <f>IF($Y1134="",FALSE,AND($Y1134&gt;p_dias_backlog_min,$Y1134&lt;=p_dias_backlog_max))</f>
        <v/>
      </c>
      <c r="AB1134" s="6" t="n"/>
      <c r="AC1134" s="3">
        <f>IF($AB1134="","",IFERROR(INDEX('ASIGNACIONES'!$F$4:$F$339,MATCH($O1134&amp;"|"&amp;$R1134&amp;"|"&amp;$AB1134,'ASIGNACIONES'!$I$4:$I$339,0)),""))</f>
        <v/>
      </c>
      <c r="AD1134" s="13">
        <f>IF($AB1134="","",SUMIFS('ORDENES'!$M$4:$M$1203,'ORDENES'!$AB$4:$AB$1203,$AB1134,'ORDENES'!$O$4:$O$1203,$O1134,'ORDENES'!$R$4:$R$1203,$R1134))</f>
        <v/>
      </c>
      <c r="AE1134" s="13">
        <f>IF($AD1134="","",p_factor_productividad*IFERROR(INDEX('ASIGNACIONES'!$H$4:$H$339,MATCH($O1134&amp;"|"&amp;$R1134&amp;"|"&amp;$AB1134,'ASIGNACIONES'!$I$4:$I$339,0)),0)-$AD1134)</f>
        <v/>
      </c>
      <c r="AF1134" s="10">
        <f>IF($A1134="","",IFERROR(INDEX('2_IMPORTAR_EJECUCION'!$F$9:$F$1208,MATCH($AN1134,'2_IMPORTAR_EJECUCION'!$J$9:$J$1208,0)),0))</f>
        <v/>
      </c>
      <c r="AG1134" s="10">
        <f>IF($A1134="","",MAX(0,IFERROR(INDEX('2_IMPORTAR_EJECUCION'!$H$9:$H$1208,MATCH($AN1134,'2_IMPORTAR_EJECUCION'!$J$9:$J$1208,0)),0)-$AF1134))</f>
        <v/>
      </c>
      <c r="AH1134" s="10">
        <f>IF($A1134="","",$AF1134+$AG1134)</f>
        <v/>
      </c>
      <c r="AI1134" s="6" t="n"/>
      <c r="AJ1134" s="6" t="n"/>
      <c r="AK1134" s="6" t="n"/>
      <c r="AL1134" s="3">
        <f>IF($AK1134="","",HYPERLINK(p_ruta_base_checklists&amp;$AK1134,"abrir"))</f>
        <v/>
      </c>
      <c r="AM1134" s="6" t="n"/>
      <c r="AN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1" t="n"/>
      <c r="K1135" s="3" t="n"/>
      <c r="L1135" s="10" t="n"/>
      <c r="M1135" s="3">
        <f>IF($A1135="","",IFERROR(INDEX('AJUSTES'!$B$4:$B$303,MATCH($AN1135,'AJUSTES'!$A$4:$A$303,0)),IF($K1135="","",$K1135)))</f>
        <v/>
      </c>
      <c r="N1135" s="3">
        <f>IF($A1135="","",IFERROR(INDEX('CAT_ESTADOS_ERP'!$B$4:$B$7,MATCH(IFERROR(INDEX('2_IMPORTAR_EJECUCION'!$C$9:$C$1208,MATCH($AN1135,'2_IMPORTAR_EJECUCION'!$J$9:$J$1208,0)),""),'CAT_ESTADOS_ERP'!$A$4:$A$7,0)),"Pendiente"))</f>
        <v/>
      </c>
      <c r="O1135" s="3">
        <f>IF($J1135="","",YEAR($J1135+4-WEEKDAY($J1135,2))&amp;"-S"&amp;TEXT(_xlfn.ISOWEEKNUM($J1135),"00"))</f>
        <v/>
      </c>
      <c r="P1135" s="3">
        <f>IF($J1135="","",YEAR($J1135))</f>
        <v/>
      </c>
      <c r="Q1135" s="3">
        <f>IF($J1135="","",MONTH($J1135))</f>
        <v/>
      </c>
      <c r="R1135" s="3">
        <f>IF($J1135="","",INDEX(lista_dias,WEEKDAY($J1135,2)))</f>
        <v/>
      </c>
      <c r="S1135" s="3">
        <f>IF($I1135="","",IFERROR(INDEX('CAT_TIPOS_OT'!$C$4:$C$7,MATCH($I1135,'CAT_TIPOS_OT'!$A$4:$A$7,0)),"sin_clasificar"))</f>
        <v/>
      </c>
      <c r="T1135" s="3">
        <f>IF($F1135="","",IFERROR(INDEX('CAT_CENTROS_COSTO'!$E$4:$E$9,MATCH($F1135,'CAT_CENTROS_COSTO'!$A$4:$A$9,0)),"(sin catálogo)"))</f>
        <v/>
      </c>
      <c r="U1135" s="3">
        <f>IF($F1135="","",IFERROR(INDEX('CAT_CENTROS_COSTO'!$D$4:$D$9,MATCH($F1135,'CAT_CENTROS_COSTO'!$A$4:$A$9,0)),"(sin catálogo)"))</f>
        <v/>
      </c>
      <c r="V1135" s="3">
        <f>IF($F1135="","",IFERROR(INDEX('CAT_CENTROS_COSTO'!$F$4:$F$9,MATCH($F1135,'CAT_CENTROS_COSTO'!$A$4:$A$9,0)),"(sin catálogo)"))</f>
        <v/>
      </c>
      <c r="W1135" s="3">
        <f>IF($G1135="","",IFERROR(INDEX('CAT_PUESTOS'!$B$4:$B$8,MATCH($G1135,'CAT_PUESTOS'!$A$4:$A$8,0)),"(sin catálogo)"))</f>
        <v/>
      </c>
      <c r="X1135" s="3">
        <f>IF($H1135="","",IFERROR(INDEX('CAT_ACTIVIDADES'!$B$4:$B$8,MATCH($H1135,'CAT_ACTIVIDADES'!$A$4:$A$8,0)),"(sin catálogo)"))</f>
        <v/>
      </c>
      <c r="Y1135" s="12">
        <f>IF($J1135="","",TODAY()-$J1135)</f>
        <v/>
      </c>
      <c r="Z1135" s="3">
        <f>IF($Y1135="","",IF($Y1135&lt;0,"FUTURO",IF($Y1135&gt;p_dias_backlog_max,"BACKLOG","MES CORRIENTE")))</f>
        <v/>
      </c>
      <c r="AA1135" s="3">
        <f>IF($Y1135="",FALSE,AND($Y1135&gt;p_dias_backlog_min,$Y1135&lt;=p_dias_backlog_max))</f>
        <v/>
      </c>
      <c r="AB1135" s="6" t="n"/>
      <c r="AC1135" s="3">
        <f>IF($AB1135="","",IFERROR(INDEX('ASIGNACIONES'!$F$4:$F$339,MATCH($O1135&amp;"|"&amp;$R1135&amp;"|"&amp;$AB1135,'ASIGNACIONES'!$I$4:$I$339,0)),""))</f>
        <v/>
      </c>
      <c r="AD1135" s="13">
        <f>IF($AB1135="","",SUMIFS('ORDENES'!$M$4:$M$1203,'ORDENES'!$AB$4:$AB$1203,$AB1135,'ORDENES'!$O$4:$O$1203,$O1135,'ORDENES'!$R$4:$R$1203,$R1135))</f>
        <v/>
      </c>
      <c r="AE1135" s="13">
        <f>IF($AD1135="","",p_factor_productividad*IFERROR(INDEX('ASIGNACIONES'!$H$4:$H$339,MATCH($O1135&amp;"|"&amp;$R1135&amp;"|"&amp;$AB1135,'ASIGNACIONES'!$I$4:$I$339,0)),0)-$AD1135)</f>
        <v/>
      </c>
      <c r="AF1135" s="10">
        <f>IF($A1135="","",IFERROR(INDEX('2_IMPORTAR_EJECUCION'!$F$9:$F$1208,MATCH($AN1135,'2_IMPORTAR_EJECUCION'!$J$9:$J$1208,0)),0))</f>
        <v/>
      </c>
      <c r="AG1135" s="10">
        <f>IF($A1135="","",MAX(0,IFERROR(INDEX('2_IMPORTAR_EJECUCION'!$H$9:$H$1208,MATCH($AN1135,'2_IMPORTAR_EJECUCION'!$J$9:$J$1208,0)),0)-$AF1135))</f>
        <v/>
      </c>
      <c r="AH1135" s="10">
        <f>IF($A1135="","",$AF1135+$AG1135)</f>
        <v/>
      </c>
      <c r="AI1135" s="6" t="n"/>
      <c r="AJ1135" s="6" t="n"/>
      <c r="AK1135" s="6" t="n"/>
      <c r="AL1135" s="3">
        <f>IF($AK1135="","",HYPERLINK(p_ruta_base_checklists&amp;$AK1135,"abrir"))</f>
        <v/>
      </c>
      <c r="AM1135" s="6" t="n"/>
      <c r="AN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1" t="n"/>
      <c r="K1136" s="3" t="n"/>
      <c r="L1136" s="10" t="n"/>
      <c r="M1136" s="3">
        <f>IF($A1136="","",IFERROR(INDEX('AJUSTES'!$B$4:$B$303,MATCH($AN1136,'AJUSTES'!$A$4:$A$303,0)),IF($K1136="","",$K1136)))</f>
        <v/>
      </c>
      <c r="N1136" s="3">
        <f>IF($A1136="","",IFERROR(INDEX('CAT_ESTADOS_ERP'!$B$4:$B$7,MATCH(IFERROR(INDEX('2_IMPORTAR_EJECUCION'!$C$9:$C$1208,MATCH($AN1136,'2_IMPORTAR_EJECUCION'!$J$9:$J$1208,0)),""),'CAT_ESTADOS_ERP'!$A$4:$A$7,0)),"Pendiente"))</f>
        <v/>
      </c>
      <c r="O1136" s="3">
        <f>IF($J1136="","",YEAR($J1136+4-WEEKDAY($J1136,2))&amp;"-S"&amp;TEXT(_xlfn.ISOWEEKNUM($J1136),"00"))</f>
        <v/>
      </c>
      <c r="P1136" s="3">
        <f>IF($J1136="","",YEAR($J1136))</f>
        <v/>
      </c>
      <c r="Q1136" s="3">
        <f>IF($J1136="","",MONTH($J1136))</f>
        <v/>
      </c>
      <c r="R1136" s="3">
        <f>IF($J1136="","",INDEX(lista_dias,WEEKDAY($J1136,2)))</f>
        <v/>
      </c>
      <c r="S1136" s="3">
        <f>IF($I1136="","",IFERROR(INDEX('CAT_TIPOS_OT'!$C$4:$C$7,MATCH($I1136,'CAT_TIPOS_OT'!$A$4:$A$7,0)),"sin_clasificar"))</f>
        <v/>
      </c>
      <c r="T1136" s="3">
        <f>IF($F1136="","",IFERROR(INDEX('CAT_CENTROS_COSTO'!$E$4:$E$9,MATCH($F1136,'CAT_CENTROS_COSTO'!$A$4:$A$9,0)),"(sin catálogo)"))</f>
        <v/>
      </c>
      <c r="U1136" s="3">
        <f>IF($F1136="","",IFERROR(INDEX('CAT_CENTROS_COSTO'!$D$4:$D$9,MATCH($F1136,'CAT_CENTROS_COSTO'!$A$4:$A$9,0)),"(sin catálogo)"))</f>
        <v/>
      </c>
      <c r="V1136" s="3">
        <f>IF($F1136="","",IFERROR(INDEX('CAT_CENTROS_COSTO'!$F$4:$F$9,MATCH($F1136,'CAT_CENTROS_COSTO'!$A$4:$A$9,0)),"(sin catálogo)"))</f>
        <v/>
      </c>
      <c r="W1136" s="3">
        <f>IF($G1136="","",IFERROR(INDEX('CAT_PUESTOS'!$B$4:$B$8,MATCH($G1136,'CAT_PUESTOS'!$A$4:$A$8,0)),"(sin catálogo)"))</f>
        <v/>
      </c>
      <c r="X1136" s="3">
        <f>IF($H1136="","",IFERROR(INDEX('CAT_ACTIVIDADES'!$B$4:$B$8,MATCH($H1136,'CAT_ACTIVIDADES'!$A$4:$A$8,0)),"(sin catálogo)"))</f>
        <v/>
      </c>
      <c r="Y1136" s="12">
        <f>IF($J1136="","",TODAY()-$J1136)</f>
        <v/>
      </c>
      <c r="Z1136" s="3">
        <f>IF($Y1136="","",IF($Y1136&lt;0,"FUTURO",IF($Y1136&gt;p_dias_backlog_max,"BACKLOG","MES CORRIENTE")))</f>
        <v/>
      </c>
      <c r="AA1136" s="3">
        <f>IF($Y1136="",FALSE,AND($Y1136&gt;p_dias_backlog_min,$Y1136&lt;=p_dias_backlog_max))</f>
        <v/>
      </c>
      <c r="AB1136" s="6" t="n"/>
      <c r="AC1136" s="3">
        <f>IF($AB1136="","",IFERROR(INDEX('ASIGNACIONES'!$F$4:$F$339,MATCH($O1136&amp;"|"&amp;$R1136&amp;"|"&amp;$AB1136,'ASIGNACIONES'!$I$4:$I$339,0)),""))</f>
        <v/>
      </c>
      <c r="AD1136" s="13">
        <f>IF($AB1136="","",SUMIFS('ORDENES'!$M$4:$M$1203,'ORDENES'!$AB$4:$AB$1203,$AB1136,'ORDENES'!$O$4:$O$1203,$O1136,'ORDENES'!$R$4:$R$1203,$R1136))</f>
        <v/>
      </c>
      <c r="AE1136" s="13">
        <f>IF($AD1136="","",p_factor_productividad*IFERROR(INDEX('ASIGNACIONES'!$H$4:$H$339,MATCH($O1136&amp;"|"&amp;$R1136&amp;"|"&amp;$AB1136,'ASIGNACIONES'!$I$4:$I$339,0)),0)-$AD1136)</f>
        <v/>
      </c>
      <c r="AF1136" s="10">
        <f>IF($A1136="","",IFERROR(INDEX('2_IMPORTAR_EJECUCION'!$F$9:$F$1208,MATCH($AN1136,'2_IMPORTAR_EJECUCION'!$J$9:$J$1208,0)),0))</f>
        <v/>
      </c>
      <c r="AG1136" s="10">
        <f>IF($A1136="","",MAX(0,IFERROR(INDEX('2_IMPORTAR_EJECUCION'!$H$9:$H$1208,MATCH($AN1136,'2_IMPORTAR_EJECUCION'!$J$9:$J$1208,0)),0)-$AF1136))</f>
        <v/>
      </c>
      <c r="AH1136" s="10">
        <f>IF($A1136="","",$AF1136+$AG1136)</f>
        <v/>
      </c>
      <c r="AI1136" s="6" t="n"/>
      <c r="AJ1136" s="6" t="n"/>
      <c r="AK1136" s="6" t="n"/>
      <c r="AL1136" s="3">
        <f>IF($AK1136="","",HYPERLINK(p_ruta_base_checklists&amp;$AK1136,"abrir"))</f>
        <v/>
      </c>
      <c r="AM1136" s="6" t="n"/>
      <c r="AN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1" t="n"/>
      <c r="K1137" s="3" t="n"/>
      <c r="L1137" s="10" t="n"/>
      <c r="M1137" s="3">
        <f>IF($A1137="","",IFERROR(INDEX('AJUSTES'!$B$4:$B$303,MATCH($AN1137,'AJUSTES'!$A$4:$A$303,0)),IF($K1137="","",$K1137)))</f>
        <v/>
      </c>
      <c r="N1137" s="3">
        <f>IF($A1137="","",IFERROR(INDEX('CAT_ESTADOS_ERP'!$B$4:$B$7,MATCH(IFERROR(INDEX('2_IMPORTAR_EJECUCION'!$C$9:$C$1208,MATCH($AN1137,'2_IMPORTAR_EJECUCION'!$J$9:$J$1208,0)),""),'CAT_ESTADOS_ERP'!$A$4:$A$7,0)),"Pendiente"))</f>
        <v/>
      </c>
      <c r="O1137" s="3">
        <f>IF($J1137="","",YEAR($J1137+4-WEEKDAY($J1137,2))&amp;"-S"&amp;TEXT(_xlfn.ISOWEEKNUM($J1137),"00"))</f>
        <v/>
      </c>
      <c r="P1137" s="3">
        <f>IF($J1137="","",YEAR($J1137))</f>
        <v/>
      </c>
      <c r="Q1137" s="3">
        <f>IF($J1137="","",MONTH($J1137))</f>
        <v/>
      </c>
      <c r="R1137" s="3">
        <f>IF($J1137="","",INDEX(lista_dias,WEEKDAY($J1137,2)))</f>
        <v/>
      </c>
      <c r="S1137" s="3">
        <f>IF($I1137="","",IFERROR(INDEX('CAT_TIPOS_OT'!$C$4:$C$7,MATCH($I1137,'CAT_TIPOS_OT'!$A$4:$A$7,0)),"sin_clasificar"))</f>
        <v/>
      </c>
      <c r="T1137" s="3">
        <f>IF($F1137="","",IFERROR(INDEX('CAT_CENTROS_COSTO'!$E$4:$E$9,MATCH($F1137,'CAT_CENTROS_COSTO'!$A$4:$A$9,0)),"(sin catálogo)"))</f>
        <v/>
      </c>
      <c r="U1137" s="3">
        <f>IF($F1137="","",IFERROR(INDEX('CAT_CENTROS_COSTO'!$D$4:$D$9,MATCH($F1137,'CAT_CENTROS_COSTO'!$A$4:$A$9,0)),"(sin catálogo)"))</f>
        <v/>
      </c>
      <c r="V1137" s="3">
        <f>IF($F1137="","",IFERROR(INDEX('CAT_CENTROS_COSTO'!$F$4:$F$9,MATCH($F1137,'CAT_CENTROS_COSTO'!$A$4:$A$9,0)),"(sin catálogo)"))</f>
        <v/>
      </c>
      <c r="W1137" s="3">
        <f>IF($G1137="","",IFERROR(INDEX('CAT_PUESTOS'!$B$4:$B$8,MATCH($G1137,'CAT_PUESTOS'!$A$4:$A$8,0)),"(sin catálogo)"))</f>
        <v/>
      </c>
      <c r="X1137" s="3">
        <f>IF($H1137="","",IFERROR(INDEX('CAT_ACTIVIDADES'!$B$4:$B$8,MATCH($H1137,'CAT_ACTIVIDADES'!$A$4:$A$8,0)),"(sin catálogo)"))</f>
        <v/>
      </c>
      <c r="Y1137" s="12">
        <f>IF($J1137="","",TODAY()-$J1137)</f>
        <v/>
      </c>
      <c r="Z1137" s="3">
        <f>IF($Y1137="","",IF($Y1137&lt;0,"FUTURO",IF($Y1137&gt;p_dias_backlog_max,"BACKLOG","MES CORRIENTE")))</f>
        <v/>
      </c>
      <c r="AA1137" s="3">
        <f>IF($Y1137="",FALSE,AND($Y1137&gt;p_dias_backlog_min,$Y1137&lt;=p_dias_backlog_max))</f>
        <v/>
      </c>
      <c r="AB1137" s="6" t="n"/>
      <c r="AC1137" s="3">
        <f>IF($AB1137="","",IFERROR(INDEX('ASIGNACIONES'!$F$4:$F$339,MATCH($O1137&amp;"|"&amp;$R1137&amp;"|"&amp;$AB1137,'ASIGNACIONES'!$I$4:$I$339,0)),""))</f>
        <v/>
      </c>
      <c r="AD1137" s="13">
        <f>IF($AB1137="","",SUMIFS('ORDENES'!$M$4:$M$1203,'ORDENES'!$AB$4:$AB$1203,$AB1137,'ORDENES'!$O$4:$O$1203,$O1137,'ORDENES'!$R$4:$R$1203,$R1137))</f>
        <v/>
      </c>
      <c r="AE1137" s="13">
        <f>IF($AD1137="","",p_factor_productividad*IFERROR(INDEX('ASIGNACIONES'!$H$4:$H$339,MATCH($O1137&amp;"|"&amp;$R1137&amp;"|"&amp;$AB1137,'ASIGNACIONES'!$I$4:$I$339,0)),0)-$AD1137)</f>
        <v/>
      </c>
      <c r="AF1137" s="10">
        <f>IF($A1137="","",IFERROR(INDEX('2_IMPORTAR_EJECUCION'!$F$9:$F$1208,MATCH($AN1137,'2_IMPORTAR_EJECUCION'!$J$9:$J$1208,0)),0))</f>
        <v/>
      </c>
      <c r="AG1137" s="10">
        <f>IF($A1137="","",MAX(0,IFERROR(INDEX('2_IMPORTAR_EJECUCION'!$H$9:$H$1208,MATCH($AN1137,'2_IMPORTAR_EJECUCION'!$J$9:$J$1208,0)),0)-$AF1137))</f>
        <v/>
      </c>
      <c r="AH1137" s="10">
        <f>IF($A1137="","",$AF1137+$AG1137)</f>
        <v/>
      </c>
      <c r="AI1137" s="6" t="n"/>
      <c r="AJ1137" s="6" t="n"/>
      <c r="AK1137" s="6" t="n"/>
      <c r="AL1137" s="3">
        <f>IF($AK1137="","",HYPERLINK(p_ruta_base_checklists&amp;$AK1137,"abrir"))</f>
        <v/>
      </c>
      <c r="AM1137" s="6" t="n"/>
      <c r="AN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1" t="n"/>
      <c r="K1138" s="3" t="n"/>
      <c r="L1138" s="10" t="n"/>
      <c r="M1138" s="3">
        <f>IF($A1138="","",IFERROR(INDEX('AJUSTES'!$B$4:$B$303,MATCH($AN1138,'AJUSTES'!$A$4:$A$303,0)),IF($K1138="","",$K1138)))</f>
        <v/>
      </c>
      <c r="N1138" s="3">
        <f>IF($A1138="","",IFERROR(INDEX('CAT_ESTADOS_ERP'!$B$4:$B$7,MATCH(IFERROR(INDEX('2_IMPORTAR_EJECUCION'!$C$9:$C$1208,MATCH($AN1138,'2_IMPORTAR_EJECUCION'!$J$9:$J$1208,0)),""),'CAT_ESTADOS_ERP'!$A$4:$A$7,0)),"Pendiente"))</f>
        <v/>
      </c>
      <c r="O1138" s="3">
        <f>IF($J1138="","",YEAR($J1138+4-WEEKDAY($J1138,2))&amp;"-S"&amp;TEXT(_xlfn.ISOWEEKNUM($J1138),"00"))</f>
        <v/>
      </c>
      <c r="P1138" s="3">
        <f>IF($J1138="","",YEAR($J1138))</f>
        <v/>
      </c>
      <c r="Q1138" s="3">
        <f>IF($J1138="","",MONTH($J1138))</f>
        <v/>
      </c>
      <c r="R1138" s="3">
        <f>IF($J1138="","",INDEX(lista_dias,WEEKDAY($J1138,2)))</f>
        <v/>
      </c>
      <c r="S1138" s="3">
        <f>IF($I1138="","",IFERROR(INDEX('CAT_TIPOS_OT'!$C$4:$C$7,MATCH($I1138,'CAT_TIPOS_OT'!$A$4:$A$7,0)),"sin_clasificar"))</f>
        <v/>
      </c>
      <c r="T1138" s="3">
        <f>IF($F1138="","",IFERROR(INDEX('CAT_CENTROS_COSTO'!$E$4:$E$9,MATCH($F1138,'CAT_CENTROS_COSTO'!$A$4:$A$9,0)),"(sin catálogo)"))</f>
        <v/>
      </c>
      <c r="U1138" s="3">
        <f>IF($F1138="","",IFERROR(INDEX('CAT_CENTROS_COSTO'!$D$4:$D$9,MATCH($F1138,'CAT_CENTROS_COSTO'!$A$4:$A$9,0)),"(sin catálogo)"))</f>
        <v/>
      </c>
      <c r="V1138" s="3">
        <f>IF($F1138="","",IFERROR(INDEX('CAT_CENTROS_COSTO'!$F$4:$F$9,MATCH($F1138,'CAT_CENTROS_COSTO'!$A$4:$A$9,0)),"(sin catálogo)"))</f>
        <v/>
      </c>
      <c r="W1138" s="3">
        <f>IF($G1138="","",IFERROR(INDEX('CAT_PUESTOS'!$B$4:$B$8,MATCH($G1138,'CAT_PUESTOS'!$A$4:$A$8,0)),"(sin catálogo)"))</f>
        <v/>
      </c>
      <c r="X1138" s="3">
        <f>IF($H1138="","",IFERROR(INDEX('CAT_ACTIVIDADES'!$B$4:$B$8,MATCH($H1138,'CAT_ACTIVIDADES'!$A$4:$A$8,0)),"(sin catálogo)"))</f>
        <v/>
      </c>
      <c r="Y1138" s="12">
        <f>IF($J1138="","",TODAY()-$J1138)</f>
        <v/>
      </c>
      <c r="Z1138" s="3">
        <f>IF($Y1138="","",IF($Y1138&lt;0,"FUTURO",IF($Y1138&gt;p_dias_backlog_max,"BACKLOG","MES CORRIENTE")))</f>
        <v/>
      </c>
      <c r="AA1138" s="3">
        <f>IF($Y1138="",FALSE,AND($Y1138&gt;p_dias_backlog_min,$Y1138&lt;=p_dias_backlog_max))</f>
        <v/>
      </c>
      <c r="AB1138" s="6" t="n"/>
      <c r="AC1138" s="3">
        <f>IF($AB1138="","",IFERROR(INDEX('ASIGNACIONES'!$F$4:$F$339,MATCH($O1138&amp;"|"&amp;$R1138&amp;"|"&amp;$AB1138,'ASIGNACIONES'!$I$4:$I$339,0)),""))</f>
        <v/>
      </c>
      <c r="AD1138" s="13">
        <f>IF($AB1138="","",SUMIFS('ORDENES'!$M$4:$M$1203,'ORDENES'!$AB$4:$AB$1203,$AB1138,'ORDENES'!$O$4:$O$1203,$O1138,'ORDENES'!$R$4:$R$1203,$R1138))</f>
        <v/>
      </c>
      <c r="AE1138" s="13">
        <f>IF($AD1138="","",p_factor_productividad*IFERROR(INDEX('ASIGNACIONES'!$H$4:$H$339,MATCH($O1138&amp;"|"&amp;$R1138&amp;"|"&amp;$AB1138,'ASIGNACIONES'!$I$4:$I$339,0)),0)-$AD1138)</f>
        <v/>
      </c>
      <c r="AF1138" s="10">
        <f>IF($A1138="","",IFERROR(INDEX('2_IMPORTAR_EJECUCION'!$F$9:$F$1208,MATCH($AN1138,'2_IMPORTAR_EJECUCION'!$J$9:$J$1208,0)),0))</f>
        <v/>
      </c>
      <c r="AG1138" s="10">
        <f>IF($A1138="","",MAX(0,IFERROR(INDEX('2_IMPORTAR_EJECUCION'!$H$9:$H$1208,MATCH($AN1138,'2_IMPORTAR_EJECUCION'!$J$9:$J$1208,0)),0)-$AF1138))</f>
        <v/>
      </c>
      <c r="AH1138" s="10">
        <f>IF($A1138="","",$AF1138+$AG1138)</f>
        <v/>
      </c>
      <c r="AI1138" s="6" t="n"/>
      <c r="AJ1138" s="6" t="n"/>
      <c r="AK1138" s="6" t="n"/>
      <c r="AL1138" s="3">
        <f>IF($AK1138="","",HYPERLINK(p_ruta_base_checklists&amp;$AK1138,"abrir"))</f>
        <v/>
      </c>
      <c r="AM1138" s="6" t="n"/>
      <c r="AN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1" t="n"/>
      <c r="K1139" s="3" t="n"/>
      <c r="L1139" s="10" t="n"/>
      <c r="M1139" s="3">
        <f>IF($A1139="","",IFERROR(INDEX('AJUSTES'!$B$4:$B$303,MATCH($AN1139,'AJUSTES'!$A$4:$A$303,0)),IF($K1139="","",$K1139)))</f>
        <v/>
      </c>
      <c r="N1139" s="3">
        <f>IF($A1139="","",IFERROR(INDEX('CAT_ESTADOS_ERP'!$B$4:$B$7,MATCH(IFERROR(INDEX('2_IMPORTAR_EJECUCION'!$C$9:$C$1208,MATCH($AN1139,'2_IMPORTAR_EJECUCION'!$J$9:$J$1208,0)),""),'CAT_ESTADOS_ERP'!$A$4:$A$7,0)),"Pendiente"))</f>
        <v/>
      </c>
      <c r="O1139" s="3">
        <f>IF($J1139="","",YEAR($J1139+4-WEEKDAY($J1139,2))&amp;"-S"&amp;TEXT(_xlfn.ISOWEEKNUM($J1139),"00"))</f>
        <v/>
      </c>
      <c r="P1139" s="3">
        <f>IF($J1139="","",YEAR($J1139))</f>
        <v/>
      </c>
      <c r="Q1139" s="3">
        <f>IF($J1139="","",MONTH($J1139))</f>
        <v/>
      </c>
      <c r="R1139" s="3">
        <f>IF($J1139="","",INDEX(lista_dias,WEEKDAY($J1139,2)))</f>
        <v/>
      </c>
      <c r="S1139" s="3">
        <f>IF($I1139="","",IFERROR(INDEX('CAT_TIPOS_OT'!$C$4:$C$7,MATCH($I1139,'CAT_TIPOS_OT'!$A$4:$A$7,0)),"sin_clasificar"))</f>
        <v/>
      </c>
      <c r="T1139" s="3">
        <f>IF($F1139="","",IFERROR(INDEX('CAT_CENTROS_COSTO'!$E$4:$E$9,MATCH($F1139,'CAT_CENTROS_COSTO'!$A$4:$A$9,0)),"(sin catálogo)"))</f>
        <v/>
      </c>
      <c r="U1139" s="3">
        <f>IF($F1139="","",IFERROR(INDEX('CAT_CENTROS_COSTO'!$D$4:$D$9,MATCH($F1139,'CAT_CENTROS_COSTO'!$A$4:$A$9,0)),"(sin catálogo)"))</f>
        <v/>
      </c>
      <c r="V1139" s="3">
        <f>IF($F1139="","",IFERROR(INDEX('CAT_CENTROS_COSTO'!$F$4:$F$9,MATCH($F1139,'CAT_CENTROS_COSTO'!$A$4:$A$9,0)),"(sin catálogo)"))</f>
        <v/>
      </c>
      <c r="W1139" s="3">
        <f>IF($G1139="","",IFERROR(INDEX('CAT_PUESTOS'!$B$4:$B$8,MATCH($G1139,'CAT_PUESTOS'!$A$4:$A$8,0)),"(sin catálogo)"))</f>
        <v/>
      </c>
      <c r="X1139" s="3">
        <f>IF($H1139="","",IFERROR(INDEX('CAT_ACTIVIDADES'!$B$4:$B$8,MATCH($H1139,'CAT_ACTIVIDADES'!$A$4:$A$8,0)),"(sin catálogo)"))</f>
        <v/>
      </c>
      <c r="Y1139" s="12">
        <f>IF($J1139="","",TODAY()-$J1139)</f>
        <v/>
      </c>
      <c r="Z1139" s="3">
        <f>IF($Y1139="","",IF($Y1139&lt;0,"FUTURO",IF($Y1139&gt;p_dias_backlog_max,"BACKLOG","MES CORRIENTE")))</f>
        <v/>
      </c>
      <c r="AA1139" s="3">
        <f>IF($Y1139="",FALSE,AND($Y1139&gt;p_dias_backlog_min,$Y1139&lt;=p_dias_backlog_max))</f>
        <v/>
      </c>
      <c r="AB1139" s="6" t="n"/>
      <c r="AC1139" s="3">
        <f>IF($AB1139="","",IFERROR(INDEX('ASIGNACIONES'!$F$4:$F$339,MATCH($O1139&amp;"|"&amp;$R1139&amp;"|"&amp;$AB1139,'ASIGNACIONES'!$I$4:$I$339,0)),""))</f>
        <v/>
      </c>
      <c r="AD1139" s="13">
        <f>IF($AB1139="","",SUMIFS('ORDENES'!$M$4:$M$1203,'ORDENES'!$AB$4:$AB$1203,$AB1139,'ORDENES'!$O$4:$O$1203,$O1139,'ORDENES'!$R$4:$R$1203,$R1139))</f>
        <v/>
      </c>
      <c r="AE1139" s="13">
        <f>IF($AD1139="","",p_factor_productividad*IFERROR(INDEX('ASIGNACIONES'!$H$4:$H$339,MATCH($O1139&amp;"|"&amp;$R1139&amp;"|"&amp;$AB1139,'ASIGNACIONES'!$I$4:$I$339,0)),0)-$AD1139)</f>
        <v/>
      </c>
      <c r="AF1139" s="10">
        <f>IF($A1139="","",IFERROR(INDEX('2_IMPORTAR_EJECUCION'!$F$9:$F$1208,MATCH($AN1139,'2_IMPORTAR_EJECUCION'!$J$9:$J$1208,0)),0))</f>
        <v/>
      </c>
      <c r="AG1139" s="10">
        <f>IF($A1139="","",MAX(0,IFERROR(INDEX('2_IMPORTAR_EJECUCION'!$H$9:$H$1208,MATCH($AN1139,'2_IMPORTAR_EJECUCION'!$J$9:$J$1208,0)),0)-$AF1139))</f>
        <v/>
      </c>
      <c r="AH1139" s="10">
        <f>IF($A1139="","",$AF1139+$AG1139)</f>
        <v/>
      </c>
      <c r="AI1139" s="6" t="n"/>
      <c r="AJ1139" s="6" t="n"/>
      <c r="AK1139" s="6" t="n"/>
      <c r="AL1139" s="3">
        <f>IF($AK1139="","",HYPERLINK(p_ruta_base_checklists&amp;$AK1139,"abrir"))</f>
        <v/>
      </c>
      <c r="AM1139" s="6" t="n"/>
      <c r="AN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1" t="n"/>
      <c r="K1140" s="3" t="n"/>
      <c r="L1140" s="10" t="n"/>
      <c r="M1140" s="3">
        <f>IF($A1140="","",IFERROR(INDEX('AJUSTES'!$B$4:$B$303,MATCH($AN1140,'AJUSTES'!$A$4:$A$303,0)),IF($K1140="","",$K1140)))</f>
        <v/>
      </c>
      <c r="N1140" s="3">
        <f>IF($A1140="","",IFERROR(INDEX('CAT_ESTADOS_ERP'!$B$4:$B$7,MATCH(IFERROR(INDEX('2_IMPORTAR_EJECUCION'!$C$9:$C$1208,MATCH($AN1140,'2_IMPORTAR_EJECUCION'!$J$9:$J$1208,0)),""),'CAT_ESTADOS_ERP'!$A$4:$A$7,0)),"Pendiente"))</f>
        <v/>
      </c>
      <c r="O1140" s="3">
        <f>IF($J1140="","",YEAR($J1140+4-WEEKDAY($J1140,2))&amp;"-S"&amp;TEXT(_xlfn.ISOWEEKNUM($J1140),"00"))</f>
        <v/>
      </c>
      <c r="P1140" s="3">
        <f>IF($J1140="","",YEAR($J1140))</f>
        <v/>
      </c>
      <c r="Q1140" s="3">
        <f>IF($J1140="","",MONTH($J1140))</f>
        <v/>
      </c>
      <c r="R1140" s="3">
        <f>IF($J1140="","",INDEX(lista_dias,WEEKDAY($J1140,2)))</f>
        <v/>
      </c>
      <c r="S1140" s="3">
        <f>IF($I1140="","",IFERROR(INDEX('CAT_TIPOS_OT'!$C$4:$C$7,MATCH($I1140,'CAT_TIPOS_OT'!$A$4:$A$7,0)),"sin_clasificar"))</f>
        <v/>
      </c>
      <c r="T1140" s="3">
        <f>IF($F1140="","",IFERROR(INDEX('CAT_CENTROS_COSTO'!$E$4:$E$9,MATCH($F1140,'CAT_CENTROS_COSTO'!$A$4:$A$9,0)),"(sin catálogo)"))</f>
        <v/>
      </c>
      <c r="U1140" s="3">
        <f>IF($F1140="","",IFERROR(INDEX('CAT_CENTROS_COSTO'!$D$4:$D$9,MATCH($F1140,'CAT_CENTROS_COSTO'!$A$4:$A$9,0)),"(sin catálogo)"))</f>
        <v/>
      </c>
      <c r="V1140" s="3">
        <f>IF($F1140="","",IFERROR(INDEX('CAT_CENTROS_COSTO'!$F$4:$F$9,MATCH($F1140,'CAT_CENTROS_COSTO'!$A$4:$A$9,0)),"(sin catálogo)"))</f>
        <v/>
      </c>
      <c r="W1140" s="3">
        <f>IF($G1140="","",IFERROR(INDEX('CAT_PUESTOS'!$B$4:$B$8,MATCH($G1140,'CAT_PUESTOS'!$A$4:$A$8,0)),"(sin catálogo)"))</f>
        <v/>
      </c>
      <c r="X1140" s="3">
        <f>IF($H1140="","",IFERROR(INDEX('CAT_ACTIVIDADES'!$B$4:$B$8,MATCH($H1140,'CAT_ACTIVIDADES'!$A$4:$A$8,0)),"(sin catálogo)"))</f>
        <v/>
      </c>
      <c r="Y1140" s="12">
        <f>IF($J1140="","",TODAY()-$J1140)</f>
        <v/>
      </c>
      <c r="Z1140" s="3">
        <f>IF($Y1140="","",IF($Y1140&lt;0,"FUTURO",IF($Y1140&gt;p_dias_backlog_max,"BACKLOG","MES CORRIENTE")))</f>
        <v/>
      </c>
      <c r="AA1140" s="3">
        <f>IF($Y1140="",FALSE,AND($Y1140&gt;p_dias_backlog_min,$Y1140&lt;=p_dias_backlog_max))</f>
        <v/>
      </c>
      <c r="AB1140" s="6" t="n"/>
      <c r="AC1140" s="3">
        <f>IF($AB1140="","",IFERROR(INDEX('ASIGNACIONES'!$F$4:$F$339,MATCH($O1140&amp;"|"&amp;$R1140&amp;"|"&amp;$AB1140,'ASIGNACIONES'!$I$4:$I$339,0)),""))</f>
        <v/>
      </c>
      <c r="AD1140" s="13">
        <f>IF($AB1140="","",SUMIFS('ORDENES'!$M$4:$M$1203,'ORDENES'!$AB$4:$AB$1203,$AB1140,'ORDENES'!$O$4:$O$1203,$O1140,'ORDENES'!$R$4:$R$1203,$R1140))</f>
        <v/>
      </c>
      <c r="AE1140" s="13">
        <f>IF($AD1140="","",p_factor_productividad*IFERROR(INDEX('ASIGNACIONES'!$H$4:$H$339,MATCH($O1140&amp;"|"&amp;$R1140&amp;"|"&amp;$AB1140,'ASIGNACIONES'!$I$4:$I$339,0)),0)-$AD1140)</f>
        <v/>
      </c>
      <c r="AF1140" s="10">
        <f>IF($A1140="","",IFERROR(INDEX('2_IMPORTAR_EJECUCION'!$F$9:$F$1208,MATCH($AN1140,'2_IMPORTAR_EJECUCION'!$J$9:$J$1208,0)),0))</f>
        <v/>
      </c>
      <c r="AG1140" s="10">
        <f>IF($A1140="","",MAX(0,IFERROR(INDEX('2_IMPORTAR_EJECUCION'!$H$9:$H$1208,MATCH($AN1140,'2_IMPORTAR_EJECUCION'!$J$9:$J$1208,0)),0)-$AF1140))</f>
        <v/>
      </c>
      <c r="AH1140" s="10">
        <f>IF($A1140="","",$AF1140+$AG1140)</f>
        <v/>
      </c>
      <c r="AI1140" s="6" t="n"/>
      <c r="AJ1140" s="6" t="n"/>
      <c r="AK1140" s="6" t="n"/>
      <c r="AL1140" s="3">
        <f>IF($AK1140="","",HYPERLINK(p_ruta_base_checklists&amp;$AK1140,"abrir"))</f>
        <v/>
      </c>
      <c r="AM1140" s="6" t="n"/>
      <c r="AN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1" t="n"/>
      <c r="K1141" s="3" t="n"/>
      <c r="L1141" s="10" t="n"/>
      <c r="M1141" s="3">
        <f>IF($A1141="","",IFERROR(INDEX('AJUSTES'!$B$4:$B$303,MATCH($AN1141,'AJUSTES'!$A$4:$A$303,0)),IF($K1141="","",$K1141)))</f>
        <v/>
      </c>
      <c r="N1141" s="3">
        <f>IF($A1141="","",IFERROR(INDEX('CAT_ESTADOS_ERP'!$B$4:$B$7,MATCH(IFERROR(INDEX('2_IMPORTAR_EJECUCION'!$C$9:$C$1208,MATCH($AN1141,'2_IMPORTAR_EJECUCION'!$J$9:$J$1208,0)),""),'CAT_ESTADOS_ERP'!$A$4:$A$7,0)),"Pendiente"))</f>
        <v/>
      </c>
      <c r="O1141" s="3">
        <f>IF($J1141="","",YEAR($J1141+4-WEEKDAY($J1141,2))&amp;"-S"&amp;TEXT(_xlfn.ISOWEEKNUM($J1141),"00"))</f>
        <v/>
      </c>
      <c r="P1141" s="3">
        <f>IF($J1141="","",YEAR($J1141))</f>
        <v/>
      </c>
      <c r="Q1141" s="3">
        <f>IF($J1141="","",MONTH($J1141))</f>
        <v/>
      </c>
      <c r="R1141" s="3">
        <f>IF($J1141="","",INDEX(lista_dias,WEEKDAY($J1141,2)))</f>
        <v/>
      </c>
      <c r="S1141" s="3">
        <f>IF($I1141="","",IFERROR(INDEX('CAT_TIPOS_OT'!$C$4:$C$7,MATCH($I1141,'CAT_TIPOS_OT'!$A$4:$A$7,0)),"sin_clasificar"))</f>
        <v/>
      </c>
      <c r="T1141" s="3">
        <f>IF($F1141="","",IFERROR(INDEX('CAT_CENTROS_COSTO'!$E$4:$E$9,MATCH($F1141,'CAT_CENTROS_COSTO'!$A$4:$A$9,0)),"(sin catálogo)"))</f>
        <v/>
      </c>
      <c r="U1141" s="3">
        <f>IF($F1141="","",IFERROR(INDEX('CAT_CENTROS_COSTO'!$D$4:$D$9,MATCH($F1141,'CAT_CENTROS_COSTO'!$A$4:$A$9,0)),"(sin catálogo)"))</f>
        <v/>
      </c>
      <c r="V1141" s="3">
        <f>IF($F1141="","",IFERROR(INDEX('CAT_CENTROS_COSTO'!$F$4:$F$9,MATCH($F1141,'CAT_CENTROS_COSTO'!$A$4:$A$9,0)),"(sin catálogo)"))</f>
        <v/>
      </c>
      <c r="W1141" s="3">
        <f>IF($G1141="","",IFERROR(INDEX('CAT_PUESTOS'!$B$4:$B$8,MATCH($G1141,'CAT_PUESTOS'!$A$4:$A$8,0)),"(sin catálogo)"))</f>
        <v/>
      </c>
      <c r="X1141" s="3">
        <f>IF($H1141="","",IFERROR(INDEX('CAT_ACTIVIDADES'!$B$4:$B$8,MATCH($H1141,'CAT_ACTIVIDADES'!$A$4:$A$8,0)),"(sin catálogo)"))</f>
        <v/>
      </c>
      <c r="Y1141" s="12">
        <f>IF($J1141="","",TODAY()-$J1141)</f>
        <v/>
      </c>
      <c r="Z1141" s="3">
        <f>IF($Y1141="","",IF($Y1141&lt;0,"FUTURO",IF($Y1141&gt;p_dias_backlog_max,"BACKLOG","MES CORRIENTE")))</f>
        <v/>
      </c>
      <c r="AA1141" s="3">
        <f>IF($Y1141="",FALSE,AND($Y1141&gt;p_dias_backlog_min,$Y1141&lt;=p_dias_backlog_max))</f>
        <v/>
      </c>
      <c r="AB1141" s="6" t="n"/>
      <c r="AC1141" s="3">
        <f>IF($AB1141="","",IFERROR(INDEX('ASIGNACIONES'!$F$4:$F$339,MATCH($O1141&amp;"|"&amp;$R1141&amp;"|"&amp;$AB1141,'ASIGNACIONES'!$I$4:$I$339,0)),""))</f>
        <v/>
      </c>
      <c r="AD1141" s="13">
        <f>IF($AB1141="","",SUMIFS('ORDENES'!$M$4:$M$1203,'ORDENES'!$AB$4:$AB$1203,$AB1141,'ORDENES'!$O$4:$O$1203,$O1141,'ORDENES'!$R$4:$R$1203,$R1141))</f>
        <v/>
      </c>
      <c r="AE1141" s="13">
        <f>IF($AD1141="","",p_factor_productividad*IFERROR(INDEX('ASIGNACIONES'!$H$4:$H$339,MATCH($O1141&amp;"|"&amp;$R1141&amp;"|"&amp;$AB1141,'ASIGNACIONES'!$I$4:$I$339,0)),0)-$AD1141)</f>
        <v/>
      </c>
      <c r="AF1141" s="10">
        <f>IF($A1141="","",IFERROR(INDEX('2_IMPORTAR_EJECUCION'!$F$9:$F$1208,MATCH($AN1141,'2_IMPORTAR_EJECUCION'!$J$9:$J$1208,0)),0))</f>
        <v/>
      </c>
      <c r="AG1141" s="10">
        <f>IF($A1141="","",MAX(0,IFERROR(INDEX('2_IMPORTAR_EJECUCION'!$H$9:$H$1208,MATCH($AN1141,'2_IMPORTAR_EJECUCION'!$J$9:$J$1208,0)),0)-$AF1141))</f>
        <v/>
      </c>
      <c r="AH1141" s="10">
        <f>IF($A1141="","",$AF1141+$AG1141)</f>
        <v/>
      </c>
      <c r="AI1141" s="6" t="n"/>
      <c r="AJ1141" s="6" t="n"/>
      <c r="AK1141" s="6" t="n"/>
      <c r="AL1141" s="3">
        <f>IF($AK1141="","",HYPERLINK(p_ruta_base_checklists&amp;$AK1141,"abrir"))</f>
        <v/>
      </c>
      <c r="AM1141" s="6" t="n"/>
      <c r="AN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1" t="n"/>
      <c r="K1142" s="3" t="n"/>
      <c r="L1142" s="10" t="n"/>
      <c r="M1142" s="3">
        <f>IF($A1142="","",IFERROR(INDEX('AJUSTES'!$B$4:$B$303,MATCH($AN1142,'AJUSTES'!$A$4:$A$303,0)),IF($K1142="","",$K1142)))</f>
        <v/>
      </c>
      <c r="N1142" s="3">
        <f>IF($A1142="","",IFERROR(INDEX('CAT_ESTADOS_ERP'!$B$4:$B$7,MATCH(IFERROR(INDEX('2_IMPORTAR_EJECUCION'!$C$9:$C$1208,MATCH($AN1142,'2_IMPORTAR_EJECUCION'!$J$9:$J$1208,0)),""),'CAT_ESTADOS_ERP'!$A$4:$A$7,0)),"Pendiente"))</f>
        <v/>
      </c>
      <c r="O1142" s="3">
        <f>IF($J1142="","",YEAR($J1142+4-WEEKDAY($J1142,2))&amp;"-S"&amp;TEXT(_xlfn.ISOWEEKNUM($J1142),"00"))</f>
        <v/>
      </c>
      <c r="P1142" s="3">
        <f>IF($J1142="","",YEAR($J1142))</f>
        <v/>
      </c>
      <c r="Q1142" s="3">
        <f>IF($J1142="","",MONTH($J1142))</f>
        <v/>
      </c>
      <c r="R1142" s="3">
        <f>IF($J1142="","",INDEX(lista_dias,WEEKDAY($J1142,2)))</f>
        <v/>
      </c>
      <c r="S1142" s="3">
        <f>IF($I1142="","",IFERROR(INDEX('CAT_TIPOS_OT'!$C$4:$C$7,MATCH($I1142,'CAT_TIPOS_OT'!$A$4:$A$7,0)),"sin_clasificar"))</f>
        <v/>
      </c>
      <c r="T1142" s="3">
        <f>IF($F1142="","",IFERROR(INDEX('CAT_CENTROS_COSTO'!$E$4:$E$9,MATCH($F1142,'CAT_CENTROS_COSTO'!$A$4:$A$9,0)),"(sin catálogo)"))</f>
        <v/>
      </c>
      <c r="U1142" s="3">
        <f>IF($F1142="","",IFERROR(INDEX('CAT_CENTROS_COSTO'!$D$4:$D$9,MATCH($F1142,'CAT_CENTROS_COSTO'!$A$4:$A$9,0)),"(sin catálogo)"))</f>
        <v/>
      </c>
      <c r="V1142" s="3">
        <f>IF($F1142="","",IFERROR(INDEX('CAT_CENTROS_COSTO'!$F$4:$F$9,MATCH($F1142,'CAT_CENTROS_COSTO'!$A$4:$A$9,0)),"(sin catálogo)"))</f>
        <v/>
      </c>
      <c r="W1142" s="3">
        <f>IF($G1142="","",IFERROR(INDEX('CAT_PUESTOS'!$B$4:$B$8,MATCH($G1142,'CAT_PUESTOS'!$A$4:$A$8,0)),"(sin catálogo)"))</f>
        <v/>
      </c>
      <c r="X1142" s="3">
        <f>IF($H1142="","",IFERROR(INDEX('CAT_ACTIVIDADES'!$B$4:$B$8,MATCH($H1142,'CAT_ACTIVIDADES'!$A$4:$A$8,0)),"(sin catálogo)"))</f>
        <v/>
      </c>
      <c r="Y1142" s="12">
        <f>IF($J1142="","",TODAY()-$J1142)</f>
        <v/>
      </c>
      <c r="Z1142" s="3">
        <f>IF($Y1142="","",IF($Y1142&lt;0,"FUTURO",IF($Y1142&gt;p_dias_backlog_max,"BACKLOG","MES CORRIENTE")))</f>
        <v/>
      </c>
      <c r="AA1142" s="3">
        <f>IF($Y1142="",FALSE,AND($Y1142&gt;p_dias_backlog_min,$Y1142&lt;=p_dias_backlog_max))</f>
        <v/>
      </c>
      <c r="AB1142" s="6" t="n"/>
      <c r="AC1142" s="3">
        <f>IF($AB1142="","",IFERROR(INDEX('ASIGNACIONES'!$F$4:$F$339,MATCH($O1142&amp;"|"&amp;$R1142&amp;"|"&amp;$AB1142,'ASIGNACIONES'!$I$4:$I$339,0)),""))</f>
        <v/>
      </c>
      <c r="AD1142" s="13">
        <f>IF($AB1142="","",SUMIFS('ORDENES'!$M$4:$M$1203,'ORDENES'!$AB$4:$AB$1203,$AB1142,'ORDENES'!$O$4:$O$1203,$O1142,'ORDENES'!$R$4:$R$1203,$R1142))</f>
        <v/>
      </c>
      <c r="AE1142" s="13">
        <f>IF($AD1142="","",p_factor_productividad*IFERROR(INDEX('ASIGNACIONES'!$H$4:$H$339,MATCH($O1142&amp;"|"&amp;$R1142&amp;"|"&amp;$AB1142,'ASIGNACIONES'!$I$4:$I$339,0)),0)-$AD1142)</f>
        <v/>
      </c>
      <c r="AF1142" s="10">
        <f>IF($A1142="","",IFERROR(INDEX('2_IMPORTAR_EJECUCION'!$F$9:$F$1208,MATCH($AN1142,'2_IMPORTAR_EJECUCION'!$J$9:$J$1208,0)),0))</f>
        <v/>
      </c>
      <c r="AG1142" s="10">
        <f>IF($A1142="","",MAX(0,IFERROR(INDEX('2_IMPORTAR_EJECUCION'!$H$9:$H$1208,MATCH($AN1142,'2_IMPORTAR_EJECUCION'!$J$9:$J$1208,0)),0)-$AF1142))</f>
        <v/>
      </c>
      <c r="AH1142" s="10">
        <f>IF($A1142="","",$AF1142+$AG1142)</f>
        <v/>
      </c>
      <c r="AI1142" s="6" t="n"/>
      <c r="AJ1142" s="6" t="n"/>
      <c r="AK1142" s="6" t="n"/>
      <c r="AL1142" s="3">
        <f>IF($AK1142="","",HYPERLINK(p_ruta_base_checklists&amp;$AK1142,"abrir"))</f>
        <v/>
      </c>
      <c r="AM1142" s="6" t="n"/>
      <c r="AN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1" t="n"/>
      <c r="K1143" s="3" t="n"/>
      <c r="L1143" s="10" t="n"/>
      <c r="M1143" s="3">
        <f>IF($A1143="","",IFERROR(INDEX('AJUSTES'!$B$4:$B$303,MATCH($AN1143,'AJUSTES'!$A$4:$A$303,0)),IF($K1143="","",$K1143)))</f>
        <v/>
      </c>
      <c r="N1143" s="3">
        <f>IF($A1143="","",IFERROR(INDEX('CAT_ESTADOS_ERP'!$B$4:$B$7,MATCH(IFERROR(INDEX('2_IMPORTAR_EJECUCION'!$C$9:$C$1208,MATCH($AN1143,'2_IMPORTAR_EJECUCION'!$J$9:$J$1208,0)),""),'CAT_ESTADOS_ERP'!$A$4:$A$7,0)),"Pendiente"))</f>
        <v/>
      </c>
      <c r="O1143" s="3">
        <f>IF($J1143="","",YEAR($J1143+4-WEEKDAY($J1143,2))&amp;"-S"&amp;TEXT(_xlfn.ISOWEEKNUM($J1143),"00"))</f>
        <v/>
      </c>
      <c r="P1143" s="3">
        <f>IF($J1143="","",YEAR($J1143))</f>
        <v/>
      </c>
      <c r="Q1143" s="3">
        <f>IF($J1143="","",MONTH($J1143))</f>
        <v/>
      </c>
      <c r="R1143" s="3">
        <f>IF($J1143="","",INDEX(lista_dias,WEEKDAY($J1143,2)))</f>
        <v/>
      </c>
      <c r="S1143" s="3">
        <f>IF($I1143="","",IFERROR(INDEX('CAT_TIPOS_OT'!$C$4:$C$7,MATCH($I1143,'CAT_TIPOS_OT'!$A$4:$A$7,0)),"sin_clasificar"))</f>
        <v/>
      </c>
      <c r="T1143" s="3">
        <f>IF($F1143="","",IFERROR(INDEX('CAT_CENTROS_COSTO'!$E$4:$E$9,MATCH($F1143,'CAT_CENTROS_COSTO'!$A$4:$A$9,0)),"(sin catálogo)"))</f>
        <v/>
      </c>
      <c r="U1143" s="3">
        <f>IF($F1143="","",IFERROR(INDEX('CAT_CENTROS_COSTO'!$D$4:$D$9,MATCH($F1143,'CAT_CENTROS_COSTO'!$A$4:$A$9,0)),"(sin catálogo)"))</f>
        <v/>
      </c>
      <c r="V1143" s="3">
        <f>IF($F1143="","",IFERROR(INDEX('CAT_CENTROS_COSTO'!$F$4:$F$9,MATCH($F1143,'CAT_CENTROS_COSTO'!$A$4:$A$9,0)),"(sin catálogo)"))</f>
        <v/>
      </c>
      <c r="W1143" s="3">
        <f>IF($G1143="","",IFERROR(INDEX('CAT_PUESTOS'!$B$4:$B$8,MATCH($G1143,'CAT_PUESTOS'!$A$4:$A$8,0)),"(sin catálogo)"))</f>
        <v/>
      </c>
      <c r="X1143" s="3">
        <f>IF($H1143="","",IFERROR(INDEX('CAT_ACTIVIDADES'!$B$4:$B$8,MATCH($H1143,'CAT_ACTIVIDADES'!$A$4:$A$8,0)),"(sin catálogo)"))</f>
        <v/>
      </c>
      <c r="Y1143" s="12">
        <f>IF($J1143="","",TODAY()-$J1143)</f>
        <v/>
      </c>
      <c r="Z1143" s="3">
        <f>IF($Y1143="","",IF($Y1143&lt;0,"FUTURO",IF($Y1143&gt;p_dias_backlog_max,"BACKLOG","MES CORRIENTE")))</f>
        <v/>
      </c>
      <c r="AA1143" s="3">
        <f>IF($Y1143="",FALSE,AND($Y1143&gt;p_dias_backlog_min,$Y1143&lt;=p_dias_backlog_max))</f>
        <v/>
      </c>
      <c r="AB1143" s="6" t="n"/>
      <c r="AC1143" s="3">
        <f>IF($AB1143="","",IFERROR(INDEX('ASIGNACIONES'!$F$4:$F$339,MATCH($O1143&amp;"|"&amp;$R1143&amp;"|"&amp;$AB1143,'ASIGNACIONES'!$I$4:$I$339,0)),""))</f>
        <v/>
      </c>
      <c r="AD1143" s="13">
        <f>IF($AB1143="","",SUMIFS('ORDENES'!$M$4:$M$1203,'ORDENES'!$AB$4:$AB$1203,$AB1143,'ORDENES'!$O$4:$O$1203,$O1143,'ORDENES'!$R$4:$R$1203,$R1143))</f>
        <v/>
      </c>
      <c r="AE1143" s="13">
        <f>IF($AD1143="","",p_factor_productividad*IFERROR(INDEX('ASIGNACIONES'!$H$4:$H$339,MATCH($O1143&amp;"|"&amp;$R1143&amp;"|"&amp;$AB1143,'ASIGNACIONES'!$I$4:$I$339,0)),0)-$AD1143)</f>
        <v/>
      </c>
      <c r="AF1143" s="10">
        <f>IF($A1143="","",IFERROR(INDEX('2_IMPORTAR_EJECUCION'!$F$9:$F$1208,MATCH($AN1143,'2_IMPORTAR_EJECUCION'!$J$9:$J$1208,0)),0))</f>
        <v/>
      </c>
      <c r="AG1143" s="10">
        <f>IF($A1143="","",MAX(0,IFERROR(INDEX('2_IMPORTAR_EJECUCION'!$H$9:$H$1208,MATCH($AN1143,'2_IMPORTAR_EJECUCION'!$J$9:$J$1208,0)),0)-$AF1143))</f>
        <v/>
      </c>
      <c r="AH1143" s="10">
        <f>IF($A1143="","",$AF1143+$AG1143)</f>
        <v/>
      </c>
      <c r="AI1143" s="6" t="n"/>
      <c r="AJ1143" s="6" t="n"/>
      <c r="AK1143" s="6" t="n"/>
      <c r="AL1143" s="3">
        <f>IF($AK1143="","",HYPERLINK(p_ruta_base_checklists&amp;$AK1143,"abrir"))</f>
        <v/>
      </c>
      <c r="AM1143" s="6" t="n"/>
      <c r="AN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1" t="n"/>
      <c r="K1144" s="3" t="n"/>
      <c r="L1144" s="10" t="n"/>
      <c r="M1144" s="3">
        <f>IF($A1144="","",IFERROR(INDEX('AJUSTES'!$B$4:$B$303,MATCH($AN1144,'AJUSTES'!$A$4:$A$303,0)),IF($K1144="","",$K1144)))</f>
        <v/>
      </c>
      <c r="N1144" s="3">
        <f>IF($A1144="","",IFERROR(INDEX('CAT_ESTADOS_ERP'!$B$4:$B$7,MATCH(IFERROR(INDEX('2_IMPORTAR_EJECUCION'!$C$9:$C$1208,MATCH($AN1144,'2_IMPORTAR_EJECUCION'!$J$9:$J$1208,0)),""),'CAT_ESTADOS_ERP'!$A$4:$A$7,0)),"Pendiente"))</f>
        <v/>
      </c>
      <c r="O1144" s="3">
        <f>IF($J1144="","",YEAR($J1144+4-WEEKDAY($J1144,2))&amp;"-S"&amp;TEXT(_xlfn.ISOWEEKNUM($J1144),"00"))</f>
        <v/>
      </c>
      <c r="P1144" s="3">
        <f>IF($J1144="","",YEAR($J1144))</f>
        <v/>
      </c>
      <c r="Q1144" s="3">
        <f>IF($J1144="","",MONTH($J1144))</f>
        <v/>
      </c>
      <c r="R1144" s="3">
        <f>IF($J1144="","",INDEX(lista_dias,WEEKDAY($J1144,2)))</f>
        <v/>
      </c>
      <c r="S1144" s="3">
        <f>IF($I1144="","",IFERROR(INDEX('CAT_TIPOS_OT'!$C$4:$C$7,MATCH($I1144,'CAT_TIPOS_OT'!$A$4:$A$7,0)),"sin_clasificar"))</f>
        <v/>
      </c>
      <c r="T1144" s="3">
        <f>IF($F1144="","",IFERROR(INDEX('CAT_CENTROS_COSTO'!$E$4:$E$9,MATCH($F1144,'CAT_CENTROS_COSTO'!$A$4:$A$9,0)),"(sin catálogo)"))</f>
        <v/>
      </c>
      <c r="U1144" s="3">
        <f>IF($F1144="","",IFERROR(INDEX('CAT_CENTROS_COSTO'!$D$4:$D$9,MATCH($F1144,'CAT_CENTROS_COSTO'!$A$4:$A$9,0)),"(sin catálogo)"))</f>
        <v/>
      </c>
      <c r="V1144" s="3">
        <f>IF($F1144="","",IFERROR(INDEX('CAT_CENTROS_COSTO'!$F$4:$F$9,MATCH($F1144,'CAT_CENTROS_COSTO'!$A$4:$A$9,0)),"(sin catálogo)"))</f>
        <v/>
      </c>
      <c r="W1144" s="3">
        <f>IF($G1144="","",IFERROR(INDEX('CAT_PUESTOS'!$B$4:$B$8,MATCH($G1144,'CAT_PUESTOS'!$A$4:$A$8,0)),"(sin catálogo)"))</f>
        <v/>
      </c>
      <c r="X1144" s="3">
        <f>IF($H1144="","",IFERROR(INDEX('CAT_ACTIVIDADES'!$B$4:$B$8,MATCH($H1144,'CAT_ACTIVIDADES'!$A$4:$A$8,0)),"(sin catálogo)"))</f>
        <v/>
      </c>
      <c r="Y1144" s="12">
        <f>IF($J1144="","",TODAY()-$J1144)</f>
        <v/>
      </c>
      <c r="Z1144" s="3">
        <f>IF($Y1144="","",IF($Y1144&lt;0,"FUTURO",IF($Y1144&gt;p_dias_backlog_max,"BACKLOG","MES CORRIENTE")))</f>
        <v/>
      </c>
      <c r="AA1144" s="3">
        <f>IF($Y1144="",FALSE,AND($Y1144&gt;p_dias_backlog_min,$Y1144&lt;=p_dias_backlog_max))</f>
        <v/>
      </c>
      <c r="AB1144" s="6" t="n"/>
      <c r="AC1144" s="3">
        <f>IF($AB1144="","",IFERROR(INDEX('ASIGNACIONES'!$F$4:$F$339,MATCH($O1144&amp;"|"&amp;$R1144&amp;"|"&amp;$AB1144,'ASIGNACIONES'!$I$4:$I$339,0)),""))</f>
        <v/>
      </c>
      <c r="AD1144" s="13">
        <f>IF($AB1144="","",SUMIFS('ORDENES'!$M$4:$M$1203,'ORDENES'!$AB$4:$AB$1203,$AB1144,'ORDENES'!$O$4:$O$1203,$O1144,'ORDENES'!$R$4:$R$1203,$R1144))</f>
        <v/>
      </c>
      <c r="AE1144" s="13">
        <f>IF($AD1144="","",p_factor_productividad*IFERROR(INDEX('ASIGNACIONES'!$H$4:$H$339,MATCH($O1144&amp;"|"&amp;$R1144&amp;"|"&amp;$AB1144,'ASIGNACIONES'!$I$4:$I$339,0)),0)-$AD1144)</f>
        <v/>
      </c>
      <c r="AF1144" s="10">
        <f>IF($A1144="","",IFERROR(INDEX('2_IMPORTAR_EJECUCION'!$F$9:$F$1208,MATCH($AN1144,'2_IMPORTAR_EJECUCION'!$J$9:$J$1208,0)),0))</f>
        <v/>
      </c>
      <c r="AG1144" s="10">
        <f>IF($A1144="","",MAX(0,IFERROR(INDEX('2_IMPORTAR_EJECUCION'!$H$9:$H$1208,MATCH($AN1144,'2_IMPORTAR_EJECUCION'!$J$9:$J$1208,0)),0)-$AF1144))</f>
        <v/>
      </c>
      <c r="AH1144" s="10">
        <f>IF($A1144="","",$AF1144+$AG1144)</f>
        <v/>
      </c>
      <c r="AI1144" s="6" t="n"/>
      <c r="AJ1144" s="6" t="n"/>
      <c r="AK1144" s="6" t="n"/>
      <c r="AL1144" s="3">
        <f>IF($AK1144="","",HYPERLINK(p_ruta_base_checklists&amp;$AK1144,"abrir"))</f>
        <v/>
      </c>
      <c r="AM1144" s="6" t="n"/>
      <c r="AN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1" t="n"/>
      <c r="K1145" s="3" t="n"/>
      <c r="L1145" s="10" t="n"/>
      <c r="M1145" s="3">
        <f>IF($A1145="","",IFERROR(INDEX('AJUSTES'!$B$4:$B$303,MATCH($AN1145,'AJUSTES'!$A$4:$A$303,0)),IF($K1145="","",$K1145)))</f>
        <v/>
      </c>
      <c r="N1145" s="3">
        <f>IF($A1145="","",IFERROR(INDEX('CAT_ESTADOS_ERP'!$B$4:$B$7,MATCH(IFERROR(INDEX('2_IMPORTAR_EJECUCION'!$C$9:$C$1208,MATCH($AN1145,'2_IMPORTAR_EJECUCION'!$J$9:$J$1208,0)),""),'CAT_ESTADOS_ERP'!$A$4:$A$7,0)),"Pendiente"))</f>
        <v/>
      </c>
      <c r="O1145" s="3">
        <f>IF($J1145="","",YEAR($J1145+4-WEEKDAY($J1145,2))&amp;"-S"&amp;TEXT(_xlfn.ISOWEEKNUM($J1145),"00"))</f>
        <v/>
      </c>
      <c r="P1145" s="3">
        <f>IF($J1145="","",YEAR($J1145))</f>
        <v/>
      </c>
      <c r="Q1145" s="3">
        <f>IF($J1145="","",MONTH($J1145))</f>
        <v/>
      </c>
      <c r="R1145" s="3">
        <f>IF($J1145="","",INDEX(lista_dias,WEEKDAY($J1145,2)))</f>
        <v/>
      </c>
      <c r="S1145" s="3">
        <f>IF($I1145="","",IFERROR(INDEX('CAT_TIPOS_OT'!$C$4:$C$7,MATCH($I1145,'CAT_TIPOS_OT'!$A$4:$A$7,0)),"sin_clasificar"))</f>
        <v/>
      </c>
      <c r="T1145" s="3">
        <f>IF($F1145="","",IFERROR(INDEX('CAT_CENTROS_COSTO'!$E$4:$E$9,MATCH($F1145,'CAT_CENTROS_COSTO'!$A$4:$A$9,0)),"(sin catálogo)"))</f>
        <v/>
      </c>
      <c r="U1145" s="3">
        <f>IF($F1145="","",IFERROR(INDEX('CAT_CENTROS_COSTO'!$D$4:$D$9,MATCH($F1145,'CAT_CENTROS_COSTO'!$A$4:$A$9,0)),"(sin catálogo)"))</f>
        <v/>
      </c>
      <c r="V1145" s="3">
        <f>IF($F1145="","",IFERROR(INDEX('CAT_CENTROS_COSTO'!$F$4:$F$9,MATCH($F1145,'CAT_CENTROS_COSTO'!$A$4:$A$9,0)),"(sin catálogo)"))</f>
        <v/>
      </c>
      <c r="W1145" s="3">
        <f>IF($G1145="","",IFERROR(INDEX('CAT_PUESTOS'!$B$4:$B$8,MATCH($G1145,'CAT_PUESTOS'!$A$4:$A$8,0)),"(sin catálogo)"))</f>
        <v/>
      </c>
      <c r="X1145" s="3">
        <f>IF($H1145="","",IFERROR(INDEX('CAT_ACTIVIDADES'!$B$4:$B$8,MATCH($H1145,'CAT_ACTIVIDADES'!$A$4:$A$8,0)),"(sin catálogo)"))</f>
        <v/>
      </c>
      <c r="Y1145" s="12">
        <f>IF($J1145="","",TODAY()-$J1145)</f>
        <v/>
      </c>
      <c r="Z1145" s="3">
        <f>IF($Y1145="","",IF($Y1145&lt;0,"FUTURO",IF($Y1145&gt;p_dias_backlog_max,"BACKLOG","MES CORRIENTE")))</f>
        <v/>
      </c>
      <c r="AA1145" s="3">
        <f>IF($Y1145="",FALSE,AND($Y1145&gt;p_dias_backlog_min,$Y1145&lt;=p_dias_backlog_max))</f>
        <v/>
      </c>
      <c r="AB1145" s="6" t="n"/>
      <c r="AC1145" s="3">
        <f>IF($AB1145="","",IFERROR(INDEX('ASIGNACIONES'!$F$4:$F$339,MATCH($O1145&amp;"|"&amp;$R1145&amp;"|"&amp;$AB1145,'ASIGNACIONES'!$I$4:$I$339,0)),""))</f>
        <v/>
      </c>
      <c r="AD1145" s="13">
        <f>IF($AB1145="","",SUMIFS('ORDENES'!$M$4:$M$1203,'ORDENES'!$AB$4:$AB$1203,$AB1145,'ORDENES'!$O$4:$O$1203,$O1145,'ORDENES'!$R$4:$R$1203,$R1145))</f>
        <v/>
      </c>
      <c r="AE1145" s="13">
        <f>IF($AD1145="","",p_factor_productividad*IFERROR(INDEX('ASIGNACIONES'!$H$4:$H$339,MATCH($O1145&amp;"|"&amp;$R1145&amp;"|"&amp;$AB1145,'ASIGNACIONES'!$I$4:$I$339,0)),0)-$AD1145)</f>
        <v/>
      </c>
      <c r="AF1145" s="10">
        <f>IF($A1145="","",IFERROR(INDEX('2_IMPORTAR_EJECUCION'!$F$9:$F$1208,MATCH($AN1145,'2_IMPORTAR_EJECUCION'!$J$9:$J$1208,0)),0))</f>
        <v/>
      </c>
      <c r="AG1145" s="10">
        <f>IF($A1145="","",MAX(0,IFERROR(INDEX('2_IMPORTAR_EJECUCION'!$H$9:$H$1208,MATCH($AN1145,'2_IMPORTAR_EJECUCION'!$J$9:$J$1208,0)),0)-$AF1145))</f>
        <v/>
      </c>
      <c r="AH1145" s="10">
        <f>IF($A1145="","",$AF1145+$AG1145)</f>
        <v/>
      </c>
      <c r="AI1145" s="6" t="n"/>
      <c r="AJ1145" s="6" t="n"/>
      <c r="AK1145" s="6" t="n"/>
      <c r="AL1145" s="3">
        <f>IF($AK1145="","",HYPERLINK(p_ruta_base_checklists&amp;$AK1145,"abrir"))</f>
        <v/>
      </c>
      <c r="AM1145" s="6" t="n"/>
      <c r="AN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1" t="n"/>
      <c r="K1146" s="3" t="n"/>
      <c r="L1146" s="10" t="n"/>
      <c r="M1146" s="3">
        <f>IF($A1146="","",IFERROR(INDEX('AJUSTES'!$B$4:$B$303,MATCH($AN1146,'AJUSTES'!$A$4:$A$303,0)),IF($K1146="","",$K1146)))</f>
        <v/>
      </c>
      <c r="N1146" s="3">
        <f>IF($A1146="","",IFERROR(INDEX('CAT_ESTADOS_ERP'!$B$4:$B$7,MATCH(IFERROR(INDEX('2_IMPORTAR_EJECUCION'!$C$9:$C$1208,MATCH($AN1146,'2_IMPORTAR_EJECUCION'!$J$9:$J$1208,0)),""),'CAT_ESTADOS_ERP'!$A$4:$A$7,0)),"Pendiente"))</f>
        <v/>
      </c>
      <c r="O1146" s="3">
        <f>IF($J1146="","",YEAR($J1146+4-WEEKDAY($J1146,2))&amp;"-S"&amp;TEXT(_xlfn.ISOWEEKNUM($J1146),"00"))</f>
        <v/>
      </c>
      <c r="P1146" s="3">
        <f>IF($J1146="","",YEAR($J1146))</f>
        <v/>
      </c>
      <c r="Q1146" s="3">
        <f>IF($J1146="","",MONTH($J1146))</f>
        <v/>
      </c>
      <c r="R1146" s="3">
        <f>IF($J1146="","",INDEX(lista_dias,WEEKDAY($J1146,2)))</f>
        <v/>
      </c>
      <c r="S1146" s="3">
        <f>IF($I1146="","",IFERROR(INDEX('CAT_TIPOS_OT'!$C$4:$C$7,MATCH($I1146,'CAT_TIPOS_OT'!$A$4:$A$7,0)),"sin_clasificar"))</f>
        <v/>
      </c>
      <c r="T1146" s="3">
        <f>IF($F1146="","",IFERROR(INDEX('CAT_CENTROS_COSTO'!$E$4:$E$9,MATCH($F1146,'CAT_CENTROS_COSTO'!$A$4:$A$9,0)),"(sin catálogo)"))</f>
        <v/>
      </c>
      <c r="U1146" s="3">
        <f>IF($F1146="","",IFERROR(INDEX('CAT_CENTROS_COSTO'!$D$4:$D$9,MATCH($F1146,'CAT_CENTROS_COSTO'!$A$4:$A$9,0)),"(sin catálogo)"))</f>
        <v/>
      </c>
      <c r="V1146" s="3">
        <f>IF($F1146="","",IFERROR(INDEX('CAT_CENTROS_COSTO'!$F$4:$F$9,MATCH($F1146,'CAT_CENTROS_COSTO'!$A$4:$A$9,0)),"(sin catálogo)"))</f>
        <v/>
      </c>
      <c r="W1146" s="3">
        <f>IF($G1146="","",IFERROR(INDEX('CAT_PUESTOS'!$B$4:$B$8,MATCH($G1146,'CAT_PUESTOS'!$A$4:$A$8,0)),"(sin catálogo)"))</f>
        <v/>
      </c>
      <c r="X1146" s="3">
        <f>IF($H1146="","",IFERROR(INDEX('CAT_ACTIVIDADES'!$B$4:$B$8,MATCH($H1146,'CAT_ACTIVIDADES'!$A$4:$A$8,0)),"(sin catálogo)"))</f>
        <v/>
      </c>
      <c r="Y1146" s="12">
        <f>IF($J1146="","",TODAY()-$J1146)</f>
        <v/>
      </c>
      <c r="Z1146" s="3">
        <f>IF($Y1146="","",IF($Y1146&lt;0,"FUTURO",IF($Y1146&gt;p_dias_backlog_max,"BACKLOG","MES CORRIENTE")))</f>
        <v/>
      </c>
      <c r="AA1146" s="3">
        <f>IF($Y1146="",FALSE,AND($Y1146&gt;p_dias_backlog_min,$Y1146&lt;=p_dias_backlog_max))</f>
        <v/>
      </c>
      <c r="AB1146" s="6" t="n"/>
      <c r="AC1146" s="3">
        <f>IF($AB1146="","",IFERROR(INDEX('ASIGNACIONES'!$F$4:$F$339,MATCH($O1146&amp;"|"&amp;$R1146&amp;"|"&amp;$AB1146,'ASIGNACIONES'!$I$4:$I$339,0)),""))</f>
        <v/>
      </c>
      <c r="AD1146" s="13">
        <f>IF($AB1146="","",SUMIFS('ORDENES'!$M$4:$M$1203,'ORDENES'!$AB$4:$AB$1203,$AB1146,'ORDENES'!$O$4:$O$1203,$O1146,'ORDENES'!$R$4:$R$1203,$R1146))</f>
        <v/>
      </c>
      <c r="AE1146" s="13">
        <f>IF($AD1146="","",p_factor_productividad*IFERROR(INDEX('ASIGNACIONES'!$H$4:$H$339,MATCH($O1146&amp;"|"&amp;$R1146&amp;"|"&amp;$AB1146,'ASIGNACIONES'!$I$4:$I$339,0)),0)-$AD1146)</f>
        <v/>
      </c>
      <c r="AF1146" s="10">
        <f>IF($A1146="","",IFERROR(INDEX('2_IMPORTAR_EJECUCION'!$F$9:$F$1208,MATCH($AN1146,'2_IMPORTAR_EJECUCION'!$J$9:$J$1208,0)),0))</f>
        <v/>
      </c>
      <c r="AG1146" s="10">
        <f>IF($A1146="","",MAX(0,IFERROR(INDEX('2_IMPORTAR_EJECUCION'!$H$9:$H$1208,MATCH($AN1146,'2_IMPORTAR_EJECUCION'!$J$9:$J$1208,0)),0)-$AF1146))</f>
        <v/>
      </c>
      <c r="AH1146" s="10">
        <f>IF($A1146="","",$AF1146+$AG1146)</f>
        <v/>
      </c>
      <c r="AI1146" s="6" t="n"/>
      <c r="AJ1146" s="6" t="n"/>
      <c r="AK1146" s="6" t="n"/>
      <c r="AL1146" s="3">
        <f>IF($AK1146="","",HYPERLINK(p_ruta_base_checklists&amp;$AK1146,"abrir"))</f>
        <v/>
      </c>
      <c r="AM1146" s="6" t="n"/>
      <c r="AN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1" t="n"/>
      <c r="K1147" s="3" t="n"/>
      <c r="L1147" s="10" t="n"/>
      <c r="M1147" s="3">
        <f>IF($A1147="","",IFERROR(INDEX('AJUSTES'!$B$4:$B$303,MATCH($AN1147,'AJUSTES'!$A$4:$A$303,0)),IF($K1147="","",$K1147)))</f>
        <v/>
      </c>
      <c r="N1147" s="3">
        <f>IF($A1147="","",IFERROR(INDEX('CAT_ESTADOS_ERP'!$B$4:$B$7,MATCH(IFERROR(INDEX('2_IMPORTAR_EJECUCION'!$C$9:$C$1208,MATCH($AN1147,'2_IMPORTAR_EJECUCION'!$J$9:$J$1208,0)),""),'CAT_ESTADOS_ERP'!$A$4:$A$7,0)),"Pendiente"))</f>
        <v/>
      </c>
      <c r="O1147" s="3">
        <f>IF($J1147="","",YEAR($J1147+4-WEEKDAY($J1147,2))&amp;"-S"&amp;TEXT(_xlfn.ISOWEEKNUM($J1147),"00"))</f>
        <v/>
      </c>
      <c r="P1147" s="3">
        <f>IF($J1147="","",YEAR($J1147))</f>
        <v/>
      </c>
      <c r="Q1147" s="3">
        <f>IF($J1147="","",MONTH($J1147))</f>
        <v/>
      </c>
      <c r="R1147" s="3">
        <f>IF($J1147="","",INDEX(lista_dias,WEEKDAY($J1147,2)))</f>
        <v/>
      </c>
      <c r="S1147" s="3">
        <f>IF($I1147="","",IFERROR(INDEX('CAT_TIPOS_OT'!$C$4:$C$7,MATCH($I1147,'CAT_TIPOS_OT'!$A$4:$A$7,0)),"sin_clasificar"))</f>
        <v/>
      </c>
      <c r="T1147" s="3">
        <f>IF($F1147="","",IFERROR(INDEX('CAT_CENTROS_COSTO'!$E$4:$E$9,MATCH($F1147,'CAT_CENTROS_COSTO'!$A$4:$A$9,0)),"(sin catálogo)"))</f>
        <v/>
      </c>
      <c r="U1147" s="3">
        <f>IF($F1147="","",IFERROR(INDEX('CAT_CENTROS_COSTO'!$D$4:$D$9,MATCH($F1147,'CAT_CENTROS_COSTO'!$A$4:$A$9,0)),"(sin catálogo)"))</f>
        <v/>
      </c>
      <c r="V1147" s="3">
        <f>IF($F1147="","",IFERROR(INDEX('CAT_CENTROS_COSTO'!$F$4:$F$9,MATCH($F1147,'CAT_CENTROS_COSTO'!$A$4:$A$9,0)),"(sin catálogo)"))</f>
        <v/>
      </c>
      <c r="W1147" s="3">
        <f>IF($G1147="","",IFERROR(INDEX('CAT_PUESTOS'!$B$4:$B$8,MATCH($G1147,'CAT_PUESTOS'!$A$4:$A$8,0)),"(sin catálogo)"))</f>
        <v/>
      </c>
      <c r="X1147" s="3">
        <f>IF($H1147="","",IFERROR(INDEX('CAT_ACTIVIDADES'!$B$4:$B$8,MATCH($H1147,'CAT_ACTIVIDADES'!$A$4:$A$8,0)),"(sin catálogo)"))</f>
        <v/>
      </c>
      <c r="Y1147" s="12">
        <f>IF($J1147="","",TODAY()-$J1147)</f>
        <v/>
      </c>
      <c r="Z1147" s="3">
        <f>IF($Y1147="","",IF($Y1147&lt;0,"FUTURO",IF($Y1147&gt;p_dias_backlog_max,"BACKLOG","MES CORRIENTE")))</f>
        <v/>
      </c>
      <c r="AA1147" s="3">
        <f>IF($Y1147="",FALSE,AND($Y1147&gt;p_dias_backlog_min,$Y1147&lt;=p_dias_backlog_max))</f>
        <v/>
      </c>
      <c r="AB1147" s="6" t="n"/>
      <c r="AC1147" s="3">
        <f>IF($AB1147="","",IFERROR(INDEX('ASIGNACIONES'!$F$4:$F$339,MATCH($O1147&amp;"|"&amp;$R1147&amp;"|"&amp;$AB1147,'ASIGNACIONES'!$I$4:$I$339,0)),""))</f>
        <v/>
      </c>
      <c r="AD1147" s="13">
        <f>IF($AB1147="","",SUMIFS('ORDENES'!$M$4:$M$1203,'ORDENES'!$AB$4:$AB$1203,$AB1147,'ORDENES'!$O$4:$O$1203,$O1147,'ORDENES'!$R$4:$R$1203,$R1147))</f>
        <v/>
      </c>
      <c r="AE1147" s="13">
        <f>IF($AD1147="","",p_factor_productividad*IFERROR(INDEX('ASIGNACIONES'!$H$4:$H$339,MATCH($O1147&amp;"|"&amp;$R1147&amp;"|"&amp;$AB1147,'ASIGNACIONES'!$I$4:$I$339,0)),0)-$AD1147)</f>
        <v/>
      </c>
      <c r="AF1147" s="10">
        <f>IF($A1147="","",IFERROR(INDEX('2_IMPORTAR_EJECUCION'!$F$9:$F$1208,MATCH($AN1147,'2_IMPORTAR_EJECUCION'!$J$9:$J$1208,0)),0))</f>
        <v/>
      </c>
      <c r="AG1147" s="10">
        <f>IF($A1147="","",MAX(0,IFERROR(INDEX('2_IMPORTAR_EJECUCION'!$H$9:$H$1208,MATCH($AN1147,'2_IMPORTAR_EJECUCION'!$J$9:$J$1208,0)),0)-$AF1147))</f>
        <v/>
      </c>
      <c r="AH1147" s="10">
        <f>IF($A1147="","",$AF1147+$AG1147)</f>
        <v/>
      </c>
      <c r="AI1147" s="6" t="n"/>
      <c r="AJ1147" s="6" t="n"/>
      <c r="AK1147" s="6" t="n"/>
      <c r="AL1147" s="3">
        <f>IF($AK1147="","",HYPERLINK(p_ruta_base_checklists&amp;$AK1147,"abrir"))</f>
        <v/>
      </c>
      <c r="AM1147" s="6" t="n"/>
      <c r="AN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1" t="n"/>
      <c r="K1148" s="3" t="n"/>
      <c r="L1148" s="10" t="n"/>
      <c r="M1148" s="3">
        <f>IF($A1148="","",IFERROR(INDEX('AJUSTES'!$B$4:$B$303,MATCH($AN1148,'AJUSTES'!$A$4:$A$303,0)),IF($K1148="","",$K1148)))</f>
        <v/>
      </c>
      <c r="N1148" s="3">
        <f>IF($A1148="","",IFERROR(INDEX('CAT_ESTADOS_ERP'!$B$4:$B$7,MATCH(IFERROR(INDEX('2_IMPORTAR_EJECUCION'!$C$9:$C$1208,MATCH($AN1148,'2_IMPORTAR_EJECUCION'!$J$9:$J$1208,0)),""),'CAT_ESTADOS_ERP'!$A$4:$A$7,0)),"Pendiente"))</f>
        <v/>
      </c>
      <c r="O1148" s="3">
        <f>IF($J1148="","",YEAR($J1148+4-WEEKDAY($J1148,2))&amp;"-S"&amp;TEXT(_xlfn.ISOWEEKNUM($J1148),"00"))</f>
        <v/>
      </c>
      <c r="P1148" s="3">
        <f>IF($J1148="","",YEAR($J1148))</f>
        <v/>
      </c>
      <c r="Q1148" s="3">
        <f>IF($J1148="","",MONTH($J1148))</f>
        <v/>
      </c>
      <c r="R1148" s="3">
        <f>IF($J1148="","",INDEX(lista_dias,WEEKDAY($J1148,2)))</f>
        <v/>
      </c>
      <c r="S1148" s="3">
        <f>IF($I1148="","",IFERROR(INDEX('CAT_TIPOS_OT'!$C$4:$C$7,MATCH($I1148,'CAT_TIPOS_OT'!$A$4:$A$7,0)),"sin_clasificar"))</f>
        <v/>
      </c>
      <c r="T1148" s="3">
        <f>IF($F1148="","",IFERROR(INDEX('CAT_CENTROS_COSTO'!$E$4:$E$9,MATCH($F1148,'CAT_CENTROS_COSTO'!$A$4:$A$9,0)),"(sin catálogo)"))</f>
        <v/>
      </c>
      <c r="U1148" s="3">
        <f>IF($F1148="","",IFERROR(INDEX('CAT_CENTROS_COSTO'!$D$4:$D$9,MATCH($F1148,'CAT_CENTROS_COSTO'!$A$4:$A$9,0)),"(sin catálogo)"))</f>
        <v/>
      </c>
      <c r="V1148" s="3">
        <f>IF($F1148="","",IFERROR(INDEX('CAT_CENTROS_COSTO'!$F$4:$F$9,MATCH($F1148,'CAT_CENTROS_COSTO'!$A$4:$A$9,0)),"(sin catálogo)"))</f>
        <v/>
      </c>
      <c r="W1148" s="3">
        <f>IF($G1148="","",IFERROR(INDEX('CAT_PUESTOS'!$B$4:$B$8,MATCH($G1148,'CAT_PUESTOS'!$A$4:$A$8,0)),"(sin catálogo)"))</f>
        <v/>
      </c>
      <c r="X1148" s="3">
        <f>IF($H1148="","",IFERROR(INDEX('CAT_ACTIVIDADES'!$B$4:$B$8,MATCH($H1148,'CAT_ACTIVIDADES'!$A$4:$A$8,0)),"(sin catálogo)"))</f>
        <v/>
      </c>
      <c r="Y1148" s="12">
        <f>IF($J1148="","",TODAY()-$J1148)</f>
        <v/>
      </c>
      <c r="Z1148" s="3">
        <f>IF($Y1148="","",IF($Y1148&lt;0,"FUTURO",IF($Y1148&gt;p_dias_backlog_max,"BACKLOG","MES CORRIENTE")))</f>
        <v/>
      </c>
      <c r="AA1148" s="3">
        <f>IF($Y1148="",FALSE,AND($Y1148&gt;p_dias_backlog_min,$Y1148&lt;=p_dias_backlog_max))</f>
        <v/>
      </c>
      <c r="AB1148" s="6" t="n"/>
      <c r="AC1148" s="3">
        <f>IF($AB1148="","",IFERROR(INDEX('ASIGNACIONES'!$F$4:$F$339,MATCH($O1148&amp;"|"&amp;$R1148&amp;"|"&amp;$AB1148,'ASIGNACIONES'!$I$4:$I$339,0)),""))</f>
        <v/>
      </c>
      <c r="AD1148" s="13">
        <f>IF($AB1148="","",SUMIFS('ORDENES'!$M$4:$M$1203,'ORDENES'!$AB$4:$AB$1203,$AB1148,'ORDENES'!$O$4:$O$1203,$O1148,'ORDENES'!$R$4:$R$1203,$R1148))</f>
        <v/>
      </c>
      <c r="AE1148" s="13">
        <f>IF($AD1148="","",p_factor_productividad*IFERROR(INDEX('ASIGNACIONES'!$H$4:$H$339,MATCH($O1148&amp;"|"&amp;$R1148&amp;"|"&amp;$AB1148,'ASIGNACIONES'!$I$4:$I$339,0)),0)-$AD1148)</f>
        <v/>
      </c>
      <c r="AF1148" s="10">
        <f>IF($A1148="","",IFERROR(INDEX('2_IMPORTAR_EJECUCION'!$F$9:$F$1208,MATCH($AN1148,'2_IMPORTAR_EJECUCION'!$J$9:$J$1208,0)),0))</f>
        <v/>
      </c>
      <c r="AG1148" s="10">
        <f>IF($A1148="","",MAX(0,IFERROR(INDEX('2_IMPORTAR_EJECUCION'!$H$9:$H$1208,MATCH($AN1148,'2_IMPORTAR_EJECUCION'!$J$9:$J$1208,0)),0)-$AF1148))</f>
        <v/>
      </c>
      <c r="AH1148" s="10">
        <f>IF($A1148="","",$AF1148+$AG1148)</f>
        <v/>
      </c>
      <c r="AI1148" s="6" t="n"/>
      <c r="AJ1148" s="6" t="n"/>
      <c r="AK1148" s="6" t="n"/>
      <c r="AL1148" s="3">
        <f>IF($AK1148="","",HYPERLINK(p_ruta_base_checklists&amp;$AK1148,"abrir"))</f>
        <v/>
      </c>
      <c r="AM1148" s="6" t="n"/>
      <c r="AN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1" t="n"/>
      <c r="K1149" s="3" t="n"/>
      <c r="L1149" s="10" t="n"/>
      <c r="M1149" s="3">
        <f>IF($A1149="","",IFERROR(INDEX('AJUSTES'!$B$4:$B$303,MATCH($AN1149,'AJUSTES'!$A$4:$A$303,0)),IF($K1149="","",$K1149)))</f>
        <v/>
      </c>
      <c r="N1149" s="3">
        <f>IF($A1149="","",IFERROR(INDEX('CAT_ESTADOS_ERP'!$B$4:$B$7,MATCH(IFERROR(INDEX('2_IMPORTAR_EJECUCION'!$C$9:$C$1208,MATCH($AN1149,'2_IMPORTAR_EJECUCION'!$J$9:$J$1208,0)),""),'CAT_ESTADOS_ERP'!$A$4:$A$7,0)),"Pendiente"))</f>
        <v/>
      </c>
      <c r="O1149" s="3">
        <f>IF($J1149="","",YEAR($J1149+4-WEEKDAY($J1149,2))&amp;"-S"&amp;TEXT(_xlfn.ISOWEEKNUM($J1149),"00"))</f>
        <v/>
      </c>
      <c r="P1149" s="3">
        <f>IF($J1149="","",YEAR($J1149))</f>
        <v/>
      </c>
      <c r="Q1149" s="3">
        <f>IF($J1149="","",MONTH($J1149))</f>
        <v/>
      </c>
      <c r="R1149" s="3">
        <f>IF($J1149="","",INDEX(lista_dias,WEEKDAY($J1149,2)))</f>
        <v/>
      </c>
      <c r="S1149" s="3">
        <f>IF($I1149="","",IFERROR(INDEX('CAT_TIPOS_OT'!$C$4:$C$7,MATCH($I1149,'CAT_TIPOS_OT'!$A$4:$A$7,0)),"sin_clasificar"))</f>
        <v/>
      </c>
      <c r="T1149" s="3">
        <f>IF($F1149="","",IFERROR(INDEX('CAT_CENTROS_COSTO'!$E$4:$E$9,MATCH($F1149,'CAT_CENTROS_COSTO'!$A$4:$A$9,0)),"(sin catálogo)"))</f>
        <v/>
      </c>
      <c r="U1149" s="3">
        <f>IF($F1149="","",IFERROR(INDEX('CAT_CENTROS_COSTO'!$D$4:$D$9,MATCH($F1149,'CAT_CENTROS_COSTO'!$A$4:$A$9,0)),"(sin catálogo)"))</f>
        <v/>
      </c>
      <c r="V1149" s="3">
        <f>IF($F1149="","",IFERROR(INDEX('CAT_CENTROS_COSTO'!$F$4:$F$9,MATCH($F1149,'CAT_CENTROS_COSTO'!$A$4:$A$9,0)),"(sin catálogo)"))</f>
        <v/>
      </c>
      <c r="W1149" s="3">
        <f>IF($G1149="","",IFERROR(INDEX('CAT_PUESTOS'!$B$4:$B$8,MATCH($G1149,'CAT_PUESTOS'!$A$4:$A$8,0)),"(sin catálogo)"))</f>
        <v/>
      </c>
      <c r="X1149" s="3">
        <f>IF($H1149="","",IFERROR(INDEX('CAT_ACTIVIDADES'!$B$4:$B$8,MATCH($H1149,'CAT_ACTIVIDADES'!$A$4:$A$8,0)),"(sin catálogo)"))</f>
        <v/>
      </c>
      <c r="Y1149" s="12">
        <f>IF($J1149="","",TODAY()-$J1149)</f>
        <v/>
      </c>
      <c r="Z1149" s="3">
        <f>IF($Y1149="","",IF($Y1149&lt;0,"FUTURO",IF($Y1149&gt;p_dias_backlog_max,"BACKLOG","MES CORRIENTE")))</f>
        <v/>
      </c>
      <c r="AA1149" s="3">
        <f>IF($Y1149="",FALSE,AND($Y1149&gt;p_dias_backlog_min,$Y1149&lt;=p_dias_backlog_max))</f>
        <v/>
      </c>
      <c r="AB1149" s="6" t="n"/>
      <c r="AC1149" s="3">
        <f>IF($AB1149="","",IFERROR(INDEX('ASIGNACIONES'!$F$4:$F$339,MATCH($O1149&amp;"|"&amp;$R1149&amp;"|"&amp;$AB1149,'ASIGNACIONES'!$I$4:$I$339,0)),""))</f>
        <v/>
      </c>
      <c r="AD1149" s="13">
        <f>IF($AB1149="","",SUMIFS('ORDENES'!$M$4:$M$1203,'ORDENES'!$AB$4:$AB$1203,$AB1149,'ORDENES'!$O$4:$O$1203,$O1149,'ORDENES'!$R$4:$R$1203,$R1149))</f>
        <v/>
      </c>
      <c r="AE1149" s="13">
        <f>IF($AD1149="","",p_factor_productividad*IFERROR(INDEX('ASIGNACIONES'!$H$4:$H$339,MATCH($O1149&amp;"|"&amp;$R1149&amp;"|"&amp;$AB1149,'ASIGNACIONES'!$I$4:$I$339,0)),0)-$AD1149)</f>
        <v/>
      </c>
      <c r="AF1149" s="10">
        <f>IF($A1149="","",IFERROR(INDEX('2_IMPORTAR_EJECUCION'!$F$9:$F$1208,MATCH($AN1149,'2_IMPORTAR_EJECUCION'!$J$9:$J$1208,0)),0))</f>
        <v/>
      </c>
      <c r="AG1149" s="10">
        <f>IF($A1149="","",MAX(0,IFERROR(INDEX('2_IMPORTAR_EJECUCION'!$H$9:$H$1208,MATCH($AN1149,'2_IMPORTAR_EJECUCION'!$J$9:$J$1208,0)),0)-$AF1149))</f>
        <v/>
      </c>
      <c r="AH1149" s="10">
        <f>IF($A1149="","",$AF1149+$AG1149)</f>
        <v/>
      </c>
      <c r="AI1149" s="6" t="n"/>
      <c r="AJ1149" s="6" t="n"/>
      <c r="AK1149" s="6" t="n"/>
      <c r="AL1149" s="3">
        <f>IF($AK1149="","",HYPERLINK(p_ruta_base_checklists&amp;$AK1149,"abrir"))</f>
        <v/>
      </c>
      <c r="AM1149" s="6" t="n"/>
      <c r="AN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1" t="n"/>
      <c r="K1150" s="3" t="n"/>
      <c r="L1150" s="10" t="n"/>
      <c r="M1150" s="3">
        <f>IF($A1150="","",IFERROR(INDEX('AJUSTES'!$B$4:$B$303,MATCH($AN1150,'AJUSTES'!$A$4:$A$303,0)),IF($K1150="","",$K1150)))</f>
        <v/>
      </c>
      <c r="N1150" s="3">
        <f>IF($A1150="","",IFERROR(INDEX('CAT_ESTADOS_ERP'!$B$4:$B$7,MATCH(IFERROR(INDEX('2_IMPORTAR_EJECUCION'!$C$9:$C$1208,MATCH($AN1150,'2_IMPORTAR_EJECUCION'!$J$9:$J$1208,0)),""),'CAT_ESTADOS_ERP'!$A$4:$A$7,0)),"Pendiente"))</f>
        <v/>
      </c>
      <c r="O1150" s="3">
        <f>IF($J1150="","",YEAR($J1150+4-WEEKDAY($J1150,2))&amp;"-S"&amp;TEXT(_xlfn.ISOWEEKNUM($J1150),"00"))</f>
        <v/>
      </c>
      <c r="P1150" s="3">
        <f>IF($J1150="","",YEAR($J1150))</f>
        <v/>
      </c>
      <c r="Q1150" s="3">
        <f>IF($J1150="","",MONTH($J1150))</f>
        <v/>
      </c>
      <c r="R1150" s="3">
        <f>IF($J1150="","",INDEX(lista_dias,WEEKDAY($J1150,2)))</f>
        <v/>
      </c>
      <c r="S1150" s="3">
        <f>IF($I1150="","",IFERROR(INDEX('CAT_TIPOS_OT'!$C$4:$C$7,MATCH($I1150,'CAT_TIPOS_OT'!$A$4:$A$7,0)),"sin_clasificar"))</f>
        <v/>
      </c>
      <c r="T1150" s="3">
        <f>IF($F1150="","",IFERROR(INDEX('CAT_CENTROS_COSTO'!$E$4:$E$9,MATCH($F1150,'CAT_CENTROS_COSTO'!$A$4:$A$9,0)),"(sin catálogo)"))</f>
        <v/>
      </c>
      <c r="U1150" s="3">
        <f>IF($F1150="","",IFERROR(INDEX('CAT_CENTROS_COSTO'!$D$4:$D$9,MATCH($F1150,'CAT_CENTROS_COSTO'!$A$4:$A$9,0)),"(sin catálogo)"))</f>
        <v/>
      </c>
      <c r="V1150" s="3">
        <f>IF($F1150="","",IFERROR(INDEX('CAT_CENTROS_COSTO'!$F$4:$F$9,MATCH($F1150,'CAT_CENTROS_COSTO'!$A$4:$A$9,0)),"(sin catálogo)"))</f>
        <v/>
      </c>
      <c r="W1150" s="3">
        <f>IF($G1150="","",IFERROR(INDEX('CAT_PUESTOS'!$B$4:$B$8,MATCH($G1150,'CAT_PUESTOS'!$A$4:$A$8,0)),"(sin catálogo)"))</f>
        <v/>
      </c>
      <c r="X1150" s="3">
        <f>IF($H1150="","",IFERROR(INDEX('CAT_ACTIVIDADES'!$B$4:$B$8,MATCH($H1150,'CAT_ACTIVIDADES'!$A$4:$A$8,0)),"(sin catálogo)"))</f>
        <v/>
      </c>
      <c r="Y1150" s="12">
        <f>IF($J1150="","",TODAY()-$J1150)</f>
        <v/>
      </c>
      <c r="Z1150" s="3">
        <f>IF($Y1150="","",IF($Y1150&lt;0,"FUTURO",IF($Y1150&gt;p_dias_backlog_max,"BACKLOG","MES CORRIENTE")))</f>
        <v/>
      </c>
      <c r="AA1150" s="3">
        <f>IF($Y1150="",FALSE,AND($Y1150&gt;p_dias_backlog_min,$Y1150&lt;=p_dias_backlog_max))</f>
        <v/>
      </c>
      <c r="AB1150" s="6" t="n"/>
      <c r="AC1150" s="3">
        <f>IF($AB1150="","",IFERROR(INDEX('ASIGNACIONES'!$F$4:$F$339,MATCH($O1150&amp;"|"&amp;$R1150&amp;"|"&amp;$AB1150,'ASIGNACIONES'!$I$4:$I$339,0)),""))</f>
        <v/>
      </c>
      <c r="AD1150" s="13">
        <f>IF($AB1150="","",SUMIFS('ORDENES'!$M$4:$M$1203,'ORDENES'!$AB$4:$AB$1203,$AB1150,'ORDENES'!$O$4:$O$1203,$O1150,'ORDENES'!$R$4:$R$1203,$R1150))</f>
        <v/>
      </c>
      <c r="AE1150" s="13">
        <f>IF($AD1150="","",p_factor_productividad*IFERROR(INDEX('ASIGNACIONES'!$H$4:$H$339,MATCH($O1150&amp;"|"&amp;$R1150&amp;"|"&amp;$AB1150,'ASIGNACIONES'!$I$4:$I$339,0)),0)-$AD1150)</f>
        <v/>
      </c>
      <c r="AF1150" s="10">
        <f>IF($A1150="","",IFERROR(INDEX('2_IMPORTAR_EJECUCION'!$F$9:$F$1208,MATCH($AN1150,'2_IMPORTAR_EJECUCION'!$J$9:$J$1208,0)),0))</f>
        <v/>
      </c>
      <c r="AG1150" s="10">
        <f>IF($A1150="","",MAX(0,IFERROR(INDEX('2_IMPORTAR_EJECUCION'!$H$9:$H$1208,MATCH($AN1150,'2_IMPORTAR_EJECUCION'!$J$9:$J$1208,0)),0)-$AF1150))</f>
        <v/>
      </c>
      <c r="AH1150" s="10">
        <f>IF($A1150="","",$AF1150+$AG1150)</f>
        <v/>
      </c>
      <c r="AI1150" s="6" t="n"/>
      <c r="AJ1150" s="6" t="n"/>
      <c r="AK1150" s="6" t="n"/>
      <c r="AL1150" s="3">
        <f>IF($AK1150="","",HYPERLINK(p_ruta_base_checklists&amp;$AK1150,"abrir"))</f>
        <v/>
      </c>
      <c r="AM1150" s="6" t="n"/>
      <c r="AN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1" t="n"/>
      <c r="K1151" s="3" t="n"/>
      <c r="L1151" s="10" t="n"/>
      <c r="M1151" s="3">
        <f>IF($A1151="","",IFERROR(INDEX('AJUSTES'!$B$4:$B$303,MATCH($AN1151,'AJUSTES'!$A$4:$A$303,0)),IF($K1151="","",$K1151)))</f>
        <v/>
      </c>
      <c r="N1151" s="3">
        <f>IF($A1151="","",IFERROR(INDEX('CAT_ESTADOS_ERP'!$B$4:$B$7,MATCH(IFERROR(INDEX('2_IMPORTAR_EJECUCION'!$C$9:$C$1208,MATCH($AN1151,'2_IMPORTAR_EJECUCION'!$J$9:$J$1208,0)),""),'CAT_ESTADOS_ERP'!$A$4:$A$7,0)),"Pendiente"))</f>
        <v/>
      </c>
      <c r="O1151" s="3">
        <f>IF($J1151="","",YEAR($J1151+4-WEEKDAY($J1151,2))&amp;"-S"&amp;TEXT(_xlfn.ISOWEEKNUM($J1151),"00"))</f>
        <v/>
      </c>
      <c r="P1151" s="3">
        <f>IF($J1151="","",YEAR($J1151))</f>
        <v/>
      </c>
      <c r="Q1151" s="3">
        <f>IF($J1151="","",MONTH($J1151))</f>
        <v/>
      </c>
      <c r="R1151" s="3">
        <f>IF($J1151="","",INDEX(lista_dias,WEEKDAY($J1151,2)))</f>
        <v/>
      </c>
      <c r="S1151" s="3">
        <f>IF($I1151="","",IFERROR(INDEX('CAT_TIPOS_OT'!$C$4:$C$7,MATCH($I1151,'CAT_TIPOS_OT'!$A$4:$A$7,0)),"sin_clasificar"))</f>
        <v/>
      </c>
      <c r="T1151" s="3">
        <f>IF($F1151="","",IFERROR(INDEX('CAT_CENTROS_COSTO'!$E$4:$E$9,MATCH($F1151,'CAT_CENTROS_COSTO'!$A$4:$A$9,0)),"(sin catálogo)"))</f>
        <v/>
      </c>
      <c r="U1151" s="3">
        <f>IF($F1151="","",IFERROR(INDEX('CAT_CENTROS_COSTO'!$D$4:$D$9,MATCH($F1151,'CAT_CENTROS_COSTO'!$A$4:$A$9,0)),"(sin catálogo)"))</f>
        <v/>
      </c>
      <c r="V1151" s="3">
        <f>IF($F1151="","",IFERROR(INDEX('CAT_CENTROS_COSTO'!$F$4:$F$9,MATCH($F1151,'CAT_CENTROS_COSTO'!$A$4:$A$9,0)),"(sin catálogo)"))</f>
        <v/>
      </c>
      <c r="W1151" s="3">
        <f>IF($G1151="","",IFERROR(INDEX('CAT_PUESTOS'!$B$4:$B$8,MATCH($G1151,'CAT_PUESTOS'!$A$4:$A$8,0)),"(sin catálogo)"))</f>
        <v/>
      </c>
      <c r="X1151" s="3">
        <f>IF($H1151="","",IFERROR(INDEX('CAT_ACTIVIDADES'!$B$4:$B$8,MATCH($H1151,'CAT_ACTIVIDADES'!$A$4:$A$8,0)),"(sin catálogo)"))</f>
        <v/>
      </c>
      <c r="Y1151" s="12">
        <f>IF($J1151="","",TODAY()-$J1151)</f>
        <v/>
      </c>
      <c r="Z1151" s="3">
        <f>IF($Y1151="","",IF($Y1151&lt;0,"FUTURO",IF($Y1151&gt;p_dias_backlog_max,"BACKLOG","MES CORRIENTE")))</f>
        <v/>
      </c>
      <c r="AA1151" s="3">
        <f>IF($Y1151="",FALSE,AND($Y1151&gt;p_dias_backlog_min,$Y1151&lt;=p_dias_backlog_max))</f>
        <v/>
      </c>
      <c r="AB1151" s="6" t="n"/>
      <c r="AC1151" s="3">
        <f>IF($AB1151="","",IFERROR(INDEX('ASIGNACIONES'!$F$4:$F$339,MATCH($O1151&amp;"|"&amp;$R1151&amp;"|"&amp;$AB1151,'ASIGNACIONES'!$I$4:$I$339,0)),""))</f>
        <v/>
      </c>
      <c r="AD1151" s="13">
        <f>IF($AB1151="","",SUMIFS('ORDENES'!$M$4:$M$1203,'ORDENES'!$AB$4:$AB$1203,$AB1151,'ORDENES'!$O$4:$O$1203,$O1151,'ORDENES'!$R$4:$R$1203,$R1151))</f>
        <v/>
      </c>
      <c r="AE1151" s="13">
        <f>IF($AD1151="","",p_factor_productividad*IFERROR(INDEX('ASIGNACIONES'!$H$4:$H$339,MATCH($O1151&amp;"|"&amp;$R1151&amp;"|"&amp;$AB1151,'ASIGNACIONES'!$I$4:$I$339,0)),0)-$AD1151)</f>
        <v/>
      </c>
      <c r="AF1151" s="10">
        <f>IF($A1151="","",IFERROR(INDEX('2_IMPORTAR_EJECUCION'!$F$9:$F$1208,MATCH($AN1151,'2_IMPORTAR_EJECUCION'!$J$9:$J$1208,0)),0))</f>
        <v/>
      </c>
      <c r="AG1151" s="10">
        <f>IF($A1151="","",MAX(0,IFERROR(INDEX('2_IMPORTAR_EJECUCION'!$H$9:$H$1208,MATCH($AN1151,'2_IMPORTAR_EJECUCION'!$J$9:$J$1208,0)),0)-$AF1151))</f>
        <v/>
      </c>
      <c r="AH1151" s="10">
        <f>IF($A1151="","",$AF1151+$AG1151)</f>
        <v/>
      </c>
      <c r="AI1151" s="6" t="n"/>
      <c r="AJ1151" s="6" t="n"/>
      <c r="AK1151" s="6" t="n"/>
      <c r="AL1151" s="3">
        <f>IF($AK1151="","",HYPERLINK(p_ruta_base_checklists&amp;$AK1151,"abrir"))</f>
        <v/>
      </c>
      <c r="AM1151" s="6" t="n"/>
      <c r="AN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1" t="n"/>
      <c r="K1152" s="3" t="n"/>
      <c r="L1152" s="10" t="n"/>
      <c r="M1152" s="3">
        <f>IF($A1152="","",IFERROR(INDEX('AJUSTES'!$B$4:$B$303,MATCH($AN1152,'AJUSTES'!$A$4:$A$303,0)),IF($K1152="","",$K1152)))</f>
        <v/>
      </c>
      <c r="N1152" s="3">
        <f>IF($A1152="","",IFERROR(INDEX('CAT_ESTADOS_ERP'!$B$4:$B$7,MATCH(IFERROR(INDEX('2_IMPORTAR_EJECUCION'!$C$9:$C$1208,MATCH($AN1152,'2_IMPORTAR_EJECUCION'!$J$9:$J$1208,0)),""),'CAT_ESTADOS_ERP'!$A$4:$A$7,0)),"Pendiente"))</f>
        <v/>
      </c>
      <c r="O1152" s="3">
        <f>IF($J1152="","",YEAR($J1152+4-WEEKDAY($J1152,2))&amp;"-S"&amp;TEXT(_xlfn.ISOWEEKNUM($J1152),"00"))</f>
        <v/>
      </c>
      <c r="P1152" s="3">
        <f>IF($J1152="","",YEAR($J1152))</f>
        <v/>
      </c>
      <c r="Q1152" s="3">
        <f>IF($J1152="","",MONTH($J1152))</f>
        <v/>
      </c>
      <c r="R1152" s="3">
        <f>IF($J1152="","",INDEX(lista_dias,WEEKDAY($J1152,2)))</f>
        <v/>
      </c>
      <c r="S1152" s="3">
        <f>IF($I1152="","",IFERROR(INDEX('CAT_TIPOS_OT'!$C$4:$C$7,MATCH($I1152,'CAT_TIPOS_OT'!$A$4:$A$7,0)),"sin_clasificar"))</f>
        <v/>
      </c>
      <c r="T1152" s="3">
        <f>IF($F1152="","",IFERROR(INDEX('CAT_CENTROS_COSTO'!$E$4:$E$9,MATCH($F1152,'CAT_CENTROS_COSTO'!$A$4:$A$9,0)),"(sin catálogo)"))</f>
        <v/>
      </c>
      <c r="U1152" s="3">
        <f>IF($F1152="","",IFERROR(INDEX('CAT_CENTROS_COSTO'!$D$4:$D$9,MATCH($F1152,'CAT_CENTROS_COSTO'!$A$4:$A$9,0)),"(sin catálogo)"))</f>
        <v/>
      </c>
      <c r="V1152" s="3">
        <f>IF($F1152="","",IFERROR(INDEX('CAT_CENTROS_COSTO'!$F$4:$F$9,MATCH($F1152,'CAT_CENTROS_COSTO'!$A$4:$A$9,0)),"(sin catálogo)"))</f>
        <v/>
      </c>
      <c r="W1152" s="3">
        <f>IF($G1152="","",IFERROR(INDEX('CAT_PUESTOS'!$B$4:$B$8,MATCH($G1152,'CAT_PUESTOS'!$A$4:$A$8,0)),"(sin catálogo)"))</f>
        <v/>
      </c>
      <c r="X1152" s="3">
        <f>IF($H1152="","",IFERROR(INDEX('CAT_ACTIVIDADES'!$B$4:$B$8,MATCH($H1152,'CAT_ACTIVIDADES'!$A$4:$A$8,0)),"(sin catálogo)"))</f>
        <v/>
      </c>
      <c r="Y1152" s="12">
        <f>IF($J1152="","",TODAY()-$J1152)</f>
        <v/>
      </c>
      <c r="Z1152" s="3">
        <f>IF($Y1152="","",IF($Y1152&lt;0,"FUTURO",IF($Y1152&gt;p_dias_backlog_max,"BACKLOG","MES CORRIENTE")))</f>
        <v/>
      </c>
      <c r="AA1152" s="3">
        <f>IF($Y1152="",FALSE,AND($Y1152&gt;p_dias_backlog_min,$Y1152&lt;=p_dias_backlog_max))</f>
        <v/>
      </c>
      <c r="AB1152" s="6" t="n"/>
      <c r="AC1152" s="3">
        <f>IF($AB1152="","",IFERROR(INDEX('ASIGNACIONES'!$F$4:$F$339,MATCH($O1152&amp;"|"&amp;$R1152&amp;"|"&amp;$AB1152,'ASIGNACIONES'!$I$4:$I$339,0)),""))</f>
        <v/>
      </c>
      <c r="AD1152" s="13">
        <f>IF($AB1152="","",SUMIFS('ORDENES'!$M$4:$M$1203,'ORDENES'!$AB$4:$AB$1203,$AB1152,'ORDENES'!$O$4:$O$1203,$O1152,'ORDENES'!$R$4:$R$1203,$R1152))</f>
        <v/>
      </c>
      <c r="AE1152" s="13">
        <f>IF($AD1152="","",p_factor_productividad*IFERROR(INDEX('ASIGNACIONES'!$H$4:$H$339,MATCH($O1152&amp;"|"&amp;$R1152&amp;"|"&amp;$AB1152,'ASIGNACIONES'!$I$4:$I$339,0)),0)-$AD1152)</f>
        <v/>
      </c>
      <c r="AF1152" s="10">
        <f>IF($A1152="","",IFERROR(INDEX('2_IMPORTAR_EJECUCION'!$F$9:$F$1208,MATCH($AN1152,'2_IMPORTAR_EJECUCION'!$J$9:$J$1208,0)),0))</f>
        <v/>
      </c>
      <c r="AG1152" s="10">
        <f>IF($A1152="","",MAX(0,IFERROR(INDEX('2_IMPORTAR_EJECUCION'!$H$9:$H$1208,MATCH($AN1152,'2_IMPORTAR_EJECUCION'!$J$9:$J$1208,0)),0)-$AF1152))</f>
        <v/>
      </c>
      <c r="AH1152" s="10">
        <f>IF($A1152="","",$AF1152+$AG1152)</f>
        <v/>
      </c>
      <c r="AI1152" s="6" t="n"/>
      <c r="AJ1152" s="6" t="n"/>
      <c r="AK1152" s="6" t="n"/>
      <c r="AL1152" s="3">
        <f>IF($AK1152="","",HYPERLINK(p_ruta_base_checklists&amp;$AK1152,"abrir"))</f>
        <v/>
      </c>
      <c r="AM1152" s="6" t="n"/>
      <c r="AN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1" t="n"/>
      <c r="K1153" s="3" t="n"/>
      <c r="L1153" s="10" t="n"/>
      <c r="M1153" s="3">
        <f>IF($A1153="","",IFERROR(INDEX('AJUSTES'!$B$4:$B$303,MATCH($AN1153,'AJUSTES'!$A$4:$A$303,0)),IF($K1153="","",$K1153)))</f>
        <v/>
      </c>
      <c r="N1153" s="3">
        <f>IF($A1153="","",IFERROR(INDEX('CAT_ESTADOS_ERP'!$B$4:$B$7,MATCH(IFERROR(INDEX('2_IMPORTAR_EJECUCION'!$C$9:$C$1208,MATCH($AN1153,'2_IMPORTAR_EJECUCION'!$J$9:$J$1208,0)),""),'CAT_ESTADOS_ERP'!$A$4:$A$7,0)),"Pendiente"))</f>
        <v/>
      </c>
      <c r="O1153" s="3">
        <f>IF($J1153="","",YEAR($J1153+4-WEEKDAY($J1153,2))&amp;"-S"&amp;TEXT(_xlfn.ISOWEEKNUM($J1153),"00"))</f>
        <v/>
      </c>
      <c r="P1153" s="3">
        <f>IF($J1153="","",YEAR($J1153))</f>
        <v/>
      </c>
      <c r="Q1153" s="3">
        <f>IF($J1153="","",MONTH($J1153))</f>
        <v/>
      </c>
      <c r="R1153" s="3">
        <f>IF($J1153="","",INDEX(lista_dias,WEEKDAY($J1153,2)))</f>
        <v/>
      </c>
      <c r="S1153" s="3">
        <f>IF($I1153="","",IFERROR(INDEX('CAT_TIPOS_OT'!$C$4:$C$7,MATCH($I1153,'CAT_TIPOS_OT'!$A$4:$A$7,0)),"sin_clasificar"))</f>
        <v/>
      </c>
      <c r="T1153" s="3">
        <f>IF($F1153="","",IFERROR(INDEX('CAT_CENTROS_COSTO'!$E$4:$E$9,MATCH($F1153,'CAT_CENTROS_COSTO'!$A$4:$A$9,0)),"(sin catálogo)"))</f>
        <v/>
      </c>
      <c r="U1153" s="3">
        <f>IF($F1153="","",IFERROR(INDEX('CAT_CENTROS_COSTO'!$D$4:$D$9,MATCH($F1153,'CAT_CENTROS_COSTO'!$A$4:$A$9,0)),"(sin catálogo)"))</f>
        <v/>
      </c>
      <c r="V1153" s="3">
        <f>IF($F1153="","",IFERROR(INDEX('CAT_CENTROS_COSTO'!$F$4:$F$9,MATCH($F1153,'CAT_CENTROS_COSTO'!$A$4:$A$9,0)),"(sin catálogo)"))</f>
        <v/>
      </c>
      <c r="W1153" s="3">
        <f>IF($G1153="","",IFERROR(INDEX('CAT_PUESTOS'!$B$4:$B$8,MATCH($G1153,'CAT_PUESTOS'!$A$4:$A$8,0)),"(sin catálogo)"))</f>
        <v/>
      </c>
      <c r="X1153" s="3">
        <f>IF($H1153="","",IFERROR(INDEX('CAT_ACTIVIDADES'!$B$4:$B$8,MATCH($H1153,'CAT_ACTIVIDADES'!$A$4:$A$8,0)),"(sin catálogo)"))</f>
        <v/>
      </c>
      <c r="Y1153" s="12">
        <f>IF($J1153="","",TODAY()-$J1153)</f>
        <v/>
      </c>
      <c r="Z1153" s="3">
        <f>IF($Y1153="","",IF($Y1153&lt;0,"FUTURO",IF($Y1153&gt;p_dias_backlog_max,"BACKLOG","MES CORRIENTE")))</f>
        <v/>
      </c>
      <c r="AA1153" s="3">
        <f>IF($Y1153="",FALSE,AND($Y1153&gt;p_dias_backlog_min,$Y1153&lt;=p_dias_backlog_max))</f>
        <v/>
      </c>
      <c r="AB1153" s="6" t="n"/>
      <c r="AC1153" s="3">
        <f>IF($AB1153="","",IFERROR(INDEX('ASIGNACIONES'!$F$4:$F$339,MATCH($O1153&amp;"|"&amp;$R1153&amp;"|"&amp;$AB1153,'ASIGNACIONES'!$I$4:$I$339,0)),""))</f>
        <v/>
      </c>
      <c r="AD1153" s="13">
        <f>IF($AB1153="","",SUMIFS('ORDENES'!$M$4:$M$1203,'ORDENES'!$AB$4:$AB$1203,$AB1153,'ORDENES'!$O$4:$O$1203,$O1153,'ORDENES'!$R$4:$R$1203,$R1153))</f>
        <v/>
      </c>
      <c r="AE1153" s="13">
        <f>IF($AD1153="","",p_factor_productividad*IFERROR(INDEX('ASIGNACIONES'!$H$4:$H$339,MATCH($O1153&amp;"|"&amp;$R1153&amp;"|"&amp;$AB1153,'ASIGNACIONES'!$I$4:$I$339,0)),0)-$AD1153)</f>
        <v/>
      </c>
      <c r="AF1153" s="10">
        <f>IF($A1153="","",IFERROR(INDEX('2_IMPORTAR_EJECUCION'!$F$9:$F$1208,MATCH($AN1153,'2_IMPORTAR_EJECUCION'!$J$9:$J$1208,0)),0))</f>
        <v/>
      </c>
      <c r="AG1153" s="10">
        <f>IF($A1153="","",MAX(0,IFERROR(INDEX('2_IMPORTAR_EJECUCION'!$H$9:$H$1208,MATCH($AN1153,'2_IMPORTAR_EJECUCION'!$J$9:$J$1208,0)),0)-$AF1153))</f>
        <v/>
      </c>
      <c r="AH1153" s="10">
        <f>IF($A1153="","",$AF1153+$AG1153)</f>
        <v/>
      </c>
      <c r="AI1153" s="6" t="n"/>
      <c r="AJ1153" s="6" t="n"/>
      <c r="AK1153" s="6" t="n"/>
      <c r="AL1153" s="3">
        <f>IF($AK1153="","",HYPERLINK(p_ruta_base_checklists&amp;$AK1153,"abrir"))</f>
        <v/>
      </c>
      <c r="AM1153" s="6" t="n"/>
      <c r="AN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1" t="n"/>
      <c r="K1154" s="3" t="n"/>
      <c r="L1154" s="10" t="n"/>
      <c r="M1154" s="3">
        <f>IF($A1154="","",IFERROR(INDEX('AJUSTES'!$B$4:$B$303,MATCH($AN1154,'AJUSTES'!$A$4:$A$303,0)),IF($K1154="","",$K1154)))</f>
        <v/>
      </c>
      <c r="N1154" s="3">
        <f>IF($A1154="","",IFERROR(INDEX('CAT_ESTADOS_ERP'!$B$4:$B$7,MATCH(IFERROR(INDEX('2_IMPORTAR_EJECUCION'!$C$9:$C$1208,MATCH($AN1154,'2_IMPORTAR_EJECUCION'!$J$9:$J$1208,0)),""),'CAT_ESTADOS_ERP'!$A$4:$A$7,0)),"Pendiente"))</f>
        <v/>
      </c>
      <c r="O1154" s="3">
        <f>IF($J1154="","",YEAR($J1154+4-WEEKDAY($J1154,2))&amp;"-S"&amp;TEXT(_xlfn.ISOWEEKNUM($J1154),"00"))</f>
        <v/>
      </c>
      <c r="P1154" s="3">
        <f>IF($J1154="","",YEAR($J1154))</f>
        <v/>
      </c>
      <c r="Q1154" s="3">
        <f>IF($J1154="","",MONTH($J1154))</f>
        <v/>
      </c>
      <c r="R1154" s="3">
        <f>IF($J1154="","",INDEX(lista_dias,WEEKDAY($J1154,2)))</f>
        <v/>
      </c>
      <c r="S1154" s="3">
        <f>IF($I1154="","",IFERROR(INDEX('CAT_TIPOS_OT'!$C$4:$C$7,MATCH($I1154,'CAT_TIPOS_OT'!$A$4:$A$7,0)),"sin_clasificar"))</f>
        <v/>
      </c>
      <c r="T1154" s="3">
        <f>IF($F1154="","",IFERROR(INDEX('CAT_CENTROS_COSTO'!$E$4:$E$9,MATCH($F1154,'CAT_CENTROS_COSTO'!$A$4:$A$9,0)),"(sin catálogo)"))</f>
        <v/>
      </c>
      <c r="U1154" s="3">
        <f>IF($F1154="","",IFERROR(INDEX('CAT_CENTROS_COSTO'!$D$4:$D$9,MATCH($F1154,'CAT_CENTROS_COSTO'!$A$4:$A$9,0)),"(sin catálogo)"))</f>
        <v/>
      </c>
      <c r="V1154" s="3">
        <f>IF($F1154="","",IFERROR(INDEX('CAT_CENTROS_COSTO'!$F$4:$F$9,MATCH($F1154,'CAT_CENTROS_COSTO'!$A$4:$A$9,0)),"(sin catálogo)"))</f>
        <v/>
      </c>
      <c r="W1154" s="3">
        <f>IF($G1154="","",IFERROR(INDEX('CAT_PUESTOS'!$B$4:$B$8,MATCH($G1154,'CAT_PUESTOS'!$A$4:$A$8,0)),"(sin catálogo)"))</f>
        <v/>
      </c>
      <c r="X1154" s="3">
        <f>IF($H1154="","",IFERROR(INDEX('CAT_ACTIVIDADES'!$B$4:$B$8,MATCH($H1154,'CAT_ACTIVIDADES'!$A$4:$A$8,0)),"(sin catálogo)"))</f>
        <v/>
      </c>
      <c r="Y1154" s="12">
        <f>IF($J1154="","",TODAY()-$J1154)</f>
        <v/>
      </c>
      <c r="Z1154" s="3">
        <f>IF($Y1154="","",IF($Y1154&lt;0,"FUTURO",IF($Y1154&gt;p_dias_backlog_max,"BACKLOG","MES CORRIENTE")))</f>
        <v/>
      </c>
      <c r="AA1154" s="3">
        <f>IF($Y1154="",FALSE,AND($Y1154&gt;p_dias_backlog_min,$Y1154&lt;=p_dias_backlog_max))</f>
        <v/>
      </c>
      <c r="AB1154" s="6" t="n"/>
      <c r="AC1154" s="3">
        <f>IF($AB1154="","",IFERROR(INDEX('ASIGNACIONES'!$F$4:$F$339,MATCH($O1154&amp;"|"&amp;$R1154&amp;"|"&amp;$AB1154,'ASIGNACIONES'!$I$4:$I$339,0)),""))</f>
        <v/>
      </c>
      <c r="AD1154" s="13">
        <f>IF($AB1154="","",SUMIFS('ORDENES'!$M$4:$M$1203,'ORDENES'!$AB$4:$AB$1203,$AB1154,'ORDENES'!$O$4:$O$1203,$O1154,'ORDENES'!$R$4:$R$1203,$R1154))</f>
        <v/>
      </c>
      <c r="AE1154" s="13">
        <f>IF($AD1154="","",p_factor_productividad*IFERROR(INDEX('ASIGNACIONES'!$H$4:$H$339,MATCH($O1154&amp;"|"&amp;$R1154&amp;"|"&amp;$AB1154,'ASIGNACIONES'!$I$4:$I$339,0)),0)-$AD1154)</f>
        <v/>
      </c>
      <c r="AF1154" s="10">
        <f>IF($A1154="","",IFERROR(INDEX('2_IMPORTAR_EJECUCION'!$F$9:$F$1208,MATCH($AN1154,'2_IMPORTAR_EJECUCION'!$J$9:$J$1208,0)),0))</f>
        <v/>
      </c>
      <c r="AG1154" s="10">
        <f>IF($A1154="","",MAX(0,IFERROR(INDEX('2_IMPORTAR_EJECUCION'!$H$9:$H$1208,MATCH($AN1154,'2_IMPORTAR_EJECUCION'!$J$9:$J$1208,0)),0)-$AF1154))</f>
        <v/>
      </c>
      <c r="AH1154" s="10">
        <f>IF($A1154="","",$AF1154+$AG1154)</f>
        <v/>
      </c>
      <c r="AI1154" s="6" t="n"/>
      <c r="AJ1154" s="6" t="n"/>
      <c r="AK1154" s="6" t="n"/>
      <c r="AL1154" s="3">
        <f>IF($AK1154="","",HYPERLINK(p_ruta_base_checklists&amp;$AK1154,"abrir"))</f>
        <v/>
      </c>
      <c r="AM1154" s="6" t="n"/>
      <c r="AN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1" t="n"/>
      <c r="K1155" s="3" t="n"/>
      <c r="L1155" s="10" t="n"/>
      <c r="M1155" s="3">
        <f>IF($A1155="","",IFERROR(INDEX('AJUSTES'!$B$4:$B$303,MATCH($AN1155,'AJUSTES'!$A$4:$A$303,0)),IF($K1155="","",$K1155)))</f>
        <v/>
      </c>
      <c r="N1155" s="3">
        <f>IF($A1155="","",IFERROR(INDEX('CAT_ESTADOS_ERP'!$B$4:$B$7,MATCH(IFERROR(INDEX('2_IMPORTAR_EJECUCION'!$C$9:$C$1208,MATCH($AN1155,'2_IMPORTAR_EJECUCION'!$J$9:$J$1208,0)),""),'CAT_ESTADOS_ERP'!$A$4:$A$7,0)),"Pendiente"))</f>
        <v/>
      </c>
      <c r="O1155" s="3">
        <f>IF($J1155="","",YEAR($J1155+4-WEEKDAY($J1155,2))&amp;"-S"&amp;TEXT(_xlfn.ISOWEEKNUM($J1155),"00"))</f>
        <v/>
      </c>
      <c r="P1155" s="3">
        <f>IF($J1155="","",YEAR($J1155))</f>
        <v/>
      </c>
      <c r="Q1155" s="3">
        <f>IF($J1155="","",MONTH($J1155))</f>
        <v/>
      </c>
      <c r="R1155" s="3">
        <f>IF($J1155="","",INDEX(lista_dias,WEEKDAY($J1155,2)))</f>
        <v/>
      </c>
      <c r="S1155" s="3">
        <f>IF($I1155="","",IFERROR(INDEX('CAT_TIPOS_OT'!$C$4:$C$7,MATCH($I1155,'CAT_TIPOS_OT'!$A$4:$A$7,0)),"sin_clasificar"))</f>
        <v/>
      </c>
      <c r="T1155" s="3">
        <f>IF($F1155="","",IFERROR(INDEX('CAT_CENTROS_COSTO'!$E$4:$E$9,MATCH($F1155,'CAT_CENTROS_COSTO'!$A$4:$A$9,0)),"(sin catálogo)"))</f>
        <v/>
      </c>
      <c r="U1155" s="3">
        <f>IF($F1155="","",IFERROR(INDEX('CAT_CENTROS_COSTO'!$D$4:$D$9,MATCH($F1155,'CAT_CENTROS_COSTO'!$A$4:$A$9,0)),"(sin catálogo)"))</f>
        <v/>
      </c>
      <c r="V1155" s="3">
        <f>IF($F1155="","",IFERROR(INDEX('CAT_CENTROS_COSTO'!$F$4:$F$9,MATCH($F1155,'CAT_CENTROS_COSTO'!$A$4:$A$9,0)),"(sin catálogo)"))</f>
        <v/>
      </c>
      <c r="W1155" s="3">
        <f>IF($G1155="","",IFERROR(INDEX('CAT_PUESTOS'!$B$4:$B$8,MATCH($G1155,'CAT_PUESTOS'!$A$4:$A$8,0)),"(sin catálogo)"))</f>
        <v/>
      </c>
      <c r="X1155" s="3">
        <f>IF($H1155="","",IFERROR(INDEX('CAT_ACTIVIDADES'!$B$4:$B$8,MATCH($H1155,'CAT_ACTIVIDADES'!$A$4:$A$8,0)),"(sin catálogo)"))</f>
        <v/>
      </c>
      <c r="Y1155" s="12">
        <f>IF($J1155="","",TODAY()-$J1155)</f>
        <v/>
      </c>
      <c r="Z1155" s="3">
        <f>IF($Y1155="","",IF($Y1155&lt;0,"FUTURO",IF($Y1155&gt;p_dias_backlog_max,"BACKLOG","MES CORRIENTE")))</f>
        <v/>
      </c>
      <c r="AA1155" s="3">
        <f>IF($Y1155="",FALSE,AND($Y1155&gt;p_dias_backlog_min,$Y1155&lt;=p_dias_backlog_max))</f>
        <v/>
      </c>
      <c r="AB1155" s="6" t="n"/>
      <c r="AC1155" s="3">
        <f>IF($AB1155="","",IFERROR(INDEX('ASIGNACIONES'!$F$4:$F$339,MATCH($O1155&amp;"|"&amp;$R1155&amp;"|"&amp;$AB1155,'ASIGNACIONES'!$I$4:$I$339,0)),""))</f>
        <v/>
      </c>
      <c r="AD1155" s="13">
        <f>IF($AB1155="","",SUMIFS('ORDENES'!$M$4:$M$1203,'ORDENES'!$AB$4:$AB$1203,$AB1155,'ORDENES'!$O$4:$O$1203,$O1155,'ORDENES'!$R$4:$R$1203,$R1155))</f>
        <v/>
      </c>
      <c r="AE1155" s="13">
        <f>IF($AD1155="","",p_factor_productividad*IFERROR(INDEX('ASIGNACIONES'!$H$4:$H$339,MATCH($O1155&amp;"|"&amp;$R1155&amp;"|"&amp;$AB1155,'ASIGNACIONES'!$I$4:$I$339,0)),0)-$AD1155)</f>
        <v/>
      </c>
      <c r="AF1155" s="10">
        <f>IF($A1155="","",IFERROR(INDEX('2_IMPORTAR_EJECUCION'!$F$9:$F$1208,MATCH($AN1155,'2_IMPORTAR_EJECUCION'!$J$9:$J$1208,0)),0))</f>
        <v/>
      </c>
      <c r="AG1155" s="10">
        <f>IF($A1155="","",MAX(0,IFERROR(INDEX('2_IMPORTAR_EJECUCION'!$H$9:$H$1208,MATCH($AN1155,'2_IMPORTAR_EJECUCION'!$J$9:$J$1208,0)),0)-$AF1155))</f>
        <v/>
      </c>
      <c r="AH1155" s="10">
        <f>IF($A1155="","",$AF1155+$AG1155)</f>
        <v/>
      </c>
      <c r="AI1155" s="6" t="n"/>
      <c r="AJ1155" s="6" t="n"/>
      <c r="AK1155" s="6" t="n"/>
      <c r="AL1155" s="3">
        <f>IF($AK1155="","",HYPERLINK(p_ruta_base_checklists&amp;$AK1155,"abrir"))</f>
        <v/>
      </c>
      <c r="AM1155" s="6" t="n"/>
      <c r="AN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1" t="n"/>
      <c r="K1156" s="3" t="n"/>
      <c r="L1156" s="10" t="n"/>
      <c r="M1156" s="3">
        <f>IF($A1156="","",IFERROR(INDEX('AJUSTES'!$B$4:$B$303,MATCH($AN1156,'AJUSTES'!$A$4:$A$303,0)),IF($K1156="","",$K1156)))</f>
        <v/>
      </c>
      <c r="N1156" s="3">
        <f>IF($A1156="","",IFERROR(INDEX('CAT_ESTADOS_ERP'!$B$4:$B$7,MATCH(IFERROR(INDEX('2_IMPORTAR_EJECUCION'!$C$9:$C$1208,MATCH($AN1156,'2_IMPORTAR_EJECUCION'!$J$9:$J$1208,0)),""),'CAT_ESTADOS_ERP'!$A$4:$A$7,0)),"Pendiente"))</f>
        <v/>
      </c>
      <c r="O1156" s="3">
        <f>IF($J1156="","",YEAR($J1156+4-WEEKDAY($J1156,2))&amp;"-S"&amp;TEXT(_xlfn.ISOWEEKNUM($J1156),"00"))</f>
        <v/>
      </c>
      <c r="P1156" s="3">
        <f>IF($J1156="","",YEAR($J1156))</f>
        <v/>
      </c>
      <c r="Q1156" s="3">
        <f>IF($J1156="","",MONTH($J1156))</f>
        <v/>
      </c>
      <c r="R1156" s="3">
        <f>IF($J1156="","",INDEX(lista_dias,WEEKDAY($J1156,2)))</f>
        <v/>
      </c>
      <c r="S1156" s="3">
        <f>IF($I1156="","",IFERROR(INDEX('CAT_TIPOS_OT'!$C$4:$C$7,MATCH($I1156,'CAT_TIPOS_OT'!$A$4:$A$7,0)),"sin_clasificar"))</f>
        <v/>
      </c>
      <c r="T1156" s="3">
        <f>IF($F1156="","",IFERROR(INDEX('CAT_CENTROS_COSTO'!$E$4:$E$9,MATCH($F1156,'CAT_CENTROS_COSTO'!$A$4:$A$9,0)),"(sin catálogo)"))</f>
        <v/>
      </c>
      <c r="U1156" s="3">
        <f>IF($F1156="","",IFERROR(INDEX('CAT_CENTROS_COSTO'!$D$4:$D$9,MATCH($F1156,'CAT_CENTROS_COSTO'!$A$4:$A$9,0)),"(sin catálogo)"))</f>
        <v/>
      </c>
      <c r="V1156" s="3">
        <f>IF($F1156="","",IFERROR(INDEX('CAT_CENTROS_COSTO'!$F$4:$F$9,MATCH($F1156,'CAT_CENTROS_COSTO'!$A$4:$A$9,0)),"(sin catálogo)"))</f>
        <v/>
      </c>
      <c r="W1156" s="3">
        <f>IF($G1156="","",IFERROR(INDEX('CAT_PUESTOS'!$B$4:$B$8,MATCH($G1156,'CAT_PUESTOS'!$A$4:$A$8,0)),"(sin catálogo)"))</f>
        <v/>
      </c>
      <c r="X1156" s="3">
        <f>IF($H1156="","",IFERROR(INDEX('CAT_ACTIVIDADES'!$B$4:$B$8,MATCH($H1156,'CAT_ACTIVIDADES'!$A$4:$A$8,0)),"(sin catálogo)"))</f>
        <v/>
      </c>
      <c r="Y1156" s="12">
        <f>IF($J1156="","",TODAY()-$J1156)</f>
        <v/>
      </c>
      <c r="Z1156" s="3">
        <f>IF($Y1156="","",IF($Y1156&lt;0,"FUTURO",IF($Y1156&gt;p_dias_backlog_max,"BACKLOG","MES CORRIENTE")))</f>
        <v/>
      </c>
      <c r="AA1156" s="3">
        <f>IF($Y1156="",FALSE,AND($Y1156&gt;p_dias_backlog_min,$Y1156&lt;=p_dias_backlog_max))</f>
        <v/>
      </c>
      <c r="AB1156" s="6" t="n"/>
      <c r="AC1156" s="3">
        <f>IF($AB1156="","",IFERROR(INDEX('ASIGNACIONES'!$F$4:$F$339,MATCH($O1156&amp;"|"&amp;$R1156&amp;"|"&amp;$AB1156,'ASIGNACIONES'!$I$4:$I$339,0)),""))</f>
        <v/>
      </c>
      <c r="AD1156" s="13">
        <f>IF($AB1156="","",SUMIFS('ORDENES'!$M$4:$M$1203,'ORDENES'!$AB$4:$AB$1203,$AB1156,'ORDENES'!$O$4:$O$1203,$O1156,'ORDENES'!$R$4:$R$1203,$R1156))</f>
        <v/>
      </c>
      <c r="AE1156" s="13">
        <f>IF($AD1156="","",p_factor_productividad*IFERROR(INDEX('ASIGNACIONES'!$H$4:$H$339,MATCH($O1156&amp;"|"&amp;$R1156&amp;"|"&amp;$AB1156,'ASIGNACIONES'!$I$4:$I$339,0)),0)-$AD1156)</f>
        <v/>
      </c>
      <c r="AF1156" s="10">
        <f>IF($A1156="","",IFERROR(INDEX('2_IMPORTAR_EJECUCION'!$F$9:$F$1208,MATCH($AN1156,'2_IMPORTAR_EJECUCION'!$J$9:$J$1208,0)),0))</f>
        <v/>
      </c>
      <c r="AG1156" s="10">
        <f>IF($A1156="","",MAX(0,IFERROR(INDEX('2_IMPORTAR_EJECUCION'!$H$9:$H$1208,MATCH($AN1156,'2_IMPORTAR_EJECUCION'!$J$9:$J$1208,0)),0)-$AF1156))</f>
        <v/>
      </c>
      <c r="AH1156" s="10">
        <f>IF($A1156="","",$AF1156+$AG1156)</f>
        <v/>
      </c>
      <c r="AI1156" s="6" t="n"/>
      <c r="AJ1156" s="6" t="n"/>
      <c r="AK1156" s="6" t="n"/>
      <c r="AL1156" s="3">
        <f>IF($AK1156="","",HYPERLINK(p_ruta_base_checklists&amp;$AK1156,"abrir"))</f>
        <v/>
      </c>
      <c r="AM1156" s="6" t="n"/>
      <c r="AN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1" t="n"/>
      <c r="K1157" s="3" t="n"/>
      <c r="L1157" s="10" t="n"/>
      <c r="M1157" s="3">
        <f>IF($A1157="","",IFERROR(INDEX('AJUSTES'!$B$4:$B$303,MATCH($AN1157,'AJUSTES'!$A$4:$A$303,0)),IF($K1157="","",$K1157)))</f>
        <v/>
      </c>
      <c r="N1157" s="3">
        <f>IF($A1157="","",IFERROR(INDEX('CAT_ESTADOS_ERP'!$B$4:$B$7,MATCH(IFERROR(INDEX('2_IMPORTAR_EJECUCION'!$C$9:$C$1208,MATCH($AN1157,'2_IMPORTAR_EJECUCION'!$J$9:$J$1208,0)),""),'CAT_ESTADOS_ERP'!$A$4:$A$7,0)),"Pendiente"))</f>
        <v/>
      </c>
      <c r="O1157" s="3">
        <f>IF($J1157="","",YEAR($J1157+4-WEEKDAY($J1157,2))&amp;"-S"&amp;TEXT(_xlfn.ISOWEEKNUM($J1157),"00"))</f>
        <v/>
      </c>
      <c r="P1157" s="3">
        <f>IF($J1157="","",YEAR($J1157))</f>
        <v/>
      </c>
      <c r="Q1157" s="3">
        <f>IF($J1157="","",MONTH($J1157))</f>
        <v/>
      </c>
      <c r="R1157" s="3">
        <f>IF($J1157="","",INDEX(lista_dias,WEEKDAY($J1157,2)))</f>
        <v/>
      </c>
      <c r="S1157" s="3">
        <f>IF($I1157="","",IFERROR(INDEX('CAT_TIPOS_OT'!$C$4:$C$7,MATCH($I1157,'CAT_TIPOS_OT'!$A$4:$A$7,0)),"sin_clasificar"))</f>
        <v/>
      </c>
      <c r="T1157" s="3">
        <f>IF($F1157="","",IFERROR(INDEX('CAT_CENTROS_COSTO'!$E$4:$E$9,MATCH($F1157,'CAT_CENTROS_COSTO'!$A$4:$A$9,0)),"(sin catálogo)"))</f>
        <v/>
      </c>
      <c r="U1157" s="3">
        <f>IF($F1157="","",IFERROR(INDEX('CAT_CENTROS_COSTO'!$D$4:$D$9,MATCH($F1157,'CAT_CENTROS_COSTO'!$A$4:$A$9,0)),"(sin catálogo)"))</f>
        <v/>
      </c>
      <c r="V1157" s="3">
        <f>IF($F1157="","",IFERROR(INDEX('CAT_CENTROS_COSTO'!$F$4:$F$9,MATCH($F1157,'CAT_CENTROS_COSTO'!$A$4:$A$9,0)),"(sin catálogo)"))</f>
        <v/>
      </c>
      <c r="W1157" s="3">
        <f>IF($G1157="","",IFERROR(INDEX('CAT_PUESTOS'!$B$4:$B$8,MATCH($G1157,'CAT_PUESTOS'!$A$4:$A$8,0)),"(sin catálogo)"))</f>
        <v/>
      </c>
      <c r="X1157" s="3">
        <f>IF($H1157="","",IFERROR(INDEX('CAT_ACTIVIDADES'!$B$4:$B$8,MATCH($H1157,'CAT_ACTIVIDADES'!$A$4:$A$8,0)),"(sin catálogo)"))</f>
        <v/>
      </c>
      <c r="Y1157" s="12">
        <f>IF($J1157="","",TODAY()-$J1157)</f>
        <v/>
      </c>
      <c r="Z1157" s="3">
        <f>IF($Y1157="","",IF($Y1157&lt;0,"FUTURO",IF($Y1157&gt;p_dias_backlog_max,"BACKLOG","MES CORRIENTE")))</f>
        <v/>
      </c>
      <c r="AA1157" s="3">
        <f>IF($Y1157="",FALSE,AND($Y1157&gt;p_dias_backlog_min,$Y1157&lt;=p_dias_backlog_max))</f>
        <v/>
      </c>
      <c r="AB1157" s="6" t="n"/>
      <c r="AC1157" s="3">
        <f>IF($AB1157="","",IFERROR(INDEX('ASIGNACIONES'!$F$4:$F$339,MATCH($O1157&amp;"|"&amp;$R1157&amp;"|"&amp;$AB1157,'ASIGNACIONES'!$I$4:$I$339,0)),""))</f>
        <v/>
      </c>
      <c r="AD1157" s="13">
        <f>IF($AB1157="","",SUMIFS('ORDENES'!$M$4:$M$1203,'ORDENES'!$AB$4:$AB$1203,$AB1157,'ORDENES'!$O$4:$O$1203,$O1157,'ORDENES'!$R$4:$R$1203,$R1157))</f>
        <v/>
      </c>
      <c r="AE1157" s="13">
        <f>IF($AD1157="","",p_factor_productividad*IFERROR(INDEX('ASIGNACIONES'!$H$4:$H$339,MATCH($O1157&amp;"|"&amp;$R1157&amp;"|"&amp;$AB1157,'ASIGNACIONES'!$I$4:$I$339,0)),0)-$AD1157)</f>
        <v/>
      </c>
      <c r="AF1157" s="10">
        <f>IF($A1157="","",IFERROR(INDEX('2_IMPORTAR_EJECUCION'!$F$9:$F$1208,MATCH($AN1157,'2_IMPORTAR_EJECUCION'!$J$9:$J$1208,0)),0))</f>
        <v/>
      </c>
      <c r="AG1157" s="10">
        <f>IF($A1157="","",MAX(0,IFERROR(INDEX('2_IMPORTAR_EJECUCION'!$H$9:$H$1208,MATCH($AN1157,'2_IMPORTAR_EJECUCION'!$J$9:$J$1208,0)),0)-$AF1157))</f>
        <v/>
      </c>
      <c r="AH1157" s="10">
        <f>IF($A1157="","",$AF1157+$AG1157)</f>
        <v/>
      </c>
      <c r="AI1157" s="6" t="n"/>
      <c r="AJ1157" s="6" t="n"/>
      <c r="AK1157" s="6" t="n"/>
      <c r="AL1157" s="3">
        <f>IF($AK1157="","",HYPERLINK(p_ruta_base_checklists&amp;$AK1157,"abrir"))</f>
        <v/>
      </c>
      <c r="AM1157" s="6" t="n"/>
      <c r="AN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1" t="n"/>
      <c r="K1158" s="3" t="n"/>
      <c r="L1158" s="10" t="n"/>
      <c r="M1158" s="3">
        <f>IF($A1158="","",IFERROR(INDEX('AJUSTES'!$B$4:$B$303,MATCH($AN1158,'AJUSTES'!$A$4:$A$303,0)),IF($K1158="","",$K1158)))</f>
        <v/>
      </c>
      <c r="N1158" s="3">
        <f>IF($A1158="","",IFERROR(INDEX('CAT_ESTADOS_ERP'!$B$4:$B$7,MATCH(IFERROR(INDEX('2_IMPORTAR_EJECUCION'!$C$9:$C$1208,MATCH($AN1158,'2_IMPORTAR_EJECUCION'!$J$9:$J$1208,0)),""),'CAT_ESTADOS_ERP'!$A$4:$A$7,0)),"Pendiente"))</f>
        <v/>
      </c>
      <c r="O1158" s="3">
        <f>IF($J1158="","",YEAR($J1158+4-WEEKDAY($J1158,2))&amp;"-S"&amp;TEXT(_xlfn.ISOWEEKNUM($J1158),"00"))</f>
        <v/>
      </c>
      <c r="P1158" s="3">
        <f>IF($J1158="","",YEAR($J1158))</f>
        <v/>
      </c>
      <c r="Q1158" s="3">
        <f>IF($J1158="","",MONTH($J1158))</f>
        <v/>
      </c>
      <c r="R1158" s="3">
        <f>IF($J1158="","",INDEX(lista_dias,WEEKDAY($J1158,2)))</f>
        <v/>
      </c>
      <c r="S1158" s="3">
        <f>IF($I1158="","",IFERROR(INDEX('CAT_TIPOS_OT'!$C$4:$C$7,MATCH($I1158,'CAT_TIPOS_OT'!$A$4:$A$7,0)),"sin_clasificar"))</f>
        <v/>
      </c>
      <c r="T1158" s="3">
        <f>IF($F1158="","",IFERROR(INDEX('CAT_CENTROS_COSTO'!$E$4:$E$9,MATCH($F1158,'CAT_CENTROS_COSTO'!$A$4:$A$9,0)),"(sin catálogo)"))</f>
        <v/>
      </c>
      <c r="U1158" s="3">
        <f>IF($F1158="","",IFERROR(INDEX('CAT_CENTROS_COSTO'!$D$4:$D$9,MATCH($F1158,'CAT_CENTROS_COSTO'!$A$4:$A$9,0)),"(sin catálogo)"))</f>
        <v/>
      </c>
      <c r="V1158" s="3">
        <f>IF($F1158="","",IFERROR(INDEX('CAT_CENTROS_COSTO'!$F$4:$F$9,MATCH($F1158,'CAT_CENTROS_COSTO'!$A$4:$A$9,0)),"(sin catálogo)"))</f>
        <v/>
      </c>
      <c r="W1158" s="3">
        <f>IF($G1158="","",IFERROR(INDEX('CAT_PUESTOS'!$B$4:$B$8,MATCH($G1158,'CAT_PUESTOS'!$A$4:$A$8,0)),"(sin catálogo)"))</f>
        <v/>
      </c>
      <c r="X1158" s="3">
        <f>IF($H1158="","",IFERROR(INDEX('CAT_ACTIVIDADES'!$B$4:$B$8,MATCH($H1158,'CAT_ACTIVIDADES'!$A$4:$A$8,0)),"(sin catálogo)"))</f>
        <v/>
      </c>
      <c r="Y1158" s="12">
        <f>IF($J1158="","",TODAY()-$J1158)</f>
        <v/>
      </c>
      <c r="Z1158" s="3">
        <f>IF($Y1158="","",IF($Y1158&lt;0,"FUTURO",IF($Y1158&gt;p_dias_backlog_max,"BACKLOG","MES CORRIENTE")))</f>
        <v/>
      </c>
      <c r="AA1158" s="3">
        <f>IF($Y1158="",FALSE,AND($Y1158&gt;p_dias_backlog_min,$Y1158&lt;=p_dias_backlog_max))</f>
        <v/>
      </c>
      <c r="AB1158" s="6" t="n"/>
      <c r="AC1158" s="3">
        <f>IF($AB1158="","",IFERROR(INDEX('ASIGNACIONES'!$F$4:$F$339,MATCH($O1158&amp;"|"&amp;$R1158&amp;"|"&amp;$AB1158,'ASIGNACIONES'!$I$4:$I$339,0)),""))</f>
        <v/>
      </c>
      <c r="AD1158" s="13">
        <f>IF($AB1158="","",SUMIFS('ORDENES'!$M$4:$M$1203,'ORDENES'!$AB$4:$AB$1203,$AB1158,'ORDENES'!$O$4:$O$1203,$O1158,'ORDENES'!$R$4:$R$1203,$R1158))</f>
        <v/>
      </c>
      <c r="AE1158" s="13">
        <f>IF($AD1158="","",p_factor_productividad*IFERROR(INDEX('ASIGNACIONES'!$H$4:$H$339,MATCH($O1158&amp;"|"&amp;$R1158&amp;"|"&amp;$AB1158,'ASIGNACIONES'!$I$4:$I$339,0)),0)-$AD1158)</f>
        <v/>
      </c>
      <c r="AF1158" s="10">
        <f>IF($A1158="","",IFERROR(INDEX('2_IMPORTAR_EJECUCION'!$F$9:$F$1208,MATCH($AN1158,'2_IMPORTAR_EJECUCION'!$J$9:$J$1208,0)),0))</f>
        <v/>
      </c>
      <c r="AG1158" s="10">
        <f>IF($A1158="","",MAX(0,IFERROR(INDEX('2_IMPORTAR_EJECUCION'!$H$9:$H$1208,MATCH($AN1158,'2_IMPORTAR_EJECUCION'!$J$9:$J$1208,0)),0)-$AF1158))</f>
        <v/>
      </c>
      <c r="AH1158" s="10">
        <f>IF($A1158="","",$AF1158+$AG1158)</f>
        <v/>
      </c>
      <c r="AI1158" s="6" t="n"/>
      <c r="AJ1158" s="6" t="n"/>
      <c r="AK1158" s="6" t="n"/>
      <c r="AL1158" s="3">
        <f>IF($AK1158="","",HYPERLINK(p_ruta_base_checklists&amp;$AK1158,"abrir"))</f>
        <v/>
      </c>
      <c r="AM1158" s="6" t="n"/>
      <c r="AN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1" t="n"/>
      <c r="K1159" s="3" t="n"/>
      <c r="L1159" s="10" t="n"/>
      <c r="M1159" s="3">
        <f>IF($A1159="","",IFERROR(INDEX('AJUSTES'!$B$4:$B$303,MATCH($AN1159,'AJUSTES'!$A$4:$A$303,0)),IF($K1159="","",$K1159)))</f>
        <v/>
      </c>
      <c r="N1159" s="3">
        <f>IF($A1159="","",IFERROR(INDEX('CAT_ESTADOS_ERP'!$B$4:$B$7,MATCH(IFERROR(INDEX('2_IMPORTAR_EJECUCION'!$C$9:$C$1208,MATCH($AN1159,'2_IMPORTAR_EJECUCION'!$J$9:$J$1208,0)),""),'CAT_ESTADOS_ERP'!$A$4:$A$7,0)),"Pendiente"))</f>
        <v/>
      </c>
      <c r="O1159" s="3">
        <f>IF($J1159="","",YEAR($J1159+4-WEEKDAY($J1159,2))&amp;"-S"&amp;TEXT(_xlfn.ISOWEEKNUM($J1159),"00"))</f>
        <v/>
      </c>
      <c r="P1159" s="3">
        <f>IF($J1159="","",YEAR($J1159))</f>
        <v/>
      </c>
      <c r="Q1159" s="3">
        <f>IF($J1159="","",MONTH($J1159))</f>
        <v/>
      </c>
      <c r="R1159" s="3">
        <f>IF($J1159="","",INDEX(lista_dias,WEEKDAY($J1159,2)))</f>
        <v/>
      </c>
      <c r="S1159" s="3">
        <f>IF($I1159="","",IFERROR(INDEX('CAT_TIPOS_OT'!$C$4:$C$7,MATCH($I1159,'CAT_TIPOS_OT'!$A$4:$A$7,0)),"sin_clasificar"))</f>
        <v/>
      </c>
      <c r="T1159" s="3">
        <f>IF($F1159="","",IFERROR(INDEX('CAT_CENTROS_COSTO'!$E$4:$E$9,MATCH($F1159,'CAT_CENTROS_COSTO'!$A$4:$A$9,0)),"(sin catálogo)"))</f>
        <v/>
      </c>
      <c r="U1159" s="3">
        <f>IF($F1159="","",IFERROR(INDEX('CAT_CENTROS_COSTO'!$D$4:$D$9,MATCH($F1159,'CAT_CENTROS_COSTO'!$A$4:$A$9,0)),"(sin catálogo)"))</f>
        <v/>
      </c>
      <c r="V1159" s="3">
        <f>IF($F1159="","",IFERROR(INDEX('CAT_CENTROS_COSTO'!$F$4:$F$9,MATCH($F1159,'CAT_CENTROS_COSTO'!$A$4:$A$9,0)),"(sin catálogo)"))</f>
        <v/>
      </c>
      <c r="W1159" s="3">
        <f>IF($G1159="","",IFERROR(INDEX('CAT_PUESTOS'!$B$4:$B$8,MATCH($G1159,'CAT_PUESTOS'!$A$4:$A$8,0)),"(sin catálogo)"))</f>
        <v/>
      </c>
      <c r="X1159" s="3">
        <f>IF($H1159="","",IFERROR(INDEX('CAT_ACTIVIDADES'!$B$4:$B$8,MATCH($H1159,'CAT_ACTIVIDADES'!$A$4:$A$8,0)),"(sin catálogo)"))</f>
        <v/>
      </c>
      <c r="Y1159" s="12">
        <f>IF($J1159="","",TODAY()-$J1159)</f>
        <v/>
      </c>
      <c r="Z1159" s="3">
        <f>IF($Y1159="","",IF($Y1159&lt;0,"FUTURO",IF($Y1159&gt;p_dias_backlog_max,"BACKLOG","MES CORRIENTE")))</f>
        <v/>
      </c>
      <c r="AA1159" s="3">
        <f>IF($Y1159="",FALSE,AND($Y1159&gt;p_dias_backlog_min,$Y1159&lt;=p_dias_backlog_max))</f>
        <v/>
      </c>
      <c r="AB1159" s="6" t="n"/>
      <c r="AC1159" s="3">
        <f>IF($AB1159="","",IFERROR(INDEX('ASIGNACIONES'!$F$4:$F$339,MATCH($O1159&amp;"|"&amp;$R1159&amp;"|"&amp;$AB1159,'ASIGNACIONES'!$I$4:$I$339,0)),""))</f>
        <v/>
      </c>
      <c r="AD1159" s="13">
        <f>IF($AB1159="","",SUMIFS('ORDENES'!$M$4:$M$1203,'ORDENES'!$AB$4:$AB$1203,$AB1159,'ORDENES'!$O$4:$O$1203,$O1159,'ORDENES'!$R$4:$R$1203,$R1159))</f>
        <v/>
      </c>
      <c r="AE1159" s="13">
        <f>IF($AD1159="","",p_factor_productividad*IFERROR(INDEX('ASIGNACIONES'!$H$4:$H$339,MATCH($O1159&amp;"|"&amp;$R1159&amp;"|"&amp;$AB1159,'ASIGNACIONES'!$I$4:$I$339,0)),0)-$AD1159)</f>
        <v/>
      </c>
      <c r="AF1159" s="10">
        <f>IF($A1159="","",IFERROR(INDEX('2_IMPORTAR_EJECUCION'!$F$9:$F$1208,MATCH($AN1159,'2_IMPORTAR_EJECUCION'!$J$9:$J$1208,0)),0))</f>
        <v/>
      </c>
      <c r="AG1159" s="10">
        <f>IF($A1159="","",MAX(0,IFERROR(INDEX('2_IMPORTAR_EJECUCION'!$H$9:$H$1208,MATCH($AN1159,'2_IMPORTAR_EJECUCION'!$J$9:$J$1208,0)),0)-$AF1159))</f>
        <v/>
      </c>
      <c r="AH1159" s="10">
        <f>IF($A1159="","",$AF1159+$AG1159)</f>
        <v/>
      </c>
      <c r="AI1159" s="6" t="n"/>
      <c r="AJ1159" s="6" t="n"/>
      <c r="AK1159" s="6" t="n"/>
      <c r="AL1159" s="3">
        <f>IF($AK1159="","",HYPERLINK(p_ruta_base_checklists&amp;$AK1159,"abrir"))</f>
        <v/>
      </c>
      <c r="AM1159" s="6" t="n"/>
      <c r="AN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1" t="n"/>
      <c r="K1160" s="3" t="n"/>
      <c r="L1160" s="10" t="n"/>
      <c r="M1160" s="3">
        <f>IF($A1160="","",IFERROR(INDEX('AJUSTES'!$B$4:$B$303,MATCH($AN1160,'AJUSTES'!$A$4:$A$303,0)),IF($K1160="","",$K1160)))</f>
        <v/>
      </c>
      <c r="N1160" s="3">
        <f>IF($A1160="","",IFERROR(INDEX('CAT_ESTADOS_ERP'!$B$4:$B$7,MATCH(IFERROR(INDEX('2_IMPORTAR_EJECUCION'!$C$9:$C$1208,MATCH($AN1160,'2_IMPORTAR_EJECUCION'!$J$9:$J$1208,0)),""),'CAT_ESTADOS_ERP'!$A$4:$A$7,0)),"Pendiente"))</f>
        <v/>
      </c>
      <c r="O1160" s="3">
        <f>IF($J1160="","",YEAR($J1160+4-WEEKDAY($J1160,2))&amp;"-S"&amp;TEXT(_xlfn.ISOWEEKNUM($J1160),"00"))</f>
        <v/>
      </c>
      <c r="P1160" s="3">
        <f>IF($J1160="","",YEAR($J1160))</f>
        <v/>
      </c>
      <c r="Q1160" s="3">
        <f>IF($J1160="","",MONTH($J1160))</f>
        <v/>
      </c>
      <c r="R1160" s="3">
        <f>IF($J1160="","",INDEX(lista_dias,WEEKDAY($J1160,2)))</f>
        <v/>
      </c>
      <c r="S1160" s="3">
        <f>IF($I1160="","",IFERROR(INDEX('CAT_TIPOS_OT'!$C$4:$C$7,MATCH($I1160,'CAT_TIPOS_OT'!$A$4:$A$7,0)),"sin_clasificar"))</f>
        <v/>
      </c>
      <c r="T1160" s="3">
        <f>IF($F1160="","",IFERROR(INDEX('CAT_CENTROS_COSTO'!$E$4:$E$9,MATCH($F1160,'CAT_CENTROS_COSTO'!$A$4:$A$9,0)),"(sin catálogo)"))</f>
        <v/>
      </c>
      <c r="U1160" s="3">
        <f>IF($F1160="","",IFERROR(INDEX('CAT_CENTROS_COSTO'!$D$4:$D$9,MATCH($F1160,'CAT_CENTROS_COSTO'!$A$4:$A$9,0)),"(sin catálogo)"))</f>
        <v/>
      </c>
      <c r="V1160" s="3">
        <f>IF($F1160="","",IFERROR(INDEX('CAT_CENTROS_COSTO'!$F$4:$F$9,MATCH($F1160,'CAT_CENTROS_COSTO'!$A$4:$A$9,0)),"(sin catálogo)"))</f>
        <v/>
      </c>
      <c r="W1160" s="3">
        <f>IF($G1160="","",IFERROR(INDEX('CAT_PUESTOS'!$B$4:$B$8,MATCH($G1160,'CAT_PUESTOS'!$A$4:$A$8,0)),"(sin catálogo)"))</f>
        <v/>
      </c>
      <c r="X1160" s="3">
        <f>IF($H1160="","",IFERROR(INDEX('CAT_ACTIVIDADES'!$B$4:$B$8,MATCH($H1160,'CAT_ACTIVIDADES'!$A$4:$A$8,0)),"(sin catálogo)"))</f>
        <v/>
      </c>
      <c r="Y1160" s="12">
        <f>IF($J1160="","",TODAY()-$J1160)</f>
        <v/>
      </c>
      <c r="Z1160" s="3">
        <f>IF($Y1160="","",IF($Y1160&lt;0,"FUTURO",IF($Y1160&gt;p_dias_backlog_max,"BACKLOG","MES CORRIENTE")))</f>
        <v/>
      </c>
      <c r="AA1160" s="3">
        <f>IF($Y1160="",FALSE,AND($Y1160&gt;p_dias_backlog_min,$Y1160&lt;=p_dias_backlog_max))</f>
        <v/>
      </c>
      <c r="AB1160" s="6" t="n"/>
      <c r="AC1160" s="3">
        <f>IF($AB1160="","",IFERROR(INDEX('ASIGNACIONES'!$F$4:$F$339,MATCH($O1160&amp;"|"&amp;$R1160&amp;"|"&amp;$AB1160,'ASIGNACIONES'!$I$4:$I$339,0)),""))</f>
        <v/>
      </c>
      <c r="AD1160" s="13">
        <f>IF($AB1160="","",SUMIFS('ORDENES'!$M$4:$M$1203,'ORDENES'!$AB$4:$AB$1203,$AB1160,'ORDENES'!$O$4:$O$1203,$O1160,'ORDENES'!$R$4:$R$1203,$R1160))</f>
        <v/>
      </c>
      <c r="AE1160" s="13">
        <f>IF($AD1160="","",p_factor_productividad*IFERROR(INDEX('ASIGNACIONES'!$H$4:$H$339,MATCH($O1160&amp;"|"&amp;$R1160&amp;"|"&amp;$AB1160,'ASIGNACIONES'!$I$4:$I$339,0)),0)-$AD1160)</f>
        <v/>
      </c>
      <c r="AF1160" s="10">
        <f>IF($A1160="","",IFERROR(INDEX('2_IMPORTAR_EJECUCION'!$F$9:$F$1208,MATCH($AN1160,'2_IMPORTAR_EJECUCION'!$J$9:$J$1208,0)),0))</f>
        <v/>
      </c>
      <c r="AG1160" s="10">
        <f>IF($A1160="","",MAX(0,IFERROR(INDEX('2_IMPORTAR_EJECUCION'!$H$9:$H$1208,MATCH($AN1160,'2_IMPORTAR_EJECUCION'!$J$9:$J$1208,0)),0)-$AF1160))</f>
        <v/>
      </c>
      <c r="AH1160" s="10">
        <f>IF($A1160="","",$AF1160+$AG1160)</f>
        <v/>
      </c>
      <c r="AI1160" s="6" t="n"/>
      <c r="AJ1160" s="6" t="n"/>
      <c r="AK1160" s="6" t="n"/>
      <c r="AL1160" s="3">
        <f>IF($AK1160="","",HYPERLINK(p_ruta_base_checklists&amp;$AK1160,"abrir"))</f>
        <v/>
      </c>
      <c r="AM1160" s="6" t="n"/>
      <c r="AN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1" t="n"/>
      <c r="K1161" s="3" t="n"/>
      <c r="L1161" s="10" t="n"/>
      <c r="M1161" s="3">
        <f>IF($A1161="","",IFERROR(INDEX('AJUSTES'!$B$4:$B$303,MATCH($AN1161,'AJUSTES'!$A$4:$A$303,0)),IF($K1161="","",$K1161)))</f>
        <v/>
      </c>
      <c r="N1161" s="3">
        <f>IF($A1161="","",IFERROR(INDEX('CAT_ESTADOS_ERP'!$B$4:$B$7,MATCH(IFERROR(INDEX('2_IMPORTAR_EJECUCION'!$C$9:$C$1208,MATCH($AN1161,'2_IMPORTAR_EJECUCION'!$J$9:$J$1208,0)),""),'CAT_ESTADOS_ERP'!$A$4:$A$7,0)),"Pendiente"))</f>
        <v/>
      </c>
      <c r="O1161" s="3">
        <f>IF($J1161="","",YEAR($J1161+4-WEEKDAY($J1161,2))&amp;"-S"&amp;TEXT(_xlfn.ISOWEEKNUM($J1161),"00"))</f>
        <v/>
      </c>
      <c r="P1161" s="3">
        <f>IF($J1161="","",YEAR($J1161))</f>
        <v/>
      </c>
      <c r="Q1161" s="3">
        <f>IF($J1161="","",MONTH($J1161))</f>
        <v/>
      </c>
      <c r="R1161" s="3">
        <f>IF($J1161="","",INDEX(lista_dias,WEEKDAY($J1161,2)))</f>
        <v/>
      </c>
      <c r="S1161" s="3">
        <f>IF($I1161="","",IFERROR(INDEX('CAT_TIPOS_OT'!$C$4:$C$7,MATCH($I1161,'CAT_TIPOS_OT'!$A$4:$A$7,0)),"sin_clasificar"))</f>
        <v/>
      </c>
      <c r="T1161" s="3">
        <f>IF($F1161="","",IFERROR(INDEX('CAT_CENTROS_COSTO'!$E$4:$E$9,MATCH($F1161,'CAT_CENTROS_COSTO'!$A$4:$A$9,0)),"(sin catálogo)"))</f>
        <v/>
      </c>
      <c r="U1161" s="3">
        <f>IF($F1161="","",IFERROR(INDEX('CAT_CENTROS_COSTO'!$D$4:$D$9,MATCH($F1161,'CAT_CENTROS_COSTO'!$A$4:$A$9,0)),"(sin catálogo)"))</f>
        <v/>
      </c>
      <c r="V1161" s="3">
        <f>IF($F1161="","",IFERROR(INDEX('CAT_CENTROS_COSTO'!$F$4:$F$9,MATCH($F1161,'CAT_CENTROS_COSTO'!$A$4:$A$9,0)),"(sin catálogo)"))</f>
        <v/>
      </c>
      <c r="W1161" s="3">
        <f>IF($G1161="","",IFERROR(INDEX('CAT_PUESTOS'!$B$4:$B$8,MATCH($G1161,'CAT_PUESTOS'!$A$4:$A$8,0)),"(sin catálogo)"))</f>
        <v/>
      </c>
      <c r="X1161" s="3">
        <f>IF($H1161="","",IFERROR(INDEX('CAT_ACTIVIDADES'!$B$4:$B$8,MATCH($H1161,'CAT_ACTIVIDADES'!$A$4:$A$8,0)),"(sin catálogo)"))</f>
        <v/>
      </c>
      <c r="Y1161" s="12">
        <f>IF($J1161="","",TODAY()-$J1161)</f>
        <v/>
      </c>
      <c r="Z1161" s="3">
        <f>IF($Y1161="","",IF($Y1161&lt;0,"FUTURO",IF($Y1161&gt;p_dias_backlog_max,"BACKLOG","MES CORRIENTE")))</f>
        <v/>
      </c>
      <c r="AA1161" s="3">
        <f>IF($Y1161="",FALSE,AND($Y1161&gt;p_dias_backlog_min,$Y1161&lt;=p_dias_backlog_max))</f>
        <v/>
      </c>
      <c r="AB1161" s="6" t="n"/>
      <c r="AC1161" s="3">
        <f>IF($AB1161="","",IFERROR(INDEX('ASIGNACIONES'!$F$4:$F$339,MATCH($O1161&amp;"|"&amp;$R1161&amp;"|"&amp;$AB1161,'ASIGNACIONES'!$I$4:$I$339,0)),""))</f>
        <v/>
      </c>
      <c r="AD1161" s="13">
        <f>IF($AB1161="","",SUMIFS('ORDENES'!$M$4:$M$1203,'ORDENES'!$AB$4:$AB$1203,$AB1161,'ORDENES'!$O$4:$O$1203,$O1161,'ORDENES'!$R$4:$R$1203,$R1161))</f>
        <v/>
      </c>
      <c r="AE1161" s="13">
        <f>IF($AD1161="","",p_factor_productividad*IFERROR(INDEX('ASIGNACIONES'!$H$4:$H$339,MATCH($O1161&amp;"|"&amp;$R1161&amp;"|"&amp;$AB1161,'ASIGNACIONES'!$I$4:$I$339,0)),0)-$AD1161)</f>
        <v/>
      </c>
      <c r="AF1161" s="10">
        <f>IF($A1161="","",IFERROR(INDEX('2_IMPORTAR_EJECUCION'!$F$9:$F$1208,MATCH($AN1161,'2_IMPORTAR_EJECUCION'!$J$9:$J$1208,0)),0))</f>
        <v/>
      </c>
      <c r="AG1161" s="10">
        <f>IF($A1161="","",MAX(0,IFERROR(INDEX('2_IMPORTAR_EJECUCION'!$H$9:$H$1208,MATCH($AN1161,'2_IMPORTAR_EJECUCION'!$J$9:$J$1208,0)),0)-$AF1161))</f>
        <v/>
      </c>
      <c r="AH1161" s="10">
        <f>IF($A1161="","",$AF1161+$AG1161)</f>
        <v/>
      </c>
      <c r="AI1161" s="6" t="n"/>
      <c r="AJ1161" s="6" t="n"/>
      <c r="AK1161" s="6" t="n"/>
      <c r="AL1161" s="3">
        <f>IF($AK1161="","",HYPERLINK(p_ruta_base_checklists&amp;$AK1161,"abrir"))</f>
        <v/>
      </c>
      <c r="AM1161" s="6" t="n"/>
      <c r="AN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1" t="n"/>
      <c r="K1162" s="3" t="n"/>
      <c r="L1162" s="10" t="n"/>
      <c r="M1162" s="3">
        <f>IF($A1162="","",IFERROR(INDEX('AJUSTES'!$B$4:$B$303,MATCH($AN1162,'AJUSTES'!$A$4:$A$303,0)),IF($K1162="","",$K1162)))</f>
        <v/>
      </c>
      <c r="N1162" s="3">
        <f>IF($A1162="","",IFERROR(INDEX('CAT_ESTADOS_ERP'!$B$4:$B$7,MATCH(IFERROR(INDEX('2_IMPORTAR_EJECUCION'!$C$9:$C$1208,MATCH($AN1162,'2_IMPORTAR_EJECUCION'!$J$9:$J$1208,0)),""),'CAT_ESTADOS_ERP'!$A$4:$A$7,0)),"Pendiente"))</f>
        <v/>
      </c>
      <c r="O1162" s="3">
        <f>IF($J1162="","",YEAR($J1162+4-WEEKDAY($J1162,2))&amp;"-S"&amp;TEXT(_xlfn.ISOWEEKNUM($J1162),"00"))</f>
        <v/>
      </c>
      <c r="P1162" s="3">
        <f>IF($J1162="","",YEAR($J1162))</f>
        <v/>
      </c>
      <c r="Q1162" s="3">
        <f>IF($J1162="","",MONTH($J1162))</f>
        <v/>
      </c>
      <c r="R1162" s="3">
        <f>IF($J1162="","",INDEX(lista_dias,WEEKDAY($J1162,2)))</f>
        <v/>
      </c>
      <c r="S1162" s="3">
        <f>IF($I1162="","",IFERROR(INDEX('CAT_TIPOS_OT'!$C$4:$C$7,MATCH($I1162,'CAT_TIPOS_OT'!$A$4:$A$7,0)),"sin_clasificar"))</f>
        <v/>
      </c>
      <c r="T1162" s="3">
        <f>IF($F1162="","",IFERROR(INDEX('CAT_CENTROS_COSTO'!$E$4:$E$9,MATCH($F1162,'CAT_CENTROS_COSTO'!$A$4:$A$9,0)),"(sin catálogo)"))</f>
        <v/>
      </c>
      <c r="U1162" s="3">
        <f>IF($F1162="","",IFERROR(INDEX('CAT_CENTROS_COSTO'!$D$4:$D$9,MATCH($F1162,'CAT_CENTROS_COSTO'!$A$4:$A$9,0)),"(sin catálogo)"))</f>
        <v/>
      </c>
      <c r="V1162" s="3">
        <f>IF($F1162="","",IFERROR(INDEX('CAT_CENTROS_COSTO'!$F$4:$F$9,MATCH($F1162,'CAT_CENTROS_COSTO'!$A$4:$A$9,0)),"(sin catálogo)"))</f>
        <v/>
      </c>
      <c r="W1162" s="3">
        <f>IF($G1162="","",IFERROR(INDEX('CAT_PUESTOS'!$B$4:$B$8,MATCH($G1162,'CAT_PUESTOS'!$A$4:$A$8,0)),"(sin catálogo)"))</f>
        <v/>
      </c>
      <c r="X1162" s="3">
        <f>IF($H1162="","",IFERROR(INDEX('CAT_ACTIVIDADES'!$B$4:$B$8,MATCH($H1162,'CAT_ACTIVIDADES'!$A$4:$A$8,0)),"(sin catálogo)"))</f>
        <v/>
      </c>
      <c r="Y1162" s="12">
        <f>IF($J1162="","",TODAY()-$J1162)</f>
        <v/>
      </c>
      <c r="Z1162" s="3">
        <f>IF($Y1162="","",IF($Y1162&lt;0,"FUTURO",IF($Y1162&gt;p_dias_backlog_max,"BACKLOG","MES CORRIENTE")))</f>
        <v/>
      </c>
      <c r="AA1162" s="3">
        <f>IF($Y1162="",FALSE,AND($Y1162&gt;p_dias_backlog_min,$Y1162&lt;=p_dias_backlog_max))</f>
        <v/>
      </c>
      <c r="AB1162" s="6" t="n"/>
      <c r="AC1162" s="3">
        <f>IF($AB1162="","",IFERROR(INDEX('ASIGNACIONES'!$F$4:$F$339,MATCH($O1162&amp;"|"&amp;$R1162&amp;"|"&amp;$AB1162,'ASIGNACIONES'!$I$4:$I$339,0)),""))</f>
        <v/>
      </c>
      <c r="AD1162" s="13">
        <f>IF($AB1162="","",SUMIFS('ORDENES'!$M$4:$M$1203,'ORDENES'!$AB$4:$AB$1203,$AB1162,'ORDENES'!$O$4:$O$1203,$O1162,'ORDENES'!$R$4:$R$1203,$R1162))</f>
        <v/>
      </c>
      <c r="AE1162" s="13">
        <f>IF($AD1162="","",p_factor_productividad*IFERROR(INDEX('ASIGNACIONES'!$H$4:$H$339,MATCH($O1162&amp;"|"&amp;$R1162&amp;"|"&amp;$AB1162,'ASIGNACIONES'!$I$4:$I$339,0)),0)-$AD1162)</f>
        <v/>
      </c>
      <c r="AF1162" s="10">
        <f>IF($A1162="","",IFERROR(INDEX('2_IMPORTAR_EJECUCION'!$F$9:$F$1208,MATCH($AN1162,'2_IMPORTAR_EJECUCION'!$J$9:$J$1208,0)),0))</f>
        <v/>
      </c>
      <c r="AG1162" s="10">
        <f>IF($A1162="","",MAX(0,IFERROR(INDEX('2_IMPORTAR_EJECUCION'!$H$9:$H$1208,MATCH($AN1162,'2_IMPORTAR_EJECUCION'!$J$9:$J$1208,0)),0)-$AF1162))</f>
        <v/>
      </c>
      <c r="AH1162" s="10">
        <f>IF($A1162="","",$AF1162+$AG1162)</f>
        <v/>
      </c>
      <c r="AI1162" s="6" t="n"/>
      <c r="AJ1162" s="6" t="n"/>
      <c r="AK1162" s="6" t="n"/>
      <c r="AL1162" s="3">
        <f>IF($AK1162="","",HYPERLINK(p_ruta_base_checklists&amp;$AK1162,"abrir"))</f>
        <v/>
      </c>
      <c r="AM1162" s="6" t="n"/>
      <c r="AN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1" t="n"/>
      <c r="K1163" s="3" t="n"/>
      <c r="L1163" s="10" t="n"/>
      <c r="M1163" s="3">
        <f>IF($A1163="","",IFERROR(INDEX('AJUSTES'!$B$4:$B$303,MATCH($AN1163,'AJUSTES'!$A$4:$A$303,0)),IF($K1163="","",$K1163)))</f>
        <v/>
      </c>
      <c r="N1163" s="3">
        <f>IF($A1163="","",IFERROR(INDEX('CAT_ESTADOS_ERP'!$B$4:$B$7,MATCH(IFERROR(INDEX('2_IMPORTAR_EJECUCION'!$C$9:$C$1208,MATCH($AN1163,'2_IMPORTAR_EJECUCION'!$J$9:$J$1208,0)),""),'CAT_ESTADOS_ERP'!$A$4:$A$7,0)),"Pendiente"))</f>
        <v/>
      </c>
      <c r="O1163" s="3">
        <f>IF($J1163="","",YEAR($J1163+4-WEEKDAY($J1163,2))&amp;"-S"&amp;TEXT(_xlfn.ISOWEEKNUM($J1163),"00"))</f>
        <v/>
      </c>
      <c r="P1163" s="3">
        <f>IF($J1163="","",YEAR($J1163))</f>
        <v/>
      </c>
      <c r="Q1163" s="3">
        <f>IF($J1163="","",MONTH($J1163))</f>
        <v/>
      </c>
      <c r="R1163" s="3">
        <f>IF($J1163="","",INDEX(lista_dias,WEEKDAY($J1163,2)))</f>
        <v/>
      </c>
      <c r="S1163" s="3">
        <f>IF($I1163="","",IFERROR(INDEX('CAT_TIPOS_OT'!$C$4:$C$7,MATCH($I1163,'CAT_TIPOS_OT'!$A$4:$A$7,0)),"sin_clasificar"))</f>
        <v/>
      </c>
      <c r="T1163" s="3">
        <f>IF($F1163="","",IFERROR(INDEX('CAT_CENTROS_COSTO'!$E$4:$E$9,MATCH($F1163,'CAT_CENTROS_COSTO'!$A$4:$A$9,0)),"(sin catálogo)"))</f>
        <v/>
      </c>
      <c r="U1163" s="3">
        <f>IF($F1163="","",IFERROR(INDEX('CAT_CENTROS_COSTO'!$D$4:$D$9,MATCH($F1163,'CAT_CENTROS_COSTO'!$A$4:$A$9,0)),"(sin catálogo)"))</f>
        <v/>
      </c>
      <c r="V1163" s="3">
        <f>IF($F1163="","",IFERROR(INDEX('CAT_CENTROS_COSTO'!$F$4:$F$9,MATCH($F1163,'CAT_CENTROS_COSTO'!$A$4:$A$9,0)),"(sin catálogo)"))</f>
        <v/>
      </c>
      <c r="W1163" s="3">
        <f>IF($G1163="","",IFERROR(INDEX('CAT_PUESTOS'!$B$4:$B$8,MATCH($G1163,'CAT_PUESTOS'!$A$4:$A$8,0)),"(sin catálogo)"))</f>
        <v/>
      </c>
      <c r="X1163" s="3">
        <f>IF($H1163="","",IFERROR(INDEX('CAT_ACTIVIDADES'!$B$4:$B$8,MATCH($H1163,'CAT_ACTIVIDADES'!$A$4:$A$8,0)),"(sin catálogo)"))</f>
        <v/>
      </c>
      <c r="Y1163" s="12">
        <f>IF($J1163="","",TODAY()-$J1163)</f>
        <v/>
      </c>
      <c r="Z1163" s="3">
        <f>IF($Y1163="","",IF($Y1163&lt;0,"FUTURO",IF($Y1163&gt;p_dias_backlog_max,"BACKLOG","MES CORRIENTE")))</f>
        <v/>
      </c>
      <c r="AA1163" s="3">
        <f>IF($Y1163="",FALSE,AND($Y1163&gt;p_dias_backlog_min,$Y1163&lt;=p_dias_backlog_max))</f>
        <v/>
      </c>
      <c r="AB1163" s="6" t="n"/>
      <c r="AC1163" s="3">
        <f>IF($AB1163="","",IFERROR(INDEX('ASIGNACIONES'!$F$4:$F$339,MATCH($O1163&amp;"|"&amp;$R1163&amp;"|"&amp;$AB1163,'ASIGNACIONES'!$I$4:$I$339,0)),""))</f>
        <v/>
      </c>
      <c r="AD1163" s="13">
        <f>IF($AB1163="","",SUMIFS('ORDENES'!$M$4:$M$1203,'ORDENES'!$AB$4:$AB$1203,$AB1163,'ORDENES'!$O$4:$O$1203,$O1163,'ORDENES'!$R$4:$R$1203,$R1163))</f>
        <v/>
      </c>
      <c r="AE1163" s="13">
        <f>IF($AD1163="","",p_factor_productividad*IFERROR(INDEX('ASIGNACIONES'!$H$4:$H$339,MATCH($O1163&amp;"|"&amp;$R1163&amp;"|"&amp;$AB1163,'ASIGNACIONES'!$I$4:$I$339,0)),0)-$AD1163)</f>
        <v/>
      </c>
      <c r="AF1163" s="10">
        <f>IF($A1163="","",IFERROR(INDEX('2_IMPORTAR_EJECUCION'!$F$9:$F$1208,MATCH($AN1163,'2_IMPORTAR_EJECUCION'!$J$9:$J$1208,0)),0))</f>
        <v/>
      </c>
      <c r="AG1163" s="10">
        <f>IF($A1163="","",MAX(0,IFERROR(INDEX('2_IMPORTAR_EJECUCION'!$H$9:$H$1208,MATCH($AN1163,'2_IMPORTAR_EJECUCION'!$J$9:$J$1208,0)),0)-$AF1163))</f>
        <v/>
      </c>
      <c r="AH1163" s="10">
        <f>IF($A1163="","",$AF1163+$AG1163)</f>
        <v/>
      </c>
      <c r="AI1163" s="6" t="n"/>
      <c r="AJ1163" s="6" t="n"/>
      <c r="AK1163" s="6" t="n"/>
      <c r="AL1163" s="3">
        <f>IF($AK1163="","",HYPERLINK(p_ruta_base_checklists&amp;$AK1163,"abrir"))</f>
        <v/>
      </c>
      <c r="AM1163" s="6" t="n"/>
      <c r="AN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1" t="n"/>
      <c r="K1164" s="3" t="n"/>
      <c r="L1164" s="10" t="n"/>
      <c r="M1164" s="3">
        <f>IF($A1164="","",IFERROR(INDEX('AJUSTES'!$B$4:$B$303,MATCH($AN1164,'AJUSTES'!$A$4:$A$303,0)),IF($K1164="","",$K1164)))</f>
        <v/>
      </c>
      <c r="N1164" s="3">
        <f>IF($A1164="","",IFERROR(INDEX('CAT_ESTADOS_ERP'!$B$4:$B$7,MATCH(IFERROR(INDEX('2_IMPORTAR_EJECUCION'!$C$9:$C$1208,MATCH($AN1164,'2_IMPORTAR_EJECUCION'!$J$9:$J$1208,0)),""),'CAT_ESTADOS_ERP'!$A$4:$A$7,0)),"Pendiente"))</f>
        <v/>
      </c>
      <c r="O1164" s="3">
        <f>IF($J1164="","",YEAR($J1164+4-WEEKDAY($J1164,2))&amp;"-S"&amp;TEXT(_xlfn.ISOWEEKNUM($J1164),"00"))</f>
        <v/>
      </c>
      <c r="P1164" s="3">
        <f>IF($J1164="","",YEAR($J1164))</f>
        <v/>
      </c>
      <c r="Q1164" s="3">
        <f>IF($J1164="","",MONTH($J1164))</f>
        <v/>
      </c>
      <c r="R1164" s="3">
        <f>IF($J1164="","",INDEX(lista_dias,WEEKDAY($J1164,2)))</f>
        <v/>
      </c>
      <c r="S1164" s="3">
        <f>IF($I1164="","",IFERROR(INDEX('CAT_TIPOS_OT'!$C$4:$C$7,MATCH($I1164,'CAT_TIPOS_OT'!$A$4:$A$7,0)),"sin_clasificar"))</f>
        <v/>
      </c>
      <c r="T1164" s="3">
        <f>IF($F1164="","",IFERROR(INDEX('CAT_CENTROS_COSTO'!$E$4:$E$9,MATCH($F1164,'CAT_CENTROS_COSTO'!$A$4:$A$9,0)),"(sin catálogo)"))</f>
        <v/>
      </c>
      <c r="U1164" s="3">
        <f>IF($F1164="","",IFERROR(INDEX('CAT_CENTROS_COSTO'!$D$4:$D$9,MATCH($F1164,'CAT_CENTROS_COSTO'!$A$4:$A$9,0)),"(sin catálogo)"))</f>
        <v/>
      </c>
      <c r="V1164" s="3">
        <f>IF($F1164="","",IFERROR(INDEX('CAT_CENTROS_COSTO'!$F$4:$F$9,MATCH($F1164,'CAT_CENTROS_COSTO'!$A$4:$A$9,0)),"(sin catálogo)"))</f>
        <v/>
      </c>
      <c r="W1164" s="3">
        <f>IF($G1164="","",IFERROR(INDEX('CAT_PUESTOS'!$B$4:$B$8,MATCH($G1164,'CAT_PUESTOS'!$A$4:$A$8,0)),"(sin catálogo)"))</f>
        <v/>
      </c>
      <c r="X1164" s="3">
        <f>IF($H1164="","",IFERROR(INDEX('CAT_ACTIVIDADES'!$B$4:$B$8,MATCH($H1164,'CAT_ACTIVIDADES'!$A$4:$A$8,0)),"(sin catálogo)"))</f>
        <v/>
      </c>
      <c r="Y1164" s="12">
        <f>IF($J1164="","",TODAY()-$J1164)</f>
        <v/>
      </c>
      <c r="Z1164" s="3">
        <f>IF($Y1164="","",IF($Y1164&lt;0,"FUTURO",IF($Y1164&gt;p_dias_backlog_max,"BACKLOG","MES CORRIENTE")))</f>
        <v/>
      </c>
      <c r="AA1164" s="3">
        <f>IF($Y1164="",FALSE,AND($Y1164&gt;p_dias_backlog_min,$Y1164&lt;=p_dias_backlog_max))</f>
        <v/>
      </c>
      <c r="AB1164" s="6" t="n"/>
      <c r="AC1164" s="3">
        <f>IF($AB1164="","",IFERROR(INDEX('ASIGNACIONES'!$F$4:$F$339,MATCH($O1164&amp;"|"&amp;$R1164&amp;"|"&amp;$AB1164,'ASIGNACIONES'!$I$4:$I$339,0)),""))</f>
        <v/>
      </c>
      <c r="AD1164" s="13">
        <f>IF($AB1164="","",SUMIFS('ORDENES'!$M$4:$M$1203,'ORDENES'!$AB$4:$AB$1203,$AB1164,'ORDENES'!$O$4:$O$1203,$O1164,'ORDENES'!$R$4:$R$1203,$R1164))</f>
        <v/>
      </c>
      <c r="AE1164" s="13">
        <f>IF($AD1164="","",p_factor_productividad*IFERROR(INDEX('ASIGNACIONES'!$H$4:$H$339,MATCH($O1164&amp;"|"&amp;$R1164&amp;"|"&amp;$AB1164,'ASIGNACIONES'!$I$4:$I$339,0)),0)-$AD1164)</f>
        <v/>
      </c>
      <c r="AF1164" s="10">
        <f>IF($A1164="","",IFERROR(INDEX('2_IMPORTAR_EJECUCION'!$F$9:$F$1208,MATCH($AN1164,'2_IMPORTAR_EJECUCION'!$J$9:$J$1208,0)),0))</f>
        <v/>
      </c>
      <c r="AG1164" s="10">
        <f>IF($A1164="","",MAX(0,IFERROR(INDEX('2_IMPORTAR_EJECUCION'!$H$9:$H$1208,MATCH($AN1164,'2_IMPORTAR_EJECUCION'!$J$9:$J$1208,0)),0)-$AF1164))</f>
        <v/>
      </c>
      <c r="AH1164" s="10">
        <f>IF($A1164="","",$AF1164+$AG1164)</f>
        <v/>
      </c>
      <c r="AI1164" s="6" t="n"/>
      <c r="AJ1164" s="6" t="n"/>
      <c r="AK1164" s="6" t="n"/>
      <c r="AL1164" s="3">
        <f>IF($AK1164="","",HYPERLINK(p_ruta_base_checklists&amp;$AK1164,"abrir"))</f>
        <v/>
      </c>
      <c r="AM1164" s="6" t="n"/>
      <c r="AN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1" t="n"/>
      <c r="K1165" s="3" t="n"/>
      <c r="L1165" s="10" t="n"/>
      <c r="M1165" s="3">
        <f>IF($A1165="","",IFERROR(INDEX('AJUSTES'!$B$4:$B$303,MATCH($AN1165,'AJUSTES'!$A$4:$A$303,0)),IF($K1165="","",$K1165)))</f>
        <v/>
      </c>
      <c r="N1165" s="3">
        <f>IF($A1165="","",IFERROR(INDEX('CAT_ESTADOS_ERP'!$B$4:$B$7,MATCH(IFERROR(INDEX('2_IMPORTAR_EJECUCION'!$C$9:$C$1208,MATCH($AN1165,'2_IMPORTAR_EJECUCION'!$J$9:$J$1208,0)),""),'CAT_ESTADOS_ERP'!$A$4:$A$7,0)),"Pendiente"))</f>
        <v/>
      </c>
      <c r="O1165" s="3">
        <f>IF($J1165="","",YEAR($J1165+4-WEEKDAY($J1165,2))&amp;"-S"&amp;TEXT(_xlfn.ISOWEEKNUM($J1165),"00"))</f>
        <v/>
      </c>
      <c r="P1165" s="3">
        <f>IF($J1165="","",YEAR($J1165))</f>
        <v/>
      </c>
      <c r="Q1165" s="3">
        <f>IF($J1165="","",MONTH($J1165))</f>
        <v/>
      </c>
      <c r="R1165" s="3">
        <f>IF($J1165="","",INDEX(lista_dias,WEEKDAY($J1165,2)))</f>
        <v/>
      </c>
      <c r="S1165" s="3">
        <f>IF($I1165="","",IFERROR(INDEX('CAT_TIPOS_OT'!$C$4:$C$7,MATCH($I1165,'CAT_TIPOS_OT'!$A$4:$A$7,0)),"sin_clasificar"))</f>
        <v/>
      </c>
      <c r="T1165" s="3">
        <f>IF($F1165="","",IFERROR(INDEX('CAT_CENTROS_COSTO'!$E$4:$E$9,MATCH($F1165,'CAT_CENTROS_COSTO'!$A$4:$A$9,0)),"(sin catálogo)"))</f>
        <v/>
      </c>
      <c r="U1165" s="3">
        <f>IF($F1165="","",IFERROR(INDEX('CAT_CENTROS_COSTO'!$D$4:$D$9,MATCH($F1165,'CAT_CENTROS_COSTO'!$A$4:$A$9,0)),"(sin catálogo)"))</f>
        <v/>
      </c>
      <c r="V1165" s="3">
        <f>IF($F1165="","",IFERROR(INDEX('CAT_CENTROS_COSTO'!$F$4:$F$9,MATCH($F1165,'CAT_CENTROS_COSTO'!$A$4:$A$9,0)),"(sin catálogo)"))</f>
        <v/>
      </c>
      <c r="W1165" s="3">
        <f>IF($G1165="","",IFERROR(INDEX('CAT_PUESTOS'!$B$4:$B$8,MATCH($G1165,'CAT_PUESTOS'!$A$4:$A$8,0)),"(sin catálogo)"))</f>
        <v/>
      </c>
      <c r="X1165" s="3">
        <f>IF($H1165="","",IFERROR(INDEX('CAT_ACTIVIDADES'!$B$4:$B$8,MATCH($H1165,'CAT_ACTIVIDADES'!$A$4:$A$8,0)),"(sin catálogo)"))</f>
        <v/>
      </c>
      <c r="Y1165" s="12">
        <f>IF($J1165="","",TODAY()-$J1165)</f>
        <v/>
      </c>
      <c r="Z1165" s="3">
        <f>IF($Y1165="","",IF($Y1165&lt;0,"FUTURO",IF($Y1165&gt;p_dias_backlog_max,"BACKLOG","MES CORRIENTE")))</f>
        <v/>
      </c>
      <c r="AA1165" s="3">
        <f>IF($Y1165="",FALSE,AND($Y1165&gt;p_dias_backlog_min,$Y1165&lt;=p_dias_backlog_max))</f>
        <v/>
      </c>
      <c r="AB1165" s="6" t="n"/>
      <c r="AC1165" s="3">
        <f>IF($AB1165="","",IFERROR(INDEX('ASIGNACIONES'!$F$4:$F$339,MATCH($O1165&amp;"|"&amp;$R1165&amp;"|"&amp;$AB1165,'ASIGNACIONES'!$I$4:$I$339,0)),""))</f>
        <v/>
      </c>
      <c r="AD1165" s="13">
        <f>IF($AB1165="","",SUMIFS('ORDENES'!$M$4:$M$1203,'ORDENES'!$AB$4:$AB$1203,$AB1165,'ORDENES'!$O$4:$O$1203,$O1165,'ORDENES'!$R$4:$R$1203,$R1165))</f>
        <v/>
      </c>
      <c r="AE1165" s="13">
        <f>IF($AD1165="","",p_factor_productividad*IFERROR(INDEX('ASIGNACIONES'!$H$4:$H$339,MATCH($O1165&amp;"|"&amp;$R1165&amp;"|"&amp;$AB1165,'ASIGNACIONES'!$I$4:$I$339,0)),0)-$AD1165)</f>
        <v/>
      </c>
      <c r="AF1165" s="10">
        <f>IF($A1165="","",IFERROR(INDEX('2_IMPORTAR_EJECUCION'!$F$9:$F$1208,MATCH($AN1165,'2_IMPORTAR_EJECUCION'!$J$9:$J$1208,0)),0))</f>
        <v/>
      </c>
      <c r="AG1165" s="10">
        <f>IF($A1165="","",MAX(0,IFERROR(INDEX('2_IMPORTAR_EJECUCION'!$H$9:$H$1208,MATCH($AN1165,'2_IMPORTAR_EJECUCION'!$J$9:$J$1208,0)),0)-$AF1165))</f>
        <v/>
      </c>
      <c r="AH1165" s="10">
        <f>IF($A1165="","",$AF1165+$AG1165)</f>
        <v/>
      </c>
      <c r="AI1165" s="6" t="n"/>
      <c r="AJ1165" s="6" t="n"/>
      <c r="AK1165" s="6" t="n"/>
      <c r="AL1165" s="3">
        <f>IF($AK1165="","",HYPERLINK(p_ruta_base_checklists&amp;$AK1165,"abrir"))</f>
        <v/>
      </c>
      <c r="AM1165" s="6" t="n"/>
      <c r="AN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1" t="n"/>
      <c r="K1166" s="3" t="n"/>
      <c r="L1166" s="10" t="n"/>
      <c r="M1166" s="3">
        <f>IF($A1166="","",IFERROR(INDEX('AJUSTES'!$B$4:$B$303,MATCH($AN1166,'AJUSTES'!$A$4:$A$303,0)),IF($K1166="","",$K1166)))</f>
        <v/>
      </c>
      <c r="N1166" s="3">
        <f>IF($A1166="","",IFERROR(INDEX('CAT_ESTADOS_ERP'!$B$4:$B$7,MATCH(IFERROR(INDEX('2_IMPORTAR_EJECUCION'!$C$9:$C$1208,MATCH($AN1166,'2_IMPORTAR_EJECUCION'!$J$9:$J$1208,0)),""),'CAT_ESTADOS_ERP'!$A$4:$A$7,0)),"Pendiente"))</f>
        <v/>
      </c>
      <c r="O1166" s="3">
        <f>IF($J1166="","",YEAR($J1166+4-WEEKDAY($J1166,2))&amp;"-S"&amp;TEXT(_xlfn.ISOWEEKNUM($J1166),"00"))</f>
        <v/>
      </c>
      <c r="P1166" s="3">
        <f>IF($J1166="","",YEAR($J1166))</f>
        <v/>
      </c>
      <c r="Q1166" s="3">
        <f>IF($J1166="","",MONTH($J1166))</f>
        <v/>
      </c>
      <c r="R1166" s="3">
        <f>IF($J1166="","",INDEX(lista_dias,WEEKDAY($J1166,2)))</f>
        <v/>
      </c>
      <c r="S1166" s="3">
        <f>IF($I1166="","",IFERROR(INDEX('CAT_TIPOS_OT'!$C$4:$C$7,MATCH($I1166,'CAT_TIPOS_OT'!$A$4:$A$7,0)),"sin_clasificar"))</f>
        <v/>
      </c>
      <c r="T1166" s="3">
        <f>IF($F1166="","",IFERROR(INDEX('CAT_CENTROS_COSTO'!$E$4:$E$9,MATCH($F1166,'CAT_CENTROS_COSTO'!$A$4:$A$9,0)),"(sin catálogo)"))</f>
        <v/>
      </c>
      <c r="U1166" s="3">
        <f>IF($F1166="","",IFERROR(INDEX('CAT_CENTROS_COSTO'!$D$4:$D$9,MATCH($F1166,'CAT_CENTROS_COSTO'!$A$4:$A$9,0)),"(sin catálogo)"))</f>
        <v/>
      </c>
      <c r="V1166" s="3">
        <f>IF($F1166="","",IFERROR(INDEX('CAT_CENTROS_COSTO'!$F$4:$F$9,MATCH($F1166,'CAT_CENTROS_COSTO'!$A$4:$A$9,0)),"(sin catálogo)"))</f>
        <v/>
      </c>
      <c r="W1166" s="3">
        <f>IF($G1166="","",IFERROR(INDEX('CAT_PUESTOS'!$B$4:$B$8,MATCH($G1166,'CAT_PUESTOS'!$A$4:$A$8,0)),"(sin catálogo)"))</f>
        <v/>
      </c>
      <c r="X1166" s="3">
        <f>IF($H1166="","",IFERROR(INDEX('CAT_ACTIVIDADES'!$B$4:$B$8,MATCH($H1166,'CAT_ACTIVIDADES'!$A$4:$A$8,0)),"(sin catálogo)"))</f>
        <v/>
      </c>
      <c r="Y1166" s="12">
        <f>IF($J1166="","",TODAY()-$J1166)</f>
        <v/>
      </c>
      <c r="Z1166" s="3">
        <f>IF($Y1166="","",IF($Y1166&lt;0,"FUTURO",IF($Y1166&gt;p_dias_backlog_max,"BACKLOG","MES CORRIENTE")))</f>
        <v/>
      </c>
      <c r="AA1166" s="3">
        <f>IF($Y1166="",FALSE,AND($Y1166&gt;p_dias_backlog_min,$Y1166&lt;=p_dias_backlog_max))</f>
        <v/>
      </c>
      <c r="AB1166" s="6" t="n"/>
      <c r="AC1166" s="3">
        <f>IF($AB1166="","",IFERROR(INDEX('ASIGNACIONES'!$F$4:$F$339,MATCH($O1166&amp;"|"&amp;$R1166&amp;"|"&amp;$AB1166,'ASIGNACIONES'!$I$4:$I$339,0)),""))</f>
        <v/>
      </c>
      <c r="AD1166" s="13">
        <f>IF($AB1166="","",SUMIFS('ORDENES'!$M$4:$M$1203,'ORDENES'!$AB$4:$AB$1203,$AB1166,'ORDENES'!$O$4:$O$1203,$O1166,'ORDENES'!$R$4:$R$1203,$R1166))</f>
        <v/>
      </c>
      <c r="AE1166" s="13">
        <f>IF($AD1166="","",p_factor_productividad*IFERROR(INDEX('ASIGNACIONES'!$H$4:$H$339,MATCH($O1166&amp;"|"&amp;$R1166&amp;"|"&amp;$AB1166,'ASIGNACIONES'!$I$4:$I$339,0)),0)-$AD1166)</f>
        <v/>
      </c>
      <c r="AF1166" s="10">
        <f>IF($A1166="","",IFERROR(INDEX('2_IMPORTAR_EJECUCION'!$F$9:$F$1208,MATCH($AN1166,'2_IMPORTAR_EJECUCION'!$J$9:$J$1208,0)),0))</f>
        <v/>
      </c>
      <c r="AG1166" s="10">
        <f>IF($A1166="","",MAX(0,IFERROR(INDEX('2_IMPORTAR_EJECUCION'!$H$9:$H$1208,MATCH($AN1166,'2_IMPORTAR_EJECUCION'!$J$9:$J$1208,0)),0)-$AF1166))</f>
        <v/>
      </c>
      <c r="AH1166" s="10">
        <f>IF($A1166="","",$AF1166+$AG1166)</f>
        <v/>
      </c>
      <c r="AI1166" s="6" t="n"/>
      <c r="AJ1166" s="6" t="n"/>
      <c r="AK1166" s="6" t="n"/>
      <c r="AL1166" s="3">
        <f>IF($AK1166="","",HYPERLINK(p_ruta_base_checklists&amp;$AK1166,"abrir"))</f>
        <v/>
      </c>
      <c r="AM1166" s="6" t="n"/>
      <c r="AN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1" t="n"/>
      <c r="K1167" s="3" t="n"/>
      <c r="L1167" s="10" t="n"/>
      <c r="M1167" s="3">
        <f>IF($A1167="","",IFERROR(INDEX('AJUSTES'!$B$4:$B$303,MATCH($AN1167,'AJUSTES'!$A$4:$A$303,0)),IF($K1167="","",$K1167)))</f>
        <v/>
      </c>
      <c r="N1167" s="3">
        <f>IF($A1167="","",IFERROR(INDEX('CAT_ESTADOS_ERP'!$B$4:$B$7,MATCH(IFERROR(INDEX('2_IMPORTAR_EJECUCION'!$C$9:$C$1208,MATCH($AN1167,'2_IMPORTAR_EJECUCION'!$J$9:$J$1208,0)),""),'CAT_ESTADOS_ERP'!$A$4:$A$7,0)),"Pendiente"))</f>
        <v/>
      </c>
      <c r="O1167" s="3">
        <f>IF($J1167="","",YEAR($J1167+4-WEEKDAY($J1167,2))&amp;"-S"&amp;TEXT(_xlfn.ISOWEEKNUM($J1167),"00"))</f>
        <v/>
      </c>
      <c r="P1167" s="3">
        <f>IF($J1167="","",YEAR($J1167))</f>
        <v/>
      </c>
      <c r="Q1167" s="3">
        <f>IF($J1167="","",MONTH($J1167))</f>
        <v/>
      </c>
      <c r="R1167" s="3">
        <f>IF($J1167="","",INDEX(lista_dias,WEEKDAY($J1167,2)))</f>
        <v/>
      </c>
      <c r="S1167" s="3">
        <f>IF($I1167="","",IFERROR(INDEX('CAT_TIPOS_OT'!$C$4:$C$7,MATCH($I1167,'CAT_TIPOS_OT'!$A$4:$A$7,0)),"sin_clasificar"))</f>
        <v/>
      </c>
      <c r="T1167" s="3">
        <f>IF($F1167="","",IFERROR(INDEX('CAT_CENTROS_COSTO'!$E$4:$E$9,MATCH($F1167,'CAT_CENTROS_COSTO'!$A$4:$A$9,0)),"(sin catálogo)"))</f>
        <v/>
      </c>
      <c r="U1167" s="3">
        <f>IF($F1167="","",IFERROR(INDEX('CAT_CENTROS_COSTO'!$D$4:$D$9,MATCH($F1167,'CAT_CENTROS_COSTO'!$A$4:$A$9,0)),"(sin catálogo)"))</f>
        <v/>
      </c>
      <c r="V1167" s="3">
        <f>IF($F1167="","",IFERROR(INDEX('CAT_CENTROS_COSTO'!$F$4:$F$9,MATCH($F1167,'CAT_CENTROS_COSTO'!$A$4:$A$9,0)),"(sin catálogo)"))</f>
        <v/>
      </c>
      <c r="W1167" s="3">
        <f>IF($G1167="","",IFERROR(INDEX('CAT_PUESTOS'!$B$4:$B$8,MATCH($G1167,'CAT_PUESTOS'!$A$4:$A$8,0)),"(sin catálogo)"))</f>
        <v/>
      </c>
      <c r="X1167" s="3">
        <f>IF($H1167="","",IFERROR(INDEX('CAT_ACTIVIDADES'!$B$4:$B$8,MATCH($H1167,'CAT_ACTIVIDADES'!$A$4:$A$8,0)),"(sin catálogo)"))</f>
        <v/>
      </c>
      <c r="Y1167" s="12">
        <f>IF($J1167="","",TODAY()-$J1167)</f>
        <v/>
      </c>
      <c r="Z1167" s="3">
        <f>IF($Y1167="","",IF($Y1167&lt;0,"FUTURO",IF($Y1167&gt;p_dias_backlog_max,"BACKLOG","MES CORRIENTE")))</f>
        <v/>
      </c>
      <c r="AA1167" s="3">
        <f>IF($Y1167="",FALSE,AND($Y1167&gt;p_dias_backlog_min,$Y1167&lt;=p_dias_backlog_max))</f>
        <v/>
      </c>
      <c r="AB1167" s="6" t="n"/>
      <c r="AC1167" s="3">
        <f>IF($AB1167="","",IFERROR(INDEX('ASIGNACIONES'!$F$4:$F$339,MATCH($O1167&amp;"|"&amp;$R1167&amp;"|"&amp;$AB1167,'ASIGNACIONES'!$I$4:$I$339,0)),""))</f>
        <v/>
      </c>
      <c r="AD1167" s="13">
        <f>IF($AB1167="","",SUMIFS('ORDENES'!$M$4:$M$1203,'ORDENES'!$AB$4:$AB$1203,$AB1167,'ORDENES'!$O$4:$O$1203,$O1167,'ORDENES'!$R$4:$R$1203,$R1167))</f>
        <v/>
      </c>
      <c r="AE1167" s="13">
        <f>IF($AD1167="","",p_factor_productividad*IFERROR(INDEX('ASIGNACIONES'!$H$4:$H$339,MATCH($O1167&amp;"|"&amp;$R1167&amp;"|"&amp;$AB1167,'ASIGNACIONES'!$I$4:$I$339,0)),0)-$AD1167)</f>
        <v/>
      </c>
      <c r="AF1167" s="10">
        <f>IF($A1167="","",IFERROR(INDEX('2_IMPORTAR_EJECUCION'!$F$9:$F$1208,MATCH($AN1167,'2_IMPORTAR_EJECUCION'!$J$9:$J$1208,0)),0))</f>
        <v/>
      </c>
      <c r="AG1167" s="10">
        <f>IF($A1167="","",MAX(0,IFERROR(INDEX('2_IMPORTAR_EJECUCION'!$H$9:$H$1208,MATCH($AN1167,'2_IMPORTAR_EJECUCION'!$J$9:$J$1208,0)),0)-$AF1167))</f>
        <v/>
      </c>
      <c r="AH1167" s="10">
        <f>IF($A1167="","",$AF1167+$AG1167)</f>
        <v/>
      </c>
      <c r="AI1167" s="6" t="n"/>
      <c r="AJ1167" s="6" t="n"/>
      <c r="AK1167" s="6" t="n"/>
      <c r="AL1167" s="3">
        <f>IF($AK1167="","",HYPERLINK(p_ruta_base_checklists&amp;$AK1167,"abrir"))</f>
        <v/>
      </c>
      <c r="AM1167" s="6" t="n"/>
      <c r="AN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1" t="n"/>
      <c r="K1168" s="3" t="n"/>
      <c r="L1168" s="10" t="n"/>
      <c r="M1168" s="3">
        <f>IF($A1168="","",IFERROR(INDEX('AJUSTES'!$B$4:$B$303,MATCH($AN1168,'AJUSTES'!$A$4:$A$303,0)),IF($K1168="","",$K1168)))</f>
        <v/>
      </c>
      <c r="N1168" s="3">
        <f>IF($A1168="","",IFERROR(INDEX('CAT_ESTADOS_ERP'!$B$4:$B$7,MATCH(IFERROR(INDEX('2_IMPORTAR_EJECUCION'!$C$9:$C$1208,MATCH($AN1168,'2_IMPORTAR_EJECUCION'!$J$9:$J$1208,0)),""),'CAT_ESTADOS_ERP'!$A$4:$A$7,0)),"Pendiente"))</f>
        <v/>
      </c>
      <c r="O1168" s="3">
        <f>IF($J1168="","",YEAR($J1168+4-WEEKDAY($J1168,2))&amp;"-S"&amp;TEXT(_xlfn.ISOWEEKNUM($J1168),"00"))</f>
        <v/>
      </c>
      <c r="P1168" s="3">
        <f>IF($J1168="","",YEAR($J1168))</f>
        <v/>
      </c>
      <c r="Q1168" s="3">
        <f>IF($J1168="","",MONTH($J1168))</f>
        <v/>
      </c>
      <c r="R1168" s="3">
        <f>IF($J1168="","",INDEX(lista_dias,WEEKDAY($J1168,2)))</f>
        <v/>
      </c>
      <c r="S1168" s="3">
        <f>IF($I1168="","",IFERROR(INDEX('CAT_TIPOS_OT'!$C$4:$C$7,MATCH($I1168,'CAT_TIPOS_OT'!$A$4:$A$7,0)),"sin_clasificar"))</f>
        <v/>
      </c>
      <c r="T1168" s="3">
        <f>IF($F1168="","",IFERROR(INDEX('CAT_CENTROS_COSTO'!$E$4:$E$9,MATCH($F1168,'CAT_CENTROS_COSTO'!$A$4:$A$9,0)),"(sin catálogo)"))</f>
        <v/>
      </c>
      <c r="U1168" s="3">
        <f>IF($F1168="","",IFERROR(INDEX('CAT_CENTROS_COSTO'!$D$4:$D$9,MATCH($F1168,'CAT_CENTROS_COSTO'!$A$4:$A$9,0)),"(sin catálogo)"))</f>
        <v/>
      </c>
      <c r="V1168" s="3">
        <f>IF($F1168="","",IFERROR(INDEX('CAT_CENTROS_COSTO'!$F$4:$F$9,MATCH($F1168,'CAT_CENTROS_COSTO'!$A$4:$A$9,0)),"(sin catálogo)"))</f>
        <v/>
      </c>
      <c r="W1168" s="3">
        <f>IF($G1168="","",IFERROR(INDEX('CAT_PUESTOS'!$B$4:$B$8,MATCH($G1168,'CAT_PUESTOS'!$A$4:$A$8,0)),"(sin catálogo)"))</f>
        <v/>
      </c>
      <c r="X1168" s="3">
        <f>IF($H1168="","",IFERROR(INDEX('CAT_ACTIVIDADES'!$B$4:$B$8,MATCH($H1168,'CAT_ACTIVIDADES'!$A$4:$A$8,0)),"(sin catálogo)"))</f>
        <v/>
      </c>
      <c r="Y1168" s="12">
        <f>IF($J1168="","",TODAY()-$J1168)</f>
        <v/>
      </c>
      <c r="Z1168" s="3">
        <f>IF($Y1168="","",IF($Y1168&lt;0,"FUTURO",IF($Y1168&gt;p_dias_backlog_max,"BACKLOG","MES CORRIENTE")))</f>
        <v/>
      </c>
      <c r="AA1168" s="3">
        <f>IF($Y1168="",FALSE,AND($Y1168&gt;p_dias_backlog_min,$Y1168&lt;=p_dias_backlog_max))</f>
        <v/>
      </c>
      <c r="AB1168" s="6" t="n"/>
      <c r="AC1168" s="3">
        <f>IF($AB1168="","",IFERROR(INDEX('ASIGNACIONES'!$F$4:$F$339,MATCH($O1168&amp;"|"&amp;$R1168&amp;"|"&amp;$AB1168,'ASIGNACIONES'!$I$4:$I$339,0)),""))</f>
        <v/>
      </c>
      <c r="AD1168" s="13">
        <f>IF($AB1168="","",SUMIFS('ORDENES'!$M$4:$M$1203,'ORDENES'!$AB$4:$AB$1203,$AB1168,'ORDENES'!$O$4:$O$1203,$O1168,'ORDENES'!$R$4:$R$1203,$R1168))</f>
        <v/>
      </c>
      <c r="AE1168" s="13">
        <f>IF($AD1168="","",p_factor_productividad*IFERROR(INDEX('ASIGNACIONES'!$H$4:$H$339,MATCH($O1168&amp;"|"&amp;$R1168&amp;"|"&amp;$AB1168,'ASIGNACIONES'!$I$4:$I$339,0)),0)-$AD1168)</f>
        <v/>
      </c>
      <c r="AF1168" s="10">
        <f>IF($A1168="","",IFERROR(INDEX('2_IMPORTAR_EJECUCION'!$F$9:$F$1208,MATCH($AN1168,'2_IMPORTAR_EJECUCION'!$J$9:$J$1208,0)),0))</f>
        <v/>
      </c>
      <c r="AG1168" s="10">
        <f>IF($A1168="","",MAX(0,IFERROR(INDEX('2_IMPORTAR_EJECUCION'!$H$9:$H$1208,MATCH($AN1168,'2_IMPORTAR_EJECUCION'!$J$9:$J$1208,0)),0)-$AF1168))</f>
        <v/>
      </c>
      <c r="AH1168" s="10">
        <f>IF($A1168="","",$AF1168+$AG1168)</f>
        <v/>
      </c>
      <c r="AI1168" s="6" t="n"/>
      <c r="AJ1168" s="6" t="n"/>
      <c r="AK1168" s="6" t="n"/>
      <c r="AL1168" s="3">
        <f>IF($AK1168="","",HYPERLINK(p_ruta_base_checklists&amp;$AK1168,"abrir"))</f>
        <v/>
      </c>
      <c r="AM1168" s="6" t="n"/>
      <c r="AN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1" t="n"/>
      <c r="K1169" s="3" t="n"/>
      <c r="L1169" s="10" t="n"/>
      <c r="M1169" s="3">
        <f>IF($A1169="","",IFERROR(INDEX('AJUSTES'!$B$4:$B$303,MATCH($AN1169,'AJUSTES'!$A$4:$A$303,0)),IF($K1169="","",$K1169)))</f>
        <v/>
      </c>
      <c r="N1169" s="3">
        <f>IF($A1169="","",IFERROR(INDEX('CAT_ESTADOS_ERP'!$B$4:$B$7,MATCH(IFERROR(INDEX('2_IMPORTAR_EJECUCION'!$C$9:$C$1208,MATCH($AN1169,'2_IMPORTAR_EJECUCION'!$J$9:$J$1208,0)),""),'CAT_ESTADOS_ERP'!$A$4:$A$7,0)),"Pendiente"))</f>
        <v/>
      </c>
      <c r="O1169" s="3">
        <f>IF($J1169="","",YEAR($J1169+4-WEEKDAY($J1169,2))&amp;"-S"&amp;TEXT(_xlfn.ISOWEEKNUM($J1169),"00"))</f>
        <v/>
      </c>
      <c r="P1169" s="3">
        <f>IF($J1169="","",YEAR($J1169))</f>
        <v/>
      </c>
      <c r="Q1169" s="3">
        <f>IF($J1169="","",MONTH($J1169))</f>
        <v/>
      </c>
      <c r="R1169" s="3">
        <f>IF($J1169="","",INDEX(lista_dias,WEEKDAY($J1169,2)))</f>
        <v/>
      </c>
      <c r="S1169" s="3">
        <f>IF($I1169="","",IFERROR(INDEX('CAT_TIPOS_OT'!$C$4:$C$7,MATCH($I1169,'CAT_TIPOS_OT'!$A$4:$A$7,0)),"sin_clasificar"))</f>
        <v/>
      </c>
      <c r="T1169" s="3">
        <f>IF($F1169="","",IFERROR(INDEX('CAT_CENTROS_COSTO'!$E$4:$E$9,MATCH($F1169,'CAT_CENTROS_COSTO'!$A$4:$A$9,0)),"(sin catálogo)"))</f>
        <v/>
      </c>
      <c r="U1169" s="3">
        <f>IF($F1169="","",IFERROR(INDEX('CAT_CENTROS_COSTO'!$D$4:$D$9,MATCH($F1169,'CAT_CENTROS_COSTO'!$A$4:$A$9,0)),"(sin catálogo)"))</f>
        <v/>
      </c>
      <c r="V1169" s="3">
        <f>IF($F1169="","",IFERROR(INDEX('CAT_CENTROS_COSTO'!$F$4:$F$9,MATCH($F1169,'CAT_CENTROS_COSTO'!$A$4:$A$9,0)),"(sin catálogo)"))</f>
        <v/>
      </c>
      <c r="W1169" s="3">
        <f>IF($G1169="","",IFERROR(INDEX('CAT_PUESTOS'!$B$4:$B$8,MATCH($G1169,'CAT_PUESTOS'!$A$4:$A$8,0)),"(sin catálogo)"))</f>
        <v/>
      </c>
      <c r="X1169" s="3">
        <f>IF($H1169="","",IFERROR(INDEX('CAT_ACTIVIDADES'!$B$4:$B$8,MATCH($H1169,'CAT_ACTIVIDADES'!$A$4:$A$8,0)),"(sin catálogo)"))</f>
        <v/>
      </c>
      <c r="Y1169" s="12">
        <f>IF($J1169="","",TODAY()-$J1169)</f>
        <v/>
      </c>
      <c r="Z1169" s="3">
        <f>IF($Y1169="","",IF($Y1169&lt;0,"FUTURO",IF($Y1169&gt;p_dias_backlog_max,"BACKLOG","MES CORRIENTE")))</f>
        <v/>
      </c>
      <c r="AA1169" s="3">
        <f>IF($Y1169="",FALSE,AND($Y1169&gt;p_dias_backlog_min,$Y1169&lt;=p_dias_backlog_max))</f>
        <v/>
      </c>
      <c r="AB1169" s="6" t="n"/>
      <c r="AC1169" s="3">
        <f>IF($AB1169="","",IFERROR(INDEX('ASIGNACIONES'!$F$4:$F$339,MATCH($O1169&amp;"|"&amp;$R1169&amp;"|"&amp;$AB1169,'ASIGNACIONES'!$I$4:$I$339,0)),""))</f>
        <v/>
      </c>
      <c r="AD1169" s="13">
        <f>IF($AB1169="","",SUMIFS('ORDENES'!$M$4:$M$1203,'ORDENES'!$AB$4:$AB$1203,$AB1169,'ORDENES'!$O$4:$O$1203,$O1169,'ORDENES'!$R$4:$R$1203,$R1169))</f>
        <v/>
      </c>
      <c r="AE1169" s="13">
        <f>IF($AD1169="","",p_factor_productividad*IFERROR(INDEX('ASIGNACIONES'!$H$4:$H$339,MATCH($O1169&amp;"|"&amp;$R1169&amp;"|"&amp;$AB1169,'ASIGNACIONES'!$I$4:$I$339,0)),0)-$AD1169)</f>
        <v/>
      </c>
      <c r="AF1169" s="10">
        <f>IF($A1169="","",IFERROR(INDEX('2_IMPORTAR_EJECUCION'!$F$9:$F$1208,MATCH($AN1169,'2_IMPORTAR_EJECUCION'!$J$9:$J$1208,0)),0))</f>
        <v/>
      </c>
      <c r="AG1169" s="10">
        <f>IF($A1169="","",MAX(0,IFERROR(INDEX('2_IMPORTAR_EJECUCION'!$H$9:$H$1208,MATCH($AN1169,'2_IMPORTAR_EJECUCION'!$J$9:$J$1208,0)),0)-$AF1169))</f>
        <v/>
      </c>
      <c r="AH1169" s="10">
        <f>IF($A1169="","",$AF1169+$AG1169)</f>
        <v/>
      </c>
      <c r="AI1169" s="6" t="n"/>
      <c r="AJ1169" s="6" t="n"/>
      <c r="AK1169" s="6" t="n"/>
      <c r="AL1169" s="3">
        <f>IF($AK1169="","",HYPERLINK(p_ruta_base_checklists&amp;$AK1169,"abrir"))</f>
        <v/>
      </c>
      <c r="AM1169" s="6" t="n"/>
      <c r="AN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1" t="n"/>
      <c r="K1170" s="3" t="n"/>
      <c r="L1170" s="10" t="n"/>
      <c r="M1170" s="3">
        <f>IF($A1170="","",IFERROR(INDEX('AJUSTES'!$B$4:$B$303,MATCH($AN1170,'AJUSTES'!$A$4:$A$303,0)),IF($K1170="","",$K1170)))</f>
        <v/>
      </c>
      <c r="N1170" s="3">
        <f>IF($A1170="","",IFERROR(INDEX('CAT_ESTADOS_ERP'!$B$4:$B$7,MATCH(IFERROR(INDEX('2_IMPORTAR_EJECUCION'!$C$9:$C$1208,MATCH($AN1170,'2_IMPORTAR_EJECUCION'!$J$9:$J$1208,0)),""),'CAT_ESTADOS_ERP'!$A$4:$A$7,0)),"Pendiente"))</f>
        <v/>
      </c>
      <c r="O1170" s="3">
        <f>IF($J1170="","",YEAR($J1170+4-WEEKDAY($J1170,2))&amp;"-S"&amp;TEXT(_xlfn.ISOWEEKNUM($J1170),"00"))</f>
        <v/>
      </c>
      <c r="P1170" s="3">
        <f>IF($J1170="","",YEAR($J1170))</f>
        <v/>
      </c>
      <c r="Q1170" s="3">
        <f>IF($J1170="","",MONTH($J1170))</f>
        <v/>
      </c>
      <c r="R1170" s="3">
        <f>IF($J1170="","",INDEX(lista_dias,WEEKDAY($J1170,2)))</f>
        <v/>
      </c>
      <c r="S1170" s="3">
        <f>IF($I1170="","",IFERROR(INDEX('CAT_TIPOS_OT'!$C$4:$C$7,MATCH($I1170,'CAT_TIPOS_OT'!$A$4:$A$7,0)),"sin_clasificar"))</f>
        <v/>
      </c>
      <c r="T1170" s="3">
        <f>IF($F1170="","",IFERROR(INDEX('CAT_CENTROS_COSTO'!$E$4:$E$9,MATCH($F1170,'CAT_CENTROS_COSTO'!$A$4:$A$9,0)),"(sin catálogo)"))</f>
        <v/>
      </c>
      <c r="U1170" s="3">
        <f>IF($F1170="","",IFERROR(INDEX('CAT_CENTROS_COSTO'!$D$4:$D$9,MATCH($F1170,'CAT_CENTROS_COSTO'!$A$4:$A$9,0)),"(sin catálogo)"))</f>
        <v/>
      </c>
      <c r="V1170" s="3">
        <f>IF($F1170="","",IFERROR(INDEX('CAT_CENTROS_COSTO'!$F$4:$F$9,MATCH($F1170,'CAT_CENTROS_COSTO'!$A$4:$A$9,0)),"(sin catálogo)"))</f>
        <v/>
      </c>
      <c r="W1170" s="3">
        <f>IF($G1170="","",IFERROR(INDEX('CAT_PUESTOS'!$B$4:$B$8,MATCH($G1170,'CAT_PUESTOS'!$A$4:$A$8,0)),"(sin catálogo)"))</f>
        <v/>
      </c>
      <c r="X1170" s="3">
        <f>IF($H1170="","",IFERROR(INDEX('CAT_ACTIVIDADES'!$B$4:$B$8,MATCH($H1170,'CAT_ACTIVIDADES'!$A$4:$A$8,0)),"(sin catálogo)"))</f>
        <v/>
      </c>
      <c r="Y1170" s="12">
        <f>IF($J1170="","",TODAY()-$J1170)</f>
        <v/>
      </c>
      <c r="Z1170" s="3">
        <f>IF($Y1170="","",IF($Y1170&lt;0,"FUTURO",IF($Y1170&gt;p_dias_backlog_max,"BACKLOG","MES CORRIENTE")))</f>
        <v/>
      </c>
      <c r="AA1170" s="3">
        <f>IF($Y1170="",FALSE,AND($Y1170&gt;p_dias_backlog_min,$Y1170&lt;=p_dias_backlog_max))</f>
        <v/>
      </c>
      <c r="AB1170" s="6" t="n"/>
      <c r="AC1170" s="3">
        <f>IF($AB1170="","",IFERROR(INDEX('ASIGNACIONES'!$F$4:$F$339,MATCH($O1170&amp;"|"&amp;$R1170&amp;"|"&amp;$AB1170,'ASIGNACIONES'!$I$4:$I$339,0)),""))</f>
        <v/>
      </c>
      <c r="AD1170" s="13">
        <f>IF($AB1170="","",SUMIFS('ORDENES'!$M$4:$M$1203,'ORDENES'!$AB$4:$AB$1203,$AB1170,'ORDENES'!$O$4:$O$1203,$O1170,'ORDENES'!$R$4:$R$1203,$R1170))</f>
        <v/>
      </c>
      <c r="AE1170" s="13">
        <f>IF($AD1170="","",p_factor_productividad*IFERROR(INDEX('ASIGNACIONES'!$H$4:$H$339,MATCH($O1170&amp;"|"&amp;$R1170&amp;"|"&amp;$AB1170,'ASIGNACIONES'!$I$4:$I$339,0)),0)-$AD1170)</f>
        <v/>
      </c>
      <c r="AF1170" s="10">
        <f>IF($A1170="","",IFERROR(INDEX('2_IMPORTAR_EJECUCION'!$F$9:$F$1208,MATCH($AN1170,'2_IMPORTAR_EJECUCION'!$J$9:$J$1208,0)),0))</f>
        <v/>
      </c>
      <c r="AG1170" s="10">
        <f>IF($A1170="","",MAX(0,IFERROR(INDEX('2_IMPORTAR_EJECUCION'!$H$9:$H$1208,MATCH($AN1170,'2_IMPORTAR_EJECUCION'!$J$9:$J$1208,0)),0)-$AF1170))</f>
        <v/>
      </c>
      <c r="AH1170" s="10">
        <f>IF($A1170="","",$AF1170+$AG1170)</f>
        <v/>
      </c>
      <c r="AI1170" s="6" t="n"/>
      <c r="AJ1170" s="6" t="n"/>
      <c r="AK1170" s="6" t="n"/>
      <c r="AL1170" s="3">
        <f>IF($AK1170="","",HYPERLINK(p_ruta_base_checklists&amp;$AK1170,"abrir"))</f>
        <v/>
      </c>
      <c r="AM1170" s="6" t="n"/>
      <c r="AN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1" t="n"/>
      <c r="K1171" s="3" t="n"/>
      <c r="L1171" s="10" t="n"/>
      <c r="M1171" s="3">
        <f>IF($A1171="","",IFERROR(INDEX('AJUSTES'!$B$4:$B$303,MATCH($AN1171,'AJUSTES'!$A$4:$A$303,0)),IF($K1171="","",$K1171)))</f>
        <v/>
      </c>
      <c r="N1171" s="3">
        <f>IF($A1171="","",IFERROR(INDEX('CAT_ESTADOS_ERP'!$B$4:$B$7,MATCH(IFERROR(INDEX('2_IMPORTAR_EJECUCION'!$C$9:$C$1208,MATCH($AN1171,'2_IMPORTAR_EJECUCION'!$J$9:$J$1208,0)),""),'CAT_ESTADOS_ERP'!$A$4:$A$7,0)),"Pendiente"))</f>
        <v/>
      </c>
      <c r="O1171" s="3">
        <f>IF($J1171="","",YEAR($J1171+4-WEEKDAY($J1171,2))&amp;"-S"&amp;TEXT(_xlfn.ISOWEEKNUM($J1171),"00"))</f>
        <v/>
      </c>
      <c r="P1171" s="3">
        <f>IF($J1171="","",YEAR($J1171))</f>
        <v/>
      </c>
      <c r="Q1171" s="3">
        <f>IF($J1171="","",MONTH($J1171))</f>
        <v/>
      </c>
      <c r="R1171" s="3">
        <f>IF($J1171="","",INDEX(lista_dias,WEEKDAY($J1171,2)))</f>
        <v/>
      </c>
      <c r="S1171" s="3">
        <f>IF($I1171="","",IFERROR(INDEX('CAT_TIPOS_OT'!$C$4:$C$7,MATCH($I1171,'CAT_TIPOS_OT'!$A$4:$A$7,0)),"sin_clasificar"))</f>
        <v/>
      </c>
      <c r="T1171" s="3">
        <f>IF($F1171="","",IFERROR(INDEX('CAT_CENTROS_COSTO'!$E$4:$E$9,MATCH($F1171,'CAT_CENTROS_COSTO'!$A$4:$A$9,0)),"(sin catálogo)"))</f>
        <v/>
      </c>
      <c r="U1171" s="3">
        <f>IF($F1171="","",IFERROR(INDEX('CAT_CENTROS_COSTO'!$D$4:$D$9,MATCH($F1171,'CAT_CENTROS_COSTO'!$A$4:$A$9,0)),"(sin catálogo)"))</f>
        <v/>
      </c>
      <c r="V1171" s="3">
        <f>IF($F1171="","",IFERROR(INDEX('CAT_CENTROS_COSTO'!$F$4:$F$9,MATCH($F1171,'CAT_CENTROS_COSTO'!$A$4:$A$9,0)),"(sin catálogo)"))</f>
        <v/>
      </c>
      <c r="W1171" s="3">
        <f>IF($G1171="","",IFERROR(INDEX('CAT_PUESTOS'!$B$4:$B$8,MATCH($G1171,'CAT_PUESTOS'!$A$4:$A$8,0)),"(sin catálogo)"))</f>
        <v/>
      </c>
      <c r="X1171" s="3">
        <f>IF($H1171="","",IFERROR(INDEX('CAT_ACTIVIDADES'!$B$4:$B$8,MATCH($H1171,'CAT_ACTIVIDADES'!$A$4:$A$8,0)),"(sin catálogo)"))</f>
        <v/>
      </c>
      <c r="Y1171" s="12">
        <f>IF($J1171="","",TODAY()-$J1171)</f>
        <v/>
      </c>
      <c r="Z1171" s="3">
        <f>IF($Y1171="","",IF($Y1171&lt;0,"FUTURO",IF($Y1171&gt;p_dias_backlog_max,"BACKLOG","MES CORRIENTE")))</f>
        <v/>
      </c>
      <c r="AA1171" s="3">
        <f>IF($Y1171="",FALSE,AND($Y1171&gt;p_dias_backlog_min,$Y1171&lt;=p_dias_backlog_max))</f>
        <v/>
      </c>
      <c r="AB1171" s="6" t="n"/>
      <c r="AC1171" s="3">
        <f>IF($AB1171="","",IFERROR(INDEX('ASIGNACIONES'!$F$4:$F$339,MATCH($O1171&amp;"|"&amp;$R1171&amp;"|"&amp;$AB1171,'ASIGNACIONES'!$I$4:$I$339,0)),""))</f>
        <v/>
      </c>
      <c r="AD1171" s="13">
        <f>IF($AB1171="","",SUMIFS('ORDENES'!$M$4:$M$1203,'ORDENES'!$AB$4:$AB$1203,$AB1171,'ORDENES'!$O$4:$O$1203,$O1171,'ORDENES'!$R$4:$R$1203,$R1171))</f>
        <v/>
      </c>
      <c r="AE1171" s="13">
        <f>IF($AD1171="","",p_factor_productividad*IFERROR(INDEX('ASIGNACIONES'!$H$4:$H$339,MATCH($O1171&amp;"|"&amp;$R1171&amp;"|"&amp;$AB1171,'ASIGNACIONES'!$I$4:$I$339,0)),0)-$AD1171)</f>
        <v/>
      </c>
      <c r="AF1171" s="10">
        <f>IF($A1171="","",IFERROR(INDEX('2_IMPORTAR_EJECUCION'!$F$9:$F$1208,MATCH($AN1171,'2_IMPORTAR_EJECUCION'!$J$9:$J$1208,0)),0))</f>
        <v/>
      </c>
      <c r="AG1171" s="10">
        <f>IF($A1171="","",MAX(0,IFERROR(INDEX('2_IMPORTAR_EJECUCION'!$H$9:$H$1208,MATCH($AN1171,'2_IMPORTAR_EJECUCION'!$J$9:$J$1208,0)),0)-$AF1171))</f>
        <v/>
      </c>
      <c r="AH1171" s="10">
        <f>IF($A1171="","",$AF1171+$AG1171)</f>
        <v/>
      </c>
      <c r="AI1171" s="6" t="n"/>
      <c r="AJ1171" s="6" t="n"/>
      <c r="AK1171" s="6" t="n"/>
      <c r="AL1171" s="3">
        <f>IF($AK1171="","",HYPERLINK(p_ruta_base_checklists&amp;$AK1171,"abrir"))</f>
        <v/>
      </c>
      <c r="AM1171" s="6" t="n"/>
      <c r="AN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1" t="n"/>
      <c r="K1172" s="3" t="n"/>
      <c r="L1172" s="10" t="n"/>
      <c r="M1172" s="3">
        <f>IF($A1172="","",IFERROR(INDEX('AJUSTES'!$B$4:$B$303,MATCH($AN1172,'AJUSTES'!$A$4:$A$303,0)),IF($K1172="","",$K1172)))</f>
        <v/>
      </c>
      <c r="N1172" s="3">
        <f>IF($A1172="","",IFERROR(INDEX('CAT_ESTADOS_ERP'!$B$4:$B$7,MATCH(IFERROR(INDEX('2_IMPORTAR_EJECUCION'!$C$9:$C$1208,MATCH($AN1172,'2_IMPORTAR_EJECUCION'!$J$9:$J$1208,0)),""),'CAT_ESTADOS_ERP'!$A$4:$A$7,0)),"Pendiente"))</f>
        <v/>
      </c>
      <c r="O1172" s="3">
        <f>IF($J1172="","",YEAR($J1172+4-WEEKDAY($J1172,2))&amp;"-S"&amp;TEXT(_xlfn.ISOWEEKNUM($J1172),"00"))</f>
        <v/>
      </c>
      <c r="P1172" s="3">
        <f>IF($J1172="","",YEAR($J1172))</f>
        <v/>
      </c>
      <c r="Q1172" s="3">
        <f>IF($J1172="","",MONTH($J1172))</f>
        <v/>
      </c>
      <c r="R1172" s="3">
        <f>IF($J1172="","",INDEX(lista_dias,WEEKDAY($J1172,2)))</f>
        <v/>
      </c>
      <c r="S1172" s="3">
        <f>IF($I1172="","",IFERROR(INDEX('CAT_TIPOS_OT'!$C$4:$C$7,MATCH($I1172,'CAT_TIPOS_OT'!$A$4:$A$7,0)),"sin_clasificar"))</f>
        <v/>
      </c>
      <c r="T1172" s="3">
        <f>IF($F1172="","",IFERROR(INDEX('CAT_CENTROS_COSTO'!$E$4:$E$9,MATCH($F1172,'CAT_CENTROS_COSTO'!$A$4:$A$9,0)),"(sin catálogo)"))</f>
        <v/>
      </c>
      <c r="U1172" s="3">
        <f>IF($F1172="","",IFERROR(INDEX('CAT_CENTROS_COSTO'!$D$4:$D$9,MATCH($F1172,'CAT_CENTROS_COSTO'!$A$4:$A$9,0)),"(sin catálogo)"))</f>
        <v/>
      </c>
      <c r="V1172" s="3">
        <f>IF($F1172="","",IFERROR(INDEX('CAT_CENTROS_COSTO'!$F$4:$F$9,MATCH($F1172,'CAT_CENTROS_COSTO'!$A$4:$A$9,0)),"(sin catálogo)"))</f>
        <v/>
      </c>
      <c r="W1172" s="3">
        <f>IF($G1172="","",IFERROR(INDEX('CAT_PUESTOS'!$B$4:$B$8,MATCH($G1172,'CAT_PUESTOS'!$A$4:$A$8,0)),"(sin catálogo)"))</f>
        <v/>
      </c>
      <c r="X1172" s="3">
        <f>IF($H1172="","",IFERROR(INDEX('CAT_ACTIVIDADES'!$B$4:$B$8,MATCH($H1172,'CAT_ACTIVIDADES'!$A$4:$A$8,0)),"(sin catálogo)"))</f>
        <v/>
      </c>
      <c r="Y1172" s="12">
        <f>IF($J1172="","",TODAY()-$J1172)</f>
        <v/>
      </c>
      <c r="Z1172" s="3">
        <f>IF($Y1172="","",IF($Y1172&lt;0,"FUTURO",IF($Y1172&gt;p_dias_backlog_max,"BACKLOG","MES CORRIENTE")))</f>
        <v/>
      </c>
      <c r="AA1172" s="3">
        <f>IF($Y1172="",FALSE,AND($Y1172&gt;p_dias_backlog_min,$Y1172&lt;=p_dias_backlog_max))</f>
        <v/>
      </c>
      <c r="AB1172" s="6" t="n"/>
      <c r="AC1172" s="3">
        <f>IF($AB1172="","",IFERROR(INDEX('ASIGNACIONES'!$F$4:$F$339,MATCH($O1172&amp;"|"&amp;$R1172&amp;"|"&amp;$AB1172,'ASIGNACIONES'!$I$4:$I$339,0)),""))</f>
        <v/>
      </c>
      <c r="AD1172" s="13">
        <f>IF($AB1172="","",SUMIFS('ORDENES'!$M$4:$M$1203,'ORDENES'!$AB$4:$AB$1203,$AB1172,'ORDENES'!$O$4:$O$1203,$O1172,'ORDENES'!$R$4:$R$1203,$R1172))</f>
        <v/>
      </c>
      <c r="AE1172" s="13">
        <f>IF($AD1172="","",p_factor_productividad*IFERROR(INDEX('ASIGNACIONES'!$H$4:$H$339,MATCH($O1172&amp;"|"&amp;$R1172&amp;"|"&amp;$AB1172,'ASIGNACIONES'!$I$4:$I$339,0)),0)-$AD1172)</f>
        <v/>
      </c>
      <c r="AF1172" s="10">
        <f>IF($A1172="","",IFERROR(INDEX('2_IMPORTAR_EJECUCION'!$F$9:$F$1208,MATCH($AN1172,'2_IMPORTAR_EJECUCION'!$J$9:$J$1208,0)),0))</f>
        <v/>
      </c>
      <c r="AG1172" s="10">
        <f>IF($A1172="","",MAX(0,IFERROR(INDEX('2_IMPORTAR_EJECUCION'!$H$9:$H$1208,MATCH($AN1172,'2_IMPORTAR_EJECUCION'!$J$9:$J$1208,0)),0)-$AF1172))</f>
        <v/>
      </c>
      <c r="AH1172" s="10">
        <f>IF($A1172="","",$AF1172+$AG1172)</f>
        <v/>
      </c>
      <c r="AI1172" s="6" t="n"/>
      <c r="AJ1172" s="6" t="n"/>
      <c r="AK1172" s="6" t="n"/>
      <c r="AL1172" s="3">
        <f>IF($AK1172="","",HYPERLINK(p_ruta_base_checklists&amp;$AK1172,"abrir"))</f>
        <v/>
      </c>
      <c r="AM1172" s="6" t="n"/>
      <c r="AN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1" t="n"/>
      <c r="K1173" s="3" t="n"/>
      <c r="L1173" s="10" t="n"/>
      <c r="M1173" s="3">
        <f>IF($A1173="","",IFERROR(INDEX('AJUSTES'!$B$4:$B$303,MATCH($AN1173,'AJUSTES'!$A$4:$A$303,0)),IF($K1173="","",$K1173)))</f>
        <v/>
      </c>
      <c r="N1173" s="3">
        <f>IF($A1173="","",IFERROR(INDEX('CAT_ESTADOS_ERP'!$B$4:$B$7,MATCH(IFERROR(INDEX('2_IMPORTAR_EJECUCION'!$C$9:$C$1208,MATCH($AN1173,'2_IMPORTAR_EJECUCION'!$J$9:$J$1208,0)),""),'CAT_ESTADOS_ERP'!$A$4:$A$7,0)),"Pendiente"))</f>
        <v/>
      </c>
      <c r="O1173" s="3">
        <f>IF($J1173="","",YEAR($J1173+4-WEEKDAY($J1173,2))&amp;"-S"&amp;TEXT(_xlfn.ISOWEEKNUM($J1173),"00"))</f>
        <v/>
      </c>
      <c r="P1173" s="3">
        <f>IF($J1173="","",YEAR($J1173))</f>
        <v/>
      </c>
      <c r="Q1173" s="3">
        <f>IF($J1173="","",MONTH($J1173))</f>
        <v/>
      </c>
      <c r="R1173" s="3">
        <f>IF($J1173="","",INDEX(lista_dias,WEEKDAY($J1173,2)))</f>
        <v/>
      </c>
      <c r="S1173" s="3">
        <f>IF($I1173="","",IFERROR(INDEX('CAT_TIPOS_OT'!$C$4:$C$7,MATCH($I1173,'CAT_TIPOS_OT'!$A$4:$A$7,0)),"sin_clasificar"))</f>
        <v/>
      </c>
      <c r="T1173" s="3">
        <f>IF($F1173="","",IFERROR(INDEX('CAT_CENTROS_COSTO'!$E$4:$E$9,MATCH($F1173,'CAT_CENTROS_COSTO'!$A$4:$A$9,0)),"(sin catálogo)"))</f>
        <v/>
      </c>
      <c r="U1173" s="3">
        <f>IF($F1173="","",IFERROR(INDEX('CAT_CENTROS_COSTO'!$D$4:$D$9,MATCH($F1173,'CAT_CENTROS_COSTO'!$A$4:$A$9,0)),"(sin catálogo)"))</f>
        <v/>
      </c>
      <c r="V1173" s="3">
        <f>IF($F1173="","",IFERROR(INDEX('CAT_CENTROS_COSTO'!$F$4:$F$9,MATCH($F1173,'CAT_CENTROS_COSTO'!$A$4:$A$9,0)),"(sin catálogo)"))</f>
        <v/>
      </c>
      <c r="W1173" s="3">
        <f>IF($G1173="","",IFERROR(INDEX('CAT_PUESTOS'!$B$4:$B$8,MATCH($G1173,'CAT_PUESTOS'!$A$4:$A$8,0)),"(sin catálogo)"))</f>
        <v/>
      </c>
      <c r="X1173" s="3">
        <f>IF($H1173="","",IFERROR(INDEX('CAT_ACTIVIDADES'!$B$4:$B$8,MATCH($H1173,'CAT_ACTIVIDADES'!$A$4:$A$8,0)),"(sin catálogo)"))</f>
        <v/>
      </c>
      <c r="Y1173" s="12">
        <f>IF($J1173="","",TODAY()-$J1173)</f>
        <v/>
      </c>
      <c r="Z1173" s="3">
        <f>IF($Y1173="","",IF($Y1173&lt;0,"FUTURO",IF($Y1173&gt;p_dias_backlog_max,"BACKLOG","MES CORRIENTE")))</f>
        <v/>
      </c>
      <c r="AA1173" s="3">
        <f>IF($Y1173="",FALSE,AND($Y1173&gt;p_dias_backlog_min,$Y1173&lt;=p_dias_backlog_max))</f>
        <v/>
      </c>
      <c r="AB1173" s="6" t="n"/>
      <c r="AC1173" s="3">
        <f>IF($AB1173="","",IFERROR(INDEX('ASIGNACIONES'!$F$4:$F$339,MATCH($O1173&amp;"|"&amp;$R1173&amp;"|"&amp;$AB1173,'ASIGNACIONES'!$I$4:$I$339,0)),""))</f>
        <v/>
      </c>
      <c r="AD1173" s="13">
        <f>IF($AB1173="","",SUMIFS('ORDENES'!$M$4:$M$1203,'ORDENES'!$AB$4:$AB$1203,$AB1173,'ORDENES'!$O$4:$O$1203,$O1173,'ORDENES'!$R$4:$R$1203,$R1173))</f>
        <v/>
      </c>
      <c r="AE1173" s="13">
        <f>IF($AD1173="","",p_factor_productividad*IFERROR(INDEX('ASIGNACIONES'!$H$4:$H$339,MATCH($O1173&amp;"|"&amp;$R1173&amp;"|"&amp;$AB1173,'ASIGNACIONES'!$I$4:$I$339,0)),0)-$AD1173)</f>
        <v/>
      </c>
      <c r="AF1173" s="10">
        <f>IF($A1173="","",IFERROR(INDEX('2_IMPORTAR_EJECUCION'!$F$9:$F$1208,MATCH($AN1173,'2_IMPORTAR_EJECUCION'!$J$9:$J$1208,0)),0))</f>
        <v/>
      </c>
      <c r="AG1173" s="10">
        <f>IF($A1173="","",MAX(0,IFERROR(INDEX('2_IMPORTAR_EJECUCION'!$H$9:$H$1208,MATCH($AN1173,'2_IMPORTAR_EJECUCION'!$J$9:$J$1208,0)),0)-$AF1173))</f>
        <v/>
      </c>
      <c r="AH1173" s="10">
        <f>IF($A1173="","",$AF1173+$AG1173)</f>
        <v/>
      </c>
      <c r="AI1173" s="6" t="n"/>
      <c r="AJ1173" s="6" t="n"/>
      <c r="AK1173" s="6" t="n"/>
      <c r="AL1173" s="3">
        <f>IF($AK1173="","",HYPERLINK(p_ruta_base_checklists&amp;$AK1173,"abrir"))</f>
        <v/>
      </c>
      <c r="AM1173" s="6" t="n"/>
      <c r="AN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1" t="n"/>
      <c r="K1174" s="3" t="n"/>
      <c r="L1174" s="10" t="n"/>
      <c r="M1174" s="3">
        <f>IF($A1174="","",IFERROR(INDEX('AJUSTES'!$B$4:$B$303,MATCH($AN1174,'AJUSTES'!$A$4:$A$303,0)),IF($K1174="","",$K1174)))</f>
        <v/>
      </c>
      <c r="N1174" s="3">
        <f>IF($A1174="","",IFERROR(INDEX('CAT_ESTADOS_ERP'!$B$4:$B$7,MATCH(IFERROR(INDEX('2_IMPORTAR_EJECUCION'!$C$9:$C$1208,MATCH($AN1174,'2_IMPORTAR_EJECUCION'!$J$9:$J$1208,0)),""),'CAT_ESTADOS_ERP'!$A$4:$A$7,0)),"Pendiente"))</f>
        <v/>
      </c>
      <c r="O1174" s="3">
        <f>IF($J1174="","",YEAR($J1174+4-WEEKDAY($J1174,2))&amp;"-S"&amp;TEXT(_xlfn.ISOWEEKNUM($J1174),"00"))</f>
        <v/>
      </c>
      <c r="P1174" s="3">
        <f>IF($J1174="","",YEAR($J1174))</f>
        <v/>
      </c>
      <c r="Q1174" s="3">
        <f>IF($J1174="","",MONTH($J1174))</f>
        <v/>
      </c>
      <c r="R1174" s="3">
        <f>IF($J1174="","",INDEX(lista_dias,WEEKDAY($J1174,2)))</f>
        <v/>
      </c>
      <c r="S1174" s="3">
        <f>IF($I1174="","",IFERROR(INDEX('CAT_TIPOS_OT'!$C$4:$C$7,MATCH($I1174,'CAT_TIPOS_OT'!$A$4:$A$7,0)),"sin_clasificar"))</f>
        <v/>
      </c>
      <c r="T1174" s="3">
        <f>IF($F1174="","",IFERROR(INDEX('CAT_CENTROS_COSTO'!$E$4:$E$9,MATCH($F1174,'CAT_CENTROS_COSTO'!$A$4:$A$9,0)),"(sin catálogo)"))</f>
        <v/>
      </c>
      <c r="U1174" s="3">
        <f>IF($F1174="","",IFERROR(INDEX('CAT_CENTROS_COSTO'!$D$4:$D$9,MATCH($F1174,'CAT_CENTROS_COSTO'!$A$4:$A$9,0)),"(sin catálogo)"))</f>
        <v/>
      </c>
      <c r="V1174" s="3">
        <f>IF($F1174="","",IFERROR(INDEX('CAT_CENTROS_COSTO'!$F$4:$F$9,MATCH($F1174,'CAT_CENTROS_COSTO'!$A$4:$A$9,0)),"(sin catálogo)"))</f>
        <v/>
      </c>
      <c r="W1174" s="3">
        <f>IF($G1174="","",IFERROR(INDEX('CAT_PUESTOS'!$B$4:$B$8,MATCH($G1174,'CAT_PUESTOS'!$A$4:$A$8,0)),"(sin catálogo)"))</f>
        <v/>
      </c>
      <c r="X1174" s="3">
        <f>IF($H1174="","",IFERROR(INDEX('CAT_ACTIVIDADES'!$B$4:$B$8,MATCH($H1174,'CAT_ACTIVIDADES'!$A$4:$A$8,0)),"(sin catálogo)"))</f>
        <v/>
      </c>
      <c r="Y1174" s="12">
        <f>IF($J1174="","",TODAY()-$J1174)</f>
        <v/>
      </c>
      <c r="Z1174" s="3">
        <f>IF($Y1174="","",IF($Y1174&lt;0,"FUTURO",IF($Y1174&gt;p_dias_backlog_max,"BACKLOG","MES CORRIENTE")))</f>
        <v/>
      </c>
      <c r="AA1174" s="3">
        <f>IF($Y1174="",FALSE,AND($Y1174&gt;p_dias_backlog_min,$Y1174&lt;=p_dias_backlog_max))</f>
        <v/>
      </c>
      <c r="AB1174" s="6" t="n"/>
      <c r="AC1174" s="3">
        <f>IF($AB1174="","",IFERROR(INDEX('ASIGNACIONES'!$F$4:$F$339,MATCH($O1174&amp;"|"&amp;$R1174&amp;"|"&amp;$AB1174,'ASIGNACIONES'!$I$4:$I$339,0)),""))</f>
        <v/>
      </c>
      <c r="AD1174" s="13">
        <f>IF($AB1174="","",SUMIFS('ORDENES'!$M$4:$M$1203,'ORDENES'!$AB$4:$AB$1203,$AB1174,'ORDENES'!$O$4:$O$1203,$O1174,'ORDENES'!$R$4:$R$1203,$R1174))</f>
        <v/>
      </c>
      <c r="AE1174" s="13">
        <f>IF($AD1174="","",p_factor_productividad*IFERROR(INDEX('ASIGNACIONES'!$H$4:$H$339,MATCH($O1174&amp;"|"&amp;$R1174&amp;"|"&amp;$AB1174,'ASIGNACIONES'!$I$4:$I$339,0)),0)-$AD1174)</f>
        <v/>
      </c>
      <c r="AF1174" s="10">
        <f>IF($A1174="","",IFERROR(INDEX('2_IMPORTAR_EJECUCION'!$F$9:$F$1208,MATCH($AN1174,'2_IMPORTAR_EJECUCION'!$J$9:$J$1208,0)),0))</f>
        <v/>
      </c>
      <c r="AG1174" s="10">
        <f>IF($A1174="","",MAX(0,IFERROR(INDEX('2_IMPORTAR_EJECUCION'!$H$9:$H$1208,MATCH($AN1174,'2_IMPORTAR_EJECUCION'!$J$9:$J$1208,0)),0)-$AF1174))</f>
        <v/>
      </c>
      <c r="AH1174" s="10">
        <f>IF($A1174="","",$AF1174+$AG1174)</f>
        <v/>
      </c>
      <c r="AI1174" s="6" t="n"/>
      <c r="AJ1174" s="6" t="n"/>
      <c r="AK1174" s="6" t="n"/>
      <c r="AL1174" s="3">
        <f>IF($AK1174="","",HYPERLINK(p_ruta_base_checklists&amp;$AK1174,"abrir"))</f>
        <v/>
      </c>
      <c r="AM1174" s="6" t="n"/>
      <c r="AN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1" t="n"/>
      <c r="K1175" s="3" t="n"/>
      <c r="L1175" s="10" t="n"/>
      <c r="M1175" s="3">
        <f>IF($A1175="","",IFERROR(INDEX('AJUSTES'!$B$4:$B$303,MATCH($AN1175,'AJUSTES'!$A$4:$A$303,0)),IF($K1175="","",$K1175)))</f>
        <v/>
      </c>
      <c r="N1175" s="3">
        <f>IF($A1175="","",IFERROR(INDEX('CAT_ESTADOS_ERP'!$B$4:$B$7,MATCH(IFERROR(INDEX('2_IMPORTAR_EJECUCION'!$C$9:$C$1208,MATCH($AN1175,'2_IMPORTAR_EJECUCION'!$J$9:$J$1208,0)),""),'CAT_ESTADOS_ERP'!$A$4:$A$7,0)),"Pendiente"))</f>
        <v/>
      </c>
      <c r="O1175" s="3">
        <f>IF($J1175="","",YEAR($J1175+4-WEEKDAY($J1175,2))&amp;"-S"&amp;TEXT(_xlfn.ISOWEEKNUM($J1175),"00"))</f>
        <v/>
      </c>
      <c r="P1175" s="3">
        <f>IF($J1175="","",YEAR($J1175))</f>
        <v/>
      </c>
      <c r="Q1175" s="3">
        <f>IF($J1175="","",MONTH($J1175))</f>
        <v/>
      </c>
      <c r="R1175" s="3">
        <f>IF($J1175="","",INDEX(lista_dias,WEEKDAY($J1175,2)))</f>
        <v/>
      </c>
      <c r="S1175" s="3">
        <f>IF($I1175="","",IFERROR(INDEX('CAT_TIPOS_OT'!$C$4:$C$7,MATCH($I1175,'CAT_TIPOS_OT'!$A$4:$A$7,0)),"sin_clasificar"))</f>
        <v/>
      </c>
      <c r="T1175" s="3">
        <f>IF($F1175="","",IFERROR(INDEX('CAT_CENTROS_COSTO'!$E$4:$E$9,MATCH($F1175,'CAT_CENTROS_COSTO'!$A$4:$A$9,0)),"(sin catálogo)"))</f>
        <v/>
      </c>
      <c r="U1175" s="3">
        <f>IF($F1175="","",IFERROR(INDEX('CAT_CENTROS_COSTO'!$D$4:$D$9,MATCH($F1175,'CAT_CENTROS_COSTO'!$A$4:$A$9,0)),"(sin catálogo)"))</f>
        <v/>
      </c>
      <c r="V1175" s="3">
        <f>IF($F1175="","",IFERROR(INDEX('CAT_CENTROS_COSTO'!$F$4:$F$9,MATCH($F1175,'CAT_CENTROS_COSTO'!$A$4:$A$9,0)),"(sin catálogo)"))</f>
        <v/>
      </c>
      <c r="W1175" s="3">
        <f>IF($G1175="","",IFERROR(INDEX('CAT_PUESTOS'!$B$4:$B$8,MATCH($G1175,'CAT_PUESTOS'!$A$4:$A$8,0)),"(sin catálogo)"))</f>
        <v/>
      </c>
      <c r="X1175" s="3">
        <f>IF($H1175="","",IFERROR(INDEX('CAT_ACTIVIDADES'!$B$4:$B$8,MATCH($H1175,'CAT_ACTIVIDADES'!$A$4:$A$8,0)),"(sin catálogo)"))</f>
        <v/>
      </c>
      <c r="Y1175" s="12">
        <f>IF($J1175="","",TODAY()-$J1175)</f>
        <v/>
      </c>
      <c r="Z1175" s="3">
        <f>IF($Y1175="","",IF($Y1175&lt;0,"FUTURO",IF($Y1175&gt;p_dias_backlog_max,"BACKLOG","MES CORRIENTE")))</f>
        <v/>
      </c>
      <c r="AA1175" s="3">
        <f>IF($Y1175="",FALSE,AND($Y1175&gt;p_dias_backlog_min,$Y1175&lt;=p_dias_backlog_max))</f>
        <v/>
      </c>
      <c r="AB1175" s="6" t="n"/>
      <c r="AC1175" s="3">
        <f>IF($AB1175="","",IFERROR(INDEX('ASIGNACIONES'!$F$4:$F$339,MATCH($O1175&amp;"|"&amp;$R1175&amp;"|"&amp;$AB1175,'ASIGNACIONES'!$I$4:$I$339,0)),""))</f>
        <v/>
      </c>
      <c r="AD1175" s="13">
        <f>IF($AB1175="","",SUMIFS('ORDENES'!$M$4:$M$1203,'ORDENES'!$AB$4:$AB$1203,$AB1175,'ORDENES'!$O$4:$O$1203,$O1175,'ORDENES'!$R$4:$R$1203,$R1175))</f>
        <v/>
      </c>
      <c r="AE1175" s="13">
        <f>IF($AD1175="","",p_factor_productividad*IFERROR(INDEX('ASIGNACIONES'!$H$4:$H$339,MATCH($O1175&amp;"|"&amp;$R1175&amp;"|"&amp;$AB1175,'ASIGNACIONES'!$I$4:$I$339,0)),0)-$AD1175)</f>
        <v/>
      </c>
      <c r="AF1175" s="10">
        <f>IF($A1175="","",IFERROR(INDEX('2_IMPORTAR_EJECUCION'!$F$9:$F$1208,MATCH($AN1175,'2_IMPORTAR_EJECUCION'!$J$9:$J$1208,0)),0))</f>
        <v/>
      </c>
      <c r="AG1175" s="10">
        <f>IF($A1175="","",MAX(0,IFERROR(INDEX('2_IMPORTAR_EJECUCION'!$H$9:$H$1208,MATCH($AN1175,'2_IMPORTAR_EJECUCION'!$J$9:$J$1208,0)),0)-$AF1175))</f>
        <v/>
      </c>
      <c r="AH1175" s="10">
        <f>IF($A1175="","",$AF1175+$AG1175)</f>
        <v/>
      </c>
      <c r="AI1175" s="6" t="n"/>
      <c r="AJ1175" s="6" t="n"/>
      <c r="AK1175" s="6" t="n"/>
      <c r="AL1175" s="3">
        <f>IF($AK1175="","",HYPERLINK(p_ruta_base_checklists&amp;$AK1175,"abrir"))</f>
        <v/>
      </c>
      <c r="AM1175" s="6" t="n"/>
      <c r="AN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1" t="n"/>
      <c r="K1176" s="3" t="n"/>
      <c r="L1176" s="10" t="n"/>
      <c r="M1176" s="3">
        <f>IF($A1176="","",IFERROR(INDEX('AJUSTES'!$B$4:$B$303,MATCH($AN1176,'AJUSTES'!$A$4:$A$303,0)),IF($K1176="","",$K1176)))</f>
        <v/>
      </c>
      <c r="N1176" s="3">
        <f>IF($A1176="","",IFERROR(INDEX('CAT_ESTADOS_ERP'!$B$4:$B$7,MATCH(IFERROR(INDEX('2_IMPORTAR_EJECUCION'!$C$9:$C$1208,MATCH($AN1176,'2_IMPORTAR_EJECUCION'!$J$9:$J$1208,0)),""),'CAT_ESTADOS_ERP'!$A$4:$A$7,0)),"Pendiente"))</f>
        <v/>
      </c>
      <c r="O1176" s="3">
        <f>IF($J1176="","",YEAR($J1176+4-WEEKDAY($J1176,2))&amp;"-S"&amp;TEXT(_xlfn.ISOWEEKNUM($J1176),"00"))</f>
        <v/>
      </c>
      <c r="P1176" s="3">
        <f>IF($J1176="","",YEAR($J1176))</f>
        <v/>
      </c>
      <c r="Q1176" s="3">
        <f>IF($J1176="","",MONTH($J1176))</f>
        <v/>
      </c>
      <c r="R1176" s="3">
        <f>IF($J1176="","",INDEX(lista_dias,WEEKDAY($J1176,2)))</f>
        <v/>
      </c>
      <c r="S1176" s="3">
        <f>IF($I1176="","",IFERROR(INDEX('CAT_TIPOS_OT'!$C$4:$C$7,MATCH($I1176,'CAT_TIPOS_OT'!$A$4:$A$7,0)),"sin_clasificar"))</f>
        <v/>
      </c>
      <c r="T1176" s="3">
        <f>IF($F1176="","",IFERROR(INDEX('CAT_CENTROS_COSTO'!$E$4:$E$9,MATCH($F1176,'CAT_CENTROS_COSTO'!$A$4:$A$9,0)),"(sin catálogo)"))</f>
        <v/>
      </c>
      <c r="U1176" s="3">
        <f>IF($F1176="","",IFERROR(INDEX('CAT_CENTROS_COSTO'!$D$4:$D$9,MATCH($F1176,'CAT_CENTROS_COSTO'!$A$4:$A$9,0)),"(sin catálogo)"))</f>
        <v/>
      </c>
      <c r="V1176" s="3">
        <f>IF($F1176="","",IFERROR(INDEX('CAT_CENTROS_COSTO'!$F$4:$F$9,MATCH($F1176,'CAT_CENTROS_COSTO'!$A$4:$A$9,0)),"(sin catálogo)"))</f>
        <v/>
      </c>
      <c r="W1176" s="3">
        <f>IF($G1176="","",IFERROR(INDEX('CAT_PUESTOS'!$B$4:$B$8,MATCH($G1176,'CAT_PUESTOS'!$A$4:$A$8,0)),"(sin catálogo)"))</f>
        <v/>
      </c>
      <c r="X1176" s="3">
        <f>IF($H1176="","",IFERROR(INDEX('CAT_ACTIVIDADES'!$B$4:$B$8,MATCH($H1176,'CAT_ACTIVIDADES'!$A$4:$A$8,0)),"(sin catálogo)"))</f>
        <v/>
      </c>
      <c r="Y1176" s="12">
        <f>IF($J1176="","",TODAY()-$J1176)</f>
        <v/>
      </c>
      <c r="Z1176" s="3">
        <f>IF($Y1176="","",IF($Y1176&lt;0,"FUTURO",IF($Y1176&gt;p_dias_backlog_max,"BACKLOG","MES CORRIENTE")))</f>
        <v/>
      </c>
      <c r="AA1176" s="3">
        <f>IF($Y1176="",FALSE,AND($Y1176&gt;p_dias_backlog_min,$Y1176&lt;=p_dias_backlog_max))</f>
        <v/>
      </c>
      <c r="AB1176" s="6" t="n"/>
      <c r="AC1176" s="3">
        <f>IF($AB1176="","",IFERROR(INDEX('ASIGNACIONES'!$F$4:$F$339,MATCH($O1176&amp;"|"&amp;$R1176&amp;"|"&amp;$AB1176,'ASIGNACIONES'!$I$4:$I$339,0)),""))</f>
        <v/>
      </c>
      <c r="AD1176" s="13">
        <f>IF($AB1176="","",SUMIFS('ORDENES'!$M$4:$M$1203,'ORDENES'!$AB$4:$AB$1203,$AB1176,'ORDENES'!$O$4:$O$1203,$O1176,'ORDENES'!$R$4:$R$1203,$R1176))</f>
        <v/>
      </c>
      <c r="AE1176" s="13">
        <f>IF($AD1176="","",p_factor_productividad*IFERROR(INDEX('ASIGNACIONES'!$H$4:$H$339,MATCH($O1176&amp;"|"&amp;$R1176&amp;"|"&amp;$AB1176,'ASIGNACIONES'!$I$4:$I$339,0)),0)-$AD1176)</f>
        <v/>
      </c>
      <c r="AF1176" s="10">
        <f>IF($A1176="","",IFERROR(INDEX('2_IMPORTAR_EJECUCION'!$F$9:$F$1208,MATCH($AN1176,'2_IMPORTAR_EJECUCION'!$J$9:$J$1208,0)),0))</f>
        <v/>
      </c>
      <c r="AG1176" s="10">
        <f>IF($A1176="","",MAX(0,IFERROR(INDEX('2_IMPORTAR_EJECUCION'!$H$9:$H$1208,MATCH($AN1176,'2_IMPORTAR_EJECUCION'!$J$9:$J$1208,0)),0)-$AF1176))</f>
        <v/>
      </c>
      <c r="AH1176" s="10">
        <f>IF($A1176="","",$AF1176+$AG1176)</f>
        <v/>
      </c>
      <c r="AI1176" s="6" t="n"/>
      <c r="AJ1176" s="6" t="n"/>
      <c r="AK1176" s="6" t="n"/>
      <c r="AL1176" s="3">
        <f>IF($AK1176="","",HYPERLINK(p_ruta_base_checklists&amp;$AK1176,"abrir"))</f>
        <v/>
      </c>
      <c r="AM1176" s="6" t="n"/>
      <c r="AN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1" t="n"/>
      <c r="K1177" s="3" t="n"/>
      <c r="L1177" s="10" t="n"/>
      <c r="M1177" s="3">
        <f>IF($A1177="","",IFERROR(INDEX('AJUSTES'!$B$4:$B$303,MATCH($AN1177,'AJUSTES'!$A$4:$A$303,0)),IF($K1177="","",$K1177)))</f>
        <v/>
      </c>
      <c r="N1177" s="3">
        <f>IF($A1177="","",IFERROR(INDEX('CAT_ESTADOS_ERP'!$B$4:$B$7,MATCH(IFERROR(INDEX('2_IMPORTAR_EJECUCION'!$C$9:$C$1208,MATCH($AN1177,'2_IMPORTAR_EJECUCION'!$J$9:$J$1208,0)),""),'CAT_ESTADOS_ERP'!$A$4:$A$7,0)),"Pendiente"))</f>
        <v/>
      </c>
      <c r="O1177" s="3">
        <f>IF($J1177="","",YEAR($J1177+4-WEEKDAY($J1177,2))&amp;"-S"&amp;TEXT(_xlfn.ISOWEEKNUM($J1177),"00"))</f>
        <v/>
      </c>
      <c r="P1177" s="3">
        <f>IF($J1177="","",YEAR($J1177))</f>
        <v/>
      </c>
      <c r="Q1177" s="3">
        <f>IF($J1177="","",MONTH($J1177))</f>
        <v/>
      </c>
      <c r="R1177" s="3">
        <f>IF($J1177="","",INDEX(lista_dias,WEEKDAY($J1177,2)))</f>
        <v/>
      </c>
      <c r="S1177" s="3">
        <f>IF($I1177="","",IFERROR(INDEX('CAT_TIPOS_OT'!$C$4:$C$7,MATCH($I1177,'CAT_TIPOS_OT'!$A$4:$A$7,0)),"sin_clasificar"))</f>
        <v/>
      </c>
      <c r="T1177" s="3">
        <f>IF($F1177="","",IFERROR(INDEX('CAT_CENTROS_COSTO'!$E$4:$E$9,MATCH($F1177,'CAT_CENTROS_COSTO'!$A$4:$A$9,0)),"(sin catálogo)"))</f>
        <v/>
      </c>
      <c r="U1177" s="3">
        <f>IF($F1177="","",IFERROR(INDEX('CAT_CENTROS_COSTO'!$D$4:$D$9,MATCH($F1177,'CAT_CENTROS_COSTO'!$A$4:$A$9,0)),"(sin catálogo)"))</f>
        <v/>
      </c>
      <c r="V1177" s="3">
        <f>IF($F1177="","",IFERROR(INDEX('CAT_CENTROS_COSTO'!$F$4:$F$9,MATCH($F1177,'CAT_CENTROS_COSTO'!$A$4:$A$9,0)),"(sin catálogo)"))</f>
        <v/>
      </c>
      <c r="W1177" s="3">
        <f>IF($G1177="","",IFERROR(INDEX('CAT_PUESTOS'!$B$4:$B$8,MATCH($G1177,'CAT_PUESTOS'!$A$4:$A$8,0)),"(sin catálogo)"))</f>
        <v/>
      </c>
      <c r="X1177" s="3">
        <f>IF($H1177="","",IFERROR(INDEX('CAT_ACTIVIDADES'!$B$4:$B$8,MATCH($H1177,'CAT_ACTIVIDADES'!$A$4:$A$8,0)),"(sin catálogo)"))</f>
        <v/>
      </c>
      <c r="Y1177" s="12">
        <f>IF($J1177="","",TODAY()-$J1177)</f>
        <v/>
      </c>
      <c r="Z1177" s="3">
        <f>IF($Y1177="","",IF($Y1177&lt;0,"FUTURO",IF($Y1177&gt;p_dias_backlog_max,"BACKLOG","MES CORRIENTE")))</f>
        <v/>
      </c>
      <c r="AA1177" s="3">
        <f>IF($Y1177="",FALSE,AND($Y1177&gt;p_dias_backlog_min,$Y1177&lt;=p_dias_backlog_max))</f>
        <v/>
      </c>
      <c r="AB1177" s="6" t="n"/>
      <c r="AC1177" s="3">
        <f>IF($AB1177="","",IFERROR(INDEX('ASIGNACIONES'!$F$4:$F$339,MATCH($O1177&amp;"|"&amp;$R1177&amp;"|"&amp;$AB1177,'ASIGNACIONES'!$I$4:$I$339,0)),""))</f>
        <v/>
      </c>
      <c r="AD1177" s="13">
        <f>IF($AB1177="","",SUMIFS('ORDENES'!$M$4:$M$1203,'ORDENES'!$AB$4:$AB$1203,$AB1177,'ORDENES'!$O$4:$O$1203,$O1177,'ORDENES'!$R$4:$R$1203,$R1177))</f>
        <v/>
      </c>
      <c r="AE1177" s="13">
        <f>IF($AD1177="","",p_factor_productividad*IFERROR(INDEX('ASIGNACIONES'!$H$4:$H$339,MATCH($O1177&amp;"|"&amp;$R1177&amp;"|"&amp;$AB1177,'ASIGNACIONES'!$I$4:$I$339,0)),0)-$AD1177)</f>
        <v/>
      </c>
      <c r="AF1177" s="10">
        <f>IF($A1177="","",IFERROR(INDEX('2_IMPORTAR_EJECUCION'!$F$9:$F$1208,MATCH($AN1177,'2_IMPORTAR_EJECUCION'!$J$9:$J$1208,0)),0))</f>
        <v/>
      </c>
      <c r="AG1177" s="10">
        <f>IF($A1177="","",MAX(0,IFERROR(INDEX('2_IMPORTAR_EJECUCION'!$H$9:$H$1208,MATCH($AN1177,'2_IMPORTAR_EJECUCION'!$J$9:$J$1208,0)),0)-$AF1177))</f>
        <v/>
      </c>
      <c r="AH1177" s="10">
        <f>IF($A1177="","",$AF1177+$AG1177)</f>
        <v/>
      </c>
      <c r="AI1177" s="6" t="n"/>
      <c r="AJ1177" s="6" t="n"/>
      <c r="AK1177" s="6" t="n"/>
      <c r="AL1177" s="3">
        <f>IF($AK1177="","",HYPERLINK(p_ruta_base_checklists&amp;$AK1177,"abrir"))</f>
        <v/>
      </c>
      <c r="AM1177" s="6" t="n"/>
      <c r="AN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1" t="n"/>
      <c r="K1178" s="3" t="n"/>
      <c r="L1178" s="10" t="n"/>
      <c r="M1178" s="3">
        <f>IF($A1178="","",IFERROR(INDEX('AJUSTES'!$B$4:$B$303,MATCH($AN1178,'AJUSTES'!$A$4:$A$303,0)),IF($K1178="","",$K1178)))</f>
        <v/>
      </c>
      <c r="N1178" s="3">
        <f>IF($A1178="","",IFERROR(INDEX('CAT_ESTADOS_ERP'!$B$4:$B$7,MATCH(IFERROR(INDEX('2_IMPORTAR_EJECUCION'!$C$9:$C$1208,MATCH($AN1178,'2_IMPORTAR_EJECUCION'!$J$9:$J$1208,0)),""),'CAT_ESTADOS_ERP'!$A$4:$A$7,0)),"Pendiente"))</f>
        <v/>
      </c>
      <c r="O1178" s="3">
        <f>IF($J1178="","",YEAR($J1178+4-WEEKDAY($J1178,2))&amp;"-S"&amp;TEXT(_xlfn.ISOWEEKNUM($J1178),"00"))</f>
        <v/>
      </c>
      <c r="P1178" s="3">
        <f>IF($J1178="","",YEAR($J1178))</f>
        <v/>
      </c>
      <c r="Q1178" s="3">
        <f>IF($J1178="","",MONTH($J1178))</f>
        <v/>
      </c>
      <c r="R1178" s="3">
        <f>IF($J1178="","",INDEX(lista_dias,WEEKDAY($J1178,2)))</f>
        <v/>
      </c>
      <c r="S1178" s="3">
        <f>IF($I1178="","",IFERROR(INDEX('CAT_TIPOS_OT'!$C$4:$C$7,MATCH($I1178,'CAT_TIPOS_OT'!$A$4:$A$7,0)),"sin_clasificar"))</f>
        <v/>
      </c>
      <c r="T1178" s="3">
        <f>IF($F1178="","",IFERROR(INDEX('CAT_CENTROS_COSTO'!$E$4:$E$9,MATCH($F1178,'CAT_CENTROS_COSTO'!$A$4:$A$9,0)),"(sin catálogo)"))</f>
        <v/>
      </c>
      <c r="U1178" s="3">
        <f>IF($F1178="","",IFERROR(INDEX('CAT_CENTROS_COSTO'!$D$4:$D$9,MATCH($F1178,'CAT_CENTROS_COSTO'!$A$4:$A$9,0)),"(sin catálogo)"))</f>
        <v/>
      </c>
      <c r="V1178" s="3">
        <f>IF($F1178="","",IFERROR(INDEX('CAT_CENTROS_COSTO'!$F$4:$F$9,MATCH($F1178,'CAT_CENTROS_COSTO'!$A$4:$A$9,0)),"(sin catálogo)"))</f>
        <v/>
      </c>
      <c r="W1178" s="3">
        <f>IF($G1178="","",IFERROR(INDEX('CAT_PUESTOS'!$B$4:$B$8,MATCH($G1178,'CAT_PUESTOS'!$A$4:$A$8,0)),"(sin catálogo)"))</f>
        <v/>
      </c>
      <c r="X1178" s="3">
        <f>IF($H1178="","",IFERROR(INDEX('CAT_ACTIVIDADES'!$B$4:$B$8,MATCH($H1178,'CAT_ACTIVIDADES'!$A$4:$A$8,0)),"(sin catálogo)"))</f>
        <v/>
      </c>
      <c r="Y1178" s="12">
        <f>IF($J1178="","",TODAY()-$J1178)</f>
        <v/>
      </c>
      <c r="Z1178" s="3">
        <f>IF($Y1178="","",IF($Y1178&lt;0,"FUTURO",IF($Y1178&gt;p_dias_backlog_max,"BACKLOG","MES CORRIENTE")))</f>
        <v/>
      </c>
      <c r="AA1178" s="3">
        <f>IF($Y1178="",FALSE,AND($Y1178&gt;p_dias_backlog_min,$Y1178&lt;=p_dias_backlog_max))</f>
        <v/>
      </c>
      <c r="AB1178" s="6" t="n"/>
      <c r="AC1178" s="3">
        <f>IF($AB1178="","",IFERROR(INDEX('ASIGNACIONES'!$F$4:$F$339,MATCH($O1178&amp;"|"&amp;$R1178&amp;"|"&amp;$AB1178,'ASIGNACIONES'!$I$4:$I$339,0)),""))</f>
        <v/>
      </c>
      <c r="AD1178" s="13">
        <f>IF($AB1178="","",SUMIFS('ORDENES'!$M$4:$M$1203,'ORDENES'!$AB$4:$AB$1203,$AB1178,'ORDENES'!$O$4:$O$1203,$O1178,'ORDENES'!$R$4:$R$1203,$R1178))</f>
        <v/>
      </c>
      <c r="AE1178" s="13">
        <f>IF($AD1178="","",p_factor_productividad*IFERROR(INDEX('ASIGNACIONES'!$H$4:$H$339,MATCH($O1178&amp;"|"&amp;$R1178&amp;"|"&amp;$AB1178,'ASIGNACIONES'!$I$4:$I$339,0)),0)-$AD1178)</f>
        <v/>
      </c>
      <c r="AF1178" s="10">
        <f>IF($A1178="","",IFERROR(INDEX('2_IMPORTAR_EJECUCION'!$F$9:$F$1208,MATCH($AN1178,'2_IMPORTAR_EJECUCION'!$J$9:$J$1208,0)),0))</f>
        <v/>
      </c>
      <c r="AG1178" s="10">
        <f>IF($A1178="","",MAX(0,IFERROR(INDEX('2_IMPORTAR_EJECUCION'!$H$9:$H$1208,MATCH($AN1178,'2_IMPORTAR_EJECUCION'!$J$9:$J$1208,0)),0)-$AF1178))</f>
        <v/>
      </c>
      <c r="AH1178" s="10">
        <f>IF($A1178="","",$AF1178+$AG1178)</f>
        <v/>
      </c>
      <c r="AI1178" s="6" t="n"/>
      <c r="AJ1178" s="6" t="n"/>
      <c r="AK1178" s="6" t="n"/>
      <c r="AL1178" s="3">
        <f>IF($AK1178="","",HYPERLINK(p_ruta_base_checklists&amp;$AK1178,"abrir"))</f>
        <v/>
      </c>
      <c r="AM1178" s="6" t="n"/>
      <c r="AN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1" t="n"/>
      <c r="K1179" s="3" t="n"/>
      <c r="L1179" s="10" t="n"/>
      <c r="M1179" s="3">
        <f>IF($A1179="","",IFERROR(INDEX('AJUSTES'!$B$4:$B$303,MATCH($AN1179,'AJUSTES'!$A$4:$A$303,0)),IF($K1179="","",$K1179)))</f>
        <v/>
      </c>
      <c r="N1179" s="3">
        <f>IF($A1179="","",IFERROR(INDEX('CAT_ESTADOS_ERP'!$B$4:$B$7,MATCH(IFERROR(INDEX('2_IMPORTAR_EJECUCION'!$C$9:$C$1208,MATCH($AN1179,'2_IMPORTAR_EJECUCION'!$J$9:$J$1208,0)),""),'CAT_ESTADOS_ERP'!$A$4:$A$7,0)),"Pendiente"))</f>
        <v/>
      </c>
      <c r="O1179" s="3">
        <f>IF($J1179="","",YEAR($J1179+4-WEEKDAY($J1179,2))&amp;"-S"&amp;TEXT(_xlfn.ISOWEEKNUM($J1179),"00"))</f>
        <v/>
      </c>
      <c r="P1179" s="3">
        <f>IF($J1179="","",YEAR($J1179))</f>
        <v/>
      </c>
      <c r="Q1179" s="3">
        <f>IF($J1179="","",MONTH($J1179))</f>
        <v/>
      </c>
      <c r="R1179" s="3">
        <f>IF($J1179="","",INDEX(lista_dias,WEEKDAY($J1179,2)))</f>
        <v/>
      </c>
      <c r="S1179" s="3">
        <f>IF($I1179="","",IFERROR(INDEX('CAT_TIPOS_OT'!$C$4:$C$7,MATCH($I1179,'CAT_TIPOS_OT'!$A$4:$A$7,0)),"sin_clasificar"))</f>
        <v/>
      </c>
      <c r="T1179" s="3">
        <f>IF($F1179="","",IFERROR(INDEX('CAT_CENTROS_COSTO'!$E$4:$E$9,MATCH($F1179,'CAT_CENTROS_COSTO'!$A$4:$A$9,0)),"(sin catálogo)"))</f>
        <v/>
      </c>
      <c r="U1179" s="3">
        <f>IF($F1179="","",IFERROR(INDEX('CAT_CENTROS_COSTO'!$D$4:$D$9,MATCH($F1179,'CAT_CENTROS_COSTO'!$A$4:$A$9,0)),"(sin catálogo)"))</f>
        <v/>
      </c>
      <c r="V1179" s="3">
        <f>IF($F1179="","",IFERROR(INDEX('CAT_CENTROS_COSTO'!$F$4:$F$9,MATCH($F1179,'CAT_CENTROS_COSTO'!$A$4:$A$9,0)),"(sin catálogo)"))</f>
        <v/>
      </c>
      <c r="W1179" s="3">
        <f>IF($G1179="","",IFERROR(INDEX('CAT_PUESTOS'!$B$4:$B$8,MATCH($G1179,'CAT_PUESTOS'!$A$4:$A$8,0)),"(sin catálogo)"))</f>
        <v/>
      </c>
      <c r="X1179" s="3">
        <f>IF($H1179="","",IFERROR(INDEX('CAT_ACTIVIDADES'!$B$4:$B$8,MATCH($H1179,'CAT_ACTIVIDADES'!$A$4:$A$8,0)),"(sin catálogo)"))</f>
        <v/>
      </c>
      <c r="Y1179" s="12">
        <f>IF($J1179="","",TODAY()-$J1179)</f>
        <v/>
      </c>
      <c r="Z1179" s="3">
        <f>IF($Y1179="","",IF($Y1179&lt;0,"FUTURO",IF($Y1179&gt;p_dias_backlog_max,"BACKLOG","MES CORRIENTE")))</f>
        <v/>
      </c>
      <c r="AA1179" s="3">
        <f>IF($Y1179="",FALSE,AND($Y1179&gt;p_dias_backlog_min,$Y1179&lt;=p_dias_backlog_max))</f>
        <v/>
      </c>
      <c r="AB1179" s="6" t="n"/>
      <c r="AC1179" s="3">
        <f>IF($AB1179="","",IFERROR(INDEX('ASIGNACIONES'!$F$4:$F$339,MATCH($O1179&amp;"|"&amp;$R1179&amp;"|"&amp;$AB1179,'ASIGNACIONES'!$I$4:$I$339,0)),""))</f>
        <v/>
      </c>
      <c r="AD1179" s="13">
        <f>IF($AB1179="","",SUMIFS('ORDENES'!$M$4:$M$1203,'ORDENES'!$AB$4:$AB$1203,$AB1179,'ORDENES'!$O$4:$O$1203,$O1179,'ORDENES'!$R$4:$R$1203,$R1179))</f>
        <v/>
      </c>
      <c r="AE1179" s="13">
        <f>IF($AD1179="","",p_factor_productividad*IFERROR(INDEX('ASIGNACIONES'!$H$4:$H$339,MATCH($O1179&amp;"|"&amp;$R1179&amp;"|"&amp;$AB1179,'ASIGNACIONES'!$I$4:$I$339,0)),0)-$AD1179)</f>
        <v/>
      </c>
      <c r="AF1179" s="10">
        <f>IF($A1179="","",IFERROR(INDEX('2_IMPORTAR_EJECUCION'!$F$9:$F$1208,MATCH($AN1179,'2_IMPORTAR_EJECUCION'!$J$9:$J$1208,0)),0))</f>
        <v/>
      </c>
      <c r="AG1179" s="10">
        <f>IF($A1179="","",MAX(0,IFERROR(INDEX('2_IMPORTAR_EJECUCION'!$H$9:$H$1208,MATCH($AN1179,'2_IMPORTAR_EJECUCION'!$J$9:$J$1208,0)),0)-$AF1179))</f>
        <v/>
      </c>
      <c r="AH1179" s="10">
        <f>IF($A1179="","",$AF1179+$AG1179)</f>
        <v/>
      </c>
      <c r="AI1179" s="6" t="n"/>
      <c r="AJ1179" s="6" t="n"/>
      <c r="AK1179" s="6" t="n"/>
      <c r="AL1179" s="3">
        <f>IF($AK1179="","",HYPERLINK(p_ruta_base_checklists&amp;$AK1179,"abrir"))</f>
        <v/>
      </c>
      <c r="AM1179" s="6" t="n"/>
      <c r="AN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1" t="n"/>
      <c r="K1180" s="3" t="n"/>
      <c r="L1180" s="10" t="n"/>
      <c r="M1180" s="3">
        <f>IF($A1180="","",IFERROR(INDEX('AJUSTES'!$B$4:$B$303,MATCH($AN1180,'AJUSTES'!$A$4:$A$303,0)),IF($K1180="","",$K1180)))</f>
        <v/>
      </c>
      <c r="N1180" s="3">
        <f>IF($A1180="","",IFERROR(INDEX('CAT_ESTADOS_ERP'!$B$4:$B$7,MATCH(IFERROR(INDEX('2_IMPORTAR_EJECUCION'!$C$9:$C$1208,MATCH($AN1180,'2_IMPORTAR_EJECUCION'!$J$9:$J$1208,0)),""),'CAT_ESTADOS_ERP'!$A$4:$A$7,0)),"Pendiente"))</f>
        <v/>
      </c>
      <c r="O1180" s="3">
        <f>IF($J1180="","",YEAR($J1180+4-WEEKDAY($J1180,2))&amp;"-S"&amp;TEXT(_xlfn.ISOWEEKNUM($J1180),"00"))</f>
        <v/>
      </c>
      <c r="P1180" s="3">
        <f>IF($J1180="","",YEAR($J1180))</f>
        <v/>
      </c>
      <c r="Q1180" s="3">
        <f>IF($J1180="","",MONTH($J1180))</f>
        <v/>
      </c>
      <c r="R1180" s="3">
        <f>IF($J1180="","",INDEX(lista_dias,WEEKDAY($J1180,2)))</f>
        <v/>
      </c>
      <c r="S1180" s="3">
        <f>IF($I1180="","",IFERROR(INDEX('CAT_TIPOS_OT'!$C$4:$C$7,MATCH($I1180,'CAT_TIPOS_OT'!$A$4:$A$7,0)),"sin_clasificar"))</f>
        <v/>
      </c>
      <c r="T1180" s="3">
        <f>IF($F1180="","",IFERROR(INDEX('CAT_CENTROS_COSTO'!$E$4:$E$9,MATCH($F1180,'CAT_CENTROS_COSTO'!$A$4:$A$9,0)),"(sin catálogo)"))</f>
        <v/>
      </c>
      <c r="U1180" s="3">
        <f>IF($F1180="","",IFERROR(INDEX('CAT_CENTROS_COSTO'!$D$4:$D$9,MATCH($F1180,'CAT_CENTROS_COSTO'!$A$4:$A$9,0)),"(sin catálogo)"))</f>
        <v/>
      </c>
      <c r="V1180" s="3">
        <f>IF($F1180="","",IFERROR(INDEX('CAT_CENTROS_COSTO'!$F$4:$F$9,MATCH($F1180,'CAT_CENTROS_COSTO'!$A$4:$A$9,0)),"(sin catálogo)"))</f>
        <v/>
      </c>
      <c r="W1180" s="3">
        <f>IF($G1180="","",IFERROR(INDEX('CAT_PUESTOS'!$B$4:$B$8,MATCH($G1180,'CAT_PUESTOS'!$A$4:$A$8,0)),"(sin catálogo)"))</f>
        <v/>
      </c>
      <c r="X1180" s="3">
        <f>IF($H1180="","",IFERROR(INDEX('CAT_ACTIVIDADES'!$B$4:$B$8,MATCH($H1180,'CAT_ACTIVIDADES'!$A$4:$A$8,0)),"(sin catálogo)"))</f>
        <v/>
      </c>
      <c r="Y1180" s="12">
        <f>IF($J1180="","",TODAY()-$J1180)</f>
        <v/>
      </c>
      <c r="Z1180" s="3">
        <f>IF($Y1180="","",IF($Y1180&lt;0,"FUTURO",IF($Y1180&gt;p_dias_backlog_max,"BACKLOG","MES CORRIENTE")))</f>
        <v/>
      </c>
      <c r="AA1180" s="3">
        <f>IF($Y1180="",FALSE,AND($Y1180&gt;p_dias_backlog_min,$Y1180&lt;=p_dias_backlog_max))</f>
        <v/>
      </c>
      <c r="AB1180" s="6" t="n"/>
      <c r="AC1180" s="3">
        <f>IF($AB1180="","",IFERROR(INDEX('ASIGNACIONES'!$F$4:$F$339,MATCH($O1180&amp;"|"&amp;$R1180&amp;"|"&amp;$AB1180,'ASIGNACIONES'!$I$4:$I$339,0)),""))</f>
        <v/>
      </c>
      <c r="AD1180" s="13">
        <f>IF($AB1180="","",SUMIFS('ORDENES'!$M$4:$M$1203,'ORDENES'!$AB$4:$AB$1203,$AB1180,'ORDENES'!$O$4:$O$1203,$O1180,'ORDENES'!$R$4:$R$1203,$R1180))</f>
        <v/>
      </c>
      <c r="AE1180" s="13">
        <f>IF($AD1180="","",p_factor_productividad*IFERROR(INDEX('ASIGNACIONES'!$H$4:$H$339,MATCH($O1180&amp;"|"&amp;$R1180&amp;"|"&amp;$AB1180,'ASIGNACIONES'!$I$4:$I$339,0)),0)-$AD1180)</f>
        <v/>
      </c>
      <c r="AF1180" s="10">
        <f>IF($A1180="","",IFERROR(INDEX('2_IMPORTAR_EJECUCION'!$F$9:$F$1208,MATCH($AN1180,'2_IMPORTAR_EJECUCION'!$J$9:$J$1208,0)),0))</f>
        <v/>
      </c>
      <c r="AG1180" s="10">
        <f>IF($A1180="","",MAX(0,IFERROR(INDEX('2_IMPORTAR_EJECUCION'!$H$9:$H$1208,MATCH($AN1180,'2_IMPORTAR_EJECUCION'!$J$9:$J$1208,0)),0)-$AF1180))</f>
        <v/>
      </c>
      <c r="AH1180" s="10">
        <f>IF($A1180="","",$AF1180+$AG1180)</f>
        <v/>
      </c>
      <c r="AI1180" s="6" t="n"/>
      <c r="AJ1180" s="6" t="n"/>
      <c r="AK1180" s="6" t="n"/>
      <c r="AL1180" s="3">
        <f>IF($AK1180="","",HYPERLINK(p_ruta_base_checklists&amp;$AK1180,"abrir"))</f>
        <v/>
      </c>
      <c r="AM1180" s="6" t="n"/>
      <c r="AN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1" t="n"/>
      <c r="K1181" s="3" t="n"/>
      <c r="L1181" s="10" t="n"/>
      <c r="M1181" s="3">
        <f>IF($A1181="","",IFERROR(INDEX('AJUSTES'!$B$4:$B$303,MATCH($AN1181,'AJUSTES'!$A$4:$A$303,0)),IF($K1181="","",$K1181)))</f>
        <v/>
      </c>
      <c r="N1181" s="3">
        <f>IF($A1181="","",IFERROR(INDEX('CAT_ESTADOS_ERP'!$B$4:$B$7,MATCH(IFERROR(INDEX('2_IMPORTAR_EJECUCION'!$C$9:$C$1208,MATCH($AN1181,'2_IMPORTAR_EJECUCION'!$J$9:$J$1208,0)),""),'CAT_ESTADOS_ERP'!$A$4:$A$7,0)),"Pendiente"))</f>
        <v/>
      </c>
      <c r="O1181" s="3">
        <f>IF($J1181="","",YEAR($J1181+4-WEEKDAY($J1181,2))&amp;"-S"&amp;TEXT(_xlfn.ISOWEEKNUM($J1181),"00"))</f>
        <v/>
      </c>
      <c r="P1181" s="3">
        <f>IF($J1181="","",YEAR($J1181))</f>
        <v/>
      </c>
      <c r="Q1181" s="3">
        <f>IF($J1181="","",MONTH($J1181))</f>
        <v/>
      </c>
      <c r="R1181" s="3">
        <f>IF($J1181="","",INDEX(lista_dias,WEEKDAY($J1181,2)))</f>
        <v/>
      </c>
      <c r="S1181" s="3">
        <f>IF($I1181="","",IFERROR(INDEX('CAT_TIPOS_OT'!$C$4:$C$7,MATCH($I1181,'CAT_TIPOS_OT'!$A$4:$A$7,0)),"sin_clasificar"))</f>
        <v/>
      </c>
      <c r="T1181" s="3">
        <f>IF($F1181="","",IFERROR(INDEX('CAT_CENTROS_COSTO'!$E$4:$E$9,MATCH($F1181,'CAT_CENTROS_COSTO'!$A$4:$A$9,0)),"(sin catálogo)"))</f>
        <v/>
      </c>
      <c r="U1181" s="3">
        <f>IF($F1181="","",IFERROR(INDEX('CAT_CENTROS_COSTO'!$D$4:$D$9,MATCH($F1181,'CAT_CENTROS_COSTO'!$A$4:$A$9,0)),"(sin catálogo)"))</f>
        <v/>
      </c>
      <c r="V1181" s="3">
        <f>IF($F1181="","",IFERROR(INDEX('CAT_CENTROS_COSTO'!$F$4:$F$9,MATCH($F1181,'CAT_CENTROS_COSTO'!$A$4:$A$9,0)),"(sin catálogo)"))</f>
        <v/>
      </c>
      <c r="W1181" s="3">
        <f>IF($G1181="","",IFERROR(INDEX('CAT_PUESTOS'!$B$4:$B$8,MATCH($G1181,'CAT_PUESTOS'!$A$4:$A$8,0)),"(sin catálogo)"))</f>
        <v/>
      </c>
      <c r="X1181" s="3">
        <f>IF($H1181="","",IFERROR(INDEX('CAT_ACTIVIDADES'!$B$4:$B$8,MATCH($H1181,'CAT_ACTIVIDADES'!$A$4:$A$8,0)),"(sin catálogo)"))</f>
        <v/>
      </c>
      <c r="Y1181" s="12">
        <f>IF($J1181="","",TODAY()-$J1181)</f>
        <v/>
      </c>
      <c r="Z1181" s="3">
        <f>IF($Y1181="","",IF($Y1181&lt;0,"FUTURO",IF($Y1181&gt;p_dias_backlog_max,"BACKLOG","MES CORRIENTE")))</f>
        <v/>
      </c>
      <c r="AA1181" s="3">
        <f>IF($Y1181="",FALSE,AND($Y1181&gt;p_dias_backlog_min,$Y1181&lt;=p_dias_backlog_max))</f>
        <v/>
      </c>
      <c r="AB1181" s="6" t="n"/>
      <c r="AC1181" s="3">
        <f>IF($AB1181="","",IFERROR(INDEX('ASIGNACIONES'!$F$4:$F$339,MATCH($O1181&amp;"|"&amp;$R1181&amp;"|"&amp;$AB1181,'ASIGNACIONES'!$I$4:$I$339,0)),""))</f>
        <v/>
      </c>
      <c r="AD1181" s="13">
        <f>IF($AB1181="","",SUMIFS('ORDENES'!$M$4:$M$1203,'ORDENES'!$AB$4:$AB$1203,$AB1181,'ORDENES'!$O$4:$O$1203,$O1181,'ORDENES'!$R$4:$R$1203,$R1181))</f>
        <v/>
      </c>
      <c r="AE1181" s="13">
        <f>IF($AD1181="","",p_factor_productividad*IFERROR(INDEX('ASIGNACIONES'!$H$4:$H$339,MATCH($O1181&amp;"|"&amp;$R1181&amp;"|"&amp;$AB1181,'ASIGNACIONES'!$I$4:$I$339,0)),0)-$AD1181)</f>
        <v/>
      </c>
      <c r="AF1181" s="10">
        <f>IF($A1181="","",IFERROR(INDEX('2_IMPORTAR_EJECUCION'!$F$9:$F$1208,MATCH($AN1181,'2_IMPORTAR_EJECUCION'!$J$9:$J$1208,0)),0))</f>
        <v/>
      </c>
      <c r="AG1181" s="10">
        <f>IF($A1181="","",MAX(0,IFERROR(INDEX('2_IMPORTAR_EJECUCION'!$H$9:$H$1208,MATCH($AN1181,'2_IMPORTAR_EJECUCION'!$J$9:$J$1208,0)),0)-$AF1181))</f>
        <v/>
      </c>
      <c r="AH1181" s="10">
        <f>IF($A1181="","",$AF1181+$AG1181)</f>
        <v/>
      </c>
      <c r="AI1181" s="6" t="n"/>
      <c r="AJ1181" s="6" t="n"/>
      <c r="AK1181" s="6" t="n"/>
      <c r="AL1181" s="3">
        <f>IF($AK1181="","",HYPERLINK(p_ruta_base_checklists&amp;$AK1181,"abrir"))</f>
        <v/>
      </c>
      <c r="AM1181" s="6" t="n"/>
      <c r="AN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1" t="n"/>
      <c r="K1182" s="3" t="n"/>
      <c r="L1182" s="10" t="n"/>
      <c r="M1182" s="3">
        <f>IF($A1182="","",IFERROR(INDEX('AJUSTES'!$B$4:$B$303,MATCH($AN1182,'AJUSTES'!$A$4:$A$303,0)),IF($K1182="","",$K1182)))</f>
        <v/>
      </c>
      <c r="N1182" s="3">
        <f>IF($A1182="","",IFERROR(INDEX('CAT_ESTADOS_ERP'!$B$4:$B$7,MATCH(IFERROR(INDEX('2_IMPORTAR_EJECUCION'!$C$9:$C$1208,MATCH($AN1182,'2_IMPORTAR_EJECUCION'!$J$9:$J$1208,0)),""),'CAT_ESTADOS_ERP'!$A$4:$A$7,0)),"Pendiente"))</f>
        <v/>
      </c>
      <c r="O1182" s="3">
        <f>IF($J1182="","",YEAR($J1182+4-WEEKDAY($J1182,2))&amp;"-S"&amp;TEXT(_xlfn.ISOWEEKNUM($J1182),"00"))</f>
        <v/>
      </c>
      <c r="P1182" s="3">
        <f>IF($J1182="","",YEAR($J1182))</f>
        <v/>
      </c>
      <c r="Q1182" s="3">
        <f>IF($J1182="","",MONTH($J1182))</f>
        <v/>
      </c>
      <c r="R1182" s="3">
        <f>IF($J1182="","",INDEX(lista_dias,WEEKDAY($J1182,2)))</f>
        <v/>
      </c>
      <c r="S1182" s="3">
        <f>IF($I1182="","",IFERROR(INDEX('CAT_TIPOS_OT'!$C$4:$C$7,MATCH($I1182,'CAT_TIPOS_OT'!$A$4:$A$7,0)),"sin_clasificar"))</f>
        <v/>
      </c>
      <c r="T1182" s="3">
        <f>IF($F1182="","",IFERROR(INDEX('CAT_CENTROS_COSTO'!$E$4:$E$9,MATCH($F1182,'CAT_CENTROS_COSTO'!$A$4:$A$9,0)),"(sin catálogo)"))</f>
        <v/>
      </c>
      <c r="U1182" s="3">
        <f>IF($F1182="","",IFERROR(INDEX('CAT_CENTROS_COSTO'!$D$4:$D$9,MATCH($F1182,'CAT_CENTROS_COSTO'!$A$4:$A$9,0)),"(sin catálogo)"))</f>
        <v/>
      </c>
      <c r="V1182" s="3">
        <f>IF($F1182="","",IFERROR(INDEX('CAT_CENTROS_COSTO'!$F$4:$F$9,MATCH($F1182,'CAT_CENTROS_COSTO'!$A$4:$A$9,0)),"(sin catálogo)"))</f>
        <v/>
      </c>
      <c r="W1182" s="3">
        <f>IF($G1182="","",IFERROR(INDEX('CAT_PUESTOS'!$B$4:$B$8,MATCH($G1182,'CAT_PUESTOS'!$A$4:$A$8,0)),"(sin catálogo)"))</f>
        <v/>
      </c>
      <c r="X1182" s="3">
        <f>IF($H1182="","",IFERROR(INDEX('CAT_ACTIVIDADES'!$B$4:$B$8,MATCH($H1182,'CAT_ACTIVIDADES'!$A$4:$A$8,0)),"(sin catálogo)"))</f>
        <v/>
      </c>
      <c r="Y1182" s="12">
        <f>IF($J1182="","",TODAY()-$J1182)</f>
        <v/>
      </c>
      <c r="Z1182" s="3">
        <f>IF($Y1182="","",IF($Y1182&lt;0,"FUTURO",IF($Y1182&gt;p_dias_backlog_max,"BACKLOG","MES CORRIENTE")))</f>
        <v/>
      </c>
      <c r="AA1182" s="3">
        <f>IF($Y1182="",FALSE,AND($Y1182&gt;p_dias_backlog_min,$Y1182&lt;=p_dias_backlog_max))</f>
        <v/>
      </c>
      <c r="AB1182" s="6" t="n"/>
      <c r="AC1182" s="3">
        <f>IF($AB1182="","",IFERROR(INDEX('ASIGNACIONES'!$F$4:$F$339,MATCH($O1182&amp;"|"&amp;$R1182&amp;"|"&amp;$AB1182,'ASIGNACIONES'!$I$4:$I$339,0)),""))</f>
        <v/>
      </c>
      <c r="AD1182" s="13">
        <f>IF($AB1182="","",SUMIFS('ORDENES'!$M$4:$M$1203,'ORDENES'!$AB$4:$AB$1203,$AB1182,'ORDENES'!$O$4:$O$1203,$O1182,'ORDENES'!$R$4:$R$1203,$R1182))</f>
        <v/>
      </c>
      <c r="AE1182" s="13">
        <f>IF($AD1182="","",p_factor_productividad*IFERROR(INDEX('ASIGNACIONES'!$H$4:$H$339,MATCH($O1182&amp;"|"&amp;$R1182&amp;"|"&amp;$AB1182,'ASIGNACIONES'!$I$4:$I$339,0)),0)-$AD1182)</f>
        <v/>
      </c>
      <c r="AF1182" s="10">
        <f>IF($A1182="","",IFERROR(INDEX('2_IMPORTAR_EJECUCION'!$F$9:$F$1208,MATCH($AN1182,'2_IMPORTAR_EJECUCION'!$J$9:$J$1208,0)),0))</f>
        <v/>
      </c>
      <c r="AG1182" s="10">
        <f>IF($A1182="","",MAX(0,IFERROR(INDEX('2_IMPORTAR_EJECUCION'!$H$9:$H$1208,MATCH($AN1182,'2_IMPORTAR_EJECUCION'!$J$9:$J$1208,0)),0)-$AF1182))</f>
        <v/>
      </c>
      <c r="AH1182" s="10">
        <f>IF($A1182="","",$AF1182+$AG1182)</f>
        <v/>
      </c>
      <c r="AI1182" s="6" t="n"/>
      <c r="AJ1182" s="6" t="n"/>
      <c r="AK1182" s="6" t="n"/>
      <c r="AL1182" s="3">
        <f>IF($AK1182="","",HYPERLINK(p_ruta_base_checklists&amp;$AK1182,"abrir"))</f>
        <v/>
      </c>
      <c r="AM1182" s="6" t="n"/>
      <c r="AN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1" t="n"/>
      <c r="K1183" s="3" t="n"/>
      <c r="L1183" s="10" t="n"/>
      <c r="M1183" s="3">
        <f>IF($A1183="","",IFERROR(INDEX('AJUSTES'!$B$4:$B$303,MATCH($AN1183,'AJUSTES'!$A$4:$A$303,0)),IF($K1183="","",$K1183)))</f>
        <v/>
      </c>
      <c r="N1183" s="3">
        <f>IF($A1183="","",IFERROR(INDEX('CAT_ESTADOS_ERP'!$B$4:$B$7,MATCH(IFERROR(INDEX('2_IMPORTAR_EJECUCION'!$C$9:$C$1208,MATCH($AN1183,'2_IMPORTAR_EJECUCION'!$J$9:$J$1208,0)),""),'CAT_ESTADOS_ERP'!$A$4:$A$7,0)),"Pendiente"))</f>
        <v/>
      </c>
      <c r="O1183" s="3">
        <f>IF($J1183="","",YEAR($J1183+4-WEEKDAY($J1183,2))&amp;"-S"&amp;TEXT(_xlfn.ISOWEEKNUM($J1183),"00"))</f>
        <v/>
      </c>
      <c r="P1183" s="3">
        <f>IF($J1183="","",YEAR($J1183))</f>
        <v/>
      </c>
      <c r="Q1183" s="3">
        <f>IF($J1183="","",MONTH($J1183))</f>
        <v/>
      </c>
      <c r="R1183" s="3">
        <f>IF($J1183="","",INDEX(lista_dias,WEEKDAY($J1183,2)))</f>
        <v/>
      </c>
      <c r="S1183" s="3">
        <f>IF($I1183="","",IFERROR(INDEX('CAT_TIPOS_OT'!$C$4:$C$7,MATCH($I1183,'CAT_TIPOS_OT'!$A$4:$A$7,0)),"sin_clasificar"))</f>
        <v/>
      </c>
      <c r="T1183" s="3">
        <f>IF($F1183="","",IFERROR(INDEX('CAT_CENTROS_COSTO'!$E$4:$E$9,MATCH($F1183,'CAT_CENTROS_COSTO'!$A$4:$A$9,0)),"(sin catálogo)"))</f>
        <v/>
      </c>
      <c r="U1183" s="3">
        <f>IF($F1183="","",IFERROR(INDEX('CAT_CENTROS_COSTO'!$D$4:$D$9,MATCH($F1183,'CAT_CENTROS_COSTO'!$A$4:$A$9,0)),"(sin catálogo)"))</f>
        <v/>
      </c>
      <c r="V1183" s="3">
        <f>IF($F1183="","",IFERROR(INDEX('CAT_CENTROS_COSTO'!$F$4:$F$9,MATCH($F1183,'CAT_CENTROS_COSTO'!$A$4:$A$9,0)),"(sin catálogo)"))</f>
        <v/>
      </c>
      <c r="W1183" s="3">
        <f>IF($G1183="","",IFERROR(INDEX('CAT_PUESTOS'!$B$4:$B$8,MATCH($G1183,'CAT_PUESTOS'!$A$4:$A$8,0)),"(sin catálogo)"))</f>
        <v/>
      </c>
      <c r="X1183" s="3">
        <f>IF($H1183="","",IFERROR(INDEX('CAT_ACTIVIDADES'!$B$4:$B$8,MATCH($H1183,'CAT_ACTIVIDADES'!$A$4:$A$8,0)),"(sin catálogo)"))</f>
        <v/>
      </c>
      <c r="Y1183" s="12">
        <f>IF($J1183="","",TODAY()-$J1183)</f>
        <v/>
      </c>
      <c r="Z1183" s="3">
        <f>IF($Y1183="","",IF($Y1183&lt;0,"FUTURO",IF($Y1183&gt;p_dias_backlog_max,"BACKLOG","MES CORRIENTE")))</f>
        <v/>
      </c>
      <c r="AA1183" s="3">
        <f>IF($Y1183="",FALSE,AND($Y1183&gt;p_dias_backlog_min,$Y1183&lt;=p_dias_backlog_max))</f>
        <v/>
      </c>
      <c r="AB1183" s="6" t="n"/>
      <c r="AC1183" s="3">
        <f>IF($AB1183="","",IFERROR(INDEX('ASIGNACIONES'!$F$4:$F$339,MATCH($O1183&amp;"|"&amp;$R1183&amp;"|"&amp;$AB1183,'ASIGNACIONES'!$I$4:$I$339,0)),""))</f>
        <v/>
      </c>
      <c r="AD1183" s="13">
        <f>IF($AB1183="","",SUMIFS('ORDENES'!$M$4:$M$1203,'ORDENES'!$AB$4:$AB$1203,$AB1183,'ORDENES'!$O$4:$O$1203,$O1183,'ORDENES'!$R$4:$R$1203,$R1183))</f>
        <v/>
      </c>
      <c r="AE1183" s="13">
        <f>IF($AD1183="","",p_factor_productividad*IFERROR(INDEX('ASIGNACIONES'!$H$4:$H$339,MATCH($O1183&amp;"|"&amp;$R1183&amp;"|"&amp;$AB1183,'ASIGNACIONES'!$I$4:$I$339,0)),0)-$AD1183)</f>
        <v/>
      </c>
      <c r="AF1183" s="10">
        <f>IF($A1183="","",IFERROR(INDEX('2_IMPORTAR_EJECUCION'!$F$9:$F$1208,MATCH($AN1183,'2_IMPORTAR_EJECUCION'!$J$9:$J$1208,0)),0))</f>
        <v/>
      </c>
      <c r="AG1183" s="10">
        <f>IF($A1183="","",MAX(0,IFERROR(INDEX('2_IMPORTAR_EJECUCION'!$H$9:$H$1208,MATCH($AN1183,'2_IMPORTAR_EJECUCION'!$J$9:$J$1208,0)),0)-$AF1183))</f>
        <v/>
      </c>
      <c r="AH1183" s="10">
        <f>IF($A1183="","",$AF1183+$AG1183)</f>
        <v/>
      </c>
      <c r="AI1183" s="6" t="n"/>
      <c r="AJ1183" s="6" t="n"/>
      <c r="AK1183" s="6" t="n"/>
      <c r="AL1183" s="3">
        <f>IF($AK1183="","",HYPERLINK(p_ruta_base_checklists&amp;$AK1183,"abrir"))</f>
        <v/>
      </c>
      <c r="AM1183" s="6" t="n"/>
      <c r="AN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1" t="n"/>
      <c r="K1184" s="3" t="n"/>
      <c r="L1184" s="10" t="n"/>
      <c r="M1184" s="3">
        <f>IF($A1184="","",IFERROR(INDEX('AJUSTES'!$B$4:$B$303,MATCH($AN1184,'AJUSTES'!$A$4:$A$303,0)),IF($K1184="","",$K1184)))</f>
        <v/>
      </c>
      <c r="N1184" s="3">
        <f>IF($A1184="","",IFERROR(INDEX('CAT_ESTADOS_ERP'!$B$4:$B$7,MATCH(IFERROR(INDEX('2_IMPORTAR_EJECUCION'!$C$9:$C$1208,MATCH($AN1184,'2_IMPORTAR_EJECUCION'!$J$9:$J$1208,0)),""),'CAT_ESTADOS_ERP'!$A$4:$A$7,0)),"Pendiente"))</f>
        <v/>
      </c>
      <c r="O1184" s="3">
        <f>IF($J1184="","",YEAR($J1184+4-WEEKDAY($J1184,2))&amp;"-S"&amp;TEXT(_xlfn.ISOWEEKNUM($J1184),"00"))</f>
        <v/>
      </c>
      <c r="P1184" s="3">
        <f>IF($J1184="","",YEAR($J1184))</f>
        <v/>
      </c>
      <c r="Q1184" s="3">
        <f>IF($J1184="","",MONTH($J1184))</f>
        <v/>
      </c>
      <c r="R1184" s="3">
        <f>IF($J1184="","",INDEX(lista_dias,WEEKDAY($J1184,2)))</f>
        <v/>
      </c>
      <c r="S1184" s="3">
        <f>IF($I1184="","",IFERROR(INDEX('CAT_TIPOS_OT'!$C$4:$C$7,MATCH($I1184,'CAT_TIPOS_OT'!$A$4:$A$7,0)),"sin_clasificar"))</f>
        <v/>
      </c>
      <c r="T1184" s="3">
        <f>IF($F1184="","",IFERROR(INDEX('CAT_CENTROS_COSTO'!$E$4:$E$9,MATCH($F1184,'CAT_CENTROS_COSTO'!$A$4:$A$9,0)),"(sin catálogo)"))</f>
        <v/>
      </c>
      <c r="U1184" s="3">
        <f>IF($F1184="","",IFERROR(INDEX('CAT_CENTROS_COSTO'!$D$4:$D$9,MATCH($F1184,'CAT_CENTROS_COSTO'!$A$4:$A$9,0)),"(sin catálogo)"))</f>
        <v/>
      </c>
      <c r="V1184" s="3">
        <f>IF($F1184="","",IFERROR(INDEX('CAT_CENTROS_COSTO'!$F$4:$F$9,MATCH($F1184,'CAT_CENTROS_COSTO'!$A$4:$A$9,0)),"(sin catálogo)"))</f>
        <v/>
      </c>
      <c r="W1184" s="3">
        <f>IF($G1184="","",IFERROR(INDEX('CAT_PUESTOS'!$B$4:$B$8,MATCH($G1184,'CAT_PUESTOS'!$A$4:$A$8,0)),"(sin catálogo)"))</f>
        <v/>
      </c>
      <c r="X1184" s="3">
        <f>IF($H1184="","",IFERROR(INDEX('CAT_ACTIVIDADES'!$B$4:$B$8,MATCH($H1184,'CAT_ACTIVIDADES'!$A$4:$A$8,0)),"(sin catálogo)"))</f>
        <v/>
      </c>
      <c r="Y1184" s="12">
        <f>IF($J1184="","",TODAY()-$J1184)</f>
        <v/>
      </c>
      <c r="Z1184" s="3">
        <f>IF($Y1184="","",IF($Y1184&lt;0,"FUTURO",IF($Y1184&gt;p_dias_backlog_max,"BACKLOG","MES CORRIENTE")))</f>
        <v/>
      </c>
      <c r="AA1184" s="3">
        <f>IF($Y1184="",FALSE,AND($Y1184&gt;p_dias_backlog_min,$Y1184&lt;=p_dias_backlog_max))</f>
        <v/>
      </c>
      <c r="AB1184" s="6" t="n"/>
      <c r="AC1184" s="3">
        <f>IF($AB1184="","",IFERROR(INDEX('ASIGNACIONES'!$F$4:$F$339,MATCH($O1184&amp;"|"&amp;$R1184&amp;"|"&amp;$AB1184,'ASIGNACIONES'!$I$4:$I$339,0)),""))</f>
        <v/>
      </c>
      <c r="AD1184" s="13">
        <f>IF($AB1184="","",SUMIFS('ORDENES'!$M$4:$M$1203,'ORDENES'!$AB$4:$AB$1203,$AB1184,'ORDENES'!$O$4:$O$1203,$O1184,'ORDENES'!$R$4:$R$1203,$R1184))</f>
        <v/>
      </c>
      <c r="AE1184" s="13">
        <f>IF($AD1184="","",p_factor_productividad*IFERROR(INDEX('ASIGNACIONES'!$H$4:$H$339,MATCH($O1184&amp;"|"&amp;$R1184&amp;"|"&amp;$AB1184,'ASIGNACIONES'!$I$4:$I$339,0)),0)-$AD1184)</f>
        <v/>
      </c>
      <c r="AF1184" s="10">
        <f>IF($A1184="","",IFERROR(INDEX('2_IMPORTAR_EJECUCION'!$F$9:$F$1208,MATCH($AN1184,'2_IMPORTAR_EJECUCION'!$J$9:$J$1208,0)),0))</f>
        <v/>
      </c>
      <c r="AG1184" s="10">
        <f>IF($A1184="","",MAX(0,IFERROR(INDEX('2_IMPORTAR_EJECUCION'!$H$9:$H$1208,MATCH($AN1184,'2_IMPORTAR_EJECUCION'!$J$9:$J$1208,0)),0)-$AF1184))</f>
        <v/>
      </c>
      <c r="AH1184" s="10">
        <f>IF($A1184="","",$AF1184+$AG1184)</f>
        <v/>
      </c>
      <c r="AI1184" s="6" t="n"/>
      <c r="AJ1184" s="6" t="n"/>
      <c r="AK1184" s="6" t="n"/>
      <c r="AL1184" s="3">
        <f>IF($AK1184="","",HYPERLINK(p_ruta_base_checklists&amp;$AK1184,"abrir"))</f>
        <v/>
      </c>
      <c r="AM1184" s="6" t="n"/>
      <c r="AN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1" t="n"/>
      <c r="K1185" s="3" t="n"/>
      <c r="L1185" s="10" t="n"/>
      <c r="M1185" s="3">
        <f>IF($A1185="","",IFERROR(INDEX('AJUSTES'!$B$4:$B$303,MATCH($AN1185,'AJUSTES'!$A$4:$A$303,0)),IF($K1185="","",$K1185)))</f>
        <v/>
      </c>
      <c r="N1185" s="3">
        <f>IF($A1185="","",IFERROR(INDEX('CAT_ESTADOS_ERP'!$B$4:$B$7,MATCH(IFERROR(INDEX('2_IMPORTAR_EJECUCION'!$C$9:$C$1208,MATCH($AN1185,'2_IMPORTAR_EJECUCION'!$J$9:$J$1208,0)),""),'CAT_ESTADOS_ERP'!$A$4:$A$7,0)),"Pendiente"))</f>
        <v/>
      </c>
      <c r="O1185" s="3">
        <f>IF($J1185="","",YEAR($J1185+4-WEEKDAY($J1185,2))&amp;"-S"&amp;TEXT(_xlfn.ISOWEEKNUM($J1185),"00"))</f>
        <v/>
      </c>
      <c r="P1185" s="3">
        <f>IF($J1185="","",YEAR($J1185))</f>
        <v/>
      </c>
      <c r="Q1185" s="3">
        <f>IF($J1185="","",MONTH($J1185))</f>
        <v/>
      </c>
      <c r="R1185" s="3">
        <f>IF($J1185="","",INDEX(lista_dias,WEEKDAY($J1185,2)))</f>
        <v/>
      </c>
      <c r="S1185" s="3">
        <f>IF($I1185="","",IFERROR(INDEX('CAT_TIPOS_OT'!$C$4:$C$7,MATCH($I1185,'CAT_TIPOS_OT'!$A$4:$A$7,0)),"sin_clasificar"))</f>
        <v/>
      </c>
      <c r="T1185" s="3">
        <f>IF($F1185="","",IFERROR(INDEX('CAT_CENTROS_COSTO'!$E$4:$E$9,MATCH($F1185,'CAT_CENTROS_COSTO'!$A$4:$A$9,0)),"(sin catálogo)"))</f>
        <v/>
      </c>
      <c r="U1185" s="3">
        <f>IF($F1185="","",IFERROR(INDEX('CAT_CENTROS_COSTO'!$D$4:$D$9,MATCH($F1185,'CAT_CENTROS_COSTO'!$A$4:$A$9,0)),"(sin catálogo)"))</f>
        <v/>
      </c>
      <c r="V1185" s="3">
        <f>IF($F1185="","",IFERROR(INDEX('CAT_CENTROS_COSTO'!$F$4:$F$9,MATCH($F1185,'CAT_CENTROS_COSTO'!$A$4:$A$9,0)),"(sin catálogo)"))</f>
        <v/>
      </c>
      <c r="W1185" s="3">
        <f>IF($G1185="","",IFERROR(INDEX('CAT_PUESTOS'!$B$4:$B$8,MATCH($G1185,'CAT_PUESTOS'!$A$4:$A$8,0)),"(sin catálogo)"))</f>
        <v/>
      </c>
      <c r="X1185" s="3">
        <f>IF($H1185="","",IFERROR(INDEX('CAT_ACTIVIDADES'!$B$4:$B$8,MATCH($H1185,'CAT_ACTIVIDADES'!$A$4:$A$8,0)),"(sin catálogo)"))</f>
        <v/>
      </c>
      <c r="Y1185" s="12">
        <f>IF($J1185="","",TODAY()-$J1185)</f>
        <v/>
      </c>
      <c r="Z1185" s="3">
        <f>IF($Y1185="","",IF($Y1185&lt;0,"FUTURO",IF($Y1185&gt;p_dias_backlog_max,"BACKLOG","MES CORRIENTE")))</f>
        <v/>
      </c>
      <c r="AA1185" s="3">
        <f>IF($Y1185="",FALSE,AND($Y1185&gt;p_dias_backlog_min,$Y1185&lt;=p_dias_backlog_max))</f>
        <v/>
      </c>
      <c r="AB1185" s="6" t="n"/>
      <c r="AC1185" s="3">
        <f>IF($AB1185="","",IFERROR(INDEX('ASIGNACIONES'!$F$4:$F$339,MATCH($O1185&amp;"|"&amp;$R1185&amp;"|"&amp;$AB1185,'ASIGNACIONES'!$I$4:$I$339,0)),""))</f>
        <v/>
      </c>
      <c r="AD1185" s="13">
        <f>IF($AB1185="","",SUMIFS('ORDENES'!$M$4:$M$1203,'ORDENES'!$AB$4:$AB$1203,$AB1185,'ORDENES'!$O$4:$O$1203,$O1185,'ORDENES'!$R$4:$R$1203,$R1185))</f>
        <v/>
      </c>
      <c r="AE1185" s="13">
        <f>IF($AD1185="","",p_factor_productividad*IFERROR(INDEX('ASIGNACIONES'!$H$4:$H$339,MATCH($O1185&amp;"|"&amp;$R1185&amp;"|"&amp;$AB1185,'ASIGNACIONES'!$I$4:$I$339,0)),0)-$AD1185)</f>
        <v/>
      </c>
      <c r="AF1185" s="10">
        <f>IF($A1185="","",IFERROR(INDEX('2_IMPORTAR_EJECUCION'!$F$9:$F$1208,MATCH($AN1185,'2_IMPORTAR_EJECUCION'!$J$9:$J$1208,0)),0))</f>
        <v/>
      </c>
      <c r="AG1185" s="10">
        <f>IF($A1185="","",MAX(0,IFERROR(INDEX('2_IMPORTAR_EJECUCION'!$H$9:$H$1208,MATCH($AN1185,'2_IMPORTAR_EJECUCION'!$J$9:$J$1208,0)),0)-$AF1185))</f>
        <v/>
      </c>
      <c r="AH1185" s="10">
        <f>IF($A1185="","",$AF1185+$AG1185)</f>
        <v/>
      </c>
      <c r="AI1185" s="6" t="n"/>
      <c r="AJ1185" s="6" t="n"/>
      <c r="AK1185" s="6" t="n"/>
      <c r="AL1185" s="3">
        <f>IF($AK1185="","",HYPERLINK(p_ruta_base_checklists&amp;$AK1185,"abrir"))</f>
        <v/>
      </c>
      <c r="AM1185" s="6" t="n"/>
      <c r="AN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1" t="n"/>
      <c r="K1186" s="3" t="n"/>
      <c r="L1186" s="10" t="n"/>
      <c r="M1186" s="3">
        <f>IF($A1186="","",IFERROR(INDEX('AJUSTES'!$B$4:$B$303,MATCH($AN1186,'AJUSTES'!$A$4:$A$303,0)),IF($K1186="","",$K1186)))</f>
        <v/>
      </c>
      <c r="N1186" s="3">
        <f>IF($A1186="","",IFERROR(INDEX('CAT_ESTADOS_ERP'!$B$4:$B$7,MATCH(IFERROR(INDEX('2_IMPORTAR_EJECUCION'!$C$9:$C$1208,MATCH($AN1186,'2_IMPORTAR_EJECUCION'!$J$9:$J$1208,0)),""),'CAT_ESTADOS_ERP'!$A$4:$A$7,0)),"Pendiente"))</f>
        <v/>
      </c>
      <c r="O1186" s="3">
        <f>IF($J1186="","",YEAR($J1186+4-WEEKDAY($J1186,2))&amp;"-S"&amp;TEXT(_xlfn.ISOWEEKNUM($J1186),"00"))</f>
        <v/>
      </c>
      <c r="P1186" s="3">
        <f>IF($J1186="","",YEAR($J1186))</f>
        <v/>
      </c>
      <c r="Q1186" s="3">
        <f>IF($J1186="","",MONTH($J1186))</f>
        <v/>
      </c>
      <c r="R1186" s="3">
        <f>IF($J1186="","",INDEX(lista_dias,WEEKDAY($J1186,2)))</f>
        <v/>
      </c>
      <c r="S1186" s="3">
        <f>IF($I1186="","",IFERROR(INDEX('CAT_TIPOS_OT'!$C$4:$C$7,MATCH($I1186,'CAT_TIPOS_OT'!$A$4:$A$7,0)),"sin_clasificar"))</f>
        <v/>
      </c>
      <c r="T1186" s="3">
        <f>IF($F1186="","",IFERROR(INDEX('CAT_CENTROS_COSTO'!$E$4:$E$9,MATCH($F1186,'CAT_CENTROS_COSTO'!$A$4:$A$9,0)),"(sin catálogo)"))</f>
        <v/>
      </c>
      <c r="U1186" s="3">
        <f>IF($F1186="","",IFERROR(INDEX('CAT_CENTROS_COSTO'!$D$4:$D$9,MATCH($F1186,'CAT_CENTROS_COSTO'!$A$4:$A$9,0)),"(sin catálogo)"))</f>
        <v/>
      </c>
      <c r="V1186" s="3">
        <f>IF($F1186="","",IFERROR(INDEX('CAT_CENTROS_COSTO'!$F$4:$F$9,MATCH($F1186,'CAT_CENTROS_COSTO'!$A$4:$A$9,0)),"(sin catálogo)"))</f>
        <v/>
      </c>
      <c r="W1186" s="3">
        <f>IF($G1186="","",IFERROR(INDEX('CAT_PUESTOS'!$B$4:$B$8,MATCH($G1186,'CAT_PUESTOS'!$A$4:$A$8,0)),"(sin catálogo)"))</f>
        <v/>
      </c>
      <c r="X1186" s="3">
        <f>IF($H1186="","",IFERROR(INDEX('CAT_ACTIVIDADES'!$B$4:$B$8,MATCH($H1186,'CAT_ACTIVIDADES'!$A$4:$A$8,0)),"(sin catálogo)"))</f>
        <v/>
      </c>
      <c r="Y1186" s="12">
        <f>IF($J1186="","",TODAY()-$J1186)</f>
        <v/>
      </c>
      <c r="Z1186" s="3">
        <f>IF($Y1186="","",IF($Y1186&lt;0,"FUTURO",IF($Y1186&gt;p_dias_backlog_max,"BACKLOG","MES CORRIENTE")))</f>
        <v/>
      </c>
      <c r="AA1186" s="3">
        <f>IF($Y1186="",FALSE,AND($Y1186&gt;p_dias_backlog_min,$Y1186&lt;=p_dias_backlog_max))</f>
        <v/>
      </c>
      <c r="AB1186" s="6" t="n"/>
      <c r="AC1186" s="3">
        <f>IF($AB1186="","",IFERROR(INDEX('ASIGNACIONES'!$F$4:$F$339,MATCH($O1186&amp;"|"&amp;$R1186&amp;"|"&amp;$AB1186,'ASIGNACIONES'!$I$4:$I$339,0)),""))</f>
        <v/>
      </c>
      <c r="AD1186" s="13">
        <f>IF($AB1186="","",SUMIFS('ORDENES'!$M$4:$M$1203,'ORDENES'!$AB$4:$AB$1203,$AB1186,'ORDENES'!$O$4:$O$1203,$O1186,'ORDENES'!$R$4:$R$1203,$R1186))</f>
        <v/>
      </c>
      <c r="AE1186" s="13">
        <f>IF($AD1186="","",p_factor_productividad*IFERROR(INDEX('ASIGNACIONES'!$H$4:$H$339,MATCH($O1186&amp;"|"&amp;$R1186&amp;"|"&amp;$AB1186,'ASIGNACIONES'!$I$4:$I$339,0)),0)-$AD1186)</f>
        <v/>
      </c>
      <c r="AF1186" s="10">
        <f>IF($A1186="","",IFERROR(INDEX('2_IMPORTAR_EJECUCION'!$F$9:$F$1208,MATCH($AN1186,'2_IMPORTAR_EJECUCION'!$J$9:$J$1208,0)),0))</f>
        <v/>
      </c>
      <c r="AG1186" s="10">
        <f>IF($A1186="","",MAX(0,IFERROR(INDEX('2_IMPORTAR_EJECUCION'!$H$9:$H$1208,MATCH($AN1186,'2_IMPORTAR_EJECUCION'!$J$9:$J$1208,0)),0)-$AF1186))</f>
        <v/>
      </c>
      <c r="AH1186" s="10">
        <f>IF($A1186="","",$AF1186+$AG1186)</f>
        <v/>
      </c>
      <c r="AI1186" s="6" t="n"/>
      <c r="AJ1186" s="6" t="n"/>
      <c r="AK1186" s="6" t="n"/>
      <c r="AL1186" s="3">
        <f>IF($AK1186="","",HYPERLINK(p_ruta_base_checklists&amp;$AK1186,"abrir"))</f>
        <v/>
      </c>
      <c r="AM1186" s="6" t="n"/>
      <c r="AN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1" t="n"/>
      <c r="K1187" s="3" t="n"/>
      <c r="L1187" s="10" t="n"/>
      <c r="M1187" s="3">
        <f>IF($A1187="","",IFERROR(INDEX('AJUSTES'!$B$4:$B$303,MATCH($AN1187,'AJUSTES'!$A$4:$A$303,0)),IF($K1187="","",$K1187)))</f>
        <v/>
      </c>
      <c r="N1187" s="3">
        <f>IF($A1187="","",IFERROR(INDEX('CAT_ESTADOS_ERP'!$B$4:$B$7,MATCH(IFERROR(INDEX('2_IMPORTAR_EJECUCION'!$C$9:$C$1208,MATCH($AN1187,'2_IMPORTAR_EJECUCION'!$J$9:$J$1208,0)),""),'CAT_ESTADOS_ERP'!$A$4:$A$7,0)),"Pendiente"))</f>
        <v/>
      </c>
      <c r="O1187" s="3">
        <f>IF($J1187="","",YEAR($J1187+4-WEEKDAY($J1187,2))&amp;"-S"&amp;TEXT(_xlfn.ISOWEEKNUM($J1187),"00"))</f>
        <v/>
      </c>
      <c r="P1187" s="3">
        <f>IF($J1187="","",YEAR($J1187))</f>
        <v/>
      </c>
      <c r="Q1187" s="3">
        <f>IF($J1187="","",MONTH($J1187))</f>
        <v/>
      </c>
      <c r="R1187" s="3">
        <f>IF($J1187="","",INDEX(lista_dias,WEEKDAY($J1187,2)))</f>
        <v/>
      </c>
      <c r="S1187" s="3">
        <f>IF($I1187="","",IFERROR(INDEX('CAT_TIPOS_OT'!$C$4:$C$7,MATCH($I1187,'CAT_TIPOS_OT'!$A$4:$A$7,0)),"sin_clasificar"))</f>
        <v/>
      </c>
      <c r="T1187" s="3">
        <f>IF($F1187="","",IFERROR(INDEX('CAT_CENTROS_COSTO'!$E$4:$E$9,MATCH($F1187,'CAT_CENTROS_COSTO'!$A$4:$A$9,0)),"(sin catálogo)"))</f>
        <v/>
      </c>
      <c r="U1187" s="3">
        <f>IF($F1187="","",IFERROR(INDEX('CAT_CENTROS_COSTO'!$D$4:$D$9,MATCH($F1187,'CAT_CENTROS_COSTO'!$A$4:$A$9,0)),"(sin catálogo)"))</f>
        <v/>
      </c>
      <c r="V1187" s="3">
        <f>IF($F1187="","",IFERROR(INDEX('CAT_CENTROS_COSTO'!$F$4:$F$9,MATCH($F1187,'CAT_CENTROS_COSTO'!$A$4:$A$9,0)),"(sin catálogo)"))</f>
        <v/>
      </c>
      <c r="W1187" s="3">
        <f>IF($G1187="","",IFERROR(INDEX('CAT_PUESTOS'!$B$4:$B$8,MATCH($G1187,'CAT_PUESTOS'!$A$4:$A$8,0)),"(sin catálogo)"))</f>
        <v/>
      </c>
      <c r="X1187" s="3">
        <f>IF($H1187="","",IFERROR(INDEX('CAT_ACTIVIDADES'!$B$4:$B$8,MATCH($H1187,'CAT_ACTIVIDADES'!$A$4:$A$8,0)),"(sin catálogo)"))</f>
        <v/>
      </c>
      <c r="Y1187" s="12">
        <f>IF($J1187="","",TODAY()-$J1187)</f>
        <v/>
      </c>
      <c r="Z1187" s="3">
        <f>IF($Y1187="","",IF($Y1187&lt;0,"FUTURO",IF($Y1187&gt;p_dias_backlog_max,"BACKLOG","MES CORRIENTE")))</f>
        <v/>
      </c>
      <c r="AA1187" s="3">
        <f>IF($Y1187="",FALSE,AND($Y1187&gt;p_dias_backlog_min,$Y1187&lt;=p_dias_backlog_max))</f>
        <v/>
      </c>
      <c r="AB1187" s="6" t="n"/>
      <c r="AC1187" s="3">
        <f>IF($AB1187="","",IFERROR(INDEX('ASIGNACIONES'!$F$4:$F$339,MATCH($O1187&amp;"|"&amp;$R1187&amp;"|"&amp;$AB1187,'ASIGNACIONES'!$I$4:$I$339,0)),""))</f>
        <v/>
      </c>
      <c r="AD1187" s="13">
        <f>IF($AB1187="","",SUMIFS('ORDENES'!$M$4:$M$1203,'ORDENES'!$AB$4:$AB$1203,$AB1187,'ORDENES'!$O$4:$O$1203,$O1187,'ORDENES'!$R$4:$R$1203,$R1187))</f>
        <v/>
      </c>
      <c r="AE1187" s="13">
        <f>IF($AD1187="","",p_factor_productividad*IFERROR(INDEX('ASIGNACIONES'!$H$4:$H$339,MATCH($O1187&amp;"|"&amp;$R1187&amp;"|"&amp;$AB1187,'ASIGNACIONES'!$I$4:$I$339,0)),0)-$AD1187)</f>
        <v/>
      </c>
      <c r="AF1187" s="10">
        <f>IF($A1187="","",IFERROR(INDEX('2_IMPORTAR_EJECUCION'!$F$9:$F$1208,MATCH($AN1187,'2_IMPORTAR_EJECUCION'!$J$9:$J$1208,0)),0))</f>
        <v/>
      </c>
      <c r="AG1187" s="10">
        <f>IF($A1187="","",MAX(0,IFERROR(INDEX('2_IMPORTAR_EJECUCION'!$H$9:$H$1208,MATCH($AN1187,'2_IMPORTAR_EJECUCION'!$J$9:$J$1208,0)),0)-$AF1187))</f>
        <v/>
      </c>
      <c r="AH1187" s="10">
        <f>IF($A1187="","",$AF1187+$AG1187)</f>
        <v/>
      </c>
      <c r="AI1187" s="6" t="n"/>
      <c r="AJ1187" s="6" t="n"/>
      <c r="AK1187" s="6" t="n"/>
      <c r="AL1187" s="3">
        <f>IF($AK1187="","",HYPERLINK(p_ruta_base_checklists&amp;$AK1187,"abrir"))</f>
        <v/>
      </c>
      <c r="AM1187" s="6" t="n"/>
      <c r="AN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1" t="n"/>
      <c r="K1188" s="3" t="n"/>
      <c r="L1188" s="10" t="n"/>
      <c r="M1188" s="3">
        <f>IF($A1188="","",IFERROR(INDEX('AJUSTES'!$B$4:$B$303,MATCH($AN1188,'AJUSTES'!$A$4:$A$303,0)),IF($K1188="","",$K1188)))</f>
        <v/>
      </c>
      <c r="N1188" s="3">
        <f>IF($A1188="","",IFERROR(INDEX('CAT_ESTADOS_ERP'!$B$4:$B$7,MATCH(IFERROR(INDEX('2_IMPORTAR_EJECUCION'!$C$9:$C$1208,MATCH($AN1188,'2_IMPORTAR_EJECUCION'!$J$9:$J$1208,0)),""),'CAT_ESTADOS_ERP'!$A$4:$A$7,0)),"Pendiente"))</f>
        <v/>
      </c>
      <c r="O1188" s="3">
        <f>IF($J1188="","",YEAR($J1188+4-WEEKDAY($J1188,2))&amp;"-S"&amp;TEXT(_xlfn.ISOWEEKNUM($J1188),"00"))</f>
        <v/>
      </c>
      <c r="P1188" s="3">
        <f>IF($J1188="","",YEAR($J1188))</f>
        <v/>
      </c>
      <c r="Q1188" s="3">
        <f>IF($J1188="","",MONTH($J1188))</f>
        <v/>
      </c>
      <c r="R1188" s="3">
        <f>IF($J1188="","",INDEX(lista_dias,WEEKDAY($J1188,2)))</f>
        <v/>
      </c>
      <c r="S1188" s="3">
        <f>IF($I1188="","",IFERROR(INDEX('CAT_TIPOS_OT'!$C$4:$C$7,MATCH($I1188,'CAT_TIPOS_OT'!$A$4:$A$7,0)),"sin_clasificar"))</f>
        <v/>
      </c>
      <c r="T1188" s="3">
        <f>IF($F1188="","",IFERROR(INDEX('CAT_CENTROS_COSTO'!$E$4:$E$9,MATCH($F1188,'CAT_CENTROS_COSTO'!$A$4:$A$9,0)),"(sin catálogo)"))</f>
        <v/>
      </c>
      <c r="U1188" s="3">
        <f>IF($F1188="","",IFERROR(INDEX('CAT_CENTROS_COSTO'!$D$4:$D$9,MATCH($F1188,'CAT_CENTROS_COSTO'!$A$4:$A$9,0)),"(sin catálogo)"))</f>
        <v/>
      </c>
      <c r="V1188" s="3">
        <f>IF($F1188="","",IFERROR(INDEX('CAT_CENTROS_COSTO'!$F$4:$F$9,MATCH($F1188,'CAT_CENTROS_COSTO'!$A$4:$A$9,0)),"(sin catálogo)"))</f>
        <v/>
      </c>
      <c r="W1188" s="3">
        <f>IF($G1188="","",IFERROR(INDEX('CAT_PUESTOS'!$B$4:$B$8,MATCH($G1188,'CAT_PUESTOS'!$A$4:$A$8,0)),"(sin catálogo)"))</f>
        <v/>
      </c>
      <c r="X1188" s="3">
        <f>IF($H1188="","",IFERROR(INDEX('CAT_ACTIVIDADES'!$B$4:$B$8,MATCH($H1188,'CAT_ACTIVIDADES'!$A$4:$A$8,0)),"(sin catálogo)"))</f>
        <v/>
      </c>
      <c r="Y1188" s="12">
        <f>IF($J1188="","",TODAY()-$J1188)</f>
        <v/>
      </c>
      <c r="Z1188" s="3">
        <f>IF($Y1188="","",IF($Y1188&lt;0,"FUTURO",IF($Y1188&gt;p_dias_backlog_max,"BACKLOG","MES CORRIENTE")))</f>
        <v/>
      </c>
      <c r="AA1188" s="3">
        <f>IF($Y1188="",FALSE,AND($Y1188&gt;p_dias_backlog_min,$Y1188&lt;=p_dias_backlog_max))</f>
        <v/>
      </c>
      <c r="AB1188" s="6" t="n"/>
      <c r="AC1188" s="3">
        <f>IF($AB1188="","",IFERROR(INDEX('ASIGNACIONES'!$F$4:$F$339,MATCH($O1188&amp;"|"&amp;$R1188&amp;"|"&amp;$AB1188,'ASIGNACIONES'!$I$4:$I$339,0)),""))</f>
        <v/>
      </c>
      <c r="AD1188" s="13">
        <f>IF($AB1188="","",SUMIFS('ORDENES'!$M$4:$M$1203,'ORDENES'!$AB$4:$AB$1203,$AB1188,'ORDENES'!$O$4:$O$1203,$O1188,'ORDENES'!$R$4:$R$1203,$R1188))</f>
        <v/>
      </c>
      <c r="AE1188" s="13">
        <f>IF($AD1188="","",p_factor_productividad*IFERROR(INDEX('ASIGNACIONES'!$H$4:$H$339,MATCH($O1188&amp;"|"&amp;$R1188&amp;"|"&amp;$AB1188,'ASIGNACIONES'!$I$4:$I$339,0)),0)-$AD1188)</f>
        <v/>
      </c>
      <c r="AF1188" s="10">
        <f>IF($A1188="","",IFERROR(INDEX('2_IMPORTAR_EJECUCION'!$F$9:$F$1208,MATCH($AN1188,'2_IMPORTAR_EJECUCION'!$J$9:$J$1208,0)),0))</f>
        <v/>
      </c>
      <c r="AG1188" s="10">
        <f>IF($A1188="","",MAX(0,IFERROR(INDEX('2_IMPORTAR_EJECUCION'!$H$9:$H$1208,MATCH($AN1188,'2_IMPORTAR_EJECUCION'!$J$9:$J$1208,0)),0)-$AF1188))</f>
        <v/>
      </c>
      <c r="AH1188" s="10">
        <f>IF($A1188="","",$AF1188+$AG1188)</f>
        <v/>
      </c>
      <c r="AI1188" s="6" t="n"/>
      <c r="AJ1188" s="6" t="n"/>
      <c r="AK1188" s="6" t="n"/>
      <c r="AL1188" s="3">
        <f>IF($AK1188="","",HYPERLINK(p_ruta_base_checklists&amp;$AK1188,"abrir"))</f>
        <v/>
      </c>
      <c r="AM1188" s="6" t="n"/>
      <c r="AN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1" t="n"/>
      <c r="K1189" s="3" t="n"/>
      <c r="L1189" s="10" t="n"/>
      <c r="M1189" s="3">
        <f>IF($A1189="","",IFERROR(INDEX('AJUSTES'!$B$4:$B$303,MATCH($AN1189,'AJUSTES'!$A$4:$A$303,0)),IF($K1189="","",$K1189)))</f>
        <v/>
      </c>
      <c r="N1189" s="3">
        <f>IF($A1189="","",IFERROR(INDEX('CAT_ESTADOS_ERP'!$B$4:$B$7,MATCH(IFERROR(INDEX('2_IMPORTAR_EJECUCION'!$C$9:$C$1208,MATCH($AN1189,'2_IMPORTAR_EJECUCION'!$J$9:$J$1208,0)),""),'CAT_ESTADOS_ERP'!$A$4:$A$7,0)),"Pendiente"))</f>
        <v/>
      </c>
      <c r="O1189" s="3">
        <f>IF($J1189="","",YEAR($J1189+4-WEEKDAY($J1189,2))&amp;"-S"&amp;TEXT(_xlfn.ISOWEEKNUM($J1189),"00"))</f>
        <v/>
      </c>
      <c r="P1189" s="3">
        <f>IF($J1189="","",YEAR($J1189))</f>
        <v/>
      </c>
      <c r="Q1189" s="3">
        <f>IF($J1189="","",MONTH($J1189))</f>
        <v/>
      </c>
      <c r="R1189" s="3">
        <f>IF($J1189="","",INDEX(lista_dias,WEEKDAY($J1189,2)))</f>
        <v/>
      </c>
      <c r="S1189" s="3">
        <f>IF($I1189="","",IFERROR(INDEX('CAT_TIPOS_OT'!$C$4:$C$7,MATCH($I1189,'CAT_TIPOS_OT'!$A$4:$A$7,0)),"sin_clasificar"))</f>
        <v/>
      </c>
      <c r="T1189" s="3">
        <f>IF($F1189="","",IFERROR(INDEX('CAT_CENTROS_COSTO'!$E$4:$E$9,MATCH($F1189,'CAT_CENTROS_COSTO'!$A$4:$A$9,0)),"(sin catálogo)"))</f>
        <v/>
      </c>
      <c r="U1189" s="3">
        <f>IF($F1189="","",IFERROR(INDEX('CAT_CENTROS_COSTO'!$D$4:$D$9,MATCH($F1189,'CAT_CENTROS_COSTO'!$A$4:$A$9,0)),"(sin catálogo)"))</f>
        <v/>
      </c>
      <c r="V1189" s="3">
        <f>IF($F1189="","",IFERROR(INDEX('CAT_CENTROS_COSTO'!$F$4:$F$9,MATCH($F1189,'CAT_CENTROS_COSTO'!$A$4:$A$9,0)),"(sin catálogo)"))</f>
        <v/>
      </c>
      <c r="W1189" s="3">
        <f>IF($G1189="","",IFERROR(INDEX('CAT_PUESTOS'!$B$4:$B$8,MATCH($G1189,'CAT_PUESTOS'!$A$4:$A$8,0)),"(sin catálogo)"))</f>
        <v/>
      </c>
      <c r="X1189" s="3">
        <f>IF($H1189="","",IFERROR(INDEX('CAT_ACTIVIDADES'!$B$4:$B$8,MATCH($H1189,'CAT_ACTIVIDADES'!$A$4:$A$8,0)),"(sin catálogo)"))</f>
        <v/>
      </c>
      <c r="Y1189" s="12">
        <f>IF($J1189="","",TODAY()-$J1189)</f>
        <v/>
      </c>
      <c r="Z1189" s="3">
        <f>IF($Y1189="","",IF($Y1189&lt;0,"FUTURO",IF($Y1189&gt;p_dias_backlog_max,"BACKLOG","MES CORRIENTE")))</f>
        <v/>
      </c>
      <c r="AA1189" s="3">
        <f>IF($Y1189="",FALSE,AND($Y1189&gt;p_dias_backlog_min,$Y1189&lt;=p_dias_backlog_max))</f>
        <v/>
      </c>
      <c r="AB1189" s="6" t="n"/>
      <c r="AC1189" s="3">
        <f>IF($AB1189="","",IFERROR(INDEX('ASIGNACIONES'!$F$4:$F$339,MATCH($O1189&amp;"|"&amp;$R1189&amp;"|"&amp;$AB1189,'ASIGNACIONES'!$I$4:$I$339,0)),""))</f>
        <v/>
      </c>
      <c r="AD1189" s="13">
        <f>IF($AB1189="","",SUMIFS('ORDENES'!$M$4:$M$1203,'ORDENES'!$AB$4:$AB$1203,$AB1189,'ORDENES'!$O$4:$O$1203,$O1189,'ORDENES'!$R$4:$R$1203,$R1189))</f>
        <v/>
      </c>
      <c r="AE1189" s="13">
        <f>IF($AD1189="","",p_factor_productividad*IFERROR(INDEX('ASIGNACIONES'!$H$4:$H$339,MATCH($O1189&amp;"|"&amp;$R1189&amp;"|"&amp;$AB1189,'ASIGNACIONES'!$I$4:$I$339,0)),0)-$AD1189)</f>
        <v/>
      </c>
      <c r="AF1189" s="10">
        <f>IF($A1189="","",IFERROR(INDEX('2_IMPORTAR_EJECUCION'!$F$9:$F$1208,MATCH($AN1189,'2_IMPORTAR_EJECUCION'!$J$9:$J$1208,0)),0))</f>
        <v/>
      </c>
      <c r="AG1189" s="10">
        <f>IF($A1189="","",MAX(0,IFERROR(INDEX('2_IMPORTAR_EJECUCION'!$H$9:$H$1208,MATCH($AN1189,'2_IMPORTAR_EJECUCION'!$J$9:$J$1208,0)),0)-$AF1189))</f>
        <v/>
      </c>
      <c r="AH1189" s="10">
        <f>IF($A1189="","",$AF1189+$AG1189)</f>
        <v/>
      </c>
      <c r="AI1189" s="6" t="n"/>
      <c r="AJ1189" s="6" t="n"/>
      <c r="AK1189" s="6" t="n"/>
      <c r="AL1189" s="3">
        <f>IF($AK1189="","",HYPERLINK(p_ruta_base_checklists&amp;$AK1189,"abrir"))</f>
        <v/>
      </c>
      <c r="AM1189" s="6" t="n"/>
      <c r="AN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1" t="n"/>
      <c r="K1190" s="3" t="n"/>
      <c r="L1190" s="10" t="n"/>
      <c r="M1190" s="3">
        <f>IF($A1190="","",IFERROR(INDEX('AJUSTES'!$B$4:$B$303,MATCH($AN1190,'AJUSTES'!$A$4:$A$303,0)),IF($K1190="","",$K1190)))</f>
        <v/>
      </c>
      <c r="N1190" s="3">
        <f>IF($A1190="","",IFERROR(INDEX('CAT_ESTADOS_ERP'!$B$4:$B$7,MATCH(IFERROR(INDEX('2_IMPORTAR_EJECUCION'!$C$9:$C$1208,MATCH($AN1190,'2_IMPORTAR_EJECUCION'!$J$9:$J$1208,0)),""),'CAT_ESTADOS_ERP'!$A$4:$A$7,0)),"Pendiente"))</f>
        <v/>
      </c>
      <c r="O1190" s="3">
        <f>IF($J1190="","",YEAR($J1190+4-WEEKDAY($J1190,2))&amp;"-S"&amp;TEXT(_xlfn.ISOWEEKNUM($J1190),"00"))</f>
        <v/>
      </c>
      <c r="P1190" s="3">
        <f>IF($J1190="","",YEAR($J1190))</f>
        <v/>
      </c>
      <c r="Q1190" s="3">
        <f>IF($J1190="","",MONTH($J1190))</f>
        <v/>
      </c>
      <c r="R1190" s="3">
        <f>IF($J1190="","",INDEX(lista_dias,WEEKDAY($J1190,2)))</f>
        <v/>
      </c>
      <c r="S1190" s="3">
        <f>IF($I1190="","",IFERROR(INDEX('CAT_TIPOS_OT'!$C$4:$C$7,MATCH($I1190,'CAT_TIPOS_OT'!$A$4:$A$7,0)),"sin_clasificar"))</f>
        <v/>
      </c>
      <c r="T1190" s="3">
        <f>IF($F1190="","",IFERROR(INDEX('CAT_CENTROS_COSTO'!$E$4:$E$9,MATCH($F1190,'CAT_CENTROS_COSTO'!$A$4:$A$9,0)),"(sin catálogo)"))</f>
        <v/>
      </c>
      <c r="U1190" s="3">
        <f>IF($F1190="","",IFERROR(INDEX('CAT_CENTROS_COSTO'!$D$4:$D$9,MATCH($F1190,'CAT_CENTROS_COSTO'!$A$4:$A$9,0)),"(sin catálogo)"))</f>
        <v/>
      </c>
      <c r="V1190" s="3">
        <f>IF($F1190="","",IFERROR(INDEX('CAT_CENTROS_COSTO'!$F$4:$F$9,MATCH($F1190,'CAT_CENTROS_COSTO'!$A$4:$A$9,0)),"(sin catálogo)"))</f>
        <v/>
      </c>
      <c r="W1190" s="3">
        <f>IF($G1190="","",IFERROR(INDEX('CAT_PUESTOS'!$B$4:$B$8,MATCH($G1190,'CAT_PUESTOS'!$A$4:$A$8,0)),"(sin catálogo)"))</f>
        <v/>
      </c>
      <c r="X1190" s="3">
        <f>IF($H1190="","",IFERROR(INDEX('CAT_ACTIVIDADES'!$B$4:$B$8,MATCH($H1190,'CAT_ACTIVIDADES'!$A$4:$A$8,0)),"(sin catálogo)"))</f>
        <v/>
      </c>
      <c r="Y1190" s="12">
        <f>IF($J1190="","",TODAY()-$J1190)</f>
        <v/>
      </c>
      <c r="Z1190" s="3">
        <f>IF($Y1190="","",IF($Y1190&lt;0,"FUTURO",IF($Y1190&gt;p_dias_backlog_max,"BACKLOG","MES CORRIENTE")))</f>
        <v/>
      </c>
      <c r="AA1190" s="3">
        <f>IF($Y1190="",FALSE,AND($Y1190&gt;p_dias_backlog_min,$Y1190&lt;=p_dias_backlog_max))</f>
        <v/>
      </c>
      <c r="AB1190" s="6" t="n"/>
      <c r="AC1190" s="3">
        <f>IF($AB1190="","",IFERROR(INDEX('ASIGNACIONES'!$F$4:$F$339,MATCH($O1190&amp;"|"&amp;$R1190&amp;"|"&amp;$AB1190,'ASIGNACIONES'!$I$4:$I$339,0)),""))</f>
        <v/>
      </c>
      <c r="AD1190" s="13">
        <f>IF($AB1190="","",SUMIFS('ORDENES'!$M$4:$M$1203,'ORDENES'!$AB$4:$AB$1203,$AB1190,'ORDENES'!$O$4:$O$1203,$O1190,'ORDENES'!$R$4:$R$1203,$R1190))</f>
        <v/>
      </c>
      <c r="AE1190" s="13">
        <f>IF($AD1190="","",p_factor_productividad*IFERROR(INDEX('ASIGNACIONES'!$H$4:$H$339,MATCH($O1190&amp;"|"&amp;$R1190&amp;"|"&amp;$AB1190,'ASIGNACIONES'!$I$4:$I$339,0)),0)-$AD1190)</f>
        <v/>
      </c>
      <c r="AF1190" s="10">
        <f>IF($A1190="","",IFERROR(INDEX('2_IMPORTAR_EJECUCION'!$F$9:$F$1208,MATCH($AN1190,'2_IMPORTAR_EJECUCION'!$J$9:$J$1208,0)),0))</f>
        <v/>
      </c>
      <c r="AG1190" s="10">
        <f>IF($A1190="","",MAX(0,IFERROR(INDEX('2_IMPORTAR_EJECUCION'!$H$9:$H$1208,MATCH($AN1190,'2_IMPORTAR_EJECUCION'!$J$9:$J$1208,0)),0)-$AF1190))</f>
        <v/>
      </c>
      <c r="AH1190" s="10">
        <f>IF($A1190="","",$AF1190+$AG1190)</f>
        <v/>
      </c>
      <c r="AI1190" s="6" t="n"/>
      <c r="AJ1190" s="6" t="n"/>
      <c r="AK1190" s="6" t="n"/>
      <c r="AL1190" s="3">
        <f>IF($AK1190="","",HYPERLINK(p_ruta_base_checklists&amp;$AK1190,"abrir"))</f>
        <v/>
      </c>
      <c r="AM1190" s="6" t="n"/>
      <c r="AN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1" t="n"/>
      <c r="K1191" s="3" t="n"/>
      <c r="L1191" s="10" t="n"/>
      <c r="M1191" s="3">
        <f>IF($A1191="","",IFERROR(INDEX('AJUSTES'!$B$4:$B$303,MATCH($AN1191,'AJUSTES'!$A$4:$A$303,0)),IF($K1191="","",$K1191)))</f>
        <v/>
      </c>
      <c r="N1191" s="3">
        <f>IF($A1191="","",IFERROR(INDEX('CAT_ESTADOS_ERP'!$B$4:$B$7,MATCH(IFERROR(INDEX('2_IMPORTAR_EJECUCION'!$C$9:$C$1208,MATCH($AN1191,'2_IMPORTAR_EJECUCION'!$J$9:$J$1208,0)),""),'CAT_ESTADOS_ERP'!$A$4:$A$7,0)),"Pendiente"))</f>
        <v/>
      </c>
      <c r="O1191" s="3">
        <f>IF($J1191="","",YEAR($J1191+4-WEEKDAY($J1191,2))&amp;"-S"&amp;TEXT(_xlfn.ISOWEEKNUM($J1191),"00"))</f>
        <v/>
      </c>
      <c r="P1191" s="3">
        <f>IF($J1191="","",YEAR($J1191))</f>
        <v/>
      </c>
      <c r="Q1191" s="3">
        <f>IF($J1191="","",MONTH($J1191))</f>
        <v/>
      </c>
      <c r="R1191" s="3">
        <f>IF($J1191="","",INDEX(lista_dias,WEEKDAY($J1191,2)))</f>
        <v/>
      </c>
      <c r="S1191" s="3">
        <f>IF($I1191="","",IFERROR(INDEX('CAT_TIPOS_OT'!$C$4:$C$7,MATCH($I1191,'CAT_TIPOS_OT'!$A$4:$A$7,0)),"sin_clasificar"))</f>
        <v/>
      </c>
      <c r="T1191" s="3">
        <f>IF($F1191="","",IFERROR(INDEX('CAT_CENTROS_COSTO'!$E$4:$E$9,MATCH($F1191,'CAT_CENTROS_COSTO'!$A$4:$A$9,0)),"(sin catálogo)"))</f>
        <v/>
      </c>
      <c r="U1191" s="3">
        <f>IF($F1191="","",IFERROR(INDEX('CAT_CENTROS_COSTO'!$D$4:$D$9,MATCH($F1191,'CAT_CENTROS_COSTO'!$A$4:$A$9,0)),"(sin catálogo)"))</f>
        <v/>
      </c>
      <c r="V1191" s="3">
        <f>IF($F1191="","",IFERROR(INDEX('CAT_CENTROS_COSTO'!$F$4:$F$9,MATCH($F1191,'CAT_CENTROS_COSTO'!$A$4:$A$9,0)),"(sin catálogo)"))</f>
        <v/>
      </c>
      <c r="W1191" s="3">
        <f>IF($G1191="","",IFERROR(INDEX('CAT_PUESTOS'!$B$4:$B$8,MATCH($G1191,'CAT_PUESTOS'!$A$4:$A$8,0)),"(sin catálogo)"))</f>
        <v/>
      </c>
      <c r="X1191" s="3">
        <f>IF($H1191="","",IFERROR(INDEX('CAT_ACTIVIDADES'!$B$4:$B$8,MATCH($H1191,'CAT_ACTIVIDADES'!$A$4:$A$8,0)),"(sin catálogo)"))</f>
        <v/>
      </c>
      <c r="Y1191" s="12">
        <f>IF($J1191="","",TODAY()-$J1191)</f>
        <v/>
      </c>
      <c r="Z1191" s="3">
        <f>IF($Y1191="","",IF($Y1191&lt;0,"FUTURO",IF($Y1191&gt;p_dias_backlog_max,"BACKLOG","MES CORRIENTE")))</f>
        <v/>
      </c>
      <c r="AA1191" s="3">
        <f>IF($Y1191="",FALSE,AND($Y1191&gt;p_dias_backlog_min,$Y1191&lt;=p_dias_backlog_max))</f>
        <v/>
      </c>
      <c r="AB1191" s="6" t="n"/>
      <c r="AC1191" s="3">
        <f>IF($AB1191="","",IFERROR(INDEX('ASIGNACIONES'!$F$4:$F$339,MATCH($O1191&amp;"|"&amp;$R1191&amp;"|"&amp;$AB1191,'ASIGNACIONES'!$I$4:$I$339,0)),""))</f>
        <v/>
      </c>
      <c r="AD1191" s="13">
        <f>IF($AB1191="","",SUMIFS('ORDENES'!$M$4:$M$1203,'ORDENES'!$AB$4:$AB$1203,$AB1191,'ORDENES'!$O$4:$O$1203,$O1191,'ORDENES'!$R$4:$R$1203,$R1191))</f>
        <v/>
      </c>
      <c r="AE1191" s="13">
        <f>IF($AD1191="","",p_factor_productividad*IFERROR(INDEX('ASIGNACIONES'!$H$4:$H$339,MATCH($O1191&amp;"|"&amp;$R1191&amp;"|"&amp;$AB1191,'ASIGNACIONES'!$I$4:$I$339,0)),0)-$AD1191)</f>
        <v/>
      </c>
      <c r="AF1191" s="10">
        <f>IF($A1191="","",IFERROR(INDEX('2_IMPORTAR_EJECUCION'!$F$9:$F$1208,MATCH($AN1191,'2_IMPORTAR_EJECUCION'!$J$9:$J$1208,0)),0))</f>
        <v/>
      </c>
      <c r="AG1191" s="10">
        <f>IF($A1191="","",MAX(0,IFERROR(INDEX('2_IMPORTAR_EJECUCION'!$H$9:$H$1208,MATCH($AN1191,'2_IMPORTAR_EJECUCION'!$J$9:$J$1208,0)),0)-$AF1191))</f>
        <v/>
      </c>
      <c r="AH1191" s="10">
        <f>IF($A1191="","",$AF1191+$AG1191)</f>
        <v/>
      </c>
      <c r="AI1191" s="6" t="n"/>
      <c r="AJ1191" s="6" t="n"/>
      <c r="AK1191" s="6" t="n"/>
      <c r="AL1191" s="3">
        <f>IF($AK1191="","",HYPERLINK(p_ruta_base_checklists&amp;$AK1191,"abrir"))</f>
        <v/>
      </c>
      <c r="AM1191" s="6" t="n"/>
      <c r="AN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1" t="n"/>
      <c r="K1192" s="3" t="n"/>
      <c r="L1192" s="10" t="n"/>
      <c r="M1192" s="3">
        <f>IF($A1192="","",IFERROR(INDEX('AJUSTES'!$B$4:$B$303,MATCH($AN1192,'AJUSTES'!$A$4:$A$303,0)),IF($K1192="","",$K1192)))</f>
        <v/>
      </c>
      <c r="N1192" s="3">
        <f>IF($A1192="","",IFERROR(INDEX('CAT_ESTADOS_ERP'!$B$4:$B$7,MATCH(IFERROR(INDEX('2_IMPORTAR_EJECUCION'!$C$9:$C$1208,MATCH($AN1192,'2_IMPORTAR_EJECUCION'!$J$9:$J$1208,0)),""),'CAT_ESTADOS_ERP'!$A$4:$A$7,0)),"Pendiente"))</f>
        <v/>
      </c>
      <c r="O1192" s="3">
        <f>IF($J1192="","",YEAR($J1192+4-WEEKDAY($J1192,2))&amp;"-S"&amp;TEXT(_xlfn.ISOWEEKNUM($J1192),"00"))</f>
        <v/>
      </c>
      <c r="P1192" s="3">
        <f>IF($J1192="","",YEAR($J1192))</f>
        <v/>
      </c>
      <c r="Q1192" s="3">
        <f>IF($J1192="","",MONTH($J1192))</f>
        <v/>
      </c>
      <c r="R1192" s="3">
        <f>IF($J1192="","",INDEX(lista_dias,WEEKDAY($J1192,2)))</f>
        <v/>
      </c>
      <c r="S1192" s="3">
        <f>IF($I1192="","",IFERROR(INDEX('CAT_TIPOS_OT'!$C$4:$C$7,MATCH($I1192,'CAT_TIPOS_OT'!$A$4:$A$7,0)),"sin_clasificar"))</f>
        <v/>
      </c>
      <c r="T1192" s="3">
        <f>IF($F1192="","",IFERROR(INDEX('CAT_CENTROS_COSTO'!$E$4:$E$9,MATCH($F1192,'CAT_CENTROS_COSTO'!$A$4:$A$9,0)),"(sin catálogo)"))</f>
        <v/>
      </c>
      <c r="U1192" s="3">
        <f>IF($F1192="","",IFERROR(INDEX('CAT_CENTROS_COSTO'!$D$4:$D$9,MATCH($F1192,'CAT_CENTROS_COSTO'!$A$4:$A$9,0)),"(sin catálogo)"))</f>
        <v/>
      </c>
      <c r="V1192" s="3">
        <f>IF($F1192="","",IFERROR(INDEX('CAT_CENTROS_COSTO'!$F$4:$F$9,MATCH($F1192,'CAT_CENTROS_COSTO'!$A$4:$A$9,0)),"(sin catálogo)"))</f>
        <v/>
      </c>
      <c r="W1192" s="3">
        <f>IF($G1192="","",IFERROR(INDEX('CAT_PUESTOS'!$B$4:$B$8,MATCH($G1192,'CAT_PUESTOS'!$A$4:$A$8,0)),"(sin catálogo)"))</f>
        <v/>
      </c>
      <c r="X1192" s="3">
        <f>IF($H1192="","",IFERROR(INDEX('CAT_ACTIVIDADES'!$B$4:$B$8,MATCH($H1192,'CAT_ACTIVIDADES'!$A$4:$A$8,0)),"(sin catálogo)"))</f>
        <v/>
      </c>
      <c r="Y1192" s="12">
        <f>IF($J1192="","",TODAY()-$J1192)</f>
        <v/>
      </c>
      <c r="Z1192" s="3">
        <f>IF($Y1192="","",IF($Y1192&lt;0,"FUTURO",IF($Y1192&gt;p_dias_backlog_max,"BACKLOG","MES CORRIENTE")))</f>
        <v/>
      </c>
      <c r="AA1192" s="3">
        <f>IF($Y1192="",FALSE,AND($Y1192&gt;p_dias_backlog_min,$Y1192&lt;=p_dias_backlog_max))</f>
        <v/>
      </c>
      <c r="AB1192" s="6" t="n"/>
      <c r="AC1192" s="3">
        <f>IF($AB1192="","",IFERROR(INDEX('ASIGNACIONES'!$F$4:$F$339,MATCH($O1192&amp;"|"&amp;$R1192&amp;"|"&amp;$AB1192,'ASIGNACIONES'!$I$4:$I$339,0)),""))</f>
        <v/>
      </c>
      <c r="AD1192" s="13">
        <f>IF($AB1192="","",SUMIFS('ORDENES'!$M$4:$M$1203,'ORDENES'!$AB$4:$AB$1203,$AB1192,'ORDENES'!$O$4:$O$1203,$O1192,'ORDENES'!$R$4:$R$1203,$R1192))</f>
        <v/>
      </c>
      <c r="AE1192" s="13">
        <f>IF($AD1192="","",p_factor_productividad*IFERROR(INDEX('ASIGNACIONES'!$H$4:$H$339,MATCH($O1192&amp;"|"&amp;$R1192&amp;"|"&amp;$AB1192,'ASIGNACIONES'!$I$4:$I$339,0)),0)-$AD1192)</f>
        <v/>
      </c>
      <c r="AF1192" s="10">
        <f>IF($A1192="","",IFERROR(INDEX('2_IMPORTAR_EJECUCION'!$F$9:$F$1208,MATCH($AN1192,'2_IMPORTAR_EJECUCION'!$J$9:$J$1208,0)),0))</f>
        <v/>
      </c>
      <c r="AG1192" s="10">
        <f>IF($A1192="","",MAX(0,IFERROR(INDEX('2_IMPORTAR_EJECUCION'!$H$9:$H$1208,MATCH($AN1192,'2_IMPORTAR_EJECUCION'!$J$9:$J$1208,0)),0)-$AF1192))</f>
        <v/>
      </c>
      <c r="AH1192" s="10">
        <f>IF($A1192="","",$AF1192+$AG1192)</f>
        <v/>
      </c>
      <c r="AI1192" s="6" t="n"/>
      <c r="AJ1192" s="6" t="n"/>
      <c r="AK1192" s="6" t="n"/>
      <c r="AL1192" s="3">
        <f>IF($AK1192="","",HYPERLINK(p_ruta_base_checklists&amp;$AK1192,"abrir"))</f>
        <v/>
      </c>
      <c r="AM1192" s="6" t="n"/>
      <c r="AN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1" t="n"/>
      <c r="K1193" s="3" t="n"/>
      <c r="L1193" s="10" t="n"/>
      <c r="M1193" s="3">
        <f>IF($A1193="","",IFERROR(INDEX('AJUSTES'!$B$4:$B$303,MATCH($AN1193,'AJUSTES'!$A$4:$A$303,0)),IF($K1193="","",$K1193)))</f>
        <v/>
      </c>
      <c r="N1193" s="3">
        <f>IF($A1193="","",IFERROR(INDEX('CAT_ESTADOS_ERP'!$B$4:$B$7,MATCH(IFERROR(INDEX('2_IMPORTAR_EJECUCION'!$C$9:$C$1208,MATCH($AN1193,'2_IMPORTAR_EJECUCION'!$J$9:$J$1208,0)),""),'CAT_ESTADOS_ERP'!$A$4:$A$7,0)),"Pendiente"))</f>
        <v/>
      </c>
      <c r="O1193" s="3">
        <f>IF($J1193="","",YEAR($J1193+4-WEEKDAY($J1193,2))&amp;"-S"&amp;TEXT(_xlfn.ISOWEEKNUM($J1193),"00"))</f>
        <v/>
      </c>
      <c r="P1193" s="3">
        <f>IF($J1193="","",YEAR($J1193))</f>
        <v/>
      </c>
      <c r="Q1193" s="3">
        <f>IF($J1193="","",MONTH($J1193))</f>
        <v/>
      </c>
      <c r="R1193" s="3">
        <f>IF($J1193="","",INDEX(lista_dias,WEEKDAY($J1193,2)))</f>
        <v/>
      </c>
      <c r="S1193" s="3">
        <f>IF($I1193="","",IFERROR(INDEX('CAT_TIPOS_OT'!$C$4:$C$7,MATCH($I1193,'CAT_TIPOS_OT'!$A$4:$A$7,0)),"sin_clasificar"))</f>
        <v/>
      </c>
      <c r="T1193" s="3">
        <f>IF($F1193="","",IFERROR(INDEX('CAT_CENTROS_COSTO'!$E$4:$E$9,MATCH($F1193,'CAT_CENTROS_COSTO'!$A$4:$A$9,0)),"(sin catálogo)"))</f>
        <v/>
      </c>
      <c r="U1193" s="3">
        <f>IF($F1193="","",IFERROR(INDEX('CAT_CENTROS_COSTO'!$D$4:$D$9,MATCH($F1193,'CAT_CENTROS_COSTO'!$A$4:$A$9,0)),"(sin catálogo)"))</f>
        <v/>
      </c>
      <c r="V1193" s="3">
        <f>IF($F1193="","",IFERROR(INDEX('CAT_CENTROS_COSTO'!$F$4:$F$9,MATCH($F1193,'CAT_CENTROS_COSTO'!$A$4:$A$9,0)),"(sin catálogo)"))</f>
        <v/>
      </c>
      <c r="W1193" s="3">
        <f>IF($G1193="","",IFERROR(INDEX('CAT_PUESTOS'!$B$4:$B$8,MATCH($G1193,'CAT_PUESTOS'!$A$4:$A$8,0)),"(sin catálogo)"))</f>
        <v/>
      </c>
      <c r="X1193" s="3">
        <f>IF($H1193="","",IFERROR(INDEX('CAT_ACTIVIDADES'!$B$4:$B$8,MATCH($H1193,'CAT_ACTIVIDADES'!$A$4:$A$8,0)),"(sin catálogo)"))</f>
        <v/>
      </c>
      <c r="Y1193" s="12">
        <f>IF($J1193="","",TODAY()-$J1193)</f>
        <v/>
      </c>
      <c r="Z1193" s="3">
        <f>IF($Y1193="","",IF($Y1193&lt;0,"FUTURO",IF($Y1193&gt;p_dias_backlog_max,"BACKLOG","MES CORRIENTE")))</f>
        <v/>
      </c>
      <c r="AA1193" s="3">
        <f>IF($Y1193="",FALSE,AND($Y1193&gt;p_dias_backlog_min,$Y1193&lt;=p_dias_backlog_max))</f>
        <v/>
      </c>
      <c r="AB1193" s="6" t="n"/>
      <c r="AC1193" s="3">
        <f>IF($AB1193="","",IFERROR(INDEX('ASIGNACIONES'!$F$4:$F$339,MATCH($O1193&amp;"|"&amp;$R1193&amp;"|"&amp;$AB1193,'ASIGNACIONES'!$I$4:$I$339,0)),""))</f>
        <v/>
      </c>
      <c r="AD1193" s="13">
        <f>IF($AB1193="","",SUMIFS('ORDENES'!$M$4:$M$1203,'ORDENES'!$AB$4:$AB$1203,$AB1193,'ORDENES'!$O$4:$O$1203,$O1193,'ORDENES'!$R$4:$R$1203,$R1193))</f>
        <v/>
      </c>
      <c r="AE1193" s="13">
        <f>IF($AD1193="","",p_factor_productividad*IFERROR(INDEX('ASIGNACIONES'!$H$4:$H$339,MATCH($O1193&amp;"|"&amp;$R1193&amp;"|"&amp;$AB1193,'ASIGNACIONES'!$I$4:$I$339,0)),0)-$AD1193)</f>
        <v/>
      </c>
      <c r="AF1193" s="10">
        <f>IF($A1193="","",IFERROR(INDEX('2_IMPORTAR_EJECUCION'!$F$9:$F$1208,MATCH($AN1193,'2_IMPORTAR_EJECUCION'!$J$9:$J$1208,0)),0))</f>
        <v/>
      </c>
      <c r="AG1193" s="10">
        <f>IF($A1193="","",MAX(0,IFERROR(INDEX('2_IMPORTAR_EJECUCION'!$H$9:$H$1208,MATCH($AN1193,'2_IMPORTAR_EJECUCION'!$J$9:$J$1208,0)),0)-$AF1193))</f>
        <v/>
      </c>
      <c r="AH1193" s="10">
        <f>IF($A1193="","",$AF1193+$AG1193)</f>
        <v/>
      </c>
      <c r="AI1193" s="6" t="n"/>
      <c r="AJ1193" s="6" t="n"/>
      <c r="AK1193" s="6" t="n"/>
      <c r="AL1193" s="3">
        <f>IF($AK1193="","",HYPERLINK(p_ruta_base_checklists&amp;$AK1193,"abrir"))</f>
        <v/>
      </c>
      <c r="AM1193" s="6" t="n"/>
      <c r="AN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1" t="n"/>
      <c r="K1194" s="3" t="n"/>
      <c r="L1194" s="10" t="n"/>
      <c r="M1194" s="3">
        <f>IF($A1194="","",IFERROR(INDEX('AJUSTES'!$B$4:$B$303,MATCH($AN1194,'AJUSTES'!$A$4:$A$303,0)),IF($K1194="","",$K1194)))</f>
        <v/>
      </c>
      <c r="N1194" s="3">
        <f>IF($A1194="","",IFERROR(INDEX('CAT_ESTADOS_ERP'!$B$4:$B$7,MATCH(IFERROR(INDEX('2_IMPORTAR_EJECUCION'!$C$9:$C$1208,MATCH($AN1194,'2_IMPORTAR_EJECUCION'!$J$9:$J$1208,0)),""),'CAT_ESTADOS_ERP'!$A$4:$A$7,0)),"Pendiente"))</f>
        <v/>
      </c>
      <c r="O1194" s="3">
        <f>IF($J1194="","",YEAR($J1194+4-WEEKDAY($J1194,2))&amp;"-S"&amp;TEXT(_xlfn.ISOWEEKNUM($J1194),"00"))</f>
        <v/>
      </c>
      <c r="P1194" s="3">
        <f>IF($J1194="","",YEAR($J1194))</f>
        <v/>
      </c>
      <c r="Q1194" s="3">
        <f>IF($J1194="","",MONTH($J1194))</f>
        <v/>
      </c>
      <c r="R1194" s="3">
        <f>IF($J1194="","",INDEX(lista_dias,WEEKDAY($J1194,2)))</f>
        <v/>
      </c>
      <c r="S1194" s="3">
        <f>IF($I1194="","",IFERROR(INDEX('CAT_TIPOS_OT'!$C$4:$C$7,MATCH($I1194,'CAT_TIPOS_OT'!$A$4:$A$7,0)),"sin_clasificar"))</f>
        <v/>
      </c>
      <c r="T1194" s="3">
        <f>IF($F1194="","",IFERROR(INDEX('CAT_CENTROS_COSTO'!$E$4:$E$9,MATCH($F1194,'CAT_CENTROS_COSTO'!$A$4:$A$9,0)),"(sin catálogo)"))</f>
        <v/>
      </c>
      <c r="U1194" s="3">
        <f>IF($F1194="","",IFERROR(INDEX('CAT_CENTROS_COSTO'!$D$4:$D$9,MATCH($F1194,'CAT_CENTROS_COSTO'!$A$4:$A$9,0)),"(sin catálogo)"))</f>
        <v/>
      </c>
      <c r="V1194" s="3">
        <f>IF($F1194="","",IFERROR(INDEX('CAT_CENTROS_COSTO'!$F$4:$F$9,MATCH($F1194,'CAT_CENTROS_COSTO'!$A$4:$A$9,0)),"(sin catálogo)"))</f>
        <v/>
      </c>
      <c r="W1194" s="3">
        <f>IF($G1194="","",IFERROR(INDEX('CAT_PUESTOS'!$B$4:$B$8,MATCH($G1194,'CAT_PUESTOS'!$A$4:$A$8,0)),"(sin catálogo)"))</f>
        <v/>
      </c>
      <c r="X1194" s="3">
        <f>IF($H1194="","",IFERROR(INDEX('CAT_ACTIVIDADES'!$B$4:$B$8,MATCH($H1194,'CAT_ACTIVIDADES'!$A$4:$A$8,0)),"(sin catálogo)"))</f>
        <v/>
      </c>
      <c r="Y1194" s="12">
        <f>IF($J1194="","",TODAY()-$J1194)</f>
        <v/>
      </c>
      <c r="Z1194" s="3">
        <f>IF($Y1194="","",IF($Y1194&lt;0,"FUTURO",IF($Y1194&gt;p_dias_backlog_max,"BACKLOG","MES CORRIENTE")))</f>
        <v/>
      </c>
      <c r="AA1194" s="3">
        <f>IF($Y1194="",FALSE,AND($Y1194&gt;p_dias_backlog_min,$Y1194&lt;=p_dias_backlog_max))</f>
        <v/>
      </c>
      <c r="AB1194" s="6" t="n"/>
      <c r="AC1194" s="3">
        <f>IF($AB1194="","",IFERROR(INDEX('ASIGNACIONES'!$F$4:$F$339,MATCH($O1194&amp;"|"&amp;$R1194&amp;"|"&amp;$AB1194,'ASIGNACIONES'!$I$4:$I$339,0)),""))</f>
        <v/>
      </c>
      <c r="AD1194" s="13">
        <f>IF($AB1194="","",SUMIFS('ORDENES'!$M$4:$M$1203,'ORDENES'!$AB$4:$AB$1203,$AB1194,'ORDENES'!$O$4:$O$1203,$O1194,'ORDENES'!$R$4:$R$1203,$R1194))</f>
        <v/>
      </c>
      <c r="AE1194" s="13">
        <f>IF($AD1194="","",p_factor_productividad*IFERROR(INDEX('ASIGNACIONES'!$H$4:$H$339,MATCH($O1194&amp;"|"&amp;$R1194&amp;"|"&amp;$AB1194,'ASIGNACIONES'!$I$4:$I$339,0)),0)-$AD1194)</f>
        <v/>
      </c>
      <c r="AF1194" s="10">
        <f>IF($A1194="","",IFERROR(INDEX('2_IMPORTAR_EJECUCION'!$F$9:$F$1208,MATCH($AN1194,'2_IMPORTAR_EJECUCION'!$J$9:$J$1208,0)),0))</f>
        <v/>
      </c>
      <c r="AG1194" s="10">
        <f>IF($A1194="","",MAX(0,IFERROR(INDEX('2_IMPORTAR_EJECUCION'!$H$9:$H$1208,MATCH($AN1194,'2_IMPORTAR_EJECUCION'!$J$9:$J$1208,0)),0)-$AF1194))</f>
        <v/>
      </c>
      <c r="AH1194" s="10">
        <f>IF($A1194="","",$AF1194+$AG1194)</f>
        <v/>
      </c>
      <c r="AI1194" s="6" t="n"/>
      <c r="AJ1194" s="6" t="n"/>
      <c r="AK1194" s="6" t="n"/>
      <c r="AL1194" s="3">
        <f>IF($AK1194="","",HYPERLINK(p_ruta_base_checklists&amp;$AK1194,"abrir"))</f>
        <v/>
      </c>
      <c r="AM1194" s="6" t="n"/>
      <c r="AN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1" t="n"/>
      <c r="K1195" s="3" t="n"/>
      <c r="L1195" s="10" t="n"/>
      <c r="M1195" s="3">
        <f>IF($A1195="","",IFERROR(INDEX('AJUSTES'!$B$4:$B$303,MATCH($AN1195,'AJUSTES'!$A$4:$A$303,0)),IF($K1195="","",$K1195)))</f>
        <v/>
      </c>
      <c r="N1195" s="3">
        <f>IF($A1195="","",IFERROR(INDEX('CAT_ESTADOS_ERP'!$B$4:$B$7,MATCH(IFERROR(INDEX('2_IMPORTAR_EJECUCION'!$C$9:$C$1208,MATCH($AN1195,'2_IMPORTAR_EJECUCION'!$J$9:$J$1208,0)),""),'CAT_ESTADOS_ERP'!$A$4:$A$7,0)),"Pendiente"))</f>
        <v/>
      </c>
      <c r="O1195" s="3">
        <f>IF($J1195="","",YEAR($J1195+4-WEEKDAY($J1195,2))&amp;"-S"&amp;TEXT(_xlfn.ISOWEEKNUM($J1195),"00"))</f>
        <v/>
      </c>
      <c r="P1195" s="3">
        <f>IF($J1195="","",YEAR($J1195))</f>
        <v/>
      </c>
      <c r="Q1195" s="3">
        <f>IF($J1195="","",MONTH($J1195))</f>
        <v/>
      </c>
      <c r="R1195" s="3">
        <f>IF($J1195="","",INDEX(lista_dias,WEEKDAY($J1195,2)))</f>
        <v/>
      </c>
      <c r="S1195" s="3">
        <f>IF($I1195="","",IFERROR(INDEX('CAT_TIPOS_OT'!$C$4:$C$7,MATCH($I1195,'CAT_TIPOS_OT'!$A$4:$A$7,0)),"sin_clasificar"))</f>
        <v/>
      </c>
      <c r="T1195" s="3">
        <f>IF($F1195="","",IFERROR(INDEX('CAT_CENTROS_COSTO'!$E$4:$E$9,MATCH($F1195,'CAT_CENTROS_COSTO'!$A$4:$A$9,0)),"(sin catálogo)"))</f>
        <v/>
      </c>
      <c r="U1195" s="3">
        <f>IF($F1195="","",IFERROR(INDEX('CAT_CENTROS_COSTO'!$D$4:$D$9,MATCH($F1195,'CAT_CENTROS_COSTO'!$A$4:$A$9,0)),"(sin catálogo)"))</f>
        <v/>
      </c>
      <c r="V1195" s="3">
        <f>IF($F1195="","",IFERROR(INDEX('CAT_CENTROS_COSTO'!$F$4:$F$9,MATCH($F1195,'CAT_CENTROS_COSTO'!$A$4:$A$9,0)),"(sin catálogo)"))</f>
        <v/>
      </c>
      <c r="W1195" s="3">
        <f>IF($G1195="","",IFERROR(INDEX('CAT_PUESTOS'!$B$4:$B$8,MATCH($G1195,'CAT_PUESTOS'!$A$4:$A$8,0)),"(sin catálogo)"))</f>
        <v/>
      </c>
      <c r="X1195" s="3">
        <f>IF($H1195="","",IFERROR(INDEX('CAT_ACTIVIDADES'!$B$4:$B$8,MATCH($H1195,'CAT_ACTIVIDADES'!$A$4:$A$8,0)),"(sin catálogo)"))</f>
        <v/>
      </c>
      <c r="Y1195" s="12">
        <f>IF($J1195="","",TODAY()-$J1195)</f>
        <v/>
      </c>
      <c r="Z1195" s="3">
        <f>IF($Y1195="","",IF($Y1195&lt;0,"FUTURO",IF($Y1195&gt;p_dias_backlog_max,"BACKLOG","MES CORRIENTE")))</f>
        <v/>
      </c>
      <c r="AA1195" s="3">
        <f>IF($Y1195="",FALSE,AND($Y1195&gt;p_dias_backlog_min,$Y1195&lt;=p_dias_backlog_max))</f>
        <v/>
      </c>
      <c r="AB1195" s="6" t="n"/>
      <c r="AC1195" s="3">
        <f>IF($AB1195="","",IFERROR(INDEX('ASIGNACIONES'!$F$4:$F$339,MATCH($O1195&amp;"|"&amp;$R1195&amp;"|"&amp;$AB1195,'ASIGNACIONES'!$I$4:$I$339,0)),""))</f>
        <v/>
      </c>
      <c r="AD1195" s="13">
        <f>IF($AB1195="","",SUMIFS('ORDENES'!$M$4:$M$1203,'ORDENES'!$AB$4:$AB$1203,$AB1195,'ORDENES'!$O$4:$O$1203,$O1195,'ORDENES'!$R$4:$R$1203,$R1195))</f>
        <v/>
      </c>
      <c r="AE1195" s="13">
        <f>IF($AD1195="","",p_factor_productividad*IFERROR(INDEX('ASIGNACIONES'!$H$4:$H$339,MATCH($O1195&amp;"|"&amp;$R1195&amp;"|"&amp;$AB1195,'ASIGNACIONES'!$I$4:$I$339,0)),0)-$AD1195)</f>
        <v/>
      </c>
      <c r="AF1195" s="10">
        <f>IF($A1195="","",IFERROR(INDEX('2_IMPORTAR_EJECUCION'!$F$9:$F$1208,MATCH($AN1195,'2_IMPORTAR_EJECUCION'!$J$9:$J$1208,0)),0))</f>
        <v/>
      </c>
      <c r="AG1195" s="10">
        <f>IF($A1195="","",MAX(0,IFERROR(INDEX('2_IMPORTAR_EJECUCION'!$H$9:$H$1208,MATCH($AN1195,'2_IMPORTAR_EJECUCION'!$J$9:$J$1208,0)),0)-$AF1195))</f>
        <v/>
      </c>
      <c r="AH1195" s="10">
        <f>IF($A1195="","",$AF1195+$AG1195)</f>
        <v/>
      </c>
      <c r="AI1195" s="6" t="n"/>
      <c r="AJ1195" s="6" t="n"/>
      <c r="AK1195" s="6" t="n"/>
      <c r="AL1195" s="3">
        <f>IF($AK1195="","",HYPERLINK(p_ruta_base_checklists&amp;$AK1195,"abrir"))</f>
        <v/>
      </c>
      <c r="AM1195" s="6" t="n"/>
      <c r="AN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1" t="n"/>
      <c r="K1196" s="3" t="n"/>
      <c r="L1196" s="10" t="n"/>
      <c r="M1196" s="3">
        <f>IF($A1196="","",IFERROR(INDEX('AJUSTES'!$B$4:$B$303,MATCH($AN1196,'AJUSTES'!$A$4:$A$303,0)),IF($K1196="","",$K1196)))</f>
        <v/>
      </c>
      <c r="N1196" s="3">
        <f>IF($A1196="","",IFERROR(INDEX('CAT_ESTADOS_ERP'!$B$4:$B$7,MATCH(IFERROR(INDEX('2_IMPORTAR_EJECUCION'!$C$9:$C$1208,MATCH($AN1196,'2_IMPORTAR_EJECUCION'!$J$9:$J$1208,0)),""),'CAT_ESTADOS_ERP'!$A$4:$A$7,0)),"Pendiente"))</f>
        <v/>
      </c>
      <c r="O1196" s="3">
        <f>IF($J1196="","",YEAR($J1196+4-WEEKDAY($J1196,2))&amp;"-S"&amp;TEXT(_xlfn.ISOWEEKNUM($J1196),"00"))</f>
        <v/>
      </c>
      <c r="P1196" s="3">
        <f>IF($J1196="","",YEAR($J1196))</f>
        <v/>
      </c>
      <c r="Q1196" s="3">
        <f>IF($J1196="","",MONTH($J1196))</f>
        <v/>
      </c>
      <c r="R1196" s="3">
        <f>IF($J1196="","",INDEX(lista_dias,WEEKDAY($J1196,2)))</f>
        <v/>
      </c>
      <c r="S1196" s="3">
        <f>IF($I1196="","",IFERROR(INDEX('CAT_TIPOS_OT'!$C$4:$C$7,MATCH($I1196,'CAT_TIPOS_OT'!$A$4:$A$7,0)),"sin_clasificar"))</f>
        <v/>
      </c>
      <c r="T1196" s="3">
        <f>IF($F1196="","",IFERROR(INDEX('CAT_CENTROS_COSTO'!$E$4:$E$9,MATCH($F1196,'CAT_CENTROS_COSTO'!$A$4:$A$9,0)),"(sin catálogo)"))</f>
        <v/>
      </c>
      <c r="U1196" s="3">
        <f>IF($F1196="","",IFERROR(INDEX('CAT_CENTROS_COSTO'!$D$4:$D$9,MATCH($F1196,'CAT_CENTROS_COSTO'!$A$4:$A$9,0)),"(sin catálogo)"))</f>
        <v/>
      </c>
      <c r="V1196" s="3">
        <f>IF($F1196="","",IFERROR(INDEX('CAT_CENTROS_COSTO'!$F$4:$F$9,MATCH($F1196,'CAT_CENTROS_COSTO'!$A$4:$A$9,0)),"(sin catálogo)"))</f>
        <v/>
      </c>
      <c r="W1196" s="3">
        <f>IF($G1196="","",IFERROR(INDEX('CAT_PUESTOS'!$B$4:$B$8,MATCH($G1196,'CAT_PUESTOS'!$A$4:$A$8,0)),"(sin catálogo)"))</f>
        <v/>
      </c>
      <c r="X1196" s="3">
        <f>IF($H1196="","",IFERROR(INDEX('CAT_ACTIVIDADES'!$B$4:$B$8,MATCH($H1196,'CAT_ACTIVIDADES'!$A$4:$A$8,0)),"(sin catálogo)"))</f>
        <v/>
      </c>
      <c r="Y1196" s="12">
        <f>IF($J1196="","",TODAY()-$J1196)</f>
        <v/>
      </c>
      <c r="Z1196" s="3">
        <f>IF($Y1196="","",IF($Y1196&lt;0,"FUTURO",IF($Y1196&gt;p_dias_backlog_max,"BACKLOG","MES CORRIENTE")))</f>
        <v/>
      </c>
      <c r="AA1196" s="3">
        <f>IF($Y1196="",FALSE,AND($Y1196&gt;p_dias_backlog_min,$Y1196&lt;=p_dias_backlog_max))</f>
        <v/>
      </c>
      <c r="AB1196" s="6" t="n"/>
      <c r="AC1196" s="3">
        <f>IF($AB1196="","",IFERROR(INDEX('ASIGNACIONES'!$F$4:$F$339,MATCH($O1196&amp;"|"&amp;$R1196&amp;"|"&amp;$AB1196,'ASIGNACIONES'!$I$4:$I$339,0)),""))</f>
        <v/>
      </c>
      <c r="AD1196" s="13">
        <f>IF($AB1196="","",SUMIFS('ORDENES'!$M$4:$M$1203,'ORDENES'!$AB$4:$AB$1203,$AB1196,'ORDENES'!$O$4:$O$1203,$O1196,'ORDENES'!$R$4:$R$1203,$R1196))</f>
        <v/>
      </c>
      <c r="AE1196" s="13">
        <f>IF($AD1196="","",p_factor_productividad*IFERROR(INDEX('ASIGNACIONES'!$H$4:$H$339,MATCH($O1196&amp;"|"&amp;$R1196&amp;"|"&amp;$AB1196,'ASIGNACIONES'!$I$4:$I$339,0)),0)-$AD1196)</f>
        <v/>
      </c>
      <c r="AF1196" s="10">
        <f>IF($A1196="","",IFERROR(INDEX('2_IMPORTAR_EJECUCION'!$F$9:$F$1208,MATCH($AN1196,'2_IMPORTAR_EJECUCION'!$J$9:$J$1208,0)),0))</f>
        <v/>
      </c>
      <c r="AG1196" s="10">
        <f>IF($A1196="","",MAX(0,IFERROR(INDEX('2_IMPORTAR_EJECUCION'!$H$9:$H$1208,MATCH($AN1196,'2_IMPORTAR_EJECUCION'!$J$9:$J$1208,0)),0)-$AF1196))</f>
        <v/>
      </c>
      <c r="AH1196" s="10">
        <f>IF($A1196="","",$AF1196+$AG1196)</f>
        <v/>
      </c>
      <c r="AI1196" s="6" t="n"/>
      <c r="AJ1196" s="6" t="n"/>
      <c r="AK1196" s="6" t="n"/>
      <c r="AL1196" s="3">
        <f>IF($AK1196="","",HYPERLINK(p_ruta_base_checklists&amp;$AK1196,"abrir"))</f>
        <v/>
      </c>
      <c r="AM1196" s="6" t="n"/>
      <c r="AN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1" t="n"/>
      <c r="K1197" s="3" t="n"/>
      <c r="L1197" s="10" t="n"/>
      <c r="M1197" s="3">
        <f>IF($A1197="","",IFERROR(INDEX('AJUSTES'!$B$4:$B$303,MATCH($AN1197,'AJUSTES'!$A$4:$A$303,0)),IF($K1197="","",$K1197)))</f>
        <v/>
      </c>
      <c r="N1197" s="3">
        <f>IF($A1197="","",IFERROR(INDEX('CAT_ESTADOS_ERP'!$B$4:$B$7,MATCH(IFERROR(INDEX('2_IMPORTAR_EJECUCION'!$C$9:$C$1208,MATCH($AN1197,'2_IMPORTAR_EJECUCION'!$J$9:$J$1208,0)),""),'CAT_ESTADOS_ERP'!$A$4:$A$7,0)),"Pendiente"))</f>
        <v/>
      </c>
      <c r="O1197" s="3">
        <f>IF($J1197="","",YEAR($J1197+4-WEEKDAY($J1197,2))&amp;"-S"&amp;TEXT(_xlfn.ISOWEEKNUM($J1197),"00"))</f>
        <v/>
      </c>
      <c r="P1197" s="3">
        <f>IF($J1197="","",YEAR($J1197))</f>
        <v/>
      </c>
      <c r="Q1197" s="3">
        <f>IF($J1197="","",MONTH($J1197))</f>
        <v/>
      </c>
      <c r="R1197" s="3">
        <f>IF($J1197="","",INDEX(lista_dias,WEEKDAY($J1197,2)))</f>
        <v/>
      </c>
      <c r="S1197" s="3">
        <f>IF($I1197="","",IFERROR(INDEX('CAT_TIPOS_OT'!$C$4:$C$7,MATCH($I1197,'CAT_TIPOS_OT'!$A$4:$A$7,0)),"sin_clasificar"))</f>
        <v/>
      </c>
      <c r="T1197" s="3">
        <f>IF($F1197="","",IFERROR(INDEX('CAT_CENTROS_COSTO'!$E$4:$E$9,MATCH($F1197,'CAT_CENTROS_COSTO'!$A$4:$A$9,0)),"(sin catálogo)"))</f>
        <v/>
      </c>
      <c r="U1197" s="3">
        <f>IF($F1197="","",IFERROR(INDEX('CAT_CENTROS_COSTO'!$D$4:$D$9,MATCH($F1197,'CAT_CENTROS_COSTO'!$A$4:$A$9,0)),"(sin catálogo)"))</f>
        <v/>
      </c>
      <c r="V1197" s="3">
        <f>IF($F1197="","",IFERROR(INDEX('CAT_CENTROS_COSTO'!$F$4:$F$9,MATCH($F1197,'CAT_CENTROS_COSTO'!$A$4:$A$9,0)),"(sin catálogo)"))</f>
        <v/>
      </c>
      <c r="W1197" s="3">
        <f>IF($G1197="","",IFERROR(INDEX('CAT_PUESTOS'!$B$4:$B$8,MATCH($G1197,'CAT_PUESTOS'!$A$4:$A$8,0)),"(sin catálogo)"))</f>
        <v/>
      </c>
      <c r="X1197" s="3">
        <f>IF($H1197="","",IFERROR(INDEX('CAT_ACTIVIDADES'!$B$4:$B$8,MATCH($H1197,'CAT_ACTIVIDADES'!$A$4:$A$8,0)),"(sin catálogo)"))</f>
        <v/>
      </c>
      <c r="Y1197" s="12">
        <f>IF($J1197="","",TODAY()-$J1197)</f>
        <v/>
      </c>
      <c r="Z1197" s="3">
        <f>IF($Y1197="","",IF($Y1197&lt;0,"FUTURO",IF($Y1197&gt;p_dias_backlog_max,"BACKLOG","MES CORRIENTE")))</f>
        <v/>
      </c>
      <c r="AA1197" s="3">
        <f>IF($Y1197="",FALSE,AND($Y1197&gt;p_dias_backlog_min,$Y1197&lt;=p_dias_backlog_max))</f>
        <v/>
      </c>
      <c r="AB1197" s="6" t="n"/>
      <c r="AC1197" s="3">
        <f>IF($AB1197="","",IFERROR(INDEX('ASIGNACIONES'!$F$4:$F$339,MATCH($O1197&amp;"|"&amp;$R1197&amp;"|"&amp;$AB1197,'ASIGNACIONES'!$I$4:$I$339,0)),""))</f>
        <v/>
      </c>
      <c r="AD1197" s="13">
        <f>IF($AB1197="","",SUMIFS('ORDENES'!$M$4:$M$1203,'ORDENES'!$AB$4:$AB$1203,$AB1197,'ORDENES'!$O$4:$O$1203,$O1197,'ORDENES'!$R$4:$R$1203,$R1197))</f>
        <v/>
      </c>
      <c r="AE1197" s="13">
        <f>IF($AD1197="","",p_factor_productividad*IFERROR(INDEX('ASIGNACIONES'!$H$4:$H$339,MATCH($O1197&amp;"|"&amp;$R1197&amp;"|"&amp;$AB1197,'ASIGNACIONES'!$I$4:$I$339,0)),0)-$AD1197)</f>
        <v/>
      </c>
      <c r="AF1197" s="10">
        <f>IF($A1197="","",IFERROR(INDEX('2_IMPORTAR_EJECUCION'!$F$9:$F$1208,MATCH($AN1197,'2_IMPORTAR_EJECUCION'!$J$9:$J$1208,0)),0))</f>
        <v/>
      </c>
      <c r="AG1197" s="10">
        <f>IF($A1197="","",MAX(0,IFERROR(INDEX('2_IMPORTAR_EJECUCION'!$H$9:$H$1208,MATCH($AN1197,'2_IMPORTAR_EJECUCION'!$J$9:$J$1208,0)),0)-$AF1197))</f>
        <v/>
      </c>
      <c r="AH1197" s="10">
        <f>IF($A1197="","",$AF1197+$AG1197)</f>
        <v/>
      </c>
      <c r="AI1197" s="6" t="n"/>
      <c r="AJ1197" s="6" t="n"/>
      <c r="AK1197" s="6" t="n"/>
      <c r="AL1197" s="3">
        <f>IF($AK1197="","",HYPERLINK(p_ruta_base_checklists&amp;$AK1197,"abrir"))</f>
        <v/>
      </c>
      <c r="AM1197" s="6" t="n"/>
      <c r="AN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1" t="n"/>
      <c r="K1198" s="3" t="n"/>
      <c r="L1198" s="10" t="n"/>
      <c r="M1198" s="3">
        <f>IF($A1198="","",IFERROR(INDEX('AJUSTES'!$B$4:$B$303,MATCH($AN1198,'AJUSTES'!$A$4:$A$303,0)),IF($K1198="","",$K1198)))</f>
        <v/>
      </c>
      <c r="N1198" s="3">
        <f>IF($A1198="","",IFERROR(INDEX('CAT_ESTADOS_ERP'!$B$4:$B$7,MATCH(IFERROR(INDEX('2_IMPORTAR_EJECUCION'!$C$9:$C$1208,MATCH($AN1198,'2_IMPORTAR_EJECUCION'!$J$9:$J$1208,0)),""),'CAT_ESTADOS_ERP'!$A$4:$A$7,0)),"Pendiente"))</f>
        <v/>
      </c>
      <c r="O1198" s="3">
        <f>IF($J1198="","",YEAR($J1198+4-WEEKDAY($J1198,2))&amp;"-S"&amp;TEXT(_xlfn.ISOWEEKNUM($J1198),"00"))</f>
        <v/>
      </c>
      <c r="P1198" s="3">
        <f>IF($J1198="","",YEAR($J1198))</f>
        <v/>
      </c>
      <c r="Q1198" s="3">
        <f>IF($J1198="","",MONTH($J1198))</f>
        <v/>
      </c>
      <c r="R1198" s="3">
        <f>IF($J1198="","",INDEX(lista_dias,WEEKDAY($J1198,2)))</f>
        <v/>
      </c>
      <c r="S1198" s="3">
        <f>IF($I1198="","",IFERROR(INDEX('CAT_TIPOS_OT'!$C$4:$C$7,MATCH($I1198,'CAT_TIPOS_OT'!$A$4:$A$7,0)),"sin_clasificar"))</f>
        <v/>
      </c>
      <c r="T1198" s="3">
        <f>IF($F1198="","",IFERROR(INDEX('CAT_CENTROS_COSTO'!$E$4:$E$9,MATCH($F1198,'CAT_CENTROS_COSTO'!$A$4:$A$9,0)),"(sin catálogo)"))</f>
        <v/>
      </c>
      <c r="U1198" s="3">
        <f>IF($F1198="","",IFERROR(INDEX('CAT_CENTROS_COSTO'!$D$4:$D$9,MATCH($F1198,'CAT_CENTROS_COSTO'!$A$4:$A$9,0)),"(sin catálogo)"))</f>
        <v/>
      </c>
      <c r="V1198" s="3">
        <f>IF($F1198="","",IFERROR(INDEX('CAT_CENTROS_COSTO'!$F$4:$F$9,MATCH($F1198,'CAT_CENTROS_COSTO'!$A$4:$A$9,0)),"(sin catálogo)"))</f>
        <v/>
      </c>
      <c r="W1198" s="3">
        <f>IF($G1198="","",IFERROR(INDEX('CAT_PUESTOS'!$B$4:$B$8,MATCH($G1198,'CAT_PUESTOS'!$A$4:$A$8,0)),"(sin catálogo)"))</f>
        <v/>
      </c>
      <c r="X1198" s="3">
        <f>IF($H1198="","",IFERROR(INDEX('CAT_ACTIVIDADES'!$B$4:$B$8,MATCH($H1198,'CAT_ACTIVIDADES'!$A$4:$A$8,0)),"(sin catálogo)"))</f>
        <v/>
      </c>
      <c r="Y1198" s="12">
        <f>IF($J1198="","",TODAY()-$J1198)</f>
        <v/>
      </c>
      <c r="Z1198" s="3">
        <f>IF($Y1198="","",IF($Y1198&lt;0,"FUTURO",IF($Y1198&gt;p_dias_backlog_max,"BACKLOG","MES CORRIENTE")))</f>
        <v/>
      </c>
      <c r="AA1198" s="3">
        <f>IF($Y1198="",FALSE,AND($Y1198&gt;p_dias_backlog_min,$Y1198&lt;=p_dias_backlog_max))</f>
        <v/>
      </c>
      <c r="AB1198" s="6" t="n"/>
      <c r="AC1198" s="3">
        <f>IF($AB1198="","",IFERROR(INDEX('ASIGNACIONES'!$F$4:$F$339,MATCH($O1198&amp;"|"&amp;$R1198&amp;"|"&amp;$AB1198,'ASIGNACIONES'!$I$4:$I$339,0)),""))</f>
        <v/>
      </c>
      <c r="AD1198" s="13">
        <f>IF($AB1198="","",SUMIFS('ORDENES'!$M$4:$M$1203,'ORDENES'!$AB$4:$AB$1203,$AB1198,'ORDENES'!$O$4:$O$1203,$O1198,'ORDENES'!$R$4:$R$1203,$R1198))</f>
        <v/>
      </c>
      <c r="AE1198" s="13">
        <f>IF($AD1198="","",p_factor_productividad*IFERROR(INDEX('ASIGNACIONES'!$H$4:$H$339,MATCH($O1198&amp;"|"&amp;$R1198&amp;"|"&amp;$AB1198,'ASIGNACIONES'!$I$4:$I$339,0)),0)-$AD1198)</f>
        <v/>
      </c>
      <c r="AF1198" s="10">
        <f>IF($A1198="","",IFERROR(INDEX('2_IMPORTAR_EJECUCION'!$F$9:$F$1208,MATCH($AN1198,'2_IMPORTAR_EJECUCION'!$J$9:$J$1208,0)),0))</f>
        <v/>
      </c>
      <c r="AG1198" s="10">
        <f>IF($A1198="","",MAX(0,IFERROR(INDEX('2_IMPORTAR_EJECUCION'!$H$9:$H$1208,MATCH($AN1198,'2_IMPORTAR_EJECUCION'!$J$9:$J$1208,0)),0)-$AF1198))</f>
        <v/>
      </c>
      <c r="AH1198" s="10">
        <f>IF($A1198="","",$AF1198+$AG1198)</f>
        <v/>
      </c>
      <c r="AI1198" s="6" t="n"/>
      <c r="AJ1198" s="6" t="n"/>
      <c r="AK1198" s="6" t="n"/>
      <c r="AL1198" s="3">
        <f>IF($AK1198="","",HYPERLINK(p_ruta_base_checklists&amp;$AK1198,"abrir"))</f>
        <v/>
      </c>
      <c r="AM1198" s="6" t="n"/>
      <c r="AN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1" t="n"/>
      <c r="K1199" s="3" t="n"/>
      <c r="L1199" s="10" t="n"/>
      <c r="M1199" s="3">
        <f>IF($A1199="","",IFERROR(INDEX('AJUSTES'!$B$4:$B$303,MATCH($AN1199,'AJUSTES'!$A$4:$A$303,0)),IF($K1199="","",$K1199)))</f>
        <v/>
      </c>
      <c r="N1199" s="3">
        <f>IF($A1199="","",IFERROR(INDEX('CAT_ESTADOS_ERP'!$B$4:$B$7,MATCH(IFERROR(INDEX('2_IMPORTAR_EJECUCION'!$C$9:$C$1208,MATCH($AN1199,'2_IMPORTAR_EJECUCION'!$J$9:$J$1208,0)),""),'CAT_ESTADOS_ERP'!$A$4:$A$7,0)),"Pendiente"))</f>
        <v/>
      </c>
      <c r="O1199" s="3">
        <f>IF($J1199="","",YEAR($J1199+4-WEEKDAY($J1199,2))&amp;"-S"&amp;TEXT(_xlfn.ISOWEEKNUM($J1199),"00"))</f>
        <v/>
      </c>
      <c r="P1199" s="3">
        <f>IF($J1199="","",YEAR($J1199))</f>
        <v/>
      </c>
      <c r="Q1199" s="3">
        <f>IF($J1199="","",MONTH($J1199))</f>
        <v/>
      </c>
      <c r="R1199" s="3">
        <f>IF($J1199="","",INDEX(lista_dias,WEEKDAY($J1199,2)))</f>
        <v/>
      </c>
      <c r="S1199" s="3">
        <f>IF($I1199="","",IFERROR(INDEX('CAT_TIPOS_OT'!$C$4:$C$7,MATCH($I1199,'CAT_TIPOS_OT'!$A$4:$A$7,0)),"sin_clasificar"))</f>
        <v/>
      </c>
      <c r="T1199" s="3">
        <f>IF($F1199="","",IFERROR(INDEX('CAT_CENTROS_COSTO'!$E$4:$E$9,MATCH($F1199,'CAT_CENTROS_COSTO'!$A$4:$A$9,0)),"(sin catálogo)"))</f>
        <v/>
      </c>
      <c r="U1199" s="3">
        <f>IF($F1199="","",IFERROR(INDEX('CAT_CENTROS_COSTO'!$D$4:$D$9,MATCH($F1199,'CAT_CENTROS_COSTO'!$A$4:$A$9,0)),"(sin catálogo)"))</f>
        <v/>
      </c>
      <c r="V1199" s="3">
        <f>IF($F1199="","",IFERROR(INDEX('CAT_CENTROS_COSTO'!$F$4:$F$9,MATCH($F1199,'CAT_CENTROS_COSTO'!$A$4:$A$9,0)),"(sin catálogo)"))</f>
        <v/>
      </c>
      <c r="W1199" s="3">
        <f>IF($G1199="","",IFERROR(INDEX('CAT_PUESTOS'!$B$4:$B$8,MATCH($G1199,'CAT_PUESTOS'!$A$4:$A$8,0)),"(sin catálogo)"))</f>
        <v/>
      </c>
      <c r="X1199" s="3">
        <f>IF($H1199="","",IFERROR(INDEX('CAT_ACTIVIDADES'!$B$4:$B$8,MATCH($H1199,'CAT_ACTIVIDADES'!$A$4:$A$8,0)),"(sin catálogo)"))</f>
        <v/>
      </c>
      <c r="Y1199" s="12">
        <f>IF($J1199="","",TODAY()-$J1199)</f>
        <v/>
      </c>
      <c r="Z1199" s="3">
        <f>IF($Y1199="","",IF($Y1199&lt;0,"FUTURO",IF($Y1199&gt;p_dias_backlog_max,"BACKLOG","MES CORRIENTE")))</f>
        <v/>
      </c>
      <c r="AA1199" s="3">
        <f>IF($Y1199="",FALSE,AND($Y1199&gt;p_dias_backlog_min,$Y1199&lt;=p_dias_backlog_max))</f>
        <v/>
      </c>
      <c r="AB1199" s="6" t="n"/>
      <c r="AC1199" s="3">
        <f>IF($AB1199="","",IFERROR(INDEX('ASIGNACIONES'!$F$4:$F$339,MATCH($O1199&amp;"|"&amp;$R1199&amp;"|"&amp;$AB1199,'ASIGNACIONES'!$I$4:$I$339,0)),""))</f>
        <v/>
      </c>
      <c r="AD1199" s="13">
        <f>IF($AB1199="","",SUMIFS('ORDENES'!$M$4:$M$1203,'ORDENES'!$AB$4:$AB$1203,$AB1199,'ORDENES'!$O$4:$O$1203,$O1199,'ORDENES'!$R$4:$R$1203,$R1199))</f>
        <v/>
      </c>
      <c r="AE1199" s="13">
        <f>IF($AD1199="","",p_factor_productividad*IFERROR(INDEX('ASIGNACIONES'!$H$4:$H$339,MATCH($O1199&amp;"|"&amp;$R1199&amp;"|"&amp;$AB1199,'ASIGNACIONES'!$I$4:$I$339,0)),0)-$AD1199)</f>
        <v/>
      </c>
      <c r="AF1199" s="10">
        <f>IF($A1199="","",IFERROR(INDEX('2_IMPORTAR_EJECUCION'!$F$9:$F$1208,MATCH($AN1199,'2_IMPORTAR_EJECUCION'!$J$9:$J$1208,0)),0))</f>
        <v/>
      </c>
      <c r="AG1199" s="10">
        <f>IF($A1199="","",MAX(0,IFERROR(INDEX('2_IMPORTAR_EJECUCION'!$H$9:$H$1208,MATCH($AN1199,'2_IMPORTAR_EJECUCION'!$J$9:$J$1208,0)),0)-$AF1199))</f>
        <v/>
      </c>
      <c r="AH1199" s="10">
        <f>IF($A1199="","",$AF1199+$AG1199)</f>
        <v/>
      </c>
      <c r="AI1199" s="6" t="n"/>
      <c r="AJ1199" s="6" t="n"/>
      <c r="AK1199" s="6" t="n"/>
      <c r="AL1199" s="3">
        <f>IF($AK1199="","",HYPERLINK(p_ruta_base_checklists&amp;$AK1199,"abrir"))</f>
        <v/>
      </c>
      <c r="AM1199" s="6" t="n"/>
      <c r="AN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1" t="n"/>
      <c r="K1200" s="3" t="n"/>
      <c r="L1200" s="10" t="n"/>
      <c r="M1200" s="3">
        <f>IF($A1200="","",IFERROR(INDEX('AJUSTES'!$B$4:$B$303,MATCH($AN1200,'AJUSTES'!$A$4:$A$303,0)),IF($K1200="","",$K1200)))</f>
        <v/>
      </c>
      <c r="N1200" s="3">
        <f>IF($A1200="","",IFERROR(INDEX('CAT_ESTADOS_ERP'!$B$4:$B$7,MATCH(IFERROR(INDEX('2_IMPORTAR_EJECUCION'!$C$9:$C$1208,MATCH($AN1200,'2_IMPORTAR_EJECUCION'!$J$9:$J$1208,0)),""),'CAT_ESTADOS_ERP'!$A$4:$A$7,0)),"Pendiente"))</f>
        <v/>
      </c>
      <c r="O1200" s="3">
        <f>IF($J1200="","",YEAR($J1200+4-WEEKDAY($J1200,2))&amp;"-S"&amp;TEXT(_xlfn.ISOWEEKNUM($J1200),"00"))</f>
        <v/>
      </c>
      <c r="P1200" s="3">
        <f>IF($J1200="","",YEAR($J1200))</f>
        <v/>
      </c>
      <c r="Q1200" s="3">
        <f>IF($J1200="","",MONTH($J1200))</f>
        <v/>
      </c>
      <c r="R1200" s="3">
        <f>IF($J1200="","",INDEX(lista_dias,WEEKDAY($J1200,2)))</f>
        <v/>
      </c>
      <c r="S1200" s="3">
        <f>IF($I1200="","",IFERROR(INDEX('CAT_TIPOS_OT'!$C$4:$C$7,MATCH($I1200,'CAT_TIPOS_OT'!$A$4:$A$7,0)),"sin_clasificar"))</f>
        <v/>
      </c>
      <c r="T1200" s="3">
        <f>IF($F1200="","",IFERROR(INDEX('CAT_CENTROS_COSTO'!$E$4:$E$9,MATCH($F1200,'CAT_CENTROS_COSTO'!$A$4:$A$9,0)),"(sin catálogo)"))</f>
        <v/>
      </c>
      <c r="U1200" s="3">
        <f>IF($F1200="","",IFERROR(INDEX('CAT_CENTROS_COSTO'!$D$4:$D$9,MATCH($F1200,'CAT_CENTROS_COSTO'!$A$4:$A$9,0)),"(sin catálogo)"))</f>
        <v/>
      </c>
      <c r="V1200" s="3">
        <f>IF($F1200="","",IFERROR(INDEX('CAT_CENTROS_COSTO'!$F$4:$F$9,MATCH($F1200,'CAT_CENTROS_COSTO'!$A$4:$A$9,0)),"(sin catálogo)"))</f>
        <v/>
      </c>
      <c r="W1200" s="3">
        <f>IF($G1200="","",IFERROR(INDEX('CAT_PUESTOS'!$B$4:$B$8,MATCH($G1200,'CAT_PUESTOS'!$A$4:$A$8,0)),"(sin catálogo)"))</f>
        <v/>
      </c>
      <c r="X1200" s="3">
        <f>IF($H1200="","",IFERROR(INDEX('CAT_ACTIVIDADES'!$B$4:$B$8,MATCH($H1200,'CAT_ACTIVIDADES'!$A$4:$A$8,0)),"(sin catálogo)"))</f>
        <v/>
      </c>
      <c r="Y1200" s="12">
        <f>IF($J1200="","",TODAY()-$J1200)</f>
        <v/>
      </c>
      <c r="Z1200" s="3">
        <f>IF($Y1200="","",IF($Y1200&lt;0,"FUTURO",IF($Y1200&gt;p_dias_backlog_max,"BACKLOG","MES CORRIENTE")))</f>
        <v/>
      </c>
      <c r="AA1200" s="3">
        <f>IF($Y1200="",FALSE,AND($Y1200&gt;p_dias_backlog_min,$Y1200&lt;=p_dias_backlog_max))</f>
        <v/>
      </c>
      <c r="AB1200" s="6" t="n"/>
      <c r="AC1200" s="3">
        <f>IF($AB1200="","",IFERROR(INDEX('ASIGNACIONES'!$F$4:$F$339,MATCH($O1200&amp;"|"&amp;$R1200&amp;"|"&amp;$AB1200,'ASIGNACIONES'!$I$4:$I$339,0)),""))</f>
        <v/>
      </c>
      <c r="AD1200" s="13">
        <f>IF($AB1200="","",SUMIFS('ORDENES'!$M$4:$M$1203,'ORDENES'!$AB$4:$AB$1203,$AB1200,'ORDENES'!$O$4:$O$1203,$O1200,'ORDENES'!$R$4:$R$1203,$R1200))</f>
        <v/>
      </c>
      <c r="AE1200" s="13">
        <f>IF($AD1200="","",p_factor_productividad*IFERROR(INDEX('ASIGNACIONES'!$H$4:$H$339,MATCH($O1200&amp;"|"&amp;$R1200&amp;"|"&amp;$AB1200,'ASIGNACIONES'!$I$4:$I$339,0)),0)-$AD1200)</f>
        <v/>
      </c>
      <c r="AF1200" s="10">
        <f>IF($A1200="","",IFERROR(INDEX('2_IMPORTAR_EJECUCION'!$F$9:$F$1208,MATCH($AN1200,'2_IMPORTAR_EJECUCION'!$J$9:$J$1208,0)),0))</f>
        <v/>
      </c>
      <c r="AG1200" s="10">
        <f>IF($A1200="","",MAX(0,IFERROR(INDEX('2_IMPORTAR_EJECUCION'!$H$9:$H$1208,MATCH($AN1200,'2_IMPORTAR_EJECUCION'!$J$9:$J$1208,0)),0)-$AF1200))</f>
        <v/>
      </c>
      <c r="AH1200" s="10">
        <f>IF($A1200="","",$AF1200+$AG1200)</f>
        <v/>
      </c>
      <c r="AI1200" s="6" t="n"/>
      <c r="AJ1200" s="6" t="n"/>
      <c r="AK1200" s="6" t="n"/>
      <c r="AL1200" s="3">
        <f>IF($AK1200="","",HYPERLINK(p_ruta_base_checklists&amp;$AK1200,"abrir"))</f>
        <v/>
      </c>
      <c r="AM1200" s="6" t="n"/>
      <c r="AN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1" t="n"/>
      <c r="K1201" s="3" t="n"/>
      <c r="L1201" s="10" t="n"/>
      <c r="M1201" s="3">
        <f>IF($A1201="","",IFERROR(INDEX('AJUSTES'!$B$4:$B$303,MATCH($AN1201,'AJUSTES'!$A$4:$A$303,0)),IF($K1201="","",$K1201)))</f>
        <v/>
      </c>
      <c r="N1201" s="3">
        <f>IF($A1201="","",IFERROR(INDEX('CAT_ESTADOS_ERP'!$B$4:$B$7,MATCH(IFERROR(INDEX('2_IMPORTAR_EJECUCION'!$C$9:$C$1208,MATCH($AN1201,'2_IMPORTAR_EJECUCION'!$J$9:$J$1208,0)),""),'CAT_ESTADOS_ERP'!$A$4:$A$7,0)),"Pendiente"))</f>
        <v/>
      </c>
      <c r="O1201" s="3">
        <f>IF($J1201="","",YEAR($J1201+4-WEEKDAY($J1201,2))&amp;"-S"&amp;TEXT(_xlfn.ISOWEEKNUM($J1201),"00"))</f>
        <v/>
      </c>
      <c r="P1201" s="3">
        <f>IF($J1201="","",YEAR($J1201))</f>
        <v/>
      </c>
      <c r="Q1201" s="3">
        <f>IF($J1201="","",MONTH($J1201))</f>
        <v/>
      </c>
      <c r="R1201" s="3">
        <f>IF($J1201="","",INDEX(lista_dias,WEEKDAY($J1201,2)))</f>
        <v/>
      </c>
      <c r="S1201" s="3">
        <f>IF($I1201="","",IFERROR(INDEX('CAT_TIPOS_OT'!$C$4:$C$7,MATCH($I1201,'CAT_TIPOS_OT'!$A$4:$A$7,0)),"sin_clasificar"))</f>
        <v/>
      </c>
      <c r="T1201" s="3">
        <f>IF($F1201="","",IFERROR(INDEX('CAT_CENTROS_COSTO'!$E$4:$E$9,MATCH($F1201,'CAT_CENTROS_COSTO'!$A$4:$A$9,0)),"(sin catálogo)"))</f>
        <v/>
      </c>
      <c r="U1201" s="3">
        <f>IF($F1201="","",IFERROR(INDEX('CAT_CENTROS_COSTO'!$D$4:$D$9,MATCH($F1201,'CAT_CENTROS_COSTO'!$A$4:$A$9,0)),"(sin catálogo)"))</f>
        <v/>
      </c>
      <c r="V1201" s="3">
        <f>IF($F1201="","",IFERROR(INDEX('CAT_CENTROS_COSTO'!$F$4:$F$9,MATCH($F1201,'CAT_CENTROS_COSTO'!$A$4:$A$9,0)),"(sin catálogo)"))</f>
        <v/>
      </c>
      <c r="W1201" s="3">
        <f>IF($G1201="","",IFERROR(INDEX('CAT_PUESTOS'!$B$4:$B$8,MATCH($G1201,'CAT_PUESTOS'!$A$4:$A$8,0)),"(sin catálogo)"))</f>
        <v/>
      </c>
      <c r="X1201" s="3">
        <f>IF($H1201="","",IFERROR(INDEX('CAT_ACTIVIDADES'!$B$4:$B$8,MATCH($H1201,'CAT_ACTIVIDADES'!$A$4:$A$8,0)),"(sin catálogo)"))</f>
        <v/>
      </c>
      <c r="Y1201" s="12">
        <f>IF($J1201="","",TODAY()-$J1201)</f>
        <v/>
      </c>
      <c r="Z1201" s="3">
        <f>IF($Y1201="","",IF($Y1201&lt;0,"FUTURO",IF($Y1201&gt;p_dias_backlog_max,"BACKLOG","MES CORRIENTE")))</f>
        <v/>
      </c>
      <c r="AA1201" s="3">
        <f>IF($Y1201="",FALSE,AND($Y1201&gt;p_dias_backlog_min,$Y1201&lt;=p_dias_backlog_max))</f>
        <v/>
      </c>
      <c r="AB1201" s="6" t="n"/>
      <c r="AC1201" s="3">
        <f>IF($AB1201="","",IFERROR(INDEX('ASIGNACIONES'!$F$4:$F$339,MATCH($O1201&amp;"|"&amp;$R1201&amp;"|"&amp;$AB1201,'ASIGNACIONES'!$I$4:$I$339,0)),""))</f>
        <v/>
      </c>
      <c r="AD1201" s="13">
        <f>IF($AB1201="","",SUMIFS('ORDENES'!$M$4:$M$1203,'ORDENES'!$AB$4:$AB$1203,$AB1201,'ORDENES'!$O$4:$O$1203,$O1201,'ORDENES'!$R$4:$R$1203,$R1201))</f>
        <v/>
      </c>
      <c r="AE1201" s="13">
        <f>IF($AD1201="","",p_factor_productividad*IFERROR(INDEX('ASIGNACIONES'!$H$4:$H$339,MATCH($O1201&amp;"|"&amp;$R1201&amp;"|"&amp;$AB1201,'ASIGNACIONES'!$I$4:$I$339,0)),0)-$AD1201)</f>
        <v/>
      </c>
      <c r="AF1201" s="10">
        <f>IF($A1201="","",IFERROR(INDEX('2_IMPORTAR_EJECUCION'!$F$9:$F$1208,MATCH($AN1201,'2_IMPORTAR_EJECUCION'!$J$9:$J$1208,0)),0))</f>
        <v/>
      </c>
      <c r="AG1201" s="10">
        <f>IF($A1201="","",MAX(0,IFERROR(INDEX('2_IMPORTAR_EJECUCION'!$H$9:$H$1208,MATCH($AN1201,'2_IMPORTAR_EJECUCION'!$J$9:$J$1208,0)),0)-$AF1201))</f>
        <v/>
      </c>
      <c r="AH1201" s="10">
        <f>IF($A1201="","",$AF1201+$AG1201)</f>
        <v/>
      </c>
      <c r="AI1201" s="6" t="n"/>
      <c r="AJ1201" s="6" t="n"/>
      <c r="AK1201" s="6" t="n"/>
      <c r="AL1201" s="3">
        <f>IF($AK1201="","",HYPERLINK(p_ruta_base_checklists&amp;$AK1201,"abrir"))</f>
        <v/>
      </c>
      <c r="AM1201" s="6" t="n"/>
      <c r="AN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1" t="n"/>
      <c r="K1202" s="3" t="n"/>
      <c r="L1202" s="10" t="n"/>
      <c r="M1202" s="3">
        <f>IF($A1202="","",IFERROR(INDEX('AJUSTES'!$B$4:$B$303,MATCH($AN1202,'AJUSTES'!$A$4:$A$303,0)),IF($K1202="","",$K1202)))</f>
        <v/>
      </c>
      <c r="N1202" s="3">
        <f>IF($A1202="","",IFERROR(INDEX('CAT_ESTADOS_ERP'!$B$4:$B$7,MATCH(IFERROR(INDEX('2_IMPORTAR_EJECUCION'!$C$9:$C$1208,MATCH($AN1202,'2_IMPORTAR_EJECUCION'!$J$9:$J$1208,0)),""),'CAT_ESTADOS_ERP'!$A$4:$A$7,0)),"Pendiente"))</f>
        <v/>
      </c>
      <c r="O1202" s="3">
        <f>IF($J1202="","",YEAR($J1202+4-WEEKDAY($J1202,2))&amp;"-S"&amp;TEXT(_xlfn.ISOWEEKNUM($J1202),"00"))</f>
        <v/>
      </c>
      <c r="P1202" s="3">
        <f>IF($J1202="","",YEAR($J1202))</f>
        <v/>
      </c>
      <c r="Q1202" s="3">
        <f>IF($J1202="","",MONTH($J1202))</f>
        <v/>
      </c>
      <c r="R1202" s="3">
        <f>IF($J1202="","",INDEX(lista_dias,WEEKDAY($J1202,2)))</f>
        <v/>
      </c>
      <c r="S1202" s="3">
        <f>IF($I1202="","",IFERROR(INDEX('CAT_TIPOS_OT'!$C$4:$C$7,MATCH($I1202,'CAT_TIPOS_OT'!$A$4:$A$7,0)),"sin_clasificar"))</f>
        <v/>
      </c>
      <c r="T1202" s="3">
        <f>IF($F1202="","",IFERROR(INDEX('CAT_CENTROS_COSTO'!$E$4:$E$9,MATCH($F1202,'CAT_CENTROS_COSTO'!$A$4:$A$9,0)),"(sin catálogo)"))</f>
        <v/>
      </c>
      <c r="U1202" s="3">
        <f>IF($F1202="","",IFERROR(INDEX('CAT_CENTROS_COSTO'!$D$4:$D$9,MATCH($F1202,'CAT_CENTROS_COSTO'!$A$4:$A$9,0)),"(sin catálogo)"))</f>
        <v/>
      </c>
      <c r="V1202" s="3">
        <f>IF($F1202="","",IFERROR(INDEX('CAT_CENTROS_COSTO'!$F$4:$F$9,MATCH($F1202,'CAT_CENTROS_COSTO'!$A$4:$A$9,0)),"(sin catálogo)"))</f>
        <v/>
      </c>
      <c r="W1202" s="3">
        <f>IF($G1202="","",IFERROR(INDEX('CAT_PUESTOS'!$B$4:$B$8,MATCH($G1202,'CAT_PUESTOS'!$A$4:$A$8,0)),"(sin catálogo)"))</f>
        <v/>
      </c>
      <c r="X1202" s="3">
        <f>IF($H1202="","",IFERROR(INDEX('CAT_ACTIVIDADES'!$B$4:$B$8,MATCH($H1202,'CAT_ACTIVIDADES'!$A$4:$A$8,0)),"(sin catálogo)"))</f>
        <v/>
      </c>
      <c r="Y1202" s="12">
        <f>IF($J1202="","",TODAY()-$J1202)</f>
        <v/>
      </c>
      <c r="Z1202" s="3">
        <f>IF($Y1202="","",IF($Y1202&lt;0,"FUTURO",IF($Y1202&gt;p_dias_backlog_max,"BACKLOG","MES CORRIENTE")))</f>
        <v/>
      </c>
      <c r="AA1202" s="3">
        <f>IF($Y1202="",FALSE,AND($Y1202&gt;p_dias_backlog_min,$Y1202&lt;=p_dias_backlog_max))</f>
        <v/>
      </c>
      <c r="AB1202" s="6" t="n"/>
      <c r="AC1202" s="3">
        <f>IF($AB1202="","",IFERROR(INDEX('ASIGNACIONES'!$F$4:$F$339,MATCH($O1202&amp;"|"&amp;$R1202&amp;"|"&amp;$AB1202,'ASIGNACIONES'!$I$4:$I$339,0)),""))</f>
        <v/>
      </c>
      <c r="AD1202" s="13">
        <f>IF($AB1202="","",SUMIFS('ORDENES'!$M$4:$M$1203,'ORDENES'!$AB$4:$AB$1203,$AB1202,'ORDENES'!$O$4:$O$1203,$O1202,'ORDENES'!$R$4:$R$1203,$R1202))</f>
        <v/>
      </c>
      <c r="AE1202" s="13">
        <f>IF($AD1202="","",p_factor_productividad*IFERROR(INDEX('ASIGNACIONES'!$H$4:$H$339,MATCH($O1202&amp;"|"&amp;$R1202&amp;"|"&amp;$AB1202,'ASIGNACIONES'!$I$4:$I$339,0)),0)-$AD1202)</f>
        <v/>
      </c>
      <c r="AF1202" s="10">
        <f>IF($A1202="","",IFERROR(INDEX('2_IMPORTAR_EJECUCION'!$F$9:$F$1208,MATCH($AN1202,'2_IMPORTAR_EJECUCION'!$J$9:$J$1208,0)),0))</f>
        <v/>
      </c>
      <c r="AG1202" s="10">
        <f>IF($A1202="","",MAX(0,IFERROR(INDEX('2_IMPORTAR_EJECUCION'!$H$9:$H$1208,MATCH($AN1202,'2_IMPORTAR_EJECUCION'!$J$9:$J$1208,0)),0)-$AF1202))</f>
        <v/>
      </c>
      <c r="AH1202" s="10">
        <f>IF($A1202="","",$AF1202+$AG1202)</f>
        <v/>
      </c>
      <c r="AI1202" s="6" t="n"/>
      <c r="AJ1202" s="6" t="n"/>
      <c r="AK1202" s="6" t="n"/>
      <c r="AL1202" s="3">
        <f>IF($AK1202="","",HYPERLINK(p_ruta_base_checklists&amp;$AK1202,"abrir"))</f>
        <v/>
      </c>
      <c r="AM1202" s="6" t="n"/>
      <c r="AN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1" t="n"/>
      <c r="K1203" s="3" t="n"/>
      <c r="L1203" s="10" t="n"/>
      <c r="M1203" s="3">
        <f>IF($A1203="","",IFERROR(INDEX('AJUSTES'!$B$4:$B$303,MATCH($AN1203,'AJUSTES'!$A$4:$A$303,0)),IF($K1203="","",$K1203)))</f>
        <v/>
      </c>
      <c r="N1203" s="3">
        <f>IF($A1203="","",IFERROR(INDEX('CAT_ESTADOS_ERP'!$B$4:$B$7,MATCH(IFERROR(INDEX('2_IMPORTAR_EJECUCION'!$C$9:$C$1208,MATCH($AN1203,'2_IMPORTAR_EJECUCION'!$J$9:$J$1208,0)),""),'CAT_ESTADOS_ERP'!$A$4:$A$7,0)),"Pendiente"))</f>
        <v/>
      </c>
      <c r="O1203" s="3">
        <f>IF($J1203="","",YEAR($J1203+4-WEEKDAY($J1203,2))&amp;"-S"&amp;TEXT(_xlfn.ISOWEEKNUM($J1203),"00"))</f>
        <v/>
      </c>
      <c r="P1203" s="3">
        <f>IF($J1203="","",YEAR($J1203))</f>
        <v/>
      </c>
      <c r="Q1203" s="3">
        <f>IF($J1203="","",MONTH($J1203))</f>
        <v/>
      </c>
      <c r="R1203" s="3">
        <f>IF($J1203="","",INDEX(lista_dias,WEEKDAY($J1203,2)))</f>
        <v/>
      </c>
      <c r="S1203" s="3">
        <f>IF($I1203="","",IFERROR(INDEX('CAT_TIPOS_OT'!$C$4:$C$7,MATCH($I1203,'CAT_TIPOS_OT'!$A$4:$A$7,0)),"sin_clasificar"))</f>
        <v/>
      </c>
      <c r="T1203" s="3">
        <f>IF($F1203="","",IFERROR(INDEX('CAT_CENTROS_COSTO'!$E$4:$E$9,MATCH($F1203,'CAT_CENTROS_COSTO'!$A$4:$A$9,0)),"(sin catálogo)"))</f>
        <v/>
      </c>
      <c r="U1203" s="3">
        <f>IF($F1203="","",IFERROR(INDEX('CAT_CENTROS_COSTO'!$D$4:$D$9,MATCH($F1203,'CAT_CENTROS_COSTO'!$A$4:$A$9,0)),"(sin catálogo)"))</f>
        <v/>
      </c>
      <c r="V1203" s="3">
        <f>IF($F1203="","",IFERROR(INDEX('CAT_CENTROS_COSTO'!$F$4:$F$9,MATCH($F1203,'CAT_CENTROS_COSTO'!$A$4:$A$9,0)),"(sin catálogo)"))</f>
        <v/>
      </c>
      <c r="W1203" s="3">
        <f>IF($G1203="","",IFERROR(INDEX('CAT_PUESTOS'!$B$4:$B$8,MATCH($G1203,'CAT_PUESTOS'!$A$4:$A$8,0)),"(sin catálogo)"))</f>
        <v/>
      </c>
      <c r="X1203" s="3">
        <f>IF($H1203="","",IFERROR(INDEX('CAT_ACTIVIDADES'!$B$4:$B$8,MATCH($H1203,'CAT_ACTIVIDADES'!$A$4:$A$8,0)),"(sin catálogo)"))</f>
        <v/>
      </c>
      <c r="Y1203" s="12">
        <f>IF($J1203="","",TODAY()-$J1203)</f>
        <v/>
      </c>
      <c r="Z1203" s="3">
        <f>IF($Y1203="","",IF($Y1203&lt;0,"FUTURO",IF($Y1203&gt;p_dias_backlog_max,"BACKLOG","MES CORRIENTE")))</f>
        <v/>
      </c>
      <c r="AA1203" s="3">
        <f>IF($Y1203="",FALSE,AND($Y1203&gt;p_dias_backlog_min,$Y1203&lt;=p_dias_backlog_max))</f>
        <v/>
      </c>
      <c r="AB1203" s="6" t="n"/>
      <c r="AC1203" s="3">
        <f>IF($AB1203="","",IFERROR(INDEX('ASIGNACIONES'!$F$4:$F$339,MATCH($O1203&amp;"|"&amp;$R1203&amp;"|"&amp;$AB1203,'ASIGNACIONES'!$I$4:$I$339,0)),""))</f>
        <v/>
      </c>
      <c r="AD1203" s="13">
        <f>IF($AB1203="","",SUMIFS('ORDENES'!$M$4:$M$1203,'ORDENES'!$AB$4:$AB$1203,$AB1203,'ORDENES'!$O$4:$O$1203,$O1203,'ORDENES'!$R$4:$R$1203,$R1203))</f>
        <v/>
      </c>
      <c r="AE1203" s="13">
        <f>IF($AD1203="","",p_factor_productividad*IFERROR(INDEX('ASIGNACIONES'!$H$4:$H$339,MATCH($O1203&amp;"|"&amp;$R1203&amp;"|"&amp;$AB1203,'ASIGNACIONES'!$I$4:$I$339,0)),0)-$AD1203)</f>
        <v/>
      </c>
      <c r="AF1203" s="10">
        <f>IF($A1203="","",IFERROR(INDEX('2_IMPORTAR_EJECUCION'!$F$9:$F$1208,MATCH($AN1203,'2_IMPORTAR_EJECUCION'!$J$9:$J$1208,0)),0))</f>
        <v/>
      </c>
      <c r="AG1203" s="10">
        <f>IF($A1203="","",MAX(0,IFERROR(INDEX('2_IMPORTAR_EJECUCION'!$H$9:$H$1208,MATCH($AN1203,'2_IMPORTAR_EJECUCION'!$J$9:$J$1208,0)),0)-$AF1203))</f>
        <v/>
      </c>
      <c r="AH1203" s="10">
        <f>IF($A1203="","",$AF1203+$AG1203)</f>
        <v/>
      </c>
      <c r="AI1203" s="6" t="n"/>
      <c r="AJ1203" s="6" t="n"/>
      <c r="AK1203" s="6" t="n"/>
      <c r="AL1203" s="3">
        <f>IF($AK1203="","",HYPERLINK(p_ruta_base_checklists&amp;$AK1203,"abrir"))</f>
        <v/>
      </c>
      <c r="AM1203" s="6" t="n"/>
      <c r="AN1203" s="3">
        <f>IF($A1203="","",$A1203&amp;IF($B1203="","0010",$B1203))</f>
        <v/>
      </c>
    </row>
  </sheetData>
  <conditionalFormatting sqref="Y4:Y1203">
    <cfRule type="cellIs" priority="1" operator="greaterThan" dxfId="0">
      <formula>90</formula>
    </cfRule>
  </conditionalFormatting>
  <conditionalFormatting sqref="AB4:AB1203">
    <cfRule type="expression" priority="2" dxfId="1">
      <formula>AND($AA4=TRUE,$AB4="")</formula>
    </cfRule>
  </conditionalFormatting>
  <conditionalFormatting sqref="AE4:AE1203">
    <cfRule type="cellIs" priority="3" operator="lessThan" dxfId="0">
      <formula>0</formula>
    </cfRule>
  </conditionalFormatting>
  <dataValidations count="1">
    <dataValidation sqref="AB4:AB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8" customWidth="1" min="6" max="6"/>
  </cols>
  <sheetData>
    <row r="1">
      <c r="A1" s="4" t="inlineStr">
        <is>
          <t>TECNICOS (tblTecnicos) — catálogo editable de personal propio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EMPAQUE</t>
        </is>
      </c>
      <c r="E6" s="6" t="inlineStr">
        <is>
          <t>Coordinador B</t>
        </is>
      </c>
      <c r="F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SERVICIOS</t>
        </is>
      </c>
      <c r="E7" s="6" t="inlineStr">
        <is>
          <t>Coordinador C</t>
        </is>
      </c>
      <c r="F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ELE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ELE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ELE</t>
        </is>
      </c>
      <c r="D10" s="6" t="inlineStr">
        <is>
          <t>EMPAQUE</t>
        </is>
      </c>
      <c r="E10" s="6" t="inlineStr">
        <is>
          <t>Coordinador B</t>
        </is>
      </c>
      <c r="F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AUT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AUT</t>
        </is>
      </c>
      <c r="D12" s="6" t="inlineStr">
        <is>
          <t>EMPAQUE</t>
        </is>
      </c>
      <c r="E12" s="6" t="inlineStr">
        <is>
          <t>Coordinador B</t>
        </is>
      </c>
      <c r="F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OP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OP</t>
        </is>
      </c>
      <c r="D14" s="6" t="inlineStr">
        <is>
          <t>EMPAQUE</t>
        </is>
      </c>
      <c r="E14" s="6" t="inlineStr">
        <is>
          <t>Coordinador B</t>
        </is>
      </c>
      <c r="F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OP</t>
        </is>
      </c>
      <c r="D15" s="6" t="inlineStr">
        <is>
          <t>SERVICIOS</t>
        </is>
      </c>
      <c r="E15" s="6" t="inlineStr">
        <is>
          <t>Coordinador C</t>
        </is>
      </c>
      <c r="F15" s="6" t="inlineStr">
        <is>
          <t>SI</t>
        </is>
      </c>
    </row>
  </sheetData>
  <dataValidations count="2">
    <dataValidation sqref="C4:C15" showDropDown="0" showInputMessage="0" showErrorMessage="0" allowBlank="0" type="list">
      <formula1>"ELE,MEC,AUT,OP"</formula1>
    </dataValidation>
    <dataValidation sqref="F4:F15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I3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5" customWidth="1" min="7" max="7"/>
    <col width="16" customWidth="1" min="8" max="8"/>
    <col width="26" customWidth="1" min="9" max="9"/>
  </cols>
  <sheetData>
    <row r="1">
      <c r="A1" s="4" t="inlineStr">
        <is>
          <t>ASIGNACIONES — turno por técnico, día y semana. El turno se elige de la lista desplegable; REGLA-5 calcula las horas.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turno</t>
        </is>
      </c>
      <c r="G3" s="5" t="inlineStr">
        <is>
          <t>coordinador</t>
        </is>
      </c>
      <c r="H3" s="5" t="inlineStr">
        <is>
          <t>horas_disponibles</t>
        </is>
      </c>
      <c r="I3" s="5" t="inlineStr">
        <is>
          <t>clave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IFERROR(INDEX('TECNICOS'!$D$4:$D$15,MATCH($C4,'TECNICOS'!$B$4:$B$15,0)),"")</f>
        <v/>
      </c>
      <c r="E4" s="3">
        <f>IFERROR(INDEX('TECNICOS'!$C$4:$C$15,MATCH($C4,'TECNICOS'!$B$4:$B$15,0)),"")</f>
        <v/>
      </c>
      <c r="F4" s="6" t="inlineStr">
        <is>
          <t>T1</t>
        </is>
      </c>
      <c r="G4" s="3">
        <f>IFERROR(INDEX('TECNICOS'!$E$4:$E$15,MATCH($C4,'TECNICOS'!$B$4:$B$15,0)),"")</f>
        <v/>
      </c>
      <c r="H4" s="3">
        <f>IF(OR($F4="",ISNUMBER(MATCH($F4,lista_no_disponible,0))),0,p_horas_jornada)</f>
        <v/>
      </c>
      <c r="I4" s="3">
        <f>$A4&amp;"|"&amp;$B4&amp;"|"&amp;$C4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IFERROR(INDEX('TECNICOS'!$D$4:$D$15,MATCH($C5,'TECNICOS'!$B$4:$B$15,0)),"")</f>
        <v/>
      </c>
      <c r="E5" s="3">
        <f>IFERROR(INDEX('TECNICOS'!$C$4:$C$15,MATCH($C5,'TECNICOS'!$B$4:$B$15,0)),"")</f>
        <v/>
      </c>
      <c r="F5" s="6" t="inlineStr">
        <is>
          <t>T1</t>
        </is>
      </c>
      <c r="G5" s="3">
        <f>IFERROR(INDEX('TECNICOS'!$E$4:$E$15,MATCH($C5,'TECNICOS'!$B$4:$B$15,0)),"")</f>
        <v/>
      </c>
      <c r="H5" s="3">
        <f>IF(OR($F5="",ISNUMBER(MATCH($F5,lista_no_disponible,0))),0,p_horas_jornada)</f>
        <v/>
      </c>
      <c r="I5" s="3">
        <f>$A5&amp;"|"&amp;$B5&amp;"|"&amp;$C5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IFERROR(INDEX('TECNICOS'!$D$4:$D$15,MATCH($C6,'TECNICOS'!$B$4:$B$15,0)),"")</f>
        <v/>
      </c>
      <c r="E6" s="3">
        <f>IFERROR(INDEX('TECNICOS'!$C$4:$C$15,MATCH($C6,'TECNICOS'!$B$4:$B$15,0)),"")</f>
        <v/>
      </c>
      <c r="F6" s="6" t="inlineStr">
        <is>
          <t>T1</t>
        </is>
      </c>
      <c r="G6" s="3">
        <f>IFERROR(INDEX('TECNICOS'!$E$4:$E$15,MATCH($C6,'TECNICOS'!$B$4:$B$15,0)),"")</f>
        <v/>
      </c>
      <c r="H6" s="3">
        <f>IF(OR($F6="",ISNUMBER(MATCH($F6,lista_no_disponible,0))),0,p_horas_jornada)</f>
        <v/>
      </c>
      <c r="I6" s="3">
        <f>$A6&amp;"|"&amp;$B6&amp;"|"&amp;$C6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IFERROR(INDEX('TECNICOS'!$D$4:$D$15,MATCH($C7,'TECNICOS'!$B$4:$B$15,0)),"")</f>
        <v/>
      </c>
      <c r="E7" s="3">
        <f>IFERROR(INDEX('TECNICOS'!$C$4:$C$15,MATCH($C7,'TECNICOS'!$B$4:$B$15,0)),"")</f>
        <v/>
      </c>
      <c r="F7" s="6" t="inlineStr">
        <is>
          <t>T1</t>
        </is>
      </c>
      <c r="G7" s="3">
        <f>IFERROR(INDEX('TECNICOS'!$E$4:$E$15,MATCH($C7,'TECNICOS'!$B$4:$B$15,0)),"")</f>
        <v/>
      </c>
      <c r="H7" s="3">
        <f>IF(OR($F7="",ISNUMBER(MATCH($F7,lista_no_disponible,0))),0,p_horas_jornada)</f>
        <v/>
      </c>
      <c r="I7" s="3">
        <f>$A7&amp;"|"&amp;$B7&amp;"|"&amp;$C7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IFERROR(INDEX('TECNICOS'!$D$4:$D$15,MATCH($C8,'TECNICOS'!$B$4:$B$15,0)),"")</f>
        <v/>
      </c>
      <c r="E8" s="3">
        <f>IFERROR(INDEX('TECNICOS'!$C$4:$C$15,MATCH($C8,'TECNICOS'!$B$4:$B$15,0)),"")</f>
        <v/>
      </c>
      <c r="F8" s="6" t="inlineStr">
        <is>
          <t>T1</t>
        </is>
      </c>
      <c r="G8" s="3">
        <f>IFERROR(INDEX('TECNICOS'!$E$4:$E$15,MATCH($C8,'TECNICOS'!$B$4:$B$15,0)),"")</f>
        <v/>
      </c>
      <c r="H8" s="3">
        <f>IF(OR($F8="",ISNUMBER(MATCH($F8,lista_no_disponible,0))),0,p_horas_jornada)</f>
        <v/>
      </c>
      <c r="I8" s="3">
        <f>$A8&amp;"|"&amp;$B8&amp;"|"&amp;$C8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IFERROR(INDEX('TECNICOS'!$D$4:$D$15,MATCH($C9,'TECNICOS'!$B$4:$B$15,0)),"")</f>
        <v/>
      </c>
      <c r="E9" s="3">
        <f>IFERROR(INDEX('TECNICOS'!$C$4:$C$15,MATCH($C9,'TECNICOS'!$B$4:$B$15,0)),"")</f>
        <v/>
      </c>
      <c r="F9" s="6" t="inlineStr"/>
      <c r="G9" s="3">
        <f>IFERROR(INDEX('TECNICOS'!$E$4:$E$15,MATCH($C9,'TECNICOS'!$B$4:$B$15,0)),"")</f>
        <v/>
      </c>
      <c r="H9" s="3">
        <f>IF(OR($F9="",ISNUMBER(MATCH($F9,lista_no_disponible,0))),0,p_horas_jornada)</f>
        <v/>
      </c>
      <c r="I9" s="3">
        <f>$A9&amp;"|"&amp;$B9&amp;"|"&amp;$C9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IFERROR(INDEX('TECNICOS'!$D$4:$D$15,MATCH($C10,'TECNICOS'!$B$4:$B$15,0)),"")</f>
        <v/>
      </c>
      <c r="E10" s="3">
        <f>IFERROR(INDEX('TECNICOS'!$C$4:$C$15,MATCH($C10,'TECNICOS'!$B$4:$B$15,0)),"")</f>
        <v/>
      </c>
      <c r="F10" s="6" t="inlineStr"/>
      <c r="G10" s="3">
        <f>IFERROR(INDEX('TECNICOS'!$E$4:$E$15,MATCH($C10,'TECNICOS'!$B$4:$B$15,0)),"")</f>
        <v/>
      </c>
      <c r="H10" s="3">
        <f>IF(OR($F10="",ISNUMBER(MATCH($F10,lista_no_disponible,0))),0,p_horas_jornada)</f>
        <v/>
      </c>
      <c r="I10" s="3">
        <f>$A10&amp;"|"&amp;$B10&amp;"|"&amp;$C10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IFERROR(INDEX('TECNICOS'!$D$4:$D$15,MATCH($C11,'TECNICOS'!$B$4:$B$15,0)),"")</f>
        <v/>
      </c>
      <c r="E11" s="3">
        <f>IFERROR(INDEX('TECNICOS'!$C$4:$C$15,MATCH($C11,'TECNICOS'!$B$4:$B$15,0)),"")</f>
        <v/>
      </c>
      <c r="F11" s="6" t="inlineStr">
        <is>
          <t>T2</t>
        </is>
      </c>
      <c r="G11" s="3">
        <f>IFERROR(INDEX('TECNICOS'!$E$4:$E$15,MATCH($C11,'TECNICOS'!$B$4:$B$15,0)),"")</f>
        <v/>
      </c>
      <c r="H11" s="3">
        <f>IF(OR($F11="",ISNUMBER(MATCH($F11,lista_no_disponible,0))),0,p_horas_jornada)</f>
        <v/>
      </c>
      <c r="I11" s="3">
        <f>$A11&amp;"|"&amp;$B11&amp;"|"&amp;$C11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IFERROR(INDEX('TECNICOS'!$D$4:$D$15,MATCH($C12,'TECNICOS'!$B$4:$B$15,0)),"")</f>
        <v/>
      </c>
      <c r="E12" s="3">
        <f>IFERROR(INDEX('TECNICOS'!$C$4:$C$15,MATCH($C12,'TECNICOS'!$B$4:$B$15,0)),"")</f>
        <v/>
      </c>
      <c r="F12" s="6" t="inlineStr">
        <is>
          <t>T2</t>
        </is>
      </c>
      <c r="G12" s="3">
        <f>IFERROR(INDEX('TECNICOS'!$E$4:$E$15,MATCH($C12,'TECNICOS'!$B$4:$B$15,0)),"")</f>
        <v/>
      </c>
      <c r="H12" s="3">
        <f>IF(OR($F12="",ISNUMBER(MATCH($F12,lista_no_disponible,0))),0,p_horas_jornada)</f>
        <v/>
      </c>
      <c r="I12" s="3">
        <f>$A12&amp;"|"&amp;$B12&amp;"|"&amp;$C12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IFERROR(INDEX('TECNICOS'!$D$4:$D$15,MATCH($C13,'TECNICOS'!$B$4:$B$15,0)),"")</f>
        <v/>
      </c>
      <c r="E13" s="3">
        <f>IFERROR(INDEX('TECNICOS'!$C$4:$C$15,MATCH($C13,'TECNICOS'!$B$4:$B$15,0)),"")</f>
        <v/>
      </c>
      <c r="F13" s="6" t="inlineStr">
        <is>
          <t>T2</t>
        </is>
      </c>
      <c r="G13" s="3">
        <f>IFERROR(INDEX('TECNICOS'!$E$4:$E$15,MATCH($C13,'TECNICOS'!$B$4:$B$15,0)),"")</f>
        <v/>
      </c>
      <c r="H13" s="3">
        <f>IF(OR($F13="",ISNUMBER(MATCH($F13,lista_no_disponible,0))),0,p_horas_jornada)</f>
        <v/>
      </c>
      <c r="I13" s="3">
        <f>$A13&amp;"|"&amp;$B13&amp;"|"&amp;$C13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IFERROR(INDEX('TECNICOS'!$D$4:$D$15,MATCH($C14,'TECNICOS'!$B$4:$B$15,0)),"")</f>
        <v/>
      </c>
      <c r="E14" s="3">
        <f>IFERROR(INDEX('TECNICOS'!$C$4:$C$15,MATCH($C14,'TECNICOS'!$B$4:$B$15,0)),"")</f>
        <v/>
      </c>
      <c r="F14" s="6" t="inlineStr">
        <is>
          <t>T2</t>
        </is>
      </c>
      <c r="G14" s="3">
        <f>IFERROR(INDEX('TECNICOS'!$E$4:$E$15,MATCH($C14,'TECNICOS'!$B$4:$B$15,0)),"")</f>
        <v/>
      </c>
      <c r="H14" s="3">
        <f>IF(OR($F14="",ISNUMBER(MATCH($F14,lista_no_disponible,0))),0,p_horas_jornada)</f>
        <v/>
      </c>
      <c r="I14" s="3">
        <f>$A14&amp;"|"&amp;$B14&amp;"|"&amp;$C14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IFERROR(INDEX('TECNICOS'!$D$4:$D$15,MATCH($C15,'TECNICOS'!$B$4:$B$15,0)),"")</f>
        <v/>
      </c>
      <c r="E15" s="3">
        <f>IFERROR(INDEX('TECNICOS'!$C$4:$C$15,MATCH($C15,'TECNICOS'!$B$4:$B$15,0)),"")</f>
        <v/>
      </c>
      <c r="F15" s="6" t="inlineStr">
        <is>
          <t>T2</t>
        </is>
      </c>
      <c r="G15" s="3">
        <f>IFERROR(INDEX('TECNICOS'!$E$4:$E$15,MATCH($C15,'TECNICOS'!$B$4:$B$15,0)),"")</f>
        <v/>
      </c>
      <c r="H15" s="3">
        <f>IF(OR($F15="",ISNUMBER(MATCH($F15,lista_no_disponible,0))),0,p_horas_jornada)</f>
        <v/>
      </c>
      <c r="I15" s="3">
        <f>$A15&amp;"|"&amp;$B15&amp;"|"&amp;$C15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IFERROR(INDEX('TECNICOS'!$D$4:$D$15,MATCH($C16,'TECNICOS'!$B$4:$B$15,0)),"")</f>
        <v/>
      </c>
      <c r="E16" s="3">
        <f>IFERROR(INDEX('TECNICOS'!$C$4:$C$15,MATCH($C16,'TECNICOS'!$B$4:$B$15,0)),"")</f>
        <v/>
      </c>
      <c r="F16" s="6" t="inlineStr"/>
      <c r="G16" s="3">
        <f>IFERROR(INDEX('TECNICOS'!$E$4:$E$15,MATCH($C16,'TECNICOS'!$B$4:$B$15,0)),"")</f>
        <v/>
      </c>
      <c r="H16" s="3">
        <f>IF(OR($F16="",ISNUMBER(MATCH($F16,lista_no_disponible,0))),0,p_horas_jornada)</f>
        <v/>
      </c>
      <c r="I16" s="3">
        <f>$A16&amp;"|"&amp;$B16&amp;"|"&amp;$C16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IFERROR(INDEX('TECNICOS'!$D$4:$D$15,MATCH($C17,'TECNICOS'!$B$4:$B$15,0)),"")</f>
        <v/>
      </c>
      <c r="E17" s="3">
        <f>IFERROR(INDEX('TECNICOS'!$C$4:$C$15,MATCH($C17,'TECNICOS'!$B$4:$B$15,0)),"")</f>
        <v/>
      </c>
      <c r="F17" s="6" t="inlineStr"/>
      <c r="G17" s="3">
        <f>IFERROR(INDEX('TECNICOS'!$E$4:$E$15,MATCH($C17,'TECNICOS'!$B$4:$B$15,0)),"")</f>
        <v/>
      </c>
      <c r="H17" s="3">
        <f>IF(OR($F17="",ISNUMBER(MATCH($F17,lista_no_disponible,0))),0,p_horas_jornada)</f>
        <v/>
      </c>
      <c r="I17" s="3">
        <f>$A17&amp;"|"&amp;$B17&amp;"|"&amp;$C17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IFERROR(INDEX('TECNICOS'!$D$4:$D$15,MATCH($C18,'TECNICOS'!$B$4:$B$15,0)),"")</f>
        <v/>
      </c>
      <c r="E18" s="3">
        <f>IFERROR(INDEX('TECNICOS'!$C$4:$C$15,MATCH($C18,'TECNICOS'!$B$4:$B$15,0)),"")</f>
        <v/>
      </c>
      <c r="F18" s="6" t="inlineStr">
        <is>
          <t>T1</t>
        </is>
      </c>
      <c r="G18" s="3">
        <f>IFERROR(INDEX('TECNICOS'!$E$4:$E$15,MATCH($C18,'TECNICOS'!$B$4:$B$15,0)),"")</f>
        <v/>
      </c>
      <c r="H18" s="3">
        <f>IF(OR($F18="",ISNUMBER(MATCH($F18,lista_no_disponible,0))),0,p_horas_jornada)</f>
        <v/>
      </c>
      <c r="I18" s="3">
        <f>$A18&amp;"|"&amp;$B18&amp;"|"&amp;$C18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IFERROR(INDEX('TECNICOS'!$D$4:$D$15,MATCH($C19,'TECNICOS'!$B$4:$B$15,0)),"")</f>
        <v/>
      </c>
      <c r="E19" s="3">
        <f>IFERROR(INDEX('TECNICOS'!$C$4:$C$15,MATCH($C19,'TECNICOS'!$B$4:$B$15,0)),"")</f>
        <v/>
      </c>
      <c r="F19" s="6" t="inlineStr">
        <is>
          <t>T1</t>
        </is>
      </c>
      <c r="G19" s="3">
        <f>IFERROR(INDEX('TECNICOS'!$E$4:$E$15,MATCH($C19,'TECNICOS'!$B$4:$B$15,0)),"")</f>
        <v/>
      </c>
      <c r="H19" s="3">
        <f>IF(OR($F19="",ISNUMBER(MATCH($F19,lista_no_disponible,0))),0,p_horas_jornada)</f>
        <v/>
      </c>
      <c r="I19" s="3">
        <f>$A19&amp;"|"&amp;$B19&amp;"|"&amp;$C19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IFERROR(INDEX('TECNICOS'!$D$4:$D$15,MATCH($C20,'TECNICOS'!$B$4:$B$15,0)),"")</f>
        <v/>
      </c>
      <c r="E20" s="3">
        <f>IFERROR(INDEX('TECNICOS'!$C$4:$C$15,MATCH($C20,'TECNICOS'!$B$4:$B$15,0)),"")</f>
        <v/>
      </c>
      <c r="F20" s="6" t="inlineStr">
        <is>
          <t>T1</t>
        </is>
      </c>
      <c r="G20" s="3">
        <f>IFERROR(INDEX('TECNICOS'!$E$4:$E$15,MATCH($C20,'TECNICOS'!$B$4:$B$15,0)),"")</f>
        <v/>
      </c>
      <c r="H20" s="3">
        <f>IF(OR($F20="",ISNUMBER(MATCH($F20,lista_no_disponible,0))),0,p_horas_jornada)</f>
        <v/>
      </c>
      <c r="I20" s="3">
        <f>$A20&amp;"|"&amp;$B20&amp;"|"&amp;$C20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IFERROR(INDEX('TECNICOS'!$D$4:$D$15,MATCH($C21,'TECNICOS'!$B$4:$B$15,0)),"")</f>
        <v/>
      </c>
      <c r="E21" s="3">
        <f>IFERROR(INDEX('TECNICOS'!$C$4:$C$15,MATCH($C21,'TECNICOS'!$B$4:$B$15,0)),"")</f>
        <v/>
      </c>
      <c r="F21" s="6" t="inlineStr">
        <is>
          <t>T1</t>
        </is>
      </c>
      <c r="G21" s="3">
        <f>IFERROR(INDEX('TECNICOS'!$E$4:$E$15,MATCH($C21,'TECNICOS'!$B$4:$B$15,0)),"")</f>
        <v/>
      </c>
      <c r="H21" s="3">
        <f>IF(OR($F21="",ISNUMBER(MATCH($F21,lista_no_disponible,0))),0,p_horas_jornada)</f>
        <v/>
      </c>
      <c r="I21" s="3">
        <f>$A21&amp;"|"&amp;$B21&amp;"|"&amp;$C21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IFERROR(INDEX('TECNICOS'!$D$4:$D$15,MATCH($C22,'TECNICOS'!$B$4:$B$15,0)),"")</f>
        <v/>
      </c>
      <c r="E22" s="3">
        <f>IFERROR(INDEX('TECNICOS'!$C$4:$C$15,MATCH($C22,'TECNICOS'!$B$4:$B$15,0)),"")</f>
        <v/>
      </c>
      <c r="F22" s="6" t="inlineStr">
        <is>
          <t>T1</t>
        </is>
      </c>
      <c r="G22" s="3">
        <f>IFERROR(INDEX('TECNICOS'!$E$4:$E$15,MATCH($C22,'TECNICOS'!$B$4:$B$15,0)),"")</f>
        <v/>
      </c>
      <c r="H22" s="3">
        <f>IF(OR($F22="",ISNUMBER(MATCH($F22,lista_no_disponible,0))),0,p_horas_jornada)</f>
        <v/>
      </c>
      <c r="I22" s="3">
        <f>$A22&amp;"|"&amp;$B22&amp;"|"&amp;$C22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IFERROR(INDEX('TECNICOS'!$D$4:$D$15,MATCH($C23,'TECNICOS'!$B$4:$B$15,0)),"")</f>
        <v/>
      </c>
      <c r="E23" s="3">
        <f>IFERROR(INDEX('TECNICOS'!$C$4:$C$15,MATCH($C23,'TECNICOS'!$B$4:$B$15,0)),"")</f>
        <v/>
      </c>
      <c r="F23" s="6" t="inlineStr"/>
      <c r="G23" s="3">
        <f>IFERROR(INDEX('TECNICOS'!$E$4:$E$15,MATCH($C23,'TECNICOS'!$B$4:$B$15,0)),"")</f>
        <v/>
      </c>
      <c r="H23" s="3">
        <f>IF(OR($F23="",ISNUMBER(MATCH($F23,lista_no_disponible,0))),0,p_horas_jornada)</f>
        <v/>
      </c>
      <c r="I23" s="3">
        <f>$A23&amp;"|"&amp;$B23&amp;"|"&amp;$C23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IFERROR(INDEX('TECNICOS'!$D$4:$D$15,MATCH($C24,'TECNICOS'!$B$4:$B$15,0)),"")</f>
        <v/>
      </c>
      <c r="E24" s="3">
        <f>IFERROR(INDEX('TECNICOS'!$C$4:$C$15,MATCH($C24,'TECNICOS'!$B$4:$B$15,0)),"")</f>
        <v/>
      </c>
      <c r="F24" s="6" t="inlineStr"/>
      <c r="G24" s="3">
        <f>IFERROR(INDEX('TECNICOS'!$E$4:$E$15,MATCH($C24,'TECNICOS'!$B$4:$B$15,0)),"")</f>
        <v/>
      </c>
      <c r="H24" s="3">
        <f>IF(OR($F24="",ISNUMBER(MATCH($F24,lista_no_disponible,0))),0,p_horas_jornada)</f>
        <v/>
      </c>
      <c r="I24" s="3">
        <f>$A24&amp;"|"&amp;$B24&amp;"|"&amp;$C24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IFERROR(INDEX('TECNICOS'!$D$4:$D$15,MATCH($C25,'TECNICOS'!$B$4:$B$15,0)),"")</f>
        <v/>
      </c>
      <c r="E25" s="3">
        <f>IFERROR(INDEX('TECNICOS'!$C$4:$C$15,MATCH($C25,'TECNICOS'!$B$4:$B$15,0)),"")</f>
        <v/>
      </c>
      <c r="F25" s="6" t="inlineStr">
        <is>
          <t>T1</t>
        </is>
      </c>
      <c r="G25" s="3">
        <f>IFERROR(INDEX('TECNICOS'!$E$4:$E$15,MATCH($C25,'TECNICOS'!$B$4:$B$15,0)),"")</f>
        <v/>
      </c>
      <c r="H25" s="3">
        <f>IF(OR($F25="",ISNUMBER(MATCH($F25,lista_no_disponible,0))),0,p_horas_jornada)</f>
        <v/>
      </c>
      <c r="I25" s="3">
        <f>$A25&amp;"|"&amp;$B25&amp;"|"&amp;$C25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IFERROR(INDEX('TECNICOS'!$D$4:$D$15,MATCH($C26,'TECNICOS'!$B$4:$B$15,0)),"")</f>
        <v/>
      </c>
      <c r="E26" s="3">
        <f>IFERROR(INDEX('TECNICOS'!$C$4:$C$15,MATCH($C26,'TECNICOS'!$B$4:$B$15,0)),"")</f>
        <v/>
      </c>
      <c r="F26" s="6" t="inlineStr">
        <is>
          <t>T1</t>
        </is>
      </c>
      <c r="G26" s="3">
        <f>IFERROR(INDEX('TECNICOS'!$E$4:$E$15,MATCH($C26,'TECNICOS'!$B$4:$B$15,0)),"")</f>
        <v/>
      </c>
      <c r="H26" s="3">
        <f>IF(OR($F26="",ISNUMBER(MATCH($F26,lista_no_disponible,0))),0,p_horas_jornada)</f>
        <v/>
      </c>
      <c r="I26" s="3">
        <f>$A26&amp;"|"&amp;$B26&amp;"|"&amp;$C26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IFERROR(INDEX('TECNICOS'!$D$4:$D$15,MATCH($C27,'TECNICOS'!$B$4:$B$15,0)),"")</f>
        <v/>
      </c>
      <c r="E27" s="3">
        <f>IFERROR(INDEX('TECNICOS'!$C$4:$C$15,MATCH($C27,'TECNICOS'!$B$4:$B$15,0)),"")</f>
        <v/>
      </c>
      <c r="F27" s="6" t="inlineStr">
        <is>
          <t>T1</t>
        </is>
      </c>
      <c r="G27" s="3">
        <f>IFERROR(INDEX('TECNICOS'!$E$4:$E$15,MATCH($C27,'TECNICOS'!$B$4:$B$15,0)),"")</f>
        <v/>
      </c>
      <c r="H27" s="3">
        <f>IF(OR($F27="",ISNUMBER(MATCH($F27,lista_no_disponible,0))),0,p_horas_jornada)</f>
        <v/>
      </c>
      <c r="I27" s="3">
        <f>$A27&amp;"|"&amp;$B27&amp;"|"&amp;$C27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IFERROR(INDEX('TECNICOS'!$D$4:$D$15,MATCH($C28,'TECNICOS'!$B$4:$B$15,0)),"")</f>
        <v/>
      </c>
      <c r="E28" s="3">
        <f>IFERROR(INDEX('TECNICOS'!$C$4:$C$15,MATCH($C28,'TECNICOS'!$B$4:$B$15,0)),"")</f>
        <v/>
      </c>
      <c r="F28" s="6" t="inlineStr">
        <is>
          <t>T1</t>
        </is>
      </c>
      <c r="G28" s="3">
        <f>IFERROR(INDEX('TECNICOS'!$E$4:$E$15,MATCH($C28,'TECNICOS'!$B$4:$B$15,0)),"")</f>
        <v/>
      </c>
      <c r="H28" s="3">
        <f>IF(OR($F28="",ISNUMBER(MATCH($F28,lista_no_disponible,0))),0,p_horas_jornada)</f>
        <v/>
      </c>
      <c r="I28" s="3">
        <f>$A28&amp;"|"&amp;$B28&amp;"|"&amp;$C28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IFERROR(INDEX('TECNICOS'!$D$4:$D$15,MATCH($C29,'TECNICOS'!$B$4:$B$15,0)),"")</f>
        <v/>
      </c>
      <c r="E29" s="3">
        <f>IFERROR(INDEX('TECNICOS'!$C$4:$C$15,MATCH($C29,'TECNICOS'!$B$4:$B$15,0)),"")</f>
        <v/>
      </c>
      <c r="F29" s="6" t="inlineStr">
        <is>
          <t>T1</t>
        </is>
      </c>
      <c r="G29" s="3">
        <f>IFERROR(INDEX('TECNICOS'!$E$4:$E$15,MATCH($C29,'TECNICOS'!$B$4:$B$15,0)),"")</f>
        <v/>
      </c>
      <c r="H29" s="3">
        <f>IF(OR($F29="",ISNUMBER(MATCH($F29,lista_no_disponible,0))),0,p_horas_jornada)</f>
        <v/>
      </c>
      <c r="I29" s="3">
        <f>$A29&amp;"|"&amp;$B29&amp;"|"&amp;$C29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IFERROR(INDEX('TECNICOS'!$D$4:$D$15,MATCH($C30,'TECNICOS'!$B$4:$B$15,0)),"")</f>
        <v/>
      </c>
      <c r="E30" s="3">
        <f>IFERROR(INDEX('TECNICOS'!$C$4:$C$15,MATCH($C30,'TECNICOS'!$B$4:$B$15,0)),"")</f>
        <v/>
      </c>
      <c r="F30" s="6" t="inlineStr"/>
      <c r="G30" s="3">
        <f>IFERROR(INDEX('TECNICOS'!$E$4:$E$15,MATCH($C30,'TECNICOS'!$B$4:$B$15,0)),"")</f>
        <v/>
      </c>
      <c r="H30" s="3">
        <f>IF(OR($F30="",ISNUMBER(MATCH($F30,lista_no_disponible,0))),0,p_horas_jornada)</f>
        <v/>
      </c>
      <c r="I30" s="3">
        <f>$A30&amp;"|"&amp;$B30&amp;"|"&amp;$C30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IFERROR(INDEX('TECNICOS'!$D$4:$D$15,MATCH($C31,'TECNICOS'!$B$4:$B$15,0)),"")</f>
        <v/>
      </c>
      <c r="E31" s="3">
        <f>IFERROR(INDEX('TECNICOS'!$C$4:$C$15,MATCH($C31,'TECNICOS'!$B$4:$B$15,0)),"")</f>
        <v/>
      </c>
      <c r="F31" s="6" t="inlineStr"/>
      <c r="G31" s="3">
        <f>IFERROR(INDEX('TECNICOS'!$E$4:$E$15,MATCH($C31,'TECNICOS'!$B$4:$B$15,0)),"")</f>
        <v/>
      </c>
      <c r="H31" s="3">
        <f>IF(OR($F31="",ISNUMBER(MATCH($F31,lista_no_disponible,0))),0,p_horas_jornada)</f>
        <v/>
      </c>
      <c r="I31" s="3">
        <f>$A31&amp;"|"&amp;$B31&amp;"|"&amp;$C31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IFERROR(INDEX('TECNICOS'!$D$4:$D$15,MATCH($C32,'TECNICOS'!$B$4:$B$15,0)),"")</f>
        <v/>
      </c>
      <c r="E32" s="3">
        <f>IFERROR(INDEX('TECNICOS'!$C$4:$C$15,MATCH($C32,'TECNICOS'!$B$4:$B$15,0)),"")</f>
        <v/>
      </c>
      <c r="F32" s="6" t="inlineStr">
        <is>
          <t>T1</t>
        </is>
      </c>
      <c r="G32" s="3">
        <f>IFERROR(INDEX('TECNICOS'!$E$4:$E$15,MATCH($C32,'TECNICOS'!$B$4:$B$15,0)),"")</f>
        <v/>
      </c>
      <c r="H32" s="3">
        <f>IF(OR($F32="",ISNUMBER(MATCH($F32,lista_no_disponible,0))),0,p_horas_jornada)</f>
        <v/>
      </c>
      <c r="I32" s="3">
        <f>$A32&amp;"|"&amp;$B32&amp;"|"&amp;$C32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IFERROR(INDEX('TECNICOS'!$D$4:$D$15,MATCH($C33,'TECNICOS'!$B$4:$B$15,0)),"")</f>
        <v/>
      </c>
      <c r="E33" s="3">
        <f>IFERROR(INDEX('TECNICOS'!$C$4:$C$15,MATCH($C33,'TECNICOS'!$B$4:$B$15,0)),"")</f>
        <v/>
      </c>
      <c r="F33" s="6" t="inlineStr">
        <is>
          <t>T1</t>
        </is>
      </c>
      <c r="G33" s="3">
        <f>IFERROR(INDEX('TECNICOS'!$E$4:$E$15,MATCH($C33,'TECNICOS'!$B$4:$B$15,0)),"")</f>
        <v/>
      </c>
      <c r="H33" s="3">
        <f>IF(OR($F33="",ISNUMBER(MATCH($F33,lista_no_disponible,0))),0,p_horas_jornada)</f>
        <v/>
      </c>
      <c r="I33" s="3">
        <f>$A33&amp;"|"&amp;$B33&amp;"|"&amp;$C33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IFERROR(INDEX('TECNICOS'!$D$4:$D$15,MATCH($C34,'TECNICOS'!$B$4:$B$15,0)),"")</f>
        <v/>
      </c>
      <c r="E34" s="3">
        <f>IFERROR(INDEX('TECNICOS'!$C$4:$C$15,MATCH($C34,'TECNICOS'!$B$4:$B$15,0)),"")</f>
        <v/>
      </c>
      <c r="F34" s="6" t="inlineStr">
        <is>
          <t>T1</t>
        </is>
      </c>
      <c r="G34" s="3">
        <f>IFERROR(INDEX('TECNICOS'!$E$4:$E$15,MATCH($C34,'TECNICOS'!$B$4:$B$15,0)),"")</f>
        <v/>
      </c>
      <c r="H34" s="3">
        <f>IF(OR($F34="",ISNUMBER(MATCH($F34,lista_no_disponible,0))),0,p_horas_jornada)</f>
        <v/>
      </c>
      <c r="I34" s="3">
        <f>$A34&amp;"|"&amp;$B34&amp;"|"&amp;$C34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IFERROR(INDEX('TECNICOS'!$D$4:$D$15,MATCH($C35,'TECNICOS'!$B$4:$B$15,0)),"")</f>
        <v/>
      </c>
      <c r="E35" s="3">
        <f>IFERROR(INDEX('TECNICOS'!$C$4:$C$15,MATCH($C35,'TECNICOS'!$B$4:$B$15,0)),"")</f>
        <v/>
      </c>
      <c r="F35" s="6" t="inlineStr">
        <is>
          <t>T1</t>
        </is>
      </c>
      <c r="G35" s="3">
        <f>IFERROR(INDEX('TECNICOS'!$E$4:$E$15,MATCH($C35,'TECNICOS'!$B$4:$B$15,0)),"")</f>
        <v/>
      </c>
      <c r="H35" s="3">
        <f>IF(OR($F35="",ISNUMBER(MATCH($F35,lista_no_disponible,0))),0,p_horas_jornada)</f>
        <v/>
      </c>
      <c r="I35" s="3">
        <f>$A35&amp;"|"&amp;$B35&amp;"|"&amp;$C35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IFERROR(INDEX('TECNICOS'!$D$4:$D$15,MATCH($C36,'TECNICOS'!$B$4:$B$15,0)),"")</f>
        <v/>
      </c>
      <c r="E36" s="3">
        <f>IFERROR(INDEX('TECNICOS'!$C$4:$C$15,MATCH($C36,'TECNICOS'!$B$4:$B$15,0)),"")</f>
        <v/>
      </c>
      <c r="F36" s="6" t="inlineStr">
        <is>
          <t>T1</t>
        </is>
      </c>
      <c r="G36" s="3">
        <f>IFERROR(INDEX('TECNICOS'!$E$4:$E$15,MATCH($C36,'TECNICOS'!$B$4:$B$15,0)),"")</f>
        <v/>
      </c>
      <c r="H36" s="3">
        <f>IF(OR($F36="",ISNUMBER(MATCH($F36,lista_no_disponible,0))),0,p_horas_jornada)</f>
        <v/>
      </c>
      <c r="I36" s="3">
        <f>$A36&amp;"|"&amp;$B36&amp;"|"&amp;$C36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IFERROR(INDEX('TECNICOS'!$D$4:$D$15,MATCH($C37,'TECNICOS'!$B$4:$B$15,0)),"")</f>
        <v/>
      </c>
      <c r="E37" s="3">
        <f>IFERROR(INDEX('TECNICOS'!$C$4:$C$15,MATCH($C37,'TECNICOS'!$B$4:$B$15,0)),"")</f>
        <v/>
      </c>
      <c r="F37" s="6" t="inlineStr"/>
      <c r="G37" s="3">
        <f>IFERROR(INDEX('TECNICOS'!$E$4:$E$15,MATCH($C37,'TECNICOS'!$B$4:$B$15,0)),"")</f>
        <v/>
      </c>
      <c r="H37" s="3">
        <f>IF(OR($F37="",ISNUMBER(MATCH($F37,lista_no_disponible,0))),0,p_horas_jornada)</f>
        <v/>
      </c>
      <c r="I37" s="3">
        <f>$A37&amp;"|"&amp;$B37&amp;"|"&amp;$C37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IFERROR(INDEX('TECNICOS'!$D$4:$D$15,MATCH($C38,'TECNICOS'!$B$4:$B$15,0)),"")</f>
        <v/>
      </c>
      <c r="E38" s="3">
        <f>IFERROR(INDEX('TECNICOS'!$C$4:$C$15,MATCH($C38,'TECNICOS'!$B$4:$B$15,0)),"")</f>
        <v/>
      </c>
      <c r="F38" s="6" t="inlineStr"/>
      <c r="G38" s="3">
        <f>IFERROR(INDEX('TECNICOS'!$E$4:$E$15,MATCH($C38,'TECNICOS'!$B$4:$B$15,0)),"")</f>
        <v/>
      </c>
      <c r="H38" s="3">
        <f>IF(OR($F38="",ISNUMBER(MATCH($F38,lista_no_disponible,0))),0,p_horas_jornada)</f>
        <v/>
      </c>
      <c r="I38" s="3">
        <f>$A38&amp;"|"&amp;$B38&amp;"|"&amp;$C38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IFERROR(INDEX('TECNICOS'!$D$4:$D$15,MATCH($C39,'TECNICOS'!$B$4:$B$15,0)),"")</f>
        <v/>
      </c>
      <c r="E39" s="3">
        <f>IFERROR(INDEX('TECNICOS'!$C$4:$C$15,MATCH($C39,'TECNICOS'!$B$4:$B$15,0)),"")</f>
        <v/>
      </c>
      <c r="F39" s="6" t="inlineStr">
        <is>
          <t>T1</t>
        </is>
      </c>
      <c r="G39" s="3">
        <f>IFERROR(INDEX('TECNICOS'!$E$4:$E$15,MATCH($C39,'TECNICOS'!$B$4:$B$15,0)),"")</f>
        <v/>
      </c>
      <c r="H39" s="3">
        <f>IF(OR($F39="",ISNUMBER(MATCH($F39,lista_no_disponible,0))),0,p_horas_jornada)</f>
        <v/>
      </c>
      <c r="I39" s="3">
        <f>$A39&amp;"|"&amp;$B39&amp;"|"&amp;$C39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IFERROR(INDEX('TECNICOS'!$D$4:$D$15,MATCH($C40,'TECNICOS'!$B$4:$B$15,0)),"")</f>
        <v/>
      </c>
      <c r="E40" s="3">
        <f>IFERROR(INDEX('TECNICOS'!$C$4:$C$15,MATCH($C40,'TECNICOS'!$B$4:$B$15,0)),"")</f>
        <v/>
      </c>
      <c r="F40" s="6" t="inlineStr">
        <is>
          <t>T1</t>
        </is>
      </c>
      <c r="G40" s="3">
        <f>IFERROR(INDEX('TECNICOS'!$E$4:$E$15,MATCH($C40,'TECNICOS'!$B$4:$B$15,0)),"")</f>
        <v/>
      </c>
      <c r="H40" s="3">
        <f>IF(OR($F40="",ISNUMBER(MATCH($F40,lista_no_disponible,0))),0,p_horas_jornada)</f>
        <v/>
      </c>
      <c r="I40" s="3">
        <f>$A40&amp;"|"&amp;$B40&amp;"|"&amp;$C40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IFERROR(INDEX('TECNICOS'!$D$4:$D$15,MATCH($C41,'TECNICOS'!$B$4:$B$15,0)),"")</f>
        <v/>
      </c>
      <c r="E41" s="3">
        <f>IFERROR(INDEX('TECNICOS'!$C$4:$C$15,MATCH($C41,'TECNICOS'!$B$4:$B$15,0)),"")</f>
        <v/>
      </c>
      <c r="F41" s="6" t="inlineStr">
        <is>
          <t>T1</t>
        </is>
      </c>
      <c r="G41" s="3">
        <f>IFERROR(INDEX('TECNICOS'!$E$4:$E$15,MATCH($C41,'TECNICOS'!$B$4:$B$15,0)),"")</f>
        <v/>
      </c>
      <c r="H41" s="3">
        <f>IF(OR($F41="",ISNUMBER(MATCH($F41,lista_no_disponible,0))),0,p_horas_jornada)</f>
        <v/>
      </c>
      <c r="I41" s="3">
        <f>$A41&amp;"|"&amp;$B41&amp;"|"&amp;$C41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IFERROR(INDEX('TECNICOS'!$D$4:$D$15,MATCH($C42,'TECNICOS'!$B$4:$B$15,0)),"")</f>
        <v/>
      </c>
      <c r="E42" s="3">
        <f>IFERROR(INDEX('TECNICOS'!$C$4:$C$15,MATCH($C42,'TECNICOS'!$B$4:$B$15,0)),"")</f>
        <v/>
      </c>
      <c r="F42" s="6" t="inlineStr">
        <is>
          <t>T1</t>
        </is>
      </c>
      <c r="G42" s="3">
        <f>IFERROR(INDEX('TECNICOS'!$E$4:$E$15,MATCH($C42,'TECNICOS'!$B$4:$B$15,0)),"")</f>
        <v/>
      </c>
      <c r="H42" s="3">
        <f>IF(OR($F42="",ISNUMBER(MATCH($F42,lista_no_disponible,0))),0,p_horas_jornada)</f>
        <v/>
      </c>
      <c r="I42" s="3">
        <f>$A42&amp;"|"&amp;$B42&amp;"|"&amp;$C42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IFERROR(INDEX('TECNICOS'!$D$4:$D$15,MATCH($C43,'TECNICOS'!$B$4:$B$15,0)),"")</f>
        <v/>
      </c>
      <c r="E43" s="3">
        <f>IFERROR(INDEX('TECNICOS'!$C$4:$C$15,MATCH($C43,'TECNICOS'!$B$4:$B$15,0)),"")</f>
        <v/>
      </c>
      <c r="F43" s="6" t="inlineStr">
        <is>
          <t>T1</t>
        </is>
      </c>
      <c r="G43" s="3">
        <f>IFERROR(INDEX('TECNICOS'!$E$4:$E$15,MATCH($C43,'TECNICOS'!$B$4:$B$15,0)),"")</f>
        <v/>
      </c>
      <c r="H43" s="3">
        <f>IF(OR($F43="",ISNUMBER(MATCH($F43,lista_no_disponible,0))),0,p_horas_jornada)</f>
        <v/>
      </c>
      <c r="I43" s="3">
        <f>$A43&amp;"|"&amp;$B43&amp;"|"&amp;$C43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IFERROR(INDEX('TECNICOS'!$D$4:$D$15,MATCH($C44,'TECNICOS'!$B$4:$B$15,0)),"")</f>
        <v/>
      </c>
      <c r="E44" s="3">
        <f>IFERROR(INDEX('TECNICOS'!$C$4:$C$15,MATCH($C44,'TECNICOS'!$B$4:$B$15,0)),"")</f>
        <v/>
      </c>
      <c r="F44" s="6" t="inlineStr"/>
      <c r="G44" s="3">
        <f>IFERROR(INDEX('TECNICOS'!$E$4:$E$15,MATCH($C44,'TECNICOS'!$B$4:$B$15,0)),"")</f>
        <v/>
      </c>
      <c r="H44" s="3">
        <f>IF(OR($F44="",ISNUMBER(MATCH($F44,lista_no_disponible,0))),0,p_horas_jornada)</f>
        <v/>
      </c>
      <c r="I44" s="3">
        <f>$A44&amp;"|"&amp;$B44&amp;"|"&amp;$C44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IFERROR(INDEX('TECNICOS'!$D$4:$D$15,MATCH($C45,'TECNICOS'!$B$4:$B$15,0)),"")</f>
        <v/>
      </c>
      <c r="E45" s="3">
        <f>IFERROR(INDEX('TECNICOS'!$C$4:$C$15,MATCH($C45,'TECNICOS'!$B$4:$B$15,0)),"")</f>
        <v/>
      </c>
      <c r="F45" s="6" t="inlineStr"/>
      <c r="G45" s="3">
        <f>IFERROR(INDEX('TECNICOS'!$E$4:$E$15,MATCH($C45,'TECNICOS'!$B$4:$B$15,0)),"")</f>
        <v/>
      </c>
      <c r="H45" s="3">
        <f>IF(OR($F45="",ISNUMBER(MATCH($F45,lista_no_disponible,0))),0,p_horas_jornada)</f>
        <v/>
      </c>
      <c r="I45" s="3">
        <f>$A45&amp;"|"&amp;$B45&amp;"|"&amp;$C45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IFERROR(INDEX('TECNICOS'!$D$4:$D$15,MATCH($C46,'TECNICOS'!$B$4:$B$15,0)),"")</f>
        <v/>
      </c>
      <c r="E46" s="3">
        <f>IFERROR(INDEX('TECNICOS'!$C$4:$C$15,MATCH($C46,'TECNICOS'!$B$4:$B$15,0)),"")</f>
        <v/>
      </c>
      <c r="F46" s="6" t="inlineStr">
        <is>
          <t>T1</t>
        </is>
      </c>
      <c r="G46" s="3">
        <f>IFERROR(INDEX('TECNICOS'!$E$4:$E$15,MATCH($C46,'TECNICOS'!$B$4:$B$15,0)),"")</f>
        <v/>
      </c>
      <c r="H46" s="3">
        <f>IF(OR($F46="",ISNUMBER(MATCH($F46,lista_no_disponible,0))),0,p_horas_jornada)</f>
        <v/>
      </c>
      <c r="I46" s="3">
        <f>$A46&amp;"|"&amp;$B46&amp;"|"&amp;$C46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IFERROR(INDEX('TECNICOS'!$D$4:$D$15,MATCH($C47,'TECNICOS'!$B$4:$B$15,0)),"")</f>
        <v/>
      </c>
      <c r="E47" s="3">
        <f>IFERROR(INDEX('TECNICOS'!$C$4:$C$15,MATCH($C47,'TECNICOS'!$B$4:$B$15,0)),"")</f>
        <v/>
      </c>
      <c r="F47" s="6" t="inlineStr">
        <is>
          <t>T1</t>
        </is>
      </c>
      <c r="G47" s="3">
        <f>IFERROR(INDEX('TECNICOS'!$E$4:$E$15,MATCH($C47,'TECNICOS'!$B$4:$B$15,0)),"")</f>
        <v/>
      </c>
      <c r="H47" s="3">
        <f>IF(OR($F47="",ISNUMBER(MATCH($F47,lista_no_disponible,0))),0,p_horas_jornada)</f>
        <v/>
      </c>
      <c r="I47" s="3">
        <f>$A47&amp;"|"&amp;$B47&amp;"|"&amp;$C47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IFERROR(INDEX('TECNICOS'!$D$4:$D$15,MATCH($C48,'TECNICOS'!$B$4:$B$15,0)),"")</f>
        <v/>
      </c>
      <c r="E48" s="3">
        <f>IFERROR(INDEX('TECNICOS'!$C$4:$C$15,MATCH($C48,'TECNICOS'!$B$4:$B$15,0)),"")</f>
        <v/>
      </c>
      <c r="F48" s="6" t="inlineStr">
        <is>
          <t>T1</t>
        </is>
      </c>
      <c r="G48" s="3">
        <f>IFERROR(INDEX('TECNICOS'!$E$4:$E$15,MATCH($C48,'TECNICOS'!$B$4:$B$15,0)),"")</f>
        <v/>
      </c>
      <c r="H48" s="3">
        <f>IF(OR($F48="",ISNUMBER(MATCH($F48,lista_no_disponible,0))),0,p_horas_jornada)</f>
        <v/>
      </c>
      <c r="I48" s="3">
        <f>$A48&amp;"|"&amp;$B48&amp;"|"&amp;$C48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IFERROR(INDEX('TECNICOS'!$D$4:$D$15,MATCH($C49,'TECNICOS'!$B$4:$B$15,0)),"")</f>
        <v/>
      </c>
      <c r="E49" s="3">
        <f>IFERROR(INDEX('TECNICOS'!$C$4:$C$15,MATCH($C49,'TECNICOS'!$B$4:$B$15,0)),"")</f>
        <v/>
      </c>
      <c r="F49" s="6" t="inlineStr">
        <is>
          <t>T1</t>
        </is>
      </c>
      <c r="G49" s="3">
        <f>IFERROR(INDEX('TECNICOS'!$E$4:$E$15,MATCH($C49,'TECNICOS'!$B$4:$B$15,0)),"")</f>
        <v/>
      </c>
      <c r="H49" s="3">
        <f>IF(OR($F49="",ISNUMBER(MATCH($F49,lista_no_disponible,0))),0,p_horas_jornada)</f>
        <v/>
      </c>
      <c r="I49" s="3">
        <f>$A49&amp;"|"&amp;$B49&amp;"|"&amp;$C49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IFERROR(INDEX('TECNICOS'!$D$4:$D$15,MATCH($C50,'TECNICOS'!$B$4:$B$15,0)),"")</f>
        <v/>
      </c>
      <c r="E50" s="3">
        <f>IFERROR(INDEX('TECNICOS'!$C$4:$C$15,MATCH($C50,'TECNICOS'!$B$4:$B$15,0)),"")</f>
        <v/>
      </c>
      <c r="F50" s="6" t="inlineStr">
        <is>
          <t>T1</t>
        </is>
      </c>
      <c r="G50" s="3">
        <f>IFERROR(INDEX('TECNICOS'!$E$4:$E$15,MATCH($C50,'TECNICOS'!$B$4:$B$15,0)),"")</f>
        <v/>
      </c>
      <c r="H50" s="3">
        <f>IF(OR($F50="",ISNUMBER(MATCH($F50,lista_no_disponible,0))),0,p_horas_jornada)</f>
        <v/>
      </c>
      <c r="I50" s="3">
        <f>$A50&amp;"|"&amp;$B50&amp;"|"&amp;$C50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IFERROR(INDEX('TECNICOS'!$D$4:$D$15,MATCH($C51,'TECNICOS'!$B$4:$B$15,0)),"")</f>
        <v/>
      </c>
      <c r="E51" s="3">
        <f>IFERROR(INDEX('TECNICOS'!$C$4:$C$15,MATCH($C51,'TECNICOS'!$B$4:$B$15,0)),"")</f>
        <v/>
      </c>
      <c r="F51" s="6" t="inlineStr"/>
      <c r="G51" s="3">
        <f>IFERROR(INDEX('TECNICOS'!$E$4:$E$15,MATCH($C51,'TECNICOS'!$B$4:$B$15,0)),"")</f>
        <v/>
      </c>
      <c r="H51" s="3">
        <f>IF(OR($F51="",ISNUMBER(MATCH($F51,lista_no_disponible,0))),0,p_horas_jornada)</f>
        <v/>
      </c>
      <c r="I51" s="3">
        <f>$A51&amp;"|"&amp;$B51&amp;"|"&amp;$C51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IFERROR(INDEX('TECNICOS'!$D$4:$D$15,MATCH($C52,'TECNICOS'!$B$4:$B$15,0)),"")</f>
        <v/>
      </c>
      <c r="E52" s="3">
        <f>IFERROR(INDEX('TECNICOS'!$C$4:$C$15,MATCH($C52,'TECNICOS'!$B$4:$B$15,0)),"")</f>
        <v/>
      </c>
      <c r="F52" s="6" t="inlineStr"/>
      <c r="G52" s="3">
        <f>IFERROR(INDEX('TECNICOS'!$E$4:$E$15,MATCH($C52,'TECNICOS'!$B$4:$B$15,0)),"")</f>
        <v/>
      </c>
      <c r="H52" s="3">
        <f>IF(OR($F52="",ISNUMBER(MATCH($F52,lista_no_disponible,0))),0,p_horas_jornada)</f>
        <v/>
      </c>
      <c r="I52" s="3">
        <f>$A52&amp;"|"&amp;$B52&amp;"|"&amp;$C52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IFERROR(INDEX('TECNICOS'!$D$4:$D$15,MATCH($C53,'TECNICOS'!$B$4:$B$15,0)),"")</f>
        <v/>
      </c>
      <c r="E53" s="3">
        <f>IFERROR(INDEX('TECNICOS'!$C$4:$C$15,MATCH($C53,'TECNICOS'!$B$4:$B$15,0)),"")</f>
        <v/>
      </c>
      <c r="F53" s="6" t="inlineStr">
        <is>
          <t>T3</t>
        </is>
      </c>
      <c r="G53" s="3">
        <f>IFERROR(INDEX('TECNICOS'!$E$4:$E$15,MATCH($C53,'TECNICOS'!$B$4:$B$15,0)),"")</f>
        <v/>
      </c>
      <c r="H53" s="3">
        <f>IF(OR($F53="",ISNUMBER(MATCH($F53,lista_no_disponible,0))),0,p_horas_jornada)</f>
        <v/>
      </c>
      <c r="I53" s="3">
        <f>$A53&amp;"|"&amp;$B53&amp;"|"&amp;$C53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IFERROR(INDEX('TECNICOS'!$D$4:$D$15,MATCH($C54,'TECNICOS'!$B$4:$B$15,0)),"")</f>
        <v/>
      </c>
      <c r="E54" s="3">
        <f>IFERROR(INDEX('TECNICOS'!$C$4:$C$15,MATCH($C54,'TECNICOS'!$B$4:$B$15,0)),"")</f>
        <v/>
      </c>
      <c r="F54" s="6" t="inlineStr">
        <is>
          <t>T3</t>
        </is>
      </c>
      <c r="G54" s="3">
        <f>IFERROR(INDEX('TECNICOS'!$E$4:$E$15,MATCH($C54,'TECNICOS'!$B$4:$B$15,0)),"")</f>
        <v/>
      </c>
      <c r="H54" s="3">
        <f>IF(OR($F54="",ISNUMBER(MATCH($F54,lista_no_disponible,0))),0,p_horas_jornada)</f>
        <v/>
      </c>
      <c r="I54" s="3">
        <f>$A54&amp;"|"&amp;$B54&amp;"|"&amp;$C54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IFERROR(INDEX('TECNICOS'!$D$4:$D$15,MATCH($C55,'TECNICOS'!$B$4:$B$15,0)),"")</f>
        <v/>
      </c>
      <c r="E55" s="3">
        <f>IFERROR(INDEX('TECNICOS'!$C$4:$C$15,MATCH($C55,'TECNICOS'!$B$4:$B$15,0)),"")</f>
        <v/>
      </c>
      <c r="F55" s="6" t="inlineStr">
        <is>
          <t>T3</t>
        </is>
      </c>
      <c r="G55" s="3">
        <f>IFERROR(INDEX('TECNICOS'!$E$4:$E$15,MATCH($C55,'TECNICOS'!$B$4:$B$15,0)),"")</f>
        <v/>
      </c>
      <c r="H55" s="3">
        <f>IF(OR($F55="",ISNUMBER(MATCH($F55,lista_no_disponible,0))),0,p_horas_jornada)</f>
        <v/>
      </c>
      <c r="I55" s="3">
        <f>$A55&amp;"|"&amp;$B55&amp;"|"&amp;$C55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IFERROR(INDEX('TECNICOS'!$D$4:$D$15,MATCH($C56,'TECNICOS'!$B$4:$B$15,0)),"")</f>
        <v/>
      </c>
      <c r="E56" s="3">
        <f>IFERROR(INDEX('TECNICOS'!$C$4:$C$15,MATCH($C56,'TECNICOS'!$B$4:$B$15,0)),"")</f>
        <v/>
      </c>
      <c r="F56" s="6" t="inlineStr">
        <is>
          <t>T3</t>
        </is>
      </c>
      <c r="G56" s="3">
        <f>IFERROR(INDEX('TECNICOS'!$E$4:$E$15,MATCH($C56,'TECNICOS'!$B$4:$B$15,0)),"")</f>
        <v/>
      </c>
      <c r="H56" s="3">
        <f>IF(OR($F56="",ISNUMBER(MATCH($F56,lista_no_disponible,0))),0,p_horas_jornada)</f>
        <v/>
      </c>
      <c r="I56" s="3">
        <f>$A56&amp;"|"&amp;$B56&amp;"|"&amp;$C56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IFERROR(INDEX('TECNICOS'!$D$4:$D$15,MATCH($C57,'TECNICOS'!$B$4:$B$15,0)),"")</f>
        <v/>
      </c>
      <c r="E57" s="3">
        <f>IFERROR(INDEX('TECNICOS'!$C$4:$C$15,MATCH($C57,'TECNICOS'!$B$4:$B$15,0)),"")</f>
        <v/>
      </c>
      <c r="F57" s="6" t="inlineStr">
        <is>
          <t>T3</t>
        </is>
      </c>
      <c r="G57" s="3">
        <f>IFERROR(INDEX('TECNICOS'!$E$4:$E$15,MATCH($C57,'TECNICOS'!$B$4:$B$15,0)),"")</f>
        <v/>
      </c>
      <c r="H57" s="3">
        <f>IF(OR($F57="",ISNUMBER(MATCH($F57,lista_no_disponible,0))),0,p_horas_jornada)</f>
        <v/>
      </c>
      <c r="I57" s="3">
        <f>$A57&amp;"|"&amp;$B57&amp;"|"&amp;$C57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IFERROR(INDEX('TECNICOS'!$D$4:$D$15,MATCH($C58,'TECNICOS'!$B$4:$B$15,0)),"")</f>
        <v/>
      </c>
      <c r="E58" s="3">
        <f>IFERROR(INDEX('TECNICOS'!$C$4:$C$15,MATCH($C58,'TECNICOS'!$B$4:$B$15,0)),"")</f>
        <v/>
      </c>
      <c r="F58" s="6" t="inlineStr"/>
      <c r="G58" s="3">
        <f>IFERROR(INDEX('TECNICOS'!$E$4:$E$15,MATCH($C58,'TECNICOS'!$B$4:$B$15,0)),"")</f>
        <v/>
      </c>
      <c r="H58" s="3">
        <f>IF(OR($F58="",ISNUMBER(MATCH($F58,lista_no_disponible,0))),0,p_horas_jornada)</f>
        <v/>
      </c>
      <c r="I58" s="3">
        <f>$A58&amp;"|"&amp;$B58&amp;"|"&amp;$C58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IFERROR(INDEX('TECNICOS'!$D$4:$D$15,MATCH($C59,'TECNICOS'!$B$4:$B$15,0)),"")</f>
        <v/>
      </c>
      <c r="E59" s="3">
        <f>IFERROR(INDEX('TECNICOS'!$C$4:$C$15,MATCH($C59,'TECNICOS'!$B$4:$B$15,0)),"")</f>
        <v/>
      </c>
      <c r="F59" s="6" t="inlineStr"/>
      <c r="G59" s="3">
        <f>IFERROR(INDEX('TECNICOS'!$E$4:$E$15,MATCH($C59,'TECNICOS'!$B$4:$B$15,0)),"")</f>
        <v/>
      </c>
      <c r="H59" s="3">
        <f>IF(OR($F59="",ISNUMBER(MATCH($F59,lista_no_disponible,0))),0,p_horas_jornada)</f>
        <v/>
      </c>
      <c r="I59" s="3">
        <f>$A59&amp;"|"&amp;$B59&amp;"|"&amp;$C59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IFERROR(INDEX('TECNICOS'!$D$4:$D$15,MATCH($C60,'TECNICOS'!$B$4:$B$15,0)),"")</f>
        <v/>
      </c>
      <c r="E60" s="3">
        <f>IFERROR(INDEX('TECNICOS'!$C$4:$C$15,MATCH($C60,'TECNICOS'!$B$4:$B$15,0)),"")</f>
        <v/>
      </c>
      <c r="F60" s="6" t="inlineStr">
        <is>
          <t>T1</t>
        </is>
      </c>
      <c r="G60" s="3">
        <f>IFERROR(INDEX('TECNICOS'!$E$4:$E$15,MATCH($C60,'TECNICOS'!$B$4:$B$15,0)),"")</f>
        <v/>
      </c>
      <c r="H60" s="3">
        <f>IF(OR($F60="",ISNUMBER(MATCH($F60,lista_no_disponible,0))),0,p_horas_jornada)</f>
        <v/>
      </c>
      <c r="I60" s="3">
        <f>$A60&amp;"|"&amp;$B60&amp;"|"&amp;$C60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IFERROR(INDEX('TECNICOS'!$D$4:$D$15,MATCH($C61,'TECNICOS'!$B$4:$B$15,0)),"")</f>
        <v/>
      </c>
      <c r="E61" s="3">
        <f>IFERROR(INDEX('TECNICOS'!$C$4:$C$15,MATCH($C61,'TECNICOS'!$B$4:$B$15,0)),"")</f>
        <v/>
      </c>
      <c r="F61" s="6" t="inlineStr">
        <is>
          <t>T1</t>
        </is>
      </c>
      <c r="G61" s="3">
        <f>IFERROR(INDEX('TECNICOS'!$E$4:$E$15,MATCH($C61,'TECNICOS'!$B$4:$B$15,0)),"")</f>
        <v/>
      </c>
      <c r="H61" s="3">
        <f>IF(OR($F61="",ISNUMBER(MATCH($F61,lista_no_disponible,0))),0,p_horas_jornada)</f>
        <v/>
      </c>
      <c r="I61" s="3">
        <f>$A61&amp;"|"&amp;$B61&amp;"|"&amp;$C61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IFERROR(INDEX('TECNICOS'!$D$4:$D$15,MATCH($C62,'TECNICOS'!$B$4:$B$15,0)),"")</f>
        <v/>
      </c>
      <c r="E62" s="3">
        <f>IFERROR(INDEX('TECNICOS'!$C$4:$C$15,MATCH($C62,'TECNICOS'!$B$4:$B$15,0)),"")</f>
        <v/>
      </c>
      <c r="F62" s="6" t="inlineStr">
        <is>
          <t>T1</t>
        </is>
      </c>
      <c r="G62" s="3">
        <f>IFERROR(INDEX('TECNICOS'!$E$4:$E$15,MATCH($C62,'TECNICOS'!$B$4:$B$15,0)),"")</f>
        <v/>
      </c>
      <c r="H62" s="3">
        <f>IF(OR($F62="",ISNUMBER(MATCH($F62,lista_no_disponible,0))),0,p_horas_jornada)</f>
        <v/>
      </c>
      <c r="I62" s="3">
        <f>$A62&amp;"|"&amp;$B62&amp;"|"&amp;$C62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IFERROR(INDEX('TECNICOS'!$D$4:$D$15,MATCH($C63,'TECNICOS'!$B$4:$B$15,0)),"")</f>
        <v/>
      </c>
      <c r="E63" s="3">
        <f>IFERROR(INDEX('TECNICOS'!$C$4:$C$15,MATCH($C63,'TECNICOS'!$B$4:$B$15,0)),"")</f>
        <v/>
      </c>
      <c r="F63" s="6" t="inlineStr">
        <is>
          <t>T1</t>
        </is>
      </c>
      <c r="G63" s="3">
        <f>IFERROR(INDEX('TECNICOS'!$E$4:$E$15,MATCH($C63,'TECNICOS'!$B$4:$B$15,0)),"")</f>
        <v/>
      </c>
      <c r="H63" s="3">
        <f>IF(OR($F63="",ISNUMBER(MATCH($F63,lista_no_disponible,0))),0,p_horas_jornada)</f>
        <v/>
      </c>
      <c r="I63" s="3">
        <f>$A63&amp;"|"&amp;$B63&amp;"|"&amp;$C63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IFERROR(INDEX('TECNICOS'!$D$4:$D$15,MATCH($C64,'TECNICOS'!$B$4:$B$15,0)),"")</f>
        <v/>
      </c>
      <c r="E64" s="3">
        <f>IFERROR(INDEX('TECNICOS'!$C$4:$C$15,MATCH($C64,'TECNICOS'!$B$4:$B$15,0)),"")</f>
        <v/>
      </c>
      <c r="F64" s="6" t="inlineStr">
        <is>
          <t>T1</t>
        </is>
      </c>
      <c r="G64" s="3">
        <f>IFERROR(INDEX('TECNICOS'!$E$4:$E$15,MATCH($C64,'TECNICOS'!$B$4:$B$15,0)),"")</f>
        <v/>
      </c>
      <c r="H64" s="3">
        <f>IF(OR($F64="",ISNUMBER(MATCH($F64,lista_no_disponible,0))),0,p_horas_jornada)</f>
        <v/>
      </c>
      <c r="I64" s="3">
        <f>$A64&amp;"|"&amp;$B64&amp;"|"&amp;$C64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IFERROR(INDEX('TECNICOS'!$D$4:$D$15,MATCH($C65,'TECNICOS'!$B$4:$B$15,0)),"")</f>
        <v/>
      </c>
      <c r="E65" s="3">
        <f>IFERROR(INDEX('TECNICOS'!$C$4:$C$15,MATCH($C65,'TECNICOS'!$B$4:$B$15,0)),"")</f>
        <v/>
      </c>
      <c r="F65" s="6" t="inlineStr"/>
      <c r="G65" s="3">
        <f>IFERROR(INDEX('TECNICOS'!$E$4:$E$15,MATCH($C65,'TECNICOS'!$B$4:$B$15,0)),"")</f>
        <v/>
      </c>
      <c r="H65" s="3">
        <f>IF(OR($F65="",ISNUMBER(MATCH($F65,lista_no_disponible,0))),0,p_horas_jornada)</f>
        <v/>
      </c>
      <c r="I65" s="3">
        <f>$A65&amp;"|"&amp;$B65&amp;"|"&amp;$C65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IFERROR(INDEX('TECNICOS'!$D$4:$D$15,MATCH($C66,'TECNICOS'!$B$4:$B$15,0)),"")</f>
        <v/>
      </c>
      <c r="E66" s="3">
        <f>IFERROR(INDEX('TECNICOS'!$C$4:$C$15,MATCH($C66,'TECNICOS'!$B$4:$B$15,0)),"")</f>
        <v/>
      </c>
      <c r="F66" s="6" t="inlineStr"/>
      <c r="G66" s="3">
        <f>IFERROR(INDEX('TECNICOS'!$E$4:$E$15,MATCH($C66,'TECNICOS'!$B$4:$B$15,0)),"")</f>
        <v/>
      </c>
      <c r="H66" s="3">
        <f>IF(OR($F66="",ISNUMBER(MATCH($F66,lista_no_disponible,0))),0,p_horas_jornada)</f>
        <v/>
      </c>
      <c r="I66" s="3">
        <f>$A66&amp;"|"&amp;$B66&amp;"|"&amp;$C66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IFERROR(INDEX('TECNICOS'!$D$4:$D$15,MATCH($C67,'TECNICOS'!$B$4:$B$15,0)),"")</f>
        <v/>
      </c>
      <c r="E67" s="3">
        <f>IFERROR(INDEX('TECNICOS'!$C$4:$C$15,MATCH($C67,'TECNICOS'!$B$4:$B$15,0)),"")</f>
        <v/>
      </c>
      <c r="F67" s="6" t="inlineStr">
        <is>
          <t>B1</t>
        </is>
      </c>
      <c r="G67" s="3">
        <f>IFERROR(INDEX('TECNICOS'!$E$4:$E$15,MATCH($C67,'TECNICOS'!$B$4:$B$15,0)),"")</f>
        <v/>
      </c>
      <c r="H67" s="3">
        <f>IF(OR($F67="",ISNUMBER(MATCH($F67,lista_no_disponible,0))),0,p_horas_jornada)</f>
        <v/>
      </c>
      <c r="I67" s="3">
        <f>$A67&amp;"|"&amp;$B67&amp;"|"&amp;$C67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IFERROR(INDEX('TECNICOS'!$D$4:$D$15,MATCH($C68,'TECNICOS'!$B$4:$B$15,0)),"")</f>
        <v/>
      </c>
      <c r="E68" s="3">
        <f>IFERROR(INDEX('TECNICOS'!$C$4:$C$15,MATCH($C68,'TECNICOS'!$B$4:$B$15,0)),"")</f>
        <v/>
      </c>
      <c r="F68" s="6" t="inlineStr">
        <is>
          <t>B1</t>
        </is>
      </c>
      <c r="G68" s="3">
        <f>IFERROR(INDEX('TECNICOS'!$E$4:$E$15,MATCH($C68,'TECNICOS'!$B$4:$B$15,0)),"")</f>
        <v/>
      </c>
      <c r="H68" s="3">
        <f>IF(OR($F68="",ISNUMBER(MATCH($F68,lista_no_disponible,0))),0,p_horas_jornada)</f>
        <v/>
      </c>
      <c r="I68" s="3">
        <f>$A68&amp;"|"&amp;$B68&amp;"|"&amp;$C68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IFERROR(INDEX('TECNICOS'!$D$4:$D$15,MATCH($C69,'TECNICOS'!$B$4:$B$15,0)),"")</f>
        <v/>
      </c>
      <c r="E69" s="3">
        <f>IFERROR(INDEX('TECNICOS'!$C$4:$C$15,MATCH($C69,'TECNICOS'!$B$4:$B$15,0)),"")</f>
        <v/>
      </c>
      <c r="F69" s="6" t="inlineStr">
        <is>
          <t>B1</t>
        </is>
      </c>
      <c r="G69" s="3">
        <f>IFERROR(INDEX('TECNICOS'!$E$4:$E$15,MATCH($C69,'TECNICOS'!$B$4:$B$15,0)),"")</f>
        <v/>
      </c>
      <c r="H69" s="3">
        <f>IF(OR($F69="",ISNUMBER(MATCH($F69,lista_no_disponible,0))),0,p_horas_jornada)</f>
        <v/>
      </c>
      <c r="I69" s="3">
        <f>$A69&amp;"|"&amp;$B69&amp;"|"&amp;$C69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IFERROR(INDEX('TECNICOS'!$D$4:$D$15,MATCH($C70,'TECNICOS'!$B$4:$B$15,0)),"")</f>
        <v/>
      </c>
      <c r="E70" s="3">
        <f>IFERROR(INDEX('TECNICOS'!$C$4:$C$15,MATCH($C70,'TECNICOS'!$B$4:$B$15,0)),"")</f>
        <v/>
      </c>
      <c r="F70" s="6" t="inlineStr">
        <is>
          <t>B1</t>
        </is>
      </c>
      <c r="G70" s="3">
        <f>IFERROR(INDEX('TECNICOS'!$E$4:$E$15,MATCH($C70,'TECNICOS'!$B$4:$B$15,0)),"")</f>
        <v/>
      </c>
      <c r="H70" s="3">
        <f>IF(OR($F70="",ISNUMBER(MATCH($F70,lista_no_disponible,0))),0,p_horas_jornada)</f>
        <v/>
      </c>
      <c r="I70" s="3">
        <f>$A70&amp;"|"&amp;$B70&amp;"|"&amp;$C70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IFERROR(INDEX('TECNICOS'!$D$4:$D$15,MATCH($C71,'TECNICOS'!$B$4:$B$15,0)),"")</f>
        <v/>
      </c>
      <c r="E71" s="3">
        <f>IFERROR(INDEX('TECNICOS'!$C$4:$C$15,MATCH($C71,'TECNICOS'!$B$4:$B$15,0)),"")</f>
        <v/>
      </c>
      <c r="F71" s="6" t="inlineStr">
        <is>
          <t>B1</t>
        </is>
      </c>
      <c r="G71" s="3">
        <f>IFERROR(INDEX('TECNICOS'!$E$4:$E$15,MATCH($C71,'TECNICOS'!$B$4:$B$15,0)),"")</f>
        <v/>
      </c>
      <c r="H71" s="3">
        <f>IF(OR($F71="",ISNUMBER(MATCH($F71,lista_no_disponible,0))),0,p_horas_jornada)</f>
        <v/>
      </c>
      <c r="I71" s="3">
        <f>$A71&amp;"|"&amp;$B71&amp;"|"&amp;$C71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IFERROR(INDEX('TECNICOS'!$D$4:$D$15,MATCH($C72,'TECNICOS'!$B$4:$B$15,0)),"")</f>
        <v/>
      </c>
      <c r="E72" s="3">
        <f>IFERROR(INDEX('TECNICOS'!$C$4:$C$15,MATCH($C72,'TECNICOS'!$B$4:$B$15,0)),"")</f>
        <v/>
      </c>
      <c r="F72" s="6" t="inlineStr"/>
      <c r="G72" s="3">
        <f>IFERROR(INDEX('TECNICOS'!$E$4:$E$15,MATCH($C72,'TECNICOS'!$B$4:$B$15,0)),"")</f>
        <v/>
      </c>
      <c r="H72" s="3">
        <f>IF(OR($F72="",ISNUMBER(MATCH($F72,lista_no_disponible,0))),0,p_horas_jornada)</f>
        <v/>
      </c>
      <c r="I72" s="3">
        <f>$A72&amp;"|"&amp;$B72&amp;"|"&amp;$C72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IFERROR(INDEX('TECNICOS'!$D$4:$D$15,MATCH($C73,'TECNICOS'!$B$4:$B$15,0)),"")</f>
        <v/>
      </c>
      <c r="E73" s="3">
        <f>IFERROR(INDEX('TECNICOS'!$C$4:$C$15,MATCH($C73,'TECNICOS'!$B$4:$B$15,0)),"")</f>
        <v/>
      </c>
      <c r="F73" s="6" t="inlineStr"/>
      <c r="G73" s="3">
        <f>IFERROR(INDEX('TECNICOS'!$E$4:$E$15,MATCH($C73,'TECNICOS'!$B$4:$B$15,0)),"")</f>
        <v/>
      </c>
      <c r="H73" s="3">
        <f>IF(OR($F73="",ISNUMBER(MATCH($F73,lista_no_disponible,0))),0,p_horas_jornada)</f>
        <v/>
      </c>
      <c r="I73" s="3">
        <f>$A73&amp;"|"&amp;$B73&amp;"|"&amp;$C73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IFERROR(INDEX('TECNICOS'!$D$4:$D$15,MATCH($C74,'TECNICOS'!$B$4:$B$15,0)),"")</f>
        <v/>
      </c>
      <c r="E74" s="3">
        <f>IFERROR(INDEX('TECNICOS'!$C$4:$C$15,MATCH($C74,'TECNICOS'!$B$4:$B$15,0)),"")</f>
        <v/>
      </c>
      <c r="F74" s="6" t="inlineStr">
        <is>
          <t>T1</t>
        </is>
      </c>
      <c r="G74" s="3">
        <f>IFERROR(INDEX('TECNICOS'!$E$4:$E$15,MATCH($C74,'TECNICOS'!$B$4:$B$15,0)),"")</f>
        <v/>
      </c>
      <c r="H74" s="3">
        <f>IF(OR($F74="",ISNUMBER(MATCH($F74,lista_no_disponible,0))),0,p_horas_jornada)</f>
        <v/>
      </c>
      <c r="I74" s="3">
        <f>$A74&amp;"|"&amp;$B74&amp;"|"&amp;$C74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IFERROR(INDEX('TECNICOS'!$D$4:$D$15,MATCH($C75,'TECNICOS'!$B$4:$B$15,0)),"")</f>
        <v/>
      </c>
      <c r="E75" s="3">
        <f>IFERROR(INDEX('TECNICOS'!$C$4:$C$15,MATCH($C75,'TECNICOS'!$B$4:$B$15,0)),"")</f>
        <v/>
      </c>
      <c r="F75" s="6" t="inlineStr">
        <is>
          <t>T1</t>
        </is>
      </c>
      <c r="G75" s="3">
        <f>IFERROR(INDEX('TECNICOS'!$E$4:$E$15,MATCH($C75,'TECNICOS'!$B$4:$B$15,0)),"")</f>
        <v/>
      </c>
      <c r="H75" s="3">
        <f>IF(OR($F75="",ISNUMBER(MATCH($F75,lista_no_disponible,0))),0,p_horas_jornada)</f>
        <v/>
      </c>
      <c r="I75" s="3">
        <f>$A75&amp;"|"&amp;$B75&amp;"|"&amp;$C75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IFERROR(INDEX('TECNICOS'!$D$4:$D$15,MATCH($C76,'TECNICOS'!$B$4:$B$15,0)),"")</f>
        <v/>
      </c>
      <c r="E76" s="3">
        <f>IFERROR(INDEX('TECNICOS'!$C$4:$C$15,MATCH($C76,'TECNICOS'!$B$4:$B$15,0)),"")</f>
        <v/>
      </c>
      <c r="F76" s="6" t="inlineStr">
        <is>
          <t>T1</t>
        </is>
      </c>
      <c r="G76" s="3">
        <f>IFERROR(INDEX('TECNICOS'!$E$4:$E$15,MATCH($C76,'TECNICOS'!$B$4:$B$15,0)),"")</f>
        <v/>
      </c>
      <c r="H76" s="3">
        <f>IF(OR($F76="",ISNUMBER(MATCH($F76,lista_no_disponible,0))),0,p_horas_jornada)</f>
        <v/>
      </c>
      <c r="I76" s="3">
        <f>$A76&amp;"|"&amp;$B76&amp;"|"&amp;$C76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IFERROR(INDEX('TECNICOS'!$D$4:$D$15,MATCH($C77,'TECNICOS'!$B$4:$B$15,0)),"")</f>
        <v/>
      </c>
      <c r="E77" s="3">
        <f>IFERROR(INDEX('TECNICOS'!$C$4:$C$15,MATCH($C77,'TECNICOS'!$B$4:$B$15,0)),"")</f>
        <v/>
      </c>
      <c r="F77" s="6" t="inlineStr">
        <is>
          <t>T1</t>
        </is>
      </c>
      <c r="G77" s="3">
        <f>IFERROR(INDEX('TECNICOS'!$E$4:$E$15,MATCH($C77,'TECNICOS'!$B$4:$B$15,0)),"")</f>
        <v/>
      </c>
      <c r="H77" s="3">
        <f>IF(OR($F77="",ISNUMBER(MATCH($F77,lista_no_disponible,0))),0,p_horas_jornada)</f>
        <v/>
      </c>
      <c r="I77" s="3">
        <f>$A77&amp;"|"&amp;$B77&amp;"|"&amp;$C77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IFERROR(INDEX('TECNICOS'!$D$4:$D$15,MATCH($C78,'TECNICOS'!$B$4:$B$15,0)),"")</f>
        <v/>
      </c>
      <c r="E78" s="3">
        <f>IFERROR(INDEX('TECNICOS'!$C$4:$C$15,MATCH($C78,'TECNICOS'!$B$4:$B$15,0)),"")</f>
        <v/>
      </c>
      <c r="F78" s="6" t="inlineStr">
        <is>
          <t>T1</t>
        </is>
      </c>
      <c r="G78" s="3">
        <f>IFERROR(INDEX('TECNICOS'!$E$4:$E$15,MATCH($C78,'TECNICOS'!$B$4:$B$15,0)),"")</f>
        <v/>
      </c>
      <c r="H78" s="3">
        <f>IF(OR($F78="",ISNUMBER(MATCH($F78,lista_no_disponible,0))),0,p_horas_jornada)</f>
        <v/>
      </c>
      <c r="I78" s="3">
        <f>$A78&amp;"|"&amp;$B78&amp;"|"&amp;$C78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IFERROR(INDEX('TECNICOS'!$D$4:$D$15,MATCH($C79,'TECNICOS'!$B$4:$B$15,0)),"")</f>
        <v/>
      </c>
      <c r="E79" s="3">
        <f>IFERROR(INDEX('TECNICOS'!$C$4:$C$15,MATCH($C79,'TECNICOS'!$B$4:$B$15,0)),"")</f>
        <v/>
      </c>
      <c r="F79" s="6" t="inlineStr"/>
      <c r="G79" s="3">
        <f>IFERROR(INDEX('TECNICOS'!$E$4:$E$15,MATCH($C79,'TECNICOS'!$B$4:$B$15,0)),"")</f>
        <v/>
      </c>
      <c r="H79" s="3">
        <f>IF(OR($F79="",ISNUMBER(MATCH($F79,lista_no_disponible,0))),0,p_horas_jornada)</f>
        <v/>
      </c>
      <c r="I79" s="3">
        <f>$A79&amp;"|"&amp;$B79&amp;"|"&amp;$C79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IFERROR(INDEX('TECNICOS'!$D$4:$D$15,MATCH($C80,'TECNICOS'!$B$4:$B$15,0)),"")</f>
        <v/>
      </c>
      <c r="E80" s="3">
        <f>IFERROR(INDEX('TECNICOS'!$C$4:$C$15,MATCH($C80,'TECNICOS'!$B$4:$B$15,0)),"")</f>
        <v/>
      </c>
      <c r="F80" s="6" t="inlineStr"/>
      <c r="G80" s="3">
        <f>IFERROR(INDEX('TECNICOS'!$E$4:$E$15,MATCH($C80,'TECNICOS'!$B$4:$B$15,0)),"")</f>
        <v/>
      </c>
      <c r="H80" s="3">
        <f>IF(OR($F80="",ISNUMBER(MATCH($F80,lista_no_disponible,0))),0,p_horas_jornada)</f>
        <v/>
      </c>
      <c r="I80" s="3">
        <f>$A80&amp;"|"&amp;$B80&amp;"|"&amp;$C80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IFERROR(INDEX('TECNICOS'!$D$4:$D$15,MATCH($C81,'TECNICOS'!$B$4:$B$15,0)),"")</f>
        <v/>
      </c>
      <c r="E81" s="3">
        <f>IFERROR(INDEX('TECNICOS'!$C$4:$C$15,MATCH($C81,'TECNICOS'!$B$4:$B$15,0)),"")</f>
        <v/>
      </c>
      <c r="F81" s="6" t="inlineStr">
        <is>
          <t>T1</t>
        </is>
      </c>
      <c r="G81" s="3">
        <f>IFERROR(INDEX('TECNICOS'!$E$4:$E$15,MATCH($C81,'TECNICOS'!$B$4:$B$15,0)),"")</f>
        <v/>
      </c>
      <c r="H81" s="3">
        <f>IF(OR($F81="",ISNUMBER(MATCH($F81,lista_no_disponible,0))),0,p_horas_jornada)</f>
        <v/>
      </c>
      <c r="I81" s="3">
        <f>$A81&amp;"|"&amp;$B81&amp;"|"&amp;$C81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IFERROR(INDEX('TECNICOS'!$D$4:$D$15,MATCH($C82,'TECNICOS'!$B$4:$B$15,0)),"")</f>
        <v/>
      </c>
      <c r="E82" s="3">
        <f>IFERROR(INDEX('TECNICOS'!$C$4:$C$15,MATCH($C82,'TECNICOS'!$B$4:$B$15,0)),"")</f>
        <v/>
      </c>
      <c r="F82" s="6" t="inlineStr">
        <is>
          <t>T1</t>
        </is>
      </c>
      <c r="G82" s="3">
        <f>IFERROR(INDEX('TECNICOS'!$E$4:$E$15,MATCH($C82,'TECNICOS'!$B$4:$B$15,0)),"")</f>
        <v/>
      </c>
      <c r="H82" s="3">
        <f>IF(OR($F82="",ISNUMBER(MATCH($F82,lista_no_disponible,0))),0,p_horas_jornada)</f>
        <v/>
      </c>
      <c r="I82" s="3">
        <f>$A82&amp;"|"&amp;$B82&amp;"|"&amp;$C82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IFERROR(INDEX('TECNICOS'!$D$4:$D$15,MATCH($C83,'TECNICOS'!$B$4:$B$15,0)),"")</f>
        <v/>
      </c>
      <c r="E83" s="3">
        <f>IFERROR(INDEX('TECNICOS'!$C$4:$C$15,MATCH($C83,'TECNICOS'!$B$4:$B$15,0)),"")</f>
        <v/>
      </c>
      <c r="F83" s="6" t="inlineStr">
        <is>
          <t>T1</t>
        </is>
      </c>
      <c r="G83" s="3">
        <f>IFERROR(INDEX('TECNICOS'!$E$4:$E$15,MATCH($C83,'TECNICOS'!$B$4:$B$15,0)),"")</f>
        <v/>
      </c>
      <c r="H83" s="3">
        <f>IF(OR($F83="",ISNUMBER(MATCH($F83,lista_no_disponible,0))),0,p_horas_jornada)</f>
        <v/>
      </c>
      <c r="I83" s="3">
        <f>$A83&amp;"|"&amp;$B83&amp;"|"&amp;$C83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IFERROR(INDEX('TECNICOS'!$D$4:$D$15,MATCH($C84,'TECNICOS'!$B$4:$B$15,0)),"")</f>
        <v/>
      </c>
      <c r="E84" s="3">
        <f>IFERROR(INDEX('TECNICOS'!$C$4:$C$15,MATCH($C84,'TECNICOS'!$B$4:$B$15,0)),"")</f>
        <v/>
      </c>
      <c r="F84" s="6" t="inlineStr">
        <is>
          <t>T1</t>
        </is>
      </c>
      <c r="G84" s="3">
        <f>IFERROR(INDEX('TECNICOS'!$E$4:$E$15,MATCH($C84,'TECNICOS'!$B$4:$B$15,0)),"")</f>
        <v/>
      </c>
      <c r="H84" s="3">
        <f>IF(OR($F84="",ISNUMBER(MATCH($F84,lista_no_disponible,0))),0,p_horas_jornada)</f>
        <v/>
      </c>
      <c r="I84" s="3">
        <f>$A84&amp;"|"&amp;$B84&amp;"|"&amp;$C84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IFERROR(INDEX('TECNICOS'!$D$4:$D$15,MATCH($C85,'TECNICOS'!$B$4:$B$15,0)),"")</f>
        <v/>
      </c>
      <c r="E85" s="3">
        <f>IFERROR(INDEX('TECNICOS'!$C$4:$C$15,MATCH($C85,'TECNICOS'!$B$4:$B$15,0)),"")</f>
        <v/>
      </c>
      <c r="F85" s="6" t="inlineStr">
        <is>
          <t>T1</t>
        </is>
      </c>
      <c r="G85" s="3">
        <f>IFERROR(INDEX('TECNICOS'!$E$4:$E$15,MATCH($C85,'TECNICOS'!$B$4:$B$15,0)),"")</f>
        <v/>
      </c>
      <c r="H85" s="3">
        <f>IF(OR($F85="",ISNUMBER(MATCH($F85,lista_no_disponible,0))),0,p_horas_jornada)</f>
        <v/>
      </c>
      <c r="I85" s="3">
        <f>$A85&amp;"|"&amp;$B85&amp;"|"&amp;$C85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IFERROR(INDEX('TECNICOS'!$D$4:$D$15,MATCH($C86,'TECNICOS'!$B$4:$B$15,0)),"")</f>
        <v/>
      </c>
      <c r="E86" s="3">
        <f>IFERROR(INDEX('TECNICOS'!$C$4:$C$15,MATCH($C86,'TECNICOS'!$B$4:$B$15,0)),"")</f>
        <v/>
      </c>
      <c r="F86" s="6" t="inlineStr"/>
      <c r="G86" s="3">
        <f>IFERROR(INDEX('TECNICOS'!$E$4:$E$15,MATCH($C86,'TECNICOS'!$B$4:$B$15,0)),"")</f>
        <v/>
      </c>
      <c r="H86" s="3">
        <f>IF(OR($F86="",ISNUMBER(MATCH($F86,lista_no_disponible,0))),0,p_horas_jornada)</f>
        <v/>
      </c>
      <c r="I86" s="3">
        <f>$A86&amp;"|"&amp;$B86&amp;"|"&amp;$C86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IFERROR(INDEX('TECNICOS'!$D$4:$D$15,MATCH($C87,'TECNICOS'!$B$4:$B$15,0)),"")</f>
        <v/>
      </c>
      <c r="E87" s="3">
        <f>IFERROR(INDEX('TECNICOS'!$C$4:$C$15,MATCH($C87,'TECNICOS'!$B$4:$B$15,0)),"")</f>
        <v/>
      </c>
      <c r="F87" s="6" t="inlineStr"/>
      <c r="G87" s="3">
        <f>IFERROR(INDEX('TECNICOS'!$E$4:$E$15,MATCH($C87,'TECNICOS'!$B$4:$B$15,0)),"")</f>
        <v/>
      </c>
      <c r="H87" s="3">
        <f>IF(OR($F87="",ISNUMBER(MATCH($F87,lista_no_disponible,0))),0,p_horas_jornada)</f>
        <v/>
      </c>
      <c r="I87" s="3">
        <f>$A87&amp;"|"&amp;$B87&amp;"|"&amp;$C87</f>
        <v/>
      </c>
    </row>
    <row r="88">
      <c r="A88" s="3" t="inlineStr">
        <is>
          <t>2026-S30</t>
        </is>
      </c>
      <c r="B88" s="3" t="inlineStr">
        <is>
          <t>lunes</t>
        </is>
      </c>
      <c r="C88" s="3" t="inlineStr">
        <is>
          <t>Técnico 01</t>
        </is>
      </c>
      <c r="D88" s="3">
        <f>IFERROR(INDEX('TECNICOS'!$D$4:$D$15,MATCH($C88,'TECNICOS'!$B$4:$B$15,0)),"")</f>
        <v/>
      </c>
      <c r="E88" s="3">
        <f>IFERROR(INDEX('TECNICOS'!$C$4:$C$15,MATCH($C88,'TECNICOS'!$B$4:$B$15,0)),"")</f>
        <v/>
      </c>
      <c r="F88" s="6" t="inlineStr">
        <is>
          <t>T1</t>
        </is>
      </c>
      <c r="G88" s="3">
        <f>IFERROR(INDEX('TECNICOS'!$E$4:$E$15,MATCH($C88,'TECNICOS'!$B$4:$B$15,0)),"")</f>
        <v/>
      </c>
      <c r="H88" s="3">
        <f>IF(OR($F88="",ISNUMBER(MATCH($F88,lista_no_disponible,0))),0,p_horas_jornada)</f>
        <v/>
      </c>
      <c r="I88" s="3">
        <f>$A88&amp;"|"&amp;$B88&amp;"|"&amp;$C88</f>
        <v/>
      </c>
    </row>
    <row r="89">
      <c r="A89" s="3" t="inlineStr">
        <is>
          <t>2026-S30</t>
        </is>
      </c>
      <c r="B89" s="3" t="inlineStr">
        <is>
          <t>martes</t>
        </is>
      </c>
      <c r="C89" s="3" t="inlineStr">
        <is>
          <t>Técnico 01</t>
        </is>
      </c>
      <c r="D89" s="3">
        <f>IFERROR(INDEX('TECNICOS'!$D$4:$D$15,MATCH($C89,'TECNICOS'!$B$4:$B$15,0)),"")</f>
        <v/>
      </c>
      <c r="E89" s="3">
        <f>IFERROR(INDEX('TECNICOS'!$C$4:$C$15,MATCH($C89,'TECNICOS'!$B$4:$B$15,0)),"")</f>
        <v/>
      </c>
      <c r="F89" s="6" t="inlineStr">
        <is>
          <t>T1</t>
        </is>
      </c>
      <c r="G89" s="3">
        <f>IFERROR(INDEX('TECNICOS'!$E$4:$E$15,MATCH($C89,'TECNICOS'!$B$4:$B$15,0)),"")</f>
        <v/>
      </c>
      <c r="H89" s="3">
        <f>IF(OR($F89="",ISNUMBER(MATCH($F89,lista_no_disponible,0))),0,p_horas_jornada)</f>
        <v/>
      </c>
      <c r="I89" s="3">
        <f>$A89&amp;"|"&amp;$B89&amp;"|"&amp;$C89</f>
        <v/>
      </c>
    </row>
    <row r="90">
      <c r="A90" s="3" t="inlineStr">
        <is>
          <t>2026-S30</t>
        </is>
      </c>
      <c r="B90" s="3" t="inlineStr">
        <is>
          <t>miércoles</t>
        </is>
      </c>
      <c r="C90" s="3" t="inlineStr">
        <is>
          <t>Técnico 01</t>
        </is>
      </c>
      <c r="D90" s="3">
        <f>IFERROR(INDEX('TECNICOS'!$D$4:$D$15,MATCH($C90,'TECNICOS'!$B$4:$B$15,0)),"")</f>
        <v/>
      </c>
      <c r="E90" s="3">
        <f>IFERROR(INDEX('TECNICOS'!$C$4:$C$15,MATCH($C90,'TECNICOS'!$B$4:$B$15,0)),"")</f>
        <v/>
      </c>
      <c r="F90" s="6" t="inlineStr">
        <is>
          <t>T1</t>
        </is>
      </c>
      <c r="G90" s="3">
        <f>IFERROR(INDEX('TECNICOS'!$E$4:$E$15,MATCH($C90,'TECNICOS'!$B$4:$B$15,0)),"")</f>
        <v/>
      </c>
      <c r="H90" s="3">
        <f>IF(OR($F90="",ISNUMBER(MATCH($F90,lista_no_disponible,0))),0,p_horas_jornada)</f>
        <v/>
      </c>
      <c r="I90" s="3">
        <f>$A90&amp;"|"&amp;$B90&amp;"|"&amp;$C90</f>
        <v/>
      </c>
    </row>
    <row r="91">
      <c r="A91" s="3" t="inlineStr">
        <is>
          <t>2026-S30</t>
        </is>
      </c>
      <c r="B91" s="3" t="inlineStr">
        <is>
          <t>jueves</t>
        </is>
      </c>
      <c r="C91" s="3" t="inlineStr">
        <is>
          <t>Técnico 01</t>
        </is>
      </c>
      <c r="D91" s="3">
        <f>IFERROR(INDEX('TECNICOS'!$D$4:$D$15,MATCH($C91,'TECNICOS'!$B$4:$B$15,0)),"")</f>
        <v/>
      </c>
      <c r="E91" s="3">
        <f>IFERROR(INDEX('TECNICOS'!$C$4:$C$15,MATCH($C91,'TECNICOS'!$B$4:$B$15,0)),"")</f>
        <v/>
      </c>
      <c r="F91" s="6" t="inlineStr">
        <is>
          <t>T1</t>
        </is>
      </c>
      <c r="G91" s="3">
        <f>IFERROR(INDEX('TECNICOS'!$E$4:$E$15,MATCH($C91,'TECNICOS'!$B$4:$B$15,0)),"")</f>
        <v/>
      </c>
      <c r="H91" s="3">
        <f>IF(OR($F91="",ISNUMBER(MATCH($F91,lista_no_disponible,0))),0,p_horas_jornada)</f>
        <v/>
      </c>
      <c r="I91" s="3">
        <f>$A91&amp;"|"&amp;$B91&amp;"|"&amp;$C91</f>
        <v/>
      </c>
    </row>
    <row r="92">
      <c r="A92" s="3" t="inlineStr">
        <is>
          <t>2026-S30</t>
        </is>
      </c>
      <c r="B92" s="3" t="inlineStr">
        <is>
          <t>viernes</t>
        </is>
      </c>
      <c r="C92" s="3" t="inlineStr">
        <is>
          <t>Técnico 01</t>
        </is>
      </c>
      <c r="D92" s="3">
        <f>IFERROR(INDEX('TECNICOS'!$D$4:$D$15,MATCH($C92,'TECNICOS'!$B$4:$B$15,0)),"")</f>
        <v/>
      </c>
      <c r="E92" s="3">
        <f>IFERROR(INDEX('TECNICOS'!$C$4:$C$15,MATCH($C92,'TECNICOS'!$B$4:$B$15,0)),"")</f>
        <v/>
      </c>
      <c r="F92" s="6" t="inlineStr">
        <is>
          <t>T1</t>
        </is>
      </c>
      <c r="G92" s="3">
        <f>IFERROR(INDEX('TECNICOS'!$E$4:$E$15,MATCH($C92,'TECNICOS'!$B$4:$B$15,0)),"")</f>
        <v/>
      </c>
      <c r="H92" s="3">
        <f>IF(OR($F92="",ISNUMBER(MATCH($F92,lista_no_disponible,0))),0,p_horas_jornada)</f>
        <v/>
      </c>
      <c r="I92" s="3">
        <f>$A92&amp;"|"&amp;$B92&amp;"|"&amp;$C92</f>
        <v/>
      </c>
    </row>
    <row r="93">
      <c r="A93" s="3" t="inlineStr">
        <is>
          <t>2026-S30</t>
        </is>
      </c>
      <c r="B93" s="3" t="inlineStr">
        <is>
          <t>sábado</t>
        </is>
      </c>
      <c r="C93" s="3" t="inlineStr">
        <is>
          <t>Técnico 01</t>
        </is>
      </c>
      <c r="D93" s="3">
        <f>IFERROR(INDEX('TECNICOS'!$D$4:$D$15,MATCH($C93,'TECNICOS'!$B$4:$B$15,0)),"")</f>
        <v/>
      </c>
      <c r="E93" s="3">
        <f>IFERROR(INDEX('TECNICOS'!$C$4:$C$15,MATCH($C93,'TECNICOS'!$B$4:$B$15,0)),"")</f>
        <v/>
      </c>
      <c r="F93" s="6" t="inlineStr"/>
      <c r="G93" s="3">
        <f>IFERROR(INDEX('TECNICOS'!$E$4:$E$15,MATCH($C93,'TECNICOS'!$B$4:$B$15,0)),"")</f>
        <v/>
      </c>
      <c r="H93" s="3">
        <f>IF(OR($F93="",ISNUMBER(MATCH($F93,lista_no_disponible,0))),0,p_horas_jornada)</f>
        <v/>
      </c>
      <c r="I93" s="3">
        <f>$A93&amp;"|"&amp;$B93&amp;"|"&amp;$C93</f>
        <v/>
      </c>
    </row>
    <row r="94">
      <c r="A94" s="3" t="inlineStr">
        <is>
          <t>2026-S30</t>
        </is>
      </c>
      <c r="B94" s="3" t="inlineStr">
        <is>
          <t>domingo</t>
        </is>
      </c>
      <c r="C94" s="3" t="inlineStr">
        <is>
          <t>Técnico 01</t>
        </is>
      </c>
      <c r="D94" s="3">
        <f>IFERROR(INDEX('TECNICOS'!$D$4:$D$15,MATCH($C94,'TECNICOS'!$B$4:$B$15,0)),"")</f>
        <v/>
      </c>
      <c r="E94" s="3">
        <f>IFERROR(INDEX('TECNICOS'!$C$4:$C$15,MATCH($C94,'TECNICOS'!$B$4:$B$15,0)),"")</f>
        <v/>
      </c>
      <c r="F94" s="6" t="inlineStr"/>
      <c r="G94" s="3">
        <f>IFERROR(INDEX('TECNICOS'!$E$4:$E$15,MATCH($C94,'TECNICOS'!$B$4:$B$15,0)),"")</f>
        <v/>
      </c>
      <c r="H94" s="3">
        <f>IF(OR($F94="",ISNUMBER(MATCH($F94,lista_no_disponible,0))),0,p_horas_jornada)</f>
        <v/>
      </c>
      <c r="I94" s="3">
        <f>$A94&amp;"|"&amp;$B94&amp;"|"&amp;$C94</f>
        <v/>
      </c>
    </row>
    <row r="95">
      <c r="A95" s="3" t="inlineStr">
        <is>
          <t>2026-S30</t>
        </is>
      </c>
      <c r="B95" s="3" t="inlineStr">
        <is>
          <t>lunes</t>
        </is>
      </c>
      <c r="C95" s="3" t="inlineStr">
        <is>
          <t>Técnico 02</t>
        </is>
      </c>
      <c r="D95" s="3">
        <f>IFERROR(INDEX('TECNICOS'!$D$4:$D$15,MATCH($C95,'TECNICOS'!$B$4:$B$15,0)),"")</f>
        <v/>
      </c>
      <c r="E95" s="3">
        <f>IFERROR(INDEX('TECNICOS'!$C$4:$C$15,MATCH($C95,'TECNICOS'!$B$4:$B$15,0)),"")</f>
        <v/>
      </c>
      <c r="F95" s="6" t="inlineStr">
        <is>
          <t>T2</t>
        </is>
      </c>
      <c r="G95" s="3">
        <f>IFERROR(INDEX('TECNICOS'!$E$4:$E$15,MATCH($C95,'TECNICOS'!$B$4:$B$15,0)),"")</f>
        <v/>
      </c>
      <c r="H95" s="3">
        <f>IF(OR($F95="",ISNUMBER(MATCH($F95,lista_no_disponible,0))),0,p_horas_jornada)</f>
        <v/>
      </c>
      <c r="I95" s="3">
        <f>$A95&amp;"|"&amp;$B95&amp;"|"&amp;$C95</f>
        <v/>
      </c>
    </row>
    <row r="96">
      <c r="A96" s="3" t="inlineStr">
        <is>
          <t>2026-S30</t>
        </is>
      </c>
      <c r="B96" s="3" t="inlineStr">
        <is>
          <t>martes</t>
        </is>
      </c>
      <c r="C96" s="3" t="inlineStr">
        <is>
          <t>Técnico 02</t>
        </is>
      </c>
      <c r="D96" s="3">
        <f>IFERROR(INDEX('TECNICOS'!$D$4:$D$15,MATCH($C96,'TECNICOS'!$B$4:$B$15,0)),"")</f>
        <v/>
      </c>
      <c r="E96" s="3">
        <f>IFERROR(INDEX('TECNICOS'!$C$4:$C$15,MATCH($C96,'TECNICOS'!$B$4:$B$15,0)),"")</f>
        <v/>
      </c>
      <c r="F96" s="6" t="inlineStr">
        <is>
          <t>T2</t>
        </is>
      </c>
      <c r="G96" s="3">
        <f>IFERROR(INDEX('TECNICOS'!$E$4:$E$15,MATCH($C96,'TECNICOS'!$B$4:$B$15,0)),"")</f>
        <v/>
      </c>
      <c r="H96" s="3">
        <f>IF(OR($F96="",ISNUMBER(MATCH($F96,lista_no_disponible,0))),0,p_horas_jornada)</f>
        <v/>
      </c>
      <c r="I96" s="3">
        <f>$A96&amp;"|"&amp;$B96&amp;"|"&amp;$C96</f>
        <v/>
      </c>
    </row>
    <row r="97">
      <c r="A97" s="3" t="inlineStr">
        <is>
          <t>2026-S30</t>
        </is>
      </c>
      <c r="B97" s="3" t="inlineStr">
        <is>
          <t>miércoles</t>
        </is>
      </c>
      <c r="C97" s="3" t="inlineStr">
        <is>
          <t>Técnico 02</t>
        </is>
      </c>
      <c r="D97" s="3">
        <f>IFERROR(INDEX('TECNICOS'!$D$4:$D$15,MATCH($C97,'TECNICOS'!$B$4:$B$15,0)),"")</f>
        <v/>
      </c>
      <c r="E97" s="3">
        <f>IFERROR(INDEX('TECNICOS'!$C$4:$C$15,MATCH($C97,'TECNICOS'!$B$4:$B$15,0)),"")</f>
        <v/>
      </c>
      <c r="F97" s="6" t="inlineStr">
        <is>
          <t>T2</t>
        </is>
      </c>
      <c r="G97" s="3">
        <f>IFERROR(INDEX('TECNICOS'!$E$4:$E$15,MATCH($C97,'TECNICOS'!$B$4:$B$15,0)),"")</f>
        <v/>
      </c>
      <c r="H97" s="3">
        <f>IF(OR($F97="",ISNUMBER(MATCH($F97,lista_no_disponible,0))),0,p_horas_jornada)</f>
        <v/>
      </c>
      <c r="I97" s="3">
        <f>$A97&amp;"|"&amp;$B97&amp;"|"&amp;$C97</f>
        <v/>
      </c>
    </row>
    <row r="98">
      <c r="A98" s="3" t="inlineStr">
        <is>
          <t>2026-S30</t>
        </is>
      </c>
      <c r="B98" s="3" t="inlineStr">
        <is>
          <t>jueves</t>
        </is>
      </c>
      <c r="C98" s="3" t="inlineStr">
        <is>
          <t>Técnico 02</t>
        </is>
      </c>
      <c r="D98" s="3">
        <f>IFERROR(INDEX('TECNICOS'!$D$4:$D$15,MATCH($C98,'TECNICOS'!$B$4:$B$15,0)),"")</f>
        <v/>
      </c>
      <c r="E98" s="3">
        <f>IFERROR(INDEX('TECNICOS'!$C$4:$C$15,MATCH($C98,'TECNICOS'!$B$4:$B$15,0)),"")</f>
        <v/>
      </c>
      <c r="F98" s="6" t="inlineStr">
        <is>
          <t>T2</t>
        </is>
      </c>
      <c r="G98" s="3">
        <f>IFERROR(INDEX('TECNICOS'!$E$4:$E$15,MATCH($C98,'TECNICOS'!$B$4:$B$15,0)),"")</f>
        <v/>
      </c>
      <c r="H98" s="3">
        <f>IF(OR($F98="",ISNUMBER(MATCH($F98,lista_no_disponible,0))),0,p_horas_jornada)</f>
        <v/>
      </c>
      <c r="I98" s="3">
        <f>$A98&amp;"|"&amp;$B98&amp;"|"&amp;$C98</f>
        <v/>
      </c>
    </row>
    <row r="99">
      <c r="A99" s="3" t="inlineStr">
        <is>
          <t>2026-S30</t>
        </is>
      </c>
      <c r="B99" s="3" t="inlineStr">
        <is>
          <t>viernes</t>
        </is>
      </c>
      <c r="C99" s="3" t="inlineStr">
        <is>
          <t>Técnico 02</t>
        </is>
      </c>
      <c r="D99" s="3">
        <f>IFERROR(INDEX('TECNICOS'!$D$4:$D$15,MATCH($C99,'TECNICOS'!$B$4:$B$15,0)),"")</f>
        <v/>
      </c>
      <c r="E99" s="3">
        <f>IFERROR(INDEX('TECNICOS'!$C$4:$C$15,MATCH($C99,'TECNICOS'!$B$4:$B$15,0)),"")</f>
        <v/>
      </c>
      <c r="F99" s="6" t="inlineStr">
        <is>
          <t>T2</t>
        </is>
      </c>
      <c r="G99" s="3">
        <f>IFERROR(INDEX('TECNICOS'!$E$4:$E$15,MATCH($C99,'TECNICOS'!$B$4:$B$15,0)),"")</f>
        <v/>
      </c>
      <c r="H99" s="3">
        <f>IF(OR($F99="",ISNUMBER(MATCH($F99,lista_no_disponible,0))),0,p_horas_jornada)</f>
        <v/>
      </c>
      <c r="I99" s="3">
        <f>$A99&amp;"|"&amp;$B99&amp;"|"&amp;$C99</f>
        <v/>
      </c>
    </row>
    <row r="100">
      <c r="A100" s="3" t="inlineStr">
        <is>
          <t>2026-S30</t>
        </is>
      </c>
      <c r="B100" s="3" t="inlineStr">
        <is>
          <t>sábado</t>
        </is>
      </c>
      <c r="C100" s="3" t="inlineStr">
        <is>
          <t>Técnico 02</t>
        </is>
      </c>
      <c r="D100" s="3">
        <f>IFERROR(INDEX('TECNICOS'!$D$4:$D$15,MATCH($C100,'TECNICOS'!$B$4:$B$15,0)),"")</f>
        <v/>
      </c>
      <c r="E100" s="3">
        <f>IFERROR(INDEX('TECNICOS'!$C$4:$C$15,MATCH($C100,'TECNICOS'!$B$4:$B$15,0)),"")</f>
        <v/>
      </c>
      <c r="F100" s="6" t="inlineStr"/>
      <c r="G100" s="3">
        <f>IFERROR(INDEX('TECNICOS'!$E$4:$E$15,MATCH($C100,'TECNICOS'!$B$4:$B$15,0)),"")</f>
        <v/>
      </c>
      <c r="H100" s="3">
        <f>IF(OR($F100="",ISNUMBER(MATCH($F100,lista_no_disponible,0))),0,p_horas_jornada)</f>
        <v/>
      </c>
      <c r="I100" s="3">
        <f>$A100&amp;"|"&amp;$B100&amp;"|"&amp;$C100</f>
        <v/>
      </c>
    </row>
    <row r="101">
      <c r="A101" s="3" t="inlineStr">
        <is>
          <t>2026-S30</t>
        </is>
      </c>
      <c r="B101" s="3" t="inlineStr">
        <is>
          <t>domingo</t>
        </is>
      </c>
      <c r="C101" s="3" t="inlineStr">
        <is>
          <t>Técnico 02</t>
        </is>
      </c>
      <c r="D101" s="3">
        <f>IFERROR(INDEX('TECNICOS'!$D$4:$D$15,MATCH($C101,'TECNICOS'!$B$4:$B$15,0)),"")</f>
        <v/>
      </c>
      <c r="E101" s="3">
        <f>IFERROR(INDEX('TECNICOS'!$C$4:$C$15,MATCH($C101,'TECNICOS'!$B$4:$B$15,0)),"")</f>
        <v/>
      </c>
      <c r="F101" s="6" t="inlineStr"/>
      <c r="G101" s="3">
        <f>IFERROR(INDEX('TECNICOS'!$E$4:$E$15,MATCH($C101,'TECNICOS'!$B$4:$B$15,0)),"")</f>
        <v/>
      </c>
      <c r="H101" s="3">
        <f>IF(OR($F101="",ISNUMBER(MATCH($F101,lista_no_disponible,0))),0,p_horas_jornada)</f>
        <v/>
      </c>
      <c r="I101" s="3">
        <f>$A101&amp;"|"&amp;$B101&amp;"|"&amp;$C101</f>
        <v/>
      </c>
    </row>
    <row r="102">
      <c r="A102" s="3" t="inlineStr">
        <is>
          <t>2026-S30</t>
        </is>
      </c>
      <c r="B102" s="3" t="inlineStr">
        <is>
          <t>lunes</t>
        </is>
      </c>
      <c r="C102" s="3" t="inlineStr">
        <is>
          <t>Técnico 03</t>
        </is>
      </c>
      <c r="D102" s="3">
        <f>IFERROR(INDEX('TECNICOS'!$D$4:$D$15,MATCH($C102,'TECNICOS'!$B$4:$B$15,0)),"")</f>
        <v/>
      </c>
      <c r="E102" s="3">
        <f>IFERROR(INDEX('TECNICOS'!$C$4:$C$15,MATCH($C102,'TECNICOS'!$B$4:$B$15,0)),"")</f>
        <v/>
      </c>
      <c r="F102" s="6" t="inlineStr">
        <is>
          <t>T1</t>
        </is>
      </c>
      <c r="G102" s="3">
        <f>IFERROR(INDEX('TECNICOS'!$E$4:$E$15,MATCH($C102,'TECNICOS'!$B$4:$B$15,0)),"")</f>
        <v/>
      </c>
      <c r="H102" s="3">
        <f>IF(OR($F102="",ISNUMBER(MATCH($F102,lista_no_disponible,0))),0,p_horas_jornada)</f>
        <v/>
      </c>
      <c r="I102" s="3">
        <f>$A102&amp;"|"&amp;$B102&amp;"|"&amp;$C102</f>
        <v/>
      </c>
    </row>
    <row r="103">
      <c r="A103" s="3" t="inlineStr">
        <is>
          <t>2026-S30</t>
        </is>
      </c>
      <c r="B103" s="3" t="inlineStr">
        <is>
          <t>martes</t>
        </is>
      </c>
      <c r="C103" s="3" t="inlineStr">
        <is>
          <t>Técnico 03</t>
        </is>
      </c>
      <c r="D103" s="3">
        <f>IFERROR(INDEX('TECNICOS'!$D$4:$D$15,MATCH($C103,'TECNICOS'!$B$4:$B$15,0)),"")</f>
        <v/>
      </c>
      <c r="E103" s="3">
        <f>IFERROR(INDEX('TECNICOS'!$C$4:$C$15,MATCH($C103,'TECNICOS'!$B$4:$B$15,0)),"")</f>
        <v/>
      </c>
      <c r="F103" s="6" t="inlineStr">
        <is>
          <t>T1</t>
        </is>
      </c>
      <c r="G103" s="3">
        <f>IFERROR(INDEX('TECNICOS'!$E$4:$E$15,MATCH($C103,'TECNICOS'!$B$4:$B$15,0)),"")</f>
        <v/>
      </c>
      <c r="H103" s="3">
        <f>IF(OR($F103="",ISNUMBER(MATCH($F103,lista_no_disponible,0))),0,p_horas_jornada)</f>
        <v/>
      </c>
      <c r="I103" s="3">
        <f>$A103&amp;"|"&amp;$B103&amp;"|"&amp;$C103</f>
        <v/>
      </c>
    </row>
    <row r="104">
      <c r="A104" s="3" t="inlineStr">
        <is>
          <t>2026-S30</t>
        </is>
      </c>
      <c r="B104" s="3" t="inlineStr">
        <is>
          <t>miércoles</t>
        </is>
      </c>
      <c r="C104" s="3" t="inlineStr">
        <is>
          <t>Técnico 03</t>
        </is>
      </c>
      <c r="D104" s="3">
        <f>IFERROR(INDEX('TECNICOS'!$D$4:$D$15,MATCH($C104,'TECNICOS'!$B$4:$B$15,0)),"")</f>
        <v/>
      </c>
      <c r="E104" s="3">
        <f>IFERROR(INDEX('TECNICOS'!$C$4:$C$15,MATCH($C104,'TECNICOS'!$B$4:$B$15,0)),"")</f>
        <v/>
      </c>
      <c r="F104" s="6" t="inlineStr">
        <is>
          <t>T1</t>
        </is>
      </c>
      <c r="G104" s="3">
        <f>IFERROR(INDEX('TECNICOS'!$E$4:$E$15,MATCH($C104,'TECNICOS'!$B$4:$B$15,0)),"")</f>
        <v/>
      </c>
      <c r="H104" s="3">
        <f>IF(OR($F104="",ISNUMBER(MATCH($F104,lista_no_disponible,0))),0,p_horas_jornada)</f>
        <v/>
      </c>
      <c r="I104" s="3">
        <f>$A104&amp;"|"&amp;$B104&amp;"|"&amp;$C104</f>
        <v/>
      </c>
    </row>
    <row r="105">
      <c r="A105" s="3" t="inlineStr">
        <is>
          <t>2026-S30</t>
        </is>
      </c>
      <c r="B105" s="3" t="inlineStr">
        <is>
          <t>jueves</t>
        </is>
      </c>
      <c r="C105" s="3" t="inlineStr">
        <is>
          <t>Técnico 03</t>
        </is>
      </c>
      <c r="D105" s="3">
        <f>IFERROR(INDEX('TECNICOS'!$D$4:$D$15,MATCH($C105,'TECNICOS'!$B$4:$B$15,0)),"")</f>
        <v/>
      </c>
      <c r="E105" s="3">
        <f>IFERROR(INDEX('TECNICOS'!$C$4:$C$15,MATCH($C105,'TECNICOS'!$B$4:$B$15,0)),"")</f>
        <v/>
      </c>
      <c r="F105" s="6" t="inlineStr">
        <is>
          <t>T1</t>
        </is>
      </c>
      <c r="G105" s="3">
        <f>IFERROR(INDEX('TECNICOS'!$E$4:$E$15,MATCH($C105,'TECNICOS'!$B$4:$B$15,0)),"")</f>
        <v/>
      </c>
      <c r="H105" s="3">
        <f>IF(OR($F105="",ISNUMBER(MATCH($F105,lista_no_disponible,0))),0,p_horas_jornada)</f>
        <v/>
      </c>
      <c r="I105" s="3">
        <f>$A105&amp;"|"&amp;$B105&amp;"|"&amp;$C105</f>
        <v/>
      </c>
    </row>
    <row r="106">
      <c r="A106" s="3" t="inlineStr">
        <is>
          <t>2026-S30</t>
        </is>
      </c>
      <c r="B106" s="3" t="inlineStr">
        <is>
          <t>viernes</t>
        </is>
      </c>
      <c r="C106" s="3" t="inlineStr">
        <is>
          <t>Técnico 03</t>
        </is>
      </c>
      <c r="D106" s="3">
        <f>IFERROR(INDEX('TECNICOS'!$D$4:$D$15,MATCH($C106,'TECNICOS'!$B$4:$B$15,0)),"")</f>
        <v/>
      </c>
      <c r="E106" s="3">
        <f>IFERROR(INDEX('TECNICOS'!$C$4:$C$15,MATCH($C106,'TECNICOS'!$B$4:$B$15,0)),"")</f>
        <v/>
      </c>
      <c r="F106" s="6" t="inlineStr">
        <is>
          <t>T1</t>
        </is>
      </c>
      <c r="G106" s="3">
        <f>IFERROR(INDEX('TECNICOS'!$E$4:$E$15,MATCH($C106,'TECNICOS'!$B$4:$B$15,0)),"")</f>
        <v/>
      </c>
      <c r="H106" s="3">
        <f>IF(OR($F106="",ISNUMBER(MATCH($F106,lista_no_disponible,0))),0,p_horas_jornada)</f>
        <v/>
      </c>
      <c r="I106" s="3">
        <f>$A106&amp;"|"&amp;$B106&amp;"|"&amp;$C106</f>
        <v/>
      </c>
    </row>
    <row r="107">
      <c r="A107" s="3" t="inlineStr">
        <is>
          <t>2026-S30</t>
        </is>
      </c>
      <c r="B107" s="3" t="inlineStr">
        <is>
          <t>sábado</t>
        </is>
      </c>
      <c r="C107" s="3" t="inlineStr">
        <is>
          <t>Técnico 03</t>
        </is>
      </c>
      <c r="D107" s="3">
        <f>IFERROR(INDEX('TECNICOS'!$D$4:$D$15,MATCH($C107,'TECNICOS'!$B$4:$B$15,0)),"")</f>
        <v/>
      </c>
      <c r="E107" s="3">
        <f>IFERROR(INDEX('TECNICOS'!$C$4:$C$15,MATCH($C107,'TECNICOS'!$B$4:$B$15,0)),"")</f>
        <v/>
      </c>
      <c r="F107" s="6" t="inlineStr"/>
      <c r="G107" s="3">
        <f>IFERROR(INDEX('TECNICOS'!$E$4:$E$15,MATCH($C107,'TECNICOS'!$B$4:$B$15,0)),"")</f>
        <v/>
      </c>
      <c r="H107" s="3">
        <f>IF(OR($F107="",ISNUMBER(MATCH($F107,lista_no_disponible,0))),0,p_horas_jornada)</f>
        <v/>
      </c>
      <c r="I107" s="3">
        <f>$A107&amp;"|"&amp;$B107&amp;"|"&amp;$C107</f>
        <v/>
      </c>
    </row>
    <row r="108">
      <c r="A108" s="3" t="inlineStr">
        <is>
          <t>2026-S30</t>
        </is>
      </c>
      <c r="B108" s="3" t="inlineStr">
        <is>
          <t>domingo</t>
        </is>
      </c>
      <c r="C108" s="3" t="inlineStr">
        <is>
          <t>Técnico 03</t>
        </is>
      </c>
      <c r="D108" s="3">
        <f>IFERROR(INDEX('TECNICOS'!$D$4:$D$15,MATCH($C108,'TECNICOS'!$B$4:$B$15,0)),"")</f>
        <v/>
      </c>
      <c r="E108" s="3">
        <f>IFERROR(INDEX('TECNICOS'!$C$4:$C$15,MATCH($C108,'TECNICOS'!$B$4:$B$15,0)),"")</f>
        <v/>
      </c>
      <c r="F108" s="6" t="inlineStr"/>
      <c r="G108" s="3">
        <f>IFERROR(INDEX('TECNICOS'!$E$4:$E$15,MATCH($C108,'TECNICOS'!$B$4:$B$15,0)),"")</f>
        <v/>
      </c>
      <c r="H108" s="3">
        <f>IF(OR($F108="",ISNUMBER(MATCH($F108,lista_no_disponible,0))),0,p_horas_jornada)</f>
        <v/>
      </c>
      <c r="I108" s="3">
        <f>$A108&amp;"|"&amp;$B108&amp;"|"&amp;$C108</f>
        <v/>
      </c>
    </row>
    <row r="109">
      <c r="A109" s="3" t="inlineStr">
        <is>
          <t>2026-S30</t>
        </is>
      </c>
      <c r="B109" s="3" t="inlineStr">
        <is>
          <t>lunes</t>
        </is>
      </c>
      <c r="C109" s="3" t="inlineStr">
        <is>
          <t>Técnico 04</t>
        </is>
      </c>
      <c r="D109" s="3">
        <f>IFERROR(INDEX('TECNICOS'!$D$4:$D$15,MATCH($C109,'TECNICOS'!$B$4:$B$15,0)),"")</f>
        <v/>
      </c>
      <c r="E109" s="3">
        <f>IFERROR(INDEX('TECNICOS'!$C$4:$C$15,MATCH($C109,'TECNICOS'!$B$4:$B$15,0)),"")</f>
        <v/>
      </c>
      <c r="F109" s="6" t="inlineStr">
        <is>
          <t>T1</t>
        </is>
      </c>
      <c r="G109" s="3">
        <f>IFERROR(INDEX('TECNICOS'!$E$4:$E$15,MATCH($C109,'TECNICOS'!$B$4:$B$15,0)),"")</f>
        <v/>
      </c>
      <c r="H109" s="3">
        <f>IF(OR($F109="",ISNUMBER(MATCH($F109,lista_no_disponible,0))),0,p_horas_jornada)</f>
        <v/>
      </c>
      <c r="I109" s="3">
        <f>$A109&amp;"|"&amp;$B109&amp;"|"&amp;$C109</f>
        <v/>
      </c>
    </row>
    <row r="110">
      <c r="A110" s="3" t="inlineStr">
        <is>
          <t>2026-S30</t>
        </is>
      </c>
      <c r="B110" s="3" t="inlineStr">
        <is>
          <t>martes</t>
        </is>
      </c>
      <c r="C110" s="3" t="inlineStr">
        <is>
          <t>Técnico 04</t>
        </is>
      </c>
      <c r="D110" s="3">
        <f>IFERROR(INDEX('TECNICOS'!$D$4:$D$15,MATCH($C110,'TECNICOS'!$B$4:$B$15,0)),"")</f>
        <v/>
      </c>
      <c r="E110" s="3">
        <f>IFERROR(INDEX('TECNICOS'!$C$4:$C$15,MATCH($C110,'TECNICOS'!$B$4:$B$15,0)),"")</f>
        <v/>
      </c>
      <c r="F110" s="6" t="inlineStr">
        <is>
          <t>T1</t>
        </is>
      </c>
      <c r="G110" s="3">
        <f>IFERROR(INDEX('TECNICOS'!$E$4:$E$15,MATCH($C110,'TECNICOS'!$B$4:$B$15,0)),"")</f>
        <v/>
      </c>
      <c r="H110" s="3">
        <f>IF(OR($F110="",ISNUMBER(MATCH($F110,lista_no_disponible,0))),0,p_horas_jornada)</f>
        <v/>
      </c>
      <c r="I110" s="3">
        <f>$A110&amp;"|"&amp;$B110&amp;"|"&amp;$C110</f>
        <v/>
      </c>
    </row>
    <row r="111">
      <c r="A111" s="3" t="inlineStr">
        <is>
          <t>2026-S30</t>
        </is>
      </c>
      <c r="B111" s="3" t="inlineStr">
        <is>
          <t>miércoles</t>
        </is>
      </c>
      <c r="C111" s="3" t="inlineStr">
        <is>
          <t>Técnico 04</t>
        </is>
      </c>
      <c r="D111" s="3">
        <f>IFERROR(INDEX('TECNICOS'!$D$4:$D$15,MATCH($C111,'TECNICOS'!$B$4:$B$15,0)),"")</f>
        <v/>
      </c>
      <c r="E111" s="3">
        <f>IFERROR(INDEX('TECNICOS'!$C$4:$C$15,MATCH($C111,'TECNICOS'!$B$4:$B$15,0)),"")</f>
        <v/>
      </c>
      <c r="F111" s="6" t="inlineStr">
        <is>
          <t>T1</t>
        </is>
      </c>
      <c r="G111" s="3">
        <f>IFERROR(INDEX('TECNICOS'!$E$4:$E$15,MATCH($C111,'TECNICOS'!$B$4:$B$15,0)),"")</f>
        <v/>
      </c>
      <c r="H111" s="3">
        <f>IF(OR($F111="",ISNUMBER(MATCH($F111,lista_no_disponible,0))),0,p_horas_jornada)</f>
        <v/>
      </c>
      <c r="I111" s="3">
        <f>$A111&amp;"|"&amp;$B111&amp;"|"&amp;$C111</f>
        <v/>
      </c>
    </row>
    <row r="112">
      <c r="A112" s="3" t="inlineStr">
        <is>
          <t>2026-S30</t>
        </is>
      </c>
      <c r="B112" s="3" t="inlineStr">
        <is>
          <t>jueves</t>
        </is>
      </c>
      <c r="C112" s="3" t="inlineStr">
        <is>
          <t>Técnico 04</t>
        </is>
      </c>
      <c r="D112" s="3">
        <f>IFERROR(INDEX('TECNICOS'!$D$4:$D$15,MATCH($C112,'TECNICOS'!$B$4:$B$15,0)),"")</f>
        <v/>
      </c>
      <c r="E112" s="3">
        <f>IFERROR(INDEX('TECNICOS'!$C$4:$C$15,MATCH($C112,'TECNICOS'!$B$4:$B$15,0)),"")</f>
        <v/>
      </c>
      <c r="F112" s="6" t="inlineStr">
        <is>
          <t>T1</t>
        </is>
      </c>
      <c r="G112" s="3">
        <f>IFERROR(INDEX('TECNICOS'!$E$4:$E$15,MATCH($C112,'TECNICOS'!$B$4:$B$15,0)),"")</f>
        <v/>
      </c>
      <c r="H112" s="3">
        <f>IF(OR($F112="",ISNUMBER(MATCH($F112,lista_no_disponible,0))),0,p_horas_jornada)</f>
        <v/>
      </c>
      <c r="I112" s="3">
        <f>$A112&amp;"|"&amp;$B112&amp;"|"&amp;$C112</f>
        <v/>
      </c>
    </row>
    <row r="113">
      <c r="A113" s="3" t="inlineStr">
        <is>
          <t>2026-S30</t>
        </is>
      </c>
      <c r="B113" s="3" t="inlineStr">
        <is>
          <t>viernes</t>
        </is>
      </c>
      <c r="C113" s="3" t="inlineStr">
        <is>
          <t>Técnico 04</t>
        </is>
      </c>
      <c r="D113" s="3">
        <f>IFERROR(INDEX('TECNICOS'!$D$4:$D$15,MATCH($C113,'TECNICOS'!$B$4:$B$15,0)),"")</f>
        <v/>
      </c>
      <c r="E113" s="3">
        <f>IFERROR(INDEX('TECNICOS'!$C$4:$C$15,MATCH($C113,'TECNICOS'!$B$4:$B$15,0)),"")</f>
        <v/>
      </c>
      <c r="F113" s="6" t="inlineStr">
        <is>
          <t>T1</t>
        </is>
      </c>
      <c r="G113" s="3">
        <f>IFERROR(INDEX('TECNICOS'!$E$4:$E$15,MATCH($C113,'TECNICOS'!$B$4:$B$15,0)),"")</f>
        <v/>
      </c>
      <c r="H113" s="3">
        <f>IF(OR($F113="",ISNUMBER(MATCH($F113,lista_no_disponible,0))),0,p_horas_jornada)</f>
        <v/>
      </c>
      <c r="I113" s="3">
        <f>$A113&amp;"|"&amp;$B113&amp;"|"&amp;$C113</f>
        <v/>
      </c>
    </row>
    <row r="114">
      <c r="A114" s="3" t="inlineStr">
        <is>
          <t>2026-S30</t>
        </is>
      </c>
      <c r="B114" s="3" t="inlineStr">
        <is>
          <t>sábado</t>
        </is>
      </c>
      <c r="C114" s="3" t="inlineStr">
        <is>
          <t>Técnico 04</t>
        </is>
      </c>
      <c r="D114" s="3">
        <f>IFERROR(INDEX('TECNICOS'!$D$4:$D$15,MATCH($C114,'TECNICOS'!$B$4:$B$15,0)),"")</f>
        <v/>
      </c>
      <c r="E114" s="3">
        <f>IFERROR(INDEX('TECNICOS'!$C$4:$C$15,MATCH($C114,'TECNICOS'!$B$4:$B$15,0)),"")</f>
        <v/>
      </c>
      <c r="F114" s="6" t="inlineStr"/>
      <c r="G114" s="3">
        <f>IFERROR(INDEX('TECNICOS'!$E$4:$E$15,MATCH($C114,'TECNICOS'!$B$4:$B$15,0)),"")</f>
        <v/>
      </c>
      <c r="H114" s="3">
        <f>IF(OR($F114="",ISNUMBER(MATCH($F114,lista_no_disponible,0))),0,p_horas_jornada)</f>
        <v/>
      </c>
      <c r="I114" s="3">
        <f>$A114&amp;"|"&amp;$B114&amp;"|"&amp;$C114</f>
        <v/>
      </c>
    </row>
    <row r="115">
      <c r="A115" s="3" t="inlineStr">
        <is>
          <t>2026-S30</t>
        </is>
      </c>
      <c r="B115" s="3" t="inlineStr">
        <is>
          <t>domingo</t>
        </is>
      </c>
      <c r="C115" s="3" t="inlineStr">
        <is>
          <t>Técnico 04</t>
        </is>
      </c>
      <c r="D115" s="3">
        <f>IFERROR(INDEX('TECNICOS'!$D$4:$D$15,MATCH($C115,'TECNICOS'!$B$4:$B$15,0)),"")</f>
        <v/>
      </c>
      <c r="E115" s="3">
        <f>IFERROR(INDEX('TECNICOS'!$C$4:$C$15,MATCH($C115,'TECNICOS'!$B$4:$B$15,0)),"")</f>
        <v/>
      </c>
      <c r="F115" s="6" t="inlineStr"/>
      <c r="G115" s="3">
        <f>IFERROR(INDEX('TECNICOS'!$E$4:$E$15,MATCH($C115,'TECNICOS'!$B$4:$B$15,0)),"")</f>
        <v/>
      </c>
      <c r="H115" s="3">
        <f>IF(OR($F115="",ISNUMBER(MATCH($F115,lista_no_disponible,0))),0,p_horas_jornada)</f>
        <v/>
      </c>
      <c r="I115" s="3">
        <f>$A115&amp;"|"&amp;$B115&amp;"|"&amp;$C115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05</t>
        </is>
      </c>
      <c r="D116" s="3">
        <f>IFERROR(INDEX('TECNICOS'!$D$4:$D$15,MATCH($C116,'TECNICOS'!$B$4:$B$15,0)),"")</f>
        <v/>
      </c>
      <c r="E116" s="3">
        <f>IFERROR(INDEX('TECNICOS'!$C$4:$C$15,MATCH($C116,'TECNICOS'!$B$4:$B$15,0)),"")</f>
        <v/>
      </c>
      <c r="F116" s="6" t="inlineStr">
        <is>
          <t>T1</t>
        </is>
      </c>
      <c r="G116" s="3">
        <f>IFERROR(INDEX('TECNICOS'!$E$4:$E$15,MATCH($C116,'TECNICOS'!$B$4:$B$15,0)),"")</f>
        <v/>
      </c>
      <c r="H116" s="3">
        <f>IF(OR($F116="",ISNUMBER(MATCH($F116,lista_no_disponible,0))),0,p_horas_jornada)</f>
        <v/>
      </c>
      <c r="I116" s="3">
        <f>$A116&amp;"|"&amp;$B116&amp;"|"&amp;$C116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05</t>
        </is>
      </c>
      <c r="D117" s="3">
        <f>IFERROR(INDEX('TECNICOS'!$D$4:$D$15,MATCH($C117,'TECNICOS'!$B$4:$B$15,0)),"")</f>
        <v/>
      </c>
      <c r="E117" s="3">
        <f>IFERROR(INDEX('TECNICOS'!$C$4:$C$15,MATCH($C117,'TECNICOS'!$B$4:$B$15,0)),"")</f>
        <v/>
      </c>
      <c r="F117" s="6" t="inlineStr">
        <is>
          <t>T1</t>
        </is>
      </c>
      <c r="G117" s="3">
        <f>IFERROR(INDEX('TECNICOS'!$E$4:$E$15,MATCH($C117,'TECNICOS'!$B$4:$B$15,0)),"")</f>
        <v/>
      </c>
      <c r="H117" s="3">
        <f>IF(OR($F117="",ISNUMBER(MATCH($F117,lista_no_disponible,0))),0,p_horas_jornada)</f>
        <v/>
      </c>
      <c r="I117" s="3">
        <f>$A117&amp;"|"&amp;$B117&amp;"|"&amp;$C117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05</t>
        </is>
      </c>
      <c r="D118" s="3">
        <f>IFERROR(INDEX('TECNICOS'!$D$4:$D$15,MATCH($C118,'TECNICOS'!$B$4:$B$15,0)),"")</f>
        <v/>
      </c>
      <c r="E118" s="3">
        <f>IFERROR(INDEX('TECNICOS'!$C$4:$C$15,MATCH($C118,'TECNICOS'!$B$4:$B$15,0)),"")</f>
        <v/>
      </c>
      <c r="F118" s="6" t="inlineStr">
        <is>
          <t>T1</t>
        </is>
      </c>
      <c r="G118" s="3">
        <f>IFERROR(INDEX('TECNICOS'!$E$4:$E$15,MATCH($C118,'TECNICOS'!$B$4:$B$15,0)),"")</f>
        <v/>
      </c>
      <c r="H118" s="3">
        <f>IF(OR($F118="",ISNUMBER(MATCH($F118,lista_no_disponible,0))),0,p_horas_jornada)</f>
        <v/>
      </c>
      <c r="I118" s="3">
        <f>$A118&amp;"|"&amp;$B118&amp;"|"&amp;$C118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05</t>
        </is>
      </c>
      <c r="D119" s="3">
        <f>IFERROR(INDEX('TECNICOS'!$D$4:$D$15,MATCH($C119,'TECNICOS'!$B$4:$B$15,0)),"")</f>
        <v/>
      </c>
      <c r="E119" s="3">
        <f>IFERROR(INDEX('TECNICOS'!$C$4:$C$15,MATCH($C119,'TECNICOS'!$B$4:$B$15,0)),"")</f>
        <v/>
      </c>
      <c r="F119" s="6" t="inlineStr">
        <is>
          <t>T1</t>
        </is>
      </c>
      <c r="G119" s="3">
        <f>IFERROR(INDEX('TECNICOS'!$E$4:$E$15,MATCH($C119,'TECNICOS'!$B$4:$B$15,0)),"")</f>
        <v/>
      </c>
      <c r="H119" s="3">
        <f>IF(OR($F119="",ISNUMBER(MATCH($F119,lista_no_disponible,0))),0,p_horas_jornada)</f>
        <v/>
      </c>
      <c r="I119" s="3">
        <f>$A119&amp;"|"&amp;$B119&amp;"|"&amp;$C119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05</t>
        </is>
      </c>
      <c r="D120" s="3">
        <f>IFERROR(INDEX('TECNICOS'!$D$4:$D$15,MATCH($C120,'TECNICOS'!$B$4:$B$15,0)),"")</f>
        <v/>
      </c>
      <c r="E120" s="3">
        <f>IFERROR(INDEX('TECNICOS'!$C$4:$C$15,MATCH($C120,'TECNICOS'!$B$4:$B$15,0)),"")</f>
        <v/>
      </c>
      <c r="F120" s="6" t="inlineStr">
        <is>
          <t>T1</t>
        </is>
      </c>
      <c r="G120" s="3">
        <f>IFERROR(INDEX('TECNICOS'!$E$4:$E$15,MATCH($C120,'TECNICOS'!$B$4:$B$15,0)),"")</f>
        <v/>
      </c>
      <c r="H120" s="3">
        <f>IF(OR($F120="",ISNUMBER(MATCH($F120,lista_no_disponible,0))),0,p_horas_jornada)</f>
        <v/>
      </c>
      <c r="I120" s="3">
        <f>$A120&amp;"|"&amp;$B120&amp;"|"&amp;$C120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05</t>
        </is>
      </c>
      <c r="D121" s="3">
        <f>IFERROR(INDEX('TECNICOS'!$D$4:$D$15,MATCH($C121,'TECNICOS'!$B$4:$B$15,0)),"")</f>
        <v/>
      </c>
      <c r="E121" s="3">
        <f>IFERROR(INDEX('TECNICOS'!$C$4:$C$15,MATCH($C121,'TECNICOS'!$B$4:$B$15,0)),"")</f>
        <v/>
      </c>
      <c r="F121" s="6" t="inlineStr"/>
      <c r="G121" s="3">
        <f>IFERROR(INDEX('TECNICOS'!$E$4:$E$15,MATCH($C121,'TECNICOS'!$B$4:$B$15,0)),"")</f>
        <v/>
      </c>
      <c r="H121" s="3">
        <f>IF(OR($F121="",ISNUMBER(MATCH($F121,lista_no_disponible,0))),0,p_horas_jornada)</f>
        <v/>
      </c>
      <c r="I121" s="3">
        <f>$A121&amp;"|"&amp;$B121&amp;"|"&amp;$C121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05</t>
        </is>
      </c>
      <c r="D122" s="3">
        <f>IFERROR(INDEX('TECNICOS'!$D$4:$D$15,MATCH($C122,'TECNICOS'!$B$4:$B$15,0)),"")</f>
        <v/>
      </c>
      <c r="E122" s="3">
        <f>IFERROR(INDEX('TECNICOS'!$C$4:$C$15,MATCH($C122,'TECNICOS'!$B$4:$B$15,0)),"")</f>
        <v/>
      </c>
      <c r="F122" s="6" t="inlineStr"/>
      <c r="G122" s="3">
        <f>IFERROR(INDEX('TECNICOS'!$E$4:$E$15,MATCH($C122,'TECNICOS'!$B$4:$B$15,0)),"")</f>
        <v/>
      </c>
      <c r="H122" s="3">
        <f>IF(OR($F122="",ISNUMBER(MATCH($F122,lista_no_disponible,0))),0,p_horas_jornada)</f>
        <v/>
      </c>
      <c r="I122" s="3">
        <f>$A122&amp;"|"&amp;$B122&amp;"|"&amp;$C122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06</t>
        </is>
      </c>
      <c r="D123" s="3">
        <f>IFERROR(INDEX('TECNICOS'!$D$4:$D$15,MATCH($C123,'TECNICOS'!$B$4:$B$15,0)),"")</f>
        <v/>
      </c>
      <c r="E123" s="3">
        <f>IFERROR(INDEX('TECNICOS'!$C$4:$C$15,MATCH($C123,'TECNICOS'!$B$4:$B$15,0)),"")</f>
        <v/>
      </c>
      <c r="F123" s="6" t="inlineStr">
        <is>
          <t>T1</t>
        </is>
      </c>
      <c r="G123" s="3">
        <f>IFERROR(INDEX('TECNICOS'!$E$4:$E$15,MATCH($C123,'TECNICOS'!$B$4:$B$15,0)),"")</f>
        <v/>
      </c>
      <c r="H123" s="3">
        <f>IF(OR($F123="",ISNUMBER(MATCH($F123,lista_no_disponible,0))),0,p_horas_jornada)</f>
        <v/>
      </c>
      <c r="I123" s="3">
        <f>$A123&amp;"|"&amp;$B123&amp;"|"&amp;$C123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06</t>
        </is>
      </c>
      <c r="D124" s="3">
        <f>IFERROR(INDEX('TECNICOS'!$D$4:$D$15,MATCH($C124,'TECNICOS'!$B$4:$B$15,0)),"")</f>
        <v/>
      </c>
      <c r="E124" s="3">
        <f>IFERROR(INDEX('TECNICOS'!$C$4:$C$15,MATCH($C124,'TECNICOS'!$B$4:$B$15,0)),"")</f>
        <v/>
      </c>
      <c r="F124" s="6" t="inlineStr">
        <is>
          <t>T1</t>
        </is>
      </c>
      <c r="G124" s="3">
        <f>IFERROR(INDEX('TECNICOS'!$E$4:$E$15,MATCH($C124,'TECNICOS'!$B$4:$B$15,0)),"")</f>
        <v/>
      </c>
      <c r="H124" s="3">
        <f>IF(OR($F124="",ISNUMBER(MATCH($F124,lista_no_disponible,0))),0,p_horas_jornada)</f>
        <v/>
      </c>
      <c r="I124" s="3">
        <f>$A124&amp;"|"&amp;$B124&amp;"|"&amp;$C124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06</t>
        </is>
      </c>
      <c r="D125" s="3">
        <f>IFERROR(INDEX('TECNICOS'!$D$4:$D$15,MATCH($C125,'TECNICOS'!$B$4:$B$15,0)),"")</f>
        <v/>
      </c>
      <c r="E125" s="3">
        <f>IFERROR(INDEX('TECNICOS'!$C$4:$C$15,MATCH($C125,'TECNICOS'!$B$4:$B$15,0)),"")</f>
        <v/>
      </c>
      <c r="F125" s="6" t="inlineStr">
        <is>
          <t>T1</t>
        </is>
      </c>
      <c r="G125" s="3">
        <f>IFERROR(INDEX('TECNICOS'!$E$4:$E$15,MATCH($C125,'TECNICOS'!$B$4:$B$15,0)),"")</f>
        <v/>
      </c>
      <c r="H125" s="3">
        <f>IF(OR($F125="",ISNUMBER(MATCH($F125,lista_no_disponible,0))),0,p_horas_jornada)</f>
        <v/>
      </c>
      <c r="I125" s="3">
        <f>$A125&amp;"|"&amp;$B125&amp;"|"&amp;$C125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06</t>
        </is>
      </c>
      <c r="D126" s="3">
        <f>IFERROR(INDEX('TECNICOS'!$D$4:$D$15,MATCH($C126,'TECNICOS'!$B$4:$B$15,0)),"")</f>
        <v/>
      </c>
      <c r="E126" s="3">
        <f>IFERROR(INDEX('TECNICOS'!$C$4:$C$15,MATCH($C126,'TECNICOS'!$B$4:$B$15,0)),"")</f>
        <v/>
      </c>
      <c r="F126" s="6" t="inlineStr">
        <is>
          <t>T1</t>
        </is>
      </c>
      <c r="G126" s="3">
        <f>IFERROR(INDEX('TECNICOS'!$E$4:$E$15,MATCH($C126,'TECNICOS'!$B$4:$B$15,0)),"")</f>
        <v/>
      </c>
      <c r="H126" s="3">
        <f>IF(OR($F126="",ISNUMBER(MATCH($F126,lista_no_disponible,0))),0,p_horas_jornada)</f>
        <v/>
      </c>
      <c r="I126" s="3">
        <f>$A126&amp;"|"&amp;$B126&amp;"|"&amp;$C126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06</t>
        </is>
      </c>
      <c r="D127" s="3">
        <f>IFERROR(INDEX('TECNICOS'!$D$4:$D$15,MATCH($C127,'TECNICOS'!$B$4:$B$15,0)),"")</f>
        <v/>
      </c>
      <c r="E127" s="3">
        <f>IFERROR(INDEX('TECNICOS'!$C$4:$C$15,MATCH($C127,'TECNICOS'!$B$4:$B$15,0)),"")</f>
        <v/>
      </c>
      <c r="F127" s="6" t="inlineStr">
        <is>
          <t>T1</t>
        </is>
      </c>
      <c r="G127" s="3">
        <f>IFERROR(INDEX('TECNICOS'!$E$4:$E$15,MATCH($C127,'TECNICOS'!$B$4:$B$15,0)),"")</f>
        <v/>
      </c>
      <c r="H127" s="3">
        <f>IF(OR($F127="",ISNUMBER(MATCH($F127,lista_no_disponible,0))),0,p_horas_jornada)</f>
        <v/>
      </c>
      <c r="I127" s="3">
        <f>$A127&amp;"|"&amp;$B127&amp;"|"&amp;$C127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06</t>
        </is>
      </c>
      <c r="D128" s="3">
        <f>IFERROR(INDEX('TECNICOS'!$D$4:$D$15,MATCH($C128,'TECNICOS'!$B$4:$B$15,0)),"")</f>
        <v/>
      </c>
      <c r="E128" s="3">
        <f>IFERROR(INDEX('TECNICOS'!$C$4:$C$15,MATCH($C128,'TECNICOS'!$B$4:$B$15,0)),"")</f>
        <v/>
      </c>
      <c r="F128" s="6" t="inlineStr"/>
      <c r="G128" s="3">
        <f>IFERROR(INDEX('TECNICOS'!$E$4:$E$15,MATCH($C128,'TECNICOS'!$B$4:$B$15,0)),"")</f>
        <v/>
      </c>
      <c r="H128" s="3">
        <f>IF(OR($F128="",ISNUMBER(MATCH($F128,lista_no_disponible,0))),0,p_horas_jornada)</f>
        <v/>
      </c>
      <c r="I128" s="3">
        <f>$A128&amp;"|"&amp;$B128&amp;"|"&amp;$C128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06</t>
        </is>
      </c>
      <c r="D129" s="3">
        <f>IFERROR(INDEX('TECNICOS'!$D$4:$D$15,MATCH($C129,'TECNICOS'!$B$4:$B$15,0)),"")</f>
        <v/>
      </c>
      <c r="E129" s="3">
        <f>IFERROR(INDEX('TECNICOS'!$C$4:$C$15,MATCH($C129,'TECNICOS'!$B$4:$B$15,0)),"")</f>
        <v/>
      </c>
      <c r="F129" s="6" t="inlineStr"/>
      <c r="G129" s="3">
        <f>IFERROR(INDEX('TECNICOS'!$E$4:$E$15,MATCH($C129,'TECNICOS'!$B$4:$B$15,0)),"")</f>
        <v/>
      </c>
      <c r="H129" s="3">
        <f>IF(OR($F129="",ISNUMBER(MATCH($F129,lista_no_disponible,0))),0,p_horas_jornada)</f>
        <v/>
      </c>
      <c r="I129" s="3">
        <f>$A129&amp;"|"&amp;$B129&amp;"|"&amp;$C129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07</t>
        </is>
      </c>
      <c r="D130" s="3">
        <f>IFERROR(INDEX('TECNICOS'!$D$4:$D$15,MATCH($C130,'TECNICOS'!$B$4:$B$15,0)),"")</f>
        <v/>
      </c>
      <c r="E130" s="3">
        <f>IFERROR(INDEX('TECNICOS'!$C$4:$C$15,MATCH($C130,'TECNICOS'!$B$4:$B$15,0)),"")</f>
        <v/>
      </c>
      <c r="F130" s="6" t="inlineStr">
        <is>
          <t>T1</t>
        </is>
      </c>
      <c r="G130" s="3">
        <f>IFERROR(INDEX('TECNICOS'!$E$4:$E$15,MATCH($C130,'TECNICOS'!$B$4:$B$15,0)),"")</f>
        <v/>
      </c>
      <c r="H130" s="3">
        <f>IF(OR($F130="",ISNUMBER(MATCH($F130,lista_no_disponible,0))),0,p_horas_jornada)</f>
        <v/>
      </c>
      <c r="I130" s="3">
        <f>$A130&amp;"|"&amp;$B130&amp;"|"&amp;$C130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07</t>
        </is>
      </c>
      <c r="D131" s="3">
        <f>IFERROR(INDEX('TECNICOS'!$D$4:$D$15,MATCH($C131,'TECNICOS'!$B$4:$B$15,0)),"")</f>
        <v/>
      </c>
      <c r="E131" s="3">
        <f>IFERROR(INDEX('TECNICOS'!$C$4:$C$15,MATCH($C131,'TECNICOS'!$B$4:$B$15,0)),"")</f>
        <v/>
      </c>
      <c r="F131" s="6" t="inlineStr">
        <is>
          <t>T1</t>
        </is>
      </c>
      <c r="G131" s="3">
        <f>IFERROR(INDEX('TECNICOS'!$E$4:$E$15,MATCH($C131,'TECNICOS'!$B$4:$B$15,0)),"")</f>
        <v/>
      </c>
      <c r="H131" s="3">
        <f>IF(OR($F131="",ISNUMBER(MATCH($F131,lista_no_disponible,0))),0,p_horas_jornada)</f>
        <v/>
      </c>
      <c r="I131" s="3">
        <f>$A131&amp;"|"&amp;$B131&amp;"|"&amp;$C131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07</t>
        </is>
      </c>
      <c r="D132" s="3">
        <f>IFERROR(INDEX('TECNICOS'!$D$4:$D$15,MATCH($C132,'TECNICOS'!$B$4:$B$15,0)),"")</f>
        <v/>
      </c>
      <c r="E132" s="3">
        <f>IFERROR(INDEX('TECNICOS'!$C$4:$C$15,MATCH($C132,'TECNICOS'!$B$4:$B$15,0)),"")</f>
        <v/>
      </c>
      <c r="F132" s="6" t="inlineStr">
        <is>
          <t>T1</t>
        </is>
      </c>
      <c r="G132" s="3">
        <f>IFERROR(INDEX('TECNICOS'!$E$4:$E$15,MATCH($C132,'TECNICOS'!$B$4:$B$15,0)),"")</f>
        <v/>
      </c>
      <c r="H132" s="3">
        <f>IF(OR($F132="",ISNUMBER(MATCH($F132,lista_no_disponible,0))),0,p_horas_jornada)</f>
        <v/>
      </c>
      <c r="I132" s="3">
        <f>$A132&amp;"|"&amp;$B132&amp;"|"&amp;$C132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07</t>
        </is>
      </c>
      <c r="D133" s="3">
        <f>IFERROR(INDEX('TECNICOS'!$D$4:$D$15,MATCH($C133,'TECNICOS'!$B$4:$B$15,0)),"")</f>
        <v/>
      </c>
      <c r="E133" s="3">
        <f>IFERROR(INDEX('TECNICOS'!$C$4:$C$15,MATCH($C133,'TECNICOS'!$B$4:$B$15,0)),"")</f>
        <v/>
      </c>
      <c r="F133" s="6" t="inlineStr">
        <is>
          <t>T1</t>
        </is>
      </c>
      <c r="G133" s="3">
        <f>IFERROR(INDEX('TECNICOS'!$E$4:$E$15,MATCH($C133,'TECNICOS'!$B$4:$B$15,0)),"")</f>
        <v/>
      </c>
      <c r="H133" s="3">
        <f>IF(OR($F133="",ISNUMBER(MATCH($F133,lista_no_disponible,0))),0,p_horas_jornada)</f>
        <v/>
      </c>
      <c r="I133" s="3">
        <f>$A133&amp;"|"&amp;$B133&amp;"|"&amp;$C133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07</t>
        </is>
      </c>
      <c r="D134" s="3">
        <f>IFERROR(INDEX('TECNICOS'!$D$4:$D$15,MATCH($C134,'TECNICOS'!$B$4:$B$15,0)),"")</f>
        <v/>
      </c>
      <c r="E134" s="3">
        <f>IFERROR(INDEX('TECNICOS'!$C$4:$C$15,MATCH($C134,'TECNICOS'!$B$4:$B$15,0)),"")</f>
        <v/>
      </c>
      <c r="F134" s="6" t="inlineStr">
        <is>
          <t>X</t>
        </is>
      </c>
      <c r="G134" s="3">
        <f>IFERROR(INDEX('TECNICOS'!$E$4:$E$15,MATCH($C134,'TECNICOS'!$B$4:$B$15,0)),"")</f>
        <v/>
      </c>
      <c r="H134" s="3">
        <f>IF(OR($F134="",ISNUMBER(MATCH($F134,lista_no_disponible,0))),0,p_horas_jornada)</f>
        <v/>
      </c>
      <c r="I134" s="3">
        <f>$A134&amp;"|"&amp;$B134&amp;"|"&amp;$C134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07</t>
        </is>
      </c>
      <c r="D135" s="3">
        <f>IFERROR(INDEX('TECNICOS'!$D$4:$D$15,MATCH($C135,'TECNICOS'!$B$4:$B$15,0)),"")</f>
        <v/>
      </c>
      <c r="E135" s="3">
        <f>IFERROR(INDEX('TECNICOS'!$C$4:$C$15,MATCH($C135,'TECNICOS'!$B$4:$B$15,0)),"")</f>
        <v/>
      </c>
      <c r="F135" s="6" t="inlineStr"/>
      <c r="G135" s="3">
        <f>IFERROR(INDEX('TECNICOS'!$E$4:$E$15,MATCH($C135,'TECNICOS'!$B$4:$B$15,0)),"")</f>
        <v/>
      </c>
      <c r="H135" s="3">
        <f>IF(OR($F135="",ISNUMBER(MATCH($F135,lista_no_disponible,0))),0,p_horas_jornada)</f>
        <v/>
      </c>
      <c r="I135" s="3">
        <f>$A135&amp;"|"&amp;$B135&amp;"|"&amp;$C135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07</t>
        </is>
      </c>
      <c r="D136" s="3">
        <f>IFERROR(INDEX('TECNICOS'!$D$4:$D$15,MATCH($C136,'TECNICOS'!$B$4:$B$15,0)),"")</f>
        <v/>
      </c>
      <c r="E136" s="3">
        <f>IFERROR(INDEX('TECNICOS'!$C$4:$C$15,MATCH($C136,'TECNICOS'!$B$4:$B$15,0)),"")</f>
        <v/>
      </c>
      <c r="F136" s="6" t="inlineStr"/>
      <c r="G136" s="3">
        <f>IFERROR(INDEX('TECNICOS'!$E$4:$E$15,MATCH($C136,'TECNICOS'!$B$4:$B$15,0)),"")</f>
        <v/>
      </c>
      <c r="H136" s="3">
        <f>IF(OR($F136="",ISNUMBER(MATCH($F136,lista_no_disponible,0))),0,p_horas_jornada)</f>
        <v/>
      </c>
      <c r="I136" s="3">
        <f>$A136&amp;"|"&amp;$B136&amp;"|"&amp;$C136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08</t>
        </is>
      </c>
      <c r="D137" s="3">
        <f>IFERROR(INDEX('TECNICOS'!$D$4:$D$15,MATCH($C137,'TECNICOS'!$B$4:$B$15,0)),"")</f>
        <v/>
      </c>
      <c r="E137" s="3">
        <f>IFERROR(INDEX('TECNICOS'!$C$4:$C$15,MATCH($C137,'TECNICOS'!$B$4:$B$15,0)),"")</f>
        <v/>
      </c>
      <c r="F137" s="6" t="inlineStr">
        <is>
          <t>T3</t>
        </is>
      </c>
      <c r="G137" s="3">
        <f>IFERROR(INDEX('TECNICOS'!$E$4:$E$15,MATCH($C137,'TECNICOS'!$B$4:$B$15,0)),"")</f>
        <v/>
      </c>
      <c r="H137" s="3">
        <f>IF(OR($F137="",ISNUMBER(MATCH($F137,lista_no_disponible,0))),0,p_horas_jornada)</f>
        <v/>
      </c>
      <c r="I137" s="3">
        <f>$A137&amp;"|"&amp;$B137&amp;"|"&amp;$C137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08</t>
        </is>
      </c>
      <c r="D138" s="3">
        <f>IFERROR(INDEX('TECNICOS'!$D$4:$D$15,MATCH($C138,'TECNICOS'!$B$4:$B$15,0)),"")</f>
        <v/>
      </c>
      <c r="E138" s="3">
        <f>IFERROR(INDEX('TECNICOS'!$C$4:$C$15,MATCH($C138,'TECNICOS'!$B$4:$B$15,0)),"")</f>
        <v/>
      </c>
      <c r="F138" s="6" t="inlineStr">
        <is>
          <t>T3</t>
        </is>
      </c>
      <c r="G138" s="3">
        <f>IFERROR(INDEX('TECNICOS'!$E$4:$E$15,MATCH($C138,'TECNICOS'!$B$4:$B$15,0)),"")</f>
        <v/>
      </c>
      <c r="H138" s="3">
        <f>IF(OR($F138="",ISNUMBER(MATCH($F138,lista_no_disponible,0))),0,p_horas_jornada)</f>
        <v/>
      </c>
      <c r="I138" s="3">
        <f>$A138&amp;"|"&amp;$B138&amp;"|"&amp;$C138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08</t>
        </is>
      </c>
      <c r="D139" s="3">
        <f>IFERROR(INDEX('TECNICOS'!$D$4:$D$15,MATCH($C139,'TECNICOS'!$B$4:$B$15,0)),"")</f>
        <v/>
      </c>
      <c r="E139" s="3">
        <f>IFERROR(INDEX('TECNICOS'!$C$4:$C$15,MATCH($C139,'TECNICOS'!$B$4:$B$15,0)),"")</f>
        <v/>
      </c>
      <c r="F139" s="6" t="inlineStr">
        <is>
          <t>T3</t>
        </is>
      </c>
      <c r="G139" s="3">
        <f>IFERROR(INDEX('TECNICOS'!$E$4:$E$15,MATCH($C139,'TECNICOS'!$B$4:$B$15,0)),"")</f>
        <v/>
      </c>
      <c r="H139" s="3">
        <f>IF(OR($F139="",ISNUMBER(MATCH($F139,lista_no_disponible,0))),0,p_horas_jornada)</f>
        <v/>
      </c>
      <c r="I139" s="3">
        <f>$A139&amp;"|"&amp;$B139&amp;"|"&amp;$C139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08</t>
        </is>
      </c>
      <c r="D140" s="3">
        <f>IFERROR(INDEX('TECNICOS'!$D$4:$D$15,MATCH($C140,'TECNICOS'!$B$4:$B$15,0)),"")</f>
        <v/>
      </c>
      <c r="E140" s="3">
        <f>IFERROR(INDEX('TECNICOS'!$C$4:$C$15,MATCH($C140,'TECNICOS'!$B$4:$B$15,0)),"")</f>
        <v/>
      </c>
      <c r="F140" s="6" t="inlineStr">
        <is>
          <t>T3</t>
        </is>
      </c>
      <c r="G140" s="3">
        <f>IFERROR(INDEX('TECNICOS'!$E$4:$E$15,MATCH($C140,'TECNICOS'!$B$4:$B$15,0)),"")</f>
        <v/>
      </c>
      <c r="H140" s="3">
        <f>IF(OR($F140="",ISNUMBER(MATCH($F140,lista_no_disponible,0))),0,p_horas_jornada)</f>
        <v/>
      </c>
      <c r="I140" s="3">
        <f>$A140&amp;"|"&amp;$B140&amp;"|"&amp;$C140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08</t>
        </is>
      </c>
      <c r="D141" s="3">
        <f>IFERROR(INDEX('TECNICOS'!$D$4:$D$15,MATCH($C141,'TECNICOS'!$B$4:$B$15,0)),"")</f>
        <v/>
      </c>
      <c r="E141" s="3">
        <f>IFERROR(INDEX('TECNICOS'!$C$4:$C$15,MATCH($C141,'TECNICOS'!$B$4:$B$15,0)),"")</f>
        <v/>
      </c>
      <c r="F141" s="6" t="inlineStr">
        <is>
          <t>T3</t>
        </is>
      </c>
      <c r="G141" s="3">
        <f>IFERROR(INDEX('TECNICOS'!$E$4:$E$15,MATCH($C141,'TECNICOS'!$B$4:$B$15,0)),"")</f>
        <v/>
      </c>
      <c r="H141" s="3">
        <f>IF(OR($F141="",ISNUMBER(MATCH($F141,lista_no_disponible,0))),0,p_horas_jornada)</f>
        <v/>
      </c>
      <c r="I141" s="3">
        <f>$A141&amp;"|"&amp;$B141&amp;"|"&amp;$C141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08</t>
        </is>
      </c>
      <c r="D142" s="3">
        <f>IFERROR(INDEX('TECNICOS'!$D$4:$D$15,MATCH($C142,'TECNICOS'!$B$4:$B$15,0)),"")</f>
        <v/>
      </c>
      <c r="E142" s="3">
        <f>IFERROR(INDEX('TECNICOS'!$C$4:$C$15,MATCH($C142,'TECNICOS'!$B$4:$B$15,0)),"")</f>
        <v/>
      </c>
      <c r="F142" s="6" t="inlineStr"/>
      <c r="G142" s="3">
        <f>IFERROR(INDEX('TECNICOS'!$E$4:$E$15,MATCH($C142,'TECNICOS'!$B$4:$B$15,0)),"")</f>
        <v/>
      </c>
      <c r="H142" s="3">
        <f>IF(OR($F142="",ISNUMBER(MATCH($F142,lista_no_disponible,0))),0,p_horas_jornada)</f>
        <v/>
      </c>
      <c r="I142" s="3">
        <f>$A142&amp;"|"&amp;$B142&amp;"|"&amp;$C142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08</t>
        </is>
      </c>
      <c r="D143" s="3">
        <f>IFERROR(INDEX('TECNICOS'!$D$4:$D$15,MATCH($C143,'TECNICOS'!$B$4:$B$15,0)),"")</f>
        <v/>
      </c>
      <c r="E143" s="3">
        <f>IFERROR(INDEX('TECNICOS'!$C$4:$C$15,MATCH($C143,'TECNICOS'!$B$4:$B$15,0)),"")</f>
        <v/>
      </c>
      <c r="F143" s="6" t="inlineStr"/>
      <c r="G143" s="3">
        <f>IFERROR(INDEX('TECNICOS'!$E$4:$E$15,MATCH($C143,'TECNICOS'!$B$4:$B$15,0)),"")</f>
        <v/>
      </c>
      <c r="H143" s="3">
        <f>IF(OR($F143="",ISNUMBER(MATCH($F143,lista_no_disponible,0))),0,p_horas_jornada)</f>
        <v/>
      </c>
      <c r="I143" s="3">
        <f>$A143&amp;"|"&amp;$B143&amp;"|"&amp;$C143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09</t>
        </is>
      </c>
      <c r="D144" s="3">
        <f>IFERROR(INDEX('TECNICOS'!$D$4:$D$15,MATCH($C144,'TECNICOS'!$B$4:$B$15,0)),"")</f>
        <v/>
      </c>
      <c r="E144" s="3">
        <f>IFERROR(INDEX('TECNICOS'!$C$4:$C$15,MATCH($C144,'TECNICOS'!$B$4:$B$15,0)),"")</f>
        <v/>
      </c>
      <c r="F144" s="6" t="inlineStr">
        <is>
          <t>T1</t>
        </is>
      </c>
      <c r="G144" s="3">
        <f>IFERROR(INDEX('TECNICOS'!$E$4:$E$15,MATCH($C144,'TECNICOS'!$B$4:$B$15,0)),"")</f>
        <v/>
      </c>
      <c r="H144" s="3">
        <f>IF(OR($F144="",ISNUMBER(MATCH($F144,lista_no_disponible,0))),0,p_horas_jornada)</f>
        <v/>
      </c>
      <c r="I144" s="3">
        <f>$A144&amp;"|"&amp;$B144&amp;"|"&amp;$C144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09</t>
        </is>
      </c>
      <c r="D145" s="3">
        <f>IFERROR(INDEX('TECNICOS'!$D$4:$D$15,MATCH($C145,'TECNICOS'!$B$4:$B$15,0)),"")</f>
        <v/>
      </c>
      <c r="E145" s="3">
        <f>IFERROR(INDEX('TECNICOS'!$C$4:$C$15,MATCH($C145,'TECNICOS'!$B$4:$B$15,0)),"")</f>
        <v/>
      </c>
      <c r="F145" s="6" t="inlineStr">
        <is>
          <t>T1</t>
        </is>
      </c>
      <c r="G145" s="3">
        <f>IFERROR(INDEX('TECNICOS'!$E$4:$E$15,MATCH($C145,'TECNICOS'!$B$4:$B$15,0)),"")</f>
        <v/>
      </c>
      <c r="H145" s="3">
        <f>IF(OR($F145="",ISNUMBER(MATCH($F145,lista_no_disponible,0))),0,p_horas_jornada)</f>
        <v/>
      </c>
      <c r="I145" s="3">
        <f>$A145&amp;"|"&amp;$B145&amp;"|"&amp;$C145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09</t>
        </is>
      </c>
      <c r="D146" s="3">
        <f>IFERROR(INDEX('TECNICOS'!$D$4:$D$15,MATCH($C146,'TECNICOS'!$B$4:$B$15,0)),"")</f>
        <v/>
      </c>
      <c r="E146" s="3">
        <f>IFERROR(INDEX('TECNICOS'!$C$4:$C$15,MATCH($C146,'TECNICOS'!$B$4:$B$15,0)),"")</f>
        <v/>
      </c>
      <c r="F146" s="6" t="inlineStr">
        <is>
          <t>T1</t>
        </is>
      </c>
      <c r="G146" s="3">
        <f>IFERROR(INDEX('TECNICOS'!$E$4:$E$15,MATCH($C146,'TECNICOS'!$B$4:$B$15,0)),"")</f>
        <v/>
      </c>
      <c r="H146" s="3">
        <f>IF(OR($F146="",ISNUMBER(MATCH($F146,lista_no_disponible,0))),0,p_horas_jornada)</f>
        <v/>
      </c>
      <c r="I146" s="3">
        <f>$A146&amp;"|"&amp;$B146&amp;"|"&amp;$C146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09</t>
        </is>
      </c>
      <c r="D147" s="3">
        <f>IFERROR(INDEX('TECNICOS'!$D$4:$D$15,MATCH($C147,'TECNICOS'!$B$4:$B$15,0)),"")</f>
        <v/>
      </c>
      <c r="E147" s="3">
        <f>IFERROR(INDEX('TECNICOS'!$C$4:$C$15,MATCH($C147,'TECNICOS'!$B$4:$B$15,0)),"")</f>
        <v/>
      </c>
      <c r="F147" s="6" t="inlineStr">
        <is>
          <t>T1</t>
        </is>
      </c>
      <c r="G147" s="3">
        <f>IFERROR(INDEX('TECNICOS'!$E$4:$E$15,MATCH($C147,'TECNICOS'!$B$4:$B$15,0)),"")</f>
        <v/>
      </c>
      <c r="H147" s="3">
        <f>IF(OR($F147="",ISNUMBER(MATCH($F147,lista_no_disponible,0))),0,p_horas_jornada)</f>
        <v/>
      </c>
      <c r="I147" s="3">
        <f>$A147&amp;"|"&amp;$B147&amp;"|"&amp;$C147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09</t>
        </is>
      </c>
      <c r="D148" s="3">
        <f>IFERROR(INDEX('TECNICOS'!$D$4:$D$15,MATCH($C148,'TECNICOS'!$B$4:$B$15,0)),"")</f>
        <v/>
      </c>
      <c r="E148" s="3">
        <f>IFERROR(INDEX('TECNICOS'!$C$4:$C$15,MATCH($C148,'TECNICOS'!$B$4:$B$15,0)),"")</f>
        <v/>
      </c>
      <c r="F148" s="6" t="inlineStr">
        <is>
          <t>T1</t>
        </is>
      </c>
      <c r="G148" s="3">
        <f>IFERROR(INDEX('TECNICOS'!$E$4:$E$15,MATCH($C148,'TECNICOS'!$B$4:$B$15,0)),"")</f>
        <v/>
      </c>
      <c r="H148" s="3">
        <f>IF(OR($F148="",ISNUMBER(MATCH($F148,lista_no_disponible,0))),0,p_horas_jornada)</f>
        <v/>
      </c>
      <c r="I148" s="3">
        <f>$A148&amp;"|"&amp;$B148&amp;"|"&amp;$C148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09</t>
        </is>
      </c>
      <c r="D149" s="3">
        <f>IFERROR(INDEX('TECNICOS'!$D$4:$D$15,MATCH($C149,'TECNICOS'!$B$4:$B$15,0)),"")</f>
        <v/>
      </c>
      <c r="E149" s="3">
        <f>IFERROR(INDEX('TECNICOS'!$C$4:$C$15,MATCH($C149,'TECNICOS'!$B$4:$B$15,0)),"")</f>
        <v/>
      </c>
      <c r="F149" s="6" t="inlineStr"/>
      <c r="G149" s="3">
        <f>IFERROR(INDEX('TECNICOS'!$E$4:$E$15,MATCH($C149,'TECNICOS'!$B$4:$B$15,0)),"")</f>
        <v/>
      </c>
      <c r="H149" s="3">
        <f>IF(OR($F149="",ISNUMBER(MATCH($F149,lista_no_disponible,0))),0,p_horas_jornada)</f>
        <v/>
      </c>
      <c r="I149" s="3">
        <f>$A149&amp;"|"&amp;$B149&amp;"|"&amp;$C149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09</t>
        </is>
      </c>
      <c r="D150" s="3">
        <f>IFERROR(INDEX('TECNICOS'!$D$4:$D$15,MATCH($C150,'TECNICOS'!$B$4:$B$15,0)),"")</f>
        <v/>
      </c>
      <c r="E150" s="3">
        <f>IFERROR(INDEX('TECNICOS'!$C$4:$C$15,MATCH($C150,'TECNICOS'!$B$4:$B$15,0)),"")</f>
        <v/>
      </c>
      <c r="F150" s="6" t="inlineStr"/>
      <c r="G150" s="3">
        <f>IFERROR(INDEX('TECNICOS'!$E$4:$E$15,MATCH($C150,'TECNICOS'!$B$4:$B$15,0)),"")</f>
        <v/>
      </c>
      <c r="H150" s="3">
        <f>IF(OR($F150="",ISNUMBER(MATCH($F150,lista_no_disponible,0))),0,p_horas_jornada)</f>
        <v/>
      </c>
      <c r="I150" s="3">
        <f>$A150&amp;"|"&amp;$B150&amp;"|"&amp;$C150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10</t>
        </is>
      </c>
      <c r="D151" s="3">
        <f>IFERROR(INDEX('TECNICOS'!$D$4:$D$15,MATCH($C151,'TECNICOS'!$B$4:$B$15,0)),"")</f>
        <v/>
      </c>
      <c r="E151" s="3">
        <f>IFERROR(INDEX('TECNICOS'!$C$4:$C$15,MATCH($C151,'TECNICOS'!$B$4:$B$15,0)),"")</f>
        <v/>
      </c>
      <c r="F151" s="6" t="inlineStr">
        <is>
          <t>B1</t>
        </is>
      </c>
      <c r="G151" s="3">
        <f>IFERROR(INDEX('TECNICOS'!$E$4:$E$15,MATCH($C151,'TECNICOS'!$B$4:$B$15,0)),"")</f>
        <v/>
      </c>
      <c r="H151" s="3">
        <f>IF(OR($F151="",ISNUMBER(MATCH($F151,lista_no_disponible,0))),0,p_horas_jornada)</f>
        <v/>
      </c>
      <c r="I151" s="3">
        <f>$A151&amp;"|"&amp;$B151&amp;"|"&amp;$C151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10</t>
        </is>
      </c>
      <c r="D152" s="3">
        <f>IFERROR(INDEX('TECNICOS'!$D$4:$D$15,MATCH($C152,'TECNICOS'!$B$4:$B$15,0)),"")</f>
        <v/>
      </c>
      <c r="E152" s="3">
        <f>IFERROR(INDEX('TECNICOS'!$C$4:$C$15,MATCH($C152,'TECNICOS'!$B$4:$B$15,0)),"")</f>
        <v/>
      </c>
      <c r="F152" s="6" t="inlineStr">
        <is>
          <t>B1</t>
        </is>
      </c>
      <c r="G152" s="3">
        <f>IFERROR(INDEX('TECNICOS'!$E$4:$E$15,MATCH($C152,'TECNICOS'!$B$4:$B$15,0)),"")</f>
        <v/>
      </c>
      <c r="H152" s="3">
        <f>IF(OR($F152="",ISNUMBER(MATCH($F152,lista_no_disponible,0))),0,p_horas_jornada)</f>
        <v/>
      </c>
      <c r="I152" s="3">
        <f>$A152&amp;"|"&amp;$B152&amp;"|"&amp;$C152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10</t>
        </is>
      </c>
      <c r="D153" s="3">
        <f>IFERROR(INDEX('TECNICOS'!$D$4:$D$15,MATCH($C153,'TECNICOS'!$B$4:$B$15,0)),"")</f>
        <v/>
      </c>
      <c r="E153" s="3">
        <f>IFERROR(INDEX('TECNICOS'!$C$4:$C$15,MATCH($C153,'TECNICOS'!$B$4:$B$15,0)),"")</f>
        <v/>
      </c>
      <c r="F153" s="6" t="inlineStr">
        <is>
          <t>B1</t>
        </is>
      </c>
      <c r="G153" s="3">
        <f>IFERROR(INDEX('TECNICOS'!$E$4:$E$15,MATCH($C153,'TECNICOS'!$B$4:$B$15,0)),"")</f>
        <v/>
      </c>
      <c r="H153" s="3">
        <f>IF(OR($F153="",ISNUMBER(MATCH($F153,lista_no_disponible,0))),0,p_horas_jornada)</f>
        <v/>
      </c>
      <c r="I153" s="3">
        <f>$A153&amp;"|"&amp;$B153&amp;"|"&amp;$C153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10</t>
        </is>
      </c>
      <c r="D154" s="3">
        <f>IFERROR(INDEX('TECNICOS'!$D$4:$D$15,MATCH($C154,'TECNICOS'!$B$4:$B$15,0)),"")</f>
        <v/>
      </c>
      <c r="E154" s="3">
        <f>IFERROR(INDEX('TECNICOS'!$C$4:$C$15,MATCH($C154,'TECNICOS'!$B$4:$B$15,0)),"")</f>
        <v/>
      </c>
      <c r="F154" s="6" t="inlineStr">
        <is>
          <t>B1</t>
        </is>
      </c>
      <c r="G154" s="3">
        <f>IFERROR(INDEX('TECNICOS'!$E$4:$E$15,MATCH($C154,'TECNICOS'!$B$4:$B$15,0)),"")</f>
        <v/>
      </c>
      <c r="H154" s="3">
        <f>IF(OR($F154="",ISNUMBER(MATCH($F154,lista_no_disponible,0))),0,p_horas_jornada)</f>
        <v/>
      </c>
      <c r="I154" s="3">
        <f>$A154&amp;"|"&amp;$B154&amp;"|"&amp;$C154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10</t>
        </is>
      </c>
      <c r="D155" s="3">
        <f>IFERROR(INDEX('TECNICOS'!$D$4:$D$15,MATCH($C155,'TECNICOS'!$B$4:$B$15,0)),"")</f>
        <v/>
      </c>
      <c r="E155" s="3">
        <f>IFERROR(INDEX('TECNICOS'!$C$4:$C$15,MATCH($C155,'TECNICOS'!$B$4:$B$15,0)),"")</f>
        <v/>
      </c>
      <c r="F155" s="6" t="inlineStr">
        <is>
          <t>B1</t>
        </is>
      </c>
      <c r="G155" s="3">
        <f>IFERROR(INDEX('TECNICOS'!$E$4:$E$15,MATCH($C155,'TECNICOS'!$B$4:$B$15,0)),"")</f>
        <v/>
      </c>
      <c r="H155" s="3">
        <f>IF(OR($F155="",ISNUMBER(MATCH($F155,lista_no_disponible,0))),0,p_horas_jornada)</f>
        <v/>
      </c>
      <c r="I155" s="3">
        <f>$A155&amp;"|"&amp;$B155&amp;"|"&amp;$C155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10</t>
        </is>
      </c>
      <c r="D156" s="3">
        <f>IFERROR(INDEX('TECNICOS'!$D$4:$D$15,MATCH($C156,'TECNICOS'!$B$4:$B$15,0)),"")</f>
        <v/>
      </c>
      <c r="E156" s="3">
        <f>IFERROR(INDEX('TECNICOS'!$C$4:$C$15,MATCH($C156,'TECNICOS'!$B$4:$B$15,0)),"")</f>
        <v/>
      </c>
      <c r="F156" s="6" t="inlineStr"/>
      <c r="G156" s="3">
        <f>IFERROR(INDEX('TECNICOS'!$E$4:$E$15,MATCH($C156,'TECNICOS'!$B$4:$B$15,0)),"")</f>
        <v/>
      </c>
      <c r="H156" s="3">
        <f>IF(OR($F156="",ISNUMBER(MATCH($F156,lista_no_disponible,0))),0,p_horas_jornada)</f>
        <v/>
      </c>
      <c r="I156" s="3">
        <f>$A156&amp;"|"&amp;$B156&amp;"|"&amp;$C156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10</t>
        </is>
      </c>
      <c r="D157" s="3">
        <f>IFERROR(INDEX('TECNICOS'!$D$4:$D$15,MATCH($C157,'TECNICOS'!$B$4:$B$15,0)),"")</f>
        <v/>
      </c>
      <c r="E157" s="3">
        <f>IFERROR(INDEX('TECNICOS'!$C$4:$C$15,MATCH($C157,'TECNICOS'!$B$4:$B$15,0)),"")</f>
        <v/>
      </c>
      <c r="F157" s="6" t="inlineStr"/>
      <c r="G157" s="3">
        <f>IFERROR(INDEX('TECNICOS'!$E$4:$E$15,MATCH($C157,'TECNICOS'!$B$4:$B$15,0)),"")</f>
        <v/>
      </c>
      <c r="H157" s="3">
        <f>IF(OR($F157="",ISNUMBER(MATCH($F157,lista_no_disponible,0))),0,p_horas_jornada)</f>
        <v/>
      </c>
      <c r="I157" s="3">
        <f>$A157&amp;"|"&amp;$B157&amp;"|"&amp;$C157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11</t>
        </is>
      </c>
      <c r="D158" s="3">
        <f>IFERROR(INDEX('TECNICOS'!$D$4:$D$15,MATCH($C158,'TECNICOS'!$B$4:$B$15,0)),"")</f>
        <v/>
      </c>
      <c r="E158" s="3">
        <f>IFERROR(INDEX('TECNICOS'!$C$4:$C$15,MATCH($C158,'TECNICOS'!$B$4:$B$15,0)),"")</f>
        <v/>
      </c>
      <c r="F158" s="6" t="inlineStr">
        <is>
          <t>T1</t>
        </is>
      </c>
      <c r="G158" s="3">
        <f>IFERROR(INDEX('TECNICOS'!$E$4:$E$15,MATCH($C158,'TECNICOS'!$B$4:$B$15,0)),"")</f>
        <v/>
      </c>
      <c r="H158" s="3">
        <f>IF(OR($F158="",ISNUMBER(MATCH($F158,lista_no_disponible,0))),0,p_horas_jornada)</f>
        <v/>
      </c>
      <c r="I158" s="3">
        <f>$A158&amp;"|"&amp;$B158&amp;"|"&amp;$C158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11</t>
        </is>
      </c>
      <c r="D159" s="3">
        <f>IFERROR(INDEX('TECNICOS'!$D$4:$D$15,MATCH($C159,'TECNICOS'!$B$4:$B$15,0)),"")</f>
        <v/>
      </c>
      <c r="E159" s="3">
        <f>IFERROR(INDEX('TECNICOS'!$C$4:$C$15,MATCH($C159,'TECNICOS'!$B$4:$B$15,0)),"")</f>
        <v/>
      </c>
      <c r="F159" s="6" t="inlineStr">
        <is>
          <t>T1</t>
        </is>
      </c>
      <c r="G159" s="3">
        <f>IFERROR(INDEX('TECNICOS'!$E$4:$E$15,MATCH($C159,'TECNICOS'!$B$4:$B$15,0)),"")</f>
        <v/>
      </c>
      <c r="H159" s="3">
        <f>IF(OR($F159="",ISNUMBER(MATCH($F159,lista_no_disponible,0))),0,p_horas_jornada)</f>
        <v/>
      </c>
      <c r="I159" s="3">
        <f>$A159&amp;"|"&amp;$B159&amp;"|"&amp;$C159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11</t>
        </is>
      </c>
      <c r="D160" s="3">
        <f>IFERROR(INDEX('TECNICOS'!$D$4:$D$15,MATCH($C160,'TECNICOS'!$B$4:$B$15,0)),"")</f>
        <v/>
      </c>
      <c r="E160" s="3">
        <f>IFERROR(INDEX('TECNICOS'!$C$4:$C$15,MATCH($C160,'TECNICOS'!$B$4:$B$15,0)),"")</f>
        <v/>
      </c>
      <c r="F160" s="6" t="inlineStr">
        <is>
          <t>T1</t>
        </is>
      </c>
      <c r="G160" s="3">
        <f>IFERROR(INDEX('TECNICOS'!$E$4:$E$15,MATCH($C160,'TECNICOS'!$B$4:$B$15,0)),"")</f>
        <v/>
      </c>
      <c r="H160" s="3">
        <f>IF(OR($F160="",ISNUMBER(MATCH($F160,lista_no_disponible,0))),0,p_horas_jornada)</f>
        <v/>
      </c>
      <c r="I160" s="3">
        <f>$A160&amp;"|"&amp;$B160&amp;"|"&amp;$C160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11</t>
        </is>
      </c>
      <c r="D161" s="3">
        <f>IFERROR(INDEX('TECNICOS'!$D$4:$D$15,MATCH($C161,'TECNICOS'!$B$4:$B$15,0)),"")</f>
        <v/>
      </c>
      <c r="E161" s="3">
        <f>IFERROR(INDEX('TECNICOS'!$C$4:$C$15,MATCH($C161,'TECNICOS'!$B$4:$B$15,0)),"")</f>
        <v/>
      </c>
      <c r="F161" s="6" t="inlineStr">
        <is>
          <t>T1</t>
        </is>
      </c>
      <c r="G161" s="3">
        <f>IFERROR(INDEX('TECNICOS'!$E$4:$E$15,MATCH($C161,'TECNICOS'!$B$4:$B$15,0)),"")</f>
        <v/>
      </c>
      <c r="H161" s="3">
        <f>IF(OR($F161="",ISNUMBER(MATCH($F161,lista_no_disponible,0))),0,p_horas_jornada)</f>
        <v/>
      </c>
      <c r="I161" s="3">
        <f>$A161&amp;"|"&amp;$B161&amp;"|"&amp;$C161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11</t>
        </is>
      </c>
      <c r="D162" s="3">
        <f>IFERROR(INDEX('TECNICOS'!$D$4:$D$15,MATCH($C162,'TECNICOS'!$B$4:$B$15,0)),"")</f>
        <v/>
      </c>
      <c r="E162" s="3">
        <f>IFERROR(INDEX('TECNICOS'!$C$4:$C$15,MATCH($C162,'TECNICOS'!$B$4:$B$15,0)),"")</f>
        <v/>
      </c>
      <c r="F162" s="6" t="inlineStr">
        <is>
          <t>T1</t>
        </is>
      </c>
      <c r="G162" s="3">
        <f>IFERROR(INDEX('TECNICOS'!$E$4:$E$15,MATCH($C162,'TECNICOS'!$B$4:$B$15,0)),"")</f>
        <v/>
      </c>
      <c r="H162" s="3">
        <f>IF(OR($F162="",ISNUMBER(MATCH($F162,lista_no_disponible,0))),0,p_horas_jornada)</f>
        <v/>
      </c>
      <c r="I162" s="3">
        <f>$A162&amp;"|"&amp;$B162&amp;"|"&amp;$C162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11</t>
        </is>
      </c>
      <c r="D163" s="3">
        <f>IFERROR(INDEX('TECNICOS'!$D$4:$D$15,MATCH($C163,'TECNICOS'!$B$4:$B$15,0)),"")</f>
        <v/>
      </c>
      <c r="E163" s="3">
        <f>IFERROR(INDEX('TECNICOS'!$C$4:$C$15,MATCH($C163,'TECNICOS'!$B$4:$B$15,0)),"")</f>
        <v/>
      </c>
      <c r="F163" s="6" t="inlineStr"/>
      <c r="G163" s="3">
        <f>IFERROR(INDEX('TECNICOS'!$E$4:$E$15,MATCH($C163,'TECNICOS'!$B$4:$B$15,0)),"")</f>
        <v/>
      </c>
      <c r="H163" s="3">
        <f>IF(OR($F163="",ISNUMBER(MATCH($F163,lista_no_disponible,0))),0,p_horas_jornada)</f>
        <v/>
      </c>
      <c r="I163" s="3">
        <f>$A163&amp;"|"&amp;$B163&amp;"|"&amp;$C163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11</t>
        </is>
      </c>
      <c r="D164" s="3">
        <f>IFERROR(INDEX('TECNICOS'!$D$4:$D$15,MATCH($C164,'TECNICOS'!$B$4:$B$15,0)),"")</f>
        <v/>
      </c>
      <c r="E164" s="3">
        <f>IFERROR(INDEX('TECNICOS'!$C$4:$C$15,MATCH($C164,'TECNICOS'!$B$4:$B$15,0)),"")</f>
        <v/>
      </c>
      <c r="F164" s="6" t="inlineStr"/>
      <c r="G164" s="3">
        <f>IFERROR(INDEX('TECNICOS'!$E$4:$E$15,MATCH($C164,'TECNICOS'!$B$4:$B$15,0)),"")</f>
        <v/>
      </c>
      <c r="H164" s="3">
        <f>IF(OR($F164="",ISNUMBER(MATCH($F164,lista_no_disponible,0))),0,p_horas_jornada)</f>
        <v/>
      </c>
      <c r="I164" s="3">
        <f>$A164&amp;"|"&amp;$B164&amp;"|"&amp;$C164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12</t>
        </is>
      </c>
      <c r="D165" s="3">
        <f>IFERROR(INDEX('TECNICOS'!$D$4:$D$15,MATCH($C165,'TECNICOS'!$B$4:$B$15,0)),"")</f>
        <v/>
      </c>
      <c r="E165" s="3">
        <f>IFERROR(INDEX('TECNICOS'!$C$4:$C$15,MATCH($C165,'TECNICOS'!$B$4:$B$15,0)),"")</f>
        <v/>
      </c>
      <c r="F165" s="6" t="inlineStr">
        <is>
          <t>T1</t>
        </is>
      </c>
      <c r="G165" s="3">
        <f>IFERROR(INDEX('TECNICOS'!$E$4:$E$15,MATCH($C165,'TECNICOS'!$B$4:$B$15,0)),"")</f>
        <v/>
      </c>
      <c r="H165" s="3">
        <f>IF(OR($F165="",ISNUMBER(MATCH($F165,lista_no_disponible,0))),0,p_horas_jornada)</f>
        <v/>
      </c>
      <c r="I165" s="3">
        <f>$A165&amp;"|"&amp;$B165&amp;"|"&amp;$C165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12</t>
        </is>
      </c>
      <c r="D166" s="3">
        <f>IFERROR(INDEX('TECNICOS'!$D$4:$D$15,MATCH($C166,'TECNICOS'!$B$4:$B$15,0)),"")</f>
        <v/>
      </c>
      <c r="E166" s="3">
        <f>IFERROR(INDEX('TECNICOS'!$C$4:$C$15,MATCH($C166,'TECNICOS'!$B$4:$B$15,0)),"")</f>
        <v/>
      </c>
      <c r="F166" s="6" t="inlineStr">
        <is>
          <t>T1</t>
        </is>
      </c>
      <c r="G166" s="3">
        <f>IFERROR(INDEX('TECNICOS'!$E$4:$E$15,MATCH($C166,'TECNICOS'!$B$4:$B$15,0)),"")</f>
        <v/>
      </c>
      <c r="H166" s="3">
        <f>IF(OR($F166="",ISNUMBER(MATCH($F166,lista_no_disponible,0))),0,p_horas_jornada)</f>
        <v/>
      </c>
      <c r="I166" s="3">
        <f>$A166&amp;"|"&amp;$B166&amp;"|"&amp;$C166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12</t>
        </is>
      </c>
      <c r="D167" s="3">
        <f>IFERROR(INDEX('TECNICOS'!$D$4:$D$15,MATCH($C167,'TECNICOS'!$B$4:$B$15,0)),"")</f>
        <v/>
      </c>
      <c r="E167" s="3">
        <f>IFERROR(INDEX('TECNICOS'!$C$4:$C$15,MATCH($C167,'TECNICOS'!$B$4:$B$15,0)),"")</f>
        <v/>
      </c>
      <c r="F167" s="6" t="inlineStr">
        <is>
          <t>T1</t>
        </is>
      </c>
      <c r="G167" s="3">
        <f>IFERROR(INDEX('TECNICOS'!$E$4:$E$15,MATCH($C167,'TECNICOS'!$B$4:$B$15,0)),"")</f>
        <v/>
      </c>
      <c r="H167" s="3">
        <f>IF(OR($F167="",ISNUMBER(MATCH($F167,lista_no_disponible,0))),0,p_horas_jornada)</f>
        <v/>
      </c>
      <c r="I167" s="3">
        <f>$A167&amp;"|"&amp;$B167&amp;"|"&amp;$C167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12</t>
        </is>
      </c>
      <c r="D168" s="3">
        <f>IFERROR(INDEX('TECNICOS'!$D$4:$D$15,MATCH($C168,'TECNICOS'!$B$4:$B$15,0)),"")</f>
        <v/>
      </c>
      <c r="E168" s="3">
        <f>IFERROR(INDEX('TECNICOS'!$C$4:$C$15,MATCH($C168,'TECNICOS'!$B$4:$B$15,0)),"")</f>
        <v/>
      </c>
      <c r="F168" s="6" t="inlineStr">
        <is>
          <t>T1</t>
        </is>
      </c>
      <c r="G168" s="3">
        <f>IFERROR(INDEX('TECNICOS'!$E$4:$E$15,MATCH($C168,'TECNICOS'!$B$4:$B$15,0)),"")</f>
        <v/>
      </c>
      <c r="H168" s="3">
        <f>IF(OR($F168="",ISNUMBER(MATCH($F168,lista_no_disponible,0))),0,p_horas_jornada)</f>
        <v/>
      </c>
      <c r="I168" s="3">
        <f>$A168&amp;"|"&amp;$B168&amp;"|"&amp;$C168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12</t>
        </is>
      </c>
      <c r="D169" s="3">
        <f>IFERROR(INDEX('TECNICOS'!$D$4:$D$15,MATCH($C169,'TECNICOS'!$B$4:$B$15,0)),"")</f>
        <v/>
      </c>
      <c r="E169" s="3">
        <f>IFERROR(INDEX('TECNICOS'!$C$4:$C$15,MATCH($C169,'TECNICOS'!$B$4:$B$15,0)),"")</f>
        <v/>
      </c>
      <c r="F169" s="6" t="inlineStr">
        <is>
          <t>T1</t>
        </is>
      </c>
      <c r="G169" s="3">
        <f>IFERROR(INDEX('TECNICOS'!$E$4:$E$15,MATCH($C169,'TECNICOS'!$B$4:$B$15,0)),"")</f>
        <v/>
      </c>
      <c r="H169" s="3">
        <f>IF(OR($F169="",ISNUMBER(MATCH($F169,lista_no_disponible,0))),0,p_horas_jornada)</f>
        <v/>
      </c>
      <c r="I169" s="3">
        <f>$A169&amp;"|"&amp;$B169&amp;"|"&amp;$C169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12</t>
        </is>
      </c>
      <c r="D170" s="3">
        <f>IFERROR(INDEX('TECNICOS'!$D$4:$D$15,MATCH($C170,'TECNICOS'!$B$4:$B$15,0)),"")</f>
        <v/>
      </c>
      <c r="E170" s="3">
        <f>IFERROR(INDEX('TECNICOS'!$C$4:$C$15,MATCH($C170,'TECNICOS'!$B$4:$B$15,0)),"")</f>
        <v/>
      </c>
      <c r="F170" s="6" t="inlineStr"/>
      <c r="G170" s="3">
        <f>IFERROR(INDEX('TECNICOS'!$E$4:$E$15,MATCH($C170,'TECNICOS'!$B$4:$B$15,0)),"")</f>
        <v/>
      </c>
      <c r="H170" s="3">
        <f>IF(OR($F170="",ISNUMBER(MATCH($F170,lista_no_disponible,0))),0,p_horas_jornada)</f>
        <v/>
      </c>
      <c r="I170" s="3">
        <f>$A170&amp;"|"&amp;$B170&amp;"|"&amp;$C170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12</t>
        </is>
      </c>
      <c r="D171" s="3">
        <f>IFERROR(INDEX('TECNICOS'!$D$4:$D$15,MATCH($C171,'TECNICOS'!$B$4:$B$15,0)),"")</f>
        <v/>
      </c>
      <c r="E171" s="3">
        <f>IFERROR(INDEX('TECNICOS'!$C$4:$C$15,MATCH($C171,'TECNICOS'!$B$4:$B$15,0)),"")</f>
        <v/>
      </c>
      <c r="F171" s="6" t="inlineStr"/>
      <c r="G171" s="3">
        <f>IFERROR(INDEX('TECNICOS'!$E$4:$E$15,MATCH($C171,'TECNICOS'!$B$4:$B$15,0)),"")</f>
        <v/>
      </c>
      <c r="H171" s="3">
        <f>IF(OR($F171="",ISNUMBER(MATCH($F171,lista_no_disponible,0))),0,p_horas_jornada)</f>
        <v/>
      </c>
      <c r="I171" s="3">
        <f>$A171&amp;"|"&amp;$B171&amp;"|"&amp;$C171</f>
        <v/>
      </c>
    </row>
    <row r="172">
      <c r="A172" s="3" t="inlineStr">
        <is>
          <t>2026-S31</t>
        </is>
      </c>
      <c r="B172" s="3" t="inlineStr">
        <is>
          <t>lunes</t>
        </is>
      </c>
      <c r="C172" s="3" t="inlineStr">
        <is>
          <t>Técnico 01</t>
        </is>
      </c>
      <c r="D172" s="3">
        <f>IFERROR(INDEX('TECNICOS'!$D$4:$D$15,MATCH($C172,'TECNICOS'!$B$4:$B$15,0)),"")</f>
        <v/>
      </c>
      <c r="E172" s="3">
        <f>IFERROR(INDEX('TECNICOS'!$C$4:$C$15,MATCH($C172,'TECNICOS'!$B$4:$B$15,0)),"")</f>
        <v/>
      </c>
      <c r="F172" s="6" t="inlineStr">
        <is>
          <t>T1</t>
        </is>
      </c>
      <c r="G172" s="3">
        <f>IFERROR(INDEX('TECNICOS'!$E$4:$E$15,MATCH($C172,'TECNICOS'!$B$4:$B$15,0)),"")</f>
        <v/>
      </c>
      <c r="H172" s="3">
        <f>IF(OR($F172="",ISNUMBER(MATCH($F172,lista_no_disponible,0))),0,p_horas_jornada)</f>
        <v/>
      </c>
      <c r="I172" s="3">
        <f>$A172&amp;"|"&amp;$B172&amp;"|"&amp;$C172</f>
        <v/>
      </c>
    </row>
    <row r="173">
      <c r="A173" s="3" t="inlineStr">
        <is>
          <t>2026-S31</t>
        </is>
      </c>
      <c r="B173" s="3" t="inlineStr">
        <is>
          <t>martes</t>
        </is>
      </c>
      <c r="C173" s="3" t="inlineStr">
        <is>
          <t>Técnico 01</t>
        </is>
      </c>
      <c r="D173" s="3">
        <f>IFERROR(INDEX('TECNICOS'!$D$4:$D$15,MATCH($C173,'TECNICOS'!$B$4:$B$15,0)),"")</f>
        <v/>
      </c>
      <c r="E173" s="3">
        <f>IFERROR(INDEX('TECNICOS'!$C$4:$C$15,MATCH($C173,'TECNICOS'!$B$4:$B$15,0)),"")</f>
        <v/>
      </c>
      <c r="F173" s="6" t="inlineStr">
        <is>
          <t>T1</t>
        </is>
      </c>
      <c r="G173" s="3">
        <f>IFERROR(INDEX('TECNICOS'!$E$4:$E$15,MATCH($C173,'TECNICOS'!$B$4:$B$15,0)),"")</f>
        <v/>
      </c>
      <c r="H173" s="3">
        <f>IF(OR($F173="",ISNUMBER(MATCH($F173,lista_no_disponible,0))),0,p_horas_jornada)</f>
        <v/>
      </c>
      <c r="I173" s="3">
        <f>$A173&amp;"|"&amp;$B173&amp;"|"&amp;$C173</f>
        <v/>
      </c>
    </row>
    <row r="174">
      <c r="A174" s="3" t="inlineStr">
        <is>
          <t>2026-S31</t>
        </is>
      </c>
      <c r="B174" s="3" t="inlineStr">
        <is>
          <t>miércoles</t>
        </is>
      </c>
      <c r="C174" s="3" t="inlineStr">
        <is>
          <t>Técnico 01</t>
        </is>
      </c>
      <c r="D174" s="3">
        <f>IFERROR(INDEX('TECNICOS'!$D$4:$D$15,MATCH($C174,'TECNICOS'!$B$4:$B$15,0)),"")</f>
        <v/>
      </c>
      <c r="E174" s="3">
        <f>IFERROR(INDEX('TECNICOS'!$C$4:$C$15,MATCH($C174,'TECNICOS'!$B$4:$B$15,0)),"")</f>
        <v/>
      </c>
      <c r="F174" s="6" t="inlineStr">
        <is>
          <t>T1</t>
        </is>
      </c>
      <c r="G174" s="3">
        <f>IFERROR(INDEX('TECNICOS'!$E$4:$E$15,MATCH($C174,'TECNICOS'!$B$4:$B$15,0)),"")</f>
        <v/>
      </c>
      <c r="H174" s="3">
        <f>IF(OR($F174="",ISNUMBER(MATCH($F174,lista_no_disponible,0))),0,p_horas_jornada)</f>
        <v/>
      </c>
      <c r="I174" s="3">
        <f>$A174&amp;"|"&amp;$B174&amp;"|"&amp;$C174</f>
        <v/>
      </c>
    </row>
    <row r="175">
      <c r="A175" s="3" t="inlineStr">
        <is>
          <t>2026-S31</t>
        </is>
      </c>
      <c r="B175" s="3" t="inlineStr">
        <is>
          <t>jueves</t>
        </is>
      </c>
      <c r="C175" s="3" t="inlineStr">
        <is>
          <t>Técnico 01</t>
        </is>
      </c>
      <c r="D175" s="3">
        <f>IFERROR(INDEX('TECNICOS'!$D$4:$D$15,MATCH($C175,'TECNICOS'!$B$4:$B$15,0)),"")</f>
        <v/>
      </c>
      <c r="E175" s="3">
        <f>IFERROR(INDEX('TECNICOS'!$C$4:$C$15,MATCH($C175,'TECNICOS'!$B$4:$B$15,0)),"")</f>
        <v/>
      </c>
      <c r="F175" s="6" t="inlineStr">
        <is>
          <t>T1</t>
        </is>
      </c>
      <c r="G175" s="3">
        <f>IFERROR(INDEX('TECNICOS'!$E$4:$E$15,MATCH($C175,'TECNICOS'!$B$4:$B$15,0)),"")</f>
        <v/>
      </c>
      <c r="H175" s="3">
        <f>IF(OR($F175="",ISNUMBER(MATCH($F175,lista_no_disponible,0))),0,p_horas_jornada)</f>
        <v/>
      </c>
      <c r="I175" s="3">
        <f>$A175&amp;"|"&amp;$B175&amp;"|"&amp;$C175</f>
        <v/>
      </c>
    </row>
    <row r="176">
      <c r="A176" s="3" t="inlineStr">
        <is>
          <t>2026-S31</t>
        </is>
      </c>
      <c r="B176" s="3" t="inlineStr">
        <is>
          <t>viernes</t>
        </is>
      </c>
      <c r="C176" s="3" t="inlineStr">
        <is>
          <t>Técnico 01</t>
        </is>
      </c>
      <c r="D176" s="3">
        <f>IFERROR(INDEX('TECNICOS'!$D$4:$D$15,MATCH($C176,'TECNICOS'!$B$4:$B$15,0)),"")</f>
        <v/>
      </c>
      <c r="E176" s="3">
        <f>IFERROR(INDEX('TECNICOS'!$C$4:$C$15,MATCH($C176,'TECNICOS'!$B$4:$B$15,0)),"")</f>
        <v/>
      </c>
      <c r="F176" s="6" t="inlineStr">
        <is>
          <t>T1</t>
        </is>
      </c>
      <c r="G176" s="3">
        <f>IFERROR(INDEX('TECNICOS'!$E$4:$E$15,MATCH($C176,'TECNICOS'!$B$4:$B$15,0)),"")</f>
        <v/>
      </c>
      <c r="H176" s="3">
        <f>IF(OR($F176="",ISNUMBER(MATCH($F176,lista_no_disponible,0))),0,p_horas_jornada)</f>
        <v/>
      </c>
      <c r="I176" s="3">
        <f>$A176&amp;"|"&amp;$B176&amp;"|"&amp;$C176</f>
        <v/>
      </c>
    </row>
    <row r="177">
      <c r="A177" s="3" t="inlineStr">
        <is>
          <t>2026-S31</t>
        </is>
      </c>
      <c r="B177" s="3" t="inlineStr">
        <is>
          <t>sábado</t>
        </is>
      </c>
      <c r="C177" s="3" t="inlineStr">
        <is>
          <t>Técnico 01</t>
        </is>
      </c>
      <c r="D177" s="3">
        <f>IFERROR(INDEX('TECNICOS'!$D$4:$D$15,MATCH($C177,'TECNICOS'!$B$4:$B$15,0)),"")</f>
        <v/>
      </c>
      <c r="E177" s="3">
        <f>IFERROR(INDEX('TECNICOS'!$C$4:$C$15,MATCH($C177,'TECNICOS'!$B$4:$B$15,0)),"")</f>
        <v/>
      </c>
      <c r="F177" s="6" t="inlineStr"/>
      <c r="G177" s="3">
        <f>IFERROR(INDEX('TECNICOS'!$E$4:$E$15,MATCH($C177,'TECNICOS'!$B$4:$B$15,0)),"")</f>
        <v/>
      </c>
      <c r="H177" s="3">
        <f>IF(OR($F177="",ISNUMBER(MATCH($F177,lista_no_disponible,0))),0,p_horas_jornada)</f>
        <v/>
      </c>
      <c r="I177" s="3">
        <f>$A177&amp;"|"&amp;$B177&amp;"|"&amp;$C177</f>
        <v/>
      </c>
    </row>
    <row r="178">
      <c r="A178" s="3" t="inlineStr">
        <is>
          <t>2026-S31</t>
        </is>
      </c>
      <c r="B178" s="3" t="inlineStr">
        <is>
          <t>domingo</t>
        </is>
      </c>
      <c r="C178" s="3" t="inlineStr">
        <is>
          <t>Técnico 01</t>
        </is>
      </c>
      <c r="D178" s="3">
        <f>IFERROR(INDEX('TECNICOS'!$D$4:$D$15,MATCH($C178,'TECNICOS'!$B$4:$B$15,0)),"")</f>
        <v/>
      </c>
      <c r="E178" s="3">
        <f>IFERROR(INDEX('TECNICOS'!$C$4:$C$15,MATCH($C178,'TECNICOS'!$B$4:$B$15,0)),"")</f>
        <v/>
      </c>
      <c r="F178" s="6" t="inlineStr"/>
      <c r="G178" s="3">
        <f>IFERROR(INDEX('TECNICOS'!$E$4:$E$15,MATCH($C178,'TECNICOS'!$B$4:$B$15,0)),"")</f>
        <v/>
      </c>
      <c r="H178" s="3">
        <f>IF(OR($F178="",ISNUMBER(MATCH($F178,lista_no_disponible,0))),0,p_horas_jornada)</f>
        <v/>
      </c>
      <c r="I178" s="3">
        <f>$A178&amp;"|"&amp;$B178&amp;"|"&amp;$C178</f>
        <v/>
      </c>
    </row>
    <row r="179">
      <c r="A179" s="3" t="inlineStr">
        <is>
          <t>2026-S31</t>
        </is>
      </c>
      <c r="B179" s="3" t="inlineStr">
        <is>
          <t>lunes</t>
        </is>
      </c>
      <c r="C179" s="3" t="inlineStr">
        <is>
          <t>Técnico 02</t>
        </is>
      </c>
      <c r="D179" s="3">
        <f>IFERROR(INDEX('TECNICOS'!$D$4:$D$15,MATCH($C179,'TECNICOS'!$B$4:$B$15,0)),"")</f>
        <v/>
      </c>
      <c r="E179" s="3">
        <f>IFERROR(INDEX('TECNICOS'!$C$4:$C$15,MATCH($C179,'TECNICOS'!$B$4:$B$15,0)),"")</f>
        <v/>
      </c>
      <c r="F179" s="6" t="inlineStr">
        <is>
          <t>T2</t>
        </is>
      </c>
      <c r="G179" s="3">
        <f>IFERROR(INDEX('TECNICOS'!$E$4:$E$15,MATCH($C179,'TECNICOS'!$B$4:$B$15,0)),"")</f>
        <v/>
      </c>
      <c r="H179" s="3">
        <f>IF(OR($F179="",ISNUMBER(MATCH($F179,lista_no_disponible,0))),0,p_horas_jornada)</f>
        <v/>
      </c>
      <c r="I179" s="3">
        <f>$A179&amp;"|"&amp;$B179&amp;"|"&amp;$C179</f>
        <v/>
      </c>
    </row>
    <row r="180">
      <c r="A180" s="3" t="inlineStr">
        <is>
          <t>2026-S31</t>
        </is>
      </c>
      <c r="B180" s="3" t="inlineStr">
        <is>
          <t>martes</t>
        </is>
      </c>
      <c r="C180" s="3" t="inlineStr">
        <is>
          <t>Técnico 02</t>
        </is>
      </c>
      <c r="D180" s="3">
        <f>IFERROR(INDEX('TECNICOS'!$D$4:$D$15,MATCH($C180,'TECNICOS'!$B$4:$B$15,0)),"")</f>
        <v/>
      </c>
      <c r="E180" s="3">
        <f>IFERROR(INDEX('TECNICOS'!$C$4:$C$15,MATCH($C180,'TECNICOS'!$B$4:$B$15,0)),"")</f>
        <v/>
      </c>
      <c r="F180" s="6" t="inlineStr">
        <is>
          <t>T2</t>
        </is>
      </c>
      <c r="G180" s="3">
        <f>IFERROR(INDEX('TECNICOS'!$E$4:$E$15,MATCH($C180,'TECNICOS'!$B$4:$B$15,0)),"")</f>
        <v/>
      </c>
      <c r="H180" s="3">
        <f>IF(OR($F180="",ISNUMBER(MATCH($F180,lista_no_disponible,0))),0,p_horas_jornada)</f>
        <v/>
      </c>
      <c r="I180" s="3">
        <f>$A180&amp;"|"&amp;$B180&amp;"|"&amp;$C180</f>
        <v/>
      </c>
    </row>
    <row r="181">
      <c r="A181" s="3" t="inlineStr">
        <is>
          <t>2026-S31</t>
        </is>
      </c>
      <c r="B181" s="3" t="inlineStr">
        <is>
          <t>miércoles</t>
        </is>
      </c>
      <c r="C181" s="3" t="inlineStr">
        <is>
          <t>Técnico 02</t>
        </is>
      </c>
      <c r="D181" s="3">
        <f>IFERROR(INDEX('TECNICOS'!$D$4:$D$15,MATCH($C181,'TECNICOS'!$B$4:$B$15,0)),"")</f>
        <v/>
      </c>
      <c r="E181" s="3">
        <f>IFERROR(INDEX('TECNICOS'!$C$4:$C$15,MATCH($C181,'TECNICOS'!$B$4:$B$15,0)),"")</f>
        <v/>
      </c>
      <c r="F181" s="6" t="inlineStr">
        <is>
          <t>T2</t>
        </is>
      </c>
      <c r="G181" s="3">
        <f>IFERROR(INDEX('TECNICOS'!$E$4:$E$15,MATCH($C181,'TECNICOS'!$B$4:$B$15,0)),"")</f>
        <v/>
      </c>
      <c r="H181" s="3">
        <f>IF(OR($F181="",ISNUMBER(MATCH($F181,lista_no_disponible,0))),0,p_horas_jornada)</f>
        <v/>
      </c>
      <c r="I181" s="3">
        <f>$A181&amp;"|"&amp;$B181&amp;"|"&amp;$C181</f>
        <v/>
      </c>
    </row>
    <row r="182">
      <c r="A182" s="3" t="inlineStr">
        <is>
          <t>2026-S31</t>
        </is>
      </c>
      <c r="B182" s="3" t="inlineStr">
        <is>
          <t>jueves</t>
        </is>
      </c>
      <c r="C182" s="3" t="inlineStr">
        <is>
          <t>Técnico 02</t>
        </is>
      </c>
      <c r="D182" s="3">
        <f>IFERROR(INDEX('TECNICOS'!$D$4:$D$15,MATCH($C182,'TECNICOS'!$B$4:$B$15,0)),"")</f>
        <v/>
      </c>
      <c r="E182" s="3">
        <f>IFERROR(INDEX('TECNICOS'!$C$4:$C$15,MATCH($C182,'TECNICOS'!$B$4:$B$15,0)),"")</f>
        <v/>
      </c>
      <c r="F182" s="6" t="inlineStr">
        <is>
          <t>T2</t>
        </is>
      </c>
      <c r="G182" s="3">
        <f>IFERROR(INDEX('TECNICOS'!$E$4:$E$15,MATCH($C182,'TECNICOS'!$B$4:$B$15,0)),"")</f>
        <v/>
      </c>
      <c r="H182" s="3">
        <f>IF(OR($F182="",ISNUMBER(MATCH($F182,lista_no_disponible,0))),0,p_horas_jornada)</f>
        <v/>
      </c>
      <c r="I182" s="3">
        <f>$A182&amp;"|"&amp;$B182&amp;"|"&amp;$C182</f>
        <v/>
      </c>
    </row>
    <row r="183">
      <c r="A183" s="3" t="inlineStr">
        <is>
          <t>2026-S31</t>
        </is>
      </c>
      <c r="B183" s="3" t="inlineStr">
        <is>
          <t>viernes</t>
        </is>
      </c>
      <c r="C183" s="3" t="inlineStr">
        <is>
          <t>Técnico 02</t>
        </is>
      </c>
      <c r="D183" s="3">
        <f>IFERROR(INDEX('TECNICOS'!$D$4:$D$15,MATCH($C183,'TECNICOS'!$B$4:$B$15,0)),"")</f>
        <v/>
      </c>
      <c r="E183" s="3">
        <f>IFERROR(INDEX('TECNICOS'!$C$4:$C$15,MATCH($C183,'TECNICOS'!$B$4:$B$15,0)),"")</f>
        <v/>
      </c>
      <c r="F183" s="6" t="inlineStr">
        <is>
          <t>T2</t>
        </is>
      </c>
      <c r="G183" s="3">
        <f>IFERROR(INDEX('TECNICOS'!$E$4:$E$15,MATCH($C183,'TECNICOS'!$B$4:$B$15,0)),"")</f>
        <v/>
      </c>
      <c r="H183" s="3">
        <f>IF(OR($F183="",ISNUMBER(MATCH($F183,lista_no_disponible,0))),0,p_horas_jornada)</f>
        <v/>
      </c>
      <c r="I183" s="3">
        <f>$A183&amp;"|"&amp;$B183&amp;"|"&amp;$C183</f>
        <v/>
      </c>
    </row>
    <row r="184">
      <c r="A184" s="3" t="inlineStr">
        <is>
          <t>2026-S31</t>
        </is>
      </c>
      <c r="B184" s="3" t="inlineStr">
        <is>
          <t>sábado</t>
        </is>
      </c>
      <c r="C184" s="3" t="inlineStr">
        <is>
          <t>Técnico 02</t>
        </is>
      </c>
      <c r="D184" s="3">
        <f>IFERROR(INDEX('TECNICOS'!$D$4:$D$15,MATCH($C184,'TECNICOS'!$B$4:$B$15,0)),"")</f>
        <v/>
      </c>
      <c r="E184" s="3">
        <f>IFERROR(INDEX('TECNICOS'!$C$4:$C$15,MATCH($C184,'TECNICOS'!$B$4:$B$15,0)),"")</f>
        <v/>
      </c>
      <c r="F184" s="6" t="inlineStr"/>
      <c r="G184" s="3">
        <f>IFERROR(INDEX('TECNICOS'!$E$4:$E$15,MATCH($C184,'TECNICOS'!$B$4:$B$15,0)),"")</f>
        <v/>
      </c>
      <c r="H184" s="3">
        <f>IF(OR($F184="",ISNUMBER(MATCH($F184,lista_no_disponible,0))),0,p_horas_jornada)</f>
        <v/>
      </c>
      <c r="I184" s="3">
        <f>$A184&amp;"|"&amp;$B184&amp;"|"&amp;$C184</f>
        <v/>
      </c>
    </row>
    <row r="185">
      <c r="A185" s="3" t="inlineStr">
        <is>
          <t>2026-S31</t>
        </is>
      </c>
      <c r="B185" s="3" t="inlineStr">
        <is>
          <t>domingo</t>
        </is>
      </c>
      <c r="C185" s="3" t="inlineStr">
        <is>
          <t>Técnico 02</t>
        </is>
      </c>
      <c r="D185" s="3">
        <f>IFERROR(INDEX('TECNICOS'!$D$4:$D$15,MATCH($C185,'TECNICOS'!$B$4:$B$15,0)),"")</f>
        <v/>
      </c>
      <c r="E185" s="3">
        <f>IFERROR(INDEX('TECNICOS'!$C$4:$C$15,MATCH($C185,'TECNICOS'!$B$4:$B$15,0)),"")</f>
        <v/>
      </c>
      <c r="F185" s="6" t="inlineStr"/>
      <c r="G185" s="3">
        <f>IFERROR(INDEX('TECNICOS'!$E$4:$E$15,MATCH($C185,'TECNICOS'!$B$4:$B$15,0)),"")</f>
        <v/>
      </c>
      <c r="H185" s="3">
        <f>IF(OR($F185="",ISNUMBER(MATCH($F185,lista_no_disponible,0))),0,p_horas_jornada)</f>
        <v/>
      </c>
      <c r="I185" s="3">
        <f>$A185&amp;"|"&amp;$B185&amp;"|"&amp;$C185</f>
        <v/>
      </c>
    </row>
    <row r="186">
      <c r="A186" s="3" t="inlineStr">
        <is>
          <t>2026-S31</t>
        </is>
      </c>
      <c r="B186" s="3" t="inlineStr">
        <is>
          <t>lunes</t>
        </is>
      </c>
      <c r="C186" s="3" t="inlineStr">
        <is>
          <t>Técnico 03</t>
        </is>
      </c>
      <c r="D186" s="3">
        <f>IFERROR(INDEX('TECNICOS'!$D$4:$D$15,MATCH($C186,'TECNICOS'!$B$4:$B$15,0)),"")</f>
        <v/>
      </c>
      <c r="E186" s="3">
        <f>IFERROR(INDEX('TECNICOS'!$C$4:$C$15,MATCH($C186,'TECNICOS'!$B$4:$B$15,0)),"")</f>
        <v/>
      </c>
      <c r="F186" s="6" t="inlineStr">
        <is>
          <t>T1</t>
        </is>
      </c>
      <c r="G186" s="3">
        <f>IFERROR(INDEX('TECNICOS'!$E$4:$E$15,MATCH($C186,'TECNICOS'!$B$4:$B$15,0)),"")</f>
        <v/>
      </c>
      <c r="H186" s="3">
        <f>IF(OR($F186="",ISNUMBER(MATCH($F186,lista_no_disponible,0))),0,p_horas_jornada)</f>
        <v/>
      </c>
      <c r="I186" s="3">
        <f>$A186&amp;"|"&amp;$B186&amp;"|"&amp;$C186</f>
        <v/>
      </c>
    </row>
    <row r="187">
      <c r="A187" s="3" t="inlineStr">
        <is>
          <t>2026-S31</t>
        </is>
      </c>
      <c r="B187" s="3" t="inlineStr">
        <is>
          <t>martes</t>
        </is>
      </c>
      <c r="C187" s="3" t="inlineStr">
        <is>
          <t>Técnico 03</t>
        </is>
      </c>
      <c r="D187" s="3">
        <f>IFERROR(INDEX('TECNICOS'!$D$4:$D$15,MATCH($C187,'TECNICOS'!$B$4:$B$15,0)),"")</f>
        <v/>
      </c>
      <c r="E187" s="3">
        <f>IFERROR(INDEX('TECNICOS'!$C$4:$C$15,MATCH($C187,'TECNICOS'!$B$4:$B$15,0)),"")</f>
        <v/>
      </c>
      <c r="F187" s="6" t="inlineStr">
        <is>
          <t>T1</t>
        </is>
      </c>
      <c r="G187" s="3">
        <f>IFERROR(INDEX('TECNICOS'!$E$4:$E$15,MATCH($C187,'TECNICOS'!$B$4:$B$15,0)),"")</f>
        <v/>
      </c>
      <c r="H187" s="3">
        <f>IF(OR($F187="",ISNUMBER(MATCH($F187,lista_no_disponible,0))),0,p_horas_jornada)</f>
        <v/>
      </c>
      <c r="I187" s="3">
        <f>$A187&amp;"|"&amp;$B187&amp;"|"&amp;$C187</f>
        <v/>
      </c>
    </row>
    <row r="188">
      <c r="A188" s="3" t="inlineStr">
        <is>
          <t>2026-S31</t>
        </is>
      </c>
      <c r="B188" s="3" t="inlineStr">
        <is>
          <t>miércoles</t>
        </is>
      </c>
      <c r="C188" s="3" t="inlineStr">
        <is>
          <t>Técnico 03</t>
        </is>
      </c>
      <c r="D188" s="3">
        <f>IFERROR(INDEX('TECNICOS'!$D$4:$D$15,MATCH($C188,'TECNICOS'!$B$4:$B$15,0)),"")</f>
        <v/>
      </c>
      <c r="E188" s="3">
        <f>IFERROR(INDEX('TECNICOS'!$C$4:$C$15,MATCH($C188,'TECNICOS'!$B$4:$B$15,0)),"")</f>
        <v/>
      </c>
      <c r="F188" s="6" t="inlineStr">
        <is>
          <t>T1</t>
        </is>
      </c>
      <c r="G188" s="3">
        <f>IFERROR(INDEX('TECNICOS'!$E$4:$E$15,MATCH($C188,'TECNICOS'!$B$4:$B$15,0)),"")</f>
        <v/>
      </c>
      <c r="H188" s="3">
        <f>IF(OR($F188="",ISNUMBER(MATCH($F188,lista_no_disponible,0))),0,p_horas_jornada)</f>
        <v/>
      </c>
      <c r="I188" s="3">
        <f>$A188&amp;"|"&amp;$B188&amp;"|"&amp;$C188</f>
        <v/>
      </c>
    </row>
    <row r="189">
      <c r="A189" s="3" t="inlineStr">
        <is>
          <t>2026-S31</t>
        </is>
      </c>
      <c r="B189" s="3" t="inlineStr">
        <is>
          <t>jueves</t>
        </is>
      </c>
      <c r="C189" s="3" t="inlineStr">
        <is>
          <t>Técnico 03</t>
        </is>
      </c>
      <c r="D189" s="3">
        <f>IFERROR(INDEX('TECNICOS'!$D$4:$D$15,MATCH($C189,'TECNICOS'!$B$4:$B$15,0)),"")</f>
        <v/>
      </c>
      <c r="E189" s="3">
        <f>IFERROR(INDEX('TECNICOS'!$C$4:$C$15,MATCH($C189,'TECNICOS'!$B$4:$B$15,0)),"")</f>
        <v/>
      </c>
      <c r="F189" s="6" t="inlineStr">
        <is>
          <t>T1</t>
        </is>
      </c>
      <c r="G189" s="3">
        <f>IFERROR(INDEX('TECNICOS'!$E$4:$E$15,MATCH($C189,'TECNICOS'!$B$4:$B$15,0)),"")</f>
        <v/>
      </c>
      <c r="H189" s="3">
        <f>IF(OR($F189="",ISNUMBER(MATCH($F189,lista_no_disponible,0))),0,p_horas_jornada)</f>
        <v/>
      </c>
      <c r="I189" s="3">
        <f>$A189&amp;"|"&amp;$B189&amp;"|"&amp;$C189</f>
        <v/>
      </c>
    </row>
    <row r="190">
      <c r="A190" s="3" t="inlineStr">
        <is>
          <t>2026-S31</t>
        </is>
      </c>
      <c r="B190" s="3" t="inlineStr">
        <is>
          <t>viernes</t>
        </is>
      </c>
      <c r="C190" s="3" t="inlineStr">
        <is>
          <t>Técnico 03</t>
        </is>
      </c>
      <c r="D190" s="3">
        <f>IFERROR(INDEX('TECNICOS'!$D$4:$D$15,MATCH($C190,'TECNICOS'!$B$4:$B$15,0)),"")</f>
        <v/>
      </c>
      <c r="E190" s="3">
        <f>IFERROR(INDEX('TECNICOS'!$C$4:$C$15,MATCH($C190,'TECNICOS'!$B$4:$B$15,0)),"")</f>
        <v/>
      </c>
      <c r="F190" s="6" t="inlineStr">
        <is>
          <t>T1</t>
        </is>
      </c>
      <c r="G190" s="3">
        <f>IFERROR(INDEX('TECNICOS'!$E$4:$E$15,MATCH($C190,'TECNICOS'!$B$4:$B$15,0)),"")</f>
        <v/>
      </c>
      <c r="H190" s="3">
        <f>IF(OR($F190="",ISNUMBER(MATCH($F190,lista_no_disponible,0))),0,p_horas_jornada)</f>
        <v/>
      </c>
      <c r="I190" s="3">
        <f>$A190&amp;"|"&amp;$B190&amp;"|"&amp;$C190</f>
        <v/>
      </c>
    </row>
    <row r="191">
      <c r="A191" s="3" t="inlineStr">
        <is>
          <t>2026-S31</t>
        </is>
      </c>
      <c r="B191" s="3" t="inlineStr">
        <is>
          <t>sábado</t>
        </is>
      </c>
      <c r="C191" s="3" t="inlineStr">
        <is>
          <t>Técnico 03</t>
        </is>
      </c>
      <c r="D191" s="3">
        <f>IFERROR(INDEX('TECNICOS'!$D$4:$D$15,MATCH($C191,'TECNICOS'!$B$4:$B$15,0)),"")</f>
        <v/>
      </c>
      <c r="E191" s="3">
        <f>IFERROR(INDEX('TECNICOS'!$C$4:$C$15,MATCH($C191,'TECNICOS'!$B$4:$B$15,0)),"")</f>
        <v/>
      </c>
      <c r="F191" s="6" t="inlineStr"/>
      <c r="G191" s="3">
        <f>IFERROR(INDEX('TECNICOS'!$E$4:$E$15,MATCH($C191,'TECNICOS'!$B$4:$B$15,0)),"")</f>
        <v/>
      </c>
      <c r="H191" s="3">
        <f>IF(OR($F191="",ISNUMBER(MATCH($F191,lista_no_disponible,0))),0,p_horas_jornada)</f>
        <v/>
      </c>
      <c r="I191" s="3">
        <f>$A191&amp;"|"&amp;$B191&amp;"|"&amp;$C191</f>
        <v/>
      </c>
    </row>
    <row r="192">
      <c r="A192" s="3" t="inlineStr">
        <is>
          <t>2026-S31</t>
        </is>
      </c>
      <c r="B192" s="3" t="inlineStr">
        <is>
          <t>domingo</t>
        </is>
      </c>
      <c r="C192" s="3" t="inlineStr">
        <is>
          <t>Técnico 03</t>
        </is>
      </c>
      <c r="D192" s="3">
        <f>IFERROR(INDEX('TECNICOS'!$D$4:$D$15,MATCH($C192,'TECNICOS'!$B$4:$B$15,0)),"")</f>
        <v/>
      </c>
      <c r="E192" s="3">
        <f>IFERROR(INDEX('TECNICOS'!$C$4:$C$15,MATCH($C192,'TECNICOS'!$B$4:$B$15,0)),"")</f>
        <v/>
      </c>
      <c r="F192" s="6" t="inlineStr"/>
      <c r="G192" s="3">
        <f>IFERROR(INDEX('TECNICOS'!$E$4:$E$15,MATCH($C192,'TECNICOS'!$B$4:$B$15,0)),"")</f>
        <v/>
      </c>
      <c r="H192" s="3">
        <f>IF(OR($F192="",ISNUMBER(MATCH($F192,lista_no_disponible,0))),0,p_horas_jornada)</f>
        <v/>
      </c>
      <c r="I192" s="3">
        <f>$A192&amp;"|"&amp;$B192&amp;"|"&amp;$C192</f>
        <v/>
      </c>
    </row>
    <row r="193">
      <c r="A193" s="3" t="inlineStr">
        <is>
          <t>2026-S31</t>
        </is>
      </c>
      <c r="B193" s="3" t="inlineStr">
        <is>
          <t>lunes</t>
        </is>
      </c>
      <c r="C193" s="3" t="inlineStr">
        <is>
          <t>Técnico 04</t>
        </is>
      </c>
      <c r="D193" s="3">
        <f>IFERROR(INDEX('TECNICOS'!$D$4:$D$15,MATCH($C193,'TECNICOS'!$B$4:$B$15,0)),"")</f>
        <v/>
      </c>
      <c r="E193" s="3">
        <f>IFERROR(INDEX('TECNICOS'!$C$4:$C$15,MATCH($C193,'TECNICOS'!$B$4:$B$15,0)),"")</f>
        <v/>
      </c>
      <c r="F193" s="6" t="inlineStr">
        <is>
          <t>VAC</t>
        </is>
      </c>
      <c r="G193" s="3">
        <f>IFERROR(INDEX('TECNICOS'!$E$4:$E$15,MATCH($C193,'TECNICOS'!$B$4:$B$15,0)),"")</f>
        <v/>
      </c>
      <c r="H193" s="3">
        <f>IF(OR($F193="",ISNUMBER(MATCH($F193,lista_no_disponible,0))),0,p_horas_jornada)</f>
        <v/>
      </c>
      <c r="I193" s="3">
        <f>$A193&amp;"|"&amp;$B193&amp;"|"&amp;$C193</f>
        <v/>
      </c>
    </row>
    <row r="194">
      <c r="A194" s="3" t="inlineStr">
        <is>
          <t>2026-S31</t>
        </is>
      </c>
      <c r="B194" s="3" t="inlineStr">
        <is>
          <t>martes</t>
        </is>
      </c>
      <c r="C194" s="3" t="inlineStr">
        <is>
          <t>Técnico 04</t>
        </is>
      </c>
      <c r="D194" s="3">
        <f>IFERROR(INDEX('TECNICOS'!$D$4:$D$15,MATCH($C194,'TECNICOS'!$B$4:$B$15,0)),"")</f>
        <v/>
      </c>
      <c r="E194" s="3">
        <f>IFERROR(INDEX('TECNICOS'!$C$4:$C$15,MATCH($C194,'TECNICOS'!$B$4:$B$15,0)),"")</f>
        <v/>
      </c>
      <c r="F194" s="6" t="inlineStr">
        <is>
          <t>VAC</t>
        </is>
      </c>
      <c r="G194" s="3">
        <f>IFERROR(INDEX('TECNICOS'!$E$4:$E$15,MATCH($C194,'TECNICOS'!$B$4:$B$15,0)),"")</f>
        <v/>
      </c>
      <c r="H194" s="3">
        <f>IF(OR($F194="",ISNUMBER(MATCH($F194,lista_no_disponible,0))),0,p_horas_jornada)</f>
        <v/>
      </c>
      <c r="I194" s="3">
        <f>$A194&amp;"|"&amp;$B194&amp;"|"&amp;$C194</f>
        <v/>
      </c>
    </row>
    <row r="195">
      <c r="A195" s="3" t="inlineStr">
        <is>
          <t>2026-S31</t>
        </is>
      </c>
      <c r="B195" s="3" t="inlineStr">
        <is>
          <t>miércoles</t>
        </is>
      </c>
      <c r="C195" s="3" t="inlineStr">
        <is>
          <t>Técnico 04</t>
        </is>
      </c>
      <c r="D195" s="3">
        <f>IFERROR(INDEX('TECNICOS'!$D$4:$D$15,MATCH($C195,'TECNICOS'!$B$4:$B$15,0)),"")</f>
        <v/>
      </c>
      <c r="E195" s="3">
        <f>IFERROR(INDEX('TECNICOS'!$C$4:$C$15,MATCH($C195,'TECNICOS'!$B$4:$B$15,0)),"")</f>
        <v/>
      </c>
      <c r="F195" s="6" t="inlineStr">
        <is>
          <t>VAC</t>
        </is>
      </c>
      <c r="G195" s="3">
        <f>IFERROR(INDEX('TECNICOS'!$E$4:$E$15,MATCH($C195,'TECNICOS'!$B$4:$B$15,0)),"")</f>
        <v/>
      </c>
      <c r="H195" s="3">
        <f>IF(OR($F195="",ISNUMBER(MATCH($F195,lista_no_disponible,0))),0,p_horas_jornada)</f>
        <v/>
      </c>
      <c r="I195" s="3">
        <f>$A195&amp;"|"&amp;$B195&amp;"|"&amp;$C195</f>
        <v/>
      </c>
    </row>
    <row r="196">
      <c r="A196" s="3" t="inlineStr">
        <is>
          <t>2026-S31</t>
        </is>
      </c>
      <c r="B196" s="3" t="inlineStr">
        <is>
          <t>jueves</t>
        </is>
      </c>
      <c r="C196" s="3" t="inlineStr">
        <is>
          <t>Técnico 04</t>
        </is>
      </c>
      <c r="D196" s="3">
        <f>IFERROR(INDEX('TECNICOS'!$D$4:$D$15,MATCH($C196,'TECNICOS'!$B$4:$B$15,0)),"")</f>
        <v/>
      </c>
      <c r="E196" s="3">
        <f>IFERROR(INDEX('TECNICOS'!$C$4:$C$15,MATCH($C196,'TECNICOS'!$B$4:$B$15,0)),"")</f>
        <v/>
      </c>
      <c r="F196" s="6" t="inlineStr">
        <is>
          <t>VAC</t>
        </is>
      </c>
      <c r="G196" s="3">
        <f>IFERROR(INDEX('TECNICOS'!$E$4:$E$15,MATCH($C196,'TECNICOS'!$B$4:$B$15,0)),"")</f>
        <v/>
      </c>
      <c r="H196" s="3">
        <f>IF(OR($F196="",ISNUMBER(MATCH($F196,lista_no_disponible,0))),0,p_horas_jornada)</f>
        <v/>
      </c>
      <c r="I196" s="3">
        <f>$A196&amp;"|"&amp;$B196&amp;"|"&amp;$C196</f>
        <v/>
      </c>
    </row>
    <row r="197">
      <c r="A197" s="3" t="inlineStr">
        <is>
          <t>2026-S31</t>
        </is>
      </c>
      <c r="B197" s="3" t="inlineStr">
        <is>
          <t>viernes</t>
        </is>
      </c>
      <c r="C197" s="3" t="inlineStr">
        <is>
          <t>Técnico 04</t>
        </is>
      </c>
      <c r="D197" s="3">
        <f>IFERROR(INDEX('TECNICOS'!$D$4:$D$15,MATCH($C197,'TECNICOS'!$B$4:$B$15,0)),"")</f>
        <v/>
      </c>
      <c r="E197" s="3">
        <f>IFERROR(INDEX('TECNICOS'!$C$4:$C$15,MATCH($C197,'TECNICOS'!$B$4:$B$15,0)),"")</f>
        <v/>
      </c>
      <c r="F197" s="6" t="inlineStr">
        <is>
          <t>VAC</t>
        </is>
      </c>
      <c r="G197" s="3">
        <f>IFERROR(INDEX('TECNICOS'!$E$4:$E$15,MATCH($C197,'TECNICOS'!$B$4:$B$15,0)),"")</f>
        <v/>
      </c>
      <c r="H197" s="3">
        <f>IF(OR($F197="",ISNUMBER(MATCH($F197,lista_no_disponible,0))),0,p_horas_jornada)</f>
        <v/>
      </c>
      <c r="I197" s="3">
        <f>$A197&amp;"|"&amp;$B197&amp;"|"&amp;$C197</f>
        <v/>
      </c>
    </row>
    <row r="198">
      <c r="A198" s="3" t="inlineStr">
        <is>
          <t>2026-S31</t>
        </is>
      </c>
      <c r="B198" s="3" t="inlineStr">
        <is>
          <t>sábado</t>
        </is>
      </c>
      <c r="C198" s="3" t="inlineStr">
        <is>
          <t>Técnico 04</t>
        </is>
      </c>
      <c r="D198" s="3">
        <f>IFERROR(INDEX('TECNICOS'!$D$4:$D$15,MATCH($C198,'TECNICOS'!$B$4:$B$15,0)),"")</f>
        <v/>
      </c>
      <c r="E198" s="3">
        <f>IFERROR(INDEX('TECNICOS'!$C$4:$C$15,MATCH($C198,'TECNICOS'!$B$4:$B$15,0)),"")</f>
        <v/>
      </c>
      <c r="F198" s="6" t="inlineStr"/>
      <c r="G198" s="3">
        <f>IFERROR(INDEX('TECNICOS'!$E$4:$E$15,MATCH($C198,'TECNICOS'!$B$4:$B$15,0)),"")</f>
        <v/>
      </c>
      <c r="H198" s="3">
        <f>IF(OR($F198="",ISNUMBER(MATCH($F198,lista_no_disponible,0))),0,p_horas_jornada)</f>
        <v/>
      </c>
      <c r="I198" s="3">
        <f>$A198&amp;"|"&amp;$B198&amp;"|"&amp;$C198</f>
        <v/>
      </c>
    </row>
    <row r="199">
      <c r="A199" s="3" t="inlineStr">
        <is>
          <t>2026-S31</t>
        </is>
      </c>
      <c r="B199" s="3" t="inlineStr">
        <is>
          <t>domingo</t>
        </is>
      </c>
      <c r="C199" s="3" t="inlineStr">
        <is>
          <t>Técnico 04</t>
        </is>
      </c>
      <c r="D199" s="3">
        <f>IFERROR(INDEX('TECNICOS'!$D$4:$D$15,MATCH($C199,'TECNICOS'!$B$4:$B$15,0)),"")</f>
        <v/>
      </c>
      <c r="E199" s="3">
        <f>IFERROR(INDEX('TECNICOS'!$C$4:$C$15,MATCH($C199,'TECNICOS'!$B$4:$B$15,0)),"")</f>
        <v/>
      </c>
      <c r="F199" s="6" t="inlineStr"/>
      <c r="G199" s="3">
        <f>IFERROR(INDEX('TECNICOS'!$E$4:$E$15,MATCH($C199,'TECNICOS'!$B$4:$B$15,0)),"")</f>
        <v/>
      </c>
      <c r="H199" s="3">
        <f>IF(OR($F199="",ISNUMBER(MATCH($F199,lista_no_disponible,0))),0,p_horas_jornada)</f>
        <v/>
      </c>
      <c r="I199" s="3">
        <f>$A199&amp;"|"&amp;$B199&amp;"|"&amp;$C199</f>
        <v/>
      </c>
    </row>
    <row r="200">
      <c r="A200" s="3" t="inlineStr">
        <is>
          <t>2026-S31</t>
        </is>
      </c>
      <c r="B200" s="3" t="inlineStr">
        <is>
          <t>lunes</t>
        </is>
      </c>
      <c r="C200" s="3" t="inlineStr">
        <is>
          <t>Técnico 05</t>
        </is>
      </c>
      <c r="D200" s="3">
        <f>IFERROR(INDEX('TECNICOS'!$D$4:$D$15,MATCH($C200,'TECNICOS'!$B$4:$B$15,0)),"")</f>
        <v/>
      </c>
      <c r="E200" s="3">
        <f>IFERROR(INDEX('TECNICOS'!$C$4:$C$15,MATCH($C200,'TECNICOS'!$B$4:$B$15,0)),"")</f>
        <v/>
      </c>
      <c r="F200" s="6" t="inlineStr">
        <is>
          <t>T1</t>
        </is>
      </c>
      <c r="G200" s="3">
        <f>IFERROR(INDEX('TECNICOS'!$E$4:$E$15,MATCH($C200,'TECNICOS'!$B$4:$B$15,0)),"")</f>
        <v/>
      </c>
      <c r="H200" s="3">
        <f>IF(OR($F200="",ISNUMBER(MATCH($F200,lista_no_disponible,0))),0,p_horas_jornada)</f>
        <v/>
      </c>
      <c r="I200" s="3">
        <f>$A200&amp;"|"&amp;$B200&amp;"|"&amp;$C200</f>
        <v/>
      </c>
    </row>
    <row r="201">
      <c r="A201" s="3" t="inlineStr">
        <is>
          <t>2026-S31</t>
        </is>
      </c>
      <c r="B201" s="3" t="inlineStr">
        <is>
          <t>martes</t>
        </is>
      </c>
      <c r="C201" s="3" t="inlineStr">
        <is>
          <t>Técnico 05</t>
        </is>
      </c>
      <c r="D201" s="3">
        <f>IFERROR(INDEX('TECNICOS'!$D$4:$D$15,MATCH($C201,'TECNICOS'!$B$4:$B$15,0)),"")</f>
        <v/>
      </c>
      <c r="E201" s="3">
        <f>IFERROR(INDEX('TECNICOS'!$C$4:$C$15,MATCH($C201,'TECNICOS'!$B$4:$B$15,0)),"")</f>
        <v/>
      </c>
      <c r="F201" s="6" t="inlineStr">
        <is>
          <t>T1</t>
        </is>
      </c>
      <c r="G201" s="3">
        <f>IFERROR(INDEX('TECNICOS'!$E$4:$E$15,MATCH($C201,'TECNICOS'!$B$4:$B$15,0)),"")</f>
        <v/>
      </c>
      <c r="H201" s="3">
        <f>IF(OR($F201="",ISNUMBER(MATCH($F201,lista_no_disponible,0))),0,p_horas_jornada)</f>
        <v/>
      </c>
      <c r="I201" s="3">
        <f>$A201&amp;"|"&amp;$B201&amp;"|"&amp;$C201</f>
        <v/>
      </c>
    </row>
    <row r="202">
      <c r="A202" s="3" t="inlineStr">
        <is>
          <t>2026-S31</t>
        </is>
      </c>
      <c r="B202" s="3" t="inlineStr">
        <is>
          <t>miércoles</t>
        </is>
      </c>
      <c r="C202" s="3" t="inlineStr">
        <is>
          <t>Técnico 05</t>
        </is>
      </c>
      <c r="D202" s="3">
        <f>IFERROR(INDEX('TECNICOS'!$D$4:$D$15,MATCH($C202,'TECNICOS'!$B$4:$B$15,0)),"")</f>
        <v/>
      </c>
      <c r="E202" s="3">
        <f>IFERROR(INDEX('TECNICOS'!$C$4:$C$15,MATCH($C202,'TECNICOS'!$B$4:$B$15,0)),"")</f>
        <v/>
      </c>
      <c r="F202" s="6" t="inlineStr">
        <is>
          <t>T1</t>
        </is>
      </c>
      <c r="G202" s="3">
        <f>IFERROR(INDEX('TECNICOS'!$E$4:$E$15,MATCH($C202,'TECNICOS'!$B$4:$B$15,0)),"")</f>
        <v/>
      </c>
      <c r="H202" s="3">
        <f>IF(OR($F202="",ISNUMBER(MATCH($F202,lista_no_disponible,0))),0,p_horas_jornada)</f>
        <v/>
      </c>
      <c r="I202" s="3">
        <f>$A202&amp;"|"&amp;$B202&amp;"|"&amp;$C202</f>
        <v/>
      </c>
    </row>
    <row r="203">
      <c r="A203" s="3" t="inlineStr">
        <is>
          <t>2026-S31</t>
        </is>
      </c>
      <c r="B203" s="3" t="inlineStr">
        <is>
          <t>jueves</t>
        </is>
      </c>
      <c r="C203" s="3" t="inlineStr">
        <is>
          <t>Técnico 05</t>
        </is>
      </c>
      <c r="D203" s="3">
        <f>IFERROR(INDEX('TECNICOS'!$D$4:$D$15,MATCH($C203,'TECNICOS'!$B$4:$B$15,0)),"")</f>
        <v/>
      </c>
      <c r="E203" s="3">
        <f>IFERROR(INDEX('TECNICOS'!$C$4:$C$15,MATCH($C203,'TECNICOS'!$B$4:$B$15,0)),"")</f>
        <v/>
      </c>
      <c r="F203" s="6" t="inlineStr">
        <is>
          <t>T1</t>
        </is>
      </c>
      <c r="G203" s="3">
        <f>IFERROR(INDEX('TECNICOS'!$E$4:$E$15,MATCH($C203,'TECNICOS'!$B$4:$B$15,0)),"")</f>
        <v/>
      </c>
      <c r="H203" s="3">
        <f>IF(OR($F203="",ISNUMBER(MATCH($F203,lista_no_disponible,0))),0,p_horas_jornada)</f>
        <v/>
      </c>
      <c r="I203" s="3">
        <f>$A203&amp;"|"&amp;$B203&amp;"|"&amp;$C203</f>
        <v/>
      </c>
    </row>
    <row r="204">
      <c r="A204" s="3" t="inlineStr">
        <is>
          <t>2026-S31</t>
        </is>
      </c>
      <c r="B204" s="3" t="inlineStr">
        <is>
          <t>viernes</t>
        </is>
      </c>
      <c r="C204" s="3" t="inlineStr">
        <is>
          <t>Técnico 05</t>
        </is>
      </c>
      <c r="D204" s="3">
        <f>IFERROR(INDEX('TECNICOS'!$D$4:$D$15,MATCH($C204,'TECNICOS'!$B$4:$B$15,0)),"")</f>
        <v/>
      </c>
      <c r="E204" s="3">
        <f>IFERROR(INDEX('TECNICOS'!$C$4:$C$15,MATCH($C204,'TECNICOS'!$B$4:$B$15,0)),"")</f>
        <v/>
      </c>
      <c r="F204" s="6" t="inlineStr">
        <is>
          <t>T1</t>
        </is>
      </c>
      <c r="G204" s="3">
        <f>IFERROR(INDEX('TECNICOS'!$E$4:$E$15,MATCH($C204,'TECNICOS'!$B$4:$B$15,0)),"")</f>
        <v/>
      </c>
      <c r="H204" s="3">
        <f>IF(OR($F204="",ISNUMBER(MATCH($F204,lista_no_disponible,0))),0,p_horas_jornada)</f>
        <v/>
      </c>
      <c r="I204" s="3">
        <f>$A204&amp;"|"&amp;$B204&amp;"|"&amp;$C204</f>
        <v/>
      </c>
    </row>
    <row r="205">
      <c r="A205" s="3" t="inlineStr">
        <is>
          <t>2026-S31</t>
        </is>
      </c>
      <c r="B205" s="3" t="inlineStr">
        <is>
          <t>sábado</t>
        </is>
      </c>
      <c r="C205" s="3" t="inlineStr">
        <is>
          <t>Técnico 05</t>
        </is>
      </c>
      <c r="D205" s="3">
        <f>IFERROR(INDEX('TECNICOS'!$D$4:$D$15,MATCH($C205,'TECNICOS'!$B$4:$B$15,0)),"")</f>
        <v/>
      </c>
      <c r="E205" s="3">
        <f>IFERROR(INDEX('TECNICOS'!$C$4:$C$15,MATCH($C205,'TECNICOS'!$B$4:$B$15,0)),"")</f>
        <v/>
      </c>
      <c r="F205" s="6" t="inlineStr"/>
      <c r="G205" s="3">
        <f>IFERROR(INDEX('TECNICOS'!$E$4:$E$15,MATCH($C205,'TECNICOS'!$B$4:$B$15,0)),"")</f>
        <v/>
      </c>
      <c r="H205" s="3">
        <f>IF(OR($F205="",ISNUMBER(MATCH($F205,lista_no_disponible,0))),0,p_horas_jornada)</f>
        <v/>
      </c>
      <c r="I205" s="3">
        <f>$A205&amp;"|"&amp;$B205&amp;"|"&amp;$C205</f>
        <v/>
      </c>
    </row>
    <row r="206">
      <c r="A206" s="3" t="inlineStr">
        <is>
          <t>2026-S31</t>
        </is>
      </c>
      <c r="B206" s="3" t="inlineStr">
        <is>
          <t>domingo</t>
        </is>
      </c>
      <c r="C206" s="3" t="inlineStr">
        <is>
          <t>Técnico 05</t>
        </is>
      </c>
      <c r="D206" s="3">
        <f>IFERROR(INDEX('TECNICOS'!$D$4:$D$15,MATCH($C206,'TECNICOS'!$B$4:$B$15,0)),"")</f>
        <v/>
      </c>
      <c r="E206" s="3">
        <f>IFERROR(INDEX('TECNICOS'!$C$4:$C$15,MATCH($C206,'TECNICOS'!$B$4:$B$15,0)),"")</f>
        <v/>
      </c>
      <c r="F206" s="6" t="inlineStr"/>
      <c r="G206" s="3">
        <f>IFERROR(INDEX('TECNICOS'!$E$4:$E$15,MATCH($C206,'TECNICOS'!$B$4:$B$15,0)),"")</f>
        <v/>
      </c>
      <c r="H206" s="3">
        <f>IF(OR($F206="",ISNUMBER(MATCH($F206,lista_no_disponible,0))),0,p_horas_jornada)</f>
        <v/>
      </c>
      <c r="I206" s="3">
        <f>$A206&amp;"|"&amp;$B206&amp;"|"&amp;$C206</f>
        <v/>
      </c>
    </row>
    <row r="207">
      <c r="A207" s="3" t="inlineStr">
        <is>
          <t>2026-S31</t>
        </is>
      </c>
      <c r="B207" s="3" t="inlineStr">
        <is>
          <t>lunes</t>
        </is>
      </c>
      <c r="C207" s="3" t="inlineStr">
        <is>
          <t>Técnico 06</t>
        </is>
      </c>
      <c r="D207" s="3">
        <f>IFERROR(INDEX('TECNICOS'!$D$4:$D$15,MATCH($C207,'TECNICOS'!$B$4:$B$15,0)),"")</f>
        <v/>
      </c>
      <c r="E207" s="3">
        <f>IFERROR(INDEX('TECNICOS'!$C$4:$C$15,MATCH($C207,'TECNICOS'!$B$4:$B$15,0)),"")</f>
        <v/>
      </c>
      <c r="F207" s="6" t="inlineStr">
        <is>
          <t>T1</t>
        </is>
      </c>
      <c r="G207" s="3">
        <f>IFERROR(INDEX('TECNICOS'!$E$4:$E$15,MATCH($C207,'TECNICOS'!$B$4:$B$15,0)),"")</f>
        <v/>
      </c>
      <c r="H207" s="3">
        <f>IF(OR($F207="",ISNUMBER(MATCH($F207,lista_no_disponible,0))),0,p_horas_jornada)</f>
        <v/>
      </c>
      <c r="I207" s="3">
        <f>$A207&amp;"|"&amp;$B207&amp;"|"&amp;$C207</f>
        <v/>
      </c>
    </row>
    <row r="208">
      <c r="A208" s="3" t="inlineStr">
        <is>
          <t>2026-S31</t>
        </is>
      </c>
      <c r="B208" s="3" t="inlineStr">
        <is>
          <t>martes</t>
        </is>
      </c>
      <c r="C208" s="3" t="inlineStr">
        <is>
          <t>Técnico 06</t>
        </is>
      </c>
      <c r="D208" s="3">
        <f>IFERROR(INDEX('TECNICOS'!$D$4:$D$15,MATCH($C208,'TECNICOS'!$B$4:$B$15,0)),"")</f>
        <v/>
      </c>
      <c r="E208" s="3">
        <f>IFERROR(INDEX('TECNICOS'!$C$4:$C$15,MATCH($C208,'TECNICOS'!$B$4:$B$15,0)),"")</f>
        <v/>
      </c>
      <c r="F208" s="6" t="inlineStr">
        <is>
          <t>T1</t>
        </is>
      </c>
      <c r="G208" s="3">
        <f>IFERROR(INDEX('TECNICOS'!$E$4:$E$15,MATCH($C208,'TECNICOS'!$B$4:$B$15,0)),"")</f>
        <v/>
      </c>
      <c r="H208" s="3">
        <f>IF(OR($F208="",ISNUMBER(MATCH($F208,lista_no_disponible,0))),0,p_horas_jornada)</f>
        <v/>
      </c>
      <c r="I208" s="3">
        <f>$A208&amp;"|"&amp;$B208&amp;"|"&amp;$C208</f>
        <v/>
      </c>
    </row>
    <row r="209">
      <c r="A209" s="3" t="inlineStr">
        <is>
          <t>2026-S31</t>
        </is>
      </c>
      <c r="B209" s="3" t="inlineStr">
        <is>
          <t>miércoles</t>
        </is>
      </c>
      <c r="C209" s="3" t="inlineStr">
        <is>
          <t>Técnico 06</t>
        </is>
      </c>
      <c r="D209" s="3">
        <f>IFERROR(INDEX('TECNICOS'!$D$4:$D$15,MATCH($C209,'TECNICOS'!$B$4:$B$15,0)),"")</f>
        <v/>
      </c>
      <c r="E209" s="3">
        <f>IFERROR(INDEX('TECNICOS'!$C$4:$C$15,MATCH($C209,'TECNICOS'!$B$4:$B$15,0)),"")</f>
        <v/>
      </c>
      <c r="F209" s="6" t="inlineStr">
        <is>
          <t>T1</t>
        </is>
      </c>
      <c r="G209" s="3">
        <f>IFERROR(INDEX('TECNICOS'!$E$4:$E$15,MATCH($C209,'TECNICOS'!$B$4:$B$15,0)),"")</f>
        <v/>
      </c>
      <c r="H209" s="3">
        <f>IF(OR($F209="",ISNUMBER(MATCH($F209,lista_no_disponible,0))),0,p_horas_jornada)</f>
        <v/>
      </c>
      <c r="I209" s="3">
        <f>$A209&amp;"|"&amp;$B209&amp;"|"&amp;$C209</f>
        <v/>
      </c>
    </row>
    <row r="210">
      <c r="A210" s="3" t="inlineStr">
        <is>
          <t>2026-S31</t>
        </is>
      </c>
      <c r="B210" s="3" t="inlineStr">
        <is>
          <t>jueves</t>
        </is>
      </c>
      <c r="C210" s="3" t="inlineStr">
        <is>
          <t>Técnico 06</t>
        </is>
      </c>
      <c r="D210" s="3">
        <f>IFERROR(INDEX('TECNICOS'!$D$4:$D$15,MATCH($C210,'TECNICOS'!$B$4:$B$15,0)),"")</f>
        <v/>
      </c>
      <c r="E210" s="3">
        <f>IFERROR(INDEX('TECNICOS'!$C$4:$C$15,MATCH($C210,'TECNICOS'!$B$4:$B$15,0)),"")</f>
        <v/>
      </c>
      <c r="F210" s="6" t="inlineStr">
        <is>
          <t>T1</t>
        </is>
      </c>
      <c r="G210" s="3">
        <f>IFERROR(INDEX('TECNICOS'!$E$4:$E$15,MATCH($C210,'TECNICOS'!$B$4:$B$15,0)),"")</f>
        <v/>
      </c>
      <c r="H210" s="3">
        <f>IF(OR($F210="",ISNUMBER(MATCH($F210,lista_no_disponible,0))),0,p_horas_jornada)</f>
        <v/>
      </c>
      <c r="I210" s="3">
        <f>$A210&amp;"|"&amp;$B210&amp;"|"&amp;$C210</f>
        <v/>
      </c>
    </row>
    <row r="211">
      <c r="A211" s="3" t="inlineStr">
        <is>
          <t>2026-S31</t>
        </is>
      </c>
      <c r="B211" s="3" t="inlineStr">
        <is>
          <t>viernes</t>
        </is>
      </c>
      <c r="C211" s="3" t="inlineStr">
        <is>
          <t>Técnico 06</t>
        </is>
      </c>
      <c r="D211" s="3">
        <f>IFERROR(INDEX('TECNICOS'!$D$4:$D$15,MATCH($C211,'TECNICOS'!$B$4:$B$15,0)),"")</f>
        <v/>
      </c>
      <c r="E211" s="3">
        <f>IFERROR(INDEX('TECNICOS'!$C$4:$C$15,MATCH($C211,'TECNICOS'!$B$4:$B$15,0)),"")</f>
        <v/>
      </c>
      <c r="F211" s="6" t="inlineStr">
        <is>
          <t>T1</t>
        </is>
      </c>
      <c r="G211" s="3">
        <f>IFERROR(INDEX('TECNICOS'!$E$4:$E$15,MATCH($C211,'TECNICOS'!$B$4:$B$15,0)),"")</f>
        <v/>
      </c>
      <c r="H211" s="3">
        <f>IF(OR($F211="",ISNUMBER(MATCH($F211,lista_no_disponible,0))),0,p_horas_jornada)</f>
        <v/>
      </c>
      <c r="I211" s="3">
        <f>$A211&amp;"|"&amp;$B211&amp;"|"&amp;$C211</f>
        <v/>
      </c>
    </row>
    <row r="212">
      <c r="A212" s="3" t="inlineStr">
        <is>
          <t>2026-S31</t>
        </is>
      </c>
      <c r="B212" s="3" t="inlineStr">
        <is>
          <t>sábado</t>
        </is>
      </c>
      <c r="C212" s="3" t="inlineStr">
        <is>
          <t>Técnico 06</t>
        </is>
      </c>
      <c r="D212" s="3">
        <f>IFERROR(INDEX('TECNICOS'!$D$4:$D$15,MATCH($C212,'TECNICOS'!$B$4:$B$15,0)),"")</f>
        <v/>
      </c>
      <c r="E212" s="3">
        <f>IFERROR(INDEX('TECNICOS'!$C$4:$C$15,MATCH($C212,'TECNICOS'!$B$4:$B$15,0)),"")</f>
        <v/>
      </c>
      <c r="F212" s="6" t="inlineStr"/>
      <c r="G212" s="3">
        <f>IFERROR(INDEX('TECNICOS'!$E$4:$E$15,MATCH($C212,'TECNICOS'!$B$4:$B$15,0)),"")</f>
        <v/>
      </c>
      <c r="H212" s="3">
        <f>IF(OR($F212="",ISNUMBER(MATCH($F212,lista_no_disponible,0))),0,p_horas_jornada)</f>
        <v/>
      </c>
      <c r="I212" s="3">
        <f>$A212&amp;"|"&amp;$B212&amp;"|"&amp;$C212</f>
        <v/>
      </c>
    </row>
    <row r="213">
      <c r="A213" s="3" t="inlineStr">
        <is>
          <t>2026-S31</t>
        </is>
      </c>
      <c r="B213" s="3" t="inlineStr">
        <is>
          <t>domingo</t>
        </is>
      </c>
      <c r="C213" s="3" t="inlineStr">
        <is>
          <t>Técnico 06</t>
        </is>
      </c>
      <c r="D213" s="3">
        <f>IFERROR(INDEX('TECNICOS'!$D$4:$D$15,MATCH($C213,'TECNICOS'!$B$4:$B$15,0)),"")</f>
        <v/>
      </c>
      <c r="E213" s="3">
        <f>IFERROR(INDEX('TECNICOS'!$C$4:$C$15,MATCH($C213,'TECNICOS'!$B$4:$B$15,0)),"")</f>
        <v/>
      </c>
      <c r="F213" s="6" t="inlineStr"/>
      <c r="G213" s="3">
        <f>IFERROR(INDEX('TECNICOS'!$E$4:$E$15,MATCH($C213,'TECNICOS'!$B$4:$B$15,0)),"")</f>
        <v/>
      </c>
      <c r="H213" s="3">
        <f>IF(OR($F213="",ISNUMBER(MATCH($F213,lista_no_disponible,0))),0,p_horas_jornada)</f>
        <v/>
      </c>
      <c r="I213" s="3">
        <f>$A213&amp;"|"&amp;$B213&amp;"|"&amp;$C213</f>
        <v/>
      </c>
    </row>
    <row r="214">
      <c r="A214" s="3" t="inlineStr">
        <is>
          <t>2026-S31</t>
        </is>
      </c>
      <c r="B214" s="3" t="inlineStr">
        <is>
          <t>lunes</t>
        </is>
      </c>
      <c r="C214" s="3" t="inlineStr">
        <is>
          <t>Técnico 07</t>
        </is>
      </c>
      <c r="D214" s="3">
        <f>IFERROR(INDEX('TECNICOS'!$D$4:$D$15,MATCH($C214,'TECNICOS'!$B$4:$B$15,0)),"")</f>
        <v/>
      </c>
      <c r="E214" s="3">
        <f>IFERROR(INDEX('TECNICOS'!$C$4:$C$15,MATCH($C214,'TECNICOS'!$B$4:$B$15,0)),"")</f>
        <v/>
      </c>
      <c r="F214" s="6" t="inlineStr">
        <is>
          <t>T1</t>
        </is>
      </c>
      <c r="G214" s="3">
        <f>IFERROR(INDEX('TECNICOS'!$E$4:$E$15,MATCH($C214,'TECNICOS'!$B$4:$B$15,0)),"")</f>
        <v/>
      </c>
      <c r="H214" s="3">
        <f>IF(OR($F214="",ISNUMBER(MATCH($F214,lista_no_disponible,0))),0,p_horas_jornada)</f>
        <v/>
      </c>
      <c r="I214" s="3">
        <f>$A214&amp;"|"&amp;$B214&amp;"|"&amp;$C214</f>
        <v/>
      </c>
    </row>
    <row r="215">
      <c r="A215" s="3" t="inlineStr">
        <is>
          <t>2026-S31</t>
        </is>
      </c>
      <c r="B215" s="3" t="inlineStr">
        <is>
          <t>martes</t>
        </is>
      </c>
      <c r="C215" s="3" t="inlineStr">
        <is>
          <t>Técnico 07</t>
        </is>
      </c>
      <c r="D215" s="3">
        <f>IFERROR(INDEX('TECNICOS'!$D$4:$D$15,MATCH($C215,'TECNICOS'!$B$4:$B$15,0)),"")</f>
        <v/>
      </c>
      <c r="E215" s="3">
        <f>IFERROR(INDEX('TECNICOS'!$C$4:$C$15,MATCH($C215,'TECNICOS'!$B$4:$B$15,0)),"")</f>
        <v/>
      </c>
      <c r="F215" s="6" t="inlineStr">
        <is>
          <t>T1</t>
        </is>
      </c>
      <c r="G215" s="3">
        <f>IFERROR(INDEX('TECNICOS'!$E$4:$E$15,MATCH($C215,'TECNICOS'!$B$4:$B$15,0)),"")</f>
        <v/>
      </c>
      <c r="H215" s="3">
        <f>IF(OR($F215="",ISNUMBER(MATCH($F215,lista_no_disponible,0))),0,p_horas_jornada)</f>
        <v/>
      </c>
      <c r="I215" s="3">
        <f>$A215&amp;"|"&amp;$B215&amp;"|"&amp;$C215</f>
        <v/>
      </c>
    </row>
    <row r="216">
      <c r="A216" s="3" t="inlineStr">
        <is>
          <t>2026-S31</t>
        </is>
      </c>
      <c r="B216" s="3" t="inlineStr">
        <is>
          <t>miércoles</t>
        </is>
      </c>
      <c r="C216" s="3" t="inlineStr">
        <is>
          <t>Técnico 07</t>
        </is>
      </c>
      <c r="D216" s="3">
        <f>IFERROR(INDEX('TECNICOS'!$D$4:$D$15,MATCH($C216,'TECNICOS'!$B$4:$B$15,0)),"")</f>
        <v/>
      </c>
      <c r="E216" s="3">
        <f>IFERROR(INDEX('TECNICOS'!$C$4:$C$15,MATCH($C216,'TECNICOS'!$B$4:$B$15,0)),"")</f>
        <v/>
      </c>
      <c r="F216" s="6" t="inlineStr">
        <is>
          <t>T1</t>
        </is>
      </c>
      <c r="G216" s="3">
        <f>IFERROR(INDEX('TECNICOS'!$E$4:$E$15,MATCH($C216,'TECNICOS'!$B$4:$B$15,0)),"")</f>
        <v/>
      </c>
      <c r="H216" s="3">
        <f>IF(OR($F216="",ISNUMBER(MATCH($F216,lista_no_disponible,0))),0,p_horas_jornada)</f>
        <v/>
      </c>
      <c r="I216" s="3">
        <f>$A216&amp;"|"&amp;$B216&amp;"|"&amp;$C216</f>
        <v/>
      </c>
    </row>
    <row r="217">
      <c r="A217" s="3" t="inlineStr">
        <is>
          <t>2026-S31</t>
        </is>
      </c>
      <c r="B217" s="3" t="inlineStr">
        <is>
          <t>jueves</t>
        </is>
      </c>
      <c r="C217" s="3" t="inlineStr">
        <is>
          <t>Técnico 07</t>
        </is>
      </c>
      <c r="D217" s="3">
        <f>IFERROR(INDEX('TECNICOS'!$D$4:$D$15,MATCH($C217,'TECNICOS'!$B$4:$B$15,0)),"")</f>
        <v/>
      </c>
      <c r="E217" s="3">
        <f>IFERROR(INDEX('TECNICOS'!$C$4:$C$15,MATCH($C217,'TECNICOS'!$B$4:$B$15,0)),"")</f>
        <v/>
      </c>
      <c r="F217" s="6" t="inlineStr">
        <is>
          <t>T1</t>
        </is>
      </c>
      <c r="G217" s="3">
        <f>IFERROR(INDEX('TECNICOS'!$E$4:$E$15,MATCH($C217,'TECNICOS'!$B$4:$B$15,0)),"")</f>
        <v/>
      </c>
      <c r="H217" s="3">
        <f>IF(OR($F217="",ISNUMBER(MATCH($F217,lista_no_disponible,0))),0,p_horas_jornada)</f>
        <v/>
      </c>
      <c r="I217" s="3">
        <f>$A217&amp;"|"&amp;$B217&amp;"|"&amp;$C217</f>
        <v/>
      </c>
    </row>
    <row r="218">
      <c r="A218" s="3" t="inlineStr">
        <is>
          <t>2026-S31</t>
        </is>
      </c>
      <c r="B218" s="3" t="inlineStr">
        <is>
          <t>viernes</t>
        </is>
      </c>
      <c r="C218" s="3" t="inlineStr">
        <is>
          <t>Técnico 07</t>
        </is>
      </c>
      <c r="D218" s="3">
        <f>IFERROR(INDEX('TECNICOS'!$D$4:$D$15,MATCH($C218,'TECNICOS'!$B$4:$B$15,0)),"")</f>
        <v/>
      </c>
      <c r="E218" s="3">
        <f>IFERROR(INDEX('TECNICOS'!$C$4:$C$15,MATCH($C218,'TECNICOS'!$B$4:$B$15,0)),"")</f>
        <v/>
      </c>
      <c r="F218" s="6" t="inlineStr">
        <is>
          <t>T1</t>
        </is>
      </c>
      <c r="G218" s="3">
        <f>IFERROR(INDEX('TECNICOS'!$E$4:$E$15,MATCH($C218,'TECNICOS'!$B$4:$B$15,0)),"")</f>
        <v/>
      </c>
      <c r="H218" s="3">
        <f>IF(OR($F218="",ISNUMBER(MATCH($F218,lista_no_disponible,0))),0,p_horas_jornada)</f>
        <v/>
      </c>
      <c r="I218" s="3">
        <f>$A218&amp;"|"&amp;$B218&amp;"|"&amp;$C218</f>
        <v/>
      </c>
    </row>
    <row r="219">
      <c r="A219" s="3" t="inlineStr">
        <is>
          <t>2026-S31</t>
        </is>
      </c>
      <c r="B219" s="3" t="inlineStr">
        <is>
          <t>sábado</t>
        </is>
      </c>
      <c r="C219" s="3" t="inlineStr">
        <is>
          <t>Técnico 07</t>
        </is>
      </c>
      <c r="D219" s="3">
        <f>IFERROR(INDEX('TECNICOS'!$D$4:$D$15,MATCH($C219,'TECNICOS'!$B$4:$B$15,0)),"")</f>
        <v/>
      </c>
      <c r="E219" s="3">
        <f>IFERROR(INDEX('TECNICOS'!$C$4:$C$15,MATCH($C219,'TECNICOS'!$B$4:$B$15,0)),"")</f>
        <v/>
      </c>
      <c r="F219" s="6" t="inlineStr"/>
      <c r="G219" s="3">
        <f>IFERROR(INDEX('TECNICOS'!$E$4:$E$15,MATCH($C219,'TECNICOS'!$B$4:$B$15,0)),"")</f>
        <v/>
      </c>
      <c r="H219" s="3">
        <f>IF(OR($F219="",ISNUMBER(MATCH($F219,lista_no_disponible,0))),0,p_horas_jornada)</f>
        <v/>
      </c>
      <c r="I219" s="3">
        <f>$A219&amp;"|"&amp;$B219&amp;"|"&amp;$C219</f>
        <v/>
      </c>
    </row>
    <row r="220">
      <c r="A220" s="3" t="inlineStr">
        <is>
          <t>2026-S31</t>
        </is>
      </c>
      <c r="B220" s="3" t="inlineStr">
        <is>
          <t>domingo</t>
        </is>
      </c>
      <c r="C220" s="3" t="inlineStr">
        <is>
          <t>Técnico 07</t>
        </is>
      </c>
      <c r="D220" s="3">
        <f>IFERROR(INDEX('TECNICOS'!$D$4:$D$15,MATCH($C220,'TECNICOS'!$B$4:$B$15,0)),"")</f>
        <v/>
      </c>
      <c r="E220" s="3">
        <f>IFERROR(INDEX('TECNICOS'!$C$4:$C$15,MATCH($C220,'TECNICOS'!$B$4:$B$15,0)),"")</f>
        <v/>
      </c>
      <c r="F220" s="6" t="inlineStr"/>
      <c r="G220" s="3">
        <f>IFERROR(INDEX('TECNICOS'!$E$4:$E$15,MATCH($C220,'TECNICOS'!$B$4:$B$15,0)),"")</f>
        <v/>
      </c>
      <c r="H220" s="3">
        <f>IF(OR($F220="",ISNUMBER(MATCH($F220,lista_no_disponible,0))),0,p_horas_jornada)</f>
        <v/>
      </c>
      <c r="I220" s="3">
        <f>$A220&amp;"|"&amp;$B220&amp;"|"&amp;$C220</f>
        <v/>
      </c>
    </row>
    <row r="221">
      <c r="A221" s="3" t="inlineStr">
        <is>
          <t>2026-S31</t>
        </is>
      </c>
      <c r="B221" s="3" t="inlineStr">
        <is>
          <t>lunes</t>
        </is>
      </c>
      <c r="C221" s="3" t="inlineStr">
        <is>
          <t>Técnico 08</t>
        </is>
      </c>
      <c r="D221" s="3">
        <f>IFERROR(INDEX('TECNICOS'!$D$4:$D$15,MATCH($C221,'TECNICOS'!$B$4:$B$15,0)),"")</f>
        <v/>
      </c>
      <c r="E221" s="3">
        <f>IFERROR(INDEX('TECNICOS'!$C$4:$C$15,MATCH($C221,'TECNICOS'!$B$4:$B$15,0)),"")</f>
        <v/>
      </c>
      <c r="F221" s="6" t="inlineStr">
        <is>
          <t>T3</t>
        </is>
      </c>
      <c r="G221" s="3">
        <f>IFERROR(INDEX('TECNICOS'!$E$4:$E$15,MATCH($C221,'TECNICOS'!$B$4:$B$15,0)),"")</f>
        <v/>
      </c>
      <c r="H221" s="3">
        <f>IF(OR($F221="",ISNUMBER(MATCH($F221,lista_no_disponible,0))),0,p_horas_jornada)</f>
        <v/>
      </c>
      <c r="I221" s="3">
        <f>$A221&amp;"|"&amp;$B221&amp;"|"&amp;$C221</f>
        <v/>
      </c>
    </row>
    <row r="222">
      <c r="A222" s="3" t="inlineStr">
        <is>
          <t>2026-S31</t>
        </is>
      </c>
      <c r="B222" s="3" t="inlineStr">
        <is>
          <t>martes</t>
        </is>
      </c>
      <c r="C222" s="3" t="inlineStr">
        <is>
          <t>Técnico 08</t>
        </is>
      </c>
      <c r="D222" s="3">
        <f>IFERROR(INDEX('TECNICOS'!$D$4:$D$15,MATCH($C222,'TECNICOS'!$B$4:$B$15,0)),"")</f>
        <v/>
      </c>
      <c r="E222" s="3">
        <f>IFERROR(INDEX('TECNICOS'!$C$4:$C$15,MATCH($C222,'TECNICOS'!$B$4:$B$15,0)),"")</f>
        <v/>
      </c>
      <c r="F222" s="6" t="inlineStr">
        <is>
          <t>T3</t>
        </is>
      </c>
      <c r="G222" s="3">
        <f>IFERROR(INDEX('TECNICOS'!$E$4:$E$15,MATCH($C222,'TECNICOS'!$B$4:$B$15,0)),"")</f>
        <v/>
      </c>
      <c r="H222" s="3">
        <f>IF(OR($F222="",ISNUMBER(MATCH($F222,lista_no_disponible,0))),0,p_horas_jornada)</f>
        <v/>
      </c>
      <c r="I222" s="3">
        <f>$A222&amp;"|"&amp;$B222&amp;"|"&amp;$C222</f>
        <v/>
      </c>
    </row>
    <row r="223">
      <c r="A223" s="3" t="inlineStr">
        <is>
          <t>2026-S31</t>
        </is>
      </c>
      <c r="B223" s="3" t="inlineStr">
        <is>
          <t>miércoles</t>
        </is>
      </c>
      <c r="C223" s="3" t="inlineStr">
        <is>
          <t>Técnico 08</t>
        </is>
      </c>
      <c r="D223" s="3">
        <f>IFERROR(INDEX('TECNICOS'!$D$4:$D$15,MATCH($C223,'TECNICOS'!$B$4:$B$15,0)),"")</f>
        <v/>
      </c>
      <c r="E223" s="3">
        <f>IFERROR(INDEX('TECNICOS'!$C$4:$C$15,MATCH($C223,'TECNICOS'!$B$4:$B$15,0)),"")</f>
        <v/>
      </c>
      <c r="F223" s="6" t="inlineStr">
        <is>
          <t>T3</t>
        </is>
      </c>
      <c r="G223" s="3">
        <f>IFERROR(INDEX('TECNICOS'!$E$4:$E$15,MATCH($C223,'TECNICOS'!$B$4:$B$15,0)),"")</f>
        <v/>
      </c>
      <c r="H223" s="3">
        <f>IF(OR($F223="",ISNUMBER(MATCH($F223,lista_no_disponible,0))),0,p_horas_jornada)</f>
        <v/>
      </c>
      <c r="I223" s="3">
        <f>$A223&amp;"|"&amp;$B223&amp;"|"&amp;$C223</f>
        <v/>
      </c>
    </row>
    <row r="224">
      <c r="A224" s="3" t="inlineStr">
        <is>
          <t>2026-S31</t>
        </is>
      </c>
      <c r="B224" s="3" t="inlineStr">
        <is>
          <t>jueves</t>
        </is>
      </c>
      <c r="C224" s="3" t="inlineStr">
        <is>
          <t>Técnico 08</t>
        </is>
      </c>
      <c r="D224" s="3">
        <f>IFERROR(INDEX('TECNICOS'!$D$4:$D$15,MATCH($C224,'TECNICOS'!$B$4:$B$15,0)),"")</f>
        <v/>
      </c>
      <c r="E224" s="3">
        <f>IFERROR(INDEX('TECNICOS'!$C$4:$C$15,MATCH($C224,'TECNICOS'!$B$4:$B$15,0)),"")</f>
        <v/>
      </c>
      <c r="F224" s="6" t="inlineStr">
        <is>
          <t>T3</t>
        </is>
      </c>
      <c r="G224" s="3">
        <f>IFERROR(INDEX('TECNICOS'!$E$4:$E$15,MATCH($C224,'TECNICOS'!$B$4:$B$15,0)),"")</f>
        <v/>
      </c>
      <c r="H224" s="3">
        <f>IF(OR($F224="",ISNUMBER(MATCH($F224,lista_no_disponible,0))),0,p_horas_jornada)</f>
        <v/>
      </c>
      <c r="I224" s="3">
        <f>$A224&amp;"|"&amp;$B224&amp;"|"&amp;$C224</f>
        <v/>
      </c>
    </row>
    <row r="225">
      <c r="A225" s="3" t="inlineStr">
        <is>
          <t>2026-S31</t>
        </is>
      </c>
      <c r="B225" s="3" t="inlineStr">
        <is>
          <t>viernes</t>
        </is>
      </c>
      <c r="C225" s="3" t="inlineStr">
        <is>
          <t>Técnico 08</t>
        </is>
      </c>
      <c r="D225" s="3">
        <f>IFERROR(INDEX('TECNICOS'!$D$4:$D$15,MATCH($C225,'TECNICOS'!$B$4:$B$15,0)),"")</f>
        <v/>
      </c>
      <c r="E225" s="3">
        <f>IFERROR(INDEX('TECNICOS'!$C$4:$C$15,MATCH($C225,'TECNICOS'!$B$4:$B$15,0)),"")</f>
        <v/>
      </c>
      <c r="F225" s="6" t="inlineStr">
        <is>
          <t>T3</t>
        </is>
      </c>
      <c r="G225" s="3">
        <f>IFERROR(INDEX('TECNICOS'!$E$4:$E$15,MATCH($C225,'TECNICOS'!$B$4:$B$15,0)),"")</f>
        <v/>
      </c>
      <c r="H225" s="3">
        <f>IF(OR($F225="",ISNUMBER(MATCH($F225,lista_no_disponible,0))),0,p_horas_jornada)</f>
        <v/>
      </c>
      <c r="I225" s="3">
        <f>$A225&amp;"|"&amp;$B225&amp;"|"&amp;$C225</f>
        <v/>
      </c>
    </row>
    <row r="226">
      <c r="A226" s="3" t="inlineStr">
        <is>
          <t>2026-S31</t>
        </is>
      </c>
      <c r="B226" s="3" t="inlineStr">
        <is>
          <t>sábado</t>
        </is>
      </c>
      <c r="C226" s="3" t="inlineStr">
        <is>
          <t>Técnico 08</t>
        </is>
      </c>
      <c r="D226" s="3">
        <f>IFERROR(INDEX('TECNICOS'!$D$4:$D$15,MATCH($C226,'TECNICOS'!$B$4:$B$15,0)),"")</f>
        <v/>
      </c>
      <c r="E226" s="3">
        <f>IFERROR(INDEX('TECNICOS'!$C$4:$C$15,MATCH($C226,'TECNICOS'!$B$4:$B$15,0)),"")</f>
        <v/>
      </c>
      <c r="F226" s="6" t="inlineStr"/>
      <c r="G226" s="3">
        <f>IFERROR(INDEX('TECNICOS'!$E$4:$E$15,MATCH($C226,'TECNICOS'!$B$4:$B$15,0)),"")</f>
        <v/>
      </c>
      <c r="H226" s="3">
        <f>IF(OR($F226="",ISNUMBER(MATCH($F226,lista_no_disponible,0))),0,p_horas_jornada)</f>
        <v/>
      </c>
      <c r="I226" s="3">
        <f>$A226&amp;"|"&amp;$B226&amp;"|"&amp;$C226</f>
        <v/>
      </c>
    </row>
    <row r="227">
      <c r="A227" s="3" t="inlineStr">
        <is>
          <t>2026-S31</t>
        </is>
      </c>
      <c r="B227" s="3" t="inlineStr">
        <is>
          <t>domingo</t>
        </is>
      </c>
      <c r="C227" s="3" t="inlineStr">
        <is>
          <t>Técnico 08</t>
        </is>
      </c>
      <c r="D227" s="3">
        <f>IFERROR(INDEX('TECNICOS'!$D$4:$D$15,MATCH($C227,'TECNICOS'!$B$4:$B$15,0)),"")</f>
        <v/>
      </c>
      <c r="E227" s="3">
        <f>IFERROR(INDEX('TECNICOS'!$C$4:$C$15,MATCH($C227,'TECNICOS'!$B$4:$B$15,0)),"")</f>
        <v/>
      </c>
      <c r="F227" s="6" t="inlineStr"/>
      <c r="G227" s="3">
        <f>IFERROR(INDEX('TECNICOS'!$E$4:$E$15,MATCH($C227,'TECNICOS'!$B$4:$B$15,0)),"")</f>
        <v/>
      </c>
      <c r="H227" s="3">
        <f>IF(OR($F227="",ISNUMBER(MATCH($F227,lista_no_disponible,0))),0,p_horas_jornada)</f>
        <v/>
      </c>
      <c r="I227" s="3">
        <f>$A227&amp;"|"&amp;$B227&amp;"|"&amp;$C227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09</t>
        </is>
      </c>
      <c r="D228" s="3">
        <f>IFERROR(INDEX('TECNICOS'!$D$4:$D$15,MATCH($C228,'TECNICOS'!$B$4:$B$15,0)),"")</f>
        <v/>
      </c>
      <c r="E228" s="3">
        <f>IFERROR(INDEX('TECNICOS'!$C$4:$C$15,MATCH($C228,'TECNICOS'!$B$4:$B$15,0)),"")</f>
        <v/>
      </c>
      <c r="F228" s="6" t="inlineStr">
        <is>
          <t>T1</t>
        </is>
      </c>
      <c r="G228" s="3">
        <f>IFERROR(INDEX('TECNICOS'!$E$4:$E$15,MATCH($C228,'TECNICOS'!$B$4:$B$15,0)),"")</f>
        <v/>
      </c>
      <c r="H228" s="3">
        <f>IF(OR($F228="",ISNUMBER(MATCH($F228,lista_no_disponible,0))),0,p_horas_jornada)</f>
        <v/>
      </c>
      <c r="I228" s="3">
        <f>$A228&amp;"|"&amp;$B228&amp;"|"&amp;$C228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09</t>
        </is>
      </c>
      <c r="D229" s="3">
        <f>IFERROR(INDEX('TECNICOS'!$D$4:$D$15,MATCH($C229,'TECNICOS'!$B$4:$B$15,0)),"")</f>
        <v/>
      </c>
      <c r="E229" s="3">
        <f>IFERROR(INDEX('TECNICOS'!$C$4:$C$15,MATCH($C229,'TECNICOS'!$B$4:$B$15,0)),"")</f>
        <v/>
      </c>
      <c r="F229" s="6" t="inlineStr">
        <is>
          <t>T1</t>
        </is>
      </c>
      <c r="G229" s="3">
        <f>IFERROR(INDEX('TECNICOS'!$E$4:$E$15,MATCH($C229,'TECNICOS'!$B$4:$B$15,0)),"")</f>
        <v/>
      </c>
      <c r="H229" s="3">
        <f>IF(OR($F229="",ISNUMBER(MATCH($F229,lista_no_disponible,0))),0,p_horas_jornada)</f>
        <v/>
      </c>
      <c r="I229" s="3">
        <f>$A229&amp;"|"&amp;$B229&amp;"|"&amp;$C229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09</t>
        </is>
      </c>
      <c r="D230" s="3">
        <f>IFERROR(INDEX('TECNICOS'!$D$4:$D$15,MATCH($C230,'TECNICOS'!$B$4:$B$15,0)),"")</f>
        <v/>
      </c>
      <c r="E230" s="3">
        <f>IFERROR(INDEX('TECNICOS'!$C$4:$C$15,MATCH($C230,'TECNICOS'!$B$4:$B$15,0)),"")</f>
        <v/>
      </c>
      <c r="F230" s="6" t="inlineStr">
        <is>
          <t>T1</t>
        </is>
      </c>
      <c r="G230" s="3">
        <f>IFERROR(INDEX('TECNICOS'!$E$4:$E$15,MATCH($C230,'TECNICOS'!$B$4:$B$15,0)),"")</f>
        <v/>
      </c>
      <c r="H230" s="3">
        <f>IF(OR($F230="",ISNUMBER(MATCH($F230,lista_no_disponible,0))),0,p_horas_jornada)</f>
        <v/>
      </c>
      <c r="I230" s="3">
        <f>$A230&amp;"|"&amp;$B230&amp;"|"&amp;$C230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09</t>
        </is>
      </c>
      <c r="D231" s="3">
        <f>IFERROR(INDEX('TECNICOS'!$D$4:$D$15,MATCH($C231,'TECNICOS'!$B$4:$B$15,0)),"")</f>
        <v/>
      </c>
      <c r="E231" s="3">
        <f>IFERROR(INDEX('TECNICOS'!$C$4:$C$15,MATCH($C231,'TECNICOS'!$B$4:$B$15,0)),"")</f>
        <v/>
      </c>
      <c r="F231" s="6" t="inlineStr">
        <is>
          <t>T1</t>
        </is>
      </c>
      <c r="G231" s="3">
        <f>IFERROR(INDEX('TECNICOS'!$E$4:$E$15,MATCH($C231,'TECNICOS'!$B$4:$B$15,0)),"")</f>
        <v/>
      </c>
      <c r="H231" s="3">
        <f>IF(OR($F231="",ISNUMBER(MATCH($F231,lista_no_disponible,0))),0,p_horas_jornada)</f>
        <v/>
      </c>
      <c r="I231" s="3">
        <f>$A231&amp;"|"&amp;$B231&amp;"|"&amp;$C231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09</t>
        </is>
      </c>
      <c r="D232" s="3">
        <f>IFERROR(INDEX('TECNICOS'!$D$4:$D$15,MATCH($C232,'TECNICOS'!$B$4:$B$15,0)),"")</f>
        <v/>
      </c>
      <c r="E232" s="3">
        <f>IFERROR(INDEX('TECNICOS'!$C$4:$C$15,MATCH($C232,'TECNICOS'!$B$4:$B$15,0)),"")</f>
        <v/>
      </c>
      <c r="F232" s="6" t="inlineStr">
        <is>
          <t>T1</t>
        </is>
      </c>
      <c r="G232" s="3">
        <f>IFERROR(INDEX('TECNICOS'!$E$4:$E$15,MATCH($C232,'TECNICOS'!$B$4:$B$15,0)),"")</f>
        <v/>
      </c>
      <c r="H232" s="3">
        <f>IF(OR($F232="",ISNUMBER(MATCH($F232,lista_no_disponible,0))),0,p_horas_jornada)</f>
        <v/>
      </c>
      <c r="I232" s="3">
        <f>$A232&amp;"|"&amp;$B232&amp;"|"&amp;$C232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09</t>
        </is>
      </c>
      <c r="D233" s="3">
        <f>IFERROR(INDEX('TECNICOS'!$D$4:$D$15,MATCH($C233,'TECNICOS'!$B$4:$B$15,0)),"")</f>
        <v/>
      </c>
      <c r="E233" s="3">
        <f>IFERROR(INDEX('TECNICOS'!$C$4:$C$15,MATCH($C233,'TECNICOS'!$B$4:$B$15,0)),"")</f>
        <v/>
      </c>
      <c r="F233" s="6" t="inlineStr"/>
      <c r="G233" s="3">
        <f>IFERROR(INDEX('TECNICOS'!$E$4:$E$15,MATCH($C233,'TECNICOS'!$B$4:$B$15,0)),"")</f>
        <v/>
      </c>
      <c r="H233" s="3">
        <f>IF(OR($F233="",ISNUMBER(MATCH($F233,lista_no_disponible,0))),0,p_horas_jornada)</f>
        <v/>
      </c>
      <c r="I233" s="3">
        <f>$A233&amp;"|"&amp;$B233&amp;"|"&amp;$C233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09</t>
        </is>
      </c>
      <c r="D234" s="3">
        <f>IFERROR(INDEX('TECNICOS'!$D$4:$D$15,MATCH($C234,'TECNICOS'!$B$4:$B$15,0)),"")</f>
        <v/>
      </c>
      <c r="E234" s="3">
        <f>IFERROR(INDEX('TECNICOS'!$C$4:$C$15,MATCH($C234,'TECNICOS'!$B$4:$B$15,0)),"")</f>
        <v/>
      </c>
      <c r="F234" s="6" t="inlineStr"/>
      <c r="G234" s="3">
        <f>IFERROR(INDEX('TECNICOS'!$E$4:$E$15,MATCH($C234,'TECNICOS'!$B$4:$B$15,0)),"")</f>
        <v/>
      </c>
      <c r="H234" s="3">
        <f>IF(OR($F234="",ISNUMBER(MATCH($F234,lista_no_disponible,0))),0,p_horas_jornada)</f>
        <v/>
      </c>
      <c r="I234" s="3">
        <f>$A234&amp;"|"&amp;$B234&amp;"|"&amp;$C234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10</t>
        </is>
      </c>
      <c r="D235" s="3">
        <f>IFERROR(INDEX('TECNICOS'!$D$4:$D$15,MATCH($C235,'TECNICOS'!$B$4:$B$15,0)),"")</f>
        <v/>
      </c>
      <c r="E235" s="3">
        <f>IFERROR(INDEX('TECNICOS'!$C$4:$C$15,MATCH($C235,'TECNICOS'!$B$4:$B$15,0)),"")</f>
        <v/>
      </c>
      <c r="F235" s="6" t="inlineStr">
        <is>
          <t>B1</t>
        </is>
      </c>
      <c r="G235" s="3">
        <f>IFERROR(INDEX('TECNICOS'!$E$4:$E$15,MATCH($C235,'TECNICOS'!$B$4:$B$15,0)),"")</f>
        <v/>
      </c>
      <c r="H235" s="3">
        <f>IF(OR($F235="",ISNUMBER(MATCH($F235,lista_no_disponible,0))),0,p_horas_jornada)</f>
        <v/>
      </c>
      <c r="I235" s="3">
        <f>$A235&amp;"|"&amp;$B235&amp;"|"&amp;$C235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10</t>
        </is>
      </c>
      <c r="D236" s="3">
        <f>IFERROR(INDEX('TECNICOS'!$D$4:$D$15,MATCH($C236,'TECNICOS'!$B$4:$B$15,0)),"")</f>
        <v/>
      </c>
      <c r="E236" s="3">
        <f>IFERROR(INDEX('TECNICOS'!$C$4:$C$15,MATCH($C236,'TECNICOS'!$B$4:$B$15,0)),"")</f>
        <v/>
      </c>
      <c r="F236" s="6" t="inlineStr">
        <is>
          <t>B1</t>
        </is>
      </c>
      <c r="G236" s="3">
        <f>IFERROR(INDEX('TECNICOS'!$E$4:$E$15,MATCH($C236,'TECNICOS'!$B$4:$B$15,0)),"")</f>
        <v/>
      </c>
      <c r="H236" s="3">
        <f>IF(OR($F236="",ISNUMBER(MATCH($F236,lista_no_disponible,0))),0,p_horas_jornada)</f>
        <v/>
      </c>
      <c r="I236" s="3">
        <f>$A236&amp;"|"&amp;$B236&amp;"|"&amp;$C236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10</t>
        </is>
      </c>
      <c r="D237" s="3">
        <f>IFERROR(INDEX('TECNICOS'!$D$4:$D$15,MATCH($C237,'TECNICOS'!$B$4:$B$15,0)),"")</f>
        <v/>
      </c>
      <c r="E237" s="3">
        <f>IFERROR(INDEX('TECNICOS'!$C$4:$C$15,MATCH($C237,'TECNICOS'!$B$4:$B$15,0)),"")</f>
        <v/>
      </c>
      <c r="F237" s="6" t="inlineStr">
        <is>
          <t>B1</t>
        </is>
      </c>
      <c r="G237" s="3">
        <f>IFERROR(INDEX('TECNICOS'!$E$4:$E$15,MATCH($C237,'TECNICOS'!$B$4:$B$15,0)),"")</f>
        <v/>
      </c>
      <c r="H237" s="3">
        <f>IF(OR($F237="",ISNUMBER(MATCH($F237,lista_no_disponible,0))),0,p_horas_jornada)</f>
        <v/>
      </c>
      <c r="I237" s="3">
        <f>$A237&amp;"|"&amp;$B237&amp;"|"&amp;$C237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10</t>
        </is>
      </c>
      <c r="D238" s="3">
        <f>IFERROR(INDEX('TECNICOS'!$D$4:$D$15,MATCH($C238,'TECNICOS'!$B$4:$B$15,0)),"")</f>
        <v/>
      </c>
      <c r="E238" s="3">
        <f>IFERROR(INDEX('TECNICOS'!$C$4:$C$15,MATCH($C238,'TECNICOS'!$B$4:$B$15,0)),"")</f>
        <v/>
      </c>
      <c r="F238" s="6" t="inlineStr">
        <is>
          <t>B1</t>
        </is>
      </c>
      <c r="G238" s="3">
        <f>IFERROR(INDEX('TECNICOS'!$E$4:$E$15,MATCH($C238,'TECNICOS'!$B$4:$B$15,0)),"")</f>
        <v/>
      </c>
      <c r="H238" s="3">
        <f>IF(OR($F238="",ISNUMBER(MATCH($F238,lista_no_disponible,0))),0,p_horas_jornada)</f>
        <v/>
      </c>
      <c r="I238" s="3">
        <f>$A238&amp;"|"&amp;$B238&amp;"|"&amp;$C238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10</t>
        </is>
      </c>
      <c r="D239" s="3">
        <f>IFERROR(INDEX('TECNICOS'!$D$4:$D$15,MATCH($C239,'TECNICOS'!$B$4:$B$15,0)),"")</f>
        <v/>
      </c>
      <c r="E239" s="3">
        <f>IFERROR(INDEX('TECNICOS'!$C$4:$C$15,MATCH($C239,'TECNICOS'!$B$4:$B$15,0)),"")</f>
        <v/>
      </c>
      <c r="F239" s="6" t="inlineStr">
        <is>
          <t>B1</t>
        </is>
      </c>
      <c r="G239" s="3">
        <f>IFERROR(INDEX('TECNICOS'!$E$4:$E$15,MATCH($C239,'TECNICOS'!$B$4:$B$15,0)),"")</f>
        <v/>
      </c>
      <c r="H239" s="3">
        <f>IF(OR($F239="",ISNUMBER(MATCH($F239,lista_no_disponible,0))),0,p_horas_jornada)</f>
        <v/>
      </c>
      <c r="I239" s="3">
        <f>$A239&amp;"|"&amp;$B239&amp;"|"&amp;$C239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10</t>
        </is>
      </c>
      <c r="D240" s="3">
        <f>IFERROR(INDEX('TECNICOS'!$D$4:$D$15,MATCH($C240,'TECNICOS'!$B$4:$B$15,0)),"")</f>
        <v/>
      </c>
      <c r="E240" s="3">
        <f>IFERROR(INDEX('TECNICOS'!$C$4:$C$15,MATCH($C240,'TECNICOS'!$B$4:$B$15,0)),"")</f>
        <v/>
      </c>
      <c r="F240" s="6" t="inlineStr"/>
      <c r="G240" s="3">
        <f>IFERROR(INDEX('TECNICOS'!$E$4:$E$15,MATCH($C240,'TECNICOS'!$B$4:$B$15,0)),"")</f>
        <v/>
      </c>
      <c r="H240" s="3">
        <f>IF(OR($F240="",ISNUMBER(MATCH($F240,lista_no_disponible,0))),0,p_horas_jornada)</f>
        <v/>
      </c>
      <c r="I240" s="3">
        <f>$A240&amp;"|"&amp;$B240&amp;"|"&amp;$C240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10</t>
        </is>
      </c>
      <c r="D241" s="3">
        <f>IFERROR(INDEX('TECNICOS'!$D$4:$D$15,MATCH($C241,'TECNICOS'!$B$4:$B$15,0)),"")</f>
        <v/>
      </c>
      <c r="E241" s="3">
        <f>IFERROR(INDEX('TECNICOS'!$C$4:$C$15,MATCH($C241,'TECNICOS'!$B$4:$B$15,0)),"")</f>
        <v/>
      </c>
      <c r="F241" s="6" t="inlineStr"/>
      <c r="G241" s="3">
        <f>IFERROR(INDEX('TECNICOS'!$E$4:$E$15,MATCH($C241,'TECNICOS'!$B$4:$B$15,0)),"")</f>
        <v/>
      </c>
      <c r="H241" s="3">
        <f>IF(OR($F241="",ISNUMBER(MATCH($F241,lista_no_disponible,0))),0,p_horas_jornada)</f>
        <v/>
      </c>
      <c r="I241" s="3">
        <f>$A241&amp;"|"&amp;$B241&amp;"|"&amp;$C241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11</t>
        </is>
      </c>
      <c r="D242" s="3">
        <f>IFERROR(INDEX('TECNICOS'!$D$4:$D$15,MATCH($C242,'TECNICOS'!$B$4:$B$15,0)),"")</f>
        <v/>
      </c>
      <c r="E242" s="3">
        <f>IFERROR(INDEX('TECNICOS'!$C$4:$C$15,MATCH($C242,'TECNICOS'!$B$4:$B$15,0)),"")</f>
        <v/>
      </c>
      <c r="F242" s="6" t="inlineStr">
        <is>
          <t>T1</t>
        </is>
      </c>
      <c r="G242" s="3">
        <f>IFERROR(INDEX('TECNICOS'!$E$4:$E$15,MATCH($C242,'TECNICOS'!$B$4:$B$15,0)),"")</f>
        <v/>
      </c>
      <c r="H242" s="3">
        <f>IF(OR($F242="",ISNUMBER(MATCH($F242,lista_no_disponible,0))),0,p_horas_jornada)</f>
        <v/>
      </c>
      <c r="I242" s="3">
        <f>$A242&amp;"|"&amp;$B242&amp;"|"&amp;$C242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11</t>
        </is>
      </c>
      <c r="D243" s="3">
        <f>IFERROR(INDEX('TECNICOS'!$D$4:$D$15,MATCH($C243,'TECNICOS'!$B$4:$B$15,0)),"")</f>
        <v/>
      </c>
      <c r="E243" s="3">
        <f>IFERROR(INDEX('TECNICOS'!$C$4:$C$15,MATCH($C243,'TECNICOS'!$B$4:$B$15,0)),"")</f>
        <v/>
      </c>
      <c r="F243" s="6" t="inlineStr">
        <is>
          <t>T1</t>
        </is>
      </c>
      <c r="G243" s="3">
        <f>IFERROR(INDEX('TECNICOS'!$E$4:$E$15,MATCH($C243,'TECNICOS'!$B$4:$B$15,0)),"")</f>
        <v/>
      </c>
      <c r="H243" s="3">
        <f>IF(OR($F243="",ISNUMBER(MATCH($F243,lista_no_disponible,0))),0,p_horas_jornada)</f>
        <v/>
      </c>
      <c r="I243" s="3">
        <f>$A243&amp;"|"&amp;$B243&amp;"|"&amp;$C243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11</t>
        </is>
      </c>
      <c r="D244" s="3">
        <f>IFERROR(INDEX('TECNICOS'!$D$4:$D$15,MATCH($C244,'TECNICOS'!$B$4:$B$15,0)),"")</f>
        <v/>
      </c>
      <c r="E244" s="3">
        <f>IFERROR(INDEX('TECNICOS'!$C$4:$C$15,MATCH($C244,'TECNICOS'!$B$4:$B$15,0)),"")</f>
        <v/>
      </c>
      <c r="F244" s="6" t="inlineStr">
        <is>
          <t>T1</t>
        </is>
      </c>
      <c r="G244" s="3">
        <f>IFERROR(INDEX('TECNICOS'!$E$4:$E$15,MATCH($C244,'TECNICOS'!$B$4:$B$15,0)),"")</f>
        <v/>
      </c>
      <c r="H244" s="3">
        <f>IF(OR($F244="",ISNUMBER(MATCH($F244,lista_no_disponible,0))),0,p_horas_jornada)</f>
        <v/>
      </c>
      <c r="I244" s="3">
        <f>$A244&amp;"|"&amp;$B244&amp;"|"&amp;$C244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11</t>
        </is>
      </c>
      <c r="D245" s="3">
        <f>IFERROR(INDEX('TECNICOS'!$D$4:$D$15,MATCH($C245,'TECNICOS'!$B$4:$B$15,0)),"")</f>
        <v/>
      </c>
      <c r="E245" s="3">
        <f>IFERROR(INDEX('TECNICOS'!$C$4:$C$15,MATCH($C245,'TECNICOS'!$B$4:$B$15,0)),"")</f>
        <v/>
      </c>
      <c r="F245" s="6" t="inlineStr">
        <is>
          <t>T1</t>
        </is>
      </c>
      <c r="G245" s="3">
        <f>IFERROR(INDEX('TECNICOS'!$E$4:$E$15,MATCH($C245,'TECNICOS'!$B$4:$B$15,0)),"")</f>
        <v/>
      </c>
      <c r="H245" s="3">
        <f>IF(OR($F245="",ISNUMBER(MATCH($F245,lista_no_disponible,0))),0,p_horas_jornada)</f>
        <v/>
      </c>
      <c r="I245" s="3">
        <f>$A245&amp;"|"&amp;$B245&amp;"|"&amp;$C245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11</t>
        </is>
      </c>
      <c r="D246" s="3">
        <f>IFERROR(INDEX('TECNICOS'!$D$4:$D$15,MATCH($C246,'TECNICOS'!$B$4:$B$15,0)),"")</f>
        <v/>
      </c>
      <c r="E246" s="3">
        <f>IFERROR(INDEX('TECNICOS'!$C$4:$C$15,MATCH($C246,'TECNICOS'!$B$4:$B$15,0)),"")</f>
        <v/>
      </c>
      <c r="F246" s="6" t="inlineStr">
        <is>
          <t>T1</t>
        </is>
      </c>
      <c r="G246" s="3">
        <f>IFERROR(INDEX('TECNICOS'!$E$4:$E$15,MATCH($C246,'TECNICOS'!$B$4:$B$15,0)),"")</f>
        <v/>
      </c>
      <c r="H246" s="3">
        <f>IF(OR($F246="",ISNUMBER(MATCH($F246,lista_no_disponible,0))),0,p_horas_jornada)</f>
        <v/>
      </c>
      <c r="I246" s="3">
        <f>$A246&amp;"|"&amp;$B246&amp;"|"&amp;$C246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11</t>
        </is>
      </c>
      <c r="D247" s="3">
        <f>IFERROR(INDEX('TECNICOS'!$D$4:$D$15,MATCH($C247,'TECNICOS'!$B$4:$B$15,0)),"")</f>
        <v/>
      </c>
      <c r="E247" s="3">
        <f>IFERROR(INDEX('TECNICOS'!$C$4:$C$15,MATCH($C247,'TECNICOS'!$B$4:$B$15,0)),"")</f>
        <v/>
      </c>
      <c r="F247" s="6" t="inlineStr"/>
      <c r="G247" s="3">
        <f>IFERROR(INDEX('TECNICOS'!$E$4:$E$15,MATCH($C247,'TECNICOS'!$B$4:$B$15,0)),"")</f>
        <v/>
      </c>
      <c r="H247" s="3">
        <f>IF(OR($F247="",ISNUMBER(MATCH($F247,lista_no_disponible,0))),0,p_horas_jornada)</f>
        <v/>
      </c>
      <c r="I247" s="3">
        <f>$A247&amp;"|"&amp;$B247&amp;"|"&amp;$C247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11</t>
        </is>
      </c>
      <c r="D248" s="3">
        <f>IFERROR(INDEX('TECNICOS'!$D$4:$D$15,MATCH($C248,'TECNICOS'!$B$4:$B$15,0)),"")</f>
        <v/>
      </c>
      <c r="E248" s="3">
        <f>IFERROR(INDEX('TECNICOS'!$C$4:$C$15,MATCH($C248,'TECNICOS'!$B$4:$B$15,0)),"")</f>
        <v/>
      </c>
      <c r="F248" s="6" t="inlineStr"/>
      <c r="G248" s="3">
        <f>IFERROR(INDEX('TECNICOS'!$E$4:$E$15,MATCH($C248,'TECNICOS'!$B$4:$B$15,0)),"")</f>
        <v/>
      </c>
      <c r="H248" s="3">
        <f>IF(OR($F248="",ISNUMBER(MATCH($F248,lista_no_disponible,0))),0,p_horas_jornada)</f>
        <v/>
      </c>
      <c r="I248" s="3">
        <f>$A248&amp;"|"&amp;$B248&amp;"|"&amp;$C248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12</t>
        </is>
      </c>
      <c r="D249" s="3">
        <f>IFERROR(INDEX('TECNICOS'!$D$4:$D$15,MATCH($C249,'TECNICOS'!$B$4:$B$15,0)),"")</f>
        <v/>
      </c>
      <c r="E249" s="3">
        <f>IFERROR(INDEX('TECNICOS'!$C$4:$C$15,MATCH($C249,'TECNICOS'!$B$4:$B$15,0)),"")</f>
        <v/>
      </c>
      <c r="F249" s="6" t="inlineStr">
        <is>
          <t>T1</t>
        </is>
      </c>
      <c r="G249" s="3">
        <f>IFERROR(INDEX('TECNICOS'!$E$4:$E$15,MATCH($C249,'TECNICOS'!$B$4:$B$15,0)),"")</f>
        <v/>
      </c>
      <c r="H249" s="3">
        <f>IF(OR($F249="",ISNUMBER(MATCH($F249,lista_no_disponible,0))),0,p_horas_jornada)</f>
        <v/>
      </c>
      <c r="I249" s="3">
        <f>$A249&amp;"|"&amp;$B249&amp;"|"&amp;$C249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12</t>
        </is>
      </c>
      <c r="D250" s="3">
        <f>IFERROR(INDEX('TECNICOS'!$D$4:$D$15,MATCH($C250,'TECNICOS'!$B$4:$B$15,0)),"")</f>
        <v/>
      </c>
      <c r="E250" s="3">
        <f>IFERROR(INDEX('TECNICOS'!$C$4:$C$15,MATCH($C250,'TECNICOS'!$B$4:$B$15,0)),"")</f>
        <v/>
      </c>
      <c r="F250" s="6" t="inlineStr">
        <is>
          <t>T1</t>
        </is>
      </c>
      <c r="G250" s="3">
        <f>IFERROR(INDEX('TECNICOS'!$E$4:$E$15,MATCH($C250,'TECNICOS'!$B$4:$B$15,0)),"")</f>
        <v/>
      </c>
      <c r="H250" s="3">
        <f>IF(OR($F250="",ISNUMBER(MATCH($F250,lista_no_disponible,0))),0,p_horas_jornada)</f>
        <v/>
      </c>
      <c r="I250" s="3">
        <f>$A250&amp;"|"&amp;$B250&amp;"|"&amp;$C250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12</t>
        </is>
      </c>
      <c r="D251" s="3">
        <f>IFERROR(INDEX('TECNICOS'!$D$4:$D$15,MATCH($C251,'TECNICOS'!$B$4:$B$15,0)),"")</f>
        <v/>
      </c>
      <c r="E251" s="3">
        <f>IFERROR(INDEX('TECNICOS'!$C$4:$C$15,MATCH($C251,'TECNICOS'!$B$4:$B$15,0)),"")</f>
        <v/>
      </c>
      <c r="F251" s="6" t="inlineStr">
        <is>
          <t>T1</t>
        </is>
      </c>
      <c r="G251" s="3">
        <f>IFERROR(INDEX('TECNICOS'!$E$4:$E$15,MATCH($C251,'TECNICOS'!$B$4:$B$15,0)),"")</f>
        <v/>
      </c>
      <c r="H251" s="3">
        <f>IF(OR($F251="",ISNUMBER(MATCH($F251,lista_no_disponible,0))),0,p_horas_jornada)</f>
        <v/>
      </c>
      <c r="I251" s="3">
        <f>$A251&amp;"|"&amp;$B251&amp;"|"&amp;$C251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12</t>
        </is>
      </c>
      <c r="D252" s="3">
        <f>IFERROR(INDEX('TECNICOS'!$D$4:$D$15,MATCH($C252,'TECNICOS'!$B$4:$B$15,0)),"")</f>
        <v/>
      </c>
      <c r="E252" s="3">
        <f>IFERROR(INDEX('TECNICOS'!$C$4:$C$15,MATCH($C252,'TECNICOS'!$B$4:$B$15,0)),"")</f>
        <v/>
      </c>
      <c r="F252" s="6" t="inlineStr">
        <is>
          <t>T1</t>
        </is>
      </c>
      <c r="G252" s="3">
        <f>IFERROR(INDEX('TECNICOS'!$E$4:$E$15,MATCH($C252,'TECNICOS'!$B$4:$B$15,0)),"")</f>
        <v/>
      </c>
      <c r="H252" s="3">
        <f>IF(OR($F252="",ISNUMBER(MATCH($F252,lista_no_disponible,0))),0,p_horas_jornada)</f>
        <v/>
      </c>
      <c r="I252" s="3">
        <f>$A252&amp;"|"&amp;$B252&amp;"|"&amp;$C252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12</t>
        </is>
      </c>
      <c r="D253" s="3">
        <f>IFERROR(INDEX('TECNICOS'!$D$4:$D$15,MATCH($C253,'TECNICOS'!$B$4:$B$15,0)),"")</f>
        <v/>
      </c>
      <c r="E253" s="3">
        <f>IFERROR(INDEX('TECNICOS'!$C$4:$C$15,MATCH($C253,'TECNICOS'!$B$4:$B$15,0)),"")</f>
        <v/>
      </c>
      <c r="F253" s="6" t="inlineStr">
        <is>
          <t>T1</t>
        </is>
      </c>
      <c r="G253" s="3">
        <f>IFERROR(INDEX('TECNICOS'!$E$4:$E$15,MATCH($C253,'TECNICOS'!$B$4:$B$15,0)),"")</f>
        <v/>
      </c>
      <c r="H253" s="3">
        <f>IF(OR($F253="",ISNUMBER(MATCH($F253,lista_no_disponible,0))),0,p_horas_jornada)</f>
        <v/>
      </c>
      <c r="I253" s="3">
        <f>$A253&amp;"|"&amp;$B253&amp;"|"&amp;$C253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12</t>
        </is>
      </c>
      <c r="D254" s="3">
        <f>IFERROR(INDEX('TECNICOS'!$D$4:$D$15,MATCH($C254,'TECNICOS'!$B$4:$B$15,0)),"")</f>
        <v/>
      </c>
      <c r="E254" s="3">
        <f>IFERROR(INDEX('TECNICOS'!$C$4:$C$15,MATCH($C254,'TECNICOS'!$B$4:$B$15,0)),"")</f>
        <v/>
      </c>
      <c r="F254" s="6" t="inlineStr"/>
      <c r="G254" s="3">
        <f>IFERROR(INDEX('TECNICOS'!$E$4:$E$15,MATCH($C254,'TECNICOS'!$B$4:$B$15,0)),"")</f>
        <v/>
      </c>
      <c r="H254" s="3">
        <f>IF(OR($F254="",ISNUMBER(MATCH($F254,lista_no_disponible,0))),0,p_horas_jornada)</f>
        <v/>
      </c>
      <c r="I254" s="3">
        <f>$A254&amp;"|"&amp;$B254&amp;"|"&amp;$C254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12</t>
        </is>
      </c>
      <c r="D255" s="3">
        <f>IFERROR(INDEX('TECNICOS'!$D$4:$D$15,MATCH($C255,'TECNICOS'!$B$4:$B$15,0)),"")</f>
        <v/>
      </c>
      <c r="E255" s="3">
        <f>IFERROR(INDEX('TECNICOS'!$C$4:$C$15,MATCH($C255,'TECNICOS'!$B$4:$B$15,0)),"")</f>
        <v/>
      </c>
      <c r="F255" s="6" t="inlineStr"/>
      <c r="G255" s="3">
        <f>IFERROR(INDEX('TECNICOS'!$E$4:$E$15,MATCH($C255,'TECNICOS'!$B$4:$B$15,0)),"")</f>
        <v/>
      </c>
      <c r="H255" s="3">
        <f>IF(OR($F255="",ISNUMBER(MATCH($F255,lista_no_disponible,0))),0,p_horas_jornada)</f>
        <v/>
      </c>
      <c r="I255" s="3">
        <f>$A255&amp;"|"&amp;$B255&amp;"|"&amp;$C255</f>
        <v/>
      </c>
    </row>
    <row r="256">
      <c r="A256" s="3" t="inlineStr">
        <is>
          <t>2026-S32</t>
        </is>
      </c>
      <c r="B256" s="3" t="inlineStr">
        <is>
          <t>lunes</t>
        </is>
      </c>
      <c r="C256" s="3" t="inlineStr">
        <is>
          <t>Técnico 01</t>
        </is>
      </c>
      <c r="D256" s="3">
        <f>IFERROR(INDEX('TECNICOS'!$D$4:$D$15,MATCH($C256,'TECNICOS'!$B$4:$B$15,0)),"")</f>
        <v/>
      </c>
      <c r="E256" s="3">
        <f>IFERROR(INDEX('TECNICOS'!$C$4:$C$15,MATCH($C256,'TECNICOS'!$B$4:$B$15,0)),"")</f>
        <v/>
      </c>
      <c r="F256" s="6" t="inlineStr">
        <is>
          <t>T1</t>
        </is>
      </c>
      <c r="G256" s="3">
        <f>IFERROR(INDEX('TECNICOS'!$E$4:$E$15,MATCH($C256,'TECNICOS'!$B$4:$B$15,0)),"")</f>
        <v/>
      </c>
      <c r="H256" s="3">
        <f>IF(OR($F256="",ISNUMBER(MATCH($F256,lista_no_disponible,0))),0,p_horas_jornada)</f>
        <v/>
      </c>
      <c r="I256" s="3">
        <f>$A256&amp;"|"&amp;$B256&amp;"|"&amp;$C256</f>
        <v/>
      </c>
    </row>
    <row r="257">
      <c r="A257" s="3" t="inlineStr">
        <is>
          <t>2026-S32</t>
        </is>
      </c>
      <c r="B257" s="3" t="inlineStr">
        <is>
          <t>martes</t>
        </is>
      </c>
      <c r="C257" s="3" t="inlineStr">
        <is>
          <t>Técnico 01</t>
        </is>
      </c>
      <c r="D257" s="3">
        <f>IFERROR(INDEX('TECNICOS'!$D$4:$D$15,MATCH($C257,'TECNICOS'!$B$4:$B$15,0)),"")</f>
        <v/>
      </c>
      <c r="E257" s="3">
        <f>IFERROR(INDEX('TECNICOS'!$C$4:$C$15,MATCH($C257,'TECNICOS'!$B$4:$B$15,0)),"")</f>
        <v/>
      </c>
      <c r="F257" s="6" t="inlineStr">
        <is>
          <t>T1</t>
        </is>
      </c>
      <c r="G257" s="3">
        <f>IFERROR(INDEX('TECNICOS'!$E$4:$E$15,MATCH($C257,'TECNICOS'!$B$4:$B$15,0)),"")</f>
        <v/>
      </c>
      <c r="H257" s="3">
        <f>IF(OR($F257="",ISNUMBER(MATCH($F257,lista_no_disponible,0))),0,p_horas_jornada)</f>
        <v/>
      </c>
      <c r="I257" s="3">
        <f>$A257&amp;"|"&amp;$B257&amp;"|"&amp;$C257</f>
        <v/>
      </c>
    </row>
    <row r="258">
      <c r="A258" s="3" t="inlineStr">
        <is>
          <t>2026-S32</t>
        </is>
      </c>
      <c r="B258" s="3" t="inlineStr">
        <is>
          <t>miércoles</t>
        </is>
      </c>
      <c r="C258" s="3" t="inlineStr">
        <is>
          <t>Técnico 01</t>
        </is>
      </c>
      <c r="D258" s="3">
        <f>IFERROR(INDEX('TECNICOS'!$D$4:$D$15,MATCH($C258,'TECNICOS'!$B$4:$B$15,0)),"")</f>
        <v/>
      </c>
      <c r="E258" s="3">
        <f>IFERROR(INDEX('TECNICOS'!$C$4:$C$15,MATCH($C258,'TECNICOS'!$B$4:$B$15,0)),"")</f>
        <v/>
      </c>
      <c r="F258" s="6" t="inlineStr">
        <is>
          <t>T1</t>
        </is>
      </c>
      <c r="G258" s="3">
        <f>IFERROR(INDEX('TECNICOS'!$E$4:$E$15,MATCH($C258,'TECNICOS'!$B$4:$B$15,0)),"")</f>
        <v/>
      </c>
      <c r="H258" s="3">
        <f>IF(OR($F258="",ISNUMBER(MATCH($F258,lista_no_disponible,0))),0,p_horas_jornada)</f>
        <v/>
      </c>
      <c r="I258" s="3">
        <f>$A258&amp;"|"&amp;$B258&amp;"|"&amp;$C258</f>
        <v/>
      </c>
    </row>
    <row r="259">
      <c r="A259" s="3" t="inlineStr">
        <is>
          <t>2026-S32</t>
        </is>
      </c>
      <c r="B259" s="3" t="inlineStr">
        <is>
          <t>jueves</t>
        </is>
      </c>
      <c r="C259" s="3" t="inlineStr">
        <is>
          <t>Técnico 01</t>
        </is>
      </c>
      <c r="D259" s="3">
        <f>IFERROR(INDEX('TECNICOS'!$D$4:$D$15,MATCH($C259,'TECNICOS'!$B$4:$B$15,0)),"")</f>
        <v/>
      </c>
      <c r="E259" s="3">
        <f>IFERROR(INDEX('TECNICOS'!$C$4:$C$15,MATCH($C259,'TECNICOS'!$B$4:$B$15,0)),"")</f>
        <v/>
      </c>
      <c r="F259" s="6" t="inlineStr">
        <is>
          <t>T1</t>
        </is>
      </c>
      <c r="G259" s="3">
        <f>IFERROR(INDEX('TECNICOS'!$E$4:$E$15,MATCH($C259,'TECNICOS'!$B$4:$B$15,0)),"")</f>
        <v/>
      </c>
      <c r="H259" s="3">
        <f>IF(OR($F259="",ISNUMBER(MATCH($F259,lista_no_disponible,0))),0,p_horas_jornada)</f>
        <v/>
      </c>
      <c r="I259" s="3">
        <f>$A259&amp;"|"&amp;$B259&amp;"|"&amp;$C259</f>
        <v/>
      </c>
    </row>
    <row r="260">
      <c r="A260" s="3" t="inlineStr">
        <is>
          <t>2026-S32</t>
        </is>
      </c>
      <c r="B260" s="3" t="inlineStr">
        <is>
          <t>viernes</t>
        </is>
      </c>
      <c r="C260" s="3" t="inlineStr">
        <is>
          <t>Técnico 01</t>
        </is>
      </c>
      <c r="D260" s="3">
        <f>IFERROR(INDEX('TECNICOS'!$D$4:$D$15,MATCH($C260,'TECNICOS'!$B$4:$B$15,0)),"")</f>
        <v/>
      </c>
      <c r="E260" s="3">
        <f>IFERROR(INDEX('TECNICOS'!$C$4:$C$15,MATCH($C260,'TECNICOS'!$B$4:$B$15,0)),"")</f>
        <v/>
      </c>
      <c r="F260" s="6" t="inlineStr">
        <is>
          <t>T1</t>
        </is>
      </c>
      <c r="G260" s="3">
        <f>IFERROR(INDEX('TECNICOS'!$E$4:$E$15,MATCH($C260,'TECNICOS'!$B$4:$B$15,0)),"")</f>
        <v/>
      </c>
      <c r="H260" s="3">
        <f>IF(OR($F260="",ISNUMBER(MATCH($F260,lista_no_disponible,0))),0,p_horas_jornada)</f>
        <v/>
      </c>
      <c r="I260" s="3">
        <f>$A260&amp;"|"&amp;$B260&amp;"|"&amp;$C260</f>
        <v/>
      </c>
    </row>
    <row r="261">
      <c r="A261" s="3" t="inlineStr">
        <is>
          <t>2026-S32</t>
        </is>
      </c>
      <c r="B261" s="3" t="inlineStr">
        <is>
          <t>sábado</t>
        </is>
      </c>
      <c r="C261" s="3" t="inlineStr">
        <is>
          <t>Técnico 01</t>
        </is>
      </c>
      <c r="D261" s="3">
        <f>IFERROR(INDEX('TECNICOS'!$D$4:$D$15,MATCH($C261,'TECNICOS'!$B$4:$B$15,0)),"")</f>
        <v/>
      </c>
      <c r="E261" s="3">
        <f>IFERROR(INDEX('TECNICOS'!$C$4:$C$15,MATCH($C261,'TECNICOS'!$B$4:$B$15,0)),"")</f>
        <v/>
      </c>
      <c r="F261" s="6" t="inlineStr"/>
      <c r="G261" s="3">
        <f>IFERROR(INDEX('TECNICOS'!$E$4:$E$15,MATCH($C261,'TECNICOS'!$B$4:$B$15,0)),"")</f>
        <v/>
      </c>
      <c r="H261" s="3">
        <f>IF(OR($F261="",ISNUMBER(MATCH($F261,lista_no_disponible,0))),0,p_horas_jornada)</f>
        <v/>
      </c>
      <c r="I261" s="3">
        <f>$A261&amp;"|"&amp;$B261&amp;"|"&amp;$C261</f>
        <v/>
      </c>
    </row>
    <row r="262">
      <c r="A262" s="3" t="inlineStr">
        <is>
          <t>2026-S32</t>
        </is>
      </c>
      <c r="B262" s="3" t="inlineStr">
        <is>
          <t>domingo</t>
        </is>
      </c>
      <c r="C262" s="3" t="inlineStr">
        <is>
          <t>Técnico 01</t>
        </is>
      </c>
      <c r="D262" s="3">
        <f>IFERROR(INDEX('TECNICOS'!$D$4:$D$15,MATCH($C262,'TECNICOS'!$B$4:$B$15,0)),"")</f>
        <v/>
      </c>
      <c r="E262" s="3">
        <f>IFERROR(INDEX('TECNICOS'!$C$4:$C$15,MATCH($C262,'TECNICOS'!$B$4:$B$15,0)),"")</f>
        <v/>
      </c>
      <c r="F262" s="6" t="inlineStr"/>
      <c r="G262" s="3">
        <f>IFERROR(INDEX('TECNICOS'!$E$4:$E$15,MATCH($C262,'TECNICOS'!$B$4:$B$15,0)),"")</f>
        <v/>
      </c>
      <c r="H262" s="3">
        <f>IF(OR($F262="",ISNUMBER(MATCH($F262,lista_no_disponible,0))),0,p_horas_jornada)</f>
        <v/>
      </c>
      <c r="I262" s="3">
        <f>$A262&amp;"|"&amp;$B262&amp;"|"&amp;$C262</f>
        <v/>
      </c>
    </row>
    <row r="263">
      <c r="A263" s="3" t="inlineStr">
        <is>
          <t>2026-S32</t>
        </is>
      </c>
      <c r="B263" s="3" t="inlineStr">
        <is>
          <t>lunes</t>
        </is>
      </c>
      <c r="C263" s="3" t="inlineStr">
        <is>
          <t>Técnico 02</t>
        </is>
      </c>
      <c r="D263" s="3">
        <f>IFERROR(INDEX('TECNICOS'!$D$4:$D$15,MATCH($C263,'TECNICOS'!$B$4:$B$15,0)),"")</f>
        <v/>
      </c>
      <c r="E263" s="3">
        <f>IFERROR(INDEX('TECNICOS'!$C$4:$C$15,MATCH($C263,'TECNICOS'!$B$4:$B$15,0)),"")</f>
        <v/>
      </c>
      <c r="F263" s="6" t="inlineStr">
        <is>
          <t>T2</t>
        </is>
      </c>
      <c r="G263" s="3">
        <f>IFERROR(INDEX('TECNICOS'!$E$4:$E$15,MATCH($C263,'TECNICOS'!$B$4:$B$15,0)),"")</f>
        <v/>
      </c>
      <c r="H263" s="3">
        <f>IF(OR($F263="",ISNUMBER(MATCH($F263,lista_no_disponible,0))),0,p_horas_jornada)</f>
        <v/>
      </c>
      <c r="I263" s="3">
        <f>$A263&amp;"|"&amp;$B263&amp;"|"&amp;$C263</f>
        <v/>
      </c>
    </row>
    <row r="264">
      <c r="A264" s="3" t="inlineStr">
        <is>
          <t>2026-S32</t>
        </is>
      </c>
      <c r="B264" s="3" t="inlineStr">
        <is>
          <t>martes</t>
        </is>
      </c>
      <c r="C264" s="3" t="inlineStr">
        <is>
          <t>Técnico 02</t>
        </is>
      </c>
      <c r="D264" s="3">
        <f>IFERROR(INDEX('TECNICOS'!$D$4:$D$15,MATCH($C264,'TECNICOS'!$B$4:$B$15,0)),"")</f>
        <v/>
      </c>
      <c r="E264" s="3">
        <f>IFERROR(INDEX('TECNICOS'!$C$4:$C$15,MATCH($C264,'TECNICOS'!$B$4:$B$15,0)),"")</f>
        <v/>
      </c>
      <c r="F264" s="6" t="inlineStr">
        <is>
          <t>T2</t>
        </is>
      </c>
      <c r="G264" s="3">
        <f>IFERROR(INDEX('TECNICOS'!$E$4:$E$15,MATCH($C264,'TECNICOS'!$B$4:$B$15,0)),"")</f>
        <v/>
      </c>
      <c r="H264" s="3">
        <f>IF(OR($F264="",ISNUMBER(MATCH($F264,lista_no_disponible,0))),0,p_horas_jornada)</f>
        <v/>
      </c>
      <c r="I264" s="3">
        <f>$A264&amp;"|"&amp;$B264&amp;"|"&amp;$C264</f>
        <v/>
      </c>
    </row>
    <row r="265">
      <c r="A265" s="3" t="inlineStr">
        <is>
          <t>2026-S32</t>
        </is>
      </c>
      <c r="B265" s="3" t="inlineStr">
        <is>
          <t>miércoles</t>
        </is>
      </c>
      <c r="C265" s="3" t="inlineStr">
        <is>
          <t>Técnico 02</t>
        </is>
      </c>
      <c r="D265" s="3">
        <f>IFERROR(INDEX('TECNICOS'!$D$4:$D$15,MATCH($C265,'TECNICOS'!$B$4:$B$15,0)),"")</f>
        <v/>
      </c>
      <c r="E265" s="3">
        <f>IFERROR(INDEX('TECNICOS'!$C$4:$C$15,MATCH($C265,'TECNICOS'!$B$4:$B$15,0)),"")</f>
        <v/>
      </c>
      <c r="F265" s="6" t="inlineStr">
        <is>
          <t>T2</t>
        </is>
      </c>
      <c r="G265" s="3">
        <f>IFERROR(INDEX('TECNICOS'!$E$4:$E$15,MATCH($C265,'TECNICOS'!$B$4:$B$15,0)),"")</f>
        <v/>
      </c>
      <c r="H265" s="3">
        <f>IF(OR($F265="",ISNUMBER(MATCH($F265,lista_no_disponible,0))),0,p_horas_jornada)</f>
        <v/>
      </c>
      <c r="I265" s="3">
        <f>$A265&amp;"|"&amp;$B265&amp;"|"&amp;$C265</f>
        <v/>
      </c>
    </row>
    <row r="266">
      <c r="A266" s="3" t="inlineStr">
        <is>
          <t>2026-S32</t>
        </is>
      </c>
      <c r="B266" s="3" t="inlineStr">
        <is>
          <t>jueves</t>
        </is>
      </c>
      <c r="C266" s="3" t="inlineStr">
        <is>
          <t>Técnico 02</t>
        </is>
      </c>
      <c r="D266" s="3">
        <f>IFERROR(INDEX('TECNICOS'!$D$4:$D$15,MATCH($C266,'TECNICOS'!$B$4:$B$15,0)),"")</f>
        <v/>
      </c>
      <c r="E266" s="3">
        <f>IFERROR(INDEX('TECNICOS'!$C$4:$C$15,MATCH($C266,'TECNICOS'!$B$4:$B$15,0)),"")</f>
        <v/>
      </c>
      <c r="F266" s="6" t="inlineStr">
        <is>
          <t>T2</t>
        </is>
      </c>
      <c r="G266" s="3">
        <f>IFERROR(INDEX('TECNICOS'!$E$4:$E$15,MATCH($C266,'TECNICOS'!$B$4:$B$15,0)),"")</f>
        <v/>
      </c>
      <c r="H266" s="3">
        <f>IF(OR($F266="",ISNUMBER(MATCH($F266,lista_no_disponible,0))),0,p_horas_jornada)</f>
        <v/>
      </c>
      <c r="I266" s="3">
        <f>$A266&amp;"|"&amp;$B266&amp;"|"&amp;$C266</f>
        <v/>
      </c>
    </row>
    <row r="267">
      <c r="A267" s="3" t="inlineStr">
        <is>
          <t>2026-S32</t>
        </is>
      </c>
      <c r="B267" s="3" t="inlineStr">
        <is>
          <t>viernes</t>
        </is>
      </c>
      <c r="C267" s="3" t="inlineStr">
        <is>
          <t>Técnico 02</t>
        </is>
      </c>
      <c r="D267" s="3">
        <f>IFERROR(INDEX('TECNICOS'!$D$4:$D$15,MATCH($C267,'TECNICOS'!$B$4:$B$15,0)),"")</f>
        <v/>
      </c>
      <c r="E267" s="3">
        <f>IFERROR(INDEX('TECNICOS'!$C$4:$C$15,MATCH($C267,'TECNICOS'!$B$4:$B$15,0)),"")</f>
        <v/>
      </c>
      <c r="F267" s="6" t="inlineStr">
        <is>
          <t>T2</t>
        </is>
      </c>
      <c r="G267" s="3">
        <f>IFERROR(INDEX('TECNICOS'!$E$4:$E$15,MATCH($C267,'TECNICOS'!$B$4:$B$15,0)),"")</f>
        <v/>
      </c>
      <c r="H267" s="3">
        <f>IF(OR($F267="",ISNUMBER(MATCH($F267,lista_no_disponible,0))),0,p_horas_jornada)</f>
        <v/>
      </c>
      <c r="I267" s="3">
        <f>$A267&amp;"|"&amp;$B267&amp;"|"&amp;$C267</f>
        <v/>
      </c>
    </row>
    <row r="268">
      <c r="A268" s="3" t="inlineStr">
        <is>
          <t>2026-S32</t>
        </is>
      </c>
      <c r="B268" s="3" t="inlineStr">
        <is>
          <t>sábado</t>
        </is>
      </c>
      <c r="C268" s="3" t="inlineStr">
        <is>
          <t>Técnico 02</t>
        </is>
      </c>
      <c r="D268" s="3">
        <f>IFERROR(INDEX('TECNICOS'!$D$4:$D$15,MATCH($C268,'TECNICOS'!$B$4:$B$15,0)),"")</f>
        <v/>
      </c>
      <c r="E268" s="3">
        <f>IFERROR(INDEX('TECNICOS'!$C$4:$C$15,MATCH($C268,'TECNICOS'!$B$4:$B$15,0)),"")</f>
        <v/>
      </c>
      <c r="F268" s="6" t="inlineStr"/>
      <c r="G268" s="3">
        <f>IFERROR(INDEX('TECNICOS'!$E$4:$E$15,MATCH($C268,'TECNICOS'!$B$4:$B$15,0)),"")</f>
        <v/>
      </c>
      <c r="H268" s="3">
        <f>IF(OR($F268="",ISNUMBER(MATCH($F268,lista_no_disponible,0))),0,p_horas_jornada)</f>
        <v/>
      </c>
      <c r="I268" s="3">
        <f>$A268&amp;"|"&amp;$B268&amp;"|"&amp;$C268</f>
        <v/>
      </c>
    </row>
    <row r="269">
      <c r="A269" s="3" t="inlineStr">
        <is>
          <t>2026-S32</t>
        </is>
      </c>
      <c r="B269" s="3" t="inlineStr">
        <is>
          <t>domingo</t>
        </is>
      </c>
      <c r="C269" s="3" t="inlineStr">
        <is>
          <t>Técnico 02</t>
        </is>
      </c>
      <c r="D269" s="3">
        <f>IFERROR(INDEX('TECNICOS'!$D$4:$D$15,MATCH($C269,'TECNICOS'!$B$4:$B$15,0)),"")</f>
        <v/>
      </c>
      <c r="E269" s="3">
        <f>IFERROR(INDEX('TECNICOS'!$C$4:$C$15,MATCH($C269,'TECNICOS'!$B$4:$B$15,0)),"")</f>
        <v/>
      </c>
      <c r="F269" s="6" t="inlineStr"/>
      <c r="G269" s="3">
        <f>IFERROR(INDEX('TECNICOS'!$E$4:$E$15,MATCH($C269,'TECNICOS'!$B$4:$B$15,0)),"")</f>
        <v/>
      </c>
      <c r="H269" s="3">
        <f>IF(OR($F269="",ISNUMBER(MATCH($F269,lista_no_disponible,0))),0,p_horas_jornada)</f>
        <v/>
      </c>
      <c r="I269" s="3">
        <f>$A269&amp;"|"&amp;$B269&amp;"|"&amp;$C269</f>
        <v/>
      </c>
    </row>
    <row r="270">
      <c r="A270" s="3" t="inlineStr">
        <is>
          <t>2026-S32</t>
        </is>
      </c>
      <c r="B270" s="3" t="inlineStr">
        <is>
          <t>lunes</t>
        </is>
      </c>
      <c r="C270" s="3" t="inlineStr">
        <is>
          <t>Técnico 03</t>
        </is>
      </c>
      <c r="D270" s="3">
        <f>IFERROR(INDEX('TECNICOS'!$D$4:$D$15,MATCH($C270,'TECNICOS'!$B$4:$B$15,0)),"")</f>
        <v/>
      </c>
      <c r="E270" s="3">
        <f>IFERROR(INDEX('TECNICOS'!$C$4:$C$15,MATCH($C270,'TECNICOS'!$B$4:$B$15,0)),"")</f>
        <v/>
      </c>
      <c r="F270" s="6" t="inlineStr">
        <is>
          <t>T1</t>
        </is>
      </c>
      <c r="G270" s="3">
        <f>IFERROR(INDEX('TECNICOS'!$E$4:$E$15,MATCH($C270,'TECNICOS'!$B$4:$B$15,0)),"")</f>
        <v/>
      </c>
      <c r="H270" s="3">
        <f>IF(OR($F270="",ISNUMBER(MATCH($F270,lista_no_disponible,0))),0,p_horas_jornada)</f>
        <v/>
      </c>
      <c r="I270" s="3">
        <f>$A270&amp;"|"&amp;$B270&amp;"|"&amp;$C270</f>
        <v/>
      </c>
    </row>
    <row r="271">
      <c r="A271" s="3" t="inlineStr">
        <is>
          <t>2026-S32</t>
        </is>
      </c>
      <c r="B271" s="3" t="inlineStr">
        <is>
          <t>martes</t>
        </is>
      </c>
      <c r="C271" s="3" t="inlineStr">
        <is>
          <t>Técnico 03</t>
        </is>
      </c>
      <c r="D271" s="3">
        <f>IFERROR(INDEX('TECNICOS'!$D$4:$D$15,MATCH($C271,'TECNICOS'!$B$4:$B$15,0)),"")</f>
        <v/>
      </c>
      <c r="E271" s="3">
        <f>IFERROR(INDEX('TECNICOS'!$C$4:$C$15,MATCH($C271,'TECNICOS'!$B$4:$B$15,0)),"")</f>
        <v/>
      </c>
      <c r="F271" s="6" t="inlineStr">
        <is>
          <t>T1</t>
        </is>
      </c>
      <c r="G271" s="3">
        <f>IFERROR(INDEX('TECNICOS'!$E$4:$E$15,MATCH($C271,'TECNICOS'!$B$4:$B$15,0)),"")</f>
        <v/>
      </c>
      <c r="H271" s="3">
        <f>IF(OR($F271="",ISNUMBER(MATCH($F271,lista_no_disponible,0))),0,p_horas_jornada)</f>
        <v/>
      </c>
      <c r="I271" s="3">
        <f>$A271&amp;"|"&amp;$B271&amp;"|"&amp;$C271</f>
        <v/>
      </c>
    </row>
    <row r="272">
      <c r="A272" s="3" t="inlineStr">
        <is>
          <t>2026-S32</t>
        </is>
      </c>
      <c r="B272" s="3" t="inlineStr">
        <is>
          <t>miércoles</t>
        </is>
      </c>
      <c r="C272" s="3" t="inlineStr">
        <is>
          <t>Técnico 03</t>
        </is>
      </c>
      <c r="D272" s="3">
        <f>IFERROR(INDEX('TECNICOS'!$D$4:$D$15,MATCH($C272,'TECNICOS'!$B$4:$B$15,0)),"")</f>
        <v/>
      </c>
      <c r="E272" s="3">
        <f>IFERROR(INDEX('TECNICOS'!$C$4:$C$15,MATCH($C272,'TECNICOS'!$B$4:$B$15,0)),"")</f>
        <v/>
      </c>
      <c r="F272" s="6" t="inlineStr">
        <is>
          <t>T1</t>
        </is>
      </c>
      <c r="G272" s="3">
        <f>IFERROR(INDEX('TECNICOS'!$E$4:$E$15,MATCH($C272,'TECNICOS'!$B$4:$B$15,0)),"")</f>
        <v/>
      </c>
      <c r="H272" s="3">
        <f>IF(OR($F272="",ISNUMBER(MATCH($F272,lista_no_disponible,0))),0,p_horas_jornada)</f>
        <v/>
      </c>
      <c r="I272" s="3">
        <f>$A272&amp;"|"&amp;$B272&amp;"|"&amp;$C272</f>
        <v/>
      </c>
    </row>
    <row r="273">
      <c r="A273" s="3" t="inlineStr">
        <is>
          <t>2026-S32</t>
        </is>
      </c>
      <c r="B273" s="3" t="inlineStr">
        <is>
          <t>jueves</t>
        </is>
      </c>
      <c r="C273" s="3" t="inlineStr">
        <is>
          <t>Técnico 03</t>
        </is>
      </c>
      <c r="D273" s="3">
        <f>IFERROR(INDEX('TECNICOS'!$D$4:$D$15,MATCH($C273,'TECNICOS'!$B$4:$B$15,0)),"")</f>
        <v/>
      </c>
      <c r="E273" s="3">
        <f>IFERROR(INDEX('TECNICOS'!$C$4:$C$15,MATCH($C273,'TECNICOS'!$B$4:$B$15,0)),"")</f>
        <v/>
      </c>
      <c r="F273" s="6" t="inlineStr">
        <is>
          <t>T1</t>
        </is>
      </c>
      <c r="G273" s="3">
        <f>IFERROR(INDEX('TECNICOS'!$E$4:$E$15,MATCH($C273,'TECNICOS'!$B$4:$B$15,0)),"")</f>
        <v/>
      </c>
      <c r="H273" s="3">
        <f>IF(OR($F273="",ISNUMBER(MATCH($F273,lista_no_disponible,0))),0,p_horas_jornada)</f>
        <v/>
      </c>
      <c r="I273" s="3">
        <f>$A273&amp;"|"&amp;$B273&amp;"|"&amp;$C273</f>
        <v/>
      </c>
    </row>
    <row r="274">
      <c r="A274" s="3" t="inlineStr">
        <is>
          <t>2026-S32</t>
        </is>
      </c>
      <c r="B274" s="3" t="inlineStr">
        <is>
          <t>viernes</t>
        </is>
      </c>
      <c r="C274" s="3" t="inlineStr">
        <is>
          <t>Técnico 03</t>
        </is>
      </c>
      <c r="D274" s="3">
        <f>IFERROR(INDEX('TECNICOS'!$D$4:$D$15,MATCH($C274,'TECNICOS'!$B$4:$B$15,0)),"")</f>
        <v/>
      </c>
      <c r="E274" s="3">
        <f>IFERROR(INDEX('TECNICOS'!$C$4:$C$15,MATCH($C274,'TECNICOS'!$B$4:$B$15,0)),"")</f>
        <v/>
      </c>
      <c r="F274" s="6" t="inlineStr">
        <is>
          <t>T1</t>
        </is>
      </c>
      <c r="G274" s="3">
        <f>IFERROR(INDEX('TECNICOS'!$E$4:$E$15,MATCH($C274,'TECNICOS'!$B$4:$B$15,0)),"")</f>
        <v/>
      </c>
      <c r="H274" s="3">
        <f>IF(OR($F274="",ISNUMBER(MATCH($F274,lista_no_disponible,0))),0,p_horas_jornada)</f>
        <v/>
      </c>
      <c r="I274" s="3">
        <f>$A274&amp;"|"&amp;$B274&amp;"|"&amp;$C274</f>
        <v/>
      </c>
    </row>
    <row r="275">
      <c r="A275" s="3" t="inlineStr">
        <is>
          <t>2026-S32</t>
        </is>
      </c>
      <c r="B275" s="3" t="inlineStr">
        <is>
          <t>sábado</t>
        </is>
      </c>
      <c r="C275" s="3" t="inlineStr">
        <is>
          <t>Técnico 03</t>
        </is>
      </c>
      <c r="D275" s="3">
        <f>IFERROR(INDEX('TECNICOS'!$D$4:$D$15,MATCH($C275,'TECNICOS'!$B$4:$B$15,0)),"")</f>
        <v/>
      </c>
      <c r="E275" s="3">
        <f>IFERROR(INDEX('TECNICOS'!$C$4:$C$15,MATCH($C275,'TECNICOS'!$B$4:$B$15,0)),"")</f>
        <v/>
      </c>
      <c r="F275" s="6" t="inlineStr"/>
      <c r="G275" s="3">
        <f>IFERROR(INDEX('TECNICOS'!$E$4:$E$15,MATCH($C275,'TECNICOS'!$B$4:$B$15,0)),"")</f>
        <v/>
      </c>
      <c r="H275" s="3">
        <f>IF(OR($F275="",ISNUMBER(MATCH($F275,lista_no_disponible,0))),0,p_horas_jornada)</f>
        <v/>
      </c>
      <c r="I275" s="3">
        <f>$A275&amp;"|"&amp;$B275&amp;"|"&amp;$C275</f>
        <v/>
      </c>
    </row>
    <row r="276">
      <c r="A276" s="3" t="inlineStr">
        <is>
          <t>2026-S32</t>
        </is>
      </c>
      <c r="B276" s="3" t="inlineStr">
        <is>
          <t>domingo</t>
        </is>
      </c>
      <c r="C276" s="3" t="inlineStr">
        <is>
          <t>Técnico 03</t>
        </is>
      </c>
      <c r="D276" s="3">
        <f>IFERROR(INDEX('TECNICOS'!$D$4:$D$15,MATCH($C276,'TECNICOS'!$B$4:$B$15,0)),"")</f>
        <v/>
      </c>
      <c r="E276" s="3">
        <f>IFERROR(INDEX('TECNICOS'!$C$4:$C$15,MATCH($C276,'TECNICOS'!$B$4:$B$15,0)),"")</f>
        <v/>
      </c>
      <c r="F276" s="6" t="inlineStr"/>
      <c r="G276" s="3">
        <f>IFERROR(INDEX('TECNICOS'!$E$4:$E$15,MATCH($C276,'TECNICOS'!$B$4:$B$15,0)),"")</f>
        <v/>
      </c>
      <c r="H276" s="3">
        <f>IF(OR($F276="",ISNUMBER(MATCH($F276,lista_no_disponible,0))),0,p_horas_jornada)</f>
        <v/>
      </c>
      <c r="I276" s="3">
        <f>$A276&amp;"|"&amp;$B276&amp;"|"&amp;$C276</f>
        <v/>
      </c>
    </row>
    <row r="277">
      <c r="A277" s="3" t="inlineStr">
        <is>
          <t>2026-S32</t>
        </is>
      </c>
      <c r="B277" s="3" t="inlineStr">
        <is>
          <t>lunes</t>
        </is>
      </c>
      <c r="C277" s="3" t="inlineStr">
        <is>
          <t>Técnico 04</t>
        </is>
      </c>
      <c r="D277" s="3">
        <f>IFERROR(INDEX('TECNICOS'!$D$4:$D$15,MATCH($C277,'TECNICOS'!$B$4:$B$15,0)),"")</f>
        <v/>
      </c>
      <c r="E277" s="3">
        <f>IFERROR(INDEX('TECNICOS'!$C$4:$C$15,MATCH($C277,'TECNICOS'!$B$4:$B$15,0)),"")</f>
        <v/>
      </c>
      <c r="F277" s="6" t="inlineStr">
        <is>
          <t>T1</t>
        </is>
      </c>
      <c r="G277" s="3">
        <f>IFERROR(INDEX('TECNICOS'!$E$4:$E$15,MATCH($C277,'TECNICOS'!$B$4:$B$15,0)),"")</f>
        <v/>
      </c>
      <c r="H277" s="3">
        <f>IF(OR($F277="",ISNUMBER(MATCH($F277,lista_no_disponible,0))),0,p_horas_jornada)</f>
        <v/>
      </c>
      <c r="I277" s="3">
        <f>$A277&amp;"|"&amp;$B277&amp;"|"&amp;$C277</f>
        <v/>
      </c>
    </row>
    <row r="278">
      <c r="A278" s="3" t="inlineStr">
        <is>
          <t>2026-S32</t>
        </is>
      </c>
      <c r="B278" s="3" t="inlineStr">
        <is>
          <t>martes</t>
        </is>
      </c>
      <c r="C278" s="3" t="inlineStr">
        <is>
          <t>Técnico 04</t>
        </is>
      </c>
      <c r="D278" s="3">
        <f>IFERROR(INDEX('TECNICOS'!$D$4:$D$15,MATCH($C278,'TECNICOS'!$B$4:$B$15,0)),"")</f>
        <v/>
      </c>
      <c r="E278" s="3">
        <f>IFERROR(INDEX('TECNICOS'!$C$4:$C$15,MATCH($C278,'TECNICOS'!$B$4:$B$15,0)),"")</f>
        <v/>
      </c>
      <c r="F278" s="6" t="inlineStr">
        <is>
          <t>T1</t>
        </is>
      </c>
      <c r="G278" s="3">
        <f>IFERROR(INDEX('TECNICOS'!$E$4:$E$15,MATCH($C278,'TECNICOS'!$B$4:$B$15,0)),"")</f>
        <v/>
      </c>
      <c r="H278" s="3">
        <f>IF(OR($F278="",ISNUMBER(MATCH($F278,lista_no_disponible,0))),0,p_horas_jornada)</f>
        <v/>
      </c>
      <c r="I278" s="3">
        <f>$A278&amp;"|"&amp;$B278&amp;"|"&amp;$C278</f>
        <v/>
      </c>
    </row>
    <row r="279">
      <c r="A279" s="3" t="inlineStr">
        <is>
          <t>2026-S32</t>
        </is>
      </c>
      <c r="B279" s="3" t="inlineStr">
        <is>
          <t>miércoles</t>
        </is>
      </c>
      <c r="C279" s="3" t="inlineStr">
        <is>
          <t>Técnico 04</t>
        </is>
      </c>
      <c r="D279" s="3">
        <f>IFERROR(INDEX('TECNICOS'!$D$4:$D$15,MATCH($C279,'TECNICOS'!$B$4:$B$15,0)),"")</f>
        <v/>
      </c>
      <c r="E279" s="3">
        <f>IFERROR(INDEX('TECNICOS'!$C$4:$C$15,MATCH($C279,'TECNICOS'!$B$4:$B$15,0)),"")</f>
        <v/>
      </c>
      <c r="F279" s="6" t="inlineStr">
        <is>
          <t>T1</t>
        </is>
      </c>
      <c r="G279" s="3">
        <f>IFERROR(INDEX('TECNICOS'!$E$4:$E$15,MATCH($C279,'TECNICOS'!$B$4:$B$15,0)),"")</f>
        <v/>
      </c>
      <c r="H279" s="3">
        <f>IF(OR($F279="",ISNUMBER(MATCH($F279,lista_no_disponible,0))),0,p_horas_jornada)</f>
        <v/>
      </c>
      <c r="I279" s="3">
        <f>$A279&amp;"|"&amp;$B279&amp;"|"&amp;$C279</f>
        <v/>
      </c>
    </row>
    <row r="280">
      <c r="A280" s="3" t="inlineStr">
        <is>
          <t>2026-S32</t>
        </is>
      </c>
      <c r="B280" s="3" t="inlineStr">
        <is>
          <t>jueves</t>
        </is>
      </c>
      <c r="C280" s="3" t="inlineStr">
        <is>
          <t>Técnico 04</t>
        </is>
      </c>
      <c r="D280" s="3">
        <f>IFERROR(INDEX('TECNICOS'!$D$4:$D$15,MATCH($C280,'TECNICOS'!$B$4:$B$15,0)),"")</f>
        <v/>
      </c>
      <c r="E280" s="3">
        <f>IFERROR(INDEX('TECNICOS'!$C$4:$C$15,MATCH($C280,'TECNICOS'!$B$4:$B$15,0)),"")</f>
        <v/>
      </c>
      <c r="F280" s="6" t="inlineStr">
        <is>
          <t>T1</t>
        </is>
      </c>
      <c r="G280" s="3">
        <f>IFERROR(INDEX('TECNICOS'!$E$4:$E$15,MATCH($C280,'TECNICOS'!$B$4:$B$15,0)),"")</f>
        <v/>
      </c>
      <c r="H280" s="3">
        <f>IF(OR($F280="",ISNUMBER(MATCH($F280,lista_no_disponible,0))),0,p_horas_jornada)</f>
        <v/>
      </c>
      <c r="I280" s="3">
        <f>$A280&amp;"|"&amp;$B280&amp;"|"&amp;$C280</f>
        <v/>
      </c>
    </row>
    <row r="281">
      <c r="A281" s="3" t="inlineStr">
        <is>
          <t>2026-S32</t>
        </is>
      </c>
      <c r="B281" s="3" t="inlineStr">
        <is>
          <t>viernes</t>
        </is>
      </c>
      <c r="C281" s="3" t="inlineStr">
        <is>
          <t>Técnico 04</t>
        </is>
      </c>
      <c r="D281" s="3">
        <f>IFERROR(INDEX('TECNICOS'!$D$4:$D$15,MATCH($C281,'TECNICOS'!$B$4:$B$15,0)),"")</f>
        <v/>
      </c>
      <c r="E281" s="3">
        <f>IFERROR(INDEX('TECNICOS'!$C$4:$C$15,MATCH($C281,'TECNICOS'!$B$4:$B$15,0)),"")</f>
        <v/>
      </c>
      <c r="F281" s="6" t="inlineStr">
        <is>
          <t>T1</t>
        </is>
      </c>
      <c r="G281" s="3">
        <f>IFERROR(INDEX('TECNICOS'!$E$4:$E$15,MATCH($C281,'TECNICOS'!$B$4:$B$15,0)),"")</f>
        <v/>
      </c>
      <c r="H281" s="3">
        <f>IF(OR($F281="",ISNUMBER(MATCH($F281,lista_no_disponible,0))),0,p_horas_jornada)</f>
        <v/>
      </c>
      <c r="I281" s="3">
        <f>$A281&amp;"|"&amp;$B281&amp;"|"&amp;$C281</f>
        <v/>
      </c>
    </row>
    <row r="282">
      <c r="A282" s="3" t="inlineStr">
        <is>
          <t>2026-S32</t>
        </is>
      </c>
      <c r="B282" s="3" t="inlineStr">
        <is>
          <t>sábado</t>
        </is>
      </c>
      <c r="C282" s="3" t="inlineStr">
        <is>
          <t>Técnico 04</t>
        </is>
      </c>
      <c r="D282" s="3">
        <f>IFERROR(INDEX('TECNICOS'!$D$4:$D$15,MATCH($C282,'TECNICOS'!$B$4:$B$15,0)),"")</f>
        <v/>
      </c>
      <c r="E282" s="3">
        <f>IFERROR(INDEX('TECNICOS'!$C$4:$C$15,MATCH($C282,'TECNICOS'!$B$4:$B$15,0)),"")</f>
        <v/>
      </c>
      <c r="F282" s="6" t="inlineStr"/>
      <c r="G282" s="3">
        <f>IFERROR(INDEX('TECNICOS'!$E$4:$E$15,MATCH($C282,'TECNICOS'!$B$4:$B$15,0)),"")</f>
        <v/>
      </c>
      <c r="H282" s="3">
        <f>IF(OR($F282="",ISNUMBER(MATCH($F282,lista_no_disponible,0))),0,p_horas_jornada)</f>
        <v/>
      </c>
      <c r="I282" s="3">
        <f>$A282&amp;"|"&amp;$B282&amp;"|"&amp;$C282</f>
        <v/>
      </c>
    </row>
    <row r="283">
      <c r="A283" s="3" t="inlineStr">
        <is>
          <t>2026-S32</t>
        </is>
      </c>
      <c r="B283" s="3" t="inlineStr">
        <is>
          <t>domingo</t>
        </is>
      </c>
      <c r="C283" s="3" t="inlineStr">
        <is>
          <t>Técnico 04</t>
        </is>
      </c>
      <c r="D283" s="3">
        <f>IFERROR(INDEX('TECNICOS'!$D$4:$D$15,MATCH($C283,'TECNICOS'!$B$4:$B$15,0)),"")</f>
        <v/>
      </c>
      <c r="E283" s="3">
        <f>IFERROR(INDEX('TECNICOS'!$C$4:$C$15,MATCH($C283,'TECNICOS'!$B$4:$B$15,0)),"")</f>
        <v/>
      </c>
      <c r="F283" s="6" t="inlineStr"/>
      <c r="G283" s="3">
        <f>IFERROR(INDEX('TECNICOS'!$E$4:$E$15,MATCH($C283,'TECNICOS'!$B$4:$B$15,0)),"")</f>
        <v/>
      </c>
      <c r="H283" s="3">
        <f>IF(OR($F283="",ISNUMBER(MATCH($F283,lista_no_disponible,0))),0,p_horas_jornada)</f>
        <v/>
      </c>
      <c r="I283" s="3">
        <f>$A283&amp;"|"&amp;$B283&amp;"|"&amp;$C283</f>
        <v/>
      </c>
    </row>
    <row r="284">
      <c r="A284" s="3" t="inlineStr">
        <is>
          <t>2026-S32</t>
        </is>
      </c>
      <c r="B284" s="3" t="inlineStr">
        <is>
          <t>lunes</t>
        </is>
      </c>
      <c r="C284" s="3" t="inlineStr">
        <is>
          <t>Técnico 05</t>
        </is>
      </c>
      <c r="D284" s="3">
        <f>IFERROR(INDEX('TECNICOS'!$D$4:$D$15,MATCH($C284,'TECNICOS'!$B$4:$B$15,0)),"")</f>
        <v/>
      </c>
      <c r="E284" s="3">
        <f>IFERROR(INDEX('TECNICOS'!$C$4:$C$15,MATCH($C284,'TECNICOS'!$B$4:$B$15,0)),"")</f>
        <v/>
      </c>
      <c r="F284" s="6" t="inlineStr">
        <is>
          <t>T1</t>
        </is>
      </c>
      <c r="G284" s="3">
        <f>IFERROR(INDEX('TECNICOS'!$E$4:$E$15,MATCH($C284,'TECNICOS'!$B$4:$B$15,0)),"")</f>
        <v/>
      </c>
      <c r="H284" s="3">
        <f>IF(OR($F284="",ISNUMBER(MATCH($F284,lista_no_disponible,0))),0,p_horas_jornada)</f>
        <v/>
      </c>
      <c r="I284" s="3">
        <f>$A284&amp;"|"&amp;$B284&amp;"|"&amp;$C284</f>
        <v/>
      </c>
    </row>
    <row r="285">
      <c r="A285" s="3" t="inlineStr">
        <is>
          <t>2026-S32</t>
        </is>
      </c>
      <c r="B285" s="3" t="inlineStr">
        <is>
          <t>martes</t>
        </is>
      </c>
      <c r="C285" s="3" t="inlineStr">
        <is>
          <t>Técnico 05</t>
        </is>
      </c>
      <c r="D285" s="3">
        <f>IFERROR(INDEX('TECNICOS'!$D$4:$D$15,MATCH($C285,'TECNICOS'!$B$4:$B$15,0)),"")</f>
        <v/>
      </c>
      <c r="E285" s="3">
        <f>IFERROR(INDEX('TECNICOS'!$C$4:$C$15,MATCH($C285,'TECNICOS'!$B$4:$B$15,0)),"")</f>
        <v/>
      </c>
      <c r="F285" s="6" t="inlineStr">
        <is>
          <t>T1</t>
        </is>
      </c>
      <c r="G285" s="3">
        <f>IFERROR(INDEX('TECNICOS'!$E$4:$E$15,MATCH($C285,'TECNICOS'!$B$4:$B$15,0)),"")</f>
        <v/>
      </c>
      <c r="H285" s="3">
        <f>IF(OR($F285="",ISNUMBER(MATCH($F285,lista_no_disponible,0))),0,p_horas_jornada)</f>
        <v/>
      </c>
      <c r="I285" s="3">
        <f>$A285&amp;"|"&amp;$B285&amp;"|"&amp;$C285</f>
        <v/>
      </c>
    </row>
    <row r="286">
      <c r="A286" s="3" t="inlineStr">
        <is>
          <t>2026-S32</t>
        </is>
      </c>
      <c r="B286" s="3" t="inlineStr">
        <is>
          <t>miércoles</t>
        </is>
      </c>
      <c r="C286" s="3" t="inlineStr">
        <is>
          <t>Técnico 05</t>
        </is>
      </c>
      <c r="D286" s="3">
        <f>IFERROR(INDEX('TECNICOS'!$D$4:$D$15,MATCH($C286,'TECNICOS'!$B$4:$B$15,0)),"")</f>
        <v/>
      </c>
      <c r="E286" s="3">
        <f>IFERROR(INDEX('TECNICOS'!$C$4:$C$15,MATCH($C286,'TECNICOS'!$B$4:$B$15,0)),"")</f>
        <v/>
      </c>
      <c r="F286" s="6" t="inlineStr">
        <is>
          <t>T1</t>
        </is>
      </c>
      <c r="G286" s="3">
        <f>IFERROR(INDEX('TECNICOS'!$E$4:$E$15,MATCH($C286,'TECNICOS'!$B$4:$B$15,0)),"")</f>
        <v/>
      </c>
      <c r="H286" s="3">
        <f>IF(OR($F286="",ISNUMBER(MATCH($F286,lista_no_disponible,0))),0,p_horas_jornada)</f>
        <v/>
      </c>
      <c r="I286" s="3">
        <f>$A286&amp;"|"&amp;$B286&amp;"|"&amp;$C286</f>
        <v/>
      </c>
    </row>
    <row r="287">
      <c r="A287" s="3" t="inlineStr">
        <is>
          <t>2026-S32</t>
        </is>
      </c>
      <c r="B287" s="3" t="inlineStr">
        <is>
          <t>jueves</t>
        </is>
      </c>
      <c r="C287" s="3" t="inlineStr">
        <is>
          <t>Técnico 05</t>
        </is>
      </c>
      <c r="D287" s="3">
        <f>IFERROR(INDEX('TECNICOS'!$D$4:$D$15,MATCH($C287,'TECNICOS'!$B$4:$B$15,0)),"")</f>
        <v/>
      </c>
      <c r="E287" s="3">
        <f>IFERROR(INDEX('TECNICOS'!$C$4:$C$15,MATCH($C287,'TECNICOS'!$B$4:$B$15,0)),"")</f>
        <v/>
      </c>
      <c r="F287" s="6" t="inlineStr">
        <is>
          <t>T1</t>
        </is>
      </c>
      <c r="G287" s="3">
        <f>IFERROR(INDEX('TECNICOS'!$E$4:$E$15,MATCH($C287,'TECNICOS'!$B$4:$B$15,0)),"")</f>
        <v/>
      </c>
      <c r="H287" s="3">
        <f>IF(OR($F287="",ISNUMBER(MATCH($F287,lista_no_disponible,0))),0,p_horas_jornada)</f>
        <v/>
      </c>
      <c r="I287" s="3">
        <f>$A287&amp;"|"&amp;$B287&amp;"|"&amp;$C287</f>
        <v/>
      </c>
    </row>
    <row r="288">
      <c r="A288" s="3" t="inlineStr">
        <is>
          <t>2026-S32</t>
        </is>
      </c>
      <c r="B288" s="3" t="inlineStr">
        <is>
          <t>viernes</t>
        </is>
      </c>
      <c r="C288" s="3" t="inlineStr">
        <is>
          <t>Técnico 05</t>
        </is>
      </c>
      <c r="D288" s="3">
        <f>IFERROR(INDEX('TECNICOS'!$D$4:$D$15,MATCH($C288,'TECNICOS'!$B$4:$B$15,0)),"")</f>
        <v/>
      </c>
      <c r="E288" s="3">
        <f>IFERROR(INDEX('TECNICOS'!$C$4:$C$15,MATCH($C288,'TECNICOS'!$B$4:$B$15,0)),"")</f>
        <v/>
      </c>
      <c r="F288" s="6" t="inlineStr">
        <is>
          <t>T1</t>
        </is>
      </c>
      <c r="G288" s="3">
        <f>IFERROR(INDEX('TECNICOS'!$E$4:$E$15,MATCH($C288,'TECNICOS'!$B$4:$B$15,0)),"")</f>
        <v/>
      </c>
      <c r="H288" s="3">
        <f>IF(OR($F288="",ISNUMBER(MATCH($F288,lista_no_disponible,0))),0,p_horas_jornada)</f>
        <v/>
      </c>
      <c r="I288" s="3">
        <f>$A288&amp;"|"&amp;$B288&amp;"|"&amp;$C288</f>
        <v/>
      </c>
    </row>
    <row r="289">
      <c r="A289" s="3" t="inlineStr">
        <is>
          <t>2026-S32</t>
        </is>
      </c>
      <c r="B289" s="3" t="inlineStr">
        <is>
          <t>sábado</t>
        </is>
      </c>
      <c r="C289" s="3" t="inlineStr">
        <is>
          <t>Técnico 05</t>
        </is>
      </c>
      <c r="D289" s="3">
        <f>IFERROR(INDEX('TECNICOS'!$D$4:$D$15,MATCH($C289,'TECNICOS'!$B$4:$B$15,0)),"")</f>
        <v/>
      </c>
      <c r="E289" s="3">
        <f>IFERROR(INDEX('TECNICOS'!$C$4:$C$15,MATCH($C289,'TECNICOS'!$B$4:$B$15,0)),"")</f>
        <v/>
      </c>
      <c r="F289" s="6" t="inlineStr"/>
      <c r="G289" s="3">
        <f>IFERROR(INDEX('TECNICOS'!$E$4:$E$15,MATCH($C289,'TECNICOS'!$B$4:$B$15,0)),"")</f>
        <v/>
      </c>
      <c r="H289" s="3">
        <f>IF(OR($F289="",ISNUMBER(MATCH($F289,lista_no_disponible,0))),0,p_horas_jornada)</f>
        <v/>
      </c>
      <c r="I289" s="3">
        <f>$A289&amp;"|"&amp;$B289&amp;"|"&amp;$C289</f>
        <v/>
      </c>
    </row>
    <row r="290">
      <c r="A290" s="3" t="inlineStr">
        <is>
          <t>2026-S32</t>
        </is>
      </c>
      <c r="B290" s="3" t="inlineStr">
        <is>
          <t>domingo</t>
        </is>
      </c>
      <c r="C290" s="3" t="inlineStr">
        <is>
          <t>Técnico 05</t>
        </is>
      </c>
      <c r="D290" s="3">
        <f>IFERROR(INDEX('TECNICOS'!$D$4:$D$15,MATCH($C290,'TECNICOS'!$B$4:$B$15,0)),"")</f>
        <v/>
      </c>
      <c r="E290" s="3">
        <f>IFERROR(INDEX('TECNICOS'!$C$4:$C$15,MATCH($C290,'TECNICOS'!$B$4:$B$15,0)),"")</f>
        <v/>
      </c>
      <c r="F290" s="6" t="inlineStr"/>
      <c r="G290" s="3">
        <f>IFERROR(INDEX('TECNICOS'!$E$4:$E$15,MATCH($C290,'TECNICOS'!$B$4:$B$15,0)),"")</f>
        <v/>
      </c>
      <c r="H290" s="3">
        <f>IF(OR($F290="",ISNUMBER(MATCH($F290,lista_no_disponible,0))),0,p_horas_jornada)</f>
        <v/>
      </c>
      <c r="I290" s="3">
        <f>$A290&amp;"|"&amp;$B290&amp;"|"&amp;$C290</f>
        <v/>
      </c>
    </row>
    <row r="291">
      <c r="A291" s="3" t="inlineStr">
        <is>
          <t>2026-S32</t>
        </is>
      </c>
      <c r="B291" s="3" t="inlineStr">
        <is>
          <t>lunes</t>
        </is>
      </c>
      <c r="C291" s="3" t="inlineStr">
        <is>
          <t>Técnico 06</t>
        </is>
      </c>
      <c r="D291" s="3">
        <f>IFERROR(INDEX('TECNICOS'!$D$4:$D$15,MATCH($C291,'TECNICOS'!$B$4:$B$15,0)),"")</f>
        <v/>
      </c>
      <c r="E291" s="3">
        <f>IFERROR(INDEX('TECNICOS'!$C$4:$C$15,MATCH($C291,'TECNICOS'!$B$4:$B$15,0)),"")</f>
        <v/>
      </c>
      <c r="F291" s="6" t="inlineStr">
        <is>
          <t>T1</t>
        </is>
      </c>
      <c r="G291" s="3">
        <f>IFERROR(INDEX('TECNICOS'!$E$4:$E$15,MATCH($C291,'TECNICOS'!$B$4:$B$15,0)),"")</f>
        <v/>
      </c>
      <c r="H291" s="3">
        <f>IF(OR($F291="",ISNUMBER(MATCH($F291,lista_no_disponible,0))),0,p_horas_jornada)</f>
        <v/>
      </c>
      <c r="I291" s="3">
        <f>$A291&amp;"|"&amp;$B291&amp;"|"&amp;$C291</f>
        <v/>
      </c>
    </row>
    <row r="292">
      <c r="A292" s="3" t="inlineStr">
        <is>
          <t>2026-S32</t>
        </is>
      </c>
      <c r="B292" s="3" t="inlineStr">
        <is>
          <t>martes</t>
        </is>
      </c>
      <c r="C292" s="3" t="inlineStr">
        <is>
          <t>Técnico 06</t>
        </is>
      </c>
      <c r="D292" s="3">
        <f>IFERROR(INDEX('TECNICOS'!$D$4:$D$15,MATCH($C292,'TECNICOS'!$B$4:$B$15,0)),"")</f>
        <v/>
      </c>
      <c r="E292" s="3">
        <f>IFERROR(INDEX('TECNICOS'!$C$4:$C$15,MATCH($C292,'TECNICOS'!$B$4:$B$15,0)),"")</f>
        <v/>
      </c>
      <c r="F292" s="6" t="inlineStr">
        <is>
          <t>T1</t>
        </is>
      </c>
      <c r="G292" s="3">
        <f>IFERROR(INDEX('TECNICOS'!$E$4:$E$15,MATCH($C292,'TECNICOS'!$B$4:$B$15,0)),"")</f>
        <v/>
      </c>
      <c r="H292" s="3">
        <f>IF(OR($F292="",ISNUMBER(MATCH($F292,lista_no_disponible,0))),0,p_horas_jornada)</f>
        <v/>
      </c>
      <c r="I292" s="3">
        <f>$A292&amp;"|"&amp;$B292&amp;"|"&amp;$C292</f>
        <v/>
      </c>
    </row>
    <row r="293">
      <c r="A293" s="3" t="inlineStr">
        <is>
          <t>2026-S32</t>
        </is>
      </c>
      <c r="B293" s="3" t="inlineStr">
        <is>
          <t>miércoles</t>
        </is>
      </c>
      <c r="C293" s="3" t="inlineStr">
        <is>
          <t>Técnico 06</t>
        </is>
      </c>
      <c r="D293" s="3">
        <f>IFERROR(INDEX('TECNICOS'!$D$4:$D$15,MATCH($C293,'TECNICOS'!$B$4:$B$15,0)),"")</f>
        <v/>
      </c>
      <c r="E293" s="3">
        <f>IFERROR(INDEX('TECNICOS'!$C$4:$C$15,MATCH($C293,'TECNICOS'!$B$4:$B$15,0)),"")</f>
        <v/>
      </c>
      <c r="F293" s="6" t="inlineStr">
        <is>
          <t>T1</t>
        </is>
      </c>
      <c r="G293" s="3">
        <f>IFERROR(INDEX('TECNICOS'!$E$4:$E$15,MATCH($C293,'TECNICOS'!$B$4:$B$15,0)),"")</f>
        <v/>
      </c>
      <c r="H293" s="3">
        <f>IF(OR($F293="",ISNUMBER(MATCH($F293,lista_no_disponible,0))),0,p_horas_jornada)</f>
        <v/>
      </c>
      <c r="I293" s="3">
        <f>$A293&amp;"|"&amp;$B293&amp;"|"&amp;$C293</f>
        <v/>
      </c>
    </row>
    <row r="294">
      <c r="A294" s="3" t="inlineStr">
        <is>
          <t>2026-S32</t>
        </is>
      </c>
      <c r="B294" s="3" t="inlineStr">
        <is>
          <t>jueves</t>
        </is>
      </c>
      <c r="C294" s="3" t="inlineStr">
        <is>
          <t>Técnico 06</t>
        </is>
      </c>
      <c r="D294" s="3">
        <f>IFERROR(INDEX('TECNICOS'!$D$4:$D$15,MATCH($C294,'TECNICOS'!$B$4:$B$15,0)),"")</f>
        <v/>
      </c>
      <c r="E294" s="3">
        <f>IFERROR(INDEX('TECNICOS'!$C$4:$C$15,MATCH($C294,'TECNICOS'!$B$4:$B$15,0)),"")</f>
        <v/>
      </c>
      <c r="F294" s="6" t="inlineStr">
        <is>
          <t>T1</t>
        </is>
      </c>
      <c r="G294" s="3">
        <f>IFERROR(INDEX('TECNICOS'!$E$4:$E$15,MATCH($C294,'TECNICOS'!$B$4:$B$15,0)),"")</f>
        <v/>
      </c>
      <c r="H294" s="3">
        <f>IF(OR($F294="",ISNUMBER(MATCH($F294,lista_no_disponible,0))),0,p_horas_jornada)</f>
        <v/>
      </c>
      <c r="I294" s="3">
        <f>$A294&amp;"|"&amp;$B294&amp;"|"&amp;$C294</f>
        <v/>
      </c>
    </row>
    <row r="295">
      <c r="A295" s="3" t="inlineStr">
        <is>
          <t>2026-S32</t>
        </is>
      </c>
      <c r="B295" s="3" t="inlineStr">
        <is>
          <t>viernes</t>
        </is>
      </c>
      <c r="C295" s="3" t="inlineStr">
        <is>
          <t>Técnico 06</t>
        </is>
      </c>
      <c r="D295" s="3">
        <f>IFERROR(INDEX('TECNICOS'!$D$4:$D$15,MATCH($C295,'TECNICOS'!$B$4:$B$15,0)),"")</f>
        <v/>
      </c>
      <c r="E295" s="3">
        <f>IFERROR(INDEX('TECNICOS'!$C$4:$C$15,MATCH($C295,'TECNICOS'!$B$4:$B$15,0)),"")</f>
        <v/>
      </c>
      <c r="F295" s="6" t="inlineStr">
        <is>
          <t>T1</t>
        </is>
      </c>
      <c r="G295" s="3">
        <f>IFERROR(INDEX('TECNICOS'!$E$4:$E$15,MATCH($C295,'TECNICOS'!$B$4:$B$15,0)),"")</f>
        <v/>
      </c>
      <c r="H295" s="3">
        <f>IF(OR($F295="",ISNUMBER(MATCH($F295,lista_no_disponible,0))),0,p_horas_jornada)</f>
        <v/>
      </c>
      <c r="I295" s="3">
        <f>$A295&amp;"|"&amp;$B295&amp;"|"&amp;$C295</f>
        <v/>
      </c>
    </row>
    <row r="296">
      <c r="A296" s="3" t="inlineStr">
        <is>
          <t>2026-S32</t>
        </is>
      </c>
      <c r="B296" s="3" t="inlineStr">
        <is>
          <t>sábado</t>
        </is>
      </c>
      <c r="C296" s="3" t="inlineStr">
        <is>
          <t>Técnico 06</t>
        </is>
      </c>
      <c r="D296" s="3">
        <f>IFERROR(INDEX('TECNICOS'!$D$4:$D$15,MATCH($C296,'TECNICOS'!$B$4:$B$15,0)),"")</f>
        <v/>
      </c>
      <c r="E296" s="3">
        <f>IFERROR(INDEX('TECNICOS'!$C$4:$C$15,MATCH($C296,'TECNICOS'!$B$4:$B$15,0)),"")</f>
        <v/>
      </c>
      <c r="F296" s="6" t="inlineStr"/>
      <c r="G296" s="3">
        <f>IFERROR(INDEX('TECNICOS'!$E$4:$E$15,MATCH($C296,'TECNICOS'!$B$4:$B$15,0)),"")</f>
        <v/>
      </c>
      <c r="H296" s="3">
        <f>IF(OR($F296="",ISNUMBER(MATCH($F296,lista_no_disponible,0))),0,p_horas_jornada)</f>
        <v/>
      </c>
      <c r="I296" s="3">
        <f>$A296&amp;"|"&amp;$B296&amp;"|"&amp;$C296</f>
        <v/>
      </c>
    </row>
    <row r="297">
      <c r="A297" s="3" t="inlineStr">
        <is>
          <t>2026-S32</t>
        </is>
      </c>
      <c r="B297" s="3" t="inlineStr">
        <is>
          <t>domingo</t>
        </is>
      </c>
      <c r="C297" s="3" t="inlineStr">
        <is>
          <t>Técnico 06</t>
        </is>
      </c>
      <c r="D297" s="3">
        <f>IFERROR(INDEX('TECNICOS'!$D$4:$D$15,MATCH($C297,'TECNICOS'!$B$4:$B$15,0)),"")</f>
        <v/>
      </c>
      <c r="E297" s="3">
        <f>IFERROR(INDEX('TECNICOS'!$C$4:$C$15,MATCH($C297,'TECNICOS'!$B$4:$B$15,0)),"")</f>
        <v/>
      </c>
      <c r="F297" s="6" t="inlineStr"/>
      <c r="G297" s="3">
        <f>IFERROR(INDEX('TECNICOS'!$E$4:$E$15,MATCH($C297,'TECNICOS'!$B$4:$B$15,0)),"")</f>
        <v/>
      </c>
      <c r="H297" s="3">
        <f>IF(OR($F297="",ISNUMBER(MATCH($F297,lista_no_disponible,0))),0,p_horas_jornada)</f>
        <v/>
      </c>
      <c r="I297" s="3">
        <f>$A297&amp;"|"&amp;$B297&amp;"|"&amp;$C297</f>
        <v/>
      </c>
    </row>
    <row r="298">
      <c r="A298" s="3" t="inlineStr">
        <is>
          <t>2026-S32</t>
        </is>
      </c>
      <c r="B298" s="3" t="inlineStr">
        <is>
          <t>lunes</t>
        </is>
      </c>
      <c r="C298" s="3" t="inlineStr">
        <is>
          <t>Técnico 07</t>
        </is>
      </c>
      <c r="D298" s="3">
        <f>IFERROR(INDEX('TECNICOS'!$D$4:$D$15,MATCH($C298,'TECNICOS'!$B$4:$B$15,0)),"")</f>
        <v/>
      </c>
      <c r="E298" s="3">
        <f>IFERROR(INDEX('TECNICOS'!$C$4:$C$15,MATCH($C298,'TECNICOS'!$B$4:$B$15,0)),"")</f>
        <v/>
      </c>
      <c r="F298" s="6" t="inlineStr">
        <is>
          <t>T1</t>
        </is>
      </c>
      <c r="G298" s="3">
        <f>IFERROR(INDEX('TECNICOS'!$E$4:$E$15,MATCH($C298,'TECNICOS'!$B$4:$B$15,0)),"")</f>
        <v/>
      </c>
      <c r="H298" s="3">
        <f>IF(OR($F298="",ISNUMBER(MATCH($F298,lista_no_disponible,0))),0,p_horas_jornada)</f>
        <v/>
      </c>
      <c r="I298" s="3">
        <f>$A298&amp;"|"&amp;$B298&amp;"|"&amp;$C298</f>
        <v/>
      </c>
    </row>
    <row r="299">
      <c r="A299" s="3" t="inlineStr">
        <is>
          <t>2026-S32</t>
        </is>
      </c>
      <c r="B299" s="3" t="inlineStr">
        <is>
          <t>martes</t>
        </is>
      </c>
      <c r="C299" s="3" t="inlineStr">
        <is>
          <t>Técnico 07</t>
        </is>
      </c>
      <c r="D299" s="3">
        <f>IFERROR(INDEX('TECNICOS'!$D$4:$D$15,MATCH($C299,'TECNICOS'!$B$4:$B$15,0)),"")</f>
        <v/>
      </c>
      <c r="E299" s="3">
        <f>IFERROR(INDEX('TECNICOS'!$C$4:$C$15,MATCH($C299,'TECNICOS'!$B$4:$B$15,0)),"")</f>
        <v/>
      </c>
      <c r="F299" s="6" t="inlineStr">
        <is>
          <t>T1</t>
        </is>
      </c>
      <c r="G299" s="3">
        <f>IFERROR(INDEX('TECNICOS'!$E$4:$E$15,MATCH($C299,'TECNICOS'!$B$4:$B$15,0)),"")</f>
        <v/>
      </c>
      <c r="H299" s="3">
        <f>IF(OR($F299="",ISNUMBER(MATCH($F299,lista_no_disponible,0))),0,p_horas_jornada)</f>
        <v/>
      </c>
      <c r="I299" s="3">
        <f>$A299&amp;"|"&amp;$B299&amp;"|"&amp;$C299</f>
        <v/>
      </c>
    </row>
    <row r="300">
      <c r="A300" s="3" t="inlineStr">
        <is>
          <t>2026-S32</t>
        </is>
      </c>
      <c r="B300" s="3" t="inlineStr">
        <is>
          <t>miércoles</t>
        </is>
      </c>
      <c r="C300" s="3" t="inlineStr">
        <is>
          <t>Técnico 07</t>
        </is>
      </c>
      <c r="D300" s="3">
        <f>IFERROR(INDEX('TECNICOS'!$D$4:$D$15,MATCH($C300,'TECNICOS'!$B$4:$B$15,0)),"")</f>
        <v/>
      </c>
      <c r="E300" s="3">
        <f>IFERROR(INDEX('TECNICOS'!$C$4:$C$15,MATCH($C300,'TECNICOS'!$B$4:$B$15,0)),"")</f>
        <v/>
      </c>
      <c r="F300" s="6" t="inlineStr">
        <is>
          <t>T1</t>
        </is>
      </c>
      <c r="G300" s="3">
        <f>IFERROR(INDEX('TECNICOS'!$E$4:$E$15,MATCH($C300,'TECNICOS'!$B$4:$B$15,0)),"")</f>
        <v/>
      </c>
      <c r="H300" s="3">
        <f>IF(OR($F300="",ISNUMBER(MATCH($F300,lista_no_disponible,0))),0,p_horas_jornada)</f>
        <v/>
      </c>
      <c r="I300" s="3">
        <f>$A300&amp;"|"&amp;$B300&amp;"|"&amp;$C300</f>
        <v/>
      </c>
    </row>
    <row r="301">
      <c r="A301" s="3" t="inlineStr">
        <is>
          <t>2026-S32</t>
        </is>
      </c>
      <c r="B301" s="3" t="inlineStr">
        <is>
          <t>jueves</t>
        </is>
      </c>
      <c r="C301" s="3" t="inlineStr">
        <is>
          <t>Técnico 07</t>
        </is>
      </c>
      <c r="D301" s="3">
        <f>IFERROR(INDEX('TECNICOS'!$D$4:$D$15,MATCH($C301,'TECNICOS'!$B$4:$B$15,0)),"")</f>
        <v/>
      </c>
      <c r="E301" s="3">
        <f>IFERROR(INDEX('TECNICOS'!$C$4:$C$15,MATCH($C301,'TECNICOS'!$B$4:$B$15,0)),"")</f>
        <v/>
      </c>
      <c r="F301" s="6" t="inlineStr">
        <is>
          <t>T1</t>
        </is>
      </c>
      <c r="G301" s="3">
        <f>IFERROR(INDEX('TECNICOS'!$E$4:$E$15,MATCH($C301,'TECNICOS'!$B$4:$B$15,0)),"")</f>
        <v/>
      </c>
      <c r="H301" s="3">
        <f>IF(OR($F301="",ISNUMBER(MATCH($F301,lista_no_disponible,0))),0,p_horas_jornada)</f>
        <v/>
      </c>
      <c r="I301" s="3">
        <f>$A301&amp;"|"&amp;$B301&amp;"|"&amp;$C301</f>
        <v/>
      </c>
    </row>
    <row r="302">
      <c r="A302" s="3" t="inlineStr">
        <is>
          <t>2026-S32</t>
        </is>
      </c>
      <c r="B302" s="3" t="inlineStr">
        <is>
          <t>viernes</t>
        </is>
      </c>
      <c r="C302" s="3" t="inlineStr">
        <is>
          <t>Técnico 07</t>
        </is>
      </c>
      <c r="D302" s="3">
        <f>IFERROR(INDEX('TECNICOS'!$D$4:$D$15,MATCH($C302,'TECNICOS'!$B$4:$B$15,0)),"")</f>
        <v/>
      </c>
      <c r="E302" s="3">
        <f>IFERROR(INDEX('TECNICOS'!$C$4:$C$15,MATCH($C302,'TECNICOS'!$B$4:$B$15,0)),"")</f>
        <v/>
      </c>
      <c r="F302" s="6" t="inlineStr">
        <is>
          <t>T1</t>
        </is>
      </c>
      <c r="G302" s="3">
        <f>IFERROR(INDEX('TECNICOS'!$E$4:$E$15,MATCH($C302,'TECNICOS'!$B$4:$B$15,0)),"")</f>
        <v/>
      </c>
      <c r="H302" s="3">
        <f>IF(OR($F302="",ISNUMBER(MATCH($F302,lista_no_disponible,0))),0,p_horas_jornada)</f>
        <v/>
      </c>
      <c r="I302" s="3">
        <f>$A302&amp;"|"&amp;$B302&amp;"|"&amp;$C302</f>
        <v/>
      </c>
    </row>
    <row r="303">
      <c r="A303" s="3" t="inlineStr">
        <is>
          <t>2026-S32</t>
        </is>
      </c>
      <c r="B303" s="3" t="inlineStr">
        <is>
          <t>sábado</t>
        </is>
      </c>
      <c r="C303" s="3" t="inlineStr">
        <is>
          <t>Técnico 07</t>
        </is>
      </c>
      <c r="D303" s="3">
        <f>IFERROR(INDEX('TECNICOS'!$D$4:$D$15,MATCH($C303,'TECNICOS'!$B$4:$B$15,0)),"")</f>
        <v/>
      </c>
      <c r="E303" s="3">
        <f>IFERROR(INDEX('TECNICOS'!$C$4:$C$15,MATCH($C303,'TECNICOS'!$B$4:$B$15,0)),"")</f>
        <v/>
      </c>
      <c r="F303" s="6" t="inlineStr"/>
      <c r="G303" s="3">
        <f>IFERROR(INDEX('TECNICOS'!$E$4:$E$15,MATCH($C303,'TECNICOS'!$B$4:$B$15,0)),"")</f>
        <v/>
      </c>
      <c r="H303" s="3">
        <f>IF(OR($F303="",ISNUMBER(MATCH($F303,lista_no_disponible,0))),0,p_horas_jornada)</f>
        <v/>
      </c>
      <c r="I303" s="3">
        <f>$A303&amp;"|"&amp;$B303&amp;"|"&amp;$C303</f>
        <v/>
      </c>
    </row>
    <row r="304">
      <c r="A304" s="3" t="inlineStr">
        <is>
          <t>2026-S32</t>
        </is>
      </c>
      <c r="B304" s="3" t="inlineStr">
        <is>
          <t>domingo</t>
        </is>
      </c>
      <c r="C304" s="3" t="inlineStr">
        <is>
          <t>Técnico 07</t>
        </is>
      </c>
      <c r="D304" s="3">
        <f>IFERROR(INDEX('TECNICOS'!$D$4:$D$15,MATCH($C304,'TECNICOS'!$B$4:$B$15,0)),"")</f>
        <v/>
      </c>
      <c r="E304" s="3">
        <f>IFERROR(INDEX('TECNICOS'!$C$4:$C$15,MATCH($C304,'TECNICOS'!$B$4:$B$15,0)),"")</f>
        <v/>
      </c>
      <c r="F304" s="6" t="inlineStr"/>
      <c r="G304" s="3">
        <f>IFERROR(INDEX('TECNICOS'!$E$4:$E$15,MATCH($C304,'TECNICOS'!$B$4:$B$15,0)),"")</f>
        <v/>
      </c>
      <c r="H304" s="3">
        <f>IF(OR($F304="",ISNUMBER(MATCH($F304,lista_no_disponible,0))),0,p_horas_jornada)</f>
        <v/>
      </c>
      <c r="I304" s="3">
        <f>$A304&amp;"|"&amp;$B304&amp;"|"&amp;$C304</f>
        <v/>
      </c>
    </row>
    <row r="305">
      <c r="A305" s="3" t="inlineStr">
        <is>
          <t>2026-S32</t>
        </is>
      </c>
      <c r="B305" s="3" t="inlineStr">
        <is>
          <t>lunes</t>
        </is>
      </c>
      <c r="C305" s="3" t="inlineStr">
        <is>
          <t>Técnico 08</t>
        </is>
      </c>
      <c r="D305" s="3">
        <f>IFERROR(INDEX('TECNICOS'!$D$4:$D$15,MATCH($C305,'TECNICOS'!$B$4:$B$15,0)),"")</f>
        <v/>
      </c>
      <c r="E305" s="3">
        <f>IFERROR(INDEX('TECNICOS'!$C$4:$C$15,MATCH($C305,'TECNICOS'!$B$4:$B$15,0)),"")</f>
        <v/>
      </c>
      <c r="F305" s="6" t="inlineStr">
        <is>
          <t>T3</t>
        </is>
      </c>
      <c r="G305" s="3">
        <f>IFERROR(INDEX('TECNICOS'!$E$4:$E$15,MATCH($C305,'TECNICOS'!$B$4:$B$15,0)),"")</f>
        <v/>
      </c>
      <c r="H305" s="3">
        <f>IF(OR($F305="",ISNUMBER(MATCH($F305,lista_no_disponible,0))),0,p_horas_jornada)</f>
        <v/>
      </c>
      <c r="I305" s="3">
        <f>$A305&amp;"|"&amp;$B305&amp;"|"&amp;$C305</f>
        <v/>
      </c>
    </row>
    <row r="306">
      <c r="A306" s="3" t="inlineStr">
        <is>
          <t>2026-S32</t>
        </is>
      </c>
      <c r="B306" s="3" t="inlineStr">
        <is>
          <t>martes</t>
        </is>
      </c>
      <c r="C306" s="3" t="inlineStr">
        <is>
          <t>Técnico 08</t>
        </is>
      </c>
      <c r="D306" s="3">
        <f>IFERROR(INDEX('TECNICOS'!$D$4:$D$15,MATCH($C306,'TECNICOS'!$B$4:$B$15,0)),"")</f>
        <v/>
      </c>
      <c r="E306" s="3">
        <f>IFERROR(INDEX('TECNICOS'!$C$4:$C$15,MATCH($C306,'TECNICOS'!$B$4:$B$15,0)),"")</f>
        <v/>
      </c>
      <c r="F306" s="6" t="inlineStr">
        <is>
          <t>T3</t>
        </is>
      </c>
      <c r="G306" s="3">
        <f>IFERROR(INDEX('TECNICOS'!$E$4:$E$15,MATCH($C306,'TECNICOS'!$B$4:$B$15,0)),"")</f>
        <v/>
      </c>
      <c r="H306" s="3">
        <f>IF(OR($F306="",ISNUMBER(MATCH($F306,lista_no_disponible,0))),0,p_horas_jornada)</f>
        <v/>
      </c>
      <c r="I306" s="3">
        <f>$A306&amp;"|"&amp;$B306&amp;"|"&amp;$C306</f>
        <v/>
      </c>
    </row>
    <row r="307">
      <c r="A307" s="3" t="inlineStr">
        <is>
          <t>2026-S32</t>
        </is>
      </c>
      <c r="B307" s="3" t="inlineStr">
        <is>
          <t>miércoles</t>
        </is>
      </c>
      <c r="C307" s="3" t="inlineStr">
        <is>
          <t>Técnico 08</t>
        </is>
      </c>
      <c r="D307" s="3">
        <f>IFERROR(INDEX('TECNICOS'!$D$4:$D$15,MATCH($C307,'TECNICOS'!$B$4:$B$15,0)),"")</f>
        <v/>
      </c>
      <c r="E307" s="3">
        <f>IFERROR(INDEX('TECNICOS'!$C$4:$C$15,MATCH($C307,'TECNICOS'!$B$4:$B$15,0)),"")</f>
        <v/>
      </c>
      <c r="F307" s="6" t="inlineStr">
        <is>
          <t>T3</t>
        </is>
      </c>
      <c r="G307" s="3">
        <f>IFERROR(INDEX('TECNICOS'!$E$4:$E$15,MATCH($C307,'TECNICOS'!$B$4:$B$15,0)),"")</f>
        <v/>
      </c>
      <c r="H307" s="3">
        <f>IF(OR($F307="",ISNUMBER(MATCH($F307,lista_no_disponible,0))),0,p_horas_jornada)</f>
        <v/>
      </c>
      <c r="I307" s="3">
        <f>$A307&amp;"|"&amp;$B307&amp;"|"&amp;$C307</f>
        <v/>
      </c>
    </row>
    <row r="308">
      <c r="A308" s="3" t="inlineStr">
        <is>
          <t>2026-S32</t>
        </is>
      </c>
      <c r="B308" s="3" t="inlineStr">
        <is>
          <t>jueves</t>
        </is>
      </c>
      <c r="C308" s="3" t="inlineStr">
        <is>
          <t>Técnico 08</t>
        </is>
      </c>
      <c r="D308" s="3">
        <f>IFERROR(INDEX('TECNICOS'!$D$4:$D$15,MATCH($C308,'TECNICOS'!$B$4:$B$15,0)),"")</f>
        <v/>
      </c>
      <c r="E308" s="3">
        <f>IFERROR(INDEX('TECNICOS'!$C$4:$C$15,MATCH($C308,'TECNICOS'!$B$4:$B$15,0)),"")</f>
        <v/>
      </c>
      <c r="F308" s="6" t="inlineStr">
        <is>
          <t>T3</t>
        </is>
      </c>
      <c r="G308" s="3">
        <f>IFERROR(INDEX('TECNICOS'!$E$4:$E$15,MATCH($C308,'TECNICOS'!$B$4:$B$15,0)),"")</f>
        <v/>
      </c>
      <c r="H308" s="3">
        <f>IF(OR($F308="",ISNUMBER(MATCH($F308,lista_no_disponible,0))),0,p_horas_jornada)</f>
        <v/>
      </c>
      <c r="I308" s="3">
        <f>$A308&amp;"|"&amp;$B308&amp;"|"&amp;$C308</f>
        <v/>
      </c>
    </row>
    <row r="309">
      <c r="A309" s="3" t="inlineStr">
        <is>
          <t>2026-S32</t>
        </is>
      </c>
      <c r="B309" s="3" t="inlineStr">
        <is>
          <t>viernes</t>
        </is>
      </c>
      <c r="C309" s="3" t="inlineStr">
        <is>
          <t>Técnico 08</t>
        </is>
      </c>
      <c r="D309" s="3">
        <f>IFERROR(INDEX('TECNICOS'!$D$4:$D$15,MATCH($C309,'TECNICOS'!$B$4:$B$15,0)),"")</f>
        <v/>
      </c>
      <c r="E309" s="3">
        <f>IFERROR(INDEX('TECNICOS'!$C$4:$C$15,MATCH($C309,'TECNICOS'!$B$4:$B$15,0)),"")</f>
        <v/>
      </c>
      <c r="F309" s="6" t="inlineStr">
        <is>
          <t>T3</t>
        </is>
      </c>
      <c r="G309" s="3">
        <f>IFERROR(INDEX('TECNICOS'!$E$4:$E$15,MATCH($C309,'TECNICOS'!$B$4:$B$15,0)),"")</f>
        <v/>
      </c>
      <c r="H309" s="3">
        <f>IF(OR($F309="",ISNUMBER(MATCH($F309,lista_no_disponible,0))),0,p_horas_jornada)</f>
        <v/>
      </c>
      <c r="I309" s="3">
        <f>$A309&amp;"|"&amp;$B309&amp;"|"&amp;$C309</f>
        <v/>
      </c>
    </row>
    <row r="310">
      <c r="A310" s="3" t="inlineStr">
        <is>
          <t>2026-S32</t>
        </is>
      </c>
      <c r="B310" s="3" t="inlineStr">
        <is>
          <t>sábado</t>
        </is>
      </c>
      <c r="C310" s="3" t="inlineStr">
        <is>
          <t>Técnico 08</t>
        </is>
      </c>
      <c r="D310" s="3">
        <f>IFERROR(INDEX('TECNICOS'!$D$4:$D$15,MATCH($C310,'TECNICOS'!$B$4:$B$15,0)),"")</f>
        <v/>
      </c>
      <c r="E310" s="3">
        <f>IFERROR(INDEX('TECNICOS'!$C$4:$C$15,MATCH($C310,'TECNICOS'!$B$4:$B$15,0)),"")</f>
        <v/>
      </c>
      <c r="F310" s="6" t="inlineStr"/>
      <c r="G310" s="3">
        <f>IFERROR(INDEX('TECNICOS'!$E$4:$E$15,MATCH($C310,'TECNICOS'!$B$4:$B$15,0)),"")</f>
        <v/>
      </c>
      <c r="H310" s="3">
        <f>IF(OR($F310="",ISNUMBER(MATCH($F310,lista_no_disponible,0))),0,p_horas_jornada)</f>
        <v/>
      </c>
      <c r="I310" s="3">
        <f>$A310&amp;"|"&amp;$B310&amp;"|"&amp;$C310</f>
        <v/>
      </c>
    </row>
    <row r="311">
      <c r="A311" s="3" t="inlineStr">
        <is>
          <t>2026-S32</t>
        </is>
      </c>
      <c r="B311" s="3" t="inlineStr">
        <is>
          <t>domingo</t>
        </is>
      </c>
      <c r="C311" s="3" t="inlineStr">
        <is>
          <t>Técnico 08</t>
        </is>
      </c>
      <c r="D311" s="3">
        <f>IFERROR(INDEX('TECNICOS'!$D$4:$D$15,MATCH($C311,'TECNICOS'!$B$4:$B$15,0)),"")</f>
        <v/>
      </c>
      <c r="E311" s="3">
        <f>IFERROR(INDEX('TECNICOS'!$C$4:$C$15,MATCH($C311,'TECNICOS'!$B$4:$B$15,0)),"")</f>
        <v/>
      </c>
      <c r="F311" s="6" t="inlineStr"/>
      <c r="G311" s="3">
        <f>IFERROR(INDEX('TECNICOS'!$E$4:$E$15,MATCH($C311,'TECNICOS'!$B$4:$B$15,0)),"")</f>
        <v/>
      </c>
      <c r="H311" s="3">
        <f>IF(OR($F311="",ISNUMBER(MATCH($F311,lista_no_disponible,0))),0,p_horas_jornada)</f>
        <v/>
      </c>
      <c r="I311" s="3">
        <f>$A311&amp;"|"&amp;$B311&amp;"|"&amp;$C311</f>
        <v/>
      </c>
    </row>
    <row r="312">
      <c r="A312" s="3" t="inlineStr">
        <is>
          <t>2026-S32</t>
        </is>
      </c>
      <c r="B312" s="3" t="inlineStr">
        <is>
          <t>lunes</t>
        </is>
      </c>
      <c r="C312" s="3" t="inlineStr">
        <is>
          <t>Técnico 09</t>
        </is>
      </c>
      <c r="D312" s="3">
        <f>IFERROR(INDEX('TECNICOS'!$D$4:$D$15,MATCH($C312,'TECNICOS'!$B$4:$B$15,0)),"")</f>
        <v/>
      </c>
      <c r="E312" s="3">
        <f>IFERROR(INDEX('TECNICOS'!$C$4:$C$15,MATCH($C312,'TECNICOS'!$B$4:$B$15,0)),"")</f>
        <v/>
      </c>
      <c r="F312" s="6" t="inlineStr">
        <is>
          <t>T1</t>
        </is>
      </c>
      <c r="G312" s="3">
        <f>IFERROR(INDEX('TECNICOS'!$E$4:$E$15,MATCH($C312,'TECNICOS'!$B$4:$B$15,0)),"")</f>
        <v/>
      </c>
      <c r="H312" s="3">
        <f>IF(OR($F312="",ISNUMBER(MATCH($F312,lista_no_disponible,0))),0,p_horas_jornada)</f>
        <v/>
      </c>
      <c r="I312" s="3">
        <f>$A312&amp;"|"&amp;$B312&amp;"|"&amp;$C312</f>
        <v/>
      </c>
    </row>
    <row r="313">
      <c r="A313" s="3" t="inlineStr">
        <is>
          <t>2026-S32</t>
        </is>
      </c>
      <c r="B313" s="3" t="inlineStr">
        <is>
          <t>martes</t>
        </is>
      </c>
      <c r="C313" s="3" t="inlineStr">
        <is>
          <t>Técnico 09</t>
        </is>
      </c>
      <c r="D313" s="3">
        <f>IFERROR(INDEX('TECNICOS'!$D$4:$D$15,MATCH($C313,'TECNICOS'!$B$4:$B$15,0)),"")</f>
        <v/>
      </c>
      <c r="E313" s="3">
        <f>IFERROR(INDEX('TECNICOS'!$C$4:$C$15,MATCH($C313,'TECNICOS'!$B$4:$B$15,0)),"")</f>
        <v/>
      </c>
      <c r="F313" s="6" t="inlineStr">
        <is>
          <t>T1</t>
        </is>
      </c>
      <c r="G313" s="3">
        <f>IFERROR(INDEX('TECNICOS'!$E$4:$E$15,MATCH($C313,'TECNICOS'!$B$4:$B$15,0)),"")</f>
        <v/>
      </c>
      <c r="H313" s="3">
        <f>IF(OR($F313="",ISNUMBER(MATCH($F313,lista_no_disponible,0))),0,p_horas_jornada)</f>
        <v/>
      </c>
      <c r="I313" s="3">
        <f>$A313&amp;"|"&amp;$B313&amp;"|"&amp;$C313</f>
        <v/>
      </c>
    </row>
    <row r="314">
      <c r="A314" s="3" t="inlineStr">
        <is>
          <t>2026-S32</t>
        </is>
      </c>
      <c r="B314" s="3" t="inlineStr">
        <is>
          <t>miércoles</t>
        </is>
      </c>
      <c r="C314" s="3" t="inlineStr">
        <is>
          <t>Técnico 09</t>
        </is>
      </c>
      <c r="D314" s="3">
        <f>IFERROR(INDEX('TECNICOS'!$D$4:$D$15,MATCH($C314,'TECNICOS'!$B$4:$B$15,0)),"")</f>
        <v/>
      </c>
      <c r="E314" s="3">
        <f>IFERROR(INDEX('TECNICOS'!$C$4:$C$15,MATCH($C314,'TECNICOS'!$B$4:$B$15,0)),"")</f>
        <v/>
      </c>
      <c r="F314" s="6" t="inlineStr">
        <is>
          <t>T1</t>
        </is>
      </c>
      <c r="G314" s="3">
        <f>IFERROR(INDEX('TECNICOS'!$E$4:$E$15,MATCH($C314,'TECNICOS'!$B$4:$B$15,0)),"")</f>
        <v/>
      </c>
      <c r="H314" s="3">
        <f>IF(OR($F314="",ISNUMBER(MATCH($F314,lista_no_disponible,0))),0,p_horas_jornada)</f>
        <v/>
      </c>
      <c r="I314" s="3">
        <f>$A314&amp;"|"&amp;$B314&amp;"|"&amp;$C314</f>
        <v/>
      </c>
    </row>
    <row r="315">
      <c r="A315" s="3" t="inlineStr">
        <is>
          <t>2026-S32</t>
        </is>
      </c>
      <c r="B315" s="3" t="inlineStr">
        <is>
          <t>jueves</t>
        </is>
      </c>
      <c r="C315" s="3" t="inlineStr">
        <is>
          <t>Técnico 09</t>
        </is>
      </c>
      <c r="D315" s="3">
        <f>IFERROR(INDEX('TECNICOS'!$D$4:$D$15,MATCH($C315,'TECNICOS'!$B$4:$B$15,0)),"")</f>
        <v/>
      </c>
      <c r="E315" s="3">
        <f>IFERROR(INDEX('TECNICOS'!$C$4:$C$15,MATCH($C315,'TECNICOS'!$B$4:$B$15,0)),"")</f>
        <v/>
      </c>
      <c r="F315" s="6" t="inlineStr">
        <is>
          <t>T1</t>
        </is>
      </c>
      <c r="G315" s="3">
        <f>IFERROR(INDEX('TECNICOS'!$E$4:$E$15,MATCH($C315,'TECNICOS'!$B$4:$B$15,0)),"")</f>
        <v/>
      </c>
      <c r="H315" s="3">
        <f>IF(OR($F315="",ISNUMBER(MATCH($F315,lista_no_disponible,0))),0,p_horas_jornada)</f>
        <v/>
      </c>
      <c r="I315" s="3">
        <f>$A315&amp;"|"&amp;$B315&amp;"|"&amp;$C315</f>
        <v/>
      </c>
    </row>
    <row r="316">
      <c r="A316" s="3" t="inlineStr">
        <is>
          <t>2026-S32</t>
        </is>
      </c>
      <c r="B316" s="3" t="inlineStr">
        <is>
          <t>viernes</t>
        </is>
      </c>
      <c r="C316" s="3" t="inlineStr">
        <is>
          <t>Técnico 09</t>
        </is>
      </c>
      <c r="D316" s="3">
        <f>IFERROR(INDEX('TECNICOS'!$D$4:$D$15,MATCH($C316,'TECNICOS'!$B$4:$B$15,0)),"")</f>
        <v/>
      </c>
      <c r="E316" s="3">
        <f>IFERROR(INDEX('TECNICOS'!$C$4:$C$15,MATCH($C316,'TECNICOS'!$B$4:$B$15,0)),"")</f>
        <v/>
      </c>
      <c r="F316" s="6" t="inlineStr">
        <is>
          <t>T1</t>
        </is>
      </c>
      <c r="G316" s="3">
        <f>IFERROR(INDEX('TECNICOS'!$E$4:$E$15,MATCH($C316,'TECNICOS'!$B$4:$B$15,0)),"")</f>
        <v/>
      </c>
      <c r="H316" s="3">
        <f>IF(OR($F316="",ISNUMBER(MATCH($F316,lista_no_disponible,0))),0,p_horas_jornada)</f>
        <v/>
      </c>
      <c r="I316" s="3">
        <f>$A316&amp;"|"&amp;$B316&amp;"|"&amp;$C316</f>
        <v/>
      </c>
    </row>
    <row r="317">
      <c r="A317" s="3" t="inlineStr">
        <is>
          <t>2026-S32</t>
        </is>
      </c>
      <c r="B317" s="3" t="inlineStr">
        <is>
          <t>sábado</t>
        </is>
      </c>
      <c r="C317" s="3" t="inlineStr">
        <is>
          <t>Técnico 09</t>
        </is>
      </c>
      <c r="D317" s="3">
        <f>IFERROR(INDEX('TECNICOS'!$D$4:$D$15,MATCH($C317,'TECNICOS'!$B$4:$B$15,0)),"")</f>
        <v/>
      </c>
      <c r="E317" s="3">
        <f>IFERROR(INDEX('TECNICOS'!$C$4:$C$15,MATCH($C317,'TECNICOS'!$B$4:$B$15,0)),"")</f>
        <v/>
      </c>
      <c r="F317" s="6" t="inlineStr"/>
      <c r="G317" s="3">
        <f>IFERROR(INDEX('TECNICOS'!$E$4:$E$15,MATCH($C317,'TECNICOS'!$B$4:$B$15,0)),"")</f>
        <v/>
      </c>
      <c r="H317" s="3">
        <f>IF(OR($F317="",ISNUMBER(MATCH($F317,lista_no_disponible,0))),0,p_horas_jornada)</f>
        <v/>
      </c>
      <c r="I317" s="3">
        <f>$A317&amp;"|"&amp;$B317&amp;"|"&amp;$C317</f>
        <v/>
      </c>
    </row>
    <row r="318">
      <c r="A318" s="3" t="inlineStr">
        <is>
          <t>2026-S32</t>
        </is>
      </c>
      <c r="B318" s="3" t="inlineStr">
        <is>
          <t>domingo</t>
        </is>
      </c>
      <c r="C318" s="3" t="inlineStr">
        <is>
          <t>Técnico 09</t>
        </is>
      </c>
      <c r="D318" s="3">
        <f>IFERROR(INDEX('TECNICOS'!$D$4:$D$15,MATCH($C318,'TECNICOS'!$B$4:$B$15,0)),"")</f>
        <v/>
      </c>
      <c r="E318" s="3">
        <f>IFERROR(INDEX('TECNICOS'!$C$4:$C$15,MATCH($C318,'TECNICOS'!$B$4:$B$15,0)),"")</f>
        <v/>
      </c>
      <c r="F318" s="6" t="inlineStr"/>
      <c r="G318" s="3">
        <f>IFERROR(INDEX('TECNICOS'!$E$4:$E$15,MATCH($C318,'TECNICOS'!$B$4:$B$15,0)),"")</f>
        <v/>
      </c>
      <c r="H318" s="3">
        <f>IF(OR($F318="",ISNUMBER(MATCH($F318,lista_no_disponible,0))),0,p_horas_jornada)</f>
        <v/>
      </c>
      <c r="I318" s="3">
        <f>$A318&amp;"|"&amp;$B318&amp;"|"&amp;$C318</f>
        <v/>
      </c>
    </row>
    <row r="319">
      <c r="A319" s="3" t="inlineStr">
        <is>
          <t>2026-S32</t>
        </is>
      </c>
      <c r="B319" s="3" t="inlineStr">
        <is>
          <t>lunes</t>
        </is>
      </c>
      <c r="C319" s="3" t="inlineStr">
        <is>
          <t>Técnico 10</t>
        </is>
      </c>
      <c r="D319" s="3">
        <f>IFERROR(INDEX('TECNICOS'!$D$4:$D$15,MATCH($C319,'TECNICOS'!$B$4:$B$15,0)),"")</f>
        <v/>
      </c>
      <c r="E319" s="3">
        <f>IFERROR(INDEX('TECNICOS'!$C$4:$C$15,MATCH($C319,'TECNICOS'!$B$4:$B$15,0)),"")</f>
        <v/>
      </c>
      <c r="F319" s="6" t="inlineStr">
        <is>
          <t>B1</t>
        </is>
      </c>
      <c r="G319" s="3">
        <f>IFERROR(INDEX('TECNICOS'!$E$4:$E$15,MATCH($C319,'TECNICOS'!$B$4:$B$15,0)),"")</f>
        <v/>
      </c>
      <c r="H319" s="3">
        <f>IF(OR($F319="",ISNUMBER(MATCH($F319,lista_no_disponible,0))),0,p_horas_jornada)</f>
        <v/>
      </c>
      <c r="I319" s="3">
        <f>$A319&amp;"|"&amp;$B319&amp;"|"&amp;$C319</f>
        <v/>
      </c>
    </row>
    <row r="320">
      <c r="A320" s="3" t="inlineStr">
        <is>
          <t>2026-S32</t>
        </is>
      </c>
      <c r="B320" s="3" t="inlineStr">
        <is>
          <t>martes</t>
        </is>
      </c>
      <c r="C320" s="3" t="inlineStr">
        <is>
          <t>Técnico 10</t>
        </is>
      </c>
      <c r="D320" s="3">
        <f>IFERROR(INDEX('TECNICOS'!$D$4:$D$15,MATCH($C320,'TECNICOS'!$B$4:$B$15,0)),"")</f>
        <v/>
      </c>
      <c r="E320" s="3">
        <f>IFERROR(INDEX('TECNICOS'!$C$4:$C$15,MATCH($C320,'TECNICOS'!$B$4:$B$15,0)),"")</f>
        <v/>
      </c>
      <c r="F320" s="6" t="inlineStr">
        <is>
          <t>B1</t>
        </is>
      </c>
      <c r="G320" s="3">
        <f>IFERROR(INDEX('TECNICOS'!$E$4:$E$15,MATCH($C320,'TECNICOS'!$B$4:$B$15,0)),"")</f>
        <v/>
      </c>
      <c r="H320" s="3">
        <f>IF(OR($F320="",ISNUMBER(MATCH($F320,lista_no_disponible,0))),0,p_horas_jornada)</f>
        <v/>
      </c>
      <c r="I320" s="3">
        <f>$A320&amp;"|"&amp;$B320&amp;"|"&amp;$C320</f>
        <v/>
      </c>
    </row>
    <row r="321">
      <c r="A321" s="3" t="inlineStr">
        <is>
          <t>2026-S32</t>
        </is>
      </c>
      <c r="B321" s="3" t="inlineStr">
        <is>
          <t>miércoles</t>
        </is>
      </c>
      <c r="C321" s="3" t="inlineStr">
        <is>
          <t>Técnico 10</t>
        </is>
      </c>
      <c r="D321" s="3">
        <f>IFERROR(INDEX('TECNICOS'!$D$4:$D$15,MATCH($C321,'TECNICOS'!$B$4:$B$15,0)),"")</f>
        <v/>
      </c>
      <c r="E321" s="3">
        <f>IFERROR(INDEX('TECNICOS'!$C$4:$C$15,MATCH($C321,'TECNICOS'!$B$4:$B$15,0)),"")</f>
        <v/>
      </c>
      <c r="F321" s="6" t="inlineStr">
        <is>
          <t>B1</t>
        </is>
      </c>
      <c r="G321" s="3">
        <f>IFERROR(INDEX('TECNICOS'!$E$4:$E$15,MATCH($C321,'TECNICOS'!$B$4:$B$15,0)),"")</f>
        <v/>
      </c>
      <c r="H321" s="3">
        <f>IF(OR($F321="",ISNUMBER(MATCH($F321,lista_no_disponible,0))),0,p_horas_jornada)</f>
        <v/>
      </c>
      <c r="I321" s="3">
        <f>$A321&amp;"|"&amp;$B321&amp;"|"&amp;$C321</f>
        <v/>
      </c>
    </row>
    <row r="322">
      <c r="A322" s="3" t="inlineStr">
        <is>
          <t>2026-S32</t>
        </is>
      </c>
      <c r="B322" s="3" t="inlineStr">
        <is>
          <t>jueves</t>
        </is>
      </c>
      <c r="C322" s="3" t="inlineStr">
        <is>
          <t>Técnico 10</t>
        </is>
      </c>
      <c r="D322" s="3">
        <f>IFERROR(INDEX('TECNICOS'!$D$4:$D$15,MATCH($C322,'TECNICOS'!$B$4:$B$15,0)),"")</f>
        <v/>
      </c>
      <c r="E322" s="3">
        <f>IFERROR(INDEX('TECNICOS'!$C$4:$C$15,MATCH($C322,'TECNICOS'!$B$4:$B$15,0)),"")</f>
        <v/>
      </c>
      <c r="F322" s="6" t="inlineStr">
        <is>
          <t>B1</t>
        </is>
      </c>
      <c r="G322" s="3">
        <f>IFERROR(INDEX('TECNICOS'!$E$4:$E$15,MATCH($C322,'TECNICOS'!$B$4:$B$15,0)),"")</f>
        <v/>
      </c>
      <c r="H322" s="3">
        <f>IF(OR($F322="",ISNUMBER(MATCH($F322,lista_no_disponible,0))),0,p_horas_jornada)</f>
        <v/>
      </c>
      <c r="I322" s="3">
        <f>$A322&amp;"|"&amp;$B322&amp;"|"&amp;$C322</f>
        <v/>
      </c>
    </row>
    <row r="323">
      <c r="A323" s="3" t="inlineStr">
        <is>
          <t>2026-S32</t>
        </is>
      </c>
      <c r="B323" s="3" t="inlineStr">
        <is>
          <t>viernes</t>
        </is>
      </c>
      <c r="C323" s="3" t="inlineStr">
        <is>
          <t>Técnico 10</t>
        </is>
      </c>
      <c r="D323" s="3">
        <f>IFERROR(INDEX('TECNICOS'!$D$4:$D$15,MATCH($C323,'TECNICOS'!$B$4:$B$15,0)),"")</f>
        <v/>
      </c>
      <c r="E323" s="3">
        <f>IFERROR(INDEX('TECNICOS'!$C$4:$C$15,MATCH($C323,'TECNICOS'!$B$4:$B$15,0)),"")</f>
        <v/>
      </c>
      <c r="F323" s="6" t="inlineStr">
        <is>
          <t>B1</t>
        </is>
      </c>
      <c r="G323" s="3">
        <f>IFERROR(INDEX('TECNICOS'!$E$4:$E$15,MATCH($C323,'TECNICOS'!$B$4:$B$15,0)),"")</f>
        <v/>
      </c>
      <c r="H323" s="3">
        <f>IF(OR($F323="",ISNUMBER(MATCH($F323,lista_no_disponible,0))),0,p_horas_jornada)</f>
        <v/>
      </c>
      <c r="I323" s="3">
        <f>$A323&amp;"|"&amp;$B323&amp;"|"&amp;$C323</f>
        <v/>
      </c>
    </row>
    <row r="324">
      <c r="A324" s="3" t="inlineStr">
        <is>
          <t>2026-S32</t>
        </is>
      </c>
      <c r="B324" s="3" t="inlineStr">
        <is>
          <t>sábado</t>
        </is>
      </c>
      <c r="C324" s="3" t="inlineStr">
        <is>
          <t>Técnico 10</t>
        </is>
      </c>
      <c r="D324" s="3">
        <f>IFERROR(INDEX('TECNICOS'!$D$4:$D$15,MATCH($C324,'TECNICOS'!$B$4:$B$15,0)),"")</f>
        <v/>
      </c>
      <c r="E324" s="3">
        <f>IFERROR(INDEX('TECNICOS'!$C$4:$C$15,MATCH($C324,'TECNICOS'!$B$4:$B$15,0)),"")</f>
        <v/>
      </c>
      <c r="F324" s="6" t="inlineStr"/>
      <c r="G324" s="3">
        <f>IFERROR(INDEX('TECNICOS'!$E$4:$E$15,MATCH($C324,'TECNICOS'!$B$4:$B$15,0)),"")</f>
        <v/>
      </c>
      <c r="H324" s="3">
        <f>IF(OR($F324="",ISNUMBER(MATCH($F324,lista_no_disponible,0))),0,p_horas_jornada)</f>
        <v/>
      </c>
      <c r="I324" s="3">
        <f>$A324&amp;"|"&amp;$B324&amp;"|"&amp;$C324</f>
        <v/>
      </c>
    </row>
    <row r="325">
      <c r="A325" s="3" t="inlineStr">
        <is>
          <t>2026-S32</t>
        </is>
      </c>
      <c r="B325" s="3" t="inlineStr">
        <is>
          <t>domingo</t>
        </is>
      </c>
      <c r="C325" s="3" t="inlineStr">
        <is>
          <t>Técnico 10</t>
        </is>
      </c>
      <c r="D325" s="3">
        <f>IFERROR(INDEX('TECNICOS'!$D$4:$D$15,MATCH($C325,'TECNICOS'!$B$4:$B$15,0)),"")</f>
        <v/>
      </c>
      <c r="E325" s="3">
        <f>IFERROR(INDEX('TECNICOS'!$C$4:$C$15,MATCH($C325,'TECNICOS'!$B$4:$B$15,0)),"")</f>
        <v/>
      </c>
      <c r="F325" s="6" t="inlineStr"/>
      <c r="G325" s="3">
        <f>IFERROR(INDEX('TECNICOS'!$E$4:$E$15,MATCH($C325,'TECNICOS'!$B$4:$B$15,0)),"")</f>
        <v/>
      </c>
      <c r="H325" s="3">
        <f>IF(OR($F325="",ISNUMBER(MATCH($F325,lista_no_disponible,0))),0,p_horas_jornada)</f>
        <v/>
      </c>
      <c r="I325" s="3">
        <f>$A325&amp;"|"&amp;$B325&amp;"|"&amp;$C325</f>
        <v/>
      </c>
    </row>
    <row r="326">
      <c r="A326" s="3" t="inlineStr">
        <is>
          <t>2026-S32</t>
        </is>
      </c>
      <c r="B326" s="3" t="inlineStr">
        <is>
          <t>lunes</t>
        </is>
      </c>
      <c r="C326" s="3" t="inlineStr">
        <is>
          <t>Técnico 11</t>
        </is>
      </c>
      <c r="D326" s="3">
        <f>IFERROR(INDEX('TECNICOS'!$D$4:$D$15,MATCH($C326,'TECNICOS'!$B$4:$B$15,0)),"")</f>
        <v/>
      </c>
      <c r="E326" s="3">
        <f>IFERROR(INDEX('TECNICOS'!$C$4:$C$15,MATCH($C326,'TECNICOS'!$B$4:$B$15,0)),"")</f>
        <v/>
      </c>
      <c r="F326" s="6" t="inlineStr">
        <is>
          <t>T1</t>
        </is>
      </c>
      <c r="G326" s="3">
        <f>IFERROR(INDEX('TECNICOS'!$E$4:$E$15,MATCH($C326,'TECNICOS'!$B$4:$B$15,0)),"")</f>
        <v/>
      </c>
      <c r="H326" s="3">
        <f>IF(OR($F326="",ISNUMBER(MATCH($F326,lista_no_disponible,0))),0,p_horas_jornada)</f>
        <v/>
      </c>
      <c r="I326" s="3">
        <f>$A326&amp;"|"&amp;$B326&amp;"|"&amp;$C326</f>
        <v/>
      </c>
    </row>
    <row r="327">
      <c r="A327" s="3" t="inlineStr">
        <is>
          <t>2026-S32</t>
        </is>
      </c>
      <c r="B327" s="3" t="inlineStr">
        <is>
          <t>martes</t>
        </is>
      </c>
      <c r="C327" s="3" t="inlineStr">
        <is>
          <t>Técnico 11</t>
        </is>
      </c>
      <c r="D327" s="3">
        <f>IFERROR(INDEX('TECNICOS'!$D$4:$D$15,MATCH($C327,'TECNICOS'!$B$4:$B$15,0)),"")</f>
        <v/>
      </c>
      <c r="E327" s="3">
        <f>IFERROR(INDEX('TECNICOS'!$C$4:$C$15,MATCH($C327,'TECNICOS'!$B$4:$B$15,0)),"")</f>
        <v/>
      </c>
      <c r="F327" s="6" t="inlineStr">
        <is>
          <t>T1</t>
        </is>
      </c>
      <c r="G327" s="3">
        <f>IFERROR(INDEX('TECNICOS'!$E$4:$E$15,MATCH($C327,'TECNICOS'!$B$4:$B$15,0)),"")</f>
        <v/>
      </c>
      <c r="H327" s="3">
        <f>IF(OR($F327="",ISNUMBER(MATCH($F327,lista_no_disponible,0))),0,p_horas_jornada)</f>
        <v/>
      </c>
      <c r="I327" s="3">
        <f>$A327&amp;"|"&amp;$B327&amp;"|"&amp;$C327</f>
        <v/>
      </c>
    </row>
    <row r="328">
      <c r="A328" s="3" t="inlineStr">
        <is>
          <t>2026-S32</t>
        </is>
      </c>
      <c r="B328" s="3" t="inlineStr">
        <is>
          <t>miércoles</t>
        </is>
      </c>
      <c r="C328" s="3" t="inlineStr">
        <is>
          <t>Técnico 11</t>
        </is>
      </c>
      <c r="D328" s="3">
        <f>IFERROR(INDEX('TECNICOS'!$D$4:$D$15,MATCH($C328,'TECNICOS'!$B$4:$B$15,0)),"")</f>
        <v/>
      </c>
      <c r="E328" s="3">
        <f>IFERROR(INDEX('TECNICOS'!$C$4:$C$15,MATCH($C328,'TECNICOS'!$B$4:$B$15,0)),"")</f>
        <v/>
      </c>
      <c r="F328" s="6" t="inlineStr">
        <is>
          <t>T1</t>
        </is>
      </c>
      <c r="G328" s="3">
        <f>IFERROR(INDEX('TECNICOS'!$E$4:$E$15,MATCH($C328,'TECNICOS'!$B$4:$B$15,0)),"")</f>
        <v/>
      </c>
      <c r="H328" s="3">
        <f>IF(OR($F328="",ISNUMBER(MATCH($F328,lista_no_disponible,0))),0,p_horas_jornada)</f>
        <v/>
      </c>
      <c r="I328" s="3">
        <f>$A328&amp;"|"&amp;$B328&amp;"|"&amp;$C328</f>
        <v/>
      </c>
    </row>
    <row r="329">
      <c r="A329" s="3" t="inlineStr">
        <is>
          <t>2026-S32</t>
        </is>
      </c>
      <c r="B329" s="3" t="inlineStr">
        <is>
          <t>jueves</t>
        </is>
      </c>
      <c r="C329" s="3" t="inlineStr">
        <is>
          <t>Técnico 11</t>
        </is>
      </c>
      <c r="D329" s="3">
        <f>IFERROR(INDEX('TECNICOS'!$D$4:$D$15,MATCH($C329,'TECNICOS'!$B$4:$B$15,0)),"")</f>
        <v/>
      </c>
      <c r="E329" s="3">
        <f>IFERROR(INDEX('TECNICOS'!$C$4:$C$15,MATCH($C329,'TECNICOS'!$B$4:$B$15,0)),"")</f>
        <v/>
      </c>
      <c r="F329" s="6" t="inlineStr">
        <is>
          <t>T1</t>
        </is>
      </c>
      <c r="G329" s="3">
        <f>IFERROR(INDEX('TECNICOS'!$E$4:$E$15,MATCH($C329,'TECNICOS'!$B$4:$B$15,0)),"")</f>
        <v/>
      </c>
      <c r="H329" s="3">
        <f>IF(OR($F329="",ISNUMBER(MATCH($F329,lista_no_disponible,0))),0,p_horas_jornada)</f>
        <v/>
      </c>
      <c r="I329" s="3">
        <f>$A329&amp;"|"&amp;$B329&amp;"|"&amp;$C329</f>
        <v/>
      </c>
    </row>
    <row r="330">
      <c r="A330" s="3" t="inlineStr">
        <is>
          <t>2026-S32</t>
        </is>
      </c>
      <c r="B330" s="3" t="inlineStr">
        <is>
          <t>viernes</t>
        </is>
      </c>
      <c r="C330" s="3" t="inlineStr">
        <is>
          <t>Técnico 11</t>
        </is>
      </c>
      <c r="D330" s="3">
        <f>IFERROR(INDEX('TECNICOS'!$D$4:$D$15,MATCH($C330,'TECNICOS'!$B$4:$B$15,0)),"")</f>
        <v/>
      </c>
      <c r="E330" s="3">
        <f>IFERROR(INDEX('TECNICOS'!$C$4:$C$15,MATCH($C330,'TECNICOS'!$B$4:$B$15,0)),"")</f>
        <v/>
      </c>
      <c r="F330" s="6" t="inlineStr">
        <is>
          <t>T1</t>
        </is>
      </c>
      <c r="G330" s="3">
        <f>IFERROR(INDEX('TECNICOS'!$E$4:$E$15,MATCH($C330,'TECNICOS'!$B$4:$B$15,0)),"")</f>
        <v/>
      </c>
      <c r="H330" s="3">
        <f>IF(OR($F330="",ISNUMBER(MATCH($F330,lista_no_disponible,0))),0,p_horas_jornada)</f>
        <v/>
      </c>
      <c r="I330" s="3">
        <f>$A330&amp;"|"&amp;$B330&amp;"|"&amp;$C330</f>
        <v/>
      </c>
    </row>
    <row r="331">
      <c r="A331" s="3" t="inlineStr">
        <is>
          <t>2026-S32</t>
        </is>
      </c>
      <c r="B331" s="3" t="inlineStr">
        <is>
          <t>sábado</t>
        </is>
      </c>
      <c r="C331" s="3" t="inlineStr">
        <is>
          <t>Técnico 11</t>
        </is>
      </c>
      <c r="D331" s="3">
        <f>IFERROR(INDEX('TECNICOS'!$D$4:$D$15,MATCH($C331,'TECNICOS'!$B$4:$B$15,0)),"")</f>
        <v/>
      </c>
      <c r="E331" s="3">
        <f>IFERROR(INDEX('TECNICOS'!$C$4:$C$15,MATCH($C331,'TECNICOS'!$B$4:$B$15,0)),"")</f>
        <v/>
      </c>
      <c r="F331" s="6" t="inlineStr"/>
      <c r="G331" s="3">
        <f>IFERROR(INDEX('TECNICOS'!$E$4:$E$15,MATCH($C331,'TECNICOS'!$B$4:$B$15,0)),"")</f>
        <v/>
      </c>
      <c r="H331" s="3">
        <f>IF(OR($F331="",ISNUMBER(MATCH($F331,lista_no_disponible,0))),0,p_horas_jornada)</f>
        <v/>
      </c>
      <c r="I331" s="3">
        <f>$A331&amp;"|"&amp;$B331&amp;"|"&amp;$C331</f>
        <v/>
      </c>
    </row>
    <row r="332">
      <c r="A332" s="3" t="inlineStr">
        <is>
          <t>2026-S32</t>
        </is>
      </c>
      <c r="B332" s="3" t="inlineStr">
        <is>
          <t>domingo</t>
        </is>
      </c>
      <c r="C332" s="3" t="inlineStr">
        <is>
          <t>Técnico 11</t>
        </is>
      </c>
      <c r="D332" s="3">
        <f>IFERROR(INDEX('TECNICOS'!$D$4:$D$15,MATCH($C332,'TECNICOS'!$B$4:$B$15,0)),"")</f>
        <v/>
      </c>
      <c r="E332" s="3">
        <f>IFERROR(INDEX('TECNICOS'!$C$4:$C$15,MATCH($C332,'TECNICOS'!$B$4:$B$15,0)),"")</f>
        <v/>
      </c>
      <c r="F332" s="6" t="inlineStr"/>
      <c r="G332" s="3">
        <f>IFERROR(INDEX('TECNICOS'!$E$4:$E$15,MATCH($C332,'TECNICOS'!$B$4:$B$15,0)),"")</f>
        <v/>
      </c>
      <c r="H332" s="3">
        <f>IF(OR($F332="",ISNUMBER(MATCH($F332,lista_no_disponible,0))),0,p_horas_jornada)</f>
        <v/>
      </c>
      <c r="I332" s="3">
        <f>$A332&amp;"|"&amp;$B332&amp;"|"&amp;$C332</f>
        <v/>
      </c>
    </row>
    <row r="333">
      <c r="A333" s="3" t="inlineStr">
        <is>
          <t>2026-S32</t>
        </is>
      </c>
      <c r="B333" s="3" t="inlineStr">
        <is>
          <t>lunes</t>
        </is>
      </c>
      <c r="C333" s="3" t="inlineStr">
        <is>
          <t>Técnico 12</t>
        </is>
      </c>
      <c r="D333" s="3">
        <f>IFERROR(INDEX('TECNICOS'!$D$4:$D$15,MATCH($C333,'TECNICOS'!$B$4:$B$15,0)),"")</f>
        <v/>
      </c>
      <c r="E333" s="3">
        <f>IFERROR(INDEX('TECNICOS'!$C$4:$C$15,MATCH($C333,'TECNICOS'!$B$4:$B$15,0)),"")</f>
        <v/>
      </c>
      <c r="F333" s="6" t="inlineStr">
        <is>
          <t>T1</t>
        </is>
      </c>
      <c r="G333" s="3">
        <f>IFERROR(INDEX('TECNICOS'!$E$4:$E$15,MATCH($C333,'TECNICOS'!$B$4:$B$15,0)),"")</f>
        <v/>
      </c>
      <c r="H333" s="3">
        <f>IF(OR($F333="",ISNUMBER(MATCH($F333,lista_no_disponible,0))),0,p_horas_jornada)</f>
        <v/>
      </c>
      <c r="I333" s="3">
        <f>$A333&amp;"|"&amp;$B333&amp;"|"&amp;$C333</f>
        <v/>
      </c>
    </row>
    <row r="334">
      <c r="A334" s="3" t="inlineStr">
        <is>
          <t>2026-S32</t>
        </is>
      </c>
      <c r="B334" s="3" t="inlineStr">
        <is>
          <t>martes</t>
        </is>
      </c>
      <c r="C334" s="3" t="inlineStr">
        <is>
          <t>Técnico 12</t>
        </is>
      </c>
      <c r="D334" s="3">
        <f>IFERROR(INDEX('TECNICOS'!$D$4:$D$15,MATCH($C334,'TECNICOS'!$B$4:$B$15,0)),"")</f>
        <v/>
      </c>
      <c r="E334" s="3">
        <f>IFERROR(INDEX('TECNICOS'!$C$4:$C$15,MATCH($C334,'TECNICOS'!$B$4:$B$15,0)),"")</f>
        <v/>
      </c>
      <c r="F334" s="6" t="inlineStr">
        <is>
          <t>T1</t>
        </is>
      </c>
      <c r="G334" s="3">
        <f>IFERROR(INDEX('TECNICOS'!$E$4:$E$15,MATCH($C334,'TECNICOS'!$B$4:$B$15,0)),"")</f>
        <v/>
      </c>
      <c r="H334" s="3">
        <f>IF(OR($F334="",ISNUMBER(MATCH($F334,lista_no_disponible,0))),0,p_horas_jornada)</f>
        <v/>
      </c>
      <c r="I334" s="3">
        <f>$A334&amp;"|"&amp;$B334&amp;"|"&amp;$C334</f>
        <v/>
      </c>
    </row>
    <row r="335">
      <c r="A335" s="3" t="inlineStr">
        <is>
          <t>2026-S32</t>
        </is>
      </c>
      <c r="B335" s="3" t="inlineStr">
        <is>
          <t>miércoles</t>
        </is>
      </c>
      <c r="C335" s="3" t="inlineStr">
        <is>
          <t>Técnico 12</t>
        </is>
      </c>
      <c r="D335" s="3">
        <f>IFERROR(INDEX('TECNICOS'!$D$4:$D$15,MATCH($C335,'TECNICOS'!$B$4:$B$15,0)),"")</f>
        <v/>
      </c>
      <c r="E335" s="3">
        <f>IFERROR(INDEX('TECNICOS'!$C$4:$C$15,MATCH($C335,'TECNICOS'!$B$4:$B$15,0)),"")</f>
        <v/>
      </c>
      <c r="F335" s="6" t="inlineStr">
        <is>
          <t>T1</t>
        </is>
      </c>
      <c r="G335" s="3">
        <f>IFERROR(INDEX('TECNICOS'!$E$4:$E$15,MATCH($C335,'TECNICOS'!$B$4:$B$15,0)),"")</f>
        <v/>
      </c>
      <c r="H335" s="3">
        <f>IF(OR($F335="",ISNUMBER(MATCH($F335,lista_no_disponible,0))),0,p_horas_jornada)</f>
        <v/>
      </c>
      <c r="I335" s="3">
        <f>$A335&amp;"|"&amp;$B335&amp;"|"&amp;$C335</f>
        <v/>
      </c>
    </row>
    <row r="336">
      <c r="A336" s="3" t="inlineStr">
        <is>
          <t>2026-S32</t>
        </is>
      </c>
      <c r="B336" s="3" t="inlineStr">
        <is>
          <t>jueves</t>
        </is>
      </c>
      <c r="C336" s="3" t="inlineStr">
        <is>
          <t>Técnico 12</t>
        </is>
      </c>
      <c r="D336" s="3">
        <f>IFERROR(INDEX('TECNICOS'!$D$4:$D$15,MATCH($C336,'TECNICOS'!$B$4:$B$15,0)),"")</f>
        <v/>
      </c>
      <c r="E336" s="3">
        <f>IFERROR(INDEX('TECNICOS'!$C$4:$C$15,MATCH($C336,'TECNICOS'!$B$4:$B$15,0)),"")</f>
        <v/>
      </c>
      <c r="F336" s="6" t="inlineStr">
        <is>
          <t>T1</t>
        </is>
      </c>
      <c r="G336" s="3">
        <f>IFERROR(INDEX('TECNICOS'!$E$4:$E$15,MATCH($C336,'TECNICOS'!$B$4:$B$15,0)),"")</f>
        <v/>
      </c>
      <c r="H336" s="3">
        <f>IF(OR($F336="",ISNUMBER(MATCH($F336,lista_no_disponible,0))),0,p_horas_jornada)</f>
        <v/>
      </c>
      <c r="I336" s="3">
        <f>$A336&amp;"|"&amp;$B336&amp;"|"&amp;$C336</f>
        <v/>
      </c>
    </row>
    <row r="337">
      <c r="A337" s="3" t="inlineStr">
        <is>
          <t>2026-S32</t>
        </is>
      </c>
      <c r="B337" s="3" t="inlineStr">
        <is>
          <t>viernes</t>
        </is>
      </c>
      <c r="C337" s="3" t="inlineStr">
        <is>
          <t>Técnico 12</t>
        </is>
      </c>
      <c r="D337" s="3">
        <f>IFERROR(INDEX('TECNICOS'!$D$4:$D$15,MATCH($C337,'TECNICOS'!$B$4:$B$15,0)),"")</f>
        <v/>
      </c>
      <c r="E337" s="3">
        <f>IFERROR(INDEX('TECNICOS'!$C$4:$C$15,MATCH($C337,'TECNICOS'!$B$4:$B$15,0)),"")</f>
        <v/>
      </c>
      <c r="F337" s="6" t="inlineStr">
        <is>
          <t>T1</t>
        </is>
      </c>
      <c r="G337" s="3">
        <f>IFERROR(INDEX('TECNICOS'!$E$4:$E$15,MATCH($C337,'TECNICOS'!$B$4:$B$15,0)),"")</f>
        <v/>
      </c>
      <c r="H337" s="3">
        <f>IF(OR($F337="",ISNUMBER(MATCH($F337,lista_no_disponible,0))),0,p_horas_jornada)</f>
        <v/>
      </c>
      <c r="I337" s="3">
        <f>$A337&amp;"|"&amp;$B337&amp;"|"&amp;$C337</f>
        <v/>
      </c>
    </row>
    <row r="338">
      <c r="A338" s="3" t="inlineStr">
        <is>
          <t>2026-S32</t>
        </is>
      </c>
      <c r="B338" s="3" t="inlineStr">
        <is>
          <t>sábado</t>
        </is>
      </c>
      <c r="C338" s="3" t="inlineStr">
        <is>
          <t>Técnico 12</t>
        </is>
      </c>
      <c r="D338" s="3">
        <f>IFERROR(INDEX('TECNICOS'!$D$4:$D$15,MATCH($C338,'TECNICOS'!$B$4:$B$15,0)),"")</f>
        <v/>
      </c>
      <c r="E338" s="3">
        <f>IFERROR(INDEX('TECNICOS'!$C$4:$C$15,MATCH($C338,'TECNICOS'!$B$4:$B$15,0)),"")</f>
        <v/>
      </c>
      <c r="F338" s="6" t="inlineStr"/>
      <c r="G338" s="3">
        <f>IFERROR(INDEX('TECNICOS'!$E$4:$E$15,MATCH($C338,'TECNICOS'!$B$4:$B$15,0)),"")</f>
        <v/>
      </c>
      <c r="H338" s="3">
        <f>IF(OR($F338="",ISNUMBER(MATCH($F338,lista_no_disponible,0))),0,p_horas_jornada)</f>
        <v/>
      </c>
      <c r="I338" s="3">
        <f>$A338&amp;"|"&amp;$B338&amp;"|"&amp;$C338</f>
        <v/>
      </c>
    </row>
    <row r="339">
      <c r="A339" s="3" t="inlineStr">
        <is>
          <t>2026-S32</t>
        </is>
      </c>
      <c r="B339" s="3" t="inlineStr">
        <is>
          <t>domingo</t>
        </is>
      </c>
      <c r="C339" s="3" t="inlineStr">
        <is>
          <t>Técnico 12</t>
        </is>
      </c>
      <c r="D339" s="3">
        <f>IFERROR(INDEX('TECNICOS'!$D$4:$D$15,MATCH($C339,'TECNICOS'!$B$4:$B$15,0)),"")</f>
        <v/>
      </c>
      <c r="E339" s="3">
        <f>IFERROR(INDEX('TECNICOS'!$C$4:$C$15,MATCH($C339,'TECNICOS'!$B$4:$B$15,0)),"")</f>
        <v/>
      </c>
      <c r="F339" s="6" t="inlineStr"/>
      <c r="G339" s="3">
        <f>IFERROR(INDEX('TECNICOS'!$E$4:$E$15,MATCH($C339,'TECNICOS'!$B$4:$B$15,0)),"")</f>
        <v/>
      </c>
      <c r="H339" s="3">
        <f>IF(OR($F339="",ISNUMBER(MATCH($F339,lista_no_disponible,0))),0,p_horas_jornada)</f>
        <v/>
      </c>
      <c r="I339" s="3">
        <f>$A339&amp;"|"&amp;$B339&amp;"|"&amp;$C339</f>
        <v/>
      </c>
    </row>
  </sheetData>
  <dataValidations count="1">
    <dataValidation sqref="F4:F339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OT-0000170010</t>
        </is>
      </c>
      <c r="B4" s="14" t="n">
        <v>12</v>
      </c>
      <c r="C4" s="6" t="inlineStr">
        <is>
          <t>Alcance real mayor al estándar del ERP</t>
        </is>
      </c>
      <c r="D4" s="15" t="n">
        <v>46224</v>
      </c>
      <c r="E4" s="3">
        <f>IF($A4="","",IFERROR(INDEX('ORDENES'!$D$4:$D$1203,MATCH($A4,'ORDENES'!$AN$4:$AN$1203,0)),"(no encontrada)"))</f>
        <v/>
      </c>
      <c r="F4" s="3">
        <f>IF($A4="","",IF(ISNA(MATCH($A4,'ORDENES'!$AN$4:$AN$1203,0)),"huérfano",IF(COUNTIF($A$4:$A4,$A4)&gt;1,"duplicado (se ignora)","aplicado")))</f>
        <v/>
      </c>
      <c r="G4" s="16">
        <f>IF($F4&lt;&gt;"aplicado","",IF(IFERROR(INDEX('ORDENES'!$K$4:$K$1203,MATCH($A4,'ORDENES'!$AN$4:$AN$1203,0)),"")="","",$B4-IFERROR(INDEX('ORDENES'!$K$4:$K$1203,MATCH($A4,'ORDENES'!$AN$4:$AN$1203,0)),"")))</f>
        <v/>
      </c>
    </row>
    <row r="5">
      <c r="A5" s="6" t="inlineStr">
        <is>
          <t>OT-0000610010</t>
        </is>
      </c>
      <c r="B5" s="14" t="n">
        <v>4</v>
      </c>
      <c r="C5" s="6" t="inlineStr">
        <is>
          <t>Alcance menor: tarea parcial</t>
        </is>
      </c>
      <c r="D5" s="15" t="n">
        <v>46224</v>
      </c>
      <c r="E5" s="3">
        <f>IF($A5="","",IFERROR(INDEX('ORDENES'!$D$4:$D$1203,MATCH($A5,'ORDENES'!$AN$4:$AN$1203,0)),"(no encontrada)"))</f>
        <v/>
      </c>
      <c r="F5" s="3">
        <f>IF($A5="","",IF(ISNA(MATCH($A5,'ORDENES'!$AN$4:$AN$1203,0)),"huérfano",IF(COUNTIF($A$4:$A5,$A5)&gt;1,"duplicado (se ignora)","aplicado")))</f>
        <v/>
      </c>
      <c r="G5" s="16">
        <f>IF($F5&lt;&gt;"aplicado","",IF(IFERROR(INDEX('ORDENES'!$K$4:$K$1203,MATCH($A5,'ORDENES'!$AN$4:$AN$1203,0)),"")="","",$B5-IFERROR(INDEX('ORDENES'!$K$4:$K$1203,MATCH($A5,'ORDENES'!$AN$4:$AN$1203,0)),"")))</f>
        <v/>
      </c>
    </row>
    <row r="6">
      <c r="A6" s="6" t="inlineStr">
        <is>
          <t>OT-0000170010</t>
        </is>
      </c>
      <c r="B6" s="14" t="n">
        <v>14</v>
      </c>
      <c r="C6" s="6" t="inlineStr">
        <is>
          <t>Duplicado (demo): se ignora, gana la primera fila</t>
        </is>
      </c>
      <c r="D6" s="15" t="n">
        <v>46224</v>
      </c>
      <c r="E6" s="3">
        <f>IF($A6="","",IFERROR(INDEX('ORDENES'!$D$4:$D$1203,MATCH($A6,'ORDENES'!$AN$4:$AN$1203,0)),"(no encontrada)"))</f>
        <v/>
      </c>
      <c r="F6" s="3">
        <f>IF($A6="","",IF(ISNA(MATCH($A6,'ORDENES'!$AN$4:$AN$1203,0)),"huérfano",IF(COUNTIF($A$4:$A6,$A6)&gt;1,"duplicado (se ignora)","aplicado")))</f>
        <v/>
      </c>
      <c r="G6" s="16">
        <f>IF($F6&lt;&gt;"aplicado","",IF(IFERROR(INDEX('ORDENES'!$K$4:$K$1203,MATCH($A6,'ORDENES'!$AN$4:$AN$1203,0)),"")="","",$B6-IFERROR(INDEX('ORDENES'!$K$4:$K$1203,MATCH($A6,'ORDENES'!$AN$4:$AN$1203,0)),"")))</f>
        <v/>
      </c>
    </row>
    <row r="7">
      <c r="A7" s="6" t="inlineStr">
        <is>
          <t>OT-0009990010</t>
        </is>
      </c>
      <c r="B7" s="14" t="n">
        <v>6</v>
      </c>
      <c r="C7" s="6" t="inlineStr">
        <is>
          <t>Huérfano (demo): la orden no existe en ORDENES</t>
        </is>
      </c>
      <c r="D7" s="15" t="n">
        <v>46224</v>
      </c>
      <c r="E7" s="3">
        <f>IF($A7="","",IFERROR(INDEX('ORDENES'!$D$4:$D$1203,MATCH($A7,'ORDENES'!$AN$4:$AN$1203,0)),"(no encontrada)"))</f>
        <v/>
      </c>
      <c r="F7" s="3">
        <f>IF($A7="","",IF(ISNA(MATCH($A7,'ORDENES'!$AN$4:$AN$1203,0)),"huérfano",IF(COUNTIF($A$4:$A7,$A7)&gt;1,"duplicado (se ignora)","aplicado")))</f>
        <v/>
      </c>
      <c r="G7" s="16">
        <f>IF($F7&lt;&gt;"aplicado","",IF(IFERROR(INDEX('ORDENES'!$K$4:$K$1203,MATCH($A7,'ORDENES'!$AN$4:$AN$1203,0)),"")="","",$B7-IFERROR(INDEX('ORDENES'!$K$4:$K$1203,MATCH($A7,'ORDENES'!$AN$4:$AN$1203,0)),"")))</f>
        <v/>
      </c>
    </row>
    <row r="8">
      <c r="A8" s="6" t="n"/>
      <c r="B8" s="14" t="n"/>
      <c r="C8" s="6" t="n"/>
      <c r="D8" s="15" t="n"/>
      <c r="E8" s="3">
        <f>IF($A8="","",IFERROR(INDEX('ORDENES'!$D$4:$D$1203,MATCH($A8,'ORDENES'!$AN$4:$AN$1203,0)),"(no encontrada)"))</f>
        <v/>
      </c>
      <c r="F8" s="3">
        <f>IF($A8="","",IF(ISNA(MATCH($A8,'ORDENES'!$AN$4:$AN$1203,0)),"huérfano",IF(COUNTIF($A$4:$A8,$A8)&gt;1,"duplicado (se ignora)","aplicado")))</f>
        <v/>
      </c>
      <c r="G8" s="16">
        <f>IF($F8&lt;&gt;"aplicado","",IF(IFERROR(INDEX('ORDENES'!$K$4:$K$1203,MATCH($A8,'ORDENES'!$AN$4:$AN$1203,0)),"")="","",$B8-IFERROR(INDEX('ORDENES'!$K$4:$K$1203,MATCH($A8,'ORDENES'!$AN$4:$AN$1203,0)),"")))</f>
        <v/>
      </c>
    </row>
    <row r="9">
      <c r="A9" s="6" t="n"/>
      <c r="B9" s="14" t="n"/>
      <c r="C9" s="6" t="n"/>
      <c r="D9" s="15" t="n"/>
      <c r="E9" s="3">
        <f>IF($A9="","",IFERROR(INDEX('ORDENES'!$D$4:$D$1203,MATCH($A9,'ORDENES'!$AN$4:$AN$1203,0)),"(no encontrada)"))</f>
        <v/>
      </c>
      <c r="F9" s="3">
        <f>IF($A9="","",IF(ISNA(MATCH($A9,'ORDENES'!$AN$4:$AN$1203,0)),"huérfano",IF(COUNTIF($A$4:$A9,$A9)&gt;1,"duplicado (se ignora)","aplicado")))</f>
        <v/>
      </c>
      <c r="G9" s="16">
        <f>IF($F9&lt;&gt;"aplicado","",IF(IFERROR(INDEX('ORDENES'!$K$4:$K$1203,MATCH($A9,'ORDENES'!$AN$4:$AN$1203,0)),"")="","",$B9-IFERROR(INDEX('ORDENES'!$K$4:$K$1203,MATCH($A9,'ORDENES'!$AN$4:$AN$1203,0)),"")))</f>
        <v/>
      </c>
    </row>
    <row r="10">
      <c r="A10" s="6" t="n"/>
      <c r="B10" s="14" t="n"/>
      <c r="C10" s="6" t="n"/>
      <c r="D10" s="15" t="n"/>
      <c r="E10" s="3">
        <f>IF($A10="","",IFERROR(INDEX('ORDENES'!$D$4:$D$1203,MATCH($A10,'ORDENES'!$AN$4:$AN$1203,0)),"(no encontrada)"))</f>
        <v/>
      </c>
      <c r="F10" s="3">
        <f>IF($A10="","",IF(ISNA(MATCH($A10,'ORDENES'!$AN$4:$AN$1203,0)),"huérfano",IF(COUNTIF($A$4:$A10,$A10)&gt;1,"duplicado (se ignora)","aplicado")))</f>
        <v/>
      </c>
      <c r="G10" s="16">
        <f>IF($F10&lt;&gt;"aplicado","",IF(IFERROR(INDEX('ORDENES'!$K$4:$K$1203,MATCH($A10,'ORDENES'!$AN$4:$AN$1203,0)),"")="","",$B10-IFERROR(INDEX('ORDENES'!$K$4:$K$1203,MATCH($A10,'ORDENES'!$AN$4:$AN$1203,0)),"")))</f>
        <v/>
      </c>
    </row>
    <row r="11">
      <c r="A11" s="6" t="n"/>
      <c r="B11" s="14" t="n"/>
      <c r="C11" s="6" t="n"/>
      <c r="D11" s="15" t="n"/>
      <c r="E11" s="3">
        <f>IF($A11="","",IFERROR(INDEX('ORDENES'!$D$4:$D$1203,MATCH($A11,'ORDENES'!$AN$4:$AN$1203,0)),"(no encontrada)"))</f>
        <v/>
      </c>
      <c r="F11" s="3">
        <f>IF($A11="","",IF(ISNA(MATCH($A11,'ORDENES'!$AN$4:$AN$1203,0)),"huérfano",IF(COUNTIF($A$4:$A11,$A11)&gt;1,"duplicado (se ignora)","aplicado")))</f>
        <v/>
      </c>
      <c r="G11" s="16">
        <f>IF($F11&lt;&gt;"aplicado","",IF(IFERROR(INDEX('ORDENES'!$K$4:$K$1203,MATCH($A11,'ORDENES'!$AN$4:$AN$1203,0)),"")="","",$B11-IFERROR(INDEX('ORDENES'!$K$4:$K$1203,MATCH($A11,'ORDENES'!$AN$4:$AN$1203,0)),"")))</f>
        <v/>
      </c>
    </row>
    <row r="12">
      <c r="A12" s="6" t="n"/>
      <c r="B12" s="14" t="n"/>
      <c r="C12" s="6" t="n"/>
      <c r="D12" s="15" t="n"/>
      <c r="E12" s="3">
        <f>IF($A12="","",IFERROR(INDEX('ORDENES'!$D$4:$D$1203,MATCH($A12,'ORDENES'!$AN$4:$AN$1203,0)),"(no encontrada)"))</f>
        <v/>
      </c>
      <c r="F12" s="3">
        <f>IF($A12="","",IF(ISNA(MATCH($A12,'ORDENES'!$AN$4:$AN$1203,0)),"huérfano",IF(COUNTIF($A$4:$A12,$A12)&gt;1,"duplicado (se ignora)","aplicado")))</f>
        <v/>
      </c>
      <c r="G12" s="16">
        <f>IF($F12&lt;&gt;"aplicado","",IF(IFERROR(INDEX('ORDENES'!$K$4:$K$1203,MATCH($A12,'ORDENES'!$AN$4:$AN$1203,0)),"")="","",$B12-IFERROR(INDEX('ORDENES'!$K$4:$K$1203,MATCH($A12,'ORDENES'!$AN$4:$AN$1203,0)),"")))</f>
        <v/>
      </c>
    </row>
    <row r="13">
      <c r="A13" s="6" t="n"/>
      <c r="B13" s="14" t="n"/>
      <c r="C13" s="6" t="n"/>
      <c r="D13" s="15" t="n"/>
      <c r="E13" s="3">
        <f>IF($A13="","",IFERROR(INDEX('ORDENES'!$D$4:$D$1203,MATCH($A13,'ORDENES'!$AN$4:$AN$1203,0)),"(no encontrada)"))</f>
        <v/>
      </c>
      <c r="F13" s="3">
        <f>IF($A13="","",IF(ISNA(MATCH($A13,'ORDENES'!$AN$4:$AN$1203,0)),"huérfano",IF(COUNTIF($A$4:$A13,$A13)&gt;1,"duplicado (se ignora)","aplicado")))</f>
        <v/>
      </c>
      <c r="G13" s="16">
        <f>IF($F13&lt;&gt;"aplicado","",IF(IFERROR(INDEX('ORDENES'!$K$4:$K$1203,MATCH($A13,'ORDENES'!$AN$4:$AN$1203,0)),"")="","",$B13-IFERROR(INDEX('ORDENES'!$K$4:$K$1203,MATCH($A13,'ORDENES'!$AN$4:$AN$1203,0)),"")))</f>
        <v/>
      </c>
    </row>
    <row r="14">
      <c r="A14" s="6" t="n"/>
      <c r="B14" s="14" t="n"/>
      <c r="C14" s="6" t="n"/>
      <c r="D14" s="15" t="n"/>
      <c r="E14" s="3">
        <f>IF($A14="","",IFERROR(INDEX('ORDENES'!$D$4:$D$1203,MATCH($A14,'ORDENES'!$AN$4:$AN$1203,0)),"(no encontrada)"))</f>
        <v/>
      </c>
      <c r="F14" s="3">
        <f>IF($A14="","",IF(ISNA(MATCH($A14,'ORDENES'!$AN$4:$AN$1203,0)),"huérfano",IF(COUNTIF($A$4:$A14,$A14)&gt;1,"duplicado (se ignora)","aplicado")))</f>
        <v/>
      </c>
      <c r="G14" s="16">
        <f>IF($F14&lt;&gt;"aplicado","",IF(IFERROR(INDEX('ORDENES'!$K$4:$K$1203,MATCH($A14,'ORDENES'!$AN$4:$AN$1203,0)),"")="","",$B14-IFERROR(INDEX('ORDENES'!$K$4:$K$1203,MATCH($A14,'ORDENES'!$AN$4:$AN$1203,0)),"")))</f>
        <v/>
      </c>
    </row>
    <row r="15">
      <c r="A15" s="6" t="n"/>
      <c r="B15" s="14" t="n"/>
      <c r="C15" s="6" t="n"/>
      <c r="D15" s="15" t="n"/>
      <c r="E15" s="3">
        <f>IF($A15="","",IFERROR(INDEX('ORDENES'!$D$4:$D$1203,MATCH($A15,'ORDENES'!$AN$4:$AN$1203,0)),"(no encontrada)"))</f>
        <v/>
      </c>
      <c r="F15" s="3">
        <f>IF($A15="","",IF(ISNA(MATCH($A15,'ORDENES'!$AN$4:$AN$1203,0)),"huérfano",IF(COUNTIF($A$4:$A15,$A15)&gt;1,"duplicado (se ignora)","aplicado")))</f>
        <v/>
      </c>
      <c r="G15" s="16">
        <f>IF($F15&lt;&gt;"aplicado","",IF(IFERROR(INDEX('ORDENES'!$K$4:$K$1203,MATCH($A15,'ORDENES'!$AN$4:$AN$1203,0)),"")="","",$B15-IFERROR(INDEX('ORDENES'!$K$4:$K$1203,MATCH($A15,'ORDENES'!$AN$4:$AN$1203,0)),"")))</f>
        <v/>
      </c>
    </row>
    <row r="16">
      <c r="A16" s="6" t="n"/>
      <c r="B16" s="14" t="n"/>
      <c r="C16" s="6" t="n"/>
      <c r="D16" s="15" t="n"/>
      <c r="E16" s="3">
        <f>IF($A16="","",IFERROR(INDEX('ORDENES'!$D$4:$D$1203,MATCH($A16,'ORDENES'!$AN$4:$AN$1203,0)),"(no encontrada)"))</f>
        <v/>
      </c>
      <c r="F16" s="3">
        <f>IF($A16="","",IF(ISNA(MATCH($A16,'ORDENES'!$AN$4:$AN$1203,0)),"huérfano",IF(COUNTIF($A$4:$A16,$A16)&gt;1,"duplicado (se ignora)","aplicado")))</f>
        <v/>
      </c>
      <c r="G16" s="16">
        <f>IF($F16&lt;&gt;"aplicado","",IF(IFERROR(INDEX('ORDENES'!$K$4:$K$1203,MATCH($A16,'ORDENES'!$AN$4:$AN$1203,0)),"")="","",$B16-IFERROR(INDEX('ORDENES'!$K$4:$K$1203,MATCH($A16,'ORDENES'!$AN$4:$AN$1203,0)),"")))</f>
        <v/>
      </c>
    </row>
    <row r="17">
      <c r="A17" s="6" t="n"/>
      <c r="B17" s="14" t="n"/>
      <c r="C17" s="6" t="n"/>
      <c r="D17" s="15" t="n"/>
      <c r="E17" s="3">
        <f>IF($A17="","",IFERROR(INDEX('ORDENES'!$D$4:$D$1203,MATCH($A17,'ORDENES'!$AN$4:$AN$1203,0)),"(no encontrada)"))</f>
        <v/>
      </c>
      <c r="F17" s="3">
        <f>IF($A17="","",IF(ISNA(MATCH($A17,'ORDENES'!$AN$4:$AN$1203,0)),"huérfano",IF(COUNTIF($A$4:$A17,$A17)&gt;1,"duplicado (se ignora)","aplicado")))</f>
        <v/>
      </c>
      <c r="G17" s="16">
        <f>IF($F17&lt;&gt;"aplicado","",IF(IFERROR(INDEX('ORDENES'!$K$4:$K$1203,MATCH($A17,'ORDENES'!$AN$4:$AN$1203,0)),"")="","",$B17-IFERROR(INDEX('ORDENES'!$K$4:$K$1203,MATCH($A17,'ORDENES'!$AN$4:$AN$1203,0)),"")))</f>
        <v/>
      </c>
    </row>
    <row r="18">
      <c r="A18" s="6" t="n"/>
      <c r="B18" s="14" t="n"/>
      <c r="C18" s="6" t="n"/>
      <c r="D18" s="15" t="n"/>
      <c r="E18" s="3">
        <f>IF($A18="","",IFERROR(INDEX('ORDENES'!$D$4:$D$1203,MATCH($A18,'ORDENES'!$AN$4:$AN$1203,0)),"(no encontrada)"))</f>
        <v/>
      </c>
      <c r="F18" s="3">
        <f>IF($A18="","",IF(ISNA(MATCH($A18,'ORDENES'!$AN$4:$AN$1203,0)),"huérfano",IF(COUNTIF($A$4:$A18,$A18)&gt;1,"duplicado (se ignora)","aplicado")))</f>
        <v/>
      </c>
      <c r="G18" s="16">
        <f>IF($F18&lt;&gt;"aplicado","",IF(IFERROR(INDEX('ORDENES'!$K$4:$K$1203,MATCH($A18,'ORDENES'!$AN$4:$AN$1203,0)),"")="","",$B18-IFERROR(INDEX('ORDENES'!$K$4:$K$1203,MATCH($A18,'ORDENES'!$AN$4:$AN$1203,0)),"")))</f>
        <v/>
      </c>
    </row>
    <row r="19">
      <c r="A19" s="6" t="n"/>
      <c r="B19" s="14" t="n"/>
      <c r="C19" s="6" t="n"/>
      <c r="D19" s="15" t="n"/>
      <c r="E19" s="3">
        <f>IF($A19="","",IFERROR(INDEX('ORDENES'!$D$4:$D$1203,MATCH($A19,'ORDENES'!$AN$4:$AN$1203,0)),"(no encontrada)"))</f>
        <v/>
      </c>
      <c r="F19" s="3">
        <f>IF($A19="","",IF(ISNA(MATCH($A19,'ORDENES'!$AN$4:$AN$1203,0)),"huérfano",IF(COUNTIF($A$4:$A19,$A19)&gt;1,"duplicado (se ignora)","aplicado")))</f>
        <v/>
      </c>
      <c r="G19" s="16">
        <f>IF($F19&lt;&gt;"aplicado","",IF(IFERROR(INDEX('ORDENES'!$K$4:$K$1203,MATCH($A19,'ORDENES'!$AN$4:$AN$1203,0)),"")="","",$B19-IFERROR(INDEX('ORDENES'!$K$4:$K$1203,MATCH($A19,'ORDENES'!$AN$4:$AN$1203,0)),"")))</f>
        <v/>
      </c>
    </row>
    <row r="20">
      <c r="A20" s="6" t="n"/>
      <c r="B20" s="14" t="n"/>
      <c r="C20" s="6" t="n"/>
      <c r="D20" s="15" t="n"/>
      <c r="E20" s="3">
        <f>IF($A20="","",IFERROR(INDEX('ORDENES'!$D$4:$D$1203,MATCH($A20,'ORDENES'!$AN$4:$AN$1203,0)),"(no encontrada)"))</f>
        <v/>
      </c>
      <c r="F20" s="3">
        <f>IF($A20="","",IF(ISNA(MATCH($A20,'ORDENES'!$AN$4:$AN$1203,0)),"huérfano",IF(COUNTIF($A$4:$A20,$A20)&gt;1,"duplicado (se ignora)","aplicado")))</f>
        <v/>
      </c>
      <c r="G20" s="16">
        <f>IF($F20&lt;&gt;"aplicado","",IF(IFERROR(INDEX('ORDENES'!$K$4:$K$1203,MATCH($A20,'ORDENES'!$AN$4:$AN$1203,0)),"")="","",$B20-IFERROR(INDEX('ORDENES'!$K$4:$K$1203,MATCH($A20,'ORDENES'!$AN$4:$AN$1203,0)),"")))</f>
        <v/>
      </c>
    </row>
    <row r="21">
      <c r="A21" s="6" t="n"/>
      <c r="B21" s="14" t="n"/>
      <c r="C21" s="6" t="n"/>
      <c r="D21" s="15" t="n"/>
      <c r="E21" s="3">
        <f>IF($A21="","",IFERROR(INDEX('ORDENES'!$D$4:$D$1203,MATCH($A21,'ORDENES'!$AN$4:$AN$1203,0)),"(no encontrada)"))</f>
        <v/>
      </c>
      <c r="F21" s="3">
        <f>IF($A21="","",IF(ISNA(MATCH($A21,'ORDENES'!$AN$4:$AN$1203,0)),"huérfano",IF(COUNTIF($A$4:$A21,$A21)&gt;1,"duplicado (se ignora)","aplicado")))</f>
        <v/>
      </c>
      <c r="G21" s="16">
        <f>IF($F21&lt;&gt;"aplicado","",IF(IFERROR(INDEX('ORDENES'!$K$4:$K$1203,MATCH($A21,'ORDENES'!$AN$4:$AN$1203,0)),"")="","",$B21-IFERROR(INDEX('ORDENES'!$K$4:$K$1203,MATCH($A21,'ORDENES'!$AN$4:$AN$1203,0)),"")))</f>
        <v/>
      </c>
    </row>
    <row r="22">
      <c r="A22" s="6" t="n"/>
      <c r="B22" s="14" t="n"/>
      <c r="C22" s="6" t="n"/>
      <c r="D22" s="15" t="n"/>
      <c r="E22" s="3">
        <f>IF($A22="","",IFERROR(INDEX('ORDENES'!$D$4:$D$1203,MATCH($A22,'ORDENES'!$AN$4:$AN$1203,0)),"(no encontrada)"))</f>
        <v/>
      </c>
      <c r="F22" s="3">
        <f>IF($A22="","",IF(ISNA(MATCH($A22,'ORDENES'!$AN$4:$AN$1203,0)),"huérfano",IF(COUNTIF($A$4:$A22,$A22)&gt;1,"duplicado (se ignora)","aplicado")))</f>
        <v/>
      </c>
      <c r="G22" s="16">
        <f>IF($F22&lt;&gt;"aplicado","",IF(IFERROR(INDEX('ORDENES'!$K$4:$K$1203,MATCH($A22,'ORDENES'!$AN$4:$AN$1203,0)),"")="","",$B22-IFERROR(INDEX('ORDENES'!$K$4:$K$1203,MATCH($A22,'ORDENES'!$AN$4:$AN$1203,0)),"")))</f>
        <v/>
      </c>
    </row>
    <row r="23">
      <c r="A23" s="6" t="n"/>
      <c r="B23" s="14" t="n"/>
      <c r="C23" s="6" t="n"/>
      <c r="D23" s="15" t="n"/>
      <c r="E23" s="3">
        <f>IF($A23="","",IFERROR(INDEX('ORDENES'!$D$4:$D$1203,MATCH($A23,'ORDENES'!$AN$4:$AN$1203,0)),"(no encontrada)"))</f>
        <v/>
      </c>
      <c r="F23" s="3">
        <f>IF($A23="","",IF(ISNA(MATCH($A23,'ORDENES'!$AN$4:$AN$1203,0)),"huérfano",IF(COUNTIF($A$4:$A23,$A23)&gt;1,"duplicado (se ignora)","aplicado")))</f>
        <v/>
      </c>
      <c r="G23" s="16">
        <f>IF($F23&lt;&gt;"aplicado","",IF(IFERROR(INDEX('ORDENES'!$K$4:$K$1203,MATCH($A23,'ORDENES'!$AN$4:$AN$1203,0)),"")="","",$B23-IFERROR(INDEX('ORDENES'!$K$4:$K$1203,MATCH($A23,'ORDENES'!$AN$4:$AN$1203,0)),"")))</f>
        <v/>
      </c>
    </row>
    <row r="24">
      <c r="A24" s="6" t="n"/>
      <c r="B24" s="14" t="n"/>
      <c r="C24" s="6" t="n"/>
      <c r="D24" s="15" t="n"/>
      <c r="E24" s="3">
        <f>IF($A24="","",IFERROR(INDEX('ORDENES'!$D$4:$D$1203,MATCH($A24,'ORDENES'!$AN$4:$AN$1203,0)),"(no encontrada)"))</f>
        <v/>
      </c>
      <c r="F24" s="3">
        <f>IF($A24="","",IF(ISNA(MATCH($A24,'ORDENES'!$AN$4:$AN$1203,0)),"huérfano",IF(COUNTIF($A$4:$A24,$A24)&gt;1,"duplicado (se ignora)","aplicado")))</f>
        <v/>
      </c>
      <c r="G24" s="16">
        <f>IF($F24&lt;&gt;"aplicado","",IF(IFERROR(INDEX('ORDENES'!$K$4:$K$1203,MATCH($A24,'ORDENES'!$AN$4:$AN$1203,0)),"")="","",$B24-IFERROR(INDEX('ORDENES'!$K$4:$K$1203,MATCH($A24,'ORDENES'!$AN$4:$AN$1203,0)),"")))</f>
        <v/>
      </c>
    </row>
    <row r="25">
      <c r="A25" s="6" t="n"/>
      <c r="B25" s="14" t="n"/>
      <c r="C25" s="6" t="n"/>
      <c r="D25" s="15" t="n"/>
      <c r="E25" s="3">
        <f>IF($A25="","",IFERROR(INDEX('ORDENES'!$D$4:$D$1203,MATCH($A25,'ORDENES'!$AN$4:$AN$1203,0)),"(no encontrada)"))</f>
        <v/>
      </c>
      <c r="F25" s="3">
        <f>IF($A25="","",IF(ISNA(MATCH($A25,'ORDENES'!$AN$4:$AN$1203,0)),"huérfano",IF(COUNTIF($A$4:$A25,$A25)&gt;1,"duplicado (se ignora)","aplicado")))</f>
        <v/>
      </c>
      <c r="G25" s="16">
        <f>IF($F25&lt;&gt;"aplicado","",IF(IFERROR(INDEX('ORDENES'!$K$4:$K$1203,MATCH($A25,'ORDENES'!$AN$4:$AN$1203,0)),"")="","",$B25-IFERROR(INDEX('ORDENES'!$K$4:$K$1203,MATCH($A25,'ORDENES'!$AN$4:$AN$1203,0)),"")))</f>
        <v/>
      </c>
    </row>
    <row r="26">
      <c r="A26" s="6" t="n"/>
      <c r="B26" s="14" t="n"/>
      <c r="C26" s="6" t="n"/>
      <c r="D26" s="15" t="n"/>
      <c r="E26" s="3">
        <f>IF($A26="","",IFERROR(INDEX('ORDENES'!$D$4:$D$1203,MATCH($A26,'ORDENES'!$AN$4:$AN$1203,0)),"(no encontrada)"))</f>
        <v/>
      </c>
      <c r="F26" s="3">
        <f>IF($A26="","",IF(ISNA(MATCH($A26,'ORDENES'!$AN$4:$AN$1203,0)),"huérfano",IF(COUNTIF($A$4:$A26,$A26)&gt;1,"duplicado (se ignora)","aplicado")))</f>
        <v/>
      </c>
      <c r="G26" s="16">
        <f>IF($F26&lt;&gt;"aplicado","",IF(IFERROR(INDEX('ORDENES'!$K$4:$K$1203,MATCH($A26,'ORDENES'!$AN$4:$AN$1203,0)),"")="","",$B26-IFERROR(INDEX('ORDENES'!$K$4:$K$1203,MATCH($A26,'ORDENES'!$AN$4:$AN$1203,0)),"")))</f>
        <v/>
      </c>
    </row>
    <row r="27">
      <c r="A27" s="6" t="n"/>
      <c r="B27" s="14" t="n"/>
      <c r="C27" s="6" t="n"/>
      <c r="D27" s="15" t="n"/>
      <c r="E27" s="3">
        <f>IF($A27="","",IFERROR(INDEX('ORDENES'!$D$4:$D$1203,MATCH($A27,'ORDENES'!$AN$4:$AN$1203,0)),"(no encontrada)"))</f>
        <v/>
      </c>
      <c r="F27" s="3">
        <f>IF($A27="","",IF(ISNA(MATCH($A27,'ORDENES'!$AN$4:$AN$1203,0)),"huérfano",IF(COUNTIF($A$4:$A27,$A27)&gt;1,"duplicado (se ignora)","aplicado")))</f>
        <v/>
      </c>
      <c r="G27" s="16">
        <f>IF($F27&lt;&gt;"aplicado","",IF(IFERROR(INDEX('ORDENES'!$K$4:$K$1203,MATCH($A27,'ORDENES'!$AN$4:$AN$1203,0)),"")="","",$B27-IFERROR(INDEX('ORDENES'!$K$4:$K$1203,MATCH($A27,'ORDENES'!$AN$4:$AN$1203,0)),"")))</f>
        <v/>
      </c>
    </row>
    <row r="28">
      <c r="A28" s="6" t="n"/>
      <c r="B28" s="14" t="n"/>
      <c r="C28" s="6" t="n"/>
      <c r="D28" s="15" t="n"/>
      <c r="E28" s="3">
        <f>IF($A28="","",IFERROR(INDEX('ORDENES'!$D$4:$D$1203,MATCH($A28,'ORDENES'!$AN$4:$AN$1203,0)),"(no encontrada)"))</f>
        <v/>
      </c>
      <c r="F28" s="3">
        <f>IF($A28="","",IF(ISNA(MATCH($A28,'ORDENES'!$AN$4:$AN$1203,0)),"huérfano",IF(COUNTIF($A$4:$A28,$A28)&gt;1,"duplicado (se ignora)","aplicado")))</f>
        <v/>
      </c>
      <c r="G28" s="16">
        <f>IF($F28&lt;&gt;"aplicado","",IF(IFERROR(INDEX('ORDENES'!$K$4:$K$1203,MATCH($A28,'ORDENES'!$AN$4:$AN$1203,0)),"")="","",$B28-IFERROR(INDEX('ORDENES'!$K$4:$K$1203,MATCH($A28,'ORDENES'!$AN$4:$AN$1203,0)),"")))</f>
        <v/>
      </c>
    </row>
    <row r="29">
      <c r="A29" s="6" t="n"/>
      <c r="B29" s="14" t="n"/>
      <c r="C29" s="6" t="n"/>
      <c r="D29" s="15" t="n"/>
      <c r="E29" s="3">
        <f>IF($A29="","",IFERROR(INDEX('ORDENES'!$D$4:$D$1203,MATCH($A29,'ORDENES'!$AN$4:$AN$1203,0)),"(no encontrada)"))</f>
        <v/>
      </c>
      <c r="F29" s="3">
        <f>IF($A29="","",IF(ISNA(MATCH($A29,'ORDENES'!$AN$4:$AN$1203,0)),"huérfano",IF(COUNTIF($A$4:$A29,$A29)&gt;1,"duplicado (se ignora)","aplicado")))</f>
        <v/>
      </c>
      <c r="G29" s="16">
        <f>IF($F29&lt;&gt;"aplicado","",IF(IFERROR(INDEX('ORDENES'!$K$4:$K$1203,MATCH($A29,'ORDENES'!$AN$4:$AN$1203,0)),"")="","",$B29-IFERROR(INDEX('ORDENES'!$K$4:$K$1203,MATCH($A29,'ORDENES'!$AN$4:$AN$1203,0)),"")))</f>
        <v/>
      </c>
    </row>
    <row r="30">
      <c r="A30" s="6" t="n"/>
      <c r="B30" s="14" t="n"/>
      <c r="C30" s="6" t="n"/>
      <c r="D30" s="15" t="n"/>
      <c r="E30" s="3">
        <f>IF($A30="","",IFERROR(INDEX('ORDENES'!$D$4:$D$1203,MATCH($A30,'ORDENES'!$AN$4:$AN$1203,0)),"(no encontrada)"))</f>
        <v/>
      </c>
      <c r="F30" s="3">
        <f>IF($A30="","",IF(ISNA(MATCH($A30,'ORDENES'!$AN$4:$AN$1203,0)),"huérfano",IF(COUNTIF($A$4:$A30,$A30)&gt;1,"duplicado (se ignora)","aplicado")))</f>
        <v/>
      </c>
      <c r="G30" s="16">
        <f>IF($F30&lt;&gt;"aplicado","",IF(IFERROR(INDEX('ORDENES'!$K$4:$K$1203,MATCH($A30,'ORDENES'!$AN$4:$AN$1203,0)),"")="","",$B30-IFERROR(INDEX('ORDENES'!$K$4:$K$1203,MATCH($A30,'ORDENES'!$AN$4:$AN$1203,0)),"")))</f>
        <v/>
      </c>
    </row>
    <row r="31">
      <c r="A31" s="6" t="n"/>
      <c r="B31" s="14" t="n"/>
      <c r="C31" s="6" t="n"/>
      <c r="D31" s="15" t="n"/>
      <c r="E31" s="3">
        <f>IF($A31="","",IFERROR(INDEX('ORDENES'!$D$4:$D$1203,MATCH($A31,'ORDENES'!$AN$4:$AN$1203,0)),"(no encontrada)"))</f>
        <v/>
      </c>
      <c r="F31" s="3">
        <f>IF($A31="","",IF(ISNA(MATCH($A31,'ORDENES'!$AN$4:$AN$1203,0)),"huérfano",IF(COUNTIF($A$4:$A31,$A31)&gt;1,"duplicado (se ignora)","aplicado")))</f>
        <v/>
      </c>
      <c r="G31" s="16">
        <f>IF($F31&lt;&gt;"aplicado","",IF(IFERROR(INDEX('ORDENES'!$K$4:$K$1203,MATCH($A31,'ORDENES'!$AN$4:$AN$1203,0)),"")="","",$B31-IFERROR(INDEX('ORDENES'!$K$4:$K$1203,MATCH($A31,'ORDENES'!$AN$4:$AN$1203,0)),"")))</f>
        <v/>
      </c>
    </row>
    <row r="32">
      <c r="A32" s="6" t="n"/>
      <c r="B32" s="14" t="n"/>
      <c r="C32" s="6" t="n"/>
      <c r="D32" s="15" t="n"/>
      <c r="E32" s="3">
        <f>IF($A32="","",IFERROR(INDEX('ORDENES'!$D$4:$D$1203,MATCH($A32,'ORDENES'!$AN$4:$AN$1203,0)),"(no encontrada)"))</f>
        <v/>
      </c>
      <c r="F32" s="3">
        <f>IF($A32="","",IF(ISNA(MATCH($A32,'ORDENES'!$AN$4:$AN$1203,0)),"huérfano",IF(COUNTIF($A$4:$A32,$A32)&gt;1,"duplicado (se ignora)","aplicado")))</f>
        <v/>
      </c>
      <c r="G32" s="16">
        <f>IF($F32&lt;&gt;"aplicado","",IF(IFERROR(INDEX('ORDENES'!$K$4:$K$1203,MATCH($A32,'ORDENES'!$AN$4:$AN$1203,0)),"")="","",$B32-IFERROR(INDEX('ORDENES'!$K$4:$K$1203,MATCH($A32,'ORDENES'!$AN$4:$AN$1203,0)),"")))</f>
        <v/>
      </c>
    </row>
    <row r="33">
      <c r="A33" s="6" t="n"/>
      <c r="B33" s="14" t="n"/>
      <c r="C33" s="6" t="n"/>
      <c r="D33" s="15" t="n"/>
      <c r="E33" s="3">
        <f>IF($A33="","",IFERROR(INDEX('ORDENES'!$D$4:$D$1203,MATCH($A33,'ORDENES'!$AN$4:$AN$1203,0)),"(no encontrada)"))</f>
        <v/>
      </c>
      <c r="F33" s="3">
        <f>IF($A33="","",IF(ISNA(MATCH($A33,'ORDENES'!$AN$4:$AN$1203,0)),"huérfano",IF(COUNTIF($A$4:$A33,$A33)&gt;1,"duplicado (se ignora)","aplicado")))</f>
        <v/>
      </c>
      <c r="G33" s="16">
        <f>IF($F33&lt;&gt;"aplicado","",IF(IFERROR(INDEX('ORDENES'!$K$4:$K$1203,MATCH($A33,'ORDENES'!$AN$4:$AN$1203,0)),"")="","",$B33-IFERROR(INDEX('ORDENES'!$K$4:$K$1203,MATCH($A33,'ORDENES'!$AN$4:$AN$1203,0)),"")))</f>
        <v/>
      </c>
    </row>
    <row r="34">
      <c r="A34" s="6" t="n"/>
      <c r="B34" s="14" t="n"/>
      <c r="C34" s="6" t="n"/>
      <c r="D34" s="15" t="n"/>
      <c r="E34" s="3">
        <f>IF($A34="","",IFERROR(INDEX('ORDENES'!$D$4:$D$1203,MATCH($A34,'ORDENES'!$AN$4:$AN$1203,0)),"(no encontrada)"))</f>
        <v/>
      </c>
      <c r="F34" s="3">
        <f>IF($A34="","",IF(ISNA(MATCH($A34,'ORDENES'!$AN$4:$AN$1203,0)),"huérfano",IF(COUNTIF($A$4:$A34,$A34)&gt;1,"duplicado (se ignora)","aplicado")))</f>
        <v/>
      </c>
      <c r="G34" s="16">
        <f>IF($F34&lt;&gt;"aplicado","",IF(IFERROR(INDEX('ORDENES'!$K$4:$K$1203,MATCH($A34,'ORDENES'!$AN$4:$AN$1203,0)),"")="","",$B34-IFERROR(INDEX('ORDENES'!$K$4:$K$1203,MATCH($A34,'ORDENES'!$AN$4:$AN$1203,0)),"")))</f>
        <v/>
      </c>
    </row>
    <row r="35">
      <c r="A35" s="6" t="n"/>
      <c r="B35" s="14" t="n"/>
      <c r="C35" s="6" t="n"/>
      <c r="D35" s="15" t="n"/>
      <c r="E35" s="3">
        <f>IF($A35="","",IFERROR(INDEX('ORDENES'!$D$4:$D$1203,MATCH($A35,'ORDENES'!$AN$4:$AN$1203,0)),"(no encontrada)"))</f>
        <v/>
      </c>
      <c r="F35" s="3">
        <f>IF($A35="","",IF(ISNA(MATCH($A35,'ORDENES'!$AN$4:$AN$1203,0)),"huérfano",IF(COUNTIF($A$4:$A35,$A35)&gt;1,"duplicado (se ignora)","aplicado")))</f>
        <v/>
      </c>
      <c r="G35" s="16">
        <f>IF($F35&lt;&gt;"aplicado","",IF(IFERROR(INDEX('ORDENES'!$K$4:$K$1203,MATCH($A35,'ORDENES'!$AN$4:$AN$1203,0)),"")="","",$B35-IFERROR(INDEX('ORDENES'!$K$4:$K$1203,MATCH($A35,'ORDENES'!$AN$4:$AN$1203,0)),"")))</f>
        <v/>
      </c>
    </row>
    <row r="36">
      <c r="A36" s="6" t="n"/>
      <c r="B36" s="14" t="n"/>
      <c r="C36" s="6" t="n"/>
      <c r="D36" s="15" t="n"/>
      <c r="E36" s="3">
        <f>IF($A36="","",IFERROR(INDEX('ORDENES'!$D$4:$D$1203,MATCH($A36,'ORDENES'!$AN$4:$AN$1203,0)),"(no encontrada)"))</f>
        <v/>
      </c>
      <c r="F36" s="3">
        <f>IF($A36="","",IF(ISNA(MATCH($A36,'ORDENES'!$AN$4:$AN$1203,0)),"huérfano",IF(COUNTIF($A$4:$A36,$A36)&gt;1,"duplicado (se ignora)","aplicado")))</f>
        <v/>
      </c>
      <c r="G36" s="16">
        <f>IF($F36&lt;&gt;"aplicado","",IF(IFERROR(INDEX('ORDENES'!$K$4:$K$1203,MATCH($A36,'ORDENES'!$AN$4:$AN$1203,0)),"")="","",$B36-IFERROR(INDEX('ORDENES'!$K$4:$K$1203,MATCH($A36,'ORDENES'!$AN$4:$AN$1203,0)),"")))</f>
        <v/>
      </c>
    </row>
    <row r="37">
      <c r="A37" s="6" t="n"/>
      <c r="B37" s="14" t="n"/>
      <c r="C37" s="6" t="n"/>
      <c r="D37" s="15" t="n"/>
      <c r="E37" s="3">
        <f>IF($A37="","",IFERROR(INDEX('ORDENES'!$D$4:$D$1203,MATCH($A37,'ORDENES'!$AN$4:$AN$1203,0)),"(no encontrada)"))</f>
        <v/>
      </c>
      <c r="F37" s="3">
        <f>IF($A37="","",IF(ISNA(MATCH($A37,'ORDENES'!$AN$4:$AN$1203,0)),"huérfano",IF(COUNTIF($A$4:$A37,$A37)&gt;1,"duplicado (se ignora)","aplicado")))</f>
        <v/>
      </c>
      <c r="G37" s="16">
        <f>IF($F37&lt;&gt;"aplicado","",IF(IFERROR(INDEX('ORDENES'!$K$4:$K$1203,MATCH($A37,'ORDENES'!$AN$4:$AN$1203,0)),"")="","",$B37-IFERROR(INDEX('ORDENES'!$K$4:$K$1203,MATCH($A37,'ORDENES'!$AN$4:$AN$1203,0)),"")))</f>
        <v/>
      </c>
    </row>
    <row r="38">
      <c r="A38" s="6" t="n"/>
      <c r="B38" s="14" t="n"/>
      <c r="C38" s="6" t="n"/>
      <c r="D38" s="15" t="n"/>
      <c r="E38" s="3">
        <f>IF($A38="","",IFERROR(INDEX('ORDENES'!$D$4:$D$1203,MATCH($A38,'ORDENES'!$AN$4:$AN$1203,0)),"(no encontrada)"))</f>
        <v/>
      </c>
      <c r="F38" s="3">
        <f>IF($A38="","",IF(ISNA(MATCH($A38,'ORDENES'!$AN$4:$AN$1203,0)),"huérfano",IF(COUNTIF($A$4:$A38,$A38)&gt;1,"duplicado (se ignora)","aplicado")))</f>
        <v/>
      </c>
      <c r="G38" s="16">
        <f>IF($F38&lt;&gt;"aplicado","",IF(IFERROR(INDEX('ORDENES'!$K$4:$K$1203,MATCH($A38,'ORDENES'!$AN$4:$AN$1203,0)),"")="","",$B38-IFERROR(INDEX('ORDENES'!$K$4:$K$1203,MATCH($A38,'ORDENES'!$AN$4:$AN$1203,0)),"")))</f>
        <v/>
      </c>
    </row>
    <row r="39">
      <c r="A39" s="6" t="n"/>
      <c r="B39" s="14" t="n"/>
      <c r="C39" s="6" t="n"/>
      <c r="D39" s="15" t="n"/>
      <c r="E39" s="3">
        <f>IF($A39="","",IFERROR(INDEX('ORDENES'!$D$4:$D$1203,MATCH($A39,'ORDENES'!$AN$4:$AN$1203,0)),"(no encontrada)"))</f>
        <v/>
      </c>
      <c r="F39" s="3">
        <f>IF($A39="","",IF(ISNA(MATCH($A39,'ORDENES'!$AN$4:$AN$1203,0)),"huérfano",IF(COUNTIF($A$4:$A39,$A39)&gt;1,"duplicado (se ignora)","aplicado")))</f>
        <v/>
      </c>
      <c r="G39" s="16">
        <f>IF($F39&lt;&gt;"aplicado","",IF(IFERROR(INDEX('ORDENES'!$K$4:$K$1203,MATCH($A39,'ORDENES'!$AN$4:$AN$1203,0)),"")="","",$B39-IFERROR(INDEX('ORDENES'!$K$4:$K$1203,MATCH($A39,'ORDENES'!$AN$4:$AN$1203,0)),"")))</f>
        <v/>
      </c>
    </row>
    <row r="40">
      <c r="A40" s="6" t="n"/>
      <c r="B40" s="14" t="n"/>
      <c r="C40" s="6" t="n"/>
      <c r="D40" s="15" t="n"/>
      <c r="E40" s="3">
        <f>IF($A40="","",IFERROR(INDEX('ORDENES'!$D$4:$D$1203,MATCH($A40,'ORDENES'!$AN$4:$AN$1203,0)),"(no encontrada)"))</f>
        <v/>
      </c>
      <c r="F40" s="3">
        <f>IF($A40="","",IF(ISNA(MATCH($A40,'ORDENES'!$AN$4:$AN$1203,0)),"huérfano",IF(COUNTIF($A$4:$A40,$A40)&gt;1,"duplicado (se ignora)","aplicado")))</f>
        <v/>
      </c>
      <c r="G40" s="16">
        <f>IF($F40&lt;&gt;"aplicado","",IF(IFERROR(INDEX('ORDENES'!$K$4:$K$1203,MATCH($A40,'ORDENES'!$AN$4:$AN$1203,0)),"")="","",$B40-IFERROR(INDEX('ORDENES'!$K$4:$K$1203,MATCH($A40,'ORDENES'!$AN$4:$AN$1203,0)),"")))</f>
        <v/>
      </c>
    </row>
    <row r="41">
      <c r="A41" s="6" t="n"/>
      <c r="B41" s="14" t="n"/>
      <c r="C41" s="6" t="n"/>
      <c r="D41" s="15" t="n"/>
      <c r="E41" s="3">
        <f>IF($A41="","",IFERROR(INDEX('ORDENES'!$D$4:$D$1203,MATCH($A41,'ORDENES'!$AN$4:$AN$1203,0)),"(no encontrada)"))</f>
        <v/>
      </c>
      <c r="F41" s="3">
        <f>IF($A41="","",IF(ISNA(MATCH($A41,'ORDENES'!$AN$4:$AN$1203,0)),"huérfano",IF(COUNTIF($A$4:$A41,$A41)&gt;1,"duplicado (se ignora)","aplicado")))</f>
        <v/>
      </c>
      <c r="G41" s="16">
        <f>IF($F41&lt;&gt;"aplicado","",IF(IFERROR(INDEX('ORDENES'!$K$4:$K$1203,MATCH($A41,'ORDENES'!$AN$4:$AN$1203,0)),"")="","",$B41-IFERROR(INDEX('ORDENES'!$K$4:$K$1203,MATCH($A41,'ORDENES'!$AN$4:$AN$1203,0)),"")))</f>
        <v/>
      </c>
    </row>
    <row r="42">
      <c r="A42" s="6" t="n"/>
      <c r="B42" s="14" t="n"/>
      <c r="C42" s="6" t="n"/>
      <c r="D42" s="15" t="n"/>
      <c r="E42" s="3">
        <f>IF($A42="","",IFERROR(INDEX('ORDENES'!$D$4:$D$1203,MATCH($A42,'ORDENES'!$AN$4:$AN$1203,0)),"(no encontrada)"))</f>
        <v/>
      </c>
      <c r="F42" s="3">
        <f>IF($A42="","",IF(ISNA(MATCH($A42,'ORDENES'!$AN$4:$AN$1203,0)),"huérfano",IF(COUNTIF($A$4:$A42,$A42)&gt;1,"duplicado (se ignora)","aplicado")))</f>
        <v/>
      </c>
      <c r="G42" s="16">
        <f>IF($F42&lt;&gt;"aplicado","",IF(IFERROR(INDEX('ORDENES'!$K$4:$K$1203,MATCH($A42,'ORDENES'!$AN$4:$AN$1203,0)),"")="","",$B42-IFERROR(INDEX('ORDENES'!$K$4:$K$1203,MATCH($A42,'ORDENES'!$AN$4:$AN$1203,0)),"")))</f>
        <v/>
      </c>
    </row>
    <row r="43">
      <c r="A43" s="6" t="n"/>
      <c r="B43" s="14" t="n"/>
      <c r="C43" s="6" t="n"/>
      <c r="D43" s="15" t="n"/>
      <c r="E43" s="3">
        <f>IF($A43="","",IFERROR(INDEX('ORDENES'!$D$4:$D$1203,MATCH($A43,'ORDENES'!$AN$4:$AN$1203,0)),"(no encontrada)"))</f>
        <v/>
      </c>
      <c r="F43" s="3">
        <f>IF($A43="","",IF(ISNA(MATCH($A43,'ORDENES'!$AN$4:$AN$1203,0)),"huérfano",IF(COUNTIF($A$4:$A43,$A43)&gt;1,"duplicado (se ignora)","aplicado")))</f>
        <v/>
      </c>
      <c r="G43" s="16">
        <f>IF($F43&lt;&gt;"aplicado","",IF(IFERROR(INDEX('ORDENES'!$K$4:$K$1203,MATCH($A43,'ORDENES'!$AN$4:$AN$1203,0)),"")="","",$B43-IFERROR(INDEX('ORDENES'!$K$4:$K$1203,MATCH($A43,'ORDENES'!$AN$4:$AN$1203,0)),"")))</f>
        <v/>
      </c>
    </row>
    <row r="44">
      <c r="A44" s="6" t="n"/>
      <c r="B44" s="14" t="n"/>
      <c r="C44" s="6" t="n"/>
      <c r="D44" s="15" t="n"/>
      <c r="E44" s="3">
        <f>IF($A44="","",IFERROR(INDEX('ORDENES'!$D$4:$D$1203,MATCH($A44,'ORDENES'!$AN$4:$AN$1203,0)),"(no encontrada)"))</f>
        <v/>
      </c>
      <c r="F44" s="3">
        <f>IF($A44="","",IF(ISNA(MATCH($A44,'ORDENES'!$AN$4:$AN$1203,0)),"huérfano",IF(COUNTIF($A$4:$A44,$A44)&gt;1,"duplicado (se ignora)","aplicado")))</f>
        <v/>
      </c>
      <c r="G44" s="16">
        <f>IF($F44&lt;&gt;"aplicado","",IF(IFERROR(INDEX('ORDENES'!$K$4:$K$1203,MATCH($A44,'ORDENES'!$AN$4:$AN$1203,0)),"")="","",$B44-IFERROR(INDEX('ORDENES'!$K$4:$K$1203,MATCH($A44,'ORDENES'!$AN$4:$AN$1203,0)),"")))</f>
        <v/>
      </c>
    </row>
    <row r="45">
      <c r="A45" s="6" t="n"/>
      <c r="B45" s="14" t="n"/>
      <c r="C45" s="6" t="n"/>
      <c r="D45" s="15" t="n"/>
      <c r="E45" s="3">
        <f>IF($A45="","",IFERROR(INDEX('ORDENES'!$D$4:$D$1203,MATCH($A45,'ORDENES'!$AN$4:$AN$1203,0)),"(no encontrada)"))</f>
        <v/>
      </c>
      <c r="F45" s="3">
        <f>IF($A45="","",IF(ISNA(MATCH($A45,'ORDENES'!$AN$4:$AN$1203,0)),"huérfano",IF(COUNTIF($A$4:$A45,$A45)&gt;1,"duplicado (se ignora)","aplicado")))</f>
        <v/>
      </c>
      <c r="G45" s="16">
        <f>IF($F45&lt;&gt;"aplicado","",IF(IFERROR(INDEX('ORDENES'!$K$4:$K$1203,MATCH($A45,'ORDENES'!$AN$4:$AN$1203,0)),"")="","",$B45-IFERROR(INDEX('ORDENES'!$K$4:$K$1203,MATCH($A45,'ORDENES'!$AN$4:$AN$1203,0)),"")))</f>
        <v/>
      </c>
    </row>
    <row r="46">
      <c r="A46" s="6" t="n"/>
      <c r="B46" s="14" t="n"/>
      <c r="C46" s="6" t="n"/>
      <c r="D46" s="15" t="n"/>
      <c r="E46" s="3">
        <f>IF($A46="","",IFERROR(INDEX('ORDENES'!$D$4:$D$1203,MATCH($A46,'ORDENES'!$AN$4:$AN$1203,0)),"(no encontrada)"))</f>
        <v/>
      </c>
      <c r="F46" s="3">
        <f>IF($A46="","",IF(ISNA(MATCH($A46,'ORDENES'!$AN$4:$AN$1203,0)),"huérfano",IF(COUNTIF($A$4:$A46,$A46)&gt;1,"duplicado (se ignora)","aplicado")))</f>
        <v/>
      </c>
      <c r="G46" s="16">
        <f>IF($F46&lt;&gt;"aplicado","",IF(IFERROR(INDEX('ORDENES'!$K$4:$K$1203,MATCH($A46,'ORDENES'!$AN$4:$AN$1203,0)),"")="","",$B46-IFERROR(INDEX('ORDENES'!$K$4:$K$1203,MATCH($A46,'ORDENES'!$AN$4:$AN$1203,0)),"")))</f>
        <v/>
      </c>
    </row>
    <row r="47">
      <c r="A47" s="6" t="n"/>
      <c r="B47" s="14" t="n"/>
      <c r="C47" s="6" t="n"/>
      <c r="D47" s="15" t="n"/>
      <c r="E47" s="3">
        <f>IF($A47="","",IFERROR(INDEX('ORDENES'!$D$4:$D$1203,MATCH($A47,'ORDENES'!$AN$4:$AN$1203,0)),"(no encontrada)"))</f>
        <v/>
      </c>
      <c r="F47" s="3">
        <f>IF($A47="","",IF(ISNA(MATCH($A47,'ORDENES'!$AN$4:$AN$1203,0)),"huérfano",IF(COUNTIF($A$4:$A47,$A47)&gt;1,"duplicado (se ignora)","aplicado")))</f>
        <v/>
      </c>
      <c r="G47" s="16">
        <f>IF($F47&lt;&gt;"aplicado","",IF(IFERROR(INDEX('ORDENES'!$K$4:$K$1203,MATCH($A47,'ORDENES'!$AN$4:$AN$1203,0)),"")="","",$B47-IFERROR(INDEX('ORDENES'!$K$4:$K$1203,MATCH($A47,'ORDENES'!$AN$4:$AN$1203,0)),"")))</f>
        <v/>
      </c>
    </row>
    <row r="48">
      <c r="A48" s="6" t="n"/>
      <c r="B48" s="14" t="n"/>
      <c r="C48" s="6" t="n"/>
      <c r="D48" s="15" t="n"/>
      <c r="E48" s="3">
        <f>IF($A48="","",IFERROR(INDEX('ORDENES'!$D$4:$D$1203,MATCH($A48,'ORDENES'!$AN$4:$AN$1203,0)),"(no encontrada)"))</f>
        <v/>
      </c>
      <c r="F48" s="3">
        <f>IF($A48="","",IF(ISNA(MATCH($A48,'ORDENES'!$AN$4:$AN$1203,0)),"huérfano",IF(COUNTIF($A$4:$A48,$A48)&gt;1,"duplicado (se ignora)","aplicado")))</f>
        <v/>
      </c>
      <c r="G48" s="16">
        <f>IF($F48&lt;&gt;"aplicado","",IF(IFERROR(INDEX('ORDENES'!$K$4:$K$1203,MATCH($A48,'ORDENES'!$AN$4:$AN$1203,0)),"")="","",$B48-IFERROR(INDEX('ORDENES'!$K$4:$K$1203,MATCH($A48,'ORDENES'!$AN$4:$AN$1203,0)),"")))</f>
        <v/>
      </c>
    </row>
    <row r="49">
      <c r="A49" s="6" t="n"/>
      <c r="B49" s="14" t="n"/>
      <c r="C49" s="6" t="n"/>
      <c r="D49" s="15" t="n"/>
      <c r="E49" s="3">
        <f>IF($A49="","",IFERROR(INDEX('ORDENES'!$D$4:$D$1203,MATCH($A49,'ORDENES'!$AN$4:$AN$1203,0)),"(no encontrada)"))</f>
        <v/>
      </c>
      <c r="F49" s="3">
        <f>IF($A49="","",IF(ISNA(MATCH($A49,'ORDENES'!$AN$4:$AN$1203,0)),"huérfano",IF(COUNTIF($A$4:$A49,$A49)&gt;1,"duplicado (se ignora)","aplicado")))</f>
        <v/>
      </c>
      <c r="G49" s="16">
        <f>IF($F49&lt;&gt;"aplicado","",IF(IFERROR(INDEX('ORDENES'!$K$4:$K$1203,MATCH($A49,'ORDENES'!$AN$4:$AN$1203,0)),"")="","",$B49-IFERROR(INDEX('ORDENES'!$K$4:$K$1203,MATCH($A49,'ORDENES'!$AN$4:$AN$1203,0)),"")))</f>
        <v/>
      </c>
    </row>
    <row r="50">
      <c r="A50" s="6" t="n"/>
      <c r="B50" s="14" t="n"/>
      <c r="C50" s="6" t="n"/>
      <c r="D50" s="15" t="n"/>
      <c r="E50" s="3">
        <f>IF($A50="","",IFERROR(INDEX('ORDENES'!$D$4:$D$1203,MATCH($A50,'ORDENES'!$AN$4:$AN$1203,0)),"(no encontrada)"))</f>
        <v/>
      </c>
      <c r="F50" s="3">
        <f>IF($A50="","",IF(ISNA(MATCH($A50,'ORDENES'!$AN$4:$AN$1203,0)),"huérfano",IF(COUNTIF($A$4:$A50,$A50)&gt;1,"duplicado (se ignora)","aplicado")))</f>
        <v/>
      </c>
      <c r="G50" s="16">
        <f>IF($F50&lt;&gt;"aplicado","",IF(IFERROR(INDEX('ORDENES'!$K$4:$K$1203,MATCH($A50,'ORDENES'!$AN$4:$AN$1203,0)),"")="","",$B50-IFERROR(INDEX('ORDENES'!$K$4:$K$1203,MATCH($A50,'ORDENES'!$AN$4:$AN$1203,0)),"")))</f>
        <v/>
      </c>
    </row>
    <row r="51">
      <c r="A51" s="6" t="n"/>
      <c r="B51" s="14" t="n"/>
      <c r="C51" s="6" t="n"/>
      <c r="D51" s="15" t="n"/>
      <c r="E51" s="3">
        <f>IF($A51="","",IFERROR(INDEX('ORDENES'!$D$4:$D$1203,MATCH($A51,'ORDENES'!$AN$4:$AN$1203,0)),"(no encontrada)"))</f>
        <v/>
      </c>
      <c r="F51" s="3">
        <f>IF($A51="","",IF(ISNA(MATCH($A51,'ORDENES'!$AN$4:$AN$1203,0)),"huérfano",IF(COUNTIF($A$4:$A51,$A51)&gt;1,"duplicado (se ignora)","aplicado")))</f>
        <v/>
      </c>
      <c r="G51" s="16">
        <f>IF($F51&lt;&gt;"aplicado","",IF(IFERROR(INDEX('ORDENES'!$K$4:$K$1203,MATCH($A51,'ORDENES'!$AN$4:$AN$1203,0)),"")="","",$B51-IFERROR(INDEX('ORDENES'!$K$4:$K$1203,MATCH($A51,'ORDENES'!$AN$4:$AN$1203,0)),"")))</f>
        <v/>
      </c>
    </row>
    <row r="52">
      <c r="A52" s="6" t="n"/>
      <c r="B52" s="14" t="n"/>
      <c r="C52" s="6" t="n"/>
      <c r="D52" s="15" t="n"/>
      <c r="E52" s="3">
        <f>IF($A52="","",IFERROR(INDEX('ORDENES'!$D$4:$D$1203,MATCH($A52,'ORDENES'!$AN$4:$AN$1203,0)),"(no encontrada)"))</f>
        <v/>
      </c>
      <c r="F52" s="3">
        <f>IF($A52="","",IF(ISNA(MATCH($A52,'ORDENES'!$AN$4:$AN$1203,0)),"huérfano",IF(COUNTIF($A$4:$A52,$A52)&gt;1,"duplicado (se ignora)","aplicado")))</f>
        <v/>
      </c>
      <c r="G52" s="16">
        <f>IF($F52&lt;&gt;"aplicado","",IF(IFERROR(INDEX('ORDENES'!$K$4:$K$1203,MATCH($A52,'ORDENES'!$AN$4:$AN$1203,0)),"")="","",$B52-IFERROR(INDEX('ORDENES'!$K$4:$K$1203,MATCH($A52,'ORDENES'!$AN$4:$AN$1203,0)),"")))</f>
        <v/>
      </c>
    </row>
    <row r="53">
      <c r="A53" s="6" t="n"/>
      <c r="B53" s="14" t="n"/>
      <c r="C53" s="6" t="n"/>
      <c r="D53" s="15" t="n"/>
      <c r="E53" s="3">
        <f>IF($A53="","",IFERROR(INDEX('ORDENES'!$D$4:$D$1203,MATCH($A53,'ORDENES'!$AN$4:$AN$1203,0)),"(no encontrada)"))</f>
        <v/>
      </c>
      <c r="F53" s="3">
        <f>IF($A53="","",IF(ISNA(MATCH($A53,'ORDENES'!$AN$4:$AN$1203,0)),"huérfano",IF(COUNTIF($A$4:$A53,$A53)&gt;1,"duplicado (se ignora)","aplicado")))</f>
        <v/>
      </c>
      <c r="G53" s="16">
        <f>IF($F53&lt;&gt;"aplicado","",IF(IFERROR(INDEX('ORDENES'!$K$4:$K$1203,MATCH($A53,'ORDENES'!$AN$4:$AN$1203,0)),"")="","",$B53-IFERROR(INDEX('ORDENES'!$K$4:$K$1203,MATCH($A53,'ORDENES'!$AN$4:$AN$1203,0)),"")))</f>
        <v/>
      </c>
    </row>
    <row r="54">
      <c r="A54" s="6" t="n"/>
      <c r="B54" s="14" t="n"/>
      <c r="C54" s="6" t="n"/>
      <c r="D54" s="15" t="n"/>
      <c r="E54" s="3">
        <f>IF($A54="","",IFERROR(INDEX('ORDENES'!$D$4:$D$1203,MATCH($A54,'ORDENES'!$AN$4:$AN$1203,0)),"(no encontrada)"))</f>
        <v/>
      </c>
      <c r="F54" s="3">
        <f>IF($A54="","",IF(ISNA(MATCH($A54,'ORDENES'!$AN$4:$AN$1203,0)),"huérfano",IF(COUNTIF($A$4:$A54,$A54)&gt;1,"duplicado (se ignora)","aplicado")))</f>
        <v/>
      </c>
      <c r="G54" s="16">
        <f>IF($F54&lt;&gt;"aplicado","",IF(IFERROR(INDEX('ORDENES'!$K$4:$K$1203,MATCH($A54,'ORDENES'!$AN$4:$AN$1203,0)),"")="","",$B54-IFERROR(INDEX('ORDENES'!$K$4:$K$1203,MATCH($A54,'ORDENES'!$AN$4:$AN$1203,0)),"")))</f>
        <v/>
      </c>
    </row>
    <row r="55">
      <c r="A55" s="6" t="n"/>
      <c r="B55" s="14" t="n"/>
      <c r="C55" s="6" t="n"/>
      <c r="D55" s="15" t="n"/>
      <c r="E55" s="3">
        <f>IF($A55="","",IFERROR(INDEX('ORDENES'!$D$4:$D$1203,MATCH($A55,'ORDENES'!$AN$4:$AN$1203,0)),"(no encontrada)"))</f>
        <v/>
      </c>
      <c r="F55" s="3">
        <f>IF($A55="","",IF(ISNA(MATCH($A55,'ORDENES'!$AN$4:$AN$1203,0)),"huérfano",IF(COUNTIF($A$4:$A55,$A55)&gt;1,"duplicado (se ignora)","aplicado")))</f>
        <v/>
      </c>
      <c r="G55" s="16">
        <f>IF($F55&lt;&gt;"aplicado","",IF(IFERROR(INDEX('ORDENES'!$K$4:$K$1203,MATCH($A55,'ORDENES'!$AN$4:$AN$1203,0)),"")="","",$B55-IFERROR(INDEX('ORDENES'!$K$4:$K$1203,MATCH($A55,'ORDENES'!$AN$4:$AN$1203,0)),"")))</f>
        <v/>
      </c>
    </row>
    <row r="56">
      <c r="A56" s="6" t="n"/>
      <c r="B56" s="14" t="n"/>
      <c r="C56" s="6" t="n"/>
      <c r="D56" s="15" t="n"/>
      <c r="E56" s="3">
        <f>IF($A56="","",IFERROR(INDEX('ORDENES'!$D$4:$D$1203,MATCH($A56,'ORDENES'!$AN$4:$AN$1203,0)),"(no encontrada)"))</f>
        <v/>
      </c>
      <c r="F56" s="3">
        <f>IF($A56="","",IF(ISNA(MATCH($A56,'ORDENES'!$AN$4:$AN$1203,0)),"huérfano",IF(COUNTIF($A$4:$A56,$A56)&gt;1,"duplicado (se ignora)","aplicado")))</f>
        <v/>
      </c>
      <c r="G56" s="16">
        <f>IF($F56&lt;&gt;"aplicado","",IF(IFERROR(INDEX('ORDENES'!$K$4:$K$1203,MATCH($A56,'ORDENES'!$AN$4:$AN$1203,0)),"")="","",$B56-IFERROR(INDEX('ORDENES'!$K$4:$K$1203,MATCH($A56,'ORDENES'!$AN$4:$AN$1203,0)),"")))</f>
        <v/>
      </c>
    </row>
    <row r="57">
      <c r="A57" s="6" t="n"/>
      <c r="B57" s="14" t="n"/>
      <c r="C57" s="6" t="n"/>
      <c r="D57" s="15" t="n"/>
      <c r="E57" s="3">
        <f>IF($A57="","",IFERROR(INDEX('ORDENES'!$D$4:$D$1203,MATCH($A57,'ORDENES'!$AN$4:$AN$1203,0)),"(no encontrada)"))</f>
        <v/>
      </c>
      <c r="F57" s="3">
        <f>IF($A57="","",IF(ISNA(MATCH($A57,'ORDENES'!$AN$4:$AN$1203,0)),"huérfano",IF(COUNTIF($A$4:$A57,$A57)&gt;1,"duplicado (se ignora)","aplicado")))</f>
        <v/>
      </c>
      <c r="G57" s="16">
        <f>IF($F57&lt;&gt;"aplicado","",IF(IFERROR(INDEX('ORDENES'!$K$4:$K$1203,MATCH($A57,'ORDENES'!$AN$4:$AN$1203,0)),"")="","",$B57-IFERROR(INDEX('ORDENES'!$K$4:$K$1203,MATCH($A57,'ORDENES'!$AN$4:$AN$1203,0)),"")))</f>
        <v/>
      </c>
    </row>
    <row r="58">
      <c r="A58" s="6" t="n"/>
      <c r="B58" s="14" t="n"/>
      <c r="C58" s="6" t="n"/>
      <c r="D58" s="15" t="n"/>
      <c r="E58" s="3">
        <f>IF($A58="","",IFERROR(INDEX('ORDENES'!$D$4:$D$1203,MATCH($A58,'ORDENES'!$AN$4:$AN$1203,0)),"(no encontrada)"))</f>
        <v/>
      </c>
      <c r="F58" s="3">
        <f>IF($A58="","",IF(ISNA(MATCH($A58,'ORDENES'!$AN$4:$AN$1203,0)),"huérfano",IF(COUNTIF($A$4:$A58,$A58)&gt;1,"duplicado (se ignora)","aplicado")))</f>
        <v/>
      </c>
      <c r="G58" s="16">
        <f>IF($F58&lt;&gt;"aplicado","",IF(IFERROR(INDEX('ORDENES'!$K$4:$K$1203,MATCH($A58,'ORDENES'!$AN$4:$AN$1203,0)),"")="","",$B58-IFERROR(INDEX('ORDENES'!$K$4:$K$1203,MATCH($A58,'ORDENES'!$AN$4:$AN$1203,0)),"")))</f>
        <v/>
      </c>
    </row>
    <row r="59">
      <c r="A59" s="6" t="n"/>
      <c r="B59" s="14" t="n"/>
      <c r="C59" s="6" t="n"/>
      <c r="D59" s="15" t="n"/>
      <c r="E59" s="3">
        <f>IF($A59="","",IFERROR(INDEX('ORDENES'!$D$4:$D$1203,MATCH($A59,'ORDENES'!$AN$4:$AN$1203,0)),"(no encontrada)"))</f>
        <v/>
      </c>
      <c r="F59" s="3">
        <f>IF($A59="","",IF(ISNA(MATCH($A59,'ORDENES'!$AN$4:$AN$1203,0)),"huérfano",IF(COUNTIF($A$4:$A59,$A59)&gt;1,"duplicado (se ignora)","aplicado")))</f>
        <v/>
      </c>
      <c r="G59" s="16">
        <f>IF($F59&lt;&gt;"aplicado","",IF(IFERROR(INDEX('ORDENES'!$K$4:$K$1203,MATCH($A59,'ORDENES'!$AN$4:$AN$1203,0)),"")="","",$B59-IFERROR(INDEX('ORDENES'!$K$4:$K$1203,MATCH($A59,'ORDENES'!$AN$4:$AN$1203,0)),"")))</f>
        <v/>
      </c>
    </row>
    <row r="60">
      <c r="A60" s="6" t="n"/>
      <c r="B60" s="14" t="n"/>
      <c r="C60" s="6" t="n"/>
      <c r="D60" s="15" t="n"/>
      <c r="E60" s="3">
        <f>IF($A60="","",IFERROR(INDEX('ORDENES'!$D$4:$D$1203,MATCH($A60,'ORDENES'!$AN$4:$AN$1203,0)),"(no encontrada)"))</f>
        <v/>
      </c>
      <c r="F60" s="3">
        <f>IF($A60="","",IF(ISNA(MATCH($A60,'ORDENES'!$AN$4:$AN$1203,0)),"huérfano",IF(COUNTIF($A$4:$A60,$A60)&gt;1,"duplicado (se ignora)","aplicado")))</f>
        <v/>
      </c>
      <c r="G60" s="16">
        <f>IF($F60&lt;&gt;"aplicado","",IF(IFERROR(INDEX('ORDENES'!$K$4:$K$1203,MATCH($A60,'ORDENES'!$AN$4:$AN$1203,0)),"")="","",$B60-IFERROR(INDEX('ORDENES'!$K$4:$K$1203,MATCH($A60,'ORDENES'!$AN$4:$AN$1203,0)),"")))</f>
        <v/>
      </c>
    </row>
    <row r="61">
      <c r="A61" s="6" t="n"/>
      <c r="B61" s="14" t="n"/>
      <c r="C61" s="6" t="n"/>
      <c r="D61" s="15" t="n"/>
      <c r="E61" s="3">
        <f>IF($A61="","",IFERROR(INDEX('ORDENES'!$D$4:$D$1203,MATCH($A61,'ORDENES'!$AN$4:$AN$1203,0)),"(no encontrada)"))</f>
        <v/>
      </c>
      <c r="F61" s="3">
        <f>IF($A61="","",IF(ISNA(MATCH($A61,'ORDENES'!$AN$4:$AN$1203,0)),"huérfano",IF(COUNTIF($A$4:$A61,$A61)&gt;1,"duplicado (se ignora)","aplicado")))</f>
        <v/>
      </c>
      <c r="G61" s="16">
        <f>IF($F61&lt;&gt;"aplicado","",IF(IFERROR(INDEX('ORDENES'!$K$4:$K$1203,MATCH($A61,'ORDENES'!$AN$4:$AN$1203,0)),"")="","",$B61-IFERROR(INDEX('ORDENES'!$K$4:$K$1203,MATCH($A61,'ORDENES'!$AN$4:$AN$1203,0)),"")))</f>
        <v/>
      </c>
    </row>
    <row r="62">
      <c r="A62" s="6" t="n"/>
      <c r="B62" s="14" t="n"/>
      <c r="C62" s="6" t="n"/>
      <c r="D62" s="15" t="n"/>
      <c r="E62" s="3">
        <f>IF($A62="","",IFERROR(INDEX('ORDENES'!$D$4:$D$1203,MATCH($A62,'ORDENES'!$AN$4:$AN$1203,0)),"(no encontrada)"))</f>
        <v/>
      </c>
      <c r="F62" s="3">
        <f>IF($A62="","",IF(ISNA(MATCH($A62,'ORDENES'!$AN$4:$AN$1203,0)),"huérfano",IF(COUNTIF($A$4:$A62,$A62)&gt;1,"duplicado (se ignora)","aplicado")))</f>
        <v/>
      </c>
      <c r="G62" s="16">
        <f>IF($F62&lt;&gt;"aplicado","",IF(IFERROR(INDEX('ORDENES'!$K$4:$K$1203,MATCH($A62,'ORDENES'!$AN$4:$AN$1203,0)),"")="","",$B62-IFERROR(INDEX('ORDENES'!$K$4:$K$1203,MATCH($A62,'ORDENES'!$AN$4:$AN$1203,0)),"")))</f>
        <v/>
      </c>
    </row>
    <row r="63">
      <c r="A63" s="6" t="n"/>
      <c r="B63" s="14" t="n"/>
      <c r="C63" s="6" t="n"/>
      <c r="D63" s="15" t="n"/>
      <c r="E63" s="3">
        <f>IF($A63="","",IFERROR(INDEX('ORDENES'!$D$4:$D$1203,MATCH($A63,'ORDENES'!$AN$4:$AN$1203,0)),"(no encontrada)"))</f>
        <v/>
      </c>
      <c r="F63" s="3">
        <f>IF($A63="","",IF(ISNA(MATCH($A63,'ORDENES'!$AN$4:$AN$1203,0)),"huérfano",IF(COUNTIF($A$4:$A63,$A63)&gt;1,"duplicado (se ignora)","aplicado")))</f>
        <v/>
      </c>
      <c r="G63" s="16">
        <f>IF($F63&lt;&gt;"aplicado","",IF(IFERROR(INDEX('ORDENES'!$K$4:$K$1203,MATCH($A63,'ORDENES'!$AN$4:$AN$1203,0)),"")="","",$B63-IFERROR(INDEX('ORDENES'!$K$4:$K$1203,MATCH($A63,'ORDENES'!$AN$4:$AN$1203,0)),"")))</f>
        <v/>
      </c>
    </row>
    <row r="64">
      <c r="A64" s="6" t="n"/>
      <c r="B64" s="14" t="n"/>
      <c r="C64" s="6" t="n"/>
      <c r="D64" s="15" t="n"/>
      <c r="E64" s="3">
        <f>IF($A64="","",IFERROR(INDEX('ORDENES'!$D$4:$D$1203,MATCH($A64,'ORDENES'!$AN$4:$AN$1203,0)),"(no encontrada)"))</f>
        <v/>
      </c>
      <c r="F64" s="3">
        <f>IF($A64="","",IF(ISNA(MATCH($A64,'ORDENES'!$AN$4:$AN$1203,0)),"huérfano",IF(COUNTIF($A$4:$A64,$A64)&gt;1,"duplicado (se ignora)","aplicado")))</f>
        <v/>
      </c>
      <c r="G64" s="16">
        <f>IF($F64&lt;&gt;"aplicado","",IF(IFERROR(INDEX('ORDENES'!$K$4:$K$1203,MATCH($A64,'ORDENES'!$AN$4:$AN$1203,0)),"")="","",$B64-IFERROR(INDEX('ORDENES'!$K$4:$K$1203,MATCH($A64,'ORDENES'!$AN$4:$AN$1203,0)),"")))</f>
        <v/>
      </c>
    </row>
    <row r="65">
      <c r="A65" s="6" t="n"/>
      <c r="B65" s="14" t="n"/>
      <c r="C65" s="6" t="n"/>
      <c r="D65" s="15" t="n"/>
      <c r="E65" s="3">
        <f>IF($A65="","",IFERROR(INDEX('ORDENES'!$D$4:$D$1203,MATCH($A65,'ORDENES'!$AN$4:$AN$1203,0)),"(no encontrada)"))</f>
        <v/>
      </c>
      <c r="F65" s="3">
        <f>IF($A65="","",IF(ISNA(MATCH($A65,'ORDENES'!$AN$4:$AN$1203,0)),"huérfano",IF(COUNTIF($A$4:$A65,$A65)&gt;1,"duplicado (se ignora)","aplicado")))</f>
        <v/>
      </c>
      <c r="G65" s="16">
        <f>IF($F65&lt;&gt;"aplicado","",IF(IFERROR(INDEX('ORDENES'!$K$4:$K$1203,MATCH($A65,'ORDENES'!$AN$4:$AN$1203,0)),"")="","",$B65-IFERROR(INDEX('ORDENES'!$K$4:$K$1203,MATCH($A65,'ORDENES'!$AN$4:$AN$1203,0)),"")))</f>
        <v/>
      </c>
    </row>
    <row r="66">
      <c r="A66" s="6" t="n"/>
      <c r="B66" s="14" t="n"/>
      <c r="C66" s="6" t="n"/>
      <c r="D66" s="15" t="n"/>
      <c r="E66" s="3">
        <f>IF($A66="","",IFERROR(INDEX('ORDENES'!$D$4:$D$1203,MATCH($A66,'ORDENES'!$AN$4:$AN$1203,0)),"(no encontrada)"))</f>
        <v/>
      </c>
      <c r="F66" s="3">
        <f>IF($A66="","",IF(ISNA(MATCH($A66,'ORDENES'!$AN$4:$AN$1203,0)),"huérfano",IF(COUNTIF($A$4:$A66,$A66)&gt;1,"duplicado (se ignora)","aplicado")))</f>
        <v/>
      </c>
      <c r="G66" s="16">
        <f>IF($F66&lt;&gt;"aplicado","",IF(IFERROR(INDEX('ORDENES'!$K$4:$K$1203,MATCH($A66,'ORDENES'!$AN$4:$AN$1203,0)),"")="","",$B66-IFERROR(INDEX('ORDENES'!$K$4:$K$1203,MATCH($A66,'ORDENES'!$AN$4:$AN$1203,0)),"")))</f>
        <v/>
      </c>
    </row>
    <row r="67">
      <c r="A67" s="6" t="n"/>
      <c r="B67" s="14" t="n"/>
      <c r="C67" s="6" t="n"/>
      <c r="D67" s="15" t="n"/>
      <c r="E67" s="3">
        <f>IF($A67="","",IFERROR(INDEX('ORDENES'!$D$4:$D$1203,MATCH($A67,'ORDENES'!$AN$4:$AN$1203,0)),"(no encontrada)"))</f>
        <v/>
      </c>
      <c r="F67" s="3">
        <f>IF($A67="","",IF(ISNA(MATCH($A67,'ORDENES'!$AN$4:$AN$1203,0)),"huérfano",IF(COUNTIF($A$4:$A67,$A67)&gt;1,"duplicado (se ignora)","aplicado")))</f>
        <v/>
      </c>
      <c r="G67" s="16">
        <f>IF($F67&lt;&gt;"aplicado","",IF(IFERROR(INDEX('ORDENES'!$K$4:$K$1203,MATCH($A67,'ORDENES'!$AN$4:$AN$1203,0)),"")="","",$B67-IFERROR(INDEX('ORDENES'!$K$4:$K$1203,MATCH($A67,'ORDENES'!$AN$4:$AN$1203,0)),"")))</f>
        <v/>
      </c>
    </row>
    <row r="68">
      <c r="A68" s="6" t="n"/>
      <c r="B68" s="14" t="n"/>
      <c r="C68" s="6" t="n"/>
      <c r="D68" s="15" t="n"/>
      <c r="E68" s="3">
        <f>IF($A68="","",IFERROR(INDEX('ORDENES'!$D$4:$D$1203,MATCH($A68,'ORDENES'!$AN$4:$AN$1203,0)),"(no encontrada)"))</f>
        <v/>
      </c>
      <c r="F68" s="3">
        <f>IF($A68="","",IF(ISNA(MATCH($A68,'ORDENES'!$AN$4:$AN$1203,0)),"huérfano",IF(COUNTIF($A$4:$A68,$A68)&gt;1,"duplicado (se ignora)","aplicado")))</f>
        <v/>
      </c>
      <c r="G68" s="16">
        <f>IF($F68&lt;&gt;"aplicado","",IF(IFERROR(INDEX('ORDENES'!$K$4:$K$1203,MATCH($A68,'ORDENES'!$AN$4:$AN$1203,0)),"")="","",$B68-IFERROR(INDEX('ORDENES'!$K$4:$K$1203,MATCH($A68,'ORDENES'!$AN$4:$AN$1203,0)),"")))</f>
        <v/>
      </c>
    </row>
    <row r="69">
      <c r="A69" s="6" t="n"/>
      <c r="B69" s="14" t="n"/>
      <c r="C69" s="6" t="n"/>
      <c r="D69" s="15" t="n"/>
      <c r="E69" s="3">
        <f>IF($A69="","",IFERROR(INDEX('ORDENES'!$D$4:$D$1203,MATCH($A69,'ORDENES'!$AN$4:$AN$1203,0)),"(no encontrada)"))</f>
        <v/>
      </c>
      <c r="F69" s="3">
        <f>IF($A69="","",IF(ISNA(MATCH($A69,'ORDENES'!$AN$4:$AN$1203,0)),"huérfano",IF(COUNTIF($A$4:$A69,$A69)&gt;1,"duplicado (se ignora)","aplicado")))</f>
        <v/>
      </c>
      <c r="G69" s="16">
        <f>IF($F69&lt;&gt;"aplicado","",IF(IFERROR(INDEX('ORDENES'!$K$4:$K$1203,MATCH($A69,'ORDENES'!$AN$4:$AN$1203,0)),"")="","",$B69-IFERROR(INDEX('ORDENES'!$K$4:$K$1203,MATCH($A69,'ORDENES'!$AN$4:$AN$1203,0)),"")))</f>
        <v/>
      </c>
    </row>
    <row r="70">
      <c r="A70" s="6" t="n"/>
      <c r="B70" s="14" t="n"/>
      <c r="C70" s="6" t="n"/>
      <c r="D70" s="15" t="n"/>
      <c r="E70" s="3">
        <f>IF($A70="","",IFERROR(INDEX('ORDENES'!$D$4:$D$1203,MATCH($A70,'ORDENES'!$AN$4:$AN$1203,0)),"(no encontrada)"))</f>
        <v/>
      </c>
      <c r="F70" s="3">
        <f>IF($A70="","",IF(ISNA(MATCH($A70,'ORDENES'!$AN$4:$AN$1203,0)),"huérfano",IF(COUNTIF($A$4:$A70,$A70)&gt;1,"duplicado (se ignora)","aplicado")))</f>
        <v/>
      </c>
      <c r="G70" s="16">
        <f>IF($F70&lt;&gt;"aplicado","",IF(IFERROR(INDEX('ORDENES'!$K$4:$K$1203,MATCH($A70,'ORDENES'!$AN$4:$AN$1203,0)),"")="","",$B70-IFERROR(INDEX('ORDENES'!$K$4:$K$1203,MATCH($A70,'ORDENES'!$AN$4:$AN$1203,0)),"")))</f>
        <v/>
      </c>
    </row>
    <row r="71">
      <c r="A71" s="6" t="n"/>
      <c r="B71" s="14" t="n"/>
      <c r="C71" s="6" t="n"/>
      <c r="D71" s="15" t="n"/>
      <c r="E71" s="3">
        <f>IF($A71="","",IFERROR(INDEX('ORDENES'!$D$4:$D$1203,MATCH($A71,'ORDENES'!$AN$4:$AN$1203,0)),"(no encontrada)"))</f>
        <v/>
      </c>
      <c r="F71" s="3">
        <f>IF($A71="","",IF(ISNA(MATCH($A71,'ORDENES'!$AN$4:$AN$1203,0)),"huérfano",IF(COUNTIF($A$4:$A71,$A71)&gt;1,"duplicado (se ignora)","aplicado")))</f>
        <v/>
      </c>
      <c r="G71" s="16">
        <f>IF($F71&lt;&gt;"aplicado","",IF(IFERROR(INDEX('ORDENES'!$K$4:$K$1203,MATCH($A71,'ORDENES'!$AN$4:$AN$1203,0)),"")="","",$B71-IFERROR(INDEX('ORDENES'!$K$4:$K$1203,MATCH($A71,'ORDENES'!$AN$4:$AN$1203,0)),"")))</f>
        <v/>
      </c>
    </row>
    <row r="72">
      <c r="A72" s="6" t="n"/>
      <c r="B72" s="14" t="n"/>
      <c r="C72" s="6" t="n"/>
      <c r="D72" s="15" t="n"/>
      <c r="E72" s="3">
        <f>IF($A72="","",IFERROR(INDEX('ORDENES'!$D$4:$D$1203,MATCH($A72,'ORDENES'!$AN$4:$AN$1203,0)),"(no encontrada)"))</f>
        <v/>
      </c>
      <c r="F72" s="3">
        <f>IF($A72="","",IF(ISNA(MATCH($A72,'ORDENES'!$AN$4:$AN$1203,0)),"huérfano",IF(COUNTIF($A$4:$A72,$A72)&gt;1,"duplicado (se ignora)","aplicado")))</f>
        <v/>
      </c>
      <c r="G72" s="16">
        <f>IF($F72&lt;&gt;"aplicado","",IF(IFERROR(INDEX('ORDENES'!$K$4:$K$1203,MATCH($A72,'ORDENES'!$AN$4:$AN$1203,0)),"")="","",$B72-IFERROR(INDEX('ORDENES'!$K$4:$K$1203,MATCH($A72,'ORDENES'!$AN$4:$AN$1203,0)),"")))</f>
        <v/>
      </c>
    </row>
    <row r="73">
      <c r="A73" s="6" t="n"/>
      <c r="B73" s="14" t="n"/>
      <c r="C73" s="6" t="n"/>
      <c r="D73" s="15" t="n"/>
      <c r="E73" s="3">
        <f>IF($A73="","",IFERROR(INDEX('ORDENES'!$D$4:$D$1203,MATCH($A73,'ORDENES'!$AN$4:$AN$1203,0)),"(no encontrada)"))</f>
        <v/>
      </c>
      <c r="F73" s="3">
        <f>IF($A73="","",IF(ISNA(MATCH($A73,'ORDENES'!$AN$4:$AN$1203,0)),"huérfano",IF(COUNTIF($A$4:$A73,$A73)&gt;1,"duplicado (se ignora)","aplicado")))</f>
        <v/>
      </c>
      <c r="G73" s="16">
        <f>IF($F73&lt;&gt;"aplicado","",IF(IFERROR(INDEX('ORDENES'!$K$4:$K$1203,MATCH($A73,'ORDENES'!$AN$4:$AN$1203,0)),"")="","",$B73-IFERROR(INDEX('ORDENES'!$K$4:$K$1203,MATCH($A73,'ORDENES'!$AN$4:$AN$1203,0)),"")))</f>
        <v/>
      </c>
    </row>
    <row r="74">
      <c r="A74" s="6" t="n"/>
      <c r="B74" s="14" t="n"/>
      <c r="C74" s="6" t="n"/>
      <c r="D74" s="15" t="n"/>
      <c r="E74" s="3">
        <f>IF($A74="","",IFERROR(INDEX('ORDENES'!$D$4:$D$1203,MATCH($A74,'ORDENES'!$AN$4:$AN$1203,0)),"(no encontrada)"))</f>
        <v/>
      </c>
      <c r="F74" s="3">
        <f>IF($A74="","",IF(ISNA(MATCH($A74,'ORDENES'!$AN$4:$AN$1203,0)),"huérfano",IF(COUNTIF($A$4:$A74,$A74)&gt;1,"duplicado (se ignora)","aplicado")))</f>
        <v/>
      </c>
      <c r="G74" s="16">
        <f>IF($F74&lt;&gt;"aplicado","",IF(IFERROR(INDEX('ORDENES'!$K$4:$K$1203,MATCH($A74,'ORDENES'!$AN$4:$AN$1203,0)),"")="","",$B74-IFERROR(INDEX('ORDENES'!$K$4:$K$1203,MATCH($A74,'ORDENES'!$AN$4:$AN$1203,0)),"")))</f>
        <v/>
      </c>
    </row>
    <row r="75">
      <c r="A75" s="6" t="n"/>
      <c r="B75" s="14" t="n"/>
      <c r="C75" s="6" t="n"/>
      <c r="D75" s="15" t="n"/>
      <c r="E75" s="3">
        <f>IF($A75="","",IFERROR(INDEX('ORDENES'!$D$4:$D$1203,MATCH($A75,'ORDENES'!$AN$4:$AN$1203,0)),"(no encontrada)"))</f>
        <v/>
      </c>
      <c r="F75" s="3">
        <f>IF($A75="","",IF(ISNA(MATCH($A75,'ORDENES'!$AN$4:$AN$1203,0)),"huérfano",IF(COUNTIF($A$4:$A75,$A75)&gt;1,"duplicado (se ignora)","aplicado")))</f>
        <v/>
      </c>
      <c r="G75" s="16">
        <f>IF($F75&lt;&gt;"aplicado","",IF(IFERROR(INDEX('ORDENES'!$K$4:$K$1203,MATCH($A75,'ORDENES'!$AN$4:$AN$1203,0)),"")="","",$B75-IFERROR(INDEX('ORDENES'!$K$4:$K$1203,MATCH($A75,'ORDENES'!$AN$4:$AN$1203,0)),"")))</f>
        <v/>
      </c>
    </row>
    <row r="76">
      <c r="A76" s="6" t="n"/>
      <c r="B76" s="14" t="n"/>
      <c r="C76" s="6" t="n"/>
      <c r="D76" s="15" t="n"/>
      <c r="E76" s="3">
        <f>IF($A76="","",IFERROR(INDEX('ORDENES'!$D$4:$D$1203,MATCH($A76,'ORDENES'!$AN$4:$AN$1203,0)),"(no encontrada)"))</f>
        <v/>
      </c>
      <c r="F76" s="3">
        <f>IF($A76="","",IF(ISNA(MATCH($A76,'ORDENES'!$AN$4:$AN$1203,0)),"huérfano",IF(COUNTIF($A$4:$A76,$A76)&gt;1,"duplicado (se ignora)","aplicado")))</f>
        <v/>
      </c>
      <c r="G76" s="16">
        <f>IF($F76&lt;&gt;"aplicado","",IF(IFERROR(INDEX('ORDENES'!$K$4:$K$1203,MATCH($A76,'ORDENES'!$AN$4:$AN$1203,0)),"")="","",$B76-IFERROR(INDEX('ORDENES'!$K$4:$K$1203,MATCH($A76,'ORDENES'!$AN$4:$AN$1203,0)),"")))</f>
        <v/>
      </c>
    </row>
    <row r="77">
      <c r="A77" s="6" t="n"/>
      <c r="B77" s="14" t="n"/>
      <c r="C77" s="6" t="n"/>
      <c r="D77" s="15" t="n"/>
      <c r="E77" s="3">
        <f>IF($A77="","",IFERROR(INDEX('ORDENES'!$D$4:$D$1203,MATCH($A77,'ORDENES'!$AN$4:$AN$1203,0)),"(no encontrada)"))</f>
        <v/>
      </c>
      <c r="F77" s="3">
        <f>IF($A77="","",IF(ISNA(MATCH($A77,'ORDENES'!$AN$4:$AN$1203,0)),"huérfano",IF(COUNTIF($A$4:$A77,$A77)&gt;1,"duplicado (se ignora)","aplicado")))</f>
        <v/>
      </c>
      <c r="G77" s="16">
        <f>IF($F77&lt;&gt;"aplicado","",IF(IFERROR(INDEX('ORDENES'!$K$4:$K$1203,MATCH($A77,'ORDENES'!$AN$4:$AN$1203,0)),"")="","",$B77-IFERROR(INDEX('ORDENES'!$K$4:$K$1203,MATCH($A77,'ORDENES'!$AN$4:$AN$1203,0)),"")))</f>
        <v/>
      </c>
    </row>
    <row r="78">
      <c r="A78" s="6" t="n"/>
      <c r="B78" s="14" t="n"/>
      <c r="C78" s="6" t="n"/>
      <c r="D78" s="15" t="n"/>
      <c r="E78" s="3">
        <f>IF($A78="","",IFERROR(INDEX('ORDENES'!$D$4:$D$1203,MATCH($A78,'ORDENES'!$AN$4:$AN$1203,0)),"(no encontrada)"))</f>
        <v/>
      </c>
      <c r="F78" s="3">
        <f>IF($A78="","",IF(ISNA(MATCH($A78,'ORDENES'!$AN$4:$AN$1203,0)),"huérfano",IF(COUNTIF($A$4:$A78,$A78)&gt;1,"duplicado (se ignora)","aplicado")))</f>
        <v/>
      </c>
      <c r="G78" s="16">
        <f>IF($F78&lt;&gt;"aplicado","",IF(IFERROR(INDEX('ORDENES'!$K$4:$K$1203,MATCH($A78,'ORDENES'!$AN$4:$AN$1203,0)),"")="","",$B78-IFERROR(INDEX('ORDENES'!$K$4:$K$1203,MATCH($A78,'ORDENES'!$AN$4:$AN$1203,0)),"")))</f>
        <v/>
      </c>
    </row>
    <row r="79">
      <c r="A79" s="6" t="n"/>
      <c r="B79" s="14" t="n"/>
      <c r="C79" s="6" t="n"/>
      <c r="D79" s="15" t="n"/>
      <c r="E79" s="3">
        <f>IF($A79="","",IFERROR(INDEX('ORDENES'!$D$4:$D$1203,MATCH($A79,'ORDENES'!$AN$4:$AN$1203,0)),"(no encontrada)"))</f>
        <v/>
      </c>
      <c r="F79" s="3">
        <f>IF($A79="","",IF(ISNA(MATCH($A79,'ORDENES'!$AN$4:$AN$1203,0)),"huérfano",IF(COUNTIF($A$4:$A79,$A79)&gt;1,"duplicado (se ignora)","aplicado")))</f>
        <v/>
      </c>
      <c r="G79" s="16">
        <f>IF($F79&lt;&gt;"aplicado","",IF(IFERROR(INDEX('ORDENES'!$K$4:$K$1203,MATCH($A79,'ORDENES'!$AN$4:$AN$1203,0)),"")="","",$B79-IFERROR(INDEX('ORDENES'!$K$4:$K$1203,MATCH($A79,'ORDENES'!$AN$4:$AN$1203,0)),"")))</f>
        <v/>
      </c>
    </row>
    <row r="80">
      <c r="A80" s="6" t="n"/>
      <c r="B80" s="14" t="n"/>
      <c r="C80" s="6" t="n"/>
      <c r="D80" s="15" t="n"/>
      <c r="E80" s="3">
        <f>IF($A80="","",IFERROR(INDEX('ORDENES'!$D$4:$D$1203,MATCH($A80,'ORDENES'!$AN$4:$AN$1203,0)),"(no encontrada)"))</f>
        <v/>
      </c>
      <c r="F80" s="3">
        <f>IF($A80="","",IF(ISNA(MATCH($A80,'ORDENES'!$AN$4:$AN$1203,0)),"huérfano",IF(COUNTIF($A$4:$A80,$A80)&gt;1,"duplicado (se ignora)","aplicado")))</f>
        <v/>
      </c>
      <c r="G80" s="16">
        <f>IF($F80&lt;&gt;"aplicado","",IF(IFERROR(INDEX('ORDENES'!$K$4:$K$1203,MATCH($A80,'ORDENES'!$AN$4:$AN$1203,0)),"")="","",$B80-IFERROR(INDEX('ORDENES'!$K$4:$K$1203,MATCH($A80,'ORDENES'!$AN$4:$AN$1203,0)),"")))</f>
        <v/>
      </c>
    </row>
    <row r="81">
      <c r="A81" s="6" t="n"/>
      <c r="B81" s="14" t="n"/>
      <c r="C81" s="6" t="n"/>
      <c r="D81" s="15" t="n"/>
      <c r="E81" s="3">
        <f>IF($A81="","",IFERROR(INDEX('ORDENES'!$D$4:$D$1203,MATCH($A81,'ORDENES'!$AN$4:$AN$1203,0)),"(no encontrada)"))</f>
        <v/>
      </c>
      <c r="F81" s="3">
        <f>IF($A81="","",IF(ISNA(MATCH($A81,'ORDENES'!$AN$4:$AN$1203,0)),"huérfano",IF(COUNTIF($A$4:$A81,$A81)&gt;1,"duplicado (se ignora)","aplicado")))</f>
        <v/>
      </c>
      <c r="G81" s="16">
        <f>IF($F81&lt;&gt;"aplicado","",IF(IFERROR(INDEX('ORDENES'!$K$4:$K$1203,MATCH($A81,'ORDENES'!$AN$4:$AN$1203,0)),"")="","",$B81-IFERROR(INDEX('ORDENES'!$K$4:$K$1203,MATCH($A81,'ORDENES'!$AN$4:$AN$1203,0)),"")))</f>
        <v/>
      </c>
    </row>
    <row r="82">
      <c r="A82" s="6" t="n"/>
      <c r="B82" s="14" t="n"/>
      <c r="C82" s="6" t="n"/>
      <c r="D82" s="15" t="n"/>
      <c r="E82" s="3">
        <f>IF($A82="","",IFERROR(INDEX('ORDENES'!$D$4:$D$1203,MATCH($A82,'ORDENES'!$AN$4:$AN$1203,0)),"(no encontrada)"))</f>
        <v/>
      </c>
      <c r="F82" s="3">
        <f>IF($A82="","",IF(ISNA(MATCH($A82,'ORDENES'!$AN$4:$AN$1203,0)),"huérfano",IF(COUNTIF($A$4:$A82,$A82)&gt;1,"duplicado (se ignora)","aplicado")))</f>
        <v/>
      </c>
      <c r="G82" s="16">
        <f>IF($F82&lt;&gt;"aplicado","",IF(IFERROR(INDEX('ORDENES'!$K$4:$K$1203,MATCH($A82,'ORDENES'!$AN$4:$AN$1203,0)),"")="","",$B82-IFERROR(INDEX('ORDENES'!$K$4:$K$1203,MATCH($A82,'ORDENES'!$AN$4:$AN$1203,0)),"")))</f>
        <v/>
      </c>
    </row>
    <row r="83">
      <c r="A83" s="6" t="n"/>
      <c r="B83" s="14" t="n"/>
      <c r="C83" s="6" t="n"/>
      <c r="D83" s="15" t="n"/>
      <c r="E83" s="3">
        <f>IF($A83="","",IFERROR(INDEX('ORDENES'!$D$4:$D$1203,MATCH($A83,'ORDENES'!$AN$4:$AN$1203,0)),"(no encontrada)"))</f>
        <v/>
      </c>
      <c r="F83" s="3">
        <f>IF($A83="","",IF(ISNA(MATCH($A83,'ORDENES'!$AN$4:$AN$1203,0)),"huérfano",IF(COUNTIF($A$4:$A83,$A83)&gt;1,"duplicado (se ignora)","aplicado")))</f>
        <v/>
      </c>
      <c r="G83" s="16">
        <f>IF($F83&lt;&gt;"aplicado","",IF(IFERROR(INDEX('ORDENES'!$K$4:$K$1203,MATCH($A83,'ORDENES'!$AN$4:$AN$1203,0)),"")="","",$B83-IFERROR(INDEX('ORDENES'!$K$4:$K$1203,MATCH($A83,'ORDENES'!$AN$4:$AN$1203,0)),"")))</f>
        <v/>
      </c>
    </row>
    <row r="84">
      <c r="A84" s="6" t="n"/>
      <c r="B84" s="14" t="n"/>
      <c r="C84" s="6" t="n"/>
      <c r="D84" s="15" t="n"/>
      <c r="E84" s="3">
        <f>IF($A84="","",IFERROR(INDEX('ORDENES'!$D$4:$D$1203,MATCH($A84,'ORDENES'!$AN$4:$AN$1203,0)),"(no encontrada)"))</f>
        <v/>
      </c>
      <c r="F84" s="3">
        <f>IF($A84="","",IF(ISNA(MATCH($A84,'ORDENES'!$AN$4:$AN$1203,0)),"huérfano",IF(COUNTIF($A$4:$A84,$A84)&gt;1,"duplicado (se ignora)","aplicado")))</f>
        <v/>
      </c>
      <c r="G84" s="16">
        <f>IF($F84&lt;&gt;"aplicado","",IF(IFERROR(INDEX('ORDENES'!$K$4:$K$1203,MATCH($A84,'ORDENES'!$AN$4:$AN$1203,0)),"")="","",$B84-IFERROR(INDEX('ORDENES'!$K$4:$K$1203,MATCH($A84,'ORDENES'!$AN$4:$AN$1203,0)),"")))</f>
        <v/>
      </c>
    </row>
    <row r="85">
      <c r="A85" s="6" t="n"/>
      <c r="B85" s="14" t="n"/>
      <c r="C85" s="6" t="n"/>
      <c r="D85" s="15" t="n"/>
      <c r="E85" s="3">
        <f>IF($A85="","",IFERROR(INDEX('ORDENES'!$D$4:$D$1203,MATCH($A85,'ORDENES'!$AN$4:$AN$1203,0)),"(no encontrada)"))</f>
        <v/>
      </c>
      <c r="F85" s="3">
        <f>IF($A85="","",IF(ISNA(MATCH($A85,'ORDENES'!$AN$4:$AN$1203,0)),"huérfano",IF(COUNTIF($A$4:$A85,$A85)&gt;1,"duplicado (se ignora)","aplicado")))</f>
        <v/>
      </c>
      <c r="G85" s="16">
        <f>IF($F85&lt;&gt;"aplicado","",IF(IFERROR(INDEX('ORDENES'!$K$4:$K$1203,MATCH($A85,'ORDENES'!$AN$4:$AN$1203,0)),"")="","",$B85-IFERROR(INDEX('ORDENES'!$K$4:$K$1203,MATCH($A85,'ORDENES'!$AN$4:$AN$1203,0)),"")))</f>
        <v/>
      </c>
    </row>
    <row r="86">
      <c r="A86" s="6" t="n"/>
      <c r="B86" s="14" t="n"/>
      <c r="C86" s="6" t="n"/>
      <c r="D86" s="15" t="n"/>
      <c r="E86" s="3">
        <f>IF($A86="","",IFERROR(INDEX('ORDENES'!$D$4:$D$1203,MATCH($A86,'ORDENES'!$AN$4:$AN$1203,0)),"(no encontrada)"))</f>
        <v/>
      </c>
      <c r="F86" s="3">
        <f>IF($A86="","",IF(ISNA(MATCH($A86,'ORDENES'!$AN$4:$AN$1203,0)),"huérfano",IF(COUNTIF($A$4:$A86,$A86)&gt;1,"duplicado (se ignora)","aplicado")))</f>
        <v/>
      </c>
      <c r="G86" s="16">
        <f>IF($F86&lt;&gt;"aplicado","",IF(IFERROR(INDEX('ORDENES'!$K$4:$K$1203,MATCH($A86,'ORDENES'!$AN$4:$AN$1203,0)),"")="","",$B86-IFERROR(INDEX('ORDENES'!$K$4:$K$1203,MATCH($A86,'ORDENES'!$AN$4:$AN$1203,0)),"")))</f>
        <v/>
      </c>
    </row>
    <row r="87">
      <c r="A87" s="6" t="n"/>
      <c r="B87" s="14" t="n"/>
      <c r="C87" s="6" t="n"/>
      <c r="D87" s="15" t="n"/>
      <c r="E87" s="3">
        <f>IF($A87="","",IFERROR(INDEX('ORDENES'!$D$4:$D$1203,MATCH($A87,'ORDENES'!$AN$4:$AN$1203,0)),"(no encontrada)"))</f>
        <v/>
      </c>
      <c r="F87" s="3">
        <f>IF($A87="","",IF(ISNA(MATCH($A87,'ORDENES'!$AN$4:$AN$1203,0)),"huérfano",IF(COUNTIF($A$4:$A87,$A87)&gt;1,"duplicado (se ignora)","aplicado")))</f>
        <v/>
      </c>
      <c r="G87" s="16">
        <f>IF($F87&lt;&gt;"aplicado","",IF(IFERROR(INDEX('ORDENES'!$K$4:$K$1203,MATCH($A87,'ORDENES'!$AN$4:$AN$1203,0)),"")="","",$B87-IFERROR(INDEX('ORDENES'!$K$4:$K$1203,MATCH($A87,'ORDENES'!$AN$4:$AN$1203,0)),"")))</f>
        <v/>
      </c>
    </row>
    <row r="88">
      <c r="A88" s="6" t="n"/>
      <c r="B88" s="14" t="n"/>
      <c r="C88" s="6" t="n"/>
      <c r="D88" s="15" t="n"/>
      <c r="E88" s="3">
        <f>IF($A88="","",IFERROR(INDEX('ORDENES'!$D$4:$D$1203,MATCH($A88,'ORDENES'!$AN$4:$AN$1203,0)),"(no encontrada)"))</f>
        <v/>
      </c>
      <c r="F88" s="3">
        <f>IF($A88="","",IF(ISNA(MATCH($A88,'ORDENES'!$AN$4:$AN$1203,0)),"huérfano",IF(COUNTIF($A$4:$A88,$A88)&gt;1,"duplicado (se ignora)","aplicado")))</f>
        <v/>
      </c>
      <c r="G88" s="16">
        <f>IF($F88&lt;&gt;"aplicado","",IF(IFERROR(INDEX('ORDENES'!$K$4:$K$1203,MATCH($A88,'ORDENES'!$AN$4:$AN$1203,0)),"")="","",$B88-IFERROR(INDEX('ORDENES'!$K$4:$K$1203,MATCH($A88,'ORDENES'!$AN$4:$AN$1203,0)),"")))</f>
        <v/>
      </c>
    </row>
    <row r="89">
      <c r="A89" s="6" t="n"/>
      <c r="B89" s="14" t="n"/>
      <c r="C89" s="6" t="n"/>
      <c r="D89" s="15" t="n"/>
      <c r="E89" s="3">
        <f>IF($A89="","",IFERROR(INDEX('ORDENES'!$D$4:$D$1203,MATCH($A89,'ORDENES'!$AN$4:$AN$1203,0)),"(no encontrada)"))</f>
        <v/>
      </c>
      <c r="F89" s="3">
        <f>IF($A89="","",IF(ISNA(MATCH($A89,'ORDENES'!$AN$4:$AN$1203,0)),"huérfano",IF(COUNTIF($A$4:$A89,$A89)&gt;1,"duplicado (se ignora)","aplicado")))</f>
        <v/>
      </c>
      <c r="G89" s="16">
        <f>IF($F89&lt;&gt;"aplicado","",IF(IFERROR(INDEX('ORDENES'!$K$4:$K$1203,MATCH($A89,'ORDENES'!$AN$4:$AN$1203,0)),"")="","",$B89-IFERROR(INDEX('ORDENES'!$K$4:$K$1203,MATCH($A89,'ORDENES'!$AN$4:$AN$1203,0)),"")))</f>
        <v/>
      </c>
    </row>
    <row r="90">
      <c r="A90" s="6" t="n"/>
      <c r="B90" s="14" t="n"/>
      <c r="C90" s="6" t="n"/>
      <c r="D90" s="15" t="n"/>
      <c r="E90" s="3">
        <f>IF($A90="","",IFERROR(INDEX('ORDENES'!$D$4:$D$1203,MATCH($A90,'ORDENES'!$AN$4:$AN$1203,0)),"(no encontrada)"))</f>
        <v/>
      </c>
      <c r="F90" s="3">
        <f>IF($A90="","",IF(ISNA(MATCH($A90,'ORDENES'!$AN$4:$AN$1203,0)),"huérfano",IF(COUNTIF($A$4:$A90,$A90)&gt;1,"duplicado (se ignora)","aplicado")))</f>
        <v/>
      </c>
      <c r="G90" s="16">
        <f>IF($F90&lt;&gt;"aplicado","",IF(IFERROR(INDEX('ORDENES'!$K$4:$K$1203,MATCH($A90,'ORDENES'!$AN$4:$AN$1203,0)),"")="","",$B90-IFERROR(INDEX('ORDENES'!$K$4:$K$1203,MATCH($A90,'ORDENES'!$AN$4:$AN$1203,0)),"")))</f>
        <v/>
      </c>
    </row>
    <row r="91">
      <c r="A91" s="6" t="n"/>
      <c r="B91" s="14" t="n"/>
      <c r="C91" s="6" t="n"/>
      <c r="D91" s="15" t="n"/>
      <c r="E91" s="3">
        <f>IF($A91="","",IFERROR(INDEX('ORDENES'!$D$4:$D$1203,MATCH($A91,'ORDENES'!$AN$4:$AN$1203,0)),"(no encontrada)"))</f>
        <v/>
      </c>
      <c r="F91" s="3">
        <f>IF($A91="","",IF(ISNA(MATCH($A91,'ORDENES'!$AN$4:$AN$1203,0)),"huérfano",IF(COUNTIF($A$4:$A91,$A91)&gt;1,"duplicado (se ignora)","aplicado")))</f>
        <v/>
      </c>
      <c r="G91" s="16">
        <f>IF($F91&lt;&gt;"aplicado","",IF(IFERROR(INDEX('ORDENES'!$K$4:$K$1203,MATCH($A91,'ORDENES'!$AN$4:$AN$1203,0)),"")="","",$B91-IFERROR(INDEX('ORDENES'!$K$4:$K$1203,MATCH($A91,'ORDENES'!$AN$4:$AN$1203,0)),"")))</f>
        <v/>
      </c>
    </row>
    <row r="92">
      <c r="A92" s="6" t="n"/>
      <c r="B92" s="14" t="n"/>
      <c r="C92" s="6" t="n"/>
      <c r="D92" s="15" t="n"/>
      <c r="E92" s="3">
        <f>IF($A92="","",IFERROR(INDEX('ORDENES'!$D$4:$D$1203,MATCH($A92,'ORDENES'!$AN$4:$AN$1203,0)),"(no encontrada)"))</f>
        <v/>
      </c>
      <c r="F92" s="3">
        <f>IF($A92="","",IF(ISNA(MATCH($A92,'ORDENES'!$AN$4:$AN$1203,0)),"huérfano",IF(COUNTIF($A$4:$A92,$A92)&gt;1,"duplicado (se ignora)","aplicado")))</f>
        <v/>
      </c>
      <c r="G92" s="16">
        <f>IF($F92&lt;&gt;"aplicado","",IF(IFERROR(INDEX('ORDENES'!$K$4:$K$1203,MATCH($A92,'ORDENES'!$AN$4:$AN$1203,0)),"")="","",$B92-IFERROR(INDEX('ORDENES'!$K$4:$K$1203,MATCH($A92,'ORDENES'!$AN$4:$AN$1203,0)),"")))</f>
        <v/>
      </c>
    </row>
    <row r="93">
      <c r="A93" s="6" t="n"/>
      <c r="B93" s="14" t="n"/>
      <c r="C93" s="6" t="n"/>
      <c r="D93" s="15" t="n"/>
      <c r="E93" s="3">
        <f>IF($A93="","",IFERROR(INDEX('ORDENES'!$D$4:$D$1203,MATCH($A93,'ORDENES'!$AN$4:$AN$1203,0)),"(no encontrada)"))</f>
        <v/>
      </c>
      <c r="F93" s="3">
        <f>IF($A93="","",IF(ISNA(MATCH($A93,'ORDENES'!$AN$4:$AN$1203,0)),"huérfano",IF(COUNTIF($A$4:$A93,$A93)&gt;1,"duplicado (se ignora)","aplicado")))</f>
        <v/>
      </c>
      <c r="G93" s="16">
        <f>IF($F93&lt;&gt;"aplicado","",IF(IFERROR(INDEX('ORDENES'!$K$4:$K$1203,MATCH($A93,'ORDENES'!$AN$4:$AN$1203,0)),"")="","",$B93-IFERROR(INDEX('ORDENES'!$K$4:$K$1203,MATCH($A93,'ORDENES'!$AN$4:$AN$1203,0)),"")))</f>
        <v/>
      </c>
    </row>
    <row r="94">
      <c r="A94" s="6" t="n"/>
      <c r="B94" s="14" t="n"/>
      <c r="C94" s="6" t="n"/>
      <c r="D94" s="15" t="n"/>
      <c r="E94" s="3">
        <f>IF($A94="","",IFERROR(INDEX('ORDENES'!$D$4:$D$1203,MATCH($A94,'ORDENES'!$AN$4:$AN$1203,0)),"(no encontrada)"))</f>
        <v/>
      </c>
      <c r="F94" s="3">
        <f>IF($A94="","",IF(ISNA(MATCH($A94,'ORDENES'!$AN$4:$AN$1203,0)),"huérfano",IF(COUNTIF($A$4:$A94,$A94)&gt;1,"duplicado (se ignora)","aplicado")))</f>
        <v/>
      </c>
      <c r="G94" s="16">
        <f>IF($F94&lt;&gt;"aplicado","",IF(IFERROR(INDEX('ORDENES'!$K$4:$K$1203,MATCH($A94,'ORDENES'!$AN$4:$AN$1203,0)),"")="","",$B94-IFERROR(INDEX('ORDENES'!$K$4:$K$1203,MATCH($A94,'ORDENES'!$AN$4:$AN$1203,0)),"")))</f>
        <v/>
      </c>
    </row>
    <row r="95">
      <c r="A95" s="6" t="n"/>
      <c r="B95" s="14" t="n"/>
      <c r="C95" s="6" t="n"/>
      <c r="D95" s="15" t="n"/>
      <c r="E95" s="3">
        <f>IF($A95="","",IFERROR(INDEX('ORDENES'!$D$4:$D$1203,MATCH($A95,'ORDENES'!$AN$4:$AN$1203,0)),"(no encontrada)"))</f>
        <v/>
      </c>
      <c r="F95" s="3">
        <f>IF($A95="","",IF(ISNA(MATCH($A95,'ORDENES'!$AN$4:$AN$1203,0)),"huérfano",IF(COUNTIF($A$4:$A95,$A95)&gt;1,"duplicado (se ignora)","aplicado")))</f>
        <v/>
      </c>
      <c r="G95" s="16">
        <f>IF($F95&lt;&gt;"aplicado","",IF(IFERROR(INDEX('ORDENES'!$K$4:$K$1203,MATCH($A95,'ORDENES'!$AN$4:$AN$1203,0)),"")="","",$B95-IFERROR(INDEX('ORDENES'!$K$4:$K$1203,MATCH($A95,'ORDENES'!$AN$4:$AN$1203,0)),"")))</f>
        <v/>
      </c>
    </row>
    <row r="96">
      <c r="A96" s="6" t="n"/>
      <c r="B96" s="14" t="n"/>
      <c r="C96" s="6" t="n"/>
      <c r="D96" s="15" t="n"/>
      <c r="E96" s="3">
        <f>IF($A96="","",IFERROR(INDEX('ORDENES'!$D$4:$D$1203,MATCH($A96,'ORDENES'!$AN$4:$AN$1203,0)),"(no encontrada)"))</f>
        <v/>
      </c>
      <c r="F96" s="3">
        <f>IF($A96="","",IF(ISNA(MATCH($A96,'ORDENES'!$AN$4:$AN$1203,0)),"huérfano",IF(COUNTIF($A$4:$A96,$A96)&gt;1,"duplicado (se ignora)","aplicado")))</f>
        <v/>
      </c>
      <c r="G96" s="16">
        <f>IF($F96&lt;&gt;"aplicado","",IF(IFERROR(INDEX('ORDENES'!$K$4:$K$1203,MATCH($A96,'ORDENES'!$AN$4:$AN$1203,0)),"")="","",$B96-IFERROR(INDEX('ORDENES'!$K$4:$K$1203,MATCH($A96,'ORDENES'!$AN$4:$AN$1203,0)),"")))</f>
        <v/>
      </c>
    </row>
    <row r="97">
      <c r="A97" s="6" t="n"/>
      <c r="B97" s="14" t="n"/>
      <c r="C97" s="6" t="n"/>
      <c r="D97" s="15" t="n"/>
      <c r="E97" s="3">
        <f>IF($A97="","",IFERROR(INDEX('ORDENES'!$D$4:$D$1203,MATCH($A97,'ORDENES'!$AN$4:$AN$1203,0)),"(no encontrada)"))</f>
        <v/>
      </c>
      <c r="F97" s="3">
        <f>IF($A97="","",IF(ISNA(MATCH($A97,'ORDENES'!$AN$4:$AN$1203,0)),"huérfano",IF(COUNTIF($A$4:$A97,$A97)&gt;1,"duplicado (se ignora)","aplicado")))</f>
        <v/>
      </c>
      <c r="G97" s="16">
        <f>IF($F97&lt;&gt;"aplicado","",IF(IFERROR(INDEX('ORDENES'!$K$4:$K$1203,MATCH($A97,'ORDENES'!$AN$4:$AN$1203,0)),"")="","",$B97-IFERROR(INDEX('ORDENES'!$K$4:$K$1203,MATCH($A97,'ORDENES'!$AN$4:$AN$1203,0)),"")))</f>
        <v/>
      </c>
    </row>
    <row r="98">
      <c r="A98" s="6" t="n"/>
      <c r="B98" s="14" t="n"/>
      <c r="C98" s="6" t="n"/>
      <c r="D98" s="15" t="n"/>
      <c r="E98" s="3">
        <f>IF($A98="","",IFERROR(INDEX('ORDENES'!$D$4:$D$1203,MATCH($A98,'ORDENES'!$AN$4:$AN$1203,0)),"(no encontrada)"))</f>
        <v/>
      </c>
      <c r="F98" s="3">
        <f>IF($A98="","",IF(ISNA(MATCH($A98,'ORDENES'!$AN$4:$AN$1203,0)),"huérfano",IF(COUNTIF($A$4:$A98,$A98)&gt;1,"duplicado (se ignora)","aplicado")))</f>
        <v/>
      </c>
      <c r="G98" s="16">
        <f>IF($F98&lt;&gt;"aplicado","",IF(IFERROR(INDEX('ORDENES'!$K$4:$K$1203,MATCH($A98,'ORDENES'!$AN$4:$AN$1203,0)),"")="","",$B98-IFERROR(INDEX('ORDENES'!$K$4:$K$1203,MATCH($A98,'ORDENES'!$AN$4:$AN$1203,0)),"")))</f>
        <v/>
      </c>
    </row>
    <row r="99">
      <c r="A99" s="6" t="n"/>
      <c r="B99" s="14" t="n"/>
      <c r="C99" s="6" t="n"/>
      <c r="D99" s="15" t="n"/>
      <c r="E99" s="3">
        <f>IF($A99="","",IFERROR(INDEX('ORDENES'!$D$4:$D$1203,MATCH($A99,'ORDENES'!$AN$4:$AN$1203,0)),"(no encontrada)"))</f>
        <v/>
      </c>
      <c r="F99" s="3">
        <f>IF($A99="","",IF(ISNA(MATCH($A99,'ORDENES'!$AN$4:$AN$1203,0)),"huérfano",IF(COUNTIF($A$4:$A99,$A99)&gt;1,"duplicado (se ignora)","aplicado")))</f>
        <v/>
      </c>
      <c r="G99" s="16">
        <f>IF($F99&lt;&gt;"aplicado","",IF(IFERROR(INDEX('ORDENES'!$K$4:$K$1203,MATCH($A99,'ORDENES'!$AN$4:$AN$1203,0)),"")="","",$B99-IFERROR(INDEX('ORDENES'!$K$4:$K$1203,MATCH($A99,'ORDENES'!$AN$4:$AN$1203,0)),"")))</f>
        <v/>
      </c>
    </row>
    <row r="100">
      <c r="A100" s="6" t="n"/>
      <c r="B100" s="14" t="n"/>
      <c r="C100" s="6" t="n"/>
      <c r="D100" s="15" t="n"/>
      <c r="E100" s="3">
        <f>IF($A100="","",IFERROR(INDEX('ORDENES'!$D$4:$D$1203,MATCH($A100,'ORDENES'!$AN$4:$AN$1203,0)),"(no encontrada)"))</f>
        <v/>
      </c>
      <c r="F100" s="3">
        <f>IF($A100="","",IF(ISNA(MATCH($A100,'ORDENES'!$AN$4:$AN$1203,0)),"huérfano",IF(COUNTIF($A$4:$A100,$A100)&gt;1,"duplicado (se ignora)","aplicado")))</f>
        <v/>
      </c>
      <c r="G100" s="16">
        <f>IF($F100&lt;&gt;"aplicado","",IF(IFERROR(INDEX('ORDENES'!$K$4:$K$1203,MATCH($A100,'ORDENES'!$AN$4:$AN$1203,0)),"")="","",$B100-IFERROR(INDEX('ORDENES'!$K$4:$K$1203,MATCH($A100,'ORDENES'!$AN$4:$AN$1203,0)),"")))</f>
        <v/>
      </c>
    </row>
    <row r="101">
      <c r="A101" s="6" t="n"/>
      <c r="B101" s="14" t="n"/>
      <c r="C101" s="6" t="n"/>
      <c r="D101" s="15" t="n"/>
      <c r="E101" s="3">
        <f>IF($A101="","",IFERROR(INDEX('ORDENES'!$D$4:$D$1203,MATCH($A101,'ORDENES'!$AN$4:$AN$1203,0)),"(no encontrada)"))</f>
        <v/>
      </c>
      <c r="F101" s="3">
        <f>IF($A101="","",IF(ISNA(MATCH($A101,'ORDENES'!$AN$4:$AN$1203,0)),"huérfano",IF(COUNTIF($A$4:$A101,$A101)&gt;1,"duplicado (se ignora)","aplicado")))</f>
        <v/>
      </c>
      <c r="G101" s="16">
        <f>IF($F101&lt;&gt;"aplicado","",IF(IFERROR(INDEX('ORDENES'!$K$4:$K$1203,MATCH($A101,'ORDENES'!$AN$4:$AN$1203,0)),"")="","",$B101-IFERROR(INDEX('ORDENES'!$K$4:$K$1203,MATCH($A101,'ORDENES'!$AN$4:$AN$1203,0)),"")))</f>
        <v/>
      </c>
    </row>
    <row r="102">
      <c r="A102" s="6" t="n"/>
      <c r="B102" s="14" t="n"/>
      <c r="C102" s="6" t="n"/>
      <c r="D102" s="15" t="n"/>
      <c r="E102" s="3">
        <f>IF($A102="","",IFERROR(INDEX('ORDENES'!$D$4:$D$1203,MATCH($A102,'ORDENES'!$AN$4:$AN$1203,0)),"(no encontrada)"))</f>
        <v/>
      </c>
      <c r="F102" s="3">
        <f>IF($A102="","",IF(ISNA(MATCH($A102,'ORDENES'!$AN$4:$AN$1203,0)),"huérfano",IF(COUNTIF($A$4:$A102,$A102)&gt;1,"duplicado (se ignora)","aplicado")))</f>
        <v/>
      </c>
      <c r="G102" s="16">
        <f>IF($F102&lt;&gt;"aplicado","",IF(IFERROR(INDEX('ORDENES'!$K$4:$K$1203,MATCH($A102,'ORDENES'!$AN$4:$AN$1203,0)),"")="","",$B102-IFERROR(INDEX('ORDENES'!$K$4:$K$1203,MATCH($A102,'ORDENES'!$AN$4:$AN$1203,0)),"")))</f>
        <v/>
      </c>
    </row>
    <row r="103">
      <c r="A103" s="6" t="n"/>
      <c r="B103" s="14" t="n"/>
      <c r="C103" s="6" t="n"/>
      <c r="D103" s="15" t="n"/>
      <c r="E103" s="3">
        <f>IF($A103="","",IFERROR(INDEX('ORDENES'!$D$4:$D$1203,MATCH($A103,'ORDENES'!$AN$4:$AN$1203,0)),"(no encontrada)"))</f>
        <v/>
      </c>
      <c r="F103" s="3">
        <f>IF($A103="","",IF(ISNA(MATCH($A103,'ORDENES'!$AN$4:$AN$1203,0)),"huérfano",IF(COUNTIF($A$4:$A103,$A103)&gt;1,"duplicado (se ignora)","aplicado")))</f>
        <v/>
      </c>
      <c r="G103" s="16">
        <f>IF($F103&lt;&gt;"aplicado","",IF(IFERROR(INDEX('ORDENES'!$K$4:$K$1203,MATCH($A103,'ORDENES'!$AN$4:$AN$1203,0)),"")="","",$B103-IFERROR(INDEX('ORDENES'!$K$4:$K$1203,MATCH($A103,'ORDENES'!$AN$4:$AN$1203,0)),"")))</f>
        <v/>
      </c>
    </row>
    <row r="104">
      <c r="A104" s="6" t="n"/>
      <c r="B104" s="14" t="n"/>
      <c r="C104" s="6" t="n"/>
      <c r="D104" s="15" t="n"/>
      <c r="E104" s="3">
        <f>IF($A104="","",IFERROR(INDEX('ORDENES'!$D$4:$D$1203,MATCH($A104,'ORDENES'!$AN$4:$AN$1203,0)),"(no encontrada)"))</f>
        <v/>
      </c>
      <c r="F104" s="3">
        <f>IF($A104="","",IF(ISNA(MATCH($A104,'ORDENES'!$AN$4:$AN$1203,0)),"huérfano",IF(COUNTIF($A$4:$A104,$A104)&gt;1,"duplicado (se ignora)","aplicado")))</f>
        <v/>
      </c>
      <c r="G104" s="16">
        <f>IF($F104&lt;&gt;"aplicado","",IF(IFERROR(INDEX('ORDENES'!$K$4:$K$1203,MATCH($A104,'ORDENES'!$AN$4:$AN$1203,0)),"")="","",$B104-IFERROR(INDEX('ORDENES'!$K$4:$K$1203,MATCH($A104,'ORDENES'!$AN$4:$AN$1203,0)),"")))</f>
        <v/>
      </c>
    </row>
    <row r="105">
      <c r="A105" s="6" t="n"/>
      <c r="B105" s="14" t="n"/>
      <c r="C105" s="6" t="n"/>
      <c r="D105" s="15" t="n"/>
      <c r="E105" s="3">
        <f>IF($A105="","",IFERROR(INDEX('ORDENES'!$D$4:$D$1203,MATCH($A105,'ORDENES'!$AN$4:$AN$1203,0)),"(no encontrada)"))</f>
        <v/>
      </c>
      <c r="F105" s="3">
        <f>IF($A105="","",IF(ISNA(MATCH($A105,'ORDENES'!$AN$4:$AN$1203,0)),"huérfano",IF(COUNTIF($A$4:$A105,$A105)&gt;1,"duplicado (se ignora)","aplicado")))</f>
        <v/>
      </c>
      <c r="G105" s="16">
        <f>IF($F105&lt;&gt;"aplicado","",IF(IFERROR(INDEX('ORDENES'!$K$4:$K$1203,MATCH($A105,'ORDENES'!$AN$4:$AN$1203,0)),"")="","",$B105-IFERROR(INDEX('ORDENES'!$K$4:$K$1203,MATCH($A105,'ORDENES'!$AN$4:$AN$1203,0)),"")))</f>
        <v/>
      </c>
    </row>
    <row r="106">
      <c r="A106" s="6" t="n"/>
      <c r="B106" s="14" t="n"/>
      <c r="C106" s="6" t="n"/>
      <c r="D106" s="15" t="n"/>
      <c r="E106" s="3">
        <f>IF($A106="","",IFERROR(INDEX('ORDENES'!$D$4:$D$1203,MATCH($A106,'ORDENES'!$AN$4:$AN$1203,0)),"(no encontrada)"))</f>
        <v/>
      </c>
      <c r="F106" s="3">
        <f>IF($A106="","",IF(ISNA(MATCH($A106,'ORDENES'!$AN$4:$AN$1203,0)),"huérfano",IF(COUNTIF($A$4:$A106,$A106)&gt;1,"duplicado (se ignora)","aplicado")))</f>
        <v/>
      </c>
      <c r="G106" s="16">
        <f>IF($F106&lt;&gt;"aplicado","",IF(IFERROR(INDEX('ORDENES'!$K$4:$K$1203,MATCH($A106,'ORDENES'!$AN$4:$AN$1203,0)),"")="","",$B106-IFERROR(INDEX('ORDENES'!$K$4:$K$1203,MATCH($A106,'ORDENES'!$AN$4:$AN$1203,0)),"")))</f>
        <v/>
      </c>
    </row>
    <row r="107">
      <c r="A107" s="6" t="n"/>
      <c r="B107" s="14" t="n"/>
      <c r="C107" s="6" t="n"/>
      <c r="D107" s="15" t="n"/>
      <c r="E107" s="3">
        <f>IF($A107="","",IFERROR(INDEX('ORDENES'!$D$4:$D$1203,MATCH($A107,'ORDENES'!$AN$4:$AN$1203,0)),"(no encontrada)"))</f>
        <v/>
      </c>
      <c r="F107" s="3">
        <f>IF($A107="","",IF(ISNA(MATCH($A107,'ORDENES'!$AN$4:$AN$1203,0)),"huérfano",IF(COUNTIF($A$4:$A107,$A107)&gt;1,"duplicado (se ignora)","aplicado")))</f>
        <v/>
      </c>
      <c r="G107" s="16">
        <f>IF($F107&lt;&gt;"aplicado","",IF(IFERROR(INDEX('ORDENES'!$K$4:$K$1203,MATCH($A107,'ORDENES'!$AN$4:$AN$1203,0)),"")="","",$B107-IFERROR(INDEX('ORDENES'!$K$4:$K$1203,MATCH($A107,'ORDENES'!$AN$4:$AN$1203,0)),"")))</f>
        <v/>
      </c>
    </row>
    <row r="108">
      <c r="A108" s="6" t="n"/>
      <c r="B108" s="14" t="n"/>
      <c r="C108" s="6" t="n"/>
      <c r="D108" s="15" t="n"/>
      <c r="E108" s="3">
        <f>IF($A108="","",IFERROR(INDEX('ORDENES'!$D$4:$D$1203,MATCH($A108,'ORDENES'!$AN$4:$AN$1203,0)),"(no encontrada)"))</f>
        <v/>
      </c>
      <c r="F108" s="3">
        <f>IF($A108="","",IF(ISNA(MATCH($A108,'ORDENES'!$AN$4:$AN$1203,0)),"huérfano",IF(COUNTIF($A$4:$A108,$A108)&gt;1,"duplicado (se ignora)","aplicado")))</f>
        <v/>
      </c>
      <c r="G108" s="16">
        <f>IF($F108&lt;&gt;"aplicado","",IF(IFERROR(INDEX('ORDENES'!$K$4:$K$1203,MATCH($A108,'ORDENES'!$AN$4:$AN$1203,0)),"")="","",$B108-IFERROR(INDEX('ORDENES'!$K$4:$K$1203,MATCH($A108,'ORDENES'!$AN$4:$AN$1203,0)),"")))</f>
        <v/>
      </c>
    </row>
    <row r="109">
      <c r="A109" s="6" t="n"/>
      <c r="B109" s="14" t="n"/>
      <c r="C109" s="6" t="n"/>
      <c r="D109" s="15" t="n"/>
      <c r="E109" s="3">
        <f>IF($A109="","",IFERROR(INDEX('ORDENES'!$D$4:$D$1203,MATCH($A109,'ORDENES'!$AN$4:$AN$1203,0)),"(no encontrada)"))</f>
        <v/>
      </c>
      <c r="F109" s="3">
        <f>IF($A109="","",IF(ISNA(MATCH($A109,'ORDENES'!$AN$4:$AN$1203,0)),"huérfano",IF(COUNTIF($A$4:$A109,$A109)&gt;1,"duplicado (se ignora)","aplicado")))</f>
        <v/>
      </c>
      <c r="G109" s="16">
        <f>IF($F109&lt;&gt;"aplicado","",IF(IFERROR(INDEX('ORDENES'!$K$4:$K$1203,MATCH($A109,'ORDENES'!$AN$4:$AN$1203,0)),"")="","",$B109-IFERROR(INDEX('ORDENES'!$K$4:$K$1203,MATCH($A109,'ORDENES'!$AN$4:$AN$1203,0)),"")))</f>
        <v/>
      </c>
    </row>
    <row r="110">
      <c r="A110" s="6" t="n"/>
      <c r="B110" s="14" t="n"/>
      <c r="C110" s="6" t="n"/>
      <c r="D110" s="15" t="n"/>
      <c r="E110" s="3">
        <f>IF($A110="","",IFERROR(INDEX('ORDENES'!$D$4:$D$1203,MATCH($A110,'ORDENES'!$AN$4:$AN$1203,0)),"(no encontrada)"))</f>
        <v/>
      </c>
      <c r="F110" s="3">
        <f>IF($A110="","",IF(ISNA(MATCH($A110,'ORDENES'!$AN$4:$AN$1203,0)),"huérfano",IF(COUNTIF($A$4:$A110,$A110)&gt;1,"duplicado (se ignora)","aplicado")))</f>
        <v/>
      </c>
      <c r="G110" s="16">
        <f>IF($F110&lt;&gt;"aplicado","",IF(IFERROR(INDEX('ORDENES'!$K$4:$K$1203,MATCH($A110,'ORDENES'!$AN$4:$AN$1203,0)),"")="","",$B110-IFERROR(INDEX('ORDENES'!$K$4:$K$1203,MATCH($A110,'ORDENES'!$AN$4:$AN$1203,0)),"")))</f>
        <v/>
      </c>
    </row>
    <row r="111">
      <c r="A111" s="6" t="n"/>
      <c r="B111" s="14" t="n"/>
      <c r="C111" s="6" t="n"/>
      <c r="D111" s="15" t="n"/>
      <c r="E111" s="3">
        <f>IF($A111="","",IFERROR(INDEX('ORDENES'!$D$4:$D$1203,MATCH($A111,'ORDENES'!$AN$4:$AN$1203,0)),"(no encontrada)"))</f>
        <v/>
      </c>
      <c r="F111" s="3">
        <f>IF($A111="","",IF(ISNA(MATCH($A111,'ORDENES'!$AN$4:$AN$1203,0)),"huérfano",IF(COUNTIF($A$4:$A111,$A111)&gt;1,"duplicado (se ignora)","aplicado")))</f>
        <v/>
      </c>
      <c r="G111" s="16">
        <f>IF($F111&lt;&gt;"aplicado","",IF(IFERROR(INDEX('ORDENES'!$K$4:$K$1203,MATCH($A111,'ORDENES'!$AN$4:$AN$1203,0)),"")="","",$B111-IFERROR(INDEX('ORDENES'!$K$4:$K$1203,MATCH($A111,'ORDENES'!$AN$4:$AN$1203,0)),"")))</f>
        <v/>
      </c>
    </row>
    <row r="112">
      <c r="A112" s="6" t="n"/>
      <c r="B112" s="14" t="n"/>
      <c r="C112" s="6" t="n"/>
      <c r="D112" s="15" t="n"/>
      <c r="E112" s="3">
        <f>IF($A112="","",IFERROR(INDEX('ORDENES'!$D$4:$D$1203,MATCH($A112,'ORDENES'!$AN$4:$AN$1203,0)),"(no encontrada)"))</f>
        <v/>
      </c>
      <c r="F112" s="3">
        <f>IF($A112="","",IF(ISNA(MATCH($A112,'ORDENES'!$AN$4:$AN$1203,0)),"huérfano",IF(COUNTIF($A$4:$A112,$A112)&gt;1,"duplicado (se ignora)","aplicado")))</f>
        <v/>
      </c>
      <c r="G112" s="16">
        <f>IF($F112&lt;&gt;"aplicado","",IF(IFERROR(INDEX('ORDENES'!$K$4:$K$1203,MATCH($A112,'ORDENES'!$AN$4:$AN$1203,0)),"")="","",$B112-IFERROR(INDEX('ORDENES'!$K$4:$K$1203,MATCH($A112,'ORDENES'!$AN$4:$AN$1203,0)),"")))</f>
        <v/>
      </c>
    </row>
    <row r="113">
      <c r="A113" s="6" t="n"/>
      <c r="B113" s="14" t="n"/>
      <c r="C113" s="6" t="n"/>
      <c r="D113" s="15" t="n"/>
      <c r="E113" s="3">
        <f>IF($A113="","",IFERROR(INDEX('ORDENES'!$D$4:$D$1203,MATCH($A113,'ORDENES'!$AN$4:$AN$1203,0)),"(no encontrada)"))</f>
        <v/>
      </c>
      <c r="F113" s="3">
        <f>IF($A113="","",IF(ISNA(MATCH($A113,'ORDENES'!$AN$4:$AN$1203,0)),"huérfano",IF(COUNTIF($A$4:$A113,$A113)&gt;1,"duplicado (se ignora)","aplicado")))</f>
        <v/>
      </c>
      <c r="G113" s="16">
        <f>IF($F113&lt;&gt;"aplicado","",IF(IFERROR(INDEX('ORDENES'!$K$4:$K$1203,MATCH($A113,'ORDENES'!$AN$4:$AN$1203,0)),"")="","",$B113-IFERROR(INDEX('ORDENES'!$K$4:$K$1203,MATCH($A113,'ORDENES'!$AN$4:$AN$1203,0)),"")))</f>
        <v/>
      </c>
    </row>
    <row r="114">
      <c r="A114" s="6" t="n"/>
      <c r="B114" s="14" t="n"/>
      <c r="C114" s="6" t="n"/>
      <c r="D114" s="15" t="n"/>
      <c r="E114" s="3">
        <f>IF($A114="","",IFERROR(INDEX('ORDENES'!$D$4:$D$1203,MATCH($A114,'ORDENES'!$AN$4:$AN$1203,0)),"(no encontrada)"))</f>
        <v/>
      </c>
      <c r="F114" s="3">
        <f>IF($A114="","",IF(ISNA(MATCH($A114,'ORDENES'!$AN$4:$AN$1203,0)),"huérfano",IF(COUNTIF($A$4:$A114,$A114)&gt;1,"duplicado (se ignora)","aplicado")))</f>
        <v/>
      </c>
      <c r="G114" s="16">
        <f>IF($F114&lt;&gt;"aplicado","",IF(IFERROR(INDEX('ORDENES'!$K$4:$K$1203,MATCH($A114,'ORDENES'!$AN$4:$AN$1203,0)),"")="","",$B114-IFERROR(INDEX('ORDENES'!$K$4:$K$1203,MATCH($A114,'ORDENES'!$AN$4:$AN$1203,0)),"")))</f>
        <v/>
      </c>
    </row>
    <row r="115">
      <c r="A115" s="6" t="n"/>
      <c r="B115" s="14" t="n"/>
      <c r="C115" s="6" t="n"/>
      <c r="D115" s="15" t="n"/>
      <c r="E115" s="3">
        <f>IF($A115="","",IFERROR(INDEX('ORDENES'!$D$4:$D$1203,MATCH($A115,'ORDENES'!$AN$4:$AN$1203,0)),"(no encontrada)"))</f>
        <v/>
      </c>
      <c r="F115" s="3">
        <f>IF($A115="","",IF(ISNA(MATCH($A115,'ORDENES'!$AN$4:$AN$1203,0)),"huérfano",IF(COUNTIF($A$4:$A115,$A115)&gt;1,"duplicado (se ignora)","aplicado")))</f>
        <v/>
      </c>
      <c r="G115" s="16">
        <f>IF($F115&lt;&gt;"aplicado","",IF(IFERROR(INDEX('ORDENES'!$K$4:$K$1203,MATCH($A115,'ORDENES'!$AN$4:$AN$1203,0)),"")="","",$B115-IFERROR(INDEX('ORDENES'!$K$4:$K$1203,MATCH($A115,'ORDENES'!$AN$4:$AN$1203,0)),"")))</f>
        <v/>
      </c>
    </row>
    <row r="116">
      <c r="A116" s="6" t="n"/>
      <c r="B116" s="14" t="n"/>
      <c r="C116" s="6" t="n"/>
      <c r="D116" s="15" t="n"/>
      <c r="E116" s="3">
        <f>IF($A116="","",IFERROR(INDEX('ORDENES'!$D$4:$D$1203,MATCH($A116,'ORDENES'!$AN$4:$AN$1203,0)),"(no encontrada)"))</f>
        <v/>
      </c>
      <c r="F116" s="3">
        <f>IF($A116="","",IF(ISNA(MATCH($A116,'ORDENES'!$AN$4:$AN$1203,0)),"huérfano",IF(COUNTIF($A$4:$A116,$A116)&gt;1,"duplicado (se ignora)","aplicado")))</f>
        <v/>
      </c>
      <c r="G116" s="16">
        <f>IF($F116&lt;&gt;"aplicado","",IF(IFERROR(INDEX('ORDENES'!$K$4:$K$1203,MATCH($A116,'ORDENES'!$AN$4:$AN$1203,0)),"")="","",$B116-IFERROR(INDEX('ORDENES'!$K$4:$K$1203,MATCH($A116,'ORDENES'!$AN$4:$AN$1203,0)),"")))</f>
        <v/>
      </c>
    </row>
    <row r="117">
      <c r="A117" s="6" t="n"/>
      <c r="B117" s="14" t="n"/>
      <c r="C117" s="6" t="n"/>
      <c r="D117" s="15" t="n"/>
      <c r="E117" s="3">
        <f>IF($A117="","",IFERROR(INDEX('ORDENES'!$D$4:$D$1203,MATCH($A117,'ORDENES'!$AN$4:$AN$1203,0)),"(no encontrada)"))</f>
        <v/>
      </c>
      <c r="F117" s="3">
        <f>IF($A117="","",IF(ISNA(MATCH($A117,'ORDENES'!$AN$4:$AN$1203,0)),"huérfano",IF(COUNTIF($A$4:$A117,$A117)&gt;1,"duplicado (se ignora)","aplicado")))</f>
        <v/>
      </c>
      <c r="G117" s="16">
        <f>IF($F117&lt;&gt;"aplicado","",IF(IFERROR(INDEX('ORDENES'!$K$4:$K$1203,MATCH($A117,'ORDENES'!$AN$4:$AN$1203,0)),"")="","",$B117-IFERROR(INDEX('ORDENES'!$K$4:$K$1203,MATCH($A117,'ORDENES'!$AN$4:$AN$1203,0)),"")))</f>
        <v/>
      </c>
    </row>
    <row r="118">
      <c r="A118" s="6" t="n"/>
      <c r="B118" s="14" t="n"/>
      <c r="C118" s="6" t="n"/>
      <c r="D118" s="15" t="n"/>
      <c r="E118" s="3">
        <f>IF($A118="","",IFERROR(INDEX('ORDENES'!$D$4:$D$1203,MATCH($A118,'ORDENES'!$AN$4:$AN$1203,0)),"(no encontrada)"))</f>
        <v/>
      </c>
      <c r="F118" s="3">
        <f>IF($A118="","",IF(ISNA(MATCH($A118,'ORDENES'!$AN$4:$AN$1203,0)),"huérfano",IF(COUNTIF($A$4:$A118,$A118)&gt;1,"duplicado (se ignora)","aplicado")))</f>
        <v/>
      </c>
      <c r="G118" s="16">
        <f>IF($F118&lt;&gt;"aplicado","",IF(IFERROR(INDEX('ORDENES'!$K$4:$K$1203,MATCH($A118,'ORDENES'!$AN$4:$AN$1203,0)),"")="","",$B118-IFERROR(INDEX('ORDENES'!$K$4:$K$1203,MATCH($A118,'ORDENES'!$AN$4:$AN$1203,0)),"")))</f>
        <v/>
      </c>
    </row>
    <row r="119">
      <c r="A119" s="6" t="n"/>
      <c r="B119" s="14" t="n"/>
      <c r="C119" s="6" t="n"/>
      <c r="D119" s="15" t="n"/>
      <c r="E119" s="3">
        <f>IF($A119="","",IFERROR(INDEX('ORDENES'!$D$4:$D$1203,MATCH($A119,'ORDENES'!$AN$4:$AN$1203,0)),"(no encontrada)"))</f>
        <v/>
      </c>
      <c r="F119" s="3">
        <f>IF($A119="","",IF(ISNA(MATCH($A119,'ORDENES'!$AN$4:$AN$1203,0)),"huérfano",IF(COUNTIF($A$4:$A119,$A119)&gt;1,"duplicado (se ignora)","aplicado")))</f>
        <v/>
      </c>
      <c r="G119" s="16">
        <f>IF($F119&lt;&gt;"aplicado","",IF(IFERROR(INDEX('ORDENES'!$K$4:$K$1203,MATCH($A119,'ORDENES'!$AN$4:$AN$1203,0)),"")="","",$B119-IFERROR(INDEX('ORDENES'!$K$4:$K$1203,MATCH($A119,'ORDENES'!$AN$4:$AN$1203,0)),"")))</f>
        <v/>
      </c>
    </row>
    <row r="120">
      <c r="A120" s="6" t="n"/>
      <c r="B120" s="14" t="n"/>
      <c r="C120" s="6" t="n"/>
      <c r="D120" s="15" t="n"/>
      <c r="E120" s="3">
        <f>IF($A120="","",IFERROR(INDEX('ORDENES'!$D$4:$D$1203,MATCH($A120,'ORDENES'!$AN$4:$AN$1203,0)),"(no encontrada)"))</f>
        <v/>
      </c>
      <c r="F120" s="3">
        <f>IF($A120="","",IF(ISNA(MATCH($A120,'ORDENES'!$AN$4:$AN$1203,0)),"huérfano",IF(COUNTIF($A$4:$A120,$A120)&gt;1,"duplicado (se ignora)","aplicado")))</f>
        <v/>
      </c>
      <c r="G120" s="16">
        <f>IF($F120&lt;&gt;"aplicado","",IF(IFERROR(INDEX('ORDENES'!$K$4:$K$1203,MATCH($A120,'ORDENES'!$AN$4:$AN$1203,0)),"")="","",$B120-IFERROR(INDEX('ORDENES'!$K$4:$K$1203,MATCH($A120,'ORDENES'!$AN$4:$AN$1203,0)),"")))</f>
        <v/>
      </c>
    </row>
    <row r="121">
      <c r="A121" s="6" t="n"/>
      <c r="B121" s="14" t="n"/>
      <c r="C121" s="6" t="n"/>
      <c r="D121" s="15" t="n"/>
      <c r="E121" s="3">
        <f>IF($A121="","",IFERROR(INDEX('ORDENES'!$D$4:$D$1203,MATCH($A121,'ORDENES'!$AN$4:$AN$1203,0)),"(no encontrada)"))</f>
        <v/>
      </c>
      <c r="F121" s="3">
        <f>IF($A121="","",IF(ISNA(MATCH($A121,'ORDENES'!$AN$4:$AN$1203,0)),"huérfano",IF(COUNTIF($A$4:$A121,$A121)&gt;1,"duplicado (se ignora)","aplicado")))</f>
        <v/>
      </c>
      <c r="G121" s="16">
        <f>IF($F121&lt;&gt;"aplicado","",IF(IFERROR(INDEX('ORDENES'!$K$4:$K$1203,MATCH($A121,'ORDENES'!$AN$4:$AN$1203,0)),"")="","",$B121-IFERROR(INDEX('ORDENES'!$K$4:$K$1203,MATCH($A121,'ORDENES'!$AN$4:$AN$1203,0)),"")))</f>
        <v/>
      </c>
    </row>
    <row r="122">
      <c r="A122" s="6" t="n"/>
      <c r="B122" s="14" t="n"/>
      <c r="C122" s="6" t="n"/>
      <c r="D122" s="15" t="n"/>
      <c r="E122" s="3">
        <f>IF($A122="","",IFERROR(INDEX('ORDENES'!$D$4:$D$1203,MATCH($A122,'ORDENES'!$AN$4:$AN$1203,0)),"(no encontrada)"))</f>
        <v/>
      </c>
      <c r="F122" s="3">
        <f>IF($A122="","",IF(ISNA(MATCH($A122,'ORDENES'!$AN$4:$AN$1203,0)),"huérfano",IF(COUNTIF($A$4:$A122,$A122)&gt;1,"duplicado (se ignora)","aplicado")))</f>
        <v/>
      </c>
      <c r="G122" s="16">
        <f>IF($F122&lt;&gt;"aplicado","",IF(IFERROR(INDEX('ORDENES'!$K$4:$K$1203,MATCH($A122,'ORDENES'!$AN$4:$AN$1203,0)),"")="","",$B122-IFERROR(INDEX('ORDENES'!$K$4:$K$1203,MATCH($A122,'ORDENES'!$AN$4:$AN$1203,0)),"")))</f>
        <v/>
      </c>
    </row>
    <row r="123">
      <c r="A123" s="6" t="n"/>
      <c r="B123" s="14" t="n"/>
      <c r="C123" s="6" t="n"/>
      <c r="D123" s="15" t="n"/>
      <c r="E123" s="3">
        <f>IF($A123="","",IFERROR(INDEX('ORDENES'!$D$4:$D$1203,MATCH($A123,'ORDENES'!$AN$4:$AN$1203,0)),"(no encontrada)"))</f>
        <v/>
      </c>
      <c r="F123" s="3">
        <f>IF($A123="","",IF(ISNA(MATCH($A123,'ORDENES'!$AN$4:$AN$1203,0)),"huérfano",IF(COUNTIF($A$4:$A123,$A123)&gt;1,"duplicado (se ignora)","aplicado")))</f>
        <v/>
      </c>
      <c r="G123" s="16">
        <f>IF($F123&lt;&gt;"aplicado","",IF(IFERROR(INDEX('ORDENES'!$K$4:$K$1203,MATCH($A123,'ORDENES'!$AN$4:$AN$1203,0)),"")="","",$B123-IFERROR(INDEX('ORDENES'!$K$4:$K$1203,MATCH($A123,'ORDENES'!$AN$4:$AN$1203,0)),"")))</f>
        <v/>
      </c>
    </row>
    <row r="124">
      <c r="A124" s="6" t="n"/>
      <c r="B124" s="14" t="n"/>
      <c r="C124" s="6" t="n"/>
      <c r="D124" s="15" t="n"/>
      <c r="E124" s="3">
        <f>IF($A124="","",IFERROR(INDEX('ORDENES'!$D$4:$D$1203,MATCH($A124,'ORDENES'!$AN$4:$AN$1203,0)),"(no encontrada)"))</f>
        <v/>
      </c>
      <c r="F124" s="3">
        <f>IF($A124="","",IF(ISNA(MATCH($A124,'ORDENES'!$AN$4:$AN$1203,0)),"huérfano",IF(COUNTIF($A$4:$A124,$A124)&gt;1,"duplicado (se ignora)","aplicado")))</f>
        <v/>
      </c>
      <c r="G124" s="16">
        <f>IF($F124&lt;&gt;"aplicado","",IF(IFERROR(INDEX('ORDENES'!$K$4:$K$1203,MATCH($A124,'ORDENES'!$AN$4:$AN$1203,0)),"")="","",$B124-IFERROR(INDEX('ORDENES'!$K$4:$K$1203,MATCH($A124,'ORDENES'!$AN$4:$AN$1203,0)),"")))</f>
        <v/>
      </c>
    </row>
    <row r="125">
      <c r="A125" s="6" t="n"/>
      <c r="B125" s="14" t="n"/>
      <c r="C125" s="6" t="n"/>
      <c r="D125" s="15" t="n"/>
      <c r="E125" s="3">
        <f>IF($A125="","",IFERROR(INDEX('ORDENES'!$D$4:$D$1203,MATCH($A125,'ORDENES'!$AN$4:$AN$1203,0)),"(no encontrada)"))</f>
        <v/>
      </c>
      <c r="F125" s="3">
        <f>IF($A125="","",IF(ISNA(MATCH($A125,'ORDENES'!$AN$4:$AN$1203,0)),"huérfano",IF(COUNTIF($A$4:$A125,$A125)&gt;1,"duplicado (se ignora)","aplicado")))</f>
        <v/>
      </c>
      <c r="G125" s="16">
        <f>IF($F125&lt;&gt;"aplicado","",IF(IFERROR(INDEX('ORDENES'!$K$4:$K$1203,MATCH($A125,'ORDENES'!$AN$4:$AN$1203,0)),"")="","",$B125-IFERROR(INDEX('ORDENES'!$K$4:$K$1203,MATCH($A125,'ORDENES'!$AN$4:$AN$1203,0)),"")))</f>
        <v/>
      </c>
    </row>
    <row r="126">
      <c r="A126" s="6" t="n"/>
      <c r="B126" s="14" t="n"/>
      <c r="C126" s="6" t="n"/>
      <c r="D126" s="15" t="n"/>
      <c r="E126" s="3">
        <f>IF($A126="","",IFERROR(INDEX('ORDENES'!$D$4:$D$1203,MATCH($A126,'ORDENES'!$AN$4:$AN$1203,0)),"(no encontrada)"))</f>
        <v/>
      </c>
      <c r="F126" s="3">
        <f>IF($A126="","",IF(ISNA(MATCH($A126,'ORDENES'!$AN$4:$AN$1203,0)),"huérfano",IF(COUNTIF($A$4:$A126,$A126)&gt;1,"duplicado (se ignora)","aplicado")))</f>
        <v/>
      </c>
      <c r="G126" s="16">
        <f>IF($F126&lt;&gt;"aplicado","",IF(IFERROR(INDEX('ORDENES'!$K$4:$K$1203,MATCH($A126,'ORDENES'!$AN$4:$AN$1203,0)),"")="","",$B126-IFERROR(INDEX('ORDENES'!$K$4:$K$1203,MATCH($A126,'ORDENES'!$AN$4:$AN$1203,0)),"")))</f>
        <v/>
      </c>
    </row>
    <row r="127">
      <c r="A127" s="6" t="n"/>
      <c r="B127" s="14" t="n"/>
      <c r="C127" s="6" t="n"/>
      <c r="D127" s="15" t="n"/>
      <c r="E127" s="3">
        <f>IF($A127="","",IFERROR(INDEX('ORDENES'!$D$4:$D$1203,MATCH($A127,'ORDENES'!$AN$4:$AN$1203,0)),"(no encontrada)"))</f>
        <v/>
      </c>
      <c r="F127" s="3">
        <f>IF($A127="","",IF(ISNA(MATCH($A127,'ORDENES'!$AN$4:$AN$1203,0)),"huérfano",IF(COUNTIF($A$4:$A127,$A127)&gt;1,"duplicado (se ignora)","aplicado")))</f>
        <v/>
      </c>
      <c r="G127" s="16">
        <f>IF($F127&lt;&gt;"aplicado","",IF(IFERROR(INDEX('ORDENES'!$K$4:$K$1203,MATCH($A127,'ORDENES'!$AN$4:$AN$1203,0)),"")="","",$B127-IFERROR(INDEX('ORDENES'!$K$4:$K$1203,MATCH($A127,'ORDENES'!$AN$4:$AN$1203,0)),"")))</f>
        <v/>
      </c>
    </row>
    <row r="128">
      <c r="A128" s="6" t="n"/>
      <c r="B128" s="14" t="n"/>
      <c r="C128" s="6" t="n"/>
      <c r="D128" s="15" t="n"/>
      <c r="E128" s="3">
        <f>IF($A128="","",IFERROR(INDEX('ORDENES'!$D$4:$D$1203,MATCH($A128,'ORDENES'!$AN$4:$AN$1203,0)),"(no encontrada)"))</f>
        <v/>
      </c>
      <c r="F128" s="3">
        <f>IF($A128="","",IF(ISNA(MATCH($A128,'ORDENES'!$AN$4:$AN$1203,0)),"huérfano",IF(COUNTIF($A$4:$A128,$A128)&gt;1,"duplicado (se ignora)","aplicado")))</f>
        <v/>
      </c>
      <c r="G128" s="16">
        <f>IF($F128&lt;&gt;"aplicado","",IF(IFERROR(INDEX('ORDENES'!$K$4:$K$1203,MATCH($A128,'ORDENES'!$AN$4:$AN$1203,0)),"")="","",$B128-IFERROR(INDEX('ORDENES'!$K$4:$K$1203,MATCH($A128,'ORDENES'!$AN$4:$AN$1203,0)),"")))</f>
        <v/>
      </c>
    </row>
    <row r="129">
      <c r="A129" s="6" t="n"/>
      <c r="B129" s="14" t="n"/>
      <c r="C129" s="6" t="n"/>
      <c r="D129" s="15" t="n"/>
      <c r="E129" s="3">
        <f>IF($A129="","",IFERROR(INDEX('ORDENES'!$D$4:$D$1203,MATCH($A129,'ORDENES'!$AN$4:$AN$1203,0)),"(no encontrada)"))</f>
        <v/>
      </c>
      <c r="F129" s="3">
        <f>IF($A129="","",IF(ISNA(MATCH($A129,'ORDENES'!$AN$4:$AN$1203,0)),"huérfano",IF(COUNTIF($A$4:$A129,$A129)&gt;1,"duplicado (se ignora)","aplicado")))</f>
        <v/>
      </c>
      <c r="G129" s="16">
        <f>IF($F129&lt;&gt;"aplicado","",IF(IFERROR(INDEX('ORDENES'!$K$4:$K$1203,MATCH($A129,'ORDENES'!$AN$4:$AN$1203,0)),"")="","",$B129-IFERROR(INDEX('ORDENES'!$K$4:$K$1203,MATCH($A129,'ORDENES'!$AN$4:$AN$1203,0)),"")))</f>
        <v/>
      </c>
    </row>
    <row r="130">
      <c r="A130" s="6" t="n"/>
      <c r="B130" s="14" t="n"/>
      <c r="C130" s="6" t="n"/>
      <c r="D130" s="15" t="n"/>
      <c r="E130" s="3">
        <f>IF($A130="","",IFERROR(INDEX('ORDENES'!$D$4:$D$1203,MATCH($A130,'ORDENES'!$AN$4:$AN$1203,0)),"(no encontrada)"))</f>
        <v/>
      </c>
      <c r="F130" s="3">
        <f>IF($A130="","",IF(ISNA(MATCH($A130,'ORDENES'!$AN$4:$AN$1203,0)),"huérfano",IF(COUNTIF($A$4:$A130,$A130)&gt;1,"duplicado (se ignora)","aplicado")))</f>
        <v/>
      </c>
      <c r="G130" s="16">
        <f>IF($F130&lt;&gt;"aplicado","",IF(IFERROR(INDEX('ORDENES'!$K$4:$K$1203,MATCH($A130,'ORDENES'!$AN$4:$AN$1203,0)),"")="","",$B130-IFERROR(INDEX('ORDENES'!$K$4:$K$1203,MATCH($A130,'ORDENES'!$AN$4:$AN$1203,0)),"")))</f>
        <v/>
      </c>
    </row>
    <row r="131">
      <c r="A131" s="6" t="n"/>
      <c r="B131" s="14" t="n"/>
      <c r="C131" s="6" t="n"/>
      <c r="D131" s="15" t="n"/>
      <c r="E131" s="3">
        <f>IF($A131="","",IFERROR(INDEX('ORDENES'!$D$4:$D$1203,MATCH($A131,'ORDENES'!$AN$4:$AN$1203,0)),"(no encontrada)"))</f>
        <v/>
      </c>
      <c r="F131" s="3">
        <f>IF($A131="","",IF(ISNA(MATCH($A131,'ORDENES'!$AN$4:$AN$1203,0)),"huérfano",IF(COUNTIF($A$4:$A131,$A131)&gt;1,"duplicado (se ignora)","aplicado")))</f>
        <v/>
      </c>
      <c r="G131" s="16">
        <f>IF($F131&lt;&gt;"aplicado","",IF(IFERROR(INDEX('ORDENES'!$K$4:$K$1203,MATCH($A131,'ORDENES'!$AN$4:$AN$1203,0)),"")="","",$B131-IFERROR(INDEX('ORDENES'!$K$4:$K$1203,MATCH($A131,'ORDENES'!$AN$4:$AN$1203,0)),"")))</f>
        <v/>
      </c>
    </row>
    <row r="132">
      <c r="A132" s="6" t="n"/>
      <c r="B132" s="14" t="n"/>
      <c r="C132" s="6" t="n"/>
      <c r="D132" s="15" t="n"/>
      <c r="E132" s="3">
        <f>IF($A132="","",IFERROR(INDEX('ORDENES'!$D$4:$D$1203,MATCH($A132,'ORDENES'!$AN$4:$AN$1203,0)),"(no encontrada)"))</f>
        <v/>
      </c>
      <c r="F132" s="3">
        <f>IF($A132="","",IF(ISNA(MATCH($A132,'ORDENES'!$AN$4:$AN$1203,0)),"huérfano",IF(COUNTIF($A$4:$A132,$A132)&gt;1,"duplicado (se ignora)","aplicado")))</f>
        <v/>
      </c>
      <c r="G132" s="16">
        <f>IF($F132&lt;&gt;"aplicado","",IF(IFERROR(INDEX('ORDENES'!$K$4:$K$1203,MATCH($A132,'ORDENES'!$AN$4:$AN$1203,0)),"")="","",$B132-IFERROR(INDEX('ORDENES'!$K$4:$K$1203,MATCH($A132,'ORDENES'!$AN$4:$AN$1203,0)),"")))</f>
        <v/>
      </c>
    </row>
    <row r="133">
      <c r="A133" s="6" t="n"/>
      <c r="B133" s="14" t="n"/>
      <c r="C133" s="6" t="n"/>
      <c r="D133" s="15" t="n"/>
      <c r="E133" s="3">
        <f>IF($A133="","",IFERROR(INDEX('ORDENES'!$D$4:$D$1203,MATCH($A133,'ORDENES'!$AN$4:$AN$1203,0)),"(no encontrada)"))</f>
        <v/>
      </c>
      <c r="F133" s="3">
        <f>IF($A133="","",IF(ISNA(MATCH($A133,'ORDENES'!$AN$4:$AN$1203,0)),"huérfano",IF(COUNTIF($A$4:$A133,$A133)&gt;1,"duplicado (se ignora)","aplicado")))</f>
        <v/>
      </c>
      <c r="G133" s="16">
        <f>IF($F133&lt;&gt;"aplicado","",IF(IFERROR(INDEX('ORDENES'!$K$4:$K$1203,MATCH($A133,'ORDENES'!$AN$4:$AN$1203,0)),"")="","",$B133-IFERROR(INDEX('ORDENES'!$K$4:$K$1203,MATCH($A133,'ORDENES'!$AN$4:$AN$1203,0)),"")))</f>
        <v/>
      </c>
    </row>
    <row r="134">
      <c r="A134" s="6" t="n"/>
      <c r="B134" s="14" t="n"/>
      <c r="C134" s="6" t="n"/>
      <c r="D134" s="15" t="n"/>
      <c r="E134" s="3">
        <f>IF($A134="","",IFERROR(INDEX('ORDENES'!$D$4:$D$1203,MATCH($A134,'ORDENES'!$AN$4:$AN$1203,0)),"(no encontrada)"))</f>
        <v/>
      </c>
      <c r="F134" s="3">
        <f>IF($A134="","",IF(ISNA(MATCH($A134,'ORDENES'!$AN$4:$AN$1203,0)),"huérfano",IF(COUNTIF($A$4:$A134,$A134)&gt;1,"duplicado (se ignora)","aplicado")))</f>
        <v/>
      </c>
      <c r="G134" s="16">
        <f>IF($F134&lt;&gt;"aplicado","",IF(IFERROR(INDEX('ORDENES'!$K$4:$K$1203,MATCH($A134,'ORDENES'!$AN$4:$AN$1203,0)),"")="","",$B134-IFERROR(INDEX('ORDENES'!$K$4:$K$1203,MATCH($A134,'ORDENES'!$AN$4:$AN$1203,0)),"")))</f>
        <v/>
      </c>
    </row>
    <row r="135">
      <c r="A135" s="6" t="n"/>
      <c r="B135" s="14" t="n"/>
      <c r="C135" s="6" t="n"/>
      <c r="D135" s="15" t="n"/>
      <c r="E135" s="3">
        <f>IF($A135="","",IFERROR(INDEX('ORDENES'!$D$4:$D$1203,MATCH($A135,'ORDENES'!$AN$4:$AN$1203,0)),"(no encontrada)"))</f>
        <v/>
      </c>
      <c r="F135" s="3">
        <f>IF($A135="","",IF(ISNA(MATCH($A135,'ORDENES'!$AN$4:$AN$1203,0)),"huérfano",IF(COUNTIF($A$4:$A135,$A135)&gt;1,"duplicado (se ignora)","aplicado")))</f>
        <v/>
      </c>
      <c r="G135" s="16">
        <f>IF($F135&lt;&gt;"aplicado","",IF(IFERROR(INDEX('ORDENES'!$K$4:$K$1203,MATCH($A135,'ORDENES'!$AN$4:$AN$1203,0)),"")="","",$B135-IFERROR(INDEX('ORDENES'!$K$4:$K$1203,MATCH($A135,'ORDENES'!$AN$4:$AN$1203,0)),"")))</f>
        <v/>
      </c>
    </row>
    <row r="136">
      <c r="A136" s="6" t="n"/>
      <c r="B136" s="14" t="n"/>
      <c r="C136" s="6" t="n"/>
      <c r="D136" s="15" t="n"/>
      <c r="E136" s="3">
        <f>IF($A136="","",IFERROR(INDEX('ORDENES'!$D$4:$D$1203,MATCH($A136,'ORDENES'!$AN$4:$AN$1203,0)),"(no encontrada)"))</f>
        <v/>
      </c>
      <c r="F136" s="3">
        <f>IF($A136="","",IF(ISNA(MATCH($A136,'ORDENES'!$AN$4:$AN$1203,0)),"huérfano",IF(COUNTIF($A$4:$A136,$A136)&gt;1,"duplicado (se ignora)","aplicado")))</f>
        <v/>
      </c>
      <c r="G136" s="16">
        <f>IF($F136&lt;&gt;"aplicado","",IF(IFERROR(INDEX('ORDENES'!$K$4:$K$1203,MATCH($A136,'ORDENES'!$AN$4:$AN$1203,0)),"")="","",$B136-IFERROR(INDEX('ORDENES'!$K$4:$K$1203,MATCH($A136,'ORDENES'!$AN$4:$AN$1203,0)),"")))</f>
        <v/>
      </c>
    </row>
    <row r="137">
      <c r="A137" s="6" t="n"/>
      <c r="B137" s="14" t="n"/>
      <c r="C137" s="6" t="n"/>
      <c r="D137" s="15" t="n"/>
      <c r="E137" s="3">
        <f>IF($A137="","",IFERROR(INDEX('ORDENES'!$D$4:$D$1203,MATCH($A137,'ORDENES'!$AN$4:$AN$1203,0)),"(no encontrada)"))</f>
        <v/>
      </c>
      <c r="F137" s="3">
        <f>IF($A137="","",IF(ISNA(MATCH($A137,'ORDENES'!$AN$4:$AN$1203,0)),"huérfano",IF(COUNTIF($A$4:$A137,$A137)&gt;1,"duplicado (se ignora)","aplicado")))</f>
        <v/>
      </c>
      <c r="G137" s="16">
        <f>IF($F137&lt;&gt;"aplicado","",IF(IFERROR(INDEX('ORDENES'!$K$4:$K$1203,MATCH($A137,'ORDENES'!$AN$4:$AN$1203,0)),"")="","",$B137-IFERROR(INDEX('ORDENES'!$K$4:$K$1203,MATCH($A137,'ORDENES'!$AN$4:$AN$1203,0)),"")))</f>
        <v/>
      </c>
    </row>
    <row r="138">
      <c r="A138" s="6" t="n"/>
      <c r="B138" s="14" t="n"/>
      <c r="C138" s="6" t="n"/>
      <c r="D138" s="15" t="n"/>
      <c r="E138" s="3">
        <f>IF($A138="","",IFERROR(INDEX('ORDENES'!$D$4:$D$1203,MATCH($A138,'ORDENES'!$AN$4:$AN$1203,0)),"(no encontrada)"))</f>
        <v/>
      </c>
      <c r="F138" s="3">
        <f>IF($A138="","",IF(ISNA(MATCH($A138,'ORDENES'!$AN$4:$AN$1203,0)),"huérfano",IF(COUNTIF($A$4:$A138,$A138)&gt;1,"duplicado (se ignora)","aplicado")))</f>
        <v/>
      </c>
      <c r="G138" s="16">
        <f>IF($F138&lt;&gt;"aplicado","",IF(IFERROR(INDEX('ORDENES'!$K$4:$K$1203,MATCH($A138,'ORDENES'!$AN$4:$AN$1203,0)),"")="","",$B138-IFERROR(INDEX('ORDENES'!$K$4:$K$1203,MATCH($A138,'ORDENES'!$AN$4:$AN$1203,0)),"")))</f>
        <v/>
      </c>
    </row>
    <row r="139">
      <c r="A139" s="6" t="n"/>
      <c r="B139" s="14" t="n"/>
      <c r="C139" s="6" t="n"/>
      <c r="D139" s="15" t="n"/>
      <c r="E139" s="3">
        <f>IF($A139="","",IFERROR(INDEX('ORDENES'!$D$4:$D$1203,MATCH($A139,'ORDENES'!$AN$4:$AN$1203,0)),"(no encontrada)"))</f>
        <v/>
      </c>
      <c r="F139" s="3">
        <f>IF($A139="","",IF(ISNA(MATCH($A139,'ORDENES'!$AN$4:$AN$1203,0)),"huérfano",IF(COUNTIF($A$4:$A139,$A139)&gt;1,"duplicado (se ignora)","aplicado")))</f>
        <v/>
      </c>
      <c r="G139" s="16">
        <f>IF($F139&lt;&gt;"aplicado","",IF(IFERROR(INDEX('ORDENES'!$K$4:$K$1203,MATCH($A139,'ORDENES'!$AN$4:$AN$1203,0)),"")="","",$B139-IFERROR(INDEX('ORDENES'!$K$4:$K$1203,MATCH($A139,'ORDENES'!$AN$4:$AN$1203,0)),"")))</f>
        <v/>
      </c>
    </row>
    <row r="140">
      <c r="A140" s="6" t="n"/>
      <c r="B140" s="14" t="n"/>
      <c r="C140" s="6" t="n"/>
      <c r="D140" s="15" t="n"/>
      <c r="E140" s="3">
        <f>IF($A140="","",IFERROR(INDEX('ORDENES'!$D$4:$D$1203,MATCH($A140,'ORDENES'!$AN$4:$AN$1203,0)),"(no encontrada)"))</f>
        <v/>
      </c>
      <c r="F140" s="3">
        <f>IF($A140="","",IF(ISNA(MATCH($A140,'ORDENES'!$AN$4:$AN$1203,0)),"huérfano",IF(COUNTIF($A$4:$A140,$A140)&gt;1,"duplicado (se ignora)","aplicado")))</f>
        <v/>
      </c>
      <c r="G140" s="16">
        <f>IF($F140&lt;&gt;"aplicado","",IF(IFERROR(INDEX('ORDENES'!$K$4:$K$1203,MATCH($A140,'ORDENES'!$AN$4:$AN$1203,0)),"")="","",$B140-IFERROR(INDEX('ORDENES'!$K$4:$K$1203,MATCH($A140,'ORDENES'!$AN$4:$AN$1203,0)),"")))</f>
        <v/>
      </c>
    </row>
    <row r="141">
      <c r="A141" s="6" t="n"/>
      <c r="B141" s="14" t="n"/>
      <c r="C141" s="6" t="n"/>
      <c r="D141" s="15" t="n"/>
      <c r="E141" s="3">
        <f>IF($A141="","",IFERROR(INDEX('ORDENES'!$D$4:$D$1203,MATCH($A141,'ORDENES'!$AN$4:$AN$1203,0)),"(no encontrada)"))</f>
        <v/>
      </c>
      <c r="F141" s="3">
        <f>IF($A141="","",IF(ISNA(MATCH($A141,'ORDENES'!$AN$4:$AN$1203,0)),"huérfano",IF(COUNTIF($A$4:$A141,$A141)&gt;1,"duplicado (se ignora)","aplicado")))</f>
        <v/>
      </c>
      <c r="G141" s="16">
        <f>IF($F141&lt;&gt;"aplicado","",IF(IFERROR(INDEX('ORDENES'!$K$4:$K$1203,MATCH($A141,'ORDENES'!$AN$4:$AN$1203,0)),"")="","",$B141-IFERROR(INDEX('ORDENES'!$K$4:$K$1203,MATCH($A141,'ORDENES'!$AN$4:$AN$1203,0)),"")))</f>
        <v/>
      </c>
    </row>
    <row r="142">
      <c r="A142" s="6" t="n"/>
      <c r="B142" s="14" t="n"/>
      <c r="C142" s="6" t="n"/>
      <c r="D142" s="15" t="n"/>
      <c r="E142" s="3">
        <f>IF($A142="","",IFERROR(INDEX('ORDENES'!$D$4:$D$1203,MATCH($A142,'ORDENES'!$AN$4:$AN$1203,0)),"(no encontrada)"))</f>
        <v/>
      </c>
      <c r="F142" s="3">
        <f>IF($A142="","",IF(ISNA(MATCH($A142,'ORDENES'!$AN$4:$AN$1203,0)),"huérfano",IF(COUNTIF($A$4:$A142,$A142)&gt;1,"duplicado (se ignora)","aplicado")))</f>
        <v/>
      </c>
      <c r="G142" s="16">
        <f>IF($F142&lt;&gt;"aplicado","",IF(IFERROR(INDEX('ORDENES'!$K$4:$K$1203,MATCH($A142,'ORDENES'!$AN$4:$AN$1203,0)),"")="","",$B142-IFERROR(INDEX('ORDENES'!$K$4:$K$1203,MATCH($A142,'ORDENES'!$AN$4:$AN$1203,0)),"")))</f>
        <v/>
      </c>
    </row>
    <row r="143">
      <c r="A143" s="6" t="n"/>
      <c r="B143" s="14" t="n"/>
      <c r="C143" s="6" t="n"/>
      <c r="D143" s="15" t="n"/>
      <c r="E143" s="3">
        <f>IF($A143="","",IFERROR(INDEX('ORDENES'!$D$4:$D$1203,MATCH($A143,'ORDENES'!$AN$4:$AN$1203,0)),"(no encontrada)"))</f>
        <v/>
      </c>
      <c r="F143" s="3">
        <f>IF($A143="","",IF(ISNA(MATCH($A143,'ORDENES'!$AN$4:$AN$1203,0)),"huérfano",IF(COUNTIF($A$4:$A143,$A143)&gt;1,"duplicado (se ignora)","aplicado")))</f>
        <v/>
      </c>
      <c r="G143" s="16">
        <f>IF($F143&lt;&gt;"aplicado","",IF(IFERROR(INDEX('ORDENES'!$K$4:$K$1203,MATCH($A143,'ORDENES'!$AN$4:$AN$1203,0)),"")="","",$B143-IFERROR(INDEX('ORDENES'!$K$4:$K$1203,MATCH($A143,'ORDENES'!$AN$4:$AN$1203,0)),"")))</f>
        <v/>
      </c>
    </row>
    <row r="144">
      <c r="A144" s="6" t="n"/>
      <c r="B144" s="14" t="n"/>
      <c r="C144" s="6" t="n"/>
      <c r="D144" s="15" t="n"/>
      <c r="E144" s="3">
        <f>IF($A144="","",IFERROR(INDEX('ORDENES'!$D$4:$D$1203,MATCH($A144,'ORDENES'!$AN$4:$AN$1203,0)),"(no encontrada)"))</f>
        <v/>
      </c>
      <c r="F144" s="3">
        <f>IF($A144="","",IF(ISNA(MATCH($A144,'ORDENES'!$AN$4:$AN$1203,0)),"huérfano",IF(COUNTIF($A$4:$A144,$A144)&gt;1,"duplicado (se ignora)","aplicado")))</f>
        <v/>
      </c>
      <c r="G144" s="16">
        <f>IF($F144&lt;&gt;"aplicado","",IF(IFERROR(INDEX('ORDENES'!$K$4:$K$1203,MATCH($A144,'ORDENES'!$AN$4:$AN$1203,0)),"")="","",$B144-IFERROR(INDEX('ORDENES'!$K$4:$K$1203,MATCH($A144,'ORDENES'!$AN$4:$AN$1203,0)),"")))</f>
        <v/>
      </c>
    </row>
    <row r="145">
      <c r="A145" s="6" t="n"/>
      <c r="B145" s="14" t="n"/>
      <c r="C145" s="6" t="n"/>
      <c r="D145" s="15" t="n"/>
      <c r="E145" s="3">
        <f>IF($A145="","",IFERROR(INDEX('ORDENES'!$D$4:$D$1203,MATCH($A145,'ORDENES'!$AN$4:$AN$1203,0)),"(no encontrada)"))</f>
        <v/>
      </c>
      <c r="F145" s="3">
        <f>IF($A145="","",IF(ISNA(MATCH($A145,'ORDENES'!$AN$4:$AN$1203,0)),"huérfano",IF(COUNTIF($A$4:$A145,$A145)&gt;1,"duplicado (se ignora)","aplicado")))</f>
        <v/>
      </c>
      <c r="G145" s="16">
        <f>IF($F145&lt;&gt;"aplicado","",IF(IFERROR(INDEX('ORDENES'!$K$4:$K$1203,MATCH($A145,'ORDENES'!$AN$4:$AN$1203,0)),"")="","",$B145-IFERROR(INDEX('ORDENES'!$K$4:$K$1203,MATCH($A145,'ORDENES'!$AN$4:$AN$1203,0)),"")))</f>
        <v/>
      </c>
    </row>
    <row r="146">
      <c r="A146" s="6" t="n"/>
      <c r="B146" s="14" t="n"/>
      <c r="C146" s="6" t="n"/>
      <c r="D146" s="15" t="n"/>
      <c r="E146" s="3">
        <f>IF($A146="","",IFERROR(INDEX('ORDENES'!$D$4:$D$1203,MATCH($A146,'ORDENES'!$AN$4:$AN$1203,0)),"(no encontrada)"))</f>
        <v/>
      </c>
      <c r="F146" s="3">
        <f>IF($A146="","",IF(ISNA(MATCH($A146,'ORDENES'!$AN$4:$AN$1203,0)),"huérfano",IF(COUNTIF($A$4:$A146,$A146)&gt;1,"duplicado (se ignora)","aplicado")))</f>
        <v/>
      </c>
      <c r="G146" s="16">
        <f>IF($F146&lt;&gt;"aplicado","",IF(IFERROR(INDEX('ORDENES'!$K$4:$K$1203,MATCH($A146,'ORDENES'!$AN$4:$AN$1203,0)),"")="","",$B146-IFERROR(INDEX('ORDENES'!$K$4:$K$1203,MATCH($A146,'ORDENES'!$AN$4:$AN$1203,0)),"")))</f>
        <v/>
      </c>
    </row>
    <row r="147">
      <c r="A147" s="6" t="n"/>
      <c r="B147" s="14" t="n"/>
      <c r="C147" s="6" t="n"/>
      <c r="D147" s="15" t="n"/>
      <c r="E147" s="3">
        <f>IF($A147="","",IFERROR(INDEX('ORDENES'!$D$4:$D$1203,MATCH($A147,'ORDENES'!$AN$4:$AN$1203,0)),"(no encontrada)"))</f>
        <v/>
      </c>
      <c r="F147" s="3">
        <f>IF($A147="","",IF(ISNA(MATCH($A147,'ORDENES'!$AN$4:$AN$1203,0)),"huérfano",IF(COUNTIF($A$4:$A147,$A147)&gt;1,"duplicado (se ignora)","aplicado")))</f>
        <v/>
      </c>
      <c r="G147" s="16">
        <f>IF($F147&lt;&gt;"aplicado","",IF(IFERROR(INDEX('ORDENES'!$K$4:$K$1203,MATCH($A147,'ORDENES'!$AN$4:$AN$1203,0)),"")="","",$B147-IFERROR(INDEX('ORDENES'!$K$4:$K$1203,MATCH($A147,'ORDENES'!$AN$4:$AN$1203,0)),"")))</f>
        <v/>
      </c>
    </row>
    <row r="148">
      <c r="A148" s="6" t="n"/>
      <c r="B148" s="14" t="n"/>
      <c r="C148" s="6" t="n"/>
      <c r="D148" s="15" t="n"/>
      <c r="E148" s="3">
        <f>IF($A148="","",IFERROR(INDEX('ORDENES'!$D$4:$D$1203,MATCH($A148,'ORDENES'!$AN$4:$AN$1203,0)),"(no encontrada)"))</f>
        <v/>
      </c>
      <c r="F148" s="3">
        <f>IF($A148="","",IF(ISNA(MATCH($A148,'ORDENES'!$AN$4:$AN$1203,0)),"huérfano",IF(COUNTIF($A$4:$A148,$A148)&gt;1,"duplicado (se ignora)","aplicado")))</f>
        <v/>
      </c>
      <c r="G148" s="16">
        <f>IF($F148&lt;&gt;"aplicado","",IF(IFERROR(INDEX('ORDENES'!$K$4:$K$1203,MATCH($A148,'ORDENES'!$AN$4:$AN$1203,0)),"")="","",$B148-IFERROR(INDEX('ORDENES'!$K$4:$K$1203,MATCH($A148,'ORDENES'!$AN$4:$AN$1203,0)),"")))</f>
        <v/>
      </c>
    </row>
    <row r="149">
      <c r="A149" s="6" t="n"/>
      <c r="B149" s="14" t="n"/>
      <c r="C149" s="6" t="n"/>
      <c r="D149" s="15" t="n"/>
      <c r="E149" s="3">
        <f>IF($A149="","",IFERROR(INDEX('ORDENES'!$D$4:$D$1203,MATCH($A149,'ORDENES'!$AN$4:$AN$1203,0)),"(no encontrada)"))</f>
        <v/>
      </c>
      <c r="F149" s="3">
        <f>IF($A149="","",IF(ISNA(MATCH($A149,'ORDENES'!$AN$4:$AN$1203,0)),"huérfano",IF(COUNTIF($A$4:$A149,$A149)&gt;1,"duplicado (se ignora)","aplicado")))</f>
        <v/>
      </c>
      <c r="G149" s="16">
        <f>IF($F149&lt;&gt;"aplicado","",IF(IFERROR(INDEX('ORDENES'!$K$4:$K$1203,MATCH($A149,'ORDENES'!$AN$4:$AN$1203,0)),"")="","",$B149-IFERROR(INDEX('ORDENES'!$K$4:$K$1203,MATCH($A149,'ORDENES'!$AN$4:$AN$1203,0)),"")))</f>
        <v/>
      </c>
    </row>
    <row r="150">
      <c r="A150" s="6" t="n"/>
      <c r="B150" s="14" t="n"/>
      <c r="C150" s="6" t="n"/>
      <c r="D150" s="15" t="n"/>
      <c r="E150" s="3">
        <f>IF($A150="","",IFERROR(INDEX('ORDENES'!$D$4:$D$1203,MATCH($A150,'ORDENES'!$AN$4:$AN$1203,0)),"(no encontrada)"))</f>
        <v/>
      </c>
      <c r="F150" s="3">
        <f>IF($A150="","",IF(ISNA(MATCH($A150,'ORDENES'!$AN$4:$AN$1203,0)),"huérfano",IF(COUNTIF($A$4:$A150,$A150)&gt;1,"duplicado (se ignora)","aplicado")))</f>
        <v/>
      </c>
      <c r="G150" s="16">
        <f>IF($F150&lt;&gt;"aplicado","",IF(IFERROR(INDEX('ORDENES'!$K$4:$K$1203,MATCH($A150,'ORDENES'!$AN$4:$AN$1203,0)),"")="","",$B150-IFERROR(INDEX('ORDENES'!$K$4:$K$1203,MATCH($A150,'ORDENES'!$AN$4:$AN$1203,0)),"")))</f>
        <v/>
      </c>
    </row>
    <row r="151">
      <c r="A151" s="6" t="n"/>
      <c r="B151" s="14" t="n"/>
      <c r="C151" s="6" t="n"/>
      <c r="D151" s="15" t="n"/>
      <c r="E151" s="3">
        <f>IF($A151="","",IFERROR(INDEX('ORDENES'!$D$4:$D$1203,MATCH($A151,'ORDENES'!$AN$4:$AN$1203,0)),"(no encontrada)"))</f>
        <v/>
      </c>
      <c r="F151" s="3">
        <f>IF($A151="","",IF(ISNA(MATCH($A151,'ORDENES'!$AN$4:$AN$1203,0)),"huérfano",IF(COUNTIF($A$4:$A151,$A151)&gt;1,"duplicado (se ignora)","aplicado")))</f>
        <v/>
      </c>
      <c r="G151" s="16">
        <f>IF($F151&lt;&gt;"aplicado","",IF(IFERROR(INDEX('ORDENES'!$K$4:$K$1203,MATCH($A151,'ORDENES'!$AN$4:$AN$1203,0)),"")="","",$B151-IFERROR(INDEX('ORDENES'!$K$4:$K$1203,MATCH($A151,'ORDENES'!$AN$4:$AN$1203,0)),"")))</f>
        <v/>
      </c>
    </row>
    <row r="152">
      <c r="A152" s="6" t="n"/>
      <c r="B152" s="14" t="n"/>
      <c r="C152" s="6" t="n"/>
      <c r="D152" s="15" t="n"/>
      <c r="E152" s="3">
        <f>IF($A152="","",IFERROR(INDEX('ORDENES'!$D$4:$D$1203,MATCH($A152,'ORDENES'!$AN$4:$AN$1203,0)),"(no encontrada)"))</f>
        <v/>
      </c>
      <c r="F152" s="3">
        <f>IF($A152="","",IF(ISNA(MATCH($A152,'ORDENES'!$AN$4:$AN$1203,0)),"huérfano",IF(COUNTIF($A$4:$A152,$A152)&gt;1,"duplicado (se ignora)","aplicado")))</f>
        <v/>
      </c>
      <c r="G152" s="16">
        <f>IF($F152&lt;&gt;"aplicado","",IF(IFERROR(INDEX('ORDENES'!$K$4:$K$1203,MATCH($A152,'ORDENES'!$AN$4:$AN$1203,0)),"")="","",$B152-IFERROR(INDEX('ORDENES'!$K$4:$K$1203,MATCH($A152,'ORDENES'!$AN$4:$AN$1203,0)),"")))</f>
        <v/>
      </c>
    </row>
    <row r="153">
      <c r="A153" s="6" t="n"/>
      <c r="B153" s="14" t="n"/>
      <c r="C153" s="6" t="n"/>
      <c r="D153" s="15" t="n"/>
      <c r="E153" s="3">
        <f>IF($A153="","",IFERROR(INDEX('ORDENES'!$D$4:$D$1203,MATCH($A153,'ORDENES'!$AN$4:$AN$1203,0)),"(no encontrada)"))</f>
        <v/>
      </c>
      <c r="F153" s="3">
        <f>IF($A153="","",IF(ISNA(MATCH($A153,'ORDENES'!$AN$4:$AN$1203,0)),"huérfano",IF(COUNTIF($A$4:$A153,$A153)&gt;1,"duplicado (se ignora)","aplicado")))</f>
        <v/>
      </c>
      <c r="G153" s="16">
        <f>IF($F153&lt;&gt;"aplicado","",IF(IFERROR(INDEX('ORDENES'!$K$4:$K$1203,MATCH($A153,'ORDENES'!$AN$4:$AN$1203,0)),"")="","",$B153-IFERROR(INDEX('ORDENES'!$K$4:$K$1203,MATCH($A153,'ORDENES'!$AN$4:$AN$1203,0)),"")))</f>
        <v/>
      </c>
    </row>
    <row r="154">
      <c r="A154" s="6" t="n"/>
      <c r="B154" s="14" t="n"/>
      <c r="C154" s="6" t="n"/>
      <c r="D154" s="15" t="n"/>
      <c r="E154" s="3">
        <f>IF($A154="","",IFERROR(INDEX('ORDENES'!$D$4:$D$1203,MATCH($A154,'ORDENES'!$AN$4:$AN$1203,0)),"(no encontrada)"))</f>
        <v/>
      </c>
      <c r="F154" s="3">
        <f>IF($A154="","",IF(ISNA(MATCH($A154,'ORDENES'!$AN$4:$AN$1203,0)),"huérfano",IF(COUNTIF($A$4:$A154,$A154)&gt;1,"duplicado (se ignora)","aplicado")))</f>
        <v/>
      </c>
      <c r="G154" s="16">
        <f>IF($F154&lt;&gt;"aplicado","",IF(IFERROR(INDEX('ORDENES'!$K$4:$K$1203,MATCH($A154,'ORDENES'!$AN$4:$AN$1203,0)),"")="","",$B154-IFERROR(INDEX('ORDENES'!$K$4:$K$1203,MATCH($A154,'ORDENES'!$AN$4:$AN$1203,0)),"")))</f>
        <v/>
      </c>
    </row>
    <row r="155">
      <c r="A155" s="6" t="n"/>
      <c r="B155" s="14" t="n"/>
      <c r="C155" s="6" t="n"/>
      <c r="D155" s="15" t="n"/>
      <c r="E155" s="3">
        <f>IF($A155="","",IFERROR(INDEX('ORDENES'!$D$4:$D$1203,MATCH($A155,'ORDENES'!$AN$4:$AN$1203,0)),"(no encontrada)"))</f>
        <v/>
      </c>
      <c r="F155" s="3">
        <f>IF($A155="","",IF(ISNA(MATCH($A155,'ORDENES'!$AN$4:$AN$1203,0)),"huérfano",IF(COUNTIF($A$4:$A155,$A155)&gt;1,"duplicado (se ignora)","aplicado")))</f>
        <v/>
      </c>
      <c r="G155" s="16">
        <f>IF($F155&lt;&gt;"aplicado","",IF(IFERROR(INDEX('ORDENES'!$K$4:$K$1203,MATCH($A155,'ORDENES'!$AN$4:$AN$1203,0)),"")="","",$B155-IFERROR(INDEX('ORDENES'!$K$4:$K$1203,MATCH($A155,'ORDENES'!$AN$4:$AN$1203,0)),"")))</f>
        <v/>
      </c>
    </row>
    <row r="156">
      <c r="A156" s="6" t="n"/>
      <c r="B156" s="14" t="n"/>
      <c r="C156" s="6" t="n"/>
      <c r="D156" s="15" t="n"/>
      <c r="E156" s="3">
        <f>IF($A156="","",IFERROR(INDEX('ORDENES'!$D$4:$D$1203,MATCH($A156,'ORDENES'!$AN$4:$AN$1203,0)),"(no encontrada)"))</f>
        <v/>
      </c>
      <c r="F156" s="3">
        <f>IF($A156="","",IF(ISNA(MATCH($A156,'ORDENES'!$AN$4:$AN$1203,0)),"huérfano",IF(COUNTIF($A$4:$A156,$A156)&gt;1,"duplicado (se ignora)","aplicado")))</f>
        <v/>
      </c>
      <c r="G156" s="16">
        <f>IF($F156&lt;&gt;"aplicado","",IF(IFERROR(INDEX('ORDENES'!$K$4:$K$1203,MATCH($A156,'ORDENES'!$AN$4:$AN$1203,0)),"")="","",$B156-IFERROR(INDEX('ORDENES'!$K$4:$K$1203,MATCH($A156,'ORDENES'!$AN$4:$AN$1203,0)),"")))</f>
        <v/>
      </c>
    </row>
    <row r="157">
      <c r="A157" s="6" t="n"/>
      <c r="B157" s="14" t="n"/>
      <c r="C157" s="6" t="n"/>
      <c r="D157" s="15" t="n"/>
      <c r="E157" s="3">
        <f>IF($A157="","",IFERROR(INDEX('ORDENES'!$D$4:$D$1203,MATCH($A157,'ORDENES'!$AN$4:$AN$1203,0)),"(no encontrada)"))</f>
        <v/>
      </c>
      <c r="F157" s="3">
        <f>IF($A157="","",IF(ISNA(MATCH($A157,'ORDENES'!$AN$4:$AN$1203,0)),"huérfano",IF(COUNTIF($A$4:$A157,$A157)&gt;1,"duplicado (se ignora)","aplicado")))</f>
        <v/>
      </c>
      <c r="G157" s="16">
        <f>IF($F157&lt;&gt;"aplicado","",IF(IFERROR(INDEX('ORDENES'!$K$4:$K$1203,MATCH($A157,'ORDENES'!$AN$4:$AN$1203,0)),"")="","",$B157-IFERROR(INDEX('ORDENES'!$K$4:$K$1203,MATCH($A157,'ORDENES'!$AN$4:$AN$1203,0)),"")))</f>
        <v/>
      </c>
    </row>
    <row r="158">
      <c r="A158" s="6" t="n"/>
      <c r="B158" s="14" t="n"/>
      <c r="C158" s="6" t="n"/>
      <c r="D158" s="15" t="n"/>
      <c r="E158" s="3">
        <f>IF($A158="","",IFERROR(INDEX('ORDENES'!$D$4:$D$1203,MATCH($A158,'ORDENES'!$AN$4:$AN$1203,0)),"(no encontrada)"))</f>
        <v/>
      </c>
      <c r="F158" s="3">
        <f>IF($A158="","",IF(ISNA(MATCH($A158,'ORDENES'!$AN$4:$AN$1203,0)),"huérfano",IF(COUNTIF($A$4:$A158,$A158)&gt;1,"duplicado (se ignora)","aplicado")))</f>
        <v/>
      </c>
      <c r="G158" s="16">
        <f>IF($F158&lt;&gt;"aplicado","",IF(IFERROR(INDEX('ORDENES'!$K$4:$K$1203,MATCH($A158,'ORDENES'!$AN$4:$AN$1203,0)),"")="","",$B158-IFERROR(INDEX('ORDENES'!$K$4:$K$1203,MATCH($A158,'ORDENES'!$AN$4:$AN$1203,0)),"")))</f>
        <v/>
      </c>
    </row>
    <row r="159">
      <c r="A159" s="6" t="n"/>
      <c r="B159" s="14" t="n"/>
      <c r="C159" s="6" t="n"/>
      <c r="D159" s="15" t="n"/>
      <c r="E159" s="3">
        <f>IF($A159="","",IFERROR(INDEX('ORDENES'!$D$4:$D$1203,MATCH($A159,'ORDENES'!$AN$4:$AN$1203,0)),"(no encontrada)"))</f>
        <v/>
      </c>
      <c r="F159" s="3">
        <f>IF($A159="","",IF(ISNA(MATCH($A159,'ORDENES'!$AN$4:$AN$1203,0)),"huérfano",IF(COUNTIF($A$4:$A159,$A159)&gt;1,"duplicado (se ignora)","aplicado")))</f>
        <v/>
      </c>
      <c r="G159" s="16">
        <f>IF($F159&lt;&gt;"aplicado","",IF(IFERROR(INDEX('ORDENES'!$K$4:$K$1203,MATCH($A159,'ORDENES'!$AN$4:$AN$1203,0)),"")="","",$B159-IFERROR(INDEX('ORDENES'!$K$4:$K$1203,MATCH($A159,'ORDENES'!$AN$4:$AN$1203,0)),"")))</f>
        <v/>
      </c>
    </row>
    <row r="160">
      <c r="A160" s="6" t="n"/>
      <c r="B160" s="14" t="n"/>
      <c r="C160" s="6" t="n"/>
      <c r="D160" s="15" t="n"/>
      <c r="E160" s="3">
        <f>IF($A160="","",IFERROR(INDEX('ORDENES'!$D$4:$D$1203,MATCH($A160,'ORDENES'!$AN$4:$AN$1203,0)),"(no encontrada)"))</f>
        <v/>
      </c>
      <c r="F160" s="3">
        <f>IF($A160="","",IF(ISNA(MATCH($A160,'ORDENES'!$AN$4:$AN$1203,0)),"huérfano",IF(COUNTIF($A$4:$A160,$A160)&gt;1,"duplicado (se ignora)","aplicado")))</f>
        <v/>
      </c>
      <c r="G160" s="16">
        <f>IF($F160&lt;&gt;"aplicado","",IF(IFERROR(INDEX('ORDENES'!$K$4:$K$1203,MATCH($A160,'ORDENES'!$AN$4:$AN$1203,0)),"")="","",$B160-IFERROR(INDEX('ORDENES'!$K$4:$K$1203,MATCH($A160,'ORDENES'!$AN$4:$AN$1203,0)),"")))</f>
        <v/>
      </c>
    </row>
    <row r="161">
      <c r="A161" s="6" t="n"/>
      <c r="B161" s="14" t="n"/>
      <c r="C161" s="6" t="n"/>
      <c r="D161" s="15" t="n"/>
      <c r="E161" s="3">
        <f>IF($A161="","",IFERROR(INDEX('ORDENES'!$D$4:$D$1203,MATCH($A161,'ORDENES'!$AN$4:$AN$1203,0)),"(no encontrada)"))</f>
        <v/>
      </c>
      <c r="F161" s="3">
        <f>IF($A161="","",IF(ISNA(MATCH($A161,'ORDENES'!$AN$4:$AN$1203,0)),"huérfano",IF(COUNTIF($A$4:$A161,$A161)&gt;1,"duplicado (se ignora)","aplicado")))</f>
        <v/>
      </c>
      <c r="G161" s="16">
        <f>IF($F161&lt;&gt;"aplicado","",IF(IFERROR(INDEX('ORDENES'!$K$4:$K$1203,MATCH($A161,'ORDENES'!$AN$4:$AN$1203,0)),"")="","",$B161-IFERROR(INDEX('ORDENES'!$K$4:$K$1203,MATCH($A161,'ORDENES'!$AN$4:$AN$1203,0)),"")))</f>
        <v/>
      </c>
    </row>
    <row r="162">
      <c r="A162" s="6" t="n"/>
      <c r="B162" s="14" t="n"/>
      <c r="C162" s="6" t="n"/>
      <c r="D162" s="15" t="n"/>
      <c r="E162" s="3">
        <f>IF($A162="","",IFERROR(INDEX('ORDENES'!$D$4:$D$1203,MATCH($A162,'ORDENES'!$AN$4:$AN$1203,0)),"(no encontrada)"))</f>
        <v/>
      </c>
      <c r="F162" s="3">
        <f>IF($A162="","",IF(ISNA(MATCH($A162,'ORDENES'!$AN$4:$AN$1203,0)),"huérfano",IF(COUNTIF($A$4:$A162,$A162)&gt;1,"duplicado (se ignora)","aplicado")))</f>
        <v/>
      </c>
      <c r="G162" s="16">
        <f>IF($F162&lt;&gt;"aplicado","",IF(IFERROR(INDEX('ORDENES'!$K$4:$K$1203,MATCH($A162,'ORDENES'!$AN$4:$AN$1203,0)),"")="","",$B162-IFERROR(INDEX('ORDENES'!$K$4:$K$1203,MATCH($A162,'ORDENES'!$AN$4:$AN$1203,0)),"")))</f>
        <v/>
      </c>
    </row>
    <row r="163">
      <c r="A163" s="6" t="n"/>
      <c r="B163" s="14" t="n"/>
      <c r="C163" s="6" t="n"/>
      <c r="D163" s="15" t="n"/>
      <c r="E163" s="3">
        <f>IF($A163="","",IFERROR(INDEX('ORDENES'!$D$4:$D$1203,MATCH($A163,'ORDENES'!$AN$4:$AN$1203,0)),"(no encontrada)"))</f>
        <v/>
      </c>
      <c r="F163" s="3">
        <f>IF($A163="","",IF(ISNA(MATCH($A163,'ORDENES'!$AN$4:$AN$1203,0)),"huérfano",IF(COUNTIF($A$4:$A163,$A163)&gt;1,"duplicado (se ignora)","aplicado")))</f>
        <v/>
      </c>
      <c r="G163" s="16">
        <f>IF($F163&lt;&gt;"aplicado","",IF(IFERROR(INDEX('ORDENES'!$K$4:$K$1203,MATCH($A163,'ORDENES'!$AN$4:$AN$1203,0)),"")="","",$B163-IFERROR(INDEX('ORDENES'!$K$4:$K$1203,MATCH($A163,'ORDENES'!$AN$4:$AN$1203,0)),"")))</f>
        <v/>
      </c>
    </row>
    <row r="164">
      <c r="A164" s="6" t="n"/>
      <c r="B164" s="14" t="n"/>
      <c r="C164" s="6" t="n"/>
      <c r="D164" s="15" t="n"/>
      <c r="E164" s="3">
        <f>IF($A164="","",IFERROR(INDEX('ORDENES'!$D$4:$D$1203,MATCH($A164,'ORDENES'!$AN$4:$AN$1203,0)),"(no encontrada)"))</f>
        <v/>
      </c>
      <c r="F164" s="3">
        <f>IF($A164="","",IF(ISNA(MATCH($A164,'ORDENES'!$AN$4:$AN$1203,0)),"huérfano",IF(COUNTIF($A$4:$A164,$A164)&gt;1,"duplicado (se ignora)","aplicado")))</f>
        <v/>
      </c>
      <c r="G164" s="16">
        <f>IF($F164&lt;&gt;"aplicado","",IF(IFERROR(INDEX('ORDENES'!$K$4:$K$1203,MATCH($A164,'ORDENES'!$AN$4:$AN$1203,0)),"")="","",$B164-IFERROR(INDEX('ORDENES'!$K$4:$K$1203,MATCH($A164,'ORDENES'!$AN$4:$AN$1203,0)),"")))</f>
        <v/>
      </c>
    </row>
    <row r="165">
      <c r="A165" s="6" t="n"/>
      <c r="B165" s="14" t="n"/>
      <c r="C165" s="6" t="n"/>
      <c r="D165" s="15" t="n"/>
      <c r="E165" s="3">
        <f>IF($A165="","",IFERROR(INDEX('ORDENES'!$D$4:$D$1203,MATCH($A165,'ORDENES'!$AN$4:$AN$1203,0)),"(no encontrada)"))</f>
        <v/>
      </c>
      <c r="F165" s="3">
        <f>IF($A165="","",IF(ISNA(MATCH($A165,'ORDENES'!$AN$4:$AN$1203,0)),"huérfano",IF(COUNTIF($A$4:$A165,$A165)&gt;1,"duplicado (se ignora)","aplicado")))</f>
        <v/>
      </c>
      <c r="G165" s="16">
        <f>IF($F165&lt;&gt;"aplicado","",IF(IFERROR(INDEX('ORDENES'!$K$4:$K$1203,MATCH($A165,'ORDENES'!$AN$4:$AN$1203,0)),"")="","",$B165-IFERROR(INDEX('ORDENES'!$K$4:$K$1203,MATCH($A165,'ORDENES'!$AN$4:$AN$1203,0)),"")))</f>
        <v/>
      </c>
    </row>
    <row r="166">
      <c r="A166" s="6" t="n"/>
      <c r="B166" s="14" t="n"/>
      <c r="C166" s="6" t="n"/>
      <c r="D166" s="15" t="n"/>
      <c r="E166" s="3">
        <f>IF($A166="","",IFERROR(INDEX('ORDENES'!$D$4:$D$1203,MATCH($A166,'ORDENES'!$AN$4:$AN$1203,0)),"(no encontrada)"))</f>
        <v/>
      </c>
      <c r="F166" s="3">
        <f>IF($A166="","",IF(ISNA(MATCH($A166,'ORDENES'!$AN$4:$AN$1203,0)),"huérfano",IF(COUNTIF($A$4:$A166,$A166)&gt;1,"duplicado (se ignora)","aplicado")))</f>
        <v/>
      </c>
      <c r="G166" s="16">
        <f>IF($F166&lt;&gt;"aplicado","",IF(IFERROR(INDEX('ORDENES'!$K$4:$K$1203,MATCH($A166,'ORDENES'!$AN$4:$AN$1203,0)),"")="","",$B166-IFERROR(INDEX('ORDENES'!$K$4:$K$1203,MATCH($A166,'ORDENES'!$AN$4:$AN$1203,0)),"")))</f>
        <v/>
      </c>
    </row>
    <row r="167">
      <c r="A167" s="6" t="n"/>
      <c r="B167" s="14" t="n"/>
      <c r="C167" s="6" t="n"/>
      <c r="D167" s="15" t="n"/>
      <c r="E167" s="3">
        <f>IF($A167="","",IFERROR(INDEX('ORDENES'!$D$4:$D$1203,MATCH($A167,'ORDENES'!$AN$4:$AN$1203,0)),"(no encontrada)"))</f>
        <v/>
      </c>
      <c r="F167" s="3">
        <f>IF($A167="","",IF(ISNA(MATCH($A167,'ORDENES'!$AN$4:$AN$1203,0)),"huérfano",IF(COUNTIF($A$4:$A167,$A167)&gt;1,"duplicado (se ignora)","aplicado")))</f>
        <v/>
      </c>
      <c r="G167" s="16">
        <f>IF($F167&lt;&gt;"aplicado","",IF(IFERROR(INDEX('ORDENES'!$K$4:$K$1203,MATCH($A167,'ORDENES'!$AN$4:$AN$1203,0)),"")="","",$B167-IFERROR(INDEX('ORDENES'!$K$4:$K$1203,MATCH($A167,'ORDENES'!$AN$4:$AN$1203,0)),"")))</f>
        <v/>
      </c>
    </row>
    <row r="168">
      <c r="A168" s="6" t="n"/>
      <c r="B168" s="14" t="n"/>
      <c r="C168" s="6" t="n"/>
      <c r="D168" s="15" t="n"/>
      <c r="E168" s="3">
        <f>IF($A168="","",IFERROR(INDEX('ORDENES'!$D$4:$D$1203,MATCH($A168,'ORDENES'!$AN$4:$AN$1203,0)),"(no encontrada)"))</f>
        <v/>
      </c>
      <c r="F168" s="3">
        <f>IF($A168="","",IF(ISNA(MATCH($A168,'ORDENES'!$AN$4:$AN$1203,0)),"huérfano",IF(COUNTIF($A$4:$A168,$A168)&gt;1,"duplicado (se ignora)","aplicado")))</f>
        <v/>
      </c>
      <c r="G168" s="16">
        <f>IF($F168&lt;&gt;"aplicado","",IF(IFERROR(INDEX('ORDENES'!$K$4:$K$1203,MATCH($A168,'ORDENES'!$AN$4:$AN$1203,0)),"")="","",$B168-IFERROR(INDEX('ORDENES'!$K$4:$K$1203,MATCH($A168,'ORDENES'!$AN$4:$AN$1203,0)),"")))</f>
        <v/>
      </c>
    </row>
    <row r="169">
      <c r="A169" s="6" t="n"/>
      <c r="B169" s="14" t="n"/>
      <c r="C169" s="6" t="n"/>
      <c r="D169" s="15" t="n"/>
      <c r="E169" s="3">
        <f>IF($A169="","",IFERROR(INDEX('ORDENES'!$D$4:$D$1203,MATCH($A169,'ORDENES'!$AN$4:$AN$1203,0)),"(no encontrada)"))</f>
        <v/>
      </c>
      <c r="F169" s="3">
        <f>IF($A169="","",IF(ISNA(MATCH($A169,'ORDENES'!$AN$4:$AN$1203,0)),"huérfano",IF(COUNTIF($A$4:$A169,$A169)&gt;1,"duplicado (se ignora)","aplicado")))</f>
        <v/>
      </c>
      <c r="G169" s="16">
        <f>IF($F169&lt;&gt;"aplicado","",IF(IFERROR(INDEX('ORDENES'!$K$4:$K$1203,MATCH($A169,'ORDENES'!$AN$4:$AN$1203,0)),"")="","",$B169-IFERROR(INDEX('ORDENES'!$K$4:$K$1203,MATCH($A169,'ORDENES'!$AN$4:$AN$1203,0)),"")))</f>
        <v/>
      </c>
    </row>
    <row r="170">
      <c r="A170" s="6" t="n"/>
      <c r="B170" s="14" t="n"/>
      <c r="C170" s="6" t="n"/>
      <c r="D170" s="15" t="n"/>
      <c r="E170" s="3">
        <f>IF($A170="","",IFERROR(INDEX('ORDENES'!$D$4:$D$1203,MATCH($A170,'ORDENES'!$AN$4:$AN$1203,0)),"(no encontrada)"))</f>
        <v/>
      </c>
      <c r="F170" s="3">
        <f>IF($A170="","",IF(ISNA(MATCH($A170,'ORDENES'!$AN$4:$AN$1203,0)),"huérfano",IF(COUNTIF($A$4:$A170,$A170)&gt;1,"duplicado (se ignora)","aplicado")))</f>
        <v/>
      </c>
      <c r="G170" s="16">
        <f>IF($F170&lt;&gt;"aplicado","",IF(IFERROR(INDEX('ORDENES'!$K$4:$K$1203,MATCH($A170,'ORDENES'!$AN$4:$AN$1203,0)),"")="","",$B170-IFERROR(INDEX('ORDENES'!$K$4:$K$1203,MATCH($A170,'ORDENES'!$AN$4:$AN$1203,0)),"")))</f>
        <v/>
      </c>
    </row>
    <row r="171">
      <c r="A171" s="6" t="n"/>
      <c r="B171" s="14" t="n"/>
      <c r="C171" s="6" t="n"/>
      <c r="D171" s="15" t="n"/>
      <c r="E171" s="3">
        <f>IF($A171="","",IFERROR(INDEX('ORDENES'!$D$4:$D$1203,MATCH($A171,'ORDENES'!$AN$4:$AN$1203,0)),"(no encontrada)"))</f>
        <v/>
      </c>
      <c r="F171" s="3">
        <f>IF($A171="","",IF(ISNA(MATCH($A171,'ORDENES'!$AN$4:$AN$1203,0)),"huérfano",IF(COUNTIF($A$4:$A171,$A171)&gt;1,"duplicado (se ignora)","aplicado")))</f>
        <v/>
      </c>
      <c r="G171" s="16">
        <f>IF($F171&lt;&gt;"aplicado","",IF(IFERROR(INDEX('ORDENES'!$K$4:$K$1203,MATCH($A171,'ORDENES'!$AN$4:$AN$1203,0)),"")="","",$B171-IFERROR(INDEX('ORDENES'!$K$4:$K$1203,MATCH($A171,'ORDENES'!$AN$4:$AN$1203,0)),"")))</f>
        <v/>
      </c>
    </row>
    <row r="172">
      <c r="A172" s="6" t="n"/>
      <c r="B172" s="14" t="n"/>
      <c r="C172" s="6" t="n"/>
      <c r="D172" s="15" t="n"/>
      <c r="E172" s="3">
        <f>IF($A172="","",IFERROR(INDEX('ORDENES'!$D$4:$D$1203,MATCH($A172,'ORDENES'!$AN$4:$AN$1203,0)),"(no encontrada)"))</f>
        <v/>
      </c>
      <c r="F172" s="3">
        <f>IF($A172="","",IF(ISNA(MATCH($A172,'ORDENES'!$AN$4:$AN$1203,0)),"huérfano",IF(COUNTIF($A$4:$A172,$A172)&gt;1,"duplicado (se ignora)","aplicado")))</f>
        <v/>
      </c>
      <c r="G172" s="16">
        <f>IF($F172&lt;&gt;"aplicado","",IF(IFERROR(INDEX('ORDENES'!$K$4:$K$1203,MATCH($A172,'ORDENES'!$AN$4:$AN$1203,0)),"")="","",$B172-IFERROR(INDEX('ORDENES'!$K$4:$K$1203,MATCH($A172,'ORDENES'!$AN$4:$AN$1203,0)),"")))</f>
        <v/>
      </c>
    </row>
    <row r="173">
      <c r="A173" s="6" t="n"/>
      <c r="B173" s="14" t="n"/>
      <c r="C173" s="6" t="n"/>
      <c r="D173" s="15" t="n"/>
      <c r="E173" s="3">
        <f>IF($A173="","",IFERROR(INDEX('ORDENES'!$D$4:$D$1203,MATCH($A173,'ORDENES'!$AN$4:$AN$1203,0)),"(no encontrada)"))</f>
        <v/>
      </c>
      <c r="F173" s="3">
        <f>IF($A173="","",IF(ISNA(MATCH($A173,'ORDENES'!$AN$4:$AN$1203,0)),"huérfano",IF(COUNTIF($A$4:$A173,$A173)&gt;1,"duplicado (se ignora)","aplicado")))</f>
        <v/>
      </c>
      <c r="G173" s="16">
        <f>IF($F173&lt;&gt;"aplicado","",IF(IFERROR(INDEX('ORDENES'!$K$4:$K$1203,MATCH($A173,'ORDENES'!$AN$4:$AN$1203,0)),"")="","",$B173-IFERROR(INDEX('ORDENES'!$K$4:$K$1203,MATCH($A173,'ORDENES'!$AN$4:$AN$1203,0)),"")))</f>
        <v/>
      </c>
    </row>
    <row r="174">
      <c r="A174" s="6" t="n"/>
      <c r="B174" s="14" t="n"/>
      <c r="C174" s="6" t="n"/>
      <c r="D174" s="15" t="n"/>
      <c r="E174" s="3">
        <f>IF($A174="","",IFERROR(INDEX('ORDENES'!$D$4:$D$1203,MATCH($A174,'ORDENES'!$AN$4:$AN$1203,0)),"(no encontrada)"))</f>
        <v/>
      </c>
      <c r="F174" s="3">
        <f>IF($A174="","",IF(ISNA(MATCH($A174,'ORDENES'!$AN$4:$AN$1203,0)),"huérfano",IF(COUNTIF($A$4:$A174,$A174)&gt;1,"duplicado (se ignora)","aplicado")))</f>
        <v/>
      </c>
      <c r="G174" s="16">
        <f>IF($F174&lt;&gt;"aplicado","",IF(IFERROR(INDEX('ORDENES'!$K$4:$K$1203,MATCH($A174,'ORDENES'!$AN$4:$AN$1203,0)),"")="","",$B174-IFERROR(INDEX('ORDENES'!$K$4:$K$1203,MATCH($A174,'ORDENES'!$AN$4:$AN$1203,0)),"")))</f>
        <v/>
      </c>
    </row>
    <row r="175">
      <c r="A175" s="6" t="n"/>
      <c r="B175" s="14" t="n"/>
      <c r="C175" s="6" t="n"/>
      <c r="D175" s="15" t="n"/>
      <c r="E175" s="3">
        <f>IF($A175="","",IFERROR(INDEX('ORDENES'!$D$4:$D$1203,MATCH($A175,'ORDENES'!$AN$4:$AN$1203,0)),"(no encontrada)"))</f>
        <v/>
      </c>
      <c r="F175" s="3">
        <f>IF($A175="","",IF(ISNA(MATCH($A175,'ORDENES'!$AN$4:$AN$1203,0)),"huérfano",IF(COUNTIF($A$4:$A175,$A175)&gt;1,"duplicado (se ignora)","aplicado")))</f>
        <v/>
      </c>
      <c r="G175" s="16">
        <f>IF($F175&lt;&gt;"aplicado","",IF(IFERROR(INDEX('ORDENES'!$K$4:$K$1203,MATCH($A175,'ORDENES'!$AN$4:$AN$1203,0)),"")="","",$B175-IFERROR(INDEX('ORDENES'!$K$4:$K$1203,MATCH($A175,'ORDENES'!$AN$4:$AN$1203,0)),"")))</f>
        <v/>
      </c>
    </row>
    <row r="176">
      <c r="A176" s="6" t="n"/>
      <c r="B176" s="14" t="n"/>
      <c r="C176" s="6" t="n"/>
      <c r="D176" s="15" t="n"/>
      <c r="E176" s="3">
        <f>IF($A176="","",IFERROR(INDEX('ORDENES'!$D$4:$D$1203,MATCH($A176,'ORDENES'!$AN$4:$AN$1203,0)),"(no encontrada)"))</f>
        <v/>
      </c>
      <c r="F176" s="3">
        <f>IF($A176="","",IF(ISNA(MATCH($A176,'ORDENES'!$AN$4:$AN$1203,0)),"huérfano",IF(COUNTIF($A$4:$A176,$A176)&gt;1,"duplicado (se ignora)","aplicado")))</f>
        <v/>
      </c>
      <c r="G176" s="16">
        <f>IF($F176&lt;&gt;"aplicado","",IF(IFERROR(INDEX('ORDENES'!$K$4:$K$1203,MATCH($A176,'ORDENES'!$AN$4:$AN$1203,0)),"")="","",$B176-IFERROR(INDEX('ORDENES'!$K$4:$K$1203,MATCH($A176,'ORDENES'!$AN$4:$AN$1203,0)),"")))</f>
        <v/>
      </c>
    </row>
    <row r="177">
      <c r="A177" s="6" t="n"/>
      <c r="B177" s="14" t="n"/>
      <c r="C177" s="6" t="n"/>
      <c r="D177" s="15" t="n"/>
      <c r="E177" s="3">
        <f>IF($A177="","",IFERROR(INDEX('ORDENES'!$D$4:$D$1203,MATCH($A177,'ORDENES'!$AN$4:$AN$1203,0)),"(no encontrada)"))</f>
        <v/>
      </c>
      <c r="F177" s="3">
        <f>IF($A177="","",IF(ISNA(MATCH($A177,'ORDENES'!$AN$4:$AN$1203,0)),"huérfano",IF(COUNTIF($A$4:$A177,$A177)&gt;1,"duplicado (se ignora)","aplicado")))</f>
        <v/>
      </c>
      <c r="G177" s="16">
        <f>IF($F177&lt;&gt;"aplicado","",IF(IFERROR(INDEX('ORDENES'!$K$4:$K$1203,MATCH($A177,'ORDENES'!$AN$4:$AN$1203,0)),"")="","",$B177-IFERROR(INDEX('ORDENES'!$K$4:$K$1203,MATCH($A177,'ORDENES'!$AN$4:$AN$1203,0)),"")))</f>
        <v/>
      </c>
    </row>
    <row r="178">
      <c r="A178" s="6" t="n"/>
      <c r="B178" s="14" t="n"/>
      <c r="C178" s="6" t="n"/>
      <c r="D178" s="15" t="n"/>
      <c r="E178" s="3">
        <f>IF($A178="","",IFERROR(INDEX('ORDENES'!$D$4:$D$1203,MATCH($A178,'ORDENES'!$AN$4:$AN$1203,0)),"(no encontrada)"))</f>
        <v/>
      </c>
      <c r="F178" s="3">
        <f>IF($A178="","",IF(ISNA(MATCH($A178,'ORDENES'!$AN$4:$AN$1203,0)),"huérfano",IF(COUNTIF($A$4:$A178,$A178)&gt;1,"duplicado (se ignora)","aplicado")))</f>
        <v/>
      </c>
      <c r="G178" s="16">
        <f>IF($F178&lt;&gt;"aplicado","",IF(IFERROR(INDEX('ORDENES'!$K$4:$K$1203,MATCH($A178,'ORDENES'!$AN$4:$AN$1203,0)),"")="","",$B178-IFERROR(INDEX('ORDENES'!$K$4:$K$1203,MATCH($A178,'ORDENES'!$AN$4:$AN$1203,0)),"")))</f>
        <v/>
      </c>
    </row>
    <row r="179">
      <c r="A179" s="6" t="n"/>
      <c r="B179" s="14" t="n"/>
      <c r="C179" s="6" t="n"/>
      <c r="D179" s="15" t="n"/>
      <c r="E179" s="3">
        <f>IF($A179="","",IFERROR(INDEX('ORDENES'!$D$4:$D$1203,MATCH($A179,'ORDENES'!$AN$4:$AN$1203,0)),"(no encontrada)"))</f>
        <v/>
      </c>
      <c r="F179" s="3">
        <f>IF($A179="","",IF(ISNA(MATCH($A179,'ORDENES'!$AN$4:$AN$1203,0)),"huérfano",IF(COUNTIF($A$4:$A179,$A179)&gt;1,"duplicado (se ignora)","aplicado")))</f>
        <v/>
      </c>
      <c r="G179" s="16">
        <f>IF($F179&lt;&gt;"aplicado","",IF(IFERROR(INDEX('ORDENES'!$K$4:$K$1203,MATCH($A179,'ORDENES'!$AN$4:$AN$1203,0)),"")="","",$B179-IFERROR(INDEX('ORDENES'!$K$4:$K$1203,MATCH($A179,'ORDENES'!$AN$4:$AN$1203,0)),"")))</f>
        <v/>
      </c>
    </row>
    <row r="180">
      <c r="A180" s="6" t="n"/>
      <c r="B180" s="14" t="n"/>
      <c r="C180" s="6" t="n"/>
      <c r="D180" s="15" t="n"/>
      <c r="E180" s="3">
        <f>IF($A180="","",IFERROR(INDEX('ORDENES'!$D$4:$D$1203,MATCH($A180,'ORDENES'!$AN$4:$AN$1203,0)),"(no encontrada)"))</f>
        <v/>
      </c>
      <c r="F180" s="3">
        <f>IF($A180="","",IF(ISNA(MATCH($A180,'ORDENES'!$AN$4:$AN$1203,0)),"huérfano",IF(COUNTIF($A$4:$A180,$A180)&gt;1,"duplicado (se ignora)","aplicado")))</f>
        <v/>
      </c>
      <c r="G180" s="16">
        <f>IF($F180&lt;&gt;"aplicado","",IF(IFERROR(INDEX('ORDENES'!$K$4:$K$1203,MATCH($A180,'ORDENES'!$AN$4:$AN$1203,0)),"")="","",$B180-IFERROR(INDEX('ORDENES'!$K$4:$K$1203,MATCH($A180,'ORDENES'!$AN$4:$AN$1203,0)),"")))</f>
        <v/>
      </c>
    </row>
    <row r="181">
      <c r="A181" s="6" t="n"/>
      <c r="B181" s="14" t="n"/>
      <c r="C181" s="6" t="n"/>
      <c r="D181" s="15" t="n"/>
      <c r="E181" s="3">
        <f>IF($A181="","",IFERROR(INDEX('ORDENES'!$D$4:$D$1203,MATCH($A181,'ORDENES'!$AN$4:$AN$1203,0)),"(no encontrada)"))</f>
        <v/>
      </c>
      <c r="F181" s="3">
        <f>IF($A181="","",IF(ISNA(MATCH($A181,'ORDENES'!$AN$4:$AN$1203,0)),"huérfano",IF(COUNTIF($A$4:$A181,$A181)&gt;1,"duplicado (se ignora)","aplicado")))</f>
        <v/>
      </c>
      <c r="G181" s="16">
        <f>IF($F181&lt;&gt;"aplicado","",IF(IFERROR(INDEX('ORDENES'!$K$4:$K$1203,MATCH($A181,'ORDENES'!$AN$4:$AN$1203,0)),"")="","",$B181-IFERROR(INDEX('ORDENES'!$K$4:$K$1203,MATCH($A181,'ORDENES'!$AN$4:$AN$1203,0)),"")))</f>
        <v/>
      </c>
    </row>
    <row r="182">
      <c r="A182" s="6" t="n"/>
      <c r="B182" s="14" t="n"/>
      <c r="C182" s="6" t="n"/>
      <c r="D182" s="15" t="n"/>
      <c r="E182" s="3">
        <f>IF($A182="","",IFERROR(INDEX('ORDENES'!$D$4:$D$1203,MATCH($A182,'ORDENES'!$AN$4:$AN$1203,0)),"(no encontrada)"))</f>
        <v/>
      </c>
      <c r="F182" s="3">
        <f>IF($A182="","",IF(ISNA(MATCH($A182,'ORDENES'!$AN$4:$AN$1203,0)),"huérfano",IF(COUNTIF($A$4:$A182,$A182)&gt;1,"duplicado (se ignora)","aplicado")))</f>
        <v/>
      </c>
      <c r="G182" s="16">
        <f>IF($F182&lt;&gt;"aplicado","",IF(IFERROR(INDEX('ORDENES'!$K$4:$K$1203,MATCH($A182,'ORDENES'!$AN$4:$AN$1203,0)),"")="","",$B182-IFERROR(INDEX('ORDENES'!$K$4:$K$1203,MATCH($A182,'ORDENES'!$AN$4:$AN$1203,0)),"")))</f>
        <v/>
      </c>
    </row>
    <row r="183">
      <c r="A183" s="6" t="n"/>
      <c r="B183" s="14" t="n"/>
      <c r="C183" s="6" t="n"/>
      <c r="D183" s="15" t="n"/>
      <c r="E183" s="3">
        <f>IF($A183="","",IFERROR(INDEX('ORDENES'!$D$4:$D$1203,MATCH($A183,'ORDENES'!$AN$4:$AN$1203,0)),"(no encontrada)"))</f>
        <v/>
      </c>
      <c r="F183" s="3">
        <f>IF($A183="","",IF(ISNA(MATCH($A183,'ORDENES'!$AN$4:$AN$1203,0)),"huérfano",IF(COUNTIF($A$4:$A183,$A183)&gt;1,"duplicado (se ignora)","aplicado")))</f>
        <v/>
      </c>
      <c r="G183" s="16">
        <f>IF($F183&lt;&gt;"aplicado","",IF(IFERROR(INDEX('ORDENES'!$K$4:$K$1203,MATCH($A183,'ORDENES'!$AN$4:$AN$1203,0)),"")="","",$B183-IFERROR(INDEX('ORDENES'!$K$4:$K$1203,MATCH($A183,'ORDENES'!$AN$4:$AN$1203,0)),"")))</f>
        <v/>
      </c>
    </row>
    <row r="184">
      <c r="A184" s="6" t="n"/>
      <c r="B184" s="14" t="n"/>
      <c r="C184" s="6" t="n"/>
      <c r="D184" s="15" t="n"/>
      <c r="E184" s="3">
        <f>IF($A184="","",IFERROR(INDEX('ORDENES'!$D$4:$D$1203,MATCH($A184,'ORDENES'!$AN$4:$AN$1203,0)),"(no encontrada)"))</f>
        <v/>
      </c>
      <c r="F184" s="3">
        <f>IF($A184="","",IF(ISNA(MATCH($A184,'ORDENES'!$AN$4:$AN$1203,0)),"huérfano",IF(COUNTIF($A$4:$A184,$A184)&gt;1,"duplicado (se ignora)","aplicado")))</f>
        <v/>
      </c>
      <c r="G184" s="16">
        <f>IF($F184&lt;&gt;"aplicado","",IF(IFERROR(INDEX('ORDENES'!$K$4:$K$1203,MATCH($A184,'ORDENES'!$AN$4:$AN$1203,0)),"")="","",$B184-IFERROR(INDEX('ORDENES'!$K$4:$K$1203,MATCH($A184,'ORDENES'!$AN$4:$AN$1203,0)),"")))</f>
        <v/>
      </c>
    </row>
    <row r="185">
      <c r="A185" s="6" t="n"/>
      <c r="B185" s="14" t="n"/>
      <c r="C185" s="6" t="n"/>
      <c r="D185" s="15" t="n"/>
      <c r="E185" s="3">
        <f>IF($A185="","",IFERROR(INDEX('ORDENES'!$D$4:$D$1203,MATCH($A185,'ORDENES'!$AN$4:$AN$1203,0)),"(no encontrada)"))</f>
        <v/>
      </c>
      <c r="F185" s="3">
        <f>IF($A185="","",IF(ISNA(MATCH($A185,'ORDENES'!$AN$4:$AN$1203,0)),"huérfano",IF(COUNTIF($A$4:$A185,$A185)&gt;1,"duplicado (se ignora)","aplicado")))</f>
        <v/>
      </c>
      <c r="G185" s="16">
        <f>IF($F185&lt;&gt;"aplicado","",IF(IFERROR(INDEX('ORDENES'!$K$4:$K$1203,MATCH($A185,'ORDENES'!$AN$4:$AN$1203,0)),"")="","",$B185-IFERROR(INDEX('ORDENES'!$K$4:$K$1203,MATCH($A185,'ORDENES'!$AN$4:$AN$1203,0)),"")))</f>
        <v/>
      </c>
    </row>
    <row r="186">
      <c r="A186" s="6" t="n"/>
      <c r="B186" s="14" t="n"/>
      <c r="C186" s="6" t="n"/>
      <c r="D186" s="15" t="n"/>
      <c r="E186" s="3">
        <f>IF($A186="","",IFERROR(INDEX('ORDENES'!$D$4:$D$1203,MATCH($A186,'ORDENES'!$AN$4:$AN$1203,0)),"(no encontrada)"))</f>
        <v/>
      </c>
      <c r="F186" s="3">
        <f>IF($A186="","",IF(ISNA(MATCH($A186,'ORDENES'!$AN$4:$AN$1203,0)),"huérfano",IF(COUNTIF($A$4:$A186,$A186)&gt;1,"duplicado (se ignora)","aplicado")))</f>
        <v/>
      </c>
      <c r="G186" s="16">
        <f>IF($F186&lt;&gt;"aplicado","",IF(IFERROR(INDEX('ORDENES'!$K$4:$K$1203,MATCH($A186,'ORDENES'!$AN$4:$AN$1203,0)),"")="","",$B186-IFERROR(INDEX('ORDENES'!$K$4:$K$1203,MATCH($A186,'ORDENES'!$AN$4:$AN$1203,0)),"")))</f>
        <v/>
      </c>
    </row>
    <row r="187">
      <c r="A187" s="6" t="n"/>
      <c r="B187" s="14" t="n"/>
      <c r="C187" s="6" t="n"/>
      <c r="D187" s="15" t="n"/>
      <c r="E187" s="3">
        <f>IF($A187="","",IFERROR(INDEX('ORDENES'!$D$4:$D$1203,MATCH($A187,'ORDENES'!$AN$4:$AN$1203,0)),"(no encontrada)"))</f>
        <v/>
      </c>
      <c r="F187" s="3">
        <f>IF($A187="","",IF(ISNA(MATCH($A187,'ORDENES'!$AN$4:$AN$1203,0)),"huérfano",IF(COUNTIF($A$4:$A187,$A187)&gt;1,"duplicado (se ignora)","aplicado")))</f>
        <v/>
      </c>
      <c r="G187" s="16">
        <f>IF($F187&lt;&gt;"aplicado","",IF(IFERROR(INDEX('ORDENES'!$K$4:$K$1203,MATCH($A187,'ORDENES'!$AN$4:$AN$1203,0)),"")="","",$B187-IFERROR(INDEX('ORDENES'!$K$4:$K$1203,MATCH($A187,'ORDENES'!$AN$4:$AN$1203,0)),"")))</f>
        <v/>
      </c>
    </row>
    <row r="188">
      <c r="A188" s="6" t="n"/>
      <c r="B188" s="14" t="n"/>
      <c r="C188" s="6" t="n"/>
      <c r="D188" s="15" t="n"/>
      <c r="E188" s="3">
        <f>IF($A188="","",IFERROR(INDEX('ORDENES'!$D$4:$D$1203,MATCH($A188,'ORDENES'!$AN$4:$AN$1203,0)),"(no encontrada)"))</f>
        <v/>
      </c>
      <c r="F188" s="3">
        <f>IF($A188="","",IF(ISNA(MATCH($A188,'ORDENES'!$AN$4:$AN$1203,0)),"huérfano",IF(COUNTIF($A$4:$A188,$A188)&gt;1,"duplicado (se ignora)","aplicado")))</f>
        <v/>
      </c>
      <c r="G188" s="16">
        <f>IF($F188&lt;&gt;"aplicado","",IF(IFERROR(INDEX('ORDENES'!$K$4:$K$1203,MATCH($A188,'ORDENES'!$AN$4:$AN$1203,0)),"")="","",$B188-IFERROR(INDEX('ORDENES'!$K$4:$K$1203,MATCH($A188,'ORDENES'!$AN$4:$AN$1203,0)),"")))</f>
        <v/>
      </c>
    </row>
    <row r="189">
      <c r="A189" s="6" t="n"/>
      <c r="B189" s="14" t="n"/>
      <c r="C189" s="6" t="n"/>
      <c r="D189" s="15" t="n"/>
      <c r="E189" s="3">
        <f>IF($A189="","",IFERROR(INDEX('ORDENES'!$D$4:$D$1203,MATCH($A189,'ORDENES'!$AN$4:$AN$1203,0)),"(no encontrada)"))</f>
        <v/>
      </c>
      <c r="F189" s="3">
        <f>IF($A189="","",IF(ISNA(MATCH($A189,'ORDENES'!$AN$4:$AN$1203,0)),"huérfano",IF(COUNTIF($A$4:$A189,$A189)&gt;1,"duplicado (se ignora)","aplicado")))</f>
        <v/>
      </c>
      <c r="G189" s="16">
        <f>IF($F189&lt;&gt;"aplicado","",IF(IFERROR(INDEX('ORDENES'!$K$4:$K$1203,MATCH($A189,'ORDENES'!$AN$4:$AN$1203,0)),"")="","",$B189-IFERROR(INDEX('ORDENES'!$K$4:$K$1203,MATCH($A189,'ORDENES'!$AN$4:$AN$1203,0)),"")))</f>
        <v/>
      </c>
    </row>
    <row r="190">
      <c r="A190" s="6" t="n"/>
      <c r="B190" s="14" t="n"/>
      <c r="C190" s="6" t="n"/>
      <c r="D190" s="15" t="n"/>
      <c r="E190" s="3">
        <f>IF($A190="","",IFERROR(INDEX('ORDENES'!$D$4:$D$1203,MATCH($A190,'ORDENES'!$AN$4:$AN$1203,0)),"(no encontrada)"))</f>
        <v/>
      </c>
      <c r="F190" s="3">
        <f>IF($A190="","",IF(ISNA(MATCH($A190,'ORDENES'!$AN$4:$AN$1203,0)),"huérfano",IF(COUNTIF($A$4:$A190,$A190)&gt;1,"duplicado (se ignora)","aplicado")))</f>
        <v/>
      </c>
      <c r="G190" s="16">
        <f>IF($F190&lt;&gt;"aplicado","",IF(IFERROR(INDEX('ORDENES'!$K$4:$K$1203,MATCH($A190,'ORDENES'!$AN$4:$AN$1203,0)),"")="","",$B190-IFERROR(INDEX('ORDENES'!$K$4:$K$1203,MATCH($A190,'ORDENES'!$AN$4:$AN$1203,0)),"")))</f>
        <v/>
      </c>
    </row>
    <row r="191">
      <c r="A191" s="6" t="n"/>
      <c r="B191" s="14" t="n"/>
      <c r="C191" s="6" t="n"/>
      <c r="D191" s="15" t="n"/>
      <c r="E191" s="3">
        <f>IF($A191="","",IFERROR(INDEX('ORDENES'!$D$4:$D$1203,MATCH($A191,'ORDENES'!$AN$4:$AN$1203,0)),"(no encontrada)"))</f>
        <v/>
      </c>
      <c r="F191" s="3">
        <f>IF($A191="","",IF(ISNA(MATCH($A191,'ORDENES'!$AN$4:$AN$1203,0)),"huérfano",IF(COUNTIF($A$4:$A191,$A191)&gt;1,"duplicado (se ignora)","aplicado")))</f>
        <v/>
      </c>
      <c r="G191" s="16">
        <f>IF($F191&lt;&gt;"aplicado","",IF(IFERROR(INDEX('ORDENES'!$K$4:$K$1203,MATCH($A191,'ORDENES'!$AN$4:$AN$1203,0)),"")="","",$B191-IFERROR(INDEX('ORDENES'!$K$4:$K$1203,MATCH($A191,'ORDENES'!$AN$4:$AN$1203,0)),"")))</f>
        <v/>
      </c>
    </row>
    <row r="192">
      <c r="A192" s="6" t="n"/>
      <c r="B192" s="14" t="n"/>
      <c r="C192" s="6" t="n"/>
      <c r="D192" s="15" t="n"/>
      <c r="E192" s="3">
        <f>IF($A192="","",IFERROR(INDEX('ORDENES'!$D$4:$D$1203,MATCH($A192,'ORDENES'!$AN$4:$AN$1203,0)),"(no encontrada)"))</f>
        <v/>
      </c>
      <c r="F192" s="3">
        <f>IF($A192="","",IF(ISNA(MATCH($A192,'ORDENES'!$AN$4:$AN$1203,0)),"huérfano",IF(COUNTIF($A$4:$A192,$A192)&gt;1,"duplicado (se ignora)","aplicado")))</f>
        <v/>
      </c>
      <c r="G192" s="16">
        <f>IF($F192&lt;&gt;"aplicado","",IF(IFERROR(INDEX('ORDENES'!$K$4:$K$1203,MATCH($A192,'ORDENES'!$AN$4:$AN$1203,0)),"")="","",$B192-IFERROR(INDEX('ORDENES'!$K$4:$K$1203,MATCH($A192,'ORDENES'!$AN$4:$AN$1203,0)),"")))</f>
        <v/>
      </c>
    </row>
    <row r="193">
      <c r="A193" s="6" t="n"/>
      <c r="B193" s="14" t="n"/>
      <c r="C193" s="6" t="n"/>
      <c r="D193" s="15" t="n"/>
      <c r="E193" s="3">
        <f>IF($A193="","",IFERROR(INDEX('ORDENES'!$D$4:$D$1203,MATCH($A193,'ORDENES'!$AN$4:$AN$1203,0)),"(no encontrada)"))</f>
        <v/>
      </c>
      <c r="F193" s="3">
        <f>IF($A193="","",IF(ISNA(MATCH($A193,'ORDENES'!$AN$4:$AN$1203,0)),"huérfano",IF(COUNTIF($A$4:$A193,$A193)&gt;1,"duplicado (se ignora)","aplicado")))</f>
        <v/>
      </c>
      <c r="G193" s="16">
        <f>IF($F193&lt;&gt;"aplicado","",IF(IFERROR(INDEX('ORDENES'!$K$4:$K$1203,MATCH($A193,'ORDENES'!$AN$4:$AN$1203,0)),"")="","",$B193-IFERROR(INDEX('ORDENES'!$K$4:$K$1203,MATCH($A193,'ORDENES'!$AN$4:$AN$1203,0)),"")))</f>
        <v/>
      </c>
    </row>
    <row r="194">
      <c r="A194" s="6" t="n"/>
      <c r="B194" s="14" t="n"/>
      <c r="C194" s="6" t="n"/>
      <c r="D194" s="15" t="n"/>
      <c r="E194" s="3">
        <f>IF($A194="","",IFERROR(INDEX('ORDENES'!$D$4:$D$1203,MATCH($A194,'ORDENES'!$AN$4:$AN$1203,0)),"(no encontrada)"))</f>
        <v/>
      </c>
      <c r="F194" s="3">
        <f>IF($A194="","",IF(ISNA(MATCH($A194,'ORDENES'!$AN$4:$AN$1203,0)),"huérfano",IF(COUNTIF($A$4:$A194,$A194)&gt;1,"duplicado (se ignora)","aplicado")))</f>
        <v/>
      </c>
      <c r="G194" s="16">
        <f>IF($F194&lt;&gt;"aplicado","",IF(IFERROR(INDEX('ORDENES'!$K$4:$K$1203,MATCH($A194,'ORDENES'!$AN$4:$AN$1203,0)),"")="","",$B194-IFERROR(INDEX('ORDENES'!$K$4:$K$1203,MATCH($A194,'ORDENES'!$AN$4:$AN$1203,0)),"")))</f>
        <v/>
      </c>
    </row>
    <row r="195">
      <c r="A195" s="6" t="n"/>
      <c r="B195" s="14" t="n"/>
      <c r="C195" s="6" t="n"/>
      <c r="D195" s="15" t="n"/>
      <c r="E195" s="3">
        <f>IF($A195="","",IFERROR(INDEX('ORDENES'!$D$4:$D$1203,MATCH($A195,'ORDENES'!$AN$4:$AN$1203,0)),"(no encontrada)"))</f>
        <v/>
      </c>
      <c r="F195" s="3">
        <f>IF($A195="","",IF(ISNA(MATCH($A195,'ORDENES'!$AN$4:$AN$1203,0)),"huérfano",IF(COUNTIF($A$4:$A195,$A195)&gt;1,"duplicado (se ignora)","aplicado")))</f>
        <v/>
      </c>
      <c r="G195" s="16">
        <f>IF($F195&lt;&gt;"aplicado","",IF(IFERROR(INDEX('ORDENES'!$K$4:$K$1203,MATCH($A195,'ORDENES'!$AN$4:$AN$1203,0)),"")="","",$B195-IFERROR(INDEX('ORDENES'!$K$4:$K$1203,MATCH($A195,'ORDENES'!$AN$4:$AN$1203,0)),"")))</f>
        <v/>
      </c>
    </row>
    <row r="196">
      <c r="A196" s="6" t="n"/>
      <c r="B196" s="14" t="n"/>
      <c r="C196" s="6" t="n"/>
      <c r="D196" s="15" t="n"/>
      <c r="E196" s="3">
        <f>IF($A196="","",IFERROR(INDEX('ORDENES'!$D$4:$D$1203,MATCH($A196,'ORDENES'!$AN$4:$AN$1203,0)),"(no encontrada)"))</f>
        <v/>
      </c>
      <c r="F196" s="3">
        <f>IF($A196="","",IF(ISNA(MATCH($A196,'ORDENES'!$AN$4:$AN$1203,0)),"huérfano",IF(COUNTIF($A$4:$A196,$A196)&gt;1,"duplicado (se ignora)","aplicado")))</f>
        <v/>
      </c>
      <c r="G196" s="16">
        <f>IF($F196&lt;&gt;"aplicado","",IF(IFERROR(INDEX('ORDENES'!$K$4:$K$1203,MATCH($A196,'ORDENES'!$AN$4:$AN$1203,0)),"")="","",$B196-IFERROR(INDEX('ORDENES'!$K$4:$K$1203,MATCH($A196,'ORDENES'!$AN$4:$AN$1203,0)),"")))</f>
        <v/>
      </c>
    </row>
    <row r="197">
      <c r="A197" s="6" t="n"/>
      <c r="B197" s="14" t="n"/>
      <c r="C197" s="6" t="n"/>
      <c r="D197" s="15" t="n"/>
      <c r="E197" s="3">
        <f>IF($A197="","",IFERROR(INDEX('ORDENES'!$D$4:$D$1203,MATCH($A197,'ORDENES'!$AN$4:$AN$1203,0)),"(no encontrada)"))</f>
        <v/>
      </c>
      <c r="F197" s="3">
        <f>IF($A197="","",IF(ISNA(MATCH($A197,'ORDENES'!$AN$4:$AN$1203,0)),"huérfano",IF(COUNTIF($A$4:$A197,$A197)&gt;1,"duplicado (se ignora)","aplicado")))</f>
        <v/>
      </c>
      <c r="G197" s="16">
        <f>IF($F197&lt;&gt;"aplicado","",IF(IFERROR(INDEX('ORDENES'!$K$4:$K$1203,MATCH($A197,'ORDENES'!$AN$4:$AN$1203,0)),"")="","",$B197-IFERROR(INDEX('ORDENES'!$K$4:$K$1203,MATCH($A197,'ORDENES'!$AN$4:$AN$1203,0)),"")))</f>
        <v/>
      </c>
    </row>
    <row r="198">
      <c r="A198" s="6" t="n"/>
      <c r="B198" s="14" t="n"/>
      <c r="C198" s="6" t="n"/>
      <c r="D198" s="15" t="n"/>
      <c r="E198" s="3">
        <f>IF($A198="","",IFERROR(INDEX('ORDENES'!$D$4:$D$1203,MATCH($A198,'ORDENES'!$AN$4:$AN$1203,0)),"(no encontrada)"))</f>
        <v/>
      </c>
      <c r="F198" s="3">
        <f>IF($A198="","",IF(ISNA(MATCH($A198,'ORDENES'!$AN$4:$AN$1203,0)),"huérfano",IF(COUNTIF($A$4:$A198,$A198)&gt;1,"duplicado (se ignora)","aplicado")))</f>
        <v/>
      </c>
      <c r="G198" s="16">
        <f>IF($F198&lt;&gt;"aplicado","",IF(IFERROR(INDEX('ORDENES'!$K$4:$K$1203,MATCH($A198,'ORDENES'!$AN$4:$AN$1203,0)),"")="","",$B198-IFERROR(INDEX('ORDENES'!$K$4:$K$1203,MATCH($A198,'ORDENES'!$AN$4:$AN$1203,0)),"")))</f>
        <v/>
      </c>
    </row>
    <row r="199">
      <c r="A199" s="6" t="n"/>
      <c r="B199" s="14" t="n"/>
      <c r="C199" s="6" t="n"/>
      <c r="D199" s="15" t="n"/>
      <c r="E199" s="3">
        <f>IF($A199="","",IFERROR(INDEX('ORDENES'!$D$4:$D$1203,MATCH($A199,'ORDENES'!$AN$4:$AN$1203,0)),"(no encontrada)"))</f>
        <v/>
      </c>
      <c r="F199" s="3">
        <f>IF($A199="","",IF(ISNA(MATCH($A199,'ORDENES'!$AN$4:$AN$1203,0)),"huérfano",IF(COUNTIF($A$4:$A199,$A199)&gt;1,"duplicado (se ignora)","aplicado")))</f>
        <v/>
      </c>
      <c r="G199" s="16">
        <f>IF($F199&lt;&gt;"aplicado","",IF(IFERROR(INDEX('ORDENES'!$K$4:$K$1203,MATCH($A199,'ORDENES'!$AN$4:$AN$1203,0)),"")="","",$B199-IFERROR(INDEX('ORDENES'!$K$4:$K$1203,MATCH($A199,'ORDENES'!$AN$4:$AN$1203,0)),"")))</f>
        <v/>
      </c>
    </row>
    <row r="200">
      <c r="A200" s="6" t="n"/>
      <c r="B200" s="14" t="n"/>
      <c r="C200" s="6" t="n"/>
      <c r="D200" s="15" t="n"/>
      <c r="E200" s="3">
        <f>IF($A200="","",IFERROR(INDEX('ORDENES'!$D$4:$D$1203,MATCH($A200,'ORDENES'!$AN$4:$AN$1203,0)),"(no encontrada)"))</f>
        <v/>
      </c>
      <c r="F200" s="3">
        <f>IF($A200="","",IF(ISNA(MATCH($A200,'ORDENES'!$AN$4:$AN$1203,0)),"huérfano",IF(COUNTIF($A$4:$A200,$A200)&gt;1,"duplicado (se ignora)","aplicado")))</f>
        <v/>
      </c>
      <c r="G200" s="16">
        <f>IF($F200&lt;&gt;"aplicado","",IF(IFERROR(INDEX('ORDENES'!$K$4:$K$1203,MATCH($A200,'ORDENES'!$AN$4:$AN$1203,0)),"")="","",$B200-IFERROR(INDEX('ORDENES'!$K$4:$K$1203,MATCH($A200,'ORDENES'!$AN$4:$AN$1203,0)),"")))</f>
        <v/>
      </c>
    </row>
    <row r="201">
      <c r="A201" s="6" t="n"/>
      <c r="B201" s="14" t="n"/>
      <c r="C201" s="6" t="n"/>
      <c r="D201" s="15" t="n"/>
      <c r="E201" s="3">
        <f>IF($A201="","",IFERROR(INDEX('ORDENES'!$D$4:$D$1203,MATCH($A201,'ORDENES'!$AN$4:$AN$1203,0)),"(no encontrada)"))</f>
        <v/>
      </c>
      <c r="F201" s="3">
        <f>IF($A201="","",IF(ISNA(MATCH($A201,'ORDENES'!$AN$4:$AN$1203,0)),"huérfano",IF(COUNTIF($A$4:$A201,$A201)&gt;1,"duplicado (se ignora)","aplicado")))</f>
        <v/>
      </c>
      <c r="G201" s="16">
        <f>IF($F201&lt;&gt;"aplicado","",IF(IFERROR(INDEX('ORDENES'!$K$4:$K$1203,MATCH($A201,'ORDENES'!$AN$4:$AN$1203,0)),"")="","",$B201-IFERROR(INDEX('ORDENES'!$K$4:$K$1203,MATCH($A201,'ORDENES'!$AN$4:$AN$1203,0)),"")))</f>
        <v/>
      </c>
    </row>
    <row r="202">
      <c r="A202" s="6" t="n"/>
      <c r="B202" s="14" t="n"/>
      <c r="C202" s="6" t="n"/>
      <c r="D202" s="15" t="n"/>
      <c r="E202" s="3">
        <f>IF($A202="","",IFERROR(INDEX('ORDENES'!$D$4:$D$1203,MATCH($A202,'ORDENES'!$AN$4:$AN$1203,0)),"(no encontrada)"))</f>
        <v/>
      </c>
      <c r="F202" s="3">
        <f>IF($A202="","",IF(ISNA(MATCH($A202,'ORDENES'!$AN$4:$AN$1203,0)),"huérfano",IF(COUNTIF($A$4:$A202,$A202)&gt;1,"duplicado (se ignora)","aplicado")))</f>
        <v/>
      </c>
      <c r="G202" s="16">
        <f>IF($F202&lt;&gt;"aplicado","",IF(IFERROR(INDEX('ORDENES'!$K$4:$K$1203,MATCH($A202,'ORDENES'!$AN$4:$AN$1203,0)),"")="","",$B202-IFERROR(INDEX('ORDENES'!$K$4:$K$1203,MATCH($A202,'ORDENES'!$AN$4:$AN$1203,0)),"")))</f>
        <v/>
      </c>
    </row>
    <row r="203">
      <c r="A203" s="6" t="n"/>
      <c r="B203" s="14" t="n"/>
      <c r="C203" s="6" t="n"/>
      <c r="D203" s="15" t="n"/>
      <c r="E203" s="3">
        <f>IF($A203="","",IFERROR(INDEX('ORDENES'!$D$4:$D$1203,MATCH($A203,'ORDENES'!$AN$4:$AN$1203,0)),"(no encontrada)"))</f>
        <v/>
      </c>
      <c r="F203" s="3">
        <f>IF($A203="","",IF(ISNA(MATCH($A203,'ORDENES'!$AN$4:$AN$1203,0)),"huérfano",IF(COUNTIF($A$4:$A203,$A203)&gt;1,"duplicado (se ignora)","aplicado")))</f>
        <v/>
      </c>
      <c r="G203" s="16">
        <f>IF($F203&lt;&gt;"aplicado","",IF(IFERROR(INDEX('ORDENES'!$K$4:$K$1203,MATCH($A203,'ORDENES'!$AN$4:$AN$1203,0)),"")="","",$B203-IFERROR(INDEX('ORDENES'!$K$4:$K$1203,MATCH($A203,'ORDENES'!$AN$4:$AN$1203,0)),"")))</f>
        <v/>
      </c>
    </row>
    <row r="204">
      <c r="A204" s="6" t="n"/>
      <c r="B204" s="14" t="n"/>
      <c r="C204" s="6" t="n"/>
      <c r="D204" s="15" t="n"/>
      <c r="E204" s="3">
        <f>IF($A204="","",IFERROR(INDEX('ORDENES'!$D$4:$D$1203,MATCH($A204,'ORDENES'!$AN$4:$AN$1203,0)),"(no encontrada)"))</f>
        <v/>
      </c>
      <c r="F204" s="3">
        <f>IF($A204="","",IF(ISNA(MATCH($A204,'ORDENES'!$AN$4:$AN$1203,0)),"huérfano",IF(COUNTIF($A$4:$A204,$A204)&gt;1,"duplicado (se ignora)","aplicado")))</f>
        <v/>
      </c>
      <c r="G204" s="16">
        <f>IF($F204&lt;&gt;"aplicado","",IF(IFERROR(INDEX('ORDENES'!$K$4:$K$1203,MATCH($A204,'ORDENES'!$AN$4:$AN$1203,0)),"")="","",$B204-IFERROR(INDEX('ORDENES'!$K$4:$K$1203,MATCH($A204,'ORDENES'!$AN$4:$AN$1203,0)),"")))</f>
        <v/>
      </c>
    </row>
    <row r="205">
      <c r="A205" s="6" t="n"/>
      <c r="B205" s="14" t="n"/>
      <c r="C205" s="6" t="n"/>
      <c r="D205" s="15" t="n"/>
      <c r="E205" s="3">
        <f>IF($A205="","",IFERROR(INDEX('ORDENES'!$D$4:$D$1203,MATCH($A205,'ORDENES'!$AN$4:$AN$1203,0)),"(no encontrada)"))</f>
        <v/>
      </c>
      <c r="F205" s="3">
        <f>IF($A205="","",IF(ISNA(MATCH($A205,'ORDENES'!$AN$4:$AN$1203,0)),"huérfano",IF(COUNTIF($A$4:$A205,$A205)&gt;1,"duplicado (se ignora)","aplicado")))</f>
        <v/>
      </c>
      <c r="G205" s="16">
        <f>IF($F205&lt;&gt;"aplicado","",IF(IFERROR(INDEX('ORDENES'!$K$4:$K$1203,MATCH($A205,'ORDENES'!$AN$4:$AN$1203,0)),"")="","",$B205-IFERROR(INDEX('ORDENES'!$K$4:$K$1203,MATCH($A205,'ORDENES'!$AN$4:$AN$1203,0)),"")))</f>
        <v/>
      </c>
    </row>
    <row r="206">
      <c r="A206" s="6" t="n"/>
      <c r="B206" s="14" t="n"/>
      <c r="C206" s="6" t="n"/>
      <c r="D206" s="15" t="n"/>
      <c r="E206" s="3">
        <f>IF($A206="","",IFERROR(INDEX('ORDENES'!$D$4:$D$1203,MATCH($A206,'ORDENES'!$AN$4:$AN$1203,0)),"(no encontrada)"))</f>
        <v/>
      </c>
      <c r="F206" s="3">
        <f>IF($A206="","",IF(ISNA(MATCH($A206,'ORDENES'!$AN$4:$AN$1203,0)),"huérfano",IF(COUNTIF($A$4:$A206,$A206)&gt;1,"duplicado (se ignora)","aplicado")))</f>
        <v/>
      </c>
      <c r="G206" s="16">
        <f>IF($F206&lt;&gt;"aplicado","",IF(IFERROR(INDEX('ORDENES'!$K$4:$K$1203,MATCH($A206,'ORDENES'!$AN$4:$AN$1203,0)),"")="","",$B206-IFERROR(INDEX('ORDENES'!$K$4:$K$1203,MATCH($A206,'ORDENES'!$AN$4:$AN$1203,0)),"")))</f>
        <v/>
      </c>
    </row>
    <row r="207">
      <c r="A207" s="6" t="n"/>
      <c r="B207" s="14" t="n"/>
      <c r="C207" s="6" t="n"/>
      <c r="D207" s="15" t="n"/>
      <c r="E207" s="3">
        <f>IF($A207="","",IFERROR(INDEX('ORDENES'!$D$4:$D$1203,MATCH($A207,'ORDENES'!$AN$4:$AN$1203,0)),"(no encontrada)"))</f>
        <v/>
      </c>
      <c r="F207" s="3">
        <f>IF($A207="","",IF(ISNA(MATCH($A207,'ORDENES'!$AN$4:$AN$1203,0)),"huérfano",IF(COUNTIF($A$4:$A207,$A207)&gt;1,"duplicado (se ignora)","aplicado")))</f>
        <v/>
      </c>
      <c r="G207" s="16">
        <f>IF($F207&lt;&gt;"aplicado","",IF(IFERROR(INDEX('ORDENES'!$K$4:$K$1203,MATCH($A207,'ORDENES'!$AN$4:$AN$1203,0)),"")="","",$B207-IFERROR(INDEX('ORDENES'!$K$4:$K$1203,MATCH($A207,'ORDENES'!$AN$4:$AN$1203,0)),"")))</f>
        <v/>
      </c>
    </row>
    <row r="208">
      <c r="A208" s="6" t="n"/>
      <c r="B208" s="14" t="n"/>
      <c r="C208" s="6" t="n"/>
      <c r="D208" s="15" t="n"/>
      <c r="E208" s="3">
        <f>IF($A208="","",IFERROR(INDEX('ORDENES'!$D$4:$D$1203,MATCH($A208,'ORDENES'!$AN$4:$AN$1203,0)),"(no encontrada)"))</f>
        <v/>
      </c>
      <c r="F208" s="3">
        <f>IF($A208="","",IF(ISNA(MATCH($A208,'ORDENES'!$AN$4:$AN$1203,0)),"huérfano",IF(COUNTIF($A$4:$A208,$A208)&gt;1,"duplicado (se ignora)","aplicado")))</f>
        <v/>
      </c>
      <c r="G208" s="16">
        <f>IF($F208&lt;&gt;"aplicado","",IF(IFERROR(INDEX('ORDENES'!$K$4:$K$1203,MATCH($A208,'ORDENES'!$AN$4:$AN$1203,0)),"")="","",$B208-IFERROR(INDEX('ORDENES'!$K$4:$K$1203,MATCH($A208,'ORDENES'!$AN$4:$AN$1203,0)),"")))</f>
        <v/>
      </c>
    </row>
    <row r="209">
      <c r="A209" s="6" t="n"/>
      <c r="B209" s="14" t="n"/>
      <c r="C209" s="6" t="n"/>
      <c r="D209" s="15" t="n"/>
      <c r="E209" s="3">
        <f>IF($A209="","",IFERROR(INDEX('ORDENES'!$D$4:$D$1203,MATCH($A209,'ORDENES'!$AN$4:$AN$1203,0)),"(no encontrada)"))</f>
        <v/>
      </c>
      <c r="F209" s="3">
        <f>IF($A209="","",IF(ISNA(MATCH($A209,'ORDENES'!$AN$4:$AN$1203,0)),"huérfano",IF(COUNTIF($A$4:$A209,$A209)&gt;1,"duplicado (se ignora)","aplicado")))</f>
        <v/>
      </c>
      <c r="G209" s="16">
        <f>IF($F209&lt;&gt;"aplicado","",IF(IFERROR(INDEX('ORDENES'!$K$4:$K$1203,MATCH($A209,'ORDENES'!$AN$4:$AN$1203,0)),"")="","",$B209-IFERROR(INDEX('ORDENES'!$K$4:$K$1203,MATCH($A209,'ORDENES'!$AN$4:$AN$1203,0)),"")))</f>
        <v/>
      </c>
    </row>
    <row r="210">
      <c r="A210" s="6" t="n"/>
      <c r="B210" s="14" t="n"/>
      <c r="C210" s="6" t="n"/>
      <c r="D210" s="15" t="n"/>
      <c r="E210" s="3">
        <f>IF($A210="","",IFERROR(INDEX('ORDENES'!$D$4:$D$1203,MATCH($A210,'ORDENES'!$AN$4:$AN$1203,0)),"(no encontrada)"))</f>
        <v/>
      </c>
      <c r="F210" s="3">
        <f>IF($A210="","",IF(ISNA(MATCH($A210,'ORDENES'!$AN$4:$AN$1203,0)),"huérfano",IF(COUNTIF($A$4:$A210,$A210)&gt;1,"duplicado (se ignora)","aplicado")))</f>
        <v/>
      </c>
      <c r="G210" s="16">
        <f>IF($F210&lt;&gt;"aplicado","",IF(IFERROR(INDEX('ORDENES'!$K$4:$K$1203,MATCH($A210,'ORDENES'!$AN$4:$AN$1203,0)),"")="","",$B210-IFERROR(INDEX('ORDENES'!$K$4:$K$1203,MATCH($A210,'ORDENES'!$AN$4:$AN$1203,0)),"")))</f>
        <v/>
      </c>
    </row>
    <row r="211">
      <c r="A211" s="6" t="n"/>
      <c r="B211" s="14" t="n"/>
      <c r="C211" s="6" t="n"/>
      <c r="D211" s="15" t="n"/>
      <c r="E211" s="3">
        <f>IF($A211="","",IFERROR(INDEX('ORDENES'!$D$4:$D$1203,MATCH($A211,'ORDENES'!$AN$4:$AN$1203,0)),"(no encontrada)"))</f>
        <v/>
      </c>
      <c r="F211" s="3">
        <f>IF($A211="","",IF(ISNA(MATCH($A211,'ORDENES'!$AN$4:$AN$1203,0)),"huérfano",IF(COUNTIF($A$4:$A211,$A211)&gt;1,"duplicado (se ignora)","aplicado")))</f>
        <v/>
      </c>
      <c r="G211" s="16">
        <f>IF($F211&lt;&gt;"aplicado","",IF(IFERROR(INDEX('ORDENES'!$K$4:$K$1203,MATCH($A211,'ORDENES'!$AN$4:$AN$1203,0)),"")="","",$B211-IFERROR(INDEX('ORDENES'!$K$4:$K$1203,MATCH($A211,'ORDENES'!$AN$4:$AN$1203,0)),"")))</f>
        <v/>
      </c>
    </row>
    <row r="212">
      <c r="A212" s="6" t="n"/>
      <c r="B212" s="14" t="n"/>
      <c r="C212" s="6" t="n"/>
      <c r="D212" s="15" t="n"/>
      <c r="E212" s="3">
        <f>IF($A212="","",IFERROR(INDEX('ORDENES'!$D$4:$D$1203,MATCH($A212,'ORDENES'!$AN$4:$AN$1203,0)),"(no encontrada)"))</f>
        <v/>
      </c>
      <c r="F212" s="3">
        <f>IF($A212="","",IF(ISNA(MATCH($A212,'ORDENES'!$AN$4:$AN$1203,0)),"huérfano",IF(COUNTIF($A$4:$A212,$A212)&gt;1,"duplicado (se ignora)","aplicado")))</f>
        <v/>
      </c>
      <c r="G212" s="16">
        <f>IF($F212&lt;&gt;"aplicado","",IF(IFERROR(INDEX('ORDENES'!$K$4:$K$1203,MATCH($A212,'ORDENES'!$AN$4:$AN$1203,0)),"")="","",$B212-IFERROR(INDEX('ORDENES'!$K$4:$K$1203,MATCH($A212,'ORDENES'!$AN$4:$AN$1203,0)),"")))</f>
        <v/>
      </c>
    </row>
    <row r="213">
      <c r="A213" s="6" t="n"/>
      <c r="B213" s="14" t="n"/>
      <c r="C213" s="6" t="n"/>
      <c r="D213" s="15" t="n"/>
      <c r="E213" s="3">
        <f>IF($A213="","",IFERROR(INDEX('ORDENES'!$D$4:$D$1203,MATCH($A213,'ORDENES'!$AN$4:$AN$1203,0)),"(no encontrada)"))</f>
        <v/>
      </c>
      <c r="F213" s="3">
        <f>IF($A213="","",IF(ISNA(MATCH($A213,'ORDENES'!$AN$4:$AN$1203,0)),"huérfano",IF(COUNTIF($A$4:$A213,$A213)&gt;1,"duplicado (se ignora)","aplicado")))</f>
        <v/>
      </c>
      <c r="G213" s="16">
        <f>IF($F213&lt;&gt;"aplicado","",IF(IFERROR(INDEX('ORDENES'!$K$4:$K$1203,MATCH($A213,'ORDENES'!$AN$4:$AN$1203,0)),"")="","",$B213-IFERROR(INDEX('ORDENES'!$K$4:$K$1203,MATCH($A213,'ORDENES'!$AN$4:$AN$1203,0)),"")))</f>
        <v/>
      </c>
    </row>
    <row r="214">
      <c r="A214" s="6" t="n"/>
      <c r="B214" s="14" t="n"/>
      <c r="C214" s="6" t="n"/>
      <c r="D214" s="15" t="n"/>
      <c r="E214" s="3">
        <f>IF($A214="","",IFERROR(INDEX('ORDENES'!$D$4:$D$1203,MATCH($A214,'ORDENES'!$AN$4:$AN$1203,0)),"(no encontrada)"))</f>
        <v/>
      </c>
      <c r="F214" s="3">
        <f>IF($A214="","",IF(ISNA(MATCH($A214,'ORDENES'!$AN$4:$AN$1203,0)),"huérfano",IF(COUNTIF($A$4:$A214,$A214)&gt;1,"duplicado (se ignora)","aplicado")))</f>
        <v/>
      </c>
      <c r="G214" s="16">
        <f>IF($F214&lt;&gt;"aplicado","",IF(IFERROR(INDEX('ORDENES'!$K$4:$K$1203,MATCH($A214,'ORDENES'!$AN$4:$AN$1203,0)),"")="","",$B214-IFERROR(INDEX('ORDENES'!$K$4:$K$1203,MATCH($A214,'ORDENES'!$AN$4:$AN$1203,0)),"")))</f>
        <v/>
      </c>
    </row>
    <row r="215">
      <c r="A215" s="6" t="n"/>
      <c r="B215" s="14" t="n"/>
      <c r="C215" s="6" t="n"/>
      <c r="D215" s="15" t="n"/>
      <c r="E215" s="3">
        <f>IF($A215="","",IFERROR(INDEX('ORDENES'!$D$4:$D$1203,MATCH($A215,'ORDENES'!$AN$4:$AN$1203,0)),"(no encontrada)"))</f>
        <v/>
      </c>
      <c r="F215" s="3">
        <f>IF($A215="","",IF(ISNA(MATCH($A215,'ORDENES'!$AN$4:$AN$1203,0)),"huérfano",IF(COUNTIF($A$4:$A215,$A215)&gt;1,"duplicado (se ignora)","aplicado")))</f>
        <v/>
      </c>
      <c r="G215" s="16">
        <f>IF($F215&lt;&gt;"aplicado","",IF(IFERROR(INDEX('ORDENES'!$K$4:$K$1203,MATCH($A215,'ORDENES'!$AN$4:$AN$1203,0)),"")="","",$B215-IFERROR(INDEX('ORDENES'!$K$4:$K$1203,MATCH($A215,'ORDENES'!$AN$4:$AN$1203,0)),"")))</f>
        <v/>
      </c>
    </row>
    <row r="216">
      <c r="A216" s="6" t="n"/>
      <c r="B216" s="14" t="n"/>
      <c r="C216" s="6" t="n"/>
      <c r="D216" s="15" t="n"/>
      <c r="E216" s="3">
        <f>IF($A216="","",IFERROR(INDEX('ORDENES'!$D$4:$D$1203,MATCH($A216,'ORDENES'!$AN$4:$AN$1203,0)),"(no encontrada)"))</f>
        <v/>
      </c>
      <c r="F216" s="3">
        <f>IF($A216="","",IF(ISNA(MATCH($A216,'ORDENES'!$AN$4:$AN$1203,0)),"huérfano",IF(COUNTIF($A$4:$A216,$A216)&gt;1,"duplicado (se ignora)","aplicado")))</f>
        <v/>
      </c>
      <c r="G216" s="16">
        <f>IF($F216&lt;&gt;"aplicado","",IF(IFERROR(INDEX('ORDENES'!$K$4:$K$1203,MATCH($A216,'ORDENES'!$AN$4:$AN$1203,0)),"")="","",$B216-IFERROR(INDEX('ORDENES'!$K$4:$K$1203,MATCH($A216,'ORDENES'!$AN$4:$AN$1203,0)),"")))</f>
        <v/>
      </c>
    </row>
    <row r="217">
      <c r="A217" s="6" t="n"/>
      <c r="B217" s="14" t="n"/>
      <c r="C217" s="6" t="n"/>
      <c r="D217" s="15" t="n"/>
      <c r="E217" s="3">
        <f>IF($A217="","",IFERROR(INDEX('ORDENES'!$D$4:$D$1203,MATCH($A217,'ORDENES'!$AN$4:$AN$1203,0)),"(no encontrada)"))</f>
        <v/>
      </c>
      <c r="F217" s="3">
        <f>IF($A217="","",IF(ISNA(MATCH($A217,'ORDENES'!$AN$4:$AN$1203,0)),"huérfano",IF(COUNTIF($A$4:$A217,$A217)&gt;1,"duplicado (se ignora)","aplicado")))</f>
        <v/>
      </c>
      <c r="G217" s="16">
        <f>IF($F217&lt;&gt;"aplicado","",IF(IFERROR(INDEX('ORDENES'!$K$4:$K$1203,MATCH($A217,'ORDENES'!$AN$4:$AN$1203,0)),"")="","",$B217-IFERROR(INDEX('ORDENES'!$K$4:$K$1203,MATCH($A217,'ORDENES'!$AN$4:$AN$1203,0)),"")))</f>
        <v/>
      </c>
    </row>
    <row r="218">
      <c r="A218" s="6" t="n"/>
      <c r="B218" s="14" t="n"/>
      <c r="C218" s="6" t="n"/>
      <c r="D218" s="15" t="n"/>
      <c r="E218" s="3">
        <f>IF($A218="","",IFERROR(INDEX('ORDENES'!$D$4:$D$1203,MATCH($A218,'ORDENES'!$AN$4:$AN$1203,0)),"(no encontrada)"))</f>
        <v/>
      </c>
      <c r="F218" s="3">
        <f>IF($A218="","",IF(ISNA(MATCH($A218,'ORDENES'!$AN$4:$AN$1203,0)),"huérfano",IF(COUNTIF($A$4:$A218,$A218)&gt;1,"duplicado (se ignora)","aplicado")))</f>
        <v/>
      </c>
      <c r="G218" s="16">
        <f>IF($F218&lt;&gt;"aplicado","",IF(IFERROR(INDEX('ORDENES'!$K$4:$K$1203,MATCH($A218,'ORDENES'!$AN$4:$AN$1203,0)),"")="","",$B218-IFERROR(INDEX('ORDENES'!$K$4:$K$1203,MATCH($A218,'ORDENES'!$AN$4:$AN$1203,0)),"")))</f>
        <v/>
      </c>
    </row>
    <row r="219">
      <c r="A219" s="6" t="n"/>
      <c r="B219" s="14" t="n"/>
      <c r="C219" s="6" t="n"/>
      <c r="D219" s="15" t="n"/>
      <c r="E219" s="3">
        <f>IF($A219="","",IFERROR(INDEX('ORDENES'!$D$4:$D$1203,MATCH($A219,'ORDENES'!$AN$4:$AN$1203,0)),"(no encontrada)"))</f>
        <v/>
      </c>
      <c r="F219" s="3">
        <f>IF($A219="","",IF(ISNA(MATCH($A219,'ORDENES'!$AN$4:$AN$1203,0)),"huérfano",IF(COUNTIF($A$4:$A219,$A219)&gt;1,"duplicado (se ignora)","aplicado")))</f>
        <v/>
      </c>
      <c r="G219" s="16">
        <f>IF($F219&lt;&gt;"aplicado","",IF(IFERROR(INDEX('ORDENES'!$K$4:$K$1203,MATCH($A219,'ORDENES'!$AN$4:$AN$1203,0)),"")="","",$B219-IFERROR(INDEX('ORDENES'!$K$4:$K$1203,MATCH($A219,'ORDENES'!$AN$4:$AN$1203,0)),"")))</f>
        <v/>
      </c>
    </row>
    <row r="220">
      <c r="A220" s="6" t="n"/>
      <c r="B220" s="14" t="n"/>
      <c r="C220" s="6" t="n"/>
      <c r="D220" s="15" t="n"/>
      <c r="E220" s="3">
        <f>IF($A220="","",IFERROR(INDEX('ORDENES'!$D$4:$D$1203,MATCH($A220,'ORDENES'!$AN$4:$AN$1203,0)),"(no encontrada)"))</f>
        <v/>
      </c>
      <c r="F220" s="3">
        <f>IF($A220="","",IF(ISNA(MATCH($A220,'ORDENES'!$AN$4:$AN$1203,0)),"huérfano",IF(COUNTIF($A$4:$A220,$A220)&gt;1,"duplicado (se ignora)","aplicado")))</f>
        <v/>
      </c>
      <c r="G220" s="16">
        <f>IF($F220&lt;&gt;"aplicado","",IF(IFERROR(INDEX('ORDENES'!$K$4:$K$1203,MATCH($A220,'ORDENES'!$AN$4:$AN$1203,0)),"")="","",$B220-IFERROR(INDEX('ORDENES'!$K$4:$K$1203,MATCH($A220,'ORDENES'!$AN$4:$AN$1203,0)),"")))</f>
        <v/>
      </c>
    </row>
    <row r="221">
      <c r="A221" s="6" t="n"/>
      <c r="B221" s="14" t="n"/>
      <c r="C221" s="6" t="n"/>
      <c r="D221" s="15" t="n"/>
      <c r="E221" s="3">
        <f>IF($A221="","",IFERROR(INDEX('ORDENES'!$D$4:$D$1203,MATCH($A221,'ORDENES'!$AN$4:$AN$1203,0)),"(no encontrada)"))</f>
        <v/>
      </c>
      <c r="F221" s="3">
        <f>IF($A221="","",IF(ISNA(MATCH($A221,'ORDENES'!$AN$4:$AN$1203,0)),"huérfano",IF(COUNTIF($A$4:$A221,$A221)&gt;1,"duplicado (se ignora)","aplicado")))</f>
        <v/>
      </c>
      <c r="G221" s="16">
        <f>IF($F221&lt;&gt;"aplicado","",IF(IFERROR(INDEX('ORDENES'!$K$4:$K$1203,MATCH($A221,'ORDENES'!$AN$4:$AN$1203,0)),"")="","",$B221-IFERROR(INDEX('ORDENES'!$K$4:$K$1203,MATCH($A221,'ORDENES'!$AN$4:$AN$1203,0)),"")))</f>
        <v/>
      </c>
    </row>
    <row r="222">
      <c r="A222" s="6" t="n"/>
      <c r="B222" s="14" t="n"/>
      <c r="C222" s="6" t="n"/>
      <c r="D222" s="15" t="n"/>
      <c r="E222" s="3">
        <f>IF($A222="","",IFERROR(INDEX('ORDENES'!$D$4:$D$1203,MATCH($A222,'ORDENES'!$AN$4:$AN$1203,0)),"(no encontrada)"))</f>
        <v/>
      </c>
      <c r="F222" s="3">
        <f>IF($A222="","",IF(ISNA(MATCH($A222,'ORDENES'!$AN$4:$AN$1203,0)),"huérfano",IF(COUNTIF($A$4:$A222,$A222)&gt;1,"duplicado (se ignora)","aplicado")))</f>
        <v/>
      </c>
      <c r="G222" s="16">
        <f>IF($F222&lt;&gt;"aplicado","",IF(IFERROR(INDEX('ORDENES'!$K$4:$K$1203,MATCH($A222,'ORDENES'!$AN$4:$AN$1203,0)),"")="","",$B222-IFERROR(INDEX('ORDENES'!$K$4:$K$1203,MATCH($A222,'ORDENES'!$AN$4:$AN$1203,0)),"")))</f>
        <v/>
      </c>
    </row>
    <row r="223">
      <c r="A223" s="6" t="n"/>
      <c r="B223" s="14" t="n"/>
      <c r="C223" s="6" t="n"/>
      <c r="D223" s="15" t="n"/>
      <c r="E223" s="3">
        <f>IF($A223="","",IFERROR(INDEX('ORDENES'!$D$4:$D$1203,MATCH($A223,'ORDENES'!$AN$4:$AN$1203,0)),"(no encontrada)"))</f>
        <v/>
      </c>
      <c r="F223" s="3">
        <f>IF($A223="","",IF(ISNA(MATCH($A223,'ORDENES'!$AN$4:$AN$1203,0)),"huérfano",IF(COUNTIF($A$4:$A223,$A223)&gt;1,"duplicado (se ignora)","aplicado")))</f>
        <v/>
      </c>
      <c r="G223" s="16">
        <f>IF($F223&lt;&gt;"aplicado","",IF(IFERROR(INDEX('ORDENES'!$K$4:$K$1203,MATCH($A223,'ORDENES'!$AN$4:$AN$1203,0)),"")="","",$B223-IFERROR(INDEX('ORDENES'!$K$4:$K$1203,MATCH($A223,'ORDENES'!$AN$4:$AN$1203,0)),"")))</f>
        <v/>
      </c>
    </row>
    <row r="224">
      <c r="A224" s="6" t="n"/>
      <c r="B224" s="14" t="n"/>
      <c r="C224" s="6" t="n"/>
      <c r="D224" s="15" t="n"/>
      <c r="E224" s="3">
        <f>IF($A224="","",IFERROR(INDEX('ORDENES'!$D$4:$D$1203,MATCH($A224,'ORDENES'!$AN$4:$AN$1203,0)),"(no encontrada)"))</f>
        <v/>
      </c>
      <c r="F224" s="3">
        <f>IF($A224="","",IF(ISNA(MATCH($A224,'ORDENES'!$AN$4:$AN$1203,0)),"huérfano",IF(COUNTIF($A$4:$A224,$A224)&gt;1,"duplicado (se ignora)","aplicado")))</f>
        <v/>
      </c>
      <c r="G224" s="16">
        <f>IF($F224&lt;&gt;"aplicado","",IF(IFERROR(INDEX('ORDENES'!$K$4:$K$1203,MATCH($A224,'ORDENES'!$AN$4:$AN$1203,0)),"")="","",$B224-IFERROR(INDEX('ORDENES'!$K$4:$K$1203,MATCH($A224,'ORDENES'!$AN$4:$AN$1203,0)),"")))</f>
        <v/>
      </c>
    </row>
    <row r="225">
      <c r="A225" s="6" t="n"/>
      <c r="B225" s="14" t="n"/>
      <c r="C225" s="6" t="n"/>
      <c r="D225" s="15" t="n"/>
      <c r="E225" s="3">
        <f>IF($A225="","",IFERROR(INDEX('ORDENES'!$D$4:$D$1203,MATCH($A225,'ORDENES'!$AN$4:$AN$1203,0)),"(no encontrada)"))</f>
        <v/>
      </c>
      <c r="F225" s="3">
        <f>IF($A225="","",IF(ISNA(MATCH($A225,'ORDENES'!$AN$4:$AN$1203,0)),"huérfano",IF(COUNTIF($A$4:$A225,$A225)&gt;1,"duplicado (se ignora)","aplicado")))</f>
        <v/>
      </c>
      <c r="G225" s="16">
        <f>IF($F225&lt;&gt;"aplicado","",IF(IFERROR(INDEX('ORDENES'!$K$4:$K$1203,MATCH($A225,'ORDENES'!$AN$4:$AN$1203,0)),"")="","",$B225-IFERROR(INDEX('ORDENES'!$K$4:$K$1203,MATCH($A225,'ORDENES'!$AN$4:$AN$1203,0)),"")))</f>
        <v/>
      </c>
    </row>
    <row r="226">
      <c r="A226" s="6" t="n"/>
      <c r="B226" s="14" t="n"/>
      <c r="C226" s="6" t="n"/>
      <c r="D226" s="15" t="n"/>
      <c r="E226" s="3">
        <f>IF($A226="","",IFERROR(INDEX('ORDENES'!$D$4:$D$1203,MATCH($A226,'ORDENES'!$AN$4:$AN$1203,0)),"(no encontrada)"))</f>
        <v/>
      </c>
      <c r="F226" s="3">
        <f>IF($A226="","",IF(ISNA(MATCH($A226,'ORDENES'!$AN$4:$AN$1203,0)),"huérfano",IF(COUNTIF($A$4:$A226,$A226)&gt;1,"duplicado (se ignora)","aplicado")))</f>
        <v/>
      </c>
      <c r="G226" s="16">
        <f>IF($F226&lt;&gt;"aplicado","",IF(IFERROR(INDEX('ORDENES'!$K$4:$K$1203,MATCH($A226,'ORDENES'!$AN$4:$AN$1203,0)),"")="","",$B226-IFERROR(INDEX('ORDENES'!$K$4:$K$1203,MATCH($A226,'ORDENES'!$AN$4:$AN$1203,0)),"")))</f>
        <v/>
      </c>
    </row>
    <row r="227">
      <c r="A227" s="6" t="n"/>
      <c r="B227" s="14" t="n"/>
      <c r="C227" s="6" t="n"/>
      <c r="D227" s="15" t="n"/>
      <c r="E227" s="3">
        <f>IF($A227="","",IFERROR(INDEX('ORDENES'!$D$4:$D$1203,MATCH($A227,'ORDENES'!$AN$4:$AN$1203,0)),"(no encontrada)"))</f>
        <v/>
      </c>
      <c r="F227" s="3">
        <f>IF($A227="","",IF(ISNA(MATCH($A227,'ORDENES'!$AN$4:$AN$1203,0)),"huérfano",IF(COUNTIF($A$4:$A227,$A227)&gt;1,"duplicado (se ignora)","aplicado")))</f>
        <v/>
      </c>
      <c r="G227" s="16">
        <f>IF($F227&lt;&gt;"aplicado","",IF(IFERROR(INDEX('ORDENES'!$K$4:$K$1203,MATCH($A227,'ORDENES'!$AN$4:$AN$1203,0)),"")="","",$B227-IFERROR(INDEX('ORDENES'!$K$4:$K$1203,MATCH($A227,'ORDENES'!$AN$4:$AN$1203,0)),"")))</f>
        <v/>
      </c>
    </row>
    <row r="228">
      <c r="A228" s="6" t="n"/>
      <c r="B228" s="14" t="n"/>
      <c r="C228" s="6" t="n"/>
      <c r="D228" s="15" t="n"/>
      <c r="E228" s="3">
        <f>IF($A228="","",IFERROR(INDEX('ORDENES'!$D$4:$D$1203,MATCH($A228,'ORDENES'!$AN$4:$AN$1203,0)),"(no encontrada)"))</f>
        <v/>
      </c>
      <c r="F228" s="3">
        <f>IF($A228="","",IF(ISNA(MATCH($A228,'ORDENES'!$AN$4:$AN$1203,0)),"huérfano",IF(COUNTIF($A$4:$A228,$A228)&gt;1,"duplicado (se ignora)","aplicado")))</f>
        <v/>
      </c>
      <c r="G228" s="16">
        <f>IF($F228&lt;&gt;"aplicado","",IF(IFERROR(INDEX('ORDENES'!$K$4:$K$1203,MATCH($A228,'ORDENES'!$AN$4:$AN$1203,0)),"")="","",$B228-IFERROR(INDEX('ORDENES'!$K$4:$K$1203,MATCH($A228,'ORDENES'!$AN$4:$AN$1203,0)),"")))</f>
        <v/>
      </c>
    </row>
    <row r="229">
      <c r="A229" s="6" t="n"/>
      <c r="B229" s="14" t="n"/>
      <c r="C229" s="6" t="n"/>
      <c r="D229" s="15" t="n"/>
      <c r="E229" s="3">
        <f>IF($A229="","",IFERROR(INDEX('ORDENES'!$D$4:$D$1203,MATCH($A229,'ORDENES'!$AN$4:$AN$1203,0)),"(no encontrada)"))</f>
        <v/>
      </c>
      <c r="F229" s="3">
        <f>IF($A229="","",IF(ISNA(MATCH($A229,'ORDENES'!$AN$4:$AN$1203,0)),"huérfano",IF(COUNTIF($A$4:$A229,$A229)&gt;1,"duplicado (se ignora)","aplicado")))</f>
        <v/>
      </c>
      <c r="G229" s="16">
        <f>IF($F229&lt;&gt;"aplicado","",IF(IFERROR(INDEX('ORDENES'!$K$4:$K$1203,MATCH($A229,'ORDENES'!$AN$4:$AN$1203,0)),"")="","",$B229-IFERROR(INDEX('ORDENES'!$K$4:$K$1203,MATCH($A229,'ORDENES'!$AN$4:$AN$1203,0)),"")))</f>
        <v/>
      </c>
    </row>
    <row r="230">
      <c r="A230" s="6" t="n"/>
      <c r="B230" s="14" t="n"/>
      <c r="C230" s="6" t="n"/>
      <c r="D230" s="15" t="n"/>
      <c r="E230" s="3">
        <f>IF($A230="","",IFERROR(INDEX('ORDENES'!$D$4:$D$1203,MATCH($A230,'ORDENES'!$AN$4:$AN$1203,0)),"(no encontrada)"))</f>
        <v/>
      </c>
      <c r="F230" s="3">
        <f>IF($A230="","",IF(ISNA(MATCH($A230,'ORDENES'!$AN$4:$AN$1203,0)),"huérfano",IF(COUNTIF($A$4:$A230,$A230)&gt;1,"duplicado (se ignora)","aplicado")))</f>
        <v/>
      </c>
      <c r="G230" s="16">
        <f>IF($F230&lt;&gt;"aplicado","",IF(IFERROR(INDEX('ORDENES'!$K$4:$K$1203,MATCH($A230,'ORDENES'!$AN$4:$AN$1203,0)),"")="","",$B230-IFERROR(INDEX('ORDENES'!$K$4:$K$1203,MATCH($A230,'ORDENES'!$AN$4:$AN$1203,0)),"")))</f>
        <v/>
      </c>
    </row>
    <row r="231">
      <c r="A231" s="6" t="n"/>
      <c r="B231" s="14" t="n"/>
      <c r="C231" s="6" t="n"/>
      <c r="D231" s="15" t="n"/>
      <c r="E231" s="3">
        <f>IF($A231="","",IFERROR(INDEX('ORDENES'!$D$4:$D$1203,MATCH($A231,'ORDENES'!$AN$4:$AN$1203,0)),"(no encontrada)"))</f>
        <v/>
      </c>
      <c r="F231" s="3">
        <f>IF($A231="","",IF(ISNA(MATCH($A231,'ORDENES'!$AN$4:$AN$1203,0)),"huérfano",IF(COUNTIF($A$4:$A231,$A231)&gt;1,"duplicado (se ignora)","aplicado")))</f>
        <v/>
      </c>
      <c r="G231" s="16">
        <f>IF($F231&lt;&gt;"aplicado","",IF(IFERROR(INDEX('ORDENES'!$K$4:$K$1203,MATCH($A231,'ORDENES'!$AN$4:$AN$1203,0)),"")="","",$B231-IFERROR(INDEX('ORDENES'!$K$4:$K$1203,MATCH($A231,'ORDENES'!$AN$4:$AN$1203,0)),"")))</f>
        <v/>
      </c>
    </row>
    <row r="232">
      <c r="A232" s="6" t="n"/>
      <c r="B232" s="14" t="n"/>
      <c r="C232" s="6" t="n"/>
      <c r="D232" s="15" t="n"/>
      <c r="E232" s="3">
        <f>IF($A232="","",IFERROR(INDEX('ORDENES'!$D$4:$D$1203,MATCH($A232,'ORDENES'!$AN$4:$AN$1203,0)),"(no encontrada)"))</f>
        <v/>
      </c>
      <c r="F232" s="3">
        <f>IF($A232="","",IF(ISNA(MATCH($A232,'ORDENES'!$AN$4:$AN$1203,0)),"huérfano",IF(COUNTIF($A$4:$A232,$A232)&gt;1,"duplicado (se ignora)","aplicado")))</f>
        <v/>
      </c>
      <c r="G232" s="16">
        <f>IF($F232&lt;&gt;"aplicado","",IF(IFERROR(INDEX('ORDENES'!$K$4:$K$1203,MATCH($A232,'ORDENES'!$AN$4:$AN$1203,0)),"")="","",$B232-IFERROR(INDEX('ORDENES'!$K$4:$K$1203,MATCH($A232,'ORDENES'!$AN$4:$AN$1203,0)),"")))</f>
        <v/>
      </c>
    </row>
    <row r="233">
      <c r="A233" s="6" t="n"/>
      <c r="B233" s="14" t="n"/>
      <c r="C233" s="6" t="n"/>
      <c r="D233" s="15" t="n"/>
      <c r="E233" s="3">
        <f>IF($A233="","",IFERROR(INDEX('ORDENES'!$D$4:$D$1203,MATCH($A233,'ORDENES'!$AN$4:$AN$1203,0)),"(no encontrada)"))</f>
        <v/>
      </c>
      <c r="F233" s="3">
        <f>IF($A233="","",IF(ISNA(MATCH($A233,'ORDENES'!$AN$4:$AN$1203,0)),"huérfano",IF(COUNTIF($A$4:$A233,$A233)&gt;1,"duplicado (se ignora)","aplicado")))</f>
        <v/>
      </c>
      <c r="G233" s="16">
        <f>IF($F233&lt;&gt;"aplicado","",IF(IFERROR(INDEX('ORDENES'!$K$4:$K$1203,MATCH($A233,'ORDENES'!$AN$4:$AN$1203,0)),"")="","",$B233-IFERROR(INDEX('ORDENES'!$K$4:$K$1203,MATCH($A233,'ORDENES'!$AN$4:$AN$1203,0)),"")))</f>
        <v/>
      </c>
    </row>
    <row r="234">
      <c r="A234" s="6" t="n"/>
      <c r="B234" s="14" t="n"/>
      <c r="C234" s="6" t="n"/>
      <c r="D234" s="15" t="n"/>
      <c r="E234" s="3">
        <f>IF($A234="","",IFERROR(INDEX('ORDENES'!$D$4:$D$1203,MATCH($A234,'ORDENES'!$AN$4:$AN$1203,0)),"(no encontrada)"))</f>
        <v/>
      </c>
      <c r="F234" s="3">
        <f>IF($A234="","",IF(ISNA(MATCH($A234,'ORDENES'!$AN$4:$AN$1203,0)),"huérfano",IF(COUNTIF($A$4:$A234,$A234)&gt;1,"duplicado (se ignora)","aplicado")))</f>
        <v/>
      </c>
      <c r="G234" s="16">
        <f>IF($F234&lt;&gt;"aplicado","",IF(IFERROR(INDEX('ORDENES'!$K$4:$K$1203,MATCH($A234,'ORDENES'!$AN$4:$AN$1203,0)),"")="","",$B234-IFERROR(INDEX('ORDENES'!$K$4:$K$1203,MATCH($A234,'ORDENES'!$AN$4:$AN$1203,0)),"")))</f>
        <v/>
      </c>
    </row>
    <row r="235">
      <c r="A235" s="6" t="n"/>
      <c r="B235" s="14" t="n"/>
      <c r="C235" s="6" t="n"/>
      <c r="D235" s="15" t="n"/>
      <c r="E235" s="3">
        <f>IF($A235="","",IFERROR(INDEX('ORDENES'!$D$4:$D$1203,MATCH($A235,'ORDENES'!$AN$4:$AN$1203,0)),"(no encontrada)"))</f>
        <v/>
      </c>
      <c r="F235" s="3">
        <f>IF($A235="","",IF(ISNA(MATCH($A235,'ORDENES'!$AN$4:$AN$1203,0)),"huérfano",IF(COUNTIF($A$4:$A235,$A235)&gt;1,"duplicado (se ignora)","aplicado")))</f>
        <v/>
      </c>
      <c r="G235" s="16">
        <f>IF($F235&lt;&gt;"aplicado","",IF(IFERROR(INDEX('ORDENES'!$K$4:$K$1203,MATCH($A235,'ORDENES'!$AN$4:$AN$1203,0)),"")="","",$B235-IFERROR(INDEX('ORDENES'!$K$4:$K$1203,MATCH($A235,'ORDENES'!$AN$4:$AN$1203,0)),"")))</f>
        <v/>
      </c>
    </row>
    <row r="236">
      <c r="A236" s="6" t="n"/>
      <c r="B236" s="14" t="n"/>
      <c r="C236" s="6" t="n"/>
      <c r="D236" s="15" t="n"/>
      <c r="E236" s="3">
        <f>IF($A236="","",IFERROR(INDEX('ORDENES'!$D$4:$D$1203,MATCH($A236,'ORDENES'!$AN$4:$AN$1203,0)),"(no encontrada)"))</f>
        <v/>
      </c>
      <c r="F236" s="3">
        <f>IF($A236="","",IF(ISNA(MATCH($A236,'ORDENES'!$AN$4:$AN$1203,0)),"huérfano",IF(COUNTIF($A$4:$A236,$A236)&gt;1,"duplicado (se ignora)","aplicado")))</f>
        <v/>
      </c>
      <c r="G236" s="16">
        <f>IF($F236&lt;&gt;"aplicado","",IF(IFERROR(INDEX('ORDENES'!$K$4:$K$1203,MATCH($A236,'ORDENES'!$AN$4:$AN$1203,0)),"")="","",$B236-IFERROR(INDEX('ORDENES'!$K$4:$K$1203,MATCH($A236,'ORDENES'!$AN$4:$AN$1203,0)),"")))</f>
        <v/>
      </c>
    </row>
    <row r="237">
      <c r="A237" s="6" t="n"/>
      <c r="B237" s="14" t="n"/>
      <c r="C237" s="6" t="n"/>
      <c r="D237" s="15" t="n"/>
      <c r="E237" s="3">
        <f>IF($A237="","",IFERROR(INDEX('ORDENES'!$D$4:$D$1203,MATCH($A237,'ORDENES'!$AN$4:$AN$1203,0)),"(no encontrada)"))</f>
        <v/>
      </c>
      <c r="F237" s="3">
        <f>IF($A237="","",IF(ISNA(MATCH($A237,'ORDENES'!$AN$4:$AN$1203,0)),"huérfano",IF(COUNTIF($A$4:$A237,$A237)&gt;1,"duplicado (se ignora)","aplicado")))</f>
        <v/>
      </c>
      <c r="G237" s="16">
        <f>IF($F237&lt;&gt;"aplicado","",IF(IFERROR(INDEX('ORDENES'!$K$4:$K$1203,MATCH($A237,'ORDENES'!$AN$4:$AN$1203,0)),"")="","",$B237-IFERROR(INDEX('ORDENES'!$K$4:$K$1203,MATCH($A237,'ORDENES'!$AN$4:$AN$1203,0)),"")))</f>
        <v/>
      </c>
    </row>
    <row r="238">
      <c r="A238" s="6" t="n"/>
      <c r="B238" s="14" t="n"/>
      <c r="C238" s="6" t="n"/>
      <c r="D238" s="15" t="n"/>
      <c r="E238" s="3">
        <f>IF($A238="","",IFERROR(INDEX('ORDENES'!$D$4:$D$1203,MATCH($A238,'ORDENES'!$AN$4:$AN$1203,0)),"(no encontrada)"))</f>
        <v/>
      </c>
      <c r="F238" s="3">
        <f>IF($A238="","",IF(ISNA(MATCH($A238,'ORDENES'!$AN$4:$AN$1203,0)),"huérfano",IF(COUNTIF($A$4:$A238,$A238)&gt;1,"duplicado (se ignora)","aplicado")))</f>
        <v/>
      </c>
      <c r="G238" s="16">
        <f>IF($F238&lt;&gt;"aplicado","",IF(IFERROR(INDEX('ORDENES'!$K$4:$K$1203,MATCH($A238,'ORDENES'!$AN$4:$AN$1203,0)),"")="","",$B238-IFERROR(INDEX('ORDENES'!$K$4:$K$1203,MATCH($A238,'ORDENES'!$AN$4:$AN$1203,0)),"")))</f>
        <v/>
      </c>
    </row>
    <row r="239">
      <c r="A239" s="6" t="n"/>
      <c r="B239" s="14" t="n"/>
      <c r="C239" s="6" t="n"/>
      <c r="D239" s="15" t="n"/>
      <c r="E239" s="3">
        <f>IF($A239="","",IFERROR(INDEX('ORDENES'!$D$4:$D$1203,MATCH($A239,'ORDENES'!$AN$4:$AN$1203,0)),"(no encontrada)"))</f>
        <v/>
      </c>
      <c r="F239" s="3">
        <f>IF($A239="","",IF(ISNA(MATCH($A239,'ORDENES'!$AN$4:$AN$1203,0)),"huérfano",IF(COUNTIF($A$4:$A239,$A239)&gt;1,"duplicado (se ignora)","aplicado")))</f>
        <v/>
      </c>
      <c r="G239" s="16">
        <f>IF($F239&lt;&gt;"aplicado","",IF(IFERROR(INDEX('ORDENES'!$K$4:$K$1203,MATCH($A239,'ORDENES'!$AN$4:$AN$1203,0)),"")="","",$B239-IFERROR(INDEX('ORDENES'!$K$4:$K$1203,MATCH($A239,'ORDENES'!$AN$4:$AN$1203,0)),"")))</f>
        <v/>
      </c>
    </row>
    <row r="240">
      <c r="A240" s="6" t="n"/>
      <c r="B240" s="14" t="n"/>
      <c r="C240" s="6" t="n"/>
      <c r="D240" s="15" t="n"/>
      <c r="E240" s="3">
        <f>IF($A240="","",IFERROR(INDEX('ORDENES'!$D$4:$D$1203,MATCH($A240,'ORDENES'!$AN$4:$AN$1203,0)),"(no encontrada)"))</f>
        <v/>
      </c>
      <c r="F240" s="3">
        <f>IF($A240="","",IF(ISNA(MATCH($A240,'ORDENES'!$AN$4:$AN$1203,0)),"huérfano",IF(COUNTIF($A$4:$A240,$A240)&gt;1,"duplicado (se ignora)","aplicado")))</f>
        <v/>
      </c>
      <c r="G240" s="16">
        <f>IF($F240&lt;&gt;"aplicado","",IF(IFERROR(INDEX('ORDENES'!$K$4:$K$1203,MATCH($A240,'ORDENES'!$AN$4:$AN$1203,0)),"")="","",$B240-IFERROR(INDEX('ORDENES'!$K$4:$K$1203,MATCH($A240,'ORDENES'!$AN$4:$AN$1203,0)),"")))</f>
        <v/>
      </c>
    </row>
    <row r="241">
      <c r="A241" s="6" t="n"/>
      <c r="B241" s="14" t="n"/>
      <c r="C241" s="6" t="n"/>
      <c r="D241" s="15" t="n"/>
      <c r="E241" s="3">
        <f>IF($A241="","",IFERROR(INDEX('ORDENES'!$D$4:$D$1203,MATCH($A241,'ORDENES'!$AN$4:$AN$1203,0)),"(no encontrada)"))</f>
        <v/>
      </c>
      <c r="F241" s="3">
        <f>IF($A241="","",IF(ISNA(MATCH($A241,'ORDENES'!$AN$4:$AN$1203,0)),"huérfano",IF(COUNTIF($A$4:$A241,$A241)&gt;1,"duplicado (se ignora)","aplicado")))</f>
        <v/>
      </c>
      <c r="G241" s="16">
        <f>IF($F241&lt;&gt;"aplicado","",IF(IFERROR(INDEX('ORDENES'!$K$4:$K$1203,MATCH($A241,'ORDENES'!$AN$4:$AN$1203,0)),"")="","",$B241-IFERROR(INDEX('ORDENES'!$K$4:$K$1203,MATCH($A241,'ORDENES'!$AN$4:$AN$1203,0)),"")))</f>
        <v/>
      </c>
    </row>
    <row r="242">
      <c r="A242" s="6" t="n"/>
      <c r="B242" s="14" t="n"/>
      <c r="C242" s="6" t="n"/>
      <c r="D242" s="15" t="n"/>
      <c r="E242" s="3">
        <f>IF($A242="","",IFERROR(INDEX('ORDENES'!$D$4:$D$1203,MATCH($A242,'ORDENES'!$AN$4:$AN$1203,0)),"(no encontrada)"))</f>
        <v/>
      </c>
      <c r="F242" s="3">
        <f>IF($A242="","",IF(ISNA(MATCH($A242,'ORDENES'!$AN$4:$AN$1203,0)),"huérfano",IF(COUNTIF($A$4:$A242,$A242)&gt;1,"duplicado (se ignora)","aplicado")))</f>
        <v/>
      </c>
      <c r="G242" s="16">
        <f>IF($F242&lt;&gt;"aplicado","",IF(IFERROR(INDEX('ORDENES'!$K$4:$K$1203,MATCH($A242,'ORDENES'!$AN$4:$AN$1203,0)),"")="","",$B242-IFERROR(INDEX('ORDENES'!$K$4:$K$1203,MATCH($A242,'ORDENES'!$AN$4:$AN$1203,0)),"")))</f>
        <v/>
      </c>
    </row>
    <row r="243">
      <c r="A243" s="6" t="n"/>
      <c r="B243" s="14" t="n"/>
      <c r="C243" s="6" t="n"/>
      <c r="D243" s="15" t="n"/>
      <c r="E243" s="3">
        <f>IF($A243="","",IFERROR(INDEX('ORDENES'!$D$4:$D$1203,MATCH($A243,'ORDENES'!$AN$4:$AN$1203,0)),"(no encontrada)"))</f>
        <v/>
      </c>
      <c r="F243" s="3">
        <f>IF($A243="","",IF(ISNA(MATCH($A243,'ORDENES'!$AN$4:$AN$1203,0)),"huérfano",IF(COUNTIF($A$4:$A243,$A243)&gt;1,"duplicado (se ignora)","aplicado")))</f>
        <v/>
      </c>
      <c r="G243" s="16">
        <f>IF($F243&lt;&gt;"aplicado","",IF(IFERROR(INDEX('ORDENES'!$K$4:$K$1203,MATCH($A243,'ORDENES'!$AN$4:$AN$1203,0)),"")="","",$B243-IFERROR(INDEX('ORDENES'!$K$4:$K$1203,MATCH($A243,'ORDENES'!$AN$4:$AN$1203,0)),"")))</f>
        <v/>
      </c>
    </row>
    <row r="244">
      <c r="A244" s="6" t="n"/>
      <c r="B244" s="14" t="n"/>
      <c r="C244" s="6" t="n"/>
      <c r="D244" s="15" t="n"/>
      <c r="E244" s="3">
        <f>IF($A244="","",IFERROR(INDEX('ORDENES'!$D$4:$D$1203,MATCH($A244,'ORDENES'!$AN$4:$AN$1203,0)),"(no encontrada)"))</f>
        <v/>
      </c>
      <c r="F244" s="3">
        <f>IF($A244="","",IF(ISNA(MATCH($A244,'ORDENES'!$AN$4:$AN$1203,0)),"huérfano",IF(COUNTIF($A$4:$A244,$A244)&gt;1,"duplicado (se ignora)","aplicado")))</f>
        <v/>
      </c>
      <c r="G244" s="16">
        <f>IF($F244&lt;&gt;"aplicado","",IF(IFERROR(INDEX('ORDENES'!$K$4:$K$1203,MATCH($A244,'ORDENES'!$AN$4:$AN$1203,0)),"")="","",$B244-IFERROR(INDEX('ORDENES'!$K$4:$K$1203,MATCH($A244,'ORDENES'!$AN$4:$AN$1203,0)),"")))</f>
        <v/>
      </c>
    </row>
    <row r="245">
      <c r="A245" s="6" t="n"/>
      <c r="B245" s="14" t="n"/>
      <c r="C245" s="6" t="n"/>
      <c r="D245" s="15" t="n"/>
      <c r="E245" s="3">
        <f>IF($A245="","",IFERROR(INDEX('ORDENES'!$D$4:$D$1203,MATCH($A245,'ORDENES'!$AN$4:$AN$1203,0)),"(no encontrada)"))</f>
        <v/>
      </c>
      <c r="F245" s="3">
        <f>IF($A245="","",IF(ISNA(MATCH($A245,'ORDENES'!$AN$4:$AN$1203,0)),"huérfano",IF(COUNTIF($A$4:$A245,$A245)&gt;1,"duplicado (se ignora)","aplicado")))</f>
        <v/>
      </c>
      <c r="G245" s="16">
        <f>IF($F245&lt;&gt;"aplicado","",IF(IFERROR(INDEX('ORDENES'!$K$4:$K$1203,MATCH($A245,'ORDENES'!$AN$4:$AN$1203,0)),"")="","",$B245-IFERROR(INDEX('ORDENES'!$K$4:$K$1203,MATCH($A245,'ORDENES'!$AN$4:$AN$1203,0)),"")))</f>
        <v/>
      </c>
    </row>
    <row r="246">
      <c r="A246" s="6" t="n"/>
      <c r="B246" s="14" t="n"/>
      <c r="C246" s="6" t="n"/>
      <c r="D246" s="15" t="n"/>
      <c r="E246" s="3">
        <f>IF($A246="","",IFERROR(INDEX('ORDENES'!$D$4:$D$1203,MATCH($A246,'ORDENES'!$AN$4:$AN$1203,0)),"(no encontrada)"))</f>
        <v/>
      </c>
      <c r="F246" s="3">
        <f>IF($A246="","",IF(ISNA(MATCH($A246,'ORDENES'!$AN$4:$AN$1203,0)),"huérfano",IF(COUNTIF($A$4:$A246,$A246)&gt;1,"duplicado (se ignora)","aplicado")))</f>
        <v/>
      </c>
      <c r="G246" s="16">
        <f>IF($F246&lt;&gt;"aplicado","",IF(IFERROR(INDEX('ORDENES'!$K$4:$K$1203,MATCH($A246,'ORDENES'!$AN$4:$AN$1203,0)),"")="","",$B246-IFERROR(INDEX('ORDENES'!$K$4:$K$1203,MATCH($A246,'ORDENES'!$AN$4:$AN$1203,0)),"")))</f>
        <v/>
      </c>
    </row>
    <row r="247">
      <c r="A247" s="6" t="n"/>
      <c r="B247" s="14" t="n"/>
      <c r="C247" s="6" t="n"/>
      <c r="D247" s="15" t="n"/>
      <c r="E247" s="3">
        <f>IF($A247="","",IFERROR(INDEX('ORDENES'!$D$4:$D$1203,MATCH($A247,'ORDENES'!$AN$4:$AN$1203,0)),"(no encontrada)"))</f>
        <v/>
      </c>
      <c r="F247" s="3">
        <f>IF($A247="","",IF(ISNA(MATCH($A247,'ORDENES'!$AN$4:$AN$1203,0)),"huérfano",IF(COUNTIF($A$4:$A247,$A247)&gt;1,"duplicado (se ignora)","aplicado")))</f>
        <v/>
      </c>
      <c r="G247" s="16">
        <f>IF($F247&lt;&gt;"aplicado","",IF(IFERROR(INDEX('ORDENES'!$K$4:$K$1203,MATCH($A247,'ORDENES'!$AN$4:$AN$1203,0)),"")="","",$B247-IFERROR(INDEX('ORDENES'!$K$4:$K$1203,MATCH($A247,'ORDENES'!$AN$4:$AN$1203,0)),"")))</f>
        <v/>
      </c>
    </row>
    <row r="248">
      <c r="A248" s="6" t="n"/>
      <c r="B248" s="14" t="n"/>
      <c r="C248" s="6" t="n"/>
      <c r="D248" s="15" t="n"/>
      <c r="E248" s="3">
        <f>IF($A248="","",IFERROR(INDEX('ORDENES'!$D$4:$D$1203,MATCH($A248,'ORDENES'!$AN$4:$AN$1203,0)),"(no encontrada)"))</f>
        <v/>
      </c>
      <c r="F248" s="3">
        <f>IF($A248="","",IF(ISNA(MATCH($A248,'ORDENES'!$AN$4:$AN$1203,0)),"huérfano",IF(COUNTIF($A$4:$A248,$A248)&gt;1,"duplicado (se ignora)","aplicado")))</f>
        <v/>
      </c>
      <c r="G248" s="16">
        <f>IF($F248&lt;&gt;"aplicado","",IF(IFERROR(INDEX('ORDENES'!$K$4:$K$1203,MATCH($A248,'ORDENES'!$AN$4:$AN$1203,0)),"")="","",$B248-IFERROR(INDEX('ORDENES'!$K$4:$K$1203,MATCH($A248,'ORDENES'!$AN$4:$AN$1203,0)),"")))</f>
        <v/>
      </c>
    </row>
    <row r="249">
      <c r="A249" s="6" t="n"/>
      <c r="B249" s="14" t="n"/>
      <c r="C249" s="6" t="n"/>
      <c r="D249" s="15" t="n"/>
      <c r="E249" s="3">
        <f>IF($A249="","",IFERROR(INDEX('ORDENES'!$D$4:$D$1203,MATCH($A249,'ORDENES'!$AN$4:$AN$1203,0)),"(no encontrada)"))</f>
        <v/>
      </c>
      <c r="F249" s="3">
        <f>IF($A249="","",IF(ISNA(MATCH($A249,'ORDENES'!$AN$4:$AN$1203,0)),"huérfano",IF(COUNTIF($A$4:$A249,$A249)&gt;1,"duplicado (se ignora)","aplicado")))</f>
        <v/>
      </c>
      <c r="G249" s="16">
        <f>IF($F249&lt;&gt;"aplicado","",IF(IFERROR(INDEX('ORDENES'!$K$4:$K$1203,MATCH($A249,'ORDENES'!$AN$4:$AN$1203,0)),"")="","",$B249-IFERROR(INDEX('ORDENES'!$K$4:$K$1203,MATCH($A249,'ORDENES'!$AN$4:$AN$1203,0)),"")))</f>
        <v/>
      </c>
    </row>
    <row r="250">
      <c r="A250" s="6" t="n"/>
      <c r="B250" s="14" t="n"/>
      <c r="C250" s="6" t="n"/>
      <c r="D250" s="15" t="n"/>
      <c r="E250" s="3">
        <f>IF($A250="","",IFERROR(INDEX('ORDENES'!$D$4:$D$1203,MATCH($A250,'ORDENES'!$AN$4:$AN$1203,0)),"(no encontrada)"))</f>
        <v/>
      </c>
      <c r="F250" s="3">
        <f>IF($A250="","",IF(ISNA(MATCH($A250,'ORDENES'!$AN$4:$AN$1203,0)),"huérfano",IF(COUNTIF($A$4:$A250,$A250)&gt;1,"duplicado (se ignora)","aplicado")))</f>
        <v/>
      </c>
      <c r="G250" s="16">
        <f>IF($F250&lt;&gt;"aplicado","",IF(IFERROR(INDEX('ORDENES'!$K$4:$K$1203,MATCH($A250,'ORDENES'!$AN$4:$AN$1203,0)),"")="","",$B250-IFERROR(INDEX('ORDENES'!$K$4:$K$1203,MATCH($A250,'ORDENES'!$AN$4:$AN$1203,0)),"")))</f>
        <v/>
      </c>
    </row>
    <row r="251">
      <c r="A251" s="6" t="n"/>
      <c r="B251" s="14" t="n"/>
      <c r="C251" s="6" t="n"/>
      <c r="D251" s="15" t="n"/>
      <c r="E251" s="3">
        <f>IF($A251="","",IFERROR(INDEX('ORDENES'!$D$4:$D$1203,MATCH($A251,'ORDENES'!$AN$4:$AN$1203,0)),"(no encontrada)"))</f>
        <v/>
      </c>
      <c r="F251" s="3">
        <f>IF($A251="","",IF(ISNA(MATCH($A251,'ORDENES'!$AN$4:$AN$1203,0)),"huérfano",IF(COUNTIF($A$4:$A251,$A251)&gt;1,"duplicado (se ignora)","aplicado")))</f>
        <v/>
      </c>
      <c r="G251" s="16">
        <f>IF($F251&lt;&gt;"aplicado","",IF(IFERROR(INDEX('ORDENES'!$K$4:$K$1203,MATCH($A251,'ORDENES'!$AN$4:$AN$1203,0)),"")="","",$B251-IFERROR(INDEX('ORDENES'!$K$4:$K$1203,MATCH($A251,'ORDENES'!$AN$4:$AN$1203,0)),"")))</f>
        <v/>
      </c>
    </row>
    <row r="252">
      <c r="A252" s="6" t="n"/>
      <c r="B252" s="14" t="n"/>
      <c r="C252" s="6" t="n"/>
      <c r="D252" s="15" t="n"/>
      <c r="E252" s="3">
        <f>IF($A252="","",IFERROR(INDEX('ORDENES'!$D$4:$D$1203,MATCH($A252,'ORDENES'!$AN$4:$AN$1203,0)),"(no encontrada)"))</f>
        <v/>
      </c>
      <c r="F252" s="3">
        <f>IF($A252="","",IF(ISNA(MATCH($A252,'ORDENES'!$AN$4:$AN$1203,0)),"huérfano",IF(COUNTIF($A$4:$A252,$A252)&gt;1,"duplicado (se ignora)","aplicado")))</f>
        <v/>
      </c>
      <c r="G252" s="16">
        <f>IF($F252&lt;&gt;"aplicado","",IF(IFERROR(INDEX('ORDENES'!$K$4:$K$1203,MATCH($A252,'ORDENES'!$AN$4:$AN$1203,0)),"")="","",$B252-IFERROR(INDEX('ORDENES'!$K$4:$K$1203,MATCH($A252,'ORDENES'!$AN$4:$AN$1203,0)),"")))</f>
        <v/>
      </c>
    </row>
    <row r="253">
      <c r="A253" s="6" t="n"/>
      <c r="B253" s="14" t="n"/>
      <c r="C253" s="6" t="n"/>
      <c r="D253" s="15" t="n"/>
      <c r="E253" s="3">
        <f>IF($A253="","",IFERROR(INDEX('ORDENES'!$D$4:$D$1203,MATCH($A253,'ORDENES'!$AN$4:$AN$1203,0)),"(no encontrada)"))</f>
        <v/>
      </c>
      <c r="F253" s="3">
        <f>IF($A253="","",IF(ISNA(MATCH($A253,'ORDENES'!$AN$4:$AN$1203,0)),"huérfano",IF(COUNTIF($A$4:$A253,$A253)&gt;1,"duplicado (se ignora)","aplicado")))</f>
        <v/>
      </c>
      <c r="G253" s="16">
        <f>IF($F253&lt;&gt;"aplicado","",IF(IFERROR(INDEX('ORDENES'!$K$4:$K$1203,MATCH($A253,'ORDENES'!$AN$4:$AN$1203,0)),"")="","",$B253-IFERROR(INDEX('ORDENES'!$K$4:$K$1203,MATCH($A253,'ORDENES'!$AN$4:$AN$1203,0)),"")))</f>
        <v/>
      </c>
    </row>
    <row r="254">
      <c r="A254" s="6" t="n"/>
      <c r="B254" s="14" t="n"/>
      <c r="C254" s="6" t="n"/>
      <c r="D254" s="15" t="n"/>
      <c r="E254" s="3">
        <f>IF($A254="","",IFERROR(INDEX('ORDENES'!$D$4:$D$1203,MATCH($A254,'ORDENES'!$AN$4:$AN$1203,0)),"(no encontrada)"))</f>
        <v/>
      </c>
      <c r="F254" s="3">
        <f>IF($A254="","",IF(ISNA(MATCH($A254,'ORDENES'!$AN$4:$AN$1203,0)),"huérfano",IF(COUNTIF($A$4:$A254,$A254)&gt;1,"duplicado (se ignora)","aplicado")))</f>
        <v/>
      </c>
      <c r="G254" s="16">
        <f>IF($F254&lt;&gt;"aplicado","",IF(IFERROR(INDEX('ORDENES'!$K$4:$K$1203,MATCH($A254,'ORDENES'!$AN$4:$AN$1203,0)),"")="","",$B254-IFERROR(INDEX('ORDENES'!$K$4:$K$1203,MATCH($A254,'ORDENES'!$AN$4:$AN$1203,0)),"")))</f>
        <v/>
      </c>
    </row>
    <row r="255">
      <c r="A255" s="6" t="n"/>
      <c r="B255" s="14" t="n"/>
      <c r="C255" s="6" t="n"/>
      <c r="D255" s="15" t="n"/>
      <c r="E255" s="3">
        <f>IF($A255="","",IFERROR(INDEX('ORDENES'!$D$4:$D$1203,MATCH($A255,'ORDENES'!$AN$4:$AN$1203,0)),"(no encontrada)"))</f>
        <v/>
      </c>
      <c r="F255" s="3">
        <f>IF($A255="","",IF(ISNA(MATCH($A255,'ORDENES'!$AN$4:$AN$1203,0)),"huérfano",IF(COUNTIF($A$4:$A255,$A255)&gt;1,"duplicado (se ignora)","aplicado")))</f>
        <v/>
      </c>
      <c r="G255" s="16">
        <f>IF($F255&lt;&gt;"aplicado","",IF(IFERROR(INDEX('ORDENES'!$K$4:$K$1203,MATCH($A255,'ORDENES'!$AN$4:$AN$1203,0)),"")="","",$B255-IFERROR(INDEX('ORDENES'!$K$4:$K$1203,MATCH($A255,'ORDENES'!$AN$4:$AN$1203,0)),"")))</f>
        <v/>
      </c>
    </row>
    <row r="256">
      <c r="A256" s="6" t="n"/>
      <c r="B256" s="14" t="n"/>
      <c r="C256" s="6" t="n"/>
      <c r="D256" s="15" t="n"/>
      <c r="E256" s="3">
        <f>IF($A256="","",IFERROR(INDEX('ORDENES'!$D$4:$D$1203,MATCH($A256,'ORDENES'!$AN$4:$AN$1203,0)),"(no encontrada)"))</f>
        <v/>
      </c>
      <c r="F256" s="3">
        <f>IF($A256="","",IF(ISNA(MATCH($A256,'ORDENES'!$AN$4:$AN$1203,0)),"huérfano",IF(COUNTIF($A$4:$A256,$A256)&gt;1,"duplicado (se ignora)","aplicado")))</f>
        <v/>
      </c>
      <c r="G256" s="16">
        <f>IF($F256&lt;&gt;"aplicado","",IF(IFERROR(INDEX('ORDENES'!$K$4:$K$1203,MATCH($A256,'ORDENES'!$AN$4:$AN$1203,0)),"")="","",$B256-IFERROR(INDEX('ORDENES'!$K$4:$K$1203,MATCH($A256,'ORDENES'!$AN$4:$AN$1203,0)),"")))</f>
        <v/>
      </c>
    </row>
    <row r="257">
      <c r="A257" s="6" t="n"/>
      <c r="B257" s="14" t="n"/>
      <c r="C257" s="6" t="n"/>
      <c r="D257" s="15" t="n"/>
      <c r="E257" s="3">
        <f>IF($A257="","",IFERROR(INDEX('ORDENES'!$D$4:$D$1203,MATCH($A257,'ORDENES'!$AN$4:$AN$1203,0)),"(no encontrada)"))</f>
        <v/>
      </c>
      <c r="F257" s="3">
        <f>IF($A257="","",IF(ISNA(MATCH($A257,'ORDENES'!$AN$4:$AN$1203,0)),"huérfano",IF(COUNTIF($A$4:$A257,$A257)&gt;1,"duplicado (se ignora)","aplicado")))</f>
        <v/>
      </c>
      <c r="G257" s="16">
        <f>IF($F257&lt;&gt;"aplicado","",IF(IFERROR(INDEX('ORDENES'!$K$4:$K$1203,MATCH($A257,'ORDENES'!$AN$4:$AN$1203,0)),"")="","",$B257-IFERROR(INDEX('ORDENES'!$K$4:$K$1203,MATCH($A257,'ORDENES'!$AN$4:$AN$1203,0)),"")))</f>
        <v/>
      </c>
    </row>
    <row r="258">
      <c r="A258" s="6" t="n"/>
      <c r="B258" s="14" t="n"/>
      <c r="C258" s="6" t="n"/>
      <c r="D258" s="15" t="n"/>
      <c r="E258" s="3">
        <f>IF($A258="","",IFERROR(INDEX('ORDENES'!$D$4:$D$1203,MATCH($A258,'ORDENES'!$AN$4:$AN$1203,0)),"(no encontrada)"))</f>
        <v/>
      </c>
      <c r="F258" s="3">
        <f>IF($A258="","",IF(ISNA(MATCH($A258,'ORDENES'!$AN$4:$AN$1203,0)),"huérfano",IF(COUNTIF($A$4:$A258,$A258)&gt;1,"duplicado (se ignora)","aplicado")))</f>
        <v/>
      </c>
      <c r="G258" s="16">
        <f>IF($F258&lt;&gt;"aplicado","",IF(IFERROR(INDEX('ORDENES'!$K$4:$K$1203,MATCH($A258,'ORDENES'!$AN$4:$AN$1203,0)),"")="","",$B258-IFERROR(INDEX('ORDENES'!$K$4:$K$1203,MATCH($A258,'ORDENES'!$AN$4:$AN$1203,0)),"")))</f>
        <v/>
      </c>
    </row>
    <row r="259">
      <c r="A259" s="6" t="n"/>
      <c r="B259" s="14" t="n"/>
      <c r="C259" s="6" t="n"/>
      <c r="D259" s="15" t="n"/>
      <c r="E259" s="3">
        <f>IF($A259="","",IFERROR(INDEX('ORDENES'!$D$4:$D$1203,MATCH($A259,'ORDENES'!$AN$4:$AN$1203,0)),"(no encontrada)"))</f>
        <v/>
      </c>
      <c r="F259" s="3">
        <f>IF($A259="","",IF(ISNA(MATCH($A259,'ORDENES'!$AN$4:$AN$1203,0)),"huérfano",IF(COUNTIF($A$4:$A259,$A259)&gt;1,"duplicado (se ignora)","aplicado")))</f>
        <v/>
      </c>
      <c r="G259" s="16">
        <f>IF($F259&lt;&gt;"aplicado","",IF(IFERROR(INDEX('ORDENES'!$K$4:$K$1203,MATCH($A259,'ORDENES'!$AN$4:$AN$1203,0)),"")="","",$B259-IFERROR(INDEX('ORDENES'!$K$4:$K$1203,MATCH($A259,'ORDENES'!$AN$4:$AN$1203,0)),"")))</f>
        <v/>
      </c>
    </row>
    <row r="260">
      <c r="A260" s="6" t="n"/>
      <c r="B260" s="14" t="n"/>
      <c r="C260" s="6" t="n"/>
      <c r="D260" s="15" t="n"/>
      <c r="E260" s="3">
        <f>IF($A260="","",IFERROR(INDEX('ORDENES'!$D$4:$D$1203,MATCH($A260,'ORDENES'!$AN$4:$AN$1203,0)),"(no encontrada)"))</f>
        <v/>
      </c>
      <c r="F260" s="3">
        <f>IF($A260="","",IF(ISNA(MATCH($A260,'ORDENES'!$AN$4:$AN$1203,0)),"huérfano",IF(COUNTIF($A$4:$A260,$A260)&gt;1,"duplicado (se ignora)","aplicado")))</f>
        <v/>
      </c>
      <c r="G260" s="16">
        <f>IF($F260&lt;&gt;"aplicado","",IF(IFERROR(INDEX('ORDENES'!$K$4:$K$1203,MATCH($A260,'ORDENES'!$AN$4:$AN$1203,0)),"")="","",$B260-IFERROR(INDEX('ORDENES'!$K$4:$K$1203,MATCH($A260,'ORDENES'!$AN$4:$AN$1203,0)),"")))</f>
        <v/>
      </c>
    </row>
    <row r="261">
      <c r="A261" s="6" t="n"/>
      <c r="B261" s="14" t="n"/>
      <c r="C261" s="6" t="n"/>
      <c r="D261" s="15" t="n"/>
      <c r="E261" s="3">
        <f>IF($A261="","",IFERROR(INDEX('ORDENES'!$D$4:$D$1203,MATCH($A261,'ORDENES'!$AN$4:$AN$1203,0)),"(no encontrada)"))</f>
        <v/>
      </c>
      <c r="F261" s="3">
        <f>IF($A261="","",IF(ISNA(MATCH($A261,'ORDENES'!$AN$4:$AN$1203,0)),"huérfano",IF(COUNTIF($A$4:$A261,$A261)&gt;1,"duplicado (se ignora)","aplicado")))</f>
        <v/>
      </c>
      <c r="G261" s="16">
        <f>IF($F261&lt;&gt;"aplicado","",IF(IFERROR(INDEX('ORDENES'!$K$4:$K$1203,MATCH($A261,'ORDENES'!$AN$4:$AN$1203,0)),"")="","",$B261-IFERROR(INDEX('ORDENES'!$K$4:$K$1203,MATCH($A261,'ORDENES'!$AN$4:$AN$1203,0)),"")))</f>
        <v/>
      </c>
    </row>
    <row r="262">
      <c r="A262" s="6" t="n"/>
      <c r="B262" s="14" t="n"/>
      <c r="C262" s="6" t="n"/>
      <c r="D262" s="15" t="n"/>
      <c r="E262" s="3">
        <f>IF($A262="","",IFERROR(INDEX('ORDENES'!$D$4:$D$1203,MATCH($A262,'ORDENES'!$AN$4:$AN$1203,0)),"(no encontrada)"))</f>
        <v/>
      </c>
      <c r="F262" s="3">
        <f>IF($A262="","",IF(ISNA(MATCH($A262,'ORDENES'!$AN$4:$AN$1203,0)),"huérfano",IF(COUNTIF($A$4:$A262,$A262)&gt;1,"duplicado (se ignora)","aplicado")))</f>
        <v/>
      </c>
      <c r="G262" s="16">
        <f>IF($F262&lt;&gt;"aplicado","",IF(IFERROR(INDEX('ORDENES'!$K$4:$K$1203,MATCH($A262,'ORDENES'!$AN$4:$AN$1203,0)),"")="","",$B262-IFERROR(INDEX('ORDENES'!$K$4:$K$1203,MATCH($A262,'ORDENES'!$AN$4:$AN$1203,0)),"")))</f>
        <v/>
      </c>
    </row>
    <row r="263">
      <c r="A263" s="6" t="n"/>
      <c r="B263" s="14" t="n"/>
      <c r="C263" s="6" t="n"/>
      <c r="D263" s="15" t="n"/>
      <c r="E263" s="3">
        <f>IF($A263="","",IFERROR(INDEX('ORDENES'!$D$4:$D$1203,MATCH($A263,'ORDENES'!$AN$4:$AN$1203,0)),"(no encontrada)"))</f>
        <v/>
      </c>
      <c r="F263" s="3">
        <f>IF($A263="","",IF(ISNA(MATCH($A263,'ORDENES'!$AN$4:$AN$1203,0)),"huérfano",IF(COUNTIF($A$4:$A263,$A263)&gt;1,"duplicado (se ignora)","aplicado")))</f>
        <v/>
      </c>
      <c r="G263" s="16">
        <f>IF($F263&lt;&gt;"aplicado","",IF(IFERROR(INDEX('ORDENES'!$K$4:$K$1203,MATCH($A263,'ORDENES'!$AN$4:$AN$1203,0)),"")="","",$B263-IFERROR(INDEX('ORDENES'!$K$4:$K$1203,MATCH($A263,'ORDENES'!$AN$4:$AN$1203,0)),"")))</f>
        <v/>
      </c>
    </row>
    <row r="264">
      <c r="A264" s="6" t="n"/>
      <c r="B264" s="14" t="n"/>
      <c r="C264" s="6" t="n"/>
      <c r="D264" s="15" t="n"/>
      <c r="E264" s="3">
        <f>IF($A264="","",IFERROR(INDEX('ORDENES'!$D$4:$D$1203,MATCH($A264,'ORDENES'!$AN$4:$AN$1203,0)),"(no encontrada)"))</f>
        <v/>
      </c>
      <c r="F264" s="3">
        <f>IF($A264="","",IF(ISNA(MATCH($A264,'ORDENES'!$AN$4:$AN$1203,0)),"huérfano",IF(COUNTIF($A$4:$A264,$A264)&gt;1,"duplicado (se ignora)","aplicado")))</f>
        <v/>
      </c>
      <c r="G264" s="16">
        <f>IF($F264&lt;&gt;"aplicado","",IF(IFERROR(INDEX('ORDENES'!$K$4:$K$1203,MATCH($A264,'ORDENES'!$AN$4:$AN$1203,0)),"")="","",$B264-IFERROR(INDEX('ORDENES'!$K$4:$K$1203,MATCH($A264,'ORDENES'!$AN$4:$AN$1203,0)),"")))</f>
        <v/>
      </c>
    </row>
    <row r="265">
      <c r="A265" s="6" t="n"/>
      <c r="B265" s="14" t="n"/>
      <c r="C265" s="6" t="n"/>
      <c r="D265" s="15" t="n"/>
      <c r="E265" s="3">
        <f>IF($A265="","",IFERROR(INDEX('ORDENES'!$D$4:$D$1203,MATCH($A265,'ORDENES'!$AN$4:$AN$1203,0)),"(no encontrada)"))</f>
        <v/>
      </c>
      <c r="F265" s="3">
        <f>IF($A265="","",IF(ISNA(MATCH($A265,'ORDENES'!$AN$4:$AN$1203,0)),"huérfano",IF(COUNTIF($A$4:$A265,$A265)&gt;1,"duplicado (se ignora)","aplicado")))</f>
        <v/>
      </c>
      <c r="G265" s="16">
        <f>IF($F265&lt;&gt;"aplicado","",IF(IFERROR(INDEX('ORDENES'!$K$4:$K$1203,MATCH($A265,'ORDENES'!$AN$4:$AN$1203,0)),"")="","",$B265-IFERROR(INDEX('ORDENES'!$K$4:$K$1203,MATCH($A265,'ORDENES'!$AN$4:$AN$1203,0)),"")))</f>
        <v/>
      </c>
    </row>
    <row r="266">
      <c r="A266" s="6" t="n"/>
      <c r="B266" s="14" t="n"/>
      <c r="C266" s="6" t="n"/>
      <c r="D266" s="15" t="n"/>
      <c r="E266" s="3">
        <f>IF($A266="","",IFERROR(INDEX('ORDENES'!$D$4:$D$1203,MATCH($A266,'ORDENES'!$AN$4:$AN$1203,0)),"(no encontrada)"))</f>
        <v/>
      </c>
      <c r="F266" s="3">
        <f>IF($A266="","",IF(ISNA(MATCH($A266,'ORDENES'!$AN$4:$AN$1203,0)),"huérfano",IF(COUNTIF($A$4:$A266,$A266)&gt;1,"duplicado (se ignora)","aplicado")))</f>
        <v/>
      </c>
      <c r="G266" s="16">
        <f>IF($F266&lt;&gt;"aplicado","",IF(IFERROR(INDEX('ORDENES'!$K$4:$K$1203,MATCH($A266,'ORDENES'!$AN$4:$AN$1203,0)),"")="","",$B266-IFERROR(INDEX('ORDENES'!$K$4:$K$1203,MATCH($A266,'ORDENES'!$AN$4:$AN$1203,0)),"")))</f>
        <v/>
      </c>
    </row>
    <row r="267">
      <c r="A267" s="6" t="n"/>
      <c r="B267" s="14" t="n"/>
      <c r="C267" s="6" t="n"/>
      <c r="D267" s="15" t="n"/>
      <c r="E267" s="3">
        <f>IF($A267="","",IFERROR(INDEX('ORDENES'!$D$4:$D$1203,MATCH($A267,'ORDENES'!$AN$4:$AN$1203,0)),"(no encontrada)"))</f>
        <v/>
      </c>
      <c r="F267" s="3">
        <f>IF($A267="","",IF(ISNA(MATCH($A267,'ORDENES'!$AN$4:$AN$1203,0)),"huérfano",IF(COUNTIF($A$4:$A267,$A267)&gt;1,"duplicado (se ignora)","aplicado")))</f>
        <v/>
      </c>
      <c r="G267" s="16">
        <f>IF($F267&lt;&gt;"aplicado","",IF(IFERROR(INDEX('ORDENES'!$K$4:$K$1203,MATCH($A267,'ORDENES'!$AN$4:$AN$1203,0)),"")="","",$B267-IFERROR(INDEX('ORDENES'!$K$4:$K$1203,MATCH($A267,'ORDENES'!$AN$4:$AN$1203,0)),"")))</f>
        <v/>
      </c>
    </row>
    <row r="268">
      <c r="A268" s="6" t="n"/>
      <c r="B268" s="14" t="n"/>
      <c r="C268" s="6" t="n"/>
      <c r="D268" s="15" t="n"/>
      <c r="E268" s="3">
        <f>IF($A268="","",IFERROR(INDEX('ORDENES'!$D$4:$D$1203,MATCH($A268,'ORDENES'!$AN$4:$AN$1203,0)),"(no encontrada)"))</f>
        <v/>
      </c>
      <c r="F268" s="3">
        <f>IF($A268="","",IF(ISNA(MATCH($A268,'ORDENES'!$AN$4:$AN$1203,0)),"huérfano",IF(COUNTIF($A$4:$A268,$A268)&gt;1,"duplicado (se ignora)","aplicado")))</f>
        <v/>
      </c>
      <c r="G268" s="16">
        <f>IF($F268&lt;&gt;"aplicado","",IF(IFERROR(INDEX('ORDENES'!$K$4:$K$1203,MATCH($A268,'ORDENES'!$AN$4:$AN$1203,0)),"")="","",$B268-IFERROR(INDEX('ORDENES'!$K$4:$K$1203,MATCH($A268,'ORDENES'!$AN$4:$AN$1203,0)),"")))</f>
        <v/>
      </c>
    </row>
    <row r="269">
      <c r="A269" s="6" t="n"/>
      <c r="B269" s="14" t="n"/>
      <c r="C269" s="6" t="n"/>
      <c r="D269" s="15" t="n"/>
      <c r="E269" s="3">
        <f>IF($A269="","",IFERROR(INDEX('ORDENES'!$D$4:$D$1203,MATCH($A269,'ORDENES'!$AN$4:$AN$1203,0)),"(no encontrada)"))</f>
        <v/>
      </c>
      <c r="F269" s="3">
        <f>IF($A269="","",IF(ISNA(MATCH($A269,'ORDENES'!$AN$4:$AN$1203,0)),"huérfano",IF(COUNTIF($A$4:$A269,$A269)&gt;1,"duplicado (se ignora)","aplicado")))</f>
        <v/>
      </c>
      <c r="G269" s="16">
        <f>IF($F269&lt;&gt;"aplicado","",IF(IFERROR(INDEX('ORDENES'!$K$4:$K$1203,MATCH($A269,'ORDENES'!$AN$4:$AN$1203,0)),"")="","",$B269-IFERROR(INDEX('ORDENES'!$K$4:$K$1203,MATCH($A269,'ORDENES'!$AN$4:$AN$1203,0)),"")))</f>
        <v/>
      </c>
    </row>
    <row r="270">
      <c r="A270" s="6" t="n"/>
      <c r="B270" s="14" t="n"/>
      <c r="C270" s="6" t="n"/>
      <c r="D270" s="15" t="n"/>
      <c r="E270" s="3">
        <f>IF($A270="","",IFERROR(INDEX('ORDENES'!$D$4:$D$1203,MATCH($A270,'ORDENES'!$AN$4:$AN$1203,0)),"(no encontrada)"))</f>
        <v/>
      </c>
      <c r="F270" s="3">
        <f>IF($A270="","",IF(ISNA(MATCH($A270,'ORDENES'!$AN$4:$AN$1203,0)),"huérfano",IF(COUNTIF($A$4:$A270,$A270)&gt;1,"duplicado (se ignora)","aplicado")))</f>
        <v/>
      </c>
      <c r="G270" s="16">
        <f>IF($F270&lt;&gt;"aplicado","",IF(IFERROR(INDEX('ORDENES'!$K$4:$K$1203,MATCH($A270,'ORDENES'!$AN$4:$AN$1203,0)),"")="","",$B270-IFERROR(INDEX('ORDENES'!$K$4:$K$1203,MATCH($A270,'ORDENES'!$AN$4:$AN$1203,0)),"")))</f>
        <v/>
      </c>
    </row>
    <row r="271">
      <c r="A271" s="6" t="n"/>
      <c r="B271" s="14" t="n"/>
      <c r="C271" s="6" t="n"/>
      <c r="D271" s="15" t="n"/>
      <c r="E271" s="3">
        <f>IF($A271="","",IFERROR(INDEX('ORDENES'!$D$4:$D$1203,MATCH($A271,'ORDENES'!$AN$4:$AN$1203,0)),"(no encontrada)"))</f>
        <v/>
      </c>
      <c r="F271" s="3">
        <f>IF($A271="","",IF(ISNA(MATCH($A271,'ORDENES'!$AN$4:$AN$1203,0)),"huérfano",IF(COUNTIF($A$4:$A271,$A271)&gt;1,"duplicado (se ignora)","aplicado")))</f>
        <v/>
      </c>
      <c r="G271" s="16">
        <f>IF($F271&lt;&gt;"aplicado","",IF(IFERROR(INDEX('ORDENES'!$K$4:$K$1203,MATCH($A271,'ORDENES'!$AN$4:$AN$1203,0)),"")="","",$B271-IFERROR(INDEX('ORDENES'!$K$4:$K$1203,MATCH($A271,'ORDENES'!$AN$4:$AN$1203,0)),"")))</f>
        <v/>
      </c>
    </row>
    <row r="272">
      <c r="A272" s="6" t="n"/>
      <c r="B272" s="14" t="n"/>
      <c r="C272" s="6" t="n"/>
      <c r="D272" s="15" t="n"/>
      <c r="E272" s="3">
        <f>IF($A272="","",IFERROR(INDEX('ORDENES'!$D$4:$D$1203,MATCH($A272,'ORDENES'!$AN$4:$AN$1203,0)),"(no encontrada)"))</f>
        <v/>
      </c>
      <c r="F272" s="3">
        <f>IF($A272="","",IF(ISNA(MATCH($A272,'ORDENES'!$AN$4:$AN$1203,0)),"huérfano",IF(COUNTIF($A$4:$A272,$A272)&gt;1,"duplicado (se ignora)","aplicado")))</f>
        <v/>
      </c>
      <c r="G272" s="16">
        <f>IF($F272&lt;&gt;"aplicado","",IF(IFERROR(INDEX('ORDENES'!$K$4:$K$1203,MATCH($A272,'ORDENES'!$AN$4:$AN$1203,0)),"")="","",$B272-IFERROR(INDEX('ORDENES'!$K$4:$K$1203,MATCH($A272,'ORDENES'!$AN$4:$AN$1203,0)),"")))</f>
        <v/>
      </c>
    </row>
    <row r="273">
      <c r="A273" s="6" t="n"/>
      <c r="B273" s="14" t="n"/>
      <c r="C273" s="6" t="n"/>
      <c r="D273" s="15" t="n"/>
      <c r="E273" s="3">
        <f>IF($A273="","",IFERROR(INDEX('ORDENES'!$D$4:$D$1203,MATCH($A273,'ORDENES'!$AN$4:$AN$1203,0)),"(no encontrada)"))</f>
        <v/>
      </c>
      <c r="F273" s="3">
        <f>IF($A273="","",IF(ISNA(MATCH($A273,'ORDENES'!$AN$4:$AN$1203,0)),"huérfano",IF(COUNTIF($A$4:$A273,$A273)&gt;1,"duplicado (se ignora)","aplicado")))</f>
        <v/>
      </c>
      <c r="G273" s="16">
        <f>IF($F273&lt;&gt;"aplicado","",IF(IFERROR(INDEX('ORDENES'!$K$4:$K$1203,MATCH($A273,'ORDENES'!$AN$4:$AN$1203,0)),"")="","",$B273-IFERROR(INDEX('ORDENES'!$K$4:$K$1203,MATCH($A273,'ORDENES'!$AN$4:$AN$1203,0)),"")))</f>
        <v/>
      </c>
    </row>
    <row r="274">
      <c r="A274" s="6" t="n"/>
      <c r="B274" s="14" t="n"/>
      <c r="C274" s="6" t="n"/>
      <c r="D274" s="15" t="n"/>
      <c r="E274" s="3">
        <f>IF($A274="","",IFERROR(INDEX('ORDENES'!$D$4:$D$1203,MATCH($A274,'ORDENES'!$AN$4:$AN$1203,0)),"(no encontrada)"))</f>
        <v/>
      </c>
      <c r="F274" s="3">
        <f>IF($A274="","",IF(ISNA(MATCH($A274,'ORDENES'!$AN$4:$AN$1203,0)),"huérfano",IF(COUNTIF($A$4:$A274,$A274)&gt;1,"duplicado (se ignora)","aplicado")))</f>
        <v/>
      </c>
      <c r="G274" s="16">
        <f>IF($F274&lt;&gt;"aplicado","",IF(IFERROR(INDEX('ORDENES'!$K$4:$K$1203,MATCH($A274,'ORDENES'!$AN$4:$AN$1203,0)),"")="","",$B274-IFERROR(INDEX('ORDENES'!$K$4:$K$1203,MATCH($A274,'ORDENES'!$AN$4:$AN$1203,0)),"")))</f>
        <v/>
      </c>
    </row>
    <row r="275">
      <c r="A275" s="6" t="n"/>
      <c r="B275" s="14" t="n"/>
      <c r="C275" s="6" t="n"/>
      <c r="D275" s="15" t="n"/>
      <c r="E275" s="3">
        <f>IF($A275="","",IFERROR(INDEX('ORDENES'!$D$4:$D$1203,MATCH($A275,'ORDENES'!$AN$4:$AN$1203,0)),"(no encontrada)"))</f>
        <v/>
      </c>
      <c r="F275" s="3">
        <f>IF($A275="","",IF(ISNA(MATCH($A275,'ORDENES'!$AN$4:$AN$1203,0)),"huérfano",IF(COUNTIF($A$4:$A275,$A275)&gt;1,"duplicado (se ignora)","aplicado")))</f>
        <v/>
      </c>
      <c r="G275" s="16">
        <f>IF($F275&lt;&gt;"aplicado","",IF(IFERROR(INDEX('ORDENES'!$K$4:$K$1203,MATCH($A275,'ORDENES'!$AN$4:$AN$1203,0)),"")="","",$B275-IFERROR(INDEX('ORDENES'!$K$4:$K$1203,MATCH($A275,'ORDENES'!$AN$4:$AN$1203,0)),"")))</f>
        <v/>
      </c>
    </row>
    <row r="276">
      <c r="A276" s="6" t="n"/>
      <c r="B276" s="14" t="n"/>
      <c r="C276" s="6" t="n"/>
      <c r="D276" s="15" t="n"/>
      <c r="E276" s="3">
        <f>IF($A276="","",IFERROR(INDEX('ORDENES'!$D$4:$D$1203,MATCH($A276,'ORDENES'!$AN$4:$AN$1203,0)),"(no encontrada)"))</f>
        <v/>
      </c>
      <c r="F276" s="3">
        <f>IF($A276="","",IF(ISNA(MATCH($A276,'ORDENES'!$AN$4:$AN$1203,0)),"huérfano",IF(COUNTIF($A$4:$A276,$A276)&gt;1,"duplicado (se ignora)","aplicado")))</f>
        <v/>
      </c>
      <c r="G276" s="16">
        <f>IF($F276&lt;&gt;"aplicado","",IF(IFERROR(INDEX('ORDENES'!$K$4:$K$1203,MATCH($A276,'ORDENES'!$AN$4:$AN$1203,0)),"")="","",$B276-IFERROR(INDEX('ORDENES'!$K$4:$K$1203,MATCH($A276,'ORDENES'!$AN$4:$AN$1203,0)),"")))</f>
        <v/>
      </c>
    </row>
    <row r="277">
      <c r="A277" s="6" t="n"/>
      <c r="B277" s="14" t="n"/>
      <c r="C277" s="6" t="n"/>
      <c r="D277" s="15" t="n"/>
      <c r="E277" s="3">
        <f>IF($A277="","",IFERROR(INDEX('ORDENES'!$D$4:$D$1203,MATCH($A277,'ORDENES'!$AN$4:$AN$1203,0)),"(no encontrada)"))</f>
        <v/>
      </c>
      <c r="F277" s="3">
        <f>IF($A277="","",IF(ISNA(MATCH($A277,'ORDENES'!$AN$4:$AN$1203,0)),"huérfano",IF(COUNTIF($A$4:$A277,$A277)&gt;1,"duplicado (se ignora)","aplicado")))</f>
        <v/>
      </c>
      <c r="G277" s="16">
        <f>IF($F277&lt;&gt;"aplicado","",IF(IFERROR(INDEX('ORDENES'!$K$4:$K$1203,MATCH($A277,'ORDENES'!$AN$4:$AN$1203,0)),"")="","",$B277-IFERROR(INDEX('ORDENES'!$K$4:$K$1203,MATCH($A277,'ORDENES'!$AN$4:$AN$1203,0)),"")))</f>
        <v/>
      </c>
    </row>
    <row r="278">
      <c r="A278" s="6" t="n"/>
      <c r="B278" s="14" t="n"/>
      <c r="C278" s="6" t="n"/>
      <c r="D278" s="15" t="n"/>
      <c r="E278" s="3">
        <f>IF($A278="","",IFERROR(INDEX('ORDENES'!$D$4:$D$1203,MATCH($A278,'ORDENES'!$AN$4:$AN$1203,0)),"(no encontrada)"))</f>
        <v/>
      </c>
      <c r="F278" s="3">
        <f>IF($A278="","",IF(ISNA(MATCH($A278,'ORDENES'!$AN$4:$AN$1203,0)),"huérfano",IF(COUNTIF($A$4:$A278,$A278)&gt;1,"duplicado (se ignora)","aplicado")))</f>
        <v/>
      </c>
      <c r="G278" s="16">
        <f>IF($F278&lt;&gt;"aplicado","",IF(IFERROR(INDEX('ORDENES'!$K$4:$K$1203,MATCH($A278,'ORDENES'!$AN$4:$AN$1203,0)),"")="","",$B278-IFERROR(INDEX('ORDENES'!$K$4:$K$1203,MATCH($A278,'ORDENES'!$AN$4:$AN$1203,0)),"")))</f>
        <v/>
      </c>
    </row>
    <row r="279">
      <c r="A279" s="6" t="n"/>
      <c r="B279" s="14" t="n"/>
      <c r="C279" s="6" t="n"/>
      <c r="D279" s="15" t="n"/>
      <c r="E279" s="3">
        <f>IF($A279="","",IFERROR(INDEX('ORDENES'!$D$4:$D$1203,MATCH($A279,'ORDENES'!$AN$4:$AN$1203,0)),"(no encontrada)"))</f>
        <v/>
      </c>
      <c r="F279" s="3">
        <f>IF($A279="","",IF(ISNA(MATCH($A279,'ORDENES'!$AN$4:$AN$1203,0)),"huérfano",IF(COUNTIF($A$4:$A279,$A279)&gt;1,"duplicado (se ignora)","aplicado")))</f>
        <v/>
      </c>
      <c r="G279" s="16">
        <f>IF($F279&lt;&gt;"aplicado","",IF(IFERROR(INDEX('ORDENES'!$K$4:$K$1203,MATCH($A279,'ORDENES'!$AN$4:$AN$1203,0)),"")="","",$B279-IFERROR(INDEX('ORDENES'!$K$4:$K$1203,MATCH($A279,'ORDENES'!$AN$4:$AN$1203,0)),"")))</f>
        <v/>
      </c>
    </row>
    <row r="280">
      <c r="A280" s="6" t="n"/>
      <c r="B280" s="14" t="n"/>
      <c r="C280" s="6" t="n"/>
      <c r="D280" s="15" t="n"/>
      <c r="E280" s="3">
        <f>IF($A280="","",IFERROR(INDEX('ORDENES'!$D$4:$D$1203,MATCH($A280,'ORDENES'!$AN$4:$AN$1203,0)),"(no encontrada)"))</f>
        <v/>
      </c>
      <c r="F280" s="3">
        <f>IF($A280="","",IF(ISNA(MATCH($A280,'ORDENES'!$AN$4:$AN$1203,0)),"huérfano",IF(COUNTIF($A$4:$A280,$A280)&gt;1,"duplicado (se ignora)","aplicado")))</f>
        <v/>
      </c>
      <c r="G280" s="16">
        <f>IF($F280&lt;&gt;"aplicado","",IF(IFERROR(INDEX('ORDENES'!$K$4:$K$1203,MATCH($A280,'ORDENES'!$AN$4:$AN$1203,0)),"")="","",$B280-IFERROR(INDEX('ORDENES'!$K$4:$K$1203,MATCH($A280,'ORDENES'!$AN$4:$AN$1203,0)),"")))</f>
        <v/>
      </c>
    </row>
    <row r="281">
      <c r="A281" s="6" t="n"/>
      <c r="B281" s="14" t="n"/>
      <c r="C281" s="6" t="n"/>
      <c r="D281" s="15" t="n"/>
      <c r="E281" s="3">
        <f>IF($A281="","",IFERROR(INDEX('ORDENES'!$D$4:$D$1203,MATCH($A281,'ORDENES'!$AN$4:$AN$1203,0)),"(no encontrada)"))</f>
        <v/>
      </c>
      <c r="F281" s="3">
        <f>IF($A281="","",IF(ISNA(MATCH($A281,'ORDENES'!$AN$4:$AN$1203,0)),"huérfano",IF(COUNTIF($A$4:$A281,$A281)&gt;1,"duplicado (se ignora)","aplicado")))</f>
        <v/>
      </c>
      <c r="G281" s="16">
        <f>IF($F281&lt;&gt;"aplicado","",IF(IFERROR(INDEX('ORDENES'!$K$4:$K$1203,MATCH($A281,'ORDENES'!$AN$4:$AN$1203,0)),"")="","",$B281-IFERROR(INDEX('ORDENES'!$K$4:$K$1203,MATCH($A281,'ORDENES'!$AN$4:$AN$1203,0)),"")))</f>
        <v/>
      </c>
    </row>
    <row r="282">
      <c r="A282" s="6" t="n"/>
      <c r="B282" s="14" t="n"/>
      <c r="C282" s="6" t="n"/>
      <c r="D282" s="15" t="n"/>
      <c r="E282" s="3">
        <f>IF($A282="","",IFERROR(INDEX('ORDENES'!$D$4:$D$1203,MATCH($A282,'ORDENES'!$AN$4:$AN$1203,0)),"(no encontrada)"))</f>
        <v/>
      </c>
      <c r="F282" s="3">
        <f>IF($A282="","",IF(ISNA(MATCH($A282,'ORDENES'!$AN$4:$AN$1203,0)),"huérfano",IF(COUNTIF($A$4:$A282,$A282)&gt;1,"duplicado (se ignora)","aplicado")))</f>
        <v/>
      </c>
      <c r="G282" s="16">
        <f>IF($F282&lt;&gt;"aplicado","",IF(IFERROR(INDEX('ORDENES'!$K$4:$K$1203,MATCH($A282,'ORDENES'!$AN$4:$AN$1203,0)),"")="","",$B282-IFERROR(INDEX('ORDENES'!$K$4:$K$1203,MATCH($A282,'ORDENES'!$AN$4:$AN$1203,0)),"")))</f>
        <v/>
      </c>
    </row>
    <row r="283">
      <c r="A283" s="6" t="n"/>
      <c r="B283" s="14" t="n"/>
      <c r="C283" s="6" t="n"/>
      <c r="D283" s="15" t="n"/>
      <c r="E283" s="3">
        <f>IF($A283="","",IFERROR(INDEX('ORDENES'!$D$4:$D$1203,MATCH($A283,'ORDENES'!$AN$4:$AN$1203,0)),"(no encontrada)"))</f>
        <v/>
      </c>
      <c r="F283" s="3">
        <f>IF($A283="","",IF(ISNA(MATCH($A283,'ORDENES'!$AN$4:$AN$1203,0)),"huérfano",IF(COUNTIF($A$4:$A283,$A283)&gt;1,"duplicado (se ignora)","aplicado")))</f>
        <v/>
      </c>
      <c r="G283" s="16">
        <f>IF($F283&lt;&gt;"aplicado","",IF(IFERROR(INDEX('ORDENES'!$K$4:$K$1203,MATCH($A283,'ORDENES'!$AN$4:$AN$1203,0)),"")="","",$B283-IFERROR(INDEX('ORDENES'!$K$4:$K$1203,MATCH($A283,'ORDENES'!$AN$4:$AN$1203,0)),"")))</f>
        <v/>
      </c>
    </row>
    <row r="284">
      <c r="A284" s="6" t="n"/>
      <c r="B284" s="14" t="n"/>
      <c r="C284" s="6" t="n"/>
      <c r="D284" s="15" t="n"/>
      <c r="E284" s="3">
        <f>IF($A284="","",IFERROR(INDEX('ORDENES'!$D$4:$D$1203,MATCH($A284,'ORDENES'!$AN$4:$AN$1203,0)),"(no encontrada)"))</f>
        <v/>
      </c>
      <c r="F284" s="3">
        <f>IF($A284="","",IF(ISNA(MATCH($A284,'ORDENES'!$AN$4:$AN$1203,0)),"huérfano",IF(COUNTIF($A$4:$A284,$A284)&gt;1,"duplicado (se ignora)","aplicado")))</f>
        <v/>
      </c>
      <c r="G284" s="16">
        <f>IF($F284&lt;&gt;"aplicado","",IF(IFERROR(INDEX('ORDENES'!$K$4:$K$1203,MATCH($A284,'ORDENES'!$AN$4:$AN$1203,0)),"")="","",$B284-IFERROR(INDEX('ORDENES'!$K$4:$K$1203,MATCH($A284,'ORDENES'!$AN$4:$AN$1203,0)),"")))</f>
        <v/>
      </c>
    </row>
    <row r="285">
      <c r="A285" s="6" t="n"/>
      <c r="B285" s="14" t="n"/>
      <c r="C285" s="6" t="n"/>
      <c r="D285" s="15" t="n"/>
      <c r="E285" s="3">
        <f>IF($A285="","",IFERROR(INDEX('ORDENES'!$D$4:$D$1203,MATCH($A285,'ORDENES'!$AN$4:$AN$1203,0)),"(no encontrada)"))</f>
        <v/>
      </c>
      <c r="F285" s="3">
        <f>IF($A285="","",IF(ISNA(MATCH($A285,'ORDENES'!$AN$4:$AN$1203,0)),"huérfano",IF(COUNTIF($A$4:$A285,$A285)&gt;1,"duplicado (se ignora)","aplicado")))</f>
        <v/>
      </c>
      <c r="G285" s="16">
        <f>IF($F285&lt;&gt;"aplicado","",IF(IFERROR(INDEX('ORDENES'!$K$4:$K$1203,MATCH($A285,'ORDENES'!$AN$4:$AN$1203,0)),"")="","",$B285-IFERROR(INDEX('ORDENES'!$K$4:$K$1203,MATCH($A285,'ORDENES'!$AN$4:$AN$1203,0)),"")))</f>
        <v/>
      </c>
    </row>
    <row r="286">
      <c r="A286" s="6" t="n"/>
      <c r="B286" s="14" t="n"/>
      <c r="C286" s="6" t="n"/>
      <c r="D286" s="15" t="n"/>
      <c r="E286" s="3">
        <f>IF($A286="","",IFERROR(INDEX('ORDENES'!$D$4:$D$1203,MATCH($A286,'ORDENES'!$AN$4:$AN$1203,0)),"(no encontrada)"))</f>
        <v/>
      </c>
      <c r="F286" s="3">
        <f>IF($A286="","",IF(ISNA(MATCH($A286,'ORDENES'!$AN$4:$AN$1203,0)),"huérfano",IF(COUNTIF($A$4:$A286,$A286)&gt;1,"duplicado (se ignora)","aplicado")))</f>
        <v/>
      </c>
      <c r="G286" s="16">
        <f>IF($F286&lt;&gt;"aplicado","",IF(IFERROR(INDEX('ORDENES'!$K$4:$K$1203,MATCH($A286,'ORDENES'!$AN$4:$AN$1203,0)),"")="","",$B286-IFERROR(INDEX('ORDENES'!$K$4:$K$1203,MATCH($A286,'ORDENES'!$AN$4:$AN$1203,0)),"")))</f>
        <v/>
      </c>
    </row>
    <row r="287">
      <c r="A287" s="6" t="n"/>
      <c r="B287" s="14" t="n"/>
      <c r="C287" s="6" t="n"/>
      <c r="D287" s="15" t="n"/>
      <c r="E287" s="3">
        <f>IF($A287="","",IFERROR(INDEX('ORDENES'!$D$4:$D$1203,MATCH($A287,'ORDENES'!$AN$4:$AN$1203,0)),"(no encontrada)"))</f>
        <v/>
      </c>
      <c r="F287" s="3">
        <f>IF($A287="","",IF(ISNA(MATCH($A287,'ORDENES'!$AN$4:$AN$1203,0)),"huérfano",IF(COUNTIF($A$4:$A287,$A287)&gt;1,"duplicado (se ignora)","aplicado")))</f>
        <v/>
      </c>
      <c r="G287" s="16">
        <f>IF($F287&lt;&gt;"aplicado","",IF(IFERROR(INDEX('ORDENES'!$K$4:$K$1203,MATCH($A287,'ORDENES'!$AN$4:$AN$1203,0)),"")="","",$B287-IFERROR(INDEX('ORDENES'!$K$4:$K$1203,MATCH($A287,'ORDENES'!$AN$4:$AN$1203,0)),"")))</f>
        <v/>
      </c>
    </row>
    <row r="288">
      <c r="A288" s="6" t="n"/>
      <c r="B288" s="14" t="n"/>
      <c r="C288" s="6" t="n"/>
      <c r="D288" s="15" t="n"/>
      <c r="E288" s="3">
        <f>IF($A288="","",IFERROR(INDEX('ORDENES'!$D$4:$D$1203,MATCH($A288,'ORDENES'!$AN$4:$AN$1203,0)),"(no encontrada)"))</f>
        <v/>
      </c>
      <c r="F288" s="3">
        <f>IF($A288="","",IF(ISNA(MATCH($A288,'ORDENES'!$AN$4:$AN$1203,0)),"huérfano",IF(COUNTIF($A$4:$A288,$A288)&gt;1,"duplicado (se ignora)","aplicado")))</f>
        <v/>
      </c>
      <c r="G288" s="16">
        <f>IF($F288&lt;&gt;"aplicado","",IF(IFERROR(INDEX('ORDENES'!$K$4:$K$1203,MATCH($A288,'ORDENES'!$AN$4:$AN$1203,0)),"")="","",$B288-IFERROR(INDEX('ORDENES'!$K$4:$K$1203,MATCH($A288,'ORDENES'!$AN$4:$AN$1203,0)),"")))</f>
        <v/>
      </c>
    </row>
    <row r="289">
      <c r="A289" s="6" t="n"/>
      <c r="B289" s="14" t="n"/>
      <c r="C289" s="6" t="n"/>
      <c r="D289" s="15" t="n"/>
      <c r="E289" s="3">
        <f>IF($A289="","",IFERROR(INDEX('ORDENES'!$D$4:$D$1203,MATCH($A289,'ORDENES'!$AN$4:$AN$1203,0)),"(no encontrada)"))</f>
        <v/>
      </c>
      <c r="F289" s="3">
        <f>IF($A289="","",IF(ISNA(MATCH($A289,'ORDENES'!$AN$4:$AN$1203,0)),"huérfano",IF(COUNTIF($A$4:$A289,$A289)&gt;1,"duplicado (se ignora)","aplicado")))</f>
        <v/>
      </c>
      <c r="G289" s="16">
        <f>IF($F289&lt;&gt;"aplicado","",IF(IFERROR(INDEX('ORDENES'!$K$4:$K$1203,MATCH($A289,'ORDENES'!$AN$4:$AN$1203,0)),"")="","",$B289-IFERROR(INDEX('ORDENES'!$K$4:$K$1203,MATCH($A289,'ORDENES'!$AN$4:$AN$1203,0)),"")))</f>
        <v/>
      </c>
    </row>
    <row r="290">
      <c r="A290" s="6" t="n"/>
      <c r="B290" s="14" t="n"/>
      <c r="C290" s="6" t="n"/>
      <c r="D290" s="15" t="n"/>
      <c r="E290" s="3">
        <f>IF($A290="","",IFERROR(INDEX('ORDENES'!$D$4:$D$1203,MATCH($A290,'ORDENES'!$AN$4:$AN$1203,0)),"(no encontrada)"))</f>
        <v/>
      </c>
      <c r="F290" s="3">
        <f>IF($A290="","",IF(ISNA(MATCH($A290,'ORDENES'!$AN$4:$AN$1203,0)),"huérfano",IF(COUNTIF($A$4:$A290,$A290)&gt;1,"duplicado (se ignora)","aplicado")))</f>
        <v/>
      </c>
      <c r="G290" s="16">
        <f>IF($F290&lt;&gt;"aplicado","",IF(IFERROR(INDEX('ORDENES'!$K$4:$K$1203,MATCH($A290,'ORDENES'!$AN$4:$AN$1203,0)),"")="","",$B290-IFERROR(INDEX('ORDENES'!$K$4:$K$1203,MATCH($A290,'ORDENES'!$AN$4:$AN$1203,0)),"")))</f>
        <v/>
      </c>
    </row>
    <row r="291">
      <c r="A291" s="6" t="n"/>
      <c r="B291" s="14" t="n"/>
      <c r="C291" s="6" t="n"/>
      <c r="D291" s="15" t="n"/>
      <c r="E291" s="3">
        <f>IF($A291="","",IFERROR(INDEX('ORDENES'!$D$4:$D$1203,MATCH($A291,'ORDENES'!$AN$4:$AN$1203,0)),"(no encontrada)"))</f>
        <v/>
      </c>
      <c r="F291" s="3">
        <f>IF($A291="","",IF(ISNA(MATCH($A291,'ORDENES'!$AN$4:$AN$1203,0)),"huérfano",IF(COUNTIF($A$4:$A291,$A291)&gt;1,"duplicado (se ignora)","aplicado")))</f>
        <v/>
      </c>
      <c r="G291" s="16">
        <f>IF($F291&lt;&gt;"aplicado","",IF(IFERROR(INDEX('ORDENES'!$K$4:$K$1203,MATCH($A291,'ORDENES'!$AN$4:$AN$1203,0)),"")="","",$B291-IFERROR(INDEX('ORDENES'!$K$4:$K$1203,MATCH($A291,'ORDENES'!$AN$4:$AN$1203,0)),"")))</f>
        <v/>
      </c>
    </row>
    <row r="292">
      <c r="A292" s="6" t="n"/>
      <c r="B292" s="14" t="n"/>
      <c r="C292" s="6" t="n"/>
      <c r="D292" s="15" t="n"/>
      <c r="E292" s="3">
        <f>IF($A292="","",IFERROR(INDEX('ORDENES'!$D$4:$D$1203,MATCH($A292,'ORDENES'!$AN$4:$AN$1203,0)),"(no encontrada)"))</f>
        <v/>
      </c>
      <c r="F292" s="3">
        <f>IF($A292="","",IF(ISNA(MATCH($A292,'ORDENES'!$AN$4:$AN$1203,0)),"huérfano",IF(COUNTIF($A$4:$A292,$A292)&gt;1,"duplicado (se ignora)","aplicado")))</f>
        <v/>
      </c>
      <c r="G292" s="16">
        <f>IF($F292&lt;&gt;"aplicado","",IF(IFERROR(INDEX('ORDENES'!$K$4:$K$1203,MATCH($A292,'ORDENES'!$AN$4:$AN$1203,0)),"")="","",$B292-IFERROR(INDEX('ORDENES'!$K$4:$K$1203,MATCH($A292,'ORDENES'!$AN$4:$AN$1203,0)),"")))</f>
        <v/>
      </c>
    </row>
    <row r="293">
      <c r="A293" s="6" t="n"/>
      <c r="B293" s="14" t="n"/>
      <c r="C293" s="6" t="n"/>
      <c r="D293" s="15" t="n"/>
      <c r="E293" s="3">
        <f>IF($A293="","",IFERROR(INDEX('ORDENES'!$D$4:$D$1203,MATCH($A293,'ORDENES'!$AN$4:$AN$1203,0)),"(no encontrada)"))</f>
        <v/>
      </c>
      <c r="F293" s="3">
        <f>IF($A293="","",IF(ISNA(MATCH($A293,'ORDENES'!$AN$4:$AN$1203,0)),"huérfano",IF(COUNTIF($A$4:$A293,$A293)&gt;1,"duplicado (se ignora)","aplicado")))</f>
        <v/>
      </c>
      <c r="G293" s="16">
        <f>IF($F293&lt;&gt;"aplicado","",IF(IFERROR(INDEX('ORDENES'!$K$4:$K$1203,MATCH($A293,'ORDENES'!$AN$4:$AN$1203,0)),"")="","",$B293-IFERROR(INDEX('ORDENES'!$K$4:$K$1203,MATCH($A293,'ORDENES'!$AN$4:$AN$1203,0)),"")))</f>
        <v/>
      </c>
    </row>
    <row r="294">
      <c r="A294" s="6" t="n"/>
      <c r="B294" s="14" t="n"/>
      <c r="C294" s="6" t="n"/>
      <c r="D294" s="15" t="n"/>
      <c r="E294" s="3">
        <f>IF($A294="","",IFERROR(INDEX('ORDENES'!$D$4:$D$1203,MATCH($A294,'ORDENES'!$AN$4:$AN$1203,0)),"(no encontrada)"))</f>
        <v/>
      </c>
      <c r="F294" s="3">
        <f>IF($A294="","",IF(ISNA(MATCH($A294,'ORDENES'!$AN$4:$AN$1203,0)),"huérfano",IF(COUNTIF($A$4:$A294,$A294)&gt;1,"duplicado (se ignora)","aplicado")))</f>
        <v/>
      </c>
      <c r="G294" s="16">
        <f>IF($F294&lt;&gt;"aplicado","",IF(IFERROR(INDEX('ORDENES'!$K$4:$K$1203,MATCH($A294,'ORDENES'!$AN$4:$AN$1203,0)),"")="","",$B294-IFERROR(INDEX('ORDENES'!$K$4:$K$1203,MATCH($A294,'ORDENES'!$AN$4:$AN$1203,0)),"")))</f>
        <v/>
      </c>
    </row>
    <row r="295">
      <c r="A295" s="6" t="n"/>
      <c r="B295" s="14" t="n"/>
      <c r="C295" s="6" t="n"/>
      <c r="D295" s="15" t="n"/>
      <c r="E295" s="3">
        <f>IF($A295="","",IFERROR(INDEX('ORDENES'!$D$4:$D$1203,MATCH($A295,'ORDENES'!$AN$4:$AN$1203,0)),"(no encontrada)"))</f>
        <v/>
      </c>
      <c r="F295" s="3">
        <f>IF($A295="","",IF(ISNA(MATCH($A295,'ORDENES'!$AN$4:$AN$1203,0)),"huérfano",IF(COUNTIF($A$4:$A295,$A295)&gt;1,"duplicado (se ignora)","aplicado")))</f>
        <v/>
      </c>
      <c r="G295" s="16">
        <f>IF($F295&lt;&gt;"aplicado","",IF(IFERROR(INDEX('ORDENES'!$K$4:$K$1203,MATCH($A295,'ORDENES'!$AN$4:$AN$1203,0)),"")="","",$B295-IFERROR(INDEX('ORDENES'!$K$4:$K$1203,MATCH($A295,'ORDENES'!$AN$4:$AN$1203,0)),"")))</f>
        <v/>
      </c>
    </row>
    <row r="296">
      <c r="A296" s="6" t="n"/>
      <c r="B296" s="14" t="n"/>
      <c r="C296" s="6" t="n"/>
      <c r="D296" s="15" t="n"/>
      <c r="E296" s="3">
        <f>IF($A296="","",IFERROR(INDEX('ORDENES'!$D$4:$D$1203,MATCH($A296,'ORDENES'!$AN$4:$AN$1203,0)),"(no encontrada)"))</f>
        <v/>
      </c>
      <c r="F296" s="3">
        <f>IF($A296="","",IF(ISNA(MATCH($A296,'ORDENES'!$AN$4:$AN$1203,0)),"huérfano",IF(COUNTIF($A$4:$A296,$A296)&gt;1,"duplicado (se ignora)","aplicado")))</f>
        <v/>
      </c>
      <c r="G296" s="16">
        <f>IF($F296&lt;&gt;"aplicado","",IF(IFERROR(INDEX('ORDENES'!$K$4:$K$1203,MATCH($A296,'ORDENES'!$AN$4:$AN$1203,0)),"")="","",$B296-IFERROR(INDEX('ORDENES'!$K$4:$K$1203,MATCH($A296,'ORDENES'!$AN$4:$AN$1203,0)),"")))</f>
        <v/>
      </c>
    </row>
    <row r="297">
      <c r="A297" s="6" t="n"/>
      <c r="B297" s="14" t="n"/>
      <c r="C297" s="6" t="n"/>
      <c r="D297" s="15" t="n"/>
      <c r="E297" s="3">
        <f>IF($A297="","",IFERROR(INDEX('ORDENES'!$D$4:$D$1203,MATCH($A297,'ORDENES'!$AN$4:$AN$1203,0)),"(no encontrada)"))</f>
        <v/>
      </c>
      <c r="F297" s="3">
        <f>IF($A297="","",IF(ISNA(MATCH($A297,'ORDENES'!$AN$4:$AN$1203,0)),"huérfano",IF(COUNTIF($A$4:$A297,$A297)&gt;1,"duplicado (se ignora)","aplicado")))</f>
        <v/>
      </c>
      <c r="G297" s="16">
        <f>IF($F297&lt;&gt;"aplicado","",IF(IFERROR(INDEX('ORDENES'!$K$4:$K$1203,MATCH($A297,'ORDENES'!$AN$4:$AN$1203,0)),"")="","",$B297-IFERROR(INDEX('ORDENES'!$K$4:$K$1203,MATCH($A297,'ORDENES'!$AN$4:$AN$1203,0)),"")))</f>
        <v/>
      </c>
    </row>
    <row r="298">
      <c r="A298" s="6" t="n"/>
      <c r="B298" s="14" t="n"/>
      <c r="C298" s="6" t="n"/>
      <c r="D298" s="15" t="n"/>
      <c r="E298" s="3">
        <f>IF($A298="","",IFERROR(INDEX('ORDENES'!$D$4:$D$1203,MATCH($A298,'ORDENES'!$AN$4:$AN$1203,0)),"(no encontrada)"))</f>
        <v/>
      </c>
      <c r="F298" s="3">
        <f>IF($A298="","",IF(ISNA(MATCH($A298,'ORDENES'!$AN$4:$AN$1203,0)),"huérfano",IF(COUNTIF($A$4:$A298,$A298)&gt;1,"duplicado (se ignora)","aplicado")))</f>
        <v/>
      </c>
      <c r="G298" s="16">
        <f>IF($F298&lt;&gt;"aplicado","",IF(IFERROR(INDEX('ORDENES'!$K$4:$K$1203,MATCH($A298,'ORDENES'!$AN$4:$AN$1203,0)),"")="","",$B298-IFERROR(INDEX('ORDENES'!$K$4:$K$1203,MATCH($A298,'ORDENES'!$AN$4:$AN$1203,0)),"")))</f>
        <v/>
      </c>
    </row>
    <row r="299">
      <c r="A299" s="6" t="n"/>
      <c r="B299" s="14" t="n"/>
      <c r="C299" s="6" t="n"/>
      <c r="D299" s="15" t="n"/>
      <c r="E299" s="3">
        <f>IF($A299="","",IFERROR(INDEX('ORDENES'!$D$4:$D$1203,MATCH($A299,'ORDENES'!$AN$4:$AN$1203,0)),"(no encontrada)"))</f>
        <v/>
      </c>
      <c r="F299" s="3">
        <f>IF($A299="","",IF(ISNA(MATCH($A299,'ORDENES'!$AN$4:$AN$1203,0)),"huérfano",IF(COUNTIF($A$4:$A299,$A299)&gt;1,"duplicado (se ignora)","aplicado")))</f>
        <v/>
      </c>
      <c r="G299" s="16">
        <f>IF($F299&lt;&gt;"aplicado","",IF(IFERROR(INDEX('ORDENES'!$K$4:$K$1203,MATCH($A299,'ORDENES'!$AN$4:$AN$1203,0)),"")="","",$B299-IFERROR(INDEX('ORDENES'!$K$4:$K$1203,MATCH($A299,'ORDENES'!$AN$4:$AN$1203,0)),"")))</f>
        <v/>
      </c>
    </row>
    <row r="300">
      <c r="A300" s="6" t="n"/>
      <c r="B300" s="14" t="n"/>
      <c r="C300" s="6" t="n"/>
      <c r="D300" s="15" t="n"/>
      <c r="E300" s="3">
        <f>IF($A300="","",IFERROR(INDEX('ORDENES'!$D$4:$D$1203,MATCH($A300,'ORDENES'!$AN$4:$AN$1203,0)),"(no encontrada)"))</f>
        <v/>
      </c>
      <c r="F300" s="3">
        <f>IF($A300="","",IF(ISNA(MATCH($A300,'ORDENES'!$AN$4:$AN$1203,0)),"huérfano",IF(COUNTIF($A$4:$A300,$A300)&gt;1,"duplicado (se ignora)","aplicado")))</f>
        <v/>
      </c>
      <c r="G300" s="16">
        <f>IF($F300&lt;&gt;"aplicado","",IF(IFERROR(INDEX('ORDENES'!$K$4:$K$1203,MATCH($A300,'ORDENES'!$AN$4:$AN$1203,0)),"")="","",$B300-IFERROR(INDEX('ORDENES'!$K$4:$K$1203,MATCH($A300,'ORDENES'!$AN$4:$AN$1203,0)),"")))</f>
        <v/>
      </c>
    </row>
    <row r="301">
      <c r="A301" s="6" t="n"/>
      <c r="B301" s="14" t="n"/>
      <c r="C301" s="6" t="n"/>
      <c r="D301" s="15" t="n"/>
      <c r="E301" s="3">
        <f>IF($A301="","",IFERROR(INDEX('ORDENES'!$D$4:$D$1203,MATCH($A301,'ORDENES'!$AN$4:$AN$1203,0)),"(no encontrada)"))</f>
        <v/>
      </c>
      <c r="F301" s="3">
        <f>IF($A301="","",IF(ISNA(MATCH($A301,'ORDENES'!$AN$4:$AN$1203,0)),"huérfano",IF(COUNTIF($A$4:$A301,$A301)&gt;1,"duplicado (se ignora)","aplicado")))</f>
        <v/>
      </c>
      <c r="G301" s="16">
        <f>IF($F301&lt;&gt;"aplicado","",IF(IFERROR(INDEX('ORDENES'!$K$4:$K$1203,MATCH($A301,'ORDENES'!$AN$4:$AN$1203,0)),"")="","",$B301-IFERROR(INDEX('ORDENES'!$K$4:$K$1203,MATCH($A301,'ORDENES'!$AN$4:$AN$1203,0)),"")))</f>
        <v/>
      </c>
    </row>
    <row r="302">
      <c r="A302" s="6" t="n"/>
      <c r="B302" s="14" t="n"/>
      <c r="C302" s="6" t="n"/>
      <c r="D302" s="15" t="n"/>
      <c r="E302" s="3">
        <f>IF($A302="","",IFERROR(INDEX('ORDENES'!$D$4:$D$1203,MATCH($A302,'ORDENES'!$AN$4:$AN$1203,0)),"(no encontrada)"))</f>
        <v/>
      </c>
      <c r="F302" s="3">
        <f>IF($A302="","",IF(ISNA(MATCH($A302,'ORDENES'!$AN$4:$AN$1203,0)),"huérfano",IF(COUNTIF($A$4:$A302,$A302)&gt;1,"duplicado (se ignora)","aplicado")))</f>
        <v/>
      </c>
      <c r="G302" s="16">
        <f>IF($F302&lt;&gt;"aplicado","",IF(IFERROR(INDEX('ORDENES'!$K$4:$K$1203,MATCH($A302,'ORDENES'!$AN$4:$AN$1203,0)),"")="","",$B302-IFERROR(INDEX('ORDENES'!$K$4:$K$1203,MATCH($A302,'ORDENES'!$AN$4:$AN$1203,0)),"")))</f>
        <v/>
      </c>
    </row>
    <row r="303">
      <c r="A303" s="6" t="n"/>
      <c r="B303" s="14" t="n"/>
      <c r="C303" s="6" t="n"/>
      <c r="D303" s="15" t="n"/>
      <c r="E303" s="3">
        <f>IF($A303="","",IFERROR(INDEX('ORDENES'!$D$4:$D$1203,MATCH($A303,'ORDENES'!$AN$4:$AN$1203,0)),"(no encontrada)"))</f>
        <v/>
      </c>
      <c r="F303" s="3">
        <f>IF($A303="","",IF(ISNA(MATCH($A303,'ORDENES'!$AN$4:$AN$1203,0)),"huérfano",IF(COUNTIF($A$4:$A303,$A303)&gt;1,"duplicado (se ignora)","aplicado")))</f>
        <v/>
      </c>
      <c r="G303" s="16">
        <f>IF($F303&lt;&gt;"aplicado","",IF(IFERROR(INDEX('ORDENES'!$K$4:$K$1203,MATCH($A303,'ORDENES'!$AN$4:$AN$1203,0)),"")="","",$B303-IFERROR(INDEX('ORDENES'!$K$4:$K$1203,MATCH($A303,'ORDENES'!$AN$4:$AN$1203,0)),"")))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O42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SUMIFS('ASIGNACIONES'!$H$4:$H$339,'ASIGNACIONES'!$E$4:$E$339,$A4,'ASIGNACIONES'!$A$4:$A$339,$B4)</f>
        <v/>
      </c>
      <c r="D4" s="17">
        <f>C4*p_factor_productividad</f>
        <v/>
      </c>
      <c r="E4" s="17">
        <f>SUMIFS('ORDENES'!$M$4:$M$1203,'ORDENES'!$W$4:$W$1203,$A4,'ORDENES'!$O$4:$O$1203,$B4,'ORDENES'!$S$4:$S$1203,"preventiva")</f>
        <v/>
      </c>
      <c r="F4" s="17">
        <f>SUMIFS('ORDENES'!$M$4:$M$1203,'ORDENES'!$W$4:$W$1203,$A4,'ORDENES'!$O$4:$O$1203,$B4,'ORDENES'!$S$4:$S$1203,"correctiva")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1">
        <f>IF(COUNT('ORDENES'!$J$4:$J$1203)=0,"",MIN('ORDENES'!$J$4:$J$1203)-WEEKDAY(MIN('ORDENES'!$J$4:$J$1203),2)+1)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SUMIFS('ASIGNACIONES'!$H$4:$H$339,'ASIGNACIONES'!$E$4:$E$339,$A5,'ASIGNACIONES'!$A$4:$A$339,$B5)</f>
        <v/>
      </c>
      <c r="D5" s="17">
        <f>C5*p_factor_productividad</f>
        <v/>
      </c>
      <c r="E5" s="17">
        <f>SUMIFS('ORDENES'!$M$4:$M$1203,'ORDENES'!$W$4:$W$1203,$A5,'ORDENES'!$O$4:$O$1203,$B5,'ORDENES'!$S$4:$S$1203,"preventiva")</f>
        <v/>
      </c>
      <c r="F5" s="17">
        <f>SUMIFS('ORDENES'!$M$4:$M$1203,'ORDENES'!$W$4:$W$1203,$A5,'ORDENES'!$O$4:$O$1203,$B5,'ORDENES'!$S$4:$S$1203,"correctiva")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1">
        <f>IF(N4="","",IF(N4+7&gt;MAX('ORDENES'!$J$4:$J$1203),"",N4+7))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SUMIFS('ASIGNACIONES'!$H$4:$H$339,'ASIGNACIONES'!$E$4:$E$339,$A6,'ASIGNACIONES'!$A$4:$A$339,$B6)</f>
        <v/>
      </c>
      <c r="D6" s="17">
        <f>C6*p_factor_productividad</f>
        <v/>
      </c>
      <c r="E6" s="17">
        <f>SUMIFS('ORDENES'!$M$4:$M$1203,'ORDENES'!$W$4:$W$1203,$A6,'ORDENES'!$O$4:$O$1203,$B6,'ORDENES'!$S$4:$S$1203,"preventiva")</f>
        <v/>
      </c>
      <c r="F6" s="17">
        <f>SUMIFS('ORDENES'!$M$4:$M$1203,'ORDENES'!$W$4:$W$1203,$A6,'ORDENES'!$O$4:$O$1203,$B6,'ORDENES'!$S$4:$S$1203,"correctiva")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1">
        <f>IF(N5="","",IF(N5+7&gt;MAX('ORDENES'!$J$4:$J$1203),"",N5+7))</f>
        <v/>
      </c>
      <c r="O6" s="3">
        <f>IF(N6="","",YEAR(N6+4-WEEKDAY(N6,2))&amp;"-S"&amp;TEXT(_xlfn.ISOWEEKNUM(N6),"00"))</f>
        <v/>
      </c>
    </row>
    <row r="7">
      <c r="A7" s="3" t="inlineStr">
        <is>
          <t>OP</t>
        </is>
      </c>
      <c r="B7" s="3">
        <f>$O$4</f>
        <v/>
      </c>
      <c r="C7" s="17">
        <f>SUMIFS('ASIGNACIONES'!$H$4:$H$339,'ASIGNACIONES'!$E$4:$E$339,$A7,'ASIGNACIONES'!$A$4:$A$339,$B7)</f>
        <v/>
      </c>
      <c r="D7" s="17">
        <f>C7*p_factor_productividad</f>
        <v/>
      </c>
      <c r="E7" s="17">
        <f>SUMIFS('ORDENES'!$M$4:$M$1203,'ORDENES'!$W$4:$W$1203,$A7,'ORDENES'!$O$4:$O$1203,$B7,'ORDENES'!$S$4:$S$1203,"preventiva")</f>
        <v/>
      </c>
      <c r="F7" s="17">
        <f>SUMIFS('ORDENES'!$M$4:$M$1203,'ORDENES'!$W$4:$W$1203,$A7,'ORDENES'!$O$4:$O$1203,$B7,'ORDENES'!$S$4:$S$1203,"correctiva")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1">
        <f>IF(N6="","",IF(N6+7&gt;MAX('ORDENES'!$J$4:$J$1203),"",N6+7))</f>
        <v/>
      </c>
      <c r="O7" s="3">
        <f>IF(N7="","",YEAR(N7+4-WEEKDAY(N7,2))&amp;"-S"&amp;TEXT(_xlfn.ISOWEEKNUM(N7),"00"))</f>
        <v/>
      </c>
    </row>
    <row r="8">
      <c r="A8" s="3" t="inlineStr">
        <is>
          <t>TERCERO</t>
        </is>
      </c>
      <c r="B8" s="3">
        <f>$O$4</f>
        <v/>
      </c>
      <c r="C8" s="17">
        <f>SUMIFS('ASIGNACIONES'!$H$4:$H$339,'ASIGNACIONES'!$E$4:$E$339,$A8,'ASIGNACIONES'!$A$4:$A$339,$B8)</f>
        <v/>
      </c>
      <c r="D8" s="17">
        <f>C8*p_factor_productividad</f>
        <v/>
      </c>
      <c r="E8" s="17">
        <f>SUMIFS('ORDENES'!$M$4:$M$1203,'ORDENES'!$W$4:$W$1203,$A8,'ORDENES'!$O$4:$O$1203,$B8,'ORDENES'!$S$4:$S$1203,"preventiva")</f>
        <v/>
      </c>
      <c r="F8" s="17">
        <f>SUMIFS('ORDENES'!$M$4:$M$1203,'ORDENES'!$W$4:$W$1203,$A8,'ORDENES'!$O$4:$O$1203,$B8,'ORDENES'!$S$4:$S$1203,"correctiva")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1">
        <f>IF(N7="","",IF(N7+7&gt;MAX('ORDENES'!$J$4:$J$1203),"",N7+7))</f>
        <v/>
      </c>
      <c r="O8" s="3">
        <f>IF(N8="","",YEAR(N8+4-WEEKDAY(N8,2))&amp;"-S"&amp;TEXT(_xlfn.ISOWEEKNUM(N8),"00"))</f>
        <v/>
      </c>
    </row>
    <row r="9" hidden="1">
      <c r="A9" s="3" t="inlineStr">
        <is>
          <t>MEC</t>
        </is>
      </c>
      <c r="B9" s="3">
        <f>$O$5</f>
        <v/>
      </c>
      <c r="C9" s="17">
        <f>SUMIFS('ASIGNACIONES'!$H$4:$H$339,'ASIGNACIONES'!$E$4:$E$339,$A9,'ASIGNACIONES'!$A$4:$A$339,$B9)</f>
        <v/>
      </c>
      <c r="D9" s="17">
        <f>C9*p_factor_productividad</f>
        <v/>
      </c>
      <c r="E9" s="17">
        <f>SUMIFS('ORDENES'!$M$4:$M$1203,'ORDENES'!$W$4:$W$1203,$A9,'ORDENES'!$O$4:$O$1203,$B9,'ORDENES'!$S$4:$S$1203,"preventiva")</f>
        <v/>
      </c>
      <c r="F9" s="17">
        <f>SUMIFS('ORDENES'!$M$4:$M$1203,'ORDENES'!$W$4:$W$1203,$A9,'ORDENES'!$O$4:$O$1203,$B9,'ORDENES'!$S$4:$S$1203,"correctiva")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1">
        <f>IF(N8="","",IF(N8+7&gt;MAX('ORDENES'!$J$4:$J$1203),"",N8+7))</f>
        <v/>
      </c>
      <c r="O9" s="3">
        <f>IF(N9="","",YEAR(N9+4-WEEKDAY(N9,2))&amp;"-S"&amp;TEXT(_xlfn.ISOWEEKNUM(N9),"00"))</f>
        <v/>
      </c>
    </row>
    <row r="10" hidden="1">
      <c r="A10" s="3" t="inlineStr">
        <is>
          <t>ELE</t>
        </is>
      </c>
      <c r="B10" s="3">
        <f>$O$5</f>
        <v/>
      </c>
      <c r="C10" s="17">
        <f>SUMIFS('ASIGNACIONES'!$H$4:$H$339,'ASIGNACIONES'!$E$4:$E$339,$A10,'ASIGNACIONES'!$A$4:$A$339,$B10)</f>
        <v/>
      </c>
      <c r="D10" s="17">
        <f>C10*p_factor_productividad</f>
        <v/>
      </c>
      <c r="E10" s="17">
        <f>SUMIFS('ORDENES'!$M$4:$M$1203,'ORDENES'!$W$4:$W$1203,$A10,'ORDENES'!$O$4:$O$1203,$B10,'ORDENES'!$S$4:$S$1203,"preventiva")</f>
        <v/>
      </c>
      <c r="F10" s="17">
        <f>SUMIFS('ORDENES'!$M$4:$M$1203,'ORDENES'!$W$4:$W$1203,$A10,'ORDENES'!$O$4:$O$1203,$B10,'ORDENES'!$S$4:$S$1203,"correctiva")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1">
        <f>IF(N9="","",IF(N9+7&gt;MAX('ORDENES'!$J$4:$J$1203),"",N9+7))</f>
        <v/>
      </c>
      <c r="O10" s="3">
        <f>IF(N10="","",YEAR(N10+4-WEEKDAY(N10,2))&amp;"-S"&amp;TEXT(_xlfn.ISOWEEKNUM(N10),"00"))</f>
        <v/>
      </c>
    </row>
    <row r="11" hidden="1">
      <c r="A11" s="3" t="inlineStr">
        <is>
          <t>AUT</t>
        </is>
      </c>
      <c r="B11" s="3">
        <f>$O$5</f>
        <v/>
      </c>
      <c r="C11" s="17">
        <f>SUMIFS('ASIGNACIONES'!$H$4:$H$339,'ASIGNACIONES'!$E$4:$E$339,$A11,'ASIGNACIONES'!$A$4:$A$339,$B11)</f>
        <v/>
      </c>
      <c r="D11" s="17">
        <f>C11*p_factor_productividad</f>
        <v/>
      </c>
      <c r="E11" s="17">
        <f>SUMIFS('ORDENES'!$M$4:$M$1203,'ORDENES'!$W$4:$W$1203,$A11,'ORDENES'!$O$4:$O$1203,$B11,'ORDENES'!$S$4:$S$1203,"preventiva")</f>
        <v/>
      </c>
      <c r="F11" s="17">
        <f>SUMIFS('ORDENES'!$M$4:$M$1203,'ORDENES'!$W$4:$W$1203,$A11,'ORDENES'!$O$4:$O$1203,$B11,'ORDENES'!$S$4:$S$1203,"correctiva")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1">
        <f>IF(N10="","",IF(N10+7&gt;MAX('ORDENES'!$J$4:$J$1203),"",N10+7))</f>
        <v/>
      </c>
      <c r="O11" s="3">
        <f>IF(N11="","",YEAR(N11+4-WEEKDAY(N11,2))&amp;"-S"&amp;TEXT(_xlfn.ISOWEEKNUM(N11),"00"))</f>
        <v/>
      </c>
    </row>
    <row r="12" hidden="1">
      <c r="A12" s="3" t="inlineStr">
        <is>
          <t>OP</t>
        </is>
      </c>
      <c r="B12" s="3">
        <f>$O$5</f>
        <v/>
      </c>
      <c r="C12" s="17">
        <f>SUMIFS('ASIGNACIONES'!$H$4:$H$339,'ASIGNACIONES'!$E$4:$E$339,$A12,'ASIGNACIONES'!$A$4:$A$339,$B12)</f>
        <v/>
      </c>
      <c r="D12" s="17">
        <f>C12*p_factor_productividad</f>
        <v/>
      </c>
      <c r="E12" s="17">
        <f>SUMIFS('ORDENES'!$M$4:$M$1203,'ORDENES'!$W$4:$W$1203,$A12,'ORDENES'!$O$4:$O$1203,$B12,'ORDENES'!$S$4:$S$1203,"preventiva")</f>
        <v/>
      </c>
      <c r="F12" s="17">
        <f>SUMIFS('ORDENES'!$M$4:$M$1203,'ORDENES'!$W$4:$W$1203,$A12,'ORDENES'!$O$4:$O$1203,$B12,'ORDENES'!$S$4:$S$1203,"correctiva")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1">
        <f>IF(N11="","",IF(N11+7&gt;MAX('ORDENES'!$J$4:$J$1203),"",N11+7))</f>
        <v/>
      </c>
      <c r="O12" s="3">
        <f>IF(N12="","",YEAR(N12+4-WEEKDAY(N12,2))&amp;"-S"&amp;TEXT(_xlfn.ISOWEEKNUM(N12),"00"))</f>
        <v/>
      </c>
    </row>
    <row r="13" hidden="1">
      <c r="A13" s="3" t="inlineStr">
        <is>
          <t>TERCERO</t>
        </is>
      </c>
      <c r="B13" s="3">
        <f>$O$5</f>
        <v/>
      </c>
      <c r="C13" s="17">
        <f>SUMIFS('ASIGNACIONES'!$H$4:$H$339,'ASIGNACIONES'!$E$4:$E$339,$A13,'ASIGNACIONES'!$A$4:$A$339,$B13)</f>
        <v/>
      </c>
      <c r="D13" s="17">
        <f>C13*p_factor_productividad</f>
        <v/>
      </c>
      <c r="E13" s="17">
        <f>SUMIFS('ORDENES'!$M$4:$M$1203,'ORDENES'!$W$4:$W$1203,$A13,'ORDENES'!$O$4:$O$1203,$B13,'ORDENES'!$S$4:$S$1203,"preventiva")</f>
        <v/>
      </c>
      <c r="F13" s="17">
        <f>SUMIFS('ORDENES'!$M$4:$M$1203,'ORDENES'!$W$4:$W$1203,$A13,'ORDENES'!$O$4:$O$1203,$B13,'ORDENES'!$S$4:$S$1203,"correctiva")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1">
        <f>IF(N12="","",IF(N12+7&gt;MAX('ORDENES'!$J$4:$J$1203),"",N12+7))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MEC</t>
        </is>
      </c>
      <c r="B14" s="3">
        <f>$O$6</f>
        <v/>
      </c>
      <c r="C14" s="17">
        <f>SUMIFS('ASIGNACIONES'!$H$4:$H$339,'ASIGNACIONES'!$E$4:$E$339,$A14,'ASIGNACIONES'!$A$4:$A$339,$B14)</f>
        <v/>
      </c>
      <c r="D14" s="17">
        <f>C14*p_factor_productividad</f>
        <v/>
      </c>
      <c r="E14" s="17">
        <f>SUMIFS('ORDENES'!$M$4:$M$1203,'ORDENES'!$W$4:$W$1203,$A14,'ORDENES'!$O$4:$O$1203,$B14,'ORDENES'!$S$4:$S$1203,"preventiva")</f>
        <v/>
      </c>
      <c r="F14" s="17">
        <f>SUMIFS('ORDENES'!$M$4:$M$1203,'ORDENES'!$W$4:$W$1203,$A14,'ORDENES'!$O$4:$O$1203,$B14,'ORDENES'!$S$4:$S$1203,"correctiva")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1">
        <f>IF(N13="","",IF(N13+7&gt;MAX('ORDENES'!$J$4:$J$1203),"",N13+7))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ELE</t>
        </is>
      </c>
      <c r="B15" s="3">
        <f>$O$6</f>
        <v/>
      </c>
      <c r="C15" s="17">
        <f>SUMIFS('ASIGNACIONES'!$H$4:$H$339,'ASIGNACIONES'!$E$4:$E$339,$A15,'ASIGNACIONES'!$A$4:$A$339,$B15)</f>
        <v/>
      </c>
      <c r="D15" s="17">
        <f>C15*p_factor_productividad</f>
        <v/>
      </c>
      <c r="E15" s="17">
        <f>SUMIFS('ORDENES'!$M$4:$M$1203,'ORDENES'!$W$4:$W$1203,$A15,'ORDENES'!$O$4:$O$1203,$B15,'ORDENES'!$S$4:$S$1203,"preventiva")</f>
        <v/>
      </c>
      <c r="F15" s="17">
        <f>SUMIFS('ORDENES'!$M$4:$M$1203,'ORDENES'!$W$4:$W$1203,$A15,'ORDENES'!$O$4:$O$1203,$B15,'ORDENES'!$S$4:$S$1203,"correctiva")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1">
        <f>IF(N14="","",IF(N14+7&gt;MAX('ORDENES'!$J$4:$J$1203),"",N14+7))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AUT</t>
        </is>
      </c>
      <c r="B16" s="3">
        <f>$O$6</f>
        <v/>
      </c>
      <c r="C16" s="17">
        <f>SUMIFS('ASIGNACIONES'!$H$4:$H$339,'ASIGNACIONES'!$E$4:$E$339,$A16,'ASIGNACIONES'!$A$4:$A$339,$B16)</f>
        <v/>
      </c>
      <c r="D16" s="17">
        <f>C16*p_factor_productividad</f>
        <v/>
      </c>
      <c r="E16" s="17">
        <f>SUMIFS('ORDENES'!$M$4:$M$1203,'ORDENES'!$W$4:$W$1203,$A16,'ORDENES'!$O$4:$O$1203,$B16,'ORDENES'!$S$4:$S$1203,"preventiva")</f>
        <v/>
      </c>
      <c r="F16" s="17">
        <f>SUMIFS('ORDENES'!$M$4:$M$1203,'ORDENES'!$W$4:$W$1203,$A16,'ORDENES'!$O$4:$O$1203,$B16,'ORDENES'!$S$4:$S$1203,"correctiva")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1">
        <f>IF(N15="","",IF(N15+7&gt;MAX('ORDENES'!$J$4:$J$1203),"",N15+7))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OP</t>
        </is>
      </c>
      <c r="B17" s="3">
        <f>$O$6</f>
        <v/>
      </c>
      <c r="C17" s="17">
        <f>SUMIFS('ASIGNACIONES'!$H$4:$H$339,'ASIGNACIONES'!$E$4:$E$339,$A17,'ASIGNACIONES'!$A$4:$A$339,$B17)</f>
        <v/>
      </c>
      <c r="D17" s="17">
        <f>C17*p_factor_productividad</f>
        <v/>
      </c>
      <c r="E17" s="17">
        <f>SUMIFS('ORDENES'!$M$4:$M$1203,'ORDENES'!$W$4:$W$1203,$A17,'ORDENES'!$O$4:$O$1203,$B17,'ORDENES'!$S$4:$S$1203,"preventiva")</f>
        <v/>
      </c>
      <c r="F17" s="17">
        <f>SUMIFS('ORDENES'!$M$4:$M$1203,'ORDENES'!$W$4:$W$1203,$A17,'ORDENES'!$O$4:$O$1203,$B17,'ORDENES'!$S$4:$S$1203,"correctiva")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1">
        <f>IF(N16="","",IF(N16+7&gt;MAX('ORDENES'!$J$4:$J$1203),"",N16+7))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TERCERO</t>
        </is>
      </c>
      <c r="B18" s="3">
        <f>$O$6</f>
        <v/>
      </c>
      <c r="C18" s="17">
        <f>SUMIFS('ASIGNACIONES'!$H$4:$H$339,'ASIGNACIONES'!$E$4:$E$339,$A18,'ASIGNACIONES'!$A$4:$A$339,$B18)</f>
        <v/>
      </c>
      <c r="D18" s="17">
        <f>C18*p_factor_productividad</f>
        <v/>
      </c>
      <c r="E18" s="17">
        <f>SUMIFS('ORDENES'!$M$4:$M$1203,'ORDENES'!$W$4:$W$1203,$A18,'ORDENES'!$O$4:$O$1203,$B18,'ORDENES'!$S$4:$S$1203,"preventiva")</f>
        <v/>
      </c>
      <c r="F18" s="17">
        <f>SUMIFS('ORDENES'!$M$4:$M$1203,'ORDENES'!$W$4:$W$1203,$A18,'ORDENES'!$O$4:$O$1203,$B18,'ORDENES'!$S$4:$S$1203,"correctiva")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1">
        <f>IF(N17="","",IF(N17+7&gt;MAX('ORDENES'!$J$4:$J$1203),"",N17+7))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MEC</t>
        </is>
      </c>
      <c r="B19" s="3">
        <f>$O$7</f>
        <v/>
      </c>
      <c r="C19" s="17">
        <f>SUMIFS('ASIGNACIONES'!$H$4:$H$339,'ASIGNACIONES'!$E$4:$E$339,$A19,'ASIGNACIONES'!$A$4:$A$339,$B19)</f>
        <v/>
      </c>
      <c r="D19" s="17">
        <f>C19*p_factor_productividad</f>
        <v/>
      </c>
      <c r="E19" s="17">
        <f>SUMIFS('ORDENES'!$M$4:$M$1203,'ORDENES'!$W$4:$W$1203,$A19,'ORDENES'!$O$4:$O$1203,$B19,'ORDENES'!$S$4:$S$1203,"preventiva")</f>
        <v/>
      </c>
      <c r="F19" s="17">
        <f>SUMIFS('ORDENES'!$M$4:$M$1203,'ORDENES'!$W$4:$W$1203,$A19,'ORDENES'!$O$4:$O$1203,$B19,'ORDENES'!$S$4:$S$1203,"correctiva")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1">
        <f>IF(N18="","",IF(N18+7&gt;MAX('ORDENES'!$J$4:$J$1203),"",N18+7))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ELE</t>
        </is>
      </c>
      <c r="B20" s="3">
        <f>$O$7</f>
        <v/>
      </c>
      <c r="C20" s="17">
        <f>SUMIFS('ASIGNACIONES'!$H$4:$H$339,'ASIGNACIONES'!$E$4:$E$339,$A20,'ASIGNACIONES'!$A$4:$A$339,$B20)</f>
        <v/>
      </c>
      <c r="D20" s="17">
        <f>C20*p_factor_productividad</f>
        <v/>
      </c>
      <c r="E20" s="17">
        <f>SUMIFS('ORDENES'!$M$4:$M$1203,'ORDENES'!$W$4:$W$1203,$A20,'ORDENES'!$O$4:$O$1203,$B20,'ORDENES'!$S$4:$S$1203,"preventiva")</f>
        <v/>
      </c>
      <c r="F20" s="17">
        <f>SUMIFS('ORDENES'!$M$4:$M$1203,'ORDENES'!$W$4:$W$1203,$A20,'ORDENES'!$O$4:$O$1203,$B20,'ORDENES'!$S$4:$S$1203,"correctiva")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1">
        <f>IF(N19="","",IF(N19+7&gt;MAX('ORDENES'!$J$4:$J$1203),"",N19+7))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AUT</t>
        </is>
      </c>
      <c r="B21" s="3">
        <f>$O$7</f>
        <v/>
      </c>
      <c r="C21" s="17">
        <f>SUMIFS('ASIGNACIONES'!$H$4:$H$339,'ASIGNACIONES'!$E$4:$E$339,$A21,'ASIGNACIONES'!$A$4:$A$339,$B21)</f>
        <v/>
      </c>
      <c r="D21" s="17">
        <f>C21*p_factor_productividad</f>
        <v/>
      </c>
      <c r="E21" s="17">
        <f>SUMIFS('ORDENES'!$M$4:$M$1203,'ORDENES'!$W$4:$W$1203,$A21,'ORDENES'!$O$4:$O$1203,$B21,'ORDENES'!$S$4:$S$1203,"preventiva")</f>
        <v/>
      </c>
      <c r="F21" s="17">
        <f>SUMIFS('ORDENES'!$M$4:$M$1203,'ORDENES'!$W$4:$W$1203,$A21,'ORDENES'!$O$4:$O$1203,$B21,'ORDENES'!$S$4:$S$1203,"correctiva")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1">
        <f>IF(N20="","",IF(N20+7&gt;MAX('ORDENES'!$J$4:$J$1203),"",N20+7))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OP</t>
        </is>
      </c>
      <c r="B22" s="3">
        <f>$O$7</f>
        <v/>
      </c>
      <c r="C22" s="17">
        <f>SUMIFS('ASIGNACIONES'!$H$4:$H$339,'ASIGNACIONES'!$E$4:$E$339,$A22,'ASIGNACIONES'!$A$4:$A$339,$B22)</f>
        <v/>
      </c>
      <c r="D22" s="17">
        <f>C22*p_factor_productividad</f>
        <v/>
      </c>
      <c r="E22" s="17">
        <f>SUMIFS('ORDENES'!$M$4:$M$1203,'ORDENES'!$W$4:$W$1203,$A22,'ORDENES'!$O$4:$O$1203,$B22,'ORDENES'!$S$4:$S$1203,"preventiva")</f>
        <v/>
      </c>
      <c r="F22" s="17">
        <f>SUMIFS('ORDENES'!$M$4:$M$1203,'ORDENES'!$W$4:$W$1203,$A22,'ORDENES'!$O$4:$O$1203,$B22,'ORDENES'!$S$4:$S$1203,"correctiva")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1">
        <f>IF(N21="","",IF(N21+7&gt;MAX('ORDENES'!$J$4:$J$1203),"",N21+7))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$O$7</f>
        <v/>
      </c>
      <c r="C23" s="17">
        <f>SUMIFS('ASIGNACIONES'!$H$4:$H$339,'ASIGNACIONES'!$E$4:$E$339,$A23,'ASIGNACIONES'!$A$4:$A$339,$B23)</f>
        <v/>
      </c>
      <c r="D23" s="17">
        <f>C23*p_factor_productividad</f>
        <v/>
      </c>
      <c r="E23" s="17">
        <f>SUMIFS('ORDENES'!$M$4:$M$1203,'ORDENES'!$W$4:$W$1203,$A23,'ORDENES'!$O$4:$O$1203,$B23,'ORDENES'!$S$4:$S$1203,"preventiva")</f>
        <v/>
      </c>
      <c r="F23" s="17">
        <f>SUMIFS('ORDENES'!$M$4:$M$1203,'ORDENES'!$W$4:$W$1203,$A23,'ORDENES'!$O$4:$O$1203,$B23,'ORDENES'!$S$4:$S$1203,"correctiva")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1">
        <f>IF(N22="","",IF(N22+7&gt;MAX('ORDENES'!$J$4:$J$1203),"",N22+7))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$O$8</f>
        <v/>
      </c>
      <c r="C24" s="17">
        <f>SUMIFS('ASIGNACIONES'!$H$4:$H$339,'ASIGNACIONES'!$E$4:$E$339,$A24,'ASIGNACIONES'!$A$4:$A$339,$B24)</f>
        <v/>
      </c>
      <c r="D24" s="17">
        <f>C24*p_factor_productividad</f>
        <v/>
      </c>
      <c r="E24" s="17">
        <f>SUMIFS('ORDENES'!$M$4:$M$1203,'ORDENES'!$W$4:$W$1203,$A24,'ORDENES'!$O$4:$O$1203,$B24,'ORDENES'!$S$4:$S$1203,"preventiva")</f>
        <v/>
      </c>
      <c r="F24" s="17">
        <f>SUMIFS('ORDENES'!$M$4:$M$1203,'ORDENES'!$W$4:$W$1203,$A24,'ORDENES'!$O$4:$O$1203,$B24,'ORDENES'!$S$4:$S$1203,"correctiva")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1">
        <f>IF(N23="","",IF(N23+7&gt;MAX('ORDENES'!$J$4:$J$1203),"",N23+7))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$O$8</f>
        <v/>
      </c>
      <c r="C25" s="17">
        <f>SUMIFS('ASIGNACIONES'!$H$4:$H$339,'ASIGNACIONES'!$E$4:$E$339,$A25,'ASIGNACIONES'!$A$4:$A$339,$B25)</f>
        <v/>
      </c>
      <c r="D25" s="17">
        <f>C25*p_factor_productividad</f>
        <v/>
      </c>
      <c r="E25" s="17">
        <f>SUMIFS('ORDENES'!$M$4:$M$1203,'ORDENES'!$W$4:$W$1203,$A25,'ORDENES'!$O$4:$O$1203,$B25,'ORDENES'!$S$4:$S$1203,"preventiva")</f>
        <v/>
      </c>
      <c r="F25" s="17">
        <f>SUMIFS('ORDENES'!$M$4:$M$1203,'ORDENES'!$W$4:$W$1203,$A25,'ORDENES'!$O$4:$O$1203,$B25,'ORDENES'!$S$4:$S$1203,"correctiva")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1">
        <f>IF(N24="","",IF(N24+7&gt;MAX('ORDENES'!$J$4:$J$1203),"",N24+7))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$O$8</f>
        <v/>
      </c>
      <c r="C26" s="17">
        <f>SUMIFS('ASIGNACIONES'!$H$4:$H$339,'ASIGNACIONES'!$E$4:$E$339,$A26,'ASIGNACIONES'!$A$4:$A$339,$B26)</f>
        <v/>
      </c>
      <c r="D26" s="17">
        <f>C26*p_factor_productividad</f>
        <v/>
      </c>
      <c r="E26" s="17">
        <f>SUMIFS('ORDENES'!$M$4:$M$1203,'ORDENES'!$W$4:$W$1203,$A26,'ORDENES'!$O$4:$O$1203,$B26,'ORDENES'!$S$4:$S$1203,"preventiva")</f>
        <v/>
      </c>
      <c r="F26" s="17">
        <f>SUMIFS('ORDENES'!$M$4:$M$1203,'ORDENES'!$W$4:$W$1203,$A26,'ORDENES'!$O$4:$O$1203,$B26,'ORDENES'!$S$4:$S$1203,"correctiva")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1">
        <f>IF(N25="","",IF(N25+7&gt;MAX('ORDENES'!$J$4:$J$1203),"",N25+7))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OP</t>
        </is>
      </c>
      <c r="B27" s="3">
        <f>$O$8</f>
        <v/>
      </c>
      <c r="C27" s="17">
        <f>SUMIFS('ASIGNACIONES'!$H$4:$H$339,'ASIGNACIONES'!$E$4:$E$339,$A27,'ASIGNACIONES'!$A$4:$A$339,$B27)</f>
        <v/>
      </c>
      <c r="D27" s="17">
        <f>C27*p_factor_productividad</f>
        <v/>
      </c>
      <c r="E27" s="17">
        <f>SUMIFS('ORDENES'!$M$4:$M$1203,'ORDENES'!$W$4:$W$1203,$A27,'ORDENES'!$O$4:$O$1203,$B27,'ORDENES'!$S$4:$S$1203,"preventiva")</f>
        <v/>
      </c>
      <c r="F27" s="17">
        <f>SUMIFS('ORDENES'!$M$4:$M$1203,'ORDENES'!$W$4:$W$1203,$A27,'ORDENES'!$O$4:$O$1203,$B27,'ORDENES'!$S$4:$S$1203,"correctiva")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1">
        <f>IF(N26="","",IF(N26+7&gt;MAX('ORDENES'!$J$4:$J$1203),"",N26+7))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TERCERO</t>
        </is>
      </c>
      <c r="B28" s="3">
        <f>$O$8</f>
        <v/>
      </c>
      <c r="C28" s="17">
        <f>SUMIFS('ASIGNACIONES'!$H$4:$H$339,'ASIGNACIONES'!$E$4:$E$339,$A28,'ASIGNACIONES'!$A$4:$A$339,$B28)</f>
        <v/>
      </c>
      <c r="D28" s="17">
        <f>C28*p_factor_productividad</f>
        <v/>
      </c>
      <c r="E28" s="17">
        <f>SUMIFS('ORDENES'!$M$4:$M$1203,'ORDENES'!$W$4:$W$1203,$A28,'ORDENES'!$O$4:$O$1203,$B28,'ORDENES'!$S$4:$S$1203,"preventiva")</f>
        <v/>
      </c>
      <c r="F28" s="17">
        <f>SUMIFS('ORDENES'!$M$4:$M$1203,'ORDENES'!$W$4:$W$1203,$A28,'ORDENES'!$O$4:$O$1203,$B28,'ORDENES'!$S$4:$S$1203,"correctiva")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1">
        <f>IF(N27="","",IF(N27+7&gt;MAX('ORDENES'!$J$4:$J$1203),"",N27+7))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MEC</t>
        </is>
      </c>
      <c r="B29" s="3">
        <f>$O$9</f>
        <v/>
      </c>
      <c r="C29" s="17">
        <f>SUMIFS('ASIGNACIONES'!$H$4:$H$339,'ASIGNACIONES'!$E$4:$E$339,$A29,'ASIGNACIONES'!$A$4:$A$339,$B29)</f>
        <v/>
      </c>
      <c r="D29" s="17">
        <f>C29*p_factor_productividad</f>
        <v/>
      </c>
      <c r="E29" s="17">
        <f>SUMIFS('ORDENES'!$M$4:$M$1203,'ORDENES'!$W$4:$W$1203,$A29,'ORDENES'!$O$4:$O$1203,$B29,'ORDENES'!$S$4:$S$1203,"preventiva")</f>
        <v/>
      </c>
      <c r="F29" s="17">
        <f>SUMIFS('ORDENES'!$M$4:$M$1203,'ORDENES'!$W$4:$W$1203,$A29,'ORDENES'!$O$4:$O$1203,$B29,'ORDENES'!$S$4:$S$1203,"correctiva")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1">
        <f>IF(N28="","",IF(N28+7&gt;MAX('ORDENES'!$J$4:$J$1203),"",N28+7))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ELE</t>
        </is>
      </c>
      <c r="B30" s="3">
        <f>$O$9</f>
        <v/>
      </c>
      <c r="C30" s="17">
        <f>SUMIFS('ASIGNACIONES'!$H$4:$H$339,'ASIGNACIONES'!$E$4:$E$339,$A30,'ASIGNACIONES'!$A$4:$A$339,$B30)</f>
        <v/>
      </c>
      <c r="D30" s="17">
        <f>C30*p_factor_productividad</f>
        <v/>
      </c>
      <c r="E30" s="17">
        <f>SUMIFS('ORDENES'!$M$4:$M$1203,'ORDENES'!$W$4:$W$1203,$A30,'ORDENES'!$O$4:$O$1203,$B30,'ORDENES'!$S$4:$S$1203,"preventiva")</f>
        <v/>
      </c>
      <c r="F30" s="17">
        <f>SUMIFS('ORDENES'!$M$4:$M$1203,'ORDENES'!$W$4:$W$1203,$A30,'ORDENES'!$O$4:$O$1203,$B30,'ORDENES'!$S$4:$S$1203,"correctiva")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1">
        <f>IF(N29="","",IF(N29+7&gt;MAX('ORDENES'!$J$4:$J$1203),"",N29+7))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AUT</t>
        </is>
      </c>
      <c r="B31" s="3">
        <f>$O$9</f>
        <v/>
      </c>
      <c r="C31" s="17">
        <f>SUMIFS('ASIGNACIONES'!$H$4:$H$339,'ASIGNACIONES'!$E$4:$E$339,$A31,'ASIGNACIONES'!$A$4:$A$339,$B31)</f>
        <v/>
      </c>
      <c r="D31" s="17">
        <f>C31*p_factor_productividad</f>
        <v/>
      </c>
      <c r="E31" s="17">
        <f>SUMIFS('ORDENES'!$M$4:$M$1203,'ORDENES'!$W$4:$W$1203,$A31,'ORDENES'!$O$4:$O$1203,$B31,'ORDENES'!$S$4:$S$1203,"preventiva")</f>
        <v/>
      </c>
      <c r="F31" s="17">
        <f>SUMIFS('ORDENES'!$M$4:$M$1203,'ORDENES'!$W$4:$W$1203,$A31,'ORDENES'!$O$4:$O$1203,$B31,'ORDENES'!$S$4:$S$1203,"correctiva")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1">
        <f>IF(N30="","",IF(N30+7&gt;MAX('ORDENES'!$J$4:$J$1203),"",N30+7))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OP</t>
        </is>
      </c>
      <c r="B32" s="3">
        <f>$O$9</f>
        <v/>
      </c>
      <c r="C32" s="17">
        <f>SUMIFS('ASIGNACIONES'!$H$4:$H$339,'ASIGNACIONES'!$E$4:$E$339,$A32,'ASIGNACIONES'!$A$4:$A$339,$B32)</f>
        <v/>
      </c>
      <c r="D32" s="17">
        <f>C32*p_factor_productividad</f>
        <v/>
      </c>
      <c r="E32" s="17">
        <f>SUMIFS('ORDENES'!$M$4:$M$1203,'ORDENES'!$W$4:$W$1203,$A32,'ORDENES'!$O$4:$O$1203,$B32,'ORDENES'!$S$4:$S$1203,"preventiva")</f>
        <v/>
      </c>
      <c r="F32" s="17">
        <f>SUMIFS('ORDENES'!$M$4:$M$1203,'ORDENES'!$W$4:$W$1203,$A32,'ORDENES'!$O$4:$O$1203,$B32,'ORDENES'!$S$4:$S$1203,"correctiva")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1">
        <f>IF(N31="","",IF(N31+7&gt;MAX('ORDENES'!$J$4:$J$1203),"",N31+7))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TERCERO</t>
        </is>
      </c>
      <c r="B33" s="3">
        <f>$O$9</f>
        <v/>
      </c>
      <c r="C33" s="17">
        <f>SUMIFS('ASIGNACIONES'!$H$4:$H$339,'ASIGNACIONES'!$E$4:$E$339,$A33,'ASIGNACIONES'!$A$4:$A$339,$B33)</f>
        <v/>
      </c>
      <c r="D33" s="17">
        <f>C33*p_factor_productividad</f>
        <v/>
      </c>
      <c r="E33" s="17">
        <f>SUMIFS('ORDENES'!$M$4:$M$1203,'ORDENES'!$W$4:$W$1203,$A33,'ORDENES'!$O$4:$O$1203,$B33,'ORDENES'!$S$4:$S$1203,"preventiva")</f>
        <v/>
      </c>
      <c r="F33" s="17">
        <f>SUMIFS('ORDENES'!$M$4:$M$1203,'ORDENES'!$W$4:$W$1203,$A33,'ORDENES'!$O$4:$O$1203,$B33,'ORDENES'!$S$4:$S$1203,"correctiva")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1">
        <f>IF(N32="","",IF(N32+7&gt;MAX('ORDENES'!$J$4:$J$1203),"",N32+7))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MEC</t>
        </is>
      </c>
      <c r="B34" s="3">
        <f>$O$10</f>
        <v/>
      </c>
      <c r="C34" s="17">
        <f>SUMIFS('ASIGNACIONES'!$H$4:$H$339,'ASIGNACIONES'!$E$4:$E$339,$A34,'ASIGNACIONES'!$A$4:$A$339,$B34)</f>
        <v/>
      </c>
      <c r="D34" s="17">
        <f>C34*p_factor_productividad</f>
        <v/>
      </c>
      <c r="E34" s="17">
        <f>SUMIFS('ORDENES'!$M$4:$M$1203,'ORDENES'!$W$4:$W$1203,$A34,'ORDENES'!$O$4:$O$1203,$B34,'ORDENES'!$S$4:$S$1203,"preventiva")</f>
        <v/>
      </c>
      <c r="F34" s="17">
        <f>SUMIFS('ORDENES'!$M$4:$M$1203,'ORDENES'!$W$4:$W$1203,$A34,'ORDENES'!$O$4:$O$1203,$B34,'ORDENES'!$S$4:$S$1203,"correctiva")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1">
        <f>IF(N33="","",IF(N33+7&gt;MAX('ORDENES'!$J$4:$J$1203),"",N33+7))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ELE</t>
        </is>
      </c>
      <c r="B35" s="3">
        <f>$O$10</f>
        <v/>
      </c>
      <c r="C35" s="17">
        <f>SUMIFS('ASIGNACIONES'!$H$4:$H$339,'ASIGNACIONES'!$E$4:$E$339,$A35,'ASIGNACIONES'!$A$4:$A$339,$B35)</f>
        <v/>
      </c>
      <c r="D35" s="17">
        <f>C35*p_factor_productividad</f>
        <v/>
      </c>
      <c r="E35" s="17">
        <f>SUMIFS('ORDENES'!$M$4:$M$1203,'ORDENES'!$W$4:$W$1203,$A35,'ORDENES'!$O$4:$O$1203,$B35,'ORDENES'!$S$4:$S$1203,"preventiva")</f>
        <v/>
      </c>
      <c r="F35" s="17">
        <f>SUMIFS('ORDENES'!$M$4:$M$1203,'ORDENES'!$W$4:$W$1203,$A35,'ORDENES'!$O$4:$O$1203,$B35,'ORDENES'!$S$4:$S$1203,"correctiva")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1">
        <f>IF(N34="","",IF(N34+7&gt;MAX('ORDENES'!$J$4:$J$1203),"",N34+7))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AUT</t>
        </is>
      </c>
      <c r="B36" s="3">
        <f>$O$10</f>
        <v/>
      </c>
      <c r="C36" s="17">
        <f>SUMIFS('ASIGNACIONES'!$H$4:$H$339,'ASIGNACIONES'!$E$4:$E$339,$A36,'ASIGNACIONES'!$A$4:$A$339,$B36)</f>
        <v/>
      </c>
      <c r="D36" s="17">
        <f>C36*p_factor_productividad</f>
        <v/>
      </c>
      <c r="E36" s="17">
        <f>SUMIFS('ORDENES'!$M$4:$M$1203,'ORDENES'!$W$4:$W$1203,$A36,'ORDENES'!$O$4:$O$1203,$B36,'ORDENES'!$S$4:$S$1203,"preventiva")</f>
        <v/>
      </c>
      <c r="F36" s="17">
        <f>SUMIFS('ORDENES'!$M$4:$M$1203,'ORDENES'!$W$4:$W$1203,$A36,'ORDENES'!$O$4:$O$1203,$B36,'ORDENES'!$S$4:$S$1203,"correctiva")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1">
        <f>IF(N35="","",IF(N35+7&gt;MAX('ORDENES'!$J$4:$J$1203),"",N35+7))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OP</t>
        </is>
      </c>
      <c r="B37" s="3">
        <f>$O$10</f>
        <v/>
      </c>
      <c r="C37" s="17">
        <f>SUMIFS('ASIGNACIONES'!$H$4:$H$339,'ASIGNACIONES'!$E$4:$E$339,$A37,'ASIGNACIONES'!$A$4:$A$339,$B37)</f>
        <v/>
      </c>
      <c r="D37" s="17">
        <f>C37*p_factor_productividad</f>
        <v/>
      </c>
      <c r="E37" s="17">
        <f>SUMIFS('ORDENES'!$M$4:$M$1203,'ORDENES'!$W$4:$W$1203,$A37,'ORDENES'!$O$4:$O$1203,$B37,'ORDENES'!$S$4:$S$1203,"preventiva")</f>
        <v/>
      </c>
      <c r="F37" s="17">
        <f>SUMIFS('ORDENES'!$M$4:$M$1203,'ORDENES'!$W$4:$W$1203,$A37,'ORDENES'!$O$4:$O$1203,$B37,'ORDENES'!$S$4:$S$1203,"correctiva")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1">
        <f>IF(N36="","",IF(N36+7&gt;MAX('ORDENES'!$J$4:$J$1203),"",N36+7))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TERCERO</t>
        </is>
      </c>
      <c r="B38" s="3">
        <f>$O$10</f>
        <v/>
      </c>
      <c r="C38" s="17">
        <f>SUMIFS('ASIGNACIONES'!$H$4:$H$339,'ASIGNACIONES'!$E$4:$E$339,$A38,'ASIGNACIONES'!$A$4:$A$339,$B38)</f>
        <v/>
      </c>
      <c r="D38" s="17">
        <f>C38*p_factor_productividad</f>
        <v/>
      </c>
      <c r="E38" s="17">
        <f>SUMIFS('ORDENES'!$M$4:$M$1203,'ORDENES'!$W$4:$W$1203,$A38,'ORDENES'!$O$4:$O$1203,$B38,'ORDENES'!$S$4:$S$1203,"preventiva")</f>
        <v/>
      </c>
      <c r="F38" s="17">
        <f>SUMIFS('ORDENES'!$M$4:$M$1203,'ORDENES'!$W$4:$W$1203,$A38,'ORDENES'!$O$4:$O$1203,$B38,'ORDENES'!$S$4:$S$1203,"correctiva")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1">
        <f>IF(N37="","",IF(N37+7&gt;MAX('ORDENES'!$J$4:$J$1203),"",N37+7))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MEC</t>
        </is>
      </c>
      <c r="B39" s="3">
        <f>$O$11</f>
        <v/>
      </c>
      <c r="C39" s="17">
        <f>SUMIFS('ASIGNACIONES'!$H$4:$H$339,'ASIGNACIONES'!$E$4:$E$339,$A39,'ASIGNACIONES'!$A$4:$A$339,$B39)</f>
        <v/>
      </c>
      <c r="D39" s="17">
        <f>C39*p_factor_productividad</f>
        <v/>
      </c>
      <c r="E39" s="17">
        <f>SUMIFS('ORDENES'!$M$4:$M$1203,'ORDENES'!$W$4:$W$1203,$A39,'ORDENES'!$O$4:$O$1203,$B39,'ORDENES'!$S$4:$S$1203,"preventiva")</f>
        <v/>
      </c>
      <c r="F39" s="17">
        <f>SUMIFS('ORDENES'!$M$4:$M$1203,'ORDENES'!$W$4:$W$1203,$A39,'ORDENES'!$O$4:$O$1203,$B39,'ORDENES'!$S$4:$S$1203,"correctiva")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1">
        <f>IF(N38="","",IF(N38+7&gt;MAX('ORDENES'!$J$4:$J$1203),"",N38+7))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ELE</t>
        </is>
      </c>
      <c r="B40" s="3">
        <f>$O$11</f>
        <v/>
      </c>
      <c r="C40" s="17">
        <f>SUMIFS('ASIGNACIONES'!$H$4:$H$339,'ASIGNACIONES'!$E$4:$E$339,$A40,'ASIGNACIONES'!$A$4:$A$339,$B40)</f>
        <v/>
      </c>
      <c r="D40" s="17">
        <f>C40*p_factor_productividad</f>
        <v/>
      </c>
      <c r="E40" s="17">
        <f>SUMIFS('ORDENES'!$M$4:$M$1203,'ORDENES'!$W$4:$W$1203,$A40,'ORDENES'!$O$4:$O$1203,$B40,'ORDENES'!$S$4:$S$1203,"preventiva")</f>
        <v/>
      </c>
      <c r="F40" s="17">
        <f>SUMIFS('ORDENES'!$M$4:$M$1203,'ORDENES'!$W$4:$W$1203,$A40,'ORDENES'!$O$4:$O$1203,$B40,'ORDENES'!$S$4:$S$1203,"correctiva")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1">
        <f>IF(N39="","",IF(N39+7&gt;MAX('ORDENES'!$J$4:$J$1203),"",N39+7))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AUT</t>
        </is>
      </c>
      <c r="B41" s="3">
        <f>$O$11</f>
        <v/>
      </c>
      <c r="C41" s="17">
        <f>SUMIFS('ASIGNACIONES'!$H$4:$H$339,'ASIGNACIONES'!$E$4:$E$339,$A41,'ASIGNACIONES'!$A$4:$A$339,$B41)</f>
        <v/>
      </c>
      <c r="D41" s="17">
        <f>C41*p_factor_productividad</f>
        <v/>
      </c>
      <c r="E41" s="17">
        <f>SUMIFS('ORDENES'!$M$4:$M$1203,'ORDENES'!$W$4:$W$1203,$A41,'ORDENES'!$O$4:$O$1203,$B41,'ORDENES'!$S$4:$S$1203,"preventiva")</f>
        <v/>
      </c>
      <c r="F41" s="17">
        <f>SUMIFS('ORDENES'!$M$4:$M$1203,'ORDENES'!$W$4:$W$1203,$A41,'ORDENES'!$O$4:$O$1203,$B41,'ORDENES'!$S$4:$S$1203,"correctiva")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1">
        <f>IF(N40="","",IF(N40+7&gt;MAX('ORDENES'!$J$4:$J$1203),"",N40+7))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OP</t>
        </is>
      </c>
      <c r="B42" s="3">
        <f>$O$11</f>
        <v/>
      </c>
      <c r="C42" s="17">
        <f>SUMIFS('ASIGNACIONES'!$H$4:$H$339,'ASIGNACIONES'!$E$4:$E$339,$A42,'ASIGNACIONES'!$A$4:$A$339,$B42)</f>
        <v/>
      </c>
      <c r="D42" s="17">
        <f>C42*p_factor_productividad</f>
        <v/>
      </c>
      <c r="E42" s="17">
        <f>SUMIFS('ORDENES'!$M$4:$M$1203,'ORDENES'!$W$4:$W$1203,$A42,'ORDENES'!$O$4:$O$1203,$B42,'ORDENES'!$S$4:$S$1203,"preventiva")</f>
        <v/>
      </c>
      <c r="F42" s="17">
        <f>SUMIFS('ORDENES'!$M$4:$M$1203,'ORDENES'!$W$4:$W$1203,$A42,'ORDENES'!$O$4:$O$1203,$B42,'ORDENES'!$S$4:$S$1203,"correctiva")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1">
        <f>IF(N41="","",IF(N41+7&gt;MAX('ORDENES'!$J$4:$J$1203),"",N41+7))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$O$11</f>
        <v/>
      </c>
      <c r="C43" s="17">
        <f>SUMIFS('ASIGNACIONES'!$H$4:$H$339,'ASIGNACIONES'!$E$4:$E$339,$A43,'ASIGNACIONES'!$A$4:$A$339,$B43)</f>
        <v/>
      </c>
      <c r="D43" s="17">
        <f>C43*p_factor_productividad</f>
        <v/>
      </c>
      <c r="E43" s="17">
        <f>SUMIFS('ORDENES'!$M$4:$M$1203,'ORDENES'!$W$4:$W$1203,$A43,'ORDENES'!$O$4:$O$1203,$B43,'ORDENES'!$S$4:$S$1203,"preventiva")</f>
        <v/>
      </c>
      <c r="F43" s="17">
        <f>SUMIFS('ORDENES'!$M$4:$M$1203,'ORDENES'!$W$4:$W$1203,$A43,'ORDENES'!$O$4:$O$1203,$B43,'ORDENES'!$S$4:$S$1203,"correctiva")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1">
        <f>IF(N42="","",IF(N42+7&gt;MAX('ORDENES'!$J$4:$J$1203),"",N42+7))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$O$12</f>
        <v/>
      </c>
      <c r="C44" s="17">
        <f>SUMIFS('ASIGNACIONES'!$H$4:$H$339,'ASIGNACIONES'!$E$4:$E$339,$A44,'ASIGNACIONES'!$A$4:$A$339,$B44)</f>
        <v/>
      </c>
      <c r="D44" s="17">
        <f>C44*p_factor_productividad</f>
        <v/>
      </c>
      <c r="E44" s="17">
        <f>SUMIFS('ORDENES'!$M$4:$M$1203,'ORDENES'!$W$4:$W$1203,$A44,'ORDENES'!$O$4:$O$1203,$B44,'ORDENES'!$S$4:$S$1203,"preventiva")</f>
        <v/>
      </c>
      <c r="F44" s="17">
        <f>SUMIFS('ORDENES'!$M$4:$M$1203,'ORDENES'!$W$4:$W$1203,$A44,'ORDENES'!$O$4:$O$1203,$B44,'ORDENES'!$S$4:$S$1203,"correctiva")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1">
        <f>IF(N43="","",IF(N43+7&gt;MAX('ORDENES'!$J$4:$J$1203),"",N43+7))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$O$12</f>
        <v/>
      </c>
      <c r="C45" s="17">
        <f>SUMIFS('ASIGNACIONES'!$H$4:$H$339,'ASIGNACIONES'!$E$4:$E$339,$A45,'ASIGNACIONES'!$A$4:$A$339,$B45)</f>
        <v/>
      </c>
      <c r="D45" s="17">
        <f>C45*p_factor_productividad</f>
        <v/>
      </c>
      <c r="E45" s="17">
        <f>SUMIFS('ORDENES'!$M$4:$M$1203,'ORDENES'!$W$4:$W$1203,$A45,'ORDENES'!$O$4:$O$1203,$B45,'ORDENES'!$S$4:$S$1203,"preventiva")</f>
        <v/>
      </c>
      <c r="F45" s="17">
        <f>SUMIFS('ORDENES'!$M$4:$M$1203,'ORDENES'!$W$4:$W$1203,$A45,'ORDENES'!$O$4:$O$1203,$B45,'ORDENES'!$S$4:$S$1203,"correctiva")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1">
        <f>IF(N44="","",IF(N44+7&gt;MAX('ORDENES'!$J$4:$J$1203),"",N44+7))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$O$12</f>
        <v/>
      </c>
      <c r="C46" s="17">
        <f>SUMIFS('ASIGNACIONES'!$H$4:$H$339,'ASIGNACIONES'!$E$4:$E$339,$A46,'ASIGNACIONES'!$A$4:$A$339,$B46)</f>
        <v/>
      </c>
      <c r="D46" s="17">
        <f>C46*p_factor_productividad</f>
        <v/>
      </c>
      <c r="E46" s="17">
        <f>SUMIFS('ORDENES'!$M$4:$M$1203,'ORDENES'!$W$4:$W$1203,$A46,'ORDENES'!$O$4:$O$1203,$B46,'ORDENES'!$S$4:$S$1203,"preventiva")</f>
        <v/>
      </c>
      <c r="F46" s="17">
        <f>SUMIFS('ORDENES'!$M$4:$M$1203,'ORDENES'!$W$4:$W$1203,$A46,'ORDENES'!$O$4:$O$1203,$B46,'ORDENES'!$S$4:$S$1203,"correctiva")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1">
        <f>IF(N45="","",IF(N45+7&gt;MAX('ORDENES'!$J$4:$J$1203),"",N45+7))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OP</t>
        </is>
      </c>
      <c r="B47" s="3">
        <f>$O$12</f>
        <v/>
      </c>
      <c r="C47" s="17">
        <f>SUMIFS('ASIGNACIONES'!$H$4:$H$339,'ASIGNACIONES'!$E$4:$E$339,$A47,'ASIGNACIONES'!$A$4:$A$339,$B47)</f>
        <v/>
      </c>
      <c r="D47" s="17">
        <f>C47*p_factor_productividad</f>
        <v/>
      </c>
      <c r="E47" s="17">
        <f>SUMIFS('ORDENES'!$M$4:$M$1203,'ORDENES'!$W$4:$W$1203,$A47,'ORDENES'!$O$4:$O$1203,$B47,'ORDENES'!$S$4:$S$1203,"preventiva")</f>
        <v/>
      </c>
      <c r="F47" s="17">
        <f>SUMIFS('ORDENES'!$M$4:$M$1203,'ORDENES'!$W$4:$W$1203,$A47,'ORDENES'!$O$4:$O$1203,$B47,'ORDENES'!$S$4:$S$1203,"correctiva")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1">
        <f>IF(N46="","",IF(N46+7&gt;MAX('ORDENES'!$J$4:$J$1203),"",N46+7))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TERCERO</t>
        </is>
      </c>
      <c r="B48" s="3">
        <f>$O$12</f>
        <v/>
      </c>
      <c r="C48" s="17">
        <f>SUMIFS('ASIGNACIONES'!$H$4:$H$339,'ASIGNACIONES'!$E$4:$E$339,$A48,'ASIGNACIONES'!$A$4:$A$339,$B48)</f>
        <v/>
      </c>
      <c r="D48" s="17">
        <f>C48*p_factor_productividad</f>
        <v/>
      </c>
      <c r="E48" s="17">
        <f>SUMIFS('ORDENES'!$M$4:$M$1203,'ORDENES'!$W$4:$W$1203,$A48,'ORDENES'!$O$4:$O$1203,$B48,'ORDENES'!$S$4:$S$1203,"preventiva")</f>
        <v/>
      </c>
      <c r="F48" s="17">
        <f>SUMIFS('ORDENES'!$M$4:$M$1203,'ORDENES'!$W$4:$W$1203,$A48,'ORDENES'!$O$4:$O$1203,$B48,'ORDENES'!$S$4:$S$1203,"correctiva")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1">
        <f>IF(N47="","",IF(N47+7&gt;MAX('ORDENES'!$J$4:$J$1203),"",N47+7))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MEC</t>
        </is>
      </c>
      <c r="B49" s="3">
        <f>$O$13</f>
        <v/>
      </c>
      <c r="C49" s="17">
        <f>SUMIFS('ASIGNACIONES'!$H$4:$H$339,'ASIGNACIONES'!$E$4:$E$339,$A49,'ASIGNACIONES'!$A$4:$A$339,$B49)</f>
        <v/>
      </c>
      <c r="D49" s="17">
        <f>C49*p_factor_productividad</f>
        <v/>
      </c>
      <c r="E49" s="17">
        <f>SUMIFS('ORDENES'!$M$4:$M$1203,'ORDENES'!$W$4:$W$1203,$A49,'ORDENES'!$O$4:$O$1203,$B49,'ORDENES'!$S$4:$S$1203,"preventiva")</f>
        <v/>
      </c>
      <c r="F49" s="17">
        <f>SUMIFS('ORDENES'!$M$4:$M$1203,'ORDENES'!$W$4:$W$1203,$A49,'ORDENES'!$O$4:$O$1203,$B49,'ORDENES'!$S$4:$S$1203,"correctiva")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1">
        <f>IF(N48="","",IF(N48+7&gt;MAX('ORDENES'!$J$4:$J$1203),"",N48+7))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ELE</t>
        </is>
      </c>
      <c r="B50" s="3">
        <f>$O$13</f>
        <v/>
      </c>
      <c r="C50" s="17">
        <f>SUMIFS('ASIGNACIONES'!$H$4:$H$339,'ASIGNACIONES'!$E$4:$E$339,$A50,'ASIGNACIONES'!$A$4:$A$339,$B50)</f>
        <v/>
      </c>
      <c r="D50" s="17">
        <f>C50*p_factor_productividad</f>
        <v/>
      </c>
      <c r="E50" s="17">
        <f>SUMIFS('ORDENES'!$M$4:$M$1203,'ORDENES'!$W$4:$W$1203,$A50,'ORDENES'!$O$4:$O$1203,$B50,'ORDENES'!$S$4:$S$1203,"preventiva")</f>
        <v/>
      </c>
      <c r="F50" s="17">
        <f>SUMIFS('ORDENES'!$M$4:$M$1203,'ORDENES'!$W$4:$W$1203,$A50,'ORDENES'!$O$4:$O$1203,$B50,'ORDENES'!$S$4:$S$1203,"correctiva")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1">
        <f>IF(N49="","",IF(N49+7&gt;MAX('ORDENES'!$J$4:$J$1203),"",N49+7))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AUT</t>
        </is>
      </c>
      <c r="B51" s="3">
        <f>$O$13</f>
        <v/>
      </c>
      <c r="C51" s="17">
        <f>SUMIFS('ASIGNACIONES'!$H$4:$H$339,'ASIGNACIONES'!$E$4:$E$339,$A51,'ASIGNACIONES'!$A$4:$A$339,$B51)</f>
        <v/>
      </c>
      <c r="D51" s="17">
        <f>C51*p_factor_productividad</f>
        <v/>
      </c>
      <c r="E51" s="17">
        <f>SUMIFS('ORDENES'!$M$4:$M$1203,'ORDENES'!$W$4:$W$1203,$A51,'ORDENES'!$O$4:$O$1203,$B51,'ORDENES'!$S$4:$S$1203,"preventiva")</f>
        <v/>
      </c>
      <c r="F51" s="17">
        <f>SUMIFS('ORDENES'!$M$4:$M$1203,'ORDENES'!$W$4:$W$1203,$A51,'ORDENES'!$O$4:$O$1203,$B51,'ORDENES'!$S$4:$S$1203,"correctiva")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1">
        <f>IF(N50="","",IF(N50+7&gt;MAX('ORDENES'!$J$4:$J$1203),"",N50+7))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OP</t>
        </is>
      </c>
      <c r="B52" s="3">
        <f>$O$13</f>
        <v/>
      </c>
      <c r="C52" s="17">
        <f>SUMIFS('ASIGNACIONES'!$H$4:$H$339,'ASIGNACIONES'!$E$4:$E$339,$A52,'ASIGNACIONES'!$A$4:$A$339,$B52)</f>
        <v/>
      </c>
      <c r="D52" s="17">
        <f>C52*p_factor_productividad</f>
        <v/>
      </c>
      <c r="E52" s="17">
        <f>SUMIFS('ORDENES'!$M$4:$M$1203,'ORDENES'!$W$4:$W$1203,$A52,'ORDENES'!$O$4:$O$1203,$B52,'ORDENES'!$S$4:$S$1203,"preventiva")</f>
        <v/>
      </c>
      <c r="F52" s="17">
        <f>SUMIFS('ORDENES'!$M$4:$M$1203,'ORDENES'!$W$4:$W$1203,$A52,'ORDENES'!$O$4:$O$1203,$B52,'ORDENES'!$S$4:$S$1203,"correctiva")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1">
        <f>IF(N51="","",IF(N51+7&gt;MAX('ORDENES'!$J$4:$J$1203),"",N51+7))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TERCERO</t>
        </is>
      </c>
      <c r="B53" s="3">
        <f>$O$13</f>
        <v/>
      </c>
      <c r="C53" s="17">
        <f>SUMIFS('ASIGNACIONES'!$H$4:$H$339,'ASIGNACIONES'!$E$4:$E$339,$A53,'ASIGNACIONES'!$A$4:$A$339,$B53)</f>
        <v/>
      </c>
      <c r="D53" s="17">
        <f>C53*p_factor_productividad</f>
        <v/>
      </c>
      <c r="E53" s="17">
        <f>SUMIFS('ORDENES'!$M$4:$M$1203,'ORDENES'!$W$4:$W$1203,$A53,'ORDENES'!$O$4:$O$1203,$B53,'ORDENES'!$S$4:$S$1203,"preventiva")</f>
        <v/>
      </c>
      <c r="F53" s="17">
        <f>SUMIFS('ORDENES'!$M$4:$M$1203,'ORDENES'!$W$4:$W$1203,$A53,'ORDENES'!$O$4:$O$1203,$B53,'ORDENES'!$S$4:$S$1203,"correctiva")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1">
        <f>IF(N52="","",IF(N52+7&gt;MAX('ORDENES'!$J$4:$J$1203),"",N52+7))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MEC</t>
        </is>
      </c>
      <c r="B54" s="3">
        <f>$O$14</f>
        <v/>
      </c>
      <c r="C54" s="17">
        <f>SUMIFS('ASIGNACIONES'!$H$4:$H$339,'ASIGNACIONES'!$E$4:$E$339,$A54,'ASIGNACIONES'!$A$4:$A$339,$B54)</f>
        <v/>
      </c>
      <c r="D54" s="17">
        <f>C54*p_factor_productividad</f>
        <v/>
      </c>
      <c r="E54" s="17">
        <f>SUMIFS('ORDENES'!$M$4:$M$1203,'ORDENES'!$W$4:$W$1203,$A54,'ORDENES'!$O$4:$O$1203,$B54,'ORDENES'!$S$4:$S$1203,"preventiva")</f>
        <v/>
      </c>
      <c r="F54" s="17">
        <f>SUMIFS('ORDENES'!$M$4:$M$1203,'ORDENES'!$W$4:$W$1203,$A54,'ORDENES'!$O$4:$O$1203,$B54,'ORDENES'!$S$4:$S$1203,"correctiva")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1">
        <f>IF(N53="","",IF(N53+7&gt;MAX('ORDENES'!$J$4:$J$1203),"",N53+7))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ELE</t>
        </is>
      </c>
      <c r="B55" s="3">
        <f>$O$14</f>
        <v/>
      </c>
      <c r="C55" s="17">
        <f>SUMIFS('ASIGNACIONES'!$H$4:$H$339,'ASIGNACIONES'!$E$4:$E$339,$A55,'ASIGNACIONES'!$A$4:$A$339,$B55)</f>
        <v/>
      </c>
      <c r="D55" s="17">
        <f>C55*p_factor_productividad</f>
        <v/>
      </c>
      <c r="E55" s="17">
        <f>SUMIFS('ORDENES'!$M$4:$M$1203,'ORDENES'!$W$4:$W$1203,$A55,'ORDENES'!$O$4:$O$1203,$B55,'ORDENES'!$S$4:$S$1203,"preventiva")</f>
        <v/>
      </c>
      <c r="F55" s="17">
        <f>SUMIFS('ORDENES'!$M$4:$M$1203,'ORDENES'!$W$4:$W$1203,$A55,'ORDENES'!$O$4:$O$1203,$B55,'ORDENES'!$S$4:$S$1203,"correctiva")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1">
        <f>IF(N54="","",IF(N54+7&gt;MAX('ORDENES'!$J$4:$J$1203),"",N54+7))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AUT</t>
        </is>
      </c>
      <c r="B56" s="3">
        <f>$O$14</f>
        <v/>
      </c>
      <c r="C56" s="17">
        <f>SUMIFS('ASIGNACIONES'!$H$4:$H$339,'ASIGNACIONES'!$E$4:$E$339,$A56,'ASIGNACIONES'!$A$4:$A$339,$B56)</f>
        <v/>
      </c>
      <c r="D56" s="17">
        <f>C56*p_factor_productividad</f>
        <v/>
      </c>
      <c r="E56" s="17">
        <f>SUMIFS('ORDENES'!$M$4:$M$1203,'ORDENES'!$W$4:$W$1203,$A56,'ORDENES'!$O$4:$O$1203,$B56,'ORDENES'!$S$4:$S$1203,"preventiva")</f>
        <v/>
      </c>
      <c r="F56" s="17">
        <f>SUMIFS('ORDENES'!$M$4:$M$1203,'ORDENES'!$W$4:$W$1203,$A56,'ORDENES'!$O$4:$O$1203,$B56,'ORDENES'!$S$4:$S$1203,"correctiva")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1">
        <f>IF(N55="","",IF(N55+7&gt;MAX('ORDENES'!$J$4:$J$1203),"",N55+7))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OP</t>
        </is>
      </c>
      <c r="B57" s="3">
        <f>$O$14</f>
        <v/>
      </c>
      <c r="C57" s="17">
        <f>SUMIFS('ASIGNACIONES'!$H$4:$H$339,'ASIGNACIONES'!$E$4:$E$339,$A57,'ASIGNACIONES'!$A$4:$A$339,$B57)</f>
        <v/>
      </c>
      <c r="D57" s="17">
        <f>C57*p_factor_productividad</f>
        <v/>
      </c>
      <c r="E57" s="17">
        <f>SUMIFS('ORDENES'!$M$4:$M$1203,'ORDENES'!$W$4:$W$1203,$A57,'ORDENES'!$O$4:$O$1203,$B57,'ORDENES'!$S$4:$S$1203,"preventiva")</f>
        <v/>
      </c>
      <c r="F57" s="17">
        <f>SUMIFS('ORDENES'!$M$4:$M$1203,'ORDENES'!$W$4:$W$1203,$A57,'ORDENES'!$O$4:$O$1203,$B57,'ORDENES'!$S$4:$S$1203,"correctiva")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1">
        <f>IF(N56="","",IF(N56+7&gt;MAX('ORDENES'!$J$4:$J$1203),"",N56+7))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TERCERO</t>
        </is>
      </c>
      <c r="B58" s="3">
        <f>$O$14</f>
        <v/>
      </c>
      <c r="C58" s="17">
        <f>SUMIFS('ASIGNACIONES'!$H$4:$H$339,'ASIGNACIONES'!$E$4:$E$339,$A58,'ASIGNACIONES'!$A$4:$A$339,$B58)</f>
        <v/>
      </c>
      <c r="D58" s="17">
        <f>C58*p_factor_productividad</f>
        <v/>
      </c>
      <c r="E58" s="17">
        <f>SUMIFS('ORDENES'!$M$4:$M$1203,'ORDENES'!$W$4:$W$1203,$A58,'ORDENES'!$O$4:$O$1203,$B58,'ORDENES'!$S$4:$S$1203,"preventiva")</f>
        <v/>
      </c>
      <c r="F58" s="17">
        <f>SUMIFS('ORDENES'!$M$4:$M$1203,'ORDENES'!$W$4:$W$1203,$A58,'ORDENES'!$O$4:$O$1203,$B58,'ORDENES'!$S$4:$S$1203,"correctiva")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1">
        <f>IF(N57="","",IF(N57+7&gt;MAX('ORDENES'!$J$4:$J$1203),"",N57+7))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MEC</t>
        </is>
      </c>
      <c r="B59" s="3">
        <f>$O$15</f>
        <v/>
      </c>
      <c r="C59" s="17">
        <f>SUMIFS('ASIGNACIONES'!$H$4:$H$339,'ASIGNACIONES'!$E$4:$E$339,$A59,'ASIGNACIONES'!$A$4:$A$339,$B59)</f>
        <v/>
      </c>
      <c r="D59" s="17">
        <f>C59*p_factor_productividad</f>
        <v/>
      </c>
      <c r="E59" s="17">
        <f>SUMIFS('ORDENES'!$M$4:$M$1203,'ORDENES'!$W$4:$W$1203,$A59,'ORDENES'!$O$4:$O$1203,$B59,'ORDENES'!$S$4:$S$1203,"preventiva")</f>
        <v/>
      </c>
      <c r="F59" s="17">
        <f>SUMIFS('ORDENES'!$M$4:$M$1203,'ORDENES'!$W$4:$W$1203,$A59,'ORDENES'!$O$4:$O$1203,$B59,'ORDENES'!$S$4:$S$1203,"correctiva")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1">
        <f>IF(N58="","",IF(N58+7&gt;MAX('ORDENES'!$J$4:$J$1203),"",N58+7))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ELE</t>
        </is>
      </c>
      <c r="B60" s="3">
        <f>$O$15</f>
        <v/>
      </c>
      <c r="C60" s="17">
        <f>SUMIFS('ASIGNACIONES'!$H$4:$H$339,'ASIGNACIONES'!$E$4:$E$339,$A60,'ASIGNACIONES'!$A$4:$A$339,$B60)</f>
        <v/>
      </c>
      <c r="D60" s="17">
        <f>C60*p_factor_productividad</f>
        <v/>
      </c>
      <c r="E60" s="17">
        <f>SUMIFS('ORDENES'!$M$4:$M$1203,'ORDENES'!$W$4:$W$1203,$A60,'ORDENES'!$O$4:$O$1203,$B60,'ORDENES'!$S$4:$S$1203,"preventiva")</f>
        <v/>
      </c>
      <c r="F60" s="17">
        <f>SUMIFS('ORDENES'!$M$4:$M$1203,'ORDENES'!$W$4:$W$1203,$A60,'ORDENES'!$O$4:$O$1203,$B60,'ORDENES'!$S$4:$S$1203,"correctiva")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1">
        <f>IF(N59="","",IF(N59+7&gt;MAX('ORDENES'!$J$4:$J$1203),"",N59+7))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AUT</t>
        </is>
      </c>
      <c r="B61" s="3">
        <f>$O$15</f>
        <v/>
      </c>
      <c r="C61" s="17">
        <f>SUMIFS('ASIGNACIONES'!$H$4:$H$339,'ASIGNACIONES'!$E$4:$E$339,$A61,'ASIGNACIONES'!$A$4:$A$339,$B61)</f>
        <v/>
      </c>
      <c r="D61" s="17">
        <f>C61*p_factor_productividad</f>
        <v/>
      </c>
      <c r="E61" s="17">
        <f>SUMIFS('ORDENES'!$M$4:$M$1203,'ORDENES'!$W$4:$W$1203,$A61,'ORDENES'!$O$4:$O$1203,$B61,'ORDENES'!$S$4:$S$1203,"preventiva")</f>
        <v/>
      </c>
      <c r="F61" s="17">
        <f>SUMIFS('ORDENES'!$M$4:$M$1203,'ORDENES'!$W$4:$W$1203,$A61,'ORDENES'!$O$4:$O$1203,$B61,'ORDENES'!$S$4:$S$1203,"correctiva")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1">
        <f>IF(N60="","",IF(N60+7&gt;MAX('ORDENES'!$J$4:$J$1203),"",N60+7))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OP</t>
        </is>
      </c>
      <c r="B62" s="3">
        <f>$O$15</f>
        <v/>
      </c>
      <c r="C62" s="17">
        <f>SUMIFS('ASIGNACIONES'!$H$4:$H$339,'ASIGNACIONES'!$E$4:$E$339,$A62,'ASIGNACIONES'!$A$4:$A$339,$B62)</f>
        <v/>
      </c>
      <c r="D62" s="17">
        <f>C62*p_factor_productividad</f>
        <v/>
      </c>
      <c r="E62" s="17">
        <f>SUMIFS('ORDENES'!$M$4:$M$1203,'ORDENES'!$W$4:$W$1203,$A62,'ORDENES'!$O$4:$O$1203,$B62,'ORDENES'!$S$4:$S$1203,"preventiva")</f>
        <v/>
      </c>
      <c r="F62" s="17">
        <f>SUMIFS('ORDENES'!$M$4:$M$1203,'ORDENES'!$W$4:$W$1203,$A62,'ORDENES'!$O$4:$O$1203,$B62,'ORDENES'!$S$4:$S$1203,"correctiva")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1">
        <f>IF(N61="","",IF(N61+7&gt;MAX('ORDENES'!$J$4:$J$1203),"",N61+7))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$O$15</f>
        <v/>
      </c>
      <c r="C63" s="17">
        <f>SUMIFS('ASIGNACIONES'!$H$4:$H$339,'ASIGNACIONES'!$E$4:$E$339,$A63,'ASIGNACIONES'!$A$4:$A$339,$B63)</f>
        <v/>
      </c>
      <c r="D63" s="17">
        <f>C63*p_factor_productividad</f>
        <v/>
      </c>
      <c r="E63" s="17">
        <f>SUMIFS('ORDENES'!$M$4:$M$1203,'ORDENES'!$W$4:$W$1203,$A63,'ORDENES'!$O$4:$O$1203,$B63,'ORDENES'!$S$4:$S$1203,"preventiva")</f>
        <v/>
      </c>
      <c r="F63" s="17">
        <f>SUMIFS('ORDENES'!$M$4:$M$1203,'ORDENES'!$W$4:$W$1203,$A63,'ORDENES'!$O$4:$O$1203,$B63,'ORDENES'!$S$4:$S$1203,"correctiva")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1">
        <f>IF(N62="","",IF(N62+7&gt;MAX('ORDENES'!$J$4:$J$1203),"",N62+7))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$O$16</f>
        <v/>
      </c>
      <c r="C64" s="17">
        <f>SUMIFS('ASIGNACIONES'!$H$4:$H$339,'ASIGNACIONES'!$E$4:$E$339,$A64,'ASIGNACIONES'!$A$4:$A$339,$B64)</f>
        <v/>
      </c>
      <c r="D64" s="17">
        <f>C64*p_factor_productividad</f>
        <v/>
      </c>
      <c r="E64" s="17">
        <f>SUMIFS('ORDENES'!$M$4:$M$1203,'ORDENES'!$W$4:$W$1203,$A64,'ORDENES'!$O$4:$O$1203,$B64,'ORDENES'!$S$4:$S$1203,"preventiva")</f>
        <v/>
      </c>
      <c r="F64" s="17">
        <f>SUMIFS('ORDENES'!$M$4:$M$1203,'ORDENES'!$W$4:$W$1203,$A64,'ORDENES'!$O$4:$O$1203,$B64,'ORDENES'!$S$4:$S$1203,"correctiva")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$O$16</f>
        <v/>
      </c>
      <c r="C65" s="17">
        <f>SUMIFS('ASIGNACIONES'!$H$4:$H$339,'ASIGNACIONES'!$E$4:$E$339,$A65,'ASIGNACIONES'!$A$4:$A$339,$B65)</f>
        <v/>
      </c>
      <c r="D65" s="17">
        <f>C65*p_factor_productividad</f>
        <v/>
      </c>
      <c r="E65" s="17">
        <f>SUMIFS('ORDENES'!$M$4:$M$1203,'ORDENES'!$W$4:$W$1203,$A65,'ORDENES'!$O$4:$O$1203,$B65,'ORDENES'!$S$4:$S$1203,"preventiva")</f>
        <v/>
      </c>
      <c r="F65" s="17">
        <f>SUMIFS('ORDENES'!$M$4:$M$1203,'ORDENES'!$W$4:$W$1203,$A65,'ORDENES'!$O$4:$O$1203,$B65,'ORDENES'!$S$4:$S$1203,"correctiva")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$O$16</f>
        <v/>
      </c>
      <c r="C66" s="17">
        <f>SUMIFS('ASIGNACIONES'!$H$4:$H$339,'ASIGNACIONES'!$E$4:$E$339,$A66,'ASIGNACIONES'!$A$4:$A$339,$B66)</f>
        <v/>
      </c>
      <c r="D66" s="17">
        <f>C66*p_factor_productividad</f>
        <v/>
      </c>
      <c r="E66" s="17">
        <f>SUMIFS('ORDENES'!$M$4:$M$1203,'ORDENES'!$W$4:$W$1203,$A66,'ORDENES'!$O$4:$O$1203,$B66,'ORDENES'!$S$4:$S$1203,"preventiva")</f>
        <v/>
      </c>
      <c r="F66" s="17">
        <f>SUMIFS('ORDENES'!$M$4:$M$1203,'ORDENES'!$W$4:$W$1203,$A66,'ORDENES'!$O$4:$O$1203,$B66,'ORDENES'!$S$4:$S$1203,"correctiva")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OP</t>
        </is>
      </c>
      <c r="B67" s="3">
        <f>$O$16</f>
        <v/>
      </c>
      <c r="C67" s="17">
        <f>SUMIFS('ASIGNACIONES'!$H$4:$H$339,'ASIGNACIONES'!$E$4:$E$339,$A67,'ASIGNACIONES'!$A$4:$A$339,$B67)</f>
        <v/>
      </c>
      <c r="D67" s="17">
        <f>C67*p_factor_productividad</f>
        <v/>
      </c>
      <c r="E67" s="17">
        <f>SUMIFS('ORDENES'!$M$4:$M$1203,'ORDENES'!$W$4:$W$1203,$A67,'ORDENES'!$O$4:$O$1203,$B67,'ORDENES'!$S$4:$S$1203,"preventiva")</f>
        <v/>
      </c>
      <c r="F67" s="17">
        <f>SUMIFS('ORDENES'!$M$4:$M$1203,'ORDENES'!$W$4:$W$1203,$A67,'ORDENES'!$O$4:$O$1203,$B67,'ORDENES'!$S$4:$S$1203,"correctiva")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TERCERO</t>
        </is>
      </c>
      <c r="B68" s="3">
        <f>$O$16</f>
        <v/>
      </c>
      <c r="C68" s="17">
        <f>SUMIFS('ASIGNACIONES'!$H$4:$H$339,'ASIGNACIONES'!$E$4:$E$339,$A68,'ASIGNACIONES'!$A$4:$A$339,$B68)</f>
        <v/>
      </c>
      <c r="D68" s="17">
        <f>C68*p_factor_productividad</f>
        <v/>
      </c>
      <c r="E68" s="17">
        <f>SUMIFS('ORDENES'!$M$4:$M$1203,'ORDENES'!$W$4:$W$1203,$A68,'ORDENES'!$O$4:$O$1203,$B68,'ORDENES'!$S$4:$S$1203,"preventiva")</f>
        <v/>
      </c>
      <c r="F68" s="17">
        <f>SUMIFS('ORDENES'!$M$4:$M$1203,'ORDENES'!$W$4:$W$1203,$A68,'ORDENES'!$O$4:$O$1203,$B68,'ORDENES'!$S$4:$S$1203,"correctiva")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MEC</t>
        </is>
      </c>
      <c r="B69" s="3">
        <f>$O$17</f>
        <v/>
      </c>
      <c r="C69" s="17">
        <f>SUMIFS('ASIGNACIONES'!$H$4:$H$339,'ASIGNACIONES'!$E$4:$E$339,$A69,'ASIGNACIONES'!$A$4:$A$339,$B69)</f>
        <v/>
      </c>
      <c r="D69" s="17">
        <f>C69*p_factor_productividad</f>
        <v/>
      </c>
      <c r="E69" s="17">
        <f>SUMIFS('ORDENES'!$M$4:$M$1203,'ORDENES'!$W$4:$W$1203,$A69,'ORDENES'!$O$4:$O$1203,$B69,'ORDENES'!$S$4:$S$1203,"preventiva")</f>
        <v/>
      </c>
      <c r="F69" s="17">
        <f>SUMIFS('ORDENES'!$M$4:$M$1203,'ORDENES'!$W$4:$W$1203,$A69,'ORDENES'!$O$4:$O$1203,$B69,'ORDENES'!$S$4:$S$1203,"correctiva")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ELE</t>
        </is>
      </c>
      <c r="B70" s="3">
        <f>$O$17</f>
        <v/>
      </c>
      <c r="C70" s="17">
        <f>SUMIFS('ASIGNACIONES'!$H$4:$H$339,'ASIGNACIONES'!$E$4:$E$339,$A70,'ASIGNACIONES'!$A$4:$A$339,$B70)</f>
        <v/>
      </c>
      <c r="D70" s="17">
        <f>C70*p_factor_productividad</f>
        <v/>
      </c>
      <c r="E70" s="17">
        <f>SUMIFS('ORDENES'!$M$4:$M$1203,'ORDENES'!$W$4:$W$1203,$A70,'ORDENES'!$O$4:$O$1203,$B70,'ORDENES'!$S$4:$S$1203,"preventiva")</f>
        <v/>
      </c>
      <c r="F70" s="17">
        <f>SUMIFS('ORDENES'!$M$4:$M$1203,'ORDENES'!$W$4:$W$1203,$A70,'ORDENES'!$O$4:$O$1203,$B70,'ORDENES'!$S$4:$S$1203,"correctiva")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AUT</t>
        </is>
      </c>
      <c r="B71" s="3">
        <f>$O$17</f>
        <v/>
      </c>
      <c r="C71" s="17">
        <f>SUMIFS('ASIGNACIONES'!$H$4:$H$339,'ASIGNACIONES'!$E$4:$E$339,$A71,'ASIGNACIONES'!$A$4:$A$339,$B71)</f>
        <v/>
      </c>
      <c r="D71" s="17">
        <f>C71*p_factor_productividad</f>
        <v/>
      </c>
      <c r="E71" s="17">
        <f>SUMIFS('ORDENES'!$M$4:$M$1203,'ORDENES'!$W$4:$W$1203,$A71,'ORDENES'!$O$4:$O$1203,$B71,'ORDENES'!$S$4:$S$1203,"preventiva")</f>
        <v/>
      </c>
      <c r="F71" s="17">
        <f>SUMIFS('ORDENES'!$M$4:$M$1203,'ORDENES'!$W$4:$W$1203,$A71,'ORDENES'!$O$4:$O$1203,$B71,'ORDENES'!$S$4:$S$1203,"correctiva")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>
      <c r="A72" s="3" t="inlineStr">
        <is>
          <t>OP</t>
        </is>
      </c>
      <c r="B72" s="3">
        <f>$O$17</f>
        <v/>
      </c>
      <c r="C72" s="17">
        <f>SUMIFS('ASIGNACIONES'!$H$4:$H$339,'ASIGNACIONES'!$E$4:$E$339,$A72,'ASIGNACIONES'!$A$4:$A$339,$B72)</f>
        <v/>
      </c>
      <c r="D72" s="17">
        <f>C72*p_factor_productividad</f>
        <v/>
      </c>
      <c r="E72" s="17">
        <f>SUMIFS('ORDENES'!$M$4:$M$1203,'ORDENES'!$W$4:$W$1203,$A72,'ORDENES'!$O$4:$O$1203,$B72,'ORDENES'!$S$4:$S$1203,"preventiva")</f>
        <v/>
      </c>
      <c r="F72" s="17">
        <f>SUMIFS('ORDENES'!$M$4:$M$1203,'ORDENES'!$W$4:$W$1203,$A72,'ORDENES'!$O$4:$O$1203,$B72,'ORDENES'!$S$4:$S$1203,"correctiva")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>
      <c r="A73" s="3" t="inlineStr">
        <is>
          <t>TERCERO</t>
        </is>
      </c>
      <c r="B73" s="3">
        <f>$O$17</f>
        <v/>
      </c>
      <c r="C73" s="17">
        <f>SUMIFS('ASIGNACIONES'!$H$4:$H$339,'ASIGNACIONES'!$E$4:$E$339,$A73,'ASIGNACIONES'!$A$4:$A$339,$B73)</f>
        <v/>
      </c>
      <c r="D73" s="17">
        <f>C73*p_factor_productividad</f>
        <v/>
      </c>
      <c r="E73" s="17">
        <f>SUMIFS('ORDENES'!$M$4:$M$1203,'ORDENES'!$W$4:$W$1203,$A73,'ORDENES'!$O$4:$O$1203,$B73,'ORDENES'!$S$4:$S$1203,"preventiva")</f>
        <v/>
      </c>
      <c r="F73" s="17">
        <f>SUMIFS('ORDENES'!$M$4:$M$1203,'ORDENES'!$W$4:$W$1203,$A73,'ORDENES'!$O$4:$O$1203,$B73,'ORDENES'!$S$4:$S$1203,"correctiva")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>
      <c r="A74" s="3" t="inlineStr">
        <is>
          <t>MEC</t>
        </is>
      </c>
      <c r="B74" s="3">
        <f>$O$18</f>
        <v/>
      </c>
      <c r="C74" s="17">
        <f>SUMIFS('ASIGNACIONES'!$H$4:$H$339,'ASIGNACIONES'!$E$4:$E$339,$A74,'ASIGNACIONES'!$A$4:$A$339,$B74)</f>
        <v/>
      </c>
      <c r="D74" s="17">
        <f>C74*p_factor_productividad</f>
        <v/>
      </c>
      <c r="E74" s="17">
        <f>SUMIFS('ORDENES'!$M$4:$M$1203,'ORDENES'!$W$4:$W$1203,$A74,'ORDENES'!$O$4:$O$1203,$B74,'ORDENES'!$S$4:$S$1203,"preventiva")</f>
        <v/>
      </c>
      <c r="F74" s="17">
        <f>SUMIFS('ORDENES'!$M$4:$M$1203,'ORDENES'!$W$4:$W$1203,$A74,'ORDENES'!$O$4:$O$1203,$B74,'ORDENES'!$S$4:$S$1203,"correctiva")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>
      <c r="A75" s="3" t="inlineStr">
        <is>
          <t>ELE</t>
        </is>
      </c>
      <c r="B75" s="3">
        <f>$O$18</f>
        <v/>
      </c>
      <c r="C75" s="17">
        <f>SUMIFS('ASIGNACIONES'!$H$4:$H$339,'ASIGNACIONES'!$E$4:$E$339,$A75,'ASIGNACIONES'!$A$4:$A$339,$B75)</f>
        <v/>
      </c>
      <c r="D75" s="17">
        <f>C75*p_factor_productividad</f>
        <v/>
      </c>
      <c r="E75" s="17">
        <f>SUMIFS('ORDENES'!$M$4:$M$1203,'ORDENES'!$W$4:$W$1203,$A75,'ORDENES'!$O$4:$O$1203,$B75,'ORDENES'!$S$4:$S$1203,"preventiva")</f>
        <v/>
      </c>
      <c r="F75" s="17">
        <f>SUMIFS('ORDENES'!$M$4:$M$1203,'ORDENES'!$W$4:$W$1203,$A75,'ORDENES'!$O$4:$O$1203,$B75,'ORDENES'!$S$4:$S$1203,"correctiva")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>
      <c r="A76" s="3" t="inlineStr">
        <is>
          <t>AUT</t>
        </is>
      </c>
      <c r="B76" s="3">
        <f>$O$18</f>
        <v/>
      </c>
      <c r="C76" s="17">
        <f>SUMIFS('ASIGNACIONES'!$H$4:$H$339,'ASIGNACIONES'!$E$4:$E$339,$A76,'ASIGNACIONES'!$A$4:$A$339,$B76)</f>
        <v/>
      </c>
      <c r="D76" s="17">
        <f>C76*p_factor_productividad</f>
        <v/>
      </c>
      <c r="E76" s="17">
        <f>SUMIFS('ORDENES'!$M$4:$M$1203,'ORDENES'!$W$4:$W$1203,$A76,'ORDENES'!$O$4:$O$1203,$B76,'ORDENES'!$S$4:$S$1203,"preventiva")</f>
        <v/>
      </c>
      <c r="F76" s="17">
        <f>SUMIFS('ORDENES'!$M$4:$M$1203,'ORDENES'!$W$4:$W$1203,$A76,'ORDENES'!$O$4:$O$1203,$B76,'ORDENES'!$S$4:$S$1203,"correctiva")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>
      <c r="A77" s="3" t="inlineStr">
        <is>
          <t>OP</t>
        </is>
      </c>
      <c r="B77" s="3">
        <f>$O$18</f>
        <v/>
      </c>
      <c r="C77" s="17">
        <f>SUMIFS('ASIGNACIONES'!$H$4:$H$339,'ASIGNACIONES'!$E$4:$E$339,$A77,'ASIGNACIONES'!$A$4:$A$339,$B77)</f>
        <v/>
      </c>
      <c r="D77" s="17">
        <f>C77*p_factor_productividad</f>
        <v/>
      </c>
      <c r="E77" s="17">
        <f>SUMIFS('ORDENES'!$M$4:$M$1203,'ORDENES'!$W$4:$W$1203,$A77,'ORDENES'!$O$4:$O$1203,$B77,'ORDENES'!$S$4:$S$1203,"preventiva")</f>
        <v/>
      </c>
      <c r="F77" s="17">
        <f>SUMIFS('ORDENES'!$M$4:$M$1203,'ORDENES'!$W$4:$W$1203,$A77,'ORDENES'!$O$4:$O$1203,$B77,'ORDENES'!$S$4:$S$1203,"correctiva")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>
      <c r="A78" s="3" t="inlineStr">
        <is>
          <t>TERCERO</t>
        </is>
      </c>
      <c r="B78" s="3">
        <f>$O$18</f>
        <v/>
      </c>
      <c r="C78" s="17">
        <f>SUMIFS('ASIGNACIONES'!$H$4:$H$339,'ASIGNACIONES'!$E$4:$E$339,$A78,'ASIGNACIONES'!$A$4:$A$339,$B78)</f>
        <v/>
      </c>
      <c r="D78" s="17">
        <f>C78*p_factor_productividad</f>
        <v/>
      </c>
      <c r="E78" s="17">
        <f>SUMIFS('ORDENES'!$M$4:$M$1203,'ORDENES'!$W$4:$W$1203,$A78,'ORDENES'!$O$4:$O$1203,$B78,'ORDENES'!$S$4:$S$1203,"preventiva")</f>
        <v/>
      </c>
      <c r="F78" s="17">
        <f>SUMIFS('ORDENES'!$M$4:$M$1203,'ORDENES'!$W$4:$W$1203,$A78,'ORDENES'!$O$4:$O$1203,$B78,'ORDENES'!$S$4:$S$1203,"correctiva")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>
      <c r="A79" s="3" t="inlineStr">
        <is>
          <t>MEC</t>
        </is>
      </c>
      <c r="B79" s="3">
        <f>$O$19</f>
        <v/>
      </c>
      <c r="C79" s="17">
        <f>SUMIFS('ASIGNACIONES'!$H$4:$H$339,'ASIGNACIONES'!$E$4:$E$339,$A79,'ASIGNACIONES'!$A$4:$A$339,$B79)</f>
        <v/>
      </c>
      <c r="D79" s="17">
        <f>C79*p_factor_productividad</f>
        <v/>
      </c>
      <c r="E79" s="17">
        <f>SUMIFS('ORDENES'!$M$4:$M$1203,'ORDENES'!$W$4:$W$1203,$A79,'ORDENES'!$O$4:$O$1203,$B79,'ORDENES'!$S$4:$S$1203,"preventiva")</f>
        <v/>
      </c>
      <c r="F79" s="17">
        <f>SUMIFS('ORDENES'!$M$4:$M$1203,'ORDENES'!$W$4:$W$1203,$A79,'ORDENES'!$O$4:$O$1203,$B79,'ORDENES'!$S$4:$S$1203,"correctiva")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>
      <c r="A80" s="3" t="inlineStr">
        <is>
          <t>ELE</t>
        </is>
      </c>
      <c r="B80" s="3">
        <f>$O$19</f>
        <v/>
      </c>
      <c r="C80" s="17">
        <f>SUMIFS('ASIGNACIONES'!$H$4:$H$339,'ASIGNACIONES'!$E$4:$E$339,$A80,'ASIGNACIONES'!$A$4:$A$339,$B80)</f>
        <v/>
      </c>
      <c r="D80" s="17">
        <f>C80*p_factor_productividad</f>
        <v/>
      </c>
      <c r="E80" s="17">
        <f>SUMIFS('ORDENES'!$M$4:$M$1203,'ORDENES'!$W$4:$W$1203,$A80,'ORDENES'!$O$4:$O$1203,$B80,'ORDENES'!$S$4:$S$1203,"preventiva")</f>
        <v/>
      </c>
      <c r="F80" s="17">
        <f>SUMIFS('ORDENES'!$M$4:$M$1203,'ORDENES'!$W$4:$W$1203,$A80,'ORDENES'!$O$4:$O$1203,$B80,'ORDENES'!$S$4:$S$1203,"correctiva")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>
      <c r="A81" s="3" t="inlineStr">
        <is>
          <t>AUT</t>
        </is>
      </c>
      <c r="B81" s="3">
        <f>$O$19</f>
        <v/>
      </c>
      <c r="C81" s="17">
        <f>SUMIFS('ASIGNACIONES'!$H$4:$H$339,'ASIGNACIONES'!$E$4:$E$339,$A81,'ASIGNACIONES'!$A$4:$A$339,$B81)</f>
        <v/>
      </c>
      <c r="D81" s="17">
        <f>C81*p_factor_productividad</f>
        <v/>
      </c>
      <c r="E81" s="17">
        <f>SUMIFS('ORDENES'!$M$4:$M$1203,'ORDENES'!$W$4:$W$1203,$A81,'ORDENES'!$O$4:$O$1203,$B81,'ORDENES'!$S$4:$S$1203,"preventiva")</f>
        <v/>
      </c>
      <c r="F81" s="17">
        <f>SUMIFS('ORDENES'!$M$4:$M$1203,'ORDENES'!$W$4:$W$1203,$A81,'ORDENES'!$O$4:$O$1203,$B81,'ORDENES'!$S$4:$S$1203,"correctiva")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>
      <c r="A82" s="3" t="inlineStr">
        <is>
          <t>OP</t>
        </is>
      </c>
      <c r="B82" s="3">
        <f>$O$19</f>
        <v/>
      </c>
      <c r="C82" s="17">
        <f>SUMIFS('ASIGNACIONES'!$H$4:$H$339,'ASIGNACIONES'!$E$4:$E$339,$A82,'ASIGNACIONES'!$A$4:$A$339,$B82)</f>
        <v/>
      </c>
      <c r="D82" s="17">
        <f>C82*p_factor_productividad</f>
        <v/>
      </c>
      <c r="E82" s="17">
        <f>SUMIFS('ORDENES'!$M$4:$M$1203,'ORDENES'!$W$4:$W$1203,$A82,'ORDENES'!$O$4:$O$1203,$B82,'ORDENES'!$S$4:$S$1203,"preventiva")</f>
        <v/>
      </c>
      <c r="F82" s="17">
        <f>SUMIFS('ORDENES'!$M$4:$M$1203,'ORDENES'!$W$4:$W$1203,$A82,'ORDENES'!$O$4:$O$1203,$B82,'ORDENES'!$S$4:$S$1203,"correctiva")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>
      <c r="A83" s="3" t="inlineStr">
        <is>
          <t>TERCERO</t>
        </is>
      </c>
      <c r="B83" s="3">
        <f>$O$19</f>
        <v/>
      </c>
      <c r="C83" s="17">
        <f>SUMIFS('ASIGNACIONES'!$H$4:$H$339,'ASIGNACIONES'!$E$4:$E$339,$A83,'ASIGNACIONES'!$A$4:$A$339,$B83)</f>
        <v/>
      </c>
      <c r="D83" s="17">
        <f>C83*p_factor_productividad</f>
        <v/>
      </c>
      <c r="E83" s="17">
        <f>SUMIFS('ORDENES'!$M$4:$M$1203,'ORDENES'!$W$4:$W$1203,$A83,'ORDENES'!$O$4:$O$1203,$B83,'ORDENES'!$S$4:$S$1203,"preventiva")</f>
        <v/>
      </c>
      <c r="F83" s="17">
        <f>SUMIFS('ORDENES'!$M$4:$M$1203,'ORDENES'!$W$4:$W$1203,$A83,'ORDENES'!$O$4:$O$1203,$B83,'ORDENES'!$S$4:$S$1203,"correctiva")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>
      <c r="A84" s="3" t="inlineStr">
        <is>
          <t>MEC</t>
        </is>
      </c>
      <c r="B84" s="3">
        <f>$O$20</f>
        <v/>
      </c>
      <c r="C84" s="17">
        <f>SUMIFS('ASIGNACIONES'!$H$4:$H$339,'ASIGNACIONES'!$E$4:$E$339,$A84,'ASIGNACIONES'!$A$4:$A$339,$B84)</f>
        <v/>
      </c>
      <c r="D84" s="17">
        <f>C84*p_factor_productividad</f>
        <v/>
      </c>
      <c r="E84" s="17">
        <f>SUMIFS('ORDENES'!$M$4:$M$1203,'ORDENES'!$W$4:$W$1203,$A84,'ORDENES'!$O$4:$O$1203,$B84,'ORDENES'!$S$4:$S$1203,"preventiva")</f>
        <v/>
      </c>
      <c r="F84" s="17">
        <f>SUMIFS('ORDENES'!$M$4:$M$1203,'ORDENES'!$W$4:$W$1203,$A84,'ORDENES'!$O$4:$O$1203,$B84,'ORDENES'!$S$4:$S$1203,"correctiva")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>
      <c r="A85" s="3" t="inlineStr">
        <is>
          <t>ELE</t>
        </is>
      </c>
      <c r="B85" s="3">
        <f>$O$20</f>
        <v/>
      </c>
      <c r="C85" s="17">
        <f>SUMIFS('ASIGNACIONES'!$H$4:$H$339,'ASIGNACIONES'!$E$4:$E$339,$A85,'ASIGNACIONES'!$A$4:$A$339,$B85)</f>
        <v/>
      </c>
      <c r="D85" s="17">
        <f>C85*p_factor_productividad</f>
        <v/>
      </c>
      <c r="E85" s="17">
        <f>SUMIFS('ORDENES'!$M$4:$M$1203,'ORDENES'!$W$4:$W$1203,$A85,'ORDENES'!$O$4:$O$1203,$B85,'ORDENES'!$S$4:$S$1203,"preventiva")</f>
        <v/>
      </c>
      <c r="F85" s="17">
        <f>SUMIFS('ORDENES'!$M$4:$M$1203,'ORDENES'!$W$4:$W$1203,$A85,'ORDENES'!$O$4:$O$1203,$B85,'ORDENES'!$S$4:$S$1203,"correctiva")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>
      <c r="A86" s="3" t="inlineStr">
        <is>
          <t>AUT</t>
        </is>
      </c>
      <c r="B86" s="3">
        <f>$O$20</f>
        <v/>
      </c>
      <c r="C86" s="17">
        <f>SUMIFS('ASIGNACIONES'!$H$4:$H$339,'ASIGNACIONES'!$E$4:$E$339,$A86,'ASIGNACIONES'!$A$4:$A$339,$B86)</f>
        <v/>
      </c>
      <c r="D86" s="17">
        <f>C86*p_factor_productividad</f>
        <v/>
      </c>
      <c r="E86" s="17">
        <f>SUMIFS('ORDENES'!$M$4:$M$1203,'ORDENES'!$W$4:$W$1203,$A86,'ORDENES'!$O$4:$O$1203,$B86,'ORDENES'!$S$4:$S$1203,"preventiva")</f>
        <v/>
      </c>
      <c r="F86" s="17">
        <f>SUMIFS('ORDENES'!$M$4:$M$1203,'ORDENES'!$W$4:$W$1203,$A86,'ORDENES'!$O$4:$O$1203,$B86,'ORDENES'!$S$4:$S$1203,"correctiva")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>
      <c r="A87" s="3" t="inlineStr">
        <is>
          <t>OP</t>
        </is>
      </c>
      <c r="B87" s="3">
        <f>$O$20</f>
        <v/>
      </c>
      <c r="C87" s="17">
        <f>SUMIFS('ASIGNACIONES'!$H$4:$H$339,'ASIGNACIONES'!$E$4:$E$339,$A87,'ASIGNACIONES'!$A$4:$A$339,$B87)</f>
        <v/>
      </c>
      <c r="D87" s="17">
        <f>C87*p_factor_productividad</f>
        <v/>
      </c>
      <c r="E87" s="17">
        <f>SUMIFS('ORDENES'!$M$4:$M$1203,'ORDENES'!$W$4:$W$1203,$A87,'ORDENES'!$O$4:$O$1203,$B87,'ORDENES'!$S$4:$S$1203,"preventiva")</f>
        <v/>
      </c>
      <c r="F87" s="17">
        <f>SUMIFS('ORDENES'!$M$4:$M$1203,'ORDENES'!$W$4:$W$1203,$A87,'ORDENES'!$O$4:$O$1203,$B87,'ORDENES'!$S$4:$S$1203,"correctiva")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TERCERO</t>
        </is>
      </c>
      <c r="B88" s="3">
        <f>$O$20</f>
        <v/>
      </c>
      <c r="C88" s="17">
        <f>SUMIFS('ASIGNACIONES'!$H$4:$H$339,'ASIGNACIONES'!$E$4:$E$339,$A88,'ASIGNACIONES'!$A$4:$A$339,$B88)</f>
        <v/>
      </c>
      <c r="D88" s="17">
        <f>C88*p_factor_productividad</f>
        <v/>
      </c>
      <c r="E88" s="17">
        <f>SUMIFS('ORDENES'!$M$4:$M$1203,'ORDENES'!$W$4:$W$1203,$A88,'ORDENES'!$O$4:$O$1203,$B88,'ORDENES'!$S$4:$S$1203,"preventiva")</f>
        <v/>
      </c>
      <c r="F88" s="17">
        <f>SUMIFS('ORDENES'!$M$4:$M$1203,'ORDENES'!$W$4:$W$1203,$A88,'ORDENES'!$O$4:$O$1203,$B88,'ORDENES'!$S$4:$S$1203,"correctiva")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MEC</t>
        </is>
      </c>
      <c r="B89" s="3">
        <f>$O$21</f>
        <v/>
      </c>
      <c r="C89" s="17">
        <f>SUMIFS('ASIGNACIONES'!$H$4:$H$339,'ASIGNACIONES'!$E$4:$E$339,$A89,'ASIGNACIONES'!$A$4:$A$339,$B89)</f>
        <v/>
      </c>
      <c r="D89" s="17">
        <f>C89*p_factor_productividad</f>
        <v/>
      </c>
      <c r="E89" s="17">
        <f>SUMIFS('ORDENES'!$M$4:$M$1203,'ORDENES'!$W$4:$W$1203,$A89,'ORDENES'!$O$4:$O$1203,$B89,'ORDENES'!$S$4:$S$1203,"preventiva")</f>
        <v/>
      </c>
      <c r="F89" s="17">
        <f>SUMIFS('ORDENES'!$M$4:$M$1203,'ORDENES'!$W$4:$W$1203,$A89,'ORDENES'!$O$4:$O$1203,$B89,'ORDENES'!$S$4:$S$1203,"correctiva")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ELE</t>
        </is>
      </c>
      <c r="B90" s="3">
        <f>$O$21</f>
        <v/>
      </c>
      <c r="C90" s="17">
        <f>SUMIFS('ASIGNACIONES'!$H$4:$H$339,'ASIGNACIONES'!$E$4:$E$339,$A90,'ASIGNACIONES'!$A$4:$A$339,$B90)</f>
        <v/>
      </c>
      <c r="D90" s="17">
        <f>C90*p_factor_productividad</f>
        <v/>
      </c>
      <c r="E90" s="17">
        <f>SUMIFS('ORDENES'!$M$4:$M$1203,'ORDENES'!$W$4:$W$1203,$A90,'ORDENES'!$O$4:$O$1203,$B90,'ORDENES'!$S$4:$S$1203,"preventiva")</f>
        <v/>
      </c>
      <c r="F90" s="17">
        <f>SUMIFS('ORDENES'!$M$4:$M$1203,'ORDENES'!$W$4:$W$1203,$A90,'ORDENES'!$O$4:$O$1203,$B90,'ORDENES'!$S$4:$S$1203,"correctiva")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AUT</t>
        </is>
      </c>
      <c r="B91" s="3">
        <f>$O$21</f>
        <v/>
      </c>
      <c r="C91" s="17">
        <f>SUMIFS('ASIGNACIONES'!$H$4:$H$339,'ASIGNACIONES'!$E$4:$E$339,$A91,'ASIGNACIONES'!$A$4:$A$339,$B91)</f>
        <v/>
      </c>
      <c r="D91" s="17">
        <f>C91*p_factor_productividad</f>
        <v/>
      </c>
      <c r="E91" s="17">
        <f>SUMIFS('ORDENES'!$M$4:$M$1203,'ORDENES'!$W$4:$W$1203,$A91,'ORDENES'!$O$4:$O$1203,$B91,'ORDENES'!$S$4:$S$1203,"preventiva")</f>
        <v/>
      </c>
      <c r="F91" s="17">
        <f>SUMIFS('ORDENES'!$M$4:$M$1203,'ORDENES'!$W$4:$W$1203,$A91,'ORDENES'!$O$4:$O$1203,$B91,'ORDENES'!$S$4:$S$1203,"correctiva")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OP</t>
        </is>
      </c>
      <c r="B92" s="3">
        <f>$O$21</f>
        <v/>
      </c>
      <c r="C92" s="17">
        <f>SUMIFS('ASIGNACIONES'!$H$4:$H$339,'ASIGNACIONES'!$E$4:$E$339,$A92,'ASIGNACIONES'!$A$4:$A$339,$B92)</f>
        <v/>
      </c>
      <c r="D92" s="17">
        <f>C92*p_factor_productividad</f>
        <v/>
      </c>
      <c r="E92" s="17">
        <f>SUMIFS('ORDENES'!$M$4:$M$1203,'ORDENES'!$W$4:$W$1203,$A92,'ORDENES'!$O$4:$O$1203,$B92,'ORDENES'!$S$4:$S$1203,"preventiva")</f>
        <v/>
      </c>
      <c r="F92" s="17">
        <f>SUMIFS('ORDENES'!$M$4:$M$1203,'ORDENES'!$W$4:$W$1203,$A92,'ORDENES'!$O$4:$O$1203,$B92,'ORDENES'!$S$4:$S$1203,"correctiva")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TERCERO</t>
        </is>
      </c>
      <c r="B93" s="3">
        <f>$O$21</f>
        <v/>
      </c>
      <c r="C93" s="17">
        <f>SUMIFS('ASIGNACIONES'!$H$4:$H$339,'ASIGNACIONES'!$E$4:$E$339,$A93,'ASIGNACIONES'!$A$4:$A$339,$B93)</f>
        <v/>
      </c>
      <c r="D93" s="17">
        <f>C93*p_factor_productividad</f>
        <v/>
      </c>
      <c r="E93" s="17">
        <f>SUMIFS('ORDENES'!$M$4:$M$1203,'ORDENES'!$W$4:$W$1203,$A93,'ORDENES'!$O$4:$O$1203,$B93,'ORDENES'!$S$4:$S$1203,"preventiva")</f>
        <v/>
      </c>
      <c r="F93" s="17">
        <f>SUMIFS('ORDENES'!$M$4:$M$1203,'ORDENES'!$W$4:$W$1203,$A93,'ORDENES'!$O$4:$O$1203,$B93,'ORDENES'!$S$4:$S$1203,"correctiva")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 hidden="1">
      <c r="A94" s="3" t="inlineStr">
        <is>
          <t>MEC</t>
        </is>
      </c>
      <c r="B94" s="3">
        <f>$O$22</f>
        <v/>
      </c>
      <c r="C94" s="17">
        <f>SUMIFS('ASIGNACIONES'!$H$4:$H$339,'ASIGNACIONES'!$E$4:$E$339,$A94,'ASIGNACIONES'!$A$4:$A$339,$B94)</f>
        <v/>
      </c>
      <c r="D94" s="17">
        <f>C94*p_factor_productividad</f>
        <v/>
      </c>
      <c r="E94" s="17">
        <f>SUMIFS('ORDENES'!$M$4:$M$1203,'ORDENES'!$W$4:$W$1203,$A94,'ORDENES'!$O$4:$O$1203,$B94,'ORDENES'!$S$4:$S$1203,"preventiva")</f>
        <v/>
      </c>
      <c r="F94" s="17">
        <f>SUMIFS('ORDENES'!$M$4:$M$1203,'ORDENES'!$W$4:$W$1203,$A94,'ORDENES'!$O$4:$O$1203,$B94,'ORDENES'!$S$4:$S$1203,"correctiva")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 hidden="1">
      <c r="A95" s="3" t="inlineStr">
        <is>
          <t>ELE</t>
        </is>
      </c>
      <c r="B95" s="3">
        <f>$O$22</f>
        <v/>
      </c>
      <c r="C95" s="17">
        <f>SUMIFS('ASIGNACIONES'!$H$4:$H$339,'ASIGNACIONES'!$E$4:$E$339,$A95,'ASIGNACIONES'!$A$4:$A$339,$B95)</f>
        <v/>
      </c>
      <c r="D95" s="17">
        <f>C95*p_factor_productividad</f>
        <v/>
      </c>
      <c r="E95" s="17">
        <f>SUMIFS('ORDENES'!$M$4:$M$1203,'ORDENES'!$W$4:$W$1203,$A95,'ORDENES'!$O$4:$O$1203,$B95,'ORDENES'!$S$4:$S$1203,"preventiva")</f>
        <v/>
      </c>
      <c r="F95" s="17">
        <f>SUMIFS('ORDENES'!$M$4:$M$1203,'ORDENES'!$W$4:$W$1203,$A95,'ORDENES'!$O$4:$O$1203,$B95,'ORDENES'!$S$4:$S$1203,"correctiva")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 hidden="1">
      <c r="A96" s="3" t="inlineStr">
        <is>
          <t>AUT</t>
        </is>
      </c>
      <c r="B96" s="3">
        <f>$O$22</f>
        <v/>
      </c>
      <c r="C96" s="17">
        <f>SUMIFS('ASIGNACIONES'!$H$4:$H$339,'ASIGNACIONES'!$E$4:$E$339,$A96,'ASIGNACIONES'!$A$4:$A$339,$B96)</f>
        <v/>
      </c>
      <c r="D96" s="17">
        <f>C96*p_factor_productividad</f>
        <v/>
      </c>
      <c r="E96" s="17">
        <f>SUMIFS('ORDENES'!$M$4:$M$1203,'ORDENES'!$W$4:$W$1203,$A96,'ORDENES'!$O$4:$O$1203,$B96,'ORDENES'!$S$4:$S$1203,"preventiva")</f>
        <v/>
      </c>
      <c r="F96" s="17">
        <f>SUMIFS('ORDENES'!$M$4:$M$1203,'ORDENES'!$W$4:$W$1203,$A96,'ORDENES'!$O$4:$O$1203,$B96,'ORDENES'!$S$4:$S$1203,"correctiva")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 hidden="1">
      <c r="A97" s="3" t="inlineStr">
        <is>
          <t>OP</t>
        </is>
      </c>
      <c r="B97" s="3">
        <f>$O$22</f>
        <v/>
      </c>
      <c r="C97" s="17">
        <f>SUMIFS('ASIGNACIONES'!$H$4:$H$339,'ASIGNACIONES'!$E$4:$E$339,$A97,'ASIGNACIONES'!$A$4:$A$339,$B97)</f>
        <v/>
      </c>
      <c r="D97" s="17">
        <f>C97*p_factor_productividad</f>
        <v/>
      </c>
      <c r="E97" s="17">
        <f>SUMIFS('ORDENES'!$M$4:$M$1203,'ORDENES'!$W$4:$W$1203,$A97,'ORDENES'!$O$4:$O$1203,$B97,'ORDENES'!$S$4:$S$1203,"preventiva")</f>
        <v/>
      </c>
      <c r="F97" s="17">
        <f>SUMIFS('ORDENES'!$M$4:$M$1203,'ORDENES'!$W$4:$W$1203,$A97,'ORDENES'!$O$4:$O$1203,$B97,'ORDENES'!$S$4:$S$1203,"correctiva")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 hidden="1">
      <c r="A98" s="3" t="inlineStr">
        <is>
          <t>TERCERO</t>
        </is>
      </c>
      <c r="B98" s="3">
        <f>$O$22</f>
        <v/>
      </c>
      <c r="C98" s="17">
        <f>SUMIFS('ASIGNACIONES'!$H$4:$H$339,'ASIGNACIONES'!$E$4:$E$339,$A98,'ASIGNACIONES'!$A$4:$A$339,$B98)</f>
        <v/>
      </c>
      <c r="D98" s="17">
        <f>C98*p_factor_productividad</f>
        <v/>
      </c>
      <c r="E98" s="17">
        <f>SUMIFS('ORDENES'!$M$4:$M$1203,'ORDENES'!$W$4:$W$1203,$A98,'ORDENES'!$O$4:$O$1203,$B98,'ORDENES'!$S$4:$S$1203,"preventiva")</f>
        <v/>
      </c>
      <c r="F98" s="17">
        <f>SUMIFS('ORDENES'!$M$4:$M$1203,'ORDENES'!$W$4:$W$1203,$A98,'ORDENES'!$O$4:$O$1203,$B98,'ORDENES'!$S$4:$S$1203,"correctiva")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 hidden="1">
      <c r="A99" s="3" t="inlineStr">
        <is>
          <t>MEC</t>
        </is>
      </c>
      <c r="B99" s="3">
        <f>$O$23</f>
        <v/>
      </c>
      <c r="C99" s="17">
        <f>SUMIFS('ASIGNACIONES'!$H$4:$H$339,'ASIGNACIONES'!$E$4:$E$339,$A99,'ASIGNACIONES'!$A$4:$A$339,$B99)</f>
        <v/>
      </c>
      <c r="D99" s="17">
        <f>C99*p_factor_productividad</f>
        <v/>
      </c>
      <c r="E99" s="17">
        <f>SUMIFS('ORDENES'!$M$4:$M$1203,'ORDENES'!$W$4:$W$1203,$A99,'ORDENES'!$O$4:$O$1203,$B99,'ORDENES'!$S$4:$S$1203,"preventiva")</f>
        <v/>
      </c>
      <c r="F99" s="17">
        <f>SUMIFS('ORDENES'!$M$4:$M$1203,'ORDENES'!$W$4:$W$1203,$A99,'ORDENES'!$O$4:$O$1203,$B99,'ORDENES'!$S$4:$S$1203,"correctiva")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 hidden="1">
      <c r="A100" s="3" t="inlineStr">
        <is>
          <t>ELE</t>
        </is>
      </c>
      <c r="B100" s="3">
        <f>$O$23</f>
        <v/>
      </c>
      <c r="C100" s="17">
        <f>SUMIFS('ASIGNACIONES'!$H$4:$H$339,'ASIGNACIONES'!$E$4:$E$339,$A100,'ASIGNACIONES'!$A$4:$A$339,$B100)</f>
        <v/>
      </c>
      <c r="D100" s="17">
        <f>C100*p_factor_productividad</f>
        <v/>
      </c>
      <c r="E100" s="17">
        <f>SUMIFS('ORDENES'!$M$4:$M$1203,'ORDENES'!$W$4:$W$1203,$A100,'ORDENES'!$O$4:$O$1203,$B100,'ORDENES'!$S$4:$S$1203,"preventiva")</f>
        <v/>
      </c>
      <c r="F100" s="17">
        <f>SUMIFS('ORDENES'!$M$4:$M$1203,'ORDENES'!$W$4:$W$1203,$A100,'ORDENES'!$O$4:$O$1203,$B100,'ORDENES'!$S$4:$S$1203,"correctiva")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 hidden="1">
      <c r="A101" s="3" t="inlineStr">
        <is>
          <t>AUT</t>
        </is>
      </c>
      <c r="B101" s="3">
        <f>$O$23</f>
        <v/>
      </c>
      <c r="C101" s="17">
        <f>SUMIFS('ASIGNACIONES'!$H$4:$H$339,'ASIGNACIONES'!$E$4:$E$339,$A101,'ASIGNACIONES'!$A$4:$A$339,$B101)</f>
        <v/>
      </c>
      <c r="D101" s="17">
        <f>C101*p_factor_productividad</f>
        <v/>
      </c>
      <c r="E101" s="17">
        <f>SUMIFS('ORDENES'!$M$4:$M$1203,'ORDENES'!$W$4:$W$1203,$A101,'ORDENES'!$O$4:$O$1203,$B101,'ORDENES'!$S$4:$S$1203,"preventiva")</f>
        <v/>
      </c>
      <c r="F101" s="17">
        <f>SUMIFS('ORDENES'!$M$4:$M$1203,'ORDENES'!$W$4:$W$1203,$A101,'ORDENES'!$O$4:$O$1203,$B101,'ORDENES'!$S$4:$S$1203,"correctiva")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 hidden="1">
      <c r="A102" s="3" t="inlineStr">
        <is>
          <t>OP</t>
        </is>
      </c>
      <c r="B102" s="3">
        <f>$O$23</f>
        <v/>
      </c>
      <c r="C102" s="17">
        <f>SUMIFS('ASIGNACIONES'!$H$4:$H$339,'ASIGNACIONES'!$E$4:$E$339,$A102,'ASIGNACIONES'!$A$4:$A$339,$B102)</f>
        <v/>
      </c>
      <c r="D102" s="17">
        <f>C102*p_factor_productividad</f>
        <v/>
      </c>
      <c r="E102" s="17">
        <f>SUMIFS('ORDENES'!$M$4:$M$1203,'ORDENES'!$W$4:$W$1203,$A102,'ORDENES'!$O$4:$O$1203,$B102,'ORDENES'!$S$4:$S$1203,"preventiva")</f>
        <v/>
      </c>
      <c r="F102" s="17">
        <f>SUMIFS('ORDENES'!$M$4:$M$1203,'ORDENES'!$W$4:$W$1203,$A102,'ORDENES'!$O$4:$O$1203,$B102,'ORDENES'!$S$4:$S$1203,"correctiva")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 hidden="1">
      <c r="A103" s="3" t="inlineStr">
        <is>
          <t>TERCERO</t>
        </is>
      </c>
      <c r="B103" s="3">
        <f>$O$23</f>
        <v/>
      </c>
      <c r="C103" s="17">
        <f>SUMIFS('ASIGNACIONES'!$H$4:$H$339,'ASIGNACIONES'!$E$4:$E$339,$A103,'ASIGNACIONES'!$A$4:$A$339,$B103)</f>
        <v/>
      </c>
      <c r="D103" s="17">
        <f>C103*p_factor_productividad</f>
        <v/>
      </c>
      <c r="E103" s="17">
        <f>SUMIFS('ORDENES'!$M$4:$M$1203,'ORDENES'!$W$4:$W$1203,$A103,'ORDENES'!$O$4:$O$1203,$B103,'ORDENES'!$S$4:$S$1203,"preventiva")</f>
        <v/>
      </c>
      <c r="F103" s="17">
        <f>SUMIFS('ORDENES'!$M$4:$M$1203,'ORDENES'!$W$4:$W$1203,$A103,'ORDENES'!$O$4:$O$1203,$B103,'ORDENES'!$S$4:$S$1203,"correctiva")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$O$24</f>
        <v/>
      </c>
      <c r="C104" s="17">
        <f>SUMIFS('ASIGNACIONES'!$H$4:$H$339,'ASIGNACIONES'!$E$4:$E$339,$A104,'ASIGNACIONES'!$A$4:$A$339,$B104)</f>
        <v/>
      </c>
      <c r="D104" s="17">
        <f>C104*p_factor_productividad</f>
        <v/>
      </c>
      <c r="E104" s="17">
        <f>SUMIFS('ORDENES'!$M$4:$M$1203,'ORDENES'!$W$4:$W$1203,$A104,'ORDENES'!$O$4:$O$1203,$B104,'ORDENES'!$S$4:$S$1203,"preventiva")</f>
        <v/>
      </c>
      <c r="F104" s="17">
        <f>SUMIFS('ORDENES'!$M$4:$M$1203,'ORDENES'!$W$4:$W$1203,$A104,'ORDENES'!$O$4:$O$1203,$B104,'ORDENES'!$S$4:$S$1203,"correctiva")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$O$24</f>
        <v/>
      </c>
      <c r="C105" s="17">
        <f>SUMIFS('ASIGNACIONES'!$H$4:$H$339,'ASIGNACIONES'!$E$4:$E$339,$A105,'ASIGNACIONES'!$A$4:$A$339,$B105)</f>
        <v/>
      </c>
      <c r="D105" s="17">
        <f>C105*p_factor_productividad</f>
        <v/>
      </c>
      <c r="E105" s="17">
        <f>SUMIFS('ORDENES'!$M$4:$M$1203,'ORDENES'!$W$4:$W$1203,$A105,'ORDENES'!$O$4:$O$1203,$B105,'ORDENES'!$S$4:$S$1203,"preventiva")</f>
        <v/>
      </c>
      <c r="F105" s="17">
        <f>SUMIFS('ORDENES'!$M$4:$M$1203,'ORDENES'!$W$4:$W$1203,$A105,'ORDENES'!$O$4:$O$1203,$B105,'ORDENES'!$S$4:$S$1203,"correctiva")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$O$24</f>
        <v/>
      </c>
      <c r="C106" s="17">
        <f>SUMIFS('ASIGNACIONES'!$H$4:$H$339,'ASIGNACIONES'!$E$4:$E$339,$A106,'ASIGNACIONES'!$A$4:$A$339,$B106)</f>
        <v/>
      </c>
      <c r="D106" s="17">
        <f>C106*p_factor_productividad</f>
        <v/>
      </c>
      <c r="E106" s="17">
        <f>SUMIFS('ORDENES'!$M$4:$M$1203,'ORDENES'!$W$4:$W$1203,$A106,'ORDENES'!$O$4:$O$1203,$B106,'ORDENES'!$S$4:$S$1203,"preventiva")</f>
        <v/>
      </c>
      <c r="F106" s="17">
        <f>SUMIFS('ORDENES'!$M$4:$M$1203,'ORDENES'!$W$4:$W$1203,$A106,'ORDENES'!$O$4:$O$1203,$B106,'ORDENES'!$S$4:$S$1203,"correctiva")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OP</t>
        </is>
      </c>
      <c r="B107" s="3">
        <f>$O$24</f>
        <v/>
      </c>
      <c r="C107" s="17">
        <f>SUMIFS('ASIGNACIONES'!$H$4:$H$339,'ASIGNACIONES'!$E$4:$E$339,$A107,'ASIGNACIONES'!$A$4:$A$339,$B107)</f>
        <v/>
      </c>
      <c r="D107" s="17">
        <f>C107*p_factor_productividad</f>
        <v/>
      </c>
      <c r="E107" s="17">
        <f>SUMIFS('ORDENES'!$M$4:$M$1203,'ORDENES'!$W$4:$W$1203,$A107,'ORDENES'!$O$4:$O$1203,$B107,'ORDENES'!$S$4:$S$1203,"preventiva")</f>
        <v/>
      </c>
      <c r="F107" s="17">
        <f>SUMIFS('ORDENES'!$M$4:$M$1203,'ORDENES'!$W$4:$W$1203,$A107,'ORDENES'!$O$4:$O$1203,$B107,'ORDENES'!$S$4:$S$1203,"correctiva")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TERCERO</t>
        </is>
      </c>
      <c r="B108" s="3">
        <f>$O$24</f>
        <v/>
      </c>
      <c r="C108" s="17">
        <f>SUMIFS('ASIGNACIONES'!$H$4:$H$339,'ASIGNACIONES'!$E$4:$E$339,$A108,'ASIGNACIONES'!$A$4:$A$339,$B108)</f>
        <v/>
      </c>
      <c r="D108" s="17">
        <f>C108*p_factor_productividad</f>
        <v/>
      </c>
      <c r="E108" s="17">
        <f>SUMIFS('ORDENES'!$M$4:$M$1203,'ORDENES'!$W$4:$W$1203,$A108,'ORDENES'!$O$4:$O$1203,$B108,'ORDENES'!$S$4:$S$1203,"preventiva")</f>
        <v/>
      </c>
      <c r="F108" s="17">
        <f>SUMIFS('ORDENES'!$M$4:$M$1203,'ORDENES'!$W$4:$W$1203,$A108,'ORDENES'!$O$4:$O$1203,$B108,'ORDENES'!$S$4:$S$1203,"correctiva")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>
      <c r="A109" s="3" t="inlineStr">
        <is>
          <t>MEC</t>
        </is>
      </c>
      <c r="B109" s="3">
        <f>$O$25</f>
        <v/>
      </c>
      <c r="C109" s="17">
        <f>SUMIFS('ASIGNACIONES'!$H$4:$H$339,'ASIGNACIONES'!$E$4:$E$339,$A109,'ASIGNACIONES'!$A$4:$A$339,$B109)</f>
        <v/>
      </c>
      <c r="D109" s="17">
        <f>C109*p_factor_productividad</f>
        <v/>
      </c>
      <c r="E109" s="17">
        <f>SUMIFS('ORDENES'!$M$4:$M$1203,'ORDENES'!$W$4:$W$1203,$A109,'ORDENES'!$O$4:$O$1203,$B109,'ORDENES'!$S$4:$S$1203,"preventiva")</f>
        <v/>
      </c>
      <c r="F109" s="17">
        <f>SUMIFS('ORDENES'!$M$4:$M$1203,'ORDENES'!$W$4:$W$1203,$A109,'ORDENES'!$O$4:$O$1203,$B109,'ORDENES'!$S$4:$S$1203,"correctiva")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>
      <c r="A110" s="3" t="inlineStr">
        <is>
          <t>ELE</t>
        </is>
      </c>
      <c r="B110" s="3">
        <f>$O$25</f>
        <v/>
      </c>
      <c r="C110" s="17">
        <f>SUMIFS('ASIGNACIONES'!$H$4:$H$339,'ASIGNACIONES'!$E$4:$E$339,$A110,'ASIGNACIONES'!$A$4:$A$339,$B110)</f>
        <v/>
      </c>
      <c r="D110" s="17">
        <f>C110*p_factor_productividad</f>
        <v/>
      </c>
      <c r="E110" s="17">
        <f>SUMIFS('ORDENES'!$M$4:$M$1203,'ORDENES'!$W$4:$W$1203,$A110,'ORDENES'!$O$4:$O$1203,$B110,'ORDENES'!$S$4:$S$1203,"preventiva")</f>
        <v/>
      </c>
      <c r="F110" s="17">
        <f>SUMIFS('ORDENES'!$M$4:$M$1203,'ORDENES'!$W$4:$W$1203,$A110,'ORDENES'!$O$4:$O$1203,$B110,'ORDENES'!$S$4:$S$1203,"correctiva")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>
      <c r="A111" s="3" t="inlineStr">
        <is>
          <t>AUT</t>
        </is>
      </c>
      <c r="B111" s="3">
        <f>$O$25</f>
        <v/>
      </c>
      <c r="C111" s="17">
        <f>SUMIFS('ASIGNACIONES'!$H$4:$H$339,'ASIGNACIONES'!$E$4:$E$339,$A111,'ASIGNACIONES'!$A$4:$A$339,$B111)</f>
        <v/>
      </c>
      <c r="D111" s="17">
        <f>C111*p_factor_productividad</f>
        <v/>
      </c>
      <c r="E111" s="17">
        <f>SUMIFS('ORDENES'!$M$4:$M$1203,'ORDENES'!$W$4:$W$1203,$A111,'ORDENES'!$O$4:$O$1203,$B111,'ORDENES'!$S$4:$S$1203,"preventiva")</f>
        <v/>
      </c>
      <c r="F111" s="17">
        <f>SUMIFS('ORDENES'!$M$4:$M$1203,'ORDENES'!$W$4:$W$1203,$A111,'ORDENES'!$O$4:$O$1203,$B111,'ORDENES'!$S$4:$S$1203,"correctiva")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OP</t>
        </is>
      </c>
      <c r="B112" s="3">
        <f>$O$25</f>
        <v/>
      </c>
      <c r="C112" s="17">
        <f>SUMIFS('ASIGNACIONES'!$H$4:$H$339,'ASIGNACIONES'!$E$4:$E$339,$A112,'ASIGNACIONES'!$A$4:$A$339,$B112)</f>
        <v/>
      </c>
      <c r="D112" s="17">
        <f>C112*p_factor_productividad</f>
        <v/>
      </c>
      <c r="E112" s="17">
        <f>SUMIFS('ORDENES'!$M$4:$M$1203,'ORDENES'!$W$4:$W$1203,$A112,'ORDENES'!$O$4:$O$1203,$B112,'ORDENES'!$S$4:$S$1203,"preventiva")</f>
        <v/>
      </c>
      <c r="F112" s="17">
        <f>SUMIFS('ORDENES'!$M$4:$M$1203,'ORDENES'!$W$4:$W$1203,$A112,'ORDENES'!$O$4:$O$1203,$B112,'ORDENES'!$S$4:$S$1203,"correctiva")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TERCERO</t>
        </is>
      </c>
      <c r="B113" s="3">
        <f>$O$25</f>
        <v/>
      </c>
      <c r="C113" s="17">
        <f>SUMIFS('ASIGNACIONES'!$H$4:$H$339,'ASIGNACIONES'!$E$4:$E$339,$A113,'ASIGNACIONES'!$A$4:$A$339,$B113)</f>
        <v/>
      </c>
      <c r="D113" s="17">
        <f>C113*p_factor_productividad</f>
        <v/>
      </c>
      <c r="E113" s="17">
        <f>SUMIFS('ORDENES'!$M$4:$M$1203,'ORDENES'!$W$4:$W$1203,$A113,'ORDENES'!$O$4:$O$1203,$B113,'ORDENES'!$S$4:$S$1203,"preventiva")</f>
        <v/>
      </c>
      <c r="F113" s="17">
        <f>SUMIFS('ORDENES'!$M$4:$M$1203,'ORDENES'!$W$4:$W$1203,$A113,'ORDENES'!$O$4:$O$1203,$B113,'ORDENES'!$S$4:$S$1203,"correctiva")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MEC</t>
        </is>
      </c>
      <c r="B114" s="3">
        <f>$O$26</f>
        <v/>
      </c>
      <c r="C114" s="17">
        <f>SUMIFS('ASIGNACIONES'!$H$4:$H$339,'ASIGNACIONES'!$E$4:$E$339,$A114,'ASIGNACIONES'!$A$4:$A$339,$B114)</f>
        <v/>
      </c>
      <c r="D114" s="17">
        <f>C114*p_factor_productividad</f>
        <v/>
      </c>
      <c r="E114" s="17">
        <f>SUMIFS('ORDENES'!$M$4:$M$1203,'ORDENES'!$W$4:$W$1203,$A114,'ORDENES'!$O$4:$O$1203,$B114,'ORDENES'!$S$4:$S$1203,"preventiva")</f>
        <v/>
      </c>
      <c r="F114" s="17">
        <f>SUMIFS('ORDENES'!$M$4:$M$1203,'ORDENES'!$W$4:$W$1203,$A114,'ORDENES'!$O$4:$O$1203,$B114,'ORDENES'!$S$4:$S$1203,"correctiva")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ELE</t>
        </is>
      </c>
      <c r="B115" s="3">
        <f>$O$26</f>
        <v/>
      </c>
      <c r="C115" s="17">
        <f>SUMIFS('ASIGNACIONES'!$H$4:$H$339,'ASIGNACIONES'!$E$4:$E$339,$A115,'ASIGNACIONES'!$A$4:$A$339,$B115)</f>
        <v/>
      </c>
      <c r="D115" s="17">
        <f>C115*p_factor_productividad</f>
        <v/>
      </c>
      <c r="E115" s="17">
        <f>SUMIFS('ORDENES'!$M$4:$M$1203,'ORDENES'!$W$4:$W$1203,$A115,'ORDENES'!$O$4:$O$1203,$B115,'ORDENES'!$S$4:$S$1203,"preventiva")</f>
        <v/>
      </c>
      <c r="F115" s="17">
        <f>SUMIFS('ORDENES'!$M$4:$M$1203,'ORDENES'!$W$4:$W$1203,$A115,'ORDENES'!$O$4:$O$1203,$B115,'ORDENES'!$S$4:$S$1203,"correctiva")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>
      <c r="A116" s="3" t="inlineStr">
        <is>
          <t>AUT</t>
        </is>
      </c>
      <c r="B116" s="3">
        <f>$O$26</f>
        <v/>
      </c>
      <c r="C116" s="17">
        <f>SUMIFS('ASIGNACIONES'!$H$4:$H$339,'ASIGNACIONES'!$E$4:$E$339,$A116,'ASIGNACIONES'!$A$4:$A$339,$B116)</f>
        <v/>
      </c>
      <c r="D116" s="17">
        <f>C116*p_factor_productividad</f>
        <v/>
      </c>
      <c r="E116" s="17">
        <f>SUMIFS('ORDENES'!$M$4:$M$1203,'ORDENES'!$W$4:$W$1203,$A116,'ORDENES'!$O$4:$O$1203,$B116,'ORDENES'!$S$4:$S$1203,"preventiva")</f>
        <v/>
      </c>
      <c r="F116" s="17">
        <f>SUMIFS('ORDENES'!$M$4:$M$1203,'ORDENES'!$W$4:$W$1203,$A116,'ORDENES'!$O$4:$O$1203,$B116,'ORDENES'!$S$4:$S$1203,"correctiva")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>
      <c r="A117" s="3" t="inlineStr">
        <is>
          <t>OP</t>
        </is>
      </c>
      <c r="B117" s="3">
        <f>$O$26</f>
        <v/>
      </c>
      <c r="C117" s="17">
        <f>SUMIFS('ASIGNACIONES'!$H$4:$H$339,'ASIGNACIONES'!$E$4:$E$339,$A117,'ASIGNACIONES'!$A$4:$A$339,$B117)</f>
        <v/>
      </c>
      <c r="D117" s="17">
        <f>C117*p_factor_productividad</f>
        <v/>
      </c>
      <c r="E117" s="17">
        <f>SUMIFS('ORDENES'!$M$4:$M$1203,'ORDENES'!$W$4:$W$1203,$A117,'ORDENES'!$O$4:$O$1203,$B117,'ORDENES'!$S$4:$S$1203,"preventiva")</f>
        <v/>
      </c>
      <c r="F117" s="17">
        <f>SUMIFS('ORDENES'!$M$4:$M$1203,'ORDENES'!$W$4:$W$1203,$A117,'ORDENES'!$O$4:$O$1203,$B117,'ORDENES'!$S$4:$S$1203,"correctiva")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>
      <c r="A118" s="3" t="inlineStr">
        <is>
          <t>TERCERO</t>
        </is>
      </c>
      <c r="B118" s="3">
        <f>$O$26</f>
        <v/>
      </c>
      <c r="C118" s="17">
        <f>SUMIFS('ASIGNACIONES'!$H$4:$H$339,'ASIGNACIONES'!$E$4:$E$339,$A118,'ASIGNACIONES'!$A$4:$A$339,$B118)</f>
        <v/>
      </c>
      <c r="D118" s="17">
        <f>C118*p_factor_productividad</f>
        <v/>
      </c>
      <c r="E118" s="17">
        <f>SUMIFS('ORDENES'!$M$4:$M$1203,'ORDENES'!$W$4:$W$1203,$A118,'ORDENES'!$O$4:$O$1203,$B118,'ORDENES'!$S$4:$S$1203,"preventiva")</f>
        <v/>
      </c>
      <c r="F118" s="17">
        <f>SUMIFS('ORDENES'!$M$4:$M$1203,'ORDENES'!$W$4:$W$1203,$A118,'ORDENES'!$O$4:$O$1203,$B118,'ORDENES'!$S$4:$S$1203,"correctiva")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>
      <c r="A119" s="3" t="inlineStr">
        <is>
          <t>MEC</t>
        </is>
      </c>
      <c r="B119" s="3">
        <f>$O$27</f>
        <v/>
      </c>
      <c r="C119" s="17">
        <f>SUMIFS('ASIGNACIONES'!$H$4:$H$339,'ASIGNACIONES'!$E$4:$E$339,$A119,'ASIGNACIONES'!$A$4:$A$339,$B119)</f>
        <v/>
      </c>
      <c r="D119" s="17">
        <f>C119*p_factor_productividad</f>
        <v/>
      </c>
      <c r="E119" s="17">
        <f>SUMIFS('ORDENES'!$M$4:$M$1203,'ORDENES'!$W$4:$W$1203,$A119,'ORDENES'!$O$4:$O$1203,$B119,'ORDENES'!$S$4:$S$1203,"preventiva")</f>
        <v/>
      </c>
      <c r="F119" s="17">
        <f>SUMIFS('ORDENES'!$M$4:$M$1203,'ORDENES'!$W$4:$W$1203,$A119,'ORDENES'!$O$4:$O$1203,$B119,'ORDENES'!$S$4:$S$1203,"correctiva")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>
      <c r="A120" s="3" t="inlineStr">
        <is>
          <t>ELE</t>
        </is>
      </c>
      <c r="B120" s="3">
        <f>$O$27</f>
        <v/>
      </c>
      <c r="C120" s="17">
        <f>SUMIFS('ASIGNACIONES'!$H$4:$H$339,'ASIGNACIONES'!$E$4:$E$339,$A120,'ASIGNACIONES'!$A$4:$A$339,$B120)</f>
        <v/>
      </c>
      <c r="D120" s="17">
        <f>C120*p_factor_productividad</f>
        <v/>
      </c>
      <c r="E120" s="17">
        <f>SUMIFS('ORDENES'!$M$4:$M$1203,'ORDENES'!$W$4:$W$1203,$A120,'ORDENES'!$O$4:$O$1203,$B120,'ORDENES'!$S$4:$S$1203,"preventiva")</f>
        <v/>
      </c>
      <c r="F120" s="17">
        <f>SUMIFS('ORDENES'!$M$4:$M$1203,'ORDENES'!$W$4:$W$1203,$A120,'ORDENES'!$O$4:$O$1203,$B120,'ORDENES'!$S$4:$S$1203,"correctiva")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>
      <c r="A121" s="3" t="inlineStr">
        <is>
          <t>AUT</t>
        </is>
      </c>
      <c r="B121" s="3">
        <f>$O$27</f>
        <v/>
      </c>
      <c r="C121" s="17">
        <f>SUMIFS('ASIGNACIONES'!$H$4:$H$339,'ASIGNACIONES'!$E$4:$E$339,$A121,'ASIGNACIONES'!$A$4:$A$339,$B121)</f>
        <v/>
      </c>
      <c r="D121" s="17">
        <f>C121*p_factor_productividad</f>
        <v/>
      </c>
      <c r="E121" s="17">
        <f>SUMIFS('ORDENES'!$M$4:$M$1203,'ORDENES'!$W$4:$W$1203,$A121,'ORDENES'!$O$4:$O$1203,$B121,'ORDENES'!$S$4:$S$1203,"preventiva")</f>
        <v/>
      </c>
      <c r="F121" s="17">
        <f>SUMIFS('ORDENES'!$M$4:$M$1203,'ORDENES'!$W$4:$W$1203,$A121,'ORDENES'!$O$4:$O$1203,$B121,'ORDENES'!$S$4:$S$1203,"correctiva")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>
      <c r="A122" s="3" t="inlineStr">
        <is>
          <t>OP</t>
        </is>
      </c>
      <c r="B122" s="3">
        <f>$O$27</f>
        <v/>
      </c>
      <c r="C122" s="17">
        <f>SUMIFS('ASIGNACIONES'!$H$4:$H$339,'ASIGNACIONES'!$E$4:$E$339,$A122,'ASIGNACIONES'!$A$4:$A$339,$B122)</f>
        <v/>
      </c>
      <c r="D122" s="17">
        <f>C122*p_factor_productividad</f>
        <v/>
      </c>
      <c r="E122" s="17">
        <f>SUMIFS('ORDENES'!$M$4:$M$1203,'ORDENES'!$W$4:$W$1203,$A122,'ORDENES'!$O$4:$O$1203,$B122,'ORDENES'!$S$4:$S$1203,"preventiva")</f>
        <v/>
      </c>
      <c r="F122" s="17">
        <f>SUMIFS('ORDENES'!$M$4:$M$1203,'ORDENES'!$W$4:$W$1203,$A122,'ORDENES'!$O$4:$O$1203,$B122,'ORDENES'!$S$4:$S$1203,"correctiva")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>
      <c r="A123" s="3" t="inlineStr">
        <is>
          <t>TERCERO</t>
        </is>
      </c>
      <c r="B123" s="3">
        <f>$O$27</f>
        <v/>
      </c>
      <c r="C123" s="17">
        <f>SUMIFS('ASIGNACIONES'!$H$4:$H$339,'ASIGNACIONES'!$E$4:$E$339,$A123,'ASIGNACIONES'!$A$4:$A$339,$B123)</f>
        <v/>
      </c>
      <c r="D123" s="17">
        <f>C123*p_factor_productividad</f>
        <v/>
      </c>
      <c r="E123" s="17">
        <f>SUMIFS('ORDENES'!$M$4:$M$1203,'ORDENES'!$W$4:$W$1203,$A123,'ORDENES'!$O$4:$O$1203,$B123,'ORDENES'!$S$4:$S$1203,"preventiva")</f>
        <v/>
      </c>
      <c r="F123" s="17">
        <f>SUMIFS('ORDENES'!$M$4:$M$1203,'ORDENES'!$W$4:$W$1203,$A123,'ORDENES'!$O$4:$O$1203,$B123,'ORDENES'!$S$4:$S$1203,"correctiva")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>
      <c r="A124" s="3" t="inlineStr">
        <is>
          <t>MEC</t>
        </is>
      </c>
      <c r="B124" s="3">
        <f>$O$28</f>
        <v/>
      </c>
      <c r="C124" s="17">
        <f>SUMIFS('ASIGNACIONES'!$H$4:$H$339,'ASIGNACIONES'!$E$4:$E$339,$A124,'ASIGNACIONES'!$A$4:$A$339,$B124)</f>
        <v/>
      </c>
      <c r="D124" s="17">
        <f>C124*p_factor_productividad</f>
        <v/>
      </c>
      <c r="E124" s="17">
        <f>SUMIFS('ORDENES'!$M$4:$M$1203,'ORDENES'!$W$4:$W$1203,$A124,'ORDENES'!$O$4:$O$1203,$B124,'ORDENES'!$S$4:$S$1203,"preventiva")</f>
        <v/>
      </c>
      <c r="F124" s="17">
        <f>SUMIFS('ORDENES'!$M$4:$M$1203,'ORDENES'!$W$4:$W$1203,$A124,'ORDENES'!$O$4:$O$1203,$B124,'ORDENES'!$S$4:$S$1203,"correctiva")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>
      <c r="A125" s="3" t="inlineStr">
        <is>
          <t>ELE</t>
        </is>
      </c>
      <c r="B125" s="3">
        <f>$O$28</f>
        <v/>
      </c>
      <c r="C125" s="17">
        <f>SUMIFS('ASIGNACIONES'!$H$4:$H$339,'ASIGNACIONES'!$E$4:$E$339,$A125,'ASIGNACIONES'!$A$4:$A$339,$B125)</f>
        <v/>
      </c>
      <c r="D125" s="17">
        <f>C125*p_factor_productividad</f>
        <v/>
      </c>
      <c r="E125" s="17">
        <f>SUMIFS('ORDENES'!$M$4:$M$1203,'ORDENES'!$W$4:$W$1203,$A125,'ORDENES'!$O$4:$O$1203,$B125,'ORDENES'!$S$4:$S$1203,"preventiva")</f>
        <v/>
      </c>
      <c r="F125" s="17">
        <f>SUMIFS('ORDENES'!$M$4:$M$1203,'ORDENES'!$W$4:$W$1203,$A125,'ORDENES'!$O$4:$O$1203,$B125,'ORDENES'!$S$4:$S$1203,"correctiva")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>
      <c r="A126" s="3" t="inlineStr">
        <is>
          <t>AUT</t>
        </is>
      </c>
      <c r="B126" s="3">
        <f>$O$28</f>
        <v/>
      </c>
      <c r="C126" s="17">
        <f>SUMIFS('ASIGNACIONES'!$H$4:$H$339,'ASIGNACIONES'!$E$4:$E$339,$A126,'ASIGNACIONES'!$A$4:$A$339,$B126)</f>
        <v/>
      </c>
      <c r="D126" s="17">
        <f>C126*p_factor_productividad</f>
        <v/>
      </c>
      <c r="E126" s="17">
        <f>SUMIFS('ORDENES'!$M$4:$M$1203,'ORDENES'!$W$4:$W$1203,$A126,'ORDENES'!$O$4:$O$1203,$B126,'ORDENES'!$S$4:$S$1203,"preventiva")</f>
        <v/>
      </c>
      <c r="F126" s="17">
        <f>SUMIFS('ORDENES'!$M$4:$M$1203,'ORDENES'!$W$4:$W$1203,$A126,'ORDENES'!$O$4:$O$1203,$B126,'ORDENES'!$S$4:$S$1203,"correctiva")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>
      <c r="A127" s="3" t="inlineStr">
        <is>
          <t>OP</t>
        </is>
      </c>
      <c r="B127" s="3">
        <f>$O$28</f>
        <v/>
      </c>
      <c r="C127" s="17">
        <f>SUMIFS('ASIGNACIONES'!$H$4:$H$339,'ASIGNACIONES'!$E$4:$E$339,$A127,'ASIGNACIONES'!$A$4:$A$339,$B127)</f>
        <v/>
      </c>
      <c r="D127" s="17">
        <f>C127*p_factor_productividad</f>
        <v/>
      </c>
      <c r="E127" s="17">
        <f>SUMIFS('ORDENES'!$M$4:$M$1203,'ORDENES'!$W$4:$W$1203,$A127,'ORDENES'!$O$4:$O$1203,$B127,'ORDENES'!$S$4:$S$1203,"preventiva")</f>
        <v/>
      </c>
      <c r="F127" s="17">
        <f>SUMIFS('ORDENES'!$M$4:$M$1203,'ORDENES'!$W$4:$W$1203,$A127,'ORDENES'!$O$4:$O$1203,$B127,'ORDENES'!$S$4:$S$1203,"correctiva")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>
      <c r="A128" s="3" t="inlineStr">
        <is>
          <t>TERCERO</t>
        </is>
      </c>
      <c r="B128" s="3">
        <f>$O$28</f>
        <v/>
      </c>
      <c r="C128" s="17">
        <f>SUMIFS('ASIGNACIONES'!$H$4:$H$339,'ASIGNACIONES'!$E$4:$E$339,$A128,'ASIGNACIONES'!$A$4:$A$339,$B128)</f>
        <v/>
      </c>
      <c r="D128" s="17">
        <f>C128*p_factor_productividad</f>
        <v/>
      </c>
      <c r="E128" s="17">
        <f>SUMIFS('ORDENES'!$M$4:$M$1203,'ORDENES'!$W$4:$W$1203,$A128,'ORDENES'!$O$4:$O$1203,$B128,'ORDENES'!$S$4:$S$1203,"preventiva")</f>
        <v/>
      </c>
      <c r="F128" s="17">
        <f>SUMIFS('ORDENES'!$M$4:$M$1203,'ORDENES'!$W$4:$W$1203,$A128,'ORDENES'!$O$4:$O$1203,$B128,'ORDENES'!$S$4:$S$1203,"correctiva")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MEC</t>
        </is>
      </c>
      <c r="B129" s="3">
        <f>$O$29</f>
        <v/>
      </c>
      <c r="C129" s="17">
        <f>SUMIFS('ASIGNACIONES'!$H$4:$H$339,'ASIGNACIONES'!$E$4:$E$339,$A129,'ASIGNACIONES'!$A$4:$A$339,$B129)</f>
        <v/>
      </c>
      <c r="D129" s="17">
        <f>C129*p_factor_productividad</f>
        <v/>
      </c>
      <c r="E129" s="17">
        <f>SUMIFS('ORDENES'!$M$4:$M$1203,'ORDENES'!$W$4:$W$1203,$A129,'ORDENES'!$O$4:$O$1203,$B129,'ORDENES'!$S$4:$S$1203,"preventiva")</f>
        <v/>
      </c>
      <c r="F129" s="17">
        <f>SUMIFS('ORDENES'!$M$4:$M$1203,'ORDENES'!$W$4:$W$1203,$A129,'ORDENES'!$O$4:$O$1203,$B129,'ORDENES'!$S$4:$S$1203,"correctiva")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ELE</t>
        </is>
      </c>
      <c r="B130" s="3">
        <f>$O$29</f>
        <v/>
      </c>
      <c r="C130" s="17">
        <f>SUMIFS('ASIGNACIONES'!$H$4:$H$339,'ASIGNACIONES'!$E$4:$E$339,$A130,'ASIGNACIONES'!$A$4:$A$339,$B130)</f>
        <v/>
      </c>
      <c r="D130" s="17">
        <f>C130*p_factor_productividad</f>
        <v/>
      </c>
      <c r="E130" s="17">
        <f>SUMIFS('ORDENES'!$M$4:$M$1203,'ORDENES'!$W$4:$W$1203,$A130,'ORDENES'!$O$4:$O$1203,$B130,'ORDENES'!$S$4:$S$1203,"preventiva")</f>
        <v/>
      </c>
      <c r="F130" s="17">
        <f>SUMIFS('ORDENES'!$M$4:$M$1203,'ORDENES'!$W$4:$W$1203,$A130,'ORDENES'!$O$4:$O$1203,$B130,'ORDENES'!$S$4:$S$1203,"correctiva")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AUT</t>
        </is>
      </c>
      <c r="B131" s="3">
        <f>$O$29</f>
        <v/>
      </c>
      <c r="C131" s="17">
        <f>SUMIFS('ASIGNACIONES'!$H$4:$H$339,'ASIGNACIONES'!$E$4:$E$339,$A131,'ASIGNACIONES'!$A$4:$A$339,$B131)</f>
        <v/>
      </c>
      <c r="D131" s="17">
        <f>C131*p_factor_productividad</f>
        <v/>
      </c>
      <c r="E131" s="17">
        <f>SUMIFS('ORDENES'!$M$4:$M$1203,'ORDENES'!$W$4:$W$1203,$A131,'ORDENES'!$O$4:$O$1203,$B131,'ORDENES'!$S$4:$S$1203,"preventiva")</f>
        <v/>
      </c>
      <c r="F131" s="17">
        <f>SUMIFS('ORDENES'!$M$4:$M$1203,'ORDENES'!$W$4:$W$1203,$A131,'ORDENES'!$O$4:$O$1203,$B131,'ORDENES'!$S$4:$S$1203,"correctiva")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OP</t>
        </is>
      </c>
      <c r="B132" s="3">
        <f>$O$29</f>
        <v/>
      </c>
      <c r="C132" s="17">
        <f>SUMIFS('ASIGNACIONES'!$H$4:$H$339,'ASIGNACIONES'!$E$4:$E$339,$A132,'ASIGNACIONES'!$A$4:$A$339,$B132)</f>
        <v/>
      </c>
      <c r="D132" s="17">
        <f>C132*p_factor_productividad</f>
        <v/>
      </c>
      <c r="E132" s="17">
        <f>SUMIFS('ORDENES'!$M$4:$M$1203,'ORDENES'!$W$4:$W$1203,$A132,'ORDENES'!$O$4:$O$1203,$B132,'ORDENES'!$S$4:$S$1203,"preventiva")</f>
        <v/>
      </c>
      <c r="F132" s="17">
        <f>SUMIFS('ORDENES'!$M$4:$M$1203,'ORDENES'!$W$4:$W$1203,$A132,'ORDENES'!$O$4:$O$1203,$B132,'ORDENES'!$S$4:$S$1203,"correctiva")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TERCERO</t>
        </is>
      </c>
      <c r="B133" s="3">
        <f>$O$29</f>
        <v/>
      </c>
      <c r="C133" s="17">
        <f>SUMIFS('ASIGNACIONES'!$H$4:$H$339,'ASIGNACIONES'!$E$4:$E$339,$A133,'ASIGNACIONES'!$A$4:$A$339,$B133)</f>
        <v/>
      </c>
      <c r="D133" s="17">
        <f>C133*p_factor_productividad</f>
        <v/>
      </c>
      <c r="E133" s="17">
        <f>SUMIFS('ORDENES'!$M$4:$M$1203,'ORDENES'!$W$4:$W$1203,$A133,'ORDENES'!$O$4:$O$1203,$B133,'ORDENES'!$S$4:$S$1203,"preventiva")</f>
        <v/>
      </c>
      <c r="F133" s="17">
        <f>SUMIFS('ORDENES'!$M$4:$M$1203,'ORDENES'!$W$4:$W$1203,$A133,'ORDENES'!$O$4:$O$1203,$B133,'ORDENES'!$S$4:$S$1203,"correctiva")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MEC</t>
        </is>
      </c>
      <c r="B134" s="3">
        <f>$O$30</f>
        <v/>
      </c>
      <c r="C134" s="17">
        <f>SUMIFS('ASIGNACIONES'!$H$4:$H$339,'ASIGNACIONES'!$E$4:$E$339,$A134,'ASIGNACIONES'!$A$4:$A$339,$B134)</f>
        <v/>
      </c>
      <c r="D134" s="17">
        <f>C134*p_factor_productividad</f>
        <v/>
      </c>
      <c r="E134" s="17">
        <f>SUMIFS('ORDENES'!$M$4:$M$1203,'ORDENES'!$W$4:$W$1203,$A134,'ORDENES'!$O$4:$O$1203,$B134,'ORDENES'!$S$4:$S$1203,"preventiva")</f>
        <v/>
      </c>
      <c r="F134" s="17">
        <f>SUMIFS('ORDENES'!$M$4:$M$1203,'ORDENES'!$W$4:$W$1203,$A134,'ORDENES'!$O$4:$O$1203,$B134,'ORDENES'!$S$4:$S$1203,"correctiva")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ELE</t>
        </is>
      </c>
      <c r="B135" s="3">
        <f>$O$30</f>
        <v/>
      </c>
      <c r="C135" s="17">
        <f>SUMIFS('ASIGNACIONES'!$H$4:$H$339,'ASIGNACIONES'!$E$4:$E$339,$A135,'ASIGNACIONES'!$A$4:$A$339,$B135)</f>
        <v/>
      </c>
      <c r="D135" s="17">
        <f>C135*p_factor_productividad</f>
        <v/>
      </c>
      <c r="E135" s="17">
        <f>SUMIFS('ORDENES'!$M$4:$M$1203,'ORDENES'!$W$4:$W$1203,$A135,'ORDENES'!$O$4:$O$1203,$B135,'ORDENES'!$S$4:$S$1203,"preventiva")</f>
        <v/>
      </c>
      <c r="F135" s="17">
        <f>SUMIFS('ORDENES'!$M$4:$M$1203,'ORDENES'!$W$4:$W$1203,$A135,'ORDENES'!$O$4:$O$1203,$B135,'ORDENES'!$S$4:$S$1203,"correctiva")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AUT</t>
        </is>
      </c>
      <c r="B136" s="3">
        <f>$O$30</f>
        <v/>
      </c>
      <c r="C136" s="17">
        <f>SUMIFS('ASIGNACIONES'!$H$4:$H$339,'ASIGNACIONES'!$E$4:$E$339,$A136,'ASIGNACIONES'!$A$4:$A$339,$B136)</f>
        <v/>
      </c>
      <c r="D136" s="17">
        <f>C136*p_factor_productividad</f>
        <v/>
      </c>
      <c r="E136" s="17">
        <f>SUMIFS('ORDENES'!$M$4:$M$1203,'ORDENES'!$W$4:$W$1203,$A136,'ORDENES'!$O$4:$O$1203,$B136,'ORDENES'!$S$4:$S$1203,"preventiva")</f>
        <v/>
      </c>
      <c r="F136" s="17">
        <f>SUMIFS('ORDENES'!$M$4:$M$1203,'ORDENES'!$W$4:$W$1203,$A136,'ORDENES'!$O$4:$O$1203,$B136,'ORDENES'!$S$4:$S$1203,"correctiva")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OP</t>
        </is>
      </c>
      <c r="B137" s="3">
        <f>$O$30</f>
        <v/>
      </c>
      <c r="C137" s="17">
        <f>SUMIFS('ASIGNACIONES'!$H$4:$H$339,'ASIGNACIONES'!$E$4:$E$339,$A137,'ASIGNACIONES'!$A$4:$A$339,$B137)</f>
        <v/>
      </c>
      <c r="D137" s="17">
        <f>C137*p_factor_productividad</f>
        <v/>
      </c>
      <c r="E137" s="17">
        <f>SUMIFS('ORDENES'!$M$4:$M$1203,'ORDENES'!$W$4:$W$1203,$A137,'ORDENES'!$O$4:$O$1203,$B137,'ORDENES'!$S$4:$S$1203,"preventiva")</f>
        <v/>
      </c>
      <c r="F137" s="17">
        <f>SUMIFS('ORDENES'!$M$4:$M$1203,'ORDENES'!$W$4:$W$1203,$A137,'ORDENES'!$O$4:$O$1203,$B137,'ORDENES'!$S$4:$S$1203,"correctiva")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TERCERO</t>
        </is>
      </c>
      <c r="B138" s="3">
        <f>$O$30</f>
        <v/>
      </c>
      <c r="C138" s="17">
        <f>SUMIFS('ASIGNACIONES'!$H$4:$H$339,'ASIGNACIONES'!$E$4:$E$339,$A138,'ASIGNACIONES'!$A$4:$A$339,$B138)</f>
        <v/>
      </c>
      <c r="D138" s="17">
        <f>C138*p_factor_productividad</f>
        <v/>
      </c>
      <c r="E138" s="17">
        <f>SUMIFS('ORDENES'!$M$4:$M$1203,'ORDENES'!$W$4:$W$1203,$A138,'ORDENES'!$O$4:$O$1203,$B138,'ORDENES'!$S$4:$S$1203,"preventiva")</f>
        <v/>
      </c>
      <c r="F138" s="17">
        <f>SUMIFS('ORDENES'!$M$4:$M$1203,'ORDENES'!$W$4:$W$1203,$A138,'ORDENES'!$O$4:$O$1203,$B138,'ORDENES'!$S$4:$S$1203,"correctiva")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>
      <c r="A139" s="3" t="inlineStr">
        <is>
          <t>MEC</t>
        </is>
      </c>
      <c r="B139" s="3">
        <f>$O$31</f>
        <v/>
      </c>
      <c r="C139" s="17">
        <f>SUMIFS('ASIGNACIONES'!$H$4:$H$339,'ASIGNACIONES'!$E$4:$E$339,$A139,'ASIGNACIONES'!$A$4:$A$339,$B139)</f>
        <v/>
      </c>
      <c r="D139" s="17">
        <f>C139*p_factor_productividad</f>
        <v/>
      </c>
      <c r="E139" s="17">
        <f>SUMIFS('ORDENES'!$M$4:$M$1203,'ORDENES'!$W$4:$W$1203,$A139,'ORDENES'!$O$4:$O$1203,$B139,'ORDENES'!$S$4:$S$1203,"preventiva")</f>
        <v/>
      </c>
      <c r="F139" s="17">
        <f>SUMIFS('ORDENES'!$M$4:$M$1203,'ORDENES'!$W$4:$W$1203,$A139,'ORDENES'!$O$4:$O$1203,$B139,'ORDENES'!$S$4:$S$1203,"correctiva")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>
      <c r="A140" s="3" t="inlineStr">
        <is>
          <t>ELE</t>
        </is>
      </c>
      <c r="B140" s="3">
        <f>$O$31</f>
        <v/>
      </c>
      <c r="C140" s="17">
        <f>SUMIFS('ASIGNACIONES'!$H$4:$H$339,'ASIGNACIONES'!$E$4:$E$339,$A140,'ASIGNACIONES'!$A$4:$A$339,$B140)</f>
        <v/>
      </c>
      <c r="D140" s="17">
        <f>C140*p_factor_productividad</f>
        <v/>
      </c>
      <c r="E140" s="17">
        <f>SUMIFS('ORDENES'!$M$4:$M$1203,'ORDENES'!$W$4:$W$1203,$A140,'ORDENES'!$O$4:$O$1203,$B140,'ORDENES'!$S$4:$S$1203,"preventiva")</f>
        <v/>
      </c>
      <c r="F140" s="17">
        <f>SUMIFS('ORDENES'!$M$4:$M$1203,'ORDENES'!$W$4:$W$1203,$A140,'ORDENES'!$O$4:$O$1203,$B140,'ORDENES'!$S$4:$S$1203,"correctiva")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>
      <c r="A141" s="3" t="inlineStr">
        <is>
          <t>AUT</t>
        </is>
      </c>
      <c r="B141" s="3">
        <f>$O$31</f>
        <v/>
      </c>
      <c r="C141" s="17">
        <f>SUMIFS('ASIGNACIONES'!$H$4:$H$339,'ASIGNACIONES'!$E$4:$E$339,$A141,'ASIGNACIONES'!$A$4:$A$339,$B141)</f>
        <v/>
      </c>
      <c r="D141" s="17">
        <f>C141*p_factor_productividad</f>
        <v/>
      </c>
      <c r="E141" s="17">
        <f>SUMIFS('ORDENES'!$M$4:$M$1203,'ORDENES'!$W$4:$W$1203,$A141,'ORDENES'!$O$4:$O$1203,$B141,'ORDENES'!$S$4:$S$1203,"preventiva")</f>
        <v/>
      </c>
      <c r="F141" s="17">
        <f>SUMIFS('ORDENES'!$M$4:$M$1203,'ORDENES'!$W$4:$W$1203,$A141,'ORDENES'!$O$4:$O$1203,$B141,'ORDENES'!$S$4:$S$1203,"correctiva")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>
      <c r="A142" s="3" t="inlineStr">
        <is>
          <t>OP</t>
        </is>
      </c>
      <c r="B142" s="3">
        <f>$O$31</f>
        <v/>
      </c>
      <c r="C142" s="17">
        <f>SUMIFS('ASIGNACIONES'!$H$4:$H$339,'ASIGNACIONES'!$E$4:$E$339,$A142,'ASIGNACIONES'!$A$4:$A$339,$B142)</f>
        <v/>
      </c>
      <c r="D142" s="17">
        <f>C142*p_factor_productividad</f>
        <v/>
      </c>
      <c r="E142" s="17">
        <f>SUMIFS('ORDENES'!$M$4:$M$1203,'ORDENES'!$W$4:$W$1203,$A142,'ORDENES'!$O$4:$O$1203,$B142,'ORDENES'!$S$4:$S$1203,"preventiva")</f>
        <v/>
      </c>
      <c r="F142" s="17">
        <f>SUMIFS('ORDENES'!$M$4:$M$1203,'ORDENES'!$W$4:$W$1203,$A142,'ORDENES'!$O$4:$O$1203,$B142,'ORDENES'!$S$4:$S$1203,"correctiva")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>
      <c r="A143" s="3" t="inlineStr">
        <is>
          <t>TERCERO</t>
        </is>
      </c>
      <c r="B143" s="3">
        <f>$O$31</f>
        <v/>
      </c>
      <c r="C143" s="17">
        <f>SUMIFS('ASIGNACIONES'!$H$4:$H$339,'ASIGNACIONES'!$E$4:$E$339,$A143,'ASIGNACIONES'!$A$4:$A$339,$B143)</f>
        <v/>
      </c>
      <c r="D143" s="17">
        <f>C143*p_factor_productividad</f>
        <v/>
      </c>
      <c r="E143" s="17">
        <f>SUMIFS('ORDENES'!$M$4:$M$1203,'ORDENES'!$W$4:$W$1203,$A143,'ORDENES'!$O$4:$O$1203,$B143,'ORDENES'!$S$4:$S$1203,"preventiva")</f>
        <v/>
      </c>
      <c r="F143" s="17">
        <f>SUMIFS('ORDENES'!$M$4:$M$1203,'ORDENES'!$W$4:$W$1203,$A143,'ORDENES'!$O$4:$O$1203,$B143,'ORDENES'!$S$4:$S$1203,"correctiva")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 hidden="1">
      <c r="A144" s="3" t="inlineStr">
        <is>
          <t>MEC</t>
        </is>
      </c>
      <c r="B144" s="3">
        <f>$O$32</f>
        <v/>
      </c>
      <c r="C144" s="17">
        <f>SUMIFS('ASIGNACIONES'!$H$4:$H$339,'ASIGNACIONES'!$E$4:$E$339,$A144,'ASIGNACIONES'!$A$4:$A$339,$B144)</f>
        <v/>
      </c>
      <c r="D144" s="17">
        <f>C144*p_factor_productividad</f>
        <v/>
      </c>
      <c r="E144" s="17">
        <f>SUMIFS('ORDENES'!$M$4:$M$1203,'ORDENES'!$W$4:$W$1203,$A144,'ORDENES'!$O$4:$O$1203,$B144,'ORDENES'!$S$4:$S$1203,"preventiva")</f>
        <v/>
      </c>
      <c r="F144" s="17">
        <f>SUMIFS('ORDENES'!$M$4:$M$1203,'ORDENES'!$W$4:$W$1203,$A144,'ORDENES'!$O$4:$O$1203,$B144,'ORDENES'!$S$4:$S$1203,"correctiva")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 hidden="1">
      <c r="A145" s="3" t="inlineStr">
        <is>
          <t>ELE</t>
        </is>
      </c>
      <c r="B145" s="3">
        <f>$O$32</f>
        <v/>
      </c>
      <c r="C145" s="17">
        <f>SUMIFS('ASIGNACIONES'!$H$4:$H$339,'ASIGNACIONES'!$E$4:$E$339,$A145,'ASIGNACIONES'!$A$4:$A$339,$B145)</f>
        <v/>
      </c>
      <c r="D145" s="17">
        <f>C145*p_factor_productividad</f>
        <v/>
      </c>
      <c r="E145" s="17">
        <f>SUMIFS('ORDENES'!$M$4:$M$1203,'ORDENES'!$W$4:$W$1203,$A145,'ORDENES'!$O$4:$O$1203,$B145,'ORDENES'!$S$4:$S$1203,"preventiva")</f>
        <v/>
      </c>
      <c r="F145" s="17">
        <f>SUMIFS('ORDENES'!$M$4:$M$1203,'ORDENES'!$W$4:$W$1203,$A145,'ORDENES'!$O$4:$O$1203,$B145,'ORDENES'!$S$4:$S$1203,"correctiva")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 hidden="1">
      <c r="A146" s="3" t="inlineStr">
        <is>
          <t>AUT</t>
        </is>
      </c>
      <c r="B146" s="3">
        <f>$O$32</f>
        <v/>
      </c>
      <c r="C146" s="17">
        <f>SUMIFS('ASIGNACIONES'!$H$4:$H$339,'ASIGNACIONES'!$E$4:$E$339,$A146,'ASIGNACIONES'!$A$4:$A$339,$B146)</f>
        <v/>
      </c>
      <c r="D146" s="17">
        <f>C146*p_factor_productividad</f>
        <v/>
      </c>
      <c r="E146" s="17">
        <f>SUMIFS('ORDENES'!$M$4:$M$1203,'ORDENES'!$W$4:$W$1203,$A146,'ORDENES'!$O$4:$O$1203,$B146,'ORDENES'!$S$4:$S$1203,"preventiva")</f>
        <v/>
      </c>
      <c r="F146" s="17">
        <f>SUMIFS('ORDENES'!$M$4:$M$1203,'ORDENES'!$W$4:$W$1203,$A146,'ORDENES'!$O$4:$O$1203,$B146,'ORDENES'!$S$4:$S$1203,"correctiva")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 hidden="1">
      <c r="A147" s="3" t="inlineStr">
        <is>
          <t>OP</t>
        </is>
      </c>
      <c r="B147" s="3">
        <f>$O$32</f>
        <v/>
      </c>
      <c r="C147" s="17">
        <f>SUMIFS('ASIGNACIONES'!$H$4:$H$339,'ASIGNACIONES'!$E$4:$E$339,$A147,'ASIGNACIONES'!$A$4:$A$339,$B147)</f>
        <v/>
      </c>
      <c r="D147" s="17">
        <f>C147*p_factor_productividad</f>
        <v/>
      </c>
      <c r="E147" s="17">
        <f>SUMIFS('ORDENES'!$M$4:$M$1203,'ORDENES'!$W$4:$W$1203,$A147,'ORDENES'!$O$4:$O$1203,$B147,'ORDENES'!$S$4:$S$1203,"preventiva")</f>
        <v/>
      </c>
      <c r="F147" s="17">
        <f>SUMIFS('ORDENES'!$M$4:$M$1203,'ORDENES'!$W$4:$W$1203,$A147,'ORDENES'!$O$4:$O$1203,$B147,'ORDENES'!$S$4:$S$1203,"correctiva")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 hidden="1">
      <c r="A148" s="3" t="inlineStr">
        <is>
          <t>TERCERO</t>
        </is>
      </c>
      <c r="B148" s="3">
        <f>$O$32</f>
        <v/>
      </c>
      <c r="C148" s="17">
        <f>SUMIFS('ASIGNACIONES'!$H$4:$H$339,'ASIGNACIONES'!$E$4:$E$339,$A148,'ASIGNACIONES'!$A$4:$A$339,$B148)</f>
        <v/>
      </c>
      <c r="D148" s="17">
        <f>C148*p_factor_productividad</f>
        <v/>
      </c>
      <c r="E148" s="17">
        <f>SUMIFS('ORDENES'!$M$4:$M$1203,'ORDENES'!$W$4:$W$1203,$A148,'ORDENES'!$O$4:$O$1203,$B148,'ORDENES'!$S$4:$S$1203,"preventiva")</f>
        <v/>
      </c>
      <c r="F148" s="17">
        <f>SUMIFS('ORDENES'!$M$4:$M$1203,'ORDENES'!$W$4:$W$1203,$A148,'ORDENES'!$O$4:$O$1203,$B148,'ORDENES'!$S$4:$S$1203,"correctiva")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 hidden="1">
      <c r="A149" s="3" t="inlineStr">
        <is>
          <t>MEC</t>
        </is>
      </c>
      <c r="B149" s="3">
        <f>$O$33</f>
        <v/>
      </c>
      <c r="C149" s="17">
        <f>SUMIFS('ASIGNACIONES'!$H$4:$H$339,'ASIGNACIONES'!$E$4:$E$339,$A149,'ASIGNACIONES'!$A$4:$A$339,$B149)</f>
        <v/>
      </c>
      <c r="D149" s="17">
        <f>C149*p_factor_productividad</f>
        <v/>
      </c>
      <c r="E149" s="17">
        <f>SUMIFS('ORDENES'!$M$4:$M$1203,'ORDENES'!$W$4:$W$1203,$A149,'ORDENES'!$O$4:$O$1203,$B149,'ORDENES'!$S$4:$S$1203,"preventiva")</f>
        <v/>
      </c>
      <c r="F149" s="17">
        <f>SUMIFS('ORDENES'!$M$4:$M$1203,'ORDENES'!$W$4:$W$1203,$A149,'ORDENES'!$O$4:$O$1203,$B149,'ORDENES'!$S$4:$S$1203,"correctiva")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 hidden="1">
      <c r="A150" s="3" t="inlineStr">
        <is>
          <t>ELE</t>
        </is>
      </c>
      <c r="B150" s="3">
        <f>$O$33</f>
        <v/>
      </c>
      <c r="C150" s="17">
        <f>SUMIFS('ASIGNACIONES'!$H$4:$H$339,'ASIGNACIONES'!$E$4:$E$339,$A150,'ASIGNACIONES'!$A$4:$A$339,$B150)</f>
        <v/>
      </c>
      <c r="D150" s="17">
        <f>C150*p_factor_productividad</f>
        <v/>
      </c>
      <c r="E150" s="17">
        <f>SUMIFS('ORDENES'!$M$4:$M$1203,'ORDENES'!$W$4:$W$1203,$A150,'ORDENES'!$O$4:$O$1203,$B150,'ORDENES'!$S$4:$S$1203,"preventiva")</f>
        <v/>
      </c>
      <c r="F150" s="17">
        <f>SUMIFS('ORDENES'!$M$4:$M$1203,'ORDENES'!$W$4:$W$1203,$A150,'ORDENES'!$O$4:$O$1203,$B150,'ORDENES'!$S$4:$S$1203,"correctiva")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 hidden="1">
      <c r="A151" s="3" t="inlineStr">
        <is>
          <t>AUT</t>
        </is>
      </c>
      <c r="B151" s="3">
        <f>$O$33</f>
        <v/>
      </c>
      <c r="C151" s="17">
        <f>SUMIFS('ASIGNACIONES'!$H$4:$H$339,'ASIGNACIONES'!$E$4:$E$339,$A151,'ASIGNACIONES'!$A$4:$A$339,$B151)</f>
        <v/>
      </c>
      <c r="D151" s="17">
        <f>C151*p_factor_productividad</f>
        <v/>
      </c>
      <c r="E151" s="17">
        <f>SUMIFS('ORDENES'!$M$4:$M$1203,'ORDENES'!$W$4:$W$1203,$A151,'ORDENES'!$O$4:$O$1203,$B151,'ORDENES'!$S$4:$S$1203,"preventiva")</f>
        <v/>
      </c>
      <c r="F151" s="17">
        <f>SUMIFS('ORDENES'!$M$4:$M$1203,'ORDENES'!$W$4:$W$1203,$A151,'ORDENES'!$O$4:$O$1203,$B151,'ORDENES'!$S$4:$S$1203,"correctiva")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OP</t>
        </is>
      </c>
      <c r="B152" s="3">
        <f>$O$33</f>
        <v/>
      </c>
      <c r="C152" s="17">
        <f>SUMIFS('ASIGNACIONES'!$H$4:$H$339,'ASIGNACIONES'!$E$4:$E$339,$A152,'ASIGNACIONES'!$A$4:$A$339,$B152)</f>
        <v/>
      </c>
      <c r="D152" s="17">
        <f>C152*p_factor_productividad</f>
        <v/>
      </c>
      <c r="E152" s="17">
        <f>SUMIFS('ORDENES'!$M$4:$M$1203,'ORDENES'!$W$4:$W$1203,$A152,'ORDENES'!$O$4:$O$1203,$B152,'ORDENES'!$S$4:$S$1203,"preventiva")</f>
        <v/>
      </c>
      <c r="F152" s="17">
        <f>SUMIFS('ORDENES'!$M$4:$M$1203,'ORDENES'!$W$4:$W$1203,$A152,'ORDENES'!$O$4:$O$1203,$B152,'ORDENES'!$S$4:$S$1203,"correctiva")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TERCERO</t>
        </is>
      </c>
      <c r="B153" s="3">
        <f>$O$33</f>
        <v/>
      </c>
      <c r="C153" s="17">
        <f>SUMIFS('ASIGNACIONES'!$H$4:$H$339,'ASIGNACIONES'!$E$4:$E$339,$A153,'ASIGNACIONES'!$A$4:$A$339,$B153)</f>
        <v/>
      </c>
      <c r="D153" s="17">
        <f>C153*p_factor_productividad</f>
        <v/>
      </c>
      <c r="E153" s="17">
        <f>SUMIFS('ORDENES'!$M$4:$M$1203,'ORDENES'!$W$4:$W$1203,$A153,'ORDENES'!$O$4:$O$1203,$B153,'ORDENES'!$S$4:$S$1203,"preventiva")</f>
        <v/>
      </c>
      <c r="F153" s="17">
        <f>SUMIFS('ORDENES'!$M$4:$M$1203,'ORDENES'!$W$4:$W$1203,$A153,'ORDENES'!$O$4:$O$1203,$B153,'ORDENES'!$S$4:$S$1203,"correctiva")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MEC</t>
        </is>
      </c>
      <c r="B154" s="3">
        <f>$O$34</f>
        <v/>
      </c>
      <c r="C154" s="17">
        <f>SUMIFS('ASIGNACIONES'!$H$4:$H$339,'ASIGNACIONES'!$E$4:$E$339,$A154,'ASIGNACIONES'!$A$4:$A$339,$B154)</f>
        <v/>
      </c>
      <c r="D154" s="17">
        <f>C154*p_factor_productividad</f>
        <v/>
      </c>
      <c r="E154" s="17">
        <f>SUMIFS('ORDENES'!$M$4:$M$1203,'ORDENES'!$W$4:$W$1203,$A154,'ORDENES'!$O$4:$O$1203,$B154,'ORDENES'!$S$4:$S$1203,"preventiva")</f>
        <v/>
      </c>
      <c r="F154" s="17">
        <f>SUMIFS('ORDENES'!$M$4:$M$1203,'ORDENES'!$W$4:$W$1203,$A154,'ORDENES'!$O$4:$O$1203,$B154,'ORDENES'!$S$4:$S$1203,"correctiva")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ELE</t>
        </is>
      </c>
      <c r="B155" s="3">
        <f>$O$34</f>
        <v/>
      </c>
      <c r="C155" s="17">
        <f>SUMIFS('ASIGNACIONES'!$H$4:$H$339,'ASIGNACIONES'!$E$4:$E$339,$A155,'ASIGNACIONES'!$A$4:$A$339,$B155)</f>
        <v/>
      </c>
      <c r="D155" s="17">
        <f>C155*p_factor_productividad</f>
        <v/>
      </c>
      <c r="E155" s="17">
        <f>SUMIFS('ORDENES'!$M$4:$M$1203,'ORDENES'!$W$4:$W$1203,$A155,'ORDENES'!$O$4:$O$1203,$B155,'ORDENES'!$S$4:$S$1203,"preventiva")</f>
        <v/>
      </c>
      <c r="F155" s="17">
        <f>SUMIFS('ORDENES'!$M$4:$M$1203,'ORDENES'!$W$4:$W$1203,$A155,'ORDENES'!$O$4:$O$1203,$B155,'ORDENES'!$S$4:$S$1203,"correctiva")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AUT</t>
        </is>
      </c>
      <c r="B156" s="3">
        <f>$O$34</f>
        <v/>
      </c>
      <c r="C156" s="17">
        <f>SUMIFS('ASIGNACIONES'!$H$4:$H$339,'ASIGNACIONES'!$E$4:$E$339,$A156,'ASIGNACIONES'!$A$4:$A$339,$B156)</f>
        <v/>
      </c>
      <c r="D156" s="17">
        <f>C156*p_factor_productividad</f>
        <v/>
      </c>
      <c r="E156" s="17">
        <f>SUMIFS('ORDENES'!$M$4:$M$1203,'ORDENES'!$W$4:$W$1203,$A156,'ORDENES'!$O$4:$O$1203,$B156,'ORDENES'!$S$4:$S$1203,"preventiva")</f>
        <v/>
      </c>
      <c r="F156" s="17">
        <f>SUMIFS('ORDENES'!$M$4:$M$1203,'ORDENES'!$W$4:$W$1203,$A156,'ORDENES'!$O$4:$O$1203,$B156,'ORDENES'!$S$4:$S$1203,"correctiva")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OP</t>
        </is>
      </c>
      <c r="B157" s="3">
        <f>$O$34</f>
        <v/>
      </c>
      <c r="C157" s="17">
        <f>SUMIFS('ASIGNACIONES'!$H$4:$H$339,'ASIGNACIONES'!$E$4:$E$339,$A157,'ASIGNACIONES'!$A$4:$A$339,$B157)</f>
        <v/>
      </c>
      <c r="D157" s="17">
        <f>C157*p_factor_productividad</f>
        <v/>
      </c>
      <c r="E157" s="17">
        <f>SUMIFS('ORDENES'!$M$4:$M$1203,'ORDENES'!$W$4:$W$1203,$A157,'ORDENES'!$O$4:$O$1203,$B157,'ORDENES'!$S$4:$S$1203,"preventiva")</f>
        <v/>
      </c>
      <c r="F157" s="17">
        <f>SUMIFS('ORDENES'!$M$4:$M$1203,'ORDENES'!$W$4:$W$1203,$A157,'ORDENES'!$O$4:$O$1203,$B157,'ORDENES'!$S$4:$S$1203,"correctiva")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TERCERO</t>
        </is>
      </c>
      <c r="B158" s="3">
        <f>$O$34</f>
        <v/>
      </c>
      <c r="C158" s="17">
        <f>SUMIFS('ASIGNACIONES'!$H$4:$H$339,'ASIGNACIONES'!$E$4:$E$339,$A158,'ASIGNACIONES'!$A$4:$A$339,$B158)</f>
        <v/>
      </c>
      <c r="D158" s="17">
        <f>C158*p_factor_productividad</f>
        <v/>
      </c>
      <c r="E158" s="17">
        <f>SUMIFS('ORDENES'!$M$4:$M$1203,'ORDENES'!$W$4:$W$1203,$A158,'ORDENES'!$O$4:$O$1203,$B158,'ORDENES'!$S$4:$S$1203,"preventiva")</f>
        <v/>
      </c>
      <c r="F158" s="17">
        <f>SUMIFS('ORDENES'!$M$4:$M$1203,'ORDENES'!$W$4:$W$1203,$A158,'ORDENES'!$O$4:$O$1203,$B158,'ORDENES'!$S$4:$S$1203,"correctiva")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MEC</t>
        </is>
      </c>
      <c r="B159" s="3">
        <f>$O$35</f>
        <v/>
      </c>
      <c r="C159" s="17">
        <f>SUMIFS('ASIGNACIONES'!$H$4:$H$339,'ASIGNACIONES'!$E$4:$E$339,$A159,'ASIGNACIONES'!$A$4:$A$339,$B159)</f>
        <v/>
      </c>
      <c r="D159" s="17">
        <f>C159*p_factor_productividad</f>
        <v/>
      </c>
      <c r="E159" s="17">
        <f>SUMIFS('ORDENES'!$M$4:$M$1203,'ORDENES'!$W$4:$W$1203,$A159,'ORDENES'!$O$4:$O$1203,$B159,'ORDENES'!$S$4:$S$1203,"preventiva")</f>
        <v/>
      </c>
      <c r="F159" s="17">
        <f>SUMIFS('ORDENES'!$M$4:$M$1203,'ORDENES'!$W$4:$W$1203,$A159,'ORDENES'!$O$4:$O$1203,$B159,'ORDENES'!$S$4:$S$1203,"correctiva")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ELE</t>
        </is>
      </c>
      <c r="B160" s="3">
        <f>$O$35</f>
        <v/>
      </c>
      <c r="C160" s="17">
        <f>SUMIFS('ASIGNACIONES'!$H$4:$H$339,'ASIGNACIONES'!$E$4:$E$339,$A160,'ASIGNACIONES'!$A$4:$A$339,$B160)</f>
        <v/>
      </c>
      <c r="D160" s="17">
        <f>C160*p_factor_productividad</f>
        <v/>
      </c>
      <c r="E160" s="17">
        <f>SUMIFS('ORDENES'!$M$4:$M$1203,'ORDENES'!$W$4:$W$1203,$A160,'ORDENES'!$O$4:$O$1203,$B160,'ORDENES'!$S$4:$S$1203,"preventiva")</f>
        <v/>
      </c>
      <c r="F160" s="17">
        <f>SUMIFS('ORDENES'!$M$4:$M$1203,'ORDENES'!$W$4:$W$1203,$A160,'ORDENES'!$O$4:$O$1203,$B160,'ORDENES'!$S$4:$S$1203,"correctiva")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AUT</t>
        </is>
      </c>
      <c r="B161" s="3">
        <f>$O$35</f>
        <v/>
      </c>
      <c r="C161" s="17">
        <f>SUMIFS('ASIGNACIONES'!$H$4:$H$339,'ASIGNACIONES'!$E$4:$E$339,$A161,'ASIGNACIONES'!$A$4:$A$339,$B161)</f>
        <v/>
      </c>
      <c r="D161" s="17">
        <f>C161*p_factor_productividad</f>
        <v/>
      </c>
      <c r="E161" s="17">
        <f>SUMIFS('ORDENES'!$M$4:$M$1203,'ORDENES'!$W$4:$W$1203,$A161,'ORDENES'!$O$4:$O$1203,$B161,'ORDENES'!$S$4:$S$1203,"preventiva")</f>
        <v/>
      </c>
      <c r="F161" s="17">
        <f>SUMIFS('ORDENES'!$M$4:$M$1203,'ORDENES'!$W$4:$W$1203,$A161,'ORDENES'!$O$4:$O$1203,$B161,'ORDENES'!$S$4:$S$1203,"correctiva")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OP</t>
        </is>
      </c>
      <c r="B162" s="3">
        <f>$O$35</f>
        <v/>
      </c>
      <c r="C162" s="17">
        <f>SUMIFS('ASIGNACIONES'!$H$4:$H$339,'ASIGNACIONES'!$E$4:$E$339,$A162,'ASIGNACIONES'!$A$4:$A$339,$B162)</f>
        <v/>
      </c>
      <c r="D162" s="17">
        <f>C162*p_factor_productividad</f>
        <v/>
      </c>
      <c r="E162" s="17">
        <f>SUMIFS('ORDENES'!$M$4:$M$1203,'ORDENES'!$W$4:$W$1203,$A162,'ORDENES'!$O$4:$O$1203,$B162,'ORDENES'!$S$4:$S$1203,"preventiva")</f>
        <v/>
      </c>
      <c r="F162" s="17">
        <f>SUMIFS('ORDENES'!$M$4:$M$1203,'ORDENES'!$W$4:$W$1203,$A162,'ORDENES'!$O$4:$O$1203,$B162,'ORDENES'!$S$4:$S$1203,"correctiva")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$O$35</f>
        <v/>
      </c>
      <c r="C163" s="17">
        <f>SUMIFS('ASIGNACIONES'!$H$4:$H$339,'ASIGNACIONES'!$E$4:$E$339,$A163,'ASIGNACIONES'!$A$4:$A$339,$B163)</f>
        <v/>
      </c>
      <c r="D163" s="17">
        <f>C163*p_factor_productividad</f>
        <v/>
      </c>
      <c r="E163" s="17">
        <f>SUMIFS('ORDENES'!$M$4:$M$1203,'ORDENES'!$W$4:$W$1203,$A163,'ORDENES'!$O$4:$O$1203,$B163,'ORDENES'!$S$4:$S$1203,"preventiva")</f>
        <v/>
      </c>
      <c r="F163" s="17">
        <f>SUMIFS('ORDENES'!$M$4:$M$1203,'ORDENES'!$W$4:$W$1203,$A163,'ORDENES'!$O$4:$O$1203,$B163,'ORDENES'!$S$4:$S$1203,"correctiva")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$O$36</f>
        <v/>
      </c>
      <c r="C164" s="17">
        <f>SUMIFS('ASIGNACIONES'!$H$4:$H$339,'ASIGNACIONES'!$E$4:$E$339,$A164,'ASIGNACIONES'!$A$4:$A$339,$B164)</f>
        <v/>
      </c>
      <c r="D164" s="17">
        <f>C164*p_factor_productividad</f>
        <v/>
      </c>
      <c r="E164" s="17">
        <f>SUMIFS('ORDENES'!$M$4:$M$1203,'ORDENES'!$W$4:$W$1203,$A164,'ORDENES'!$O$4:$O$1203,$B164,'ORDENES'!$S$4:$S$1203,"preventiva")</f>
        <v/>
      </c>
      <c r="F164" s="17">
        <f>SUMIFS('ORDENES'!$M$4:$M$1203,'ORDENES'!$W$4:$W$1203,$A164,'ORDENES'!$O$4:$O$1203,$B164,'ORDENES'!$S$4:$S$1203,"correctiva")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$O$36</f>
        <v/>
      </c>
      <c r="C165" s="17">
        <f>SUMIFS('ASIGNACIONES'!$H$4:$H$339,'ASIGNACIONES'!$E$4:$E$339,$A165,'ASIGNACIONES'!$A$4:$A$339,$B165)</f>
        <v/>
      </c>
      <c r="D165" s="17">
        <f>C165*p_factor_productividad</f>
        <v/>
      </c>
      <c r="E165" s="17">
        <f>SUMIFS('ORDENES'!$M$4:$M$1203,'ORDENES'!$W$4:$W$1203,$A165,'ORDENES'!$O$4:$O$1203,$B165,'ORDENES'!$S$4:$S$1203,"preventiva")</f>
        <v/>
      </c>
      <c r="F165" s="17">
        <f>SUMIFS('ORDENES'!$M$4:$M$1203,'ORDENES'!$W$4:$W$1203,$A165,'ORDENES'!$O$4:$O$1203,$B165,'ORDENES'!$S$4:$S$1203,"correctiva")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$O$36</f>
        <v/>
      </c>
      <c r="C166" s="17">
        <f>SUMIFS('ASIGNACIONES'!$H$4:$H$339,'ASIGNACIONES'!$E$4:$E$339,$A166,'ASIGNACIONES'!$A$4:$A$339,$B166)</f>
        <v/>
      </c>
      <c r="D166" s="17">
        <f>C166*p_factor_productividad</f>
        <v/>
      </c>
      <c r="E166" s="17">
        <f>SUMIFS('ORDENES'!$M$4:$M$1203,'ORDENES'!$W$4:$W$1203,$A166,'ORDENES'!$O$4:$O$1203,$B166,'ORDENES'!$S$4:$S$1203,"preventiva")</f>
        <v/>
      </c>
      <c r="F166" s="17">
        <f>SUMIFS('ORDENES'!$M$4:$M$1203,'ORDENES'!$W$4:$W$1203,$A166,'ORDENES'!$O$4:$O$1203,$B166,'ORDENES'!$S$4:$S$1203,"correctiva")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OP</t>
        </is>
      </c>
      <c r="B167" s="3">
        <f>$O$36</f>
        <v/>
      </c>
      <c r="C167" s="17">
        <f>SUMIFS('ASIGNACIONES'!$H$4:$H$339,'ASIGNACIONES'!$E$4:$E$339,$A167,'ASIGNACIONES'!$A$4:$A$339,$B167)</f>
        <v/>
      </c>
      <c r="D167" s="17">
        <f>C167*p_factor_productividad</f>
        <v/>
      </c>
      <c r="E167" s="17">
        <f>SUMIFS('ORDENES'!$M$4:$M$1203,'ORDENES'!$W$4:$W$1203,$A167,'ORDENES'!$O$4:$O$1203,$B167,'ORDENES'!$S$4:$S$1203,"preventiva")</f>
        <v/>
      </c>
      <c r="F167" s="17">
        <f>SUMIFS('ORDENES'!$M$4:$M$1203,'ORDENES'!$W$4:$W$1203,$A167,'ORDENES'!$O$4:$O$1203,$B167,'ORDENES'!$S$4:$S$1203,"correctiva")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TERCERO</t>
        </is>
      </c>
      <c r="B168" s="3">
        <f>$O$36</f>
        <v/>
      </c>
      <c r="C168" s="17">
        <f>SUMIFS('ASIGNACIONES'!$H$4:$H$339,'ASIGNACIONES'!$E$4:$E$339,$A168,'ASIGNACIONES'!$A$4:$A$339,$B168)</f>
        <v/>
      </c>
      <c r="D168" s="17">
        <f>C168*p_factor_productividad</f>
        <v/>
      </c>
      <c r="E168" s="17">
        <f>SUMIFS('ORDENES'!$M$4:$M$1203,'ORDENES'!$W$4:$W$1203,$A168,'ORDENES'!$O$4:$O$1203,$B168,'ORDENES'!$S$4:$S$1203,"preventiva")</f>
        <v/>
      </c>
      <c r="F168" s="17">
        <f>SUMIFS('ORDENES'!$M$4:$M$1203,'ORDENES'!$W$4:$W$1203,$A168,'ORDENES'!$O$4:$O$1203,$B168,'ORDENES'!$S$4:$S$1203,"correctiva")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MEC</t>
        </is>
      </c>
      <c r="B169" s="3">
        <f>$O$37</f>
        <v/>
      </c>
      <c r="C169" s="17">
        <f>SUMIFS('ASIGNACIONES'!$H$4:$H$339,'ASIGNACIONES'!$E$4:$E$339,$A169,'ASIGNACIONES'!$A$4:$A$339,$B169)</f>
        <v/>
      </c>
      <c r="D169" s="17">
        <f>C169*p_factor_productividad</f>
        <v/>
      </c>
      <c r="E169" s="17">
        <f>SUMIFS('ORDENES'!$M$4:$M$1203,'ORDENES'!$W$4:$W$1203,$A169,'ORDENES'!$O$4:$O$1203,$B169,'ORDENES'!$S$4:$S$1203,"preventiva")</f>
        <v/>
      </c>
      <c r="F169" s="17">
        <f>SUMIFS('ORDENES'!$M$4:$M$1203,'ORDENES'!$W$4:$W$1203,$A169,'ORDENES'!$O$4:$O$1203,$B169,'ORDENES'!$S$4:$S$1203,"correctiva")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ELE</t>
        </is>
      </c>
      <c r="B170" s="3">
        <f>$O$37</f>
        <v/>
      </c>
      <c r="C170" s="17">
        <f>SUMIFS('ASIGNACIONES'!$H$4:$H$339,'ASIGNACIONES'!$E$4:$E$339,$A170,'ASIGNACIONES'!$A$4:$A$339,$B170)</f>
        <v/>
      </c>
      <c r="D170" s="17">
        <f>C170*p_factor_productividad</f>
        <v/>
      </c>
      <c r="E170" s="17">
        <f>SUMIFS('ORDENES'!$M$4:$M$1203,'ORDENES'!$W$4:$W$1203,$A170,'ORDENES'!$O$4:$O$1203,$B170,'ORDENES'!$S$4:$S$1203,"preventiva")</f>
        <v/>
      </c>
      <c r="F170" s="17">
        <f>SUMIFS('ORDENES'!$M$4:$M$1203,'ORDENES'!$W$4:$W$1203,$A170,'ORDENES'!$O$4:$O$1203,$B170,'ORDENES'!$S$4:$S$1203,"correctiva")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AUT</t>
        </is>
      </c>
      <c r="B171" s="3">
        <f>$O$37</f>
        <v/>
      </c>
      <c r="C171" s="17">
        <f>SUMIFS('ASIGNACIONES'!$H$4:$H$339,'ASIGNACIONES'!$E$4:$E$339,$A171,'ASIGNACIONES'!$A$4:$A$339,$B171)</f>
        <v/>
      </c>
      <c r="D171" s="17">
        <f>C171*p_factor_productividad</f>
        <v/>
      </c>
      <c r="E171" s="17">
        <f>SUMIFS('ORDENES'!$M$4:$M$1203,'ORDENES'!$W$4:$W$1203,$A171,'ORDENES'!$O$4:$O$1203,$B171,'ORDENES'!$S$4:$S$1203,"preventiva")</f>
        <v/>
      </c>
      <c r="F171" s="17">
        <f>SUMIFS('ORDENES'!$M$4:$M$1203,'ORDENES'!$W$4:$W$1203,$A171,'ORDENES'!$O$4:$O$1203,$B171,'ORDENES'!$S$4:$S$1203,"correctiva")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OP</t>
        </is>
      </c>
      <c r="B172" s="3">
        <f>$O$37</f>
        <v/>
      </c>
      <c r="C172" s="17">
        <f>SUMIFS('ASIGNACIONES'!$H$4:$H$339,'ASIGNACIONES'!$E$4:$E$339,$A172,'ASIGNACIONES'!$A$4:$A$339,$B172)</f>
        <v/>
      </c>
      <c r="D172" s="17">
        <f>C172*p_factor_productividad</f>
        <v/>
      </c>
      <c r="E172" s="17">
        <f>SUMIFS('ORDENES'!$M$4:$M$1203,'ORDENES'!$W$4:$W$1203,$A172,'ORDENES'!$O$4:$O$1203,$B172,'ORDENES'!$S$4:$S$1203,"preventiva")</f>
        <v/>
      </c>
      <c r="F172" s="17">
        <f>SUMIFS('ORDENES'!$M$4:$M$1203,'ORDENES'!$W$4:$W$1203,$A172,'ORDENES'!$O$4:$O$1203,$B172,'ORDENES'!$S$4:$S$1203,"correctiva")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TERCERO</t>
        </is>
      </c>
      <c r="B173" s="3">
        <f>$O$37</f>
        <v/>
      </c>
      <c r="C173" s="17">
        <f>SUMIFS('ASIGNACIONES'!$H$4:$H$339,'ASIGNACIONES'!$E$4:$E$339,$A173,'ASIGNACIONES'!$A$4:$A$339,$B173)</f>
        <v/>
      </c>
      <c r="D173" s="17">
        <f>C173*p_factor_productividad</f>
        <v/>
      </c>
      <c r="E173" s="17">
        <f>SUMIFS('ORDENES'!$M$4:$M$1203,'ORDENES'!$W$4:$W$1203,$A173,'ORDENES'!$O$4:$O$1203,$B173,'ORDENES'!$S$4:$S$1203,"preventiva")</f>
        <v/>
      </c>
      <c r="F173" s="17">
        <f>SUMIFS('ORDENES'!$M$4:$M$1203,'ORDENES'!$W$4:$W$1203,$A173,'ORDENES'!$O$4:$O$1203,$B173,'ORDENES'!$S$4:$S$1203,"correctiva")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MEC</t>
        </is>
      </c>
      <c r="B174" s="3">
        <f>$O$38</f>
        <v/>
      </c>
      <c r="C174" s="17">
        <f>SUMIFS('ASIGNACIONES'!$H$4:$H$339,'ASIGNACIONES'!$E$4:$E$339,$A174,'ASIGNACIONES'!$A$4:$A$339,$B174)</f>
        <v/>
      </c>
      <c r="D174" s="17">
        <f>C174*p_factor_productividad</f>
        <v/>
      </c>
      <c r="E174" s="17">
        <f>SUMIFS('ORDENES'!$M$4:$M$1203,'ORDENES'!$W$4:$W$1203,$A174,'ORDENES'!$O$4:$O$1203,$B174,'ORDENES'!$S$4:$S$1203,"preventiva")</f>
        <v/>
      </c>
      <c r="F174" s="17">
        <f>SUMIFS('ORDENES'!$M$4:$M$1203,'ORDENES'!$W$4:$W$1203,$A174,'ORDENES'!$O$4:$O$1203,$B174,'ORDENES'!$S$4:$S$1203,"correctiva")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ELE</t>
        </is>
      </c>
      <c r="B175" s="3">
        <f>$O$38</f>
        <v/>
      </c>
      <c r="C175" s="17">
        <f>SUMIFS('ASIGNACIONES'!$H$4:$H$339,'ASIGNACIONES'!$E$4:$E$339,$A175,'ASIGNACIONES'!$A$4:$A$339,$B175)</f>
        <v/>
      </c>
      <c r="D175" s="17">
        <f>C175*p_factor_productividad</f>
        <v/>
      </c>
      <c r="E175" s="17">
        <f>SUMIFS('ORDENES'!$M$4:$M$1203,'ORDENES'!$W$4:$W$1203,$A175,'ORDENES'!$O$4:$O$1203,$B175,'ORDENES'!$S$4:$S$1203,"preventiva")</f>
        <v/>
      </c>
      <c r="F175" s="17">
        <f>SUMIFS('ORDENES'!$M$4:$M$1203,'ORDENES'!$W$4:$W$1203,$A175,'ORDENES'!$O$4:$O$1203,$B175,'ORDENES'!$S$4:$S$1203,"correctiva")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AUT</t>
        </is>
      </c>
      <c r="B176" s="3">
        <f>$O$38</f>
        <v/>
      </c>
      <c r="C176" s="17">
        <f>SUMIFS('ASIGNACIONES'!$H$4:$H$339,'ASIGNACIONES'!$E$4:$E$339,$A176,'ASIGNACIONES'!$A$4:$A$339,$B176)</f>
        <v/>
      </c>
      <c r="D176" s="17">
        <f>C176*p_factor_productividad</f>
        <v/>
      </c>
      <c r="E176" s="17">
        <f>SUMIFS('ORDENES'!$M$4:$M$1203,'ORDENES'!$W$4:$W$1203,$A176,'ORDENES'!$O$4:$O$1203,$B176,'ORDENES'!$S$4:$S$1203,"preventiva")</f>
        <v/>
      </c>
      <c r="F176" s="17">
        <f>SUMIFS('ORDENES'!$M$4:$M$1203,'ORDENES'!$W$4:$W$1203,$A176,'ORDENES'!$O$4:$O$1203,$B176,'ORDENES'!$S$4:$S$1203,"correctiva")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OP</t>
        </is>
      </c>
      <c r="B177" s="3">
        <f>$O$38</f>
        <v/>
      </c>
      <c r="C177" s="17">
        <f>SUMIFS('ASIGNACIONES'!$H$4:$H$339,'ASIGNACIONES'!$E$4:$E$339,$A177,'ASIGNACIONES'!$A$4:$A$339,$B177)</f>
        <v/>
      </c>
      <c r="D177" s="17">
        <f>C177*p_factor_productividad</f>
        <v/>
      </c>
      <c r="E177" s="17">
        <f>SUMIFS('ORDENES'!$M$4:$M$1203,'ORDENES'!$W$4:$W$1203,$A177,'ORDENES'!$O$4:$O$1203,$B177,'ORDENES'!$S$4:$S$1203,"preventiva")</f>
        <v/>
      </c>
      <c r="F177" s="17">
        <f>SUMIFS('ORDENES'!$M$4:$M$1203,'ORDENES'!$W$4:$W$1203,$A177,'ORDENES'!$O$4:$O$1203,$B177,'ORDENES'!$S$4:$S$1203,"correctiva")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TERCERO</t>
        </is>
      </c>
      <c r="B178" s="3">
        <f>$O$38</f>
        <v/>
      </c>
      <c r="C178" s="17">
        <f>SUMIFS('ASIGNACIONES'!$H$4:$H$339,'ASIGNACIONES'!$E$4:$E$339,$A178,'ASIGNACIONES'!$A$4:$A$339,$B178)</f>
        <v/>
      </c>
      <c r="D178" s="17">
        <f>C178*p_factor_productividad</f>
        <v/>
      </c>
      <c r="E178" s="17">
        <f>SUMIFS('ORDENES'!$M$4:$M$1203,'ORDENES'!$W$4:$W$1203,$A178,'ORDENES'!$O$4:$O$1203,$B178,'ORDENES'!$S$4:$S$1203,"preventiva")</f>
        <v/>
      </c>
      <c r="F178" s="17">
        <f>SUMIFS('ORDENES'!$M$4:$M$1203,'ORDENES'!$W$4:$W$1203,$A178,'ORDENES'!$O$4:$O$1203,$B178,'ORDENES'!$S$4:$S$1203,"correctiva")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MEC</t>
        </is>
      </c>
      <c r="B179" s="3">
        <f>$O$39</f>
        <v/>
      </c>
      <c r="C179" s="17">
        <f>SUMIFS('ASIGNACIONES'!$H$4:$H$339,'ASIGNACIONES'!$E$4:$E$339,$A179,'ASIGNACIONES'!$A$4:$A$339,$B179)</f>
        <v/>
      </c>
      <c r="D179" s="17">
        <f>C179*p_factor_productividad</f>
        <v/>
      </c>
      <c r="E179" s="17">
        <f>SUMIFS('ORDENES'!$M$4:$M$1203,'ORDENES'!$W$4:$W$1203,$A179,'ORDENES'!$O$4:$O$1203,$B179,'ORDENES'!$S$4:$S$1203,"preventiva")</f>
        <v/>
      </c>
      <c r="F179" s="17">
        <f>SUMIFS('ORDENES'!$M$4:$M$1203,'ORDENES'!$W$4:$W$1203,$A179,'ORDENES'!$O$4:$O$1203,$B179,'ORDENES'!$S$4:$S$1203,"correctiva")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 hidden="1">
      <c r="A180" s="3" t="inlineStr">
        <is>
          <t>ELE</t>
        </is>
      </c>
      <c r="B180" s="3">
        <f>$O$39</f>
        <v/>
      </c>
      <c r="C180" s="17">
        <f>SUMIFS('ASIGNACIONES'!$H$4:$H$339,'ASIGNACIONES'!$E$4:$E$339,$A180,'ASIGNACIONES'!$A$4:$A$339,$B180)</f>
        <v/>
      </c>
      <c r="D180" s="17">
        <f>C180*p_factor_productividad</f>
        <v/>
      </c>
      <c r="E180" s="17">
        <f>SUMIFS('ORDENES'!$M$4:$M$1203,'ORDENES'!$W$4:$W$1203,$A180,'ORDENES'!$O$4:$O$1203,$B180,'ORDENES'!$S$4:$S$1203,"preventiva")</f>
        <v/>
      </c>
      <c r="F180" s="17">
        <f>SUMIFS('ORDENES'!$M$4:$M$1203,'ORDENES'!$W$4:$W$1203,$A180,'ORDENES'!$O$4:$O$1203,$B180,'ORDENES'!$S$4:$S$1203,"correctiva")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 hidden="1">
      <c r="A181" s="3" t="inlineStr">
        <is>
          <t>AUT</t>
        </is>
      </c>
      <c r="B181" s="3">
        <f>$O$39</f>
        <v/>
      </c>
      <c r="C181" s="17">
        <f>SUMIFS('ASIGNACIONES'!$H$4:$H$339,'ASIGNACIONES'!$E$4:$E$339,$A181,'ASIGNACIONES'!$A$4:$A$339,$B181)</f>
        <v/>
      </c>
      <c r="D181" s="17">
        <f>C181*p_factor_productividad</f>
        <v/>
      </c>
      <c r="E181" s="17">
        <f>SUMIFS('ORDENES'!$M$4:$M$1203,'ORDENES'!$W$4:$W$1203,$A181,'ORDENES'!$O$4:$O$1203,$B181,'ORDENES'!$S$4:$S$1203,"preventiva")</f>
        <v/>
      </c>
      <c r="F181" s="17">
        <f>SUMIFS('ORDENES'!$M$4:$M$1203,'ORDENES'!$W$4:$W$1203,$A181,'ORDENES'!$O$4:$O$1203,$B181,'ORDENES'!$S$4:$S$1203,"correctiva")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 hidden="1">
      <c r="A182" s="3" t="inlineStr">
        <is>
          <t>OP</t>
        </is>
      </c>
      <c r="B182" s="3">
        <f>$O$39</f>
        <v/>
      </c>
      <c r="C182" s="17">
        <f>SUMIFS('ASIGNACIONES'!$H$4:$H$339,'ASIGNACIONES'!$E$4:$E$339,$A182,'ASIGNACIONES'!$A$4:$A$339,$B182)</f>
        <v/>
      </c>
      <c r="D182" s="17">
        <f>C182*p_factor_productividad</f>
        <v/>
      </c>
      <c r="E182" s="17">
        <f>SUMIFS('ORDENES'!$M$4:$M$1203,'ORDENES'!$W$4:$W$1203,$A182,'ORDENES'!$O$4:$O$1203,$B182,'ORDENES'!$S$4:$S$1203,"preventiva")</f>
        <v/>
      </c>
      <c r="F182" s="17">
        <f>SUMIFS('ORDENES'!$M$4:$M$1203,'ORDENES'!$W$4:$W$1203,$A182,'ORDENES'!$O$4:$O$1203,$B182,'ORDENES'!$S$4:$S$1203,"correctiva")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 hidden="1">
      <c r="A183" s="3" t="inlineStr">
        <is>
          <t>TERCERO</t>
        </is>
      </c>
      <c r="B183" s="3">
        <f>$O$39</f>
        <v/>
      </c>
      <c r="C183" s="17">
        <f>SUMIFS('ASIGNACIONES'!$H$4:$H$339,'ASIGNACIONES'!$E$4:$E$339,$A183,'ASIGNACIONES'!$A$4:$A$339,$B183)</f>
        <v/>
      </c>
      <c r="D183" s="17">
        <f>C183*p_factor_productividad</f>
        <v/>
      </c>
      <c r="E183" s="17">
        <f>SUMIFS('ORDENES'!$M$4:$M$1203,'ORDENES'!$W$4:$W$1203,$A183,'ORDENES'!$O$4:$O$1203,$B183,'ORDENES'!$S$4:$S$1203,"preventiva")</f>
        <v/>
      </c>
      <c r="F183" s="17">
        <f>SUMIFS('ORDENES'!$M$4:$M$1203,'ORDENES'!$W$4:$W$1203,$A183,'ORDENES'!$O$4:$O$1203,$B183,'ORDENES'!$S$4:$S$1203,"correctiva")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$O$40</f>
        <v/>
      </c>
      <c r="C184" s="17">
        <f>SUMIFS('ASIGNACIONES'!$H$4:$H$339,'ASIGNACIONES'!$E$4:$E$339,$A184,'ASIGNACIONES'!$A$4:$A$339,$B184)</f>
        <v/>
      </c>
      <c r="D184" s="17">
        <f>C184*p_factor_productividad</f>
        <v/>
      </c>
      <c r="E184" s="17">
        <f>SUMIFS('ORDENES'!$M$4:$M$1203,'ORDENES'!$W$4:$W$1203,$A184,'ORDENES'!$O$4:$O$1203,$B184,'ORDENES'!$S$4:$S$1203,"preventiva")</f>
        <v/>
      </c>
      <c r="F184" s="17">
        <f>SUMIFS('ORDENES'!$M$4:$M$1203,'ORDENES'!$W$4:$W$1203,$A184,'ORDENES'!$O$4:$O$1203,$B184,'ORDENES'!$S$4:$S$1203,"correctiva")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$O$40</f>
        <v/>
      </c>
      <c r="C185" s="17">
        <f>SUMIFS('ASIGNACIONES'!$H$4:$H$339,'ASIGNACIONES'!$E$4:$E$339,$A185,'ASIGNACIONES'!$A$4:$A$339,$B185)</f>
        <v/>
      </c>
      <c r="D185" s="17">
        <f>C185*p_factor_productividad</f>
        <v/>
      </c>
      <c r="E185" s="17">
        <f>SUMIFS('ORDENES'!$M$4:$M$1203,'ORDENES'!$W$4:$W$1203,$A185,'ORDENES'!$O$4:$O$1203,$B185,'ORDENES'!$S$4:$S$1203,"preventiva")</f>
        <v/>
      </c>
      <c r="F185" s="17">
        <f>SUMIFS('ORDENES'!$M$4:$M$1203,'ORDENES'!$W$4:$W$1203,$A185,'ORDENES'!$O$4:$O$1203,$B185,'ORDENES'!$S$4:$S$1203,"correctiva")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$O$40</f>
        <v/>
      </c>
      <c r="C186" s="17">
        <f>SUMIFS('ASIGNACIONES'!$H$4:$H$339,'ASIGNACIONES'!$E$4:$E$339,$A186,'ASIGNACIONES'!$A$4:$A$339,$B186)</f>
        <v/>
      </c>
      <c r="D186" s="17">
        <f>C186*p_factor_productividad</f>
        <v/>
      </c>
      <c r="E186" s="17">
        <f>SUMIFS('ORDENES'!$M$4:$M$1203,'ORDENES'!$W$4:$W$1203,$A186,'ORDENES'!$O$4:$O$1203,$B186,'ORDENES'!$S$4:$S$1203,"preventiva")</f>
        <v/>
      </c>
      <c r="F186" s="17">
        <f>SUMIFS('ORDENES'!$M$4:$M$1203,'ORDENES'!$W$4:$W$1203,$A186,'ORDENES'!$O$4:$O$1203,$B186,'ORDENES'!$S$4:$S$1203,"correctiva")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OP</t>
        </is>
      </c>
      <c r="B187" s="3">
        <f>$O$40</f>
        <v/>
      </c>
      <c r="C187" s="17">
        <f>SUMIFS('ASIGNACIONES'!$H$4:$H$339,'ASIGNACIONES'!$E$4:$E$339,$A187,'ASIGNACIONES'!$A$4:$A$339,$B187)</f>
        <v/>
      </c>
      <c r="D187" s="17">
        <f>C187*p_factor_productividad</f>
        <v/>
      </c>
      <c r="E187" s="17">
        <f>SUMIFS('ORDENES'!$M$4:$M$1203,'ORDENES'!$W$4:$W$1203,$A187,'ORDENES'!$O$4:$O$1203,$B187,'ORDENES'!$S$4:$S$1203,"preventiva")</f>
        <v/>
      </c>
      <c r="F187" s="17">
        <f>SUMIFS('ORDENES'!$M$4:$M$1203,'ORDENES'!$W$4:$W$1203,$A187,'ORDENES'!$O$4:$O$1203,$B187,'ORDENES'!$S$4:$S$1203,"correctiva")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>
      <c r="A188" s="3" t="inlineStr">
        <is>
          <t>TERCERO</t>
        </is>
      </c>
      <c r="B188" s="3">
        <f>$O$40</f>
        <v/>
      </c>
      <c r="C188" s="17">
        <f>SUMIFS('ASIGNACIONES'!$H$4:$H$339,'ASIGNACIONES'!$E$4:$E$339,$A188,'ASIGNACIONES'!$A$4:$A$339,$B188)</f>
        <v/>
      </c>
      <c r="D188" s="17">
        <f>C188*p_factor_productividad</f>
        <v/>
      </c>
      <c r="E188" s="17">
        <f>SUMIFS('ORDENES'!$M$4:$M$1203,'ORDENES'!$W$4:$W$1203,$A188,'ORDENES'!$O$4:$O$1203,$B188,'ORDENES'!$S$4:$S$1203,"preventiva")</f>
        <v/>
      </c>
      <c r="F188" s="17">
        <f>SUMIFS('ORDENES'!$M$4:$M$1203,'ORDENES'!$W$4:$W$1203,$A188,'ORDENES'!$O$4:$O$1203,$B188,'ORDENES'!$S$4:$S$1203,"correctiva")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MEC</t>
        </is>
      </c>
      <c r="B189" s="3">
        <f>$O$41</f>
        <v/>
      </c>
      <c r="C189" s="17">
        <f>SUMIFS('ASIGNACIONES'!$H$4:$H$339,'ASIGNACIONES'!$E$4:$E$339,$A189,'ASIGNACIONES'!$A$4:$A$339,$B189)</f>
        <v/>
      </c>
      <c r="D189" s="17">
        <f>C189*p_factor_productividad</f>
        <v/>
      </c>
      <c r="E189" s="17">
        <f>SUMIFS('ORDENES'!$M$4:$M$1203,'ORDENES'!$W$4:$W$1203,$A189,'ORDENES'!$O$4:$O$1203,$B189,'ORDENES'!$S$4:$S$1203,"preventiva")</f>
        <v/>
      </c>
      <c r="F189" s="17">
        <f>SUMIFS('ORDENES'!$M$4:$M$1203,'ORDENES'!$W$4:$W$1203,$A189,'ORDENES'!$O$4:$O$1203,$B189,'ORDENES'!$S$4:$S$1203,"correctiva")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ELE</t>
        </is>
      </c>
      <c r="B190" s="3">
        <f>$O$41</f>
        <v/>
      </c>
      <c r="C190" s="17">
        <f>SUMIFS('ASIGNACIONES'!$H$4:$H$339,'ASIGNACIONES'!$E$4:$E$339,$A190,'ASIGNACIONES'!$A$4:$A$339,$B190)</f>
        <v/>
      </c>
      <c r="D190" s="17">
        <f>C190*p_factor_productividad</f>
        <v/>
      </c>
      <c r="E190" s="17">
        <f>SUMIFS('ORDENES'!$M$4:$M$1203,'ORDENES'!$W$4:$W$1203,$A190,'ORDENES'!$O$4:$O$1203,$B190,'ORDENES'!$S$4:$S$1203,"preventiva")</f>
        <v/>
      </c>
      <c r="F190" s="17">
        <f>SUMIFS('ORDENES'!$M$4:$M$1203,'ORDENES'!$W$4:$W$1203,$A190,'ORDENES'!$O$4:$O$1203,$B190,'ORDENES'!$S$4:$S$1203,"correctiva")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AUT</t>
        </is>
      </c>
      <c r="B191" s="3">
        <f>$O$41</f>
        <v/>
      </c>
      <c r="C191" s="17">
        <f>SUMIFS('ASIGNACIONES'!$H$4:$H$339,'ASIGNACIONES'!$E$4:$E$339,$A191,'ASIGNACIONES'!$A$4:$A$339,$B191)</f>
        <v/>
      </c>
      <c r="D191" s="17">
        <f>C191*p_factor_productividad</f>
        <v/>
      </c>
      <c r="E191" s="17">
        <f>SUMIFS('ORDENES'!$M$4:$M$1203,'ORDENES'!$W$4:$W$1203,$A191,'ORDENES'!$O$4:$O$1203,$B191,'ORDENES'!$S$4:$S$1203,"preventiva")</f>
        <v/>
      </c>
      <c r="F191" s="17">
        <f>SUMIFS('ORDENES'!$M$4:$M$1203,'ORDENES'!$W$4:$W$1203,$A191,'ORDENES'!$O$4:$O$1203,$B191,'ORDENES'!$S$4:$S$1203,"correctiva")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OP</t>
        </is>
      </c>
      <c r="B192" s="3">
        <f>$O$41</f>
        <v/>
      </c>
      <c r="C192" s="17">
        <f>SUMIFS('ASIGNACIONES'!$H$4:$H$339,'ASIGNACIONES'!$E$4:$E$339,$A192,'ASIGNACIONES'!$A$4:$A$339,$B192)</f>
        <v/>
      </c>
      <c r="D192" s="17">
        <f>C192*p_factor_productividad</f>
        <v/>
      </c>
      <c r="E192" s="17">
        <f>SUMIFS('ORDENES'!$M$4:$M$1203,'ORDENES'!$W$4:$W$1203,$A192,'ORDENES'!$O$4:$O$1203,$B192,'ORDENES'!$S$4:$S$1203,"preventiva")</f>
        <v/>
      </c>
      <c r="F192" s="17">
        <f>SUMIFS('ORDENES'!$M$4:$M$1203,'ORDENES'!$W$4:$W$1203,$A192,'ORDENES'!$O$4:$O$1203,$B192,'ORDENES'!$S$4:$S$1203,"correctiva")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TERCERO</t>
        </is>
      </c>
      <c r="B193" s="3">
        <f>$O$41</f>
        <v/>
      </c>
      <c r="C193" s="17">
        <f>SUMIFS('ASIGNACIONES'!$H$4:$H$339,'ASIGNACIONES'!$E$4:$E$339,$A193,'ASIGNACIONES'!$A$4:$A$339,$B193)</f>
        <v/>
      </c>
      <c r="D193" s="17">
        <f>C193*p_factor_productividad</f>
        <v/>
      </c>
      <c r="E193" s="17">
        <f>SUMIFS('ORDENES'!$M$4:$M$1203,'ORDENES'!$W$4:$W$1203,$A193,'ORDENES'!$O$4:$O$1203,$B193,'ORDENES'!$S$4:$S$1203,"preventiva")</f>
        <v/>
      </c>
      <c r="F193" s="17">
        <f>SUMIFS('ORDENES'!$M$4:$M$1203,'ORDENES'!$W$4:$W$1203,$A193,'ORDENES'!$O$4:$O$1203,$B193,'ORDENES'!$S$4:$S$1203,"correctiva")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MEC</t>
        </is>
      </c>
      <c r="B194" s="3">
        <f>$O$42</f>
        <v/>
      </c>
      <c r="C194" s="17">
        <f>SUMIFS('ASIGNACIONES'!$H$4:$H$339,'ASIGNACIONES'!$E$4:$E$339,$A194,'ASIGNACIONES'!$A$4:$A$339,$B194)</f>
        <v/>
      </c>
      <c r="D194" s="17">
        <f>C194*p_factor_productividad</f>
        <v/>
      </c>
      <c r="E194" s="17">
        <f>SUMIFS('ORDENES'!$M$4:$M$1203,'ORDENES'!$W$4:$W$1203,$A194,'ORDENES'!$O$4:$O$1203,$B194,'ORDENES'!$S$4:$S$1203,"preventiva")</f>
        <v/>
      </c>
      <c r="F194" s="17">
        <f>SUMIFS('ORDENES'!$M$4:$M$1203,'ORDENES'!$W$4:$W$1203,$A194,'ORDENES'!$O$4:$O$1203,$B194,'ORDENES'!$S$4:$S$1203,"correctiva")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ELE</t>
        </is>
      </c>
      <c r="B195" s="3">
        <f>$O$42</f>
        <v/>
      </c>
      <c r="C195" s="17">
        <f>SUMIFS('ASIGNACIONES'!$H$4:$H$339,'ASIGNACIONES'!$E$4:$E$339,$A195,'ASIGNACIONES'!$A$4:$A$339,$B195)</f>
        <v/>
      </c>
      <c r="D195" s="17">
        <f>C195*p_factor_productividad</f>
        <v/>
      </c>
      <c r="E195" s="17">
        <f>SUMIFS('ORDENES'!$M$4:$M$1203,'ORDENES'!$W$4:$W$1203,$A195,'ORDENES'!$O$4:$O$1203,$B195,'ORDENES'!$S$4:$S$1203,"preventiva")</f>
        <v/>
      </c>
      <c r="F195" s="17">
        <f>SUMIFS('ORDENES'!$M$4:$M$1203,'ORDENES'!$W$4:$W$1203,$A195,'ORDENES'!$O$4:$O$1203,$B195,'ORDENES'!$S$4:$S$1203,"correctiva")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AUT</t>
        </is>
      </c>
      <c r="B196" s="3">
        <f>$O$42</f>
        <v/>
      </c>
      <c r="C196" s="17">
        <f>SUMIFS('ASIGNACIONES'!$H$4:$H$339,'ASIGNACIONES'!$E$4:$E$339,$A196,'ASIGNACIONES'!$A$4:$A$339,$B196)</f>
        <v/>
      </c>
      <c r="D196" s="17">
        <f>C196*p_factor_productividad</f>
        <v/>
      </c>
      <c r="E196" s="17">
        <f>SUMIFS('ORDENES'!$M$4:$M$1203,'ORDENES'!$W$4:$W$1203,$A196,'ORDENES'!$O$4:$O$1203,$B196,'ORDENES'!$S$4:$S$1203,"preventiva")</f>
        <v/>
      </c>
      <c r="F196" s="17">
        <f>SUMIFS('ORDENES'!$M$4:$M$1203,'ORDENES'!$W$4:$W$1203,$A196,'ORDENES'!$O$4:$O$1203,$B196,'ORDENES'!$S$4:$S$1203,"correctiva")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OP</t>
        </is>
      </c>
      <c r="B197" s="3">
        <f>$O$42</f>
        <v/>
      </c>
      <c r="C197" s="17">
        <f>SUMIFS('ASIGNACIONES'!$H$4:$H$339,'ASIGNACIONES'!$E$4:$E$339,$A197,'ASIGNACIONES'!$A$4:$A$339,$B197)</f>
        <v/>
      </c>
      <c r="D197" s="17">
        <f>C197*p_factor_productividad</f>
        <v/>
      </c>
      <c r="E197" s="17">
        <f>SUMIFS('ORDENES'!$M$4:$M$1203,'ORDENES'!$W$4:$W$1203,$A197,'ORDENES'!$O$4:$O$1203,$B197,'ORDENES'!$S$4:$S$1203,"preventiva")</f>
        <v/>
      </c>
      <c r="F197" s="17">
        <f>SUMIFS('ORDENES'!$M$4:$M$1203,'ORDENES'!$W$4:$W$1203,$A197,'ORDENES'!$O$4:$O$1203,$B197,'ORDENES'!$S$4:$S$1203,"correctiva")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TERCERO</t>
        </is>
      </c>
      <c r="B198" s="3">
        <f>$O$42</f>
        <v/>
      </c>
      <c r="C198" s="17">
        <f>SUMIFS('ASIGNACIONES'!$H$4:$H$339,'ASIGNACIONES'!$E$4:$E$339,$A198,'ASIGNACIONES'!$A$4:$A$339,$B198)</f>
        <v/>
      </c>
      <c r="D198" s="17">
        <f>C198*p_factor_productividad</f>
        <v/>
      </c>
      <c r="E198" s="17">
        <f>SUMIFS('ORDENES'!$M$4:$M$1203,'ORDENES'!$W$4:$W$1203,$A198,'ORDENES'!$O$4:$O$1203,$B198,'ORDENES'!$S$4:$S$1203,"preventiva")</f>
        <v/>
      </c>
      <c r="F198" s="17">
        <f>SUMIFS('ORDENES'!$M$4:$M$1203,'ORDENES'!$W$4:$W$1203,$A198,'ORDENES'!$O$4:$O$1203,$B198,'ORDENES'!$S$4:$S$1203,"correctiva")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MEC</t>
        </is>
      </c>
      <c r="B199" s="3">
        <f>$O$43</f>
        <v/>
      </c>
      <c r="C199" s="17">
        <f>SUMIFS('ASIGNACIONES'!$H$4:$H$339,'ASIGNACIONES'!$E$4:$E$339,$A199,'ASIGNACIONES'!$A$4:$A$339,$B199)</f>
        <v/>
      </c>
      <c r="D199" s="17">
        <f>C199*p_factor_productividad</f>
        <v/>
      </c>
      <c r="E199" s="17">
        <f>SUMIFS('ORDENES'!$M$4:$M$1203,'ORDENES'!$W$4:$W$1203,$A199,'ORDENES'!$O$4:$O$1203,$B199,'ORDENES'!$S$4:$S$1203,"preventiva")</f>
        <v/>
      </c>
      <c r="F199" s="17">
        <f>SUMIFS('ORDENES'!$M$4:$M$1203,'ORDENES'!$W$4:$W$1203,$A199,'ORDENES'!$O$4:$O$1203,$B199,'ORDENES'!$S$4:$S$1203,"correctiva")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ELE</t>
        </is>
      </c>
      <c r="B200" s="3">
        <f>$O$43</f>
        <v/>
      </c>
      <c r="C200" s="17">
        <f>SUMIFS('ASIGNACIONES'!$H$4:$H$339,'ASIGNACIONES'!$E$4:$E$339,$A200,'ASIGNACIONES'!$A$4:$A$339,$B200)</f>
        <v/>
      </c>
      <c r="D200" s="17">
        <f>C200*p_factor_productividad</f>
        <v/>
      </c>
      <c r="E200" s="17">
        <f>SUMIFS('ORDENES'!$M$4:$M$1203,'ORDENES'!$W$4:$W$1203,$A200,'ORDENES'!$O$4:$O$1203,$B200,'ORDENES'!$S$4:$S$1203,"preventiva")</f>
        <v/>
      </c>
      <c r="F200" s="17">
        <f>SUMIFS('ORDENES'!$M$4:$M$1203,'ORDENES'!$W$4:$W$1203,$A200,'ORDENES'!$O$4:$O$1203,$B200,'ORDENES'!$S$4:$S$1203,"correctiva")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AUT</t>
        </is>
      </c>
      <c r="B201" s="3">
        <f>$O$43</f>
        <v/>
      </c>
      <c r="C201" s="17">
        <f>SUMIFS('ASIGNACIONES'!$H$4:$H$339,'ASIGNACIONES'!$E$4:$E$339,$A201,'ASIGNACIONES'!$A$4:$A$339,$B201)</f>
        <v/>
      </c>
      <c r="D201" s="17">
        <f>C201*p_factor_productividad</f>
        <v/>
      </c>
      <c r="E201" s="17">
        <f>SUMIFS('ORDENES'!$M$4:$M$1203,'ORDENES'!$W$4:$W$1203,$A201,'ORDENES'!$O$4:$O$1203,$B201,'ORDENES'!$S$4:$S$1203,"preventiva")</f>
        <v/>
      </c>
      <c r="F201" s="17">
        <f>SUMIFS('ORDENES'!$M$4:$M$1203,'ORDENES'!$W$4:$W$1203,$A201,'ORDENES'!$O$4:$O$1203,$B201,'ORDENES'!$S$4:$S$1203,"correctiva")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OP</t>
        </is>
      </c>
      <c r="B202" s="3">
        <f>$O$43</f>
        <v/>
      </c>
      <c r="C202" s="17">
        <f>SUMIFS('ASIGNACIONES'!$H$4:$H$339,'ASIGNACIONES'!$E$4:$E$339,$A202,'ASIGNACIONES'!$A$4:$A$339,$B202)</f>
        <v/>
      </c>
      <c r="D202" s="17">
        <f>C202*p_factor_productividad</f>
        <v/>
      </c>
      <c r="E202" s="17">
        <f>SUMIFS('ORDENES'!$M$4:$M$1203,'ORDENES'!$W$4:$W$1203,$A202,'ORDENES'!$O$4:$O$1203,$B202,'ORDENES'!$S$4:$S$1203,"preventiva")</f>
        <v/>
      </c>
      <c r="F202" s="17">
        <f>SUMIFS('ORDENES'!$M$4:$M$1203,'ORDENES'!$W$4:$W$1203,$A202,'ORDENES'!$O$4:$O$1203,$B202,'ORDENES'!$S$4:$S$1203,"correctiva")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$O$43</f>
        <v/>
      </c>
      <c r="C203" s="17">
        <f>SUMIFS('ASIGNACIONES'!$H$4:$H$339,'ASIGNACIONES'!$E$4:$E$339,$A203,'ASIGNACIONES'!$A$4:$A$339,$B203)</f>
        <v/>
      </c>
      <c r="D203" s="17">
        <f>C203*p_factor_productividad</f>
        <v/>
      </c>
      <c r="E203" s="17">
        <f>SUMIFS('ORDENES'!$M$4:$M$1203,'ORDENES'!$W$4:$W$1203,$A203,'ORDENES'!$O$4:$O$1203,$B203,'ORDENES'!$S$4:$S$1203,"preventiva")</f>
        <v/>
      </c>
      <c r="F203" s="17">
        <f>SUMIFS('ORDENES'!$M$4:$M$1203,'ORDENES'!$W$4:$W$1203,$A203,'ORDENES'!$O$4:$O$1203,$B203,'ORDENES'!$S$4:$S$1203,"correctiva")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$O$44</f>
        <v/>
      </c>
      <c r="C204" s="17">
        <f>SUMIFS('ASIGNACIONES'!$H$4:$H$339,'ASIGNACIONES'!$E$4:$E$339,$A204,'ASIGNACIONES'!$A$4:$A$339,$B204)</f>
        <v/>
      </c>
      <c r="D204" s="17">
        <f>C204*p_factor_productividad</f>
        <v/>
      </c>
      <c r="E204" s="17">
        <f>SUMIFS('ORDENES'!$M$4:$M$1203,'ORDENES'!$W$4:$W$1203,$A204,'ORDENES'!$O$4:$O$1203,$B204,'ORDENES'!$S$4:$S$1203,"preventiva")</f>
        <v/>
      </c>
      <c r="F204" s="17">
        <f>SUMIFS('ORDENES'!$M$4:$M$1203,'ORDENES'!$W$4:$W$1203,$A204,'ORDENES'!$O$4:$O$1203,$B204,'ORDENES'!$S$4:$S$1203,"correctiva")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$O$44</f>
        <v/>
      </c>
      <c r="C205" s="17">
        <f>SUMIFS('ASIGNACIONES'!$H$4:$H$339,'ASIGNACIONES'!$E$4:$E$339,$A205,'ASIGNACIONES'!$A$4:$A$339,$B205)</f>
        <v/>
      </c>
      <c r="D205" s="17">
        <f>C205*p_factor_productividad</f>
        <v/>
      </c>
      <c r="E205" s="17">
        <f>SUMIFS('ORDENES'!$M$4:$M$1203,'ORDENES'!$W$4:$W$1203,$A205,'ORDENES'!$O$4:$O$1203,$B205,'ORDENES'!$S$4:$S$1203,"preventiva")</f>
        <v/>
      </c>
      <c r="F205" s="17">
        <f>SUMIFS('ORDENES'!$M$4:$M$1203,'ORDENES'!$W$4:$W$1203,$A205,'ORDENES'!$O$4:$O$1203,$B205,'ORDENES'!$S$4:$S$1203,"correctiva")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$O$44</f>
        <v/>
      </c>
      <c r="C206" s="17">
        <f>SUMIFS('ASIGNACIONES'!$H$4:$H$339,'ASIGNACIONES'!$E$4:$E$339,$A206,'ASIGNACIONES'!$A$4:$A$339,$B206)</f>
        <v/>
      </c>
      <c r="D206" s="17">
        <f>C206*p_factor_productividad</f>
        <v/>
      </c>
      <c r="E206" s="17">
        <f>SUMIFS('ORDENES'!$M$4:$M$1203,'ORDENES'!$W$4:$W$1203,$A206,'ORDENES'!$O$4:$O$1203,$B206,'ORDENES'!$S$4:$S$1203,"preventiva")</f>
        <v/>
      </c>
      <c r="F206" s="17">
        <f>SUMIFS('ORDENES'!$M$4:$M$1203,'ORDENES'!$W$4:$W$1203,$A206,'ORDENES'!$O$4:$O$1203,$B206,'ORDENES'!$S$4:$S$1203,"correctiva")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OP</t>
        </is>
      </c>
      <c r="B207" s="3">
        <f>$O$44</f>
        <v/>
      </c>
      <c r="C207" s="17">
        <f>SUMIFS('ASIGNACIONES'!$H$4:$H$339,'ASIGNACIONES'!$E$4:$E$339,$A207,'ASIGNACIONES'!$A$4:$A$339,$B207)</f>
        <v/>
      </c>
      <c r="D207" s="17">
        <f>C207*p_factor_productividad</f>
        <v/>
      </c>
      <c r="E207" s="17">
        <f>SUMIFS('ORDENES'!$M$4:$M$1203,'ORDENES'!$W$4:$W$1203,$A207,'ORDENES'!$O$4:$O$1203,$B207,'ORDENES'!$S$4:$S$1203,"preventiva")</f>
        <v/>
      </c>
      <c r="F207" s="17">
        <f>SUMIFS('ORDENES'!$M$4:$M$1203,'ORDENES'!$W$4:$W$1203,$A207,'ORDENES'!$O$4:$O$1203,$B207,'ORDENES'!$S$4:$S$1203,"correctiva")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TERCERO</t>
        </is>
      </c>
      <c r="B208" s="3">
        <f>$O$44</f>
        <v/>
      </c>
      <c r="C208" s="17">
        <f>SUMIFS('ASIGNACIONES'!$H$4:$H$339,'ASIGNACIONES'!$E$4:$E$339,$A208,'ASIGNACIONES'!$A$4:$A$339,$B208)</f>
        <v/>
      </c>
      <c r="D208" s="17">
        <f>C208*p_factor_productividad</f>
        <v/>
      </c>
      <c r="E208" s="17">
        <f>SUMIFS('ORDENES'!$M$4:$M$1203,'ORDENES'!$W$4:$W$1203,$A208,'ORDENES'!$O$4:$O$1203,$B208,'ORDENES'!$S$4:$S$1203,"preventiva")</f>
        <v/>
      </c>
      <c r="F208" s="17">
        <f>SUMIFS('ORDENES'!$M$4:$M$1203,'ORDENES'!$W$4:$W$1203,$A208,'ORDENES'!$O$4:$O$1203,$B208,'ORDENES'!$S$4:$S$1203,"correctiva")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MEC</t>
        </is>
      </c>
      <c r="B209" s="3">
        <f>$O$45</f>
        <v/>
      </c>
      <c r="C209" s="17">
        <f>SUMIFS('ASIGNACIONES'!$H$4:$H$339,'ASIGNACIONES'!$E$4:$E$339,$A209,'ASIGNACIONES'!$A$4:$A$339,$B209)</f>
        <v/>
      </c>
      <c r="D209" s="17">
        <f>C209*p_factor_productividad</f>
        <v/>
      </c>
      <c r="E209" s="17">
        <f>SUMIFS('ORDENES'!$M$4:$M$1203,'ORDENES'!$W$4:$W$1203,$A209,'ORDENES'!$O$4:$O$1203,$B209,'ORDENES'!$S$4:$S$1203,"preventiva")</f>
        <v/>
      </c>
      <c r="F209" s="17">
        <f>SUMIFS('ORDENES'!$M$4:$M$1203,'ORDENES'!$W$4:$W$1203,$A209,'ORDENES'!$O$4:$O$1203,$B209,'ORDENES'!$S$4:$S$1203,"correctiva")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ELE</t>
        </is>
      </c>
      <c r="B210" s="3">
        <f>$O$45</f>
        <v/>
      </c>
      <c r="C210" s="17">
        <f>SUMIFS('ASIGNACIONES'!$H$4:$H$339,'ASIGNACIONES'!$E$4:$E$339,$A210,'ASIGNACIONES'!$A$4:$A$339,$B210)</f>
        <v/>
      </c>
      <c r="D210" s="17">
        <f>C210*p_factor_productividad</f>
        <v/>
      </c>
      <c r="E210" s="17">
        <f>SUMIFS('ORDENES'!$M$4:$M$1203,'ORDENES'!$W$4:$W$1203,$A210,'ORDENES'!$O$4:$O$1203,$B210,'ORDENES'!$S$4:$S$1203,"preventiva")</f>
        <v/>
      </c>
      <c r="F210" s="17">
        <f>SUMIFS('ORDENES'!$M$4:$M$1203,'ORDENES'!$W$4:$W$1203,$A210,'ORDENES'!$O$4:$O$1203,$B210,'ORDENES'!$S$4:$S$1203,"correctiva")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AUT</t>
        </is>
      </c>
      <c r="B211" s="3">
        <f>$O$45</f>
        <v/>
      </c>
      <c r="C211" s="17">
        <f>SUMIFS('ASIGNACIONES'!$H$4:$H$339,'ASIGNACIONES'!$E$4:$E$339,$A211,'ASIGNACIONES'!$A$4:$A$339,$B211)</f>
        <v/>
      </c>
      <c r="D211" s="17">
        <f>C211*p_factor_productividad</f>
        <v/>
      </c>
      <c r="E211" s="17">
        <f>SUMIFS('ORDENES'!$M$4:$M$1203,'ORDENES'!$W$4:$W$1203,$A211,'ORDENES'!$O$4:$O$1203,$B211,'ORDENES'!$S$4:$S$1203,"preventiva")</f>
        <v/>
      </c>
      <c r="F211" s="17">
        <f>SUMIFS('ORDENES'!$M$4:$M$1203,'ORDENES'!$W$4:$W$1203,$A211,'ORDENES'!$O$4:$O$1203,$B211,'ORDENES'!$S$4:$S$1203,"correctiva")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OP</t>
        </is>
      </c>
      <c r="B212" s="3">
        <f>$O$45</f>
        <v/>
      </c>
      <c r="C212" s="17">
        <f>SUMIFS('ASIGNACIONES'!$H$4:$H$339,'ASIGNACIONES'!$E$4:$E$339,$A212,'ASIGNACIONES'!$A$4:$A$339,$B212)</f>
        <v/>
      </c>
      <c r="D212" s="17">
        <f>C212*p_factor_productividad</f>
        <v/>
      </c>
      <c r="E212" s="17">
        <f>SUMIFS('ORDENES'!$M$4:$M$1203,'ORDENES'!$W$4:$W$1203,$A212,'ORDENES'!$O$4:$O$1203,$B212,'ORDENES'!$S$4:$S$1203,"preventiva")</f>
        <v/>
      </c>
      <c r="F212" s="17">
        <f>SUMIFS('ORDENES'!$M$4:$M$1203,'ORDENES'!$W$4:$W$1203,$A212,'ORDENES'!$O$4:$O$1203,$B212,'ORDENES'!$S$4:$S$1203,"correctiva")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TERCERO</t>
        </is>
      </c>
      <c r="B213" s="3">
        <f>$O$45</f>
        <v/>
      </c>
      <c r="C213" s="17">
        <f>SUMIFS('ASIGNACIONES'!$H$4:$H$339,'ASIGNACIONES'!$E$4:$E$339,$A213,'ASIGNACIONES'!$A$4:$A$339,$B213)</f>
        <v/>
      </c>
      <c r="D213" s="17">
        <f>C213*p_factor_productividad</f>
        <v/>
      </c>
      <c r="E213" s="17">
        <f>SUMIFS('ORDENES'!$M$4:$M$1203,'ORDENES'!$W$4:$W$1203,$A213,'ORDENES'!$O$4:$O$1203,$B213,'ORDENES'!$S$4:$S$1203,"preventiva")</f>
        <v/>
      </c>
      <c r="F213" s="17">
        <f>SUMIFS('ORDENES'!$M$4:$M$1203,'ORDENES'!$W$4:$W$1203,$A213,'ORDENES'!$O$4:$O$1203,$B213,'ORDENES'!$S$4:$S$1203,"correctiva")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MEC</t>
        </is>
      </c>
      <c r="B214" s="3">
        <f>$O$46</f>
        <v/>
      </c>
      <c r="C214" s="17">
        <f>SUMIFS('ASIGNACIONES'!$H$4:$H$339,'ASIGNACIONES'!$E$4:$E$339,$A214,'ASIGNACIONES'!$A$4:$A$339,$B214)</f>
        <v/>
      </c>
      <c r="D214" s="17">
        <f>C214*p_factor_productividad</f>
        <v/>
      </c>
      <c r="E214" s="17">
        <f>SUMIFS('ORDENES'!$M$4:$M$1203,'ORDENES'!$W$4:$W$1203,$A214,'ORDENES'!$O$4:$O$1203,$B214,'ORDENES'!$S$4:$S$1203,"preventiva")</f>
        <v/>
      </c>
      <c r="F214" s="17">
        <f>SUMIFS('ORDENES'!$M$4:$M$1203,'ORDENES'!$W$4:$W$1203,$A214,'ORDENES'!$O$4:$O$1203,$B214,'ORDENES'!$S$4:$S$1203,"correctiva")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ELE</t>
        </is>
      </c>
      <c r="B215" s="3">
        <f>$O$46</f>
        <v/>
      </c>
      <c r="C215" s="17">
        <f>SUMIFS('ASIGNACIONES'!$H$4:$H$339,'ASIGNACIONES'!$E$4:$E$339,$A215,'ASIGNACIONES'!$A$4:$A$339,$B215)</f>
        <v/>
      </c>
      <c r="D215" s="17">
        <f>C215*p_factor_productividad</f>
        <v/>
      </c>
      <c r="E215" s="17">
        <f>SUMIFS('ORDENES'!$M$4:$M$1203,'ORDENES'!$W$4:$W$1203,$A215,'ORDENES'!$O$4:$O$1203,$B215,'ORDENES'!$S$4:$S$1203,"preventiva")</f>
        <v/>
      </c>
      <c r="F215" s="17">
        <f>SUMIFS('ORDENES'!$M$4:$M$1203,'ORDENES'!$W$4:$W$1203,$A215,'ORDENES'!$O$4:$O$1203,$B215,'ORDENES'!$S$4:$S$1203,"correctiva")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AUT</t>
        </is>
      </c>
      <c r="B216" s="3">
        <f>$O$46</f>
        <v/>
      </c>
      <c r="C216" s="17">
        <f>SUMIFS('ASIGNACIONES'!$H$4:$H$339,'ASIGNACIONES'!$E$4:$E$339,$A216,'ASIGNACIONES'!$A$4:$A$339,$B216)</f>
        <v/>
      </c>
      <c r="D216" s="17">
        <f>C216*p_factor_productividad</f>
        <v/>
      </c>
      <c r="E216" s="17">
        <f>SUMIFS('ORDENES'!$M$4:$M$1203,'ORDENES'!$W$4:$W$1203,$A216,'ORDENES'!$O$4:$O$1203,$B216,'ORDENES'!$S$4:$S$1203,"preventiva")</f>
        <v/>
      </c>
      <c r="F216" s="17">
        <f>SUMIFS('ORDENES'!$M$4:$M$1203,'ORDENES'!$W$4:$W$1203,$A216,'ORDENES'!$O$4:$O$1203,$B216,'ORDENES'!$S$4:$S$1203,"correctiva")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OP</t>
        </is>
      </c>
      <c r="B217" s="3">
        <f>$O$46</f>
        <v/>
      </c>
      <c r="C217" s="17">
        <f>SUMIFS('ASIGNACIONES'!$H$4:$H$339,'ASIGNACIONES'!$E$4:$E$339,$A217,'ASIGNACIONES'!$A$4:$A$339,$B217)</f>
        <v/>
      </c>
      <c r="D217" s="17">
        <f>C217*p_factor_productividad</f>
        <v/>
      </c>
      <c r="E217" s="17">
        <f>SUMIFS('ORDENES'!$M$4:$M$1203,'ORDENES'!$W$4:$W$1203,$A217,'ORDENES'!$O$4:$O$1203,$B217,'ORDENES'!$S$4:$S$1203,"preventiva")</f>
        <v/>
      </c>
      <c r="F217" s="17">
        <f>SUMIFS('ORDENES'!$M$4:$M$1203,'ORDENES'!$W$4:$W$1203,$A217,'ORDENES'!$O$4:$O$1203,$B217,'ORDENES'!$S$4:$S$1203,"correctiva")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TERCERO</t>
        </is>
      </c>
      <c r="B218" s="3">
        <f>$O$46</f>
        <v/>
      </c>
      <c r="C218" s="17">
        <f>SUMIFS('ASIGNACIONES'!$H$4:$H$339,'ASIGNACIONES'!$E$4:$E$339,$A218,'ASIGNACIONES'!$A$4:$A$339,$B218)</f>
        <v/>
      </c>
      <c r="D218" s="17">
        <f>C218*p_factor_productividad</f>
        <v/>
      </c>
      <c r="E218" s="17">
        <f>SUMIFS('ORDENES'!$M$4:$M$1203,'ORDENES'!$W$4:$W$1203,$A218,'ORDENES'!$O$4:$O$1203,$B218,'ORDENES'!$S$4:$S$1203,"preventiva")</f>
        <v/>
      </c>
      <c r="F218" s="17">
        <f>SUMIFS('ORDENES'!$M$4:$M$1203,'ORDENES'!$W$4:$W$1203,$A218,'ORDENES'!$O$4:$O$1203,$B218,'ORDENES'!$S$4:$S$1203,"correctiva")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MEC</t>
        </is>
      </c>
      <c r="B219" s="3">
        <f>$O$47</f>
        <v/>
      </c>
      <c r="C219" s="17">
        <f>SUMIFS('ASIGNACIONES'!$H$4:$H$339,'ASIGNACIONES'!$E$4:$E$339,$A219,'ASIGNACIONES'!$A$4:$A$339,$B219)</f>
        <v/>
      </c>
      <c r="D219" s="17">
        <f>C219*p_factor_productividad</f>
        <v/>
      </c>
      <c r="E219" s="17">
        <f>SUMIFS('ORDENES'!$M$4:$M$1203,'ORDENES'!$W$4:$W$1203,$A219,'ORDENES'!$O$4:$O$1203,$B219,'ORDENES'!$S$4:$S$1203,"preventiva")</f>
        <v/>
      </c>
      <c r="F219" s="17">
        <f>SUMIFS('ORDENES'!$M$4:$M$1203,'ORDENES'!$W$4:$W$1203,$A219,'ORDENES'!$O$4:$O$1203,$B219,'ORDENES'!$S$4:$S$1203,"correctiva")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ELE</t>
        </is>
      </c>
      <c r="B220" s="3">
        <f>$O$47</f>
        <v/>
      </c>
      <c r="C220" s="17">
        <f>SUMIFS('ASIGNACIONES'!$H$4:$H$339,'ASIGNACIONES'!$E$4:$E$339,$A220,'ASIGNACIONES'!$A$4:$A$339,$B220)</f>
        <v/>
      </c>
      <c r="D220" s="17">
        <f>C220*p_factor_productividad</f>
        <v/>
      </c>
      <c r="E220" s="17">
        <f>SUMIFS('ORDENES'!$M$4:$M$1203,'ORDENES'!$W$4:$W$1203,$A220,'ORDENES'!$O$4:$O$1203,$B220,'ORDENES'!$S$4:$S$1203,"preventiva")</f>
        <v/>
      </c>
      <c r="F220" s="17">
        <f>SUMIFS('ORDENES'!$M$4:$M$1203,'ORDENES'!$W$4:$W$1203,$A220,'ORDENES'!$O$4:$O$1203,$B220,'ORDENES'!$S$4:$S$1203,"correctiva")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AUT</t>
        </is>
      </c>
      <c r="B221" s="3">
        <f>$O$47</f>
        <v/>
      </c>
      <c r="C221" s="17">
        <f>SUMIFS('ASIGNACIONES'!$H$4:$H$339,'ASIGNACIONES'!$E$4:$E$339,$A221,'ASIGNACIONES'!$A$4:$A$339,$B221)</f>
        <v/>
      </c>
      <c r="D221" s="17">
        <f>C221*p_factor_productividad</f>
        <v/>
      </c>
      <c r="E221" s="17">
        <f>SUMIFS('ORDENES'!$M$4:$M$1203,'ORDENES'!$W$4:$W$1203,$A221,'ORDENES'!$O$4:$O$1203,$B221,'ORDENES'!$S$4:$S$1203,"preventiva")</f>
        <v/>
      </c>
      <c r="F221" s="17">
        <f>SUMIFS('ORDENES'!$M$4:$M$1203,'ORDENES'!$W$4:$W$1203,$A221,'ORDENES'!$O$4:$O$1203,$B221,'ORDENES'!$S$4:$S$1203,"correctiva")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OP</t>
        </is>
      </c>
      <c r="B222" s="3">
        <f>$O$47</f>
        <v/>
      </c>
      <c r="C222" s="17">
        <f>SUMIFS('ASIGNACIONES'!$H$4:$H$339,'ASIGNACIONES'!$E$4:$E$339,$A222,'ASIGNACIONES'!$A$4:$A$339,$B222)</f>
        <v/>
      </c>
      <c r="D222" s="17">
        <f>C222*p_factor_productividad</f>
        <v/>
      </c>
      <c r="E222" s="17">
        <f>SUMIFS('ORDENES'!$M$4:$M$1203,'ORDENES'!$W$4:$W$1203,$A222,'ORDENES'!$O$4:$O$1203,$B222,'ORDENES'!$S$4:$S$1203,"preventiva")</f>
        <v/>
      </c>
      <c r="F222" s="17">
        <f>SUMIFS('ORDENES'!$M$4:$M$1203,'ORDENES'!$W$4:$W$1203,$A222,'ORDENES'!$O$4:$O$1203,$B222,'ORDENES'!$S$4:$S$1203,"correctiva")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$O$47</f>
        <v/>
      </c>
      <c r="C223" s="17">
        <f>SUMIFS('ASIGNACIONES'!$H$4:$H$339,'ASIGNACIONES'!$E$4:$E$339,$A223,'ASIGNACIONES'!$A$4:$A$339,$B223)</f>
        <v/>
      </c>
      <c r="D223" s="17">
        <f>C223*p_factor_productividad</f>
        <v/>
      </c>
      <c r="E223" s="17">
        <f>SUMIFS('ORDENES'!$M$4:$M$1203,'ORDENES'!$W$4:$W$1203,$A223,'ORDENES'!$O$4:$O$1203,$B223,'ORDENES'!$S$4:$S$1203,"preventiva")</f>
        <v/>
      </c>
      <c r="F223" s="17">
        <f>SUMIFS('ORDENES'!$M$4:$M$1203,'ORDENES'!$W$4:$W$1203,$A223,'ORDENES'!$O$4:$O$1203,$B223,'ORDENES'!$S$4:$S$1203,"correctiva")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$O$48</f>
        <v/>
      </c>
      <c r="C224" s="17">
        <f>SUMIFS('ASIGNACIONES'!$H$4:$H$339,'ASIGNACIONES'!$E$4:$E$339,$A224,'ASIGNACIONES'!$A$4:$A$339,$B224)</f>
        <v/>
      </c>
      <c r="D224" s="17">
        <f>C224*p_factor_productividad</f>
        <v/>
      </c>
      <c r="E224" s="17">
        <f>SUMIFS('ORDENES'!$M$4:$M$1203,'ORDENES'!$W$4:$W$1203,$A224,'ORDENES'!$O$4:$O$1203,$B224,'ORDENES'!$S$4:$S$1203,"preventiva")</f>
        <v/>
      </c>
      <c r="F224" s="17">
        <f>SUMIFS('ORDENES'!$M$4:$M$1203,'ORDENES'!$W$4:$W$1203,$A224,'ORDENES'!$O$4:$O$1203,$B224,'ORDENES'!$S$4:$S$1203,"correctiva")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$O$48</f>
        <v/>
      </c>
      <c r="C225" s="17">
        <f>SUMIFS('ASIGNACIONES'!$H$4:$H$339,'ASIGNACIONES'!$E$4:$E$339,$A225,'ASIGNACIONES'!$A$4:$A$339,$B225)</f>
        <v/>
      </c>
      <c r="D225" s="17">
        <f>C225*p_factor_productividad</f>
        <v/>
      </c>
      <c r="E225" s="17">
        <f>SUMIFS('ORDENES'!$M$4:$M$1203,'ORDENES'!$W$4:$W$1203,$A225,'ORDENES'!$O$4:$O$1203,$B225,'ORDENES'!$S$4:$S$1203,"preventiva")</f>
        <v/>
      </c>
      <c r="F225" s="17">
        <f>SUMIFS('ORDENES'!$M$4:$M$1203,'ORDENES'!$W$4:$W$1203,$A225,'ORDENES'!$O$4:$O$1203,$B225,'ORDENES'!$S$4:$S$1203,"correctiva")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$O$48</f>
        <v/>
      </c>
      <c r="C226" s="17">
        <f>SUMIFS('ASIGNACIONES'!$H$4:$H$339,'ASIGNACIONES'!$E$4:$E$339,$A226,'ASIGNACIONES'!$A$4:$A$339,$B226)</f>
        <v/>
      </c>
      <c r="D226" s="17">
        <f>C226*p_factor_productividad</f>
        <v/>
      </c>
      <c r="E226" s="17">
        <f>SUMIFS('ORDENES'!$M$4:$M$1203,'ORDENES'!$W$4:$W$1203,$A226,'ORDENES'!$O$4:$O$1203,$B226,'ORDENES'!$S$4:$S$1203,"preventiva")</f>
        <v/>
      </c>
      <c r="F226" s="17">
        <f>SUMIFS('ORDENES'!$M$4:$M$1203,'ORDENES'!$W$4:$W$1203,$A226,'ORDENES'!$O$4:$O$1203,$B226,'ORDENES'!$S$4:$S$1203,"correctiva")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OP</t>
        </is>
      </c>
      <c r="B227" s="3">
        <f>$O$48</f>
        <v/>
      </c>
      <c r="C227" s="17">
        <f>SUMIFS('ASIGNACIONES'!$H$4:$H$339,'ASIGNACIONES'!$E$4:$E$339,$A227,'ASIGNACIONES'!$A$4:$A$339,$B227)</f>
        <v/>
      </c>
      <c r="D227" s="17">
        <f>C227*p_factor_productividad</f>
        <v/>
      </c>
      <c r="E227" s="17">
        <f>SUMIFS('ORDENES'!$M$4:$M$1203,'ORDENES'!$W$4:$W$1203,$A227,'ORDENES'!$O$4:$O$1203,$B227,'ORDENES'!$S$4:$S$1203,"preventiva")</f>
        <v/>
      </c>
      <c r="F227" s="17">
        <f>SUMIFS('ORDENES'!$M$4:$M$1203,'ORDENES'!$W$4:$W$1203,$A227,'ORDENES'!$O$4:$O$1203,$B227,'ORDENES'!$S$4:$S$1203,"correctiva")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TERCERO</t>
        </is>
      </c>
      <c r="B228" s="3">
        <f>$O$48</f>
        <v/>
      </c>
      <c r="C228" s="17">
        <f>SUMIFS('ASIGNACIONES'!$H$4:$H$339,'ASIGNACIONES'!$E$4:$E$339,$A228,'ASIGNACIONES'!$A$4:$A$339,$B228)</f>
        <v/>
      </c>
      <c r="D228" s="17">
        <f>C228*p_factor_productividad</f>
        <v/>
      </c>
      <c r="E228" s="17">
        <f>SUMIFS('ORDENES'!$M$4:$M$1203,'ORDENES'!$W$4:$W$1203,$A228,'ORDENES'!$O$4:$O$1203,$B228,'ORDENES'!$S$4:$S$1203,"preventiva")</f>
        <v/>
      </c>
      <c r="F228" s="17">
        <f>SUMIFS('ORDENES'!$M$4:$M$1203,'ORDENES'!$W$4:$W$1203,$A228,'ORDENES'!$O$4:$O$1203,$B228,'ORDENES'!$S$4:$S$1203,"correctiva")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>
      <c r="A229" s="3" t="inlineStr">
        <is>
          <t>MEC</t>
        </is>
      </c>
      <c r="B229" s="3">
        <f>$O$49</f>
        <v/>
      </c>
      <c r="C229" s="17">
        <f>SUMIFS('ASIGNACIONES'!$H$4:$H$339,'ASIGNACIONES'!$E$4:$E$339,$A229,'ASIGNACIONES'!$A$4:$A$339,$B229)</f>
        <v/>
      </c>
      <c r="D229" s="17">
        <f>C229*p_factor_productividad</f>
        <v/>
      </c>
      <c r="E229" s="17">
        <f>SUMIFS('ORDENES'!$M$4:$M$1203,'ORDENES'!$W$4:$W$1203,$A229,'ORDENES'!$O$4:$O$1203,$B229,'ORDENES'!$S$4:$S$1203,"preventiva")</f>
        <v/>
      </c>
      <c r="F229" s="17">
        <f>SUMIFS('ORDENES'!$M$4:$M$1203,'ORDENES'!$W$4:$W$1203,$A229,'ORDENES'!$O$4:$O$1203,$B229,'ORDENES'!$S$4:$S$1203,"correctiva")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>
      <c r="A230" s="3" t="inlineStr">
        <is>
          <t>ELE</t>
        </is>
      </c>
      <c r="B230" s="3">
        <f>$O$49</f>
        <v/>
      </c>
      <c r="C230" s="17">
        <f>SUMIFS('ASIGNACIONES'!$H$4:$H$339,'ASIGNACIONES'!$E$4:$E$339,$A230,'ASIGNACIONES'!$A$4:$A$339,$B230)</f>
        <v/>
      </c>
      <c r="D230" s="17">
        <f>C230*p_factor_productividad</f>
        <v/>
      </c>
      <c r="E230" s="17">
        <f>SUMIFS('ORDENES'!$M$4:$M$1203,'ORDENES'!$W$4:$W$1203,$A230,'ORDENES'!$O$4:$O$1203,$B230,'ORDENES'!$S$4:$S$1203,"preventiva")</f>
        <v/>
      </c>
      <c r="F230" s="17">
        <f>SUMIFS('ORDENES'!$M$4:$M$1203,'ORDENES'!$W$4:$W$1203,$A230,'ORDENES'!$O$4:$O$1203,$B230,'ORDENES'!$S$4:$S$1203,"correctiva")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>
      <c r="A231" s="3" t="inlineStr">
        <is>
          <t>AUT</t>
        </is>
      </c>
      <c r="B231" s="3">
        <f>$O$49</f>
        <v/>
      </c>
      <c r="C231" s="17">
        <f>SUMIFS('ASIGNACIONES'!$H$4:$H$339,'ASIGNACIONES'!$E$4:$E$339,$A231,'ASIGNACIONES'!$A$4:$A$339,$B231)</f>
        <v/>
      </c>
      <c r="D231" s="17">
        <f>C231*p_factor_productividad</f>
        <v/>
      </c>
      <c r="E231" s="17">
        <f>SUMIFS('ORDENES'!$M$4:$M$1203,'ORDENES'!$W$4:$W$1203,$A231,'ORDENES'!$O$4:$O$1203,$B231,'ORDENES'!$S$4:$S$1203,"preventiva")</f>
        <v/>
      </c>
      <c r="F231" s="17">
        <f>SUMIFS('ORDENES'!$M$4:$M$1203,'ORDENES'!$W$4:$W$1203,$A231,'ORDENES'!$O$4:$O$1203,$B231,'ORDENES'!$S$4:$S$1203,"correctiva")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>
      <c r="A232" s="3" t="inlineStr">
        <is>
          <t>OP</t>
        </is>
      </c>
      <c r="B232" s="3">
        <f>$O$49</f>
        <v/>
      </c>
      <c r="C232" s="17">
        <f>SUMIFS('ASIGNACIONES'!$H$4:$H$339,'ASIGNACIONES'!$E$4:$E$339,$A232,'ASIGNACIONES'!$A$4:$A$339,$B232)</f>
        <v/>
      </c>
      <c r="D232" s="17">
        <f>C232*p_factor_productividad</f>
        <v/>
      </c>
      <c r="E232" s="17">
        <f>SUMIFS('ORDENES'!$M$4:$M$1203,'ORDENES'!$W$4:$W$1203,$A232,'ORDENES'!$O$4:$O$1203,$B232,'ORDENES'!$S$4:$S$1203,"preventiva")</f>
        <v/>
      </c>
      <c r="F232" s="17">
        <f>SUMIFS('ORDENES'!$M$4:$M$1203,'ORDENES'!$W$4:$W$1203,$A232,'ORDENES'!$O$4:$O$1203,$B232,'ORDENES'!$S$4:$S$1203,"correctiva")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>
      <c r="A233" s="3" t="inlineStr">
        <is>
          <t>TERCERO</t>
        </is>
      </c>
      <c r="B233" s="3">
        <f>$O$49</f>
        <v/>
      </c>
      <c r="C233" s="17">
        <f>SUMIFS('ASIGNACIONES'!$H$4:$H$339,'ASIGNACIONES'!$E$4:$E$339,$A233,'ASIGNACIONES'!$A$4:$A$339,$B233)</f>
        <v/>
      </c>
      <c r="D233" s="17">
        <f>C233*p_factor_productividad</f>
        <v/>
      </c>
      <c r="E233" s="17">
        <f>SUMIFS('ORDENES'!$M$4:$M$1203,'ORDENES'!$W$4:$W$1203,$A233,'ORDENES'!$O$4:$O$1203,$B233,'ORDENES'!$S$4:$S$1203,"preventiva")</f>
        <v/>
      </c>
      <c r="F233" s="17">
        <f>SUMIFS('ORDENES'!$M$4:$M$1203,'ORDENES'!$W$4:$W$1203,$A233,'ORDENES'!$O$4:$O$1203,$B233,'ORDENES'!$S$4:$S$1203,"correctiva")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>
      <c r="A234" s="3" t="inlineStr">
        <is>
          <t>MEC</t>
        </is>
      </c>
      <c r="B234" s="3">
        <f>$O$50</f>
        <v/>
      </c>
      <c r="C234" s="17">
        <f>SUMIFS('ASIGNACIONES'!$H$4:$H$339,'ASIGNACIONES'!$E$4:$E$339,$A234,'ASIGNACIONES'!$A$4:$A$339,$B234)</f>
        <v/>
      </c>
      <c r="D234" s="17">
        <f>C234*p_factor_productividad</f>
        <v/>
      </c>
      <c r="E234" s="17">
        <f>SUMIFS('ORDENES'!$M$4:$M$1203,'ORDENES'!$W$4:$W$1203,$A234,'ORDENES'!$O$4:$O$1203,$B234,'ORDENES'!$S$4:$S$1203,"preventiva")</f>
        <v/>
      </c>
      <c r="F234" s="17">
        <f>SUMIFS('ORDENES'!$M$4:$M$1203,'ORDENES'!$W$4:$W$1203,$A234,'ORDENES'!$O$4:$O$1203,$B234,'ORDENES'!$S$4:$S$1203,"correctiva")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>
      <c r="A235" s="3" t="inlineStr">
        <is>
          <t>ELE</t>
        </is>
      </c>
      <c r="B235" s="3">
        <f>$O$50</f>
        <v/>
      </c>
      <c r="C235" s="17">
        <f>SUMIFS('ASIGNACIONES'!$H$4:$H$339,'ASIGNACIONES'!$E$4:$E$339,$A235,'ASIGNACIONES'!$A$4:$A$339,$B235)</f>
        <v/>
      </c>
      <c r="D235" s="17">
        <f>C235*p_factor_productividad</f>
        <v/>
      </c>
      <c r="E235" s="17">
        <f>SUMIFS('ORDENES'!$M$4:$M$1203,'ORDENES'!$W$4:$W$1203,$A235,'ORDENES'!$O$4:$O$1203,$B235,'ORDENES'!$S$4:$S$1203,"preventiva")</f>
        <v/>
      </c>
      <c r="F235" s="17">
        <f>SUMIFS('ORDENES'!$M$4:$M$1203,'ORDENES'!$W$4:$W$1203,$A235,'ORDENES'!$O$4:$O$1203,$B235,'ORDENES'!$S$4:$S$1203,"correctiva")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>
      <c r="A236" s="3" t="inlineStr">
        <is>
          <t>AUT</t>
        </is>
      </c>
      <c r="B236" s="3">
        <f>$O$50</f>
        <v/>
      </c>
      <c r="C236" s="17">
        <f>SUMIFS('ASIGNACIONES'!$H$4:$H$339,'ASIGNACIONES'!$E$4:$E$339,$A236,'ASIGNACIONES'!$A$4:$A$339,$B236)</f>
        <v/>
      </c>
      <c r="D236" s="17">
        <f>C236*p_factor_productividad</f>
        <v/>
      </c>
      <c r="E236" s="17">
        <f>SUMIFS('ORDENES'!$M$4:$M$1203,'ORDENES'!$W$4:$W$1203,$A236,'ORDENES'!$O$4:$O$1203,$B236,'ORDENES'!$S$4:$S$1203,"preventiva")</f>
        <v/>
      </c>
      <c r="F236" s="17">
        <f>SUMIFS('ORDENES'!$M$4:$M$1203,'ORDENES'!$W$4:$W$1203,$A236,'ORDENES'!$O$4:$O$1203,$B236,'ORDENES'!$S$4:$S$1203,"correctiva")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>
      <c r="A237" s="3" t="inlineStr">
        <is>
          <t>OP</t>
        </is>
      </c>
      <c r="B237" s="3">
        <f>$O$50</f>
        <v/>
      </c>
      <c r="C237" s="17">
        <f>SUMIFS('ASIGNACIONES'!$H$4:$H$339,'ASIGNACIONES'!$E$4:$E$339,$A237,'ASIGNACIONES'!$A$4:$A$339,$B237)</f>
        <v/>
      </c>
      <c r="D237" s="17">
        <f>C237*p_factor_productividad</f>
        <v/>
      </c>
      <c r="E237" s="17">
        <f>SUMIFS('ORDENES'!$M$4:$M$1203,'ORDENES'!$W$4:$W$1203,$A237,'ORDENES'!$O$4:$O$1203,$B237,'ORDENES'!$S$4:$S$1203,"preventiva")</f>
        <v/>
      </c>
      <c r="F237" s="17">
        <f>SUMIFS('ORDENES'!$M$4:$M$1203,'ORDENES'!$W$4:$W$1203,$A237,'ORDENES'!$O$4:$O$1203,$B237,'ORDENES'!$S$4:$S$1203,"correctiva")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>
      <c r="A238" s="3" t="inlineStr">
        <is>
          <t>TERCERO</t>
        </is>
      </c>
      <c r="B238" s="3">
        <f>$O$50</f>
        <v/>
      </c>
      <c r="C238" s="17">
        <f>SUMIFS('ASIGNACIONES'!$H$4:$H$339,'ASIGNACIONES'!$E$4:$E$339,$A238,'ASIGNACIONES'!$A$4:$A$339,$B238)</f>
        <v/>
      </c>
      <c r="D238" s="17">
        <f>C238*p_factor_productividad</f>
        <v/>
      </c>
      <c r="E238" s="17">
        <f>SUMIFS('ORDENES'!$M$4:$M$1203,'ORDENES'!$W$4:$W$1203,$A238,'ORDENES'!$O$4:$O$1203,$B238,'ORDENES'!$S$4:$S$1203,"preventiva")</f>
        <v/>
      </c>
      <c r="F238" s="17">
        <f>SUMIFS('ORDENES'!$M$4:$M$1203,'ORDENES'!$W$4:$W$1203,$A238,'ORDENES'!$O$4:$O$1203,$B238,'ORDENES'!$S$4:$S$1203,"correctiva")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MEC</t>
        </is>
      </c>
      <c r="B239" s="3">
        <f>$O$51</f>
        <v/>
      </c>
      <c r="C239" s="17">
        <f>SUMIFS('ASIGNACIONES'!$H$4:$H$339,'ASIGNACIONES'!$E$4:$E$339,$A239,'ASIGNACIONES'!$A$4:$A$339,$B239)</f>
        <v/>
      </c>
      <c r="D239" s="17">
        <f>C239*p_factor_productividad</f>
        <v/>
      </c>
      <c r="E239" s="17">
        <f>SUMIFS('ORDENES'!$M$4:$M$1203,'ORDENES'!$W$4:$W$1203,$A239,'ORDENES'!$O$4:$O$1203,$B239,'ORDENES'!$S$4:$S$1203,"preventiva")</f>
        <v/>
      </c>
      <c r="F239" s="17">
        <f>SUMIFS('ORDENES'!$M$4:$M$1203,'ORDENES'!$W$4:$W$1203,$A239,'ORDENES'!$O$4:$O$1203,$B239,'ORDENES'!$S$4:$S$1203,"correctiva")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ELE</t>
        </is>
      </c>
      <c r="B240" s="3">
        <f>$O$51</f>
        <v/>
      </c>
      <c r="C240" s="17">
        <f>SUMIFS('ASIGNACIONES'!$H$4:$H$339,'ASIGNACIONES'!$E$4:$E$339,$A240,'ASIGNACIONES'!$A$4:$A$339,$B240)</f>
        <v/>
      </c>
      <c r="D240" s="17">
        <f>C240*p_factor_productividad</f>
        <v/>
      </c>
      <c r="E240" s="17">
        <f>SUMIFS('ORDENES'!$M$4:$M$1203,'ORDENES'!$W$4:$W$1203,$A240,'ORDENES'!$O$4:$O$1203,$B240,'ORDENES'!$S$4:$S$1203,"preventiva")</f>
        <v/>
      </c>
      <c r="F240" s="17">
        <f>SUMIFS('ORDENES'!$M$4:$M$1203,'ORDENES'!$W$4:$W$1203,$A240,'ORDENES'!$O$4:$O$1203,$B240,'ORDENES'!$S$4:$S$1203,"correctiva")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AUT</t>
        </is>
      </c>
      <c r="B241" s="3">
        <f>$O$51</f>
        <v/>
      </c>
      <c r="C241" s="17">
        <f>SUMIFS('ASIGNACIONES'!$H$4:$H$339,'ASIGNACIONES'!$E$4:$E$339,$A241,'ASIGNACIONES'!$A$4:$A$339,$B241)</f>
        <v/>
      </c>
      <c r="D241" s="17">
        <f>C241*p_factor_productividad</f>
        <v/>
      </c>
      <c r="E241" s="17">
        <f>SUMIFS('ORDENES'!$M$4:$M$1203,'ORDENES'!$W$4:$W$1203,$A241,'ORDENES'!$O$4:$O$1203,$B241,'ORDENES'!$S$4:$S$1203,"preventiva")</f>
        <v/>
      </c>
      <c r="F241" s="17">
        <f>SUMIFS('ORDENES'!$M$4:$M$1203,'ORDENES'!$W$4:$W$1203,$A241,'ORDENES'!$O$4:$O$1203,$B241,'ORDENES'!$S$4:$S$1203,"correctiva")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OP</t>
        </is>
      </c>
      <c r="B242" s="3">
        <f>$O$51</f>
        <v/>
      </c>
      <c r="C242" s="17">
        <f>SUMIFS('ASIGNACIONES'!$H$4:$H$339,'ASIGNACIONES'!$E$4:$E$339,$A242,'ASIGNACIONES'!$A$4:$A$339,$B242)</f>
        <v/>
      </c>
      <c r="D242" s="17">
        <f>C242*p_factor_productividad</f>
        <v/>
      </c>
      <c r="E242" s="17">
        <f>SUMIFS('ORDENES'!$M$4:$M$1203,'ORDENES'!$W$4:$W$1203,$A242,'ORDENES'!$O$4:$O$1203,$B242,'ORDENES'!$S$4:$S$1203,"preventiva")</f>
        <v/>
      </c>
      <c r="F242" s="17">
        <f>SUMIFS('ORDENES'!$M$4:$M$1203,'ORDENES'!$W$4:$W$1203,$A242,'ORDENES'!$O$4:$O$1203,$B242,'ORDENES'!$S$4:$S$1203,"correctiva")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$O$51</f>
        <v/>
      </c>
      <c r="C243" s="17">
        <f>SUMIFS('ASIGNACIONES'!$H$4:$H$339,'ASIGNACIONES'!$E$4:$E$339,$A243,'ASIGNACIONES'!$A$4:$A$339,$B243)</f>
        <v/>
      </c>
      <c r="D243" s="17">
        <f>C243*p_factor_productividad</f>
        <v/>
      </c>
      <c r="E243" s="17">
        <f>SUMIFS('ORDENES'!$M$4:$M$1203,'ORDENES'!$W$4:$W$1203,$A243,'ORDENES'!$O$4:$O$1203,$B243,'ORDENES'!$S$4:$S$1203,"preventiva")</f>
        <v/>
      </c>
      <c r="F243" s="17">
        <f>SUMIFS('ORDENES'!$M$4:$M$1203,'ORDENES'!$W$4:$W$1203,$A243,'ORDENES'!$O$4:$O$1203,$B243,'ORDENES'!$S$4:$S$1203,"correctiva")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4" hidden="1">
      <c r="A244" s="3" t="inlineStr">
        <is>
          <t>MEC</t>
        </is>
      </c>
      <c r="B244" s="3">
        <f>$O$52</f>
        <v/>
      </c>
      <c r="C244" s="17">
        <f>SUMIFS('ASIGNACIONES'!$H$4:$H$339,'ASIGNACIONES'!$E$4:$E$339,$A244,'ASIGNACIONES'!$A$4:$A$339,$B244)</f>
        <v/>
      </c>
      <c r="D244" s="17">
        <f>C244*p_factor_productividad</f>
        <v/>
      </c>
      <c r="E244" s="17">
        <f>SUMIFS('ORDENES'!$M$4:$M$1203,'ORDENES'!$W$4:$W$1203,$A244,'ORDENES'!$O$4:$O$1203,$B244,'ORDENES'!$S$4:$S$1203,"preventiva")</f>
        <v/>
      </c>
      <c r="F244" s="17">
        <f>SUMIFS('ORDENES'!$M$4:$M$1203,'ORDENES'!$W$4:$W$1203,$A244,'ORDENES'!$O$4:$O$1203,$B244,'ORDENES'!$S$4:$S$1203,"correctiva")</f>
        <v/>
      </c>
      <c r="G244" s="17">
        <f>E244+F244</f>
        <v/>
      </c>
      <c r="H244" s="17">
        <f>D244-G244</f>
        <v/>
      </c>
      <c r="I244" s="18">
        <f>IF(D244=0,"",G244/D244)</f>
        <v/>
      </c>
    </row>
    <row r="245" hidden="1">
      <c r="A245" s="3" t="inlineStr">
        <is>
          <t>ELE</t>
        </is>
      </c>
      <c r="B245" s="3">
        <f>$O$52</f>
        <v/>
      </c>
      <c r="C245" s="17">
        <f>SUMIFS('ASIGNACIONES'!$H$4:$H$339,'ASIGNACIONES'!$E$4:$E$339,$A245,'ASIGNACIONES'!$A$4:$A$339,$B245)</f>
        <v/>
      </c>
      <c r="D245" s="17">
        <f>C245*p_factor_productividad</f>
        <v/>
      </c>
      <c r="E245" s="17">
        <f>SUMIFS('ORDENES'!$M$4:$M$1203,'ORDENES'!$W$4:$W$1203,$A245,'ORDENES'!$O$4:$O$1203,$B245,'ORDENES'!$S$4:$S$1203,"preventiva")</f>
        <v/>
      </c>
      <c r="F245" s="17">
        <f>SUMIFS('ORDENES'!$M$4:$M$1203,'ORDENES'!$W$4:$W$1203,$A245,'ORDENES'!$O$4:$O$1203,$B245,'ORDENES'!$S$4:$S$1203,"correctiva")</f>
        <v/>
      </c>
      <c r="G245" s="17">
        <f>E245+F245</f>
        <v/>
      </c>
      <c r="H245" s="17">
        <f>D245-G245</f>
        <v/>
      </c>
      <c r="I245" s="18">
        <f>IF(D245=0,"",G245/D245)</f>
        <v/>
      </c>
    </row>
    <row r="246" hidden="1">
      <c r="A246" s="3" t="inlineStr">
        <is>
          <t>AUT</t>
        </is>
      </c>
      <c r="B246" s="3">
        <f>$O$52</f>
        <v/>
      </c>
      <c r="C246" s="17">
        <f>SUMIFS('ASIGNACIONES'!$H$4:$H$339,'ASIGNACIONES'!$E$4:$E$339,$A246,'ASIGNACIONES'!$A$4:$A$339,$B246)</f>
        <v/>
      </c>
      <c r="D246" s="17">
        <f>C246*p_factor_productividad</f>
        <v/>
      </c>
      <c r="E246" s="17">
        <f>SUMIFS('ORDENES'!$M$4:$M$1203,'ORDENES'!$W$4:$W$1203,$A246,'ORDENES'!$O$4:$O$1203,$B246,'ORDENES'!$S$4:$S$1203,"preventiva")</f>
        <v/>
      </c>
      <c r="F246" s="17">
        <f>SUMIFS('ORDENES'!$M$4:$M$1203,'ORDENES'!$W$4:$W$1203,$A246,'ORDENES'!$O$4:$O$1203,$B246,'ORDENES'!$S$4:$S$1203,"correctiva")</f>
        <v/>
      </c>
      <c r="G246" s="17">
        <f>E246+F246</f>
        <v/>
      </c>
      <c r="H246" s="17">
        <f>D246-G246</f>
        <v/>
      </c>
      <c r="I246" s="18">
        <f>IF(D246=0,"",G246/D246)</f>
        <v/>
      </c>
    </row>
    <row r="247" hidden="1">
      <c r="A247" s="3" t="inlineStr">
        <is>
          <t>OP</t>
        </is>
      </c>
      <c r="B247" s="3">
        <f>$O$52</f>
        <v/>
      </c>
      <c r="C247" s="17">
        <f>SUMIFS('ASIGNACIONES'!$H$4:$H$339,'ASIGNACIONES'!$E$4:$E$339,$A247,'ASIGNACIONES'!$A$4:$A$339,$B247)</f>
        <v/>
      </c>
      <c r="D247" s="17">
        <f>C247*p_factor_productividad</f>
        <v/>
      </c>
      <c r="E247" s="17">
        <f>SUMIFS('ORDENES'!$M$4:$M$1203,'ORDENES'!$W$4:$W$1203,$A247,'ORDENES'!$O$4:$O$1203,$B247,'ORDENES'!$S$4:$S$1203,"preventiva")</f>
        <v/>
      </c>
      <c r="F247" s="17">
        <f>SUMIFS('ORDENES'!$M$4:$M$1203,'ORDENES'!$W$4:$W$1203,$A247,'ORDENES'!$O$4:$O$1203,$B247,'ORDENES'!$S$4:$S$1203,"correctiva")</f>
        <v/>
      </c>
      <c r="G247" s="17">
        <f>E247+F247</f>
        <v/>
      </c>
      <c r="H247" s="17">
        <f>D247-G247</f>
        <v/>
      </c>
      <c r="I247" s="18">
        <f>IF(D247=0,"",G247/D247)</f>
        <v/>
      </c>
    </row>
    <row r="248" hidden="1">
      <c r="A248" s="3" t="inlineStr">
        <is>
          <t>TERCERO</t>
        </is>
      </c>
      <c r="B248" s="3">
        <f>$O$52</f>
        <v/>
      </c>
      <c r="C248" s="17">
        <f>SUMIFS('ASIGNACIONES'!$H$4:$H$339,'ASIGNACIONES'!$E$4:$E$339,$A248,'ASIGNACIONES'!$A$4:$A$339,$B248)</f>
        <v/>
      </c>
      <c r="D248" s="17">
        <f>C248*p_factor_productividad</f>
        <v/>
      </c>
      <c r="E248" s="17">
        <f>SUMIFS('ORDENES'!$M$4:$M$1203,'ORDENES'!$W$4:$W$1203,$A248,'ORDENES'!$O$4:$O$1203,$B248,'ORDENES'!$S$4:$S$1203,"preventiva")</f>
        <v/>
      </c>
      <c r="F248" s="17">
        <f>SUMIFS('ORDENES'!$M$4:$M$1203,'ORDENES'!$W$4:$W$1203,$A248,'ORDENES'!$O$4:$O$1203,$B248,'ORDENES'!$S$4:$S$1203,"correctiva")</f>
        <v/>
      </c>
      <c r="G248" s="17">
        <f>E248+F248</f>
        <v/>
      </c>
      <c r="H248" s="17">
        <f>D248-G248</f>
        <v/>
      </c>
      <c r="I248" s="18">
        <f>IF(D248=0,"",G248/D248)</f>
        <v/>
      </c>
    </row>
    <row r="249" hidden="1">
      <c r="A249" s="3" t="inlineStr">
        <is>
          <t>MEC</t>
        </is>
      </c>
      <c r="B249" s="3">
        <f>$O$53</f>
        <v/>
      </c>
      <c r="C249" s="17">
        <f>SUMIFS('ASIGNACIONES'!$H$4:$H$339,'ASIGNACIONES'!$E$4:$E$339,$A249,'ASIGNACIONES'!$A$4:$A$339,$B249)</f>
        <v/>
      </c>
      <c r="D249" s="17">
        <f>C249*p_factor_productividad</f>
        <v/>
      </c>
      <c r="E249" s="17">
        <f>SUMIFS('ORDENES'!$M$4:$M$1203,'ORDENES'!$W$4:$W$1203,$A249,'ORDENES'!$O$4:$O$1203,$B249,'ORDENES'!$S$4:$S$1203,"preventiva")</f>
        <v/>
      </c>
      <c r="F249" s="17">
        <f>SUMIFS('ORDENES'!$M$4:$M$1203,'ORDENES'!$W$4:$W$1203,$A249,'ORDENES'!$O$4:$O$1203,$B249,'ORDENES'!$S$4:$S$1203,"correctiva")</f>
        <v/>
      </c>
      <c r="G249" s="17">
        <f>E249+F249</f>
        <v/>
      </c>
      <c r="H249" s="17">
        <f>D249-G249</f>
        <v/>
      </c>
      <c r="I249" s="18">
        <f>IF(D249=0,"",G249/D249)</f>
        <v/>
      </c>
    </row>
    <row r="250" hidden="1">
      <c r="A250" s="3" t="inlineStr">
        <is>
          <t>ELE</t>
        </is>
      </c>
      <c r="B250" s="3">
        <f>$O$53</f>
        <v/>
      </c>
      <c r="C250" s="17">
        <f>SUMIFS('ASIGNACIONES'!$H$4:$H$339,'ASIGNACIONES'!$E$4:$E$339,$A250,'ASIGNACIONES'!$A$4:$A$339,$B250)</f>
        <v/>
      </c>
      <c r="D250" s="17">
        <f>C250*p_factor_productividad</f>
        <v/>
      </c>
      <c r="E250" s="17">
        <f>SUMIFS('ORDENES'!$M$4:$M$1203,'ORDENES'!$W$4:$W$1203,$A250,'ORDENES'!$O$4:$O$1203,$B250,'ORDENES'!$S$4:$S$1203,"preventiva")</f>
        <v/>
      </c>
      <c r="F250" s="17">
        <f>SUMIFS('ORDENES'!$M$4:$M$1203,'ORDENES'!$W$4:$W$1203,$A250,'ORDENES'!$O$4:$O$1203,$B250,'ORDENES'!$S$4:$S$1203,"correctiva")</f>
        <v/>
      </c>
      <c r="G250" s="17">
        <f>E250+F250</f>
        <v/>
      </c>
      <c r="H250" s="17">
        <f>D250-G250</f>
        <v/>
      </c>
      <c r="I250" s="18">
        <f>IF(D250=0,"",G250/D250)</f>
        <v/>
      </c>
    </row>
    <row r="251" hidden="1">
      <c r="A251" s="3" t="inlineStr">
        <is>
          <t>AUT</t>
        </is>
      </c>
      <c r="B251" s="3">
        <f>$O$53</f>
        <v/>
      </c>
      <c r="C251" s="17">
        <f>SUMIFS('ASIGNACIONES'!$H$4:$H$339,'ASIGNACIONES'!$E$4:$E$339,$A251,'ASIGNACIONES'!$A$4:$A$339,$B251)</f>
        <v/>
      </c>
      <c r="D251" s="17">
        <f>C251*p_factor_productividad</f>
        <v/>
      </c>
      <c r="E251" s="17">
        <f>SUMIFS('ORDENES'!$M$4:$M$1203,'ORDENES'!$W$4:$W$1203,$A251,'ORDENES'!$O$4:$O$1203,$B251,'ORDENES'!$S$4:$S$1203,"preventiva")</f>
        <v/>
      </c>
      <c r="F251" s="17">
        <f>SUMIFS('ORDENES'!$M$4:$M$1203,'ORDENES'!$W$4:$W$1203,$A251,'ORDENES'!$O$4:$O$1203,$B251,'ORDENES'!$S$4:$S$1203,"correctiva")</f>
        <v/>
      </c>
      <c r="G251" s="17">
        <f>E251+F251</f>
        <v/>
      </c>
      <c r="H251" s="17">
        <f>D251-G251</f>
        <v/>
      </c>
      <c r="I251" s="18">
        <f>IF(D251=0,"",G251/D251)</f>
        <v/>
      </c>
    </row>
    <row r="252" hidden="1">
      <c r="A252" s="3" t="inlineStr">
        <is>
          <t>OP</t>
        </is>
      </c>
      <c r="B252" s="3">
        <f>$O$53</f>
        <v/>
      </c>
      <c r="C252" s="17">
        <f>SUMIFS('ASIGNACIONES'!$H$4:$H$339,'ASIGNACIONES'!$E$4:$E$339,$A252,'ASIGNACIONES'!$A$4:$A$339,$B252)</f>
        <v/>
      </c>
      <c r="D252" s="17">
        <f>C252*p_factor_productividad</f>
        <v/>
      </c>
      <c r="E252" s="17">
        <f>SUMIFS('ORDENES'!$M$4:$M$1203,'ORDENES'!$W$4:$W$1203,$A252,'ORDENES'!$O$4:$O$1203,$B252,'ORDENES'!$S$4:$S$1203,"preventiva")</f>
        <v/>
      </c>
      <c r="F252" s="17">
        <f>SUMIFS('ORDENES'!$M$4:$M$1203,'ORDENES'!$W$4:$W$1203,$A252,'ORDENES'!$O$4:$O$1203,$B252,'ORDENES'!$S$4:$S$1203,"correctiva")</f>
        <v/>
      </c>
      <c r="G252" s="17">
        <f>E252+F252</f>
        <v/>
      </c>
      <c r="H252" s="17">
        <f>D252-G252</f>
        <v/>
      </c>
      <c r="I252" s="18">
        <f>IF(D252=0,"",G252/D252)</f>
        <v/>
      </c>
    </row>
    <row r="253" hidden="1">
      <c r="A253" s="3" t="inlineStr">
        <is>
          <t>TERCERO</t>
        </is>
      </c>
      <c r="B253" s="3">
        <f>$O$53</f>
        <v/>
      </c>
      <c r="C253" s="17">
        <f>SUMIFS('ASIGNACIONES'!$H$4:$H$339,'ASIGNACIONES'!$E$4:$E$339,$A253,'ASIGNACIONES'!$A$4:$A$339,$B253)</f>
        <v/>
      </c>
      <c r="D253" s="17">
        <f>C253*p_factor_productividad</f>
        <v/>
      </c>
      <c r="E253" s="17">
        <f>SUMIFS('ORDENES'!$M$4:$M$1203,'ORDENES'!$W$4:$W$1203,$A253,'ORDENES'!$O$4:$O$1203,$B253,'ORDENES'!$S$4:$S$1203,"preventiva")</f>
        <v/>
      </c>
      <c r="F253" s="17">
        <f>SUMIFS('ORDENES'!$M$4:$M$1203,'ORDENES'!$W$4:$W$1203,$A253,'ORDENES'!$O$4:$O$1203,$B253,'ORDENES'!$S$4:$S$1203,"correctiva")</f>
        <v/>
      </c>
      <c r="G253" s="17">
        <f>E253+F253</f>
        <v/>
      </c>
      <c r="H253" s="17">
        <f>D253-G253</f>
        <v/>
      </c>
      <c r="I253" s="18">
        <f>IF(D253=0,"",G253/D253)</f>
        <v/>
      </c>
    </row>
    <row r="254" hidden="1">
      <c r="A254" s="3" t="inlineStr">
        <is>
          <t>MEC</t>
        </is>
      </c>
      <c r="B254" s="3">
        <f>$O$54</f>
        <v/>
      </c>
      <c r="C254" s="17">
        <f>SUMIFS('ASIGNACIONES'!$H$4:$H$339,'ASIGNACIONES'!$E$4:$E$339,$A254,'ASIGNACIONES'!$A$4:$A$339,$B254)</f>
        <v/>
      </c>
      <c r="D254" s="17">
        <f>C254*p_factor_productividad</f>
        <v/>
      </c>
      <c r="E254" s="17">
        <f>SUMIFS('ORDENES'!$M$4:$M$1203,'ORDENES'!$W$4:$W$1203,$A254,'ORDENES'!$O$4:$O$1203,$B254,'ORDENES'!$S$4:$S$1203,"preventiva")</f>
        <v/>
      </c>
      <c r="F254" s="17">
        <f>SUMIFS('ORDENES'!$M$4:$M$1203,'ORDENES'!$W$4:$W$1203,$A254,'ORDENES'!$O$4:$O$1203,$B254,'ORDENES'!$S$4:$S$1203,"correctiva")</f>
        <v/>
      </c>
      <c r="G254" s="17">
        <f>E254+F254</f>
        <v/>
      </c>
      <c r="H254" s="17">
        <f>D254-G254</f>
        <v/>
      </c>
      <c r="I254" s="18">
        <f>IF(D254=0,"",G254/D254)</f>
        <v/>
      </c>
    </row>
    <row r="255" hidden="1">
      <c r="A255" s="3" t="inlineStr">
        <is>
          <t>ELE</t>
        </is>
      </c>
      <c r="B255" s="3">
        <f>$O$54</f>
        <v/>
      </c>
      <c r="C255" s="17">
        <f>SUMIFS('ASIGNACIONES'!$H$4:$H$339,'ASIGNACIONES'!$E$4:$E$339,$A255,'ASIGNACIONES'!$A$4:$A$339,$B255)</f>
        <v/>
      </c>
      <c r="D255" s="17">
        <f>C255*p_factor_productividad</f>
        <v/>
      </c>
      <c r="E255" s="17">
        <f>SUMIFS('ORDENES'!$M$4:$M$1203,'ORDENES'!$W$4:$W$1203,$A255,'ORDENES'!$O$4:$O$1203,$B255,'ORDENES'!$S$4:$S$1203,"preventiva")</f>
        <v/>
      </c>
      <c r="F255" s="17">
        <f>SUMIFS('ORDENES'!$M$4:$M$1203,'ORDENES'!$W$4:$W$1203,$A255,'ORDENES'!$O$4:$O$1203,$B255,'ORDENES'!$S$4:$S$1203,"correctiva")</f>
        <v/>
      </c>
      <c r="G255" s="17">
        <f>E255+F255</f>
        <v/>
      </c>
      <c r="H255" s="17">
        <f>D255-G255</f>
        <v/>
      </c>
      <c r="I255" s="18">
        <f>IF(D255=0,"",G255/D255)</f>
        <v/>
      </c>
    </row>
    <row r="256" hidden="1">
      <c r="A256" s="3" t="inlineStr">
        <is>
          <t>AUT</t>
        </is>
      </c>
      <c r="B256" s="3">
        <f>$O$54</f>
        <v/>
      </c>
      <c r="C256" s="17">
        <f>SUMIFS('ASIGNACIONES'!$H$4:$H$339,'ASIGNACIONES'!$E$4:$E$339,$A256,'ASIGNACIONES'!$A$4:$A$339,$B256)</f>
        <v/>
      </c>
      <c r="D256" s="17">
        <f>C256*p_factor_productividad</f>
        <v/>
      </c>
      <c r="E256" s="17">
        <f>SUMIFS('ORDENES'!$M$4:$M$1203,'ORDENES'!$W$4:$W$1203,$A256,'ORDENES'!$O$4:$O$1203,$B256,'ORDENES'!$S$4:$S$1203,"preventiva")</f>
        <v/>
      </c>
      <c r="F256" s="17">
        <f>SUMIFS('ORDENES'!$M$4:$M$1203,'ORDENES'!$W$4:$W$1203,$A256,'ORDENES'!$O$4:$O$1203,$B256,'ORDENES'!$S$4:$S$1203,"correctiva")</f>
        <v/>
      </c>
      <c r="G256" s="17">
        <f>E256+F256</f>
        <v/>
      </c>
      <c r="H256" s="17">
        <f>D256-G256</f>
        <v/>
      </c>
      <c r="I256" s="18">
        <f>IF(D256=0,"",G256/D256)</f>
        <v/>
      </c>
    </row>
    <row r="257" hidden="1">
      <c r="A257" s="3" t="inlineStr">
        <is>
          <t>OP</t>
        </is>
      </c>
      <c r="B257" s="3">
        <f>$O$54</f>
        <v/>
      </c>
      <c r="C257" s="17">
        <f>SUMIFS('ASIGNACIONES'!$H$4:$H$339,'ASIGNACIONES'!$E$4:$E$339,$A257,'ASIGNACIONES'!$A$4:$A$339,$B257)</f>
        <v/>
      </c>
      <c r="D257" s="17">
        <f>C257*p_factor_productividad</f>
        <v/>
      </c>
      <c r="E257" s="17">
        <f>SUMIFS('ORDENES'!$M$4:$M$1203,'ORDENES'!$W$4:$W$1203,$A257,'ORDENES'!$O$4:$O$1203,$B257,'ORDENES'!$S$4:$S$1203,"preventiva")</f>
        <v/>
      </c>
      <c r="F257" s="17">
        <f>SUMIFS('ORDENES'!$M$4:$M$1203,'ORDENES'!$W$4:$W$1203,$A257,'ORDENES'!$O$4:$O$1203,$B257,'ORDENES'!$S$4:$S$1203,"correctiva")</f>
        <v/>
      </c>
      <c r="G257" s="17">
        <f>E257+F257</f>
        <v/>
      </c>
      <c r="H257" s="17">
        <f>D257-G257</f>
        <v/>
      </c>
      <c r="I257" s="18">
        <f>IF(D257=0,"",G257/D257)</f>
        <v/>
      </c>
    </row>
    <row r="258" hidden="1">
      <c r="A258" s="3" t="inlineStr">
        <is>
          <t>TERCERO</t>
        </is>
      </c>
      <c r="B258" s="3">
        <f>$O$54</f>
        <v/>
      </c>
      <c r="C258" s="17">
        <f>SUMIFS('ASIGNACIONES'!$H$4:$H$339,'ASIGNACIONES'!$E$4:$E$339,$A258,'ASIGNACIONES'!$A$4:$A$339,$B258)</f>
        <v/>
      </c>
      <c r="D258" s="17">
        <f>C258*p_factor_productividad</f>
        <v/>
      </c>
      <c r="E258" s="17">
        <f>SUMIFS('ORDENES'!$M$4:$M$1203,'ORDENES'!$W$4:$W$1203,$A258,'ORDENES'!$O$4:$O$1203,$B258,'ORDENES'!$S$4:$S$1203,"preventiva")</f>
        <v/>
      </c>
      <c r="F258" s="17">
        <f>SUMIFS('ORDENES'!$M$4:$M$1203,'ORDENES'!$W$4:$W$1203,$A258,'ORDENES'!$O$4:$O$1203,$B258,'ORDENES'!$S$4:$S$1203,"correctiva")</f>
        <v/>
      </c>
      <c r="G258" s="17">
        <f>E258+F258</f>
        <v/>
      </c>
      <c r="H258" s="17">
        <f>D258-G258</f>
        <v/>
      </c>
      <c r="I258" s="18">
        <f>IF(D258=0,"",G258/D258)</f>
        <v/>
      </c>
    </row>
    <row r="259" hidden="1">
      <c r="A259" s="3" t="inlineStr">
        <is>
          <t>MEC</t>
        </is>
      </c>
      <c r="B259" s="3">
        <f>$O$55</f>
        <v/>
      </c>
      <c r="C259" s="17">
        <f>SUMIFS('ASIGNACIONES'!$H$4:$H$339,'ASIGNACIONES'!$E$4:$E$339,$A259,'ASIGNACIONES'!$A$4:$A$339,$B259)</f>
        <v/>
      </c>
      <c r="D259" s="17">
        <f>C259*p_factor_productividad</f>
        <v/>
      </c>
      <c r="E259" s="17">
        <f>SUMIFS('ORDENES'!$M$4:$M$1203,'ORDENES'!$W$4:$W$1203,$A259,'ORDENES'!$O$4:$O$1203,$B259,'ORDENES'!$S$4:$S$1203,"preventiva")</f>
        <v/>
      </c>
      <c r="F259" s="17">
        <f>SUMIFS('ORDENES'!$M$4:$M$1203,'ORDENES'!$W$4:$W$1203,$A259,'ORDENES'!$O$4:$O$1203,$B259,'ORDENES'!$S$4:$S$1203,"correctiva")</f>
        <v/>
      </c>
      <c r="G259" s="17">
        <f>E259+F259</f>
        <v/>
      </c>
      <c r="H259" s="17">
        <f>D259-G259</f>
        <v/>
      </c>
      <c r="I259" s="18">
        <f>IF(D259=0,"",G259/D259)</f>
        <v/>
      </c>
    </row>
    <row r="260" hidden="1">
      <c r="A260" s="3" t="inlineStr">
        <is>
          <t>ELE</t>
        </is>
      </c>
      <c r="B260" s="3">
        <f>$O$55</f>
        <v/>
      </c>
      <c r="C260" s="17">
        <f>SUMIFS('ASIGNACIONES'!$H$4:$H$339,'ASIGNACIONES'!$E$4:$E$339,$A260,'ASIGNACIONES'!$A$4:$A$339,$B260)</f>
        <v/>
      </c>
      <c r="D260" s="17">
        <f>C260*p_factor_productividad</f>
        <v/>
      </c>
      <c r="E260" s="17">
        <f>SUMIFS('ORDENES'!$M$4:$M$1203,'ORDENES'!$W$4:$W$1203,$A260,'ORDENES'!$O$4:$O$1203,$B260,'ORDENES'!$S$4:$S$1203,"preventiva")</f>
        <v/>
      </c>
      <c r="F260" s="17">
        <f>SUMIFS('ORDENES'!$M$4:$M$1203,'ORDENES'!$W$4:$W$1203,$A260,'ORDENES'!$O$4:$O$1203,$B260,'ORDENES'!$S$4:$S$1203,"correctiva")</f>
        <v/>
      </c>
      <c r="G260" s="17">
        <f>E260+F260</f>
        <v/>
      </c>
      <c r="H260" s="17">
        <f>D260-G260</f>
        <v/>
      </c>
      <c r="I260" s="18">
        <f>IF(D260=0,"",G260/D260)</f>
        <v/>
      </c>
    </row>
    <row r="261" hidden="1">
      <c r="A261" s="3" t="inlineStr">
        <is>
          <t>AUT</t>
        </is>
      </c>
      <c r="B261" s="3">
        <f>$O$55</f>
        <v/>
      </c>
      <c r="C261" s="17">
        <f>SUMIFS('ASIGNACIONES'!$H$4:$H$339,'ASIGNACIONES'!$E$4:$E$339,$A261,'ASIGNACIONES'!$A$4:$A$339,$B261)</f>
        <v/>
      </c>
      <c r="D261" s="17">
        <f>C261*p_factor_productividad</f>
        <v/>
      </c>
      <c r="E261" s="17">
        <f>SUMIFS('ORDENES'!$M$4:$M$1203,'ORDENES'!$W$4:$W$1203,$A261,'ORDENES'!$O$4:$O$1203,$B261,'ORDENES'!$S$4:$S$1203,"preventiva")</f>
        <v/>
      </c>
      <c r="F261" s="17">
        <f>SUMIFS('ORDENES'!$M$4:$M$1203,'ORDENES'!$W$4:$W$1203,$A261,'ORDENES'!$O$4:$O$1203,$B261,'ORDENES'!$S$4:$S$1203,"correctiva")</f>
        <v/>
      </c>
      <c r="G261" s="17">
        <f>E261+F261</f>
        <v/>
      </c>
      <c r="H261" s="17">
        <f>D261-G261</f>
        <v/>
      </c>
      <c r="I261" s="18">
        <f>IF(D261=0,"",G261/D261)</f>
        <v/>
      </c>
    </row>
    <row r="262" hidden="1">
      <c r="A262" s="3" t="inlineStr">
        <is>
          <t>OP</t>
        </is>
      </c>
      <c r="B262" s="3">
        <f>$O$55</f>
        <v/>
      </c>
      <c r="C262" s="17">
        <f>SUMIFS('ASIGNACIONES'!$H$4:$H$339,'ASIGNACIONES'!$E$4:$E$339,$A262,'ASIGNACIONES'!$A$4:$A$339,$B262)</f>
        <v/>
      </c>
      <c r="D262" s="17">
        <f>C262*p_factor_productividad</f>
        <v/>
      </c>
      <c r="E262" s="17">
        <f>SUMIFS('ORDENES'!$M$4:$M$1203,'ORDENES'!$W$4:$W$1203,$A262,'ORDENES'!$O$4:$O$1203,$B262,'ORDENES'!$S$4:$S$1203,"preventiva")</f>
        <v/>
      </c>
      <c r="F262" s="17">
        <f>SUMIFS('ORDENES'!$M$4:$M$1203,'ORDENES'!$W$4:$W$1203,$A262,'ORDENES'!$O$4:$O$1203,$B262,'ORDENES'!$S$4:$S$1203,"correctiva")</f>
        <v/>
      </c>
      <c r="G262" s="17">
        <f>E262+F262</f>
        <v/>
      </c>
      <c r="H262" s="17">
        <f>D262-G262</f>
        <v/>
      </c>
      <c r="I262" s="18">
        <f>IF(D262=0,"",G262/D262)</f>
        <v/>
      </c>
    </row>
    <row r="263" hidden="1">
      <c r="A263" s="3" t="inlineStr">
        <is>
          <t>TERCERO</t>
        </is>
      </c>
      <c r="B263" s="3">
        <f>$O$55</f>
        <v/>
      </c>
      <c r="C263" s="17">
        <f>SUMIFS('ASIGNACIONES'!$H$4:$H$339,'ASIGNACIONES'!$E$4:$E$339,$A263,'ASIGNACIONES'!$A$4:$A$339,$B263)</f>
        <v/>
      </c>
      <c r="D263" s="17">
        <f>C263*p_factor_productividad</f>
        <v/>
      </c>
      <c r="E263" s="17">
        <f>SUMIFS('ORDENES'!$M$4:$M$1203,'ORDENES'!$W$4:$W$1203,$A263,'ORDENES'!$O$4:$O$1203,$B263,'ORDENES'!$S$4:$S$1203,"preventiva")</f>
        <v/>
      </c>
      <c r="F263" s="17">
        <f>SUMIFS('ORDENES'!$M$4:$M$1203,'ORDENES'!$W$4:$W$1203,$A263,'ORDENES'!$O$4:$O$1203,$B263,'ORDENES'!$S$4:$S$1203,"correctiva")</f>
        <v/>
      </c>
      <c r="G263" s="17">
        <f>E263+F263</f>
        <v/>
      </c>
      <c r="H263" s="17">
        <f>D263-G263</f>
        <v/>
      </c>
      <c r="I263" s="18">
        <f>IF(D263=0,"",G263/D263)</f>
        <v/>
      </c>
    </row>
    <row r="264" hidden="1">
      <c r="A264" s="3" t="inlineStr">
        <is>
          <t>MEC</t>
        </is>
      </c>
      <c r="B264" s="3">
        <f>$O$56</f>
        <v/>
      </c>
      <c r="C264" s="17">
        <f>SUMIFS('ASIGNACIONES'!$H$4:$H$339,'ASIGNACIONES'!$E$4:$E$339,$A264,'ASIGNACIONES'!$A$4:$A$339,$B264)</f>
        <v/>
      </c>
      <c r="D264" s="17">
        <f>C264*p_factor_productividad</f>
        <v/>
      </c>
      <c r="E264" s="17">
        <f>SUMIFS('ORDENES'!$M$4:$M$1203,'ORDENES'!$W$4:$W$1203,$A264,'ORDENES'!$O$4:$O$1203,$B264,'ORDENES'!$S$4:$S$1203,"preventiva")</f>
        <v/>
      </c>
      <c r="F264" s="17">
        <f>SUMIFS('ORDENES'!$M$4:$M$1203,'ORDENES'!$W$4:$W$1203,$A264,'ORDENES'!$O$4:$O$1203,$B264,'ORDENES'!$S$4:$S$1203,"correctiva")</f>
        <v/>
      </c>
      <c r="G264" s="17">
        <f>E264+F264</f>
        <v/>
      </c>
      <c r="H264" s="17">
        <f>D264-G264</f>
        <v/>
      </c>
      <c r="I264" s="18">
        <f>IF(D264=0,"",G264/D264)</f>
        <v/>
      </c>
    </row>
    <row r="265" hidden="1">
      <c r="A265" s="3" t="inlineStr">
        <is>
          <t>ELE</t>
        </is>
      </c>
      <c r="B265" s="3">
        <f>$O$56</f>
        <v/>
      </c>
      <c r="C265" s="17">
        <f>SUMIFS('ASIGNACIONES'!$H$4:$H$339,'ASIGNACIONES'!$E$4:$E$339,$A265,'ASIGNACIONES'!$A$4:$A$339,$B265)</f>
        <v/>
      </c>
      <c r="D265" s="17">
        <f>C265*p_factor_productividad</f>
        <v/>
      </c>
      <c r="E265" s="17">
        <f>SUMIFS('ORDENES'!$M$4:$M$1203,'ORDENES'!$W$4:$W$1203,$A265,'ORDENES'!$O$4:$O$1203,$B265,'ORDENES'!$S$4:$S$1203,"preventiva")</f>
        <v/>
      </c>
      <c r="F265" s="17">
        <f>SUMIFS('ORDENES'!$M$4:$M$1203,'ORDENES'!$W$4:$W$1203,$A265,'ORDENES'!$O$4:$O$1203,$B265,'ORDENES'!$S$4:$S$1203,"correctiva")</f>
        <v/>
      </c>
      <c r="G265" s="17">
        <f>E265+F265</f>
        <v/>
      </c>
      <c r="H265" s="17">
        <f>D265-G265</f>
        <v/>
      </c>
      <c r="I265" s="18">
        <f>IF(D265=0,"",G265/D265)</f>
        <v/>
      </c>
    </row>
    <row r="266" hidden="1">
      <c r="A266" s="3" t="inlineStr">
        <is>
          <t>AUT</t>
        </is>
      </c>
      <c r="B266" s="3">
        <f>$O$56</f>
        <v/>
      </c>
      <c r="C266" s="17">
        <f>SUMIFS('ASIGNACIONES'!$H$4:$H$339,'ASIGNACIONES'!$E$4:$E$339,$A266,'ASIGNACIONES'!$A$4:$A$339,$B266)</f>
        <v/>
      </c>
      <c r="D266" s="17">
        <f>C266*p_factor_productividad</f>
        <v/>
      </c>
      <c r="E266" s="17">
        <f>SUMIFS('ORDENES'!$M$4:$M$1203,'ORDENES'!$W$4:$W$1203,$A266,'ORDENES'!$O$4:$O$1203,$B266,'ORDENES'!$S$4:$S$1203,"preventiva")</f>
        <v/>
      </c>
      <c r="F266" s="17">
        <f>SUMIFS('ORDENES'!$M$4:$M$1203,'ORDENES'!$W$4:$W$1203,$A266,'ORDENES'!$O$4:$O$1203,$B266,'ORDENES'!$S$4:$S$1203,"correctiva")</f>
        <v/>
      </c>
      <c r="G266" s="17">
        <f>E266+F266</f>
        <v/>
      </c>
      <c r="H266" s="17">
        <f>D266-G266</f>
        <v/>
      </c>
      <c r="I266" s="18">
        <f>IF(D266=0,"",G266/D266)</f>
        <v/>
      </c>
    </row>
    <row r="267" hidden="1">
      <c r="A267" s="3" t="inlineStr">
        <is>
          <t>OP</t>
        </is>
      </c>
      <c r="B267" s="3">
        <f>$O$56</f>
        <v/>
      </c>
      <c r="C267" s="17">
        <f>SUMIFS('ASIGNACIONES'!$H$4:$H$339,'ASIGNACIONES'!$E$4:$E$339,$A267,'ASIGNACIONES'!$A$4:$A$339,$B267)</f>
        <v/>
      </c>
      <c r="D267" s="17">
        <f>C267*p_factor_productividad</f>
        <v/>
      </c>
      <c r="E267" s="17">
        <f>SUMIFS('ORDENES'!$M$4:$M$1203,'ORDENES'!$W$4:$W$1203,$A267,'ORDENES'!$O$4:$O$1203,$B267,'ORDENES'!$S$4:$S$1203,"preventiva")</f>
        <v/>
      </c>
      <c r="F267" s="17">
        <f>SUMIFS('ORDENES'!$M$4:$M$1203,'ORDENES'!$W$4:$W$1203,$A267,'ORDENES'!$O$4:$O$1203,$B267,'ORDENES'!$S$4:$S$1203,"correctiva")</f>
        <v/>
      </c>
      <c r="G267" s="17">
        <f>E267+F267</f>
        <v/>
      </c>
      <c r="H267" s="17">
        <f>D267-G267</f>
        <v/>
      </c>
      <c r="I267" s="18">
        <f>IF(D267=0,"",G267/D267)</f>
        <v/>
      </c>
    </row>
    <row r="268" hidden="1">
      <c r="A268" s="3" t="inlineStr">
        <is>
          <t>TERCERO</t>
        </is>
      </c>
      <c r="B268" s="3">
        <f>$O$56</f>
        <v/>
      </c>
      <c r="C268" s="17">
        <f>SUMIFS('ASIGNACIONES'!$H$4:$H$339,'ASIGNACIONES'!$E$4:$E$339,$A268,'ASIGNACIONES'!$A$4:$A$339,$B268)</f>
        <v/>
      </c>
      <c r="D268" s="17">
        <f>C268*p_factor_productividad</f>
        <v/>
      </c>
      <c r="E268" s="17">
        <f>SUMIFS('ORDENES'!$M$4:$M$1203,'ORDENES'!$W$4:$W$1203,$A268,'ORDENES'!$O$4:$O$1203,$B268,'ORDENES'!$S$4:$S$1203,"preventiva")</f>
        <v/>
      </c>
      <c r="F268" s="17">
        <f>SUMIFS('ORDENES'!$M$4:$M$1203,'ORDENES'!$W$4:$W$1203,$A268,'ORDENES'!$O$4:$O$1203,$B268,'ORDENES'!$S$4:$S$1203,"correctiva")</f>
        <v/>
      </c>
      <c r="G268" s="17">
        <f>E268+F268</f>
        <v/>
      </c>
      <c r="H268" s="17">
        <f>D268-G268</f>
        <v/>
      </c>
      <c r="I268" s="18">
        <f>IF(D268=0,"",G268/D268)</f>
        <v/>
      </c>
    </row>
    <row r="269" hidden="1">
      <c r="A269" s="3" t="inlineStr">
        <is>
          <t>MEC</t>
        </is>
      </c>
      <c r="B269" s="3">
        <f>$O$57</f>
        <v/>
      </c>
      <c r="C269" s="17">
        <f>SUMIFS('ASIGNACIONES'!$H$4:$H$339,'ASIGNACIONES'!$E$4:$E$339,$A269,'ASIGNACIONES'!$A$4:$A$339,$B269)</f>
        <v/>
      </c>
      <c r="D269" s="17">
        <f>C269*p_factor_productividad</f>
        <v/>
      </c>
      <c r="E269" s="17">
        <f>SUMIFS('ORDENES'!$M$4:$M$1203,'ORDENES'!$W$4:$W$1203,$A269,'ORDENES'!$O$4:$O$1203,$B269,'ORDENES'!$S$4:$S$1203,"preventiva")</f>
        <v/>
      </c>
      <c r="F269" s="17">
        <f>SUMIFS('ORDENES'!$M$4:$M$1203,'ORDENES'!$W$4:$W$1203,$A269,'ORDENES'!$O$4:$O$1203,$B269,'ORDENES'!$S$4:$S$1203,"correctiva")</f>
        <v/>
      </c>
      <c r="G269" s="17">
        <f>E269+F269</f>
        <v/>
      </c>
      <c r="H269" s="17">
        <f>D269-G269</f>
        <v/>
      </c>
      <c r="I269" s="18">
        <f>IF(D269=0,"",G269/D269)</f>
        <v/>
      </c>
    </row>
    <row r="270" hidden="1">
      <c r="A270" s="3" t="inlineStr">
        <is>
          <t>ELE</t>
        </is>
      </c>
      <c r="B270" s="3">
        <f>$O$57</f>
        <v/>
      </c>
      <c r="C270" s="17">
        <f>SUMIFS('ASIGNACIONES'!$H$4:$H$339,'ASIGNACIONES'!$E$4:$E$339,$A270,'ASIGNACIONES'!$A$4:$A$339,$B270)</f>
        <v/>
      </c>
      <c r="D270" s="17">
        <f>C270*p_factor_productividad</f>
        <v/>
      </c>
      <c r="E270" s="17">
        <f>SUMIFS('ORDENES'!$M$4:$M$1203,'ORDENES'!$W$4:$W$1203,$A270,'ORDENES'!$O$4:$O$1203,$B270,'ORDENES'!$S$4:$S$1203,"preventiva")</f>
        <v/>
      </c>
      <c r="F270" s="17">
        <f>SUMIFS('ORDENES'!$M$4:$M$1203,'ORDENES'!$W$4:$W$1203,$A270,'ORDENES'!$O$4:$O$1203,$B270,'ORDENES'!$S$4:$S$1203,"correctiva")</f>
        <v/>
      </c>
      <c r="G270" s="17">
        <f>E270+F270</f>
        <v/>
      </c>
      <c r="H270" s="17">
        <f>D270-G270</f>
        <v/>
      </c>
      <c r="I270" s="18">
        <f>IF(D270=0,"",G270/D270)</f>
        <v/>
      </c>
    </row>
    <row r="271" hidden="1">
      <c r="A271" s="3" t="inlineStr">
        <is>
          <t>AUT</t>
        </is>
      </c>
      <c r="B271" s="3">
        <f>$O$57</f>
        <v/>
      </c>
      <c r="C271" s="17">
        <f>SUMIFS('ASIGNACIONES'!$H$4:$H$339,'ASIGNACIONES'!$E$4:$E$339,$A271,'ASIGNACIONES'!$A$4:$A$339,$B271)</f>
        <v/>
      </c>
      <c r="D271" s="17">
        <f>C271*p_factor_productividad</f>
        <v/>
      </c>
      <c r="E271" s="17">
        <f>SUMIFS('ORDENES'!$M$4:$M$1203,'ORDENES'!$W$4:$W$1203,$A271,'ORDENES'!$O$4:$O$1203,$B271,'ORDENES'!$S$4:$S$1203,"preventiva")</f>
        <v/>
      </c>
      <c r="F271" s="17">
        <f>SUMIFS('ORDENES'!$M$4:$M$1203,'ORDENES'!$W$4:$W$1203,$A271,'ORDENES'!$O$4:$O$1203,$B271,'ORDENES'!$S$4:$S$1203,"correctiva")</f>
        <v/>
      </c>
      <c r="G271" s="17">
        <f>E271+F271</f>
        <v/>
      </c>
      <c r="H271" s="17">
        <f>D271-G271</f>
        <v/>
      </c>
      <c r="I271" s="18">
        <f>IF(D271=0,"",G271/D271)</f>
        <v/>
      </c>
    </row>
    <row r="272" hidden="1">
      <c r="A272" s="3" t="inlineStr">
        <is>
          <t>OP</t>
        </is>
      </c>
      <c r="B272" s="3">
        <f>$O$57</f>
        <v/>
      </c>
      <c r="C272" s="17">
        <f>SUMIFS('ASIGNACIONES'!$H$4:$H$339,'ASIGNACIONES'!$E$4:$E$339,$A272,'ASIGNACIONES'!$A$4:$A$339,$B272)</f>
        <v/>
      </c>
      <c r="D272" s="17">
        <f>C272*p_factor_productividad</f>
        <v/>
      </c>
      <c r="E272" s="17">
        <f>SUMIFS('ORDENES'!$M$4:$M$1203,'ORDENES'!$W$4:$W$1203,$A272,'ORDENES'!$O$4:$O$1203,$B272,'ORDENES'!$S$4:$S$1203,"preventiva")</f>
        <v/>
      </c>
      <c r="F272" s="17">
        <f>SUMIFS('ORDENES'!$M$4:$M$1203,'ORDENES'!$W$4:$W$1203,$A272,'ORDENES'!$O$4:$O$1203,$B272,'ORDENES'!$S$4:$S$1203,"correctiva")</f>
        <v/>
      </c>
      <c r="G272" s="17">
        <f>E272+F272</f>
        <v/>
      </c>
      <c r="H272" s="17">
        <f>D272-G272</f>
        <v/>
      </c>
      <c r="I272" s="18">
        <f>IF(D272=0,"",G272/D272)</f>
        <v/>
      </c>
    </row>
    <row r="273" hidden="1">
      <c r="A273" s="3" t="inlineStr">
        <is>
          <t>TERCERO</t>
        </is>
      </c>
      <c r="B273" s="3">
        <f>$O$57</f>
        <v/>
      </c>
      <c r="C273" s="17">
        <f>SUMIFS('ASIGNACIONES'!$H$4:$H$339,'ASIGNACIONES'!$E$4:$E$339,$A273,'ASIGNACIONES'!$A$4:$A$339,$B273)</f>
        <v/>
      </c>
      <c r="D273" s="17">
        <f>C273*p_factor_productividad</f>
        <v/>
      </c>
      <c r="E273" s="17">
        <f>SUMIFS('ORDENES'!$M$4:$M$1203,'ORDENES'!$W$4:$W$1203,$A273,'ORDENES'!$O$4:$O$1203,$B273,'ORDENES'!$S$4:$S$1203,"preventiva")</f>
        <v/>
      </c>
      <c r="F273" s="17">
        <f>SUMIFS('ORDENES'!$M$4:$M$1203,'ORDENES'!$W$4:$W$1203,$A273,'ORDENES'!$O$4:$O$1203,$B273,'ORDENES'!$S$4:$S$1203,"correctiva")</f>
        <v/>
      </c>
      <c r="G273" s="17">
        <f>E273+F273</f>
        <v/>
      </c>
      <c r="H273" s="17">
        <f>D273-G273</f>
        <v/>
      </c>
      <c r="I273" s="18">
        <f>IF(D273=0,"",G273/D273)</f>
        <v/>
      </c>
    </row>
    <row r="274" hidden="1">
      <c r="A274" s="3" t="inlineStr">
        <is>
          <t>MEC</t>
        </is>
      </c>
      <c r="B274" s="3">
        <f>$O$58</f>
        <v/>
      </c>
      <c r="C274" s="17">
        <f>SUMIFS('ASIGNACIONES'!$H$4:$H$339,'ASIGNACIONES'!$E$4:$E$339,$A274,'ASIGNACIONES'!$A$4:$A$339,$B274)</f>
        <v/>
      </c>
      <c r="D274" s="17">
        <f>C274*p_factor_productividad</f>
        <v/>
      </c>
      <c r="E274" s="17">
        <f>SUMIFS('ORDENES'!$M$4:$M$1203,'ORDENES'!$W$4:$W$1203,$A274,'ORDENES'!$O$4:$O$1203,$B274,'ORDENES'!$S$4:$S$1203,"preventiva")</f>
        <v/>
      </c>
      <c r="F274" s="17">
        <f>SUMIFS('ORDENES'!$M$4:$M$1203,'ORDENES'!$W$4:$W$1203,$A274,'ORDENES'!$O$4:$O$1203,$B274,'ORDENES'!$S$4:$S$1203,"correctiva")</f>
        <v/>
      </c>
      <c r="G274" s="17">
        <f>E274+F274</f>
        <v/>
      </c>
      <c r="H274" s="17">
        <f>D274-G274</f>
        <v/>
      </c>
      <c r="I274" s="18">
        <f>IF(D274=0,"",G274/D274)</f>
        <v/>
      </c>
    </row>
    <row r="275" hidden="1">
      <c r="A275" s="3" t="inlineStr">
        <is>
          <t>ELE</t>
        </is>
      </c>
      <c r="B275" s="3">
        <f>$O$58</f>
        <v/>
      </c>
      <c r="C275" s="17">
        <f>SUMIFS('ASIGNACIONES'!$H$4:$H$339,'ASIGNACIONES'!$E$4:$E$339,$A275,'ASIGNACIONES'!$A$4:$A$339,$B275)</f>
        <v/>
      </c>
      <c r="D275" s="17">
        <f>C275*p_factor_productividad</f>
        <v/>
      </c>
      <c r="E275" s="17">
        <f>SUMIFS('ORDENES'!$M$4:$M$1203,'ORDENES'!$W$4:$W$1203,$A275,'ORDENES'!$O$4:$O$1203,$B275,'ORDENES'!$S$4:$S$1203,"preventiva")</f>
        <v/>
      </c>
      <c r="F275" s="17">
        <f>SUMIFS('ORDENES'!$M$4:$M$1203,'ORDENES'!$W$4:$W$1203,$A275,'ORDENES'!$O$4:$O$1203,$B275,'ORDENES'!$S$4:$S$1203,"correctiva")</f>
        <v/>
      </c>
      <c r="G275" s="17">
        <f>E275+F275</f>
        <v/>
      </c>
      <c r="H275" s="17">
        <f>D275-G275</f>
        <v/>
      </c>
      <c r="I275" s="18">
        <f>IF(D275=0,"",G275/D275)</f>
        <v/>
      </c>
    </row>
    <row r="276" hidden="1">
      <c r="A276" s="3" t="inlineStr">
        <is>
          <t>AUT</t>
        </is>
      </c>
      <c r="B276" s="3">
        <f>$O$58</f>
        <v/>
      </c>
      <c r="C276" s="17">
        <f>SUMIFS('ASIGNACIONES'!$H$4:$H$339,'ASIGNACIONES'!$E$4:$E$339,$A276,'ASIGNACIONES'!$A$4:$A$339,$B276)</f>
        <v/>
      </c>
      <c r="D276" s="17">
        <f>C276*p_factor_productividad</f>
        <v/>
      </c>
      <c r="E276" s="17">
        <f>SUMIFS('ORDENES'!$M$4:$M$1203,'ORDENES'!$W$4:$W$1203,$A276,'ORDENES'!$O$4:$O$1203,$B276,'ORDENES'!$S$4:$S$1203,"preventiva")</f>
        <v/>
      </c>
      <c r="F276" s="17">
        <f>SUMIFS('ORDENES'!$M$4:$M$1203,'ORDENES'!$W$4:$W$1203,$A276,'ORDENES'!$O$4:$O$1203,$B276,'ORDENES'!$S$4:$S$1203,"correctiva")</f>
        <v/>
      </c>
      <c r="G276" s="17">
        <f>E276+F276</f>
        <v/>
      </c>
      <c r="H276" s="17">
        <f>D276-G276</f>
        <v/>
      </c>
      <c r="I276" s="18">
        <f>IF(D276=0,"",G276/D276)</f>
        <v/>
      </c>
    </row>
    <row r="277" hidden="1">
      <c r="A277" s="3" t="inlineStr">
        <is>
          <t>OP</t>
        </is>
      </c>
      <c r="B277" s="3">
        <f>$O$58</f>
        <v/>
      </c>
      <c r="C277" s="17">
        <f>SUMIFS('ASIGNACIONES'!$H$4:$H$339,'ASIGNACIONES'!$E$4:$E$339,$A277,'ASIGNACIONES'!$A$4:$A$339,$B277)</f>
        <v/>
      </c>
      <c r="D277" s="17">
        <f>C277*p_factor_productividad</f>
        <v/>
      </c>
      <c r="E277" s="17">
        <f>SUMIFS('ORDENES'!$M$4:$M$1203,'ORDENES'!$W$4:$W$1203,$A277,'ORDENES'!$O$4:$O$1203,$B277,'ORDENES'!$S$4:$S$1203,"preventiva")</f>
        <v/>
      </c>
      <c r="F277" s="17">
        <f>SUMIFS('ORDENES'!$M$4:$M$1203,'ORDENES'!$W$4:$W$1203,$A277,'ORDENES'!$O$4:$O$1203,$B277,'ORDENES'!$S$4:$S$1203,"correctiva")</f>
        <v/>
      </c>
      <c r="G277" s="17">
        <f>E277+F277</f>
        <v/>
      </c>
      <c r="H277" s="17">
        <f>D277-G277</f>
        <v/>
      </c>
      <c r="I277" s="18">
        <f>IF(D277=0,"",G277/D277)</f>
        <v/>
      </c>
    </row>
    <row r="278" hidden="1">
      <c r="A278" s="3" t="inlineStr">
        <is>
          <t>TERCERO</t>
        </is>
      </c>
      <c r="B278" s="3">
        <f>$O$58</f>
        <v/>
      </c>
      <c r="C278" s="17">
        <f>SUMIFS('ASIGNACIONES'!$H$4:$H$339,'ASIGNACIONES'!$E$4:$E$339,$A278,'ASIGNACIONES'!$A$4:$A$339,$B278)</f>
        <v/>
      </c>
      <c r="D278" s="17">
        <f>C278*p_factor_productividad</f>
        <v/>
      </c>
      <c r="E278" s="17">
        <f>SUMIFS('ORDENES'!$M$4:$M$1203,'ORDENES'!$W$4:$W$1203,$A278,'ORDENES'!$O$4:$O$1203,$B278,'ORDENES'!$S$4:$S$1203,"preventiva")</f>
        <v/>
      </c>
      <c r="F278" s="17">
        <f>SUMIFS('ORDENES'!$M$4:$M$1203,'ORDENES'!$W$4:$W$1203,$A278,'ORDENES'!$O$4:$O$1203,$B278,'ORDENES'!$S$4:$S$1203,"correctiva")</f>
        <v/>
      </c>
      <c r="G278" s="17">
        <f>E278+F278</f>
        <v/>
      </c>
      <c r="H278" s="17">
        <f>D278-G278</f>
        <v/>
      </c>
      <c r="I278" s="18">
        <f>IF(D278=0,"",G278/D278)</f>
        <v/>
      </c>
    </row>
    <row r="279" hidden="1">
      <c r="A279" s="3" t="inlineStr">
        <is>
          <t>MEC</t>
        </is>
      </c>
      <c r="B279" s="3">
        <f>$O$59</f>
        <v/>
      </c>
      <c r="C279" s="17">
        <f>SUMIFS('ASIGNACIONES'!$H$4:$H$339,'ASIGNACIONES'!$E$4:$E$339,$A279,'ASIGNACIONES'!$A$4:$A$339,$B279)</f>
        <v/>
      </c>
      <c r="D279" s="17">
        <f>C279*p_factor_productividad</f>
        <v/>
      </c>
      <c r="E279" s="17">
        <f>SUMIFS('ORDENES'!$M$4:$M$1203,'ORDENES'!$W$4:$W$1203,$A279,'ORDENES'!$O$4:$O$1203,$B279,'ORDENES'!$S$4:$S$1203,"preventiva")</f>
        <v/>
      </c>
      <c r="F279" s="17">
        <f>SUMIFS('ORDENES'!$M$4:$M$1203,'ORDENES'!$W$4:$W$1203,$A279,'ORDENES'!$O$4:$O$1203,$B279,'ORDENES'!$S$4:$S$1203,"correctiva")</f>
        <v/>
      </c>
      <c r="G279" s="17">
        <f>E279+F279</f>
        <v/>
      </c>
      <c r="H279" s="17">
        <f>D279-G279</f>
        <v/>
      </c>
      <c r="I279" s="18">
        <f>IF(D279=0,"",G279/D279)</f>
        <v/>
      </c>
    </row>
    <row r="280" hidden="1">
      <c r="A280" s="3" t="inlineStr">
        <is>
          <t>ELE</t>
        </is>
      </c>
      <c r="B280" s="3">
        <f>$O$59</f>
        <v/>
      </c>
      <c r="C280" s="17">
        <f>SUMIFS('ASIGNACIONES'!$H$4:$H$339,'ASIGNACIONES'!$E$4:$E$339,$A280,'ASIGNACIONES'!$A$4:$A$339,$B280)</f>
        <v/>
      </c>
      <c r="D280" s="17">
        <f>C280*p_factor_productividad</f>
        <v/>
      </c>
      <c r="E280" s="17">
        <f>SUMIFS('ORDENES'!$M$4:$M$1203,'ORDENES'!$W$4:$W$1203,$A280,'ORDENES'!$O$4:$O$1203,$B280,'ORDENES'!$S$4:$S$1203,"preventiva")</f>
        <v/>
      </c>
      <c r="F280" s="17">
        <f>SUMIFS('ORDENES'!$M$4:$M$1203,'ORDENES'!$W$4:$W$1203,$A280,'ORDENES'!$O$4:$O$1203,$B280,'ORDENES'!$S$4:$S$1203,"correctiva")</f>
        <v/>
      </c>
      <c r="G280" s="17">
        <f>E280+F280</f>
        <v/>
      </c>
      <c r="H280" s="17">
        <f>D280-G280</f>
        <v/>
      </c>
      <c r="I280" s="18">
        <f>IF(D280=0,"",G280/D280)</f>
        <v/>
      </c>
    </row>
    <row r="281" hidden="1">
      <c r="A281" s="3" t="inlineStr">
        <is>
          <t>AUT</t>
        </is>
      </c>
      <c r="B281" s="3">
        <f>$O$59</f>
        <v/>
      </c>
      <c r="C281" s="17">
        <f>SUMIFS('ASIGNACIONES'!$H$4:$H$339,'ASIGNACIONES'!$E$4:$E$339,$A281,'ASIGNACIONES'!$A$4:$A$339,$B281)</f>
        <v/>
      </c>
      <c r="D281" s="17">
        <f>C281*p_factor_productividad</f>
        <v/>
      </c>
      <c r="E281" s="17">
        <f>SUMIFS('ORDENES'!$M$4:$M$1203,'ORDENES'!$W$4:$W$1203,$A281,'ORDENES'!$O$4:$O$1203,$B281,'ORDENES'!$S$4:$S$1203,"preventiva")</f>
        <v/>
      </c>
      <c r="F281" s="17">
        <f>SUMIFS('ORDENES'!$M$4:$M$1203,'ORDENES'!$W$4:$W$1203,$A281,'ORDENES'!$O$4:$O$1203,$B281,'ORDENES'!$S$4:$S$1203,"correctiva")</f>
        <v/>
      </c>
      <c r="G281" s="17">
        <f>E281+F281</f>
        <v/>
      </c>
      <c r="H281" s="17">
        <f>D281-G281</f>
        <v/>
      </c>
      <c r="I281" s="18">
        <f>IF(D281=0,"",G281/D281)</f>
        <v/>
      </c>
    </row>
    <row r="282" hidden="1">
      <c r="A282" s="3" t="inlineStr">
        <is>
          <t>OP</t>
        </is>
      </c>
      <c r="B282" s="3">
        <f>$O$59</f>
        <v/>
      </c>
      <c r="C282" s="17">
        <f>SUMIFS('ASIGNACIONES'!$H$4:$H$339,'ASIGNACIONES'!$E$4:$E$339,$A282,'ASIGNACIONES'!$A$4:$A$339,$B282)</f>
        <v/>
      </c>
      <c r="D282" s="17">
        <f>C282*p_factor_productividad</f>
        <v/>
      </c>
      <c r="E282" s="17">
        <f>SUMIFS('ORDENES'!$M$4:$M$1203,'ORDENES'!$W$4:$W$1203,$A282,'ORDENES'!$O$4:$O$1203,$B282,'ORDENES'!$S$4:$S$1203,"preventiva")</f>
        <v/>
      </c>
      <c r="F282" s="17">
        <f>SUMIFS('ORDENES'!$M$4:$M$1203,'ORDENES'!$W$4:$W$1203,$A282,'ORDENES'!$O$4:$O$1203,$B282,'ORDENES'!$S$4:$S$1203,"correctiva")</f>
        <v/>
      </c>
      <c r="G282" s="17">
        <f>E282+F282</f>
        <v/>
      </c>
      <c r="H282" s="17">
        <f>D282-G282</f>
        <v/>
      </c>
      <c r="I282" s="18">
        <f>IF(D282=0,"",G282/D282)</f>
        <v/>
      </c>
    </row>
    <row r="283" hidden="1">
      <c r="A283" s="3" t="inlineStr">
        <is>
          <t>TERCERO</t>
        </is>
      </c>
      <c r="B283" s="3">
        <f>$O$59</f>
        <v/>
      </c>
      <c r="C283" s="17">
        <f>SUMIFS('ASIGNACIONES'!$H$4:$H$339,'ASIGNACIONES'!$E$4:$E$339,$A283,'ASIGNACIONES'!$A$4:$A$339,$B283)</f>
        <v/>
      </c>
      <c r="D283" s="17">
        <f>C283*p_factor_productividad</f>
        <v/>
      </c>
      <c r="E283" s="17">
        <f>SUMIFS('ORDENES'!$M$4:$M$1203,'ORDENES'!$W$4:$W$1203,$A283,'ORDENES'!$O$4:$O$1203,$B283,'ORDENES'!$S$4:$S$1203,"preventiva")</f>
        <v/>
      </c>
      <c r="F283" s="17">
        <f>SUMIFS('ORDENES'!$M$4:$M$1203,'ORDENES'!$W$4:$W$1203,$A283,'ORDENES'!$O$4:$O$1203,$B283,'ORDENES'!$S$4:$S$1203,"correctiva")</f>
        <v/>
      </c>
      <c r="G283" s="17">
        <f>E283+F283</f>
        <v/>
      </c>
      <c r="H283" s="17">
        <f>D283-G283</f>
        <v/>
      </c>
      <c r="I283" s="18">
        <f>IF(D283=0,"",G283/D283)</f>
        <v/>
      </c>
    </row>
    <row r="284" hidden="1">
      <c r="A284" s="3" t="inlineStr">
        <is>
          <t>MEC</t>
        </is>
      </c>
      <c r="B284" s="3">
        <f>$O$60</f>
        <v/>
      </c>
      <c r="C284" s="17">
        <f>SUMIFS('ASIGNACIONES'!$H$4:$H$339,'ASIGNACIONES'!$E$4:$E$339,$A284,'ASIGNACIONES'!$A$4:$A$339,$B284)</f>
        <v/>
      </c>
      <c r="D284" s="17">
        <f>C284*p_factor_productividad</f>
        <v/>
      </c>
      <c r="E284" s="17">
        <f>SUMIFS('ORDENES'!$M$4:$M$1203,'ORDENES'!$W$4:$W$1203,$A284,'ORDENES'!$O$4:$O$1203,$B284,'ORDENES'!$S$4:$S$1203,"preventiva")</f>
        <v/>
      </c>
      <c r="F284" s="17">
        <f>SUMIFS('ORDENES'!$M$4:$M$1203,'ORDENES'!$W$4:$W$1203,$A284,'ORDENES'!$O$4:$O$1203,$B284,'ORDENES'!$S$4:$S$1203,"correctiva")</f>
        <v/>
      </c>
      <c r="G284" s="17">
        <f>E284+F284</f>
        <v/>
      </c>
      <c r="H284" s="17">
        <f>D284-G284</f>
        <v/>
      </c>
      <c r="I284" s="18">
        <f>IF(D284=0,"",G284/D284)</f>
        <v/>
      </c>
    </row>
    <row r="285" hidden="1">
      <c r="A285" s="3" t="inlineStr">
        <is>
          <t>ELE</t>
        </is>
      </c>
      <c r="B285" s="3">
        <f>$O$60</f>
        <v/>
      </c>
      <c r="C285" s="17">
        <f>SUMIFS('ASIGNACIONES'!$H$4:$H$339,'ASIGNACIONES'!$E$4:$E$339,$A285,'ASIGNACIONES'!$A$4:$A$339,$B285)</f>
        <v/>
      </c>
      <c r="D285" s="17">
        <f>C285*p_factor_productividad</f>
        <v/>
      </c>
      <c r="E285" s="17">
        <f>SUMIFS('ORDENES'!$M$4:$M$1203,'ORDENES'!$W$4:$W$1203,$A285,'ORDENES'!$O$4:$O$1203,$B285,'ORDENES'!$S$4:$S$1203,"preventiva")</f>
        <v/>
      </c>
      <c r="F285" s="17">
        <f>SUMIFS('ORDENES'!$M$4:$M$1203,'ORDENES'!$W$4:$W$1203,$A285,'ORDENES'!$O$4:$O$1203,$B285,'ORDENES'!$S$4:$S$1203,"correctiva")</f>
        <v/>
      </c>
      <c r="G285" s="17">
        <f>E285+F285</f>
        <v/>
      </c>
      <c r="H285" s="17">
        <f>D285-G285</f>
        <v/>
      </c>
      <c r="I285" s="18">
        <f>IF(D285=0,"",G285/D285)</f>
        <v/>
      </c>
    </row>
    <row r="286" hidden="1">
      <c r="A286" s="3" t="inlineStr">
        <is>
          <t>AUT</t>
        </is>
      </c>
      <c r="B286" s="3">
        <f>$O$60</f>
        <v/>
      </c>
      <c r="C286" s="17">
        <f>SUMIFS('ASIGNACIONES'!$H$4:$H$339,'ASIGNACIONES'!$E$4:$E$339,$A286,'ASIGNACIONES'!$A$4:$A$339,$B286)</f>
        <v/>
      </c>
      <c r="D286" s="17">
        <f>C286*p_factor_productividad</f>
        <v/>
      </c>
      <c r="E286" s="17">
        <f>SUMIFS('ORDENES'!$M$4:$M$1203,'ORDENES'!$W$4:$W$1203,$A286,'ORDENES'!$O$4:$O$1203,$B286,'ORDENES'!$S$4:$S$1203,"preventiva")</f>
        <v/>
      </c>
      <c r="F286" s="17">
        <f>SUMIFS('ORDENES'!$M$4:$M$1203,'ORDENES'!$W$4:$W$1203,$A286,'ORDENES'!$O$4:$O$1203,$B286,'ORDENES'!$S$4:$S$1203,"correctiva")</f>
        <v/>
      </c>
      <c r="G286" s="17">
        <f>E286+F286</f>
        <v/>
      </c>
      <c r="H286" s="17">
        <f>D286-G286</f>
        <v/>
      </c>
      <c r="I286" s="18">
        <f>IF(D286=0,"",G286/D286)</f>
        <v/>
      </c>
    </row>
    <row r="287" hidden="1">
      <c r="A287" s="3" t="inlineStr">
        <is>
          <t>OP</t>
        </is>
      </c>
      <c r="B287" s="3">
        <f>$O$60</f>
        <v/>
      </c>
      <c r="C287" s="17">
        <f>SUMIFS('ASIGNACIONES'!$H$4:$H$339,'ASIGNACIONES'!$E$4:$E$339,$A287,'ASIGNACIONES'!$A$4:$A$339,$B287)</f>
        <v/>
      </c>
      <c r="D287" s="17">
        <f>C287*p_factor_productividad</f>
        <v/>
      </c>
      <c r="E287" s="17">
        <f>SUMIFS('ORDENES'!$M$4:$M$1203,'ORDENES'!$W$4:$W$1203,$A287,'ORDENES'!$O$4:$O$1203,$B287,'ORDENES'!$S$4:$S$1203,"preventiva")</f>
        <v/>
      </c>
      <c r="F287" s="17">
        <f>SUMIFS('ORDENES'!$M$4:$M$1203,'ORDENES'!$W$4:$W$1203,$A287,'ORDENES'!$O$4:$O$1203,$B287,'ORDENES'!$S$4:$S$1203,"correctiva")</f>
        <v/>
      </c>
      <c r="G287" s="17">
        <f>E287+F287</f>
        <v/>
      </c>
      <c r="H287" s="17">
        <f>D287-G287</f>
        <v/>
      </c>
      <c r="I287" s="18">
        <f>IF(D287=0,"",G287/D287)</f>
        <v/>
      </c>
    </row>
    <row r="288" hidden="1">
      <c r="A288" s="3" t="inlineStr">
        <is>
          <t>TERCERO</t>
        </is>
      </c>
      <c r="B288" s="3">
        <f>$O$60</f>
        <v/>
      </c>
      <c r="C288" s="17">
        <f>SUMIFS('ASIGNACIONES'!$H$4:$H$339,'ASIGNACIONES'!$E$4:$E$339,$A288,'ASIGNACIONES'!$A$4:$A$339,$B288)</f>
        <v/>
      </c>
      <c r="D288" s="17">
        <f>C288*p_factor_productividad</f>
        <v/>
      </c>
      <c r="E288" s="17">
        <f>SUMIFS('ORDENES'!$M$4:$M$1203,'ORDENES'!$W$4:$W$1203,$A288,'ORDENES'!$O$4:$O$1203,$B288,'ORDENES'!$S$4:$S$1203,"preventiva")</f>
        <v/>
      </c>
      <c r="F288" s="17">
        <f>SUMIFS('ORDENES'!$M$4:$M$1203,'ORDENES'!$W$4:$W$1203,$A288,'ORDENES'!$O$4:$O$1203,$B288,'ORDENES'!$S$4:$S$1203,"correctiva")</f>
        <v/>
      </c>
      <c r="G288" s="17">
        <f>E288+F288</f>
        <v/>
      </c>
      <c r="H288" s="17">
        <f>D288-G288</f>
        <v/>
      </c>
      <c r="I288" s="18">
        <f>IF(D288=0,"",G288/D288)</f>
        <v/>
      </c>
    </row>
    <row r="289" hidden="1">
      <c r="A289" s="3" t="inlineStr">
        <is>
          <t>MEC</t>
        </is>
      </c>
      <c r="B289" s="3">
        <f>$O$61</f>
        <v/>
      </c>
      <c r="C289" s="17">
        <f>SUMIFS('ASIGNACIONES'!$H$4:$H$339,'ASIGNACIONES'!$E$4:$E$339,$A289,'ASIGNACIONES'!$A$4:$A$339,$B289)</f>
        <v/>
      </c>
      <c r="D289" s="17">
        <f>C289*p_factor_productividad</f>
        <v/>
      </c>
      <c r="E289" s="17">
        <f>SUMIFS('ORDENES'!$M$4:$M$1203,'ORDENES'!$W$4:$W$1203,$A289,'ORDENES'!$O$4:$O$1203,$B289,'ORDENES'!$S$4:$S$1203,"preventiva")</f>
        <v/>
      </c>
      <c r="F289" s="17">
        <f>SUMIFS('ORDENES'!$M$4:$M$1203,'ORDENES'!$W$4:$W$1203,$A289,'ORDENES'!$O$4:$O$1203,$B289,'ORDENES'!$S$4:$S$1203,"correctiva")</f>
        <v/>
      </c>
      <c r="G289" s="17">
        <f>E289+F289</f>
        <v/>
      </c>
      <c r="H289" s="17">
        <f>D289-G289</f>
        <v/>
      </c>
      <c r="I289" s="18">
        <f>IF(D289=0,"",G289/D289)</f>
        <v/>
      </c>
    </row>
    <row r="290" hidden="1">
      <c r="A290" s="3" t="inlineStr">
        <is>
          <t>ELE</t>
        </is>
      </c>
      <c r="B290" s="3">
        <f>$O$61</f>
        <v/>
      </c>
      <c r="C290" s="17">
        <f>SUMIFS('ASIGNACIONES'!$H$4:$H$339,'ASIGNACIONES'!$E$4:$E$339,$A290,'ASIGNACIONES'!$A$4:$A$339,$B290)</f>
        <v/>
      </c>
      <c r="D290" s="17">
        <f>C290*p_factor_productividad</f>
        <v/>
      </c>
      <c r="E290" s="17">
        <f>SUMIFS('ORDENES'!$M$4:$M$1203,'ORDENES'!$W$4:$W$1203,$A290,'ORDENES'!$O$4:$O$1203,$B290,'ORDENES'!$S$4:$S$1203,"preventiva")</f>
        <v/>
      </c>
      <c r="F290" s="17">
        <f>SUMIFS('ORDENES'!$M$4:$M$1203,'ORDENES'!$W$4:$W$1203,$A290,'ORDENES'!$O$4:$O$1203,$B290,'ORDENES'!$S$4:$S$1203,"correctiva")</f>
        <v/>
      </c>
      <c r="G290" s="17">
        <f>E290+F290</f>
        <v/>
      </c>
      <c r="H290" s="17">
        <f>D290-G290</f>
        <v/>
      </c>
      <c r="I290" s="18">
        <f>IF(D290=0,"",G290/D290)</f>
        <v/>
      </c>
    </row>
    <row r="291" hidden="1">
      <c r="A291" s="3" t="inlineStr">
        <is>
          <t>AUT</t>
        </is>
      </c>
      <c r="B291" s="3">
        <f>$O$61</f>
        <v/>
      </c>
      <c r="C291" s="17">
        <f>SUMIFS('ASIGNACIONES'!$H$4:$H$339,'ASIGNACIONES'!$E$4:$E$339,$A291,'ASIGNACIONES'!$A$4:$A$339,$B291)</f>
        <v/>
      </c>
      <c r="D291" s="17">
        <f>C291*p_factor_productividad</f>
        <v/>
      </c>
      <c r="E291" s="17">
        <f>SUMIFS('ORDENES'!$M$4:$M$1203,'ORDENES'!$W$4:$W$1203,$A291,'ORDENES'!$O$4:$O$1203,$B291,'ORDENES'!$S$4:$S$1203,"preventiva")</f>
        <v/>
      </c>
      <c r="F291" s="17">
        <f>SUMIFS('ORDENES'!$M$4:$M$1203,'ORDENES'!$W$4:$W$1203,$A291,'ORDENES'!$O$4:$O$1203,$B291,'ORDENES'!$S$4:$S$1203,"correctiva")</f>
        <v/>
      </c>
      <c r="G291" s="17">
        <f>E291+F291</f>
        <v/>
      </c>
      <c r="H291" s="17">
        <f>D291-G291</f>
        <v/>
      </c>
      <c r="I291" s="18">
        <f>IF(D291=0,"",G291/D291)</f>
        <v/>
      </c>
    </row>
    <row r="292" hidden="1">
      <c r="A292" s="3" t="inlineStr">
        <is>
          <t>OP</t>
        </is>
      </c>
      <c r="B292" s="3">
        <f>$O$61</f>
        <v/>
      </c>
      <c r="C292" s="17">
        <f>SUMIFS('ASIGNACIONES'!$H$4:$H$339,'ASIGNACIONES'!$E$4:$E$339,$A292,'ASIGNACIONES'!$A$4:$A$339,$B292)</f>
        <v/>
      </c>
      <c r="D292" s="17">
        <f>C292*p_factor_productividad</f>
        <v/>
      </c>
      <c r="E292" s="17">
        <f>SUMIFS('ORDENES'!$M$4:$M$1203,'ORDENES'!$W$4:$W$1203,$A292,'ORDENES'!$O$4:$O$1203,$B292,'ORDENES'!$S$4:$S$1203,"preventiva")</f>
        <v/>
      </c>
      <c r="F292" s="17">
        <f>SUMIFS('ORDENES'!$M$4:$M$1203,'ORDENES'!$W$4:$W$1203,$A292,'ORDENES'!$O$4:$O$1203,$B292,'ORDENES'!$S$4:$S$1203,"correctiva")</f>
        <v/>
      </c>
      <c r="G292" s="17">
        <f>E292+F292</f>
        <v/>
      </c>
      <c r="H292" s="17">
        <f>D292-G292</f>
        <v/>
      </c>
      <c r="I292" s="18">
        <f>IF(D292=0,"",G292/D292)</f>
        <v/>
      </c>
    </row>
    <row r="293" hidden="1">
      <c r="A293" s="3" t="inlineStr">
        <is>
          <t>TERCERO</t>
        </is>
      </c>
      <c r="B293" s="3">
        <f>$O$61</f>
        <v/>
      </c>
      <c r="C293" s="17">
        <f>SUMIFS('ASIGNACIONES'!$H$4:$H$339,'ASIGNACIONES'!$E$4:$E$339,$A293,'ASIGNACIONES'!$A$4:$A$339,$B293)</f>
        <v/>
      </c>
      <c r="D293" s="17">
        <f>C293*p_factor_productividad</f>
        <v/>
      </c>
      <c r="E293" s="17">
        <f>SUMIFS('ORDENES'!$M$4:$M$1203,'ORDENES'!$W$4:$W$1203,$A293,'ORDENES'!$O$4:$O$1203,$B293,'ORDENES'!$S$4:$S$1203,"preventiva")</f>
        <v/>
      </c>
      <c r="F293" s="17">
        <f>SUMIFS('ORDENES'!$M$4:$M$1203,'ORDENES'!$W$4:$W$1203,$A293,'ORDENES'!$O$4:$O$1203,$B293,'ORDENES'!$S$4:$S$1203,"correctiva")</f>
        <v/>
      </c>
      <c r="G293" s="17">
        <f>E293+F293</f>
        <v/>
      </c>
      <c r="H293" s="17">
        <f>D293-G293</f>
        <v/>
      </c>
      <c r="I293" s="18">
        <f>IF(D293=0,"",G293/D293)</f>
        <v/>
      </c>
    </row>
    <row r="294" hidden="1">
      <c r="A294" s="3" t="inlineStr">
        <is>
          <t>MEC</t>
        </is>
      </c>
      <c r="B294" s="3">
        <f>$O$62</f>
        <v/>
      </c>
      <c r="C294" s="17">
        <f>SUMIFS('ASIGNACIONES'!$H$4:$H$339,'ASIGNACIONES'!$E$4:$E$339,$A294,'ASIGNACIONES'!$A$4:$A$339,$B294)</f>
        <v/>
      </c>
      <c r="D294" s="17">
        <f>C294*p_factor_productividad</f>
        <v/>
      </c>
      <c r="E294" s="17">
        <f>SUMIFS('ORDENES'!$M$4:$M$1203,'ORDENES'!$W$4:$W$1203,$A294,'ORDENES'!$O$4:$O$1203,$B294,'ORDENES'!$S$4:$S$1203,"preventiva")</f>
        <v/>
      </c>
      <c r="F294" s="17">
        <f>SUMIFS('ORDENES'!$M$4:$M$1203,'ORDENES'!$W$4:$W$1203,$A294,'ORDENES'!$O$4:$O$1203,$B294,'ORDENES'!$S$4:$S$1203,"correctiva")</f>
        <v/>
      </c>
      <c r="G294" s="17">
        <f>E294+F294</f>
        <v/>
      </c>
      <c r="H294" s="17">
        <f>D294-G294</f>
        <v/>
      </c>
      <c r="I294" s="18">
        <f>IF(D294=0,"",G294/D294)</f>
        <v/>
      </c>
    </row>
    <row r="295" hidden="1">
      <c r="A295" s="3" t="inlineStr">
        <is>
          <t>ELE</t>
        </is>
      </c>
      <c r="B295" s="3">
        <f>$O$62</f>
        <v/>
      </c>
      <c r="C295" s="17">
        <f>SUMIFS('ASIGNACIONES'!$H$4:$H$339,'ASIGNACIONES'!$E$4:$E$339,$A295,'ASIGNACIONES'!$A$4:$A$339,$B295)</f>
        <v/>
      </c>
      <c r="D295" s="17">
        <f>C295*p_factor_productividad</f>
        <v/>
      </c>
      <c r="E295" s="17">
        <f>SUMIFS('ORDENES'!$M$4:$M$1203,'ORDENES'!$W$4:$W$1203,$A295,'ORDENES'!$O$4:$O$1203,$B295,'ORDENES'!$S$4:$S$1203,"preventiva")</f>
        <v/>
      </c>
      <c r="F295" s="17">
        <f>SUMIFS('ORDENES'!$M$4:$M$1203,'ORDENES'!$W$4:$W$1203,$A295,'ORDENES'!$O$4:$O$1203,$B295,'ORDENES'!$S$4:$S$1203,"correctiva")</f>
        <v/>
      </c>
      <c r="G295" s="17">
        <f>E295+F295</f>
        <v/>
      </c>
      <c r="H295" s="17">
        <f>D295-G295</f>
        <v/>
      </c>
      <c r="I295" s="18">
        <f>IF(D295=0,"",G295/D295)</f>
        <v/>
      </c>
    </row>
    <row r="296" hidden="1">
      <c r="A296" s="3" t="inlineStr">
        <is>
          <t>AUT</t>
        </is>
      </c>
      <c r="B296" s="3">
        <f>$O$62</f>
        <v/>
      </c>
      <c r="C296" s="17">
        <f>SUMIFS('ASIGNACIONES'!$H$4:$H$339,'ASIGNACIONES'!$E$4:$E$339,$A296,'ASIGNACIONES'!$A$4:$A$339,$B296)</f>
        <v/>
      </c>
      <c r="D296" s="17">
        <f>C296*p_factor_productividad</f>
        <v/>
      </c>
      <c r="E296" s="17">
        <f>SUMIFS('ORDENES'!$M$4:$M$1203,'ORDENES'!$W$4:$W$1203,$A296,'ORDENES'!$O$4:$O$1203,$B296,'ORDENES'!$S$4:$S$1203,"preventiva")</f>
        <v/>
      </c>
      <c r="F296" s="17">
        <f>SUMIFS('ORDENES'!$M$4:$M$1203,'ORDENES'!$W$4:$W$1203,$A296,'ORDENES'!$O$4:$O$1203,$B296,'ORDENES'!$S$4:$S$1203,"correctiva")</f>
        <v/>
      </c>
      <c r="G296" s="17">
        <f>E296+F296</f>
        <v/>
      </c>
      <c r="H296" s="17">
        <f>D296-G296</f>
        <v/>
      </c>
      <c r="I296" s="18">
        <f>IF(D296=0,"",G296/D296)</f>
        <v/>
      </c>
    </row>
    <row r="297" hidden="1">
      <c r="A297" s="3" t="inlineStr">
        <is>
          <t>OP</t>
        </is>
      </c>
      <c r="B297" s="3">
        <f>$O$62</f>
        <v/>
      </c>
      <c r="C297" s="17">
        <f>SUMIFS('ASIGNACIONES'!$H$4:$H$339,'ASIGNACIONES'!$E$4:$E$339,$A297,'ASIGNACIONES'!$A$4:$A$339,$B297)</f>
        <v/>
      </c>
      <c r="D297" s="17">
        <f>C297*p_factor_productividad</f>
        <v/>
      </c>
      <c r="E297" s="17">
        <f>SUMIFS('ORDENES'!$M$4:$M$1203,'ORDENES'!$W$4:$W$1203,$A297,'ORDENES'!$O$4:$O$1203,$B297,'ORDENES'!$S$4:$S$1203,"preventiva")</f>
        <v/>
      </c>
      <c r="F297" s="17">
        <f>SUMIFS('ORDENES'!$M$4:$M$1203,'ORDENES'!$W$4:$W$1203,$A297,'ORDENES'!$O$4:$O$1203,$B297,'ORDENES'!$S$4:$S$1203,"correctiva")</f>
        <v/>
      </c>
      <c r="G297" s="17">
        <f>E297+F297</f>
        <v/>
      </c>
      <c r="H297" s="17">
        <f>D297-G297</f>
        <v/>
      </c>
      <c r="I297" s="18">
        <f>IF(D297=0,"",G297/D297)</f>
        <v/>
      </c>
    </row>
    <row r="298" hidden="1">
      <c r="A298" s="3" t="inlineStr">
        <is>
          <t>TERCERO</t>
        </is>
      </c>
      <c r="B298" s="3">
        <f>$O$62</f>
        <v/>
      </c>
      <c r="C298" s="17">
        <f>SUMIFS('ASIGNACIONES'!$H$4:$H$339,'ASIGNACIONES'!$E$4:$E$339,$A298,'ASIGNACIONES'!$A$4:$A$339,$B298)</f>
        <v/>
      </c>
      <c r="D298" s="17">
        <f>C298*p_factor_productividad</f>
        <v/>
      </c>
      <c r="E298" s="17">
        <f>SUMIFS('ORDENES'!$M$4:$M$1203,'ORDENES'!$W$4:$W$1203,$A298,'ORDENES'!$O$4:$O$1203,$B298,'ORDENES'!$S$4:$S$1203,"preventiva")</f>
        <v/>
      </c>
      <c r="F298" s="17">
        <f>SUMIFS('ORDENES'!$M$4:$M$1203,'ORDENES'!$W$4:$W$1203,$A298,'ORDENES'!$O$4:$O$1203,$B298,'ORDENES'!$S$4:$S$1203,"correctiva")</f>
        <v/>
      </c>
      <c r="G298" s="17">
        <f>E298+F298</f>
        <v/>
      </c>
      <c r="H298" s="17">
        <f>D298-G298</f>
        <v/>
      </c>
      <c r="I298" s="18">
        <f>IF(D298=0,"",G298/D298)</f>
        <v/>
      </c>
    </row>
    <row r="299" hidden="1">
      <c r="A299" s="3" t="inlineStr">
        <is>
          <t>MEC</t>
        </is>
      </c>
      <c r="B299" s="3">
        <f>$O$63</f>
        <v/>
      </c>
      <c r="C299" s="17">
        <f>SUMIFS('ASIGNACIONES'!$H$4:$H$339,'ASIGNACIONES'!$E$4:$E$339,$A299,'ASIGNACIONES'!$A$4:$A$339,$B299)</f>
        <v/>
      </c>
      <c r="D299" s="17">
        <f>C299*p_factor_productividad</f>
        <v/>
      </c>
      <c r="E299" s="17">
        <f>SUMIFS('ORDENES'!$M$4:$M$1203,'ORDENES'!$W$4:$W$1203,$A299,'ORDENES'!$O$4:$O$1203,$B299,'ORDENES'!$S$4:$S$1203,"preventiva")</f>
        <v/>
      </c>
      <c r="F299" s="17">
        <f>SUMIFS('ORDENES'!$M$4:$M$1203,'ORDENES'!$W$4:$W$1203,$A299,'ORDENES'!$O$4:$O$1203,$B299,'ORDENES'!$S$4:$S$1203,"correctiva")</f>
        <v/>
      </c>
      <c r="G299" s="17">
        <f>E299+F299</f>
        <v/>
      </c>
      <c r="H299" s="17">
        <f>D299-G299</f>
        <v/>
      </c>
      <c r="I299" s="18">
        <f>IF(D299=0,"",G299/D299)</f>
        <v/>
      </c>
    </row>
    <row r="300" hidden="1">
      <c r="A300" s="3" t="inlineStr">
        <is>
          <t>ELE</t>
        </is>
      </c>
      <c r="B300" s="3">
        <f>$O$63</f>
        <v/>
      </c>
      <c r="C300" s="17">
        <f>SUMIFS('ASIGNACIONES'!$H$4:$H$339,'ASIGNACIONES'!$E$4:$E$339,$A300,'ASIGNACIONES'!$A$4:$A$339,$B300)</f>
        <v/>
      </c>
      <c r="D300" s="17">
        <f>C300*p_factor_productividad</f>
        <v/>
      </c>
      <c r="E300" s="17">
        <f>SUMIFS('ORDENES'!$M$4:$M$1203,'ORDENES'!$W$4:$W$1203,$A300,'ORDENES'!$O$4:$O$1203,$B300,'ORDENES'!$S$4:$S$1203,"preventiva")</f>
        <v/>
      </c>
      <c r="F300" s="17">
        <f>SUMIFS('ORDENES'!$M$4:$M$1203,'ORDENES'!$W$4:$W$1203,$A300,'ORDENES'!$O$4:$O$1203,$B300,'ORDENES'!$S$4:$S$1203,"correctiva")</f>
        <v/>
      </c>
      <c r="G300" s="17">
        <f>E300+F300</f>
        <v/>
      </c>
      <c r="H300" s="17">
        <f>D300-G300</f>
        <v/>
      </c>
      <c r="I300" s="18">
        <f>IF(D300=0,"",G300/D300)</f>
        <v/>
      </c>
    </row>
    <row r="301" hidden="1">
      <c r="A301" s="3" t="inlineStr">
        <is>
          <t>AUT</t>
        </is>
      </c>
      <c r="B301" s="3">
        <f>$O$63</f>
        <v/>
      </c>
      <c r="C301" s="17">
        <f>SUMIFS('ASIGNACIONES'!$H$4:$H$339,'ASIGNACIONES'!$E$4:$E$339,$A301,'ASIGNACIONES'!$A$4:$A$339,$B301)</f>
        <v/>
      </c>
      <c r="D301" s="17">
        <f>C301*p_factor_productividad</f>
        <v/>
      </c>
      <c r="E301" s="17">
        <f>SUMIFS('ORDENES'!$M$4:$M$1203,'ORDENES'!$W$4:$W$1203,$A301,'ORDENES'!$O$4:$O$1203,$B301,'ORDENES'!$S$4:$S$1203,"preventiva")</f>
        <v/>
      </c>
      <c r="F301" s="17">
        <f>SUMIFS('ORDENES'!$M$4:$M$1203,'ORDENES'!$W$4:$W$1203,$A301,'ORDENES'!$O$4:$O$1203,$B301,'ORDENES'!$S$4:$S$1203,"correctiva")</f>
        <v/>
      </c>
      <c r="G301" s="17">
        <f>E301+F301</f>
        <v/>
      </c>
      <c r="H301" s="17">
        <f>D301-G301</f>
        <v/>
      </c>
      <c r="I301" s="18">
        <f>IF(D301=0,"",G301/D301)</f>
        <v/>
      </c>
    </row>
    <row r="302" hidden="1">
      <c r="A302" s="3" t="inlineStr">
        <is>
          <t>OP</t>
        </is>
      </c>
      <c r="B302" s="3">
        <f>$O$63</f>
        <v/>
      </c>
      <c r="C302" s="17">
        <f>SUMIFS('ASIGNACIONES'!$H$4:$H$339,'ASIGNACIONES'!$E$4:$E$339,$A302,'ASIGNACIONES'!$A$4:$A$339,$B302)</f>
        <v/>
      </c>
      <c r="D302" s="17">
        <f>C302*p_factor_productividad</f>
        <v/>
      </c>
      <c r="E302" s="17">
        <f>SUMIFS('ORDENES'!$M$4:$M$1203,'ORDENES'!$W$4:$W$1203,$A302,'ORDENES'!$O$4:$O$1203,$B302,'ORDENES'!$S$4:$S$1203,"preventiva")</f>
        <v/>
      </c>
      <c r="F302" s="17">
        <f>SUMIFS('ORDENES'!$M$4:$M$1203,'ORDENES'!$W$4:$W$1203,$A302,'ORDENES'!$O$4:$O$1203,$B302,'ORDENES'!$S$4:$S$1203,"correctiva")</f>
        <v/>
      </c>
      <c r="G302" s="17">
        <f>E302+F302</f>
        <v/>
      </c>
      <c r="H302" s="17">
        <f>D302-G302</f>
        <v/>
      </c>
      <c r="I302" s="18">
        <f>IF(D302=0,"",G302/D302)</f>
        <v/>
      </c>
    </row>
    <row r="303" hidden="1">
      <c r="A303" s="3" t="inlineStr">
        <is>
          <t>TERCERO</t>
        </is>
      </c>
      <c r="B303" s="3">
        <f>$O$63</f>
        <v/>
      </c>
      <c r="C303" s="17">
        <f>SUMIFS('ASIGNACIONES'!$H$4:$H$339,'ASIGNACIONES'!$E$4:$E$339,$A303,'ASIGNACIONES'!$A$4:$A$339,$B303)</f>
        <v/>
      </c>
      <c r="D303" s="17">
        <f>C303*p_factor_productividad</f>
        <v/>
      </c>
      <c r="E303" s="17">
        <f>SUMIFS('ORDENES'!$M$4:$M$1203,'ORDENES'!$W$4:$W$1203,$A303,'ORDENES'!$O$4:$O$1203,$B303,'ORDENES'!$S$4:$S$1203,"preventiva")</f>
        <v/>
      </c>
      <c r="F303" s="17">
        <f>SUMIFS('ORDENES'!$M$4:$M$1203,'ORDENES'!$W$4:$W$1203,$A303,'ORDENES'!$O$4:$O$1203,$B303,'ORDENES'!$S$4:$S$1203,"correctiva")</f>
        <v/>
      </c>
      <c r="G303" s="17">
        <f>E303+F303</f>
        <v/>
      </c>
      <c r="H303" s="17">
        <f>D303-G303</f>
        <v/>
      </c>
      <c r="I303" s="18">
        <f>IF(D303=0,"",G303/D303)</f>
        <v/>
      </c>
    </row>
    <row r="305">
      <c r="A305" s="4" t="inlineStr">
        <is>
          <t>MATRIZ % CARGA — semana × especialidad. Semáforo: verde &lt; 85 %, amarillo 85–100 %, rojo &gt; 100 %. Semanas sin datos ocultas.</t>
        </is>
      </c>
    </row>
    <row r="306">
      <c r="A306" s="5" t="inlineStr">
        <is>
          <t>semana</t>
        </is>
      </c>
      <c r="B306" s="5" t="inlineStr">
        <is>
          <t>MEC</t>
        </is>
      </c>
      <c r="C306" s="5" t="inlineStr">
        <is>
          <t>ELE</t>
        </is>
      </c>
      <c r="D306" s="5" t="inlineStr">
        <is>
          <t>AUT</t>
        </is>
      </c>
      <c r="E306" s="5" t="inlineStr">
        <is>
          <t>OP</t>
        </is>
      </c>
      <c r="F306" s="5" t="inlineStr">
        <is>
          <t>TERCERO</t>
        </is>
      </c>
    </row>
    <row r="307">
      <c r="A307" s="3">
        <f>$O$4</f>
        <v/>
      </c>
      <c r="B307" s="18">
        <f>$I$4</f>
        <v/>
      </c>
      <c r="C307" s="18">
        <f>$I$5</f>
        <v/>
      </c>
      <c r="D307" s="18">
        <f>$I$6</f>
        <v/>
      </c>
      <c r="E307" s="18">
        <f>$I$7</f>
        <v/>
      </c>
      <c r="F307" s="18">
        <f>$I$8</f>
        <v/>
      </c>
    </row>
    <row r="308" hidden="1">
      <c r="A308" s="3">
        <f>$O$5</f>
        <v/>
      </c>
      <c r="B308" s="18">
        <f>$I$9</f>
        <v/>
      </c>
      <c r="C308" s="18">
        <f>$I$10</f>
        <v/>
      </c>
      <c r="D308" s="18">
        <f>$I$11</f>
        <v/>
      </c>
      <c r="E308" s="18">
        <f>$I$12</f>
        <v/>
      </c>
      <c r="F308" s="18">
        <f>$I$13</f>
        <v/>
      </c>
    </row>
    <row r="309">
      <c r="A309" s="3">
        <f>$O$6</f>
        <v/>
      </c>
      <c r="B309" s="18">
        <f>$I$14</f>
        <v/>
      </c>
      <c r="C309" s="18">
        <f>$I$15</f>
        <v/>
      </c>
      <c r="D309" s="18">
        <f>$I$16</f>
        <v/>
      </c>
      <c r="E309" s="18">
        <f>$I$17</f>
        <v/>
      </c>
      <c r="F309" s="18">
        <f>$I$18</f>
        <v/>
      </c>
    </row>
    <row r="310">
      <c r="A310" s="3">
        <f>$O$7</f>
        <v/>
      </c>
      <c r="B310" s="18">
        <f>$I$19</f>
        <v/>
      </c>
      <c r="C310" s="18">
        <f>$I$20</f>
        <v/>
      </c>
      <c r="D310" s="18">
        <f>$I$21</f>
        <v/>
      </c>
      <c r="E310" s="18">
        <f>$I$22</f>
        <v/>
      </c>
      <c r="F310" s="18">
        <f>$I$23</f>
        <v/>
      </c>
    </row>
    <row r="311">
      <c r="A311" s="3">
        <f>$O$8</f>
        <v/>
      </c>
      <c r="B311" s="18">
        <f>$I$24</f>
        <v/>
      </c>
      <c r="C311" s="18">
        <f>$I$25</f>
        <v/>
      </c>
      <c r="D311" s="18">
        <f>$I$26</f>
        <v/>
      </c>
      <c r="E311" s="18">
        <f>$I$27</f>
        <v/>
      </c>
      <c r="F311" s="18">
        <f>$I$28</f>
        <v/>
      </c>
    </row>
    <row r="312">
      <c r="A312" s="3">
        <f>$O$9</f>
        <v/>
      </c>
      <c r="B312" s="18">
        <f>$I$29</f>
        <v/>
      </c>
      <c r="C312" s="18">
        <f>$I$30</f>
        <v/>
      </c>
      <c r="D312" s="18">
        <f>$I$31</f>
        <v/>
      </c>
      <c r="E312" s="18">
        <f>$I$32</f>
        <v/>
      </c>
      <c r="F312" s="18">
        <f>$I$33</f>
        <v/>
      </c>
    </row>
    <row r="313">
      <c r="A313" s="3">
        <f>$O$10</f>
        <v/>
      </c>
      <c r="B313" s="18">
        <f>$I$34</f>
        <v/>
      </c>
      <c r="C313" s="18">
        <f>$I$35</f>
        <v/>
      </c>
      <c r="D313" s="18">
        <f>$I$36</f>
        <v/>
      </c>
      <c r="E313" s="18">
        <f>$I$37</f>
        <v/>
      </c>
      <c r="F313" s="18">
        <f>$I$38</f>
        <v/>
      </c>
    </row>
    <row r="314">
      <c r="A314" s="3">
        <f>$O$11</f>
        <v/>
      </c>
      <c r="B314" s="18">
        <f>$I$39</f>
        <v/>
      </c>
      <c r="C314" s="18">
        <f>$I$40</f>
        <v/>
      </c>
      <c r="D314" s="18">
        <f>$I$41</f>
        <v/>
      </c>
      <c r="E314" s="18">
        <f>$I$42</f>
        <v/>
      </c>
      <c r="F314" s="18">
        <f>$I$43</f>
        <v/>
      </c>
    </row>
    <row r="315">
      <c r="A315" s="3">
        <f>$O$12</f>
        <v/>
      </c>
      <c r="B315" s="18">
        <f>$I$44</f>
        <v/>
      </c>
      <c r="C315" s="18">
        <f>$I$45</f>
        <v/>
      </c>
      <c r="D315" s="18">
        <f>$I$46</f>
        <v/>
      </c>
      <c r="E315" s="18">
        <f>$I$47</f>
        <v/>
      </c>
      <c r="F315" s="18">
        <f>$I$48</f>
        <v/>
      </c>
    </row>
    <row r="316">
      <c r="A316" s="3">
        <f>$O$13</f>
        <v/>
      </c>
      <c r="B316" s="18">
        <f>$I$49</f>
        <v/>
      </c>
      <c r="C316" s="18">
        <f>$I$50</f>
        <v/>
      </c>
      <c r="D316" s="18">
        <f>$I$51</f>
        <v/>
      </c>
      <c r="E316" s="18">
        <f>$I$52</f>
        <v/>
      </c>
      <c r="F316" s="18">
        <f>$I$53</f>
        <v/>
      </c>
    </row>
    <row r="317">
      <c r="A317" s="3">
        <f>$O$14</f>
        <v/>
      </c>
      <c r="B317" s="18">
        <f>$I$54</f>
        <v/>
      </c>
      <c r="C317" s="18">
        <f>$I$55</f>
        <v/>
      </c>
      <c r="D317" s="18">
        <f>$I$56</f>
        <v/>
      </c>
      <c r="E317" s="18">
        <f>$I$57</f>
        <v/>
      </c>
      <c r="F317" s="18">
        <f>$I$58</f>
        <v/>
      </c>
    </row>
    <row r="318">
      <c r="A318" s="3">
        <f>$O$15</f>
        <v/>
      </c>
      <c r="B318" s="18">
        <f>$I$59</f>
        <v/>
      </c>
      <c r="C318" s="18">
        <f>$I$60</f>
        <v/>
      </c>
      <c r="D318" s="18">
        <f>$I$61</f>
        <v/>
      </c>
      <c r="E318" s="18">
        <f>$I$62</f>
        <v/>
      </c>
      <c r="F318" s="18">
        <f>$I$63</f>
        <v/>
      </c>
    </row>
    <row r="319">
      <c r="A319" s="3">
        <f>$O$16</f>
        <v/>
      </c>
      <c r="B319" s="18">
        <f>$I$64</f>
        <v/>
      </c>
      <c r="C319" s="18">
        <f>$I$65</f>
        <v/>
      </c>
      <c r="D319" s="18">
        <f>$I$66</f>
        <v/>
      </c>
      <c r="E319" s="18">
        <f>$I$67</f>
        <v/>
      </c>
      <c r="F319" s="18">
        <f>$I$68</f>
        <v/>
      </c>
    </row>
    <row r="320">
      <c r="A320" s="3">
        <f>$O$17</f>
        <v/>
      </c>
      <c r="B320" s="18">
        <f>$I$69</f>
        <v/>
      </c>
      <c r="C320" s="18">
        <f>$I$70</f>
        <v/>
      </c>
      <c r="D320" s="18">
        <f>$I$71</f>
        <v/>
      </c>
      <c r="E320" s="18">
        <f>$I$72</f>
        <v/>
      </c>
      <c r="F320" s="18">
        <f>$I$73</f>
        <v/>
      </c>
    </row>
    <row r="321">
      <c r="A321" s="3">
        <f>$O$18</f>
        <v/>
      </c>
      <c r="B321" s="18">
        <f>$I$74</f>
        <v/>
      </c>
      <c r="C321" s="18">
        <f>$I$75</f>
        <v/>
      </c>
      <c r="D321" s="18">
        <f>$I$76</f>
        <v/>
      </c>
      <c r="E321" s="18">
        <f>$I$77</f>
        <v/>
      </c>
      <c r="F321" s="18">
        <f>$I$78</f>
        <v/>
      </c>
    </row>
    <row r="322">
      <c r="A322" s="3">
        <f>$O$19</f>
        <v/>
      </c>
      <c r="B322" s="18">
        <f>$I$79</f>
        <v/>
      </c>
      <c r="C322" s="18">
        <f>$I$80</f>
        <v/>
      </c>
      <c r="D322" s="18">
        <f>$I$81</f>
        <v/>
      </c>
      <c r="E322" s="18">
        <f>$I$82</f>
        <v/>
      </c>
      <c r="F322" s="18">
        <f>$I$83</f>
        <v/>
      </c>
    </row>
    <row r="323">
      <c r="A323" s="3">
        <f>$O$20</f>
        <v/>
      </c>
      <c r="B323" s="18">
        <f>$I$84</f>
        <v/>
      </c>
      <c r="C323" s="18">
        <f>$I$85</f>
        <v/>
      </c>
      <c r="D323" s="18">
        <f>$I$86</f>
        <v/>
      </c>
      <c r="E323" s="18">
        <f>$I$87</f>
        <v/>
      </c>
      <c r="F323" s="18">
        <f>$I$88</f>
        <v/>
      </c>
    </row>
    <row r="324">
      <c r="A324" s="3">
        <f>$O$21</f>
        <v/>
      </c>
      <c r="B324" s="18">
        <f>$I$89</f>
        <v/>
      </c>
      <c r="C324" s="18">
        <f>$I$90</f>
        <v/>
      </c>
      <c r="D324" s="18">
        <f>$I$91</f>
        <v/>
      </c>
      <c r="E324" s="18">
        <f>$I$92</f>
        <v/>
      </c>
      <c r="F324" s="18">
        <f>$I$93</f>
        <v/>
      </c>
    </row>
    <row r="325" hidden="1">
      <c r="A325" s="3">
        <f>$O$22</f>
        <v/>
      </c>
      <c r="B325" s="18">
        <f>$I$94</f>
        <v/>
      </c>
      <c r="C325" s="18">
        <f>$I$95</f>
        <v/>
      </c>
      <c r="D325" s="18">
        <f>$I$96</f>
        <v/>
      </c>
      <c r="E325" s="18">
        <f>$I$97</f>
        <v/>
      </c>
      <c r="F325" s="18">
        <f>$I$98</f>
        <v/>
      </c>
    </row>
    <row r="326" hidden="1">
      <c r="A326" s="3">
        <f>$O$23</f>
        <v/>
      </c>
      <c r="B326" s="18">
        <f>$I$99</f>
        <v/>
      </c>
      <c r="C326" s="18">
        <f>$I$100</f>
        <v/>
      </c>
      <c r="D326" s="18">
        <f>$I$101</f>
        <v/>
      </c>
      <c r="E326" s="18">
        <f>$I$102</f>
        <v/>
      </c>
      <c r="F326" s="18">
        <f>$I$103</f>
        <v/>
      </c>
    </row>
    <row r="327" hidden="1">
      <c r="A327" s="3">
        <f>$O$24</f>
        <v/>
      </c>
      <c r="B327" s="18">
        <f>$I$104</f>
        <v/>
      </c>
      <c r="C327" s="18">
        <f>$I$105</f>
        <v/>
      </c>
      <c r="D327" s="18">
        <f>$I$106</f>
        <v/>
      </c>
      <c r="E327" s="18">
        <f>$I$107</f>
        <v/>
      </c>
      <c r="F327" s="18">
        <f>$I$108</f>
        <v/>
      </c>
    </row>
    <row r="328">
      <c r="A328" s="3">
        <f>$O$25</f>
        <v/>
      </c>
      <c r="B328" s="18">
        <f>$I$109</f>
        <v/>
      </c>
      <c r="C328" s="18">
        <f>$I$110</f>
        <v/>
      </c>
      <c r="D328" s="18">
        <f>$I$111</f>
        <v/>
      </c>
      <c r="E328" s="18">
        <f>$I$112</f>
        <v/>
      </c>
      <c r="F328" s="18">
        <f>$I$113</f>
        <v/>
      </c>
    </row>
    <row r="329">
      <c r="A329" s="3">
        <f>$O$26</f>
        <v/>
      </c>
      <c r="B329" s="18">
        <f>$I$114</f>
        <v/>
      </c>
      <c r="C329" s="18">
        <f>$I$115</f>
        <v/>
      </c>
      <c r="D329" s="18">
        <f>$I$116</f>
        <v/>
      </c>
      <c r="E329" s="18">
        <f>$I$117</f>
        <v/>
      </c>
      <c r="F329" s="18">
        <f>$I$118</f>
        <v/>
      </c>
    </row>
    <row r="330">
      <c r="A330" s="3">
        <f>$O$27</f>
        <v/>
      </c>
      <c r="B330" s="18">
        <f>$I$119</f>
        <v/>
      </c>
      <c r="C330" s="18">
        <f>$I$120</f>
        <v/>
      </c>
      <c r="D330" s="18">
        <f>$I$121</f>
        <v/>
      </c>
      <c r="E330" s="18">
        <f>$I$122</f>
        <v/>
      </c>
      <c r="F330" s="18">
        <f>$I$123</f>
        <v/>
      </c>
    </row>
    <row r="331">
      <c r="A331" s="3">
        <f>$O$28</f>
        <v/>
      </c>
      <c r="B331" s="18">
        <f>$I$124</f>
        <v/>
      </c>
      <c r="C331" s="18">
        <f>$I$125</f>
        <v/>
      </c>
      <c r="D331" s="18">
        <f>$I$126</f>
        <v/>
      </c>
      <c r="E331" s="18">
        <f>$I$127</f>
        <v/>
      </c>
      <c r="F331" s="18">
        <f>$I$128</f>
        <v/>
      </c>
    </row>
    <row r="332" hidden="1">
      <c r="A332" s="3">
        <f>$O$29</f>
        <v/>
      </c>
      <c r="B332" s="18">
        <f>$I$129</f>
        <v/>
      </c>
      <c r="C332" s="18">
        <f>$I$130</f>
        <v/>
      </c>
      <c r="D332" s="18">
        <f>$I$131</f>
        <v/>
      </c>
      <c r="E332" s="18">
        <f>$I$132</f>
        <v/>
      </c>
      <c r="F332" s="18">
        <f>$I$133</f>
        <v/>
      </c>
    </row>
    <row r="333" hidden="1">
      <c r="A333" s="3">
        <f>$O$30</f>
        <v/>
      </c>
      <c r="B333" s="18">
        <f>$I$134</f>
        <v/>
      </c>
      <c r="C333" s="18">
        <f>$I$135</f>
        <v/>
      </c>
      <c r="D333" s="18">
        <f>$I$136</f>
        <v/>
      </c>
      <c r="E333" s="18">
        <f>$I$137</f>
        <v/>
      </c>
      <c r="F333" s="18">
        <f>$I$138</f>
        <v/>
      </c>
    </row>
    <row r="334">
      <c r="A334" s="3">
        <f>$O$31</f>
        <v/>
      </c>
      <c r="B334" s="18">
        <f>$I$139</f>
        <v/>
      </c>
      <c r="C334" s="18">
        <f>$I$140</f>
        <v/>
      </c>
      <c r="D334" s="18">
        <f>$I$141</f>
        <v/>
      </c>
      <c r="E334" s="18">
        <f>$I$142</f>
        <v/>
      </c>
      <c r="F334" s="18">
        <f>$I$143</f>
        <v/>
      </c>
    </row>
    <row r="335" hidden="1">
      <c r="A335" s="3">
        <f>$O$32</f>
        <v/>
      </c>
      <c r="B335" s="18">
        <f>$I$144</f>
        <v/>
      </c>
      <c r="C335" s="18">
        <f>$I$145</f>
        <v/>
      </c>
      <c r="D335" s="18">
        <f>$I$146</f>
        <v/>
      </c>
      <c r="E335" s="18">
        <f>$I$147</f>
        <v/>
      </c>
      <c r="F335" s="18">
        <f>$I$148</f>
        <v/>
      </c>
    </row>
    <row r="336" hidden="1">
      <c r="A336" s="3">
        <f>$O$33</f>
        <v/>
      </c>
      <c r="B336" s="18">
        <f>$I$149</f>
        <v/>
      </c>
      <c r="C336" s="18">
        <f>$I$150</f>
        <v/>
      </c>
      <c r="D336" s="18">
        <f>$I$151</f>
        <v/>
      </c>
      <c r="E336" s="18">
        <f>$I$152</f>
        <v/>
      </c>
      <c r="F336" s="18">
        <f>$I$153</f>
        <v/>
      </c>
    </row>
    <row r="337" hidden="1">
      <c r="A337" s="3">
        <f>$O$34</f>
        <v/>
      </c>
      <c r="B337" s="18">
        <f>$I$154</f>
        <v/>
      </c>
      <c r="C337" s="18">
        <f>$I$155</f>
        <v/>
      </c>
      <c r="D337" s="18">
        <f>$I$156</f>
        <v/>
      </c>
      <c r="E337" s="18">
        <f>$I$157</f>
        <v/>
      </c>
      <c r="F337" s="18">
        <f>$I$158</f>
        <v/>
      </c>
    </row>
    <row r="338" hidden="1">
      <c r="A338" s="3">
        <f>$O$35</f>
        <v/>
      </c>
      <c r="B338" s="18">
        <f>$I$159</f>
        <v/>
      </c>
      <c r="C338" s="18">
        <f>$I$160</f>
        <v/>
      </c>
      <c r="D338" s="18">
        <f>$I$161</f>
        <v/>
      </c>
      <c r="E338" s="18">
        <f>$I$162</f>
        <v/>
      </c>
      <c r="F338" s="18">
        <f>$I$163</f>
        <v/>
      </c>
    </row>
    <row r="339" hidden="1">
      <c r="A339" s="3">
        <f>$O$36</f>
        <v/>
      </c>
      <c r="B339" s="18">
        <f>$I$164</f>
        <v/>
      </c>
      <c r="C339" s="18">
        <f>$I$165</f>
        <v/>
      </c>
      <c r="D339" s="18">
        <f>$I$166</f>
        <v/>
      </c>
      <c r="E339" s="18">
        <f>$I$167</f>
        <v/>
      </c>
      <c r="F339" s="18">
        <f>$I$168</f>
        <v/>
      </c>
    </row>
    <row r="340" hidden="1">
      <c r="A340" s="3">
        <f>$O$37</f>
        <v/>
      </c>
      <c r="B340" s="18">
        <f>$I$169</f>
        <v/>
      </c>
      <c r="C340" s="18">
        <f>$I$170</f>
        <v/>
      </c>
      <c r="D340" s="18">
        <f>$I$171</f>
        <v/>
      </c>
      <c r="E340" s="18">
        <f>$I$172</f>
        <v/>
      </c>
      <c r="F340" s="18">
        <f>$I$173</f>
        <v/>
      </c>
    </row>
    <row r="341" hidden="1">
      <c r="A341" s="3">
        <f>$O$38</f>
        <v/>
      </c>
      <c r="B341" s="18">
        <f>$I$174</f>
        <v/>
      </c>
      <c r="C341" s="18">
        <f>$I$175</f>
        <v/>
      </c>
      <c r="D341" s="18">
        <f>$I$176</f>
        <v/>
      </c>
      <c r="E341" s="18">
        <f>$I$177</f>
        <v/>
      </c>
      <c r="F341" s="18">
        <f>$I$178</f>
        <v/>
      </c>
    </row>
    <row r="342" hidden="1">
      <c r="A342" s="3">
        <f>$O$39</f>
        <v/>
      </c>
      <c r="B342" s="18">
        <f>$I$179</f>
        <v/>
      </c>
      <c r="C342" s="18">
        <f>$I$180</f>
        <v/>
      </c>
      <c r="D342" s="18">
        <f>$I$181</f>
        <v/>
      </c>
      <c r="E342" s="18">
        <f>$I$182</f>
        <v/>
      </c>
      <c r="F342" s="18">
        <f>$I$183</f>
        <v/>
      </c>
    </row>
    <row r="343">
      <c r="A343" s="3">
        <f>$O$40</f>
        <v/>
      </c>
      <c r="B343" s="18">
        <f>$I$184</f>
        <v/>
      </c>
      <c r="C343" s="18">
        <f>$I$185</f>
        <v/>
      </c>
      <c r="D343" s="18">
        <f>$I$186</f>
        <v/>
      </c>
      <c r="E343" s="18">
        <f>$I$187</f>
        <v/>
      </c>
      <c r="F343" s="18">
        <f>$I$188</f>
        <v/>
      </c>
    </row>
    <row r="344" hidden="1">
      <c r="A344" s="3">
        <f>$O$41</f>
        <v/>
      </c>
      <c r="B344" s="18">
        <f>$I$189</f>
        <v/>
      </c>
      <c r="C344" s="18">
        <f>$I$190</f>
        <v/>
      </c>
      <c r="D344" s="18">
        <f>$I$191</f>
        <v/>
      </c>
      <c r="E344" s="18">
        <f>$I$192</f>
        <v/>
      </c>
      <c r="F344" s="18">
        <f>$I$193</f>
        <v/>
      </c>
    </row>
    <row r="345" hidden="1">
      <c r="A345" s="3">
        <f>$O$42</f>
        <v/>
      </c>
      <c r="B345" s="18">
        <f>$I$194</f>
        <v/>
      </c>
      <c r="C345" s="18">
        <f>$I$195</f>
        <v/>
      </c>
      <c r="D345" s="18">
        <f>$I$196</f>
        <v/>
      </c>
      <c r="E345" s="18">
        <f>$I$197</f>
        <v/>
      </c>
      <c r="F345" s="18">
        <f>$I$198</f>
        <v/>
      </c>
    </row>
    <row r="346" hidden="1">
      <c r="A346" s="3">
        <f>$O$43</f>
        <v/>
      </c>
      <c r="B346" s="18">
        <f>$I$199</f>
        <v/>
      </c>
      <c r="C346" s="18">
        <f>$I$200</f>
        <v/>
      </c>
      <c r="D346" s="18">
        <f>$I$201</f>
        <v/>
      </c>
      <c r="E346" s="18">
        <f>$I$202</f>
        <v/>
      </c>
      <c r="F346" s="18">
        <f>$I$203</f>
        <v/>
      </c>
    </row>
    <row r="347" hidden="1">
      <c r="A347" s="3">
        <f>$O$44</f>
        <v/>
      </c>
      <c r="B347" s="18">
        <f>$I$204</f>
        <v/>
      </c>
      <c r="C347" s="18">
        <f>$I$205</f>
        <v/>
      </c>
      <c r="D347" s="18">
        <f>$I$206</f>
        <v/>
      </c>
      <c r="E347" s="18">
        <f>$I$207</f>
        <v/>
      </c>
      <c r="F347" s="18">
        <f>$I$208</f>
        <v/>
      </c>
    </row>
    <row r="348" hidden="1">
      <c r="A348" s="3">
        <f>$O$45</f>
        <v/>
      </c>
      <c r="B348" s="18">
        <f>$I$209</f>
        <v/>
      </c>
      <c r="C348" s="18">
        <f>$I$210</f>
        <v/>
      </c>
      <c r="D348" s="18">
        <f>$I$211</f>
        <v/>
      </c>
      <c r="E348" s="18">
        <f>$I$212</f>
        <v/>
      </c>
      <c r="F348" s="18">
        <f>$I$213</f>
        <v/>
      </c>
    </row>
    <row r="349" hidden="1">
      <c r="A349" s="3">
        <f>$O$46</f>
        <v/>
      </c>
      <c r="B349" s="18">
        <f>$I$214</f>
        <v/>
      </c>
      <c r="C349" s="18">
        <f>$I$215</f>
        <v/>
      </c>
      <c r="D349" s="18">
        <f>$I$216</f>
        <v/>
      </c>
      <c r="E349" s="18">
        <f>$I$217</f>
        <v/>
      </c>
      <c r="F349" s="18">
        <f>$I$218</f>
        <v/>
      </c>
    </row>
    <row r="350" hidden="1">
      <c r="A350" s="3">
        <f>$O$47</f>
        <v/>
      </c>
      <c r="B350" s="18">
        <f>$I$219</f>
        <v/>
      </c>
      <c r="C350" s="18">
        <f>$I$220</f>
        <v/>
      </c>
      <c r="D350" s="18">
        <f>$I$221</f>
        <v/>
      </c>
      <c r="E350" s="18">
        <f>$I$222</f>
        <v/>
      </c>
      <c r="F350" s="18">
        <f>$I$223</f>
        <v/>
      </c>
    </row>
    <row r="351" hidden="1">
      <c r="A351" s="3">
        <f>$O$48</f>
        <v/>
      </c>
      <c r="B351" s="18">
        <f>$I$224</f>
        <v/>
      </c>
      <c r="C351" s="18">
        <f>$I$225</f>
        <v/>
      </c>
      <c r="D351" s="18">
        <f>$I$226</f>
        <v/>
      </c>
      <c r="E351" s="18">
        <f>$I$227</f>
        <v/>
      </c>
      <c r="F351" s="18">
        <f>$I$228</f>
        <v/>
      </c>
    </row>
    <row r="352">
      <c r="A352" s="3">
        <f>$O$49</f>
        <v/>
      </c>
      <c r="B352" s="18">
        <f>$I$229</f>
        <v/>
      </c>
      <c r="C352" s="18">
        <f>$I$230</f>
        <v/>
      </c>
      <c r="D352" s="18">
        <f>$I$231</f>
        <v/>
      </c>
      <c r="E352" s="18">
        <f>$I$232</f>
        <v/>
      </c>
      <c r="F352" s="18">
        <f>$I$233</f>
        <v/>
      </c>
    </row>
    <row r="353">
      <c r="A353" s="3">
        <f>$O$50</f>
        <v/>
      </c>
      <c r="B353" s="18">
        <f>$I$234</f>
        <v/>
      </c>
      <c r="C353" s="18">
        <f>$I$235</f>
        <v/>
      </c>
      <c r="D353" s="18">
        <f>$I$236</f>
        <v/>
      </c>
      <c r="E353" s="18">
        <f>$I$237</f>
        <v/>
      </c>
      <c r="F353" s="18">
        <f>$I$238</f>
        <v/>
      </c>
    </row>
    <row r="354" hidden="1">
      <c r="A354" s="3">
        <f>$O$51</f>
        <v/>
      </c>
      <c r="B354" s="18">
        <f>$I$239</f>
        <v/>
      </c>
      <c r="C354" s="18">
        <f>$I$240</f>
        <v/>
      </c>
      <c r="D354" s="18">
        <f>$I$241</f>
        <v/>
      </c>
      <c r="E354" s="18">
        <f>$I$242</f>
        <v/>
      </c>
      <c r="F354" s="18">
        <f>$I$243</f>
        <v/>
      </c>
    </row>
    <row r="355" hidden="1">
      <c r="A355" s="3">
        <f>$O$52</f>
        <v/>
      </c>
      <c r="B355" s="18">
        <f>$I$244</f>
        <v/>
      </c>
      <c r="C355" s="18">
        <f>$I$245</f>
        <v/>
      </c>
      <c r="D355" s="18">
        <f>$I$246</f>
        <v/>
      </c>
      <c r="E355" s="18">
        <f>$I$247</f>
        <v/>
      </c>
      <c r="F355" s="18">
        <f>$I$248</f>
        <v/>
      </c>
    </row>
    <row r="356" hidden="1">
      <c r="A356" s="3">
        <f>$O$53</f>
        <v/>
      </c>
      <c r="B356" s="18">
        <f>$I$249</f>
        <v/>
      </c>
      <c r="C356" s="18">
        <f>$I$250</f>
        <v/>
      </c>
      <c r="D356" s="18">
        <f>$I$251</f>
        <v/>
      </c>
      <c r="E356" s="18">
        <f>$I$252</f>
        <v/>
      </c>
      <c r="F356" s="18">
        <f>$I$253</f>
        <v/>
      </c>
    </row>
    <row r="357" hidden="1">
      <c r="A357" s="3">
        <f>$O$54</f>
        <v/>
      </c>
      <c r="B357" s="18">
        <f>$I$254</f>
        <v/>
      </c>
      <c r="C357" s="18">
        <f>$I$255</f>
        <v/>
      </c>
      <c r="D357" s="18">
        <f>$I$256</f>
        <v/>
      </c>
      <c r="E357" s="18">
        <f>$I$257</f>
        <v/>
      </c>
      <c r="F357" s="18">
        <f>$I$258</f>
        <v/>
      </c>
    </row>
    <row r="358" hidden="1">
      <c r="A358" s="3">
        <f>$O$55</f>
        <v/>
      </c>
      <c r="B358" s="18">
        <f>$I$259</f>
        <v/>
      </c>
      <c r="C358" s="18">
        <f>$I$260</f>
        <v/>
      </c>
      <c r="D358" s="18">
        <f>$I$261</f>
        <v/>
      </c>
      <c r="E358" s="18">
        <f>$I$262</f>
        <v/>
      </c>
      <c r="F358" s="18">
        <f>$I$263</f>
        <v/>
      </c>
    </row>
    <row r="359" hidden="1">
      <c r="A359" s="3">
        <f>$O$56</f>
        <v/>
      </c>
      <c r="B359" s="18">
        <f>$I$264</f>
        <v/>
      </c>
      <c r="C359" s="18">
        <f>$I$265</f>
        <v/>
      </c>
      <c r="D359" s="18">
        <f>$I$266</f>
        <v/>
      </c>
      <c r="E359" s="18">
        <f>$I$267</f>
        <v/>
      </c>
      <c r="F359" s="18">
        <f>$I$268</f>
        <v/>
      </c>
    </row>
    <row r="360" hidden="1">
      <c r="A360" s="3">
        <f>$O$57</f>
        <v/>
      </c>
      <c r="B360" s="18">
        <f>$I$269</f>
        <v/>
      </c>
      <c r="C360" s="18">
        <f>$I$270</f>
        <v/>
      </c>
      <c r="D360" s="18">
        <f>$I$271</f>
        <v/>
      </c>
      <c r="E360" s="18">
        <f>$I$272</f>
        <v/>
      </c>
      <c r="F360" s="18">
        <f>$I$273</f>
        <v/>
      </c>
    </row>
    <row r="361" hidden="1">
      <c r="A361" s="3">
        <f>$O$58</f>
        <v/>
      </c>
      <c r="B361" s="18">
        <f>$I$274</f>
        <v/>
      </c>
      <c r="C361" s="18">
        <f>$I$275</f>
        <v/>
      </c>
      <c r="D361" s="18">
        <f>$I$276</f>
        <v/>
      </c>
      <c r="E361" s="18">
        <f>$I$277</f>
        <v/>
      </c>
      <c r="F361" s="18">
        <f>$I$278</f>
        <v/>
      </c>
    </row>
    <row r="362" hidden="1">
      <c r="A362" s="3">
        <f>$O$59</f>
        <v/>
      </c>
      <c r="B362" s="18">
        <f>$I$279</f>
        <v/>
      </c>
      <c r="C362" s="18">
        <f>$I$280</f>
        <v/>
      </c>
      <c r="D362" s="18">
        <f>$I$281</f>
        <v/>
      </c>
      <c r="E362" s="18">
        <f>$I$282</f>
        <v/>
      </c>
      <c r="F362" s="18">
        <f>$I$283</f>
        <v/>
      </c>
    </row>
    <row r="363" hidden="1">
      <c r="A363" s="3">
        <f>$O$60</f>
        <v/>
      </c>
      <c r="B363" s="18">
        <f>$I$284</f>
        <v/>
      </c>
      <c r="C363" s="18">
        <f>$I$285</f>
        <v/>
      </c>
      <c r="D363" s="18">
        <f>$I$286</f>
        <v/>
      </c>
      <c r="E363" s="18">
        <f>$I$287</f>
        <v/>
      </c>
      <c r="F363" s="18">
        <f>$I$288</f>
        <v/>
      </c>
    </row>
    <row r="364" hidden="1">
      <c r="A364" s="3">
        <f>$O$61</f>
        <v/>
      </c>
      <c r="B364" s="18">
        <f>$I$289</f>
        <v/>
      </c>
      <c r="C364" s="18">
        <f>$I$290</f>
        <v/>
      </c>
      <c r="D364" s="18">
        <f>$I$291</f>
        <v/>
      </c>
      <c r="E364" s="18">
        <f>$I$292</f>
        <v/>
      </c>
      <c r="F364" s="18">
        <f>$I$293</f>
        <v/>
      </c>
    </row>
    <row r="365" hidden="1">
      <c r="A365" s="3">
        <f>$O$62</f>
        <v/>
      </c>
      <c r="B365" s="18">
        <f>$I$294</f>
        <v/>
      </c>
      <c r="C365" s="18">
        <f>$I$295</f>
        <v/>
      </c>
      <c r="D365" s="18">
        <f>$I$296</f>
        <v/>
      </c>
      <c r="E365" s="18">
        <f>$I$297</f>
        <v/>
      </c>
      <c r="F365" s="18">
        <f>$I$298</f>
        <v/>
      </c>
    </row>
    <row r="366" hidden="1">
      <c r="A366" s="3">
        <f>$O$63</f>
        <v/>
      </c>
      <c r="B366" s="18">
        <f>$I$299</f>
        <v/>
      </c>
      <c r="C366" s="18">
        <f>$I$300</f>
        <v/>
      </c>
      <c r="D366" s="18">
        <f>$I$301</f>
        <v/>
      </c>
      <c r="E366" s="18">
        <f>$I$302</f>
        <v/>
      </c>
      <c r="F366" s="18">
        <f>$I$303</f>
        <v/>
      </c>
    </row>
    <row r="368">
      <c r="A368" s="4" t="inlineStr">
        <is>
          <t>RATIO CORRECTIVO/PREVENTIVO POR SEMANA (REGLA-9) — meta: correctivo ≤ 20 % de las HH</t>
        </is>
      </c>
    </row>
    <row r="369">
      <c r="A369" s="5" t="inlineStr">
        <is>
          <t>semana</t>
        </is>
      </c>
      <c r="B369" s="5" t="inlineStr">
        <is>
          <t>hh_preventiva</t>
        </is>
      </c>
      <c r="C369" s="5" t="inlineStr">
        <is>
          <t>hh_correctiva</t>
        </is>
      </c>
      <c r="D369" s="5" t="inlineStr">
        <is>
          <t>ratio_corr_prev</t>
        </is>
      </c>
      <c r="E369" s="5" t="inlineStr">
        <is>
          <t>pct_correctivo</t>
        </is>
      </c>
      <c r="F369" s="5" t="inlineStr">
        <is>
          <t>cumple_meta</t>
        </is>
      </c>
    </row>
    <row r="370">
      <c r="A370" s="3">
        <f>$O$4</f>
        <v/>
      </c>
      <c r="B370" s="17">
        <f>SUMIFS('ORDENES'!$M$4:$M$1203,'ORDENES'!$O$4:$O$1203,$A370,'ORDENES'!$S$4:$S$1203,"preventiva")</f>
        <v/>
      </c>
      <c r="C370" s="17">
        <f>SUMIFS('ORDENES'!$M$4:$M$1203,'ORDENES'!$O$4:$O$1203,$A370,'ORDENES'!$S$4:$S$1203,"correctiva")</f>
        <v/>
      </c>
      <c r="D370" s="18">
        <f>IF(B370=0,"",C370/B370)</f>
        <v/>
      </c>
      <c r="E370" s="18">
        <f>IF(B370+C370=0,"",C370/(B370+C370))</f>
        <v/>
      </c>
      <c r="F370" s="3">
        <f>IF(E370="","",IF(E370&lt;=1-p_meta_ratio_prev_corr,"SI","NO"))</f>
        <v/>
      </c>
    </row>
    <row r="371" hidden="1">
      <c r="A371" s="3">
        <f>$O$5</f>
        <v/>
      </c>
      <c r="B371" s="17">
        <f>SUMIFS('ORDENES'!$M$4:$M$1203,'ORDENES'!$O$4:$O$1203,$A371,'ORDENES'!$S$4:$S$1203,"preventiva")</f>
        <v/>
      </c>
      <c r="C371" s="17">
        <f>SUMIFS('ORDENES'!$M$4:$M$1203,'ORDENES'!$O$4:$O$1203,$A371,'ORDENES'!$S$4:$S$1203,"correctiva")</f>
        <v/>
      </c>
      <c r="D371" s="18">
        <f>IF(B371=0,"",C371/B371)</f>
        <v/>
      </c>
      <c r="E371" s="18">
        <f>IF(B371+C371=0,"",C371/(B371+C371))</f>
        <v/>
      </c>
      <c r="F371" s="3">
        <f>IF(E371="","",IF(E371&lt;=1-p_meta_ratio_prev_corr,"SI","NO"))</f>
        <v/>
      </c>
    </row>
    <row r="372">
      <c r="A372" s="3">
        <f>$O$6</f>
        <v/>
      </c>
      <c r="B372" s="17">
        <f>SUMIFS('ORDENES'!$M$4:$M$1203,'ORDENES'!$O$4:$O$1203,$A372,'ORDENES'!$S$4:$S$1203,"preventiva")</f>
        <v/>
      </c>
      <c r="C372" s="17">
        <f>SUMIFS('ORDENES'!$M$4:$M$1203,'ORDENES'!$O$4:$O$1203,$A372,'ORDENES'!$S$4:$S$1203,"correctiva")</f>
        <v/>
      </c>
      <c r="D372" s="18">
        <f>IF(B372=0,"",C372/B372)</f>
        <v/>
      </c>
      <c r="E372" s="18">
        <f>IF(B372+C372=0,"",C372/(B372+C372))</f>
        <v/>
      </c>
      <c r="F372" s="3">
        <f>IF(E372="","",IF(E372&lt;=1-p_meta_ratio_prev_corr,"SI","NO"))</f>
        <v/>
      </c>
    </row>
    <row r="373">
      <c r="A373" s="3">
        <f>$O$7</f>
        <v/>
      </c>
      <c r="B373" s="17">
        <f>SUMIFS('ORDENES'!$M$4:$M$1203,'ORDENES'!$O$4:$O$1203,$A373,'ORDENES'!$S$4:$S$1203,"preventiva")</f>
        <v/>
      </c>
      <c r="C373" s="17">
        <f>SUMIFS('ORDENES'!$M$4:$M$1203,'ORDENES'!$O$4:$O$1203,$A373,'ORDENES'!$S$4:$S$1203,"correctiva")</f>
        <v/>
      </c>
      <c r="D373" s="18">
        <f>IF(B373=0,"",C373/B373)</f>
        <v/>
      </c>
      <c r="E373" s="18">
        <f>IF(B373+C373=0,"",C373/(B373+C373))</f>
        <v/>
      </c>
      <c r="F373" s="3">
        <f>IF(E373="","",IF(E373&lt;=1-p_meta_ratio_prev_corr,"SI","NO"))</f>
        <v/>
      </c>
    </row>
    <row r="374">
      <c r="A374" s="3">
        <f>$O$8</f>
        <v/>
      </c>
      <c r="B374" s="17">
        <f>SUMIFS('ORDENES'!$M$4:$M$1203,'ORDENES'!$O$4:$O$1203,$A374,'ORDENES'!$S$4:$S$1203,"preventiva")</f>
        <v/>
      </c>
      <c r="C374" s="17">
        <f>SUMIFS('ORDENES'!$M$4:$M$1203,'ORDENES'!$O$4:$O$1203,$A374,'ORDENES'!$S$4:$S$1203,"correctiva")</f>
        <v/>
      </c>
      <c r="D374" s="18">
        <f>IF(B374=0,"",C374/B374)</f>
        <v/>
      </c>
      <c r="E374" s="18">
        <f>IF(B374+C374=0,"",C374/(B374+C374))</f>
        <v/>
      </c>
      <c r="F374" s="3">
        <f>IF(E374="","",IF(E374&lt;=1-p_meta_ratio_prev_corr,"SI","NO"))</f>
        <v/>
      </c>
    </row>
    <row r="375">
      <c r="A375" s="3">
        <f>$O$9</f>
        <v/>
      </c>
      <c r="B375" s="17">
        <f>SUMIFS('ORDENES'!$M$4:$M$1203,'ORDENES'!$O$4:$O$1203,$A375,'ORDENES'!$S$4:$S$1203,"preventiva")</f>
        <v/>
      </c>
      <c r="C375" s="17">
        <f>SUMIFS('ORDENES'!$M$4:$M$1203,'ORDENES'!$O$4:$O$1203,$A375,'ORDENES'!$S$4:$S$1203,"correctiva")</f>
        <v/>
      </c>
      <c r="D375" s="18">
        <f>IF(B375=0,"",C375/B375)</f>
        <v/>
      </c>
      <c r="E375" s="18">
        <f>IF(B375+C375=0,"",C375/(B375+C375))</f>
        <v/>
      </c>
      <c r="F375" s="3">
        <f>IF(E375="","",IF(E375&lt;=1-p_meta_ratio_prev_corr,"SI","NO"))</f>
        <v/>
      </c>
    </row>
    <row r="376">
      <c r="A376" s="3">
        <f>$O$10</f>
        <v/>
      </c>
      <c r="B376" s="17">
        <f>SUMIFS('ORDENES'!$M$4:$M$1203,'ORDENES'!$O$4:$O$1203,$A376,'ORDENES'!$S$4:$S$1203,"preventiva")</f>
        <v/>
      </c>
      <c r="C376" s="17">
        <f>SUMIFS('ORDENES'!$M$4:$M$1203,'ORDENES'!$O$4:$O$1203,$A376,'ORDENES'!$S$4:$S$1203,"correctiva")</f>
        <v/>
      </c>
      <c r="D376" s="18">
        <f>IF(B376=0,"",C376/B376)</f>
        <v/>
      </c>
      <c r="E376" s="18">
        <f>IF(B376+C376=0,"",C376/(B376+C376))</f>
        <v/>
      </c>
      <c r="F376" s="3">
        <f>IF(E376="","",IF(E376&lt;=1-p_meta_ratio_prev_corr,"SI","NO"))</f>
        <v/>
      </c>
    </row>
    <row r="377">
      <c r="A377" s="3">
        <f>$O$11</f>
        <v/>
      </c>
      <c r="B377" s="17">
        <f>SUMIFS('ORDENES'!$M$4:$M$1203,'ORDENES'!$O$4:$O$1203,$A377,'ORDENES'!$S$4:$S$1203,"preventiva")</f>
        <v/>
      </c>
      <c r="C377" s="17">
        <f>SUMIFS('ORDENES'!$M$4:$M$1203,'ORDENES'!$O$4:$O$1203,$A377,'ORDENES'!$S$4:$S$1203,"correctiva")</f>
        <v/>
      </c>
      <c r="D377" s="18">
        <f>IF(B377=0,"",C377/B377)</f>
        <v/>
      </c>
      <c r="E377" s="18">
        <f>IF(B377+C377=0,"",C377/(B377+C377))</f>
        <v/>
      </c>
      <c r="F377" s="3">
        <f>IF(E377="","",IF(E377&lt;=1-p_meta_ratio_prev_corr,"SI","NO"))</f>
        <v/>
      </c>
    </row>
    <row r="378">
      <c r="A378" s="3">
        <f>$O$12</f>
        <v/>
      </c>
      <c r="B378" s="17">
        <f>SUMIFS('ORDENES'!$M$4:$M$1203,'ORDENES'!$O$4:$O$1203,$A378,'ORDENES'!$S$4:$S$1203,"preventiva")</f>
        <v/>
      </c>
      <c r="C378" s="17">
        <f>SUMIFS('ORDENES'!$M$4:$M$1203,'ORDENES'!$O$4:$O$1203,$A378,'ORDENES'!$S$4:$S$1203,"correctiva")</f>
        <v/>
      </c>
      <c r="D378" s="18">
        <f>IF(B378=0,"",C378/B378)</f>
        <v/>
      </c>
      <c r="E378" s="18">
        <f>IF(B378+C378=0,"",C378/(B378+C378))</f>
        <v/>
      </c>
      <c r="F378" s="3">
        <f>IF(E378="","",IF(E378&lt;=1-p_meta_ratio_prev_corr,"SI","NO"))</f>
        <v/>
      </c>
    </row>
    <row r="379">
      <c r="A379" s="3">
        <f>$O$13</f>
        <v/>
      </c>
      <c r="B379" s="17">
        <f>SUMIFS('ORDENES'!$M$4:$M$1203,'ORDENES'!$O$4:$O$1203,$A379,'ORDENES'!$S$4:$S$1203,"preventiva")</f>
        <v/>
      </c>
      <c r="C379" s="17">
        <f>SUMIFS('ORDENES'!$M$4:$M$1203,'ORDENES'!$O$4:$O$1203,$A379,'ORDENES'!$S$4:$S$1203,"correctiva")</f>
        <v/>
      </c>
      <c r="D379" s="18">
        <f>IF(B379=0,"",C379/B379)</f>
        <v/>
      </c>
      <c r="E379" s="18">
        <f>IF(B379+C379=0,"",C379/(B379+C379))</f>
        <v/>
      </c>
      <c r="F379" s="3">
        <f>IF(E379="","",IF(E379&lt;=1-p_meta_ratio_prev_corr,"SI","NO"))</f>
        <v/>
      </c>
    </row>
    <row r="380">
      <c r="A380" s="3">
        <f>$O$14</f>
        <v/>
      </c>
      <c r="B380" s="17">
        <f>SUMIFS('ORDENES'!$M$4:$M$1203,'ORDENES'!$O$4:$O$1203,$A380,'ORDENES'!$S$4:$S$1203,"preventiva")</f>
        <v/>
      </c>
      <c r="C380" s="17">
        <f>SUMIFS('ORDENES'!$M$4:$M$1203,'ORDENES'!$O$4:$O$1203,$A380,'ORDENES'!$S$4:$S$1203,"correctiva")</f>
        <v/>
      </c>
      <c r="D380" s="18">
        <f>IF(B380=0,"",C380/B380)</f>
        <v/>
      </c>
      <c r="E380" s="18">
        <f>IF(B380+C380=0,"",C380/(B380+C380))</f>
        <v/>
      </c>
      <c r="F380" s="3">
        <f>IF(E380="","",IF(E380&lt;=1-p_meta_ratio_prev_corr,"SI","NO"))</f>
        <v/>
      </c>
    </row>
    <row r="381">
      <c r="A381" s="3">
        <f>$O$15</f>
        <v/>
      </c>
      <c r="B381" s="17">
        <f>SUMIFS('ORDENES'!$M$4:$M$1203,'ORDENES'!$O$4:$O$1203,$A381,'ORDENES'!$S$4:$S$1203,"preventiva")</f>
        <v/>
      </c>
      <c r="C381" s="17">
        <f>SUMIFS('ORDENES'!$M$4:$M$1203,'ORDENES'!$O$4:$O$1203,$A381,'ORDENES'!$S$4:$S$1203,"correctiva")</f>
        <v/>
      </c>
      <c r="D381" s="18">
        <f>IF(B381=0,"",C381/B381)</f>
        <v/>
      </c>
      <c r="E381" s="18">
        <f>IF(B381+C381=0,"",C381/(B381+C381))</f>
        <v/>
      </c>
      <c r="F381" s="3">
        <f>IF(E381="","",IF(E381&lt;=1-p_meta_ratio_prev_corr,"SI","NO"))</f>
        <v/>
      </c>
    </row>
    <row r="382">
      <c r="A382" s="3">
        <f>$O$16</f>
        <v/>
      </c>
      <c r="B382" s="17">
        <f>SUMIFS('ORDENES'!$M$4:$M$1203,'ORDENES'!$O$4:$O$1203,$A382,'ORDENES'!$S$4:$S$1203,"preventiva")</f>
        <v/>
      </c>
      <c r="C382" s="17">
        <f>SUMIFS('ORDENES'!$M$4:$M$1203,'ORDENES'!$O$4:$O$1203,$A382,'ORDENES'!$S$4:$S$1203,"correctiva")</f>
        <v/>
      </c>
      <c r="D382" s="18">
        <f>IF(B382=0,"",C382/B382)</f>
        <v/>
      </c>
      <c r="E382" s="18">
        <f>IF(B382+C382=0,"",C382/(B382+C382))</f>
        <v/>
      </c>
      <c r="F382" s="3">
        <f>IF(E382="","",IF(E382&lt;=1-p_meta_ratio_prev_corr,"SI","NO"))</f>
        <v/>
      </c>
    </row>
    <row r="383">
      <c r="A383" s="3">
        <f>$O$17</f>
        <v/>
      </c>
      <c r="B383" s="17">
        <f>SUMIFS('ORDENES'!$M$4:$M$1203,'ORDENES'!$O$4:$O$1203,$A383,'ORDENES'!$S$4:$S$1203,"preventiva")</f>
        <v/>
      </c>
      <c r="C383" s="17">
        <f>SUMIFS('ORDENES'!$M$4:$M$1203,'ORDENES'!$O$4:$O$1203,$A383,'ORDENES'!$S$4:$S$1203,"correctiva")</f>
        <v/>
      </c>
      <c r="D383" s="18">
        <f>IF(B383=0,"",C383/B383)</f>
        <v/>
      </c>
      <c r="E383" s="18">
        <f>IF(B383+C383=0,"",C383/(B383+C383))</f>
        <v/>
      </c>
      <c r="F383" s="3">
        <f>IF(E383="","",IF(E383&lt;=1-p_meta_ratio_prev_corr,"SI","NO"))</f>
        <v/>
      </c>
    </row>
    <row r="384">
      <c r="A384" s="3">
        <f>$O$18</f>
        <v/>
      </c>
      <c r="B384" s="17">
        <f>SUMIFS('ORDENES'!$M$4:$M$1203,'ORDENES'!$O$4:$O$1203,$A384,'ORDENES'!$S$4:$S$1203,"preventiva")</f>
        <v/>
      </c>
      <c r="C384" s="17">
        <f>SUMIFS('ORDENES'!$M$4:$M$1203,'ORDENES'!$O$4:$O$1203,$A384,'ORDENES'!$S$4:$S$1203,"correctiva")</f>
        <v/>
      </c>
      <c r="D384" s="18">
        <f>IF(B384=0,"",C384/B384)</f>
        <v/>
      </c>
      <c r="E384" s="18">
        <f>IF(B384+C384=0,"",C384/(B384+C384))</f>
        <v/>
      </c>
      <c r="F384" s="3">
        <f>IF(E384="","",IF(E384&lt;=1-p_meta_ratio_prev_corr,"SI","NO"))</f>
        <v/>
      </c>
    </row>
    <row r="385">
      <c r="A385" s="3">
        <f>$O$19</f>
        <v/>
      </c>
      <c r="B385" s="17">
        <f>SUMIFS('ORDENES'!$M$4:$M$1203,'ORDENES'!$O$4:$O$1203,$A385,'ORDENES'!$S$4:$S$1203,"preventiva")</f>
        <v/>
      </c>
      <c r="C385" s="17">
        <f>SUMIFS('ORDENES'!$M$4:$M$1203,'ORDENES'!$O$4:$O$1203,$A385,'ORDENES'!$S$4:$S$1203,"correctiva")</f>
        <v/>
      </c>
      <c r="D385" s="18">
        <f>IF(B385=0,"",C385/B385)</f>
        <v/>
      </c>
      <c r="E385" s="18">
        <f>IF(B385+C385=0,"",C385/(B385+C385))</f>
        <v/>
      </c>
      <c r="F385" s="3">
        <f>IF(E385="","",IF(E385&lt;=1-p_meta_ratio_prev_corr,"SI","NO"))</f>
        <v/>
      </c>
    </row>
    <row r="386">
      <c r="A386" s="3">
        <f>$O$20</f>
        <v/>
      </c>
      <c r="B386" s="17">
        <f>SUMIFS('ORDENES'!$M$4:$M$1203,'ORDENES'!$O$4:$O$1203,$A386,'ORDENES'!$S$4:$S$1203,"preventiva")</f>
        <v/>
      </c>
      <c r="C386" s="17">
        <f>SUMIFS('ORDENES'!$M$4:$M$1203,'ORDENES'!$O$4:$O$1203,$A386,'ORDENES'!$S$4:$S$1203,"correctiva")</f>
        <v/>
      </c>
      <c r="D386" s="18">
        <f>IF(B386=0,"",C386/B386)</f>
        <v/>
      </c>
      <c r="E386" s="18">
        <f>IF(B386+C386=0,"",C386/(B386+C386))</f>
        <v/>
      </c>
      <c r="F386" s="3">
        <f>IF(E386="","",IF(E386&lt;=1-p_meta_ratio_prev_corr,"SI","NO"))</f>
        <v/>
      </c>
    </row>
    <row r="387">
      <c r="A387" s="3">
        <f>$O$21</f>
        <v/>
      </c>
      <c r="B387" s="17">
        <f>SUMIFS('ORDENES'!$M$4:$M$1203,'ORDENES'!$O$4:$O$1203,$A387,'ORDENES'!$S$4:$S$1203,"preventiva")</f>
        <v/>
      </c>
      <c r="C387" s="17">
        <f>SUMIFS('ORDENES'!$M$4:$M$1203,'ORDENES'!$O$4:$O$1203,$A387,'ORDENES'!$S$4:$S$1203,"correctiva")</f>
        <v/>
      </c>
      <c r="D387" s="18">
        <f>IF(B387=0,"",C387/B387)</f>
        <v/>
      </c>
      <c r="E387" s="18">
        <f>IF(B387+C387=0,"",C387/(B387+C387))</f>
        <v/>
      </c>
      <c r="F387" s="3">
        <f>IF(E387="","",IF(E387&lt;=1-p_meta_ratio_prev_corr,"SI","NO"))</f>
        <v/>
      </c>
    </row>
    <row r="388" hidden="1">
      <c r="A388" s="3">
        <f>$O$22</f>
        <v/>
      </c>
      <c r="B388" s="17">
        <f>SUMIFS('ORDENES'!$M$4:$M$1203,'ORDENES'!$O$4:$O$1203,$A388,'ORDENES'!$S$4:$S$1203,"preventiva")</f>
        <v/>
      </c>
      <c r="C388" s="17">
        <f>SUMIFS('ORDENES'!$M$4:$M$1203,'ORDENES'!$O$4:$O$1203,$A388,'ORDENES'!$S$4:$S$1203,"correctiva")</f>
        <v/>
      </c>
      <c r="D388" s="18">
        <f>IF(B388=0,"",C388/B388)</f>
        <v/>
      </c>
      <c r="E388" s="18">
        <f>IF(B388+C388=0,"",C388/(B388+C388))</f>
        <v/>
      </c>
      <c r="F388" s="3">
        <f>IF(E388="","",IF(E388&lt;=1-p_meta_ratio_prev_corr,"SI","NO"))</f>
        <v/>
      </c>
    </row>
    <row r="389" hidden="1">
      <c r="A389" s="3">
        <f>$O$23</f>
        <v/>
      </c>
      <c r="B389" s="17">
        <f>SUMIFS('ORDENES'!$M$4:$M$1203,'ORDENES'!$O$4:$O$1203,$A389,'ORDENES'!$S$4:$S$1203,"preventiva")</f>
        <v/>
      </c>
      <c r="C389" s="17">
        <f>SUMIFS('ORDENES'!$M$4:$M$1203,'ORDENES'!$O$4:$O$1203,$A389,'ORDENES'!$S$4:$S$1203,"correctiva")</f>
        <v/>
      </c>
      <c r="D389" s="18">
        <f>IF(B389=0,"",C389/B389)</f>
        <v/>
      </c>
      <c r="E389" s="18">
        <f>IF(B389+C389=0,"",C389/(B389+C389))</f>
        <v/>
      </c>
      <c r="F389" s="3">
        <f>IF(E389="","",IF(E389&lt;=1-p_meta_ratio_prev_corr,"SI","NO"))</f>
        <v/>
      </c>
    </row>
    <row r="390" hidden="1">
      <c r="A390" s="3">
        <f>$O$24</f>
        <v/>
      </c>
      <c r="B390" s="17">
        <f>SUMIFS('ORDENES'!$M$4:$M$1203,'ORDENES'!$O$4:$O$1203,$A390,'ORDENES'!$S$4:$S$1203,"preventiva")</f>
        <v/>
      </c>
      <c r="C390" s="17">
        <f>SUMIFS('ORDENES'!$M$4:$M$1203,'ORDENES'!$O$4:$O$1203,$A390,'ORDENES'!$S$4:$S$1203,"correctiva")</f>
        <v/>
      </c>
      <c r="D390" s="18">
        <f>IF(B390=0,"",C390/B390)</f>
        <v/>
      </c>
      <c r="E390" s="18">
        <f>IF(B390+C390=0,"",C390/(B390+C390))</f>
        <v/>
      </c>
      <c r="F390" s="3">
        <f>IF(E390="","",IF(E390&lt;=1-p_meta_ratio_prev_corr,"SI","NO"))</f>
        <v/>
      </c>
    </row>
    <row r="391">
      <c r="A391" s="3">
        <f>$O$25</f>
        <v/>
      </c>
      <c r="B391" s="17">
        <f>SUMIFS('ORDENES'!$M$4:$M$1203,'ORDENES'!$O$4:$O$1203,$A391,'ORDENES'!$S$4:$S$1203,"preventiva")</f>
        <v/>
      </c>
      <c r="C391" s="17">
        <f>SUMIFS('ORDENES'!$M$4:$M$1203,'ORDENES'!$O$4:$O$1203,$A391,'ORDENES'!$S$4:$S$1203,"correctiva")</f>
        <v/>
      </c>
      <c r="D391" s="18">
        <f>IF(B391=0,"",C391/B391)</f>
        <v/>
      </c>
      <c r="E391" s="18">
        <f>IF(B391+C391=0,"",C391/(B391+C391))</f>
        <v/>
      </c>
      <c r="F391" s="3">
        <f>IF(E391="","",IF(E391&lt;=1-p_meta_ratio_prev_corr,"SI","NO"))</f>
        <v/>
      </c>
    </row>
    <row r="392">
      <c r="A392" s="3">
        <f>$O$26</f>
        <v/>
      </c>
      <c r="B392" s="17">
        <f>SUMIFS('ORDENES'!$M$4:$M$1203,'ORDENES'!$O$4:$O$1203,$A392,'ORDENES'!$S$4:$S$1203,"preventiva")</f>
        <v/>
      </c>
      <c r="C392" s="17">
        <f>SUMIFS('ORDENES'!$M$4:$M$1203,'ORDENES'!$O$4:$O$1203,$A392,'ORDENES'!$S$4:$S$1203,"correctiva")</f>
        <v/>
      </c>
      <c r="D392" s="18">
        <f>IF(B392=0,"",C392/B392)</f>
        <v/>
      </c>
      <c r="E392" s="18">
        <f>IF(B392+C392=0,"",C392/(B392+C392))</f>
        <v/>
      </c>
      <c r="F392" s="3">
        <f>IF(E392="","",IF(E392&lt;=1-p_meta_ratio_prev_corr,"SI","NO"))</f>
        <v/>
      </c>
    </row>
    <row r="393">
      <c r="A393" s="3">
        <f>$O$27</f>
        <v/>
      </c>
      <c r="B393" s="17">
        <f>SUMIFS('ORDENES'!$M$4:$M$1203,'ORDENES'!$O$4:$O$1203,$A393,'ORDENES'!$S$4:$S$1203,"preventiva")</f>
        <v/>
      </c>
      <c r="C393" s="17">
        <f>SUMIFS('ORDENES'!$M$4:$M$1203,'ORDENES'!$O$4:$O$1203,$A393,'ORDENES'!$S$4:$S$1203,"correctiva")</f>
        <v/>
      </c>
      <c r="D393" s="18">
        <f>IF(B393=0,"",C393/B393)</f>
        <v/>
      </c>
      <c r="E393" s="18">
        <f>IF(B393+C393=0,"",C393/(B393+C393))</f>
        <v/>
      </c>
      <c r="F393" s="3">
        <f>IF(E393="","",IF(E393&lt;=1-p_meta_ratio_prev_corr,"SI","NO"))</f>
        <v/>
      </c>
    </row>
    <row r="394">
      <c r="A394" s="3">
        <f>$O$28</f>
        <v/>
      </c>
      <c r="B394" s="17">
        <f>SUMIFS('ORDENES'!$M$4:$M$1203,'ORDENES'!$O$4:$O$1203,$A394,'ORDENES'!$S$4:$S$1203,"preventiva")</f>
        <v/>
      </c>
      <c r="C394" s="17">
        <f>SUMIFS('ORDENES'!$M$4:$M$1203,'ORDENES'!$O$4:$O$1203,$A394,'ORDENES'!$S$4:$S$1203,"correctiva")</f>
        <v/>
      </c>
      <c r="D394" s="18">
        <f>IF(B394=0,"",C394/B394)</f>
        <v/>
      </c>
      <c r="E394" s="18">
        <f>IF(B394+C394=0,"",C394/(B394+C394))</f>
        <v/>
      </c>
      <c r="F394" s="3">
        <f>IF(E394="","",IF(E394&lt;=1-p_meta_ratio_prev_corr,"SI","NO"))</f>
        <v/>
      </c>
    </row>
    <row r="395" hidden="1">
      <c r="A395" s="3">
        <f>$O$29</f>
        <v/>
      </c>
      <c r="B395" s="17">
        <f>SUMIFS('ORDENES'!$M$4:$M$1203,'ORDENES'!$O$4:$O$1203,$A395,'ORDENES'!$S$4:$S$1203,"preventiva")</f>
        <v/>
      </c>
      <c r="C395" s="17">
        <f>SUMIFS('ORDENES'!$M$4:$M$1203,'ORDENES'!$O$4:$O$1203,$A395,'ORDENES'!$S$4:$S$1203,"correctiva")</f>
        <v/>
      </c>
      <c r="D395" s="18">
        <f>IF(B395=0,"",C395/B395)</f>
        <v/>
      </c>
      <c r="E395" s="18">
        <f>IF(B395+C395=0,"",C395/(B395+C395))</f>
        <v/>
      </c>
      <c r="F395" s="3">
        <f>IF(E395="","",IF(E395&lt;=1-p_meta_ratio_prev_corr,"SI","NO"))</f>
        <v/>
      </c>
    </row>
    <row r="396" hidden="1">
      <c r="A396" s="3">
        <f>$O$30</f>
        <v/>
      </c>
      <c r="B396" s="17">
        <f>SUMIFS('ORDENES'!$M$4:$M$1203,'ORDENES'!$O$4:$O$1203,$A396,'ORDENES'!$S$4:$S$1203,"preventiva")</f>
        <v/>
      </c>
      <c r="C396" s="17">
        <f>SUMIFS('ORDENES'!$M$4:$M$1203,'ORDENES'!$O$4:$O$1203,$A396,'ORDENES'!$S$4:$S$1203,"correctiva")</f>
        <v/>
      </c>
      <c r="D396" s="18">
        <f>IF(B396=0,"",C396/B396)</f>
        <v/>
      </c>
      <c r="E396" s="18">
        <f>IF(B396+C396=0,"",C396/(B396+C396))</f>
        <v/>
      </c>
      <c r="F396" s="3">
        <f>IF(E396="","",IF(E396&lt;=1-p_meta_ratio_prev_corr,"SI","NO"))</f>
        <v/>
      </c>
    </row>
    <row r="397">
      <c r="A397" s="3">
        <f>$O$31</f>
        <v/>
      </c>
      <c r="B397" s="17">
        <f>SUMIFS('ORDENES'!$M$4:$M$1203,'ORDENES'!$O$4:$O$1203,$A397,'ORDENES'!$S$4:$S$1203,"preventiva")</f>
        <v/>
      </c>
      <c r="C397" s="17">
        <f>SUMIFS('ORDENES'!$M$4:$M$1203,'ORDENES'!$O$4:$O$1203,$A397,'ORDENES'!$S$4:$S$1203,"correctiva")</f>
        <v/>
      </c>
      <c r="D397" s="18">
        <f>IF(B397=0,"",C397/B397)</f>
        <v/>
      </c>
      <c r="E397" s="18">
        <f>IF(B397+C397=0,"",C397/(B397+C397))</f>
        <v/>
      </c>
      <c r="F397" s="3">
        <f>IF(E397="","",IF(E397&lt;=1-p_meta_ratio_prev_corr,"SI","NO"))</f>
        <v/>
      </c>
    </row>
    <row r="398" hidden="1">
      <c r="A398" s="3">
        <f>$O$32</f>
        <v/>
      </c>
      <c r="B398" s="17">
        <f>SUMIFS('ORDENES'!$M$4:$M$1203,'ORDENES'!$O$4:$O$1203,$A398,'ORDENES'!$S$4:$S$1203,"preventiva")</f>
        <v/>
      </c>
      <c r="C398" s="17">
        <f>SUMIFS('ORDENES'!$M$4:$M$1203,'ORDENES'!$O$4:$O$1203,$A398,'ORDENES'!$S$4:$S$1203,"correctiva")</f>
        <v/>
      </c>
      <c r="D398" s="18">
        <f>IF(B398=0,"",C398/B398)</f>
        <v/>
      </c>
      <c r="E398" s="18">
        <f>IF(B398+C398=0,"",C398/(B398+C398))</f>
        <v/>
      </c>
      <c r="F398" s="3">
        <f>IF(E398="","",IF(E398&lt;=1-p_meta_ratio_prev_corr,"SI","NO"))</f>
        <v/>
      </c>
    </row>
    <row r="399" hidden="1">
      <c r="A399" s="3">
        <f>$O$33</f>
        <v/>
      </c>
      <c r="B399" s="17">
        <f>SUMIFS('ORDENES'!$M$4:$M$1203,'ORDENES'!$O$4:$O$1203,$A399,'ORDENES'!$S$4:$S$1203,"preventiva")</f>
        <v/>
      </c>
      <c r="C399" s="17">
        <f>SUMIFS('ORDENES'!$M$4:$M$1203,'ORDENES'!$O$4:$O$1203,$A399,'ORDENES'!$S$4:$S$1203,"correctiva")</f>
        <v/>
      </c>
      <c r="D399" s="18">
        <f>IF(B399=0,"",C399/B399)</f>
        <v/>
      </c>
      <c r="E399" s="18">
        <f>IF(B399+C399=0,"",C399/(B399+C399))</f>
        <v/>
      </c>
      <c r="F399" s="3">
        <f>IF(E399="","",IF(E399&lt;=1-p_meta_ratio_prev_corr,"SI","NO"))</f>
        <v/>
      </c>
    </row>
    <row r="400" hidden="1">
      <c r="A400" s="3">
        <f>$O$34</f>
        <v/>
      </c>
      <c r="B400" s="17">
        <f>SUMIFS('ORDENES'!$M$4:$M$1203,'ORDENES'!$O$4:$O$1203,$A400,'ORDENES'!$S$4:$S$1203,"preventiva")</f>
        <v/>
      </c>
      <c r="C400" s="17">
        <f>SUMIFS('ORDENES'!$M$4:$M$1203,'ORDENES'!$O$4:$O$1203,$A400,'ORDENES'!$S$4:$S$1203,"correctiva")</f>
        <v/>
      </c>
      <c r="D400" s="18">
        <f>IF(B400=0,"",C400/B400)</f>
        <v/>
      </c>
      <c r="E400" s="18">
        <f>IF(B400+C400=0,"",C400/(B400+C400))</f>
        <v/>
      </c>
      <c r="F400" s="3">
        <f>IF(E400="","",IF(E400&lt;=1-p_meta_ratio_prev_corr,"SI","NO"))</f>
        <v/>
      </c>
    </row>
    <row r="401" hidden="1">
      <c r="A401" s="3">
        <f>$O$35</f>
        <v/>
      </c>
      <c r="B401" s="17">
        <f>SUMIFS('ORDENES'!$M$4:$M$1203,'ORDENES'!$O$4:$O$1203,$A401,'ORDENES'!$S$4:$S$1203,"preventiva")</f>
        <v/>
      </c>
      <c r="C401" s="17">
        <f>SUMIFS('ORDENES'!$M$4:$M$1203,'ORDENES'!$O$4:$O$1203,$A401,'ORDENES'!$S$4:$S$1203,"correctiva")</f>
        <v/>
      </c>
      <c r="D401" s="18">
        <f>IF(B401=0,"",C401/B401)</f>
        <v/>
      </c>
      <c r="E401" s="18">
        <f>IF(B401+C401=0,"",C401/(B401+C401))</f>
        <v/>
      </c>
      <c r="F401" s="3">
        <f>IF(E401="","",IF(E401&lt;=1-p_meta_ratio_prev_corr,"SI","NO"))</f>
        <v/>
      </c>
    </row>
    <row r="402" hidden="1">
      <c r="A402" s="3">
        <f>$O$36</f>
        <v/>
      </c>
      <c r="B402" s="17">
        <f>SUMIFS('ORDENES'!$M$4:$M$1203,'ORDENES'!$O$4:$O$1203,$A402,'ORDENES'!$S$4:$S$1203,"preventiva")</f>
        <v/>
      </c>
      <c r="C402" s="17">
        <f>SUMIFS('ORDENES'!$M$4:$M$1203,'ORDENES'!$O$4:$O$1203,$A402,'ORDENES'!$S$4:$S$1203,"correctiva")</f>
        <v/>
      </c>
      <c r="D402" s="18">
        <f>IF(B402=0,"",C402/B402)</f>
        <v/>
      </c>
      <c r="E402" s="18">
        <f>IF(B402+C402=0,"",C402/(B402+C402))</f>
        <v/>
      </c>
      <c r="F402" s="3">
        <f>IF(E402="","",IF(E402&lt;=1-p_meta_ratio_prev_corr,"SI","NO"))</f>
        <v/>
      </c>
    </row>
    <row r="403" hidden="1">
      <c r="A403" s="3">
        <f>$O$37</f>
        <v/>
      </c>
      <c r="B403" s="17">
        <f>SUMIFS('ORDENES'!$M$4:$M$1203,'ORDENES'!$O$4:$O$1203,$A403,'ORDENES'!$S$4:$S$1203,"preventiva")</f>
        <v/>
      </c>
      <c r="C403" s="17">
        <f>SUMIFS('ORDENES'!$M$4:$M$1203,'ORDENES'!$O$4:$O$1203,$A403,'ORDENES'!$S$4:$S$1203,"correctiva")</f>
        <v/>
      </c>
      <c r="D403" s="18">
        <f>IF(B403=0,"",C403/B403)</f>
        <v/>
      </c>
      <c r="E403" s="18">
        <f>IF(B403+C403=0,"",C403/(B403+C403))</f>
        <v/>
      </c>
      <c r="F403" s="3">
        <f>IF(E403="","",IF(E403&lt;=1-p_meta_ratio_prev_corr,"SI","NO"))</f>
        <v/>
      </c>
    </row>
    <row r="404" hidden="1">
      <c r="A404" s="3">
        <f>$O$38</f>
        <v/>
      </c>
      <c r="B404" s="17">
        <f>SUMIFS('ORDENES'!$M$4:$M$1203,'ORDENES'!$O$4:$O$1203,$A404,'ORDENES'!$S$4:$S$1203,"preventiva")</f>
        <v/>
      </c>
      <c r="C404" s="17">
        <f>SUMIFS('ORDENES'!$M$4:$M$1203,'ORDENES'!$O$4:$O$1203,$A404,'ORDENES'!$S$4:$S$1203,"correctiva")</f>
        <v/>
      </c>
      <c r="D404" s="18">
        <f>IF(B404=0,"",C404/B404)</f>
        <v/>
      </c>
      <c r="E404" s="18">
        <f>IF(B404+C404=0,"",C404/(B404+C404))</f>
        <v/>
      </c>
      <c r="F404" s="3">
        <f>IF(E404="","",IF(E404&lt;=1-p_meta_ratio_prev_corr,"SI","NO"))</f>
        <v/>
      </c>
    </row>
    <row r="405" hidden="1">
      <c r="A405" s="3">
        <f>$O$39</f>
        <v/>
      </c>
      <c r="B405" s="17">
        <f>SUMIFS('ORDENES'!$M$4:$M$1203,'ORDENES'!$O$4:$O$1203,$A405,'ORDENES'!$S$4:$S$1203,"preventiva")</f>
        <v/>
      </c>
      <c r="C405" s="17">
        <f>SUMIFS('ORDENES'!$M$4:$M$1203,'ORDENES'!$O$4:$O$1203,$A405,'ORDENES'!$S$4:$S$1203,"correctiva")</f>
        <v/>
      </c>
      <c r="D405" s="18">
        <f>IF(B405=0,"",C405/B405)</f>
        <v/>
      </c>
      <c r="E405" s="18">
        <f>IF(B405+C405=0,"",C405/(B405+C405))</f>
        <v/>
      </c>
      <c r="F405" s="3">
        <f>IF(E405="","",IF(E405&lt;=1-p_meta_ratio_prev_corr,"SI","NO"))</f>
        <v/>
      </c>
    </row>
    <row r="406">
      <c r="A406" s="3">
        <f>$O$40</f>
        <v/>
      </c>
      <c r="B406" s="17">
        <f>SUMIFS('ORDENES'!$M$4:$M$1203,'ORDENES'!$O$4:$O$1203,$A406,'ORDENES'!$S$4:$S$1203,"preventiva")</f>
        <v/>
      </c>
      <c r="C406" s="17">
        <f>SUMIFS('ORDENES'!$M$4:$M$1203,'ORDENES'!$O$4:$O$1203,$A406,'ORDENES'!$S$4:$S$1203,"correctiva")</f>
        <v/>
      </c>
      <c r="D406" s="18">
        <f>IF(B406=0,"",C406/B406)</f>
        <v/>
      </c>
      <c r="E406" s="18">
        <f>IF(B406+C406=0,"",C406/(B406+C406))</f>
        <v/>
      </c>
      <c r="F406" s="3">
        <f>IF(E406="","",IF(E406&lt;=1-p_meta_ratio_prev_corr,"SI","NO"))</f>
        <v/>
      </c>
    </row>
    <row r="407" hidden="1">
      <c r="A407" s="3">
        <f>$O$41</f>
        <v/>
      </c>
      <c r="B407" s="17">
        <f>SUMIFS('ORDENES'!$M$4:$M$1203,'ORDENES'!$O$4:$O$1203,$A407,'ORDENES'!$S$4:$S$1203,"preventiva")</f>
        <v/>
      </c>
      <c r="C407" s="17">
        <f>SUMIFS('ORDENES'!$M$4:$M$1203,'ORDENES'!$O$4:$O$1203,$A407,'ORDENES'!$S$4:$S$1203,"correctiva")</f>
        <v/>
      </c>
      <c r="D407" s="18">
        <f>IF(B407=0,"",C407/B407)</f>
        <v/>
      </c>
      <c r="E407" s="18">
        <f>IF(B407+C407=0,"",C407/(B407+C407))</f>
        <v/>
      </c>
      <c r="F407" s="3">
        <f>IF(E407="","",IF(E407&lt;=1-p_meta_ratio_prev_corr,"SI","NO"))</f>
        <v/>
      </c>
    </row>
    <row r="408" hidden="1">
      <c r="A408" s="3">
        <f>$O$42</f>
        <v/>
      </c>
      <c r="B408" s="17">
        <f>SUMIFS('ORDENES'!$M$4:$M$1203,'ORDENES'!$O$4:$O$1203,$A408,'ORDENES'!$S$4:$S$1203,"preventiva")</f>
        <v/>
      </c>
      <c r="C408" s="17">
        <f>SUMIFS('ORDENES'!$M$4:$M$1203,'ORDENES'!$O$4:$O$1203,$A408,'ORDENES'!$S$4:$S$1203,"correctiva")</f>
        <v/>
      </c>
      <c r="D408" s="18">
        <f>IF(B408=0,"",C408/B408)</f>
        <v/>
      </c>
      <c r="E408" s="18">
        <f>IF(B408+C408=0,"",C408/(B408+C408))</f>
        <v/>
      </c>
      <c r="F408" s="3">
        <f>IF(E408="","",IF(E408&lt;=1-p_meta_ratio_prev_corr,"SI","NO"))</f>
        <v/>
      </c>
    </row>
    <row r="409" hidden="1">
      <c r="A409" s="3">
        <f>$O$43</f>
        <v/>
      </c>
      <c r="B409" s="17">
        <f>SUMIFS('ORDENES'!$M$4:$M$1203,'ORDENES'!$O$4:$O$1203,$A409,'ORDENES'!$S$4:$S$1203,"preventiva")</f>
        <v/>
      </c>
      <c r="C409" s="17">
        <f>SUMIFS('ORDENES'!$M$4:$M$1203,'ORDENES'!$O$4:$O$1203,$A409,'ORDENES'!$S$4:$S$1203,"correctiva")</f>
        <v/>
      </c>
      <c r="D409" s="18">
        <f>IF(B409=0,"",C409/B409)</f>
        <v/>
      </c>
      <c r="E409" s="18">
        <f>IF(B409+C409=0,"",C409/(B409+C409))</f>
        <v/>
      </c>
      <c r="F409" s="3">
        <f>IF(E409="","",IF(E409&lt;=1-p_meta_ratio_prev_corr,"SI","NO"))</f>
        <v/>
      </c>
    </row>
    <row r="410" hidden="1">
      <c r="A410" s="3">
        <f>$O$44</f>
        <v/>
      </c>
      <c r="B410" s="17">
        <f>SUMIFS('ORDENES'!$M$4:$M$1203,'ORDENES'!$O$4:$O$1203,$A410,'ORDENES'!$S$4:$S$1203,"preventiva")</f>
        <v/>
      </c>
      <c r="C410" s="17">
        <f>SUMIFS('ORDENES'!$M$4:$M$1203,'ORDENES'!$O$4:$O$1203,$A410,'ORDENES'!$S$4:$S$1203,"correctiva")</f>
        <v/>
      </c>
      <c r="D410" s="18">
        <f>IF(B410=0,"",C410/B410)</f>
        <v/>
      </c>
      <c r="E410" s="18">
        <f>IF(B410+C410=0,"",C410/(B410+C410))</f>
        <v/>
      </c>
      <c r="F410" s="3">
        <f>IF(E410="","",IF(E410&lt;=1-p_meta_ratio_prev_corr,"SI","NO"))</f>
        <v/>
      </c>
    </row>
    <row r="411" hidden="1">
      <c r="A411" s="3">
        <f>$O$45</f>
        <v/>
      </c>
      <c r="B411" s="17">
        <f>SUMIFS('ORDENES'!$M$4:$M$1203,'ORDENES'!$O$4:$O$1203,$A411,'ORDENES'!$S$4:$S$1203,"preventiva")</f>
        <v/>
      </c>
      <c r="C411" s="17">
        <f>SUMIFS('ORDENES'!$M$4:$M$1203,'ORDENES'!$O$4:$O$1203,$A411,'ORDENES'!$S$4:$S$1203,"correctiva")</f>
        <v/>
      </c>
      <c r="D411" s="18">
        <f>IF(B411=0,"",C411/B411)</f>
        <v/>
      </c>
      <c r="E411" s="18">
        <f>IF(B411+C411=0,"",C411/(B411+C411))</f>
        <v/>
      </c>
      <c r="F411" s="3">
        <f>IF(E411="","",IF(E411&lt;=1-p_meta_ratio_prev_corr,"SI","NO"))</f>
        <v/>
      </c>
    </row>
    <row r="412" hidden="1">
      <c r="A412" s="3">
        <f>$O$46</f>
        <v/>
      </c>
      <c r="B412" s="17">
        <f>SUMIFS('ORDENES'!$M$4:$M$1203,'ORDENES'!$O$4:$O$1203,$A412,'ORDENES'!$S$4:$S$1203,"preventiva")</f>
        <v/>
      </c>
      <c r="C412" s="17">
        <f>SUMIFS('ORDENES'!$M$4:$M$1203,'ORDENES'!$O$4:$O$1203,$A412,'ORDENES'!$S$4:$S$1203,"correctiva")</f>
        <v/>
      </c>
      <c r="D412" s="18">
        <f>IF(B412=0,"",C412/B412)</f>
        <v/>
      </c>
      <c r="E412" s="18">
        <f>IF(B412+C412=0,"",C412/(B412+C412))</f>
        <v/>
      </c>
      <c r="F412" s="3">
        <f>IF(E412="","",IF(E412&lt;=1-p_meta_ratio_prev_corr,"SI","NO"))</f>
        <v/>
      </c>
    </row>
    <row r="413" hidden="1">
      <c r="A413" s="3">
        <f>$O$47</f>
        <v/>
      </c>
      <c r="B413" s="17">
        <f>SUMIFS('ORDENES'!$M$4:$M$1203,'ORDENES'!$O$4:$O$1203,$A413,'ORDENES'!$S$4:$S$1203,"preventiva")</f>
        <v/>
      </c>
      <c r="C413" s="17">
        <f>SUMIFS('ORDENES'!$M$4:$M$1203,'ORDENES'!$O$4:$O$1203,$A413,'ORDENES'!$S$4:$S$1203,"correctiva")</f>
        <v/>
      </c>
      <c r="D413" s="18">
        <f>IF(B413=0,"",C413/B413)</f>
        <v/>
      </c>
      <c r="E413" s="18">
        <f>IF(B413+C413=0,"",C413/(B413+C413))</f>
        <v/>
      </c>
      <c r="F413" s="3">
        <f>IF(E413="","",IF(E413&lt;=1-p_meta_ratio_prev_corr,"SI","NO"))</f>
        <v/>
      </c>
    </row>
    <row r="414" hidden="1">
      <c r="A414" s="3">
        <f>$O$48</f>
        <v/>
      </c>
      <c r="B414" s="17">
        <f>SUMIFS('ORDENES'!$M$4:$M$1203,'ORDENES'!$O$4:$O$1203,$A414,'ORDENES'!$S$4:$S$1203,"preventiva")</f>
        <v/>
      </c>
      <c r="C414" s="17">
        <f>SUMIFS('ORDENES'!$M$4:$M$1203,'ORDENES'!$O$4:$O$1203,$A414,'ORDENES'!$S$4:$S$1203,"correctiva")</f>
        <v/>
      </c>
      <c r="D414" s="18">
        <f>IF(B414=0,"",C414/B414)</f>
        <v/>
      </c>
      <c r="E414" s="18">
        <f>IF(B414+C414=0,"",C414/(B414+C414))</f>
        <v/>
      </c>
      <c r="F414" s="3">
        <f>IF(E414="","",IF(E414&lt;=1-p_meta_ratio_prev_corr,"SI","NO"))</f>
        <v/>
      </c>
    </row>
    <row r="415">
      <c r="A415" s="3">
        <f>$O$49</f>
        <v/>
      </c>
      <c r="B415" s="17">
        <f>SUMIFS('ORDENES'!$M$4:$M$1203,'ORDENES'!$O$4:$O$1203,$A415,'ORDENES'!$S$4:$S$1203,"preventiva")</f>
        <v/>
      </c>
      <c r="C415" s="17">
        <f>SUMIFS('ORDENES'!$M$4:$M$1203,'ORDENES'!$O$4:$O$1203,$A415,'ORDENES'!$S$4:$S$1203,"correctiva")</f>
        <v/>
      </c>
      <c r="D415" s="18">
        <f>IF(B415=0,"",C415/B415)</f>
        <v/>
      </c>
      <c r="E415" s="18">
        <f>IF(B415+C415=0,"",C415/(B415+C415))</f>
        <v/>
      </c>
      <c r="F415" s="3">
        <f>IF(E415="","",IF(E415&lt;=1-p_meta_ratio_prev_corr,"SI","NO"))</f>
        <v/>
      </c>
    </row>
    <row r="416">
      <c r="A416" s="3">
        <f>$O$50</f>
        <v/>
      </c>
      <c r="B416" s="17">
        <f>SUMIFS('ORDENES'!$M$4:$M$1203,'ORDENES'!$O$4:$O$1203,$A416,'ORDENES'!$S$4:$S$1203,"preventiva")</f>
        <v/>
      </c>
      <c r="C416" s="17">
        <f>SUMIFS('ORDENES'!$M$4:$M$1203,'ORDENES'!$O$4:$O$1203,$A416,'ORDENES'!$S$4:$S$1203,"correctiva")</f>
        <v/>
      </c>
      <c r="D416" s="18">
        <f>IF(B416=0,"",C416/B416)</f>
        <v/>
      </c>
      <c r="E416" s="18">
        <f>IF(B416+C416=0,"",C416/(B416+C416))</f>
        <v/>
      </c>
      <c r="F416" s="3">
        <f>IF(E416="","",IF(E416&lt;=1-p_meta_ratio_prev_corr,"SI","NO"))</f>
        <v/>
      </c>
    </row>
    <row r="417" hidden="1">
      <c r="A417" s="3">
        <f>$O$51</f>
        <v/>
      </c>
      <c r="B417" s="17">
        <f>SUMIFS('ORDENES'!$M$4:$M$1203,'ORDENES'!$O$4:$O$1203,$A417,'ORDENES'!$S$4:$S$1203,"preventiva")</f>
        <v/>
      </c>
      <c r="C417" s="17">
        <f>SUMIFS('ORDENES'!$M$4:$M$1203,'ORDENES'!$O$4:$O$1203,$A417,'ORDENES'!$S$4:$S$1203,"correctiva")</f>
        <v/>
      </c>
      <c r="D417" s="18">
        <f>IF(B417=0,"",C417/B417)</f>
        <v/>
      </c>
      <c r="E417" s="18">
        <f>IF(B417+C417=0,"",C417/(B417+C417))</f>
        <v/>
      </c>
      <c r="F417" s="3">
        <f>IF(E417="","",IF(E417&lt;=1-p_meta_ratio_prev_corr,"SI","NO"))</f>
        <v/>
      </c>
    </row>
    <row r="418" hidden="1">
      <c r="A418" s="3">
        <f>$O$52</f>
        <v/>
      </c>
      <c r="B418" s="17">
        <f>SUMIFS('ORDENES'!$M$4:$M$1203,'ORDENES'!$O$4:$O$1203,$A418,'ORDENES'!$S$4:$S$1203,"preventiva")</f>
        <v/>
      </c>
      <c r="C418" s="17">
        <f>SUMIFS('ORDENES'!$M$4:$M$1203,'ORDENES'!$O$4:$O$1203,$A418,'ORDENES'!$S$4:$S$1203,"correctiva")</f>
        <v/>
      </c>
      <c r="D418" s="18">
        <f>IF(B418=0,"",C418/B418)</f>
        <v/>
      </c>
      <c r="E418" s="18">
        <f>IF(B418+C418=0,"",C418/(B418+C418))</f>
        <v/>
      </c>
      <c r="F418" s="3">
        <f>IF(E418="","",IF(E418&lt;=1-p_meta_ratio_prev_corr,"SI","NO"))</f>
        <v/>
      </c>
    </row>
    <row r="419" hidden="1">
      <c r="A419" s="3">
        <f>$O$53</f>
        <v/>
      </c>
      <c r="B419" s="17">
        <f>SUMIFS('ORDENES'!$M$4:$M$1203,'ORDENES'!$O$4:$O$1203,$A419,'ORDENES'!$S$4:$S$1203,"preventiva")</f>
        <v/>
      </c>
      <c r="C419" s="17">
        <f>SUMIFS('ORDENES'!$M$4:$M$1203,'ORDENES'!$O$4:$O$1203,$A419,'ORDENES'!$S$4:$S$1203,"correctiva")</f>
        <v/>
      </c>
      <c r="D419" s="18">
        <f>IF(B419=0,"",C419/B419)</f>
        <v/>
      </c>
      <c r="E419" s="18">
        <f>IF(B419+C419=0,"",C419/(B419+C419))</f>
        <v/>
      </c>
      <c r="F419" s="3">
        <f>IF(E419="","",IF(E419&lt;=1-p_meta_ratio_prev_corr,"SI","NO"))</f>
        <v/>
      </c>
    </row>
    <row r="420" hidden="1">
      <c r="A420" s="3">
        <f>$O$54</f>
        <v/>
      </c>
      <c r="B420" s="17">
        <f>SUMIFS('ORDENES'!$M$4:$M$1203,'ORDENES'!$O$4:$O$1203,$A420,'ORDENES'!$S$4:$S$1203,"preventiva")</f>
        <v/>
      </c>
      <c r="C420" s="17">
        <f>SUMIFS('ORDENES'!$M$4:$M$1203,'ORDENES'!$O$4:$O$1203,$A420,'ORDENES'!$S$4:$S$1203,"correctiva")</f>
        <v/>
      </c>
      <c r="D420" s="18">
        <f>IF(B420=0,"",C420/B420)</f>
        <v/>
      </c>
      <c r="E420" s="18">
        <f>IF(B420+C420=0,"",C420/(B420+C420))</f>
        <v/>
      </c>
      <c r="F420" s="3">
        <f>IF(E420="","",IF(E420&lt;=1-p_meta_ratio_prev_corr,"SI","NO"))</f>
        <v/>
      </c>
    </row>
    <row r="421" hidden="1">
      <c r="A421" s="3">
        <f>$O$55</f>
        <v/>
      </c>
      <c r="B421" s="17">
        <f>SUMIFS('ORDENES'!$M$4:$M$1203,'ORDENES'!$O$4:$O$1203,$A421,'ORDENES'!$S$4:$S$1203,"preventiva")</f>
        <v/>
      </c>
      <c r="C421" s="17">
        <f>SUMIFS('ORDENES'!$M$4:$M$1203,'ORDENES'!$O$4:$O$1203,$A421,'ORDENES'!$S$4:$S$1203,"correctiva")</f>
        <v/>
      </c>
      <c r="D421" s="18">
        <f>IF(B421=0,"",C421/B421)</f>
        <v/>
      </c>
      <c r="E421" s="18">
        <f>IF(B421+C421=0,"",C421/(B421+C421))</f>
        <v/>
      </c>
      <c r="F421" s="3">
        <f>IF(E421="","",IF(E421&lt;=1-p_meta_ratio_prev_corr,"SI","NO"))</f>
        <v/>
      </c>
    </row>
    <row r="422" hidden="1">
      <c r="A422" s="3">
        <f>$O$56</f>
        <v/>
      </c>
      <c r="B422" s="17">
        <f>SUMIFS('ORDENES'!$M$4:$M$1203,'ORDENES'!$O$4:$O$1203,$A422,'ORDENES'!$S$4:$S$1203,"preventiva")</f>
        <v/>
      </c>
      <c r="C422" s="17">
        <f>SUMIFS('ORDENES'!$M$4:$M$1203,'ORDENES'!$O$4:$O$1203,$A422,'ORDENES'!$S$4:$S$1203,"correctiva")</f>
        <v/>
      </c>
      <c r="D422" s="18">
        <f>IF(B422=0,"",C422/B422)</f>
        <v/>
      </c>
      <c r="E422" s="18">
        <f>IF(B422+C422=0,"",C422/(B422+C422))</f>
        <v/>
      </c>
      <c r="F422" s="3">
        <f>IF(E422="","",IF(E422&lt;=1-p_meta_ratio_prev_corr,"SI","NO"))</f>
        <v/>
      </c>
    </row>
    <row r="423" hidden="1">
      <c r="A423" s="3">
        <f>$O$57</f>
        <v/>
      </c>
      <c r="B423" s="17">
        <f>SUMIFS('ORDENES'!$M$4:$M$1203,'ORDENES'!$O$4:$O$1203,$A423,'ORDENES'!$S$4:$S$1203,"preventiva")</f>
        <v/>
      </c>
      <c r="C423" s="17">
        <f>SUMIFS('ORDENES'!$M$4:$M$1203,'ORDENES'!$O$4:$O$1203,$A423,'ORDENES'!$S$4:$S$1203,"correctiva")</f>
        <v/>
      </c>
      <c r="D423" s="18">
        <f>IF(B423=0,"",C423/B423)</f>
        <v/>
      </c>
      <c r="E423" s="18">
        <f>IF(B423+C423=0,"",C423/(B423+C423))</f>
        <v/>
      </c>
      <c r="F423" s="3">
        <f>IF(E423="","",IF(E423&lt;=1-p_meta_ratio_prev_corr,"SI","NO"))</f>
        <v/>
      </c>
    </row>
    <row r="424" hidden="1">
      <c r="A424" s="3">
        <f>$O$58</f>
        <v/>
      </c>
      <c r="B424" s="17">
        <f>SUMIFS('ORDENES'!$M$4:$M$1203,'ORDENES'!$O$4:$O$1203,$A424,'ORDENES'!$S$4:$S$1203,"preventiva")</f>
        <v/>
      </c>
      <c r="C424" s="17">
        <f>SUMIFS('ORDENES'!$M$4:$M$1203,'ORDENES'!$O$4:$O$1203,$A424,'ORDENES'!$S$4:$S$1203,"correctiva")</f>
        <v/>
      </c>
      <c r="D424" s="18">
        <f>IF(B424=0,"",C424/B424)</f>
        <v/>
      </c>
      <c r="E424" s="18">
        <f>IF(B424+C424=0,"",C424/(B424+C424))</f>
        <v/>
      </c>
      <c r="F424" s="3">
        <f>IF(E424="","",IF(E424&lt;=1-p_meta_ratio_prev_corr,"SI","NO"))</f>
        <v/>
      </c>
    </row>
    <row r="425" hidden="1">
      <c r="A425" s="3">
        <f>$O$59</f>
        <v/>
      </c>
      <c r="B425" s="17">
        <f>SUMIFS('ORDENES'!$M$4:$M$1203,'ORDENES'!$O$4:$O$1203,$A425,'ORDENES'!$S$4:$S$1203,"preventiva")</f>
        <v/>
      </c>
      <c r="C425" s="17">
        <f>SUMIFS('ORDENES'!$M$4:$M$1203,'ORDENES'!$O$4:$O$1203,$A425,'ORDENES'!$S$4:$S$1203,"correctiva")</f>
        <v/>
      </c>
      <c r="D425" s="18">
        <f>IF(B425=0,"",C425/B425)</f>
        <v/>
      </c>
      <c r="E425" s="18">
        <f>IF(B425+C425=0,"",C425/(B425+C425))</f>
        <v/>
      </c>
      <c r="F425" s="3">
        <f>IF(E425="","",IF(E425&lt;=1-p_meta_ratio_prev_corr,"SI","NO"))</f>
        <v/>
      </c>
    </row>
    <row r="426" hidden="1">
      <c r="A426" s="3">
        <f>$O$60</f>
        <v/>
      </c>
      <c r="B426" s="17">
        <f>SUMIFS('ORDENES'!$M$4:$M$1203,'ORDENES'!$O$4:$O$1203,$A426,'ORDENES'!$S$4:$S$1203,"preventiva")</f>
        <v/>
      </c>
      <c r="C426" s="17">
        <f>SUMIFS('ORDENES'!$M$4:$M$1203,'ORDENES'!$O$4:$O$1203,$A426,'ORDENES'!$S$4:$S$1203,"correctiva")</f>
        <v/>
      </c>
      <c r="D426" s="18">
        <f>IF(B426=0,"",C426/B426)</f>
        <v/>
      </c>
      <c r="E426" s="18">
        <f>IF(B426+C426=0,"",C426/(B426+C426))</f>
        <v/>
      </c>
      <c r="F426" s="3">
        <f>IF(E426="","",IF(E426&lt;=1-p_meta_ratio_prev_corr,"SI","NO"))</f>
        <v/>
      </c>
    </row>
    <row r="427" hidden="1">
      <c r="A427" s="3">
        <f>$O$61</f>
        <v/>
      </c>
      <c r="B427" s="17">
        <f>SUMIFS('ORDENES'!$M$4:$M$1203,'ORDENES'!$O$4:$O$1203,$A427,'ORDENES'!$S$4:$S$1203,"preventiva")</f>
        <v/>
      </c>
      <c r="C427" s="17">
        <f>SUMIFS('ORDENES'!$M$4:$M$1203,'ORDENES'!$O$4:$O$1203,$A427,'ORDENES'!$S$4:$S$1203,"correctiva")</f>
        <v/>
      </c>
      <c r="D427" s="18">
        <f>IF(B427=0,"",C427/B427)</f>
        <v/>
      </c>
      <c r="E427" s="18">
        <f>IF(B427+C427=0,"",C427/(B427+C427))</f>
        <v/>
      </c>
      <c r="F427" s="3">
        <f>IF(E427="","",IF(E427&lt;=1-p_meta_ratio_prev_corr,"SI","NO"))</f>
        <v/>
      </c>
    </row>
    <row r="428" hidden="1">
      <c r="A428" s="3">
        <f>$O$62</f>
        <v/>
      </c>
      <c r="B428" s="17">
        <f>SUMIFS('ORDENES'!$M$4:$M$1203,'ORDENES'!$O$4:$O$1203,$A428,'ORDENES'!$S$4:$S$1203,"preventiva")</f>
        <v/>
      </c>
      <c r="C428" s="17">
        <f>SUMIFS('ORDENES'!$M$4:$M$1203,'ORDENES'!$O$4:$O$1203,$A428,'ORDENES'!$S$4:$S$1203,"correctiva")</f>
        <v/>
      </c>
      <c r="D428" s="18">
        <f>IF(B428=0,"",C428/B428)</f>
        <v/>
      </c>
      <c r="E428" s="18">
        <f>IF(B428+C428=0,"",C428/(B428+C428))</f>
        <v/>
      </c>
      <c r="F428" s="3">
        <f>IF(E428="","",IF(E428&lt;=1-p_meta_ratio_prev_corr,"SI","NO"))</f>
        <v/>
      </c>
    </row>
    <row r="429" hidden="1">
      <c r="A429" s="3">
        <f>$O$63</f>
        <v/>
      </c>
      <c r="B429" s="17">
        <f>SUMIFS('ORDENES'!$M$4:$M$1203,'ORDENES'!$O$4:$O$1203,$A429,'ORDENES'!$S$4:$S$1203,"preventiva")</f>
        <v/>
      </c>
      <c r="C429" s="17">
        <f>SUMIFS('ORDENES'!$M$4:$M$1203,'ORDENES'!$O$4:$O$1203,$A429,'ORDENES'!$S$4:$S$1203,"correctiva")</f>
        <v/>
      </c>
      <c r="D429" s="18">
        <f>IF(B429=0,"",C429/B429)</f>
        <v/>
      </c>
      <c r="E429" s="18">
        <f>IF(B429+C429=0,"",C429/(B429+C429))</f>
        <v/>
      </c>
      <c r="F429" s="3">
        <f>IF(E429="","",IF(E429&lt;=1-p_meta_ratio_prev_corr,"SI","NO"))</f>
        <v/>
      </c>
    </row>
  </sheetData>
  <conditionalFormatting sqref="I4:I30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307:F36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3" customWidth="1" min="7" max="7"/>
    <col width="15" customWidth="1" min="8" max="8"/>
    <col width="30" customWidth="1" min="9" max="9"/>
    <col width="9" customWidth="1" min="10" max="10"/>
    <col width="7" customWidth="1" min="11" max="11"/>
    <col width="11" customWidth="1" min="12" max="12"/>
    <col width="9" customWidth="1" min="13" max="13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("&amp;IFERROR(INDEX('ASIGNACIONES'!$F$4:$F$339,MATCH($B$3&amp;"|"&amp;$D$3&amp;"|"&amp;$P4,'ASIGNACIONES'!$I$4:$I$339,0)),"")&amp;")")</f>
        <v/>
      </c>
      <c r="S4" s="17">
        <f>IF(AND($L$3&lt;&gt;"(todos)",$Q4&lt;&gt;$L$3),NA(),SUMIFS('ORDENES'!$M$4:$M$1203,'ORDENES'!$AB$4:$AB$1203,$P4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IF(AND($L$3&lt;&gt;"(todos)",$Q4&lt;&gt;$L$3),NA(),p_factor_productividad*SUMIFS('ASIGNACIONES'!$H$4:$H$339,'ASIGNACIONES'!$C$4:$C$339,$P4,'ASIGNACIONES'!$A$4:$A$339,IF($B$3="(todos)","*",$B$3),'ASIGNACIONES'!$B$4:$B$339,IF($D$3="(todos)","*",$D$3)))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COUNTIFS($A$26:$A$1225,IF($B$3="(todos)","*",$B$3),$B$26:$B$1225,IF($D$3="(todos)","*",$D$3),$C$26:$C$1225,IF($F$3="(todos)","*",$F$3),$D$26:$D$1225,IF($H$3="(todos)","*",$H$3),$E$26:$E$1225,IF($J$3="(todos)","*",$J$3),$F$26:$F$1225,IF($L$3="(todos)","*",$L$3))</f>
        <v/>
      </c>
      <c r="C5" s="4" t="inlineStr">
        <is>
          <t>HH:</t>
        </is>
      </c>
      <c r="D5" s="17">
        <f>SUMIFS($K$26:$K$1225,$A$26:$A$1225,IF($B$3="(todos)","*",$B$3),$B$26:$B$1225,IF($D$3="(todos)","*",$D$3),$C$26:$C$1225,IF($F$3="(todos)","*",$F$3),$D$26:$D$1225,IF($H$3="(todos)","*",$H$3),$E$26:$E$1225,IF($J$3="(todos)","*",$J$3),$F$26:$F$1225,IF($L$3="(todos)","*",$L$3))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("&amp;IFERROR(INDEX('ASIGNACIONES'!$F$4:$F$339,MATCH($B$3&amp;"|"&amp;$D$3&amp;"|"&amp;$P5,'ASIGNACIONES'!$I$4:$I$339,0)),"")&amp;")")</f>
        <v/>
      </c>
      <c r="S5" s="17">
        <f>IF(AND($L$3&lt;&gt;"(todos)",$Q5&lt;&gt;$L$3),NA(),SUMIFS('ORDENES'!$M$4:$M$1203,'ORDENES'!$AB$4:$AB$1203,$P5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IF(AND($L$3&lt;&gt;"(todos)",$Q5&lt;&gt;$L$3),NA(),p_factor_productividad*SUMIFS('ASIGNACIONES'!$H$4:$H$339,'ASIGNACIONES'!$C$4:$C$339,$P5,'ASIGNACIONES'!$A$4:$A$339,IF($B$3="(todos)","*",$B$3),'ASIGNACIONES'!$B$4:$B$339,IF($D$3="(todos)","*",$D$3)))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("&amp;IFERROR(INDEX('ASIGNACIONES'!$F$4:$F$339,MATCH($B$3&amp;"|"&amp;$D$3&amp;"|"&amp;$P6,'ASIGNACIONES'!$I$4:$I$339,0)),"")&amp;")")</f>
        <v/>
      </c>
      <c r="S6" s="17">
        <f>IF(AND($L$3&lt;&gt;"(todos)",$Q6&lt;&gt;$L$3),NA(),SUMIFS('ORDENES'!$M$4:$M$1203,'ORDENES'!$AB$4:$AB$1203,$P6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IF(AND($L$3&lt;&gt;"(todos)",$Q6&lt;&gt;$L$3),NA(),p_factor_productividad*SUMIFS('ASIGNACIONES'!$H$4:$H$339,'ASIGNACIONES'!$C$4:$C$339,$P6,'ASIGNACIONES'!$A$4:$A$339,IF($B$3="(todos)","*",$B$3),'ASIGNACIONES'!$B$4:$B$339,IF($D$3="(todos)","*",$D$3)))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("&amp;IFERROR(INDEX('ASIGNACIONES'!$F$4:$F$339,MATCH($B$3&amp;"|"&amp;$D$3&amp;"|"&amp;$P7,'ASIGNACIONES'!$I$4:$I$339,0)),"")&amp;")")</f>
        <v/>
      </c>
      <c r="S7" s="17">
        <f>IF(AND($L$3&lt;&gt;"(todos)",$Q7&lt;&gt;$L$3),NA(),SUMIFS('ORDENES'!$M$4:$M$1203,'ORDENES'!$AB$4:$AB$1203,$P7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IF(AND($L$3&lt;&gt;"(todos)",$Q7&lt;&gt;$L$3),NA(),p_factor_productividad*SUMIFS('ASIGNACIONES'!$H$4:$H$339,'ASIGNACIONES'!$C$4:$C$339,$P7,'ASIGNACIONES'!$A$4:$A$339,IF($B$3="(todos)","*",$B$3),'ASIGNACIONES'!$B$4:$B$339,IF($D$3="(todos)","*",$D$3)))</f>
        <v/>
      </c>
    </row>
    <row r="8">
      <c r="P8" s="3" t="inlineStr">
        <is>
          <t>Técnico 05</t>
        </is>
      </c>
      <c r="Q8" s="3" t="inlineStr">
        <is>
          <t>ELE</t>
        </is>
      </c>
      <c r="R8" s="3">
        <f>IF(OR($B$3="(todos)",$D$3="(todos)"),$P8,$P8&amp;" ("&amp;IFERROR(INDEX('ASIGNACIONES'!$F$4:$F$339,MATCH($B$3&amp;"|"&amp;$D$3&amp;"|"&amp;$P8,'ASIGNACIONES'!$I$4:$I$339,0)),"")&amp;")")</f>
        <v/>
      </c>
      <c r="S8" s="17">
        <f>IF(AND($L$3&lt;&gt;"(todos)",$Q8&lt;&gt;$L$3),NA(),SUMIFS('ORDENES'!$M$4:$M$1203,'ORDENES'!$AB$4:$AB$1203,$P8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IF(AND($L$3&lt;&gt;"(todos)",$Q8&lt;&gt;$L$3),NA(),p_factor_productividad*SUMIFS('ASIGNACIONES'!$H$4:$H$339,'ASIGNACIONES'!$C$4:$C$339,$P8,'ASIGNACIONES'!$A$4:$A$339,IF($B$3="(todos)","*",$B$3),'ASIGNACIONES'!$B$4:$B$339,IF($D$3="(todos)","*",$D$3)))</f>
        <v/>
      </c>
    </row>
    <row r="9">
      <c r="P9" s="3" t="inlineStr">
        <is>
          <t>Técnico 06</t>
        </is>
      </c>
      <c r="Q9" s="3" t="inlineStr">
        <is>
          <t>ELE</t>
        </is>
      </c>
      <c r="R9" s="3">
        <f>IF(OR($B$3="(todos)",$D$3="(todos)"),$P9,$P9&amp;" ("&amp;IFERROR(INDEX('ASIGNACIONES'!$F$4:$F$339,MATCH($B$3&amp;"|"&amp;$D$3&amp;"|"&amp;$P9,'ASIGNACIONES'!$I$4:$I$339,0)),"")&amp;")")</f>
        <v/>
      </c>
      <c r="S9" s="17">
        <f>IF(AND($L$3&lt;&gt;"(todos)",$Q9&lt;&gt;$L$3),NA(),SUMIFS('ORDENES'!$M$4:$M$1203,'ORDENES'!$AB$4:$AB$1203,$P9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IF(AND($L$3&lt;&gt;"(todos)",$Q9&lt;&gt;$L$3),NA(),p_factor_productividad*SUMIFS('ASIGNACIONES'!$H$4:$H$339,'ASIGNACIONES'!$C$4:$C$339,$P9,'ASIGNACIONES'!$A$4:$A$339,IF($B$3="(todos)","*",$B$3),'ASIGNACIONES'!$B$4:$B$339,IF($D$3="(todos)","*",$D$3)))</f>
        <v/>
      </c>
    </row>
    <row r="10">
      <c r="P10" s="3" t="inlineStr">
        <is>
          <t>Técnico 07</t>
        </is>
      </c>
      <c r="Q10" s="3" t="inlineStr">
        <is>
          <t>ELE</t>
        </is>
      </c>
      <c r="R10" s="3">
        <f>IF(OR($B$3="(todos)",$D$3="(todos)"),$P10,$P10&amp;" ("&amp;IFERROR(INDEX('ASIGNACIONES'!$F$4:$F$339,MATCH($B$3&amp;"|"&amp;$D$3&amp;"|"&amp;$P10,'ASIGNACIONES'!$I$4:$I$339,0)),"")&amp;")")</f>
        <v/>
      </c>
      <c r="S10" s="17">
        <f>IF(AND($L$3&lt;&gt;"(todos)",$Q10&lt;&gt;$L$3),NA(),SUMIFS('ORDENES'!$M$4:$M$1203,'ORDENES'!$AB$4:$AB$1203,$P10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IF(AND($L$3&lt;&gt;"(todos)",$Q10&lt;&gt;$L$3),NA(),p_factor_productividad*SUMIFS('ASIGNACIONES'!$H$4:$H$339,'ASIGNACIONES'!$C$4:$C$339,$P10,'ASIGNACIONES'!$A$4:$A$339,IF($B$3="(todos)","*",$B$3),'ASIGNACIONES'!$B$4:$B$339,IF($D$3="(todos)","*",$D$3)))</f>
        <v/>
      </c>
    </row>
    <row r="11">
      <c r="P11" s="3" t="inlineStr">
        <is>
          <t>Técnico 08</t>
        </is>
      </c>
      <c r="Q11" s="3" t="inlineStr">
        <is>
          <t>AUT</t>
        </is>
      </c>
      <c r="R11" s="3">
        <f>IF(OR($B$3="(todos)",$D$3="(todos)"),$P11,$P11&amp;" ("&amp;IFERROR(INDEX('ASIGNACIONES'!$F$4:$F$339,MATCH($B$3&amp;"|"&amp;$D$3&amp;"|"&amp;$P11,'ASIGNACIONES'!$I$4:$I$339,0)),"")&amp;")")</f>
        <v/>
      </c>
      <c r="S11" s="17">
        <f>IF(AND($L$3&lt;&gt;"(todos)",$Q11&lt;&gt;$L$3),NA(),SUMIFS('ORDENES'!$M$4:$M$1203,'ORDENES'!$AB$4:$AB$1203,$P11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IF(AND($L$3&lt;&gt;"(todos)",$Q11&lt;&gt;$L$3),NA(),p_factor_productividad*SUMIFS('ASIGNACIONES'!$H$4:$H$339,'ASIGNACIONES'!$C$4:$C$339,$P11,'ASIGNACIONES'!$A$4:$A$339,IF($B$3="(todos)","*",$B$3),'ASIGNACIONES'!$B$4:$B$339,IF($D$3="(todos)","*",$D$3)))</f>
        <v/>
      </c>
    </row>
    <row r="12">
      <c r="P12" s="3" t="inlineStr">
        <is>
          <t>Técnico 09</t>
        </is>
      </c>
      <c r="Q12" s="3" t="inlineStr">
        <is>
          <t>AUT</t>
        </is>
      </c>
      <c r="R12" s="3">
        <f>IF(OR($B$3="(todos)",$D$3="(todos)"),$P12,$P12&amp;" ("&amp;IFERROR(INDEX('ASIGNACIONES'!$F$4:$F$339,MATCH($B$3&amp;"|"&amp;$D$3&amp;"|"&amp;$P12,'ASIGNACIONES'!$I$4:$I$339,0)),"")&amp;")")</f>
        <v/>
      </c>
      <c r="S12" s="17">
        <f>IF(AND($L$3&lt;&gt;"(todos)",$Q12&lt;&gt;$L$3),NA(),SUMIFS('ORDENES'!$M$4:$M$1203,'ORDENES'!$AB$4:$AB$1203,$P12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IF(AND($L$3&lt;&gt;"(todos)",$Q12&lt;&gt;$L$3),NA(),p_factor_productividad*SUMIFS('ASIGNACIONES'!$H$4:$H$339,'ASIGNACIONES'!$C$4:$C$339,$P12,'ASIGNACIONES'!$A$4:$A$339,IF($B$3="(todos)","*",$B$3),'ASIGNACIONES'!$B$4:$B$339,IF($D$3="(todos)","*",$D$3)))</f>
        <v/>
      </c>
    </row>
    <row r="13">
      <c r="P13" s="3" t="inlineStr">
        <is>
          <t>Técnico 10</t>
        </is>
      </c>
      <c r="Q13" s="3" t="inlineStr">
        <is>
          <t>OP</t>
        </is>
      </c>
      <c r="R13" s="3">
        <f>IF(OR($B$3="(todos)",$D$3="(todos)"),$P13,$P13&amp;" ("&amp;IFERROR(INDEX('ASIGNACIONES'!$F$4:$F$339,MATCH($B$3&amp;"|"&amp;$D$3&amp;"|"&amp;$P13,'ASIGNACIONES'!$I$4:$I$339,0)),"")&amp;")")</f>
        <v/>
      </c>
      <c r="S13" s="17">
        <f>IF(AND($L$3&lt;&gt;"(todos)",$Q13&lt;&gt;$L$3),NA(),SUMIFS('ORDENES'!$M$4:$M$1203,'ORDENES'!$AB$4:$AB$1203,$P13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IF(AND($L$3&lt;&gt;"(todos)",$Q13&lt;&gt;$L$3),NA(),p_factor_productividad*SUMIFS('ASIGNACIONES'!$H$4:$H$339,'ASIGNACIONES'!$C$4:$C$339,$P13,'ASIGNACIONES'!$A$4:$A$339,IF($B$3="(todos)","*",$B$3),'ASIGNACIONES'!$B$4:$B$339,IF($D$3="(todos)","*",$D$3)))</f>
        <v/>
      </c>
    </row>
    <row r="14">
      <c r="P14" s="3" t="inlineStr">
        <is>
          <t>Técnico 11</t>
        </is>
      </c>
      <c r="Q14" s="3" t="inlineStr">
        <is>
          <t>OP</t>
        </is>
      </c>
      <c r="R14" s="3">
        <f>IF(OR($B$3="(todos)",$D$3="(todos)"),$P14,$P14&amp;" ("&amp;IFERROR(INDEX('ASIGNACIONES'!$F$4:$F$339,MATCH($B$3&amp;"|"&amp;$D$3&amp;"|"&amp;$P14,'ASIGNACIONES'!$I$4:$I$339,0)),"")&amp;")")</f>
        <v/>
      </c>
      <c r="S14" s="17">
        <f>IF(AND($L$3&lt;&gt;"(todos)",$Q14&lt;&gt;$L$3),NA(),SUMIFS('ORDENES'!$M$4:$M$1203,'ORDENES'!$AB$4:$AB$1203,$P14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IF(AND($L$3&lt;&gt;"(todos)",$Q14&lt;&gt;$L$3),NA(),p_factor_productividad*SUMIFS('ASIGNACIONES'!$H$4:$H$339,'ASIGNACIONES'!$C$4:$C$339,$P14,'ASIGNACIONES'!$A$4:$A$339,IF($B$3="(todos)","*",$B$3),'ASIGNACIONES'!$B$4:$B$339,IF($D$3="(todos)","*",$D$3)))</f>
        <v/>
      </c>
    </row>
    <row r="15">
      <c r="P15" s="3" t="inlineStr">
        <is>
          <t>Técnico 12</t>
        </is>
      </c>
      <c r="Q15" s="3" t="inlineStr">
        <is>
          <t>OP</t>
        </is>
      </c>
      <c r="R15" s="3">
        <f>IF(OR($B$3="(todos)",$D$3="(todos)"),$P15,$P15&amp;" ("&amp;IFERROR(INDEX('ASIGNACIONES'!$F$4:$F$339,MATCH($B$3&amp;"|"&amp;$D$3&amp;"|"&amp;$P15,'ASIGNACIONES'!$I$4:$I$339,0)),"")&amp;")")</f>
        <v/>
      </c>
      <c r="S15" s="17">
        <f>IF(AND($L$3&lt;&gt;"(todos)",$Q15&lt;&gt;$L$3),NA(),SUMIFS('ORDENES'!$M$4:$M$1203,'ORDENES'!$AB$4:$AB$1203,$P15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IF(AND($L$3&lt;&gt;"(todos)",$Q15&lt;&gt;$L$3),NA(),p_factor_productividad*SUMIFS('ASIGNACIONES'!$H$4:$H$339,'ASIGNACIONES'!$C$4:$C$339,$P15,'ASIGNACIONES'!$A$4:$A$339,IF($B$3="(todos)","*",$B$3),'ASIGNACIONES'!$B$4:$B$339,IF($D$3="(todos)","*",$D$3)))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tecnico</t>
        </is>
      </c>
      <c r="H25" s="5" t="inlineStr">
        <is>
          <t>id_operacion</t>
        </is>
      </c>
      <c r="I25" s="5" t="inlineStr">
        <is>
          <t>descripcion_operacion</t>
        </is>
      </c>
      <c r="J25" s="5" t="inlineStr">
        <is>
          <t>equipo</t>
        </is>
      </c>
      <c r="K25" s="5" t="inlineStr">
        <is>
          <t>horas</t>
        </is>
      </c>
      <c r="L25" s="5" t="inlineStr">
        <is>
          <t>estado</t>
        </is>
      </c>
      <c r="M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IF('ORDENES'!$A4="","",IF('ORDENES'!$AC4="","-",'ORDENES'!$AC4))</f>
        <v/>
      </c>
      <c r="D26" s="3">
        <f>IF('ORDENES'!$A4="","",IF('ORDENES'!$V4="","-",'ORDENES'!$V4))</f>
        <v/>
      </c>
      <c r="E26" s="3">
        <f>IF('ORDENES'!$A4="","",IF('ORDENES'!$U4="","-",'ORDENES'!$U4))</f>
        <v/>
      </c>
      <c r="F26" s="3">
        <f>IF('ORDENES'!$A4="","",IF('ORDENES'!$W4="","-",'ORDENES'!$W4))</f>
        <v/>
      </c>
      <c r="G26" s="3">
        <f>IF('ORDENES'!$A4="","",IF('ORDENES'!$AB4="","-",'ORDENES'!$AB4))</f>
        <v/>
      </c>
      <c r="H26" s="3">
        <f>IF('ORDENES'!$A4="","",IF('ORDENES'!$AN4="","-",'ORDENES'!$AN4))</f>
        <v/>
      </c>
      <c r="I26" s="3">
        <f>IF('ORDENES'!$A4="","",IF('ORDENES'!$D4="","-",'ORDENES'!$D4))</f>
        <v/>
      </c>
      <c r="J26" s="3">
        <f>IF('ORDENES'!$A4="","",IF('ORDENES'!$E4="","-",'ORDENES'!$E4))</f>
        <v/>
      </c>
      <c r="K26" s="12">
        <f>IF('ORDENES'!$A4="","",IF('ORDENES'!$M4="",0,'ORDENES'!$M4))</f>
        <v/>
      </c>
      <c r="L26" s="3">
        <f>IF('ORDENES'!$A4="","",IF('ORDENES'!$N4="","-",'ORDENES'!$N4))</f>
        <v/>
      </c>
      <c r="M26" s="3">
        <f>IF('ORDENES'!$A4="","",'ORDENES'!$AA4)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IF('ORDENES'!$A5="","",IF('ORDENES'!$AC5="","-",'ORDENES'!$AC5))</f>
        <v/>
      </c>
      <c r="D27" s="3">
        <f>IF('ORDENES'!$A5="","",IF('ORDENES'!$V5="","-",'ORDENES'!$V5))</f>
        <v/>
      </c>
      <c r="E27" s="3">
        <f>IF('ORDENES'!$A5="","",IF('ORDENES'!$U5="","-",'ORDENES'!$U5))</f>
        <v/>
      </c>
      <c r="F27" s="3">
        <f>IF('ORDENES'!$A5="","",IF('ORDENES'!$W5="","-",'ORDENES'!$W5))</f>
        <v/>
      </c>
      <c r="G27" s="3">
        <f>IF('ORDENES'!$A5="","",IF('ORDENES'!$AB5="","-",'ORDENES'!$AB5))</f>
        <v/>
      </c>
      <c r="H27" s="3">
        <f>IF('ORDENES'!$A5="","",IF('ORDENES'!$AN5="","-",'ORDENES'!$AN5))</f>
        <v/>
      </c>
      <c r="I27" s="3">
        <f>IF('ORDENES'!$A5="","",IF('ORDENES'!$D5="","-",'ORDENES'!$D5))</f>
        <v/>
      </c>
      <c r="J27" s="3">
        <f>IF('ORDENES'!$A5="","",IF('ORDENES'!$E5="","-",'ORDENES'!$E5))</f>
        <v/>
      </c>
      <c r="K27" s="12">
        <f>IF('ORDENES'!$A5="","",IF('ORDENES'!$M5="",0,'ORDENES'!$M5))</f>
        <v/>
      </c>
      <c r="L27" s="3">
        <f>IF('ORDENES'!$A5="","",IF('ORDENES'!$N5="","-",'ORDENES'!$N5))</f>
        <v/>
      </c>
      <c r="M27" s="3">
        <f>IF('ORDENES'!$A5="","",'ORDENES'!$AA5)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IF('ORDENES'!$A6="","",IF('ORDENES'!$AC6="","-",'ORDENES'!$AC6))</f>
        <v/>
      </c>
      <c r="D28" s="3">
        <f>IF('ORDENES'!$A6="","",IF('ORDENES'!$V6="","-",'ORDENES'!$V6))</f>
        <v/>
      </c>
      <c r="E28" s="3">
        <f>IF('ORDENES'!$A6="","",IF('ORDENES'!$U6="","-",'ORDENES'!$U6))</f>
        <v/>
      </c>
      <c r="F28" s="3">
        <f>IF('ORDENES'!$A6="","",IF('ORDENES'!$W6="","-",'ORDENES'!$W6))</f>
        <v/>
      </c>
      <c r="G28" s="3">
        <f>IF('ORDENES'!$A6="","",IF('ORDENES'!$AB6="","-",'ORDENES'!$AB6))</f>
        <v/>
      </c>
      <c r="H28" s="3">
        <f>IF('ORDENES'!$A6="","",IF('ORDENES'!$AN6="","-",'ORDENES'!$AN6))</f>
        <v/>
      </c>
      <c r="I28" s="3">
        <f>IF('ORDENES'!$A6="","",IF('ORDENES'!$D6="","-",'ORDENES'!$D6))</f>
        <v/>
      </c>
      <c r="J28" s="3">
        <f>IF('ORDENES'!$A6="","",IF('ORDENES'!$E6="","-",'ORDENES'!$E6))</f>
        <v/>
      </c>
      <c r="K28" s="12">
        <f>IF('ORDENES'!$A6="","",IF('ORDENES'!$M6="",0,'ORDENES'!$M6))</f>
        <v/>
      </c>
      <c r="L28" s="3">
        <f>IF('ORDENES'!$A6="","",IF('ORDENES'!$N6="","-",'ORDENES'!$N6))</f>
        <v/>
      </c>
      <c r="M28" s="3">
        <f>IF('ORDENES'!$A6="","",'ORDENES'!$AA6)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IF('ORDENES'!$A7="","",IF('ORDENES'!$AC7="","-",'ORDENES'!$AC7))</f>
        <v/>
      </c>
      <c r="D29" s="3">
        <f>IF('ORDENES'!$A7="","",IF('ORDENES'!$V7="","-",'ORDENES'!$V7))</f>
        <v/>
      </c>
      <c r="E29" s="3">
        <f>IF('ORDENES'!$A7="","",IF('ORDENES'!$U7="","-",'ORDENES'!$U7))</f>
        <v/>
      </c>
      <c r="F29" s="3">
        <f>IF('ORDENES'!$A7="","",IF('ORDENES'!$W7="","-",'ORDENES'!$W7))</f>
        <v/>
      </c>
      <c r="G29" s="3">
        <f>IF('ORDENES'!$A7="","",IF('ORDENES'!$AB7="","-",'ORDENES'!$AB7))</f>
        <v/>
      </c>
      <c r="H29" s="3">
        <f>IF('ORDENES'!$A7="","",IF('ORDENES'!$AN7="","-",'ORDENES'!$AN7))</f>
        <v/>
      </c>
      <c r="I29" s="3">
        <f>IF('ORDENES'!$A7="","",IF('ORDENES'!$D7="","-",'ORDENES'!$D7))</f>
        <v/>
      </c>
      <c r="J29" s="3">
        <f>IF('ORDENES'!$A7="","",IF('ORDENES'!$E7="","-",'ORDENES'!$E7))</f>
        <v/>
      </c>
      <c r="K29" s="12">
        <f>IF('ORDENES'!$A7="","",IF('ORDENES'!$M7="",0,'ORDENES'!$M7))</f>
        <v/>
      </c>
      <c r="L29" s="3">
        <f>IF('ORDENES'!$A7="","",IF('ORDENES'!$N7="","-",'ORDENES'!$N7))</f>
        <v/>
      </c>
      <c r="M29" s="3">
        <f>IF('ORDENES'!$A7="","",'ORDENES'!$AA7)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IF('ORDENES'!$A8="","",IF('ORDENES'!$AC8="","-",'ORDENES'!$AC8))</f>
        <v/>
      </c>
      <c r="D30" s="3">
        <f>IF('ORDENES'!$A8="","",IF('ORDENES'!$V8="","-",'ORDENES'!$V8))</f>
        <v/>
      </c>
      <c r="E30" s="3">
        <f>IF('ORDENES'!$A8="","",IF('ORDENES'!$U8="","-",'ORDENES'!$U8))</f>
        <v/>
      </c>
      <c r="F30" s="3">
        <f>IF('ORDENES'!$A8="","",IF('ORDENES'!$W8="","-",'ORDENES'!$W8))</f>
        <v/>
      </c>
      <c r="G30" s="3">
        <f>IF('ORDENES'!$A8="","",IF('ORDENES'!$AB8="","-",'ORDENES'!$AB8))</f>
        <v/>
      </c>
      <c r="H30" s="3">
        <f>IF('ORDENES'!$A8="","",IF('ORDENES'!$AN8="","-",'ORDENES'!$AN8))</f>
        <v/>
      </c>
      <c r="I30" s="3">
        <f>IF('ORDENES'!$A8="","",IF('ORDENES'!$D8="","-",'ORDENES'!$D8))</f>
        <v/>
      </c>
      <c r="J30" s="3">
        <f>IF('ORDENES'!$A8="","",IF('ORDENES'!$E8="","-",'ORDENES'!$E8))</f>
        <v/>
      </c>
      <c r="K30" s="12">
        <f>IF('ORDENES'!$A8="","",IF('ORDENES'!$M8="",0,'ORDENES'!$M8))</f>
        <v/>
      </c>
      <c r="L30" s="3">
        <f>IF('ORDENES'!$A8="","",IF('ORDENES'!$N8="","-",'ORDENES'!$N8))</f>
        <v/>
      </c>
      <c r="M30" s="3">
        <f>IF('ORDENES'!$A8="","",'ORDENES'!$AA8)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IF('ORDENES'!$A9="","",IF('ORDENES'!$AC9="","-",'ORDENES'!$AC9))</f>
        <v/>
      </c>
      <c r="D31" s="3">
        <f>IF('ORDENES'!$A9="","",IF('ORDENES'!$V9="","-",'ORDENES'!$V9))</f>
        <v/>
      </c>
      <c r="E31" s="3">
        <f>IF('ORDENES'!$A9="","",IF('ORDENES'!$U9="","-",'ORDENES'!$U9))</f>
        <v/>
      </c>
      <c r="F31" s="3">
        <f>IF('ORDENES'!$A9="","",IF('ORDENES'!$W9="","-",'ORDENES'!$W9))</f>
        <v/>
      </c>
      <c r="G31" s="3">
        <f>IF('ORDENES'!$A9="","",IF('ORDENES'!$AB9="","-",'ORDENES'!$AB9))</f>
        <v/>
      </c>
      <c r="H31" s="3">
        <f>IF('ORDENES'!$A9="","",IF('ORDENES'!$AN9="","-",'ORDENES'!$AN9))</f>
        <v/>
      </c>
      <c r="I31" s="3">
        <f>IF('ORDENES'!$A9="","",IF('ORDENES'!$D9="","-",'ORDENES'!$D9))</f>
        <v/>
      </c>
      <c r="J31" s="3">
        <f>IF('ORDENES'!$A9="","",IF('ORDENES'!$E9="","-",'ORDENES'!$E9))</f>
        <v/>
      </c>
      <c r="K31" s="12">
        <f>IF('ORDENES'!$A9="","",IF('ORDENES'!$M9="",0,'ORDENES'!$M9))</f>
        <v/>
      </c>
      <c r="L31" s="3">
        <f>IF('ORDENES'!$A9="","",IF('ORDENES'!$N9="","-",'ORDENES'!$N9))</f>
        <v/>
      </c>
      <c r="M31" s="3">
        <f>IF('ORDENES'!$A9="","",'ORDENES'!$AA9)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IF('ORDENES'!$A10="","",IF('ORDENES'!$AC10="","-",'ORDENES'!$AC10))</f>
        <v/>
      </c>
      <c r="D32" s="3">
        <f>IF('ORDENES'!$A10="","",IF('ORDENES'!$V10="","-",'ORDENES'!$V10))</f>
        <v/>
      </c>
      <c r="E32" s="3">
        <f>IF('ORDENES'!$A10="","",IF('ORDENES'!$U10="","-",'ORDENES'!$U10))</f>
        <v/>
      </c>
      <c r="F32" s="3">
        <f>IF('ORDENES'!$A10="","",IF('ORDENES'!$W10="","-",'ORDENES'!$W10))</f>
        <v/>
      </c>
      <c r="G32" s="3">
        <f>IF('ORDENES'!$A10="","",IF('ORDENES'!$AB10="","-",'ORDENES'!$AB10))</f>
        <v/>
      </c>
      <c r="H32" s="3">
        <f>IF('ORDENES'!$A10="","",IF('ORDENES'!$AN10="","-",'ORDENES'!$AN10))</f>
        <v/>
      </c>
      <c r="I32" s="3">
        <f>IF('ORDENES'!$A10="","",IF('ORDENES'!$D10="","-",'ORDENES'!$D10))</f>
        <v/>
      </c>
      <c r="J32" s="3">
        <f>IF('ORDENES'!$A10="","",IF('ORDENES'!$E10="","-",'ORDENES'!$E10))</f>
        <v/>
      </c>
      <c r="K32" s="12">
        <f>IF('ORDENES'!$A10="","",IF('ORDENES'!$M10="",0,'ORDENES'!$M10))</f>
        <v/>
      </c>
      <c r="L32" s="3">
        <f>IF('ORDENES'!$A10="","",IF('ORDENES'!$N10="","-",'ORDENES'!$N10))</f>
        <v/>
      </c>
      <c r="M32" s="3">
        <f>IF('ORDENES'!$A10="","",'ORDENES'!$AA10)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IF('ORDENES'!$A11="","",IF('ORDENES'!$AC11="","-",'ORDENES'!$AC11))</f>
        <v/>
      </c>
      <c r="D33" s="3">
        <f>IF('ORDENES'!$A11="","",IF('ORDENES'!$V11="","-",'ORDENES'!$V11))</f>
        <v/>
      </c>
      <c r="E33" s="3">
        <f>IF('ORDENES'!$A11="","",IF('ORDENES'!$U11="","-",'ORDENES'!$U11))</f>
        <v/>
      </c>
      <c r="F33" s="3">
        <f>IF('ORDENES'!$A11="","",IF('ORDENES'!$W11="","-",'ORDENES'!$W11))</f>
        <v/>
      </c>
      <c r="G33" s="3">
        <f>IF('ORDENES'!$A11="","",IF('ORDENES'!$AB11="","-",'ORDENES'!$AB11))</f>
        <v/>
      </c>
      <c r="H33" s="3">
        <f>IF('ORDENES'!$A11="","",IF('ORDENES'!$AN11="","-",'ORDENES'!$AN11))</f>
        <v/>
      </c>
      <c r="I33" s="3">
        <f>IF('ORDENES'!$A11="","",IF('ORDENES'!$D11="","-",'ORDENES'!$D11))</f>
        <v/>
      </c>
      <c r="J33" s="3">
        <f>IF('ORDENES'!$A11="","",IF('ORDENES'!$E11="","-",'ORDENES'!$E11))</f>
        <v/>
      </c>
      <c r="K33" s="12">
        <f>IF('ORDENES'!$A11="","",IF('ORDENES'!$M11="",0,'ORDENES'!$M11))</f>
        <v/>
      </c>
      <c r="L33" s="3">
        <f>IF('ORDENES'!$A11="","",IF('ORDENES'!$N11="","-",'ORDENES'!$N11))</f>
        <v/>
      </c>
      <c r="M33" s="3">
        <f>IF('ORDENES'!$A11="","",'ORDENES'!$AA11)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IF('ORDENES'!$A12="","",IF('ORDENES'!$AC12="","-",'ORDENES'!$AC12))</f>
        <v/>
      </c>
      <c r="D34" s="3">
        <f>IF('ORDENES'!$A12="","",IF('ORDENES'!$V12="","-",'ORDENES'!$V12))</f>
        <v/>
      </c>
      <c r="E34" s="3">
        <f>IF('ORDENES'!$A12="","",IF('ORDENES'!$U12="","-",'ORDENES'!$U12))</f>
        <v/>
      </c>
      <c r="F34" s="3">
        <f>IF('ORDENES'!$A12="","",IF('ORDENES'!$W12="","-",'ORDENES'!$W12))</f>
        <v/>
      </c>
      <c r="G34" s="3">
        <f>IF('ORDENES'!$A12="","",IF('ORDENES'!$AB12="","-",'ORDENES'!$AB12))</f>
        <v/>
      </c>
      <c r="H34" s="3">
        <f>IF('ORDENES'!$A12="","",IF('ORDENES'!$AN12="","-",'ORDENES'!$AN12))</f>
        <v/>
      </c>
      <c r="I34" s="3">
        <f>IF('ORDENES'!$A12="","",IF('ORDENES'!$D12="","-",'ORDENES'!$D12))</f>
        <v/>
      </c>
      <c r="J34" s="3">
        <f>IF('ORDENES'!$A12="","",IF('ORDENES'!$E12="","-",'ORDENES'!$E12))</f>
        <v/>
      </c>
      <c r="K34" s="12">
        <f>IF('ORDENES'!$A12="","",IF('ORDENES'!$M12="",0,'ORDENES'!$M12))</f>
        <v/>
      </c>
      <c r="L34" s="3">
        <f>IF('ORDENES'!$A12="","",IF('ORDENES'!$N12="","-",'ORDENES'!$N12))</f>
        <v/>
      </c>
      <c r="M34" s="3">
        <f>IF('ORDENES'!$A12="","",'ORDENES'!$AA12)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IF('ORDENES'!$A13="","",IF('ORDENES'!$AC13="","-",'ORDENES'!$AC13))</f>
        <v/>
      </c>
      <c r="D35" s="3">
        <f>IF('ORDENES'!$A13="","",IF('ORDENES'!$V13="","-",'ORDENES'!$V13))</f>
        <v/>
      </c>
      <c r="E35" s="3">
        <f>IF('ORDENES'!$A13="","",IF('ORDENES'!$U13="","-",'ORDENES'!$U13))</f>
        <v/>
      </c>
      <c r="F35" s="3">
        <f>IF('ORDENES'!$A13="","",IF('ORDENES'!$W13="","-",'ORDENES'!$W13))</f>
        <v/>
      </c>
      <c r="G35" s="3">
        <f>IF('ORDENES'!$A13="","",IF('ORDENES'!$AB13="","-",'ORDENES'!$AB13))</f>
        <v/>
      </c>
      <c r="H35" s="3">
        <f>IF('ORDENES'!$A13="","",IF('ORDENES'!$AN13="","-",'ORDENES'!$AN13))</f>
        <v/>
      </c>
      <c r="I35" s="3">
        <f>IF('ORDENES'!$A13="","",IF('ORDENES'!$D13="","-",'ORDENES'!$D13))</f>
        <v/>
      </c>
      <c r="J35" s="3">
        <f>IF('ORDENES'!$A13="","",IF('ORDENES'!$E13="","-",'ORDENES'!$E13))</f>
        <v/>
      </c>
      <c r="K35" s="12">
        <f>IF('ORDENES'!$A13="","",IF('ORDENES'!$M13="",0,'ORDENES'!$M13))</f>
        <v/>
      </c>
      <c r="L35" s="3">
        <f>IF('ORDENES'!$A13="","",IF('ORDENES'!$N13="","-",'ORDENES'!$N13))</f>
        <v/>
      </c>
      <c r="M35" s="3">
        <f>IF('ORDENES'!$A13="","",'ORDENES'!$AA13)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IF('ORDENES'!$A14="","",IF('ORDENES'!$AC14="","-",'ORDENES'!$AC14))</f>
        <v/>
      </c>
      <c r="D36" s="3">
        <f>IF('ORDENES'!$A14="","",IF('ORDENES'!$V14="","-",'ORDENES'!$V14))</f>
        <v/>
      </c>
      <c r="E36" s="3">
        <f>IF('ORDENES'!$A14="","",IF('ORDENES'!$U14="","-",'ORDENES'!$U14))</f>
        <v/>
      </c>
      <c r="F36" s="3">
        <f>IF('ORDENES'!$A14="","",IF('ORDENES'!$W14="","-",'ORDENES'!$W14))</f>
        <v/>
      </c>
      <c r="G36" s="3">
        <f>IF('ORDENES'!$A14="","",IF('ORDENES'!$AB14="","-",'ORDENES'!$AB14))</f>
        <v/>
      </c>
      <c r="H36" s="3">
        <f>IF('ORDENES'!$A14="","",IF('ORDENES'!$AN14="","-",'ORDENES'!$AN14))</f>
        <v/>
      </c>
      <c r="I36" s="3">
        <f>IF('ORDENES'!$A14="","",IF('ORDENES'!$D14="","-",'ORDENES'!$D14))</f>
        <v/>
      </c>
      <c r="J36" s="3">
        <f>IF('ORDENES'!$A14="","",IF('ORDENES'!$E14="","-",'ORDENES'!$E14))</f>
        <v/>
      </c>
      <c r="K36" s="12">
        <f>IF('ORDENES'!$A14="","",IF('ORDENES'!$M14="",0,'ORDENES'!$M14))</f>
        <v/>
      </c>
      <c r="L36" s="3">
        <f>IF('ORDENES'!$A14="","",IF('ORDENES'!$N14="","-",'ORDENES'!$N14))</f>
        <v/>
      </c>
      <c r="M36" s="3">
        <f>IF('ORDENES'!$A14="","",'ORDENES'!$AA14)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IF('ORDENES'!$A15="","",IF('ORDENES'!$AC15="","-",'ORDENES'!$AC15))</f>
        <v/>
      </c>
      <c r="D37" s="3">
        <f>IF('ORDENES'!$A15="","",IF('ORDENES'!$V15="","-",'ORDENES'!$V15))</f>
        <v/>
      </c>
      <c r="E37" s="3">
        <f>IF('ORDENES'!$A15="","",IF('ORDENES'!$U15="","-",'ORDENES'!$U15))</f>
        <v/>
      </c>
      <c r="F37" s="3">
        <f>IF('ORDENES'!$A15="","",IF('ORDENES'!$W15="","-",'ORDENES'!$W15))</f>
        <v/>
      </c>
      <c r="G37" s="3">
        <f>IF('ORDENES'!$A15="","",IF('ORDENES'!$AB15="","-",'ORDENES'!$AB15))</f>
        <v/>
      </c>
      <c r="H37" s="3">
        <f>IF('ORDENES'!$A15="","",IF('ORDENES'!$AN15="","-",'ORDENES'!$AN15))</f>
        <v/>
      </c>
      <c r="I37" s="3">
        <f>IF('ORDENES'!$A15="","",IF('ORDENES'!$D15="","-",'ORDENES'!$D15))</f>
        <v/>
      </c>
      <c r="J37" s="3">
        <f>IF('ORDENES'!$A15="","",IF('ORDENES'!$E15="","-",'ORDENES'!$E15))</f>
        <v/>
      </c>
      <c r="K37" s="12">
        <f>IF('ORDENES'!$A15="","",IF('ORDENES'!$M15="",0,'ORDENES'!$M15))</f>
        <v/>
      </c>
      <c r="L37" s="3">
        <f>IF('ORDENES'!$A15="","",IF('ORDENES'!$N15="","-",'ORDENES'!$N15))</f>
        <v/>
      </c>
      <c r="M37" s="3">
        <f>IF('ORDENES'!$A15="","",'ORDENES'!$AA15)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IF('ORDENES'!$A16="","",IF('ORDENES'!$AC16="","-",'ORDENES'!$AC16))</f>
        <v/>
      </c>
      <c r="D38" s="3">
        <f>IF('ORDENES'!$A16="","",IF('ORDENES'!$V16="","-",'ORDENES'!$V16))</f>
        <v/>
      </c>
      <c r="E38" s="3">
        <f>IF('ORDENES'!$A16="","",IF('ORDENES'!$U16="","-",'ORDENES'!$U16))</f>
        <v/>
      </c>
      <c r="F38" s="3">
        <f>IF('ORDENES'!$A16="","",IF('ORDENES'!$W16="","-",'ORDENES'!$W16))</f>
        <v/>
      </c>
      <c r="G38" s="3">
        <f>IF('ORDENES'!$A16="","",IF('ORDENES'!$AB16="","-",'ORDENES'!$AB16))</f>
        <v/>
      </c>
      <c r="H38" s="3">
        <f>IF('ORDENES'!$A16="","",IF('ORDENES'!$AN16="","-",'ORDENES'!$AN16))</f>
        <v/>
      </c>
      <c r="I38" s="3">
        <f>IF('ORDENES'!$A16="","",IF('ORDENES'!$D16="","-",'ORDENES'!$D16))</f>
        <v/>
      </c>
      <c r="J38" s="3">
        <f>IF('ORDENES'!$A16="","",IF('ORDENES'!$E16="","-",'ORDENES'!$E16))</f>
        <v/>
      </c>
      <c r="K38" s="12">
        <f>IF('ORDENES'!$A16="","",IF('ORDENES'!$M16="",0,'ORDENES'!$M16))</f>
        <v/>
      </c>
      <c r="L38" s="3">
        <f>IF('ORDENES'!$A16="","",IF('ORDENES'!$N16="","-",'ORDENES'!$N16))</f>
        <v/>
      </c>
      <c r="M38" s="3">
        <f>IF('ORDENES'!$A16="","",'ORDENES'!$AA16)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IF('ORDENES'!$A17="","",IF('ORDENES'!$AC17="","-",'ORDENES'!$AC17))</f>
        <v/>
      </c>
      <c r="D39" s="3">
        <f>IF('ORDENES'!$A17="","",IF('ORDENES'!$V17="","-",'ORDENES'!$V17))</f>
        <v/>
      </c>
      <c r="E39" s="3">
        <f>IF('ORDENES'!$A17="","",IF('ORDENES'!$U17="","-",'ORDENES'!$U17))</f>
        <v/>
      </c>
      <c r="F39" s="3">
        <f>IF('ORDENES'!$A17="","",IF('ORDENES'!$W17="","-",'ORDENES'!$W17))</f>
        <v/>
      </c>
      <c r="G39" s="3">
        <f>IF('ORDENES'!$A17="","",IF('ORDENES'!$AB17="","-",'ORDENES'!$AB17))</f>
        <v/>
      </c>
      <c r="H39" s="3">
        <f>IF('ORDENES'!$A17="","",IF('ORDENES'!$AN17="","-",'ORDENES'!$AN17))</f>
        <v/>
      </c>
      <c r="I39" s="3">
        <f>IF('ORDENES'!$A17="","",IF('ORDENES'!$D17="","-",'ORDENES'!$D17))</f>
        <v/>
      </c>
      <c r="J39" s="3">
        <f>IF('ORDENES'!$A17="","",IF('ORDENES'!$E17="","-",'ORDENES'!$E17))</f>
        <v/>
      </c>
      <c r="K39" s="12">
        <f>IF('ORDENES'!$A17="","",IF('ORDENES'!$M17="",0,'ORDENES'!$M17))</f>
        <v/>
      </c>
      <c r="L39" s="3">
        <f>IF('ORDENES'!$A17="","",IF('ORDENES'!$N17="","-",'ORDENES'!$N17))</f>
        <v/>
      </c>
      <c r="M39" s="3">
        <f>IF('ORDENES'!$A17="","",'ORDENES'!$AA17)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IF('ORDENES'!$A18="","",IF('ORDENES'!$AC18="","-",'ORDENES'!$AC18))</f>
        <v/>
      </c>
      <c r="D40" s="3">
        <f>IF('ORDENES'!$A18="","",IF('ORDENES'!$V18="","-",'ORDENES'!$V18))</f>
        <v/>
      </c>
      <c r="E40" s="3">
        <f>IF('ORDENES'!$A18="","",IF('ORDENES'!$U18="","-",'ORDENES'!$U18))</f>
        <v/>
      </c>
      <c r="F40" s="3">
        <f>IF('ORDENES'!$A18="","",IF('ORDENES'!$W18="","-",'ORDENES'!$W18))</f>
        <v/>
      </c>
      <c r="G40" s="3">
        <f>IF('ORDENES'!$A18="","",IF('ORDENES'!$AB18="","-",'ORDENES'!$AB18))</f>
        <v/>
      </c>
      <c r="H40" s="3">
        <f>IF('ORDENES'!$A18="","",IF('ORDENES'!$AN18="","-",'ORDENES'!$AN18))</f>
        <v/>
      </c>
      <c r="I40" s="3">
        <f>IF('ORDENES'!$A18="","",IF('ORDENES'!$D18="","-",'ORDENES'!$D18))</f>
        <v/>
      </c>
      <c r="J40" s="3">
        <f>IF('ORDENES'!$A18="","",IF('ORDENES'!$E18="","-",'ORDENES'!$E18))</f>
        <v/>
      </c>
      <c r="K40" s="12">
        <f>IF('ORDENES'!$A18="","",IF('ORDENES'!$M18="",0,'ORDENES'!$M18))</f>
        <v/>
      </c>
      <c r="L40" s="3">
        <f>IF('ORDENES'!$A18="","",IF('ORDENES'!$N18="","-",'ORDENES'!$N18))</f>
        <v/>
      </c>
      <c r="M40" s="3">
        <f>IF('ORDENES'!$A18="","",'ORDENES'!$AA18)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IF('ORDENES'!$A19="","",IF('ORDENES'!$AC19="","-",'ORDENES'!$AC19))</f>
        <v/>
      </c>
      <c r="D41" s="3">
        <f>IF('ORDENES'!$A19="","",IF('ORDENES'!$V19="","-",'ORDENES'!$V19))</f>
        <v/>
      </c>
      <c r="E41" s="3">
        <f>IF('ORDENES'!$A19="","",IF('ORDENES'!$U19="","-",'ORDENES'!$U19))</f>
        <v/>
      </c>
      <c r="F41" s="3">
        <f>IF('ORDENES'!$A19="","",IF('ORDENES'!$W19="","-",'ORDENES'!$W19))</f>
        <v/>
      </c>
      <c r="G41" s="3">
        <f>IF('ORDENES'!$A19="","",IF('ORDENES'!$AB19="","-",'ORDENES'!$AB19))</f>
        <v/>
      </c>
      <c r="H41" s="3">
        <f>IF('ORDENES'!$A19="","",IF('ORDENES'!$AN19="","-",'ORDENES'!$AN19))</f>
        <v/>
      </c>
      <c r="I41" s="3">
        <f>IF('ORDENES'!$A19="","",IF('ORDENES'!$D19="","-",'ORDENES'!$D19))</f>
        <v/>
      </c>
      <c r="J41" s="3">
        <f>IF('ORDENES'!$A19="","",IF('ORDENES'!$E19="","-",'ORDENES'!$E19))</f>
        <v/>
      </c>
      <c r="K41" s="12">
        <f>IF('ORDENES'!$A19="","",IF('ORDENES'!$M19="",0,'ORDENES'!$M19))</f>
        <v/>
      </c>
      <c r="L41" s="3">
        <f>IF('ORDENES'!$A19="","",IF('ORDENES'!$N19="","-",'ORDENES'!$N19))</f>
        <v/>
      </c>
      <c r="M41" s="3">
        <f>IF('ORDENES'!$A19="","",'ORDENES'!$AA19)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IF('ORDENES'!$A20="","",IF('ORDENES'!$AC20="","-",'ORDENES'!$AC20))</f>
        <v/>
      </c>
      <c r="D42" s="3">
        <f>IF('ORDENES'!$A20="","",IF('ORDENES'!$V20="","-",'ORDENES'!$V20))</f>
        <v/>
      </c>
      <c r="E42" s="3">
        <f>IF('ORDENES'!$A20="","",IF('ORDENES'!$U20="","-",'ORDENES'!$U20))</f>
        <v/>
      </c>
      <c r="F42" s="3">
        <f>IF('ORDENES'!$A20="","",IF('ORDENES'!$W20="","-",'ORDENES'!$W20))</f>
        <v/>
      </c>
      <c r="G42" s="3">
        <f>IF('ORDENES'!$A20="","",IF('ORDENES'!$AB20="","-",'ORDENES'!$AB20))</f>
        <v/>
      </c>
      <c r="H42" s="3">
        <f>IF('ORDENES'!$A20="","",IF('ORDENES'!$AN20="","-",'ORDENES'!$AN20))</f>
        <v/>
      </c>
      <c r="I42" s="3">
        <f>IF('ORDENES'!$A20="","",IF('ORDENES'!$D20="","-",'ORDENES'!$D20))</f>
        <v/>
      </c>
      <c r="J42" s="3">
        <f>IF('ORDENES'!$A20="","",IF('ORDENES'!$E20="","-",'ORDENES'!$E20))</f>
        <v/>
      </c>
      <c r="K42" s="12">
        <f>IF('ORDENES'!$A20="","",IF('ORDENES'!$M20="",0,'ORDENES'!$M20))</f>
        <v/>
      </c>
      <c r="L42" s="3">
        <f>IF('ORDENES'!$A20="","",IF('ORDENES'!$N20="","-",'ORDENES'!$N20))</f>
        <v/>
      </c>
      <c r="M42" s="3">
        <f>IF('ORDENES'!$A20="","",'ORDENES'!$AA20)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IF('ORDENES'!$A21="","",IF('ORDENES'!$AC21="","-",'ORDENES'!$AC21))</f>
        <v/>
      </c>
      <c r="D43" s="3">
        <f>IF('ORDENES'!$A21="","",IF('ORDENES'!$V21="","-",'ORDENES'!$V21))</f>
        <v/>
      </c>
      <c r="E43" s="3">
        <f>IF('ORDENES'!$A21="","",IF('ORDENES'!$U21="","-",'ORDENES'!$U21))</f>
        <v/>
      </c>
      <c r="F43" s="3">
        <f>IF('ORDENES'!$A21="","",IF('ORDENES'!$W21="","-",'ORDENES'!$W21))</f>
        <v/>
      </c>
      <c r="G43" s="3">
        <f>IF('ORDENES'!$A21="","",IF('ORDENES'!$AB21="","-",'ORDENES'!$AB21))</f>
        <v/>
      </c>
      <c r="H43" s="3">
        <f>IF('ORDENES'!$A21="","",IF('ORDENES'!$AN21="","-",'ORDENES'!$AN21))</f>
        <v/>
      </c>
      <c r="I43" s="3">
        <f>IF('ORDENES'!$A21="","",IF('ORDENES'!$D21="","-",'ORDENES'!$D21))</f>
        <v/>
      </c>
      <c r="J43" s="3">
        <f>IF('ORDENES'!$A21="","",IF('ORDENES'!$E21="","-",'ORDENES'!$E21))</f>
        <v/>
      </c>
      <c r="K43" s="12">
        <f>IF('ORDENES'!$A21="","",IF('ORDENES'!$M21="",0,'ORDENES'!$M21))</f>
        <v/>
      </c>
      <c r="L43" s="3">
        <f>IF('ORDENES'!$A21="","",IF('ORDENES'!$N21="","-",'ORDENES'!$N21))</f>
        <v/>
      </c>
      <c r="M43" s="3">
        <f>IF('ORDENES'!$A21="","",'ORDENES'!$AA21)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IF('ORDENES'!$A22="","",IF('ORDENES'!$AC22="","-",'ORDENES'!$AC22))</f>
        <v/>
      </c>
      <c r="D44" s="3">
        <f>IF('ORDENES'!$A22="","",IF('ORDENES'!$V22="","-",'ORDENES'!$V22))</f>
        <v/>
      </c>
      <c r="E44" s="3">
        <f>IF('ORDENES'!$A22="","",IF('ORDENES'!$U22="","-",'ORDENES'!$U22))</f>
        <v/>
      </c>
      <c r="F44" s="3">
        <f>IF('ORDENES'!$A22="","",IF('ORDENES'!$W22="","-",'ORDENES'!$W22))</f>
        <v/>
      </c>
      <c r="G44" s="3">
        <f>IF('ORDENES'!$A22="","",IF('ORDENES'!$AB22="","-",'ORDENES'!$AB22))</f>
        <v/>
      </c>
      <c r="H44" s="3">
        <f>IF('ORDENES'!$A22="","",IF('ORDENES'!$AN22="","-",'ORDENES'!$AN22))</f>
        <v/>
      </c>
      <c r="I44" s="3">
        <f>IF('ORDENES'!$A22="","",IF('ORDENES'!$D22="","-",'ORDENES'!$D22))</f>
        <v/>
      </c>
      <c r="J44" s="3">
        <f>IF('ORDENES'!$A22="","",IF('ORDENES'!$E22="","-",'ORDENES'!$E22))</f>
        <v/>
      </c>
      <c r="K44" s="12">
        <f>IF('ORDENES'!$A22="","",IF('ORDENES'!$M22="",0,'ORDENES'!$M22))</f>
        <v/>
      </c>
      <c r="L44" s="3">
        <f>IF('ORDENES'!$A22="","",IF('ORDENES'!$N22="","-",'ORDENES'!$N22))</f>
        <v/>
      </c>
      <c r="M44" s="3">
        <f>IF('ORDENES'!$A22="","",'ORDENES'!$AA22)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IF('ORDENES'!$A23="","",IF('ORDENES'!$AC23="","-",'ORDENES'!$AC23))</f>
        <v/>
      </c>
      <c r="D45" s="3">
        <f>IF('ORDENES'!$A23="","",IF('ORDENES'!$V23="","-",'ORDENES'!$V23))</f>
        <v/>
      </c>
      <c r="E45" s="3">
        <f>IF('ORDENES'!$A23="","",IF('ORDENES'!$U23="","-",'ORDENES'!$U23))</f>
        <v/>
      </c>
      <c r="F45" s="3">
        <f>IF('ORDENES'!$A23="","",IF('ORDENES'!$W23="","-",'ORDENES'!$W23))</f>
        <v/>
      </c>
      <c r="G45" s="3">
        <f>IF('ORDENES'!$A23="","",IF('ORDENES'!$AB23="","-",'ORDENES'!$AB23))</f>
        <v/>
      </c>
      <c r="H45" s="3">
        <f>IF('ORDENES'!$A23="","",IF('ORDENES'!$AN23="","-",'ORDENES'!$AN23))</f>
        <v/>
      </c>
      <c r="I45" s="3">
        <f>IF('ORDENES'!$A23="","",IF('ORDENES'!$D23="","-",'ORDENES'!$D23))</f>
        <v/>
      </c>
      <c r="J45" s="3">
        <f>IF('ORDENES'!$A23="","",IF('ORDENES'!$E23="","-",'ORDENES'!$E23))</f>
        <v/>
      </c>
      <c r="K45" s="12">
        <f>IF('ORDENES'!$A23="","",IF('ORDENES'!$M23="",0,'ORDENES'!$M23))</f>
        <v/>
      </c>
      <c r="L45" s="3">
        <f>IF('ORDENES'!$A23="","",IF('ORDENES'!$N23="","-",'ORDENES'!$N23))</f>
        <v/>
      </c>
      <c r="M45" s="3">
        <f>IF('ORDENES'!$A23="","",'ORDENES'!$AA23)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IF('ORDENES'!$A24="","",IF('ORDENES'!$AC24="","-",'ORDENES'!$AC24))</f>
        <v/>
      </c>
      <c r="D46" s="3">
        <f>IF('ORDENES'!$A24="","",IF('ORDENES'!$V24="","-",'ORDENES'!$V24))</f>
        <v/>
      </c>
      <c r="E46" s="3">
        <f>IF('ORDENES'!$A24="","",IF('ORDENES'!$U24="","-",'ORDENES'!$U24))</f>
        <v/>
      </c>
      <c r="F46" s="3">
        <f>IF('ORDENES'!$A24="","",IF('ORDENES'!$W24="","-",'ORDENES'!$W24))</f>
        <v/>
      </c>
      <c r="G46" s="3">
        <f>IF('ORDENES'!$A24="","",IF('ORDENES'!$AB24="","-",'ORDENES'!$AB24))</f>
        <v/>
      </c>
      <c r="H46" s="3">
        <f>IF('ORDENES'!$A24="","",IF('ORDENES'!$AN24="","-",'ORDENES'!$AN24))</f>
        <v/>
      </c>
      <c r="I46" s="3">
        <f>IF('ORDENES'!$A24="","",IF('ORDENES'!$D24="","-",'ORDENES'!$D24))</f>
        <v/>
      </c>
      <c r="J46" s="3">
        <f>IF('ORDENES'!$A24="","",IF('ORDENES'!$E24="","-",'ORDENES'!$E24))</f>
        <v/>
      </c>
      <c r="K46" s="12">
        <f>IF('ORDENES'!$A24="","",IF('ORDENES'!$M24="",0,'ORDENES'!$M24))</f>
        <v/>
      </c>
      <c r="L46" s="3">
        <f>IF('ORDENES'!$A24="","",IF('ORDENES'!$N24="","-",'ORDENES'!$N24))</f>
        <v/>
      </c>
      <c r="M46" s="3">
        <f>IF('ORDENES'!$A24="","",'ORDENES'!$AA24)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IF('ORDENES'!$A25="","",IF('ORDENES'!$AC25="","-",'ORDENES'!$AC25))</f>
        <v/>
      </c>
      <c r="D47" s="3">
        <f>IF('ORDENES'!$A25="","",IF('ORDENES'!$V25="","-",'ORDENES'!$V25))</f>
        <v/>
      </c>
      <c r="E47" s="3">
        <f>IF('ORDENES'!$A25="","",IF('ORDENES'!$U25="","-",'ORDENES'!$U25))</f>
        <v/>
      </c>
      <c r="F47" s="3">
        <f>IF('ORDENES'!$A25="","",IF('ORDENES'!$W25="","-",'ORDENES'!$W25))</f>
        <v/>
      </c>
      <c r="G47" s="3">
        <f>IF('ORDENES'!$A25="","",IF('ORDENES'!$AB25="","-",'ORDENES'!$AB25))</f>
        <v/>
      </c>
      <c r="H47" s="3">
        <f>IF('ORDENES'!$A25="","",IF('ORDENES'!$AN25="","-",'ORDENES'!$AN25))</f>
        <v/>
      </c>
      <c r="I47" s="3">
        <f>IF('ORDENES'!$A25="","",IF('ORDENES'!$D25="","-",'ORDENES'!$D25))</f>
        <v/>
      </c>
      <c r="J47" s="3">
        <f>IF('ORDENES'!$A25="","",IF('ORDENES'!$E25="","-",'ORDENES'!$E25))</f>
        <v/>
      </c>
      <c r="K47" s="12">
        <f>IF('ORDENES'!$A25="","",IF('ORDENES'!$M25="",0,'ORDENES'!$M25))</f>
        <v/>
      </c>
      <c r="L47" s="3">
        <f>IF('ORDENES'!$A25="","",IF('ORDENES'!$N25="","-",'ORDENES'!$N25))</f>
        <v/>
      </c>
      <c r="M47" s="3">
        <f>IF('ORDENES'!$A25="","",'ORDENES'!$AA25)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IF('ORDENES'!$A26="","",IF('ORDENES'!$AC26="","-",'ORDENES'!$AC26))</f>
        <v/>
      </c>
      <c r="D48" s="3">
        <f>IF('ORDENES'!$A26="","",IF('ORDENES'!$V26="","-",'ORDENES'!$V26))</f>
        <v/>
      </c>
      <c r="E48" s="3">
        <f>IF('ORDENES'!$A26="","",IF('ORDENES'!$U26="","-",'ORDENES'!$U26))</f>
        <v/>
      </c>
      <c r="F48" s="3">
        <f>IF('ORDENES'!$A26="","",IF('ORDENES'!$W26="","-",'ORDENES'!$W26))</f>
        <v/>
      </c>
      <c r="G48" s="3">
        <f>IF('ORDENES'!$A26="","",IF('ORDENES'!$AB26="","-",'ORDENES'!$AB26))</f>
        <v/>
      </c>
      <c r="H48" s="3">
        <f>IF('ORDENES'!$A26="","",IF('ORDENES'!$AN26="","-",'ORDENES'!$AN26))</f>
        <v/>
      </c>
      <c r="I48" s="3">
        <f>IF('ORDENES'!$A26="","",IF('ORDENES'!$D26="","-",'ORDENES'!$D26))</f>
        <v/>
      </c>
      <c r="J48" s="3">
        <f>IF('ORDENES'!$A26="","",IF('ORDENES'!$E26="","-",'ORDENES'!$E26))</f>
        <v/>
      </c>
      <c r="K48" s="12">
        <f>IF('ORDENES'!$A26="","",IF('ORDENES'!$M26="",0,'ORDENES'!$M26))</f>
        <v/>
      </c>
      <c r="L48" s="3">
        <f>IF('ORDENES'!$A26="","",IF('ORDENES'!$N26="","-",'ORDENES'!$N26))</f>
        <v/>
      </c>
      <c r="M48" s="3">
        <f>IF('ORDENES'!$A26="","",'ORDENES'!$AA26)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IF('ORDENES'!$A27="","",IF('ORDENES'!$AC27="","-",'ORDENES'!$AC27))</f>
        <v/>
      </c>
      <c r="D49" s="3">
        <f>IF('ORDENES'!$A27="","",IF('ORDENES'!$V27="","-",'ORDENES'!$V27))</f>
        <v/>
      </c>
      <c r="E49" s="3">
        <f>IF('ORDENES'!$A27="","",IF('ORDENES'!$U27="","-",'ORDENES'!$U27))</f>
        <v/>
      </c>
      <c r="F49" s="3">
        <f>IF('ORDENES'!$A27="","",IF('ORDENES'!$W27="","-",'ORDENES'!$W27))</f>
        <v/>
      </c>
      <c r="G49" s="3">
        <f>IF('ORDENES'!$A27="","",IF('ORDENES'!$AB27="","-",'ORDENES'!$AB27))</f>
        <v/>
      </c>
      <c r="H49" s="3">
        <f>IF('ORDENES'!$A27="","",IF('ORDENES'!$AN27="","-",'ORDENES'!$AN27))</f>
        <v/>
      </c>
      <c r="I49" s="3">
        <f>IF('ORDENES'!$A27="","",IF('ORDENES'!$D27="","-",'ORDENES'!$D27))</f>
        <v/>
      </c>
      <c r="J49" s="3">
        <f>IF('ORDENES'!$A27="","",IF('ORDENES'!$E27="","-",'ORDENES'!$E27))</f>
        <v/>
      </c>
      <c r="K49" s="12">
        <f>IF('ORDENES'!$A27="","",IF('ORDENES'!$M27="",0,'ORDENES'!$M27))</f>
        <v/>
      </c>
      <c r="L49" s="3">
        <f>IF('ORDENES'!$A27="","",IF('ORDENES'!$N27="","-",'ORDENES'!$N27))</f>
        <v/>
      </c>
      <c r="M49" s="3">
        <f>IF('ORDENES'!$A27="","",'ORDENES'!$AA27)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IF('ORDENES'!$A28="","",IF('ORDENES'!$AC28="","-",'ORDENES'!$AC28))</f>
        <v/>
      </c>
      <c r="D50" s="3">
        <f>IF('ORDENES'!$A28="","",IF('ORDENES'!$V28="","-",'ORDENES'!$V28))</f>
        <v/>
      </c>
      <c r="E50" s="3">
        <f>IF('ORDENES'!$A28="","",IF('ORDENES'!$U28="","-",'ORDENES'!$U28))</f>
        <v/>
      </c>
      <c r="F50" s="3">
        <f>IF('ORDENES'!$A28="","",IF('ORDENES'!$W28="","-",'ORDENES'!$W28))</f>
        <v/>
      </c>
      <c r="G50" s="3">
        <f>IF('ORDENES'!$A28="","",IF('ORDENES'!$AB28="","-",'ORDENES'!$AB28))</f>
        <v/>
      </c>
      <c r="H50" s="3">
        <f>IF('ORDENES'!$A28="","",IF('ORDENES'!$AN28="","-",'ORDENES'!$AN28))</f>
        <v/>
      </c>
      <c r="I50" s="3">
        <f>IF('ORDENES'!$A28="","",IF('ORDENES'!$D28="","-",'ORDENES'!$D28))</f>
        <v/>
      </c>
      <c r="J50" s="3">
        <f>IF('ORDENES'!$A28="","",IF('ORDENES'!$E28="","-",'ORDENES'!$E28))</f>
        <v/>
      </c>
      <c r="K50" s="12">
        <f>IF('ORDENES'!$A28="","",IF('ORDENES'!$M28="",0,'ORDENES'!$M28))</f>
        <v/>
      </c>
      <c r="L50" s="3">
        <f>IF('ORDENES'!$A28="","",IF('ORDENES'!$N28="","-",'ORDENES'!$N28))</f>
        <v/>
      </c>
      <c r="M50" s="3">
        <f>IF('ORDENES'!$A28="","",'ORDENES'!$AA28)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IF('ORDENES'!$A29="","",IF('ORDENES'!$AC29="","-",'ORDENES'!$AC29))</f>
        <v/>
      </c>
      <c r="D51" s="3">
        <f>IF('ORDENES'!$A29="","",IF('ORDENES'!$V29="","-",'ORDENES'!$V29))</f>
        <v/>
      </c>
      <c r="E51" s="3">
        <f>IF('ORDENES'!$A29="","",IF('ORDENES'!$U29="","-",'ORDENES'!$U29))</f>
        <v/>
      </c>
      <c r="F51" s="3">
        <f>IF('ORDENES'!$A29="","",IF('ORDENES'!$W29="","-",'ORDENES'!$W29))</f>
        <v/>
      </c>
      <c r="G51" s="3">
        <f>IF('ORDENES'!$A29="","",IF('ORDENES'!$AB29="","-",'ORDENES'!$AB29))</f>
        <v/>
      </c>
      <c r="H51" s="3">
        <f>IF('ORDENES'!$A29="","",IF('ORDENES'!$AN29="","-",'ORDENES'!$AN29))</f>
        <v/>
      </c>
      <c r="I51" s="3">
        <f>IF('ORDENES'!$A29="","",IF('ORDENES'!$D29="","-",'ORDENES'!$D29))</f>
        <v/>
      </c>
      <c r="J51" s="3">
        <f>IF('ORDENES'!$A29="","",IF('ORDENES'!$E29="","-",'ORDENES'!$E29))</f>
        <v/>
      </c>
      <c r="K51" s="12">
        <f>IF('ORDENES'!$A29="","",IF('ORDENES'!$M29="",0,'ORDENES'!$M29))</f>
        <v/>
      </c>
      <c r="L51" s="3">
        <f>IF('ORDENES'!$A29="","",IF('ORDENES'!$N29="","-",'ORDENES'!$N29))</f>
        <v/>
      </c>
      <c r="M51" s="3">
        <f>IF('ORDENES'!$A29="","",'ORDENES'!$AA29)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IF('ORDENES'!$A30="","",IF('ORDENES'!$AC30="","-",'ORDENES'!$AC30))</f>
        <v/>
      </c>
      <c r="D52" s="3">
        <f>IF('ORDENES'!$A30="","",IF('ORDENES'!$V30="","-",'ORDENES'!$V30))</f>
        <v/>
      </c>
      <c r="E52" s="3">
        <f>IF('ORDENES'!$A30="","",IF('ORDENES'!$U30="","-",'ORDENES'!$U30))</f>
        <v/>
      </c>
      <c r="F52" s="3">
        <f>IF('ORDENES'!$A30="","",IF('ORDENES'!$W30="","-",'ORDENES'!$W30))</f>
        <v/>
      </c>
      <c r="G52" s="3">
        <f>IF('ORDENES'!$A30="","",IF('ORDENES'!$AB30="","-",'ORDENES'!$AB30))</f>
        <v/>
      </c>
      <c r="H52" s="3">
        <f>IF('ORDENES'!$A30="","",IF('ORDENES'!$AN30="","-",'ORDENES'!$AN30))</f>
        <v/>
      </c>
      <c r="I52" s="3">
        <f>IF('ORDENES'!$A30="","",IF('ORDENES'!$D30="","-",'ORDENES'!$D30))</f>
        <v/>
      </c>
      <c r="J52" s="3">
        <f>IF('ORDENES'!$A30="","",IF('ORDENES'!$E30="","-",'ORDENES'!$E30))</f>
        <v/>
      </c>
      <c r="K52" s="12">
        <f>IF('ORDENES'!$A30="","",IF('ORDENES'!$M30="",0,'ORDENES'!$M30))</f>
        <v/>
      </c>
      <c r="L52" s="3">
        <f>IF('ORDENES'!$A30="","",IF('ORDENES'!$N30="","-",'ORDENES'!$N30))</f>
        <v/>
      </c>
      <c r="M52" s="3">
        <f>IF('ORDENES'!$A30="","",'ORDENES'!$AA30)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IF('ORDENES'!$A31="","",IF('ORDENES'!$AC31="","-",'ORDENES'!$AC31))</f>
        <v/>
      </c>
      <c r="D53" s="3">
        <f>IF('ORDENES'!$A31="","",IF('ORDENES'!$V31="","-",'ORDENES'!$V31))</f>
        <v/>
      </c>
      <c r="E53" s="3">
        <f>IF('ORDENES'!$A31="","",IF('ORDENES'!$U31="","-",'ORDENES'!$U31))</f>
        <v/>
      </c>
      <c r="F53" s="3">
        <f>IF('ORDENES'!$A31="","",IF('ORDENES'!$W31="","-",'ORDENES'!$W31))</f>
        <v/>
      </c>
      <c r="G53" s="3">
        <f>IF('ORDENES'!$A31="","",IF('ORDENES'!$AB31="","-",'ORDENES'!$AB31))</f>
        <v/>
      </c>
      <c r="H53" s="3">
        <f>IF('ORDENES'!$A31="","",IF('ORDENES'!$AN31="","-",'ORDENES'!$AN31))</f>
        <v/>
      </c>
      <c r="I53" s="3">
        <f>IF('ORDENES'!$A31="","",IF('ORDENES'!$D31="","-",'ORDENES'!$D31))</f>
        <v/>
      </c>
      <c r="J53" s="3">
        <f>IF('ORDENES'!$A31="","",IF('ORDENES'!$E31="","-",'ORDENES'!$E31))</f>
        <v/>
      </c>
      <c r="K53" s="12">
        <f>IF('ORDENES'!$A31="","",IF('ORDENES'!$M31="",0,'ORDENES'!$M31))</f>
        <v/>
      </c>
      <c r="L53" s="3">
        <f>IF('ORDENES'!$A31="","",IF('ORDENES'!$N31="","-",'ORDENES'!$N31))</f>
        <v/>
      </c>
      <c r="M53" s="3">
        <f>IF('ORDENES'!$A31="","",'ORDENES'!$AA31)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IF('ORDENES'!$A32="","",IF('ORDENES'!$AC32="","-",'ORDENES'!$AC32))</f>
        <v/>
      </c>
      <c r="D54" s="3">
        <f>IF('ORDENES'!$A32="","",IF('ORDENES'!$V32="","-",'ORDENES'!$V32))</f>
        <v/>
      </c>
      <c r="E54" s="3">
        <f>IF('ORDENES'!$A32="","",IF('ORDENES'!$U32="","-",'ORDENES'!$U32))</f>
        <v/>
      </c>
      <c r="F54" s="3">
        <f>IF('ORDENES'!$A32="","",IF('ORDENES'!$W32="","-",'ORDENES'!$W32))</f>
        <v/>
      </c>
      <c r="G54" s="3">
        <f>IF('ORDENES'!$A32="","",IF('ORDENES'!$AB32="","-",'ORDENES'!$AB32))</f>
        <v/>
      </c>
      <c r="H54" s="3">
        <f>IF('ORDENES'!$A32="","",IF('ORDENES'!$AN32="","-",'ORDENES'!$AN32))</f>
        <v/>
      </c>
      <c r="I54" s="3">
        <f>IF('ORDENES'!$A32="","",IF('ORDENES'!$D32="","-",'ORDENES'!$D32))</f>
        <v/>
      </c>
      <c r="J54" s="3">
        <f>IF('ORDENES'!$A32="","",IF('ORDENES'!$E32="","-",'ORDENES'!$E32))</f>
        <v/>
      </c>
      <c r="K54" s="12">
        <f>IF('ORDENES'!$A32="","",IF('ORDENES'!$M32="",0,'ORDENES'!$M32))</f>
        <v/>
      </c>
      <c r="L54" s="3">
        <f>IF('ORDENES'!$A32="","",IF('ORDENES'!$N32="","-",'ORDENES'!$N32))</f>
        <v/>
      </c>
      <c r="M54" s="3">
        <f>IF('ORDENES'!$A32="","",'ORDENES'!$AA32)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IF('ORDENES'!$A33="","",IF('ORDENES'!$AC33="","-",'ORDENES'!$AC33))</f>
        <v/>
      </c>
      <c r="D55" s="3">
        <f>IF('ORDENES'!$A33="","",IF('ORDENES'!$V33="","-",'ORDENES'!$V33))</f>
        <v/>
      </c>
      <c r="E55" s="3">
        <f>IF('ORDENES'!$A33="","",IF('ORDENES'!$U33="","-",'ORDENES'!$U33))</f>
        <v/>
      </c>
      <c r="F55" s="3">
        <f>IF('ORDENES'!$A33="","",IF('ORDENES'!$W33="","-",'ORDENES'!$W33))</f>
        <v/>
      </c>
      <c r="G55" s="3">
        <f>IF('ORDENES'!$A33="","",IF('ORDENES'!$AB33="","-",'ORDENES'!$AB33))</f>
        <v/>
      </c>
      <c r="H55" s="3">
        <f>IF('ORDENES'!$A33="","",IF('ORDENES'!$AN33="","-",'ORDENES'!$AN33))</f>
        <v/>
      </c>
      <c r="I55" s="3">
        <f>IF('ORDENES'!$A33="","",IF('ORDENES'!$D33="","-",'ORDENES'!$D33))</f>
        <v/>
      </c>
      <c r="J55" s="3">
        <f>IF('ORDENES'!$A33="","",IF('ORDENES'!$E33="","-",'ORDENES'!$E33))</f>
        <v/>
      </c>
      <c r="K55" s="12">
        <f>IF('ORDENES'!$A33="","",IF('ORDENES'!$M33="",0,'ORDENES'!$M33))</f>
        <v/>
      </c>
      <c r="L55" s="3">
        <f>IF('ORDENES'!$A33="","",IF('ORDENES'!$N33="","-",'ORDENES'!$N33))</f>
        <v/>
      </c>
      <c r="M55" s="3">
        <f>IF('ORDENES'!$A33="","",'ORDENES'!$AA33)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IF('ORDENES'!$A34="","",IF('ORDENES'!$AC34="","-",'ORDENES'!$AC34))</f>
        <v/>
      </c>
      <c r="D56" s="3">
        <f>IF('ORDENES'!$A34="","",IF('ORDENES'!$V34="","-",'ORDENES'!$V34))</f>
        <v/>
      </c>
      <c r="E56" s="3">
        <f>IF('ORDENES'!$A34="","",IF('ORDENES'!$U34="","-",'ORDENES'!$U34))</f>
        <v/>
      </c>
      <c r="F56" s="3">
        <f>IF('ORDENES'!$A34="","",IF('ORDENES'!$W34="","-",'ORDENES'!$W34))</f>
        <v/>
      </c>
      <c r="G56" s="3">
        <f>IF('ORDENES'!$A34="","",IF('ORDENES'!$AB34="","-",'ORDENES'!$AB34))</f>
        <v/>
      </c>
      <c r="H56" s="3">
        <f>IF('ORDENES'!$A34="","",IF('ORDENES'!$AN34="","-",'ORDENES'!$AN34))</f>
        <v/>
      </c>
      <c r="I56" s="3">
        <f>IF('ORDENES'!$A34="","",IF('ORDENES'!$D34="","-",'ORDENES'!$D34))</f>
        <v/>
      </c>
      <c r="J56" s="3">
        <f>IF('ORDENES'!$A34="","",IF('ORDENES'!$E34="","-",'ORDENES'!$E34))</f>
        <v/>
      </c>
      <c r="K56" s="12">
        <f>IF('ORDENES'!$A34="","",IF('ORDENES'!$M34="",0,'ORDENES'!$M34))</f>
        <v/>
      </c>
      <c r="L56" s="3">
        <f>IF('ORDENES'!$A34="","",IF('ORDENES'!$N34="","-",'ORDENES'!$N34))</f>
        <v/>
      </c>
      <c r="M56" s="3">
        <f>IF('ORDENES'!$A34="","",'ORDENES'!$AA34)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IF('ORDENES'!$A35="","",IF('ORDENES'!$AC35="","-",'ORDENES'!$AC35))</f>
        <v/>
      </c>
      <c r="D57" s="3">
        <f>IF('ORDENES'!$A35="","",IF('ORDENES'!$V35="","-",'ORDENES'!$V35))</f>
        <v/>
      </c>
      <c r="E57" s="3">
        <f>IF('ORDENES'!$A35="","",IF('ORDENES'!$U35="","-",'ORDENES'!$U35))</f>
        <v/>
      </c>
      <c r="F57" s="3">
        <f>IF('ORDENES'!$A35="","",IF('ORDENES'!$W35="","-",'ORDENES'!$W35))</f>
        <v/>
      </c>
      <c r="G57" s="3">
        <f>IF('ORDENES'!$A35="","",IF('ORDENES'!$AB35="","-",'ORDENES'!$AB35))</f>
        <v/>
      </c>
      <c r="H57" s="3">
        <f>IF('ORDENES'!$A35="","",IF('ORDENES'!$AN35="","-",'ORDENES'!$AN35))</f>
        <v/>
      </c>
      <c r="I57" s="3">
        <f>IF('ORDENES'!$A35="","",IF('ORDENES'!$D35="","-",'ORDENES'!$D35))</f>
        <v/>
      </c>
      <c r="J57" s="3">
        <f>IF('ORDENES'!$A35="","",IF('ORDENES'!$E35="","-",'ORDENES'!$E35))</f>
        <v/>
      </c>
      <c r="K57" s="12">
        <f>IF('ORDENES'!$A35="","",IF('ORDENES'!$M35="",0,'ORDENES'!$M35))</f>
        <v/>
      </c>
      <c r="L57" s="3">
        <f>IF('ORDENES'!$A35="","",IF('ORDENES'!$N35="","-",'ORDENES'!$N35))</f>
        <v/>
      </c>
      <c r="M57" s="3">
        <f>IF('ORDENES'!$A35="","",'ORDENES'!$AA35)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IF('ORDENES'!$A36="","",IF('ORDENES'!$AC36="","-",'ORDENES'!$AC36))</f>
        <v/>
      </c>
      <c r="D58" s="3">
        <f>IF('ORDENES'!$A36="","",IF('ORDENES'!$V36="","-",'ORDENES'!$V36))</f>
        <v/>
      </c>
      <c r="E58" s="3">
        <f>IF('ORDENES'!$A36="","",IF('ORDENES'!$U36="","-",'ORDENES'!$U36))</f>
        <v/>
      </c>
      <c r="F58" s="3">
        <f>IF('ORDENES'!$A36="","",IF('ORDENES'!$W36="","-",'ORDENES'!$W36))</f>
        <v/>
      </c>
      <c r="G58" s="3">
        <f>IF('ORDENES'!$A36="","",IF('ORDENES'!$AB36="","-",'ORDENES'!$AB36))</f>
        <v/>
      </c>
      <c r="H58" s="3">
        <f>IF('ORDENES'!$A36="","",IF('ORDENES'!$AN36="","-",'ORDENES'!$AN36))</f>
        <v/>
      </c>
      <c r="I58" s="3">
        <f>IF('ORDENES'!$A36="","",IF('ORDENES'!$D36="","-",'ORDENES'!$D36))</f>
        <v/>
      </c>
      <c r="J58" s="3">
        <f>IF('ORDENES'!$A36="","",IF('ORDENES'!$E36="","-",'ORDENES'!$E36))</f>
        <v/>
      </c>
      <c r="K58" s="12">
        <f>IF('ORDENES'!$A36="","",IF('ORDENES'!$M36="",0,'ORDENES'!$M36))</f>
        <v/>
      </c>
      <c r="L58" s="3">
        <f>IF('ORDENES'!$A36="","",IF('ORDENES'!$N36="","-",'ORDENES'!$N36))</f>
        <v/>
      </c>
      <c r="M58" s="3">
        <f>IF('ORDENES'!$A36="","",'ORDENES'!$AA36)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IF('ORDENES'!$A37="","",IF('ORDENES'!$AC37="","-",'ORDENES'!$AC37))</f>
        <v/>
      </c>
      <c r="D59" s="3">
        <f>IF('ORDENES'!$A37="","",IF('ORDENES'!$V37="","-",'ORDENES'!$V37))</f>
        <v/>
      </c>
      <c r="E59" s="3">
        <f>IF('ORDENES'!$A37="","",IF('ORDENES'!$U37="","-",'ORDENES'!$U37))</f>
        <v/>
      </c>
      <c r="F59" s="3">
        <f>IF('ORDENES'!$A37="","",IF('ORDENES'!$W37="","-",'ORDENES'!$W37))</f>
        <v/>
      </c>
      <c r="G59" s="3">
        <f>IF('ORDENES'!$A37="","",IF('ORDENES'!$AB37="","-",'ORDENES'!$AB37))</f>
        <v/>
      </c>
      <c r="H59" s="3">
        <f>IF('ORDENES'!$A37="","",IF('ORDENES'!$AN37="","-",'ORDENES'!$AN37))</f>
        <v/>
      </c>
      <c r="I59" s="3">
        <f>IF('ORDENES'!$A37="","",IF('ORDENES'!$D37="","-",'ORDENES'!$D37))</f>
        <v/>
      </c>
      <c r="J59" s="3">
        <f>IF('ORDENES'!$A37="","",IF('ORDENES'!$E37="","-",'ORDENES'!$E37))</f>
        <v/>
      </c>
      <c r="K59" s="12">
        <f>IF('ORDENES'!$A37="","",IF('ORDENES'!$M37="",0,'ORDENES'!$M37))</f>
        <v/>
      </c>
      <c r="L59" s="3">
        <f>IF('ORDENES'!$A37="","",IF('ORDENES'!$N37="","-",'ORDENES'!$N37))</f>
        <v/>
      </c>
      <c r="M59" s="3">
        <f>IF('ORDENES'!$A37="","",'ORDENES'!$AA37)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IF('ORDENES'!$A38="","",IF('ORDENES'!$AC38="","-",'ORDENES'!$AC38))</f>
        <v/>
      </c>
      <c r="D60" s="3">
        <f>IF('ORDENES'!$A38="","",IF('ORDENES'!$V38="","-",'ORDENES'!$V38))</f>
        <v/>
      </c>
      <c r="E60" s="3">
        <f>IF('ORDENES'!$A38="","",IF('ORDENES'!$U38="","-",'ORDENES'!$U38))</f>
        <v/>
      </c>
      <c r="F60" s="3">
        <f>IF('ORDENES'!$A38="","",IF('ORDENES'!$W38="","-",'ORDENES'!$W38))</f>
        <v/>
      </c>
      <c r="G60" s="3">
        <f>IF('ORDENES'!$A38="","",IF('ORDENES'!$AB38="","-",'ORDENES'!$AB38))</f>
        <v/>
      </c>
      <c r="H60" s="3">
        <f>IF('ORDENES'!$A38="","",IF('ORDENES'!$AN38="","-",'ORDENES'!$AN38))</f>
        <v/>
      </c>
      <c r="I60" s="3">
        <f>IF('ORDENES'!$A38="","",IF('ORDENES'!$D38="","-",'ORDENES'!$D38))</f>
        <v/>
      </c>
      <c r="J60" s="3">
        <f>IF('ORDENES'!$A38="","",IF('ORDENES'!$E38="","-",'ORDENES'!$E38))</f>
        <v/>
      </c>
      <c r="K60" s="12">
        <f>IF('ORDENES'!$A38="","",IF('ORDENES'!$M38="",0,'ORDENES'!$M38))</f>
        <v/>
      </c>
      <c r="L60" s="3">
        <f>IF('ORDENES'!$A38="","",IF('ORDENES'!$N38="","-",'ORDENES'!$N38))</f>
        <v/>
      </c>
      <c r="M60" s="3">
        <f>IF('ORDENES'!$A38="","",'ORDENES'!$AA38)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IF('ORDENES'!$A39="","",IF('ORDENES'!$AC39="","-",'ORDENES'!$AC39))</f>
        <v/>
      </c>
      <c r="D61" s="3">
        <f>IF('ORDENES'!$A39="","",IF('ORDENES'!$V39="","-",'ORDENES'!$V39))</f>
        <v/>
      </c>
      <c r="E61" s="3">
        <f>IF('ORDENES'!$A39="","",IF('ORDENES'!$U39="","-",'ORDENES'!$U39))</f>
        <v/>
      </c>
      <c r="F61" s="3">
        <f>IF('ORDENES'!$A39="","",IF('ORDENES'!$W39="","-",'ORDENES'!$W39))</f>
        <v/>
      </c>
      <c r="G61" s="3">
        <f>IF('ORDENES'!$A39="","",IF('ORDENES'!$AB39="","-",'ORDENES'!$AB39))</f>
        <v/>
      </c>
      <c r="H61" s="3">
        <f>IF('ORDENES'!$A39="","",IF('ORDENES'!$AN39="","-",'ORDENES'!$AN39))</f>
        <v/>
      </c>
      <c r="I61" s="3">
        <f>IF('ORDENES'!$A39="","",IF('ORDENES'!$D39="","-",'ORDENES'!$D39))</f>
        <v/>
      </c>
      <c r="J61" s="3">
        <f>IF('ORDENES'!$A39="","",IF('ORDENES'!$E39="","-",'ORDENES'!$E39))</f>
        <v/>
      </c>
      <c r="K61" s="12">
        <f>IF('ORDENES'!$A39="","",IF('ORDENES'!$M39="",0,'ORDENES'!$M39))</f>
        <v/>
      </c>
      <c r="L61" s="3">
        <f>IF('ORDENES'!$A39="","",IF('ORDENES'!$N39="","-",'ORDENES'!$N39))</f>
        <v/>
      </c>
      <c r="M61" s="3">
        <f>IF('ORDENES'!$A39="","",'ORDENES'!$AA39)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IF('ORDENES'!$A40="","",IF('ORDENES'!$AC40="","-",'ORDENES'!$AC40))</f>
        <v/>
      </c>
      <c r="D62" s="3">
        <f>IF('ORDENES'!$A40="","",IF('ORDENES'!$V40="","-",'ORDENES'!$V40))</f>
        <v/>
      </c>
      <c r="E62" s="3">
        <f>IF('ORDENES'!$A40="","",IF('ORDENES'!$U40="","-",'ORDENES'!$U40))</f>
        <v/>
      </c>
      <c r="F62" s="3">
        <f>IF('ORDENES'!$A40="","",IF('ORDENES'!$W40="","-",'ORDENES'!$W40))</f>
        <v/>
      </c>
      <c r="G62" s="3">
        <f>IF('ORDENES'!$A40="","",IF('ORDENES'!$AB40="","-",'ORDENES'!$AB40))</f>
        <v/>
      </c>
      <c r="H62" s="3">
        <f>IF('ORDENES'!$A40="","",IF('ORDENES'!$AN40="","-",'ORDENES'!$AN40))</f>
        <v/>
      </c>
      <c r="I62" s="3">
        <f>IF('ORDENES'!$A40="","",IF('ORDENES'!$D40="","-",'ORDENES'!$D40))</f>
        <v/>
      </c>
      <c r="J62" s="3">
        <f>IF('ORDENES'!$A40="","",IF('ORDENES'!$E40="","-",'ORDENES'!$E40))</f>
        <v/>
      </c>
      <c r="K62" s="12">
        <f>IF('ORDENES'!$A40="","",IF('ORDENES'!$M40="",0,'ORDENES'!$M40))</f>
        <v/>
      </c>
      <c r="L62" s="3">
        <f>IF('ORDENES'!$A40="","",IF('ORDENES'!$N40="","-",'ORDENES'!$N40))</f>
        <v/>
      </c>
      <c r="M62" s="3">
        <f>IF('ORDENES'!$A40="","",'ORDENES'!$AA40)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IF('ORDENES'!$A41="","",IF('ORDENES'!$AC41="","-",'ORDENES'!$AC41))</f>
        <v/>
      </c>
      <c r="D63" s="3">
        <f>IF('ORDENES'!$A41="","",IF('ORDENES'!$V41="","-",'ORDENES'!$V41))</f>
        <v/>
      </c>
      <c r="E63" s="3">
        <f>IF('ORDENES'!$A41="","",IF('ORDENES'!$U41="","-",'ORDENES'!$U41))</f>
        <v/>
      </c>
      <c r="F63" s="3">
        <f>IF('ORDENES'!$A41="","",IF('ORDENES'!$W41="","-",'ORDENES'!$W41))</f>
        <v/>
      </c>
      <c r="G63" s="3">
        <f>IF('ORDENES'!$A41="","",IF('ORDENES'!$AB41="","-",'ORDENES'!$AB41))</f>
        <v/>
      </c>
      <c r="H63" s="3">
        <f>IF('ORDENES'!$A41="","",IF('ORDENES'!$AN41="","-",'ORDENES'!$AN41))</f>
        <v/>
      </c>
      <c r="I63" s="3">
        <f>IF('ORDENES'!$A41="","",IF('ORDENES'!$D41="","-",'ORDENES'!$D41))</f>
        <v/>
      </c>
      <c r="J63" s="3">
        <f>IF('ORDENES'!$A41="","",IF('ORDENES'!$E41="","-",'ORDENES'!$E41))</f>
        <v/>
      </c>
      <c r="K63" s="12">
        <f>IF('ORDENES'!$A41="","",IF('ORDENES'!$M41="",0,'ORDENES'!$M41))</f>
        <v/>
      </c>
      <c r="L63" s="3">
        <f>IF('ORDENES'!$A41="","",IF('ORDENES'!$N41="","-",'ORDENES'!$N41))</f>
        <v/>
      </c>
      <c r="M63" s="3">
        <f>IF('ORDENES'!$A41="","",'ORDENES'!$AA41)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IF('ORDENES'!$A42="","",IF('ORDENES'!$AC42="","-",'ORDENES'!$AC42))</f>
        <v/>
      </c>
      <c r="D64" s="3">
        <f>IF('ORDENES'!$A42="","",IF('ORDENES'!$V42="","-",'ORDENES'!$V42))</f>
        <v/>
      </c>
      <c r="E64" s="3">
        <f>IF('ORDENES'!$A42="","",IF('ORDENES'!$U42="","-",'ORDENES'!$U42))</f>
        <v/>
      </c>
      <c r="F64" s="3">
        <f>IF('ORDENES'!$A42="","",IF('ORDENES'!$W42="","-",'ORDENES'!$W42))</f>
        <v/>
      </c>
      <c r="G64" s="3">
        <f>IF('ORDENES'!$A42="","",IF('ORDENES'!$AB42="","-",'ORDENES'!$AB42))</f>
        <v/>
      </c>
      <c r="H64" s="3">
        <f>IF('ORDENES'!$A42="","",IF('ORDENES'!$AN42="","-",'ORDENES'!$AN42))</f>
        <v/>
      </c>
      <c r="I64" s="3">
        <f>IF('ORDENES'!$A42="","",IF('ORDENES'!$D42="","-",'ORDENES'!$D42))</f>
        <v/>
      </c>
      <c r="J64" s="3">
        <f>IF('ORDENES'!$A42="","",IF('ORDENES'!$E42="","-",'ORDENES'!$E42))</f>
        <v/>
      </c>
      <c r="K64" s="12">
        <f>IF('ORDENES'!$A42="","",IF('ORDENES'!$M42="",0,'ORDENES'!$M42))</f>
        <v/>
      </c>
      <c r="L64" s="3">
        <f>IF('ORDENES'!$A42="","",IF('ORDENES'!$N42="","-",'ORDENES'!$N42))</f>
        <v/>
      </c>
      <c r="M64" s="3">
        <f>IF('ORDENES'!$A42="","",'ORDENES'!$AA42)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IF('ORDENES'!$A43="","",IF('ORDENES'!$AC43="","-",'ORDENES'!$AC43))</f>
        <v/>
      </c>
      <c r="D65" s="3">
        <f>IF('ORDENES'!$A43="","",IF('ORDENES'!$V43="","-",'ORDENES'!$V43))</f>
        <v/>
      </c>
      <c r="E65" s="3">
        <f>IF('ORDENES'!$A43="","",IF('ORDENES'!$U43="","-",'ORDENES'!$U43))</f>
        <v/>
      </c>
      <c r="F65" s="3">
        <f>IF('ORDENES'!$A43="","",IF('ORDENES'!$W43="","-",'ORDENES'!$W43))</f>
        <v/>
      </c>
      <c r="G65" s="3">
        <f>IF('ORDENES'!$A43="","",IF('ORDENES'!$AB43="","-",'ORDENES'!$AB43))</f>
        <v/>
      </c>
      <c r="H65" s="3">
        <f>IF('ORDENES'!$A43="","",IF('ORDENES'!$AN43="","-",'ORDENES'!$AN43))</f>
        <v/>
      </c>
      <c r="I65" s="3">
        <f>IF('ORDENES'!$A43="","",IF('ORDENES'!$D43="","-",'ORDENES'!$D43))</f>
        <v/>
      </c>
      <c r="J65" s="3">
        <f>IF('ORDENES'!$A43="","",IF('ORDENES'!$E43="","-",'ORDENES'!$E43))</f>
        <v/>
      </c>
      <c r="K65" s="12">
        <f>IF('ORDENES'!$A43="","",IF('ORDENES'!$M43="",0,'ORDENES'!$M43))</f>
        <v/>
      </c>
      <c r="L65" s="3">
        <f>IF('ORDENES'!$A43="","",IF('ORDENES'!$N43="","-",'ORDENES'!$N43))</f>
        <v/>
      </c>
      <c r="M65" s="3">
        <f>IF('ORDENES'!$A43="","",'ORDENES'!$AA43)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IF('ORDENES'!$A44="","",IF('ORDENES'!$AC44="","-",'ORDENES'!$AC44))</f>
        <v/>
      </c>
      <c r="D66" s="3">
        <f>IF('ORDENES'!$A44="","",IF('ORDENES'!$V44="","-",'ORDENES'!$V44))</f>
        <v/>
      </c>
      <c r="E66" s="3">
        <f>IF('ORDENES'!$A44="","",IF('ORDENES'!$U44="","-",'ORDENES'!$U44))</f>
        <v/>
      </c>
      <c r="F66" s="3">
        <f>IF('ORDENES'!$A44="","",IF('ORDENES'!$W44="","-",'ORDENES'!$W44))</f>
        <v/>
      </c>
      <c r="G66" s="3">
        <f>IF('ORDENES'!$A44="","",IF('ORDENES'!$AB44="","-",'ORDENES'!$AB44))</f>
        <v/>
      </c>
      <c r="H66" s="3">
        <f>IF('ORDENES'!$A44="","",IF('ORDENES'!$AN44="","-",'ORDENES'!$AN44))</f>
        <v/>
      </c>
      <c r="I66" s="3">
        <f>IF('ORDENES'!$A44="","",IF('ORDENES'!$D44="","-",'ORDENES'!$D44))</f>
        <v/>
      </c>
      <c r="J66" s="3">
        <f>IF('ORDENES'!$A44="","",IF('ORDENES'!$E44="","-",'ORDENES'!$E44))</f>
        <v/>
      </c>
      <c r="K66" s="12">
        <f>IF('ORDENES'!$A44="","",IF('ORDENES'!$M44="",0,'ORDENES'!$M44))</f>
        <v/>
      </c>
      <c r="L66" s="3">
        <f>IF('ORDENES'!$A44="","",IF('ORDENES'!$N44="","-",'ORDENES'!$N44))</f>
        <v/>
      </c>
      <c r="M66" s="3">
        <f>IF('ORDENES'!$A44="","",'ORDENES'!$AA44)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IF('ORDENES'!$A45="","",IF('ORDENES'!$AC45="","-",'ORDENES'!$AC45))</f>
        <v/>
      </c>
      <c r="D67" s="3">
        <f>IF('ORDENES'!$A45="","",IF('ORDENES'!$V45="","-",'ORDENES'!$V45))</f>
        <v/>
      </c>
      <c r="E67" s="3">
        <f>IF('ORDENES'!$A45="","",IF('ORDENES'!$U45="","-",'ORDENES'!$U45))</f>
        <v/>
      </c>
      <c r="F67" s="3">
        <f>IF('ORDENES'!$A45="","",IF('ORDENES'!$W45="","-",'ORDENES'!$W45))</f>
        <v/>
      </c>
      <c r="G67" s="3">
        <f>IF('ORDENES'!$A45="","",IF('ORDENES'!$AB45="","-",'ORDENES'!$AB45))</f>
        <v/>
      </c>
      <c r="H67" s="3">
        <f>IF('ORDENES'!$A45="","",IF('ORDENES'!$AN45="","-",'ORDENES'!$AN45))</f>
        <v/>
      </c>
      <c r="I67" s="3">
        <f>IF('ORDENES'!$A45="","",IF('ORDENES'!$D45="","-",'ORDENES'!$D45))</f>
        <v/>
      </c>
      <c r="J67" s="3">
        <f>IF('ORDENES'!$A45="","",IF('ORDENES'!$E45="","-",'ORDENES'!$E45))</f>
        <v/>
      </c>
      <c r="K67" s="12">
        <f>IF('ORDENES'!$A45="","",IF('ORDENES'!$M45="",0,'ORDENES'!$M45))</f>
        <v/>
      </c>
      <c r="L67" s="3">
        <f>IF('ORDENES'!$A45="","",IF('ORDENES'!$N45="","-",'ORDENES'!$N45))</f>
        <v/>
      </c>
      <c r="M67" s="3">
        <f>IF('ORDENES'!$A45="","",'ORDENES'!$AA45)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IF('ORDENES'!$A46="","",IF('ORDENES'!$AC46="","-",'ORDENES'!$AC46))</f>
        <v/>
      </c>
      <c r="D68" s="3">
        <f>IF('ORDENES'!$A46="","",IF('ORDENES'!$V46="","-",'ORDENES'!$V46))</f>
        <v/>
      </c>
      <c r="E68" s="3">
        <f>IF('ORDENES'!$A46="","",IF('ORDENES'!$U46="","-",'ORDENES'!$U46))</f>
        <v/>
      </c>
      <c r="F68" s="3">
        <f>IF('ORDENES'!$A46="","",IF('ORDENES'!$W46="","-",'ORDENES'!$W46))</f>
        <v/>
      </c>
      <c r="G68" s="3">
        <f>IF('ORDENES'!$A46="","",IF('ORDENES'!$AB46="","-",'ORDENES'!$AB46))</f>
        <v/>
      </c>
      <c r="H68" s="3">
        <f>IF('ORDENES'!$A46="","",IF('ORDENES'!$AN46="","-",'ORDENES'!$AN46))</f>
        <v/>
      </c>
      <c r="I68" s="3">
        <f>IF('ORDENES'!$A46="","",IF('ORDENES'!$D46="","-",'ORDENES'!$D46))</f>
        <v/>
      </c>
      <c r="J68" s="3">
        <f>IF('ORDENES'!$A46="","",IF('ORDENES'!$E46="","-",'ORDENES'!$E46))</f>
        <v/>
      </c>
      <c r="K68" s="12">
        <f>IF('ORDENES'!$A46="","",IF('ORDENES'!$M46="",0,'ORDENES'!$M46))</f>
        <v/>
      </c>
      <c r="L68" s="3">
        <f>IF('ORDENES'!$A46="","",IF('ORDENES'!$N46="","-",'ORDENES'!$N46))</f>
        <v/>
      </c>
      <c r="M68" s="3">
        <f>IF('ORDENES'!$A46="","",'ORDENES'!$AA46)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IF('ORDENES'!$A47="","",IF('ORDENES'!$AC47="","-",'ORDENES'!$AC47))</f>
        <v/>
      </c>
      <c r="D69" s="3">
        <f>IF('ORDENES'!$A47="","",IF('ORDENES'!$V47="","-",'ORDENES'!$V47))</f>
        <v/>
      </c>
      <c r="E69" s="3">
        <f>IF('ORDENES'!$A47="","",IF('ORDENES'!$U47="","-",'ORDENES'!$U47))</f>
        <v/>
      </c>
      <c r="F69" s="3">
        <f>IF('ORDENES'!$A47="","",IF('ORDENES'!$W47="","-",'ORDENES'!$W47))</f>
        <v/>
      </c>
      <c r="G69" s="3">
        <f>IF('ORDENES'!$A47="","",IF('ORDENES'!$AB47="","-",'ORDENES'!$AB47))</f>
        <v/>
      </c>
      <c r="H69" s="3">
        <f>IF('ORDENES'!$A47="","",IF('ORDENES'!$AN47="","-",'ORDENES'!$AN47))</f>
        <v/>
      </c>
      <c r="I69" s="3">
        <f>IF('ORDENES'!$A47="","",IF('ORDENES'!$D47="","-",'ORDENES'!$D47))</f>
        <v/>
      </c>
      <c r="J69" s="3">
        <f>IF('ORDENES'!$A47="","",IF('ORDENES'!$E47="","-",'ORDENES'!$E47))</f>
        <v/>
      </c>
      <c r="K69" s="12">
        <f>IF('ORDENES'!$A47="","",IF('ORDENES'!$M47="",0,'ORDENES'!$M47))</f>
        <v/>
      </c>
      <c r="L69" s="3">
        <f>IF('ORDENES'!$A47="","",IF('ORDENES'!$N47="","-",'ORDENES'!$N47))</f>
        <v/>
      </c>
      <c r="M69" s="3">
        <f>IF('ORDENES'!$A47="","",'ORDENES'!$AA47)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IF('ORDENES'!$A48="","",IF('ORDENES'!$AC48="","-",'ORDENES'!$AC48))</f>
        <v/>
      </c>
      <c r="D70" s="3">
        <f>IF('ORDENES'!$A48="","",IF('ORDENES'!$V48="","-",'ORDENES'!$V48))</f>
        <v/>
      </c>
      <c r="E70" s="3">
        <f>IF('ORDENES'!$A48="","",IF('ORDENES'!$U48="","-",'ORDENES'!$U48))</f>
        <v/>
      </c>
      <c r="F70" s="3">
        <f>IF('ORDENES'!$A48="","",IF('ORDENES'!$W48="","-",'ORDENES'!$W48))</f>
        <v/>
      </c>
      <c r="G70" s="3">
        <f>IF('ORDENES'!$A48="","",IF('ORDENES'!$AB48="","-",'ORDENES'!$AB48))</f>
        <v/>
      </c>
      <c r="H70" s="3">
        <f>IF('ORDENES'!$A48="","",IF('ORDENES'!$AN48="","-",'ORDENES'!$AN48))</f>
        <v/>
      </c>
      <c r="I70" s="3">
        <f>IF('ORDENES'!$A48="","",IF('ORDENES'!$D48="","-",'ORDENES'!$D48))</f>
        <v/>
      </c>
      <c r="J70" s="3">
        <f>IF('ORDENES'!$A48="","",IF('ORDENES'!$E48="","-",'ORDENES'!$E48))</f>
        <v/>
      </c>
      <c r="K70" s="12">
        <f>IF('ORDENES'!$A48="","",IF('ORDENES'!$M48="",0,'ORDENES'!$M48))</f>
        <v/>
      </c>
      <c r="L70" s="3">
        <f>IF('ORDENES'!$A48="","",IF('ORDENES'!$N48="","-",'ORDENES'!$N48))</f>
        <v/>
      </c>
      <c r="M70" s="3">
        <f>IF('ORDENES'!$A48="","",'ORDENES'!$AA48)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IF('ORDENES'!$A49="","",IF('ORDENES'!$AC49="","-",'ORDENES'!$AC49))</f>
        <v/>
      </c>
      <c r="D71" s="3">
        <f>IF('ORDENES'!$A49="","",IF('ORDENES'!$V49="","-",'ORDENES'!$V49))</f>
        <v/>
      </c>
      <c r="E71" s="3">
        <f>IF('ORDENES'!$A49="","",IF('ORDENES'!$U49="","-",'ORDENES'!$U49))</f>
        <v/>
      </c>
      <c r="F71" s="3">
        <f>IF('ORDENES'!$A49="","",IF('ORDENES'!$W49="","-",'ORDENES'!$W49))</f>
        <v/>
      </c>
      <c r="G71" s="3">
        <f>IF('ORDENES'!$A49="","",IF('ORDENES'!$AB49="","-",'ORDENES'!$AB49))</f>
        <v/>
      </c>
      <c r="H71" s="3">
        <f>IF('ORDENES'!$A49="","",IF('ORDENES'!$AN49="","-",'ORDENES'!$AN49))</f>
        <v/>
      </c>
      <c r="I71" s="3">
        <f>IF('ORDENES'!$A49="","",IF('ORDENES'!$D49="","-",'ORDENES'!$D49))</f>
        <v/>
      </c>
      <c r="J71" s="3">
        <f>IF('ORDENES'!$A49="","",IF('ORDENES'!$E49="","-",'ORDENES'!$E49))</f>
        <v/>
      </c>
      <c r="K71" s="12">
        <f>IF('ORDENES'!$A49="","",IF('ORDENES'!$M49="",0,'ORDENES'!$M49))</f>
        <v/>
      </c>
      <c r="L71" s="3">
        <f>IF('ORDENES'!$A49="","",IF('ORDENES'!$N49="","-",'ORDENES'!$N49))</f>
        <v/>
      </c>
      <c r="M71" s="3">
        <f>IF('ORDENES'!$A49="","",'ORDENES'!$AA49)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IF('ORDENES'!$A50="","",IF('ORDENES'!$AC50="","-",'ORDENES'!$AC50))</f>
        <v/>
      </c>
      <c r="D72" s="3">
        <f>IF('ORDENES'!$A50="","",IF('ORDENES'!$V50="","-",'ORDENES'!$V50))</f>
        <v/>
      </c>
      <c r="E72" s="3">
        <f>IF('ORDENES'!$A50="","",IF('ORDENES'!$U50="","-",'ORDENES'!$U50))</f>
        <v/>
      </c>
      <c r="F72" s="3">
        <f>IF('ORDENES'!$A50="","",IF('ORDENES'!$W50="","-",'ORDENES'!$W50))</f>
        <v/>
      </c>
      <c r="G72" s="3">
        <f>IF('ORDENES'!$A50="","",IF('ORDENES'!$AB50="","-",'ORDENES'!$AB50))</f>
        <v/>
      </c>
      <c r="H72" s="3">
        <f>IF('ORDENES'!$A50="","",IF('ORDENES'!$AN50="","-",'ORDENES'!$AN50))</f>
        <v/>
      </c>
      <c r="I72" s="3">
        <f>IF('ORDENES'!$A50="","",IF('ORDENES'!$D50="","-",'ORDENES'!$D50))</f>
        <v/>
      </c>
      <c r="J72" s="3">
        <f>IF('ORDENES'!$A50="","",IF('ORDENES'!$E50="","-",'ORDENES'!$E50))</f>
        <v/>
      </c>
      <c r="K72" s="12">
        <f>IF('ORDENES'!$A50="","",IF('ORDENES'!$M50="",0,'ORDENES'!$M50))</f>
        <v/>
      </c>
      <c r="L72" s="3">
        <f>IF('ORDENES'!$A50="","",IF('ORDENES'!$N50="","-",'ORDENES'!$N50))</f>
        <v/>
      </c>
      <c r="M72" s="3">
        <f>IF('ORDENES'!$A50="","",'ORDENES'!$AA50)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IF('ORDENES'!$A51="","",IF('ORDENES'!$AC51="","-",'ORDENES'!$AC51))</f>
        <v/>
      </c>
      <c r="D73" s="3">
        <f>IF('ORDENES'!$A51="","",IF('ORDENES'!$V51="","-",'ORDENES'!$V51))</f>
        <v/>
      </c>
      <c r="E73" s="3">
        <f>IF('ORDENES'!$A51="","",IF('ORDENES'!$U51="","-",'ORDENES'!$U51))</f>
        <v/>
      </c>
      <c r="F73" s="3">
        <f>IF('ORDENES'!$A51="","",IF('ORDENES'!$W51="","-",'ORDENES'!$W51))</f>
        <v/>
      </c>
      <c r="G73" s="3">
        <f>IF('ORDENES'!$A51="","",IF('ORDENES'!$AB51="","-",'ORDENES'!$AB51))</f>
        <v/>
      </c>
      <c r="H73" s="3">
        <f>IF('ORDENES'!$A51="","",IF('ORDENES'!$AN51="","-",'ORDENES'!$AN51))</f>
        <v/>
      </c>
      <c r="I73" s="3">
        <f>IF('ORDENES'!$A51="","",IF('ORDENES'!$D51="","-",'ORDENES'!$D51))</f>
        <v/>
      </c>
      <c r="J73" s="3">
        <f>IF('ORDENES'!$A51="","",IF('ORDENES'!$E51="","-",'ORDENES'!$E51))</f>
        <v/>
      </c>
      <c r="K73" s="12">
        <f>IF('ORDENES'!$A51="","",IF('ORDENES'!$M51="",0,'ORDENES'!$M51))</f>
        <v/>
      </c>
      <c r="L73" s="3">
        <f>IF('ORDENES'!$A51="","",IF('ORDENES'!$N51="","-",'ORDENES'!$N51))</f>
        <v/>
      </c>
      <c r="M73" s="3">
        <f>IF('ORDENES'!$A51="","",'ORDENES'!$AA51)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IF('ORDENES'!$A52="","",IF('ORDENES'!$AC52="","-",'ORDENES'!$AC52))</f>
        <v/>
      </c>
      <c r="D74" s="3">
        <f>IF('ORDENES'!$A52="","",IF('ORDENES'!$V52="","-",'ORDENES'!$V52))</f>
        <v/>
      </c>
      <c r="E74" s="3">
        <f>IF('ORDENES'!$A52="","",IF('ORDENES'!$U52="","-",'ORDENES'!$U52))</f>
        <v/>
      </c>
      <c r="F74" s="3">
        <f>IF('ORDENES'!$A52="","",IF('ORDENES'!$W52="","-",'ORDENES'!$W52))</f>
        <v/>
      </c>
      <c r="G74" s="3">
        <f>IF('ORDENES'!$A52="","",IF('ORDENES'!$AB52="","-",'ORDENES'!$AB52))</f>
        <v/>
      </c>
      <c r="H74" s="3">
        <f>IF('ORDENES'!$A52="","",IF('ORDENES'!$AN52="","-",'ORDENES'!$AN52))</f>
        <v/>
      </c>
      <c r="I74" s="3">
        <f>IF('ORDENES'!$A52="","",IF('ORDENES'!$D52="","-",'ORDENES'!$D52))</f>
        <v/>
      </c>
      <c r="J74" s="3">
        <f>IF('ORDENES'!$A52="","",IF('ORDENES'!$E52="","-",'ORDENES'!$E52))</f>
        <v/>
      </c>
      <c r="K74" s="12">
        <f>IF('ORDENES'!$A52="","",IF('ORDENES'!$M52="",0,'ORDENES'!$M52))</f>
        <v/>
      </c>
      <c r="L74" s="3">
        <f>IF('ORDENES'!$A52="","",IF('ORDENES'!$N52="","-",'ORDENES'!$N52))</f>
        <v/>
      </c>
      <c r="M74" s="3">
        <f>IF('ORDENES'!$A52="","",'ORDENES'!$AA52)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IF('ORDENES'!$A53="","",IF('ORDENES'!$AC53="","-",'ORDENES'!$AC53))</f>
        <v/>
      </c>
      <c r="D75" s="3">
        <f>IF('ORDENES'!$A53="","",IF('ORDENES'!$V53="","-",'ORDENES'!$V53))</f>
        <v/>
      </c>
      <c r="E75" s="3">
        <f>IF('ORDENES'!$A53="","",IF('ORDENES'!$U53="","-",'ORDENES'!$U53))</f>
        <v/>
      </c>
      <c r="F75" s="3">
        <f>IF('ORDENES'!$A53="","",IF('ORDENES'!$W53="","-",'ORDENES'!$W53))</f>
        <v/>
      </c>
      <c r="G75" s="3">
        <f>IF('ORDENES'!$A53="","",IF('ORDENES'!$AB53="","-",'ORDENES'!$AB53))</f>
        <v/>
      </c>
      <c r="H75" s="3">
        <f>IF('ORDENES'!$A53="","",IF('ORDENES'!$AN53="","-",'ORDENES'!$AN53))</f>
        <v/>
      </c>
      <c r="I75" s="3">
        <f>IF('ORDENES'!$A53="","",IF('ORDENES'!$D53="","-",'ORDENES'!$D53))</f>
        <v/>
      </c>
      <c r="J75" s="3">
        <f>IF('ORDENES'!$A53="","",IF('ORDENES'!$E53="","-",'ORDENES'!$E53))</f>
        <v/>
      </c>
      <c r="K75" s="12">
        <f>IF('ORDENES'!$A53="","",IF('ORDENES'!$M53="",0,'ORDENES'!$M53))</f>
        <v/>
      </c>
      <c r="L75" s="3">
        <f>IF('ORDENES'!$A53="","",IF('ORDENES'!$N53="","-",'ORDENES'!$N53))</f>
        <v/>
      </c>
      <c r="M75" s="3">
        <f>IF('ORDENES'!$A53="","",'ORDENES'!$AA53)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IF('ORDENES'!$A54="","",IF('ORDENES'!$AC54="","-",'ORDENES'!$AC54))</f>
        <v/>
      </c>
      <c r="D76" s="3">
        <f>IF('ORDENES'!$A54="","",IF('ORDENES'!$V54="","-",'ORDENES'!$V54))</f>
        <v/>
      </c>
      <c r="E76" s="3">
        <f>IF('ORDENES'!$A54="","",IF('ORDENES'!$U54="","-",'ORDENES'!$U54))</f>
        <v/>
      </c>
      <c r="F76" s="3">
        <f>IF('ORDENES'!$A54="","",IF('ORDENES'!$W54="","-",'ORDENES'!$W54))</f>
        <v/>
      </c>
      <c r="G76" s="3">
        <f>IF('ORDENES'!$A54="","",IF('ORDENES'!$AB54="","-",'ORDENES'!$AB54))</f>
        <v/>
      </c>
      <c r="H76" s="3">
        <f>IF('ORDENES'!$A54="","",IF('ORDENES'!$AN54="","-",'ORDENES'!$AN54))</f>
        <v/>
      </c>
      <c r="I76" s="3">
        <f>IF('ORDENES'!$A54="","",IF('ORDENES'!$D54="","-",'ORDENES'!$D54))</f>
        <v/>
      </c>
      <c r="J76" s="3">
        <f>IF('ORDENES'!$A54="","",IF('ORDENES'!$E54="","-",'ORDENES'!$E54))</f>
        <v/>
      </c>
      <c r="K76" s="12">
        <f>IF('ORDENES'!$A54="","",IF('ORDENES'!$M54="",0,'ORDENES'!$M54))</f>
        <v/>
      </c>
      <c r="L76" s="3">
        <f>IF('ORDENES'!$A54="","",IF('ORDENES'!$N54="","-",'ORDENES'!$N54))</f>
        <v/>
      </c>
      <c r="M76" s="3">
        <f>IF('ORDENES'!$A54="","",'ORDENES'!$AA54)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IF('ORDENES'!$A55="","",IF('ORDENES'!$AC55="","-",'ORDENES'!$AC55))</f>
        <v/>
      </c>
      <c r="D77" s="3">
        <f>IF('ORDENES'!$A55="","",IF('ORDENES'!$V55="","-",'ORDENES'!$V55))</f>
        <v/>
      </c>
      <c r="E77" s="3">
        <f>IF('ORDENES'!$A55="","",IF('ORDENES'!$U55="","-",'ORDENES'!$U55))</f>
        <v/>
      </c>
      <c r="F77" s="3">
        <f>IF('ORDENES'!$A55="","",IF('ORDENES'!$W55="","-",'ORDENES'!$W55))</f>
        <v/>
      </c>
      <c r="G77" s="3">
        <f>IF('ORDENES'!$A55="","",IF('ORDENES'!$AB55="","-",'ORDENES'!$AB55))</f>
        <v/>
      </c>
      <c r="H77" s="3">
        <f>IF('ORDENES'!$A55="","",IF('ORDENES'!$AN55="","-",'ORDENES'!$AN55))</f>
        <v/>
      </c>
      <c r="I77" s="3">
        <f>IF('ORDENES'!$A55="","",IF('ORDENES'!$D55="","-",'ORDENES'!$D55))</f>
        <v/>
      </c>
      <c r="J77" s="3">
        <f>IF('ORDENES'!$A55="","",IF('ORDENES'!$E55="","-",'ORDENES'!$E55))</f>
        <v/>
      </c>
      <c r="K77" s="12">
        <f>IF('ORDENES'!$A55="","",IF('ORDENES'!$M55="",0,'ORDENES'!$M55))</f>
        <v/>
      </c>
      <c r="L77" s="3">
        <f>IF('ORDENES'!$A55="","",IF('ORDENES'!$N55="","-",'ORDENES'!$N55))</f>
        <v/>
      </c>
      <c r="M77" s="3">
        <f>IF('ORDENES'!$A55="","",'ORDENES'!$AA55)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IF('ORDENES'!$A56="","",IF('ORDENES'!$AC56="","-",'ORDENES'!$AC56))</f>
        <v/>
      </c>
      <c r="D78" s="3">
        <f>IF('ORDENES'!$A56="","",IF('ORDENES'!$V56="","-",'ORDENES'!$V56))</f>
        <v/>
      </c>
      <c r="E78" s="3">
        <f>IF('ORDENES'!$A56="","",IF('ORDENES'!$U56="","-",'ORDENES'!$U56))</f>
        <v/>
      </c>
      <c r="F78" s="3">
        <f>IF('ORDENES'!$A56="","",IF('ORDENES'!$W56="","-",'ORDENES'!$W56))</f>
        <v/>
      </c>
      <c r="G78" s="3">
        <f>IF('ORDENES'!$A56="","",IF('ORDENES'!$AB56="","-",'ORDENES'!$AB56))</f>
        <v/>
      </c>
      <c r="H78" s="3">
        <f>IF('ORDENES'!$A56="","",IF('ORDENES'!$AN56="","-",'ORDENES'!$AN56))</f>
        <v/>
      </c>
      <c r="I78" s="3">
        <f>IF('ORDENES'!$A56="","",IF('ORDENES'!$D56="","-",'ORDENES'!$D56))</f>
        <v/>
      </c>
      <c r="J78" s="3">
        <f>IF('ORDENES'!$A56="","",IF('ORDENES'!$E56="","-",'ORDENES'!$E56))</f>
        <v/>
      </c>
      <c r="K78" s="12">
        <f>IF('ORDENES'!$A56="","",IF('ORDENES'!$M56="",0,'ORDENES'!$M56))</f>
        <v/>
      </c>
      <c r="L78" s="3">
        <f>IF('ORDENES'!$A56="","",IF('ORDENES'!$N56="","-",'ORDENES'!$N56))</f>
        <v/>
      </c>
      <c r="M78" s="3">
        <f>IF('ORDENES'!$A56="","",'ORDENES'!$AA56)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IF('ORDENES'!$A57="","",IF('ORDENES'!$AC57="","-",'ORDENES'!$AC57))</f>
        <v/>
      </c>
      <c r="D79" s="3">
        <f>IF('ORDENES'!$A57="","",IF('ORDENES'!$V57="","-",'ORDENES'!$V57))</f>
        <v/>
      </c>
      <c r="E79" s="3">
        <f>IF('ORDENES'!$A57="","",IF('ORDENES'!$U57="","-",'ORDENES'!$U57))</f>
        <v/>
      </c>
      <c r="F79" s="3">
        <f>IF('ORDENES'!$A57="","",IF('ORDENES'!$W57="","-",'ORDENES'!$W57))</f>
        <v/>
      </c>
      <c r="G79" s="3">
        <f>IF('ORDENES'!$A57="","",IF('ORDENES'!$AB57="","-",'ORDENES'!$AB57))</f>
        <v/>
      </c>
      <c r="H79" s="3">
        <f>IF('ORDENES'!$A57="","",IF('ORDENES'!$AN57="","-",'ORDENES'!$AN57))</f>
        <v/>
      </c>
      <c r="I79" s="3">
        <f>IF('ORDENES'!$A57="","",IF('ORDENES'!$D57="","-",'ORDENES'!$D57))</f>
        <v/>
      </c>
      <c r="J79" s="3">
        <f>IF('ORDENES'!$A57="","",IF('ORDENES'!$E57="","-",'ORDENES'!$E57))</f>
        <v/>
      </c>
      <c r="K79" s="12">
        <f>IF('ORDENES'!$A57="","",IF('ORDENES'!$M57="",0,'ORDENES'!$M57))</f>
        <v/>
      </c>
      <c r="L79" s="3">
        <f>IF('ORDENES'!$A57="","",IF('ORDENES'!$N57="","-",'ORDENES'!$N57))</f>
        <v/>
      </c>
      <c r="M79" s="3">
        <f>IF('ORDENES'!$A57="","",'ORDENES'!$AA57)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IF('ORDENES'!$A58="","",IF('ORDENES'!$AC58="","-",'ORDENES'!$AC58))</f>
        <v/>
      </c>
      <c r="D80" s="3">
        <f>IF('ORDENES'!$A58="","",IF('ORDENES'!$V58="","-",'ORDENES'!$V58))</f>
        <v/>
      </c>
      <c r="E80" s="3">
        <f>IF('ORDENES'!$A58="","",IF('ORDENES'!$U58="","-",'ORDENES'!$U58))</f>
        <v/>
      </c>
      <c r="F80" s="3">
        <f>IF('ORDENES'!$A58="","",IF('ORDENES'!$W58="","-",'ORDENES'!$W58))</f>
        <v/>
      </c>
      <c r="G80" s="3">
        <f>IF('ORDENES'!$A58="","",IF('ORDENES'!$AB58="","-",'ORDENES'!$AB58))</f>
        <v/>
      </c>
      <c r="H80" s="3">
        <f>IF('ORDENES'!$A58="","",IF('ORDENES'!$AN58="","-",'ORDENES'!$AN58))</f>
        <v/>
      </c>
      <c r="I80" s="3">
        <f>IF('ORDENES'!$A58="","",IF('ORDENES'!$D58="","-",'ORDENES'!$D58))</f>
        <v/>
      </c>
      <c r="J80" s="3">
        <f>IF('ORDENES'!$A58="","",IF('ORDENES'!$E58="","-",'ORDENES'!$E58))</f>
        <v/>
      </c>
      <c r="K80" s="12">
        <f>IF('ORDENES'!$A58="","",IF('ORDENES'!$M58="",0,'ORDENES'!$M58))</f>
        <v/>
      </c>
      <c r="L80" s="3">
        <f>IF('ORDENES'!$A58="","",IF('ORDENES'!$N58="","-",'ORDENES'!$N58))</f>
        <v/>
      </c>
      <c r="M80" s="3">
        <f>IF('ORDENES'!$A58="","",'ORDENES'!$AA58)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IF('ORDENES'!$A59="","",IF('ORDENES'!$AC59="","-",'ORDENES'!$AC59))</f>
        <v/>
      </c>
      <c r="D81" s="3">
        <f>IF('ORDENES'!$A59="","",IF('ORDENES'!$V59="","-",'ORDENES'!$V59))</f>
        <v/>
      </c>
      <c r="E81" s="3">
        <f>IF('ORDENES'!$A59="","",IF('ORDENES'!$U59="","-",'ORDENES'!$U59))</f>
        <v/>
      </c>
      <c r="F81" s="3">
        <f>IF('ORDENES'!$A59="","",IF('ORDENES'!$W59="","-",'ORDENES'!$W59))</f>
        <v/>
      </c>
      <c r="G81" s="3">
        <f>IF('ORDENES'!$A59="","",IF('ORDENES'!$AB59="","-",'ORDENES'!$AB59))</f>
        <v/>
      </c>
      <c r="H81" s="3">
        <f>IF('ORDENES'!$A59="","",IF('ORDENES'!$AN59="","-",'ORDENES'!$AN59))</f>
        <v/>
      </c>
      <c r="I81" s="3">
        <f>IF('ORDENES'!$A59="","",IF('ORDENES'!$D59="","-",'ORDENES'!$D59))</f>
        <v/>
      </c>
      <c r="J81" s="3">
        <f>IF('ORDENES'!$A59="","",IF('ORDENES'!$E59="","-",'ORDENES'!$E59))</f>
        <v/>
      </c>
      <c r="K81" s="12">
        <f>IF('ORDENES'!$A59="","",IF('ORDENES'!$M59="",0,'ORDENES'!$M59))</f>
        <v/>
      </c>
      <c r="L81" s="3">
        <f>IF('ORDENES'!$A59="","",IF('ORDENES'!$N59="","-",'ORDENES'!$N59))</f>
        <v/>
      </c>
      <c r="M81" s="3">
        <f>IF('ORDENES'!$A59="","",'ORDENES'!$AA59)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IF('ORDENES'!$A60="","",IF('ORDENES'!$AC60="","-",'ORDENES'!$AC60))</f>
        <v/>
      </c>
      <c r="D82" s="3">
        <f>IF('ORDENES'!$A60="","",IF('ORDENES'!$V60="","-",'ORDENES'!$V60))</f>
        <v/>
      </c>
      <c r="E82" s="3">
        <f>IF('ORDENES'!$A60="","",IF('ORDENES'!$U60="","-",'ORDENES'!$U60))</f>
        <v/>
      </c>
      <c r="F82" s="3">
        <f>IF('ORDENES'!$A60="","",IF('ORDENES'!$W60="","-",'ORDENES'!$W60))</f>
        <v/>
      </c>
      <c r="G82" s="3">
        <f>IF('ORDENES'!$A60="","",IF('ORDENES'!$AB60="","-",'ORDENES'!$AB60))</f>
        <v/>
      </c>
      <c r="H82" s="3">
        <f>IF('ORDENES'!$A60="","",IF('ORDENES'!$AN60="","-",'ORDENES'!$AN60))</f>
        <v/>
      </c>
      <c r="I82" s="3">
        <f>IF('ORDENES'!$A60="","",IF('ORDENES'!$D60="","-",'ORDENES'!$D60))</f>
        <v/>
      </c>
      <c r="J82" s="3">
        <f>IF('ORDENES'!$A60="","",IF('ORDENES'!$E60="","-",'ORDENES'!$E60))</f>
        <v/>
      </c>
      <c r="K82" s="12">
        <f>IF('ORDENES'!$A60="","",IF('ORDENES'!$M60="",0,'ORDENES'!$M60))</f>
        <v/>
      </c>
      <c r="L82" s="3">
        <f>IF('ORDENES'!$A60="","",IF('ORDENES'!$N60="","-",'ORDENES'!$N60))</f>
        <v/>
      </c>
      <c r="M82" s="3">
        <f>IF('ORDENES'!$A60="","",'ORDENES'!$AA60)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IF('ORDENES'!$A61="","",IF('ORDENES'!$AC61="","-",'ORDENES'!$AC61))</f>
        <v/>
      </c>
      <c r="D83" s="3">
        <f>IF('ORDENES'!$A61="","",IF('ORDENES'!$V61="","-",'ORDENES'!$V61))</f>
        <v/>
      </c>
      <c r="E83" s="3">
        <f>IF('ORDENES'!$A61="","",IF('ORDENES'!$U61="","-",'ORDENES'!$U61))</f>
        <v/>
      </c>
      <c r="F83" s="3">
        <f>IF('ORDENES'!$A61="","",IF('ORDENES'!$W61="","-",'ORDENES'!$W61))</f>
        <v/>
      </c>
      <c r="G83" s="3">
        <f>IF('ORDENES'!$A61="","",IF('ORDENES'!$AB61="","-",'ORDENES'!$AB61))</f>
        <v/>
      </c>
      <c r="H83" s="3">
        <f>IF('ORDENES'!$A61="","",IF('ORDENES'!$AN61="","-",'ORDENES'!$AN61))</f>
        <v/>
      </c>
      <c r="I83" s="3">
        <f>IF('ORDENES'!$A61="","",IF('ORDENES'!$D61="","-",'ORDENES'!$D61))</f>
        <v/>
      </c>
      <c r="J83" s="3">
        <f>IF('ORDENES'!$A61="","",IF('ORDENES'!$E61="","-",'ORDENES'!$E61))</f>
        <v/>
      </c>
      <c r="K83" s="12">
        <f>IF('ORDENES'!$A61="","",IF('ORDENES'!$M61="",0,'ORDENES'!$M61))</f>
        <v/>
      </c>
      <c r="L83" s="3">
        <f>IF('ORDENES'!$A61="","",IF('ORDENES'!$N61="","-",'ORDENES'!$N61))</f>
        <v/>
      </c>
      <c r="M83" s="3">
        <f>IF('ORDENES'!$A61="","",'ORDENES'!$AA61)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IF('ORDENES'!$A62="","",IF('ORDENES'!$AC62="","-",'ORDENES'!$AC62))</f>
        <v/>
      </c>
      <c r="D84" s="3">
        <f>IF('ORDENES'!$A62="","",IF('ORDENES'!$V62="","-",'ORDENES'!$V62))</f>
        <v/>
      </c>
      <c r="E84" s="3">
        <f>IF('ORDENES'!$A62="","",IF('ORDENES'!$U62="","-",'ORDENES'!$U62))</f>
        <v/>
      </c>
      <c r="F84" s="3">
        <f>IF('ORDENES'!$A62="","",IF('ORDENES'!$W62="","-",'ORDENES'!$W62))</f>
        <v/>
      </c>
      <c r="G84" s="3">
        <f>IF('ORDENES'!$A62="","",IF('ORDENES'!$AB62="","-",'ORDENES'!$AB62))</f>
        <v/>
      </c>
      <c r="H84" s="3">
        <f>IF('ORDENES'!$A62="","",IF('ORDENES'!$AN62="","-",'ORDENES'!$AN62))</f>
        <v/>
      </c>
      <c r="I84" s="3">
        <f>IF('ORDENES'!$A62="","",IF('ORDENES'!$D62="","-",'ORDENES'!$D62))</f>
        <v/>
      </c>
      <c r="J84" s="3">
        <f>IF('ORDENES'!$A62="","",IF('ORDENES'!$E62="","-",'ORDENES'!$E62))</f>
        <v/>
      </c>
      <c r="K84" s="12">
        <f>IF('ORDENES'!$A62="","",IF('ORDENES'!$M62="",0,'ORDENES'!$M62))</f>
        <v/>
      </c>
      <c r="L84" s="3">
        <f>IF('ORDENES'!$A62="","",IF('ORDENES'!$N62="","-",'ORDENES'!$N62))</f>
        <v/>
      </c>
      <c r="M84" s="3">
        <f>IF('ORDENES'!$A62="","",'ORDENES'!$AA62)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IF('ORDENES'!$A63="","",IF('ORDENES'!$AC63="","-",'ORDENES'!$AC63))</f>
        <v/>
      </c>
      <c r="D85" s="3">
        <f>IF('ORDENES'!$A63="","",IF('ORDENES'!$V63="","-",'ORDENES'!$V63))</f>
        <v/>
      </c>
      <c r="E85" s="3">
        <f>IF('ORDENES'!$A63="","",IF('ORDENES'!$U63="","-",'ORDENES'!$U63))</f>
        <v/>
      </c>
      <c r="F85" s="3">
        <f>IF('ORDENES'!$A63="","",IF('ORDENES'!$W63="","-",'ORDENES'!$W63))</f>
        <v/>
      </c>
      <c r="G85" s="3">
        <f>IF('ORDENES'!$A63="","",IF('ORDENES'!$AB63="","-",'ORDENES'!$AB63))</f>
        <v/>
      </c>
      <c r="H85" s="3">
        <f>IF('ORDENES'!$A63="","",IF('ORDENES'!$AN63="","-",'ORDENES'!$AN63))</f>
        <v/>
      </c>
      <c r="I85" s="3">
        <f>IF('ORDENES'!$A63="","",IF('ORDENES'!$D63="","-",'ORDENES'!$D63))</f>
        <v/>
      </c>
      <c r="J85" s="3">
        <f>IF('ORDENES'!$A63="","",IF('ORDENES'!$E63="","-",'ORDENES'!$E63))</f>
        <v/>
      </c>
      <c r="K85" s="12">
        <f>IF('ORDENES'!$A63="","",IF('ORDENES'!$M63="",0,'ORDENES'!$M63))</f>
        <v/>
      </c>
      <c r="L85" s="3">
        <f>IF('ORDENES'!$A63="","",IF('ORDENES'!$N63="","-",'ORDENES'!$N63))</f>
        <v/>
      </c>
      <c r="M85" s="3">
        <f>IF('ORDENES'!$A63="","",'ORDENES'!$AA63)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IF('ORDENES'!$A64="","",IF('ORDENES'!$AC64="","-",'ORDENES'!$AC64))</f>
        <v/>
      </c>
      <c r="D86" s="3">
        <f>IF('ORDENES'!$A64="","",IF('ORDENES'!$V64="","-",'ORDENES'!$V64))</f>
        <v/>
      </c>
      <c r="E86" s="3">
        <f>IF('ORDENES'!$A64="","",IF('ORDENES'!$U64="","-",'ORDENES'!$U64))</f>
        <v/>
      </c>
      <c r="F86" s="3">
        <f>IF('ORDENES'!$A64="","",IF('ORDENES'!$W64="","-",'ORDENES'!$W64))</f>
        <v/>
      </c>
      <c r="G86" s="3">
        <f>IF('ORDENES'!$A64="","",IF('ORDENES'!$AB64="","-",'ORDENES'!$AB64))</f>
        <v/>
      </c>
      <c r="H86" s="3">
        <f>IF('ORDENES'!$A64="","",IF('ORDENES'!$AN64="","-",'ORDENES'!$AN64))</f>
        <v/>
      </c>
      <c r="I86" s="3">
        <f>IF('ORDENES'!$A64="","",IF('ORDENES'!$D64="","-",'ORDENES'!$D64))</f>
        <v/>
      </c>
      <c r="J86" s="3">
        <f>IF('ORDENES'!$A64="","",IF('ORDENES'!$E64="","-",'ORDENES'!$E64))</f>
        <v/>
      </c>
      <c r="K86" s="12">
        <f>IF('ORDENES'!$A64="","",IF('ORDENES'!$M64="",0,'ORDENES'!$M64))</f>
        <v/>
      </c>
      <c r="L86" s="3">
        <f>IF('ORDENES'!$A64="","",IF('ORDENES'!$N64="","-",'ORDENES'!$N64))</f>
        <v/>
      </c>
      <c r="M86" s="3">
        <f>IF('ORDENES'!$A64="","",'ORDENES'!$AA64)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IF('ORDENES'!$A65="","",IF('ORDENES'!$AC65="","-",'ORDENES'!$AC65))</f>
        <v/>
      </c>
      <c r="D87" s="3">
        <f>IF('ORDENES'!$A65="","",IF('ORDENES'!$V65="","-",'ORDENES'!$V65))</f>
        <v/>
      </c>
      <c r="E87" s="3">
        <f>IF('ORDENES'!$A65="","",IF('ORDENES'!$U65="","-",'ORDENES'!$U65))</f>
        <v/>
      </c>
      <c r="F87" s="3">
        <f>IF('ORDENES'!$A65="","",IF('ORDENES'!$W65="","-",'ORDENES'!$W65))</f>
        <v/>
      </c>
      <c r="G87" s="3">
        <f>IF('ORDENES'!$A65="","",IF('ORDENES'!$AB65="","-",'ORDENES'!$AB65))</f>
        <v/>
      </c>
      <c r="H87" s="3">
        <f>IF('ORDENES'!$A65="","",IF('ORDENES'!$AN65="","-",'ORDENES'!$AN65))</f>
        <v/>
      </c>
      <c r="I87" s="3">
        <f>IF('ORDENES'!$A65="","",IF('ORDENES'!$D65="","-",'ORDENES'!$D65))</f>
        <v/>
      </c>
      <c r="J87" s="3">
        <f>IF('ORDENES'!$A65="","",IF('ORDENES'!$E65="","-",'ORDENES'!$E65))</f>
        <v/>
      </c>
      <c r="K87" s="12">
        <f>IF('ORDENES'!$A65="","",IF('ORDENES'!$M65="",0,'ORDENES'!$M65))</f>
        <v/>
      </c>
      <c r="L87" s="3">
        <f>IF('ORDENES'!$A65="","",IF('ORDENES'!$N65="","-",'ORDENES'!$N65))</f>
        <v/>
      </c>
      <c r="M87" s="3">
        <f>IF('ORDENES'!$A65="","",'ORDENES'!$AA65)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IF('ORDENES'!$A66="","",IF('ORDENES'!$AC66="","-",'ORDENES'!$AC66))</f>
        <v/>
      </c>
      <c r="D88" s="3">
        <f>IF('ORDENES'!$A66="","",IF('ORDENES'!$V66="","-",'ORDENES'!$V66))</f>
        <v/>
      </c>
      <c r="E88" s="3">
        <f>IF('ORDENES'!$A66="","",IF('ORDENES'!$U66="","-",'ORDENES'!$U66))</f>
        <v/>
      </c>
      <c r="F88" s="3">
        <f>IF('ORDENES'!$A66="","",IF('ORDENES'!$W66="","-",'ORDENES'!$W66))</f>
        <v/>
      </c>
      <c r="G88" s="3">
        <f>IF('ORDENES'!$A66="","",IF('ORDENES'!$AB66="","-",'ORDENES'!$AB66))</f>
        <v/>
      </c>
      <c r="H88" s="3">
        <f>IF('ORDENES'!$A66="","",IF('ORDENES'!$AN66="","-",'ORDENES'!$AN66))</f>
        <v/>
      </c>
      <c r="I88" s="3">
        <f>IF('ORDENES'!$A66="","",IF('ORDENES'!$D66="","-",'ORDENES'!$D66))</f>
        <v/>
      </c>
      <c r="J88" s="3">
        <f>IF('ORDENES'!$A66="","",IF('ORDENES'!$E66="","-",'ORDENES'!$E66))</f>
        <v/>
      </c>
      <c r="K88" s="12">
        <f>IF('ORDENES'!$A66="","",IF('ORDENES'!$M66="",0,'ORDENES'!$M66))</f>
        <v/>
      </c>
      <c r="L88" s="3">
        <f>IF('ORDENES'!$A66="","",IF('ORDENES'!$N66="","-",'ORDENES'!$N66))</f>
        <v/>
      </c>
      <c r="M88" s="3">
        <f>IF('ORDENES'!$A66="","",'ORDENES'!$AA66)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IF('ORDENES'!$A67="","",IF('ORDENES'!$AC67="","-",'ORDENES'!$AC67))</f>
        <v/>
      </c>
      <c r="D89" s="3">
        <f>IF('ORDENES'!$A67="","",IF('ORDENES'!$V67="","-",'ORDENES'!$V67))</f>
        <v/>
      </c>
      <c r="E89" s="3">
        <f>IF('ORDENES'!$A67="","",IF('ORDENES'!$U67="","-",'ORDENES'!$U67))</f>
        <v/>
      </c>
      <c r="F89" s="3">
        <f>IF('ORDENES'!$A67="","",IF('ORDENES'!$W67="","-",'ORDENES'!$W67))</f>
        <v/>
      </c>
      <c r="G89" s="3">
        <f>IF('ORDENES'!$A67="","",IF('ORDENES'!$AB67="","-",'ORDENES'!$AB67))</f>
        <v/>
      </c>
      <c r="H89" s="3">
        <f>IF('ORDENES'!$A67="","",IF('ORDENES'!$AN67="","-",'ORDENES'!$AN67))</f>
        <v/>
      </c>
      <c r="I89" s="3">
        <f>IF('ORDENES'!$A67="","",IF('ORDENES'!$D67="","-",'ORDENES'!$D67))</f>
        <v/>
      </c>
      <c r="J89" s="3">
        <f>IF('ORDENES'!$A67="","",IF('ORDENES'!$E67="","-",'ORDENES'!$E67))</f>
        <v/>
      </c>
      <c r="K89" s="12">
        <f>IF('ORDENES'!$A67="","",IF('ORDENES'!$M67="",0,'ORDENES'!$M67))</f>
        <v/>
      </c>
      <c r="L89" s="3">
        <f>IF('ORDENES'!$A67="","",IF('ORDENES'!$N67="","-",'ORDENES'!$N67))</f>
        <v/>
      </c>
      <c r="M89" s="3">
        <f>IF('ORDENES'!$A67="","",'ORDENES'!$AA67)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IF('ORDENES'!$A68="","",IF('ORDENES'!$AC68="","-",'ORDENES'!$AC68))</f>
        <v/>
      </c>
      <c r="D90" s="3">
        <f>IF('ORDENES'!$A68="","",IF('ORDENES'!$V68="","-",'ORDENES'!$V68))</f>
        <v/>
      </c>
      <c r="E90" s="3">
        <f>IF('ORDENES'!$A68="","",IF('ORDENES'!$U68="","-",'ORDENES'!$U68))</f>
        <v/>
      </c>
      <c r="F90" s="3">
        <f>IF('ORDENES'!$A68="","",IF('ORDENES'!$W68="","-",'ORDENES'!$W68))</f>
        <v/>
      </c>
      <c r="G90" s="3">
        <f>IF('ORDENES'!$A68="","",IF('ORDENES'!$AB68="","-",'ORDENES'!$AB68))</f>
        <v/>
      </c>
      <c r="H90" s="3">
        <f>IF('ORDENES'!$A68="","",IF('ORDENES'!$AN68="","-",'ORDENES'!$AN68))</f>
        <v/>
      </c>
      <c r="I90" s="3">
        <f>IF('ORDENES'!$A68="","",IF('ORDENES'!$D68="","-",'ORDENES'!$D68))</f>
        <v/>
      </c>
      <c r="J90" s="3">
        <f>IF('ORDENES'!$A68="","",IF('ORDENES'!$E68="","-",'ORDENES'!$E68))</f>
        <v/>
      </c>
      <c r="K90" s="12">
        <f>IF('ORDENES'!$A68="","",IF('ORDENES'!$M68="",0,'ORDENES'!$M68))</f>
        <v/>
      </c>
      <c r="L90" s="3">
        <f>IF('ORDENES'!$A68="","",IF('ORDENES'!$N68="","-",'ORDENES'!$N68))</f>
        <v/>
      </c>
      <c r="M90" s="3">
        <f>IF('ORDENES'!$A68="","",'ORDENES'!$AA68)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IF('ORDENES'!$A69="","",IF('ORDENES'!$AC69="","-",'ORDENES'!$AC69))</f>
        <v/>
      </c>
      <c r="D91" s="3">
        <f>IF('ORDENES'!$A69="","",IF('ORDENES'!$V69="","-",'ORDENES'!$V69))</f>
        <v/>
      </c>
      <c r="E91" s="3">
        <f>IF('ORDENES'!$A69="","",IF('ORDENES'!$U69="","-",'ORDENES'!$U69))</f>
        <v/>
      </c>
      <c r="F91" s="3">
        <f>IF('ORDENES'!$A69="","",IF('ORDENES'!$W69="","-",'ORDENES'!$W69))</f>
        <v/>
      </c>
      <c r="G91" s="3">
        <f>IF('ORDENES'!$A69="","",IF('ORDENES'!$AB69="","-",'ORDENES'!$AB69))</f>
        <v/>
      </c>
      <c r="H91" s="3">
        <f>IF('ORDENES'!$A69="","",IF('ORDENES'!$AN69="","-",'ORDENES'!$AN69))</f>
        <v/>
      </c>
      <c r="I91" s="3">
        <f>IF('ORDENES'!$A69="","",IF('ORDENES'!$D69="","-",'ORDENES'!$D69))</f>
        <v/>
      </c>
      <c r="J91" s="3">
        <f>IF('ORDENES'!$A69="","",IF('ORDENES'!$E69="","-",'ORDENES'!$E69))</f>
        <v/>
      </c>
      <c r="K91" s="12">
        <f>IF('ORDENES'!$A69="","",IF('ORDENES'!$M69="",0,'ORDENES'!$M69))</f>
        <v/>
      </c>
      <c r="L91" s="3">
        <f>IF('ORDENES'!$A69="","",IF('ORDENES'!$N69="","-",'ORDENES'!$N69))</f>
        <v/>
      </c>
      <c r="M91" s="3">
        <f>IF('ORDENES'!$A69="","",'ORDENES'!$AA69)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IF('ORDENES'!$A70="","",IF('ORDENES'!$AC70="","-",'ORDENES'!$AC70))</f>
        <v/>
      </c>
      <c r="D92" s="3">
        <f>IF('ORDENES'!$A70="","",IF('ORDENES'!$V70="","-",'ORDENES'!$V70))</f>
        <v/>
      </c>
      <c r="E92" s="3">
        <f>IF('ORDENES'!$A70="","",IF('ORDENES'!$U70="","-",'ORDENES'!$U70))</f>
        <v/>
      </c>
      <c r="F92" s="3">
        <f>IF('ORDENES'!$A70="","",IF('ORDENES'!$W70="","-",'ORDENES'!$W70))</f>
        <v/>
      </c>
      <c r="G92" s="3">
        <f>IF('ORDENES'!$A70="","",IF('ORDENES'!$AB70="","-",'ORDENES'!$AB70))</f>
        <v/>
      </c>
      <c r="H92" s="3">
        <f>IF('ORDENES'!$A70="","",IF('ORDENES'!$AN70="","-",'ORDENES'!$AN70))</f>
        <v/>
      </c>
      <c r="I92" s="3">
        <f>IF('ORDENES'!$A70="","",IF('ORDENES'!$D70="","-",'ORDENES'!$D70))</f>
        <v/>
      </c>
      <c r="J92" s="3">
        <f>IF('ORDENES'!$A70="","",IF('ORDENES'!$E70="","-",'ORDENES'!$E70))</f>
        <v/>
      </c>
      <c r="K92" s="12">
        <f>IF('ORDENES'!$A70="","",IF('ORDENES'!$M70="",0,'ORDENES'!$M70))</f>
        <v/>
      </c>
      <c r="L92" s="3">
        <f>IF('ORDENES'!$A70="","",IF('ORDENES'!$N70="","-",'ORDENES'!$N70))</f>
        <v/>
      </c>
      <c r="M92" s="3">
        <f>IF('ORDENES'!$A70="","",'ORDENES'!$AA70)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IF('ORDENES'!$A71="","",IF('ORDENES'!$AC71="","-",'ORDENES'!$AC71))</f>
        <v/>
      </c>
      <c r="D93" s="3">
        <f>IF('ORDENES'!$A71="","",IF('ORDENES'!$V71="","-",'ORDENES'!$V71))</f>
        <v/>
      </c>
      <c r="E93" s="3">
        <f>IF('ORDENES'!$A71="","",IF('ORDENES'!$U71="","-",'ORDENES'!$U71))</f>
        <v/>
      </c>
      <c r="F93" s="3">
        <f>IF('ORDENES'!$A71="","",IF('ORDENES'!$W71="","-",'ORDENES'!$W71))</f>
        <v/>
      </c>
      <c r="G93" s="3">
        <f>IF('ORDENES'!$A71="","",IF('ORDENES'!$AB71="","-",'ORDENES'!$AB71))</f>
        <v/>
      </c>
      <c r="H93" s="3">
        <f>IF('ORDENES'!$A71="","",IF('ORDENES'!$AN71="","-",'ORDENES'!$AN71))</f>
        <v/>
      </c>
      <c r="I93" s="3">
        <f>IF('ORDENES'!$A71="","",IF('ORDENES'!$D71="","-",'ORDENES'!$D71))</f>
        <v/>
      </c>
      <c r="J93" s="3">
        <f>IF('ORDENES'!$A71="","",IF('ORDENES'!$E71="","-",'ORDENES'!$E71))</f>
        <v/>
      </c>
      <c r="K93" s="12">
        <f>IF('ORDENES'!$A71="","",IF('ORDENES'!$M71="",0,'ORDENES'!$M71))</f>
        <v/>
      </c>
      <c r="L93" s="3">
        <f>IF('ORDENES'!$A71="","",IF('ORDENES'!$N71="","-",'ORDENES'!$N71))</f>
        <v/>
      </c>
      <c r="M93" s="3">
        <f>IF('ORDENES'!$A71="","",'ORDENES'!$AA71)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IF('ORDENES'!$A72="","",IF('ORDENES'!$AC72="","-",'ORDENES'!$AC72))</f>
        <v/>
      </c>
      <c r="D94" s="3">
        <f>IF('ORDENES'!$A72="","",IF('ORDENES'!$V72="","-",'ORDENES'!$V72))</f>
        <v/>
      </c>
      <c r="E94" s="3">
        <f>IF('ORDENES'!$A72="","",IF('ORDENES'!$U72="","-",'ORDENES'!$U72))</f>
        <v/>
      </c>
      <c r="F94" s="3">
        <f>IF('ORDENES'!$A72="","",IF('ORDENES'!$W72="","-",'ORDENES'!$W72))</f>
        <v/>
      </c>
      <c r="G94" s="3">
        <f>IF('ORDENES'!$A72="","",IF('ORDENES'!$AB72="","-",'ORDENES'!$AB72))</f>
        <v/>
      </c>
      <c r="H94" s="3">
        <f>IF('ORDENES'!$A72="","",IF('ORDENES'!$AN72="","-",'ORDENES'!$AN72))</f>
        <v/>
      </c>
      <c r="I94" s="3">
        <f>IF('ORDENES'!$A72="","",IF('ORDENES'!$D72="","-",'ORDENES'!$D72))</f>
        <v/>
      </c>
      <c r="J94" s="3">
        <f>IF('ORDENES'!$A72="","",IF('ORDENES'!$E72="","-",'ORDENES'!$E72))</f>
        <v/>
      </c>
      <c r="K94" s="12">
        <f>IF('ORDENES'!$A72="","",IF('ORDENES'!$M72="",0,'ORDENES'!$M72))</f>
        <v/>
      </c>
      <c r="L94" s="3">
        <f>IF('ORDENES'!$A72="","",IF('ORDENES'!$N72="","-",'ORDENES'!$N72))</f>
        <v/>
      </c>
      <c r="M94" s="3">
        <f>IF('ORDENES'!$A72="","",'ORDENES'!$AA72)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IF('ORDENES'!$A73="","",IF('ORDENES'!$AC73="","-",'ORDENES'!$AC73))</f>
        <v/>
      </c>
      <c r="D95" s="3">
        <f>IF('ORDENES'!$A73="","",IF('ORDENES'!$V73="","-",'ORDENES'!$V73))</f>
        <v/>
      </c>
      <c r="E95" s="3">
        <f>IF('ORDENES'!$A73="","",IF('ORDENES'!$U73="","-",'ORDENES'!$U73))</f>
        <v/>
      </c>
      <c r="F95" s="3">
        <f>IF('ORDENES'!$A73="","",IF('ORDENES'!$W73="","-",'ORDENES'!$W73))</f>
        <v/>
      </c>
      <c r="G95" s="3">
        <f>IF('ORDENES'!$A73="","",IF('ORDENES'!$AB73="","-",'ORDENES'!$AB73))</f>
        <v/>
      </c>
      <c r="H95" s="3">
        <f>IF('ORDENES'!$A73="","",IF('ORDENES'!$AN73="","-",'ORDENES'!$AN73))</f>
        <v/>
      </c>
      <c r="I95" s="3">
        <f>IF('ORDENES'!$A73="","",IF('ORDENES'!$D73="","-",'ORDENES'!$D73))</f>
        <v/>
      </c>
      <c r="J95" s="3">
        <f>IF('ORDENES'!$A73="","",IF('ORDENES'!$E73="","-",'ORDENES'!$E73))</f>
        <v/>
      </c>
      <c r="K95" s="12">
        <f>IF('ORDENES'!$A73="","",IF('ORDENES'!$M73="",0,'ORDENES'!$M73))</f>
        <v/>
      </c>
      <c r="L95" s="3">
        <f>IF('ORDENES'!$A73="","",IF('ORDENES'!$N73="","-",'ORDENES'!$N73))</f>
        <v/>
      </c>
      <c r="M95" s="3">
        <f>IF('ORDENES'!$A73="","",'ORDENES'!$AA73)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IF('ORDENES'!$A74="","",IF('ORDENES'!$AC74="","-",'ORDENES'!$AC74))</f>
        <v/>
      </c>
      <c r="D96" s="3">
        <f>IF('ORDENES'!$A74="","",IF('ORDENES'!$V74="","-",'ORDENES'!$V74))</f>
        <v/>
      </c>
      <c r="E96" s="3">
        <f>IF('ORDENES'!$A74="","",IF('ORDENES'!$U74="","-",'ORDENES'!$U74))</f>
        <v/>
      </c>
      <c r="F96" s="3">
        <f>IF('ORDENES'!$A74="","",IF('ORDENES'!$W74="","-",'ORDENES'!$W74))</f>
        <v/>
      </c>
      <c r="G96" s="3">
        <f>IF('ORDENES'!$A74="","",IF('ORDENES'!$AB74="","-",'ORDENES'!$AB74))</f>
        <v/>
      </c>
      <c r="H96" s="3">
        <f>IF('ORDENES'!$A74="","",IF('ORDENES'!$AN74="","-",'ORDENES'!$AN74))</f>
        <v/>
      </c>
      <c r="I96" s="3">
        <f>IF('ORDENES'!$A74="","",IF('ORDENES'!$D74="","-",'ORDENES'!$D74))</f>
        <v/>
      </c>
      <c r="J96" s="3">
        <f>IF('ORDENES'!$A74="","",IF('ORDENES'!$E74="","-",'ORDENES'!$E74))</f>
        <v/>
      </c>
      <c r="K96" s="12">
        <f>IF('ORDENES'!$A74="","",IF('ORDENES'!$M74="",0,'ORDENES'!$M74))</f>
        <v/>
      </c>
      <c r="L96" s="3">
        <f>IF('ORDENES'!$A74="","",IF('ORDENES'!$N74="","-",'ORDENES'!$N74))</f>
        <v/>
      </c>
      <c r="M96" s="3">
        <f>IF('ORDENES'!$A74="","",'ORDENES'!$AA74)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IF('ORDENES'!$A75="","",IF('ORDENES'!$AC75="","-",'ORDENES'!$AC75))</f>
        <v/>
      </c>
      <c r="D97" s="3">
        <f>IF('ORDENES'!$A75="","",IF('ORDENES'!$V75="","-",'ORDENES'!$V75))</f>
        <v/>
      </c>
      <c r="E97" s="3">
        <f>IF('ORDENES'!$A75="","",IF('ORDENES'!$U75="","-",'ORDENES'!$U75))</f>
        <v/>
      </c>
      <c r="F97" s="3">
        <f>IF('ORDENES'!$A75="","",IF('ORDENES'!$W75="","-",'ORDENES'!$W75))</f>
        <v/>
      </c>
      <c r="G97" s="3">
        <f>IF('ORDENES'!$A75="","",IF('ORDENES'!$AB75="","-",'ORDENES'!$AB75))</f>
        <v/>
      </c>
      <c r="H97" s="3">
        <f>IF('ORDENES'!$A75="","",IF('ORDENES'!$AN75="","-",'ORDENES'!$AN75))</f>
        <v/>
      </c>
      <c r="I97" s="3">
        <f>IF('ORDENES'!$A75="","",IF('ORDENES'!$D75="","-",'ORDENES'!$D75))</f>
        <v/>
      </c>
      <c r="J97" s="3">
        <f>IF('ORDENES'!$A75="","",IF('ORDENES'!$E75="","-",'ORDENES'!$E75))</f>
        <v/>
      </c>
      <c r="K97" s="12">
        <f>IF('ORDENES'!$A75="","",IF('ORDENES'!$M75="",0,'ORDENES'!$M75))</f>
        <v/>
      </c>
      <c r="L97" s="3">
        <f>IF('ORDENES'!$A75="","",IF('ORDENES'!$N75="","-",'ORDENES'!$N75))</f>
        <v/>
      </c>
      <c r="M97" s="3">
        <f>IF('ORDENES'!$A75="","",'ORDENES'!$AA75)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IF('ORDENES'!$A76="","",IF('ORDENES'!$AC76="","-",'ORDENES'!$AC76))</f>
        <v/>
      </c>
      <c r="D98" s="3">
        <f>IF('ORDENES'!$A76="","",IF('ORDENES'!$V76="","-",'ORDENES'!$V76))</f>
        <v/>
      </c>
      <c r="E98" s="3">
        <f>IF('ORDENES'!$A76="","",IF('ORDENES'!$U76="","-",'ORDENES'!$U76))</f>
        <v/>
      </c>
      <c r="F98" s="3">
        <f>IF('ORDENES'!$A76="","",IF('ORDENES'!$W76="","-",'ORDENES'!$W76))</f>
        <v/>
      </c>
      <c r="G98" s="3">
        <f>IF('ORDENES'!$A76="","",IF('ORDENES'!$AB76="","-",'ORDENES'!$AB76))</f>
        <v/>
      </c>
      <c r="H98" s="3">
        <f>IF('ORDENES'!$A76="","",IF('ORDENES'!$AN76="","-",'ORDENES'!$AN76))</f>
        <v/>
      </c>
      <c r="I98" s="3">
        <f>IF('ORDENES'!$A76="","",IF('ORDENES'!$D76="","-",'ORDENES'!$D76))</f>
        <v/>
      </c>
      <c r="J98" s="3">
        <f>IF('ORDENES'!$A76="","",IF('ORDENES'!$E76="","-",'ORDENES'!$E76))</f>
        <v/>
      </c>
      <c r="K98" s="12">
        <f>IF('ORDENES'!$A76="","",IF('ORDENES'!$M76="",0,'ORDENES'!$M76))</f>
        <v/>
      </c>
      <c r="L98" s="3">
        <f>IF('ORDENES'!$A76="","",IF('ORDENES'!$N76="","-",'ORDENES'!$N76))</f>
        <v/>
      </c>
      <c r="M98" s="3">
        <f>IF('ORDENES'!$A76="","",'ORDENES'!$AA76)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IF('ORDENES'!$A77="","",IF('ORDENES'!$AC77="","-",'ORDENES'!$AC77))</f>
        <v/>
      </c>
      <c r="D99" s="3">
        <f>IF('ORDENES'!$A77="","",IF('ORDENES'!$V77="","-",'ORDENES'!$V77))</f>
        <v/>
      </c>
      <c r="E99" s="3">
        <f>IF('ORDENES'!$A77="","",IF('ORDENES'!$U77="","-",'ORDENES'!$U77))</f>
        <v/>
      </c>
      <c r="F99" s="3">
        <f>IF('ORDENES'!$A77="","",IF('ORDENES'!$W77="","-",'ORDENES'!$W77))</f>
        <v/>
      </c>
      <c r="G99" s="3">
        <f>IF('ORDENES'!$A77="","",IF('ORDENES'!$AB77="","-",'ORDENES'!$AB77))</f>
        <v/>
      </c>
      <c r="H99" s="3">
        <f>IF('ORDENES'!$A77="","",IF('ORDENES'!$AN77="","-",'ORDENES'!$AN77))</f>
        <v/>
      </c>
      <c r="I99" s="3">
        <f>IF('ORDENES'!$A77="","",IF('ORDENES'!$D77="","-",'ORDENES'!$D77))</f>
        <v/>
      </c>
      <c r="J99" s="3">
        <f>IF('ORDENES'!$A77="","",IF('ORDENES'!$E77="","-",'ORDENES'!$E77))</f>
        <v/>
      </c>
      <c r="K99" s="12">
        <f>IF('ORDENES'!$A77="","",IF('ORDENES'!$M77="",0,'ORDENES'!$M77))</f>
        <v/>
      </c>
      <c r="L99" s="3">
        <f>IF('ORDENES'!$A77="","",IF('ORDENES'!$N77="","-",'ORDENES'!$N77))</f>
        <v/>
      </c>
      <c r="M99" s="3">
        <f>IF('ORDENES'!$A77="","",'ORDENES'!$AA77)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IF('ORDENES'!$A78="","",IF('ORDENES'!$AC78="","-",'ORDENES'!$AC78))</f>
        <v/>
      </c>
      <c r="D100" s="3">
        <f>IF('ORDENES'!$A78="","",IF('ORDENES'!$V78="","-",'ORDENES'!$V78))</f>
        <v/>
      </c>
      <c r="E100" s="3">
        <f>IF('ORDENES'!$A78="","",IF('ORDENES'!$U78="","-",'ORDENES'!$U78))</f>
        <v/>
      </c>
      <c r="F100" s="3">
        <f>IF('ORDENES'!$A78="","",IF('ORDENES'!$W78="","-",'ORDENES'!$W78))</f>
        <v/>
      </c>
      <c r="G100" s="3">
        <f>IF('ORDENES'!$A78="","",IF('ORDENES'!$AB78="","-",'ORDENES'!$AB78))</f>
        <v/>
      </c>
      <c r="H100" s="3">
        <f>IF('ORDENES'!$A78="","",IF('ORDENES'!$AN78="","-",'ORDENES'!$AN78))</f>
        <v/>
      </c>
      <c r="I100" s="3">
        <f>IF('ORDENES'!$A78="","",IF('ORDENES'!$D78="","-",'ORDENES'!$D78))</f>
        <v/>
      </c>
      <c r="J100" s="3">
        <f>IF('ORDENES'!$A78="","",IF('ORDENES'!$E78="","-",'ORDENES'!$E78))</f>
        <v/>
      </c>
      <c r="K100" s="12">
        <f>IF('ORDENES'!$A78="","",IF('ORDENES'!$M78="",0,'ORDENES'!$M78))</f>
        <v/>
      </c>
      <c r="L100" s="3">
        <f>IF('ORDENES'!$A78="","",IF('ORDENES'!$N78="","-",'ORDENES'!$N78))</f>
        <v/>
      </c>
      <c r="M100" s="3">
        <f>IF('ORDENES'!$A78="","",'ORDENES'!$AA78)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IF('ORDENES'!$A79="","",IF('ORDENES'!$AC79="","-",'ORDENES'!$AC79))</f>
        <v/>
      </c>
      <c r="D101" s="3">
        <f>IF('ORDENES'!$A79="","",IF('ORDENES'!$V79="","-",'ORDENES'!$V79))</f>
        <v/>
      </c>
      <c r="E101" s="3">
        <f>IF('ORDENES'!$A79="","",IF('ORDENES'!$U79="","-",'ORDENES'!$U79))</f>
        <v/>
      </c>
      <c r="F101" s="3">
        <f>IF('ORDENES'!$A79="","",IF('ORDENES'!$W79="","-",'ORDENES'!$W79))</f>
        <v/>
      </c>
      <c r="G101" s="3">
        <f>IF('ORDENES'!$A79="","",IF('ORDENES'!$AB79="","-",'ORDENES'!$AB79))</f>
        <v/>
      </c>
      <c r="H101" s="3">
        <f>IF('ORDENES'!$A79="","",IF('ORDENES'!$AN79="","-",'ORDENES'!$AN79))</f>
        <v/>
      </c>
      <c r="I101" s="3">
        <f>IF('ORDENES'!$A79="","",IF('ORDENES'!$D79="","-",'ORDENES'!$D79))</f>
        <v/>
      </c>
      <c r="J101" s="3">
        <f>IF('ORDENES'!$A79="","",IF('ORDENES'!$E79="","-",'ORDENES'!$E79))</f>
        <v/>
      </c>
      <c r="K101" s="12">
        <f>IF('ORDENES'!$A79="","",IF('ORDENES'!$M79="",0,'ORDENES'!$M79))</f>
        <v/>
      </c>
      <c r="L101" s="3">
        <f>IF('ORDENES'!$A79="","",IF('ORDENES'!$N79="","-",'ORDENES'!$N79))</f>
        <v/>
      </c>
      <c r="M101" s="3">
        <f>IF('ORDENES'!$A79="","",'ORDENES'!$AA79)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IF('ORDENES'!$A80="","",IF('ORDENES'!$AC80="","-",'ORDENES'!$AC80))</f>
        <v/>
      </c>
      <c r="D102" s="3">
        <f>IF('ORDENES'!$A80="","",IF('ORDENES'!$V80="","-",'ORDENES'!$V80))</f>
        <v/>
      </c>
      <c r="E102" s="3">
        <f>IF('ORDENES'!$A80="","",IF('ORDENES'!$U80="","-",'ORDENES'!$U80))</f>
        <v/>
      </c>
      <c r="F102" s="3">
        <f>IF('ORDENES'!$A80="","",IF('ORDENES'!$W80="","-",'ORDENES'!$W80))</f>
        <v/>
      </c>
      <c r="G102" s="3">
        <f>IF('ORDENES'!$A80="","",IF('ORDENES'!$AB80="","-",'ORDENES'!$AB80))</f>
        <v/>
      </c>
      <c r="H102" s="3">
        <f>IF('ORDENES'!$A80="","",IF('ORDENES'!$AN80="","-",'ORDENES'!$AN80))</f>
        <v/>
      </c>
      <c r="I102" s="3">
        <f>IF('ORDENES'!$A80="","",IF('ORDENES'!$D80="","-",'ORDENES'!$D80))</f>
        <v/>
      </c>
      <c r="J102" s="3">
        <f>IF('ORDENES'!$A80="","",IF('ORDENES'!$E80="","-",'ORDENES'!$E80))</f>
        <v/>
      </c>
      <c r="K102" s="12">
        <f>IF('ORDENES'!$A80="","",IF('ORDENES'!$M80="",0,'ORDENES'!$M80))</f>
        <v/>
      </c>
      <c r="L102" s="3">
        <f>IF('ORDENES'!$A80="","",IF('ORDENES'!$N80="","-",'ORDENES'!$N80))</f>
        <v/>
      </c>
      <c r="M102" s="3">
        <f>IF('ORDENES'!$A80="","",'ORDENES'!$AA80)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IF('ORDENES'!$A81="","",IF('ORDENES'!$AC81="","-",'ORDENES'!$AC81))</f>
        <v/>
      </c>
      <c r="D103" s="3">
        <f>IF('ORDENES'!$A81="","",IF('ORDENES'!$V81="","-",'ORDENES'!$V81))</f>
        <v/>
      </c>
      <c r="E103" s="3">
        <f>IF('ORDENES'!$A81="","",IF('ORDENES'!$U81="","-",'ORDENES'!$U81))</f>
        <v/>
      </c>
      <c r="F103" s="3">
        <f>IF('ORDENES'!$A81="","",IF('ORDENES'!$W81="","-",'ORDENES'!$W81))</f>
        <v/>
      </c>
      <c r="G103" s="3">
        <f>IF('ORDENES'!$A81="","",IF('ORDENES'!$AB81="","-",'ORDENES'!$AB81))</f>
        <v/>
      </c>
      <c r="H103" s="3">
        <f>IF('ORDENES'!$A81="","",IF('ORDENES'!$AN81="","-",'ORDENES'!$AN81))</f>
        <v/>
      </c>
      <c r="I103" s="3">
        <f>IF('ORDENES'!$A81="","",IF('ORDENES'!$D81="","-",'ORDENES'!$D81))</f>
        <v/>
      </c>
      <c r="J103" s="3">
        <f>IF('ORDENES'!$A81="","",IF('ORDENES'!$E81="","-",'ORDENES'!$E81))</f>
        <v/>
      </c>
      <c r="K103" s="12">
        <f>IF('ORDENES'!$A81="","",IF('ORDENES'!$M81="",0,'ORDENES'!$M81))</f>
        <v/>
      </c>
      <c r="L103" s="3">
        <f>IF('ORDENES'!$A81="","",IF('ORDENES'!$N81="","-",'ORDENES'!$N81))</f>
        <v/>
      </c>
      <c r="M103" s="3">
        <f>IF('ORDENES'!$A81="","",'ORDENES'!$AA81)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IF('ORDENES'!$A82="","",IF('ORDENES'!$AC82="","-",'ORDENES'!$AC82))</f>
        <v/>
      </c>
      <c r="D104" s="3">
        <f>IF('ORDENES'!$A82="","",IF('ORDENES'!$V82="","-",'ORDENES'!$V82))</f>
        <v/>
      </c>
      <c r="E104" s="3">
        <f>IF('ORDENES'!$A82="","",IF('ORDENES'!$U82="","-",'ORDENES'!$U82))</f>
        <v/>
      </c>
      <c r="F104" s="3">
        <f>IF('ORDENES'!$A82="","",IF('ORDENES'!$W82="","-",'ORDENES'!$W82))</f>
        <v/>
      </c>
      <c r="G104" s="3">
        <f>IF('ORDENES'!$A82="","",IF('ORDENES'!$AB82="","-",'ORDENES'!$AB82))</f>
        <v/>
      </c>
      <c r="H104" s="3">
        <f>IF('ORDENES'!$A82="","",IF('ORDENES'!$AN82="","-",'ORDENES'!$AN82))</f>
        <v/>
      </c>
      <c r="I104" s="3">
        <f>IF('ORDENES'!$A82="","",IF('ORDENES'!$D82="","-",'ORDENES'!$D82))</f>
        <v/>
      </c>
      <c r="J104" s="3">
        <f>IF('ORDENES'!$A82="","",IF('ORDENES'!$E82="","-",'ORDENES'!$E82))</f>
        <v/>
      </c>
      <c r="K104" s="12">
        <f>IF('ORDENES'!$A82="","",IF('ORDENES'!$M82="",0,'ORDENES'!$M82))</f>
        <v/>
      </c>
      <c r="L104" s="3">
        <f>IF('ORDENES'!$A82="","",IF('ORDENES'!$N82="","-",'ORDENES'!$N82))</f>
        <v/>
      </c>
      <c r="M104" s="3">
        <f>IF('ORDENES'!$A82="","",'ORDENES'!$AA82)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IF('ORDENES'!$A83="","",IF('ORDENES'!$AC83="","-",'ORDENES'!$AC83))</f>
        <v/>
      </c>
      <c r="D105" s="3">
        <f>IF('ORDENES'!$A83="","",IF('ORDENES'!$V83="","-",'ORDENES'!$V83))</f>
        <v/>
      </c>
      <c r="E105" s="3">
        <f>IF('ORDENES'!$A83="","",IF('ORDENES'!$U83="","-",'ORDENES'!$U83))</f>
        <v/>
      </c>
      <c r="F105" s="3">
        <f>IF('ORDENES'!$A83="","",IF('ORDENES'!$W83="","-",'ORDENES'!$W83))</f>
        <v/>
      </c>
      <c r="G105" s="3">
        <f>IF('ORDENES'!$A83="","",IF('ORDENES'!$AB83="","-",'ORDENES'!$AB83))</f>
        <v/>
      </c>
      <c r="H105" s="3">
        <f>IF('ORDENES'!$A83="","",IF('ORDENES'!$AN83="","-",'ORDENES'!$AN83))</f>
        <v/>
      </c>
      <c r="I105" s="3">
        <f>IF('ORDENES'!$A83="","",IF('ORDENES'!$D83="","-",'ORDENES'!$D83))</f>
        <v/>
      </c>
      <c r="J105" s="3">
        <f>IF('ORDENES'!$A83="","",IF('ORDENES'!$E83="","-",'ORDENES'!$E83))</f>
        <v/>
      </c>
      <c r="K105" s="12">
        <f>IF('ORDENES'!$A83="","",IF('ORDENES'!$M83="",0,'ORDENES'!$M83))</f>
        <v/>
      </c>
      <c r="L105" s="3">
        <f>IF('ORDENES'!$A83="","",IF('ORDENES'!$N83="","-",'ORDENES'!$N83))</f>
        <v/>
      </c>
      <c r="M105" s="3">
        <f>IF('ORDENES'!$A83="","",'ORDENES'!$AA83)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IF('ORDENES'!$A84="","",IF('ORDENES'!$AC84="","-",'ORDENES'!$AC84))</f>
        <v/>
      </c>
      <c r="D106" s="3">
        <f>IF('ORDENES'!$A84="","",IF('ORDENES'!$V84="","-",'ORDENES'!$V84))</f>
        <v/>
      </c>
      <c r="E106" s="3">
        <f>IF('ORDENES'!$A84="","",IF('ORDENES'!$U84="","-",'ORDENES'!$U84))</f>
        <v/>
      </c>
      <c r="F106" s="3">
        <f>IF('ORDENES'!$A84="","",IF('ORDENES'!$W84="","-",'ORDENES'!$W84))</f>
        <v/>
      </c>
      <c r="G106" s="3">
        <f>IF('ORDENES'!$A84="","",IF('ORDENES'!$AB84="","-",'ORDENES'!$AB84))</f>
        <v/>
      </c>
      <c r="H106" s="3">
        <f>IF('ORDENES'!$A84="","",IF('ORDENES'!$AN84="","-",'ORDENES'!$AN84))</f>
        <v/>
      </c>
      <c r="I106" s="3">
        <f>IF('ORDENES'!$A84="","",IF('ORDENES'!$D84="","-",'ORDENES'!$D84))</f>
        <v/>
      </c>
      <c r="J106" s="3">
        <f>IF('ORDENES'!$A84="","",IF('ORDENES'!$E84="","-",'ORDENES'!$E84))</f>
        <v/>
      </c>
      <c r="K106" s="12">
        <f>IF('ORDENES'!$A84="","",IF('ORDENES'!$M84="",0,'ORDENES'!$M84))</f>
        <v/>
      </c>
      <c r="L106" s="3">
        <f>IF('ORDENES'!$A84="","",IF('ORDENES'!$N84="","-",'ORDENES'!$N84))</f>
        <v/>
      </c>
      <c r="M106" s="3">
        <f>IF('ORDENES'!$A84="","",'ORDENES'!$AA84)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IF('ORDENES'!$A85="","",IF('ORDENES'!$AC85="","-",'ORDENES'!$AC85))</f>
        <v/>
      </c>
      <c r="D107" s="3">
        <f>IF('ORDENES'!$A85="","",IF('ORDENES'!$V85="","-",'ORDENES'!$V85))</f>
        <v/>
      </c>
      <c r="E107" s="3">
        <f>IF('ORDENES'!$A85="","",IF('ORDENES'!$U85="","-",'ORDENES'!$U85))</f>
        <v/>
      </c>
      <c r="F107" s="3">
        <f>IF('ORDENES'!$A85="","",IF('ORDENES'!$W85="","-",'ORDENES'!$W85))</f>
        <v/>
      </c>
      <c r="G107" s="3">
        <f>IF('ORDENES'!$A85="","",IF('ORDENES'!$AB85="","-",'ORDENES'!$AB85))</f>
        <v/>
      </c>
      <c r="H107" s="3">
        <f>IF('ORDENES'!$A85="","",IF('ORDENES'!$AN85="","-",'ORDENES'!$AN85))</f>
        <v/>
      </c>
      <c r="I107" s="3">
        <f>IF('ORDENES'!$A85="","",IF('ORDENES'!$D85="","-",'ORDENES'!$D85))</f>
        <v/>
      </c>
      <c r="J107" s="3">
        <f>IF('ORDENES'!$A85="","",IF('ORDENES'!$E85="","-",'ORDENES'!$E85))</f>
        <v/>
      </c>
      <c r="K107" s="12">
        <f>IF('ORDENES'!$A85="","",IF('ORDENES'!$M85="",0,'ORDENES'!$M85))</f>
        <v/>
      </c>
      <c r="L107" s="3">
        <f>IF('ORDENES'!$A85="","",IF('ORDENES'!$N85="","-",'ORDENES'!$N85))</f>
        <v/>
      </c>
      <c r="M107" s="3">
        <f>IF('ORDENES'!$A85="","",'ORDENES'!$AA85)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IF('ORDENES'!$A86="","",IF('ORDENES'!$AC86="","-",'ORDENES'!$AC86))</f>
        <v/>
      </c>
      <c r="D108" s="3">
        <f>IF('ORDENES'!$A86="","",IF('ORDENES'!$V86="","-",'ORDENES'!$V86))</f>
        <v/>
      </c>
      <c r="E108" s="3">
        <f>IF('ORDENES'!$A86="","",IF('ORDENES'!$U86="","-",'ORDENES'!$U86))</f>
        <v/>
      </c>
      <c r="F108" s="3">
        <f>IF('ORDENES'!$A86="","",IF('ORDENES'!$W86="","-",'ORDENES'!$W86))</f>
        <v/>
      </c>
      <c r="G108" s="3">
        <f>IF('ORDENES'!$A86="","",IF('ORDENES'!$AB86="","-",'ORDENES'!$AB86))</f>
        <v/>
      </c>
      <c r="H108" s="3">
        <f>IF('ORDENES'!$A86="","",IF('ORDENES'!$AN86="","-",'ORDENES'!$AN86))</f>
        <v/>
      </c>
      <c r="I108" s="3">
        <f>IF('ORDENES'!$A86="","",IF('ORDENES'!$D86="","-",'ORDENES'!$D86))</f>
        <v/>
      </c>
      <c r="J108" s="3">
        <f>IF('ORDENES'!$A86="","",IF('ORDENES'!$E86="","-",'ORDENES'!$E86))</f>
        <v/>
      </c>
      <c r="K108" s="12">
        <f>IF('ORDENES'!$A86="","",IF('ORDENES'!$M86="",0,'ORDENES'!$M86))</f>
        <v/>
      </c>
      <c r="L108" s="3">
        <f>IF('ORDENES'!$A86="","",IF('ORDENES'!$N86="","-",'ORDENES'!$N86))</f>
        <v/>
      </c>
      <c r="M108" s="3">
        <f>IF('ORDENES'!$A86="","",'ORDENES'!$AA86)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IF('ORDENES'!$A87="","",IF('ORDENES'!$AC87="","-",'ORDENES'!$AC87))</f>
        <v/>
      </c>
      <c r="D109" s="3">
        <f>IF('ORDENES'!$A87="","",IF('ORDENES'!$V87="","-",'ORDENES'!$V87))</f>
        <v/>
      </c>
      <c r="E109" s="3">
        <f>IF('ORDENES'!$A87="","",IF('ORDENES'!$U87="","-",'ORDENES'!$U87))</f>
        <v/>
      </c>
      <c r="F109" s="3">
        <f>IF('ORDENES'!$A87="","",IF('ORDENES'!$W87="","-",'ORDENES'!$W87))</f>
        <v/>
      </c>
      <c r="G109" s="3">
        <f>IF('ORDENES'!$A87="","",IF('ORDENES'!$AB87="","-",'ORDENES'!$AB87))</f>
        <v/>
      </c>
      <c r="H109" s="3">
        <f>IF('ORDENES'!$A87="","",IF('ORDENES'!$AN87="","-",'ORDENES'!$AN87))</f>
        <v/>
      </c>
      <c r="I109" s="3">
        <f>IF('ORDENES'!$A87="","",IF('ORDENES'!$D87="","-",'ORDENES'!$D87))</f>
        <v/>
      </c>
      <c r="J109" s="3">
        <f>IF('ORDENES'!$A87="","",IF('ORDENES'!$E87="","-",'ORDENES'!$E87))</f>
        <v/>
      </c>
      <c r="K109" s="12">
        <f>IF('ORDENES'!$A87="","",IF('ORDENES'!$M87="",0,'ORDENES'!$M87))</f>
        <v/>
      </c>
      <c r="L109" s="3">
        <f>IF('ORDENES'!$A87="","",IF('ORDENES'!$N87="","-",'ORDENES'!$N87))</f>
        <v/>
      </c>
      <c r="M109" s="3">
        <f>IF('ORDENES'!$A87="","",'ORDENES'!$AA87)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IF('ORDENES'!$A88="","",IF('ORDENES'!$AC88="","-",'ORDENES'!$AC88))</f>
        <v/>
      </c>
      <c r="D110" s="3">
        <f>IF('ORDENES'!$A88="","",IF('ORDENES'!$V88="","-",'ORDENES'!$V88))</f>
        <v/>
      </c>
      <c r="E110" s="3">
        <f>IF('ORDENES'!$A88="","",IF('ORDENES'!$U88="","-",'ORDENES'!$U88))</f>
        <v/>
      </c>
      <c r="F110" s="3">
        <f>IF('ORDENES'!$A88="","",IF('ORDENES'!$W88="","-",'ORDENES'!$W88))</f>
        <v/>
      </c>
      <c r="G110" s="3">
        <f>IF('ORDENES'!$A88="","",IF('ORDENES'!$AB88="","-",'ORDENES'!$AB88))</f>
        <v/>
      </c>
      <c r="H110" s="3">
        <f>IF('ORDENES'!$A88="","",IF('ORDENES'!$AN88="","-",'ORDENES'!$AN88))</f>
        <v/>
      </c>
      <c r="I110" s="3">
        <f>IF('ORDENES'!$A88="","",IF('ORDENES'!$D88="","-",'ORDENES'!$D88))</f>
        <v/>
      </c>
      <c r="J110" s="3">
        <f>IF('ORDENES'!$A88="","",IF('ORDENES'!$E88="","-",'ORDENES'!$E88))</f>
        <v/>
      </c>
      <c r="K110" s="12">
        <f>IF('ORDENES'!$A88="","",IF('ORDENES'!$M88="",0,'ORDENES'!$M88))</f>
        <v/>
      </c>
      <c r="L110" s="3">
        <f>IF('ORDENES'!$A88="","",IF('ORDENES'!$N88="","-",'ORDENES'!$N88))</f>
        <v/>
      </c>
      <c r="M110" s="3">
        <f>IF('ORDENES'!$A88="","",'ORDENES'!$AA88)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IF('ORDENES'!$A89="","",IF('ORDENES'!$AC89="","-",'ORDENES'!$AC89))</f>
        <v/>
      </c>
      <c r="D111" s="3">
        <f>IF('ORDENES'!$A89="","",IF('ORDENES'!$V89="","-",'ORDENES'!$V89))</f>
        <v/>
      </c>
      <c r="E111" s="3">
        <f>IF('ORDENES'!$A89="","",IF('ORDENES'!$U89="","-",'ORDENES'!$U89))</f>
        <v/>
      </c>
      <c r="F111" s="3">
        <f>IF('ORDENES'!$A89="","",IF('ORDENES'!$W89="","-",'ORDENES'!$W89))</f>
        <v/>
      </c>
      <c r="G111" s="3">
        <f>IF('ORDENES'!$A89="","",IF('ORDENES'!$AB89="","-",'ORDENES'!$AB89))</f>
        <v/>
      </c>
      <c r="H111" s="3">
        <f>IF('ORDENES'!$A89="","",IF('ORDENES'!$AN89="","-",'ORDENES'!$AN89))</f>
        <v/>
      </c>
      <c r="I111" s="3">
        <f>IF('ORDENES'!$A89="","",IF('ORDENES'!$D89="","-",'ORDENES'!$D89))</f>
        <v/>
      </c>
      <c r="J111" s="3">
        <f>IF('ORDENES'!$A89="","",IF('ORDENES'!$E89="","-",'ORDENES'!$E89))</f>
        <v/>
      </c>
      <c r="K111" s="12">
        <f>IF('ORDENES'!$A89="","",IF('ORDENES'!$M89="",0,'ORDENES'!$M89))</f>
        <v/>
      </c>
      <c r="L111" s="3">
        <f>IF('ORDENES'!$A89="","",IF('ORDENES'!$N89="","-",'ORDENES'!$N89))</f>
        <v/>
      </c>
      <c r="M111" s="3">
        <f>IF('ORDENES'!$A89="","",'ORDENES'!$AA89)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IF('ORDENES'!$A90="","",IF('ORDENES'!$AC90="","-",'ORDENES'!$AC90))</f>
        <v/>
      </c>
      <c r="D112" s="3">
        <f>IF('ORDENES'!$A90="","",IF('ORDENES'!$V90="","-",'ORDENES'!$V90))</f>
        <v/>
      </c>
      <c r="E112" s="3">
        <f>IF('ORDENES'!$A90="","",IF('ORDENES'!$U90="","-",'ORDENES'!$U90))</f>
        <v/>
      </c>
      <c r="F112" s="3">
        <f>IF('ORDENES'!$A90="","",IF('ORDENES'!$W90="","-",'ORDENES'!$W90))</f>
        <v/>
      </c>
      <c r="G112" s="3">
        <f>IF('ORDENES'!$A90="","",IF('ORDENES'!$AB90="","-",'ORDENES'!$AB90))</f>
        <v/>
      </c>
      <c r="H112" s="3">
        <f>IF('ORDENES'!$A90="","",IF('ORDENES'!$AN90="","-",'ORDENES'!$AN90))</f>
        <v/>
      </c>
      <c r="I112" s="3">
        <f>IF('ORDENES'!$A90="","",IF('ORDENES'!$D90="","-",'ORDENES'!$D90))</f>
        <v/>
      </c>
      <c r="J112" s="3">
        <f>IF('ORDENES'!$A90="","",IF('ORDENES'!$E90="","-",'ORDENES'!$E90))</f>
        <v/>
      </c>
      <c r="K112" s="12">
        <f>IF('ORDENES'!$A90="","",IF('ORDENES'!$M90="",0,'ORDENES'!$M90))</f>
        <v/>
      </c>
      <c r="L112" s="3">
        <f>IF('ORDENES'!$A90="","",IF('ORDENES'!$N90="","-",'ORDENES'!$N90))</f>
        <v/>
      </c>
      <c r="M112" s="3">
        <f>IF('ORDENES'!$A90="","",'ORDENES'!$AA90)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IF('ORDENES'!$A91="","",IF('ORDENES'!$AC91="","-",'ORDENES'!$AC91))</f>
        <v/>
      </c>
      <c r="D113" s="3">
        <f>IF('ORDENES'!$A91="","",IF('ORDENES'!$V91="","-",'ORDENES'!$V91))</f>
        <v/>
      </c>
      <c r="E113" s="3">
        <f>IF('ORDENES'!$A91="","",IF('ORDENES'!$U91="","-",'ORDENES'!$U91))</f>
        <v/>
      </c>
      <c r="F113" s="3">
        <f>IF('ORDENES'!$A91="","",IF('ORDENES'!$W91="","-",'ORDENES'!$W91))</f>
        <v/>
      </c>
      <c r="G113" s="3">
        <f>IF('ORDENES'!$A91="","",IF('ORDENES'!$AB91="","-",'ORDENES'!$AB91))</f>
        <v/>
      </c>
      <c r="H113" s="3">
        <f>IF('ORDENES'!$A91="","",IF('ORDENES'!$AN91="","-",'ORDENES'!$AN91))</f>
        <v/>
      </c>
      <c r="I113" s="3">
        <f>IF('ORDENES'!$A91="","",IF('ORDENES'!$D91="","-",'ORDENES'!$D91))</f>
        <v/>
      </c>
      <c r="J113" s="3">
        <f>IF('ORDENES'!$A91="","",IF('ORDENES'!$E91="","-",'ORDENES'!$E91))</f>
        <v/>
      </c>
      <c r="K113" s="12">
        <f>IF('ORDENES'!$A91="","",IF('ORDENES'!$M91="",0,'ORDENES'!$M91))</f>
        <v/>
      </c>
      <c r="L113" s="3">
        <f>IF('ORDENES'!$A91="","",IF('ORDENES'!$N91="","-",'ORDENES'!$N91))</f>
        <v/>
      </c>
      <c r="M113" s="3">
        <f>IF('ORDENES'!$A91="","",'ORDENES'!$AA91)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IF('ORDENES'!$A92="","",IF('ORDENES'!$AC92="","-",'ORDENES'!$AC92))</f>
        <v/>
      </c>
      <c r="D114" s="3">
        <f>IF('ORDENES'!$A92="","",IF('ORDENES'!$V92="","-",'ORDENES'!$V92))</f>
        <v/>
      </c>
      <c r="E114" s="3">
        <f>IF('ORDENES'!$A92="","",IF('ORDENES'!$U92="","-",'ORDENES'!$U92))</f>
        <v/>
      </c>
      <c r="F114" s="3">
        <f>IF('ORDENES'!$A92="","",IF('ORDENES'!$W92="","-",'ORDENES'!$W92))</f>
        <v/>
      </c>
      <c r="G114" s="3">
        <f>IF('ORDENES'!$A92="","",IF('ORDENES'!$AB92="","-",'ORDENES'!$AB92))</f>
        <v/>
      </c>
      <c r="H114" s="3">
        <f>IF('ORDENES'!$A92="","",IF('ORDENES'!$AN92="","-",'ORDENES'!$AN92))</f>
        <v/>
      </c>
      <c r="I114" s="3">
        <f>IF('ORDENES'!$A92="","",IF('ORDENES'!$D92="","-",'ORDENES'!$D92))</f>
        <v/>
      </c>
      <c r="J114" s="3">
        <f>IF('ORDENES'!$A92="","",IF('ORDENES'!$E92="","-",'ORDENES'!$E92))</f>
        <v/>
      </c>
      <c r="K114" s="12">
        <f>IF('ORDENES'!$A92="","",IF('ORDENES'!$M92="",0,'ORDENES'!$M92))</f>
        <v/>
      </c>
      <c r="L114" s="3">
        <f>IF('ORDENES'!$A92="","",IF('ORDENES'!$N92="","-",'ORDENES'!$N92))</f>
        <v/>
      </c>
      <c r="M114" s="3">
        <f>IF('ORDENES'!$A92="","",'ORDENES'!$AA92)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IF('ORDENES'!$A93="","",IF('ORDENES'!$AC93="","-",'ORDENES'!$AC93))</f>
        <v/>
      </c>
      <c r="D115" s="3">
        <f>IF('ORDENES'!$A93="","",IF('ORDENES'!$V93="","-",'ORDENES'!$V93))</f>
        <v/>
      </c>
      <c r="E115" s="3">
        <f>IF('ORDENES'!$A93="","",IF('ORDENES'!$U93="","-",'ORDENES'!$U93))</f>
        <v/>
      </c>
      <c r="F115" s="3">
        <f>IF('ORDENES'!$A93="","",IF('ORDENES'!$W93="","-",'ORDENES'!$W93))</f>
        <v/>
      </c>
      <c r="G115" s="3">
        <f>IF('ORDENES'!$A93="","",IF('ORDENES'!$AB93="","-",'ORDENES'!$AB93))</f>
        <v/>
      </c>
      <c r="H115" s="3">
        <f>IF('ORDENES'!$A93="","",IF('ORDENES'!$AN93="","-",'ORDENES'!$AN93))</f>
        <v/>
      </c>
      <c r="I115" s="3">
        <f>IF('ORDENES'!$A93="","",IF('ORDENES'!$D93="","-",'ORDENES'!$D93))</f>
        <v/>
      </c>
      <c r="J115" s="3">
        <f>IF('ORDENES'!$A93="","",IF('ORDENES'!$E93="","-",'ORDENES'!$E93))</f>
        <v/>
      </c>
      <c r="K115" s="12">
        <f>IF('ORDENES'!$A93="","",IF('ORDENES'!$M93="",0,'ORDENES'!$M93))</f>
        <v/>
      </c>
      <c r="L115" s="3">
        <f>IF('ORDENES'!$A93="","",IF('ORDENES'!$N93="","-",'ORDENES'!$N93))</f>
        <v/>
      </c>
      <c r="M115" s="3">
        <f>IF('ORDENES'!$A93="","",'ORDENES'!$AA93)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IF('ORDENES'!$A94="","",IF('ORDENES'!$AC94="","-",'ORDENES'!$AC94))</f>
        <v/>
      </c>
      <c r="D116" s="3">
        <f>IF('ORDENES'!$A94="","",IF('ORDENES'!$V94="","-",'ORDENES'!$V94))</f>
        <v/>
      </c>
      <c r="E116" s="3">
        <f>IF('ORDENES'!$A94="","",IF('ORDENES'!$U94="","-",'ORDENES'!$U94))</f>
        <v/>
      </c>
      <c r="F116" s="3">
        <f>IF('ORDENES'!$A94="","",IF('ORDENES'!$W94="","-",'ORDENES'!$W94))</f>
        <v/>
      </c>
      <c r="G116" s="3">
        <f>IF('ORDENES'!$A94="","",IF('ORDENES'!$AB94="","-",'ORDENES'!$AB94))</f>
        <v/>
      </c>
      <c r="H116" s="3">
        <f>IF('ORDENES'!$A94="","",IF('ORDENES'!$AN94="","-",'ORDENES'!$AN94))</f>
        <v/>
      </c>
      <c r="I116" s="3">
        <f>IF('ORDENES'!$A94="","",IF('ORDENES'!$D94="","-",'ORDENES'!$D94))</f>
        <v/>
      </c>
      <c r="J116" s="3">
        <f>IF('ORDENES'!$A94="","",IF('ORDENES'!$E94="","-",'ORDENES'!$E94))</f>
        <v/>
      </c>
      <c r="K116" s="12">
        <f>IF('ORDENES'!$A94="","",IF('ORDENES'!$M94="",0,'ORDENES'!$M94))</f>
        <v/>
      </c>
      <c r="L116" s="3">
        <f>IF('ORDENES'!$A94="","",IF('ORDENES'!$N94="","-",'ORDENES'!$N94))</f>
        <v/>
      </c>
      <c r="M116" s="3">
        <f>IF('ORDENES'!$A94="","",'ORDENES'!$AA94)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IF('ORDENES'!$A95="","",IF('ORDENES'!$AC95="","-",'ORDENES'!$AC95))</f>
        <v/>
      </c>
      <c r="D117" s="3">
        <f>IF('ORDENES'!$A95="","",IF('ORDENES'!$V95="","-",'ORDENES'!$V95))</f>
        <v/>
      </c>
      <c r="E117" s="3">
        <f>IF('ORDENES'!$A95="","",IF('ORDENES'!$U95="","-",'ORDENES'!$U95))</f>
        <v/>
      </c>
      <c r="F117" s="3">
        <f>IF('ORDENES'!$A95="","",IF('ORDENES'!$W95="","-",'ORDENES'!$W95))</f>
        <v/>
      </c>
      <c r="G117" s="3">
        <f>IF('ORDENES'!$A95="","",IF('ORDENES'!$AB95="","-",'ORDENES'!$AB95))</f>
        <v/>
      </c>
      <c r="H117" s="3">
        <f>IF('ORDENES'!$A95="","",IF('ORDENES'!$AN95="","-",'ORDENES'!$AN95))</f>
        <v/>
      </c>
      <c r="I117" s="3">
        <f>IF('ORDENES'!$A95="","",IF('ORDENES'!$D95="","-",'ORDENES'!$D95))</f>
        <v/>
      </c>
      <c r="J117" s="3">
        <f>IF('ORDENES'!$A95="","",IF('ORDENES'!$E95="","-",'ORDENES'!$E95))</f>
        <v/>
      </c>
      <c r="K117" s="12">
        <f>IF('ORDENES'!$A95="","",IF('ORDENES'!$M95="",0,'ORDENES'!$M95))</f>
        <v/>
      </c>
      <c r="L117" s="3">
        <f>IF('ORDENES'!$A95="","",IF('ORDENES'!$N95="","-",'ORDENES'!$N95))</f>
        <v/>
      </c>
      <c r="M117" s="3">
        <f>IF('ORDENES'!$A95="","",'ORDENES'!$AA95)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IF('ORDENES'!$A96="","",IF('ORDENES'!$AC96="","-",'ORDENES'!$AC96))</f>
        <v/>
      </c>
      <c r="D118" s="3">
        <f>IF('ORDENES'!$A96="","",IF('ORDENES'!$V96="","-",'ORDENES'!$V96))</f>
        <v/>
      </c>
      <c r="E118" s="3">
        <f>IF('ORDENES'!$A96="","",IF('ORDENES'!$U96="","-",'ORDENES'!$U96))</f>
        <v/>
      </c>
      <c r="F118" s="3">
        <f>IF('ORDENES'!$A96="","",IF('ORDENES'!$W96="","-",'ORDENES'!$W96))</f>
        <v/>
      </c>
      <c r="G118" s="3">
        <f>IF('ORDENES'!$A96="","",IF('ORDENES'!$AB96="","-",'ORDENES'!$AB96))</f>
        <v/>
      </c>
      <c r="H118" s="3">
        <f>IF('ORDENES'!$A96="","",IF('ORDENES'!$AN96="","-",'ORDENES'!$AN96))</f>
        <v/>
      </c>
      <c r="I118" s="3">
        <f>IF('ORDENES'!$A96="","",IF('ORDENES'!$D96="","-",'ORDENES'!$D96))</f>
        <v/>
      </c>
      <c r="J118" s="3">
        <f>IF('ORDENES'!$A96="","",IF('ORDENES'!$E96="","-",'ORDENES'!$E96))</f>
        <v/>
      </c>
      <c r="K118" s="12">
        <f>IF('ORDENES'!$A96="","",IF('ORDENES'!$M96="",0,'ORDENES'!$M96))</f>
        <v/>
      </c>
      <c r="L118" s="3">
        <f>IF('ORDENES'!$A96="","",IF('ORDENES'!$N96="","-",'ORDENES'!$N96))</f>
        <v/>
      </c>
      <c r="M118" s="3">
        <f>IF('ORDENES'!$A96="","",'ORDENES'!$AA96)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IF('ORDENES'!$A97="","",IF('ORDENES'!$AC97="","-",'ORDENES'!$AC97))</f>
        <v/>
      </c>
      <c r="D119" s="3">
        <f>IF('ORDENES'!$A97="","",IF('ORDENES'!$V97="","-",'ORDENES'!$V97))</f>
        <v/>
      </c>
      <c r="E119" s="3">
        <f>IF('ORDENES'!$A97="","",IF('ORDENES'!$U97="","-",'ORDENES'!$U97))</f>
        <v/>
      </c>
      <c r="F119" s="3">
        <f>IF('ORDENES'!$A97="","",IF('ORDENES'!$W97="","-",'ORDENES'!$W97))</f>
        <v/>
      </c>
      <c r="G119" s="3">
        <f>IF('ORDENES'!$A97="","",IF('ORDENES'!$AB97="","-",'ORDENES'!$AB97))</f>
        <v/>
      </c>
      <c r="H119" s="3">
        <f>IF('ORDENES'!$A97="","",IF('ORDENES'!$AN97="","-",'ORDENES'!$AN97))</f>
        <v/>
      </c>
      <c r="I119" s="3">
        <f>IF('ORDENES'!$A97="","",IF('ORDENES'!$D97="","-",'ORDENES'!$D97))</f>
        <v/>
      </c>
      <c r="J119" s="3">
        <f>IF('ORDENES'!$A97="","",IF('ORDENES'!$E97="","-",'ORDENES'!$E97))</f>
        <v/>
      </c>
      <c r="K119" s="12">
        <f>IF('ORDENES'!$A97="","",IF('ORDENES'!$M97="",0,'ORDENES'!$M97))</f>
        <v/>
      </c>
      <c r="L119" s="3">
        <f>IF('ORDENES'!$A97="","",IF('ORDENES'!$N97="","-",'ORDENES'!$N97))</f>
        <v/>
      </c>
      <c r="M119" s="3">
        <f>IF('ORDENES'!$A97="","",'ORDENES'!$AA97)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IF('ORDENES'!$A98="","",IF('ORDENES'!$AC98="","-",'ORDENES'!$AC98))</f>
        <v/>
      </c>
      <c r="D120" s="3">
        <f>IF('ORDENES'!$A98="","",IF('ORDENES'!$V98="","-",'ORDENES'!$V98))</f>
        <v/>
      </c>
      <c r="E120" s="3">
        <f>IF('ORDENES'!$A98="","",IF('ORDENES'!$U98="","-",'ORDENES'!$U98))</f>
        <v/>
      </c>
      <c r="F120" s="3">
        <f>IF('ORDENES'!$A98="","",IF('ORDENES'!$W98="","-",'ORDENES'!$W98))</f>
        <v/>
      </c>
      <c r="G120" s="3">
        <f>IF('ORDENES'!$A98="","",IF('ORDENES'!$AB98="","-",'ORDENES'!$AB98))</f>
        <v/>
      </c>
      <c r="H120" s="3">
        <f>IF('ORDENES'!$A98="","",IF('ORDENES'!$AN98="","-",'ORDENES'!$AN98))</f>
        <v/>
      </c>
      <c r="I120" s="3">
        <f>IF('ORDENES'!$A98="","",IF('ORDENES'!$D98="","-",'ORDENES'!$D98))</f>
        <v/>
      </c>
      <c r="J120" s="3">
        <f>IF('ORDENES'!$A98="","",IF('ORDENES'!$E98="","-",'ORDENES'!$E98))</f>
        <v/>
      </c>
      <c r="K120" s="12">
        <f>IF('ORDENES'!$A98="","",IF('ORDENES'!$M98="",0,'ORDENES'!$M98))</f>
        <v/>
      </c>
      <c r="L120" s="3">
        <f>IF('ORDENES'!$A98="","",IF('ORDENES'!$N98="","-",'ORDENES'!$N98))</f>
        <v/>
      </c>
      <c r="M120" s="3">
        <f>IF('ORDENES'!$A98="","",'ORDENES'!$AA98)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IF('ORDENES'!$A99="","",IF('ORDENES'!$AC99="","-",'ORDENES'!$AC99))</f>
        <v/>
      </c>
      <c r="D121" s="3">
        <f>IF('ORDENES'!$A99="","",IF('ORDENES'!$V99="","-",'ORDENES'!$V99))</f>
        <v/>
      </c>
      <c r="E121" s="3">
        <f>IF('ORDENES'!$A99="","",IF('ORDENES'!$U99="","-",'ORDENES'!$U99))</f>
        <v/>
      </c>
      <c r="F121" s="3">
        <f>IF('ORDENES'!$A99="","",IF('ORDENES'!$W99="","-",'ORDENES'!$W99))</f>
        <v/>
      </c>
      <c r="G121" s="3">
        <f>IF('ORDENES'!$A99="","",IF('ORDENES'!$AB99="","-",'ORDENES'!$AB99))</f>
        <v/>
      </c>
      <c r="H121" s="3">
        <f>IF('ORDENES'!$A99="","",IF('ORDENES'!$AN99="","-",'ORDENES'!$AN99))</f>
        <v/>
      </c>
      <c r="I121" s="3">
        <f>IF('ORDENES'!$A99="","",IF('ORDENES'!$D99="","-",'ORDENES'!$D99))</f>
        <v/>
      </c>
      <c r="J121" s="3">
        <f>IF('ORDENES'!$A99="","",IF('ORDENES'!$E99="","-",'ORDENES'!$E99))</f>
        <v/>
      </c>
      <c r="K121" s="12">
        <f>IF('ORDENES'!$A99="","",IF('ORDENES'!$M99="",0,'ORDENES'!$M99))</f>
        <v/>
      </c>
      <c r="L121" s="3">
        <f>IF('ORDENES'!$A99="","",IF('ORDENES'!$N99="","-",'ORDENES'!$N99))</f>
        <v/>
      </c>
      <c r="M121" s="3">
        <f>IF('ORDENES'!$A99="","",'ORDENES'!$AA99)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IF('ORDENES'!$A100="","",IF('ORDENES'!$AC100="","-",'ORDENES'!$AC100))</f>
        <v/>
      </c>
      <c r="D122" s="3">
        <f>IF('ORDENES'!$A100="","",IF('ORDENES'!$V100="","-",'ORDENES'!$V100))</f>
        <v/>
      </c>
      <c r="E122" s="3">
        <f>IF('ORDENES'!$A100="","",IF('ORDENES'!$U100="","-",'ORDENES'!$U100))</f>
        <v/>
      </c>
      <c r="F122" s="3">
        <f>IF('ORDENES'!$A100="","",IF('ORDENES'!$W100="","-",'ORDENES'!$W100))</f>
        <v/>
      </c>
      <c r="G122" s="3">
        <f>IF('ORDENES'!$A100="","",IF('ORDENES'!$AB100="","-",'ORDENES'!$AB100))</f>
        <v/>
      </c>
      <c r="H122" s="3">
        <f>IF('ORDENES'!$A100="","",IF('ORDENES'!$AN100="","-",'ORDENES'!$AN100))</f>
        <v/>
      </c>
      <c r="I122" s="3">
        <f>IF('ORDENES'!$A100="","",IF('ORDENES'!$D100="","-",'ORDENES'!$D100))</f>
        <v/>
      </c>
      <c r="J122" s="3">
        <f>IF('ORDENES'!$A100="","",IF('ORDENES'!$E100="","-",'ORDENES'!$E100))</f>
        <v/>
      </c>
      <c r="K122" s="12">
        <f>IF('ORDENES'!$A100="","",IF('ORDENES'!$M100="",0,'ORDENES'!$M100))</f>
        <v/>
      </c>
      <c r="L122" s="3">
        <f>IF('ORDENES'!$A100="","",IF('ORDENES'!$N100="","-",'ORDENES'!$N100))</f>
        <v/>
      </c>
      <c r="M122" s="3">
        <f>IF('ORDENES'!$A100="","",'ORDENES'!$AA100)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IF('ORDENES'!$A101="","",IF('ORDENES'!$AC101="","-",'ORDENES'!$AC101))</f>
        <v/>
      </c>
      <c r="D123" s="3">
        <f>IF('ORDENES'!$A101="","",IF('ORDENES'!$V101="","-",'ORDENES'!$V101))</f>
        <v/>
      </c>
      <c r="E123" s="3">
        <f>IF('ORDENES'!$A101="","",IF('ORDENES'!$U101="","-",'ORDENES'!$U101))</f>
        <v/>
      </c>
      <c r="F123" s="3">
        <f>IF('ORDENES'!$A101="","",IF('ORDENES'!$W101="","-",'ORDENES'!$W101))</f>
        <v/>
      </c>
      <c r="G123" s="3">
        <f>IF('ORDENES'!$A101="","",IF('ORDENES'!$AB101="","-",'ORDENES'!$AB101))</f>
        <v/>
      </c>
      <c r="H123" s="3">
        <f>IF('ORDENES'!$A101="","",IF('ORDENES'!$AN101="","-",'ORDENES'!$AN101))</f>
        <v/>
      </c>
      <c r="I123" s="3">
        <f>IF('ORDENES'!$A101="","",IF('ORDENES'!$D101="","-",'ORDENES'!$D101))</f>
        <v/>
      </c>
      <c r="J123" s="3">
        <f>IF('ORDENES'!$A101="","",IF('ORDENES'!$E101="","-",'ORDENES'!$E101))</f>
        <v/>
      </c>
      <c r="K123" s="12">
        <f>IF('ORDENES'!$A101="","",IF('ORDENES'!$M101="",0,'ORDENES'!$M101))</f>
        <v/>
      </c>
      <c r="L123" s="3">
        <f>IF('ORDENES'!$A101="","",IF('ORDENES'!$N101="","-",'ORDENES'!$N101))</f>
        <v/>
      </c>
      <c r="M123" s="3">
        <f>IF('ORDENES'!$A101="","",'ORDENES'!$AA101)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IF('ORDENES'!$A102="","",IF('ORDENES'!$AC102="","-",'ORDENES'!$AC102))</f>
        <v/>
      </c>
      <c r="D124" s="3">
        <f>IF('ORDENES'!$A102="","",IF('ORDENES'!$V102="","-",'ORDENES'!$V102))</f>
        <v/>
      </c>
      <c r="E124" s="3">
        <f>IF('ORDENES'!$A102="","",IF('ORDENES'!$U102="","-",'ORDENES'!$U102))</f>
        <v/>
      </c>
      <c r="F124" s="3">
        <f>IF('ORDENES'!$A102="","",IF('ORDENES'!$W102="","-",'ORDENES'!$W102))</f>
        <v/>
      </c>
      <c r="G124" s="3">
        <f>IF('ORDENES'!$A102="","",IF('ORDENES'!$AB102="","-",'ORDENES'!$AB102))</f>
        <v/>
      </c>
      <c r="H124" s="3">
        <f>IF('ORDENES'!$A102="","",IF('ORDENES'!$AN102="","-",'ORDENES'!$AN102))</f>
        <v/>
      </c>
      <c r="I124" s="3">
        <f>IF('ORDENES'!$A102="","",IF('ORDENES'!$D102="","-",'ORDENES'!$D102))</f>
        <v/>
      </c>
      <c r="J124" s="3">
        <f>IF('ORDENES'!$A102="","",IF('ORDENES'!$E102="","-",'ORDENES'!$E102))</f>
        <v/>
      </c>
      <c r="K124" s="12">
        <f>IF('ORDENES'!$A102="","",IF('ORDENES'!$M102="",0,'ORDENES'!$M102))</f>
        <v/>
      </c>
      <c r="L124" s="3">
        <f>IF('ORDENES'!$A102="","",IF('ORDENES'!$N102="","-",'ORDENES'!$N102))</f>
        <v/>
      </c>
      <c r="M124" s="3">
        <f>IF('ORDENES'!$A102="","",'ORDENES'!$AA102)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IF('ORDENES'!$A103="","",IF('ORDENES'!$AC103="","-",'ORDENES'!$AC103))</f>
        <v/>
      </c>
      <c r="D125" s="3">
        <f>IF('ORDENES'!$A103="","",IF('ORDENES'!$V103="","-",'ORDENES'!$V103))</f>
        <v/>
      </c>
      <c r="E125" s="3">
        <f>IF('ORDENES'!$A103="","",IF('ORDENES'!$U103="","-",'ORDENES'!$U103))</f>
        <v/>
      </c>
      <c r="F125" s="3">
        <f>IF('ORDENES'!$A103="","",IF('ORDENES'!$W103="","-",'ORDENES'!$W103))</f>
        <v/>
      </c>
      <c r="G125" s="3">
        <f>IF('ORDENES'!$A103="","",IF('ORDENES'!$AB103="","-",'ORDENES'!$AB103))</f>
        <v/>
      </c>
      <c r="H125" s="3">
        <f>IF('ORDENES'!$A103="","",IF('ORDENES'!$AN103="","-",'ORDENES'!$AN103))</f>
        <v/>
      </c>
      <c r="I125" s="3">
        <f>IF('ORDENES'!$A103="","",IF('ORDENES'!$D103="","-",'ORDENES'!$D103))</f>
        <v/>
      </c>
      <c r="J125" s="3">
        <f>IF('ORDENES'!$A103="","",IF('ORDENES'!$E103="","-",'ORDENES'!$E103))</f>
        <v/>
      </c>
      <c r="K125" s="12">
        <f>IF('ORDENES'!$A103="","",IF('ORDENES'!$M103="",0,'ORDENES'!$M103))</f>
        <v/>
      </c>
      <c r="L125" s="3">
        <f>IF('ORDENES'!$A103="","",IF('ORDENES'!$N103="","-",'ORDENES'!$N103))</f>
        <v/>
      </c>
      <c r="M125" s="3">
        <f>IF('ORDENES'!$A103="","",'ORDENES'!$AA103)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IF('ORDENES'!$A104="","",IF('ORDENES'!$AC104="","-",'ORDENES'!$AC104))</f>
        <v/>
      </c>
      <c r="D126" s="3">
        <f>IF('ORDENES'!$A104="","",IF('ORDENES'!$V104="","-",'ORDENES'!$V104))</f>
        <v/>
      </c>
      <c r="E126" s="3">
        <f>IF('ORDENES'!$A104="","",IF('ORDENES'!$U104="","-",'ORDENES'!$U104))</f>
        <v/>
      </c>
      <c r="F126" s="3">
        <f>IF('ORDENES'!$A104="","",IF('ORDENES'!$W104="","-",'ORDENES'!$W104))</f>
        <v/>
      </c>
      <c r="G126" s="3">
        <f>IF('ORDENES'!$A104="","",IF('ORDENES'!$AB104="","-",'ORDENES'!$AB104))</f>
        <v/>
      </c>
      <c r="H126" s="3">
        <f>IF('ORDENES'!$A104="","",IF('ORDENES'!$AN104="","-",'ORDENES'!$AN104))</f>
        <v/>
      </c>
      <c r="I126" s="3">
        <f>IF('ORDENES'!$A104="","",IF('ORDENES'!$D104="","-",'ORDENES'!$D104))</f>
        <v/>
      </c>
      <c r="J126" s="3">
        <f>IF('ORDENES'!$A104="","",IF('ORDENES'!$E104="","-",'ORDENES'!$E104))</f>
        <v/>
      </c>
      <c r="K126" s="12">
        <f>IF('ORDENES'!$A104="","",IF('ORDENES'!$M104="",0,'ORDENES'!$M104))</f>
        <v/>
      </c>
      <c r="L126" s="3">
        <f>IF('ORDENES'!$A104="","",IF('ORDENES'!$N104="","-",'ORDENES'!$N104))</f>
        <v/>
      </c>
      <c r="M126" s="3">
        <f>IF('ORDENES'!$A104="","",'ORDENES'!$AA104)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IF('ORDENES'!$A105="","",IF('ORDENES'!$AC105="","-",'ORDENES'!$AC105))</f>
        <v/>
      </c>
      <c r="D127" s="3">
        <f>IF('ORDENES'!$A105="","",IF('ORDENES'!$V105="","-",'ORDENES'!$V105))</f>
        <v/>
      </c>
      <c r="E127" s="3">
        <f>IF('ORDENES'!$A105="","",IF('ORDENES'!$U105="","-",'ORDENES'!$U105))</f>
        <v/>
      </c>
      <c r="F127" s="3">
        <f>IF('ORDENES'!$A105="","",IF('ORDENES'!$W105="","-",'ORDENES'!$W105))</f>
        <v/>
      </c>
      <c r="G127" s="3">
        <f>IF('ORDENES'!$A105="","",IF('ORDENES'!$AB105="","-",'ORDENES'!$AB105))</f>
        <v/>
      </c>
      <c r="H127" s="3">
        <f>IF('ORDENES'!$A105="","",IF('ORDENES'!$AN105="","-",'ORDENES'!$AN105))</f>
        <v/>
      </c>
      <c r="I127" s="3">
        <f>IF('ORDENES'!$A105="","",IF('ORDENES'!$D105="","-",'ORDENES'!$D105))</f>
        <v/>
      </c>
      <c r="J127" s="3">
        <f>IF('ORDENES'!$A105="","",IF('ORDENES'!$E105="","-",'ORDENES'!$E105))</f>
        <v/>
      </c>
      <c r="K127" s="12">
        <f>IF('ORDENES'!$A105="","",IF('ORDENES'!$M105="",0,'ORDENES'!$M105))</f>
        <v/>
      </c>
      <c r="L127" s="3">
        <f>IF('ORDENES'!$A105="","",IF('ORDENES'!$N105="","-",'ORDENES'!$N105))</f>
        <v/>
      </c>
      <c r="M127" s="3">
        <f>IF('ORDENES'!$A105="","",'ORDENES'!$AA105)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IF('ORDENES'!$A106="","",IF('ORDENES'!$AC106="","-",'ORDENES'!$AC106))</f>
        <v/>
      </c>
      <c r="D128" s="3">
        <f>IF('ORDENES'!$A106="","",IF('ORDENES'!$V106="","-",'ORDENES'!$V106))</f>
        <v/>
      </c>
      <c r="E128" s="3">
        <f>IF('ORDENES'!$A106="","",IF('ORDENES'!$U106="","-",'ORDENES'!$U106))</f>
        <v/>
      </c>
      <c r="F128" s="3">
        <f>IF('ORDENES'!$A106="","",IF('ORDENES'!$W106="","-",'ORDENES'!$W106))</f>
        <v/>
      </c>
      <c r="G128" s="3">
        <f>IF('ORDENES'!$A106="","",IF('ORDENES'!$AB106="","-",'ORDENES'!$AB106))</f>
        <v/>
      </c>
      <c r="H128" s="3">
        <f>IF('ORDENES'!$A106="","",IF('ORDENES'!$AN106="","-",'ORDENES'!$AN106))</f>
        <v/>
      </c>
      <c r="I128" s="3">
        <f>IF('ORDENES'!$A106="","",IF('ORDENES'!$D106="","-",'ORDENES'!$D106))</f>
        <v/>
      </c>
      <c r="J128" s="3">
        <f>IF('ORDENES'!$A106="","",IF('ORDENES'!$E106="","-",'ORDENES'!$E106))</f>
        <v/>
      </c>
      <c r="K128" s="12">
        <f>IF('ORDENES'!$A106="","",IF('ORDENES'!$M106="",0,'ORDENES'!$M106))</f>
        <v/>
      </c>
      <c r="L128" s="3">
        <f>IF('ORDENES'!$A106="","",IF('ORDENES'!$N106="","-",'ORDENES'!$N106))</f>
        <v/>
      </c>
      <c r="M128" s="3">
        <f>IF('ORDENES'!$A106="","",'ORDENES'!$AA106)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IF('ORDENES'!$A107="","",IF('ORDENES'!$AC107="","-",'ORDENES'!$AC107))</f>
        <v/>
      </c>
      <c r="D129" s="3">
        <f>IF('ORDENES'!$A107="","",IF('ORDENES'!$V107="","-",'ORDENES'!$V107))</f>
        <v/>
      </c>
      <c r="E129" s="3">
        <f>IF('ORDENES'!$A107="","",IF('ORDENES'!$U107="","-",'ORDENES'!$U107))</f>
        <v/>
      </c>
      <c r="F129" s="3">
        <f>IF('ORDENES'!$A107="","",IF('ORDENES'!$W107="","-",'ORDENES'!$W107))</f>
        <v/>
      </c>
      <c r="G129" s="3">
        <f>IF('ORDENES'!$A107="","",IF('ORDENES'!$AB107="","-",'ORDENES'!$AB107))</f>
        <v/>
      </c>
      <c r="H129" s="3">
        <f>IF('ORDENES'!$A107="","",IF('ORDENES'!$AN107="","-",'ORDENES'!$AN107))</f>
        <v/>
      </c>
      <c r="I129" s="3">
        <f>IF('ORDENES'!$A107="","",IF('ORDENES'!$D107="","-",'ORDENES'!$D107))</f>
        <v/>
      </c>
      <c r="J129" s="3">
        <f>IF('ORDENES'!$A107="","",IF('ORDENES'!$E107="","-",'ORDENES'!$E107))</f>
        <v/>
      </c>
      <c r="K129" s="12">
        <f>IF('ORDENES'!$A107="","",IF('ORDENES'!$M107="",0,'ORDENES'!$M107))</f>
        <v/>
      </c>
      <c r="L129" s="3">
        <f>IF('ORDENES'!$A107="","",IF('ORDENES'!$N107="","-",'ORDENES'!$N107))</f>
        <v/>
      </c>
      <c r="M129" s="3">
        <f>IF('ORDENES'!$A107="","",'ORDENES'!$AA107)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IF('ORDENES'!$A108="","",IF('ORDENES'!$AC108="","-",'ORDENES'!$AC108))</f>
        <v/>
      </c>
      <c r="D130" s="3">
        <f>IF('ORDENES'!$A108="","",IF('ORDENES'!$V108="","-",'ORDENES'!$V108))</f>
        <v/>
      </c>
      <c r="E130" s="3">
        <f>IF('ORDENES'!$A108="","",IF('ORDENES'!$U108="","-",'ORDENES'!$U108))</f>
        <v/>
      </c>
      <c r="F130" s="3">
        <f>IF('ORDENES'!$A108="","",IF('ORDENES'!$W108="","-",'ORDENES'!$W108))</f>
        <v/>
      </c>
      <c r="G130" s="3">
        <f>IF('ORDENES'!$A108="","",IF('ORDENES'!$AB108="","-",'ORDENES'!$AB108))</f>
        <v/>
      </c>
      <c r="H130" s="3">
        <f>IF('ORDENES'!$A108="","",IF('ORDENES'!$AN108="","-",'ORDENES'!$AN108))</f>
        <v/>
      </c>
      <c r="I130" s="3">
        <f>IF('ORDENES'!$A108="","",IF('ORDENES'!$D108="","-",'ORDENES'!$D108))</f>
        <v/>
      </c>
      <c r="J130" s="3">
        <f>IF('ORDENES'!$A108="","",IF('ORDENES'!$E108="","-",'ORDENES'!$E108))</f>
        <v/>
      </c>
      <c r="K130" s="12">
        <f>IF('ORDENES'!$A108="","",IF('ORDENES'!$M108="",0,'ORDENES'!$M108))</f>
        <v/>
      </c>
      <c r="L130" s="3">
        <f>IF('ORDENES'!$A108="","",IF('ORDENES'!$N108="","-",'ORDENES'!$N108))</f>
        <v/>
      </c>
      <c r="M130" s="3">
        <f>IF('ORDENES'!$A108="","",'ORDENES'!$AA108)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IF('ORDENES'!$A109="","",IF('ORDENES'!$AC109="","-",'ORDENES'!$AC109))</f>
        <v/>
      </c>
      <c r="D131" s="3">
        <f>IF('ORDENES'!$A109="","",IF('ORDENES'!$V109="","-",'ORDENES'!$V109))</f>
        <v/>
      </c>
      <c r="E131" s="3">
        <f>IF('ORDENES'!$A109="","",IF('ORDENES'!$U109="","-",'ORDENES'!$U109))</f>
        <v/>
      </c>
      <c r="F131" s="3">
        <f>IF('ORDENES'!$A109="","",IF('ORDENES'!$W109="","-",'ORDENES'!$W109))</f>
        <v/>
      </c>
      <c r="G131" s="3">
        <f>IF('ORDENES'!$A109="","",IF('ORDENES'!$AB109="","-",'ORDENES'!$AB109))</f>
        <v/>
      </c>
      <c r="H131" s="3">
        <f>IF('ORDENES'!$A109="","",IF('ORDENES'!$AN109="","-",'ORDENES'!$AN109))</f>
        <v/>
      </c>
      <c r="I131" s="3">
        <f>IF('ORDENES'!$A109="","",IF('ORDENES'!$D109="","-",'ORDENES'!$D109))</f>
        <v/>
      </c>
      <c r="J131" s="3">
        <f>IF('ORDENES'!$A109="","",IF('ORDENES'!$E109="","-",'ORDENES'!$E109))</f>
        <v/>
      </c>
      <c r="K131" s="12">
        <f>IF('ORDENES'!$A109="","",IF('ORDENES'!$M109="",0,'ORDENES'!$M109))</f>
        <v/>
      </c>
      <c r="L131" s="3">
        <f>IF('ORDENES'!$A109="","",IF('ORDENES'!$N109="","-",'ORDENES'!$N109))</f>
        <v/>
      </c>
      <c r="M131" s="3">
        <f>IF('ORDENES'!$A109="","",'ORDENES'!$AA109)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IF('ORDENES'!$A110="","",IF('ORDENES'!$AC110="","-",'ORDENES'!$AC110))</f>
        <v/>
      </c>
      <c r="D132" s="3">
        <f>IF('ORDENES'!$A110="","",IF('ORDENES'!$V110="","-",'ORDENES'!$V110))</f>
        <v/>
      </c>
      <c r="E132" s="3">
        <f>IF('ORDENES'!$A110="","",IF('ORDENES'!$U110="","-",'ORDENES'!$U110))</f>
        <v/>
      </c>
      <c r="F132" s="3">
        <f>IF('ORDENES'!$A110="","",IF('ORDENES'!$W110="","-",'ORDENES'!$W110))</f>
        <v/>
      </c>
      <c r="G132" s="3">
        <f>IF('ORDENES'!$A110="","",IF('ORDENES'!$AB110="","-",'ORDENES'!$AB110))</f>
        <v/>
      </c>
      <c r="H132" s="3">
        <f>IF('ORDENES'!$A110="","",IF('ORDENES'!$AN110="","-",'ORDENES'!$AN110))</f>
        <v/>
      </c>
      <c r="I132" s="3">
        <f>IF('ORDENES'!$A110="","",IF('ORDENES'!$D110="","-",'ORDENES'!$D110))</f>
        <v/>
      </c>
      <c r="J132" s="3">
        <f>IF('ORDENES'!$A110="","",IF('ORDENES'!$E110="","-",'ORDENES'!$E110))</f>
        <v/>
      </c>
      <c r="K132" s="12">
        <f>IF('ORDENES'!$A110="","",IF('ORDENES'!$M110="",0,'ORDENES'!$M110))</f>
        <v/>
      </c>
      <c r="L132" s="3">
        <f>IF('ORDENES'!$A110="","",IF('ORDENES'!$N110="","-",'ORDENES'!$N110))</f>
        <v/>
      </c>
      <c r="M132" s="3">
        <f>IF('ORDENES'!$A110="","",'ORDENES'!$AA110)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IF('ORDENES'!$A111="","",IF('ORDENES'!$AC111="","-",'ORDENES'!$AC111))</f>
        <v/>
      </c>
      <c r="D133" s="3">
        <f>IF('ORDENES'!$A111="","",IF('ORDENES'!$V111="","-",'ORDENES'!$V111))</f>
        <v/>
      </c>
      <c r="E133" s="3">
        <f>IF('ORDENES'!$A111="","",IF('ORDENES'!$U111="","-",'ORDENES'!$U111))</f>
        <v/>
      </c>
      <c r="F133" s="3">
        <f>IF('ORDENES'!$A111="","",IF('ORDENES'!$W111="","-",'ORDENES'!$W111))</f>
        <v/>
      </c>
      <c r="G133" s="3">
        <f>IF('ORDENES'!$A111="","",IF('ORDENES'!$AB111="","-",'ORDENES'!$AB111))</f>
        <v/>
      </c>
      <c r="H133" s="3">
        <f>IF('ORDENES'!$A111="","",IF('ORDENES'!$AN111="","-",'ORDENES'!$AN111))</f>
        <v/>
      </c>
      <c r="I133" s="3">
        <f>IF('ORDENES'!$A111="","",IF('ORDENES'!$D111="","-",'ORDENES'!$D111))</f>
        <v/>
      </c>
      <c r="J133" s="3">
        <f>IF('ORDENES'!$A111="","",IF('ORDENES'!$E111="","-",'ORDENES'!$E111))</f>
        <v/>
      </c>
      <c r="K133" s="12">
        <f>IF('ORDENES'!$A111="","",IF('ORDENES'!$M111="",0,'ORDENES'!$M111))</f>
        <v/>
      </c>
      <c r="L133" s="3">
        <f>IF('ORDENES'!$A111="","",IF('ORDENES'!$N111="","-",'ORDENES'!$N111))</f>
        <v/>
      </c>
      <c r="M133" s="3">
        <f>IF('ORDENES'!$A111="","",'ORDENES'!$AA111)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IF('ORDENES'!$A112="","",IF('ORDENES'!$AC112="","-",'ORDENES'!$AC112))</f>
        <v/>
      </c>
      <c r="D134" s="3">
        <f>IF('ORDENES'!$A112="","",IF('ORDENES'!$V112="","-",'ORDENES'!$V112))</f>
        <v/>
      </c>
      <c r="E134" s="3">
        <f>IF('ORDENES'!$A112="","",IF('ORDENES'!$U112="","-",'ORDENES'!$U112))</f>
        <v/>
      </c>
      <c r="F134" s="3">
        <f>IF('ORDENES'!$A112="","",IF('ORDENES'!$W112="","-",'ORDENES'!$W112))</f>
        <v/>
      </c>
      <c r="G134" s="3">
        <f>IF('ORDENES'!$A112="","",IF('ORDENES'!$AB112="","-",'ORDENES'!$AB112))</f>
        <v/>
      </c>
      <c r="H134" s="3">
        <f>IF('ORDENES'!$A112="","",IF('ORDENES'!$AN112="","-",'ORDENES'!$AN112))</f>
        <v/>
      </c>
      <c r="I134" s="3">
        <f>IF('ORDENES'!$A112="","",IF('ORDENES'!$D112="","-",'ORDENES'!$D112))</f>
        <v/>
      </c>
      <c r="J134" s="3">
        <f>IF('ORDENES'!$A112="","",IF('ORDENES'!$E112="","-",'ORDENES'!$E112))</f>
        <v/>
      </c>
      <c r="K134" s="12">
        <f>IF('ORDENES'!$A112="","",IF('ORDENES'!$M112="",0,'ORDENES'!$M112))</f>
        <v/>
      </c>
      <c r="L134" s="3">
        <f>IF('ORDENES'!$A112="","",IF('ORDENES'!$N112="","-",'ORDENES'!$N112))</f>
        <v/>
      </c>
      <c r="M134" s="3">
        <f>IF('ORDENES'!$A112="","",'ORDENES'!$AA112)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IF('ORDENES'!$A113="","",IF('ORDENES'!$AC113="","-",'ORDENES'!$AC113))</f>
        <v/>
      </c>
      <c r="D135" s="3">
        <f>IF('ORDENES'!$A113="","",IF('ORDENES'!$V113="","-",'ORDENES'!$V113))</f>
        <v/>
      </c>
      <c r="E135" s="3">
        <f>IF('ORDENES'!$A113="","",IF('ORDENES'!$U113="","-",'ORDENES'!$U113))</f>
        <v/>
      </c>
      <c r="F135" s="3">
        <f>IF('ORDENES'!$A113="","",IF('ORDENES'!$W113="","-",'ORDENES'!$W113))</f>
        <v/>
      </c>
      <c r="G135" s="3">
        <f>IF('ORDENES'!$A113="","",IF('ORDENES'!$AB113="","-",'ORDENES'!$AB113))</f>
        <v/>
      </c>
      <c r="H135" s="3">
        <f>IF('ORDENES'!$A113="","",IF('ORDENES'!$AN113="","-",'ORDENES'!$AN113))</f>
        <v/>
      </c>
      <c r="I135" s="3">
        <f>IF('ORDENES'!$A113="","",IF('ORDENES'!$D113="","-",'ORDENES'!$D113))</f>
        <v/>
      </c>
      <c r="J135" s="3">
        <f>IF('ORDENES'!$A113="","",IF('ORDENES'!$E113="","-",'ORDENES'!$E113))</f>
        <v/>
      </c>
      <c r="K135" s="12">
        <f>IF('ORDENES'!$A113="","",IF('ORDENES'!$M113="",0,'ORDENES'!$M113))</f>
        <v/>
      </c>
      <c r="L135" s="3">
        <f>IF('ORDENES'!$A113="","",IF('ORDENES'!$N113="","-",'ORDENES'!$N113))</f>
        <v/>
      </c>
      <c r="M135" s="3">
        <f>IF('ORDENES'!$A113="","",'ORDENES'!$AA113)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IF('ORDENES'!$A114="","",IF('ORDENES'!$AC114="","-",'ORDENES'!$AC114))</f>
        <v/>
      </c>
      <c r="D136" s="3">
        <f>IF('ORDENES'!$A114="","",IF('ORDENES'!$V114="","-",'ORDENES'!$V114))</f>
        <v/>
      </c>
      <c r="E136" s="3">
        <f>IF('ORDENES'!$A114="","",IF('ORDENES'!$U114="","-",'ORDENES'!$U114))</f>
        <v/>
      </c>
      <c r="F136" s="3">
        <f>IF('ORDENES'!$A114="","",IF('ORDENES'!$W114="","-",'ORDENES'!$W114))</f>
        <v/>
      </c>
      <c r="G136" s="3">
        <f>IF('ORDENES'!$A114="","",IF('ORDENES'!$AB114="","-",'ORDENES'!$AB114))</f>
        <v/>
      </c>
      <c r="H136" s="3">
        <f>IF('ORDENES'!$A114="","",IF('ORDENES'!$AN114="","-",'ORDENES'!$AN114))</f>
        <v/>
      </c>
      <c r="I136" s="3">
        <f>IF('ORDENES'!$A114="","",IF('ORDENES'!$D114="","-",'ORDENES'!$D114))</f>
        <v/>
      </c>
      <c r="J136" s="3">
        <f>IF('ORDENES'!$A114="","",IF('ORDENES'!$E114="","-",'ORDENES'!$E114))</f>
        <v/>
      </c>
      <c r="K136" s="12">
        <f>IF('ORDENES'!$A114="","",IF('ORDENES'!$M114="",0,'ORDENES'!$M114))</f>
        <v/>
      </c>
      <c r="L136" s="3">
        <f>IF('ORDENES'!$A114="","",IF('ORDENES'!$N114="","-",'ORDENES'!$N114))</f>
        <v/>
      </c>
      <c r="M136" s="3">
        <f>IF('ORDENES'!$A114="","",'ORDENES'!$AA114)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IF('ORDENES'!$A115="","",IF('ORDENES'!$AC115="","-",'ORDENES'!$AC115))</f>
        <v/>
      </c>
      <c r="D137" s="3">
        <f>IF('ORDENES'!$A115="","",IF('ORDENES'!$V115="","-",'ORDENES'!$V115))</f>
        <v/>
      </c>
      <c r="E137" s="3">
        <f>IF('ORDENES'!$A115="","",IF('ORDENES'!$U115="","-",'ORDENES'!$U115))</f>
        <v/>
      </c>
      <c r="F137" s="3">
        <f>IF('ORDENES'!$A115="","",IF('ORDENES'!$W115="","-",'ORDENES'!$W115))</f>
        <v/>
      </c>
      <c r="G137" s="3">
        <f>IF('ORDENES'!$A115="","",IF('ORDENES'!$AB115="","-",'ORDENES'!$AB115))</f>
        <v/>
      </c>
      <c r="H137" s="3">
        <f>IF('ORDENES'!$A115="","",IF('ORDENES'!$AN115="","-",'ORDENES'!$AN115))</f>
        <v/>
      </c>
      <c r="I137" s="3">
        <f>IF('ORDENES'!$A115="","",IF('ORDENES'!$D115="","-",'ORDENES'!$D115))</f>
        <v/>
      </c>
      <c r="J137" s="3">
        <f>IF('ORDENES'!$A115="","",IF('ORDENES'!$E115="","-",'ORDENES'!$E115))</f>
        <v/>
      </c>
      <c r="K137" s="12">
        <f>IF('ORDENES'!$A115="","",IF('ORDENES'!$M115="",0,'ORDENES'!$M115))</f>
        <v/>
      </c>
      <c r="L137" s="3">
        <f>IF('ORDENES'!$A115="","",IF('ORDENES'!$N115="","-",'ORDENES'!$N115))</f>
        <v/>
      </c>
      <c r="M137" s="3">
        <f>IF('ORDENES'!$A115="","",'ORDENES'!$AA115)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IF('ORDENES'!$A116="","",IF('ORDENES'!$AC116="","-",'ORDENES'!$AC116))</f>
        <v/>
      </c>
      <c r="D138" s="3">
        <f>IF('ORDENES'!$A116="","",IF('ORDENES'!$V116="","-",'ORDENES'!$V116))</f>
        <v/>
      </c>
      <c r="E138" s="3">
        <f>IF('ORDENES'!$A116="","",IF('ORDENES'!$U116="","-",'ORDENES'!$U116))</f>
        <v/>
      </c>
      <c r="F138" s="3">
        <f>IF('ORDENES'!$A116="","",IF('ORDENES'!$W116="","-",'ORDENES'!$W116))</f>
        <v/>
      </c>
      <c r="G138" s="3">
        <f>IF('ORDENES'!$A116="","",IF('ORDENES'!$AB116="","-",'ORDENES'!$AB116))</f>
        <v/>
      </c>
      <c r="H138" s="3">
        <f>IF('ORDENES'!$A116="","",IF('ORDENES'!$AN116="","-",'ORDENES'!$AN116))</f>
        <v/>
      </c>
      <c r="I138" s="3">
        <f>IF('ORDENES'!$A116="","",IF('ORDENES'!$D116="","-",'ORDENES'!$D116))</f>
        <v/>
      </c>
      <c r="J138" s="3">
        <f>IF('ORDENES'!$A116="","",IF('ORDENES'!$E116="","-",'ORDENES'!$E116))</f>
        <v/>
      </c>
      <c r="K138" s="12">
        <f>IF('ORDENES'!$A116="","",IF('ORDENES'!$M116="",0,'ORDENES'!$M116))</f>
        <v/>
      </c>
      <c r="L138" s="3">
        <f>IF('ORDENES'!$A116="","",IF('ORDENES'!$N116="","-",'ORDENES'!$N116))</f>
        <v/>
      </c>
      <c r="M138" s="3">
        <f>IF('ORDENES'!$A116="","",'ORDENES'!$AA116)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IF('ORDENES'!$A117="","",IF('ORDENES'!$AC117="","-",'ORDENES'!$AC117))</f>
        <v/>
      </c>
      <c r="D139" s="3">
        <f>IF('ORDENES'!$A117="","",IF('ORDENES'!$V117="","-",'ORDENES'!$V117))</f>
        <v/>
      </c>
      <c r="E139" s="3">
        <f>IF('ORDENES'!$A117="","",IF('ORDENES'!$U117="","-",'ORDENES'!$U117))</f>
        <v/>
      </c>
      <c r="F139" s="3">
        <f>IF('ORDENES'!$A117="","",IF('ORDENES'!$W117="","-",'ORDENES'!$W117))</f>
        <v/>
      </c>
      <c r="G139" s="3">
        <f>IF('ORDENES'!$A117="","",IF('ORDENES'!$AB117="","-",'ORDENES'!$AB117))</f>
        <v/>
      </c>
      <c r="H139" s="3">
        <f>IF('ORDENES'!$A117="","",IF('ORDENES'!$AN117="","-",'ORDENES'!$AN117))</f>
        <v/>
      </c>
      <c r="I139" s="3">
        <f>IF('ORDENES'!$A117="","",IF('ORDENES'!$D117="","-",'ORDENES'!$D117))</f>
        <v/>
      </c>
      <c r="J139" s="3">
        <f>IF('ORDENES'!$A117="","",IF('ORDENES'!$E117="","-",'ORDENES'!$E117))</f>
        <v/>
      </c>
      <c r="K139" s="12">
        <f>IF('ORDENES'!$A117="","",IF('ORDENES'!$M117="",0,'ORDENES'!$M117))</f>
        <v/>
      </c>
      <c r="L139" s="3">
        <f>IF('ORDENES'!$A117="","",IF('ORDENES'!$N117="","-",'ORDENES'!$N117))</f>
        <v/>
      </c>
      <c r="M139" s="3">
        <f>IF('ORDENES'!$A117="","",'ORDENES'!$AA117)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IF('ORDENES'!$A118="","",IF('ORDENES'!$AC118="","-",'ORDENES'!$AC118))</f>
        <v/>
      </c>
      <c r="D140" s="3">
        <f>IF('ORDENES'!$A118="","",IF('ORDENES'!$V118="","-",'ORDENES'!$V118))</f>
        <v/>
      </c>
      <c r="E140" s="3">
        <f>IF('ORDENES'!$A118="","",IF('ORDENES'!$U118="","-",'ORDENES'!$U118))</f>
        <v/>
      </c>
      <c r="F140" s="3">
        <f>IF('ORDENES'!$A118="","",IF('ORDENES'!$W118="","-",'ORDENES'!$W118))</f>
        <v/>
      </c>
      <c r="G140" s="3">
        <f>IF('ORDENES'!$A118="","",IF('ORDENES'!$AB118="","-",'ORDENES'!$AB118))</f>
        <v/>
      </c>
      <c r="H140" s="3">
        <f>IF('ORDENES'!$A118="","",IF('ORDENES'!$AN118="","-",'ORDENES'!$AN118))</f>
        <v/>
      </c>
      <c r="I140" s="3">
        <f>IF('ORDENES'!$A118="","",IF('ORDENES'!$D118="","-",'ORDENES'!$D118))</f>
        <v/>
      </c>
      <c r="J140" s="3">
        <f>IF('ORDENES'!$A118="","",IF('ORDENES'!$E118="","-",'ORDENES'!$E118))</f>
        <v/>
      </c>
      <c r="K140" s="12">
        <f>IF('ORDENES'!$A118="","",IF('ORDENES'!$M118="",0,'ORDENES'!$M118))</f>
        <v/>
      </c>
      <c r="L140" s="3">
        <f>IF('ORDENES'!$A118="","",IF('ORDENES'!$N118="","-",'ORDENES'!$N118))</f>
        <v/>
      </c>
      <c r="M140" s="3">
        <f>IF('ORDENES'!$A118="","",'ORDENES'!$AA118)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IF('ORDENES'!$A119="","",IF('ORDENES'!$AC119="","-",'ORDENES'!$AC119))</f>
        <v/>
      </c>
      <c r="D141" s="3">
        <f>IF('ORDENES'!$A119="","",IF('ORDENES'!$V119="","-",'ORDENES'!$V119))</f>
        <v/>
      </c>
      <c r="E141" s="3">
        <f>IF('ORDENES'!$A119="","",IF('ORDENES'!$U119="","-",'ORDENES'!$U119))</f>
        <v/>
      </c>
      <c r="F141" s="3">
        <f>IF('ORDENES'!$A119="","",IF('ORDENES'!$W119="","-",'ORDENES'!$W119))</f>
        <v/>
      </c>
      <c r="G141" s="3">
        <f>IF('ORDENES'!$A119="","",IF('ORDENES'!$AB119="","-",'ORDENES'!$AB119))</f>
        <v/>
      </c>
      <c r="H141" s="3">
        <f>IF('ORDENES'!$A119="","",IF('ORDENES'!$AN119="","-",'ORDENES'!$AN119))</f>
        <v/>
      </c>
      <c r="I141" s="3">
        <f>IF('ORDENES'!$A119="","",IF('ORDENES'!$D119="","-",'ORDENES'!$D119))</f>
        <v/>
      </c>
      <c r="J141" s="3">
        <f>IF('ORDENES'!$A119="","",IF('ORDENES'!$E119="","-",'ORDENES'!$E119))</f>
        <v/>
      </c>
      <c r="K141" s="12">
        <f>IF('ORDENES'!$A119="","",IF('ORDENES'!$M119="",0,'ORDENES'!$M119))</f>
        <v/>
      </c>
      <c r="L141" s="3">
        <f>IF('ORDENES'!$A119="","",IF('ORDENES'!$N119="","-",'ORDENES'!$N119))</f>
        <v/>
      </c>
      <c r="M141" s="3">
        <f>IF('ORDENES'!$A119="","",'ORDENES'!$AA119)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IF('ORDENES'!$A120="","",IF('ORDENES'!$AC120="","-",'ORDENES'!$AC120))</f>
        <v/>
      </c>
      <c r="D142" s="3">
        <f>IF('ORDENES'!$A120="","",IF('ORDENES'!$V120="","-",'ORDENES'!$V120))</f>
        <v/>
      </c>
      <c r="E142" s="3">
        <f>IF('ORDENES'!$A120="","",IF('ORDENES'!$U120="","-",'ORDENES'!$U120))</f>
        <v/>
      </c>
      <c r="F142" s="3">
        <f>IF('ORDENES'!$A120="","",IF('ORDENES'!$W120="","-",'ORDENES'!$W120))</f>
        <v/>
      </c>
      <c r="G142" s="3">
        <f>IF('ORDENES'!$A120="","",IF('ORDENES'!$AB120="","-",'ORDENES'!$AB120))</f>
        <v/>
      </c>
      <c r="H142" s="3">
        <f>IF('ORDENES'!$A120="","",IF('ORDENES'!$AN120="","-",'ORDENES'!$AN120))</f>
        <v/>
      </c>
      <c r="I142" s="3">
        <f>IF('ORDENES'!$A120="","",IF('ORDENES'!$D120="","-",'ORDENES'!$D120))</f>
        <v/>
      </c>
      <c r="J142" s="3">
        <f>IF('ORDENES'!$A120="","",IF('ORDENES'!$E120="","-",'ORDENES'!$E120))</f>
        <v/>
      </c>
      <c r="K142" s="12">
        <f>IF('ORDENES'!$A120="","",IF('ORDENES'!$M120="",0,'ORDENES'!$M120))</f>
        <v/>
      </c>
      <c r="L142" s="3">
        <f>IF('ORDENES'!$A120="","",IF('ORDENES'!$N120="","-",'ORDENES'!$N120))</f>
        <v/>
      </c>
      <c r="M142" s="3">
        <f>IF('ORDENES'!$A120="","",'ORDENES'!$AA120)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IF('ORDENES'!$A121="","",IF('ORDENES'!$AC121="","-",'ORDENES'!$AC121))</f>
        <v/>
      </c>
      <c r="D143" s="3">
        <f>IF('ORDENES'!$A121="","",IF('ORDENES'!$V121="","-",'ORDENES'!$V121))</f>
        <v/>
      </c>
      <c r="E143" s="3">
        <f>IF('ORDENES'!$A121="","",IF('ORDENES'!$U121="","-",'ORDENES'!$U121))</f>
        <v/>
      </c>
      <c r="F143" s="3">
        <f>IF('ORDENES'!$A121="","",IF('ORDENES'!$W121="","-",'ORDENES'!$W121))</f>
        <v/>
      </c>
      <c r="G143" s="3">
        <f>IF('ORDENES'!$A121="","",IF('ORDENES'!$AB121="","-",'ORDENES'!$AB121))</f>
        <v/>
      </c>
      <c r="H143" s="3">
        <f>IF('ORDENES'!$A121="","",IF('ORDENES'!$AN121="","-",'ORDENES'!$AN121))</f>
        <v/>
      </c>
      <c r="I143" s="3">
        <f>IF('ORDENES'!$A121="","",IF('ORDENES'!$D121="","-",'ORDENES'!$D121))</f>
        <v/>
      </c>
      <c r="J143" s="3">
        <f>IF('ORDENES'!$A121="","",IF('ORDENES'!$E121="","-",'ORDENES'!$E121))</f>
        <v/>
      </c>
      <c r="K143" s="12">
        <f>IF('ORDENES'!$A121="","",IF('ORDENES'!$M121="",0,'ORDENES'!$M121))</f>
        <v/>
      </c>
      <c r="L143" s="3">
        <f>IF('ORDENES'!$A121="","",IF('ORDENES'!$N121="","-",'ORDENES'!$N121))</f>
        <v/>
      </c>
      <c r="M143" s="3">
        <f>IF('ORDENES'!$A121="","",'ORDENES'!$AA121)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IF('ORDENES'!$A122="","",IF('ORDENES'!$AC122="","-",'ORDENES'!$AC122))</f>
        <v/>
      </c>
      <c r="D144" s="3">
        <f>IF('ORDENES'!$A122="","",IF('ORDENES'!$V122="","-",'ORDENES'!$V122))</f>
        <v/>
      </c>
      <c r="E144" s="3">
        <f>IF('ORDENES'!$A122="","",IF('ORDENES'!$U122="","-",'ORDENES'!$U122))</f>
        <v/>
      </c>
      <c r="F144" s="3">
        <f>IF('ORDENES'!$A122="","",IF('ORDENES'!$W122="","-",'ORDENES'!$W122))</f>
        <v/>
      </c>
      <c r="G144" s="3">
        <f>IF('ORDENES'!$A122="","",IF('ORDENES'!$AB122="","-",'ORDENES'!$AB122))</f>
        <v/>
      </c>
      <c r="H144" s="3">
        <f>IF('ORDENES'!$A122="","",IF('ORDENES'!$AN122="","-",'ORDENES'!$AN122))</f>
        <v/>
      </c>
      <c r="I144" s="3">
        <f>IF('ORDENES'!$A122="","",IF('ORDENES'!$D122="","-",'ORDENES'!$D122))</f>
        <v/>
      </c>
      <c r="J144" s="3">
        <f>IF('ORDENES'!$A122="","",IF('ORDENES'!$E122="","-",'ORDENES'!$E122))</f>
        <v/>
      </c>
      <c r="K144" s="12">
        <f>IF('ORDENES'!$A122="","",IF('ORDENES'!$M122="",0,'ORDENES'!$M122))</f>
        <v/>
      </c>
      <c r="L144" s="3">
        <f>IF('ORDENES'!$A122="","",IF('ORDENES'!$N122="","-",'ORDENES'!$N122))</f>
        <v/>
      </c>
      <c r="M144" s="3">
        <f>IF('ORDENES'!$A122="","",'ORDENES'!$AA122)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IF('ORDENES'!$A123="","",IF('ORDENES'!$AC123="","-",'ORDENES'!$AC123))</f>
        <v/>
      </c>
      <c r="D145" s="3">
        <f>IF('ORDENES'!$A123="","",IF('ORDENES'!$V123="","-",'ORDENES'!$V123))</f>
        <v/>
      </c>
      <c r="E145" s="3">
        <f>IF('ORDENES'!$A123="","",IF('ORDENES'!$U123="","-",'ORDENES'!$U123))</f>
        <v/>
      </c>
      <c r="F145" s="3">
        <f>IF('ORDENES'!$A123="","",IF('ORDENES'!$W123="","-",'ORDENES'!$W123))</f>
        <v/>
      </c>
      <c r="G145" s="3">
        <f>IF('ORDENES'!$A123="","",IF('ORDENES'!$AB123="","-",'ORDENES'!$AB123))</f>
        <v/>
      </c>
      <c r="H145" s="3">
        <f>IF('ORDENES'!$A123="","",IF('ORDENES'!$AN123="","-",'ORDENES'!$AN123))</f>
        <v/>
      </c>
      <c r="I145" s="3">
        <f>IF('ORDENES'!$A123="","",IF('ORDENES'!$D123="","-",'ORDENES'!$D123))</f>
        <v/>
      </c>
      <c r="J145" s="3">
        <f>IF('ORDENES'!$A123="","",IF('ORDENES'!$E123="","-",'ORDENES'!$E123))</f>
        <v/>
      </c>
      <c r="K145" s="12">
        <f>IF('ORDENES'!$A123="","",IF('ORDENES'!$M123="",0,'ORDENES'!$M123))</f>
        <v/>
      </c>
      <c r="L145" s="3">
        <f>IF('ORDENES'!$A123="","",IF('ORDENES'!$N123="","-",'ORDENES'!$N123))</f>
        <v/>
      </c>
      <c r="M145" s="3">
        <f>IF('ORDENES'!$A123="","",'ORDENES'!$AA123)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IF('ORDENES'!$A124="","",IF('ORDENES'!$AC124="","-",'ORDENES'!$AC124))</f>
        <v/>
      </c>
      <c r="D146" s="3">
        <f>IF('ORDENES'!$A124="","",IF('ORDENES'!$V124="","-",'ORDENES'!$V124))</f>
        <v/>
      </c>
      <c r="E146" s="3">
        <f>IF('ORDENES'!$A124="","",IF('ORDENES'!$U124="","-",'ORDENES'!$U124))</f>
        <v/>
      </c>
      <c r="F146" s="3">
        <f>IF('ORDENES'!$A124="","",IF('ORDENES'!$W124="","-",'ORDENES'!$W124))</f>
        <v/>
      </c>
      <c r="G146" s="3">
        <f>IF('ORDENES'!$A124="","",IF('ORDENES'!$AB124="","-",'ORDENES'!$AB124))</f>
        <v/>
      </c>
      <c r="H146" s="3">
        <f>IF('ORDENES'!$A124="","",IF('ORDENES'!$AN124="","-",'ORDENES'!$AN124))</f>
        <v/>
      </c>
      <c r="I146" s="3">
        <f>IF('ORDENES'!$A124="","",IF('ORDENES'!$D124="","-",'ORDENES'!$D124))</f>
        <v/>
      </c>
      <c r="J146" s="3">
        <f>IF('ORDENES'!$A124="","",IF('ORDENES'!$E124="","-",'ORDENES'!$E124))</f>
        <v/>
      </c>
      <c r="K146" s="12">
        <f>IF('ORDENES'!$A124="","",IF('ORDENES'!$M124="",0,'ORDENES'!$M124))</f>
        <v/>
      </c>
      <c r="L146" s="3">
        <f>IF('ORDENES'!$A124="","",IF('ORDENES'!$N124="","-",'ORDENES'!$N124))</f>
        <v/>
      </c>
      <c r="M146" s="3">
        <f>IF('ORDENES'!$A124="","",'ORDENES'!$AA124)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IF('ORDENES'!$A125="","",IF('ORDENES'!$AC125="","-",'ORDENES'!$AC125))</f>
        <v/>
      </c>
      <c r="D147" s="3">
        <f>IF('ORDENES'!$A125="","",IF('ORDENES'!$V125="","-",'ORDENES'!$V125))</f>
        <v/>
      </c>
      <c r="E147" s="3">
        <f>IF('ORDENES'!$A125="","",IF('ORDENES'!$U125="","-",'ORDENES'!$U125))</f>
        <v/>
      </c>
      <c r="F147" s="3">
        <f>IF('ORDENES'!$A125="","",IF('ORDENES'!$W125="","-",'ORDENES'!$W125))</f>
        <v/>
      </c>
      <c r="G147" s="3">
        <f>IF('ORDENES'!$A125="","",IF('ORDENES'!$AB125="","-",'ORDENES'!$AB125))</f>
        <v/>
      </c>
      <c r="H147" s="3">
        <f>IF('ORDENES'!$A125="","",IF('ORDENES'!$AN125="","-",'ORDENES'!$AN125))</f>
        <v/>
      </c>
      <c r="I147" s="3">
        <f>IF('ORDENES'!$A125="","",IF('ORDENES'!$D125="","-",'ORDENES'!$D125))</f>
        <v/>
      </c>
      <c r="J147" s="3">
        <f>IF('ORDENES'!$A125="","",IF('ORDENES'!$E125="","-",'ORDENES'!$E125))</f>
        <v/>
      </c>
      <c r="K147" s="12">
        <f>IF('ORDENES'!$A125="","",IF('ORDENES'!$M125="",0,'ORDENES'!$M125))</f>
        <v/>
      </c>
      <c r="L147" s="3">
        <f>IF('ORDENES'!$A125="","",IF('ORDENES'!$N125="","-",'ORDENES'!$N125))</f>
        <v/>
      </c>
      <c r="M147" s="3">
        <f>IF('ORDENES'!$A125="","",'ORDENES'!$AA125)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IF('ORDENES'!$A126="","",IF('ORDENES'!$AC126="","-",'ORDENES'!$AC126))</f>
        <v/>
      </c>
      <c r="D148" s="3">
        <f>IF('ORDENES'!$A126="","",IF('ORDENES'!$V126="","-",'ORDENES'!$V126))</f>
        <v/>
      </c>
      <c r="E148" s="3">
        <f>IF('ORDENES'!$A126="","",IF('ORDENES'!$U126="","-",'ORDENES'!$U126))</f>
        <v/>
      </c>
      <c r="F148" s="3">
        <f>IF('ORDENES'!$A126="","",IF('ORDENES'!$W126="","-",'ORDENES'!$W126))</f>
        <v/>
      </c>
      <c r="G148" s="3">
        <f>IF('ORDENES'!$A126="","",IF('ORDENES'!$AB126="","-",'ORDENES'!$AB126))</f>
        <v/>
      </c>
      <c r="H148" s="3">
        <f>IF('ORDENES'!$A126="","",IF('ORDENES'!$AN126="","-",'ORDENES'!$AN126))</f>
        <v/>
      </c>
      <c r="I148" s="3">
        <f>IF('ORDENES'!$A126="","",IF('ORDENES'!$D126="","-",'ORDENES'!$D126))</f>
        <v/>
      </c>
      <c r="J148" s="3">
        <f>IF('ORDENES'!$A126="","",IF('ORDENES'!$E126="","-",'ORDENES'!$E126))</f>
        <v/>
      </c>
      <c r="K148" s="12">
        <f>IF('ORDENES'!$A126="","",IF('ORDENES'!$M126="",0,'ORDENES'!$M126))</f>
        <v/>
      </c>
      <c r="L148" s="3">
        <f>IF('ORDENES'!$A126="","",IF('ORDENES'!$N126="","-",'ORDENES'!$N126))</f>
        <v/>
      </c>
      <c r="M148" s="3">
        <f>IF('ORDENES'!$A126="","",'ORDENES'!$AA126)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IF('ORDENES'!$A127="","",IF('ORDENES'!$AC127="","-",'ORDENES'!$AC127))</f>
        <v/>
      </c>
      <c r="D149" s="3">
        <f>IF('ORDENES'!$A127="","",IF('ORDENES'!$V127="","-",'ORDENES'!$V127))</f>
        <v/>
      </c>
      <c r="E149" s="3">
        <f>IF('ORDENES'!$A127="","",IF('ORDENES'!$U127="","-",'ORDENES'!$U127))</f>
        <v/>
      </c>
      <c r="F149" s="3">
        <f>IF('ORDENES'!$A127="","",IF('ORDENES'!$W127="","-",'ORDENES'!$W127))</f>
        <v/>
      </c>
      <c r="G149" s="3">
        <f>IF('ORDENES'!$A127="","",IF('ORDENES'!$AB127="","-",'ORDENES'!$AB127))</f>
        <v/>
      </c>
      <c r="H149" s="3">
        <f>IF('ORDENES'!$A127="","",IF('ORDENES'!$AN127="","-",'ORDENES'!$AN127))</f>
        <v/>
      </c>
      <c r="I149" s="3">
        <f>IF('ORDENES'!$A127="","",IF('ORDENES'!$D127="","-",'ORDENES'!$D127))</f>
        <v/>
      </c>
      <c r="J149" s="3">
        <f>IF('ORDENES'!$A127="","",IF('ORDENES'!$E127="","-",'ORDENES'!$E127))</f>
        <v/>
      </c>
      <c r="K149" s="12">
        <f>IF('ORDENES'!$A127="","",IF('ORDENES'!$M127="",0,'ORDENES'!$M127))</f>
        <v/>
      </c>
      <c r="L149" s="3">
        <f>IF('ORDENES'!$A127="","",IF('ORDENES'!$N127="","-",'ORDENES'!$N127))</f>
        <v/>
      </c>
      <c r="M149" s="3">
        <f>IF('ORDENES'!$A127="","",'ORDENES'!$AA127)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IF('ORDENES'!$A128="","",IF('ORDENES'!$AC128="","-",'ORDENES'!$AC128))</f>
        <v/>
      </c>
      <c r="D150" s="3">
        <f>IF('ORDENES'!$A128="","",IF('ORDENES'!$V128="","-",'ORDENES'!$V128))</f>
        <v/>
      </c>
      <c r="E150" s="3">
        <f>IF('ORDENES'!$A128="","",IF('ORDENES'!$U128="","-",'ORDENES'!$U128))</f>
        <v/>
      </c>
      <c r="F150" s="3">
        <f>IF('ORDENES'!$A128="","",IF('ORDENES'!$W128="","-",'ORDENES'!$W128))</f>
        <v/>
      </c>
      <c r="G150" s="3">
        <f>IF('ORDENES'!$A128="","",IF('ORDENES'!$AB128="","-",'ORDENES'!$AB128))</f>
        <v/>
      </c>
      <c r="H150" s="3">
        <f>IF('ORDENES'!$A128="","",IF('ORDENES'!$AN128="","-",'ORDENES'!$AN128))</f>
        <v/>
      </c>
      <c r="I150" s="3">
        <f>IF('ORDENES'!$A128="","",IF('ORDENES'!$D128="","-",'ORDENES'!$D128))</f>
        <v/>
      </c>
      <c r="J150" s="3">
        <f>IF('ORDENES'!$A128="","",IF('ORDENES'!$E128="","-",'ORDENES'!$E128))</f>
        <v/>
      </c>
      <c r="K150" s="12">
        <f>IF('ORDENES'!$A128="","",IF('ORDENES'!$M128="",0,'ORDENES'!$M128))</f>
        <v/>
      </c>
      <c r="L150" s="3">
        <f>IF('ORDENES'!$A128="","",IF('ORDENES'!$N128="","-",'ORDENES'!$N128))</f>
        <v/>
      </c>
      <c r="M150" s="3">
        <f>IF('ORDENES'!$A128="","",'ORDENES'!$AA128)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IF('ORDENES'!$A129="","",IF('ORDENES'!$AC129="","-",'ORDENES'!$AC129))</f>
        <v/>
      </c>
      <c r="D151" s="3">
        <f>IF('ORDENES'!$A129="","",IF('ORDENES'!$V129="","-",'ORDENES'!$V129))</f>
        <v/>
      </c>
      <c r="E151" s="3">
        <f>IF('ORDENES'!$A129="","",IF('ORDENES'!$U129="","-",'ORDENES'!$U129))</f>
        <v/>
      </c>
      <c r="F151" s="3">
        <f>IF('ORDENES'!$A129="","",IF('ORDENES'!$W129="","-",'ORDENES'!$W129))</f>
        <v/>
      </c>
      <c r="G151" s="3">
        <f>IF('ORDENES'!$A129="","",IF('ORDENES'!$AB129="","-",'ORDENES'!$AB129))</f>
        <v/>
      </c>
      <c r="H151" s="3">
        <f>IF('ORDENES'!$A129="","",IF('ORDENES'!$AN129="","-",'ORDENES'!$AN129))</f>
        <v/>
      </c>
      <c r="I151" s="3">
        <f>IF('ORDENES'!$A129="","",IF('ORDENES'!$D129="","-",'ORDENES'!$D129))</f>
        <v/>
      </c>
      <c r="J151" s="3">
        <f>IF('ORDENES'!$A129="","",IF('ORDENES'!$E129="","-",'ORDENES'!$E129))</f>
        <v/>
      </c>
      <c r="K151" s="12">
        <f>IF('ORDENES'!$A129="","",IF('ORDENES'!$M129="",0,'ORDENES'!$M129))</f>
        <v/>
      </c>
      <c r="L151" s="3">
        <f>IF('ORDENES'!$A129="","",IF('ORDENES'!$N129="","-",'ORDENES'!$N129))</f>
        <v/>
      </c>
      <c r="M151" s="3">
        <f>IF('ORDENES'!$A129="","",'ORDENES'!$AA129)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IF('ORDENES'!$A130="","",IF('ORDENES'!$AC130="","-",'ORDENES'!$AC130))</f>
        <v/>
      </c>
      <c r="D152" s="3">
        <f>IF('ORDENES'!$A130="","",IF('ORDENES'!$V130="","-",'ORDENES'!$V130))</f>
        <v/>
      </c>
      <c r="E152" s="3">
        <f>IF('ORDENES'!$A130="","",IF('ORDENES'!$U130="","-",'ORDENES'!$U130))</f>
        <v/>
      </c>
      <c r="F152" s="3">
        <f>IF('ORDENES'!$A130="","",IF('ORDENES'!$W130="","-",'ORDENES'!$W130))</f>
        <v/>
      </c>
      <c r="G152" s="3">
        <f>IF('ORDENES'!$A130="","",IF('ORDENES'!$AB130="","-",'ORDENES'!$AB130))</f>
        <v/>
      </c>
      <c r="H152" s="3">
        <f>IF('ORDENES'!$A130="","",IF('ORDENES'!$AN130="","-",'ORDENES'!$AN130))</f>
        <v/>
      </c>
      <c r="I152" s="3">
        <f>IF('ORDENES'!$A130="","",IF('ORDENES'!$D130="","-",'ORDENES'!$D130))</f>
        <v/>
      </c>
      <c r="J152" s="3">
        <f>IF('ORDENES'!$A130="","",IF('ORDENES'!$E130="","-",'ORDENES'!$E130))</f>
        <v/>
      </c>
      <c r="K152" s="12">
        <f>IF('ORDENES'!$A130="","",IF('ORDENES'!$M130="",0,'ORDENES'!$M130))</f>
        <v/>
      </c>
      <c r="L152" s="3">
        <f>IF('ORDENES'!$A130="","",IF('ORDENES'!$N130="","-",'ORDENES'!$N130))</f>
        <v/>
      </c>
      <c r="M152" s="3">
        <f>IF('ORDENES'!$A130="","",'ORDENES'!$AA130)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IF('ORDENES'!$A131="","",IF('ORDENES'!$AC131="","-",'ORDENES'!$AC131))</f>
        <v/>
      </c>
      <c r="D153" s="3">
        <f>IF('ORDENES'!$A131="","",IF('ORDENES'!$V131="","-",'ORDENES'!$V131))</f>
        <v/>
      </c>
      <c r="E153" s="3">
        <f>IF('ORDENES'!$A131="","",IF('ORDENES'!$U131="","-",'ORDENES'!$U131))</f>
        <v/>
      </c>
      <c r="F153" s="3">
        <f>IF('ORDENES'!$A131="","",IF('ORDENES'!$W131="","-",'ORDENES'!$W131))</f>
        <v/>
      </c>
      <c r="G153" s="3">
        <f>IF('ORDENES'!$A131="","",IF('ORDENES'!$AB131="","-",'ORDENES'!$AB131))</f>
        <v/>
      </c>
      <c r="H153" s="3">
        <f>IF('ORDENES'!$A131="","",IF('ORDENES'!$AN131="","-",'ORDENES'!$AN131))</f>
        <v/>
      </c>
      <c r="I153" s="3">
        <f>IF('ORDENES'!$A131="","",IF('ORDENES'!$D131="","-",'ORDENES'!$D131))</f>
        <v/>
      </c>
      <c r="J153" s="3">
        <f>IF('ORDENES'!$A131="","",IF('ORDENES'!$E131="","-",'ORDENES'!$E131))</f>
        <v/>
      </c>
      <c r="K153" s="12">
        <f>IF('ORDENES'!$A131="","",IF('ORDENES'!$M131="",0,'ORDENES'!$M131))</f>
        <v/>
      </c>
      <c r="L153" s="3">
        <f>IF('ORDENES'!$A131="","",IF('ORDENES'!$N131="","-",'ORDENES'!$N131))</f>
        <v/>
      </c>
      <c r="M153" s="3">
        <f>IF('ORDENES'!$A131="","",'ORDENES'!$AA131)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IF('ORDENES'!$A132="","",IF('ORDENES'!$AC132="","-",'ORDENES'!$AC132))</f>
        <v/>
      </c>
      <c r="D154" s="3">
        <f>IF('ORDENES'!$A132="","",IF('ORDENES'!$V132="","-",'ORDENES'!$V132))</f>
        <v/>
      </c>
      <c r="E154" s="3">
        <f>IF('ORDENES'!$A132="","",IF('ORDENES'!$U132="","-",'ORDENES'!$U132))</f>
        <v/>
      </c>
      <c r="F154" s="3">
        <f>IF('ORDENES'!$A132="","",IF('ORDENES'!$W132="","-",'ORDENES'!$W132))</f>
        <v/>
      </c>
      <c r="G154" s="3">
        <f>IF('ORDENES'!$A132="","",IF('ORDENES'!$AB132="","-",'ORDENES'!$AB132))</f>
        <v/>
      </c>
      <c r="H154" s="3">
        <f>IF('ORDENES'!$A132="","",IF('ORDENES'!$AN132="","-",'ORDENES'!$AN132))</f>
        <v/>
      </c>
      <c r="I154" s="3">
        <f>IF('ORDENES'!$A132="","",IF('ORDENES'!$D132="","-",'ORDENES'!$D132))</f>
        <v/>
      </c>
      <c r="J154" s="3">
        <f>IF('ORDENES'!$A132="","",IF('ORDENES'!$E132="","-",'ORDENES'!$E132))</f>
        <v/>
      </c>
      <c r="K154" s="12">
        <f>IF('ORDENES'!$A132="","",IF('ORDENES'!$M132="",0,'ORDENES'!$M132))</f>
        <v/>
      </c>
      <c r="L154" s="3">
        <f>IF('ORDENES'!$A132="","",IF('ORDENES'!$N132="","-",'ORDENES'!$N132))</f>
        <v/>
      </c>
      <c r="M154" s="3">
        <f>IF('ORDENES'!$A132="","",'ORDENES'!$AA132)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IF('ORDENES'!$A133="","",IF('ORDENES'!$AC133="","-",'ORDENES'!$AC133))</f>
        <v/>
      </c>
      <c r="D155" s="3">
        <f>IF('ORDENES'!$A133="","",IF('ORDENES'!$V133="","-",'ORDENES'!$V133))</f>
        <v/>
      </c>
      <c r="E155" s="3">
        <f>IF('ORDENES'!$A133="","",IF('ORDENES'!$U133="","-",'ORDENES'!$U133))</f>
        <v/>
      </c>
      <c r="F155" s="3">
        <f>IF('ORDENES'!$A133="","",IF('ORDENES'!$W133="","-",'ORDENES'!$W133))</f>
        <v/>
      </c>
      <c r="G155" s="3">
        <f>IF('ORDENES'!$A133="","",IF('ORDENES'!$AB133="","-",'ORDENES'!$AB133))</f>
        <v/>
      </c>
      <c r="H155" s="3">
        <f>IF('ORDENES'!$A133="","",IF('ORDENES'!$AN133="","-",'ORDENES'!$AN133))</f>
        <v/>
      </c>
      <c r="I155" s="3">
        <f>IF('ORDENES'!$A133="","",IF('ORDENES'!$D133="","-",'ORDENES'!$D133))</f>
        <v/>
      </c>
      <c r="J155" s="3">
        <f>IF('ORDENES'!$A133="","",IF('ORDENES'!$E133="","-",'ORDENES'!$E133))</f>
        <v/>
      </c>
      <c r="K155" s="12">
        <f>IF('ORDENES'!$A133="","",IF('ORDENES'!$M133="",0,'ORDENES'!$M133))</f>
        <v/>
      </c>
      <c r="L155" s="3">
        <f>IF('ORDENES'!$A133="","",IF('ORDENES'!$N133="","-",'ORDENES'!$N133))</f>
        <v/>
      </c>
      <c r="M155" s="3">
        <f>IF('ORDENES'!$A133="","",'ORDENES'!$AA133)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IF('ORDENES'!$A134="","",IF('ORDENES'!$AC134="","-",'ORDENES'!$AC134))</f>
        <v/>
      </c>
      <c r="D156" s="3">
        <f>IF('ORDENES'!$A134="","",IF('ORDENES'!$V134="","-",'ORDENES'!$V134))</f>
        <v/>
      </c>
      <c r="E156" s="3">
        <f>IF('ORDENES'!$A134="","",IF('ORDENES'!$U134="","-",'ORDENES'!$U134))</f>
        <v/>
      </c>
      <c r="F156" s="3">
        <f>IF('ORDENES'!$A134="","",IF('ORDENES'!$W134="","-",'ORDENES'!$W134))</f>
        <v/>
      </c>
      <c r="G156" s="3">
        <f>IF('ORDENES'!$A134="","",IF('ORDENES'!$AB134="","-",'ORDENES'!$AB134))</f>
        <v/>
      </c>
      <c r="H156" s="3">
        <f>IF('ORDENES'!$A134="","",IF('ORDENES'!$AN134="","-",'ORDENES'!$AN134))</f>
        <v/>
      </c>
      <c r="I156" s="3">
        <f>IF('ORDENES'!$A134="","",IF('ORDENES'!$D134="","-",'ORDENES'!$D134))</f>
        <v/>
      </c>
      <c r="J156" s="3">
        <f>IF('ORDENES'!$A134="","",IF('ORDENES'!$E134="","-",'ORDENES'!$E134))</f>
        <v/>
      </c>
      <c r="K156" s="12">
        <f>IF('ORDENES'!$A134="","",IF('ORDENES'!$M134="",0,'ORDENES'!$M134))</f>
        <v/>
      </c>
      <c r="L156" s="3">
        <f>IF('ORDENES'!$A134="","",IF('ORDENES'!$N134="","-",'ORDENES'!$N134))</f>
        <v/>
      </c>
      <c r="M156" s="3">
        <f>IF('ORDENES'!$A134="","",'ORDENES'!$AA134)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IF('ORDENES'!$A135="","",IF('ORDENES'!$AC135="","-",'ORDENES'!$AC135))</f>
        <v/>
      </c>
      <c r="D157" s="3">
        <f>IF('ORDENES'!$A135="","",IF('ORDENES'!$V135="","-",'ORDENES'!$V135))</f>
        <v/>
      </c>
      <c r="E157" s="3">
        <f>IF('ORDENES'!$A135="","",IF('ORDENES'!$U135="","-",'ORDENES'!$U135))</f>
        <v/>
      </c>
      <c r="F157" s="3">
        <f>IF('ORDENES'!$A135="","",IF('ORDENES'!$W135="","-",'ORDENES'!$W135))</f>
        <v/>
      </c>
      <c r="G157" s="3">
        <f>IF('ORDENES'!$A135="","",IF('ORDENES'!$AB135="","-",'ORDENES'!$AB135))</f>
        <v/>
      </c>
      <c r="H157" s="3">
        <f>IF('ORDENES'!$A135="","",IF('ORDENES'!$AN135="","-",'ORDENES'!$AN135))</f>
        <v/>
      </c>
      <c r="I157" s="3">
        <f>IF('ORDENES'!$A135="","",IF('ORDENES'!$D135="","-",'ORDENES'!$D135))</f>
        <v/>
      </c>
      <c r="J157" s="3">
        <f>IF('ORDENES'!$A135="","",IF('ORDENES'!$E135="","-",'ORDENES'!$E135))</f>
        <v/>
      </c>
      <c r="K157" s="12">
        <f>IF('ORDENES'!$A135="","",IF('ORDENES'!$M135="",0,'ORDENES'!$M135))</f>
        <v/>
      </c>
      <c r="L157" s="3">
        <f>IF('ORDENES'!$A135="","",IF('ORDENES'!$N135="","-",'ORDENES'!$N135))</f>
        <v/>
      </c>
      <c r="M157" s="3">
        <f>IF('ORDENES'!$A135="","",'ORDENES'!$AA135)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IF('ORDENES'!$A136="","",IF('ORDENES'!$AC136="","-",'ORDENES'!$AC136))</f>
        <v/>
      </c>
      <c r="D158" s="3">
        <f>IF('ORDENES'!$A136="","",IF('ORDENES'!$V136="","-",'ORDENES'!$V136))</f>
        <v/>
      </c>
      <c r="E158" s="3">
        <f>IF('ORDENES'!$A136="","",IF('ORDENES'!$U136="","-",'ORDENES'!$U136))</f>
        <v/>
      </c>
      <c r="F158" s="3">
        <f>IF('ORDENES'!$A136="","",IF('ORDENES'!$W136="","-",'ORDENES'!$W136))</f>
        <v/>
      </c>
      <c r="G158" s="3">
        <f>IF('ORDENES'!$A136="","",IF('ORDENES'!$AB136="","-",'ORDENES'!$AB136))</f>
        <v/>
      </c>
      <c r="H158" s="3">
        <f>IF('ORDENES'!$A136="","",IF('ORDENES'!$AN136="","-",'ORDENES'!$AN136))</f>
        <v/>
      </c>
      <c r="I158" s="3">
        <f>IF('ORDENES'!$A136="","",IF('ORDENES'!$D136="","-",'ORDENES'!$D136))</f>
        <v/>
      </c>
      <c r="J158" s="3">
        <f>IF('ORDENES'!$A136="","",IF('ORDENES'!$E136="","-",'ORDENES'!$E136))</f>
        <v/>
      </c>
      <c r="K158" s="12">
        <f>IF('ORDENES'!$A136="","",IF('ORDENES'!$M136="",0,'ORDENES'!$M136))</f>
        <v/>
      </c>
      <c r="L158" s="3">
        <f>IF('ORDENES'!$A136="","",IF('ORDENES'!$N136="","-",'ORDENES'!$N136))</f>
        <v/>
      </c>
      <c r="M158" s="3">
        <f>IF('ORDENES'!$A136="","",'ORDENES'!$AA136)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IF('ORDENES'!$A137="","",IF('ORDENES'!$AC137="","-",'ORDENES'!$AC137))</f>
        <v/>
      </c>
      <c r="D159" s="3">
        <f>IF('ORDENES'!$A137="","",IF('ORDENES'!$V137="","-",'ORDENES'!$V137))</f>
        <v/>
      </c>
      <c r="E159" s="3">
        <f>IF('ORDENES'!$A137="","",IF('ORDENES'!$U137="","-",'ORDENES'!$U137))</f>
        <v/>
      </c>
      <c r="F159" s="3">
        <f>IF('ORDENES'!$A137="","",IF('ORDENES'!$W137="","-",'ORDENES'!$W137))</f>
        <v/>
      </c>
      <c r="G159" s="3">
        <f>IF('ORDENES'!$A137="","",IF('ORDENES'!$AB137="","-",'ORDENES'!$AB137))</f>
        <v/>
      </c>
      <c r="H159" s="3">
        <f>IF('ORDENES'!$A137="","",IF('ORDENES'!$AN137="","-",'ORDENES'!$AN137))</f>
        <v/>
      </c>
      <c r="I159" s="3">
        <f>IF('ORDENES'!$A137="","",IF('ORDENES'!$D137="","-",'ORDENES'!$D137))</f>
        <v/>
      </c>
      <c r="J159" s="3">
        <f>IF('ORDENES'!$A137="","",IF('ORDENES'!$E137="","-",'ORDENES'!$E137))</f>
        <v/>
      </c>
      <c r="K159" s="12">
        <f>IF('ORDENES'!$A137="","",IF('ORDENES'!$M137="",0,'ORDENES'!$M137))</f>
        <v/>
      </c>
      <c r="L159" s="3">
        <f>IF('ORDENES'!$A137="","",IF('ORDENES'!$N137="","-",'ORDENES'!$N137))</f>
        <v/>
      </c>
      <c r="M159" s="3">
        <f>IF('ORDENES'!$A137="","",'ORDENES'!$AA137)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IF('ORDENES'!$A138="","",IF('ORDENES'!$AC138="","-",'ORDENES'!$AC138))</f>
        <v/>
      </c>
      <c r="D160" s="3">
        <f>IF('ORDENES'!$A138="","",IF('ORDENES'!$V138="","-",'ORDENES'!$V138))</f>
        <v/>
      </c>
      <c r="E160" s="3">
        <f>IF('ORDENES'!$A138="","",IF('ORDENES'!$U138="","-",'ORDENES'!$U138))</f>
        <v/>
      </c>
      <c r="F160" s="3">
        <f>IF('ORDENES'!$A138="","",IF('ORDENES'!$W138="","-",'ORDENES'!$W138))</f>
        <v/>
      </c>
      <c r="G160" s="3">
        <f>IF('ORDENES'!$A138="","",IF('ORDENES'!$AB138="","-",'ORDENES'!$AB138))</f>
        <v/>
      </c>
      <c r="H160" s="3">
        <f>IF('ORDENES'!$A138="","",IF('ORDENES'!$AN138="","-",'ORDENES'!$AN138))</f>
        <v/>
      </c>
      <c r="I160" s="3">
        <f>IF('ORDENES'!$A138="","",IF('ORDENES'!$D138="","-",'ORDENES'!$D138))</f>
        <v/>
      </c>
      <c r="J160" s="3">
        <f>IF('ORDENES'!$A138="","",IF('ORDENES'!$E138="","-",'ORDENES'!$E138))</f>
        <v/>
      </c>
      <c r="K160" s="12">
        <f>IF('ORDENES'!$A138="","",IF('ORDENES'!$M138="",0,'ORDENES'!$M138))</f>
        <v/>
      </c>
      <c r="L160" s="3">
        <f>IF('ORDENES'!$A138="","",IF('ORDENES'!$N138="","-",'ORDENES'!$N138))</f>
        <v/>
      </c>
      <c r="M160" s="3">
        <f>IF('ORDENES'!$A138="","",'ORDENES'!$AA138)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IF('ORDENES'!$A139="","",IF('ORDENES'!$AC139="","-",'ORDENES'!$AC139))</f>
        <v/>
      </c>
      <c r="D161" s="3">
        <f>IF('ORDENES'!$A139="","",IF('ORDENES'!$V139="","-",'ORDENES'!$V139))</f>
        <v/>
      </c>
      <c r="E161" s="3">
        <f>IF('ORDENES'!$A139="","",IF('ORDENES'!$U139="","-",'ORDENES'!$U139))</f>
        <v/>
      </c>
      <c r="F161" s="3">
        <f>IF('ORDENES'!$A139="","",IF('ORDENES'!$W139="","-",'ORDENES'!$W139))</f>
        <v/>
      </c>
      <c r="G161" s="3">
        <f>IF('ORDENES'!$A139="","",IF('ORDENES'!$AB139="","-",'ORDENES'!$AB139))</f>
        <v/>
      </c>
      <c r="H161" s="3">
        <f>IF('ORDENES'!$A139="","",IF('ORDENES'!$AN139="","-",'ORDENES'!$AN139))</f>
        <v/>
      </c>
      <c r="I161" s="3">
        <f>IF('ORDENES'!$A139="","",IF('ORDENES'!$D139="","-",'ORDENES'!$D139))</f>
        <v/>
      </c>
      <c r="J161" s="3">
        <f>IF('ORDENES'!$A139="","",IF('ORDENES'!$E139="","-",'ORDENES'!$E139))</f>
        <v/>
      </c>
      <c r="K161" s="12">
        <f>IF('ORDENES'!$A139="","",IF('ORDENES'!$M139="",0,'ORDENES'!$M139))</f>
        <v/>
      </c>
      <c r="L161" s="3">
        <f>IF('ORDENES'!$A139="","",IF('ORDENES'!$N139="","-",'ORDENES'!$N139))</f>
        <v/>
      </c>
      <c r="M161" s="3">
        <f>IF('ORDENES'!$A139="","",'ORDENES'!$AA139)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IF('ORDENES'!$A140="","",IF('ORDENES'!$AC140="","-",'ORDENES'!$AC140))</f>
        <v/>
      </c>
      <c r="D162" s="3">
        <f>IF('ORDENES'!$A140="","",IF('ORDENES'!$V140="","-",'ORDENES'!$V140))</f>
        <v/>
      </c>
      <c r="E162" s="3">
        <f>IF('ORDENES'!$A140="","",IF('ORDENES'!$U140="","-",'ORDENES'!$U140))</f>
        <v/>
      </c>
      <c r="F162" s="3">
        <f>IF('ORDENES'!$A140="","",IF('ORDENES'!$W140="","-",'ORDENES'!$W140))</f>
        <v/>
      </c>
      <c r="G162" s="3">
        <f>IF('ORDENES'!$A140="","",IF('ORDENES'!$AB140="","-",'ORDENES'!$AB140))</f>
        <v/>
      </c>
      <c r="H162" s="3">
        <f>IF('ORDENES'!$A140="","",IF('ORDENES'!$AN140="","-",'ORDENES'!$AN140))</f>
        <v/>
      </c>
      <c r="I162" s="3">
        <f>IF('ORDENES'!$A140="","",IF('ORDENES'!$D140="","-",'ORDENES'!$D140))</f>
        <v/>
      </c>
      <c r="J162" s="3">
        <f>IF('ORDENES'!$A140="","",IF('ORDENES'!$E140="","-",'ORDENES'!$E140))</f>
        <v/>
      </c>
      <c r="K162" s="12">
        <f>IF('ORDENES'!$A140="","",IF('ORDENES'!$M140="",0,'ORDENES'!$M140))</f>
        <v/>
      </c>
      <c r="L162" s="3">
        <f>IF('ORDENES'!$A140="","",IF('ORDENES'!$N140="","-",'ORDENES'!$N140))</f>
        <v/>
      </c>
      <c r="M162" s="3">
        <f>IF('ORDENES'!$A140="","",'ORDENES'!$AA140)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IF('ORDENES'!$A141="","",IF('ORDENES'!$AC141="","-",'ORDENES'!$AC141))</f>
        <v/>
      </c>
      <c r="D163" s="3">
        <f>IF('ORDENES'!$A141="","",IF('ORDENES'!$V141="","-",'ORDENES'!$V141))</f>
        <v/>
      </c>
      <c r="E163" s="3">
        <f>IF('ORDENES'!$A141="","",IF('ORDENES'!$U141="","-",'ORDENES'!$U141))</f>
        <v/>
      </c>
      <c r="F163" s="3">
        <f>IF('ORDENES'!$A141="","",IF('ORDENES'!$W141="","-",'ORDENES'!$W141))</f>
        <v/>
      </c>
      <c r="G163" s="3">
        <f>IF('ORDENES'!$A141="","",IF('ORDENES'!$AB141="","-",'ORDENES'!$AB141))</f>
        <v/>
      </c>
      <c r="H163" s="3">
        <f>IF('ORDENES'!$A141="","",IF('ORDENES'!$AN141="","-",'ORDENES'!$AN141))</f>
        <v/>
      </c>
      <c r="I163" s="3">
        <f>IF('ORDENES'!$A141="","",IF('ORDENES'!$D141="","-",'ORDENES'!$D141))</f>
        <v/>
      </c>
      <c r="J163" s="3">
        <f>IF('ORDENES'!$A141="","",IF('ORDENES'!$E141="","-",'ORDENES'!$E141))</f>
        <v/>
      </c>
      <c r="K163" s="12">
        <f>IF('ORDENES'!$A141="","",IF('ORDENES'!$M141="",0,'ORDENES'!$M141))</f>
        <v/>
      </c>
      <c r="L163" s="3">
        <f>IF('ORDENES'!$A141="","",IF('ORDENES'!$N141="","-",'ORDENES'!$N141))</f>
        <v/>
      </c>
      <c r="M163" s="3">
        <f>IF('ORDENES'!$A141="","",'ORDENES'!$AA141)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IF('ORDENES'!$A142="","",IF('ORDENES'!$AC142="","-",'ORDENES'!$AC142))</f>
        <v/>
      </c>
      <c r="D164" s="3">
        <f>IF('ORDENES'!$A142="","",IF('ORDENES'!$V142="","-",'ORDENES'!$V142))</f>
        <v/>
      </c>
      <c r="E164" s="3">
        <f>IF('ORDENES'!$A142="","",IF('ORDENES'!$U142="","-",'ORDENES'!$U142))</f>
        <v/>
      </c>
      <c r="F164" s="3">
        <f>IF('ORDENES'!$A142="","",IF('ORDENES'!$W142="","-",'ORDENES'!$W142))</f>
        <v/>
      </c>
      <c r="G164" s="3">
        <f>IF('ORDENES'!$A142="","",IF('ORDENES'!$AB142="","-",'ORDENES'!$AB142))</f>
        <v/>
      </c>
      <c r="H164" s="3">
        <f>IF('ORDENES'!$A142="","",IF('ORDENES'!$AN142="","-",'ORDENES'!$AN142))</f>
        <v/>
      </c>
      <c r="I164" s="3">
        <f>IF('ORDENES'!$A142="","",IF('ORDENES'!$D142="","-",'ORDENES'!$D142))</f>
        <v/>
      </c>
      <c r="J164" s="3">
        <f>IF('ORDENES'!$A142="","",IF('ORDENES'!$E142="","-",'ORDENES'!$E142))</f>
        <v/>
      </c>
      <c r="K164" s="12">
        <f>IF('ORDENES'!$A142="","",IF('ORDENES'!$M142="",0,'ORDENES'!$M142))</f>
        <v/>
      </c>
      <c r="L164" s="3">
        <f>IF('ORDENES'!$A142="","",IF('ORDENES'!$N142="","-",'ORDENES'!$N142))</f>
        <v/>
      </c>
      <c r="M164" s="3">
        <f>IF('ORDENES'!$A142="","",'ORDENES'!$AA142)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IF('ORDENES'!$A143="","",IF('ORDENES'!$AC143="","-",'ORDENES'!$AC143))</f>
        <v/>
      </c>
      <c r="D165" s="3">
        <f>IF('ORDENES'!$A143="","",IF('ORDENES'!$V143="","-",'ORDENES'!$V143))</f>
        <v/>
      </c>
      <c r="E165" s="3">
        <f>IF('ORDENES'!$A143="","",IF('ORDENES'!$U143="","-",'ORDENES'!$U143))</f>
        <v/>
      </c>
      <c r="F165" s="3">
        <f>IF('ORDENES'!$A143="","",IF('ORDENES'!$W143="","-",'ORDENES'!$W143))</f>
        <v/>
      </c>
      <c r="G165" s="3">
        <f>IF('ORDENES'!$A143="","",IF('ORDENES'!$AB143="","-",'ORDENES'!$AB143))</f>
        <v/>
      </c>
      <c r="H165" s="3">
        <f>IF('ORDENES'!$A143="","",IF('ORDENES'!$AN143="","-",'ORDENES'!$AN143))</f>
        <v/>
      </c>
      <c r="I165" s="3">
        <f>IF('ORDENES'!$A143="","",IF('ORDENES'!$D143="","-",'ORDENES'!$D143))</f>
        <v/>
      </c>
      <c r="J165" s="3">
        <f>IF('ORDENES'!$A143="","",IF('ORDENES'!$E143="","-",'ORDENES'!$E143))</f>
        <v/>
      </c>
      <c r="K165" s="12">
        <f>IF('ORDENES'!$A143="","",IF('ORDENES'!$M143="",0,'ORDENES'!$M143))</f>
        <v/>
      </c>
      <c r="L165" s="3">
        <f>IF('ORDENES'!$A143="","",IF('ORDENES'!$N143="","-",'ORDENES'!$N143))</f>
        <v/>
      </c>
      <c r="M165" s="3">
        <f>IF('ORDENES'!$A143="","",'ORDENES'!$AA143)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IF('ORDENES'!$A144="","",IF('ORDENES'!$AC144="","-",'ORDENES'!$AC144))</f>
        <v/>
      </c>
      <c r="D166" s="3">
        <f>IF('ORDENES'!$A144="","",IF('ORDENES'!$V144="","-",'ORDENES'!$V144))</f>
        <v/>
      </c>
      <c r="E166" s="3">
        <f>IF('ORDENES'!$A144="","",IF('ORDENES'!$U144="","-",'ORDENES'!$U144))</f>
        <v/>
      </c>
      <c r="F166" s="3">
        <f>IF('ORDENES'!$A144="","",IF('ORDENES'!$W144="","-",'ORDENES'!$W144))</f>
        <v/>
      </c>
      <c r="G166" s="3">
        <f>IF('ORDENES'!$A144="","",IF('ORDENES'!$AB144="","-",'ORDENES'!$AB144))</f>
        <v/>
      </c>
      <c r="H166" s="3">
        <f>IF('ORDENES'!$A144="","",IF('ORDENES'!$AN144="","-",'ORDENES'!$AN144))</f>
        <v/>
      </c>
      <c r="I166" s="3">
        <f>IF('ORDENES'!$A144="","",IF('ORDENES'!$D144="","-",'ORDENES'!$D144))</f>
        <v/>
      </c>
      <c r="J166" s="3">
        <f>IF('ORDENES'!$A144="","",IF('ORDENES'!$E144="","-",'ORDENES'!$E144))</f>
        <v/>
      </c>
      <c r="K166" s="12">
        <f>IF('ORDENES'!$A144="","",IF('ORDENES'!$M144="",0,'ORDENES'!$M144))</f>
        <v/>
      </c>
      <c r="L166" s="3">
        <f>IF('ORDENES'!$A144="","",IF('ORDENES'!$N144="","-",'ORDENES'!$N144))</f>
        <v/>
      </c>
      <c r="M166" s="3">
        <f>IF('ORDENES'!$A144="","",'ORDENES'!$AA144)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IF('ORDENES'!$A145="","",IF('ORDENES'!$AC145="","-",'ORDENES'!$AC145))</f>
        <v/>
      </c>
      <c r="D167" s="3">
        <f>IF('ORDENES'!$A145="","",IF('ORDENES'!$V145="","-",'ORDENES'!$V145))</f>
        <v/>
      </c>
      <c r="E167" s="3">
        <f>IF('ORDENES'!$A145="","",IF('ORDENES'!$U145="","-",'ORDENES'!$U145))</f>
        <v/>
      </c>
      <c r="F167" s="3">
        <f>IF('ORDENES'!$A145="","",IF('ORDENES'!$W145="","-",'ORDENES'!$W145))</f>
        <v/>
      </c>
      <c r="G167" s="3">
        <f>IF('ORDENES'!$A145="","",IF('ORDENES'!$AB145="","-",'ORDENES'!$AB145))</f>
        <v/>
      </c>
      <c r="H167" s="3">
        <f>IF('ORDENES'!$A145="","",IF('ORDENES'!$AN145="","-",'ORDENES'!$AN145))</f>
        <v/>
      </c>
      <c r="I167" s="3">
        <f>IF('ORDENES'!$A145="","",IF('ORDENES'!$D145="","-",'ORDENES'!$D145))</f>
        <v/>
      </c>
      <c r="J167" s="3">
        <f>IF('ORDENES'!$A145="","",IF('ORDENES'!$E145="","-",'ORDENES'!$E145))</f>
        <v/>
      </c>
      <c r="K167" s="12">
        <f>IF('ORDENES'!$A145="","",IF('ORDENES'!$M145="",0,'ORDENES'!$M145))</f>
        <v/>
      </c>
      <c r="L167" s="3">
        <f>IF('ORDENES'!$A145="","",IF('ORDENES'!$N145="","-",'ORDENES'!$N145))</f>
        <v/>
      </c>
      <c r="M167" s="3">
        <f>IF('ORDENES'!$A145="","",'ORDENES'!$AA145)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IF('ORDENES'!$A146="","",IF('ORDENES'!$AC146="","-",'ORDENES'!$AC146))</f>
        <v/>
      </c>
      <c r="D168" s="3">
        <f>IF('ORDENES'!$A146="","",IF('ORDENES'!$V146="","-",'ORDENES'!$V146))</f>
        <v/>
      </c>
      <c r="E168" s="3">
        <f>IF('ORDENES'!$A146="","",IF('ORDENES'!$U146="","-",'ORDENES'!$U146))</f>
        <v/>
      </c>
      <c r="F168" s="3">
        <f>IF('ORDENES'!$A146="","",IF('ORDENES'!$W146="","-",'ORDENES'!$W146))</f>
        <v/>
      </c>
      <c r="G168" s="3">
        <f>IF('ORDENES'!$A146="","",IF('ORDENES'!$AB146="","-",'ORDENES'!$AB146))</f>
        <v/>
      </c>
      <c r="H168" s="3">
        <f>IF('ORDENES'!$A146="","",IF('ORDENES'!$AN146="","-",'ORDENES'!$AN146))</f>
        <v/>
      </c>
      <c r="I168" s="3">
        <f>IF('ORDENES'!$A146="","",IF('ORDENES'!$D146="","-",'ORDENES'!$D146))</f>
        <v/>
      </c>
      <c r="J168" s="3">
        <f>IF('ORDENES'!$A146="","",IF('ORDENES'!$E146="","-",'ORDENES'!$E146))</f>
        <v/>
      </c>
      <c r="K168" s="12">
        <f>IF('ORDENES'!$A146="","",IF('ORDENES'!$M146="",0,'ORDENES'!$M146))</f>
        <v/>
      </c>
      <c r="L168" s="3">
        <f>IF('ORDENES'!$A146="","",IF('ORDENES'!$N146="","-",'ORDENES'!$N146))</f>
        <v/>
      </c>
      <c r="M168" s="3">
        <f>IF('ORDENES'!$A146="","",'ORDENES'!$AA146)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IF('ORDENES'!$A147="","",IF('ORDENES'!$AC147="","-",'ORDENES'!$AC147))</f>
        <v/>
      </c>
      <c r="D169" s="3">
        <f>IF('ORDENES'!$A147="","",IF('ORDENES'!$V147="","-",'ORDENES'!$V147))</f>
        <v/>
      </c>
      <c r="E169" s="3">
        <f>IF('ORDENES'!$A147="","",IF('ORDENES'!$U147="","-",'ORDENES'!$U147))</f>
        <v/>
      </c>
      <c r="F169" s="3">
        <f>IF('ORDENES'!$A147="","",IF('ORDENES'!$W147="","-",'ORDENES'!$W147))</f>
        <v/>
      </c>
      <c r="G169" s="3">
        <f>IF('ORDENES'!$A147="","",IF('ORDENES'!$AB147="","-",'ORDENES'!$AB147))</f>
        <v/>
      </c>
      <c r="H169" s="3">
        <f>IF('ORDENES'!$A147="","",IF('ORDENES'!$AN147="","-",'ORDENES'!$AN147))</f>
        <v/>
      </c>
      <c r="I169" s="3">
        <f>IF('ORDENES'!$A147="","",IF('ORDENES'!$D147="","-",'ORDENES'!$D147))</f>
        <v/>
      </c>
      <c r="J169" s="3">
        <f>IF('ORDENES'!$A147="","",IF('ORDENES'!$E147="","-",'ORDENES'!$E147))</f>
        <v/>
      </c>
      <c r="K169" s="12">
        <f>IF('ORDENES'!$A147="","",IF('ORDENES'!$M147="",0,'ORDENES'!$M147))</f>
        <v/>
      </c>
      <c r="L169" s="3">
        <f>IF('ORDENES'!$A147="","",IF('ORDENES'!$N147="","-",'ORDENES'!$N147))</f>
        <v/>
      </c>
      <c r="M169" s="3">
        <f>IF('ORDENES'!$A147="","",'ORDENES'!$AA147)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IF('ORDENES'!$A148="","",IF('ORDENES'!$AC148="","-",'ORDENES'!$AC148))</f>
        <v/>
      </c>
      <c r="D170" s="3">
        <f>IF('ORDENES'!$A148="","",IF('ORDENES'!$V148="","-",'ORDENES'!$V148))</f>
        <v/>
      </c>
      <c r="E170" s="3">
        <f>IF('ORDENES'!$A148="","",IF('ORDENES'!$U148="","-",'ORDENES'!$U148))</f>
        <v/>
      </c>
      <c r="F170" s="3">
        <f>IF('ORDENES'!$A148="","",IF('ORDENES'!$W148="","-",'ORDENES'!$W148))</f>
        <v/>
      </c>
      <c r="G170" s="3">
        <f>IF('ORDENES'!$A148="","",IF('ORDENES'!$AB148="","-",'ORDENES'!$AB148))</f>
        <v/>
      </c>
      <c r="H170" s="3">
        <f>IF('ORDENES'!$A148="","",IF('ORDENES'!$AN148="","-",'ORDENES'!$AN148))</f>
        <v/>
      </c>
      <c r="I170" s="3">
        <f>IF('ORDENES'!$A148="","",IF('ORDENES'!$D148="","-",'ORDENES'!$D148))</f>
        <v/>
      </c>
      <c r="J170" s="3">
        <f>IF('ORDENES'!$A148="","",IF('ORDENES'!$E148="","-",'ORDENES'!$E148))</f>
        <v/>
      </c>
      <c r="K170" s="12">
        <f>IF('ORDENES'!$A148="","",IF('ORDENES'!$M148="",0,'ORDENES'!$M148))</f>
        <v/>
      </c>
      <c r="L170" s="3">
        <f>IF('ORDENES'!$A148="","",IF('ORDENES'!$N148="","-",'ORDENES'!$N148))</f>
        <v/>
      </c>
      <c r="M170" s="3">
        <f>IF('ORDENES'!$A148="","",'ORDENES'!$AA148)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IF('ORDENES'!$A149="","",IF('ORDENES'!$AC149="","-",'ORDENES'!$AC149))</f>
        <v/>
      </c>
      <c r="D171" s="3">
        <f>IF('ORDENES'!$A149="","",IF('ORDENES'!$V149="","-",'ORDENES'!$V149))</f>
        <v/>
      </c>
      <c r="E171" s="3">
        <f>IF('ORDENES'!$A149="","",IF('ORDENES'!$U149="","-",'ORDENES'!$U149))</f>
        <v/>
      </c>
      <c r="F171" s="3">
        <f>IF('ORDENES'!$A149="","",IF('ORDENES'!$W149="","-",'ORDENES'!$W149))</f>
        <v/>
      </c>
      <c r="G171" s="3">
        <f>IF('ORDENES'!$A149="","",IF('ORDENES'!$AB149="","-",'ORDENES'!$AB149))</f>
        <v/>
      </c>
      <c r="H171" s="3">
        <f>IF('ORDENES'!$A149="","",IF('ORDENES'!$AN149="","-",'ORDENES'!$AN149))</f>
        <v/>
      </c>
      <c r="I171" s="3">
        <f>IF('ORDENES'!$A149="","",IF('ORDENES'!$D149="","-",'ORDENES'!$D149))</f>
        <v/>
      </c>
      <c r="J171" s="3">
        <f>IF('ORDENES'!$A149="","",IF('ORDENES'!$E149="","-",'ORDENES'!$E149))</f>
        <v/>
      </c>
      <c r="K171" s="12">
        <f>IF('ORDENES'!$A149="","",IF('ORDENES'!$M149="",0,'ORDENES'!$M149))</f>
        <v/>
      </c>
      <c r="L171" s="3">
        <f>IF('ORDENES'!$A149="","",IF('ORDENES'!$N149="","-",'ORDENES'!$N149))</f>
        <v/>
      </c>
      <c r="M171" s="3">
        <f>IF('ORDENES'!$A149="","",'ORDENES'!$AA149)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IF('ORDENES'!$A150="","",IF('ORDENES'!$AC150="","-",'ORDENES'!$AC150))</f>
        <v/>
      </c>
      <c r="D172" s="3">
        <f>IF('ORDENES'!$A150="","",IF('ORDENES'!$V150="","-",'ORDENES'!$V150))</f>
        <v/>
      </c>
      <c r="E172" s="3">
        <f>IF('ORDENES'!$A150="","",IF('ORDENES'!$U150="","-",'ORDENES'!$U150))</f>
        <v/>
      </c>
      <c r="F172" s="3">
        <f>IF('ORDENES'!$A150="","",IF('ORDENES'!$W150="","-",'ORDENES'!$W150))</f>
        <v/>
      </c>
      <c r="G172" s="3">
        <f>IF('ORDENES'!$A150="","",IF('ORDENES'!$AB150="","-",'ORDENES'!$AB150))</f>
        <v/>
      </c>
      <c r="H172" s="3">
        <f>IF('ORDENES'!$A150="","",IF('ORDENES'!$AN150="","-",'ORDENES'!$AN150))</f>
        <v/>
      </c>
      <c r="I172" s="3">
        <f>IF('ORDENES'!$A150="","",IF('ORDENES'!$D150="","-",'ORDENES'!$D150))</f>
        <v/>
      </c>
      <c r="J172" s="3">
        <f>IF('ORDENES'!$A150="","",IF('ORDENES'!$E150="","-",'ORDENES'!$E150))</f>
        <v/>
      </c>
      <c r="K172" s="12">
        <f>IF('ORDENES'!$A150="","",IF('ORDENES'!$M150="",0,'ORDENES'!$M150))</f>
        <v/>
      </c>
      <c r="L172" s="3">
        <f>IF('ORDENES'!$A150="","",IF('ORDENES'!$N150="","-",'ORDENES'!$N150))</f>
        <v/>
      </c>
      <c r="M172" s="3">
        <f>IF('ORDENES'!$A150="","",'ORDENES'!$AA150)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IF('ORDENES'!$A151="","",IF('ORDENES'!$AC151="","-",'ORDENES'!$AC151))</f>
        <v/>
      </c>
      <c r="D173" s="3">
        <f>IF('ORDENES'!$A151="","",IF('ORDENES'!$V151="","-",'ORDENES'!$V151))</f>
        <v/>
      </c>
      <c r="E173" s="3">
        <f>IF('ORDENES'!$A151="","",IF('ORDENES'!$U151="","-",'ORDENES'!$U151))</f>
        <v/>
      </c>
      <c r="F173" s="3">
        <f>IF('ORDENES'!$A151="","",IF('ORDENES'!$W151="","-",'ORDENES'!$W151))</f>
        <v/>
      </c>
      <c r="G173" s="3">
        <f>IF('ORDENES'!$A151="","",IF('ORDENES'!$AB151="","-",'ORDENES'!$AB151))</f>
        <v/>
      </c>
      <c r="H173" s="3">
        <f>IF('ORDENES'!$A151="","",IF('ORDENES'!$AN151="","-",'ORDENES'!$AN151))</f>
        <v/>
      </c>
      <c r="I173" s="3">
        <f>IF('ORDENES'!$A151="","",IF('ORDENES'!$D151="","-",'ORDENES'!$D151))</f>
        <v/>
      </c>
      <c r="J173" s="3">
        <f>IF('ORDENES'!$A151="","",IF('ORDENES'!$E151="","-",'ORDENES'!$E151))</f>
        <v/>
      </c>
      <c r="K173" s="12">
        <f>IF('ORDENES'!$A151="","",IF('ORDENES'!$M151="",0,'ORDENES'!$M151))</f>
        <v/>
      </c>
      <c r="L173" s="3">
        <f>IF('ORDENES'!$A151="","",IF('ORDENES'!$N151="","-",'ORDENES'!$N151))</f>
        <v/>
      </c>
      <c r="M173" s="3">
        <f>IF('ORDENES'!$A151="","",'ORDENES'!$AA151)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IF('ORDENES'!$A152="","",IF('ORDENES'!$AC152="","-",'ORDENES'!$AC152))</f>
        <v/>
      </c>
      <c r="D174" s="3">
        <f>IF('ORDENES'!$A152="","",IF('ORDENES'!$V152="","-",'ORDENES'!$V152))</f>
        <v/>
      </c>
      <c r="E174" s="3">
        <f>IF('ORDENES'!$A152="","",IF('ORDENES'!$U152="","-",'ORDENES'!$U152))</f>
        <v/>
      </c>
      <c r="F174" s="3">
        <f>IF('ORDENES'!$A152="","",IF('ORDENES'!$W152="","-",'ORDENES'!$W152))</f>
        <v/>
      </c>
      <c r="G174" s="3">
        <f>IF('ORDENES'!$A152="","",IF('ORDENES'!$AB152="","-",'ORDENES'!$AB152))</f>
        <v/>
      </c>
      <c r="H174" s="3">
        <f>IF('ORDENES'!$A152="","",IF('ORDENES'!$AN152="","-",'ORDENES'!$AN152))</f>
        <v/>
      </c>
      <c r="I174" s="3">
        <f>IF('ORDENES'!$A152="","",IF('ORDENES'!$D152="","-",'ORDENES'!$D152))</f>
        <v/>
      </c>
      <c r="J174" s="3">
        <f>IF('ORDENES'!$A152="","",IF('ORDENES'!$E152="","-",'ORDENES'!$E152))</f>
        <v/>
      </c>
      <c r="K174" s="12">
        <f>IF('ORDENES'!$A152="","",IF('ORDENES'!$M152="",0,'ORDENES'!$M152))</f>
        <v/>
      </c>
      <c r="L174" s="3">
        <f>IF('ORDENES'!$A152="","",IF('ORDENES'!$N152="","-",'ORDENES'!$N152))</f>
        <v/>
      </c>
      <c r="M174" s="3">
        <f>IF('ORDENES'!$A152="","",'ORDENES'!$AA152)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IF('ORDENES'!$A153="","",IF('ORDENES'!$AC153="","-",'ORDENES'!$AC153))</f>
        <v/>
      </c>
      <c r="D175" s="3">
        <f>IF('ORDENES'!$A153="","",IF('ORDENES'!$V153="","-",'ORDENES'!$V153))</f>
        <v/>
      </c>
      <c r="E175" s="3">
        <f>IF('ORDENES'!$A153="","",IF('ORDENES'!$U153="","-",'ORDENES'!$U153))</f>
        <v/>
      </c>
      <c r="F175" s="3">
        <f>IF('ORDENES'!$A153="","",IF('ORDENES'!$W153="","-",'ORDENES'!$W153))</f>
        <v/>
      </c>
      <c r="G175" s="3">
        <f>IF('ORDENES'!$A153="","",IF('ORDENES'!$AB153="","-",'ORDENES'!$AB153))</f>
        <v/>
      </c>
      <c r="H175" s="3">
        <f>IF('ORDENES'!$A153="","",IF('ORDENES'!$AN153="","-",'ORDENES'!$AN153))</f>
        <v/>
      </c>
      <c r="I175" s="3">
        <f>IF('ORDENES'!$A153="","",IF('ORDENES'!$D153="","-",'ORDENES'!$D153))</f>
        <v/>
      </c>
      <c r="J175" s="3">
        <f>IF('ORDENES'!$A153="","",IF('ORDENES'!$E153="","-",'ORDENES'!$E153))</f>
        <v/>
      </c>
      <c r="K175" s="12">
        <f>IF('ORDENES'!$A153="","",IF('ORDENES'!$M153="",0,'ORDENES'!$M153))</f>
        <v/>
      </c>
      <c r="L175" s="3">
        <f>IF('ORDENES'!$A153="","",IF('ORDENES'!$N153="","-",'ORDENES'!$N153))</f>
        <v/>
      </c>
      <c r="M175" s="3">
        <f>IF('ORDENES'!$A153="","",'ORDENES'!$AA153)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IF('ORDENES'!$A154="","",IF('ORDENES'!$AC154="","-",'ORDENES'!$AC154))</f>
        <v/>
      </c>
      <c r="D176" s="3">
        <f>IF('ORDENES'!$A154="","",IF('ORDENES'!$V154="","-",'ORDENES'!$V154))</f>
        <v/>
      </c>
      <c r="E176" s="3">
        <f>IF('ORDENES'!$A154="","",IF('ORDENES'!$U154="","-",'ORDENES'!$U154))</f>
        <v/>
      </c>
      <c r="F176" s="3">
        <f>IF('ORDENES'!$A154="","",IF('ORDENES'!$W154="","-",'ORDENES'!$W154))</f>
        <v/>
      </c>
      <c r="G176" s="3">
        <f>IF('ORDENES'!$A154="","",IF('ORDENES'!$AB154="","-",'ORDENES'!$AB154))</f>
        <v/>
      </c>
      <c r="H176" s="3">
        <f>IF('ORDENES'!$A154="","",IF('ORDENES'!$AN154="","-",'ORDENES'!$AN154))</f>
        <v/>
      </c>
      <c r="I176" s="3">
        <f>IF('ORDENES'!$A154="","",IF('ORDENES'!$D154="","-",'ORDENES'!$D154))</f>
        <v/>
      </c>
      <c r="J176" s="3">
        <f>IF('ORDENES'!$A154="","",IF('ORDENES'!$E154="","-",'ORDENES'!$E154))</f>
        <v/>
      </c>
      <c r="K176" s="12">
        <f>IF('ORDENES'!$A154="","",IF('ORDENES'!$M154="",0,'ORDENES'!$M154))</f>
        <v/>
      </c>
      <c r="L176" s="3">
        <f>IF('ORDENES'!$A154="","",IF('ORDENES'!$N154="","-",'ORDENES'!$N154))</f>
        <v/>
      </c>
      <c r="M176" s="3">
        <f>IF('ORDENES'!$A154="","",'ORDENES'!$AA154)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IF('ORDENES'!$A155="","",IF('ORDENES'!$AC155="","-",'ORDENES'!$AC155))</f>
        <v/>
      </c>
      <c r="D177" s="3">
        <f>IF('ORDENES'!$A155="","",IF('ORDENES'!$V155="","-",'ORDENES'!$V155))</f>
        <v/>
      </c>
      <c r="E177" s="3">
        <f>IF('ORDENES'!$A155="","",IF('ORDENES'!$U155="","-",'ORDENES'!$U155))</f>
        <v/>
      </c>
      <c r="F177" s="3">
        <f>IF('ORDENES'!$A155="","",IF('ORDENES'!$W155="","-",'ORDENES'!$W155))</f>
        <v/>
      </c>
      <c r="G177" s="3">
        <f>IF('ORDENES'!$A155="","",IF('ORDENES'!$AB155="","-",'ORDENES'!$AB155))</f>
        <v/>
      </c>
      <c r="H177" s="3">
        <f>IF('ORDENES'!$A155="","",IF('ORDENES'!$AN155="","-",'ORDENES'!$AN155))</f>
        <v/>
      </c>
      <c r="I177" s="3">
        <f>IF('ORDENES'!$A155="","",IF('ORDENES'!$D155="","-",'ORDENES'!$D155))</f>
        <v/>
      </c>
      <c r="J177" s="3">
        <f>IF('ORDENES'!$A155="","",IF('ORDENES'!$E155="","-",'ORDENES'!$E155))</f>
        <v/>
      </c>
      <c r="K177" s="12">
        <f>IF('ORDENES'!$A155="","",IF('ORDENES'!$M155="",0,'ORDENES'!$M155))</f>
        <v/>
      </c>
      <c r="L177" s="3">
        <f>IF('ORDENES'!$A155="","",IF('ORDENES'!$N155="","-",'ORDENES'!$N155))</f>
        <v/>
      </c>
      <c r="M177" s="3">
        <f>IF('ORDENES'!$A155="","",'ORDENES'!$AA155)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IF('ORDENES'!$A156="","",IF('ORDENES'!$AC156="","-",'ORDENES'!$AC156))</f>
        <v/>
      </c>
      <c r="D178" s="3">
        <f>IF('ORDENES'!$A156="","",IF('ORDENES'!$V156="","-",'ORDENES'!$V156))</f>
        <v/>
      </c>
      <c r="E178" s="3">
        <f>IF('ORDENES'!$A156="","",IF('ORDENES'!$U156="","-",'ORDENES'!$U156))</f>
        <v/>
      </c>
      <c r="F178" s="3">
        <f>IF('ORDENES'!$A156="","",IF('ORDENES'!$W156="","-",'ORDENES'!$W156))</f>
        <v/>
      </c>
      <c r="G178" s="3">
        <f>IF('ORDENES'!$A156="","",IF('ORDENES'!$AB156="","-",'ORDENES'!$AB156))</f>
        <v/>
      </c>
      <c r="H178" s="3">
        <f>IF('ORDENES'!$A156="","",IF('ORDENES'!$AN156="","-",'ORDENES'!$AN156))</f>
        <v/>
      </c>
      <c r="I178" s="3">
        <f>IF('ORDENES'!$A156="","",IF('ORDENES'!$D156="","-",'ORDENES'!$D156))</f>
        <v/>
      </c>
      <c r="J178" s="3">
        <f>IF('ORDENES'!$A156="","",IF('ORDENES'!$E156="","-",'ORDENES'!$E156))</f>
        <v/>
      </c>
      <c r="K178" s="12">
        <f>IF('ORDENES'!$A156="","",IF('ORDENES'!$M156="",0,'ORDENES'!$M156))</f>
        <v/>
      </c>
      <c r="L178" s="3">
        <f>IF('ORDENES'!$A156="","",IF('ORDENES'!$N156="","-",'ORDENES'!$N156))</f>
        <v/>
      </c>
      <c r="M178" s="3">
        <f>IF('ORDENES'!$A156="","",'ORDENES'!$AA156)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IF('ORDENES'!$A157="","",IF('ORDENES'!$AC157="","-",'ORDENES'!$AC157))</f>
        <v/>
      </c>
      <c r="D179" s="3">
        <f>IF('ORDENES'!$A157="","",IF('ORDENES'!$V157="","-",'ORDENES'!$V157))</f>
        <v/>
      </c>
      <c r="E179" s="3">
        <f>IF('ORDENES'!$A157="","",IF('ORDENES'!$U157="","-",'ORDENES'!$U157))</f>
        <v/>
      </c>
      <c r="F179" s="3">
        <f>IF('ORDENES'!$A157="","",IF('ORDENES'!$W157="","-",'ORDENES'!$W157))</f>
        <v/>
      </c>
      <c r="G179" s="3">
        <f>IF('ORDENES'!$A157="","",IF('ORDENES'!$AB157="","-",'ORDENES'!$AB157))</f>
        <v/>
      </c>
      <c r="H179" s="3">
        <f>IF('ORDENES'!$A157="","",IF('ORDENES'!$AN157="","-",'ORDENES'!$AN157))</f>
        <v/>
      </c>
      <c r="I179" s="3">
        <f>IF('ORDENES'!$A157="","",IF('ORDENES'!$D157="","-",'ORDENES'!$D157))</f>
        <v/>
      </c>
      <c r="J179" s="3">
        <f>IF('ORDENES'!$A157="","",IF('ORDENES'!$E157="","-",'ORDENES'!$E157))</f>
        <v/>
      </c>
      <c r="K179" s="12">
        <f>IF('ORDENES'!$A157="","",IF('ORDENES'!$M157="",0,'ORDENES'!$M157))</f>
        <v/>
      </c>
      <c r="L179" s="3">
        <f>IF('ORDENES'!$A157="","",IF('ORDENES'!$N157="","-",'ORDENES'!$N157))</f>
        <v/>
      </c>
      <c r="M179" s="3">
        <f>IF('ORDENES'!$A157="","",'ORDENES'!$AA157)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IF('ORDENES'!$A158="","",IF('ORDENES'!$AC158="","-",'ORDENES'!$AC158))</f>
        <v/>
      </c>
      <c r="D180" s="3">
        <f>IF('ORDENES'!$A158="","",IF('ORDENES'!$V158="","-",'ORDENES'!$V158))</f>
        <v/>
      </c>
      <c r="E180" s="3">
        <f>IF('ORDENES'!$A158="","",IF('ORDENES'!$U158="","-",'ORDENES'!$U158))</f>
        <v/>
      </c>
      <c r="F180" s="3">
        <f>IF('ORDENES'!$A158="","",IF('ORDENES'!$W158="","-",'ORDENES'!$W158))</f>
        <v/>
      </c>
      <c r="G180" s="3">
        <f>IF('ORDENES'!$A158="","",IF('ORDENES'!$AB158="","-",'ORDENES'!$AB158))</f>
        <v/>
      </c>
      <c r="H180" s="3">
        <f>IF('ORDENES'!$A158="","",IF('ORDENES'!$AN158="","-",'ORDENES'!$AN158))</f>
        <v/>
      </c>
      <c r="I180" s="3">
        <f>IF('ORDENES'!$A158="","",IF('ORDENES'!$D158="","-",'ORDENES'!$D158))</f>
        <v/>
      </c>
      <c r="J180" s="3">
        <f>IF('ORDENES'!$A158="","",IF('ORDENES'!$E158="","-",'ORDENES'!$E158))</f>
        <v/>
      </c>
      <c r="K180" s="12">
        <f>IF('ORDENES'!$A158="","",IF('ORDENES'!$M158="",0,'ORDENES'!$M158))</f>
        <v/>
      </c>
      <c r="L180" s="3">
        <f>IF('ORDENES'!$A158="","",IF('ORDENES'!$N158="","-",'ORDENES'!$N158))</f>
        <v/>
      </c>
      <c r="M180" s="3">
        <f>IF('ORDENES'!$A158="","",'ORDENES'!$AA158)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IF('ORDENES'!$A159="","",IF('ORDENES'!$AC159="","-",'ORDENES'!$AC159))</f>
        <v/>
      </c>
      <c r="D181" s="3">
        <f>IF('ORDENES'!$A159="","",IF('ORDENES'!$V159="","-",'ORDENES'!$V159))</f>
        <v/>
      </c>
      <c r="E181" s="3">
        <f>IF('ORDENES'!$A159="","",IF('ORDENES'!$U159="","-",'ORDENES'!$U159))</f>
        <v/>
      </c>
      <c r="F181" s="3">
        <f>IF('ORDENES'!$A159="","",IF('ORDENES'!$W159="","-",'ORDENES'!$W159))</f>
        <v/>
      </c>
      <c r="G181" s="3">
        <f>IF('ORDENES'!$A159="","",IF('ORDENES'!$AB159="","-",'ORDENES'!$AB159))</f>
        <v/>
      </c>
      <c r="H181" s="3">
        <f>IF('ORDENES'!$A159="","",IF('ORDENES'!$AN159="","-",'ORDENES'!$AN159))</f>
        <v/>
      </c>
      <c r="I181" s="3">
        <f>IF('ORDENES'!$A159="","",IF('ORDENES'!$D159="","-",'ORDENES'!$D159))</f>
        <v/>
      </c>
      <c r="J181" s="3">
        <f>IF('ORDENES'!$A159="","",IF('ORDENES'!$E159="","-",'ORDENES'!$E159))</f>
        <v/>
      </c>
      <c r="K181" s="12">
        <f>IF('ORDENES'!$A159="","",IF('ORDENES'!$M159="",0,'ORDENES'!$M159))</f>
        <v/>
      </c>
      <c r="L181" s="3">
        <f>IF('ORDENES'!$A159="","",IF('ORDENES'!$N159="","-",'ORDENES'!$N159))</f>
        <v/>
      </c>
      <c r="M181" s="3">
        <f>IF('ORDENES'!$A159="","",'ORDENES'!$AA159)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IF('ORDENES'!$A160="","",IF('ORDENES'!$AC160="","-",'ORDENES'!$AC160))</f>
        <v/>
      </c>
      <c r="D182" s="3">
        <f>IF('ORDENES'!$A160="","",IF('ORDENES'!$V160="","-",'ORDENES'!$V160))</f>
        <v/>
      </c>
      <c r="E182" s="3">
        <f>IF('ORDENES'!$A160="","",IF('ORDENES'!$U160="","-",'ORDENES'!$U160))</f>
        <v/>
      </c>
      <c r="F182" s="3">
        <f>IF('ORDENES'!$A160="","",IF('ORDENES'!$W160="","-",'ORDENES'!$W160))</f>
        <v/>
      </c>
      <c r="G182" s="3">
        <f>IF('ORDENES'!$A160="","",IF('ORDENES'!$AB160="","-",'ORDENES'!$AB160))</f>
        <v/>
      </c>
      <c r="H182" s="3">
        <f>IF('ORDENES'!$A160="","",IF('ORDENES'!$AN160="","-",'ORDENES'!$AN160))</f>
        <v/>
      </c>
      <c r="I182" s="3">
        <f>IF('ORDENES'!$A160="","",IF('ORDENES'!$D160="","-",'ORDENES'!$D160))</f>
        <v/>
      </c>
      <c r="J182" s="3">
        <f>IF('ORDENES'!$A160="","",IF('ORDENES'!$E160="","-",'ORDENES'!$E160))</f>
        <v/>
      </c>
      <c r="K182" s="12">
        <f>IF('ORDENES'!$A160="","",IF('ORDENES'!$M160="",0,'ORDENES'!$M160))</f>
        <v/>
      </c>
      <c r="L182" s="3">
        <f>IF('ORDENES'!$A160="","",IF('ORDENES'!$N160="","-",'ORDENES'!$N160))</f>
        <v/>
      </c>
      <c r="M182" s="3">
        <f>IF('ORDENES'!$A160="","",'ORDENES'!$AA160)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IF('ORDENES'!$A161="","",IF('ORDENES'!$AC161="","-",'ORDENES'!$AC161))</f>
        <v/>
      </c>
      <c r="D183" s="3">
        <f>IF('ORDENES'!$A161="","",IF('ORDENES'!$V161="","-",'ORDENES'!$V161))</f>
        <v/>
      </c>
      <c r="E183" s="3">
        <f>IF('ORDENES'!$A161="","",IF('ORDENES'!$U161="","-",'ORDENES'!$U161))</f>
        <v/>
      </c>
      <c r="F183" s="3">
        <f>IF('ORDENES'!$A161="","",IF('ORDENES'!$W161="","-",'ORDENES'!$W161))</f>
        <v/>
      </c>
      <c r="G183" s="3">
        <f>IF('ORDENES'!$A161="","",IF('ORDENES'!$AB161="","-",'ORDENES'!$AB161))</f>
        <v/>
      </c>
      <c r="H183" s="3">
        <f>IF('ORDENES'!$A161="","",IF('ORDENES'!$AN161="","-",'ORDENES'!$AN161))</f>
        <v/>
      </c>
      <c r="I183" s="3">
        <f>IF('ORDENES'!$A161="","",IF('ORDENES'!$D161="","-",'ORDENES'!$D161))</f>
        <v/>
      </c>
      <c r="J183" s="3">
        <f>IF('ORDENES'!$A161="","",IF('ORDENES'!$E161="","-",'ORDENES'!$E161))</f>
        <v/>
      </c>
      <c r="K183" s="12">
        <f>IF('ORDENES'!$A161="","",IF('ORDENES'!$M161="",0,'ORDENES'!$M161))</f>
        <v/>
      </c>
      <c r="L183" s="3">
        <f>IF('ORDENES'!$A161="","",IF('ORDENES'!$N161="","-",'ORDENES'!$N161))</f>
        <v/>
      </c>
      <c r="M183" s="3">
        <f>IF('ORDENES'!$A161="","",'ORDENES'!$AA161)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IF('ORDENES'!$A162="","",IF('ORDENES'!$AC162="","-",'ORDENES'!$AC162))</f>
        <v/>
      </c>
      <c r="D184" s="3">
        <f>IF('ORDENES'!$A162="","",IF('ORDENES'!$V162="","-",'ORDENES'!$V162))</f>
        <v/>
      </c>
      <c r="E184" s="3">
        <f>IF('ORDENES'!$A162="","",IF('ORDENES'!$U162="","-",'ORDENES'!$U162))</f>
        <v/>
      </c>
      <c r="F184" s="3">
        <f>IF('ORDENES'!$A162="","",IF('ORDENES'!$W162="","-",'ORDENES'!$W162))</f>
        <v/>
      </c>
      <c r="G184" s="3">
        <f>IF('ORDENES'!$A162="","",IF('ORDENES'!$AB162="","-",'ORDENES'!$AB162))</f>
        <v/>
      </c>
      <c r="H184" s="3">
        <f>IF('ORDENES'!$A162="","",IF('ORDENES'!$AN162="","-",'ORDENES'!$AN162))</f>
        <v/>
      </c>
      <c r="I184" s="3">
        <f>IF('ORDENES'!$A162="","",IF('ORDENES'!$D162="","-",'ORDENES'!$D162))</f>
        <v/>
      </c>
      <c r="J184" s="3">
        <f>IF('ORDENES'!$A162="","",IF('ORDENES'!$E162="","-",'ORDENES'!$E162))</f>
        <v/>
      </c>
      <c r="K184" s="12">
        <f>IF('ORDENES'!$A162="","",IF('ORDENES'!$M162="",0,'ORDENES'!$M162))</f>
        <v/>
      </c>
      <c r="L184" s="3">
        <f>IF('ORDENES'!$A162="","",IF('ORDENES'!$N162="","-",'ORDENES'!$N162))</f>
        <v/>
      </c>
      <c r="M184" s="3">
        <f>IF('ORDENES'!$A162="","",'ORDENES'!$AA162)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IF('ORDENES'!$A163="","",IF('ORDENES'!$AC163="","-",'ORDENES'!$AC163))</f>
        <v/>
      </c>
      <c r="D185" s="3">
        <f>IF('ORDENES'!$A163="","",IF('ORDENES'!$V163="","-",'ORDENES'!$V163))</f>
        <v/>
      </c>
      <c r="E185" s="3">
        <f>IF('ORDENES'!$A163="","",IF('ORDENES'!$U163="","-",'ORDENES'!$U163))</f>
        <v/>
      </c>
      <c r="F185" s="3">
        <f>IF('ORDENES'!$A163="","",IF('ORDENES'!$W163="","-",'ORDENES'!$W163))</f>
        <v/>
      </c>
      <c r="G185" s="3">
        <f>IF('ORDENES'!$A163="","",IF('ORDENES'!$AB163="","-",'ORDENES'!$AB163))</f>
        <v/>
      </c>
      <c r="H185" s="3">
        <f>IF('ORDENES'!$A163="","",IF('ORDENES'!$AN163="","-",'ORDENES'!$AN163))</f>
        <v/>
      </c>
      <c r="I185" s="3">
        <f>IF('ORDENES'!$A163="","",IF('ORDENES'!$D163="","-",'ORDENES'!$D163))</f>
        <v/>
      </c>
      <c r="J185" s="3">
        <f>IF('ORDENES'!$A163="","",IF('ORDENES'!$E163="","-",'ORDENES'!$E163))</f>
        <v/>
      </c>
      <c r="K185" s="12">
        <f>IF('ORDENES'!$A163="","",IF('ORDENES'!$M163="",0,'ORDENES'!$M163))</f>
        <v/>
      </c>
      <c r="L185" s="3">
        <f>IF('ORDENES'!$A163="","",IF('ORDENES'!$N163="","-",'ORDENES'!$N163))</f>
        <v/>
      </c>
      <c r="M185" s="3">
        <f>IF('ORDENES'!$A163="","",'ORDENES'!$AA163)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IF('ORDENES'!$A164="","",IF('ORDENES'!$AC164="","-",'ORDENES'!$AC164))</f>
        <v/>
      </c>
      <c r="D186" s="3">
        <f>IF('ORDENES'!$A164="","",IF('ORDENES'!$V164="","-",'ORDENES'!$V164))</f>
        <v/>
      </c>
      <c r="E186" s="3">
        <f>IF('ORDENES'!$A164="","",IF('ORDENES'!$U164="","-",'ORDENES'!$U164))</f>
        <v/>
      </c>
      <c r="F186" s="3">
        <f>IF('ORDENES'!$A164="","",IF('ORDENES'!$W164="","-",'ORDENES'!$W164))</f>
        <v/>
      </c>
      <c r="G186" s="3">
        <f>IF('ORDENES'!$A164="","",IF('ORDENES'!$AB164="","-",'ORDENES'!$AB164))</f>
        <v/>
      </c>
      <c r="H186" s="3">
        <f>IF('ORDENES'!$A164="","",IF('ORDENES'!$AN164="","-",'ORDENES'!$AN164))</f>
        <v/>
      </c>
      <c r="I186" s="3">
        <f>IF('ORDENES'!$A164="","",IF('ORDENES'!$D164="","-",'ORDENES'!$D164))</f>
        <v/>
      </c>
      <c r="J186" s="3">
        <f>IF('ORDENES'!$A164="","",IF('ORDENES'!$E164="","-",'ORDENES'!$E164))</f>
        <v/>
      </c>
      <c r="K186" s="12">
        <f>IF('ORDENES'!$A164="","",IF('ORDENES'!$M164="",0,'ORDENES'!$M164))</f>
        <v/>
      </c>
      <c r="L186" s="3">
        <f>IF('ORDENES'!$A164="","",IF('ORDENES'!$N164="","-",'ORDENES'!$N164))</f>
        <v/>
      </c>
      <c r="M186" s="3">
        <f>IF('ORDENES'!$A164="","",'ORDENES'!$AA164)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IF('ORDENES'!$A165="","",IF('ORDENES'!$AC165="","-",'ORDENES'!$AC165))</f>
        <v/>
      </c>
      <c r="D187" s="3">
        <f>IF('ORDENES'!$A165="","",IF('ORDENES'!$V165="","-",'ORDENES'!$V165))</f>
        <v/>
      </c>
      <c r="E187" s="3">
        <f>IF('ORDENES'!$A165="","",IF('ORDENES'!$U165="","-",'ORDENES'!$U165))</f>
        <v/>
      </c>
      <c r="F187" s="3">
        <f>IF('ORDENES'!$A165="","",IF('ORDENES'!$W165="","-",'ORDENES'!$W165))</f>
        <v/>
      </c>
      <c r="G187" s="3">
        <f>IF('ORDENES'!$A165="","",IF('ORDENES'!$AB165="","-",'ORDENES'!$AB165))</f>
        <v/>
      </c>
      <c r="H187" s="3">
        <f>IF('ORDENES'!$A165="","",IF('ORDENES'!$AN165="","-",'ORDENES'!$AN165))</f>
        <v/>
      </c>
      <c r="I187" s="3">
        <f>IF('ORDENES'!$A165="","",IF('ORDENES'!$D165="","-",'ORDENES'!$D165))</f>
        <v/>
      </c>
      <c r="J187" s="3">
        <f>IF('ORDENES'!$A165="","",IF('ORDENES'!$E165="","-",'ORDENES'!$E165))</f>
        <v/>
      </c>
      <c r="K187" s="12">
        <f>IF('ORDENES'!$A165="","",IF('ORDENES'!$M165="",0,'ORDENES'!$M165))</f>
        <v/>
      </c>
      <c r="L187" s="3">
        <f>IF('ORDENES'!$A165="","",IF('ORDENES'!$N165="","-",'ORDENES'!$N165))</f>
        <v/>
      </c>
      <c r="M187" s="3">
        <f>IF('ORDENES'!$A165="","",'ORDENES'!$AA165)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IF('ORDENES'!$A166="","",IF('ORDENES'!$AC166="","-",'ORDENES'!$AC166))</f>
        <v/>
      </c>
      <c r="D188" s="3">
        <f>IF('ORDENES'!$A166="","",IF('ORDENES'!$V166="","-",'ORDENES'!$V166))</f>
        <v/>
      </c>
      <c r="E188" s="3">
        <f>IF('ORDENES'!$A166="","",IF('ORDENES'!$U166="","-",'ORDENES'!$U166))</f>
        <v/>
      </c>
      <c r="F188" s="3">
        <f>IF('ORDENES'!$A166="","",IF('ORDENES'!$W166="","-",'ORDENES'!$W166))</f>
        <v/>
      </c>
      <c r="G188" s="3">
        <f>IF('ORDENES'!$A166="","",IF('ORDENES'!$AB166="","-",'ORDENES'!$AB166))</f>
        <v/>
      </c>
      <c r="H188" s="3">
        <f>IF('ORDENES'!$A166="","",IF('ORDENES'!$AN166="","-",'ORDENES'!$AN166))</f>
        <v/>
      </c>
      <c r="I188" s="3">
        <f>IF('ORDENES'!$A166="","",IF('ORDENES'!$D166="","-",'ORDENES'!$D166))</f>
        <v/>
      </c>
      <c r="J188" s="3">
        <f>IF('ORDENES'!$A166="","",IF('ORDENES'!$E166="","-",'ORDENES'!$E166))</f>
        <v/>
      </c>
      <c r="K188" s="12">
        <f>IF('ORDENES'!$A166="","",IF('ORDENES'!$M166="",0,'ORDENES'!$M166))</f>
        <v/>
      </c>
      <c r="L188" s="3">
        <f>IF('ORDENES'!$A166="","",IF('ORDENES'!$N166="","-",'ORDENES'!$N166))</f>
        <v/>
      </c>
      <c r="M188" s="3">
        <f>IF('ORDENES'!$A166="","",'ORDENES'!$AA166)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IF('ORDENES'!$A167="","",IF('ORDENES'!$AC167="","-",'ORDENES'!$AC167))</f>
        <v/>
      </c>
      <c r="D189" s="3">
        <f>IF('ORDENES'!$A167="","",IF('ORDENES'!$V167="","-",'ORDENES'!$V167))</f>
        <v/>
      </c>
      <c r="E189" s="3">
        <f>IF('ORDENES'!$A167="","",IF('ORDENES'!$U167="","-",'ORDENES'!$U167))</f>
        <v/>
      </c>
      <c r="F189" s="3">
        <f>IF('ORDENES'!$A167="","",IF('ORDENES'!$W167="","-",'ORDENES'!$W167))</f>
        <v/>
      </c>
      <c r="G189" s="3">
        <f>IF('ORDENES'!$A167="","",IF('ORDENES'!$AB167="","-",'ORDENES'!$AB167))</f>
        <v/>
      </c>
      <c r="H189" s="3">
        <f>IF('ORDENES'!$A167="","",IF('ORDENES'!$AN167="","-",'ORDENES'!$AN167))</f>
        <v/>
      </c>
      <c r="I189" s="3">
        <f>IF('ORDENES'!$A167="","",IF('ORDENES'!$D167="","-",'ORDENES'!$D167))</f>
        <v/>
      </c>
      <c r="J189" s="3">
        <f>IF('ORDENES'!$A167="","",IF('ORDENES'!$E167="","-",'ORDENES'!$E167))</f>
        <v/>
      </c>
      <c r="K189" s="12">
        <f>IF('ORDENES'!$A167="","",IF('ORDENES'!$M167="",0,'ORDENES'!$M167))</f>
        <v/>
      </c>
      <c r="L189" s="3">
        <f>IF('ORDENES'!$A167="","",IF('ORDENES'!$N167="","-",'ORDENES'!$N167))</f>
        <v/>
      </c>
      <c r="M189" s="3">
        <f>IF('ORDENES'!$A167="","",'ORDENES'!$AA167)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IF('ORDENES'!$A168="","",IF('ORDENES'!$AC168="","-",'ORDENES'!$AC168))</f>
        <v/>
      </c>
      <c r="D190" s="3">
        <f>IF('ORDENES'!$A168="","",IF('ORDENES'!$V168="","-",'ORDENES'!$V168))</f>
        <v/>
      </c>
      <c r="E190" s="3">
        <f>IF('ORDENES'!$A168="","",IF('ORDENES'!$U168="","-",'ORDENES'!$U168))</f>
        <v/>
      </c>
      <c r="F190" s="3">
        <f>IF('ORDENES'!$A168="","",IF('ORDENES'!$W168="","-",'ORDENES'!$W168))</f>
        <v/>
      </c>
      <c r="G190" s="3">
        <f>IF('ORDENES'!$A168="","",IF('ORDENES'!$AB168="","-",'ORDENES'!$AB168))</f>
        <v/>
      </c>
      <c r="H190" s="3">
        <f>IF('ORDENES'!$A168="","",IF('ORDENES'!$AN168="","-",'ORDENES'!$AN168))</f>
        <v/>
      </c>
      <c r="I190" s="3">
        <f>IF('ORDENES'!$A168="","",IF('ORDENES'!$D168="","-",'ORDENES'!$D168))</f>
        <v/>
      </c>
      <c r="J190" s="3">
        <f>IF('ORDENES'!$A168="","",IF('ORDENES'!$E168="","-",'ORDENES'!$E168))</f>
        <v/>
      </c>
      <c r="K190" s="12">
        <f>IF('ORDENES'!$A168="","",IF('ORDENES'!$M168="",0,'ORDENES'!$M168))</f>
        <v/>
      </c>
      <c r="L190" s="3">
        <f>IF('ORDENES'!$A168="","",IF('ORDENES'!$N168="","-",'ORDENES'!$N168))</f>
        <v/>
      </c>
      <c r="M190" s="3">
        <f>IF('ORDENES'!$A168="","",'ORDENES'!$AA168)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IF('ORDENES'!$A169="","",IF('ORDENES'!$AC169="","-",'ORDENES'!$AC169))</f>
        <v/>
      </c>
      <c r="D191" s="3">
        <f>IF('ORDENES'!$A169="","",IF('ORDENES'!$V169="","-",'ORDENES'!$V169))</f>
        <v/>
      </c>
      <c r="E191" s="3">
        <f>IF('ORDENES'!$A169="","",IF('ORDENES'!$U169="","-",'ORDENES'!$U169))</f>
        <v/>
      </c>
      <c r="F191" s="3">
        <f>IF('ORDENES'!$A169="","",IF('ORDENES'!$W169="","-",'ORDENES'!$W169))</f>
        <v/>
      </c>
      <c r="G191" s="3">
        <f>IF('ORDENES'!$A169="","",IF('ORDENES'!$AB169="","-",'ORDENES'!$AB169))</f>
        <v/>
      </c>
      <c r="H191" s="3">
        <f>IF('ORDENES'!$A169="","",IF('ORDENES'!$AN169="","-",'ORDENES'!$AN169))</f>
        <v/>
      </c>
      <c r="I191" s="3">
        <f>IF('ORDENES'!$A169="","",IF('ORDENES'!$D169="","-",'ORDENES'!$D169))</f>
        <v/>
      </c>
      <c r="J191" s="3">
        <f>IF('ORDENES'!$A169="","",IF('ORDENES'!$E169="","-",'ORDENES'!$E169))</f>
        <v/>
      </c>
      <c r="K191" s="12">
        <f>IF('ORDENES'!$A169="","",IF('ORDENES'!$M169="",0,'ORDENES'!$M169))</f>
        <v/>
      </c>
      <c r="L191" s="3">
        <f>IF('ORDENES'!$A169="","",IF('ORDENES'!$N169="","-",'ORDENES'!$N169))</f>
        <v/>
      </c>
      <c r="M191" s="3">
        <f>IF('ORDENES'!$A169="","",'ORDENES'!$AA169)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IF('ORDENES'!$A170="","",IF('ORDENES'!$AC170="","-",'ORDENES'!$AC170))</f>
        <v/>
      </c>
      <c r="D192" s="3">
        <f>IF('ORDENES'!$A170="","",IF('ORDENES'!$V170="","-",'ORDENES'!$V170))</f>
        <v/>
      </c>
      <c r="E192" s="3">
        <f>IF('ORDENES'!$A170="","",IF('ORDENES'!$U170="","-",'ORDENES'!$U170))</f>
        <v/>
      </c>
      <c r="F192" s="3">
        <f>IF('ORDENES'!$A170="","",IF('ORDENES'!$W170="","-",'ORDENES'!$W170))</f>
        <v/>
      </c>
      <c r="G192" s="3">
        <f>IF('ORDENES'!$A170="","",IF('ORDENES'!$AB170="","-",'ORDENES'!$AB170))</f>
        <v/>
      </c>
      <c r="H192" s="3">
        <f>IF('ORDENES'!$A170="","",IF('ORDENES'!$AN170="","-",'ORDENES'!$AN170))</f>
        <v/>
      </c>
      <c r="I192" s="3">
        <f>IF('ORDENES'!$A170="","",IF('ORDENES'!$D170="","-",'ORDENES'!$D170))</f>
        <v/>
      </c>
      <c r="J192" s="3">
        <f>IF('ORDENES'!$A170="","",IF('ORDENES'!$E170="","-",'ORDENES'!$E170))</f>
        <v/>
      </c>
      <c r="K192" s="12">
        <f>IF('ORDENES'!$A170="","",IF('ORDENES'!$M170="",0,'ORDENES'!$M170))</f>
        <v/>
      </c>
      <c r="L192" s="3">
        <f>IF('ORDENES'!$A170="","",IF('ORDENES'!$N170="","-",'ORDENES'!$N170))</f>
        <v/>
      </c>
      <c r="M192" s="3">
        <f>IF('ORDENES'!$A170="","",'ORDENES'!$AA170)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IF('ORDENES'!$A171="","",IF('ORDENES'!$AC171="","-",'ORDENES'!$AC171))</f>
        <v/>
      </c>
      <c r="D193" s="3">
        <f>IF('ORDENES'!$A171="","",IF('ORDENES'!$V171="","-",'ORDENES'!$V171))</f>
        <v/>
      </c>
      <c r="E193" s="3">
        <f>IF('ORDENES'!$A171="","",IF('ORDENES'!$U171="","-",'ORDENES'!$U171))</f>
        <v/>
      </c>
      <c r="F193" s="3">
        <f>IF('ORDENES'!$A171="","",IF('ORDENES'!$W171="","-",'ORDENES'!$W171))</f>
        <v/>
      </c>
      <c r="G193" s="3">
        <f>IF('ORDENES'!$A171="","",IF('ORDENES'!$AB171="","-",'ORDENES'!$AB171))</f>
        <v/>
      </c>
      <c r="H193" s="3">
        <f>IF('ORDENES'!$A171="","",IF('ORDENES'!$AN171="","-",'ORDENES'!$AN171))</f>
        <v/>
      </c>
      <c r="I193" s="3">
        <f>IF('ORDENES'!$A171="","",IF('ORDENES'!$D171="","-",'ORDENES'!$D171))</f>
        <v/>
      </c>
      <c r="J193" s="3">
        <f>IF('ORDENES'!$A171="","",IF('ORDENES'!$E171="","-",'ORDENES'!$E171))</f>
        <v/>
      </c>
      <c r="K193" s="12">
        <f>IF('ORDENES'!$A171="","",IF('ORDENES'!$M171="",0,'ORDENES'!$M171))</f>
        <v/>
      </c>
      <c r="L193" s="3">
        <f>IF('ORDENES'!$A171="","",IF('ORDENES'!$N171="","-",'ORDENES'!$N171))</f>
        <v/>
      </c>
      <c r="M193" s="3">
        <f>IF('ORDENES'!$A171="","",'ORDENES'!$AA171)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IF('ORDENES'!$A172="","",IF('ORDENES'!$AC172="","-",'ORDENES'!$AC172))</f>
        <v/>
      </c>
      <c r="D194" s="3">
        <f>IF('ORDENES'!$A172="","",IF('ORDENES'!$V172="","-",'ORDENES'!$V172))</f>
        <v/>
      </c>
      <c r="E194" s="3">
        <f>IF('ORDENES'!$A172="","",IF('ORDENES'!$U172="","-",'ORDENES'!$U172))</f>
        <v/>
      </c>
      <c r="F194" s="3">
        <f>IF('ORDENES'!$A172="","",IF('ORDENES'!$W172="","-",'ORDENES'!$W172))</f>
        <v/>
      </c>
      <c r="G194" s="3">
        <f>IF('ORDENES'!$A172="","",IF('ORDENES'!$AB172="","-",'ORDENES'!$AB172))</f>
        <v/>
      </c>
      <c r="H194" s="3">
        <f>IF('ORDENES'!$A172="","",IF('ORDENES'!$AN172="","-",'ORDENES'!$AN172))</f>
        <v/>
      </c>
      <c r="I194" s="3">
        <f>IF('ORDENES'!$A172="","",IF('ORDENES'!$D172="","-",'ORDENES'!$D172))</f>
        <v/>
      </c>
      <c r="J194" s="3">
        <f>IF('ORDENES'!$A172="","",IF('ORDENES'!$E172="","-",'ORDENES'!$E172))</f>
        <v/>
      </c>
      <c r="K194" s="12">
        <f>IF('ORDENES'!$A172="","",IF('ORDENES'!$M172="",0,'ORDENES'!$M172))</f>
        <v/>
      </c>
      <c r="L194" s="3">
        <f>IF('ORDENES'!$A172="","",IF('ORDENES'!$N172="","-",'ORDENES'!$N172))</f>
        <v/>
      </c>
      <c r="M194" s="3">
        <f>IF('ORDENES'!$A172="","",'ORDENES'!$AA172)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IF('ORDENES'!$A173="","",IF('ORDENES'!$AC173="","-",'ORDENES'!$AC173))</f>
        <v/>
      </c>
      <c r="D195" s="3">
        <f>IF('ORDENES'!$A173="","",IF('ORDENES'!$V173="","-",'ORDENES'!$V173))</f>
        <v/>
      </c>
      <c r="E195" s="3">
        <f>IF('ORDENES'!$A173="","",IF('ORDENES'!$U173="","-",'ORDENES'!$U173))</f>
        <v/>
      </c>
      <c r="F195" s="3">
        <f>IF('ORDENES'!$A173="","",IF('ORDENES'!$W173="","-",'ORDENES'!$W173))</f>
        <v/>
      </c>
      <c r="G195" s="3">
        <f>IF('ORDENES'!$A173="","",IF('ORDENES'!$AB173="","-",'ORDENES'!$AB173))</f>
        <v/>
      </c>
      <c r="H195" s="3">
        <f>IF('ORDENES'!$A173="","",IF('ORDENES'!$AN173="","-",'ORDENES'!$AN173))</f>
        <v/>
      </c>
      <c r="I195" s="3">
        <f>IF('ORDENES'!$A173="","",IF('ORDENES'!$D173="","-",'ORDENES'!$D173))</f>
        <v/>
      </c>
      <c r="J195" s="3">
        <f>IF('ORDENES'!$A173="","",IF('ORDENES'!$E173="","-",'ORDENES'!$E173))</f>
        <v/>
      </c>
      <c r="K195" s="12">
        <f>IF('ORDENES'!$A173="","",IF('ORDENES'!$M173="",0,'ORDENES'!$M173))</f>
        <v/>
      </c>
      <c r="L195" s="3">
        <f>IF('ORDENES'!$A173="","",IF('ORDENES'!$N173="","-",'ORDENES'!$N173))</f>
        <v/>
      </c>
      <c r="M195" s="3">
        <f>IF('ORDENES'!$A173="","",'ORDENES'!$AA173)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IF('ORDENES'!$A174="","",IF('ORDENES'!$AC174="","-",'ORDENES'!$AC174))</f>
        <v/>
      </c>
      <c r="D196" s="3">
        <f>IF('ORDENES'!$A174="","",IF('ORDENES'!$V174="","-",'ORDENES'!$V174))</f>
        <v/>
      </c>
      <c r="E196" s="3">
        <f>IF('ORDENES'!$A174="","",IF('ORDENES'!$U174="","-",'ORDENES'!$U174))</f>
        <v/>
      </c>
      <c r="F196" s="3">
        <f>IF('ORDENES'!$A174="","",IF('ORDENES'!$W174="","-",'ORDENES'!$W174))</f>
        <v/>
      </c>
      <c r="G196" s="3">
        <f>IF('ORDENES'!$A174="","",IF('ORDENES'!$AB174="","-",'ORDENES'!$AB174))</f>
        <v/>
      </c>
      <c r="H196" s="3">
        <f>IF('ORDENES'!$A174="","",IF('ORDENES'!$AN174="","-",'ORDENES'!$AN174))</f>
        <v/>
      </c>
      <c r="I196" s="3">
        <f>IF('ORDENES'!$A174="","",IF('ORDENES'!$D174="","-",'ORDENES'!$D174))</f>
        <v/>
      </c>
      <c r="J196" s="3">
        <f>IF('ORDENES'!$A174="","",IF('ORDENES'!$E174="","-",'ORDENES'!$E174))</f>
        <v/>
      </c>
      <c r="K196" s="12">
        <f>IF('ORDENES'!$A174="","",IF('ORDENES'!$M174="",0,'ORDENES'!$M174))</f>
        <v/>
      </c>
      <c r="L196" s="3">
        <f>IF('ORDENES'!$A174="","",IF('ORDENES'!$N174="","-",'ORDENES'!$N174))</f>
        <v/>
      </c>
      <c r="M196" s="3">
        <f>IF('ORDENES'!$A174="","",'ORDENES'!$AA174)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IF('ORDENES'!$A175="","",IF('ORDENES'!$AC175="","-",'ORDENES'!$AC175))</f>
        <v/>
      </c>
      <c r="D197" s="3">
        <f>IF('ORDENES'!$A175="","",IF('ORDENES'!$V175="","-",'ORDENES'!$V175))</f>
        <v/>
      </c>
      <c r="E197" s="3">
        <f>IF('ORDENES'!$A175="","",IF('ORDENES'!$U175="","-",'ORDENES'!$U175))</f>
        <v/>
      </c>
      <c r="F197" s="3">
        <f>IF('ORDENES'!$A175="","",IF('ORDENES'!$W175="","-",'ORDENES'!$W175))</f>
        <v/>
      </c>
      <c r="G197" s="3">
        <f>IF('ORDENES'!$A175="","",IF('ORDENES'!$AB175="","-",'ORDENES'!$AB175))</f>
        <v/>
      </c>
      <c r="H197" s="3">
        <f>IF('ORDENES'!$A175="","",IF('ORDENES'!$AN175="","-",'ORDENES'!$AN175))</f>
        <v/>
      </c>
      <c r="I197" s="3">
        <f>IF('ORDENES'!$A175="","",IF('ORDENES'!$D175="","-",'ORDENES'!$D175))</f>
        <v/>
      </c>
      <c r="J197" s="3">
        <f>IF('ORDENES'!$A175="","",IF('ORDENES'!$E175="","-",'ORDENES'!$E175))</f>
        <v/>
      </c>
      <c r="K197" s="12">
        <f>IF('ORDENES'!$A175="","",IF('ORDENES'!$M175="",0,'ORDENES'!$M175))</f>
        <v/>
      </c>
      <c r="L197" s="3">
        <f>IF('ORDENES'!$A175="","",IF('ORDENES'!$N175="","-",'ORDENES'!$N175))</f>
        <v/>
      </c>
      <c r="M197" s="3">
        <f>IF('ORDENES'!$A175="","",'ORDENES'!$AA175)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IF('ORDENES'!$A176="","",IF('ORDENES'!$AC176="","-",'ORDENES'!$AC176))</f>
        <v/>
      </c>
      <c r="D198" s="3">
        <f>IF('ORDENES'!$A176="","",IF('ORDENES'!$V176="","-",'ORDENES'!$V176))</f>
        <v/>
      </c>
      <c r="E198" s="3">
        <f>IF('ORDENES'!$A176="","",IF('ORDENES'!$U176="","-",'ORDENES'!$U176))</f>
        <v/>
      </c>
      <c r="F198" s="3">
        <f>IF('ORDENES'!$A176="","",IF('ORDENES'!$W176="","-",'ORDENES'!$W176))</f>
        <v/>
      </c>
      <c r="G198" s="3">
        <f>IF('ORDENES'!$A176="","",IF('ORDENES'!$AB176="","-",'ORDENES'!$AB176))</f>
        <v/>
      </c>
      <c r="H198" s="3">
        <f>IF('ORDENES'!$A176="","",IF('ORDENES'!$AN176="","-",'ORDENES'!$AN176))</f>
        <v/>
      </c>
      <c r="I198" s="3">
        <f>IF('ORDENES'!$A176="","",IF('ORDENES'!$D176="","-",'ORDENES'!$D176))</f>
        <v/>
      </c>
      <c r="J198" s="3">
        <f>IF('ORDENES'!$A176="","",IF('ORDENES'!$E176="","-",'ORDENES'!$E176))</f>
        <v/>
      </c>
      <c r="K198" s="12">
        <f>IF('ORDENES'!$A176="","",IF('ORDENES'!$M176="",0,'ORDENES'!$M176))</f>
        <v/>
      </c>
      <c r="L198" s="3">
        <f>IF('ORDENES'!$A176="","",IF('ORDENES'!$N176="","-",'ORDENES'!$N176))</f>
        <v/>
      </c>
      <c r="M198" s="3">
        <f>IF('ORDENES'!$A176="","",'ORDENES'!$AA176)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IF('ORDENES'!$A177="","",IF('ORDENES'!$AC177="","-",'ORDENES'!$AC177))</f>
        <v/>
      </c>
      <c r="D199" s="3">
        <f>IF('ORDENES'!$A177="","",IF('ORDENES'!$V177="","-",'ORDENES'!$V177))</f>
        <v/>
      </c>
      <c r="E199" s="3">
        <f>IF('ORDENES'!$A177="","",IF('ORDENES'!$U177="","-",'ORDENES'!$U177))</f>
        <v/>
      </c>
      <c r="F199" s="3">
        <f>IF('ORDENES'!$A177="","",IF('ORDENES'!$W177="","-",'ORDENES'!$W177))</f>
        <v/>
      </c>
      <c r="G199" s="3">
        <f>IF('ORDENES'!$A177="","",IF('ORDENES'!$AB177="","-",'ORDENES'!$AB177))</f>
        <v/>
      </c>
      <c r="H199" s="3">
        <f>IF('ORDENES'!$A177="","",IF('ORDENES'!$AN177="","-",'ORDENES'!$AN177))</f>
        <v/>
      </c>
      <c r="I199" s="3">
        <f>IF('ORDENES'!$A177="","",IF('ORDENES'!$D177="","-",'ORDENES'!$D177))</f>
        <v/>
      </c>
      <c r="J199" s="3">
        <f>IF('ORDENES'!$A177="","",IF('ORDENES'!$E177="","-",'ORDENES'!$E177))</f>
        <v/>
      </c>
      <c r="K199" s="12">
        <f>IF('ORDENES'!$A177="","",IF('ORDENES'!$M177="",0,'ORDENES'!$M177))</f>
        <v/>
      </c>
      <c r="L199" s="3">
        <f>IF('ORDENES'!$A177="","",IF('ORDENES'!$N177="","-",'ORDENES'!$N177))</f>
        <v/>
      </c>
      <c r="M199" s="3">
        <f>IF('ORDENES'!$A177="","",'ORDENES'!$AA177)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IF('ORDENES'!$A178="","",IF('ORDENES'!$AC178="","-",'ORDENES'!$AC178))</f>
        <v/>
      </c>
      <c r="D200" s="3">
        <f>IF('ORDENES'!$A178="","",IF('ORDENES'!$V178="","-",'ORDENES'!$V178))</f>
        <v/>
      </c>
      <c r="E200" s="3">
        <f>IF('ORDENES'!$A178="","",IF('ORDENES'!$U178="","-",'ORDENES'!$U178))</f>
        <v/>
      </c>
      <c r="F200" s="3">
        <f>IF('ORDENES'!$A178="","",IF('ORDENES'!$W178="","-",'ORDENES'!$W178))</f>
        <v/>
      </c>
      <c r="G200" s="3">
        <f>IF('ORDENES'!$A178="","",IF('ORDENES'!$AB178="","-",'ORDENES'!$AB178))</f>
        <v/>
      </c>
      <c r="H200" s="3">
        <f>IF('ORDENES'!$A178="","",IF('ORDENES'!$AN178="","-",'ORDENES'!$AN178))</f>
        <v/>
      </c>
      <c r="I200" s="3">
        <f>IF('ORDENES'!$A178="","",IF('ORDENES'!$D178="","-",'ORDENES'!$D178))</f>
        <v/>
      </c>
      <c r="J200" s="3">
        <f>IF('ORDENES'!$A178="","",IF('ORDENES'!$E178="","-",'ORDENES'!$E178))</f>
        <v/>
      </c>
      <c r="K200" s="12">
        <f>IF('ORDENES'!$A178="","",IF('ORDENES'!$M178="",0,'ORDENES'!$M178))</f>
        <v/>
      </c>
      <c r="L200" s="3">
        <f>IF('ORDENES'!$A178="","",IF('ORDENES'!$N178="","-",'ORDENES'!$N178))</f>
        <v/>
      </c>
      <c r="M200" s="3">
        <f>IF('ORDENES'!$A178="","",'ORDENES'!$AA178)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IF('ORDENES'!$A179="","",IF('ORDENES'!$AC179="","-",'ORDENES'!$AC179))</f>
        <v/>
      </c>
      <c r="D201" s="3">
        <f>IF('ORDENES'!$A179="","",IF('ORDENES'!$V179="","-",'ORDENES'!$V179))</f>
        <v/>
      </c>
      <c r="E201" s="3">
        <f>IF('ORDENES'!$A179="","",IF('ORDENES'!$U179="","-",'ORDENES'!$U179))</f>
        <v/>
      </c>
      <c r="F201" s="3">
        <f>IF('ORDENES'!$A179="","",IF('ORDENES'!$W179="","-",'ORDENES'!$W179))</f>
        <v/>
      </c>
      <c r="G201" s="3">
        <f>IF('ORDENES'!$A179="","",IF('ORDENES'!$AB179="","-",'ORDENES'!$AB179))</f>
        <v/>
      </c>
      <c r="H201" s="3">
        <f>IF('ORDENES'!$A179="","",IF('ORDENES'!$AN179="","-",'ORDENES'!$AN179))</f>
        <v/>
      </c>
      <c r="I201" s="3">
        <f>IF('ORDENES'!$A179="","",IF('ORDENES'!$D179="","-",'ORDENES'!$D179))</f>
        <v/>
      </c>
      <c r="J201" s="3">
        <f>IF('ORDENES'!$A179="","",IF('ORDENES'!$E179="","-",'ORDENES'!$E179))</f>
        <v/>
      </c>
      <c r="K201" s="12">
        <f>IF('ORDENES'!$A179="","",IF('ORDENES'!$M179="",0,'ORDENES'!$M179))</f>
        <v/>
      </c>
      <c r="L201" s="3">
        <f>IF('ORDENES'!$A179="","",IF('ORDENES'!$N179="","-",'ORDENES'!$N179))</f>
        <v/>
      </c>
      <c r="M201" s="3">
        <f>IF('ORDENES'!$A179="","",'ORDENES'!$AA179)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IF('ORDENES'!$A180="","",IF('ORDENES'!$AC180="","-",'ORDENES'!$AC180))</f>
        <v/>
      </c>
      <c r="D202" s="3">
        <f>IF('ORDENES'!$A180="","",IF('ORDENES'!$V180="","-",'ORDENES'!$V180))</f>
        <v/>
      </c>
      <c r="E202" s="3">
        <f>IF('ORDENES'!$A180="","",IF('ORDENES'!$U180="","-",'ORDENES'!$U180))</f>
        <v/>
      </c>
      <c r="F202" s="3">
        <f>IF('ORDENES'!$A180="","",IF('ORDENES'!$W180="","-",'ORDENES'!$W180))</f>
        <v/>
      </c>
      <c r="G202" s="3">
        <f>IF('ORDENES'!$A180="","",IF('ORDENES'!$AB180="","-",'ORDENES'!$AB180))</f>
        <v/>
      </c>
      <c r="H202" s="3">
        <f>IF('ORDENES'!$A180="","",IF('ORDENES'!$AN180="","-",'ORDENES'!$AN180))</f>
        <v/>
      </c>
      <c r="I202" s="3">
        <f>IF('ORDENES'!$A180="","",IF('ORDENES'!$D180="","-",'ORDENES'!$D180))</f>
        <v/>
      </c>
      <c r="J202" s="3">
        <f>IF('ORDENES'!$A180="","",IF('ORDENES'!$E180="","-",'ORDENES'!$E180))</f>
        <v/>
      </c>
      <c r="K202" s="12">
        <f>IF('ORDENES'!$A180="","",IF('ORDENES'!$M180="",0,'ORDENES'!$M180))</f>
        <v/>
      </c>
      <c r="L202" s="3">
        <f>IF('ORDENES'!$A180="","",IF('ORDENES'!$N180="","-",'ORDENES'!$N180))</f>
        <v/>
      </c>
      <c r="M202" s="3">
        <f>IF('ORDENES'!$A180="","",'ORDENES'!$AA180)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IF('ORDENES'!$A181="","",IF('ORDENES'!$AC181="","-",'ORDENES'!$AC181))</f>
        <v/>
      </c>
      <c r="D203" s="3">
        <f>IF('ORDENES'!$A181="","",IF('ORDENES'!$V181="","-",'ORDENES'!$V181))</f>
        <v/>
      </c>
      <c r="E203" s="3">
        <f>IF('ORDENES'!$A181="","",IF('ORDENES'!$U181="","-",'ORDENES'!$U181))</f>
        <v/>
      </c>
      <c r="F203" s="3">
        <f>IF('ORDENES'!$A181="","",IF('ORDENES'!$W181="","-",'ORDENES'!$W181))</f>
        <v/>
      </c>
      <c r="G203" s="3">
        <f>IF('ORDENES'!$A181="","",IF('ORDENES'!$AB181="","-",'ORDENES'!$AB181))</f>
        <v/>
      </c>
      <c r="H203" s="3">
        <f>IF('ORDENES'!$A181="","",IF('ORDENES'!$AN181="","-",'ORDENES'!$AN181))</f>
        <v/>
      </c>
      <c r="I203" s="3">
        <f>IF('ORDENES'!$A181="","",IF('ORDENES'!$D181="","-",'ORDENES'!$D181))</f>
        <v/>
      </c>
      <c r="J203" s="3">
        <f>IF('ORDENES'!$A181="","",IF('ORDENES'!$E181="","-",'ORDENES'!$E181))</f>
        <v/>
      </c>
      <c r="K203" s="12">
        <f>IF('ORDENES'!$A181="","",IF('ORDENES'!$M181="",0,'ORDENES'!$M181))</f>
        <v/>
      </c>
      <c r="L203" s="3">
        <f>IF('ORDENES'!$A181="","",IF('ORDENES'!$N181="","-",'ORDENES'!$N181))</f>
        <v/>
      </c>
      <c r="M203" s="3">
        <f>IF('ORDENES'!$A181="","",'ORDENES'!$AA181)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IF('ORDENES'!$A182="","",IF('ORDENES'!$AC182="","-",'ORDENES'!$AC182))</f>
        <v/>
      </c>
      <c r="D204" s="3">
        <f>IF('ORDENES'!$A182="","",IF('ORDENES'!$V182="","-",'ORDENES'!$V182))</f>
        <v/>
      </c>
      <c r="E204" s="3">
        <f>IF('ORDENES'!$A182="","",IF('ORDENES'!$U182="","-",'ORDENES'!$U182))</f>
        <v/>
      </c>
      <c r="F204" s="3">
        <f>IF('ORDENES'!$A182="","",IF('ORDENES'!$W182="","-",'ORDENES'!$W182))</f>
        <v/>
      </c>
      <c r="G204" s="3">
        <f>IF('ORDENES'!$A182="","",IF('ORDENES'!$AB182="","-",'ORDENES'!$AB182))</f>
        <v/>
      </c>
      <c r="H204" s="3">
        <f>IF('ORDENES'!$A182="","",IF('ORDENES'!$AN182="","-",'ORDENES'!$AN182))</f>
        <v/>
      </c>
      <c r="I204" s="3">
        <f>IF('ORDENES'!$A182="","",IF('ORDENES'!$D182="","-",'ORDENES'!$D182))</f>
        <v/>
      </c>
      <c r="J204" s="3">
        <f>IF('ORDENES'!$A182="","",IF('ORDENES'!$E182="","-",'ORDENES'!$E182))</f>
        <v/>
      </c>
      <c r="K204" s="12">
        <f>IF('ORDENES'!$A182="","",IF('ORDENES'!$M182="",0,'ORDENES'!$M182))</f>
        <v/>
      </c>
      <c r="L204" s="3">
        <f>IF('ORDENES'!$A182="","",IF('ORDENES'!$N182="","-",'ORDENES'!$N182))</f>
        <v/>
      </c>
      <c r="M204" s="3">
        <f>IF('ORDENES'!$A182="","",'ORDENES'!$AA182)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IF('ORDENES'!$A183="","",IF('ORDENES'!$AC183="","-",'ORDENES'!$AC183))</f>
        <v/>
      </c>
      <c r="D205" s="3">
        <f>IF('ORDENES'!$A183="","",IF('ORDENES'!$V183="","-",'ORDENES'!$V183))</f>
        <v/>
      </c>
      <c r="E205" s="3">
        <f>IF('ORDENES'!$A183="","",IF('ORDENES'!$U183="","-",'ORDENES'!$U183))</f>
        <v/>
      </c>
      <c r="F205" s="3">
        <f>IF('ORDENES'!$A183="","",IF('ORDENES'!$W183="","-",'ORDENES'!$W183))</f>
        <v/>
      </c>
      <c r="G205" s="3">
        <f>IF('ORDENES'!$A183="","",IF('ORDENES'!$AB183="","-",'ORDENES'!$AB183))</f>
        <v/>
      </c>
      <c r="H205" s="3">
        <f>IF('ORDENES'!$A183="","",IF('ORDENES'!$AN183="","-",'ORDENES'!$AN183))</f>
        <v/>
      </c>
      <c r="I205" s="3">
        <f>IF('ORDENES'!$A183="","",IF('ORDENES'!$D183="","-",'ORDENES'!$D183))</f>
        <v/>
      </c>
      <c r="J205" s="3">
        <f>IF('ORDENES'!$A183="","",IF('ORDENES'!$E183="","-",'ORDENES'!$E183))</f>
        <v/>
      </c>
      <c r="K205" s="12">
        <f>IF('ORDENES'!$A183="","",IF('ORDENES'!$M183="",0,'ORDENES'!$M183))</f>
        <v/>
      </c>
      <c r="L205" s="3">
        <f>IF('ORDENES'!$A183="","",IF('ORDENES'!$N183="","-",'ORDENES'!$N183))</f>
        <v/>
      </c>
      <c r="M205" s="3">
        <f>IF('ORDENES'!$A183="","",'ORDENES'!$AA183)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IF('ORDENES'!$A184="","",IF('ORDENES'!$AC184="","-",'ORDENES'!$AC184))</f>
        <v/>
      </c>
      <c r="D206" s="3">
        <f>IF('ORDENES'!$A184="","",IF('ORDENES'!$V184="","-",'ORDENES'!$V184))</f>
        <v/>
      </c>
      <c r="E206" s="3">
        <f>IF('ORDENES'!$A184="","",IF('ORDENES'!$U184="","-",'ORDENES'!$U184))</f>
        <v/>
      </c>
      <c r="F206" s="3">
        <f>IF('ORDENES'!$A184="","",IF('ORDENES'!$W184="","-",'ORDENES'!$W184))</f>
        <v/>
      </c>
      <c r="G206" s="3">
        <f>IF('ORDENES'!$A184="","",IF('ORDENES'!$AB184="","-",'ORDENES'!$AB184))</f>
        <v/>
      </c>
      <c r="H206" s="3">
        <f>IF('ORDENES'!$A184="","",IF('ORDENES'!$AN184="","-",'ORDENES'!$AN184))</f>
        <v/>
      </c>
      <c r="I206" s="3">
        <f>IF('ORDENES'!$A184="","",IF('ORDENES'!$D184="","-",'ORDENES'!$D184))</f>
        <v/>
      </c>
      <c r="J206" s="3">
        <f>IF('ORDENES'!$A184="","",IF('ORDENES'!$E184="","-",'ORDENES'!$E184))</f>
        <v/>
      </c>
      <c r="K206" s="12">
        <f>IF('ORDENES'!$A184="","",IF('ORDENES'!$M184="",0,'ORDENES'!$M184))</f>
        <v/>
      </c>
      <c r="L206" s="3">
        <f>IF('ORDENES'!$A184="","",IF('ORDENES'!$N184="","-",'ORDENES'!$N184))</f>
        <v/>
      </c>
      <c r="M206" s="3">
        <f>IF('ORDENES'!$A184="","",'ORDENES'!$AA184)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IF('ORDENES'!$A185="","",IF('ORDENES'!$AC185="","-",'ORDENES'!$AC185))</f>
        <v/>
      </c>
      <c r="D207" s="3">
        <f>IF('ORDENES'!$A185="","",IF('ORDENES'!$V185="","-",'ORDENES'!$V185))</f>
        <v/>
      </c>
      <c r="E207" s="3">
        <f>IF('ORDENES'!$A185="","",IF('ORDENES'!$U185="","-",'ORDENES'!$U185))</f>
        <v/>
      </c>
      <c r="F207" s="3">
        <f>IF('ORDENES'!$A185="","",IF('ORDENES'!$W185="","-",'ORDENES'!$W185))</f>
        <v/>
      </c>
      <c r="G207" s="3">
        <f>IF('ORDENES'!$A185="","",IF('ORDENES'!$AB185="","-",'ORDENES'!$AB185))</f>
        <v/>
      </c>
      <c r="H207" s="3">
        <f>IF('ORDENES'!$A185="","",IF('ORDENES'!$AN185="","-",'ORDENES'!$AN185))</f>
        <v/>
      </c>
      <c r="I207" s="3">
        <f>IF('ORDENES'!$A185="","",IF('ORDENES'!$D185="","-",'ORDENES'!$D185))</f>
        <v/>
      </c>
      <c r="J207" s="3">
        <f>IF('ORDENES'!$A185="","",IF('ORDENES'!$E185="","-",'ORDENES'!$E185))</f>
        <v/>
      </c>
      <c r="K207" s="12">
        <f>IF('ORDENES'!$A185="","",IF('ORDENES'!$M185="",0,'ORDENES'!$M185))</f>
        <v/>
      </c>
      <c r="L207" s="3">
        <f>IF('ORDENES'!$A185="","",IF('ORDENES'!$N185="","-",'ORDENES'!$N185))</f>
        <v/>
      </c>
      <c r="M207" s="3">
        <f>IF('ORDENES'!$A185="","",'ORDENES'!$AA185)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IF('ORDENES'!$A186="","",IF('ORDENES'!$AC186="","-",'ORDENES'!$AC186))</f>
        <v/>
      </c>
      <c r="D208" s="3">
        <f>IF('ORDENES'!$A186="","",IF('ORDENES'!$V186="","-",'ORDENES'!$V186))</f>
        <v/>
      </c>
      <c r="E208" s="3">
        <f>IF('ORDENES'!$A186="","",IF('ORDENES'!$U186="","-",'ORDENES'!$U186))</f>
        <v/>
      </c>
      <c r="F208" s="3">
        <f>IF('ORDENES'!$A186="","",IF('ORDENES'!$W186="","-",'ORDENES'!$W186))</f>
        <v/>
      </c>
      <c r="G208" s="3">
        <f>IF('ORDENES'!$A186="","",IF('ORDENES'!$AB186="","-",'ORDENES'!$AB186))</f>
        <v/>
      </c>
      <c r="H208" s="3">
        <f>IF('ORDENES'!$A186="","",IF('ORDENES'!$AN186="","-",'ORDENES'!$AN186))</f>
        <v/>
      </c>
      <c r="I208" s="3">
        <f>IF('ORDENES'!$A186="","",IF('ORDENES'!$D186="","-",'ORDENES'!$D186))</f>
        <v/>
      </c>
      <c r="J208" s="3">
        <f>IF('ORDENES'!$A186="","",IF('ORDENES'!$E186="","-",'ORDENES'!$E186))</f>
        <v/>
      </c>
      <c r="K208" s="12">
        <f>IF('ORDENES'!$A186="","",IF('ORDENES'!$M186="",0,'ORDENES'!$M186))</f>
        <v/>
      </c>
      <c r="L208" s="3">
        <f>IF('ORDENES'!$A186="","",IF('ORDENES'!$N186="","-",'ORDENES'!$N186))</f>
        <v/>
      </c>
      <c r="M208" s="3">
        <f>IF('ORDENES'!$A186="","",'ORDENES'!$AA186)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IF('ORDENES'!$A187="","",IF('ORDENES'!$AC187="","-",'ORDENES'!$AC187))</f>
        <v/>
      </c>
      <c r="D209" s="3">
        <f>IF('ORDENES'!$A187="","",IF('ORDENES'!$V187="","-",'ORDENES'!$V187))</f>
        <v/>
      </c>
      <c r="E209" s="3">
        <f>IF('ORDENES'!$A187="","",IF('ORDENES'!$U187="","-",'ORDENES'!$U187))</f>
        <v/>
      </c>
      <c r="F209" s="3">
        <f>IF('ORDENES'!$A187="","",IF('ORDENES'!$W187="","-",'ORDENES'!$W187))</f>
        <v/>
      </c>
      <c r="G209" s="3">
        <f>IF('ORDENES'!$A187="","",IF('ORDENES'!$AB187="","-",'ORDENES'!$AB187))</f>
        <v/>
      </c>
      <c r="H209" s="3">
        <f>IF('ORDENES'!$A187="","",IF('ORDENES'!$AN187="","-",'ORDENES'!$AN187))</f>
        <v/>
      </c>
      <c r="I209" s="3">
        <f>IF('ORDENES'!$A187="","",IF('ORDENES'!$D187="","-",'ORDENES'!$D187))</f>
        <v/>
      </c>
      <c r="J209" s="3">
        <f>IF('ORDENES'!$A187="","",IF('ORDENES'!$E187="","-",'ORDENES'!$E187))</f>
        <v/>
      </c>
      <c r="K209" s="12">
        <f>IF('ORDENES'!$A187="","",IF('ORDENES'!$M187="",0,'ORDENES'!$M187))</f>
        <v/>
      </c>
      <c r="L209" s="3">
        <f>IF('ORDENES'!$A187="","",IF('ORDENES'!$N187="","-",'ORDENES'!$N187))</f>
        <v/>
      </c>
      <c r="M209" s="3">
        <f>IF('ORDENES'!$A187="","",'ORDENES'!$AA187)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IF('ORDENES'!$A188="","",IF('ORDENES'!$AC188="","-",'ORDENES'!$AC188))</f>
        <v/>
      </c>
      <c r="D210" s="3">
        <f>IF('ORDENES'!$A188="","",IF('ORDENES'!$V188="","-",'ORDENES'!$V188))</f>
        <v/>
      </c>
      <c r="E210" s="3">
        <f>IF('ORDENES'!$A188="","",IF('ORDENES'!$U188="","-",'ORDENES'!$U188))</f>
        <v/>
      </c>
      <c r="F210" s="3">
        <f>IF('ORDENES'!$A188="","",IF('ORDENES'!$W188="","-",'ORDENES'!$W188))</f>
        <v/>
      </c>
      <c r="G210" s="3">
        <f>IF('ORDENES'!$A188="","",IF('ORDENES'!$AB188="","-",'ORDENES'!$AB188))</f>
        <v/>
      </c>
      <c r="H210" s="3">
        <f>IF('ORDENES'!$A188="","",IF('ORDENES'!$AN188="","-",'ORDENES'!$AN188))</f>
        <v/>
      </c>
      <c r="I210" s="3">
        <f>IF('ORDENES'!$A188="","",IF('ORDENES'!$D188="","-",'ORDENES'!$D188))</f>
        <v/>
      </c>
      <c r="J210" s="3">
        <f>IF('ORDENES'!$A188="","",IF('ORDENES'!$E188="","-",'ORDENES'!$E188))</f>
        <v/>
      </c>
      <c r="K210" s="12">
        <f>IF('ORDENES'!$A188="","",IF('ORDENES'!$M188="",0,'ORDENES'!$M188))</f>
        <v/>
      </c>
      <c r="L210" s="3">
        <f>IF('ORDENES'!$A188="","",IF('ORDENES'!$N188="","-",'ORDENES'!$N188))</f>
        <v/>
      </c>
      <c r="M210" s="3">
        <f>IF('ORDENES'!$A188="","",'ORDENES'!$AA188)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IF('ORDENES'!$A189="","",IF('ORDENES'!$AC189="","-",'ORDENES'!$AC189))</f>
        <v/>
      </c>
      <c r="D211" s="3">
        <f>IF('ORDENES'!$A189="","",IF('ORDENES'!$V189="","-",'ORDENES'!$V189))</f>
        <v/>
      </c>
      <c r="E211" s="3">
        <f>IF('ORDENES'!$A189="","",IF('ORDENES'!$U189="","-",'ORDENES'!$U189))</f>
        <v/>
      </c>
      <c r="F211" s="3">
        <f>IF('ORDENES'!$A189="","",IF('ORDENES'!$W189="","-",'ORDENES'!$W189))</f>
        <v/>
      </c>
      <c r="G211" s="3">
        <f>IF('ORDENES'!$A189="","",IF('ORDENES'!$AB189="","-",'ORDENES'!$AB189))</f>
        <v/>
      </c>
      <c r="H211" s="3">
        <f>IF('ORDENES'!$A189="","",IF('ORDENES'!$AN189="","-",'ORDENES'!$AN189))</f>
        <v/>
      </c>
      <c r="I211" s="3">
        <f>IF('ORDENES'!$A189="","",IF('ORDENES'!$D189="","-",'ORDENES'!$D189))</f>
        <v/>
      </c>
      <c r="J211" s="3">
        <f>IF('ORDENES'!$A189="","",IF('ORDENES'!$E189="","-",'ORDENES'!$E189))</f>
        <v/>
      </c>
      <c r="K211" s="12">
        <f>IF('ORDENES'!$A189="","",IF('ORDENES'!$M189="",0,'ORDENES'!$M189))</f>
        <v/>
      </c>
      <c r="L211" s="3">
        <f>IF('ORDENES'!$A189="","",IF('ORDENES'!$N189="","-",'ORDENES'!$N189))</f>
        <v/>
      </c>
      <c r="M211" s="3">
        <f>IF('ORDENES'!$A189="","",'ORDENES'!$AA189)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IF('ORDENES'!$A190="","",IF('ORDENES'!$AC190="","-",'ORDENES'!$AC190))</f>
        <v/>
      </c>
      <c r="D212" s="3">
        <f>IF('ORDENES'!$A190="","",IF('ORDENES'!$V190="","-",'ORDENES'!$V190))</f>
        <v/>
      </c>
      <c r="E212" s="3">
        <f>IF('ORDENES'!$A190="","",IF('ORDENES'!$U190="","-",'ORDENES'!$U190))</f>
        <v/>
      </c>
      <c r="F212" s="3">
        <f>IF('ORDENES'!$A190="","",IF('ORDENES'!$W190="","-",'ORDENES'!$W190))</f>
        <v/>
      </c>
      <c r="G212" s="3">
        <f>IF('ORDENES'!$A190="","",IF('ORDENES'!$AB190="","-",'ORDENES'!$AB190))</f>
        <v/>
      </c>
      <c r="H212" s="3">
        <f>IF('ORDENES'!$A190="","",IF('ORDENES'!$AN190="","-",'ORDENES'!$AN190))</f>
        <v/>
      </c>
      <c r="I212" s="3">
        <f>IF('ORDENES'!$A190="","",IF('ORDENES'!$D190="","-",'ORDENES'!$D190))</f>
        <v/>
      </c>
      <c r="J212" s="3">
        <f>IF('ORDENES'!$A190="","",IF('ORDENES'!$E190="","-",'ORDENES'!$E190))</f>
        <v/>
      </c>
      <c r="K212" s="12">
        <f>IF('ORDENES'!$A190="","",IF('ORDENES'!$M190="",0,'ORDENES'!$M190))</f>
        <v/>
      </c>
      <c r="L212" s="3">
        <f>IF('ORDENES'!$A190="","",IF('ORDENES'!$N190="","-",'ORDENES'!$N190))</f>
        <v/>
      </c>
      <c r="M212" s="3">
        <f>IF('ORDENES'!$A190="","",'ORDENES'!$AA190)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IF('ORDENES'!$A191="","",IF('ORDENES'!$AC191="","-",'ORDENES'!$AC191))</f>
        <v/>
      </c>
      <c r="D213" s="3">
        <f>IF('ORDENES'!$A191="","",IF('ORDENES'!$V191="","-",'ORDENES'!$V191))</f>
        <v/>
      </c>
      <c r="E213" s="3">
        <f>IF('ORDENES'!$A191="","",IF('ORDENES'!$U191="","-",'ORDENES'!$U191))</f>
        <v/>
      </c>
      <c r="F213" s="3">
        <f>IF('ORDENES'!$A191="","",IF('ORDENES'!$W191="","-",'ORDENES'!$W191))</f>
        <v/>
      </c>
      <c r="G213" s="3">
        <f>IF('ORDENES'!$A191="","",IF('ORDENES'!$AB191="","-",'ORDENES'!$AB191))</f>
        <v/>
      </c>
      <c r="H213" s="3">
        <f>IF('ORDENES'!$A191="","",IF('ORDENES'!$AN191="","-",'ORDENES'!$AN191))</f>
        <v/>
      </c>
      <c r="I213" s="3">
        <f>IF('ORDENES'!$A191="","",IF('ORDENES'!$D191="","-",'ORDENES'!$D191))</f>
        <v/>
      </c>
      <c r="J213" s="3">
        <f>IF('ORDENES'!$A191="","",IF('ORDENES'!$E191="","-",'ORDENES'!$E191))</f>
        <v/>
      </c>
      <c r="K213" s="12">
        <f>IF('ORDENES'!$A191="","",IF('ORDENES'!$M191="",0,'ORDENES'!$M191))</f>
        <v/>
      </c>
      <c r="L213" s="3">
        <f>IF('ORDENES'!$A191="","",IF('ORDENES'!$N191="","-",'ORDENES'!$N191))</f>
        <v/>
      </c>
      <c r="M213" s="3">
        <f>IF('ORDENES'!$A191="","",'ORDENES'!$AA191)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IF('ORDENES'!$A192="","",IF('ORDENES'!$AC192="","-",'ORDENES'!$AC192))</f>
        <v/>
      </c>
      <c r="D214" s="3">
        <f>IF('ORDENES'!$A192="","",IF('ORDENES'!$V192="","-",'ORDENES'!$V192))</f>
        <v/>
      </c>
      <c r="E214" s="3">
        <f>IF('ORDENES'!$A192="","",IF('ORDENES'!$U192="","-",'ORDENES'!$U192))</f>
        <v/>
      </c>
      <c r="F214" s="3">
        <f>IF('ORDENES'!$A192="","",IF('ORDENES'!$W192="","-",'ORDENES'!$W192))</f>
        <v/>
      </c>
      <c r="G214" s="3">
        <f>IF('ORDENES'!$A192="","",IF('ORDENES'!$AB192="","-",'ORDENES'!$AB192))</f>
        <v/>
      </c>
      <c r="H214" s="3">
        <f>IF('ORDENES'!$A192="","",IF('ORDENES'!$AN192="","-",'ORDENES'!$AN192))</f>
        <v/>
      </c>
      <c r="I214" s="3">
        <f>IF('ORDENES'!$A192="","",IF('ORDENES'!$D192="","-",'ORDENES'!$D192))</f>
        <v/>
      </c>
      <c r="J214" s="3">
        <f>IF('ORDENES'!$A192="","",IF('ORDENES'!$E192="","-",'ORDENES'!$E192))</f>
        <v/>
      </c>
      <c r="K214" s="12">
        <f>IF('ORDENES'!$A192="","",IF('ORDENES'!$M192="",0,'ORDENES'!$M192))</f>
        <v/>
      </c>
      <c r="L214" s="3">
        <f>IF('ORDENES'!$A192="","",IF('ORDENES'!$N192="","-",'ORDENES'!$N192))</f>
        <v/>
      </c>
      <c r="M214" s="3">
        <f>IF('ORDENES'!$A192="","",'ORDENES'!$AA192)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IF('ORDENES'!$A193="","",IF('ORDENES'!$AC193="","-",'ORDENES'!$AC193))</f>
        <v/>
      </c>
      <c r="D215" s="3">
        <f>IF('ORDENES'!$A193="","",IF('ORDENES'!$V193="","-",'ORDENES'!$V193))</f>
        <v/>
      </c>
      <c r="E215" s="3">
        <f>IF('ORDENES'!$A193="","",IF('ORDENES'!$U193="","-",'ORDENES'!$U193))</f>
        <v/>
      </c>
      <c r="F215" s="3">
        <f>IF('ORDENES'!$A193="","",IF('ORDENES'!$W193="","-",'ORDENES'!$W193))</f>
        <v/>
      </c>
      <c r="G215" s="3">
        <f>IF('ORDENES'!$A193="","",IF('ORDENES'!$AB193="","-",'ORDENES'!$AB193))</f>
        <v/>
      </c>
      <c r="H215" s="3">
        <f>IF('ORDENES'!$A193="","",IF('ORDENES'!$AN193="","-",'ORDENES'!$AN193))</f>
        <v/>
      </c>
      <c r="I215" s="3">
        <f>IF('ORDENES'!$A193="","",IF('ORDENES'!$D193="","-",'ORDENES'!$D193))</f>
        <v/>
      </c>
      <c r="J215" s="3">
        <f>IF('ORDENES'!$A193="","",IF('ORDENES'!$E193="","-",'ORDENES'!$E193))</f>
        <v/>
      </c>
      <c r="K215" s="12">
        <f>IF('ORDENES'!$A193="","",IF('ORDENES'!$M193="",0,'ORDENES'!$M193))</f>
        <v/>
      </c>
      <c r="L215" s="3">
        <f>IF('ORDENES'!$A193="","",IF('ORDENES'!$N193="","-",'ORDENES'!$N193))</f>
        <v/>
      </c>
      <c r="M215" s="3">
        <f>IF('ORDENES'!$A193="","",'ORDENES'!$AA193)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IF('ORDENES'!$A194="","",IF('ORDENES'!$AC194="","-",'ORDENES'!$AC194))</f>
        <v/>
      </c>
      <c r="D216" s="3">
        <f>IF('ORDENES'!$A194="","",IF('ORDENES'!$V194="","-",'ORDENES'!$V194))</f>
        <v/>
      </c>
      <c r="E216" s="3">
        <f>IF('ORDENES'!$A194="","",IF('ORDENES'!$U194="","-",'ORDENES'!$U194))</f>
        <v/>
      </c>
      <c r="F216" s="3">
        <f>IF('ORDENES'!$A194="","",IF('ORDENES'!$W194="","-",'ORDENES'!$W194))</f>
        <v/>
      </c>
      <c r="G216" s="3">
        <f>IF('ORDENES'!$A194="","",IF('ORDENES'!$AB194="","-",'ORDENES'!$AB194))</f>
        <v/>
      </c>
      <c r="H216" s="3">
        <f>IF('ORDENES'!$A194="","",IF('ORDENES'!$AN194="","-",'ORDENES'!$AN194))</f>
        <v/>
      </c>
      <c r="I216" s="3">
        <f>IF('ORDENES'!$A194="","",IF('ORDENES'!$D194="","-",'ORDENES'!$D194))</f>
        <v/>
      </c>
      <c r="J216" s="3">
        <f>IF('ORDENES'!$A194="","",IF('ORDENES'!$E194="","-",'ORDENES'!$E194))</f>
        <v/>
      </c>
      <c r="K216" s="12">
        <f>IF('ORDENES'!$A194="","",IF('ORDENES'!$M194="",0,'ORDENES'!$M194))</f>
        <v/>
      </c>
      <c r="L216" s="3">
        <f>IF('ORDENES'!$A194="","",IF('ORDENES'!$N194="","-",'ORDENES'!$N194))</f>
        <v/>
      </c>
      <c r="M216" s="3">
        <f>IF('ORDENES'!$A194="","",'ORDENES'!$AA194)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IF('ORDENES'!$A195="","",IF('ORDENES'!$AC195="","-",'ORDENES'!$AC195))</f>
        <v/>
      </c>
      <c r="D217" s="3">
        <f>IF('ORDENES'!$A195="","",IF('ORDENES'!$V195="","-",'ORDENES'!$V195))</f>
        <v/>
      </c>
      <c r="E217" s="3">
        <f>IF('ORDENES'!$A195="","",IF('ORDENES'!$U195="","-",'ORDENES'!$U195))</f>
        <v/>
      </c>
      <c r="F217" s="3">
        <f>IF('ORDENES'!$A195="","",IF('ORDENES'!$W195="","-",'ORDENES'!$W195))</f>
        <v/>
      </c>
      <c r="G217" s="3">
        <f>IF('ORDENES'!$A195="","",IF('ORDENES'!$AB195="","-",'ORDENES'!$AB195))</f>
        <v/>
      </c>
      <c r="H217" s="3">
        <f>IF('ORDENES'!$A195="","",IF('ORDENES'!$AN195="","-",'ORDENES'!$AN195))</f>
        <v/>
      </c>
      <c r="I217" s="3">
        <f>IF('ORDENES'!$A195="","",IF('ORDENES'!$D195="","-",'ORDENES'!$D195))</f>
        <v/>
      </c>
      <c r="J217" s="3">
        <f>IF('ORDENES'!$A195="","",IF('ORDENES'!$E195="","-",'ORDENES'!$E195))</f>
        <v/>
      </c>
      <c r="K217" s="12">
        <f>IF('ORDENES'!$A195="","",IF('ORDENES'!$M195="",0,'ORDENES'!$M195))</f>
        <v/>
      </c>
      <c r="L217" s="3">
        <f>IF('ORDENES'!$A195="","",IF('ORDENES'!$N195="","-",'ORDENES'!$N195))</f>
        <v/>
      </c>
      <c r="M217" s="3">
        <f>IF('ORDENES'!$A195="","",'ORDENES'!$AA195)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IF('ORDENES'!$A196="","",IF('ORDENES'!$AC196="","-",'ORDENES'!$AC196))</f>
        <v/>
      </c>
      <c r="D218" s="3">
        <f>IF('ORDENES'!$A196="","",IF('ORDENES'!$V196="","-",'ORDENES'!$V196))</f>
        <v/>
      </c>
      <c r="E218" s="3">
        <f>IF('ORDENES'!$A196="","",IF('ORDENES'!$U196="","-",'ORDENES'!$U196))</f>
        <v/>
      </c>
      <c r="F218" s="3">
        <f>IF('ORDENES'!$A196="","",IF('ORDENES'!$W196="","-",'ORDENES'!$W196))</f>
        <v/>
      </c>
      <c r="G218" s="3">
        <f>IF('ORDENES'!$A196="","",IF('ORDENES'!$AB196="","-",'ORDENES'!$AB196))</f>
        <v/>
      </c>
      <c r="H218" s="3">
        <f>IF('ORDENES'!$A196="","",IF('ORDENES'!$AN196="","-",'ORDENES'!$AN196))</f>
        <v/>
      </c>
      <c r="I218" s="3">
        <f>IF('ORDENES'!$A196="","",IF('ORDENES'!$D196="","-",'ORDENES'!$D196))</f>
        <v/>
      </c>
      <c r="J218" s="3">
        <f>IF('ORDENES'!$A196="","",IF('ORDENES'!$E196="","-",'ORDENES'!$E196))</f>
        <v/>
      </c>
      <c r="K218" s="12">
        <f>IF('ORDENES'!$A196="","",IF('ORDENES'!$M196="",0,'ORDENES'!$M196))</f>
        <v/>
      </c>
      <c r="L218" s="3">
        <f>IF('ORDENES'!$A196="","",IF('ORDENES'!$N196="","-",'ORDENES'!$N196))</f>
        <v/>
      </c>
      <c r="M218" s="3">
        <f>IF('ORDENES'!$A196="","",'ORDENES'!$AA196)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IF('ORDENES'!$A197="","",IF('ORDENES'!$AC197="","-",'ORDENES'!$AC197))</f>
        <v/>
      </c>
      <c r="D219" s="3">
        <f>IF('ORDENES'!$A197="","",IF('ORDENES'!$V197="","-",'ORDENES'!$V197))</f>
        <v/>
      </c>
      <c r="E219" s="3">
        <f>IF('ORDENES'!$A197="","",IF('ORDENES'!$U197="","-",'ORDENES'!$U197))</f>
        <v/>
      </c>
      <c r="F219" s="3">
        <f>IF('ORDENES'!$A197="","",IF('ORDENES'!$W197="","-",'ORDENES'!$W197))</f>
        <v/>
      </c>
      <c r="G219" s="3">
        <f>IF('ORDENES'!$A197="","",IF('ORDENES'!$AB197="","-",'ORDENES'!$AB197))</f>
        <v/>
      </c>
      <c r="H219" s="3">
        <f>IF('ORDENES'!$A197="","",IF('ORDENES'!$AN197="","-",'ORDENES'!$AN197))</f>
        <v/>
      </c>
      <c r="I219" s="3">
        <f>IF('ORDENES'!$A197="","",IF('ORDENES'!$D197="","-",'ORDENES'!$D197))</f>
        <v/>
      </c>
      <c r="J219" s="3">
        <f>IF('ORDENES'!$A197="","",IF('ORDENES'!$E197="","-",'ORDENES'!$E197))</f>
        <v/>
      </c>
      <c r="K219" s="12">
        <f>IF('ORDENES'!$A197="","",IF('ORDENES'!$M197="",0,'ORDENES'!$M197))</f>
        <v/>
      </c>
      <c r="L219" s="3">
        <f>IF('ORDENES'!$A197="","",IF('ORDENES'!$N197="","-",'ORDENES'!$N197))</f>
        <v/>
      </c>
      <c r="M219" s="3">
        <f>IF('ORDENES'!$A197="","",'ORDENES'!$AA197)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IF('ORDENES'!$A198="","",IF('ORDENES'!$AC198="","-",'ORDENES'!$AC198))</f>
        <v/>
      </c>
      <c r="D220" s="3">
        <f>IF('ORDENES'!$A198="","",IF('ORDENES'!$V198="","-",'ORDENES'!$V198))</f>
        <v/>
      </c>
      <c r="E220" s="3">
        <f>IF('ORDENES'!$A198="","",IF('ORDENES'!$U198="","-",'ORDENES'!$U198))</f>
        <v/>
      </c>
      <c r="F220" s="3">
        <f>IF('ORDENES'!$A198="","",IF('ORDENES'!$W198="","-",'ORDENES'!$W198))</f>
        <v/>
      </c>
      <c r="G220" s="3">
        <f>IF('ORDENES'!$A198="","",IF('ORDENES'!$AB198="","-",'ORDENES'!$AB198))</f>
        <v/>
      </c>
      <c r="H220" s="3">
        <f>IF('ORDENES'!$A198="","",IF('ORDENES'!$AN198="","-",'ORDENES'!$AN198))</f>
        <v/>
      </c>
      <c r="I220" s="3">
        <f>IF('ORDENES'!$A198="","",IF('ORDENES'!$D198="","-",'ORDENES'!$D198))</f>
        <v/>
      </c>
      <c r="J220" s="3">
        <f>IF('ORDENES'!$A198="","",IF('ORDENES'!$E198="","-",'ORDENES'!$E198))</f>
        <v/>
      </c>
      <c r="K220" s="12">
        <f>IF('ORDENES'!$A198="","",IF('ORDENES'!$M198="",0,'ORDENES'!$M198))</f>
        <v/>
      </c>
      <c r="L220" s="3">
        <f>IF('ORDENES'!$A198="","",IF('ORDENES'!$N198="","-",'ORDENES'!$N198))</f>
        <v/>
      </c>
      <c r="M220" s="3">
        <f>IF('ORDENES'!$A198="","",'ORDENES'!$AA198)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IF('ORDENES'!$A199="","",IF('ORDENES'!$AC199="","-",'ORDENES'!$AC199))</f>
        <v/>
      </c>
      <c r="D221" s="3">
        <f>IF('ORDENES'!$A199="","",IF('ORDENES'!$V199="","-",'ORDENES'!$V199))</f>
        <v/>
      </c>
      <c r="E221" s="3">
        <f>IF('ORDENES'!$A199="","",IF('ORDENES'!$U199="","-",'ORDENES'!$U199))</f>
        <v/>
      </c>
      <c r="F221" s="3">
        <f>IF('ORDENES'!$A199="","",IF('ORDENES'!$W199="","-",'ORDENES'!$W199))</f>
        <v/>
      </c>
      <c r="G221" s="3">
        <f>IF('ORDENES'!$A199="","",IF('ORDENES'!$AB199="","-",'ORDENES'!$AB199))</f>
        <v/>
      </c>
      <c r="H221" s="3">
        <f>IF('ORDENES'!$A199="","",IF('ORDENES'!$AN199="","-",'ORDENES'!$AN199))</f>
        <v/>
      </c>
      <c r="I221" s="3">
        <f>IF('ORDENES'!$A199="","",IF('ORDENES'!$D199="","-",'ORDENES'!$D199))</f>
        <v/>
      </c>
      <c r="J221" s="3">
        <f>IF('ORDENES'!$A199="","",IF('ORDENES'!$E199="","-",'ORDENES'!$E199))</f>
        <v/>
      </c>
      <c r="K221" s="12">
        <f>IF('ORDENES'!$A199="","",IF('ORDENES'!$M199="",0,'ORDENES'!$M199))</f>
        <v/>
      </c>
      <c r="L221" s="3">
        <f>IF('ORDENES'!$A199="","",IF('ORDENES'!$N199="","-",'ORDENES'!$N199))</f>
        <v/>
      </c>
      <c r="M221" s="3">
        <f>IF('ORDENES'!$A199="","",'ORDENES'!$AA199)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IF('ORDENES'!$A200="","",IF('ORDENES'!$AC200="","-",'ORDENES'!$AC200))</f>
        <v/>
      </c>
      <c r="D222" s="3">
        <f>IF('ORDENES'!$A200="","",IF('ORDENES'!$V200="","-",'ORDENES'!$V200))</f>
        <v/>
      </c>
      <c r="E222" s="3">
        <f>IF('ORDENES'!$A200="","",IF('ORDENES'!$U200="","-",'ORDENES'!$U200))</f>
        <v/>
      </c>
      <c r="F222" s="3">
        <f>IF('ORDENES'!$A200="","",IF('ORDENES'!$W200="","-",'ORDENES'!$W200))</f>
        <v/>
      </c>
      <c r="G222" s="3">
        <f>IF('ORDENES'!$A200="","",IF('ORDENES'!$AB200="","-",'ORDENES'!$AB200))</f>
        <v/>
      </c>
      <c r="H222" s="3">
        <f>IF('ORDENES'!$A200="","",IF('ORDENES'!$AN200="","-",'ORDENES'!$AN200))</f>
        <v/>
      </c>
      <c r="I222" s="3">
        <f>IF('ORDENES'!$A200="","",IF('ORDENES'!$D200="","-",'ORDENES'!$D200))</f>
        <v/>
      </c>
      <c r="J222" s="3">
        <f>IF('ORDENES'!$A200="","",IF('ORDENES'!$E200="","-",'ORDENES'!$E200))</f>
        <v/>
      </c>
      <c r="K222" s="12">
        <f>IF('ORDENES'!$A200="","",IF('ORDENES'!$M200="",0,'ORDENES'!$M200))</f>
        <v/>
      </c>
      <c r="L222" s="3">
        <f>IF('ORDENES'!$A200="","",IF('ORDENES'!$N200="","-",'ORDENES'!$N200))</f>
        <v/>
      </c>
      <c r="M222" s="3">
        <f>IF('ORDENES'!$A200="","",'ORDENES'!$AA200)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IF('ORDENES'!$A201="","",IF('ORDENES'!$AC201="","-",'ORDENES'!$AC201))</f>
        <v/>
      </c>
      <c r="D223" s="3">
        <f>IF('ORDENES'!$A201="","",IF('ORDENES'!$V201="","-",'ORDENES'!$V201))</f>
        <v/>
      </c>
      <c r="E223" s="3">
        <f>IF('ORDENES'!$A201="","",IF('ORDENES'!$U201="","-",'ORDENES'!$U201))</f>
        <v/>
      </c>
      <c r="F223" s="3">
        <f>IF('ORDENES'!$A201="","",IF('ORDENES'!$W201="","-",'ORDENES'!$W201))</f>
        <v/>
      </c>
      <c r="G223" s="3">
        <f>IF('ORDENES'!$A201="","",IF('ORDENES'!$AB201="","-",'ORDENES'!$AB201))</f>
        <v/>
      </c>
      <c r="H223" s="3">
        <f>IF('ORDENES'!$A201="","",IF('ORDENES'!$AN201="","-",'ORDENES'!$AN201))</f>
        <v/>
      </c>
      <c r="I223" s="3">
        <f>IF('ORDENES'!$A201="","",IF('ORDENES'!$D201="","-",'ORDENES'!$D201))</f>
        <v/>
      </c>
      <c r="J223" s="3">
        <f>IF('ORDENES'!$A201="","",IF('ORDENES'!$E201="","-",'ORDENES'!$E201))</f>
        <v/>
      </c>
      <c r="K223" s="12">
        <f>IF('ORDENES'!$A201="","",IF('ORDENES'!$M201="",0,'ORDENES'!$M201))</f>
        <v/>
      </c>
      <c r="L223" s="3">
        <f>IF('ORDENES'!$A201="","",IF('ORDENES'!$N201="","-",'ORDENES'!$N201))</f>
        <v/>
      </c>
      <c r="M223" s="3">
        <f>IF('ORDENES'!$A201="","",'ORDENES'!$AA201)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IF('ORDENES'!$A202="","",IF('ORDENES'!$AC202="","-",'ORDENES'!$AC202))</f>
        <v/>
      </c>
      <c r="D224" s="3">
        <f>IF('ORDENES'!$A202="","",IF('ORDENES'!$V202="","-",'ORDENES'!$V202))</f>
        <v/>
      </c>
      <c r="E224" s="3">
        <f>IF('ORDENES'!$A202="","",IF('ORDENES'!$U202="","-",'ORDENES'!$U202))</f>
        <v/>
      </c>
      <c r="F224" s="3">
        <f>IF('ORDENES'!$A202="","",IF('ORDENES'!$W202="","-",'ORDENES'!$W202))</f>
        <v/>
      </c>
      <c r="G224" s="3">
        <f>IF('ORDENES'!$A202="","",IF('ORDENES'!$AB202="","-",'ORDENES'!$AB202))</f>
        <v/>
      </c>
      <c r="H224" s="3">
        <f>IF('ORDENES'!$A202="","",IF('ORDENES'!$AN202="","-",'ORDENES'!$AN202))</f>
        <v/>
      </c>
      <c r="I224" s="3">
        <f>IF('ORDENES'!$A202="","",IF('ORDENES'!$D202="","-",'ORDENES'!$D202))</f>
        <v/>
      </c>
      <c r="J224" s="3">
        <f>IF('ORDENES'!$A202="","",IF('ORDENES'!$E202="","-",'ORDENES'!$E202))</f>
        <v/>
      </c>
      <c r="K224" s="12">
        <f>IF('ORDENES'!$A202="","",IF('ORDENES'!$M202="",0,'ORDENES'!$M202))</f>
        <v/>
      </c>
      <c r="L224" s="3">
        <f>IF('ORDENES'!$A202="","",IF('ORDENES'!$N202="","-",'ORDENES'!$N202))</f>
        <v/>
      </c>
      <c r="M224" s="3">
        <f>IF('ORDENES'!$A202="","",'ORDENES'!$AA202)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IF('ORDENES'!$A203="","",IF('ORDENES'!$AC203="","-",'ORDENES'!$AC203))</f>
        <v/>
      </c>
      <c r="D225" s="3">
        <f>IF('ORDENES'!$A203="","",IF('ORDENES'!$V203="","-",'ORDENES'!$V203))</f>
        <v/>
      </c>
      <c r="E225" s="3">
        <f>IF('ORDENES'!$A203="","",IF('ORDENES'!$U203="","-",'ORDENES'!$U203))</f>
        <v/>
      </c>
      <c r="F225" s="3">
        <f>IF('ORDENES'!$A203="","",IF('ORDENES'!$W203="","-",'ORDENES'!$W203))</f>
        <v/>
      </c>
      <c r="G225" s="3">
        <f>IF('ORDENES'!$A203="","",IF('ORDENES'!$AB203="","-",'ORDENES'!$AB203))</f>
        <v/>
      </c>
      <c r="H225" s="3">
        <f>IF('ORDENES'!$A203="","",IF('ORDENES'!$AN203="","-",'ORDENES'!$AN203))</f>
        <v/>
      </c>
      <c r="I225" s="3">
        <f>IF('ORDENES'!$A203="","",IF('ORDENES'!$D203="","-",'ORDENES'!$D203))</f>
        <v/>
      </c>
      <c r="J225" s="3">
        <f>IF('ORDENES'!$A203="","",IF('ORDENES'!$E203="","-",'ORDENES'!$E203))</f>
        <v/>
      </c>
      <c r="K225" s="12">
        <f>IF('ORDENES'!$A203="","",IF('ORDENES'!$M203="",0,'ORDENES'!$M203))</f>
        <v/>
      </c>
      <c r="L225" s="3">
        <f>IF('ORDENES'!$A203="","",IF('ORDENES'!$N203="","-",'ORDENES'!$N203))</f>
        <v/>
      </c>
      <c r="M225" s="3">
        <f>IF('ORDENES'!$A203="","",'ORDENES'!$AA203)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IF('ORDENES'!$A204="","",IF('ORDENES'!$AC204="","-",'ORDENES'!$AC204))</f>
        <v/>
      </c>
      <c r="D226" s="3">
        <f>IF('ORDENES'!$A204="","",IF('ORDENES'!$V204="","-",'ORDENES'!$V204))</f>
        <v/>
      </c>
      <c r="E226" s="3">
        <f>IF('ORDENES'!$A204="","",IF('ORDENES'!$U204="","-",'ORDENES'!$U204))</f>
        <v/>
      </c>
      <c r="F226" s="3">
        <f>IF('ORDENES'!$A204="","",IF('ORDENES'!$W204="","-",'ORDENES'!$W204))</f>
        <v/>
      </c>
      <c r="G226" s="3">
        <f>IF('ORDENES'!$A204="","",IF('ORDENES'!$AB204="","-",'ORDENES'!$AB204))</f>
        <v/>
      </c>
      <c r="H226" s="3">
        <f>IF('ORDENES'!$A204="","",IF('ORDENES'!$AN204="","-",'ORDENES'!$AN204))</f>
        <v/>
      </c>
      <c r="I226" s="3">
        <f>IF('ORDENES'!$A204="","",IF('ORDENES'!$D204="","-",'ORDENES'!$D204))</f>
        <v/>
      </c>
      <c r="J226" s="3">
        <f>IF('ORDENES'!$A204="","",IF('ORDENES'!$E204="","-",'ORDENES'!$E204))</f>
        <v/>
      </c>
      <c r="K226" s="12">
        <f>IF('ORDENES'!$A204="","",IF('ORDENES'!$M204="",0,'ORDENES'!$M204))</f>
        <v/>
      </c>
      <c r="L226" s="3">
        <f>IF('ORDENES'!$A204="","",IF('ORDENES'!$N204="","-",'ORDENES'!$N204))</f>
        <v/>
      </c>
      <c r="M226" s="3">
        <f>IF('ORDENES'!$A204="","",'ORDENES'!$AA204)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IF('ORDENES'!$A205="","",IF('ORDENES'!$AC205="","-",'ORDENES'!$AC205))</f>
        <v/>
      </c>
      <c r="D227" s="3">
        <f>IF('ORDENES'!$A205="","",IF('ORDENES'!$V205="","-",'ORDENES'!$V205))</f>
        <v/>
      </c>
      <c r="E227" s="3">
        <f>IF('ORDENES'!$A205="","",IF('ORDENES'!$U205="","-",'ORDENES'!$U205))</f>
        <v/>
      </c>
      <c r="F227" s="3">
        <f>IF('ORDENES'!$A205="","",IF('ORDENES'!$W205="","-",'ORDENES'!$W205))</f>
        <v/>
      </c>
      <c r="G227" s="3">
        <f>IF('ORDENES'!$A205="","",IF('ORDENES'!$AB205="","-",'ORDENES'!$AB205))</f>
        <v/>
      </c>
      <c r="H227" s="3">
        <f>IF('ORDENES'!$A205="","",IF('ORDENES'!$AN205="","-",'ORDENES'!$AN205))</f>
        <v/>
      </c>
      <c r="I227" s="3">
        <f>IF('ORDENES'!$A205="","",IF('ORDENES'!$D205="","-",'ORDENES'!$D205))</f>
        <v/>
      </c>
      <c r="J227" s="3">
        <f>IF('ORDENES'!$A205="","",IF('ORDENES'!$E205="","-",'ORDENES'!$E205))</f>
        <v/>
      </c>
      <c r="K227" s="12">
        <f>IF('ORDENES'!$A205="","",IF('ORDENES'!$M205="",0,'ORDENES'!$M205))</f>
        <v/>
      </c>
      <c r="L227" s="3">
        <f>IF('ORDENES'!$A205="","",IF('ORDENES'!$N205="","-",'ORDENES'!$N205))</f>
        <v/>
      </c>
      <c r="M227" s="3">
        <f>IF('ORDENES'!$A205="","",'ORDENES'!$AA205)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IF('ORDENES'!$A206="","",IF('ORDENES'!$AC206="","-",'ORDENES'!$AC206))</f>
        <v/>
      </c>
      <c r="D228" s="3">
        <f>IF('ORDENES'!$A206="","",IF('ORDENES'!$V206="","-",'ORDENES'!$V206))</f>
        <v/>
      </c>
      <c r="E228" s="3">
        <f>IF('ORDENES'!$A206="","",IF('ORDENES'!$U206="","-",'ORDENES'!$U206))</f>
        <v/>
      </c>
      <c r="F228" s="3">
        <f>IF('ORDENES'!$A206="","",IF('ORDENES'!$W206="","-",'ORDENES'!$W206))</f>
        <v/>
      </c>
      <c r="G228" s="3">
        <f>IF('ORDENES'!$A206="","",IF('ORDENES'!$AB206="","-",'ORDENES'!$AB206))</f>
        <v/>
      </c>
      <c r="H228" s="3">
        <f>IF('ORDENES'!$A206="","",IF('ORDENES'!$AN206="","-",'ORDENES'!$AN206))</f>
        <v/>
      </c>
      <c r="I228" s="3">
        <f>IF('ORDENES'!$A206="","",IF('ORDENES'!$D206="","-",'ORDENES'!$D206))</f>
        <v/>
      </c>
      <c r="J228" s="3">
        <f>IF('ORDENES'!$A206="","",IF('ORDENES'!$E206="","-",'ORDENES'!$E206))</f>
        <v/>
      </c>
      <c r="K228" s="12">
        <f>IF('ORDENES'!$A206="","",IF('ORDENES'!$M206="",0,'ORDENES'!$M206))</f>
        <v/>
      </c>
      <c r="L228" s="3">
        <f>IF('ORDENES'!$A206="","",IF('ORDENES'!$N206="","-",'ORDENES'!$N206))</f>
        <v/>
      </c>
      <c r="M228" s="3">
        <f>IF('ORDENES'!$A206="","",'ORDENES'!$AA206)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IF('ORDENES'!$A207="","",IF('ORDENES'!$AC207="","-",'ORDENES'!$AC207))</f>
        <v/>
      </c>
      <c r="D229" s="3">
        <f>IF('ORDENES'!$A207="","",IF('ORDENES'!$V207="","-",'ORDENES'!$V207))</f>
        <v/>
      </c>
      <c r="E229" s="3">
        <f>IF('ORDENES'!$A207="","",IF('ORDENES'!$U207="","-",'ORDENES'!$U207))</f>
        <v/>
      </c>
      <c r="F229" s="3">
        <f>IF('ORDENES'!$A207="","",IF('ORDENES'!$W207="","-",'ORDENES'!$W207))</f>
        <v/>
      </c>
      <c r="G229" s="3">
        <f>IF('ORDENES'!$A207="","",IF('ORDENES'!$AB207="","-",'ORDENES'!$AB207))</f>
        <v/>
      </c>
      <c r="H229" s="3">
        <f>IF('ORDENES'!$A207="","",IF('ORDENES'!$AN207="","-",'ORDENES'!$AN207))</f>
        <v/>
      </c>
      <c r="I229" s="3">
        <f>IF('ORDENES'!$A207="","",IF('ORDENES'!$D207="","-",'ORDENES'!$D207))</f>
        <v/>
      </c>
      <c r="J229" s="3">
        <f>IF('ORDENES'!$A207="","",IF('ORDENES'!$E207="","-",'ORDENES'!$E207))</f>
        <v/>
      </c>
      <c r="K229" s="12">
        <f>IF('ORDENES'!$A207="","",IF('ORDENES'!$M207="",0,'ORDENES'!$M207))</f>
        <v/>
      </c>
      <c r="L229" s="3">
        <f>IF('ORDENES'!$A207="","",IF('ORDENES'!$N207="","-",'ORDENES'!$N207))</f>
        <v/>
      </c>
      <c r="M229" s="3">
        <f>IF('ORDENES'!$A207="","",'ORDENES'!$AA207)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IF('ORDENES'!$A208="","",IF('ORDENES'!$AC208="","-",'ORDENES'!$AC208))</f>
        <v/>
      </c>
      <c r="D230" s="3">
        <f>IF('ORDENES'!$A208="","",IF('ORDENES'!$V208="","-",'ORDENES'!$V208))</f>
        <v/>
      </c>
      <c r="E230" s="3">
        <f>IF('ORDENES'!$A208="","",IF('ORDENES'!$U208="","-",'ORDENES'!$U208))</f>
        <v/>
      </c>
      <c r="F230" s="3">
        <f>IF('ORDENES'!$A208="","",IF('ORDENES'!$W208="","-",'ORDENES'!$W208))</f>
        <v/>
      </c>
      <c r="G230" s="3">
        <f>IF('ORDENES'!$A208="","",IF('ORDENES'!$AB208="","-",'ORDENES'!$AB208))</f>
        <v/>
      </c>
      <c r="H230" s="3">
        <f>IF('ORDENES'!$A208="","",IF('ORDENES'!$AN208="","-",'ORDENES'!$AN208))</f>
        <v/>
      </c>
      <c r="I230" s="3">
        <f>IF('ORDENES'!$A208="","",IF('ORDENES'!$D208="","-",'ORDENES'!$D208))</f>
        <v/>
      </c>
      <c r="J230" s="3">
        <f>IF('ORDENES'!$A208="","",IF('ORDENES'!$E208="","-",'ORDENES'!$E208))</f>
        <v/>
      </c>
      <c r="K230" s="12">
        <f>IF('ORDENES'!$A208="","",IF('ORDENES'!$M208="",0,'ORDENES'!$M208))</f>
        <v/>
      </c>
      <c r="L230" s="3">
        <f>IF('ORDENES'!$A208="","",IF('ORDENES'!$N208="","-",'ORDENES'!$N208))</f>
        <v/>
      </c>
      <c r="M230" s="3">
        <f>IF('ORDENES'!$A208="","",'ORDENES'!$AA208)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IF('ORDENES'!$A209="","",IF('ORDENES'!$AC209="","-",'ORDENES'!$AC209))</f>
        <v/>
      </c>
      <c r="D231" s="3">
        <f>IF('ORDENES'!$A209="","",IF('ORDENES'!$V209="","-",'ORDENES'!$V209))</f>
        <v/>
      </c>
      <c r="E231" s="3">
        <f>IF('ORDENES'!$A209="","",IF('ORDENES'!$U209="","-",'ORDENES'!$U209))</f>
        <v/>
      </c>
      <c r="F231" s="3">
        <f>IF('ORDENES'!$A209="","",IF('ORDENES'!$W209="","-",'ORDENES'!$W209))</f>
        <v/>
      </c>
      <c r="G231" s="3">
        <f>IF('ORDENES'!$A209="","",IF('ORDENES'!$AB209="","-",'ORDENES'!$AB209))</f>
        <v/>
      </c>
      <c r="H231" s="3">
        <f>IF('ORDENES'!$A209="","",IF('ORDENES'!$AN209="","-",'ORDENES'!$AN209))</f>
        <v/>
      </c>
      <c r="I231" s="3">
        <f>IF('ORDENES'!$A209="","",IF('ORDENES'!$D209="","-",'ORDENES'!$D209))</f>
        <v/>
      </c>
      <c r="J231" s="3">
        <f>IF('ORDENES'!$A209="","",IF('ORDENES'!$E209="","-",'ORDENES'!$E209))</f>
        <v/>
      </c>
      <c r="K231" s="12">
        <f>IF('ORDENES'!$A209="","",IF('ORDENES'!$M209="",0,'ORDENES'!$M209))</f>
        <v/>
      </c>
      <c r="L231" s="3">
        <f>IF('ORDENES'!$A209="","",IF('ORDENES'!$N209="","-",'ORDENES'!$N209))</f>
        <v/>
      </c>
      <c r="M231" s="3">
        <f>IF('ORDENES'!$A209="","",'ORDENES'!$AA209)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IF('ORDENES'!$A210="","",IF('ORDENES'!$AC210="","-",'ORDENES'!$AC210))</f>
        <v/>
      </c>
      <c r="D232" s="3">
        <f>IF('ORDENES'!$A210="","",IF('ORDENES'!$V210="","-",'ORDENES'!$V210))</f>
        <v/>
      </c>
      <c r="E232" s="3">
        <f>IF('ORDENES'!$A210="","",IF('ORDENES'!$U210="","-",'ORDENES'!$U210))</f>
        <v/>
      </c>
      <c r="F232" s="3">
        <f>IF('ORDENES'!$A210="","",IF('ORDENES'!$W210="","-",'ORDENES'!$W210))</f>
        <v/>
      </c>
      <c r="G232" s="3">
        <f>IF('ORDENES'!$A210="","",IF('ORDENES'!$AB210="","-",'ORDENES'!$AB210))</f>
        <v/>
      </c>
      <c r="H232" s="3">
        <f>IF('ORDENES'!$A210="","",IF('ORDENES'!$AN210="","-",'ORDENES'!$AN210))</f>
        <v/>
      </c>
      <c r="I232" s="3">
        <f>IF('ORDENES'!$A210="","",IF('ORDENES'!$D210="","-",'ORDENES'!$D210))</f>
        <v/>
      </c>
      <c r="J232" s="3">
        <f>IF('ORDENES'!$A210="","",IF('ORDENES'!$E210="","-",'ORDENES'!$E210))</f>
        <v/>
      </c>
      <c r="K232" s="12">
        <f>IF('ORDENES'!$A210="","",IF('ORDENES'!$M210="",0,'ORDENES'!$M210))</f>
        <v/>
      </c>
      <c r="L232" s="3">
        <f>IF('ORDENES'!$A210="","",IF('ORDENES'!$N210="","-",'ORDENES'!$N210))</f>
        <v/>
      </c>
      <c r="M232" s="3">
        <f>IF('ORDENES'!$A210="","",'ORDENES'!$AA210)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IF('ORDENES'!$A211="","",IF('ORDENES'!$AC211="","-",'ORDENES'!$AC211))</f>
        <v/>
      </c>
      <c r="D233" s="3">
        <f>IF('ORDENES'!$A211="","",IF('ORDENES'!$V211="","-",'ORDENES'!$V211))</f>
        <v/>
      </c>
      <c r="E233" s="3">
        <f>IF('ORDENES'!$A211="","",IF('ORDENES'!$U211="","-",'ORDENES'!$U211))</f>
        <v/>
      </c>
      <c r="F233" s="3">
        <f>IF('ORDENES'!$A211="","",IF('ORDENES'!$W211="","-",'ORDENES'!$W211))</f>
        <v/>
      </c>
      <c r="G233" s="3">
        <f>IF('ORDENES'!$A211="","",IF('ORDENES'!$AB211="","-",'ORDENES'!$AB211))</f>
        <v/>
      </c>
      <c r="H233" s="3">
        <f>IF('ORDENES'!$A211="","",IF('ORDENES'!$AN211="","-",'ORDENES'!$AN211))</f>
        <v/>
      </c>
      <c r="I233" s="3">
        <f>IF('ORDENES'!$A211="","",IF('ORDENES'!$D211="","-",'ORDENES'!$D211))</f>
        <v/>
      </c>
      <c r="J233" s="3">
        <f>IF('ORDENES'!$A211="","",IF('ORDENES'!$E211="","-",'ORDENES'!$E211))</f>
        <v/>
      </c>
      <c r="K233" s="12">
        <f>IF('ORDENES'!$A211="","",IF('ORDENES'!$M211="",0,'ORDENES'!$M211))</f>
        <v/>
      </c>
      <c r="L233" s="3">
        <f>IF('ORDENES'!$A211="","",IF('ORDENES'!$N211="","-",'ORDENES'!$N211))</f>
        <v/>
      </c>
      <c r="M233" s="3">
        <f>IF('ORDENES'!$A211="","",'ORDENES'!$AA211)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IF('ORDENES'!$A212="","",IF('ORDENES'!$AC212="","-",'ORDENES'!$AC212))</f>
        <v/>
      </c>
      <c r="D234" s="3">
        <f>IF('ORDENES'!$A212="","",IF('ORDENES'!$V212="","-",'ORDENES'!$V212))</f>
        <v/>
      </c>
      <c r="E234" s="3">
        <f>IF('ORDENES'!$A212="","",IF('ORDENES'!$U212="","-",'ORDENES'!$U212))</f>
        <v/>
      </c>
      <c r="F234" s="3">
        <f>IF('ORDENES'!$A212="","",IF('ORDENES'!$W212="","-",'ORDENES'!$W212))</f>
        <v/>
      </c>
      <c r="G234" s="3">
        <f>IF('ORDENES'!$A212="","",IF('ORDENES'!$AB212="","-",'ORDENES'!$AB212))</f>
        <v/>
      </c>
      <c r="H234" s="3">
        <f>IF('ORDENES'!$A212="","",IF('ORDENES'!$AN212="","-",'ORDENES'!$AN212))</f>
        <v/>
      </c>
      <c r="I234" s="3">
        <f>IF('ORDENES'!$A212="","",IF('ORDENES'!$D212="","-",'ORDENES'!$D212))</f>
        <v/>
      </c>
      <c r="J234" s="3">
        <f>IF('ORDENES'!$A212="","",IF('ORDENES'!$E212="","-",'ORDENES'!$E212))</f>
        <v/>
      </c>
      <c r="K234" s="12">
        <f>IF('ORDENES'!$A212="","",IF('ORDENES'!$M212="",0,'ORDENES'!$M212))</f>
        <v/>
      </c>
      <c r="L234" s="3">
        <f>IF('ORDENES'!$A212="","",IF('ORDENES'!$N212="","-",'ORDENES'!$N212))</f>
        <v/>
      </c>
      <c r="M234" s="3">
        <f>IF('ORDENES'!$A212="","",'ORDENES'!$AA212)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IF('ORDENES'!$A213="","",IF('ORDENES'!$AC213="","-",'ORDENES'!$AC213))</f>
        <v/>
      </c>
      <c r="D235" s="3">
        <f>IF('ORDENES'!$A213="","",IF('ORDENES'!$V213="","-",'ORDENES'!$V213))</f>
        <v/>
      </c>
      <c r="E235" s="3">
        <f>IF('ORDENES'!$A213="","",IF('ORDENES'!$U213="","-",'ORDENES'!$U213))</f>
        <v/>
      </c>
      <c r="F235" s="3">
        <f>IF('ORDENES'!$A213="","",IF('ORDENES'!$W213="","-",'ORDENES'!$W213))</f>
        <v/>
      </c>
      <c r="G235" s="3">
        <f>IF('ORDENES'!$A213="","",IF('ORDENES'!$AB213="","-",'ORDENES'!$AB213))</f>
        <v/>
      </c>
      <c r="H235" s="3">
        <f>IF('ORDENES'!$A213="","",IF('ORDENES'!$AN213="","-",'ORDENES'!$AN213))</f>
        <v/>
      </c>
      <c r="I235" s="3">
        <f>IF('ORDENES'!$A213="","",IF('ORDENES'!$D213="","-",'ORDENES'!$D213))</f>
        <v/>
      </c>
      <c r="J235" s="3">
        <f>IF('ORDENES'!$A213="","",IF('ORDENES'!$E213="","-",'ORDENES'!$E213))</f>
        <v/>
      </c>
      <c r="K235" s="12">
        <f>IF('ORDENES'!$A213="","",IF('ORDENES'!$M213="",0,'ORDENES'!$M213))</f>
        <v/>
      </c>
      <c r="L235" s="3">
        <f>IF('ORDENES'!$A213="","",IF('ORDENES'!$N213="","-",'ORDENES'!$N213))</f>
        <v/>
      </c>
      <c r="M235" s="3">
        <f>IF('ORDENES'!$A213="","",'ORDENES'!$AA213)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IF('ORDENES'!$A214="","",IF('ORDENES'!$AC214="","-",'ORDENES'!$AC214))</f>
        <v/>
      </c>
      <c r="D236" s="3">
        <f>IF('ORDENES'!$A214="","",IF('ORDENES'!$V214="","-",'ORDENES'!$V214))</f>
        <v/>
      </c>
      <c r="E236" s="3">
        <f>IF('ORDENES'!$A214="","",IF('ORDENES'!$U214="","-",'ORDENES'!$U214))</f>
        <v/>
      </c>
      <c r="F236" s="3">
        <f>IF('ORDENES'!$A214="","",IF('ORDENES'!$W214="","-",'ORDENES'!$W214))</f>
        <v/>
      </c>
      <c r="G236" s="3">
        <f>IF('ORDENES'!$A214="","",IF('ORDENES'!$AB214="","-",'ORDENES'!$AB214))</f>
        <v/>
      </c>
      <c r="H236" s="3">
        <f>IF('ORDENES'!$A214="","",IF('ORDENES'!$AN214="","-",'ORDENES'!$AN214))</f>
        <v/>
      </c>
      <c r="I236" s="3">
        <f>IF('ORDENES'!$A214="","",IF('ORDENES'!$D214="","-",'ORDENES'!$D214))</f>
        <v/>
      </c>
      <c r="J236" s="3">
        <f>IF('ORDENES'!$A214="","",IF('ORDENES'!$E214="","-",'ORDENES'!$E214))</f>
        <v/>
      </c>
      <c r="K236" s="12">
        <f>IF('ORDENES'!$A214="","",IF('ORDENES'!$M214="",0,'ORDENES'!$M214))</f>
        <v/>
      </c>
      <c r="L236" s="3">
        <f>IF('ORDENES'!$A214="","",IF('ORDENES'!$N214="","-",'ORDENES'!$N214))</f>
        <v/>
      </c>
      <c r="M236" s="3">
        <f>IF('ORDENES'!$A214="","",'ORDENES'!$AA214)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IF('ORDENES'!$A215="","",IF('ORDENES'!$AC215="","-",'ORDENES'!$AC215))</f>
        <v/>
      </c>
      <c r="D237" s="3">
        <f>IF('ORDENES'!$A215="","",IF('ORDENES'!$V215="","-",'ORDENES'!$V215))</f>
        <v/>
      </c>
      <c r="E237" s="3">
        <f>IF('ORDENES'!$A215="","",IF('ORDENES'!$U215="","-",'ORDENES'!$U215))</f>
        <v/>
      </c>
      <c r="F237" s="3">
        <f>IF('ORDENES'!$A215="","",IF('ORDENES'!$W215="","-",'ORDENES'!$W215))</f>
        <v/>
      </c>
      <c r="G237" s="3">
        <f>IF('ORDENES'!$A215="","",IF('ORDENES'!$AB215="","-",'ORDENES'!$AB215))</f>
        <v/>
      </c>
      <c r="H237" s="3">
        <f>IF('ORDENES'!$A215="","",IF('ORDENES'!$AN215="","-",'ORDENES'!$AN215))</f>
        <v/>
      </c>
      <c r="I237" s="3">
        <f>IF('ORDENES'!$A215="","",IF('ORDENES'!$D215="","-",'ORDENES'!$D215))</f>
        <v/>
      </c>
      <c r="J237" s="3">
        <f>IF('ORDENES'!$A215="","",IF('ORDENES'!$E215="","-",'ORDENES'!$E215))</f>
        <v/>
      </c>
      <c r="K237" s="12">
        <f>IF('ORDENES'!$A215="","",IF('ORDENES'!$M215="",0,'ORDENES'!$M215))</f>
        <v/>
      </c>
      <c r="L237" s="3">
        <f>IF('ORDENES'!$A215="","",IF('ORDENES'!$N215="","-",'ORDENES'!$N215))</f>
        <v/>
      </c>
      <c r="M237" s="3">
        <f>IF('ORDENES'!$A215="","",'ORDENES'!$AA215)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IF('ORDENES'!$A216="","",IF('ORDENES'!$AC216="","-",'ORDENES'!$AC216))</f>
        <v/>
      </c>
      <c r="D238" s="3">
        <f>IF('ORDENES'!$A216="","",IF('ORDENES'!$V216="","-",'ORDENES'!$V216))</f>
        <v/>
      </c>
      <c r="E238" s="3">
        <f>IF('ORDENES'!$A216="","",IF('ORDENES'!$U216="","-",'ORDENES'!$U216))</f>
        <v/>
      </c>
      <c r="F238" s="3">
        <f>IF('ORDENES'!$A216="","",IF('ORDENES'!$W216="","-",'ORDENES'!$W216))</f>
        <v/>
      </c>
      <c r="G238" s="3">
        <f>IF('ORDENES'!$A216="","",IF('ORDENES'!$AB216="","-",'ORDENES'!$AB216))</f>
        <v/>
      </c>
      <c r="H238" s="3">
        <f>IF('ORDENES'!$A216="","",IF('ORDENES'!$AN216="","-",'ORDENES'!$AN216))</f>
        <v/>
      </c>
      <c r="I238" s="3">
        <f>IF('ORDENES'!$A216="","",IF('ORDENES'!$D216="","-",'ORDENES'!$D216))</f>
        <v/>
      </c>
      <c r="J238" s="3">
        <f>IF('ORDENES'!$A216="","",IF('ORDENES'!$E216="","-",'ORDENES'!$E216))</f>
        <v/>
      </c>
      <c r="K238" s="12">
        <f>IF('ORDENES'!$A216="","",IF('ORDENES'!$M216="",0,'ORDENES'!$M216))</f>
        <v/>
      </c>
      <c r="L238" s="3">
        <f>IF('ORDENES'!$A216="","",IF('ORDENES'!$N216="","-",'ORDENES'!$N216))</f>
        <v/>
      </c>
      <c r="M238" s="3">
        <f>IF('ORDENES'!$A216="","",'ORDENES'!$AA216)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IF('ORDENES'!$A217="","",IF('ORDENES'!$AC217="","-",'ORDENES'!$AC217))</f>
        <v/>
      </c>
      <c r="D239" s="3">
        <f>IF('ORDENES'!$A217="","",IF('ORDENES'!$V217="","-",'ORDENES'!$V217))</f>
        <v/>
      </c>
      <c r="E239" s="3">
        <f>IF('ORDENES'!$A217="","",IF('ORDENES'!$U217="","-",'ORDENES'!$U217))</f>
        <v/>
      </c>
      <c r="F239" s="3">
        <f>IF('ORDENES'!$A217="","",IF('ORDENES'!$W217="","-",'ORDENES'!$W217))</f>
        <v/>
      </c>
      <c r="G239" s="3">
        <f>IF('ORDENES'!$A217="","",IF('ORDENES'!$AB217="","-",'ORDENES'!$AB217))</f>
        <v/>
      </c>
      <c r="H239" s="3">
        <f>IF('ORDENES'!$A217="","",IF('ORDENES'!$AN217="","-",'ORDENES'!$AN217))</f>
        <v/>
      </c>
      <c r="I239" s="3">
        <f>IF('ORDENES'!$A217="","",IF('ORDENES'!$D217="","-",'ORDENES'!$D217))</f>
        <v/>
      </c>
      <c r="J239" s="3">
        <f>IF('ORDENES'!$A217="","",IF('ORDENES'!$E217="","-",'ORDENES'!$E217))</f>
        <v/>
      </c>
      <c r="K239" s="12">
        <f>IF('ORDENES'!$A217="","",IF('ORDENES'!$M217="",0,'ORDENES'!$M217))</f>
        <v/>
      </c>
      <c r="L239" s="3">
        <f>IF('ORDENES'!$A217="","",IF('ORDENES'!$N217="","-",'ORDENES'!$N217))</f>
        <v/>
      </c>
      <c r="M239" s="3">
        <f>IF('ORDENES'!$A217="","",'ORDENES'!$AA217)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IF('ORDENES'!$A218="","",IF('ORDENES'!$AC218="","-",'ORDENES'!$AC218))</f>
        <v/>
      </c>
      <c r="D240" s="3">
        <f>IF('ORDENES'!$A218="","",IF('ORDENES'!$V218="","-",'ORDENES'!$V218))</f>
        <v/>
      </c>
      <c r="E240" s="3">
        <f>IF('ORDENES'!$A218="","",IF('ORDENES'!$U218="","-",'ORDENES'!$U218))</f>
        <v/>
      </c>
      <c r="F240" s="3">
        <f>IF('ORDENES'!$A218="","",IF('ORDENES'!$W218="","-",'ORDENES'!$W218))</f>
        <v/>
      </c>
      <c r="G240" s="3">
        <f>IF('ORDENES'!$A218="","",IF('ORDENES'!$AB218="","-",'ORDENES'!$AB218))</f>
        <v/>
      </c>
      <c r="H240" s="3">
        <f>IF('ORDENES'!$A218="","",IF('ORDENES'!$AN218="","-",'ORDENES'!$AN218))</f>
        <v/>
      </c>
      <c r="I240" s="3">
        <f>IF('ORDENES'!$A218="","",IF('ORDENES'!$D218="","-",'ORDENES'!$D218))</f>
        <v/>
      </c>
      <c r="J240" s="3">
        <f>IF('ORDENES'!$A218="","",IF('ORDENES'!$E218="","-",'ORDENES'!$E218))</f>
        <v/>
      </c>
      <c r="K240" s="12">
        <f>IF('ORDENES'!$A218="","",IF('ORDENES'!$M218="",0,'ORDENES'!$M218))</f>
        <v/>
      </c>
      <c r="L240" s="3">
        <f>IF('ORDENES'!$A218="","",IF('ORDENES'!$N218="","-",'ORDENES'!$N218))</f>
        <v/>
      </c>
      <c r="M240" s="3">
        <f>IF('ORDENES'!$A218="","",'ORDENES'!$AA218)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IF('ORDENES'!$A219="","",IF('ORDENES'!$AC219="","-",'ORDENES'!$AC219))</f>
        <v/>
      </c>
      <c r="D241" s="3">
        <f>IF('ORDENES'!$A219="","",IF('ORDENES'!$V219="","-",'ORDENES'!$V219))</f>
        <v/>
      </c>
      <c r="E241" s="3">
        <f>IF('ORDENES'!$A219="","",IF('ORDENES'!$U219="","-",'ORDENES'!$U219))</f>
        <v/>
      </c>
      <c r="F241" s="3">
        <f>IF('ORDENES'!$A219="","",IF('ORDENES'!$W219="","-",'ORDENES'!$W219))</f>
        <v/>
      </c>
      <c r="G241" s="3">
        <f>IF('ORDENES'!$A219="","",IF('ORDENES'!$AB219="","-",'ORDENES'!$AB219))</f>
        <v/>
      </c>
      <c r="H241" s="3">
        <f>IF('ORDENES'!$A219="","",IF('ORDENES'!$AN219="","-",'ORDENES'!$AN219))</f>
        <v/>
      </c>
      <c r="I241" s="3">
        <f>IF('ORDENES'!$A219="","",IF('ORDENES'!$D219="","-",'ORDENES'!$D219))</f>
        <v/>
      </c>
      <c r="J241" s="3">
        <f>IF('ORDENES'!$A219="","",IF('ORDENES'!$E219="","-",'ORDENES'!$E219))</f>
        <v/>
      </c>
      <c r="K241" s="12">
        <f>IF('ORDENES'!$A219="","",IF('ORDENES'!$M219="",0,'ORDENES'!$M219))</f>
        <v/>
      </c>
      <c r="L241" s="3">
        <f>IF('ORDENES'!$A219="","",IF('ORDENES'!$N219="","-",'ORDENES'!$N219))</f>
        <v/>
      </c>
      <c r="M241" s="3">
        <f>IF('ORDENES'!$A219="","",'ORDENES'!$AA219)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IF('ORDENES'!$A220="","",IF('ORDENES'!$AC220="","-",'ORDENES'!$AC220))</f>
        <v/>
      </c>
      <c r="D242" s="3">
        <f>IF('ORDENES'!$A220="","",IF('ORDENES'!$V220="","-",'ORDENES'!$V220))</f>
        <v/>
      </c>
      <c r="E242" s="3">
        <f>IF('ORDENES'!$A220="","",IF('ORDENES'!$U220="","-",'ORDENES'!$U220))</f>
        <v/>
      </c>
      <c r="F242" s="3">
        <f>IF('ORDENES'!$A220="","",IF('ORDENES'!$W220="","-",'ORDENES'!$W220))</f>
        <v/>
      </c>
      <c r="G242" s="3">
        <f>IF('ORDENES'!$A220="","",IF('ORDENES'!$AB220="","-",'ORDENES'!$AB220))</f>
        <v/>
      </c>
      <c r="H242" s="3">
        <f>IF('ORDENES'!$A220="","",IF('ORDENES'!$AN220="","-",'ORDENES'!$AN220))</f>
        <v/>
      </c>
      <c r="I242" s="3">
        <f>IF('ORDENES'!$A220="","",IF('ORDENES'!$D220="","-",'ORDENES'!$D220))</f>
        <v/>
      </c>
      <c r="J242" s="3">
        <f>IF('ORDENES'!$A220="","",IF('ORDENES'!$E220="","-",'ORDENES'!$E220))</f>
        <v/>
      </c>
      <c r="K242" s="12">
        <f>IF('ORDENES'!$A220="","",IF('ORDENES'!$M220="",0,'ORDENES'!$M220))</f>
        <v/>
      </c>
      <c r="L242" s="3">
        <f>IF('ORDENES'!$A220="","",IF('ORDENES'!$N220="","-",'ORDENES'!$N220))</f>
        <v/>
      </c>
      <c r="M242" s="3">
        <f>IF('ORDENES'!$A220="","",'ORDENES'!$AA220)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IF('ORDENES'!$A221="","",IF('ORDENES'!$AC221="","-",'ORDENES'!$AC221))</f>
        <v/>
      </c>
      <c r="D243" s="3">
        <f>IF('ORDENES'!$A221="","",IF('ORDENES'!$V221="","-",'ORDENES'!$V221))</f>
        <v/>
      </c>
      <c r="E243" s="3">
        <f>IF('ORDENES'!$A221="","",IF('ORDENES'!$U221="","-",'ORDENES'!$U221))</f>
        <v/>
      </c>
      <c r="F243" s="3">
        <f>IF('ORDENES'!$A221="","",IF('ORDENES'!$W221="","-",'ORDENES'!$W221))</f>
        <v/>
      </c>
      <c r="G243" s="3">
        <f>IF('ORDENES'!$A221="","",IF('ORDENES'!$AB221="","-",'ORDENES'!$AB221))</f>
        <v/>
      </c>
      <c r="H243" s="3">
        <f>IF('ORDENES'!$A221="","",IF('ORDENES'!$AN221="","-",'ORDENES'!$AN221))</f>
        <v/>
      </c>
      <c r="I243" s="3">
        <f>IF('ORDENES'!$A221="","",IF('ORDENES'!$D221="","-",'ORDENES'!$D221))</f>
        <v/>
      </c>
      <c r="J243" s="3">
        <f>IF('ORDENES'!$A221="","",IF('ORDENES'!$E221="","-",'ORDENES'!$E221))</f>
        <v/>
      </c>
      <c r="K243" s="12">
        <f>IF('ORDENES'!$A221="","",IF('ORDENES'!$M221="",0,'ORDENES'!$M221))</f>
        <v/>
      </c>
      <c r="L243" s="3">
        <f>IF('ORDENES'!$A221="","",IF('ORDENES'!$N221="","-",'ORDENES'!$N221))</f>
        <v/>
      </c>
      <c r="M243" s="3">
        <f>IF('ORDENES'!$A221="","",'ORDENES'!$AA221)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IF('ORDENES'!$A222="","",IF('ORDENES'!$AC222="","-",'ORDENES'!$AC222))</f>
        <v/>
      </c>
      <c r="D244" s="3">
        <f>IF('ORDENES'!$A222="","",IF('ORDENES'!$V222="","-",'ORDENES'!$V222))</f>
        <v/>
      </c>
      <c r="E244" s="3">
        <f>IF('ORDENES'!$A222="","",IF('ORDENES'!$U222="","-",'ORDENES'!$U222))</f>
        <v/>
      </c>
      <c r="F244" s="3">
        <f>IF('ORDENES'!$A222="","",IF('ORDENES'!$W222="","-",'ORDENES'!$W222))</f>
        <v/>
      </c>
      <c r="G244" s="3">
        <f>IF('ORDENES'!$A222="","",IF('ORDENES'!$AB222="","-",'ORDENES'!$AB222))</f>
        <v/>
      </c>
      <c r="H244" s="3">
        <f>IF('ORDENES'!$A222="","",IF('ORDENES'!$AN222="","-",'ORDENES'!$AN222))</f>
        <v/>
      </c>
      <c r="I244" s="3">
        <f>IF('ORDENES'!$A222="","",IF('ORDENES'!$D222="","-",'ORDENES'!$D222))</f>
        <v/>
      </c>
      <c r="J244" s="3">
        <f>IF('ORDENES'!$A222="","",IF('ORDENES'!$E222="","-",'ORDENES'!$E222))</f>
        <v/>
      </c>
      <c r="K244" s="12">
        <f>IF('ORDENES'!$A222="","",IF('ORDENES'!$M222="",0,'ORDENES'!$M222))</f>
        <v/>
      </c>
      <c r="L244" s="3">
        <f>IF('ORDENES'!$A222="","",IF('ORDENES'!$N222="","-",'ORDENES'!$N222))</f>
        <v/>
      </c>
      <c r="M244" s="3">
        <f>IF('ORDENES'!$A222="","",'ORDENES'!$AA222)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IF('ORDENES'!$A223="","",IF('ORDENES'!$AC223="","-",'ORDENES'!$AC223))</f>
        <v/>
      </c>
      <c r="D245" s="3">
        <f>IF('ORDENES'!$A223="","",IF('ORDENES'!$V223="","-",'ORDENES'!$V223))</f>
        <v/>
      </c>
      <c r="E245" s="3">
        <f>IF('ORDENES'!$A223="","",IF('ORDENES'!$U223="","-",'ORDENES'!$U223))</f>
        <v/>
      </c>
      <c r="F245" s="3">
        <f>IF('ORDENES'!$A223="","",IF('ORDENES'!$W223="","-",'ORDENES'!$W223))</f>
        <v/>
      </c>
      <c r="G245" s="3">
        <f>IF('ORDENES'!$A223="","",IF('ORDENES'!$AB223="","-",'ORDENES'!$AB223))</f>
        <v/>
      </c>
      <c r="H245" s="3">
        <f>IF('ORDENES'!$A223="","",IF('ORDENES'!$AN223="","-",'ORDENES'!$AN223))</f>
        <v/>
      </c>
      <c r="I245" s="3">
        <f>IF('ORDENES'!$A223="","",IF('ORDENES'!$D223="","-",'ORDENES'!$D223))</f>
        <v/>
      </c>
      <c r="J245" s="3">
        <f>IF('ORDENES'!$A223="","",IF('ORDENES'!$E223="","-",'ORDENES'!$E223))</f>
        <v/>
      </c>
      <c r="K245" s="12">
        <f>IF('ORDENES'!$A223="","",IF('ORDENES'!$M223="",0,'ORDENES'!$M223))</f>
        <v/>
      </c>
      <c r="L245" s="3">
        <f>IF('ORDENES'!$A223="","",IF('ORDENES'!$N223="","-",'ORDENES'!$N223))</f>
        <v/>
      </c>
      <c r="M245" s="3">
        <f>IF('ORDENES'!$A223="","",'ORDENES'!$AA223)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IF('ORDENES'!$A224="","",IF('ORDENES'!$AC224="","-",'ORDENES'!$AC224))</f>
        <v/>
      </c>
      <c r="D246" s="3">
        <f>IF('ORDENES'!$A224="","",IF('ORDENES'!$V224="","-",'ORDENES'!$V224))</f>
        <v/>
      </c>
      <c r="E246" s="3">
        <f>IF('ORDENES'!$A224="","",IF('ORDENES'!$U224="","-",'ORDENES'!$U224))</f>
        <v/>
      </c>
      <c r="F246" s="3">
        <f>IF('ORDENES'!$A224="","",IF('ORDENES'!$W224="","-",'ORDENES'!$W224))</f>
        <v/>
      </c>
      <c r="G246" s="3">
        <f>IF('ORDENES'!$A224="","",IF('ORDENES'!$AB224="","-",'ORDENES'!$AB224))</f>
        <v/>
      </c>
      <c r="H246" s="3">
        <f>IF('ORDENES'!$A224="","",IF('ORDENES'!$AN224="","-",'ORDENES'!$AN224))</f>
        <v/>
      </c>
      <c r="I246" s="3">
        <f>IF('ORDENES'!$A224="","",IF('ORDENES'!$D224="","-",'ORDENES'!$D224))</f>
        <v/>
      </c>
      <c r="J246" s="3">
        <f>IF('ORDENES'!$A224="","",IF('ORDENES'!$E224="","-",'ORDENES'!$E224))</f>
        <v/>
      </c>
      <c r="K246" s="12">
        <f>IF('ORDENES'!$A224="","",IF('ORDENES'!$M224="",0,'ORDENES'!$M224))</f>
        <v/>
      </c>
      <c r="L246" s="3">
        <f>IF('ORDENES'!$A224="","",IF('ORDENES'!$N224="","-",'ORDENES'!$N224))</f>
        <v/>
      </c>
      <c r="M246" s="3">
        <f>IF('ORDENES'!$A224="","",'ORDENES'!$AA224)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IF('ORDENES'!$A225="","",IF('ORDENES'!$AC225="","-",'ORDENES'!$AC225))</f>
        <v/>
      </c>
      <c r="D247" s="3">
        <f>IF('ORDENES'!$A225="","",IF('ORDENES'!$V225="","-",'ORDENES'!$V225))</f>
        <v/>
      </c>
      <c r="E247" s="3">
        <f>IF('ORDENES'!$A225="","",IF('ORDENES'!$U225="","-",'ORDENES'!$U225))</f>
        <v/>
      </c>
      <c r="F247" s="3">
        <f>IF('ORDENES'!$A225="","",IF('ORDENES'!$W225="","-",'ORDENES'!$W225))</f>
        <v/>
      </c>
      <c r="G247" s="3">
        <f>IF('ORDENES'!$A225="","",IF('ORDENES'!$AB225="","-",'ORDENES'!$AB225))</f>
        <v/>
      </c>
      <c r="H247" s="3">
        <f>IF('ORDENES'!$A225="","",IF('ORDENES'!$AN225="","-",'ORDENES'!$AN225))</f>
        <v/>
      </c>
      <c r="I247" s="3">
        <f>IF('ORDENES'!$A225="","",IF('ORDENES'!$D225="","-",'ORDENES'!$D225))</f>
        <v/>
      </c>
      <c r="J247" s="3">
        <f>IF('ORDENES'!$A225="","",IF('ORDENES'!$E225="","-",'ORDENES'!$E225))</f>
        <v/>
      </c>
      <c r="K247" s="12">
        <f>IF('ORDENES'!$A225="","",IF('ORDENES'!$M225="",0,'ORDENES'!$M225))</f>
        <v/>
      </c>
      <c r="L247" s="3">
        <f>IF('ORDENES'!$A225="","",IF('ORDENES'!$N225="","-",'ORDENES'!$N225))</f>
        <v/>
      </c>
      <c r="M247" s="3">
        <f>IF('ORDENES'!$A225="","",'ORDENES'!$AA225)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IF('ORDENES'!$A226="","",IF('ORDENES'!$AC226="","-",'ORDENES'!$AC226))</f>
        <v/>
      </c>
      <c r="D248" s="3">
        <f>IF('ORDENES'!$A226="","",IF('ORDENES'!$V226="","-",'ORDENES'!$V226))</f>
        <v/>
      </c>
      <c r="E248" s="3">
        <f>IF('ORDENES'!$A226="","",IF('ORDENES'!$U226="","-",'ORDENES'!$U226))</f>
        <v/>
      </c>
      <c r="F248" s="3">
        <f>IF('ORDENES'!$A226="","",IF('ORDENES'!$W226="","-",'ORDENES'!$W226))</f>
        <v/>
      </c>
      <c r="G248" s="3">
        <f>IF('ORDENES'!$A226="","",IF('ORDENES'!$AB226="","-",'ORDENES'!$AB226))</f>
        <v/>
      </c>
      <c r="H248" s="3">
        <f>IF('ORDENES'!$A226="","",IF('ORDENES'!$AN226="","-",'ORDENES'!$AN226))</f>
        <v/>
      </c>
      <c r="I248" s="3">
        <f>IF('ORDENES'!$A226="","",IF('ORDENES'!$D226="","-",'ORDENES'!$D226))</f>
        <v/>
      </c>
      <c r="J248" s="3">
        <f>IF('ORDENES'!$A226="","",IF('ORDENES'!$E226="","-",'ORDENES'!$E226))</f>
        <v/>
      </c>
      <c r="K248" s="12">
        <f>IF('ORDENES'!$A226="","",IF('ORDENES'!$M226="",0,'ORDENES'!$M226))</f>
        <v/>
      </c>
      <c r="L248" s="3">
        <f>IF('ORDENES'!$A226="","",IF('ORDENES'!$N226="","-",'ORDENES'!$N226))</f>
        <v/>
      </c>
      <c r="M248" s="3">
        <f>IF('ORDENES'!$A226="","",'ORDENES'!$AA226)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IF('ORDENES'!$A227="","",IF('ORDENES'!$AC227="","-",'ORDENES'!$AC227))</f>
        <v/>
      </c>
      <c r="D249" s="3">
        <f>IF('ORDENES'!$A227="","",IF('ORDENES'!$V227="","-",'ORDENES'!$V227))</f>
        <v/>
      </c>
      <c r="E249" s="3">
        <f>IF('ORDENES'!$A227="","",IF('ORDENES'!$U227="","-",'ORDENES'!$U227))</f>
        <v/>
      </c>
      <c r="F249" s="3">
        <f>IF('ORDENES'!$A227="","",IF('ORDENES'!$W227="","-",'ORDENES'!$W227))</f>
        <v/>
      </c>
      <c r="G249" s="3">
        <f>IF('ORDENES'!$A227="","",IF('ORDENES'!$AB227="","-",'ORDENES'!$AB227))</f>
        <v/>
      </c>
      <c r="H249" s="3">
        <f>IF('ORDENES'!$A227="","",IF('ORDENES'!$AN227="","-",'ORDENES'!$AN227))</f>
        <v/>
      </c>
      <c r="I249" s="3">
        <f>IF('ORDENES'!$A227="","",IF('ORDENES'!$D227="","-",'ORDENES'!$D227))</f>
        <v/>
      </c>
      <c r="J249" s="3">
        <f>IF('ORDENES'!$A227="","",IF('ORDENES'!$E227="","-",'ORDENES'!$E227))</f>
        <v/>
      </c>
      <c r="K249" s="12">
        <f>IF('ORDENES'!$A227="","",IF('ORDENES'!$M227="",0,'ORDENES'!$M227))</f>
        <v/>
      </c>
      <c r="L249" s="3">
        <f>IF('ORDENES'!$A227="","",IF('ORDENES'!$N227="","-",'ORDENES'!$N227))</f>
        <v/>
      </c>
      <c r="M249" s="3">
        <f>IF('ORDENES'!$A227="","",'ORDENES'!$AA227)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IF('ORDENES'!$A228="","",IF('ORDENES'!$AC228="","-",'ORDENES'!$AC228))</f>
        <v/>
      </c>
      <c r="D250" s="3">
        <f>IF('ORDENES'!$A228="","",IF('ORDENES'!$V228="","-",'ORDENES'!$V228))</f>
        <v/>
      </c>
      <c r="E250" s="3">
        <f>IF('ORDENES'!$A228="","",IF('ORDENES'!$U228="","-",'ORDENES'!$U228))</f>
        <v/>
      </c>
      <c r="F250" s="3">
        <f>IF('ORDENES'!$A228="","",IF('ORDENES'!$W228="","-",'ORDENES'!$W228))</f>
        <v/>
      </c>
      <c r="G250" s="3">
        <f>IF('ORDENES'!$A228="","",IF('ORDENES'!$AB228="","-",'ORDENES'!$AB228))</f>
        <v/>
      </c>
      <c r="H250" s="3">
        <f>IF('ORDENES'!$A228="","",IF('ORDENES'!$AN228="","-",'ORDENES'!$AN228))</f>
        <v/>
      </c>
      <c r="I250" s="3">
        <f>IF('ORDENES'!$A228="","",IF('ORDENES'!$D228="","-",'ORDENES'!$D228))</f>
        <v/>
      </c>
      <c r="J250" s="3">
        <f>IF('ORDENES'!$A228="","",IF('ORDENES'!$E228="","-",'ORDENES'!$E228))</f>
        <v/>
      </c>
      <c r="K250" s="12">
        <f>IF('ORDENES'!$A228="","",IF('ORDENES'!$M228="",0,'ORDENES'!$M228))</f>
        <v/>
      </c>
      <c r="L250" s="3">
        <f>IF('ORDENES'!$A228="","",IF('ORDENES'!$N228="","-",'ORDENES'!$N228))</f>
        <v/>
      </c>
      <c r="M250" s="3">
        <f>IF('ORDENES'!$A228="","",'ORDENES'!$AA228)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IF('ORDENES'!$A229="","",IF('ORDENES'!$AC229="","-",'ORDENES'!$AC229))</f>
        <v/>
      </c>
      <c r="D251" s="3">
        <f>IF('ORDENES'!$A229="","",IF('ORDENES'!$V229="","-",'ORDENES'!$V229))</f>
        <v/>
      </c>
      <c r="E251" s="3">
        <f>IF('ORDENES'!$A229="","",IF('ORDENES'!$U229="","-",'ORDENES'!$U229))</f>
        <v/>
      </c>
      <c r="F251" s="3">
        <f>IF('ORDENES'!$A229="","",IF('ORDENES'!$W229="","-",'ORDENES'!$W229))</f>
        <v/>
      </c>
      <c r="G251" s="3">
        <f>IF('ORDENES'!$A229="","",IF('ORDENES'!$AB229="","-",'ORDENES'!$AB229))</f>
        <v/>
      </c>
      <c r="H251" s="3">
        <f>IF('ORDENES'!$A229="","",IF('ORDENES'!$AN229="","-",'ORDENES'!$AN229))</f>
        <v/>
      </c>
      <c r="I251" s="3">
        <f>IF('ORDENES'!$A229="","",IF('ORDENES'!$D229="","-",'ORDENES'!$D229))</f>
        <v/>
      </c>
      <c r="J251" s="3">
        <f>IF('ORDENES'!$A229="","",IF('ORDENES'!$E229="","-",'ORDENES'!$E229))</f>
        <v/>
      </c>
      <c r="K251" s="12">
        <f>IF('ORDENES'!$A229="","",IF('ORDENES'!$M229="",0,'ORDENES'!$M229))</f>
        <v/>
      </c>
      <c r="L251" s="3">
        <f>IF('ORDENES'!$A229="","",IF('ORDENES'!$N229="","-",'ORDENES'!$N229))</f>
        <v/>
      </c>
      <c r="M251" s="3">
        <f>IF('ORDENES'!$A229="","",'ORDENES'!$AA229)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IF('ORDENES'!$A230="","",IF('ORDENES'!$AC230="","-",'ORDENES'!$AC230))</f>
        <v/>
      </c>
      <c r="D252" s="3">
        <f>IF('ORDENES'!$A230="","",IF('ORDENES'!$V230="","-",'ORDENES'!$V230))</f>
        <v/>
      </c>
      <c r="E252" s="3">
        <f>IF('ORDENES'!$A230="","",IF('ORDENES'!$U230="","-",'ORDENES'!$U230))</f>
        <v/>
      </c>
      <c r="F252" s="3">
        <f>IF('ORDENES'!$A230="","",IF('ORDENES'!$W230="","-",'ORDENES'!$W230))</f>
        <v/>
      </c>
      <c r="G252" s="3">
        <f>IF('ORDENES'!$A230="","",IF('ORDENES'!$AB230="","-",'ORDENES'!$AB230))</f>
        <v/>
      </c>
      <c r="H252" s="3">
        <f>IF('ORDENES'!$A230="","",IF('ORDENES'!$AN230="","-",'ORDENES'!$AN230))</f>
        <v/>
      </c>
      <c r="I252" s="3">
        <f>IF('ORDENES'!$A230="","",IF('ORDENES'!$D230="","-",'ORDENES'!$D230))</f>
        <v/>
      </c>
      <c r="J252" s="3">
        <f>IF('ORDENES'!$A230="","",IF('ORDENES'!$E230="","-",'ORDENES'!$E230))</f>
        <v/>
      </c>
      <c r="K252" s="12">
        <f>IF('ORDENES'!$A230="","",IF('ORDENES'!$M230="",0,'ORDENES'!$M230))</f>
        <v/>
      </c>
      <c r="L252" s="3">
        <f>IF('ORDENES'!$A230="","",IF('ORDENES'!$N230="","-",'ORDENES'!$N230))</f>
        <v/>
      </c>
      <c r="M252" s="3">
        <f>IF('ORDENES'!$A230="","",'ORDENES'!$AA230)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IF('ORDENES'!$A231="","",IF('ORDENES'!$AC231="","-",'ORDENES'!$AC231))</f>
        <v/>
      </c>
      <c r="D253" s="3">
        <f>IF('ORDENES'!$A231="","",IF('ORDENES'!$V231="","-",'ORDENES'!$V231))</f>
        <v/>
      </c>
      <c r="E253" s="3">
        <f>IF('ORDENES'!$A231="","",IF('ORDENES'!$U231="","-",'ORDENES'!$U231))</f>
        <v/>
      </c>
      <c r="F253" s="3">
        <f>IF('ORDENES'!$A231="","",IF('ORDENES'!$W231="","-",'ORDENES'!$W231))</f>
        <v/>
      </c>
      <c r="G253" s="3">
        <f>IF('ORDENES'!$A231="","",IF('ORDENES'!$AB231="","-",'ORDENES'!$AB231))</f>
        <v/>
      </c>
      <c r="H253" s="3">
        <f>IF('ORDENES'!$A231="","",IF('ORDENES'!$AN231="","-",'ORDENES'!$AN231))</f>
        <v/>
      </c>
      <c r="I253" s="3">
        <f>IF('ORDENES'!$A231="","",IF('ORDENES'!$D231="","-",'ORDENES'!$D231))</f>
        <v/>
      </c>
      <c r="J253" s="3">
        <f>IF('ORDENES'!$A231="","",IF('ORDENES'!$E231="","-",'ORDENES'!$E231))</f>
        <v/>
      </c>
      <c r="K253" s="12">
        <f>IF('ORDENES'!$A231="","",IF('ORDENES'!$M231="",0,'ORDENES'!$M231))</f>
        <v/>
      </c>
      <c r="L253" s="3">
        <f>IF('ORDENES'!$A231="","",IF('ORDENES'!$N231="","-",'ORDENES'!$N231))</f>
        <v/>
      </c>
      <c r="M253" s="3">
        <f>IF('ORDENES'!$A231="","",'ORDENES'!$AA231)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IF('ORDENES'!$A232="","",IF('ORDENES'!$AC232="","-",'ORDENES'!$AC232))</f>
        <v/>
      </c>
      <c r="D254" s="3">
        <f>IF('ORDENES'!$A232="","",IF('ORDENES'!$V232="","-",'ORDENES'!$V232))</f>
        <v/>
      </c>
      <c r="E254" s="3">
        <f>IF('ORDENES'!$A232="","",IF('ORDENES'!$U232="","-",'ORDENES'!$U232))</f>
        <v/>
      </c>
      <c r="F254" s="3">
        <f>IF('ORDENES'!$A232="","",IF('ORDENES'!$W232="","-",'ORDENES'!$W232))</f>
        <v/>
      </c>
      <c r="G254" s="3">
        <f>IF('ORDENES'!$A232="","",IF('ORDENES'!$AB232="","-",'ORDENES'!$AB232))</f>
        <v/>
      </c>
      <c r="H254" s="3">
        <f>IF('ORDENES'!$A232="","",IF('ORDENES'!$AN232="","-",'ORDENES'!$AN232))</f>
        <v/>
      </c>
      <c r="I254" s="3">
        <f>IF('ORDENES'!$A232="","",IF('ORDENES'!$D232="","-",'ORDENES'!$D232))</f>
        <v/>
      </c>
      <c r="J254" s="3">
        <f>IF('ORDENES'!$A232="","",IF('ORDENES'!$E232="","-",'ORDENES'!$E232))</f>
        <v/>
      </c>
      <c r="K254" s="12">
        <f>IF('ORDENES'!$A232="","",IF('ORDENES'!$M232="",0,'ORDENES'!$M232))</f>
        <v/>
      </c>
      <c r="L254" s="3">
        <f>IF('ORDENES'!$A232="","",IF('ORDENES'!$N232="","-",'ORDENES'!$N232))</f>
        <v/>
      </c>
      <c r="M254" s="3">
        <f>IF('ORDENES'!$A232="","",'ORDENES'!$AA232)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IF('ORDENES'!$A233="","",IF('ORDENES'!$AC233="","-",'ORDENES'!$AC233))</f>
        <v/>
      </c>
      <c r="D255" s="3">
        <f>IF('ORDENES'!$A233="","",IF('ORDENES'!$V233="","-",'ORDENES'!$V233))</f>
        <v/>
      </c>
      <c r="E255" s="3">
        <f>IF('ORDENES'!$A233="","",IF('ORDENES'!$U233="","-",'ORDENES'!$U233))</f>
        <v/>
      </c>
      <c r="F255" s="3">
        <f>IF('ORDENES'!$A233="","",IF('ORDENES'!$W233="","-",'ORDENES'!$W233))</f>
        <v/>
      </c>
      <c r="G255" s="3">
        <f>IF('ORDENES'!$A233="","",IF('ORDENES'!$AB233="","-",'ORDENES'!$AB233))</f>
        <v/>
      </c>
      <c r="H255" s="3">
        <f>IF('ORDENES'!$A233="","",IF('ORDENES'!$AN233="","-",'ORDENES'!$AN233))</f>
        <v/>
      </c>
      <c r="I255" s="3">
        <f>IF('ORDENES'!$A233="","",IF('ORDENES'!$D233="","-",'ORDENES'!$D233))</f>
        <v/>
      </c>
      <c r="J255" s="3">
        <f>IF('ORDENES'!$A233="","",IF('ORDENES'!$E233="","-",'ORDENES'!$E233))</f>
        <v/>
      </c>
      <c r="K255" s="12">
        <f>IF('ORDENES'!$A233="","",IF('ORDENES'!$M233="",0,'ORDENES'!$M233))</f>
        <v/>
      </c>
      <c r="L255" s="3">
        <f>IF('ORDENES'!$A233="","",IF('ORDENES'!$N233="","-",'ORDENES'!$N233))</f>
        <v/>
      </c>
      <c r="M255" s="3">
        <f>IF('ORDENES'!$A233="","",'ORDENES'!$AA233)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IF('ORDENES'!$A234="","",IF('ORDENES'!$AC234="","-",'ORDENES'!$AC234))</f>
        <v/>
      </c>
      <c r="D256" s="3">
        <f>IF('ORDENES'!$A234="","",IF('ORDENES'!$V234="","-",'ORDENES'!$V234))</f>
        <v/>
      </c>
      <c r="E256" s="3">
        <f>IF('ORDENES'!$A234="","",IF('ORDENES'!$U234="","-",'ORDENES'!$U234))</f>
        <v/>
      </c>
      <c r="F256" s="3">
        <f>IF('ORDENES'!$A234="","",IF('ORDENES'!$W234="","-",'ORDENES'!$W234))</f>
        <v/>
      </c>
      <c r="G256" s="3">
        <f>IF('ORDENES'!$A234="","",IF('ORDENES'!$AB234="","-",'ORDENES'!$AB234))</f>
        <v/>
      </c>
      <c r="H256" s="3">
        <f>IF('ORDENES'!$A234="","",IF('ORDENES'!$AN234="","-",'ORDENES'!$AN234))</f>
        <v/>
      </c>
      <c r="I256" s="3">
        <f>IF('ORDENES'!$A234="","",IF('ORDENES'!$D234="","-",'ORDENES'!$D234))</f>
        <v/>
      </c>
      <c r="J256" s="3">
        <f>IF('ORDENES'!$A234="","",IF('ORDENES'!$E234="","-",'ORDENES'!$E234))</f>
        <v/>
      </c>
      <c r="K256" s="12">
        <f>IF('ORDENES'!$A234="","",IF('ORDENES'!$M234="",0,'ORDENES'!$M234))</f>
        <v/>
      </c>
      <c r="L256" s="3">
        <f>IF('ORDENES'!$A234="","",IF('ORDENES'!$N234="","-",'ORDENES'!$N234))</f>
        <v/>
      </c>
      <c r="M256" s="3">
        <f>IF('ORDENES'!$A234="","",'ORDENES'!$AA234)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IF('ORDENES'!$A235="","",IF('ORDENES'!$AC235="","-",'ORDENES'!$AC235))</f>
        <v/>
      </c>
      <c r="D257" s="3">
        <f>IF('ORDENES'!$A235="","",IF('ORDENES'!$V235="","-",'ORDENES'!$V235))</f>
        <v/>
      </c>
      <c r="E257" s="3">
        <f>IF('ORDENES'!$A235="","",IF('ORDENES'!$U235="","-",'ORDENES'!$U235))</f>
        <v/>
      </c>
      <c r="F257" s="3">
        <f>IF('ORDENES'!$A235="","",IF('ORDENES'!$W235="","-",'ORDENES'!$W235))</f>
        <v/>
      </c>
      <c r="G257" s="3">
        <f>IF('ORDENES'!$A235="","",IF('ORDENES'!$AB235="","-",'ORDENES'!$AB235))</f>
        <v/>
      </c>
      <c r="H257" s="3">
        <f>IF('ORDENES'!$A235="","",IF('ORDENES'!$AN235="","-",'ORDENES'!$AN235))</f>
        <v/>
      </c>
      <c r="I257" s="3">
        <f>IF('ORDENES'!$A235="","",IF('ORDENES'!$D235="","-",'ORDENES'!$D235))</f>
        <v/>
      </c>
      <c r="J257" s="3">
        <f>IF('ORDENES'!$A235="","",IF('ORDENES'!$E235="","-",'ORDENES'!$E235))</f>
        <v/>
      </c>
      <c r="K257" s="12">
        <f>IF('ORDENES'!$A235="","",IF('ORDENES'!$M235="",0,'ORDENES'!$M235))</f>
        <v/>
      </c>
      <c r="L257" s="3">
        <f>IF('ORDENES'!$A235="","",IF('ORDENES'!$N235="","-",'ORDENES'!$N235))</f>
        <v/>
      </c>
      <c r="M257" s="3">
        <f>IF('ORDENES'!$A235="","",'ORDENES'!$AA235)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IF('ORDENES'!$A236="","",IF('ORDENES'!$AC236="","-",'ORDENES'!$AC236))</f>
        <v/>
      </c>
      <c r="D258" s="3">
        <f>IF('ORDENES'!$A236="","",IF('ORDENES'!$V236="","-",'ORDENES'!$V236))</f>
        <v/>
      </c>
      <c r="E258" s="3">
        <f>IF('ORDENES'!$A236="","",IF('ORDENES'!$U236="","-",'ORDENES'!$U236))</f>
        <v/>
      </c>
      <c r="F258" s="3">
        <f>IF('ORDENES'!$A236="","",IF('ORDENES'!$W236="","-",'ORDENES'!$W236))</f>
        <v/>
      </c>
      <c r="G258" s="3">
        <f>IF('ORDENES'!$A236="","",IF('ORDENES'!$AB236="","-",'ORDENES'!$AB236))</f>
        <v/>
      </c>
      <c r="H258" s="3">
        <f>IF('ORDENES'!$A236="","",IF('ORDENES'!$AN236="","-",'ORDENES'!$AN236))</f>
        <v/>
      </c>
      <c r="I258" s="3">
        <f>IF('ORDENES'!$A236="","",IF('ORDENES'!$D236="","-",'ORDENES'!$D236))</f>
        <v/>
      </c>
      <c r="J258" s="3">
        <f>IF('ORDENES'!$A236="","",IF('ORDENES'!$E236="","-",'ORDENES'!$E236))</f>
        <v/>
      </c>
      <c r="K258" s="12">
        <f>IF('ORDENES'!$A236="","",IF('ORDENES'!$M236="",0,'ORDENES'!$M236))</f>
        <v/>
      </c>
      <c r="L258" s="3">
        <f>IF('ORDENES'!$A236="","",IF('ORDENES'!$N236="","-",'ORDENES'!$N236))</f>
        <v/>
      </c>
      <c r="M258" s="3">
        <f>IF('ORDENES'!$A236="","",'ORDENES'!$AA236)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IF('ORDENES'!$A237="","",IF('ORDENES'!$AC237="","-",'ORDENES'!$AC237))</f>
        <v/>
      </c>
      <c r="D259" s="3">
        <f>IF('ORDENES'!$A237="","",IF('ORDENES'!$V237="","-",'ORDENES'!$V237))</f>
        <v/>
      </c>
      <c r="E259" s="3">
        <f>IF('ORDENES'!$A237="","",IF('ORDENES'!$U237="","-",'ORDENES'!$U237))</f>
        <v/>
      </c>
      <c r="F259" s="3">
        <f>IF('ORDENES'!$A237="","",IF('ORDENES'!$W237="","-",'ORDENES'!$W237))</f>
        <v/>
      </c>
      <c r="G259" s="3">
        <f>IF('ORDENES'!$A237="","",IF('ORDENES'!$AB237="","-",'ORDENES'!$AB237))</f>
        <v/>
      </c>
      <c r="H259" s="3">
        <f>IF('ORDENES'!$A237="","",IF('ORDENES'!$AN237="","-",'ORDENES'!$AN237))</f>
        <v/>
      </c>
      <c r="I259" s="3">
        <f>IF('ORDENES'!$A237="","",IF('ORDENES'!$D237="","-",'ORDENES'!$D237))</f>
        <v/>
      </c>
      <c r="J259" s="3">
        <f>IF('ORDENES'!$A237="","",IF('ORDENES'!$E237="","-",'ORDENES'!$E237))</f>
        <v/>
      </c>
      <c r="K259" s="12">
        <f>IF('ORDENES'!$A237="","",IF('ORDENES'!$M237="",0,'ORDENES'!$M237))</f>
        <v/>
      </c>
      <c r="L259" s="3">
        <f>IF('ORDENES'!$A237="","",IF('ORDENES'!$N237="","-",'ORDENES'!$N237))</f>
        <v/>
      </c>
      <c r="M259" s="3">
        <f>IF('ORDENES'!$A237="","",'ORDENES'!$AA237)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IF('ORDENES'!$A238="","",IF('ORDENES'!$AC238="","-",'ORDENES'!$AC238))</f>
        <v/>
      </c>
      <c r="D260" s="3">
        <f>IF('ORDENES'!$A238="","",IF('ORDENES'!$V238="","-",'ORDENES'!$V238))</f>
        <v/>
      </c>
      <c r="E260" s="3">
        <f>IF('ORDENES'!$A238="","",IF('ORDENES'!$U238="","-",'ORDENES'!$U238))</f>
        <v/>
      </c>
      <c r="F260" s="3">
        <f>IF('ORDENES'!$A238="","",IF('ORDENES'!$W238="","-",'ORDENES'!$W238))</f>
        <v/>
      </c>
      <c r="G260" s="3">
        <f>IF('ORDENES'!$A238="","",IF('ORDENES'!$AB238="","-",'ORDENES'!$AB238))</f>
        <v/>
      </c>
      <c r="H260" s="3">
        <f>IF('ORDENES'!$A238="","",IF('ORDENES'!$AN238="","-",'ORDENES'!$AN238))</f>
        <v/>
      </c>
      <c r="I260" s="3">
        <f>IF('ORDENES'!$A238="","",IF('ORDENES'!$D238="","-",'ORDENES'!$D238))</f>
        <v/>
      </c>
      <c r="J260" s="3">
        <f>IF('ORDENES'!$A238="","",IF('ORDENES'!$E238="","-",'ORDENES'!$E238))</f>
        <v/>
      </c>
      <c r="K260" s="12">
        <f>IF('ORDENES'!$A238="","",IF('ORDENES'!$M238="",0,'ORDENES'!$M238))</f>
        <v/>
      </c>
      <c r="L260" s="3">
        <f>IF('ORDENES'!$A238="","",IF('ORDENES'!$N238="","-",'ORDENES'!$N238))</f>
        <v/>
      </c>
      <c r="M260" s="3">
        <f>IF('ORDENES'!$A238="","",'ORDENES'!$AA238)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IF('ORDENES'!$A239="","",IF('ORDENES'!$AC239="","-",'ORDENES'!$AC239))</f>
        <v/>
      </c>
      <c r="D261" s="3">
        <f>IF('ORDENES'!$A239="","",IF('ORDENES'!$V239="","-",'ORDENES'!$V239))</f>
        <v/>
      </c>
      <c r="E261" s="3">
        <f>IF('ORDENES'!$A239="","",IF('ORDENES'!$U239="","-",'ORDENES'!$U239))</f>
        <v/>
      </c>
      <c r="F261" s="3">
        <f>IF('ORDENES'!$A239="","",IF('ORDENES'!$W239="","-",'ORDENES'!$W239))</f>
        <v/>
      </c>
      <c r="G261" s="3">
        <f>IF('ORDENES'!$A239="","",IF('ORDENES'!$AB239="","-",'ORDENES'!$AB239))</f>
        <v/>
      </c>
      <c r="H261" s="3">
        <f>IF('ORDENES'!$A239="","",IF('ORDENES'!$AN239="","-",'ORDENES'!$AN239))</f>
        <v/>
      </c>
      <c r="I261" s="3">
        <f>IF('ORDENES'!$A239="","",IF('ORDENES'!$D239="","-",'ORDENES'!$D239))</f>
        <v/>
      </c>
      <c r="J261" s="3">
        <f>IF('ORDENES'!$A239="","",IF('ORDENES'!$E239="","-",'ORDENES'!$E239))</f>
        <v/>
      </c>
      <c r="K261" s="12">
        <f>IF('ORDENES'!$A239="","",IF('ORDENES'!$M239="",0,'ORDENES'!$M239))</f>
        <v/>
      </c>
      <c r="L261" s="3">
        <f>IF('ORDENES'!$A239="","",IF('ORDENES'!$N239="","-",'ORDENES'!$N239))</f>
        <v/>
      </c>
      <c r="M261" s="3">
        <f>IF('ORDENES'!$A239="","",'ORDENES'!$AA239)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IF('ORDENES'!$A240="","",IF('ORDENES'!$AC240="","-",'ORDENES'!$AC240))</f>
        <v/>
      </c>
      <c r="D262" s="3">
        <f>IF('ORDENES'!$A240="","",IF('ORDENES'!$V240="","-",'ORDENES'!$V240))</f>
        <v/>
      </c>
      <c r="E262" s="3">
        <f>IF('ORDENES'!$A240="","",IF('ORDENES'!$U240="","-",'ORDENES'!$U240))</f>
        <v/>
      </c>
      <c r="F262" s="3">
        <f>IF('ORDENES'!$A240="","",IF('ORDENES'!$W240="","-",'ORDENES'!$W240))</f>
        <v/>
      </c>
      <c r="G262" s="3">
        <f>IF('ORDENES'!$A240="","",IF('ORDENES'!$AB240="","-",'ORDENES'!$AB240))</f>
        <v/>
      </c>
      <c r="H262" s="3">
        <f>IF('ORDENES'!$A240="","",IF('ORDENES'!$AN240="","-",'ORDENES'!$AN240))</f>
        <v/>
      </c>
      <c r="I262" s="3">
        <f>IF('ORDENES'!$A240="","",IF('ORDENES'!$D240="","-",'ORDENES'!$D240))</f>
        <v/>
      </c>
      <c r="J262" s="3">
        <f>IF('ORDENES'!$A240="","",IF('ORDENES'!$E240="","-",'ORDENES'!$E240))</f>
        <v/>
      </c>
      <c r="K262" s="12">
        <f>IF('ORDENES'!$A240="","",IF('ORDENES'!$M240="",0,'ORDENES'!$M240))</f>
        <v/>
      </c>
      <c r="L262" s="3">
        <f>IF('ORDENES'!$A240="","",IF('ORDENES'!$N240="","-",'ORDENES'!$N240))</f>
        <v/>
      </c>
      <c r="M262" s="3">
        <f>IF('ORDENES'!$A240="","",'ORDENES'!$AA240)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IF('ORDENES'!$A241="","",IF('ORDENES'!$AC241="","-",'ORDENES'!$AC241))</f>
        <v/>
      </c>
      <c r="D263" s="3">
        <f>IF('ORDENES'!$A241="","",IF('ORDENES'!$V241="","-",'ORDENES'!$V241))</f>
        <v/>
      </c>
      <c r="E263" s="3">
        <f>IF('ORDENES'!$A241="","",IF('ORDENES'!$U241="","-",'ORDENES'!$U241))</f>
        <v/>
      </c>
      <c r="F263" s="3">
        <f>IF('ORDENES'!$A241="","",IF('ORDENES'!$W241="","-",'ORDENES'!$W241))</f>
        <v/>
      </c>
      <c r="G263" s="3">
        <f>IF('ORDENES'!$A241="","",IF('ORDENES'!$AB241="","-",'ORDENES'!$AB241))</f>
        <v/>
      </c>
      <c r="H263" s="3">
        <f>IF('ORDENES'!$A241="","",IF('ORDENES'!$AN241="","-",'ORDENES'!$AN241))</f>
        <v/>
      </c>
      <c r="I263" s="3">
        <f>IF('ORDENES'!$A241="","",IF('ORDENES'!$D241="","-",'ORDENES'!$D241))</f>
        <v/>
      </c>
      <c r="J263" s="3">
        <f>IF('ORDENES'!$A241="","",IF('ORDENES'!$E241="","-",'ORDENES'!$E241))</f>
        <v/>
      </c>
      <c r="K263" s="12">
        <f>IF('ORDENES'!$A241="","",IF('ORDENES'!$M241="",0,'ORDENES'!$M241))</f>
        <v/>
      </c>
      <c r="L263" s="3">
        <f>IF('ORDENES'!$A241="","",IF('ORDENES'!$N241="","-",'ORDENES'!$N241))</f>
        <v/>
      </c>
      <c r="M263" s="3">
        <f>IF('ORDENES'!$A241="","",'ORDENES'!$AA241)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IF('ORDENES'!$A242="","",IF('ORDENES'!$AC242="","-",'ORDENES'!$AC242))</f>
        <v/>
      </c>
      <c r="D264" s="3">
        <f>IF('ORDENES'!$A242="","",IF('ORDENES'!$V242="","-",'ORDENES'!$V242))</f>
        <v/>
      </c>
      <c r="E264" s="3">
        <f>IF('ORDENES'!$A242="","",IF('ORDENES'!$U242="","-",'ORDENES'!$U242))</f>
        <v/>
      </c>
      <c r="F264" s="3">
        <f>IF('ORDENES'!$A242="","",IF('ORDENES'!$W242="","-",'ORDENES'!$W242))</f>
        <v/>
      </c>
      <c r="G264" s="3">
        <f>IF('ORDENES'!$A242="","",IF('ORDENES'!$AB242="","-",'ORDENES'!$AB242))</f>
        <v/>
      </c>
      <c r="H264" s="3">
        <f>IF('ORDENES'!$A242="","",IF('ORDENES'!$AN242="","-",'ORDENES'!$AN242))</f>
        <v/>
      </c>
      <c r="I264" s="3">
        <f>IF('ORDENES'!$A242="","",IF('ORDENES'!$D242="","-",'ORDENES'!$D242))</f>
        <v/>
      </c>
      <c r="J264" s="3">
        <f>IF('ORDENES'!$A242="","",IF('ORDENES'!$E242="","-",'ORDENES'!$E242))</f>
        <v/>
      </c>
      <c r="K264" s="12">
        <f>IF('ORDENES'!$A242="","",IF('ORDENES'!$M242="",0,'ORDENES'!$M242))</f>
        <v/>
      </c>
      <c r="L264" s="3">
        <f>IF('ORDENES'!$A242="","",IF('ORDENES'!$N242="","-",'ORDENES'!$N242))</f>
        <v/>
      </c>
      <c r="M264" s="3">
        <f>IF('ORDENES'!$A242="","",'ORDENES'!$AA242)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IF('ORDENES'!$A243="","",IF('ORDENES'!$AC243="","-",'ORDENES'!$AC243))</f>
        <v/>
      </c>
      <c r="D265" s="3">
        <f>IF('ORDENES'!$A243="","",IF('ORDENES'!$V243="","-",'ORDENES'!$V243))</f>
        <v/>
      </c>
      <c r="E265" s="3">
        <f>IF('ORDENES'!$A243="","",IF('ORDENES'!$U243="","-",'ORDENES'!$U243))</f>
        <v/>
      </c>
      <c r="F265" s="3">
        <f>IF('ORDENES'!$A243="","",IF('ORDENES'!$W243="","-",'ORDENES'!$W243))</f>
        <v/>
      </c>
      <c r="G265" s="3">
        <f>IF('ORDENES'!$A243="","",IF('ORDENES'!$AB243="","-",'ORDENES'!$AB243))</f>
        <v/>
      </c>
      <c r="H265" s="3">
        <f>IF('ORDENES'!$A243="","",IF('ORDENES'!$AN243="","-",'ORDENES'!$AN243))</f>
        <v/>
      </c>
      <c r="I265" s="3">
        <f>IF('ORDENES'!$A243="","",IF('ORDENES'!$D243="","-",'ORDENES'!$D243))</f>
        <v/>
      </c>
      <c r="J265" s="3">
        <f>IF('ORDENES'!$A243="","",IF('ORDENES'!$E243="","-",'ORDENES'!$E243))</f>
        <v/>
      </c>
      <c r="K265" s="12">
        <f>IF('ORDENES'!$A243="","",IF('ORDENES'!$M243="",0,'ORDENES'!$M243))</f>
        <v/>
      </c>
      <c r="L265" s="3">
        <f>IF('ORDENES'!$A243="","",IF('ORDENES'!$N243="","-",'ORDENES'!$N243))</f>
        <v/>
      </c>
      <c r="M265" s="3">
        <f>IF('ORDENES'!$A243="","",'ORDENES'!$AA243)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IF('ORDENES'!$A244="","",IF('ORDENES'!$AC244="","-",'ORDENES'!$AC244))</f>
        <v/>
      </c>
      <c r="D266" s="3">
        <f>IF('ORDENES'!$A244="","",IF('ORDENES'!$V244="","-",'ORDENES'!$V244))</f>
        <v/>
      </c>
      <c r="E266" s="3">
        <f>IF('ORDENES'!$A244="","",IF('ORDENES'!$U244="","-",'ORDENES'!$U244))</f>
        <v/>
      </c>
      <c r="F266" s="3">
        <f>IF('ORDENES'!$A244="","",IF('ORDENES'!$W244="","-",'ORDENES'!$W244))</f>
        <v/>
      </c>
      <c r="G266" s="3">
        <f>IF('ORDENES'!$A244="","",IF('ORDENES'!$AB244="","-",'ORDENES'!$AB244))</f>
        <v/>
      </c>
      <c r="H266" s="3">
        <f>IF('ORDENES'!$A244="","",IF('ORDENES'!$AN244="","-",'ORDENES'!$AN244))</f>
        <v/>
      </c>
      <c r="I266" s="3">
        <f>IF('ORDENES'!$A244="","",IF('ORDENES'!$D244="","-",'ORDENES'!$D244))</f>
        <v/>
      </c>
      <c r="J266" s="3">
        <f>IF('ORDENES'!$A244="","",IF('ORDENES'!$E244="","-",'ORDENES'!$E244))</f>
        <v/>
      </c>
      <c r="K266" s="12">
        <f>IF('ORDENES'!$A244="","",IF('ORDENES'!$M244="",0,'ORDENES'!$M244))</f>
        <v/>
      </c>
      <c r="L266" s="3">
        <f>IF('ORDENES'!$A244="","",IF('ORDENES'!$N244="","-",'ORDENES'!$N244))</f>
        <v/>
      </c>
      <c r="M266" s="3">
        <f>IF('ORDENES'!$A244="","",'ORDENES'!$AA244)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IF('ORDENES'!$A245="","",IF('ORDENES'!$AC245="","-",'ORDENES'!$AC245))</f>
        <v/>
      </c>
      <c r="D267" s="3">
        <f>IF('ORDENES'!$A245="","",IF('ORDENES'!$V245="","-",'ORDENES'!$V245))</f>
        <v/>
      </c>
      <c r="E267" s="3">
        <f>IF('ORDENES'!$A245="","",IF('ORDENES'!$U245="","-",'ORDENES'!$U245))</f>
        <v/>
      </c>
      <c r="F267" s="3">
        <f>IF('ORDENES'!$A245="","",IF('ORDENES'!$W245="","-",'ORDENES'!$W245))</f>
        <v/>
      </c>
      <c r="G267" s="3">
        <f>IF('ORDENES'!$A245="","",IF('ORDENES'!$AB245="","-",'ORDENES'!$AB245))</f>
        <v/>
      </c>
      <c r="H267" s="3">
        <f>IF('ORDENES'!$A245="","",IF('ORDENES'!$AN245="","-",'ORDENES'!$AN245))</f>
        <v/>
      </c>
      <c r="I267" s="3">
        <f>IF('ORDENES'!$A245="","",IF('ORDENES'!$D245="","-",'ORDENES'!$D245))</f>
        <v/>
      </c>
      <c r="J267" s="3">
        <f>IF('ORDENES'!$A245="","",IF('ORDENES'!$E245="","-",'ORDENES'!$E245))</f>
        <v/>
      </c>
      <c r="K267" s="12">
        <f>IF('ORDENES'!$A245="","",IF('ORDENES'!$M245="",0,'ORDENES'!$M245))</f>
        <v/>
      </c>
      <c r="L267" s="3">
        <f>IF('ORDENES'!$A245="","",IF('ORDENES'!$N245="","-",'ORDENES'!$N245))</f>
        <v/>
      </c>
      <c r="M267" s="3">
        <f>IF('ORDENES'!$A245="","",'ORDENES'!$AA245)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IF('ORDENES'!$A246="","",IF('ORDENES'!$AC246="","-",'ORDENES'!$AC246))</f>
        <v/>
      </c>
      <c r="D268" s="3">
        <f>IF('ORDENES'!$A246="","",IF('ORDENES'!$V246="","-",'ORDENES'!$V246))</f>
        <v/>
      </c>
      <c r="E268" s="3">
        <f>IF('ORDENES'!$A246="","",IF('ORDENES'!$U246="","-",'ORDENES'!$U246))</f>
        <v/>
      </c>
      <c r="F268" s="3">
        <f>IF('ORDENES'!$A246="","",IF('ORDENES'!$W246="","-",'ORDENES'!$W246))</f>
        <v/>
      </c>
      <c r="G268" s="3">
        <f>IF('ORDENES'!$A246="","",IF('ORDENES'!$AB246="","-",'ORDENES'!$AB246))</f>
        <v/>
      </c>
      <c r="H268" s="3">
        <f>IF('ORDENES'!$A246="","",IF('ORDENES'!$AN246="","-",'ORDENES'!$AN246))</f>
        <v/>
      </c>
      <c r="I268" s="3">
        <f>IF('ORDENES'!$A246="","",IF('ORDENES'!$D246="","-",'ORDENES'!$D246))</f>
        <v/>
      </c>
      <c r="J268" s="3">
        <f>IF('ORDENES'!$A246="","",IF('ORDENES'!$E246="","-",'ORDENES'!$E246))</f>
        <v/>
      </c>
      <c r="K268" s="12">
        <f>IF('ORDENES'!$A246="","",IF('ORDENES'!$M246="",0,'ORDENES'!$M246))</f>
        <v/>
      </c>
      <c r="L268" s="3">
        <f>IF('ORDENES'!$A246="","",IF('ORDENES'!$N246="","-",'ORDENES'!$N246))</f>
        <v/>
      </c>
      <c r="M268" s="3">
        <f>IF('ORDENES'!$A246="","",'ORDENES'!$AA246)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IF('ORDENES'!$A247="","",IF('ORDENES'!$AC247="","-",'ORDENES'!$AC247))</f>
        <v/>
      </c>
      <c r="D269" s="3">
        <f>IF('ORDENES'!$A247="","",IF('ORDENES'!$V247="","-",'ORDENES'!$V247))</f>
        <v/>
      </c>
      <c r="E269" s="3">
        <f>IF('ORDENES'!$A247="","",IF('ORDENES'!$U247="","-",'ORDENES'!$U247))</f>
        <v/>
      </c>
      <c r="F269" s="3">
        <f>IF('ORDENES'!$A247="","",IF('ORDENES'!$W247="","-",'ORDENES'!$W247))</f>
        <v/>
      </c>
      <c r="G269" s="3">
        <f>IF('ORDENES'!$A247="","",IF('ORDENES'!$AB247="","-",'ORDENES'!$AB247))</f>
        <v/>
      </c>
      <c r="H269" s="3">
        <f>IF('ORDENES'!$A247="","",IF('ORDENES'!$AN247="","-",'ORDENES'!$AN247))</f>
        <v/>
      </c>
      <c r="I269" s="3">
        <f>IF('ORDENES'!$A247="","",IF('ORDENES'!$D247="","-",'ORDENES'!$D247))</f>
        <v/>
      </c>
      <c r="J269" s="3">
        <f>IF('ORDENES'!$A247="","",IF('ORDENES'!$E247="","-",'ORDENES'!$E247))</f>
        <v/>
      </c>
      <c r="K269" s="12">
        <f>IF('ORDENES'!$A247="","",IF('ORDENES'!$M247="",0,'ORDENES'!$M247))</f>
        <v/>
      </c>
      <c r="L269" s="3">
        <f>IF('ORDENES'!$A247="","",IF('ORDENES'!$N247="","-",'ORDENES'!$N247))</f>
        <v/>
      </c>
      <c r="M269" s="3">
        <f>IF('ORDENES'!$A247="","",'ORDENES'!$AA247)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IF('ORDENES'!$A248="","",IF('ORDENES'!$AC248="","-",'ORDENES'!$AC248))</f>
        <v/>
      </c>
      <c r="D270" s="3">
        <f>IF('ORDENES'!$A248="","",IF('ORDENES'!$V248="","-",'ORDENES'!$V248))</f>
        <v/>
      </c>
      <c r="E270" s="3">
        <f>IF('ORDENES'!$A248="","",IF('ORDENES'!$U248="","-",'ORDENES'!$U248))</f>
        <v/>
      </c>
      <c r="F270" s="3">
        <f>IF('ORDENES'!$A248="","",IF('ORDENES'!$W248="","-",'ORDENES'!$W248))</f>
        <v/>
      </c>
      <c r="G270" s="3">
        <f>IF('ORDENES'!$A248="","",IF('ORDENES'!$AB248="","-",'ORDENES'!$AB248))</f>
        <v/>
      </c>
      <c r="H270" s="3">
        <f>IF('ORDENES'!$A248="","",IF('ORDENES'!$AN248="","-",'ORDENES'!$AN248))</f>
        <v/>
      </c>
      <c r="I270" s="3">
        <f>IF('ORDENES'!$A248="","",IF('ORDENES'!$D248="","-",'ORDENES'!$D248))</f>
        <v/>
      </c>
      <c r="J270" s="3">
        <f>IF('ORDENES'!$A248="","",IF('ORDENES'!$E248="","-",'ORDENES'!$E248))</f>
        <v/>
      </c>
      <c r="K270" s="12">
        <f>IF('ORDENES'!$A248="","",IF('ORDENES'!$M248="",0,'ORDENES'!$M248))</f>
        <v/>
      </c>
      <c r="L270" s="3">
        <f>IF('ORDENES'!$A248="","",IF('ORDENES'!$N248="","-",'ORDENES'!$N248))</f>
        <v/>
      </c>
      <c r="M270" s="3">
        <f>IF('ORDENES'!$A248="","",'ORDENES'!$AA248)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IF('ORDENES'!$A249="","",IF('ORDENES'!$AC249="","-",'ORDENES'!$AC249))</f>
        <v/>
      </c>
      <c r="D271" s="3">
        <f>IF('ORDENES'!$A249="","",IF('ORDENES'!$V249="","-",'ORDENES'!$V249))</f>
        <v/>
      </c>
      <c r="E271" s="3">
        <f>IF('ORDENES'!$A249="","",IF('ORDENES'!$U249="","-",'ORDENES'!$U249))</f>
        <v/>
      </c>
      <c r="F271" s="3">
        <f>IF('ORDENES'!$A249="","",IF('ORDENES'!$W249="","-",'ORDENES'!$W249))</f>
        <v/>
      </c>
      <c r="G271" s="3">
        <f>IF('ORDENES'!$A249="","",IF('ORDENES'!$AB249="","-",'ORDENES'!$AB249))</f>
        <v/>
      </c>
      <c r="H271" s="3">
        <f>IF('ORDENES'!$A249="","",IF('ORDENES'!$AN249="","-",'ORDENES'!$AN249))</f>
        <v/>
      </c>
      <c r="I271" s="3">
        <f>IF('ORDENES'!$A249="","",IF('ORDENES'!$D249="","-",'ORDENES'!$D249))</f>
        <v/>
      </c>
      <c r="J271" s="3">
        <f>IF('ORDENES'!$A249="","",IF('ORDENES'!$E249="","-",'ORDENES'!$E249))</f>
        <v/>
      </c>
      <c r="K271" s="12">
        <f>IF('ORDENES'!$A249="","",IF('ORDENES'!$M249="",0,'ORDENES'!$M249))</f>
        <v/>
      </c>
      <c r="L271" s="3">
        <f>IF('ORDENES'!$A249="","",IF('ORDENES'!$N249="","-",'ORDENES'!$N249))</f>
        <v/>
      </c>
      <c r="M271" s="3">
        <f>IF('ORDENES'!$A249="","",'ORDENES'!$AA249)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IF('ORDENES'!$A250="","",IF('ORDENES'!$AC250="","-",'ORDENES'!$AC250))</f>
        <v/>
      </c>
      <c r="D272" s="3">
        <f>IF('ORDENES'!$A250="","",IF('ORDENES'!$V250="","-",'ORDENES'!$V250))</f>
        <v/>
      </c>
      <c r="E272" s="3">
        <f>IF('ORDENES'!$A250="","",IF('ORDENES'!$U250="","-",'ORDENES'!$U250))</f>
        <v/>
      </c>
      <c r="F272" s="3">
        <f>IF('ORDENES'!$A250="","",IF('ORDENES'!$W250="","-",'ORDENES'!$W250))</f>
        <v/>
      </c>
      <c r="G272" s="3">
        <f>IF('ORDENES'!$A250="","",IF('ORDENES'!$AB250="","-",'ORDENES'!$AB250))</f>
        <v/>
      </c>
      <c r="H272" s="3">
        <f>IF('ORDENES'!$A250="","",IF('ORDENES'!$AN250="","-",'ORDENES'!$AN250))</f>
        <v/>
      </c>
      <c r="I272" s="3">
        <f>IF('ORDENES'!$A250="","",IF('ORDENES'!$D250="","-",'ORDENES'!$D250))</f>
        <v/>
      </c>
      <c r="J272" s="3">
        <f>IF('ORDENES'!$A250="","",IF('ORDENES'!$E250="","-",'ORDENES'!$E250))</f>
        <v/>
      </c>
      <c r="K272" s="12">
        <f>IF('ORDENES'!$A250="","",IF('ORDENES'!$M250="",0,'ORDENES'!$M250))</f>
        <v/>
      </c>
      <c r="L272" s="3">
        <f>IF('ORDENES'!$A250="","",IF('ORDENES'!$N250="","-",'ORDENES'!$N250))</f>
        <v/>
      </c>
      <c r="M272" s="3">
        <f>IF('ORDENES'!$A250="","",'ORDENES'!$AA250)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IF('ORDENES'!$A251="","",IF('ORDENES'!$AC251="","-",'ORDENES'!$AC251))</f>
        <v/>
      </c>
      <c r="D273" s="3">
        <f>IF('ORDENES'!$A251="","",IF('ORDENES'!$V251="","-",'ORDENES'!$V251))</f>
        <v/>
      </c>
      <c r="E273" s="3">
        <f>IF('ORDENES'!$A251="","",IF('ORDENES'!$U251="","-",'ORDENES'!$U251))</f>
        <v/>
      </c>
      <c r="F273" s="3">
        <f>IF('ORDENES'!$A251="","",IF('ORDENES'!$W251="","-",'ORDENES'!$W251))</f>
        <v/>
      </c>
      <c r="G273" s="3">
        <f>IF('ORDENES'!$A251="","",IF('ORDENES'!$AB251="","-",'ORDENES'!$AB251))</f>
        <v/>
      </c>
      <c r="H273" s="3">
        <f>IF('ORDENES'!$A251="","",IF('ORDENES'!$AN251="","-",'ORDENES'!$AN251))</f>
        <v/>
      </c>
      <c r="I273" s="3">
        <f>IF('ORDENES'!$A251="","",IF('ORDENES'!$D251="","-",'ORDENES'!$D251))</f>
        <v/>
      </c>
      <c r="J273" s="3">
        <f>IF('ORDENES'!$A251="","",IF('ORDENES'!$E251="","-",'ORDENES'!$E251))</f>
        <v/>
      </c>
      <c r="K273" s="12">
        <f>IF('ORDENES'!$A251="","",IF('ORDENES'!$M251="",0,'ORDENES'!$M251))</f>
        <v/>
      </c>
      <c r="L273" s="3">
        <f>IF('ORDENES'!$A251="","",IF('ORDENES'!$N251="","-",'ORDENES'!$N251))</f>
        <v/>
      </c>
      <c r="M273" s="3">
        <f>IF('ORDENES'!$A251="","",'ORDENES'!$AA251)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IF('ORDENES'!$A252="","",IF('ORDENES'!$AC252="","-",'ORDENES'!$AC252))</f>
        <v/>
      </c>
      <c r="D274" s="3">
        <f>IF('ORDENES'!$A252="","",IF('ORDENES'!$V252="","-",'ORDENES'!$V252))</f>
        <v/>
      </c>
      <c r="E274" s="3">
        <f>IF('ORDENES'!$A252="","",IF('ORDENES'!$U252="","-",'ORDENES'!$U252))</f>
        <v/>
      </c>
      <c r="F274" s="3">
        <f>IF('ORDENES'!$A252="","",IF('ORDENES'!$W252="","-",'ORDENES'!$W252))</f>
        <v/>
      </c>
      <c r="G274" s="3">
        <f>IF('ORDENES'!$A252="","",IF('ORDENES'!$AB252="","-",'ORDENES'!$AB252))</f>
        <v/>
      </c>
      <c r="H274" s="3">
        <f>IF('ORDENES'!$A252="","",IF('ORDENES'!$AN252="","-",'ORDENES'!$AN252))</f>
        <v/>
      </c>
      <c r="I274" s="3">
        <f>IF('ORDENES'!$A252="","",IF('ORDENES'!$D252="","-",'ORDENES'!$D252))</f>
        <v/>
      </c>
      <c r="J274" s="3">
        <f>IF('ORDENES'!$A252="","",IF('ORDENES'!$E252="","-",'ORDENES'!$E252))</f>
        <v/>
      </c>
      <c r="K274" s="12">
        <f>IF('ORDENES'!$A252="","",IF('ORDENES'!$M252="",0,'ORDENES'!$M252))</f>
        <v/>
      </c>
      <c r="L274" s="3">
        <f>IF('ORDENES'!$A252="","",IF('ORDENES'!$N252="","-",'ORDENES'!$N252))</f>
        <v/>
      </c>
      <c r="M274" s="3">
        <f>IF('ORDENES'!$A252="","",'ORDENES'!$AA252)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IF('ORDENES'!$A253="","",IF('ORDENES'!$AC253="","-",'ORDENES'!$AC253))</f>
        <v/>
      </c>
      <c r="D275" s="3">
        <f>IF('ORDENES'!$A253="","",IF('ORDENES'!$V253="","-",'ORDENES'!$V253))</f>
        <v/>
      </c>
      <c r="E275" s="3">
        <f>IF('ORDENES'!$A253="","",IF('ORDENES'!$U253="","-",'ORDENES'!$U253))</f>
        <v/>
      </c>
      <c r="F275" s="3">
        <f>IF('ORDENES'!$A253="","",IF('ORDENES'!$W253="","-",'ORDENES'!$W253))</f>
        <v/>
      </c>
      <c r="G275" s="3">
        <f>IF('ORDENES'!$A253="","",IF('ORDENES'!$AB253="","-",'ORDENES'!$AB253))</f>
        <v/>
      </c>
      <c r="H275" s="3">
        <f>IF('ORDENES'!$A253="","",IF('ORDENES'!$AN253="","-",'ORDENES'!$AN253))</f>
        <v/>
      </c>
      <c r="I275" s="3">
        <f>IF('ORDENES'!$A253="","",IF('ORDENES'!$D253="","-",'ORDENES'!$D253))</f>
        <v/>
      </c>
      <c r="J275" s="3">
        <f>IF('ORDENES'!$A253="","",IF('ORDENES'!$E253="","-",'ORDENES'!$E253))</f>
        <v/>
      </c>
      <c r="K275" s="12">
        <f>IF('ORDENES'!$A253="","",IF('ORDENES'!$M253="",0,'ORDENES'!$M253))</f>
        <v/>
      </c>
      <c r="L275" s="3">
        <f>IF('ORDENES'!$A253="","",IF('ORDENES'!$N253="","-",'ORDENES'!$N253))</f>
        <v/>
      </c>
      <c r="M275" s="3">
        <f>IF('ORDENES'!$A253="","",'ORDENES'!$AA253)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IF('ORDENES'!$A254="","",IF('ORDENES'!$AC254="","-",'ORDENES'!$AC254))</f>
        <v/>
      </c>
      <c r="D276" s="3">
        <f>IF('ORDENES'!$A254="","",IF('ORDENES'!$V254="","-",'ORDENES'!$V254))</f>
        <v/>
      </c>
      <c r="E276" s="3">
        <f>IF('ORDENES'!$A254="","",IF('ORDENES'!$U254="","-",'ORDENES'!$U254))</f>
        <v/>
      </c>
      <c r="F276" s="3">
        <f>IF('ORDENES'!$A254="","",IF('ORDENES'!$W254="","-",'ORDENES'!$W254))</f>
        <v/>
      </c>
      <c r="G276" s="3">
        <f>IF('ORDENES'!$A254="","",IF('ORDENES'!$AB254="","-",'ORDENES'!$AB254))</f>
        <v/>
      </c>
      <c r="H276" s="3">
        <f>IF('ORDENES'!$A254="","",IF('ORDENES'!$AN254="","-",'ORDENES'!$AN254))</f>
        <v/>
      </c>
      <c r="I276" s="3">
        <f>IF('ORDENES'!$A254="","",IF('ORDENES'!$D254="","-",'ORDENES'!$D254))</f>
        <v/>
      </c>
      <c r="J276" s="3">
        <f>IF('ORDENES'!$A254="","",IF('ORDENES'!$E254="","-",'ORDENES'!$E254))</f>
        <v/>
      </c>
      <c r="K276" s="12">
        <f>IF('ORDENES'!$A254="","",IF('ORDENES'!$M254="",0,'ORDENES'!$M254))</f>
        <v/>
      </c>
      <c r="L276" s="3">
        <f>IF('ORDENES'!$A254="","",IF('ORDENES'!$N254="","-",'ORDENES'!$N254))</f>
        <v/>
      </c>
      <c r="M276" s="3">
        <f>IF('ORDENES'!$A254="","",'ORDENES'!$AA254)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IF('ORDENES'!$A255="","",IF('ORDENES'!$AC255="","-",'ORDENES'!$AC255))</f>
        <v/>
      </c>
      <c r="D277" s="3">
        <f>IF('ORDENES'!$A255="","",IF('ORDENES'!$V255="","-",'ORDENES'!$V255))</f>
        <v/>
      </c>
      <c r="E277" s="3">
        <f>IF('ORDENES'!$A255="","",IF('ORDENES'!$U255="","-",'ORDENES'!$U255))</f>
        <v/>
      </c>
      <c r="F277" s="3">
        <f>IF('ORDENES'!$A255="","",IF('ORDENES'!$W255="","-",'ORDENES'!$W255))</f>
        <v/>
      </c>
      <c r="G277" s="3">
        <f>IF('ORDENES'!$A255="","",IF('ORDENES'!$AB255="","-",'ORDENES'!$AB255))</f>
        <v/>
      </c>
      <c r="H277" s="3">
        <f>IF('ORDENES'!$A255="","",IF('ORDENES'!$AN255="","-",'ORDENES'!$AN255))</f>
        <v/>
      </c>
      <c r="I277" s="3">
        <f>IF('ORDENES'!$A255="","",IF('ORDENES'!$D255="","-",'ORDENES'!$D255))</f>
        <v/>
      </c>
      <c r="J277" s="3">
        <f>IF('ORDENES'!$A255="","",IF('ORDENES'!$E255="","-",'ORDENES'!$E255))</f>
        <v/>
      </c>
      <c r="K277" s="12">
        <f>IF('ORDENES'!$A255="","",IF('ORDENES'!$M255="",0,'ORDENES'!$M255))</f>
        <v/>
      </c>
      <c r="L277" s="3">
        <f>IF('ORDENES'!$A255="","",IF('ORDENES'!$N255="","-",'ORDENES'!$N255))</f>
        <v/>
      </c>
      <c r="M277" s="3">
        <f>IF('ORDENES'!$A255="","",'ORDENES'!$AA255)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IF('ORDENES'!$A256="","",IF('ORDENES'!$AC256="","-",'ORDENES'!$AC256))</f>
        <v/>
      </c>
      <c r="D278" s="3">
        <f>IF('ORDENES'!$A256="","",IF('ORDENES'!$V256="","-",'ORDENES'!$V256))</f>
        <v/>
      </c>
      <c r="E278" s="3">
        <f>IF('ORDENES'!$A256="","",IF('ORDENES'!$U256="","-",'ORDENES'!$U256))</f>
        <v/>
      </c>
      <c r="F278" s="3">
        <f>IF('ORDENES'!$A256="","",IF('ORDENES'!$W256="","-",'ORDENES'!$W256))</f>
        <v/>
      </c>
      <c r="G278" s="3">
        <f>IF('ORDENES'!$A256="","",IF('ORDENES'!$AB256="","-",'ORDENES'!$AB256))</f>
        <v/>
      </c>
      <c r="H278" s="3">
        <f>IF('ORDENES'!$A256="","",IF('ORDENES'!$AN256="","-",'ORDENES'!$AN256))</f>
        <v/>
      </c>
      <c r="I278" s="3">
        <f>IF('ORDENES'!$A256="","",IF('ORDENES'!$D256="","-",'ORDENES'!$D256))</f>
        <v/>
      </c>
      <c r="J278" s="3">
        <f>IF('ORDENES'!$A256="","",IF('ORDENES'!$E256="","-",'ORDENES'!$E256))</f>
        <v/>
      </c>
      <c r="K278" s="12">
        <f>IF('ORDENES'!$A256="","",IF('ORDENES'!$M256="",0,'ORDENES'!$M256))</f>
        <v/>
      </c>
      <c r="L278" s="3">
        <f>IF('ORDENES'!$A256="","",IF('ORDENES'!$N256="","-",'ORDENES'!$N256))</f>
        <v/>
      </c>
      <c r="M278" s="3">
        <f>IF('ORDENES'!$A256="","",'ORDENES'!$AA256)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IF('ORDENES'!$A257="","",IF('ORDENES'!$AC257="","-",'ORDENES'!$AC257))</f>
        <v/>
      </c>
      <c r="D279" s="3">
        <f>IF('ORDENES'!$A257="","",IF('ORDENES'!$V257="","-",'ORDENES'!$V257))</f>
        <v/>
      </c>
      <c r="E279" s="3">
        <f>IF('ORDENES'!$A257="","",IF('ORDENES'!$U257="","-",'ORDENES'!$U257))</f>
        <v/>
      </c>
      <c r="F279" s="3">
        <f>IF('ORDENES'!$A257="","",IF('ORDENES'!$W257="","-",'ORDENES'!$W257))</f>
        <v/>
      </c>
      <c r="G279" s="3">
        <f>IF('ORDENES'!$A257="","",IF('ORDENES'!$AB257="","-",'ORDENES'!$AB257))</f>
        <v/>
      </c>
      <c r="H279" s="3">
        <f>IF('ORDENES'!$A257="","",IF('ORDENES'!$AN257="","-",'ORDENES'!$AN257))</f>
        <v/>
      </c>
      <c r="I279" s="3">
        <f>IF('ORDENES'!$A257="","",IF('ORDENES'!$D257="","-",'ORDENES'!$D257))</f>
        <v/>
      </c>
      <c r="J279" s="3">
        <f>IF('ORDENES'!$A257="","",IF('ORDENES'!$E257="","-",'ORDENES'!$E257))</f>
        <v/>
      </c>
      <c r="K279" s="12">
        <f>IF('ORDENES'!$A257="","",IF('ORDENES'!$M257="",0,'ORDENES'!$M257))</f>
        <v/>
      </c>
      <c r="L279" s="3">
        <f>IF('ORDENES'!$A257="","",IF('ORDENES'!$N257="","-",'ORDENES'!$N257))</f>
        <v/>
      </c>
      <c r="M279" s="3">
        <f>IF('ORDENES'!$A257="","",'ORDENES'!$AA257)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IF('ORDENES'!$A258="","",IF('ORDENES'!$AC258="","-",'ORDENES'!$AC258))</f>
        <v/>
      </c>
      <c r="D280" s="3">
        <f>IF('ORDENES'!$A258="","",IF('ORDENES'!$V258="","-",'ORDENES'!$V258))</f>
        <v/>
      </c>
      <c r="E280" s="3">
        <f>IF('ORDENES'!$A258="","",IF('ORDENES'!$U258="","-",'ORDENES'!$U258))</f>
        <v/>
      </c>
      <c r="F280" s="3">
        <f>IF('ORDENES'!$A258="","",IF('ORDENES'!$W258="","-",'ORDENES'!$W258))</f>
        <v/>
      </c>
      <c r="G280" s="3">
        <f>IF('ORDENES'!$A258="","",IF('ORDENES'!$AB258="","-",'ORDENES'!$AB258))</f>
        <v/>
      </c>
      <c r="H280" s="3">
        <f>IF('ORDENES'!$A258="","",IF('ORDENES'!$AN258="","-",'ORDENES'!$AN258))</f>
        <v/>
      </c>
      <c r="I280" s="3">
        <f>IF('ORDENES'!$A258="","",IF('ORDENES'!$D258="","-",'ORDENES'!$D258))</f>
        <v/>
      </c>
      <c r="J280" s="3">
        <f>IF('ORDENES'!$A258="","",IF('ORDENES'!$E258="","-",'ORDENES'!$E258))</f>
        <v/>
      </c>
      <c r="K280" s="12">
        <f>IF('ORDENES'!$A258="","",IF('ORDENES'!$M258="",0,'ORDENES'!$M258))</f>
        <v/>
      </c>
      <c r="L280" s="3">
        <f>IF('ORDENES'!$A258="","",IF('ORDENES'!$N258="","-",'ORDENES'!$N258))</f>
        <v/>
      </c>
      <c r="M280" s="3">
        <f>IF('ORDENES'!$A258="","",'ORDENES'!$AA258)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IF('ORDENES'!$A259="","",IF('ORDENES'!$AC259="","-",'ORDENES'!$AC259))</f>
        <v/>
      </c>
      <c r="D281" s="3">
        <f>IF('ORDENES'!$A259="","",IF('ORDENES'!$V259="","-",'ORDENES'!$V259))</f>
        <v/>
      </c>
      <c r="E281" s="3">
        <f>IF('ORDENES'!$A259="","",IF('ORDENES'!$U259="","-",'ORDENES'!$U259))</f>
        <v/>
      </c>
      <c r="F281" s="3">
        <f>IF('ORDENES'!$A259="","",IF('ORDENES'!$W259="","-",'ORDENES'!$W259))</f>
        <v/>
      </c>
      <c r="G281" s="3">
        <f>IF('ORDENES'!$A259="","",IF('ORDENES'!$AB259="","-",'ORDENES'!$AB259))</f>
        <v/>
      </c>
      <c r="H281" s="3">
        <f>IF('ORDENES'!$A259="","",IF('ORDENES'!$AN259="","-",'ORDENES'!$AN259))</f>
        <v/>
      </c>
      <c r="I281" s="3">
        <f>IF('ORDENES'!$A259="","",IF('ORDENES'!$D259="","-",'ORDENES'!$D259))</f>
        <v/>
      </c>
      <c r="J281" s="3">
        <f>IF('ORDENES'!$A259="","",IF('ORDENES'!$E259="","-",'ORDENES'!$E259))</f>
        <v/>
      </c>
      <c r="K281" s="12">
        <f>IF('ORDENES'!$A259="","",IF('ORDENES'!$M259="",0,'ORDENES'!$M259))</f>
        <v/>
      </c>
      <c r="L281" s="3">
        <f>IF('ORDENES'!$A259="","",IF('ORDENES'!$N259="","-",'ORDENES'!$N259))</f>
        <v/>
      </c>
      <c r="M281" s="3">
        <f>IF('ORDENES'!$A259="","",'ORDENES'!$AA259)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IF('ORDENES'!$A260="","",IF('ORDENES'!$AC260="","-",'ORDENES'!$AC260))</f>
        <v/>
      </c>
      <c r="D282" s="3">
        <f>IF('ORDENES'!$A260="","",IF('ORDENES'!$V260="","-",'ORDENES'!$V260))</f>
        <v/>
      </c>
      <c r="E282" s="3">
        <f>IF('ORDENES'!$A260="","",IF('ORDENES'!$U260="","-",'ORDENES'!$U260))</f>
        <v/>
      </c>
      <c r="F282" s="3">
        <f>IF('ORDENES'!$A260="","",IF('ORDENES'!$W260="","-",'ORDENES'!$W260))</f>
        <v/>
      </c>
      <c r="G282" s="3">
        <f>IF('ORDENES'!$A260="","",IF('ORDENES'!$AB260="","-",'ORDENES'!$AB260))</f>
        <v/>
      </c>
      <c r="H282" s="3">
        <f>IF('ORDENES'!$A260="","",IF('ORDENES'!$AN260="","-",'ORDENES'!$AN260))</f>
        <v/>
      </c>
      <c r="I282" s="3">
        <f>IF('ORDENES'!$A260="","",IF('ORDENES'!$D260="","-",'ORDENES'!$D260))</f>
        <v/>
      </c>
      <c r="J282" s="3">
        <f>IF('ORDENES'!$A260="","",IF('ORDENES'!$E260="","-",'ORDENES'!$E260))</f>
        <v/>
      </c>
      <c r="K282" s="12">
        <f>IF('ORDENES'!$A260="","",IF('ORDENES'!$M260="",0,'ORDENES'!$M260))</f>
        <v/>
      </c>
      <c r="L282" s="3">
        <f>IF('ORDENES'!$A260="","",IF('ORDENES'!$N260="","-",'ORDENES'!$N260))</f>
        <v/>
      </c>
      <c r="M282" s="3">
        <f>IF('ORDENES'!$A260="","",'ORDENES'!$AA260)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IF('ORDENES'!$A261="","",IF('ORDENES'!$AC261="","-",'ORDENES'!$AC261))</f>
        <v/>
      </c>
      <c r="D283" s="3">
        <f>IF('ORDENES'!$A261="","",IF('ORDENES'!$V261="","-",'ORDENES'!$V261))</f>
        <v/>
      </c>
      <c r="E283" s="3">
        <f>IF('ORDENES'!$A261="","",IF('ORDENES'!$U261="","-",'ORDENES'!$U261))</f>
        <v/>
      </c>
      <c r="F283" s="3">
        <f>IF('ORDENES'!$A261="","",IF('ORDENES'!$W261="","-",'ORDENES'!$W261))</f>
        <v/>
      </c>
      <c r="G283" s="3">
        <f>IF('ORDENES'!$A261="","",IF('ORDENES'!$AB261="","-",'ORDENES'!$AB261))</f>
        <v/>
      </c>
      <c r="H283" s="3">
        <f>IF('ORDENES'!$A261="","",IF('ORDENES'!$AN261="","-",'ORDENES'!$AN261))</f>
        <v/>
      </c>
      <c r="I283" s="3">
        <f>IF('ORDENES'!$A261="","",IF('ORDENES'!$D261="","-",'ORDENES'!$D261))</f>
        <v/>
      </c>
      <c r="J283" s="3">
        <f>IF('ORDENES'!$A261="","",IF('ORDENES'!$E261="","-",'ORDENES'!$E261))</f>
        <v/>
      </c>
      <c r="K283" s="12">
        <f>IF('ORDENES'!$A261="","",IF('ORDENES'!$M261="",0,'ORDENES'!$M261))</f>
        <v/>
      </c>
      <c r="L283" s="3">
        <f>IF('ORDENES'!$A261="","",IF('ORDENES'!$N261="","-",'ORDENES'!$N261))</f>
        <v/>
      </c>
      <c r="M283" s="3">
        <f>IF('ORDENES'!$A261="","",'ORDENES'!$AA261)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IF('ORDENES'!$A262="","",IF('ORDENES'!$AC262="","-",'ORDENES'!$AC262))</f>
        <v/>
      </c>
      <c r="D284" s="3">
        <f>IF('ORDENES'!$A262="","",IF('ORDENES'!$V262="","-",'ORDENES'!$V262))</f>
        <v/>
      </c>
      <c r="E284" s="3">
        <f>IF('ORDENES'!$A262="","",IF('ORDENES'!$U262="","-",'ORDENES'!$U262))</f>
        <v/>
      </c>
      <c r="F284" s="3">
        <f>IF('ORDENES'!$A262="","",IF('ORDENES'!$W262="","-",'ORDENES'!$W262))</f>
        <v/>
      </c>
      <c r="G284" s="3">
        <f>IF('ORDENES'!$A262="","",IF('ORDENES'!$AB262="","-",'ORDENES'!$AB262))</f>
        <v/>
      </c>
      <c r="H284" s="3">
        <f>IF('ORDENES'!$A262="","",IF('ORDENES'!$AN262="","-",'ORDENES'!$AN262))</f>
        <v/>
      </c>
      <c r="I284" s="3">
        <f>IF('ORDENES'!$A262="","",IF('ORDENES'!$D262="","-",'ORDENES'!$D262))</f>
        <v/>
      </c>
      <c r="J284" s="3">
        <f>IF('ORDENES'!$A262="","",IF('ORDENES'!$E262="","-",'ORDENES'!$E262))</f>
        <v/>
      </c>
      <c r="K284" s="12">
        <f>IF('ORDENES'!$A262="","",IF('ORDENES'!$M262="",0,'ORDENES'!$M262))</f>
        <v/>
      </c>
      <c r="L284" s="3">
        <f>IF('ORDENES'!$A262="","",IF('ORDENES'!$N262="","-",'ORDENES'!$N262))</f>
        <v/>
      </c>
      <c r="M284" s="3">
        <f>IF('ORDENES'!$A262="","",'ORDENES'!$AA262)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IF('ORDENES'!$A263="","",IF('ORDENES'!$AC263="","-",'ORDENES'!$AC263))</f>
        <v/>
      </c>
      <c r="D285" s="3">
        <f>IF('ORDENES'!$A263="","",IF('ORDENES'!$V263="","-",'ORDENES'!$V263))</f>
        <v/>
      </c>
      <c r="E285" s="3">
        <f>IF('ORDENES'!$A263="","",IF('ORDENES'!$U263="","-",'ORDENES'!$U263))</f>
        <v/>
      </c>
      <c r="F285" s="3">
        <f>IF('ORDENES'!$A263="","",IF('ORDENES'!$W263="","-",'ORDENES'!$W263))</f>
        <v/>
      </c>
      <c r="G285" s="3">
        <f>IF('ORDENES'!$A263="","",IF('ORDENES'!$AB263="","-",'ORDENES'!$AB263))</f>
        <v/>
      </c>
      <c r="H285" s="3">
        <f>IF('ORDENES'!$A263="","",IF('ORDENES'!$AN263="","-",'ORDENES'!$AN263))</f>
        <v/>
      </c>
      <c r="I285" s="3">
        <f>IF('ORDENES'!$A263="","",IF('ORDENES'!$D263="","-",'ORDENES'!$D263))</f>
        <v/>
      </c>
      <c r="J285" s="3">
        <f>IF('ORDENES'!$A263="","",IF('ORDENES'!$E263="","-",'ORDENES'!$E263))</f>
        <v/>
      </c>
      <c r="K285" s="12">
        <f>IF('ORDENES'!$A263="","",IF('ORDENES'!$M263="",0,'ORDENES'!$M263))</f>
        <v/>
      </c>
      <c r="L285" s="3">
        <f>IF('ORDENES'!$A263="","",IF('ORDENES'!$N263="","-",'ORDENES'!$N263))</f>
        <v/>
      </c>
      <c r="M285" s="3">
        <f>IF('ORDENES'!$A263="","",'ORDENES'!$AA263)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IF('ORDENES'!$A264="","",IF('ORDENES'!$AC264="","-",'ORDENES'!$AC264))</f>
        <v/>
      </c>
      <c r="D286" s="3">
        <f>IF('ORDENES'!$A264="","",IF('ORDENES'!$V264="","-",'ORDENES'!$V264))</f>
        <v/>
      </c>
      <c r="E286" s="3">
        <f>IF('ORDENES'!$A264="","",IF('ORDENES'!$U264="","-",'ORDENES'!$U264))</f>
        <v/>
      </c>
      <c r="F286" s="3">
        <f>IF('ORDENES'!$A264="","",IF('ORDENES'!$W264="","-",'ORDENES'!$W264))</f>
        <v/>
      </c>
      <c r="G286" s="3">
        <f>IF('ORDENES'!$A264="","",IF('ORDENES'!$AB264="","-",'ORDENES'!$AB264))</f>
        <v/>
      </c>
      <c r="H286" s="3">
        <f>IF('ORDENES'!$A264="","",IF('ORDENES'!$AN264="","-",'ORDENES'!$AN264))</f>
        <v/>
      </c>
      <c r="I286" s="3">
        <f>IF('ORDENES'!$A264="","",IF('ORDENES'!$D264="","-",'ORDENES'!$D264))</f>
        <v/>
      </c>
      <c r="J286" s="3">
        <f>IF('ORDENES'!$A264="","",IF('ORDENES'!$E264="","-",'ORDENES'!$E264))</f>
        <v/>
      </c>
      <c r="K286" s="12">
        <f>IF('ORDENES'!$A264="","",IF('ORDENES'!$M264="",0,'ORDENES'!$M264))</f>
        <v/>
      </c>
      <c r="L286" s="3">
        <f>IF('ORDENES'!$A264="","",IF('ORDENES'!$N264="","-",'ORDENES'!$N264))</f>
        <v/>
      </c>
      <c r="M286" s="3">
        <f>IF('ORDENES'!$A264="","",'ORDENES'!$AA264)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IF('ORDENES'!$A265="","",IF('ORDENES'!$AC265="","-",'ORDENES'!$AC265))</f>
        <v/>
      </c>
      <c r="D287" s="3">
        <f>IF('ORDENES'!$A265="","",IF('ORDENES'!$V265="","-",'ORDENES'!$V265))</f>
        <v/>
      </c>
      <c r="E287" s="3">
        <f>IF('ORDENES'!$A265="","",IF('ORDENES'!$U265="","-",'ORDENES'!$U265))</f>
        <v/>
      </c>
      <c r="F287" s="3">
        <f>IF('ORDENES'!$A265="","",IF('ORDENES'!$W265="","-",'ORDENES'!$W265))</f>
        <v/>
      </c>
      <c r="G287" s="3">
        <f>IF('ORDENES'!$A265="","",IF('ORDENES'!$AB265="","-",'ORDENES'!$AB265))</f>
        <v/>
      </c>
      <c r="H287" s="3">
        <f>IF('ORDENES'!$A265="","",IF('ORDENES'!$AN265="","-",'ORDENES'!$AN265))</f>
        <v/>
      </c>
      <c r="I287" s="3">
        <f>IF('ORDENES'!$A265="","",IF('ORDENES'!$D265="","-",'ORDENES'!$D265))</f>
        <v/>
      </c>
      <c r="J287" s="3">
        <f>IF('ORDENES'!$A265="","",IF('ORDENES'!$E265="","-",'ORDENES'!$E265))</f>
        <v/>
      </c>
      <c r="K287" s="12">
        <f>IF('ORDENES'!$A265="","",IF('ORDENES'!$M265="",0,'ORDENES'!$M265))</f>
        <v/>
      </c>
      <c r="L287" s="3">
        <f>IF('ORDENES'!$A265="","",IF('ORDENES'!$N265="","-",'ORDENES'!$N265))</f>
        <v/>
      </c>
      <c r="M287" s="3">
        <f>IF('ORDENES'!$A265="","",'ORDENES'!$AA265)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IF('ORDENES'!$A266="","",IF('ORDENES'!$AC266="","-",'ORDENES'!$AC266))</f>
        <v/>
      </c>
      <c r="D288" s="3">
        <f>IF('ORDENES'!$A266="","",IF('ORDENES'!$V266="","-",'ORDENES'!$V266))</f>
        <v/>
      </c>
      <c r="E288" s="3">
        <f>IF('ORDENES'!$A266="","",IF('ORDENES'!$U266="","-",'ORDENES'!$U266))</f>
        <v/>
      </c>
      <c r="F288" s="3">
        <f>IF('ORDENES'!$A266="","",IF('ORDENES'!$W266="","-",'ORDENES'!$W266))</f>
        <v/>
      </c>
      <c r="G288" s="3">
        <f>IF('ORDENES'!$A266="","",IF('ORDENES'!$AB266="","-",'ORDENES'!$AB266))</f>
        <v/>
      </c>
      <c r="H288" s="3">
        <f>IF('ORDENES'!$A266="","",IF('ORDENES'!$AN266="","-",'ORDENES'!$AN266))</f>
        <v/>
      </c>
      <c r="I288" s="3">
        <f>IF('ORDENES'!$A266="","",IF('ORDENES'!$D266="","-",'ORDENES'!$D266))</f>
        <v/>
      </c>
      <c r="J288" s="3">
        <f>IF('ORDENES'!$A266="","",IF('ORDENES'!$E266="","-",'ORDENES'!$E266))</f>
        <v/>
      </c>
      <c r="K288" s="12">
        <f>IF('ORDENES'!$A266="","",IF('ORDENES'!$M266="",0,'ORDENES'!$M266))</f>
        <v/>
      </c>
      <c r="L288" s="3">
        <f>IF('ORDENES'!$A266="","",IF('ORDENES'!$N266="","-",'ORDENES'!$N266))</f>
        <v/>
      </c>
      <c r="M288" s="3">
        <f>IF('ORDENES'!$A266="","",'ORDENES'!$AA266)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IF('ORDENES'!$A267="","",IF('ORDENES'!$AC267="","-",'ORDENES'!$AC267))</f>
        <v/>
      </c>
      <c r="D289" s="3">
        <f>IF('ORDENES'!$A267="","",IF('ORDENES'!$V267="","-",'ORDENES'!$V267))</f>
        <v/>
      </c>
      <c r="E289" s="3">
        <f>IF('ORDENES'!$A267="","",IF('ORDENES'!$U267="","-",'ORDENES'!$U267))</f>
        <v/>
      </c>
      <c r="F289" s="3">
        <f>IF('ORDENES'!$A267="","",IF('ORDENES'!$W267="","-",'ORDENES'!$W267))</f>
        <v/>
      </c>
      <c r="G289" s="3">
        <f>IF('ORDENES'!$A267="","",IF('ORDENES'!$AB267="","-",'ORDENES'!$AB267))</f>
        <v/>
      </c>
      <c r="H289" s="3">
        <f>IF('ORDENES'!$A267="","",IF('ORDENES'!$AN267="","-",'ORDENES'!$AN267))</f>
        <v/>
      </c>
      <c r="I289" s="3">
        <f>IF('ORDENES'!$A267="","",IF('ORDENES'!$D267="","-",'ORDENES'!$D267))</f>
        <v/>
      </c>
      <c r="J289" s="3">
        <f>IF('ORDENES'!$A267="","",IF('ORDENES'!$E267="","-",'ORDENES'!$E267))</f>
        <v/>
      </c>
      <c r="K289" s="12">
        <f>IF('ORDENES'!$A267="","",IF('ORDENES'!$M267="",0,'ORDENES'!$M267))</f>
        <v/>
      </c>
      <c r="L289" s="3">
        <f>IF('ORDENES'!$A267="","",IF('ORDENES'!$N267="","-",'ORDENES'!$N267))</f>
        <v/>
      </c>
      <c r="M289" s="3">
        <f>IF('ORDENES'!$A267="","",'ORDENES'!$AA267)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IF('ORDENES'!$A268="","",IF('ORDENES'!$AC268="","-",'ORDENES'!$AC268))</f>
        <v/>
      </c>
      <c r="D290" s="3">
        <f>IF('ORDENES'!$A268="","",IF('ORDENES'!$V268="","-",'ORDENES'!$V268))</f>
        <v/>
      </c>
      <c r="E290" s="3">
        <f>IF('ORDENES'!$A268="","",IF('ORDENES'!$U268="","-",'ORDENES'!$U268))</f>
        <v/>
      </c>
      <c r="F290" s="3">
        <f>IF('ORDENES'!$A268="","",IF('ORDENES'!$W268="","-",'ORDENES'!$W268))</f>
        <v/>
      </c>
      <c r="G290" s="3">
        <f>IF('ORDENES'!$A268="","",IF('ORDENES'!$AB268="","-",'ORDENES'!$AB268))</f>
        <v/>
      </c>
      <c r="H290" s="3">
        <f>IF('ORDENES'!$A268="","",IF('ORDENES'!$AN268="","-",'ORDENES'!$AN268))</f>
        <v/>
      </c>
      <c r="I290" s="3">
        <f>IF('ORDENES'!$A268="","",IF('ORDENES'!$D268="","-",'ORDENES'!$D268))</f>
        <v/>
      </c>
      <c r="J290" s="3">
        <f>IF('ORDENES'!$A268="","",IF('ORDENES'!$E268="","-",'ORDENES'!$E268))</f>
        <v/>
      </c>
      <c r="K290" s="12">
        <f>IF('ORDENES'!$A268="","",IF('ORDENES'!$M268="",0,'ORDENES'!$M268))</f>
        <v/>
      </c>
      <c r="L290" s="3">
        <f>IF('ORDENES'!$A268="","",IF('ORDENES'!$N268="","-",'ORDENES'!$N268))</f>
        <v/>
      </c>
      <c r="M290" s="3">
        <f>IF('ORDENES'!$A268="","",'ORDENES'!$AA268)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IF('ORDENES'!$A269="","",IF('ORDENES'!$AC269="","-",'ORDENES'!$AC269))</f>
        <v/>
      </c>
      <c r="D291" s="3">
        <f>IF('ORDENES'!$A269="","",IF('ORDENES'!$V269="","-",'ORDENES'!$V269))</f>
        <v/>
      </c>
      <c r="E291" s="3">
        <f>IF('ORDENES'!$A269="","",IF('ORDENES'!$U269="","-",'ORDENES'!$U269))</f>
        <v/>
      </c>
      <c r="F291" s="3">
        <f>IF('ORDENES'!$A269="","",IF('ORDENES'!$W269="","-",'ORDENES'!$W269))</f>
        <v/>
      </c>
      <c r="G291" s="3">
        <f>IF('ORDENES'!$A269="","",IF('ORDENES'!$AB269="","-",'ORDENES'!$AB269))</f>
        <v/>
      </c>
      <c r="H291" s="3">
        <f>IF('ORDENES'!$A269="","",IF('ORDENES'!$AN269="","-",'ORDENES'!$AN269))</f>
        <v/>
      </c>
      <c r="I291" s="3">
        <f>IF('ORDENES'!$A269="","",IF('ORDENES'!$D269="","-",'ORDENES'!$D269))</f>
        <v/>
      </c>
      <c r="J291" s="3">
        <f>IF('ORDENES'!$A269="","",IF('ORDENES'!$E269="","-",'ORDENES'!$E269))</f>
        <v/>
      </c>
      <c r="K291" s="12">
        <f>IF('ORDENES'!$A269="","",IF('ORDENES'!$M269="",0,'ORDENES'!$M269))</f>
        <v/>
      </c>
      <c r="L291" s="3">
        <f>IF('ORDENES'!$A269="","",IF('ORDENES'!$N269="","-",'ORDENES'!$N269))</f>
        <v/>
      </c>
      <c r="M291" s="3">
        <f>IF('ORDENES'!$A269="","",'ORDENES'!$AA269)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IF('ORDENES'!$A270="","",IF('ORDENES'!$AC270="","-",'ORDENES'!$AC270))</f>
        <v/>
      </c>
      <c r="D292" s="3">
        <f>IF('ORDENES'!$A270="","",IF('ORDENES'!$V270="","-",'ORDENES'!$V270))</f>
        <v/>
      </c>
      <c r="E292" s="3">
        <f>IF('ORDENES'!$A270="","",IF('ORDENES'!$U270="","-",'ORDENES'!$U270))</f>
        <v/>
      </c>
      <c r="F292" s="3">
        <f>IF('ORDENES'!$A270="","",IF('ORDENES'!$W270="","-",'ORDENES'!$W270))</f>
        <v/>
      </c>
      <c r="G292" s="3">
        <f>IF('ORDENES'!$A270="","",IF('ORDENES'!$AB270="","-",'ORDENES'!$AB270))</f>
        <v/>
      </c>
      <c r="H292" s="3">
        <f>IF('ORDENES'!$A270="","",IF('ORDENES'!$AN270="","-",'ORDENES'!$AN270))</f>
        <v/>
      </c>
      <c r="I292" s="3">
        <f>IF('ORDENES'!$A270="","",IF('ORDENES'!$D270="","-",'ORDENES'!$D270))</f>
        <v/>
      </c>
      <c r="J292" s="3">
        <f>IF('ORDENES'!$A270="","",IF('ORDENES'!$E270="","-",'ORDENES'!$E270))</f>
        <v/>
      </c>
      <c r="K292" s="12">
        <f>IF('ORDENES'!$A270="","",IF('ORDENES'!$M270="",0,'ORDENES'!$M270))</f>
        <v/>
      </c>
      <c r="L292" s="3">
        <f>IF('ORDENES'!$A270="","",IF('ORDENES'!$N270="","-",'ORDENES'!$N270))</f>
        <v/>
      </c>
      <c r="M292" s="3">
        <f>IF('ORDENES'!$A270="","",'ORDENES'!$AA270)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IF('ORDENES'!$A271="","",IF('ORDENES'!$AC271="","-",'ORDENES'!$AC271))</f>
        <v/>
      </c>
      <c r="D293" s="3">
        <f>IF('ORDENES'!$A271="","",IF('ORDENES'!$V271="","-",'ORDENES'!$V271))</f>
        <v/>
      </c>
      <c r="E293" s="3">
        <f>IF('ORDENES'!$A271="","",IF('ORDENES'!$U271="","-",'ORDENES'!$U271))</f>
        <v/>
      </c>
      <c r="F293" s="3">
        <f>IF('ORDENES'!$A271="","",IF('ORDENES'!$W271="","-",'ORDENES'!$W271))</f>
        <v/>
      </c>
      <c r="G293" s="3">
        <f>IF('ORDENES'!$A271="","",IF('ORDENES'!$AB271="","-",'ORDENES'!$AB271))</f>
        <v/>
      </c>
      <c r="H293" s="3">
        <f>IF('ORDENES'!$A271="","",IF('ORDENES'!$AN271="","-",'ORDENES'!$AN271))</f>
        <v/>
      </c>
      <c r="I293" s="3">
        <f>IF('ORDENES'!$A271="","",IF('ORDENES'!$D271="","-",'ORDENES'!$D271))</f>
        <v/>
      </c>
      <c r="J293" s="3">
        <f>IF('ORDENES'!$A271="","",IF('ORDENES'!$E271="","-",'ORDENES'!$E271))</f>
        <v/>
      </c>
      <c r="K293" s="12">
        <f>IF('ORDENES'!$A271="","",IF('ORDENES'!$M271="",0,'ORDENES'!$M271))</f>
        <v/>
      </c>
      <c r="L293" s="3">
        <f>IF('ORDENES'!$A271="","",IF('ORDENES'!$N271="","-",'ORDENES'!$N271))</f>
        <v/>
      </c>
      <c r="M293" s="3">
        <f>IF('ORDENES'!$A271="","",'ORDENES'!$AA271)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IF('ORDENES'!$A272="","",IF('ORDENES'!$AC272="","-",'ORDENES'!$AC272))</f>
        <v/>
      </c>
      <c r="D294" s="3">
        <f>IF('ORDENES'!$A272="","",IF('ORDENES'!$V272="","-",'ORDENES'!$V272))</f>
        <v/>
      </c>
      <c r="E294" s="3">
        <f>IF('ORDENES'!$A272="","",IF('ORDENES'!$U272="","-",'ORDENES'!$U272))</f>
        <v/>
      </c>
      <c r="F294" s="3">
        <f>IF('ORDENES'!$A272="","",IF('ORDENES'!$W272="","-",'ORDENES'!$W272))</f>
        <v/>
      </c>
      <c r="G294" s="3">
        <f>IF('ORDENES'!$A272="","",IF('ORDENES'!$AB272="","-",'ORDENES'!$AB272))</f>
        <v/>
      </c>
      <c r="H294" s="3">
        <f>IF('ORDENES'!$A272="","",IF('ORDENES'!$AN272="","-",'ORDENES'!$AN272))</f>
        <v/>
      </c>
      <c r="I294" s="3">
        <f>IF('ORDENES'!$A272="","",IF('ORDENES'!$D272="","-",'ORDENES'!$D272))</f>
        <v/>
      </c>
      <c r="J294" s="3">
        <f>IF('ORDENES'!$A272="","",IF('ORDENES'!$E272="","-",'ORDENES'!$E272))</f>
        <v/>
      </c>
      <c r="K294" s="12">
        <f>IF('ORDENES'!$A272="","",IF('ORDENES'!$M272="",0,'ORDENES'!$M272))</f>
        <v/>
      </c>
      <c r="L294" s="3">
        <f>IF('ORDENES'!$A272="","",IF('ORDENES'!$N272="","-",'ORDENES'!$N272))</f>
        <v/>
      </c>
      <c r="M294" s="3">
        <f>IF('ORDENES'!$A272="","",'ORDENES'!$AA272)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IF('ORDENES'!$A273="","",IF('ORDENES'!$AC273="","-",'ORDENES'!$AC273))</f>
        <v/>
      </c>
      <c r="D295" s="3">
        <f>IF('ORDENES'!$A273="","",IF('ORDENES'!$V273="","-",'ORDENES'!$V273))</f>
        <v/>
      </c>
      <c r="E295" s="3">
        <f>IF('ORDENES'!$A273="","",IF('ORDENES'!$U273="","-",'ORDENES'!$U273))</f>
        <v/>
      </c>
      <c r="F295" s="3">
        <f>IF('ORDENES'!$A273="","",IF('ORDENES'!$W273="","-",'ORDENES'!$W273))</f>
        <v/>
      </c>
      <c r="G295" s="3">
        <f>IF('ORDENES'!$A273="","",IF('ORDENES'!$AB273="","-",'ORDENES'!$AB273))</f>
        <v/>
      </c>
      <c r="H295" s="3">
        <f>IF('ORDENES'!$A273="","",IF('ORDENES'!$AN273="","-",'ORDENES'!$AN273))</f>
        <v/>
      </c>
      <c r="I295" s="3">
        <f>IF('ORDENES'!$A273="","",IF('ORDENES'!$D273="","-",'ORDENES'!$D273))</f>
        <v/>
      </c>
      <c r="J295" s="3">
        <f>IF('ORDENES'!$A273="","",IF('ORDENES'!$E273="","-",'ORDENES'!$E273))</f>
        <v/>
      </c>
      <c r="K295" s="12">
        <f>IF('ORDENES'!$A273="","",IF('ORDENES'!$M273="",0,'ORDENES'!$M273))</f>
        <v/>
      </c>
      <c r="L295" s="3">
        <f>IF('ORDENES'!$A273="","",IF('ORDENES'!$N273="","-",'ORDENES'!$N273))</f>
        <v/>
      </c>
      <c r="M295" s="3">
        <f>IF('ORDENES'!$A273="","",'ORDENES'!$AA273)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IF('ORDENES'!$A274="","",IF('ORDENES'!$AC274="","-",'ORDENES'!$AC274))</f>
        <v/>
      </c>
      <c r="D296" s="3">
        <f>IF('ORDENES'!$A274="","",IF('ORDENES'!$V274="","-",'ORDENES'!$V274))</f>
        <v/>
      </c>
      <c r="E296" s="3">
        <f>IF('ORDENES'!$A274="","",IF('ORDENES'!$U274="","-",'ORDENES'!$U274))</f>
        <v/>
      </c>
      <c r="F296" s="3">
        <f>IF('ORDENES'!$A274="","",IF('ORDENES'!$W274="","-",'ORDENES'!$W274))</f>
        <v/>
      </c>
      <c r="G296" s="3">
        <f>IF('ORDENES'!$A274="","",IF('ORDENES'!$AB274="","-",'ORDENES'!$AB274))</f>
        <v/>
      </c>
      <c r="H296" s="3">
        <f>IF('ORDENES'!$A274="","",IF('ORDENES'!$AN274="","-",'ORDENES'!$AN274))</f>
        <v/>
      </c>
      <c r="I296" s="3">
        <f>IF('ORDENES'!$A274="","",IF('ORDENES'!$D274="","-",'ORDENES'!$D274))</f>
        <v/>
      </c>
      <c r="J296" s="3">
        <f>IF('ORDENES'!$A274="","",IF('ORDENES'!$E274="","-",'ORDENES'!$E274))</f>
        <v/>
      </c>
      <c r="K296" s="12">
        <f>IF('ORDENES'!$A274="","",IF('ORDENES'!$M274="",0,'ORDENES'!$M274))</f>
        <v/>
      </c>
      <c r="L296" s="3">
        <f>IF('ORDENES'!$A274="","",IF('ORDENES'!$N274="","-",'ORDENES'!$N274))</f>
        <v/>
      </c>
      <c r="M296" s="3">
        <f>IF('ORDENES'!$A274="","",'ORDENES'!$AA274)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IF('ORDENES'!$A275="","",IF('ORDENES'!$AC275="","-",'ORDENES'!$AC275))</f>
        <v/>
      </c>
      <c r="D297" s="3">
        <f>IF('ORDENES'!$A275="","",IF('ORDENES'!$V275="","-",'ORDENES'!$V275))</f>
        <v/>
      </c>
      <c r="E297" s="3">
        <f>IF('ORDENES'!$A275="","",IF('ORDENES'!$U275="","-",'ORDENES'!$U275))</f>
        <v/>
      </c>
      <c r="F297" s="3">
        <f>IF('ORDENES'!$A275="","",IF('ORDENES'!$W275="","-",'ORDENES'!$W275))</f>
        <v/>
      </c>
      <c r="G297" s="3">
        <f>IF('ORDENES'!$A275="","",IF('ORDENES'!$AB275="","-",'ORDENES'!$AB275))</f>
        <v/>
      </c>
      <c r="H297" s="3">
        <f>IF('ORDENES'!$A275="","",IF('ORDENES'!$AN275="","-",'ORDENES'!$AN275))</f>
        <v/>
      </c>
      <c r="I297" s="3">
        <f>IF('ORDENES'!$A275="","",IF('ORDENES'!$D275="","-",'ORDENES'!$D275))</f>
        <v/>
      </c>
      <c r="J297" s="3">
        <f>IF('ORDENES'!$A275="","",IF('ORDENES'!$E275="","-",'ORDENES'!$E275))</f>
        <v/>
      </c>
      <c r="K297" s="12">
        <f>IF('ORDENES'!$A275="","",IF('ORDENES'!$M275="",0,'ORDENES'!$M275))</f>
        <v/>
      </c>
      <c r="L297" s="3">
        <f>IF('ORDENES'!$A275="","",IF('ORDENES'!$N275="","-",'ORDENES'!$N275))</f>
        <v/>
      </c>
      <c r="M297" s="3">
        <f>IF('ORDENES'!$A275="","",'ORDENES'!$AA275)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IF('ORDENES'!$A276="","",IF('ORDENES'!$AC276="","-",'ORDENES'!$AC276))</f>
        <v/>
      </c>
      <c r="D298" s="3">
        <f>IF('ORDENES'!$A276="","",IF('ORDENES'!$V276="","-",'ORDENES'!$V276))</f>
        <v/>
      </c>
      <c r="E298" s="3">
        <f>IF('ORDENES'!$A276="","",IF('ORDENES'!$U276="","-",'ORDENES'!$U276))</f>
        <v/>
      </c>
      <c r="F298" s="3">
        <f>IF('ORDENES'!$A276="","",IF('ORDENES'!$W276="","-",'ORDENES'!$W276))</f>
        <v/>
      </c>
      <c r="G298" s="3">
        <f>IF('ORDENES'!$A276="","",IF('ORDENES'!$AB276="","-",'ORDENES'!$AB276))</f>
        <v/>
      </c>
      <c r="H298" s="3">
        <f>IF('ORDENES'!$A276="","",IF('ORDENES'!$AN276="","-",'ORDENES'!$AN276))</f>
        <v/>
      </c>
      <c r="I298" s="3">
        <f>IF('ORDENES'!$A276="","",IF('ORDENES'!$D276="","-",'ORDENES'!$D276))</f>
        <v/>
      </c>
      <c r="J298" s="3">
        <f>IF('ORDENES'!$A276="","",IF('ORDENES'!$E276="","-",'ORDENES'!$E276))</f>
        <v/>
      </c>
      <c r="K298" s="12">
        <f>IF('ORDENES'!$A276="","",IF('ORDENES'!$M276="",0,'ORDENES'!$M276))</f>
        <v/>
      </c>
      <c r="L298" s="3">
        <f>IF('ORDENES'!$A276="","",IF('ORDENES'!$N276="","-",'ORDENES'!$N276))</f>
        <v/>
      </c>
      <c r="M298" s="3">
        <f>IF('ORDENES'!$A276="","",'ORDENES'!$AA276)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IF('ORDENES'!$A277="","",IF('ORDENES'!$AC277="","-",'ORDENES'!$AC277))</f>
        <v/>
      </c>
      <c r="D299" s="3">
        <f>IF('ORDENES'!$A277="","",IF('ORDENES'!$V277="","-",'ORDENES'!$V277))</f>
        <v/>
      </c>
      <c r="E299" s="3">
        <f>IF('ORDENES'!$A277="","",IF('ORDENES'!$U277="","-",'ORDENES'!$U277))</f>
        <v/>
      </c>
      <c r="F299" s="3">
        <f>IF('ORDENES'!$A277="","",IF('ORDENES'!$W277="","-",'ORDENES'!$W277))</f>
        <v/>
      </c>
      <c r="G299" s="3">
        <f>IF('ORDENES'!$A277="","",IF('ORDENES'!$AB277="","-",'ORDENES'!$AB277))</f>
        <v/>
      </c>
      <c r="H299" s="3">
        <f>IF('ORDENES'!$A277="","",IF('ORDENES'!$AN277="","-",'ORDENES'!$AN277))</f>
        <v/>
      </c>
      <c r="I299" s="3">
        <f>IF('ORDENES'!$A277="","",IF('ORDENES'!$D277="","-",'ORDENES'!$D277))</f>
        <v/>
      </c>
      <c r="J299" s="3">
        <f>IF('ORDENES'!$A277="","",IF('ORDENES'!$E277="","-",'ORDENES'!$E277))</f>
        <v/>
      </c>
      <c r="K299" s="12">
        <f>IF('ORDENES'!$A277="","",IF('ORDENES'!$M277="",0,'ORDENES'!$M277))</f>
        <v/>
      </c>
      <c r="L299" s="3">
        <f>IF('ORDENES'!$A277="","",IF('ORDENES'!$N277="","-",'ORDENES'!$N277))</f>
        <v/>
      </c>
      <c r="M299" s="3">
        <f>IF('ORDENES'!$A277="","",'ORDENES'!$AA277)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IF('ORDENES'!$A278="","",IF('ORDENES'!$AC278="","-",'ORDENES'!$AC278))</f>
        <v/>
      </c>
      <c r="D300" s="3">
        <f>IF('ORDENES'!$A278="","",IF('ORDENES'!$V278="","-",'ORDENES'!$V278))</f>
        <v/>
      </c>
      <c r="E300" s="3">
        <f>IF('ORDENES'!$A278="","",IF('ORDENES'!$U278="","-",'ORDENES'!$U278))</f>
        <v/>
      </c>
      <c r="F300" s="3">
        <f>IF('ORDENES'!$A278="","",IF('ORDENES'!$W278="","-",'ORDENES'!$W278))</f>
        <v/>
      </c>
      <c r="G300" s="3">
        <f>IF('ORDENES'!$A278="","",IF('ORDENES'!$AB278="","-",'ORDENES'!$AB278))</f>
        <v/>
      </c>
      <c r="H300" s="3">
        <f>IF('ORDENES'!$A278="","",IF('ORDENES'!$AN278="","-",'ORDENES'!$AN278))</f>
        <v/>
      </c>
      <c r="I300" s="3">
        <f>IF('ORDENES'!$A278="","",IF('ORDENES'!$D278="","-",'ORDENES'!$D278))</f>
        <v/>
      </c>
      <c r="J300" s="3">
        <f>IF('ORDENES'!$A278="","",IF('ORDENES'!$E278="","-",'ORDENES'!$E278))</f>
        <v/>
      </c>
      <c r="K300" s="12">
        <f>IF('ORDENES'!$A278="","",IF('ORDENES'!$M278="",0,'ORDENES'!$M278))</f>
        <v/>
      </c>
      <c r="L300" s="3">
        <f>IF('ORDENES'!$A278="","",IF('ORDENES'!$N278="","-",'ORDENES'!$N278))</f>
        <v/>
      </c>
      <c r="M300" s="3">
        <f>IF('ORDENES'!$A278="","",'ORDENES'!$AA278)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IF('ORDENES'!$A279="","",IF('ORDENES'!$AC279="","-",'ORDENES'!$AC279))</f>
        <v/>
      </c>
      <c r="D301" s="3">
        <f>IF('ORDENES'!$A279="","",IF('ORDENES'!$V279="","-",'ORDENES'!$V279))</f>
        <v/>
      </c>
      <c r="E301" s="3">
        <f>IF('ORDENES'!$A279="","",IF('ORDENES'!$U279="","-",'ORDENES'!$U279))</f>
        <v/>
      </c>
      <c r="F301" s="3">
        <f>IF('ORDENES'!$A279="","",IF('ORDENES'!$W279="","-",'ORDENES'!$W279))</f>
        <v/>
      </c>
      <c r="G301" s="3">
        <f>IF('ORDENES'!$A279="","",IF('ORDENES'!$AB279="","-",'ORDENES'!$AB279))</f>
        <v/>
      </c>
      <c r="H301" s="3">
        <f>IF('ORDENES'!$A279="","",IF('ORDENES'!$AN279="","-",'ORDENES'!$AN279))</f>
        <v/>
      </c>
      <c r="I301" s="3">
        <f>IF('ORDENES'!$A279="","",IF('ORDENES'!$D279="","-",'ORDENES'!$D279))</f>
        <v/>
      </c>
      <c r="J301" s="3">
        <f>IF('ORDENES'!$A279="","",IF('ORDENES'!$E279="","-",'ORDENES'!$E279))</f>
        <v/>
      </c>
      <c r="K301" s="12">
        <f>IF('ORDENES'!$A279="","",IF('ORDENES'!$M279="",0,'ORDENES'!$M279))</f>
        <v/>
      </c>
      <c r="L301" s="3">
        <f>IF('ORDENES'!$A279="","",IF('ORDENES'!$N279="","-",'ORDENES'!$N279))</f>
        <v/>
      </c>
      <c r="M301" s="3">
        <f>IF('ORDENES'!$A279="","",'ORDENES'!$AA279)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IF('ORDENES'!$A280="","",IF('ORDENES'!$AC280="","-",'ORDENES'!$AC280))</f>
        <v/>
      </c>
      <c r="D302" s="3">
        <f>IF('ORDENES'!$A280="","",IF('ORDENES'!$V280="","-",'ORDENES'!$V280))</f>
        <v/>
      </c>
      <c r="E302" s="3">
        <f>IF('ORDENES'!$A280="","",IF('ORDENES'!$U280="","-",'ORDENES'!$U280))</f>
        <v/>
      </c>
      <c r="F302" s="3">
        <f>IF('ORDENES'!$A280="","",IF('ORDENES'!$W280="","-",'ORDENES'!$W280))</f>
        <v/>
      </c>
      <c r="G302" s="3">
        <f>IF('ORDENES'!$A280="","",IF('ORDENES'!$AB280="","-",'ORDENES'!$AB280))</f>
        <v/>
      </c>
      <c r="H302" s="3">
        <f>IF('ORDENES'!$A280="","",IF('ORDENES'!$AN280="","-",'ORDENES'!$AN280))</f>
        <v/>
      </c>
      <c r="I302" s="3">
        <f>IF('ORDENES'!$A280="","",IF('ORDENES'!$D280="","-",'ORDENES'!$D280))</f>
        <v/>
      </c>
      <c r="J302" s="3">
        <f>IF('ORDENES'!$A280="","",IF('ORDENES'!$E280="","-",'ORDENES'!$E280))</f>
        <v/>
      </c>
      <c r="K302" s="12">
        <f>IF('ORDENES'!$A280="","",IF('ORDENES'!$M280="",0,'ORDENES'!$M280))</f>
        <v/>
      </c>
      <c r="L302" s="3">
        <f>IF('ORDENES'!$A280="","",IF('ORDENES'!$N280="","-",'ORDENES'!$N280))</f>
        <v/>
      </c>
      <c r="M302" s="3">
        <f>IF('ORDENES'!$A280="","",'ORDENES'!$AA280)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IF('ORDENES'!$A281="","",IF('ORDENES'!$AC281="","-",'ORDENES'!$AC281))</f>
        <v/>
      </c>
      <c r="D303" s="3">
        <f>IF('ORDENES'!$A281="","",IF('ORDENES'!$V281="","-",'ORDENES'!$V281))</f>
        <v/>
      </c>
      <c r="E303" s="3">
        <f>IF('ORDENES'!$A281="","",IF('ORDENES'!$U281="","-",'ORDENES'!$U281))</f>
        <v/>
      </c>
      <c r="F303" s="3">
        <f>IF('ORDENES'!$A281="","",IF('ORDENES'!$W281="","-",'ORDENES'!$W281))</f>
        <v/>
      </c>
      <c r="G303" s="3">
        <f>IF('ORDENES'!$A281="","",IF('ORDENES'!$AB281="","-",'ORDENES'!$AB281))</f>
        <v/>
      </c>
      <c r="H303" s="3">
        <f>IF('ORDENES'!$A281="","",IF('ORDENES'!$AN281="","-",'ORDENES'!$AN281))</f>
        <v/>
      </c>
      <c r="I303" s="3">
        <f>IF('ORDENES'!$A281="","",IF('ORDENES'!$D281="","-",'ORDENES'!$D281))</f>
        <v/>
      </c>
      <c r="J303" s="3">
        <f>IF('ORDENES'!$A281="","",IF('ORDENES'!$E281="","-",'ORDENES'!$E281))</f>
        <v/>
      </c>
      <c r="K303" s="12">
        <f>IF('ORDENES'!$A281="","",IF('ORDENES'!$M281="",0,'ORDENES'!$M281))</f>
        <v/>
      </c>
      <c r="L303" s="3">
        <f>IF('ORDENES'!$A281="","",IF('ORDENES'!$N281="","-",'ORDENES'!$N281))</f>
        <v/>
      </c>
      <c r="M303" s="3">
        <f>IF('ORDENES'!$A281="","",'ORDENES'!$AA281)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IF('ORDENES'!$A282="","",IF('ORDENES'!$AC282="","-",'ORDENES'!$AC282))</f>
        <v/>
      </c>
      <c r="D304" s="3">
        <f>IF('ORDENES'!$A282="","",IF('ORDENES'!$V282="","-",'ORDENES'!$V282))</f>
        <v/>
      </c>
      <c r="E304" s="3">
        <f>IF('ORDENES'!$A282="","",IF('ORDENES'!$U282="","-",'ORDENES'!$U282))</f>
        <v/>
      </c>
      <c r="F304" s="3">
        <f>IF('ORDENES'!$A282="","",IF('ORDENES'!$W282="","-",'ORDENES'!$W282))</f>
        <v/>
      </c>
      <c r="G304" s="3">
        <f>IF('ORDENES'!$A282="","",IF('ORDENES'!$AB282="","-",'ORDENES'!$AB282))</f>
        <v/>
      </c>
      <c r="H304" s="3">
        <f>IF('ORDENES'!$A282="","",IF('ORDENES'!$AN282="","-",'ORDENES'!$AN282))</f>
        <v/>
      </c>
      <c r="I304" s="3">
        <f>IF('ORDENES'!$A282="","",IF('ORDENES'!$D282="","-",'ORDENES'!$D282))</f>
        <v/>
      </c>
      <c r="J304" s="3">
        <f>IF('ORDENES'!$A282="","",IF('ORDENES'!$E282="","-",'ORDENES'!$E282))</f>
        <v/>
      </c>
      <c r="K304" s="12">
        <f>IF('ORDENES'!$A282="","",IF('ORDENES'!$M282="",0,'ORDENES'!$M282))</f>
        <v/>
      </c>
      <c r="L304" s="3">
        <f>IF('ORDENES'!$A282="","",IF('ORDENES'!$N282="","-",'ORDENES'!$N282))</f>
        <v/>
      </c>
      <c r="M304" s="3">
        <f>IF('ORDENES'!$A282="","",'ORDENES'!$AA282)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IF('ORDENES'!$A283="","",IF('ORDENES'!$AC283="","-",'ORDENES'!$AC283))</f>
        <v/>
      </c>
      <c r="D305" s="3">
        <f>IF('ORDENES'!$A283="","",IF('ORDENES'!$V283="","-",'ORDENES'!$V283))</f>
        <v/>
      </c>
      <c r="E305" s="3">
        <f>IF('ORDENES'!$A283="","",IF('ORDENES'!$U283="","-",'ORDENES'!$U283))</f>
        <v/>
      </c>
      <c r="F305" s="3">
        <f>IF('ORDENES'!$A283="","",IF('ORDENES'!$W283="","-",'ORDENES'!$W283))</f>
        <v/>
      </c>
      <c r="G305" s="3">
        <f>IF('ORDENES'!$A283="","",IF('ORDENES'!$AB283="","-",'ORDENES'!$AB283))</f>
        <v/>
      </c>
      <c r="H305" s="3">
        <f>IF('ORDENES'!$A283="","",IF('ORDENES'!$AN283="","-",'ORDENES'!$AN283))</f>
        <v/>
      </c>
      <c r="I305" s="3">
        <f>IF('ORDENES'!$A283="","",IF('ORDENES'!$D283="","-",'ORDENES'!$D283))</f>
        <v/>
      </c>
      <c r="J305" s="3">
        <f>IF('ORDENES'!$A283="","",IF('ORDENES'!$E283="","-",'ORDENES'!$E283))</f>
        <v/>
      </c>
      <c r="K305" s="12">
        <f>IF('ORDENES'!$A283="","",IF('ORDENES'!$M283="",0,'ORDENES'!$M283))</f>
        <v/>
      </c>
      <c r="L305" s="3">
        <f>IF('ORDENES'!$A283="","",IF('ORDENES'!$N283="","-",'ORDENES'!$N283))</f>
        <v/>
      </c>
      <c r="M305" s="3">
        <f>IF('ORDENES'!$A283="","",'ORDENES'!$AA283)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IF('ORDENES'!$A284="","",IF('ORDENES'!$AC284="","-",'ORDENES'!$AC284))</f>
        <v/>
      </c>
      <c r="D306" s="3">
        <f>IF('ORDENES'!$A284="","",IF('ORDENES'!$V284="","-",'ORDENES'!$V284))</f>
        <v/>
      </c>
      <c r="E306" s="3">
        <f>IF('ORDENES'!$A284="","",IF('ORDENES'!$U284="","-",'ORDENES'!$U284))</f>
        <v/>
      </c>
      <c r="F306" s="3">
        <f>IF('ORDENES'!$A284="","",IF('ORDENES'!$W284="","-",'ORDENES'!$W284))</f>
        <v/>
      </c>
      <c r="G306" s="3">
        <f>IF('ORDENES'!$A284="","",IF('ORDENES'!$AB284="","-",'ORDENES'!$AB284))</f>
        <v/>
      </c>
      <c r="H306" s="3">
        <f>IF('ORDENES'!$A284="","",IF('ORDENES'!$AN284="","-",'ORDENES'!$AN284))</f>
        <v/>
      </c>
      <c r="I306" s="3">
        <f>IF('ORDENES'!$A284="","",IF('ORDENES'!$D284="","-",'ORDENES'!$D284))</f>
        <v/>
      </c>
      <c r="J306" s="3">
        <f>IF('ORDENES'!$A284="","",IF('ORDENES'!$E284="","-",'ORDENES'!$E284))</f>
        <v/>
      </c>
      <c r="K306" s="12">
        <f>IF('ORDENES'!$A284="","",IF('ORDENES'!$M284="",0,'ORDENES'!$M284))</f>
        <v/>
      </c>
      <c r="L306" s="3">
        <f>IF('ORDENES'!$A284="","",IF('ORDENES'!$N284="","-",'ORDENES'!$N284))</f>
        <v/>
      </c>
      <c r="M306" s="3">
        <f>IF('ORDENES'!$A284="","",'ORDENES'!$AA284)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IF('ORDENES'!$A285="","",IF('ORDENES'!$AC285="","-",'ORDENES'!$AC285))</f>
        <v/>
      </c>
      <c r="D307" s="3">
        <f>IF('ORDENES'!$A285="","",IF('ORDENES'!$V285="","-",'ORDENES'!$V285))</f>
        <v/>
      </c>
      <c r="E307" s="3">
        <f>IF('ORDENES'!$A285="","",IF('ORDENES'!$U285="","-",'ORDENES'!$U285))</f>
        <v/>
      </c>
      <c r="F307" s="3">
        <f>IF('ORDENES'!$A285="","",IF('ORDENES'!$W285="","-",'ORDENES'!$W285))</f>
        <v/>
      </c>
      <c r="G307" s="3">
        <f>IF('ORDENES'!$A285="","",IF('ORDENES'!$AB285="","-",'ORDENES'!$AB285))</f>
        <v/>
      </c>
      <c r="H307" s="3">
        <f>IF('ORDENES'!$A285="","",IF('ORDENES'!$AN285="","-",'ORDENES'!$AN285))</f>
        <v/>
      </c>
      <c r="I307" s="3">
        <f>IF('ORDENES'!$A285="","",IF('ORDENES'!$D285="","-",'ORDENES'!$D285))</f>
        <v/>
      </c>
      <c r="J307" s="3">
        <f>IF('ORDENES'!$A285="","",IF('ORDENES'!$E285="","-",'ORDENES'!$E285))</f>
        <v/>
      </c>
      <c r="K307" s="12">
        <f>IF('ORDENES'!$A285="","",IF('ORDENES'!$M285="",0,'ORDENES'!$M285))</f>
        <v/>
      </c>
      <c r="L307" s="3">
        <f>IF('ORDENES'!$A285="","",IF('ORDENES'!$N285="","-",'ORDENES'!$N285))</f>
        <v/>
      </c>
      <c r="M307" s="3">
        <f>IF('ORDENES'!$A285="","",'ORDENES'!$AA285)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IF('ORDENES'!$A286="","",IF('ORDENES'!$AC286="","-",'ORDENES'!$AC286))</f>
        <v/>
      </c>
      <c r="D308" s="3">
        <f>IF('ORDENES'!$A286="","",IF('ORDENES'!$V286="","-",'ORDENES'!$V286))</f>
        <v/>
      </c>
      <c r="E308" s="3">
        <f>IF('ORDENES'!$A286="","",IF('ORDENES'!$U286="","-",'ORDENES'!$U286))</f>
        <v/>
      </c>
      <c r="F308" s="3">
        <f>IF('ORDENES'!$A286="","",IF('ORDENES'!$W286="","-",'ORDENES'!$W286))</f>
        <v/>
      </c>
      <c r="G308" s="3">
        <f>IF('ORDENES'!$A286="","",IF('ORDENES'!$AB286="","-",'ORDENES'!$AB286))</f>
        <v/>
      </c>
      <c r="H308" s="3">
        <f>IF('ORDENES'!$A286="","",IF('ORDENES'!$AN286="","-",'ORDENES'!$AN286))</f>
        <v/>
      </c>
      <c r="I308" s="3">
        <f>IF('ORDENES'!$A286="","",IF('ORDENES'!$D286="","-",'ORDENES'!$D286))</f>
        <v/>
      </c>
      <c r="J308" s="3">
        <f>IF('ORDENES'!$A286="","",IF('ORDENES'!$E286="","-",'ORDENES'!$E286))</f>
        <v/>
      </c>
      <c r="K308" s="12">
        <f>IF('ORDENES'!$A286="","",IF('ORDENES'!$M286="",0,'ORDENES'!$M286))</f>
        <v/>
      </c>
      <c r="L308" s="3">
        <f>IF('ORDENES'!$A286="","",IF('ORDENES'!$N286="","-",'ORDENES'!$N286))</f>
        <v/>
      </c>
      <c r="M308" s="3">
        <f>IF('ORDENES'!$A286="","",'ORDENES'!$AA286)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IF('ORDENES'!$A287="","",IF('ORDENES'!$AC287="","-",'ORDENES'!$AC287))</f>
        <v/>
      </c>
      <c r="D309" s="3">
        <f>IF('ORDENES'!$A287="","",IF('ORDENES'!$V287="","-",'ORDENES'!$V287))</f>
        <v/>
      </c>
      <c r="E309" s="3">
        <f>IF('ORDENES'!$A287="","",IF('ORDENES'!$U287="","-",'ORDENES'!$U287))</f>
        <v/>
      </c>
      <c r="F309" s="3">
        <f>IF('ORDENES'!$A287="","",IF('ORDENES'!$W287="","-",'ORDENES'!$W287))</f>
        <v/>
      </c>
      <c r="G309" s="3">
        <f>IF('ORDENES'!$A287="","",IF('ORDENES'!$AB287="","-",'ORDENES'!$AB287))</f>
        <v/>
      </c>
      <c r="H309" s="3">
        <f>IF('ORDENES'!$A287="","",IF('ORDENES'!$AN287="","-",'ORDENES'!$AN287))</f>
        <v/>
      </c>
      <c r="I309" s="3">
        <f>IF('ORDENES'!$A287="","",IF('ORDENES'!$D287="","-",'ORDENES'!$D287))</f>
        <v/>
      </c>
      <c r="J309" s="3">
        <f>IF('ORDENES'!$A287="","",IF('ORDENES'!$E287="","-",'ORDENES'!$E287))</f>
        <v/>
      </c>
      <c r="K309" s="12">
        <f>IF('ORDENES'!$A287="","",IF('ORDENES'!$M287="",0,'ORDENES'!$M287))</f>
        <v/>
      </c>
      <c r="L309" s="3">
        <f>IF('ORDENES'!$A287="","",IF('ORDENES'!$N287="","-",'ORDENES'!$N287))</f>
        <v/>
      </c>
      <c r="M309" s="3">
        <f>IF('ORDENES'!$A287="","",'ORDENES'!$AA287)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IF('ORDENES'!$A288="","",IF('ORDENES'!$AC288="","-",'ORDENES'!$AC288))</f>
        <v/>
      </c>
      <c r="D310" s="3">
        <f>IF('ORDENES'!$A288="","",IF('ORDENES'!$V288="","-",'ORDENES'!$V288))</f>
        <v/>
      </c>
      <c r="E310" s="3">
        <f>IF('ORDENES'!$A288="","",IF('ORDENES'!$U288="","-",'ORDENES'!$U288))</f>
        <v/>
      </c>
      <c r="F310" s="3">
        <f>IF('ORDENES'!$A288="","",IF('ORDENES'!$W288="","-",'ORDENES'!$W288))</f>
        <v/>
      </c>
      <c r="G310" s="3">
        <f>IF('ORDENES'!$A288="","",IF('ORDENES'!$AB288="","-",'ORDENES'!$AB288))</f>
        <v/>
      </c>
      <c r="H310" s="3">
        <f>IF('ORDENES'!$A288="","",IF('ORDENES'!$AN288="","-",'ORDENES'!$AN288))</f>
        <v/>
      </c>
      <c r="I310" s="3">
        <f>IF('ORDENES'!$A288="","",IF('ORDENES'!$D288="","-",'ORDENES'!$D288))</f>
        <v/>
      </c>
      <c r="J310" s="3">
        <f>IF('ORDENES'!$A288="","",IF('ORDENES'!$E288="","-",'ORDENES'!$E288))</f>
        <v/>
      </c>
      <c r="K310" s="12">
        <f>IF('ORDENES'!$A288="","",IF('ORDENES'!$M288="",0,'ORDENES'!$M288))</f>
        <v/>
      </c>
      <c r="L310" s="3">
        <f>IF('ORDENES'!$A288="","",IF('ORDENES'!$N288="","-",'ORDENES'!$N288))</f>
        <v/>
      </c>
      <c r="M310" s="3">
        <f>IF('ORDENES'!$A288="","",'ORDENES'!$AA288)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IF('ORDENES'!$A289="","",IF('ORDENES'!$AC289="","-",'ORDENES'!$AC289))</f>
        <v/>
      </c>
      <c r="D311" s="3">
        <f>IF('ORDENES'!$A289="","",IF('ORDENES'!$V289="","-",'ORDENES'!$V289))</f>
        <v/>
      </c>
      <c r="E311" s="3">
        <f>IF('ORDENES'!$A289="","",IF('ORDENES'!$U289="","-",'ORDENES'!$U289))</f>
        <v/>
      </c>
      <c r="F311" s="3">
        <f>IF('ORDENES'!$A289="","",IF('ORDENES'!$W289="","-",'ORDENES'!$W289))</f>
        <v/>
      </c>
      <c r="G311" s="3">
        <f>IF('ORDENES'!$A289="","",IF('ORDENES'!$AB289="","-",'ORDENES'!$AB289))</f>
        <v/>
      </c>
      <c r="H311" s="3">
        <f>IF('ORDENES'!$A289="","",IF('ORDENES'!$AN289="","-",'ORDENES'!$AN289))</f>
        <v/>
      </c>
      <c r="I311" s="3">
        <f>IF('ORDENES'!$A289="","",IF('ORDENES'!$D289="","-",'ORDENES'!$D289))</f>
        <v/>
      </c>
      <c r="J311" s="3">
        <f>IF('ORDENES'!$A289="","",IF('ORDENES'!$E289="","-",'ORDENES'!$E289))</f>
        <v/>
      </c>
      <c r="K311" s="12">
        <f>IF('ORDENES'!$A289="","",IF('ORDENES'!$M289="",0,'ORDENES'!$M289))</f>
        <v/>
      </c>
      <c r="L311" s="3">
        <f>IF('ORDENES'!$A289="","",IF('ORDENES'!$N289="","-",'ORDENES'!$N289))</f>
        <v/>
      </c>
      <c r="M311" s="3">
        <f>IF('ORDENES'!$A289="","",'ORDENES'!$AA289)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IF('ORDENES'!$A290="","",IF('ORDENES'!$AC290="","-",'ORDENES'!$AC290))</f>
        <v/>
      </c>
      <c r="D312" s="3">
        <f>IF('ORDENES'!$A290="","",IF('ORDENES'!$V290="","-",'ORDENES'!$V290))</f>
        <v/>
      </c>
      <c r="E312" s="3">
        <f>IF('ORDENES'!$A290="","",IF('ORDENES'!$U290="","-",'ORDENES'!$U290))</f>
        <v/>
      </c>
      <c r="F312" s="3">
        <f>IF('ORDENES'!$A290="","",IF('ORDENES'!$W290="","-",'ORDENES'!$W290))</f>
        <v/>
      </c>
      <c r="G312" s="3">
        <f>IF('ORDENES'!$A290="","",IF('ORDENES'!$AB290="","-",'ORDENES'!$AB290))</f>
        <v/>
      </c>
      <c r="H312" s="3">
        <f>IF('ORDENES'!$A290="","",IF('ORDENES'!$AN290="","-",'ORDENES'!$AN290))</f>
        <v/>
      </c>
      <c r="I312" s="3">
        <f>IF('ORDENES'!$A290="","",IF('ORDENES'!$D290="","-",'ORDENES'!$D290))</f>
        <v/>
      </c>
      <c r="J312" s="3">
        <f>IF('ORDENES'!$A290="","",IF('ORDENES'!$E290="","-",'ORDENES'!$E290))</f>
        <v/>
      </c>
      <c r="K312" s="12">
        <f>IF('ORDENES'!$A290="","",IF('ORDENES'!$M290="",0,'ORDENES'!$M290))</f>
        <v/>
      </c>
      <c r="L312" s="3">
        <f>IF('ORDENES'!$A290="","",IF('ORDENES'!$N290="","-",'ORDENES'!$N290))</f>
        <v/>
      </c>
      <c r="M312" s="3">
        <f>IF('ORDENES'!$A290="","",'ORDENES'!$AA290)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IF('ORDENES'!$A291="","",IF('ORDENES'!$AC291="","-",'ORDENES'!$AC291))</f>
        <v/>
      </c>
      <c r="D313" s="3">
        <f>IF('ORDENES'!$A291="","",IF('ORDENES'!$V291="","-",'ORDENES'!$V291))</f>
        <v/>
      </c>
      <c r="E313" s="3">
        <f>IF('ORDENES'!$A291="","",IF('ORDENES'!$U291="","-",'ORDENES'!$U291))</f>
        <v/>
      </c>
      <c r="F313" s="3">
        <f>IF('ORDENES'!$A291="","",IF('ORDENES'!$W291="","-",'ORDENES'!$W291))</f>
        <v/>
      </c>
      <c r="G313" s="3">
        <f>IF('ORDENES'!$A291="","",IF('ORDENES'!$AB291="","-",'ORDENES'!$AB291))</f>
        <v/>
      </c>
      <c r="H313" s="3">
        <f>IF('ORDENES'!$A291="","",IF('ORDENES'!$AN291="","-",'ORDENES'!$AN291))</f>
        <v/>
      </c>
      <c r="I313" s="3">
        <f>IF('ORDENES'!$A291="","",IF('ORDENES'!$D291="","-",'ORDENES'!$D291))</f>
        <v/>
      </c>
      <c r="J313" s="3">
        <f>IF('ORDENES'!$A291="","",IF('ORDENES'!$E291="","-",'ORDENES'!$E291))</f>
        <v/>
      </c>
      <c r="K313" s="12">
        <f>IF('ORDENES'!$A291="","",IF('ORDENES'!$M291="",0,'ORDENES'!$M291))</f>
        <v/>
      </c>
      <c r="L313" s="3">
        <f>IF('ORDENES'!$A291="","",IF('ORDENES'!$N291="","-",'ORDENES'!$N291))</f>
        <v/>
      </c>
      <c r="M313" s="3">
        <f>IF('ORDENES'!$A291="","",'ORDENES'!$AA291)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IF('ORDENES'!$A292="","",IF('ORDENES'!$AC292="","-",'ORDENES'!$AC292))</f>
        <v/>
      </c>
      <c r="D314" s="3">
        <f>IF('ORDENES'!$A292="","",IF('ORDENES'!$V292="","-",'ORDENES'!$V292))</f>
        <v/>
      </c>
      <c r="E314" s="3">
        <f>IF('ORDENES'!$A292="","",IF('ORDENES'!$U292="","-",'ORDENES'!$U292))</f>
        <v/>
      </c>
      <c r="F314" s="3">
        <f>IF('ORDENES'!$A292="","",IF('ORDENES'!$W292="","-",'ORDENES'!$W292))</f>
        <v/>
      </c>
      <c r="G314" s="3">
        <f>IF('ORDENES'!$A292="","",IF('ORDENES'!$AB292="","-",'ORDENES'!$AB292))</f>
        <v/>
      </c>
      <c r="H314" s="3">
        <f>IF('ORDENES'!$A292="","",IF('ORDENES'!$AN292="","-",'ORDENES'!$AN292))</f>
        <v/>
      </c>
      <c r="I314" s="3">
        <f>IF('ORDENES'!$A292="","",IF('ORDENES'!$D292="","-",'ORDENES'!$D292))</f>
        <v/>
      </c>
      <c r="J314" s="3">
        <f>IF('ORDENES'!$A292="","",IF('ORDENES'!$E292="","-",'ORDENES'!$E292))</f>
        <v/>
      </c>
      <c r="K314" s="12">
        <f>IF('ORDENES'!$A292="","",IF('ORDENES'!$M292="",0,'ORDENES'!$M292))</f>
        <v/>
      </c>
      <c r="L314" s="3">
        <f>IF('ORDENES'!$A292="","",IF('ORDENES'!$N292="","-",'ORDENES'!$N292))</f>
        <v/>
      </c>
      <c r="M314" s="3">
        <f>IF('ORDENES'!$A292="","",'ORDENES'!$AA292)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IF('ORDENES'!$A293="","",IF('ORDENES'!$AC293="","-",'ORDENES'!$AC293))</f>
        <v/>
      </c>
      <c r="D315" s="3">
        <f>IF('ORDENES'!$A293="","",IF('ORDENES'!$V293="","-",'ORDENES'!$V293))</f>
        <v/>
      </c>
      <c r="E315" s="3">
        <f>IF('ORDENES'!$A293="","",IF('ORDENES'!$U293="","-",'ORDENES'!$U293))</f>
        <v/>
      </c>
      <c r="F315" s="3">
        <f>IF('ORDENES'!$A293="","",IF('ORDENES'!$W293="","-",'ORDENES'!$W293))</f>
        <v/>
      </c>
      <c r="G315" s="3">
        <f>IF('ORDENES'!$A293="","",IF('ORDENES'!$AB293="","-",'ORDENES'!$AB293))</f>
        <v/>
      </c>
      <c r="H315" s="3">
        <f>IF('ORDENES'!$A293="","",IF('ORDENES'!$AN293="","-",'ORDENES'!$AN293))</f>
        <v/>
      </c>
      <c r="I315" s="3">
        <f>IF('ORDENES'!$A293="","",IF('ORDENES'!$D293="","-",'ORDENES'!$D293))</f>
        <v/>
      </c>
      <c r="J315" s="3">
        <f>IF('ORDENES'!$A293="","",IF('ORDENES'!$E293="","-",'ORDENES'!$E293))</f>
        <v/>
      </c>
      <c r="K315" s="12">
        <f>IF('ORDENES'!$A293="","",IF('ORDENES'!$M293="",0,'ORDENES'!$M293))</f>
        <v/>
      </c>
      <c r="L315" s="3">
        <f>IF('ORDENES'!$A293="","",IF('ORDENES'!$N293="","-",'ORDENES'!$N293))</f>
        <v/>
      </c>
      <c r="M315" s="3">
        <f>IF('ORDENES'!$A293="","",'ORDENES'!$AA293)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IF('ORDENES'!$A294="","",IF('ORDENES'!$AC294="","-",'ORDENES'!$AC294))</f>
        <v/>
      </c>
      <c r="D316" s="3">
        <f>IF('ORDENES'!$A294="","",IF('ORDENES'!$V294="","-",'ORDENES'!$V294))</f>
        <v/>
      </c>
      <c r="E316" s="3">
        <f>IF('ORDENES'!$A294="","",IF('ORDENES'!$U294="","-",'ORDENES'!$U294))</f>
        <v/>
      </c>
      <c r="F316" s="3">
        <f>IF('ORDENES'!$A294="","",IF('ORDENES'!$W294="","-",'ORDENES'!$W294))</f>
        <v/>
      </c>
      <c r="G316" s="3">
        <f>IF('ORDENES'!$A294="","",IF('ORDENES'!$AB294="","-",'ORDENES'!$AB294))</f>
        <v/>
      </c>
      <c r="H316" s="3">
        <f>IF('ORDENES'!$A294="","",IF('ORDENES'!$AN294="","-",'ORDENES'!$AN294))</f>
        <v/>
      </c>
      <c r="I316" s="3">
        <f>IF('ORDENES'!$A294="","",IF('ORDENES'!$D294="","-",'ORDENES'!$D294))</f>
        <v/>
      </c>
      <c r="J316" s="3">
        <f>IF('ORDENES'!$A294="","",IF('ORDENES'!$E294="","-",'ORDENES'!$E294))</f>
        <v/>
      </c>
      <c r="K316" s="12">
        <f>IF('ORDENES'!$A294="","",IF('ORDENES'!$M294="",0,'ORDENES'!$M294))</f>
        <v/>
      </c>
      <c r="L316" s="3">
        <f>IF('ORDENES'!$A294="","",IF('ORDENES'!$N294="","-",'ORDENES'!$N294))</f>
        <v/>
      </c>
      <c r="M316" s="3">
        <f>IF('ORDENES'!$A294="","",'ORDENES'!$AA294)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IF('ORDENES'!$A295="","",IF('ORDENES'!$AC295="","-",'ORDENES'!$AC295))</f>
        <v/>
      </c>
      <c r="D317" s="3">
        <f>IF('ORDENES'!$A295="","",IF('ORDENES'!$V295="","-",'ORDENES'!$V295))</f>
        <v/>
      </c>
      <c r="E317" s="3">
        <f>IF('ORDENES'!$A295="","",IF('ORDENES'!$U295="","-",'ORDENES'!$U295))</f>
        <v/>
      </c>
      <c r="F317" s="3">
        <f>IF('ORDENES'!$A295="","",IF('ORDENES'!$W295="","-",'ORDENES'!$W295))</f>
        <v/>
      </c>
      <c r="G317" s="3">
        <f>IF('ORDENES'!$A295="","",IF('ORDENES'!$AB295="","-",'ORDENES'!$AB295))</f>
        <v/>
      </c>
      <c r="H317" s="3">
        <f>IF('ORDENES'!$A295="","",IF('ORDENES'!$AN295="","-",'ORDENES'!$AN295))</f>
        <v/>
      </c>
      <c r="I317" s="3">
        <f>IF('ORDENES'!$A295="","",IF('ORDENES'!$D295="","-",'ORDENES'!$D295))</f>
        <v/>
      </c>
      <c r="J317" s="3">
        <f>IF('ORDENES'!$A295="","",IF('ORDENES'!$E295="","-",'ORDENES'!$E295))</f>
        <v/>
      </c>
      <c r="K317" s="12">
        <f>IF('ORDENES'!$A295="","",IF('ORDENES'!$M295="",0,'ORDENES'!$M295))</f>
        <v/>
      </c>
      <c r="L317" s="3">
        <f>IF('ORDENES'!$A295="","",IF('ORDENES'!$N295="","-",'ORDENES'!$N295))</f>
        <v/>
      </c>
      <c r="M317" s="3">
        <f>IF('ORDENES'!$A295="","",'ORDENES'!$AA295)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IF('ORDENES'!$A296="","",IF('ORDENES'!$AC296="","-",'ORDENES'!$AC296))</f>
        <v/>
      </c>
      <c r="D318" s="3">
        <f>IF('ORDENES'!$A296="","",IF('ORDENES'!$V296="","-",'ORDENES'!$V296))</f>
        <v/>
      </c>
      <c r="E318" s="3">
        <f>IF('ORDENES'!$A296="","",IF('ORDENES'!$U296="","-",'ORDENES'!$U296))</f>
        <v/>
      </c>
      <c r="F318" s="3">
        <f>IF('ORDENES'!$A296="","",IF('ORDENES'!$W296="","-",'ORDENES'!$W296))</f>
        <v/>
      </c>
      <c r="G318" s="3">
        <f>IF('ORDENES'!$A296="","",IF('ORDENES'!$AB296="","-",'ORDENES'!$AB296))</f>
        <v/>
      </c>
      <c r="H318" s="3">
        <f>IF('ORDENES'!$A296="","",IF('ORDENES'!$AN296="","-",'ORDENES'!$AN296))</f>
        <v/>
      </c>
      <c r="I318" s="3">
        <f>IF('ORDENES'!$A296="","",IF('ORDENES'!$D296="","-",'ORDENES'!$D296))</f>
        <v/>
      </c>
      <c r="J318" s="3">
        <f>IF('ORDENES'!$A296="","",IF('ORDENES'!$E296="","-",'ORDENES'!$E296))</f>
        <v/>
      </c>
      <c r="K318" s="12">
        <f>IF('ORDENES'!$A296="","",IF('ORDENES'!$M296="",0,'ORDENES'!$M296))</f>
        <v/>
      </c>
      <c r="L318" s="3">
        <f>IF('ORDENES'!$A296="","",IF('ORDENES'!$N296="","-",'ORDENES'!$N296))</f>
        <v/>
      </c>
      <c r="M318" s="3">
        <f>IF('ORDENES'!$A296="","",'ORDENES'!$AA296)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IF('ORDENES'!$A297="","",IF('ORDENES'!$AC297="","-",'ORDENES'!$AC297))</f>
        <v/>
      </c>
      <c r="D319" s="3">
        <f>IF('ORDENES'!$A297="","",IF('ORDENES'!$V297="","-",'ORDENES'!$V297))</f>
        <v/>
      </c>
      <c r="E319" s="3">
        <f>IF('ORDENES'!$A297="","",IF('ORDENES'!$U297="","-",'ORDENES'!$U297))</f>
        <v/>
      </c>
      <c r="F319" s="3">
        <f>IF('ORDENES'!$A297="","",IF('ORDENES'!$W297="","-",'ORDENES'!$W297))</f>
        <v/>
      </c>
      <c r="G319" s="3">
        <f>IF('ORDENES'!$A297="","",IF('ORDENES'!$AB297="","-",'ORDENES'!$AB297))</f>
        <v/>
      </c>
      <c r="H319" s="3">
        <f>IF('ORDENES'!$A297="","",IF('ORDENES'!$AN297="","-",'ORDENES'!$AN297))</f>
        <v/>
      </c>
      <c r="I319" s="3">
        <f>IF('ORDENES'!$A297="","",IF('ORDENES'!$D297="","-",'ORDENES'!$D297))</f>
        <v/>
      </c>
      <c r="J319" s="3">
        <f>IF('ORDENES'!$A297="","",IF('ORDENES'!$E297="","-",'ORDENES'!$E297))</f>
        <v/>
      </c>
      <c r="K319" s="12">
        <f>IF('ORDENES'!$A297="","",IF('ORDENES'!$M297="",0,'ORDENES'!$M297))</f>
        <v/>
      </c>
      <c r="L319" s="3">
        <f>IF('ORDENES'!$A297="","",IF('ORDENES'!$N297="","-",'ORDENES'!$N297))</f>
        <v/>
      </c>
      <c r="M319" s="3">
        <f>IF('ORDENES'!$A297="","",'ORDENES'!$AA297)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IF('ORDENES'!$A298="","",IF('ORDENES'!$AC298="","-",'ORDENES'!$AC298))</f>
        <v/>
      </c>
      <c r="D320" s="3">
        <f>IF('ORDENES'!$A298="","",IF('ORDENES'!$V298="","-",'ORDENES'!$V298))</f>
        <v/>
      </c>
      <c r="E320" s="3">
        <f>IF('ORDENES'!$A298="","",IF('ORDENES'!$U298="","-",'ORDENES'!$U298))</f>
        <v/>
      </c>
      <c r="F320" s="3">
        <f>IF('ORDENES'!$A298="","",IF('ORDENES'!$W298="","-",'ORDENES'!$W298))</f>
        <v/>
      </c>
      <c r="G320" s="3">
        <f>IF('ORDENES'!$A298="","",IF('ORDENES'!$AB298="","-",'ORDENES'!$AB298))</f>
        <v/>
      </c>
      <c r="H320" s="3">
        <f>IF('ORDENES'!$A298="","",IF('ORDENES'!$AN298="","-",'ORDENES'!$AN298))</f>
        <v/>
      </c>
      <c r="I320" s="3">
        <f>IF('ORDENES'!$A298="","",IF('ORDENES'!$D298="","-",'ORDENES'!$D298))</f>
        <v/>
      </c>
      <c r="J320" s="3">
        <f>IF('ORDENES'!$A298="","",IF('ORDENES'!$E298="","-",'ORDENES'!$E298))</f>
        <v/>
      </c>
      <c r="K320" s="12">
        <f>IF('ORDENES'!$A298="","",IF('ORDENES'!$M298="",0,'ORDENES'!$M298))</f>
        <v/>
      </c>
      <c r="L320" s="3">
        <f>IF('ORDENES'!$A298="","",IF('ORDENES'!$N298="","-",'ORDENES'!$N298))</f>
        <v/>
      </c>
      <c r="M320" s="3">
        <f>IF('ORDENES'!$A298="","",'ORDENES'!$AA298)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IF('ORDENES'!$A299="","",IF('ORDENES'!$AC299="","-",'ORDENES'!$AC299))</f>
        <v/>
      </c>
      <c r="D321" s="3">
        <f>IF('ORDENES'!$A299="","",IF('ORDENES'!$V299="","-",'ORDENES'!$V299))</f>
        <v/>
      </c>
      <c r="E321" s="3">
        <f>IF('ORDENES'!$A299="","",IF('ORDENES'!$U299="","-",'ORDENES'!$U299))</f>
        <v/>
      </c>
      <c r="F321" s="3">
        <f>IF('ORDENES'!$A299="","",IF('ORDENES'!$W299="","-",'ORDENES'!$W299))</f>
        <v/>
      </c>
      <c r="G321" s="3">
        <f>IF('ORDENES'!$A299="","",IF('ORDENES'!$AB299="","-",'ORDENES'!$AB299))</f>
        <v/>
      </c>
      <c r="H321" s="3">
        <f>IF('ORDENES'!$A299="","",IF('ORDENES'!$AN299="","-",'ORDENES'!$AN299))</f>
        <v/>
      </c>
      <c r="I321" s="3">
        <f>IF('ORDENES'!$A299="","",IF('ORDENES'!$D299="","-",'ORDENES'!$D299))</f>
        <v/>
      </c>
      <c r="J321" s="3">
        <f>IF('ORDENES'!$A299="","",IF('ORDENES'!$E299="","-",'ORDENES'!$E299))</f>
        <v/>
      </c>
      <c r="K321" s="12">
        <f>IF('ORDENES'!$A299="","",IF('ORDENES'!$M299="",0,'ORDENES'!$M299))</f>
        <v/>
      </c>
      <c r="L321" s="3">
        <f>IF('ORDENES'!$A299="","",IF('ORDENES'!$N299="","-",'ORDENES'!$N299))</f>
        <v/>
      </c>
      <c r="M321" s="3">
        <f>IF('ORDENES'!$A299="","",'ORDENES'!$AA299)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IF('ORDENES'!$A300="","",IF('ORDENES'!$AC300="","-",'ORDENES'!$AC300))</f>
        <v/>
      </c>
      <c r="D322" s="3">
        <f>IF('ORDENES'!$A300="","",IF('ORDENES'!$V300="","-",'ORDENES'!$V300))</f>
        <v/>
      </c>
      <c r="E322" s="3">
        <f>IF('ORDENES'!$A300="","",IF('ORDENES'!$U300="","-",'ORDENES'!$U300))</f>
        <v/>
      </c>
      <c r="F322" s="3">
        <f>IF('ORDENES'!$A300="","",IF('ORDENES'!$W300="","-",'ORDENES'!$W300))</f>
        <v/>
      </c>
      <c r="G322" s="3">
        <f>IF('ORDENES'!$A300="","",IF('ORDENES'!$AB300="","-",'ORDENES'!$AB300))</f>
        <v/>
      </c>
      <c r="H322" s="3">
        <f>IF('ORDENES'!$A300="","",IF('ORDENES'!$AN300="","-",'ORDENES'!$AN300))</f>
        <v/>
      </c>
      <c r="I322" s="3">
        <f>IF('ORDENES'!$A300="","",IF('ORDENES'!$D300="","-",'ORDENES'!$D300))</f>
        <v/>
      </c>
      <c r="J322" s="3">
        <f>IF('ORDENES'!$A300="","",IF('ORDENES'!$E300="","-",'ORDENES'!$E300))</f>
        <v/>
      </c>
      <c r="K322" s="12">
        <f>IF('ORDENES'!$A300="","",IF('ORDENES'!$M300="",0,'ORDENES'!$M300))</f>
        <v/>
      </c>
      <c r="L322" s="3">
        <f>IF('ORDENES'!$A300="","",IF('ORDENES'!$N300="","-",'ORDENES'!$N300))</f>
        <v/>
      </c>
      <c r="M322" s="3">
        <f>IF('ORDENES'!$A300="","",'ORDENES'!$AA300)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IF('ORDENES'!$A301="","",IF('ORDENES'!$AC301="","-",'ORDENES'!$AC301))</f>
        <v/>
      </c>
      <c r="D323" s="3">
        <f>IF('ORDENES'!$A301="","",IF('ORDENES'!$V301="","-",'ORDENES'!$V301))</f>
        <v/>
      </c>
      <c r="E323" s="3">
        <f>IF('ORDENES'!$A301="","",IF('ORDENES'!$U301="","-",'ORDENES'!$U301))</f>
        <v/>
      </c>
      <c r="F323" s="3">
        <f>IF('ORDENES'!$A301="","",IF('ORDENES'!$W301="","-",'ORDENES'!$W301))</f>
        <v/>
      </c>
      <c r="G323" s="3">
        <f>IF('ORDENES'!$A301="","",IF('ORDENES'!$AB301="","-",'ORDENES'!$AB301))</f>
        <v/>
      </c>
      <c r="H323" s="3">
        <f>IF('ORDENES'!$A301="","",IF('ORDENES'!$AN301="","-",'ORDENES'!$AN301))</f>
        <v/>
      </c>
      <c r="I323" s="3">
        <f>IF('ORDENES'!$A301="","",IF('ORDENES'!$D301="","-",'ORDENES'!$D301))</f>
        <v/>
      </c>
      <c r="J323" s="3">
        <f>IF('ORDENES'!$A301="","",IF('ORDENES'!$E301="","-",'ORDENES'!$E301))</f>
        <v/>
      </c>
      <c r="K323" s="12">
        <f>IF('ORDENES'!$A301="","",IF('ORDENES'!$M301="",0,'ORDENES'!$M301))</f>
        <v/>
      </c>
      <c r="L323" s="3">
        <f>IF('ORDENES'!$A301="","",IF('ORDENES'!$N301="","-",'ORDENES'!$N301))</f>
        <v/>
      </c>
      <c r="M323" s="3">
        <f>IF('ORDENES'!$A301="","",'ORDENES'!$AA301)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IF('ORDENES'!$A302="","",IF('ORDENES'!$AC302="","-",'ORDENES'!$AC302))</f>
        <v/>
      </c>
      <c r="D324" s="3">
        <f>IF('ORDENES'!$A302="","",IF('ORDENES'!$V302="","-",'ORDENES'!$V302))</f>
        <v/>
      </c>
      <c r="E324" s="3">
        <f>IF('ORDENES'!$A302="","",IF('ORDENES'!$U302="","-",'ORDENES'!$U302))</f>
        <v/>
      </c>
      <c r="F324" s="3">
        <f>IF('ORDENES'!$A302="","",IF('ORDENES'!$W302="","-",'ORDENES'!$W302))</f>
        <v/>
      </c>
      <c r="G324" s="3">
        <f>IF('ORDENES'!$A302="","",IF('ORDENES'!$AB302="","-",'ORDENES'!$AB302))</f>
        <v/>
      </c>
      <c r="H324" s="3">
        <f>IF('ORDENES'!$A302="","",IF('ORDENES'!$AN302="","-",'ORDENES'!$AN302))</f>
        <v/>
      </c>
      <c r="I324" s="3">
        <f>IF('ORDENES'!$A302="","",IF('ORDENES'!$D302="","-",'ORDENES'!$D302))</f>
        <v/>
      </c>
      <c r="J324" s="3">
        <f>IF('ORDENES'!$A302="","",IF('ORDENES'!$E302="","-",'ORDENES'!$E302))</f>
        <v/>
      </c>
      <c r="K324" s="12">
        <f>IF('ORDENES'!$A302="","",IF('ORDENES'!$M302="",0,'ORDENES'!$M302))</f>
        <v/>
      </c>
      <c r="L324" s="3">
        <f>IF('ORDENES'!$A302="","",IF('ORDENES'!$N302="","-",'ORDENES'!$N302))</f>
        <v/>
      </c>
      <c r="M324" s="3">
        <f>IF('ORDENES'!$A302="","",'ORDENES'!$AA302)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IF('ORDENES'!$A303="","",IF('ORDENES'!$AC303="","-",'ORDENES'!$AC303))</f>
        <v/>
      </c>
      <c r="D325" s="3">
        <f>IF('ORDENES'!$A303="","",IF('ORDENES'!$V303="","-",'ORDENES'!$V303))</f>
        <v/>
      </c>
      <c r="E325" s="3">
        <f>IF('ORDENES'!$A303="","",IF('ORDENES'!$U303="","-",'ORDENES'!$U303))</f>
        <v/>
      </c>
      <c r="F325" s="3">
        <f>IF('ORDENES'!$A303="","",IF('ORDENES'!$W303="","-",'ORDENES'!$W303))</f>
        <v/>
      </c>
      <c r="G325" s="3">
        <f>IF('ORDENES'!$A303="","",IF('ORDENES'!$AB303="","-",'ORDENES'!$AB303))</f>
        <v/>
      </c>
      <c r="H325" s="3">
        <f>IF('ORDENES'!$A303="","",IF('ORDENES'!$AN303="","-",'ORDENES'!$AN303))</f>
        <v/>
      </c>
      <c r="I325" s="3">
        <f>IF('ORDENES'!$A303="","",IF('ORDENES'!$D303="","-",'ORDENES'!$D303))</f>
        <v/>
      </c>
      <c r="J325" s="3">
        <f>IF('ORDENES'!$A303="","",IF('ORDENES'!$E303="","-",'ORDENES'!$E303))</f>
        <v/>
      </c>
      <c r="K325" s="12">
        <f>IF('ORDENES'!$A303="","",IF('ORDENES'!$M303="",0,'ORDENES'!$M303))</f>
        <v/>
      </c>
      <c r="L325" s="3">
        <f>IF('ORDENES'!$A303="","",IF('ORDENES'!$N303="","-",'ORDENES'!$N303))</f>
        <v/>
      </c>
      <c r="M325" s="3">
        <f>IF('ORDENES'!$A303="","",'ORDENES'!$AA303)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IF('ORDENES'!$A304="","",IF('ORDENES'!$AC304="","-",'ORDENES'!$AC304))</f>
        <v/>
      </c>
      <c r="D326" s="3">
        <f>IF('ORDENES'!$A304="","",IF('ORDENES'!$V304="","-",'ORDENES'!$V304))</f>
        <v/>
      </c>
      <c r="E326" s="3">
        <f>IF('ORDENES'!$A304="","",IF('ORDENES'!$U304="","-",'ORDENES'!$U304))</f>
        <v/>
      </c>
      <c r="F326" s="3">
        <f>IF('ORDENES'!$A304="","",IF('ORDENES'!$W304="","-",'ORDENES'!$W304))</f>
        <v/>
      </c>
      <c r="G326" s="3">
        <f>IF('ORDENES'!$A304="","",IF('ORDENES'!$AB304="","-",'ORDENES'!$AB304))</f>
        <v/>
      </c>
      <c r="H326" s="3">
        <f>IF('ORDENES'!$A304="","",IF('ORDENES'!$AN304="","-",'ORDENES'!$AN304))</f>
        <v/>
      </c>
      <c r="I326" s="3">
        <f>IF('ORDENES'!$A304="","",IF('ORDENES'!$D304="","-",'ORDENES'!$D304))</f>
        <v/>
      </c>
      <c r="J326" s="3">
        <f>IF('ORDENES'!$A304="","",IF('ORDENES'!$E304="","-",'ORDENES'!$E304))</f>
        <v/>
      </c>
      <c r="K326" s="12">
        <f>IF('ORDENES'!$A304="","",IF('ORDENES'!$M304="",0,'ORDENES'!$M304))</f>
        <v/>
      </c>
      <c r="L326" s="3">
        <f>IF('ORDENES'!$A304="","",IF('ORDENES'!$N304="","-",'ORDENES'!$N304))</f>
        <v/>
      </c>
      <c r="M326" s="3">
        <f>IF('ORDENES'!$A304="","",'ORDENES'!$AA304)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IF('ORDENES'!$A305="","",IF('ORDENES'!$AC305="","-",'ORDENES'!$AC305))</f>
        <v/>
      </c>
      <c r="D327" s="3">
        <f>IF('ORDENES'!$A305="","",IF('ORDENES'!$V305="","-",'ORDENES'!$V305))</f>
        <v/>
      </c>
      <c r="E327" s="3">
        <f>IF('ORDENES'!$A305="","",IF('ORDENES'!$U305="","-",'ORDENES'!$U305))</f>
        <v/>
      </c>
      <c r="F327" s="3">
        <f>IF('ORDENES'!$A305="","",IF('ORDENES'!$W305="","-",'ORDENES'!$W305))</f>
        <v/>
      </c>
      <c r="G327" s="3">
        <f>IF('ORDENES'!$A305="","",IF('ORDENES'!$AB305="","-",'ORDENES'!$AB305))</f>
        <v/>
      </c>
      <c r="H327" s="3">
        <f>IF('ORDENES'!$A305="","",IF('ORDENES'!$AN305="","-",'ORDENES'!$AN305))</f>
        <v/>
      </c>
      <c r="I327" s="3">
        <f>IF('ORDENES'!$A305="","",IF('ORDENES'!$D305="","-",'ORDENES'!$D305))</f>
        <v/>
      </c>
      <c r="J327" s="3">
        <f>IF('ORDENES'!$A305="","",IF('ORDENES'!$E305="","-",'ORDENES'!$E305))</f>
        <v/>
      </c>
      <c r="K327" s="12">
        <f>IF('ORDENES'!$A305="","",IF('ORDENES'!$M305="",0,'ORDENES'!$M305))</f>
        <v/>
      </c>
      <c r="L327" s="3">
        <f>IF('ORDENES'!$A305="","",IF('ORDENES'!$N305="","-",'ORDENES'!$N305))</f>
        <v/>
      </c>
      <c r="M327" s="3">
        <f>IF('ORDENES'!$A305="","",'ORDENES'!$AA305)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IF('ORDENES'!$A306="","",IF('ORDENES'!$AC306="","-",'ORDENES'!$AC306))</f>
        <v/>
      </c>
      <c r="D328" s="3">
        <f>IF('ORDENES'!$A306="","",IF('ORDENES'!$V306="","-",'ORDENES'!$V306))</f>
        <v/>
      </c>
      <c r="E328" s="3">
        <f>IF('ORDENES'!$A306="","",IF('ORDENES'!$U306="","-",'ORDENES'!$U306))</f>
        <v/>
      </c>
      <c r="F328" s="3">
        <f>IF('ORDENES'!$A306="","",IF('ORDENES'!$W306="","-",'ORDENES'!$W306))</f>
        <v/>
      </c>
      <c r="G328" s="3">
        <f>IF('ORDENES'!$A306="","",IF('ORDENES'!$AB306="","-",'ORDENES'!$AB306))</f>
        <v/>
      </c>
      <c r="H328" s="3">
        <f>IF('ORDENES'!$A306="","",IF('ORDENES'!$AN306="","-",'ORDENES'!$AN306))</f>
        <v/>
      </c>
      <c r="I328" s="3">
        <f>IF('ORDENES'!$A306="","",IF('ORDENES'!$D306="","-",'ORDENES'!$D306))</f>
        <v/>
      </c>
      <c r="J328" s="3">
        <f>IF('ORDENES'!$A306="","",IF('ORDENES'!$E306="","-",'ORDENES'!$E306))</f>
        <v/>
      </c>
      <c r="K328" s="12">
        <f>IF('ORDENES'!$A306="","",IF('ORDENES'!$M306="",0,'ORDENES'!$M306))</f>
        <v/>
      </c>
      <c r="L328" s="3">
        <f>IF('ORDENES'!$A306="","",IF('ORDENES'!$N306="","-",'ORDENES'!$N306))</f>
        <v/>
      </c>
      <c r="M328" s="3">
        <f>IF('ORDENES'!$A306="","",'ORDENES'!$AA306)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IF('ORDENES'!$A307="","",IF('ORDENES'!$AC307="","-",'ORDENES'!$AC307))</f>
        <v/>
      </c>
      <c r="D329" s="3">
        <f>IF('ORDENES'!$A307="","",IF('ORDENES'!$V307="","-",'ORDENES'!$V307))</f>
        <v/>
      </c>
      <c r="E329" s="3">
        <f>IF('ORDENES'!$A307="","",IF('ORDENES'!$U307="","-",'ORDENES'!$U307))</f>
        <v/>
      </c>
      <c r="F329" s="3">
        <f>IF('ORDENES'!$A307="","",IF('ORDENES'!$W307="","-",'ORDENES'!$W307))</f>
        <v/>
      </c>
      <c r="G329" s="3">
        <f>IF('ORDENES'!$A307="","",IF('ORDENES'!$AB307="","-",'ORDENES'!$AB307))</f>
        <v/>
      </c>
      <c r="H329" s="3">
        <f>IF('ORDENES'!$A307="","",IF('ORDENES'!$AN307="","-",'ORDENES'!$AN307))</f>
        <v/>
      </c>
      <c r="I329" s="3">
        <f>IF('ORDENES'!$A307="","",IF('ORDENES'!$D307="","-",'ORDENES'!$D307))</f>
        <v/>
      </c>
      <c r="J329" s="3">
        <f>IF('ORDENES'!$A307="","",IF('ORDENES'!$E307="","-",'ORDENES'!$E307))</f>
        <v/>
      </c>
      <c r="K329" s="12">
        <f>IF('ORDENES'!$A307="","",IF('ORDENES'!$M307="",0,'ORDENES'!$M307))</f>
        <v/>
      </c>
      <c r="L329" s="3">
        <f>IF('ORDENES'!$A307="","",IF('ORDENES'!$N307="","-",'ORDENES'!$N307))</f>
        <v/>
      </c>
      <c r="M329" s="3">
        <f>IF('ORDENES'!$A307="","",'ORDENES'!$AA307)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IF('ORDENES'!$A308="","",IF('ORDENES'!$AC308="","-",'ORDENES'!$AC308))</f>
        <v/>
      </c>
      <c r="D330" s="3">
        <f>IF('ORDENES'!$A308="","",IF('ORDENES'!$V308="","-",'ORDENES'!$V308))</f>
        <v/>
      </c>
      <c r="E330" s="3">
        <f>IF('ORDENES'!$A308="","",IF('ORDENES'!$U308="","-",'ORDENES'!$U308))</f>
        <v/>
      </c>
      <c r="F330" s="3">
        <f>IF('ORDENES'!$A308="","",IF('ORDENES'!$W308="","-",'ORDENES'!$W308))</f>
        <v/>
      </c>
      <c r="G330" s="3">
        <f>IF('ORDENES'!$A308="","",IF('ORDENES'!$AB308="","-",'ORDENES'!$AB308))</f>
        <v/>
      </c>
      <c r="H330" s="3">
        <f>IF('ORDENES'!$A308="","",IF('ORDENES'!$AN308="","-",'ORDENES'!$AN308))</f>
        <v/>
      </c>
      <c r="I330" s="3">
        <f>IF('ORDENES'!$A308="","",IF('ORDENES'!$D308="","-",'ORDENES'!$D308))</f>
        <v/>
      </c>
      <c r="J330" s="3">
        <f>IF('ORDENES'!$A308="","",IF('ORDENES'!$E308="","-",'ORDENES'!$E308))</f>
        <v/>
      </c>
      <c r="K330" s="12">
        <f>IF('ORDENES'!$A308="","",IF('ORDENES'!$M308="",0,'ORDENES'!$M308))</f>
        <v/>
      </c>
      <c r="L330" s="3">
        <f>IF('ORDENES'!$A308="","",IF('ORDENES'!$N308="","-",'ORDENES'!$N308))</f>
        <v/>
      </c>
      <c r="M330" s="3">
        <f>IF('ORDENES'!$A308="","",'ORDENES'!$AA308)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IF('ORDENES'!$A309="","",IF('ORDENES'!$AC309="","-",'ORDENES'!$AC309))</f>
        <v/>
      </c>
      <c r="D331" s="3">
        <f>IF('ORDENES'!$A309="","",IF('ORDENES'!$V309="","-",'ORDENES'!$V309))</f>
        <v/>
      </c>
      <c r="E331" s="3">
        <f>IF('ORDENES'!$A309="","",IF('ORDENES'!$U309="","-",'ORDENES'!$U309))</f>
        <v/>
      </c>
      <c r="F331" s="3">
        <f>IF('ORDENES'!$A309="","",IF('ORDENES'!$W309="","-",'ORDENES'!$W309))</f>
        <v/>
      </c>
      <c r="G331" s="3">
        <f>IF('ORDENES'!$A309="","",IF('ORDENES'!$AB309="","-",'ORDENES'!$AB309))</f>
        <v/>
      </c>
      <c r="H331" s="3">
        <f>IF('ORDENES'!$A309="","",IF('ORDENES'!$AN309="","-",'ORDENES'!$AN309))</f>
        <v/>
      </c>
      <c r="I331" s="3">
        <f>IF('ORDENES'!$A309="","",IF('ORDENES'!$D309="","-",'ORDENES'!$D309))</f>
        <v/>
      </c>
      <c r="J331" s="3">
        <f>IF('ORDENES'!$A309="","",IF('ORDENES'!$E309="","-",'ORDENES'!$E309))</f>
        <v/>
      </c>
      <c r="K331" s="12">
        <f>IF('ORDENES'!$A309="","",IF('ORDENES'!$M309="",0,'ORDENES'!$M309))</f>
        <v/>
      </c>
      <c r="L331" s="3">
        <f>IF('ORDENES'!$A309="","",IF('ORDENES'!$N309="","-",'ORDENES'!$N309))</f>
        <v/>
      </c>
      <c r="M331" s="3">
        <f>IF('ORDENES'!$A309="","",'ORDENES'!$AA309)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IF('ORDENES'!$A310="","",IF('ORDENES'!$AC310="","-",'ORDENES'!$AC310))</f>
        <v/>
      </c>
      <c r="D332" s="3">
        <f>IF('ORDENES'!$A310="","",IF('ORDENES'!$V310="","-",'ORDENES'!$V310))</f>
        <v/>
      </c>
      <c r="E332" s="3">
        <f>IF('ORDENES'!$A310="","",IF('ORDENES'!$U310="","-",'ORDENES'!$U310))</f>
        <v/>
      </c>
      <c r="F332" s="3">
        <f>IF('ORDENES'!$A310="","",IF('ORDENES'!$W310="","-",'ORDENES'!$W310))</f>
        <v/>
      </c>
      <c r="G332" s="3">
        <f>IF('ORDENES'!$A310="","",IF('ORDENES'!$AB310="","-",'ORDENES'!$AB310))</f>
        <v/>
      </c>
      <c r="H332" s="3">
        <f>IF('ORDENES'!$A310="","",IF('ORDENES'!$AN310="","-",'ORDENES'!$AN310))</f>
        <v/>
      </c>
      <c r="I332" s="3">
        <f>IF('ORDENES'!$A310="","",IF('ORDENES'!$D310="","-",'ORDENES'!$D310))</f>
        <v/>
      </c>
      <c r="J332" s="3">
        <f>IF('ORDENES'!$A310="","",IF('ORDENES'!$E310="","-",'ORDENES'!$E310))</f>
        <v/>
      </c>
      <c r="K332" s="12">
        <f>IF('ORDENES'!$A310="","",IF('ORDENES'!$M310="",0,'ORDENES'!$M310))</f>
        <v/>
      </c>
      <c r="L332" s="3">
        <f>IF('ORDENES'!$A310="","",IF('ORDENES'!$N310="","-",'ORDENES'!$N310))</f>
        <v/>
      </c>
      <c r="M332" s="3">
        <f>IF('ORDENES'!$A310="","",'ORDENES'!$AA310)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IF('ORDENES'!$A311="","",IF('ORDENES'!$AC311="","-",'ORDENES'!$AC311))</f>
        <v/>
      </c>
      <c r="D333" s="3">
        <f>IF('ORDENES'!$A311="","",IF('ORDENES'!$V311="","-",'ORDENES'!$V311))</f>
        <v/>
      </c>
      <c r="E333" s="3">
        <f>IF('ORDENES'!$A311="","",IF('ORDENES'!$U311="","-",'ORDENES'!$U311))</f>
        <v/>
      </c>
      <c r="F333" s="3">
        <f>IF('ORDENES'!$A311="","",IF('ORDENES'!$W311="","-",'ORDENES'!$W311))</f>
        <v/>
      </c>
      <c r="G333" s="3">
        <f>IF('ORDENES'!$A311="","",IF('ORDENES'!$AB311="","-",'ORDENES'!$AB311))</f>
        <v/>
      </c>
      <c r="H333" s="3">
        <f>IF('ORDENES'!$A311="","",IF('ORDENES'!$AN311="","-",'ORDENES'!$AN311))</f>
        <v/>
      </c>
      <c r="I333" s="3">
        <f>IF('ORDENES'!$A311="","",IF('ORDENES'!$D311="","-",'ORDENES'!$D311))</f>
        <v/>
      </c>
      <c r="J333" s="3">
        <f>IF('ORDENES'!$A311="","",IF('ORDENES'!$E311="","-",'ORDENES'!$E311))</f>
        <v/>
      </c>
      <c r="K333" s="12">
        <f>IF('ORDENES'!$A311="","",IF('ORDENES'!$M311="",0,'ORDENES'!$M311))</f>
        <v/>
      </c>
      <c r="L333" s="3">
        <f>IF('ORDENES'!$A311="","",IF('ORDENES'!$N311="","-",'ORDENES'!$N311))</f>
        <v/>
      </c>
      <c r="M333" s="3">
        <f>IF('ORDENES'!$A311="","",'ORDENES'!$AA311)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IF('ORDENES'!$A312="","",IF('ORDENES'!$AC312="","-",'ORDENES'!$AC312))</f>
        <v/>
      </c>
      <c r="D334" s="3">
        <f>IF('ORDENES'!$A312="","",IF('ORDENES'!$V312="","-",'ORDENES'!$V312))</f>
        <v/>
      </c>
      <c r="E334" s="3">
        <f>IF('ORDENES'!$A312="","",IF('ORDENES'!$U312="","-",'ORDENES'!$U312))</f>
        <v/>
      </c>
      <c r="F334" s="3">
        <f>IF('ORDENES'!$A312="","",IF('ORDENES'!$W312="","-",'ORDENES'!$W312))</f>
        <v/>
      </c>
      <c r="G334" s="3">
        <f>IF('ORDENES'!$A312="","",IF('ORDENES'!$AB312="","-",'ORDENES'!$AB312))</f>
        <v/>
      </c>
      <c r="H334" s="3">
        <f>IF('ORDENES'!$A312="","",IF('ORDENES'!$AN312="","-",'ORDENES'!$AN312))</f>
        <v/>
      </c>
      <c r="I334" s="3">
        <f>IF('ORDENES'!$A312="","",IF('ORDENES'!$D312="","-",'ORDENES'!$D312))</f>
        <v/>
      </c>
      <c r="J334" s="3">
        <f>IF('ORDENES'!$A312="","",IF('ORDENES'!$E312="","-",'ORDENES'!$E312))</f>
        <v/>
      </c>
      <c r="K334" s="12">
        <f>IF('ORDENES'!$A312="","",IF('ORDENES'!$M312="",0,'ORDENES'!$M312))</f>
        <v/>
      </c>
      <c r="L334" s="3">
        <f>IF('ORDENES'!$A312="","",IF('ORDENES'!$N312="","-",'ORDENES'!$N312))</f>
        <v/>
      </c>
      <c r="M334" s="3">
        <f>IF('ORDENES'!$A312="","",'ORDENES'!$AA312)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IF('ORDENES'!$A313="","",IF('ORDENES'!$AC313="","-",'ORDENES'!$AC313))</f>
        <v/>
      </c>
      <c r="D335" s="3">
        <f>IF('ORDENES'!$A313="","",IF('ORDENES'!$V313="","-",'ORDENES'!$V313))</f>
        <v/>
      </c>
      <c r="E335" s="3">
        <f>IF('ORDENES'!$A313="","",IF('ORDENES'!$U313="","-",'ORDENES'!$U313))</f>
        <v/>
      </c>
      <c r="F335" s="3">
        <f>IF('ORDENES'!$A313="","",IF('ORDENES'!$W313="","-",'ORDENES'!$W313))</f>
        <v/>
      </c>
      <c r="G335" s="3">
        <f>IF('ORDENES'!$A313="","",IF('ORDENES'!$AB313="","-",'ORDENES'!$AB313))</f>
        <v/>
      </c>
      <c r="H335" s="3">
        <f>IF('ORDENES'!$A313="","",IF('ORDENES'!$AN313="","-",'ORDENES'!$AN313))</f>
        <v/>
      </c>
      <c r="I335" s="3">
        <f>IF('ORDENES'!$A313="","",IF('ORDENES'!$D313="","-",'ORDENES'!$D313))</f>
        <v/>
      </c>
      <c r="J335" s="3">
        <f>IF('ORDENES'!$A313="","",IF('ORDENES'!$E313="","-",'ORDENES'!$E313))</f>
        <v/>
      </c>
      <c r="K335" s="12">
        <f>IF('ORDENES'!$A313="","",IF('ORDENES'!$M313="",0,'ORDENES'!$M313))</f>
        <v/>
      </c>
      <c r="L335" s="3">
        <f>IF('ORDENES'!$A313="","",IF('ORDENES'!$N313="","-",'ORDENES'!$N313))</f>
        <v/>
      </c>
      <c r="M335" s="3">
        <f>IF('ORDENES'!$A313="","",'ORDENES'!$AA313)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IF('ORDENES'!$A314="","",IF('ORDENES'!$AC314="","-",'ORDENES'!$AC314))</f>
        <v/>
      </c>
      <c r="D336" s="3">
        <f>IF('ORDENES'!$A314="","",IF('ORDENES'!$V314="","-",'ORDENES'!$V314))</f>
        <v/>
      </c>
      <c r="E336" s="3">
        <f>IF('ORDENES'!$A314="","",IF('ORDENES'!$U314="","-",'ORDENES'!$U314))</f>
        <v/>
      </c>
      <c r="F336" s="3">
        <f>IF('ORDENES'!$A314="","",IF('ORDENES'!$W314="","-",'ORDENES'!$W314))</f>
        <v/>
      </c>
      <c r="G336" s="3">
        <f>IF('ORDENES'!$A314="","",IF('ORDENES'!$AB314="","-",'ORDENES'!$AB314))</f>
        <v/>
      </c>
      <c r="H336" s="3">
        <f>IF('ORDENES'!$A314="","",IF('ORDENES'!$AN314="","-",'ORDENES'!$AN314))</f>
        <v/>
      </c>
      <c r="I336" s="3">
        <f>IF('ORDENES'!$A314="","",IF('ORDENES'!$D314="","-",'ORDENES'!$D314))</f>
        <v/>
      </c>
      <c r="J336" s="3">
        <f>IF('ORDENES'!$A314="","",IF('ORDENES'!$E314="","-",'ORDENES'!$E314))</f>
        <v/>
      </c>
      <c r="K336" s="12">
        <f>IF('ORDENES'!$A314="","",IF('ORDENES'!$M314="",0,'ORDENES'!$M314))</f>
        <v/>
      </c>
      <c r="L336" s="3">
        <f>IF('ORDENES'!$A314="","",IF('ORDENES'!$N314="","-",'ORDENES'!$N314))</f>
        <v/>
      </c>
      <c r="M336" s="3">
        <f>IF('ORDENES'!$A314="","",'ORDENES'!$AA314)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IF('ORDENES'!$A315="","",IF('ORDENES'!$AC315="","-",'ORDENES'!$AC315))</f>
        <v/>
      </c>
      <c r="D337" s="3">
        <f>IF('ORDENES'!$A315="","",IF('ORDENES'!$V315="","-",'ORDENES'!$V315))</f>
        <v/>
      </c>
      <c r="E337" s="3">
        <f>IF('ORDENES'!$A315="","",IF('ORDENES'!$U315="","-",'ORDENES'!$U315))</f>
        <v/>
      </c>
      <c r="F337" s="3">
        <f>IF('ORDENES'!$A315="","",IF('ORDENES'!$W315="","-",'ORDENES'!$W315))</f>
        <v/>
      </c>
      <c r="G337" s="3">
        <f>IF('ORDENES'!$A315="","",IF('ORDENES'!$AB315="","-",'ORDENES'!$AB315))</f>
        <v/>
      </c>
      <c r="H337" s="3">
        <f>IF('ORDENES'!$A315="","",IF('ORDENES'!$AN315="","-",'ORDENES'!$AN315))</f>
        <v/>
      </c>
      <c r="I337" s="3">
        <f>IF('ORDENES'!$A315="","",IF('ORDENES'!$D315="","-",'ORDENES'!$D315))</f>
        <v/>
      </c>
      <c r="J337" s="3">
        <f>IF('ORDENES'!$A315="","",IF('ORDENES'!$E315="","-",'ORDENES'!$E315))</f>
        <v/>
      </c>
      <c r="K337" s="12">
        <f>IF('ORDENES'!$A315="","",IF('ORDENES'!$M315="",0,'ORDENES'!$M315))</f>
        <v/>
      </c>
      <c r="L337" s="3">
        <f>IF('ORDENES'!$A315="","",IF('ORDENES'!$N315="","-",'ORDENES'!$N315))</f>
        <v/>
      </c>
      <c r="M337" s="3">
        <f>IF('ORDENES'!$A315="","",'ORDENES'!$AA315)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IF('ORDENES'!$A316="","",IF('ORDENES'!$AC316="","-",'ORDENES'!$AC316))</f>
        <v/>
      </c>
      <c r="D338" s="3">
        <f>IF('ORDENES'!$A316="","",IF('ORDENES'!$V316="","-",'ORDENES'!$V316))</f>
        <v/>
      </c>
      <c r="E338" s="3">
        <f>IF('ORDENES'!$A316="","",IF('ORDENES'!$U316="","-",'ORDENES'!$U316))</f>
        <v/>
      </c>
      <c r="F338" s="3">
        <f>IF('ORDENES'!$A316="","",IF('ORDENES'!$W316="","-",'ORDENES'!$W316))</f>
        <v/>
      </c>
      <c r="G338" s="3">
        <f>IF('ORDENES'!$A316="","",IF('ORDENES'!$AB316="","-",'ORDENES'!$AB316))</f>
        <v/>
      </c>
      <c r="H338" s="3">
        <f>IF('ORDENES'!$A316="","",IF('ORDENES'!$AN316="","-",'ORDENES'!$AN316))</f>
        <v/>
      </c>
      <c r="I338" s="3">
        <f>IF('ORDENES'!$A316="","",IF('ORDENES'!$D316="","-",'ORDENES'!$D316))</f>
        <v/>
      </c>
      <c r="J338" s="3">
        <f>IF('ORDENES'!$A316="","",IF('ORDENES'!$E316="","-",'ORDENES'!$E316))</f>
        <v/>
      </c>
      <c r="K338" s="12">
        <f>IF('ORDENES'!$A316="","",IF('ORDENES'!$M316="",0,'ORDENES'!$M316))</f>
        <v/>
      </c>
      <c r="L338" s="3">
        <f>IF('ORDENES'!$A316="","",IF('ORDENES'!$N316="","-",'ORDENES'!$N316))</f>
        <v/>
      </c>
      <c r="M338" s="3">
        <f>IF('ORDENES'!$A316="","",'ORDENES'!$AA316)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IF('ORDENES'!$A317="","",IF('ORDENES'!$AC317="","-",'ORDENES'!$AC317))</f>
        <v/>
      </c>
      <c r="D339" s="3">
        <f>IF('ORDENES'!$A317="","",IF('ORDENES'!$V317="","-",'ORDENES'!$V317))</f>
        <v/>
      </c>
      <c r="E339" s="3">
        <f>IF('ORDENES'!$A317="","",IF('ORDENES'!$U317="","-",'ORDENES'!$U317))</f>
        <v/>
      </c>
      <c r="F339" s="3">
        <f>IF('ORDENES'!$A317="","",IF('ORDENES'!$W317="","-",'ORDENES'!$W317))</f>
        <v/>
      </c>
      <c r="G339" s="3">
        <f>IF('ORDENES'!$A317="","",IF('ORDENES'!$AB317="","-",'ORDENES'!$AB317))</f>
        <v/>
      </c>
      <c r="H339" s="3">
        <f>IF('ORDENES'!$A317="","",IF('ORDENES'!$AN317="","-",'ORDENES'!$AN317))</f>
        <v/>
      </c>
      <c r="I339" s="3">
        <f>IF('ORDENES'!$A317="","",IF('ORDENES'!$D317="","-",'ORDENES'!$D317))</f>
        <v/>
      </c>
      <c r="J339" s="3">
        <f>IF('ORDENES'!$A317="","",IF('ORDENES'!$E317="","-",'ORDENES'!$E317))</f>
        <v/>
      </c>
      <c r="K339" s="12">
        <f>IF('ORDENES'!$A317="","",IF('ORDENES'!$M317="",0,'ORDENES'!$M317))</f>
        <v/>
      </c>
      <c r="L339" s="3">
        <f>IF('ORDENES'!$A317="","",IF('ORDENES'!$N317="","-",'ORDENES'!$N317))</f>
        <v/>
      </c>
      <c r="M339" s="3">
        <f>IF('ORDENES'!$A317="","",'ORDENES'!$AA317)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IF('ORDENES'!$A318="","",IF('ORDENES'!$AC318="","-",'ORDENES'!$AC318))</f>
        <v/>
      </c>
      <c r="D340" s="3">
        <f>IF('ORDENES'!$A318="","",IF('ORDENES'!$V318="","-",'ORDENES'!$V318))</f>
        <v/>
      </c>
      <c r="E340" s="3">
        <f>IF('ORDENES'!$A318="","",IF('ORDENES'!$U318="","-",'ORDENES'!$U318))</f>
        <v/>
      </c>
      <c r="F340" s="3">
        <f>IF('ORDENES'!$A318="","",IF('ORDENES'!$W318="","-",'ORDENES'!$W318))</f>
        <v/>
      </c>
      <c r="G340" s="3">
        <f>IF('ORDENES'!$A318="","",IF('ORDENES'!$AB318="","-",'ORDENES'!$AB318))</f>
        <v/>
      </c>
      <c r="H340" s="3">
        <f>IF('ORDENES'!$A318="","",IF('ORDENES'!$AN318="","-",'ORDENES'!$AN318))</f>
        <v/>
      </c>
      <c r="I340" s="3">
        <f>IF('ORDENES'!$A318="","",IF('ORDENES'!$D318="","-",'ORDENES'!$D318))</f>
        <v/>
      </c>
      <c r="J340" s="3">
        <f>IF('ORDENES'!$A318="","",IF('ORDENES'!$E318="","-",'ORDENES'!$E318))</f>
        <v/>
      </c>
      <c r="K340" s="12">
        <f>IF('ORDENES'!$A318="","",IF('ORDENES'!$M318="",0,'ORDENES'!$M318))</f>
        <v/>
      </c>
      <c r="L340" s="3">
        <f>IF('ORDENES'!$A318="","",IF('ORDENES'!$N318="","-",'ORDENES'!$N318))</f>
        <v/>
      </c>
      <c r="M340" s="3">
        <f>IF('ORDENES'!$A318="","",'ORDENES'!$AA318)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IF('ORDENES'!$A319="","",IF('ORDENES'!$AC319="","-",'ORDENES'!$AC319))</f>
        <v/>
      </c>
      <c r="D341" s="3">
        <f>IF('ORDENES'!$A319="","",IF('ORDENES'!$V319="","-",'ORDENES'!$V319))</f>
        <v/>
      </c>
      <c r="E341" s="3">
        <f>IF('ORDENES'!$A319="","",IF('ORDENES'!$U319="","-",'ORDENES'!$U319))</f>
        <v/>
      </c>
      <c r="F341" s="3">
        <f>IF('ORDENES'!$A319="","",IF('ORDENES'!$W319="","-",'ORDENES'!$W319))</f>
        <v/>
      </c>
      <c r="G341" s="3">
        <f>IF('ORDENES'!$A319="","",IF('ORDENES'!$AB319="","-",'ORDENES'!$AB319))</f>
        <v/>
      </c>
      <c r="H341" s="3">
        <f>IF('ORDENES'!$A319="","",IF('ORDENES'!$AN319="","-",'ORDENES'!$AN319))</f>
        <v/>
      </c>
      <c r="I341" s="3">
        <f>IF('ORDENES'!$A319="","",IF('ORDENES'!$D319="","-",'ORDENES'!$D319))</f>
        <v/>
      </c>
      <c r="J341" s="3">
        <f>IF('ORDENES'!$A319="","",IF('ORDENES'!$E319="","-",'ORDENES'!$E319))</f>
        <v/>
      </c>
      <c r="K341" s="12">
        <f>IF('ORDENES'!$A319="","",IF('ORDENES'!$M319="",0,'ORDENES'!$M319))</f>
        <v/>
      </c>
      <c r="L341" s="3">
        <f>IF('ORDENES'!$A319="","",IF('ORDENES'!$N319="","-",'ORDENES'!$N319))</f>
        <v/>
      </c>
      <c r="M341" s="3">
        <f>IF('ORDENES'!$A319="","",'ORDENES'!$AA319)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IF('ORDENES'!$A320="","",IF('ORDENES'!$AC320="","-",'ORDENES'!$AC320))</f>
        <v/>
      </c>
      <c r="D342" s="3">
        <f>IF('ORDENES'!$A320="","",IF('ORDENES'!$V320="","-",'ORDENES'!$V320))</f>
        <v/>
      </c>
      <c r="E342" s="3">
        <f>IF('ORDENES'!$A320="","",IF('ORDENES'!$U320="","-",'ORDENES'!$U320))</f>
        <v/>
      </c>
      <c r="F342" s="3">
        <f>IF('ORDENES'!$A320="","",IF('ORDENES'!$W320="","-",'ORDENES'!$W320))</f>
        <v/>
      </c>
      <c r="G342" s="3">
        <f>IF('ORDENES'!$A320="","",IF('ORDENES'!$AB320="","-",'ORDENES'!$AB320))</f>
        <v/>
      </c>
      <c r="H342" s="3">
        <f>IF('ORDENES'!$A320="","",IF('ORDENES'!$AN320="","-",'ORDENES'!$AN320))</f>
        <v/>
      </c>
      <c r="I342" s="3">
        <f>IF('ORDENES'!$A320="","",IF('ORDENES'!$D320="","-",'ORDENES'!$D320))</f>
        <v/>
      </c>
      <c r="J342" s="3">
        <f>IF('ORDENES'!$A320="","",IF('ORDENES'!$E320="","-",'ORDENES'!$E320))</f>
        <v/>
      </c>
      <c r="K342" s="12">
        <f>IF('ORDENES'!$A320="","",IF('ORDENES'!$M320="",0,'ORDENES'!$M320))</f>
        <v/>
      </c>
      <c r="L342" s="3">
        <f>IF('ORDENES'!$A320="","",IF('ORDENES'!$N320="","-",'ORDENES'!$N320))</f>
        <v/>
      </c>
      <c r="M342" s="3">
        <f>IF('ORDENES'!$A320="","",'ORDENES'!$AA320)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IF('ORDENES'!$A321="","",IF('ORDENES'!$AC321="","-",'ORDENES'!$AC321))</f>
        <v/>
      </c>
      <c r="D343" s="3">
        <f>IF('ORDENES'!$A321="","",IF('ORDENES'!$V321="","-",'ORDENES'!$V321))</f>
        <v/>
      </c>
      <c r="E343" s="3">
        <f>IF('ORDENES'!$A321="","",IF('ORDENES'!$U321="","-",'ORDENES'!$U321))</f>
        <v/>
      </c>
      <c r="F343" s="3">
        <f>IF('ORDENES'!$A321="","",IF('ORDENES'!$W321="","-",'ORDENES'!$W321))</f>
        <v/>
      </c>
      <c r="G343" s="3">
        <f>IF('ORDENES'!$A321="","",IF('ORDENES'!$AB321="","-",'ORDENES'!$AB321))</f>
        <v/>
      </c>
      <c r="H343" s="3">
        <f>IF('ORDENES'!$A321="","",IF('ORDENES'!$AN321="","-",'ORDENES'!$AN321))</f>
        <v/>
      </c>
      <c r="I343" s="3">
        <f>IF('ORDENES'!$A321="","",IF('ORDENES'!$D321="","-",'ORDENES'!$D321))</f>
        <v/>
      </c>
      <c r="J343" s="3">
        <f>IF('ORDENES'!$A321="","",IF('ORDENES'!$E321="","-",'ORDENES'!$E321))</f>
        <v/>
      </c>
      <c r="K343" s="12">
        <f>IF('ORDENES'!$A321="","",IF('ORDENES'!$M321="",0,'ORDENES'!$M321))</f>
        <v/>
      </c>
      <c r="L343" s="3">
        <f>IF('ORDENES'!$A321="","",IF('ORDENES'!$N321="","-",'ORDENES'!$N321))</f>
        <v/>
      </c>
      <c r="M343" s="3">
        <f>IF('ORDENES'!$A321="","",'ORDENES'!$AA321)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IF('ORDENES'!$A322="","",IF('ORDENES'!$AC322="","-",'ORDENES'!$AC322))</f>
        <v/>
      </c>
      <c r="D344" s="3">
        <f>IF('ORDENES'!$A322="","",IF('ORDENES'!$V322="","-",'ORDENES'!$V322))</f>
        <v/>
      </c>
      <c r="E344" s="3">
        <f>IF('ORDENES'!$A322="","",IF('ORDENES'!$U322="","-",'ORDENES'!$U322))</f>
        <v/>
      </c>
      <c r="F344" s="3">
        <f>IF('ORDENES'!$A322="","",IF('ORDENES'!$W322="","-",'ORDENES'!$W322))</f>
        <v/>
      </c>
      <c r="G344" s="3">
        <f>IF('ORDENES'!$A322="","",IF('ORDENES'!$AB322="","-",'ORDENES'!$AB322))</f>
        <v/>
      </c>
      <c r="H344" s="3">
        <f>IF('ORDENES'!$A322="","",IF('ORDENES'!$AN322="","-",'ORDENES'!$AN322))</f>
        <v/>
      </c>
      <c r="I344" s="3">
        <f>IF('ORDENES'!$A322="","",IF('ORDENES'!$D322="","-",'ORDENES'!$D322))</f>
        <v/>
      </c>
      <c r="J344" s="3">
        <f>IF('ORDENES'!$A322="","",IF('ORDENES'!$E322="","-",'ORDENES'!$E322))</f>
        <v/>
      </c>
      <c r="K344" s="12">
        <f>IF('ORDENES'!$A322="","",IF('ORDENES'!$M322="",0,'ORDENES'!$M322))</f>
        <v/>
      </c>
      <c r="L344" s="3">
        <f>IF('ORDENES'!$A322="","",IF('ORDENES'!$N322="","-",'ORDENES'!$N322))</f>
        <v/>
      </c>
      <c r="M344" s="3">
        <f>IF('ORDENES'!$A322="","",'ORDENES'!$AA322)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IF('ORDENES'!$A323="","",IF('ORDENES'!$AC323="","-",'ORDENES'!$AC323))</f>
        <v/>
      </c>
      <c r="D345" s="3">
        <f>IF('ORDENES'!$A323="","",IF('ORDENES'!$V323="","-",'ORDENES'!$V323))</f>
        <v/>
      </c>
      <c r="E345" s="3">
        <f>IF('ORDENES'!$A323="","",IF('ORDENES'!$U323="","-",'ORDENES'!$U323))</f>
        <v/>
      </c>
      <c r="F345" s="3">
        <f>IF('ORDENES'!$A323="","",IF('ORDENES'!$W323="","-",'ORDENES'!$W323))</f>
        <v/>
      </c>
      <c r="G345" s="3">
        <f>IF('ORDENES'!$A323="","",IF('ORDENES'!$AB323="","-",'ORDENES'!$AB323))</f>
        <v/>
      </c>
      <c r="H345" s="3">
        <f>IF('ORDENES'!$A323="","",IF('ORDENES'!$AN323="","-",'ORDENES'!$AN323))</f>
        <v/>
      </c>
      <c r="I345" s="3">
        <f>IF('ORDENES'!$A323="","",IF('ORDENES'!$D323="","-",'ORDENES'!$D323))</f>
        <v/>
      </c>
      <c r="J345" s="3">
        <f>IF('ORDENES'!$A323="","",IF('ORDENES'!$E323="","-",'ORDENES'!$E323))</f>
        <v/>
      </c>
      <c r="K345" s="12">
        <f>IF('ORDENES'!$A323="","",IF('ORDENES'!$M323="",0,'ORDENES'!$M323))</f>
        <v/>
      </c>
      <c r="L345" s="3">
        <f>IF('ORDENES'!$A323="","",IF('ORDENES'!$N323="","-",'ORDENES'!$N323))</f>
        <v/>
      </c>
      <c r="M345" s="3">
        <f>IF('ORDENES'!$A323="","",'ORDENES'!$AA323)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IF('ORDENES'!$A324="","",IF('ORDENES'!$AC324="","-",'ORDENES'!$AC324))</f>
        <v/>
      </c>
      <c r="D346" s="3">
        <f>IF('ORDENES'!$A324="","",IF('ORDENES'!$V324="","-",'ORDENES'!$V324))</f>
        <v/>
      </c>
      <c r="E346" s="3">
        <f>IF('ORDENES'!$A324="","",IF('ORDENES'!$U324="","-",'ORDENES'!$U324))</f>
        <v/>
      </c>
      <c r="F346" s="3">
        <f>IF('ORDENES'!$A324="","",IF('ORDENES'!$W324="","-",'ORDENES'!$W324))</f>
        <v/>
      </c>
      <c r="G346" s="3">
        <f>IF('ORDENES'!$A324="","",IF('ORDENES'!$AB324="","-",'ORDENES'!$AB324))</f>
        <v/>
      </c>
      <c r="H346" s="3">
        <f>IF('ORDENES'!$A324="","",IF('ORDENES'!$AN324="","-",'ORDENES'!$AN324))</f>
        <v/>
      </c>
      <c r="I346" s="3">
        <f>IF('ORDENES'!$A324="","",IF('ORDENES'!$D324="","-",'ORDENES'!$D324))</f>
        <v/>
      </c>
      <c r="J346" s="3">
        <f>IF('ORDENES'!$A324="","",IF('ORDENES'!$E324="","-",'ORDENES'!$E324))</f>
        <v/>
      </c>
      <c r="K346" s="12">
        <f>IF('ORDENES'!$A324="","",IF('ORDENES'!$M324="",0,'ORDENES'!$M324))</f>
        <v/>
      </c>
      <c r="L346" s="3">
        <f>IF('ORDENES'!$A324="","",IF('ORDENES'!$N324="","-",'ORDENES'!$N324))</f>
        <v/>
      </c>
      <c r="M346" s="3">
        <f>IF('ORDENES'!$A324="","",'ORDENES'!$AA324)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IF('ORDENES'!$A325="","",IF('ORDENES'!$AC325="","-",'ORDENES'!$AC325))</f>
        <v/>
      </c>
      <c r="D347" s="3">
        <f>IF('ORDENES'!$A325="","",IF('ORDENES'!$V325="","-",'ORDENES'!$V325))</f>
        <v/>
      </c>
      <c r="E347" s="3">
        <f>IF('ORDENES'!$A325="","",IF('ORDENES'!$U325="","-",'ORDENES'!$U325))</f>
        <v/>
      </c>
      <c r="F347" s="3">
        <f>IF('ORDENES'!$A325="","",IF('ORDENES'!$W325="","-",'ORDENES'!$W325))</f>
        <v/>
      </c>
      <c r="G347" s="3">
        <f>IF('ORDENES'!$A325="","",IF('ORDENES'!$AB325="","-",'ORDENES'!$AB325))</f>
        <v/>
      </c>
      <c r="H347" s="3">
        <f>IF('ORDENES'!$A325="","",IF('ORDENES'!$AN325="","-",'ORDENES'!$AN325))</f>
        <v/>
      </c>
      <c r="I347" s="3">
        <f>IF('ORDENES'!$A325="","",IF('ORDENES'!$D325="","-",'ORDENES'!$D325))</f>
        <v/>
      </c>
      <c r="J347" s="3">
        <f>IF('ORDENES'!$A325="","",IF('ORDENES'!$E325="","-",'ORDENES'!$E325))</f>
        <v/>
      </c>
      <c r="K347" s="12">
        <f>IF('ORDENES'!$A325="","",IF('ORDENES'!$M325="",0,'ORDENES'!$M325))</f>
        <v/>
      </c>
      <c r="L347" s="3">
        <f>IF('ORDENES'!$A325="","",IF('ORDENES'!$N325="","-",'ORDENES'!$N325))</f>
        <v/>
      </c>
      <c r="M347" s="3">
        <f>IF('ORDENES'!$A325="","",'ORDENES'!$AA325)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IF('ORDENES'!$A326="","",IF('ORDENES'!$AC326="","-",'ORDENES'!$AC326))</f>
        <v/>
      </c>
      <c r="D348" s="3">
        <f>IF('ORDENES'!$A326="","",IF('ORDENES'!$V326="","-",'ORDENES'!$V326))</f>
        <v/>
      </c>
      <c r="E348" s="3">
        <f>IF('ORDENES'!$A326="","",IF('ORDENES'!$U326="","-",'ORDENES'!$U326))</f>
        <v/>
      </c>
      <c r="F348" s="3">
        <f>IF('ORDENES'!$A326="","",IF('ORDENES'!$W326="","-",'ORDENES'!$W326))</f>
        <v/>
      </c>
      <c r="G348" s="3">
        <f>IF('ORDENES'!$A326="","",IF('ORDENES'!$AB326="","-",'ORDENES'!$AB326))</f>
        <v/>
      </c>
      <c r="H348" s="3">
        <f>IF('ORDENES'!$A326="","",IF('ORDENES'!$AN326="","-",'ORDENES'!$AN326))</f>
        <v/>
      </c>
      <c r="I348" s="3">
        <f>IF('ORDENES'!$A326="","",IF('ORDENES'!$D326="","-",'ORDENES'!$D326))</f>
        <v/>
      </c>
      <c r="J348" s="3">
        <f>IF('ORDENES'!$A326="","",IF('ORDENES'!$E326="","-",'ORDENES'!$E326))</f>
        <v/>
      </c>
      <c r="K348" s="12">
        <f>IF('ORDENES'!$A326="","",IF('ORDENES'!$M326="",0,'ORDENES'!$M326))</f>
        <v/>
      </c>
      <c r="L348" s="3">
        <f>IF('ORDENES'!$A326="","",IF('ORDENES'!$N326="","-",'ORDENES'!$N326))</f>
        <v/>
      </c>
      <c r="M348" s="3">
        <f>IF('ORDENES'!$A326="","",'ORDENES'!$AA326)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IF('ORDENES'!$A327="","",IF('ORDENES'!$AC327="","-",'ORDENES'!$AC327))</f>
        <v/>
      </c>
      <c r="D349" s="3">
        <f>IF('ORDENES'!$A327="","",IF('ORDENES'!$V327="","-",'ORDENES'!$V327))</f>
        <v/>
      </c>
      <c r="E349" s="3">
        <f>IF('ORDENES'!$A327="","",IF('ORDENES'!$U327="","-",'ORDENES'!$U327))</f>
        <v/>
      </c>
      <c r="F349" s="3">
        <f>IF('ORDENES'!$A327="","",IF('ORDENES'!$W327="","-",'ORDENES'!$W327))</f>
        <v/>
      </c>
      <c r="G349" s="3">
        <f>IF('ORDENES'!$A327="","",IF('ORDENES'!$AB327="","-",'ORDENES'!$AB327))</f>
        <v/>
      </c>
      <c r="H349" s="3">
        <f>IF('ORDENES'!$A327="","",IF('ORDENES'!$AN327="","-",'ORDENES'!$AN327))</f>
        <v/>
      </c>
      <c r="I349" s="3">
        <f>IF('ORDENES'!$A327="","",IF('ORDENES'!$D327="","-",'ORDENES'!$D327))</f>
        <v/>
      </c>
      <c r="J349" s="3">
        <f>IF('ORDENES'!$A327="","",IF('ORDENES'!$E327="","-",'ORDENES'!$E327))</f>
        <v/>
      </c>
      <c r="K349" s="12">
        <f>IF('ORDENES'!$A327="","",IF('ORDENES'!$M327="",0,'ORDENES'!$M327))</f>
        <v/>
      </c>
      <c r="L349" s="3">
        <f>IF('ORDENES'!$A327="","",IF('ORDENES'!$N327="","-",'ORDENES'!$N327))</f>
        <v/>
      </c>
      <c r="M349" s="3">
        <f>IF('ORDENES'!$A327="","",'ORDENES'!$AA327)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IF('ORDENES'!$A328="","",IF('ORDENES'!$AC328="","-",'ORDENES'!$AC328))</f>
        <v/>
      </c>
      <c r="D350" s="3">
        <f>IF('ORDENES'!$A328="","",IF('ORDENES'!$V328="","-",'ORDENES'!$V328))</f>
        <v/>
      </c>
      <c r="E350" s="3">
        <f>IF('ORDENES'!$A328="","",IF('ORDENES'!$U328="","-",'ORDENES'!$U328))</f>
        <v/>
      </c>
      <c r="F350" s="3">
        <f>IF('ORDENES'!$A328="","",IF('ORDENES'!$W328="","-",'ORDENES'!$W328))</f>
        <v/>
      </c>
      <c r="G350" s="3">
        <f>IF('ORDENES'!$A328="","",IF('ORDENES'!$AB328="","-",'ORDENES'!$AB328))</f>
        <v/>
      </c>
      <c r="H350" s="3">
        <f>IF('ORDENES'!$A328="","",IF('ORDENES'!$AN328="","-",'ORDENES'!$AN328))</f>
        <v/>
      </c>
      <c r="I350" s="3">
        <f>IF('ORDENES'!$A328="","",IF('ORDENES'!$D328="","-",'ORDENES'!$D328))</f>
        <v/>
      </c>
      <c r="J350" s="3">
        <f>IF('ORDENES'!$A328="","",IF('ORDENES'!$E328="","-",'ORDENES'!$E328))</f>
        <v/>
      </c>
      <c r="K350" s="12">
        <f>IF('ORDENES'!$A328="","",IF('ORDENES'!$M328="",0,'ORDENES'!$M328))</f>
        <v/>
      </c>
      <c r="L350" s="3">
        <f>IF('ORDENES'!$A328="","",IF('ORDENES'!$N328="","-",'ORDENES'!$N328))</f>
        <v/>
      </c>
      <c r="M350" s="3">
        <f>IF('ORDENES'!$A328="","",'ORDENES'!$AA328)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IF('ORDENES'!$A329="","",IF('ORDENES'!$AC329="","-",'ORDENES'!$AC329))</f>
        <v/>
      </c>
      <c r="D351" s="3">
        <f>IF('ORDENES'!$A329="","",IF('ORDENES'!$V329="","-",'ORDENES'!$V329))</f>
        <v/>
      </c>
      <c r="E351" s="3">
        <f>IF('ORDENES'!$A329="","",IF('ORDENES'!$U329="","-",'ORDENES'!$U329))</f>
        <v/>
      </c>
      <c r="F351" s="3">
        <f>IF('ORDENES'!$A329="","",IF('ORDENES'!$W329="","-",'ORDENES'!$W329))</f>
        <v/>
      </c>
      <c r="G351" s="3">
        <f>IF('ORDENES'!$A329="","",IF('ORDENES'!$AB329="","-",'ORDENES'!$AB329))</f>
        <v/>
      </c>
      <c r="H351" s="3">
        <f>IF('ORDENES'!$A329="","",IF('ORDENES'!$AN329="","-",'ORDENES'!$AN329))</f>
        <v/>
      </c>
      <c r="I351" s="3">
        <f>IF('ORDENES'!$A329="","",IF('ORDENES'!$D329="","-",'ORDENES'!$D329))</f>
        <v/>
      </c>
      <c r="J351" s="3">
        <f>IF('ORDENES'!$A329="","",IF('ORDENES'!$E329="","-",'ORDENES'!$E329))</f>
        <v/>
      </c>
      <c r="K351" s="12">
        <f>IF('ORDENES'!$A329="","",IF('ORDENES'!$M329="",0,'ORDENES'!$M329))</f>
        <v/>
      </c>
      <c r="L351" s="3">
        <f>IF('ORDENES'!$A329="","",IF('ORDENES'!$N329="","-",'ORDENES'!$N329))</f>
        <v/>
      </c>
      <c r="M351" s="3">
        <f>IF('ORDENES'!$A329="","",'ORDENES'!$AA329)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IF('ORDENES'!$A330="","",IF('ORDENES'!$AC330="","-",'ORDENES'!$AC330))</f>
        <v/>
      </c>
      <c r="D352" s="3">
        <f>IF('ORDENES'!$A330="","",IF('ORDENES'!$V330="","-",'ORDENES'!$V330))</f>
        <v/>
      </c>
      <c r="E352" s="3">
        <f>IF('ORDENES'!$A330="","",IF('ORDENES'!$U330="","-",'ORDENES'!$U330))</f>
        <v/>
      </c>
      <c r="F352" s="3">
        <f>IF('ORDENES'!$A330="","",IF('ORDENES'!$W330="","-",'ORDENES'!$W330))</f>
        <v/>
      </c>
      <c r="G352" s="3">
        <f>IF('ORDENES'!$A330="","",IF('ORDENES'!$AB330="","-",'ORDENES'!$AB330))</f>
        <v/>
      </c>
      <c r="H352" s="3">
        <f>IF('ORDENES'!$A330="","",IF('ORDENES'!$AN330="","-",'ORDENES'!$AN330))</f>
        <v/>
      </c>
      <c r="I352" s="3">
        <f>IF('ORDENES'!$A330="","",IF('ORDENES'!$D330="","-",'ORDENES'!$D330))</f>
        <v/>
      </c>
      <c r="J352" s="3">
        <f>IF('ORDENES'!$A330="","",IF('ORDENES'!$E330="","-",'ORDENES'!$E330))</f>
        <v/>
      </c>
      <c r="K352" s="12">
        <f>IF('ORDENES'!$A330="","",IF('ORDENES'!$M330="",0,'ORDENES'!$M330))</f>
        <v/>
      </c>
      <c r="L352" s="3">
        <f>IF('ORDENES'!$A330="","",IF('ORDENES'!$N330="","-",'ORDENES'!$N330))</f>
        <v/>
      </c>
      <c r="M352" s="3">
        <f>IF('ORDENES'!$A330="","",'ORDENES'!$AA330)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IF('ORDENES'!$A331="","",IF('ORDENES'!$AC331="","-",'ORDENES'!$AC331))</f>
        <v/>
      </c>
      <c r="D353" s="3">
        <f>IF('ORDENES'!$A331="","",IF('ORDENES'!$V331="","-",'ORDENES'!$V331))</f>
        <v/>
      </c>
      <c r="E353" s="3">
        <f>IF('ORDENES'!$A331="","",IF('ORDENES'!$U331="","-",'ORDENES'!$U331))</f>
        <v/>
      </c>
      <c r="F353" s="3">
        <f>IF('ORDENES'!$A331="","",IF('ORDENES'!$W331="","-",'ORDENES'!$W331))</f>
        <v/>
      </c>
      <c r="G353" s="3">
        <f>IF('ORDENES'!$A331="","",IF('ORDENES'!$AB331="","-",'ORDENES'!$AB331))</f>
        <v/>
      </c>
      <c r="H353" s="3">
        <f>IF('ORDENES'!$A331="","",IF('ORDENES'!$AN331="","-",'ORDENES'!$AN331))</f>
        <v/>
      </c>
      <c r="I353" s="3">
        <f>IF('ORDENES'!$A331="","",IF('ORDENES'!$D331="","-",'ORDENES'!$D331))</f>
        <v/>
      </c>
      <c r="J353" s="3">
        <f>IF('ORDENES'!$A331="","",IF('ORDENES'!$E331="","-",'ORDENES'!$E331))</f>
        <v/>
      </c>
      <c r="K353" s="12">
        <f>IF('ORDENES'!$A331="","",IF('ORDENES'!$M331="",0,'ORDENES'!$M331))</f>
        <v/>
      </c>
      <c r="L353" s="3">
        <f>IF('ORDENES'!$A331="","",IF('ORDENES'!$N331="","-",'ORDENES'!$N331))</f>
        <v/>
      </c>
      <c r="M353" s="3">
        <f>IF('ORDENES'!$A331="","",'ORDENES'!$AA331)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IF('ORDENES'!$A332="","",IF('ORDENES'!$AC332="","-",'ORDENES'!$AC332))</f>
        <v/>
      </c>
      <c r="D354" s="3">
        <f>IF('ORDENES'!$A332="","",IF('ORDENES'!$V332="","-",'ORDENES'!$V332))</f>
        <v/>
      </c>
      <c r="E354" s="3">
        <f>IF('ORDENES'!$A332="","",IF('ORDENES'!$U332="","-",'ORDENES'!$U332))</f>
        <v/>
      </c>
      <c r="F354" s="3">
        <f>IF('ORDENES'!$A332="","",IF('ORDENES'!$W332="","-",'ORDENES'!$W332))</f>
        <v/>
      </c>
      <c r="G354" s="3">
        <f>IF('ORDENES'!$A332="","",IF('ORDENES'!$AB332="","-",'ORDENES'!$AB332))</f>
        <v/>
      </c>
      <c r="H354" s="3">
        <f>IF('ORDENES'!$A332="","",IF('ORDENES'!$AN332="","-",'ORDENES'!$AN332))</f>
        <v/>
      </c>
      <c r="I354" s="3">
        <f>IF('ORDENES'!$A332="","",IF('ORDENES'!$D332="","-",'ORDENES'!$D332))</f>
        <v/>
      </c>
      <c r="J354" s="3">
        <f>IF('ORDENES'!$A332="","",IF('ORDENES'!$E332="","-",'ORDENES'!$E332))</f>
        <v/>
      </c>
      <c r="K354" s="12">
        <f>IF('ORDENES'!$A332="","",IF('ORDENES'!$M332="",0,'ORDENES'!$M332))</f>
        <v/>
      </c>
      <c r="L354" s="3">
        <f>IF('ORDENES'!$A332="","",IF('ORDENES'!$N332="","-",'ORDENES'!$N332))</f>
        <v/>
      </c>
      <c r="M354" s="3">
        <f>IF('ORDENES'!$A332="","",'ORDENES'!$AA332)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IF('ORDENES'!$A333="","",IF('ORDENES'!$AC333="","-",'ORDENES'!$AC333))</f>
        <v/>
      </c>
      <c r="D355" s="3">
        <f>IF('ORDENES'!$A333="","",IF('ORDENES'!$V333="","-",'ORDENES'!$V333))</f>
        <v/>
      </c>
      <c r="E355" s="3">
        <f>IF('ORDENES'!$A333="","",IF('ORDENES'!$U333="","-",'ORDENES'!$U333))</f>
        <v/>
      </c>
      <c r="F355" s="3">
        <f>IF('ORDENES'!$A333="","",IF('ORDENES'!$W333="","-",'ORDENES'!$W333))</f>
        <v/>
      </c>
      <c r="G355" s="3">
        <f>IF('ORDENES'!$A333="","",IF('ORDENES'!$AB333="","-",'ORDENES'!$AB333))</f>
        <v/>
      </c>
      <c r="H355" s="3">
        <f>IF('ORDENES'!$A333="","",IF('ORDENES'!$AN333="","-",'ORDENES'!$AN333))</f>
        <v/>
      </c>
      <c r="I355" s="3">
        <f>IF('ORDENES'!$A333="","",IF('ORDENES'!$D333="","-",'ORDENES'!$D333))</f>
        <v/>
      </c>
      <c r="J355" s="3">
        <f>IF('ORDENES'!$A333="","",IF('ORDENES'!$E333="","-",'ORDENES'!$E333))</f>
        <v/>
      </c>
      <c r="K355" s="12">
        <f>IF('ORDENES'!$A333="","",IF('ORDENES'!$M333="",0,'ORDENES'!$M333))</f>
        <v/>
      </c>
      <c r="L355" s="3">
        <f>IF('ORDENES'!$A333="","",IF('ORDENES'!$N333="","-",'ORDENES'!$N333))</f>
        <v/>
      </c>
      <c r="M355" s="3">
        <f>IF('ORDENES'!$A333="","",'ORDENES'!$AA333)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IF('ORDENES'!$A334="","",IF('ORDENES'!$AC334="","-",'ORDENES'!$AC334))</f>
        <v/>
      </c>
      <c r="D356" s="3">
        <f>IF('ORDENES'!$A334="","",IF('ORDENES'!$V334="","-",'ORDENES'!$V334))</f>
        <v/>
      </c>
      <c r="E356" s="3">
        <f>IF('ORDENES'!$A334="","",IF('ORDENES'!$U334="","-",'ORDENES'!$U334))</f>
        <v/>
      </c>
      <c r="F356" s="3">
        <f>IF('ORDENES'!$A334="","",IF('ORDENES'!$W334="","-",'ORDENES'!$W334))</f>
        <v/>
      </c>
      <c r="G356" s="3">
        <f>IF('ORDENES'!$A334="","",IF('ORDENES'!$AB334="","-",'ORDENES'!$AB334))</f>
        <v/>
      </c>
      <c r="H356" s="3">
        <f>IF('ORDENES'!$A334="","",IF('ORDENES'!$AN334="","-",'ORDENES'!$AN334))</f>
        <v/>
      </c>
      <c r="I356" s="3">
        <f>IF('ORDENES'!$A334="","",IF('ORDENES'!$D334="","-",'ORDENES'!$D334))</f>
        <v/>
      </c>
      <c r="J356" s="3">
        <f>IF('ORDENES'!$A334="","",IF('ORDENES'!$E334="","-",'ORDENES'!$E334))</f>
        <v/>
      </c>
      <c r="K356" s="12">
        <f>IF('ORDENES'!$A334="","",IF('ORDENES'!$M334="",0,'ORDENES'!$M334))</f>
        <v/>
      </c>
      <c r="L356" s="3">
        <f>IF('ORDENES'!$A334="","",IF('ORDENES'!$N334="","-",'ORDENES'!$N334))</f>
        <v/>
      </c>
      <c r="M356" s="3">
        <f>IF('ORDENES'!$A334="","",'ORDENES'!$AA334)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IF('ORDENES'!$A335="","",IF('ORDENES'!$AC335="","-",'ORDENES'!$AC335))</f>
        <v/>
      </c>
      <c r="D357" s="3">
        <f>IF('ORDENES'!$A335="","",IF('ORDENES'!$V335="","-",'ORDENES'!$V335))</f>
        <v/>
      </c>
      <c r="E357" s="3">
        <f>IF('ORDENES'!$A335="","",IF('ORDENES'!$U335="","-",'ORDENES'!$U335))</f>
        <v/>
      </c>
      <c r="F357" s="3">
        <f>IF('ORDENES'!$A335="","",IF('ORDENES'!$W335="","-",'ORDENES'!$W335))</f>
        <v/>
      </c>
      <c r="G357" s="3">
        <f>IF('ORDENES'!$A335="","",IF('ORDENES'!$AB335="","-",'ORDENES'!$AB335))</f>
        <v/>
      </c>
      <c r="H357" s="3">
        <f>IF('ORDENES'!$A335="","",IF('ORDENES'!$AN335="","-",'ORDENES'!$AN335))</f>
        <v/>
      </c>
      <c r="I357" s="3">
        <f>IF('ORDENES'!$A335="","",IF('ORDENES'!$D335="","-",'ORDENES'!$D335))</f>
        <v/>
      </c>
      <c r="J357" s="3">
        <f>IF('ORDENES'!$A335="","",IF('ORDENES'!$E335="","-",'ORDENES'!$E335))</f>
        <v/>
      </c>
      <c r="K357" s="12">
        <f>IF('ORDENES'!$A335="","",IF('ORDENES'!$M335="",0,'ORDENES'!$M335))</f>
        <v/>
      </c>
      <c r="L357" s="3">
        <f>IF('ORDENES'!$A335="","",IF('ORDENES'!$N335="","-",'ORDENES'!$N335))</f>
        <v/>
      </c>
      <c r="M357" s="3">
        <f>IF('ORDENES'!$A335="","",'ORDENES'!$AA335)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IF('ORDENES'!$A336="","",IF('ORDENES'!$AC336="","-",'ORDENES'!$AC336))</f>
        <v/>
      </c>
      <c r="D358" s="3">
        <f>IF('ORDENES'!$A336="","",IF('ORDENES'!$V336="","-",'ORDENES'!$V336))</f>
        <v/>
      </c>
      <c r="E358" s="3">
        <f>IF('ORDENES'!$A336="","",IF('ORDENES'!$U336="","-",'ORDENES'!$U336))</f>
        <v/>
      </c>
      <c r="F358" s="3">
        <f>IF('ORDENES'!$A336="","",IF('ORDENES'!$W336="","-",'ORDENES'!$W336))</f>
        <v/>
      </c>
      <c r="G358" s="3">
        <f>IF('ORDENES'!$A336="","",IF('ORDENES'!$AB336="","-",'ORDENES'!$AB336))</f>
        <v/>
      </c>
      <c r="H358" s="3">
        <f>IF('ORDENES'!$A336="","",IF('ORDENES'!$AN336="","-",'ORDENES'!$AN336))</f>
        <v/>
      </c>
      <c r="I358" s="3">
        <f>IF('ORDENES'!$A336="","",IF('ORDENES'!$D336="","-",'ORDENES'!$D336))</f>
        <v/>
      </c>
      <c r="J358" s="3">
        <f>IF('ORDENES'!$A336="","",IF('ORDENES'!$E336="","-",'ORDENES'!$E336))</f>
        <v/>
      </c>
      <c r="K358" s="12">
        <f>IF('ORDENES'!$A336="","",IF('ORDENES'!$M336="",0,'ORDENES'!$M336))</f>
        <v/>
      </c>
      <c r="L358" s="3">
        <f>IF('ORDENES'!$A336="","",IF('ORDENES'!$N336="","-",'ORDENES'!$N336))</f>
        <v/>
      </c>
      <c r="M358" s="3">
        <f>IF('ORDENES'!$A336="","",'ORDENES'!$AA336)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IF('ORDENES'!$A337="","",IF('ORDENES'!$AC337="","-",'ORDENES'!$AC337))</f>
        <v/>
      </c>
      <c r="D359" s="3">
        <f>IF('ORDENES'!$A337="","",IF('ORDENES'!$V337="","-",'ORDENES'!$V337))</f>
        <v/>
      </c>
      <c r="E359" s="3">
        <f>IF('ORDENES'!$A337="","",IF('ORDENES'!$U337="","-",'ORDENES'!$U337))</f>
        <v/>
      </c>
      <c r="F359" s="3">
        <f>IF('ORDENES'!$A337="","",IF('ORDENES'!$W337="","-",'ORDENES'!$W337))</f>
        <v/>
      </c>
      <c r="G359" s="3">
        <f>IF('ORDENES'!$A337="","",IF('ORDENES'!$AB337="","-",'ORDENES'!$AB337))</f>
        <v/>
      </c>
      <c r="H359" s="3">
        <f>IF('ORDENES'!$A337="","",IF('ORDENES'!$AN337="","-",'ORDENES'!$AN337))</f>
        <v/>
      </c>
      <c r="I359" s="3">
        <f>IF('ORDENES'!$A337="","",IF('ORDENES'!$D337="","-",'ORDENES'!$D337))</f>
        <v/>
      </c>
      <c r="J359" s="3">
        <f>IF('ORDENES'!$A337="","",IF('ORDENES'!$E337="","-",'ORDENES'!$E337))</f>
        <v/>
      </c>
      <c r="K359" s="12">
        <f>IF('ORDENES'!$A337="","",IF('ORDENES'!$M337="",0,'ORDENES'!$M337))</f>
        <v/>
      </c>
      <c r="L359" s="3">
        <f>IF('ORDENES'!$A337="","",IF('ORDENES'!$N337="","-",'ORDENES'!$N337))</f>
        <v/>
      </c>
      <c r="M359" s="3">
        <f>IF('ORDENES'!$A337="","",'ORDENES'!$AA337)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IF('ORDENES'!$A338="","",IF('ORDENES'!$AC338="","-",'ORDENES'!$AC338))</f>
        <v/>
      </c>
      <c r="D360" s="3">
        <f>IF('ORDENES'!$A338="","",IF('ORDENES'!$V338="","-",'ORDENES'!$V338))</f>
        <v/>
      </c>
      <c r="E360" s="3">
        <f>IF('ORDENES'!$A338="","",IF('ORDENES'!$U338="","-",'ORDENES'!$U338))</f>
        <v/>
      </c>
      <c r="F360" s="3">
        <f>IF('ORDENES'!$A338="","",IF('ORDENES'!$W338="","-",'ORDENES'!$W338))</f>
        <v/>
      </c>
      <c r="G360" s="3">
        <f>IF('ORDENES'!$A338="","",IF('ORDENES'!$AB338="","-",'ORDENES'!$AB338))</f>
        <v/>
      </c>
      <c r="H360" s="3">
        <f>IF('ORDENES'!$A338="","",IF('ORDENES'!$AN338="","-",'ORDENES'!$AN338))</f>
        <v/>
      </c>
      <c r="I360" s="3">
        <f>IF('ORDENES'!$A338="","",IF('ORDENES'!$D338="","-",'ORDENES'!$D338))</f>
        <v/>
      </c>
      <c r="J360" s="3">
        <f>IF('ORDENES'!$A338="","",IF('ORDENES'!$E338="","-",'ORDENES'!$E338))</f>
        <v/>
      </c>
      <c r="K360" s="12">
        <f>IF('ORDENES'!$A338="","",IF('ORDENES'!$M338="",0,'ORDENES'!$M338))</f>
        <v/>
      </c>
      <c r="L360" s="3">
        <f>IF('ORDENES'!$A338="","",IF('ORDENES'!$N338="","-",'ORDENES'!$N338))</f>
        <v/>
      </c>
      <c r="M360" s="3">
        <f>IF('ORDENES'!$A338="","",'ORDENES'!$AA338)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IF('ORDENES'!$A339="","",IF('ORDENES'!$AC339="","-",'ORDENES'!$AC339))</f>
        <v/>
      </c>
      <c r="D361" s="3">
        <f>IF('ORDENES'!$A339="","",IF('ORDENES'!$V339="","-",'ORDENES'!$V339))</f>
        <v/>
      </c>
      <c r="E361" s="3">
        <f>IF('ORDENES'!$A339="","",IF('ORDENES'!$U339="","-",'ORDENES'!$U339))</f>
        <v/>
      </c>
      <c r="F361" s="3">
        <f>IF('ORDENES'!$A339="","",IF('ORDENES'!$W339="","-",'ORDENES'!$W339))</f>
        <v/>
      </c>
      <c r="G361" s="3">
        <f>IF('ORDENES'!$A339="","",IF('ORDENES'!$AB339="","-",'ORDENES'!$AB339))</f>
        <v/>
      </c>
      <c r="H361" s="3">
        <f>IF('ORDENES'!$A339="","",IF('ORDENES'!$AN339="","-",'ORDENES'!$AN339))</f>
        <v/>
      </c>
      <c r="I361" s="3">
        <f>IF('ORDENES'!$A339="","",IF('ORDENES'!$D339="","-",'ORDENES'!$D339))</f>
        <v/>
      </c>
      <c r="J361" s="3">
        <f>IF('ORDENES'!$A339="","",IF('ORDENES'!$E339="","-",'ORDENES'!$E339))</f>
        <v/>
      </c>
      <c r="K361" s="12">
        <f>IF('ORDENES'!$A339="","",IF('ORDENES'!$M339="",0,'ORDENES'!$M339))</f>
        <v/>
      </c>
      <c r="L361" s="3">
        <f>IF('ORDENES'!$A339="","",IF('ORDENES'!$N339="","-",'ORDENES'!$N339))</f>
        <v/>
      </c>
      <c r="M361" s="3">
        <f>IF('ORDENES'!$A339="","",'ORDENES'!$AA339)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IF('ORDENES'!$A340="","",IF('ORDENES'!$AC340="","-",'ORDENES'!$AC340))</f>
        <v/>
      </c>
      <c r="D362" s="3">
        <f>IF('ORDENES'!$A340="","",IF('ORDENES'!$V340="","-",'ORDENES'!$V340))</f>
        <v/>
      </c>
      <c r="E362" s="3">
        <f>IF('ORDENES'!$A340="","",IF('ORDENES'!$U340="","-",'ORDENES'!$U340))</f>
        <v/>
      </c>
      <c r="F362" s="3">
        <f>IF('ORDENES'!$A340="","",IF('ORDENES'!$W340="","-",'ORDENES'!$W340))</f>
        <v/>
      </c>
      <c r="G362" s="3">
        <f>IF('ORDENES'!$A340="","",IF('ORDENES'!$AB340="","-",'ORDENES'!$AB340))</f>
        <v/>
      </c>
      <c r="H362" s="3">
        <f>IF('ORDENES'!$A340="","",IF('ORDENES'!$AN340="","-",'ORDENES'!$AN340))</f>
        <v/>
      </c>
      <c r="I362" s="3">
        <f>IF('ORDENES'!$A340="","",IF('ORDENES'!$D340="","-",'ORDENES'!$D340))</f>
        <v/>
      </c>
      <c r="J362" s="3">
        <f>IF('ORDENES'!$A340="","",IF('ORDENES'!$E340="","-",'ORDENES'!$E340))</f>
        <v/>
      </c>
      <c r="K362" s="12">
        <f>IF('ORDENES'!$A340="","",IF('ORDENES'!$M340="",0,'ORDENES'!$M340))</f>
        <v/>
      </c>
      <c r="L362" s="3">
        <f>IF('ORDENES'!$A340="","",IF('ORDENES'!$N340="","-",'ORDENES'!$N340))</f>
        <v/>
      </c>
      <c r="M362" s="3">
        <f>IF('ORDENES'!$A340="","",'ORDENES'!$AA340)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IF('ORDENES'!$A341="","",IF('ORDENES'!$AC341="","-",'ORDENES'!$AC341))</f>
        <v/>
      </c>
      <c r="D363" s="3">
        <f>IF('ORDENES'!$A341="","",IF('ORDENES'!$V341="","-",'ORDENES'!$V341))</f>
        <v/>
      </c>
      <c r="E363" s="3">
        <f>IF('ORDENES'!$A341="","",IF('ORDENES'!$U341="","-",'ORDENES'!$U341))</f>
        <v/>
      </c>
      <c r="F363" s="3">
        <f>IF('ORDENES'!$A341="","",IF('ORDENES'!$W341="","-",'ORDENES'!$W341))</f>
        <v/>
      </c>
      <c r="G363" s="3">
        <f>IF('ORDENES'!$A341="","",IF('ORDENES'!$AB341="","-",'ORDENES'!$AB341))</f>
        <v/>
      </c>
      <c r="H363" s="3">
        <f>IF('ORDENES'!$A341="","",IF('ORDENES'!$AN341="","-",'ORDENES'!$AN341))</f>
        <v/>
      </c>
      <c r="I363" s="3">
        <f>IF('ORDENES'!$A341="","",IF('ORDENES'!$D341="","-",'ORDENES'!$D341))</f>
        <v/>
      </c>
      <c r="J363" s="3">
        <f>IF('ORDENES'!$A341="","",IF('ORDENES'!$E341="","-",'ORDENES'!$E341))</f>
        <v/>
      </c>
      <c r="K363" s="12">
        <f>IF('ORDENES'!$A341="","",IF('ORDENES'!$M341="",0,'ORDENES'!$M341))</f>
        <v/>
      </c>
      <c r="L363" s="3">
        <f>IF('ORDENES'!$A341="","",IF('ORDENES'!$N341="","-",'ORDENES'!$N341))</f>
        <v/>
      </c>
      <c r="M363" s="3">
        <f>IF('ORDENES'!$A341="","",'ORDENES'!$AA341)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IF('ORDENES'!$A342="","",IF('ORDENES'!$AC342="","-",'ORDENES'!$AC342))</f>
        <v/>
      </c>
      <c r="D364" s="3">
        <f>IF('ORDENES'!$A342="","",IF('ORDENES'!$V342="","-",'ORDENES'!$V342))</f>
        <v/>
      </c>
      <c r="E364" s="3">
        <f>IF('ORDENES'!$A342="","",IF('ORDENES'!$U342="","-",'ORDENES'!$U342))</f>
        <v/>
      </c>
      <c r="F364" s="3">
        <f>IF('ORDENES'!$A342="","",IF('ORDENES'!$W342="","-",'ORDENES'!$W342))</f>
        <v/>
      </c>
      <c r="G364" s="3">
        <f>IF('ORDENES'!$A342="","",IF('ORDENES'!$AB342="","-",'ORDENES'!$AB342))</f>
        <v/>
      </c>
      <c r="H364" s="3">
        <f>IF('ORDENES'!$A342="","",IF('ORDENES'!$AN342="","-",'ORDENES'!$AN342))</f>
        <v/>
      </c>
      <c r="I364" s="3">
        <f>IF('ORDENES'!$A342="","",IF('ORDENES'!$D342="","-",'ORDENES'!$D342))</f>
        <v/>
      </c>
      <c r="J364" s="3">
        <f>IF('ORDENES'!$A342="","",IF('ORDENES'!$E342="","-",'ORDENES'!$E342))</f>
        <v/>
      </c>
      <c r="K364" s="12">
        <f>IF('ORDENES'!$A342="","",IF('ORDENES'!$M342="",0,'ORDENES'!$M342))</f>
        <v/>
      </c>
      <c r="L364" s="3">
        <f>IF('ORDENES'!$A342="","",IF('ORDENES'!$N342="","-",'ORDENES'!$N342))</f>
        <v/>
      </c>
      <c r="M364" s="3">
        <f>IF('ORDENES'!$A342="","",'ORDENES'!$AA342)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IF('ORDENES'!$A343="","",IF('ORDENES'!$AC343="","-",'ORDENES'!$AC343))</f>
        <v/>
      </c>
      <c r="D365" s="3">
        <f>IF('ORDENES'!$A343="","",IF('ORDENES'!$V343="","-",'ORDENES'!$V343))</f>
        <v/>
      </c>
      <c r="E365" s="3">
        <f>IF('ORDENES'!$A343="","",IF('ORDENES'!$U343="","-",'ORDENES'!$U343))</f>
        <v/>
      </c>
      <c r="F365" s="3">
        <f>IF('ORDENES'!$A343="","",IF('ORDENES'!$W343="","-",'ORDENES'!$W343))</f>
        <v/>
      </c>
      <c r="G365" s="3">
        <f>IF('ORDENES'!$A343="","",IF('ORDENES'!$AB343="","-",'ORDENES'!$AB343))</f>
        <v/>
      </c>
      <c r="H365" s="3">
        <f>IF('ORDENES'!$A343="","",IF('ORDENES'!$AN343="","-",'ORDENES'!$AN343))</f>
        <v/>
      </c>
      <c r="I365" s="3">
        <f>IF('ORDENES'!$A343="","",IF('ORDENES'!$D343="","-",'ORDENES'!$D343))</f>
        <v/>
      </c>
      <c r="J365" s="3">
        <f>IF('ORDENES'!$A343="","",IF('ORDENES'!$E343="","-",'ORDENES'!$E343))</f>
        <v/>
      </c>
      <c r="K365" s="12">
        <f>IF('ORDENES'!$A343="","",IF('ORDENES'!$M343="",0,'ORDENES'!$M343))</f>
        <v/>
      </c>
      <c r="L365" s="3">
        <f>IF('ORDENES'!$A343="","",IF('ORDENES'!$N343="","-",'ORDENES'!$N343))</f>
        <v/>
      </c>
      <c r="M365" s="3">
        <f>IF('ORDENES'!$A343="","",'ORDENES'!$AA343)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IF('ORDENES'!$A344="","",IF('ORDENES'!$AC344="","-",'ORDENES'!$AC344))</f>
        <v/>
      </c>
      <c r="D366" s="3">
        <f>IF('ORDENES'!$A344="","",IF('ORDENES'!$V344="","-",'ORDENES'!$V344))</f>
        <v/>
      </c>
      <c r="E366" s="3">
        <f>IF('ORDENES'!$A344="","",IF('ORDENES'!$U344="","-",'ORDENES'!$U344))</f>
        <v/>
      </c>
      <c r="F366" s="3">
        <f>IF('ORDENES'!$A344="","",IF('ORDENES'!$W344="","-",'ORDENES'!$W344))</f>
        <v/>
      </c>
      <c r="G366" s="3">
        <f>IF('ORDENES'!$A344="","",IF('ORDENES'!$AB344="","-",'ORDENES'!$AB344))</f>
        <v/>
      </c>
      <c r="H366" s="3">
        <f>IF('ORDENES'!$A344="","",IF('ORDENES'!$AN344="","-",'ORDENES'!$AN344))</f>
        <v/>
      </c>
      <c r="I366" s="3">
        <f>IF('ORDENES'!$A344="","",IF('ORDENES'!$D344="","-",'ORDENES'!$D344))</f>
        <v/>
      </c>
      <c r="J366" s="3">
        <f>IF('ORDENES'!$A344="","",IF('ORDENES'!$E344="","-",'ORDENES'!$E344))</f>
        <v/>
      </c>
      <c r="K366" s="12">
        <f>IF('ORDENES'!$A344="","",IF('ORDENES'!$M344="",0,'ORDENES'!$M344))</f>
        <v/>
      </c>
      <c r="L366" s="3">
        <f>IF('ORDENES'!$A344="","",IF('ORDENES'!$N344="","-",'ORDENES'!$N344))</f>
        <v/>
      </c>
      <c r="M366" s="3">
        <f>IF('ORDENES'!$A344="","",'ORDENES'!$AA344)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IF('ORDENES'!$A345="","",IF('ORDENES'!$AC345="","-",'ORDENES'!$AC345))</f>
        <v/>
      </c>
      <c r="D367" s="3">
        <f>IF('ORDENES'!$A345="","",IF('ORDENES'!$V345="","-",'ORDENES'!$V345))</f>
        <v/>
      </c>
      <c r="E367" s="3">
        <f>IF('ORDENES'!$A345="","",IF('ORDENES'!$U345="","-",'ORDENES'!$U345))</f>
        <v/>
      </c>
      <c r="F367" s="3">
        <f>IF('ORDENES'!$A345="","",IF('ORDENES'!$W345="","-",'ORDENES'!$W345))</f>
        <v/>
      </c>
      <c r="G367" s="3">
        <f>IF('ORDENES'!$A345="","",IF('ORDENES'!$AB345="","-",'ORDENES'!$AB345))</f>
        <v/>
      </c>
      <c r="H367" s="3">
        <f>IF('ORDENES'!$A345="","",IF('ORDENES'!$AN345="","-",'ORDENES'!$AN345))</f>
        <v/>
      </c>
      <c r="I367" s="3">
        <f>IF('ORDENES'!$A345="","",IF('ORDENES'!$D345="","-",'ORDENES'!$D345))</f>
        <v/>
      </c>
      <c r="J367" s="3">
        <f>IF('ORDENES'!$A345="","",IF('ORDENES'!$E345="","-",'ORDENES'!$E345))</f>
        <v/>
      </c>
      <c r="K367" s="12">
        <f>IF('ORDENES'!$A345="","",IF('ORDENES'!$M345="",0,'ORDENES'!$M345))</f>
        <v/>
      </c>
      <c r="L367" s="3">
        <f>IF('ORDENES'!$A345="","",IF('ORDENES'!$N345="","-",'ORDENES'!$N345))</f>
        <v/>
      </c>
      <c r="M367" s="3">
        <f>IF('ORDENES'!$A345="","",'ORDENES'!$AA345)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IF('ORDENES'!$A346="","",IF('ORDENES'!$AC346="","-",'ORDENES'!$AC346))</f>
        <v/>
      </c>
      <c r="D368" s="3">
        <f>IF('ORDENES'!$A346="","",IF('ORDENES'!$V346="","-",'ORDENES'!$V346))</f>
        <v/>
      </c>
      <c r="E368" s="3">
        <f>IF('ORDENES'!$A346="","",IF('ORDENES'!$U346="","-",'ORDENES'!$U346))</f>
        <v/>
      </c>
      <c r="F368" s="3">
        <f>IF('ORDENES'!$A346="","",IF('ORDENES'!$W346="","-",'ORDENES'!$W346))</f>
        <v/>
      </c>
      <c r="G368" s="3">
        <f>IF('ORDENES'!$A346="","",IF('ORDENES'!$AB346="","-",'ORDENES'!$AB346))</f>
        <v/>
      </c>
      <c r="H368" s="3">
        <f>IF('ORDENES'!$A346="","",IF('ORDENES'!$AN346="","-",'ORDENES'!$AN346))</f>
        <v/>
      </c>
      <c r="I368" s="3">
        <f>IF('ORDENES'!$A346="","",IF('ORDENES'!$D346="","-",'ORDENES'!$D346))</f>
        <v/>
      </c>
      <c r="J368" s="3">
        <f>IF('ORDENES'!$A346="","",IF('ORDENES'!$E346="","-",'ORDENES'!$E346))</f>
        <v/>
      </c>
      <c r="K368" s="12">
        <f>IF('ORDENES'!$A346="","",IF('ORDENES'!$M346="",0,'ORDENES'!$M346))</f>
        <v/>
      </c>
      <c r="L368" s="3">
        <f>IF('ORDENES'!$A346="","",IF('ORDENES'!$N346="","-",'ORDENES'!$N346))</f>
        <v/>
      </c>
      <c r="M368" s="3">
        <f>IF('ORDENES'!$A346="","",'ORDENES'!$AA346)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IF('ORDENES'!$A347="","",IF('ORDENES'!$AC347="","-",'ORDENES'!$AC347))</f>
        <v/>
      </c>
      <c r="D369" s="3">
        <f>IF('ORDENES'!$A347="","",IF('ORDENES'!$V347="","-",'ORDENES'!$V347))</f>
        <v/>
      </c>
      <c r="E369" s="3">
        <f>IF('ORDENES'!$A347="","",IF('ORDENES'!$U347="","-",'ORDENES'!$U347))</f>
        <v/>
      </c>
      <c r="F369" s="3">
        <f>IF('ORDENES'!$A347="","",IF('ORDENES'!$W347="","-",'ORDENES'!$W347))</f>
        <v/>
      </c>
      <c r="G369" s="3">
        <f>IF('ORDENES'!$A347="","",IF('ORDENES'!$AB347="","-",'ORDENES'!$AB347))</f>
        <v/>
      </c>
      <c r="H369" s="3">
        <f>IF('ORDENES'!$A347="","",IF('ORDENES'!$AN347="","-",'ORDENES'!$AN347))</f>
        <v/>
      </c>
      <c r="I369" s="3">
        <f>IF('ORDENES'!$A347="","",IF('ORDENES'!$D347="","-",'ORDENES'!$D347))</f>
        <v/>
      </c>
      <c r="J369" s="3">
        <f>IF('ORDENES'!$A347="","",IF('ORDENES'!$E347="","-",'ORDENES'!$E347))</f>
        <v/>
      </c>
      <c r="K369" s="12">
        <f>IF('ORDENES'!$A347="","",IF('ORDENES'!$M347="",0,'ORDENES'!$M347))</f>
        <v/>
      </c>
      <c r="L369" s="3">
        <f>IF('ORDENES'!$A347="","",IF('ORDENES'!$N347="","-",'ORDENES'!$N347))</f>
        <v/>
      </c>
      <c r="M369" s="3">
        <f>IF('ORDENES'!$A347="","",'ORDENES'!$AA347)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IF('ORDENES'!$A348="","",IF('ORDENES'!$AC348="","-",'ORDENES'!$AC348))</f>
        <v/>
      </c>
      <c r="D370" s="3">
        <f>IF('ORDENES'!$A348="","",IF('ORDENES'!$V348="","-",'ORDENES'!$V348))</f>
        <v/>
      </c>
      <c r="E370" s="3">
        <f>IF('ORDENES'!$A348="","",IF('ORDENES'!$U348="","-",'ORDENES'!$U348))</f>
        <v/>
      </c>
      <c r="F370" s="3">
        <f>IF('ORDENES'!$A348="","",IF('ORDENES'!$W348="","-",'ORDENES'!$W348))</f>
        <v/>
      </c>
      <c r="G370" s="3">
        <f>IF('ORDENES'!$A348="","",IF('ORDENES'!$AB348="","-",'ORDENES'!$AB348))</f>
        <v/>
      </c>
      <c r="H370" s="3">
        <f>IF('ORDENES'!$A348="","",IF('ORDENES'!$AN348="","-",'ORDENES'!$AN348))</f>
        <v/>
      </c>
      <c r="I370" s="3">
        <f>IF('ORDENES'!$A348="","",IF('ORDENES'!$D348="","-",'ORDENES'!$D348))</f>
        <v/>
      </c>
      <c r="J370" s="3">
        <f>IF('ORDENES'!$A348="","",IF('ORDENES'!$E348="","-",'ORDENES'!$E348))</f>
        <v/>
      </c>
      <c r="K370" s="12">
        <f>IF('ORDENES'!$A348="","",IF('ORDENES'!$M348="",0,'ORDENES'!$M348))</f>
        <v/>
      </c>
      <c r="L370" s="3">
        <f>IF('ORDENES'!$A348="","",IF('ORDENES'!$N348="","-",'ORDENES'!$N348))</f>
        <v/>
      </c>
      <c r="M370" s="3">
        <f>IF('ORDENES'!$A348="","",'ORDENES'!$AA348)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IF('ORDENES'!$A349="","",IF('ORDENES'!$AC349="","-",'ORDENES'!$AC349))</f>
        <v/>
      </c>
      <c r="D371" s="3">
        <f>IF('ORDENES'!$A349="","",IF('ORDENES'!$V349="","-",'ORDENES'!$V349))</f>
        <v/>
      </c>
      <c r="E371" s="3">
        <f>IF('ORDENES'!$A349="","",IF('ORDENES'!$U349="","-",'ORDENES'!$U349))</f>
        <v/>
      </c>
      <c r="F371" s="3">
        <f>IF('ORDENES'!$A349="","",IF('ORDENES'!$W349="","-",'ORDENES'!$W349))</f>
        <v/>
      </c>
      <c r="G371" s="3">
        <f>IF('ORDENES'!$A349="","",IF('ORDENES'!$AB349="","-",'ORDENES'!$AB349))</f>
        <v/>
      </c>
      <c r="H371" s="3">
        <f>IF('ORDENES'!$A349="","",IF('ORDENES'!$AN349="","-",'ORDENES'!$AN349))</f>
        <v/>
      </c>
      <c r="I371" s="3">
        <f>IF('ORDENES'!$A349="","",IF('ORDENES'!$D349="","-",'ORDENES'!$D349))</f>
        <v/>
      </c>
      <c r="J371" s="3">
        <f>IF('ORDENES'!$A349="","",IF('ORDENES'!$E349="","-",'ORDENES'!$E349))</f>
        <v/>
      </c>
      <c r="K371" s="12">
        <f>IF('ORDENES'!$A349="","",IF('ORDENES'!$M349="",0,'ORDENES'!$M349))</f>
        <v/>
      </c>
      <c r="L371" s="3">
        <f>IF('ORDENES'!$A349="","",IF('ORDENES'!$N349="","-",'ORDENES'!$N349))</f>
        <v/>
      </c>
      <c r="M371" s="3">
        <f>IF('ORDENES'!$A349="","",'ORDENES'!$AA349)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IF('ORDENES'!$A350="","",IF('ORDENES'!$AC350="","-",'ORDENES'!$AC350))</f>
        <v/>
      </c>
      <c r="D372" s="3">
        <f>IF('ORDENES'!$A350="","",IF('ORDENES'!$V350="","-",'ORDENES'!$V350))</f>
        <v/>
      </c>
      <c r="E372" s="3">
        <f>IF('ORDENES'!$A350="","",IF('ORDENES'!$U350="","-",'ORDENES'!$U350))</f>
        <v/>
      </c>
      <c r="F372" s="3">
        <f>IF('ORDENES'!$A350="","",IF('ORDENES'!$W350="","-",'ORDENES'!$W350))</f>
        <v/>
      </c>
      <c r="G372" s="3">
        <f>IF('ORDENES'!$A350="","",IF('ORDENES'!$AB350="","-",'ORDENES'!$AB350))</f>
        <v/>
      </c>
      <c r="H372" s="3">
        <f>IF('ORDENES'!$A350="","",IF('ORDENES'!$AN350="","-",'ORDENES'!$AN350))</f>
        <v/>
      </c>
      <c r="I372" s="3">
        <f>IF('ORDENES'!$A350="","",IF('ORDENES'!$D350="","-",'ORDENES'!$D350))</f>
        <v/>
      </c>
      <c r="J372" s="3">
        <f>IF('ORDENES'!$A350="","",IF('ORDENES'!$E350="","-",'ORDENES'!$E350))</f>
        <v/>
      </c>
      <c r="K372" s="12">
        <f>IF('ORDENES'!$A350="","",IF('ORDENES'!$M350="",0,'ORDENES'!$M350))</f>
        <v/>
      </c>
      <c r="L372" s="3">
        <f>IF('ORDENES'!$A350="","",IF('ORDENES'!$N350="","-",'ORDENES'!$N350))</f>
        <v/>
      </c>
      <c r="M372" s="3">
        <f>IF('ORDENES'!$A350="","",'ORDENES'!$AA350)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IF('ORDENES'!$A351="","",IF('ORDENES'!$AC351="","-",'ORDENES'!$AC351))</f>
        <v/>
      </c>
      <c r="D373" s="3">
        <f>IF('ORDENES'!$A351="","",IF('ORDENES'!$V351="","-",'ORDENES'!$V351))</f>
        <v/>
      </c>
      <c r="E373" s="3">
        <f>IF('ORDENES'!$A351="","",IF('ORDENES'!$U351="","-",'ORDENES'!$U351))</f>
        <v/>
      </c>
      <c r="F373" s="3">
        <f>IF('ORDENES'!$A351="","",IF('ORDENES'!$W351="","-",'ORDENES'!$W351))</f>
        <v/>
      </c>
      <c r="G373" s="3">
        <f>IF('ORDENES'!$A351="","",IF('ORDENES'!$AB351="","-",'ORDENES'!$AB351))</f>
        <v/>
      </c>
      <c r="H373" s="3">
        <f>IF('ORDENES'!$A351="","",IF('ORDENES'!$AN351="","-",'ORDENES'!$AN351))</f>
        <v/>
      </c>
      <c r="I373" s="3">
        <f>IF('ORDENES'!$A351="","",IF('ORDENES'!$D351="","-",'ORDENES'!$D351))</f>
        <v/>
      </c>
      <c r="J373" s="3">
        <f>IF('ORDENES'!$A351="","",IF('ORDENES'!$E351="","-",'ORDENES'!$E351))</f>
        <v/>
      </c>
      <c r="K373" s="12">
        <f>IF('ORDENES'!$A351="","",IF('ORDENES'!$M351="",0,'ORDENES'!$M351))</f>
        <v/>
      </c>
      <c r="L373" s="3">
        <f>IF('ORDENES'!$A351="","",IF('ORDENES'!$N351="","-",'ORDENES'!$N351))</f>
        <v/>
      </c>
      <c r="M373" s="3">
        <f>IF('ORDENES'!$A351="","",'ORDENES'!$AA351)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IF('ORDENES'!$A352="","",IF('ORDENES'!$AC352="","-",'ORDENES'!$AC352))</f>
        <v/>
      </c>
      <c r="D374" s="3">
        <f>IF('ORDENES'!$A352="","",IF('ORDENES'!$V352="","-",'ORDENES'!$V352))</f>
        <v/>
      </c>
      <c r="E374" s="3">
        <f>IF('ORDENES'!$A352="","",IF('ORDENES'!$U352="","-",'ORDENES'!$U352))</f>
        <v/>
      </c>
      <c r="F374" s="3">
        <f>IF('ORDENES'!$A352="","",IF('ORDENES'!$W352="","-",'ORDENES'!$W352))</f>
        <v/>
      </c>
      <c r="G374" s="3">
        <f>IF('ORDENES'!$A352="","",IF('ORDENES'!$AB352="","-",'ORDENES'!$AB352))</f>
        <v/>
      </c>
      <c r="H374" s="3">
        <f>IF('ORDENES'!$A352="","",IF('ORDENES'!$AN352="","-",'ORDENES'!$AN352))</f>
        <v/>
      </c>
      <c r="I374" s="3">
        <f>IF('ORDENES'!$A352="","",IF('ORDENES'!$D352="","-",'ORDENES'!$D352))</f>
        <v/>
      </c>
      <c r="J374" s="3">
        <f>IF('ORDENES'!$A352="","",IF('ORDENES'!$E352="","-",'ORDENES'!$E352))</f>
        <v/>
      </c>
      <c r="K374" s="12">
        <f>IF('ORDENES'!$A352="","",IF('ORDENES'!$M352="",0,'ORDENES'!$M352))</f>
        <v/>
      </c>
      <c r="L374" s="3">
        <f>IF('ORDENES'!$A352="","",IF('ORDENES'!$N352="","-",'ORDENES'!$N352))</f>
        <v/>
      </c>
      <c r="M374" s="3">
        <f>IF('ORDENES'!$A352="","",'ORDENES'!$AA352)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IF('ORDENES'!$A353="","",IF('ORDENES'!$AC353="","-",'ORDENES'!$AC353))</f>
        <v/>
      </c>
      <c r="D375" s="3">
        <f>IF('ORDENES'!$A353="","",IF('ORDENES'!$V353="","-",'ORDENES'!$V353))</f>
        <v/>
      </c>
      <c r="E375" s="3">
        <f>IF('ORDENES'!$A353="","",IF('ORDENES'!$U353="","-",'ORDENES'!$U353))</f>
        <v/>
      </c>
      <c r="F375" s="3">
        <f>IF('ORDENES'!$A353="","",IF('ORDENES'!$W353="","-",'ORDENES'!$W353))</f>
        <v/>
      </c>
      <c r="G375" s="3">
        <f>IF('ORDENES'!$A353="","",IF('ORDENES'!$AB353="","-",'ORDENES'!$AB353))</f>
        <v/>
      </c>
      <c r="H375" s="3">
        <f>IF('ORDENES'!$A353="","",IF('ORDENES'!$AN353="","-",'ORDENES'!$AN353))</f>
        <v/>
      </c>
      <c r="I375" s="3">
        <f>IF('ORDENES'!$A353="","",IF('ORDENES'!$D353="","-",'ORDENES'!$D353))</f>
        <v/>
      </c>
      <c r="J375" s="3">
        <f>IF('ORDENES'!$A353="","",IF('ORDENES'!$E353="","-",'ORDENES'!$E353))</f>
        <v/>
      </c>
      <c r="K375" s="12">
        <f>IF('ORDENES'!$A353="","",IF('ORDENES'!$M353="",0,'ORDENES'!$M353))</f>
        <v/>
      </c>
      <c r="L375" s="3">
        <f>IF('ORDENES'!$A353="","",IF('ORDENES'!$N353="","-",'ORDENES'!$N353))</f>
        <v/>
      </c>
      <c r="M375" s="3">
        <f>IF('ORDENES'!$A353="","",'ORDENES'!$AA353)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IF('ORDENES'!$A354="","",IF('ORDENES'!$AC354="","-",'ORDENES'!$AC354))</f>
        <v/>
      </c>
      <c r="D376" s="3">
        <f>IF('ORDENES'!$A354="","",IF('ORDENES'!$V354="","-",'ORDENES'!$V354))</f>
        <v/>
      </c>
      <c r="E376" s="3">
        <f>IF('ORDENES'!$A354="","",IF('ORDENES'!$U354="","-",'ORDENES'!$U354))</f>
        <v/>
      </c>
      <c r="F376" s="3">
        <f>IF('ORDENES'!$A354="","",IF('ORDENES'!$W354="","-",'ORDENES'!$W354))</f>
        <v/>
      </c>
      <c r="G376" s="3">
        <f>IF('ORDENES'!$A354="","",IF('ORDENES'!$AB354="","-",'ORDENES'!$AB354))</f>
        <v/>
      </c>
      <c r="H376" s="3">
        <f>IF('ORDENES'!$A354="","",IF('ORDENES'!$AN354="","-",'ORDENES'!$AN354))</f>
        <v/>
      </c>
      <c r="I376" s="3">
        <f>IF('ORDENES'!$A354="","",IF('ORDENES'!$D354="","-",'ORDENES'!$D354))</f>
        <v/>
      </c>
      <c r="J376" s="3">
        <f>IF('ORDENES'!$A354="","",IF('ORDENES'!$E354="","-",'ORDENES'!$E354))</f>
        <v/>
      </c>
      <c r="K376" s="12">
        <f>IF('ORDENES'!$A354="","",IF('ORDENES'!$M354="",0,'ORDENES'!$M354))</f>
        <v/>
      </c>
      <c r="L376" s="3">
        <f>IF('ORDENES'!$A354="","",IF('ORDENES'!$N354="","-",'ORDENES'!$N354))</f>
        <v/>
      </c>
      <c r="M376" s="3">
        <f>IF('ORDENES'!$A354="","",'ORDENES'!$AA354)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IF('ORDENES'!$A355="","",IF('ORDENES'!$AC355="","-",'ORDENES'!$AC355))</f>
        <v/>
      </c>
      <c r="D377" s="3">
        <f>IF('ORDENES'!$A355="","",IF('ORDENES'!$V355="","-",'ORDENES'!$V355))</f>
        <v/>
      </c>
      <c r="E377" s="3">
        <f>IF('ORDENES'!$A355="","",IF('ORDENES'!$U355="","-",'ORDENES'!$U355))</f>
        <v/>
      </c>
      <c r="F377" s="3">
        <f>IF('ORDENES'!$A355="","",IF('ORDENES'!$W355="","-",'ORDENES'!$W355))</f>
        <v/>
      </c>
      <c r="G377" s="3">
        <f>IF('ORDENES'!$A355="","",IF('ORDENES'!$AB355="","-",'ORDENES'!$AB355))</f>
        <v/>
      </c>
      <c r="H377" s="3">
        <f>IF('ORDENES'!$A355="","",IF('ORDENES'!$AN355="","-",'ORDENES'!$AN355))</f>
        <v/>
      </c>
      <c r="I377" s="3">
        <f>IF('ORDENES'!$A355="","",IF('ORDENES'!$D355="","-",'ORDENES'!$D355))</f>
        <v/>
      </c>
      <c r="J377" s="3">
        <f>IF('ORDENES'!$A355="","",IF('ORDENES'!$E355="","-",'ORDENES'!$E355))</f>
        <v/>
      </c>
      <c r="K377" s="12">
        <f>IF('ORDENES'!$A355="","",IF('ORDENES'!$M355="",0,'ORDENES'!$M355))</f>
        <v/>
      </c>
      <c r="L377" s="3">
        <f>IF('ORDENES'!$A355="","",IF('ORDENES'!$N355="","-",'ORDENES'!$N355))</f>
        <v/>
      </c>
      <c r="M377" s="3">
        <f>IF('ORDENES'!$A355="","",'ORDENES'!$AA355)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IF('ORDENES'!$A356="","",IF('ORDENES'!$AC356="","-",'ORDENES'!$AC356))</f>
        <v/>
      </c>
      <c r="D378" s="3">
        <f>IF('ORDENES'!$A356="","",IF('ORDENES'!$V356="","-",'ORDENES'!$V356))</f>
        <v/>
      </c>
      <c r="E378" s="3">
        <f>IF('ORDENES'!$A356="","",IF('ORDENES'!$U356="","-",'ORDENES'!$U356))</f>
        <v/>
      </c>
      <c r="F378" s="3">
        <f>IF('ORDENES'!$A356="","",IF('ORDENES'!$W356="","-",'ORDENES'!$W356))</f>
        <v/>
      </c>
      <c r="G378" s="3">
        <f>IF('ORDENES'!$A356="","",IF('ORDENES'!$AB356="","-",'ORDENES'!$AB356))</f>
        <v/>
      </c>
      <c r="H378" s="3">
        <f>IF('ORDENES'!$A356="","",IF('ORDENES'!$AN356="","-",'ORDENES'!$AN356))</f>
        <v/>
      </c>
      <c r="I378" s="3">
        <f>IF('ORDENES'!$A356="","",IF('ORDENES'!$D356="","-",'ORDENES'!$D356))</f>
        <v/>
      </c>
      <c r="J378" s="3">
        <f>IF('ORDENES'!$A356="","",IF('ORDENES'!$E356="","-",'ORDENES'!$E356))</f>
        <v/>
      </c>
      <c r="K378" s="12">
        <f>IF('ORDENES'!$A356="","",IF('ORDENES'!$M356="",0,'ORDENES'!$M356))</f>
        <v/>
      </c>
      <c r="L378" s="3">
        <f>IF('ORDENES'!$A356="","",IF('ORDENES'!$N356="","-",'ORDENES'!$N356))</f>
        <v/>
      </c>
      <c r="M378" s="3">
        <f>IF('ORDENES'!$A356="","",'ORDENES'!$AA356)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IF('ORDENES'!$A357="","",IF('ORDENES'!$AC357="","-",'ORDENES'!$AC357))</f>
        <v/>
      </c>
      <c r="D379" s="3">
        <f>IF('ORDENES'!$A357="","",IF('ORDENES'!$V357="","-",'ORDENES'!$V357))</f>
        <v/>
      </c>
      <c r="E379" s="3">
        <f>IF('ORDENES'!$A357="","",IF('ORDENES'!$U357="","-",'ORDENES'!$U357))</f>
        <v/>
      </c>
      <c r="F379" s="3">
        <f>IF('ORDENES'!$A357="","",IF('ORDENES'!$W357="","-",'ORDENES'!$W357))</f>
        <v/>
      </c>
      <c r="G379" s="3">
        <f>IF('ORDENES'!$A357="","",IF('ORDENES'!$AB357="","-",'ORDENES'!$AB357))</f>
        <v/>
      </c>
      <c r="H379" s="3">
        <f>IF('ORDENES'!$A357="","",IF('ORDENES'!$AN357="","-",'ORDENES'!$AN357))</f>
        <v/>
      </c>
      <c r="I379" s="3">
        <f>IF('ORDENES'!$A357="","",IF('ORDENES'!$D357="","-",'ORDENES'!$D357))</f>
        <v/>
      </c>
      <c r="J379" s="3">
        <f>IF('ORDENES'!$A357="","",IF('ORDENES'!$E357="","-",'ORDENES'!$E357))</f>
        <v/>
      </c>
      <c r="K379" s="12">
        <f>IF('ORDENES'!$A357="","",IF('ORDENES'!$M357="",0,'ORDENES'!$M357))</f>
        <v/>
      </c>
      <c r="L379" s="3">
        <f>IF('ORDENES'!$A357="","",IF('ORDENES'!$N357="","-",'ORDENES'!$N357))</f>
        <v/>
      </c>
      <c r="M379" s="3">
        <f>IF('ORDENES'!$A357="","",'ORDENES'!$AA357)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IF('ORDENES'!$A358="","",IF('ORDENES'!$AC358="","-",'ORDENES'!$AC358))</f>
        <v/>
      </c>
      <c r="D380" s="3">
        <f>IF('ORDENES'!$A358="","",IF('ORDENES'!$V358="","-",'ORDENES'!$V358))</f>
        <v/>
      </c>
      <c r="E380" s="3">
        <f>IF('ORDENES'!$A358="","",IF('ORDENES'!$U358="","-",'ORDENES'!$U358))</f>
        <v/>
      </c>
      <c r="F380" s="3">
        <f>IF('ORDENES'!$A358="","",IF('ORDENES'!$W358="","-",'ORDENES'!$W358))</f>
        <v/>
      </c>
      <c r="G380" s="3">
        <f>IF('ORDENES'!$A358="","",IF('ORDENES'!$AB358="","-",'ORDENES'!$AB358))</f>
        <v/>
      </c>
      <c r="H380" s="3">
        <f>IF('ORDENES'!$A358="","",IF('ORDENES'!$AN358="","-",'ORDENES'!$AN358))</f>
        <v/>
      </c>
      <c r="I380" s="3">
        <f>IF('ORDENES'!$A358="","",IF('ORDENES'!$D358="","-",'ORDENES'!$D358))</f>
        <v/>
      </c>
      <c r="J380" s="3">
        <f>IF('ORDENES'!$A358="","",IF('ORDENES'!$E358="","-",'ORDENES'!$E358))</f>
        <v/>
      </c>
      <c r="K380" s="12">
        <f>IF('ORDENES'!$A358="","",IF('ORDENES'!$M358="",0,'ORDENES'!$M358))</f>
        <v/>
      </c>
      <c r="L380" s="3">
        <f>IF('ORDENES'!$A358="","",IF('ORDENES'!$N358="","-",'ORDENES'!$N358))</f>
        <v/>
      </c>
      <c r="M380" s="3">
        <f>IF('ORDENES'!$A358="","",'ORDENES'!$AA358)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IF('ORDENES'!$A359="","",IF('ORDENES'!$AC359="","-",'ORDENES'!$AC359))</f>
        <v/>
      </c>
      <c r="D381" s="3">
        <f>IF('ORDENES'!$A359="","",IF('ORDENES'!$V359="","-",'ORDENES'!$V359))</f>
        <v/>
      </c>
      <c r="E381" s="3">
        <f>IF('ORDENES'!$A359="","",IF('ORDENES'!$U359="","-",'ORDENES'!$U359))</f>
        <v/>
      </c>
      <c r="F381" s="3">
        <f>IF('ORDENES'!$A359="","",IF('ORDENES'!$W359="","-",'ORDENES'!$W359))</f>
        <v/>
      </c>
      <c r="G381" s="3">
        <f>IF('ORDENES'!$A359="","",IF('ORDENES'!$AB359="","-",'ORDENES'!$AB359))</f>
        <v/>
      </c>
      <c r="H381" s="3">
        <f>IF('ORDENES'!$A359="","",IF('ORDENES'!$AN359="","-",'ORDENES'!$AN359))</f>
        <v/>
      </c>
      <c r="I381" s="3">
        <f>IF('ORDENES'!$A359="","",IF('ORDENES'!$D359="","-",'ORDENES'!$D359))</f>
        <v/>
      </c>
      <c r="J381" s="3">
        <f>IF('ORDENES'!$A359="","",IF('ORDENES'!$E359="","-",'ORDENES'!$E359))</f>
        <v/>
      </c>
      <c r="K381" s="12">
        <f>IF('ORDENES'!$A359="","",IF('ORDENES'!$M359="",0,'ORDENES'!$M359))</f>
        <v/>
      </c>
      <c r="L381" s="3">
        <f>IF('ORDENES'!$A359="","",IF('ORDENES'!$N359="","-",'ORDENES'!$N359))</f>
        <v/>
      </c>
      <c r="M381" s="3">
        <f>IF('ORDENES'!$A359="","",'ORDENES'!$AA359)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IF('ORDENES'!$A360="","",IF('ORDENES'!$AC360="","-",'ORDENES'!$AC360))</f>
        <v/>
      </c>
      <c r="D382" s="3">
        <f>IF('ORDENES'!$A360="","",IF('ORDENES'!$V360="","-",'ORDENES'!$V360))</f>
        <v/>
      </c>
      <c r="E382" s="3">
        <f>IF('ORDENES'!$A360="","",IF('ORDENES'!$U360="","-",'ORDENES'!$U360))</f>
        <v/>
      </c>
      <c r="F382" s="3">
        <f>IF('ORDENES'!$A360="","",IF('ORDENES'!$W360="","-",'ORDENES'!$W360))</f>
        <v/>
      </c>
      <c r="G382" s="3">
        <f>IF('ORDENES'!$A360="","",IF('ORDENES'!$AB360="","-",'ORDENES'!$AB360))</f>
        <v/>
      </c>
      <c r="H382" s="3">
        <f>IF('ORDENES'!$A360="","",IF('ORDENES'!$AN360="","-",'ORDENES'!$AN360))</f>
        <v/>
      </c>
      <c r="I382" s="3">
        <f>IF('ORDENES'!$A360="","",IF('ORDENES'!$D360="","-",'ORDENES'!$D360))</f>
        <v/>
      </c>
      <c r="J382" s="3">
        <f>IF('ORDENES'!$A360="","",IF('ORDENES'!$E360="","-",'ORDENES'!$E360))</f>
        <v/>
      </c>
      <c r="K382" s="12">
        <f>IF('ORDENES'!$A360="","",IF('ORDENES'!$M360="",0,'ORDENES'!$M360))</f>
        <v/>
      </c>
      <c r="L382" s="3">
        <f>IF('ORDENES'!$A360="","",IF('ORDENES'!$N360="","-",'ORDENES'!$N360))</f>
        <v/>
      </c>
      <c r="M382" s="3">
        <f>IF('ORDENES'!$A360="","",'ORDENES'!$AA360)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IF('ORDENES'!$A361="","",IF('ORDENES'!$AC361="","-",'ORDENES'!$AC361))</f>
        <v/>
      </c>
      <c r="D383" s="3">
        <f>IF('ORDENES'!$A361="","",IF('ORDENES'!$V361="","-",'ORDENES'!$V361))</f>
        <v/>
      </c>
      <c r="E383" s="3">
        <f>IF('ORDENES'!$A361="","",IF('ORDENES'!$U361="","-",'ORDENES'!$U361))</f>
        <v/>
      </c>
      <c r="F383" s="3">
        <f>IF('ORDENES'!$A361="","",IF('ORDENES'!$W361="","-",'ORDENES'!$W361))</f>
        <v/>
      </c>
      <c r="G383" s="3">
        <f>IF('ORDENES'!$A361="","",IF('ORDENES'!$AB361="","-",'ORDENES'!$AB361))</f>
        <v/>
      </c>
      <c r="H383" s="3">
        <f>IF('ORDENES'!$A361="","",IF('ORDENES'!$AN361="","-",'ORDENES'!$AN361))</f>
        <v/>
      </c>
      <c r="I383" s="3">
        <f>IF('ORDENES'!$A361="","",IF('ORDENES'!$D361="","-",'ORDENES'!$D361))</f>
        <v/>
      </c>
      <c r="J383" s="3">
        <f>IF('ORDENES'!$A361="","",IF('ORDENES'!$E361="","-",'ORDENES'!$E361))</f>
        <v/>
      </c>
      <c r="K383" s="12">
        <f>IF('ORDENES'!$A361="","",IF('ORDENES'!$M361="",0,'ORDENES'!$M361))</f>
        <v/>
      </c>
      <c r="L383" s="3">
        <f>IF('ORDENES'!$A361="","",IF('ORDENES'!$N361="","-",'ORDENES'!$N361))</f>
        <v/>
      </c>
      <c r="M383" s="3">
        <f>IF('ORDENES'!$A361="","",'ORDENES'!$AA361)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IF('ORDENES'!$A362="","",IF('ORDENES'!$AC362="","-",'ORDENES'!$AC362))</f>
        <v/>
      </c>
      <c r="D384" s="3">
        <f>IF('ORDENES'!$A362="","",IF('ORDENES'!$V362="","-",'ORDENES'!$V362))</f>
        <v/>
      </c>
      <c r="E384" s="3">
        <f>IF('ORDENES'!$A362="","",IF('ORDENES'!$U362="","-",'ORDENES'!$U362))</f>
        <v/>
      </c>
      <c r="F384" s="3">
        <f>IF('ORDENES'!$A362="","",IF('ORDENES'!$W362="","-",'ORDENES'!$W362))</f>
        <v/>
      </c>
      <c r="G384" s="3">
        <f>IF('ORDENES'!$A362="","",IF('ORDENES'!$AB362="","-",'ORDENES'!$AB362))</f>
        <v/>
      </c>
      <c r="H384" s="3">
        <f>IF('ORDENES'!$A362="","",IF('ORDENES'!$AN362="","-",'ORDENES'!$AN362))</f>
        <v/>
      </c>
      <c r="I384" s="3">
        <f>IF('ORDENES'!$A362="","",IF('ORDENES'!$D362="","-",'ORDENES'!$D362))</f>
        <v/>
      </c>
      <c r="J384" s="3">
        <f>IF('ORDENES'!$A362="","",IF('ORDENES'!$E362="","-",'ORDENES'!$E362))</f>
        <v/>
      </c>
      <c r="K384" s="12">
        <f>IF('ORDENES'!$A362="","",IF('ORDENES'!$M362="",0,'ORDENES'!$M362))</f>
        <v/>
      </c>
      <c r="L384" s="3">
        <f>IF('ORDENES'!$A362="","",IF('ORDENES'!$N362="","-",'ORDENES'!$N362))</f>
        <v/>
      </c>
      <c r="M384" s="3">
        <f>IF('ORDENES'!$A362="","",'ORDENES'!$AA362)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IF('ORDENES'!$A363="","",IF('ORDENES'!$AC363="","-",'ORDENES'!$AC363))</f>
        <v/>
      </c>
      <c r="D385" s="3">
        <f>IF('ORDENES'!$A363="","",IF('ORDENES'!$V363="","-",'ORDENES'!$V363))</f>
        <v/>
      </c>
      <c r="E385" s="3">
        <f>IF('ORDENES'!$A363="","",IF('ORDENES'!$U363="","-",'ORDENES'!$U363))</f>
        <v/>
      </c>
      <c r="F385" s="3">
        <f>IF('ORDENES'!$A363="","",IF('ORDENES'!$W363="","-",'ORDENES'!$W363))</f>
        <v/>
      </c>
      <c r="G385" s="3">
        <f>IF('ORDENES'!$A363="","",IF('ORDENES'!$AB363="","-",'ORDENES'!$AB363))</f>
        <v/>
      </c>
      <c r="H385" s="3">
        <f>IF('ORDENES'!$A363="","",IF('ORDENES'!$AN363="","-",'ORDENES'!$AN363))</f>
        <v/>
      </c>
      <c r="I385" s="3">
        <f>IF('ORDENES'!$A363="","",IF('ORDENES'!$D363="","-",'ORDENES'!$D363))</f>
        <v/>
      </c>
      <c r="J385" s="3">
        <f>IF('ORDENES'!$A363="","",IF('ORDENES'!$E363="","-",'ORDENES'!$E363))</f>
        <v/>
      </c>
      <c r="K385" s="12">
        <f>IF('ORDENES'!$A363="","",IF('ORDENES'!$M363="",0,'ORDENES'!$M363))</f>
        <v/>
      </c>
      <c r="L385" s="3">
        <f>IF('ORDENES'!$A363="","",IF('ORDENES'!$N363="","-",'ORDENES'!$N363))</f>
        <v/>
      </c>
      <c r="M385" s="3">
        <f>IF('ORDENES'!$A363="","",'ORDENES'!$AA363)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IF('ORDENES'!$A364="","",IF('ORDENES'!$AC364="","-",'ORDENES'!$AC364))</f>
        <v/>
      </c>
      <c r="D386" s="3">
        <f>IF('ORDENES'!$A364="","",IF('ORDENES'!$V364="","-",'ORDENES'!$V364))</f>
        <v/>
      </c>
      <c r="E386" s="3">
        <f>IF('ORDENES'!$A364="","",IF('ORDENES'!$U364="","-",'ORDENES'!$U364))</f>
        <v/>
      </c>
      <c r="F386" s="3">
        <f>IF('ORDENES'!$A364="","",IF('ORDENES'!$W364="","-",'ORDENES'!$W364))</f>
        <v/>
      </c>
      <c r="G386" s="3">
        <f>IF('ORDENES'!$A364="","",IF('ORDENES'!$AB364="","-",'ORDENES'!$AB364))</f>
        <v/>
      </c>
      <c r="H386" s="3">
        <f>IF('ORDENES'!$A364="","",IF('ORDENES'!$AN364="","-",'ORDENES'!$AN364))</f>
        <v/>
      </c>
      <c r="I386" s="3">
        <f>IF('ORDENES'!$A364="","",IF('ORDENES'!$D364="","-",'ORDENES'!$D364))</f>
        <v/>
      </c>
      <c r="J386" s="3">
        <f>IF('ORDENES'!$A364="","",IF('ORDENES'!$E364="","-",'ORDENES'!$E364))</f>
        <v/>
      </c>
      <c r="K386" s="12">
        <f>IF('ORDENES'!$A364="","",IF('ORDENES'!$M364="",0,'ORDENES'!$M364))</f>
        <v/>
      </c>
      <c r="L386" s="3">
        <f>IF('ORDENES'!$A364="","",IF('ORDENES'!$N364="","-",'ORDENES'!$N364))</f>
        <v/>
      </c>
      <c r="M386" s="3">
        <f>IF('ORDENES'!$A364="","",'ORDENES'!$AA364)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IF('ORDENES'!$A365="","",IF('ORDENES'!$AC365="","-",'ORDENES'!$AC365))</f>
        <v/>
      </c>
      <c r="D387" s="3">
        <f>IF('ORDENES'!$A365="","",IF('ORDENES'!$V365="","-",'ORDENES'!$V365))</f>
        <v/>
      </c>
      <c r="E387" s="3">
        <f>IF('ORDENES'!$A365="","",IF('ORDENES'!$U365="","-",'ORDENES'!$U365))</f>
        <v/>
      </c>
      <c r="F387" s="3">
        <f>IF('ORDENES'!$A365="","",IF('ORDENES'!$W365="","-",'ORDENES'!$W365))</f>
        <v/>
      </c>
      <c r="G387" s="3">
        <f>IF('ORDENES'!$A365="","",IF('ORDENES'!$AB365="","-",'ORDENES'!$AB365))</f>
        <v/>
      </c>
      <c r="H387" s="3">
        <f>IF('ORDENES'!$A365="","",IF('ORDENES'!$AN365="","-",'ORDENES'!$AN365))</f>
        <v/>
      </c>
      <c r="I387" s="3">
        <f>IF('ORDENES'!$A365="","",IF('ORDENES'!$D365="","-",'ORDENES'!$D365))</f>
        <v/>
      </c>
      <c r="J387" s="3">
        <f>IF('ORDENES'!$A365="","",IF('ORDENES'!$E365="","-",'ORDENES'!$E365))</f>
        <v/>
      </c>
      <c r="K387" s="12">
        <f>IF('ORDENES'!$A365="","",IF('ORDENES'!$M365="",0,'ORDENES'!$M365))</f>
        <v/>
      </c>
      <c r="L387" s="3">
        <f>IF('ORDENES'!$A365="","",IF('ORDENES'!$N365="","-",'ORDENES'!$N365))</f>
        <v/>
      </c>
      <c r="M387" s="3">
        <f>IF('ORDENES'!$A365="","",'ORDENES'!$AA365)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IF('ORDENES'!$A366="","",IF('ORDENES'!$AC366="","-",'ORDENES'!$AC366))</f>
        <v/>
      </c>
      <c r="D388" s="3">
        <f>IF('ORDENES'!$A366="","",IF('ORDENES'!$V366="","-",'ORDENES'!$V366))</f>
        <v/>
      </c>
      <c r="E388" s="3">
        <f>IF('ORDENES'!$A366="","",IF('ORDENES'!$U366="","-",'ORDENES'!$U366))</f>
        <v/>
      </c>
      <c r="F388" s="3">
        <f>IF('ORDENES'!$A366="","",IF('ORDENES'!$W366="","-",'ORDENES'!$W366))</f>
        <v/>
      </c>
      <c r="G388" s="3">
        <f>IF('ORDENES'!$A366="","",IF('ORDENES'!$AB366="","-",'ORDENES'!$AB366))</f>
        <v/>
      </c>
      <c r="H388" s="3">
        <f>IF('ORDENES'!$A366="","",IF('ORDENES'!$AN366="","-",'ORDENES'!$AN366))</f>
        <v/>
      </c>
      <c r="I388" s="3">
        <f>IF('ORDENES'!$A366="","",IF('ORDENES'!$D366="","-",'ORDENES'!$D366))</f>
        <v/>
      </c>
      <c r="J388" s="3">
        <f>IF('ORDENES'!$A366="","",IF('ORDENES'!$E366="","-",'ORDENES'!$E366))</f>
        <v/>
      </c>
      <c r="K388" s="12">
        <f>IF('ORDENES'!$A366="","",IF('ORDENES'!$M366="",0,'ORDENES'!$M366))</f>
        <v/>
      </c>
      <c r="L388" s="3">
        <f>IF('ORDENES'!$A366="","",IF('ORDENES'!$N366="","-",'ORDENES'!$N366))</f>
        <v/>
      </c>
      <c r="M388" s="3">
        <f>IF('ORDENES'!$A366="","",'ORDENES'!$AA366)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IF('ORDENES'!$A367="","",IF('ORDENES'!$AC367="","-",'ORDENES'!$AC367))</f>
        <v/>
      </c>
      <c r="D389" s="3">
        <f>IF('ORDENES'!$A367="","",IF('ORDENES'!$V367="","-",'ORDENES'!$V367))</f>
        <v/>
      </c>
      <c r="E389" s="3">
        <f>IF('ORDENES'!$A367="","",IF('ORDENES'!$U367="","-",'ORDENES'!$U367))</f>
        <v/>
      </c>
      <c r="F389" s="3">
        <f>IF('ORDENES'!$A367="","",IF('ORDENES'!$W367="","-",'ORDENES'!$W367))</f>
        <v/>
      </c>
      <c r="G389" s="3">
        <f>IF('ORDENES'!$A367="","",IF('ORDENES'!$AB367="","-",'ORDENES'!$AB367))</f>
        <v/>
      </c>
      <c r="H389" s="3">
        <f>IF('ORDENES'!$A367="","",IF('ORDENES'!$AN367="","-",'ORDENES'!$AN367))</f>
        <v/>
      </c>
      <c r="I389" s="3">
        <f>IF('ORDENES'!$A367="","",IF('ORDENES'!$D367="","-",'ORDENES'!$D367))</f>
        <v/>
      </c>
      <c r="J389" s="3">
        <f>IF('ORDENES'!$A367="","",IF('ORDENES'!$E367="","-",'ORDENES'!$E367))</f>
        <v/>
      </c>
      <c r="K389" s="12">
        <f>IF('ORDENES'!$A367="","",IF('ORDENES'!$M367="",0,'ORDENES'!$M367))</f>
        <v/>
      </c>
      <c r="L389" s="3">
        <f>IF('ORDENES'!$A367="","",IF('ORDENES'!$N367="","-",'ORDENES'!$N367))</f>
        <v/>
      </c>
      <c r="M389" s="3">
        <f>IF('ORDENES'!$A367="","",'ORDENES'!$AA367)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IF('ORDENES'!$A368="","",IF('ORDENES'!$AC368="","-",'ORDENES'!$AC368))</f>
        <v/>
      </c>
      <c r="D390" s="3">
        <f>IF('ORDENES'!$A368="","",IF('ORDENES'!$V368="","-",'ORDENES'!$V368))</f>
        <v/>
      </c>
      <c r="E390" s="3">
        <f>IF('ORDENES'!$A368="","",IF('ORDENES'!$U368="","-",'ORDENES'!$U368))</f>
        <v/>
      </c>
      <c r="F390" s="3">
        <f>IF('ORDENES'!$A368="","",IF('ORDENES'!$W368="","-",'ORDENES'!$W368))</f>
        <v/>
      </c>
      <c r="G390" s="3">
        <f>IF('ORDENES'!$A368="","",IF('ORDENES'!$AB368="","-",'ORDENES'!$AB368))</f>
        <v/>
      </c>
      <c r="H390" s="3">
        <f>IF('ORDENES'!$A368="","",IF('ORDENES'!$AN368="","-",'ORDENES'!$AN368))</f>
        <v/>
      </c>
      <c r="I390" s="3">
        <f>IF('ORDENES'!$A368="","",IF('ORDENES'!$D368="","-",'ORDENES'!$D368))</f>
        <v/>
      </c>
      <c r="J390" s="3">
        <f>IF('ORDENES'!$A368="","",IF('ORDENES'!$E368="","-",'ORDENES'!$E368))</f>
        <v/>
      </c>
      <c r="K390" s="12">
        <f>IF('ORDENES'!$A368="","",IF('ORDENES'!$M368="",0,'ORDENES'!$M368))</f>
        <v/>
      </c>
      <c r="L390" s="3">
        <f>IF('ORDENES'!$A368="","",IF('ORDENES'!$N368="","-",'ORDENES'!$N368))</f>
        <v/>
      </c>
      <c r="M390" s="3">
        <f>IF('ORDENES'!$A368="","",'ORDENES'!$AA368)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IF('ORDENES'!$A369="","",IF('ORDENES'!$AC369="","-",'ORDENES'!$AC369))</f>
        <v/>
      </c>
      <c r="D391" s="3">
        <f>IF('ORDENES'!$A369="","",IF('ORDENES'!$V369="","-",'ORDENES'!$V369))</f>
        <v/>
      </c>
      <c r="E391" s="3">
        <f>IF('ORDENES'!$A369="","",IF('ORDENES'!$U369="","-",'ORDENES'!$U369))</f>
        <v/>
      </c>
      <c r="F391" s="3">
        <f>IF('ORDENES'!$A369="","",IF('ORDENES'!$W369="","-",'ORDENES'!$W369))</f>
        <v/>
      </c>
      <c r="G391" s="3">
        <f>IF('ORDENES'!$A369="","",IF('ORDENES'!$AB369="","-",'ORDENES'!$AB369))</f>
        <v/>
      </c>
      <c r="H391" s="3">
        <f>IF('ORDENES'!$A369="","",IF('ORDENES'!$AN369="","-",'ORDENES'!$AN369))</f>
        <v/>
      </c>
      <c r="I391" s="3">
        <f>IF('ORDENES'!$A369="","",IF('ORDENES'!$D369="","-",'ORDENES'!$D369))</f>
        <v/>
      </c>
      <c r="J391" s="3">
        <f>IF('ORDENES'!$A369="","",IF('ORDENES'!$E369="","-",'ORDENES'!$E369))</f>
        <v/>
      </c>
      <c r="K391" s="12">
        <f>IF('ORDENES'!$A369="","",IF('ORDENES'!$M369="",0,'ORDENES'!$M369))</f>
        <v/>
      </c>
      <c r="L391" s="3">
        <f>IF('ORDENES'!$A369="","",IF('ORDENES'!$N369="","-",'ORDENES'!$N369))</f>
        <v/>
      </c>
      <c r="M391" s="3">
        <f>IF('ORDENES'!$A369="","",'ORDENES'!$AA369)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IF('ORDENES'!$A370="","",IF('ORDENES'!$AC370="","-",'ORDENES'!$AC370))</f>
        <v/>
      </c>
      <c r="D392" s="3">
        <f>IF('ORDENES'!$A370="","",IF('ORDENES'!$V370="","-",'ORDENES'!$V370))</f>
        <v/>
      </c>
      <c r="E392" s="3">
        <f>IF('ORDENES'!$A370="","",IF('ORDENES'!$U370="","-",'ORDENES'!$U370))</f>
        <v/>
      </c>
      <c r="F392" s="3">
        <f>IF('ORDENES'!$A370="","",IF('ORDENES'!$W370="","-",'ORDENES'!$W370))</f>
        <v/>
      </c>
      <c r="G392" s="3">
        <f>IF('ORDENES'!$A370="","",IF('ORDENES'!$AB370="","-",'ORDENES'!$AB370))</f>
        <v/>
      </c>
      <c r="H392" s="3">
        <f>IF('ORDENES'!$A370="","",IF('ORDENES'!$AN370="","-",'ORDENES'!$AN370))</f>
        <v/>
      </c>
      <c r="I392" s="3">
        <f>IF('ORDENES'!$A370="","",IF('ORDENES'!$D370="","-",'ORDENES'!$D370))</f>
        <v/>
      </c>
      <c r="J392" s="3">
        <f>IF('ORDENES'!$A370="","",IF('ORDENES'!$E370="","-",'ORDENES'!$E370))</f>
        <v/>
      </c>
      <c r="K392" s="12">
        <f>IF('ORDENES'!$A370="","",IF('ORDENES'!$M370="",0,'ORDENES'!$M370))</f>
        <v/>
      </c>
      <c r="L392" s="3">
        <f>IF('ORDENES'!$A370="","",IF('ORDENES'!$N370="","-",'ORDENES'!$N370))</f>
        <v/>
      </c>
      <c r="M392" s="3">
        <f>IF('ORDENES'!$A370="","",'ORDENES'!$AA370)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IF('ORDENES'!$A371="","",IF('ORDENES'!$AC371="","-",'ORDENES'!$AC371))</f>
        <v/>
      </c>
      <c r="D393" s="3">
        <f>IF('ORDENES'!$A371="","",IF('ORDENES'!$V371="","-",'ORDENES'!$V371))</f>
        <v/>
      </c>
      <c r="E393" s="3">
        <f>IF('ORDENES'!$A371="","",IF('ORDENES'!$U371="","-",'ORDENES'!$U371))</f>
        <v/>
      </c>
      <c r="F393" s="3">
        <f>IF('ORDENES'!$A371="","",IF('ORDENES'!$W371="","-",'ORDENES'!$W371))</f>
        <v/>
      </c>
      <c r="G393" s="3">
        <f>IF('ORDENES'!$A371="","",IF('ORDENES'!$AB371="","-",'ORDENES'!$AB371))</f>
        <v/>
      </c>
      <c r="H393" s="3">
        <f>IF('ORDENES'!$A371="","",IF('ORDENES'!$AN371="","-",'ORDENES'!$AN371))</f>
        <v/>
      </c>
      <c r="I393" s="3">
        <f>IF('ORDENES'!$A371="","",IF('ORDENES'!$D371="","-",'ORDENES'!$D371))</f>
        <v/>
      </c>
      <c r="J393" s="3">
        <f>IF('ORDENES'!$A371="","",IF('ORDENES'!$E371="","-",'ORDENES'!$E371))</f>
        <v/>
      </c>
      <c r="K393" s="12">
        <f>IF('ORDENES'!$A371="","",IF('ORDENES'!$M371="",0,'ORDENES'!$M371))</f>
        <v/>
      </c>
      <c r="L393" s="3">
        <f>IF('ORDENES'!$A371="","",IF('ORDENES'!$N371="","-",'ORDENES'!$N371))</f>
        <v/>
      </c>
      <c r="M393" s="3">
        <f>IF('ORDENES'!$A371="","",'ORDENES'!$AA371)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IF('ORDENES'!$A372="","",IF('ORDENES'!$AC372="","-",'ORDENES'!$AC372))</f>
        <v/>
      </c>
      <c r="D394" s="3">
        <f>IF('ORDENES'!$A372="","",IF('ORDENES'!$V372="","-",'ORDENES'!$V372))</f>
        <v/>
      </c>
      <c r="E394" s="3">
        <f>IF('ORDENES'!$A372="","",IF('ORDENES'!$U372="","-",'ORDENES'!$U372))</f>
        <v/>
      </c>
      <c r="F394" s="3">
        <f>IF('ORDENES'!$A372="","",IF('ORDENES'!$W372="","-",'ORDENES'!$W372))</f>
        <v/>
      </c>
      <c r="G394" s="3">
        <f>IF('ORDENES'!$A372="","",IF('ORDENES'!$AB372="","-",'ORDENES'!$AB372))</f>
        <v/>
      </c>
      <c r="H394" s="3">
        <f>IF('ORDENES'!$A372="","",IF('ORDENES'!$AN372="","-",'ORDENES'!$AN372))</f>
        <v/>
      </c>
      <c r="I394" s="3">
        <f>IF('ORDENES'!$A372="","",IF('ORDENES'!$D372="","-",'ORDENES'!$D372))</f>
        <v/>
      </c>
      <c r="J394" s="3">
        <f>IF('ORDENES'!$A372="","",IF('ORDENES'!$E372="","-",'ORDENES'!$E372))</f>
        <v/>
      </c>
      <c r="K394" s="12">
        <f>IF('ORDENES'!$A372="","",IF('ORDENES'!$M372="",0,'ORDENES'!$M372))</f>
        <v/>
      </c>
      <c r="L394" s="3">
        <f>IF('ORDENES'!$A372="","",IF('ORDENES'!$N372="","-",'ORDENES'!$N372))</f>
        <v/>
      </c>
      <c r="M394" s="3">
        <f>IF('ORDENES'!$A372="","",'ORDENES'!$AA372)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IF('ORDENES'!$A373="","",IF('ORDENES'!$AC373="","-",'ORDENES'!$AC373))</f>
        <v/>
      </c>
      <c r="D395" s="3">
        <f>IF('ORDENES'!$A373="","",IF('ORDENES'!$V373="","-",'ORDENES'!$V373))</f>
        <v/>
      </c>
      <c r="E395" s="3">
        <f>IF('ORDENES'!$A373="","",IF('ORDENES'!$U373="","-",'ORDENES'!$U373))</f>
        <v/>
      </c>
      <c r="F395" s="3">
        <f>IF('ORDENES'!$A373="","",IF('ORDENES'!$W373="","-",'ORDENES'!$W373))</f>
        <v/>
      </c>
      <c r="G395" s="3">
        <f>IF('ORDENES'!$A373="","",IF('ORDENES'!$AB373="","-",'ORDENES'!$AB373))</f>
        <v/>
      </c>
      <c r="H395" s="3">
        <f>IF('ORDENES'!$A373="","",IF('ORDENES'!$AN373="","-",'ORDENES'!$AN373))</f>
        <v/>
      </c>
      <c r="I395" s="3">
        <f>IF('ORDENES'!$A373="","",IF('ORDENES'!$D373="","-",'ORDENES'!$D373))</f>
        <v/>
      </c>
      <c r="J395" s="3">
        <f>IF('ORDENES'!$A373="","",IF('ORDENES'!$E373="","-",'ORDENES'!$E373))</f>
        <v/>
      </c>
      <c r="K395" s="12">
        <f>IF('ORDENES'!$A373="","",IF('ORDENES'!$M373="",0,'ORDENES'!$M373))</f>
        <v/>
      </c>
      <c r="L395" s="3">
        <f>IF('ORDENES'!$A373="","",IF('ORDENES'!$N373="","-",'ORDENES'!$N373))</f>
        <v/>
      </c>
      <c r="M395" s="3">
        <f>IF('ORDENES'!$A373="","",'ORDENES'!$AA373)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IF('ORDENES'!$A374="","",IF('ORDENES'!$AC374="","-",'ORDENES'!$AC374))</f>
        <v/>
      </c>
      <c r="D396" s="3">
        <f>IF('ORDENES'!$A374="","",IF('ORDENES'!$V374="","-",'ORDENES'!$V374))</f>
        <v/>
      </c>
      <c r="E396" s="3">
        <f>IF('ORDENES'!$A374="","",IF('ORDENES'!$U374="","-",'ORDENES'!$U374))</f>
        <v/>
      </c>
      <c r="F396" s="3">
        <f>IF('ORDENES'!$A374="","",IF('ORDENES'!$W374="","-",'ORDENES'!$W374))</f>
        <v/>
      </c>
      <c r="G396" s="3">
        <f>IF('ORDENES'!$A374="","",IF('ORDENES'!$AB374="","-",'ORDENES'!$AB374))</f>
        <v/>
      </c>
      <c r="H396" s="3">
        <f>IF('ORDENES'!$A374="","",IF('ORDENES'!$AN374="","-",'ORDENES'!$AN374))</f>
        <v/>
      </c>
      <c r="I396" s="3">
        <f>IF('ORDENES'!$A374="","",IF('ORDENES'!$D374="","-",'ORDENES'!$D374))</f>
        <v/>
      </c>
      <c r="J396" s="3">
        <f>IF('ORDENES'!$A374="","",IF('ORDENES'!$E374="","-",'ORDENES'!$E374))</f>
        <v/>
      </c>
      <c r="K396" s="12">
        <f>IF('ORDENES'!$A374="","",IF('ORDENES'!$M374="",0,'ORDENES'!$M374))</f>
        <v/>
      </c>
      <c r="L396" s="3">
        <f>IF('ORDENES'!$A374="","",IF('ORDENES'!$N374="","-",'ORDENES'!$N374))</f>
        <v/>
      </c>
      <c r="M396" s="3">
        <f>IF('ORDENES'!$A374="","",'ORDENES'!$AA374)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IF('ORDENES'!$A375="","",IF('ORDENES'!$AC375="","-",'ORDENES'!$AC375))</f>
        <v/>
      </c>
      <c r="D397" s="3">
        <f>IF('ORDENES'!$A375="","",IF('ORDENES'!$V375="","-",'ORDENES'!$V375))</f>
        <v/>
      </c>
      <c r="E397" s="3">
        <f>IF('ORDENES'!$A375="","",IF('ORDENES'!$U375="","-",'ORDENES'!$U375))</f>
        <v/>
      </c>
      <c r="F397" s="3">
        <f>IF('ORDENES'!$A375="","",IF('ORDENES'!$W375="","-",'ORDENES'!$W375))</f>
        <v/>
      </c>
      <c r="G397" s="3">
        <f>IF('ORDENES'!$A375="","",IF('ORDENES'!$AB375="","-",'ORDENES'!$AB375))</f>
        <v/>
      </c>
      <c r="H397" s="3">
        <f>IF('ORDENES'!$A375="","",IF('ORDENES'!$AN375="","-",'ORDENES'!$AN375))</f>
        <v/>
      </c>
      <c r="I397" s="3">
        <f>IF('ORDENES'!$A375="","",IF('ORDENES'!$D375="","-",'ORDENES'!$D375))</f>
        <v/>
      </c>
      <c r="J397" s="3">
        <f>IF('ORDENES'!$A375="","",IF('ORDENES'!$E375="","-",'ORDENES'!$E375))</f>
        <v/>
      </c>
      <c r="K397" s="12">
        <f>IF('ORDENES'!$A375="","",IF('ORDENES'!$M375="",0,'ORDENES'!$M375))</f>
        <v/>
      </c>
      <c r="L397" s="3">
        <f>IF('ORDENES'!$A375="","",IF('ORDENES'!$N375="","-",'ORDENES'!$N375))</f>
        <v/>
      </c>
      <c r="M397" s="3">
        <f>IF('ORDENES'!$A375="","",'ORDENES'!$AA375)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IF('ORDENES'!$A376="","",IF('ORDENES'!$AC376="","-",'ORDENES'!$AC376))</f>
        <v/>
      </c>
      <c r="D398" s="3">
        <f>IF('ORDENES'!$A376="","",IF('ORDENES'!$V376="","-",'ORDENES'!$V376))</f>
        <v/>
      </c>
      <c r="E398" s="3">
        <f>IF('ORDENES'!$A376="","",IF('ORDENES'!$U376="","-",'ORDENES'!$U376))</f>
        <v/>
      </c>
      <c r="F398" s="3">
        <f>IF('ORDENES'!$A376="","",IF('ORDENES'!$W376="","-",'ORDENES'!$W376))</f>
        <v/>
      </c>
      <c r="G398" s="3">
        <f>IF('ORDENES'!$A376="","",IF('ORDENES'!$AB376="","-",'ORDENES'!$AB376))</f>
        <v/>
      </c>
      <c r="H398" s="3">
        <f>IF('ORDENES'!$A376="","",IF('ORDENES'!$AN376="","-",'ORDENES'!$AN376))</f>
        <v/>
      </c>
      <c r="I398" s="3">
        <f>IF('ORDENES'!$A376="","",IF('ORDENES'!$D376="","-",'ORDENES'!$D376))</f>
        <v/>
      </c>
      <c r="J398" s="3">
        <f>IF('ORDENES'!$A376="","",IF('ORDENES'!$E376="","-",'ORDENES'!$E376))</f>
        <v/>
      </c>
      <c r="K398" s="12">
        <f>IF('ORDENES'!$A376="","",IF('ORDENES'!$M376="",0,'ORDENES'!$M376))</f>
        <v/>
      </c>
      <c r="L398" s="3">
        <f>IF('ORDENES'!$A376="","",IF('ORDENES'!$N376="","-",'ORDENES'!$N376))</f>
        <v/>
      </c>
      <c r="M398" s="3">
        <f>IF('ORDENES'!$A376="","",'ORDENES'!$AA376)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IF('ORDENES'!$A377="","",IF('ORDENES'!$AC377="","-",'ORDENES'!$AC377))</f>
        <v/>
      </c>
      <c r="D399" s="3">
        <f>IF('ORDENES'!$A377="","",IF('ORDENES'!$V377="","-",'ORDENES'!$V377))</f>
        <v/>
      </c>
      <c r="E399" s="3">
        <f>IF('ORDENES'!$A377="","",IF('ORDENES'!$U377="","-",'ORDENES'!$U377))</f>
        <v/>
      </c>
      <c r="F399" s="3">
        <f>IF('ORDENES'!$A377="","",IF('ORDENES'!$W377="","-",'ORDENES'!$W377))</f>
        <v/>
      </c>
      <c r="G399" s="3">
        <f>IF('ORDENES'!$A377="","",IF('ORDENES'!$AB377="","-",'ORDENES'!$AB377))</f>
        <v/>
      </c>
      <c r="H399" s="3">
        <f>IF('ORDENES'!$A377="","",IF('ORDENES'!$AN377="","-",'ORDENES'!$AN377))</f>
        <v/>
      </c>
      <c r="I399" s="3">
        <f>IF('ORDENES'!$A377="","",IF('ORDENES'!$D377="","-",'ORDENES'!$D377))</f>
        <v/>
      </c>
      <c r="J399" s="3">
        <f>IF('ORDENES'!$A377="","",IF('ORDENES'!$E377="","-",'ORDENES'!$E377))</f>
        <v/>
      </c>
      <c r="K399" s="12">
        <f>IF('ORDENES'!$A377="","",IF('ORDENES'!$M377="",0,'ORDENES'!$M377))</f>
        <v/>
      </c>
      <c r="L399" s="3">
        <f>IF('ORDENES'!$A377="","",IF('ORDENES'!$N377="","-",'ORDENES'!$N377))</f>
        <v/>
      </c>
      <c r="M399" s="3">
        <f>IF('ORDENES'!$A377="","",'ORDENES'!$AA377)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IF('ORDENES'!$A378="","",IF('ORDENES'!$AC378="","-",'ORDENES'!$AC378))</f>
        <v/>
      </c>
      <c r="D400" s="3">
        <f>IF('ORDENES'!$A378="","",IF('ORDENES'!$V378="","-",'ORDENES'!$V378))</f>
        <v/>
      </c>
      <c r="E400" s="3">
        <f>IF('ORDENES'!$A378="","",IF('ORDENES'!$U378="","-",'ORDENES'!$U378))</f>
        <v/>
      </c>
      <c r="F400" s="3">
        <f>IF('ORDENES'!$A378="","",IF('ORDENES'!$W378="","-",'ORDENES'!$W378))</f>
        <v/>
      </c>
      <c r="G400" s="3">
        <f>IF('ORDENES'!$A378="","",IF('ORDENES'!$AB378="","-",'ORDENES'!$AB378))</f>
        <v/>
      </c>
      <c r="H400" s="3">
        <f>IF('ORDENES'!$A378="","",IF('ORDENES'!$AN378="","-",'ORDENES'!$AN378))</f>
        <v/>
      </c>
      <c r="I400" s="3">
        <f>IF('ORDENES'!$A378="","",IF('ORDENES'!$D378="","-",'ORDENES'!$D378))</f>
        <v/>
      </c>
      <c r="J400" s="3">
        <f>IF('ORDENES'!$A378="","",IF('ORDENES'!$E378="","-",'ORDENES'!$E378))</f>
        <v/>
      </c>
      <c r="K400" s="12">
        <f>IF('ORDENES'!$A378="","",IF('ORDENES'!$M378="",0,'ORDENES'!$M378))</f>
        <v/>
      </c>
      <c r="L400" s="3">
        <f>IF('ORDENES'!$A378="","",IF('ORDENES'!$N378="","-",'ORDENES'!$N378))</f>
        <v/>
      </c>
      <c r="M400" s="3">
        <f>IF('ORDENES'!$A378="","",'ORDENES'!$AA378)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IF('ORDENES'!$A379="","",IF('ORDENES'!$AC379="","-",'ORDENES'!$AC379))</f>
        <v/>
      </c>
      <c r="D401" s="3">
        <f>IF('ORDENES'!$A379="","",IF('ORDENES'!$V379="","-",'ORDENES'!$V379))</f>
        <v/>
      </c>
      <c r="E401" s="3">
        <f>IF('ORDENES'!$A379="","",IF('ORDENES'!$U379="","-",'ORDENES'!$U379))</f>
        <v/>
      </c>
      <c r="F401" s="3">
        <f>IF('ORDENES'!$A379="","",IF('ORDENES'!$W379="","-",'ORDENES'!$W379))</f>
        <v/>
      </c>
      <c r="G401" s="3">
        <f>IF('ORDENES'!$A379="","",IF('ORDENES'!$AB379="","-",'ORDENES'!$AB379))</f>
        <v/>
      </c>
      <c r="H401" s="3">
        <f>IF('ORDENES'!$A379="","",IF('ORDENES'!$AN379="","-",'ORDENES'!$AN379))</f>
        <v/>
      </c>
      <c r="I401" s="3">
        <f>IF('ORDENES'!$A379="","",IF('ORDENES'!$D379="","-",'ORDENES'!$D379))</f>
        <v/>
      </c>
      <c r="J401" s="3">
        <f>IF('ORDENES'!$A379="","",IF('ORDENES'!$E379="","-",'ORDENES'!$E379))</f>
        <v/>
      </c>
      <c r="K401" s="12">
        <f>IF('ORDENES'!$A379="","",IF('ORDENES'!$M379="",0,'ORDENES'!$M379))</f>
        <v/>
      </c>
      <c r="L401" s="3">
        <f>IF('ORDENES'!$A379="","",IF('ORDENES'!$N379="","-",'ORDENES'!$N379))</f>
        <v/>
      </c>
      <c r="M401" s="3">
        <f>IF('ORDENES'!$A379="","",'ORDENES'!$AA379)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IF('ORDENES'!$A380="","",IF('ORDENES'!$AC380="","-",'ORDENES'!$AC380))</f>
        <v/>
      </c>
      <c r="D402" s="3">
        <f>IF('ORDENES'!$A380="","",IF('ORDENES'!$V380="","-",'ORDENES'!$V380))</f>
        <v/>
      </c>
      <c r="E402" s="3">
        <f>IF('ORDENES'!$A380="","",IF('ORDENES'!$U380="","-",'ORDENES'!$U380))</f>
        <v/>
      </c>
      <c r="F402" s="3">
        <f>IF('ORDENES'!$A380="","",IF('ORDENES'!$W380="","-",'ORDENES'!$W380))</f>
        <v/>
      </c>
      <c r="G402" s="3">
        <f>IF('ORDENES'!$A380="","",IF('ORDENES'!$AB380="","-",'ORDENES'!$AB380))</f>
        <v/>
      </c>
      <c r="H402" s="3">
        <f>IF('ORDENES'!$A380="","",IF('ORDENES'!$AN380="","-",'ORDENES'!$AN380))</f>
        <v/>
      </c>
      <c r="I402" s="3">
        <f>IF('ORDENES'!$A380="","",IF('ORDENES'!$D380="","-",'ORDENES'!$D380))</f>
        <v/>
      </c>
      <c r="J402" s="3">
        <f>IF('ORDENES'!$A380="","",IF('ORDENES'!$E380="","-",'ORDENES'!$E380))</f>
        <v/>
      </c>
      <c r="K402" s="12">
        <f>IF('ORDENES'!$A380="","",IF('ORDENES'!$M380="",0,'ORDENES'!$M380))</f>
        <v/>
      </c>
      <c r="L402" s="3">
        <f>IF('ORDENES'!$A380="","",IF('ORDENES'!$N380="","-",'ORDENES'!$N380))</f>
        <v/>
      </c>
      <c r="M402" s="3">
        <f>IF('ORDENES'!$A380="","",'ORDENES'!$AA380)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IF('ORDENES'!$A381="","",IF('ORDENES'!$AC381="","-",'ORDENES'!$AC381))</f>
        <v/>
      </c>
      <c r="D403" s="3">
        <f>IF('ORDENES'!$A381="","",IF('ORDENES'!$V381="","-",'ORDENES'!$V381))</f>
        <v/>
      </c>
      <c r="E403" s="3">
        <f>IF('ORDENES'!$A381="","",IF('ORDENES'!$U381="","-",'ORDENES'!$U381))</f>
        <v/>
      </c>
      <c r="F403" s="3">
        <f>IF('ORDENES'!$A381="","",IF('ORDENES'!$W381="","-",'ORDENES'!$W381))</f>
        <v/>
      </c>
      <c r="G403" s="3">
        <f>IF('ORDENES'!$A381="","",IF('ORDENES'!$AB381="","-",'ORDENES'!$AB381))</f>
        <v/>
      </c>
      <c r="H403" s="3">
        <f>IF('ORDENES'!$A381="","",IF('ORDENES'!$AN381="","-",'ORDENES'!$AN381))</f>
        <v/>
      </c>
      <c r="I403" s="3">
        <f>IF('ORDENES'!$A381="","",IF('ORDENES'!$D381="","-",'ORDENES'!$D381))</f>
        <v/>
      </c>
      <c r="J403" s="3">
        <f>IF('ORDENES'!$A381="","",IF('ORDENES'!$E381="","-",'ORDENES'!$E381))</f>
        <v/>
      </c>
      <c r="K403" s="12">
        <f>IF('ORDENES'!$A381="","",IF('ORDENES'!$M381="",0,'ORDENES'!$M381))</f>
        <v/>
      </c>
      <c r="L403" s="3">
        <f>IF('ORDENES'!$A381="","",IF('ORDENES'!$N381="","-",'ORDENES'!$N381))</f>
        <v/>
      </c>
      <c r="M403" s="3">
        <f>IF('ORDENES'!$A381="","",'ORDENES'!$AA381)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IF('ORDENES'!$A382="","",IF('ORDENES'!$AC382="","-",'ORDENES'!$AC382))</f>
        <v/>
      </c>
      <c r="D404" s="3">
        <f>IF('ORDENES'!$A382="","",IF('ORDENES'!$V382="","-",'ORDENES'!$V382))</f>
        <v/>
      </c>
      <c r="E404" s="3">
        <f>IF('ORDENES'!$A382="","",IF('ORDENES'!$U382="","-",'ORDENES'!$U382))</f>
        <v/>
      </c>
      <c r="F404" s="3">
        <f>IF('ORDENES'!$A382="","",IF('ORDENES'!$W382="","-",'ORDENES'!$W382))</f>
        <v/>
      </c>
      <c r="G404" s="3">
        <f>IF('ORDENES'!$A382="","",IF('ORDENES'!$AB382="","-",'ORDENES'!$AB382))</f>
        <v/>
      </c>
      <c r="H404" s="3">
        <f>IF('ORDENES'!$A382="","",IF('ORDENES'!$AN382="","-",'ORDENES'!$AN382))</f>
        <v/>
      </c>
      <c r="I404" s="3">
        <f>IF('ORDENES'!$A382="","",IF('ORDENES'!$D382="","-",'ORDENES'!$D382))</f>
        <v/>
      </c>
      <c r="J404" s="3">
        <f>IF('ORDENES'!$A382="","",IF('ORDENES'!$E382="","-",'ORDENES'!$E382))</f>
        <v/>
      </c>
      <c r="K404" s="12">
        <f>IF('ORDENES'!$A382="","",IF('ORDENES'!$M382="",0,'ORDENES'!$M382))</f>
        <v/>
      </c>
      <c r="L404" s="3">
        <f>IF('ORDENES'!$A382="","",IF('ORDENES'!$N382="","-",'ORDENES'!$N382))</f>
        <v/>
      </c>
      <c r="M404" s="3">
        <f>IF('ORDENES'!$A382="","",'ORDENES'!$AA382)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IF('ORDENES'!$A383="","",IF('ORDENES'!$AC383="","-",'ORDENES'!$AC383))</f>
        <v/>
      </c>
      <c r="D405" s="3">
        <f>IF('ORDENES'!$A383="","",IF('ORDENES'!$V383="","-",'ORDENES'!$V383))</f>
        <v/>
      </c>
      <c r="E405" s="3">
        <f>IF('ORDENES'!$A383="","",IF('ORDENES'!$U383="","-",'ORDENES'!$U383))</f>
        <v/>
      </c>
      <c r="F405" s="3">
        <f>IF('ORDENES'!$A383="","",IF('ORDENES'!$W383="","-",'ORDENES'!$W383))</f>
        <v/>
      </c>
      <c r="G405" s="3">
        <f>IF('ORDENES'!$A383="","",IF('ORDENES'!$AB383="","-",'ORDENES'!$AB383))</f>
        <v/>
      </c>
      <c r="H405" s="3">
        <f>IF('ORDENES'!$A383="","",IF('ORDENES'!$AN383="","-",'ORDENES'!$AN383))</f>
        <v/>
      </c>
      <c r="I405" s="3">
        <f>IF('ORDENES'!$A383="","",IF('ORDENES'!$D383="","-",'ORDENES'!$D383))</f>
        <v/>
      </c>
      <c r="J405" s="3">
        <f>IF('ORDENES'!$A383="","",IF('ORDENES'!$E383="","-",'ORDENES'!$E383))</f>
        <v/>
      </c>
      <c r="K405" s="12">
        <f>IF('ORDENES'!$A383="","",IF('ORDENES'!$M383="",0,'ORDENES'!$M383))</f>
        <v/>
      </c>
      <c r="L405" s="3">
        <f>IF('ORDENES'!$A383="","",IF('ORDENES'!$N383="","-",'ORDENES'!$N383))</f>
        <v/>
      </c>
      <c r="M405" s="3">
        <f>IF('ORDENES'!$A383="","",'ORDENES'!$AA383)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IF('ORDENES'!$A384="","",IF('ORDENES'!$AC384="","-",'ORDENES'!$AC384))</f>
        <v/>
      </c>
      <c r="D406" s="3">
        <f>IF('ORDENES'!$A384="","",IF('ORDENES'!$V384="","-",'ORDENES'!$V384))</f>
        <v/>
      </c>
      <c r="E406" s="3">
        <f>IF('ORDENES'!$A384="","",IF('ORDENES'!$U384="","-",'ORDENES'!$U384))</f>
        <v/>
      </c>
      <c r="F406" s="3">
        <f>IF('ORDENES'!$A384="","",IF('ORDENES'!$W384="","-",'ORDENES'!$W384))</f>
        <v/>
      </c>
      <c r="G406" s="3">
        <f>IF('ORDENES'!$A384="","",IF('ORDENES'!$AB384="","-",'ORDENES'!$AB384))</f>
        <v/>
      </c>
      <c r="H406" s="3">
        <f>IF('ORDENES'!$A384="","",IF('ORDENES'!$AN384="","-",'ORDENES'!$AN384))</f>
        <v/>
      </c>
      <c r="I406" s="3">
        <f>IF('ORDENES'!$A384="","",IF('ORDENES'!$D384="","-",'ORDENES'!$D384))</f>
        <v/>
      </c>
      <c r="J406" s="3">
        <f>IF('ORDENES'!$A384="","",IF('ORDENES'!$E384="","-",'ORDENES'!$E384))</f>
        <v/>
      </c>
      <c r="K406" s="12">
        <f>IF('ORDENES'!$A384="","",IF('ORDENES'!$M384="",0,'ORDENES'!$M384))</f>
        <v/>
      </c>
      <c r="L406" s="3">
        <f>IF('ORDENES'!$A384="","",IF('ORDENES'!$N384="","-",'ORDENES'!$N384))</f>
        <v/>
      </c>
      <c r="M406" s="3">
        <f>IF('ORDENES'!$A384="","",'ORDENES'!$AA384)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IF('ORDENES'!$A385="","",IF('ORDENES'!$AC385="","-",'ORDENES'!$AC385))</f>
        <v/>
      </c>
      <c r="D407" s="3">
        <f>IF('ORDENES'!$A385="","",IF('ORDENES'!$V385="","-",'ORDENES'!$V385))</f>
        <v/>
      </c>
      <c r="E407" s="3">
        <f>IF('ORDENES'!$A385="","",IF('ORDENES'!$U385="","-",'ORDENES'!$U385))</f>
        <v/>
      </c>
      <c r="F407" s="3">
        <f>IF('ORDENES'!$A385="","",IF('ORDENES'!$W385="","-",'ORDENES'!$W385))</f>
        <v/>
      </c>
      <c r="G407" s="3">
        <f>IF('ORDENES'!$A385="","",IF('ORDENES'!$AB385="","-",'ORDENES'!$AB385))</f>
        <v/>
      </c>
      <c r="H407" s="3">
        <f>IF('ORDENES'!$A385="","",IF('ORDENES'!$AN385="","-",'ORDENES'!$AN385))</f>
        <v/>
      </c>
      <c r="I407" s="3">
        <f>IF('ORDENES'!$A385="","",IF('ORDENES'!$D385="","-",'ORDENES'!$D385))</f>
        <v/>
      </c>
      <c r="J407" s="3">
        <f>IF('ORDENES'!$A385="","",IF('ORDENES'!$E385="","-",'ORDENES'!$E385))</f>
        <v/>
      </c>
      <c r="K407" s="12">
        <f>IF('ORDENES'!$A385="","",IF('ORDENES'!$M385="",0,'ORDENES'!$M385))</f>
        <v/>
      </c>
      <c r="L407" s="3">
        <f>IF('ORDENES'!$A385="","",IF('ORDENES'!$N385="","-",'ORDENES'!$N385))</f>
        <v/>
      </c>
      <c r="M407" s="3">
        <f>IF('ORDENES'!$A385="","",'ORDENES'!$AA385)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IF('ORDENES'!$A386="","",IF('ORDENES'!$AC386="","-",'ORDENES'!$AC386))</f>
        <v/>
      </c>
      <c r="D408" s="3">
        <f>IF('ORDENES'!$A386="","",IF('ORDENES'!$V386="","-",'ORDENES'!$V386))</f>
        <v/>
      </c>
      <c r="E408" s="3">
        <f>IF('ORDENES'!$A386="","",IF('ORDENES'!$U386="","-",'ORDENES'!$U386))</f>
        <v/>
      </c>
      <c r="F408" s="3">
        <f>IF('ORDENES'!$A386="","",IF('ORDENES'!$W386="","-",'ORDENES'!$W386))</f>
        <v/>
      </c>
      <c r="G408" s="3">
        <f>IF('ORDENES'!$A386="","",IF('ORDENES'!$AB386="","-",'ORDENES'!$AB386))</f>
        <v/>
      </c>
      <c r="H408" s="3">
        <f>IF('ORDENES'!$A386="","",IF('ORDENES'!$AN386="","-",'ORDENES'!$AN386))</f>
        <v/>
      </c>
      <c r="I408" s="3">
        <f>IF('ORDENES'!$A386="","",IF('ORDENES'!$D386="","-",'ORDENES'!$D386))</f>
        <v/>
      </c>
      <c r="J408" s="3">
        <f>IF('ORDENES'!$A386="","",IF('ORDENES'!$E386="","-",'ORDENES'!$E386))</f>
        <v/>
      </c>
      <c r="K408" s="12">
        <f>IF('ORDENES'!$A386="","",IF('ORDENES'!$M386="",0,'ORDENES'!$M386))</f>
        <v/>
      </c>
      <c r="L408" s="3">
        <f>IF('ORDENES'!$A386="","",IF('ORDENES'!$N386="","-",'ORDENES'!$N386))</f>
        <v/>
      </c>
      <c r="M408" s="3">
        <f>IF('ORDENES'!$A386="","",'ORDENES'!$AA386)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IF('ORDENES'!$A387="","",IF('ORDENES'!$AC387="","-",'ORDENES'!$AC387))</f>
        <v/>
      </c>
      <c r="D409" s="3">
        <f>IF('ORDENES'!$A387="","",IF('ORDENES'!$V387="","-",'ORDENES'!$V387))</f>
        <v/>
      </c>
      <c r="E409" s="3">
        <f>IF('ORDENES'!$A387="","",IF('ORDENES'!$U387="","-",'ORDENES'!$U387))</f>
        <v/>
      </c>
      <c r="F409" s="3">
        <f>IF('ORDENES'!$A387="","",IF('ORDENES'!$W387="","-",'ORDENES'!$W387))</f>
        <v/>
      </c>
      <c r="G409" s="3">
        <f>IF('ORDENES'!$A387="","",IF('ORDENES'!$AB387="","-",'ORDENES'!$AB387))</f>
        <v/>
      </c>
      <c r="H409" s="3">
        <f>IF('ORDENES'!$A387="","",IF('ORDENES'!$AN387="","-",'ORDENES'!$AN387))</f>
        <v/>
      </c>
      <c r="I409" s="3">
        <f>IF('ORDENES'!$A387="","",IF('ORDENES'!$D387="","-",'ORDENES'!$D387))</f>
        <v/>
      </c>
      <c r="J409" s="3">
        <f>IF('ORDENES'!$A387="","",IF('ORDENES'!$E387="","-",'ORDENES'!$E387))</f>
        <v/>
      </c>
      <c r="K409" s="12">
        <f>IF('ORDENES'!$A387="","",IF('ORDENES'!$M387="",0,'ORDENES'!$M387))</f>
        <v/>
      </c>
      <c r="L409" s="3">
        <f>IF('ORDENES'!$A387="","",IF('ORDENES'!$N387="","-",'ORDENES'!$N387))</f>
        <v/>
      </c>
      <c r="M409" s="3">
        <f>IF('ORDENES'!$A387="","",'ORDENES'!$AA387)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IF('ORDENES'!$A388="","",IF('ORDENES'!$AC388="","-",'ORDENES'!$AC388))</f>
        <v/>
      </c>
      <c r="D410" s="3">
        <f>IF('ORDENES'!$A388="","",IF('ORDENES'!$V388="","-",'ORDENES'!$V388))</f>
        <v/>
      </c>
      <c r="E410" s="3">
        <f>IF('ORDENES'!$A388="","",IF('ORDENES'!$U388="","-",'ORDENES'!$U388))</f>
        <v/>
      </c>
      <c r="F410" s="3">
        <f>IF('ORDENES'!$A388="","",IF('ORDENES'!$W388="","-",'ORDENES'!$W388))</f>
        <v/>
      </c>
      <c r="G410" s="3">
        <f>IF('ORDENES'!$A388="","",IF('ORDENES'!$AB388="","-",'ORDENES'!$AB388))</f>
        <v/>
      </c>
      <c r="H410" s="3">
        <f>IF('ORDENES'!$A388="","",IF('ORDENES'!$AN388="","-",'ORDENES'!$AN388))</f>
        <v/>
      </c>
      <c r="I410" s="3">
        <f>IF('ORDENES'!$A388="","",IF('ORDENES'!$D388="","-",'ORDENES'!$D388))</f>
        <v/>
      </c>
      <c r="J410" s="3">
        <f>IF('ORDENES'!$A388="","",IF('ORDENES'!$E388="","-",'ORDENES'!$E388))</f>
        <v/>
      </c>
      <c r="K410" s="12">
        <f>IF('ORDENES'!$A388="","",IF('ORDENES'!$M388="",0,'ORDENES'!$M388))</f>
        <v/>
      </c>
      <c r="L410" s="3">
        <f>IF('ORDENES'!$A388="","",IF('ORDENES'!$N388="","-",'ORDENES'!$N388))</f>
        <v/>
      </c>
      <c r="M410" s="3">
        <f>IF('ORDENES'!$A388="","",'ORDENES'!$AA388)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IF('ORDENES'!$A389="","",IF('ORDENES'!$AC389="","-",'ORDENES'!$AC389))</f>
        <v/>
      </c>
      <c r="D411" s="3">
        <f>IF('ORDENES'!$A389="","",IF('ORDENES'!$V389="","-",'ORDENES'!$V389))</f>
        <v/>
      </c>
      <c r="E411" s="3">
        <f>IF('ORDENES'!$A389="","",IF('ORDENES'!$U389="","-",'ORDENES'!$U389))</f>
        <v/>
      </c>
      <c r="F411" s="3">
        <f>IF('ORDENES'!$A389="","",IF('ORDENES'!$W389="","-",'ORDENES'!$W389))</f>
        <v/>
      </c>
      <c r="G411" s="3">
        <f>IF('ORDENES'!$A389="","",IF('ORDENES'!$AB389="","-",'ORDENES'!$AB389))</f>
        <v/>
      </c>
      <c r="H411" s="3">
        <f>IF('ORDENES'!$A389="","",IF('ORDENES'!$AN389="","-",'ORDENES'!$AN389))</f>
        <v/>
      </c>
      <c r="I411" s="3">
        <f>IF('ORDENES'!$A389="","",IF('ORDENES'!$D389="","-",'ORDENES'!$D389))</f>
        <v/>
      </c>
      <c r="J411" s="3">
        <f>IF('ORDENES'!$A389="","",IF('ORDENES'!$E389="","-",'ORDENES'!$E389))</f>
        <v/>
      </c>
      <c r="K411" s="12">
        <f>IF('ORDENES'!$A389="","",IF('ORDENES'!$M389="",0,'ORDENES'!$M389))</f>
        <v/>
      </c>
      <c r="L411" s="3">
        <f>IF('ORDENES'!$A389="","",IF('ORDENES'!$N389="","-",'ORDENES'!$N389))</f>
        <v/>
      </c>
      <c r="M411" s="3">
        <f>IF('ORDENES'!$A389="","",'ORDENES'!$AA389)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IF('ORDENES'!$A390="","",IF('ORDENES'!$AC390="","-",'ORDENES'!$AC390))</f>
        <v/>
      </c>
      <c r="D412" s="3">
        <f>IF('ORDENES'!$A390="","",IF('ORDENES'!$V390="","-",'ORDENES'!$V390))</f>
        <v/>
      </c>
      <c r="E412" s="3">
        <f>IF('ORDENES'!$A390="","",IF('ORDENES'!$U390="","-",'ORDENES'!$U390))</f>
        <v/>
      </c>
      <c r="F412" s="3">
        <f>IF('ORDENES'!$A390="","",IF('ORDENES'!$W390="","-",'ORDENES'!$W390))</f>
        <v/>
      </c>
      <c r="G412" s="3">
        <f>IF('ORDENES'!$A390="","",IF('ORDENES'!$AB390="","-",'ORDENES'!$AB390))</f>
        <v/>
      </c>
      <c r="H412" s="3">
        <f>IF('ORDENES'!$A390="","",IF('ORDENES'!$AN390="","-",'ORDENES'!$AN390))</f>
        <v/>
      </c>
      <c r="I412" s="3">
        <f>IF('ORDENES'!$A390="","",IF('ORDENES'!$D390="","-",'ORDENES'!$D390))</f>
        <v/>
      </c>
      <c r="J412" s="3">
        <f>IF('ORDENES'!$A390="","",IF('ORDENES'!$E390="","-",'ORDENES'!$E390))</f>
        <v/>
      </c>
      <c r="K412" s="12">
        <f>IF('ORDENES'!$A390="","",IF('ORDENES'!$M390="",0,'ORDENES'!$M390))</f>
        <v/>
      </c>
      <c r="L412" s="3">
        <f>IF('ORDENES'!$A390="","",IF('ORDENES'!$N390="","-",'ORDENES'!$N390))</f>
        <v/>
      </c>
      <c r="M412" s="3">
        <f>IF('ORDENES'!$A390="","",'ORDENES'!$AA390)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IF('ORDENES'!$A391="","",IF('ORDENES'!$AC391="","-",'ORDENES'!$AC391))</f>
        <v/>
      </c>
      <c r="D413" s="3">
        <f>IF('ORDENES'!$A391="","",IF('ORDENES'!$V391="","-",'ORDENES'!$V391))</f>
        <v/>
      </c>
      <c r="E413" s="3">
        <f>IF('ORDENES'!$A391="","",IF('ORDENES'!$U391="","-",'ORDENES'!$U391))</f>
        <v/>
      </c>
      <c r="F413" s="3">
        <f>IF('ORDENES'!$A391="","",IF('ORDENES'!$W391="","-",'ORDENES'!$W391))</f>
        <v/>
      </c>
      <c r="G413" s="3">
        <f>IF('ORDENES'!$A391="","",IF('ORDENES'!$AB391="","-",'ORDENES'!$AB391))</f>
        <v/>
      </c>
      <c r="H413" s="3">
        <f>IF('ORDENES'!$A391="","",IF('ORDENES'!$AN391="","-",'ORDENES'!$AN391))</f>
        <v/>
      </c>
      <c r="I413" s="3">
        <f>IF('ORDENES'!$A391="","",IF('ORDENES'!$D391="","-",'ORDENES'!$D391))</f>
        <v/>
      </c>
      <c r="J413" s="3">
        <f>IF('ORDENES'!$A391="","",IF('ORDENES'!$E391="","-",'ORDENES'!$E391))</f>
        <v/>
      </c>
      <c r="K413" s="12">
        <f>IF('ORDENES'!$A391="","",IF('ORDENES'!$M391="",0,'ORDENES'!$M391))</f>
        <v/>
      </c>
      <c r="L413" s="3">
        <f>IF('ORDENES'!$A391="","",IF('ORDENES'!$N391="","-",'ORDENES'!$N391))</f>
        <v/>
      </c>
      <c r="M413" s="3">
        <f>IF('ORDENES'!$A391="","",'ORDENES'!$AA391)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IF('ORDENES'!$A392="","",IF('ORDENES'!$AC392="","-",'ORDENES'!$AC392))</f>
        <v/>
      </c>
      <c r="D414" s="3">
        <f>IF('ORDENES'!$A392="","",IF('ORDENES'!$V392="","-",'ORDENES'!$V392))</f>
        <v/>
      </c>
      <c r="E414" s="3">
        <f>IF('ORDENES'!$A392="","",IF('ORDENES'!$U392="","-",'ORDENES'!$U392))</f>
        <v/>
      </c>
      <c r="F414" s="3">
        <f>IF('ORDENES'!$A392="","",IF('ORDENES'!$W392="","-",'ORDENES'!$W392))</f>
        <v/>
      </c>
      <c r="G414" s="3">
        <f>IF('ORDENES'!$A392="","",IF('ORDENES'!$AB392="","-",'ORDENES'!$AB392))</f>
        <v/>
      </c>
      <c r="H414" s="3">
        <f>IF('ORDENES'!$A392="","",IF('ORDENES'!$AN392="","-",'ORDENES'!$AN392))</f>
        <v/>
      </c>
      <c r="I414" s="3">
        <f>IF('ORDENES'!$A392="","",IF('ORDENES'!$D392="","-",'ORDENES'!$D392))</f>
        <v/>
      </c>
      <c r="J414" s="3">
        <f>IF('ORDENES'!$A392="","",IF('ORDENES'!$E392="","-",'ORDENES'!$E392))</f>
        <v/>
      </c>
      <c r="K414" s="12">
        <f>IF('ORDENES'!$A392="","",IF('ORDENES'!$M392="",0,'ORDENES'!$M392))</f>
        <v/>
      </c>
      <c r="L414" s="3">
        <f>IF('ORDENES'!$A392="","",IF('ORDENES'!$N392="","-",'ORDENES'!$N392))</f>
        <v/>
      </c>
      <c r="M414" s="3">
        <f>IF('ORDENES'!$A392="","",'ORDENES'!$AA392)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IF('ORDENES'!$A393="","",IF('ORDENES'!$AC393="","-",'ORDENES'!$AC393))</f>
        <v/>
      </c>
      <c r="D415" s="3">
        <f>IF('ORDENES'!$A393="","",IF('ORDENES'!$V393="","-",'ORDENES'!$V393))</f>
        <v/>
      </c>
      <c r="E415" s="3">
        <f>IF('ORDENES'!$A393="","",IF('ORDENES'!$U393="","-",'ORDENES'!$U393))</f>
        <v/>
      </c>
      <c r="F415" s="3">
        <f>IF('ORDENES'!$A393="","",IF('ORDENES'!$W393="","-",'ORDENES'!$W393))</f>
        <v/>
      </c>
      <c r="G415" s="3">
        <f>IF('ORDENES'!$A393="","",IF('ORDENES'!$AB393="","-",'ORDENES'!$AB393))</f>
        <v/>
      </c>
      <c r="H415" s="3">
        <f>IF('ORDENES'!$A393="","",IF('ORDENES'!$AN393="","-",'ORDENES'!$AN393))</f>
        <v/>
      </c>
      <c r="I415" s="3">
        <f>IF('ORDENES'!$A393="","",IF('ORDENES'!$D393="","-",'ORDENES'!$D393))</f>
        <v/>
      </c>
      <c r="J415" s="3">
        <f>IF('ORDENES'!$A393="","",IF('ORDENES'!$E393="","-",'ORDENES'!$E393))</f>
        <v/>
      </c>
      <c r="K415" s="12">
        <f>IF('ORDENES'!$A393="","",IF('ORDENES'!$M393="",0,'ORDENES'!$M393))</f>
        <v/>
      </c>
      <c r="L415" s="3">
        <f>IF('ORDENES'!$A393="","",IF('ORDENES'!$N393="","-",'ORDENES'!$N393))</f>
        <v/>
      </c>
      <c r="M415" s="3">
        <f>IF('ORDENES'!$A393="","",'ORDENES'!$AA393)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IF('ORDENES'!$A394="","",IF('ORDENES'!$AC394="","-",'ORDENES'!$AC394))</f>
        <v/>
      </c>
      <c r="D416" s="3">
        <f>IF('ORDENES'!$A394="","",IF('ORDENES'!$V394="","-",'ORDENES'!$V394))</f>
        <v/>
      </c>
      <c r="E416" s="3">
        <f>IF('ORDENES'!$A394="","",IF('ORDENES'!$U394="","-",'ORDENES'!$U394))</f>
        <v/>
      </c>
      <c r="F416" s="3">
        <f>IF('ORDENES'!$A394="","",IF('ORDENES'!$W394="","-",'ORDENES'!$W394))</f>
        <v/>
      </c>
      <c r="G416" s="3">
        <f>IF('ORDENES'!$A394="","",IF('ORDENES'!$AB394="","-",'ORDENES'!$AB394))</f>
        <v/>
      </c>
      <c r="H416" s="3">
        <f>IF('ORDENES'!$A394="","",IF('ORDENES'!$AN394="","-",'ORDENES'!$AN394))</f>
        <v/>
      </c>
      <c r="I416" s="3">
        <f>IF('ORDENES'!$A394="","",IF('ORDENES'!$D394="","-",'ORDENES'!$D394))</f>
        <v/>
      </c>
      <c r="J416" s="3">
        <f>IF('ORDENES'!$A394="","",IF('ORDENES'!$E394="","-",'ORDENES'!$E394))</f>
        <v/>
      </c>
      <c r="K416" s="12">
        <f>IF('ORDENES'!$A394="","",IF('ORDENES'!$M394="",0,'ORDENES'!$M394))</f>
        <v/>
      </c>
      <c r="L416" s="3">
        <f>IF('ORDENES'!$A394="","",IF('ORDENES'!$N394="","-",'ORDENES'!$N394))</f>
        <v/>
      </c>
      <c r="M416" s="3">
        <f>IF('ORDENES'!$A394="","",'ORDENES'!$AA394)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IF('ORDENES'!$A395="","",IF('ORDENES'!$AC395="","-",'ORDENES'!$AC395))</f>
        <v/>
      </c>
      <c r="D417" s="3">
        <f>IF('ORDENES'!$A395="","",IF('ORDENES'!$V395="","-",'ORDENES'!$V395))</f>
        <v/>
      </c>
      <c r="E417" s="3">
        <f>IF('ORDENES'!$A395="","",IF('ORDENES'!$U395="","-",'ORDENES'!$U395))</f>
        <v/>
      </c>
      <c r="F417" s="3">
        <f>IF('ORDENES'!$A395="","",IF('ORDENES'!$W395="","-",'ORDENES'!$W395))</f>
        <v/>
      </c>
      <c r="G417" s="3">
        <f>IF('ORDENES'!$A395="","",IF('ORDENES'!$AB395="","-",'ORDENES'!$AB395))</f>
        <v/>
      </c>
      <c r="H417" s="3">
        <f>IF('ORDENES'!$A395="","",IF('ORDENES'!$AN395="","-",'ORDENES'!$AN395))</f>
        <v/>
      </c>
      <c r="I417" s="3">
        <f>IF('ORDENES'!$A395="","",IF('ORDENES'!$D395="","-",'ORDENES'!$D395))</f>
        <v/>
      </c>
      <c r="J417" s="3">
        <f>IF('ORDENES'!$A395="","",IF('ORDENES'!$E395="","-",'ORDENES'!$E395))</f>
        <v/>
      </c>
      <c r="K417" s="12">
        <f>IF('ORDENES'!$A395="","",IF('ORDENES'!$M395="",0,'ORDENES'!$M395))</f>
        <v/>
      </c>
      <c r="L417" s="3">
        <f>IF('ORDENES'!$A395="","",IF('ORDENES'!$N395="","-",'ORDENES'!$N395))</f>
        <v/>
      </c>
      <c r="M417" s="3">
        <f>IF('ORDENES'!$A395="","",'ORDENES'!$AA395)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IF('ORDENES'!$A396="","",IF('ORDENES'!$AC396="","-",'ORDENES'!$AC396))</f>
        <v/>
      </c>
      <c r="D418" s="3">
        <f>IF('ORDENES'!$A396="","",IF('ORDENES'!$V396="","-",'ORDENES'!$V396))</f>
        <v/>
      </c>
      <c r="E418" s="3">
        <f>IF('ORDENES'!$A396="","",IF('ORDENES'!$U396="","-",'ORDENES'!$U396))</f>
        <v/>
      </c>
      <c r="F418" s="3">
        <f>IF('ORDENES'!$A396="","",IF('ORDENES'!$W396="","-",'ORDENES'!$W396))</f>
        <v/>
      </c>
      <c r="G418" s="3">
        <f>IF('ORDENES'!$A396="","",IF('ORDENES'!$AB396="","-",'ORDENES'!$AB396))</f>
        <v/>
      </c>
      <c r="H418" s="3">
        <f>IF('ORDENES'!$A396="","",IF('ORDENES'!$AN396="","-",'ORDENES'!$AN396))</f>
        <v/>
      </c>
      <c r="I418" s="3">
        <f>IF('ORDENES'!$A396="","",IF('ORDENES'!$D396="","-",'ORDENES'!$D396))</f>
        <v/>
      </c>
      <c r="J418" s="3">
        <f>IF('ORDENES'!$A396="","",IF('ORDENES'!$E396="","-",'ORDENES'!$E396))</f>
        <v/>
      </c>
      <c r="K418" s="12">
        <f>IF('ORDENES'!$A396="","",IF('ORDENES'!$M396="",0,'ORDENES'!$M396))</f>
        <v/>
      </c>
      <c r="L418" s="3">
        <f>IF('ORDENES'!$A396="","",IF('ORDENES'!$N396="","-",'ORDENES'!$N396))</f>
        <v/>
      </c>
      <c r="M418" s="3">
        <f>IF('ORDENES'!$A396="","",'ORDENES'!$AA396)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IF('ORDENES'!$A397="","",IF('ORDENES'!$AC397="","-",'ORDENES'!$AC397))</f>
        <v/>
      </c>
      <c r="D419" s="3">
        <f>IF('ORDENES'!$A397="","",IF('ORDENES'!$V397="","-",'ORDENES'!$V397))</f>
        <v/>
      </c>
      <c r="E419" s="3">
        <f>IF('ORDENES'!$A397="","",IF('ORDENES'!$U397="","-",'ORDENES'!$U397))</f>
        <v/>
      </c>
      <c r="F419" s="3">
        <f>IF('ORDENES'!$A397="","",IF('ORDENES'!$W397="","-",'ORDENES'!$W397))</f>
        <v/>
      </c>
      <c r="G419" s="3">
        <f>IF('ORDENES'!$A397="","",IF('ORDENES'!$AB397="","-",'ORDENES'!$AB397))</f>
        <v/>
      </c>
      <c r="H419" s="3">
        <f>IF('ORDENES'!$A397="","",IF('ORDENES'!$AN397="","-",'ORDENES'!$AN397))</f>
        <v/>
      </c>
      <c r="I419" s="3">
        <f>IF('ORDENES'!$A397="","",IF('ORDENES'!$D397="","-",'ORDENES'!$D397))</f>
        <v/>
      </c>
      <c r="J419" s="3">
        <f>IF('ORDENES'!$A397="","",IF('ORDENES'!$E397="","-",'ORDENES'!$E397))</f>
        <v/>
      </c>
      <c r="K419" s="12">
        <f>IF('ORDENES'!$A397="","",IF('ORDENES'!$M397="",0,'ORDENES'!$M397))</f>
        <v/>
      </c>
      <c r="L419" s="3">
        <f>IF('ORDENES'!$A397="","",IF('ORDENES'!$N397="","-",'ORDENES'!$N397))</f>
        <v/>
      </c>
      <c r="M419" s="3">
        <f>IF('ORDENES'!$A397="","",'ORDENES'!$AA397)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IF('ORDENES'!$A398="","",IF('ORDENES'!$AC398="","-",'ORDENES'!$AC398))</f>
        <v/>
      </c>
      <c r="D420" s="3">
        <f>IF('ORDENES'!$A398="","",IF('ORDENES'!$V398="","-",'ORDENES'!$V398))</f>
        <v/>
      </c>
      <c r="E420" s="3">
        <f>IF('ORDENES'!$A398="","",IF('ORDENES'!$U398="","-",'ORDENES'!$U398))</f>
        <v/>
      </c>
      <c r="F420" s="3">
        <f>IF('ORDENES'!$A398="","",IF('ORDENES'!$W398="","-",'ORDENES'!$W398))</f>
        <v/>
      </c>
      <c r="G420" s="3">
        <f>IF('ORDENES'!$A398="","",IF('ORDENES'!$AB398="","-",'ORDENES'!$AB398))</f>
        <v/>
      </c>
      <c r="H420" s="3">
        <f>IF('ORDENES'!$A398="","",IF('ORDENES'!$AN398="","-",'ORDENES'!$AN398))</f>
        <v/>
      </c>
      <c r="I420" s="3">
        <f>IF('ORDENES'!$A398="","",IF('ORDENES'!$D398="","-",'ORDENES'!$D398))</f>
        <v/>
      </c>
      <c r="J420" s="3">
        <f>IF('ORDENES'!$A398="","",IF('ORDENES'!$E398="","-",'ORDENES'!$E398))</f>
        <v/>
      </c>
      <c r="K420" s="12">
        <f>IF('ORDENES'!$A398="","",IF('ORDENES'!$M398="",0,'ORDENES'!$M398))</f>
        <v/>
      </c>
      <c r="L420" s="3">
        <f>IF('ORDENES'!$A398="","",IF('ORDENES'!$N398="","-",'ORDENES'!$N398))</f>
        <v/>
      </c>
      <c r="M420" s="3">
        <f>IF('ORDENES'!$A398="","",'ORDENES'!$AA398)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IF('ORDENES'!$A399="","",IF('ORDENES'!$AC399="","-",'ORDENES'!$AC399))</f>
        <v/>
      </c>
      <c r="D421" s="3">
        <f>IF('ORDENES'!$A399="","",IF('ORDENES'!$V399="","-",'ORDENES'!$V399))</f>
        <v/>
      </c>
      <c r="E421" s="3">
        <f>IF('ORDENES'!$A399="","",IF('ORDENES'!$U399="","-",'ORDENES'!$U399))</f>
        <v/>
      </c>
      <c r="F421" s="3">
        <f>IF('ORDENES'!$A399="","",IF('ORDENES'!$W399="","-",'ORDENES'!$W399))</f>
        <v/>
      </c>
      <c r="G421" s="3">
        <f>IF('ORDENES'!$A399="","",IF('ORDENES'!$AB399="","-",'ORDENES'!$AB399))</f>
        <v/>
      </c>
      <c r="H421" s="3">
        <f>IF('ORDENES'!$A399="","",IF('ORDENES'!$AN399="","-",'ORDENES'!$AN399))</f>
        <v/>
      </c>
      <c r="I421" s="3">
        <f>IF('ORDENES'!$A399="","",IF('ORDENES'!$D399="","-",'ORDENES'!$D399))</f>
        <v/>
      </c>
      <c r="J421" s="3">
        <f>IF('ORDENES'!$A399="","",IF('ORDENES'!$E399="","-",'ORDENES'!$E399))</f>
        <v/>
      </c>
      <c r="K421" s="12">
        <f>IF('ORDENES'!$A399="","",IF('ORDENES'!$M399="",0,'ORDENES'!$M399))</f>
        <v/>
      </c>
      <c r="L421" s="3">
        <f>IF('ORDENES'!$A399="","",IF('ORDENES'!$N399="","-",'ORDENES'!$N399))</f>
        <v/>
      </c>
      <c r="M421" s="3">
        <f>IF('ORDENES'!$A399="","",'ORDENES'!$AA399)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IF('ORDENES'!$A400="","",IF('ORDENES'!$AC400="","-",'ORDENES'!$AC400))</f>
        <v/>
      </c>
      <c r="D422" s="3">
        <f>IF('ORDENES'!$A400="","",IF('ORDENES'!$V400="","-",'ORDENES'!$V400))</f>
        <v/>
      </c>
      <c r="E422" s="3">
        <f>IF('ORDENES'!$A400="","",IF('ORDENES'!$U400="","-",'ORDENES'!$U400))</f>
        <v/>
      </c>
      <c r="F422" s="3">
        <f>IF('ORDENES'!$A400="","",IF('ORDENES'!$W400="","-",'ORDENES'!$W400))</f>
        <v/>
      </c>
      <c r="G422" s="3">
        <f>IF('ORDENES'!$A400="","",IF('ORDENES'!$AB400="","-",'ORDENES'!$AB400))</f>
        <v/>
      </c>
      <c r="H422" s="3">
        <f>IF('ORDENES'!$A400="","",IF('ORDENES'!$AN400="","-",'ORDENES'!$AN400))</f>
        <v/>
      </c>
      <c r="I422" s="3">
        <f>IF('ORDENES'!$A400="","",IF('ORDENES'!$D400="","-",'ORDENES'!$D400))</f>
        <v/>
      </c>
      <c r="J422" s="3">
        <f>IF('ORDENES'!$A400="","",IF('ORDENES'!$E400="","-",'ORDENES'!$E400))</f>
        <v/>
      </c>
      <c r="K422" s="12">
        <f>IF('ORDENES'!$A400="","",IF('ORDENES'!$M400="",0,'ORDENES'!$M400))</f>
        <v/>
      </c>
      <c r="L422" s="3">
        <f>IF('ORDENES'!$A400="","",IF('ORDENES'!$N400="","-",'ORDENES'!$N400))</f>
        <v/>
      </c>
      <c r="M422" s="3">
        <f>IF('ORDENES'!$A400="","",'ORDENES'!$AA400)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IF('ORDENES'!$A401="","",IF('ORDENES'!$AC401="","-",'ORDENES'!$AC401))</f>
        <v/>
      </c>
      <c r="D423" s="3">
        <f>IF('ORDENES'!$A401="","",IF('ORDENES'!$V401="","-",'ORDENES'!$V401))</f>
        <v/>
      </c>
      <c r="E423" s="3">
        <f>IF('ORDENES'!$A401="","",IF('ORDENES'!$U401="","-",'ORDENES'!$U401))</f>
        <v/>
      </c>
      <c r="F423" s="3">
        <f>IF('ORDENES'!$A401="","",IF('ORDENES'!$W401="","-",'ORDENES'!$W401))</f>
        <v/>
      </c>
      <c r="G423" s="3">
        <f>IF('ORDENES'!$A401="","",IF('ORDENES'!$AB401="","-",'ORDENES'!$AB401))</f>
        <v/>
      </c>
      <c r="H423" s="3">
        <f>IF('ORDENES'!$A401="","",IF('ORDENES'!$AN401="","-",'ORDENES'!$AN401))</f>
        <v/>
      </c>
      <c r="I423" s="3">
        <f>IF('ORDENES'!$A401="","",IF('ORDENES'!$D401="","-",'ORDENES'!$D401))</f>
        <v/>
      </c>
      <c r="J423" s="3">
        <f>IF('ORDENES'!$A401="","",IF('ORDENES'!$E401="","-",'ORDENES'!$E401))</f>
        <v/>
      </c>
      <c r="K423" s="12">
        <f>IF('ORDENES'!$A401="","",IF('ORDENES'!$M401="",0,'ORDENES'!$M401))</f>
        <v/>
      </c>
      <c r="L423" s="3">
        <f>IF('ORDENES'!$A401="","",IF('ORDENES'!$N401="","-",'ORDENES'!$N401))</f>
        <v/>
      </c>
      <c r="M423" s="3">
        <f>IF('ORDENES'!$A401="","",'ORDENES'!$AA401)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IF('ORDENES'!$A402="","",IF('ORDENES'!$AC402="","-",'ORDENES'!$AC402))</f>
        <v/>
      </c>
      <c r="D424" s="3">
        <f>IF('ORDENES'!$A402="","",IF('ORDENES'!$V402="","-",'ORDENES'!$V402))</f>
        <v/>
      </c>
      <c r="E424" s="3">
        <f>IF('ORDENES'!$A402="","",IF('ORDENES'!$U402="","-",'ORDENES'!$U402))</f>
        <v/>
      </c>
      <c r="F424" s="3">
        <f>IF('ORDENES'!$A402="","",IF('ORDENES'!$W402="","-",'ORDENES'!$W402))</f>
        <v/>
      </c>
      <c r="G424" s="3">
        <f>IF('ORDENES'!$A402="","",IF('ORDENES'!$AB402="","-",'ORDENES'!$AB402))</f>
        <v/>
      </c>
      <c r="H424" s="3">
        <f>IF('ORDENES'!$A402="","",IF('ORDENES'!$AN402="","-",'ORDENES'!$AN402))</f>
        <v/>
      </c>
      <c r="I424" s="3">
        <f>IF('ORDENES'!$A402="","",IF('ORDENES'!$D402="","-",'ORDENES'!$D402))</f>
        <v/>
      </c>
      <c r="J424" s="3">
        <f>IF('ORDENES'!$A402="","",IF('ORDENES'!$E402="","-",'ORDENES'!$E402))</f>
        <v/>
      </c>
      <c r="K424" s="12">
        <f>IF('ORDENES'!$A402="","",IF('ORDENES'!$M402="",0,'ORDENES'!$M402))</f>
        <v/>
      </c>
      <c r="L424" s="3">
        <f>IF('ORDENES'!$A402="","",IF('ORDENES'!$N402="","-",'ORDENES'!$N402))</f>
        <v/>
      </c>
      <c r="M424" s="3">
        <f>IF('ORDENES'!$A402="","",'ORDENES'!$AA402)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IF('ORDENES'!$A403="","",IF('ORDENES'!$AC403="","-",'ORDENES'!$AC403))</f>
        <v/>
      </c>
      <c r="D425" s="3">
        <f>IF('ORDENES'!$A403="","",IF('ORDENES'!$V403="","-",'ORDENES'!$V403))</f>
        <v/>
      </c>
      <c r="E425" s="3">
        <f>IF('ORDENES'!$A403="","",IF('ORDENES'!$U403="","-",'ORDENES'!$U403))</f>
        <v/>
      </c>
      <c r="F425" s="3">
        <f>IF('ORDENES'!$A403="","",IF('ORDENES'!$W403="","-",'ORDENES'!$W403))</f>
        <v/>
      </c>
      <c r="G425" s="3">
        <f>IF('ORDENES'!$A403="","",IF('ORDENES'!$AB403="","-",'ORDENES'!$AB403))</f>
        <v/>
      </c>
      <c r="H425" s="3">
        <f>IF('ORDENES'!$A403="","",IF('ORDENES'!$AN403="","-",'ORDENES'!$AN403))</f>
        <v/>
      </c>
      <c r="I425" s="3">
        <f>IF('ORDENES'!$A403="","",IF('ORDENES'!$D403="","-",'ORDENES'!$D403))</f>
        <v/>
      </c>
      <c r="J425" s="3">
        <f>IF('ORDENES'!$A403="","",IF('ORDENES'!$E403="","-",'ORDENES'!$E403))</f>
        <v/>
      </c>
      <c r="K425" s="12">
        <f>IF('ORDENES'!$A403="","",IF('ORDENES'!$M403="",0,'ORDENES'!$M403))</f>
        <v/>
      </c>
      <c r="L425" s="3">
        <f>IF('ORDENES'!$A403="","",IF('ORDENES'!$N403="","-",'ORDENES'!$N403))</f>
        <v/>
      </c>
      <c r="M425" s="3">
        <f>IF('ORDENES'!$A403="","",'ORDENES'!$AA403)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IF('ORDENES'!$A404="","",IF('ORDENES'!$AC404="","-",'ORDENES'!$AC404))</f>
        <v/>
      </c>
      <c r="D426" s="3">
        <f>IF('ORDENES'!$A404="","",IF('ORDENES'!$V404="","-",'ORDENES'!$V404))</f>
        <v/>
      </c>
      <c r="E426" s="3">
        <f>IF('ORDENES'!$A404="","",IF('ORDENES'!$U404="","-",'ORDENES'!$U404))</f>
        <v/>
      </c>
      <c r="F426" s="3">
        <f>IF('ORDENES'!$A404="","",IF('ORDENES'!$W404="","-",'ORDENES'!$W404))</f>
        <v/>
      </c>
      <c r="G426" s="3">
        <f>IF('ORDENES'!$A404="","",IF('ORDENES'!$AB404="","-",'ORDENES'!$AB404))</f>
        <v/>
      </c>
      <c r="H426" s="3">
        <f>IF('ORDENES'!$A404="","",IF('ORDENES'!$AN404="","-",'ORDENES'!$AN404))</f>
        <v/>
      </c>
      <c r="I426" s="3">
        <f>IF('ORDENES'!$A404="","",IF('ORDENES'!$D404="","-",'ORDENES'!$D404))</f>
        <v/>
      </c>
      <c r="J426" s="3">
        <f>IF('ORDENES'!$A404="","",IF('ORDENES'!$E404="","-",'ORDENES'!$E404))</f>
        <v/>
      </c>
      <c r="K426" s="12">
        <f>IF('ORDENES'!$A404="","",IF('ORDENES'!$M404="",0,'ORDENES'!$M404))</f>
        <v/>
      </c>
      <c r="L426" s="3">
        <f>IF('ORDENES'!$A404="","",IF('ORDENES'!$N404="","-",'ORDENES'!$N404))</f>
        <v/>
      </c>
      <c r="M426" s="3">
        <f>IF('ORDENES'!$A404="","",'ORDENES'!$AA404)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IF('ORDENES'!$A405="","",IF('ORDENES'!$AC405="","-",'ORDENES'!$AC405))</f>
        <v/>
      </c>
      <c r="D427" s="3">
        <f>IF('ORDENES'!$A405="","",IF('ORDENES'!$V405="","-",'ORDENES'!$V405))</f>
        <v/>
      </c>
      <c r="E427" s="3">
        <f>IF('ORDENES'!$A405="","",IF('ORDENES'!$U405="","-",'ORDENES'!$U405))</f>
        <v/>
      </c>
      <c r="F427" s="3">
        <f>IF('ORDENES'!$A405="","",IF('ORDENES'!$W405="","-",'ORDENES'!$W405))</f>
        <v/>
      </c>
      <c r="G427" s="3">
        <f>IF('ORDENES'!$A405="","",IF('ORDENES'!$AB405="","-",'ORDENES'!$AB405))</f>
        <v/>
      </c>
      <c r="H427" s="3">
        <f>IF('ORDENES'!$A405="","",IF('ORDENES'!$AN405="","-",'ORDENES'!$AN405))</f>
        <v/>
      </c>
      <c r="I427" s="3">
        <f>IF('ORDENES'!$A405="","",IF('ORDENES'!$D405="","-",'ORDENES'!$D405))</f>
        <v/>
      </c>
      <c r="J427" s="3">
        <f>IF('ORDENES'!$A405="","",IF('ORDENES'!$E405="","-",'ORDENES'!$E405))</f>
        <v/>
      </c>
      <c r="K427" s="12">
        <f>IF('ORDENES'!$A405="","",IF('ORDENES'!$M405="",0,'ORDENES'!$M405))</f>
        <v/>
      </c>
      <c r="L427" s="3">
        <f>IF('ORDENES'!$A405="","",IF('ORDENES'!$N405="","-",'ORDENES'!$N405))</f>
        <v/>
      </c>
      <c r="M427" s="3">
        <f>IF('ORDENES'!$A405="","",'ORDENES'!$AA405)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IF('ORDENES'!$A406="","",IF('ORDENES'!$AC406="","-",'ORDENES'!$AC406))</f>
        <v/>
      </c>
      <c r="D428" s="3">
        <f>IF('ORDENES'!$A406="","",IF('ORDENES'!$V406="","-",'ORDENES'!$V406))</f>
        <v/>
      </c>
      <c r="E428" s="3">
        <f>IF('ORDENES'!$A406="","",IF('ORDENES'!$U406="","-",'ORDENES'!$U406))</f>
        <v/>
      </c>
      <c r="F428" s="3">
        <f>IF('ORDENES'!$A406="","",IF('ORDENES'!$W406="","-",'ORDENES'!$W406))</f>
        <v/>
      </c>
      <c r="G428" s="3">
        <f>IF('ORDENES'!$A406="","",IF('ORDENES'!$AB406="","-",'ORDENES'!$AB406))</f>
        <v/>
      </c>
      <c r="H428" s="3">
        <f>IF('ORDENES'!$A406="","",IF('ORDENES'!$AN406="","-",'ORDENES'!$AN406))</f>
        <v/>
      </c>
      <c r="I428" s="3">
        <f>IF('ORDENES'!$A406="","",IF('ORDENES'!$D406="","-",'ORDENES'!$D406))</f>
        <v/>
      </c>
      <c r="J428" s="3">
        <f>IF('ORDENES'!$A406="","",IF('ORDENES'!$E406="","-",'ORDENES'!$E406))</f>
        <v/>
      </c>
      <c r="K428" s="12">
        <f>IF('ORDENES'!$A406="","",IF('ORDENES'!$M406="",0,'ORDENES'!$M406))</f>
        <v/>
      </c>
      <c r="L428" s="3">
        <f>IF('ORDENES'!$A406="","",IF('ORDENES'!$N406="","-",'ORDENES'!$N406))</f>
        <v/>
      </c>
      <c r="M428" s="3">
        <f>IF('ORDENES'!$A406="","",'ORDENES'!$AA406)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IF('ORDENES'!$A407="","",IF('ORDENES'!$AC407="","-",'ORDENES'!$AC407))</f>
        <v/>
      </c>
      <c r="D429" s="3">
        <f>IF('ORDENES'!$A407="","",IF('ORDENES'!$V407="","-",'ORDENES'!$V407))</f>
        <v/>
      </c>
      <c r="E429" s="3">
        <f>IF('ORDENES'!$A407="","",IF('ORDENES'!$U407="","-",'ORDENES'!$U407))</f>
        <v/>
      </c>
      <c r="F429" s="3">
        <f>IF('ORDENES'!$A407="","",IF('ORDENES'!$W407="","-",'ORDENES'!$W407))</f>
        <v/>
      </c>
      <c r="G429" s="3">
        <f>IF('ORDENES'!$A407="","",IF('ORDENES'!$AB407="","-",'ORDENES'!$AB407))</f>
        <v/>
      </c>
      <c r="H429" s="3">
        <f>IF('ORDENES'!$A407="","",IF('ORDENES'!$AN407="","-",'ORDENES'!$AN407))</f>
        <v/>
      </c>
      <c r="I429" s="3">
        <f>IF('ORDENES'!$A407="","",IF('ORDENES'!$D407="","-",'ORDENES'!$D407))</f>
        <v/>
      </c>
      <c r="J429" s="3">
        <f>IF('ORDENES'!$A407="","",IF('ORDENES'!$E407="","-",'ORDENES'!$E407))</f>
        <v/>
      </c>
      <c r="K429" s="12">
        <f>IF('ORDENES'!$A407="","",IF('ORDENES'!$M407="",0,'ORDENES'!$M407))</f>
        <v/>
      </c>
      <c r="L429" s="3">
        <f>IF('ORDENES'!$A407="","",IF('ORDENES'!$N407="","-",'ORDENES'!$N407))</f>
        <v/>
      </c>
      <c r="M429" s="3">
        <f>IF('ORDENES'!$A407="","",'ORDENES'!$AA407)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IF('ORDENES'!$A408="","",IF('ORDENES'!$AC408="","-",'ORDENES'!$AC408))</f>
        <v/>
      </c>
      <c r="D430" s="3">
        <f>IF('ORDENES'!$A408="","",IF('ORDENES'!$V408="","-",'ORDENES'!$V408))</f>
        <v/>
      </c>
      <c r="E430" s="3">
        <f>IF('ORDENES'!$A408="","",IF('ORDENES'!$U408="","-",'ORDENES'!$U408))</f>
        <v/>
      </c>
      <c r="F430" s="3">
        <f>IF('ORDENES'!$A408="","",IF('ORDENES'!$W408="","-",'ORDENES'!$W408))</f>
        <v/>
      </c>
      <c r="G430" s="3">
        <f>IF('ORDENES'!$A408="","",IF('ORDENES'!$AB408="","-",'ORDENES'!$AB408))</f>
        <v/>
      </c>
      <c r="H430" s="3">
        <f>IF('ORDENES'!$A408="","",IF('ORDENES'!$AN408="","-",'ORDENES'!$AN408))</f>
        <v/>
      </c>
      <c r="I430" s="3">
        <f>IF('ORDENES'!$A408="","",IF('ORDENES'!$D408="","-",'ORDENES'!$D408))</f>
        <v/>
      </c>
      <c r="J430" s="3">
        <f>IF('ORDENES'!$A408="","",IF('ORDENES'!$E408="","-",'ORDENES'!$E408))</f>
        <v/>
      </c>
      <c r="K430" s="12">
        <f>IF('ORDENES'!$A408="","",IF('ORDENES'!$M408="",0,'ORDENES'!$M408))</f>
        <v/>
      </c>
      <c r="L430" s="3">
        <f>IF('ORDENES'!$A408="","",IF('ORDENES'!$N408="","-",'ORDENES'!$N408))</f>
        <v/>
      </c>
      <c r="M430" s="3">
        <f>IF('ORDENES'!$A408="","",'ORDENES'!$AA408)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IF('ORDENES'!$A409="","",IF('ORDENES'!$AC409="","-",'ORDENES'!$AC409))</f>
        <v/>
      </c>
      <c r="D431" s="3">
        <f>IF('ORDENES'!$A409="","",IF('ORDENES'!$V409="","-",'ORDENES'!$V409))</f>
        <v/>
      </c>
      <c r="E431" s="3">
        <f>IF('ORDENES'!$A409="","",IF('ORDENES'!$U409="","-",'ORDENES'!$U409))</f>
        <v/>
      </c>
      <c r="F431" s="3">
        <f>IF('ORDENES'!$A409="","",IF('ORDENES'!$W409="","-",'ORDENES'!$W409))</f>
        <v/>
      </c>
      <c r="G431" s="3">
        <f>IF('ORDENES'!$A409="","",IF('ORDENES'!$AB409="","-",'ORDENES'!$AB409))</f>
        <v/>
      </c>
      <c r="H431" s="3">
        <f>IF('ORDENES'!$A409="","",IF('ORDENES'!$AN409="","-",'ORDENES'!$AN409))</f>
        <v/>
      </c>
      <c r="I431" s="3">
        <f>IF('ORDENES'!$A409="","",IF('ORDENES'!$D409="","-",'ORDENES'!$D409))</f>
        <v/>
      </c>
      <c r="J431" s="3">
        <f>IF('ORDENES'!$A409="","",IF('ORDENES'!$E409="","-",'ORDENES'!$E409))</f>
        <v/>
      </c>
      <c r="K431" s="12">
        <f>IF('ORDENES'!$A409="","",IF('ORDENES'!$M409="",0,'ORDENES'!$M409))</f>
        <v/>
      </c>
      <c r="L431" s="3">
        <f>IF('ORDENES'!$A409="","",IF('ORDENES'!$N409="","-",'ORDENES'!$N409))</f>
        <v/>
      </c>
      <c r="M431" s="3">
        <f>IF('ORDENES'!$A409="","",'ORDENES'!$AA409)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IF('ORDENES'!$A410="","",IF('ORDENES'!$AC410="","-",'ORDENES'!$AC410))</f>
        <v/>
      </c>
      <c r="D432" s="3">
        <f>IF('ORDENES'!$A410="","",IF('ORDENES'!$V410="","-",'ORDENES'!$V410))</f>
        <v/>
      </c>
      <c r="E432" s="3">
        <f>IF('ORDENES'!$A410="","",IF('ORDENES'!$U410="","-",'ORDENES'!$U410))</f>
        <v/>
      </c>
      <c r="F432" s="3">
        <f>IF('ORDENES'!$A410="","",IF('ORDENES'!$W410="","-",'ORDENES'!$W410))</f>
        <v/>
      </c>
      <c r="G432" s="3">
        <f>IF('ORDENES'!$A410="","",IF('ORDENES'!$AB410="","-",'ORDENES'!$AB410))</f>
        <v/>
      </c>
      <c r="H432" s="3">
        <f>IF('ORDENES'!$A410="","",IF('ORDENES'!$AN410="","-",'ORDENES'!$AN410))</f>
        <v/>
      </c>
      <c r="I432" s="3">
        <f>IF('ORDENES'!$A410="","",IF('ORDENES'!$D410="","-",'ORDENES'!$D410))</f>
        <v/>
      </c>
      <c r="J432" s="3">
        <f>IF('ORDENES'!$A410="","",IF('ORDENES'!$E410="","-",'ORDENES'!$E410))</f>
        <v/>
      </c>
      <c r="K432" s="12">
        <f>IF('ORDENES'!$A410="","",IF('ORDENES'!$M410="",0,'ORDENES'!$M410))</f>
        <v/>
      </c>
      <c r="L432" s="3">
        <f>IF('ORDENES'!$A410="","",IF('ORDENES'!$N410="","-",'ORDENES'!$N410))</f>
        <v/>
      </c>
      <c r="M432" s="3">
        <f>IF('ORDENES'!$A410="","",'ORDENES'!$AA410)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IF('ORDENES'!$A411="","",IF('ORDENES'!$AC411="","-",'ORDENES'!$AC411))</f>
        <v/>
      </c>
      <c r="D433" s="3">
        <f>IF('ORDENES'!$A411="","",IF('ORDENES'!$V411="","-",'ORDENES'!$V411))</f>
        <v/>
      </c>
      <c r="E433" s="3">
        <f>IF('ORDENES'!$A411="","",IF('ORDENES'!$U411="","-",'ORDENES'!$U411))</f>
        <v/>
      </c>
      <c r="F433" s="3">
        <f>IF('ORDENES'!$A411="","",IF('ORDENES'!$W411="","-",'ORDENES'!$W411))</f>
        <v/>
      </c>
      <c r="G433" s="3">
        <f>IF('ORDENES'!$A411="","",IF('ORDENES'!$AB411="","-",'ORDENES'!$AB411))</f>
        <v/>
      </c>
      <c r="H433" s="3">
        <f>IF('ORDENES'!$A411="","",IF('ORDENES'!$AN411="","-",'ORDENES'!$AN411))</f>
        <v/>
      </c>
      <c r="I433" s="3">
        <f>IF('ORDENES'!$A411="","",IF('ORDENES'!$D411="","-",'ORDENES'!$D411))</f>
        <v/>
      </c>
      <c r="J433" s="3">
        <f>IF('ORDENES'!$A411="","",IF('ORDENES'!$E411="","-",'ORDENES'!$E411))</f>
        <v/>
      </c>
      <c r="K433" s="12">
        <f>IF('ORDENES'!$A411="","",IF('ORDENES'!$M411="",0,'ORDENES'!$M411))</f>
        <v/>
      </c>
      <c r="L433" s="3">
        <f>IF('ORDENES'!$A411="","",IF('ORDENES'!$N411="","-",'ORDENES'!$N411))</f>
        <v/>
      </c>
      <c r="M433" s="3">
        <f>IF('ORDENES'!$A411="","",'ORDENES'!$AA411)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IF('ORDENES'!$A412="","",IF('ORDENES'!$AC412="","-",'ORDENES'!$AC412))</f>
        <v/>
      </c>
      <c r="D434" s="3">
        <f>IF('ORDENES'!$A412="","",IF('ORDENES'!$V412="","-",'ORDENES'!$V412))</f>
        <v/>
      </c>
      <c r="E434" s="3">
        <f>IF('ORDENES'!$A412="","",IF('ORDENES'!$U412="","-",'ORDENES'!$U412))</f>
        <v/>
      </c>
      <c r="F434" s="3">
        <f>IF('ORDENES'!$A412="","",IF('ORDENES'!$W412="","-",'ORDENES'!$W412))</f>
        <v/>
      </c>
      <c r="G434" s="3">
        <f>IF('ORDENES'!$A412="","",IF('ORDENES'!$AB412="","-",'ORDENES'!$AB412))</f>
        <v/>
      </c>
      <c r="H434" s="3">
        <f>IF('ORDENES'!$A412="","",IF('ORDENES'!$AN412="","-",'ORDENES'!$AN412))</f>
        <v/>
      </c>
      <c r="I434" s="3">
        <f>IF('ORDENES'!$A412="","",IF('ORDENES'!$D412="","-",'ORDENES'!$D412))</f>
        <v/>
      </c>
      <c r="J434" s="3">
        <f>IF('ORDENES'!$A412="","",IF('ORDENES'!$E412="","-",'ORDENES'!$E412))</f>
        <v/>
      </c>
      <c r="K434" s="12">
        <f>IF('ORDENES'!$A412="","",IF('ORDENES'!$M412="",0,'ORDENES'!$M412))</f>
        <v/>
      </c>
      <c r="L434" s="3">
        <f>IF('ORDENES'!$A412="","",IF('ORDENES'!$N412="","-",'ORDENES'!$N412))</f>
        <v/>
      </c>
      <c r="M434" s="3">
        <f>IF('ORDENES'!$A412="","",'ORDENES'!$AA412)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IF('ORDENES'!$A413="","",IF('ORDENES'!$AC413="","-",'ORDENES'!$AC413))</f>
        <v/>
      </c>
      <c r="D435" s="3">
        <f>IF('ORDENES'!$A413="","",IF('ORDENES'!$V413="","-",'ORDENES'!$V413))</f>
        <v/>
      </c>
      <c r="E435" s="3">
        <f>IF('ORDENES'!$A413="","",IF('ORDENES'!$U413="","-",'ORDENES'!$U413))</f>
        <v/>
      </c>
      <c r="F435" s="3">
        <f>IF('ORDENES'!$A413="","",IF('ORDENES'!$W413="","-",'ORDENES'!$W413))</f>
        <v/>
      </c>
      <c r="G435" s="3">
        <f>IF('ORDENES'!$A413="","",IF('ORDENES'!$AB413="","-",'ORDENES'!$AB413))</f>
        <v/>
      </c>
      <c r="H435" s="3">
        <f>IF('ORDENES'!$A413="","",IF('ORDENES'!$AN413="","-",'ORDENES'!$AN413))</f>
        <v/>
      </c>
      <c r="I435" s="3">
        <f>IF('ORDENES'!$A413="","",IF('ORDENES'!$D413="","-",'ORDENES'!$D413))</f>
        <v/>
      </c>
      <c r="J435" s="3">
        <f>IF('ORDENES'!$A413="","",IF('ORDENES'!$E413="","-",'ORDENES'!$E413))</f>
        <v/>
      </c>
      <c r="K435" s="12">
        <f>IF('ORDENES'!$A413="","",IF('ORDENES'!$M413="",0,'ORDENES'!$M413))</f>
        <v/>
      </c>
      <c r="L435" s="3">
        <f>IF('ORDENES'!$A413="","",IF('ORDENES'!$N413="","-",'ORDENES'!$N413))</f>
        <v/>
      </c>
      <c r="M435" s="3">
        <f>IF('ORDENES'!$A413="","",'ORDENES'!$AA413)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IF('ORDENES'!$A414="","",IF('ORDENES'!$AC414="","-",'ORDENES'!$AC414))</f>
        <v/>
      </c>
      <c r="D436" s="3">
        <f>IF('ORDENES'!$A414="","",IF('ORDENES'!$V414="","-",'ORDENES'!$V414))</f>
        <v/>
      </c>
      <c r="E436" s="3">
        <f>IF('ORDENES'!$A414="","",IF('ORDENES'!$U414="","-",'ORDENES'!$U414))</f>
        <v/>
      </c>
      <c r="F436" s="3">
        <f>IF('ORDENES'!$A414="","",IF('ORDENES'!$W414="","-",'ORDENES'!$W414))</f>
        <v/>
      </c>
      <c r="G436" s="3">
        <f>IF('ORDENES'!$A414="","",IF('ORDENES'!$AB414="","-",'ORDENES'!$AB414))</f>
        <v/>
      </c>
      <c r="H436" s="3">
        <f>IF('ORDENES'!$A414="","",IF('ORDENES'!$AN414="","-",'ORDENES'!$AN414))</f>
        <v/>
      </c>
      <c r="I436" s="3">
        <f>IF('ORDENES'!$A414="","",IF('ORDENES'!$D414="","-",'ORDENES'!$D414))</f>
        <v/>
      </c>
      <c r="J436" s="3">
        <f>IF('ORDENES'!$A414="","",IF('ORDENES'!$E414="","-",'ORDENES'!$E414))</f>
        <v/>
      </c>
      <c r="K436" s="12">
        <f>IF('ORDENES'!$A414="","",IF('ORDENES'!$M414="",0,'ORDENES'!$M414))</f>
        <v/>
      </c>
      <c r="L436" s="3">
        <f>IF('ORDENES'!$A414="","",IF('ORDENES'!$N414="","-",'ORDENES'!$N414))</f>
        <v/>
      </c>
      <c r="M436" s="3">
        <f>IF('ORDENES'!$A414="","",'ORDENES'!$AA414)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IF('ORDENES'!$A415="","",IF('ORDENES'!$AC415="","-",'ORDENES'!$AC415))</f>
        <v/>
      </c>
      <c r="D437" s="3">
        <f>IF('ORDENES'!$A415="","",IF('ORDENES'!$V415="","-",'ORDENES'!$V415))</f>
        <v/>
      </c>
      <c r="E437" s="3">
        <f>IF('ORDENES'!$A415="","",IF('ORDENES'!$U415="","-",'ORDENES'!$U415))</f>
        <v/>
      </c>
      <c r="F437" s="3">
        <f>IF('ORDENES'!$A415="","",IF('ORDENES'!$W415="","-",'ORDENES'!$W415))</f>
        <v/>
      </c>
      <c r="G437" s="3">
        <f>IF('ORDENES'!$A415="","",IF('ORDENES'!$AB415="","-",'ORDENES'!$AB415))</f>
        <v/>
      </c>
      <c r="H437" s="3">
        <f>IF('ORDENES'!$A415="","",IF('ORDENES'!$AN415="","-",'ORDENES'!$AN415))</f>
        <v/>
      </c>
      <c r="I437" s="3">
        <f>IF('ORDENES'!$A415="","",IF('ORDENES'!$D415="","-",'ORDENES'!$D415))</f>
        <v/>
      </c>
      <c r="J437" s="3">
        <f>IF('ORDENES'!$A415="","",IF('ORDENES'!$E415="","-",'ORDENES'!$E415))</f>
        <v/>
      </c>
      <c r="K437" s="12">
        <f>IF('ORDENES'!$A415="","",IF('ORDENES'!$M415="",0,'ORDENES'!$M415))</f>
        <v/>
      </c>
      <c r="L437" s="3">
        <f>IF('ORDENES'!$A415="","",IF('ORDENES'!$N415="","-",'ORDENES'!$N415))</f>
        <v/>
      </c>
      <c r="M437" s="3">
        <f>IF('ORDENES'!$A415="","",'ORDENES'!$AA415)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IF('ORDENES'!$A416="","",IF('ORDENES'!$AC416="","-",'ORDENES'!$AC416))</f>
        <v/>
      </c>
      <c r="D438" s="3">
        <f>IF('ORDENES'!$A416="","",IF('ORDENES'!$V416="","-",'ORDENES'!$V416))</f>
        <v/>
      </c>
      <c r="E438" s="3">
        <f>IF('ORDENES'!$A416="","",IF('ORDENES'!$U416="","-",'ORDENES'!$U416))</f>
        <v/>
      </c>
      <c r="F438" s="3">
        <f>IF('ORDENES'!$A416="","",IF('ORDENES'!$W416="","-",'ORDENES'!$W416))</f>
        <v/>
      </c>
      <c r="G438" s="3">
        <f>IF('ORDENES'!$A416="","",IF('ORDENES'!$AB416="","-",'ORDENES'!$AB416))</f>
        <v/>
      </c>
      <c r="H438" s="3">
        <f>IF('ORDENES'!$A416="","",IF('ORDENES'!$AN416="","-",'ORDENES'!$AN416))</f>
        <v/>
      </c>
      <c r="I438" s="3">
        <f>IF('ORDENES'!$A416="","",IF('ORDENES'!$D416="","-",'ORDENES'!$D416))</f>
        <v/>
      </c>
      <c r="J438" s="3">
        <f>IF('ORDENES'!$A416="","",IF('ORDENES'!$E416="","-",'ORDENES'!$E416))</f>
        <v/>
      </c>
      <c r="K438" s="12">
        <f>IF('ORDENES'!$A416="","",IF('ORDENES'!$M416="",0,'ORDENES'!$M416))</f>
        <v/>
      </c>
      <c r="L438" s="3">
        <f>IF('ORDENES'!$A416="","",IF('ORDENES'!$N416="","-",'ORDENES'!$N416))</f>
        <v/>
      </c>
      <c r="M438" s="3">
        <f>IF('ORDENES'!$A416="","",'ORDENES'!$AA416)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IF('ORDENES'!$A417="","",IF('ORDENES'!$AC417="","-",'ORDENES'!$AC417))</f>
        <v/>
      </c>
      <c r="D439" s="3">
        <f>IF('ORDENES'!$A417="","",IF('ORDENES'!$V417="","-",'ORDENES'!$V417))</f>
        <v/>
      </c>
      <c r="E439" s="3">
        <f>IF('ORDENES'!$A417="","",IF('ORDENES'!$U417="","-",'ORDENES'!$U417))</f>
        <v/>
      </c>
      <c r="F439" s="3">
        <f>IF('ORDENES'!$A417="","",IF('ORDENES'!$W417="","-",'ORDENES'!$W417))</f>
        <v/>
      </c>
      <c r="G439" s="3">
        <f>IF('ORDENES'!$A417="","",IF('ORDENES'!$AB417="","-",'ORDENES'!$AB417))</f>
        <v/>
      </c>
      <c r="H439" s="3">
        <f>IF('ORDENES'!$A417="","",IF('ORDENES'!$AN417="","-",'ORDENES'!$AN417))</f>
        <v/>
      </c>
      <c r="I439" s="3">
        <f>IF('ORDENES'!$A417="","",IF('ORDENES'!$D417="","-",'ORDENES'!$D417))</f>
        <v/>
      </c>
      <c r="J439" s="3">
        <f>IF('ORDENES'!$A417="","",IF('ORDENES'!$E417="","-",'ORDENES'!$E417))</f>
        <v/>
      </c>
      <c r="K439" s="12">
        <f>IF('ORDENES'!$A417="","",IF('ORDENES'!$M417="",0,'ORDENES'!$M417))</f>
        <v/>
      </c>
      <c r="L439" s="3">
        <f>IF('ORDENES'!$A417="","",IF('ORDENES'!$N417="","-",'ORDENES'!$N417))</f>
        <v/>
      </c>
      <c r="M439" s="3">
        <f>IF('ORDENES'!$A417="","",'ORDENES'!$AA417)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IF('ORDENES'!$A418="","",IF('ORDENES'!$AC418="","-",'ORDENES'!$AC418))</f>
        <v/>
      </c>
      <c r="D440" s="3">
        <f>IF('ORDENES'!$A418="","",IF('ORDENES'!$V418="","-",'ORDENES'!$V418))</f>
        <v/>
      </c>
      <c r="E440" s="3">
        <f>IF('ORDENES'!$A418="","",IF('ORDENES'!$U418="","-",'ORDENES'!$U418))</f>
        <v/>
      </c>
      <c r="F440" s="3">
        <f>IF('ORDENES'!$A418="","",IF('ORDENES'!$W418="","-",'ORDENES'!$W418))</f>
        <v/>
      </c>
      <c r="G440" s="3">
        <f>IF('ORDENES'!$A418="","",IF('ORDENES'!$AB418="","-",'ORDENES'!$AB418))</f>
        <v/>
      </c>
      <c r="H440" s="3">
        <f>IF('ORDENES'!$A418="","",IF('ORDENES'!$AN418="","-",'ORDENES'!$AN418))</f>
        <v/>
      </c>
      <c r="I440" s="3">
        <f>IF('ORDENES'!$A418="","",IF('ORDENES'!$D418="","-",'ORDENES'!$D418))</f>
        <v/>
      </c>
      <c r="J440" s="3">
        <f>IF('ORDENES'!$A418="","",IF('ORDENES'!$E418="","-",'ORDENES'!$E418))</f>
        <v/>
      </c>
      <c r="K440" s="12">
        <f>IF('ORDENES'!$A418="","",IF('ORDENES'!$M418="",0,'ORDENES'!$M418))</f>
        <v/>
      </c>
      <c r="L440" s="3">
        <f>IF('ORDENES'!$A418="","",IF('ORDENES'!$N418="","-",'ORDENES'!$N418))</f>
        <v/>
      </c>
      <c r="M440" s="3">
        <f>IF('ORDENES'!$A418="","",'ORDENES'!$AA418)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IF('ORDENES'!$A419="","",IF('ORDENES'!$AC419="","-",'ORDENES'!$AC419))</f>
        <v/>
      </c>
      <c r="D441" s="3">
        <f>IF('ORDENES'!$A419="","",IF('ORDENES'!$V419="","-",'ORDENES'!$V419))</f>
        <v/>
      </c>
      <c r="E441" s="3">
        <f>IF('ORDENES'!$A419="","",IF('ORDENES'!$U419="","-",'ORDENES'!$U419))</f>
        <v/>
      </c>
      <c r="F441" s="3">
        <f>IF('ORDENES'!$A419="","",IF('ORDENES'!$W419="","-",'ORDENES'!$W419))</f>
        <v/>
      </c>
      <c r="G441" s="3">
        <f>IF('ORDENES'!$A419="","",IF('ORDENES'!$AB419="","-",'ORDENES'!$AB419))</f>
        <v/>
      </c>
      <c r="H441" s="3">
        <f>IF('ORDENES'!$A419="","",IF('ORDENES'!$AN419="","-",'ORDENES'!$AN419))</f>
        <v/>
      </c>
      <c r="I441" s="3">
        <f>IF('ORDENES'!$A419="","",IF('ORDENES'!$D419="","-",'ORDENES'!$D419))</f>
        <v/>
      </c>
      <c r="J441" s="3">
        <f>IF('ORDENES'!$A419="","",IF('ORDENES'!$E419="","-",'ORDENES'!$E419))</f>
        <v/>
      </c>
      <c r="K441" s="12">
        <f>IF('ORDENES'!$A419="","",IF('ORDENES'!$M419="",0,'ORDENES'!$M419))</f>
        <v/>
      </c>
      <c r="L441" s="3">
        <f>IF('ORDENES'!$A419="","",IF('ORDENES'!$N419="","-",'ORDENES'!$N419))</f>
        <v/>
      </c>
      <c r="M441" s="3">
        <f>IF('ORDENES'!$A419="","",'ORDENES'!$AA419)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IF('ORDENES'!$A420="","",IF('ORDENES'!$AC420="","-",'ORDENES'!$AC420))</f>
        <v/>
      </c>
      <c r="D442" s="3">
        <f>IF('ORDENES'!$A420="","",IF('ORDENES'!$V420="","-",'ORDENES'!$V420))</f>
        <v/>
      </c>
      <c r="E442" s="3">
        <f>IF('ORDENES'!$A420="","",IF('ORDENES'!$U420="","-",'ORDENES'!$U420))</f>
        <v/>
      </c>
      <c r="F442" s="3">
        <f>IF('ORDENES'!$A420="","",IF('ORDENES'!$W420="","-",'ORDENES'!$W420))</f>
        <v/>
      </c>
      <c r="G442" s="3">
        <f>IF('ORDENES'!$A420="","",IF('ORDENES'!$AB420="","-",'ORDENES'!$AB420))</f>
        <v/>
      </c>
      <c r="H442" s="3">
        <f>IF('ORDENES'!$A420="","",IF('ORDENES'!$AN420="","-",'ORDENES'!$AN420))</f>
        <v/>
      </c>
      <c r="I442" s="3">
        <f>IF('ORDENES'!$A420="","",IF('ORDENES'!$D420="","-",'ORDENES'!$D420))</f>
        <v/>
      </c>
      <c r="J442" s="3">
        <f>IF('ORDENES'!$A420="","",IF('ORDENES'!$E420="","-",'ORDENES'!$E420))</f>
        <v/>
      </c>
      <c r="K442" s="12">
        <f>IF('ORDENES'!$A420="","",IF('ORDENES'!$M420="",0,'ORDENES'!$M420))</f>
        <v/>
      </c>
      <c r="L442" s="3">
        <f>IF('ORDENES'!$A420="","",IF('ORDENES'!$N420="","-",'ORDENES'!$N420))</f>
        <v/>
      </c>
      <c r="M442" s="3">
        <f>IF('ORDENES'!$A420="","",'ORDENES'!$AA420)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IF('ORDENES'!$A421="","",IF('ORDENES'!$AC421="","-",'ORDENES'!$AC421))</f>
        <v/>
      </c>
      <c r="D443" s="3">
        <f>IF('ORDENES'!$A421="","",IF('ORDENES'!$V421="","-",'ORDENES'!$V421))</f>
        <v/>
      </c>
      <c r="E443" s="3">
        <f>IF('ORDENES'!$A421="","",IF('ORDENES'!$U421="","-",'ORDENES'!$U421))</f>
        <v/>
      </c>
      <c r="F443" s="3">
        <f>IF('ORDENES'!$A421="","",IF('ORDENES'!$W421="","-",'ORDENES'!$W421))</f>
        <v/>
      </c>
      <c r="G443" s="3">
        <f>IF('ORDENES'!$A421="","",IF('ORDENES'!$AB421="","-",'ORDENES'!$AB421))</f>
        <v/>
      </c>
      <c r="H443" s="3">
        <f>IF('ORDENES'!$A421="","",IF('ORDENES'!$AN421="","-",'ORDENES'!$AN421))</f>
        <v/>
      </c>
      <c r="I443" s="3">
        <f>IF('ORDENES'!$A421="","",IF('ORDENES'!$D421="","-",'ORDENES'!$D421))</f>
        <v/>
      </c>
      <c r="J443" s="3">
        <f>IF('ORDENES'!$A421="","",IF('ORDENES'!$E421="","-",'ORDENES'!$E421))</f>
        <v/>
      </c>
      <c r="K443" s="12">
        <f>IF('ORDENES'!$A421="","",IF('ORDENES'!$M421="",0,'ORDENES'!$M421))</f>
        <v/>
      </c>
      <c r="L443" s="3">
        <f>IF('ORDENES'!$A421="","",IF('ORDENES'!$N421="","-",'ORDENES'!$N421))</f>
        <v/>
      </c>
      <c r="M443" s="3">
        <f>IF('ORDENES'!$A421="","",'ORDENES'!$AA421)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IF('ORDENES'!$A422="","",IF('ORDENES'!$AC422="","-",'ORDENES'!$AC422))</f>
        <v/>
      </c>
      <c r="D444" s="3">
        <f>IF('ORDENES'!$A422="","",IF('ORDENES'!$V422="","-",'ORDENES'!$V422))</f>
        <v/>
      </c>
      <c r="E444" s="3">
        <f>IF('ORDENES'!$A422="","",IF('ORDENES'!$U422="","-",'ORDENES'!$U422))</f>
        <v/>
      </c>
      <c r="F444" s="3">
        <f>IF('ORDENES'!$A422="","",IF('ORDENES'!$W422="","-",'ORDENES'!$W422))</f>
        <v/>
      </c>
      <c r="G444" s="3">
        <f>IF('ORDENES'!$A422="","",IF('ORDENES'!$AB422="","-",'ORDENES'!$AB422))</f>
        <v/>
      </c>
      <c r="H444" s="3">
        <f>IF('ORDENES'!$A422="","",IF('ORDENES'!$AN422="","-",'ORDENES'!$AN422))</f>
        <v/>
      </c>
      <c r="I444" s="3">
        <f>IF('ORDENES'!$A422="","",IF('ORDENES'!$D422="","-",'ORDENES'!$D422))</f>
        <v/>
      </c>
      <c r="J444" s="3">
        <f>IF('ORDENES'!$A422="","",IF('ORDENES'!$E422="","-",'ORDENES'!$E422))</f>
        <v/>
      </c>
      <c r="K444" s="12">
        <f>IF('ORDENES'!$A422="","",IF('ORDENES'!$M422="",0,'ORDENES'!$M422))</f>
        <v/>
      </c>
      <c r="L444" s="3">
        <f>IF('ORDENES'!$A422="","",IF('ORDENES'!$N422="","-",'ORDENES'!$N422))</f>
        <v/>
      </c>
      <c r="M444" s="3">
        <f>IF('ORDENES'!$A422="","",'ORDENES'!$AA422)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IF('ORDENES'!$A423="","",IF('ORDENES'!$AC423="","-",'ORDENES'!$AC423))</f>
        <v/>
      </c>
      <c r="D445" s="3">
        <f>IF('ORDENES'!$A423="","",IF('ORDENES'!$V423="","-",'ORDENES'!$V423))</f>
        <v/>
      </c>
      <c r="E445" s="3">
        <f>IF('ORDENES'!$A423="","",IF('ORDENES'!$U423="","-",'ORDENES'!$U423))</f>
        <v/>
      </c>
      <c r="F445" s="3">
        <f>IF('ORDENES'!$A423="","",IF('ORDENES'!$W423="","-",'ORDENES'!$W423))</f>
        <v/>
      </c>
      <c r="G445" s="3">
        <f>IF('ORDENES'!$A423="","",IF('ORDENES'!$AB423="","-",'ORDENES'!$AB423))</f>
        <v/>
      </c>
      <c r="H445" s="3">
        <f>IF('ORDENES'!$A423="","",IF('ORDENES'!$AN423="","-",'ORDENES'!$AN423))</f>
        <v/>
      </c>
      <c r="I445" s="3">
        <f>IF('ORDENES'!$A423="","",IF('ORDENES'!$D423="","-",'ORDENES'!$D423))</f>
        <v/>
      </c>
      <c r="J445" s="3">
        <f>IF('ORDENES'!$A423="","",IF('ORDENES'!$E423="","-",'ORDENES'!$E423))</f>
        <v/>
      </c>
      <c r="K445" s="12">
        <f>IF('ORDENES'!$A423="","",IF('ORDENES'!$M423="",0,'ORDENES'!$M423))</f>
        <v/>
      </c>
      <c r="L445" s="3">
        <f>IF('ORDENES'!$A423="","",IF('ORDENES'!$N423="","-",'ORDENES'!$N423))</f>
        <v/>
      </c>
      <c r="M445" s="3">
        <f>IF('ORDENES'!$A423="","",'ORDENES'!$AA423)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IF('ORDENES'!$A424="","",IF('ORDENES'!$AC424="","-",'ORDENES'!$AC424))</f>
        <v/>
      </c>
      <c r="D446" s="3">
        <f>IF('ORDENES'!$A424="","",IF('ORDENES'!$V424="","-",'ORDENES'!$V424))</f>
        <v/>
      </c>
      <c r="E446" s="3">
        <f>IF('ORDENES'!$A424="","",IF('ORDENES'!$U424="","-",'ORDENES'!$U424))</f>
        <v/>
      </c>
      <c r="F446" s="3">
        <f>IF('ORDENES'!$A424="","",IF('ORDENES'!$W424="","-",'ORDENES'!$W424))</f>
        <v/>
      </c>
      <c r="G446" s="3">
        <f>IF('ORDENES'!$A424="","",IF('ORDENES'!$AB424="","-",'ORDENES'!$AB424))</f>
        <v/>
      </c>
      <c r="H446" s="3">
        <f>IF('ORDENES'!$A424="","",IF('ORDENES'!$AN424="","-",'ORDENES'!$AN424))</f>
        <v/>
      </c>
      <c r="I446" s="3">
        <f>IF('ORDENES'!$A424="","",IF('ORDENES'!$D424="","-",'ORDENES'!$D424))</f>
        <v/>
      </c>
      <c r="J446" s="3">
        <f>IF('ORDENES'!$A424="","",IF('ORDENES'!$E424="","-",'ORDENES'!$E424))</f>
        <v/>
      </c>
      <c r="K446" s="12">
        <f>IF('ORDENES'!$A424="","",IF('ORDENES'!$M424="",0,'ORDENES'!$M424))</f>
        <v/>
      </c>
      <c r="L446" s="3">
        <f>IF('ORDENES'!$A424="","",IF('ORDENES'!$N424="","-",'ORDENES'!$N424))</f>
        <v/>
      </c>
      <c r="M446" s="3">
        <f>IF('ORDENES'!$A424="","",'ORDENES'!$AA424)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IF('ORDENES'!$A425="","",IF('ORDENES'!$AC425="","-",'ORDENES'!$AC425))</f>
        <v/>
      </c>
      <c r="D447" s="3">
        <f>IF('ORDENES'!$A425="","",IF('ORDENES'!$V425="","-",'ORDENES'!$V425))</f>
        <v/>
      </c>
      <c r="E447" s="3">
        <f>IF('ORDENES'!$A425="","",IF('ORDENES'!$U425="","-",'ORDENES'!$U425))</f>
        <v/>
      </c>
      <c r="F447" s="3">
        <f>IF('ORDENES'!$A425="","",IF('ORDENES'!$W425="","-",'ORDENES'!$W425))</f>
        <v/>
      </c>
      <c r="G447" s="3">
        <f>IF('ORDENES'!$A425="","",IF('ORDENES'!$AB425="","-",'ORDENES'!$AB425))</f>
        <v/>
      </c>
      <c r="H447" s="3">
        <f>IF('ORDENES'!$A425="","",IF('ORDENES'!$AN425="","-",'ORDENES'!$AN425))</f>
        <v/>
      </c>
      <c r="I447" s="3">
        <f>IF('ORDENES'!$A425="","",IF('ORDENES'!$D425="","-",'ORDENES'!$D425))</f>
        <v/>
      </c>
      <c r="J447" s="3">
        <f>IF('ORDENES'!$A425="","",IF('ORDENES'!$E425="","-",'ORDENES'!$E425))</f>
        <v/>
      </c>
      <c r="K447" s="12">
        <f>IF('ORDENES'!$A425="","",IF('ORDENES'!$M425="",0,'ORDENES'!$M425))</f>
        <v/>
      </c>
      <c r="L447" s="3">
        <f>IF('ORDENES'!$A425="","",IF('ORDENES'!$N425="","-",'ORDENES'!$N425))</f>
        <v/>
      </c>
      <c r="M447" s="3">
        <f>IF('ORDENES'!$A425="","",'ORDENES'!$AA425)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IF('ORDENES'!$A426="","",IF('ORDENES'!$AC426="","-",'ORDENES'!$AC426))</f>
        <v/>
      </c>
      <c r="D448" s="3">
        <f>IF('ORDENES'!$A426="","",IF('ORDENES'!$V426="","-",'ORDENES'!$V426))</f>
        <v/>
      </c>
      <c r="E448" s="3">
        <f>IF('ORDENES'!$A426="","",IF('ORDENES'!$U426="","-",'ORDENES'!$U426))</f>
        <v/>
      </c>
      <c r="F448" s="3">
        <f>IF('ORDENES'!$A426="","",IF('ORDENES'!$W426="","-",'ORDENES'!$W426))</f>
        <v/>
      </c>
      <c r="G448" s="3">
        <f>IF('ORDENES'!$A426="","",IF('ORDENES'!$AB426="","-",'ORDENES'!$AB426))</f>
        <v/>
      </c>
      <c r="H448" s="3">
        <f>IF('ORDENES'!$A426="","",IF('ORDENES'!$AN426="","-",'ORDENES'!$AN426))</f>
        <v/>
      </c>
      <c r="I448" s="3">
        <f>IF('ORDENES'!$A426="","",IF('ORDENES'!$D426="","-",'ORDENES'!$D426))</f>
        <v/>
      </c>
      <c r="J448" s="3">
        <f>IF('ORDENES'!$A426="","",IF('ORDENES'!$E426="","-",'ORDENES'!$E426))</f>
        <v/>
      </c>
      <c r="K448" s="12">
        <f>IF('ORDENES'!$A426="","",IF('ORDENES'!$M426="",0,'ORDENES'!$M426))</f>
        <v/>
      </c>
      <c r="L448" s="3">
        <f>IF('ORDENES'!$A426="","",IF('ORDENES'!$N426="","-",'ORDENES'!$N426))</f>
        <v/>
      </c>
      <c r="M448" s="3">
        <f>IF('ORDENES'!$A426="","",'ORDENES'!$AA426)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IF('ORDENES'!$A427="","",IF('ORDENES'!$AC427="","-",'ORDENES'!$AC427))</f>
        <v/>
      </c>
      <c r="D449" s="3">
        <f>IF('ORDENES'!$A427="","",IF('ORDENES'!$V427="","-",'ORDENES'!$V427))</f>
        <v/>
      </c>
      <c r="E449" s="3">
        <f>IF('ORDENES'!$A427="","",IF('ORDENES'!$U427="","-",'ORDENES'!$U427))</f>
        <v/>
      </c>
      <c r="F449" s="3">
        <f>IF('ORDENES'!$A427="","",IF('ORDENES'!$W427="","-",'ORDENES'!$W427))</f>
        <v/>
      </c>
      <c r="G449" s="3">
        <f>IF('ORDENES'!$A427="","",IF('ORDENES'!$AB427="","-",'ORDENES'!$AB427))</f>
        <v/>
      </c>
      <c r="H449" s="3">
        <f>IF('ORDENES'!$A427="","",IF('ORDENES'!$AN427="","-",'ORDENES'!$AN427))</f>
        <v/>
      </c>
      <c r="I449" s="3">
        <f>IF('ORDENES'!$A427="","",IF('ORDENES'!$D427="","-",'ORDENES'!$D427))</f>
        <v/>
      </c>
      <c r="J449" s="3">
        <f>IF('ORDENES'!$A427="","",IF('ORDENES'!$E427="","-",'ORDENES'!$E427))</f>
        <v/>
      </c>
      <c r="K449" s="12">
        <f>IF('ORDENES'!$A427="","",IF('ORDENES'!$M427="",0,'ORDENES'!$M427))</f>
        <v/>
      </c>
      <c r="L449" s="3">
        <f>IF('ORDENES'!$A427="","",IF('ORDENES'!$N427="","-",'ORDENES'!$N427))</f>
        <v/>
      </c>
      <c r="M449" s="3">
        <f>IF('ORDENES'!$A427="","",'ORDENES'!$AA427)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IF('ORDENES'!$A428="","",IF('ORDENES'!$AC428="","-",'ORDENES'!$AC428))</f>
        <v/>
      </c>
      <c r="D450" s="3">
        <f>IF('ORDENES'!$A428="","",IF('ORDENES'!$V428="","-",'ORDENES'!$V428))</f>
        <v/>
      </c>
      <c r="E450" s="3">
        <f>IF('ORDENES'!$A428="","",IF('ORDENES'!$U428="","-",'ORDENES'!$U428))</f>
        <v/>
      </c>
      <c r="F450" s="3">
        <f>IF('ORDENES'!$A428="","",IF('ORDENES'!$W428="","-",'ORDENES'!$W428))</f>
        <v/>
      </c>
      <c r="G450" s="3">
        <f>IF('ORDENES'!$A428="","",IF('ORDENES'!$AB428="","-",'ORDENES'!$AB428))</f>
        <v/>
      </c>
      <c r="H450" s="3">
        <f>IF('ORDENES'!$A428="","",IF('ORDENES'!$AN428="","-",'ORDENES'!$AN428))</f>
        <v/>
      </c>
      <c r="I450" s="3">
        <f>IF('ORDENES'!$A428="","",IF('ORDENES'!$D428="","-",'ORDENES'!$D428))</f>
        <v/>
      </c>
      <c r="J450" s="3">
        <f>IF('ORDENES'!$A428="","",IF('ORDENES'!$E428="","-",'ORDENES'!$E428))</f>
        <v/>
      </c>
      <c r="K450" s="12">
        <f>IF('ORDENES'!$A428="","",IF('ORDENES'!$M428="",0,'ORDENES'!$M428))</f>
        <v/>
      </c>
      <c r="L450" s="3">
        <f>IF('ORDENES'!$A428="","",IF('ORDENES'!$N428="","-",'ORDENES'!$N428))</f>
        <v/>
      </c>
      <c r="M450" s="3">
        <f>IF('ORDENES'!$A428="","",'ORDENES'!$AA428)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IF('ORDENES'!$A429="","",IF('ORDENES'!$AC429="","-",'ORDENES'!$AC429))</f>
        <v/>
      </c>
      <c r="D451" s="3">
        <f>IF('ORDENES'!$A429="","",IF('ORDENES'!$V429="","-",'ORDENES'!$V429))</f>
        <v/>
      </c>
      <c r="E451" s="3">
        <f>IF('ORDENES'!$A429="","",IF('ORDENES'!$U429="","-",'ORDENES'!$U429))</f>
        <v/>
      </c>
      <c r="F451" s="3">
        <f>IF('ORDENES'!$A429="","",IF('ORDENES'!$W429="","-",'ORDENES'!$W429))</f>
        <v/>
      </c>
      <c r="G451" s="3">
        <f>IF('ORDENES'!$A429="","",IF('ORDENES'!$AB429="","-",'ORDENES'!$AB429))</f>
        <v/>
      </c>
      <c r="H451" s="3">
        <f>IF('ORDENES'!$A429="","",IF('ORDENES'!$AN429="","-",'ORDENES'!$AN429))</f>
        <v/>
      </c>
      <c r="I451" s="3">
        <f>IF('ORDENES'!$A429="","",IF('ORDENES'!$D429="","-",'ORDENES'!$D429))</f>
        <v/>
      </c>
      <c r="J451" s="3">
        <f>IF('ORDENES'!$A429="","",IF('ORDENES'!$E429="","-",'ORDENES'!$E429))</f>
        <v/>
      </c>
      <c r="K451" s="12">
        <f>IF('ORDENES'!$A429="","",IF('ORDENES'!$M429="",0,'ORDENES'!$M429))</f>
        <v/>
      </c>
      <c r="L451" s="3">
        <f>IF('ORDENES'!$A429="","",IF('ORDENES'!$N429="","-",'ORDENES'!$N429))</f>
        <v/>
      </c>
      <c r="M451" s="3">
        <f>IF('ORDENES'!$A429="","",'ORDENES'!$AA429)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IF('ORDENES'!$A430="","",IF('ORDENES'!$AC430="","-",'ORDENES'!$AC430))</f>
        <v/>
      </c>
      <c r="D452" s="3">
        <f>IF('ORDENES'!$A430="","",IF('ORDENES'!$V430="","-",'ORDENES'!$V430))</f>
        <v/>
      </c>
      <c r="E452" s="3">
        <f>IF('ORDENES'!$A430="","",IF('ORDENES'!$U430="","-",'ORDENES'!$U430))</f>
        <v/>
      </c>
      <c r="F452" s="3">
        <f>IF('ORDENES'!$A430="","",IF('ORDENES'!$W430="","-",'ORDENES'!$W430))</f>
        <v/>
      </c>
      <c r="G452" s="3">
        <f>IF('ORDENES'!$A430="","",IF('ORDENES'!$AB430="","-",'ORDENES'!$AB430))</f>
        <v/>
      </c>
      <c r="H452" s="3">
        <f>IF('ORDENES'!$A430="","",IF('ORDENES'!$AN430="","-",'ORDENES'!$AN430))</f>
        <v/>
      </c>
      <c r="I452" s="3">
        <f>IF('ORDENES'!$A430="","",IF('ORDENES'!$D430="","-",'ORDENES'!$D430))</f>
        <v/>
      </c>
      <c r="J452" s="3">
        <f>IF('ORDENES'!$A430="","",IF('ORDENES'!$E430="","-",'ORDENES'!$E430))</f>
        <v/>
      </c>
      <c r="K452" s="12">
        <f>IF('ORDENES'!$A430="","",IF('ORDENES'!$M430="",0,'ORDENES'!$M430))</f>
        <v/>
      </c>
      <c r="L452" s="3">
        <f>IF('ORDENES'!$A430="","",IF('ORDENES'!$N430="","-",'ORDENES'!$N430))</f>
        <v/>
      </c>
      <c r="M452" s="3">
        <f>IF('ORDENES'!$A430="","",'ORDENES'!$AA430)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IF('ORDENES'!$A431="","",IF('ORDENES'!$AC431="","-",'ORDENES'!$AC431))</f>
        <v/>
      </c>
      <c r="D453" s="3">
        <f>IF('ORDENES'!$A431="","",IF('ORDENES'!$V431="","-",'ORDENES'!$V431))</f>
        <v/>
      </c>
      <c r="E453" s="3">
        <f>IF('ORDENES'!$A431="","",IF('ORDENES'!$U431="","-",'ORDENES'!$U431))</f>
        <v/>
      </c>
      <c r="F453" s="3">
        <f>IF('ORDENES'!$A431="","",IF('ORDENES'!$W431="","-",'ORDENES'!$W431))</f>
        <v/>
      </c>
      <c r="G453" s="3">
        <f>IF('ORDENES'!$A431="","",IF('ORDENES'!$AB431="","-",'ORDENES'!$AB431))</f>
        <v/>
      </c>
      <c r="H453" s="3">
        <f>IF('ORDENES'!$A431="","",IF('ORDENES'!$AN431="","-",'ORDENES'!$AN431))</f>
        <v/>
      </c>
      <c r="I453" s="3">
        <f>IF('ORDENES'!$A431="","",IF('ORDENES'!$D431="","-",'ORDENES'!$D431))</f>
        <v/>
      </c>
      <c r="J453" s="3">
        <f>IF('ORDENES'!$A431="","",IF('ORDENES'!$E431="","-",'ORDENES'!$E431))</f>
        <v/>
      </c>
      <c r="K453" s="12">
        <f>IF('ORDENES'!$A431="","",IF('ORDENES'!$M431="",0,'ORDENES'!$M431))</f>
        <v/>
      </c>
      <c r="L453" s="3">
        <f>IF('ORDENES'!$A431="","",IF('ORDENES'!$N431="","-",'ORDENES'!$N431))</f>
        <v/>
      </c>
      <c r="M453" s="3">
        <f>IF('ORDENES'!$A431="","",'ORDENES'!$AA431)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IF('ORDENES'!$A432="","",IF('ORDENES'!$AC432="","-",'ORDENES'!$AC432))</f>
        <v/>
      </c>
      <c r="D454" s="3">
        <f>IF('ORDENES'!$A432="","",IF('ORDENES'!$V432="","-",'ORDENES'!$V432))</f>
        <v/>
      </c>
      <c r="E454" s="3">
        <f>IF('ORDENES'!$A432="","",IF('ORDENES'!$U432="","-",'ORDENES'!$U432))</f>
        <v/>
      </c>
      <c r="F454" s="3">
        <f>IF('ORDENES'!$A432="","",IF('ORDENES'!$W432="","-",'ORDENES'!$W432))</f>
        <v/>
      </c>
      <c r="G454" s="3">
        <f>IF('ORDENES'!$A432="","",IF('ORDENES'!$AB432="","-",'ORDENES'!$AB432))</f>
        <v/>
      </c>
      <c r="H454" s="3">
        <f>IF('ORDENES'!$A432="","",IF('ORDENES'!$AN432="","-",'ORDENES'!$AN432))</f>
        <v/>
      </c>
      <c r="I454" s="3">
        <f>IF('ORDENES'!$A432="","",IF('ORDENES'!$D432="","-",'ORDENES'!$D432))</f>
        <v/>
      </c>
      <c r="J454" s="3">
        <f>IF('ORDENES'!$A432="","",IF('ORDENES'!$E432="","-",'ORDENES'!$E432))</f>
        <v/>
      </c>
      <c r="K454" s="12">
        <f>IF('ORDENES'!$A432="","",IF('ORDENES'!$M432="",0,'ORDENES'!$M432))</f>
        <v/>
      </c>
      <c r="L454" s="3">
        <f>IF('ORDENES'!$A432="","",IF('ORDENES'!$N432="","-",'ORDENES'!$N432))</f>
        <v/>
      </c>
      <c r="M454" s="3">
        <f>IF('ORDENES'!$A432="","",'ORDENES'!$AA432)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IF('ORDENES'!$A433="","",IF('ORDENES'!$AC433="","-",'ORDENES'!$AC433))</f>
        <v/>
      </c>
      <c r="D455" s="3">
        <f>IF('ORDENES'!$A433="","",IF('ORDENES'!$V433="","-",'ORDENES'!$V433))</f>
        <v/>
      </c>
      <c r="E455" s="3">
        <f>IF('ORDENES'!$A433="","",IF('ORDENES'!$U433="","-",'ORDENES'!$U433))</f>
        <v/>
      </c>
      <c r="F455" s="3">
        <f>IF('ORDENES'!$A433="","",IF('ORDENES'!$W433="","-",'ORDENES'!$W433))</f>
        <v/>
      </c>
      <c r="G455" s="3">
        <f>IF('ORDENES'!$A433="","",IF('ORDENES'!$AB433="","-",'ORDENES'!$AB433))</f>
        <v/>
      </c>
      <c r="H455" s="3">
        <f>IF('ORDENES'!$A433="","",IF('ORDENES'!$AN433="","-",'ORDENES'!$AN433))</f>
        <v/>
      </c>
      <c r="I455" s="3">
        <f>IF('ORDENES'!$A433="","",IF('ORDENES'!$D433="","-",'ORDENES'!$D433))</f>
        <v/>
      </c>
      <c r="J455" s="3">
        <f>IF('ORDENES'!$A433="","",IF('ORDENES'!$E433="","-",'ORDENES'!$E433))</f>
        <v/>
      </c>
      <c r="K455" s="12">
        <f>IF('ORDENES'!$A433="","",IF('ORDENES'!$M433="",0,'ORDENES'!$M433))</f>
        <v/>
      </c>
      <c r="L455" s="3">
        <f>IF('ORDENES'!$A433="","",IF('ORDENES'!$N433="","-",'ORDENES'!$N433))</f>
        <v/>
      </c>
      <c r="M455" s="3">
        <f>IF('ORDENES'!$A433="","",'ORDENES'!$AA433)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IF('ORDENES'!$A434="","",IF('ORDENES'!$AC434="","-",'ORDENES'!$AC434))</f>
        <v/>
      </c>
      <c r="D456" s="3">
        <f>IF('ORDENES'!$A434="","",IF('ORDENES'!$V434="","-",'ORDENES'!$V434))</f>
        <v/>
      </c>
      <c r="E456" s="3">
        <f>IF('ORDENES'!$A434="","",IF('ORDENES'!$U434="","-",'ORDENES'!$U434))</f>
        <v/>
      </c>
      <c r="F456" s="3">
        <f>IF('ORDENES'!$A434="","",IF('ORDENES'!$W434="","-",'ORDENES'!$W434))</f>
        <v/>
      </c>
      <c r="G456" s="3">
        <f>IF('ORDENES'!$A434="","",IF('ORDENES'!$AB434="","-",'ORDENES'!$AB434))</f>
        <v/>
      </c>
      <c r="H456" s="3">
        <f>IF('ORDENES'!$A434="","",IF('ORDENES'!$AN434="","-",'ORDENES'!$AN434))</f>
        <v/>
      </c>
      <c r="I456" s="3">
        <f>IF('ORDENES'!$A434="","",IF('ORDENES'!$D434="","-",'ORDENES'!$D434))</f>
        <v/>
      </c>
      <c r="J456" s="3">
        <f>IF('ORDENES'!$A434="","",IF('ORDENES'!$E434="","-",'ORDENES'!$E434))</f>
        <v/>
      </c>
      <c r="K456" s="12">
        <f>IF('ORDENES'!$A434="","",IF('ORDENES'!$M434="",0,'ORDENES'!$M434))</f>
        <v/>
      </c>
      <c r="L456" s="3">
        <f>IF('ORDENES'!$A434="","",IF('ORDENES'!$N434="","-",'ORDENES'!$N434))</f>
        <v/>
      </c>
      <c r="M456" s="3">
        <f>IF('ORDENES'!$A434="","",'ORDENES'!$AA434)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IF('ORDENES'!$A435="","",IF('ORDENES'!$AC435="","-",'ORDENES'!$AC435))</f>
        <v/>
      </c>
      <c r="D457" s="3">
        <f>IF('ORDENES'!$A435="","",IF('ORDENES'!$V435="","-",'ORDENES'!$V435))</f>
        <v/>
      </c>
      <c r="E457" s="3">
        <f>IF('ORDENES'!$A435="","",IF('ORDENES'!$U435="","-",'ORDENES'!$U435))</f>
        <v/>
      </c>
      <c r="F457" s="3">
        <f>IF('ORDENES'!$A435="","",IF('ORDENES'!$W435="","-",'ORDENES'!$W435))</f>
        <v/>
      </c>
      <c r="G457" s="3">
        <f>IF('ORDENES'!$A435="","",IF('ORDENES'!$AB435="","-",'ORDENES'!$AB435))</f>
        <v/>
      </c>
      <c r="H457" s="3">
        <f>IF('ORDENES'!$A435="","",IF('ORDENES'!$AN435="","-",'ORDENES'!$AN435))</f>
        <v/>
      </c>
      <c r="I457" s="3">
        <f>IF('ORDENES'!$A435="","",IF('ORDENES'!$D435="","-",'ORDENES'!$D435))</f>
        <v/>
      </c>
      <c r="J457" s="3">
        <f>IF('ORDENES'!$A435="","",IF('ORDENES'!$E435="","-",'ORDENES'!$E435))</f>
        <v/>
      </c>
      <c r="K457" s="12">
        <f>IF('ORDENES'!$A435="","",IF('ORDENES'!$M435="",0,'ORDENES'!$M435))</f>
        <v/>
      </c>
      <c r="L457" s="3">
        <f>IF('ORDENES'!$A435="","",IF('ORDENES'!$N435="","-",'ORDENES'!$N435))</f>
        <v/>
      </c>
      <c r="M457" s="3">
        <f>IF('ORDENES'!$A435="","",'ORDENES'!$AA435)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IF('ORDENES'!$A436="","",IF('ORDENES'!$AC436="","-",'ORDENES'!$AC436))</f>
        <v/>
      </c>
      <c r="D458" s="3">
        <f>IF('ORDENES'!$A436="","",IF('ORDENES'!$V436="","-",'ORDENES'!$V436))</f>
        <v/>
      </c>
      <c r="E458" s="3">
        <f>IF('ORDENES'!$A436="","",IF('ORDENES'!$U436="","-",'ORDENES'!$U436))</f>
        <v/>
      </c>
      <c r="F458" s="3">
        <f>IF('ORDENES'!$A436="","",IF('ORDENES'!$W436="","-",'ORDENES'!$W436))</f>
        <v/>
      </c>
      <c r="G458" s="3">
        <f>IF('ORDENES'!$A436="","",IF('ORDENES'!$AB436="","-",'ORDENES'!$AB436))</f>
        <v/>
      </c>
      <c r="H458" s="3">
        <f>IF('ORDENES'!$A436="","",IF('ORDENES'!$AN436="","-",'ORDENES'!$AN436))</f>
        <v/>
      </c>
      <c r="I458" s="3">
        <f>IF('ORDENES'!$A436="","",IF('ORDENES'!$D436="","-",'ORDENES'!$D436))</f>
        <v/>
      </c>
      <c r="J458" s="3">
        <f>IF('ORDENES'!$A436="","",IF('ORDENES'!$E436="","-",'ORDENES'!$E436))</f>
        <v/>
      </c>
      <c r="K458" s="12">
        <f>IF('ORDENES'!$A436="","",IF('ORDENES'!$M436="",0,'ORDENES'!$M436))</f>
        <v/>
      </c>
      <c r="L458" s="3">
        <f>IF('ORDENES'!$A436="","",IF('ORDENES'!$N436="","-",'ORDENES'!$N436))</f>
        <v/>
      </c>
      <c r="M458" s="3">
        <f>IF('ORDENES'!$A436="","",'ORDENES'!$AA436)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IF('ORDENES'!$A437="","",IF('ORDENES'!$AC437="","-",'ORDENES'!$AC437))</f>
        <v/>
      </c>
      <c r="D459" s="3">
        <f>IF('ORDENES'!$A437="","",IF('ORDENES'!$V437="","-",'ORDENES'!$V437))</f>
        <v/>
      </c>
      <c r="E459" s="3">
        <f>IF('ORDENES'!$A437="","",IF('ORDENES'!$U437="","-",'ORDENES'!$U437))</f>
        <v/>
      </c>
      <c r="F459" s="3">
        <f>IF('ORDENES'!$A437="","",IF('ORDENES'!$W437="","-",'ORDENES'!$W437))</f>
        <v/>
      </c>
      <c r="G459" s="3">
        <f>IF('ORDENES'!$A437="","",IF('ORDENES'!$AB437="","-",'ORDENES'!$AB437))</f>
        <v/>
      </c>
      <c r="H459" s="3">
        <f>IF('ORDENES'!$A437="","",IF('ORDENES'!$AN437="","-",'ORDENES'!$AN437))</f>
        <v/>
      </c>
      <c r="I459" s="3">
        <f>IF('ORDENES'!$A437="","",IF('ORDENES'!$D437="","-",'ORDENES'!$D437))</f>
        <v/>
      </c>
      <c r="J459" s="3">
        <f>IF('ORDENES'!$A437="","",IF('ORDENES'!$E437="","-",'ORDENES'!$E437))</f>
        <v/>
      </c>
      <c r="K459" s="12">
        <f>IF('ORDENES'!$A437="","",IF('ORDENES'!$M437="",0,'ORDENES'!$M437))</f>
        <v/>
      </c>
      <c r="L459" s="3">
        <f>IF('ORDENES'!$A437="","",IF('ORDENES'!$N437="","-",'ORDENES'!$N437))</f>
        <v/>
      </c>
      <c r="M459" s="3">
        <f>IF('ORDENES'!$A437="","",'ORDENES'!$AA437)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IF('ORDENES'!$A438="","",IF('ORDENES'!$AC438="","-",'ORDENES'!$AC438))</f>
        <v/>
      </c>
      <c r="D460" s="3">
        <f>IF('ORDENES'!$A438="","",IF('ORDENES'!$V438="","-",'ORDENES'!$V438))</f>
        <v/>
      </c>
      <c r="E460" s="3">
        <f>IF('ORDENES'!$A438="","",IF('ORDENES'!$U438="","-",'ORDENES'!$U438))</f>
        <v/>
      </c>
      <c r="F460" s="3">
        <f>IF('ORDENES'!$A438="","",IF('ORDENES'!$W438="","-",'ORDENES'!$W438))</f>
        <v/>
      </c>
      <c r="G460" s="3">
        <f>IF('ORDENES'!$A438="","",IF('ORDENES'!$AB438="","-",'ORDENES'!$AB438))</f>
        <v/>
      </c>
      <c r="H460" s="3">
        <f>IF('ORDENES'!$A438="","",IF('ORDENES'!$AN438="","-",'ORDENES'!$AN438))</f>
        <v/>
      </c>
      <c r="I460" s="3">
        <f>IF('ORDENES'!$A438="","",IF('ORDENES'!$D438="","-",'ORDENES'!$D438))</f>
        <v/>
      </c>
      <c r="J460" s="3">
        <f>IF('ORDENES'!$A438="","",IF('ORDENES'!$E438="","-",'ORDENES'!$E438))</f>
        <v/>
      </c>
      <c r="K460" s="12">
        <f>IF('ORDENES'!$A438="","",IF('ORDENES'!$M438="",0,'ORDENES'!$M438))</f>
        <v/>
      </c>
      <c r="L460" s="3">
        <f>IF('ORDENES'!$A438="","",IF('ORDENES'!$N438="","-",'ORDENES'!$N438))</f>
        <v/>
      </c>
      <c r="M460" s="3">
        <f>IF('ORDENES'!$A438="","",'ORDENES'!$AA438)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IF('ORDENES'!$A439="","",IF('ORDENES'!$AC439="","-",'ORDENES'!$AC439))</f>
        <v/>
      </c>
      <c r="D461" s="3">
        <f>IF('ORDENES'!$A439="","",IF('ORDENES'!$V439="","-",'ORDENES'!$V439))</f>
        <v/>
      </c>
      <c r="E461" s="3">
        <f>IF('ORDENES'!$A439="","",IF('ORDENES'!$U439="","-",'ORDENES'!$U439))</f>
        <v/>
      </c>
      <c r="F461" s="3">
        <f>IF('ORDENES'!$A439="","",IF('ORDENES'!$W439="","-",'ORDENES'!$W439))</f>
        <v/>
      </c>
      <c r="G461" s="3">
        <f>IF('ORDENES'!$A439="","",IF('ORDENES'!$AB439="","-",'ORDENES'!$AB439))</f>
        <v/>
      </c>
      <c r="H461" s="3">
        <f>IF('ORDENES'!$A439="","",IF('ORDENES'!$AN439="","-",'ORDENES'!$AN439))</f>
        <v/>
      </c>
      <c r="I461" s="3">
        <f>IF('ORDENES'!$A439="","",IF('ORDENES'!$D439="","-",'ORDENES'!$D439))</f>
        <v/>
      </c>
      <c r="J461" s="3">
        <f>IF('ORDENES'!$A439="","",IF('ORDENES'!$E439="","-",'ORDENES'!$E439))</f>
        <v/>
      </c>
      <c r="K461" s="12">
        <f>IF('ORDENES'!$A439="","",IF('ORDENES'!$M439="",0,'ORDENES'!$M439))</f>
        <v/>
      </c>
      <c r="L461" s="3">
        <f>IF('ORDENES'!$A439="","",IF('ORDENES'!$N439="","-",'ORDENES'!$N439))</f>
        <v/>
      </c>
      <c r="M461" s="3">
        <f>IF('ORDENES'!$A439="","",'ORDENES'!$AA439)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IF('ORDENES'!$A440="","",IF('ORDENES'!$AC440="","-",'ORDENES'!$AC440))</f>
        <v/>
      </c>
      <c r="D462" s="3">
        <f>IF('ORDENES'!$A440="","",IF('ORDENES'!$V440="","-",'ORDENES'!$V440))</f>
        <v/>
      </c>
      <c r="E462" s="3">
        <f>IF('ORDENES'!$A440="","",IF('ORDENES'!$U440="","-",'ORDENES'!$U440))</f>
        <v/>
      </c>
      <c r="F462" s="3">
        <f>IF('ORDENES'!$A440="","",IF('ORDENES'!$W440="","-",'ORDENES'!$W440))</f>
        <v/>
      </c>
      <c r="G462" s="3">
        <f>IF('ORDENES'!$A440="","",IF('ORDENES'!$AB440="","-",'ORDENES'!$AB440))</f>
        <v/>
      </c>
      <c r="H462" s="3">
        <f>IF('ORDENES'!$A440="","",IF('ORDENES'!$AN440="","-",'ORDENES'!$AN440))</f>
        <v/>
      </c>
      <c r="I462" s="3">
        <f>IF('ORDENES'!$A440="","",IF('ORDENES'!$D440="","-",'ORDENES'!$D440))</f>
        <v/>
      </c>
      <c r="J462" s="3">
        <f>IF('ORDENES'!$A440="","",IF('ORDENES'!$E440="","-",'ORDENES'!$E440))</f>
        <v/>
      </c>
      <c r="K462" s="12">
        <f>IF('ORDENES'!$A440="","",IF('ORDENES'!$M440="",0,'ORDENES'!$M440))</f>
        <v/>
      </c>
      <c r="L462" s="3">
        <f>IF('ORDENES'!$A440="","",IF('ORDENES'!$N440="","-",'ORDENES'!$N440))</f>
        <v/>
      </c>
      <c r="M462" s="3">
        <f>IF('ORDENES'!$A440="","",'ORDENES'!$AA440)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IF('ORDENES'!$A441="","",IF('ORDENES'!$AC441="","-",'ORDENES'!$AC441))</f>
        <v/>
      </c>
      <c r="D463" s="3">
        <f>IF('ORDENES'!$A441="","",IF('ORDENES'!$V441="","-",'ORDENES'!$V441))</f>
        <v/>
      </c>
      <c r="E463" s="3">
        <f>IF('ORDENES'!$A441="","",IF('ORDENES'!$U441="","-",'ORDENES'!$U441))</f>
        <v/>
      </c>
      <c r="F463" s="3">
        <f>IF('ORDENES'!$A441="","",IF('ORDENES'!$W441="","-",'ORDENES'!$W441))</f>
        <v/>
      </c>
      <c r="G463" s="3">
        <f>IF('ORDENES'!$A441="","",IF('ORDENES'!$AB441="","-",'ORDENES'!$AB441))</f>
        <v/>
      </c>
      <c r="H463" s="3">
        <f>IF('ORDENES'!$A441="","",IF('ORDENES'!$AN441="","-",'ORDENES'!$AN441))</f>
        <v/>
      </c>
      <c r="I463" s="3">
        <f>IF('ORDENES'!$A441="","",IF('ORDENES'!$D441="","-",'ORDENES'!$D441))</f>
        <v/>
      </c>
      <c r="J463" s="3">
        <f>IF('ORDENES'!$A441="","",IF('ORDENES'!$E441="","-",'ORDENES'!$E441))</f>
        <v/>
      </c>
      <c r="K463" s="12">
        <f>IF('ORDENES'!$A441="","",IF('ORDENES'!$M441="",0,'ORDENES'!$M441))</f>
        <v/>
      </c>
      <c r="L463" s="3">
        <f>IF('ORDENES'!$A441="","",IF('ORDENES'!$N441="","-",'ORDENES'!$N441))</f>
        <v/>
      </c>
      <c r="M463" s="3">
        <f>IF('ORDENES'!$A441="","",'ORDENES'!$AA441)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IF('ORDENES'!$A442="","",IF('ORDENES'!$AC442="","-",'ORDENES'!$AC442))</f>
        <v/>
      </c>
      <c r="D464" s="3">
        <f>IF('ORDENES'!$A442="","",IF('ORDENES'!$V442="","-",'ORDENES'!$V442))</f>
        <v/>
      </c>
      <c r="E464" s="3">
        <f>IF('ORDENES'!$A442="","",IF('ORDENES'!$U442="","-",'ORDENES'!$U442))</f>
        <v/>
      </c>
      <c r="F464" s="3">
        <f>IF('ORDENES'!$A442="","",IF('ORDENES'!$W442="","-",'ORDENES'!$W442))</f>
        <v/>
      </c>
      <c r="G464" s="3">
        <f>IF('ORDENES'!$A442="","",IF('ORDENES'!$AB442="","-",'ORDENES'!$AB442))</f>
        <v/>
      </c>
      <c r="H464" s="3">
        <f>IF('ORDENES'!$A442="","",IF('ORDENES'!$AN442="","-",'ORDENES'!$AN442))</f>
        <v/>
      </c>
      <c r="I464" s="3">
        <f>IF('ORDENES'!$A442="","",IF('ORDENES'!$D442="","-",'ORDENES'!$D442))</f>
        <v/>
      </c>
      <c r="J464" s="3">
        <f>IF('ORDENES'!$A442="","",IF('ORDENES'!$E442="","-",'ORDENES'!$E442))</f>
        <v/>
      </c>
      <c r="K464" s="12">
        <f>IF('ORDENES'!$A442="","",IF('ORDENES'!$M442="",0,'ORDENES'!$M442))</f>
        <v/>
      </c>
      <c r="L464" s="3">
        <f>IF('ORDENES'!$A442="","",IF('ORDENES'!$N442="","-",'ORDENES'!$N442))</f>
        <v/>
      </c>
      <c r="M464" s="3">
        <f>IF('ORDENES'!$A442="","",'ORDENES'!$AA442)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IF('ORDENES'!$A443="","",IF('ORDENES'!$AC443="","-",'ORDENES'!$AC443))</f>
        <v/>
      </c>
      <c r="D465" s="3">
        <f>IF('ORDENES'!$A443="","",IF('ORDENES'!$V443="","-",'ORDENES'!$V443))</f>
        <v/>
      </c>
      <c r="E465" s="3">
        <f>IF('ORDENES'!$A443="","",IF('ORDENES'!$U443="","-",'ORDENES'!$U443))</f>
        <v/>
      </c>
      <c r="F465" s="3">
        <f>IF('ORDENES'!$A443="","",IF('ORDENES'!$W443="","-",'ORDENES'!$W443))</f>
        <v/>
      </c>
      <c r="G465" s="3">
        <f>IF('ORDENES'!$A443="","",IF('ORDENES'!$AB443="","-",'ORDENES'!$AB443))</f>
        <v/>
      </c>
      <c r="H465" s="3">
        <f>IF('ORDENES'!$A443="","",IF('ORDENES'!$AN443="","-",'ORDENES'!$AN443))</f>
        <v/>
      </c>
      <c r="I465" s="3">
        <f>IF('ORDENES'!$A443="","",IF('ORDENES'!$D443="","-",'ORDENES'!$D443))</f>
        <v/>
      </c>
      <c r="J465" s="3">
        <f>IF('ORDENES'!$A443="","",IF('ORDENES'!$E443="","-",'ORDENES'!$E443))</f>
        <v/>
      </c>
      <c r="K465" s="12">
        <f>IF('ORDENES'!$A443="","",IF('ORDENES'!$M443="",0,'ORDENES'!$M443))</f>
        <v/>
      </c>
      <c r="L465" s="3">
        <f>IF('ORDENES'!$A443="","",IF('ORDENES'!$N443="","-",'ORDENES'!$N443))</f>
        <v/>
      </c>
      <c r="M465" s="3">
        <f>IF('ORDENES'!$A443="","",'ORDENES'!$AA443)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IF('ORDENES'!$A444="","",IF('ORDENES'!$AC444="","-",'ORDENES'!$AC444))</f>
        <v/>
      </c>
      <c r="D466" s="3">
        <f>IF('ORDENES'!$A444="","",IF('ORDENES'!$V444="","-",'ORDENES'!$V444))</f>
        <v/>
      </c>
      <c r="E466" s="3">
        <f>IF('ORDENES'!$A444="","",IF('ORDENES'!$U444="","-",'ORDENES'!$U444))</f>
        <v/>
      </c>
      <c r="F466" s="3">
        <f>IF('ORDENES'!$A444="","",IF('ORDENES'!$W444="","-",'ORDENES'!$W444))</f>
        <v/>
      </c>
      <c r="G466" s="3">
        <f>IF('ORDENES'!$A444="","",IF('ORDENES'!$AB444="","-",'ORDENES'!$AB444))</f>
        <v/>
      </c>
      <c r="H466" s="3">
        <f>IF('ORDENES'!$A444="","",IF('ORDENES'!$AN444="","-",'ORDENES'!$AN444))</f>
        <v/>
      </c>
      <c r="I466" s="3">
        <f>IF('ORDENES'!$A444="","",IF('ORDENES'!$D444="","-",'ORDENES'!$D444))</f>
        <v/>
      </c>
      <c r="J466" s="3">
        <f>IF('ORDENES'!$A444="","",IF('ORDENES'!$E444="","-",'ORDENES'!$E444))</f>
        <v/>
      </c>
      <c r="K466" s="12">
        <f>IF('ORDENES'!$A444="","",IF('ORDENES'!$M444="",0,'ORDENES'!$M444))</f>
        <v/>
      </c>
      <c r="L466" s="3">
        <f>IF('ORDENES'!$A444="","",IF('ORDENES'!$N444="","-",'ORDENES'!$N444))</f>
        <v/>
      </c>
      <c r="M466" s="3">
        <f>IF('ORDENES'!$A444="","",'ORDENES'!$AA444)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IF('ORDENES'!$A445="","",IF('ORDENES'!$AC445="","-",'ORDENES'!$AC445))</f>
        <v/>
      </c>
      <c r="D467" s="3">
        <f>IF('ORDENES'!$A445="","",IF('ORDENES'!$V445="","-",'ORDENES'!$V445))</f>
        <v/>
      </c>
      <c r="E467" s="3">
        <f>IF('ORDENES'!$A445="","",IF('ORDENES'!$U445="","-",'ORDENES'!$U445))</f>
        <v/>
      </c>
      <c r="F467" s="3">
        <f>IF('ORDENES'!$A445="","",IF('ORDENES'!$W445="","-",'ORDENES'!$W445))</f>
        <v/>
      </c>
      <c r="G467" s="3">
        <f>IF('ORDENES'!$A445="","",IF('ORDENES'!$AB445="","-",'ORDENES'!$AB445))</f>
        <v/>
      </c>
      <c r="H467" s="3">
        <f>IF('ORDENES'!$A445="","",IF('ORDENES'!$AN445="","-",'ORDENES'!$AN445))</f>
        <v/>
      </c>
      <c r="I467" s="3">
        <f>IF('ORDENES'!$A445="","",IF('ORDENES'!$D445="","-",'ORDENES'!$D445))</f>
        <v/>
      </c>
      <c r="J467" s="3">
        <f>IF('ORDENES'!$A445="","",IF('ORDENES'!$E445="","-",'ORDENES'!$E445))</f>
        <v/>
      </c>
      <c r="K467" s="12">
        <f>IF('ORDENES'!$A445="","",IF('ORDENES'!$M445="",0,'ORDENES'!$M445))</f>
        <v/>
      </c>
      <c r="L467" s="3">
        <f>IF('ORDENES'!$A445="","",IF('ORDENES'!$N445="","-",'ORDENES'!$N445))</f>
        <v/>
      </c>
      <c r="M467" s="3">
        <f>IF('ORDENES'!$A445="","",'ORDENES'!$AA445)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IF('ORDENES'!$A446="","",IF('ORDENES'!$AC446="","-",'ORDENES'!$AC446))</f>
        <v/>
      </c>
      <c r="D468" s="3">
        <f>IF('ORDENES'!$A446="","",IF('ORDENES'!$V446="","-",'ORDENES'!$V446))</f>
        <v/>
      </c>
      <c r="E468" s="3">
        <f>IF('ORDENES'!$A446="","",IF('ORDENES'!$U446="","-",'ORDENES'!$U446))</f>
        <v/>
      </c>
      <c r="F468" s="3">
        <f>IF('ORDENES'!$A446="","",IF('ORDENES'!$W446="","-",'ORDENES'!$W446))</f>
        <v/>
      </c>
      <c r="G468" s="3">
        <f>IF('ORDENES'!$A446="","",IF('ORDENES'!$AB446="","-",'ORDENES'!$AB446))</f>
        <v/>
      </c>
      <c r="H468" s="3">
        <f>IF('ORDENES'!$A446="","",IF('ORDENES'!$AN446="","-",'ORDENES'!$AN446))</f>
        <v/>
      </c>
      <c r="I468" s="3">
        <f>IF('ORDENES'!$A446="","",IF('ORDENES'!$D446="","-",'ORDENES'!$D446))</f>
        <v/>
      </c>
      <c r="J468" s="3">
        <f>IF('ORDENES'!$A446="","",IF('ORDENES'!$E446="","-",'ORDENES'!$E446))</f>
        <v/>
      </c>
      <c r="K468" s="12">
        <f>IF('ORDENES'!$A446="","",IF('ORDENES'!$M446="",0,'ORDENES'!$M446))</f>
        <v/>
      </c>
      <c r="L468" s="3">
        <f>IF('ORDENES'!$A446="","",IF('ORDENES'!$N446="","-",'ORDENES'!$N446))</f>
        <v/>
      </c>
      <c r="M468" s="3">
        <f>IF('ORDENES'!$A446="","",'ORDENES'!$AA446)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IF('ORDENES'!$A447="","",IF('ORDENES'!$AC447="","-",'ORDENES'!$AC447))</f>
        <v/>
      </c>
      <c r="D469" s="3">
        <f>IF('ORDENES'!$A447="","",IF('ORDENES'!$V447="","-",'ORDENES'!$V447))</f>
        <v/>
      </c>
      <c r="E469" s="3">
        <f>IF('ORDENES'!$A447="","",IF('ORDENES'!$U447="","-",'ORDENES'!$U447))</f>
        <v/>
      </c>
      <c r="F469" s="3">
        <f>IF('ORDENES'!$A447="","",IF('ORDENES'!$W447="","-",'ORDENES'!$W447))</f>
        <v/>
      </c>
      <c r="G469" s="3">
        <f>IF('ORDENES'!$A447="","",IF('ORDENES'!$AB447="","-",'ORDENES'!$AB447))</f>
        <v/>
      </c>
      <c r="H469" s="3">
        <f>IF('ORDENES'!$A447="","",IF('ORDENES'!$AN447="","-",'ORDENES'!$AN447))</f>
        <v/>
      </c>
      <c r="I469" s="3">
        <f>IF('ORDENES'!$A447="","",IF('ORDENES'!$D447="","-",'ORDENES'!$D447))</f>
        <v/>
      </c>
      <c r="J469" s="3">
        <f>IF('ORDENES'!$A447="","",IF('ORDENES'!$E447="","-",'ORDENES'!$E447))</f>
        <v/>
      </c>
      <c r="K469" s="12">
        <f>IF('ORDENES'!$A447="","",IF('ORDENES'!$M447="",0,'ORDENES'!$M447))</f>
        <v/>
      </c>
      <c r="L469" s="3">
        <f>IF('ORDENES'!$A447="","",IF('ORDENES'!$N447="","-",'ORDENES'!$N447))</f>
        <v/>
      </c>
      <c r="M469" s="3">
        <f>IF('ORDENES'!$A447="","",'ORDENES'!$AA447)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IF('ORDENES'!$A448="","",IF('ORDENES'!$AC448="","-",'ORDENES'!$AC448))</f>
        <v/>
      </c>
      <c r="D470" s="3">
        <f>IF('ORDENES'!$A448="","",IF('ORDENES'!$V448="","-",'ORDENES'!$V448))</f>
        <v/>
      </c>
      <c r="E470" s="3">
        <f>IF('ORDENES'!$A448="","",IF('ORDENES'!$U448="","-",'ORDENES'!$U448))</f>
        <v/>
      </c>
      <c r="F470" s="3">
        <f>IF('ORDENES'!$A448="","",IF('ORDENES'!$W448="","-",'ORDENES'!$W448))</f>
        <v/>
      </c>
      <c r="G470" s="3">
        <f>IF('ORDENES'!$A448="","",IF('ORDENES'!$AB448="","-",'ORDENES'!$AB448))</f>
        <v/>
      </c>
      <c r="H470" s="3">
        <f>IF('ORDENES'!$A448="","",IF('ORDENES'!$AN448="","-",'ORDENES'!$AN448))</f>
        <v/>
      </c>
      <c r="I470" s="3">
        <f>IF('ORDENES'!$A448="","",IF('ORDENES'!$D448="","-",'ORDENES'!$D448))</f>
        <v/>
      </c>
      <c r="J470" s="3">
        <f>IF('ORDENES'!$A448="","",IF('ORDENES'!$E448="","-",'ORDENES'!$E448))</f>
        <v/>
      </c>
      <c r="K470" s="12">
        <f>IF('ORDENES'!$A448="","",IF('ORDENES'!$M448="",0,'ORDENES'!$M448))</f>
        <v/>
      </c>
      <c r="L470" s="3">
        <f>IF('ORDENES'!$A448="","",IF('ORDENES'!$N448="","-",'ORDENES'!$N448))</f>
        <v/>
      </c>
      <c r="M470" s="3">
        <f>IF('ORDENES'!$A448="","",'ORDENES'!$AA448)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IF('ORDENES'!$A449="","",IF('ORDENES'!$AC449="","-",'ORDENES'!$AC449))</f>
        <v/>
      </c>
      <c r="D471" s="3">
        <f>IF('ORDENES'!$A449="","",IF('ORDENES'!$V449="","-",'ORDENES'!$V449))</f>
        <v/>
      </c>
      <c r="E471" s="3">
        <f>IF('ORDENES'!$A449="","",IF('ORDENES'!$U449="","-",'ORDENES'!$U449))</f>
        <v/>
      </c>
      <c r="F471" s="3">
        <f>IF('ORDENES'!$A449="","",IF('ORDENES'!$W449="","-",'ORDENES'!$W449))</f>
        <v/>
      </c>
      <c r="G471" s="3">
        <f>IF('ORDENES'!$A449="","",IF('ORDENES'!$AB449="","-",'ORDENES'!$AB449))</f>
        <v/>
      </c>
      <c r="H471" s="3">
        <f>IF('ORDENES'!$A449="","",IF('ORDENES'!$AN449="","-",'ORDENES'!$AN449))</f>
        <v/>
      </c>
      <c r="I471" s="3">
        <f>IF('ORDENES'!$A449="","",IF('ORDENES'!$D449="","-",'ORDENES'!$D449))</f>
        <v/>
      </c>
      <c r="J471" s="3">
        <f>IF('ORDENES'!$A449="","",IF('ORDENES'!$E449="","-",'ORDENES'!$E449))</f>
        <v/>
      </c>
      <c r="K471" s="12">
        <f>IF('ORDENES'!$A449="","",IF('ORDENES'!$M449="",0,'ORDENES'!$M449))</f>
        <v/>
      </c>
      <c r="L471" s="3">
        <f>IF('ORDENES'!$A449="","",IF('ORDENES'!$N449="","-",'ORDENES'!$N449))</f>
        <v/>
      </c>
      <c r="M471" s="3">
        <f>IF('ORDENES'!$A449="","",'ORDENES'!$AA449)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IF('ORDENES'!$A450="","",IF('ORDENES'!$AC450="","-",'ORDENES'!$AC450))</f>
        <v/>
      </c>
      <c r="D472" s="3">
        <f>IF('ORDENES'!$A450="","",IF('ORDENES'!$V450="","-",'ORDENES'!$V450))</f>
        <v/>
      </c>
      <c r="E472" s="3">
        <f>IF('ORDENES'!$A450="","",IF('ORDENES'!$U450="","-",'ORDENES'!$U450))</f>
        <v/>
      </c>
      <c r="F472" s="3">
        <f>IF('ORDENES'!$A450="","",IF('ORDENES'!$W450="","-",'ORDENES'!$W450))</f>
        <v/>
      </c>
      <c r="G472" s="3">
        <f>IF('ORDENES'!$A450="","",IF('ORDENES'!$AB450="","-",'ORDENES'!$AB450))</f>
        <v/>
      </c>
      <c r="H472" s="3">
        <f>IF('ORDENES'!$A450="","",IF('ORDENES'!$AN450="","-",'ORDENES'!$AN450))</f>
        <v/>
      </c>
      <c r="I472" s="3">
        <f>IF('ORDENES'!$A450="","",IF('ORDENES'!$D450="","-",'ORDENES'!$D450))</f>
        <v/>
      </c>
      <c r="J472" s="3">
        <f>IF('ORDENES'!$A450="","",IF('ORDENES'!$E450="","-",'ORDENES'!$E450))</f>
        <v/>
      </c>
      <c r="K472" s="12">
        <f>IF('ORDENES'!$A450="","",IF('ORDENES'!$M450="",0,'ORDENES'!$M450))</f>
        <v/>
      </c>
      <c r="L472" s="3">
        <f>IF('ORDENES'!$A450="","",IF('ORDENES'!$N450="","-",'ORDENES'!$N450))</f>
        <v/>
      </c>
      <c r="M472" s="3">
        <f>IF('ORDENES'!$A450="","",'ORDENES'!$AA450)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IF('ORDENES'!$A451="","",IF('ORDENES'!$AC451="","-",'ORDENES'!$AC451))</f>
        <v/>
      </c>
      <c r="D473" s="3">
        <f>IF('ORDENES'!$A451="","",IF('ORDENES'!$V451="","-",'ORDENES'!$V451))</f>
        <v/>
      </c>
      <c r="E473" s="3">
        <f>IF('ORDENES'!$A451="","",IF('ORDENES'!$U451="","-",'ORDENES'!$U451))</f>
        <v/>
      </c>
      <c r="F473" s="3">
        <f>IF('ORDENES'!$A451="","",IF('ORDENES'!$W451="","-",'ORDENES'!$W451))</f>
        <v/>
      </c>
      <c r="G473" s="3">
        <f>IF('ORDENES'!$A451="","",IF('ORDENES'!$AB451="","-",'ORDENES'!$AB451))</f>
        <v/>
      </c>
      <c r="H473" s="3">
        <f>IF('ORDENES'!$A451="","",IF('ORDENES'!$AN451="","-",'ORDENES'!$AN451))</f>
        <v/>
      </c>
      <c r="I473" s="3">
        <f>IF('ORDENES'!$A451="","",IF('ORDENES'!$D451="","-",'ORDENES'!$D451))</f>
        <v/>
      </c>
      <c r="J473" s="3">
        <f>IF('ORDENES'!$A451="","",IF('ORDENES'!$E451="","-",'ORDENES'!$E451))</f>
        <v/>
      </c>
      <c r="K473" s="12">
        <f>IF('ORDENES'!$A451="","",IF('ORDENES'!$M451="",0,'ORDENES'!$M451))</f>
        <v/>
      </c>
      <c r="L473" s="3">
        <f>IF('ORDENES'!$A451="","",IF('ORDENES'!$N451="","-",'ORDENES'!$N451))</f>
        <v/>
      </c>
      <c r="M473" s="3">
        <f>IF('ORDENES'!$A451="","",'ORDENES'!$AA451)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IF('ORDENES'!$A452="","",IF('ORDENES'!$AC452="","-",'ORDENES'!$AC452))</f>
        <v/>
      </c>
      <c r="D474" s="3">
        <f>IF('ORDENES'!$A452="","",IF('ORDENES'!$V452="","-",'ORDENES'!$V452))</f>
        <v/>
      </c>
      <c r="E474" s="3">
        <f>IF('ORDENES'!$A452="","",IF('ORDENES'!$U452="","-",'ORDENES'!$U452))</f>
        <v/>
      </c>
      <c r="F474" s="3">
        <f>IF('ORDENES'!$A452="","",IF('ORDENES'!$W452="","-",'ORDENES'!$W452))</f>
        <v/>
      </c>
      <c r="G474" s="3">
        <f>IF('ORDENES'!$A452="","",IF('ORDENES'!$AB452="","-",'ORDENES'!$AB452))</f>
        <v/>
      </c>
      <c r="H474" s="3">
        <f>IF('ORDENES'!$A452="","",IF('ORDENES'!$AN452="","-",'ORDENES'!$AN452))</f>
        <v/>
      </c>
      <c r="I474" s="3">
        <f>IF('ORDENES'!$A452="","",IF('ORDENES'!$D452="","-",'ORDENES'!$D452))</f>
        <v/>
      </c>
      <c r="J474" s="3">
        <f>IF('ORDENES'!$A452="","",IF('ORDENES'!$E452="","-",'ORDENES'!$E452))</f>
        <v/>
      </c>
      <c r="K474" s="12">
        <f>IF('ORDENES'!$A452="","",IF('ORDENES'!$M452="",0,'ORDENES'!$M452))</f>
        <v/>
      </c>
      <c r="L474" s="3">
        <f>IF('ORDENES'!$A452="","",IF('ORDENES'!$N452="","-",'ORDENES'!$N452))</f>
        <v/>
      </c>
      <c r="M474" s="3">
        <f>IF('ORDENES'!$A452="","",'ORDENES'!$AA452)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IF('ORDENES'!$A453="","",IF('ORDENES'!$AC453="","-",'ORDENES'!$AC453))</f>
        <v/>
      </c>
      <c r="D475" s="3">
        <f>IF('ORDENES'!$A453="","",IF('ORDENES'!$V453="","-",'ORDENES'!$V453))</f>
        <v/>
      </c>
      <c r="E475" s="3">
        <f>IF('ORDENES'!$A453="","",IF('ORDENES'!$U453="","-",'ORDENES'!$U453))</f>
        <v/>
      </c>
      <c r="F475" s="3">
        <f>IF('ORDENES'!$A453="","",IF('ORDENES'!$W453="","-",'ORDENES'!$W453))</f>
        <v/>
      </c>
      <c r="G475" s="3">
        <f>IF('ORDENES'!$A453="","",IF('ORDENES'!$AB453="","-",'ORDENES'!$AB453))</f>
        <v/>
      </c>
      <c r="H475" s="3">
        <f>IF('ORDENES'!$A453="","",IF('ORDENES'!$AN453="","-",'ORDENES'!$AN453))</f>
        <v/>
      </c>
      <c r="I475" s="3">
        <f>IF('ORDENES'!$A453="","",IF('ORDENES'!$D453="","-",'ORDENES'!$D453))</f>
        <v/>
      </c>
      <c r="J475" s="3">
        <f>IF('ORDENES'!$A453="","",IF('ORDENES'!$E453="","-",'ORDENES'!$E453))</f>
        <v/>
      </c>
      <c r="K475" s="12">
        <f>IF('ORDENES'!$A453="","",IF('ORDENES'!$M453="",0,'ORDENES'!$M453))</f>
        <v/>
      </c>
      <c r="L475" s="3">
        <f>IF('ORDENES'!$A453="","",IF('ORDENES'!$N453="","-",'ORDENES'!$N453))</f>
        <v/>
      </c>
      <c r="M475" s="3">
        <f>IF('ORDENES'!$A453="","",'ORDENES'!$AA453)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IF('ORDENES'!$A454="","",IF('ORDENES'!$AC454="","-",'ORDENES'!$AC454))</f>
        <v/>
      </c>
      <c r="D476" s="3">
        <f>IF('ORDENES'!$A454="","",IF('ORDENES'!$V454="","-",'ORDENES'!$V454))</f>
        <v/>
      </c>
      <c r="E476" s="3">
        <f>IF('ORDENES'!$A454="","",IF('ORDENES'!$U454="","-",'ORDENES'!$U454))</f>
        <v/>
      </c>
      <c r="F476" s="3">
        <f>IF('ORDENES'!$A454="","",IF('ORDENES'!$W454="","-",'ORDENES'!$W454))</f>
        <v/>
      </c>
      <c r="G476" s="3">
        <f>IF('ORDENES'!$A454="","",IF('ORDENES'!$AB454="","-",'ORDENES'!$AB454))</f>
        <v/>
      </c>
      <c r="H476" s="3">
        <f>IF('ORDENES'!$A454="","",IF('ORDENES'!$AN454="","-",'ORDENES'!$AN454))</f>
        <v/>
      </c>
      <c r="I476" s="3">
        <f>IF('ORDENES'!$A454="","",IF('ORDENES'!$D454="","-",'ORDENES'!$D454))</f>
        <v/>
      </c>
      <c r="J476" s="3">
        <f>IF('ORDENES'!$A454="","",IF('ORDENES'!$E454="","-",'ORDENES'!$E454))</f>
        <v/>
      </c>
      <c r="K476" s="12">
        <f>IF('ORDENES'!$A454="","",IF('ORDENES'!$M454="",0,'ORDENES'!$M454))</f>
        <v/>
      </c>
      <c r="L476" s="3">
        <f>IF('ORDENES'!$A454="","",IF('ORDENES'!$N454="","-",'ORDENES'!$N454))</f>
        <v/>
      </c>
      <c r="M476" s="3">
        <f>IF('ORDENES'!$A454="","",'ORDENES'!$AA454)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IF('ORDENES'!$A455="","",IF('ORDENES'!$AC455="","-",'ORDENES'!$AC455))</f>
        <v/>
      </c>
      <c r="D477" s="3">
        <f>IF('ORDENES'!$A455="","",IF('ORDENES'!$V455="","-",'ORDENES'!$V455))</f>
        <v/>
      </c>
      <c r="E477" s="3">
        <f>IF('ORDENES'!$A455="","",IF('ORDENES'!$U455="","-",'ORDENES'!$U455))</f>
        <v/>
      </c>
      <c r="F477" s="3">
        <f>IF('ORDENES'!$A455="","",IF('ORDENES'!$W455="","-",'ORDENES'!$W455))</f>
        <v/>
      </c>
      <c r="G477" s="3">
        <f>IF('ORDENES'!$A455="","",IF('ORDENES'!$AB455="","-",'ORDENES'!$AB455))</f>
        <v/>
      </c>
      <c r="H477" s="3">
        <f>IF('ORDENES'!$A455="","",IF('ORDENES'!$AN455="","-",'ORDENES'!$AN455))</f>
        <v/>
      </c>
      <c r="I477" s="3">
        <f>IF('ORDENES'!$A455="","",IF('ORDENES'!$D455="","-",'ORDENES'!$D455))</f>
        <v/>
      </c>
      <c r="J477" s="3">
        <f>IF('ORDENES'!$A455="","",IF('ORDENES'!$E455="","-",'ORDENES'!$E455))</f>
        <v/>
      </c>
      <c r="K477" s="12">
        <f>IF('ORDENES'!$A455="","",IF('ORDENES'!$M455="",0,'ORDENES'!$M455))</f>
        <v/>
      </c>
      <c r="L477" s="3">
        <f>IF('ORDENES'!$A455="","",IF('ORDENES'!$N455="","-",'ORDENES'!$N455))</f>
        <v/>
      </c>
      <c r="M477" s="3">
        <f>IF('ORDENES'!$A455="","",'ORDENES'!$AA455)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IF('ORDENES'!$A456="","",IF('ORDENES'!$AC456="","-",'ORDENES'!$AC456))</f>
        <v/>
      </c>
      <c r="D478" s="3">
        <f>IF('ORDENES'!$A456="","",IF('ORDENES'!$V456="","-",'ORDENES'!$V456))</f>
        <v/>
      </c>
      <c r="E478" s="3">
        <f>IF('ORDENES'!$A456="","",IF('ORDENES'!$U456="","-",'ORDENES'!$U456))</f>
        <v/>
      </c>
      <c r="F478" s="3">
        <f>IF('ORDENES'!$A456="","",IF('ORDENES'!$W456="","-",'ORDENES'!$W456))</f>
        <v/>
      </c>
      <c r="G478" s="3">
        <f>IF('ORDENES'!$A456="","",IF('ORDENES'!$AB456="","-",'ORDENES'!$AB456))</f>
        <v/>
      </c>
      <c r="H478" s="3">
        <f>IF('ORDENES'!$A456="","",IF('ORDENES'!$AN456="","-",'ORDENES'!$AN456))</f>
        <v/>
      </c>
      <c r="I478" s="3">
        <f>IF('ORDENES'!$A456="","",IF('ORDENES'!$D456="","-",'ORDENES'!$D456))</f>
        <v/>
      </c>
      <c r="J478" s="3">
        <f>IF('ORDENES'!$A456="","",IF('ORDENES'!$E456="","-",'ORDENES'!$E456))</f>
        <v/>
      </c>
      <c r="K478" s="12">
        <f>IF('ORDENES'!$A456="","",IF('ORDENES'!$M456="",0,'ORDENES'!$M456))</f>
        <v/>
      </c>
      <c r="L478" s="3">
        <f>IF('ORDENES'!$A456="","",IF('ORDENES'!$N456="","-",'ORDENES'!$N456))</f>
        <v/>
      </c>
      <c r="M478" s="3">
        <f>IF('ORDENES'!$A456="","",'ORDENES'!$AA456)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IF('ORDENES'!$A457="","",IF('ORDENES'!$AC457="","-",'ORDENES'!$AC457))</f>
        <v/>
      </c>
      <c r="D479" s="3">
        <f>IF('ORDENES'!$A457="","",IF('ORDENES'!$V457="","-",'ORDENES'!$V457))</f>
        <v/>
      </c>
      <c r="E479" s="3">
        <f>IF('ORDENES'!$A457="","",IF('ORDENES'!$U457="","-",'ORDENES'!$U457))</f>
        <v/>
      </c>
      <c r="F479" s="3">
        <f>IF('ORDENES'!$A457="","",IF('ORDENES'!$W457="","-",'ORDENES'!$W457))</f>
        <v/>
      </c>
      <c r="G479" s="3">
        <f>IF('ORDENES'!$A457="","",IF('ORDENES'!$AB457="","-",'ORDENES'!$AB457))</f>
        <v/>
      </c>
      <c r="H479" s="3">
        <f>IF('ORDENES'!$A457="","",IF('ORDENES'!$AN457="","-",'ORDENES'!$AN457))</f>
        <v/>
      </c>
      <c r="I479" s="3">
        <f>IF('ORDENES'!$A457="","",IF('ORDENES'!$D457="","-",'ORDENES'!$D457))</f>
        <v/>
      </c>
      <c r="J479" s="3">
        <f>IF('ORDENES'!$A457="","",IF('ORDENES'!$E457="","-",'ORDENES'!$E457))</f>
        <v/>
      </c>
      <c r="K479" s="12">
        <f>IF('ORDENES'!$A457="","",IF('ORDENES'!$M457="",0,'ORDENES'!$M457))</f>
        <v/>
      </c>
      <c r="L479" s="3">
        <f>IF('ORDENES'!$A457="","",IF('ORDENES'!$N457="","-",'ORDENES'!$N457))</f>
        <v/>
      </c>
      <c r="M479" s="3">
        <f>IF('ORDENES'!$A457="","",'ORDENES'!$AA457)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IF('ORDENES'!$A458="","",IF('ORDENES'!$AC458="","-",'ORDENES'!$AC458))</f>
        <v/>
      </c>
      <c r="D480" s="3">
        <f>IF('ORDENES'!$A458="","",IF('ORDENES'!$V458="","-",'ORDENES'!$V458))</f>
        <v/>
      </c>
      <c r="E480" s="3">
        <f>IF('ORDENES'!$A458="","",IF('ORDENES'!$U458="","-",'ORDENES'!$U458))</f>
        <v/>
      </c>
      <c r="F480" s="3">
        <f>IF('ORDENES'!$A458="","",IF('ORDENES'!$W458="","-",'ORDENES'!$W458))</f>
        <v/>
      </c>
      <c r="G480" s="3">
        <f>IF('ORDENES'!$A458="","",IF('ORDENES'!$AB458="","-",'ORDENES'!$AB458))</f>
        <v/>
      </c>
      <c r="H480" s="3">
        <f>IF('ORDENES'!$A458="","",IF('ORDENES'!$AN458="","-",'ORDENES'!$AN458))</f>
        <v/>
      </c>
      <c r="I480" s="3">
        <f>IF('ORDENES'!$A458="","",IF('ORDENES'!$D458="","-",'ORDENES'!$D458))</f>
        <v/>
      </c>
      <c r="J480" s="3">
        <f>IF('ORDENES'!$A458="","",IF('ORDENES'!$E458="","-",'ORDENES'!$E458))</f>
        <v/>
      </c>
      <c r="K480" s="12">
        <f>IF('ORDENES'!$A458="","",IF('ORDENES'!$M458="",0,'ORDENES'!$M458))</f>
        <v/>
      </c>
      <c r="L480" s="3">
        <f>IF('ORDENES'!$A458="","",IF('ORDENES'!$N458="","-",'ORDENES'!$N458))</f>
        <v/>
      </c>
      <c r="M480" s="3">
        <f>IF('ORDENES'!$A458="","",'ORDENES'!$AA458)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IF('ORDENES'!$A459="","",IF('ORDENES'!$AC459="","-",'ORDENES'!$AC459))</f>
        <v/>
      </c>
      <c r="D481" s="3">
        <f>IF('ORDENES'!$A459="","",IF('ORDENES'!$V459="","-",'ORDENES'!$V459))</f>
        <v/>
      </c>
      <c r="E481" s="3">
        <f>IF('ORDENES'!$A459="","",IF('ORDENES'!$U459="","-",'ORDENES'!$U459))</f>
        <v/>
      </c>
      <c r="F481" s="3">
        <f>IF('ORDENES'!$A459="","",IF('ORDENES'!$W459="","-",'ORDENES'!$W459))</f>
        <v/>
      </c>
      <c r="G481" s="3">
        <f>IF('ORDENES'!$A459="","",IF('ORDENES'!$AB459="","-",'ORDENES'!$AB459))</f>
        <v/>
      </c>
      <c r="H481" s="3">
        <f>IF('ORDENES'!$A459="","",IF('ORDENES'!$AN459="","-",'ORDENES'!$AN459))</f>
        <v/>
      </c>
      <c r="I481" s="3">
        <f>IF('ORDENES'!$A459="","",IF('ORDENES'!$D459="","-",'ORDENES'!$D459))</f>
        <v/>
      </c>
      <c r="J481" s="3">
        <f>IF('ORDENES'!$A459="","",IF('ORDENES'!$E459="","-",'ORDENES'!$E459))</f>
        <v/>
      </c>
      <c r="K481" s="12">
        <f>IF('ORDENES'!$A459="","",IF('ORDENES'!$M459="",0,'ORDENES'!$M459))</f>
        <v/>
      </c>
      <c r="L481" s="3">
        <f>IF('ORDENES'!$A459="","",IF('ORDENES'!$N459="","-",'ORDENES'!$N459))</f>
        <v/>
      </c>
      <c r="M481" s="3">
        <f>IF('ORDENES'!$A459="","",'ORDENES'!$AA459)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IF('ORDENES'!$A460="","",IF('ORDENES'!$AC460="","-",'ORDENES'!$AC460))</f>
        <v/>
      </c>
      <c r="D482" s="3">
        <f>IF('ORDENES'!$A460="","",IF('ORDENES'!$V460="","-",'ORDENES'!$V460))</f>
        <v/>
      </c>
      <c r="E482" s="3">
        <f>IF('ORDENES'!$A460="","",IF('ORDENES'!$U460="","-",'ORDENES'!$U460))</f>
        <v/>
      </c>
      <c r="F482" s="3">
        <f>IF('ORDENES'!$A460="","",IF('ORDENES'!$W460="","-",'ORDENES'!$W460))</f>
        <v/>
      </c>
      <c r="G482" s="3">
        <f>IF('ORDENES'!$A460="","",IF('ORDENES'!$AB460="","-",'ORDENES'!$AB460))</f>
        <v/>
      </c>
      <c r="H482" s="3">
        <f>IF('ORDENES'!$A460="","",IF('ORDENES'!$AN460="","-",'ORDENES'!$AN460))</f>
        <v/>
      </c>
      <c r="I482" s="3">
        <f>IF('ORDENES'!$A460="","",IF('ORDENES'!$D460="","-",'ORDENES'!$D460))</f>
        <v/>
      </c>
      <c r="J482" s="3">
        <f>IF('ORDENES'!$A460="","",IF('ORDENES'!$E460="","-",'ORDENES'!$E460))</f>
        <v/>
      </c>
      <c r="K482" s="12">
        <f>IF('ORDENES'!$A460="","",IF('ORDENES'!$M460="",0,'ORDENES'!$M460))</f>
        <v/>
      </c>
      <c r="L482" s="3">
        <f>IF('ORDENES'!$A460="","",IF('ORDENES'!$N460="","-",'ORDENES'!$N460))</f>
        <v/>
      </c>
      <c r="M482" s="3">
        <f>IF('ORDENES'!$A460="","",'ORDENES'!$AA460)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IF('ORDENES'!$A461="","",IF('ORDENES'!$AC461="","-",'ORDENES'!$AC461))</f>
        <v/>
      </c>
      <c r="D483" s="3">
        <f>IF('ORDENES'!$A461="","",IF('ORDENES'!$V461="","-",'ORDENES'!$V461))</f>
        <v/>
      </c>
      <c r="E483" s="3">
        <f>IF('ORDENES'!$A461="","",IF('ORDENES'!$U461="","-",'ORDENES'!$U461))</f>
        <v/>
      </c>
      <c r="F483" s="3">
        <f>IF('ORDENES'!$A461="","",IF('ORDENES'!$W461="","-",'ORDENES'!$W461))</f>
        <v/>
      </c>
      <c r="G483" s="3">
        <f>IF('ORDENES'!$A461="","",IF('ORDENES'!$AB461="","-",'ORDENES'!$AB461))</f>
        <v/>
      </c>
      <c r="H483" s="3">
        <f>IF('ORDENES'!$A461="","",IF('ORDENES'!$AN461="","-",'ORDENES'!$AN461))</f>
        <v/>
      </c>
      <c r="I483" s="3">
        <f>IF('ORDENES'!$A461="","",IF('ORDENES'!$D461="","-",'ORDENES'!$D461))</f>
        <v/>
      </c>
      <c r="J483" s="3">
        <f>IF('ORDENES'!$A461="","",IF('ORDENES'!$E461="","-",'ORDENES'!$E461))</f>
        <v/>
      </c>
      <c r="K483" s="12">
        <f>IF('ORDENES'!$A461="","",IF('ORDENES'!$M461="",0,'ORDENES'!$M461))</f>
        <v/>
      </c>
      <c r="L483" s="3">
        <f>IF('ORDENES'!$A461="","",IF('ORDENES'!$N461="","-",'ORDENES'!$N461))</f>
        <v/>
      </c>
      <c r="M483" s="3">
        <f>IF('ORDENES'!$A461="","",'ORDENES'!$AA461)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IF('ORDENES'!$A462="","",IF('ORDENES'!$AC462="","-",'ORDENES'!$AC462))</f>
        <v/>
      </c>
      <c r="D484" s="3">
        <f>IF('ORDENES'!$A462="","",IF('ORDENES'!$V462="","-",'ORDENES'!$V462))</f>
        <v/>
      </c>
      <c r="E484" s="3">
        <f>IF('ORDENES'!$A462="","",IF('ORDENES'!$U462="","-",'ORDENES'!$U462))</f>
        <v/>
      </c>
      <c r="F484" s="3">
        <f>IF('ORDENES'!$A462="","",IF('ORDENES'!$W462="","-",'ORDENES'!$W462))</f>
        <v/>
      </c>
      <c r="G484" s="3">
        <f>IF('ORDENES'!$A462="","",IF('ORDENES'!$AB462="","-",'ORDENES'!$AB462))</f>
        <v/>
      </c>
      <c r="H484" s="3">
        <f>IF('ORDENES'!$A462="","",IF('ORDENES'!$AN462="","-",'ORDENES'!$AN462))</f>
        <v/>
      </c>
      <c r="I484" s="3">
        <f>IF('ORDENES'!$A462="","",IF('ORDENES'!$D462="","-",'ORDENES'!$D462))</f>
        <v/>
      </c>
      <c r="J484" s="3">
        <f>IF('ORDENES'!$A462="","",IF('ORDENES'!$E462="","-",'ORDENES'!$E462))</f>
        <v/>
      </c>
      <c r="K484" s="12">
        <f>IF('ORDENES'!$A462="","",IF('ORDENES'!$M462="",0,'ORDENES'!$M462))</f>
        <v/>
      </c>
      <c r="L484" s="3">
        <f>IF('ORDENES'!$A462="","",IF('ORDENES'!$N462="","-",'ORDENES'!$N462))</f>
        <v/>
      </c>
      <c r="M484" s="3">
        <f>IF('ORDENES'!$A462="","",'ORDENES'!$AA462)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IF('ORDENES'!$A463="","",IF('ORDENES'!$AC463="","-",'ORDENES'!$AC463))</f>
        <v/>
      </c>
      <c r="D485" s="3">
        <f>IF('ORDENES'!$A463="","",IF('ORDENES'!$V463="","-",'ORDENES'!$V463))</f>
        <v/>
      </c>
      <c r="E485" s="3">
        <f>IF('ORDENES'!$A463="","",IF('ORDENES'!$U463="","-",'ORDENES'!$U463))</f>
        <v/>
      </c>
      <c r="F485" s="3">
        <f>IF('ORDENES'!$A463="","",IF('ORDENES'!$W463="","-",'ORDENES'!$W463))</f>
        <v/>
      </c>
      <c r="G485" s="3">
        <f>IF('ORDENES'!$A463="","",IF('ORDENES'!$AB463="","-",'ORDENES'!$AB463))</f>
        <v/>
      </c>
      <c r="H485" s="3">
        <f>IF('ORDENES'!$A463="","",IF('ORDENES'!$AN463="","-",'ORDENES'!$AN463))</f>
        <v/>
      </c>
      <c r="I485" s="3">
        <f>IF('ORDENES'!$A463="","",IF('ORDENES'!$D463="","-",'ORDENES'!$D463))</f>
        <v/>
      </c>
      <c r="J485" s="3">
        <f>IF('ORDENES'!$A463="","",IF('ORDENES'!$E463="","-",'ORDENES'!$E463))</f>
        <v/>
      </c>
      <c r="K485" s="12">
        <f>IF('ORDENES'!$A463="","",IF('ORDENES'!$M463="",0,'ORDENES'!$M463))</f>
        <v/>
      </c>
      <c r="L485" s="3">
        <f>IF('ORDENES'!$A463="","",IF('ORDENES'!$N463="","-",'ORDENES'!$N463))</f>
        <v/>
      </c>
      <c r="M485" s="3">
        <f>IF('ORDENES'!$A463="","",'ORDENES'!$AA463)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IF('ORDENES'!$A464="","",IF('ORDENES'!$AC464="","-",'ORDENES'!$AC464))</f>
        <v/>
      </c>
      <c r="D486" s="3">
        <f>IF('ORDENES'!$A464="","",IF('ORDENES'!$V464="","-",'ORDENES'!$V464))</f>
        <v/>
      </c>
      <c r="E486" s="3">
        <f>IF('ORDENES'!$A464="","",IF('ORDENES'!$U464="","-",'ORDENES'!$U464))</f>
        <v/>
      </c>
      <c r="F486" s="3">
        <f>IF('ORDENES'!$A464="","",IF('ORDENES'!$W464="","-",'ORDENES'!$W464))</f>
        <v/>
      </c>
      <c r="G486" s="3">
        <f>IF('ORDENES'!$A464="","",IF('ORDENES'!$AB464="","-",'ORDENES'!$AB464))</f>
        <v/>
      </c>
      <c r="H486" s="3">
        <f>IF('ORDENES'!$A464="","",IF('ORDENES'!$AN464="","-",'ORDENES'!$AN464))</f>
        <v/>
      </c>
      <c r="I486" s="3">
        <f>IF('ORDENES'!$A464="","",IF('ORDENES'!$D464="","-",'ORDENES'!$D464))</f>
        <v/>
      </c>
      <c r="J486" s="3">
        <f>IF('ORDENES'!$A464="","",IF('ORDENES'!$E464="","-",'ORDENES'!$E464))</f>
        <v/>
      </c>
      <c r="K486" s="12">
        <f>IF('ORDENES'!$A464="","",IF('ORDENES'!$M464="",0,'ORDENES'!$M464))</f>
        <v/>
      </c>
      <c r="L486" s="3">
        <f>IF('ORDENES'!$A464="","",IF('ORDENES'!$N464="","-",'ORDENES'!$N464))</f>
        <v/>
      </c>
      <c r="M486" s="3">
        <f>IF('ORDENES'!$A464="","",'ORDENES'!$AA464)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IF('ORDENES'!$A465="","",IF('ORDENES'!$AC465="","-",'ORDENES'!$AC465))</f>
        <v/>
      </c>
      <c r="D487" s="3">
        <f>IF('ORDENES'!$A465="","",IF('ORDENES'!$V465="","-",'ORDENES'!$V465))</f>
        <v/>
      </c>
      <c r="E487" s="3">
        <f>IF('ORDENES'!$A465="","",IF('ORDENES'!$U465="","-",'ORDENES'!$U465))</f>
        <v/>
      </c>
      <c r="F487" s="3">
        <f>IF('ORDENES'!$A465="","",IF('ORDENES'!$W465="","-",'ORDENES'!$W465))</f>
        <v/>
      </c>
      <c r="G487" s="3">
        <f>IF('ORDENES'!$A465="","",IF('ORDENES'!$AB465="","-",'ORDENES'!$AB465))</f>
        <v/>
      </c>
      <c r="H487" s="3">
        <f>IF('ORDENES'!$A465="","",IF('ORDENES'!$AN465="","-",'ORDENES'!$AN465))</f>
        <v/>
      </c>
      <c r="I487" s="3">
        <f>IF('ORDENES'!$A465="","",IF('ORDENES'!$D465="","-",'ORDENES'!$D465))</f>
        <v/>
      </c>
      <c r="J487" s="3">
        <f>IF('ORDENES'!$A465="","",IF('ORDENES'!$E465="","-",'ORDENES'!$E465))</f>
        <v/>
      </c>
      <c r="K487" s="12">
        <f>IF('ORDENES'!$A465="","",IF('ORDENES'!$M465="",0,'ORDENES'!$M465))</f>
        <v/>
      </c>
      <c r="L487" s="3">
        <f>IF('ORDENES'!$A465="","",IF('ORDENES'!$N465="","-",'ORDENES'!$N465))</f>
        <v/>
      </c>
      <c r="M487" s="3">
        <f>IF('ORDENES'!$A465="","",'ORDENES'!$AA465)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IF('ORDENES'!$A466="","",IF('ORDENES'!$AC466="","-",'ORDENES'!$AC466))</f>
        <v/>
      </c>
      <c r="D488" s="3">
        <f>IF('ORDENES'!$A466="","",IF('ORDENES'!$V466="","-",'ORDENES'!$V466))</f>
        <v/>
      </c>
      <c r="E488" s="3">
        <f>IF('ORDENES'!$A466="","",IF('ORDENES'!$U466="","-",'ORDENES'!$U466))</f>
        <v/>
      </c>
      <c r="F488" s="3">
        <f>IF('ORDENES'!$A466="","",IF('ORDENES'!$W466="","-",'ORDENES'!$W466))</f>
        <v/>
      </c>
      <c r="G488" s="3">
        <f>IF('ORDENES'!$A466="","",IF('ORDENES'!$AB466="","-",'ORDENES'!$AB466))</f>
        <v/>
      </c>
      <c r="H488" s="3">
        <f>IF('ORDENES'!$A466="","",IF('ORDENES'!$AN466="","-",'ORDENES'!$AN466))</f>
        <v/>
      </c>
      <c r="I488" s="3">
        <f>IF('ORDENES'!$A466="","",IF('ORDENES'!$D466="","-",'ORDENES'!$D466))</f>
        <v/>
      </c>
      <c r="J488" s="3">
        <f>IF('ORDENES'!$A466="","",IF('ORDENES'!$E466="","-",'ORDENES'!$E466))</f>
        <v/>
      </c>
      <c r="K488" s="12">
        <f>IF('ORDENES'!$A466="","",IF('ORDENES'!$M466="",0,'ORDENES'!$M466))</f>
        <v/>
      </c>
      <c r="L488" s="3">
        <f>IF('ORDENES'!$A466="","",IF('ORDENES'!$N466="","-",'ORDENES'!$N466))</f>
        <v/>
      </c>
      <c r="M488" s="3">
        <f>IF('ORDENES'!$A466="","",'ORDENES'!$AA466)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IF('ORDENES'!$A467="","",IF('ORDENES'!$AC467="","-",'ORDENES'!$AC467))</f>
        <v/>
      </c>
      <c r="D489" s="3">
        <f>IF('ORDENES'!$A467="","",IF('ORDENES'!$V467="","-",'ORDENES'!$V467))</f>
        <v/>
      </c>
      <c r="E489" s="3">
        <f>IF('ORDENES'!$A467="","",IF('ORDENES'!$U467="","-",'ORDENES'!$U467))</f>
        <v/>
      </c>
      <c r="F489" s="3">
        <f>IF('ORDENES'!$A467="","",IF('ORDENES'!$W467="","-",'ORDENES'!$W467))</f>
        <v/>
      </c>
      <c r="G489" s="3">
        <f>IF('ORDENES'!$A467="","",IF('ORDENES'!$AB467="","-",'ORDENES'!$AB467))</f>
        <v/>
      </c>
      <c r="H489" s="3">
        <f>IF('ORDENES'!$A467="","",IF('ORDENES'!$AN467="","-",'ORDENES'!$AN467))</f>
        <v/>
      </c>
      <c r="I489" s="3">
        <f>IF('ORDENES'!$A467="","",IF('ORDENES'!$D467="","-",'ORDENES'!$D467))</f>
        <v/>
      </c>
      <c r="J489" s="3">
        <f>IF('ORDENES'!$A467="","",IF('ORDENES'!$E467="","-",'ORDENES'!$E467))</f>
        <v/>
      </c>
      <c r="K489" s="12">
        <f>IF('ORDENES'!$A467="","",IF('ORDENES'!$M467="",0,'ORDENES'!$M467))</f>
        <v/>
      </c>
      <c r="L489" s="3">
        <f>IF('ORDENES'!$A467="","",IF('ORDENES'!$N467="","-",'ORDENES'!$N467))</f>
        <v/>
      </c>
      <c r="M489" s="3">
        <f>IF('ORDENES'!$A467="","",'ORDENES'!$AA467)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IF('ORDENES'!$A468="","",IF('ORDENES'!$AC468="","-",'ORDENES'!$AC468))</f>
        <v/>
      </c>
      <c r="D490" s="3">
        <f>IF('ORDENES'!$A468="","",IF('ORDENES'!$V468="","-",'ORDENES'!$V468))</f>
        <v/>
      </c>
      <c r="E490" s="3">
        <f>IF('ORDENES'!$A468="","",IF('ORDENES'!$U468="","-",'ORDENES'!$U468))</f>
        <v/>
      </c>
      <c r="F490" s="3">
        <f>IF('ORDENES'!$A468="","",IF('ORDENES'!$W468="","-",'ORDENES'!$W468))</f>
        <v/>
      </c>
      <c r="G490" s="3">
        <f>IF('ORDENES'!$A468="","",IF('ORDENES'!$AB468="","-",'ORDENES'!$AB468))</f>
        <v/>
      </c>
      <c r="H490" s="3">
        <f>IF('ORDENES'!$A468="","",IF('ORDENES'!$AN468="","-",'ORDENES'!$AN468))</f>
        <v/>
      </c>
      <c r="I490" s="3">
        <f>IF('ORDENES'!$A468="","",IF('ORDENES'!$D468="","-",'ORDENES'!$D468))</f>
        <v/>
      </c>
      <c r="J490" s="3">
        <f>IF('ORDENES'!$A468="","",IF('ORDENES'!$E468="","-",'ORDENES'!$E468))</f>
        <v/>
      </c>
      <c r="K490" s="12">
        <f>IF('ORDENES'!$A468="","",IF('ORDENES'!$M468="",0,'ORDENES'!$M468))</f>
        <v/>
      </c>
      <c r="L490" s="3">
        <f>IF('ORDENES'!$A468="","",IF('ORDENES'!$N468="","-",'ORDENES'!$N468))</f>
        <v/>
      </c>
      <c r="M490" s="3">
        <f>IF('ORDENES'!$A468="","",'ORDENES'!$AA468)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IF('ORDENES'!$A469="","",IF('ORDENES'!$AC469="","-",'ORDENES'!$AC469))</f>
        <v/>
      </c>
      <c r="D491" s="3">
        <f>IF('ORDENES'!$A469="","",IF('ORDENES'!$V469="","-",'ORDENES'!$V469))</f>
        <v/>
      </c>
      <c r="E491" s="3">
        <f>IF('ORDENES'!$A469="","",IF('ORDENES'!$U469="","-",'ORDENES'!$U469))</f>
        <v/>
      </c>
      <c r="F491" s="3">
        <f>IF('ORDENES'!$A469="","",IF('ORDENES'!$W469="","-",'ORDENES'!$W469))</f>
        <v/>
      </c>
      <c r="G491" s="3">
        <f>IF('ORDENES'!$A469="","",IF('ORDENES'!$AB469="","-",'ORDENES'!$AB469))</f>
        <v/>
      </c>
      <c r="H491" s="3">
        <f>IF('ORDENES'!$A469="","",IF('ORDENES'!$AN469="","-",'ORDENES'!$AN469))</f>
        <v/>
      </c>
      <c r="I491" s="3">
        <f>IF('ORDENES'!$A469="","",IF('ORDENES'!$D469="","-",'ORDENES'!$D469))</f>
        <v/>
      </c>
      <c r="J491" s="3">
        <f>IF('ORDENES'!$A469="","",IF('ORDENES'!$E469="","-",'ORDENES'!$E469))</f>
        <v/>
      </c>
      <c r="K491" s="12">
        <f>IF('ORDENES'!$A469="","",IF('ORDENES'!$M469="",0,'ORDENES'!$M469))</f>
        <v/>
      </c>
      <c r="L491" s="3">
        <f>IF('ORDENES'!$A469="","",IF('ORDENES'!$N469="","-",'ORDENES'!$N469))</f>
        <v/>
      </c>
      <c r="M491" s="3">
        <f>IF('ORDENES'!$A469="","",'ORDENES'!$AA469)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IF('ORDENES'!$A470="","",IF('ORDENES'!$AC470="","-",'ORDENES'!$AC470))</f>
        <v/>
      </c>
      <c r="D492" s="3">
        <f>IF('ORDENES'!$A470="","",IF('ORDENES'!$V470="","-",'ORDENES'!$V470))</f>
        <v/>
      </c>
      <c r="E492" s="3">
        <f>IF('ORDENES'!$A470="","",IF('ORDENES'!$U470="","-",'ORDENES'!$U470))</f>
        <v/>
      </c>
      <c r="F492" s="3">
        <f>IF('ORDENES'!$A470="","",IF('ORDENES'!$W470="","-",'ORDENES'!$W470))</f>
        <v/>
      </c>
      <c r="G492" s="3">
        <f>IF('ORDENES'!$A470="","",IF('ORDENES'!$AB470="","-",'ORDENES'!$AB470))</f>
        <v/>
      </c>
      <c r="H492" s="3">
        <f>IF('ORDENES'!$A470="","",IF('ORDENES'!$AN470="","-",'ORDENES'!$AN470))</f>
        <v/>
      </c>
      <c r="I492" s="3">
        <f>IF('ORDENES'!$A470="","",IF('ORDENES'!$D470="","-",'ORDENES'!$D470))</f>
        <v/>
      </c>
      <c r="J492" s="3">
        <f>IF('ORDENES'!$A470="","",IF('ORDENES'!$E470="","-",'ORDENES'!$E470))</f>
        <v/>
      </c>
      <c r="K492" s="12">
        <f>IF('ORDENES'!$A470="","",IF('ORDENES'!$M470="",0,'ORDENES'!$M470))</f>
        <v/>
      </c>
      <c r="L492" s="3">
        <f>IF('ORDENES'!$A470="","",IF('ORDENES'!$N470="","-",'ORDENES'!$N470))</f>
        <v/>
      </c>
      <c r="M492" s="3">
        <f>IF('ORDENES'!$A470="","",'ORDENES'!$AA470)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IF('ORDENES'!$A471="","",IF('ORDENES'!$AC471="","-",'ORDENES'!$AC471))</f>
        <v/>
      </c>
      <c r="D493" s="3">
        <f>IF('ORDENES'!$A471="","",IF('ORDENES'!$V471="","-",'ORDENES'!$V471))</f>
        <v/>
      </c>
      <c r="E493" s="3">
        <f>IF('ORDENES'!$A471="","",IF('ORDENES'!$U471="","-",'ORDENES'!$U471))</f>
        <v/>
      </c>
      <c r="F493" s="3">
        <f>IF('ORDENES'!$A471="","",IF('ORDENES'!$W471="","-",'ORDENES'!$W471))</f>
        <v/>
      </c>
      <c r="G493" s="3">
        <f>IF('ORDENES'!$A471="","",IF('ORDENES'!$AB471="","-",'ORDENES'!$AB471))</f>
        <v/>
      </c>
      <c r="H493" s="3">
        <f>IF('ORDENES'!$A471="","",IF('ORDENES'!$AN471="","-",'ORDENES'!$AN471))</f>
        <v/>
      </c>
      <c r="I493" s="3">
        <f>IF('ORDENES'!$A471="","",IF('ORDENES'!$D471="","-",'ORDENES'!$D471))</f>
        <v/>
      </c>
      <c r="J493" s="3">
        <f>IF('ORDENES'!$A471="","",IF('ORDENES'!$E471="","-",'ORDENES'!$E471))</f>
        <v/>
      </c>
      <c r="K493" s="12">
        <f>IF('ORDENES'!$A471="","",IF('ORDENES'!$M471="",0,'ORDENES'!$M471))</f>
        <v/>
      </c>
      <c r="L493" s="3">
        <f>IF('ORDENES'!$A471="","",IF('ORDENES'!$N471="","-",'ORDENES'!$N471))</f>
        <v/>
      </c>
      <c r="M493" s="3">
        <f>IF('ORDENES'!$A471="","",'ORDENES'!$AA471)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IF('ORDENES'!$A472="","",IF('ORDENES'!$AC472="","-",'ORDENES'!$AC472))</f>
        <v/>
      </c>
      <c r="D494" s="3">
        <f>IF('ORDENES'!$A472="","",IF('ORDENES'!$V472="","-",'ORDENES'!$V472))</f>
        <v/>
      </c>
      <c r="E494" s="3">
        <f>IF('ORDENES'!$A472="","",IF('ORDENES'!$U472="","-",'ORDENES'!$U472))</f>
        <v/>
      </c>
      <c r="F494" s="3">
        <f>IF('ORDENES'!$A472="","",IF('ORDENES'!$W472="","-",'ORDENES'!$W472))</f>
        <v/>
      </c>
      <c r="G494" s="3">
        <f>IF('ORDENES'!$A472="","",IF('ORDENES'!$AB472="","-",'ORDENES'!$AB472))</f>
        <v/>
      </c>
      <c r="H494" s="3">
        <f>IF('ORDENES'!$A472="","",IF('ORDENES'!$AN472="","-",'ORDENES'!$AN472))</f>
        <v/>
      </c>
      <c r="I494" s="3">
        <f>IF('ORDENES'!$A472="","",IF('ORDENES'!$D472="","-",'ORDENES'!$D472))</f>
        <v/>
      </c>
      <c r="J494" s="3">
        <f>IF('ORDENES'!$A472="","",IF('ORDENES'!$E472="","-",'ORDENES'!$E472))</f>
        <v/>
      </c>
      <c r="K494" s="12">
        <f>IF('ORDENES'!$A472="","",IF('ORDENES'!$M472="",0,'ORDENES'!$M472))</f>
        <v/>
      </c>
      <c r="L494" s="3">
        <f>IF('ORDENES'!$A472="","",IF('ORDENES'!$N472="","-",'ORDENES'!$N472))</f>
        <v/>
      </c>
      <c r="M494" s="3">
        <f>IF('ORDENES'!$A472="","",'ORDENES'!$AA472)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IF('ORDENES'!$A473="","",IF('ORDENES'!$AC473="","-",'ORDENES'!$AC473))</f>
        <v/>
      </c>
      <c r="D495" s="3">
        <f>IF('ORDENES'!$A473="","",IF('ORDENES'!$V473="","-",'ORDENES'!$V473))</f>
        <v/>
      </c>
      <c r="E495" s="3">
        <f>IF('ORDENES'!$A473="","",IF('ORDENES'!$U473="","-",'ORDENES'!$U473))</f>
        <v/>
      </c>
      <c r="F495" s="3">
        <f>IF('ORDENES'!$A473="","",IF('ORDENES'!$W473="","-",'ORDENES'!$W473))</f>
        <v/>
      </c>
      <c r="G495" s="3">
        <f>IF('ORDENES'!$A473="","",IF('ORDENES'!$AB473="","-",'ORDENES'!$AB473))</f>
        <v/>
      </c>
      <c r="H495" s="3">
        <f>IF('ORDENES'!$A473="","",IF('ORDENES'!$AN473="","-",'ORDENES'!$AN473))</f>
        <v/>
      </c>
      <c r="I495" s="3">
        <f>IF('ORDENES'!$A473="","",IF('ORDENES'!$D473="","-",'ORDENES'!$D473))</f>
        <v/>
      </c>
      <c r="J495" s="3">
        <f>IF('ORDENES'!$A473="","",IF('ORDENES'!$E473="","-",'ORDENES'!$E473))</f>
        <v/>
      </c>
      <c r="K495" s="12">
        <f>IF('ORDENES'!$A473="","",IF('ORDENES'!$M473="",0,'ORDENES'!$M473))</f>
        <v/>
      </c>
      <c r="L495" s="3">
        <f>IF('ORDENES'!$A473="","",IF('ORDENES'!$N473="","-",'ORDENES'!$N473))</f>
        <v/>
      </c>
      <c r="M495" s="3">
        <f>IF('ORDENES'!$A473="","",'ORDENES'!$AA473)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IF('ORDENES'!$A474="","",IF('ORDENES'!$AC474="","-",'ORDENES'!$AC474))</f>
        <v/>
      </c>
      <c r="D496" s="3">
        <f>IF('ORDENES'!$A474="","",IF('ORDENES'!$V474="","-",'ORDENES'!$V474))</f>
        <v/>
      </c>
      <c r="E496" s="3">
        <f>IF('ORDENES'!$A474="","",IF('ORDENES'!$U474="","-",'ORDENES'!$U474))</f>
        <v/>
      </c>
      <c r="F496" s="3">
        <f>IF('ORDENES'!$A474="","",IF('ORDENES'!$W474="","-",'ORDENES'!$W474))</f>
        <v/>
      </c>
      <c r="G496" s="3">
        <f>IF('ORDENES'!$A474="","",IF('ORDENES'!$AB474="","-",'ORDENES'!$AB474))</f>
        <v/>
      </c>
      <c r="H496" s="3">
        <f>IF('ORDENES'!$A474="","",IF('ORDENES'!$AN474="","-",'ORDENES'!$AN474))</f>
        <v/>
      </c>
      <c r="I496" s="3">
        <f>IF('ORDENES'!$A474="","",IF('ORDENES'!$D474="","-",'ORDENES'!$D474))</f>
        <v/>
      </c>
      <c r="J496" s="3">
        <f>IF('ORDENES'!$A474="","",IF('ORDENES'!$E474="","-",'ORDENES'!$E474))</f>
        <v/>
      </c>
      <c r="K496" s="12">
        <f>IF('ORDENES'!$A474="","",IF('ORDENES'!$M474="",0,'ORDENES'!$M474))</f>
        <v/>
      </c>
      <c r="L496" s="3">
        <f>IF('ORDENES'!$A474="","",IF('ORDENES'!$N474="","-",'ORDENES'!$N474))</f>
        <v/>
      </c>
      <c r="M496" s="3">
        <f>IF('ORDENES'!$A474="","",'ORDENES'!$AA474)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IF('ORDENES'!$A475="","",IF('ORDENES'!$AC475="","-",'ORDENES'!$AC475))</f>
        <v/>
      </c>
      <c r="D497" s="3">
        <f>IF('ORDENES'!$A475="","",IF('ORDENES'!$V475="","-",'ORDENES'!$V475))</f>
        <v/>
      </c>
      <c r="E497" s="3">
        <f>IF('ORDENES'!$A475="","",IF('ORDENES'!$U475="","-",'ORDENES'!$U475))</f>
        <v/>
      </c>
      <c r="F497" s="3">
        <f>IF('ORDENES'!$A475="","",IF('ORDENES'!$W475="","-",'ORDENES'!$W475))</f>
        <v/>
      </c>
      <c r="G497" s="3">
        <f>IF('ORDENES'!$A475="","",IF('ORDENES'!$AB475="","-",'ORDENES'!$AB475))</f>
        <v/>
      </c>
      <c r="H497" s="3">
        <f>IF('ORDENES'!$A475="","",IF('ORDENES'!$AN475="","-",'ORDENES'!$AN475))</f>
        <v/>
      </c>
      <c r="I497" s="3">
        <f>IF('ORDENES'!$A475="","",IF('ORDENES'!$D475="","-",'ORDENES'!$D475))</f>
        <v/>
      </c>
      <c r="J497" s="3">
        <f>IF('ORDENES'!$A475="","",IF('ORDENES'!$E475="","-",'ORDENES'!$E475))</f>
        <v/>
      </c>
      <c r="K497" s="12">
        <f>IF('ORDENES'!$A475="","",IF('ORDENES'!$M475="",0,'ORDENES'!$M475))</f>
        <v/>
      </c>
      <c r="L497" s="3">
        <f>IF('ORDENES'!$A475="","",IF('ORDENES'!$N475="","-",'ORDENES'!$N475))</f>
        <v/>
      </c>
      <c r="M497" s="3">
        <f>IF('ORDENES'!$A475="","",'ORDENES'!$AA475)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IF('ORDENES'!$A476="","",IF('ORDENES'!$AC476="","-",'ORDENES'!$AC476))</f>
        <v/>
      </c>
      <c r="D498" s="3">
        <f>IF('ORDENES'!$A476="","",IF('ORDENES'!$V476="","-",'ORDENES'!$V476))</f>
        <v/>
      </c>
      <c r="E498" s="3">
        <f>IF('ORDENES'!$A476="","",IF('ORDENES'!$U476="","-",'ORDENES'!$U476))</f>
        <v/>
      </c>
      <c r="F498" s="3">
        <f>IF('ORDENES'!$A476="","",IF('ORDENES'!$W476="","-",'ORDENES'!$W476))</f>
        <v/>
      </c>
      <c r="G498" s="3">
        <f>IF('ORDENES'!$A476="","",IF('ORDENES'!$AB476="","-",'ORDENES'!$AB476))</f>
        <v/>
      </c>
      <c r="H498" s="3">
        <f>IF('ORDENES'!$A476="","",IF('ORDENES'!$AN476="","-",'ORDENES'!$AN476))</f>
        <v/>
      </c>
      <c r="I498" s="3">
        <f>IF('ORDENES'!$A476="","",IF('ORDENES'!$D476="","-",'ORDENES'!$D476))</f>
        <v/>
      </c>
      <c r="J498" s="3">
        <f>IF('ORDENES'!$A476="","",IF('ORDENES'!$E476="","-",'ORDENES'!$E476))</f>
        <v/>
      </c>
      <c r="K498" s="12">
        <f>IF('ORDENES'!$A476="","",IF('ORDENES'!$M476="",0,'ORDENES'!$M476))</f>
        <v/>
      </c>
      <c r="L498" s="3">
        <f>IF('ORDENES'!$A476="","",IF('ORDENES'!$N476="","-",'ORDENES'!$N476))</f>
        <v/>
      </c>
      <c r="M498" s="3">
        <f>IF('ORDENES'!$A476="","",'ORDENES'!$AA476)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IF('ORDENES'!$A477="","",IF('ORDENES'!$AC477="","-",'ORDENES'!$AC477))</f>
        <v/>
      </c>
      <c r="D499" s="3">
        <f>IF('ORDENES'!$A477="","",IF('ORDENES'!$V477="","-",'ORDENES'!$V477))</f>
        <v/>
      </c>
      <c r="E499" s="3">
        <f>IF('ORDENES'!$A477="","",IF('ORDENES'!$U477="","-",'ORDENES'!$U477))</f>
        <v/>
      </c>
      <c r="F499" s="3">
        <f>IF('ORDENES'!$A477="","",IF('ORDENES'!$W477="","-",'ORDENES'!$W477))</f>
        <v/>
      </c>
      <c r="G499" s="3">
        <f>IF('ORDENES'!$A477="","",IF('ORDENES'!$AB477="","-",'ORDENES'!$AB477))</f>
        <v/>
      </c>
      <c r="H499" s="3">
        <f>IF('ORDENES'!$A477="","",IF('ORDENES'!$AN477="","-",'ORDENES'!$AN477))</f>
        <v/>
      </c>
      <c r="I499" s="3">
        <f>IF('ORDENES'!$A477="","",IF('ORDENES'!$D477="","-",'ORDENES'!$D477))</f>
        <v/>
      </c>
      <c r="J499" s="3">
        <f>IF('ORDENES'!$A477="","",IF('ORDENES'!$E477="","-",'ORDENES'!$E477))</f>
        <v/>
      </c>
      <c r="K499" s="12">
        <f>IF('ORDENES'!$A477="","",IF('ORDENES'!$M477="",0,'ORDENES'!$M477))</f>
        <v/>
      </c>
      <c r="L499" s="3">
        <f>IF('ORDENES'!$A477="","",IF('ORDENES'!$N477="","-",'ORDENES'!$N477))</f>
        <v/>
      </c>
      <c r="M499" s="3">
        <f>IF('ORDENES'!$A477="","",'ORDENES'!$AA477)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IF('ORDENES'!$A478="","",IF('ORDENES'!$AC478="","-",'ORDENES'!$AC478))</f>
        <v/>
      </c>
      <c r="D500" s="3">
        <f>IF('ORDENES'!$A478="","",IF('ORDENES'!$V478="","-",'ORDENES'!$V478))</f>
        <v/>
      </c>
      <c r="E500" s="3">
        <f>IF('ORDENES'!$A478="","",IF('ORDENES'!$U478="","-",'ORDENES'!$U478))</f>
        <v/>
      </c>
      <c r="F500" s="3">
        <f>IF('ORDENES'!$A478="","",IF('ORDENES'!$W478="","-",'ORDENES'!$W478))</f>
        <v/>
      </c>
      <c r="G500" s="3">
        <f>IF('ORDENES'!$A478="","",IF('ORDENES'!$AB478="","-",'ORDENES'!$AB478))</f>
        <v/>
      </c>
      <c r="H500" s="3">
        <f>IF('ORDENES'!$A478="","",IF('ORDENES'!$AN478="","-",'ORDENES'!$AN478))</f>
        <v/>
      </c>
      <c r="I500" s="3">
        <f>IF('ORDENES'!$A478="","",IF('ORDENES'!$D478="","-",'ORDENES'!$D478))</f>
        <v/>
      </c>
      <c r="J500" s="3">
        <f>IF('ORDENES'!$A478="","",IF('ORDENES'!$E478="","-",'ORDENES'!$E478))</f>
        <v/>
      </c>
      <c r="K500" s="12">
        <f>IF('ORDENES'!$A478="","",IF('ORDENES'!$M478="",0,'ORDENES'!$M478))</f>
        <v/>
      </c>
      <c r="L500" s="3">
        <f>IF('ORDENES'!$A478="","",IF('ORDENES'!$N478="","-",'ORDENES'!$N478))</f>
        <v/>
      </c>
      <c r="M500" s="3">
        <f>IF('ORDENES'!$A478="","",'ORDENES'!$AA478)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IF('ORDENES'!$A479="","",IF('ORDENES'!$AC479="","-",'ORDENES'!$AC479))</f>
        <v/>
      </c>
      <c r="D501" s="3">
        <f>IF('ORDENES'!$A479="","",IF('ORDENES'!$V479="","-",'ORDENES'!$V479))</f>
        <v/>
      </c>
      <c r="E501" s="3">
        <f>IF('ORDENES'!$A479="","",IF('ORDENES'!$U479="","-",'ORDENES'!$U479))</f>
        <v/>
      </c>
      <c r="F501" s="3">
        <f>IF('ORDENES'!$A479="","",IF('ORDENES'!$W479="","-",'ORDENES'!$W479))</f>
        <v/>
      </c>
      <c r="G501" s="3">
        <f>IF('ORDENES'!$A479="","",IF('ORDENES'!$AB479="","-",'ORDENES'!$AB479))</f>
        <v/>
      </c>
      <c r="H501" s="3">
        <f>IF('ORDENES'!$A479="","",IF('ORDENES'!$AN479="","-",'ORDENES'!$AN479))</f>
        <v/>
      </c>
      <c r="I501" s="3">
        <f>IF('ORDENES'!$A479="","",IF('ORDENES'!$D479="","-",'ORDENES'!$D479))</f>
        <v/>
      </c>
      <c r="J501" s="3">
        <f>IF('ORDENES'!$A479="","",IF('ORDENES'!$E479="","-",'ORDENES'!$E479))</f>
        <v/>
      </c>
      <c r="K501" s="12">
        <f>IF('ORDENES'!$A479="","",IF('ORDENES'!$M479="",0,'ORDENES'!$M479))</f>
        <v/>
      </c>
      <c r="L501" s="3">
        <f>IF('ORDENES'!$A479="","",IF('ORDENES'!$N479="","-",'ORDENES'!$N479))</f>
        <v/>
      </c>
      <c r="M501" s="3">
        <f>IF('ORDENES'!$A479="","",'ORDENES'!$AA479)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IF('ORDENES'!$A480="","",IF('ORDENES'!$AC480="","-",'ORDENES'!$AC480))</f>
        <v/>
      </c>
      <c r="D502" s="3">
        <f>IF('ORDENES'!$A480="","",IF('ORDENES'!$V480="","-",'ORDENES'!$V480))</f>
        <v/>
      </c>
      <c r="E502" s="3">
        <f>IF('ORDENES'!$A480="","",IF('ORDENES'!$U480="","-",'ORDENES'!$U480))</f>
        <v/>
      </c>
      <c r="F502" s="3">
        <f>IF('ORDENES'!$A480="","",IF('ORDENES'!$W480="","-",'ORDENES'!$W480))</f>
        <v/>
      </c>
      <c r="G502" s="3">
        <f>IF('ORDENES'!$A480="","",IF('ORDENES'!$AB480="","-",'ORDENES'!$AB480))</f>
        <v/>
      </c>
      <c r="H502" s="3">
        <f>IF('ORDENES'!$A480="","",IF('ORDENES'!$AN480="","-",'ORDENES'!$AN480))</f>
        <v/>
      </c>
      <c r="I502" s="3">
        <f>IF('ORDENES'!$A480="","",IF('ORDENES'!$D480="","-",'ORDENES'!$D480))</f>
        <v/>
      </c>
      <c r="J502" s="3">
        <f>IF('ORDENES'!$A480="","",IF('ORDENES'!$E480="","-",'ORDENES'!$E480))</f>
        <v/>
      </c>
      <c r="K502" s="12">
        <f>IF('ORDENES'!$A480="","",IF('ORDENES'!$M480="",0,'ORDENES'!$M480))</f>
        <v/>
      </c>
      <c r="L502" s="3">
        <f>IF('ORDENES'!$A480="","",IF('ORDENES'!$N480="","-",'ORDENES'!$N480))</f>
        <v/>
      </c>
      <c r="M502" s="3">
        <f>IF('ORDENES'!$A480="","",'ORDENES'!$AA480)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IF('ORDENES'!$A481="","",IF('ORDENES'!$AC481="","-",'ORDENES'!$AC481))</f>
        <v/>
      </c>
      <c r="D503" s="3">
        <f>IF('ORDENES'!$A481="","",IF('ORDENES'!$V481="","-",'ORDENES'!$V481))</f>
        <v/>
      </c>
      <c r="E503" s="3">
        <f>IF('ORDENES'!$A481="","",IF('ORDENES'!$U481="","-",'ORDENES'!$U481))</f>
        <v/>
      </c>
      <c r="F503" s="3">
        <f>IF('ORDENES'!$A481="","",IF('ORDENES'!$W481="","-",'ORDENES'!$W481))</f>
        <v/>
      </c>
      <c r="G503" s="3">
        <f>IF('ORDENES'!$A481="","",IF('ORDENES'!$AB481="","-",'ORDENES'!$AB481))</f>
        <v/>
      </c>
      <c r="H503" s="3">
        <f>IF('ORDENES'!$A481="","",IF('ORDENES'!$AN481="","-",'ORDENES'!$AN481))</f>
        <v/>
      </c>
      <c r="I503" s="3">
        <f>IF('ORDENES'!$A481="","",IF('ORDENES'!$D481="","-",'ORDENES'!$D481))</f>
        <v/>
      </c>
      <c r="J503" s="3">
        <f>IF('ORDENES'!$A481="","",IF('ORDENES'!$E481="","-",'ORDENES'!$E481))</f>
        <v/>
      </c>
      <c r="K503" s="12">
        <f>IF('ORDENES'!$A481="","",IF('ORDENES'!$M481="",0,'ORDENES'!$M481))</f>
        <v/>
      </c>
      <c r="L503" s="3">
        <f>IF('ORDENES'!$A481="","",IF('ORDENES'!$N481="","-",'ORDENES'!$N481))</f>
        <v/>
      </c>
      <c r="M503" s="3">
        <f>IF('ORDENES'!$A481="","",'ORDENES'!$AA481)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IF('ORDENES'!$A482="","",IF('ORDENES'!$AC482="","-",'ORDENES'!$AC482))</f>
        <v/>
      </c>
      <c r="D504" s="3">
        <f>IF('ORDENES'!$A482="","",IF('ORDENES'!$V482="","-",'ORDENES'!$V482))</f>
        <v/>
      </c>
      <c r="E504" s="3">
        <f>IF('ORDENES'!$A482="","",IF('ORDENES'!$U482="","-",'ORDENES'!$U482))</f>
        <v/>
      </c>
      <c r="F504" s="3">
        <f>IF('ORDENES'!$A482="","",IF('ORDENES'!$W482="","-",'ORDENES'!$W482))</f>
        <v/>
      </c>
      <c r="G504" s="3">
        <f>IF('ORDENES'!$A482="","",IF('ORDENES'!$AB482="","-",'ORDENES'!$AB482))</f>
        <v/>
      </c>
      <c r="H504" s="3">
        <f>IF('ORDENES'!$A482="","",IF('ORDENES'!$AN482="","-",'ORDENES'!$AN482))</f>
        <v/>
      </c>
      <c r="I504" s="3">
        <f>IF('ORDENES'!$A482="","",IF('ORDENES'!$D482="","-",'ORDENES'!$D482))</f>
        <v/>
      </c>
      <c r="J504" s="3">
        <f>IF('ORDENES'!$A482="","",IF('ORDENES'!$E482="","-",'ORDENES'!$E482))</f>
        <v/>
      </c>
      <c r="K504" s="12">
        <f>IF('ORDENES'!$A482="","",IF('ORDENES'!$M482="",0,'ORDENES'!$M482))</f>
        <v/>
      </c>
      <c r="L504" s="3">
        <f>IF('ORDENES'!$A482="","",IF('ORDENES'!$N482="","-",'ORDENES'!$N482))</f>
        <v/>
      </c>
      <c r="M504" s="3">
        <f>IF('ORDENES'!$A482="","",'ORDENES'!$AA482)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IF('ORDENES'!$A483="","",IF('ORDENES'!$AC483="","-",'ORDENES'!$AC483))</f>
        <v/>
      </c>
      <c r="D505" s="3">
        <f>IF('ORDENES'!$A483="","",IF('ORDENES'!$V483="","-",'ORDENES'!$V483))</f>
        <v/>
      </c>
      <c r="E505" s="3">
        <f>IF('ORDENES'!$A483="","",IF('ORDENES'!$U483="","-",'ORDENES'!$U483))</f>
        <v/>
      </c>
      <c r="F505" s="3">
        <f>IF('ORDENES'!$A483="","",IF('ORDENES'!$W483="","-",'ORDENES'!$W483))</f>
        <v/>
      </c>
      <c r="G505" s="3">
        <f>IF('ORDENES'!$A483="","",IF('ORDENES'!$AB483="","-",'ORDENES'!$AB483))</f>
        <v/>
      </c>
      <c r="H505" s="3">
        <f>IF('ORDENES'!$A483="","",IF('ORDENES'!$AN483="","-",'ORDENES'!$AN483))</f>
        <v/>
      </c>
      <c r="I505" s="3">
        <f>IF('ORDENES'!$A483="","",IF('ORDENES'!$D483="","-",'ORDENES'!$D483))</f>
        <v/>
      </c>
      <c r="J505" s="3">
        <f>IF('ORDENES'!$A483="","",IF('ORDENES'!$E483="","-",'ORDENES'!$E483))</f>
        <v/>
      </c>
      <c r="K505" s="12">
        <f>IF('ORDENES'!$A483="","",IF('ORDENES'!$M483="",0,'ORDENES'!$M483))</f>
        <v/>
      </c>
      <c r="L505" s="3">
        <f>IF('ORDENES'!$A483="","",IF('ORDENES'!$N483="","-",'ORDENES'!$N483))</f>
        <v/>
      </c>
      <c r="M505" s="3">
        <f>IF('ORDENES'!$A483="","",'ORDENES'!$AA483)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IF('ORDENES'!$A484="","",IF('ORDENES'!$AC484="","-",'ORDENES'!$AC484))</f>
        <v/>
      </c>
      <c r="D506" s="3">
        <f>IF('ORDENES'!$A484="","",IF('ORDENES'!$V484="","-",'ORDENES'!$V484))</f>
        <v/>
      </c>
      <c r="E506" s="3">
        <f>IF('ORDENES'!$A484="","",IF('ORDENES'!$U484="","-",'ORDENES'!$U484))</f>
        <v/>
      </c>
      <c r="F506" s="3">
        <f>IF('ORDENES'!$A484="","",IF('ORDENES'!$W484="","-",'ORDENES'!$W484))</f>
        <v/>
      </c>
      <c r="G506" s="3">
        <f>IF('ORDENES'!$A484="","",IF('ORDENES'!$AB484="","-",'ORDENES'!$AB484))</f>
        <v/>
      </c>
      <c r="H506" s="3">
        <f>IF('ORDENES'!$A484="","",IF('ORDENES'!$AN484="","-",'ORDENES'!$AN484))</f>
        <v/>
      </c>
      <c r="I506" s="3">
        <f>IF('ORDENES'!$A484="","",IF('ORDENES'!$D484="","-",'ORDENES'!$D484))</f>
        <v/>
      </c>
      <c r="J506" s="3">
        <f>IF('ORDENES'!$A484="","",IF('ORDENES'!$E484="","-",'ORDENES'!$E484))</f>
        <v/>
      </c>
      <c r="K506" s="12">
        <f>IF('ORDENES'!$A484="","",IF('ORDENES'!$M484="",0,'ORDENES'!$M484))</f>
        <v/>
      </c>
      <c r="L506" s="3">
        <f>IF('ORDENES'!$A484="","",IF('ORDENES'!$N484="","-",'ORDENES'!$N484))</f>
        <v/>
      </c>
      <c r="M506" s="3">
        <f>IF('ORDENES'!$A484="","",'ORDENES'!$AA484)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IF('ORDENES'!$A485="","",IF('ORDENES'!$AC485="","-",'ORDENES'!$AC485))</f>
        <v/>
      </c>
      <c r="D507" s="3">
        <f>IF('ORDENES'!$A485="","",IF('ORDENES'!$V485="","-",'ORDENES'!$V485))</f>
        <v/>
      </c>
      <c r="E507" s="3">
        <f>IF('ORDENES'!$A485="","",IF('ORDENES'!$U485="","-",'ORDENES'!$U485))</f>
        <v/>
      </c>
      <c r="F507" s="3">
        <f>IF('ORDENES'!$A485="","",IF('ORDENES'!$W485="","-",'ORDENES'!$W485))</f>
        <v/>
      </c>
      <c r="G507" s="3">
        <f>IF('ORDENES'!$A485="","",IF('ORDENES'!$AB485="","-",'ORDENES'!$AB485))</f>
        <v/>
      </c>
      <c r="H507" s="3">
        <f>IF('ORDENES'!$A485="","",IF('ORDENES'!$AN485="","-",'ORDENES'!$AN485))</f>
        <v/>
      </c>
      <c r="I507" s="3">
        <f>IF('ORDENES'!$A485="","",IF('ORDENES'!$D485="","-",'ORDENES'!$D485))</f>
        <v/>
      </c>
      <c r="J507" s="3">
        <f>IF('ORDENES'!$A485="","",IF('ORDENES'!$E485="","-",'ORDENES'!$E485))</f>
        <v/>
      </c>
      <c r="K507" s="12">
        <f>IF('ORDENES'!$A485="","",IF('ORDENES'!$M485="",0,'ORDENES'!$M485))</f>
        <v/>
      </c>
      <c r="L507" s="3">
        <f>IF('ORDENES'!$A485="","",IF('ORDENES'!$N485="","-",'ORDENES'!$N485))</f>
        <v/>
      </c>
      <c r="M507" s="3">
        <f>IF('ORDENES'!$A485="","",'ORDENES'!$AA485)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IF('ORDENES'!$A486="","",IF('ORDENES'!$AC486="","-",'ORDENES'!$AC486))</f>
        <v/>
      </c>
      <c r="D508" s="3">
        <f>IF('ORDENES'!$A486="","",IF('ORDENES'!$V486="","-",'ORDENES'!$V486))</f>
        <v/>
      </c>
      <c r="E508" s="3">
        <f>IF('ORDENES'!$A486="","",IF('ORDENES'!$U486="","-",'ORDENES'!$U486))</f>
        <v/>
      </c>
      <c r="F508" s="3">
        <f>IF('ORDENES'!$A486="","",IF('ORDENES'!$W486="","-",'ORDENES'!$W486))</f>
        <v/>
      </c>
      <c r="G508" s="3">
        <f>IF('ORDENES'!$A486="","",IF('ORDENES'!$AB486="","-",'ORDENES'!$AB486))</f>
        <v/>
      </c>
      <c r="H508" s="3">
        <f>IF('ORDENES'!$A486="","",IF('ORDENES'!$AN486="","-",'ORDENES'!$AN486))</f>
        <v/>
      </c>
      <c r="I508" s="3">
        <f>IF('ORDENES'!$A486="","",IF('ORDENES'!$D486="","-",'ORDENES'!$D486))</f>
        <v/>
      </c>
      <c r="J508" s="3">
        <f>IF('ORDENES'!$A486="","",IF('ORDENES'!$E486="","-",'ORDENES'!$E486))</f>
        <v/>
      </c>
      <c r="K508" s="12">
        <f>IF('ORDENES'!$A486="","",IF('ORDENES'!$M486="",0,'ORDENES'!$M486))</f>
        <v/>
      </c>
      <c r="L508" s="3">
        <f>IF('ORDENES'!$A486="","",IF('ORDENES'!$N486="","-",'ORDENES'!$N486))</f>
        <v/>
      </c>
      <c r="M508" s="3">
        <f>IF('ORDENES'!$A486="","",'ORDENES'!$AA486)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IF('ORDENES'!$A487="","",IF('ORDENES'!$AC487="","-",'ORDENES'!$AC487))</f>
        <v/>
      </c>
      <c r="D509" s="3">
        <f>IF('ORDENES'!$A487="","",IF('ORDENES'!$V487="","-",'ORDENES'!$V487))</f>
        <v/>
      </c>
      <c r="E509" s="3">
        <f>IF('ORDENES'!$A487="","",IF('ORDENES'!$U487="","-",'ORDENES'!$U487))</f>
        <v/>
      </c>
      <c r="F509" s="3">
        <f>IF('ORDENES'!$A487="","",IF('ORDENES'!$W487="","-",'ORDENES'!$W487))</f>
        <v/>
      </c>
      <c r="G509" s="3">
        <f>IF('ORDENES'!$A487="","",IF('ORDENES'!$AB487="","-",'ORDENES'!$AB487))</f>
        <v/>
      </c>
      <c r="H509" s="3">
        <f>IF('ORDENES'!$A487="","",IF('ORDENES'!$AN487="","-",'ORDENES'!$AN487))</f>
        <v/>
      </c>
      <c r="I509" s="3">
        <f>IF('ORDENES'!$A487="","",IF('ORDENES'!$D487="","-",'ORDENES'!$D487))</f>
        <v/>
      </c>
      <c r="J509" s="3">
        <f>IF('ORDENES'!$A487="","",IF('ORDENES'!$E487="","-",'ORDENES'!$E487))</f>
        <v/>
      </c>
      <c r="K509" s="12">
        <f>IF('ORDENES'!$A487="","",IF('ORDENES'!$M487="",0,'ORDENES'!$M487))</f>
        <v/>
      </c>
      <c r="L509" s="3">
        <f>IF('ORDENES'!$A487="","",IF('ORDENES'!$N487="","-",'ORDENES'!$N487))</f>
        <v/>
      </c>
      <c r="M509" s="3">
        <f>IF('ORDENES'!$A487="","",'ORDENES'!$AA487)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IF('ORDENES'!$A488="","",IF('ORDENES'!$AC488="","-",'ORDENES'!$AC488))</f>
        <v/>
      </c>
      <c r="D510" s="3">
        <f>IF('ORDENES'!$A488="","",IF('ORDENES'!$V488="","-",'ORDENES'!$V488))</f>
        <v/>
      </c>
      <c r="E510" s="3">
        <f>IF('ORDENES'!$A488="","",IF('ORDENES'!$U488="","-",'ORDENES'!$U488))</f>
        <v/>
      </c>
      <c r="F510" s="3">
        <f>IF('ORDENES'!$A488="","",IF('ORDENES'!$W488="","-",'ORDENES'!$W488))</f>
        <v/>
      </c>
      <c r="G510" s="3">
        <f>IF('ORDENES'!$A488="","",IF('ORDENES'!$AB488="","-",'ORDENES'!$AB488))</f>
        <v/>
      </c>
      <c r="H510" s="3">
        <f>IF('ORDENES'!$A488="","",IF('ORDENES'!$AN488="","-",'ORDENES'!$AN488))</f>
        <v/>
      </c>
      <c r="I510" s="3">
        <f>IF('ORDENES'!$A488="","",IF('ORDENES'!$D488="","-",'ORDENES'!$D488))</f>
        <v/>
      </c>
      <c r="J510" s="3">
        <f>IF('ORDENES'!$A488="","",IF('ORDENES'!$E488="","-",'ORDENES'!$E488))</f>
        <v/>
      </c>
      <c r="K510" s="12">
        <f>IF('ORDENES'!$A488="","",IF('ORDENES'!$M488="",0,'ORDENES'!$M488))</f>
        <v/>
      </c>
      <c r="L510" s="3">
        <f>IF('ORDENES'!$A488="","",IF('ORDENES'!$N488="","-",'ORDENES'!$N488))</f>
        <v/>
      </c>
      <c r="M510" s="3">
        <f>IF('ORDENES'!$A488="","",'ORDENES'!$AA488)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IF('ORDENES'!$A489="","",IF('ORDENES'!$AC489="","-",'ORDENES'!$AC489))</f>
        <v/>
      </c>
      <c r="D511" s="3">
        <f>IF('ORDENES'!$A489="","",IF('ORDENES'!$V489="","-",'ORDENES'!$V489))</f>
        <v/>
      </c>
      <c r="E511" s="3">
        <f>IF('ORDENES'!$A489="","",IF('ORDENES'!$U489="","-",'ORDENES'!$U489))</f>
        <v/>
      </c>
      <c r="F511" s="3">
        <f>IF('ORDENES'!$A489="","",IF('ORDENES'!$W489="","-",'ORDENES'!$W489))</f>
        <v/>
      </c>
      <c r="G511" s="3">
        <f>IF('ORDENES'!$A489="","",IF('ORDENES'!$AB489="","-",'ORDENES'!$AB489))</f>
        <v/>
      </c>
      <c r="H511" s="3">
        <f>IF('ORDENES'!$A489="","",IF('ORDENES'!$AN489="","-",'ORDENES'!$AN489))</f>
        <v/>
      </c>
      <c r="I511" s="3">
        <f>IF('ORDENES'!$A489="","",IF('ORDENES'!$D489="","-",'ORDENES'!$D489))</f>
        <v/>
      </c>
      <c r="J511" s="3">
        <f>IF('ORDENES'!$A489="","",IF('ORDENES'!$E489="","-",'ORDENES'!$E489))</f>
        <v/>
      </c>
      <c r="K511" s="12">
        <f>IF('ORDENES'!$A489="","",IF('ORDENES'!$M489="",0,'ORDENES'!$M489))</f>
        <v/>
      </c>
      <c r="L511" s="3">
        <f>IF('ORDENES'!$A489="","",IF('ORDENES'!$N489="","-",'ORDENES'!$N489))</f>
        <v/>
      </c>
      <c r="M511" s="3">
        <f>IF('ORDENES'!$A489="","",'ORDENES'!$AA489)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IF('ORDENES'!$A490="","",IF('ORDENES'!$AC490="","-",'ORDENES'!$AC490))</f>
        <v/>
      </c>
      <c r="D512" s="3">
        <f>IF('ORDENES'!$A490="","",IF('ORDENES'!$V490="","-",'ORDENES'!$V490))</f>
        <v/>
      </c>
      <c r="E512" s="3">
        <f>IF('ORDENES'!$A490="","",IF('ORDENES'!$U490="","-",'ORDENES'!$U490))</f>
        <v/>
      </c>
      <c r="F512" s="3">
        <f>IF('ORDENES'!$A490="","",IF('ORDENES'!$W490="","-",'ORDENES'!$W490))</f>
        <v/>
      </c>
      <c r="G512" s="3">
        <f>IF('ORDENES'!$A490="","",IF('ORDENES'!$AB490="","-",'ORDENES'!$AB490))</f>
        <v/>
      </c>
      <c r="H512" s="3">
        <f>IF('ORDENES'!$A490="","",IF('ORDENES'!$AN490="","-",'ORDENES'!$AN490))</f>
        <v/>
      </c>
      <c r="I512" s="3">
        <f>IF('ORDENES'!$A490="","",IF('ORDENES'!$D490="","-",'ORDENES'!$D490))</f>
        <v/>
      </c>
      <c r="J512" s="3">
        <f>IF('ORDENES'!$A490="","",IF('ORDENES'!$E490="","-",'ORDENES'!$E490))</f>
        <v/>
      </c>
      <c r="K512" s="12">
        <f>IF('ORDENES'!$A490="","",IF('ORDENES'!$M490="",0,'ORDENES'!$M490))</f>
        <v/>
      </c>
      <c r="L512" s="3">
        <f>IF('ORDENES'!$A490="","",IF('ORDENES'!$N490="","-",'ORDENES'!$N490))</f>
        <v/>
      </c>
      <c r="M512" s="3">
        <f>IF('ORDENES'!$A490="","",'ORDENES'!$AA490)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IF('ORDENES'!$A491="","",IF('ORDENES'!$AC491="","-",'ORDENES'!$AC491))</f>
        <v/>
      </c>
      <c r="D513" s="3">
        <f>IF('ORDENES'!$A491="","",IF('ORDENES'!$V491="","-",'ORDENES'!$V491))</f>
        <v/>
      </c>
      <c r="E513" s="3">
        <f>IF('ORDENES'!$A491="","",IF('ORDENES'!$U491="","-",'ORDENES'!$U491))</f>
        <v/>
      </c>
      <c r="F513" s="3">
        <f>IF('ORDENES'!$A491="","",IF('ORDENES'!$W491="","-",'ORDENES'!$W491))</f>
        <v/>
      </c>
      <c r="G513" s="3">
        <f>IF('ORDENES'!$A491="","",IF('ORDENES'!$AB491="","-",'ORDENES'!$AB491))</f>
        <v/>
      </c>
      <c r="H513" s="3">
        <f>IF('ORDENES'!$A491="","",IF('ORDENES'!$AN491="","-",'ORDENES'!$AN491))</f>
        <v/>
      </c>
      <c r="I513" s="3">
        <f>IF('ORDENES'!$A491="","",IF('ORDENES'!$D491="","-",'ORDENES'!$D491))</f>
        <v/>
      </c>
      <c r="J513" s="3">
        <f>IF('ORDENES'!$A491="","",IF('ORDENES'!$E491="","-",'ORDENES'!$E491))</f>
        <v/>
      </c>
      <c r="K513" s="12">
        <f>IF('ORDENES'!$A491="","",IF('ORDENES'!$M491="",0,'ORDENES'!$M491))</f>
        <v/>
      </c>
      <c r="L513" s="3">
        <f>IF('ORDENES'!$A491="","",IF('ORDENES'!$N491="","-",'ORDENES'!$N491))</f>
        <v/>
      </c>
      <c r="M513" s="3">
        <f>IF('ORDENES'!$A491="","",'ORDENES'!$AA491)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IF('ORDENES'!$A492="","",IF('ORDENES'!$AC492="","-",'ORDENES'!$AC492))</f>
        <v/>
      </c>
      <c r="D514" s="3">
        <f>IF('ORDENES'!$A492="","",IF('ORDENES'!$V492="","-",'ORDENES'!$V492))</f>
        <v/>
      </c>
      <c r="E514" s="3">
        <f>IF('ORDENES'!$A492="","",IF('ORDENES'!$U492="","-",'ORDENES'!$U492))</f>
        <v/>
      </c>
      <c r="F514" s="3">
        <f>IF('ORDENES'!$A492="","",IF('ORDENES'!$W492="","-",'ORDENES'!$W492))</f>
        <v/>
      </c>
      <c r="G514" s="3">
        <f>IF('ORDENES'!$A492="","",IF('ORDENES'!$AB492="","-",'ORDENES'!$AB492))</f>
        <v/>
      </c>
      <c r="H514" s="3">
        <f>IF('ORDENES'!$A492="","",IF('ORDENES'!$AN492="","-",'ORDENES'!$AN492))</f>
        <v/>
      </c>
      <c r="I514" s="3">
        <f>IF('ORDENES'!$A492="","",IF('ORDENES'!$D492="","-",'ORDENES'!$D492))</f>
        <v/>
      </c>
      <c r="J514" s="3">
        <f>IF('ORDENES'!$A492="","",IF('ORDENES'!$E492="","-",'ORDENES'!$E492))</f>
        <v/>
      </c>
      <c r="K514" s="12">
        <f>IF('ORDENES'!$A492="","",IF('ORDENES'!$M492="",0,'ORDENES'!$M492))</f>
        <v/>
      </c>
      <c r="L514" s="3">
        <f>IF('ORDENES'!$A492="","",IF('ORDENES'!$N492="","-",'ORDENES'!$N492))</f>
        <v/>
      </c>
      <c r="M514" s="3">
        <f>IF('ORDENES'!$A492="","",'ORDENES'!$AA492)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IF('ORDENES'!$A493="","",IF('ORDENES'!$AC493="","-",'ORDENES'!$AC493))</f>
        <v/>
      </c>
      <c r="D515" s="3">
        <f>IF('ORDENES'!$A493="","",IF('ORDENES'!$V493="","-",'ORDENES'!$V493))</f>
        <v/>
      </c>
      <c r="E515" s="3">
        <f>IF('ORDENES'!$A493="","",IF('ORDENES'!$U493="","-",'ORDENES'!$U493))</f>
        <v/>
      </c>
      <c r="F515" s="3">
        <f>IF('ORDENES'!$A493="","",IF('ORDENES'!$W493="","-",'ORDENES'!$W493))</f>
        <v/>
      </c>
      <c r="G515" s="3">
        <f>IF('ORDENES'!$A493="","",IF('ORDENES'!$AB493="","-",'ORDENES'!$AB493))</f>
        <v/>
      </c>
      <c r="H515" s="3">
        <f>IF('ORDENES'!$A493="","",IF('ORDENES'!$AN493="","-",'ORDENES'!$AN493))</f>
        <v/>
      </c>
      <c r="I515" s="3">
        <f>IF('ORDENES'!$A493="","",IF('ORDENES'!$D493="","-",'ORDENES'!$D493))</f>
        <v/>
      </c>
      <c r="J515" s="3">
        <f>IF('ORDENES'!$A493="","",IF('ORDENES'!$E493="","-",'ORDENES'!$E493))</f>
        <v/>
      </c>
      <c r="K515" s="12">
        <f>IF('ORDENES'!$A493="","",IF('ORDENES'!$M493="",0,'ORDENES'!$M493))</f>
        <v/>
      </c>
      <c r="L515" s="3">
        <f>IF('ORDENES'!$A493="","",IF('ORDENES'!$N493="","-",'ORDENES'!$N493))</f>
        <v/>
      </c>
      <c r="M515" s="3">
        <f>IF('ORDENES'!$A493="","",'ORDENES'!$AA493)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IF('ORDENES'!$A494="","",IF('ORDENES'!$AC494="","-",'ORDENES'!$AC494))</f>
        <v/>
      </c>
      <c r="D516" s="3">
        <f>IF('ORDENES'!$A494="","",IF('ORDENES'!$V494="","-",'ORDENES'!$V494))</f>
        <v/>
      </c>
      <c r="E516" s="3">
        <f>IF('ORDENES'!$A494="","",IF('ORDENES'!$U494="","-",'ORDENES'!$U494))</f>
        <v/>
      </c>
      <c r="F516" s="3">
        <f>IF('ORDENES'!$A494="","",IF('ORDENES'!$W494="","-",'ORDENES'!$W494))</f>
        <v/>
      </c>
      <c r="G516" s="3">
        <f>IF('ORDENES'!$A494="","",IF('ORDENES'!$AB494="","-",'ORDENES'!$AB494))</f>
        <v/>
      </c>
      <c r="H516" s="3">
        <f>IF('ORDENES'!$A494="","",IF('ORDENES'!$AN494="","-",'ORDENES'!$AN494))</f>
        <v/>
      </c>
      <c r="I516" s="3">
        <f>IF('ORDENES'!$A494="","",IF('ORDENES'!$D494="","-",'ORDENES'!$D494))</f>
        <v/>
      </c>
      <c r="J516" s="3">
        <f>IF('ORDENES'!$A494="","",IF('ORDENES'!$E494="","-",'ORDENES'!$E494))</f>
        <v/>
      </c>
      <c r="K516" s="12">
        <f>IF('ORDENES'!$A494="","",IF('ORDENES'!$M494="",0,'ORDENES'!$M494))</f>
        <v/>
      </c>
      <c r="L516" s="3">
        <f>IF('ORDENES'!$A494="","",IF('ORDENES'!$N494="","-",'ORDENES'!$N494))</f>
        <v/>
      </c>
      <c r="M516" s="3">
        <f>IF('ORDENES'!$A494="","",'ORDENES'!$AA494)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IF('ORDENES'!$A495="","",IF('ORDENES'!$AC495="","-",'ORDENES'!$AC495))</f>
        <v/>
      </c>
      <c r="D517" s="3">
        <f>IF('ORDENES'!$A495="","",IF('ORDENES'!$V495="","-",'ORDENES'!$V495))</f>
        <v/>
      </c>
      <c r="E517" s="3">
        <f>IF('ORDENES'!$A495="","",IF('ORDENES'!$U495="","-",'ORDENES'!$U495))</f>
        <v/>
      </c>
      <c r="F517" s="3">
        <f>IF('ORDENES'!$A495="","",IF('ORDENES'!$W495="","-",'ORDENES'!$W495))</f>
        <v/>
      </c>
      <c r="G517" s="3">
        <f>IF('ORDENES'!$A495="","",IF('ORDENES'!$AB495="","-",'ORDENES'!$AB495))</f>
        <v/>
      </c>
      <c r="H517" s="3">
        <f>IF('ORDENES'!$A495="","",IF('ORDENES'!$AN495="","-",'ORDENES'!$AN495))</f>
        <v/>
      </c>
      <c r="I517" s="3">
        <f>IF('ORDENES'!$A495="","",IF('ORDENES'!$D495="","-",'ORDENES'!$D495))</f>
        <v/>
      </c>
      <c r="J517" s="3">
        <f>IF('ORDENES'!$A495="","",IF('ORDENES'!$E495="","-",'ORDENES'!$E495))</f>
        <v/>
      </c>
      <c r="K517" s="12">
        <f>IF('ORDENES'!$A495="","",IF('ORDENES'!$M495="",0,'ORDENES'!$M495))</f>
        <v/>
      </c>
      <c r="L517" s="3">
        <f>IF('ORDENES'!$A495="","",IF('ORDENES'!$N495="","-",'ORDENES'!$N495))</f>
        <v/>
      </c>
      <c r="M517" s="3">
        <f>IF('ORDENES'!$A495="","",'ORDENES'!$AA495)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IF('ORDENES'!$A496="","",IF('ORDENES'!$AC496="","-",'ORDENES'!$AC496))</f>
        <v/>
      </c>
      <c r="D518" s="3">
        <f>IF('ORDENES'!$A496="","",IF('ORDENES'!$V496="","-",'ORDENES'!$V496))</f>
        <v/>
      </c>
      <c r="E518" s="3">
        <f>IF('ORDENES'!$A496="","",IF('ORDENES'!$U496="","-",'ORDENES'!$U496))</f>
        <v/>
      </c>
      <c r="F518" s="3">
        <f>IF('ORDENES'!$A496="","",IF('ORDENES'!$W496="","-",'ORDENES'!$W496))</f>
        <v/>
      </c>
      <c r="G518" s="3">
        <f>IF('ORDENES'!$A496="","",IF('ORDENES'!$AB496="","-",'ORDENES'!$AB496))</f>
        <v/>
      </c>
      <c r="H518" s="3">
        <f>IF('ORDENES'!$A496="","",IF('ORDENES'!$AN496="","-",'ORDENES'!$AN496))</f>
        <v/>
      </c>
      <c r="I518" s="3">
        <f>IF('ORDENES'!$A496="","",IF('ORDENES'!$D496="","-",'ORDENES'!$D496))</f>
        <v/>
      </c>
      <c r="J518" s="3">
        <f>IF('ORDENES'!$A496="","",IF('ORDENES'!$E496="","-",'ORDENES'!$E496))</f>
        <v/>
      </c>
      <c r="K518" s="12">
        <f>IF('ORDENES'!$A496="","",IF('ORDENES'!$M496="",0,'ORDENES'!$M496))</f>
        <v/>
      </c>
      <c r="L518" s="3">
        <f>IF('ORDENES'!$A496="","",IF('ORDENES'!$N496="","-",'ORDENES'!$N496))</f>
        <v/>
      </c>
      <c r="M518" s="3">
        <f>IF('ORDENES'!$A496="","",'ORDENES'!$AA496)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IF('ORDENES'!$A497="","",IF('ORDENES'!$AC497="","-",'ORDENES'!$AC497))</f>
        <v/>
      </c>
      <c r="D519" s="3">
        <f>IF('ORDENES'!$A497="","",IF('ORDENES'!$V497="","-",'ORDENES'!$V497))</f>
        <v/>
      </c>
      <c r="E519" s="3">
        <f>IF('ORDENES'!$A497="","",IF('ORDENES'!$U497="","-",'ORDENES'!$U497))</f>
        <v/>
      </c>
      <c r="F519" s="3">
        <f>IF('ORDENES'!$A497="","",IF('ORDENES'!$W497="","-",'ORDENES'!$W497))</f>
        <v/>
      </c>
      <c r="G519" s="3">
        <f>IF('ORDENES'!$A497="","",IF('ORDENES'!$AB497="","-",'ORDENES'!$AB497))</f>
        <v/>
      </c>
      <c r="H519" s="3">
        <f>IF('ORDENES'!$A497="","",IF('ORDENES'!$AN497="","-",'ORDENES'!$AN497))</f>
        <v/>
      </c>
      <c r="I519" s="3">
        <f>IF('ORDENES'!$A497="","",IF('ORDENES'!$D497="","-",'ORDENES'!$D497))</f>
        <v/>
      </c>
      <c r="J519" s="3">
        <f>IF('ORDENES'!$A497="","",IF('ORDENES'!$E497="","-",'ORDENES'!$E497))</f>
        <v/>
      </c>
      <c r="K519" s="12">
        <f>IF('ORDENES'!$A497="","",IF('ORDENES'!$M497="",0,'ORDENES'!$M497))</f>
        <v/>
      </c>
      <c r="L519" s="3">
        <f>IF('ORDENES'!$A497="","",IF('ORDENES'!$N497="","-",'ORDENES'!$N497))</f>
        <v/>
      </c>
      <c r="M519" s="3">
        <f>IF('ORDENES'!$A497="","",'ORDENES'!$AA497)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IF('ORDENES'!$A498="","",IF('ORDENES'!$AC498="","-",'ORDENES'!$AC498))</f>
        <v/>
      </c>
      <c r="D520" s="3">
        <f>IF('ORDENES'!$A498="","",IF('ORDENES'!$V498="","-",'ORDENES'!$V498))</f>
        <v/>
      </c>
      <c r="E520" s="3">
        <f>IF('ORDENES'!$A498="","",IF('ORDENES'!$U498="","-",'ORDENES'!$U498))</f>
        <v/>
      </c>
      <c r="F520" s="3">
        <f>IF('ORDENES'!$A498="","",IF('ORDENES'!$W498="","-",'ORDENES'!$W498))</f>
        <v/>
      </c>
      <c r="G520" s="3">
        <f>IF('ORDENES'!$A498="","",IF('ORDENES'!$AB498="","-",'ORDENES'!$AB498))</f>
        <v/>
      </c>
      <c r="H520" s="3">
        <f>IF('ORDENES'!$A498="","",IF('ORDENES'!$AN498="","-",'ORDENES'!$AN498))</f>
        <v/>
      </c>
      <c r="I520" s="3">
        <f>IF('ORDENES'!$A498="","",IF('ORDENES'!$D498="","-",'ORDENES'!$D498))</f>
        <v/>
      </c>
      <c r="J520" s="3">
        <f>IF('ORDENES'!$A498="","",IF('ORDENES'!$E498="","-",'ORDENES'!$E498))</f>
        <v/>
      </c>
      <c r="K520" s="12">
        <f>IF('ORDENES'!$A498="","",IF('ORDENES'!$M498="",0,'ORDENES'!$M498))</f>
        <v/>
      </c>
      <c r="L520" s="3">
        <f>IF('ORDENES'!$A498="","",IF('ORDENES'!$N498="","-",'ORDENES'!$N498))</f>
        <v/>
      </c>
      <c r="M520" s="3">
        <f>IF('ORDENES'!$A498="","",'ORDENES'!$AA498)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IF('ORDENES'!$A499="","",IF('ORDENES'!$AC499="","-",'ORDENES'!$AC499))</f>
        <v/>
      </c>
      <c r="D521" s="3">
        <f>IF('ORDENES'!$A499="","",IF('ORDENES'!$V499="","-",'ORDENES'!$V499))</f>
        <v/>
      </c>
      <c r="E521" s="3">
        <f>IF('ORDENES'!$A499="","",IF('ORDENES'!$U499="","-",'ORDENES'!$U499))</f>
        <v/>
      </c>
      <c r="F521" s="3">
        <f>IF('ORDENES'!$A499="","",IF('ORDENES'!$W499="","-",'ORDENES'!$W499))</f>
        <v/>
      </c>
      <c r="G521" s="3">
        <f>IF('ORDENES'!$A499="","",IF('ORDENES'!$AB499="","-",'ORDENES'!$AB499))</f>
        <v/>
      </c>
      <c r="H521" s="3">
        <f>IF('ORDENES'!$A499="","",IF('ORDENES'!$AN499="","-",'ORDENES'!$AN499))</f>
        <v/>
      </c>
      <c r="I521" s="3">
        <f>IF('ORDENES'!$A499="","",IF('ORDENES'!$D499="","-",'ORDENES'!$D499))</f>
        <v/>
      </c>
      <c r="J521" s="3">
        <f>IF('ORDENES'!$A499="","",IF('ORDENES'!$E499="","-",'ORDENES'!$E499))</f>
        <v/>
      </c>
      <c r="K521" s="12">
        <f>IF('ORDENES'!$A499="","",IF('ORDENES'!$M499="",0,'ORDENES'!$M499))</f>
        <v/>
      </c>
      <c r="L521" s="3">
        <f>IF('ORDENES'!$A499="","",IF('ORDENES'!$N499="","-",'ORDENES'!$N499))</f>
        <v/>
      </c>
      <c r="M521" s="3">
        <f>IF('ORDENES'!$A499="","",'ORDENES'!$AA499)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IF('ORDENES'!$A500="","",IF('ORDENES'!$AC500="","-",'ORDENES'!$AC500))</f>
        <v/>
      </c>
      <c r="D522" s="3">
        <f>IF('ORDENES'!$A500="","",IF('ORDENES'!$V500="","-",'ORDENES'!$V500))</f>
        <v/>
      </c>
      <c r="E522" s="3">
        <f>IF('ORDENES'!$A500="","",IF('ORDENES'!$U500="","-",'ORDENES'!$U500))</f>
        <v/>
      </c>
      <c r="F522" s="3">
        <f>IF('ORDENES'!$A500="","",IF('ORDENES'!$W500="","-",'ORDENES'!$W500))</f>
        <v/>
      </c>
      <c r="G522" s="3">
        <f>IF('ORDENES'!$A500="","",IF('ORDENES'!$AB500="","-",'ORDENES'!$AB500))</f>
        <v/>
      </c>
      <c r="H522" s="3">
        <f>IF('ORDENES'!$A500="","",IF('ORDENES'!$AN500="","-",'ORDENES'!$AN500))</f>
        <v/>
      </c>
      <c r="I522" s="3">
        <f>IF('ORDENES'!$A500="","",IF('ORDENES'!$D500="","-",'ORDENES'!$D500))</f>
        <v/>
      </c>
      <c r="J522" s="3">
        <f>IF('ORDENES'!$A500="","",IF('ORDENES'!$E500="","-",'ORDENES'!$E500))</f>
        <v/>
      </c>
      <c r="K522" s="12">
        <f>IF('ORDENES'!$A500="","",IF('ORDENES'!$M500="",0,'ORDENES'!$M500))</f>
        <v/>
      </c>
      <c r="L522" s="3">
        <f>IF('ORDENES'!$A500="","",IF('ORDENES'!$N500="","-",'ORDENES'!$N500))</f>
        <v/>
      </c>
      <c r="M522" s="3">
        <f>IF('ORDENES'!$A500="","",'ORDENES'!$AA500)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IF('ORDENES'!$A501="","",IF('ORDENES'!$AC501="","-",'ORDENES'!$AC501))</f>
        <v/>
      </c>
      <c r="D523" s="3">
        <f>IF('ORDENES'!$A501="","",IF('ORDENES'!$V501="","-",'ORDENES'!$V501))</f>
        <v/>
      </c>
      <c r="E523" s="3">
        <f>IF('ORDENES'!$A501="","",IF('ORDENES'!$U501="","-",'ORDENES'!$U501))</f>
        <v/>
      </c>
      <c r="F523" s="3">
        <f>IF('ORDENES'!$A501="","",IF('ORDENES'!$W501="","-",'ORDENES'!$W501))</f>
        <v/>
      </c>
      <c r="G523" s="3">
        <f>IF('ORDENES'!$A501="","",IF('ORDENES'!$AB501="","-",'ORDENES'!$AB501))</f>
        <v/>
      </c>
      <c r="H523" s="3">
        <f>IF('ORDENES'!$A501="","",IF('ORDENES'!$AN501="","-",'ORDENES'!$AN501))</f>
        <v/>
      </c>
      <c r="I523" s="3">
        <f>IF('ORDENES'!$A501="","",IF('ORDENES'!$D501="","-",'ORDENES'!$D501))</f>
        <v/>
      </c>
      <c r="J523" s="3">
        <f>IF('ORDENES'!$A501="","",IF('ORDENES'!$E501="","-",'ORDENES'!$E501))</f>
        <v/>
      </c>
      <c r="K523" s="12">
        <f>IF('ORDENES'!$A501="","",IF('ORDENES'!$M501="",0,'ORDENES'!$M501))</f>
        <v/>
      </c>
      <c r="L523" s="3">
        <f>IF('ORDENES'!$A501="","",IF('ORDENES'!$N501="","-",'ORDENES'!$N501))</f>
        <v/>
      </c>
      <c r="M523" s="3">
        <f>IF('ORDENES'!$A501="","",'ORDENES'!$AA501)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IF('ORDENES'!$A502="","",IF('ORDENES'!$AC502="","-",'ORDENES'!$AC502))</f>
        <v/>
      </c>
      <c r="D524" s="3">
        <f>IF('ORDENES'!$A502="","",IF('ORDENES'!$V502="","-",'ORDENES'!$V502))</f>
        <v/>
      </c>
      <c r="E524" s="3">
        <f>IF('ORDENES'!$A502="","",IF('ORDENES'!$U502="","-",'ORDENES'!$U502))</f>
        <v/>
      </c>
      <c r="F524" s="3">
        <f>IF('ORDENES'!$A502="","",IF('ORDENES'!$W502="","-",'ORDENES'!$W502))</f>
        <v/>
      </c>
      <c r="G524" s="3">
        <f>IF('ORDENES'!$A502="","",IF('ORDENES'!$AB502="","-",'ORDENES'!$AB502))</f>
        <v/>
      </c>
      <c r="H524" s="3">
        <f>IF('ORDENES'!$A502="","",IF('ORDENES'!$AN502="","-",'ORDENES'!$AN502))</f>
        <v/>
      </c>
      <c r="I524" s="3">
        <f>IF('ORDENES'!$A502="","",IF('ORDENES'!$D502="","-",'ORDENES'!$D502))</f>
        <v/>
      </c>
      <c r="J524" s="3">
        <f>IF('ORDENES'!$A502="","",IF('ORDENES'!$E502="","-",'ORDENES'!$E502))</f>
        <v/>
      </c>
      <c r="K524" s="12">
        <f>IF('ORDENES'!$A502="","",IF('ORDENES'!$M502="",0,'ORDENES'!$M502))</f>
        <v/>
      </c>
      <c r="L524" s="3">
        <f>IF('ORDENES'!$A502="","",IF('ORDENES'!$N502="","-",'ORDENES'!$N502))</f>
        <v/>
      </c>
      <c r="M524" s="3">
        <f>IF('ORDENES'!$A502="","",'ORDENES'!$AA502)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IF('ORDENES'!$A503="","",IF('ORDENES'!$AC503="","-",'ORDENES'!$AC503))</f>
        <v/>
      </c>
      <c r="D525" s="3">
        <f>IF('ORDENES'!$A503="","",IF('ORDENES'!$V503="","-",'ORDENES'!$V503))</f>
        <v/>
      </c>
      <c r="E525" s="3">
        <f>IF('ORDENES'!$A503="","",IF('ORDENES'!$U503="","-",'ORDENES'!$U503))</f>
        <v/>
      </c>
      <c r="F525" s="3">
        <f>IF('ORDENES'!$A503="","",IF('ORDENES'!$W503="","-",'ORDENES'!$W503))</f>
        <v/>
      </c>
      <c r="G525" s="3">
        <f>IF('ORDENES'!$A503="","",IF('ORDENES'!$AB503="","-",'ORDENES'!$AB503))</f>
        <v/>
      </c>
      <c r="H525" s="3">
        <f>IF('ORDENES'!$A503="","",IF('ORDENES'!$AN503="","-",'ORDENES'!$AN503))</f>
        <v/>
      </c>
      <c r="I525" s="3">
        <f>IF('ORDENES'!$A503="","",IF('ORDENES'!$D503="","-",'ORDENES'!$D503))</f>
        <v/>
      </c>
      <c r="J525" s="3">
        <f>IF('ORDENES'!$A503="","",IF('ORDENES'!$E503="","-",'ORDENES'!$E503))</f>
        <v/>
      </c>
      <c r="K525" s="12">
        <f>IF('ORDENES'!$A503="","",IF('ORDENES'!$M503="",0,'ORDENES'!$M503))</f>
        <v/>
      </c>
      <c r="L525" s="3">
        <f>IF('ORDENES'!$A503="","",IF('ORDENES'!$N503="","-",'ORDENES'!$N503))</f>
        <v/>
      </c>
      <c r="M525" s="3">
        <f>IF('ORDENES'!$A503="","",'ORDENES'!$AA503)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IF('ORDENES'!$A504="","",IF('ORDENES'!$AC504="","-",'ORDENES'!$AC504))</f>
        <v/>
      </c>
      <c r="D526" s="3">
        <f>IF('ORDENES'!$A504="","",IF('ORDENES'!$V504="","-",'ORDENES'!$V504))</f>
        <v/>
      </c>
      <c r="E526" s="3">
        <f>IF('ORDENES'!$A504="","",IF('ORDENES'!$U504="","-",'ORDENES'!$U504))</f>
        <v/>
      </c>
      <c r="F526" s="3">
        <f>IF('ORDENES'!$A504="","",IF('ORDENES'!$W504="","-",'ORDENES'!$W504))</f>
        <v/>
      </c>
      <c r="G526" s="3">
        <f>IF('ORDENES'!$A504="","",IF('ORDENES'!$AB504="","-",'ORDENES'!$AB504))</f>
        <v/>
      </c>
      <c r="H526" s="3">
        <f>IF('ORDENES'!$A504="","",IF('ORDENES'!$AN504="","-",'ORDENES'!$AN504))</f>
        <v/>
      </c>
      <c r="I526" s="3">
        <f>IF('ORDENES'!$A504="","",IF('ORDENES'!$D504="","-",'ORDENES'!$D504))</f>
        <v/>
      </c>
      <c r="J526" s="3">
        <f>IF('ORDENES'!$A504="","",IF('ORDENES'!$E504="","-",'ORDENES'!$E504))</f>
        <v/>
      </c>
      <c r="K526" s="12">
        <f>IF('ORDENES'!$A504="","",IF('ORDENES'!$M504="",0,'ORDENES'!$M504))</f>
        <v/>
      </c>
      <c r="L526" s="3">
        <f>IF('ORDENES'!$A504="","",IF('ORDENES'!$N504="","-",'ORDENES'!$N504))</f>
        <v/>
      </c>
      <c r="M526" s="3">
        <f>IF('ORDENES'!$A504="","",'ORDENES'!$AA504)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IF('ORDENES'!$A505="","",IF('ORDENES'!$AC505="","-",'ORDENES'!$AC505))</f>
        <v/>
      </c>
      <c r="D527" s="3">
        <f>IF('ORDENES'!$A505="","",IF('ORDENES'!$V505="","-",'ORDENES'!$V505))</f>
        <v/>
      </c>
      <c r="E527" s="3">
        <f>IF('ORDENES'!$A505="","",IF('ORDENES'!$U505="","-",'ORDENES'!$U505))</f>
        <v/>
      </c>
      <c r="F527" s="3">
        <f>IF('ORDENES'!$A505="","",IF('ORDENES'!$W505="","-",'ORDENES'!$W505))</f>
        <v/>
      </c>
      <c r="G527" s="3">
        <f>IF('ORDENES'!$A505="","",IF('ORDENES'!$AB505="","-",'ORDENES'!$AB505))</f>
        <v/>
      </c>
      <c r="H527" s="3">
        <f>IF('ORDENES'!$A505="","",IF('ORDENES'!$AN505="","-",'ORDENES'!$AN505))</f>
        <v/>
      </c>
      <c r="I527" s="3">
        <f>IF('ORDENES'!$A505="","",IF('ORDENES'!$D505="","-",'ORDENES'!$D505))</f>
        <v/>
      </c>
      <c r="J527" s="3">
        <f>IF('ORDENES'!$A505="","",IF('ORDENES'!$E505="","-",'ORDENES'!$E505))</f>
        <v/>
      </c>
      <c r="K527" s="12">
        <f>IF('ORDENES'!$A505="","",IF('ORDENES'!$M505="",0,'ORDENES'!$M505))</f>
        <v/>
      </c>
      <c r="L527" s="3">
        <f>IF('ORDENES'!$A505="","",IF('ORDENES'!$N505="","-",'ORDENES'!$N505))</f>
        <v/>
      </c>
      <c r="M527" s="3">
        <f>IF('ORDENES'!$A505="","",'ORDENES'!$AA505)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IF('ORDENES'!$A506="","",IF('ORDENES'!$AC506="","-",'ORDENES'!$AC506))</f>
        <v/>
      </c>
      <c r="D528" s="3">
        <f>IF('ORDENES'!$A506="","",IF('ORDENES'!$V506="","-",'ORDENES'!$V506))</f>
        <v/>
      </c>
      <c r="E528" s="3">
        <f>IF('ORDENES'!$A506="","",IF('ORDENES'!$U506="","-",'ORDENES'!$U506))</f>
        <v/>
      </c>
      <c r="F528" s="3">
        <f>IF('ORDENES'!$A506="","",IF('ORDENES'!$W506="","-",'ORDENES'!$W506))</f>
        <v/>
      </c>
      <c r="G528" s="3">
        <f>IF('ORDENES'!$A506="","",IF('ORDENES'!$AB506="","-",'ORDENES'!$AB506))</f>
        <v/>
      </c>
      <c r="H528" s="3">
        <f>IF('ORDENES'!$A506="","",IF('ORDENES'!$AN506="","-",'ORDENES'!$AN506))</f>
        <v/>
      </c>
      <c r="I528" s="3">
        <f>IF('ORDENES'!$A506="","",IF('ORDENES'!$D506="","-",'ORDENES'!$D506))</f>
        <v/>
      </c>
      <c r="J528" s="3">
        <f>IF('ORDENES'!$A506="","",IF('ORDENES'!$E506="","-",'ORDENES'!$E506))</f>
        <v/>
      </c>
      <c r="K528" s="12">
        <f>IF('ORDENES'!$A506="","",IF('ORDENES'!$M506="",0,'ORDENES'!$M506))</f>
        <v/>
      </c>
      <c r="L528" s="3">
        <f>IF('ORDENES'!$A506="","",IF('ORDENES'!$N506="","-",'ORDENES'!$N506))</f>
        <v/>
      </c>
      <c r="M528" s="3">
        <f>IF('ORDENES'!$A506="","",'ORDENES'!$AA506)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IF('ORDENES'!$A507="","",IF('ORDENES'!$AC507="","-",'ORDENES'!$AC507))</f>
        <v/>
      </c>
      <c r="D529" s="3">
        <f>IF('ORDENES'!$A507="","",IF('ORDENES'!$V507="","-",'ORDENES'!$V507))</f>
        <v/>
      </c>
      <c r="E529" s="3">
        <f>IF('ORDENES'!$A507="","",IF('ORDENES'!$U507="","-",'ORDENES'!$U507))</f>
        <v/>
      </c>
      <c r="F529" s="3">
        <f>IF('ORDENES'!$A507="","",IF('ORDENES'!$W507="","-",'ORDENES'!$W507))</f>
        <v/>
      </c>
      <c r="G529" s="3">
        <f>IF('ORDENES'!$A507="","",IF('ORDENES'!$AB507="","-",'ORDENES'!$AB507))</f>
        <v/>
      </c>
      <c r="H529" s="3">
        <f>IF('ORDENES'!$A507="","",IF('ORDENES'!$AN507="","-",'ORDENES'!$AN507))</f>
        <v/>
      </c>
      <c r="I529" s="3">
        <f>IF('ORDENES'!$A507="","",IF('ORDENES'!$D507="","-",'ORDENES'!$D507))</f>
        <v/>
      </c>
      <c r="J529" s="3">
        <f>IF('ORDENES'!$A507="","",IF('ORDENES'!$E507="","-",'ORDENES'!$E507))</f>
        <v/>
      </c>
      <c r="K529" s="12">
        <f>IF('ORDENES'!$A507="","",IF('ORDENES'!$M507="",0,'ORDENES'!$M507))</f>
        <v/>
      </c>
      <c r="L529" s="3">
        <f>IF('ORDENES'!$A507="","",IF('ORDENES'!$N507="","-",'ORDENES'!$N507))</f>
        <v/>
      </c>
      <c r="M529" s="3">
        <f>IF('ORDENES'!$A507="","",'ORDENES'!$AA507)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IF('ORDENES'!$A508="","",IF('ORDENES'!$AC508="","-",'ORDENES'!$AC508))</f>
        <v/>
      </c>
      <c r="D530" s="3">
        <f>IF('ORDENES'!$A508="","",IF('ORDENES'!$V508="","-",'ORDENES'!$V508))</f>
        <v/>
      </c>
      <c r="E530" s="3">
        <f>IF('ORDENES'!$A508="","",IF('ORDENES'!$U508="","-",'ORDENES'!$U508))</f>
        <v/>
      </c>
      <c r="F530" s="3">
        <f>IF('ORDENES'!$A508="","",IF('ORDENES'!$W508="","-",'ORDENES'!$W508))</f>
        <v/>
      </c>
      <c r="G530" s="3">
        <f>IF('ORDENES'!$A508="","",IF('ORDENES'!$AB508="","-",'ORDENES'!$AB508))</f>
        <v/>
      </c>
      <c r="H530" s="3">
        <f>IF('ORDENES'!$A508="","",IF('ORDENES'!$AN508="","-",'ORDENES'!$AN508))</f>
        <v/>
      </c>
      <c r="I530" s="3">
        <f>IF('ORDENES'!$A508="","",IF('ORDENES'!$D508="","-",'ORDENES'!$D508))</f>
        <v/>
      </c>
      <c r="J530" s="3">
        <f>IF('ORDENES'!$A508="","",IF('ORDENES'!$E508="","-",'ORDENES'!$E508))</f>
        <v/>
      </c>
      <c r="K530" s="12">
        <f>IF('ORDENES'!$A508="","",IF('ORDENES'!$M508="",0,'ORDENES'!$M508))</f>
        <v/>
      </c>
      <c r="L530" s="3">
        <f>IF('ORDENES'!$A508="","",IF('ORDENES'!$N508="","-",'ORDENES'!$N508))</f>
        <v/>
      </c>
      <c r="M530" s="3">
        <f>IF('ORDENES'!$A508="","",'ORDENES'!$AA508)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IF('ORDENES'!$A509="","",IF('ORDENES'!$AC509="","-",'ORDENES'!$AC509))</f>
        <v/>
      </c>
      <c r="D531" s="3">
        <f>IF('ORDENES'!$A509="","",IF('ORDENES'!$V509="","-",'ORDENES'!$V509))</f>
        <v/>
      </c>
      <c r="E531" s="3">
        <f>IF('ORDENES'!$A509="","",IF('ORDENES'!$U509="","-",'ORDENES'!$U509))</f>
        <v/>
      </c>
      <c r="F531" s="3">
        <f>IF('ORDENES'!$A509="","",IF('ORDENES'!$W509="","-",'ORDENES'!$W509))</f>
        <v/>
      </c>
      <c r="G531" s="3">
        <f>IF('ORDENES'!$A509="","",IF('ORDENES'!$AB509="","-",'ORDENES'!$AB509))</f>
        <v/>
      </c>
      <c r="H531" s="3">
        <f>IF('ORDENES'!$A509="","",IF('ORDENES'!$AN509="","-",'ORDENES'!$AN509))</f>
        <v/>
      </c>
      <c r="I531" s="3">
        <f>IF('ORDENES'!$A509="","",IF('ORDENES'!$D509="","-",'ORDENES'!$D509))</f>
        <v/>
      </c>
      <c r="J531" s="3">
        <f>IF('ORDENES'!$A509="","",IF('ORDENES'!$E509="","-",'ORDENES'!$E509))</f>
        <v/>
      </c>
      <c r="K531" s="12">
        <f>IF('ORDENES'!$A509="","",IF('ORDENES'!$M509="",0,'ORDENES'!$M509))</f>
        <v/>
      </c>
      <c r="L531" s="3">
        <f>IF('ORDENES'!$A509="","",IF('ORDENES'!$N509="","-",'ORDENES'!$N509))</f>
        <v/>
      </c>
      <c r="M531" s="3">
        <f>IF('ORDENES'!$A509="","",'ORDENES'!$AA509)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IF('ORDENES'!$A510="","",IF('ORDENES'!$AC510="","-",'ORDENES'!$AC510))</f>
        <v/>
      </c>
      <c r="D532" s="3">
        <f>IF('ORDENES'!$A510="","",IF('ORDENES'!$V510="","-",'ORDENES'!$V510))</f>
        <v/>
      </c>
      <c r="E532" s="3">
        <f>IF('ORDENES'!$A510="","",IF('ORDENES'!$U510="","-",'ORDENES'!$U510))</f>
        <v/>
      </c>
      <c r="F532" s="3">
        <f>IF('ORDENES'!$A510="","",IF('ORDENES'!$W510="","-",'ORDENES'!$W510))</f>
        <v/>
      </c>
      <c r="G532" s="3">
        <f>IF('ORDENES'!$A510="","",IF('ORDENES'!$AB510="","-",'ORDENES'!$AB510))</f>
        <v/>
      </c>
      <c r="H532" s="3">
        <f>IF('ORDENES'!$A510="","",IF('ORDENES'!$AN510="","-",'ORDENES'!$AN510))</f>
        <v/>
      </c>
      <c r="I532" s="3">
        <f>IF('ORDENES'!$A510="","",IF('ORDENES'!$D510="","-",'ORDENES'!$D510))</f>
        <v/>
      </c>
      <c r="J532" s="3">
        <f>IF('ORDENES'!$A510="","",IF('ORDENES'!$E510="","-",'ORDENES'!$E510))</f>
        <v/>
      </c>
      <c r="K532" s="12">
        <f>IF('ORDENES'!$A510="","",IF('ORDENES'!$M510="",0,'ORDENES'!$M510))</f>
        <v/>
      </c>
      <c r="L532" s="3">
        <f>IF('ORDENES'!$A510="","",IF('ORDENES'!$N510="","-",'ORDENES'!$N510))</f>
        <v/>
      </c>
      <c r="M532" s="3">
        <f>IF('ORDENES'!$A510="","",'ORDENES'!$AA510)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IF('ORDENES'!$A511="","",IF('ORDENES'!$AC511="","-",'ORDENES'!$AC511))</f>
        <v/>
      </c>
      <c r="D533" s="3">
        <f>IF('ORDENES'!$A511="","",IF('ORDENES'!$V511="","-",'ORDENES'!$V511))</f>
        <v/>
      </c>
      <c r="E533" s="3">
        <f>IF('ORDENES'!$A511="","",IF('ORDENES'!$U511="","-",'ORDENES'!$U511))</f>
        <v/>
      </c>
      <c r="F533" s="3">
        <f>IF('ORDENES'!$A511="","",IF('ORDENES'!$W511="","-",'ORDENES'!$W511))</f>
        <v/>
      </c>
      <c r="G533" s="3">
        <f>IF('ORDENES'!$A511="","",IF('ORDENES'!$AB511="","-",'ORDENES'!$AB511))</f>
        <v/>
      </c>
      <c r="H533" s="3">
        <f>IF('ORDENES'!$A511="","",IF('ORDENES'!$AN511="","-",'ORDENES'!$AN511))</f>
        <v/>
      </c>
      <c r="I533" s="3">
        <f>IF('ORDENES'!$A511="","",IF('ORDENES'!$D511="","-",'ORDENES'!$D511))</f>
        <v/>
      </c>
      <c r="J533" s="3">
        <f>IF('ORDENES'!$A511="","",IF('ORDENES'!$E511="","-",'ORDENES'!$E511))</f>
        <v/>
      </c>
      <c r="K533" s="12">
        <f>IF('ORDENES'!$A511="","",IF('ORDENES'!$M511="",0,'ORDENES'!$M511))</f>
        <v/>
      </c>
      <c r="L533" s="3">
        <f>IF('ORDENES'!$A511="","",IF('ORDENES'!$N511="","-",'ORDENES'!$N511))</f>
        <v/>
      </c>
      <c r="M533" s="3">
        <f>IF('ORDENES'!$A511="","",'ORDENES'!$AA511)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IF('ORDENES'!$A512="","",IF('ORDENES'!$AC512="","-",'ORDENES'!$AC512))</f>
        <v/>
      </c>
      <c r="D534" s="3">
        <f>IF('ORDENES'!$A512="","",IF('ORDENES'!$V512="","-",'ORDENES'!$V512))</f>
        <v/>
      </c>
      <c r="E534" s="3">
        <f>IF('ORDENES'!$A512="","",IF('ORDENES'!$U512="","-",'ORDENES'!$U512))</f>
        <v/>
      </c>
      <c r="F534" s="3">
        <f>IF('ORDENES'!$A512="","",IF('ORDENES'!$W512="","-",'ORDENES'!$W512))</f>
        <v/>
      </c>
      <c r="G534" s="3">
        <f>IF('ORDENES'!$A512="","",IF('ORDENES'!$AB512="","-",'ORDENES'!$AB512))</f>
        <v/>
      </c>
      <c r="H534" s="3">
        <f>IF('ORDENES'!$A512="","",IF('ORDENES'!$AN512="","-",'ORDENES'!$AN512))</f>
        <v/>
      </c>
      <c r="I534" s="3">
        <f>IF('ORDENES'!$A512="","",IF('ORDENES'!$D512="","-",'ORDENES'!$D512))</f>
        <v/>
      </c>
      <c r="J534" s="3">
        <f>IF('ORDENES'!$A512="","",IF('ORDENES'!$E512="","-",'ORDENES'!$E512))</f>
        <v/>
      </c>
      <c r="K534" s="12">
        <f>IF('ORDENES'!$A512="","",IF('ORDENES'!$M512="",0,'ORDENES'!$M512))</f>
        <v/>
      </c>
      <c r="L534" s="3">
        <f>IF('ORDENES'!$A512="","",IF('ORDENES'!$N512="","-",'ORDENES'!$N512))</f>
        <v/>
      </c>
      <c r="M534" s="3">
        <f>IF('ORDENES'!$A512="","",'ORDENES'!$AA512)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IF('ORDENES'!$A513="","",IF('ORDENES'!$AC513="","-",'ORDENES'!$AC513))</f>
        <v/>
      </c>
      <c r="D535" s="3">
        <f>IF('ORDENES'!$A513="","",IF('ORDENES'!$V513="","-",'ORDENES'!$V513))</f>
        <v/>
      </c>
      <c r="E535" s="3">
        <f>IF('ORDENES'!$A513="","",IF('ORDENES'!$U513="","-",'ORDENES'!$U513))</f>
        <v/>
      </c>
      <c r="F535" s="3">
        <f>IF('ORDENES'!$A513="","",IF('ORDENES'!$W513="","-",'ORDENES'!$W513))</f>
        <v/>
      </c>
      <c r="G535" s="3">
        <f>IF('ORDENES'!$A513="","",IF('ORDENES'!$AB513="","-",'ORDENES'!$AB513))</f>
        <v/>
      </c>
      <c r="H535" s="3">
        <f>IF('ORDENES'!$A513="","",IF('ORDENES'!$AN513="","-",'ORDENES'!$AN513))</f>
        <v/>
      </c>
      <c r="I535" s="3">
        <f>IF('ORDENES'!$A513="","",IF('ORDENES'!$D513="","-",'ORDENES'!$D513))</f>
        <v/>
      </c>
      <c r="J535" s="3">
        <f>IF('ORDENES'!$A513="","",IF('ORDENES'!$E513="","-",'ORDENES'!$E513))</f>
        <v/>
      </c>
      <c r="K535" s="12">
        <f>IF('ORDENES'!$A513="","",IF('ORDENES'!$M513="",0,'ORDENES'!$M513))</f>
        <v/>
      </c>
      <c r="L535" s="3">
        <f>IF('ORDENES'!$A513="","",IF('ORDENES'!$N513="","-",'ORDENES'!$N513))</f>
        <v/>
      </c>
      <c r="M535" s="3">
        <f>IF('ORDENES'!$A513="","",'ORDENES'!$AA513)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IF('ORDENES'!$A514="","",IF('ORDENES'!$AC514="","-",'ORDENES'!$AC514))</f>
        <v/>
      </c>
      <c r="D536" s="3">
        <f>IF('ORDENES'!$A514="","",IF('ORDENES'!$V514="","-",'ORDENES'!$V514))</f>
        <v/>
      </c>
      <c r="E536" s="3">
        <f>IF('ORDENES'!$A514="","",IF('ORDENES'!$U514="","-",'ORDENES'!$U514))</f>
        <v/>
      </c>
      <c r="F536" s="3">
        <f>IF('ORDENES'!$A514="","",IF('ORDENES'!$W514="","-",'ORDENES'!$W514))</f>
        <v/>
      </c>
      <c r="G536" s="3">
        <f>IF('ORDENES'!$A514="","",IF('ORDENES'!$AB514="","-",'ORDENES'!$AB514))</f>
        <v/>
      </c>
      <c r="H536" s="3">
        <f>IF('ORDENES'!$A514="","",IF('ORDENES'!$AN514="","-",'ORDENES'!$AN514))</f>
        <v/>
      </c>
      <c r="I536" s="3">
        <f>IF('ORDENES'!$A514="","",IF('ORDENES'!$D514="","-",'ORDENES'!$D514))</f>
        <v/>
      </c>
      <c r="J536" s="3">
        <f>IF('ORDENES'!$A514="","",IF('ORDENES'!$E514="","-",'ORDENES'!$E514))</f>
        <v/>
      </c>
      <c r="K536" s="12">
        <f>IF('ORDENES'!$A514="","",IF('ORDENES'!$M514="",0,'ORDENES'!$M514))</f>
        <v/>
      </c>
      <c r="L536" s="3">
        <f>IF('ORDENES'!$A514="","",IF('ORDENES'!$N514="","-",'ORDENES'!$N514))</f>
        <v/>
      </c>
      <c r="M536" s="3">
        <f>IF('ORDENES'!$A514="","",'ORDENES'!$AA514)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IF('ORDENES'!$A515="","",IF('ORDENES'!$AC515="","-",'ORDENES'!$AC515))</f>
        <v/>
      </c>
      <c r="D537" s="3">
        <f>IF('ORDENES'!$A515="","",IF('ORDENES'!$V515="","-",'ORDENES'!$V515))</f>
        <v/>
      </c>
      <c r="E537" s="3">
        <f>IF('ORDENES'!$A515="","",IF('ORDENES'!$U515="","-",'ORDENES'!$U515))</f>
        <v/>
      </c>
      <c r="F537" s="3">
        <f>IF('ORDENES'!$A515="","",IF('ORDENES'!$W515="","-",'ORDENES'!$W515))</f>
        <v/>
      </c>
      <c r="G537" s="3">
        <f>IF('ORDENES'!$A515="","",IF('ORDENES'!$AB515="","-",'ORDENES'!$AB515))</f>
        <v/>
      </c>
      <c r="H537" s="3">
        <f>IF('ORDENES'!$A515="","",IF('ORDENES'!$AN515="","-",'ORDENES'!$AN515))</f>
        <v/>
      </c>
      <c r="I537" s="3">
        <f>IF('ORDENES'!$A515="","",IF('ORDENES'!$D515="","-",'ORDENES'!$D515))</f>
        <v/>
      </c>
      <c r="J537" s="3">
        <f>IF('ORDENES'!$A515="","",IF('ORDENES'!$E515="","-",'ORDENES'!$E515))</f>
        <v/>
      </c>
      <c r="K537" s="12">
        <f>IF('ORDENES'!$A515="","",IF('ORDENES'!$M515="",0,'ORDENES'!$M515))</f>
        <v/>
      </c>
      <c r="L537" s="3">
        <f>IF('ORDENES'!$A515="","",IF('ORDENES'!$N515="","-",'ORDENES'!$N515))</f>
        <v/>
      </c>
      <c r="M537" s="3">
        <f>IF('ORDENES'!$A515="","",'ORDENES'!$AA515)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IF('ORDENES'!$A516="","",IF('ORDENES'!$AC516="","-",'ORDENES'!$AC516))</f>
        <v/>
      </c>
      <c r="D538" s="3">
        <f>IF('ORDENES'!$A516="","",IF('ORDENES'!$V516="","-",'ORDENES'!$V516))</f>
        <v/>
      </c>
      <c r="E538" s="3">
        <f>IF('ORDENES'!$A516="","",IF('ORDENES'!$U516="","-",'ORDENES'!$U516))</f>
        <v/>
      </c>
      <c r="F538" s="3">
        <f>IF('ORDENES'!$A516="","",IF('ORDENES'!$W516="","-",'ORDENES'!$W516))</f>
        <v/>
      </c>
      <c r="G538" s="3">
        <f>IF('ORDENES'!$A516="","",IF('ORDENES'!$AB516="","-",'ORDENES'!$AB516))</f>
        <v/>
      </c>
      <c r="H538" s="3">
        <f>IF('ORDENES'!$A516="","",IF('ORDENES'!$AN516="","-",'ORDENES'!$AN516))</f>
        <v/>
      </c>
      <c r="I538" s="3">
        <f>IF('ORDENES'!$A516="","",IF('ORDENES'!$D516="","-",'ORDENES'!$D516))</f>
        <v/>
      </c>
      <c r="J538" s="3">
        <f>IF('ORDENES'!$A516="","",IF('ORDENES'!$E516="","-",'ORDENES'!$E516))</f>
        <v/>
      </c>
      <c r="K538" s="12">
        <f>IF('ORDENES'!$A516="","",IF('ORDENES'!$M516="",0,'ORDENES'!$M516))</f>
        <v/>
      </c>
      <c r="L538" s="3">
        <f>IF('ORDENES'!$A516="","",IF('ORDENES'!$N516="","-",'ORDENES'!$N516))</f>
        <v/>
      </c>
      <c r="M538" s="3">
        <f>IF('ORDENES'!$A516="","",'ORDENES'!$AA516)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IF('ORDENES'!$A517="","",IF('ORDENES'!$AC517="","-",'ORDENES'!$AC517))</f>
        <v/>
      </c>
      <c r="D539" s="3">
        <f>IF('ORDENES'!$A517="","",IF('ORDENES'!$V517="","-",'ORDENES'!$V517))</f>
        <v/>
      </c>
      <c r="E539" s="3">
        <f>IF('ORDENES'!$A517="","",IF('ORDENES'!$U517="","-",'ORDENES'!$U517))</f>
        <v/>
      </c>
      <c r="F539" s="3">
        <f>IF('ORDENES'!$A517="","",IF('ORDENES'!$W517="","-",'ORDENES'!$W517))</f>
        <v/>
      </c>
      <c r="G539" s="3">
        <f>IF('ORDENES'!$A517="","",IF('ORDENES'!$AB517="","-",'ORDENES'!$AB517))</f>
        <v/>
      </c>
      <c r="H539" s="3">
        <f>IF('ORDENES'!$A517="","",IF('ORDENES'!$AN517="","-",'ORDENES'!$AN517))</f>
        <v/>
      </c>
      <c r="I539" s="3">
        <f>IF('ORDENES'!$A517="","",IF('ORDENES'!$D517="","-",'ORDENES'!$D517))</f>
        <v/>
      </c>
      <c r="J539" s="3">
        <f>IF('ORDENES'!$A517="","",IF('ORDENES'!$E517="","-",'ORDENES'!$E517))</f>
        <v/>
      </c>
      <c r="K539" s="12">
        <f>IF('ORDENES'!$A517="","",IF('ORDENES'!$M517="",0,'ORDENES'!$M517))</f>
        <v/>
      </c>
      <c r="L539" s="3">
        <f>IF('ORDENES'!$A517="","",IF('ORDENES'!$N517="","-",'ORDENES'!$N517))</f>
        <v/>
      </c>
      <c r="M539" s="3">
        <f>IF('ORDENES'!$A517="","",'ORDENES'!$AA517)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IF('ORDENES'!$A518="","",IF('ORDENES'!$AC518="","-",'ORDENES'!$AC518))</f>
        <v/>
      </c>
      <c r="D540" s="3">
        <f>IF('ORDENES'!$A518="","",IF('ORDENES'!$V518="","-",'ORDENES'!$V518))</f>
        <v/>
      </c>
      <c r="E540" s="3">
        <f>IF('ORDENES'!$A518="","",IF('ORDENES'!$U518="","-",'ORDENES'!$U518))</f>
        <v/>
      </c>
      <c r="F540" s="3">
        <f>IF('ORDENES'!$A518="","",IF('ORDENES'!$W518="","-",'ORDENES'!$W518))</f>
        <v/>
      </c>
      <c r="G540" s="3">
        <f>IF('ORDENES'!$A518="","",IF('ORDENES'!$AB518="","-",'ORDENES'!$AB518))</f>
        <v/>
      </c>
      <c r="H540" s="3">
        <f>IF('ORDENES'!$A518="","",IF('ORDENES'!$AN518="","-",'ORDENES'!$AN518))</f>
        <v/>
      </c>
      <c r="I540" s="3">
        <f>IF('ORDENES'!$A518="","",IF('ORDENES'!$D518="","-",'ORDENES'!$D518))</f>
        <v/>
      </c>
      <c r="J540" s="3">
        <f>IF('ORDENES'!$A518="","",IF('ORDENES'!$E518="","-",'ORDENES'!$E518))</f>
        <v/>
      </c>
      <c r="K540" s="12">
        <f>IF('ORDENES'!$A518="","",IF('ORDENES'!$M518="",0,'ORDENES'!$M518))</f>
        <v/>
      </c>
      <c r="L540" s="3">
        <f>IF('ORDENES'!$A518="","",IF('ORDENES'!$N518="","-",'ORDENES'!$N518))</f>
        <v/>
      </c>
      <c r="M540" s="3">
        <f>IF('ORDENES'!$A518="","",'ORDENES'!$AA518)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IF('ORDENES'!$A519="","",IF('ORDENES'!$AC519="","-",'ORDENES'!$AC519))</f>
        <v/>
      </c>
      <c r="D541" s="3">
        <f>IF('ORDENES'!$A519="","",IF('ORDENES'!$V519="","-",'ORDENES'!$V519))</f>
        <v/>
      </c>
      <c r="E541" s="3">
        <f>IF('ORDENES'!$A519="","",IF('ORDENES'!$U519="","-",'ORDENES'!$U519))</f>
        <v/>
      </c>
      <c r="F541" s="3">
        <f>IF('ORDENES'!$A519="","",IF('ORDENES'!$W519="","-",'ORDENES'!$W519))</f>
        <v/>
      </c>
      <c r="G541" s="3">
        <f>IF('ORDENES'!$A519="","",IF('ORDENES'!$AB519="","-",'ORDENES'!$AB519))</f>
        <v/>
      </c>
      <c r="H541" s="3">
        <f>IF('ORDENES'!$A519="","",IF('ORDENES'!$AN519="","-",'ORDENES'!$AN519))</f>
        <v/>
      </c>
      <c r="I541" s="3">
        <f>IF('ORDENES'!$A519="","",IF('ORDENES'!$D519="","-",'ORDENES'!$D519))</f>
        <v/>
      </c>
      <c r="J541" s="3">
        <f>IF('ORDENES'!$A519="","",IF('ORDENES'!$E519="","-",'ORDENES'!$E519))</f>
        <v/>
      </c>
      <c r="K541" s="12">
        <f>IF('ORDENES'!$A519="","",IF('ORDENES'!$M519="",0,'ORDENES'!$M519))</f>
        <v/>
      </c>
      <c r="L541" s="3">
        <f>IF('ORDENES'!$A519="","",IF('ORDENES'!$N519="","-",'ORDENES'!$N519))</f>
        <v/>
      </c>
      <c r="M541" s="3">
        <f>IF('ORDENES'!$A519="","",'ORDENES'!$AA519)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IF('ORDENES'!$A520="","",IF('ORDENES'!$AC520="","-",'ORDENES'!$AC520))</f>
        <v/>
      </c>
      <c r="D542" s="3">
        <f>IF('ORDENES'!$A520="","",IF('ORDENES'!$V520="","-",'ORDENES'!$V520))</f>
        <v/>
      </c>
      <c r="E542" s="3">
        <f>IF('ORDENES'!$A520="","",IF('ORDENES'!$U520="","-",'ORDENES'!$U520))</f>
        <v/>
      </c>
      <c r="F542" s="3">
        <f>IF('ORDENES'!$A520="","",IF('ORDENES'!$W520="","-",'ORDENES'!$W520))</f>
        <v/>
      </c>
      <c r="G542" s="3">
        <f>IF('ORDENES'!$A520="","",IF('ORDENES'!$AB520="","-",'ORDENES'!$AB520))</f>
        <v/>
      </c>
      <c r="H542" s="3">
        <f>IF('ORDENES'!$A520="","",IF('ORDENES'!$AN520="","-",'ORDENES'!$AN520))</f>
        <v/>
      </c>
      <c r="I542" s="3">
        <f>IF('ORDENES'!$A520="","",IF('ORDENES'!$D520="","-",'ORDENES'!$D520))</f>
        <v/>
      </c>
      <c r="J542" s="3">
        <f>IF('ORDENES'!$A520="","",IF('ORDENES'!$E520="","-",'ORDENES'!$E520))</f>
        <v/>
      </c>
      <c r="K542" s="12">
        <f>IF('ORDENES'!$A520="","",IF('ORDENES'!$M520="",0,'ORDENES'!$M520))</f>
        <v/>
      </c>
      <c r="L542" s="3">
        <f>IF('ORDENES'!$A520="","",IF('ORDENES'!$N520="","-",'ORDENES'!$N520))</f>
        <v/>
      </c>
      <c r="M542" s="3">
        <f>IF('ORDENES'!$A520="","",'ORDENES'!$AA520)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IF('ORDENES'!$A521="","",IF('ORDENES'!$AC521="","-",'ORDENES'!$AC521))</f>
        <v/>
      </c>
      <c r="D543" s="3">
        <f>IF('ORDENES'!$A521="","",IF('ORDENES'!$V521="","-",'ORDENES'!$V521))</f>
        <v/>
      </c>
      <c r="E543" s="3">
        <f>IF('ORDENES'!$A521="","",IF('ORDENES'!$U521="","-",'ORDENES'!$U521))</f>
        <v/>
      </c>
      <c r="F543" s="3">
        <f>IF('ORDENES'!$A521="","",IF('ORDENES'!$W521="","-",'ORDENES'!$W521))</f>
        <v/>
      </c>
      <c r="G543" s="3">
        <f>IF('ORDENES'!$A521="","",IF('ORDENES'!$AB521="","-",'ORDENES'!$AB521))</f>
        <v/>
      </c>
      <c r="H543" s="3">
        <f>IF('ORDENES'!$A521="","",IF('ORDENES'!$AN521="","-",'ORDENES'!$AN521))</f>
        <v/>
      </c>
      <c r="I543" s="3">
        <f>IF('ORDENES'!$A521="","",IF('ORDENES'!$D521="","-",'ORDENES'!$D521))</f>
        <v/>
      </c>
      <c r="J543" s="3">
        <f>IF('ORDENES'!$A521="","",IF('ORDENES'!$E521="","-",'ORDENES'!$E521))</f>
        <v/>
      </c>
      <c r="K543" s="12">
        <f>IF('ORDENES'!$A521="","",IF('ORDENES'!$M521="",0,'ORDENES'!$M521))</f>
        <v/>
      </c>
      <c r="L543" s="3">
        <f>IF('ORDENES'!$A521="","",IF('ORDENES'!$N521="","-",'ORDENES'!$N521))</f>
        <v/>
      </c>
      <c r="M543" s="3">
        <f>IF('ORDENES'!$A521="","",'ORDENES'!$AA521)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IF('ORDENES'!$A522="","",IF('ORDENES'!$AC522="","-",'ORDENES'!$AC522))</f>
        <v/>
      </c>
      <c r="D544" s="3">
        <f>IF('ORDENES'!$A522="","",IF('ORDENES'!$V522="","-",'ORDENES'!$V522))</f>
        <v/>
      </c>
      <c r="E544" s="3">
        <f>IF('ORDENES'!$A522="","",IF('ORDENES'!$U522="","-",'ORDENES'!$U522))</f>
        <v/>
      </c>
      <c r="F544" s="3">
        <f>IF('ORDENES'!$A522="","",IF('ORDENES'!$W522="","-",'ORDENES'!$W522))</f>
        <v/>
      </c>
      <c r="G544" s="3">
        <f>IF('ORDENES'!$A522="","",IF('ORDENES'!$AB522="","-",'ORDENES'!$AB522))</f>
        <v/>
      </c>
      <c r="H544" s="3">
        <f>IF('ORDENES'!$A522="","",IF('ORDENES'!$AN522="","-",'ORDENES'!$AN522))</f>
        <v/>
      </c>
      <c r="I544" s="3">
        <f>IF('ORDENES'!$A522="","",IF('ORDENES'!$D522="","-",'ORDENES'!$D522))</f>
        <v/>
      </c>
      <c r="J544" s="3">
        <f>IF('ORDENES'!$A522="","",IF('ORDENES'!$E522="","-",'ORDENES'!$E522))</f>
        <v/>
      </c>
      <c r="K544" s="12">
        <f>IF('ORDENES'!$A522="","",IF('ORDENES'!$M522="",0,'ORDENES'!$M522))</f>
        <v/>
      </c>
      <c r="L544" s="3">
        <f>IF('ORDENES'!$A522="","",IF('ORDENES'!$N522="","-",'ORDENES'!$N522))</f>
        <v/>
      </c>
      <c r="M544" s="3">
        <f>IF('ORDENES'!$A522="","",'ORDENES'!$AA522)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IF('ORDENES'!$A523="","",IF('ORDENES'!$AC523="","-",'ORDENES'!$AC523))</f>
        <v/>
      </c>
      <c r="D545" s="3">
        <f>IF('ORDENES'!$A523="","",IF('ORDENES'!$V523="","-",'ORDENES'!$V523))</f>
        <v/>
      </c>
      <c r="E545" s="3">
        <f>IF('ORDENES'!$A523="","",IF('ORDENES'!$U523="","-",'ORDENES'!$U523))</f>
        <v/>
      </c>
      <c r="F545" s="3">
        <f>IF('ORDENES'!$A523="","",IF('ORDENES'!$W523="","-",'ORDENES'!$W523))</f>
        <v/>
      </c>
      <c r="G545" s="3">
        <f>IF('ORDENES'!$A523="","",IF('ORDENES'!$AB523="","-",'ORDENES'!$AB523))</f>
        <v/>
      </c>
      <c r="H545" s="3">
        <f>IF('ORDENES'!$A523="","",IF('ORDENES'!$AN523="","-",'ORDENES'!$AN523))</f>
        <v/>
      </c>
      <c r="I545" s="3">
        <f>IF('ORDENES'!$A523="","",IF('ORDENES'!$D523="","-",'ORDENES'!$D523))</f>
        <v/>
      </c>
      <c r="J545" s="3">
        <f>IF('ORDENES'!$A523="","",IF('ORDENES'!$E523="","-",'ORDENES'!$E523))</f>
        <v/>
      </c>
      <c r="K545" s="12">
        <f>IF('ORDENES'!$A523="","",IF('ORDENES'!$M523="",0,'ORDENES'!$M523))</f>
        <v/>
      </c>
      <c r="L545" s="3">
        <f>IF('ORDENES'!$A523="","",IF('ORDENES'!$N523="","-",'ORDENES'!$N523))</f>
        <v/>
      </c>
      <c r="M545" s="3">
        <f>IF('ORDENES'!$A523="","",'ORDENES'!$AA523)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IF('ORDENES'!$A524="","",IF('ORDENES'!$AC524="","-",'ORDENES'!$AC524))</f>
        <v/>
      </c>
      <c r="D546" s="3">
        <f>IF('ORDENES'!$A524="","",IF('ORDENES'!$V524="","-",'ORDENES'!$V524))</f>
        <v/>
      </c>
      <c r="E546" s="3">
        <f>IF('ORDENES'!$A524="","",IF('ORDENES'!$U524="","-",'ORDENES'!$U524))</f>
        <v/>
      </c>
      <c r="F546" s="3">
        <f>IF('ORDENES'!$A524="","",IF('ORDENES'!$W524="","-",'ORDENES'!$W524))</f>
        <v/>
      </c>
      <c r="G546" s="3">
        <f>IF('ORDENES'!$A524="","",IF('ORDENES'!$AB524="","-",'ORDENES'!$AB524))</f>
        <v/>
      </c>
      <c r="H546" s="3">
        <f>IF('ORDENES'!$A524="","",IF('ORDENES'!$AN524="","-",'ORDENES'!$AN524))</f>
        <v/>
      </c>
      <c r="I546" s="3">
        <f>IF('ORDENES'!$A524="","",IF('ORDENES'!$D524="","-",'ORDENES'!$D524))</f>
        <v/>
      </c>
      <c r="J546" s="3">
        <f>IF('ORDENES'!$A524="","",IF('ORDENES'!$E524="","-",'ORDENES'!$E524))</f>
        <v/>
      </c>
      <c r="K546" s="12">
        <f>IF('ORDENES'!$A524="","",IF('ORDENES'!$M524="",0,'ORDENES'!$M524))</f>
        <v/>
      </c>
      <c r="L546" s="3">
        <f>IF('ORDENES'!$A524="","",IF('ORDENES'!$N524="","-",'ORDENES'!$N524))</f>
        <v/>
      </c>
      <c r="M546" s="3">
        <f>IF('ORDENES'!$A524="","",'ORDENES'!$AA524)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IF('ORDENES'!$A525="","",IF('ORDENES'!$AC525="","-",'ORDENES'!$AC525))</f>
        <v/>
      </c>
      <c r="D547" s="3">
        <f>IF('ORDENES'!$A525="","",IF('ORDENES'!$V525="","-",'ORDENES'!$V525))</f>
        <v/>
      </c>
      <c r="E547" s="3">
        <f>IF('ORDENES'!$A525="","",IF('ORDENES'!$U525="","-",'ORDENES'!$U525))</f>
        <v/>
      </c>
      <c r="F547" s="3">
        <f>IF('ORDENES'!$A525="","",IF('ORDENES'!$W525="","-",'ORDENES'!$W525))</f>
        <v/>
      </c>
      <c r="G547" s="3">
        <f>IF('ORDENES'!$A525="","",IF('ORDENES'!$AB525="","-",'ORDENES'!$AB525))</f>
        <v/>
      </c>
      <c r="H547" s="3">
        <f>IF('ORDENES'!$A525="","",IF('ORDENES'!$AN525="","-",'ORDENES'!$AN525))</f>
        <v/>
      </c>
      <c r="I547" s="3">
        <f>IF('ORDENES'!$A525="","",IF('ORDENES'!$D525="","-",'ORDENES'!$D525))</f>
        <v/>
      </c>
      <c r="J547" s="3">
        <f>IF('ORDENES'!$A525="","",IF('ORDENES'!$E525="","-",'ORDENES'!$E525))</f>
        <v/>
      </c>
      <c r="K547" s="12">
        <f>IF('ORDENES'!$A525="","",IF('ORDENES'!$M525="",0,'ORDENES'!$M525))</f>
        <v/>
      </c>
      <c r="L547" s="3">
        <f>IF('ORDENES'!$A525="","",IF('ORDENES'!$N525="","-",'ORDENES'!$N525))</f>
        <v/>
      </c>
      <c r="M547" s="3">
        <f>IF('ORDENES'!$A525="","",'ORDENES'!$AA525)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IF('ORDENES'!$A526="","",IF('ORDENES'!$AC526="","-",'ORDENES'!$AC526))</f>
        <v/>
      </c>
      <c r="D548" s="3">
        <f>IF('ORDENES'!$A526="","",IF('ORDENES'!$V526="","-",'ORDENES'!$V526))</f>
        <v/>
      </c>
      <c r="E548" s="3">
        <f>IF('ORDENES'!$A526="","",IF('ORDENES'!$U526="","-",'ORDENES'!$U526))</f>
        <v/>
      </c>
      <c r="F548" s="3">
        <f>IF('ORDENES'!$A526="","",IF('ORDENES'!$W526="","-",'ORDENES'!$W526))</f>
        <v/>
      </c>
      <c r="G548" s="3">
        <f>IF('ORDENES'!$A526="","",IF('ORDENES'!$AB526="","-",'ORDENES'!$AB526))</f>
        <v/>
      </c>
      <c r="H548" s="3">
        <f>IF('ORDENES'!$A526="","",IF('ORDENES'!$AN526="","-",'ORDENES'!$AN526))</f>
        <v/>
      </c>
      <c r="I548" s="3">
        <f>IF('ORDENES'!$A526="","",IF('ORDENES'!$D526="","-",'ORDENES'!$D526))</f>
        <v/>
      </c>
      <c r="J548" s="3">
        <f>IF('ORDENES'!$A526="","",IF('ORDENES'!$E526="","-",'ORDENES'!$E526))</f>
        <v/>
      </c>
      <c r="K548" s="12">
        <f>IF('ORDENES'!$A526="","",IF('ORDENES'!$M526="",0,'ORDENES'!$M526))</f>
        <v/>
      </c>
      <c r="L548" s="3">
        <f>IF('ORDENES'!$A526="","",IF('ORDENES'!$N526="","-",'ORDENES'!$N526))</f>
        <v/>
      </c>
      <c r="M548" s="3">
        <f>IF('ORDENES'!$A526="","",'ORDENES'!$AA526)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IF('ORDENES'!$A527="","",IF('ORDENES'!$AC527="","-",'ORDENES'!$AC527))</f>
        <v/>
      </c>
      <c r="D549" s="3">
        <f>IF('ORDENES'!$A527="","",IF('ORDENES'!$V527="","-",'ORDENES'!$V527))</f>
        <v/>
      </c>
      <c r="E549" s="3">
        <f>IF('ORDENES'!$A527="","",IF('ORDENES'!$U527="","-",'ORDENES'!$U527))</f>
        <v/>
      </c>
      <c r="F549" s="3">
        <f>IF('ORDENES'!$A527="","",IF('ORDENES'!$W527="","-",'ORDENES'!$W527))</f>
        <v/>
      </c>
      <c r="G549" s="3">
        <f>IF('ORDENES'!$A527="","",IF('ORDENES'!$AB527="","-",'ORDENES'!$AB527))</f>
        <v/>
      </c>
      <c r="H549" s="3">
        <f>IF('ORDENES'!$A527="","",IF('ORDENES'!$AN527="","-",'ORDENES'!$AN527))</f>
        <v/>
      </c>
      <c r="I549" s="3">
        <f>IF('ORDENES'!$A527="","",IF('ORDENES'!$D527="","-",'ORDENES'!$D527))</f>
        <v/>
      </c>
      <c r="J549" s="3">
        <f>IF('ORDENES'!$A527="","",IF('ORDENES'!$E527="","-",'ORDENES'!$E527))</f>
        <v/>
      </c>
      <c r="K549" s="12">
        <f>IF('ORDENES'!$A527="","",IF('ORDENES'!$M527="",0,'ORDENES'!$M527))</f>
        <v/>
      </c>
      <c r="L549" s="3">
        <f>IF('ORDENES'!$A527="","",IF('ORDENES'!$N527="","-",'ORDENES'!$N527))</f>
        <v/>
      </c>
      <c r="M549" s="3">
        <f>IF('ORDENES'!$A527="","",'ORDENES'!$AA527)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IF('ORDENES'!$A528="","",IF('ORDENES'!$AC528="","-",'ORDENES'!$AC528))</f>
        <v/>
      </c>
      <c r="D550" s="3">
        <f>IF('ORDENES'!$A528="","",IF('ORDENES'!$V528="","-",'ORDENES'!$V528))</f>
        <v/>
      </c>
      <c r="E550" s="3">
        <f>IF('ORDENES'!$A528="","",IF('ORDENES'!$U528="","-",'ORDENES'!$U528))</f>
        <v/>
      </c>
      <c r="F550" s="3">
        <f>IF('ORDENES'!$A528="","",IF('ORDENES'!$W528="","-",'ORDENES'!$W528))</f>
        <v/>
      </c>
      <c r="G550" s="3">
        <f>IF('ORDENES'!$A528="","",IF('ORDENES'!$AB528="","-",'ORDENES'!$AB528))</f>
        <v/>
      </c>
      <c r="H550" s="3">
        <f>IF('ORDENES'!$A528="","",IF('ORDENES'!$AN528="","-",'ORDENES'!$AN528))</f>
        <v/>
      </c>
      <c r="I550" s="3">
        <f>IF('ORDENES'!$A528="","",IF('ORDENES'!$D528="","-",'ORDENES'!$D528))</f>
        <v/>
      </c>
      <c r="J550" s="3">
        <f>IF('ORDENES'!$A528="","",IF('ORDENES'!$E528="","-",'ORDENES'!$E528))</f>
        <v/>
      </c>
      <c r="K550" s="12">
        <f>IF('ORDENES'!$A528="","",IF('ORDENES'!$M528="",0,'ORDENES'!$M528))</f>
        <v/>
      </c>
      <c r="L550" s="3">
        <f>IF('ORDENES'!$A528="","",IF('ORDENES'!$N528="","-",'ORDENES'!$N528))</f>
        <v/>
      </c>
      <c r="M550" s="3">
        <f>IF('ORDENES'!$A528="","",'ORDENES'!$AA528)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IF('ORDENES'!$A529="","",IF('ORDENES'!$AC529="","-",'ORDENES'!$AC529))</f>
        <v/>
      </c>
      <c r="D551" s="3">
        <f>IF('ORDENES'!$A529="","",IF('ORDENES'!$V529="","-",'ORDENES'!$V529))</f>
        <v/>
      </c>
      <c r="E551" s="3">
        <f>IF('ORDENES'!$A529="","",IF('ORDENES'!$U529="","-",'ORDENES'!$U529))</f>
        <v/>
      </c>
      <c r="F551" s="3">
        <f>IF('ORDENES'!$A529="","",IF('ORDENES'!$W529="","-",'ORDENES'!$W529))</f>
        <v/>
      </c>
      <c r="G551" s="3">
        <f>IF('ORDENES'!$A529="","",IF('ORDENES'!$AB529="","-",'ORDENES'!$AB529))</f>
        <v/>
      </c>
      <c r="H551" s="3">
        <f>IF('ORDENES'!$A529="","",IF('ORDENES'!$AN529="","-",'ORDENES'!$AN529))</f>
        <v/>
      </c>
      <c r="I551" s="3">
        <f>IF('ORDENES'!$A529="","",IF('ORDENES'!$D529="","-",'ORDENES'!$D529))</f>
        <v/>
      </c>
      <c r="J551" s="3">
        <f>IF('ORDENES'!$A529="","",IF('ORDENES'!$E529="","-",'ORDENES'!$E529))</f>
        <v/>
      </c>
      <c r="K551" s="12">
        <f>IF('ORDENES'!$A529="","",IF('ORDENES'!$M529="",0,'ORDENES'!$M529))</f>
        <v/>
      </c>
      <c r="L551" s="3">
        <f>IF('ORDENES'!$A529="","",IF('ORDENES'!$N529="","-",'ORDENES'!$N529))</f>
        <v/>
      </c>
      <c r="M551" s="3">
        <f>IF('ORDENES'!$A529="","",'ORDENES'!$AA529)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IF('ORDENES'!$A530="","",IF('ORDENES'!$AC530="","-",'ORDENES'!$AC530))</f>
        <v/>
      </c>
      <c r="D552" s="3">
        <f>IF('ORDENES'!$A530="","",IF('ORDENES'!$V530="","-",'ORDENES'!$V530))</f>
        <v/>
      </c>
      <c r="E552" s="3">
        <f>IF('ORDENES'!$A530="","",IF('ORDENES'!$U530="","-",'ORDENES'!$U530))</f>
        <v/>
      </c>
      <c r="F552" s="3">
        <f>IF('ORDENES'!$A530="","",IF('ORDENES'!$W530="","-",'ORDENES'!$W530))</f>
        <v/>
      </c>
      <c r="G552" s="3">
        <f>IF('ORDENES'!$A530="","",IF('ORDENES'!$AB530="","-",'ORDENES'!$AB530))</f>
        <v/>
      </c>
      <c r="H552" s="3">
        <f>IF('ORDENES'!$A530="","",IF('ORDENES'!$AN530="","-",'ORDENES'!$AN530))</f>
        <v/>
      </c>
      <c r="I552" s="3">
        <f>IF('ORDENES'!$A530="","",IF('ORDENES'!$D530="","-",'ORDENES'!$D530))</f>
        <v/>
      </c>
      <c r="J552" s="3">
        <f>IF('ORDENES'!$A530="","",IF('ORDENES'!$E530="","-",'ORDENES'!$E530))</f>
        <v/>
      </c>
      <c r="K552" s="12">
        <f>IF('ORDENES'!$A530="","",IF('ORDENES'!$M530="",0,'ORDENES'!$M530))</f>
        <v/>
      </c>
      <c r="L552" s="3">
        <f>IF('ORDENES'!$A530="","",IF('ORDENES'!$N530="","-",'ORDENES'!$N530))</f>
        <v/>
      </c>
      <c r="M552" s="3">
        <f>IF('ORDENES'!$A530="","",'ORDENES'!$AA530)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IF('ORDENES'!$A531="","",IF('ORDENES'!$AC531="","-",'ORDENES'!$AC531))</f>
        <v/>
      </c>
      <c r="D553" s="3">
        <f>IF('ORDENES'!$A531="","",IF('ORDENES'!$V531="","-",'ORDENES'!$V531))</f>
        <v/>
      </c>
      <c r="E553" s="3">
        <f>IF('ORDENES'!$A531="","",IF('ORDENES'!$U531="","-",'ORDENES'!$U531))</f>
        <v/>
      </c>
      <c r="F553" s="3">
        <f>IF('ORDENES'!$A531="","",IF('ORDENES'!$W531="","-",'ORDENES'!$W531))</f>
        <v/>
      </c>
      <c r="G553" s="3">
        <f>IF('ORDENES'!$A531="","",IF('ORDENES'!$AB531="","-",'ORDENES'!$AB531))</f>
        <v/>
      </c>
      <c r="H553" s="3">
        <f>IF('ORDENES'!$A531="","",IF('ORDENES'!$AN531="","-",'ORDENES'!$AN531))</f>
        <v/>
      </c>
      <c r="I553" s="3">
        <f>IF('ORDENES'!$A531="","",IF('ORDENES'!$D531="","-",'ORDENES'!$D531))</f>
        <v/>
      </c>
      <c r="J553" s="3">
        <f>IF('ORDENES'!$A531="","",IF('ORDENES'!$E531="","-",'ORDENES'!$E531))</f>
        <v/>
      </c>
      <c r="K553" s="12">
        <f>IF('ORDENES'!$A531="","",IF('ORDENES'!$M531="",0,'ORDENES'!$M531))</f>
        <v/>
      </c>
      <c r="L553" s="3">
        <f>IF('ORDENES'!$A531="","",IF('ORDENES'!$N531="","-",'ORDENES'!$N531))</f>
        <v/>
      </c>
      <c r="M553" s="3">
        <f>IF('ORDENES'!$A531="","",'ORDENES'!$AA531)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IF('ORDENES'!$A532="","",IF('ORDENES'!$AC532="","-",'ORDENES'!$AC532))</f>
        <v/>
      </c>
      <c r="D554" s="3">
        <f>IF('ORDENES'!$A532="","",IF('ORDENES'!$V532="","-",'ORDENES'!$V532))</f>
        <v/>
      </c>
      <c r="E554" s="3">
        <f>IF('ORDENES'!$A532="","",IF('ORDENES'!$U532="","-",'ORDENES'!$U532))</f>
        <v/>
      </c>
      <c r="F554" s="3">
        <f>IF('ORDENES'!$A532="","",IF('ORDENES'!$W532="","-",'ORDENES'!$W532))</f>
        <v/>
      </c>
      <c r="G554" s="3">
        <f>IF('ORDENES'!$A532="","",IF('ORDENES'!$AB532="","-",'ORDENES'!$AB532))</f>
        <v/>
      </c>
      <c r="H554" s="3">
        <f>IF('ORDENES'!$A532="","",IF('ORDENES'!$AN532="","-",'ORDENES'!$AN532))</f>
        <v/>
      </c>
      <c r="I554" s="3">
        <f>IF('ORDENES'!$A532="","",IF('ORDENES'!$D532="","-",'ORDENES'!$D532))</f>
        <v/>
      </c>
      <c r="J554" s="3">
        <f>IF('ORDENES'!$A532="","",IF('ORDENES'!$E532="","-",'ORDENES'!$E532))</f>
        <v/>
      </c>
      <c r="K554" s="12">
        <f>IF('ORDENES'!$A532="","",IF('ORDENES'!$M532="",0,'ORDENES'!$M532))</f>
        <v/>
      </c>
      <c r="L554" s="3">
        <f>IF('ORDENES'!$A532="","",IF('ORDENES'!$N532="","-",'ORDENES'!$N532))</f>
        <v/>
      </c>
      <c r="M554" s="3">
        <f>IF('ORDENES'!$A532="","",'ORDENES'!$AA532)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IF('ORDENES'!$A533="","",IF('ORDENES'!$AC533="","-",'ORDENES'!$AC533))</f>
        <v/>
      </c>
      <c r="D555" s="3">
        <f>IF('ORDENES'!$A533="","",IF('ORDENES'!$V533="","-",'ORDENES'!$V533))</f>
        <v/>
      </c>
      <c r="E555" s="3">
        <f>IF('ORDENES'!$A533="","",IF('ORDENES'!$U533="","-",'ORDENES'!$U533))</f>
        <v/>
      </c>
      <c r="F555" s="3">
        <f>IF('ORDENES'!$A533="","",IF('ORDENES'!$W533="","-",'ORDENES'!$W533))</f>
        <v/>
      </c>
      <c r="G555" s="3">
        <f>IF('ORDENES'!$A533="","",IF('ORDENES'!$AB533="","-",'ORDENES'!$AB533))</f>
        <v/>
      </c>
      <c r="H555" s="3">
        <f>IF('ORDENES'!$A533="","",IF('ORDENES'!$AN533="","-",'ORDENES'!$AN533))</f>
        <v/>
      </c>
      <c r="I555" s="3">
        <f>IF('ORDENES'!$A533="","",IF('ORDENES'!$D533="","-",'ORDENES'!$D533))</f>
        <v/>
      </c>
      <c r="J555" s="3">
        <f>IF('ORDENES'!$A533="","",IF('ORDENES'!$E533="","-",'ORDENES'!$E533))</f>
        <v/>
      </c>
      <c r="K555" s="12">
        <f>IF('ORDENES'!$A533="","",IF('ORDENES'!$M533="",0,'ORDENES'!$M533))</f>
        <v/>
      </c>
      <c r="L555" s="3">
        <f>IF('ORDENES'!$A533="","",IF('ORDENES'!$N533="","-",'ORDENES'!$N533))</f>
        <v/>
      </c>
      <c r="M555" s="3">
        <f>IF('ORDENES'!$A533="","",'ORDENES'!$AA533)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IF('ORDENES'!$A534="","",IF('ORDENES'!$AC534="","-",'ORDENES'!$AC534))</f>
        <v/>
      </c>
      <c r="D556" s="3">
        <f>IF('ORDENES'!$A534="","",IF('ORDENES'!$V534="","-",'ORDENES'!$V534))</f>
        <v/>
      </c>
      <c r="E556" s="3">
        <f>IF('ORDENES'!$A534="","",IF('ORDENES'!$U534="","-",'ORDENES'!$U534))</f>
        <v/>
      </c>
      <c r="F556" s="3">
        <f>IF('ORDENES'!$A534="","",IF('ORDENES'!$W534="","-",'ORDENES'!$W534))</f>
        <v/>
      </c>
      <c r="G556" s="3">
        <f>IF('ORDENES'!$A534="","",IF('ORDENES'!$AB534="","-",'ORDENES'!$AB534))</f>
        <v/>
      </c>
      <c r="H556" s="3">
        <f>IF('ORDENES'!$A534="","",IF('ORDENES'!$AN534="","-",'ORDENES'!$AN534))</f>
        <v/>
      </c>
      <c r="I556" s="3">
        <f>IF('ORDENES'!$A534="","",IF('ORDENES'!$D534="","-",'ORDENES'!$D534))</f>
        <v/>
      </c>
      <c r="J556" s="3">
        <f>IF('ORDENES'!$A534="","",IF('ORDENES'!$E534="","-",'ORDENES'!$E534))</f>
        <v/>
      </c>
      <c r="K556" s="12">
        <f>IF('ORDENES'!$A534="","",IF('ORDENES'!$M534="",0,'ORDENES'!$M534))</f>
        <v/>
      </c>
      <c r="L556" s="3">
        <f>IF('ORDENES'!$A534="","",IF('ORDENES'!$N534="","-",'ORDENES'!$N534))</f>
        <v/>
      </c>
      <c r="M556" s="3">
        <f>IF('ORDENES'!$A534="","",'ORDENES'!$AA534)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IF('ORDENES'!$A535="","",IF('ORDENES'!$AC535="","-",'ORDENES'!$AC535))</f>
        <v/>
      </c>
      <c r="D557" s="3">
        <f>IF('ORDENES'!$A535="","",IF('ORDENES'!$V535="","-",'ORDENES'!$V535))</f>
        <v/>
      </c>
      <c r="E557" s="3">
        <f>IF('ORDENES'!$A535="","",IF('ORDENES'!$U535="","-",'ORDENES'!$U535))</f>
        <v/>
      </c>
      <c r="F557" s="3">
        <f>IF('ORDENES'!$A535="","",IF('ORDENES'!$W535="","-",'ORDENES'!$W535))</f>
        <v/>
      </c>
      <c r="G557" s="3">
        <f>IF('ORDENES'!$A535="","",IF('ORDENES'!$AB535="","-",'ORDENES'!$AB535))</f>
        <v/>
      </c>
      <c r="H557" s="3">
        <f>IF('ORDENES'!$A535="","",IF('ORDENES'!$AN535="","-",'ORDENES'!$AN535))</f>
        <v/>
      </c>
      <c r="I557" s="3">
        <f>IF('ORDENES'!$A535="","",IF('ORDENES'!$D535="","-",'ORDENES'!$D535))</f>
        <v/>
      </c>
      <c r="J557" s="3">
        <f>IF('ORDENES'!$A535="","",IF('ORDENES'!$E535="","-",'ORDENES'!$E535))</f>
        <v/>
      </c>
      <c r="K557" s="12">
        <f>IF('ORDENES'!$A535="","",IF('ORDENES'!$M535="",0,'ORDENES'!$M535))</f>
        <v/>
      </c>
      <c r="L557" s="3">
        <f>IF('ORDENES'!$A535="","",IF('ORDENES'!$N535="","-",'ORDENES'!$N535))</f>
        <v/>
      </c>
      <c r="M557" s="3">
        <f>IF('ORDENES'!$A535="","",'ORDENES'!$AA535)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IF('ORDENES'!$A536="","",IF('ORDENES'!$AC536="","-",'ORDENES'!$AC536))</f>
        <v/>
      </c>
      <c r="D558" s="3">
        <f>IF('ORDENES'!$A536="","",IF('ORDENES'!$V536="","-",'ORDENES'!$V536))</f>
        <v/>
      </c>
      <c r="E558" s="3">
        <f>IF('ORDENES'!$A536="","",IF('ORDENES'!$U536="","-",'ORDENES'!$U536))</f>
        <v/>
      </c>
      <c r="F558" s="3">
        <f>IF('ORDENES'!$A536="","",IF('ORDENES'!$W536="","-",'ORDENES'!$W536))</f>
        <v/>
      </c>
      <c r="G558" s="3">
        <f>IF('ORDENES'!$A536="","",IF('ORDENES'!$AB536="","-",'ORDENES'!$AB536))</f>
        <v/>
      </c>
      <c r="H558" s="3">
        <f>IF('ORDENES'!$A536="","",IF('ORDENES'!$AN536="","-",'ORDENES'!$AN536))</f>
        <v/>
      </c>
      <c r="I558" s="3">
        <f>IF('ORDENES'!$A536="","",IF('ORDENES'!$D536="","-",'ORDENES'!$D536))</f>
        <v/>
      </c>
      <c r="J558" s="3">
        <f>IF('ORDENES'!$A536="","",IF('ORDENES'!$E536="","-",'ORDENES'!$E536))</f>
        <v/>
      </c>
      <c r="K558" s="12">
        <f>IF('ORDENES'!$A536="","",IF('ORDENES'!$M536="",0,'ORDENES'!$M536))</f>
        <v/>
      </c>
      <c r="L558" s="3">
        <f>IF('ORDENES'!$A536="","",IF('ORDENES'!$N536="","-",'ORDENES'!$N536))</f>
        <v/>
      </c>
      <c r="M558" s="3">
        <f>IF('ORDENES'!$A536="","",'ORDENES'!$AA536)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IF('ORDENES'!$A537="","",IF('ORDENES'!$AC537="","-",'ORDENES'!$AC537))</f>
        <v/>
      </c>
      <c r="D559" s="3">
        <f>IF('ORDENES'!$A537="","",IF('ORDENES'!$V537="","-",'ORDENES'!$V537))</f>
        <v/>
      </c>
      <c r="E559" s="3">
        <f>IF('ORDENES'!$A537="","",IF('ORDENES'!$U537="","-",'ORDENES'!$U537))</f>
        <v/>
      </c>
      <c r="F559" s="3">
        <f>IF('ORDENES'!$A537="","",IF('ORDENES'!$W537="","-",'ORDENES'!$W537))</f>
        <v/>
      </c>
      <c r="G559" s="3">
        <f>IF('ORDENES'!$A537="","",IF('ORDENES'!$AB537="","-",'ORDENES'!$AB537))</f>
        <v/>
      </c>
      <c r="H559" s="3">
        <f>IF('ORDENES'!$A537="","",IF('ORDENES'!$AN537="","-",'ORDENES'!$AN537))</f>
        <v/>
      </c>
      <c r="I559" s="3">
        <f>IF('ORDENES'!$A537="","",IF('ORDENES'!$D537="","-",'ORDENES'!$D537))</f>
        <v/>
      </c>
      <c r="J559" s="3">
        <f>IF('ORDENES'!$A537="","",IF('ORDENES'!$E537="","-",'ORDENES'!$E537))</f>
        <v/>
      </c>
      <c r="K559" s="12">
        <f>IF('ORDENES'!$A537="","",IF('ORDENES'!$M537="",0,'ORDENES'!$M537))</f>
        <v/>
      </c>
      <c r="L559" s="3">
        <f>IF('ORDENES'!$A537="","",IF('ORDENES'!$N537="","-",'ORDENES'!$N537))</f>
        <v/>
      </c>
      <c r="M559" s="3">
        <f>IF('ORDENES'!$A537="","",'ORDENES'!$AA537)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IF('ORDENES'!$A538="","",IF('ORDENES'!$AC538="","-",'ORDENES'!$AC538))</f>
        <v/>
      </c>
      <c r="D560" s="3">
        <f>IF('ORDENES'!$A538="","",IF('ORDENES'!$V538="","-",'ORDENES'!$V538))</f>
        <v/>
      </c>
      <c r="E560" s="3">
        <f>IF('ORDENES'!$A538="","",IF('ORDENES'!$U538="","-",'ORDENES'!$U538))</f>
        <v/>
      </c>
      <c r="F560" s="3">
        <f>IF('ORDENES'!$A538="","",IF('ORDENES'!$W538="","-",'ORDENES'!$W538))</f>
        <v/>
      </c>
      <c r="G560" s="3">
        <f>IF('ORDENES'!$A538="","",IF('ORDENES'!$AB538="","-",'ORDENES'!$AB538))</f>
        <v/>
      </c>
      <c r="H560" s="3">
        <f>IF('ORDENES'!$A538="","",IF('ORDENES'!$AN538="","-",'ORDENES'!$AN538))</f>
        <v/>
      </c>
      <c r="I560" s="3">
        <f>IF('ORDENES'!$A538="","",IF('ORDENES'!$D538="","-",'ORDENES'!$D538))</f>
        <v/>
      </c>
      <c r="J560" s="3">
        <f>IF('ORDENES'!$A538="","",IF('ORDENES'!$E538="","-",'ORDENES'!$E538))</f>
        <v/>
      </c>
      <c r="K560" s="12">
        <f>IF('ORDENES'!$A538="","",IF('ORDENES'!$M538="",0,'ORDENES'!$M538))</f>
        <v/>
      </c>
      <c r="L560" s="3">
        <f>IF('ORDENES'!$A538="","",IF('ORDENES'!$N538="","-",'ORDENES'!$N538))</f>
        <v/>
      </c>
      <c r="M560" s="3">
        <f>IF('ORDENES'!$A538="","",'ORDENES'!$AA538)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IF('ORDENES'!$A539="","",IF('ORDENES'!$AC539="","-",'ORDENES'!$AC539))</f>
        <v/>
      </c>
      <c r="D561" s="3">
        <f>IF('ORDENES'!$A539="","",IF('ORDENES'!$V539="","-",'ORDENES'!$V539))</f>
        <v/>
      </c>
      <c r="E561" s="3">
        <f>IF('ORDENES'!$A539="","",IF('ORDENES'!$U539="","-",'ORDENES'!$U539))</f>
        <v/>
      </c>
      <c r="F561" s="3">
        <f>IF('ORDENES'!$A539="","",IF('ORDENES'!$W539="","-",'ORDENES'!$W539))</f>
        <v/>
      </c>
      <c r="G561" s="3">
        <f>IF('ORDENES'!$A539="","",IF('ORDENES'!$AB539="","-",'ORDENES'!$AB539))</f>
        <v/>
      </c>
      <c r="H561" s="3">
        <f>IF('ORDENES'!$A539="","",IF('ORDENES'!$AN539="","-",'ORDENES'!$AN539))</f>
        <v/>
      </c>
      <c r="I561" s="3">
        <f>IF('ORDENES'!$A539="","",IF('ORDENES'!$D539="","-",'ORDENES'!$D539))</f>
        <v/>
      </c>
      <c r="J561" s="3">
        <f>IF('ORDENES'!$A539="","",IF('ORDENES'!$E539="","-",'ORDENES'!$E539))</f>
        <v/>
      </c>
      <c r="K561" s="12">
        <f>IF('ORDENES'!$A539="","",IF('ORDENES'!$M539="",0,'ORDENES'!$M539))</f>
        <v/>
      </c>
      <c r="L561" s="3">
        <f>IF('ORDENES'!$A539="","",IF('ORDENES'!$N539="","-",'ORDENES'!$N539))</f>
        <v/>
      </c>
      <c r="M561" s="3">
        <f>IF('ORDENES'!$A539="","",'ORDENES'!$AA539)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IF('ORDENES'!$A540="","",IF('ORDENES'!$AC540="","-",'ORDENES'!$AC540))</f>
        <v/>
      </c>
      <c r="D562" s="3">
        <f>IF('ORDENES'!$A540="","",IF('ORDENES'!$V540="","-",'ORDENES'!$V540))</f>
        <v/>
      </c>
      <c r="E562" s="3">
        <f>IF('ORDENES'!$A540="","",IF('ORDENES'!$U540="","-",'ORDENES'!$U540))</f>
        <v/>
      </c>
      <c r="F562" s="3">
        <f>IF('ORDENES'!$A540="","",IF('ORDENES'!$W540="","-",'ORDENES'!$W540))</f>
        <v/>
      </c>
      <c r="G562" s="3">
        <f>IF('ORDENES'!$A540="","",IF('ORDENES'!$AB540="","-",'ORDENES'!$AB540))</f>
        <v/>
      </c>
      <c r="H562" s="3">
        <f>IF('ORDENES'!$A540="","",IF('ORDENES'!$AN540="","-",'ORDENES'!$AN540))</f>
        <v/>
      </c>
      <c r="I562" s="3">
        <f>IF('ORDENES'!$A540="","",IF('ORDENES'!$D540="","-",'ORDENES'!$D540))</f>
        <v/>
      </c>
      <c r="J562" s="3">
        <f>IF('ORDENES'!$A540="","",IF('ORDENES'!$E540="","-",'ORDENES'!$E540))</f>
        <v/>
      </c>
      <c r="K562" s="12">
        <f>IF('ORDENES'!$A540="","",IF('ORDENES'!$M540="",0,'ORDENES'!$M540))</f>
        <v/>
      </c>
      <c r="L562" s="3">
        <f>IF('ORDENES'!$A540="","",IF('ORDENES'!$N540="","-",'ORDENES'!$N540))</f>
        <v/>
      </c>
      <c r="M562" s="3">
        <f>IF('ORDENES'!$A540="","",'ORDENES'!$AA540)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IF('ORDENES'!$A541="","",IF('ORDENES'!$AC541="","-",'ORDENES'!$AC541))</f>
        <v/>
      </c>
      <c r="D563" s="3">
        <f>IF('ORDENES'!$A541="","",IF('ORDENES'!$V541="","-",'ORDENES'!$V541))</f>
        <v/>
      </c>
      <c r="E563" s="3">
        <f>IF('ORDENES'!$A541="","",IF('ORDENES'!$U541="","-",'ORDENES'!$U541))</f>
        <v/>
      </c>
      <c r="F563" s="3">
        <f>IF('ORDENES'!$A541="","",IF('ORDENES'!$W541="","-",'ORDENES'!$W541))</f>
        <v/>
      </c>
      <c r="G563" s="3">
        <f>IF('ORDENES'!$A541="","",IF('ORDENES'!$AB541="","-",'ORDENES'!$AB541))</f>
        <v/>
      </c>
      <c r="H563" s="3">
        <f>IF('ORDENES'!$A541="","",IF('ORDENES'!$AN541="","-",'ORDENES'!$AN541))</f>
        <v/>
      </c>
      <c r="I563" s="3">
        <f>IF('ORDENES'!$A541="","",IF('ORDENES'!$D541="","-",'ORDENES'!$D541))</f>
        <v/>
      </c>
      <c r="J563" s="3">
        <f>IF('ORDENES'!$A541="","",IF('ORDENES'!$E541="","-",'ORDENES'!$E541))</f>
        <v/>
      </c>
      <c r="K563" s="12">
        <f>IF('ORDENES'!$A541="","",IF('ORDENES'!$M541="",0,'ORDENES'!$M541))</f>
        <v/>
      </c>
      <c r="L563" s="3">
        <f>IF('ORDENES'!$A541="","",IF('ORDENES'!$N541="","-",'ORDENES'!$N541))</f>
        <v/>
      </c>
      <c r="M563" s="3">
        <f>IF('ORDENES'!$A541="","",'ORDENES'!$AA541)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IF('ORDENES'!$A542="","",IF('ORDENES'!$AC542="","-",'ORDENES'!$AC542))</f>
        <v/>
      </c>
      <c r="D564" s="3">
        <f>IF('ORDENES'!$A542="","",IF('ORDENES'!$V542="","-",'ORDENES'!$V542))</f>
        <v/>
      </c>
      <c r="E564" s="3">
        <f>IF('ORDENES'!$A542="","",IF('ORDENES'!$U542="","-",'ORDENES'!$U542))</f>
        <v/>
      </c>
      <c r="F564" s="3">
        <f>IF('ORDENES'!$A542="","",IF('ORDENES'!$W542="","-",'ORDENES'!$W542))</f>
        <v/>
      </c>
      <c r="G564" s="3">
        <f>IF('ORDENES'!$A542="","",IF('ORDENES'!$AB542="","-",'ORDENES'!$AB542))</f>
        <v/>
      </c>
      <c r="H564" s="3">
        <f>IF('ORDENES'!$A542="","",IF('ORDENES'!$AN542="","-",'ORDENES'!$AN542))</f>
        <v/>
      </c>
      <c r="I564" s="3">
        <f>IF('ORDENES'!$A542="","",IF('ORDENES'!$D542="","-",'ORDENES'!$D542))</f>
        <v/>
      </c>
      <c r="J564" s="3">
        <f>IF('ORDENES'!$A542="","",IF('ORDENES'!$E542="","-",'ORDENES'!$E542))</f>
        <v/>
      </c>
      <c r="K564" s="12">
        <f>IF('ORDENES'!$A542="","",IF('ORDENES'!$M542="",0,'ORDENES'!$M542))</f>
        <v/>
      </c>
      <c r="L564" s="3">
        <f>IF('ORDENES'!$A542="","",IF('ORDENES'!$N542="","-",'ORDENES'!$N542))</f>
        <v/>
      </c>
      <c r="M564" s="3">
        <f>IF('ORDENES'!$A542="","",'ORDENES'!$AA542)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IF('ORDENES'!$A543="","",IF('ORDENES'!$AC543="","-",'ORDENES'!$AC543))</f>
        <v/>
      </c>
      <c r="D565" s="3">
        <f>IF('ORDENES'!$A543="","",IF('ORDENES'!$V543="","-",'ORDENES'!$V543))</f>
        <v/>
      </c>
      <c r="E565" s="3">
        <f>IF('ORDENES'!$A543="","",IF('ORDENES'!$U543="","-",'ORDENES'!$U543))</f>
        <v/>
      </c>
      <c r="F565" s="3">
        <f>IF('ORDENES'!$A543="","",IF('ORDENES'!$W543="","-",'ORDENES'!$W543))</f>
        <v/>
      </c>
      <c r="G565" s="3">
        <f>IF('ORDENES'!$A543="","",IF('ORDENES'!$AB543="","-",'ORDENES'!$AB543))</f>
        <v/>
      </c>
      <c r="H565" s="3">
        <f>IF('ORDENES'!$A543="","",IF('ORDENES'!$AN543="","-",'ORDENES'!$AN543))</f>
        <v/>
      </c>
      <c r="I565" s="3">
        <f>IF('ORDENES'!$A543="","",IF('ORDENES'!$D543="","-",'ORDENES'!$D543))</f>
        <v/>
      </c>
      <c r="J565" s="3">
        <f>IF('ORDENES'!$A543="","",IF('ORDENES'!$E543="","-",'ORDENES'!$E543))</f>
        <v/>
      </c>
      <c r="K565" s="12">
        <f>IF('ORDENES'!$A543="","",IF('ORDENES'!$M543="",0,'ORDENES'!$M543))</f>
        <v/>
      </c>
      <c r="L565" s="3">
        <f>IF('ORDENES'!$A543="","",IF('ORDENES'!$N543="","-",'ORDENES'!$N543))</f>
        <v/>
      </c>
      <c r="M565" s="3">
        <f>IF('ORDENES'!$A543="","",'ORDENES'!$AA543)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IF('ORDENES'!$A544="","",IF('ORDENES'!$AC544="","-",'ORDENES'!$AC544))</f>
        <v/>
      </c>
      <c r="D566" s="3">
        <f>IF('ORDENES'!$A544="","",IF('ORDENES'!$V544="","-",'ORDENES'!$V544))</f>
        <v/>
      </c>
      <c r="E566" s="3">
        <f>IF('ORDENES'!$A544="","",IF('ORDENES'!$U544="","-",'ORDENES'!$U544))</f>
        <v/>
      </c>
      <c r="F566" s="3">
        <f>IF('ORDENES'!$A544="","",IF('ORDENES'!$W544="","-",'ORDENES'!$W544))</f>
        <v/>
      </c>
      <c r="G566" s="3">
        <f>IF('ORDENES'!$A544="","",IF('ORDENES'!$AB544="","-",'ORDENES'!$AB544))</f>
        <v/>
      </c>
      <c r="H566" s="3">
        <f>IF('ORDENES'!$A544="","",IF('ORDENES'!$AN544="","-",'ORDENES'!$AN544))</f>
        <v/>
      </c>
      <c r="I566" s="3">
        <f>IF('ORDENES'!$A544="","",IF('ORDENES'!$D544="","-",'ORDENES'!$D544))</f>
        <v/>
      </c>
      <c r="J566" s="3">
        <f>IF('ORDENES'!$A544="","",IF('ORDENES'!$E544="","-",'ORDENES'!$E544))</f>
        <v/>
      </c>
      <c r="K566" s="12">
        <f>IF('ORDENES'!$A544="","",IF('ORDENES'!$M544="",0,'ORDENES'!$M544))</f>
        <v/>
      </c>
      <c r="L566" s="3">
        <f>IF('ORDENES'!$A544="","",IF('ORDENES'!$N544="","-",'ORDENES'!$N544))</f>
        <v/>
      </c>
      <c r="M566" s="3">
        <f>IF('ORDENES'!$A544="","",'ORDENES'!$AA544)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IF('ORDENES'!$A545="","",IF('ORDENES'!$AC545="","-",'ORDENES'!$AC545))</f>
        <v/>
      </c>
      <c r="D567" s="3">
        <f>IF('ORDENES'!$A545="","",IF('ORDENES'!$V545="","-",'ORDENES'!$V545))</f>
        <v/>
      </c>
      <c r="E567" s="3">
        <f>IF('ORDENES'!$A545="","",IF('ORDENES'!$U545="","-",'ORDENES'!$U545))</f>
        <v/>
      </c>
      <c r="F567" s="3">
        <f>IF('ORDENES'!$A545="","",IF('ORDENES'!$W545="","-",'ORDENES'!$W545))</f>
        <v/>
      </c>
      <c r="G567" s="3">
        <f>IF('ORDENES'!$A545="","",IF('ORDENES'!$AB545="","-",'ORDENES'!$AB545))</f>
        <v/>
      </c>
      <c r="H567" s="3">
        <f>IF('ORDENES'!$A545="","",IF('ORDENES'!$AN545="","-",'ORDENES'!$AN545))</f>
        <v/>
      </c>
      <c r="I567" s="3">
        <f>IF('ORDENES'!$A545="","",IF('ORDENES'!$D545="","-",'ORDENES'!$D545))</f>
        <v/>
      </c>
      <c r="J567" s="3">
        <f>IF('ORDENES'!$A545="","",IF('ORDENES'!$E545="","-",'ORDENES'!$E545))</f>
        <v/>
      </c>
      <c r="K567" s="12">
        <f>IF('ORDENES'!$A545="","",IF('ORDENES'!$M545="",0,'ORDENES'!$M545))</f>
        <v/>
      </c>
      <c r="L567" s="3">
        <f>IF('ORDENES'!$A545="","",IF('ORDENES'!$N545="","-",'ORDENES'!$N545))</f>
        <v/>
      </c>
      <c r="M567" s="3">
        <f>IF('ORDENES'!$A545="","",'ORDENES'!$AA545)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IF('ORDENES'!$A546="","",IF('ORDENES'!$AC546="","-",'ORDENES'!$AC546))</f>
        <v/>
      </c>
      <c r="D568" s="3">
        <f>IF('ORDENES'!$A546="","",IF('ORDENES'!$V546="","-",'ORDENES'!$V546))</f>
        <v/>
      </c>
      <c r="E568" s="3">
        <f>IF('ORDENES'!$A546="","",IF('ORDENES'!$U546="","-",'ORDENES'!$U546))</f>
        <v/>
      </c>
      <c r="F568" s="3">
        <f>IF('ORDENES'!$A546="","",IF('ORDENES'!$W546="","-",'ORDENES'!$W546))</f>
        <v/>
      </c>
      <c r="G568" s="3">
        <f>IF('ORDENES'!$A546="","",IF('ORDENES'!$AB546="","-",'ORDENES'!$AB546))</f>
        <v/>
      </c>
      <c r="H568" s="3">
        <f>IF('ORDENES'!$A546="","",IF('ORDENES'!$AN546="","-",'ORDENES'!$AN546))</f>
        <v/>
      </c>
      <c r="I568" s="3">
        <f>IF('ORDENES'!$A546="","",IF('ORDENES'!$D546="","-",'ORDENES'!$D546))</f>
        <v/>
      </c>
      <c r="J568" s="3">
        <f>IF('ORDENES'!$A546="","",IF('ORDENES'!$E546="","-",'ORDENES'!$E546))</f>
        <v/>
      </c>
      <c r="K568" s="12">
        <f>IF('ORDENES'!$A546="","",IF('ORDENES'!$M546="",0,'ORDENES'!$M546))</f>
        <v/>
      </c>
      <c r="L568" s="3">
        <f>IF('ORDENES'!$A546="","",IF('ORDENES'!$N546="","-",'ORDENES'!$N546))</f>
        <v/>
      </c>
      <c r="M568" s="3">
        <f>IF('ORDENES'!$A546="","",'ORDENES'!$AA546)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IF('ORDENES'!$A547="","",IF('ORDENES'!$AC547="","-",'ORDENES'!$AC547))</f>
        <v/>
      </c>
      <c r="D569" s="3">
        <f>IF('ORDENES'!$A547="","",IF('ORDENES'!$V547="","-",'ORDENES'!$V547))</f>
        <v/>
      </c>
      <c r="E569" s="3">
        <f>IF('ORDENES'!$A547="","",IF('ORDENES'!$U547="","-",'ORDENES'!$U547))</f>
        <v/>
      </c>
      <c r="F569" s="3">
        <f>IF('ORDENES'!$A547="","",IF('ORDENES'!$W547="","-",'ORDENES'!$W547))</f>
        <v/>
      </c>
      <c r="G569" s="3">
        <f>IF('ORDENES'!$A547="","",IF('ORDENES'!$AB547="","-",'ORDENES'!$AB547))</f>
        <v/>
      </c>
      <c r="H569" s="3">
        <f>IF('ORDENES'!$A547="","",IF('ORDENES'!$AN547="","-",'ORDENES'!$AN547))</f>
        <v/>
      </c>
      <c r="I569" s="3">
        <f>IF('ORDENES'!$A547="","",IF('ORDENES'!$D547="","-",'ORDENES'!$D547))</f>
        <v/>
      </c>
      <c r="J569" s="3">
        <f>IF('ORDENES'!$A547="","",IF('ORDENES'!$E547="","-",'ORDENES'!$E547))</f>
        <v/>
      </c>
      <c r="K569" s="12">
        <f>IF('ORDENES'!$A547="","",IF('ORDENES'!$M547="",0,'ORDENES'!$M547))</f>
        <v/>
      </c>
      <c r="L569" s="3">
        <f>IF('ORDENES'!$A547="","",IF('ORDENES'!$N547="","-",'ORDENES'!$N547))</f>
        <v/>
      </c>
      <c r="M569" s="3">
        <f>IF('ORDENES'!$A547="","",'ORDENES'!$AA547)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IF('ORDENES'!$A548="","",IF('ORDENES'!$AC548="","-",'ORDENES'!$AC548))</f>
        <v/>
      </c>
      <c r="D570" s="3">
        <f>IF('ORDENES'!$A548="","",IF('ORDENES'!$V548="","-",'ORDENES'!$V548))</f>
        <v/>
      </c>
      <c r="E570" s="3">
        <f>IF('ORDENES'!$A548="","",IF('ORDENES'!$U548="","-",'ORDENES'!$U548))</f>
        <v/>
      </c>
      <c r="F570" s="3">
        <f>IF('ORDENES'!$A548="","",IF('ORDENES'!$W548="","-",'ORDENES'!$W548))</f>
        <v/>
      </c>
      <c r="G570" s="3">
        <f>IF('ORDENES'!$A548="","",IF('ORDENES'!$AB548="","-",'ORDENES'!$AB548))</f>
        <v/>
      </c>
      <c r="H570" s="3">
        <f>IF('ORDENES'!$A548="","",IF('ORDENES'!$AN548="","-",'ORDENES'!$AN548))</f>
        <v/>
      </c>
      <c r="I570" s="3">
        <f>IF('ORDENES'!$A548="","",IF('ORDENES'!$D548="","-",'ORDENES'!$D548))</f>
        <v/>
      </c>
      <c r="J570" s="3">
        <f>IF('ORDENES'!$A548="","",IF('ORDENES'!$E548="","-",'ORDENES'!$E548))</f>
        <v/>
      </c>
      <c r="K570" s="12">
        <f>IF('ORDENES'!$A548="","",IF('ORDENES'!$M548="",0,'ORDENES'!$M548))</f>
        <v/>
      </c>
      <c r="L570" s="3">
        <f>IF('ORDENES'!$A548="","",IF('ORDENES'!$N548="","-",'ORDENES'!$N548))</f>
        <v/>
      </c>
      <c r="M570" s="3">
        <f>IF('ORDENES'!$A548="","",'ORDENES'!$AA548)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IF('ORDENES'!$A549="","",IF('ORDENES'!$AC549="","-",'ORDENES'!$AC549))</f>
        <v/>
      </c>
      <c r="D571" s="3">
        <f>IF('ORDENES'!$A549="","",IF('ORDENES'!$V549="","-",'ORDENES'!$V549))</f>
        <v/>
      </c>
      <c r="E571" s="3">
        <f>IF('ORDENES'!$A549="","",IF('ORDENES'!$U549="","-",'ORDENES'!$U549))</f>
        <v/>
      </c>
      <c r="F571" s="3">
        <f>IF('ORDENES'!$A549="","",IF('ORDENES'!$W549="","-",'ORDENES'!$W549))</f>
        <v/>
      </c>
      <c r="G571" s="3">
        <f>IF('ORDENES'!$A549="","",IF('ORDENES'!$AB549="","-",'ORDENES'!$AB549))</f>
        <v/>
      </c>
      <c r="H571" s="3">
        <f>IF('ORDENES'!$A549="","",IF('ORDENES'!$AN549="","-",'ORDENES'!$AN549))</f>
        <v/>
      </c>
      <c r="I571" s="3">
        <f>IF('ORDENES'!$A549="","",IF('ORDENES'!$D549="","-",'ORDENES'!$D549))</f>
        <v/>
      </c>
      <c r="J571" s="3">
        <f>IF('ORDENES'!$A549="","",IF('ORDENES'!$E549="","-",'ORDENES'!$E549))</f>
        <v/>
      </c>
      <c r="K571" s="12">
        <f>IF('ORDENES'!$A549="","",IF('ORDENES'!$M549="",0,'ORDENES'!$M549))</f>
        <v/>
      </c>
      <c r="L571" s="3">
        <f>IF('ORDENES'!$A549="","",IF('ORDENES'!$N549="","-",'ORDENES'!$N549))</f>
        <v/>
      </c>
      <c r="M571" s="3">
        <f>IF('ORDENES'!$A549="","",'ORDENES'!$AA549)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IF('ORDENES'!$A550="","",IF('ORDENES'!$AC550="","-",'ORDENES'!$AC550))</f>
        <v/>
      </c>
      <c r="D572" s="3">
        <f>IF('ORDENES'!$A550="","",IF('ORDENES'!$V550="","-",'ORDENES'!$V550))</f>
        <v/>
      </c>
      <c r="E572" s="3">
        <f>IF('ORDENES'!$A550="","",IF('ORDENES'!$U550="","-",'ORDENES'!$U550))</f>
        <v/>
      </c>
      <c r="F572" s="3">
        <f>IF('ORDENES'!$A550="","",IF('ORDENES'!$W550="","-",'ORDENES'!$W550))</f>
        <v/>
      </c>
      <c r="G572" s="3">
        <f>IF('ORDENES'!$A550="","",IF('ORDENES'!$AB550="","-",'ORDENES'!$AB550))</f>
        <v/>
      </c>
      <c r="H572" s="3">
        <f>IF('ORDENES'!$A550="","",IF('ORDENES'!$AN550="","-",'ORDENES'!$AN550))</f>
        <v/>
      </c>
      <c r="I572" s="3">
        <f>IF('ORDENES'!$A550="","",IF('ORDENES'!$D550="","-",'ORDENES'!$D550))</f>
        <v/>
      </c>
      <c r="J572" s="3">
        <f>IF('ORDENES'!$A550="","",IF('ORDENES'!$E550="","-",'ORDENES'!$E550))</f>
        <v/>
      </c>
      <c r="K572" s="12">
        <f>IF('ORDENES'!$A550="","",IF('ORDENES'!$M550="",0,'ORDENES'!$M550))</f>
        <v/>
      </c>
      <c r="L572" s="3">
        <f>IF('ORDENES'!$A550="","",IF('ORDENES'!$N550="","-",'ORDENES'!$N550))</f>
        <v/>
      </c>
      <c r="M572" s="3">
        <f>IF('ORDENES'!$A550="","",'ORDENES'!$AA550)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IF('ORDENES'!$A551="","",IF('ORDENES'!$AC551="","-",'ORDENES'!$AC551))</f>
        <v/>
      </c>
      <c r="D573" s="3">
        <f>IF('ORDENES'!$A551="","",IF('ORDENES'!$V551="","-",'ORDENES'!$V551))</f>
        <v/>
      </c>
      <c r="E573" s="3">
        <f>IF('ORDENES'!$A551="","",IF('ORDENES'!$U551="","-",'ORDENES'!$U551))</f>
        <v/>
      </c>
      <c r="F573" s="3">
        <f>IF('ORDENES'!$A551="","",IF('ORDENES'!$W551="","-",'ORDENES'!$W551))</f>
        <v/>
      </c>
      <c r="G573" s="3">
        <f>IF('ORDENES'!$A551="","",IF('ORDENES'!$AB551="","-",'ORDENES'!$AB551))</f>
        <v/>
      </c>
      <c r="H573" s="3">
        <f>IF('ORDENES'!$A551="","",IF('ORDENES'!$AN551="","-",'ORDENES'!$AN551))</f>
        <v/>
      </c>
      <c r="I573" s="3">
        <f>IF('ORDENES'!$A551="","",IF('ORDENES'!$D551="","-",'ORDENES'!$D551))</f>
        <v/>
      </c>
      <c r="J573" s="3">
        <f>IF('ORDENES'!$A551="","",IF('ORDENES'!$E551="","-",'ORDENES'!$E551))</f>
        <v/>
      </c>
      <c r="K573" s="12">
        <f>IF('ORDENES'!$A551="","",IF('ORDENES'!$M551="",0,'ORDENES'!$M551))</f>
        <v/>
      </c>
      <c r="L573" s="3">
        <f>IF('ORDENES'!$A551="","",IF('ORDENES'!$N551="","-",'ORDENES'!$N551))</f>
        <v/>
      </c>
      <c r="M573" s="3">
        <f>IF('ORDENES'!$A551="","",'ORDENES'!$AA551)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IF('ORDENES'!$A552="","",IF('ORDENES'!$AC552="","-",'ORDENES'!$AC552))</f>
        <v/>
      </c>
      <c r="D574" s="3">
        <f>IF('ORDENES'!$A552="","",IF('ORDENES'!$V552="","-",'ORDENES'!$V552))</f>
        <v/>
      </c>
      <c r="E574" s="3">
        <f>IF('ORDENES'!$A552="","",IF('ORDENES'!$U552="","-",'ORDENES'!$U552))</f>
        <v/>
      </c>
      <c r="F574" s="3">
        <f>IF('ORDENES'!$A552="","",IF('ORDENES'!$W552="","-",'ORDENES'!$W552))</f>
        <v/>
      </c>
      <c r="G574" s="3">
        <f>IF('ORDENES'!$A552="","",IF('ORDENES'!$AB552="","-",'ORDENES'!$AB552))</f>
        <v/>
      </c>
      <c r="H574" s="3">
        <f>IF('ORDENES'!$A552="","",IF('ORDENES'!$AN552="","-",'ORDENES'!$AN552))</f>
        <v/>
      </c>
      <c r="I574" s="3">
        <f>IF('ORDENES'!$A552="","",IF('ORDENES'!$D552="","-",'ORDENES'!$D552))</f>
        <v/>
      </c>
      <c r="J574" s="3">
        <f>IF('ORDENES'!$A552="","",IF('ORDENES'!$E552="","-",'ORDENES'!$E552))</f>
        <v/>
      </c>
      <c r="K574" s="12">
        <f>IF('ORDENES'!$A552="","",IF('ORDENES'!$M552="",0,'ORDENES'!$M552))</f>
        <v/>
      </c>
      <c r="L574" s="3">
        <f>IF('ORDENES'!$A552="","",IF('ORDENES'!$N552="","-",'ORDENES'!$N552))</f>
        <v/>
      </c>
      <c r="M574" s="3">
        <f>IF('ORDENES'!$A552="","",'ORDENES'!$AA552)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IF('ORDENES'!$A553="","",IF('ORDENES'!$AC553="","-",'ORDENES'!$AC553))</f>
        <v/>
      </c>
      <c r="D575" s="3">
        <f>IF('ORDENES'!$A553="","",IF('ORDENES'!$V553="","-",'ORDENES'!$V553))</f>
        <v/>
      </c>
      <c r="E575" s="3">
        <f>IF('ORDENES'!$A553="","",IF('ORDENES'!$U553="","-",'ORDENES'!$U553))</f>
        <v/>
      </c>
      <c r="F575" s="3">
        <f>IF('ORDENES'!$A553="","",IF('ORDENES'!$W553="","-",'ORDENES'!$W553))</f>
        <v/>
      </c>
      <c r="G575" s="3">
        <f>IF('ORDENES'!$A553="","",IF('ORDENES'!$AB553="","-",'ORDENES'!$AB553))</f>
        <v/>
      </c>
      <c r="H575" s="3">
        <f>IF('ORDENES'!$A553="","",IF('ORDENES'!$AN553="","-",'ORDENES'!$AN553))</f>
        <v/>
      </c>
      <c r="I575" s="3">
        <f>IF('ORDENES'!$A553="","",IF('ORDENES'!$D553="","-",'ORDENES'!$D553))</f>
        <v/>
      </c>
      <c r="J575" s="3">
        <f>IF('ORDENES'!$A553="","",IF('ORDENES'!$E553="","-",'ORDENES'!$E553))</f>
        <v/>
      </c>
      <c r="K575" s="12">
        <f>IF('ORDENES'!$A553="","",IF('ORDENES'!$M553="",0,'ORDENES'!$M553))</f>
        <v/>
      </c>
      <c r="L575" s="3">
        <f>IF('ORDENES'!$A553="","",IF('ORDENES'!$N553="","-",'ORDENES'!$N553))</f>
        <v/>
      </c>
      <c r="M575" s="3">
        <f>IF('ORDENES'!$A553="","",'ORDENES'!$AA553)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IF('ORDENES'!$A554="","",IF('ORDENES'!$AC554="","-",'ORDENES'!$AC554))</f>
        <v/>
      </c>
      <c r="D576" s="3">
        <f>IF('ORDENES'!$A554="","",IF('ORDENES'!$V554="","-",'ORDENES'!$V554))</f>
        <v/>
      </c>
      <c r="E576" s="3">
        <f>IF('ORDENES'!$A554="","",IF('ORDENES'!$U554="","-",'ORDENES'!$U554))</f>
        <v/>
      </c>
      <c r="F576" s="3">
        <f>IF('ORDENES'!$A554="","",IF('ORDENES'!$W554="","-",'ORDENES'!$W554))</f>
        <v/>
      </c>
      <c r="G576" s="3">
        <f>IF('ORDENES'!$A554="","",IF('ORDENES'!$AB554="","-",'ORDENES'!$AB554))</f>
        <v/>
      </c>
      <c r="H576" s="3">
        <f>IF('ORDENES'!$A554="","",IF('ORDENES'!$AN554="","-",'ORDENES'!$AN554))</f>
        <v/>
      </c>
      <c r="I576" s="3">
        <f>IF('ORDENES'!$A554="","",IF('ORDENES'!$D554="","-",'ORDENES'!$D554))</f>
        <v/>
      </c>
      <c r="J576" s="3">
        <f>IF('ORDENES'!$A554="","",IF('ORDENES'!$E554="","-",'ORDENES'!$E554))</f>
        <v/>
      </c>
      <c r="K576" s="12">
        <f>IF('ORDENES'!$A554="","",IF('ORDENES'!$M554="",0,'ORDENES'!$M554))</f>
        <v/>
      </c>
      <c r="L576" s="3">
        <f>IF('ORDENES'!$A554="","",IF('ORDENES'!$N554="","-",'ORDENES'!$N554))</f>
        <v/>
      </c>
      <c r="M576" s="3">
        <f>IF('ORDENES'!$A554="","",'ORDENES'!$AA554)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IF('ORDENES'!$A555="","",IF('ORDENES'!$AC555="","-",'ORDENES'!$AC555))</f>
        <v/>
      </c>
      <c r="D577" s="3">
        <f>IF('ORDENES'!$A555="","",IF('ORDENES'!$V555="","-",'ORDENES'!$V555))</f>
        <v/>
      </c>
      <c r="E577" s="3">
        <f>IF('ORDENES'!$A555="","",IF('ORDENES'!$U555="","-",'ORDENES'!$U555))</f>
        <v/>
      </c>
      <c r="F577" s="3">
        <f>IF('ORDENES'!$A555="","",IF('ORDENES'!$W555="","-",'ORDENES'!$W555))</f>
        <v/>
      </c>
      <c r="G577" s="3">
        <f>IF('ORDENES'!$A555="","",IF('ORDENES'!$AB555="","-",'ORDENES'!$AB555))</f>
        <v/>
      </c>
      <c r="H577" s="3">
        <f>IF('ORDENES'!$A555="","",IF('ORDENES'!$AN555="","-",'ORDENES'!$AN555))</f>
        <v/>
      </c>
      <c r="I577" s="3">
        <f>IF('ORDENES'!$A555="","",IF('ORDENES'!$D555="","-",'ORDENES'!$D555))</f>
        <v/>
      </c>
      <c r="J577" s="3">
        <f>IF('ORDENES'!$A555="","",IF('ORDENES'!$E555="","-",'ORDENES'!$E555))</f>
        <v/>
      </c>
      <c r="K577" s="12">
        <f>IF('ORDENES'!$A555="","",IF('ORDENES'!$M555="",0,'ORDENES'!$M555))</f>
        <v/>
      </c>
      <c r="L577" s="3">
        <f>IF('ORDENES'!$A555="","",IF('ORDENES'!$N555="","-",'ORDENES'!$N555))</f>
        <v/>
      </c>
      <c r="M577" s="3">
        <f>IF('ORDENES'!$A555="","",'ORDENES'!$AA555)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IF('ORDENES'!$A556="","",IF('ORDENES'!$AC556="","-",'ORDENES'!$AC556))</f>
        <v/>
      </c>
      <c r="D578" s="3">
        <f>IF('ORDENES'!$A556="","",IF('ORDENES'!$V556="","-",'ORDENES'!$V556))</f>
        <v/>
      </c>
      <c r="E578" s="3">
        <f>IF('ORDENES'!$A556="","",IF('ORDENES'!$U556="","-",'ORDENES'!$U556))</f>
        <v/>
      </c>
      <c r="F578" s="3">
        <f>IF('ORDENES'!$A556="","",IF('ORDENES'!$W556="","-",'ORDENES'!$W556))</f>
        <v/>
      </c>
      <c r="G578" s="3">
        <f>IF('ORDENES'!$A556="","",IF('ORDENES'!$AB556="","-",'ORDENES'!$AB556))</f>
        <v/>
      </c>
      <c r="H578" s="3">
        <f>IF('ORDENES'!$A556="","",IF('ORDENES'!$AN556="","-",'ORDENES'!$AN556))</f>
        <v/>
      </c>
      <c r="I578" s="3">
        <f>IF('ORDENES'!$A556="","",IF('ORDENES'!$D556="","-",'ORDENES'!$D556))</f>
        <v/>
      </c>
      <c r="J578" s="3">
        <f>IF('ORDENES'!$A556="","",IF('ORDENES'!$E556="","-",'ORDENES'!$E556))</f>
        <v/>
      </c>
      <c r="K578" s="12">
        <f>IF('ORDENES'!$A556="","",IF('ORDENES'!$M556="",0,'ORDENES'!$M556))</f>
        <v/>
      </c>
      <c r="L578" s="3">
        <f>IF('ORDENES'!$A556="","",IF('ORDENES'!$N556="","-",'ORDENES'!$N556))</f>
        <v/>
      </c>
      <c r="M578" s="3">
        <f>IF('ORDENES'!$A556="","",'ORDENES'!$AA556)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IF('ORDENES'!$A557="","",IF('ORDENES'!$AC557="","-",'ORDENES'!$AC557))</f>
        <v/>
      </c>
      <c r="D579" s="3">
        <f>IF('ORDENES'!$A557="","",IF('ORDENES'!$V557="","-",'ORDENES'!$V557))</f>
        <v/>
      </c>
      <c r="E579" s="3">
        <f>IF('ORDENES'!$A557="","",IF('ORDENES'!$U557="","-",'ORDENES'!$U557))</f>
        <v/>
      </c>
      <c r="F579" s="3">
        <f>IF('ORDENES'!$A557="","",IF('ORDENES'!$W557="","-",'ORDENES'!$W557))</f>
        <v/>
      </c>
      <c r="G579" s="3">
        <f>IF('ORDENES'!$A557="","",IF('ORDENES'!$AB557="","-",'ORDENES'!$AB557))</f>
        <v/>
      </c>
      <c r="H579" s="3">
        <f>IF('ORDENES'!$A557="","",IF('ORDENES'!$AN557="","-",'ORDENES'!$AN557))</f>
        <v/>
      </c>
      <c r="I579" s="3">
        <f>IF('ORDENES'!$A557="","",IF('ORDENES'!$D557="","-",'ORDENES'!$D557))</f>
        <v/>
      </c>
      <c r="J579" s="3">
        <f>IF('ORDENES'!$A557="","",IF('ORDENES'!$E557="","-",'ORDENES'!$E557))</f>
        <v/>
      </c>
      <c r="K579" s="12">
        <f>IF('ORDENES'!$A557="","",IF('ORDENES'!$M557="",0,'ORDENES'!$M557))</f>
        <v/>
      </c>
      <c r="L579" s="3">
        <f>IF('ORDENES'!$A557="","",IF('ORDENES'!$N557="","-",'ORDENES'!$N557))</f>
        <v/>
      </c>
      <c r="M579" s="3">
        <f>IF('ORDENES'!$A557="","",'ORDENES'!$AA557)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IF('ORDENES'!$A558="","",IF('ORDENES'!$AC558="","-",'ORDENES'!$AC558))</f>
        <v/>
      </c>
      <c r="D580" s="3">
        <f>IF('ORDENES'!$A558="","",IF('ORDENES'!$V558="","-",'ORDENES'!$V558))</f>
        <v/>
      </c>
      <c r="E580" s="3">
        <f>IF('ORDENES'!$A558="","",IF('ORDENES'!$U558="","-",'ORDENES'!$U558))</f>
        <v/>
      </c>
      <c r="F580" s="3">
        <f>IF('ORDENES'!$A558="","",IF('ORDENES'!$W558="","-",'ORDENES'!$W558))</f>
        <v/>
      </c>
      <c r="G580" s="3">
        <f>IF('ORDENES'!$A558="","",IF('ORDENES'!$AB558="","-",'ORDENES'!$AB558))</f>
        <v/>
      </c>
      <c r="H580" s="3">
        <f>IF('ORDENES'!$A558="","",IF('ORDENES'!$AN558="","-",'ORDENES'!$AN558))</f>
        <v/>
      </c>
      <c r="I580" s="3">
        <f>IF('ORDENES'!$A558="","",IF('ORDENES'!$D558="","-",'ORDENES'!$D558))</f>
        <v/>
      </c>
      <c r="J580" s="3">
        <f>IF('ORDENES'!$A558="","",IF('ORDENES'!$E558="","-",'ORDENES'!$E558))</f>
        <v/>
      </c>
      <c r="K580" s="12">
        <f>IF('ORDENES'!$A558="","",IF('ORDENES'!$M558="",0,'ORDENES'!$M558))</f>
        <v/>
      </c>
      <c r="L580" s="3">
        <f>IF('ORDENES'!$A558="","",IF('ORDENES'!$N558="","-",'ORDENES'!$N558))</f>
        <v/>
      </c>
      <c r="M580" s="3">
        <f>IF('ORDENES'!$A558="","",'ORDENES'!$AA558)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IF('ORDENES'!$A559="","",IF('ORDENES'!$AC559="","-",'ORDENES'!$AC559))</f>
        <v/>
      </c>
      <c r="D581" s="3">
        <f>IF('ORDENES'!$A559="","",IF('ORDENES'!$V559="","-",'ORDENES'!$V559))</f>
        <v/>
      </c>
      <c r="E581" s="3">
        <f>IF('ORDENES'!$A559="","",IF('ORDENES'!$U559="","-",'ORDENES'!$U559))</f>
        <v/>
      </c>
      <c r="F581" s="3">
        <f>IF('ORDENES'!$A559="","",IF('ORDENES'!$W559="","-",'ORDENES'!$W559))</f>
        <v/>
      </c>
      <c r="G581" s="3">
        <f>IF('ORDENES'!$A559="","",IF('ORDENES'!$AB559="","-",'ORDENES'!$AB559))</f>
        <v/>
      </c>
      <c r="H581" s="3">
        <f>IF('ORDENES'!$A559="","",IF('ORDENES'!$AN559="","-",'ORDENES'!$AN559))</f>
        <v/>
      </c>
      <c r="I581" s="3">
        <f>IF('ORDENES'!$A559="","",IF('ORDENES'!$D559="","-",'ORDENES'!$D559))</f>
        <v/>
      </c>
      <c r="J581" s="3">
        <f>IF('ORDENES'!$A559="","",IF('ORDENES'!$E559="","-",'ORDENES'!$E559))</f>
        <v/>
      </c>
      <c r="K581" s="12">
        <f>IF('ORDENES'!$A559="","",IF('ORDENES'!$M559="",0,'ORDENES'!$M559))</f>
        <v/>
      </c>
      <c r="L581" s="3">
        <f>IF('ORDENES'!$A559="","",IF('ORDENES'!$N559="","-",'ORDENES'!$N559))</f>
        <v/>
      </c>
      <c r="M581" s="3">
        <f>IF('ORDENES'!$A559="","",'ORDENES'!$AA559)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IF('ORDENES'!$A560="","",IF('ORDENES'!$AC560="","-",'ORDENES'!$AC560))</f>
        <v/>
      </c>
      <c r="D582" s="3">
        <f>IF('ORDENES'!$A560="","",IF('ORDENES'!$V560="","-",'ORDENES'!$V560))</f>
        <v/>
      </c>
      <c r="E582" s="3">
        <f>IF('ORDENES'!$A560="","",IF('ORDENES'!$U560="","-",'ORDENES'!$U560))</f>
        <v/>
      </c>
      <c r="F582" s="3">
        <f>IF('ORDENES'!$A560="","",IF('ORDENES'!$W560="","-",'ORDENES'!$W560))</f>
        <v/>
      </c>
      <c r="G582" s="3">
        <f>IF('ORDENES'!$A560="","",IF('ORDENES'!$AB560="","-",'ORDENES'!$AB560))</f>
        <v/>
      </c>
      <c r="H582" s="3">
        <f>IF('ORDENES'!$A560="","",IF('ORDENES'!$AN560="","-",'ORDENES'!$AN560))</f>
        <v/>
      </c>
      <c r="I582" s="3">
        <f>IF('ORDENES'!$A560="","",IF('ORDENES'!$D560="","-",'ORDENES'!$D560))</f>
        <v/>
      </c>
      <c r="J582" s="3">
        <f>IF('ORDENES'!$A560="","",IF('ORDENES'!$E560="","-",'ORDENES'!$E560))</f>
        <v/>
      </c>
      <c r="K582" s="12">
        <f>IF('ORDENES'!$A560="","",IF('ORDENES'!$M560="",0,'ORDENES'!$M560))</f>
        <v/>
      </c>
      <c r="L582" s="3">
        <f>IF('ORDENES'!$A560="","",IF('ORDENES'!$N560="","-",'ORDENES'!$N560))</f>
        <v/>
      </c>
      <c r="M582" s="3">
        <f>IF('ORDENES'!$A560="","",'ORDENES'!$AA560)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IF('ORDENES'!$A561="","",IF('ORDENES'!$AC561="","-",'ORDENES'!$AC561))</f>
        <v/>
      </c>
      <c r="D583" s="3">
        <f>IF('ORDENES'!$A561="","",IF('ORDENES'!$V561="","-",'ORDENES'!$V561))</f>
        <v/>
      </c>
      <c r="E583" s="3">
        <f>IF('ORDENES'!$A561="","",IF('ORDENES'!$U561="","-",'ORDENES'!$U561))</f>
        <v/>
      </c>
      <c r="F583" s="3">
        <f>IF('ORDENES'!$A561="","",IF('ORDENES'!$W561="","-",'ORDENES'!$W561))</f>
        <v/>
      </c>
      <c r="G583" s="3">
        <f>IF('ORDENES'!$A561="","",IF('ORDENES'!$AB561="","-",'ORDENES'!$AB561))</f>
        <v/>
      </c>
      <c r="H583" s="3">
        <f>IF('ORDENES'!$A561="","",IF('ORDENES'!$AN561="","-",'ORDENES'!$AN561))</f>
        <v/>
      </c>
      <c r="I583" s="3">
        <f>IF('ORDENES'!$A561="","",IF('ORDENES'!$D561="","-",'ORDENES'!$D561))</f>
        <v/>
      </c>
      <c r="J583" s="3">
        <f>IF('ORDENES'!$A561="","",IF('ORDENES'!$E561="","-",'ORDENES'!$E561))</f>
        <v/>
      </c>
      <c r="K583" s="12">
        <f>IF('ORDENES'!$A561="","",IF('ORDENES'!$M561="",0,'ORDENES'!$M561))</f>
        <v/>
      </c>
      <c r="L583" s="3">
        <f>IF('ORDENES'!$A561="","",IF('ORDENES'!$N561="","-",'ORDENES'!$N561))</f>
        <v/>
      </c>
      <c r="M583" s="3">
        <f>IF('ORDENES'!$A561="","",'ORDENES'!$AA561)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IF('ORDENES'!$A562="","",IF('ORDENES'!$AC562="","-",'ORDENES'!$AC562))</f>
        <v/>
      </c>
      <c r="D584" s="3">
        <f>IF('ORDENES'!$A562="","",IF('ORDENES'!$V562="","-",'ORDENES'!$V562))</f>
        <v/>
      </c>
      <c r="E584" s="3">
        <f>IF('ORDENES'!$A562="","",IF('ORDENES'!$U562="","-",'ORDENES'!$U562))</f>
        <v/>
      </c>
      <c r="F584" s="3">
        <f>IF('ORDENES'!$A562="","",IF('ORDENES'!$W562="","-",'ORDENES'!$W562))</f>
        <v/>
      </c>
      <c r="G584" s="3">
        <f>IF('ORDENES'!$A562="","",IF('ORDENES'!$AB562="","-",'ORDENES'!$AB562))</f>
        <v/>
      </c>
      <c r="H584" s="3">
        <f>IF('ORDENES'!$A562="","",IF('ORDENES'!$AN562="","-",'ORDENES'!$AN562))</f>
        <v/>
      </c>
      <c r="I584" s="3">
        <f>IF('ORDENES'!$A562="","",IF('ORDENES'!$D562="","-",'ORDENES'!$D562))</f>
        <v/>
      </c>
      <c r="J584" s="3">
        <f>IF('ORDENES'!$A562="","",IF('ORDENES'!$E562="","-",'ORDENES'!$E562))</f>
        <v/>
      </c>
      <c r="K584" s="12">
        <f>IF('ORDENES'!$A562="","",IF('ORDENES'!$M562="",0,'ORDENES'!$M562))</f>
        <v/>
      </c>
      <c r="L584" s="3">
        <f>IF('ORDENES'!$A562="","",IF('ORDENES'!$N562="","-",'ORDENES'!$N562))</f>
        <v/>
      </c>
      <c r="M584" s="3">
        <f>IF('ORDENES'!$A562="","",'ORDENES'!$AA562)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IF('ORDENES'!$A563="","",IF('ORDENES'!$AC563="","-",'ORDENES'!$AC563))</f>
        <v/>
      </c>
      <c r="D585" s="3">
        <f>IF('ORDENES'!$A563="","",IF('ORDENES'!$V563="","-",'ORDENES'!$V563))</f>
        <v/>
      </c>
      <c r="E585" s="3">
        <f>IF('ORDENES'!$A563="","",IF('ORDENES'!$U563="","-",'ORDENES'!$U563))</f>
        <v/>
      </c>
      <c r="F585" s="3">
        <f>IF('ORDENES'!$A563="","",IF('ORDENES'!$W563="","-",'ORDENES'!$W563))</f>
        <v/>
      </c>
      <c r="G585" s="3">
        <f>IF('ORDENES'!$A563="","",IF('ORDENES'!$AB563="","-",'ORDENES'!$AB563))</f>
        <v/>
      </c>
      <c r="H585" s="3">
        <f>IF('ORDENES'!$A563="","",IF('ORDENES'!$AN563="","-",'ORDENES'!$AN563))</f>
        <v/>
      </c>
      <c r="I585" s="3">
        <f>IF('ORDENES'!$A563="","",IF('ORDENES'!$D563="","-",'ORDENES'!$D563))</f>
        <v/>
      </c>
      <c r="J585" s="3">
        <f>IF('ORDENES'!$A563="","",IF('ORDENES'!$E563="","-",'ORDENES'!$E563))</f>
        <v/>
      </c>
      <c r="K585" s="12">
        <f>IF('ORDENES'!$A563="","",IF('ORDENES'!$M563="",0,'ORDENES'!$M563))</f>
        <v/>
      </c>
      <c r="L585" s="3">
        <f>IF('ORDENES'!$A563="","",IF('ORDENES'!$N563="","-",'ORDENES'!$N563))</f>
        <v/>
      </c>
      <c r="M585" s="3">
        <f>IF('ORDENES'!$A563="","",'ORDENES'!$AA563)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IF('ORDENES'!$A564="","",IF('ORDENES'!$AC564="","-",'ORDENES'!$AC564))</f>
        <v/>
      </c>
      <c r="D586" s="3">
        <f>IF('ORDENES'!$A564="","",IF('ORDENES'!$V564="","-",'ORDENES'!$V564))</f>
        <v/>
      </c>
      <c r="E586" s="3">
        <f>IF('ORDENES'!$A564="","",IF('ORDENES'!$U564="","-",'ORDENES'!$U564))</f>
        <v/>
      </c>
      <c r="F586" s="3">
        <f>IF('ORDENES'!$A564="","",IF('ORDENES'!$W564="","-",'ORDENES'!$W564))</f>
        <v/>
      </c>
      <c r="G586" s="3">
        <f>IF('ORDENES'!$A564="","",IF('ORDENES'!$AB564="","-",'ORDENES'!$AB564))</f>
        <v/>
      </c>
      <c r="H586" s="3">
        <f>IF('ORDENES'!$A564="","",IF('ORDENES'!$AN564="","-",'ORDENES'!$AN564))</f>
        <v/>
      </c>
      <c r="I586" s="3">
        <f>IF('ORDENES'!$A564="","",IF('ORDENES'!$D564="","-",'ORDENES'!$D564))</f>
        <v/>
      </c>
      <c r="J586" s="3">
        <f>IF('ORDENES'!$A564="","",IF('ORDENES'!$E564="","-",'ORDENES'!$E564))</f>
        <v/>
      </c>
      <c r="K586" s="12">
        <f>IF('ORDENES'!$A564="","",IF('ORDENES'!$M564="",0,'ORDENES'!$M564))</f>
        <v/>
      </c>
      <c r="L586" s="3">
        <f>IF('ORDENES'!$A564="","",IF('ORDENES'!$N564="","-",'ORDENES'!$N564))</f>
        <v/>
      </c>
      <c r="M586" s="3">
        <f>IF('ORDENES'!$A564="","",'ORDENES'!$AA564)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IF('ORDENES'!$A565="","",IF('ORDENES'!$AC565="","-",'ORDENES'!$AC565))</f>
        <v/>
      </c>
      <c r="D587" s="3">
        <f>IF('ORDENES'!$A565="","",IF('ORDENES'!$V565="","-",'ORDENES'!$V565))</f>
        <v/>
      </c>
      <c r="E587" s="3">
        <f>IF('ORDENES'!$A565="","",IF('ORDENES'!$U565="","-",'ORDENES'!$U565))</f>
        <v/>
      </c>
      <c r="F587" s="3">
        <f>IF('ORDENES'!$A565="","",IF('ORDENES'!$W565="","-",'ORDENES'!$W565))</f>
        <v/>
      </c>
      <c r="G587" s="3">
        <f>IF('ORDENES'!$A565="","",IF('ORDENES'!$AB565="","-",'ORDENES'!$AB565))</f>
        <v/>
      </c>
      <c r="H587" s="3">
        <f>IF('ORDENES'!$A565="","",IF('ORDENES'!$AN565="","-",'ORDENES'!$AN565))</f>
        <v/>
      </c>
      <c r="I587" s="3">
        <f>IF('ORDENES'!$A565="","",IF('ORDENES'!$D565="","-",'ORDENES'!$D565))</f>
        <v/>
      </c>
      <c r="J587" s="3">
        <f>IF('ORDENES'!$A565="","",IF('ORDENES'!$E565="","-",'ORDENES'!$E565))</f>
        <v/>
      </c>
      <c r="K587" s="12">
        <f>IF('ORDENES'!$A565="","",IF('ORDENES'!$M565="",0,'ORDENES'!$M565))</f>
        <v/>
      </c>
      <c r="L587" s="3">
        <f>IF('ORDENES'!$A565="","",IF('ORDENES'!$N565="","-",'ORDENES'!$N565))</f>
        <v/>
      </c>
      <c r="M587" s="3">
        <f>IF('ORDENES'!$A565="","",'ORDENES'!$AA565)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IF('ORDENES'!$A566="","",IF('ORDENES'!$AC566="","-",'ORDENES'!$AC566))</f>
        <v/>
      </c>
      <c r="D588" s="3">
        <f>IF('ORDENES'!$A566="","",IF('ORDENES'!$V566="","-",'ORDENES'!$V566))</f>
        <v/>
      </c>
      <c r="E588" s="3">
        <f>IF('ORDENES'!$A566="","",IF('ORDENES'!$U566="","-",'ORDENES'!$U566))</f>
        <v/>
      </c>
      <c r="F588" s="3">
        <f>IF('ORDENES'!$A566="","",IF('ORDENES'!$W566="","-",'ORDENES'!$W566))</f>
        <v/>
      </c>
      <c r="G588" s="3">
        <f>IF('ORDENES'!$A566="","",IF('ORDENES'!$AB566="","-",'ORDENES'!$AB566))</f>
        <v/>
      </c>
      <c r="H588" s="3">
        <f>IF('ORDENES'!$A566="","",IF('ORDENES'!$AN566="","-",'ORDENES'!$AN566))</f>
        <v/>
      </c>
      <c r="I588" s="3">
        <f>IF('ORDENES'!$A566="","",IF('ORDENES'!$D566="","-",'ORDENES'!$D566))</f>
        <v/>
      </c>
      <c r="J588" s="3">
        <f>IF('ORDENES'!$A566="","",IF('ORDENES'!$E566="","-",'ORDENES'!$E566))</f>
        <v/>
      </c>
      <c r="K588" s="12">
        <f>IF('ORDENES'!$A566="","",IF('ORDENES'!$M566="",0,'ORDENES'!$M566))</f>
        <v/>
      </c>
      <c r="L588" s="3">
        <f>IF('ORDENES'!$A566="","",IF('ORDENES'!$N566="","-",'ORDENES'!$N566))</f>
        <v/>
      </c>
      <c r="M588" s="3">
        <f>IF('ORDENES'!$A566="","",'ORDENES'!$AA566)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IF('ORDENES'!$A567="","",IF('ORDENES'!$AC567="","-",'ORDENES'!$AC567))</f>
        <v/>
      </c>
      <c r="D589" s="3">
        <f>IF('ORDENES'!$A567="","",IF('ORDENES'!$V567="","-",'ORDENES'!$V567))</f>
        <v/>
      </c>
      <c r="E589" s="3">
        <f>IF('ORDENES'!$A567="","",IF('ORDENES'!$U567="","-",'ORDENES'!$U567))</f>
        <v/>
      </c>
      <c r="F589" s="3">
        <f>IF('ORDENES'!$A567="","",IF('ORDENES'!$W567="","-",'ORDENES'!$W567))</f>
        <v/>
      </c>
      <c r="G589" s="3">
        <f>IF('ORDENES'!$A567="","",IF('ORDENES'!$AB567="","-",'ORDENES'!$AB567))</f>
        <v/>
      </c>
      <c r="H589" s="3">
        <f>IF('ORDENES'!$A567="","",IF('ORDENES'!$AN567="","-",'ORDENES'!$AN567))</f>
        <v/>
      </c>
      <c r="I589" s="3">
        <f>IF('ORDENES'!$A567="","",IF('ORDENES'!$D567="","-",'ORDENES'!$D567))</f>
        <v/>
      </c>
      <c r="J589" s="3">
        <f>IF('ORDENES'!$A567="","",IF('ORDENES'!$E567="","-",'ORDENES'!$E567))</f>
        <v/>
      </c>
      <c r="K589" s="12">
        <f>IF('ORDENES'!$A567="","",IF('ORDENES'!$M567="",0,'ORDENES'!$M567))</f>
        <v/>
      </c>
      <c r="L589" s="3">
        <f>IF('ORDENES'!$A567="","",IF('ORDENES'!$N567="","-",'ORDENES'!$N567))</f>
        <v/>
      </c>
      <c r="M589" s="3">
        <f>IF('ORDENES'!$A567="","",'ORDENES'!$AA567)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IF('ORDENES'!$A568="","",IF('ORDENES'!$AC568="","-",'ORDENES'!$AC568))</f>
        <v/>
      </c>
      <c r="D590" s="3">
        <f>IF('ORDENES'!$A568="","",IF('ORDENES'!$V568="","-",'ORDENES'!$V568))</f>
        <v/>
      </c>
      <c r="E590" s="3">
        <f>IF('ORDENES'!$A568="","",IF('ORDENES'!$U568="","-",'ORDENES'!$U568))</f>
        <v/>
      </c>
      <c r="F590" s="3">
        <f>IF('ORDENES'!$A568="","",IF('ORDENES'!$W568="","-",'ORDENES'!$W568))</f>
        <v/>
      </c>
      <c r="G590" s="3">
        <f>IF('ORDENES'!$A568="","",IF('ORDENES'!$AB568="","-",'ORDENES'!$AB568))</f>
        <v/>
      </c>
      <c r="H590" s="3">
        <f>IF('ORDENES'!$A568="","",IF('ORDENES'!$AN568="","-",'ORDENES'!$AN568))</f>
        <v/>
      </c>
      <c r="I590" s="3">
        <f>IF('ORDENES'!$A568="","",IF('ORDENES'!$D568="","-",'ORDENES'!$D568))</f>
        <v/>
      </c>
      <c r="J590" s="3">
        <f>IF('ORDENES'!$A568="","",IF('ORDENES'!$E568="","-",'ORDENES'!$E568))</f>
        <v/>
      </c>
      <c r="K590" s="12">
        <f>IF('ORDENES'!$A568="","",IF('ORDENES'!$M568="",0,'ORDENES'!$M568))</f>
        <v/>
      </c>
      <c r="L590" s="3">
        <f>IF('ORDENES'!$A568="","",IF('ORDENES'!$N568="","-",'ORDENES'!$N568))</f>
        <v/>
      </c>
      <c r="M590" s="3">
        <f>IF('ORDENES'!$A568="","",'ORDENES'!$AA568)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IF('ORDENES'!$A569="","",IF('ORDENES'!$AC569="","-",'ORDENES'!$AC569))</f>
        <v/>
      </c>
      <c r="D591" s="3">
        <f>IF('ORDENES'!$A569="","",IF('ORDENES'!$V569="","-",'ORDENES'!$V569))</f>
        <v/>
      </c>
      <c r="E591" s="3">
        <f>IF('ORDENES'!$A569="","",IF('ORDENES'!$U569="","-",'ORDENES'!$U569))</f>
        <v/>
      </c>
      <c r="F591" s="3">
        <f>IF('ORDENES'!$A569="","",IF('ORDENES'!$W569="","-",'ORDENES'!$W569))</f>
        <v/>
      </c>
      <c r="G591" s="3">
        <f>IF('ORDENES'!$A569="","",IF('ORDENES'!$AB569="","-",'ORDENES'!$AB569))</f>
        <v/>
      </c>
      <c r="H591" s="3">
        <f>IF('ORDENES'!$A569="","",IF('ORDENES'!$AN569="","-",'ORDENES'!$AN569))</f>
        <v/>
      </c>
      <c r="I591" s="3">
        <f>IF('ORDENES'!$A569="","",IF('ORDENES'!$D569="","-",'ORDENES'!$D569))</f>
        <v/>
      </c>
      <c r="J591" s="3">
        <f>IF('ORDENES'!$A569="","",IF('ORDENES'!$E569="","-",'ORDENES'!$E569))</f>
        <v/>
      </c>
      <c r="K591" s="12">
        <f>IF('ORDENES'!$A569="","",IF('ORDENES'!$M569="",0,'ORDENES'!$M569))</f>
        <v/>
      </c>
      <c r="L591" s="3">
        <f>IF('ORDENES'!$A569="","",IF('ORDENES'!$N569="","-",'ORDENES'!$N569))</f>
        <v/>
      </c>
      <c r="M591" s="3">
        <f>IF('ORDENES'!$A569="","",'ORDENES'!$AA569)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IF('ORDENES'!$A570="","",IF('ORDENES'!$AC570="","-",'ORDENES'!$AC570))</f>
        <v/>
      </c>
      <c r="D592" s="3">
        <f>IF('ORDENES'!$A570="","",IF('ORDENES'!$V570="","-",'ORDENES'!$V570))</f>
        <v/>
      </c>
      <c r="E592" s="3">
        <f>IF('ORDENES'!$A570="","",IF('ORDENES'!$U570="","-",'ORDENES'!$U570))</f>
        <v/>
      </c>
      <c r="F592" s="3">
        <f>IF('ORDENES'!$A570="","",IF('ORDENES'!$W570="","-",'ORDENES'!$W570))</f>
        <v/>
      </c>
      <c r="G592" s="3">
        <f>IF('ORDENES'!$A570="","",IF('ORDENES'!$AB570="","-",'ORDENES'!$AB570))</f>
        <v/>
      </c>
      <c r="H592" s="3">
        <f>IF('ORDENES'!$A570="","",IF('ORDENES'!$AN570="","-",'ORDENES'!$AN570))</f>
        <v/>
      </c>
      <c r="I592" s="3">
        <f>IF('ORDENES'!$A570="","",IF('ORDENES'!$D570="","-",'ORDENES'!$D570))</f>
        <v/>
      </c>
      <c r="J592" s="3">
        <f>IF('ORDENES'!$A570="","",IF('ORDENES'!$E570="","-",'ORDENES'!$E570))</f>
        <v/>
      </c>
      <c r="K592" s="12">
        <f>IF('ORDENES'!$A570="","",IF('ORDENES'!$M570="",0,'ORDENES'!$M570))</f>
        <v/>
      </c>
      <c r="L592" s="3">
        <f>IF('ORDENES'!$A570="","",IF('ORDENES'!$N570="","-",'ORDENES'!$N570))</f>
        <v/>
      </c>
      <c r="M592" s="3">
        <f>IF('ORDENES'!$A570="","",'ORDENES'!$AA570)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IF('ORDENES'!$A571="","",IF('ORDENES'!$AC571="","-",'ORDENES'!$AC571))</f>
        <v/>
      </c>
      <c r="D593" s="3">
        <f>IF('ORDENES'!$A571="","",IF('ORDENES'!$V571="","-",'ORDENES'!$V571))</f>
        <v/>
      </c>
      <c r="E593" s="3">
        <f>IF('ORDENES'!$A571="","",IF('ORDENES'!$U571="","-",'ORDENES'!$U571))</f>
        <v/>
      </c>
      <c r="F593" s="3">
        <f>IF('ORDENES'!$A571="","",IF('ORDENES'!$W571="","-",'ORDENES'!$W571))</f>
        <v/>
      </c>
      <c r="G593" s="3">
        <f>IF('ORDENES'!$A571="","",IF('ORDENES'!$AB571="","-",'ORDENES'!$AB571))</f>
        <v/>
      </c>
      <c r="H593" s="3">
        <f>IF('ORDENES'!$A571="","",IF('ORDENES'!$AN571="","-",'ORDENES'!$AN571))</f>
        <v/>
      </c>
      <c r="I593" s="3">
        <f>IF('ORDENES'!$A571="","",IF('ORDENES'!$D571="","-",'ORDENES'!$D571))</f>
        <v/>
      </c>
      <c r="J593" s="3">
        <f>IF('ORDENES'!$A571="","",IF('ORDENES'!$E571="","-",'ORDENES'!$E571))</f>
        <v/>
      </c>
      <c r="K593" s="12">
        <f>IF('ORDENES'!$A571="","",IF('ORDENES'!$M571="",0,'ORDENES'!$M571))</f>
        <v/>
      </c>
      <c r="L593" s="3">
        <f>IF('ORDENES'!$A571="","",IF('ORDENES'!$N571="","-",'ORDENES'!$N571))</f>
        <v/>
      </c>
      <c r="M593" s="3">
        <f>IF('ORDENES'!$A571="","",'ORDENES'!$AA571)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IF('ORDENES'!$A572="","",IF('ORDENES'!$AC572="","-",'ORDENES'!$AC572))</f>
        <v/>
      </c>
      <c r="D594" s="3">
        <f>IF('ORDENES'!$A572="","",IF('ORDENES'!$V572="","-",'ORDENES'!$V572))</f>
        <v/>
      </c>
      <c r="E594" s="3">
        <f>IF('ORDENES'!$A572="","",IF('ORDENES'!$U572="","-",'ORDENES'!$U572))</f>
        <v/>
      </c>
      <c r="F594" s="3">
        <f>IF('ORDENES'!$A572="","",IF('ORDENES'!$W572="","-",'ORDENES'!$W572))</f>
        <v/>
      </c>
      <c r="G594" s="3">
        <f>IF('ORDENES'!$A572="","",IF('ORDENES'!$AB572="","-",'ORDENES'!$AB572))</f>
        <v/>
      </c>
      <c r="H594" s="3">
        <f>IF('ORDENES'!$A572="","",IF('ORDENES'!$AN572="","-",'ORDENES'!$AN572))</f>
        <v/>
      </c>
      <c r="I594" s="3">
        <f>IF('ORDENES'!$A572="","",IF('ORDENES'!$D572="","-",'ORDENES'!$D572))</f>
        <v/>
      </c>
      <c r="J594" s="3">
        <f>IF('ORDENES'!$A572="","",IF('ORDENES'!$E572="","-",'ORDENES'!$E572))</f>
        <v/>
      </c>
      <c r="K594" s="12">
        <f>IF('ORDENES'!$A572="","",IF('ORDENES'!$M572="",0,'ORDENES'!$M572))</f>
        <v/>
      </c>
      <c r="L594" s="3">
        <f>IF('ORDENES'!$A572="","",IF('ORDENES'!$N572="","-",'ORDENES'!$N572))</f>
        <v/>
      </c>
      <c r="M594" s="3">
        <f>IF('ORDENES'!$A572="","",'ORDENES'!$AA572)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IF('ORDENES'!$A573="","",IF('ORDENES'!$AC573="","-",'ORDENES'!$AC573))</f>
        <v/>
      </c>
      <c r="D595" s="3">
        <f>IF('ORDENES'!$A573="","",IF('ORDENES'!$V573="","-",'ORDENES'!$V573))</f>
        <v/>
      </c>
      <c r="E595" s="3">
        <f>IF('ORDENES'!$A573="","",IF('ORDENES'!$U573="","-",'ORDENES'!$U573))</f>
        <v/>
      </c>
      <c r="F595" s="3">
        <f>IF('ORDENES'!$A573="","",IF('ORDENES'!$W573="","-",'ORDENES'!$W573))</f>
        <v/>
      </c>
      <c r="G595" s="3">
        <f>IF('ORDENES'!$A573="","",IF('ORDENES'!$AB573="","-",'ORDENES'!$AB573))</f>
        <v/>
      </c>
      <c r="H595" s="3">
        <f>IF('ORDENES'!$A573="","",IF('ORDENES'!$AN573="","-",'ORDENES'!$AN573))</f>
        <v/>
      </c>
      <c r="I595" s="3">
        <f>IF('ORDENES'!$A573="","",IF('ORDENES'!$D573="","-",'ORDENES'!$D573))</f>
        <v/>
      </c>
      <c r="J595" s="3">
        <f>IF('ORDENES'!$A573="","",IF('ORDENES'!$E573="","-",'ORDENES'!$E573))</f>
        <v/>
      </c>
      <c r="K595" s="12">
        <f>IF('ORDENES'!$A573="","",IF('ORDENES'!$M573="",0,'ORDENES'!$M573))</f>
        <v/>
      </c>
      <c r="L595" s="3">
        <f>IF('ORDENES'!$A573="","",IF('ORDENES'!$N573="","-",'ORDENES'!$N573))</f>
        <v/>
      </c>
      <c r="M595" s="3">
        <f>IF('ORDENES'!$A573="","",'ORDENES'!$AA573)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IF('ORDENES'!$A574="","",IF('ORDENES'!$AC574="","-",'ORDENES'!$AC574))</f>
        <v/>
      </c>
      <c r="D596" s="3">
        <f>IF('ORDENES'!$A574="","",IF('ORDENES'!$V574="","-",'ORDENES'!$V574))</f>
        <v/>
      </c>
      <c r="E596" s="3">
        <f>IF('ORDENES'!$A574="","",IF('ORDENES'!$U574="","-",'ORDENES'!$U574))</f>
        <v/>
      </c>
      <c r="F596" s="3">
        <f>IF('ORDENES'!$A574="","",IF('ORDENES'!$W574="","-",'ORDENES'!$W574))</f>
        <v/>
      </c>
      <c r="G596" s="3">
        <f>IF('ORDENES'!$A574="","",IF('ORDENES'!$AB574="","-",'ORDENES'!$AB574))</f>
        <v/>
      </c>
      <c r="H596" s="3">
        <f>IF('ORDENES'!$A574="","",IF('ORDENES'!$AN574="","-",'ORDENES'!$AN574))</f>
        <v/>
      </c>
      <c r="I596" s="3">
        <f>IF('ORDENES'!$A574="","",IF('ORDENES'!$D574="","-",'ORDENES'!$D574))</f>
        <v/>
      </c>
      <c r="J596" s="3">
        <f>IF('ORDENES'!$A574="","",IF('ORDENES'!$E574="","-",'ORDENES'!$E574))</f>
        <v/>
      </c>
      <c r="K596" s="12">
        <f>IF('ORDENES'!$A574="","",IF('ORDENES'!$M574="",0,'ORDENES'!$M574))</f>
        <v/>
      </c>
      <c r="L596" s="3">
        <f>IF('ORDENES'!$A574="","",IF('ORDENES'!$N574="","-",'ORDENES'!$N574))</f>
        <v/>
      </c>
      <c r="M596" s="3">
        <f>IF('ORDENES'!$A574="","",'ORDENES'!$AA574)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IF('ORDENES'!$A575="","",IF('ORDENES'!$AC575="","-",'ORDENES'!$AC575))</f>
        <v/>
      </c>
      <c r="D597" s="3">
        <f>IF('ORDENES'!$A575="","",IF('ORDENES'!$V575="","-",'ORDENES'!$V575))</f>
        <v/>
      </c>
      <c r="E597" s="3">
        <f>IF('ORDENES'!$A575="","",IF('ORDENES'!$U575="","-",'ORDENES'!$U575))</f>
        <v/>
      </c>
      <c r="F597" s="3">
        <f>IF('ORDENES'!$A575="","",IF('ORDENES'!$W575="","-",'ORDENES'!$W575))</f>
        <v/>
      </c>
      <c r="G597" s="3">
        <f>IF('ORDENES'!$A575="","",IF('ORDENES'!$AB575="","-",'ORDENES'!$AB575))</f>
        <v/>
      </c>
      <c r="H597" s="3">
        <f>IF('ORDENES'!$A575="","",IF('ORDENES'!$AN575="","-",'ORDENES'!$AN575))</f>
        <v/>
      </c>
      <c r="I597" s="3">
        <f>IF('ORDENES'!$A575="","",IF('ORDENES'!$D575="","-",'ORDENES'!$D575))</f>
        <v/>
      </c>
      <c r="J597" s="3">
        <f>IF('ORDENES'!$A575="","",IF('ORDENES'!$E575="","-",'ORDENES'!$E575))</f>
        <v/>
      </c>
      <c r="K597" s="12">
        <f>IF('ORDENES'!$A575="","",IF('ORDENES'!$M575="",0,'ORDENES'!$M575))</f>
        <v/>
      </c>
      <c r="L597" s="3">
        <f>IF('ORDENES'!$A575="","",IF('ORDENES'!$N575="","-",'ORDENES'!$N575))</f>
        <v/>
      </c>
      <c r="M597" s="3">
        <f>IF('ORDENES'!$A575="","",'ORDENES'!$AA575)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IF('ORDENES'!$A576="","",IF('ORDENES'!$AC576="","-",'ORDENES'!$AC576))</f>
        <v/>
      </c>
      <c r="D598" s="3">
        <f>IF('ORDENES'!$A576="","",IF('ORDENES'!$V576="","-",'ORDENES'!$V576))</f>
        <v/>
      </c>
      <c r="E598" s="3">
        <f>IF('ORDENES'!$A576="","",IF('ORDENES'!$U576="","-",'ORDENES'!$U576))</f>
        <v/>
      </c>
      <c r="F598" s="3">
        <f>IF('ORDENES'!$A576="","",IF('ORDENES'!$W576="","-",'ORDENES'!$W576))</f>
        <v/>
      </c>
      <c r="G598" s="3">
        <f>IF('ORDENES'!$A576="","",IF('ORDENES'!$AB576="","-",'ORDENES'!$AB576))</f>
        <v/>
      </c>
      <c r="H598" s="3">
        <f>IF('ORDENES'!$A576="","",IF('ORDENES'!$AN576="","-",'ORDENES'!$AN576))</f>
        <v/>
      </c>
      <c r="I598" s="3">
        <f>IF('ORDENES'!$A576="","",IF('ORDENES'!$D576="","-",'ORDENES'!$D576))</f>
        <v/>
      </c>
      <c r="J598" s="3">
        <f>IF('ORDENES'!$A576="","",IF('ORDENES'!$E576="","-",'ORDENES'!$E576))</f>
        <v/>
      </c>
      <c r="K598" s="12">
        <f>IF('ORDENES'!$A576="","",IF('ORDENES'!$M576="",0,'ORDENES'!$M576))</f>
        <v/>
      </c>
      <c r="L598" s="3">
        <f>IF('ORDENES'!$A576="","",IF('ORDENES'!$N576="","-",'ORDENES'!$N576))</f>
        <v/>
      </c>
      <c r="M598" s="3">
        <f>IF('ORDENES'!$A576="","",'ORDENES'!$AA576)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IF('ORDENES'!$A577="","",IF('ORDENES'!$AC577="","-",'ORDENES'!$AC577))</f>
        <v/>
      </c>
      <c r="D599" s="3">
        <f>IF('ORDENES'!$A577="","",IF('ORDENES'!$V577="","-",'ORDENES'!$V577))</f>
        <v/>
      </c>
      <c r="E599" s="3">
        <f>IF('ORDENES'!$A577="","",IF('ORDENES'!$U577="","-",'ORDENES'!$U577))</f>
        <v/>
      </c>
      <c r="F599" s="3">
        <f>IF('ORDENES'!$A577="","",IF('ORDENES'!$W577="","-",'ORDENES'!$W577))</f>
        <v/>
      </c>
      <c r="G599" s="3">
        <f>IF('ORDENES'!$A577="","",IF('ORDENES'!$AB577="","-",'ORDENES'!$AB577))</f>
        <v/>
      </c>
      <c r="H599" s="3">
        <f>IF('ORDENES'!$A577="","",IF('ORDENES'!$AN577="","-",'ORDENES'!$AN577))</f>
        <v/>
      </c>
      <c r="I599" s="3">
        <f>IF('ORDENES'!$A577="","",IF('ORDENES'!$D577="","-",'ORDENES'!$D577))</f>
        <v/>
      </c>
      <c r="J599" s="3">
        <f>IF('ORDENES'!$A577="","",IF('ORDENES'!$E577="","-",'ORDENES'!$E577))</f>
        <v/>
      </c>
      <c r="K599" s="12">
        <f>IF('ORDENES'!$A577="","",IF('ORDENES'!$M577="",0,'ORDENES'!$M577))</f>
        <v/>
      </c>
      <c r="L599" s="3">
        <f>IF('ORDENES'!$A577="","",IF('ORDENES'!$N577="","-",'ORDENES'!$N577))</f>
        <v/>
      </c>
      <c r="M599" s="3">
        <f>IF('ORDENES'!$A577="","",'ORDENES'!$AA577)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IF('ORDENES'!$A578="","",IF('ORDENES'!$AC578="","-",'ORDENES'!$AC578))</f>
        <v/>
      </c>
      <c r="D600" s="3">
        <f>IF('ORDENES'!$A578="","",IF('ORDENES'!$V578="","-",'ORDENES'!$V578))</f>
        <v/>
      </c>
      <c r="E600" s="3">
        <f>IF('ORDENES'!$A578="","",IF('ORDENES'!$U578="","-",'ORDENES'!$U578))</f>
        <v/>
      </c>
      <c r="F600" s="3">
        <f>IF('ORDENES'!$A578="","",IF('ORDENES'!$W578="","-",'ORDENES'!$W578))</f>
        <v/>
      </c>
      <c r="G600" s="3">
        <f>IF('ORDENES'!$A578="","",IF('ORDENES'!$AB578="","-",'ORDENES'!$AB578))</f>
        <v/>
      </c>
      <c r="H600" s="3">
        <f>IF('ORDENES'!$A578="","",IF('ORDENES'!$AN578="","-",'ORDENES'!$AN578))</f>
        <v/>
      </c>
      <c r="I600" s="3">
        <f>IF('ORDENES'!$A578="","",IF('ORDENES'!$D578="","-",'ORDENES'!$D578))</f>
        <v/>
      </c>
      <c r="J600" s="3">
        <f>IF('ORDENES'!$A578="","",IF('ORDENES'!$E578="","-",'ORDENES'!$E578))</f>
        <v/>
      </c>
      <c r="K600" s="12">
        <f>IF('ORDENES'!$A578="","",IF('ORDENES'!$M578="",0,'ORDENES'!$M578))</f>
        <v/>
      </c>
      <c r="L600" s="3">
        <f>IF('ORDENES'!$A578="","",IF('ORDENES'!$N578="","-",'ORDENES'!$N578))</f>
        <v/>
      </c>
      <c r="M600" s="3">
        <f>IF('ORDENES'!$A578="","",'ORDENES'!$AA578)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IF('ORDENES'!$A579="","",IF('ORDENES'!$AC579="","-",'ORDENES'!$AC579))</f>
        <v/>
      </c>
      <c r="D601" s="3">
        <f>IF('ORDENES'!$A579="","",IF('ORDENES'!$V579="","-",'ORDENES'!$V579))</f>
        <v/>
      </c>
      <c r="E601" s="3">
        <f>IF('ORDENES'!$A579="","",IF('ORDENES'!$U579="","-",'ORDENES'!$U579))</f>
        <v/>
      </c>
      <c r="F601" s="3">
        <f>IF('ORDENES'!$A579="","",IF('ORDENES'!$W579="","-",'ORDENES'!$W579))</f>
        <v/>
      </c>
      <c r="G601" s="3">
        <f>IF('ORDENES'!$A579="","",IF('ORDENES'!$AB579="","-",'ORDENES'!$AB579))</f>
        <v/>
      </c>
      <c r="H601" s="3">
        <f>IF('ORDENES'!$A579="","",IF('ORDENES'!$AN579="","-",'ORDENES'!$AN579))</f>
        <v/>
      </c>
      <c r="I601" s="3">
        <f>IF('ORDENES'!$A579="","",IF('ORDENES'!$D579="","-",'ORDENES'!$D579))</f>
        <v/>
      </c>
      <c r="J601" s="3">
        <f>IF('ORDENES'!$A579="","",IF('ORDENES'!$E579="","-",'ORDENES'!$E579))</f>
        <v/>
      </c>
      <c r="K601" s="12">
        <f>IF('ORDENES'!$A579="","",IF('ORDENES'!$M579="",0,'ORDENES'!$M579))</f>
        <v/>
      </c>
      <c r="L601" s="3">
        <f>IF('ORDENES'!$A579="","",IF('ORDENES'!$N579="","-",'ORDENES'!$N579))</f>
        <v/>
      </c>
      <c r="M601" s="3">
        <f>IF('ORDENES'!$A579="","",'ORDENES'!$AA579)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IF('ORDENES'!$A580="","",IF('ORDENES'!$AC580="","-",'ORDENES'!$AC580))</f>
        <v/>
      </c>
      <c r="D602" s="3">
        <f>IF('ORDENES'!$A580="","",IF('ORDENES'!$V580="","-",'ORDENES'!$V580))</f>
        <v/>
      </c>
      <c r="E602" s="3">
        <f>IF('ORDENES'!$A580="","",IF('ORDENES'!$U580="","-",'ORDENES'!$U580))</f>
        <v/>
      </c>
      <c r="F602" s="3">
        <f>IF('ORDENES'!$A580="","",IF('ORDENES'!$W580="","-",'ORDENES'!$W580))</f>
        <v/>
      </c>
      <c r="G602" s="3">
        <f>IF('ORDENES'!$A580="","",IF('ORDENES'!$AB580="","-",'ORDENES'!$AB580))</f>
        <v/>
      </c>
      <c r="H602" s="3">
        <f>IF('ORDENES'!$A580="","",IF('ORDENES'!$AN580="","-",'ORDENES'!$AN580))</f>
        <v/>
      </c>
      <c r="I602" s="3">
        <f>IF('ORDENES'!$A580="","",IF('ORDENES'!$D580="","-",'ORDENES'!$D580))</f>
        <v/>
      </c>
      <c r="J602" s="3">
        <f>IF('ORDENES'!$A580="","",IF('ORDENES'!$E580="","-",'ORDENES'!$E580))</f>
        <v/>
      </c>
      <c r="K602" s="12">
        <f>IF('ORDENES'!$A580="","",IF('ORDENES'!$M580="",0,'ORDENES'!$M580))</f>
        <v/>
      </c>
      <c r="L602" s="3">
        <f>IF('ORDENES'!$A580="","",IF('ORDENES'!$N580="","-",'ORDENES'!$N580))</f>
        <v/>
      </c>
      <c r="M602" s="3">
        <f>IF('ORDENES'!$A580="","",'ORDENES'!$AA580)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IF('ORDENES'!$A581="","",IF('ORDENES'!$AC581="","-",'ORDENES'!$AC581))</f>
        <v/>
      </c>
      <c r="D603" s="3">
        <f>IF('ORDENES'!$A581="","",IF('ORDENES'!$V581="","-",'ORDENES'!$V581))</f>
        <v/>
      </c>
      <c r="E603" s="3">
        <f>IF('ORDENES'!$A581="","",IF('ORDENES'!$U581="","-",'ORDENES'!$U581))</f>
        <v/>
      </c>
      <c r="F603" s="3">
        <f>IF('ORDENES'!$A581="","",IF('ORDENES'!$W581="","-",'ORDENES'!$W581))</f>
        <v/>
      </c>
      <c r="G603" s="3">
        <f>IF('ORDENES'!$A581="","",IF('ORDENES'!$AB581="","-",'ORDENES'!$AB581))</f>
        <v/>
      </c>
      <c r="H603" s="3">
        <f>IF('ORDENES'!$A581="","",IF('ORDENES'!$AN581="","-",'ORDENES'!$AN581))</f>
        <v/>
      </c>
      <c r="I603" s="3">
        <f>IF('ORDENES'!$A581="","",IF('ORDENES'!$D581="","-",'ORDENES'!$D581))</f>
        <v/>
      </c>
      <c r="J603" s="3">
        <f>IF('ORDENES'!$A581="","",IF('ORDENES'!$E581="","-",'ORDENES'!$E581))</f>
        <v/>
      </c>
      <c r="K603" s="12">
        <f>IF('ORDENES'!$A581="","",IF('ORDENES'!$M581="",0,'ORDENES'!$M581))</f>
        <v/>
      </c>
      <c r="L603" s="3">
        <f>IF('ORDENES'!$A581="","",IF('ORDENES'!$N581="","-",'ORDENES'!$N581))</f>
        <v/>
      </c>
      <c r="M603" s="3">
        <f>IF('ORDENES'!$A581="","",'ORDENES'!$AA581)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IF('ORDENES'!$A582="","",IF('ORDENES'!$AC582="","-",'ORDENES'!$AC582))</f>
        <v/>
      </c>
      <c r="D604" s="3">
        <f>IF('ORDENES'!$A582="","",IF('ORDENES'!$V582="","-",'ORDENES'!$V582))</f>
        <v/>
      </c>
      <c r="E604" s="3">
        <f>IF('ORDENES'!$A582="","",IF('ORDENES'!$U582="","-",'ORDENES'!$U582))</f>
        <v/>
      </c>
      <c r="F604" s="3">
        <f>IF('ORDENES'!$A582="","",IF('ORDENES'!$W582="","-",'ORDENES'!$W582))</f>
        <v/>
      </c>
      <c r="G604" s="3">
        <f>IF('ORDENES'!$A582="","",IF('ORDENES'!$AB582="","-",'ORDENES'!$AB582))</f>
        <v/>
      </c>
      <c r="H604" s="3">
        <f>IF('ORDENES'!$A582="","",IF('ORDENES'!$AN582="","-",'ORDENES'!$AN582))</f>
        <v/>
      </c>
      <c r="I604" s="3">
        <f>IF('ORDENES'!$A582="","",IF('ORDENES'!$D582="","-",'ORDENES'!$D582))</f>
        <v/>
      </c>
      <c r="J604" s="3">
        <f>IF('ORDENES'!$A582="","",IF('ORDENES'!$E582="","-",'ORDENES'!$E582))</f>
        <v/>
      </c>
      <c r="K604" s="12">
        <f>IF('ORDENES'!$A582="","",IF('ORDENES'!$M582="",0,'ORDENES'!$M582))</f>
        <v/>
      </c>
      <c r="L604" s="3">
        <f>IF('ORDENES'!$A582="","",IF('ORDENES'!$N582="","-",'ORDENES'!$N582))</f>
        <v/>
      </c>
      <c r="M604" s="3">
        <f>IF('ORDENES'!$A582="","",'ORDENES'!$AA582)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IF('ORDENES'!$A583="","",IF('ORDENES'!$AC583="","-",'ORDENES'!$AC583))</f>
        <v/>
      </c>
      <c r="D605" s="3">
        <f>IF('ORDENES'!$A583="","",IF('ORDENES'!$V583="","-",'ORDENES'!$V583))</f>
        <v/>
      </c>
      <c r="E605" s="3">
        <f>IF('ORDENES'!$A583="","",IF('ORDENES'!$U583="","-",'ORDENES'!$U583))</f>
        <v/>
      </c>
      <c r="F605" s="3">
        <f>IF('ORDENES'!$A583="","",IF('ORDENES'!$W583="","-",'ORDENES'!$W583))</f>
        <v/>
      </c>
      <c r="G605" s="3">
        <f>IF('ORDENES'!$A583="","",IF('ORDENES'!$AB583="","-",'ORDENES'!$AB583))</f>
        <v/>
      </c>
      <c r="H605" s="3">
        <f>IF('ORDENES'!$A583="","",IF('ORDENES'!$AN583="","-",'ORDENES'!$AN583))</f>
        <v/>
      </c>
      <c r="I605" s="3">
        <f>IF('ORDENES'!$A583="","",IF('ORDENES'!$D583="","-",'ORDENES'!$D583))</f>
        <v/>
      </c>
      <c r="J605" s="3">
        <f>IF('ORDENES'!$A583="","",IF('ORDENES'!$E583="","-",'ORDENES'!$E583))</f>
        <v/>
      </c>
      <c r="K605" s="12">
        <f>IF('ORDENES'!$A583="","",IF('ORDENES'!$M583="",0,'ORDENES'!$M583))</f>
        <v/>
      </c>
      <c r="L605" s="3">
        <f>IF('ORDENES'!$A583="","",IF('ORDENES'!$N583="","-",'ORDENES'!$N583))</f>
        <v/>
      </c>
      <c r="M605" s="3">
        <f>IF('ORDENES'!$A583="","",'ORDENES'!$AA583)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IF('ORDENES'!$A584="","",IF('ORDENES'!$AC584="","-",'ORDENES'!$AC584))</f>
        <v/>
      </c>
      <c r="D606" s="3">
        <f>IF('ORDENES'!$A584="","",IF('ORDENES'!$V584="","-",'ORDENES'!$V584))</f>
        <v/>
      </c>
      <c r="E606" s="3">
        <f>IF('ORDENES'!$A584="","",IF('ORDENES'!$U584="","-",'ORDENES'!$U584))</f>
        <v/>
      </c>
      <c r="F606" s="3">
        <f>IF('ORDENES'!$A584="","",IF('ORDENES'!$W584="","-",'ORDENES'!$W584))</f>
        <v/>
      </c>
      <c r="G606" s="3">
        <f>IF('ORDENES'!$A584="","",IF('ORDENES'!$AB584="","-",'ORDENES'!$AB584))</f>
        <v/>
      </c>
      <c r="H606" s="3">
        <f>IF('ORDENES'!$A584="","",IF('ORDENES'!$AN584="","-",'ORDENES'!$AN584))</f>
        <v/>
      </c>
      <c r="I606" s="3">
        <f>IF('ORDENES'!$A584="","",IF('ORDENES'!$D584="","-",'ORDENES'!$D584))</f>
        <v/>
      </c>
      <c r="J606" s="3">
        <f>IF('ORDENES'!$A584="","",IF('ORDENES'!$E584="","-",'ORDENES'!$E584))</f>
        <v/>
      </c>
      <c r="K606" s="12">
        <f>IF('ORDENES'!$A584="","",IF('ORDENES'!$M584="",0,'ORDENES'!$M584))</f>
        <v/>
      </c>
      <c r="L606" s="3">
        <f>IF('ORDENES'!$A584="","",IF('ORDENES'!$N584="","-",'ORDENES'!$N584))</f>
        <v/>
      </c>
      <c r="M606" s="3">
        <f>IF('ORDENES'!$A584="","",'ORDENES'!$AA584)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IF('ORDENES'!$A585="","",IF('ORDENES'!$AC585="","-",'ORDENES'!$AC585))</f>
        <v/>
      </c>
      <c r="D607" s="3">
        <f>IF('ORDENES'!$A585="","",IF('ORDENES'!$V585="","-",'ORDENES'!$V585))</f>
        <v/>
      </c>
      <c r="E607" s="3">
        <f>IF('ORDENES'!$A585="","",IF('ORDENES'!$U585="","-",'ORDENES'!$U585))</f>
        <v/>
      </c>
      <c r="F607" s="3">
        <f>IF('ORDENES'!$A585="","",IF('ORDENES'!$W585="","-",'ORDENES'!$W585))</f>
        <v/>
      </c>
      <c r="G607" s="3">
        <f>IF('ORDENES'!$A585="","",IF('ORDENES'!$AB585="","-",'ORDENES'!$AB585))</f>
        <v/>
      </c>
      <c r="H607" s="3">
        <f>IF('ORDENES'!$A585="","",IF('ORDENES'!$AN585="","-",'ORDENES'!$AN585))</f>
        <v/>
      </c>
      <c r="I607" s="3">
        <f>IF('ORDENES'!$A585="","",IF('ORDENES'!$D585="","-",'ORDENES'!$D585))</f>
        <v/>
      </c>
      <c r="J607" s="3">
        <f>IF('ORDENES'!$A585="","",IF('ORDENES'!$E585="","-",'ORDENES'!$E585))</f>
        <v/>
      </c>
      <c r="K607" s="12">
        <f>IF('ORDENES'!$A585="","",IF('ORDENES'!$M585="",0,'ORDENES'!$M585))</f>
        <v/>
      </c>
      <c r="L607" s="3">
        <f>IF('ORDENES'!$A585="","",IF('ORDENES'!$N585="","-",'ORDENES'!$N585))</f>
        <v/>
      </c>
      <c r="M607" s="3">
        <f>IF('ORDENES'!$A585="","",'ORDENES'!$AA585)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IF('ORDENES'!$A586="","",IF('ORDENES'!$AC586="","-",'ORDENES'!$AC586))</f>
        <v/>
      </c>
      <c r="D608" s="3">
        <f>IF('ORDENES'!$A586="","",IF('ORDENES'!$V586="","-",'ORDENES'!$V586))</f>
        <v/>
      </c>
      <c r="E608" s="3">
        <f>IF('ORDENES'!$A586="","",IF('ORDENES'!$U586="","-",'ORDENES'!$U586))</f>
        <v/>
      </c>
      <c r="F608" s="3">
        <f>IF('ORDENES'!$A586="","",IF('ORDENES'!$W586="","-",'ORDENES'!$W586))</f>
        <v/>
      </c>
      <c r="G608" s="3">
        <f>IF('ORDENES'!$A586="","",IF('ORDENES'!$AB586="","-",'ORDENES'!$AB586))</f>
        <v/>
      </c>
      <c r="H608" s="3">
        <f>IF('ORDENES'!$A586="","",IF('ORDENES'!$AN586="","-",'ORDENES'!$AN586))</f>
        <v/>
      </c>
      <c r="I608" s="3">
        <f>IF('ORDENES'!$A586="","",IF('ORDENES'!$D586="","-",'ORDENES'!$D586))</f>
        <v/>
      </c>
      <c r="J608" s="3">
        <f>IF('ORDENES'!$A586="","",IF('ORDENES'!$E586="","-",'ORDENES'!$E586))</f>
        <v/>
      </c>
      <c r="K608" s="12">
        <f>IF('ORDENES'!$A586="","",IF('ORDENES'!$M586="",0,'ORDENES'!$M586))</f>
        <v/>
      </c>
      <c r="L608" s="3">
        <f>IF('ORDENES'!$A586="","",IF('ORDENES'!$N586="","-",'ORDENES'!$N586))</f>
        <v/>
      </c>
      <c r="M608" s="3">
        <f>IF('ORDENES'!$A586="","",'ORDENES'!$AA586)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IF('ORDENES'!$A587="","",IF('ORDENES'!$AC587="","-",'ORDENES'!$AC587))</f>
        <v/>
      </c>
      <c r="D609" s="3">
        <f>IF('ORDENES'!$A587="","",IF('ORDENES'!$V587="","-",'ORDENES'!$V587))</f>
        <v/>
      </c>
      <c r="E609" s="3">
        <f>IF('ORDENES'!$A587="","",IF('ORDENES'!$U587="","-",'ORDENES'!$U587))</f>
        <v/>
      </c>
      <c r="F609" s="3">
        <f>IF('ORDENES'!$A587="","",IF('ORDENES'!$W587="","-",'ORDENES'!$W587))</f>
        <v/>
      </c>
      <c r="G609" s="3">
        <f>IF('ORDENES'!$A587="","",IF('ORDENES'!$AB587="","-",'ORDENES'!$AB587))</f>
        <v/>
      </c>
      <c r="H609" s="3">
        <f>IF('ORDENES'!$A587="","",IF('ORDENES'!$AN587="","-",'ORDENES'!$AN587))</f>
        <v/>
      </c>
      <c r="I609" s="3">
        <f>IF('ORDENES'!$A587="","",IF('ORDENES'!$D587="","-",'ORDENES'!$D587))</f>
        <v/>
      </c>
      <c r="J609" s="3">
        <f>IF('ORDENES'!$A587="","",IF('ORDENES'!$E587="","-",'ORDENES'!$E587))</f>
        <v/>
      </c>
      <c r="K609" s="12">
        <f>IF('ORDENES'!$A587="","",IF('ORDENES'!$M587="",0,'ORDENES'!$M587))</f>
        <v/>
      </c>
      <c r="L609" s="3">
        <f>IF('ORDENES'!$A587="","",IF('ORDENES'!$N587="","-",'ORDENES'!$N587))</f>
        <v/>
      </c>
      <c r="M609" s="3">
        <f>IF('ORDENES'!$A587="","",'ORDENES'!$AA587)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IF('ORDENES'!$A588="","",IF('ORDENES'!$AC588="","-",'ORDENES'!$AC588))</f>
        <v/>
      </c>
      <c r="D610" s="3">
        <f>IF('ORDENES'!$A588="","",IF('ORDENES'!$V588="","-",'ORDENES'!$V588))</f>
        <v/>
      </c>
      <c r="E610" s="3">
        <f>IF('ORDENES'!$A588="","",IF('ORDENES'!$U588="","-",'ORDENES'!$U588))</f>
        <v/>
      </c>
      <c r="F610" s="3">
        <f>IF('ORDENES'!$A588="","",IF('ORDENES'!$W588="","-",'ORDENES'!$W588))</f>
        <v/>
      </c>
      <c r="G610" s="3">
        <f>IF('ORDENES'!$A588="","",IF('ORDENES'!$AB588="","-",'ORDENES'!$AB588))</f>
        <v/>
      </c>
      <c r="H610" s="3">
        <f>IF('ORDENES'!$A588="","",IF('ORDENES'!$AN588="","-",'ORDENES'!$AN588))</f>
        <v/>
      </c>
      <c r="I610" s="3">
        <f>IF('ORDENES'!$A588="","",IF('ORDENES'!$D588="","-",'ORDENES'!$D588))</f>
        <v/>
      </c>
      <c r="J610" s="3">
        <f>IF('ORDENES'!$A588="","",IF('ORDENES'!$E588="","-",'ORDENES'!$E588))</f>
        <v/>
      </c>
      <c r="K610" s="12">
        <f>IF('ORDENES'!$A588="","",IF('ORDENES'!$M588="",0,'ORDENES'!$M588))</f>
        <v/>
      </c>
      <c r="L610" s="3">
        <f>IF('ORDENES'!$A588="","",IF('ORDENES'!$N588="","-",'ORDENES'!$N588))</f>
        <v/>
      </c>
      <c r="M610" s="3">
        <f>IF('ORDENES'!$A588="","",'ORDENES'!$AA588)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IF('ORDENES'!$A589="","",IF('ORDENES'!$AC589="","-",'ORDENES'!$AC589))</f>
        <v/>
      </c>
      <c r="D611" s="3">
        <f>IF('ORDENES'!$A589="","",IF('ORDENES'!$V589="","-",'ORDENES'!$V589))</f>
        <v/>
      </c>
      <c r="E611" s="3">
        <f>IF('ORDENES'!$A589="","",IF('ORDENES'!$U589="","-",'ORDENES'!$U589))</f>
        <v/>
      </c>
      <c r="F611" s="3">
        <f>IF('ORDENES'!$A589="","",IF('ORDENES'!$W589="","-",'ORDENES'!$W589))</f>
        <v/>
      </c>
      <c r="G611" s="3">
        <f>IF('ORDENES'!$A589="","",IF('ORDENES'!$AB589="","-",'ORDENES'!$AB589))</f>
        <v/>
      </c>
      <c r="H611" s="3">
        <f>IF('ORDENES'!$A589="","",IF('ORDENES'!$AN589="","-",'ORDENES'!$AN589))</f>
        <v/>
      </c>
      <c r="I611" s="3">
        <f>IF('ORDENES'!$A589="","",IF('ORDENES'!$D589="","-",'ORDENES'!$D589))</f>
        <v/>
      </c>
      <c r="J611" s="3">
        <f>IF('ORDENES'!$A589="","",IF('ORDENES'!$E589="","-",'ORDENES'!$E589))</f>
        <v/>
      </c>
      <c r="K611" s="12">
        <f>IF('ORDENES'!$A589="","",IF('ORDENES'!$M589="",0,'ORDENES'!$M589))</f>
        <v/>
      </c>
      <c r="L611" s="3">
        <f>IF('ORDENES'!$A589="","",IF('ORDENES'!$N589="","-",'ORDENES'!$N589))</f>
        <v/>
      </c>
      <c r="M611" s="3">
        <f>IF('ORDENES'!$A589="","",'ORDENES'!$AA589)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IF('ORDENES'!$A590="","",IF('ORDENES'!$AC590="","-",'ORDENES'!$AC590))</f>
        <v/>
      </c>
      <c r="D612" s="3">
        <f>IF('ORDENES'!$A590="","",IF('ORDENES'!$V590="","-",'ORDENES'!$V590))</f>
        <v/>
      </c>
      <c r="E612" s="3">
        <f>IF('ORDENES'!$A590="","",IF('ORDENES'!$U590="","-",'ORDENES'!$U590))</f>
        <v/>
      </c>
      <c r="F612" s="3">
        <f>IF('ORDENES'!$A590="","",IF('ORDENES'!$W590="","-",'ORDENES'!$W590))</f>
        <v/>
      </c>
      <c r="G612" s="3">
        <f>IF('ORDENES'!$A590="","",IF('ORDENES'!$AB590="","-",'ORDENES'!$AB590))</f>
        <v/>
      </c>
      <c r="H612" s="3">
        <f>IF('ORDENES'!$A590="","",IF('ORDENES'!$AN590="","-",'ORDENES'!$AN590))</f>
        <v/>
      </c>
      <c r="I612" s="3">
        <f>IF('ORDENES'!$A590="","",IF('ORDENES'!$D590="","-",'ORDENES'!$D590))</f>
        <v/>
      </c>
      <c r="J612" s="3">
        <f>IF('ORDENES'!$A590="","",IF('ORDENES'!$E590="","-",'ORDENES'!$E590))</f>
        <v/>
      </c>
      <c r="K612" s="12">
        <f>IF('ORDENES'!$A590="","",IF('ORDENES'!$M590="",0,'ORDENES'!$M590))</f>
        <v/>
      </c>
      <c r="L612" s="3">
        <f>IF('ORDENES'!$A590="","",IF('ORDENES'!$N590="","-",'ORDENES'!$N590))</f>
        <v/>
      </c>
      <c r="M612" s="3">
        <f>IF('ORDENES'!$A590="","",'ORDENES'!$AA590)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IF('ORDENES'!$A591="","",IF('ORDENES'!$AC591="","-",'ORDENES'!$AC591))</f>
        <v/>
      </c>
      <c r="D613" s="3">
        <f>IF('ORDENES'!$A591="","",IF('ORDENES'!$V591="","-",'ORDENES'!$V591))</f>
        <v/>
      </c>
      <c r="E613" s="3">
        <f>IF('ORDENES'!$A591="","",IF('ORDENES'!$U591="","-",'ORDENES'!$U591))</f>
        <v/>
      </c>
      <c r="F613" s="3">
        <f>IF('ORDENES'!$A591="","",IF('ORDENES'!$W591="","-",'ORDENES'!$W591))</f>
        <v/>
      </c>
      <c r="G613" s="3">
        <f>IF('ORDENES'!$A591="","",IF('ORDENES'!$AB591="","-",'ORDENES'!$AB591))</f>
        <v/>
      </c>
      <c r="H613" s="3">
        <f>IF('ORDENES'!$A591="","",IF('ORDENES'!$AN591="","-",'ORDENES'!$AN591))</f>
        <v/>
      </c>
      <c r="I613" s="3">
        <f>IF('ORDENES'!$A591="","",IF('ORDENES'!$D591="","-",'ORDENES'!$D591))</f>
        <v/>
      </c>
      <c r="J613" s="3">
        <f>IF('ORDENES'!$A591="","",IF('ORDENES'!$E591="","-",'ORDENES'!$E591))</f>
        <v/>
      </c>
      <c r="K613" s="12">
        <f>IF('ORDENES'!$A591="","",IF('ORDENES'!$M591="",0,'ORDENES'!$M591))</f>
        <v/>
      </c>
      <c r="L613" s="3">
        <f>IF('ORDENES'!$A591="","",IF('ORDENES'!$N591="","-",'ORDENES'!$N591))</f>
        <v/>
      </c>
      <c r="M613" s="3">
        <f>IF('ORDENES'!$A591="","",'ORDENES'!$AA591)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IF('ORDENES'!$A592="","",IF('ORDENES'!$AC592="","-",'ORDENES'!$AC592))</f>
        <v/>
      </c>
      <c r="D614" s="3">
        <f>IF('ORDENES'!$A592="","",IF('ORDENES'!$V592="","-",'ORDENES'!$V592))</f>
        <v/>
      </c>
      <c r="E614" s="3">
        <f>IF('ORDENES'!$A592="","",IF('ORDENES'!$U592="","-",'ORDENES'!$U592))</f>
        <v/>
      </c>
      <c r="F614" s="3">
        <f>IF('ORDENES'!$A592="","",IF('ORDENES'!$W592="","-",'ORDENES'!$W592))</f>
        <v/>
      </c>
      <c r="G614" s="3">
        <f>IF('ORDENES'!$A592="","",IF('ORDENES'!$AB592="","-",'ORDENES'!$AB592))</f>
        <v/>
      </c>
      <c r="H614" s="3">
        <f>IF('ORDENES'!$A592="","",IF('ORDENES'!$AN592="","-",'ORDENES'!$AN592))</f>
        <v/>
      </c>
      <c r="I614" s="3">
        <f>IF('ORDENES'!$A592="","",IF('ORDENES'!$D592="","-",'ORDENES'!$D592))</f>
        <v/>
      </c>
      <c r="J614" s="3">
        <f>IF('ORDENES'!$A592="","",IF('ORDENES'!$E592="","-",'ORDENES'!$E592))</f>
        <v/>
      </c>
      <c r="K614" s="12">
        <f>IF('ORDENES'!$A592="","",IF('ORDENES'!$M592="",0,'ORDENES'!$M592))</f>
        <v/>
      </c>
      <c r="L614" s="3">
        <f>IF('ORDENES'!$A592="","",IF('ORDENES'!$N592="","-",'ORDENES'!$N592))</f>
        <v/>
      </c>
      <c r="M614" s="3">
        <f>IF('ORDENES'!$A592="","",'ORDENES'!$AA592)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IF('ORDENES'!$A593="","",IF('ORDENES'!$AC593="","-",'ORDENES'!$AC593))</f>
        <v/>
      </c>
      <c r="D615" s="3">
        <f>IF('ORDENES'!$A593="","",IF('ORDENES'!$V593="","-",'ORDENES'!$V593))</f>
        <v/>
      </c>
      <c r="E615" s="3">
        <f>IF('ORDENES'!$A593="","",IF('ORDENES'!$U593="","-",'ORDENES'!$U593))</f>
        <v/>
      </c>
      <c r="F615" s="3">
        <f>IF('ORDENES'!$A593="","",IF('ORDENES'!$W593="","-",'ORDENES'!$W593))</f>
        <v/>
      </c>
      <c r="G615" s="3">
        <f>IF('ORDENES'!$A593="","",IF('ORDENES'!$AB593="","-",'ORDENES'!$AB593))</f>
        <v/>
      </c>
      <c r="H615" s="3">
        <f>IF('ORDENES'!$A593="","",IF('ORDENES'!$AN593="","-",'ORDENES'!$AN593))</f>
        <v/>
      </c>
      <c r="I615" s="3">
        <f>IF('ORDENES'!$A593="","",IF('ORDENES'!$D593="","-",'ORDENES'!$D593))</f>
        <v/>
      </c>
      <c r="J615" s="3">
        <f>IF('ORDENES'!$A593="","",IF('ORDENES'!$E593="","-",'ORDENES'!$E593))</f>
        <v/>
      </c>
      <c r="K615" s="12">
        <f>IF('ORDENES'!$A593="","",IF('ORDENES'!$M593="",0,'ORDENES'!$M593))</f>
        <v/>
      </c>
      <c r="L615" s="3">
        <f>IF('ORDENES'!$A593="","",IF('ORDENES'!$N593="","-",'ORDENES'!$N593))</f>
        <v/>
      </c>
      <c r="M615" s="3">
        <f>IF('ORDENES'!$A593="","",'ORDENES'!$AA593)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IF('ORDENES'!$A594="","",IF('ORDENES'!$AC594="","-",'ORDENES'!$AC594))</f>
        <v/>
      </c>
      <c r="D616" s="3">
        <f>IF('ORDENES'!$A594="","",IF('ORDENES'!$V594="","-",'ORDENES'!$V594))</f>
        <v/>
      </c>
      <c r="E616" s="3">
        <f>IF('ORDENES'!$A594="","",IF('ORDENES'!$U594="","-",'ORDENES'!$U594))</f>
        <v/>
      </c>
      <c r="F616" s="3">
        <f>IF('ORDENES'!$A594="","",IF('ORDENES'!$W594="","-",'ORDENES'!$W594))</f>
        <v/>
      </c>
      <c r="G616" s="3">
        <f>IF('ORDENES'!$A594="","",IF('ORDENES'!$AB594="","-",'ORDENES'!$AB594))</f>
        <v/>
      </c>
      <c r="H616" s="3">
        <f>IF('ORDENES'!$A594="","",IF('ORDENES'!$AN594="","-",'ORDENES'!$AN594))</f>
        <v/>
      </c>
      <c r="I616" s="3">
        <f>IF('ORDENES'!$A594="","",IF('ORDENES'!$D594="","-",'ORDENES'!$D594))</f>
        <v/>
      </c>
      <c r="J616" s="3">
        <f>IF('ORDENES'!$A594="","",IF('ORDENES'!$E594="","-",'ORDENES'!$E594))</f>
        <v/>
      </c>
      <c r="K616" s="12">
        <f>IF('ORDENES'!$A594="","",IF('ORDENES'!$M594="",0,'ORDENES'!$M594))</f>
        <v/>
      </c>
      <c r="L616" s="3">
        <f>IF('ORDENES'!$A594="","",IF('ORDENES'!$N594="","-",'ORDENES'!$N594))</f>
        <v/>
      </c>
      <c r="M616" s="3">
        <f>IF('ORDENES'!$A594="","",'ORDENES'!$AA594)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IF('ORDENES'!$A595="","",IF('ORDENES'!$AC595="","-",'ORDENES'!$AC595))</f>
        <v/>
      </c>
      <c r="D617" s="3">
        <f>IF('ORDENES'!$A595="","",IF('ORDENES'!$V595="","-",'ORDENES'!$V595))</f>
        <v/>
      </c>
      <c r="E617" s="3">
        <f>IF('ORDENES'!$A595="","",IF('ORDENES'!$U595="","-",'ORDENES'!$U595))</f>
        <v/>
      </c>
      <c r="F617" s="3">
        <f>IF('ORDENES'!$A595="","",IF('ORDENES'!$W595="","-",'ORDENES'!$W595))</f>
        <v/>
      </c>
      <c r="G617" s="3">
        <f>IF('ORDENES'!$A595="","",IF('ORDENES'!$AB595="","-",'ORDENES'!$AB595))</f>
        <v/>
      </c>
      <c r="H617" s="3">
        <f>IF('ORDENES'!$A595="","",IF('ORDENES'!$AN595="","-",'ORDENES'!$AN595))</f>
        <v/>
      </c>
      <c r="I617" s="3">
        <f>IF('ORDENES'!$A595="","",IF('ORDENES'!$D595="","-",'ORDENES'!$D595))</f>
        <v/>
      </c>
      <c r="J617" s="3">
        <f>IF('ORDENES'!$A595="","",IF('ORDENES'!$E595="","-",'ORDENES'!$E595))</f>
        <v/>
      </c>
      <c r="K617" s="12">
        <f>IF('ORDENES'!$A595="","",IF('ORDENES'!$M595="",0,'ORDENES'!$M595))</f>
        <v/>
      </c>
      <c r="L617" s="3">
        <f>IF('ORDENES'!$A595="","",IF('ORDENES'!$N595="","-",'ORDENES'!$N595))</f>
        <v/>
      </c>
      <c r="M617" s="3">
        <f>IF('ORDENES'!$A595="","",'ORDENES'!$AA595)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IF('ORDENES'!$A596="","",IF('ORDENES'!$AC596="","-",'ORDENES'!$AC596))</f>
        <v/>
      </c>
      <c r="D618" s="3">
        <f>IF('ORDENES'!$A596="","",IF('ORDENES'!$V596="","-",'ORDENES'!$V596))</f>
        <v/>
      </c>
      <c r="E618" s="3">
        <f>IF('ORDENES'!$A596="","",IF('ORDENES'!$U596="","-",'ORDENES'!$U596))</f>
        <v/>
      </c>
      <c r="F618" s="3">
        <f>IF('ORDENES'!$A596="","",IF('ORDENES'!$W596="","-",'ORDENES'!$W596))</f>
        <v/>
      </c>
      <c r="G618" s="3">
        <f>IF('ORDENES'!$A596="","",IF('ORDENES'!$AB596="","-",'ORDENES'!$AB596))</f>
        <v/>
      </c>
      <c r="H618" s="3">
        <f>IF('ORDENES'!$A596="","",IF('ORDENES'!$AN596="","-",'ORDENES'!$AN596))</f>
        <v/>
      </c>
      <c r="I618" s="3">
        <f>IF('ORDENES'!$A596="","",IF('ORDENES'!$D596="","-",'ORDENES'!$D596))</f>
        <v/>
      </c>
      <c r="J618" s="3">
        <f>IF('ORDENES'!$A596="","",IF('ORDENES'!$E596="","-",'ORDENES'!$E596))</f>
        <v/>
      </c>
      <c r="K618" s="12">
        <f>IF('ORDENES'!$A596="","",IF('ORDENES'!$M596="",0,'ORDENES'!$M596))</f>
        <v/>
      </c>
      <c r="L618" s="3">
        <f>IF('ORDENES'!$A596="","",IF('ORDENES'!$N596="","-",'ORDENES'!$N596))</f>
        <v/>
      </c>
      <c r="M618" s="3">
        <f>IF('ORDENES'!$A596="","",'ORDENES'!$AA596)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IF('ORDENES'!$A597="","",IF('ORDENES'!$AC597="","-",'ORDENES'!$AC597))</f>
        <v/>
      </c>
      <c r="D619" s="3">
        <f>IF('ORDENES'!$A597="","",IF('ORDENES'!$V597="","-",'ORDENES'!$V597))</f>
        <v/>
      </c>
      <c r="E619" s="3">
        <f>IF('ORDENES'!$A597="","",IF('ORDENES'!$U597="","-",'ORDENES'!$U597))</f>
        <v/>
      </c>
      <c r="F619" s="3">
        <f>IF('ORDENES'!$A597="","",IF('ORDENES'!$W597="","-",'ORDENES'!$W597))</f>
        <v/>
      </c>
      <c r="G619" s="3">
        <f>IF('ORDENES'!$A597="","",IF('ORDENES'!$AB597="","-",'ORDENES'!$AB597))</f>
        <v/>
      </c>
      <c r="H619" s="3">
        <f>IF('ORDENES'!$A597="","",IF('ORDENES'!$AN597="","-",'ORDENES'!$AN597))</f>
        <v/>
      </c>
      <c r="I619" s="3">
        <f>IF('ORDENES'!$A597="","",IF('ORDENES'!$D597="","-",'ORDENES'!$D597))</f>
        <v/>
      </c>
      <c r="J619" s="3">
        <f>IF('ORDENES'!$A597="","",IF('ORDENES'!$E597="","-",'ORDENES'!$E597))</f>
        <v/>
      </c>
      <c r="K619" s="12">
        <f>IF('ORDENES'!$A597="","",IF('ORDENES'!$M597="",0,'ORDENES'!$M597))</f>
        <v/>
      </c>
      <c r="L619" s="3">
        <f>IF('ORDENES'!$A597="","",IF('ORDENES'!$N597="","-",'ORDENES'!$N597))</f>
        <v/>
      </c>
      <c r="M619" s="3">
        <f>IF('ORDENES'!$A597="","",'ORDENES'!$AA597)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IF('ORDENES'!$A598="","",IF('ORDENES'!$AC598="","-",'ORDENES'!$AC598))</f>
        <v/>
      </c>
      <c r="D620" s="3">
        <f>IF('ORDENES'!$A598="","",IF('ORDENES'!$V598="","-",'ORDENES'!$V598))</f>
        <v/>
      </c>
      <c r="E620" s="3">
        <f>IF('ORDENES'!$A598="","",IF('ORDENES'!$U598="","-",'ORDENES'!$U598))</f>
        <v/>
      </c>
      <c r="F620" s="3">
        <f>IF('ORDENES'!$A598="","",IF('ORDENES'!$W598="","-",'ORDENES'!$W598))</f>
        <v/>
      </c>
      <c r="G620" s="3">
        <f>IF('ORDENES'!$A598="","",IF('ORDENES'!$AB598="","-",'ORDENES'!$AB598))</f>
        <v/>
      </c>
      <c r="H620" s="3">
        <f>IF('ORDENES'!$A598="","",IF('ORDENES'!$AN598="","-",'ORDENES'!$AN598))</f>
        <v/>
      </c>
      <c r="I620" s="3">
        <f>IF('ORDENES'!$A598="","",IF('ORDENES'!$D598="","-",'ORDENES'!$D598))</f>
        <v/>
      </c>
      <c r="J620" s="3">
        <f>IF('ORDENES'!$A598="","",IF('ORDENES'!$E598="","-",'ORDENES'!$E598))</f>
        <v/>
      </c>
      <c r="K620" s="12">
        <f>IF('ORDENES'!$A598="","",IF('ORDENES'!$M598="",0,'ORDENES'!$M598))</f>
        <v/>
      </c>
      <c r="L620" s="3">
        <f>IF('ORDENES'!$A598="","",IF('ORDENES'!$N598="","-",'ORDENES'!$N598))</f>
        <v/>
      </c>
      <c r="M620" s="3">
        <f>IF('ORDENES'!$A598="","",'ORDENES'!$AA598)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IF('ORDENES'!$A599="","",IF('ORDENES'!$AC599="","-",'ORDENES'!$AC599))</f>
        <v/>
      </c>
      <c r="D621" s="3">
        <f>IF('ORDENES'!$A599="","",IF('ORDENES'!$V599="","-",'ORDENES'!$V599))</f>
        <v/>
      </c>
      <c r="E621" s="3">
        <f>IF('ORDENES'!$A599="","",IF('ORDENES'!$U599="","-",'ORDENES'!$U599))</f>
        <v/>
      </c>
      <c r="F621" s="3">
        <f>IF('ORDENES'!$A599="","",IF('ORDENES'!$W599="","-",'ORDENES'!$W599))</f>
        <v/>
      </c>
      <c r="G621" s="3">
        <f>IF('ORDENES'!$A599="","",IF('ORDENES'!$AB599="","-",'ORDENES'!$AB599))</f>
        <v/>
      </c>
      <c r="H621" s="3">
        <f>IF('ORDENES'!$A599="","",IF('ORDENES'!$AN599="","-",'ORDENES'!$AN599))</f>
        <v/>
      </c>
      <c r="I621" s="3">
        <f>IF('ORDENES'!$A599="","",IF('ORDENES'!$D599="","-",'ORDENES'!$D599))</f>
        <v/>
      </c>
      <c r="J621" s="3">
        <f>IF('ORDENES'!$A599="","",IF('ORDENES'!$E599="","-",'ORDENES'!$E599))</f>
        <v/>
      </c>
      <c r="K621" s="12">
        <f>IF('ORDENES'!$A599="","",IF('ORDENES'!$M599="",0,'ORDENES'!$M599))</f>
        <v/>
      </c>
      <c r="L621" s="3">
        <f>IF('ORDENES'!$A599="","",IF('ORDENES'!$N599="","-",'ORDENES'!$N599))</f>
        <v/>
      </c>
      <c r="M621" s="3">
        <f>IF('ORDENES'!$A599="","",'ORDENES'!$AA599)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IF('ORDENES'!$A600="","",IF('ORDENES'!$AC600="","-",'ORDENES'!$AC600))</f>
        <v/>
      </c>
      <c r="D622" s="3">
        <f>IF('ORDENES'!$A600="","",IF('ORDENES'!$V600="","-",'ORDENES'!$V600))</f>
        <v/>
      </c>
      <c r="E622" s="3">
        <f>IF('ORDENES'!$A600="","",IF('ORDENES'!$U600="","-",'ORDENES'!$U600))</f>
        <v/>
      </c>
      <c r="F622" s="3">
        <f>IF('ORDENES'!$A600="","",IF('ORDENES'!$W600="","-",'ORDENES'!$W600))</f>
        <v/>
      </c>
      <c r="G622" s="3">
        <f>IF('ORDENES'!$A600="","",IF('ORDENES'!$AB600="","-",'ORDENES'!$AB600))</f>
        <v/>
      </c>
      <c r="H622" s="3">
        <f>IF('ORDENES'!$A600="","",IF('ORDENES'!$AN600="","-",'ORDENES'!$AN600))</f>
        <v/>
      </c>
      <c r="I622" s="3">
        <f>IF('ORDENES'!$A600="","",IF('ORDENES'!$D600="","-",'ORDENES'!$D600))</f>
        <v/>
      </c>
      <c r="J622" s="3">
        <f>IF('ORDENES'!$A600="","",IF('ORDENES'!$E600="","-",'ORDENES'!$E600))</f>
        <v/>
      </c>
      <c r="K622" s="12">
        <f>IF('ORDENES'!$A600="","",IF('ORDENES'!$M600="",0,'ORDENES'!$M600))</f>
        <v/>
      </c>
      <c r="L622" s="3">
        <f>IF('ORDENES'!$A600="","",IF('ORDENES'!$N600="","-",'ORDENES'!$N600))</f>
        <v/>
      </c>
      <c r="M622" s="3">
        <f>IF('ORDENES'!$A600="","",'ORDENES'!$AA600)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IF('ORDENES'!$A601="","",IF('ORDENES'!$AC601="","-",'ORDENES'!$AC601))</f>
        <v/>
      </c>
      <c r="D623" s="3">
        <f>IF('ORDENES'!$A601="","",IF('ORDENES'!$V601="","-",'ORDENES'!$V601))</f>
        <v/>
      </c>
      <c r="E623" s="3">
        <f>IF('ORDENES'!$A601="","",IF('ORDENES'!$U601="","-",'ORDENES'!$U601))</f>
        <v/>
      </c>
      <c r="F623" s="3">
        <f>IF('ORDENES'!$A601="","",IF('ORDENES'!$W601="","-",'ORDENES'!$W601))</f>
        <v/>
      </c>
      <c r="G623" s="3">
        <f>IF('ORDENES'!$A601="","",IF('ORDENES'!$AB601="","-",'ORDENES'!$AB601))</f>
        <v/>
      </c>
      <c r="H623" s="3">
        <f>IF('ORDENES'!$A601="","",IF('ORDENES'!$AN601="","-",'ORDENES'!$AN601))</f>
        <v/>
      </c>
      <c r="I623" s="3">
        <f>IF('ORDENES'!$A601="","",IF('ORDENES'!$D601="","-",'ORDENES'!$D601))</f>
        <v/>
      </c>
      <c r="J623" s="3">
        <f>IF('ORDENES'!$A601="","",IF('ORDENES'!$E601="","-",'ORDENES'!$E601))</f>
        <v/>
      </c>
      <c r="K623" s="12">
        <f>IF('ORDENES'!$A601="","",IF('ORDENES'!$M601="",0,'ORDENES'!$M601))</f>
        <v/>
      </c>
      <c r="L623" s="3">
        <f>IF('ORDENES'!$A601="","",IF('ORDENES'!$N601="","-",'ORDENES'!$N601))</f>
        <v/>
      </c>
      <c r="M623" s="3">
        <f>IF('ORDENES'!$A601="","",'ORDENES'!$AA601)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IF('ORDENES'!$A602="","",IF('ORDENES'!$AC602="","-",'ORDENES'!$AC602))</f>
        <v/>
      </c>
      <c r="D624" s="3">
        <f>IF('ORDENES'!$A602="","",IF('ORDENES'!$V602="","-",'ORDENES'!$V602))</f>
        <v/>
      </c>
      <c r="E624" s="3">
        <f>IF('ORDENES'!$A602="","",IF('ORDENES'!$U602="","-",'ORDENES'!$U602))</f>
        <v/>
      </c>
      <c r="F624" s="3">
        <f>IF('ORDENES'!$A602="","",IF('ORDENES'!$W602="","-",'ORDENES'!$W602))</f>
        <v/>
      </c>
      <c r="G624" s="3">
        <f>IF('ORDENES'!$A602="","",IF('ORDENES'!$AB602="","-",'ORDENES'!$AB602))</f>
        <v/>
      </c>
      <c r="H624" s="3">
        <f>IF('ORDENES'!$A602="","",IF('ORDENES'!$AN602="","-",'ORDENES'!$AN602))</f>
        <v/>
      </c>
      <c r="I624" s="3">
        <f>IF('ORDENES'!$A602="","",IF('ORDENES'!$D602="","-",'ORDENES'!$D602))</f>
        <v/>
      </c>
      <c r="J624" s="3">
        <f>IF('ORDENES'!$A602="","",IF('ORDENES'!$E602="","-",'ORDENES'!$E602))</f>
        <v/>
      </c>
      <c r="K624" s="12">
        <f>IF('ORDENES'!$A602="","",IF('ORDENES'!$M602="",0,'ORDENES'!$M602))</f>
        <v/>
      </c>
      <c r="L624" s="3">
        <f>IF('ORDENES'!$A602="","",IF('ORDENES'!$N602="","-",'ORDENES'!$N602))</f>
        <v/>
      </c>
      <c r="M624" s="3">
        <f>IF('ORDENES'!$A602="","",'ORDENES'!$AA602)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IF('ORDENES'!$A603="","",IF('ORDENES'!$AC603="","-",'ORDENES'!$AC603))</f>
        <v/>
      </c>
      <c r="D625" s="3">
        <f>IF('ORDENES'!$A603="","",IF('ORDENES'!$V603="","-",'ORDENES'!$V603))</f>
        <v/>
      </c>
      <c r="E625" s="3">
        <f>IF('ORDENES'!$A603="","",IF('ORDENES'!$U603="","-",'ORDENES'!$U603))</f>
        <v/>
      </c>
      <c r="F625" s="3">
        <f>IF('ORDENES'!$A603="","",IF('ORDENES'!$W603="","-",'ORDENES'!$W603))</f>
        <v/>
      </c>
      <c r="G625" s="3">
        <f>IF('ORDENES'!$A603="","",IF('ORDENES'!$AB603="","-",'ORDENES'!$AB603))</f>
        <v/>
      </c>
      <c r="H625" s="3">
        <f>IF('ORDENES'!$A603="","",IF('ORDENES'!$AN603="","-",'ORDENES'!$AN603))</f>
        <v/>
      </c>
      <c r="I625" s="3">
        <f>IF('ORDENES'!$A603="","",IF('ORDENES'!$D603="","-",'ORDENES'!$D603))</f>
        <v/>
      </c>
      <c r="J625" s="3">
        <f>IF('ORDENES'!$A603="","",IF('ORDENES'!$E603="","-",'ORDENES'!$E603))</f>
        <v/>
      </c>
      <c r="K625" s="12">
        <f>IF('ORDENES'!$A603="","",IF('ORDENES'!$M603="",0,'ORDENES'!$M603))</f>
        <v/>
      </c>
      <c r="L625" s="3">
        <f>IF('ORDENES'!$A603="","",IF('ORDENES'!$N603="","-",'ORDENES'!$N603))</f>
        <v/>
      </c>
      <c r="M625" s="3">
        <f>IF('ORDENES'!$A603="","",'ORDENES'!$AA603)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IF('ORDENES'!$A604="","",IF('ORDENES'!$AC604="","-",'ORDENES'!$AC604))</f>
        <v/>
      </c>
      <c r="D626" s="3">
        <f>IF('ORDENES'!$A604="","",IF('ORDENES'!$V604="","-",'ORDENES'!$V604))</f>
        <v/>
      </c>
      <c r="E626" s="3">
        <f>IF('ORDENES'!$A604="","",IF('ORDENES'!$U604="","-",'ORDENES'!$U604))</f>
        <v/>
      </c>
      <c r="F626" s="3">
        <f>IF('ORDENES'!$A604="","",IF('ORDENES'!$W604="","-",'ORDENES'!$W604))</f>
        <v/>
      </c>
      <c r="G626" s="3">
        <f>IF('ORDENES'!$A604="","",IF('ORDENES'!$AB604="","-",'ORDENES'!$AB604))</f>
        <v/>
      </c>
      <c r="H626" s="3">
        <f>IF('ORDENES'!$A604="","",IF('ORDENES'!$AN604="","-",'ORDENES'!$AN604))</f>
        <v/>
      </c>
      <c r="I626" s="3">
        <f>IF('ORDENES'!$A604="","",IF('ORDENES'!$D604="","-",'ORDENES'!$D604))</f>
        <v/>
      </c>
      <c r="J626" s="3">
        <f>IF('ORDENES'!$A604="","",IF('ORDENES'!$E604="","-",'ORDENES'!$E604))</f>
        <v/>
      </c>
      <c r="K626" s="12">
        <f>IF('ORDENES'!$A604="","",IF('ORDENES'!$M604="",0,'ORDENES'!$M604))</f>
        <v/>
      </c>
      <c r="L626" s="3">
        <f>IF('ORDENES'!$A604="","",IF('ORDENES'!$N604="","-",'ORDENES'!$N604))</f>
        <v/>
      </c>
      <c r="M626" s="3">
        <f>IF('ORDENES'!$A604="","",'ORDENES'!$AA604)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IF('ORDENES'!$A605="","",IF('ORDENES'!$AC605="","-",'ORDENES'!$AC605))</f>
        <v/>
      </c>
      <c r="D627" s="3">
        <f>IF('ORDENES'!$A605="","",IF('ORDENES'!$V605="","-",'ORDENES'!$V605))</f>
        <v/>
      </c>
      <c r="E627" s="3">
        <f>IF('ORDENES'!$A605="","",IF('ORDENES'!$U605="","-",'ORDENES'!$U605))</f>
        <v/>
      </c>
      <c r="F627" s="3">
        <f>IF('ORDENES'!$A605="","",IF('ORDENES'!$W605="","-",'ORDENES'!$W605))</f>
        <v/>
      </c>
      <c r="G627" s="3">
        <f>IF('ORDENES'!$A605="","",IF('ORDENES'!$AB605="","-",'ORDENES'!$AB605))</f>
        <v/>
      </c>
      <c r="H627" s="3">
        <f>IF('ORDENES'!$A605="","",IF('ORDENES'!$AN605="","-",'ORDENES'!$AN605))</f>
        <v/>
      </c>
      <c r="I627" s="3">
        <f>IF('ORDENES'!$A605="","",IF('ORDENES'!$D605="","-",'ORDENES'!$D605))</f>
        <v/>
      </c>
      <c r="J627" s="3">
        <f>IF('ORDENES'!$A605="","",IF('ORDENES'!$E605="","-",'ORDENES'!$E605))</f>
        <v/>
      </c>
      <c r="K627" s="12">
        <f>IF('ORDENES'!$A605="","",IF('ORDENES'!$M605="",0,'ORDENES'!$M605))</f>
        <v/>
      </c>
      <c r="L627" s="3">
        <f>IF('ORDENES'!$A605="","",IF('ORDENES'!$N605="","-",'ORDENES'!$N605))</f>
        <v/>
      </c>
      <c r="M627" s="3">
        <f>IF('ORDENES'!$A605="","",'ORDENES'!$AA605)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IF('ORDENES'!$A606="","",IF('ORDENES'!$AC606="","-",'ORDENES'!$AC606))</f>
        <v/>
      </c>
      <c r="D628" s="3">
        <f>IF('ORDENES'!$A606="","",IF('ORDENES'!$V606="","-",'ORDENES'!$V606))</f>
        <v/>
      </c>
      <c r="E628" s="3">
        <f>IF('ORDENES'!$A606="","",IF('ORDENES'!$U606="","-",'ORDENES'!$U606))</f>
        <v/>
      </c>
      <c r="F628" s="3">
        <f>IF('ORDENES'!$A606="","",IF('ORDENES'!$W606="","-",'ORDENES'!$W606))</f>
        <v/>
      </c>
      <c r="G628" s="3">
        <f>IF('ORDENES'!$A606="","",IF('ORDENES'!$AB606="","-",'ORDENES'!$AB606))</f>
        <v/>
      </c>
      <c r="H628" s="3">
        <f>IF('ORDENES'!$A606="","",IF('ORDENES'!$AN606="","-",'ORDENES'!$AN606))</f>
        <v/>
      </c>
      <c r="I628" s="3">
        <f>IF('ORDENES'!$A606="","",IF('ORDENES'!$D606="","-",'ORDENES'!$D606))</f>
        <v/>
      </c>
      <c r="J628" s="3">
        <f>IF('ORDENES'!$A606="","",IF('ORDENES'!$E606="","-",'ORDENES'!$E606))</f>
        <v/>
      </c>
      <c r="K628" s="12">
        <f>IF('ORDENES'!$A606="","",IF('ORDENES'!$M606="",0,'ORDENES'!$M606))</f>
        <v/>
      </c>
      <c r="L628" s="3">
        <f>IF('ORDENES'!$A606="","",IF('ORDENES'!$N606="","-",'ORDENES'!$N606))</f>
        <v/>
      </c>
      <c r="M628" s="3">
        <f>IF('ORDENES'!$A606="","",'ORDENES'!$AA606)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IF('ORDENES'!$A607="","",IF('ORDENES'!$AC607="","-",'ORDENES'!$AC607))</f>
        <v/>
      </c>
      <c r="D629" s="3">
        <f>IF('ORDENES'!$A607="","",IF('ORDENES'!$V607="","-",'ORDENES'!$V607))</f>
        <v/>
      </c>
      <c r="E629" s="3">
        <f>IF('ORDENES'!$A607="","",IF('ORDENES'!$U607="","-",'ORDENES'!$U607))</f>
        <v/>
      </c>
      <c r="F629" s="3">
        <f>IF('ORDENES'!$A607="","",IF('ORDENES'!$W607="","-",'ORDENES'!$W607))</f>
        <v/>
      </c>
      <c r="G629" s="3">
        <f>IF('ORDENES'!$A607="","",IF('ORDENES'!$AB607="","-",'ORDENES'!$AB607))</f>
        <v/>
      </c>
      <c r="H629" s="3">
        <f>IF('ORDENES'!$A607="","",IF('ORDENES'!$AN607="","-",'ORDENES'!$AN607))</f>
        <v/>
      </c>
      <c r="I629" s="3">
        <f>IF('ORDENES'!$A607="","",IF('ORDENES'!$D607="","-",'ORDENES'!$D607))</f>
        <v/>
      </c>
      <c r="J629" s="3">
        <f>IF('ORDENES'!$A607="","",IF('ORDENES'!$E607="","-",'ORDENES'!$E607))</f>
        <v/>
      </c>
      <c r="K629" s="12">
        <f>IF('ORDENES'!$A607="","",IF('ORDENES'!$M607="",0,'ORDENES'!$M607))</f>
        <v/>
      </c>
      <c r="L629" s="3">
        <f>IF('ORDENES'!$A607="","",IF('ORDENES'!$N607="","-",'ORDENES'!$N607))</f>
        <v/>
      </c>
      <c r="M629" s="3">
        <f>IF('ORDENES'!$A607="","",'ORDENES'!$AA607)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IF('ORDENES'!$A608="","",IF('ORDENES'!$AC608="","-",'ORDENES'!$AC608))</f>
        <v/>
      </c>
      <c r="D630" s="3">
        <f>IF('ORDENES'!$A608="","",IF('ORDENES'!$V608="","-",'ORDENES'!$V608))</f>
        <v/>
      </c>
      <c r="E630" s="3">
        <f>IF('ORDENES'!$A608="","",IF('ORDENES'!$U608="","-",'ORDENES'!$U608))</f>
        <v/>
      </c>
      <c r="F630" s="3">
        <f>IF('ORDENES'!$A608="","",IF('ORDENES'!$W608="","-",'ORDENES'!$W608))</f>
        <v/>
      </c>
      <c r="G630" s="3">
        <f>IF('ORDENES'!$A608="","",IF('ORDENES'!$AB608="","-",'ORDENES'!$AB608))</f>
        <v/>
      </c>
      <c r="H630" s="3">
        <f>IF('ORDENES'!$A608="","",IF('ORDENES'!$AN608="","-",'ORDENES'!$AN608))</f>
        <v/>
      </c>
      <c r="I630" s="3">
        <f>IF('ORDENES'!$A608="","",IF('ORDENES'!$D608="","-",'ORDENES'!$D608))</f>
        <v/>
      </c>
      <c r="J630" s="3">
        <f>IF('ORDENES'!$A608="","",IF('ORDENES'!$E608="","-",'ORDENES'!$E608))</f>
        <v/>
      </c>
      <c r="K630" s="12">
        <f>IF('ORDENES'!$A608="","",IF('ORDENES'!$M608="",0,'ORDENES'!$M608))</f>
        <v/>
      </c>
      <c r="L630" s="3">
        <f>IF('ORDENES'!$A608="","",IF('ORDENES'!$N608="","-",'ORDENES'!$N608))</f>
        <v/>
      </c>
      <c r="M630" s="3">
        <f>IF('ORDENES'!$A608="","",'ORDENES'!$AA608)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IF('ORDENES'!$A609="","",IF('ORDENES'!$AC609="","-",'ORDENES'!$AC609))</f>
        <v/>
      </c>
      <c r="D631" s="3">
        <f>IF('ORDENES'!$A609="","",IF('ORDENES'!$V609="","-",'ORDENES'!$V609))</f>
        <v/>
      </c>
      <c r="E631" s="3">
        <f>IF('ORDENES'!$A609="","",IF('ORDENES'!$U609="","-",'ORDENES'!$U609))</f>
        <v/>
      </c>
      <c r="F631" s="3">
        <f>IF('ORDENES'!$A609="","",IF('ORDENES'!$W609="","-",'ORDENES'!$W609))</f>
        <v/>
      </c>
      <c r="G631" s="3">
        <f>IF('ORDENES'!$A609="","",IF('ORDENES'!$AB609="","-",'ORDENES'!$AB609))</f>
        <v/>
      </c>
      <c r="H631" s="3">
        <f>IF('ORDENES'!$A609="","",IF('ORDENES'!$AN609="","-",'ORDENES'!$AN609))</f>
        <v/>
      </c>
      <c r="I631" s="3">
        <f>IF('ORDENES'!$A609="","",IF('ORDENES'!$D609="","-",'ORDENES'!$D609))</f>
        <v/>
      </c>
      <c r="J631" s="3">
        <f>IF('ORDENES'!$A609="","",IF('ORDENES'!$E609="","-",'ORDENES'!$E609))</f>
        <v/>
      </c>
      <c r="K631" s="12">
        <f>IF('ORDENES'!$A609="","",IF('ORDENES'!$M609="",0,'ORDENES'!$M609))</f>
        <v/>
      </c>
      <c r="L631" s="3">
        <f>IF('ORDENES'!$A609="","",IF('ORDENES'!$N609="","-",'ORDENES'!$N609))</f>
        <v/>
      </c>
      <c r="M631" s="3">
        <f>IF('ORDENES'!$A609="","",'ORDENES'!$AA609)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IF('ORDENES'!$A610="","",IF('ORDENES'!$AC610="","-",'ORDENES'!$AC610))</f>
        <v/>
      </c>
      <c r="D632" s="3">
        <f>IF('ORDENES'!$A610="","",IF('ORDENES'!$V610="","-",'ORDENES'!$V610))</f>
        <v/>
      </c>
      <c r="E632" s="3">
        <f>IF('ORDENES'!$A610="","",IF('ORDENES'!$U610="","-",'ORDENES'!$U610))</f>
        <v/>
      </c>
      <c r="F632" s="3">
        <f>IF('ORDENES'!$A610="","",IF('ORDENES'!$W610="","-",'ORDENES'!$W610))</f>
        <v/>
      </c>
      <c r="G632" s="3">
        <f>IF('ORDENES'!$A610="","",IF('ORDENES'!$AB610="","-",'ORDENES'!$AB610))</f>
        <v/>
      </c>
      <c r="H632" s="3">
        <f>IF('ORDENES'!$A610="","",IF('ORDENES'!$AN610="","-",'ORDENES'!$AN610))</f>
        <v/>
      </c>
      <c r="I632" s="3">
        <f>IF('ORDENES'!$A610="","",IF('ORDENES'!$D610="","-",'ORDENES'!$D610))</f>
        <v/>
      </c>
      <c r="J632" s="3">
        <f>IF('ORDENES'!$A610="","",IF('ORDENES'!$E610="","-",'ORDENES'!$E610))</f>
        <v/>
      </c>
      <c r="K632" s="12">
        <f>IF('ORDENES'!$A610="","",IF('ORDENES'!$M610="",0,'ORDENES'!$M610))</f>
        <v/>
      </c>
      <c r="L632" s="3">
        <f>IF('ORDENES'!$A610="","",IF('ORDENES'!$N610="","-",'ORDENES'!$N610))</f>
        <v/>
      </c>
      <c r="M632" s="3">
        <f>IF('ORDENES'!$A610="","",'ORDENES'!$AA610)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IF('ORDENES'!$A611="","",IF('ORDENES'!$AC611="","-",'ORDENES'!$AC611))</f>
        <v/>
      </c>
      <c r="D633" s="3">
        <f>IF('ORDENES'!$A611="","",IF('ORDENES'!$V611="","-",'ORDENES'!$V611))</f>
        <v/>
      </c>
      <c r="E633" s="3">
        <f>IF('ORDENES'!$A611="","",IF('ORDENES'!$U611="","-",'ORDENES'!$U611))</f>
        <v/>
      </c>
      <c r="F633" s="3">
        <f>IF('ORDENES'!$A611="","",IF('ORDENES'!$W611="","-",'ORDENES'!$W611))</f>
        <v/>
      </c>
      <c r="G633" s="3">
        <f>IF('ORDENES'!$A611="","",IF('ORDENES'!$AB611="","-",'ORDENES'!$AB611))</f>
        <v/>
      </c>
      <c r="H633" s="3">
        <f>IF('ORDENES'!$A611="","",IF('ORDENES'!$AN611="","-",'ORDENES'!$AN611))</f>
        <v/>
      </c>
      <c r="I633" s="3">
        <f>IF('ORDENES'!$A611="","",IF('ORDENES'!$D611="","-",'ORDENES'!$D611))</f>
        <v/>
      </c>
      <c r="J633" s="3">
        <f>IF('ORDENES'!$A611="","",IF('ORDENES'!$E611="","-",'ORDENES'!$E611))</f>
        <v/>
      </c>
      <c r="K633" s="12">
        <f>IF('ORDENES'!$A611="","",IF('ORDENES'!$M611="",0,'ORDENES'!$M611))</f>
        <v/>
      </c>
      <c r="L633" s="3">
        <f>IF('ORDENES'!$A611="","",IF('ORDENES'!$N611="","-",'ORDENES'!$N611))</f>
        <v/>
      </c>
      <c r="M633" s="3">
        <f>IF('ORDENES'!$A611="","",'ORDENES'!$AA611)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IF('ORDENES'!$A612="","",IF('ORDENES'!$AC612="","-",'ORDENES'!$AC612))</f>
        <v/>
      </c>
      <c r="D634" s="3">
        <f>IF('ORDENES'!$A612="","",IF('ORDENES'!$V612="","-",'ORDENES'!$V612))</f>
        <v/>
      </c>
      <c r="E634" s="3">
        <f>IF('ORDENES'!$A612="","",IF('ORDENES'!$U612="","-",'ORDENES'!$U612))</f>
        <v/>
      </c>
      <c r="F634" s="3">
        <f>IF('ORDENES'!$A612="","",IF('ORDENES'!$W612="","-",'ORDENES'!$W612))</f>
        <v/>
      </c>
      <c r="G634" s="3">
        <f>IF('ORDENES'!$A612="","",IF('ORDENES'!$AB612="","-",'ORDENES'!$AB612))</f>
        <v/>
      </c>
      <c r="H634" s="3">
        <f>IF('ORDENES'!$A612="","",IF('ORDENES'!$AN612="","-",'ORDENES'!$AN612))</f>
        <v/>
      </c>
      <c r="I634" s="3">
        <f>IF('ORDENES'!$A612="","",IF('ORDENES'!$D612="","-",'ORDENES'!$D612))</f>
        <v/>
      </c>
      <c r="J634" s="3">
        <f>IF('ORDENES'!$A612="","",IF('ORDENES'!$E612="","-",'ORDENES'!$E612))</f>
        <v/>
      </c>
      <c r="K634" s="12">
        <f>IF('ORDENES'!$A612="","",IF('ORDENES'!$M612="",0,'ORDENES'!$M612))</f>
        <v/>
      </c>
      <c r="L634" s="3">
        <f>IF('ORDENES'!$A612="","",IF('ORDENES'!$N612="","-",'ORDENES'!$N612))</f>
        <v/>
      </c>
      <c r="M634" s="3">
        <f>IF('ORDENES'!$A612="","",'ORDENES'!$AA612)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IF('ORDENES'!$A613="","",IF('ORDENES'!$AC613="","-",'ORDENES'!$AC613))</f>
        <v/>
      </c>
      <c r="D635" s="3">
        <f>IF('ORDENES'!$A613="","",IF('ORDENES'!$V613="","-",'ORDENES'!$V613))</f>
        <v/>
      </c>
      <c r="E635" s="3">
        <f>IF('ORDENES'!$A613="","",IF('ORDENES'!$U613="","-",'ORDENES'!$U613))</f>
        <v/>
      </c>
      <c r="F635" s="3">
        <f>IF('ORDENES'!$A613="","",IF('ORDENES'!$W613="","-",'ORDENES'!$W613))</f>
        <v/>
      </c>
      <c r="G635" s="3">
        <f>IF('ORDENES'!$A613="","",IF('ORDENES'!$AB613="","-",'ORDENES'!$AB613))</f>
        <v/>
      </c>
      <c r="H635" s="3">
        <f>IF('ORDENES'!$A613="","",IF('ORDENES'!$AN613="","-",'ORDENES'!$AN613))</f>
        <v/>
      </c>
      <c r="I635" s="3">
        <f>IF('ORDENES'!$A613="","",IF('ORDENES'!$D613="","-",'ORDENES'!$D613))</f>
        <v/>
      </c>
      <c r="J635" s="3">
        <f>IF('ORDENES'!$A613="","",IF('ORDENES'!$E613="","-",'ORDENES'!$E613))</f>
        <v/>
      </c>
      <c r="K635" s="12">
        <f>IF('ORDENES'!$A613="","",IF('ORDENES'!$M613="",0,'ORDENES'!$M613))</f>
        <v/>
      </c>
      <c r="L635" s="3">
        <f>IF('ORDENES'!$A613="","",IF('ORDENES'!$N613="","-",'ORDENES'!$N613))</f>
        <v/>
      </c>
      <c r="M635" s="3">
        <f>IF('ORDENES'!$A613="","",'ORDENES'!$AA613)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IF('ORDENES'!$A614="","",IF('ORDENES'!$AC614="","-",'ORDENES'!$AC614))</f>
        <v/>
      </c>
      <c r="D636" s="3">
        <f>IF('ORDENES'!$A614="","",IF('ORDENES'!$V614="","-",'ORDENES'!$V614))</f>
        <v/>
      </c>
      <c r="E636" s="3">
        <f>IF('ORDENES'!$A614="","",IF('ORDENES'!$U614="","-",'ORDENES'!$U614))</f>
        <v/>
      </c>
      <c r="F636" s="3">
        <f>IF('ORDENES'!$A614="","",IF('ORDENES'!$W614="","-",'ORDENES'!$W614))</f>
        <v/>
      </c>
      <c r="G636" s="3">
        <f>IF('ORDENES'!$A614="","",IF('ORDENES'!$AB614="","-",'ORDENES'!$AB614))</f>
        <v/>
      </c>
      <c r="H636" s="3">
        <f>IF('ORDENES'!$A614="","",IF('ORDENES'!$AN614="","-",'ORDENES'!$AN614))</f>
        <v/>
      </c>
      <c r="I636" s="3">
        <f>IF('ORDENES'!$A614="","",IF('ORDENES'!$D614="","-",'ORDENES'!$D614))</f>
        <v/>
      </c>
      <c r="J636" s="3">
        <f>IF('ORDENES'!$A614="","",IF('ORDENES'!$E614="","-",'ORDENES'!$E614))</f>
        <v/>
      </c>
      <c r="K636" s="12">
        <f>IF('ORDENES'!$A614="","",IF('ORDENES'!$M614="",0,'ORDENES'!$M614))</f>
        <v/>
      </c>
      <c r="L636" s="3">
        <f>IF('ORDENES'!$A614="","",IF('ORDENES'!$N614="","-",'ORDENES'!$N614))</f>
        <v/>
      </c>
      <c r="M636" s="3">
        <f>IF('ORDENES'!$A614="","",'ORDENES'!$AA614)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IF('ORDENES'!$A615="","",IF('ORDENES'!$AC615="","-",'ORDENES'!$AC615))</f>
        <v/>
      </c>
      <c r="D637" s="3">
        <f>IF('ORDENES'!$A615="","",IF('ORDENES'!$V615="","-",'ORDENES'!$V615))</f>
        <v/>
      </c>
      <c r="E637" s="3">
        <f>IF('ORDENES'!$A615="","",IF('ORDENES'!$U615="","-",'ORDENES'!$U615))</f>
        <v/>
      </c>
      <c r="F637" s="3">
        <f>IF('ORDENES'!$A615="","",IF('ORDENES'!$W615="","-",'ORDENES'!$W615))</f>
        <v/>
      </c>
      <c r="G637" s="3">
        <f>IF('ORDENES'!$A615="","",IF('ORDENES'!$AB615="","-",'ORDENES'!$AB615))</f>
        <v/>
      </c>
      <c r="H637" s="3">
        <f>IF('ORDENES'!$A615="","",IF('ORDENES'!$AN615="","-",'ORDENES'!$AN615))</f>
        <v/>
      </c>
      <c r="I637" s="3">
        <f>IF('ORDENES'!$A615="","",IF('ORDENES'!$D615="","-",'ORDENES'!$D615))</f>
        <v/>
      </c>
      <c r="J637" s="3">
        <f>IF('ORDENES'!$A615="","",IF('ORDENES'!$E615="","-",'ORDENES'!$E615))</f>
        <v/>
      </c>
      <c r="K637" s="12">
        <f>IF('ORDENES'!$A615="","",IF('ORDENES'!$M615="",0,'ORDENES'!$M615))</f>
        <v/>
      </c>
      <c r="L637" s="3">
        <f>IF('ORDENES'!$A615="","",IF('ORDENES'!$N615="","-",'ORDENES'!$N615))</f>
        <v/>
      </c>
      <c r="M637" s="3">
        <f>IF('ORDENES'!$A615="","",'ORDENES'!$AA615)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IF('ORDENES'!$A616="","",IF('ORDENES'!$AC616="","-",'ORDENES'!$AC616))</f>
        <v/>
      </c>
      <c r="D638" s="3">
        <f>IF('ORDENES'!$A616="","",IF('ORDENES'!$V616="","-",'ORDENES'!$V616))</f>
        <v/>
      </c>
      <c r="E638" s="3">
        <f>IF('ORDENES'!$A616="","",IF('ORDENES'!$U616="","-",'ORDENES'!$U616))</f>
        <v/>
      </c>
      <c r="F638" s="3">
        <f>IF('ORDENES'!$A616="","",IF('ORDENES'!$W616="","-",'ORDENES'!$W616))</f>
        <v/>
      </c>
      <c r="G638" s="3">
        <f>IF('ORDENES'!$A616="","",IF('ORDENES'!$AB616="","-",'ORDENES'!$AB616))</f>
        <v/>
      </c>
      <c r="H638" s="3">
        <f>IF('ORDENES'!$A616="","",IF('ORDENES'!$AN616="","-",'ORDENES'!$AN616))</f>
        <v/>
      </c>
      <c r="I638" s="3">
        <f>IF('ORDENES'!$A616="","",IF('ORDENES'!$D616="","-",'ORDENES'!$D616))</f>
        <v/>
      </c>
      <c r="J638" s="3">
        <f>IF('ORDENES'!$A616="","",IF('ORDENES'!$E616="","-",'ORDENES'!$E616))</f>
        <v/>
      </c>
      <c r="K638" s="12">
        <f>IF('ORDENES'!$A616="","",IF('ORDENES'!$M616="",0,'ORDENES'!$M616))</f>
        <v/>
      </c>
      <c r="L638" s="3">
        <f>IF('ORDENES'!$A616="","",IF('ORDENES'!$N616="","-",'ORDENES'!$N616))</f>
        <v/>
      </c>
      <c r="M638" s="3">
        <f>IF('ORDENES'!$A616="","",'ORDENES'!$AA616)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IF('ORDENES'!$A617="","",IF('ORDENES'!$AC617="","-",'ORDENES'!$AC617))</f>
        <v/>
      </c>
      <c r="D639" s="3">
        <f>IF('ORDENES'!$A617="","",IF('ORDENES'!$V617="","-",'ORDENES'!$V617))</f>
        <v/>
      </c>
      <c r="E639" s="3">
        <f>IF('ORDENES'!$A617="","",IF('ORDENES'!$U617="","-",'ORDENES'!$U617))</f>
        <v/>
      </c>
      <c r="F639" s="3">
        <f>IF('ORDENES'!$A617="","",IF('ORDENES'!$W617="","-",'ORDENES'!$W617))</f>
        <v/>
      </c>
      <c r="G639" s="3">
        <f>IF('ORDENES'!$A617="","",IF('ORDENES'!$AB617="","-",'ORDENES'!$AB617))</f>
        <v/>
      </c>
      <c r="H639" s="3">
        <f>IF('ORDENES'!$A617="","",IF('ORDENES'!$AN617="","-",'ORDENES'!$AN617))</f>
        <v/>
      </c>
      <c r="I639" s="3">
        <f>IF('ORDENES'!$A617="","",IF('ORDENES'!$D617="","-",'ORDENES'!$D617))</f>
        <v/>
      </c>
      <c r="J639" s="3">
        <f>IF('ORDENES'!$A617="","",IF('ORDENES'!$E617="","-",'ORDENES'!$E617))</f>
        <v/>
      </c>
      <c r="K639" s="12">
        <f>IF('ORDENES'!$A617="","",IF('ORDENES'!$M617="",0,'ORDENES'!$M617))</f>
        <v/>
      </c>
      <c r="L639" s="3">
        <f>IF('ORDENES'!$A617="","",IF('ORDENES'!$N617="","-",'ORDENES'!$N617))</f>
        <v/>
      </c>
      <c r="M639" s="3">
        <f>IF('ORDENES'!$A617="","",'ORDENES'!$AA617)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IF('ORDENES'!$A618="","",IF('ORDENES'!$AC618="","-",'ORDENES'!$AC618))</f>
        <v/>
      </c>
      <c r="D640" s="3">
        <f>IF('ORDENES'!$A618="","",IF('ORDENES'!$V618="","-",'ORDENES'!$V618))</f>
        <v/>
      </c>
      <c r="E640" s="3">
        <f>IF('ORDENES'!$A618="","",IF('ORDENES'!$U618="","-",'ORDENES'!$U618))</f>
        <v/>
      </c>
      <c r="F640" s="3">
        <f>IF('ORDENES'!$A618="","",IF('ORDENES'!$W618="","-",'ORDENES'!$W618))</f>
        <v/>
      </c>
      <c r="G640" s="3">
        <f>IF('ORDENES'!$A618="","",IF('ORDENES'!$AB618="","-",'ORDENES'!$AB618))</f>
        <v/>
      </c>
      <c r="H640" s="3">
        <f>IF('ORDENES'!$A618="","",IF('ORDENES'!$AN618="","-",'ORDENES'!$AN618))</f>
        <v/>
      </c>
      <c r="I640" s="3">
        <f>IF('ORDENES'!$A618="","",IF('ORDENES'!$D618="","-",'ORDENES'!$D618))</f>
        <v/>
      </c>
      <c r="J640" s="3">
        <f>IF('ORDENES'!$A618="","",IF('ORDENES'!$E618="","-",'ORDENES'!$E618))</f>
        <v/>
      </c>
      <c r="K640" s="12">
        <f>IF('ORDENES'!$A618="","",IF('ORDENES'!$M618="",0,'ORDENES'!$M618))</f>
        <v/>
      </c>
      <c r="L640" s="3">
        <f>IF('ORDENES'!$A618="","",IF('ORDENES'!$N618="","-",'ORDENES'!$N618))</f>
        <v/>
      </c>
      <c r="M640" s="3">
        <f>IF('ORDENES'!$A618="","",'ORDENES'!$AA618)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IF('ORDENES'!$A619="","",IF('ORDENES'!$AC619="","-",'ORDENES'!$AC619))</f>
        <v/>
      </c>
      <c r="D641" s="3">
        <f>IF('ORDENES'!$A619="","",IF('ORDENES'!$V619="","-",'ORDENES'!$V619))</f>
        <v/>
      </c>
      <c r="E641" s="3">
        <f>IF('ORDENES'!$A619="","",IF('ORDENES'!$U619="","-",'ORDENES'!$U619))</f>
        <v/>
      </c>
      <c r="F641" s="3">
        <f>IF('ORDENES'!$A619="","",IF('ORDENES'!$W619="","-",'ORDENES'!$W619))</f>
        <v/>
      </c>
      <c r="G641" s="3">
        <f>IF('ORDENES'!$A619="","",IF('ORDENES'!$AB619="","-",'ORDENES'!$AB619))</f>
        <v/>
      </c>
      <c r="H641" s="3">
        <f>IF('ORDENES'!$A619="","",IF('ORDENES'!$AN619="","-",'ORDENES'!$AN619))</f>
        <v/>
      </c>
      <c r="I641" s="3">
        <f>IF('ORDENES'!$A619="","",IF('ORDENES'!$D619="","-",'ORDENES'!$D619))</f>
        <v/>
      </c>
      <c r="J641" s="3">
        <f>IF('ORDENES'!$A619="","",IF('ORDENES'!$E619="","-",'ORDENES'!$E619))</f>
        <v/>
      </c>
      <c r="K641" s="12">
        <f>IF('ORDENES'!$A619="","",IF('ORDENES'!$M619="",0,'ORDENES'!$M619))</f>
        <v/>
      </c>
      <c r="L641" s="3">
        <f>IF('ORDENES'!$A619="","",IF('ORDENES'!$N619="","-",'ORDENES'!$N619))</f>
        <v/>
      </c>
      <c r="M641" s="3">
        <f>IF('ORDENES'!$A619="","",'ORDENES'!$AA619)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IF('ORDENES'!$A620="","",IF('ORDENES'!$AC620="","-",'ORDENES'!$AC620))</f>
        <v/>
      </c>
      <c r="D642" s="3">
        <f>IF('ORDENES'!$A620="","",IF('ORDENES'!$V620="","-",'ORDENES'!$V620))</f>
        <v/>
      </c>
      <c r="E642" s="3">
        <f>IF('ORDENES'!$A620="","",IF('ORDENES'!$U620="","-",'ORDENES'!$U620))</f>
        <v/>
      </c>
      <c r="F642" s="3">
        <f>IF('ORDENES'!$A620="","",IF('ORDENES'!$W620="","-",'ORDENES'!$W620))</f>
        <v/>
      </c>
      <c r="G642" s="3">
        <f>IF('ORDENES'!$A620="","",IF('ORDENES'!$AB620="","-",'ORDENES'!$AB620))</f>
        <v/>
      </c>
      <c r="H642" s="3">
        <f>IF('ORDENES'!$A620="","",IF('ORDENES'!$AN620="","-",'ORDENES'!$AN620))</f>
        <v/>
      </c>
      <c r="I642" s="3">
        <f>IF('ORDENES'!$A620="","",IF('ORDENES'!$D620="","-",'ORDENES'!$D620))</f>
        <v/>
      </c>
      <c r="J642" s="3">
        <f>IF('ORDENES'!$A620="","",IF('ORDENES'!$E620="","-",'ORDENES'!$E620))</f>
        <v/>
      </c>
      <c r="K642" s="12">
        <f>IF('ORDENES'!$A620="","",IF('ORDENES'!$M620="",0,'ORDENES'!$M620))</f>
        <v/>
      </c>
      <c r="L642" s="3">
        <f>IF('ORDENES'!$A620="","",IF('ORDENES'!$N620="","-",'ORDENES'!$N620))</f>
        <v/>
      </c>
      <c r="M642" s="3">
        <f>IF('ORDENES'!$A620="","",'ORDENES'!$AA620)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IF('ORDENES'!$A621="","",IF('ORDENES'!$AC621="","-",'ORDENES'!$AC621))</f>
        <v/>
      </c>
      <c r="D643" s="3">
        <f>IF('ORDENES'!$A621="","",IF('ORDENES'!$V621="","-",'ORDENES'!$V621))</f>
        <v/>
      </c>
      <c r="E643" s="3">
        <f>IF('ORDENES'!$A621="","",IF('ORDENES'!$U621="","-",'ORDENES'!$U621))</f>
        <v/>
      </c>
      <c r="F643" s="3">
        <f>IF('ORDENES'!$A621="","",IF('ORDENES'!$W621="","-",'ORDENES'!$W621))</f>
        <v/>
      </c>
      <c r="G643" s="3">
        <f>IF('ORDENES'!$A621="","",IF('ORDENES'!$AB621="","-",'ORDENES'!$AB621))</f>
        <v/>
      </c>
      <c r="H643" s="3">
        <f>IF('ORDENES'!$A621="","",IF('ORDENES'!$AN621="","-",'ORDENES'!$AN621))</f>
        <v/>
      </c>
      <c r="I643" s="3">
        <f>IF('ORDENES'!$A621="","",IF('ORDENES'!$D621="","-",'ORDENES'!$D621))</f>
        <v/>
      </c>
      <c r="J643" s="3">
        <f>IF('ORDENES'!$A621="","",IF('ORDENES'!$E621="","-",'ORDENES'!$E621))</f>
        <v/>
      </c>
      <c r="K643" s="12">
        <f>IF('ORDENES'!$A621="","",IF('ORDENES'!$M621="",0,'ORDENES'!$M621))</f>
        <v/>
      </c>
      <c r="L643" s="3">
        <f>IF('ORDENES'!$A621="","",IF('ORDENES'!$N621="","-",'ORDENES'!$N621))</f>
        <v/>
      </c>
      <c r="M643" s="3">
        <f>IF('ORDENES'!$A621="","",'ORDENES'!$AA621)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IF('ORDENES'!$A622="","",IF('ORDENES'!$AC622="","-",'ORDENES'!$AC622))</f>
        <v/>
      </c>
      <c r="D644" s="3">
        <f>IF('ORDENES'!$A622="","",IF('ORDENES'!$V622="","-",'ORDENES'!$V622))</f>
        <v/>
      </c>
      <c r="E644" s="3">
        <f>IF('ORDENES'!$A622="","",IF('ORDENES'!$U622="","-",'ORDENES'!$U622))</f>
        <v/>
      </c>
      <c r="F644" s="3">
        <f>IF('ORDENES'!$A622="","",IF('ORDENES'!$W622="","-",'ORDENES'!$W622))</f>
        <v/>
      </c>
      <c r="G644" s="3">
        <f>IF('ORDENES'!$A622="","",IF('ORDENES'!$AB622="","-",'ORDENES'!$AB622))</f>
        <v/>
      </c>
      <c r="H644" s="3">
        <f>IF('ORDENES'!$A622="","",IF('ORDENES'!$AN622="","-",'ORDENES'!$AN622))</f>
        <v/>
      </c>
      <c r="I644" s="3">
        <f>IF('ORDENES'!$A622="","",IF('ORDENES'!$D622="","-",'ORDENES'!$D622))</f>
        <v/>
      </c>
      <c r="J644" s="3">
        <f>IF('ORDENES'!$A622="","",IF('ORDENES'!$E622="","-",'ORDENES'!$E622))</f>
        <v/>
      </c>
      <c r="K644" s="12">
        <f>IF('ORDENES'!$A622="","",IF('ORDENES'!$M622="",0,'ORDENES'!$M622))</f>
        <v/>
      </c>
      <c r="L644" s="3">
        <f>IF('ORDENES'!$A622="","",IF('ORDENES'!$N622="","-",'ORDENES'!$N622))</f>
        <v/>
      </c>
      <c r="M644" s="3">
        <f>IF('ORDENES'!$A622="","",'ORDENES'!$AA622)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IF('ORDENES'!$A623="","",IF('ORDENES'!$AC623="","-",'ORDENES'!$AC623))</f>
        <v/>
      </c>
      <c r="D645" s="3">
        <f>IF('ORDENES'!$A623="","",IF('ORDENES'!$V623="","-",'ORDENES'!$V623))</f>
        <v/>
      </c>
      <c r="E645" s="3">
        <f>IF('ORDENES'!$A623="","",IF('ORDENES'!$U623="","-",'ORDENES'!$U623))</f>
        <v/>
      </c>
      <c r="F645" s="3">
        <f>IF('ORDENES'!$A623="","",IF('ORDENES'!$W623="","-",'ORDENES'!$W623))</f>
        <v/>
      </c>
      <c r="G645" s="3">
        <f>IF('ORDENES'!$A623="","",IF('ORDENES'!$AB623="","-",'ORDENES'!$AB623))</f>
        <v/>
      </c>
      <c r="H645" s="3">
        <f>IF('ORDENES'!$A623="","",IF('ORDENES'!$AN623="","-",'ORDENES'!$AN623))</f>
        <v/>
      </c>
      <c r="I645" s="3">
        <f>IF('ORDENES'!$A623="","",IF('ORDENES'!$D623="","-",'ORDENES'!$D623))</f>
        <v/>
      </c>
      <c r="J645" s="3">
        <f>IF('ORDENES'!$A623="","",IF('ORDENES'!$E623="","-",'ORDENES'!$E623))</f>
        <v/>
      </c>
      <c r="K645" s="12">
        <f>IF('ORDENES'!$A623="","",IF('ORDENES'!$M623="",0,'ORDENES'!$M623))</f>
        <v/>
      </c>
      <c r="L645" s="3">
        <f>IF('ORDENES'!$A623="","",IF('ORDENES'!$N623="","-",'ORDENES'!$N623))</f>
        <v/>
      </c>
      <c r="M645" s="3">
        <f>IF('ORDENES'!$A623="","",'ORDENES'!$AA623)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IF('ORDENES'!$A624="","",IF('ORDENES'!$AC624="","-",'ORDENES'!$AC624))</f>
        <v/>
      </c>
      <c r="D646" s="3">
        <f>IF('ORDENES'!$A624="","",IF('ORDENES'!$V624="","-",'ORDENES'!$V624))</f>
        <v/>
      </c>
      <c r="E646" s="3">
        <f>IF('ORDENES'!$A624="","",IF('ORDENES'!$U624="","-",'ORDENES'!$U624))</f>
        <v/>
      </c>
      <c r="F646" s="3">
        <f>IF('ORDENES'!$A624="","",IF('ORDENES'!$W624="","-",'ORDENES'!$W624))</f>
        <v/>
      </c>
      <c r="G646" s="3">
        <f>IF('ORDENES'!$A624="","",IF('ORDENES'!$AB624="","-",'ORDENES'!$AB624))</f>
        <v/>
      </c>
      <c r="H646" s="3">
        <f>IF('ORDENES'!$A624="","",IF('ORDENES'!$AN624="","-",'ORDENES'!$AN624))</f>
        <v/>
      </c>
      <c r="I646" s="3">
        <f>IF('ORDENES'!$A624="","",IF('ORDENES'!$D624="","-",'ORDENES'!$D624))</f>
        <v/>
      </c>
      <c r="J646" s="3">
        <f>IF('ORDENES'!$A624="","",IF('ORDENES'!$E624="","-",'ORDENES'!$E624))</f>
        <v/>
      </c>
      <c r="K646" s="12">
        <f>IF('ORDENES'!$A624="","",IF('ORDENES'!$M624="",0,'ORDENES'!$M624))</f>
        <v/>
      </c>
      <c r="L646" s="3">
        <f>IF('ORDENES'!$A624="","",IF('ORDENES'!$N624="","-",'ORDENES'!$N624))</f>
        <v/>
      </c>
      <c r="M646" s="3">
        <f>IF('ORDENES'!$A624="","",'ORDENES'!$AA624)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IF('ORDENES'!$A625="","",IF('ORDENES'!$AC625="","-",'ORDENES'!$AC625))</f>
        <v/>
      </c>
      <c r="D647" s="3">
        <f>IF('ORDENES'!$A625="","",IF('ORDENES'!$V625="","-",'ORDENES'!$V625))</f>
        <v/>
      </c>
      <c r="E647" s="3">
        <f>IF('ORDENES'!$A625="","",IF('ORDENES'!$U625="","-",'ORDENES'!$U625))</f>
        <v/>
      </c>
      <c r="F647" s="3">
        <f>IF('ORDENES'!$A625="","",IF('ORDENES'!$W625="","-",'ORDENES'!$W625))</f>
        <v/>
      </c>
      <c r="G647" s="3">
        <f>IF('ORDENES'!$A625="","",IF('ORDENES'!$AB625="","-",'ORDENES'!$AB625))</f>
        <v/>
      </c>
      <c r="H647" s="3">
        <f>IF('ORDENES'!$A625="","",IF('ORDENES'!$AN625="","-",'ORDENES'!$AN625))</f>
        <v/>
      </c>
      <c r="I647" s="3">
        <f>IF('ORDENES'!$A625="","",IF('ORDENES'!$D625="","-",'ORDENES'!$D625))</f>
        <v/>
      </c>
      <c r="J647" s="3">
        <f>IF('ORDENES'!$A625="","",IF('ORDENES'!$E625="","-",'ORDENES'!$E625))</f>
        <v/>
      </c>
      <c r="K647" s="12">
        <f>IF('ORDENES'!$A625="","",IF('ORDENES'!$M625="",0,'ORDENES'!$M625))</f>
        <v/>
      </c>
      <c r="L647" s="3">
        <f>IF('ORDENES'!$A625="","",IF('ORDENES'!$N625="","-",'ORDENES'!$N625))</f>
        <v/>
      </c>
      <c r="M647" s="3">
        <f>IF('ORDENES'!$A625="","",'ORDENES'!$AA625)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IF('ORDENES'!$A626="","",IF('ORDENES'!$AC626="","-",'ORDENES'!$AC626))</f>
        <v/>
      </c>
      <c r="D648" s="3">
        <f>IF('ORDENES'!$A626="","",IF('ORDENES'!$V626="","-",'ORDENES'!$V626))</f>
        <v/>
      </c>
      <c r="E648" s="3">
        <f>IF('ORDENES'!$A626="","",IF('ORDENES'!$U626="","-",'ORDENES'!$U626))</f>
        <v/>
      </c>
      <c r="F648" s="3">
        <f>IF('ORDENES'!$A626="","",IF('ORDENES'!$W626="","-",'ORDENES'!$W626))</f>
        <v/>
      </c>
      <c r="G648" s="3">
        <f>IF('ORDENES'!$A626="","",IF('ORDENES'!$AB626="","-",'ORDENES'!$AB626))</f>
        <v/>
      </c>
      <c r="H648" s="3">
        <f>IF('ORDENES'!$A626="","",IF('ORDENES'!$AN626="","-",'ORDENES'!$AN626))</f>
        <v/>
      </c>
      <c r="I648" s="3">
        <f>IF('ORDENES'!$A626="","",IF('ORDENES'!$D626="","-",'ORDENES'!$D626))</f>
        <v/>
      </c>
      <c r="J648" s="3">
        <f>IF('ORDENES'!$A626="","",IF('ORDENES'!$E626="","-",'ORDENES'!$E626))</f>
        <v/>
      </c>
      <c r="K648" s="12">
        <f>IF('ORDENES'!$A626="","",IF('ORDENES'!$M626="",0,'ORDENES'!$M626))</f>
        <v/>
      </c>
      <c r="L648" s="3">
        <f>IF('ORDENES'!$A626="","",IF('ORDENES'!$N626="","-",'ORDENES'!$N626))</f>
        <v/>
      </c>
      <c r="M648" s="3">
        <f>IF('ORDENES'!$A626="","",'ORDENES'!$AA626)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IF('ORDENES'!$A627="","",IF('ORDENES'!$AC627="","-",'ORDENES'!$AC627))</f>
        <v/>
      </c>
      <c r="D649" s="3">
        <f>IF('ORDENES'!$A627="","",IF('ORDENES'!$V627="","-",'ORDENES'!$V627))</f>
        <v/>
      </c>
      <c r="E649" s="3">
        <f>IF('ORDENES'!$A627="","",IF('ORDENES'!$U627="","-",'ORDENES'!$U627))</f>
        <v/>
      </c>
      <c r="F649" s="3">
        <f>IF('ORDENES'!$A627="","",IF('ORDENES'!$W627="","-",'ORDENES'!$W627))</f>
        <v/>
      </c>
      <c r="G649" s="3">
        <f>IF('ORDENES'!$A627="","",IF('ORDENES'!$AB627="","-",'ORDENES'!$AB627))</f>
        <v/>
      </c>
      <c r="H649" s="3">
        <f>IF('ORDENES'!$A627="","",IF('ORDENES'!$AN627="","-",'ORDENES'!$AN627))</f>
        <v/>
      </c>
      <c r="I649" s="3">
        <f>IF('ORDENES'!$A627="","",IF('ORDENES'!$D627="","-",'ORDENES'!$D627))</f>
        <v/>
      </c>
      <c r="J649" s="3">
        <f>IF('ORDENES'!$A627="","",IF('ORDENES'!$E627="","-",'ORDENES'!$E627))</f>
        <v/>
      </c>
      <c r="K649" s="12">
        <f>IF('ORDENES'!$A627="","",IF('ORDENES'!$M627="",0,'ORDENES'!$M627))</f>
        <v/>
      </c>
      <c r="L649" s="3">
        <f>IF('ORDENES'!$A627="","",IF('ORDENES'!$N627="","-",'ORDENES'!$N627))</f>
        <v/>
      </c>
      <c r="M649" s="3">
        <f>IF('ORDENES'!$A627="","",'ORDENES'!$AA627)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IF('ORDENES'!$A628="","",IF('ORDENES'!$AC628="","-",'ORDENES'!$AC628))</f>
        <v/>
      </c>
      <c r="D650" s="3">
        <f>IF('ORDENES'!$A628="","",IF('ORDENES'!$V628="","-",'ORDENES'!$V628))</f>
        <v/>
      </c>
      <c r="E650" s="3">
        <f>IF('ORDENES'!$A628="","",IF('ORDENES'!$U628="","-",'ORDENES'!$U628))</f>
        <v/>
      </c>
      <c r="F650" s="3">
        <f>IF('ORDENES'!$A628="","",IF('ORDENES'!$W628="","-",'ORDENES'!$W628))</f>
        <v/>
      </c>
      <c r="G650" s="3">
        <f>IF('ORDENES'!$A628="","",IF('ORDENES'!$AB628="","-",'ORDENES'!$AB628))</f>
        <v/>
      </c>
      <c r="H650" s="3">
        <f>IF('ORDENES'!$A628="","",IF('ORDENES'!$AN628="","-",'ORDENES'!$AN628))</f>
        <v/>
      </c>
      <c r="I650" s="3">
        <f>IF('ORDENES'!$A628="","",IF('ORDENES'!$D628="","-",'ORDENES'!$D628))</f>
        <v/>
      </c>
      <c r="J650" s="3">
        <f>IF('ORDENES'!$A628="","",IF('ORDENES'!$E628="","-",'ORDENES'!$E628))</f>
        <v/>
      </c>
      <c r="K650" s="12">
        <f>IF('ORDENES'!$A628="","",IF('ORDENES'!$M628="",0,'ORDENES'!$M628))</f>
        <v/>
      </c>
      <c r="L650" s="3">
        <f>IF('ORDENES'!$A628="","",IF('ORDENES'!$N628="","-",'ORDENES'!$N628))</f>
        <v/>
      </c>
      <c r="M650" s="3">
        <f>IF('ORDENES'!$A628="","",'ORDENES'!$AA628)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IF('ORDENES'!$A629="","",IF('ORDENES'!$AC629="","-",'ORDENES'!$AC629))</f>
        <v/>
      </c>
      <c r="D651" s="3">
        <f>IF('ORDENES'!$A629="","",IF('ORDENES'!$V629="","-",'ORDENES'!$V629))</f>
        <v/>
      </c>
      <c r="E651" s="3">
        <f>IF('ORDENES'!$A629="","",IF('ORDENES'!$U629="","-",'ORDENES'!$U629))</f>
        <v/>
      </c>
      <c r="F651" s="3">
        <f>IF('ORDENES'!$A629="","",IF('ORDENES'!$W629="","-",'ORDENES'!$W629))</f>
        <v/>
      </c>
      <c r="G651" s="3">
        <f>IF('ORDENES'!$A629="","",IF('ORDENES'!$AB629="","-",'ORDENES'!$AB629))</f>
        <v/>
      </c>
      <c r="H651" s="3">
        <f>IF('ORDENES'!$A629="","",IF('ORDENES'!$AN629="","-",'ORDENES'!$AN629))</f>
        <v/>
      </c>
      <c r="I651" s="3">
        <f>IF('ORDENES'!$A629="","",IF('ORDENES'!$D629="","-",'ORDENES'!$D629))</f>
        <v/>
      </c>
      <c r="J651" s="3">
        <f>IF('ORDENES'!$A629="","",IF('ORDENES'!$E629="","-",'ORDENES'!$E629))</f>
        <v/>
      </c>
      <c r="K651" s="12">
        <f>IF('ORDENES'!$A629="","",IF('ORDENES'!$M629="",0,'ORDENES'!$M629))</f>
        <v/>
      </c>
      <c r="L651" s="3">
        <f>IF('ORDENES'!$A629="","",IF('ORDENES'!$N629="","-",'ORDENES'!$N629))</f>
        <v/>
      </c>
      <c r="M651" s="3">
        <f>IF('ORDENES'!$A629="","",'ORDENES'!$AA629)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IF('ORDENES'!$A630="","",IF('ORDENES'!$AC630="","-",'ORDENES'!$AC630))</f>
        <v/>
      </c>
      <c r="D652" s="3">
        <f>IF('ORDENES'!$A630="","",IF('ORDENES'!$V630="","-",'ORDENES'!$V630))</f>
        <v/>
      </c>
      <c r="E652" s="3">
        <f>IF('ORDENES'!$A630="","",IF('ORDENES'!$U630="","-",'ORDENES'!$U630))</f>
        <v/>
      </c>
      <c r="F652" s="3">
        <f>IF('ORDENES'!$A630="","",IF('ORDENES'!$W630="","-",'ORDENES'!$W630))</f>
        <v/>
      </c>
      <c r="G652" s="3">
        <f>IF('ORDENES'!$A630="","",IF('ORDENES'!$AB630="","-",'ORDENES'!$AB630))</f>
        <v/>
      </c>
      <c r="H652" s="3">
        <f>IF('ORDENES'!$A630="","",IF('ORDENES'!$AN630="","-",'ORDENES'!$AN630))</f>
        <v/>
      </c>
      <c r="I652" s="3">
        <f>IF('ORDENES'!$A630="","",IF('ORDENES'!$D630="","-",'ORDENES'!$D630))</f>
        <v/>
      </c>
      <c r="J652" s="3">
        <f>IF('ORDENES'!$A630="","",IF('ORDENES'!$E630="","-",'ORDENES'!$E630))</f>
        <v/>
      </c>
      <c r="K652" s="12">
        <f>IF('ORDENES'!$A630="","",IF('ORDENES'!$M630="",0,'ORDENES'!$M630))</f>
        <v/>
      </c>
      <c r="L652" s="3">
        <f>IF('ORDENES'!$A630="","",IF('ORDENES'!$N630="","-",'ORDENES'!$N630))</f>
        <v/>
      </c>
      <c r="M652" s="3">
        <f>IF('ORDENES'!$A630="","",'ORDENES'!$AA630)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IF('ORDENES'!$A631="","",IF('ORDENES'!$AC631="","-",'ORDENES'!$AC631))</f>
        <v/>
      </c>
      <c r="D653" s="3">
        <f>IF('ORDENES'!$A631="","",IF('ORDENES'!$V631="","-",'ORDENES'!$V631))</f>
        <v/>
      </c>
      <c r="E653" s="3">
        <f>IF('ORDENES'!$A631="","",IF('ORDENES'!$U631="","-",'ORDENES'!$U631))</f>
        <v/>
      </c>
      <c r="F653" s="3">
        <f>IF('ORDENES'!$A631="","",IF('ORDENES'!$W631="","-",'ORDENES'!$W631))</f>
        <v/>
      </c>
      <c r="G653" s="3">
        <f>IF('ORDENES'!$A631="","",IF('ORDENES'!$AB631="","-",'ORDENES'!$AB631))</f>
        <v/>
      </c>
      <c r="H653" s="3">
        <f>IF('ORDENES'!$A631="","",IF('ORDENES'!$AN631="","-",'ORDENES'!$AN631))</f>
        <v/>
      </c>
      <c r="I653" s="3">
        <f>IF('ORDENES'!$A631="","",IF('ORDENES'!$D631="","-",'ORDENES'!$D631))</f>
        <v/>
      </c>
      <c r="J653" s="3">
        <f>IF('ORDENES'!$A631="","",IF('ORDENES'!$E631="","-",'ORDENES'!$E631))</f>
        <v/>
      </c>
      <c r="K653" s="12">
        <f>IF('ORDENES'!$A631="","",IF('ORDENES'!$M631="",0,'ORDENES'!$M631))</f>
        <v/>
      </c>
      <c r="L653" s="3">
        <f>IF('ORDENES'!$A631="","",IF('ORDENES'!$N631="","-",'ORDENES'!$N631))</f>
        <v/>
      </c>
      <c r="M653" s="3">
        <f>IF('ORDENES'!$A631="","",'ORDENES'!$AA631)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IF('ORDENES'!$A632="","",IF('ORDENES'!$AC632="","-",'ORDENES'!$AC632))</f>
        <v/>
      </c>
      <c r="D654" s="3">
        <f>IF('ORDENES'!$A632="","",IF('ORDENES'!$V632="","-",'ORDENES'!$V632))</f>
        <v/>
      </c>
      <c r="E654" s="3">
        <f>IF('ORDENES'!$A632="","",IF('ORDENES'!$U632="","-",'ORDENES'!$U632))</f>
        <v/>
      </c>
      <c r="F654" s="3">
        <f>IF('ORDENES'!$A632="","",IF('ORDENES'!$W632="","-",'ORDENES'!$W632))</f>
        <v/>
      </c>
      <c r="G654" s="3">
        <f>IF('ORDENES'!$A632="","",IF('ORDENES'!$AB632="","-",'ORDENES'!$AB632))</f>
        <v/>
      </c>
      <c r="H654" s="3">
        <f>IF('ORDENES'!$A632="","",IF('ORDENES'!$AN632="","-",'ORDENES'!$AN632))</f>
        <v/>
      </c>
      <c r="I654" s="3">
        <f>IF('ORDENES'!$A632="","",IF('ORDENES'!$D632="","-",'ORDENES'!$D632))</f>
        <v/>
      </c>
      <c r="J654" s="3">
        <f>IF('ORDENES'!$A632="","",IF('ORDENES'!$E632="","-",'ORDENES'!$E632))</f>
        <v/>
      </c>
      <c r="K654" s="12">
        <f>IF('ORDENES'!$A632="","",IF('ORDENES'!$M632="",0,'ORDENES'!$M632))</f>
        <v/>
      </c>
      <c r="L654" s="3">
        <f>IF('ORDENES'!$A632="","",IF('ORDENES'!$N632="","-",'ORDENES'!$N632))</f>
        <v/>
      </c>
      <c r="M654" s="3">
        <f>IF('ORDENES'!$A632="","",'ORDENES'!$AA632)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IF('ORDENES'!$A633="","",IF('ORDENES'!$AC633="","-",'ORDENES'!$AC633))</f>
        <v/>
      </c>
      <c r="D655" s="3">
        <f>IF('ORDENES'!$A633="","",IF('ORDENES'!$V633="","-",'ORDENES'!$V633))</f>
        <v/>
      </c>
      <c r="E655" s="3">
        <f>IF('ORDENES'!$A633="","",IF('ORDENES'!$U633="","-",'ORDENES'!$U633))</f>
        <v/>
      </c>
      <c r="F655" s="3">
        <f>IF('ORDENES'!$A633="","",IF('ORDENES'!$W633="","-",'ORDENES'!$W633))</f>
        <v/>
      </c>
      <c r="G655" s="3">
        <f>IF('ORDENES'!$A633="","",IF('ORDENES'!$AB633="","-",'ORDENES'!$AB633))</f>
        <v/>
      </c>
      <c r="H655" s="3">
        <f>IF('ORDENES'!$A633="","",IF('ORDENES'!$AN633="","-",'ORDENES'!$AN633))</f>
        <v/>
      </c>
      <c r="I655" s="3">
        <f>IF('ORDENES'!$A633="","",IF('ORDENES'!$D633="","-",'ORDENES'!$D633))</f>
        <v/>
      </c>
      <c r="J655" s="3">
        <f>IF('ORDENES'!$A633="","",IF('ORDENES'!$E633="","-",'ORDENES'!$E633))</f>
        <v/>
      </c>
      <c r="K655" s="12">
        <f>IF('ORDENES'!$A633="","",IF('ORDENES'!$M633="",0,'ORDENES'!$M633))</f>
        <v/>
      </c>
      <c r="L655" s="3">
        <f>IF('ORDENES'!$A633="","",IF('ORDENES'!$N633="","-",'ORDENES'!$N633))</f>
        <v/>
      </c>
      <c r="M655" s="3">
        <f>IF('ORDENES'!$A633="","",'ORDENES'!$AA633)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IF('ORDENES'!$A634="","",IF('ORDENES'!$AC634="","-",'ORDENES'!$AC634))</f>
        <v/>
      </c>
      <c r="D656" s="3">
        <f>IF('ORDENES'!$A634="","",IF('ORDENES'!$V634="","-",'ORDENES'!$V634))</f>
        <v/>
      </c>
      <c r="E656" s="3">
        <f>IF('ORDENES'!$A634="","",IF('ORDENES'!$U634="","-",'ORDENES'!$U634))</f>
        <v/>
      </c>
      <c r="F656" s="3">
        <f>IF('ORDENES'!$A634="","",IF('ORDENES'!$W634="","-",'ORDENES'!$W634))</f>
        <v/>
      </c>
      <c r="G656" s="3">
        <f>IF('ORDENES'!$A634="","",IF('ORDENES'!$AB634="","-",'ORDENES'!$AB634))</f>
        <v/>
      </c>
      <c r="H656" s="3">
        <f>IF('ORDENES'!$A634="","",IF('ORDENES'!$AN634="","-",'ORDENES'!$AN634))</f>
        <v/>
      </c>
      <c r="I656" s="3">
        <f>IF('ORDENES'!$A634="","",IF('ORDENES'!$D634="","-",'ORDENES'!$D634))</f>
        <v/>
      </c>
      <c r="J656" s="3">
        <f>IF('ORDENES'!$A634="","",IF('ORDENES'!$E634="","-",'ORDENES'!$E634))</f>
        <v/>
      </c>
      <c r="K656" s="12">
        <f>IF('ORDENES'!$A634="","",IF('ORDENES'!$M634="",0,'ORDENES'!$M634))</f>
        <v/>
      </c>
      <c r="L656" s="3">
        <f>IF('ORDENES'!$A634="","",IF('ORDENES'!$N634="","-",'ORDENES'!$N634))</f>
        <v/>
      </c>
      <c r="M656" s="3">
        <f>IF('ORDENES'!$A634="","",'ORDENES'!$AA634)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IF('ORDENES'!$A635="","",IF('ORDENES'!$AC635="","-",'ORDENES'!$AC635))</f>
        <v/>
      </c>
      <c r="D657" s="3">
        <f>IF('ORDENES'!$A635="","",IF('ORDENES'!$V635="","-",'ORDENES'!$V635))</f>
        <v/>
      </c>
      <c r="E657" s="3">
        <f>IF('ORDENES'!$A635="","",IF('ORDENES'!$U635="","-",'ORDENES'!$U635))</f>
        <v/>
      </c>
      <c r="F657" s="3">
        <f>IF('ORDENES'!$A635="","",IF('ORDENES'!$W635="","-",'ORDENES'!$W635))</f>
        <v/>
      </c>
      <c r="G657" s="3">
        <f>IF('ORDENES'!$A635="","",IF('ORDENES'!$AB635="","-",'ORDENES'!$AB635))</f>
        <v/>
      </c>
      <c r="H657" s="3">
        <f>IF('ORDENES'!$A635="","",IF('ORDENES'!$AN635="","-",'ORDENES'!$AN635))</f>
        <v/>
      </c>
      <c r="I657" s="3">
        <f>IF('ORDENES'!$A635="","",IF('ORDENES'!$D635="","-",'ORDENES'!$D635))</f>
        <v/>
      </c>
      <c r="J657" s="3">
        <f>IF('ORDENES'!$A635="","",IF('ORDENES'!$E635="","-",'ORDENES'!$E635))</f>
        <v/>
      </c>
      <c r="K657" s="12">
        <f>IF('ORDENES'!$A635="","",IF('ORDENES'!$M635="",0,'ORDENES'!$M635))</f>
        <v/>
      </c>
      <c r="L657" s="3">
        <f>IF('ORDENES'!$A635="","",IF('ORDENES'!$N635="","-",'ORDENES'!$N635))</f>
        <v/>
      </c>
      <c r="M657" s="3">
        <f>IF('ORDENES'!$A635="","",'ORDENES'!$AA635)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IF('ORDENES'!$A636="","",IF('ORDENES'!$AC636="","-",'ORDENES'!$AC636))</f>
        <v/>
      </c>
      <c r="D658" s="3">
        <f>IF('ORDENES'!$A636="","",IF('ORDENES'!$V636="","-",'ORDENES'!$V636))</f>
        <v/>
      </c>
      <c r="E658" s="3">
        <f>IF('ORDENES'!$A636="","",IF('ORDENES'!$U636="","-",'ORDENES'!$U636))</f>
        <v/>
      </c>
      <c r="F658" s="3">
        <f>IF('ORDENES'!$A636="","",IF('ORDENES'!$W636="","-",'ORDENES'!$W636))</f>
        <v/>
      </c>
      <c r="G658" s="3">
        <f>IF('ORDENES'!$A636="","",IF('ORDENES'!$AB636="","-",'ORDENES'!$AB636))</f>
        <v/>
      </c>
      <c r="H658" s="3">
        <f>IF('ORDENES'!$A636="","",IF('ORDENES'!$AN636="","-",'ORDENES'!$AN636))</f>
        <v/>
      </c>
      <c r="I658" s="3">
        <f>IF('ORDENES'!$A636="","",IF('ORDENES'!$D636="","-",'ORDENES'!$D636))</f>
        <v/>
      </c>
      <c r="J658" s="3">
        <f>IF('ORDENES'!$A636="","",IF('ORDENES'!$E636="","-",'ORDENES'!$E636))</f>
        <v/>
      </c>
      <c r="K658" s="12">
        <f>IF('ORDENES'!$A636="","",IF('ORDENES'!$M636="",0,'ORDENES'!$M636))</f>
        <v/>
      </c>
      <c r="L658" s="3">
        <f>IF('ORDENES'!$A636="","",IF('ORDENES'!$N636="","-",'ORDENES'!$N636))</f>
        <v/>
      </c>
      <c r="M658" s="3">
        <f>IF('ORDENES'!$A636="","",'ORDENES'!$AA636)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IF('ORDENES'!$A637="","",IF('ORDENES'!$AC637="","-",'ORDENES'!$AC637))</f>
        <v/>
      </c>
      <c r="D659" s="3">
        <f>IF('ORDENES'!$A637="","",IF('ORDENES'!$V637="","-",'ORDENES'!$V637))</f>
        <v/>
      </c>
      <c r="E659" s="3">
        <f>IF('ORDENES'!$A637="","",IF('ORDENES'!$U637="","-",'ORDENES'!$U637))</f>
        <v/>
      </c>
      <c r="F659" s="3">
        <f>IF('ORDENES'!$A637="","",IF('ORDENES'!$W637="","-",'ORDENES'!$W637))</f>
        <v/>
      </c>
      <c r="G659" s="3">
        <f>IF('ORDENES'!$A637="","",IF('ORDENES'!$AB637="","-",'ORDENES'!$AB637))</f>
        <v/>
      </c>
      <c r="H659" s="3">
        <f>IF('ORDENES'!$A637="","",IF('ORDENES'!$AN637="","-",'ORDENES'!$AN637))</f>
        <v/>
      </c>
      <c r="I659" s="3">
        <f>IF('ORDENES'!$A637="","",IF('ORDENES'!$D637="","-",'ORDENES'!$D637))</f>
        <v/>
      </c>
      <c r="J659" s="3">
        <f>IF('ORDENES'!$A637="","",IF('ORDENES'!$E637="","-",'ORDENES'!$E637))</f>
        <v/>
      </c>
      <c r="K659" s="12">
        <f>IF('ORDENES'!$A637="","",IF('ORDENES'!$M637="",0,'ORDENES'!$M637))</f>
        <v/>
      </c>
      <c r="L659" s="3">
        <f>IF('ORDENES'!$A637="","",IF('ORDENES'!$N637="","-",'ORDENES'!$N637))</f>
        <v/>
      </c>
      <c r="M659" s="3">
        <f>IF('ORDENES'!$A637="","",'ORDENES'!$AA637)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IF('ORDENES'!$A638="","",IF('ORDENES'!$AC638="","-",'ORDENES'!$AC638))</f>
        <v/>
      </c>
      <c r="D660" s="3">
        <f>IF('ORDENES'!$A638="","",IF('ORDENES'!$V638="","-",'ORDENES'!$V638))</f>
        <v/>
      </c>
      <c r="E660" s="3">
        <f>IF('ORDENES'!$A638="","",IF('ORDENES'!$U638="","-",'ORDENES'!$U638))</f>
        <v/>
      </c>
      <c r="F660" s="3">
        <f>IF('ORDENES'!$A638="","",IF('ORDENES'!$W638="","-",'ORDENES'!$W638))</f>
        <v/>
      </c>
      <c r="G660" s="3">
        <f>IF('ORDENES'!$A638="","",IF('ORDENES'!$AB638="","-",'ORDENES'!$AB638))</f>
        <v/>
      </c>
      <c r="H660" s="3">
        <f>IF('ORDENES'!$A638="","",IF('ORDENES'!$AN638="","-",'ORDENES'!$AN638))</f>
        <v/>
      </c>
      <c r="I660" s="3">
        <f>IF('ORDENES'!$A638="","",IF('ORDENES'!$D638="","-",'ORDENES'!$D638))</f>
        <v/>
      </c>
      <c r="J660" s="3">
        <f>IF('ORDENES'!$A638="","",IF('ORDENES'!$E638="","-",'ORDENES'!$E638))</f>
        <v/>
      </c>
      <c r="K660" s="12">
        <f>IF('ORDENES'!$A638="","",IF('ORDENES'!$M638="",0,'ORDENES'!$M638))</f>
        <v/>
      </c>
      <c r="L660" s="3">
        <f>IF('ORDENES'!$A638="","",IF('ORDENES'!$N638="","-",'ORDENES'!$N638))</f>
        <v/>
      </c>
      <c r="M660" s="3">
        <f>IF('ORDENES'!$A638="","",'ORDENES'!$AA638)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IF('ORDENES'!$A639="","",IF('ORDENES'!$AC639="","-",'ORDENES'!$AC639))</f>
        <v/>
      </c>
      <c r="D661" s="3">
        <f>IF('ORDENES'!$A639="","",IF('ORDENES'!$V639="","-",'ORDENES'!$V639))</f>
        <v/>
      </c>
      <c r="E661" s="3">
        <f>IF('ORDENES'!$A639="","",IF('ORDENES'!$U639="","-",'ORDENES'!$U639))</f>
        <v/>
      </c>
      <c r="F661" s="3">
        <f>IF('ORDENES'!$A639="","",IF('ORDENES'!$W639="","-",'ORDENES'!$W639))</f>
        <v/>
      </c>
      <c r="G661" s="3">
        <f>IF('ORDENES'!$A639="","",IF('ORDENES'!$AB639="","-",'ORDENES'!$AB639))</f>
        <v/>
      </c>
      <c r="H661" s="3">
        <f>IF('ORDENES'!$A639="","",IF('ORDENES'!$AN639="","-",'ORDENES'!$AN639))</f>
        <v/>
      </c>
      <c r="I661" s="3">
        <f>IF('ORDENES'!$A639="","",IF('ORDENES'!$D639="","-",'ORDENES'!$D639))</f>
        <v/>
      </c>
      <c r="J661" s="3">
        <f>IF('ORDENES'!$A639="","",IF('ORDENES'!$E639="","-",'ORDENES'!$E639))</f>
        <v/>
      </c>
      <c r="K661" s="12">
        <f>IF('ORDENES'!$A639="","",IF('ORDENES'!$M639="",0,'ORDENES'!$M639))</f>
        <v/>
      </c>
      <c r="L661" s="3">
        <f>IF('ORDENES'!$A639="","",IF('ORDENES'!$N639="","-",'ORDENES'!$N639))</f>
        <v/>
      </c>
      <c r="M661" s="3">
        <f>IF('ORDENES'!$A639="","",'ORDENES'!$AA639)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IF('ORDENES'!$A640="","",IF('ORDENES'!$AC640="","-",'ORDENES'!$AC640))</f>
        <v/>
      </c>
      <c r="D662" s="3">
        <f>IF('ORDENES'!$A640="","",IF('ORDENES'!$V640="","-",'ORDENES'!$V640))</f>
        <v/>
      </c>
      <c r="E662" s="3">
        <f>IF('ORDENES'!$A640="","",IF('ORDENES'!$U640="","-",'ORDENES'!$U640))</f>
        <v/>
      </c>
      <c r="F662" s="3">
        <f>IF('ORDENES'!$A640="","",IF('ORDENES'!$W640="","-",'ORDENES'!$W640))</f>
        <v/>
      </c>
      <c r="G662" s="3">
        <f>IF('ORDENES'!$A640="","",IF('ORDENES'!$AB640="","-",'ORDENES'!$AB640))</f>
        <v/>
      </c>
      <c r="H662" s="3">
        <f>IF('ORDENES'!$A640="","",IF('ORDENES'!$AN640="","-",'ORDENES'!$AN640))</f>
        <v/>
      </c>
      <c r="I662" s="3">
        <f>IF('ORDENES'!$A640="","",IF('ORDENES'!$D640="","-",'ORDENES'!$D640))</f>
        <v/>
      </c>
      <c r="J662" s="3">
        <f>IF('ORDENES'!$A640="","",IF('ORDENES'!$E640="","-",'ORDENES'!$E640))</f>
        <v/>
      </c>
      <c r="K662" s="12">
        <f>IF('ORDENES'!$A640="","",IF('ORDENES'!$M640="",0,'ORDENES'!$M640))</f>
        <v/>
      </c>
      <c r="L662" s="3">
        <f>IF('ORDENES'!$A640="","",IF('ORDENES'!$N640="","-",'ORDENES'!$N640))</f>
        <v/>
      </c>
      <c r="M662" s="3">
        <f>IF('ORDENES'!$A640="","",'ORDENES'!$AA640)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IF('ORDENES'!$A641="","",IF('ORDENES'!$AC641="","-",'ORDENES'!$AC641))</f>
        <v/>
      </c>
      <c r="D663" s="3">
        <f>IF('ORDENES'!$A641="","",IF('ORDENES'!$V641="","-",'ORDENES'!$V641))</f>
        <v/>
      </c>
      <c r="E663" s="3">
        <f>IF('ORDENES'!$A641="","",IF('ORDENES'!$U641="","-",'ORDENES'!$U641))</f>
        <v/>
      </c>
      <c r="F663" s="3">
        <f>IF('ORDENES'!$A641="","",IF('ORDENES'!$W641="","-",'ORDENES'!$W641))</f>
        <v/>
      </c>
      <c r="G663" s="3">
        <f>IF('ORDENES'!$A641="","",IF('ORDENES'!$AB641="","-",'ORDENES'!$AB641))</f>
        <v/>
      </c>
      <c r="H663" s="3">
        <f>IF('ORDENES'!$A641="","",IF('ORDENES'!$AN641="","-",'ORDENES'!$AN641))</f>
        <v/>
      </c>
      <c r="I663" s="3">
        <f>IF('ORDENES'!$A641="","",IF('ORDENES'!$D641="","-",'ORDENES'!$D641))</f>
        <v/>
      </c>
      <c r="J663" s="3">
        <f>IF('ORDENES'!$A641="","",IF('ORDENES'!$E641="","-",'ORDENES'!$E641))</f>
        <v/>
      </c>
      <c r="K663" s="12">
        <f>IF('ORDENES'!$A641="","",IF('ORDENES'!$M641="",0,'ORDENES'!$M641))</f>
        <v/>
      </c>
      <c r="L663" s="3">
        <f>IF('ORDENES'!$A641="","",IF('ORDENES'!$N641="","-",'ORDENES'!$N641))</f>
        <v/>
      </c>
      <c r="M663" s="3">
        <f>IF('ORDENES'!$A641="","",'ORDENES'!$AA641)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IF('ORDENES'!$A642="","",IF('ORDENES'!$AC642="","-",'ORDENES'!$AC642))</f>
        <v/>
      </c>
      <c r="D664" s="3">
        <f>IF('ORDENES'!$A642="","",IF('ORDENES'!$V642="","-",'ORDENES'!$V642))</f>
        <v/>
      </c>
      <c r="E664" s="3">
        <f>IF('ORDENES'!$A642="","",IF('ORDENES'!$U642="","-",'ORDENES'!$U642))</f>
        <v/>
      </c>
      <c r="F664" s="3">
        <f>IF('ORDENES'!$A642="","",IF('ORDENES'!$W642="","-",'ORDENES'!$W642))</f>
        <v/>
      </c>
      <c r="G664" s="3">
        <f>IF('ORDENES'!$A642="","",IF('ORDENES'!$AB642="","-",'ORDENES'!$AB642))</f>
        <v/>
      </c>
      <c r="H664" s="3">
        <f>IF('ORDENES'!$A642="","",IF('ORDENES'!$AN642="","-",'ORDENES'!$AN642))</f>
        <v/>
      </c>
      <c r="I664" s="3">
        <f>IF('ORDENES'!$A642="","",IF('ORDENES'!$D642="","-",'ORDENES'!$D642))</f>
        <v/>
      </c>
      <c r="J664" s="3">
        <f>IF('ORDENES'!$A642="","",IF('ORDENES'!$E642="","-",'ORDENES'!$E642))</f>
        <v/>
      </c>
      <c r="K664" s="12">
        <f>IF('ORDENES'!$A642="","",IF('ORDENES'!$M642="",0,'ORDENES'!$M642))</f>
        <v/>
      </c>
      <c r="L664" s="3">
        <f>IF('ORDENES'!$A642="","",IF('ORDENES'!$N642="","-",'ORDENES'!$N642))</f>
        <v/>
      </c>
      <c r="M664" s="3">
        <f>IF('ORDENES'!$A642="","",'ORDENES'!$AA642)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IF('ORDENES'!$A643="","",IF('ORDENES'!$AC643="","-",'ORDENES'!$AC643))</f>
        <v/>
      </c>
      <c r="D665" s="3">
        <f>IF('ORDENES'!$A643="","",IF('ORDENES'!$V643="","-",'ORDENES'!$V643))</f>
        <v/>
      </c>
      <c r="E665" s="3">
        <f>IF('ORDENES'!$A643="","",IF('ORDENES'!$U643="","-",'ORDENES'!$U643))</f>
        <v/>
      </c>
      <c r="F665" s="3">
        <f>IF('ORDENES'!$A643="","",IF('ORDENES'!$W643="","-",'ORDENES'!$W643))</f>
        <v/>
      </c>
      <c r="G665" s="3">
        <f>IF('ORDENES'!$A643="","",IF('ORDENES'!$AB643="","-",'ORDENES'!$AB643))</f>
        <v/>
      </c>
      <c r="H665" s="3">
        <f>IF('ORDENES'!$A643="","",IF('ORDENES'!$AN643="","-",'ORDENES'!$AN643))</f>
        <v/>
      </c>
      <c r="I665" s="3">
        <f>IF('ORDENES'!$A643="","",IF('ORDENES'!$D643="","-",'ORDENES'!$D643))</f>
        <v/>
      </c>
      <c r="J665" s="3">
        <f>IF('ORDENES'!$A643="","",IF('ORDENES'!$E643="","-",'ORDENES'!$E643))</f>
        <v/>
      </c>
      <c r="K665" s="12">
        <f>IF('ORDENES'!$A643="","",IF('ORDENES'!$M643="",0,'ORDENES'!$M643))</f>
        <v/>
      </c>
      <c r="L665" s="3">
        <f>IF('ORDENES'!$A643="","",IF('ORDENES'!$N643="","-",'ORDENES'!$N643))</f>
        <v/>
      </c>
      <c r="M665" s="3">
        <f>IF('ORDENES'!$A643="","",'ORDENES'!$AA643)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IF('ORDENES'!$A644="","",IF('ORDENES'!$AC644="","-",'ORDENES'!$AC644))</f>
        <v/>
      </c>
      <c r="D666" s="3">
        <f>IF('ORDENES'!$A644="","",IF('ORDENES'!$V644="","-",'ORDENES'!$V644))</f>
        <v/>
      </c>
      <c r="E666" s="3">
        <f>IF('ORDENES'!$A644="","",IF('ORDENES'!$U644="","-",'ORDENES'!$U644))</f>
        <v/>
      </c>
      <c r="F666" s="3">
        <f>IF('ORDENES'!$A644="","",IF('ORDENES'!$W644="","-",'ORDENES'!$W644))</f>
        <v/>
      </c>
      <c r="G666" s="3">
        <f>IF('ORDENES'!$A644="","",IF('ORDENES'!$AB644="","-",'ORDENES'!$AB644))</f>
        <v/>
      </c>
      <c r="H666" s="3">
        <f>IF('ORDENES'!$A644="","",IF('ORDENES'!$AN644="","-",'ORDENES'!$AN644))</f>
        <v/>
      </c>
      <c r="I666" s="3">
        <f>IF('ORDENES'!$A644="","",IF('ORDENES'!$D644="","-",'ORDENES'!$D644))</f>
        <v/>
      </c>
      <c r="J666" s="3">
        <f>IF('ORDENES'!$A644="","",IF('ORDENES'!$E644="","-",'ORDENES'!$E644))</f>
        <v/>
      </c>
      <c r="K666" s="12">
        <f>IF('ORDENES'!$A644="","",IF('ORDENES'!$M644="",0,'ORDENES'!$M644))</f>
        <v/>
      </c>
      <c r="L666" s="3">
        <f>IF('ORDENES'!$A644="","",IF('ORDENES'!$N644="","-",'ORDENES'!$N644))</f>
        <v/>
      </c>
      <c r="M666" s="3">
        <f>IF('ORDENES'!$A644="","",'ORDENES'!$AA644)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IF('ORDENES'!$A645="","",IF('ORDENES'!$AC645="","-",'ORDENES'!$AC645))</f>
        <v/>
      </c>
      <c r="D667" s="3">
        <f>IF('ORDENES'!$A645="","",IF('ORDENES'!$V645="","-",'ORDENES'!$V645))</f>
        <v/>
      </c>
      <c r="E667" s="3">
        <f>IF('ORDENES'!$A645="","",IF('ORDENES'!$U645="","-",'ORDENES'!$U645))</f>
        <v/>
      </c>
      <c r="F667" s="3">
        <f>IF('ORDENES'!$A645="","",IF('ORDENES'!$W645="","-",'ORDENES'!$W645))</f>
        <v/>
      </c>
      <c r="G667" s="3">
        <f>IF('ORDENES'!$A645="","",IF('ORDENES'!$AB645="","-",'ORDENES'!$AB645))</f>
        <v/>
      </c>
      <c r="H667" s="3">
        <f>IF('ORDENES'!$A645="","",IF('ORDENES'!$AN645="","-",'ORDENES'!$AN645))</f>
        <v/>
      </c>
      <c r="I667" s="3">
        <f>IF('ORDENES'!$A645="","",IF('ORDENES'!$D645="","-",'ORDENES'!$D645))</f>
        <v/>
      </c>
      <c r="J667" s="3">
        <f>IF('ORDENES'!$A645="","",IF('ORDENES'!$E645="","-",'ORDENES'!$E645))</f>
        <v/>
      </c>
      <c r="K667" s="12">
        <f>IF('ORDENES'!$A645="","",IF('ORDENES'!$M645="",0,'ORDENES'!$M645))</f>
        <v/>
      </c>
      <c r="L667" s="3">
        <f>IF('ORDENES'!$A645="","",IF('ORDENES'!$N645="","-",'ORDENES'!$N645))</f>
        <v/>
      </c>
      <c r="M667" s="3">
        <f>IF('ORDENES'!$A645="","",'ORDENES'!$AA645)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IF('ORDENES'!$A646="","",IF('ORDENES'!$AC646="","-",'ORDENES'!$AC646))</f>
        <v/>
      </c>
      <c r="D668" s="3">
        <f>IF('ORDENES'!$A646="","",IF('ORDENES'!$V646="","-",'ORDENES'!$V646))</f>
        <v/>
      </c>
      <c r="E668" s="3">
        <f>IF('ORDENES'!$A646="","",IF('ORDENES'!$U646="","-",'ORDENES'!$U646))</f>
        <v/>
      </c>
      <c r="F668" s="3">
        <f>IF('ORDENES'!$A646="","",IF('ORDENES'!$W646="","-",'ORDENES'!$W646))</f>
        <v/>
      </c>
      <c r="G668" s="3">
        <f>IF('ORDENES'!$A646="","",IF('ORDENES'!$AB646="","-",'ORDENES'!$AB646))</f>
        <v/>
      </c>
      <c r="H668" s="3">
        <f>IF('ORDENES'!$A646="","",IF('ORDENES'!$AN646="","-",'ORDENES'!$AN646))</f>
        <v/>
      </c>
      <c r="I668" s="3">
        <f>IF('ORDENES'!$A646="","",IF('ORDENES'!$D646="","-",'ORDENES'!$D646))</f>
        <v/>
      </c>
      <c r="J668" s="3">
        <f>IF('ORDENES'!$A646="","",IF('ORDENES'!$E646="","-",'ORDENES'!$E646))</f>
        <v/>
      </c>
      <c r="K668" s="12">
        <f>IF('ORDENES'!$A646="","",IF('ORDENES'!$M646="",0,'ORDENES'!$M646))</f>
        <v/>
      </c>
      <c r="L668" s="3">
        <f>IF('ORDENES'!$A646="","",IF('ORDENES'!$N646="","-",'ORDENES'!$N646))</f>
        <v/>
      </c>
      <c r="M668" s="3">
        <f>IF('ORDENES'!$A646="","",'ORDENES'!$AA646)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IF('ORDENES'!$A647="","",IF('ORDENES'!$AC647="","-",'ORDENES'!$AC647))</f>
        <v/>
      </c>
      <c r="D669" s="3">
        <f>IF('ORDENES'!$A647="","",IF('ORDENES'!$V647="","-",'ORDENES'!$V647))</f>
        <v/>
      </c>
      <c r="E669" s="3">
        <f>IF('ORDENES'!$A647="","",IF('ORDENES'!$U647="","-",'ORDENES'!$U647))</f>
        <v/>
      </c>
      <c r="F669" s="3">
        <f>IF('ORDENES'!$A647="","",IF('ORDENES'!$W647="","-",'ORDENES'!$W647))</f>
        <v/>
      </c>
      <c r="G669" s="3">
        <f>IF('ORDENES'!$A647="","",IF('ORDENES'!$AB647="","-",'ORDENES'!$AB647))</f>
        <v/>
      </c>
      <c r="H669" s="3">
        <f>IF('ORDENES'!$A647="","",IF('ORDENES'!$AN647="","-",'ORDENES'!$AN647))</f>
        <v/>
      </c>
      <c r="I669" s="3">
        <f>IF('ORDENES'!$A647="","",IF('ORDENES'!$D647="","-",'ORDENES'!$D647))</f>
        <v/>
      </c>
      <c r="J669" s="3">
        <f>IF('ORDENES'!$A647="","",IF('ORDENES'!$E647="","-",'ORDENES'!$E647))</f>
        <v/>
      </c>
      <c r="K669" s="12">
        <f>IF('ORDENES'!$A647="","",IF('ORDENES'!$M647="",0,'ORDENES'!$M647))</f>
        <v/>
      </c>
      <c r="L669" s="3">
        <f>IF('ORDENES'!$A647="","",IF('ORDENES'!$N647="","-",'ORDENES'!$N647))</f>
        <v/>
      </c>
      <c r="M669" s="3">
        <f>IF('ORDENES'!$A647="","",'ORDENES'!$AA647)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IF('ORDENES'!$A648="","",IF('ORDENES'!$AC648="","-",'ORDENES'!$AC648))</f>
        <v/>
      </c>
      <c r="D670" s="3">
        <f>IF('ORDENES'!$A648="","",IF('ORDENES'!$V648="","-",'ORDENES'!$V648))</f>
        <v/>
      </c>
      <c r="E670" s="3">
        <f>IF('ORDENES'!$A648="","",IF('ORDENES'!$U648="","-",'ORDENES'!$U648))</f>
        <v/>
      </c>
      <c r="F670" s="3">
        <f>IF('ORDENES'!$A648="","",IF('ORDENES'!$W648="","-",'ORDENES'!$W648))</f>
        <v/>
      </c>
      <c r="G670" s="3">
        <f>IF('ORDENES'!$A648="","",IF('ORDENES'!$AB648="","-",'ORDENES'!$AB648))</f>
        <v/>
      </c>
      <c r="H670" s="3">
        <f>IF('ORDENES'!$A648="","",IF('ORDENES'!$AN648="","-",'ORDENES'!$AN648))</f>
        <v/>
      </c>
      <c r="I670" s="3">
        <f>IF('ORDENES'!$A648="","",IF('ORDENES'!$D648="","-",'ORDENES'!$D648))</f>
        <v/>
      </c>
      <c r="J670" s="3">
        <f>IF('ORDENES'!$A648="","",IF('ORDENES'!$E648="","-",'ORDENES'!$E648))</f>
        <v/>
      </c>
      <c r="K670" s="12">
        <f>IF('ORDENES'!$A648="","",IF('ORDENES'!$M648="",0,'ORDENES'!$M648))</f>
        <v/>
      </c>
      <c r="L670" s="3">
        <f>IF('ORDENES'!$A648="","",IF('ORDENES'!$N648="","-",'ORDENES'!$N648))</f>
        <v/>
      </c>
      <c r="M670" s="3">
        <f>IF('ORDENES'!$A648="","",'ORDENES'!$AA648)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IF('ORDENES'!$A649="","",IF('ORDENES'!$AC649="","-",'ORDENES'!$AC649))</f>
        <v/>
      </c>
      <c r="D671" s="3">
        <f>IF('ORDENES'!$A649="","",IF('ORDENES'!$V649="","-",'ORDENES'!$V649))</f>
        <v/>
      </c>
      <c r="E671" s="3">
        <f>IF('ORDENES'!$A649="","",IF('ORDENES'!$U649="","-",'ORDENES'!$U649))</f>
        <v/>
      </c>
      <c r="F671" s="3">
        <f>IF('ORDENES'!$A649="","",IF('ORDENES'!$W649="","-",'ORDENES'!$W649))</f>
        <v/>
      </c>
      <c r="G671" s="3">
        <f>IF('ORDENES'!$A649="","",IF('ORDENES'!$AB649="","-",'ORDENES'!$AB649))</f>
        <v/>
      </c>
      <c r="H671" s="3">
        <f>IF('ORDENES'!$A649="","",IF('ORDENES'!$AN649="","-",'ORDENES'!$AN649))</f>
        <v/>
      </c>
      <c r="I671" s="3">
        <f>IF('ORDENES'!$A649="","",IF('ORDENES'!$D649="","-",'ORDENES'!$D649))</f>
        <v/>
      </c>
      <c r="J671" s="3">
        <f>IF('ORDENES'!$A649="","",IF('ORDENES'!$E649="","-",'ORDENES'!$E649))</f>
        <v/>
      </c>
      <c r="K671" s="12">
        <f>IF('ORDENES'!$A649="","",IF('ORDENES'!$M649="",0,'ORDENES'!$M649))</f>
        <v/>
      </c>
      <c r="L671" s="3">
        <f>IF('ORDENES'!$A649="","",IF('ORDENES'!$N649="","-",'ORDENES'!$N649))</f>
        <v/>
      </c>
      <c r="M671" s="3">
        <f>IF('ORDENES'!$A649="","",'ORDENES'!$AA649)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IF('ORDENES'!$A650="","",IF('ORDENES'!$AC650="","-",'ORDENES'!$AC650))</f>
        <v/>
      </c>
      <c r="D672" s="3">
        <f>IF('ORDENES'!$A650="","",IF('ORDENES'!$V650="","-",'ORDENES'!$V650))</f>
        <v/>
      </c>
      <c r="E672" s="3">
        <f>IF('ORDENES'!$A650="","",IF('ORDENES'!$U650="","-",'ORDENES'!$U650))</f>
        <v/>
      </c>
      <c r="F672" s="3">
        <f>IF('ORDENES'!$A650="","",IF('ORDENES'!$W650="","-",'ORDENES'!$W650))</f>
        <v/>
      </c>
      <c r="G672" s="3">
        <f>IF('ORDENES'!$A650="","",IF('ORDENES'!$AB650="","-",'ORDENES'!$AB650))</f>
        <v/>
      </c>
      <c r="H672" s="3">
        <f>IF('ORDENES'!$A650="","",IF('ORDENES'!$AN650="","-",'ORDENES'!$AN650))</f>
        <v/>
      </c>
      <c r="I672" s="3">
        <f>IF('ORDENES'!$A650="","",IF('ORDENES'!$D650="","-",'ORDENES'!$D650))</f>
        <v/>
      </c>
      <c r="J672" s="3">
        <f>IF('ORDENES'!$A650="","",IF('ORDENES'!$E650="","-",'ORDENES'!$E650))</f>
        <v/>
      </c>
      <c r="K672" s="12">
        <f>IF('ORDENES'!$A650="","",IF('ORDENES'!$M650="",0,'ORDENES'!$M650))</f>
        <v/>
      </c>
      <c r="L672" s="3">
        <f>IF('ORDENES'!$A650="","",IF('ORDENES'!$N650="","-",'ORDENES'!$N650))</f>
        <v/>
      </c>
      <c r="M672" s="3">
        <f>IF('ORDENES'!$A650="","",'ORDENES'!$AA650)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IF('ORDENES'!$A651="","",IF('ORDENES'!$AC651="","-",'ORDENES'!$AC651))</f>
        <v/>
      </c>
      <c r="D673" s="3">
        <f>IF('ORDENES'!$A651="","",IF('ORDENES'!$V651="","-",'ORDENES'!$V651))</f>
        <v/>
      </c>
      <c r="E673" s="3">
        <f>IF('ORDENES'!$A651="","",IF('ORDENES'!$U651="","-",'ORDENES'!$U651))</f>
        <v/>
      </c>
      <c r="F673" s="3">
        <f>IF('ORDENES'!$A651="","",IF('ORDENES'!$W651="","-",'ORDENES'!$W651))</f>
        <v/>
      </c>
      <c r="G673" s="3">
        <f>IF('ORDENES'!$A651="","",IF('ORDENES'!$AB651="","-",'ORDENES'!$AB651))</f>
        <v/>
      </c>
      <c r="H673" s="3">
        <f>IF('ORDENES'!$A651="","",IF('ORDENES'!$AN651="","-",'ORDENES'!$AN651))</f>
        <v/>
      </c>
      <c r="I673" s="3">
        <f>IF('ORDENES'!$A651="","",IF('ORDENES'!$D651="","-",'ORDENES'!$D651))</f>
        <v/>
      </c>
      <c r="J673" s="3">
        <f>IF('ORDENES'!$A651="","",IF('ORDENES'!$E651="","-",'ORDENES'!$E651))</f>
        <v/>
      </c>
      <c r="K673" s="12">
        <f>IF('ORDENES'!$A651="","",IF('ORDENES'!$M651="",0,'ORDENES'!$M651))</f>
        <v/>
      </c>
      <c r="L673" s="3">
        <f>IF('ORDENES'!$A651="","",IF('ORDENES'!$N651="","-",'ORDENES'!$N651))</f>
        <v/>
      </c>
      <c r="M673" s="3">
        <f>IF('ORDENES'!$A651="","",'ORDENES'!$AA651)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IF('ORDENES'!$A652="","",IF('ORDENES'!$AC652="","-",'ORDENES'!$AC652))</f>
        <v/>
      </c>
      <c r="D674" s="3">
        <f>IF('ORDENES'!$A652="","",IF('ORDENES'!$V652="","-",'ORDENES'!$V652))</f>
        <v/>
      </c>
      <c r="E674" s="3">
        <f>IF('ORDENES'!$A652="","",IF('ORDENES'!$U652="","-",'ORDENES'!$U652))</f>
        <v/>
      </c>
      <c r="F674" s="3">
        <f>IF('ORDENES'!$A652="","",IF('ORDENES'!$W652="","-",'ORDENES'!$W652))</f>
        <v/>
      </c>
      <c r="G674" s="3">
        <f>IF('ORDENES'!$A652="","",IF('ORDENES'!$AB652="","-",'ORDENES'!$AB652))</f>
        <v/>
      </c>
      <c r="H674" s="3">
        <f>IF('ORDENES'!$A652="","",IF('ORDENES'!$AN652="","-",'ORDENES'!$AN652))</f>
        <v/>
      </c>
      <c r="I674" s="3">
        <f>IF('ORDENES'!$A652="","",IF('ORDENES'!$D652="","-",'ORDENES'!$D652))</f>
        <v/>
      </c>
      <c r="J674" s="3">
        <f>IF('ORDENES'!$A652="","",IF('ORDENES'!$E652="","-",'ORDENES'!$E652))</f>
        <v/>
      </c>
      <c r="K674" s="12">
        <f>IF('ORDENES'!$A652="","",IF('ORDENES'!$M652="",0,'ORDENES'!$M652))</f>
        <v/>
      </c>
      <c r="L674" s="3">
        <f>IF('ORDENES'!$A652="","",IF('ORDENES'!$N652="","-",'ORDENES'!$N652))</f>
        <v/>
      </c>
      <c r="M674" s="3">
        <f>IF('ORDENES'!$A652="","",'ORDENES'!$AA652)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IF('ORDENES'!$A653="","",IF('ORDENES'!$AC653="","-",'ORDENES'!$AC653))</f>
        <v/>
      </c>
      <c r="D675" s="3">
        <f>IF('ORDENES'!$A653="","",IF('ORDENES'!$V653="","-",'ORDENES'!$V653))</f>
        <v/>
      </c>
      <c r="E675" s="3">
        <f>IF('ORDENES'!$A653="","",IF('ORDENES'!$U653="","-",'ORDENES'!$U653))</f>
        <v/>
      </c>
      <c r="F675" s="3">
        <f>IF('ORDENES'!$A653="","",IF('ORDENES'!$W653="","-",'ORDENES'!$W653))</f>
        <v/>
      </c>
      <c r="G675" s="3">
        <f>IF('ORDENES'!$A653="","",IF('ORDENES'!$AB653="","-",'ORDENES'!$AB653))</f>
        <v/>
      </c>
      <c r="H675" s="3">
        <f>IF('ORDENES'!$A653="","",IF('ORDENES'!$AN653="","-",'ORDENES'!$AN653))</f>
        <v/>
      </c>
      <c r="I675" s="3">
        <f>IF('ORDENES'!$A653="","",IF('ORDENES'!$D653="","-",'ORDENES'!$D653))</f>
        <v/>
      </c>
      <c r="J675" s="3">
        <f>IF('ORDENES'!$A653="","",IF('ORDENES'!$E653="","-",'ORDENES'!$E653))</f>
        <v/>
      </c>
      <c r="K675" s="12">
        <f>IF('ORDENES'!$A653="","",IF('ORDENES'!$M653="",0,'ORDENES'!$M653))</f>
        <v/>
      </c>
      <c r="L675" s="3">
        <f>IF('ORDENES'!$A653="","",IF('ORDENES'!$N653="","-",'ORDENES'!$N653))</f>
        <v/>
      </c>
      <c r="M675" s="3">
        <f>IF('ORDENES'!$A653="","",'ORDENES'!$AA653)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IF('ORDENES'!$A654="","",IF('ORDENES'!$AC654="","-",'ORDENES'!$AC654))</f>
        <v/>
      </c>
      <c r="D676" s="3">
        <f>IF('ORDENES'!$A654="","",IF('ORDENES'!$V654="","-",'ORDENES'!$V654))</f>
        <v/>
      </c>
      <c r="E676" s="3">
        <f>IF('ORDENES'!$A654="","",IF('ORDENES'!$U654="","-",'ORDENES'!$U654))</f>
        <v/>
      </c>
      <c r="F676" s="3">
        <f>IF('ORDENES'!$A654="","",IF('ORDENES'!$W654="","-",'ORDENES'!$W654))</f>
        <v/>
      </c>
      <c r="G676" s="3">
        <f>IF('ORDENES'!$A654="","",IF('ORDENES'!$AB654="","-",'ORDENES'!$AB654))</f>
        <v/>
      </c>
      <c r="H676" s="3">
        <f>IF('ORDENES'!$A654="","",IF('ORDENES'!$AN654="","-",'ORDENES'!$AN654))</f>
        <v/>
      </c>
      <c r="I676" s="3">
        <f>IF('ORDENES'!$A654="","",IF('ORDENES'!$D654="","-",'ORDENES'!$D654))</f>
        <v/>
      </c>
      <c r="J676" s="3">
        <f>IF('ORDENES'!$A654="","",IF('ORDENES'!$E654="","-",'ORDENES'!$E654))</f>
        <v/>
      </c>
      <c r="K676" s="12">
        <f>IF('ORDENES'!$A654="","",IF('ORDENES'!$M654="",0,'ORDENES'!$M654))</f>
        <v/>
      </c>
      <c r="L676" s="3">
        <f>IF('ORDENES'!$A654="","",IF('ORDENES'!$N654="","-",'ORDENES'!$N654))</f>
        <v/>
      </c>
      <c r="M676" s="3">
        <f>IF('ORDENES'!$A654="","",'ORDENES'!$AA654)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IF('ORDENES'!$A655="","",IF('ORDENES'!$AC655="","-",'ORDENES'!$AC655))</f>
        <v/>
      </c>
      <c r="D677" s="3">
        <f>IF('ORDENES'!$A655="","",IF('ORDENES'!$V655="","-",'ORDENES'!$V655))</f>
        <v/>
      </c>
      <c r="E677" s="3">
        <f>IF('ORDENES'!$A655="","",IF('ORDENES'!$U655="","-",'ORDENES'!$U655))</f>
        <v/>
      </c>
      <c r="F677" s="3">
        <f>IF('ORDENES'!$A655="","",IF('ORDENES'!$W655="","-",'ORDENES'!$W655))</f>
        <v/>
      </c>
      <c r="G677" s="3">
        <f>IF('ORDENES'!$A655="","",IF('ORDENES'!$AB655="","-",'ORDENES'!$AB655))</f>
        <v/>
      </c>
      <c r="H677" s="3">
        <f>IF('ORDENES'!$A655="","",IF('ORDENES'!$AN655="","-",'ORDENES'!$AN655))</f>
        <v/>
      </c>
      <c r="I677" s="3">
        <f>IF('ORDENES'!$A655="","",IF('ORDENES'!$D655="","-",'ORDENES'!$D655))</f>
        <v/>
      </c>
      <c r="J677" s="3">
        <f>IF('ORDENES'!$A655="","",IF('ORDENES'!$E655="","-",'ORDENES'!$E655))</f>
        <v/>
      </c>
      <c r="K677" s="12">
        <f>IF('ORDENES'!$A655="","",IF('ORDENES'!$M655="",0,'ORDENES'!$M655))</f>
        <v/>
      </c>
      <c r="L677" s="3">
        <f>IF('ORDENES'!$A655="","",IF('ORDENES'!$N655="","-",'ORDENES'!$N655))</f>
        <v/>
      </c>
      <c r="M677" s="3">
        <f>IF('ORDENES'!$A655="","",'ORDENES'!$AA655)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IF('ORDENES'!$A656="","",IF('ORDENES'!$AC656="","-",'ORDENES'!$AC656))</f>
        <v/>
      </c>
      <c r="D678" s="3">
        <f>IF('ORDENES'!$A656="","",IF('ORDENES'!$V656="","-",'ORDENES'!$V656))</f>
        <v/>
      </c>
      <c r="E678" s="3">
        <f>IF('ORDENES'!$A656="","",IF('ORDENES'!$U656="","-",'ORDENES'!$U656))</f>
        <v/>
      </c>
      <c r="F678" s="3">
        <f>IF('ORDENES'!$A656="","",IF('ORDENES'!$W656="","-",'ORDENES'!$W656))</f>
        <v/>
      </c>
      <c r="G678" s="3">
        <f>IF('ORDENES'!$A656="","",IF('ORDENES'!$AB656="","-",'ORDENES'!$AB656))</f>
        <v/>
      </c>
      <c r="H678" s="3">
        <f>IF('ORDENES'!$A656="","",IF('ORDENES'!$AN656="","-",'ORDENES'!$AN656))</f>
        <v/>
      </c>
      <c r="I678" s="3">
        <f>IF('ORDENES'!$A656="","",IF('ORDENES'!$D656="","-",'ORDENES'!$D656))</f>
        <v/>
      </c>
      <c r="J678" s="3">
        <f>IF('ORDENES'!$A656="","",IF('ORDENES'!$E656="","-",'ORDENES'!$E656))</f>
        <v/>
      </c>
      <c r="K678" s="12">
        <f>IF('ORDENES'!$A656="","",IF('ORDENES'!$M656="",0,'ORDENES'!$M656))</f>
        <v/>
      </c>
      <c r="L678" s="3">
        <f>IF('ORDENES'!$A656="","",IF('ORDENES'!$N656="","-",'ORDENES'!$N656))</f>
        <v/>
      </c>
      <c r="M678" s="3">
        <f>IF('ORDENES'!$A656="","",'ORDENES'!$AA656)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IF('ORDENES'!$A657="","",IF('ORDENES'!$AC657="","-",'ORDENES'!$AC657))</f>
        <v/>
      </c>
      <c r="D679" s="3">
        <f>IF('ORDENES'!$A657="","",IF('ORDENES'!$V657="","-",'ORDENES'!$V657))</f>
        <v/>
      </c>
      <c r="E679" s="3">
        <f>IF('ORDENES'!$A657="","",IF('ORDENES'!$U657="","-",'ORDENES'!$U657))</f>
        <v/>
      </c>
      <c r="F679" s="3">
        <f>IF('ORDENES'!$A657="","",IF('ORDENES'!$W657="","-",'ORDENES'!$W657))</f>
        <v/>
      </c>
      <c r="G679" s="3">
        <f>IF('ORDENES'!$A657="","",IF('ORDENES'!$AB657="","-",'ORDENES'!$AB657))</f>
        <v/>
      </c>
      <c r="H679" s="3">
        <f>IF('ORDENES'!$A657="","",IF('ORDENES'!$AN657="","-",'ORDENES'!$AN657))</f>
        <v/>
      </c>
      <c r="I679" s="3">
        <f>IF('ORDENES'!$A657="","",IF('ORDENES'!$D657="","-",'ORDENES'!$D657))</f>
        <v/>
      </c>
      <c r="J679" s="3">
        <f>IF('ORDENES'!$A657="","",IF('ORDENES'!$E657="","-",'ORDENES'!$E657))</f>
        <v/>
      </c>
      <c r="K679" s="12">
        <f>IF('ORDENES'!$A657="","",IF('ORDENES'!$M657="",0,'ORDENES'!$M657))</f>
        <v/>
      </c>
      <c r="L679" s="3">
        <f>IF('ORDENES'!$A657="","",IF('ORDENES'!$N657="","-",'ORDENES'!$N657))</f>
        <v/>
      </c>
      <c r="M679" s="3">
        <f>IF('ORDENES'!$A657="","",'ORDENES'!$AA657)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IF('ORDENES'!$A658="","",IF('ORDENES'!$AC658="","-",'ORDENES'!$AC658))</f>
        <v/>
      </c>
      <c r="D680" s="3">
        <f>IF('ORDENES'!$A658="","",IF('ORDENES'!$V658="","-",'ORDENES'!$V658))</f>
        <v/>
      </c>
      <c r="E680" s="3">
        <f>IF('ORDENES'!$A658="","",IF('ORDENES'!$U658="","-",'ORDENES'!$U658))</f>
        <v/>
      </c>
      <c r="F680" s="3">
        <f>IF('ORDENES'!$A658="","",IF('ORDENES'!$W658="","-",'ORDENES'!$W658))</f>
        <v/>
      </c>
      <c r="G680" s="3">
        <f>IF('ORDENES'!$A658="","",IF('ORDENES'!$AB658="","-",'ORDENES'!$AB658))</f>
        <v/>
      </c>
      <c r="H680" s="3">
        <f>IF('ORDENES'!$A658="","",IF('ORDENES'!$AN658="","-",'ORDENES'!$AN658))</f>
        <v/>
      </c>
      <c r="I680" s="3">
        <f>IF('ORDENES'!$A658="","",IF('ORDENES'!$D658="","-",'ORDENES'!$D658))</f>
        <v/>
      </c>
      <c r="J680" s="3">
        <f>IF('ORDENES'!$A658="","",IF('ORDENES'!$E658="","-",'ORDENES'!$E658))</f>
        <v/>
      </c>
      <c r="K680" s="12">
        <f>IF('ORDENES'!$A658="","",IF('ORDENES'!$M658="",0,'ORDENES'!$M658))</f>
        <v/>
      </c>
      <c r="L680" s="3">
        <f>IF('ORDENES'!$A658="","",IF('ORDENES'!$N658="","-",'ORDENES'!$N658))</f>
        <v/>
      </c>
      <c r="M680" s="3">
        <f>IF('ORDENES'!$A658="","",'ORDENES'!$AA658)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IF('ORDENES'!$A659="","",IF('ORDENES'!$AC659="","-",'ORDENES'!$AC659))</f>
        <v/>
      </c>
      <c r="D681" s="3">
        <f>IF('ORDENES'!$A659="","",IF('ORDENES'!$V659="","-",'ORDENES'!$V659))</f>
        <v/>
      </c>
      <c r="E681" s="3">
        <f>IF('ORDENES'!$A659="","",IF('ORDENES'!$U659="","-",'ORDENES'!$U659))</f>
        <v/>
      </c>
      <c r="F681" s="3">
        <f>IF('ORDENES'!$A659="","",IF('ORDENES'!$W659="","-",'ORDENES'!$W659))</f>
        <v/>
      </c>
      <c r="G681" s="3">
        <f>IF('ORDENES'!$A659="","",IF('ORDENES'!$AB659="","-",'ORDENES'!$AB659))</f>
        <v/>
      </c>
      <c r="H681" s="3">
        <f>IF('ORDENES'!$A659="","",IF('ORDENES'!$AN659="","-",'ORDENES'!$AN659))</f>
        <v/>
      </c>
      <c r="I681" s="3">
        <f>IF('ORDENES'!$A659="","",IF('ORDENES'!$D659="","-",'ORDENES'!$D659))</f>
        <v/>
      </c>
      <c r="J681" s="3">
        <f>IF('ORDENES'!$A659="","",IF('ORDENES'!$E659="","-",'ORDENES'!$E659))</f>
        <v/>
      </c>
      <c r="K681" s="12">
        <f>IF('ORDENES'!$A659="","",IF('ORDENES'!$M659="",0,'ORDENES'!$M659))</f>
        <v/>
      </c>
      <c r="L681" s="3">
        <f>IF('ORDENES'!$A659="","",IF('ORDENES'!$N659="","-",'ORDENES'!$N659))</f>
        <v/>
      </c>
      <c r="M681" s="3">
        <f>IF('ORDENES'!$A659="","",'ORDENES'!$AA659)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IF('ORDENES'!$A660="","",IF('ORDENES'!$AC660="","-",'ORDENES'!$AC660))</f>
        <v/>
      </c>
      <c r="D682" s="3">
        <f>IF('ORDENES'!$A660="","",IF('ORDENES'!$V660="","-",'ORDENES'!$V660))</f>
        <v/>
      </c>
      <c r="E682" s="3">
        <f>IF('ORDENES'!$A660="","",IF('ORDENES'!$U660="","-",'ORDENES'!$U660))</f>
        <v/>
      </c>
      <c r="F682" s="3">
        <f>IF('ORDENES'!$A660="","",IF('ORDENES'!$W660="","-",'ORDENES'!$W660))</f>
        <v/>
      </c>
      <c r="G682" s="3">
        <f>IF('ORDENES'!$A660="","",IF('ORDENES'!$AB660="","-",'ORDENES'!$AB660))</f>
        <v/>
      </c>
      <c r="H682" s="3">
        <f>IF('ORDENES'!$A660="","",IF('ORDENES'!$AN660="","-",'ORDENES'!$AN660))</f>
        <v/>
      </c>
      <c r="I682" s="3">
        <f>IF('ORDENES'!$A660="","",IF('ORDENES'!$D660="","-",'ORDENES'!$D660))</f>
        <v/>
      </c>
      <c r="J682" s="3">
        <f>IF('ORDENES'!$A660="","",IF('ORDENES'!$E660="","-",'ORDENES'!$E660))</f>
        <v/>
      </c>
      <c r="K682" s="12">
        <f>IF('ORDENES'!$A660="","",IF('ORDENES'!$M660="",0,'ORDENES'!$M660))</f>
        <v/>
      </c>
      <c r="L682" s="3">
        <f>IF('ORDENES'!$A660="","",IF('ORDENES'!$N660="","-",'ORDENES'!$N660))</f>
        <v/>
      </c>
      <c r="M682" s="3">
        <f>IF('ORDENES'!$A660="","",'ORDENES'!$AA660)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IF('ORDENES'!$A661="","",IF('ORDENES'!$AC661="","-",'ORDENES'!$AC661))</f>
        <v/>
      </c>
      <c r="D683" s="3">
        <f>IF('ORDENES'!$A661="","",IF('ORDENES'!$V661="","-",'ORDENES'!$V661))</f>
        <v/>
      </c>
      <c r="E683" s="3">
        <f>IF('ORDENES'!$A661="","",IF('ORDENES'!$U661="","-",'ORDENES'!$U661))</f>
        <v/>
      </c>
      <c r="F683" s="3">
        <f>IF('ORDENES'!$A661="","",IF('ORDENES'!$W661="","-",'ORDENES'!$W661))</f>
        <v/>
      </c>
      <c r="G683" s="3">
        <f>IF('ORDENES'!$A661="","",IF('ORDENES'!$AB661="","-",'ORDENES'!$AB661))</f>
        <v/>
      </c>
      <c r="H683" s="3">
        <f>IF('ORDENES'!$A661="","",IF('ORDENES'!$AN661="","-",'ORDENES'!$AN661))</f>
        <v/>
      </c>
      <c r="I683" s="3">
        <f>IF('ORDENES'!$A661="","",IF('ORDENES'!$D661="","-",'ORDENES'!$D661))</f>
        <v/>
      </c>
      <c r="J683" s="3">
        <f>IF('ORDENES'!$A661="","",IF('ORDENES'!$E661="","-",'ORDENES'!$E661))</f>
        <v/>
      </c>
      <c r="K683" s="12">
        <f>IF('ORDENES'!$A661="","",IF('ORDENES'!$M661="",0,'ORDENES'!$M661))</f>
        <v/>
      </c>
      <c r="L683" s="3">
        <f>IF('ORDENES'!$A661="","",IF('ORDENES'!$N661="","-",'ORDENES'!$N661))</f>
        <v/>
      </c>
      <c r="M683" s="3">
        <f>IF('ORDENES'!$A661="","",'ORDENES'!$AA661)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IF('ORDENES'!$A662="","",IF('ORDENES'!$AC662="","-",'ORDENES'!$AC662))</f>
        <v/>
      </c>
      <c r="D684" s="3">
        <f>IF('ORDENES'!$A662="","",IF('ORDENES'!$V662="","-",'ORDENES'!$V662))</f>
        <v/>
      </c>
      <c r="E684" s="3">
        <f>IF('ORDENES'!$A662="","",IF('ORDENES'!$U662="","-",'ORDENES'!$U662))</f>
        <v/>
      </c>
      <c r="F684" s="3">
        <f>IF('ORDENES'!$A662="","",IF('ORDENES'!$W662="","-",'ORDENES'!$W662))</f>
        <v/>
      </c>
      <c r="G684" s="3">
        <f>IF('ORDENES'!$A662="","",IF('ORDENES'!$AB662="","-",'ORDENES'!$AB662))</f>
        <v/>
      </c>
      <c r="H684" s="3">
        <f>IF('ORDENES'!$A662="","",IF('ORDENES'!$AN662="","-",'ORDENES'!$AN662))</f>
        <v/>
      </c>
      <c r="I684" s="3">
        <f>IF('ORDENES'!$A662="","",IF('ORDENES'!$D662="","-",'ORDENES'!$D662))</f>
        <v/>
      </c>
      <c r="J684" s="3">
        <f>IF('ORDENES'!$A662="","",IF('ORDENES'!$E662="","-",'ORDENES'!$E662))</f>
        <v/>
      </c>
      <c r="K684" s="12">
        <f>IF('ORDENES'!$A662="","",IF('ORDENES'!$M662="",0,'ORDENES'!$M662))</f>
        <v/>
      </c>
      <c r="L684" s="3">
        <f>IF('ORDENES'!$A662="","",IF('ORDENES'!$N662="","-",'ORDENES'!$N662))</f>
        <v/>
      </c>
      <c r="M684" s="3">
        <f>IF('ORDENES'!$A662="","",'ORDENES'!$AA662)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IF('ORDENES'!$A663="","",IF('ORDENES'!$AC663="","-",'ORDENES'!$AC663))</f>
        <v/>
      </c>
      <c r="D685" s="3">
        <f>IF('ORDENES'!$A663="","",IF('ORDENES'!$V663="","-",'ORDENES'!$V663))</f>
        <v/>
      </c>
      <c r="E685" s="3">
        <f>IF('ORDENES'!$A663="","",IF('ORDENES'!$U663="","-",'ORDENES'!$U663))</f>
        <v/>
      </c>
      <c r="F685" s="3">
        <f>IF('ORDENES'!$A663="","",IF('ORDENES'!$W663="","-",'ORDENES'!$W663))</f>
        <v/>
      </c>
      <c r="G685" s="3">
        <f>IF('ORDENES'!$A663="","",IF('ORDENES'!$AB663="","-",'ORDENES'!$AB663))</f>
        <v/>
      </c>
      <c r="H685" s="3">
        <f>IF('ORDENES'!$A663="","",IF('ORDENES'!$AN663="","-",'ORDENES'!$AN663))</f>
        <v/>
      </c>
      <c r="I685" s="3">
        <f>IF('ORDENES'!$A663="","",IF('ORDENES'!$D663="","-",'ORDENES'!$D663))</f>
        <v/>
      </c>
      <c r="J685" s="3">
        <f>IF('ORDENES'!$A663="","",IF('ORDENES'!$E663="","-",'ORDENES'!$E663))</f>
        <v/>
      </c>
      <c r="K685" s="12">
        <f>IF('ORDENES'!$A663="","",IF('ORDENES'!$M663="",0,'ORDENES'!$M663))</f>
        <v/>
      </c>
      <c r="L685" s="3">
        <f>IF('ORDENES'!$A663="","",IF('ORDENES'!$N663="","-",'ORDENES'!$N663))</f>
        <v/>
      </c>
      <c r="M685" s="3">
        <f>IF('ORDENES'!$A663="","",'ORDENES'!$AA663)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IF('ORDENES'!$A664="","",IF('ORDENES'!$AC664="","-",'ORDENES'!$AC664))</f>
        <v/>
      </c>
      <c r="D686" s="3">
        <f>IF('ORDENES'!$A664="","",IF('ORDENES'!$V664="","-",'ORDENES'!$V664))</f>
        <v/>
      </c>
      <c r="E686" s="3">
        <f>IF('ORDENES'!$A664="","",IF('ORDENES'!$U664="","-",'ORDENES'!$U664))</f>
        <v/>
      </c>
      <c r="F686" s="3">
        <f>IF('ORDENES'!$A664="","",IF('ORDENES'!$W664="","-",'ORDENES'!$W664))</f>
        <v/>
      </c>
      <c r="G686" s="3">
        <f>IF('ORDENES'!$A664="","",IF('ORDENES'!$AB664="","-",'ORDENES'!$AB664))</f>
        <v/>
      </c>
      <c r="H686" s="3">
        <f>IF('ORDENES'!$A664="","",IF('ORDENES'!$AN664="","-",'ORDENES'!$AN664))</f>
        <v/>
      </c>
      <c r="I686" s="3">
        <f>IF('ORDENES'!$A664="","",IF('ORDENES'!$D664="","-",'ORDENES'!$D664))</f>
        <v/>
      </c>
      <c r="J686" s="3">
        <f>IF('ORDENES'!$A664="","",IF('ORDENES'!$E664="","-",'ORDENES'!$E664))</f>
        <v/>
      </c>
      <c r="K686" s="12">
        <f>IF('ORDENES'!$A664="","",IF('ORDENES'!$M664="",0,'ORDENES'!$M664))</f>
        <v/>
      </c>
      <c r="L686" s="3">
        <f>IF('ORDENES'!$A664="","",IF('ORDENES'!$N664="","-",'ORDENES'!$N664))</f>
        <v/>
      </c>
      <c r="M686" s="3">
        <f>IF('ORDENES'!$A664="","",'ORDENES'!$AA664)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IF('ORDENES'!$A665="","",IF('ORDENES'!$AC665="","-",'ORDENES'!$AC665))</f>
        <v/>
      </c>
      <c r="D687" s="3">
        <f>IF('ORDENES'!$A665="","",IF('ORDENES'!$V665="","-",'ORDENES'!$V665))</f>
        <v/>
      </c>
      <c r="E687" s="3">
        <f>IF('ORDENES'!$A665="","",IF('ORDENES'!$U665="","-",'ORDENES'!$U665))</f>
        <v/>
      </c>
      <c r="F687" s="3">
        <f>IF('ORDENES'!$A665="","",IF('ORDENES'!$W665="","-",'ORDENES'!$W665))</f>
        <v/>
      </c>
      <c r="G687" s="3">
        <f>IF('ORDENES'!$A665="","",IF('ORDENES'!$AB665="","-",'ORDENES'!$AB665))</f>
        <v/>
      </c>
      <c r="H687" s="3">
        <f>IF('ORDENES'!$A665="","",IF('ORDENES'!$AN665="","-",'ORDENES'!$AN665))</f>
        <v/>
      </c>
      <c r="I687" s="3">
        <f>IF('ORDENES'!$A665="","",IF('ORDENES'!$D665="","-",'ORDENES'!$D665))</f>
        <v/>
      </c>
      <c r="J687" s="3">
        <f>IF('ORDENES'!$A665="","",IF('ORDENES'!$E665="","-",'ORDENES'!$E665))</f>
        <v/>
      </c>
      <c r="K687" s="12">
        <f>IF('ORDENES'!$A665="","",IF('ORDENES'!$M665="",0,'ORDENES'!$M665))</f>
        <v/>
      </c>
      <c r="L687" s="3">
        <f>IF('ORDENES'!$A665="","",IF('ORDENES'!$N665="","-",'ORDENES'!$N665))</f>
        <v/>
      </c>
      <c r="M687" s="3">
        <f>IF('ORDENES'!$A665="","",'ORDENES'!$AA665)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IF('ORDENES'!$A666="","",IF('ORDENES'!$AC666="","-",'ORDENES'!$AC666))</f>
        <v/>
      </c>
      <c r="D688" s="3">
        <f>IF('ORDENES'!$A666="","",IF('ORDENES'!$V666="","-",'ORDENES'!$V666))</f>
        <v/>
      </c>
      <c r="E688" s="3">
        <f>IF('ORDENES'!$A666="","",IF('ORDENES'!$U666="","-",'ORDENES'!$U666))</f>
        <v/>
      </c>
      <c r="F688" s="3">
        <f>IF('ORDENES'!$A666="","",IF('ORDENES'!$W666="","-",'ORDENES'!$W666))</f>
        <v/>
      </c>
      <c r="G688" s="3">
        <f>IF('ORDENES'!$A666="","",IF('ORDENES'!$AB666="","-",'ORDENES'!$AB666))</f>
        <v/>
      </c>
      <c r="H688" s="3">
        <f>IF('ORDENES'!$A666="","",IF('ORDENES'!$AN666="","-",'ORDENES'!$AN666))</f>
        <v/>
      </c>
      <c r="I688" s="3">
        <f>IF('ORDENES'!$A666="","",IF('ORDENES'!$D666="","-",'ORDENES'!$D666))</f>
        <v/>
      </c>
      <c r="J688" s="3">
        <f>IF('ORDENES'!$A666="","",IF('ORDENES'!$E666="","-",'ORDENES'!$E666))</f>
        <v/>
      </c>
      <c r="K688" s="12">
        <f>IF('ORDENES'!$A666="","",IF('ORDENES'!$M666="",0,'ORDENES'!$M666))</f>
        <v/>
      </c>
      <c r="L688" s="3">
        <f>IF('ORDENES'!$A666="","",IF('ORDENES'!$N666="","-",'ORDENES'!$N666))</f>
        <v/>
      </c>
      <c r="M688" s="3">
        <f>IF('ORDENES'!$A666="","",'ORDENES'!$AA666)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IF('ORDENES'!$A667="","",IF('ORDENES'!$AC667="","-",'ORDENES'!$AC667))</f>
        <v/>
      </c>
      <c r="D689" s="3">
        <f>IF('ORDENES'!$A667="","",IF('ORDENES'!$V667="","-",'ORDENES'!$V667))</f>
        <v/>
      </c>
      <c r="E689" s="3">
        <f>IF('ORDENES'!$A667="","",IF('ORDENES'!$U667="","-",'ORDENES'!$U667))</f>
        <v/>
      </c>
      <c r="F689" s="3">
        <f>IF('ORDENES'!$A667="","",IF('ORDENES'!$W667="","-",'ORDENES'!$W667))</f>
        <v/>
      </c>
      <c r="G689" s="3">
        <f>IF('ORDENES'!$A667="","",IF('ORDENES'!$AB667="","-",'ORDENES'!$AB667))</f>
        <v/>
      </c>
      <c r="H689" s="3">
        <f>IF('ORDENES'!$A667="","",IF('ORDENES'!$AN667="","-",'ORDENES'!$AN667))</f>
        <v/>
      </c>
      <c r="I689" s="3">
        <f>IF('ORDENES'!$A667="","",IF('ORDENES'!$D667="","-",'ORDENES'!$D667))</f>
        <v/>
      </c>
      <c r="J689" s="3">
        <f>IF('ORDENES'!$A667="","",IF('ORDENES'!$E667="","-",'ORDENES'!$E667))</f>
        <v/>
      </c>
      <c r="K689" s="12">
        <f>IF('ORDENES'!$A667="","",IF('ORDENES'!$M667="",0,'ORDENES'!$M667))</f>
        <v/>
      </c>
      <c r="L689" s="3">
        <f>IF('ORDENES'!$A667="","",IF('ORDENES'!$N667="","-",'ORDENES'!$N667))</f>
        <v/>
      </c>
      <c r="M689" s="3">
        <f>IF('ORDENES'!$A667="","",'ORDENES'!$AA667)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IF('ORDENES'!$A668="","",IF('ORDENES'!$AC668="","-",'ORDENES'!$AC668))</f>
        <v/>
      </c>
      <c r="D690" s="3">
        <f>IF('ORDENES'!$A668="","",IF('ORDENES'!$V668="","-",'ORDENES'!$V668))</f>
        <v/>
      </c>
      <c r="E690" s="3">
        <f>IF('ORDENES'!$A668="","",IF('ORDENES'!$U668="","-",'ORDENES'!$U668))</f>
        <v/>
      </c>
      <c r="F690" s="3">
        <f>IF('ORDENES'!$A668="","",IF('ORDENES'!$W668="","-",'ORDENES'!$W668))</f>
        <v/>
      </c>
      <c r="G690" s="3">
        <f>IF('ORDENES'!$A668="","",IF('ORDENES'!$AB668="","-",'ORDENES'!$AB668))</f>
        <v/>
      </c>
      <c r="H690" s="3">
        <f>IF('ORDENES'!$A668="","",IF('ORDENES'!$AN668="","-",'ORDENES'!$AN668))</f>
        <v/>
      </c>
      <c r="I690" s="3">
        <f>IF('ORDENES'!$A668="","",IF('ORDENES'!$D668="","-",'ORDENES'!$D668))</f>
        <v/>
      </c>
      <c r="J690" s="3">
        <f>IF('ORDENES'!$A668="","",IF('ORDENES'!$E668="","-",'ORDENES'!$E668))</f>
        <v/>
      </c>
      <c r="K690" s="12">
        <f>IF('ORDENES'!$A668="","",IF('ORDENES'!$M668="",0,'ORDENES'!$M668))</f>
        <v/>
      </c>
      <c r="L690" s="3">
        <f>IF('ORDENES'!$A668="","",IF('ORDENES'!$N668="","-",'ORDENES'!$N668))</f>
        <v/>
      </c>
      <c r="M690" s="3">
        <f>IF('ORDENES'!$A668="","",'ORDENES'!$AA668)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IF('ORDENES'!$A669="","",IF('ORDENES'!$AC669="","-",'ORDENES'!$AC669))</f>
        <v/>
      </c>
      <c r="D691" s="3">
        <f>IF('ORDENES'!$A669="","",IF('ORDENES'!$V669="","-",'ORDENES'!$V669))</f>
        <v/>
      </c>
      <c r="E691" s="3">
        <f>IF('ORDENES'!$A669="","",IF('ORDENES'!$U669="","-",'ORDENES'!$U669))</f>
        <v/>
      </c>
      <c r="F691" s="3">
        <f>IF('ORDENES'!$A669="","",IF('ORDENES'!$W669="","-",'ORDENES'!$W669))</f>
        <v/>
      </c>
      <c r="G691" s="3">
        <f>IF('ORDENES'!$A669="","",IF('ORDENES'!$AB669="","-",'ORDENES'!$AB669))</f>
        <v/>
      </c>
      <c r="H691" s="3">
        <f>IF('ORDENES'!$A669="","",IF('ORDENES'!$AN669="","-",'ORDENES'!$AN669))</f>
        <v/>
      </c>
      <c r="I691" s="3">
        <f>IF('ORDENES'!$A669="","",IF('ORDENES'!$D669="","-",'ORDENES'!$D669))</f>
        <v/>
      </c>
      <c r="J691" s="3">
        <f>IF('ORDENES'!$A669="","",IF('ORDENES'!$E669="","-",'ORDENES'!$E669))</f>
        <v/>
      </c>
      <c r="K691" s="12">
        <f>IF('ORDENES'!$A669="","",IF('ORDENES'!$M669="",0,'ORDENES'!$M669))</f>
        <v/>
      </c>
      <c r="L691" s="3">
        <f>IF('ORDENES'!$A669="","",IF('ORDENES'!$N669="","-",'ORDENES'!$N669))</f>
        <v/>
      </c>
      <c r="M691" s="3">
        <f>IF('ORDENES'!$A669="","",'ORDENES'!$AA669)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IF('ORDENES'!$A670="","",IF('ORDENES'!$AC670="","-",'ORDENES'!$AC670))</f>
        <v/>
      </c>
      <c r="D692" s="3">
        <f>IF('ORDENES'!$A670="","",IF('ORDENES'!$V670="","-",'ORDENES'!$V670))</f>
        <v/>
      </c>
      <c r="E692" s="3">
        <f>IF('ORDENES'!$A670="","",IF('ORDENES'!$U670="","-",'ORDENES'!$U670))</f>
        <v/>
      </c>
      <c r="F692" s="3">
        <f>IF('ORDENES'!$A670="","",IF('ORDENES'!$W670="","-",'ORDENES'!$W670))</f>
        <v/>
      </c>
      <c r="G692" s="3">
        <f>IF('ORDENES'!$A670="","",IF('ORDENES'!$AB670="","-",'ORDENES'!$AB670))</f>
        <v/>
      </c>
      <c r="H692" s="3">
        <f>IF('ORDENES'!$A670="","",IF('ORDENES'!$AN670="","-",'ORDENES'!$AN670))</f>
        <v/>
      </c>
      <c r="I692" s="3">
        <f>IF('ORDENES'!$A670="","",IF('ORDENES'!$D670="","-",'ORDENES'!$D670))</f>
        <v/>
      </c>
      <c r="J692" s="3">
        <f>IF('ORDENES'!$A670="","",IF('ORDENES'!$E670="","-",'ORDENES'!$E670))</f>
        <v/>
      </c>
      <c r="K692" s="12">
        <f>IF('ORDENES'!$A670="","",IF('ORDENES'!$M670="",0,'ORDENES'!$M670))</f>
        <v/>
      </c>
      <c r="L692" s="3">
        <f>IF('ORDENES'!$A670="","",IF('ORDENES'!$N670="","-",'ORDENES'!$N670))</f>
        <v/>
      </c>
      <c r="M692" s="3">
        <f>IF('ORDENES'!$A670="","",'ORDENES'!$AA670)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IF('ORDENES'!$A671="","",IF('ORDENES'!$AC671="","-",'ORDENES'!$AC671))</f>
        <v/>
      </c>
      <c r="D693" s="3">
        <f>IF('ORDENES'!$A671="","",IF('ORDENES'!$V671="","-",'ORDENES'!$V671))</f>
        <v/>
      </c>
      <c r="E693" s="3">
        <f>IF('ORDENES'!$A671="","",IF('ORDENES'!$U671="","-",'ORDENES'!$U671))</f>
        <v/>
      </c>
      <c r="F693" s="3">
        <f>IF('ORDENES'!$A671="","",IF('ORDENES'!$W671="","-",'ORDENES'!$W671))</f>
        <v/>
      </c>
      <c r="G693" s="3">
        <f>IF('ORDENES'!$A671="","",IF('ORDENES'!$AB671="","-",'ORDENES'!$AB671))</f>
        <v/>
      </c>
      <c r="H693" s="3">
        <f>IF('ORDENES'!$A671="","",IF('ORDENES'!$AN671="","-",'ORDENES'!$AN671))</f>
        <v/>
      </c>
      <c r="I693" s="3">
        <f>IF('ORDENES'!$A671="","",IF('ORDENES'!$D671="","-",'ORDENES'!$D671))</f>
        <v/>
      </c>
      <c r="J693" s="3">
        <f>IF('ORDENES'!$A671="","",IF('ORDENES'!$E671="","-",'ORDENES'!$E671))</f>
        <v/>
      </c>
      <c r="K693" s="12">
        <f>IF('ORDENES'!$A671="","",IF('ORDENES'!$M671="",0,'ORDENES'!$M671))</f>
        <v/>
      </c>
      <c r="L693" s="3">
        <f>IF('ORDENES'!$A671="","",IF('ORDENES'!$N671="","-",'ORDENES'!$N671))</f>
        <v/>
      </c>
      <c r="M693" s="3">
        <f>IF('ORDENES'!$A671="","",'ORDENES'!$AA671)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IF('ORDENES'!$A672="","",IF('ORDENES'!$AC672="","-",'ORDENES'!$AC672))</f>
        <v/>
      </c>
      <c r="D694" s="3">
        <f>IF('ORDENES'!$A672="","",IF('ORDENES'!$V672="","-",'ORDENES'!$V672))</f>
        <v/>
      </c>
      <c r="E694" s="3">
        <f>IF('ORDENES'!$A672="","",IF('ORDENES'!$U672="","-",'ORDENES'!$U672))</f>
        <v/>
      </c>
      <c r="F694" s="3">
        <f>IF('ORDENES'!$A672="","",IF('ORDENES'!$W672="","-",'ORDENES'!$W672))</f>
        <v/>
      </c>
      <c r="G694" s="3">
        <f>IF('ORDENES'!$A672="","",IF('ORDENES'!$AB672="","-",'ORDENES'!$AB672))</f>
        <v/>
      </c>
      <c r="H694" s="3">
        <f>IF('ORDENES'!$A672="","",IF('ORDENES'!$AN672="","-",'ORDENES'!$AN672))</f>
        <v/>
      </c>
      <c r="I694" s="3">
        <f>IF('ORDENES'!$A672="","",IF('ORDENES'!$D672="","-",'ORDENES'!$D672))</f>
        <v/>
      </c>
      <c r="J694" s="3">
        <f>IF('ORDENES'!$A672="","",IF('ORDENES'!$E672="","-",'ORDENES'!$E672))</f>
        <v/>
      </c>
      <c r="K694" s="12">
        <f>IF('ORDENES'!$A672="","",IF('ORDENES'!$M672="",0,'ORDENES'!$M672))</f>
        <v/>
      </c>
      <c r="L694" s="3">
        <f>IF('ORDENES'!$A672="","",IF('ORDENES'!$N672="","-",'ORDENES'!$N672))</f>
        <v/>
      </c>
      <c r="M694" s="3">
        <f>IF('ORDENES'!$A672="","",'ORDENES'!$AA672)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IF('ORDENES'!$A673="","",IF('ORDENES'!$AC673="","-",'ORDENES'!$AC673))</f>
        <v/>
      </c>
      <c r="D695" s="3">
        <f>IF('ORDENES'!$A673="","",IF('ORDENES'!$V673="","-",'ORDENES'!$V673))</f>
        <v/>
      </c>
      <c r="E695" s="3">
        <f>IF('ORDENES'!$A673="","",IF('ORDENES'!$U673="","-",'ORDENES'!$U673))</f>
        <v/>
      </c>
      <c r="F695" s="3">
        <f>IF('ORDENES'!$A673="","",IF('ORDENES'!$W673="","-",'ORDENES'!$W673))</f>
        <v/>
      </c>
      <c r="G695" s="3">
        <f>IF('ORDENES'!$A673="","",IF('ORDENES'!$AB673="","-",'ORDENES'!$AB673))</f>
        <v/>
      </c>
      <c r="H695" s="3">
        <f>IF('ORDENES'!$A673="","",IF('ORDENES'!$AN673="","-",'ORDENES'!$AN673))</f>
        <v/>
      </c>
      <c r="I695" s="3">
        <f>IF('ORDENES'!$A673="","",IF('ORDENES'!$D673="","-",'ORDENES'!$D673))</f>
        <v/>
      </c>
      <c r="J695" s="3">
        <f>IF('ORDENES'!$A673="","",IF('ORDENES'!$E673="","-",'ORDENES'!$E673))</f>
        <v/>
      </c>
      <c r="K695" s="12">
        <f>IF('ORDENES'!$A673="","",IF('ORDENES'!$M673="",0,'ORDENES'!$M673))</f>
        <v/>
      </c>
      <c r="L695" s="3">
        <f>IF('ORDENES'!$A673="","",IF('ORDENES'!$N673="","-",'ORDENES'!$N673))</f>
        <v/>
      </c>
      <c r="M695" s="3">
        <f>IF('ORDENES'!$A673="","",'ORDENES'!$AA673)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IF('ORDENES'!$A674="","",IF('ORDENES'!$AC674="","-",'ORDENES'!$AC674))</f>
        <v/>
      </c>
      <c r="D696" s="3">
        <f>IF('ORDENES'!$A674="","",IF('ORDENES'!$V674="","-",'ORDENES'!$V674))</f>
        <v/>
      </c>
      <c r="E696" s="3">
        <f>IF('ORDENES'!$A674="","",IF('ORDENES'!$U674="","-",'ORDENES'!$U674))</f>
        <v/>
      </c>
      <c r="F696" s="3">
        <f>IF('ORDENES'!$A674="","",IF('ORDENES'!$W674="","-",'ORDENES'!$W674))</f>
        <v/>
      </c>
      <c r="G696" s="3">
        <f>IF('ORDENES'!$A674="","",IF('ORDENES'!$AB674="","-",'ORDENES'!$AB674))</f>
        <v/>
      </c>
      <c r="H696" s="3">
        <f>IF('ORDENES'!$A674="","",IF('ORDENES'!$AN674="","-",'ORDENES'!$AN674))</f>
        <v/>
      </c>
      <c r="I696" s="3">
        <f>IF('ORDENES'!$A674="","",IF('ORDENES'!$D674="","-",'ORDENES'!$D674))</f>
        <v/>
      </c>
      <c r="J696" s="3">
        <f>IF('ORDENES'!$A674="","",IF('ORDENES'!$E674="","-",'ORDENES'!$E674))</f>
        <v/>
      </c>
      <c r="K696" s="12">
        <f>IF('ORDENES'!$A674="","",IF('ORDENES'!$M674="",0,'ORDENES'!$M674))</f>
        <v/>
      </c>
      <c r="L696" s="3">
        <f>IF('ORDENES'!$A674="","",IF('ORDENES'!$N674="","-",'ORDENES'!$N674))</f>
        <v/>
      </c>
      <c r="M696" s="3">
        <f>IF('ORDENES'!$A674="","",'ORDENES'!$AA674)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IF('ORDENES'!$A675="","",IF('ORDENES'!$AC675="","-",'ORDENES'!$AC675))</f>
        <v/>
      </c>
      <c r="D697" s="3">
        <f>IF('ORDENES'!$A675="","",IF('ORDENES'!$V675="","-",'ORDENES'!$V675))</f>
        <v/>
      </c>
      <c r="E697" s="3">
        <f>IF('ORDENES'!$A675="","",IF('ORDENES'!$U675="","-",'ORDENES'!$U675))</f>
        <v/>
      </c>
      <c r="F697" s="3">
        <f>IF('ORDENES'!$A675="","",IF('ORDENES'!$W675="","-",'ORDENES'!$W675))</f>
        <v/>
      </c>
      <c r="G697" s="3">
        <f>IF('ORDENES'!$A675="","",IF('ORDENES'!$AB675="","-",'ORDENES'!$AB675))</f>
        <v/>
      </c>
      <c r="H697" s="3">
        <f>IF('ORDENES'!$A675="","",IF('ORDENES'!$AN675="","-",'ORDENES'!$AN675))</f>
        <v/>
      </c>
      <c r="I697" s="3">
        <f>IF('ORDENES'!$A675="","",IF('ORDENES'!$D675="","-",'ORDENES'!$D675))</f>
        <v/>
      </c>
      <c r="J697" s="3">
        <f>IF('ORDENES'!$A675="","",IF('ORDENES'!$E675="","-",'ORDENES'!$E675))</f>
        <v/>
      </c>
      <c r="K697" s="12">
        <f>IF('ORDENES'!$A675="","",IF('ORDENES'!$M675="",0,'ORDENES'!$M675))</f>
        <v/>
      </c>
      <c r="L697" s="3">
        <f>IF('ORDENES'!$A675="","",IF('ORDENES'!$N675="","-",'ORDENES'!$N675))</f>
        <v/>
      </c>
      <c r="M697" s="3">
        <f>IF('ORDENES'!$A675="","",'ORDENES'!$AA675)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IF('ORDENES'!$A676="","",IF('ORDENES'!$AC676="","-",'ORDENES'!$AC676))</f>
        <v/>
      </c>
      <c r="D698" s="3">
        <f>IF('ORDENES'!$A676="","",IF('ORDENES'!$V676="","-",'ORDENES'!$V676))</f>
        <v/>
      </c>
      <c r="E698" s="3">
        <f>IF('ORDENES'!$A676="","",IF('ORDENES'!$U676="","-",'ORDENES'!$U676))</f>
        <v/>
      </c>
      <c r="F698" s="3">
        <f>IF('ORDENES'!$A676="","",IF('ORDENES'!$W676="","-",'ORDENES'!$W676))</f>
        <v/>
      </c>
      <c r="G698" s="3">
        <f>IF('ORDENES'!$A676="","",IF('ORDENES'!$AB676="","-",'ORDENES'!$AB676))</f>
        <v/>
      </c>
      <c r="H698" s="3">
        <f>IF('ORDENES'!$A676="","",IF('ORDENES'!$AN676="","-",'ORDENES'!$AN676))</f>
        <v/>
      </c>
      <c r="I698" s="3">
        <f>IF('ORDENES'!$A676="","",IF('ORDENES'!$D676="","-",'ORDENES'!$D676))</f>
        <v/>
      </c>
      <c r="J698" s="3">
        <f>IF('ORDENES'!$A676="","",IF('ORDENES'!$E676="","-",'ORDENES'!$E676))</f>
        <v/>
      </c>
      <c r="K698" s="12">
        <f>IF('ORDENES'!$A676="","",IF('ORDENES'!$M676="",0,'ORDENES'!$M676))</f>
        <v/>
      </c>
      <c r="L698" s="3">
        <f>IF('ORDENES'!$A676="","",IF('ORDENES'!$N676="","-",'ORDENES'!$N676))</f>
        <v/>
      </c>
      <c r="M698" s="3">
        <f>IF('ORDENES'!$A676="","",'ORDENES'!$AA676)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IF('ORDENES'!$A677="","",IF('ORDENES'!$AC677="","-",'ORDENES'!$AC677))</f>
        <v/>
      </c>
      <c r="D699" s="3">
        <f>IF('ORDENES'!$A677="","",IF('ORDENES'!$V677="","-",'ORDENES'!$V677))</f>
        <v/>
      </c>
      <c r="E699" s="3">
        <f>IF('ORDENES'!$A677="","",IF('ORDENES'!$U677="","-",'ORDENES'!$U677))</f>
        <v/>
      </c>
      <c r="F699" s="3">
        <f>IF('ORDENES'!$A677="","",IF('ORDENES'!$W677="","-",'ORDENES'!$W677))</f>
        <v/>
      </c>
      <c r="G699" s="3">
        <f>IF('ORDENES'!$A677="","",IF('ORDENES'!$AB677="","-",'ORDENES'!$AB677))</f>
        <v/>
      </c>
      <c r="H699" s="3">
        <f>IF('ORDENES'!$A677="","",IF('ORDENES'!$AN677="","-",'ORDENES'!$AN677))</f>
        <v/>
      </c>
      <c r="I699" s="3">
        <f>IF('ORDENES'!$A677="","",IF('ORDENES'!$D677="","-",'ORDENES'!$D677))</f>
        <v/>
      </c>
      <c r="J699" s="3">
        <f>IF('ORDENES'!$A677="","",IF('ORDENES'!$E677="","-",'ORDENES'!$E677))</f>
        <v/>
      </c>
      <c r="K699" s="12">
        <f>IF('ORDENES'!$A677="","",IF('ORDENES'!$M677="",0,'ORDENES'!$M677))</f>
        <v/>
      </c>
      <c r="L699" s="3">
        <f>IF('ORDENES'!$A677="","",IF('ORDENES'!$N677="","-",'ORDENES'!$N677))</f>
        <v/>
      </c>
      <c r="M699" s="3">
        <f>IF('ORDENES'!$A677="","",'ORDENES'!$AA677)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IF('ORDENES'!$A678="","",IF('ORDENES'!$AC678="","-",'ORDENES'!$AC678))</f>
        <v/>
      </c>
      <c r="D700" s="3">
        <f>IF('ORDENES'!$A678="","",IF('ORDENES'!$V678="","-",'ORDENES'!$V678))</f>
        <v/>
      </c>
      <c r="E700" s="3">
        <f>IF('ORDENES'!$A678="","",IF('ORDENES'!$U678="","-",'ORDENES'!$U678))</f>
        <v/>
      </c>
      <c r="F700" s="3">
        <f>IF('ORDENES'!$A678="","",IF('ORDENES'!$W678="","-",'ORDENES'!$W678))</f>
        <v/>
      </c>
      <c r="G700" s="3">
        <f>IF('ORDENES'!$A678="","",IF('ORDENES'!$AB678="","-",'ORDENES'!$AB678))</f>
        <v/>
      </c>
      <c r="H700" s="3">
        <f>IF('ORDENES'!$A678="","",IF('ORDENES'!$AN678="","-",'ORDENES'!$AN678))</f>
        <v/>
      </c>
      <c r="I700" s="3">
        <f>IF('ORDENES'!$A678="","",IF('ORDENES'!$D678="","-",'ORDENES'!$D678))</f>
        <v/>
      </c>
      <c r="J700" s="3">
        <f>IF('ORDENES'!$A678="","",IF('ORDENES'!$E678="","-",'ORDENES'!$E678))</f>
        <v/>
      </c>
      <c r="K700" s="12">
        <f>IF('ORDENES'!$A678="","",IF('ORDENES'!$M678="",0,'ORDENES'!$M678))</f>
        <v/>
      </c>
      <c r="L700" s="3">
        <f>IF('ORDENES'!$A678="","",IF('ORDENES'!$N678="","-",'ORDENES'!$N678))</f>
        <v/>
      </c>
      <c r="M700" s="3">
        <f>IF('ORDENES'!$A678="","",'ORDENES'!$AA678)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IF('ORDENES'!$A679="","",IF('ORDENES'!$AC679="","-",'ORDENES'!$AC679))</f>
        <v/>
      </c>
      <c r="D701" s="3">
        <f>IF('ORDENES'!$A679="","",IF('ORDENES'!$V679="","-",'ORDENES'!$V679))</f>
        <v/>
      </c>
      <c r="E701" s="3">
        <f>IF('ORDENES'!$A679="","",IF('ORDENES'!$U679="","-",'ORDENES'!$U679))</f>
        <v/>
      </c>
      <c r="F701" s="3">
        <f>IF('ORDENES'!$A679="","",IF('ORDENES'!$W679="","-",'ORDENES'!$W679))</f>
        <v/>
      </c>
      <c r="G701" s="3">
        <f>IF('ORDENES'!$A679="","",IF('ORDENES'!$AB679="","-",'ORDENES'!$AB679))</f>
        <v/>
      </c>
      <c r="H701" s="3">
        <f>IF('ORDENES'!$A679="","",IF('ORDENES'!$AN679="","-",'ORDENES'!$AN679))</f>
        <v/>
      </c>
      <c r="I701" s="3">
        <f>IF('ORDENES'!$A679="","",IF('ORDENES'!$D679="","-",'ORDENES'!$D679))</f>
        <v/>
      </c>
      <c r="J701" s="3">
        <f>IF('ORDENES'!$A679="","",IF('ORDENES'!$E679="","-",'ORDENES'!$E679))</f>
        <v/>
      </c>
      <c r="K701" s="12">
        <f>IF('ORDENES'!$A679="","",IF('ORDENES'!$M679="",0,'ORDENES'!$M679))</f>
        <v/>
      </c>
      <c r="L701" s="3">
        <f>IF('ORDENES'!$A679="","",IF('ORDENES'!$N679="","-",'ORDENES'!$N679))</f>
        <v/>
      </c>
      <c r="M701" s="3">
        <f>IF('ORDENES'!$A679="","",'ORDENES'!$AA679)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IF('ORDENES'!$A680="","",IF('ORDENES'!$AC680="","-",'ORDENES'!$AC680))</f>
        <v/>
      </c>
      <c r="D702" s="3">
        <f>IF('ORDENES'!$A680="","",IF('ORDENES'!$V680="","-",'ORDENES'!$V680))</f>
        <v/>
      </c>
      <c r="E702" s="3">
        <f>IF('ORDENES'!$A680="","",IF('ORDENES'!$U680="","-",'ORDENES'!$U680))</f>
        <v/>
      </c>
      <c r="F702" s="3">
        <f>IF('ORDENES'!$A680="","",IF('ORDENES'!$W680="","-",'ORDENES'!$W680))</f>
        <v/>
      </c>
      <c r="G702" s="3">
        <f>IF('ORDENES'!$A680="","",IF('ORDENES'!$AB680="","-",'ORDENES'!$AB680))</f>
        <v/>
      </c>
      <c r="H702" s="3">
        <f>IF('ORDENES'!$A680="","",IF('ORDENES'!$AN680="","-",'ORDENES'!$AN680))</f>
        <v/>
      </c>
      <c r="I702" s="3">
        <f>IF('ORDENES'!$A680="","",IF('ORDENES'!$D680="","-",'ORDENES'!$D680))</f>
        <v/>
      </c>
      <c r="J702" s="3">
        <f>IF('ORDENES'!$A680="","",IF('ORDENES'!$E680="","-",'ORDENES'!$E680))</f>
        <v/>
      </c>
      <c r="K702" s="12">
        <f>IF('ORDENES'!$A680="","",IF('ORDENES'!$M680="",0,'ORDENES'!$M680))</f>
        <v/>
      </c>
      <c r="L702" s="3">
        <f>IF('ORDENES'!$A680="","",IF('ORDENES'!$N680="","-",'ORDENES'!$N680))</f>
        <v/>
      </c>
      <c r="M702" s="3">
        <f>IF('ORDENES'!$A680="","",'ORDENES'!$AA680)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IF('ORDENES'!$A681="","",IF('ORDENES'!$AC681="","-",'ORDENES'!$AC681))</f>
        <v/>
      </c>
      <c r="D703" s="3">
        <f>IF('ORDENES'!$A681="","",IF('ORDENES'!$V681="","-",'ORDENES'!$V681))</f>
        <v/>
      </c>
      <c r="E703" s="3">
        <f>IF('ORDENES'!$A681="","",IF('ORDENES'!$U681="","-",'ORDENES'!$U681))</f>
        <v/>
      </c>
      <c r="F703" s="3">
        <f>IF('ORDENES'!$A681="","",IF('ORDENES'!$W681="","-",'ORDENES'!$W681))</f>
        <v/>
      </c>
      <c r="G703" s="3">
        <f>IF('ORDENES'!$A681="","",IF('ORDENES'!$AB681="","-",'ORDENES'!$AB681))</f>
        <v/>
      </c>
      <c r="H703" s="3">
        <f>IF('ORDENES'!$A681="","",IF('ORDENES'!$AN681="","-",'ORDENES'!$AN681))</f>
        <v/>
      </c>
      <c r="I703" s="3">
        <f>IF('ORDENES'!$A681="","",IF('ORDENES'!$D681="","-",'ORDENES'!$D681))</f>
        <v/>
      </c>
      <c r="J703" s="3">
        <f>IF('ORDENES'!$A681="","",IF('ORDENES'!$E681="","-",'ORDENES'!$E681))</f>
        <v/>
      </c>
      <c r="K703" s="12">
        <f>IF('ORDENES'!$A681="","",IF('ORDENES'!$M681="",0,'ORDENES'!$M681))</f>
        <v/>
      </c>
      <c r="L703" s="3">
        <f>IF('ORDENES'!$A681="","",IF('ORDENES'!$N681="","-",'ORDENES'!$N681))</f>
        <v/>
      </c>
      <c r="M703" s="3">
        <f>IF('ORDENES'!$A681="","",'ORDENES'!$AA681)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IF('ORDENES'!$A682="","",IF('ORDENES'!$AC682="","-",'ORDENES'!$AC682))</f>
        <v/>
      </c>
      <c r="D704" s="3">
        <f>IF('ORDENES'!$A682="","",IF('ORDENES'!$V682="","-",'ORDENES'!$V682))</f>
        <v/>
      </c>
      <c r="E704" s="3">
        <f>IF('ORDENES'!$A682="","",IF('ORDENES'!$U682="","-",'ORDENES'!$U682))</f>
        <v/>
      </c>
      <c r="F704" s="3">
        <f>IF('ORDENES'!$A682="","",IF('ORDENES'!$W682="","-",'ORDENES'!$W682))</f>
        <v/>
      </c>
      <c r="G704" s="3">
        <f>IF('ORDENES'!$A682="","",IF('ORDENES'!$AB682="","-",'ORDENES'!$AB682))</f>
        <v/>
      </c>
      <c r="H704" s="3">
        <f>IF('ORDENES'!$A682="","",IF('ORDENES'!$AN682="","-",'ORDENES'!$AN682))</f>
        <v/>
      </c>
      <c r="I704" s="3">
        <f>IF('ORDENES'!$A682="","",IF('ORDENES'!$D682="","-",'ORDENES'!$D682))</f>
        <v/>
      </c>
      <c r="J704" s="3">
        <f>IF('ORDENES'!$A682="","",IF('ORDENES'!$E682="","-",'ORDENES'!$E682))</f>
        <v/>
      </c>
      <c r="K704" s="12">
        <f>IF('ORDENES'!$A682="","",IF('ORDENES'!$M682="",0,'ORDENES'!$M682))</f>
        <v/>
      </c>
      <c r="L704" s="3">
        <f>IF('ORDENES'!$A682="","",IF('ORDENES'!$N682="","-",'ORDENES'!$N682))</f>
        <v/>
      </c>
      <c r="M704" s="3">
        <f>IF('ORDENES'!$A682="","",'ORDENES'!$AA682)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IF('ORDENES'!$A683="","",IF('ORDENES'!$AC683="","-",'ORDENES'!$AC683))</f>
        <v/>
      </c>
      <c r="D705" s="3">
        <f>IF('ORDENES'!$A683="","",IF('ORDENES'!$V683="","-",'ORDENES'!$V683))</f>
        <v/>
      </c>
      <c r="E705" s="3">
        <f>IF('ORDENES'!$A683="","",IF('ORDENES'!$U683="","-",'ORDENES'!$U683))</f>
        <v/>
      </c>
      <c r="F705" s="3">
        <f>IF('ORDENES'!$A683="","",IF('ORDENES'!$W683="","-",'ORDENES'!$W683))</f>
        <v/>
      </c>
      <c r="G705" s="3">
        <f>IF('ORDENES'!$A683="","",IF('ORDENES'!$AB683="","-",'ORDENES'!$AB683))</f>
        <v/>
      </c>
      <c r="H705" s="3">
        <f>IF('ORDENES'!$A683="","",IF('ORDENES'!$AN683="","-",'ORDENES'!$AN683))</f>
        <v/>
      </c>
      <c r="I705" s="3">
        <f>IF('ORDENES'!$A683="","",IF('ORDENES'!$D683="","-",'ORDENES'!$D683))</f>
        <v/>
      </c>
      <c r="J705" s="3">
        <f>IF('ORDENES'!$A683="","",IF('ORDENES'!$E683="","-",'ORDENES'!$E683))</f>
        <v/>
      </c>
      <c r="K705" s="12">
        <f>IF('ORDENES'!$A683="","",IF('ORDENES'!$M683="",0,'ORDENES'!$M683))</f>
        <v/>
      </c>
      <c r="L705" s="3">
        <f>IF('ORDENES'!$A683="","",IF('ORDENES'!$N683="","-",'ORDENES'!$N683))</f>
        <v/>
      </c>
      <c r="M705" s="3">
        <f>IF('ORDENES'!$A683="","",'ORDENES'!$AA683)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IF('ORDENES'!$A684="","",IF('ORDENES'!$AC684="","-",'ORDENES'!$AC684))</f>
        <v/>
      </c>
      <c r="D706" s="3">
        <f>IF('ORDENES'!$A684="","",IF('ORDENES'!$V684="","-",'ORDENES'!$V684))</f>
        <v/>
      </c>
      <c r="E706" s="3">
        <f>IF('ORDENES'!$A684="","",IF('ORDENES'!$U684="","-",'ORDENES'!$U684))</f>
        <v/>
      </c>
      <c r="F706" s="3">
        <f>IF('ORDENES'!$A684="","",IF('ORDENES'!$W684="","-",'ORDENES'!$W684))</f>
        <v/>
      </c>
      <c r="G706" s="3">
        <f>IF('ORDENES'!$A684="","",IF('ORDENES'!$AB684="","-",'ORDENES'!$AB684))</f>
        <v/>
      </c>
      <c r="H706" s="3">
        <f>IF('ORDENES'!$A684="","",IF('ORDENES'!$AN684="","-",'ORDENES'!$AN684))</f>
        <v/>
      </c>
      <c r="I706" s="3">
        <f>IF('ORDENES'!$A684="","",IF('ORDENES'!$D684="","-",'ORDENES'!$D684))</f>
        <v/>
      </c>
      <c r="J706" s="3">
        <f>IF('ORDENES'!$A684="","",IF('ORDENES'!$E684="","-",'ORDENES'!$E684))</f>
        <v/>
      </c>
      <c r="K706" s="12">
        <f>IF('ORDENES'!$A684="","",IF('ORDENES'!$M684="",0,'ORDENES'!$M684))</f>
        <v/>
      </c>
      <c r="L706" s="3">
        <f>IF('ORDENES'!$A684="","",IF('ORDENES'!$N684="","-",'ORDENES'!$N684))</f>
        <v/>
      </c>
      <c r="M706" s="3">
        <f>IF('ORDENES'!$A684="","",'ORDENES'!$AA684)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IF('ORDENES'!$A685="","",IF('ORDENES'!$AC685="","-",'ORDENES'!$AC685))</f>
        <v/>
      </c>
      <c r="D707" s="3">
        <f>IF('ORDENES'!$A685="","",IF('ORDENES'!$V685="","-",'ORDENES'!$V685))</f>
        <v/>
      </c>
      <c r="E707" s="3">
        <f>IF('ORDENES'!$A685="","",IF('ORDENES'!$U685="","-",'ORDENES'!$U685))</f>
        <v/>
      </c>
      <c r="F707" s="3">
        <f>IF('ORDENES'!$A685="","",IF('ORDENES'!$W685="","-",'ORDENES'!$W685))</f>
        <v/>
      </c>
      <c r="G707" s="3">
        <f>IF('ORDENES'!$A685="","",IF('ORDENES'!$AB685="","-",'ORDENES'!$AB685))</f>
        <v/>
      </c>
      <c r="H707" s="3">
        <f>IF('ORDENES'!$A685="","",IF('ORDENES'!$AN685="","-",'ORDENES'!$AN685))</f>
        <v/>
      </c>
      <c r="I707" s="3">
        <f>IF('ORDENES'!$A685="","",IF('ORDENES'!$D685="","-",'ORDENES'!$D685))</f>
        <v/>
      </c>
      <c r="J707" s="3">
        <f>IF('ORDENES'!$A685="","",IF('ORDENES'!$E685="","-",'ORDENES'!$E685))</f>
        <v/>
      </c>
      <c r="K707" s="12">
        <f>IF('ORDENES'!$A685="","",IF('ORDENES'!$M685="",0,'ORDENES'!$M685))</f>
        <v/>
      </c>
      <c r="L707" s="3">
        <f>IF('ORDENES'!$A685="","",IF('ORDENES'!$N685="","-",'ORDENES'!$N685))</f>
        <v/>
      </c>
      <c r="M707" s="3">
        <f>IF('ORDENES'!$A685="","",'ORDENES'!$AA685)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IF('ORDENES'!$A686="","",IF('ORDENES'!$AC686="","-",'ORDENES'!$AC686))</f>
        <v/>
      </c>
      <c r="D708" s="3">
        <f>IF('ORDENES'!$A686="","",IF('ORDENES'!$V686="","-",'ORDENES'!$V686))</f>
        <v/>
      </c>
      <c r="E708" s="3">
        <f>IF('ORDENES'!$A686="","",IF('ORDENES'!$U686="","-",'ORDENES'!$U686))</f>
        <v/>
      </c>
      <c r="F708" s="3">
        <f>IF('ORDENES'!$A686="","",IF('ORDENES'!$W686="","-",'ORDENES'!$W686))</f>
        <v/>
      </c>
      <c r="G708" s="3">
        <f>IF('ORDENES'!$A686="","",IF('ORDENES'!$AB686="","-",'ORDENES'!$AB686))</f>
        <v/>
      </c>
      <c r="H708" s="3">
        <f>IF('ORDENES'!$A686="","",IF('ORDENES'!$AN686="","-",'ORDENES'!$AN686))</f>
        <v/>
      </c>
      <c r="I708" s="3">
        <f>IF('ORDENES'!$A686="","",IF('ORDENES'!$D686="","-",'ORDENES'!$D686))</f>
        <v/>
      </c>
      <c r="J708" s="3">
        <f>IF('ORDENES'!$A686="","",IF('ORDENES'!$E686="","-",'ORDENES'!$E686))</f>
        <v/>
      </c>
      <c r="K708" s="12">
        <f>IF('ORDENES'!$A686="","",IF('ORDENES'!$M686="",0,'ORDENES'!$M686))</f>
        <v/>
      </c>
      <c r="L708" s="3">
        <f>IF('ORDENES'!$A686="","",IF('ORDENES'!$N686="","-",'ORDENES'!$N686))</f>
        <v/>
      </c>
      <c r="M708" s="3">
        <f>IF('ORDENES'!$A686="","",'ORDENES'!$AA686)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IF('ORDENES'!$A687="","",IF('ORDENES'!$AC687="","-",'ORDENES'!$AC687))</f>
        <v/>
      </c>
      <c r="D709" s="3">
        <f>IF('ORDENES'!$A687="","",IF('ORDENES'!$V687="","-",'ORDENES'!$V687))</f>
        <v/>
      </c>
      <c r="E709" s="3">
        <f>IF('ORDENES'!$A687="","",IF('ORDENES'!$U687="","-",'ORDENES'!$U687))</f>
        <v/>
      </c>
      <c r="F709" s="3">
        <f>IF('ORDENES'!$A687="","",IF('ORDENES'!$W687="","-",'ORDENES'!$W687))</f>
        <v/>
      </c>
      <c r="G709" s="3">
        <f>IF('ORDENES'!$A687="","",IF('ORDENES'!$AB687="","-",'ORDENES'!$AB687))</f>
        <v/>
      </c>
      <c r="H709" s="3">
        <f>IF('ORDENES'!$A687="","",IF('ORDENES'!$AN687="","-",'ORDENES'!$AN687))</f>
        <v/>
      </c>
      <c r="I709" s="3">
        <f>IF('ORDENES'!$A687="","",IF('ORDENES'!$D687="","-",'ORDENES'!$D687))</f>
        <v/>
      </c>
      <c r="J709" s="3">
        <f>IF('ORDENES'!$A687="","",IF('ORDENES'!$E687="","-",'ORDENES'!$E687))</f>
        <v/>
      </c>
      <c r="K709" s="12">
        <f>IF('ORDENES'!$A687="","",IF('ORDENES'!$M687="",0,'ORDENES'!$M687))</f>
        <v/>
      </c>
      <c r="L709" s="3">
        <f>IF('ORDENES'!$A687="","",IF('ORDENES'!$N687="","-",'ORDENES'!$N687))</f>
        <v/>
      </c>
      <c r="M709" s="3">
        <f>IF('ORDENES'!$A687="","",'ORDENES'!$AA687)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IF('ORDENES'!$A688="","",IF('ORDENES'!$AC688="","-",'ORDENES'!$AC688))</f>
        <v/>
      </c>
      <c r="D710" s="3">
        <f>IF('ORDENES'!$A688="","",IF('ORDENES'!$V688="","-",'ORDENES'!$V688))</f>
        <v/>
      </c>
      <c r="E710" s="3">
        <f>IF('ORDENES'!$A688="","",IF('ORDENES'!$U688="","-",'ORDENES'!$U688))</f>
        <v/>
      </c>
      <c r="F710" s="3">
        <f>IF('ORDENES'!$A688="","",IF('ORDENES'!$W688="","-",'ORDENES'!$W688))</f>
        <v/>
      </c>
      <c r="G710" s="3">
        <f>IF('ORDENES'!$A688="","",IF('ORDENES'!$AB688="","-",'ORDENES'!$AB688))</f>
        <v/>
      </c>
      <c r="H710" s="3">
        <f>IF('ORDENES'!$A688="","",IF('ORDENES'!$AN688="","-",'ORDENES'!$AN688))</f>
        <v/>
      </c>
      <c r="I710" s="3">
        <f>IF('ORDENES'!$A688="","",IF('ORDENES'!$D688="","-",'ORDENES'!$D688))</f>
        <v/>
      </c>
      <c r="J710" s="3">
        <f>IF('ORDENES'!$A688="","",IF('ORDENES'!$E688="","-",'ORDENES'!$E688))</f>
        <v/>
      </c>
      <c r="K710" s="12">
        <f>IF('ORDENES'!$A688="","",IF('ORDENES'!$M688="",0,'ORDENES'!$M688))</f>
        <v/>
      </c>
      <c r="L710" s="3">
        <f>IF('ORDENES'!$A688="","",IF('ORDENES'!$N688="","-",'ORDENES'!$N688))</f>
        <v/>
      </c>
      <c r="M710" s="3">
        <f>IF('ORDENES'!$A688="","",'ORDENES'!$AA688)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IF('ORDENES'!$A689="","",IF('ORDENES'!$AC689="","-",'ORDENES'!$AC689))</f>
        <v/>
      </c>
      <c r="D711" s="3">
        <f>IF('ORDENES'!$A689="","",IF('ORDENES'!$V689="","-",'ORDENES'!$V689))</f>
        <v/>
      </c>
      <c r="E711" s="3">
        <f>IF('ORDENES'!$A689="","",IF('ORDENES'!$U689="","-",'ORDENES'!$U689))</f>
        <v/>
      </c>
      <c r="F711" s="3">
        <f>IF('ORDENES'!$A689="","",IF('ORDENES'!$W689="","-",'ORDENES'!$W689))</f>
        <v/>
      </c>
      <c r="G711" s="3">
        <f>IF('ORDENES'!$A689="","",IF('ORDENES'!$AB689="","-",'ORDENES'!$AB689))</f>
        <v/>
      </c>
      <c r="H711" s="3">
        <f>IF('ORDENES'!$A689="","",IF('ORDENES'!$AN689="","-",'ORDENES'!$AN689))</f>
        <v/>
      </c>
      <c r="I711" s="3">
        <f>IF('ORDENES'!$A689="","",IF('ORDENES'!$D689="","-",'ORDENES'!$D689))</f>
        <v/>
      </c>
      <c r="J711" s="3">
        <f>IF('ORDENES'!$A689="","",IF('ORDENES'!$E689="","-",'ORDENES'!$E689))</f>
        <v/>
      </c>
      <c r="K711" s="12">
        <f>IF('ORDENES'!$A689="","",IF('ORDENES'!$M689="",0,'ORDENES'!$M689))</f>
        <v/>
      </c>
      <c r="L711" s="3">
        <f>IF('ORDENES'!$A689="","",IF('ORDENES'!$N689="","-",'ORDENES'!$N689))</f>
        <v/>
      </c>
      <c r="M711" s="3">
        <f>IF('ORDENES'!$A689="","",'ORDENES'!$AA689)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IF('ORDENES'!$A690="","",IF('ORDENES'!$AC690="","-",'ORDENES'!$AC690))</f>
        <v/>
      </c>
      <c r="D712" s="3">
        <f>IF('ORDENES'!$A690="","",IF('ORDENES'!$V690="","-",'ORDENES'!$V690))</f>
        <v/>
      </c>
      <c r="E712" s="3">
        <f>IF('ORDENES'!$A690="","",IF('ORDENES'!$U690="","-",'ORDENES'!$U690))</f>
        <v/>
      </c>
      <c r="F712" s="3">
        <f>IF('ORDENES'!$A690="","",IF('ORDENES'!$W690="","-",'ORDENES'!$W690))</f>
        <v/>
      </c>
      <c r="G712" s="3">
        <f>IF('ORDENES'!$A690="","",IF('ORDENES'!$AB690="","-",'ORDENES'!$AB690))</f>
        <v/>
      </c>
      <c r="H712" s="3">
        <f>IF('ORDENES'!$A690="","",IF('ORDENES'!$AN690="","-",'ORDENES'!$AN690))</f>
        <v/>
      </c>
      <c r="I712" s="3">
        <f>IF('ORDENES'!$A690="","",IF('ORDENES'!$D690="","-",'ORDENES'!$D690))</f>
        <v/>
      </c>
      <c r="J712" s="3">
        <f>IF('ORDENES'!$A690="","",IF('ORDENES'!$E690="","-",'ORDENES'!$E690))</f>
        <v/>
      </c>
      <c r="K712" s="12">
        <f>IF('ORDENES'!$A690="","",IF('ORDENES'!$M690="",0,'ORDENES'!$M690))</f>
        <v/>
      </c>
      <c r="L712" s="3">
        <f>IF('ORDENES'!$A690="","",IF('ORDENES'!$N690="","-",'ORDENES'!$N690))</f>
        <v/>
      </c>
      <c r="M712" s="3">
        <f>IF('ORDENES'!$A690="","",'ORDENES'!$AA690)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IF('ORDENES'!$A691="","",IF('ORDENES'!$AC691="","-",'ORDENES'!$AC691))</f>
        <v/>
      </c>
      <c r="D713" s="3">
        <f>IF('ORDENES'!$A691="","",IF('ORDENES'!$V691="","-",'ORDENES'!$V691))</f>
        <v/>
      </c>
      <c r="E713" s="3">
        <f>IF('ORDENES'!$A691="","",IF('ORDENES'!$U691="","-",'ORDENES'!$U691))</f>
        <v/>
      </c>
      <c r="F713" s="3">
        <f>IF('ORDENES'!$A691="","",IF('ORDENES'!$W691="","-",'ORDENES'!$W691))</f>
        <v/>
      </c>
      <c r="G713" s="3">
        <f>IF('ORDENES'!$A691="","",IF('ORDENES'!$AB691="","-",'ORDENES'!$AB691))</f>
        <v/>
      </c>
      <c r="H713" s="3">
        <f>IF('ORDENES'!$A691="","",IF('ORDENES'!$AN691="","-",'ORDENES'!$AN691))</f>
        <v/>
      </c>
      <c r="I713" s="3">
        <f>IF('ORDENES'!$A691="","",IF('ORDENES'!$D691="","-",'ORDENES'!$D691))</f>
        <v/>
      </c>
      <c r="J713" s="3">
        <f>IF('ORDENES'!$A691="","",IF('ORDENES'!$E691="","-",'ORDENES'!$E691))</f>
        <v/>
      </c>
      <c r="K713" s="12">
        <f>IF('ORDENES'!$A691="","",IF('ORDENES'!$M691="",0,'ORDENES'!$M691))</f>
        <v/>
      </c>
      <c r="L713" s="3">
        <f>IF('ORDENES'!$A691="","",IF('ORDENES'!$N691="","-",'ORDENES'!$N691))</f>
        <v/>
      </c>
      <c r="M713" s="3">
        <f>IF('ORDENES'!$A691="","",'ORDENES'!$AA691)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IF('ORDENES'!$A692="","",IF('ORDENES'!$AC692="","-",'ORDENES'!$AC692))</f>
        <v/>
      </c>
      <c r="D714" s="3">
        <f>IF('ORDENES'!$A692="","",IF('ORDENES'!$V692="","-",'ORDENES'!$V692))</f>
        <v/>
      </c>
      <c r="E714" s="3">
        <f>IF('ORDENES'!$A692="","",IF('ORDENES'!$U692="","-",'ORDENES'!$U692))</f>
        <v/>
      </c>
      <c r="F714" s="3">
        <f>IF('ORDENES'!$A692="","",IF('ORDENES'!$W692="","-",'ORDENES'!$W692))</f>
        <v/>
      </c>
      <c r="G714" s="3">
        <f>IF('ORDENES'!$A692="","",IF('ORDENES'!$AB692="","-",'ORDENES'!$AB692))</f>
        <v/>
      </c>
      <c r="H714" s="3">
        <f>IF('ORDENES'!$A692="","",IF('ORDENES'!$AN692="","-",'ORDENES'!$AN692))</f>
        <v/>
      </c>
      <c r="I714" s="3">
        <f>IF('ORDENES'!$A692="","",IF('ORDENES'!$D692="","-",'ORDENES'!$D692))</f>
        <v/>
      </c>
      <c r="J714" s="3">
        <f>IF('ORDENES'!$A692="","",IF('ORDENES'!$E692="","-",'ORDENES'!$E692))</f>
        <v/>
      </c>
      <c r="K714" s="12">
        <f>IF('ORDENES'!$A692="","",IF('ORDENES'!$M692="",0,'ORDENES'!$M692))</f>
        <v/>
      </c>
      <c r="L714" s="3">
        <f>IF('ORDENES'!$A692="","",IF('ORDENES'!$N692="","-",'ORDENES'!$N692))</f>
        <v/>
      </c>
      <c r="M714" s="3">
        <f>IF('ORDENES'!$A692="","",'ORDENES'!$AA692)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IF('ORDENES'!$A693="","",IF('ORDENES'!$AC693="","-",'ORDENES'!$AC693))</f>
        <v/>
      </c>
      <c r="D715" s="3">
        <f>IF('ORDENES'!$A693="","",IF('ORDENES'!$V693="","-",'ORDENES'!$V693))</f>
        <v/>
      </c>
      <c r="E715" s="3">
        <f>IF('ORDENES'!$A693="","",IF('ORDENES'!$U693="","-",'ORDENES'!$U693))</f>
        <v/>
      </c>
      <c r="F715" s="3">
        <f>IF('ORDENES'!$A693="","",IF('ORDENES'!$W693="","-",'ORDENES'!$W693))</f>
        <v/>
      </c>
      <c r="G715" s="3">
        <f>IF('ORDENES'!$A693="","",IF('ORDENES'!$AB693="","-",'ORDENES'!$AB693))</f>
        <v/>
      </c>
      <c r="H715" s="3">
        <f>IF('ORDENES'!$A693="","",IF('ORDENES'!$AN693="","-",'ORDENES'!$AN693))</f>
        <v/>
      </c>
      <c r="I715" s="3">
        <f>IF('ORDENES'!$A693="","",IF('ORDENES'!$D693="","-",'ORDENES'!$D693))</f>
        <v/>
      </c>
      <c r="J715" s="3">
        <f>IF('ORDENES'!$A693="","",IF('ORDENES'!$E693="","-",'ORDENES'!$E693))</f>
        <v/>
      </c>
      <c r="K715" s="12">
        <f>IF('ORDENES'!$A693="","",IF('ORDENES'!$M693="",0,'ORDENES'!$M693))</f>
        <v/>
      </c>
      <c r="L715" s="3">
        <f>IF('ORDENES'!$A693="","",IF('ORDENES'!$N693="","-",'ORDENES'!$N693))</f>
        <v/>
      </c>
      <c r="M715" s="3">
        <f>IF('ORDENES'!$A693="","",'ORDENES'!$AA693)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IF('ORDENES'!$A694="","",IF('ORDENES'!$AC694="","-",'ORDENES'!$AC694))</f>
        <v/>
      </c>
      <c r="D716" s="3">
        <f>IF('ORDENES'!$A694="","",IF('ORDENES'!$V694="","-",'ORDENES'!$V694))</f>
        <v/>
      </c>
      <c r="E716" s="3">
        <f>IF('ORDENES'!$A694="","",IF('ORDENES'!$U694="","-",'ORDENES'!$U694))</f>
        <v/>
      </c>
      <c r="F716" s="3">
        <f>IF('ORDENES'!$A694="","",IF('ORDENES'!$W694="","-",'ORDENES'!$W694))</f>
        <v/>
      </c>
      <c r="G716" s="3">
        <f>IF('ORDENES'!$A694="","",IF('ORDENES'!$AB694="","-",'ORDENES'!$AB694))</f>
        <v/>
      </c>
      <c r="H716" s="3">
        <f>IF('ORDENES'!$A694="","",IF('ORDENES'!$AN694="","-",'ORDENES'!$AN694))</f>
        <v/>
      </c>
      <c r="I716" s="3">
        <f>IF('ORDENES'!$A694="","",IF('ORDENES'!$D694="","-",'ORDENES'!$D694))</f>
        <v/>
      </c>
      <c r="J716" s="3">
        <f>IF('ORDENES'!$A694="","",IF('ORDENES'!$E694="","-",'ORDENES'!$E694))</f>
        <v/>
      </c>
      <c r="K716" s="12">
        <f>IF('ORDENES'!$A694="","",IF('ORDENES'!$M694="",0,'ORDENES'!$M694))</f>
        <v/>
      </c>
      <c r="L716" s="3">
        <f>IF('ORDENES'!$A694="","",IF('ORDENES'!$N694="","-",'ORDENES'!$N694))</f>
        <v/>
      </c>
      <c r="M716" s="3">
        <f>IF('ORDENES'!$A694="","",'ORDENES'!$AA694)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IF('ORDENES'!$A695="","",IF('ORDENES'!$AC695="","-",'ORDENES'!$AC695))</f>
        <v/>
      </c>
      <c r="D717" s="3">
        <f>IF('ORDENES'!$A695="","",IF('ORDENES'!$V695="","-",'ORDENES'!$V695))</f>
        <v/>
      </c>
      <c r="E717" s="3">
        <f>IF('ORDENES'!$A695="","",IF('ORDENES'!$U695="","-",'ORDENES'!$U695))</f>
        <v/>
      </c>
      <c r="F717" s="3">
        <f>IF('ORDENES'!$A695="","",IF('ORDENES'!$W695="","-",'ORDENES'!$W695))</f>
        <v/>
      </c>
      <c r="G717" s="3">
        <f>IF('ORDENES'!$A695="","",IF('ORDENES'!$AB695="","-",'ORDENES'!$AB695))</f>
        <v/>
      </c>
      <c r="H717" s="3">
        <f>IF('ORDENES'!$A695="","",IF('ORDENES'!$AN695="","-",'ORDENES'!$AN695))</f>
        <v/>
      </c>
      <c r="I717" s="3">
        <f>IF('ORDENES'!$A695="","",IF('ORDENES'!$D695="","-",'ORDENES'!$D695))</f>
        <v/>
      </c>
      <c r="J717" s="3">
        <f>IF('ORDENES'!$A695="","",IF('ORDENES'!$E695="","-",'ORDENES'!$E695))</f>
        <v/>
      </c>
      <c r="K717" s="12">
        <f>IF('ORDENES'!$A695="","",IF('ORDENES'!$M695="",0,'ORDENES'!$M695))</f>
        <v/>
      </c>
      <c r="L717" s="3">
        <f>IF('ORDENES'!$A695="","",IF('ORDENES'!$N695="","-",'ORDENES'!$N695))</f>
        <v/>
      </c>
      <c r="M717" s="3">
        <f>IF('ORDENES'!$A695="","",'ORDENES'!$AA695)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IF('ORDENES'!$A696="","",IF('ORDENES'!$AC696="","-",'ORDENES'!$AC696))</f>
        <v/>
      </c>
      <c r="D718" s="3">
        <f>IF('ORDENES'!$A696="","",IF('ORDENES'!$V696="","-",'ORDENES'!$V696))</f>
        <v/>
      </c>
      <c r="E718" s="3">
        <f>IF('ORDENES'!$A696="","",IF('ORDENES'!$U696="","-",'ORDENES'!$U696))</f>
        <v/>
      </c>
      <c r="F718" s="3">
        <f>IF('ORDENES'!$A696="","",IF('ORDENES'!$W696="","-",'ORDENES'!$W696))</f>
        <v/>
      </c>
      <c r="G718" s="3">
        <f>IF('ORDENES'!$A696="","",IF('ORDENES'!$AB696="","-",'ORDENES'!$AB696))</f>
        <v/>
      </c>
      <c r="H718" s="3">
        <f>IF('ORDENES'!$A696="","",IF('ORDENES'!$AN696="","-",'ORDENES'!$AN696))</f>
        <v/>
      </c>
      <c r="I718" s="3">
        <f>IF('ORDENES'!$A696="","",IF('ORDENES'!$D696="","-",'ORDENES'!$D696))</f>
        <v/>
      </c>
      <c r="J718" s="3">
        <f>IF('ORDENES'!$A696="","",IF('ORDENES'!$E696="","-",'ORDENES'!$E696))</f>
        <v/>
      </c>
      <c r="K718" s="12">
        <f>IF('ORDENES'!$A696="","",IF('ORDENES'!$M696="",0,'ORDENES'!$M696))</f>
        <v/>
      </c>
      <c r="L718" s="3">
        <f>IF('ORDENES'!$A696="","",IF('ORDENES'!$N696="","-",'ORDENES'!$N696))</f>
        <v/>
      </c>
      <c r="M718" s="3">
        <f>IF('ORDENES'!$A696="","",'ORDENES'!$AA696)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IF('ORDENES'!$A697="","",IF('ORDENES'!$AC697="","-",'ORDENES'!$AC697))</f>
        <v/>
      </c>
      <c r="D719" s="3">
        <f>IF('ORDENES'!$A697="","",IF('ORDENES'!$V697="","-",'ORDENES'!$V697))</f>
        <v/>
      </c>
      <c r="E719" s="3">
        <f>IF('ORDENES'!$A697="","",IF('ORDENES'!$U697="","-",'ORDENES'!$U697))</f>
        <v/>
      </c>
      <c r="F719" s="3">
        <f>IF('ORDENES'!$A697="","",IF('ORDENES'!$W697="","-",'ORDENES'!$W697))</f>
        <v/>
      </c>
      <c r="G719" s="3">
        <f>IF('ORDENES'!$A697="","",IF('ORDENES'!$AB697="","-",'ORDENES'!$AB697))</f>
        <v/>
      </c>
      <c r="H719" s="3">
        <f>IF('ORDENES'!$A697="","",IF('ORDENES'!$AN697="","-",'ORDENES'!$AN697))</f>
        <v/>
      </c>
      <c r="I719" s="3">
        <f>IF('ORDENES'!$A697="","",IF('ORDENES'!$D697="","-",'ORDENES'!$D697))</f>
        <v/>
      </c>
      <c r="J719" s="3">
        <f>IF('ORDENES'!$A697="","",IF('ORDENES'!$E697="","-",'ORDENES'!$E697))</f>
        <v/>
      </c>
      <c r="K719" s="12">
        <f>IF('ORDENES'!$A697="","",IF('ORDENES'!$M697="",0,'ORDENES'!$M697))</f>
        <v/>
      </c>
      <c r="L719" s="3">
        <f>IF('ORDENES'!$A697="","",IF('ORDENES'!$N697="","-",'ORDENES'!$N697))</f>
        <v/>
      </c>
      <c r="M719" s="3">
        <f>IF('ORDENES'!$A697="","",'ORDENES'!$AA697)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IF('ORDENES'!$A698="","",IF('ORDENES'!$AC698="","-",'ORDENES'!$AC698))</f>
        <v/>
      </c>
      <c r="D720" s="3">
        <f>IF('ORDENES'!$A698="","",IF('ORDENES'!$V698="","-",'ORDENES'!$V698))</f>
        <v/>
      </c>
      <c r="E720" s="3">
        <f>IF('ORDENES'!$A698="","",IF('ORDENES'!$U698="","-",'ORDENES'!$U698))</f>
        <v/>
      </c>
      <c r="F720" s="3">
        <f>IF('ORDENES'!$A698="","",IF('ORDENES'!$W698="","-",'ORDENES'!$W698))</f>
        <v/>
      </c>
      <c r="G720" s="3">
        <f>IF('ORDENES'!$A698="","",IF('ORDENES'!$AB698="","-",'ORDENES'!$AB698))</f>
        <v/>
      </c>
      <c r="H720" s="3">
        <f>IF('ORDENES'!$A698="","",IF('ORDENES'!$AN698="","-",'ORDENES'!$AN698))</f>
        <v/>
      </c>
      <c r="I720" s="3">
        <f>IF('ORDENES'!$A698="","",IF('ORDENES'!$D698="","-",'ORDENES'!$D698))</f>
        <v/>
      </c>
      <c r="J720" s="3">
        <f>IF('ORDENES'!$A698="","",IF('ORDENES'!$E698="","-",'ORDENES'!$E698))</f>
        <v/>
      </c>
      <c r="K720" s="12">
        <f>IF('ORDENES'!$A698="","",IF('ORDENES'!$M698="",0,'ORDENES'!$M698))</f>
        <v/>
      </c>
      <c r="L720" s="3">
        <f>IF('ORDENES'!$A698="","",IF('ORDENES'!$N698="","-",'ORDENES'!$N698))</f>
        <v/>
      </c>
      <c r="M720" s="3">
        <f>IF('ORDENES'!$A698="","",'ORDENES'!$AA698)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IF('ORDENES'!$A699="","",IF('ORDENES'!$AC699="","-",'ORDENES'!$AC699))</f>
        <v/>
      </c>
      <c r="D721" s="3">
        <f>IF('ORDENES'!$A699="","",IF('ORDENES'!$V699="","-",'ORDENES'!$V699))</f>
        <v/>
      </c>
      <c r="E721" s="3">
        <f>IF('ORDENES'!$A699="","",IF('ORDENES'!$U699="","-",'ORDENES'!$U699))</f>
        <v/>
      </c>
      <c r="F721" s="3">
        <f>IF('ORDENES'!$A699="","",IF('ORDENES'!$W699="","-",'ORDENES'!$W699))</f>
        <v/>
      </c>
      <c r="G721" s="3">
        <f>IF('ORDENES'!$A699="","",IF('ORDENES'!$AB699="","-",'ORDENES'!$AB699))</f>
        <v/>
      </c>
      <c r="H721" s="3">
        <f>IF('ORDENES'!$A699="","",IF('ORDENES'!$AN699="","-",'ORDENES'!$AN699))</f>
        <v/>
      </c>
      <c r="I721" s="3">
        <f>IF('ORDENES'!$A699="","",IF('ORDENES'!$D699="","-",'ORDENES'!$D699))</f>
        <v/>
      </c>
      <c r="J721" s="3">
        <f>IF('ORDENES'!$A699="","",IF('ORDENES'!$E699="","-",'ORDENES'!$E699))</f>
        <v/>
      </c>
      <c r="K721" s="12">
        <f>IF('ORDENES'!$A699="","",IF('ORDENES'!$M699="",0,'ORDENES'!$M699))</f>
        <v/>
      </c>
      <c r="L721" s="3">
        <f>IF('ORDENES'!$A699="","",IF('ORDENES'!$N699="","-",'ORDENES'!$N699))</f>
        <v/>
      </c>
      <c r="M721" s="3">
        <f>IF('ORDENES'!$A699="","",'ORDENES'!$AA699)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IF('ORDENES'!$A700="","",IF('ORDENES'!$AC700="","-",'ORDENES'!$AC700))</f>
        <v/>
      </c>
      <c r="D722" s="3">
        <f>IF('ORDENES'!$A700="","",IF('ORDENES'!$V700="","-",'ORDENES'!$V700))</f>
        <v/>
      </c>
      <c r="E722" s="3">
        <f>IF('ORDENES'!$A700="","",IF('ORDENES'!$U700="","-",'ORDENES'!$U700))</f>
        <v/>
      </c>
      <c r="F722" s="3">
        <f>IF('ORDENES'!$A700="","",IF('ORDENES'!$W700="","-",'ORDENES'!$W700))</f>
        <v/>
      </c>
      <c r="G722" s="3">
        <f>IF('ORDENES'!$A700="","",IF('ORDENES'!$AB700="","-",'ORDENES'!$AB700))</f>
        <v/>
      </c>
      <c r="H722" s="3">
        <f>IF('ORDENES'!$A700="","",IF('ORDENES'!$AN700="","-",'ORDENES'!$AN700))</f>
        <v/>
      </c>
      <c r="I722" s="3">
        <f>IF('ORDENES'!$A700="","",IF('ORDENES'!$D700="","-",'ORDENES'!$D700))</f>
        <v/>
      </c>
      <c r="J722" s="3">
        <f>IF('ORDENES'!$A700="","",IF('ORDENES'!$E700="","-",'ORDENES'!$E700))</f>
        <v/>
      </c>
      <c r="K722" s="12">
        <f>IF('ORDENES'!$A700="","",IF('ORDENES'!$M700="",0,'ORDENES'!$M700))</f>
        <v/>
      </c>
      <c r="L722" s="3">
        <f>IF('ORDENES'!$A700="","",IF('ORDENES'!$N700="","-",'ORDENES'!$N700))</f>
        <v/>
      </c>
      <c r="M722" s="3">
        <f>IF('ORDENES'!$A700="","",'ORDENES'!$AA700)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IF('ORDENES'!$A701="","",IF('ORDENES'!$AC701="","-",'ORDENES'!$AC701))</f>
        <v/>
      </c>
      <c r="D723" s="3">
        <f>IF('ORDENES'!$A701="","",IF('ORDENES'!$V701="","-",'ORDENES'!$V701))</f>
        <v/>
      </c>
      <c r="E723" s="3">
        <f>IF('ORDENES'!$A701="","",IF('ORDENES'!$U701="","-",'ORDENES'!$U701))</f>
        <v/>
      </c>
      <c r="F723" s="3">
        <f>IF('ORDENES'!$A701="","",IF('ORDENES'!$W701="","-",'ORDENES'!$W701))</f>
        <v/>
      </c>
      <c r="G723" s="3">
        <f>IF('ORDENES'!$A701="","",IF('ORDENES'!$AB701="","-",'ORDENES'!$AB701))</f>
        <v/>
      </c>
      <c r="H723" s="3">
        <f>IF('ORDENES'!$A701="","",IF('ORDENES'!$AN701="","-",'ORDENES'!$AN701))</f>
        <v/>
      </c>
      <c r="I723" s="3">
        <f>IF('ORDENES'!$A701="","",IF('ORDENES'!$D701="","-",'ORDENES'!$D701))</f>
        <v/>
      </c>
      <c r="J723" s="3">
        <f>IF('ORDENES'!$A701="","",IF('ORDENES'!$E701="","-",'ORDENES'!$E701))</f>
        <v/>
      </c>
      <c r="K723" s="12">
        <f>IF('ORDENES'!$A701="","",IF('ORDENES'!$M701="",0,'ORDENES'!$M701))</f>
        <v/>
      </c>
      <c r="L723" s="3">
        <f>IF('ORDENES'!$A701="","",IF('ORDENES'!$N701="","-",'ORDENES'!$N701))</f>
        <v/>
      </c>
      <c r="M723" s="3">
        <f>IF('ORDENES'!$A701="","",'ORDENES'!$AA701)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IF('ORDENES'!$A702="","",IF('ORDENES'!$AC702="","-",'ORDENES'!$AC702))</f>
        <v/>
      </c>
      <c r="D724" s="3">
        <f>IF('ORDENES'!$A702="","",IF('ORDENES'!$V702="","-",'ORDENES'!$V702))</f>
        <v/>
      </c>
      <c r="E724" s="3">
        <f>IF('ORDENES'!$A702="","",IF('ORDENES'!$U702="","-",'ORDENES'!$U702))</f>
        <v/>
      </c>
      <c r="F724" s="3">
        <f>IF('ORDENES'!$A702="","",IF('ORDENES'!$W702="","-",'ORDENES'!$W702))</f>
        <v/>
      </c>
      <c r="G724" s="3">
        <f>IF('ORDENES'!$A702="","",IF('ORDENES'!$AB702="","-",'ORDENES'!$AB702))</f>
        <v/>
      </c>
      <c r="H724" s="3">
        <f>IF('ORDENES'!$A702="","",IF('ORDENES'!$AN702="","-",'ORDENES'!$AN702))</f>
        <v/>
      </c>
      <c r="I724" s="3">
        <f>IF('ORDENES'!$A702="","",IF('ORDENES'!$D702="","-",'ORDENES'!$D702))</f>
        <v/>
      </c>
      <c r="J724" s="3">
        <f>IF('ORDENES'!$A702="","",IF('ORDENES'!$E702="","-",'ORDENES'!$E702))</f>
        <v/>
      </c>
      <c r="K724" s="12">
        <f>IF('ORDENES'!$A702="","",IF('ORDENES'!$M702="",0,'ORDENES'!$M702))</f>
        <v/>
      </c>
      <c r="L724" s="3">
        <f>IF('ORDENES'!$A702="","",IF('ORDENES'!$N702="","-",'ORDENES'!$N702))</f>
        <v/>
      </c>
      <c r="M724" s="3">
        <f>IF('ORDENES'!$A702="","",'ORDENES'!$AA702)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IF('ORDENES'!$A703="","",IF('ORDENES'!$AC703="","-",'ORDENES'!$AC703))</f>
        <v/>
      </c>
      <c r="D725" s="3">
        <f>IF('ORDENES'!$A703="","",IF('ORDENES'!$V703="","-",'ORDENES'!$V703))</f>
        <v/>
      </c>
      <c r="E725" s="3">
        <f>IF('ORDENES'!$A703="","",IF('ORDENES'!$U703="","-",'ORDENES'!$U703))</f>
        <v/>
      </c>
      <c r="F725" s="3">
        <f>IF('ORDENES'!$A703="","",IF('ORDENES'!$W703="","-",'ORDENES'!$W703))</f>
        <v/>
      </c>
      <c r="G725" s="3">
        <f>IF('ORDENES'!$A703="","",IF('ORDENES'!$AB703="","-",'ORDENES'!$AB703))</f>
        <v/>
      </c>
      <c r="H725" s="3">
        <f>IF('ORDENES'!$A703="","",IF('ORDENES'!$AN703="","-",'ORDENES'!$AN703))</f>
        <v/>
      </c>
      <c r="I725" s="3">
        <f>IF('ORDENES'!$A703="","",IF('ORDENES'!$D703="","-",'ORDENES'!$D703))</f>
        <v/>
      </c>
      <c r="J725" s="3">
        <f>IF('ORDENES'!$A703="","",IF('ORDENES'!$E703="","-",'ORDENES'!$E703))</f>
        <v/>
      </c>
      <c r="K725" s="12">
        <f>IF('ORDENES'!$A703="","",IF('ORDENES'!$M703="",0,'ORDENES'!$M703))</f>
        <v/>
      </c>
      <c r="L725" s="3">
        <f>IF('ORDENES'!$A703="","",IF('ORDENES'!$N703="","-",'ORDENES'!$N703))</f>
        <v/>
      </c>
      <c r="M725" s="3">
        <f>IF('ORDENES'!$A703="","",'ORDENES'!$AA703)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IF('ORDENES'!$A704="","",IF('ORDENES'!$AC704="","-",'ORDENES'!$AC704))</f>
        <v/>
      </c>
      <c r="D726" s="3">
        <f>IF('ORDENES'!$A704="","",IF('ORDENES'!$V704="","-",'ORDENES'!$V704))</f>
        <v/>
      </c>
      <c r="E726" s="3">
        <f>IF('ORDENES'!$A704="","",IF('ORDENES'!$U704="","-",'ORDENES'!$U704))</f>
        <v/>
      </c>
      <c r="F726" s="3">
        <f>IF('ORDENES'!$A704="","",IF('ORDENES'!$W704="","-",'ORDENES'!$W704))</f>
        <v/>
      </c>
      <c r="G726" s="3">
        <f>IF('ORDENES'!$A704="","",IF('ORDENES'!$AB704="","-",'ORDENES'!$AB704))</f>
        <v/>
      </c>
      <c r="H726" s="3">
        <f>IF('ORDENES'!$A704="","",IF('ORDENES'!$AN704="","-",'ORDENES'!$AN704))</f>
        <v/>
      </c>
      <c r="I726" s="3">
        <f>IF('ORDENES'!$A704="","",IF('ORDENES'!$D704="","-",'ORDENES'!$D704))</f>
        <v/>
      </c>
      <c r="J726" s="3">
        <f>IF('ORDENES'!$A704="","",IF('ORDENES'!$E704="","-",'ORDENES'!$E704))</f>
        <v/>
      </c>
      <c r="K726" s="12">
        <f>IF('ORDENES'!$A704="","",IF('ORDENES'!$M704="",0,'ORDENES'!$M704))</f>
        <v/>
      </c>
      <c r="L726" s="3">
        <f>IF('ORDENES'!$A704="","",IF('ORDENES'!$N704="","-",'ORDENES'!$N704))</f>
        <v/>
      </c>
      <c r="M726" s="3">
        <f>IF('ORDENES'!$A704="","",'ORDENES'!$AA704)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IF('ORDENES'!$A705="","",IF('ORDENES'!$AC705="","-",'ORDENES'!$AC705))</f>
        <v/>
      </c>
      <c r="D727" s="3">
        <f>IF('ORDENES'!$A705="","",IF('ORDENES'!$V705="","-",'ORDENES'!$V705))</f>
        <v/>
      </c>
      <c r="E727" s="3">
        <f>IF('ORDENES'!$A705="","",IF('ORDENES'!$U705="","-",'ORDENES'!$U705))</f>
        <v/>
      </c>
      <c r="F727" s="3">
        <f>IF('ORDENES'!$A705="","",IF('ORDENES'!$W705="","-",'ORDENES'!$W705))</f>
        <v/>
      </c>
      <c r="G727" s="3">
        <f>IF('ORDENES'!$A705="","",IF('ORDENES'!$AB705="","-",'ORDENES'!$AB705))</f>
        <v/>
      </c>
      <c r="H727" s="3">
        <f>IF('ORDENES'!$A705="","",IF('ORDENES'!$AN705="","-",'ORDENES'!$AN705))</f>
        <v/>
      </c>
      <c r="I727" s="3">
        <f>IF('ORDENES'!$A705="","",IF('ORDENES'!$D705="","-",'ORDENES'!$D705))</f>
        <v/>
      </c>
      <c r="J727" s="3">
        <f>IF('ORDENES'!$A705="","",IF('ORDENES'!$E705="","-",'ORDENES'!$E705))</f>
        <v/>
      </c>
      <c r="K727" s="12">
        <f>IF('ORDENES'!$A705="","",IF('ORDENES'!$M705="",0,'ORDENES'!$M705))</f>
        <v/>
      </c>
      <c r="L727" s="3">
        <f>IF('ORDENES'!$A705="","",IF('ORDENES'!$N705="","-",'ORDENES'!$N705))</f>
        <v/>
      </c>
      <c r="M727" s="3">
        <f>IF('ORDENES'!$A705="","",'ORDENES'!$AA705)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IF('ORDENES'!$A706="","",IF('ORDENES'!$AC706="","-",'ORDENES'!$AC706))</f>
        <v/>
      </c>
      <c r="D728" s="3">
        <f>IF('ORDENES'!$A706="","",IF('ORDENES'!$V706="","-",'ORDENES'!$V706))</f>
        <v/>
      </c>
      <c r="E728" s="3">
        <f>IF('ORDENES'!$A706="","",IF('ORDENES'!$U706="","-",'ORDENES'!$U706))</f>
        <v/>
      </c>
      <c r="F728" s="3">
        <f>IF('ORDENES'!$A706="","",IF('ORDENES'!$W706="","-",'ORDENES'!$W706))</f>
        <v/>
      </c>
      <c r="G728" s="3">
        <f>IF('ORDENES'!$A706="","",IF('ORDENES'!$AB706="","-",'ORDENES'!$AB706))</f>
        <v/>
      </c>
      <c r="H728" s="3">
        <f>IF('ORDENES'!$A706="","",IF('ORDENES'!$AN706="","-",'ORDENES'!$AN706))</f>
        <v/>
      </c>
      <c r="I728" s="3">
        <f>IF('ORDENES'!$A706="","",IF('ORDENES'!$D706="","-",'ORDENES'!$D706))</f>
        <v/>
      </c>
      <c r="J728" s="3">
        <f>IF('ORDENES'!$A706="","",IF('ORDENES'!$E706="","-",'ORDENES'!$E706))</f>
        <v/>
      </c>
      <c r="K728" s="12">
        <f>IF('ORDENES'!$A706="","",IF('ORDENES'!$M706="",0,'ORDENES'!$M706))</f>
        <v/>
      </c>
      <c r="L728" s="3">
        <f>IF('ORDENES'!$A706="","",IF('ORDENES'!$N706="","-",'ORDENES'!$N706))</f>
        <v/>
      </c>
      <c r="M728" s="3">
        <f>IF('ORDENES'!$A706="","",'ORDENES'!$AA706)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IF('ORDENES'!$A707="","",IF('ORDENES'!$AC707="","-",'ORDENES'!$AC707))</f>
        <v/>
      </c>
      <c r="D729" s="3">
        <f>IF('ORDENES'!$A707="","",IF('ORDENES'!$V707="","-",'ORDENES'!$V707))</f>
        <v/>
      </c>
      <c r="E729" s="3">
        <f>IF('ORDENES'!$A707="","",IF('ORDENES'!$U707="","-",'ORDENES'!$U707))</f>
        <v/>
      </c>
      <c r="F729" s="3">
        <f>IF('ORDENES'!$A707="","",IF('ORDENES'!$W707="","-",'ORDENES'!$W707))</f>
        <v/>
      </c>
      <c r="G729" s="3">
        <f>IF('ORDENES'!$A707="","",IF('ORDENES'!$AB707="","-",'ORDENES'!$AB707))</f>
        <v/>
      </c>
      <c r="H729" s="3">
        <f>IF('ORDENES'!$A707="","",IF('ORDENES'!$AN707="","-",'ORDENES'!$AN707))</f>
        <v/>
      </c>
      <c r="I729" s="3">
        <f>IF('ORDENES'!$A707="","",IF('ORDENES'!$D707="","-",'ORDENES'!$D707))</f>
        <v/>
      </c>
      <c r="J729" s="3">
        <f>IF('ORDENES'!$A707="","",IF('ORDENES'!$E707="","-",'ORDENES'!$E707))</f>
        <v/>
      </c>
      <c r="K729" s="12">
        <f>IF('ORDENES'!$A707="","",IF('ORDENES'!$M707="",0,'ORDENES'!$M707))</f>
        <v/>
      </c>
      <c r="L729" s="3">
        <f>IF('ORDENES'!$A707="","",IF('ORDENES'!$N707="","-",'ORDENES'!$N707))</f>
        <v/>
      </c>
      <c r="M729" s="3">
        <f>IF('ORDENES'!$A707="","",'ORDENES'!$AA707)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IF('ORDENES'!$A708="","",IF('ORDENES'!$AC708="","-",'ORDENES'!$AC708))</f>
        <v/>
      </c>
      <c r="D730" s="3">
        <f>IF('ORDENES'!$A708="","",IF('ORDENES'!$V708="","-",'ORDENES'!$V708))</f>
        <v/>
      </c>
      <c r="E730" s="3">
        <f>IF('ORDENES'!$A708="","",IF('ORDENES'!$U708="","-",'ORDENES'!$U708))</f>
        <v/>
      </c>
      <c r="F730" s="3">
        <f>IF('ORDENES'!$A708="","",IF('ORDENES'!$W708="","-",'ORDENES'!$W708))</f>
        <v/>
      </c>
      <c r="G730" s="3">
        <f>IF('ORDENES'!$A708="","",IF('ORDENES'!$AB708="","-",'ORDENES'!$AB708))</f>
        <v/>
      </c>
      <c r="H730" s="3">
        <f>IF('ORDENES'!$A708="","",IF('ORDENES'!$AN708="","-",'ORDENES'!$AN708))</f>
        <v/>
      </c>
      <c r="I730" s="3">
        <f>IF('ORDENES'!$A708="","",IF('ORDENES'!$D708="","-",'ORDENES'!$D708))</f>
        <v/>
      </c>
      <c r="J730" s="3">
        <f>IF('ORDENES'!$A708="","",IF('ORDENES'!$E708="","-",'ORDENES'!$E708))</f>
        <v/>
      </c>
      <c r="K730" s="12">
        <f>IF('ORDENES'!$A708="","",IF('ORDENES'!$M708="",0,'ORDENES'!$M708))</f>
        <v/>
      </c>
      <c r="L730" s="3">
        <f>IF('ORDENES'!$A708="","",IF('ORDENES'!$N708="","-",'ORDENES'!$N708))</f>
        <v/>
      </c>
      <c r="M730" s="3">
        <f>IF('ORDENES'!$A708="","",'ORDENES'!$AA708)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IF('ORDENES'!$A709="","",IF('ORDENES'!$AC709="","-",'ORDENES'!$AC709))</f>
        <v/>
      </c>
      <c r="D731" s="3">
        <f>IF('ORDENES'!$A709="","",IF('ORDENES'!$V709="","-",'ORDENES'!$V709))</f>
        <v/>
      </c>
      <c r="E731" s="3">
        <f>IF('ORDENES'!$A709="","",IF('ORDENES'!$U709="","-",'ORDENES'!$U709))</f>
        <v/>
      </c>
      <c r="F731" s="3">
        <f>IF('ORDENES'!$A709="","",IF('ORDENES'!$W709="","-",'ORDENES'!$W709))</f>
        <v/>
      </c>
      <c r="G731" s="3">
        <f>IF('ORDENES'!$A709="","",IF('ORDENES'!$AB709="","-",'ORDENES'!$AB709))</f>
        <v/>
      </c>
      <c r="H731" s="3">
        <f>IF('ORDENES'!$A709="","",IF('ORDENES'!$AN709="","-",'ORDENES'!$AN709))</f>
        <v/>
      </c>
      <c r="I731" s="3">
        <f>IF('ORDENES'!$A709="","",IF('ORDENES'!$D709="","-",'ORDENES'!$D709))</f>
        <v/>
      </c>
      <c r="J731" s="3">
        <f>IF('ORDENES'!$A709="","",IF('ORDENES'!$E709="","-",'ORDENES'!$E709))</f>
        <v/>
      </c>
      <c r="K731" s="12">
        <f>IF('ORDENES'!$A709="","",IF('ORDENES'!$M709="",0,'ORDENES'!$M709))</f>
        <v/>
      </c>
      <c r="L731" s="3">
        <f>IF('ORDENES'!$A709="","",IF('ORDENES'!$N709="","-",'ORDENES'!$N709))</f>
        <v/>
      </c>
      <c r="M731" s="3">
        <f>IF('ORDENES'!$A709="","",'ORDENES'!$AA709)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IF('ORDENES'!$A710="","",IF('ORDENES'!$AC710="","-",'ORDENES'!$AC710))</f>
        <v/>
      </c>
      <c r="D732" s="3">
        <f>IF('ORDENES'!$A710="","",IF('ORDENES'!$V710="","-",'ORDENES'!$V710))</f>
        <v/>
      </c>
      <c r="E732" s="3">
        <f>IF('ORDENES'!$A710="","",IF('ORDENES'!$U710="","-",'ORDENES'!$U710))</f>
        <v/>
      </c>
      <c r="F732" s="3">
        <f>IF('ORDENES'!$A710="","",IF('ORDENES'!$W710="","-",'ORDENES'!$W710))</f>
        <v/>
      </c>
      <c r="G732" s="3">
        <f>IF('ORDENES'!$A710="","",IF('ORDENES'!$AB710="","-",'ORDENES'!$AB710))</f>
        <v/>
      </c>
      <c r="H732" s="3">
        <f>IF('ORDENES'!$A710="","",IF('ORDENES'!$AN710="","-",'ORDENES'!$AN710))</f>
        <v/>
      </c>
      <c r="I732" s="3">
        <f>IF('ORDENES'!$A710="","",IF('ORDENES'!$D710="","-",'ORDENES'!$D710))</f>
        <v/>
      </c>
      <c r="J732" s="3">
        <f>IF('ORDENES'!$A710="","",IF('ORDENES'!$E710="","-",'ORDENES'!$E710))</f>
        <v/>
      </c>
      <c r="K732" s="12">
        <f>IF('ORDENES'!$A710="","",IF('ORDENES'!$M710="",0,'ORDENES'!$M710))</f>
        <v/>
      </c>
      <c r="L732" s="3">
        <f>IF('ORDENES'!$A710="","",IF('ORDENES'!$N710="","-",'ORDENES'!$N710))</f>
        <v/>
      </c>
      <c r="M732" s="3">
        <f>IF('ORDENES'!$A710="","",'ORDENES'!$AA710)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IF('ORDENES'!$A711="","",IF('ORDENES'!$AC711="","-",'ORDENES'!$AC711))</f>
        <v/>
      </c>
      <c r="D733" s="3">
        <f>IF('ORDENES'!$A711="","",IF('ORDENES'!$V711="","-",'ORDENES'!$V711))</f>
        <v/>
      </c>
      <c r="E733" s="3">
        <f>IF('ORDENES'!$A711="","",IF('ORDENES'!$U711="","-",'ORDENES'!$U711))</f>
        <v/>
      </c>
      <c r="F733" s="3">
        <f>IF('ORDENES'!$A711="","",IF('ORDENES'!$W711="","-",'ORDENES'!$W711))</f>
        <v/>
      </c>
      <c r="G733" s="3">
        <f>IF('ORDENES'!$A711="","",IF('ORDENES'!$AB711="","-",'ORDENES'!$AB711))</f>
        <v/>
      </c>
      <c r="H733" s="3">
        <f>IF('ORDENES'!$A711="","",IF('ORDENES'!$AN711="","-",'ORDENES'!$AN711))</f>
        <v/>
      </c>
      <c r="I733" s="3">
        <f>IF('ORDENES'!$A711="","",IF('ORDENES'!$D711="","-",'ORDENES'!$D711))</f>
        <v/>
      </c>
      <c r="J733" s="3">
        <f>IF('ORDENES'!$A711="","",IF('ORDENES'!$E711="","-",'ORDENES'!$E711))</f>
        <v/>
      </c>
      <c r="K733" s="12">
        <f>IF('ORDENES'!$A711="","",IF('ORDENES'!$M711="",0,'ORDENES'!$M711))</f>
        <v/>
      </c>
      <c r="L733" s="3">
        <f>IF('ORDENES'!$A711="","",IF('ORDENES'!$N711="","-",'ORDENES'!$N711))</f>
        <v/>
      </c>
      <c r="M733" s="3">
        <f>IF('ORDENES'!$A711="","",'ORDENES'!$AA711)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IF('ORDENES'!$A712="","",IF('ORDENES'!$AC712="","-",'ORDENES'!$AC712))</f>
        <v/>
      </c>
      <c r="D734" s="3">
        <f>IF('ORDENES'!$A712="","",IF('ORDENES'!$V712="","-",'ORDENES'!$V712))</f>
        <v/>
      </c>
      <c r="E734" s="3">
        <f>IF('ORDENES'!$A712="","",IF('ORDENES'!$U712="","-",'ORDENES'!$U712))</f>
        <v/>
      </c>
      <c r="F734" s="3">
        <f>IF('ORDENES'!$A712="","",IF('ORDENES'!$W712="","-",'ORDENES'!$W712))</f>
        <v/>
      </c>
      <c r="G734" s="3">
        <f>IF('ORDENES'!$A712="","",IF('ORDENES'!$AB712="","-",'ORDENES'!$AB712))</f>
        <v/>
      </c>
      <c r="H734" s="3">
        <f>IF('ORDENES'!$A712="","",IF('ORDENES'!$AN712="","-",'ORDENES'!$AN712))</f>
        <v/>
      </c>
      <c r="I734" s="3">
        <f>IF('ORDENES'!$A712="","",IF('ORDENES'!$D712="","-",'ORDENES'!$D712))</f>
        <v/>
      </c>
      <c r="J734" s="3">
        <f>IF('ORDENES'!$A712="","",IF('ORDENES'!$E712="","-",'ORDENES'!$E712))</f>
        <v/>
      </c>
      <c r="K734" s="12">
        <f>IF('ORDENES'!$A712="","",IF('ORDENES'!$M712="",0,'ORDENES'!$M712))</f>
        <v/>
      </c>
      <c r="L734" s="3">
        <f>IF('ORDENES'!$A712="","",IF('ORDENES'!$N712="","-",'ORDENES'!$N712))</f>
        <v/>
      </c>
      <c r="M734" s="3">
        <f>IF('ORDENES'!$A712="","",'ORDENES'!$AA712)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IF('ORDENES'!$A713="","",IF('ORDENES'!$AC713="","-",'ORDENES'!$AC713))</f>
        <v/>
      </c>
      <c r="D735" s="3">
        <f>IF('ORDENES'!$A713="","",IF('ORDENES'!$V713="","-",'ORDENES'!$V713))</f>
        <v/>
      </c>
      <c r="E735" s="3">
        <f>IF('ORDENES'!$A713="","",IF('ORDENES'!$U713="","-",'ORDENES'!$U713))</f>
        <v/>
      </c>
      <c r="F735" s="3">
        <f>IF('ORDENES'!$A713="","",IF('ORDENES'!$W713="","-",'ORDENES'!$W713))</f>
        <v/>
      </c>
      <c r="G735" s="3">
        <f>IF('ORDENES'!$A713="","",IF('ORDENES'!$AB713="","-",'ORDENES'!$AB713))</f>
        <v/>
      </c>
      <c r="H735" s="3">
        <f>IF('ORDENES'!$A713="","",IF('ORDENES'!$AN713="","-",'ORDENES'!$AN713))</f>
        <v/>
      </c>
      <c r="I735" s="3">
        <f>IF('ORDENES'!$A713="","",IF('ORDENES'!$D713="","-",'ORDENES'!$D713))</f>
        <v/>
      </c>
      <c r="J735" s="3">
        <f>IF('ORDENES'!$A713="","",IF('ORDENES'!$E713="","-",'ORDENES'!$E713))</f>
        <v/>
      </c>
      <c r="K735" s="12">
        <f>IF('ORDENES'!$A713="","",IF('ORDENES'!$M713="",0,'ORDENES'!$M713))</f>
        <v/>
      </c>
      <c r="L735" s="3">
        <f>IF('ORDENES'!$A713="","",IF('ORDENES'!$N713="","-",'ORDENES'!$N713))</f>
        <v/>
      </c>
      <c r="M735" s="3">
        <f>IF('ORDENES'!$A713="","",'ORDENES'!$AA713)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IF('ORDENES'!$A714="","",IF('ORDENES'!$AC714="","-",'ORDENES'!$AC714))</f>
        <v/>
      </c>
      <c r="D736" s="3">
        <f>IF('ORDENES'!$A714="","",IF('ORDENES'!$V714="","-",'ORDENES'!$V714))</f>
        <v/>
      </c>
      <c r="E736" s="3">
        <f>IF('ORDENES'!$A714="","",IF('ORDENES'!$U714="","-",'ORDENES'!$U714))</f>
        <v/>
      </c>
      <c r="F736" s="3">
        <f>IF('ORDENES'!$A714="","",IF('ORDENES'!$W714="","-",'ORDENES'!$W714))</f>
        <v/>
      </c>
      <c r="G736" s="3">
        <f>IF('ORDENES'!$A714="","",IF('ORDENES'!$AB714="","-",'ORDENES'!$AB714))</f>
        <v/>
      </c>
      <c r="H736" s="3">
        <f>IF('ORDENES'!$A714="","",IF('ORDENES'!$AN714="","-",'ORDENES'!$AN714))</f>
        <v/>
      </c>
      <c r="I736" s="3">
        <f>IF('ORDENES'!$A714="","",IF('ORDENES'!$D714="","-",'ORDENES'!$D714))</f>
        <v/>
      </c>
      <c r="J736" s="3">
        <f>IF('ORDENES'!$A714="","",IF('ORDENES'!$E714="","-",'ORDENES'!$E714))</f>
        <v/>
      </c>
      <c r="K736" s="12">
        <f>IF('ORDENES'!$A714="","",IF('ORDENES'!$M714="",0,'ORDENES'!$M714))</f>
        <v/>
      </c>
      <c r="L736" s="3">
        <f>IF('ORDENES'!$A714="","",IF('ORDENES'!$N714="","-",'ORDENES'!$N714))</f>
        <v/>
      </c>
      <c r="M736" s="3">
        <f>IF('ORDENES'!$A714="","",'ORDENES'!$AA714)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IF('ORDENES'!$A715="","",IF('ORDENES'!$AC715="","-",'ORDENES'!$AC715))</f>
        <v/>
      </c>
      <c r="D737" s="3">
        <f>IF('ORDENES'!$A715="","",IF('ORDENES'!$V715="","-",'ORDENES'!$V715))</f>
        <v/>
      </c>
      <c r="E737" s="3">
        <f>IF('ORDENES'!$A715="","",IF('ORDENES'!$U715="","-",'ORDENES'!$U715))</f>
        <v/>
      </c>
      <c r="F737" s="3">
        <f>IF('ORDENES'!$A715="","",IF('ORDENES'!$W715="","-",'ORDENES'!$W715))</f>
        <v/>
      </c>
      <c r="G737" s="3">
        <f>IF('ORDENES'!$A715="","",IF('ORDENES'!$AB715="","-",'ORDENES'!$AB715))</f>
        <v/>
      </c>
      <c r="H737" s="3">
        <f>IF('ORDENES'!$A715="","",IF('ORDENES'!$AN715="","-",'ORDENES'!$AN715))</f>
        <v/>
      </c>
      <c r="I737" s="3">
        <f>IF('ORDENES'!$A715="","",IF('ORDENES'!$D715="","-",'ORDENES'!$D715))</f>
        <v/>
      </c>
      <c r="J737" s="3">
        <f>IF('ORDENES'!$A715="","",IF('ORDENES'!$E715="","-",'ORDENES'!$E715))</f>
        <v/>
      </c>
      <c r="K737" s="12">
        <f>IF('ORDENES'!$A715="","",IF('ORDENES'!$M715="",0,'ORDENES'!$M715))</f>
        <v/>
      </c>
      <c r="L737" s="3">
        <f>IF('ORDENES'!$A715="","",IF('ORDENES'!$N715="","-",'ORDENES'!$N715))</f>
        <v/>
      </c>
      <c r="M737" s="3">
        <f>IF('ORDENES'!$A715="","",'ORDENES'!$AA715)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IF('ORDENES'!$A716="","",IF('ORDENES'!$AC716="","-",'ORDENES'!$AC716))</f>
        <v/>
      </c>
      <c r="D738" s="3">
        <f>IF('ORDENES'!$A716="","",IF('ORDENES'!$V716="","-",'ORDENES'!$V716))</f>
        <v/>
      </c>
      <c r="E738" s="3">
        <f>IF('ORDENES'!$A716="","",IF('ORDENES'!$U716="","-",'ORDENES'!$U716))</f>
        <v/>
      </c>
      <c r="F738" s="3">
        <f>IF('ORDENES'!$A716="","",IF('ORDENES'!$W716="","-",'ORDENES'!$W716))</f>
        <v/>
      </c>
      <c r="G738" s="3">
        <f>IF('ORDENES'!$A716="","",IF('ORDENES'!$AB716="","-",'ORDENES'!$AB716))</f>
        <v/>
      </c>
      <c r="H738" s="3">
        <f>IF('ORDENES'!$A716="","",IF('ORDENES'!$AN716="","-",'ORDENES'!$AN716))</f>
        <v/>
      </c>
      <c r="I738" s="3">
        <f>IF('ORDENES'!$A716="","",IF('ORDENES'!$D716="","-",'ORDENES'!$D716))</f>
        <v/>
      </c>
      <c r="J738" s="3">
        <f>IF('ORDENES'!$A716="","",IF('ORDENES'!$E716="","-",'ORDENES'!$E716))</f>
        <v/>
      </c>
      <c r="K738" s="12">
        <f>IF('ORDENES'!$A716="","",IF('ORDENES'!$M716="",0,'ORDENES'!$M716))</f>
        <v/>
      </c>
      <c r="L738" s="3">
        <f>IF('ORDENES'!$A716="","",IF('ORDENES'!$N716="","-",'ORDENES'!$N716))</f>
        <v/>
      </c>
      <c r="M738" s="3">
        <f>IF('ORDENES'!$A716="","",'ORDENES'!$AA716)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IF('ORDENES'!$A717="","",IF('ORDENES'!$AC717="","-",'ORDENES'!$AC717))</f>
        <v/>
      </c>
      <c r="D739" s="3">
        <f>IF('ORDENES'!$A717="","",IF('ORDENES'!$V717="","-",'ORDENES'!$V717))</f>
        <v/>
      </c>
      <c r="E739" s="3">
        <f>IF('ORDENES'!$A717="","",IF('ORDENES'!$U717="","-",'ORDENES'!$U717))</f>
        <v/>
      </c>
      <c r="F739" s="3">
        <f>IF('ORDENES'!$A717="","",IF('ORDENES'!$W717="","-",'ORDENES'!$W717))</f>
        <v/>
      </c>
      <c r="G739" s="3">
        <f>IF('ORDENES'!$A717="","",IF('ORDENES'!$AB717="","-",'ORDENES'!$AB717))</f>
        <v/>
      </c>
      <c r="H739" s="3">
        <f>IF('ORDENES'!$A717="","",IF('ORDENES'!$AN717="","-",'ORDENES'!$AN717))</f>
        <v/>
      </c>
      <c r="I739" s="3">
        <f>IF('ORDENES'!$A717="","",IF('ORDENES'!$D717="","-",'ORDENES'!$D717))</f>
        <v/>
      </c>
      <c r="J739" s="3">
        <f>IF('ORDENES'!$A717="","",IF('ORDENES'!$E717="","-",'ORDENES'!$E717))</f>
        <v/>
      </c>
      <c r="K739" s="12">
        <f>IF('ORDENES'!$A717="","",IF('ORDENES'!$M717="",0,'ORDENES'!$M717))</f>
        <v/>
      </c>
      <c r="L739" s="3">
        <f>IF('ORDENES'!$A717="","",IF('ORDENES'!$N717="","-",'ORDENES'!$N717))</f>
        <v/>
      </c>
      <c r="M739" s="3">
        <f>IF('ORDENES'!$A717="","",'ORDENES'!$AA717)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IF('ORDENES'!$A718="","",IF('ORDENES'!$AC718="","-",'ORDENES'!$AC718))</f>
        <v/>
      </c>
      <c r="D740" s="3">
        <f>IF('ORDENES'!$A718="","",IF('ORDENES'!$V718="","-",'ORDENES'!$V718))</f>
        <v/>
      </c>
      <c r="E740" s="3">
        <f>IF('ORDENES'!$A718="","",IF('ORDENES'!$U718="","-",'ORDENES'!$U718))</f>
        <v/>
      </c>
      <c r="F740" s="3">
        <f>IF('ORDENES'!$A718="","",IF('ORDENES'!$W718="","-",'ORDENES'!$W718))</f>
        <v/>
      </c>
      <c r="G740" s="3">
        <f>IF('ORDENES'!$A718="","",IF('ORDENES'!$AB718="","-",'ORDENES'!$AB718))</f>
        <v/>
      </c>
      <c r="H740" s="3">
        <f>IF('ORDENES'!$A718="","",IF('ORDENES'!$AN718="","-",'ORDENES'!$AN718))</f>
        <v/>
      </c>
      <c r="I740" s="3">
        <f>IF('ORDENES'!$A718="","",IF('ORDENES'!$D718="","-",'ORDENES'!$D718))</f>
        <v/>
      </c>
      <c r="J740" s="3">
        <f>IF('ORDENES'!$A718="","",IF('ORDENES'!$E718="","-",'ORDENES'!$E718))</f>
        <v/>
      </c>
      <c r="K740" s="12">
        <f>IF('ORDENES'!$A718="","",IF('ORDENES'!$M718="",0,'ORDENES'!$M718))</f>
        <v/>
      </c>
      <c r="L740" s="3">
        <f>IF('ORDENES'!$A718="","",IF('ORDENES'!$N718="","-",'ORDENES'!$N718))</f>
        <v/>
      </c>
      <c r="M740" s="3">
        <f>IF('ORDENES'!$A718="","",'ORDENES'!$AA718)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IF('ORDENES'!$A719="","",IF('ORDENES'!$AC719="","-",'ORDENES'!$AC719))</f>
        <v/>
      </c>
      <c r="D741" s="3">
        <f>IF('ORDENES'!$A719="","",IF('ORDENES'!$V719="","-",'ORDENES'!$V719))</f>
        <v/>
      </c>
      <c r="E741" s="3">
        <f>IF('ORDENES'!$A719="","",IF('ORDENES'!$U719="","-",'ORDENES'!$U719))</f>
        <v/>
      </c>
      <c r="F741" s="3">
        <f>IF('ORDENES'!$A719="","",IF('ORDENES'!$W719="","-",'ORDENES'!$W719))</f>
        <v/>
      </c>
      <c r="G741" s="3">
        <f>IF('ORDENES'!$A719="","",IF('ORDENES'!$AB719="","-",'ORDENES'!$AB719))</f>
        <v/>
      </c>
      <c r="H741" s="3">
        <f>IF('ORDENES'!$A719="","",IF('ORDENES'!$AN719="","-",'ORDENES'!$AN719))</f>
        <v/>
      </c>
      <c r="I741" s="3">
        <f>IF('ORDENES'!$A719="","",IF('ORDENES'!$D719="","-",'ORDENES'!$D719))</f>
        <v/>
      </c>
      <c r="J741" s="3">
        <f>IF('ORDENES'!$A719="","",IF('ORDENES'!$E719="","-",'ORDENES'!$E719))</f>
        <v/>
      </c>
      <c r="K741" s="12">
        <f>IF('ORDENES'!$A719="","",IF('ORDENES'!$M719="",0,'ORDENES'!$M719))</f>
        <v/>
      </c>
      <c r="L741" s="3">
        <f>IF('ORDENES'!$A719="","",IF('ORDENES'!$N719="","-",'ORDENES'!$N719))</f>
        <v/>
      </c>
      <c r="M741" s="3">
        <f>IF('ORDENES'!$A719="","",'ORDENES'!$AA719)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IF('ORDENES'!$A720="","",IF('ORDENES'!$AC720="","-",'ORDENES'!$AC720))</f>
        <v/>
      </c>
      <c r="D742" s="3">
        <f>IF('ORDENES'!$A720="","",IF('ORDENES'!$V720="","-",'ORDENES'!$V720))</f>
        <v/>
      </c>
      <c r="E742" s="3">
        <f>IF('ORDENES'!$A720="","",IF('ORDENES'!$U720="","-",'ORDENES'!$U720))</f>
        <v/>
      </c>
      <c r="F742" s="3">
        <f>IF('ORDENES'!$A720="","",IF('ORDENES'!$W720="","-",'ORDENES'!$W720))</f>
        <v/>
      </c>
      <c r="G742" s="3">
        <f>IF('ORDENES'!$A720="","",IF('ORDENES'!$AB720="","-",'ORDENES'!$AB720))</f>
        <v/>
      </c>
      <c r="H742" s="3">
        <f>IF('ORDENES'!$A720="","",IF('ORDENES'!$AN720="","-",'ORDENES'!$AN720))</f>
        <v/>
      </c>
      <c r="I742" s="3">
        <f>IF('ORDENES'!$A720="","",IF('ORDENES'!$D720="","-",'ORDENES'!$D720))</f>
        <v/>
      </c>
      <c r="J742" s="3">
        <f>IF('ORDENES'!$A720="","",IF('ORDENES'!$E720="","-",'ORDENES'!$E720))</f>
        <v/>
      </c>
      <c r="K742" s="12">
        <f>IF('ORDENES'!$A720="","",IF('ORDENES'!$M720="",0,'ORDENES'!$M720))</f>
        <v/>
      </c>
      <c r="L742" s="3">
        <f>IF('ORDENES'!$A720="","",IF('ORDENES'!$N720="","-",'ORDENES'!$N720))</f>
        <v/>
      </c>
      <c r="M742" s="3">
        <f>IF('ORDENES'!$A720="","",'ORDENES'!$AA720)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IF('ORDENES'!$A721="","",IF('ORDENES'!$AC721="","-",'ORDENES'!$AC721))</f>
        <v/>
      </c>
      <c r="D743" s="3">
        <f>IF('ORDENES'!$A721="","",IF('ORDENES'!$V721="","-",'ORDENES'!$V721))</f>
        <v/>
      </c>
      <c r="E743" s="3">
        <f>IF('ORDENES'!$A721="","",IF('ORDENES'!$U721="","-",'ORDENES'!$U721))</f>
        <v/>
      </c>
      <c r="F743" s="3">
        <f>IF('ORDENES'!$A721="","",IF('ORDENES'!$W721="","-",'ORDENES'!$W721))</f>
        <v/>
      </c>
      <c r="G743" s="3">
        <f>IF('ORDENES'!$A721="","",IF('ORDENES'!$AB721="","-",'ORDENES'!$AB721))</f>
        <v/>
      </c>
      <c r="H743" s="3">
        <f>IF('ORDENES'!$A721="","",IF('ORDENES'!$AN721="","-",'ORDENES'!$AN721))</f>
        <v/>
      </c>
      <c r="I743" s="3">
        <f>IF('ORDENES'!$A721="","",IF('ORDENES'!$D721="","-",'ORDENES'!$D721))</f>
        <v/>
      </c>
      <c r="J743" s="3">
        <f>IF('ORDENES'!$A721="","",IF('ORDENES'!$E721="","-",'ORDENES'!$E721))</f>
        <v/>
      </c>
      <c r="K743" s="12">
        <f>IF('ORDENES'!$A721="","",IF('ORDENES'!$M721="",0,'ORDENES'!$M721))</f>
        <v/>
      </c>
      <c r="L743" s="3">
        <f>IF('ORDENES'!$A721="","",IF('ORDENES'!$N721="","-",'ORDENES'!$N721))</f>
        <v/>
      </c>
      <c r="M743" s="3">
        <f>IF('ORDENES'!$A721="","",'ORDENES'!$AA721)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IF('ORDENES'!$A722="","",IF('ORDENES'!$AC722="","-",'ORDENES'!$AC722))</f>
        <v/>
      </c>
      <c r="D744" s="3">
        <f>IF('ORDENES'!$A722="","",IF('ORDENES'!$V722="","-",'ORDENES'!$V722))</f>
        <v/>
      </c>
      <c r="E744" s="3">
        <f>IF('ORDENES'!$A722="","",IF('ORDENES'!$U722="","-",'ORDENES'!$U722))</f>
        <v/>
      </c>
      <c r="F744" s="3">
        <f>IF('ORDENES'!$A722="","",IF('ORDENES'!$W722="","-",'ORDENES'!$W722))</f>
        <v/>
      </c>
      <c r="G744" s="3">
        <f>IF('ORDENES'!$A722="","",IF('ORDENES'!$AB722="","-",'ORDENES'!$AB722))</f>
        <v/>
      </c>
      <c r="H744" s="3">
        <f>IF('ORDENES'!$A722="","",IF('ORDENES'!$AN722="","-",'ORDENES'!$AN722))</f>
        <v/>
      </c>
      <c r="I744" s="3">
        <f>IF('ORDENES'!$A722="","",IF('ORDENES'!$D722="","-",'ORDENES'!$D722))</f>
        <v/>
      </c>
      <c r="J744" s="3">
        <f>IF('ORDENES'!$A722="","",IF('ORDENES'!$E722="","-",'ORDENES'!$E722))</f>
        <v/>
      </c>
      <c r="K744" s="12">
        <f>IF('ORDENES'!$A722="","",IF('ORDENES'!$M722="",0,'ORDENES'!$M722))</f>
        <v/>
      </c>
      <c r="L744" s="3">
        <f>IF('ORDENES'!$A722="","",IF('ORDENES'!$N722="","-",'ORDENES'!$N722))</f>
        <v/>
      </c>
      <c r="M744" s="3">
        <f>IF('ORDENES'!$A722="","",'ORDENES'!$AA722)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IF('ORDENES'!$A723="","",IF('ORDENES'!$AC723="","-",'ORDENES'!$AC723))</f>
        <v/>
      </c>
      <c r="D745" s="3">
        <f>IF('ORDENES'!$A723="","",IF('ORDENES'!$V723="","-",'ORDENES'!$V723))</f>
        <v/>
      </c>
      <c r="E745" s="3">
        <f>IF('ORDENES'!$A723="","",IF('ORDENES'!$U723="","-",'ORDENES'!$U723))</f>
        <v/>
      </c>
      <c r="F745" s="3">
        <f>IF('ORDENES'!$A723="","",IF('ORDENES'!$W723="","-",'ORDENES'!$W723))</f>
        <v/>
      </c>
      <c r="G745" s="3">
        <f>IF('ORDENES'!$A723="","",IF('ORDENES'!$AB723="","-",'ORDENES'!$AB723))</f>
        <v/>
      </c>
      <c r="H745" s="3">
        <f>IF('ORDENES'!$A723="","",IF('ORDENES'!$AN723="","-",'ORDENES'!$AN723))</f>
        <v/>
      </c>
      <c r="I745" s="3">
        <f>IF('ORDENES'!$A723="","",IF('ORDENES'!$D723="","-",'ORDENES'!$D723))</f>
        <v/>
      </c>
      <c r="J745" s="3">
        <f>IF('ORDENES'!$A723="","",IF('ORDENES'!$E723="","-",'ORDENES'!$E723))</f>
        <v/>
      </c>
      <c r="K745" s="12">
        <f>IF('ORDENES'!$A723="","",IF('ORDENES'!$M723="",0,'ORDENES'!$M723))</f>
        <v/>
      </c>
      <c r="L745" s="3">
        <f>IF('ORDENES'!$A723="","",IF('ORDENES'!$N723="","-",'ORDENES'!$N723))</f>
        <v/>
      </c>
      <c r="M745" s="3">
        <f>IF('ORDENES'!$A723="","",'ORDENES'!$AA723)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IF('ORDENES'!$A724="","",IF('ORDENES'!$AC724="","-",'ORDENES'!$AC724))</f>
        <v/>
      </c>
      <c r="D746" s="3">
        <f>IF('ORDENES'!$A724="","",IF('ORDENES'!$V724="","-",'ORDENES'!$V724))</f>
        <v/>
      </c>
      <c r="E746" s="3">
        <f>IF('ORDENES'!$A724="","",IF('ORDENES'!$U724="","-",'ORDENES'!$U724))</f>
        <v/>
      </c>
      <c r="F746" s="3">
        <f>IF('ORDENES'!$A724="","",IF('ORDENES'!$W724="","-",'ORDENES'!$W724))</f>
        <v/>
      </c>
      <c r="G746" s="3">
        <f>IF('ORDENES'!$A724="","",IF('ORDENES'!$AB724="","-",'ORDENES'!$AB724))</f>
        <v/>
      </c>
      <c r="H746" s="3">
        <f>IF('ORDENES'!$A724="","",IF('ORDENES'!$AN724="","-",'ORDENES'!$AN724))</f>
        <v/>
      </c>
      <c r="I746" s="3">
        <f>IF('ORDENES'!$A724="","",IF('ORDENES'!$D724="","-",'ORDENES'!$D724))</f>
        <v/>
      </c>
      <c r="J746" s="3">
        <f>IF('ORDENES'!$A724="","",IF('ORDENES'!$E724="","-",'ORDENES'!$E724))</f>
        <v/>
      </c>
      <c r="K746" s="12">
        <f>IF('ORDENES'!$A724="","",IF('ORDENES'!$M724="",0,'ORDENES'!$M724))</f>
        <v/>
      </c>
      <c r="L746" s="3">
        <f>IF('ORDENES'!$A724="","",IF('ORDENES'!$N724="","-",'ORDENES'!$N724))</f>
        <v/>
      </c>
      <c r="M746" s="3">
        <f>IF('ORDENES'!$A724="","",'ORDENES'!$AA724)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IF('ORDENES'!$A725="","",IF('ORDENES'!$AC725="","-",'ORDENES'!$AC725))</f>
        <v/>
      </c>
      <c r="D747" s="3">
        <f>IF('ORDENES'!$A725="","",IF('ORDENES'!$V725="","-",'ORDENES'!$V725))</f>
        <v/>
      </c>
      <c r="E747" s="3">
        <f>IF('ORDENES'!$A725="","",IF('ORDENES'!$U725="","-",'ORDENES'!$U725))</f>
        <v/>
      </c>
      <c r="F747" s="3">
        <f>IF('ORDENES'!$A725="","",IF('ORDENES'!$W725="","-",'ORDENES'!$W725))</f>
        <v/>
      </c>
      <c r="G747" s="3">
        <f>IF('ORDENES'!$A725="","",IF('ORDENES'!$AB725="","-",'ORDENES'!$AB725))</f>
        <v/>
      </c>
      <c r="H747" s="3">
        <f>IF('ORDENES'!$A725="","",IF('ORDENES'!$AN725="","-",'ORDENES'!$AN725))</f>
        <v/>
      </c>
      <c r="I747" s="3">
        <f>IF('ORDENES'!$A725="","",IF('ORDENES'!$D725="","-",'ORDENES'!$D725))</f>
        <v/>
      </c>
      <c r="J747" s="3">
        <f>IF('ORDENES'!$A725="","",IF('ORDENES'!$E725="","-",'ORDENES'!$E725))</f>
        <v/>
      </c>
      <c r="K747" s="12">
        <f>IF('ORDENES'!$A725="","",IF('ORDENES'!$M725="",0,'ORDENES'!$M725))</f>
        <v/>
      </c>
      <c r="L747" s="3">
        <f>IF('ORDENES'!$A725="","",IF('ORDENES'!$N725="","-",'ORDENES'!$N725))</f>
        <v/>
      </c>
      <c r="M747" s="3">
        <f>IF('ORDENES'!$A725="","",'ORDENES'!$AA725)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IF('ORDENES'!$A726="","",IF('ORDENES'!$AC726="","-",'ORDENES'!$AC726))</f>
        <v/>
      </c>
      <c r="D748" s="3">
        <f>IF('ORDENES'!$A726="","",IF('ORDENES'!$V726="","-",'ORDENES'!$V726))</f>
        <v/>
      </c>
      <c r="E748" s="3">
        <f>IF('ORDENES'!$A726="","",IF('ORDENES'!$U726="","-",'ORDENES'!$U726))</f>
        <v/>
      </c>
      <c r="F748" s="3">
        <f>IF('ORDENES'!$A726="","",IF('ORDENES'!$W726="","-",'ORDENES'!$W726))</f>
        <v/>
      </c>
      <c r="G748" s="3">
        <f>IF('ORDENES'!$A726="","",IF('ORDENES'!$AB726="","-",'ORDENES'!$AB726))</f>
        <v/>
      </c>
      <c r="H748" s="3">
        <f>IF('ORDENES'!$A726="","",IF('ORDENES'!$AN726="","-",'ORDENES'!$AN726))</f>
        <v/>
      </c>
      <c r="I748" s="3">
        <f>IF('ORDENES'!$A726="","",IF('ORDENES'!$D726="","-",'ORDENES'!$D726))</f>
        <v/>
      </c>
      <c r="J748" s="3">
        <f>IF('ORDENES'!$A726="","",IF('ORDENES'!$E726="","-",'ORDENES'!$E726))</f>
        <v/>
      </c>
      <c r="K748" s="12">
        <f>IF('ORDENES'!$A726="","",IF('ORDENES'!$M726="",0,'ORDENES'!$M726))</f>
        <v/>
      </c>
      <c r="L748" s="3">
        <f>IF('ORDENES'!$A726="","",IF('ORDENES'!$N726="","-",'ORDENES'!$N726))</f>
        <v/>
      </c>
      <c r="M748" s="3">
        <f>IF('ORDENES'!$A726="","",'ORDENES'!$AA726)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IF('ORDENES'!$A727="","",IF('ORDENES'!$AC727="","-",'ORDENES'!$AC727))</f>
        <v/>
      </c>
      <c r="D749" s="3">
        <f>IF('ORDENES'!$A727="","",IF('ORDENES'!$V727="","-",'ORDENES'!$V727))</f>
        <v/>
      </c>
      <c r="E749" s="3">
        <f>IF('ORDENES'!$A727="","",IF('ORDENES'!$U727="","-",'ORDENES'!$U727))</f>
        <v/>
      </c>
      <c r="F749" s="3">
        <f>IF('ORDENES'!$A727="","",IF('ORDENES'!$W727="","-",'ORDENES'!$W727))</f>
        <v/>
      </c>
      <c r="G749" s="3">
        <f>IF('ORDENES'!$A727="","",IF('ORDENES'!$AB727="","-",'ORDENES'!$AB727))</f>
        <v/>
      </c>
      <c r="H749" s="3">
        <f>IF('ORDENES'!$A727="","",IF('ORDENES'!$AN727="","-",'ORDENES'!$AN727))</f>
        <v/>
      </c>
      <c r="I749" s="3">
        <f>IF('ORDENES'!$A727="","",IF('ORDENES'!$D727="","-",'ORDENES'!$D727))</f>
        <v/>
      </c>
      <c r="J749" s="3">
        <f>IF('ORDENES'!$A727="","",IF('ORDENES'!$E727="","-",'ORDENES'!$E727))</f>
        <v/>
      </c>
      <c r="K749" s="12">
        <f>IF('ORDENES'!$A727="","",IF('ORDENES'!$M727="",0,'ORDENES'!$M727))</f>
        <v/>
      </c>
      <c r="L749" s="3">
        <f>IF('ORDENES'!$A727="","",IF('ORDENES'!$N727="","-",'ORDENES'!$N727))</f>
        <v/>
      </c>
      <c r="M749" s="3">
        <f>IF('ORDENES'!$A727="","",'ORDENES'!$AA727)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IF('ORDENES'!$A728="","",IF('ORDENES'!$AC728="","-",'ORDENES'!$AC728))</f>
        <v/>
      </c>
      <c r="D750" s="3">
        <f>IF('ORDENES'!$A728="","",IF('ORDENES'!$V728="","-",'ORDENES'!$V728))</f>
        <v/>
      </c>
      <c r="E750" s="3">
        <f>IF('ORDENES'!$A728="","",IF('ORDENES'!$U728="","-",'ORDENES'!$U728))</f>
        <v/>
      </c>
      <c r="F750" s="3">
        <f>IF('ORDENES'!$A728="","",IF('ORDENES'!$W728="","-",'ORDENES'!$W728))</f>
        <v/>
      </c>
      <c r="G750" s="3">
        <f>IF('ORDENES'!$A728="","",IF('ORDENES'!$AB728="","-",'ORDENES'!$AB728))</f>
        <v/>
      </c>
      <c r="H750" s="3">
        <f>IF('ORDENES'!$A728="","",IF('ORDENES'!$AN728="","-",'ORDENES'!$AN728))</f>
        <v/>
      </c>
      <c r="I750" s="3">
        <f>IF('ORDENES'!$A728="","",IF('ORDENES'!$D728="","-",'ORDENES'!$D728))</f>
        <v/>
      </c>
      <c r="J750" s="3">
        <f>IF('ORDENES'!$A728="","",IF('ORDENES'!$E728="","-",'ORDENES'!$E728))</f>
        <v/>
      </c>
      <c r="K750" s="12">
        <f>IF('ORDENES'!$A728="","",IF('ORDENES'!$M728="",0,'ORDENES'!$M728))</f>
        <v/>
      </c>
      <c r="L750" s="3">
        <f>IF('ORDENES'!$A728="","",IF('ORDENES'!$N728="","-",'ORDENES'!$N728))</f>
        <v/>
      </c>
      <c r="M750" s="3">
        <f>IF('ORDENES'!$A728="","",'ORDENES'!$AA728)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IF('ORDENES'!$A729="","",IF('ORDENES'!$AC729="","-",'ORDENES'!$AC729))</f>
        <v/>
      </c>
      <c r="D751" s="3">
        <f>IF('ORDENES'!$A729="","",IF('ORDENES'!$V729="","-",'ORDENES'!$V729))</f>
        <v/>
      </c>
      <c r="E751" s="3">
        <f>IF('ORDENES'!$A729="","",IF('ORDENES'!$U729="","-",'ORDENES'!$U729))</f>
        <v/>
      </c>
      <c r="F751" s="3">
        <f>IF('ORDENES'!$A729="","",IF('ORDENES'!$W729="","-",'ORDENES'!$W729))</f>
        <v/>
      </c>
      <c r="G751" s="3">
        <f>IF('ORDENES'!$A729="","",IF('ORDENES'!$AB729="","-",'ORDENES'!$AB729))</f>
        <v/>
      </c>
      <c r="H751" s="3">
        <f>IF('ORDENES'!$A729="","",IF('ORDENES'!$AN729="","-",'ORDENES'!$AN729))</f>
        <v/>
      </c>
      <c r="I751" s="3">
        <f>IF('ORDENES'!$A729="","",IF('ORDENES'!$D729="","-",'ORDENES'!$D729))</f>
        <v/>
      </c>
      <c r="J751" s="3">
        <f>IF('ORDENES'!$A729="","",IF('ORDENES'!$E729="","-",'ORDENES'!$E729))</f>
        <v/>
      </c>
      <c r="K751" s="12">
        <f>IF('ORDENES'!$A729="","",IF('ORDENES'!$M729="",0,'ORDENES'!$M729))</f>
        <v/>
      </c>
      <c r="L751" s="3">
        <f>IF('ORDENES'!$A729="","",IF('ORDENES'!$N729="","-",'ORDENES'!$N729))</f>
        <v/>
      </c>
      <c r="M751" s="3">
        <f>IF('ORDENES'!$A729="","",'ORDENES'!$AA729)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IF('ORDENES'!$A730="","",IF('ORDENES'!$AC730="","-",'ORDENES'!$AC730))</f>
        <v/>
      </c>
      <c r="D752" s="3">
        <f>IF('ORDENES'!$A730="","",IF('ORDENES'!$V730="","-",'ORDENES'!$V730))</f>
        <v/>
      </c>
      <c r="E752" s="3">
        <f>IF('ORDENES'!$A730="","",IF('ORDENES'!$U730="","-",'ORDENES'!$U730))</f>
        <v/>
      </c>
      <c r="F752" s="3">
        <f>IF('ORDENES'!$A730="","",IF('ORDENES'!$W730="","-",'ORDENES'!$W730))</f>
        <v/>
      </c>
      <c r="G752" s="3">
        <f>IF('ORDENES'!$A730="","",IF('ORDENES'!$AB730="","-",'ORDENES'!$AB730))</f>
        <v/>
      </c>
      <c r="H752" s="3">
        <f>IF('ORDENES'!$A730="","",IF('ORDENES'!$AN730="","-",'ORDENES'!$AN730))</f>
        <v/>
      </c>
      <c r="I752" s="3">
        <f>IF('ORDENES'!$A730="","",IF('ORDENES'!$D730="","-",'ORDENES'!$D730))</f>
        <v/>
      </c>
      <c r="J752" s="3">
        <f>IF('ORDENES'!$A730="","",IF('ORDENES'!$E730="","-",'ORDENES'!$E730))</f>
        <v/>
      </c>
      <c r="K752" s="12">
        <f>IF('ORDENES'!$A730="","",IF('ORDENES'!$M730="",0,'ORDENES'!$M730))</f>
        <v/>
      </c>
      <c r="L752" s="3">
        <f>IF('ORDENES'!$A730="","",IF('ORDENES'!$N730="","-",'ORDENES'!$N730))</f>
        <v/>
      </c>
      <c r="M752" s="3">
        <f>IF('ORDENES'!$A730="","",'ORDENES'!$AA730)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IF('ORDENES'!$A731="","",IF('ORDENES'!$AC731="","-",'ORDENES'!$AC731))</f>
        <v/>
      </c>
      <c r="D753" s="3">
        <f>IF('ORDENES'!$A731="","",IF('ORDENES'!$V731="","-",'ORDENES'!$V731))</f>
        <v/>
      </c>
      <c r="E753" s="3">
        <f>IF('ORDENES'!$A731="","",IF('ORDENES'!$U731="","-",'ORDENES'!$U731))</f>
        <v/>
      </c>
      <c r="F753" s="3">
        <f>IF('ORDENES'!$A731="","",IF('ORDENES'!$W731="","-",'ORDENES'!$W731))</f>
        <v/>
      </c>
      <c r="G753" s="3">
        <f>IF('ORDENES'!$A731="","",IF('ORDENES'!$AB731="","-",'ORDENES'!$AB731))</f>
        <v/>
      </c>
      <c r="H753" s="3">
        <f>IF('ORDENES'!$A731="","",IF('ORDENES'!$AN731="","-",'ORDENES'!$AN731))</f>
        <v/>
      </c>
      <c r="I753" s="3">
        <f>IF('ORDENES'!$A731="","",IF('ORDENES'!$D731="","-",'ORDENES'!$D731))</f>
        <v/>
      </c>
      <c r="J753" s="3">
        <f>IF('ORDENES'!$A731="","",IF('ORDENES'!$E731="","-",'ORDENES'!$E731))</f>
        <v/>
      </c>
      <c r="K753" s="12">
        <f>IF('ORDENES'!$A731="","",IF('ORDENES'!$M731="",0,'ORDENES'!$M731))</f>
        <v/>
      </c>
      <c r="L753" s="3">
        <f>IF('ORDENES'!$A731="","",IF('ORDENES'!$N731="","-",'ORDENES'!$N731))</f>
        <v/>
      </c>
      <c r="M753" s="3">
        <f>IF('ORDENES'!$A731="","",'ORDENES'!$AA731)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IF('ORDENES'!$A732="","",IF('ORDENES'!$AC732="","-",'ORDENES'!$AC732))</f>
        <v/>
      </c>
      <c r="D754" s="3">
        <f>IF('ORDENES'!$A732="","",IF('ORDENES'!$V732="","-",'ORDENES'!$V732))</f>
        <v/>
      </c>
      <c r="E754" s="3">
        <f>IF('ORDENES'!$A732="","",IF('ORDENES'!$U732="","-",'ORDENES'!$U732))</f>
        <v/>
      </c>
      <c r="F754" s="3">
        <f>IF('ORDENES'!$A732="","",IF('ORDENES'!$W732="","-",'ORDENES'!$W732))</f>
        <v/>
      </c>
      <c r="G754" s="3">
        <f>IF('ORDENES'!$A732="","",IF('ORDENES'!$AB732="","-",'ORDENES'!$AB732))</f>
        <v/>
      </c>
      <c r="H754" s="3">
        <f>IF('ORDENES'!$A732="","",IF('ORDENES'!$AN732="","-",'ORDENES'!$AN732))</f>
        <v/>
      </c>
      <c r="I754" s="3">
        <f>IF('ORDENES'!$A732="","",IF('ORDENES'!$D732="","-",'ORDENES'!$D732))</f>
        <v/>
      </c>
      <c r="J754" s="3">
        <f>IF('ORDENES'!$A732="","",IF('ORDENES'!$E732="","-",'ORDENES'!$E732))</f>
        <v/>
      </c>
      <c r="K754" s="12">
        <f>IF('ORDENES'!$A732="","",IF('ORDENES'!$M732="",0,'ORDENES'!$M732))</f>
        <v/>
      </c>
      <c r="L754" s="3">
        <f>IF('ORDENES'!$A732="","",IF('ORDENES'!$N732="","-",'ORDENES'!$N732))</f>
        <v/>
      </c>
      <c r="M754" s="3">
        <f>IF('ORDENES'!$A732="","",'ORDENES'!$AA732)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IF('ORDENES'!$A733="","",IF('ORDENES'!$AC733="","-",'ORDENES'!$AC733))</f>
        <v/>
      </c>
      <c r="D755" s="3">
        <f>IF('ORDENES'!$A733="","",IF('ORDENES'!$V733="","-",'ORDENES'!$V733))</f>
        <v/>
      </c>
      <c r="E755" s="3">
        <f>IF('ORDENES'!$A733="","",IF('ORDENES'!$U733="","-",'ORDENES'!$U733))</f>
        <v/>
      </c>
      <c r="F755" s="3">
        <f>IF('ORDENES'!$A733="","",IF('ORDENES'!$W733="","-",'ORDENES'!$W733))</f>
        <v/>
      </c>
      <c r="G755" s="3">
        <f>IF('ORDENES'!$A733="","",IF('ORDENES'!$AB733="","-",'ORDENES'!$AB733))</f>
        <v/>
      </c>
      <c r="H755" s="3">
        <f>IF('ORDENES'!$A733="","",IF('ORDENES'!$AN733="","-",'ORDENES'!$AN733))</f>
        <v/>
      </c>
      <c r="I755" s="3">
        <f>IF('ORDENES'!$A733="","",IF('ORDENES'!$D733="","-",'ORDENES'!$D733))</f>
        <v/>
      </c>
      <c r="J755" s="3">
        <f>IF('ORDENES'!$A733="","",IF('ORDENES'!$E733="","-",'ORDENES'!$E733))</f>
        <v/>
      </c>
      <c r="K755" s="12">
        <f>IF('ORDENES'!$A733="","",IF('ORDENES'!$M733="",0,'ORDENES'!$M733))</f>
        <v/>
      </c>
      <c r="L755" s="3">
        <f>IF('ORDENES'!$A733="","",IF('ORDENES'!$N733="","-",'ORDENES'!$N733))</f>
        <v/>
      </c>
      <c r="M755" s="3">
        <f>IF('ORDENES'!$A733="","",'ORDENES'!$AA733)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IF('ORDENES'!$A734="","",IF('ORDENES'!$AC734="","-",'ORDENES'!$AC734))</f>
        <v/>
      </c>
      <c r="D756" s="3">
        <f>IF('ORDENES'!$A734="","",IF('ORDENES'!$V734="","-",'ORDENES'!$V734))</f>
        <v/>
      </c>
      <c r="E756" s="3">
        <f>IF('ORDENES'!$A734="","",IF('ORDENES'!$U734="","-",'ORDENES'!$U734))</f>
        <v/>
      </c>
      <c r="F756" s="3">
        <f>IF('ORDENES'!$A734="","",IF('ORDENES'!$W734="","-",'ORDENES'!$W734))</f>
        <v/>
      </c>
      <c r="G756" s="3">
        <f>IF('ORDENES'!$A734="","",IF('ORDENES'!$AB734="","-",'ORDENES'!$AB734))</f>
        <v/>
      </c>
      <c r="H756" s="3">
        <f>IF('ORDENES'!$A734="","",IF('ORDENES'!$AN734="","-",'ORDENES'!$AN734))</f>
        <v/>
      </c>
      <c r="I756" s="3">
        <f>IF('ORDENES'!$A734="","",IF('ORDENES'!$D734="","-",'ORDENES'!$D734))</f>
        <v/>
      </c>
      <c r="J756" s="3">
        <f>IF('ORDENES'!$A734="","",IF('ORDENES'!$E734="","-",'ORDENES'!$E734))</f>
        <v/>
      </c>
      <c r="K756" s="12">
        <f>IF('ORDENES'!$A734="","",IF('ORDENES'!$M734="",0,'ORDENES'!$M734))</f>
        <v/>
      </c>
      <c r="L756" s="3">
        <f>IF('ORDENES'!$A734="","",IF('ORDENES'!$N734="","-",'ORDENES'!$N734))</f>
        <v/>
      </c>
      <c r="M756" s="3">
        <f>IF('ORDENES'!$A734="","",'ORDENES'!$AA734)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IF('ORDENES'!$A735="","",IF('ORDENES'!$AC735="","-",'ORDENES'!$AC735))</f>
        <v/>
      </c>
      <c r="D757" s="3">
        <f>IF('ORDENES'!$A735="","",IF('ORDENES'!$V735="","-",'ORDENES'!$V735))</f>
        <v/>
      </c>
      <c r="E757" s="3">
        <f>IF('ORDENES'!$A735="","",IF('ORDENES'!$U735="","-",'ORDENES'!$U735))</f>
        <v/>
      </c>
      <c r="F757" s="3">
        <f>IF('ORDENES'!$A735="","",IF('ORDENES'!$W735="","-",'ORDENES'!$W735))</f>
        <v/>
      </c>
      <c r="G757" s="3">
        <f>IF('ORDENES'!$A735="","",IF('ORDENES'!$AB735="","-",'ORDENES'!$AB735))</f>
        <v/>
      </c>
      <c r="H757" s="3">
        <f>IF('ORDENES'!$A735="","",IF('ORDENES'!$AN735="","-",'ORDENES'!$AN735))</f>
        <v/>
      </c>
      <c r="I757" s="3">
        <f>IF('ORDENES'!$A735="","",IF('ORDENES'!$D735="","-",'ORDENES'!$D735))</f>
        <v/>
      </c>
      <c r="J757" s="3">
        <f>IF('ORDENES'!$A735="","",IF('ORDENES'!$E735="","-",'ORDENES'!$E735))</f>
        <v/>
      </c>
      <c r="K757" s="12">
        <f>IF('ORDENES'!$A735="","",IF('ORDENES'!$M735="",0,'ORDENES'!$M735))</f>
        <v/>
      </c>
      <c r="L757" s="3">
        <f>IF('ORDENES'!$A735="","",IF('ORDENES'!$N735="","-",'ORDENES'!$N735))</f>
        <v/>
      </c>
      <c r="M757" s="3">
        <f>IF('ORDENES'!$A735="","",'ORDENES'!$AA735)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IF('ORDENES'!$A736="","",IF('ORDENES'!$AC736="","-",'ORDENES'!$AC736))</f>
        <v/>
      </c>
      <c r="D758" s="3">
        <f>IF('ORDENES'!$A736="","",IF('ORDENES'!$V736="","-",'ORDENES'!$V736))</f>
        <v/>
      </c>
      <c r="E758" s="3">
        <f>IF('ORDENES'!$A736="","",IF('ORDENES'!$U736="","-",'ORDENES'!$U736))</f>
        <v/>
      </c>
      <c r="F758" s="3">
        <f>IF('ORDENES'!$A736="","",IF('ORDENES'!$W736="","-",'ORDENES'!$W736))</f>
        <v/>
      </c>
      <c r="G758" s="3">
        <f>IF('ORDENES'!$A736="","",IF('ORDENES'!$AB736="","-",'ORDENES'!$AB736))</f>
        <v/>
      </c>
      <c r="H758" s="3">
        <f>IF('ORDENES'!$A736="","",IF('ORDENES'!$AN736="","-",'ORDENES'!$AN736))</f>
        <v/>
      </c>
      <c r="I758" s="3">
        <f>IF('ORDENES'!$A736="","",IF('ORDENES'!$D736="","-",'ORDENES'!$D736))</f>
        <v/>
      </c>
      <c r="J758" s="3">
        <f>IF('ORDENES'!$A736="","",IF('ORDENES'!$E736="","-",'ORDENES'!$E736))</f>
        <v/>
      </c>
      <c r="K758" s="12">
        <f>IF('ORDENES'!$A736="","",IF('ORDENES'!$M736="",0,'ORDENES'!$M736))</f>
        <v/>
      </c>
      <c r="L758" s="3">
        <f>IF('ORDENES'!$A736="","",IF('ORDENES'!$N736="","-",'ORDENES'!$N736))</f>
        <v/>
      </c>
      <c r="M758" s="3">
        <f>IF('ORDENES'!$A736="","",'ORDENES'!$AA736)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IF('ORDENES'!$A737="","",IF('ORDENES'!$AC737="","-",'ORDENES'!$AC737))</f>
        <v/>
      </c>
      <c r="D759" s="3">
        <f>IF('ORDENES'!$A737="","",IF('ORDENES'!$V737="","-",'ORDENES'!$V737))</f>
        <v/>
      </c>
      <c r="E759" s="3">
        <f>IF('ORDENES'!$A737="","",IF('ORDENES'!$U737="","-",'ORDENES'!$U737))</f>
        <v/>
      </c>
      <c r="F759" s="3">
        <f>IF('ORDENES'!$A737="","",IF('ORDENES'!$W737="","-",'ORDENES'!$W737))</f>
        <v/>
      </c>
      <c r="G759" s="3">
        <f>IF('ORDENES'!$A737="","",IF('ORDENES'!$AB737="","-",'ORDENES'!$AB737))</f>
        <v/>
      </c>
      <c r="H759" s="3">
        <f>IF('ORDENES'!$A737="","",IF('ORDENES'!$AN737="","-",'ORDENES'!$AN737))</f>
        <v/>
      </c>
      <c r="I759" s="3">
        <f>IF('ORDENES'!$A737="","",IF('ORDENES'!$D737="","-",'ORDENES'!$D737))</f>
        <v/>
      </c>
      <c r="J759" s="3">
        <f>IF('ORDENES'!$A737="","",IF('ORDENES'!$E737="","-",'ORDENES'!$E737))</f>
        <v/>
      </c>
      <c r="K759" s="12">
        <f>IF('ORDENES'!$A737="","",IF('ORDENES'!$M737="",0,'ORDENES'!$M737))</f>
        <v/>
      </c>
      <c r="L759" s="3">
        <f>IF('ORDENES'!$A737="","",IF('ORDENES'!$N737="","-",'ORDENES'!$N737))</f>
        <v/>
      </c>
      <c r="M759" s="3">
        <f>IF('ORDENES'!$A737="","",'ORDENES'!$AA737)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IF('ORDENES'!$A738="","",IF('ORDENES'!$AC738="","-",'ORDENES'!$AC738))</f>
        <v/>
      </c>
      <c r="D760" s="3">
        <f>IF('ORDENES'!$A738="","",IF('ORDENES'!$V738="","-",'ORDENES'!$V738))</f>
        <v/>
      </c>
      <c r="E760" s="3">
        <f>IF('ORDENES'!$A738="","",IF('ORDENES'!$U738="","-",'ORDENES'!$U738))</f>
        <v/>
      </c>
      <c r="F760" s="3">
        <f>IF('ORDENES'!$A738="","",IF('ORDENES'!$W738="","-",'ORDENES'!$W738))</f>
        <v/>
      </c>
      <c r="G760" s="3">
        <f>IF('ORDENES'!$A738="","",IF('ORDENES'!$AB738="","-",'ORDENES'!$AB738))</f>
        <v/>
      </c>
      <c r="H760" s="3">
        <f>IF('ORDENES'!$A738="","",IF('ORDENES'!$AN738="","-",'ORDENES'!$AN738))</f>
        <v/>
      </c>
      <c r="I760" s="3">
        <f>IF('ORDENES'!$A738="","",IF('ORDENES'!$D738="","-",'ORDENES'!$D738))</f>
        <v/>
      </c>
      <c r="J760" s="3">
        <f>IF('ORDENES'!$A738="","",IF('ORDENES'!$E738="","-",'ORDENES'!$E738))</f>
        <v/>
      </c>
      <c r="K760" s="12">
        <f>IF('ORDENES'!$A738="","",IF('ORDENES'!$M738="",0,'ORDENES'!$M738))</f>
        <v/>
      </c>
      <c r="L760" s="3">
        <f>IF('ORDENES'!$A738="","",IF('ORDENES'!$N738="","-",'ORDENES'!$N738))</f>
        <v/>
      </c>
      <c r="M760" s="3">
        <f>IF('ORDENES'!$A738="","",'ORDENES'!$AA738)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IF('ORDENES'!$A739="","",IF('ORDENES'!$AC739="","-",'ORDENES'!$AC739))</f>
        <v/>
      </c>
      <c r="D761" s="3">
        <f>IF('ORDENES'!$A739="","",IF('ORDENES'!$V739="","-",'ORDENES'!$V739))</f>
        <v/>
      </c>
      <c r="E761" s="3">
        <f>IF('ORDENES'!$A739="","",IF('ORDENES'!$U739="","-",'ORDENES'!$U739))</f>
        <v/>
      </c>
      <c r="F761" s="3">
        <f>IF('ORDENES'!$A739="","",IF('ORDENES'!$W739="","-",'ORDENES'!$W739))</f>
        <v/>
      </c>
      <c r="G761" s="3">
        <f>IF('ORDENES'!$A739="","",IF('ORDENES'!$AB739="","-",'ORDENES'!$AB739))</f>
        <v/>
      </c>
      <c r="H761" s="3">
        <f>IF('ORDENES'!$A739="","",IF('ORDENES'!$AN739="","-",'ORDENES'!$AN739))</f>
        <v/>
      </c>
      <c r="I761" s="3">
        <f>IF('ORDENES'!$A739="","",IF('ORDENES'!$D739="","-",'ORDENES'!$D739))</f>
        <v/>
      </c>
      <c r="J761" s="3">
        <f>IF('ORDENES'!$A739="","",IF('ORDENES'!$E739="","-",'ORDENES'!$E739))</f>
        <v/>
      </c>
      <c r="K761" s="12">
        <f>IF('ORDENES'!$A739="","",IF('ORDENES'!$M739="",0,'ORDENES'!$M739))</f>
        <v/>
      </c>
      <c r="L761" s="3">
        <f>IF('ORDENES'!$A739="","",IF('ORDENES'!$N739="","-",'ORDENES'!$N739))</f>
        <v/>
      </c>
      <c r="M761" s="3">
        <f>IF('ORDENES'!$A739="","",'ORDENES'!$AA739)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IF('ORDENES'!$A740="","",IF('ORDENES'!$AC740="","-",'ORDENES'!$AC740))</f>
        <v/>
      </c>
      <c r="D762" s="3">
        <f>IF('ORDENES'!$A740="","",IF('ORDENES'!$V740="","-",'ORDENES'!$V740))</f>
        <v/>
      </c>
      <c r="E762" s="3">
        <f>IF('ORDENES'!$A740="","",IF('ORDENES'!$U740="","-",'ORDENES'!$U740))</f>
        <v/>
      </c>
      <c r="F762" s="3">
        <f>IF('ORDENES'!$A740="","",IF('ORDENES'!$W740="","-",'ORDENES'!$W740))</f>
        <v/>
      </c>
      <c r="G762" s="3">
        <f>IF('ORDENES'!$A740="","",IF('ORDENES'!$AB740="","-",'ORDENES'!$AB740))</f>
        <v/>
      </c>
      <c r="H762" s="3">
        <f>IF('ORDENES'!$A740="","",IF('ORDENES'!$AN740="","-",'ORDENES'!$AN740))</f>
        <v/>
      </c>
      <c r="I762" s="3">
        <f>IF('ORDENES'!$A740="","",IF('ORDENES'!$D740="","-",'ORDENES'!$D740))</f>
        <v/>
      </c>
      <c r="J762" s="3">
        <f>IF('ORDENES'!$A740="","",IF('ORDENES'!$E740="","-",'ORDENES'!$E740))</f>
        <v/>
      </c>
      <c r="K762" s="12">
        <f>IF('ORDENES'!$A740="","",IF('ORDENES'!$M740="",0,'ORDENES'!$M740))</f>
        <v/>
      </c>
      <c r="L762" s="3">
        <f>IF('ORDENES'!$A740="","",IF('ORDENES'!$N740="","-",'ORDENES'!$N740))</f>
        <v/>
      </c>
      <c r="M762" s="3">
        <f>IF('ORDENES'!$A740="","",'ORDENES'!$AA740)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IF('ORDENES'!$A741="","",IF('ORDENES'!$AC741="","-",'ORDENES'!$AC741))</f>
        <v/>
      </c>
      <c r="D763" s="3">
        <f>IF('ORDENES'!$A741="","",IF('ORDENES'!$V741="","-",'ORDENES'!$V741))</f>
        <v/>
      </c>
      <c r="E763" s="3">
        <f>IF('ORDENES'!$A741="","",IF('ORDENES'!$U741="","-",'ORDENES'!$U741))</f>
        <v/>
      </c>
      <c r="F763" s="3">
        <f>IF('ORDENES'!$A741="","",IF('ORDENES'!$W741="","-",'ORDENES'!$W741))</f>
        <v/>
      </c>
      <c r="G763" s="3">
        <f>IF('ORDENES'!$A741="","",IF('ORDENES'!$AB741="","-",'ORDENES'!$AB741))</f>
        <v/>
      </c>
      <c r="H763" s="3">
        <f>IF('ORDENES'!$A741="","",IF('ORDENES'!$AN741="","-",'ORDENES'!$AN741))</f>
        <v/>
      </c>
      <c r="I763" s="3">
        <f>IF('ORDENES'!$A741="","",IF('ORDENES'!$D741="","-",'ORDENES'!$D741))</f>
        <v/>
      </c>
      <c r="J763" s="3">
        <f>IF('ORDENES'!$A741="","",IF('ORDENES'!$E741="","-",'ORDENES'!$E741))</f>
        <v/>
      </c>
      <c r="K763" s="12">
        <f>IF('ORDENES'!$A741="","",IF('ORDENES'!$M741="",0,'ORDENES'!$M741))</f>
        <v/>
      </c>
      <c r="L763" s="3">
        <f>IF('ORDENES'!$A741="","",IF('ORDENES'!$N741="","-",'ORDENES'!$N741))</f>
        <v/>
      </c>
      <c r="M763" s="3">
        <f>IF('ORDENES'!$A741="","",'ORDENES'!$AA741)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IF('ORDENES'!$A742="","",IF('ORDENES'!$AC742="","-",'ORDENES'!$AC742))</f>
        <v/>
      </c>
      <c r="D764" s="3">
        <f>IF('ORDENES'!$A742="","",IF('ORDENES'!$V742="","-",'ORDENES'!$V742))</f>
        <v/>
      </c>
      <c r="E764" s="3">
        <f>IF('ORDENES'!$A742="","",IF('ORDENES'!$U742="","-",'ORDENES'!$U742))</f>
        <v/>
      </c>
      <c r="F764" s="3">
        <f>IF('ORDENES'!$A742="","",IF('ORDENES'!$W742="","-",'ORDENES'!$W742))</f>
        <v/>
      </c>
      <c r="G764" s="3">
        <f>IF('ORDENES'!$A742="","",IF('ORDENES'!$AB742="","-",'ORDENES'!$AB742))</f>
        <v/>
      </c>
      <c r="H764" s="3">
        <f>IF('ORDENES'!$A742="","",IF('ORDENES'!$AN742="","-",'ORDENES'!$AN742))</f>
        <v/>
      </c>
      <c r="I764" s="3">
        <f>IF('ORDENES'!$A742="","",IF('ORDENES'!$D742="","-",'ORDENES'!$D742))</f>
        <v/>
      </c>
      <c r="J764" s="3">
        <f>IF('ORDENES'!$A742="","",IF('ORDENES'!$E742="","-",'ORDENES'!$E742))</f>
        <v/>
      </c>
      <c r="K764" s="12">
        <f>IF('ORDENES'!$A742="","",IF('ORDENES'!$M742="",0,'ORDENES'!$M742))</f>
        <v/>
      </c>
      <c r="L764" s="3">
        <f>IF('ORDENES'!$A742="","",IF('ORDENES'!$N742="","-",'ORDENES'!$N742))</f>
        <v/>
      </c>
      <c r="M764" s="3">
        <f>IF('ORDENES'!$A742="","",'ORDENES'!$AA742)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IF('ORDENES'!$A743="","",IF('ORDENES'!$AC743="","-",'ORDENES'!$AC743))</f>
        <v/>
      </c>
      <c r="D765" s="3">
        <f>IF('ORDENES'!$A743="","",IF('ORDENES'!$V743="","-",'ORDENES'!$V743))</f>
        <v/>
      </c>
      <c r="E765" s="3">
        <f>IF('ORDENES'!$A743="","",IF('ORDENES'!$U743="","-",'ORDENES'!$U743))</f>
        <v/>
      </c>
      <c r="F765" s="3">
        <f>IF('ORDENES'!$A743="","",IF('ORDENES'!$W743="","-",'ORDENES'!$W743))</f>
        <v/>
      </c>
      <c r="G765" s="3">
        <f>IF('ORDENES'!$A743="","",IF('ORDENES'!$AB743="","-",'ORDENES'!$AB743))</f>
        <v/>
      </c>
      <c r="H765" s="3">
        <f>IF('ORDENES'!$A743="","",IF('ORDENES'!$AN743="","-",'ORDENES'!$AN743))</f>
        <v/>
      </c>
      <c r="I765" s="3">
        <f>IF('ORDENES'!$A743="","",IF('ORDENES'!$D743="","-",'ORDENES'!$D743))</f>
        <v/>
      </c>
      <c r="J765" s="3">
        <f>IF('ORDENES'!$A743="","",IF('ORDENES'!$E743="","-",'ORDENES'!$E743))</f>
        <v/>
      </c>
      <c r="K765" s="12">
        <f>IF('ORDENES'!$A743="","",IF('ORDENES'!$M743="",0,'ORDENES'!$M743))</f>
        <v/>
      </c>
      <c r="L765" s="3">
        <f>IF('ORDENES'!$A743="","",IF('ORDENES'!$N743="","-",'ORDENES'!$N743))</f>
        <v/>
      </c>
      <c r="M765" s="3">
        <f>IF('ORDENES'!$A743="","",'ORDENES'!$AA743)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IF('ORDENES'!$A744="","",IF('ORDENES'!$AC744="","-",'ORDENES'!$AC744))</f>
        <v/>
      </c>
      <c r="D766" s="3">
        <f>IF('ORDENES'!$A744="","",IF('ORDENES'!$V744="","-",'ORDENES'!$V744))</f>
        <v/>
      </c>
      <c r="E766" s="3">
        <f>IF('ORDENES'!$A744="","",IF('ORDENES'!$U744="","-",'ORDENES'!$U744))</f>
        <v/>
      </c>
      <c r="F766" s="3">
        <f>IF('ORDENES'!$A744="","",IF('ORDENES'!$W744="","-",'ORDENES'!$W744))</f>
        <v/>
      </c>
      <c r="G766" s="3">
        <f>IF('ORDENES'!$A744="","",IF('ORDENES'!$AB744="","-",'ORDENES'!$AB744))</f>
        <v/>
      </c>
      <c r="H766" s="3">
        <f>IF('ORDENES'!$A744="","",IF('ORDENES'!$AN744="","-",'ORDENES'!$AN744))</f>
        <v/>
      </c>
      <c r="I766" s="3">
        <f>IF('ORDENES'!$A744="","",IF('ORDENES'!$D744="","-",'ORDENES'!$D744))</f>
        <v/>
      </c>
      <c r="J766" s="3">
        <f>IF('ORDENES'!$A744="","",IF('ORDENES'!$E744="","-",'ORDENES'!$E744))</f>
        <v/>
      </c>
      <c r="K766" s="12">
        <f>IF('ORDENES'!$A744="","",IF('ORDENES'!$M744="",0,'ORDENES'!$M744))</f>
        <v/>
      </c>
      <c r="L766" s="3">
        <f>IF('ORDENES'!$A744="","",IF('ORDENES'!$N744="","-",'ORDENES'!$N744))</f>
        <v/>
      </c>
      <c r="M766" s="3">
        <f>IF('ORDENES'!$A744="","",'ORDENES'!$AA744)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IF('ORDENES'!$A745="","",IF('ORDENES'!$AC745="","-",'ORDENES'!$AC745))</f>
        <v/>
      </c>
      <c r="D767" s="3">
        <f>IF('ORDENES'!$A745="","",IF('ORDENES'!$V745="","-",'ORDENES'!$V745))</f>
        <v/>
      </c>
      <c r="E767" s="3">
        <f>IF('ORDENES'!$A745="","",IF('ORDENES'!$U745="","-",'ORDENES'!$U745))</f>
        <v/>
      </c>
      <c r="F767" s="3">
        <f>IF('ORDENES'!$A745="","",IF('ORDENES'!$W745="","-",'ORDENES'!$W745))</f>
        <v/>
      </c>
      <c r="G767" s="3">
        <f>IF('ORDENES'!$A745="","",IF('ORDENES'!$AB745="","-",'ORDENES'!$AB745))</f>
        <v/>
      </c>
      <c r="H767" s="3">
        <f>IF('ORDENES'!$A745="","",IF('ORDENES'!$AN745="","-",'ORDENES'!$AN745))</f>
        <v/>
      </c>
      <c r="I767" s="3">
        <f>IF('ORDENES'!$A745="","",IF('ORDENES'!$D745="","-",'ORDENES'!$D745))</f>
        <v/>
      </c>
      <c r="J767" s="3">
        <f>IF('ORDENES'!$A745="","",IF('ORDENES'!$E745="","-",'ORDENES'!$E745))</f>
        <v/>
      </c>
      <c r="K767" s="12">
        <f>IF('ORDENES'!$A745="","",IF('ORDENES'!$M745="",0,'ORDENES'!$M745))</f>
        <v/>
      </c>
      <c r="L767" s="3">
        <f>IF('ORDENES'!$A745="","",IF('ORDENES'!$N745="","-",'ORDENES'!$N745))</f>
        <v/>
      </c>
      <c r="M767" s="3">
        <f>IF('ORDENES'!$A745="","",'ORDENES'!$AA745)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IF('ORDENES'!$A746="","",IF('ORDENES'!$AC746="","-",'ORDENES'!$AC746))</f>
        <v/>
      </c>
      <c r="D768" s="3">
        <f>IF('ORDENES'!$A746="","",IF('ORDENES'!$V746="","-",'ORDENES'!$V746))</f>
        <v/>
      </c>
      <c r="E768" s="3">
        <f>IF('ORDENES'!$A746="","",IF('ORDENES'!$U746="","-",'ORDENES'!$U746))</f>
        <v/>
      </c>
      <c r="F768" s="3">
        <f>IF('ORDENES'!$A746="","",IF('ORDENES'!$W746="","-",'ORDENES'!$W746))</f>
        <v/>
      </c>
      <c r="G768" s="3">
        <f>IF('ORDENES'!$A746="","",IF('ORDENES'!$AB746="","-",'ORDENES'!$AB746))</f>
        <v/>
      </c>
      <c r="H768" s="3">
        <f>IF('ORDENES'!$A746="","",IF('ORDENES'!$AN746="","-",'ORDENES'!$AN746))</f>
        <v/>
      </c>
      <c r="I768" s="3">
        <f>IF('ORDENES'!$A746="","",IF('ORDENES'!$D746="","-",'ORDENES'!$D746))</f>
        <v/>
      </c>
      <c r="J768" s="3">
        <f>IF('ORDENES'!$A746="","",IF('ORDENES'!$E746="","-",'ORDENES'!$E746))</f>
        <v/>
      </c>
      <c r="K768" s="12">
        <f>IF('ORDENES'!$A746="","",IF('ORDENES'!$M746="",0,'ORDENES'!$M746))</f>
        <v/>
      </c>
      <c r="L768" s="3">
        <f>IF('ORDENES'!$A746="","",IF('ORDENES'!$N746="","-",'ORDENES'!$N746))</f>
        <v/>
      </c>
      <c r="M768" s="3">
        <f>IF('ORDENES'!$A746="","",'ORDENES'!$AA746)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IF('ORDENES'!$A747="","",IF('ORDENES'!$AC747="","-",'ORDENES'!$AC747))</f>
        <v/>
      </c>
      <c r="D769" s="3">
        <f>IF('ORDENES'!$A747="","",IF('ORDENES'!$V747="","-",'ORDENES'!$V747))</f>
        <v/>
      </c>
      <c r="E769" s="3">
        <f>IF('ORDENES'!$A747="","",IF('ORDENES'!$U747="","-",'ORDENES'!$U747))</f>
        <v/>
      </c>
      <c r="F769" s="3">
        <f>IF('ORDENES'!$A747="","",IF('ORDENES'!$W747="","-",'ORDENES'!$W747))</f>
        <v/>
      </c>
      <c r="G769" s="3">
        <f>IF('ORDENES'!$A747="","",IF('ORDENES'!$AB747="","-",'ORDENES'!$AB747))</f>
        <v/>
      </c>
      <c r="H769" s="3">
        <f>IF('ORDENES'!$A747="","",IF('ORDENES'!$AN747="","-",'ORDENES'!$AN747))</f>
        <v/>
      </c>
      <c r="I769" s="3">
        <f>IF('ORDENES'!$A747="","",IF('ORDENES'!$D747="","-",'ORDENES'!$D747))</f>
        <v/>
      </c>
      <c r="J769" s="3">
        <f>IF('ORDENES'!$A747="","",IF('ORDENES'!$E747="","-",'ORDENES'!$E747))</f>
        <v/>
      </c>
      <c r="K769" s="12">
        <f>IF('ORDENES'!$A747="","",IF('ORDENES'!$M747="",0,'ORDENES'!$M747))</f>
        <v/>
      </c>
      <c r="L769" s="3">
        <f>IF('ORDENES'!$A747="","",IF('ORDENES'!$N747="","-",'ORDENES'!$N747))</f>
        <v/>
      </c>
      <c r="M769" s="3">
        <f>IF('ORDENES'!$A747="","",'ORDENES'!$AA747)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IF('ORDENES'!$A748="","",IF('ORDENES'!$AC748="","-",'ORDENES'!$AC748))</f>
        <v/>
      </c>
      <c r="D770" s="3">
        <f>IF('ORDENES'!$A748="","",IF('ORDENES'!$V748="","-",'ORDENES'!$V748))</f>
        <v/>
      </c>
      <c r="E770" s="3">
        <f>IF('ORDENES'!$A748="","",IF('ORDENES'!$U748="","-",'ORDENES'!$U748))</f>
        <v/>
      </c>
      <c r="F770" s="3">
        <f>IF('ORDENES'!$A748="","",IF('ORDENES'!$W748="","-",'ORDENES'!$W748))</f>
        <v/>
      </c>
      <c r="G770" s="3">
        <f>IF('ORDENES'!$A748="","",IF('ORDENES'!$AB748="","-",'ORDENES'!$AB748))</f>
        <v/>
      </c>
      <c r="H770" s="3">
        <f>IF('ORDENES'!$A748="","",IF('ORDENES'!$AN748="","-",'ORDENES'!$AN748))</f>
        <v/>
      </c>
      <c r="I770" s="3">
        <f>IF('ORDENES'!$A748="","",IF('ORDENES'!$D748="","-",'ORDENES'!$D748))</f>
        <v/>
      </c>
      <c r="J770" s="3">
        <f>IF('ORDENES'!$A748="","",IF('ORDENES'!$E748="","-",'ORDENES'!$E748))</f>
        <v/>
      </c>
      <c r="K770" s="12">
        <f>IF('ORDENES'!$A748="","",IF('ORDENES'!$M748="",0,'ORDENES'!$M748))</f>
        <v/>
      </c>
      <c r="L770" s="3">
        <f>IF('ORDENES'!$A748="","",IF('ORDENES'!$N748="","-",'ORDENES'!$N748))</f>
        <v/>
      </c>
      <c r="M770" s="3">
        <f>IF('ORDENES'!$A748="","",'ORDENES'!$AA748)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IF('ORDENES'!$A749="","",IF('ORDENES'!$AC749="","-",'ORDENES'!$AC749))</f>
        <v/>
      </c>
      <c r="D771" s="3">
        <f>IF('ORDENES'!$A749="","",IF('ORDENES'!$V749="","-",'ORDENES'!$V749))</f>
        <v/>
      </c>
      <c r="E771" s="3">
        <f>IF('ORDENES'!$A749="","",IF('ORDENES'!$U749="","-",'ORDENES'!$U749))</f>
        <v/>
      </c>
      <c r="F771" s="3">
        <f>IF('ORDENES'!$A749="","",IF('ORDENES'!$W749="","-",'ORDENES'!$W749))</f>
        <v/>
      </c>
      <c r="G771" s="3">
        <f>IF('ORDENES'!$A749="","",IF('ORDENES'!$AB749="","-",'ORDENES'!$AB749))</f>
        <v/>
      </c>
      <c r="H771" s="3">
        <f>IF('ORDENES'!$A749="","",IF('ORDENES'!$AN749="","-",'ORDENES'!$AN749))</f>
        <v/>
      </c>
      <c r="I771" s="3">
        <f>IF('ORDENES'!$A749="","",IF('ORDENES'!$D749="","-",'ORDENES'!$D749))</f>
        <v/>
      </c>
      <c r="J771" s="3">
        <f>IF('ORDENES'!$A749="","",IF('ORDENES'!$E749="","-",'ORDENES'!$E749))</f>
        <v/>
      </c>
      <c r="K771" s="12">
        <f>IF('ORDENES'!$A749="","",IF('ORDENES'!$M749="",0,'ORDENES'!$M749))</f>
        <v/>
      </c>
      <c r="L771" s="3">
        <f>IF('ORDENES'!$A749="","",IF('ORDENES'!$N749="","-",'ORDENES'!$N749))</f>
        <v/>
      </c>
      <c r="M771" s="3">
        <f>IF('ORDENES'!$A749="","",'ORDENES'!$AA749)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IF('ORDENES'!$A750="","",IF('ORDENES'!$AC750="","-",'ORDENES'!$AC750))</f>
        <v/>
      </c>
      <c r="D772" s="3">
        <f>IF('ORDENES'!$A750="","",IF('ORDENES'!$V750="","-",'ORDENES'!$V750))</f>
        <v/>
      </c>
      <c r="E772" s="3">
        <f>IF('ORDENES'!$A750="","",IF('ORDENES'!$U750="","-",'ORDENES'!$U750))</f>
        <v/>
      </c>
      <c r="F772" s="3">
        <f>IF('ORDENES'!$A750="","",IF('ORDENES'!$W750="","-",'ORDENES'!$W750))</f>
        <v/>
      </c>
      <c r="G772" s="3">
        <f>IF('ORDENES'!$A750="","",IF('ORDENES'!$AB750="","-",'ORDENES'!$AB750))</f>
        <v/>
      </c>
      <c r="H772" s="3">
        <f>IF('ORDENES'!$A750="","",IF('ORDENES'!$AN750="","-",'ORDENES'!$AN750))</f>
        <v/>
      </c>
      <c r="I772" s="3">
        <f>IF('ORDENES'!$A750="","",IF('ORDENES'!$D750="","-",'ORDENES'!$D750))</f>
        <v/>
      </c>
      <c r="J772" s="3">
        <f>IF('ORDENES'!$A750="","",IF('ORDENES'!$E750="","-",'ORDENES'!$E750))</f>
        <v/>
      </c>
      <c r="K772" s="12">
        <f>IF('ORDENES'!$A750="","",IF('ORDENES'!$M750="",0,'ORDENES'!$M750))</f>
        <v/>
      </c>
      <c r="L772" s="3">
        <f>IF('ORDENES'!$A750="","",IF('ORDENES'!$N750="","-",'ORDENES'!$N750))</f>
        <v/>
      </c>
      <c r="M772" s="3">
        <f>IF('ORDENES'!$A750="","",'ORDENES'!$AA750)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IF('ORDENES'!$A751="","",IF('ORDENES'!$AC751="","-",'ORDENES'!$AC751))</f>
        <v/>
      </c>
      <c r="D773" s="3">
        <f>IF('ORDENES'!$A751="","",IF('ORDENES'!$V751="","-",'ORDENES'!$V751))</f>
        <v/>
      </c>
      <c r="E773" s="3">
        <f>IF('ORDENES'!$A751="","",IF('ORDENES'!$U751="","-",'ORDENES'!$U751))</f>
        <v/>
      </c>
      <c r="F773" s="3">
        <f>IF('ORDENES'!$A751="","",IF('ORDENES'!$W751="","-",'ORDENES'!$W751))</f>
        <v/>
      </c>
      <c r="G773" s="3">
        <f>IF('ORDENES'!$A751="","",IF('ORDENES'!$AB751="","-",'ORDENES'!$AB751))</f>
        <v/>
      </c>
      <c r="H773" s="3">
        <f>IF('ORDENES'!$A751="","",IF('ORDENES'!$AN751="","-",'ORDENES'!$AN751))</f>
        <v/>
      </c>
      <c r="I773" s="3">
        <f>IF('ORDENES'!$A751="","",IF('ORDENES'!$D751="","-",'ORDENES'!$D751))</f>
        <v/>
      </c>
      <c r="J773" s="3">
        <f>IF('ORDENES'!$A751="","",IF('ORDENES'!$E751="","-",'ORDENES'!$E751))</f>
        <v/>
      </c>
      <c r="K773" s="12">
        <f>IF('ORDENES'!$A751="","",IF('ORDENES'!$M751="",0,'ORDENES'!$M751))</f>
        <v/>
      </c>
      <c r="L773" s="3">
        <f>IF('ORDENES'!$A751="","",IF('ORDENES'!$N751="","-",'ORDENES'!$N751))</f>
        <v/>
      </c>
      <c r="M773" s="3">
        <f>IF('ORDENES'!$A751="","",'ORDENES'!$AA751)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IF('ORDENES'!$A752="","",IF('ORDENES'!$AC752="","-",'ORDENES'!$AC752))</f>
        <v/>
      </c>
      <c r="D774" s="3">
        <f>IF('ORDENES'!$A752="","",IF('ORDENES'!$V752="","-",'ORDENES'!$V752))</f>
        <v/>
      </c>
      <c r="E774" s="3">
        <f>IF('ORDENES'!$A752="","",IF('ORDENES'!$U752="","-",'ORDENES'!$U752))</f>
        <v/>
      </c>
      <c r="F774" s="3">
        <f>IF('ORDENES'!$A752="","",IF('ORDENES'!$W752="","-",'ORDENES'!$W752))</f>
        <v/>
      </c>
      <c r="G774" s="3">
        <f>IF('ORDENES'!$A752="","",IF('ORDENES'!$AB752="","-",'ORDENES'!$AB752))</f>
        <v/>
      </c>
      <c r="H774" s="3">
        <f>IF('ORDENES'!$A752="","",IF('ORDENES'!$AN752="","-",'ORDENES'!$AN752))</f>
        <v/>
      </c>
      <c r="I774" s="3">
        <f>IF('ORDENES'!$A752="","",IF('ORDENES'!$D752="","-",'ORDENES'!$D752))</f>
        <v/>
      </c>
      <c r="J774" s="3">
        <f>IF('ORDENES'!$A752="","",IF('ORDENES'!$E752="","-",'ORDENES'!$E752))</f>
        <v/>
      </c>
      <c r="K774" s="12">
        <f>IF('ORDENES'!$A752="","",IF('ORDENES'!$M752="",0,'ORDENES'!$M752))</f>
        <v/>
      </c>
      <c r="L774" s="3">
        <f>IF('ORDENES'!$A752="","",IF('ORDENES'!$N752="","-",'ORDENES'!$N752))</f>
        <v/>
      </c>
      <c r="M774" s="3">
        <f>IF('ORDENES'!$A752="","",'ORDENES'!$AA752)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IF('ORDENES'!$A753="","",IF('ORDENES'!$AC753="","-",'ORDENES'!$AC753))</f>
        <v/>
      </c>
      <c r="D775" s="3">
        <f>IF('ORDENES'!$A753="","",IF('ORDENES'!$V753="","-",'ORDENES'!$V753))</f>
        <v/>
      </c>
      <c r="E775" s="3">
        <f>IF('ORDENES'!$A753="","",IF('ORDENES'!$U753="","-",'ORDENES'!$U753))</f>
        <v/>
      </c>
      <c r="F775" s="3">
        <f>IF('ORDENES'!$A753="","",IF('ORDENES'!$W753="","-",'ORDENES'!$W753))</f>
        <v/>
      </c>
      <c r="G775" s="3">
        <f>IF('ORDENES'!$A753="","",IF('ORDENES'!$AB753="","-",'ORDENES'!$AB753))</f>
        <v/>
      </c>
      <c r="H775" s="3">
        <f>IF('ORDENES'!$A753="","",IF('ORDENES'!$AN753="","-",'ORDENES'!$AN753))</f>
        <v/>
      </c>
      <c r="I775" s="3">
        <f>IF('ORDENES'!$A753="","",IF('ORDENES'!$D753="","-",'ORDENES'!$D753))</f>
        <v/>
      </c>
      <c r="J775" s="3">
        <f>IF('ORDENES'!$A753="","",IF('ORDENES'!$E753="","-",'ORDENES'!$E753))</f>
        <v/>
      </c>
      <c r="K775" s="12">
        <f>IF('ORDENES'!$A753="","",IF('ORDENES'!$M753="",0,'ORDENES'!$M753))</f>
        <v/>
      </c>
      <c r="L775" s="3">
        <f>IF('ORDENES'!$A753="","",IF('ORDENES'!$N753="","-",'ORDENES'!$N753))</f>
        <v/>
      </c>
      <c r="M775" s="3">
        <f>IF('ORDENES'!$A753="","",'ORDENES'!$AA753)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IF('ORDENES'!$A754="","",IF('ORDENES'!$AC754="","-",'ORDENES'!$AC754))</f>
        <v/>
      </c>
      <c r="D776" s="3">
        <f>IF('ORDENES'!$A754="","",IF('ORDENES'!$V754="","-",'ORDENES'!$V754))</f>
        <v/>
      </c>
      <c r="E776" s="3">
        <f>IF('ORDENES'!$A754="","",IF('ORDENES'!$U754="","-",'ORDENES'!$U754))</f>
        <v/>
      </c>
      <c r="F776" s="3">
        <f>IF('ORDENES'!$A754="","",IF('ORDENES'!$W754="","-",'ORDENES'!$W754))</f>
        <v/>
      </c>
      <c r="G776" s="3">
        <f>IF('ORDENES'!$A754="","",IF('ORDENES'!$AB754="","-",'ORDENES'!$AB754))</f>
        <v/>
      </c>
      <c r="H776" s="3">
        <f>IF('ORDENES'!$A754="","",IF('ORDENES'!$AN754="","-",'ORDENES'!$AN754))</f>
        <v/>
      </c>
      <c r="I776" s="3">
        <f>IF('ORDENES'!$A754="","",IF('ORDENES'!$D754="","-",'ORDENES'!$D754))</f>
        <v/>
      </c>
      <c r="J776" s="3">
        <f>IF('ORDENES'!$A754="","",IF('ORDENES'!$E754="","-",'ORDENES'!$E754))</f>
        <v/>
      </c>
      <c r="K776" s="12">
        <f>IF('ORDENES'!$A754="","",IF('ORDENES'!$M754="",0,'ORDENES'!$M754))</f>
        <v/>
      </c>
      <c r="L776" s="3">
        <f>IF('ORDENES'!$A754="","",IF('ORDENES'!$N754="","-",'ORDENES'!$N754))</f>
        <v/>
      </c>
      <c r="M776" s="3">
        <f>IF('ORDENES'!$A754="","",'ORDENES'!$AA754)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IF('ORDENES'!$A755="","",IF('ORDENES'!$AC755="","-",'ORDENES'!$AC755))</f>
        <v/>
      </c>
      <c r="D777" s="3">
        <f>IF('ORDENES'!$A755="","",IF('ORDENES'!$V755="","-",'ORDENES'!$V755))</f>
        <v/>
      </c>
      <c r="E777" s="3">
        <f>IF('ORDENES'!$A755="","",IF('ORDENES'!$U755="","-",'ORDENES'!$U755))</f>
        <v/>
      </c>
      <c r="F777" s="3">
        <f>IF('ORDENES'!$A755="","",IF('ORDENES'!$W755="","-",'ORDENES'!$W755))</f>
        <v/>
      </c>
      <c r="G777" s="3">
        <f>IF('ORDENES'!$A755="","",IF('ORDENES'!$AB755="","-",'ORDENES'!$AB755))</f>
        <v/>
      </c>
      <c r="H777" s="3">
        <f>IF('ORDENES'!$A755="","",IF('ORDENES'!$AN755="","-",'ORDENES'!$AN755))</f>
        <v/>
      </c>
      <c r="I777" s="3">
        <f>IF('ORDENES'!$A755="","",IF('ORDENES'!$D755="","-",'ORDENES'!$D755))</f>
        <v/>
      </c>
      <c r="J777" s="3">
        <f>IF('ORDENES'!$A755="","",IF('ORDENES'!$E755="","-",'ORDENES'!$E755))</f>
        <v/>
      </c>
      <c r="K777" s="12">
        <f>IF('ORDENES'!$A755="","",IF('ORDENES'!$M755="",0,'ORDENES'!$M755))</f>
        <v/>
      </c>
      <c r="L777" s="3">
        <f>IF('ORDENES'!$A755="","",IF('ORDENES'!$N755="","-",'ORDENES'!$N755))</f>
        <v/>
      </c>
      <c r="M777" s="3">
        <f>IF('ORDENES'!$A755="","",'ORDENES'!$AA755)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IF('ORDENES'!$A756="","",IF('ORDENES'!$AC756="","-",'ORDENES'!$AC756))</f>
        <v/>
      </c>
      <c r="D778" s="3">
        <f>IF('ORDENES'!$A756="","",IF('ORDENES'!$V756="","-",'ORDENES'!$V756))</f>
        <v/>
      </c>
      <c r="E778" s="3">
        <f>IF('ORDENES'!$A756="","",IF('ORDENES'!$U756="","-",'ORDENES'!$U756))</f>
        <v/>
      </c>
      <c r="F778" s="3">
        <f>IF('ORDENES'!$A756="","",IF('ORDENES'!$W756="","-",'ORDENES'!$W756))</f>
        <v/>
      </c>
      <c r="G778" s="3">
        <f>IF('ORDENES'!$A756="","",IF('ORDENES'!$AB756="","-",'ORDENES'!$AB756))</f>
        <v/>
      </c>
      <c r="H778" s="3">
        <f>IF('ORDENES'!$A756="","",IF('ORDENES'!$AN756="","-",'ORDENES'!$AN756))</f>
        <v/>
      </c>
      <c r="I778" s="3">
        <f>IF('ORDENES'!$A756="","",IF('ORDENES'!$D756="","-",'ORDENES'!$D756))</f>
        <v/>
      </c>
      <c r="J778" s="3">
        <f>IF('ORDENES'!$A756="","",IF('ORDENES'!$E756="","-",'ORDENES'!$E756))</f>
        <v/>
      </c>
      <c r="K778" s="12">
        <f>IF('ORDENES'!$A756="","",IF('ORDENES'!$M756="",0,'ORDENES'!$M756))</f>
        <v/>
      </c>
      <c r="L778" s="3">
        <f>IF('ORDENES'!$A756="","",IF('ORDENES'!$N756="","-",'ORDENES'!$N756))</f>
        <v/>
      </c>
      <c r="M778" s="3">
        <f>IF('ORDENES'!$A756="","",'ORDENES'!$AA756)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IF('ORDENES'!$A757="","",IF('ORDENES'!$AC757="","-",'ORDENES'!$AC757))</f>
        <v/>
      </c>
      <c r="D779" s="3">
        <f>IF('ORDENES'!$A757="","",IF('ORDENES'!$V757="","-",'ORDENES'!$V757))</f>
        <v/>
      </c>
      <c r="E779" s="3">
        <f>IF('ORDENES'!$A757="","",IF('ORDENES'!$U757="","-",'ORDENES'!$U757))</f>
        <v/>
      </c>
      <c r="F779" s="3">
        <f>IF('ORDENES'!$A757="","",IF('ORDENES'!$W757="","-",'ORDENES'!$W757))</f>
        <v/>
      </c>
      <c r="G779" s="3">
        <f>IF('ORDENES'!$A757="","",IF('ORDENES'!$AB757="","-",'ORDENES'!$AB757))</f>
        <v/>
      </c>
      <c r="H779" s="3">
        <f>IF('ORDENES'!$A757="","",IF('ORDENES'!$AN757="","-",'ORDENES'!$AN757))</f>
        <v/>
      </c>
      <c r="I779" s="3">
        <f>IF('ORDENES'!$A757="","",IF('ORDENES'!$D757="","-",'ORDENES'!$D757))</f>
        <v/>
      </c>
      <c r="J779" s="3">
        <f>IF('ORDENES'!$A757="","",IF('ORDENES'!$E757="","-",'ORDENES'!$E757))</f>
        <v/>
      </c>
      <c r="K779" s="12">
        <f>IF('ORDENES'!$A757="","",IF('ORDENES'!$M757="",0,'ORDENES'!$M757))</f>
        <v/>
      </c>
      <c r="L779" s="3">
        <f>IF('ORDENES'!$A757="","",IF('ORDENES'!$N757="","-",'ORDENES'!$N757))</f>
        <v/>
      </c>
      <c r="M779" s="3">
        <f>IF('ORDENES'!$A757="","",'ORDENES'!$AA757)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IF('ORDENES'!$A758="","",IF('ORDENES'!$AC758="","-",'ORDENES'!$AC758))</f>
        <v/>
      </c>
      <c r="D780" s="3">
        <f>IF('ORDENES'!$A758="","",IF('ORDENES'!$V758="","-",'ORDENES'!$V758))</f>
        <v/>
      </c>
      <c r="E780" s="3">
        <f>IF('ORDENES'!$A758="","",IF('ORDENES'!$U758="","-",'ORDENES'!$U758))</f>
        <v/>
      </c>
      <c r="F780" s="3">
        <f>IF('ORDENES'!$A758="","",IF('ORDENES'!$W758="","-",'ORDENES'!$W758))</f>
        <v/>
      </c>
      <c r="G780" s="3">
        <f>IF('ORDENES'!$A758="","",IF('ORDENES'!$AB758="","-",'ORDENES'!$AB758))</f>
        <v/>
      </c>
      <c r="H780" s="3">
        <f>IF('ORDENES'!$A758="","",IF('ORDENES'!$AN758="","-",'ORDENES'!$AN758))</f>
        <v/>
      </c>
      <c r="I780" s="3">
        <f>IF('ORDENES'!$A758="","",IF('ORDENES'!$D758="","-",'ORDENES'!$D758))</f>
        <v/>
      </c>
      <c r="J780" s="3">
        <f>IF('ORDENES'!$A758="","",IF('ORDENES'!$E758="","-",'ORDENES'!$E758))</f>
        <v/>
      </c>
      <c r="K780" s="12">
        <f>IF('ORDENES'!$A758="","",IF('ORDENES'!$M758="",0,'ORDENES'!$M758))</f>
        <v/>
      </c>
      <c r="L780" s="3">
        <f>IF('ORDENES'!$A758="","",IF('ORDENES'!$N758="","-",'ORDENES'!$N758))</f>
        <v/>
      </c>
      <c r="M780" s="3">
        <f>IF('ORDENES'!$A758="","",'ORDENES'!$AA758)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IF('ORDENES'!$A759="","",IF('ORDENES'!$AC759="","-",'ORDENES'!$AC759))</f>
        <v/>
      </c>
      <c r="D781" s="3">
        <f>IF('ORDENES'!$A759="","",IF('ORDENES'!$V759="","-",'ORDENES'!$V759))</f>
        <v/>
      </c>
      <c r="E781" s="3">
        <f>IF('ORDENES'!$A759="","",IF('ORDENES'!$U759="","-",'ORDENES'!$U759))</f>
        <v/>
      </c>
      <c r="F781" s="3">
        <f>IF('ORDENES'!$A759="","",IF('ORDENES'!$W759="","-",'ORDENES'!$W759))</f>
        <v/>
      </c>
      <c r="G781" s="3">
        <f>IF('ORDENES'!$A759="","",IF('ORDENES'!$AB759="","-",'ORDENES'!$AB759))</f>
        <v/>
      </c>
      <c r="H781" s="3">
        <f>IF('ORDENES'!$A759="","",IF('ORDENES'!$AN759="","-",'ORDENES'!$AN759))</f>
        <v/>
      </c>
      <c r="I781" s="3">
        <f>IF('ORDENES'!$A759="","",IF('ORDENES'!$D759="","-",'ORDENES'!$D759))</f>
        <v/>
      </c>
      <c r="J781" s="3">
        <f>IF('ORDENES'!$A759="","",IF('ORDENES'!$E759="","-",'ORDENES'!$E759))</f>
        <v/>
      </c>
      <c r="K781" s="12">
        <f>IF('ORDENES'!$A759="","",IF('ORDENES'!$M759="",0,'ORDENES'!$M759))</f>
        <v/>
      </c>
      <c r="L781" s="3">
        <f>IF('ORDENES'!$A759="","",IF('ORDENES'!$N759="","-",'ORDENES'!$N759))</f>
        <v/>
      </c>
      <c r="M781" s="3">
        <f>IF('ORDENES'!$A759="","",'ORDENES'!$AA759)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IF('ORDENES'!$A760="","",IF('ORDENES'!$AC760="","-",'ORDENES'!$AC760))</f>
        <v/>
      </c>
      <c r="D782" s="3">
        <f>IF('ORDENES'!$A760="","",IF('ORDENES'!$V760="","-",'ORDENES'!$V760))</f>
        <v/>
      </c>
      <c r="E782" s="3">
        <f>IF('ORDENES'!$A760="","",IF('ORDENES'!$U760="","-",'ORDENES'!$U760))</f>
        <v/>
      </c>
      <c r="F782" s="3">
        <f>IF('ORDENES'!$A760="","",IF('ORDENES'!$W760="","-",'ORDENES'!$W760))</f>
        <v/>
      </c>
      <c r="G782" s="3">
        <f>IF('ORDENES'!$A760="","",IF('ORDENES'!$AB760="","-",'ORDENES'!$AB760))</f>
        <v/>
      </c>
      <c r="H782" s="3">
        <f>IF('ORDENES'!$A760="","",IF('ORDENES'!$AN760="","-",'ORDENES'!$AN760))</f>
        <v/>
      </c>
      <c r="I782" s="3">
        <f>IF('ORDENES'!$A760="","",IF('ORDENES'!$D760="","-",'ORDENES'!$D760))</f>
        <v/>
      </c>
      <c r="J782" s="3">
        <f>IF('ORDENES'!$A760="","",IF('ORDENES'!$E760="","-",'ORDENES'!$E760))</f>
        <v/>
      </c>
      <c r="K782" s="12">
        <f>IF('ORDENES'!$A760="","",IF('ORDENES'!$M760="",0,'ORDENES'!$M760))</f>
        <v/>
      </c>
      <c r="L782" s="3">
        <f>IF('ORDENES'!$A760="","",IF('ORDENES'!$N760="","-",'ORDENES'!$N760))</f>
        <v/>
      </c>
      <c r="M782" s="3">
        <f>IF('ORDENES'!$A760="","",'ORDENES'!$AA760)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IF('ORDENES'!$A761="","",IF('ORDENES'!$AC761="","-",'ORDENES'!$AC761))</f>
        <v/>
      </c>
      <c r="D783" s="3">
        <f>IF('ORDENES'!$A761="","",IF('ORDENES'!$V761="","-",'ORDENES'!$V761))</f>
        <v/>
      </c>
      <c r="E783" s="3">
        <f>IF('ORDENES'!$A761="","",IF('ORDENES'!$U761="","-",'ORDENES'!$U761))</f>
        <v/>
      </c>
      <c r="F783" s="3">
        <f>IF('ORDENES'!$A761="","",IF('ORDENES'!$W761="","-",'ORDENES'!$W761))</f>
        <v/>
      </c>
      <c r="G783" s="3">
        <f>IF('ORDENES'!$A761="","",IF('ORDENES'!$AB761="","-",'ORDENES'!$AB761))</f>
        <v/>
      </c>
      <c r="H783" s="3">
        <f>IF('ORDENES'!$A761="","",IF('ORDENES'!$AN761="","-",'ORDENES'!$AN761))</f>
        <v/>
      </c>
      <c r="I783" s="3">
        <f>IF('ORDENES'!$A761="","",IF('ORDENES'!$D761="","-",'ORDENES'!$D761))</f>
        <v/>
      </c>
      <c r="J783" s="3">
        <f>IF('ORDENES'!$A761="","",IF('ORDENES'!$E761="","-",'ORDENES'!$E761))</f>
        <v/>
      </c>
      <c r="K783" s="12">
        <f>IF('ORDENES'!$A761="","",IF('ORDENES'!$M761="",0,'ORDENES'!$M761))</f>
        <v/>
      </c>
      <c r="L783" s="3">
        <f>IF('ORDENES'!$A761="","",IF('ORDENES'!$N761="","-",'ORDENES'!$N761))</f>
        <v/>
      </c>
      <c r="M783" s="3">
        <f>IF('ORDENES'!$A761="","",'ORDENES'!$AA761)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IF('ORDENES'!$A762="","",IF('ORDENES'!$AC762="","-",'ORDENES'!$AC762))</f>
        <v/>
      </c>
      <c r="D784" s="3">
        <f>IF('ORDENES'!$A762="","",IF('ORDENES'!$V762="","-",'ORDENES'!$V762))</f>
        <v/>
      </c>
      <c r="E784" s="3">
        <f>IF('ORDENES'!$A762="","",IF('ORDENES'!$U762="","-",'ORDENES'!$U762))</f>
        <v/>
      </c>
      <c r="F784" s="3">
        <f>IF('ORDENES'!$A762="","",IF('ORDENES'!$W762="","-",'ORDENES'!$W762))</f>
        <v/>
      </c>
      <c r="G784" s="3">
        <f>IF('ORDENES'!$A762="","",IF('ORDENES'!$AB762="","-",'ORDENES'!$AB762))</f>
        <v/>
      </c>
      <c r="H784" s="3">
        <f>IF('ORDENES'!$A762="","",IF('ORDENES'!$AN762="","-",'ORDENES'!$AN762))</f>
        <v/>
      </c>
      <c r="I784" s="3">
        <f>IF('ORDENES'!$A762="","",IF('ORDENES'!$D762="","-",'ORDENES'!$D762))</f>
        <v/>
      </c>
      <c r="J784" s="3">
        <f>IF('ORDENES'!$A762="","",IF('ORDENES'!$E762="","-",'ORDENES'!$E762))</f>
        <v/>
      </c>
      <c r="K784" s="12">
        <f>IF('ORDENES'!$A762="","",IF('ORDENES'!$M762="",0,'ORDENES'!$M762))</f>
        <v/>
      </c>
      <c r="L784" s="3">
        <f>IF('ORDENES'!$A762="","",IF('ORDENES'!$N762="","-",'ORDENES'!$N762))</f>
        <v/>
      </c>
      <c r="M784" s="3">
        <f>IF('ORDENES'!$A762="","",'ORDENES'!$AA762)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IF('ORDENES'!$A763="","",IF('ORDENES'!$AC763="","-",'ORDENES'!$AC763))</f>
        <v/>
      </c>
      <c r="D785" s="3">
        <f>IF('ORDENES'!$A763="","",IF('ORDENES'!$V763="","-",'ORDENES'!$V763))</f>
        <v/>
      </c>
      <c r="E785" s="3">
        <f>IF('ORDENES'!$A763="","",IF('ORDENES'!$U763="","-",'ORDENES'!$U763))</f>
        <v/>
      </c>
      <c r="F785" s="3">
        <f>IF('ORDENES'!$A763="","",IF('ORDENES'!$W763="","-",'ORDENES'!$W763))</f>
        <v/>
      </c>
      <c r="G785" s="3">
        <f>IF('ORDENES'!$A763="","",IF('ORDENES'!$AB763="","-",'ORDENES'!$AB763))</f>
        <v/>
      </c>
      <c r="H785" s="3">
        <f>IF('ORDENES'!$A763="","",IF('ORDENES'!$AN763="","-",'ORDENES'!$AN763))</f>
        <v/>
      </c>
      <c r="I785" s="3">
        <f>IF('ORDENES'!$A763="","",IF('ORDENES'!$D763="","-",'ORDENES'!$D763))</f>
        <v/>
      </c>
      <c r="J785" s="3">
        <f>IF('ORDENES'!$A763="","",IF('ORDENES'!$E763="","-",'ORDENES'!$E763))</f>
        <v/>
      </c>
      <c r="K785" s="12">
        <f>IF('ORDENES'!$A763="","",IF('ORDENES'!$M763="",0,'ORDENES'!$M763))</f>
        <v/>
      </c>
      <c r="L785" s="3">
        <f>IF('ORDENES'!$A763="","",IF('ORDENES'!$N763="","-",'ORDENES'!$N763))</f>
        <v/>
      </c>
      <c r="M785" s="3">
        <f>IF('ORDENES'!$A763="","",'ORDENES'!$AA763)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IF('ORDENES'!$A764="","",IF('ORDENES'!$AC764="","-",'ORDENES'!$AC764))</f>
        <v/>
      </c>
      <c r="D786" s="3">
        <f>IF('ORDENES'!$A764="","",IF('ORDENES'!$V764="","-",'ORDENES'!$V764))</f>
        <v/>
      </c>
      <c r="E786" s="3">
        <f>IF('ORDENES'!$A764="","",IF('ORDENES'!$U764="","-",'ORDENES'!$U764))</f>
        <v/>
      </c>
      <c r="F786" s="3">
        <f>IF('ORDENES'!$A764="","",IF('ORDENES'!$W764="","-",'ORDENES'!$W764))</f>
        <v/>
      </c>
      <c r="G786" s="3">
        <f>IF('ORDENES'!$A764="","",IF('ORDENES'!$AB764="","-",'ORDENES'!$AB764))</f>
        <v/>
      </c>
      <c r="H786" s="3">
        <f>IF('ORDENES'!$A764="","",IF('ORDENES'!$AN764="","-",'ORDENES'!$AN764))</f>
        <v/>
      </c>
      <c r="I786" s="3">
        <f>IF('ORDENES'!$A764="","",IF('ORDENES'!$D764="","-",'ORDENES'!$D764))</f>
        <v/>
      </c>
      <c r="J786" s="3">
        <f>IF('ORDENES'!$A764="","",IF('ORDENES'!$E764="","-",'ORDENES'!$E764))</f>
        <v/>
      </c>
      <c r="K786" s="12">
        <f>IF('ORDENES'!$A764="","",IF('ORDENES'!$M764="",0,'ORDENES'!$M764))</f>
        <v/>
      </c>
      <c r="L786" s="3">
        <f>IF('ORDENES'!$A764="","",IF('ORDENES'!$N764="","-",'ORDENES'!$N764))</f>
        <v/>
      </c>
      <c r="M786" s="3">
        <f>IF('ORDENES'!$A764="","",'ORDENES'!$AA764)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IF('ORDENES'!$A765="","",IF('ORDENES'!$AC765="","-",'ORDENES'!$AC765))</f>
        <v/>
      </c>
      <c r="D787" s="3">
        <f>IF('ORDENES'!$A765="","",IF('ORDENES'!$V765="","-",'ORDENES'!$V765))</f>
        <v/>
      </c>
      <c r="E787" s="3">
        <f>IF('ORDENES'!$A765="","",IF('ORDENES'!$U765="","-",'ORDENES'!$U765))</f>
        <v/>
      </c>
      <c r="F787" s="3">
        <f>IF('ORDENES'!$A765="","",IF('ORDENES'!$W765="","-",'ORDENES'!$W765))</f>
        <v/>
      </c>
      <c r="G787" s="3">
        <f>IF('ORDENES'!$A765="","",IF('ORDENES'!$AB765="","-",'ORDENES'!$AB765))</f>
        <v/>
      </c>
      <c r="H787" s="3">
        <f>IF('ORDENES'!$A765="","",IF('ORDENES'!$AN765="","-",'ORDENES'!$AN765))</f>
        <v/>
      </c>
      <c r="I787" s="3">
        <f>IF('ORDENES'!$A765="","",IF('ORDENES'!$D765="","-",'ORDENES'!$D765))</f>
        <v/>
      </c>
      <c r="J787" s="3">
        <f>IF('ORDENES'!$A765="","",IF('ORDENES'!$E765="","-",'ORDENES'!$E765))</f>
        <v/>
      </c>
      <c r="K787" s="12">
        <f>IF('ORDENES'!$A765="","",IF('ORDENES'!$M765="",0,'ORDENES'!$M765))</f>
        <v/>
      </c>
      <c r="L787" s="3">
        <f>IF('ORDENES'!$A765="","",IF('ORDENES'!$N765="","-",'ORDENES'!$N765))</f>
        <v/>
      </c>
      <c r="M787" s="3">
        <f>IF('ORDENES'!$A765="","",'ORDENES'!$AA765)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IF('ORDENES'!$A766="","",IF('ORDENES'!$AC766="","-",'ORDENES'!$AC766))</f>
        <v/>
      </c>
      <c r="D788" s="3">
        <f>IF('ORDENES'!$A766="","",IF('ORDENES'!$V766="","-",'ORDENES'!$V766))</f>
        <v/>
      </c>
      <c r="E788" s="3">
        <f>IF('ORDENES'!$A766="","",IF('ORDENES'!$U766="","-",'ORDENES'!$U766))</f>
        <v/>
      </c>
      <c r="F788" s="3">
        <f>IF('ORDENES'!$A766="","",IF('ORDENES'!$W766="","-",'ORDENES'!$W766))</f>
        <v/>
      </c>
      <c r="G788" s="3">
        <f>IF('ORDENES'!$A766="","",IF('ORDENES'!$AB766="","-",'ORDENES'!$AB766))</f>
        <v/>
      </c>
      <c r="H788" s="3">
        <f>IF('ORDENES'!$A766="","",IF('ORDENES'!$AN766="","-",'ORDENES'!$AN766))</f>
        <v/>
      </c>
      <c r="I788" s="3">
        <f>IF('ORDENES'!$A766="","",IF('ORDENES'!$D766="","-",'ORDENES'!$D766))</f>
        <v/>
      </c>
      <c r="J788" s="3">
        <f>IF('ORDENES'!$A766="","",IF('ORDENES'!$E766="","-",'ORDENES'!$E766))</f>
        <v/>
      </c>
      <c r="K788" s="12">
        <f>IF('ORDENES'!$A766="","",IF('ORDENES'!$M766="",0,'ORDENES'!$M766))</f>
        <v/>
      </c>
      <c r="L788" s="3">
        <f>IF('ORDENES'!$A766="","",IF('ORDENES'!$N766="","-",'ORDENES'!$N766))</f>
        <v/>
      </c>
      <c r="M788" s="3">
        <f>IF('ORDENES'!$A766="","",'ORDENES'!$AA766)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IF('ORDENES'!$A767="","",IF('ORDENES'!$AC767="","-",'ORDENES'!$AC767))</f>
        <v/>
      </c>
      <c r="D789" s="3">
        <f>IF('ORDENES'!$A767="","",IF('ORDENES'!$V767="","-",'ORDENES'!$V767))</f>
        <v/>
      </c>
      <c r="E789" s="3">
        <f>IF('ORDENES'!$A767="","",IF('ORDENES'!$U767="","-",'ORDENES'!$U767))</f>
        <v/>
      </c>
      <c r="F789" s="3">
        <f>IF('ORDENES'!$A767="","",IF('ORDENES'!$W767="","-",'ORDENES'!$W767))</f>
        <v/>
      </c>
      <c r="G789" s="3">
        <f>IF('ORDENES'!$A767="","",IF('ORDENES'!$AB767="","-",'ORDENES'!$AB767))</f>
        <v/>
      </c>
      <c r="H789" s="3">
        <f>IF('ORDENES'!$A767="","",IF('ORDENES'!$AN767="","-",'ORDENES'!$AN767))</f>
        <v/>
      </c>
      <c r="I789" s="3">
        <f>IF('ORDENES'!$A767="","",IF('ORDENES'!$D767="","-",'ORDENES'!$D767))</f>
        <v/>
      </c>
      <c r="J789" s="3">
        <f>IF('ORDENES'!$A767="","",IF('ORDENES'!$E767="","-",'ORDENES'!$E767))</f>
        <v/>
      </c>
      <c r="K789" s="12">
        <f>IF('ORDENES'!$A767="","",IF('ORDENES'!$M767="",0,'ORDENES'!$M767))</f>
        <v/>
      </c>
      <c r="L789" s="3">
        <f>IF('ORDENES'!$A767="","",IF('ORDENES'!$N767="","-",'ORDENES'!$N767))</f>
        <v/>
      </c>
      <c r="M789" s="3">
        <f>IF('ORDENES'!$A767="","",'ORDENES'!$AA767)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IF('ORDENES'!$A768="","",IF('ORDENES'!$AC768="","-",'ORDENES'!$AC768))</f>
        <v/>
      </c>
      <c r="D790" s="3">
        <f>IF('ORDENES'!$A768="","",IF('ORDENES'!$V768="","-",'ORDENES'!$V768))</f>
        <v/>
      </c>
      <c r="E790" s="3">
        <f>IF('ORDENES'!$A768="","",IF('ORDENES'!$U768="","-",'ORDENES'!$U768))</f>
        <v/>
      </c>
      <c r="F790" s="3">
        <f>IF('ORDENES'!$A768="","",IF('ORDENES'!$W768="","-",'ORDENES'!$W768))</f>
        <v/>
      </c>
      <c r="G790" s="3">
        <f>IF('ORDENES'!$A768="","",IF('ORDENES'!$AB768="","-",'ORDENES'!$AB768))</f>
        <v/>
      </c>
      <c r="H790" s="3">
        <f>IF('ORDENES'!$A768="","",IF('ORDENES'!$AN768="","-",'ORDENES'!$AN768))</f>
        <v/>
      </c>
      <c r="I790" s="3">
        <f>IF('ORDENES'!$A768="","",IF('ORDENES'!$D768="","-",'ORDENES'!$D768))</f>
        <v/>
      </c>
      <c r="J790" s="3">
        <f>IF('ORDENES'!$A768="","",IF('ORDENES'!$E768="","-",'ORDENES'!$E768))</f>
        <v/>
      </c>
      <c r="K790" s="12">
        <f>IF('ORDENES'!$A768="","",IF('ORDENES'!$M768="",0,'ORDENES'!$M768))</f>
        <v/>
      </c>
      <c r="L790" s="3">
        <f>IF('ORDENES'!$A768="","",IF('ORDENES'!$N768="","-",'ORDENES'!$N768))</f>
        <v/>
      </c>
      <c r="M790" s="3">
        <f>IF('ORDENES'!$A768="","",'ORDENES'!$AA768)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IF('ORDENES'!$A769="","",IF('ORDENES'!$AC769="","-",'ORDENES'!$AC769))</f>
        <v/>
      </c>
      <c r="D791" s="3">
        <f>IF('ORDENES'!$A769="","",IF('ORDENES'!$V769="","-",'ORDENES'!$V769))</f>
        <v/>
      </c>
      <c r="E791" s="3">
        <f>IF('ORDENES'!$A769="","",IF('ORDENES'!$U769="","-",'ORDENES'!$U769))</f>
        <v/>
      </c>
      <c r="F791" s="3">
        <f>IF('ORDENES'!$A769="","",IF('ORDENES'!$W769="","-",'ORDENES'!$W769))</f>
        <v/>
      </c>
      <c r="G791" s="3">
        <f>IF('ORDENES'!$A769="","",IF('ORDENES'!$AB769="","-",'ORDENES'!$AB769))</f>
        <v/>
      </c>
      <c r="H791" s="3">
        <f>IF('ORDENES'!$A769="","",IF('ORDENES'!$AN769="","-",'ORDENES'!$AN769))</f>
        <v/>
      </c>
      <c r="I791" s="3">
        <f>IF('ORDENES'!$A769="","",IF('ORDENES'!$D769="","-",'ORDENES'!$D769))</f>
        <v/>
      </c>
      <c r="J791" s="3">
        <f>IF('ORDENES'!$A769="","",IF('ORDENES'!$E769="","-",'ORDENES'!$E769))</f>
        <v/>
      </c>
      <c r="K791" s="12">
        <f>IF('ORDENES'!$A769="","",IF('ORDENES'!$M769="",0,'ORDENES'!$M769))</f>
        <v/>
      </c>
      <c r="L791" s="3">
        <f>IF('ORDENES'!$A769="","",IF('ORDENES'!$N769="","-",'ORDENES'!$N769))</f>
        <v/>
      </c>
      <c r="M791" s="3">
        <f>IF('ORDENES'!$A769="","",'ORDENES'!$AA769)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IF('ORDENES'!$A770="","",IF('ORDENES'!$AC770="","-",'ORDENES'!$AC770))</f>
        <v/>
      </c>
      <c r="D792" s="3">
        <f>IF('ORDENES'!$A770="","",IF('ORDENES'!$V770="","-",'ORDENES'!$V770))</f>
        <v/>
      </c>
      <c r="E792" s="3">
        <f>IF('ORDENES'!$A770="","",IF('ORDENES'!$U770="","-",'ORDENES'!$U770))</f>
        <v/>
      </c>
      <c r="F792" s="3">
        <f>IF('ORDENES'!$A770="","",IF('ORDENES'!$W770="","-",'ORDENES'!$W770))</f>
        <v/>
      </c>
      <c r="G792" s="3">
        <f>IF('ORDENES'!$A770="","",IF('ORDENES'!$AB770="","-",'ORDENES'!$AB770))</f>
        <v/>
      </c>
      <c r="H792" s="3">
        <f>IF('ORDENES'!$A770="","",IF('ORDENES'!$AN770="","-",'ORDENES'!$AN770))</f>
        <v/>
      </c>
      <c r="I792" s="3">
        <f>IF('ORDENES'!$A770="","",IF('ORDENES'!$D770="","-",'ORDENES'!$D770))</f>
        <v/>
      </c>
      <c r="J792" s="3">
        <f>IF('ORDENES'!$A770="","",IF('ORDENES'!$E770="","-",'ORDENES'!$E770))</f>
        <v/>
      </c>
      <c r="K792" s="12">
        <f>IF('ORDENES'!$A770="","",IF('ORDENES'!$M770="",0,'ORDENES'!$M770))</f>
        <v/>
      </c>
      <c r="L792" s="3">
        <f>IF('ORDENES'!$A770="","",IF('ORDENES'!$N770="","-",'ORDENES'!$N770))</f>
        <v/>
      </c>
      <c r="M792" s="3">
        <f>IF('ORDENES'!$A770="","",'ORDENES'!$AA770)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IF('ORDENES'!$A771="","",IF('ORDENES'!$AC771="","-",'ORDENES'!$AC771))</f>
        <v/>
      </c>
      <c r="D793" s="3">
        <f>IF('ORDENES'!$A771="","",IF('ORDENES'!$V771="","-",'ORDENES'!$V771))</f>
        <v/>
      </c>
      <c r="E793" s="3">
        <f>IF('ORDENES'!$A771="","",IF('ORDENES'!$U771="","-",'ORDENES'!$U771))</f>
        <v/>
      </c>
      <c r="F793" s="3">
        <f>IF('ORDENES'!$A771="","",IF('ORDENES'!$W771="","-",'ORDENES'!$W771))</f>
        <v/>
      </c>
      <c r="G793" s="3">
        <f>IF('ORDENES'!$A771="","",IF('ORDENES'!$AB771="","-",'ORDENES'!$AB771))</f>
        <v/>
      </c>
      <c r="H793" s="3">
        <f>IF('ORDENES'!$A771="","",IF('ORDENES'!$AN771="","-",'ORDENES'!$AN771))</f>
        <v/>
      </c>
      <c r="I793" s="3">
        <f>IF('ORDENES'!$A771="","",IF('ORDENES'!$D771="","-",'ORDENES'!$D771))</f>
        <v/>
      </c>
      <c r="J793" s="3">
        <f>IF('ORDENES'!$A771="","",IF('ORDENES'!$E771="","-",'ORDENES'!$E771))</f>
        <v/>
      </c>
      <c r="K793" s="12">
        <f>IF('ORDENES'!$A771="","",IF('ORDENES'!$M771="",0,'ORDENES'!$M771))</f>
        <v/>
      </c>
      <c r="L793" s="3">
        <f>IF('ORDENES'!$A771="","",IF('ORDENES'!$N771="","-",'ORDENES'!$N771))</f>
        <v/>
      </c>
      <c r="M793" s="3">
        <f>IF('ORDENES'!$A771="","",'ORDENES'!$AA771)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IF('ORDENES'!$A772="","",IF('ORDENES'!$AC772="","-",'ORDENES'!$AC772))</f>
        <v/>
      </c>
      <c r="D794" s="3">
        <f>IF('ORDENES'!$A772="","",IF('ORDENES'!$V772="","-",'ORDENES'!$V772))</f>
        <v/>
      </c>
      <c r="E794" s="3">
        <f>IF('ORDENES'!$A772="","",IF('ORDENES'!$U772="","-",'ORDENES'!$U772))</f>
        <v/>
      </c>
      <c r="F794" s="3">
        <f>IF('ORDENES'!$A772="","",IF('ORDENES'!$W772="","-",'ORDENES'!$W772))</f>
        <v/>
      </c>
      <c r="G794" s="3">
        <f>IF('ORDENES'!$A772="","",IF('ORDENES'!$AB772="","-",'ORDENES'!$AB772))</f>
        <v/>
      </c>
      <c r="H794" s="3">
        <f>IF('ORDENES'!$A772="","",IF('ORDENES'!$AN772="","-",'ORDENES'!$AN772))</f>
        <v/>
      </c>
      <c r="I794" s="3">
        <f>IF('ORDENES'!$A772="","",IF('ORDENES'!$D772="","-",'ORDENES'!$D772))</f>
        <v/>
      </c>
      <c r="J794" s="3">
        <f>IF('ORDENES'!$A772="","",IF('ORDENES'!$E772="","-",'ORDENES'!$E772))</f>
        <v/>
      </c>
      <c r="K794" s="12">
        <f>IF('ORDENES'!$A772="","",IF('ORDENES'!$M772="",0,'ORDENES'!$M772))</f>
        <v/>
      </c>
      <c r="L794" s="3">
        <f>IF('ORDENES'!$A772="","",IF('ORDENES'!$N772="","-",'ORDENES'!$N772))</f>
        <v/>
      </c>
      <c r="M794" s="3">
        <f>IF('ORDENES'!$A772="","",'ORDENES'!$AA772)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IF('ORDENES'!$A773="","",IF('ORDENES'!$AC773="","-",'ORDENES'!$AC773))</f>
        <v/>
      </c>
      <c r="D795" s="3">
        <f>IF('ORDENES'!$A773="","",IF('ORDENES'!$V773="","-",'ORDENES'!$V773))</f>
        <v/>
      </c>
      <c r="E795" s="3">
        <f>IF('ORDENES'!$A773="","",IF('ORDENES'!$U773="","-",'ORDENES'!$U773))</f>
        <v/>
      </c>
      <c r="F795" s="3">
        <f>IF('ORDENES'!$A773="","",IF('ORDENES'!$W773="","-",'ORDENES'!$W773))</f>
        <v/>
      </c>
      <c r="G795" s="3">
        <f>IF('ORDENES'!$A773="","",IF('ORDENES'!$AB773="","-",'ORDENES'!$AB773))</f>
        <v/>
      </c>
      <c r="H795" s="3">
        <f>IF('ORDENES'!$A773="","",IF('ORDENES'!$AN773="","-",'ORDENES'!$AN773))</f>
        <v/>
      </c>
      <c r="I795" s="3">
        <f>IF('ORDENES'!$A773="","",IF('ORDENES'!$D773="","-",'ORDENES'!$D773))</f>
        <v/>
      </c>
      <c r="J795" s="3">
        <f>IF('ORDENES'!$A773="","",IF('ORDENES'!$E773="","-",'ORDENES'!$E773))</f>
        <v/>
      </c>
      <c r="K795" s="12">
        <f>IF('ORDENES'!$A773="","",IF('ORDENES'!$M773="",0,'ORDENES'!$M773))</f>
        <v/>
      </c>
      <c r="L795" s="3">
        <f>IF('ORDENES'!$A773="","",IF('ORDENES'!$N773="","-",'ORDENES'!$N773))</f>
        <v/>
      </c>
      <c r="M795" s="3">
        <f>IF('ORDENES'!$A773="","",'ORDENES'!$AA773)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IF('ORDENES'!$A774="","",IF('ORDENES'!$AC774="","-",'ORDENES'!$AC774))</f>
        <v/>
      </c>
      <c r="D796" s="3">
        <f>IF('ORDENES'!$A774="","",IF('ORDENES'!$V774="","-",'ORDENES'!$V774))</f>
        <v/>
      </c>
      <c r="E796" s="3">
        <f>IF('ORDENES'!$A774="","",IF('ORDENES'!$U774="","-",'ORDENES'!$U774))</f>
        <v/>
      </c>
      <c r="F796" s="3">
        <f>IF('ORDENES'!$A774="","",IF('ORDENES'!$W774="","-",'ORDENES'!$W774))</f>
        <v/>
      </c>
      <c r="G796" s="3">
        <f>IF('ORDENES'!$A774="","",IF('ORDENES'!$AB774="","-",'ORDENES'!$AB774))</f>
        <v/>
      </c>
      <c r="H796" s="3">
        <f>IF('ORDENES'!$A774="","",IF('ORDENES'!$AN774="","-",'ORDENES'!$AN774))</f>
        <v/>
      </c>
      <c r="I796" s="3">
        <f>IF('ORDENES'!$A774="","",IF('ORDENES'!$D774="","-",'ORDENES'!$D774))</f>
        <v/>
      </c>
      <c r="J796" s="3">
        <f>IF('ORDENES'!$A774="","",IF('ORDENES'!$E774="","-",'ORDENES'!$E774))</f>
        <v/>
      </c>
      <c r="K796" s="12">
        <f>IF('ORDENES'!$A774="","",IF('ORDENES'!$M774="",0,'ORDENES'!$M774))</f>
        <v/>
      </c>
      <c r="L796" s="3">
        <f>IF('ORDENES'!$A774="","",IF('ORDENES'!$N774="","-",'ORDENES'!$N774))</f>
        <v/>
      </c>
      <c r="M796" s="3">
        <f>IF('ORDENES'!$A774="","",'ORDENES'!$AA774)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IF('ORDENES'!$A775="","",IF('ORDENES'!$AC775="","-",'ORDENES'!$AC775))</f>
        <v/>
      </c>
      <c r="D797" s="3">
        <f>IF('ORDENES'!$A775="","",IF('ORDENES'!$V775="","-",'ORDENES'!$V775))</f>
        <v/>
      </c>
      <c r="E797" s="3">
        <f>IF('ORDENES'!$A775="","",IF('ORDENES'!$U775="","-",'ORDENES'!$U775))</f>
        <v/>
      </c>
      <c r="F797" s="3">
        <f>IF('ORDENES'!$A775="","",IF('ORDENES'!$W775="","-",'ORDENES'!$W775))</f>
        <v/>
      </c>
      <c r="G797" s="3">
        <f>IF('ORDENES'!$A775="","",IF('ORDENES'!$AB775="","-",'ORDENES'!$AB775))</f>
        <v/>
      </c>
      <c r="H797" s="3">
        <f>IF('ORDENES'!$A775="","",IF('ORDENES'!$AN775="","-",'ORDENES'!$AN775))</f>
        <v/>
      </c>
      <c r="I797" s="3">
        <f>IF('ORDENES'!$A775="","",IF('ORDENES'!$D775="","-",'ORDENES'!$D775))</f>
        <v/>
      </c>
      <c r="J797" s="3">
        <f>IF('ORDENES'!$A775="","",IF('ORDENES'!$E775="","-",'ORDENES'!$E775))</f>
        <v/>
      </c>
      <c r="K797" s="12">
        <f>IF('ORDENES'!$A775="","",IF('ORDENES'!$M775="",0,'ORDENES'!$M775))</f>
        <v/>
      </c>
      <c r="L797" s="3">
        <f>IF('ORDENES'!$A775="","",IF('ORDENES'!$N775="","-",'ORDENES'!$N775))</f>
        <v/>
      </c>
      <c r="M797" s="3">
        <f>IF('ORDENES'!$A775="","",'ORDENES'!$AA775)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IF('ORDENES'!$A776="","",IF('ORDENES'!$AC776="","-",'ORDENES'!$AC776))</f>
        <v/>
      </c>
      <c r="D798" s="3">
        <f>IF('ORDENES'!$A776="","",IF('ORDENES'!$V776="","-",'ORDENES'!$V776))</f>
        <v/>
      </c>
      <c r="E798" s="3">
        <f>IF('ORDENES'!$A776="","",IF('ORDENES'!$U776="","-",'ORDENES'!$U776))</f>
        <v/>
      </c>
      <c r="F798" s="3">
        <f>IF('ORDENES'!$A776="","",IF('ORDENES'!$W776="","-",'ORDENES'!$W776))</f>
        <v/>
      </c>
      <c r="G798" s="3">
        <f>IF('ORDENES'!$A776="","",IF('ORDENES'!$AB776="","-",'ORDENES'!$AB776))</f>
        <v/>
      </c>
      <c r="H798" s="3">
        <f>IF('ORDENES'!$A776="","",IF('ORDENES'!$AN776="","-",'ORDENES'!$AN776))</f>
        <v/>
      </c>
      <c r="I798" s="3">
        <f>IF('ORDENES'!$A776="","",IF('ORDENES'!$D776="","-",'ORDENES'!$D776))</f>
        <v/>
      </c>
      <c r="J798" s="3">
        <f>IF('ORDENES'!$A776="","",IF('ORDENES'!$E776="","-",'ORDENES'!$E776))</f>
        <v/>
      </c>
      <c r="K798" s="12">
        <f>IF('ORDENES'!$A776="","",IF('ORDENES'!$M776="",0,'ORDENES'!$M776))</f>
        <v/>
      </c>
      <c r="L798" s="3">
        <f>IF('ORDENES'!$A776="","",IF('ORDENES'!$N776="","-",'ORDENES'!$N776))</f>
        <v/>
      </c>
      <c r="M798" s="3">
        <f>IF('ORDENES'!$A776="","",'ORDENES'!$AA776)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IF('ORDENES'!$A777="","",IF('ORDENES'!$AC777="","-",'ORDENES'!$AC777))</f>
        <v/>
      </c>
      <c r="D799" s="3">
        <f>IF('ORDENES'!$A777="","",IF('ORDENES'!$V777="","-",'ORDENES'!$V777))</f>
        <v/>
      </c>
      <c r="E799" s="3">
        <f>IF('ORDENES'!$A777="","",IF('ORDENES'!$U777="","-",'ORDENES'!$U777))</f>
        <v/>
      </c>
      <c r="F799" s="3">
        <f>IF('ORDENES'!$A777="","",IF('ORDENES'!$W777="","-",'ORDENES'!$W777))</f>
        <v/>
      </c>
      <c r="G799" s="3">
        <f>IF('ORDENES'!$A777="","",IF('ORDENES'!$AB777="","-",'ORDENES'!$AB777))</f>
        <v/>
      </c>
      <c r="H799" s="3">
        <f>IF('ORDENES'!$A777="","",IF('ORDENES'!$AN777="","-",'ORDENES'!$AN777))</f>
        <v/>
      </c>
      <c r="I799" s="3">
        <f>IF('ORDENES'!$A777="","",IF('ORDENES'!$D777="","-",'ORDENES'!$D777))</f>
        <v/>
      </c>
      <c r="J799" s="3">
        <f>IF('ORDENES'!$A777="","",IF('ORDENES'!$E777="","-",'ORDENES'!$E777))</f>
        <v/>
      </c>
      <c r="K799" s="12">
        <f>IF('ORDENES'!$A777="","",IF('ORDENES'!$M777="",0,'ORDENES'!$M777))</f>
        <v/>
      </c>
      <c r="L799" s="3">
        <f>IF('ORDENES'!$A777="","",IF('ORDENES'!$N777="","-",'ORDENES'!$N777))</f>
        <v/>
      </c>
      <c r="M799" s="3">
        <f>IF('ORDENES'!$A777="","",'ORDENES'!$AA777)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IF('ORDENES'!$A778="","",IF('ORDENES'!$AC778="","-",'ORDENES'!$AC778))</f>
        <v/>
      </c>
      <c r="D800" s="3">
        <f>IF('ORDENES'!$A778="","",IF('ORDENES'!$V778="","-",'ORDENES'!$V778))</f>
        <v/>
      </c>
      <c r="E800" s="3">
        <f>IF('ORDENES'!$A778="","",IF('ORDENES'!$U778="","-",'ORDENES'!$U778))</f>
        <v/>
      </c>
      <c r="F800" s="3">
        <f>IF('ORDENES'!$A778="","",IF('ORDENES'!$W778="","-",'ORDENES'!$W778))</f>
        <v/>
      </c>
      <c r="G800" s="3">
        <f>IF('ORDENES'!$A778="","",IF('ORDENES'!$AB778="","-",'ORDENES'!$AB778))</f>
        <v/>
      </c>
      <c r="H800" s="3">
        <f>IF('ORDENES'!$A778="","",IF('ORDENES'!$AN778="","-",'ORDENES'!$AN778))</f>
        <v/>
      </c>
      <c r="I800" s="3">
        <f>IF('ORDENES'!$A778="","",IF('ORDENES'!$D778="","-",'ORDENES'!$D778))</f>
        <v/>
      </c>
      <c r="J800" s="3">
        <f>IF('ORDENES'!$A778="","",IF('ORDENES'!$E778="","-",'ORDENES'!$E778))</f>
        <v/>
      </c>
      <c r="K800" s="12">
        <f>IF('ORDENES'!$A778="","",IF('ORDENES'!$M778="",0,'ORDENES'!$M778))</f>
        <v/>
      </c>
      <c r="L800" s="3">
        <f>IF('ORDENES'!$A778="","",IF('ORDENES'!$N778="","-",'ORDENES'!$N778))</f>
        <v/>
      </c>
      <c r="M800" s="3">
        <f>IF('ORDENES'!$A778="","",'ORDENES'!$AA778)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IF('ORDENES'!$A779="","",IF('ORDENES'!$AC779="","-",'ORDENES'!$AC779))</f>
        <v/>
      </c>
      <c r="D801" s="3">
        <f>IF('ORDENES'!$A779="","",IF('ORDENES'!$V779="","-",'ORDENES'!$V779))</f>
        <v/>
      </c>
      <c r="E801" s="3">
        <f>IF('ORDENES'!$A779="","",IF('ORDENES'!$U779="","-",'ORDENES'!$U779))</f>
        <v/>
      </c>
      <c r="F801" s="3">
        <f>IF('ORDENES'!$A779="","",IF('ORDENES'!$W779="","-",'ORDENES'!$W779))</f>
        <v/>
      </c>
      <c r="G801" s="3">
        <f>IF('ORDENES'!$A779="","",IF('ORDENES'!$AB779="","-",'ORDENES'!$AB779))</f>
        <v/>
      </c>
      <c r="H801" s="3">
        <f>IF('ORDENES'!$A779="","",IF('ORDENES'!$AN779="","-",'ORDENES'!$AN779))</f>
        <v/>
      </c>
      <c r="I801" s="3">
        <f>IF('ORDENES'!$A779="","",IF('ORDENES'!$D779="","-",'ORDENES'!$D779))</f>
        <v/>
      </c>
      <c r="J801" s="3">
        <f>IF('ORDENES'!$A779="","",IF('ORDENES'!$E779="","-",'ORDENES'!$E779))</f>
        <v/>
      </c>
      <c r="K801" s="12">
        <f>IF('ORDENES'!$A779="","",IF('ORDENES'!$M779="",0,'ORDENES'!$M779))</f>
        <v/>
      </c>
      <c r="L801" s="3">
        <f>IF('ORDENES'!$A779="","",IF('ORDENES'!$N779="","-",'ORDENES'!$N779))</f>
        <v/>
      </c>
      <c r="M801" s="3">
        <f>IF('ORDENES'!$A779="","",'ORDENES'!$AA779)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IF('ORDENES'!$A780="","",IF('ORDENES'!$AC780="","-",'ORDENES'!$AC780))</f>
        <v/>
      </c>
      <c r="D802" s="3">
        <f>IF('ORDENES'!$A780="","",IF('ORDENES'!$V780="","-",'ORDENES'!$V780))</f>
        <v/>
      </c>
      <c r="E802" s="3">
        <f>IF('ORDENES'!$A780="","",IF('ORDENES'!$U780="","-",'ORDENES'!$U780))</f>
        <v/>
      </c>
      <c r="F802" s="3">
        <f>IF('ORDENES'!$A780="","",IF('ORDENES'!$W780="","-",'ORDENES'!$W780))</f>
        <v/>
      </c>
      <c r="G802" s="3">
        <f>IF('ORDENES'!$A780="","",IF('ORDENES'!$AB780="","-",'ORDENES'!$AB780))</f>
        <v/>
      </c>
      <c r="H802" s="3">
        <f>IF('ORDENES'!$A780="","",IF('ORDENES'!$AN780="","-",'ORDENES'!$AN780))</f>
        <v/>
      </c>
      <c r="I802" s="3">
        <f>IF('ORDENES'!$A780="","",IF('ORDENES'!$D780="","-",'ORDENES'!$D780))</f>
        <v/>
      </c>
      <c r="J802" s="3">
        <f>IF('ORDENES'!$A780="","",IF('ORDENES'!$E780="","-",'ORDENES'!$E780))</f>
        <v/>
      </c>
      <c r="K802" s="12">
        <f>IF('ORDENES'!$A780="","",IF('ORDENES'!$M780="",0,'ORDENES'!$M780))</f>
        <v/>
      </c>
      <c r="L802" s="3">
        <f>IF('ORDENES'!$A780="","",IF('ORDENES'!$N780="","-",'ORDENES'!$N780))</f>
        <v/>
      </c>
      <c r="M802" s="3">
        <f>IF('ORDENES'!$A780="","",'ORDENES'!$AA780)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IF('ORDENES'!$A781="","",IF('ORDENES'!$AC781="","-",'ORDENES'!$AC781))</f>
        <v/>
      </c>
      <c r="D803" s="3">
        <f>IF('ORDENES'!$A781="","",IF('ORDENES'!$V781="","-",'ORDENES'!$V781))</f>
        <v/>
      </c>
      <c r="E803" s="3">
        <f>IF('ORDENES'!$A781="","",IF('ORDENES'!$U781="","-",'ORDENES'!$U781))</f>
        <v/>
      </c>
      <c r="F803" s="3">
        <f>IF('ORDENES'!$A781="","",IF('ORDENES'!$W781="","-",'ORDENES'!$W781))</f>
        <v/>
      </c>
      <c r="G803" s="3">
        <f>IF('ORDENES'!$A781="","",IF('ORDENES'!$AB781="","-",'ORDENES'!$AB781))</f>
        <v/>
      </c>
      <c r="H803" s="3">
        <f>IF('ORDENES'!$A781="","",IF('ORDENES'!$AN781="","-",'ORDENES'!$AN781))</f>
        <v/>
      </c>
      <c r="I803" s="3">
        <f>IF('ORDENES'!$A781="","",IF('ORDENES'!$D781="","-",'ORDENES'!$D781))</f>
        <v/>
      </c>
      <c r="J803" s="3">
        <f>IF('ORDENES'!$A781="","",IF('ORDENES'!$E781="","-",'ORDENES'!$E781))</f>
        <v/>
      </c>
      <c r="K803" s="12">
        <f>IF('ORDENES'!$A781="","",IF('ORDENES'!$M781="",0,'ORDENES'!$M781))</f>
        <v/>
      </c>
      <c r="L803" s="3">
        <f>IF('ORDENES'!$A781="","",IF('ORDENES'!$N781="","-",'ORDENES'!$N781))</f>
        <v/>
      </c>
      <c r="M803" s="3">
        <f>IF('ORDENES'!$A781="","",'ORDENES'!$AA781)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IF('ORDENES'!$A782="","",IF('ORDENES'!$AC782="","-",'ORDENES'!$AC782))</f>
        <v/>
      </c>
      <c r="D804" s="3">
        <f>IF('ORDENES'!$A782="","",IF('ORDENES'!$V782="","-",'ORDENES'!$V782))</f>
        <v/>
      </c>
      <c r="E804" s="3">
        <f>IF('ORDENES'!$A782="","",IF('ORDENES'!$U782="","-",'ORDENES'!$U782))</f>
        <v/>
      </c>
      <c r="F804" s="3">
        <f>IF('ORDENES'!$A782="","",IF('ORDENES'!$W782="","-",'ORDENES'!$W782))</f>
        <v/>
      </c>
      <c r="G804" s="3">
        <f>IF('ORDENES'!$A782="","",IF('ORDENES'!$AB782="","-",'ORDENES'!$AB782))</f>
        <v/>
      </c>
      <c r="H804" s="3">
        <f>IF('ORDENES'!$A782="","",IF('ORDENES'!$AN782="","-",'ORDENES'!$AN782))</f>
        <v/>
      </c>
      <c r="I804" s="3">
        <f>IF('ORDENES'!$A782="","",IF('ORDENES'!$D782="","-",'ORDENES'!$D782))</f>
        <v/>
      </c>
      <c r="J804" s="3">
        <f>IF('ORDENES'!$A782="","",IF('ORDENES'!$E782="","-",'ORDENES'!$E782))</f>
        <v/>
      </c>
      <c r="K804" s="12">
        <f>IF('ORDENES'!$A782="","",IF('ORDENES'!$M782="",0,'ORDENES'!$M782))</f>
        <v/>
      </c>
      <c r="L804" s="3">
        <f>IF('ORDENES'!$A782="","",IF('ORDENES'!$N782="","-",'ORDENES'!$N782))</f>
        <v/>
      </c>
      <c r="M804" s="3">
        <f>IF('ORDENES'!$A782="","",'ORDENES'!$AA782)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IF('ORDENES'!$A783="","",IF('ORDENES'!$AC783="","-",'ORDENES'!$AC783))</f>
        <v/>
      </c>
      <c r="D805" s="3">
        <f>IF('ORDENES'!$A783="","",IF('ORDENES'!$V783="","-",'ORDENES'!$V783))</f>
        <v/>
      </c>
      <c r="E805" s="3">
        <f>IF('ORDENES'!$A783="","",IF('ORDENES'!$U783="","-",'ORDENES'!$U783))</f>
        <v/>
      </c>
      <c r="F805" s="3">
        <f>IF('ORDENES'!$A783="","",IF('ORDENES'!$W783="","-",'ORDENES'!$W783))</f>
        <v/>
      </c>
      <c r="G805" s="3">
        <f>IF('ORDENES'!$A783="","",IF('ORDENES'!$AB783="","-",'ORDENES'!$AB783))</f>
        <v/>
      </c>
      <c r="H805" s="3">
        <f>IF('ORDENES'!$A783="","",IF('ORDENES'!$AN783="","-",'ORDENES'!$AN783))</f>
        <v/>
      </c>
      <c r="I805" s="3">
        <f>IF('ORDENES'!$A783="","",IF('ORDENES'!$D783="","-",'ORDENES'!$D783))</f>
        <v/>
      </c>
      <c r="J805" s="3">
        <f>IF('ORDENES'!$A783="","",IF('ORDENES'!$E783="","-",'ORDENES'!$E783))</f>
        <v/>
      </c>
      <c r="K805" s="12">
        <f>IF('ORDENES'!$A783="","",IF('ORDENES'!$M783="",0,'ORDENES'!$M783))</f>
        <v/>
      </c>
      <c r="L805" s="3">
        <f>IF('ORDENES'!$A783="","",IF('ORDENES'!$N783="","-",'ORDENES'!$N783))</f>
        <v/>
      </c>
      <c r="M805" s="3">
        <f>IF('ORDENES'!$A783="","",'ORDENES'!$AA783)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IF('ORDENES'!$A784="","",IF('ORDENES'!$AC784="","-",'ORDENES'!$AC784))</f>
        <v/>
      </c>
      <c r="D806" s="3">
        <f>IF('ORDENES'!$A784="","",IF('ORDENES'!$V784="","-",'ORDENES'!$V784))</f>
        <v/>
      </c>
      <c r="E806" s="3">
        <f>IF('ORDENES'!$A784="","",IF('ORDENES'!$U784="","-",'ORDENES'!$U784))</f>
        <v/>
      </c>
      <c r="F806" s="3">
        <f>IF('ORDENES'!$A784="","",IF('ORDENES'!$W784="","-",'ORDENES'!$W784))</f>
        <v/>
      </c>
      <c r="G806" s="3">
        <f>IF('ORDENES'!$A784="","",IF('ORDENES'!$AB784="","-",'ORDENES'!$AB784))</f>
        <v/>
      </c>
      <c r="H806" s="3">
        <f>IF('ORDENES'!$A784="","",IF('ORDENES'!$AN784="","-",'ORDENES'!$AN784))</f>
        <v/>
      </c>
      <c r="I806" s="3">
        <f>IF('ORDENES'!$A784="","",IF('ORDENES'!$D784="","-",'ORDENES'!$D784))</f>
        <v/>
      </c>
      <c r="J806" s="3">
        <f>IF('ORDENES'!$A784="","",IF('ORDENES'!$E784="","-",'ORDENES'!$E784))</f>
        <v/>
      </c>
      <c r="K806" s="12">
        <f>IF('ORDENES'!$A784="","",IF('ORDENES'!$M784="",0,'ORDENES'!$M784))</f>
        <v/>
      </c>
      <c r="L806" s="3">
        <f>IF('ORDENES'!$A784="","",IF('ORDENES'!$N784="","-",'ORDENES'!$N784))</f>
        <v/>
      </c>
      <c r="M806" s="3">
        <f>IF('ORDENES'!$A784="","",'ORDENES'!$AA784)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IF('ORDENES'!$A785="","",IF('ORDENES'!$AC785="","-",'ORDENES'!$AC785))</f>
        <v/>
      </c>
      <c r="D807" s="3">
        <f>IF('ORDENES'!$A785="","",IF('ORDENES'!$V785="","-",'ORDENES'!$V785))</f>
        <v/>
      </c>
      <c r="E807" s="3">
        <f>IF('ORDENES'!$A785="","",IF('ORDENES'!$U785="","-",'ORDENES'!$U785))</f>
        <v/>
      </c>
      <c r="F807" s="3">
        <f>IF('ORDENES'!$A785="","",IF('ORDENES'!$W785="","-",'ORDENES'!$W785))</f>
        <v/>
      </c>
      <c r="G807" s="3">
        <f>IF('ORDENES'!$A785="","",IF('ORDENES'!$AB785="","-",'ORDENES'!$AB785))</f>
        <v/>
      </c>
      <c r="H807" s="3">
        <f>IF('ORDENES'!$A785="","",IF('ORDENES'!$AN785="","-",'ORDENES'!$AN785))</f>
        <v/>
      </c>
      <c r="I807" s="3">
        <f>IF('ORDENES'!$A785="","",IF('ORDENES'!$D785="","-",'ORDENES'!$D785))</f>
        <v/>
      </c>
      <c r="J807" s="3">
        <f>IF('ORDENES'!$A785="","",IF('ORDENES'!$E785="","-",'ORDENES'!$E785))</f>
        <v/>
      </c>
      <c r="K807" s="12">
        <f>IF('ORDENES'!$A785="","",IF('ORDENES'!$M785="",0,'ORDENES'!$M785))</f>
        <v/>
      </c>
      <c r="L807" s="3">
        <f>IF('ORDENES'!$A785="","",IF('ORDENES'!$N785="","-",'ORDENES'!$N785))</f>
        <v/>
      </c>
      <c r="M807" s="3">
        <f>IF('ORDENES'!$A785="","",'ORDENES'!$AA785)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IF('ORDENES'!$A786="","",IF('ORDENES'!$AC786="","-",'ORDENES'!$AC786))</f>
        <v/>
      </c>
      <c r="D808" s="3">
        <f>IF('ORDENES'!$A786="","",IF('ORDENES'!$V786="","-",'ORDENES'!$V786))</f>
        <v/>
      </c>
      <c r="E808" s="3">
        <f>IF('ORDENES'!$A786="","",IF('ORDENES'!$U786="","-",'ORDENES'!$U786))</f>
        <v/>
      </c>
      <c r="F808" s="3">
        <f>IF('ORDENES'!$A786="","",IF('ORDENES'!$W786="","-",'ORDENES'!$W786))</f>
        <v/>
      </c>
      <c r="G808" s="3">
        <f>IF('ORDENES'!$A786="","",IF('ORDENES'!$AB786="","-",'ORDENES'!$AB786))</f>
        <v/>
      </c>
      <c r="H808" s="3">
        <f>IF('ORDENES'!$A786="","",IF('ORDENES'!$AN786="","-",'ORDENES'!$AN786))</f>
        <v/>
      </c>
      <c r="I808" s="3">
        <f>IF('ORDENES'!$A786="","",IF('ORDENES'!$D786="","-",'ORDENES'!$D786))</f>
        <v/>
      </c>
      <c r="J808" s="3">
        <f>IF('ORDENES'!$A786="","",IF('ORDENES'!$E786="","-",'ORDENES'!$E786))</f>
        <v/>
      </c>
      <c r="K808" s="12">
        <f>IF('ORDENES'!$A786="","",IF('ORDENES'!$M786="",0,'ORDENES'!$M786))</f>
        <v/>
      </c>
      <c r="L808" s="3">
        <f>IF('ORDENES'!$A786="","",IF('ORDENES'!$N786="","-",'ORDENES'!$N786))</f>
        <v/>
      </c>
      <c r="M808" s="3">
        <f>IF('ORDENES'!$A786="","",'ORDENES'!$AA786)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IF('ORDENES'!$A787="","",IF('ORDENES'!$AC787="","-",'ORDENES'!$AC787))</f>
        <v/>
      </c>
      <c r="D809" s="3">
        <f>IF('ORDENES'!$A787="","",IF('ORDENES'!$V787="","-",'ORDENES'!$V787))</f>
        <v/>
      </c>
      <c r="E809" s="3">
        <f>IF('ORDENES'!$A787="","",IF('ORDENES'!$U787="","-",'ORDENES'!$U787))</f>
        <v/>
      </c>
      <c r="F809" s="3">
        <f>IF('ORDENES'!$A787="","",IF('ORDENES'!$W787="","-",'ORDENES'!$W787))</f>
        <v/>
      </c>
      <c r="G809" s="3">
        <f>IF('ORDENES'!$A787="","",IF('ORDENES'!$AB787="","-",'ORDENES'!$AB787))</f>
        <v/>
      </c>
      <c r="H809" s="3">
        <f>IF('ORDENES'!$A787="","",IF('ORDENES'!$AN787="","-",'ORDENES'!$AN787))</f>
        <v/>
      </c>
      <c r="I809" s="3">
        <f>IF('ORDENES'!$A787="","",IF('ORDENES'!$D787="","-",'ORDENES'!$D787))</f>
        <v/>
      </c>
      <c r="J809" s="3">
        <f>IF('ORDENES'!$A787="","",IF('ORDENES'!$E787="","-",'ORDENES'!$E787))</f>
        <v/>
      </c>
      <c r="K809" s="12">
        <f>IF('ORDENES'!$A787="","",IF('ORDENES'!$M787="",0,'ORDENES'!$M787))</f>
        <v/>
      </c>
      <c r="L809" s="3">
        <f>IF('ORDENES'!$A787="","",IF('ORDENES'!$N787="","-",'ORDENES'!$N787))</f>
        <v/>
      </c>
      <c r="M809" s="3">
        <f>IF('ORDENES'!$A787="","",'ORDENES'!$AA787)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IF('ORDENES'!$A788="","",IF('ORDENES'!$AC788="","-",'ORDENES'!$AC788))</f>
        <v/>
      </c>
      <c r="D810" s="3">
        <f>IF('ORDENES'!$A788="","",IF('ORDENES'!$V788="","-",'ORDENES'!$V788))</f>
        <v/>
      </c>
      <c r="E810" s="3">
        <f>IF('ORDENES'!$A788="","",IF('ORDENES'!$U788="","-",'ORDENES'!$U788))</f>
        <v/>
      </c>
      <c r="F810" s="3">
        <f>IF('ORDENES'!$A788="","",IF('ORDENES'!$W788="","-",'ORDENES'!$W788))</f>
        <v/>
      </c>
      <c r="G810" s="3">
        <f>IF('ORDENES'!$A788="","",IF('ORDENES'!$AB788="","-",'ORDENES'!$AB788))</f>
        <v/>
      </c>
      <c r="H810" s="3">
        <f>IF('ORDENES'!$A788="","",IF('ORDENES'!$AN788="","-",'ORDENES'!$AN788))</f>
        <v/>
      </c>
      <c r="I810" s="3">
        <f>IF('ORDENES'!$A788="","",IF('ORDENES'!$D788="","-",'ORDENES'!$D788))</f>
        <v/>
      </c>
      <c r="J810" s="3">
        <f>IF('ORDENES'!$A788="","",IF('ORDENES'!$E788="","-",'ORDENES'!$E788))</f>
        <v/>
      </c>
      <c r="K810" s="12">
        <f>IF('ORDENES'!$A788="","",IF('ORDENES'!$M788="",0,'ORDENES'!$M788))</f>
        <v/>
      </c>
      <c r="L810" s="3">
        <f>IF('ORDENES'!$A788="","",IF('ORDENES'!$N788="","-",'ORDENES'!$N788))</f>
        <v/>
      </c>
      <c r="M810" s="3">
        <f>IF('ORDENES'!$A788="","",'ORDENES'!$AA788)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IF('ORDENES'!$A789="","",IF('ORDENES'!$AC789="","-",'ORDENES'!$AC789))</f>
        <v/>
      </c>
      <c r="D811" s="3">
        <f>IF('ORDENES'!$A789="","",IF('ORDENES'!$V789="","-",'ORDENES'!$V789))</f>
        <v/>
      </c>
      <c r="E811" s="3">
        <f>IF('ORDENES'!$A789="","",IF('ORDENES'!$U789="","-",'ORDENES'!$U789))</f>
        <v/>
      </c>
      <c r="F811" s="3">
        <f>IF('ORDENES'!$A789="","",IF('ORDENES'!$W789="","-",'ORDENES'!$W789))</f>
        <v/>
      </c>
      <c r="G811" s="3">
        <f>IF('ORDENES'!$A789="","",IF('ORDENES'!$AB789="","-",'ORDENES'!$AB789))</f>
        <v/>
      </c>
      <c r="H811" s="3">
        <f>IF('ORDENES'!$A789="","",IF('ORDENES'!$AN789="","-",'ORDENES'!$AN789))</f>
        <v/>
      </c>
      <c r="I811" s="3">
        <f>IF('ORDENES'!$A789="","",IF('ORDENES'!$D789="","-",'ORDENES'!$D789))</f>
        <v/>
      </c>
      <c r="J811" s="3">
        <f>IF('ORDENES'!$A789="","",IF('ORDENES'!$E789="","-",'ORDENES'!$E789))</f>
        <v/>
      </c>
      <c r="K811" s="12">
        <f>IF('ORDENES'!$A789="","",IF('ORDENES'!$M789="",0,'ORDENES'!$M789))</f>
        <v/>
      </c>
      <c r="L811" s="3">
        <f>IF('ORDENES'!$A789="","",IF('ORDENES'!$N789="","-",'ORDENES'!$N789))</f>
        <v/>
      </c>
      <c r="M811" s="3">
        <f>IF('ORDENES'!$A789="","",'ORDENES'!$AA789)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IF('ORDENES'!$A790="","",IF('ORDENES'!$AC790="","-",'ORDENES'!$AC790))</f>
        <v/>
      </c>
      <c r="D812" s="3">
        <f>IF('ORDENES'!$A790="","",IF('ORDENES'!$V790="","-",'ORDENES'!$V790))</f>
        <v/>
      </c>
      <c r="E812" s="3">
        <f>IF('ORDENES'!$A790="","",IF('ORDENES'!$U790="","-",'ORDENES'!$U790))</f>
        <v/>
      </c>
      <c r="F812" s="3">
        <f>IF('ORDENES'!$A790="","",IF('ORDENES'!$W790="","-",'ORDENES'!$W790))</f>
        <v/>
      </c>
      <c r="G812" s="3">
        <f>IF('ORDENES'!$A790="","",IF('ORDENES'!$AB790="","-",'ORDENES'!$AB790))</f>
        <v/>
      </c>
      <c r="H812" s="3">
        <f>IF('ORDENES'!$A790="","",IF('ORDENES'!$AN790="","-",'ORDENES'!$AN790))</f>
        <v/>
      </c>
      <c r="I812" s="3">
        <f>IF('ORDENES'!$A790="","",IF('ORDENES'!$D790="","-",'ORDENES'!$D790))</f>
        <v/>
      </c>
      <c r="J812" s="3">
        <f>IF('ORDENES'!$A790="","",IF('ORDENES'!$E790="","-",'ORDENES'!$E790))</f>
        <v/>
      </c>
      <c r="K812" s="12">
        <f>IF('ORDENES'!$A790="","",IF('ORDENES'!$M790="",0,'ORDENES'!$M790))</f>
        <v/>
      </c>
      <c r="L812" s="3">
        <f>IF('ORDENES'!$A790="","",IF('ORDENES'!$N790="","-",'ORDENES'!$N790))</f>
        <v/>
      </c>
      <c r="M812" s="3">
        <f>IF('ORDENES'!$A790="","",'ORDENES'!$AA790)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IF('ORDENES'!$A791="","",IF('ORDENES'!$AC791="","-",'ORDENES'!$AC791))</f>
        <v/>
      </c>
      <c r="D813" s="3">
        <f>IF('ORDENES'!$A791="","",IF('ORDENES'!$V791="","-",'ORDENES'!$V791))</f>
        <v/>
      </c>
      <c r="E813" s="3">
        <f>IF('ORDENES'!$A791="","",IF('ORDENES'!$U791="","-",'ORDENES'!$U791))</f>
        <v/>
      </c>
      <c r="F813" s="3">
        <f>IF('ORDENES'!$A791="","",IF('ORDENES'!$W791="","-",'ORDENES'!$W791))</f>
        <v/>
      </c>
      <c r="G813" s="3">
        <f>IF('ORDENES'!$A791="","",IF('ORDENES'!$AB791="","-",'ORDENES'!$AB791))</f>
        <v/>
      </c>
      <c r="H813" s="3">
        <f>IF('ORDENES'!$A791="","",IF('ORDENES'!$AN791="","-",'ORDENES'!$AN791))</f>
        <v/>
      </c>
      <c r="I813" s="3">
        <f>IF('ORDENES'!$A791="","",IF('ORDENES'!$D791="","-",'ORDENES'!$D791))</f>
        <v/>
      </c>
      <c r="J813" s="3">
        <f>IF('ORDENES'!$A791="","",IF('ORDENES'!$E791="","-",'ORDENES'!$E791))</f>
        <v/>
      </c>
      <c r="K813" s="12">
        <f>IF('ORDENES'!$A791="","",IF('ORDENES'!$M791="",0,'ORDENES'!$M791))</f>
        <v/>
      </c>
      <c r="L813" s="3">
        <f>IF('ORDENES'!$A791="","",IF('ORDENES'!$N791="","-",'ORDENES'!$N791))</f>
        <v/>
      </c>
      <c r="M813" s="3">
        <f>IF('ORDENES'!$A791="","",'ORDENES'!$AA791)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IF('ORDENES'!$A792="","",IF('ORDENES'!$AC792="","-",'ORDENES'!$AC792))</f>
        <v/>
      </c>
      <c r="D814" s="3">
        <f>IF('ORDENES'!$A792="","",IF('ORDENES'!$V792="","-",'ORDENES'!$V792))</f>
        <v/>
      </c>
      <c r="E814" s="3">
        <f>IF('ORDENES'!$A792="","",IF('ORDENES'!$U792="","-",'ORDENES'!$U792))</f>
        <v/>
      </c>
      <c r="F814" s="3">
        <f>IF('ORDENES'!$A792="","",IF('ORDENES'!$W792="","-",'ORDENES'!$W792))</f>
        <v/>
      </c>
      <c r="G814" s="3">
        <f>IF('ORDENES'!$A792="","",IF('ORDENES'!$AB792="","-",'ORDENES'!$AB792))</f>
        <v/>
      </c>
      <c r="H814" s="3">
        <f>IF('ORDENES'!$A792="","",IF('ORDENES'!$AN792="","-",'ORDENES'!$AN792))</f>
        <v/>
      </c>
      <c r="I814" s="3">
        <f>IF('ORDENES'!$A792="","",IF('ORDENES'!$D792="","-",'ORDENES'!$D792))</f>
        <v/>
      </c>
      <c r="J814" s="3">
        <f>IF('ORDENES'!$A792="","",IF('ORDENES'!$E792="","-",'ORDENES'!$E792))</f>
        <v/>
      </c>
      <c r="K814" s="12">
        <f>IF('ORDENES'!$A792="","",IF('ORDENES'!$M792="",0,'ORDENES'!$M792))</f>
        <v/>
      </c>
      <c r="L814" s="3">
        <f>IF('ORDENES'!$A792="","",IF('ORDENES'!$N792="","-",'ORDENES'!$N792))</f>
        <v/>
      </c>
      <c r="M814" s="3">
        <f>IF('ORDENES'!$A792="","",'ORDENES'!$AA792)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IF('ORDENES'!$A793="","",IF('ORDENES'!$AC793="","-",'ORDENES'!$AC793))</f>
        <v/>
      </c>
      <c r="D815" s="3">
        <f>IF('ORDENES'!$A793="","",IF('ORDENES'!$V793="","-",'ORDENES'!$V793))</f>
        <v/>
      </c>
      <c r="E815" s="3">
        <f>IF('ORDENES'!$A793="","",IF('ORDENES'!$U793="","-",'ORDENES'!$U793))</f>
        <v/>
      </c>
      <c r="F815" s="3">
        <f>IF('ORDENES'!$A793="","",IF('ORDENES'!$W793="","-",'ORDENES'!$W793))</f>
        <v/>
      </c>
      <c r="G815" s="3">
        <f>IF('ORDENES'!$A793="","",IF('ORDENES'!$AB793="","-",'ORDENES'!$AB793))</f>
        <v/>
      </c>
      <c r="H815" s="3">
        <f>IF('ORDENES'!$A793="","",IF('ORDENES'!$AN793="","-",'ORDENES'!$AN793))</f>
        <v/>
      </c>
      <c r="I815" s="3">
        <f>IF('ORDENES'!$A793="","",IF('ORDENES'!$D793="","-",'ORDENES'!$D793))</f>
        <v/>
      </c>
      <c r="J815" s="3">
        <f>IF('ORDENES'!$A793="","",IF('ORDENES'!$E793="","-",'ORDENES'!$E793))</f>
        <v/>
      </c>
      <c r="K815" s="12">
        <f>IF('ORDENES'!$A793="","",IF('ORDENES'!$M793="",0,'ORDENES'!$M793))</f>
        <v/>
      </c>
      <c r="L815" s="3">
        <f>IF('ORDENES'!$A793="","",IF('ORDENES'!$N793="","-",'ORDENES'!$N793))</f>
        <v/>
      </c>
      <c r="M815" s="3">
        <f>IF('ORDENES'!$A793="","",'ORDENES'!$AA793)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IF('ORDENES'!$A794="","",IF('ORDENES'!$AC794="","-",'ORDENES'!$AC794))</f>
        <v/>
      </c>
      <c r="D816" s="3">
        <f>IF('ORDENES'!$A794="","",IF('ORDENES'!$V794="","-",'ORDENES'!$V794))</f>
        <v/>
      </c>
      <c r="E816" s="3">
        <f>IF('ORDENES'!$A794="","",IF('ORDENES'!$U794="","-",'ORDENES'!$U794))</f>
        <v/>
      </c>
      <c r="F816" s="3">
        <f>IF('ORDENES'!$A794="","",IF('ORDENES'!$W794="","-",'ORDENES'!$W794))</f>
        <v/>
      </c>
      <c r="G816" s="3">
        <f>IF('ORDENES'!$A794="","",IF('ORDENES'!$AB794="","-",'ORDENES'!$AB794))</f>
        <v/>
      </c>
      <c r="H816" s="3">
        <f>IF('ORDENES'!$A794="","",IF('ORDENES'!$AN794="","-",'ORDENES'!$AN794))</f>
        <v/>
      </c>
      <c r="I816" s="3">
        <f>IF('ORDENES'!$A794="","",IF('ORDENES'!$D794="","-",'ORDENES'!$D794))</f>
        <v/>
      </c>
      <c r="J816" s="3">
        <f>IF('ORDENES'!$A794="","",IF('ORDENES'!$E794="","-",'ORDENES'!$E794))</f>
        <v/>
      </c>
      <c r="K816" s="12">
        <f>IF('ORDENES'!$A794="","",IF('ORDENES'!$M794="",0,'ORDENES'!$M794))</f>
        <v/>
      </c>
      <c r="L816" s="3">
        <f>IF('ORDENES'!$A794="","",IF('ORDENES'!$N794="","-",'ORDENES'!$N794))</f>
        <v/>
      </c>
      <c r="M816" s="3">
        <f>IF('ORDENES'!$A794="","",'ORDENES'!$AA794)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IF('ORDENES'!$A795="","",IF('ORDENES'!$AC795="","-",'ORDENES'!$AC795))</f>
        <v/>
      </c>
      <c r="D817" s="3">
        <f>IF('ORDENES'!$A795="","",IF('ORDENES'!$V795="","-",'ORDENES'!$V795))</f>
        <v/>
      </c>
      <c r="E817" s="3">
        <f>IF('ORDENES'!$A795="","",IF('ORDENES'!$U795="","-",'ORDENES'!$U795))</f>
        <v/>
      </c>
      <c r="F817" s="3">
        <f>IF('ORDENES'!$A795="","",IF('ORDENES'!$W795="","-",'ORDENES'!$W795))</f>
        <v/>
      </c>
      <c r="G817" s="3">
        <f>IF('ORDENES'!$A795="","",IF('ORDENES'!$AB795="","-",'ORDENES'!$AB795))</f>
        <v/>
      </c>
      <c r="H817" s="3">
        <f>IF('ORDENES'!$A795="","",IF('ORDENES'!$AN795="","-",'ORDENES'!$AN795))</f>
        <v/>
      </c>
      <c r="I817" s="3">
        <f>IF('ORDENES'!$A795="","",IF('ORDENES'!$D795="","-",'ORDENES'!$D795))</f>
        <v/>
      </c>
      <c r="J817" s="3">
        <f>IF('ORDENES'!$A795="","",IF('ORDENES'!$E795="","-",'ORDENES'!$E795))</f>
        <v/>
      </c>
      <c r="K817" s="12">
        <f>IF('ORDENES'!$A795="","",IF('ORDENES'!$M795="",0,'ORDENES'!$M795))</f>
        <v/>
      </c>
      <c r="L817" s="3">
        <f>IF('ORDENES'!$A795="","",IF('ORDENES'!$N795="","-",'ORDENES'!$N795))</f>
        <v/>
      </c>
      <c r="M817" s="3">
        <f>IF('ORDENES'!$A795="","",'ORDENES'!$AA795)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IF('ORDENES'!$A796="","",IF('ORDENES'!$AC796="","-",'ORDENES'!$AC796))</f>
        <v/>
      </c>
      <c r="D818" s="3">
        <f>IF('ORDENES'!$A796="","",IF('ORDENES'!$V796="","-",'ORDENES'!$V796))</f>
        <v/>
      </c>
      <c r="E818" s="3">
        <f>IF('ORDENES'!$A796="","",IF('ORDENES'!$U796="","-",'ORDENES'!$U796))</f>
        <v/>
      </c>
      <c r="F818" s="3">
        <f>IF('ORDENES'!$A796="","",IF('ORDENES'!$W796="","-",'ORDENES'!$W796))</f>
        <v/>
      </c>
      <c r="G818" s="3">
        <f>IF('ORDENES'!$A796="","",IF('ORDENES'!$AB796="","-",'ORDENES'!$AB796))</f>
        <v/>
      </c>
      <c r="H818" s="3">
        <f>IF('ORDENES'!$A796="","",IF('ORDENES'!$AN796="","-",'ORDENES'!$AN796))</f>
        <v/>
      </c>
      <c r="I818" s="3">
        <f>IF('ORDENES'!$A796="","",IF('ORDENES'!$D796="","-",'ORDENES'!$D796))</f>
        <v/>
      </c>
      <c r="J818" s="3">
        <f>IF('ORDENES'!$A796="","",IF('ORDENES'!$E796="","-",'ORDENES'!$E796))</f>
        <v/>
      </c>
      <c r="K818" s="12">
        <f>IF('ORDENES'!$A796="","",IF('ORDENES'!$M796="",0,'ORDENES'!$M796))</f>
        <v/>
      </c>
      <c r="L818" s="3">
        <f>IF('ORDENES'!$A796="","",IF('ORDENES'!$N796="","-",'ORDENES'!$N796))</f>
        <v/>
      </c>
      <c r="M818" s="3">
        <f>IF('ORDENES'!$A796="","",'ORDENES'!$AA796)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IF('ORDENES'!$A797="","",IF('ORDENES'!$AC797="","-",'ORDENES'!$AC797))</f>
        <v/>
      </c>
      <c r="D819" s="3">
        <f>IF('ORDENES'!$A797="","",IF('ORDENES'!$V797="","-",'ORDENES'!$V797))</f>
        <v/>
      </c>
      <c r="E819" s="3">
        <f>IF('ORDENES'!$A797="","",IF('ORDENES'!$U797="","-",'ORDENES'!$U797))</f>
        <v/>
      </c>
      <c r="F819" s="3">
        <f>IF('ORDENES'!$A797="","",IF('ORDENES'!$W797="","-",'ORDENES'!$W797))</f>
        <v/>
      </c>
      <c r="G819" s="3">
        <f>IF('ORDENES'!$A797="","",IF('ORDENES'!$AB797="","-",'ORDENES'!$AB797))</f>
        <v/>
      </c>
      <c r="H819" s="3">
        <f>IF('ORDENES'!$A797="","",IF('ORDENES'!$AN797="","-",'ORDENES'!$AN797))</f>
        <v/>
      </c>
      <c r="I819" s="3">
        <f>IF('ORDENES'!$A797="","",IF('ORDENES'!$D797="","-",'ORDENES'!$D797))</f>
        <v/>
      </c>
      <c r="J819" s="3">
        <f>IF('ORDENES'!$A797="","",IF('ORDENES'!$E797="","-",'ORDENES'!$E797))</f>
        <v/>
      </c>
      <c r="K819" s="12">
        <f>IF('ORDENES'!$A797="","",IF('ORDENES'!$M797="",0,'ORDENES'!$M797))</f>
        <v/>
      </c>
      <c r="L819" s="3">
        <f>IF('ORDENES'!$A797="","",IF('ORDENES'!$N797="","-",'ORDENES'!$N797))</f>
        <v/>
      </c>
      <c r="M819" s="3">
        <f>IF('ORDENES'!$A797="","",'ORDENES'!$AA797)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IF('ORDENES'!$A798="","",IF('ORDENES'!$AC798="","-",'ORDENES'!$AC798))</f>
        <v/>
      </c>
      <c r="D820" s="3">
        <f>IF('ORDENES'!$A798="","",IF('ORDENES'!$V798="","-",'ORDENES'!$V798))</f>
        <v/>
      </c>
      <c r="E820" s="3">
        <f>IF('ORDENES'!$A798="","",IF('ORDENES'!$U798="","-",'ORDENES'!$U798))</f>
        <v/>
      </c>
      <c r="F820" s="3">
        <f>IF('ORDENES'!$A798="","",IF('ORDENES'!$W798="","-",'ORDENES'!$W798))</f>
        <v/>
      </c>
      <c r="G820" s="3">
        <f>IF('ORDENES'!$A798="","",IF('ORDENES'!$AB798="","-",'ORDENES'!$AB798))</f>
        <v/>
      </c>
      <c r="H820" s="3">
        <f>IF('ORDENES'!$A798="","",IF('ORDENES'!$AN798="","-",'ORDENES'!$AN798))</f>
        <v/>
      </c>
      <c r="I820" s="3">
        <f>IF('ORDENES'!$A798="","",IF('ORDENES'!$D798="","-",'ORDENES'!$D798))</f>
        <v/>
      </c>
      <c r="J820" s="3">
        <f>IF('ORDENES'!$A798="","",IF('ORDENES'!$E798="","-",'ORDENES'!$E798))</f>
        <v/>
      </c>
      <c r="K820" s="12">
        <f>IF('ORDENES'!$A798="","",IF('ORDENES'!$M798="",0,'ORDENES'!$M798))</f>
        <v/>
      </c>
      <c r="L820" s="3">
        <f>IF('ORDENES'!$A798="","",IF('ORDENES'!$N798="","-",'ORDENES'!$N798))</f>
        <v/>
      </c>
      <c r="M820" s="3">
        <f>IF('ORDENES'!$A798="","",'ORDENES'!$AA798)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IF('ORDENES'!$A799="","",IF('ORDENES'!$AC799="","-",'ORDENES'!$AC799))</f>
        <v/>
      </c>
      <c r="D821" s="3">
        <f>IF('ORDENES'!$A799="","",IF('ORDENES'!$V799="","-",'ORDENES'!$V799))</f>
        <v/>
      </c>
      <c r="E821" s="3">
        <f>IF('ORDENES'!$A799="","",IF('ORDENES'!$U799="","-",'ORDENES'!$U799))</f>
        <v/>
      </c>
      <c r="F821" s="3">
        <f>IF('ORDENES'!$A799="","",IF('ORDENES'!$W799="","-",'ORDENES'!$W799))</f>
        <v/>
      </c>
      <c r="G821" s="3">
        <f>IF('ORDENES'!$A799="","",IF('ORDENES'!$AB799="","-",'ORDENES'!$AB799))</f>
        <v/>
      </c>
      <c r="H821" s="3">
        <f>IF('ORDENES'!$A799="","",IF('ORDENES'!$AN799="","-",'ORDENES'!$AN799))</f>
        <v/>
      </c>
      <c r="I821" s="3">
        <f>IF('ORDENES'!$A799="","",IF('ORDENES'!$D799="","-",'ORDENES'!$D799))</f>
        <v/>
      </c>
      <c r="J821" s="3">
        <f>IF('ORDENES'!$A799="","",IF('ORDENES'!$E799="","-",'ORDENES'!$E799))</f>
        <v/>
      </c>
      <c r="K821" s="12">
        <f>IF('ORDENES'!$A799="","",IF('ORDENES'!$M799="",0,'ORDENES'!$M799))</f>
        <v/>
      </c>
      <c r="L821" s="3">
        <f>IF('ORDENES'!$A799="","",IF('ORDENES'!$N799="","-",'ORDENES'!$N799))</f>
        <v/>
      </c>
      <c r="M821" s="3">
        <f>IF('ORDENES'!$A799="","",'ORDENES'!$AA799)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IF('ORDENES'!$A800="","",IF('ORDENES'!$AC800="","-",'ORDENES'!$AC800))</f>
        <v/>
      </c>
      <c r="D822" s="3">
        <f>IF('ORDENES'!$A800="","",IF('ORDENES'!$V800="","-",'ORDENES'!$V800))</f>
        <v/>
      </c>
      <c r="E822" s="3">
        <f>IF('ORDENES'!$A800="","",IF('ORDENES'!$U800="","-",'ORDENES'!$U800))</f>
        <v/>
      </c>
      <c r="F822" s="3">
        <f>IF('ORDENES'!$A800="","",IF('ORDENES'!$W800="","-",'ORDENES'!$W800))</f>
        <v/>
      </c>
      <c r="G822" s="3">
        <f>IF('ORDENES'!$A800="","",IF('ORDENES'!$AB800="","-",'ORDENES'!$AB800))</f>
        <v/>
      </c>
      <c r="H822" s="3">
        <f>IF('ORDENES'!$A800="","",IF('ORDENES'!$AN800="","-",'ORDENES'!$AN800))</f>
        <v/>
      </c>
      <c r="I822" s="3">
        <f>IF('ORDENES'!$A800="","",IF('ORDENES'!$D800="","-",'ORDENES'!$D800))</f>
        <v/>
      </c>
      <c r="J822" s="3">
        <f>IF('ORDENES'!$A800="","",IF('ORDENES'!$E800="","-",'ORDENES'!$E800))</f>
        <v/>
      </c>
      <c r="K822" s="12">
        <f>IF('ORDENES'!$A800="","",IF('ORDENES'!$M800="",0,'ORDENES'!$M800))</f>
        <v/>
      </c>
      <c r="L822" s="3">
        <f>IF('ORDENES'!$A800="","",IF('ORDENES'!$N800="","-",'ORDENES'!$N800))</f>
        <v/>
      </c>
      <c r="M822" s="3">
        <f>IF('ORDENES'!$A800="","",'ORDENES'!$AA800)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IF('ORDENES'!$A801="","",IF('ORDENES'!$AC801="","-",'ORDENES'!$AC801))</f>
        <v/>
      </c>
      <c r="D823" s="3">
        <f>IF('ORDENES'!$A801="","",IF('ORDENES'!$V801="","-",'ORDENES'!$V801))</f>
        <v/>
      </c>
      <c r="E823" s="3">
        <f>IF('ORDENES'!$A801="","",IF('ORDENES'!$U801="","-",'ORDENES'!$U801))</f>
        <v/>
      </c>
      <c r="F823" s="3">
        <f>IF('ORDENES'!$A801="","",IF('ORDENES'!$W801="","-",'ORDENES'!$W801))</f>
        <v/>
      </c>
      <c r="G823" s="3">
        <f>IF('ORDENES'!$A801="","",IF('ORDENES'!$AB801="","-",'ORDENES'!$AB801))</f>
        <v/>
      </c>
      <c r="H823" s="3">
        <f>IF('ORDENES'!$A801="","",IF('ORDENES'!$AN801="","-",'ORDENES'!$AN801))</f>
        <v/>
      </c>
      <c r="I823" s="3">
        <f>IF('ORDENES'!$A801="","",IF('ORDENES'!$D801="","-",'ORDENES'!$D801))</f>
        <v/>
      </c>
      <c r="J823" s="3">
        <f>IF('ORDENES'!$A801="","",IF('ORDENES'!$E801="","-",'ORDENES'!$E801))</f>
        <v/>
      </c>
      <c r="K823" s="12">
        <f>IF('ORDENES'!$A801="","",IF('ORDENES'!$M801="",0,'ORDENES'!$M801))</f>
        <v/>
      </c>
      <c r="L823" s="3">
        <f>IF('ORDENES'!$A801="","",IF('ORDENES'!$N801="","-",'ORDENES'!$N801))</f>
        <v/>
      </c>
      <c r="M823" s="3">
        <f>IF('ORDENES'!$A801="","",'ORDENES'!$AA801)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IF('ORDENES'!$A802="","",IF('ORDENES'!$AC802="","-",'ORDENES'!$AC802))</f>
        <v/>
      </c>
      <c r="D824" s="3">
        <f>IF('ORDENES'!$A802="","",IF('ORDENES'!$V802="","-",'ORDENES'!$V802))</f>
        <v/>
      </c>
      <c r="E824" s="3">
        <f>IF('ORDENES'!$A802="","",IF('ORDENES'!$U802="","-",'ORDENES'!$U802))</f>
        <v/>
      </c>
      <c r="F824" s="3">
        <f>IF('ORDENES'!$A802="","",IF('ORDENES'!$W802="","-",'ORDENES'!$W802))</f>
        <v/>
      </c>
      <c r="G824" s="3">
        <f>IF('ORDENES'!$A802="","",IF('ORDENES'!$AB802="","-",'ORDENES'!$AB802))</f>
        <v/>
      </c>
      <c r="H824" s="3">
        <f>IF('ORDENES'!$A802="","",IF('ORDENES'!$AN802="","-",'ORDENES'!$AN802))</f>
        <v/>
      </c>
      <c r="I824" s="3">
        <f>IF('ORDENES'!$A802="","",IF('ORDENES'!$D802="","-",'ORDENES'!$D802))</f>
        <v/>
      </c>
      <c r="J824" s="3">
        <f>IF('ORDENES'!$A802="","",IF('ORDENES'!$E802="","-",'ORDENES'!$E802))</f>
        <v/>
      </c>
      <c r="K824" s="12">
        <f>IF('ORDENES'!$A802="","",IF('ORDENES'!$M802="",0,'ORDENES'!$M802))</f>
        <v/>
      </c>
      <c r="L824" s="3">
        <f>IF('ORDENES'!$A802="","",IF('ORDENES'!$N802="","-",'ORDENES'!$N802))</f>
        <v/>
      </c>
      <c r="M824" s="3">
        <f>IF('ORDENES'!$A802="","",'ORDENES'!$AA802)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IF('ORDENES'!$A803="","",IF('ORDENES'!$AC803="","-",'ORDENES'!$AC803))</f>
        <v/>
      </c>
      <c r="D825" s="3">
        <f>IF('ORDENES'!$A803="","",IF('ORDENES'!$V803="","-",'ORDENES'!$V803))</f>
        <v/>
      </c>
      <c r="E825" s="3">
        <f>IF('ORDENES'!$A803="","",IF('ORDENES'!$U803="","-",'ORDENES'!$U803))</f>
        <v/>
      </c>
      <c r="F825" s="3">
        <f>IF('ORDENES'!$A803="","",IF('ORDENES'!$W803="","-",'ORDENES'!$W803))</f>
        <v/>
      </c>
      <c r="G825" s="3">
        <f>IF('ORDENES'!$A803="","",IF('ORDENES'!$AB803="","-",'ORDENES'!$AB803))</f>
        <v/>
      </c>
      <c r="H825" s="3">
        <f>IF('ORDENES'!$A803="","",IF('ORDENES'!$AN803="","-",'ORDENES'!$AN803))</f>
        <v/>
      </c>
      <c r="I825" s="3">
        <f>IF('ORDENES'!$A803="","",IF('ORDENES'!$D803="","-",'ORDENES'!$D803))</f>
        <v/>
      </c>
      <c r="J825" s="3">
        <f>IF('ORDENES'!$A803="","",IF('ORDENES'!$E803="","-",'ORDENES'!$E803))</f>
        <v/>
      </c>
      <c r="K825" s="12">
        <f>IF('ORDENES'!$A803="","",IF('ORDENES'!$M803="",0,'ORDENES'!$M803))</f>
        <v/>
      </c>
      <c r="L825" s="3">
        <f>IF('ORDENES'!$A803="","",IF('ORDENES'!$N803="","-",'ORDENES'!$N803))</f>
        <v/>
      </c>
      <c r="M825" s="3">
        <f>IF('ORDENES'!$A803="","",'ORDENES'!$AA803)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IF('ORDENES'!$A804="","",IF('ORDENES'!$AC804="","-",'ORDENES'!$AC804))</f>
        <v/>
      </c>
      <c r="D826" s="3">
        <f>IF('ORDENES'!$A804="","",IF('ORDENES'!$V804="","-",'ORDENES'!$V804))</f>
        <v/>
      </c>
      <c r="E826" s="3">
        <f>IF('ORDENES'!$A804="","",IF('ORDENES'!$U804="","-",'ORDENES'!$U804))</f>
        <v/>
      </c>
      <c r="F826" s="3">
        <f>IF('ORDENES'!$A804="","",IF('ORDENES'!$W804="","-",'ORDENES'!$W804))</f>
        <v/>
      </c>
      <c r="G826" s="3">
        <f>IF('ORDENES'!$A804="","",IF('ORDENES'!$AB804="","-",'ORDENES'!$AB804))</f>
        <v/>
      </c>
      <c r="H826" s="3">
        <f>IF('ORDENES'!$A804="","",IF('ORDENES'!$AN804="","-",'ORDENES'!$AN804))</f>
        <v/>
      </c>
      <c r="I826" s="3">
        <f>IF('ORDENES'!$A804="","",IF('ORDENES'!$D804="","-",'ORDENES'!$D804))</f>
        <v/>
      </c>
      <c r="J826" s="3">
        <f>IF('ORDENES'!$A804="","",IF('ORDENES'!$E804="","-",'ORDENES'!$E804))</f>
        <v/>
      </c>
      <c r="K826" s="12">
        <f>IF('ORDENES'!$A804="","",IF('ORDENES'!$M804="",0,'ORDENES'!$M804))</f>
        <v/>
      </c>
      <c r="L826" s="3">
        <f>IF('ORDENES'!$A804="","",IF('ORDENES'!$N804="","-",'ORDENES'!$N804))</f>
        <v/>
      </c>
      <c r="M826" s="3">
        <f>IF('ORDENES'!$A804="","",'ORDENES'!$AA804)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IF('ORDENES'!$A805="","",IF('ORDENES'!$AC805="","-",'ORDENES'!$AC805))</f>
        <v/>
      </c>
      <c r="D827" s="3">
        <f>IF('ORDENES'!$A805="","",IF('ORDENES'!$V805="","-",'ORDENES'!$V805))</f>
        <v/>
      </c>
      <c r="E827" s="3">
        <f>IF('ORDENES'!$A805="","",IF('ORDENES'!$U805="","-",'ORDENES'!$U805))</f>
        <v/>
      </c>
      <c r="F827" s="3">
        <f>IF('ORDENES'!$A805="","",IF('ORDENES'!$W805="","-",'ORDENES'!$W805))</f>
        <v/>
      </c>
      <c r="G827" s="3">
        <f>IF('ORDENES'!$A805="","",IF('ORDENES'!$AB805="","-",'ORDENES'!$AB805))</f>
        <v/>
      </c>
      <c r="H827" s="3">
        <f>IF('ORDENES'!$A805="","",IF('ORDENES'!$AN805="","-",'ORDENES'!$AN805))</f>
        <v/>
      </c>
      <c r="I827" s="3">
        <f>IF('ORDENES'!$A805="","",IF('ORDENES'!$D805="","-",'ORDENES'!$D805))</f>
        <v/>
      </c>
      <c r="J827" s="3">
        <f>IF('ORDENES'!$A805="","",IF('ORDENES'!$E805="","-",'ORDENES'!$E805))</f>
        <v/>
      </c>
      <c r="K827" s="12">
        <f>IF('ORDENES'!$A805="","",IF('ORDENES'!$M805="",0,'ORDENES'!$M805))</f>
        <v/>
      </c>
      <c r="L827" s="3">
        <f>IF('ORDENES'!$A805="","",IF('ORDENES'!$N805="","-",'ORDENES'!$N805))</f>
        <v/>
      </c>
      <c r="M827" s="3">
        <f>IF('ORDENES'!$A805="","",'ORDENES'!$AA805)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IF('ORDENES'!$A806="","",IF('ORDENES'!$AC806="","-",'ORDENES'!$AC806))</f>
        <v/>
      </c>
      <c r="D828" s="3">
        <f>IF('ORDENES'!$A806="","",IF('ORDENES'!$V806="","-",'ORDENES'!$V806))</f>
        <v/>
      </c>
      <c r="E828" s="3">
        <f>IF('ORDENES'!$A806="","",IF('ORDENES'!$U806="","-",'ORDENES'!$U806))</f>
        <v/>
      </c>
      <c r="F828" s="3">
        <f>IF('ORDENES'!$A806="","",IF('ORDENES'!$W806="","-",'ORDENES'!$W806))</f>
        <v/>
      </c>
      <c r="G828" s="3">
        <f>IF('ORDENES'!$A806="","",IF('ORDENES'!$AB806="","-",'ORDENES'!$AB806))</f>
        <v/>
      </c>
      <c r="H828" s="3">
        <f>IF('ORDENES'!$A806="","",IF('ORDENES'!$AN806="","-",'ORDENES'!$AN806))</f>
        <v/>
      </c>
      <c r="I828" s="3">
        <f>IF('ORDENES'!$A806="","",IF('ORDENES'!$D806="","-",'ORDENES'!$D806))</f>
        <v/>
      </c>
      <c r="J828" s="3">
        <f>IF('ORDENES'!$A806="","",IF('ORDENES'!$E806="","-",'ORDENES'!$E806))</f>
        <v/>
      </c>
      <c r="K828" s="12">
        <f>IF('ORDENES'!$A806="","",IF('ORDENES'!$M806="",0,'ORDENES'!$M806))</f>
        <v/>
      </c>
      <c r="L828" s="3">
        <f>IF('ORDENES'!$A806="","",IF('ORDENES'!$N806="","-",'ORDENES'!$N806))</f>
        <v/>
      </c>
      <c r="M828" s="3">
        <f>IF('ORDENES'!$A806="","",'ORDENES'!$AA806)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IF('ORDENES'!$A807="","",IF('ORDENES'!$AC807="","-",'ORDENES'!$AC807))</f>
        <v/>
      </c>
      <c r="D829" s="3">
        <f>IF('ORDENES'!$A807="","",IF('ORDENES'!$V807="","-",'ORDENES'!$V807))</f>
        <v/>
      </c>
      <c r="E829" s="3">
        <f>IF('ORDENES'!$A807="","",IF('ORDENES'!$U807="","-",'ORDENES'!$U807))</f>
        <v/>
      </c>
      <c r="F829" s="3">
        <f>IF('ORDENES'!$A807="","",IF('ORDENES'!$W807="","-",'ORDENES'!$W807))</f>
        <v/>
      </c>
      <c r="G829" s="3">
        <f>IF('ORDENES'!$A807="","",IF('ORDENES'!$AB807="","-",'ORDENES'!$AB807))</f>
        <v/>
      </c>
      <c r="H829" s="3">
        <f>IF('ORDENES'!$A807="","",IF('ORDENES'!$AN807="","-",'ORDENES'!$AN807))</f>
        <v/>
      </c>
      <c r="I829" s="3">
        <f>IF('ORDENES'!$A807="","",IF('ORDENES'!$D807="","-",'ORDENES'!$D807))</f>
        <v/>
      </c>
      <c r="J829" s="3">
        <f>IF('ORDENES'!$A807="","",IF('ORDENES'!$E807="","-",'ORDENES'!$E807))</f>
        <v/>
      </c>
      <c r="K829" s="12">
        <f>IF('ORDENES'!$A807="","",IF('ORDENES'!$M807="",0,'ORDENES'!$M807))</f>
        <v/>
      </c>
      <c r="L829" s="3">
        <f>IF('ORDENES'!$A807="","",IF('ORDENES'!$N807="","-",'ORDENES'!$N807))</f>
        <v/>
      </c>
      <c r="M829" s="3">
        <f>IF('ORDENES'!$A807="","",'ORDENES'!$AA807)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IF('ORDENES'!$A808="","",IF('ORDENES'!$AC808="","-",'ORDENES'!$AC808))</f>
        <v/>
      </c>
      <c r="D830" s="3">
        <f>IF('ORDENES'!$A808="","",IF('ORDENES'!$V808="","-",'ORDENES'!$V808))</f>
        <v/>
      </c>
      <c r="E830" s="3">
        <f>IF('ORDENES'!$A808="","",IF('ORDENES'!$U808="","-",'ORDENES'!$U808))</f>
        <v/>
      </c>
      <c r="F830" s="3">
        <f>IF('ORDENES'!$A808="","",IF('ORDENES'!$W808="","-",'ORDENES'!$W808))</f>
        <v/>
      </c>
      <c r="G830" s="3">
        <f>IF('ORDENES'!$A808="","",IF('ORDENES'!$AB808="","-",'ORDENES'!$AB808))</f>
        <v/>
      </c>
      <c r="H830" s="3">
        <f>IF('ORDENES'!$A808="","",IF('ORDENES'!$AN808="","-",'ORDENES'!$AN808))</f>
        <v/>
      </c>
      <c r="I830" s="3">
        <f>IF('ORDENES'!$A808="","",IF('ORDENES'!$D808="","-",'ORDENES'!$D808))</f>
        <v/>
      </c>
      <c r="J830" s="3">
        <f>IF('ORDENES'!$A808="","",IF('ORDENES'!$E808="","-",'ORDENES'!$E808))</f>
        <v/>
      </c>
      <c r="K830" s="12">
        <f>IF('ORDENES'!$A808="","",IF('ORDENES'!$M808="",0,'ORDENES'!$M808))</f>
        <v/>
      </c>
      <c r="L830" s="3">
        <f>IF('ORDENES'!$A808="","",IF('ORDENES'!$N808="","-",'ORDENES'!$N808))</f>
        <v/>
      </c>
      <c r="M830" s="3">
        <f>IF('ORDENES'!$A808="","",'ORDENES'!$AA808)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IF('ORDENES'!$A809="","",IF('ORDENES'!$AC809="","-",'ORDENES'!$AC809))</f>
        <v/>
      </c>
      <c r="D831" s="3">
        <f>IF('ORDENES'!$A809="","",IF('ORDENES'!$V809="","-",'ORDENES'!$V809))</f>
        <v/>
      </c>
      <c r="E831" s="3">
        <f>IF('ORDENES'!$A809="","",IF('ORDENES'!$U809="","-",'ORDENES'!$U809))</f>
        <v/>
      </c>
      <c r="F831" s="3">
        <f>IF('ORDENES'!$A809="","",IF('ORDENES'!$W809="","-",'ORDENES'!$W809))</f>
        <v/>
      </c>
      <c r="G831" s="3">
        <f>IF('ORDENES'!$A809="","",IF('ORDENES'!$AB809="","-",'ORDENES'!$AB809))</f>
        <v/>
      </c>
      <c r="H831" s="3">
        <f>IF('ORDENES'!$A809="","",IF('ORDENES'!$AN809="","-",'ORDENES'!$AN809))</f>
        <v/>
      </c>
      <c r="I831" s="3">
        <f>IF('ORDENES'!$A809="","",IF('ORDENES'!$D809="","-",'ORDENES'!$D809))</f>
        <v/>
      </c>
      <c r="J831" s="3">
        <f>IF('ORDENES'!$A809="","",IF('ORDENES'!$E809="","-",'ORDENES'!$E809))</f>
        <v/>
      </c>
      <c r="K831" s="12">
        <f>IF('ORDENES'!$A809="","",IF('ORDENES'!$M809="",0,'ORDENES'!$M809))</f>
        <v/>
      </c>
      <c r="L831" s="3">
        <f>IF('ORDENES'!$A809="","",IF('ORDENES'!$N809="","-",'ORDENES'!$N809))</f>
        <v/>
      </c>
      <c r="M831" s="3">
        <f>IF('ORDENES'!$A809="","",'ORDENES'!$AA809)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IF('ORDENES'!$A810="","",IF('ORDENES'!$AC810="","-",'ORDENES'!$AC810))</f>
        <v/>
      </c>
      <c r="D832" s="3">
        <f>IF('ORDENES'!$A810="","",IF('ORDENES'!$V810="","-",'ORDENES'!$V810))</f>
        <v/>
      </c>
      <c r="E832" s="3">
        <f>IF('ORDENES'!$A810="","",IF('ORDENES'!$U810="","-",'ORDENES'!$U810))</f>
        <v/>
      </c>
      <c r="F832" s="3">
        <f>IF('ORDENES'!$A810="","",IF('ORDENES'!$W810="","-",'ORDENES'!$W810))</f>
        <v/>
      </c>
      <c r="G832" s="3">
        <f>IF('ORDENES'!$A810="","",IF('ORDENES'!$AB810="","-",'ORDENES'!$AB810))</f>
        <v/>
      </c>
      <c r="H832" s="3">
        <f>IF('ORDENES'!$A810="","",IF('ORDENES'!$AN810="","-",'ORDENES'!$AN810))</f>
        <v/>
      </c>
      <c r="I832" s="3">
        <f>IF('ORDENES'!$A810="","",IF('ORDENES'!$D810="","-",'ORDENES'!$D810))</f>
        <v/>
      </c>
      <c r="J832" s="3">
        <f>IF('ORDENES'!$A810="","",IF('ORDENES'!$E810="","-",'ORDENES'!$E810))</f>
        <v/>
      </c>
      <c r="K832" s="12">
        <f>IF('ORDENES'!$A810="","",IF('ORDENES'!$M810="",0,'ORDENES'!$M810))</f>
        <v/>
      </c>
      <c r="L832" s="3">
        <f>IF('ORDENES'!$A810="","",IF('ORDENES'!$N810="","-",'ORDENES'!$N810))</f>
        <v/>
      </c>
      <c r="M832" s="3">
        <f>IF('ORDENES'!$A810="","",'ORDENES'!$AA810)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IF('ORDENES'!$A811="","",IF('ORDENES'!$AC811="","-",'ORDENES'!$AC811))</f>
        <v/>
      </c>
      <c r="D833" s="3">
        <f>IF('ORDENES'!$A811="","",IF('ORDENES'!$V811="","-",'ORDENES'!$V811))</f>
        <v/>
      </c>
      <c r="E833" s="3">
        <f>IF('ORDENES'!$A811="","",IF('ORDENES'!$U811="","-",'ORDENES'!$U811))</f>
        <v/>
      </c>
      <c r="F833" s="3">
        <f>IF('ORDENES'!$A811="","",IF('ORDENES'!$W811="","-",'ORDENES'!$W811))</f>
        <v/>
      </c>
      <c r="G833" s="3">
        <f>IF('ORDENES'!$A811="","",IF('ORDENES'!$AB811="","-",'ORDENES'!$AB811))</f>
        <v/>
      </c>
      <c r="H833" s="3">
        <f>IF('ORDENES'!$A811="","",IF('ORDENES'!$AN811="","-",'ORDENES'!$AN811))</f>
        <v/>
      </c>
      <c r="I833" s="3">
        <f>IF('ORDENES'!$A811="","",IF('ORDENES'!$D811="","-",'ORDENES'!$D811))</f>
        <v/>
      </c>
      <c r="J833" s="3">
        <f>IF('ORDENES'!$A811="","",IF('ORDENES'!$E811="","-",'ORDENES'!$E811))</f>
        <v/>
      </c>
      <c r="K833" s="12">
        <f>IF('ORDENES'!$A811="","",IF('ORDENES'!$M811="",0,'ORDENES'!$M811))</f>
        <v/>
      </c>
      <c r="L833" s="3">
        <f>IF('ORDENES'!$A811="","",IF('ORDENES'!$N811="","-",'ORDENES'!$N811))</f>
        <v/>
      </c>
      <c r="M833" s="3">
        <f>IF('ORDENES'!$A811="","",'ORDENES'!$AA811)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IF('ORDENES'!$A812="","",IF('ORDENES'!$AC812="","-",'ORDENES'!$AC812))</f>
        <v/>
      </c>
      <c r="D834" s="3">
        <f>IF('ORDENES'!$A812="","",IF('ORDENES'!$V812="","-",'ORDENES'!$V812))</f>
        <v/>
      </c>
      <c r="E834" s="3">
        <f>IF('ORDENES'!$A812="","",IF('ORDENES'!$U812="","-",'ORDENES'!$U812))</f>
        <v/>
      </c>
      <c r="F834" s="3">
        <f>IF('ORDENES'!$A812="","",IF('ORDENES'!$W812="","-",'ORDENES'!$W812))</f>
        <v/>
      </c>
      <c r="G834" s="3">
        <f>IF('ORDENES'!$A812="","",IF('ORDENES'!$AB812="","-",'ORDENES'!$AB812))</f>
        <v/>
      </c>
      <c r="H834" s="3">
        <f>IF('ORDENES'!$A812="","",IF('ORDENES'!$AN812="","-",'ORDENES'!$AN812))</f>
        <v/>
      </c>
      <c r="I834" s="3">
        <f>IF('ORDENES'!$A812="","",IF('ORDENES'!$D812="","-",'ORDENES'!$D812))</f>
        <v/>
      </c>
      <c r="J834" s="3">
        <f>IF('ORDENES'!$A812="","",IF('ORDENES'!$E812="","-",'ORDENES'!$E812))</f>
        <v/>
      </c>
      <c r="K834" s="12">
        <f>IF('ORDENES'!$A812="","",IF('ORDENES'!$M812="",0,'ORDENES'!$M812))</f>
        <v/>
      </c>
      <c r="L834" s="3">
        <f>IF('ORDENES'!$A812="","",IF('ORDENES'!$N812="","-",'ORDENES'!$N812))</f>
        <v/>
      </c>
      <c r="M834" s="3">
        <f>IF('ORDENES'!$A812="","",'ORDENES'!$AA812)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IF('ORDENES'!$A813="","",IF('ORDENES'!$AC813="","-",'ORDENES'!$AC813))</f>
        <v/>
      </c>
      <c r="D835" s="3">
        <f>IF('ORDENES'!$A813="","",IF('ORDENES'!$V813="","-",'ORDENES'!$V813))</f>
        <v/>
      </c>
      <c r="E835" s="3">
        <f>IF('ORDENES'!$A813="","",IF('ORDENES'!$U813="","-",'ORDENES'!$U813))</f>
        <v/>
      </c>
      <c r="F835" s="3">
        <f>IF('ORDENES'!$A813="","",IF('ORDENES'!$W813="","-",'ORDENES'!$W813))</f>
        <v/>
      </c>
      <c r="G835" s="3">
        <f>IF('ORDENES'!$A813="","",IF('ORDENES'!$AB813="","-",'ORDENES'!$AB813))</f>
        <v/>
      </c>
      <c r="H835" s="3">
        <f>IF('ORDENES'!$A813="","",IF('ORDENES'!$AN813="","-",'ORDENES'!$AN813))</f>
        <v/>
      </c>
      <c r="I835" s="3">
        <f>IF('ORDENES'!$A813="","",IF('ORDENES'!$D813="","-",'ORDENES'!$D813))</f>
        <v/>
      </c>
      <c r="J835" s="3">
        <f>IF('ORDENES'!$A813="","",IF('ORDENES'!$E813="","-",'ORDENES'!$E813))</f>
        <v/>
      </c>
      <c r="K835" s="12">
        <f>IF('ORDENES'!$A813="","",IF('ORDENES'!$M813="",0,'ORDENES'!$M813))</f>
        <v/>
      </c>
      <c r="L835" s="3">
        <f>IF('ORDENES'!$A813="","",IF('ORDENES'!$N813="","-",'ORDENES'!$N813))</f>
        <v/>
      </c>
      <c r="M835" s="3">
        <f>IF('ORDENES'!$A813="","",'ORDENES'!$AA813)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IF('ORDENES'!$A814="","",IF('ORDENES'!$AC814="","-",'ORDENES'!$AC814))</f>
        <v/>
      </c>
      <c r="D836" s="3">
        <f>IF('ORDENES'!$A814="","",IF('ORDENES'!$V814="","-",'ORDENES'!$V814))</f>
        <v/>
      </c>
      <c r="E836" s="3">
        <f>IF('ORDENES'!$A814="","",IF('ORDENES'!$U814="","-",'ORDENES'!$U814))</f>
        <v/>
      </c>
      <c r="F836" s="3">
        <f>IF('ORDENES'!$A814="","",IF('ORDENES'!$W814="","-",'ORDENES'!$W814))</f>
        <v/>
      </c>
      <c r="G836" s="3">
        <f>IF('ORDENES'!$A814="","",IF('ORDENES'!$AB814="","-",'ORDENES'!$AB814))</f>
        <v/>
      </c>
      <c r="H836" s="3">
        <f>IF('ORDENES'!$A814="","",IF('ORDENES'!$AN814="","-",'ORDENES'!$AN814))</f>
        <v/>
      </c>
      <c r="I836" s="3">
        <f>IF('ORDENES'!$A814="","",IF('ORDENES'!$D814="","-",'ORDENES'!$D814))</f>
        <v/>
      </c>
      <c r="J836" s="3">
        <f>IF('ORDENES'!$A814="","",IF('ORDENES'!$E814="","-",'ORDENES'!$E814))</f>
        <v/>
      </c>
      <c r="K836" s="12">
        <f>IF('ORDENES'!$A814="","",IF('ORDENES'!$M814="",0,'ORDENES'!$M814))</f>
        <v/>
      </c>
      <c r="L836" s="3">
        <f>IF('ORDENES'!$A814="","",IF('ORDENES'!$N814="","-",'ORDENES'!$N814))</f>
        <v/>
      </c>
      <c r="M836" s="3">
        <f>IF('ORDENES'!$A814="","",'ORDENES'!$AA814)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IF('ORDENES'!$A815="","",IF('ORDENES'!$AC815="","-",'ORDENES'!$AC815))</f>
        <v/>
      </c>
      <c r="D837" s="3">
        <f>IF('ORDENES'!$A815="","",IF('ORDENES'!$V815="","-",'ORDENES'!$V815))</f>
        <v/>
      </c>
      <c r="E837" s="3">
        <f>IF('ORDENES'!$A815="","",IF('ORDENES'!$U815="","-",'ORDENES'!$U815))</f>
        <v/>
      </c>
      <c r="F837" s="3">
        <f>IF('ORDENES'!$A815="","",IF('ORDENES'!$W815="","-",'ORDENES'!$W815))</f>
        <v/>
      </c>
      <c r="G837" s="3">
        <f>IF('ORDENES'!$A815="","",IF('ORDENES'!$AB815="","-",'ORDENES'!$AB815))</f>
        <v/>
      </c>
      <c r="H837" s="3">
        <f>IF('ORDENES'!$A815="","",IF('ORDENES'!$AN815="","-",'ORDENES'!$AN815))</f>
        <v/>
      </c>
      <c r="I837" s="3">
        <f>IF('ORDENES'!$A815="","",IF('ORDENES'!$D815="","-",'ORDENES'!$D815))</f>
        <v/>
      </c>
      <c r="J837" s="3">
        <f>IF('ORDENES'!$A815="","",IF('ORDENES'!$E815="","-",'ORDENES'!$E815))</f>
        <v/>
      </c>
      <c r="K837" s="12">
        <f>IF('ORDENES'!$A815="","",IF('ORDENES'!$M815="",0,'ORDENES'!$M815))</f>
        <v/>
      </c>
      <c r="L837" s="3">
        <f>IF('ORDENES'!$A815="","",IF('ORDENES'!$N815="","-",'ORDENES'!$N815))</f>
        <v/>
      </c>
      <c r="M837" s="3">
        <f>IF('ORDENES'!$A815="","",'ORDENES'!$AA815)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IF('ORDENES'!$A816="","",IF('ORDENES'!$AC816="","-",'ORDENES'!$AC816))</f>
        <v/>
      </c>
      <c r="D838" s="3">
        <f>IF('ORDENES'!$A816="","",IF('ORDENES'!$V816="","-",'ORDENES'!$V816))</f>
        <v/>
      </c>
      <c r="E838" s="3">
        <f>IF('ORDENES'!$A816="","",IF('ORDENES'!$U816="","-",'ORDENES'!$U816))</f>
        <v/>
      </c>
      <c r="F838" s="3">
        <f>IF('ORDENES'!$A816="","",IF('ORDENES'!$W816="","-",'ORDENES'!$W816))</f>
        <v/>
      </c>
      <c r="G838" s="3">
        <f>IF('ORDENES'!$A816="","",IF('ORDENES'!$AB816="","-",'ORDENES'!$AB816))</f>
        <v/>
      </c>
      <c r="H838" s="3">
        <f>IF('ORDENES'!$A816="","",IF('ORDENES'!$AN816="","-",'ORDENES'!$AN816))</f>
        <v/>
      </c>
      <c r="I838" s="3">
        <f>IF('ORDENES'!$A816="","",IF('ORDENES'!$D816="","-",'ORDENES'!$D816))</f>
        <v/>
      </c>
      <c r="J838" s="3">
        <f>IF('ORDENES'!$A816="","",IF('ORDENES'!$E816="","-",'ORDENES'!$E816))</f>
        <v/>
      </c>
      <c r="K838" s="12">
        <f>IF('ORDENES'!$A816="","",IF('ORDENES'!$M816="",0,'ORDENES'!$M816))</f>
        <v/>
      </c>
      <c r="L838" s="3">
        <f>IF('ORDENES'!$A816="","",IF('ORDENES'!$N816="","-",'ORDENES'!$N816))</f>
        <v/>
      </c>
      <c r="M838" s="3">
        <f>IF('ORDENES'!$A816="","",'ORDENES'!$AA816)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IF('ORDENES'!$A817="","",IF('ORDENES'!$AC817="","-",'ORDENES'!$AC817))</f>
        <v/>
      </c>
      <c r="D839" s="3">
        <f>IF('ORDENES'!$A817="","",IF('ORDENES'!$V817="","-",'ORDENES'!$V817))</f>
        <v/>
      </c>
      <c r="E839" s="3">
        <f>IF('ORDENES'!$A817="","",IF('ORDENES'!$U817="","-",'ORDENES'!$U817))</f>
        <v/>
      </c>
      <c r="F839" s="3">
        <f>IF('ORDENES'!$A817="","",IF('ORDENES'!$W817="","-",'ORDENES'!$W817))</f>
        <v/>
      </c>
      <c r="G839" s="3">
        <f>IF('ORDENES'!$A817="","",IF('ORDENES'!$AB817="","-",'ORDENES'!$AB817))</f>
        <v/>
      </c>
      <c r="H839" s="3">
        <f>IF('ORDENES'!$A817="","",IF('ORDENES'!$AN817="","-",'ORDENES'!$AN817))</f>
        <v/>
      </c>
      <c r="I839" s="3">
        <f>IF('ORDENES'!$A817="","",IF('ORDENES'!$D817="","-",'ORDENES'!$D817))</f>
        <v/>
      </c>
      <c r="J839" s="3">
        <f>IF('ORDENES'!$A817="","",IF('ORDENES'!$E817="","-",'ORDENES'!$E817))</f>
        <v/>
      </c>
      <c r="K839" s="12">
        <f>IF('ORDENES'!$A817="","",IF('ORDENES'!$M817="",0,'ORDENES'!$M817))</f>
        <v/>
      </c>
      <c r="L839" s="3">
        <f>IF('ORDENES'!$A817="","",IF('ORDENES'!$N817="","-",'ORDENES'!$N817))</f>
        <v/>
      </c>
      <c r="M839" s="3">
        <f>IF('ORDENES'!$A817="","",'ORDENES'!$AA817)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IF('ORDENES'!$A818="","",IF('ORDENES'!$AC818="","-",'ORDENES'!$AC818))</f>
        <v/>
      </c>
      <c r="D840" s="3">
        <f>IF('ORDENES'!$A818="","",IF('ORDENES'!$V818="","-",'ORDENES'!$V818))</f>
        <v/>
      </c>
      <c r="E840" s="3">
        <f>IF('ORDENES'!$A818="","",IF('ORDENES'!$U818="","-",'ORDENES'!$U818))</f>
        <v/>
      </c>
      <c r="F840" s="3">
        <f>IF('ORDENES'!$A818="","",IF('ORDENES'!$W818="","-",'ORDENES'!$W818))</f>
        <v/>
      </c>
      <c r="G840" s="3">
        <f>IF('ORDENES'!$A818="","",IF('ORDENES'!$AB818="","-",'ORDENES'!$AB818))</f>
        <v/>
      </c>
      <c r="H840" s="3">
        <f>IF('ORDENES'!$A818="","",IF('ORDENES'!$AN818="","-",'ORDENES'!$AN818))</f>
        <v/>
      </c>
      <c r="I840" s="3">
        <f>IF('ORDENES'!$A818="","",IF('ORDENES'!$D818="","-",'ORDENES'!$D818))</f>
        <v/>
      </c>
      <c r="J840" s="3">
        <f>IF('ORDENES'!$A818="","",IF('ORDENES'!$E818="","-",'ORDENES'!$E818))</f>
        <v/>
      </c>
      <c r="K840" s="12">
        <f>IF('ORDENES'!$A818="","",IF('ORDENES'!$M818="",0,'ORDENES'!$M818))</f>
        <v/>
      </c>
      <c r="L840" s="3">
        <f>IF('ORDENES'!$A818="","",IF('ORDENES'!$N818="","-",'ORDENES'!$N818))</f>
        <v/>
      </c>
      <c r="M840" s="3">
        <f>IF('ORDENES'!$A818="","",'ORDENES'!$AA818)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IF('ORDENES'!$A819="","",IF('ORDENES'!$AC819="","-",'ORDENES'!$AC819))</f>
        <v/>
      </c>
      <c r="D841" s="3">
        <f>IF('ORDENES'!$A819="","",IF('ORDENES'!$V819="","-",'ORDENES'!$V819))</f>
        <v/>
      </c>
      <c r="E841" s="3">
        <f>IF('ORDENES'!$A819="","",IF('ORDENES'!$U819="","-",'ORDENES'!$U819))</f>
        <v/>
      </c>
      <c r="F841" s="3">
        <f>IF('ORDENES'!$A819="","",IF('ORDENES'!$W819="","-",'ORDENES'!$W819))</f>
        <v/>
      </c>
      <c r="G841" s="3">
        <f>IF('ORDENES'!$A819="","",IF('ORDENES'!$AB819="","-",'ORDENES'!$AB819))</f>
        <v/>
      </c>
      <c r="H841" s="3">
        <f>IF('ORDENES'!$A819="","",IF('ORDENES'!$AN819="","-",'ORDENES'!$AN819))</f>
        <v/>
      </c>
      <c r="I841" s="3">
        <f>IF('ORDENES'!$A819="","",IF('ORDENES'!$D819="","-",'ORDENES'!$D819))</f>
        <v/>
      </c>
      <c r="J841" s="3">
        <f>IF('ORDENES'!$A819="","",IF('ORDENES'!$E819="","-",'ORDENES'!$E819))</f>
        <v/>
      </c>
      <c r="K841" s="12">
        <f>IF('ORDENES'!$A819="","",IF('ORDENES'!$M819="",0,'ORDENES'!$M819))</f>
        <v/>
      </c>
      <c r="L841" s="3">
        <f>IF('ORDENES'!$A819="","",IF('ORDENES'!$N819="","-",'ORDENES'!$N819))</f>
        <v/>
      </c>
      <c r="M841" s="3">
        <f>IF('ORDENES'!$A819="","",'ORDENES'!$AA819)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IF('ORDENES'!$A820="","",IF('ORDENES'!$AC820="","-",'ORDENES'!$AC820))</f>
        <v/>
      </c>
      <c r="D842" s="3">
        <f>IF('ORDENES'!$A820="","",IF('ORDENES'!$V820="","-",'ORDENES'!$V820))</f>
        <v/>
      </c>
      <c r="E842" s="3">
        <f>IF('ORDENES'!$A820="","",IF('ORDENES'!$U820="","-",'ORDENES'!$U820))</f>
        <v/>
      </c>
      <c r="F842" s="3">
        <f>IF('ORDENES'!$A820="","",IF('ORDENES'!$W820="","-",'ORDENES'!$W820))</f>
        <v/>
      </c>
      <c r="G842" s="3">
        <f>IF('ORDENES'!$A820="","",IF('ORDENES'!$AB820="","-",'ORDENES'!$AB820))</f>
        <v/>
      </c>
      <c r="H842" s="3">
        <f>IF('ORDENES'!$A820="","",IF('ORDENES'!$AN820="","-",'ORDENES'!$AN820))</f>
        <v/>
      </c>
      <c r="I842" s="3">
        <f>IF('ORDENES'!$A820="","",IF('ORDENES'!$D820="","-",'ORDENES'!$D820))</f>
        <v/>
      </c>
      <c r="J842" s="3">
        <f>IF('ORDENES'!$A820="","",IF('ORDENES'!$E820="","-",'ORDENES'!$E820))</f>
        <v/>
      </c>
      <c r="K842" s="12">
        <f>IF('ORDENES'!$A820="","",IF('ORDENES'!$M820="",0,'ORDENES'!$M820))</f>
        <v/>
      </c>
      <c r="L842" s="3">
        <f>IF('ORDENES'!$A820="","",IF('ORDENES'!$N820="","-",'ORDENES'!$N820))</f>
        <v/>
      </c>
      <c r="M842" s="3">
        <f>IF('ORDENES'!$A820="","",'ORDENES'!$AA820)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IF('ORDENES'!$A821="","",IF('ORDENES'!$AC821="","-",'ORDENES'!$AC821))</f>
        <v/>
      </c>
      <c r="D843" s="3">
        <f>IF('ORDENES'!$A821="","",IF('ORDENES'!$V821="","-",'ORDENES'!$V821))</f>
        <v/>
      </c>
      <c r="E843" s="3">
        <f>IF('ORDENES'!$A821="","",IF('ORDENES'!$U821="","-",'ORDENES'!$U821))</f>
        <v/>
      </c>
      <c r="F843" s="3">
        <f>IF('ORDENES'!$A821="","",IF('ORDENES'!$W821="","-",'ORDENES'!$W821))</f>
        <v/>
      </c>
      <c r="G843" s="3">
        <f>IF('ORDENES'!$A821="","",IF('ORDENES'!$AB821="","-",'ORDENES'!$AB821))</f>
        <v/>
      </c>
      <c r="H843" s="3">
        <f>IF('ORDENES'!$A821="","",IF('ORDENES'!$AN821="","-",'ORDENES'!$AN821))</f>
        <v/>
      </c>
      <c r="I843" s="3">
        <f>IF('ORDENES'!$A821="","",IF('ORDENES'!$D821="","-",'ORDENES'!$D821))</f>
        <v/>
      </c>
      <c r="J843" s="3">
        <f>IF('ORDENES'!$A821="","",IF('ORDENES'!$E821="","-",'ORDENES'!$E821))</f>
        <v/>
      </c>
      <c r="K843" s="12">
        <f>IF('ORDENES'!$A821="","",IF('ORDENES'!$M821="",0,'ORDENES'!$M821))</f>
        <v/>
      </c>
      <c r="L843" s="3">
        <f>IF('ORDENES'!$A821="","",IF('ORDENES'!$N821="","-",'ORDENES'!$N821))</f>
        <v/>
      </c>
      <c r="M843" s="3">
        <f>IF('ORDENES'!$A821="","",'ORDENES'!$AA821)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IF('ORDENES'!$A822="","",IF('ORDENES'!$AC822="","-",'ORDENES'!$AC822))</f>
        <v/>
      </c>
      <c r="D844" s="3">
        <f>IF('ORDENES'!$A822="","",IF('ORDENES'!$V822="","-",'ORDENES'!$V822))</f>
        <v/>
      </c>
      <c r="E844" s="3">
        <f>IF('ORDENES'!$A822="","",IF('ORDENES'!$U822="","-",'ORDENES'!$U822))</f>
        <v/>
      </c>
      <c r="F844" s="3">
        <f>IF('ORDENES'!$A822="","",IF('ORDENES'!$W822="","-",'ORDENES'!$W822))</f>
        <v/>
      </c>
      <c r="G844" s="3">
        <f>IF('ORDENES'!$A822="","",IF('ORDENES'!$AB822="","-",'ORDENES'!$AB822))</f>
        <v/>
      </c>
      <c r="H844" s="3">
        <f>IF('ORDENES'!$A822="","",IF('ORDENES'!$AN822="","-",'ORDENES'!$AN822))</f>
        <v/>
      </c>
      <c r="I844" s="3">
        <f>IF('ORDENES'!$A822="","",IF('ORDENES'!$D822="","-",'ORDENES'!$D822))</f>
        <v/>
      </c>
      <c r="J844" s="3">
        <f>IF('ORDENES'!$A822="","",IF('ORDENES'!$E822="","-",'ORDENES'!$E822))</f>
        <v/>
      </c>
      <c r="K844" s="12">
        <f>IF('ORDENES'!$A822="","",IF('ORDENES'!$M822="",0,'ORDENES'!$M822))</f>
        <v/>
      </c>
      <c r="L844" s="3">
        <f>IF('ORDENES'!$A822="","",IF('ORDENES'!$N822="","-",'ORDENES'!$N822))</f>
        <v/>
      </c>
      <c r="M844" s="3">
        <f>IF('ORDENES'!$A822="","",'ORDENES'!$AA822)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IF('ORDENES'!$A823="","",IF('ORDENES'!$AC823="","-",'ORDENES'!$AC823))</f>
        <v/>
      </c>
      <c r="D845" s="3">
        <f>IF('ORDENES'!$A823="","",IF('ORDENES'!$V823="","-",'ORDENES'!$V823))</f>
        <v/>
      </c>
      <c r="E845" s="3">
        <f>IF('ORDENES'!$A823="","",IF('ORDENES'!$U823="","-",'ORDENES'!$U823))</f>
        <v/>
      </c>
      <c r="F845" s="3">
        <f>IF('ORDENES'!$A823="","",IF('ORDENES'!$W823="","-",'ORDENES'!$W823))</f>
        <v/>
      </c>
      <c r="G845" s="3">
        <f>IF('ORDENES'!$A823="","",IF('ORDENES'!$AB823="","-",'ORDENES'!$AB823))</f>
        <v/>
      </c>
      <c r="H845" s="3">
        <f>IF('ORDENES'!$A823="","",IF('ORDENES'!$AN823="","-",'ORDENES'!$AN823))</f>
        <v/>
      </c>
      <c r="I845" s="3">
        <f>IF('ORDENES'!$A823="","",IF('ORDENES'!$D823="","-",'ORDENES'!$D823))</f>
        <v/>
      </c>
      <c r="J845" s="3">
        <f>IF('ORDENES'!$A823="","",IF('ORDENES'!$E823="","-",'ORDENES'!$E823))</f>
        <v/>
      </c>
      <c r="K845" s="12">
        <f>IF('ORDENES'!$A823="","",IF('ORDENES'!$M823="",0,'ORDENES'!$M823))</f>
        <v/>
      </c>
      <c r="L845" s="3">
        <f>IF('ORDENES'!$A823="","",IF('ORDENES'!$N823="","-",'ORDENES'!$N823))</f>
        <v/>
      </c>
      <c r="M845" s="3">
        <f>IF('ORDENES'!$A823="","",'ORDENES'!$AA823)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IF('ORDENES'!$A824="","",IF('ORDENES'!$AC824="","-",'ORDENES'!$AC824))</f>
        <v/>
      </c>
      <c r="D846" s="3">
        <f>IF('ORDENES'!$A824="","",IF('ORDENES'!$V824="","-",'ORDENES'!$V824))</f>
        <v/>
      </c>
      <c r="E846" s="3">
        <f>IF('ORDENES'!$A824="","",IF('ORDENES'!$U824="","-",'ORDENES'!$U824))</f>
        <v/>
      </c>
      <c r="F846" s="3">
        <f>IF('ORDENES'!$A824="","",IF('ORDENES'!$W824="","-",'ORDENES'!$W824))</f>
        <v/>
      </c>
      <c r="G846" s="3">
        <f>IF('ORDENES'!$A824="","",IF('ORDENES'!$AB824="","-",'ORDENES'!$AB824))</f>
        <v/>
      </c>
      <c r="H846" s="3">
        <f>IF('ORDENES'!$A824="","",IF('ORDENES'!$AN824="","-",'ORDENES'!$AN824))</f>
        <v/>
      </c>
      <c r="I846" s="3">
        <f>IF('ORDENES'!$A824="","",IF('ORDENES'!$D824="","-",'ORDENES'!$D824))</f>
        <v/>
      </c>
      <c r="J846" s="3">
        <f>IF('ORDENES'!$A824="","",IF('ORDENES'!$E824="","-",'ORDENES'!$E824))</f>
        <v/>
      </c>
      <c r="K846" s="12">
        <f>IF('ORDENES'!$A824="","",IF('ORDENES'!$M824="",0,'ORDENES'!$M824))</f>
        <v/>
      </c>
      <c r="L846" s="3">
        <f>IF('ORDENES'!$A824="","",IF('ORDENES'!$N824="","-",'ORDENES'!$N824))</f>
        <v/>
      </c>
      <c r="M846" s="3">
        <f>IF('ORDENES'!$A824="","",'ORDENES'!$AA824)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IF('ORDENES'!$A825="","",IF('ORDENES'!$AC825="","-",'ORDENES'!$AC825))</f>
        <v/>
      </c>
      <c r="D847" s="3">
        <f>IF('ORDENES'!$A825="","",IF('ORDENES'!$V825="","-",'ORDENES'!$V825))</f>
        <v/>
      </c>
      <c r="E847" s="3">
        <f>IF('ORDENES'!$A825="","",IF('ORDENES'!$U825="","-",'ORDENES'!$U825))</f>
        <v/>
      </c>
      <c r="F847" s="3">
        <f>IF('ORDENES'!$A825="","",IF('ORDENES'!$W825="","-",'ORDENES'!$W825))</f>
        <v/>
      </c>
      <c r="G847" s="3">
        <f>IF('ORDENES'!$A825="","",IF('ORDENES'!$AB825="","-",'ORDENES'!$AB825))</f>
        <v/>
      </c>
      <c r="H847" s="3">
        <f>IF('ORDENES'!$A825="","",IF('ORDENES'!$AN825="","-",'ORDENES'!$AN825))</f>
        <v/>
      </c>
      <c r="I847" s="3">
        <f>IF('ORDENES'!$A825="","",IF('ORDENES'!$D825="","-",'ORDENES'!$D825))</f>
        <v/>
      </c>
      <c r="J847" s="3">
        <f>IF('ORDENES'!$A825="","",IF('ORDENES'!$E825="","-",'ORDENES'!$E825))</f>
        <v/>
      </c>
      <c r="K847" s="12">
        <f>IF('ORDENES'!$A825="","",IF('ORDENES'!$M825="",0,'ORDENES'!$M825))</f>
        <v/>
      </c>
      <c r="L847" s="3">
        <f>IF('ORDENES'!$A825="","",IF('ORDENES'!$N825="","-",'ORDENES'!$N825))</f>
        <v/>
      </c>
      <c r="M847" s="3">
        <f>IF('ORDENES'!$A825="","",'ORDENES'!$AA825)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IF('ORDENES'!$A826="","",IF('ORDENES'!$AC826="","-",'ORDENES'!$AC826))</f>
        <v/>
      </c>
      <c r="D848" s="3">
        <f>IF('ORDENES'!$A826="","",IF('ORDENES'!$V826="","-",'ORDENES'!$V826))</f>
        <v/>
      </c>
      <c r="E848" s="3">
        <f>IF('ORDENES'!$A826="","",IF('ORDENES'!$U826="","-",'ORDENES'!$U826))</f>
        <v/>
      </c>
      <c r="F848" s="3">
        <f>IF('ORDENES'!$A826="","",IF('ORDENES'!$W826="","-",'ORDENES'!$W826))</f>
        <v/>
      </c>
      <c r="G848" s="3">
        <f>IF('ORDENES'!$A826="","",IF('ORDENES'!$AB826="","-",'ORDENES'!$AB826))</f>
        <v/>
      </c>
      <c r="H848" s="3">
        <f>IF('ORDENES'!$A826="","",IF('ORDENES'!$AN826="","-",'ORDENES'!$AN826))</f>
        <v/>
      </c>
      <c r="I848" s="3">
        <f>IF('ORDENES'!$A826="","",IF('ORDENES'!$D826="","-",'ORDENES'!$D826))</f>
        <v/>
      </c>
      <c r="J848" s="3">
        <f>IF('ORDENES'!$A826="","",IF('ORDENES'!$E826="","-",'ORDENES'!$E826))</f>
        <v/>
      </c>
      <c r="K848" s="12">
        <f>IF('ORDENES'!$A826="","",IF('ORDENES'!$M826="",0,'ORDENES'!$M826))</f>
        <v/>
      </c>
      <c r="L848" s="3">
        <f>IF('ORDENES'!$A826="","",IF('ORDENES'!$N826="","-",'ORDENES'!$N826))</f>
        <v/>
      </c>
      <c r="M848" s="3">
        <f>IF('ORDENES'!$A826="","",'ORDENES'!$AA826)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IF('ORDENES'!$A827="","",IF('ORDENES'!$AC827="","-",'ORDENES'!$AC827))</f>
        <v/>
      </c>
      <c r="D849" s="3">
        <f>IF('ORDENES'!$A827="","",IF('ORDENES'!$V827="","-",'ORDENES'!$V827))</f>
        <v/>
      </c>
      <c r="E849" s="3">
        <f>IF('ORDENES'!$A827="","",IF('ORDENES'!$U827="","-",'ORDENES'!$U827))</f>
        <v/>
      </c>
      <c r="F849" s="3">
        <f>IF('ORDENES'!$A827="","",IF('ORDENES'!$W827="","-",'ORDENES'!$W827))</f>
        <v/>
      </c>
      <c r="G849" s="3">
        <f>IF('ORDENES'!$A827="","",IF('ORDENES'!$AB827="","-",'ORDENES'!$AB827))</f>
        <v/>
      </c>
      <c r="H849" s="3">
        <f>IF('ORDENES'!$A827="","",IF('ORDENES'!$AN827="","-",'ORDENES'!$AN827))</f>
        <v/>
      </c>
      <c r="I849" s="3">
        <f>IF('ORDENES'!$A827="","",IF('ORDENES'!$D827="","-",'ORDENES'!$D827))</f>
        <v/>
      </c>
      <c r="J849" s="3">
        <f>IF('ORDENES'!$A827="","",IF('ORDENES'!$E827="","-",'ORDENES'!$E827))</f>
        <v/>
      </c>
      <c r="K849" s="12">
        <f>IF('ORDENES'!$A827="","",IF('ORDENES'!$M827="",0,'ORDENES'!$M827))</f>
        <v/>
      </c>
      <c r="L849" s="3">
        <f>IF('ORDENES'!$A827="","",IF('ORDENES'!$N827="","-",'ORDENES'!$N827))</f>
        <v/>
      </c>
      <c r="M849" s="3">
        <f>IF('ORDENES'!$A827="","",'ORDENES'!$AA827)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IF('ORDENES'!$A828="","",IF('ORDENES'!$AC828="","-",'ORDENES'!$AC828))</f>
        <v/>
      </c>
      <c r="D850" s="3">
        <f>IF('ORDENES'!$A828="","",IF('ORDENES'!$V828="","-",'ORDENES'!$V828))</f>
        <v/>
      </c>
      <c r="E850" s="3">
        <f>IF('ORDENES'!$A828="","",IF('ORDENES'!$U828="","-",'ORDENES'!$U828))</f>
        <v/>
      </c>
      <c r="F850" s="3">
        <f>IF('ORDENES'!$A828="","",IF('ORDENES'!$W828="","-",'ORDENES'!$W828))</f>
        <v/>
      </c>
      <c r="G850" s="3">
        <f>IF('ORDENES'!$A828="","",IF('ORDENES'!$AB828="","-",'ORDENES'!$AB828))</f>
        <v/>
      </c>
      <c r="H850" s="3">
        <f>IF('ORDENES'!$A828="","",IF('ORDENES'!$AN828="","-",'ORDENES'!$AN828))</f>
        <v/>
      </c>
      <c r="I850" s="3">
        <f>IF('ORDENES'!$A828="","",IF('ORDENES'!$D828="","-",'ORDENES'!$D828))</f>
        <v/>
      </c>
      <c r="J850" s="3">
        <f>IF('ORDENES'!$A828="","",IF('ORDENES'!$E828="","-",'ORDENES'!$E828))</f>
        <v/>
      </c>
      <c r="K850" s="12">
        <f>IF('ORDENES'!$A828="","",IF('ORDENES'!$M828="",0,'ORDENES'!$M828))</f>
        <v/>
      </c>
      <c r="L850" s="3">
        <f>IF('ORDENES'!$A828="","",IF('ORDENES'!$N828="","-",'ORDENES'!$N828))</f>
        <v/>
      </c>
      <c r="M850" s="3">
        <f>IF('ORDENES'!$A828="","",'ORDENES'!$AA828)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IF('ORDENES'!$A829="","",IF('ORDENES'!$AC829="","-",'ORDENES'!$AC829))</f>
        <v/>
      </c>
      <c r="D851" s="3">
        <f>IF('ORDENES'!$A829="","",IF('ORDENES'!$V829="","-",'ORDENES'!$V829))</f>
        <v/>
      </c>
      <c r="E851" s="3">
        <f>IF('ORDENES'!$A829="","",IF('ORDENES'!$U829="","-",'ORDENES'!$U829))</f>
        <v/>
      </c>
      <c r="F851" s="3">
        <f>IF('ORDENES'!$A829="","",IF('ORDENES'!$W829="","-",'ORDENES'!$W829))</f>
        <v/>
      </c>
      <c r="G851" s="3">
        <f>IF('ORDENES'!$A829="","",IF('ORDENES'!$AB829="","-",'ORDENES'!$AB829))</f>
        <v/>
      </c>
      <c r="H851" s="3">
        <f>IF('ORDENES'!$A829="","",IF('ORDENES'!$AN829="","-",'ORDENES'!$AN829))</f>
        <v/>
      </c>
      <c r="I851" s="3">
        <f>IF('ORDENES'!$A829="","",IF('ORDENES'!$D829="","-",'ORDENES'!$D829))</f>
        <v/>
      </c>
      <c r="J851" s="3">
        <f>IF('ORDENES'!$A829="","",IF('ORDENES'!$E829="","-",'ORDENES'!$E829))</f>
        <v/>
      </c>
      <c r="K851" s="12">
        <f>IF('ORDENES'!$A829="","",IF('ORDENES'!$M829="",0,'ORDENES'!$M829))</f>
        <v/>
      </c>
      <c r="L851" s="3">
        <f>IF('ORDENES'!$A829="","",IF('ORDENES'!$N829="","-",'ORDENES'!$N829))</f>
        <v/>
      </c>
      <c r="M851" s="3">
        <f>IF('ORDENES'!$A829="","",'ORDENES'!$AA829)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IF('ORDENES'!$A830="","",IF('ORDENES'!$AC830="","-",'ORDENES'!$AC830))</f>
        <v/>
      </c>
      <c r="D852" s="3">
        <f>IF('ORDENES'!$A830="","",IF('ORDENES'!$V830="","-",'ORDENES'!$V830))</f>
        <v/>
      </c>
      <c r="E852" s="3">
        <f>IF('ORDENES'!$A830="","",IF('ORDENES'!$U830="","-",'ORDENES'!$U830))</f>
        <v/>
      </c>
      <c r="F852" s="3">
        <f>IF('ORDENES'!$A830="","",IF('ORDENES'!$W830="","-",'ORDENES'!$W830))</f>
        <v/>
      </c>
      <c r="G852" s="3">
        <f>IF('ORDENES'!$A830="","",IF('ORDENES'!$AB830="","-",'ORDENES'!$AB830))</f>
        <v/>
      </c>
      <c r="H852" s="3">
        <f>IF('ORDENES'!$A830="","",IF('ORDENES'!$AN830="","-",'ORDENES'!$AN830))</f>
        <v/>
      </c>
      <c r="I852" s="3">
        <f>IF('ORDENES'!$A830="","",IF('ORDENES'!$D830="","-",'ORDENES'!$D830))</f>
        <v/>
      </c>
      <c r="J852" s="3">
        <f>IF('ORDENES'!$A830="","",IF('ORDENES'!$E830="","-",'ORDENES'!$E830))</f>
        <v/>
      </c>
      <c r="K852" s="12">
        <f>IF('ORDENES'!$A830="","",IF('ORDENES'!$M830="",0,'ORDENES'!$M830))</f>
        <v/>
      </c>
      <c r="L852" s="3">
        <f>IF('ORDENES'!$A830="","",IF('ORDENES'!$N830="","-",'ORDENES'!$N830))</f>
        <v/>
      </c>
      <c r="M852" s="3">
        <f>IF('ORDENES'!$A830="","",'ORDENES'!$AA830)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IF('ORDENES'!$A831="","",IF('ORDENES'!$AC831="","-",'ORDENES'!$AC831))</f>
        <v/>
      </c>
      <c r="D853" s="3">
        <f>IF('ORDENES'!$A831="","",IF('ORDENES'!$V831="","-",'ORDENES'!$V831))</f>
        <v/>
      </c>
      <c r="E853" s="3">
        <f>IF('ORDENES'!$A831="","",IF('ORDENES'!$U831="","-",'ORDENES'!$U831))</f>
        <v/>
      </c>
      <c r="F853" s="3">
        <f>IF('ORDENES'!$A831="","",IF('ORDENES'!$W831="","-",'ORDENES'!$W831))</f>
        <v/>
      </c>
      <c r="G853" s="3">
        <f>IF('ORDENES'!$A831="","",IF('ORDENES'!$AB831="","-",'ORDENES'!$AB831))</f>
        <v/>
      </c>
      <c r="H853" s="3">
        <f>IF('ORDENES'!$A831="","",IF('ORDENES'!$AN831="","-",'ORDENES'!$AN831))</f>
        <v/>
      </c>
      <c r="I853" s="3">
        <f>IF('ORDENES'!$A831="","",IF('ORDENES'!$D831="","-",'ORDENES'!$D831))</f>
        <v/>
      </c>
      <c r="J853" s="3">
        <f>IF('ORDENES'!$A831="","",IF('ORDENES'!$E831="","-",'ORDENES'!$E831))</f>
        <v/>
      </c>
      <c r="K853" s="12">
        <f>IF('ORDENES'!$A831="","",IF('ORDENES'!$M831="",0,'ORDENES'!$M831))</f>
        <v/>
      </c>
      <c r="L853" s="3">
        <f>IF('ORDENES'!$A831="","",IF('ORDENES'!$N831="","-",'ORDENES'!$N831))</f>
        <v/>
      </c>
      <c r="M853" s="3">
        <f>IF('ORDENES'!$A831="","",'ORDENES'!$AA831)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IF('ORDENES'!$A832="","",IF('ORDENES'!$AC832="","-",'ORDENES'!$AC832))</f>
        <v/>
      </c>
      <c r="D854" s="3">
        <f>IF('ORDENES'!$A832="","",IF('ORDENES'!$V832="","-",'ORDENES'!$V832))</f>
        <v/>
      </c>
      <c r="E854" s="3">
        <f>IF('ORDENES'!$A832="","",IF('ORDENES'!$U832="","-",'ORDENES'!$U832))</f>
        <v/>
      </c>
      <c r="F854" s="3">
        <f>IF('ORDENES'!$A832="","",IF('ORDENES'!$W832="","-",'ORDENES'!$W832))</f>
        <v/>
      </c>
      <c r="G854" s="3">
        <f>IF('ORDENES'!$A832="","",IF('ORDENES'!$AB832="","-",'ORDENES'!$AB832))</f>
        <v/>
      </c>
      <c r="H854" s="3">
        <f>IF('ORDENES'!$A832="","",IF('ORDENES'!$AN832="","-",'ORDENES'!$AN832))</f>
        <v/>
      </c>
      <c r="I854" s="3">
        <f>IF('ORDENES'!$A832="","",IF('ORDENES'!$D832="","-",'ORDENES'!$D832))</f>
        <v/>
      </c>
      <c r="J854" s="3">
        <f>IF('ORDENES'!$A832="","",IF('ORDENES'!$E832="","-",'ORDENES'!$E832))</f>
        <v/>
      </c>
      <c r="K854" s="12">
        <f>IF('ORDENES'!$A832="","",IF('ORDENES'!$M832="",0,'ORDENES'!$M832))</f>
        <v/>
      </c>
      <c r="L854" s="3">
        <f>IF('ORDENES'!$A832="","",IF('ORDENES'!$N832="","-",'ORDENES'!$N832))</f>
        <v/>
      </c>
      <c r="M854" s="3">
        <f>IF('ORDENES'!$A832="","",'ORDENES'!$AA832)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IF('ORDENES'!$A833="","",IF('ORDENES'!$AC833="","-",'ORDENES'!$AC833))</f>
        <v/>
      </c>
      <c r="D855" s="3">
        <f>IF('ORDENES'!$A833="","",IF('ORDENES'!$V833="","-",'ORDENES'!$V833))</f>
        <v/>
      </c>
      <c r="E855" s="3">
        <f>IF('ORDENES'!$A833="","",IF('ORDENES'!$U833="","-",'ORDENES'!$U833))</f>
        <v/>
      </c>
      <c r="F855" s="3">
        <f>IF('ORDENES'!$A833="","",IF('ORDENES'!$W833="","-",'ORDENES'!$W833))</f>
        <v/>
      </c>
      <c r="G855" s="3">
        <f>IF('ORDENES'!$A833="","",IF('ORDENES'!$AB833="","-",'ORDENES'!$AB833))</f>
        <v/>
      </c>
      <c r="H855" s="3">
        <f>IF('ORDENES'!$A833="","",IF('ORDENES'!$AN833="","-",'ORDENES'!$AN833))</f>
        <v/>
      </c>
      <c r="I855" s="3">
        <f>IF('ORDENES'!$A833="","",IF('ORDENES'!$D833="","-",'ORDENES'!$D833))</f>
        <v/>
      </c>
      <c r="J855" s="3">
        <f>IF('ORDENES'!$A833="","",IF('ORDENES'!$E833="","-",'ORDENES'!$E833))</f>
        <v/>
      </c>
      <c r="K855" s="12">
        <f>IF('ORDENES'!$A833="","",IF('ORDENES'!$M833="",0,'ORDENES'!$M833))</f>
        <v/>
      </c>
      <c r="L855" s="3">
        <f>IF('ORDENES'!$A833="","",IF('ORDENES'!$N833="","-",'ORDENES'!$N833))</f>
        <v/>
      </c>
      <c r="M855" s="3">
        <f>IF('ORDENES'!$A833="","",'ORDENES'!$AA833)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IF('ORDENES'!$A834="","",IF('ORDENES'!$AC834="","-",'ORDENES'!$AC834))</f>
        <v/>
      </c>
      <c r="D856" s="3">
        <f>IF('ORDENES'!$A834="","",IF('ORDENES'!$V834="","-",'ORDENES'!$V834))</f>
        <v/>
      </c>
      <c r="E856" s="3">
        <f>IF('ORDENES'!$A834="","",IF('ORDENES'!$U834="","-",'ORDENES'!$U834))</f>
        <v/>
      </c>
      <c r="F856" s="3">
        <f>IF('ORDENES'!$A834="","",IF('ORDENES'!$W834="","-",'ORDENES'!$W834))</f>
        <v/>
      </c>
      <c r="G856" s="3">
        <f>IF('ORDENES'!$A834="","",IF('ORDENES'!$AB834="","-",'ORDENES'!$AB834))</f>
        <v/>
      </c>
      <c r="H856" s="3">
        <f>IF('ORDENES'!$A834="","",IF('ORDENES'!$AN834="","-",'ORDENES'!$AN834))</f>
        <v/>
      </c>
      <c r="I856" s="3">
        <f>IF('ORDENES'!$A834="","",IF('ORDENES'!$D834="","-",'ORDENES'!$D834))</f>
        <v/>
      </c>
      <c r="J856" s="3">
        <f>IF('ORDENES'!$A834="","",IF('ORDENES'!$E834="","-",'ORDENES'!$E834))</f>
        <v/>
      </c>
      <c r="K856" s="12">
        <f>IF('ORDENES'!$A834="","",IF('ORDENES'!$M834="",0,'ORDENES'!$M834))</f>
        <v/>
      </c>
      <c r="L856" s="3">
        <f>IF('ORDENES'!$A834="","",IF('ORDENES'!$N834="","-",'ORDENES'!$N834))</f>
        <v/>
      </c>
      <c r="M856" s="3">
        <f>IF('ORDENES'!$A834="","",'ORDENES'!$AA834)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IF('ORDENES'!$A835="","",IF('ORDENES'!$AC835="","-",'ORDENES'!$AC835))</f>
        <v/>
      </c>
      <c r="D857" s="3">
        <f>IF('ORDENES'!$A835="","",IF('ORDENES'!$V835="","-",'ORDENES'!$V835))</f>
        <v/>
      </c>
      <c r="E857" s="3">
        <f>IF('ORDENES'!$A835="","",IF('ORDENES'!$U835="","-",'ORDENES'!$U835))</f>
        <v/>
      </c>
      <c r="F857" s="3">
        <f>IF('ORDENES'!$A835="","",IF('ORDENES'!$W835="","-",'ORDENES'!$W835))</f>
        <v/>
      </c>
      <c r="G857" s="3">
        <f>IF('ORDENES'!$A835="","",IF('ORDENES'!$AB835="","-",'ORDENES'!$AB835))</f>
        <v/>
      </c>
      <c r="H857" s="3">
        <f>IF('ORDENES'!$A835="","",IF('ORDENES'!$AN835="","-",'ORDENES'!$AN835))</f>
        <v/>
      </c>
      <c r="I857" s="3">
        <f>IF('ORDENES'!$A835="","",IF('ORDENES'!$D835="","-",'ORDENES'!$D835))</f>
        <v/>
      </c>
      <c r="J857" s="3">
        <f>IF('ORDENES'!$A835="","",IF('ORDENES'!$E835="","-",'ORDENES'!$E835))</f>
        <v/>
      </c>
      <c r="K857" s="12">
        <f>IF('ORDENES'!$A835="","",IF('ORDENES'!$M835="",0,'ORDENES'!$M835))</f>
        <v/>
      </c>
      <c r="L857" s="3">
        <f>IF('ORDENES'!$A835="","",IF('ORDENES'!$N835="","-",'ORDENES'!$N835))</f>
        <v/>
      </c>
      <c r="M857" s="3">
        <f>IF('ORDENES'!$A835="","",'ORDENES'!$AA835)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IF('ORDENES'!$A836="","",IF('ORDENES'!$AC836="","-",'ORDENES'!$AC836))</f>
        <v/>
      </c>
      <c r="D858" s="3">
        <f>IF('ORDENES'!$A836="","",IF('ORDENES'!$V836="","-",'ORDENES'!$V836))</f>
        <v/>
      </c>
      <c r="E858" s="3">
        <f>IF('ORDENES'!$A836="","",IF('ORDENES'!$U836="","-",'ORDENES'!$U836))</f>
        <v/>
      </c>
      <c r="F858" s="3">
        <f>IF('ORDENES'!$A836="","",IF('ORDENES'!$W836="","-",'ORDENES'!$W836))</f>
        <v/>
      </c>
      <c r="G858" s="3">
        <f>IF('ORDENES'!$A836="","",IF('ORDENES'!$AB836="","-",'ORDENES'!$AB836))</f>
        <v/>
      </c>
      <c r="H858" s="3">
        <f>IF('ORDENES'!$A836="","",IF('ORDENES'!$AN836="","-",'ORDENES'!$AN836))</f>
        <v/>
      </c>
      <c r="I858" s="3">
        <f>IF('ORDENES'!$A836="","",IF('ORDENES'!$D836="","-",'ORDENES'!$D836))</f>
        <v/>
      </c>
      <c r="J858" s="3">
        <f>IF('ORDENES'!$A836="","",IF('ORDENES'!$E836="","-",'ORDENES'!$E836))</f>
        <v/>
      </c>
      <c r="K858" s="12">
        <f>IF('ORDENES'!$A836="","",IF('ORDENES'!$M836="",0,'ORDENES'!$M836))</f>
        <v/>
      </c>
      <c r="L858" s="3">
        <f>IF('ORDENES'!$A836="","",IF('ORDENES'!$N836="","-",'ORDENES'!$N836))</f>
        <v/>
      </c>
      <c r="M858" s="3">
        <f>IF('ORDENES'!$A836="","",'ORDENES'!$AA836)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IF('ORDENES'!$A837="","",IF('ORDENES'!$AC837="","-",'ORDENES'!$AC837))</f>
        <v/>
      </c>
      <c r="D859" s="3">
        <f>IF('ORDENES'!$A837="","",IF('ORDENES'!$V837="","-",'ORDENES'!$V837))</f>
        <v/>
      </c>
      <c r="E859" s="3">
        <f>IF('ORDENES'!$A837="","",IF('ORDENES'!$U837="","-",'ORDENES'!$U837))</f>
        <v/>
      </c>
      <c r="F859" s="3">
        <f>IF('ORDENES'!$A837="","",IF('ORDENES'!$W837="","-",'ORDENES'!$W837))</f>
        <v/>
      </c>
      <c r="G859" s="3">
        <f>IF('ORDENES'!$A837="","",IF('ORDENES'!$AB837="","-",'ORDENES'!$AB837))</f>
        <v/>
      </c>
      <c r="H859" s="3">
        <f>IF('ORDENES'!$A837="","",IF('ORDENES'!$AN837="","-",'ORDENES'!$AN837))</f>
        <v/>
      </c>
      <c r="I859" s="3">
        <f>IF('ORDENES'!$A837="","",IF('ORDENES'!$D837="","-",'ORDENES'!$D837))</f>
        <v/>
      </c>
      <c r="J859" s="3">
        <f>IF('ORDENES'!$A837="","",IF('ORDENES'!$E837="","-",'ORDENES'!$E837))</f>
        <v/>
      </c>
      <c r="K859" s="12">
        <f>IF('ORDENES'!$A837="","",IF('ORDENES'!$M837="",0,'ORDENES'!$M837))</f>
        <v/>
      </c>
      <c r="L859" s="3">
        <f>IF('ORDENES'!$A837="","",IF('ORDENES'!$N837="","-",'ORDENES'!$N837))</f>
        <v/>
      </c>
      <c r="M859" s="3">
        <f>IF('ORDENES'!$A837="","",'ORDENES'!$AA837)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IF('ORDENES'!$A838="","",IF('ORDENES'!$AC838="","-",'ORDENES'!$AC838))</f>
        <v/>
      </c>
      <c r="D860" s="3">
        <f>IF('ORDENES'!$A838="","",IF('ORDENES'!$V838="","-",'ORDENES'!$V838))</f>
        <v/>
      </c>
      <c r="E860" s="3">
        <f>IF('ORDENES'!$A838="","",IF('ORDENES'!$U838="","-",'ORDENES'!$U838))</f>
        <v/>
      </c>
      <c r="F860" s="3">
        <f>IF('ORDENES'!$A838="","",IF('ORDENES'!$W838="","-",'ORDENES'!$W838))</f>
        <v/>
      </c>
      <c r="G860" s="3">
        <f>IF('ORDENES'!$A838="","",IF('ORDENES'!$AB838="","-",'ORDENES'!$AB838))</f>
        <v/>
      </c>
      <c r="H860" s="3">
        <f>IF('ORDENES'!$A838="","",IF('ORDENES'!$AN838="","-",'ORDENES'!$AN838))</f>
        <v/>
      </c>
      <c r="I860" s="3">
        <f>IF('ORDENES'!$A838="","",IF('ORDENES'!$D838="","-",'ORDENES'!$D838))</f>
        <v/>
      </c>
      <c r="J860" s="3">
        <f>IF('ORDENES'!$A838="","",IF('ORDENES'!$E838="","-",'ORDENES'!$E838))</f>
        <v/>
      </c>
      <c r="K860" s="12">
        <f>IF('ORDENES'!$A838="","",IF('ORDENES'!$M838="",0,'ORDENES'!$M838))</f>
        <v/>
      </c>
      <c r="L860" s="3">
        <f>IF('ORDENES'!$A838="","",IF('ORDENES'!$N838="","-",'ORDENES'!$N838))</f>
        <v/>
      </c>
      <c r="M860" s="3">
        <f>IF('ORDENES'!$A838="","",'ORDENES'!$AA838)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IF('ORDENES'!$A839="","",IF('ORDENES'!$AC839="","-",'ORDENES'!$AC839))</f>
        <v/>
      </c>
      <c r="D861" s="3">
        <f>IF('ORDENES'!$A839="","",IF('ORDENES'!$V839="","-",'ORDENES'!$V839))</f>
        <v/>
      </c>
      <c r="E861" s="3">
        <f>IF('ORDENES'!$A839="","",IF('ORDENES'!$U839="","-",'ORDENES'!$U839))</f>
        <v/>
      </c>
      <c r="F861" s="3">
        <f>IF('ORDENES'!$A839="","",IF('ORDENES'!$W839="","-",'ORDENES'!$W839))</f>
        <v/>
      </c>
      <c r="G861" s="3">
        <f>IF('ORDENES'!$A839="","",IF('ORDENES'!$AB839="","-",'ORDENES'!$AB839))</f>
        <v/>
      </c>
      <c r="H861" s="3">
        <f>IF('ORDENES'!$A839="","",IF('ORDENES'!$AN839="","-",'ORDENES'!$AN839))</f>
        <v/>
      </c>
      <c r="I861" s="3">
        <f>IF('ORDENES'!$A839="","",IF('ORDENES'!$D839="","-",'ORDENES'!$D839))</f>
        <v/>
      </c>
      <c r="J861" s="3">
        <f>IF('ORDENES'!$A839="","",IF('ORDENES'!$E839="","-",'ORDENES'!$E839))</f>
        <v/>
      </c>
      <c r="K861" s="12">
        <f>IF('ORDENES'!$A839="","",IF('ORDENES'!$M839="",0,'ORDENES'!$M839))</f>
        <v/>
      </c>
      <c r="L861" s="3">
        <f>IF('ORDENES'!$A839="","",IF('ORDENES'!$N839="","-",'ORDENES'!$N839))</f>
        <v/>
      </c>
      <c r="M861" s="3">
        <f>IF('ORDENES'!$A839="","",'ORDENES'!$AA839)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IF('ORDENES'!$A840="","",IF('ORDENES'!$AC840="","-",'ORDENES'!$AC840))</f>
        <v/>
      </c>
      <c r="D862" s="3">
        <f>IF('ORDENES'!$A840="","",IF('ORDENES'!$V840="","-",'ORDENES'!$V840))</f>
        <v/>
      </c>
      <c r="E862" s="3">
        <f>IF('ORDENES'!$A840="","",IF('ORDENES'!$U840="","-",'ORDENES'!$U840))</f>
        <v/>
      </c>
      <c r="F862" s="3">
        <f>IF('ORDENES'!$A840="","",IF('ORDENES'!$W840="","-",'ORDENES'!$W840))</f>
        <v/>
      </c>
      <c r="G862" s="3">
        <f>IF('ORDENES'!$A840="","",IF('ORDENES'!$AB840="","-",'ORDENES'!$AB840))</f>
        <v/>
      </c>
      <c r="H862" s="3">
        <f>IF('ORDENES'!$A840="","",IF('ORDENES'!$AN840="","-",'ORDENES'!$AN840))</f>
        <v/>
      </c>
      <c r="I862" s="3">
        <f>IF('ORDENES'!$A840="","",IF('ORDENES'!$D840="","-",'ORDENES'!$D840))</f>
        <v/>
      </c>
      <c r="J862" s="3">
        <f>IF('ORDENES'!$A840="","",IF('ORDENES'!$E840="","-",'ORDENES'!$E840))</f>
        <v/>
      </c>
      <c r="K862" s="12">
        <f>IF('ORDENES'!$A840="","",IF('ORDENES'!$M840="",0,'ORDENES'!$M840))</f>
        <v/>
      </c>
      <c r="L862" s="3">
        <f>IF('ORDENES'!$A840="","",IF('ORDENES'!$N840="","-",'ORDENES'!$N840))</f>
        <v/>
      </c>
      <c r="M862" s="3">
        <f>IF('ORDENES'!$A840="","",'ORDENES'!$AA840)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IF('ORDENES'!$A841="","",IF('ORDENES'!$AC841="","-",'ORDENES'!$AC841))</f>
        <v/>
      </c>
      <c r="D863" s="3">
        <f>IF('ORDENES'!$A841="","",IF('ORDENES'!$V841="","-",'ORDENES'!$V841))</f>
        <v/>
      </c>
      <c r="E863" s="3">
        <f>IF('ORDENES'!$A841="","",IF('ORDENES'!$U841="","-",'ORDENES'!$U841))</f>
        <v/>
      </c>
      <c r="F863" s="3">
        <f>IF('ORDENES'!$A841="","",IF('ORDENES'!$W841="","-",'ORDENES'!$W841))</f>
        <v/>
      </c>
      <c r="G863" s="3">
        <f>IF('ORDENES'!$A841="","",IF('ORDENES'!$AB841="","-",'ORDENES'!$AB841))</f>
        <v/>
      </c>
      <c r="H863" s="3">
        <f>IF('ORDENES'!$A841="","",IF('ORDENES'!$AN841="","-",'ORDENES'!$AN841))</f>
        <v/>
      </c>
      <c r="I863" s="3">
        <f>IF('ORDENES'!$A841="","",IF('ORDENES'!$D841="","-",'ORDENES'!$D841))</f>
        <v/>
      </c>
      <c r="J863" s="3">
        <f>IF('ORDENES'!$A841="","",IF('ORDENES'!$E841="","-",'ORDENES'!$E841))</f>
        <v/>
      </c>
      <c r="K863" s="12">
        <f>IF('ORDENES'!$A841="","",IF('ORDENES'!$M841="",0,'ORDENES'!$M841))</f>
        <v/>
      </c>
      <c r="L863" s="3">
        <f>IF('ORDENES'!$A841="","",IF('ORDENES'!$N841="","-",'ORDENES'!$N841))</f>
        <v/>
      </c>
      <c r="M863" s="3">
        <f>IF('ORDENES'!$A841="","",'ORDENES'!$AA841)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IF('ORDENES'!$A842="","",IF('ORDENES'!$AC842="","-",'ORDENES'!$AC842))</f>
        <v/>
      </c>
      <c r="D864" s="3">
        <f>IF('ORDENES'!$A842="","",IF('ORDENES'!$V842="","-",'ORDENES'!$V842))</f>
        <v/>
      </c>
      <c r="E864" s="3">
        <f>IF('ORDENES'!$A842="","",IF('ORDENES'!$U842="","-",'ORDENES'!$U842))</f>
        <v/>
      </c>
      <c r="F864" s="3">
        <f>IF('ORDENES'!$A842="","",IF('ORDENES'!$W842="","-",'ORDENES'!$W842))</f>
        <v/>
      </c>
      <c r="G864" s="3">
        <f>IF('ORDENES'!$A842="","",IF('ORDENES'!$AB842="","-",'ORDENES'!$AB842))</f>
        <v/>
      </c>
      <c r="H864" s="3">
        <f>IF('ORDENES'!$A842="","",IF('ORDENES'!$AN842="","-",'ORDENES'!$AN842))</f>
        <v/>
      </c>
      <c r="I864" s="3">
        <f>IF('ORDENES'!$A842="","",IF('ORDENES'!$D842="","-",'ORDENES'!$D842))</f>
        <v/>
      </c>
      <c r="J864" s="3">
        <f>IF('ORDENES'!$A842="","",IF('ORDENES'!$E842="","-",'ORDENES'!$E842))</f>
        <v/>
      </c>
      <c r="K864" s="12">
        <f>IF('ORDENES'!$A842="","",IF('ORDENES'!$M842="",0,'ORDENES'!$M842))</f>
        <v/>
      </c>
      <c r="L864" s="3">
        <f>IF('ORDENES'!$A842="","",IF('ORDENES'!$N842="","-",'ORDENES'!$N842))</f>
        <v/>
      </c>
      <c r="M864" s="3">
        <f>IF('ORDENES'!$A842="","",'ORDENES'!$AA842)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IF('ORDENES'!$A843="","",IF('ORDENES'!$AC843="","-",'ORDENES'!$AC843))</f>
        <v/>
      </c>
      <c r="D865" s="3">
        <f>IF('ORDENES'!$A843="","",IF('ORDENES'!$V843="","-",'ORDENES'!$V843))</f>
        <v/>
      </c>
      <c r="E865" s="3">
        <f>IF('ORDENES'!$A843="","",IF('ORDENES'!$U843="","-",'ORDENES'!$U843))</f>
        <v/>
      </c>
      <c r="F865" s="3">
        <f>IF('ORDENES'!$A843="","",IF('ORDENES'!$W843="","-",'ORDENES'!$W843))</f>
        <v/>
      </c>
      <c r="G865" s="3">
        <f>IF('ORDENES'!$A843="","",IF('ORDENES'!$AB843="","-",'ORDENES'!$AB843))</f>
        <v/>
      </c>
      <c r="H865" s="3">
        <f>IF('ORDENES'!$A843="","",IF('ORDENES'!$AN843="","-",'ORDENES'!$AN843))</f>
        <v/>
      </c>
      <c r="I865" s="3">
        <f>IF('ORDENES'!$A843="","",IF('ORDENES'!$D843="","-",'ORDENES'!$D843))</f>
        <v/>
      </c>
      <c r="J865" s="3">
        <f>IF('ORDENES'!$A843="","",IF('ORDENES'!$E843="","-",'ORDENES'!$E843))</f>
        <v/>
      </c>
      <c r="K865" s="12">
        <f>IF('ORDENES'!$A843="","",IF('ORDENES'!$M843="",0,'ORDENES'!$M843))</f>
        <v/>
      </c>
      <c r="L865" s="3">
        <f>IF('ORDENES'!$A843="","",IF('ORDENES'!$N843="","-",'ORDENES'!$N843))</f>
        <v/>
      </c>
      <c r="M865" s="3">
        <f>IF('ORDENES'!$A843="","",'ORDENES'!$AA843)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IF('ORDENES'!$A844="","",IF('ORDENES'!$AC844="","-",'ORDENES'!$AC844))</f>
        <v/>
      </c>
      <c r="D866" s="3">
        <f>IF('ORDENES'!$A844="","",IF('ORDENES'!$V844="","-",'ORDENES'!$V844))</f>
        <v/>
      </c>
      <c r="E866" s="3">
        <f>IF('ORDENES'!$A844="","",IF('ORDENES'!$U844="","-",'ORDENES'!$U844))</f>
        <v/>
      </c>
      <c r="F866" s="3">
        <f>IF('ORDENES'!$A844="","",IF('ORDENES'!$W844="","-",'ORDENES'!$W844))</f>
        <v/>
      </c>
      <c r="G866" s="3">
        <f>IF('ORDENES'!$A844="","",IF('ORDENES'!$AB844="","-",'ORDENES'!$AB844))</f>
        <v/>
      </c>
      <c r="H866" s="3">
        <f>IF('ORDENES'!$A844="","",IF('ORDENES'!$AN844="","-",'ORDENES'!$AN844))</f>
        <v/>
      </c>
      <c r="I866" s="3">
        <f>IF('ORDENES'!$A844="","",IF('ORDENES'!$D844="","-",'ORDENES'!$D844))</f>
        <v/>
      </c>
      <c r="J866" s="3">
        <f>IF('ORDENES'!$A844="","",IF('ORDENES'!$E844="","-",'ORDENES'!$E844))</f>
        <v/>
      </c>
      <c r="K866" s="12">
        <f>IF('ORDENES'!$A844="","",IF('ORDENES'!$M844="",0,'ORDENES'!$M844))</f>
        <v/>
      </c>
      <c r="L866" s="3">
        <f>IF('ORDENES'!$A844="","",IF('ORDENES'!$N844="","-",'ORDENES'!$N844))</f>
        <v/>
      </c>
      <c r="M866" s="3">
        <f>IF('ORDENES'!$A844="","",'ORDENES'!$AA844)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IF('ORDENES'!$A845="","",IF('ORDENES'!$AC845="","-",'ORDENES'!$AC845))</f>
        <v/>
      </c>
      <c r="D867" s="3">
        <f>IF('ORDENES'!$A845="","",IF('ORDENES'!$V845="","-",'ORDENES'!$V845))</f>
        <v/>
      </c>
      <c r="E867" s="3">
        <f>IF('ORDENES'!$A845="","",IF('ORDENES'!$U845="","-",'ORDENES'!$U845))</f>
        <v/>
      </c>
      <c r="F867" s="3">
        <f>IF('ORDENES'!$A845="","",IF('ORDENES'!$W845="","-",'ORDENES'!$W845))</f>
        <v/>
      </c>
      <c r="G867" s="3">
        <f>IF('ORDENES'!$A845="","",IF('ORDENES'!$AB845="","-",'ORDENES'!$AB845))</f>
        <v/>
      </c>
      <c r="H867" s="3">
        <f>IF('ORDENES'!$A845="","",IF('ORDENES'!$AN845="","-",'ORDENES'!$AN845))</f>
        <v/>
      </c>
      <c r="I867" s="3">
        <f>IF('ORDENES'!$A845="","",IF('ORDENES'!$D845="","-",'ORDENES'!$D845))</f>
        <v/>
      </c>
      <c r="J867" s="3">
        <f>IF('ORDENES'!$A845="","",IF('ORDENES'!$E845="","-",'ORDENES'!$E845))</f>
        <v/>
      </c>
      <c r="K867" s="12">
        <f>IF('ORDENES'!$A845="","",IF('ORDENES'!$M845="",0,'ORDENES'!$M845))</f>
        <v/>
      </c>
      <c r="L867" s="3">
        <f>IF('ORDENES'!$A845="","",IF('ORDENES'!$N845="","-",'ORDENES'!$N845))</f>
        <v/>
      </c>
      <c r="M867" s="3">
        <f>IF('ORDENES'!$A845="","",'ORDENES'!$AA845)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IF('ORDENES'!$A846="","",IF('ORDENES'!$AC846="","-",'ORDENES'!$AC846))</f>
        <v/>
      </c>
      <c r="D868" s="3">
        <f>IF('ORDENES'!$A846="","",IF('ORDENES'!$V846="","-",'ORDENES'!$V846))</f>
        <v/>
      </c>
      <c r="E868" s="3">
        <f>IF('ORDENES'!$A846="","",IF('ORDENES'!$U846="","-",'ORDENES'!$U846))</f>
        <v/>
      </c>
      <c r="F868" s="3">
        <f>IF('ORDENES'!$A846="","",IF('ORDENES'!$W846="","-",'ORDENES'!$W846))</f>
        <v/>
      </c>
      <c r="G868" s="3">
        <f>IF('ORDENES'!$A846="","",IF('ORDENES'!$AB846="","-",'ORDENES'!$AB846))</f>
        <v/>
      </c>
      <c r="H868" s="3">
        <f>IF('ORDENES'!$A846="","",IF('ORDENES'!$AN846="","-",'ORDENES'!$AN846))</f>
        <v/>
      </c>
      <c r="I868" s="3">
        <f>IF('ORDENES'!$A846="","",IF('ORDENES'!$D846="","-",'ORDENES'!$D846))</f>
        <v/>
      </c>
      <c r="J868" s="3">
        <f>IF('ORDENES'!$A846="","",IF('ORDENES'!$E846="","-",'ORDENES'!$E846))</f>
        <v/>
      </c>
      <c r="K868" s="12">
        <f>IF('ORDENES'!$A846="","",IF('ORDENES'!$M846="",0,'ORDENES'!$M846))</f>
        <v/>
      </c>
      <c r="L868" s="3">
        <f>IF('ORDENES'!$A846="","",IF('ORDENES'!$N846="","-",'ORDENES'!$N846))</f>
        <v/>
      </c>
      <c r="M868" s="3">
        <f>IF('ORDENES'!$A846="","",'ORDENES'!$AA846)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IF('ORDENES'!$A847="","",IF('ORDENES'!$AC847="","-",'ORDENES'!$AC847))</f>
        <v/>
      </c>
      <c r="D869" s="3">
        <f>IF('ORDENES'!$A847="","",IF('ORDENES'!$V847="","-",'ORDENES'!$V847))</f>
        <v/>
      </c>
      <c r="E869" s="3">
        <f>IF('ORDENES'!$A847="","",IF('ORDENES'!$U847="","-",'ORDENES'!$U847))</f>
        <v/>
      </c>
      <c r="F869" s="3">
        <f>IF('ORDENES'!$A847="","",IF('ORDENES'!$W847="","-",'ORDENES'!$W847))</f>
        <v/>
      </c>
      <c r="G869" s="3">
        <f>IF('ORDENES'!$A847="","",IF('ORDENES'!$AB847="","-",'ORDENES'!$AB847))</f>
        <v/>
      </c>
      <c r="H869" s="3">
        <f>IF('ORDENES'!$A847="","",IF('ORDENES'!$AN847="","-",'ORDENES'!$AN847))</f>
        <v/>
      </c>
      <c r="I869" s="3">
        <f>IF('ORDENES'!$A847="","",IF('ORDENES'!$D847="","-",'ORDENES'!$D847))</f>
        <v/>
      </c>
      <c r="J869" s="3">
        <f>IF('ORDENES'!$A847="","",IF('ORDENES'!$E847="","-",'ORDENES'!$E847))</f>
        <v/>
      </c>
      <c r="K869" s="12">
        <f>IF('ORDENES'!$A847="","",IF('ORDENES'!$M847="",0,'ORDENES'!$M847))</f>
        <v/>
      </c>
      <c r="L869" s="3">
        <f>IF('ORDENES'!$A847="","",IF('ORDENES'!$N847="","-",'ORDENES'!$N847))</f>
        <v/>
      </c>
      <c r="M869" s="3">
        <f>IF('ORDENES'!$A847="","",'ORDENES'!$AA847)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IF('ORDENES'!$A848="","",IF('ORDENES'!$AC848="","-",'ORDENES'!$AC848))</f>
        <v/>
      </c>
      <c r="D870" s="3">
        <f>IF('ORDENES'!$A848="","",IF('ORDENES'!$V848="","-",'ORDENES'!$V848))</f>
        <v/>
      </c>
      <c r="E870" s="3">
        <f>IF('ORDENES'!$A848="","",IF('ORDENES'!$U848="","-",'ORDENES'!$U848))</f>
        <v/>
      </c>
      <c r="F870" s="3">
        <f>IF('ORDENES'!$A848="","",IF('ORDENES'!$W848="","-",'ORDENES'!$W848))</f>
        <v/>
      </c>
      <c r="G870" s="3">
        <f>IF('ORDENES'!$A848="","",IF('ORDENES'!$AB848="","-",'ORDENES'!$AB848))</f>
        <v/>
      </c>
      <c r="H870" s="3">
        <f>IF('ORDENES'!$A848="","",IF('ORDENES'!$AN848="","-",'ORDENES'!$AN848))</f>
        <v/>
      </c>
      <c r="I870" s="3">
        <f>IF('ORDENES'!$A848="","",IF('ORDENES'!$D848="","-",'ORDENES'!$D848))</f>
        <v/>
      </c>
      <c r="J870" s="3">
        <f>IF('ORDENES'!$A848="","",IF('ORDENES'!$E848="","-",'ORDENES'!$E848))</f>
        <v/>
      </c>
      <c r="K870" s="12">
        <f>IF('ORDENES'!$A848="","",IF('ORDENES'!$M848="",0,'ORDENES'!$M848))</f>
        <v/>
      </c>
      <c r="L870" s="3">
        <f>IF('ORDENES'!$A848="","",IF('ORDENES'!$N848="","-",'ORDENES'!$N848))</f>
        <v/>
      </c>
      <c r="M870" s="3">
        <f>IF('ORDENES'!$A848="","",'ORDENES'!$AA848)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IF('ORDENES'!$A849="","",IF('ORDENES'!$AC849="","-",'ORDENES'!$AC849))</f>
        <v/>
      </c>
      <c r="D871" s="3">
        <f>IF('ORDENES'!$A849="","",IF('ORDENES'!$V849="","-",'ORDENES'!$V849))</f>
        <v/>
      </c>
      <c r="E871" s="3">
        <f>IF('ORDENES'!$A849="","",IF('ORDENES'!$U849="","-",'ORDENES'!$U849))</f>
        <v/>
      </c>
      <c r="F871" s="3">
        <f>IF('ORDENES'!$A849="","",IF('ORDENES'!$W849="","-",'ORDENES'!$W849))</f>
        <v/>
      </c>
      <c r="G871" s="3">
        <f>IF('ORDENES'!$A849="","",IF('ORDENES'!$AB849="","-",'ORDENES'!$AB849))</f>
        <v/>
      </c>
      <c r="H871" s="3">
        <f>IF('ORDENES'!$A849="","",IF('ORDENES'!$AN849="","-",'ORDENES'!$AN849))</f>
        <v/>
      </c>
      <c r="I871" s="3">
        <f>IF('ORDENES'!$A849="","",IF('ORDENES'!$D849="","-",'ORDENES'!$D849))</f>
        <v/>
      </c>
      <c r="J871" s="3">
        <f>IF('ORDENES'!$A849="","",IF('ORDENES'!$E849="","-",'ORDENES'!$E849))</f>
        <v/>
      </c>
      <c r="K871" s="12">
        <f>IF('ORDENES'!$A849="","",IF('ORDENES'!$M849="",0,'ORDENES'!$M849))</f>
        <v/>
      </c>
      <c r="L871" s="3">
        <f>IF('ORDENES'!$A849="","",IF('ORDENES'!$N849="","-",'ORDENES'!$N849))</f>
        <v/>
      </c>
      <c r="M871" s="3">
        <f>IF('ORDENES'!$A849="","",'ORDENES'!$AA849)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IF('ORDENES'!$A850="","",IF('ORDENES'!$AC850="","-",'ORDENES'!$AC850))</f>
        <v/>
      </c>
      <c r="D872" s="3">
        <f>IF('ORDENES'!$A850="","",IF('ORDENES'!$V850="","-",'ORDENES'!$V850))</f>
        <v/>
      </c>
      <c r="E872" s="3">
        <f>IF('ORDENES'!$A850="","",IF('ORDENES'!$U850="","-",'ORDENES'!$U850))</f>
        <v/>
      </c>
      <c r="F872" s="3">
        <f>IF('ORDENES'!$A850="","",IF('ORDENES'!$W850="","-",'ORDENES'!$W850))</f>
        <v/>
      </c>
      <c r="G872" s="3">
        <f>IF('ORDENES'!$A850="","",IF('ORDENES'!$AB850="","-",'ORDENES'!$AB850))</f>
        <v/>
      </c>
      <c r="H872" s="3">
        <f>IF('ORDENES'!$A850="","",IF('ORDENES'!$AN850="","-",'ORDENES'!$AN850))</f>
        <v/>
      </c>
      <c r="I872" s="3">
        <f>IF('ORDENES'!$A850="","",IF('ORDENES'!$D850="","-",'ORDENES'!$D850))</f>
        <v/>
      </c>
      <c r="J872" s="3">
        <f>IF('ORDENES'!$A850="","",IF('ORDENES'!$E850="","-",'ORDENES'!$E850))</f>
        <v/>
      </c>
      <c r="K872" s="12">
        <f>IF('ORDENES'!$A850="","",IF('ORDENES'!$M850="",0,'ORDENES'!$M850))</f>
        <v/>
      </c>
      <c r="L872" s="3">
        <f>IF('ORDENES'!$A850="","",IF('ORDENES'!$N850="","-",'ORDENES'!$N850))</f>
        <v/>
      </c>
      <c r="M872" s="3">
        <f>IF('ORDENES'!$A850="","",'ORDENES'!$AA850)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IF('ORDENES'!$A851="","",IF('ORDENES'!$AC851="","-",'ORDENES'!$AC851))</f>
        <v/>
      </c>
      <c r="D873" s="3">
        <f>IF('ORDENES'!$A851="","",IF('ORDENES'!$V851="","-",'ORDENES'!$V851))</f>
        <v/>
      </c>
      <c r="E873" s="3">
        <f>IF('ORDENES'!$A851="","",IF('ORDENES'!$U851="","-",'ORDENES'!$U851))</f>
        <v/>
      </c>
      <c r="F873" s="3">
        <f>IF('ORDENES'!$A851="","",IF('ORDENES'!$W851="","-",'ORDENES'!$W851))</f>
        <v/>
      </c>
      <c r="G873" s="3">
        <f>IF('ORDENES'!$A851="","",IF('ORDENES'!$AB851="","-",'ORDENES'!$AB851))</f>
        <v/>
      </c>
      <c r="H873" s="3">
        <f>IF('ORDENES'!$A851="","",IF('ORDENES'!$AN851="","-",'ORDENES'!$AN851))</f>
        <v/>
      </c>
      <c r="I873" s="3">
        <f>IF('ORDENES'!$A851="","",IF('ORDENES'!$D851="","-",'ORDENES'!$D851))</f>
        <v/>
      </c>
      <c r="J873" s="3">
        <f>IF('ORDENES'!$A851="","",IF('ORDENES'!$E851="","-",'ORDENES'!$E851))</f>
        <v/>
      </c>
      <c r="K873" s="12">
        <f>IF('ORDENES'!$A851="","",IF('ORDENES'!$M851="",0,'ORDENES'!$M851))</f>
        <v/>
      </c>
      <c r="L873" s="3">
        <f>IF('ORDENES'!$A851="","",IF('ORDENES'!$N851="","-",'ORDENES'!$N851))</f>
        <v/>
      </c>
      <c r="M873" s="3">
        <f>IF('ORDENES'!$A851="","",'ORDENES'!$AA851)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IF('ORDENES'!$A852="","",IF('ORDENES'!$AC852="","-",'ORDENES'!$AC852))</f>
        <v/>
      </c>
      <c r="D874" s="3">
        <f>IF('ORDENES'!$A852="","",IF('ORDENES'!$V852="","-",'ORDENES'!$V852))</f>
        <v/>
      </c>
      <c r="E874" s="3">
        <f>IF('ORDENES'!$A852="","",IF('ORDENES'!$U852="","-",'ORDENES'!$U852))</f>
        <v/>
      </c>
      <c r="F874" s="3">
        <f>IF('ORDENES'!$A852="","",IF('ORDENES'!$W852="","-",'ORDENES'!$W852))</f>
        <v/>
      </c>
      <c r="G874" s="3">
        <f>IF('ORDENES'!$A852="","",IF('ORDENES'!$AB852="","-",'ORDENES'!$AB852))</f>
        <v/>
      </c>
      <c r="H874" s="3">
        <f>IF('ORDENES'!$A852="","",IF('ORDENES'!$AN852="","-",'ORDENES'!$AN852))</f>
        <v/>
      </c>
      <c r="I874" s="3">
        <f>IF('ORDENES'!$A852="","",IF('ORDENES'!$D852="","-",'ORDENES'!$D852))</f>
        <v/>
      </c>
      <c r="J874" s="3">
        <f>IF('ORDENES'!$A852="","",IF('ORDENES'!$E852="","-",'ORDENES'!$E852))</f>
        <v/>
      </c>
      <c r="K874" s="12">
        <f>IF('ORDENES'!$A852="","",IF('ORDENES'!$M852="",0,'ORDENES'!$M852))</f>
        <v/>
      </c>
      <c r="L874" s="3">
        <f>IF('ORDENES'!$A852="","",IF('ORDENES'!$N852="","-",'ORDENES'!$N852))</f>
        <v/>
      </c>
      <c r="M874" s="3">
        <f>IF('ORDENES'!$A852="","",'ORDENES'!$AA852)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IF('ORDENES'!$A853="","",IF('ORDENES'!$AC853="","-",'ORDENES'!$AC853))</f>
        <v/>
      </c>
      <c r="D875" s="3">
        <f>IF('ORDENES'!$A853="","",IF('ORDENES'!$V853="","-",'ORDENES'!$V853))</f>
        <v/>
      </c>
      <c r="E875" s="3">
        <f>IF('ORDENES'!$A853="","",IF('ORDENES'!$U853="","-",'ORDENES'!$U853))</f>
        <v/>
      </c>
      <c r="F875" s="3">
        <f>IF('ORDENES'!$A853="","",IF('ORDENES'!$W853="","-",'ORDENES'!$W853))</f>
        <v/>
      </c>
      <c r="G875" s="3">
        <f>IF('ORDENES'!$A853="","",IF('ORDENES'!$AB853="","-",'ORDENES'!$AB853))</f>
        <v/>
      </c>
      <c r="H875" s="3">
        <f>IF('ORDENES'!$A853="","",IF('ORDENES'!$AN853="","-",'ORDENES'!$AN853))</f>
        <v/>
      </c>
      <c r="I875" s="3">
        <f>IF('ORDENES'!$A853="","",IF('ORDENES'!$D853="","-",'ORDENES'!$D853))</f>
        <v/>
      </c>
      <c r="J875" s="3">
        <f>IF('ORDENES'!$A853="","",IF('ORDENES'!$E853="","-",'ORDENES'!$E853))</f>
        <v/>
      </c>
      <c r="K875" s="12">
        <f>IF('ORDENES'!$A853="","",IF('ORDENES'!$M853="",0,'ORDENES'!$M853))</f>
        <v/>
      </c>
      <c r="L875" s="3">
        <f>IF('ORDENES'!$A853="","",IF('ORDENES'!$N853="","-",'ORDENES'!$N853))</f>
        <v/>
      </c>
      <c r="M875" s="3">
        <f>IF('ORDENES'!$A853="","",'ORDENES'!$AA853)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IF('ORDENES'!$A854="","",IF('ORDENES'!$AC854="","-",'ORDENES'!$AC854))</f>
        <v/>
      </c>
      <c r="D876" s="3">
        <f>IF('ORDENES'!$A854="","",IF('ORDENES'!$V854="","-",'ORDENES'!$V854))</f>
        <v/>
      </c>
      <c r="E876" s="3">
        <f>IF('ORDENES'!$A854="","",IF('ORDENES'!$U854="","-",'ORDENES'!$U854))</f>
        <v/>
      </c>
      <c r="F876" s="3">
        <f>IF('ORDENES'!$A854="","",IF('ORDENES'!$W854="","-",'ORDENES'!$W854))</f>
        <v/>
      </c>
      <c r="G876" s="3">
        <f>IF('ORDENES'!$A854="","",IF('ORDENES'!$AB854="","-",'ORDENES'!$AB854))</f>
        <v/>
      </c>
      <c r="H876" s="3">
        <f>IF('ORDENES'!$A854="","",IF('ORDENES'!$AN854="","-",'ORDENES'!$AN854))</f>
        <v/>
      </c>
      <c r="I876" s="3">
        <f>IF('ORDENES'!$A854="","",IF('ORDENES'!$D854="","-",'ORDENES'!$D854))</f>
        <v/>
      </c>
      <c r="J876" s="3">
        <f>IF('ORDENES'!$A854="","",IF('ORDENES'!$E854="","-",'ORDENES'!$E854))</f>
        <v/>
      </c>
      <c r="K876" s="12">
        <f>IF('ORDENES'!$A854="","",IF('ORDENES'!$M854="",0,'ORDENES'!$M854))</f>
        <v/>
      </c>
      <c r="L876" s="3">
        <f>IF('ORDENES'!$A854="","",IF('ORDENES'!$N854="","-",'ORDENES'!$N854))</f>
        <v/>
      </c>
      <c r="M876" s="3">
        <f>IF('ORDENES'!$A854="","",'ORDENES'!$AA854)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IF('ORDENES'!$A855="","",IF('ORDENES'!$AC855="","-",'ORDENES'!$AC855))</f>
        <v/>
      </c>
      <c r="D877" s="3">
        <f>IF('ORDENES'!$A855="","",IF('ORDENES'!$V855="","-",'ORDENES'!$V855))</f>
        <v/>
      </c>
      <c r="E877" s="3">
        <f>IF('ORDENES'!$A855="","",IF('ORDENES'!$U855="","-",'ORDENES'!$U855))</f>
        <v/>
      </c>
      <c r="F877" s="3">
        <f>IF('ORDENES'!$A855="","",IF('ORDENES'!$W855="","-",'ORDENES'!$W855))</f>
        <v/>
      </c>
      <c r="G877" s="3">
        <f>IF('ORDENES'!$A855="","",IF('ORDENES'!$AB855="","-",'ORDENES'!$AB855))</f>
        <v/>
      </c>
      <c r="H877" s="3">
        <f>IF('ORDENES'!$A855="","",IF('ORDENES'!$AN855="","-",'ORDENES'!$AN855))</f>
        <v/>
      </c>
      <c r="I877" s="3">
        <f>IF('ORDENES'!$A855="","",IF('ORDENES'!$D855="","-",'ORDENES'!$D855))</f>
        <v/>
      </c>
      <c r="J877" s="3">
        <f>IF('ORDENES'!$A855="","",IF('ORDENES'!$E855="","-",'ORDENES'!$E855))</f>
        <v/>
      </c>
      <c r="K877" s="12">
        <f>IF('ORDENES'!$A855="","",IF('ORDENES'!$M855="",0,'ORDENES'!$M855))</f>
        <v/>
      </c>
      <c r="L877" s="3">
        <f>IF('ORDENES'!$A855="","",IF('ORDENES'!$N855="","-",'ORDENES'!$N855))</f>
        <v/>
      </c>
      <c r="M877" s="3">
        <f>IF('ORDENES'!$A855="","",'ORDENES'!$AA855)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IF('ORDENES'!$A856="","",IF('ORDENES'!$AC856="","-",'ORDENES'!$AC856))</f>
        <v/>
      </c>
      <c r="D878" s="3">
        <f>IF('ORDENES'!$A856="","",IF('ORDENES'!$V856="","-",'ORDENES'!$V856))</f>
        <v/>
      </c>
      <c r="E878" s="3">
        <f>IF('ORDENES'!$A856="","",IF('ORDENES'!$U856="","-",'ORDENES'!$U856))</f>
        <v/>
      </c>
      <c r="F878" s="3">
        <f>IF('ORDENES'!$A856="","",IF('ORDENES'!$W856="","-",'ORDENES'!$W856))</f>
        <v/>
      </c>
      <c r="G878" s="3">
        <f>IF('ORDENES'!$A856="","",IF('ORDENES'!$AB856="","-",'ORDENES'!$AB856))</f>
        <v/>
      </c>
      <c r="H878" s="3">
        <f>IF('ORDENES'!$A856="","",IF('ORDENES'!$AN856="","-",'ORDENES'!$AN856))</f>
        <v/>
      </c>
      <c r="I878" s="3">
        <f>IF('ORDENES'!$A856="","",IF('ORDENES'!$D856="","-",'ORDENES'!$D856))</f>
        <v/>
      </c>
      <c r="J878" s="3">
        <f>IF('ORDENES'!$A856="","",IF('ORDENES'!$E856="","-",'ORDENES'!$E856))</f>
        <v/>
      </c>
      <c r="K878" s="12">
        <f>IF('ORDENES'!$A856="","",IF('ORDENES'!$M856="",0,'ORDENES'!$M856))</f>
        <v/>
      </c>
      <c r="L878" s="3">
        <f>IF('ORDENES'!$A856="","",IF('ORDENES'!$N856="","-",'ORDENES'!$N856))</f>
        <v/>
      </c>
      <c r="M878" s="3">
        <f>IF('ORDENES'!$A856="","",'ORDENES'!$AA856)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IF('ORDENES'!$A857="","",IF('ORDENES'!$AC857="","-",'ORDENES'!$AC857))</f>
        <v/>
      </c>
      <c r="D879" s="3">
        <f>IF('ORDENES'!$A857="","",IF('ORDENES'!$V857="","-",'ORDENES'!$V857))</f>
        <v/>
      </c>
      <c r="E879" s="3">
        <f>IF('ORDENES'!$A857="","",IF('ORDENES'!$U857="","-",'ORDENES'!$U857))</f>
        <v/>
      </c>
      <c r="F879" s="3">
        <f>IF('ORDENES'!$A857="","",IF('ORDENES'!$W857="","-",'ORDENES'!$W857))</f>
        <v/>
      </c>
      <c r="G879" s="3">
        <f>IF('ORDENES'!$A857="","",IF('ORDENES'!$AB857="","-",'ORDENES'!$AB857))</f>
        <v/>
      </c>
      <c r="H879" s="3">
        <f>IF('ORDENES'!$A857="","",IF('ORDENES'!$AN857="","-",'ORDENES'!$AN857))</f>
        <v/>
      </c>
      <c r="I879" s="3">
        <f>IF('ORDENES'!$A857="","",IF('ORDENES'!$D857="","-",'ORDENES'!$D857))</f>
        <v/>
      </c>
      <c r="J879" s="3">
        <f>IF('ORDENES'!$A857="","",IF('ORDENES'!$E857="","-",'ORDENES'!$E857))</f>
        <v/>
      </c>
      <c r="K879" s="12">
        <f>IF('ORDENES'!$A857="","",IF('ORDENES'!$M857="",0,'ORDENES'!$M857))</f>
        <v/>
      </c>
      <c r="L879" s="3">
        <f>IF('ORDENES'!$A857="","",IF('ORDENES'!$N857="","-",'ORDENES'!$N857))</f>
        <v/>
      </c>
      <c r="M879" s="3">
        <f>IF('ORDENES'!$A857="","",'ORDENES'!$AA857)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IF('ORDENES'!$A858="","",IF('ORDENES'!$AC858="","-",'ORDENES'!$AC858))</f>
        <v/>
      </c>
      <c r="D880" s="3">
        <f>IF('ORDENES'!$A858="","",IF('ORDENES'!$V858="","-",'ORDENES'!$V858))</f>
        <v/>
      </c>
      <c r="E880" s="3">
        <f>IF('ORDENES'!$A858="","",IF('ORDENES'!$U858="","-",'ORDENES'!$U858))</f>
        <v/>
      </c>
      <c r="F880" s="3">
        <f>IF('ORDENES'!$A858="","",IF('ORDENES'!$W858="","-",'ORDENES'!$W858))</f>
        <v/>
      </c>
      <c r="G880" s="3">
        <f>IF('ORDENES'!$A858="","",IF('ORDENES'!$AB858="","-",'ORDENES'!$AB858))</f>
        <v/>
      </c>
      <c r="H880" s="3">
        <f>IF('ORDENES'!$A858="","",IF('ORDENES'!$AN858="","-",'ORDENES'!$AN858))</f>
        <v/>
      </c>
      <c r="I880" s="3">
        <f>IF('ORDENES'!$A858="","",IF('ORDENES'!$D858="","-",'ORDENES'!$D858))</f>
        <v/>
      </c>
      <c r="J880" s="3">
        <f>IF('ORDENES'!$A858="","",IF('ORDENES'!$E858="","-",'ORDENES'!$E858))</f>
        <v/>
      </c>
      <c r="K880" s="12">
        <f>IF('ORDENES'!$A858="","",IF('ORDENES'!$M858="",0,'ORDENES'!$M858))</f>
        <v/>
      </c>
      <c r="L880" s="3">
        <f>IF('ORDENES'!$A858="","",IF('ORDENES'!$N858="","-",'ORDENES'!$N858))</f>
        <v/>
      </c>
      <c r="M880" s="3">
        <f>IF('ORDENES'!$A858="","",'ORDENES'!$AA858)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IF('ORDENES'!$A859="","",IF('ORDENES'!$AC859="","-",'ORDENES'!$AC859))</f>
        <v/>
      </c>
      <c r="D881" s="3">
        <f>IF('ORDENES'!$A859="","",IF('ORDENES'!$V859="","-",'ORDENES'!$V859))</f>
        <v/>
      </c>
      <c r="E881" s="3">
        <f>IF('ORDENES'!$A859="","",IF('ORDENES'!$U859="","-",'ORDENES'!$U859))</f>
        <v/>
      </c>
      <c r="F881" s="3">
        <f>IF('ORDENES'!$A859="","",IF('ORDENES'!$W859="","-",'ORDENES'!$W859))</f>
        <v/>
      </c>
      <c r="G881" s="3">
        <f>IF('ORDENES'!$A859="","",IF('ORDENES'!$AB859="","-",'ORDENES'!$AB859))</f>
        <v/>
      </c>
      <c r="H881" s="3">
        <f>IF('ORDENES'!$A859="","",IF('ORDENES'!$AN859="","-",'ORDENES'!$AN859))</f>
        <v/>
      </c>
      <c r="I881" s="3">
        <f>IF('ORDENES'!$A859="","",IF('ORDENES'!$D859="","-",'ORDENES'!$D859))</f>
        <v/>
      </c>
      <c r="J881" s="3">
        <f>IF('ORDENES'!$A859="","",IF('ORDENES'!$E859="","-",'ORDENES'!$E859))</f>
        <v/>
      </c>
      <c r="K881" s="12">
        <f>IF('ORDENES'!$A859="","",IF('ORDENES'!$M859="",0,'ORDENES'!$M859))</f>
        <v/>
      </c>
      <c r="L881" s="3">
        <f>IF('ORDENES'!$A859="","",IF('ORDENES'!$N859="","-",'ORDENES'!$N859))</f>
        <v/>
      </c>
      <c r="M881" s="3">
        <f>IF('ORDENES'!$A859="","",'ORDENES'!$AA859)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IF('ORDENES'!$A860="","",IF('ORDENES'!$AC860="","-",'ORDENES'!$AC860))</f>
        <v/>
      </c>
      <c r="D882" s="3">
        <f>IF('ORDENES'!$A860="","",IF('ORDENES'!$V860="","-",'ORDENES'!$V860))</f>
        <v/>
      </c>
      <c r="E882" s="3">
        <f>IF('ORDENES'!$A860="","",IF('ORDENES'!$U860="","-",'ORDENES'!$U860))</f>
        <v/>
      </c>
      <c r="F882" s="3">
        <f>IF('ORDENES'!$A860="","",IF('ORDENES'!$W860="","-",'ORDENES'!$W860))</f>
        <v/>
      </c>
      <c r="G882" s="3">
        <f>IF('ORDENES'!$A860="","",IF('ORDENES'!$AB860="","-",'ORDENES'!$AB860))</f>
        <v/>
      </c>
      <c r="H882" s="3">
        <f>IF('ORDENES'!$A860="","",IF('ORDENES'!$AN860="","-",'ORDENES'!$AN860))</f>
        <v/>
      </c>
      <c r="I882" s="3">
        <f>IF('ORDENES'!$A860="","",IF('ORDENES'!$D860="","-",'ORDENES'!$D860))</f>
        <v/>
      </c>
      <c r="J882" s="3">
        <f>IF('ORDENES'!$A860="","",IF('ORDENES'!$E860="","-",'ORDENES'!$E860))</f>
        <v/>
      </c>
      <c r="K882" s="12">
        <f>IF('ORDENES'!$A860="","",IF('ORDENES'!$M860="",0,'ORDENES'!$M860))</f>
        <v/>
      </c>
      <c r="L882" s="3">
        <f>IF('ORDENES'!$A860="","",IF('ORDENES'!$N860="","-",'ORDENES'!$N860))</f>
        <v/>
      </c>
      <c r="M882" s="3">
        <f>IF('ORDENES'!$A860="","",'ORDENES'!$AA860)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IF('ORDENES'!$A861="","",IF('ORDENES'!$AC861="","-",'ORDENES'!$AC861))</f>
        <v/>
      </c>
      <c r="D883" s="3">
        <f>IF('ORDENES'!$A861="","",IF('ORDENES'!$V861="","-",'ORDENES'!$V861))</f>
        <v/>
      </c>
      <c r="E883" s="3">
        <f>IF('ORDENES'!$A861="","",IF('ORDENES'!$U861="","-",'ORDENES'!$U861))</f>
        <v/>
      </c>
      <c r="F883" s="3">
        <f>IF('ORDENES'!$A861="","",IF('ORDENES'!$W861="","-",'ORDENES'!$W861))</f>
        <v/>
      </c>
      <c r="G883" s="3">
        <f>IF('ORDENES'!$A861="","",IF('ORDENES'!$AB861="","-",'ORDENES'!$AB861))</f>
        <v/>
      </c>
      <c r="H883" s="3">
        <f>IF('ORDENES'!$A861="","",IF('ORDENES'!$AN861="","-",'ORDENES'!$AN861))</f>
        <v/>
      </c>
      <c r="I883" s="3">
        <f>IF('ORDENES'!$A861="","",IF('ORDENES'!$D861="","-",'ORDENES'!$D861))</f>
        <v/>
      </c>
      <c r="J883" s="3">
        <f>IF('ORDENES'!$A861="","",IF('ORDENES'!$E861="","-",'ORDENES'!$E861))</f>
        <v/>
      </c>
      <c r="K883" s="12">
        <f>IF('ORDENES'!$A861="","",IF('ORDENES'!$M861="",0,'ORDENES'!$M861))</f>
        <v/>
      </c>
      <c r="L883" s="3">
        <f>IF('ORDENES'!$A861="","",IF('ORDENES'!$N861="","-",'ORDENES'!$N861))</f>
        <v/>
      </c>
      <c r="M883" s="3">
        <f>IF('ORDENES'!$A861="","",'ORDENES'!$AA861)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IF('ORDENES'!$A862="","",IF('ORDENES'!$AC862="","-",'ORDENES'!$AC862))</f>
        <v/>
      </c>
      <c r="D884" s="3">
        <f>IF('ORDENES'!$A862="","",IF('ORDENES'!$V862="","-",'ORDENES'!$V862))</f>
        <v/>
      </c>
      <c r="E884" s="3">
        <f>IF('ORDENES'!$A862="","",IF('ORDENES'!$U862="","-",'ORDENES'!$U862))</f>
        <v/>
      </c>
      <c r="F884" s="3">
        <f>IF('ORDENES'!$A862="","",IF('ORDENES'!$W862="","-",'ORDENES'!$W862))</f>
        <v/>
      </c>
      <c r="G884" s="3">
        <f>IF('ORDENES'!$A862="","",IF('ORDENES'!$AB862="","-",'ORDENES'!$AB862))</f>
        <v/>
      </c>
      <c r="H884" s="3">
        <f>IF('ORDENES'!$A862="","",IF('ORDENES'!$AN862="","-",'ORDENES'!$AN862))</f>
        <v/>
      </c>
      <c r="I884" s="3">
        <f>IF('ORDENES'!$A862="","",IF('ORDENES'!$D862="","-",'ORDENES'!$D862))</f>
        <v/>
      </c>
      <c r="J884" s="3">
        <f>IF('ORDENES'!$A862="","",IF('ORDENES'!$E862="","-",'ORDENES'!$E862))</f>
        <v/>
      </c>
      <c r="K884" s="12">
        <f>IF('ORDENES'!$A862="","",IF('ORDENES'!$M862="",0,'ORDENES'!$M862))</f>
        <v/>
      </c>
      <c r="L884" s="3">
        <f>IF('ORDENES'!$A862="","",IF('ORDENES'!$N862="","-",'ORDENES'!$N862))</f>
        <v/>
      </c>
      <c r="M884" s="3">
        <f>IF('ORDENES'!$A862="","",'ORDENES'!$AA862)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IF('ORDENES'!$A863="","",IF('ORDENES'!$AC863="","-",'ORDENES'!$AC863))</f>
        <v/>
      </c>
      <c r="D885" s="3">
        <f>IF('ORDENES'!$A863="","",IF('ORDENES'!$V863="","-",'ORDENES'!$V863))</f>
        <v/>
      </c>
      <c r="E885" s="3">
        <f>IF('ORDENES'!$A863="","",IF('ORDENES'!$U863="","-",'ORDENES'!$U863))</f>
        <v/>
      </c>
      <c r="F885" s="3">
        <f>IF('ORDENES'!$A863="","",IF('ORDENES'!$W863="","-",'ORDENES'!$W863))</f>
        <v/>
      </c>
      <c r="G885" s="3">
        <f>IF('ORDENES'!$A863="","",IF('ORDENES'!$AB863="","-",'ORDENES'!$AB863))</f>
        <v/>
      </c>
      <c r="H885" s="3">
        <f>IF('ORDENES'!$A863="","",IF('ORDENES'!$AN863="","-",'ORDENES'!$AN863))</f>
        <v/>
      </c>
      <c r="I885" s="3">
        <f>IF('ORDENES'!$A863="","",IF('ORDENES'!$D863="","-",'ORDENES'!$D863))</f>
        <v/>
      </c>
      <c r="J885" s="3">
        <f>IF('ORDENES'!$A863="","",IF('ORDENES'!$E863="","-",'ORDENES'!$E863))</f>
        <v/>
      </c>
      <c r="K885" s="12">
        <f>IF('ORDENES'!$A863="","",IF('ORDENES'!$M863="",0,'ORDENES'!$M863))</f>
        <v/>
      </c>
      <c r="L885" s="3">
        <f>IF('ORDENES'!$A863="","",IF('ORDENES'!$N863="","-",'ORDENES'!$N863))</f>
        <v/>
      </c>
      <c r="M885" s="3">
        <f>IF('ORDENES'!$A863="","",'ORDENES'!$AA863)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IF('ORDENES'!$A864="","",IF('ORDENES'!$AC864="","-",'ORDENES'!$AC864))</f>
        <v/>
      </c>
      <c r="D886" s="3">
        <f>IF('ORDENES'!$A864="","",IF('ORDENES'!$V864="","-",'ORDENES'!$V864))</f>
        <v/>
      </c>
      <c r="E886" s="3">
        <f>IF('ORDENES'!$A864="","",IF('ORDENES'!$U864="","-",'ORDENES'!$U864))</f>
        <v/>
      </c>
      <c r="F886" s="3">
        <f>IF('ORDENES'!$A864="","",IF('ORDENES'!$W864="","-",'ORDENES'!$W864))</f>
        <v/>
      </c>
      <c r="G886" s="3">
        <f>IF('ORDENES'!$A864="","",IF('ORDENES'!$AB864="","-",'ORDENES'!$AB864))</f>
        <v/>
      </c>
      <c r="H886" s="3">
        <f>IF('ORDENES'!$A864="","",IF('ORDENES'!$AN864="","-",'ORDENES'!$AN864))</f>
        <v/>
      </c>
      <c r="I886" s="3">
        <f>IF('ORDENES'!$A864="","",IF('ORDENES'!$D864="","-",'ORDENES'!$D864))</f>
        <v/>
      </c>
      <c r="J886" s="3">
        <f>IF('ORDENES'!$A864="","",IF('ORDENES'!$E864="","-",'ORDENES'!$E864))</f>
        <v/>
      </c>
      <c r="K886" s="12">
        <f>IF('ORDENES'!$A864="","",IF('ORDENES'!$M864="",0,'ORDENES'!$M864))</f>
        <v/>
      </c>
      <c r="L886" s="3">
        <f>IF('ORDENES'!$A864="","",IF('ORDENES'!$N864="","-",'ORDENES'!$N864))</f>
        <v/>
      </c>
      <c r="M886" s="3">
        <f>IF('ORDENES'!$A864="","",'ORDENES'!$AA864)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IF('ORDENES'!$A865="","",IF('ORDENES'!$AC865="","-",'ORDENES'!$AC865))</f>
        <v/>
      </c>
      <c r="D887" s="3">
        <f>IF('ORDENES'!$A865="","",IF('ORDENES'!$V865="","-",'ORDENES'!$V865))</f>
        <v/>
      </c>
      <c r="E887" s="3">
        <f>IF('ORDENES'!$A865="","",IF('ORDENES'!$U865="","-",'ORDENES'!$U865))</f>
        <v/>
      </c>
      <c r="F887" s="3">
        <f>IF('ORDENES'!$A865="","",IF('ORDENES'!$W865="","-",'ORDENES'!$W865))</f>
        <v/>
      </c>
      <c r="G887" s="3">
        <f>IF('ORDENES'!$A865="","",IF('ORDENES'!$AB865="","-",'ORDENES'!$AB865))</f>
        <v/>
      </c>
      <c r="H887" s="3">
        <f>IF('ORDENES'!$A865="","",IF('ORDENES'!$AN865="","-",'ORDENES'!$AN865))</f>
        <v/>
      </c>
      <c r="I887" s="3">
        <f>IF('ORDENES'!$A865="","",IF('ORDENES'!$D865="","-",'ORDENES'!$D865))</f>
        <v/>
      </c>
      <c r="J887" s="3">
        <f>IF('ORDENES'!$A865="","",IF('ORDENES'!$E865="","-",'ORDENES'!$E865))</f>
        <v/>
      </c>
      <c r="K887" s="12">
        <f>IF('ORDENES'!$A865="","",IF('ORDENES'!$M865="",0,'ORDENES'!$M865))</f>
        <v/>
      </c>
      <c r="L887" s="3">
        <f>IF('ORDENES'!$A865="","",IF('ORDENES'!$N865="","-",'ORDENES'!$N865))</f>
        <v/>
      </c>
      <c r="M887" s="3">
        <f>IF('ORDENES'!$A865="","",'ORDENES'!$AA865)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IF('ORDENES'!$A866="","",IF('ORDENES'!$AC866="","-",'ORDENES'!$AC866))</f>
        <v/>
      </c>
      <c r="D888" s="3">
        <f>IF('ORDENES'!$A866="","",IF('ORDENES'!$V866="","-",'ORDENES'!$V866))</f>
        <v/>
      </c>
      <c r="E888" s="3">
        <f>IF('ORDENES'!$A866="","",IF('ORDENES'!$U866="","-",'ORDENES'!$U866))</f>
        <v/>
      </c>
      <c r="F888" s="3">
        <f>IF('ORDENES'!$A866="","",IF('ORDENES'!$W866="","-",'ORDENES'!$W866))</f>
        <v/>
      </c>
      <c r="G888" s="3">
        <f>IF('ORDENES'!$A866="","",IF('ORDENES'!$AB866="","-",'ORDENES'!$AB866))</f>
        <v/>
      </c>
      <c r="H888" s="3">
        <f>IF('ORDENES'!$A866="","",IF('ORDENES'!$AN866="","-",'ORDENES'!$AN866))</f>
        <v/>
      </c>
      <c r="I888" s="3">
        <f>IF('ORDENES'!$A866="","",IF('ORDENES'!$D866="","-",'ORDENES'!$D866))</f>
        <v/>
      </c>
      <c r="J888" s="3">
        <f>IF('ORDENES'!$A866="","",IF('ORDENES'!$E866="","-",'ORDENES'!$E866))</f>
        <v/>
      </c>
      <c r="K888" s="12">
        <f>IF('ORDENES'!$A866="","",IF('ORDENES'!$M866="",0,'ORDENES'!$M866))</f>
        <v/>
      </c>
      <c r="L888" s="3">
        <f>IF('ORDENES'!$A866="","",IF('ORDENES'!$N866="","-",'ORDENES'!$N866))</f>
        <v/>
      </c>
      <c r="M888" s="3">
        <f>IF('ORDENES'!$A866="","",'ORDENES'!$AA866)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IF('ORDENES'!$A867="","",IF('ORDENES'!$AC867="","-",'ORDENES'!$AC867))</f>
        <v/>
      </c>
      <c r="D889" s="3">
        <f>IF('ORDENES'!$A867="","",IF('ORDENES'!$V867="","-",'ORDENES'!$V867))</f>
        <v/>
      </c>
      <c r="E889" s="3">
        <f>IF('ORDENES'!$A867="","",IF('ORDENES'!$U867="","-",'ORDENES'!$U867))</f>
        <v/>
      </c>
      <c r="F889" s="3">
        <f>IF('ORDENES'!$A867="","",IF('ORDENES'!$W867="","-",'ORDENES'!$W867))</f>
        <v/>
      </c>
      <c r="G889" s="3">
        <f>IF('ORDENES'!$A867="","",IF('ORDENES'!$AB867="","-",'ORDENES'!$AB867))</f>
        <v/>
      </c>
      <c r="H889" s="3">
        <f>IF('ORDENES'!$A867="","",IF('ORDENES'!$AN867="","-",'ORDENES'!$AN867))</f>
        <v/>
      </c>
      <c r="I889" s="3">
        <f>IF('ORDENES'!$A867="","",IF('ORDENES'!$D867="","-",'ORDENES'!$D867))</f>
        <v/>
      </c>
      <c r="J889" s="3">
        <f>IF('ORDENES'!$A867="","",IF('ORDENES'!$E867="","-",'ORDENES'!$E867))</f>
        <v/>
      </c>
      <c r="K889" s="12">
        <f>IF('ORDENES'!$A867="","",IF('ORDENES'!$M867="",0,'ORDENES'!$M867))</f>
        <v/>
      </c>
      <c r="L889" s="3">
        <f>IF('ORDENES'!$A867="","",IF('ORDENES'!$N867="","-",'ORDENES'!$N867))</f>
        <v/>
      </c>
      <c r="M889" s="3">
        <f>IF('ORDENES'!$A867="","",'ORDENES'!$AA867)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IF('ORDENES'!$A868="","",IF('ORDENES'!$AC868="","-",'ORDENES'!$AC868))</f>
        <v/>
      </c>
      <c r="D890" s="3">
        <f>IF('ORDENES'!$A868="","",IF('ORDENES'!$V868="","-",'ORDENES'!$V868))</f>
        <v/>
      </c>
      <c r="E890" s="3">
        <f>IF('ORDENES'!$A868="","",IF('ORDENES'!$U868="","-",'ORDENES'!$U868))</f>
        <v/>
      </c>
      <c r="F890" s="3">
        <f>IF('ORDENES'!$A868="","",IF('ORDENES'!$W868="","-",'ORDENES'!$W868))</f>
        <v/>
      </c>
      <c r="G890" s="3">
        <f>IF('ORDENES'!$A868="","",IF('ORDENES'!$AB868="","-",'ORDENES'!$AB868))</f>
        <v/>
      </c>
      <c r="H890" s="3">
        <f>IF('ORDENES'!$A868="","",IF('ORDENES'!$AN868="","-",'ORDENES'!$AN868))</f>
        <v/>
      </c>
      <c r="I890" s="3">
        <f>IF('ORDENES'!$A868="","",IF('ORDENES'!$D868="","-",'ORDENES'!$D868))</f>
        <v/>
      </c>
      <c r="J890" s="3">
        <f>IF('ORDENES'!$A868="","",IF('ORDENES'!$E868="","-",'ORDENES'!$E868))</f>
        <v/>
      </c>
      <c r="K890" s="12">
        <f>IF('ORDENES'!$A868="","",IF('ORDENES'!$M868="",0,'ORDENES'!$M868))</f>
        <v/>
      </c>
      <c r="L890" s="3">
        <f>IF('ORDENES'!$A868="","",IF('ORDENES'!$N868="","-",'ORDENES'!$N868))</f>
        <v/>
      </c>
      <c r="M890" s="3">
        <f>IF('ORDENES'!$A868="","",'ORDENES'!$AA868)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IF('ORDENES'!$A869="","",IF('ORDENES'!$AC869="","-",'ORDENES'!$AC869))</f>
        <v/>
      </c>
      <c r="D891" s="3">
        <f>IF('ORDENES'!$A869="","",IF('ORDENES'!$V869="","-",'ORDENES'!$V869))</f>
        <v/>
      </c>
      <c r="E891" s="3">
        <f>IF('ORDENES'!$A869="","",IF('ORDENES'!$U869="","-",'ORDENES'!$U869))</f>
        <v/>
      </c>
      <c r="F891" s="3">
        <f>IF('ORDENES'!$A869="","",IF('ORDENES'!$W869="","-",'ORDENES'!$W869))</f>
        <v/>
      </c>
      <c r="G891" s="3">
        <f>IF('ORDENES'!$A869="","",IF('ORDENES'!$AB869="","-",'ORDENES'!$AB869))</f>
        <v/>
      </c>
      <c r="H891" s="3">
        <f>IF('ORDENES'!$A869="","",IF('ORDENES'!$AN869="","-",'ORDENES'!$AN869))</f>
        <v/>
      </c>
      <c r="I891" s="3">
        <f>IF('ORDENES'!$A869="","",IF('ORDENES'!$D869="","-",'ORDENES'!$D869))</f>
        <v/>
      </c>
      <c r="J891" s="3">
        <f>IF('ORDENES'!$A869="","",IF('ORDENES'!$E869="","-",'ORDENES'!$E869))</f>
        <v/>
      </c>
      <c r="K891" s="12">
        <f>IF('ORDENES'!$A869="","",IF('ORDENES'!$M869="",0,'ORDENES'!$M869))</f>
        <v/>
      </c>
      <c r="L891" s="3">
        <f>IF('ORDENES'!$A869="","",IF('ORDENES'!$N869="","-",'ORDENES'!$N869))</f>
        <v/>
      </c>
      <c r="M891" s="3">
        <f>IF('ORDENES'!$A869="","",'ORDENES'!$AA869)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IF('ORDENES'!$A870="","",IF('ORDENES'!$AC870="","-",'ORDENES'!$AC870))</f>
        <v/>
      </c>
      <c r="D892" s="3">
        <f>IF('ORDENES'!$A870="","",IF('ORDENES'!$V870="","-",'ORDENES'!$V870))</f>
        <v/>
      </c>
      <c r="E892" s="3">
        <f>IF('ORDENES'!$A870="","",IF('ORDENES'!$U870="","-",'ORDENES'!$U870))</f>
        <v/>
      </c>
      <c r="F892" s="3">
        <f>IF('ORDENES'!$A870="","",IF('ORDENES'!$W870="","-",'ORDENES'!$W870))</f>
        <v/>
      </c>
      <c r="G892" s="3">
        <f>IF('ORDENES'!$A870="","",IF('ORDENES'!$AB870="","-",'ORDENES'!$AB870))</f>
        <v/>
      </c>
      <c r="H892" s="3">
        <f>IF('ORDENES'!$A870="","",IF('ORDENES'!$AN870="","-",'ORDENES'!$AN870))</f>
        <v/>
      </c>
      <c r="I892" s="3">
        <f>IF('ORDENES'!$A870="","",IF('ORDENES'!$D870="","-",'ORDENES'!$D870))</f>
        <v/>
      </c>
      <c r="J892" s="3">
        <f>IF('ORDENES'!$A870="","",IF('ORDENES'!$E870="","-",'ORDENES'!$E870))</f>
        <v/>
      </c>
      <c r="K892" s="12">
        <f>IF('ORDENES'!$A870="","",IF('ORDENES'!$M870="",0,'ORDENES'!$M870))</f>
        <v/>
      </c>
      <c r="L892" s="3">
        <f>IF('ORDENES'!$A870="","",IF('ORDENES'!$N870="","-",'ORDENES'!$N870))</f>
        <v/>
      </c>
      <c r="M892" s="3">
        <f>IF('ORDENES'!$A870="","",'ORDENES'!$AA870)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IF('ORDENES'!$A871="","",IF('ORDENES'!$AC871="","-",'ORDENES'!$AC871))</f>
        <v/>
      </c>
      <c r="D893" s="3">
        <f>IF('ORDENES'!$A871="","",IF('ORDENES'!$V871="","-",'ORDENES'!$V871))</f>
        <v/>
      </c>
      <c r="E893" s="3">
        <f>IF('ORDENES'!$A871="","",IF('ORDENES'!$U871="","-",'ORDENES'!$U871))</f>
        <v/>
      </c>
      <c r="F893" s="3">
        <f>IF('ORDENES'!$A871="","",IF('ORDENES'!$W871="","-",'ORDENES'!$W871))</f>
        <v/>
      </c>
      <c r="G893" s="3">
        <f>IF('ORDENES'!$A871="","",IF('ORDENES'!$AB871="","-",'ORDENES'!$AB871))</f>
        <v/>
      </c>
      <c r="H893" s="3">
        <f>IF('ORDENES'!$A871="","",IF('ORDENES'!$AN871="","-",'ORDENES'!$AN871))</f>
        <v/>
      </c>
      <c r="I893" s="3">
        <f>IF('ORDENES'!$A871="","",IF('ORDENES'!$D871="","-",'ORDENES'!$D871))</f>
        <v/>
      </c>
      <c r="J893" s="3">
        <f>IF('ORDENES'!$A871="","",IF('ORDENES'!$E871="","-",'ORDENES'!$E871))</f>
        <v/>
      </c>
      <c r="K893" s="12">
        <f>IF('ORDENES'!$A871="","",IF('ORDENES'!$M871="",0,'ORDENES'!$M871))</f>
        <v/>
      </c>
      <c r="L893" s="3">
        <f>IF('ORDENES'!$A871="","",IF('ORDENES'!$N871="","-",'ORDENES'!$N871))</f>
        <v/>
      </c>
      <c r="M893" s="3">
        <f>IF('ORDENES'!$A871="","",'ORDENES'!$AA871)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IF('ORDENES'!$A872="","",IF('ORDENES'!$AC872="","-",'ORDENES'!$AC872))</f>
        <v/>
      </c>
      <c r="D894" s="3">
        <f>IF('ORDENES'!$A872="","",IF('ORDENES'!$V872="","-",'ORDENES'!$V872))</f>
        <v/>
      </c>
      <c r="E894" s="3">
        <f>IF('ORDENES'!$A872="","",IF('ORDENES'!$U872="","-",'ORDENES'!$U872))</f>
        <v/>
      </c>
      <c r="F894" s="3">
        <f>IF('ORDENES'!$A872="","",IF('ORDENES'!$W872="","-",'ORDENES'!$W872))</f>
        <v/>
      </c>
      <c r="G894" s="3">
        <f>IF('ORDENES'!$A872="","",IF('ORDENES'!$AB872="","-",'ORDENES'!$AB872))</f>
        <v/>
      </c>
      <c r="H894" s="3">
        <f>IF('ORDENES'!$A872="","",IF('ORDENES'!$AN872="","-",'ORDENES'!$AN872))</f>
        <v/>
      </c>
      <c r="I894" s="3">
        <f>IF('ORDENES'!$A872="","",IF('ORDENES'!$D872="","-",'ORDENES'!$D872))</f>
        <v/>
      </c>
      <c r="J894" s="3">
        <f>IF('ORDENES'!$A872="","",IF('ORDENES'!$E872="","-",'ORDENES'!$E872))</f>
        <v/>
      </c>
      <c r="K894" s="12">
        <f>IF('ORDENES'!$A872="","",IF('ORDENES'!$M872="",0,'ORDENES'!$M872))</f>
        <v/>
      </c>
      <c r="L894" s="3">
        <f>IF('ORDENES'!$A872="","",IF('ORDENES'!$N872="","-",'ORDENES'!$N872))</f>
        <v/>
      </c>
      <c r="M894" s="3">
        <f>IF('ORDENES'!$A872="","",'ORDENES'!$AA872)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IF('ORDENES'!$A873="","",IF('ORDENES'!$AC873="","-",'ORDENES'!$AC873))</f>
        <v/>
      </c>
      <c r="D895" s="3">
        <f>IF('ORDENES'!$A873="","",IF('ORDENES'!$V873="","-",'ORDENES'!$V873))</f>
        <v/>
      </c>
      <c r="E895" s="3">
        <f>IF('ORDENES'!$A873="","",IF('ORDENES'!$U873="","-",'ORDENES'!$U873))</f>
        <v/>
      </c>
      <c r="F895" s="3">
        <f>IF('ORDENES'!$A873="","",IF('ORDENES'!$W873="","-",'ORDENES'!$W873))</f>
        <v/>
      </c>
      <c r="G895" s="3">
        <f>IF('ORDENES'!$A873="","",IF('ORDENES'!$AB873="","-",'ORDENES'!$AB873))</f>
        <v/>
      </c>
      <c r="H895" s="3">
        <f>IF('ORDENES'!$A873="","",IF('ORDENES'!$AN873="","-",'ORDENES'!$AN873))</f>
        <v/>
      </c>
      <c r="I895" s="3">
        <f>IF('ORDENES'!$A873="","",IF('ORDENES'!$D873="","-",'ORDENES'!$D873))</f>
        <v/>
      </c>
      <c r="J895" s="3">
        <f>IF('ORDENES'!$A873="","",IF('ORDENES'!$E873="","-",'ORDENES'!$E873))</f>
        <v/>
      </c>
      <c r="K895" s="12">
        <f>IF('ORDENES'!$A873="","",IF('ORDENES'!$M873="",0,'ORDENES'!$M873))</f>
        <v/>
      </c>
      <c r="L895" s="3">
        <f>IF('ORDENES'!$A873="","",IF('ORDENES'!$N873="","-",'ORDENES'!$N873))</f>
        <v/>
      </c>
      <c r="M895" s="3">
        <f>IF('ORDENES'!$A873="","",'ORDENES'!$AA873)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IF('ORDENES'!$A874="","",IF('ORDENES'!$AC874="","-",'ORDENES'!$AC874))</f>
        <v/>
      </c>
      <c r="D896" s="3">
        <f>IF('ORDENES'!$A874="","",IF('ORDENES'!$V874="","-",'ORDENES'!$V874))</f>
        <v/>
      </c>
      <c r="E896" s="3">
        <f>IF('ORDENES'!$A874="","",IF('ORDENES'!$U874="","-",'ORDENES'!$U874))</f>
        <v/>
      </c>
      <c r="F896" s="3">
        <f>IF('ORDENES'!$A874="","",IF('ORDENES'!$W874="","-",'ORDENES'!$W874))</f>
        <v/>
      </c>
      <c r="G896" s="3">
        <f>IF('ORDENES'!$A874="","",IF('ORDENES'!$AB874="","-",'ORDENES'!$AB874))</f>
        <v/>
      </c>
      <c r="H896" s="3">
        <f>IF('ORDENES'!$A874="","",IF('ORDENES'!$AN874="","-",'ORDENES'!$AN874))</f>
        <v/>
      </c>
      <c r="I896" s="3">
        <f>IF('ORDENES'!$A874="","",IF('ORDENES'!$D874="","-",'ORDENES'!$D874))</f>
        <v/>
      </c>
      <c r="J896" s="3">
        <f>IF('ORDENES'!$A874="","",IF('ORDENES'!$E874="","-",'ORDENES'!$E874))</f>
        <v/>
      </c>
      <c r="K896" s="12">
        <f>IF('ORDENES'!$A874="","",IF('ORDENES'!$M874="",0,'ORDENES'!$M874))</f>
        <v/>
      </c>
      <c r="L896" s="3">
        <f>IF('ORDENES'!$A874="","",IF('ORDENES'!$N874="","-",'ORDENES'!$N874))</f>
        <v/>
      </c>
      <c r="M896" s="3">
        <f>IF('ORDENES'!$A874="","",'ORDENES'!$AA874)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IF('ORDENES'!$A875="","",IF('ORDENES'!$AC875="","-",'ORDENES'!$AC875))</f>
        <v/>
      </c>
      <c r="D897" s="3">
        <f>IF('ORDENES'!$A875="","",IF('ORDENES'!$V875="","-",'ORDENES'!$V875))</f>
        <v/>
      </c>
      <c r="E897" s="3">
        <f>IF('ORDENES'!$A875="","",IF('ORDENES'!$U875="","-",'ORDENES'!$U875))</f>
        <v/>
      </c>
      <c r="F897" s="3">
        <f>IF('ORDENES'!$A875="","",IF('ORDENES'!$W875="","-",'ORDENES'!$W875))</f>
        <v/>
      </c>
      <c r="G897" s="3">
        <f>IF('ORDENES'!$A875="","",IF('ORDENES'!$AB875="","-",'ORDENES'!$AB875))</f>
        <v/>
      </c>
      <c r="H897" s="3">
        <f>IF('ORDENES'!$A875="","",IF('ORDENES'!$AN875="","-",'ORDENES'!$AN875))</f>
        <v/>
      </c>
      <c r="I897" s="3">
        <f>IF('ORDENES'!$A875="","",IF('ORDENES'!$D875="","-",'ORDENES'!$D875))</f>
        <v/>
      </c>
      <c r="J897" s="3">
        <f>IF('ORDENES'!$A875="","",IF('ORDENES'!$E875="","-",'ORDENES'!$E875))</f>
        <v/>
      </c>
      <c r="K897" s="12">
        <f>IF('ORDENES'!$A875="","",IF('ORDENES'!$M875="",0,'ORDENES'!$M875))</f>
        <v/>
      </c>
      <c r="L897" s="3">
        <f>IF('ORDENES'!$A875="","",IF('ORDENES'!$N875="","-",'ORDENES'!$N875))</f>
        <v/>
      </c>
      <c r="M897" s="3">
        <f>IF('ORDENES'!$A875="","",'ORDENES'!$AA875)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IF('ORDENES'!$A876="","",IF('ORDENES'!$AC876="","-",'ORDENES'!$AC876))</f>
        <v/>
      </c>
      <c r="D898" s="3">
        <f>IF('ORDENES'!$A876="","",IF('ORDENES'!$V876="","-",'ORDENES'!$V876))</f>
        <v/>
      </c>
      <c r="E898" s="3">
        <f>IF('ORDENES'!$A876="","",IF('ORDENES'!$U876="","-",'ORDENES'!$U876))</f>
        <v/>
      </c>
      <c r="F898" s="3">
        <f>IF('ORDENES'!$A876="","",IF('ORDENES'!$W876="","-",'ORDENES'!$W876))</f>
        <v/>
      </c>
      <c r="G898" s="3">
        <f>IF('ORDENES'!$A876="","",IF('ORDENES'!$AB876="","-",'ORDENES'!$AB876))</f>
        <v/>
      </c>
      <c r="H898" s="3">
        <f>IF('ORDENES'!$A876="","",IF('ORDENES'!$AN876="","-",'ORDENES'!$AN876))</f>
        <v/>
      </c>
      <c r="I898" s="3">
        <f>IF('ORDENES'!$A876="","",IF('ORDENES'!$D876="","-",'ORDENES'!$D876))</f>
        <v/>
      </c>
      <c r="J898" s="3">
        <f>IF('ORDENES'!$A876="","",IF('ORDENES'!$E876="","-",'ORDENES'!$E876))</f>
        <v/>
      </c>
      <c r="K898" s="12">
        <f>IF('ORDENES'!$A876="","",IF('ORDENES'!$M876="",0,'ORDENES'!$M876))</f>
        <v/>
      </c>
      <c r="L898" s="3">
        <f>IF('ORDENES'!$A876="","",IF('ORDENES'!$N876="","-",'ORDENES'!$N876))</f>
        <v/>
      </c>
      <c r="M898" s="3">
        <f>IF('ORDENES'!$A876="","",'ORDENES'!$AA876)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IF('ORDENES'!$A877="","",IF('ORDENES'!$AC877="","-",'ORDENES'!$AC877))</f>
        <v/>
      </c>
      <c r="D899" s="3">
        <f>IF('ORDENES'!$A877="","",IF('ORDENES'!$V877="","-",'ORDENES'!$V877))</f>
        <v/>
      </c>
      <c r="E899" s="3">
        <f>IF('ORDENES'!$A877="","",IF('ORDENES'!$U877="","-",'ORDENES'!$U877))</f>
        <v/>
      </c>
      <c r="F899" s="3">
        <f>IF('ORDENES'!$A877="","",IF('ORDENES'!$W877="","-",'ORDENES'!$W877))</f>
        <v/>
      </c>
      <c r="G899" s="3">
        <f>IF('ORDENES'!$A877="","",IF('ORDENES'!$AB877="","-",'ORDENES'!$AB877))</f>
        <v/>
      </c>
      <c r="H899" s="3">
        <f>IF('ORDENES'!$A877="","",IF('ORDENES'!$AN877="","-",'ORDENES'!$AN877))</f>
        <v/>
      </c>
      <c r="I899" s="3">
        <f>IF('ORDENES'!$A877="","",IF('ORDENES'!$D877="","-",'ORDENES'!$D877))</f>
        <v/>
      </c>
      <c r="J899" s="3">
        <f>IF('ORDENES'!$A877="","",IF('ORDENES'!$E877="","-",'ORDENES'!$E877))</f>
        <v/>
      </c>
      <c r="K899" s="12">
        <f>IF('ORDENES'!$A877="","",IF('ORDENES'!$M877="",0,'ORDENES'!$M877))</f>
        <v/>
      </c>
      <c r="L899" s="3">
        <f>IF('ORDENES'!$A877="","",IF('ORDENES'!$N877="","-",'ORDENES'!$N877))</f>
        <v/>
      </c>
      <c r="M899" s="3">
        <f>IF('ORDENES'!$A877="","",'ORDENES'!$AA877)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IF('ORDENES'!$A878="","",IF('ORDENES'!$AC878="","-",'ORDENES'!$AC878))</f>
        <v/>
      </c>
      <c r="D900" s="3">
        <f>IF('ORDENES'!$A878="","",IF('ORDENES'!$V878="","-",'ORDENES'!$V878))</f>
        <v/>
      </c>
      <c r="E900" s="3">
        <f>IF('ORDENES'!$A878="","",IF('ORDENES'!$U878="","-",'ORDENES'!$U878))</f>
        <v/>
      </c>
      <c r="F900" s="3">
        <f>IF('ORDENES'!$A878="","",IF('ORDENES'!$W878="","-",'ORDENES'!$W878))</f>
        <v/>
      </c>
      <c r="G900" s="3">
        <f>IF('ORDENES'!$A878="","",IF('ORDENES'!$AB878="","-",'ORDENES'!$AB878))</f>
        <v/>
      </c>
      <c r="H900" s="3">
        <f>IF('ORDENES'!$A878="","",IF('ORDENES'!$AN878="","-",'ORDENES'!$AN878))</f>
        <v/>
      </c>
      <c r="I900" s="3">
        <f>IF('ORDENES'!$A878="","",IF('ORDENES'!$D878="","-",'ORDENES'!$D878))</f>
        <v/>
      </c>
      <c r="J900" s="3">
        <f>IF('ORDENES'!$A878="","",IF('ORDENES'!$E878="","-",'ORDENES'!$E878))</f>
        <v/>
      </c>
      <c r="K900" s="12">
        <f>IF('ORDENES'!$A878="","",IF('ORDENES'!$M878="",0,'ORDENES'!$M878))</f>
        <v/>
      </c>
      <c r="L900" s="3">
        <f>IF('ORDENES'!$A878="","",IF('ORDENES'!$N878="","-",'ORDENES'!$N878))</f>
        <v/>
      </c>
      <c r="M900" s="3">
        <f>IF('ORDENES'!$A878="","",'ORDENES'!$AA878)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IF('ORDENES'!$A879="","",IF('ORDENES'!$AC879="","-",'ORDENES'!$AC879))</f>
        <v/>
      </c>
      <c r="D901" s="3">
        <f>IF('ORDENES'!$A879="","",IF('ORDENES'!$V879="","-",'ORDENES'!$V879))</f>
        <v/>
      </c>
      <c r="E901" s="3">
        <f>IF('ORDENES'!$A879="","",IF('ORDENES'!$U879="","-",'ORDENES'!$U879))</f>
        <v/>
      </c>
      <c r="F901" s="3">
        <f>IF('ORDENES'!$A879="","",IF('ORDENES'!$W879="","-",'ORDENES'!$W879))</f>
        <v/>
      </c>
      <c r="G901" s="3">
        <f>IF('ORDENES'!$A879="","",IF('ORDENES'!$AB879="","-",'ORDENES'!$AB879))</f>
        <v/>
      </c>
      <c r="H901" s="3">
        <f>IF('ORDENES'!$A879="","",IF('ORDENES'!$AN879="","-",'ORDENES'!$AN879))</f>
        <v/>
      </c>
      <c r="I901" s="3">
        <f>IF('ORDENES'!$A879="","",IF('ORDENES'!$D879="","-",'ORDENES'!$D879))</f>
        <v/>
      </c>
      <c r="J901" s="3">
        <f>IF('ORDENES'!$A879="","",IF('ORDENES'!$E879="","-",'ORDENES'!$E879))</f>
        <v/>
      </c>
      <c r="K901" s="12">
        <f>IF('ORDENES'!$A879="","",IF('ORDENES'!$M879="",0,'ORDENES'!$M879))</f>
        <v/>
      </c>
      <c r="L901" s="3">
        <f>IF('ORDENES'!$A879="","",IF('ORDENES'!$N879="","-",'ORDENES'!$N879))</f>
        <v/>
      </c>
      <c r="M901" s="3">
        <f>IF('ORDENES'!$A879="","",'ORDENES'!$AA879)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IF('ORDENES'!$A880="","",IF('ORDENES'!$AC880="","-",'ORDENES'!$AC880))</f>
        <v/>
      </c>
      <c r="D902" s="3">
        <f>IF('ORDENES'!$A880="","",IF('ORDENES'!$V880="","-",'ORDENES'!$V880))</f>
        <v/>
      </c>
      <c r="E902" s="3">
        <f>IF('ORDENES'!$A880="","",IF('ORDENES'!$U880="","-",'ORDENES'!$U880))</f>
        <v/>
      </c>
      <c r="F902" s="3">
        <f>IF('ORDENES'!$A880="","",IF('ORDENES'!$W880="","-",'ORDENES'!$W880))</f>
        <v/>
      </c>
      <c r="G902" s="3">
        <f>IF('ORDENES'!$A880="","",IF('ORDENES'!$AB880="","-",'ORDENES'!$AB880))</f>
        <v/>
      </c>
      <c r="H902" s="3">
        <f>IF('ORDENES'!$A880="","",IF('ORDENES'!$AN880="","-",'ORDENES'!$AN880))</f>
        <v/>
      </c>
      <c r="I902" s="3">
        <f>IF('ORDENES'!$A880="","",IF('ORDENES'!$D880="","-",'ORDENES'!$D880))</f>
        <v/>
      </c>
      <c r="J902" s="3">
        <f>IF('ORDENES'!$A880="","",IF('ORDENES'!$E880="","-",'ORDENES'!$E880))</f>
        <v/>
      </c>
      <c r="K902" s="12">
        <f>IF('ORDENES'!$A880="","",IF('ORDENES'!$M880="",0,'ORDENES'!$M880))</f>
        <v/>
      </c>
      <c r="L902" s="3">
        <f>IF('ORDENES'!$A880="","",IF('ORDENES'!$N880="","-",'ORDENES'!$N880))</f>
        <v/>
      </c>
      <c r="M902" s="3">
        <f>IF('ORDENES'!$A880="","",'ORDENES'!$AA880)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IF('ORDENES'!$A881="","",IF('ORDENES'!$AC881="","-",'ORDENES'!$AC881))</f>
        <v/>
      </c>
      <c r="D903" s="3">
        <f>IF('ORDENES'!$A881="","",IF('ORDENES'!$V881="","-",'ORDENES'!$V881))</f>
        <v/>
      </c>
      <c r="E903" s="3">
        <f>IF('ORDENES'!$A881="","",IF('ORDENES'!$U881="","-",'ORDENES'!$U881))</f>
        <v/>
      </c>
      <c r="F903" s="3">
        <f>IF('ORDENES'!$A881="","",IF('ORDENES'!$W881="","-",'ORDENES'!$W881))</f>
        <v/>
      </c>
      <c r="G903" s="3">
        <f>IF('ORDENES'!$A881="","",IF('ORDENES'!$AB881="","-",'ORDENES'!$AB881))</f>
        <v/>
      </c>
      <c r="H903" s="3">
        <f>IF('ORDENES'!$A881="","",IF('ORDENES'!$AN881="","-",'ORDENES'!$AN881))</f>
        <v/>
      </c>
      <c r="I903" s="3">
        <f>IF('ORDENES'!$A881="","",IF('ORDENES'!$D881="","-",'ORDENES'!$D881))</f>
        <v/>
      </c>
      <c r="J903" s="3">
        <f>IF('ORDENES'!$A881="","",IF('ORDENES'!$E881="","-",'ORDENES'!$E881))</f>
        <v/>
      </c>
      <c r="K903" s="12">
        <f>IF('ORDENES'!$A881="","",IF('ORDENES'!$M881="",0,'ORDENES'!$M881))</f>
        <v/>
      </c>
      <c r="L903" s="3">
        <f>IF('ORDENES'!$A881="","",IF('ORDENES'!$N881="","-",'ORDENES'!$N881))</f>
        <v/>
      </c>
      <c r="M903" s="3">
        <f>IF('ORDENES'!$A881="","",'ORDENES'!$AA881)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IF('ORDENES'!$A882="","",IF('ORDENES'!$AC882="","-",'ORDENES'!$AC882))</f>
        <v/>
      </c>
      <c r="D904" s="3">
        <f>IF('ORDENES'!$A882="","",IF('ORDENES'!$V882="","-",'ORDENES'!$V882))</f>
        <v/>
      </c>
      <c r="E904" s="3">
        <f>IF('ORDENES'!$A882="","",IF('ORDENES'!$U882="","-",'ORDENES'!$U882))</f>
        <v/>
      </c>
      <c r="F904" s="3">
        <f>IF('ORDENES'!$A882="","",IF('ORDENES'!$W882="","-",'ORDENES'!$W882))</f>
        <v/>
      </c>
      <c r="G904" s="3">
        <f>IF('ORDENES'!$A882="","",IF('ORDENES'!$AB882="","-",'ORDENES'!$AB882))</f>
        <v/>
      </c>
      <c r="H904" s="3">
        <f>IF('ORDENES'!$A882="","",IF('ORDENES'!$AN882="","-",'ORDENES'!$AN882))</f>
        <v/>
      </c>
      <c r="I904" s="3">
        <f>IF('ORDENES'!$A882="","",IF('ORDENES'!$D882="","-",'ORDENES'!$D882))</f>
        <v/>
      </c>
      <c r="J904" s="3">
        <f>IF('ORDENES'!$A882="","",IF('ORDENES'!$E882="","-",'ORDENES'!$E882))</f>
        <v/>
      </c>
      <c r="K904" s="12">
        <f>IF('ORDENES'!$A882="","",IF('ORDENES'!$M882="",0,'ORDENES'!$M882))</f>
        <v/>
      </c>
      <c r="L904" s="3">
        <f>IF('ORDENES'!$A882="","",IF('ORDENES'!$N882="","-",'ORDENES'!$N882))</f>
        <v/>
      </c>
      <c r="M904" s="3">
        <f>IF('ORDENES'!$A882="","",'ORDENES'!$AA882)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IF('ORDENES'!$A883="","",IF('ORDENES'!$AC883="","-",'ORDENES'!$AC883))</f>
        <v/>
      </c>
      <c r="D905" s="3">
        <f>IF('ORDENES'!$A883="","",IF('ORDENES'!$V883="","-",'ORDENES'!$V883))</f>
        <v/>
      </c>
      <c r="E905" s="3">
        <f>IF('ORDENES'!$A883="","",IF('ORDENES'!$U883="","-",'ORDENES'!$U883))</f>
        <v/>
      </c>
      <c r="F905" s="3">
        <f>IF('ORDENES'!$A883="","",IF('ORDENES'!$W883="","-",'ORDENES'!$W883))</f>
        <v/>
      </c>
      <c r="G905" s="3">
        <f>IF('ORDENES'!$A883="","",IF('ORDENES'!$AB883="","-",'ORDENES'!$AB883))</f>
        <v/>
      </c>
      <c r="H905" s="3">
        <f>IF('ORDENES'!$A883="","",IF('ORDENES'!$AN883="","-",'ORDENES'!$AN883))</f>
        <v/>
      </c>
      <c r="I905" s="3">
        <f>IF('ORDENES'!$A883="","",IF('ORDENES'!$D883="","-",'ORDENES'!$D883))</f>
        <v/>
      </c>
      <c r="J905" s="3">
        <f>IF('ORDENES'!$A883="","",IF('ORDENES'!$E883="","-",'ORDENES'!$E883))</f>
        <v/>
      </c>
      <c r="K905" s="12">
        <f>IF('ORDENES'!$A883="","",IF('ORDENES'!$M883="",0,'ORDENES'!$M883))</f>
        <v/>
      </c>
      <c r="L905" s="3">
        <f>IF('ORDENES'!$A883="","",IF('ORDENES'!$N883="","-",'ORDENES'!$N883))</f>
        <v/>
      </c>
      <c r="M905" s="3">
        <f>IF('ORDENES'!$A883="","",'ORDENES'!$AA883)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IF('ORDENES'!$A884="","",IF('ORDENES'!$AC884="","-",'ORDENES'!$AC884))</f>
        <v/>
      </c>
      <c r="D906" s="3">
        <f>IF('ORDENES'!$A884="","",IF('ORDENES'!$V884="","-",'ORDENES'!$V884))</f>
        <v/>
      </c>
      <c r="E906" s="3">
        <f>IF('ORDENES'!$A884="","",IF('ORDENES'!$U884="","-",'ORDENES'!$U884))</f>
        <v/>
      </c>
      <c r="F906" s="3">
        <f>IF('ORDENES'!$A884="","",IF('ORDENES'!$W884="","-",'ORDENES'!$W884))</f>
        <v/>
      </c>
      <c r="G906" s="3">
        <f>IF('ORDENES'!$A884="","",IF('ORDENES'!$AB884="","-",'ORDENES'!$AB884))</f>
        <v/>
      </c>
      <c r="H906" s="3">
        <f>IF('ORDENES'!$A884="","",IF('ORDENES'!$AN884="","-",'ORDENES'!$AN884))</f>
        <v/>
      </c>
      <c r="I906" s="3">
        <f>IF('ORDENES'!$A884="","",IF('ORDENES'!$D884="","-",'ORDENES'!$D884))</f>
        <v/>
      </c>
      <c r="J906" s="3">
        <f>IF('ORDENES'!$A884="","",IF('ORDENES'!$E884="","-",'ORDENES'!$E884))</f>
        <v/>
      </c>
      <c r="K906" s="12">
        <f>IF('ORDENES'!$A884="","",IF('ORDENES'!$M884="",0,'ORDENES'!$M884))</f>
        <v/>
      </c>
      <c r="L906" s="3">
        <f>IF('ORDENES'!$A884="","",IF('ORDENES'!$N884="","-",'ORDENES'!$N884))</f>
        <v/>
      </c>
      <c r="M906" s="3">
        <f>IF('ORDENES'!$A884="","",'ORDENES'!$AA884)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IF('ORDENES'!$A885="","",IF('ORDENES'!$AC885="","-",'ORDENES'!$AC885))</f>
        <v/>
      </c>
      <c r="D907" s="3">
        <f>IF('ORDENES'!$A885="","",IF('ORDENES'!$V885="","-",'ORDENES'!$V885))</f>
        <v/>
      </c>
      <c r="E907" s="3">
        <f>IF('ORDENES'!$A885="","",IF('ORDENES'!$U885="","-",'ORDENES'!$U885))</f>
        <v/>
      </c>
      <c r="F907" s="3">
        <f>IF('ORDENES'!$A885="","",IF('ORDENES'!$W885="","-",'ORDENES'!$W885))</f>
        <v/>
      </c>
      <c r="G907" s="3">
        <f>IF('ORDENES'!$A885="","",IF('ORDENES'!$AB885="","-",'ORDENES'!$AB885))</f>
        <v/>
      </c>
      <c r="H907" s="3">
        <f>IF('ORDENES'!$A885="","",IF('ORDENES'!$AN885="","-",'ORDENES'!$AN885))</f>
        <v/>
      </c>
      <c r="I907" s="3">
        <f>IF('ORDENES'!$A885="","",IF('ORDENES'!$D885="","-",'ORDENES'!$D885))</f>
        <v/>
      </c>
      <c r="J907" s="3">
        <f>IF('ORDENES'!$A885="","",IF('ORDENES'!$E885="","-",'ORDENES'!$E885))</f>
        <v/>
      </c>
      <c r="K907" s="12">
        <f>IF('ORDENES'!$A885="","",IF('ORDENES'!$M885="",0,'ORDENES'!$M885))</f>
        <v/>
      </c>
      <c r="L907" s="3">
        <f>IF('ORDENES'!$A885="","",IF('ORDENES'!$N885="","-",'ORDENES'!$N885))</f>
        <v/>
      </c>
      <c r="M907" s="3">
        <f>IF('ORDENES'!$A885="","",'ORDENES'!$AA885)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IF('ORDENES'!$A886="","",IF('ORDENES'!$AC886="","-",'ORDENES'!$AC886))</f>
        <v/>
      </c>
      <c r="D908" s="3">
        <f>IF('ORDENES'!$A886="","",IF('ORDENES'!$V886="","-",'ORDENES'!$V886))</f>
        <v/>
      </c>
      <c r="E908" s="3">
        <f>IF('ORDENES'!$A886="","",IF('ORDENES'!$U886="","-",'ORDENES'!$U886))</f>
        <v/>
      </c>
      <c r="F908" s="3">
        <f>IF('ORDENES'!$A886="","",IF('ORDENES'!$W886="","-",'ORDENES'!$W886))</f>
        <v/>
      </c>
      <c r="G908" s="3">
        <f>IF('ORDENES'!$A886="","",IF('ORDENES'!$AB886="","-",'ORDENES'!$AB886))</f>
        <v/>
      </c>
      <c r="H908" s="3">
        <f>IF('ORDENES'!$A886="","",IF('ORDENES'!$AN886="","-",'ORDENES'!$AN886))</f>
        <v/>
      </c>
      <c r="I908" s="3">
        <f>IF('ORDENES'!$A886="","",IF('ORDENES'!$D886="","-",'ORDENES'!$D886))</f>
        <v/>
      </c>
      <c r="J908" s="3">
        <f>IF('ORDENES'!$A886="","",IF('ORDENES'!$E886="","-",'ORDENES'!$E886))</f>
        <v/>
      </c>
      <c r="K908" s="12">
        <f>IF('ORDENES'!$A886="","",IF('ORDENES'!$M886="",0,'ORDENES'!$M886))</f>
        <v/>
      </c>
      <c r="L908" s="3">
        <f>IF('ORDENES'!$A886="","",IF('ORDENES'!$N886="","-",'ORDENES'!$N886))</f>
        <v/>
      </c>
      <c r="M908" s="3">
        <f>IF('ORDENES'!$A886="","",'ORDENES'!$AA886)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IF('ORDENES'!$A887="","",IF('ORDENES'!$AC887="","-",'ORDENES'!$AC887))</f>
        <v/>
      </c>
      <c r="D909" s="3">
        <f>IF('ORDENES'!$A887="","",IF('ORDENES'!$V887="","-",'ORDENES'!$V887))</f>
        <v/>
      </c>
      <c r="E909" s="3">
        <f>IF('ORDENES'!$A887="","",IF('ORDENES'!$U887="","-",'ORDENES'!$U887))</f>
        <v/>
      </c>
      <c r="F909" s="3">
        <f>IF('ORDENES'!$A887="","",IF('ORDENES'!$W887="","-",'ORDENES'!$W887))</f>
        <v/>
      </c>
      <c r="G909" s="3">
        <f>IF('ORDENES'!$A887="","",IF('ORDENES'!$AB887="","-",'ORDENES'!$AB887))</f>
        <v/>
      </c>
      <c r="H909" s="3">
        <f>IF('ORDENES'!$A887="","",IF('ORDENES'!$AN887="","-",'ORDENES'!$AN887))</f>
        <v/>
      </c>
      <c r="I909" s="3">
        <f>IF('ORDENES'!$A887="","",IF('ORDENES'!$D887="","-",'ORDENES'!$D887))</f>
        <v/>
      </c>
      <c r="J909" s="3">
        <f>IF('ORDENES'!$A887="","",IF('ORDENES'!$E887="","-",'ORDENES'!$E887))</f>
        <v/>
      </c>
      <c r="K909" s="12">
        <f>IF('ORDENES'!$A887="","",IF('ORDENES'!$M887="",0,'ORDENES'!$M887))</f>
        <v/>
      </c>
      <c r="L909" s="3">
        <f>IF('ORDENES'!$A887="","",IF('ORDENES'!$N887="","-",'ORDENES'!$N887))</f>
        <v/>
      </c>
      <c r="M909" s="3">
        <f>IF('ORDENES'!$A887="","",'ORDENES'!$AA887)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IF('ORDENES'!$A888="","",IF('ORDENES'!$AC888="","-",'ORDENES'!$AC888))</f>
        <v/>
      </c>
      <c r="D910" s="3">
        <f>IF('ORDENES'!$A888="","",IF('ORDENES'!$V888="","-",'ORDENES'!$V888))</f>
        <v/>
      </c>
      <c r="E910" s="3">
        <f>IF('ORDENES'!$A888="","",IF('ORDENES'!$U888="","-",'ORDENES'!$U888))</f>
        <v/>
      </c>
      <c r="F910" s="3">
        <f>IF('ORDENES'!$A888="","",IF('ORDENES'!$W888="","-",'ORDENES'!$W888))</f>
        <v/>
      </c>
      <c r="G910" s="3">
        <f>IF('ORDENES'!$A888="","",IF('ORDENES'!$AB888="","-",'ORDENES'!$AB888))</f>
        <v/>
      </c>
      <c r="H910" s="3">
        <f>IF('ORDENES'!$A888="","",IF('ORDENES'!$AN888="","-",'ORDENES'!$AN888))</f>
        <v/>
      </c>
      <c r="I910" s="3">
        <f>IF('ORDENES'!$A888="","",IF('ORDENES'!$D888="","-",'ORDENES'!$D888))</f>
        <v/>
      </c>
      <c r="J910" s="3">
        <f>IF('ORDENES'!$A888="","",IF('ORDENES'!$E888="","-",'ORDENES'!$E888))</f>
        <v/>
      </c>
      <c r="K910" s="12">
        <f>IF('ORDENES'!$A888="","",IF('ORDENES'!$M888="",0,'ORDENES'!$M888))</f>
        <v/>
      </c>
      <c r="L910" s="3">
        <f>IF('ORDENES'!$A888="","",IF('ORDENES'!$N888="","-",'ORDENES'!$N888))</f>
        <v/>
      </c>
      <c r="M910" s="3">
        <f>IF('ORDENES'!$A888="","",'ORDENES'!$AA888)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IF('ORDENES'!$A889="","",IF('ORDENES'!$AC889="","-",'ORDENES'!$AC889))</f>
        <v/>
      </c>
      <c r="D911" s="3">
        <f>IF('ORDENES'!$A889="","",IF('ORDENES'!$V889="","-",'ORDENES'!$V889))</f>
        <v/>
      </c>
      <c r="E911" s="3">
        <f>IF('ORDENES'!$A889="","",IF('ORDENES'!$U889="","-",'ORDENES'!$U889))</f>
        <v/>
      </c>
      <c r="F911" s="3">
        <f>IF('ORDENES'!$A889="","",IF('ORDENES'!$W889="","-",'ORDENES'!$W889))</f>
        <v/>
      </c>
      <c r="G911" s="3">
        <f>IF('ORDENES'!$A889="","",IF('ORDENES'!$AB889="","-",'ORDENES'!$AB889))</f>
        <v/>
      </c>
      <c r="H911" s="3">
        <f>IF('ORDENES'!$A889="","",IF('ORDENES'!$AN889="","-",'ORDENES'!$AN889))</f>
        <v/>
      </c>
      <c r="I911" s="3">
        <f>IF('ORDENES'!$A889="","",IF('ORDENES'!$D889="","-",'ORDENES'!$D889))</f>
        <v/>
      </c>
      <c r="J911" s="3">
        <f>IF('ORDENES'!$A889="","",IF('ORDENES'!$E889="","-",'ORDENES'!$E889))</f>
        <v/>
      </c>
      <c r="K911" s="12">
        <f>IF('ORDENES'!$A889="","",IF('ORDENES'!$M889="",0,'ORDENES'!$M889))</f>
        <v/>
      </c>
      <c r="L911" s="3">
        <f>IF('ORDENES'!$A889="","",IF('ORDENES'!$N889="","-",'ORDENES'!$N889))</f>
        <v/>
      </c>
      <c r="M911" s="3">
        <f>IF('ORDENES'!$A889="","",'ORDENES'!$AA889)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IF('ORDENES'!$A890="","",IF('ORDENES'!$AC890="","-",'ORDENES'!$AC890))</f>
        <v/>
      </c>
      <c r="D912" s="3">
        <f>IF('ORDENES'!$A890="","",IF('ORDENES'!$V890="","-",'ORDENES'!$V890))</f>
        <v/>
      </c>
      <c r="E912" s="3">
        <f>IF('ORDENES'!$A890="","",IF('ORDENES'!$U890="","-",'ORDENES'!$U890))</f>
        <v/>
      </c>
      <c r="F912" s="3">
        <f>IF('ORDENES'!$A890="","",IF('ORDENES'!$W890="","-",'ORDENES'!$W890))</f>
        <v/>
      </c>
      <c r="G912" s="3">
        <f>IF('ORDENES'!$A890="","",IF('ORDENES'!$AB890="","-",'ORDENES'!$AB890))</f>
        <v/>
      </c>
      <c r="H912" s="3">
        <f>IF('ORDENES'!$A890="","",IF('ORDENES'!$AN890="","-",'ORDENES'!$AN890))</f>
        <v/>
      </c>
      <c r="I912" s="3">
        <f>IF('ORDENES'!$A890="","",IF('ORDENES'!$D890="","-",'ORDENES'!$D890))</f>
        <v/>
      </c>
      <c r="J912" s="3">
        <f>IF('ORDENES'!$A890="","",IF('ORDENES'!$E890="","-",'ORDENES'!$E890))</f>
        <v/>
      </c>
      <c r="K912" s="12">
        <f>IF('ORDENES'!$A890="","",IF('ORDENES'!$M890="",0,'ORDENES'!$M890))</f>
        <v/>
      </c>
      <c r="L912" s="3">
        <f>IF('ORDENES'!$A890="","",IF('ORDENES'!$N890="","-",'ORDENES'!$N890))</f>
        <v/>
      </c>
      <c r="M912" s="3">
        <f>IF('ORDENES'!$A890="","",'ORDENES'!$AA890)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IF('ORDENES'!$A891="","",IF('ORDENES'!$AC891="","-",'ORDENES'!$AC891))</f>
        <v/>
      </c>
      <c r="D913" s="3">
        <f>IF('ORDENES'!$A891="","",IF('ORDENES'!$V891="","-",'ORDENES'!$V891))</f>
        <v/>
      </c>
      <c r="E913" s="3">
        <f>IF('ORDENES'!$A891="","",IF('ORDENES'!$U891="","-",'ORDENES'!$U891))</f>
        <v/>
      </c>
      <c r="F913" s="3">
        <f>IF('ORDENES'!$A891="","",IF('ORDENES'!$W891="","-",'ORDENES'!$W891))</f>
        <v/>
      </c>
      <c r="G913" s="3">
        <f>IF('ORDENES'!$A891="","",IF('ORDENES'!$AB891="","-",'ORDENES'!$AB891))</f>
        <v/>
      </c>
      <c r="H913" s="3">
        <f>IF('ORDENES'!$A891="","",IF('ORDENES'!$AN891="","-",'ORDENES'!$AN891))</f>
        <v/>
      </c>
      <c r="I913" s="3">
        <f>IF('ORDENES'!$A891="","",IF('ORDENES'!$D891="","-",'ORDENES'!$D891))</f>
        <v/>
      </c>
      <c r="J913" s="3">
        <f>IF('ORDENES'!$A891="","",IF('ORDENES'!$E891="","-",'ORDENES'!$E891))</f>
        <v/>
      </c>
      <c r="K913" s="12">
        <f>IF('ORDENES'!$A891="","",IF('ORDENES'!$M891="",0,'ORDENES'!$M891))</f>
        <v/>
      </c>
      <c r="L913" s="3">
        <f>IF('ORDENES'!$A891="","",IF('ORDENES'!$N891="","-",'ORDENES'!$N891))</f>
        <v/>
      </c>
      <c r="M913" s="3">
        <f>IF('ORDENES'!$A891="","",'ORDENES'!$AA891)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IF('ORDENES'!$A892="","",IF('ORDENES'!$AC892="","-",'ORDENES'!$AC892))</f>
        <v/>
      </c>
      <c r="D914" s="3">
        <f>IF('ORDENES'!$A892="","",IF('ORDENES'!$V892="","-",'ORDENES'!$V892))</f>
        <v/>
      </c>
      <c r="E914" s="3">
        <f>IF('ORDENES'!$A892="","",IF('ORDENES'!$U892="","-",'ORDENES'!$U892))</f>
        <v/>
      </c>
      <c r="F914" s="3">
        <f>IF('ORDENES'!$A892="","",IF('ORDENES'!$W892="","-",'ORDENES'!$W892))</f>
        <v/>
      </c>
      <c r="G914" s="3">
        <f>IF('ORDENES'!$A892="","",IF('ORDENES'!$AB892="","-",'ORDENES'!$AB892))</f>
        <v/>
      </c>
      <c r="H914" s="3">
        <f>IF('ORDENES'!$A892="","",IF('ORDENES'!$AN892="","-",'ORDENES'!$AN892))</f>
        <v/>
      </c>
      <c r="I914" s="3">
        <f>IF('ORDENES'!$A892="","",IF('ORDENES'!$D892="","-",'ORDENES'!$D892))</f>
        <v/>
      </c>
      <c r="J914" s="3">
        <f>IF('ORDENES'!$A892="","",IF('ORDENES'!$E892="","-",'ORDENES'!$E892))</f>
        <v/>
      </c>
      <c r="K914" s="12">
        <f>IF('ORDENES'!$A892="","",IF('ORDENES'!$M892="",0,'ORDENES'!$M892))</f>
        <v/>
      </c>
      <c r="L914" s="3">
        <f>IF('ORDENES'!$A892="","",IF('ORDENES'!$N892="","-",'ORDENES'!$N892))</f>
        <v/>
      </c>
      <c r="M914" s="3">
        <f>IF('ORDENES'!$A892="","",'ORDENES'!$AA892)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IF('ORDENES'!$A893="","",IF('ORDENES'!$AC893="","-",'ORDENES'!$AC893))</f>
        <v/>
      </c>
      <c r="D915" s="3">
        <f>IF('ORDENES'!$A893="","",IF('ORDENES'!$V893="","-",'ORDENES'!$V893))</f>
        <v/>
      </c>
      <c r="E915" s="3">
        <f>IF('ORDENES'!$A893="","",IF('ORDENES'!$U893="","-",'ORDENES'!$U893))</f>
        <v/>
      </c>
      <c r="F915" s="3">
        <f>IF('ORDENES'!$A893="","",IF('ORDENES'!$W893="","-",'ORDENES'!$W893))</f>
        <v/>
      </c>
      <c r="G915" s="3">
        <f>IF('ORDENES'!$A893="","",IF('ORDENES'!$AB893="","-",'ORDENES'!$AB893))</f>
        <v/>
      </c>
      <c r="H915" s="3">
        <f>IF('ORDENES'!$A893="","",IF('ORDENES'!$AN893="","-",'ORDENES'!$AN893))</f>
        <v/>
      </c>
      <c r="I915" s="3">
        <f>IF('ORDENES'!$A893="","",IF('ORDENES'!$D893="","-",'ORDENES'!$D893))</f>
        <v/>
      </c>
      <c r="J915" s="3">
        <f>IF('ORDENES'!$A893="","",IF('ORDENES'!$E893="","-",'ORDENES'!$E893))</f>
        <v/>
      </c>
      <c r="K915" s="12">
        <f>IF('ORDENES'!$A893="","",IF('ORDENES'!$M893="",0,'ORDENES'!$M893))</f>
        <v/>
      </c>
      <c r="L915" s="3">
        <f>IF('ORDENES'!$A893="","",IF('ORDENES'!$N893="","-",'ORDENES'!$N893))</f>
        <v/>
      </c>
      <c r="M915" s="3">
        <f>IF('ORDENES'!$A893="","",'ORDENES'!$AA893)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IF('ORDENES'!$A894="","",IF('ORDENES'!$AC894="","-",'ORDENES'!$AC894))</f>
        <v/>
      </c>
      <c r="D916" s="3">
        <f>IF('ORDENES'!$A894="","",IF('ORDENES'!$V894="","-",'ORDENES'!$V894))</f>
        <v/>
      </c>
      <c r="E916" s="3">
        <f>IF('ORDENES'!$A894="","",IF('ORDENES'!$U894="","-",'ORDENES'!$U894))</f>
        <v/>
      </c>
      <c r="F916" s="3">
        <f>IF('ORDENES'!$A894="","",IF('ORDENES'!$W894="","-",'ORDENES'!$W894))</f>
        <v/>
      </c>
      <c r="G916" s="3">
        <f>IF('ORDENES'!$A894="","",IF('ORDENES'!$AB894="","-",'ORDENES'!$AB894))</f>
        <v/>
      </c>
      <c r="H916" s="3">
        <f>IF('ORDENES'!$A894="","",IF('ORDENES'!$AN894="","-",'ORDENES'!$AN894))</f>
        <v/>
      </c>
      <c r="I916" s="3">
        <f>IF('ORDENES'!$A894="","",IF('ORDENES'!$D894="","-",'ORDENES'!$D894))</f>
        <v/>
      </c>
      <c r="J916" s="3">
        <f>IF('ORDENES'!$A894="","",IF('ORDENES'!$E894="","-",'ORDENES'!$E894))</f>
        <v/>
      </c>
      <c r="K916" s="12">
        <f>IF('ORDENES'!$A894="","",IF('ORDENES'!$M894="",0,'ORDENES'!$M894))</f>
        <v/>
      </c>
      <c r="L916" s="3">
        <f>IF('ORDENES'!$A894="","",IF('ORDENES'!$N894="","-",'ORDENES'!$N894))</f>
        <v/>
      </c>
      <c r="M916" s="3">
        <f>IF('ORDENES'!$A894="","",'ORDENES'!$AA894)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IF('ORDENES'!$A895="","",IF('ORDENES'!$AC895="","-",'ORDENES'!$AC895))</f>
        <v/>
      </c>
      <c r="D917" s="3">
        <f>IF('ORDENES'!$A895="","",IF('ORDENES'!$V895="","-",'ORDENES'!$V895))</f>
        <v/>
      </c>
      <c r="E917" s="3">
        <f>IF('ORDENES'!$A895="","",IF('ORDENES'!$U895="","-",'ORDENES'!$U895))</f>
        <v/>
      </c>
      <c r="F917" s="3">
        <f>IF('ORDENES'!$A895="","",IF('ORDENES'!$W895="","-",'ORDENES'!$W895))</f>
        <v/>
      </c>
      <c r="G917" s="3">
        <f>IF('ORDENES'!$A895="","",IF('ORDENES'!$AB895="","-",'ORDENES'!$AB895))</f>
        <v/>
      </c>
      <c r="H917" s="3">
        <f>IF('ORDENES'!$A895="","",IF('ORDENES'!$AN895="","-",'ORDENES'!$AN895))</f>
        <v/>
      </c>
      <c r="I917" s="3">
        <f>IF('ORDENES'!$A895="","",IF('ORDENES'!$D895="","-",'ORDENES'!$D895))</f>
        <v/>
      </c>
      <c r="J917" s="3">
        <f>IF('ORDENES'!$A895="","",IF('ORDENES'!$E895="","-",'ORDENES'!$E895))</f>
        <v/>
      </c>
      <c r="K917" s="12">
        <f>IF('ORDENES'!$A895="","",IF('ORDENES'!$M895="",0,'ORDENES'!$M895))</f>
        <v/>
      </c>
      <c r="L917" s="3">
        <f>IF('ORDENES'!$A895="","",IF('ORDENES'!$N895="","-",'ORDENES'!$N895))</f>
        <v/>
      </c>
      <c r="M917" s="3">
        <f>IF('ORDENES'!$A895="","",'ORDENES'!$AA895)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IF('ORDENES'!$A896="","",IF('ORDENES'!$AC896="","-",'ORDENES'!$AC896))</f>
        <v/>
      </c>
      <c r="D918" s="3">
        <f>IF('ORDENES'!$A896="","",IF('ORDENES'!$V896="","-",'ORDENES'!$V896))</f>
        <v/>
      </c>
      <c r="E918" s="3">
        <f>IF('ORDENES'!$A896="","",IF('ORDENES'!$U896="","-",'ORDENES'!$U896))</f>
        <v/>
      </c>
      <c r="F918" s="3">
        <f>IF('ORDENES'!$A896="","",IF('ORDENES'!$W896="","-",'ORDENES'!$W896))</f>
        <v/>
      </c>
      <c r="G918" s="3">
        <f>IF('ORDENES'!$A896="","",IF('ORDENES'!$AB896="","-",'ORDENES'!$AB896))</f>
        <v/>
      </c>
      <c r="H918" s="3">
        <f>IF('ORDENES'!$A896="","",IF('ORDENES'!$AN896="","-",'ORDENES'!$AN896))</f>
        <v/>
      </c>
      <c r="I918" s="3">
        <f>IF('ORDENES'!$A896="","",IF('ORDENES'!$D896="","-",'ORDENES'!$D896))</f>
        <v/>
      </c>
      <c r="J918" s="3">
        <f>IF('ORDENES'!$A896="","",IF('ORDENES'!$E896="","-",'ORDENES'!$E896))</f>
        <v/>
      </c>
      <c r="K918" s="12">
        <f>IF('ORDENES'!$A896="","",IF('ORDENES'!$M896="",0,'ORDENES'!$M896))</f>
        <v/>
      </c>
      <c r="L918" s="3">
        <f>IF('ORDENES'!$A896="","",IF('ORDENES'!$N896="","-",'ORDENES'!$N896))</f>
        <v/>
      </c>
      <c r="M918" s="3">
        <f>IF('ORDENES'!$A896="","",'ORDENES'!$AA896)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IF('ORDENES'!$A897="","",IF('ORDENES'!$AC897="","-",'ORDENES'!$AC897))</f>
        <v/>
      </c>
      <c r="D919" s="3">
        <f>IF('ORDENES'!$A897="","",IF('ORDENES'!$V897="","-",'ORDENES'!$V897))</f>
        <v/>
      </c>
      <c r="E919" s="3">
        <f>IF('ORDENES'!$A897="","",IF('ORDENES'!$U897="","-",'ORDENES'!$U897))</f>
        <v/>
      </c>
      <c r="F919" s="3">
        <f>IF('ORDENES'!$A897="","",IF('ORDENES'!$W897="","-",'ORDENES'!$W897))</f>
        <v/>
      </c>
      <c r="G919" s="3">
        <f>IF('ORDENES'!$A897="","",IF('ORDENES'!$AB897="","-",'ORDENES'!$AB897))</f>
        <v/>
      </c>
      <c r="H919" s="3">
        <f>IF('ORDENES'!$A897="","",IF('ORDENES'!$AN897="","-",'ORDENES'!$AN897))</f>
        <v/>
      </c>
      <c r="I919" s="3">
        <f>IF('ORDENES'!$A897="","",IF('ORDENES'!$D897="","-",'ORDENES'!$D897))</f>
        <v/>
      </c>
      <c r="J919" s="3">
        <f>IF('ORDENES'!$A897="","",IF('ORDENES'!$E897="","-",'ORDENES'!$E897))</f>
        <v/>
      </c>
      <c r="K919" s="12">
        <f>IF('ORDENES'!$A897="","",IF('ORDENES'!$M897="",0,'ORDENES'!$M897))</f>
        <v/>
      </c>
      <c r="L919" s="3">
        <f>IF('ORDENES'!$A897="","",IF('ORDENES'!$N897="","-",'ORDENES'!$N897))</f>
        <v/>
      </c>
      <c r="M919" s="3">
        <f>IF('ORDENES'!$A897="","",'ORDENES'!$AA897)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IF('ORDENES'!$A898="","",IF('ORDENES'!$AC898="","-",'ORDENES'!$AC898))</f>
        <v/>
      </c>
      <c r="D920" s="3">
        <f>IF('ORDENES'!$A898="","",IF('ORDENES'!$V898="","-",'ORDENES'!$V898))</f>
        <v/>
      </c>
      <c r="E920" s="3">
        <f>IF('ORDENES'!$A898="","",IF('ORDENES'!$U898="","-",'ORDENES'!$U898))</f>
        <v/>
      </c>
      <c r="F920" s="3">
        <f>IF('ORDENES'!$A898="","",IF('ORDENES'!$W898="","-",'ORDENES'!$W898))</f>
        <v/>
      </c>
      <c r="G920" s="3">
        <f>IF('ORDENES'!$A898="","",IF('ORDENES'!$AB898="","-",'ORDENES'!$AB898))</f>
        <v/>
      </c>
      <c r="H920" s="3">
        <f>IF('ORDENES'!$A898="","",IF('ORDENES'!$AN898="","-",'ORDENES'!$AN898))</f>
        <v/>
      </c>
      <c r="I920" s="3">
        <f>IF('ORDENES'!$A898="","",IF('ORDENES'!$D898="","-",'ORDENES'!$D898))</f>
        <v/>
      </c>
      <c r="J920" s="3">
        <f>IF('ORDENES'!$A898="","",IF('ORDENES'!$E898="","-",'ORDENES'!$E898))</f>
        <v/>
      </c>
      <c r="K920" s="12">
        <f>IF('ORDENES'!$A898="","",IF('ORDENES'!$M898="",0,'ORDENES'!$M898))</f>
        <v/>
      </c>
      <c r="L920" s="3">
        <f>IF('ORDENES'!$A898="","",IF('ORDENES'!$N898="","-",'ORDENES'!$N898))</f>
        <v/>
      </c>
      <c r="M920" s="3">
        <f>IF('ORDENES'!$A898="","",'ORDENES'!$AA898)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IF('ORDENES'!$A899="","",IF('ORDENES'!$AC899="","-",'ORDENES'!$AC899))</f>
        <v/>
      </c>
      <c r="D921" s="3">
        <f>IF('ORDENES'!$A899="","",IF('ORDENES'!$V899="","-",'ORDENES'!$V899))</f>
        <v/>
      </c>
      <c r="E921" s="3">
        <f>IF('ORDENES'!$A899="","",IF('ORDENES'!$U899="","-",'ORDENES'!$U899))</f>
        <v/>
      </c>
      <c r="F921" s="3">
        <f>IF('ORDENES'!$A899="","",IF('ORDENES'!$W899="","-",'ORDENES'!$W899))</f>
        <v/>
      </c>
      <c r="G921" s="3">
        <f>IF('ORDENES'!$A899="","",IF('ORDENES'!$AB899="","-",'ORDENES'!$AB899))</f>
        <v/>
      </c>
      <c r="H921" s="3">
        <f>IF('ORDENES'!$A899="","",IF('ORDENES'!$AN899="","-",'ORDENES'!$AN899))</f>
        <v/>
      </c>
      <c r="I921" s="3">
        <f>IF('ORDENES'!$A899="","",IF('ORDENES'!$D899="","-",'ORDENES'!$D899))</f>
        <v/>
      </c>
      <c r="J921" s="3">
        <f>IF('ORDENES'!$A899="","",IF('ORDENES'!$E899="","-",'ORDENES'!$E899))</f>
        <v/>
      </c>
      <c r="K921" s="12">
        <f>IF('ORDENES'!$A899="","",IF('ORDENES'!$M899="",0,'ORDENES'!$M899))</f>
        <v/>
      </c>
      <c r="L921" s="3">
        <f>IF('ORDENES'!$A899="","",IF('ORDENES'!$N899="","-",'ORDENES'!$N899))</f>
        <v/>
      </c>
      <c r="M921" s="3">
        <f>IF('ORDENES'!$A899="","",'ORDENES'!$AA899)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IF('ORDENES'!$A900="","",IF('ORDENES'!$AC900="","-",'ORDENES'!$AC900))</f>
        <v/>
      </c>
      <c r="D922" s="3">
        <f>IF('ORDENES'!$A900="","",IF('ORDENES'!$V900="","-",'ORDENES'!$V900))</f>
        <v/>
      </c>
      <c r="E922" s="3">
        <f>IF('ORDENES'!$A900="","",IF('ORDENES'!$U900="","-",'ORDENES'!$U900))</f>
        <v/>
      </c>
      <c r="F922" s="3">
        <f>IF('ORDENES'!$A900="","",IF('ORDENES'!$W900="","-",'ORDENES'!$W900))</f>
        <v/>
      </c>
      <c r="G922" s="3">
        <f>IF('ORDENES'!$A900="","",IF('ORDENES'!$AB900="","-",'ORDENES'!$AB900))</f>
        <v/>
      </c>
      <c r="H922" s="3">
        <f>IF('ORDENES'!$A900="","",IF('ORDENES'!$AN900="","-",'ORDENES'!$AN900))</f>
        <v/>
      </c>
      <c r="I922" s="3">
        <f>IF('ORDENES'!$A900="","",IF('ORDENES'!$D900="","-",'ORDENES'!$D900))</f>
        <v/>
      </c>
      <c r="J922" s="3">
        <f>IF('ORDENES'!$A900="","",IF('ORDENES'!$E900="","-",'ORDENES'!$E900))</f>
        <v/>
      </c>
      <c r="K922" s="12">
        <f>IF('ORDENES'!$A900="","",IF('ORDENES'!$M900="",0,'ORDENES'!$M900))</f>
        <v/>
      </c>
      <c r="L922" s="3">
        <f>IF('ORDENES'!$A900="","",IF('ORDENES'!$N900="","-",'ORDENES'!$N900))</f>
        <v/>
      </c>
      <c r="M922" s="3">
        <f>IF('ORDENES'!$A900="","",'ORDENES'!$AA900)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IF('ORDENES'!$A901="","",IF('ORDENES'!$AC901="","-",'ORDENES'!$AC901))</f>
        <v/>
      </c>
      <c r="D923" s="3">
        <f>IF('ORDENES'!$A901="","",IF('ORDENES'!$V901="","-",'ORDENES'!$V901))</f>
        <v/>
      </c>
      <c r="E923" s="3">
        <f>IF('ORDENES'!$A901="","",IF('ORDENES'!$U901="","-",'ORDENES'!$U901))</f>
        <v/>
      </c>
      <c r="F923" s="3">
        <f>IF('ORDENES'!$A901="","",IF('ORDENES'!$W901="","-",'ORDENES'!$W901))</f>
        <v/>
      </c>
      <c r="G923" s="3">
        <f>IF('ORDENES'!$A901="","",IF('ORDENES'!$AB901="","-",'ORDENES'!$AB901))</f>
        <v/>
      </c>
      <c r="H923" s="3">
        <f>IF('ORDENES'!$A901="","",IF('ORDENES'!$AN901="","-",'ORDENES'!$AN901))</f>
        <v/>
      </c>
      <c r="I923" s="3">
        <f>IF('ORDENES'!$A901="","",IF('ORDENES'!$D901="","-",'ORDENES'!$D901))</f>
        <v/>
      </c>
      <c r="J923" s="3">
        <f>IF('ORDENES'!$A901="","",IF('ORDENES'!$E901="","-",'ORDENES'!$E901))</f>
        <v/>
      </c>
      <c r="K923" s="12">
        <f>IF('ORDENES'!$A901="","",IF('ORDENES'!$M901="",0,'ORDENES'!$M901))</f>
        <v/>
      </c>
      <c r="L923" s="3">
        <f>IF('ORDENES'!$A901="","",IF('ORDENES'!$N901="","-",'ORDENES'!$N901))</f>
        <v/>
      </c>
      <c r="M923" s="3">
        <f>IF('ORDENES'!$A901="","",'ORDENES'!$AA901)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IF('ORDENES'!$A902="","",IF('ORDENES'!$AC902="","-",'ORDENES'!$AC902))</f>
        <v/>
      </c>
      <c r="D924" s="3">
        <f>IF('ORDENES'!$A902="","",IF('ORDENES'!$V902="","-",'ORDENES'!$V902))</f>
        <v/>
      </c>
      <c r="E924" s="3">
        <f>IF('ORDENES'!$A902="","",IF('ORDENES'!$U902="","-",'ORDENES'!$U902))</f>
        <v/>
      </c>
      <c r="F924" s="3">
        <f>IF('ORDENES'!$A902="","",IF('ORDENES'!$W902="","-",'ORDENES'!$W902))</f>
        <v/>
      </c>
      <c r="G924" s="3">
        <f>IF('ORDENES'!$A902="","",IF('ORDENES'!$AB902="","-",'ORDENES'!$AB902))</f>
        <v/>
      </c>
      <c r="H924" s="3">
        <f>IF('ORDENES'!$A902="","",IF('ORDENES'!$AN902="","-",'ORDENES'!$AN902))</f>
        <v/>
      </c>
      <c r="I924" s="3">
        <f>IF('ORDENES'!$A902="","",IF('ORDENES'!$D902="","-",'ORDENES'!$D902))</f>
        <v/>
      </c>
      <c r="J924" s="3">
        <f>IF('ORDENES'!$A902="","",IF('ORDENES'!$E902="","-",'ORDENES'!$E902))</f>
        <v/>
      </c>
      <c r="K924" s="12">
        <f>IF('ORDENES'!$A902="","",IF('ORDENES'!$M902="",0,'ORDENES'!$M902))</f>
        <v/>
      </c>
      <c r="L924" s="3">
        <f>IF('ORDENES'!$A902="","",IF('ORDENES'!$N902="","-",'ORDENES'!$N902))</f>
        <v/>
      </c>
      <c r="M924" s="3">
        <f>IF('ORDENES'!$A902="","",'ORDENES'!$AA902)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IF('ORDENES'!$A903="","",IF('ORDENES'!$AC903="","-",'ORDENES'!$AC903))</f>
        <v/>
      </c>
      <c r="D925" s="3">
        <f>IF('ORDENES'!$A903="","",IF('ORDENES'!$V903="","-",'ORDENES'!$V903))</f>
        <v/>
      </c>
      <c r="E925" s="3">
        <f>IF('ORDENES'!$A903="","",IF('ORDENES'!$U903="","-",'ORDENES'!$U903))</f>
        <v/>
      </c>
      <c r="F925" s="3">
        <f>IF('ORDENES'!$A903="","",IF('ORDENES'!$W903="","-",'ORDENES'!$W903))</f>
        <v/>
      </c>
      <c r="G925" s="3">
        <f>IF('ORDENES'!$A903="","",IF('ORDENES'!$AB903="","-",'ORDENES'!$AB903))</f>
        <v/>
      </c>
      <c r="H925" s="3">
        <f>IF('ORDENES'!$A903="","",IF('ORDENES'!$AN903="","-",'ORDENES'!$AN903))</f>
        <v/>
      </c>
      <c r="I925" s="3">
        <f>IF('ORDENES'!$A903="","",IF('ORDENES'!$D903="","-",'ORDENES'!$D903))</f>
        <v/>
      </c>
      <c r="J925" s="3">
        <f>IF('ORDENES'!$A903="","",IF('ORDENES'!$E903="","-",'ORDENES'!$E903))</f>
        <v/>
      </c>
      <c r="K925" s="12">
        <f>IF('ORDENES'!$A903="","",IF('ORDENES'!$M903="",0,'ORDENES'!$M903))</f>
        <v/>
      </c>
      <c r="L925" s="3">
        <f>IF('ORDENES'!$A903="","",IF('ORDENES'!$N903="","-",'ORDENES'!$N903))</f>
        <v/>
      </c>
      <c r="M925" s="3">
        <f>IF('ORDENES'!$A903="","",'ORDENES'!$AA903)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IF('ORDENES'!$A904="","",IF('ORDENES'!$AC904="","-",'ORDENES'!$AC904))</f>
        <v/>
      </c>
      <c r="D926" s="3">
        <f>IF('ORDENES'!$A904="","",IF('ORDENES'!$V904="","-",'ORDENES'!$V904))</f>
        <v/>
      </c>
      <c r="E926" s="3">
        <f>IF('ORDENES'!$A904="","",IF('ORDENES'!$U904="","-",'ORDENES'!$U904))</f>
        <v/>
      </c>
      <c r="F926" s="3">
        <f>IF('ORDENES'!$A904="","",IF('ORDENES'!$W904="","-",'ORDENES'!$W904))</f>
        <v/>
      </c>
      <c r="G926" s="3">
        <f>IF('ORDENES'!$A904="","",IF('ORDENES'!$AB904="","-",'ORDENES'!$AB904))</f>
        <v/>
      </c>
      <c r="H926" s="3">
        <f>IF('ORDENES'!$A904="","",IF('ORDENES'!$AN904="","-",'ORDENES'!$AN904))</f>
        <v/>
      </c>
      <c r="I926" s="3">
        <f>IF('ORDENES'!$A904="","",IF('ORDENES'!$D904="","-",'ORDENES'!$D904))</f>
        <v/>
      </c>
      <c r="J926" s="3">
        <f>IF('ORDENES'!$A904="","",IF('ORDENES'!$E904="","-",'ORDENES'!$E904))</f>
        <v/>
      </c>
      <c r="K926" s="12">
        <f>IF('ORDENES'!$A904="","",IF('ORDENES'!$M904="",0,'ORDENES'!$M904))</f>
        <v/>
      </c>
      <c r="L926" s="3">
        <f>IF('ORDENES'!$A904="","",IF('ORDENES'!$N904="","-",'ORDENES'!$N904))</f>
        <v/>
      </c>
      <c r="M926" s="3">
        <f>IF('ORDENES'!$A904="","",'ORDENES'!$AA904)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IF('ORDENES'!$A905="","",IF('ORDENES'!$AC905="","-",'ORDENES'!$AC905))</f>
        <v/>
      </c>
      <c r="D927" s="3">
        <f>IF('ORDENES'!$A905="","",IF('ORDENES'!$V905="","-",'ORDENES'!$V905))</f>
        <v/>
      </c>
      <c r="E927" s="3">
        <f>IF('ORDENES'!$A905="","",IF('ORDENES'!$U905="","-",'ORDENES'!$U905))</f>
        <v/>
      </c>
      <c r="F927" s="3">
        <f>IF('ORDENES'!$A905="","",IF('ORDENES'!$W905="","-",'ORDENES'!$W905))</f>
        <v/>
      </c>
      <c r="G927" s="3">
        <f>IF('ORDENES'!$A905="","",IF('ORDENES'!$AB905="","-",'ORDENES'!$AB905))</f>
        <v/>
      </c>
      <c r="H927" s="3">
        <f>IF('ORDENES'!$A905="","",IF('ORDENES'!$AN905="","-",'ORDENES'!$AN905))</f>
        <v/>
      </c>
      <c r="I927" s="3">
        <f>IF('ORDENES'!$A905="","",IF('ORDENES'!$D905="","-",'ORDENES'!$D905))</f>
        <v/>
      </c>
      <c r="J927" s="3">
        <f>IF('ORDENES'!$A905="","",IF('ORDENES'!$E905="","-",'ORDENES'!$E905))</f>
        <v/>
      </c>
      <c r="K927" s="12">
        <f>IF('ORDENES'!$A905="","",IF('ORDENES'!$M905="",0,'ORDENES'!$M905))</f>
        <v/>
      </c>
      <c r="L927" s="3">
        <f>IF('ORDENES'!$A905="","",IF('ORDENES'!$N905="","-",'ORDENES'!$N905))</f>
        <v/>
      </c>
      <c r="M927" s="3">
        <f>IF('ORDENES'!$A905="","",'ORDENES'!$AA905)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IF('ORDENES'!$A906="","",IF('ORDENES'!$AC906="","-",'ORDENES'!$AC906))</f>
        <v/>
      </c>
      <c r="D928" s="3">
        <f>IF('ORDENES'!$A906="","",IF('ORDENES'!$V906="","-",'ORDENES'!$V906))</f>
        <v/>
      </c>
      <c r="E928" s="3">
        <f>IF('ORDENES'!$A906="","",IF('ORDENES'!$U906="","-",'ORDENES'!$U906))</f>
        <v/>
      </c>
      <c r="F928" s="3">
        <f>IF('ORDENES'!$A906="","",IF('ORDENES'!$W906="","-",'ORDENES'!$W906))</f>
        <v/>
      </c>
      <c r="G928" s="3">
        <f>IF('ORDENES'!$A906="","",IF('ORDENES'!$AB906="","-",'ORDENES'!$AB906))</f>
        <v/>
      </c>
      <c r="H928" s="3">
        <f>IF('ORDENES'!$A906="","",IF('ORDENES'!$AN906="","-",'ORDENES'!$AN906))</f>
        <v/>
      </c>
      <c r="I928" s="3">
        <f>IF('ORDENES'!$A906="","",IF('ORDENES'!$D906="","-",'ORDENES'!$D906))</f>
        <v/>
      </c>
      <c r="J928" s="3">
        <f>IF('ORDENES'!$A906="","",IF('ORDENES'!$E906="","-",'ORDENES'!$E906))</f>
        <v/>
      </c>
      <c r="K928" s="12">
        <f>IF('ORDENES'!$A906="","",IF('ORDENES'!$M906="",0,'ORDENES'!$M906))</f>
        <v/>
      </c>
      <c r="L928" s="3">
        <f>IF('ORDENES'!$A906="","",IF('ORDENES'!$N906="","-",'ORDENES'!$N906))</f>
        <v/>
      </c>
      <c r="M928" s="3">
        <f>IF('ORDENES'!$A906="","",'ORDENES'!$AA906)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IF('ORDENES'!$A907="","",IF('ORDENES'!$AC907="","-",'ORDENES'!$AC907))</f>
        <v/>
      </c>
      <c r="D929" s="3">
        <f>IF('ORDENES'!$A907="","",IF('ORDENES'!$V907="","-",'ORDENES'!$V907))</f>
        <v/>
      </c>
      <c r="E929" s="3">
        <f>IF('ORDENES'!$A907="","",IF('ORDENES'!$U907="","-",'ORDENES'!$U907))</f>
        <v/>
      </c>
      <c r="F929" s="3">
        <f>IF('ORDENES'!$A907="","",IF('ORDENES'!$W907="","-",'ORDENES'!$W907))</f>
        <v/>
      </c>
      <c r="G929" s="3">
        <f>IF('ORDENES'!$A907="","",IF('ORDENES'!$AB907="","-",'ORDENES'!$AB907))</f>
        <v/>
      </c>
      <c r="H929" s="3">
        <f>IF('ORDENES'!$A907="","",IF('ORDENES'!$AN907="","-",'ORDENES'!$AN907))</f>
        <v/>
      </c>
      <c r="I929" s="3">
        <f>IF('ORDENES'!$A907="","",IF('ORDENES'!$D907="","-",'ORDENES'!$D907))</f>
        <v/>
      </c>
      <c r="J929" s="3">
        <f>IF('ORDENES'!$A907="","",IF('ORDENES'!$E907="","-",'ORDENES'!$E907))</f>
        <v/>
      </c>
      <c r="K929" s="12">
        <f>IF('ORDENES'!$A907="","",IF('ORDENES'!$M907="",0,'ORDENES'!$M907))</f>
        <v/>
      </c>
      <c r="L929" s="3">
        <f>IF('ORDENES'!$A907="","",IF('ORDENES'!$N907="","-",'ORDENES'!$N907))</f>
        <v/>
      </c>
      <c r="M929" s="3">
        <f>IF('ORDENES'!$A907="","",'ORDENES'!$AA907)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IF('ORDENES'!$A908="","",IF('ORDENES'!$AC908="","-",'ORDENES'!$AC908))</f>
        <v/>
      </c>
      <c r="D930" s="3">
        <f>IF('ORDENES'!$A908="","",IF('ORDENES'!$V908="","-",'ORDENES'!$V908))</f>
        <v/>
      </c>
      <c r="E930" s="3">
        <f>IF('ORDENES'!$A908="","",IF('ORDENES'!$U908="","-",'ORDENES'!$U908))</f>
        <v/>
      </c>
      <c r="F930" s="3">
        <f>IF('ORDENES'!$A908="","",IF('ORDENES'!$W908="","-",'ORDENES'!$W908))</f>
        <v/>
      </c>
      <c r="G930" s="3">
        <f>IF('ORDENES'!$A908="","",IF('ORDENES'!$AB908="","-",'ORDENES'!$AB908))</f>
        <v/>
      </c>
      <c r="H930" s="3">
        <f>IF('ORDENES'!$A908="","",IF('ORDENES'!$AN908="","-",'ORDENES'!$AN908))</f>
        <v/>
      </c>
      <c r="I930" s="3">
        <f>IF('ORDENES'!$A908="","",IF('ORDENES'!$D908="","-",'ORDENES'!$D908))</f>
        <v/>
      </c>
      <c r="J930" s="3">
        <f>IF('ORDENES'!$A908="","",IF('ORDENES'!$E908="","-",'ORDENES'!$E908))</f>
        <v/>
      </c>
      <c r="K930" s="12">
        <f>IF('ORDENES'!$A908="","",IF('ORDENES'!$M908="",0,'ORDENES'!$M908))</f>
        <v/>
      </c>
      <c r="L930" s="3">
        <f>IF('ORDENES'!$A908="","",IF('ORDENES'!$N908="","-",'ORDENES'!$N908))</f>
        <v/>
      </c>
      <c r="M930" s="3">
        <f>IF('ORDENES'!$A908="","",'ORDENES'!$AA908)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IF('ORDENES'!$A909="","",IF('ORDENES'!$AC909="","-",'ORDENES'!$AC909))</f>
        <v/>
      </c>
      <c r="D931" s="3">
        <f>IF('ORDENES'!$A909="","",IF('ORDENES'!$V909="","-",'ORDENES'!$V909))</f>
        <v/>
      </c>
      <c r="E931" s="3">
        <f>IF('ORDENES'!$A909="","",IF('ORDENES'!$U909="","-",'ORDENES'!$U909))</f>
        <v/>
      </c>
      <c r="F931" s="3">
        <f>IF('ORDENES'!$A909="","",IF('ORDENES'!$W909="","-",'ORDENES'!$W909))</f>
        <v/>
      </c>
      <c r="G931" s="3">
        <f>IF('ORDENES'!$A909="","",IF('ORDENES'!$AB909="","-",'ORDENES'!$AB909))</f>
        <v/>
      </c>
      <c r="H931" s="3">
        <f>IF('ORDENES'!$A909="","",IF('ORDENES'!$AN909="","-",'ORDENES'!$AN909))</f>
        <v/>
      </c>
      <c r="I931" s="3">
        <f>IF('ORDENES'!$A909="","",IF('ORDENES'!$D909="","-",'ORDENES'!$D909))</f>
        <v/>
      </c>
      <c r="J931" s="3">
        <f>IF('ORDENES'!$A909="","",IF('ORDENES'!$E909="","-",'ORDENES'!$E909))</f>
        <v/>
      </c>
      <c r="K931" s="12">
        <f>IF('ORDENES'!$A909="","",IF('ORDENES'!$M909="",0,'ORDENES'!$M909))</f>
        <v/>
      </c>
      <c r="L931" s="3">
        <f>IF('ORDENES'!$A909="","",IF('ORDENES'!$N909="","-",'ORDENES'!$N909))</f>
        <v/>
      </c>
      <c r="M931" s="3">
        <f>IF('ORDENES'!$A909="","",'ORDENES'!$AA909)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IF('ORDENES'!$A910="","",IF('ORDENES'!$AC910="","-",'ORDENES'!$AC910))</f>
        <v/>
      </c>
      <c r="D932" s="3">
        <f>IF('ORDENES'!$A910="","",IF('ORDENES'!$V910="","-",'ORDENES'!$V910))</f>
        <v/>
      </c>
      <c r="E932" s="3">
        <f>IF('ORDENES'!$A910="","",IF('ORDENES'!$U910="","-",'ORDENES'!$U910))</f>
        <v/>
      </c>
      <c r="F932" s="3">
        <f>IF('ORDENES'!$A910="","",IF('ORDENES'!$W910="","-",'ORDENES'!$W910))</f>
        <v/>
      </c>
      <c r="G932" s="3">
        <f>IF('ORDENES'!$A910="","",IF('ORDENES'!$AB910="","-",'ORDENES'!$AB910))</f>
        <v/>
      </c>
      <c r="H932" s="3">
        <f>IF('ORDENES'!$A910="","",IF('ORDENES'!$AN910="","-",'ORDENES'!$AN910))</f>
        <v/>
      </c>
      <c r="I932" s="3">
        <f>IF('ORDENES'!$A910="","",IF('ORDENES'!$D910="","-",'ORDENES'!$D910))</f>
        <v/>
      </c>
      <c r="J932" s="3">
        <f>IF('ORDENES'!$A910="","",IF('ORDENES'!$E910="","-",'ORDENES'!$E910))</f>
        <v/>
      </c>
      <c r="K932" s="12">
        <f>IF('ORDENES'!$A910="","",IF('ORDENES'!$M910="",0,'ORDENES'!$M910))</f>
        <v/>
      </c>
      <c r="L932" s="3">
        <f>IF('ORDENES'!$A910="","",IF('ORDENES'!$N910="","-",'ORDENES'!$N910))</f>
        <v/>
      </c>
      <c r="M932" s="3">
        <f>IF('ORDENES'!$A910="","",'ORDENES'!$AA910)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IF('ORDENES'!$A911="","",IF('ORDENES'!$AC911="","-",'ORDENES'!$AC911))</f>
        <v/>
      </c>
      <c r="D933" s="3">
        <f>IF('ORDENES'!$A911="","",IF('ORDENES'!$V911="","-",'ORDENES'!$V911))</f>
        <v/>
      </c>
      <c r="E933" s="3">
        <f>IF('ORDENES'!$A911="","",IF('ORDENES'!$U911="","-",'ORDENES'!$U911))</f>
        <v/>
      </c>
      <c r="F933" s="3">
        <f>IF('ORDENES'!$A911="","",IF('ORDENES'!$W911="","-",'ORDENES'!$W911))</f>
        <v/>
      </c>
      <c r="G933" s="3">
        <f>IF('ORDENES'!$A911="","",IF('ORDENES'!$AB911="","-",'ORDENES'!$AB911))</f>
        <v/>
      </c>
      <c r="H933" s="3">
        <f>IF('ORDENES'!$A911="","",IF('ORDENES'!$AN911="","-",'ORDENES'!$AN911))</f>
        <v/>
      </c>
      <c r="I933" s="3">
        <f>IF('ORDENES'!$A911="","",IF('ORDENES'!$D911="","-",'ORDENES'!$D911))</f>
        <v/>
      </c>
      <c r="J933" s="3">
        <f>IF('ORDENES'!$A911="","",IF('ORDENES'!$E911="","-",'ORDENES'!$E911))</f>
        <v/>
      </c>
      <c r="K933" s="12">
        <f>IF('ORDENES'!$A911="","",IF('ORDENES'!$M911="",0,'ORDENES'!$M911))</f>
        <v/>
      </c>
      <c r="L933" s="3">
        <f>IF('ORDENES'!$A911="","",IF('ORDENES'!$N911="","-",'ORDENES'!$N911))</f>
        <v/>
      </c>
      <c r="M933" s="3">
        <f>IF('ORDENES'!$A911="","",'ORDENES'!$AA911)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IF('ORDENES'!$A912="","",IF('ORDENES'!$AC912="","-",'ORDENES'!$AC912))</f>
        <v/>
      </c>
      <c r="D934" s="3">
        <f>IF('ORDENES'!$A912="","",IF('ORDENES'!$V912="","-",'ORDENES'!$V912))</f>
        <v/>
      </c>
      <c r="E934" s="3">
        <f>IF('ORDENES'!$A912="","",IF('ORDENES'!$U912="","-",'ORDENES'!$U912))</f>
        <v/>
      </c>
      <c r="F934" s="3">
        <f>IF('ORDENES'!$A912="","",IF('ORDENES'!$W912="","-",'ORDENES'!$W912))</f>
        <v/>
      </c>
      <c r="G934" s="3">
        <f>IF('ORDENES'!$A912="","",IF('ORDENES'!$AB912="","-",'ORDENES'!$AB912))</f>
        <v/>
      </c>
      <c r="H934" s="3">
        <f>IF('ORDENES'!$A912="","",IF('ORDENES'!$AN912="","-",'ORDENES'!$AN912))</f>
        <v/>
      </c>
      <c r="I934" s="3">
        <f>IF('ORDENES'!$A912="","",IF('ORDENES'!$D912="","-",'ORDENES'!$D912))</f>
        <v/>
      </c>
      <c r="J934" s="3">
        <f>IF('ORDENES'!$A912="","",IF('ORDENES'!$E912="","-",'ORDENES'!$E912))</f>
        <v/>
      </c>
      <c r="K934" s="12">
        <f>IF('ORDENES'!$A912="","",IF('ORDENES'!$M912="",0,'ORDENES'!$M912))</f>
        <v/>
      </c>
      <c r="L934" s="3">
        <f>IF('ORDENES'!$A912="","",IF('ORDENES'!$N912="","-",'ORDENES'!$N912))</f>
        <v/>
      </c>
      <c r="M934" s="3">
        <f>IF('ORDENES'!$A912="","",'ORDENES'!$AA912)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IF('ORDENES'!$A913="","",IF('ORDENES'!$AC913="","-",'ORDENES'!$AC913))</f>
        <v/>
      </c>
      <c r="D935" s="3">
        <f>IF('ORDENES'!$A913="","",IF('ORDENES'!$V913="","-",'ORDENES'!$V913))</f>
        <v/>
      </c>
      <c r="E935" s="3">
        <f>IF('ORDENES'!$A913="","",IF('ORDENES'!$U913="","-",'ORDENES'!$U913))</f>
        <v/>
      </c>
      <c r="F935" s="3">
        <f>IF('ORDENES'!$A913="","",IF('ORDENES'!$W913="","-",'ORDENES'!$W913))</f>
        <v/>
      </c>
      <c r="G935" s="3">
        <f>IF('ORDENES'!$A913="","",IF('ORDENES'!$AB913="","-",'ORDENES'!$AB913))</f>
        <v/>
      </c>
      <c r="H935" s="3">
        <f>IF('ORDENES'!$A913="","",IF('ORDENES'!$AN913="","-",'ORDENES'!$AN913))</f>
        <v/>
      </c>
      <c r="I935" s="3">
        <f>IF('ORDENES'!$A913="","",IF('ORDENES'!$D913="","-",'ORDENES'!$D913))</f>
        <v/>
      </c>
      <c r="J935" s="3">
        <f>IF('ORDENES'!$A913="","",IF('ORDENES'!$E913="","-",'ORDENES'!$E913))</f>
        <v/>
      </c>
      <c r="K935" s="12">
        <f>IF('ORDENES'!$A913="","",IF('ORDENES'!$M913="",0,'ORDENES'!$M913))</f>
        <v/>
      </c>
      <c r="L935" s="3">
        <f>IF('ORDENES'!$A913="","",IF('ORDENES'!$N913="","-",'ORDENES'!$N913))</f>
        <v/>
      </c>
      <c r="M935" s="3">
        <f>IF('ORDENES'!$A913="","",'ORDENES'!$AA913)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IF('ORDENES'!$A914="","",IF('ORDENES'!$AC914="","-",'ORDENES'!$AC914))</f>
        <v/>
      </c>
      <c r="D936" s="3">
        <f>IF('ORDENES'!$A914="","",IF('ORDENES'!$V914="","-",'ORDENES'!$V914))</f>
        <v/>
      </c>
      <c r="E936" s="3">
        <f>IF('ORDENES'!$A914="","",IF('ORDENES'!$U914="","-",'ORDENES'!$U914))</f>
        <v/>
      </c>
      <c r="F936" s="3">
        <f>IF('ORDENES'!$A914="","",IF('ORDENES'!$W914="","-",'ORDENES'!$W914))</f>
        <v/>
      </c>
      <c r="G936" s="3">
        <f>IF('ORDENES'!$A914="","",IF('ORDENES'!$AB914="","-",'ORDENES'!$AB914))</f>
        <v/>
      </c>
      <c r="H936" s="3">
        <f>IF('ORDENES'!$A914="","",IF('ORDENES'!$AN914="","-",'ORDENES'!$AN914))</f>
        <v/>
      </c>
      <c r="I936" s="3">
        <f>IF('ORDENES'!$A914="","",IF('ORDENES'!$D914="","-",'ORDENES'!$D914))</f>
        <v/>
      </c>
      <c r="J936" s="3">
        <f>IF('ORDENES'!$A914="","",IF('ORDENES'!$E914="","-",'ORDENES'!$E914))</f>
        <v/>
      </c>
      <c r="K936" s="12">
        <f>IF('ORDENES'!$A914="","",IF('ORDENES'!$M914="",0,'ORDENES'!$M914))</f>
        <v/>
      </c>
      <c r="L936" s="3">
        <f>IF('ORDENES'!$A914="","",IF('ORDENES'!$N914="","-",'ORDENES'!$N914))</f>
        <v/>
      </c>
      <c r="M936" s="3">
        <f>IF('ORDENES'!$A914="","",'ORDENES'!$AA914)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IF('ORDENES'!$A915="","",IF('ORDENES'!$AC915="","-",'ORDENES'!$AC915))</f>
        <v/>
      </c>
      <c r="D937" s="3">
        <f>IF('ORDENES'!$A915="","",IF('ORDENES'!$V915="","-",'ORDENES'!$V915))</f>
        <v/>
      </c>
      <c r="E937" s="3">
        <f>IF('ORDENES'!$A915="","",IF('ORDENES'!$U915="","-",'ORDENES'!$U915))</f>
        <v/>
      </c>
      <c r="F937" s="3">
        <f>IF('ORDENES'!$A915="","",IF('ORDENES'!$W915="","-",'ORDENES'!$W915))</f>
        <v/>
      </c>
      <c r="G937" s="3">
        <f>IF('ORDENES'!$A915="","",IF('ORDENES'!$AB915="","-",'ORDENES'!$AB915))</f>
        <v/>
      </c>
      <c r="H937" s="3">
        <f>IF('ORDENES'!$A915="","",IF('ORDENES'!$AN915="","-",'ORDENES'!$AN915))</f>
        <v/>
      </c>
      <c r="I937" s="3">
        <f>IF('ORDENES'!$A915="","",IF('ORDENES'!$D915="","-",'ORDENES'!$D915))</f>
        <v/>
      </c>
      <c r="J937" s="3">
        <f>IF('ORDENES'!$A915="","",IF('ORDENES'!$E915="","-",'ORDENES'!$E915))</f>
        <v/>
      </c>
      <c r="K937" s="12">
        <f>IF('ORDENES'!$A915="","",IF('ORDENES'!$M915="",0,'ORDENES'!$M915))</f>
        <v/>
      </c>
      <c r="L937" s="3">
        <f>IF('ORDENES'!$A915="","",IF('ORDENES'!$N915="","-",'ORDENES'!$N915))</f>
        <v/>
      </c>
      <c r="M937" s="3">
        <f>IF('ORDENES'!$A915="","",'ORDENES'!$AA915)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IF('ORDENES'!$A916="","",IF('ORDENES'!$AC916="","-",'ORDENES'!$AC916))</f>
        <v/>
      </c>
      <c r="D938" s="3">
        <f>IF('ORDENES'!$A916="","",IF('ORDENES'!$V916="","-",'ORDENES'!$V916))</f>
        <v/>
      </c>
      <c r="E938" s="3">
        <f>IF('ORDENES'!$A916="","",IF('ORDENES'!$U916="","-",'ORDENES'!$U916))</f>
        <v/>
      </c>
      <c r="F938" s="3">
        <f>IF('ORDENES'!$A916="","",IF('ORDENES'!$W916="","-",'ORDENES'!$W916))</f>
        <v/>
      </c>
      <c r="G938" s="3">
        <f>IF('ORDENES'!$A916="","",IF('ORDENES'!$AB916="","-",'ORDENES'!$AB916))</f>
        <v/>
      </c>
      <c r="H938" s="3">
        <f>IF('ORDENES'!$A916="","",IF('ORDENES'!$AN916="","-",'ORDENES'!$AN916))</f>
        <v/>
      </c>
      <c r="I938" s="3">
        <f>IF('ORDENES'!$A916="","",IF('ORDENES'!$D916="","-",'ORDENES'!$D916))</f>
        <v/>
      </c>
      <c r="J938" s="3">
        <f>IF('ORDENES'!$A916="","",IF('ORDENES'!$E916="","-",'ORDENES'!$E916))</f>
        <v/>
      </c>
      <c r="K938" s="12">
        <f>IF('ORDENES'!$A916="","",IF('ORDENES'!$M916="",0,'ORDENES'!$M916))</f>
        <v/>
      </c>
      <c r="L938" s="3">
        <f>IF('ORDENES'!$A916="","",IF('ORDENES'!$N916="","-",'ORDENES'!$N916))</f>
        <v/>
      </c>
      <c r="M938" s="3">
        <f>IF('ORDENES'!$A916="","",'ORDENES'!$AA916)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IF('ORDENES'!$A917="","",IF('ORDENES'!$AC917="","-",'ORDENES'!$AC917))</f>
        <v/>
      </c>
      <c r="D939" s="3">
        <f>IF('ORDENES'!$A917="","",IF('ORDENES'!$V917="","-",'ORDENES'!$V917))</f>
        <v/>
      </c>
      <c r="E939" s="3">
        <f>IF('ORDENES'!$A917="","",IF('ORDENES'!$U917="","-",'ORDENES'!$U917))</f>
        <v/>
      </c>
      <c r="F939" s="3">
        <f>IF('ORDENES'!$A917="","",IF('ORDENES'!$W917="","-",'ORDENES'!$W917))</f>
        <v/>
      </c>
      <c r="G939" s="3">
        <f>IF('ORDENES'!$A917="","",IF('ORDENES'!$AB917="","-",'ORDENES'!$AB917))</f>
        <v/>
      </c>
      <c r="H939" s="3">
        <f>IF('ORDENES'!$A917="","",IF('ORDENES'!$AN917="","-",'ORDENES'!$AN917))</f>
        <v/>
      </c>
      <c r="I939" s="3">
        <f>IF('ORDENES'!$A917="","",IF('ORDENES'!$D917="","-",'ORDENES'!$D917))</f>
        <v/>
      </c>
      <c r="J939" s="3">
        <f>IF('ORDENES'!$A917="","",IF('ORDENES'!$E917="","-",'ORDENES'!$E917))</f>
        <v/>
      </c>
      <c r="K939" s="12">
        <f>IF('ORDENES'!$A917="","",IF('ORDENES'!$M917="",0,'ORDENES'!$M917))</f>
        <v/>
      </c>
      <c r="L939" s="3">
        <f>IF('ORDENES'!$A917="","",IF('ORDENES'!$N917="","-",'ORDENES'!$N917))</f>
        <v/>
      </c>
      <c r="M939" s="3">
        <f>IF('ORDENES'!$A917="","",'ORDENES'!$AA917)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IF('ORDENES'!$A918="","",IF('ORDENES'!$AC918="","-",'ORDENES'!$AC918))</f>
        <v/>
      </c>
      <c r="D940" s="3">
        <f>IF('ORDENES'!$A918="","",IF('ORDENES'!$V918="","-",'ORDENES'!$V918))</f>
        <v/>
      </c>
      <c r="E940" s="3">
        <f>IF('ORDENES'!$A918="","",IF('ORDENES'!$U918="","-",'ORDENES'!$U918))</f>
        <v/>
      </c>
      <c r="F940" s="3">
        <f>IF('ORDENES'!$A918="","",IF('ORDENES'!$W918="","-",'ORDENES'!$W918))</f>
        <v/>
      </c>
      <c r="G940" s="3">
        <f>IF('ORDENES'!$A918="","",IF('ORDENES'!$AB918="","-",'ORDENES'!$AB918))</f>
        <v/>
      </c>
      <c r="H940" s="3">
        <f>IF('ORDENES'!$A918="","",IF('ORDENES'!$AN918="","-",'ORDENES'!$AN918))</f>
        <v/>
      </c>
      <c r="I940" s="3">
        <f>IF('ORDENES'!$A918="","",IF('ORDENES'!$D918="","-",'ORDENES'!$D918))</f>
        <v/>
      </c>
      <c r="J940" s="3">
        <f>IF('ORDENES'!$A918="","",IF('ORDENES'!$E918="","-",'ORDENES'!$E918))</f>
        <v/>
      </c>
      <c r="K940" s="12">
        <f>IF('ORDENES'!$A918="","",IF('ORDENES'!$M918="",0,'ORDENES'!$M918))</f>
        <v/>
      </c>
      <c r="L940" s="3">
        <f>IF('ORDENES'!$A918="","",IF('ORDENES'!$N918="","-",'ORDENES'!$N918))</f>
        <v/>
      </c>
      <c r="M940" s="3">
        <f>IF('ORDENES'!$A918="","",'ORDENES'!$AA918)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IF('ORDENES'!$A919="","",IF('ORDENES'!$AC919="","-",'ORDENES'!$AC919))</f>
        <v/>
      </c>
      <c r="D941" s="3">
        <f>IF('ORDENES'!$A919="","",IF('ORDENES'!$V919="","-",'ORDENES'!$V919))</f>
        <v/>
      </c>
      <c r="E941" s="3">
        <f>IF('ORDENES'!$A919="","",IF('ORDENES'!$U919="","-",'ORDENES'!$U919))</f>
        <v/>
      </c>
      <c r="F941" s="3">
        <f>IF('ORDENES'!$A919="","",IF('ORDENES'!$W919="","-",'ORDENES'!$W919))</f>
        <v/>
      </c>
      <c r="G941" s="3">
        <f>IF('ORDENES'!$A919="","",IF('ORDENES'!$AB919="","-",'ORDENES'!$AB919))</f>
        <v/>
      </c>
      <c r="H941" s="3">
        <f>IF('ORDENES'!$A919="","",IF('ORDENES'!$AN919="","-",'ORDENES'!$AN919))</f>
        <v/>
      </c>
      <c r="I941" s="3">
        <f>IF('ORDENES'!$A919="","",IF('ORDENES'!$D919="","-",'ORDENES'!$D919))</f>
        <v/>
      </c>
      <c r="J941" s="3">
        <f>IF('ORDENES'!$A919="","",IF('ORDENES'!$E919="","-",'ORDENES'!$E919))</f>
        <v/>
      </c>
      <c r="K941" s="12">
        <f>IF('ORDENES'!$A919="","",IF('ORDENES'!$M919="",0,'ORDENES'!$M919))</f>
        <v/>
      </c>
      <c r="L941" s="3">
        <f>IF('ORDENES'!$A919="","",IF('ORDENES'!$N919="","-",'ORDENES'!$N919))</f>
        <v/>
      </c>
      <c r="M941" s="3">
        <f>IF('ORDENES'!$A919="","",'ORDENES'!$AA919)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IF('ORDENES'!$A920="","",IF('ORDENES'!$AC920="","-",'ORDENES'!$AC920))</f>
        <v/>
      </c>
      <c r="D942" s="3">
        <f>IF('ORDENES'!$A920="","",IF('ORDENES'!$V920="","-",'ORDENES'!$V920))</f>
        <v/>
      </c>
      <c r="E942" s="3">
        <f>IF('ORDENES'!$A920="","",IF('ORDENES'!$U920="","-",'ORDENES'!$U920))</f>
        <v/>
      </c>
      <c r="F942" s="3">
        <f>IF('ORDENES'!$A920="","",IF('ORDENES'!$W920="","-",'ORDENES'!$W920))</f>
        <v/>
      </c>
      <c r="G942" s="3">
        <f>IF('ORDENES'!$A920="","",IF('ORDENES'!$AB920="","-",'ORDENES'!$AB920))</f>
        <v/>
      </c>
      <c r="H942" s="3">
        <f>IF('ORDENES'!$A920="","",IF('ORDENES'!$AN920="","-",'ORDENES'!$AN920))</f>
        <v/>
      </c>
      <c r="I942" s="3">
        <f>IF('ORDENES'!$A920="","",IF('ORDENES'!$D920="","-",'ORDENES'!$D920))</f>
        <v/>
      </c>
      <c r="J942" s="3">
        <f>IF('ORDENES'!$A920="","",IF('ORDENES'!$E920="","-",'ORDENES'!$E920))</f>
        <v/>
      </c>
      <c r="K942" s="12">
        <f>IF('ORDENES'!$A920="","",IF('ORDENES'!$M920="",0,'ORDENES'!$M920))</f>
        <v/>
      </c>
      <c r="L942" s="3">
        <f>IF('ORDENES'!$A920="","",IF('ORDENES'!$N920="","-",'ORDENES'!$N920))</f>
        <v/>
      </c>
      <c r="M942" s="3">
        <f>IF('ORDENES'!$A920="","",'ORDENES'!$AA920)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IF('ORDENES'!$A921="","",IF('ORDENES'!$AC921="","-",'ORDENES'!$AC921))</f>
        <v/>
      </c>
      <c r="D943" s="3">
        <f>IF('ORDENES'!$A921="","",IF('ORDENES'!$V921="","-",'ORDENES'!$V921))</f>
        <v/>
      </c>
      <c r="E943" s="3">
        <f>IF('ORDENES'!$A921="","",IF('ORDENES'!$U921="","-",'ORDENES'!$U921))</f>
        <v/>
      </c>
      <c r="F943" s="3">
        <f>IF('ORDENES'!$A921="","",IF('ORDENES'!$W921="","-",'ORDENES'!$W921))</f>
        <v/>
      </c>
      <c r="G943" s="3">
        <f>IF('ORDENES'!$A921="","",IF('ORDENES'!$AB921="","-",'ORDENES'!$AB921))</f>
        <v/>
      </c>
      <c r="H943" s="3">
        <f>IF('ORDENES'!$A921="","",IF('ORDENES'!$AN921="","-",'ORDENES'!$AN921))</f>
        <v/>
      </c>
      <c r="I943" s="3">
        <f>IF('ORDENES'!$A921="","",IF('ORDENES'!$D921="","-",'ORDENES'!$D921))</f>
        <v/>
      </c>
      <c r="J943" s="3">
        <f>IF('ORDENES'!$A921="","",IF('ORDENES'!$E921="","-",'ORDENES'!$E921))</f>
        <v/>
      </c>
      <c r="K943" s="12">
        <f>IF('ORDENES'!$A921="","",IF('ORDENES'!$M921="",0,'ORDENES'!$M921))</f>
        <v/>
      </c>
      <c r="L943" s="3">
        <f>IF('ORDENES'!$A921="","",IF('ORDENES'!$N921="","-",'ORDENES'!$N921))</f>
        <v/>
      </c>
      <c r="M943" s="3">
        <f>IF('ORDENES'!$A921="","",'ORDENES'!$AA921)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IF('ORDENES'!$A922="","",IF('ORDENES'!$AC922="","-",'ORDENES'!$AC922))</f>
        <v/>
      </c>
      <c r="D944" s="3">
        <f>IF('ORDENES'!$A922="","",IF('ORDENES'!$V922="","-",'ORDENES'!$V922))</f>
        <v/>
      </c>
      <c r="E944" s="3">
        <f>IF('ORDENES'!$A922="","",IF('ORDENES'!$U922="","-",'ORDENES'!$U922))</f>
        <v/>
      </c>
      <c r="F944" s="3">
        <f>IF('ORDENES'!$A922="","",IF('ORDENES'!$W922="","-",'ORDENES'!$W922))</f>
        <v/>
      </c>
      <c r="G944" s="3">
        <f>IF('ORDENES'!$A922="","",IF('ORDENES'!$AB922="","-",'ORDENES'!$AB922))</f>
        <v/>
      </c>
      <c r="H944" s="3">
        <f>IF('ORDENES'!$A922="","",IF('ORDENES'!$AN922="","-",'ORDENES'!$AN922))</f>
        <v/>
      </c>
      <c r="I944" s="3">
        <f>IF('ORDENES'!$A922="","",IF('ORDENES'!$D922="","-",'ORDENES'!$D922))</f>
        <v/>
      </c>
      <c r="J944" s="3">
        <f>IF('ORDENES'!$A922="","",IF('ORDENES'!$E922="","-",'ORDENES'!$E922))</f>
        <v/>
      </c>
      <c r="K944" s="12">
        <f>IF('ORDENES'!$A922="","",IF('ORDENES'!$M922="",0,'ORDENES'!$M922))</f>
        <v/>
      </c>
      <c r="L944" s="3">
        <f>IF('ORDENES'!$A922="","",IF('ORDENES'!$N922="","-",'ORDENES'!$N922))</f>
        <v/>
      </c>
      <c r="M944" s="3">
        <f>IF('ORDENES'!$A922="","",'ORDENES'!$AA922)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IF('ORDENES'!$A923="","",IF('ORDENES'!$AC923="","-",'ORDENES'!$AC923))</f>
        <v/>
      </c>
      <c r="D945" s="3">
        <f>IF('ORDENES'!$A923="","",IF('ORDENES'!$V923="","-",'ORDENES'!$V923))</f>
        <v/>
      </c>
      <c r="E945" s="3">
        <f>IF('ORDENES'!$A923="","",IF('ORDENES'!$U923="","-",'ORDENES'!$U923))</f>
        <v/>
      </c>
      <c r="F945" s="3">
        <f>IF('ORDENES'!$A923="","",IF('ORDENES'!$W923="","-",'ORDENES'!$W923))</f>
        <v/>
      </c>
      <c r="G945" s="3">
        <f>IF('ORDENES'!$A923="","",IF('ORDENES'!$AB923="","-",'ORDENES'!$AB923))</f>
        <v/>
      </c>
      <c r="H945" s="3">
        <f>IF('ORDENES'!$A923="","",IF('ORDENES'!$AN923="","-",'ORDENES'!$AN923))</f>
        <v/>
      </c>
      <c r="I945" s="3">
        <f>IF('ORDENES'!$A923="","",IF('ORDENES'!$D923="","-",'ORDENES'!$D923))</f>
        <v/>
      </c>
      <c r="J945" s="3">
        <f>IF('ORDENES'!$A923="","",IF('ORDENES'!$E923="","-",'ORDENES'!$E923))</f>
        <v/>
      </c>
      <c r="K945" s="12">
        <f>IF('ORDENES'!$A923="","",IF('ORDENES'!$M923="",0,'ORDENES'!$M923))</f>
        <v/>
      </c>
      <c r="L945" s="3">
        <f>IF('ORDENES'!$A923="","",IF('ORDENES'!$N923="","-",'ORDENES'!$N923))</f>
        <v/>
      </c>
      <c r="M945" s="3">
        <f>IF('ORDENES'!$A923="","",'ORDENES'!$AA923)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IF('ORDENES'!$A924="","",IF('ORDENES'!$AC924="","-",'ORDENES'!$AC924))</f>
        <v/>
      </c>
      <c r="D946" s="3">
        <f>IF('ORDENES'!$A924="","",IF('ORDENES'!$V924="","-",'ORDENES'!$V924))</f>
        <v/>
      </c>
      <c r="E946" s="3">
        <f>IF('ORDENES'!$A924="","",IF('ORDENES'!$U924="","-",'ORDENES'!$U924))</f>
        <v/>
      </c>
      <c r="F946" s="3">
        <f>IF('ORDENES'!$A924="","",IF('ORDENES'!$W924="","-",'ORDENES'!$W924))</f>
        <v/>
      </c>
      <c r="G946" s="3">
        <f>IF('ORDENES'!$A924="","",IF('ORDENES'!$AB924="","-",'ORDENES'!$AB924))</f>
        <v/>
      </c>
      <c r="H946" s="3">
        <f>IF('ORDENES'!$A924="","",IF('ORDENES'!$AN924="","-",'ORDENES'!$AN924))</f>
        <v/>
      </c>
      <c r="I946" s="3">
        <f>IF('ORDENES'!$A924="","",IF('ORDENES'!$D924="","-",'ORDENES'!$D924))</f>
        <v/>
      </c>
      <c r="J946" s="3">
        <f>IF('ORDENES'!$A924="","",IF('ORDENES'!$E924="","-",'ORDENES'!$E924))</f>
        <v/>
      </c>
      <c r="K946" s="12">
        <f>IF('ORDENES'!$A924="","",IF('ORDENES'!$M924="",0,'ORDENES'!$M924))</f>
        <v/>
      </c>
      <c r="L946" s="3">
        <f>IF('ORDENES'!$A924="","",IF('ORDENES'!$N924="","-",'ORDENES'!$N924))</f>
        <v/>
      </c>
      <c r="M946" s="3">
        <f>IF('ORDENES'!$A924="","",'ORDENES'!$AA924)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IF('ORDENES'!$A925="","",IF('ORDENES'!$AC925="","-",'ORDENES'!$AC925))</f>
        <v/>
      </c>
      <c r="D947" s="3">
        <f>IF('ORDENES'!$A925="","",IF('ORDENES'!$V925="","-",'ORDENES'!$V925))</f>
        <v/>
      </c>
      <c r="E947" s="3">
        <f>IF('ORDENES'!$A925="","",IF('ORDENES'!$U925="","-",'ORDENES'!$U925))</f>
        <v/>
      </c>
      <c r="F947" s="3">
        <f>IF('ORDENES'!$A925="","",IF('ORDENES'!$W925="","-",'ORDENES'!$W925))</f>
        <v/>
      </c>
      <c r="G947" s="3">
        <f>IF('ORDENES'!$A925="","",IF('ORDENES'!$AB925="","-",'ORDENES'!$AB925))</f>
        <v/>
      </c>
      <c r="H947" s="3">
        <f>IF('ORDENES'!$A925="","",IF('ORDENES'!$AN925="","-",'ORDENES'!$AN925))</f>
        <v/>
      </c>
      <c r="I947" s="3">
        <f>IF('ORDENES'!$A925="","",IF('ORDENES'!$D925="","-",'ORDENES'!$D925))</f>
        <v/>
      </c>
      <c r="J947" s="3">
        <f>IF('ORDENES'!$A925="","",IF('ORDENES'!$E925="","-",'ORDENES'!$E925))</f>
        <v/>
      </c>
      <c r="K947" s="12">
        <f>IF('ORDENES'!$A925="","",IF('ORDENES'!$M925="",0,'ORDENES'!$M925))</f>
        <v/>
      </c>
      <c r="L947" s="3">
        <f>IF('ORDENES'!$A925="","",IF('ORDENES'!$N925="","-",'ORDENES'!$N925))</f>
        <v/>
      </c>
      <c r="M947" s="3">
        <f>IF('ORDENES'!$A925="","",'ORDENES'!$AA925)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IF('ORDENES'!$A926="","",IF('ORDENES'!$AC926="","-",'ORDENES'!$AC926))</f>
        <v/>
      </c>
      <c r="D948" s="3">
        <f>IF('ORDENES'!$A926="","",IF('ORDENES'!$V926="","-",'ORDENES'!$V926))</f>
        <v/>
      </c>
      <c r="E948" s="3">
        <f>IF('ORDENES'!$A926="","",IF('ORDENES'!$U926="","-",'ORDENES'!$U926))</f>
        <v/>
      </c>
      <c r="F948" s="3">
        <f>IF('ORDENES'!$A926="","",IF('ORDENES'!$W926="","-",'ORDENES'!$W926))</f>
        <v/>
      </c>
      <c r="G948" s="3">
        <f>IF('ORDENES'!$A926="","",IF('ORDENES'!$AB926="","-",'ORDENES'!$AB926))</f>
        <v/>
      </c>
      <c r="H948" s="3">
        <f>IF('ORDENES'!$A926="","",IF('ORDENES'!$AN926="","-",'ORDENES'!$AN926))</f>
        <v/>
      </c>
      <c r="I948" s="3">
        <f>IF('ORDENES'!$A926="","",IF('ORDENES'!$D926="","-",'ORDENES'!$D926))</f>
        <v/>
      </c>
      <c r="J948" s="3">
        <f>IF('ORDENES'!$A926="","",IF('ORDENES'!$E926="","-",'ORDENES'!$E926))</f>
        <v/>
      </c>
      <c r="K948" s="12">
        <f>IF('ORDENES'!$A926="","",IF('ORDENES'!$M926="",0,'ORDENES'!$M926))</f>
        <v/>
      </c>
      <c r="L948" s="3">
        <f>IF('ORDENES'!$A926="","",IF('ORDENES'!$N926="","-",'ORDENES'!$N926))</f>
        <v/>
      </c>
      <c r="M948" s="3">
        <f>IF('ORDENES'!$A926="","",'ORDENES'!$AA926)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IF('ORDENES'!$A927="","",IF('ORDENES'!$AC927="","-",'ORDENES'!$AC927))</f>
        <v/>
      </c>
      <c r="D949" s="3">
        <f>IF('ORDENES'!$A927="","",IF('ORDENES'!$V927="","-",'ORDENES'!$V927))</f>
        <v/>
      </c>
      <c r="E949" s="3">
        <f>IF('ORDENES'!$A927="","",IF('ORDENES'!$U927="","-",'ORDENES'!$U927))</f>
        <v/>
      </c>
      <c r="F949" s="3">
        <f>IF('ORDENES'!$A927="","",IF('ORDENES'!$W927="","-",'ORDENES'!$W927))</f>
        <v/>
      </c>
      <c r="G949" s="3">
        <f>IF('ORDENES'!$A927="","",IF('ORDENES'!$AB927="","-",'ORDENES'!$AB927))</f>
        <v/>
      </c>
      <c r="H949" s="3">
        <f>IF('ORDENES'!$A927="","",IF('ORDENES'!$AN927="","-",'ORDENES'!$AN927))</f>
        <v/>
      </c>
      <c r="I949" s="3">
        <f>IF('ORDENES'!$A927="","",IF('ORDENES'!$D927="","-",'ORDENES'!$D927))</f>
        <v/>
      </c>
      <c r="J949" s="3">
        <f>IF('ORDENES'!$A927="","",IF('ORDENES'!$E927="","-",'ORDENES'!$E927))</f>
        <v/>
      </c>
      <c r="K949" s="12">
        <f>IF('ORDENES'!$A927="","",IF('ORDENES'!$M927="",0,'ORDENES'!$M927))</f>
        <v/>
      </c>
      <c r="L949" s="3">
        <f>IF('ORDENES'!$A927="","",IF('ORDENES'!$N927="","-",'ORDENES'!$N927))</f>
        <v/>
      </c>
      <c r="M949" s="3">
        <f>IF('ORDENES'!$A927="","",'ORDENES'!$AA927)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IF('ORDENES'!$A928="","",IF('ORDENES'!$AC928="","-",'ORDENES'!$AC928))</f>
        <v/>
      </c>
      <c r="D950" s="3">
        <f>IF('ORDENES'!$A928="","",IF('ORDENES'!$V928="","-",'ORDENES'!$V928))</f>
        <v/>
      </c>
      <c r="E950" s="3">
        <f>IF('ORDENES'!$A928="","",IF('ORDENES'!$U928="","-",'ORDENES'!$U928))</f>
        <v/>
      </c>
      <c r="F950" s="3">
        <f>IF('ORDENES'!$A928="","",IF('ORDENES'!$W928="","-",'ORDENES'!$W928))</f>
        <v/>
      </c>
      <c r="G950" s="3">
        <f>IF('ORDENES'!$A928="","",IF('ORDENES'!$AB928="","-",'ORDENES'!$AB928))</f>
        <v/>
      </c>
      <c r="H950" s="3">
        <f>IF('ORDENES'!$A928="","",IF('ORDENES'!$AN928="","-",'ORDENES'!$AN928))</f>
        <v/>
      </c>
      <c r="I950" s="3">
        <f>IF('ORDENES'!$A928="","",IF('ORDENES'!$D928="","-",'ORDENES'!$D928))</f>
        <v/>
      </c>
      <c r="J950" s="3">
        <f>IF('ORDENES'!$A928="","",IF('ORDENES'!$E928="","-",'ORDENES'!$E928))</f>
        <v/>
      </c>
      <c r="K950" s="12">
        <f>IF('ORDENES'!$A928="","",IF('ORDENES'!$M928="",0,'ORDENES'!$M928))</f>
        <v/>
      </c>
      <c r="L950" s="3">
        <f>IF('ORDENES'!$A928="","",IF('ORDENES'!$N928="","-",'ORDENES'!$N928))</f>
        <v/>
      </c>
      <c r="M950" s="3">
        <f>IF('ORDENES'!$A928="","",'ORDENES'!$AA928)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IF('ORDENES'!$A929="","",IF('ORDENES'!$AC929="","-",'ORDENES'!$AC929))</f>
        <v/>
      </c>
      <c r="D951" s="3">
        <f>IF('ORDENES'!$A929="","",IF('ORDENES'!$V929="","-",'ORDENES'!$V929))</f>
        <v/>
      </c>
      <c r="E951" s="3">
        <f>IF('ORDENES'!$A929="","",IF('ORDENES'!$U929="","-",'ORDENES'!$U929))</f>
        <v/>
      </c>
      <c r="F951" s="3">
        <f>IF('ORDENES'!$A929="","",IF('ORDENES'!$W929="","-",'ORDENES'!$W929))</f>
        <v/>
      </c>
      <c r="G951" s="3">
        <f>IF('ORDENES'!$A929="","",IF('ORDENES'!$AB929="","-",'ORDENES'!$AB929))</f>
        <v/>
      </c>
      <c r="H951" s="3">
        <f>IF('ORDENES'!$A929="","",IF('ORDENES'!$AN929="","-",'ORDENES'!$AN929))</f>
        <v/>
      </c>
      <c r="I951" s="3">
        <f>IF('ORDENES'!$A929="","",IF('ORDENES'!$D929="","-",'ORDENES'!$D929))</f>
        <v/>
      </c>
      <c r="J951" s="3">
        <f>IF('ORDENES'!$A929="","",IF('ORDENES'!$E929="","-",'ORDENES'!$E929))</f>
        <v/>
      </c>
      <c r="K951" s="12">
        <f>IF('ORDENES'!$A929="","",IF('ORDENES'!$M929="",0,'ORDENES'!$M929))</f>
        <v/>
      </c>
      <c r="L951" s="3">
        <f>IF('ORDENES'!$A929="","",IF('ORDENES'!$N929="","-",'ORDENES'!$N929))</f>
        <v/>
      </c>
      <c r="M951" s="3">
        <f>IF('ORDENES'!$A929="","",'ORDENES'!$AA929)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IF('ORDENES'!$A930="","",IF('ORDENES'!$AC930="","-",'ORDENES'!$AC930))</f>
        <v/>
      </c>
      <c r="D952" s="3">
        <f>IF('ORDENES'!$A930="","",IF('ORDENES'!$V930="","-",'ORDENES'!$V930))</f>
        <v/>
      </c>
      <c r="E952" s="3">
        <f>IF('ORDENES'!$A930="","",IF('ORDENES'!$U930="","-",'ORDENES'!$U930))</f>
        <v/>
      </c>
      <c r="F952" s="3">
        <f>IF('ORDENES'!$A930="","",IF('ORDENES'!$W930="","-",'ORDENES'!$W930))</f>
        <v/>
      </c>
      <c r="G952" s="3">
        <f>IF('ORDENES'!$A930="","",IF('ORDENES'!$AB930="","-",'ORDENES'!$AB930))</f>
        <v/>
      </c>
      <c r="H952" s="3">
        <f>IF('ORDENES'!$A930="","",IF('ORDENES'!$AN930="","-",'ORDENES'!$AN930))</f>
        <v/>
      </c>
      <c r="I952" s="3">
        <f>IF('ORDENES'!$A930="","",IF('ORDENES'!$D930="","-",'ORDENES'!$D930))</f>
        <v/>
      </c>
      <c r="J952" s="3">
        <f>IF('ORDENES'!$A930="","",IF('ORDENES'!$E930="","-",'ORDENES'!$E930))</f>
        <v/>
      </c>
      <c r="K952" s="12">
        <f>IF('ORDENES'!$A930="","",IF('ORDENES'!$M930="",0,'ORDENES'!$M930))</f>
        <v/>
      </c>
      <c r="L952" s="3">
        <f>IF('ORDENES'!$A930="","",IF('ORDENES'!$N930="","-",'ORDENES'!$N930))</f>
        <v/>
      </c>
      <c r="M952" s="3">
        <f>IF('ORDENES'!$A930="","",'ORDENES'!$AA930)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IF('ORDENES'!$A931="","",IF('ORDENES'!$AC931="","-",'ORDENES'!$AC931))</f>
        <v/>
      </c>
      <c r="D953" s="3">
        <f>IF('ORDENES'!$A931="","",IF('ORDENES'!$V931="","-",'ORDENES'!$V931))</f>
        <v/>
      </c>
      <c r="E953" s="3">
        <f>IF('ORDENES'!$A931="","",IF('ORDENES'!$U931="","-",'ORDENES'!$U931))</f>
        <v/>
      </c>
      <c r="F953" s="3">
        <f>IF('ORDENES'!$A931="","",IF('ORDENES'!$W931="","-",'ORDENES'!$W931))</f>
        <v/>
      </c>
      <c r="G953" s="3">
        <f>IF('ORDENES'!$A931="","",IF('ORDENES'!$AB931="","-",'ORDENES'!$AB931))</f>
        <v/>
      </c>
      <c r="H953" s="3">
        <f>IF('ORDENES'!$A931="","",IF('ORDENES'!$AN931="","-",'ORDENES'!$AN931))</f>
        <v/>
      </c>
      <c r="I953" s="3">
        <f>IF('ORDENES'!$A931="","",IF('ORDENES'!$D931="","-",'ORDENES'!$D931))</f>
        <v/>
      </c>
      <c r="J953" s="3">
        <f>IF('ORDENES'!$A931="","",IF('ORDENES'!$E931="","-",'ORDENES'!$E931))</f>
        <v/>
      </c>
      <c r="K953" s="12">
        <f>IF('ORDENES'!$A931="","",IF('ORDENES'!$M931="",0,'ORDENES'!$M931))</f>
        <v/>
      </c>
      <c r="L953" s="3">
        <f>IF('ORDENES'!$A931="","",IF('ORDENES'!$N931="","-",'ORDENES'!$N931))</f>
        <v/>
      </c>
      <c r="M953" s="3">
        <f>IF('ORDENES'!$A931="","",'ORDENES'!$AA931)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IF('ORDENES'!$A932="","",IF('ORDENES'!$AC932="","-",'ORDENES'!$AC932))</f>
        <v/>
      </c>
      <c r="D954" s="3">
        <f>IF('ORDENES'!$A932="","",IF('ORDENES'!$V932="","-",'ORDENES'!$V932))</f>
        <v/>
      </c>
      <c r="E954" s="3">
        <f>IF('ORDENES'!$A932="","",IF('ORDENES'!$U932="","-",'ORDENES'!$U932))</f>
        <v/>
      </c>
      <c r="F954" s="3">
        <f>IF('ORDENES'!$A932="","",IF('ORDENES'!$W932="","-",'ORDENES'!$W932))</f>
        <v/>
      </c>
      <c r="G954" s="3">
        <f>IF('ORDENES'!$A932="","",IF('ORDENES'!$AB932="","-",'ORDENES'!$AB932))</f>
        <v/>
      </c>
      <c r="H954" s="3">
        <f>IF('ORDENES'!$A932="","",IF('ORDENES'!$AN932="","-",'ORDENES'!$AN932))</f>
        <v/>
      </c>
      <c r="I954" s="3">
        <f>IF('ORDENES'!$A932="","",IF('ORDENES'!$D932="","-",'ORDENES'!$D932))</f>
        <v/>
      </c>
      <c r="J954" s="3">
        <f>IF('ORDENES'!$A932="","",IF('ORDENES'!$E932="","-",'ORDENES'!$E932))</f>
        <v/>
      </c>
      <c r="K954" s="12">
        <f>IF('ORDENES'!$A932="","",IF('ORDENES'!$M932="",0,'ORDENES'!$M932))</f>
        <v/>
      </c>
      <c r="L954" s="3">
        <f>IF('ORDENES'!$A932="","",IF('ORDENES'!$N932="","-",'ORDENES'!$N932))</f>
        <v/>
      </c>
      <c r="M954" s="3">
        <f>IF('ORDENES'!$A932="","",'ORDENES'!$AA932)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IF('ORDENES'!$A933="","",IF('ORDENES'!$AC933="","-",'ORDENES'!$AC933))</f>
        <v/>
      </c>
      <c r="D955" s="3">
        <f>IF('ORDENES'!$A933="","",IF('ORDENES'!$V933="","-",'ORDENES'!$V933))</f>
        <v/>
      </c>
      <c r="E955" s="3">
        <f>IF('ORDENES'!$A933="","",IF('ORDENES'!$U933="","-",'ORDENES'!$U933))</f>
        <v/>
      </c>
      <c r="F955" s="3">
        <f>IF('ORDENES'!$A933="","",IF('ORDENES'!$W933="","-",'ORDENES'!$W933))</f>
        <v/>
      </c>
      <c r="G955" s="3">
        <f>IF('ORDENES'!$A933="","",IF('ORDENES'!$AB933="","-",'ORDENES'!$AB933))</f>
        <v/>
      </c>
      <c r="H955" s="3">
        <f>IF('ORDENES'!$A933="","",IF('ORDENES'!$AN933="","-",'ORDENES'!$AN933))</f>
        <v/>
      </c>
      <c r="I955" s="3">
        <f>IF('ORDENES'!$A933="","",IF('ORDENES'!$D933="","-",'ORDENES'!$D933))</f>
        <v/>
      </c>
      <c r="J955" s="3">
        <f>IF('ORDENES'!$A933="","",IF('ORDENES'!$E933="","-",'ORDENES'!$E933))</f>
        <v/>
      </c>
      <c r="K955" s="12">
        <f>IF('ORDENES'!$A933="","",IF('ORDENES'!$M933="",0,'ORDENES'!$M933))</f>
        <v/>
      </c>
      <c r="L955" s="3">
        <f>IF('ORDENES'!$A933="","",IF('ORDENES'!$N933="","-",'ORDENES'!$N933))</f>
        <v/>
      </c>
      <c r="M955" s="3">
        <f>IF('ORDENES'!$A933="","",'ORDENES'!$AA933)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IF('ORDENES'!$A934="","",IF('ORDENES'!$AC934="","-",'ORDENES'!$AC934))</f>
        <v/>
      </c>
      <c r="D956" s="3">
        <f>IF('ORDENES'!$A934="","",IF('ORDENES'!$V934="","-",'ORDENES'!$V934))</f>
        <v/>
      </c>
      <c r="E956" s="3">
        <f>IF('ORDENES'!$A934="","",IF('ORDENES'!$U934="","-",'ORDENES'!$U934))</f>
        <v/>
      </c>
      <c r="F956" s="3">
        <f>IF('ORDENES'!$A934="","",IF('ORDENES'!$W934="","-",'ORDENES'!$W934))</f>
        <v/>
      </c>
      <c r="G956" s="3">
        <f>IF('ORDENES'!$A934="","",IF('ORDENES'!$AB934="","-",'ORDENES'!$AB934))</f>
        <v/>
      </c>
      <c r="H956" s="3">
        <f>IF('ORDENES'!$A934="","",IF('ORDENES'!$AN934="","-",'ORDENES'!$AN934))</f>
        <v/>
      </c>
      <c r="I956" s="3">
        <f>IF('ORDENES'!$A934="","",IF('ORDENES'!$D934="","-",'ORDENES'!$D934))</f>
        <v/>
      </c>
      <c r="J956" s="3">
        <f>IF('ORDENES'!$A934="","",IF('ORDENES'!$E934="","-",'ORDENES'!$E934))</f>
        <v/>
      </c>
      <c r="K956" s="12">
        <f>IF('ORDENES'!$A934="","",IF('ORDENES'!$M934="",0,'ORDENES'!$M934))</f>
        <v/>
      </c>
      <c r="L956" s="3">
        <f>IF('ORDENES'!$A934="","",IF('ORDENES'!$N934="","-",'ORDENES'!$N934))</f>
        <v/>
      </c>
      <c r="M956" s="3">
        <f>IF('ORDENES'!$A934="","",'ORDENES'!$AA934)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IF('ORDENES'!$A935="","",IF('ORDENES'!$AC935="","-",'ORDENES'!$AC935))</f>
        <v/>
      </c>
      <c r="D957" s="3">
        <f>IF('ORDENES'!$A935="","",IF('ORDENES'!$V935="","-",'ORDENES'!$V935))</f>
        <v/>
      </c>
      <c r="E957" s="3">
        <f>IF('ORDENES'!$A935="","",IF('ORDENES'!$U935="","-",'ORDENES'!$U935))</f>
        <v/>
      </c>
      <c r="F957" s="3">
        <f>IF('ORDENES'!$A935="","",IF('ORDENES'!$W935="","-",'ORDENES'!$W935))</f>
        <v/>
      </c>
      <c r="G957" s="3">
        <f>IF('ORDENES'!$A935="","",IF('ORDENES'!$AB935="","-",'ORDENES'!$AB935))</f>
        <v/>
      </c>
      <c r="H957" s="3">
        <f>IF('ORDENES'!$A935="","",IF('ORDENES'!$AN935="","-",'ORDENES'!$AN935))</f>
        <v/>
      </c>
      <c r="I957" s="3">
        <f>IF('ORDENES'!$A935="","",IF('ORDENES'!$D935="","-",'ORDENES'!$D935))</f>
        <v/>
      </c>
      <c r="J957" s="3">
        <f>IF('ORDENES'!$A935="","",IF('ORDENES'!$E935="","-",'ORDENES'!$E935))</f>
        <v/>
      </c>
      <c r="K957" s="12">
        <f>IF('ORDENES'!$A935="","",IF('ORDENES'!$M935="",0,'ORDENES'!$M935))</f>
        <v/>
      </c>
      <c r="L957" s="3">
        <f>IF('ORDENES'!$A935="","",IF('ORDENES'!$N935="","-",'ORDENES'!$N935))</f>
        <v/>
      </c>
      <c r="M957" s="3">
        <f>IF('ORDENES'!$A935="","",'ORDENES'!$AA935)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IF('ORDENES'!$A936="","",IF('ORDENES'!$AC936="","-",'ORDENES'!$AC936))</f>
        <v/>
      </c>
      <c r="D958" s="3">
        <f>IF('ORDENES'!$A936="","",IF('ORDENES'!$V936="","-",'ORDENES'!$V936))</f>
        <v/>
      </c>
      <c r="E958" s="3">
        <f>IF('ORDENES'!$A936="","",IF('ORDENES'!$U936="","-",'ORDENES'!$U936))</f>
        <v/>
      </c>
      <c r="F958" s="3">
        <f>IF('ORDENES'!$A936="","",IF('ORDENES'!$W936="","-",'ORDENES'!$W936))</f>
        <v/>
      </c>
      <c r="G958" s="3">
        <f>IF('ORDENES'!$A936="","",IF('ORDENES'!$AB936="","-",'ORDENES'!$AB936))</f>
        <v/>
      </c>
      <c r="H958" s="3">
        <f>IF('ORDENES'!$A936="","",IF('ORDENES'!$AN936="","-",'ORDENES'!$AN936))</f>
        <v/>
      </c>
      <c r="I958" s="3">
        <f>IF('ORDENES'!$A936="","",IF('ORDENES'!$D936="","-",'ORDENES'!$D936))</f>
        <v/>
      </c>
      <c r="J958" s="3">
        <f>IF('ORDENES'!$A936="","",IF('ORDENES'!$E936="","-",'ORDENES'!$E936))</f>
        <v/>
      </c>
      <c r="K958" s="12">
        <f>IF('ORDENES'!$A936="","",IF('ORDENES'!$M936="",0,'ORDENES'!$M936))</f>
        <v/>
      </c>
      <c r="L958" s="3">
        <f>IF('ORDENES'!$A936="","",IF('ORDENES'!$N936="","-",'ORDENES'!$N936))</f>
        <v/>
      </c>
      <c r="M958" s="3">
        <f>IF('ORDENES'!$A936="","",'ORDENES'!$AA936)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IF('ORDENES'!$A937="","",IF('ORDENES'!$AC937="","-",'ORDENES'!$AC937))</f>
        <v/>
      </c>
      <c r="D959" s="3">
        <f>IF('ORDENES'!$A937="","",IF('ORDENES'!$V937="","-",'ORDENES'!$V937))</f>
        <v/>
      </c>
      <c r="E959" s="3">
        <f>IF('ORDENES'!$A937="","",IF('ORDENES'!$U937="","-",'ORDENES'!$U937))</f>
        <v/>
      </c>
      <c r="F959" s="3">
        <f>IF('ORDENES'!$A937="","",IF('ORDENES'!$W937="","-",'ORDENES'!$W937))</f>
        <v/>
      </c>
      <c r="G959" s="3">
        <f>IF('ORDENES'!$A937="","",IF('ORDENES'!$AB937="","-",'ORDENES'!$AB937))</f>
        <v/>
      </c>
      <c r="H959" s="3">
        <f>IF('ORDENES'!$A937="","",IF('ORDENES'!$AN937="","-",'ORDENES'!$AN937))</f>
        <v/>
      </c>
      <c r="I959" s="3">
        <f>IF('ORDENES'!$A937="","",IF('ORDENES'!$D937="","-",'ORDENES'!$D937))</f>
        <v/>
      </c>
      <c r="J959" s="3">
        <f>IF('ORDENES'!$A937="","",IF('ORDENES'!$E937="","-",'ORDENES'!$E937))</f>
        <v/>
      </c>
      <c r="K959" s="12">
        <f>IF('ORDENES'!$A937="","",IF('ORDENES'!$M937="",0,'ORDENES'!$M937))</f>
        <v/>
      </c>
      <c r="L959" s="3">
        <f>IF('ORDENES'!$A937="","",IF('ORDENES'!$N937="","-",'ORDENES'!$N937))</f>
        <v/>
      </c>
      <c r="M959" s="3">
        <f>IF('ORDENES'!$A937="","",'ORDENES'!$AA937)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IF('ORDENES'!$A938="","",IF('ORDENES'!$AC938="","-",'ORDENES'!$AC938))</f>
        <v/>
      </c>
      <c r="D960" s="3">
        <f>IF('ORDENES'!$A938="","",IF('ORDENES'!$V938="","-",'ORDENES'!$V938))</f>
        <v/>
      </c>
      <c r="E960" s="3">
        <f>IF('ORDENES'!$A938="","",IF('ORDENES'!$U938="","-",'ORDENES'!$U938))</f>
        <v/>
      </c>
      <c r="F960" s="3">
        <f>IF('ORDENES'!$A938="","",IF('ORDENES'!$W938="","-",'ORDENES'!$W938))</f>
        <v/>
      </c>
      <c r="G960" s="3">
        <f>IF('ORDENES'!$A938="","",IF('ORDENES'!$AB938="","-",'ORDENES'!$AB938))</f>
        <v/>
      </c>
      <c r="H960" s="3">
        <f>IF('ORDENES'!$A938="","",IF('ORDENES'!$AN938="","-",'ORDENES'!$AN938))</f>
        <v/>
      </c>
      <c r="I960" s="3">
        <f>IF('ORDENES'!$A938="","",IF('ORDENES'!$D938="","-",'ORDENES'!$D938))</f>
        <v/>
      </c>
      <c r="J960" s="3">
        <f>IF('ORDENES'!$A938="","",IF('ORDENES'!$E938="","-",'ORDENES'!$E938))</f>
        <v/>
      </c>
      <c r="K960" s="12">
        <f>IF('ORDENES'!$A938="","",IF('ORDENES'!$M938="",0,'ORDENES'!$M938))</f>
        <v/>
      </c>
      <c r="L960" s="3">
        <f>IF('ORDENES'!$A938="","",IF('ORDENES'!$N938="","-",'ORDENES'!$N938))</f>
        <v/>
      </c>
      <c r="M960" s="3">
        <f>IF('ORDENES'!$A938="","",'ORDENES'!$AA938)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IF('ORDENES'!$A939="","",IF('ORDENES'!$AC939="","-",'ORDENES'!$AC939))</f>
        <v/>
      </c>
      <c r="D961" s="3">
        <f>IF('ORDENES'!$A939="","",IF('ORDENES'!$V939="","-",'ORDENES'!$V939))</f>
        <v/>
      </c>
      <c r="E961" s="3">
        <f>IF('ORDENES'!$A939="","",IF('ORDENES'!$U939="","-",'ORDENES'!$U939))</f>
        <v/>
      </c>
      <c r="F961" s="3">
        <f>IF('ORDENES'!$A939="","",IF('ORDENES'!$W939="","-",'ORDENES'!$W939))</f>
        <v/>
      </c>
      <c r="G961" s="3">
        <f>IF('ORDENES'!$A939="","",IF('ORDENES'!$AB939="","-",'ORDENES'!$AB939))</f>
        <v/>
      </c>
      <c r="H961" s="3">
        <f>IF('ORDENES'!$A939="","",IF('ORDENES'!$AN939="","-",'ORDENES'!$AN939))</f>
        <v/>
      </c>
      <c r="I961" s="3">
        <f>IF('ORDENES'!$A939="","",IF('ORDENES'!$D939="","-",'ORDENES'!$D939))</f>
        <v/>
      </c>
      <c r="J961" s="3">
        <f>IF('ORDENES'!$A939="","",IF('ORDENES'!$E939="","-",'ORDENES'!$E939))</f>
        <v/>
      </c>
      <c r="K961" s="12">
        <f>IF('ORDENES'!$A939="","",IF('ORDENES'!$M939="",0,'ORDENES'!$M939))</f>
        <v/>
      </c>
      <c r="L961" s="3">
        <f>IF('ORDENES'!$A939="","",IF('ORDENES'!$N939="","-",'ORDENES'!$N939))</f>
        <v/>
      </c>
      <c r="M961" s="3">
        <f>IF('ORDENES'!$A939="","",'ORDENES'!$AA939)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IF('ORDENES'!$A940="","",IF('ORDENES'!$AC940="","-",'ORDENES'!$AC940))</f>
        <v/>
      </c>
      <c r="D962" s="3">
        <f>IF('ORDENES'!$A940="","",IF('ORDENES'!$V940="","-",'ORDENES'!$V940))</f>
        <v/>
      </c>
      <c r="E962" s="3">
        <f>IF('ORDENES'!$A940="","",IF('ORDENES'!$U940="","-",'ORDENES'!$U940))</f>
        <v/>
      </c>
      <c r="F962" s="3">
        <f>IF('ORDENES'!$A940="","",IF('ORDENES'!$W940="","-",'ORDENES'!$W940))</f>
        <v/>
      </c>
      <c r="G962" s="3">
        <f>IF('ORDENES'!$A940="","",IF('ORDENES'!$AB940="","-",'ORDENES'!$AB940))</f>
        <v/>
      </c>
      <c r="H962" s="3">
        <f>IF('ORDENES'!$A940="","",IF('ORDENES'!$AN940="","-",'ORDENES'!$AN940))</f>
        <v/>
      </c>
      <c r="I962" s="3">
        <f>IF('ORDENES'!$A940="","",IF('ORDENES'!$D940="","-",'ORDENES'!$D940))</f>
        <v/>
      </c>
      <c r="J962" s="3">
        <f>IF('ORDENES'!$A940="","",IF('ORDENES'!$E940="","-",'ORDENES'!$E940))</f>
        <v/>
      </c>
      <c r="K962" s="12">
        <f>IF('ORDENES'!$A940="","",IF('ORDENES'!$M940="",0,'ORDENES'!$M940))</f>
        <v/>
      </c>
      <c r="L962" s="3">
        <f>IF('ORDENES'!$A940="","",IF('ORDENES'!$N940="","-",'ORDENES'!$N940))</f>
        <v/>
      </c>
      <c r="M962" s="3">
        <f>IF('ORDENES'!$A940="","",'ORDENES'!$AA940)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IF('ORDENES'!$A941="","",IF('ORDENES'!$AC941="","-",'ORDENES'!$AC941))</f>
        <v/>
      </c>
      <c r="D963" s="3">
        <f>IF('ORDENES'!$A941="","",IF('ORDENES'!$V941="","-",'ORDENES'!$V941))</f>
        <v/>
      </c>
      <c r="E963" s="3">
        <f>IF('ORDENES'!$A941="","",IF('ORDENES'!$U941="","-",'ORDENES'!$U941))</f>
        <v/>
      </c>
      <c r="F963" s="3">
        <f>IF('ORDENES'!$A941="","",IF('ORDENES'!$W941="","-",'ORDENES'!$W941))</f>
        <v/>
      </c>
      <c r="G963" s="3">
        <f>IF('ORDENES'!$A941="","",IF('ORDENES'!$AB941="","-",'ORDENES'!$AB941))</f>
        <v/>
      </c>
      <c r="H963" s="3">
        <f>IF('ORDENES'!$A941="","",IF('ORDENES'!$AN941="","-",'ORDENES'!$AN941))</f>
        <v/>
      </c>
      <c r="I963" s="3">
        <f>IF('ORDENES'!$A941="","",IF('ORDENES'!$D941="","-",'ORDENES'!$D941))</f>
        <v/>
      </c>
      <c r="J963" s="3">
        <f>IF('ORDENES'!$A941="","",IF('ORDENES'!$E941="","-",'ORDENES'!$E941))</f>
        <v/>
      </c>
      <c r="K963" s="12">
        <f>IF('ORDENES'!$A941="","",IF('ORDENES'!$M941="",0,'ORDENES'!$M941))</f>
        <v/>
      </c>
      <c r="L963" s="3">
        <f>IF('ORDENES'!$A941="","",IF('ORDENES'!$N941="","-",'ORDENES'!$N941))</f>
        <v/>
      </c>
      <c r="M963" s="3">
        <f>IF('ORDENES'!$A941="","",'ORDENES'!$AA941)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IF('ORDENES'!$A942="","",IF('ORDENES'!$AC942="","-",'ORDENES'!$AC942))</f>
        <v/>
      </c>
      <c r="D964" s="3">
        <f>IF('ORDENES'!$A942="","",IF('ORDENES'!$V942="","-",'ORDENES'!$V942))</f>
        <v/>
      </c>
      <c r="E964" s="3">
        <f>IF('ORDENES'!$A942="","",IF('ORDENES'!$U942="","-",'ORDENES'!$U942))</f>
        <v/>
      </c>
      <c r="F964" s="3">
        <f>IF('ORDENES'!$A942="","",IF('ORDENES'!$W942="","-",'ORDENES'!$W942))</f>
        <v/>
      </c>
      <c r="G964" s="3">
        <f>IF('ORDENES'!$A942="","",IF('ORDENES'!$AB942="","-",'ORDENES'!$AB942))</f>
        <v/>
      </c>
      <c r="H964" s="3">
        <f>IF('ORDENES'!$A942="","",IF('ORDENES'!$AN942="","-",'ORDENES'!$AN942))</f>
        <v/>
      </c>
      <c r="I964" s="3">
        <f>IF('ORDENES'!$A942="","",IF('ORDENES'!$D942="","-",'ORDENES'!$D942))</f>
        <v/>
      </c>
      <c r="J964" s="3">
        <f>IF('ORDENES'!$A942="","",IF('ORDENES'!$E942="","-",'ORDENES'!$E942))</f>
        <v/>
      </c>
      <c r="K964" s="12">
        <f>IF('ORDENES'!$A942="","",IF('ORDENES'!$M942="",0,'ORDENES'!$M942))</f>
        <v/>
      </c>
      <c r="L964" s="3">
        <f>IF('ORDENES'!$A942="","",IF('ORDENES'!$N942="","-",'ORDENES'!$N942))</f>
        <v/>
      </c>
      <c r="M964" s="3">
        <f>IF('ORDENES'!$A942="","",'ORDENES'!$AA942)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IF('ORDENES'!$A943="","",IF('ORDENES'!$AC943="","-",'ORDENES'!$AC943))</f>
        <v/>
      </c>
      <c r="D965" s="3">
        <f>IF('ORDENES'!$A943="","",IF('ORDENES'!$V943="","-",'ORDENES'!$V943))</f>
        <v/>
      </c>
      <c r="E965" s="3">
        <f>IF('ORDENES'!$A943="","",IF('ORDENES'!$U943="","-",'ORDENES'!$U943))</f>
        <v/>
      </c>
      <c r="F965" s="3">
        <f>IF('ORDENES'!$A943="","",IF('ORDENES'!$W943="","-",'ORDENES'!$W943))</f>
        <v/>
      </c>
      <c r="G965" s="3">
        <f>IF('ORDENES'!$A943="","",IF('ORDENES'!$AB943="","-",'ORDENES'!$AB943))</f>
        <v/>
      </c>
      <c r="H965" s="3">
        <f>IF('ORDENES'!$A943="","",IF('ORDENES'!$AN943="","-",'ORDENES'!$AN943))</f>
        <v/>
      </c>
      <c r="I965" s="3">
        <f>IF('ORDENES'!$A943="","",IF('ORDENES'!$D943="","-",'ORDENES'!$D943))</f>
        <v/>
      </c>
      <c r="J965" s="3">
        <f>IF('ORDENES'!$A943="","",IF('ORDENES'!$E943="","-",'ORDENES'!$E943))</f>
        <v/>
      </c>
      <c r="K965" s="12">
        <f>IF('ORDENES'!$A943="","",IF('ORDENES'!$M943="",0,'ORDENES'!$M943))</f>
        <v/>
      </c>
      <c r="L965" s="3">
        <f>IF('ORDENES'!$A943="","",IF('ORDENES'!$N943="","-",'ORDENES'!$N943))</f>
        <v/>
      </c>
      <c r="M965" s="3">
        <f>IF('ORDENES'!$A943="","",'ORDENES'!$AA943)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IF('ORDENES'!$A944="","",IF('ORDENES'!$AC944="","-",'ORDENES'!$AC944))</f>
        <v/>
      </c>
      <c r="D966" s="3">
        <f>IF('ORDENES'!$A944="","",IF('ORDENES'!$V944="","-",'ORDENES'!$V944))</f>
        <v/>
      </c>
      <c r="E966" s="3">
        <f>IF('ORDENES'!$A944="","",IF('ORDENES'!$U944="","-",'ORDENES'!$U944))</f>
        <v/>
      </c>
      <c r="F966" s="3">
        <f>IF('ORDENES'!$A944="","",IF('ORDENES'!$W944="","-",'ORDENES'!$W944))</f>
        <v/>
      </c>
      <c r="G966" s="3">
        <f>IF('ORDENES'!$A944="","",IF('ORDENES'!$AB944="","-",'ORDENES'!$AB944))</f>
        <v/>
      </c>
      <c r="H966" s="3">
        <f>IF('ORDENES'!$A944="","",IF('ORDENES'!$AN944="","-",'ORDENES'!$AN944))</f>
        <v/>
      </c>
      <c r="I966" s="3">
        <f>IF('ORDENES'!$A944="","",IF('ORDENES'!$D944="","-",'ORDENES'!$D944))</f>
        <v/>
      </c>
      <c r="J966" s="3">
        <f>IF('ORDENES'!$A944="","",IF('ORDENES'!$E944="","-",'ORDENES'!$E944))</f>
        <v/>
      </c>
      <c r="K966" s="12">
        <f>IF('ORDENES'!$A944="","",IF('ORDENES'!$M944="",0,'ORDENES'!$M944))</f>
        <v/>
      </c>
      <c r="L966" s="3">
        <f>IF('ORDENES'!$A944="","",IF('ORDENES'!$N944="","-",'ORDENES'!$N944))</f>
        <v/>
      </c>
      <c r="M966" s="3">
        <f>IF('ORDENES'!$A944="","",'ORDENES'!$AA944)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IF('ORDENES'!$A945="","",IF('ORDENES'!$AC945="","-",'ORDENES'!$AC945))</f>
        <v/>
      </c>
      <c r="D967" s="3">
        <f>IF('ORDENES'!$A945="","",IF('ORDENES'!$V945="","-",'ORDENES'!$V945))</f>
        <v/>
      </c>
      <c r="E967" s="3">
        <f>IF('ORDENES'!$A945="","",IF('ORDENES'!$U945="","-",'ORDENES'!$U945))</f>
        <v/>
      </c>
      <c r="F967" s="3">
        <f>IF('ORDENES'!$A945="","",IF('ORDENES'!$W945="","-",'ORDENES'!$W945))</f>
        <v/>
      </c>
      <c r="G967" s="3">
        <f>IF('ORDENES'!$A945="","",IF('ORDENES'!$AB945="","-",'ORDENES'!$AB945))</f>
        <v/>
      </c>
      <c r="H967" s="3">
        <f>IF('ORDENES'!$A945="","",IF('ORDENES'!$AN945="","-",'ORDENES'!$AN945))</f>
        <v/>
      </c>
      <c r="I967" s="3">
        <f>IF('ORDENES'!$A945="","",IF('ORDENES'!$D945="","-",'ORDENES'!$D945))</f>
        <v/>
      </c>
      <c r="J967" s="3">
        <f>IF('ORDENES'!$A945="","",IF('ORDENES'!$E945="","-",'ORDENES'!$E945))</f>
        <v/>
      </c>
      <c r="K967" s="12">
        <f>IF('ORDENES'!$A945="","",IF('ORDENES'!$M945="",0,'ORDENES'!$M945))</f>
        <v/>
      </c>
      <c r="L967" s="3">
        <f>IF('ORDENES'!$A945="","",IF('ORDENES'!$N945="","-",'ORDENES'!$N945))</f>
        <v/>
      </c>
      <c r="M967" s="3">
        <f>IF('ORDENES'!$A945="","",'ORDENES'!$AA945)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IF('ORDENES'!$A946="","",IF('ORDENES'!$AC946="","-",'ORDENES'!$AC946))</f>
        <v/>
      </c>
      <c r="D968" s="3">
        <f>IF('ORDENES'!$A946="","",IF('ORDENES'!$V946="","-",'ORDENES'!$V946))</f>
        <v/>
      </c>
      <c r="E968" s="3">
        <f>IF('ORDENES'!$A946="","",IF('ORDENES'!$U946="","-",'ORDENES'!$U946))</f>
        <v/>
      </c>
      <c r="F968" s="3">
        <f>IF('ORDENES'!$A946="","",IF('ORDENES'!$W946="","-",'ORDENES'!$W946))</f>
        <v/>
      </c>
      <c r="G968" s="3">
        <f>IF('ORDENES'!$A946="","",IF('ORDENES'!$AB946="","-",'ORDENES'!$AB946))</f>
        <v/>
      </c>
      <c r="H968" s="3">
        <f>IF('ORDENES'!$A946="","",IF('ORDENES'!$AN946="","-",'ORDENES'!$AN946))</f>
        <v/>
      </c>
      <c r="I968" s="3">
        <f>IF('ORDENES'!$A946="","",IF('ORDENES'!$D946="","-",'ORDENES'!$D946))</f>
        <v/>
      </c>
      <c r="J968" s="3">
        <f>IF('ORDENES'!$A946="","",IF('ORDENES'!$E946="","-",'ORDENES'!$E946))</f>
        <v/>
      </c>
      <c r="K968" s="12">
        <f>IF('ORDENES'!$A946="","",IF('ORDENES'!$M946="",0,'ORDENES'!$M946))</f>
        <v/>
      </c>
      <c r="L968" s="3">
        <f>IF('ORDENES'!$A946="","",IF('ORDENES'!$N946="","-",'ORDENES'!$N946))</f>
        <v/>
      </c>
      <c r="M968" s="3">
        <f>IF('ORDENES'!$A946="","",'ORDENES'!$AA946)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IF('ORDENES'!$A947="","",IF('ORDENES'!$AC947="","-",'ORDENES'!$AC947))</f>
        <v/>
      </c>
      <c r="D969" s="3">
        <f>IF('ORDENES'!$A947="","",IF('ORDENES'!$V947="","-",'ORDENES'!$V947))</f>
        <v/>
      </c>
      <c r="E969" s="3">
        <f>IF('ORDENES'!$A947="","",IF('ORDENES'!$U947="","-",'ORDENES'!$U947))</f>
        <v/>
      </c>
      <c r="F969" s="3">
        <f>IF('ORDENES'!$A947="","",IF('ORDENES'!$W947="","-",'ORDENES'!$W947))</f>
        <v/>
      </c>
      <c r="G969" s="3">
        <f>IF('ORDENES'!$A947="","",IF('ORDENES'!$AB947="","-",'ORDENES'!$AB947))</f>
        <v/>
      </c>
      <c r="H969" s="3">
        <f>IF('ORDENES'!$A947="","",IF('ORDENES'!$AN947="","-",'ORDENES'!$AN947))</f>
        <v/>
      </c>
      <c r="I969" s="3">
        <f>IF('ORDENES'!$A947="","",IF('ORDENES'!$D947="","-",'ORDENES'!$D947))</f>
        <v/>
      </c>
      <c r="J969" s="3">
        <f>IF('ORDENES'!$A947="","",IF('ORDENES'!$E947="","-",'ORDENES'!$E947))</f>
        <v/>
      </c>
      <c r="K969" s="12">
        <f>IF('ORDENES'!$A947="","",IF('ORDENES'!$M947="",0,'ORDENES'!$M947))</f>
        <v/>
      </c>
      <c r="L969" s="3">
        <f>IF('ORDENES'!$A947="","",IF('ORDENES'!$N947="","-",'ORDENES'!$N947))</f>
        <v/>
      </c>
      <c r="M969" s="3">
        <f>IF('ORDENES'!$A947="","",'ORDENES'!$AA947)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IF('ORDENES'!$A948="","",IF('ORDENES'!$AC948="","-",'ORDENES'!$AC948))</f>
        <v/>
      </c>
      <c r="D970" s="3">
        <f>IF('ORDENES'!$A948="","",IF('ORDENES'!$V948="","-",'ORDENES'!$V948))</f>
        <v/>
      </c>
      <c r="E970" s="3">
        <f>IF('ORDENES'!$A948="","",IF('ORDENES'!$U948="","-",'ORDENES'!$U948))</f>
        <v/>
      </c>
      <c r="F970" s="3">
        <f>IF('ORDENES'!$A948="","",IF('ORDENES'!$W948="","-",'ORDENES'!$W948))</f>
        <v/>
      </c>
      <c r="G970" s="3">
        <f>IF('ORDENES'!$A948="","",IF('ORDENES'!$AB948="","-",'ORDENES'!$AB948))</f>
        <v/>
      </c>
      <c r="H970" s="3">
        <f>IF('ORDENES'!$A948="","",IF('ORDENES'!$AN948="","-",'ORDENES'!$AN948))</f>
        <v/>
      </c>
      <c r="I970" s="3">
        <f>IF('ORDENES'!$A948="","",IF('ORDENES'!$D948="","-",'ORDENES'!$D948))</f>
        <v/>
      </c>
      <c r="J970" s="3">
        <f>IF('ORDENES'!$A948="","",IF('ORDENES'!$E948="","-",'ORDENES'!$E948))</f>
        <v/>
      </c>
      <c r="K970" s="12">
        <f>IF('ORDENES'!$A948="","",IF('ORDENES'!$M948="",0,'ORDENES'!$M948))</f>
        <v/>
      </c>
      <c r="L970" s="3">
        <f>IF('ORDENES'!$A948="","",IF('ORDENES'!$N948="","-",'ORDENES'!$N948))</f>
        <v/>
      </c>
      <c r="M970" s="3">
        <f>IF('ORDENES'!$A948="","",'ORDENES'!$AA948)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IF('ORDENES'!$A949="","",IF('ORDENES'!$AC949="","-",'ORDENES'!$AC949))</f>
        <v/>
      </c>
      <c r="D971" s="3">
        <f>IF('ORDENES'!$A949="","",IF('ORDENES'!$V949="","-",'ORDENES'!$V949))</f>
        <v/>
      </c>
      <c r="E971" s="3">
        <f>IF('ORDENES'!$A949="","",IF('ORDENES'!$U949="","-",'ORDENES'!$U949))</f>
        <v/>
      </c>
      <c r="F971" s="3">
        <f>IF('ORDENES'!$A949="","",IF('ORDENES'!$W949="","-",'ORDENES'!$W949))</f>
        <v/>
      </c>
      <c r="G971" s="3">
        <f>IF('ORDENES'!$A949="","",IF('ORDENES'!$AB949="","-",'ORDENES'!$AB949))</f>
        <v/>
      </c>
      <c r="H971" s="3">
        <f>IF('ORDENES'!$A949="","",IF('ORDENES'!$AN949="","-",'ORDENES'!$AN949))</f>
        <v/>
      </c>
      <c r="I971" s="3">
        <f>IF('ORDENES'!$A949="","",IF('ORDENES'!$D949="","-",'ORDENES'!$D949))</f>
        <v/>
      </c>
      <c r="J971" s="3">
        <f>IF('ORDENES'!$A949="","",IF('ORDENES'!$E949="","-",'ORDENES'!$E949))</f>
        <v/>
      </c>
      <c r="K971" s="12">
        <f>IF('ORDENES'!$A949="","",IF('ORDENES'!$M949="",0,'ORDENES'!$M949))</f>
        <v/>
      </c>
      <c r="L971" s="3">
        <f>IF('ORDENES'!$A949="","",IF('ORDENES'!$N949="","-",'ORDENES'!$N949))</f>
        <v/>
      </c>
      <c r="M971" s="3">
        <f>IF('ORDENES'!$A949="","",'ORDENES'!$AA949)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IF('ORDENES'!$A950="","",IF('ORDENES'!$AC950="","-",'ORDENES'!$AC950))</f>
        <v/>
      </c>
      <c r="D972" s="3">
        <f>IF('ORDENES'!$A950="","",IF('ORDENES'!$V950="","-",'ORDENES'!$V950))</f>
        <v/>
      </c>
      <c r="E972" s="3">
        <f>IF('ORDENES'!$A950="","",IF('ORDENES'!$U950="","-",'ORDENES'!$U950))</f>
        <v/>
      </c>
      <c r="F972" s="3">
        <f>IF('ORDENES'!$A950="","",IF('ORDENES'!$W950="","-",'ORDENES'!$W950))</f>
        <v/>
      </c>
      <c r="G972" s="3">
        <f>IF('ORDENES'!$A950="","",IF('ORDENES'!$AB950="","-",'ORDENES'!$AB950))</f>
        <v/>
      </c>
      <c r="H972" s="3">
        <f>IF('ORDENES'!$A950="","",IF('ORDENES'!$AN950="","-",'ORDENES'!$AN950))</f>
        <v/>
      </c>
      <c r="I972" s="3">
        <f>IF('ORDENES'!$A950="","",IF('ORDENES'!$D950="","-",'ORDENES'!$D950))</f>
        <v/>
      </c>
      <c r="J972" s="3">
        <f>IF('ORDENES'!$A950="","",IF('ORDENES'!$E950="","-",'ORDENES'!$E950))</f>
        <v/>
      </c>
      <c r="K972" s="12">
        <f>IF('ORDENES'!$A950="","",IF('ORDENES'!$M950="",0,'ORDENES'!$M950))</f>
        <v/>
      </c>
      <c r="L972" s="3">
        <f>IF('ORDENES'!$A950="","",IF('ORDENES'!$N950="","-",'ORDENES'!$N950))</f>
        <v/>
      </c>
      <c r="M972" s="3">
        <f>IF('ORDENES'!$A950="","",'ORDENES'!$AA950)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IF('ORDENES'!$A951="","",IF('ORDENES'!$AC951="","-",'ORDENES'!$AC951))</f>
        <v/>
      </c>
      <c r="D973" s="3">
        <f>IF('ORDENES'!$A951="","",IF('ORDENES'!$V951="","-",'ORDENES'!$V951))</f>
        <v/>
      </c>
      <c r="E973" s="3">
        <f>IF('ORDENES'!$A951="","",IF('ORDENES'!$U951="","-",'ORDENES'!$U951))</f>
        <v/>
      </c>
      <c r="F973" s="3">
        <f>IF('ORDENES'!$A951="","",IF('ORDENES'!$W951="","-",'ORDENES'!$W951))</f>
        <v/>
      </c>
      <c r="G973" s="3">
        <f>IF('ORDENES'!$A951="","",IF('ORDENES'!$AB951="","-",'ORDENES'!$AB951))</f>
        <v/>
      </c>
      <c r="H973" s="3">
        <f>IF('ORDENES'!$A951="","",IF('ORDENES'!$AN951="","-",'ORDENES'!$AN951))</f>
        <v/>
      </c>
      <c r="I973" s="3">
        <f>IF('ORDENES'!$A951="","",IF('ORDENES'!$D951="","-",'ORDENES'!$D951))</f>
        <v/>
      </c>
      <c r="J973" s="3">
        <f>IF('ORDENES'!$A951="","",IF('ORDENES'!$E951="","-",'ORDENES'!$E951))</f>
        <v/>
      </c>
      <c r="K973" s="12">
        <f>IF('ORDENES'!$A951="","",IF('ORDENES'!$M951="",0,'ORDENES'!$M951))</f>
        <v/>
      </c>
      <c r="L973" s="3">
        <f>IF('ORDENES'!$A951="","",IF('ORDENES'!$N951="","-",'ORDENES'!$N951))</f>
        <v/>
      </c>
      <c r="M973" s="3">
        <f>IF('ORDENES'!$A951="","",'ORDENES'!$AA951)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IF('ORDENES'!$A952="","",IF('ORDENES'!$AC952="","-",'ORDENES'!$AC952))</f>
        <v/>
      </c>
      <c r="D974" s="3">
        <f>IF('ORDENES'!$A952="","",IF('ORDENES'!$V952="","-",'ORDENES'!$V952))</f>
        <v/>
      </c>
      <c r="E974" s="3">
        <f>IF('ORDENES'!$A952="","",IF('ORDENES'!$U952="","-",'ORDENES'!$U952))</f>
        <v/>
      </c>
      <c r="F974" s="3">
        <f>IF('ORDENES'!$A952="","",IF('ORDENES'!$W952="","-",'ORDENES'!$W952))</f>
        <v/>
      </c>
      <c r="G974" s="3">
        <f>IF('ORDENES'!$A952="","",IF('ORDENES'!$AB952="","-",'ORDENES'!$AB952))</f>
        <v/>
      </c>
      <c r="H974" s="3">
        <f>IF('ORDENES'!$A952="","",IF('ORDENES'!$AN952="","-",'ORDENES'!$AN952))</f>
        <v/>
      </c>
      <c r="I974" s="3">
        <f>IF('ORDENES'!$A952="","",IF('ORDENES'!$D952="","-",'ORDENES'!$D952))</f>
        <v/>
      </c>
      <c r="J974" s="3">
        <f>IF('ORDENES'!$A952="","",IF('ORDENES'!$E952="","-",'ORDENES'!$E952))</f>
        <v/>
      </c>
      <c r="K974" s="12">
        <f>IF('ORDENES'!$A952="","",IF('ORDENES'!$M952="",0,'ORDENES'!$M952))</f>
        <v/>
      </c>
      <c r="L974" s="3">
        <f>IF('ORDENES'!$A952="","",IF('ORDENES'!$N952="","-",'ORDENES'!$N952))</f>
        <v/>
      </c>
      <c r="M974" s="3">
        <f>IF('ORDENES'!$A952="","",'ORDENES'!$AA952)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IF('ORDENES'!$A953="","",IF('ORDENES'!$AC953="","-",'ORDENES'!$AC953))</f>
        <v/>
      </c>
      <c r="D975" s="3">
        <f>IF('ORDENES'!$A953="","",IF('ORDENES'!$V953="","-",'ORDENES'!$V953))</f>
        <v/>
      </c>
      <c r="E975" s="3">
        <f>IF('ORDENES'!$A953="","",IF('ORDENES'!$U953="","-",'ORDENES'!$U953))</f>
        <v/>
      </c>
      <c r="F975" s="3">
        <f>IF('ORDENES'!$A953="","",IF('ORDENES'!$W953="","-",'ORDENES'!$W953))</f>
        <v/>
      </c>
      <c r="G975" s="3">
        <f>IF('ORDENES'!$A953="","",IF('ORDENES'!$AB953="","-",'ORDENES'!$AB953))</f>
        <v/>
      </c>
      <c r="H975" s="3">
        <f>IF('ORDENES'!$A953="","",IF('ORDENES'!$AN953="","-",'ORDENES'!$AN953))</f>
        <v/>
      </c>
      <c r="I975" s="3">
        <f>IF('ORDENES'!$A953="","",IF('ORDENES'!$D953="","-",'ORDENES'!$D953))</f>
        <v/>
      </c>
      <c r="J975" s="3">
        <f>IF('ORDENES'!$A953="","",IF('ORDENES'!$E953="","-",'ORDENES'!$E953))</f>
        <v/>
      </c>
      <c r="K975" s="12">
        <f>IF('ORDENES'!$A953="","",IF('ORDENES'!$M953="",0,'ORDENES'!$M953))</f>
        <v/>
      </c>
      <c r="L975" s="3">
        <f>IF('ORDENES'!$A953="","",IF('ORDENES'!$N953="","-",'ORDENES'!$N953))</f>
        <v/>
      </c>
      <c r="M975" s="3">
        <f>IF('ORDENES'!$A953="","",'ORDENES'!$AA953)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IF('ORDENES'!$A954="","",IF('ORDENES'!$AC954="","-",'ORDENES'!$AC954))</f>
        <v/>
      </c>
      <c r="D976" s="3">
        <f>IF('ORDENES'!$A954="","",IF('ORDENES'!$V954="","-",'ORDENES'!$V954))</f>
        <v/>
      </c>
      <c r="E976" s="3">
        <f>IF('ORDENES'!$A954="","",IF('ORDENES'!$U954="","-",'ORDENES'!$U954))</f>
        <v/>
      </c>
      <c r="F976" s="3">
        <f>IF('ORDENES'!$A954="","",IF('ORDENES'!$W954="","-",'ORDENES'!$W954))</f>
        <v/>
      </c>
      <c r="G976" s="3">
        <f>IF('ORDENES'!$A954="","",IF('ORDENES'!$AB954="","-",'ORDENES'!$AB954))</f>
        <v/>
      </c>
      <c r="H976" s="3">
        <f>IF('ORDENES'!$A954="","",IF('ORDENES'!$AN954="","-",'ORDENES'!$AN954))</f>
        <v/>
      </c>
      <c r="I976" s="3">
        <f>IF('ORDENES'!$A954="","",IF('ORDENES'!$D954="","-",'ORDENES'!$D954))</f>
        <v/>
      </c>
      <c r="J976" s="3">
        <f>IF('ORDENES'!$A954="","",IF('ORDENES'!$E954="","-",'ORDENES'!$E954))</f>
        <v/>
      </c>
      <c r="K976" s="12">
        <f>IF('ORDENES'!$A954="","",IF('ORDENES'!$M954="",0,'ORDENES'!$M954))</f>
        <v/>
      </c>
      <c r="L976" s="3">
        <f>IF('ORDENES'!$A954="","",IF('ORDENES'!$N954="","-",'ORDENES'!$N954))</f>
        <v/>
      </c>
      <c r="M976" s="3">
        <f>IF('ORDENES'!$A954="","",'ORDENES'!$AA954)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IF('ORDENES'!$A955="","",IF('ORDENES'!$AC955="","-",'ORDENES'!$AC955))</f>
        <v/>
      </c>
      <c r="D977" s="3">
        <f>IF('ORDENES'!$A955="","",IF('ORDENES'!$V955="","-",'ORDENES'!$V955))</f>
        <v/>
      </c>
      <c r="E977" s="3">
        <f>IF('ORDENES'!$A955="","",IF('ORDENES'!$U955="","-",'ORDENES'!$U955))</f>
        <v/>
      </c>
      <c r="F977" s="3">
        <f>IF('ORDENES'!$A955="","",IF('ORDENES'!$W955="","-",'ORDENES'!$W955))</f>
        <v/>
      </c>
      <c r="G977" s="3">
        <f>IF('ORDENES'!$A955="","",IF('ORDENES'!$AB955="","-",'ORDENES'!$AB955))</f>
        <v/>
      </c>
      <c r="H977" s="3">
        <f>IF('ORDENES'!$A955="","",IF('ORDENES'!$AN955="","-",'ORDENES'!$AN955))</f>
        <v/>
      </c>
      <c r="I977" s="3">
        <f>IF('ORDENES'!$A955="","",IF('ORDENES'!$D955="","-",'ORDENES'!$D955))</f>
        <v/>
      </c>
      <c r="J977" s="3">
        <f>IF('ORDENES'!$A955="","",IF('ORDENES'!$E955="","-",'ORDENES'!$E955))</f>
        <v/>
      </c>
      <c r="K977" s="12">
        <f>IF('ORDENES'!$A955="","",IF('ORDENES'!$M955="",0,'ORDENES'!$M955))</f>
        <v/>
      </c>
      <c r="L977" s="3">
        <f>IF('ORDENES'!$A955="","",IF('ORDENES'!$N955="","-",'ORDENES'!$N955))</f>
        <v/>
      </c>
      <c r="M977" s="3">
        <f>IF('ORDENES'!$A955="","",'ORDENES'!$AA955)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IF('ORDENES'!$A956="","",IF('ORDENES'!$AC956="","-",'ORDENES'!$AC956))</f>
        <v/>
      </c>
      <c r="D978" s="3">
        <f>IF('ORDENES'!$A956="","",IF('ORDENES'!$V956="","-",'ORDENES'!$V956))</f>
        <v/>
      </c>
      <c r="E978" s="3">
        <f>IF('ORDENES'!$A956="","",IF('ORDENES'!$U956="","-",'ORDENES'!$U956))</f>
        <v/>
      </c>
      <c r="F978" s="3">
        <f>IF('ORDENES'!$A956="","",IF('ORDENES'!$W956="","-",'ORDENES'!$W956))</f>
        <v/>
      </c>
      <c r="G978" s="3">
        <f>IF('ORDENES'!$A956="","",IF('ORDENES'!$AB956="","-",'ORDENES'!$AB956))</f>
        <v/>
      </c>
      <c r="H978" s="3">
        <f>IF('ORDENES'!$A956="","",IF('ORDENES'!$AN956="","-",'ORDENES'!$AN956))</f>
        <v/>
      </c>
      <c r="I978" s="3">
        <f>IF('ORDENES'!$A956="","",IF('ORDENES'!$D956="","-",'ORDENES'!$D956))</f>
        <v/>
      </c>
      <c r="J978" s="3">
        <f>IF('ORDENES'!$A956="","",IF('ORDENES'!$E956="","-",'ORDENES'!$E956))</f>
        <v/>
      </c>
      <c r="K978" s="12">
        <f>IF('ORDENES'!$A956="","",IF('ORDENES'!$M956="",0,'ORDENES'!$M956))</f>
        <v/>
      </c>
      <c r="L978" s="3">
        <f>IF('ORDENES'!$A956="","",IF('ORDENES'!$N956="","-",'ORDENES'!$N956))</f>
        <v/>
      </c>
      <c r="M978" s="3">
        <f>IF('ORDENES'!$A956="","",'ORDENES'!$AA956)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IF('ORDENES'!$A957="","",IF('ORDENES'!$AC957="","-",'ORDENES'!$AC957))</f>
        <v/>
      </c>
      <c r="D979" s="3">
        <f>IF('ORDENES'!$A957="","",IF('ORDENES'!$V957="","-",'ORDENES'!$V957))</f>
        <v/>
      </c>
      <c r="E979" s="3">
        <f>IF('ORDENES'!$A957="","",IF('ORDENES'!$U957="","-",'ORDENES'!$U957))</f>
        <v/>
      </c>
      <c r="F979" s="3">
        <f>IF('ORDENES'!$A957="","",IF('ORDENES'!$W957="","-",'ORDENES'!$W957))</f>
        <v/>
      </c>
      <c r="G979" s="3">
        <f>IF('ORDENES'!$A957="","",IF('ORDENES'!$AB957="","-",'ORDENES'!$AB957))</f>
        <v/>
      </c>
      <c r="H979" s="3">
        <f>IF('ORDENES'!$A957="","",IF('ORDENES'!$AN957="","-",'ORDENES'!$AN957))</f>
        <v/>
      </c>
      <c r="I979" s="3">
        <f>IF('ORDENES'!$A957="","",IF('ORDENES'!$D957="","-",'ORDENES'!$D957))</f>
        <v/>
      </c>
      <c r="J979" s="3">
        <f>IF('ORDENES'!$A957="","",IF('ORDENES'!$E957="","-",'ORDENES'!$E957))</f>
        <v/>
      </c>
      <c r="K979" s="12">
        <f>IF('ORDENES'!$A957="","",IF('ORDENES'!$M957="",0,'ORDENES'!$M957))</f>
        <v/>
      </c>
      <c r="L979" s="3">
        <f>IF('ORDENES'!$A957="","",IF('ORDENES'!$N957="","-",'ORDENES'!$N957))</f>
        <v/>
      </c>
      <c r="M979" s="3">
        <f>IF('ORDENES'!$A957="","",'ORDENES'!$AA957)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IF('ORDENES'!$A958="","",IF('ORDENES'!$AC958="","-",'ORDENES'!$AC958))</f>
        <v/>
      </c>
      <c r="D980" s="3">
        <f>IF('ORDENES'!$A958="","",IF('ORDENES'!$V958="","-",'ORDENES'!$V958))</f>
        <v/>
      </c>
      <c r="E980" s="3">
        <f>IF('ORDENES'!$A958="","",IF('ORDENES'!$U958="","-",'ORDENES'!$U958))</f>
        <v/>
      </c>
      <c r="F980" s="3">
        <f>IF('ORDENES'!$A958="","",IF('ORDENES'!$W958="","-",'ORDENES'!$W958))</f>
        <v/>
      </c>
      <c r="G980" s="3">
        <f>IF('ORDENES'!$A958="","",IF('ORDENES'!$AB958="","-",'ORDENES'!$AB958))</f>
        <v/>
      </c>
      <c r="H980" s="3">
        <f>IF('ORDENES'!$A958="","",IF('ORDENES'!$AN958="","-",'ORDENES'!$AN958))</f>
        <v/>
      </c>
      <c r="I980" s="3">
        <f>IF('ORDENES'!$A958="","",IF('ORDENES'!$D958="","-",'ORDENES'!$D958))</f>
        <v/>
      </c>
      <c r="J980" s="3">
        <f>IF('ORDENES'!$A958="","",IF('ORDENES'!$E958="","-",'ORDENES'!$E958))</f>
        <v/>
      </c>
      <c r="K980" s="12">
        <f>IF('ORDENES'!$A958="","",IF('ORDENES'!$M958="",0,'ORDENES'!$M958))</f>
        <v/>
      </c>
      <c r="L980" s="3">
        <f>IF('ORDENES'!$A958="","",IF('ORDENES'!$N958="","-",'ORDENES'!$N958))</f>
        <v/>
      </c>
      <c r="M980" s="3">
        <f>IF('ORDENES'!$A958="","",'ORDENES'!$AA958)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IF('ORDENES'!$A959="","",IF('ORDENES'!$AC959="","-",'ORDENES'!$AC959))</f>
        <v/>
      </c>
      <c r="D981" s="3">
        <f>IF('ORDENES'!$A959="","",IF('ORDENES'!$V959="","-",'ORDENES'!$V959))</f>
        <v/>
      </c>
      <c r="E981" s="3">
        <f>IF('ORDENES'!$A959="","",IF('ORDENES'!$U959="","-",'ORDENES'!$U959))</f>
        <v/>
      </c>
      <c r="F981" s="3">
        <f>IF('ORDENES'!$A959="","",IF('ORDENES'!$W959="","-",'ORDENES'!$W959))</f>
        <v/>
      </c>
      <c r="G981" s="3">
        <f>IF('ORDENES'!$A959="","",IF('ORDENES'!$AB959="","-",'ORDENES'!$AB959))</f>
        <v/>
      </c>
      <c r="H981" s="3">
        <f>IF('ORDENES'!$A959="","",IF('ORDENES'!$AN959="","-",'ORDENES'!$AN959))</f>
        <v/>
      </c>
      <c r="I981" s="3">
        <f>IF('ORDENES'!$A959="","",IF('ORDENES'!$D959="","-",'ORDENES'!$D959))</f>
        <v/>
      </c>
      <c r="J981" s="3">
        <f>IF('ORDENES'!$A959="","",IF('ORDENES'!$E959="","-",'ORDENES'!$E959))</f>
        <v/>
      </c>
      <c r="K981" s="12">
        <f>IF('ORDENES'!$A959="","",IF('ORDENES'!$M959="",0,'ORDENES'!$M959))</f>
        <v/>
      </c>
      <c r="L981" s="3">
        <f>IF('ORDENES'!$A959="","",IF('ORDENES'!$N959="","-",'ORDENES'!$N959))</f>
        <v/>
      </c>
      <c r="M981" s="3">
        <f>IF('ORDENES'!$A959="","",'ORDENES'!$AA959)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IF('ORDENES'!$A960="","",IF('ORDENES'!$AC960="","-",'ORDENES'!$AC960))</f>
        <v/>
      </c>
      <c r="D982" s="3">
        <f>IF('ORDENES'!$A960="","",IF('ORDENES'!$V960="","-",'ORDENES'!$V960))</f>
        <v/>
      </c>
      <c r="E982" s="3">
        <f>IF('ORDENES'!$A960="","",IF('ORDENES'!$U960="","-",'ORDENES'!$U960))</f>
        <v/>
      </c>
      <c r="F982" s="3">
        <f>IF('ORDENES'!$A960="","",IF('ORDENES'!$W960="","-",'ORDENES'!$W960))</f>
        <v/>
      </c>
      <c r="G982" s="3">
        <f>IF('ORDENES'!$A960="","",IF('ORDENES'!$AB960="","-",'ORDENES'!$AB960))</f>
        <v/>
      </c>
      <c r="H982" s="3">
        <f>IF('ORDENES'!$A960="","",IF('ORDENES'!$AN960="","-",'ORDENES'!$AN960))</f>
        <v/>
      </c>
      <c r="I982" s="3">
        <f>IF('ORDENES'!$A960="","",IF('ORDENES'!$D960="","-",'ORDENES'!$D960))</f>
        <v/>
      </c>
      <c r="J982" s="3">
        <f>IF('ORDENES'!$A960="","",IF('ORDENES'!$E960="","-",'ORDENES'!$E960))</f>
        <v/>
      </c>
      <c r="K982" s="12">
        <f>IF('ORDENES'!$A960="","",IF('ORDENES'!$M960="",0,'ORDENES'!$M960))</f>
        <v/>
      </c>
      <c r="L982" s="3">
        <f>IF('ORDENES'!$A960="","",IF('ORDENES'!$N960="","-",'ORDENES'!$N960))</f>
        <v/>
      </c>
      <c r="M982" s="3">
        <f>IF('ORDENES'!$A960="","",'ORDENES'!$AA960)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IF('ORDENES'!$A961="","",IF('ORDENES'!$AC961="","-",'ORDENES'!$AC961))</f>
        <v/>
      </c>
      <c r="D983" s="3">
        <f>IF('ORDENES'!$A961="","",IF('ORDENES'!$V961="","-",'ORDENES'!$V961))</f>
        <v/>
      </c>
      <c r="E983" s="3">
        <f>IF('ORDENES'!$A961="","",IF('ORDENES'!$U961="","-",'ORDENES'!$U961))</f>
        <v/>
      </c>
      <c r="F983" s="3">
        <f>IF('ORDENES'!$A961="","",IF('ORDENES'!$W961="","-",'ORDENES'!$W961))</f>
        <v/>
      </c>
      <c r="G983" s="3">
        <f>IF('ORDENES'!$A961="","",IF('ORDENES'!$AB961="","-",'ORDENES'!$AB961))</f>
        <v/>
      </c>
      <c r="H983" s="3">
        <f>IF('ORDENES'!$A961="","",IF('ORDENES'!$AN961="","-",'ORDENES'!$AN961))</f>
        <v/>
      </c>
      <c r="I983" s="3">
        <f>IF('ORDENES'!$A961="","",IF('ORDENES'!$D961="","-",'ORDENES'!$D961))</f>
        <v/>
      </c>
      <c r="J983" s="3">
        <f>IF('ORDENES'!$A961="","",IF('ORDENES'!$E961="","-",'ORDENES'!$E961))</f>
        <v/>
      </c>
      <c r="K983" s="12">
        <f>IF('ORDENES'!$A961="","",IF('ORDENES'!$M961="",0,'ORDENES'!$M961))</f>
        <v/>
      </c>
      <c r="L983" s="3">
        <f>IF('ORDENES'!$A961="","",IF('ORDENES'!$N961="","-",'ORDENES'!$N961))</f>
        <v/>
      </c>
      <c r="M983" s="3">
        <f>IF('ORDENES'!$A961="","",'ORDENES'!$AA961)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IF('ORDENES'!$A962="","",IF('ORDENES'!$AC962="","-",'ORDENES'!$AC962))</f>
        <v/>
      </c>
      <c r="D984" s="3">
        <f>IF('ORDENES'!$A962="","",IF('ORDENES'!$V962="","-",'ORDENES'!$V962))</f>
        <v/>
      </c>
      <c r="E984" s="3">
        <f>IF('ORDENES'!$A962="","",IF('ORDENES'!$U962="","-",'ORDENES'!$U962))</f>
        <v/>
      </c>
      <c r="F984" s="3">
        <f>IF('ORDENES'!$A962="","",IF('ORDENES'!$W962="","-",'ORDENES'!$W962))</f>
        <v/>
      </c>
      <c r="G984" s="3">
        <f>IF('ORDENES'!$A962="","",IF('ORDENES'!$AB962="","-",'ORDENES'!$AB962))</f>
        <v/>
      </c>
      <c r="H984" s="3">
        <f>IF('ORDENES'!$A962="","",IF('ORDENES'!$AN962="","-",'ORDENES'!$AN962))</f>
        <v/>
      </c>
      <c r="I984" s="3">
        <f>IF('ORDENES'!$A962="","",IF('ORDENES'!$D962="","-",'ORDENES'!$D962))</f>
        <v/>
      </c>
      <c r="J984" s="3">
        <f>IF('ORDENES'!$A962="","",IF('ORDENES'!$E962="","-",'ORDENES'!$E962))</f>
        <v/>
      </c>
      <c r="K984" s="12">
        <f>IF('ORDENES'!$A962="","",IF('ORDENES'!$M962="",0,'ORDENES'!$M962))</f>
        <v/>
      </c>
      <c r="L984" s="3">
        <f>IF('ORDENES'!$A962="","",IF('ORDENES'!$N962="","-",'ORDENES'!$N962))</f>
        <v/>
      </c>
      <c r="M984" s="3">
        <f>IF('ORDENES'!$A962="","",'ORDENES'!$AA962)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IF('ORDENES'!$A963="","",IF('ORDENES'!$AC963="","-",'ORDENES'!$AC963))</f>
        <v/>
      </c>
      <c r="D985" s="3">
        <f>IF('ORDENES'!$A963="","",IF('ORDENES'!$V963="","-",'ORDENES'!$V963))</f>
        <v/>
      </c>
      <c r="E985" s="3">
        <f>IF('ORDENES'!$A963="","",IF('ORDENES'!$U963="","-",'ORDENES'!$U963))</f>
        <v/>
      </c>
      <c r="F985" s="3">
        <f>IF('ORDENES'!$A963="","",IF('ORDENES'!$W963="","-",'ORDENES'!$W963))</f>
        <v/>
      </c>
      <c r="G985" s="3">
        <f>IF('ORDENES'!$A963="","",IF('ORDENES'!$AB963="","-",'ORDENES'!$AB963))</f>
        <v/>
      </c>
      <c r="H985" s="3">
        <f>IF('ORDENES'!$A963="","",IF('ORDENES'!$AN963="","-",'ORDENES'!$AN963))</f>
        <v/>
      </c>
      <c r="I985" s="3">
        <f>IF('ORDENES'!$A963="","",IF('ORDENES'!$D963="","-",'ORDENES'!$D963))</f>
        <v/>
      </c>
      <c r="J985" s="3">
        <f>IF('ORDENES'!$A963="","",IF('ORDENES'!$E963="","-",'ORDENES'!$E963))</f>
        <v/>
      </c>
      <c r="K985" s="12">
        <f>IF('ORDENES'!$A963="","",IF('ORDENES'!$M963="",0,'ORDENES'!$M963))</f>
        <v/>
      </c>
      <c r="L985" s="3">
        <f>IF('ORDENES'!$A963="","",IF('ORDENES'!$N963="","-",'ORDENES'!$N963))</f>
        <v/>
      </c>
      <c r="M985" s="3">
        <f>IF('ORDENES'!$A963="","",'ORDENES'!$AA963)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IF('ORDENES'!$A964="","",IF('ORDENES'!$AC964="","-",'ORDENES'!$AC964))</f>
        <v/>
      </c>
      <c r="D986" s="3">
        <f>IF('ORDENES'!$A964="","",IF('ORDENES'!$V964="","-",'ORDENES'!$V964))</f>
        <v/>
      </c>
      <c r="E986" s="3">
        <f>IF('ORDENES'!$A964="","",IF('ORDENES'!$U964="","-",'ORDENES'!$U964))</f>
        <v/>
      </c>
      <c r="F986" s="3">
        <f>IF('ORDENES'!$A964="","",IF('ORDENES'!$W964="","-",'ORDENES'!$W964))</f>
        <v/>
      </c>
      <c r="G986" s="3">
        <f>IF('ORDENES'!$A964="","",IF('ORDENES'!$AB964="","-",'ORDENES'!$AB964))</f>
        <v/>
      </c>
      <c r="H986" s="3">
        <f>IF('ORDENES'!$A964="","",IF('ORDENES'!$AN964="","-",'ORDENES'!$AN964))</f>
        <v/>
      </c>
      <c r="I986" s="3">
        <f>IF('ORDENES'!$A964="","",IF('ORDENES'!$D964="","-",'ORDENES'!$D964))</f>
        <v/>
      </c>
      <c r="J986" s="3">
        <f>IF('ORDENES'!$A964="","",IF('ORDENES'!$E964="","-",'ORDENES'!$E964))</f>
        <v/>
      </c>
      <c r="K986" s="12">
        <f>IF('ORDENES'!$A964="","",IF('ORDENES'!$M964="",0,'ORDENES'!$M964))</f>
        <v/>
      </c>
      <c r="L986" s="3">
        <f>IF('ORDENES'!$A964="","",IF('ORDENES'!$N964="","-",'ORDENES'!$N964))</f>
        <v/>
      </c>
      <c r="M986" s="3">
        <f>IF('ORDENES'!$A964="","",'ORDENES'!$AA964)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IF('ORDENES'!$A965="","",IF('ORDENES'!$AC965="","-",'ORDENES'!$AC965))</f>
        <v/>
      </c>
      <c r="D987" s="3">
        <f>IF('ORDENES'!$A965="","",IF('ORDENES'!$V965="","-",'ORDENES'!$V965))</f>
        <v/>
      </c>
      <c r="E987" s="3">
        <f>IF('ORDENES'!$A965="","",IF('ORDENES'!$U965="","-",'ORDENES'!$U965))</f>
        <v/>
      </c>
      <c r="F987" s="3">
        <f>IF('ORDENES'!$A965="","",IF('ORDENES'!$W965="","-",'ORDENES'!$W965))</f>
        <v/>
      </c>
      <c r="G987" s="3">
        <f>IF('ORDENES'!$A965="","",IF('ORDENES'!$AB965="","-",'ORDENES'!$AB965))</f>
        <v/>
      </c>
      <c r="H987" s="3">
        <f>IF('ORDENES'!$A965="","",IF('ORDENES'!$AN965="","-",'ORDENES'!$AN965))</f>
        <v/>
      </c>
      <c r="I987" s="3">
        <f>IF('ORDENES'!$A965="","",IF('ORDENES'!$D965="","-",'ORDENES'!$D965))</f>
        <v/>
      </c>
      <c r="J987" s="3">
        <f>IF('ORDENES'!$A965="","",IF('ORDENES'!$E965="","-",'ORDENES'!$E965))</f>
        <v/>
      </c>
      <c r="K987" s="12">
        <f>IF('ORDENES'!$A965="","",IF('ORDENES'!$M965="",0,'ORDENES'!$M965))</f>
        <v/>
      </c>
      <c r="L987" s="3">
        <f>IF('ORDENES'!$A965="","",IF('ORDENES'!$N965="","-",'ORDENES'!$N965))</f>
        <v/>
      </c>
      <c r="M987" s="3">
        <f>IF('ORDENES'!$A965="","",'ORDENES'!$AA965)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IF('ORDENES'!$A966="","",IF('ORDENES'!$AC966="","-",'ORDENES'!$AC966))</f>
        <v/>
      </c>
      <c r="D988" s="3">
        <f>IF('ORDENES'!$A966="","",IF('ORDENES'!$V966="","-",'ORDENES'!$V966))</f>
        <v/>
      </c>
      <c r="E988" s="3">
        <f>IF('ORDENES'!$A966="","",IF('ORDENES'!$U966="","-",'ORDENES'!$U966))</f>
        <v/>
      </c>
      <c r="F988" s="3">
        <f>IF('ORDENES'!$A966="","",IF('ORDENES'!$W966="","-",'ORDENES'!$W966))</f>
        <v/>
      </c>
      <c r="G988" s="3">
        <f>IF('ORDENES'!$A966="","",IF('ORDENES'!$AB966="","-",'ORDENES'!$AB966))</f>
        <v/>
      </c>
      <c r="H988" s="3">
        <f>IF('ORDENES'!$A966="","",IF('ORDENES'!$AN966="","-",'ORDENES'!$AN966))</f>
        <v/>
      </c>
      <c r="I988" s="3">
        <f>IF('ORDENES'!$A966="","",IF('ORDENES'!$D966="","-",'ORDENES'!$D966))</f>
        <v/>
      </c>
      <c r="J988" s="3">
        <f>IF('ORDENES'!$A966="","",IF('ORDENES'!$E966="","-",'ORDENES'!$E966))</f>
        <v/>
      </c>
      <c r="K988" s="12">
        <f>IF('ORDENES'!$A966="","",IF('ORDENES'!$M966="",0,'ORDENES'!$M966))</f>
        <v/>
      </c>
      <c r="L988" s="3">
        <f>IF('ORDENES'!$A966="","",IF('ORDENES'!$N966="","-",'ORDENES'!$N966))</f>
        <v/>
      </c>
      <c r="M988" s="3">
        <f>IF('ORDENES'!$A966="","",'ORDENES'!$AA966)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IF('ORDENES'!$A967="","",IF('ORDENES'!$AC967="","-",'ORDENES'!$AC967))</f>
        <v/>
      </c>
      <c r="D989" s="3">
        <f>IF('ORDENES'!$A967="","",IF('ORDENES'!$V967="","-",'ORDENES'!$V967))</f>
        <v/>
      </c>
      <c r="E989" s="3">
        <f>IF('ORDENES'!$A967="","",IF('ORDENES'!$U967="","-",'ORDENES'!$U967))</f>
        <v/>
      </c>
      <c r="F989" s="3">
        <f>IF('ORDENES'!$A967="","",IF('ORDENES'!$W967="","-",'ORDENES'!$W967))</f>
        <v/>
      </c>
      <c r="G989" s="3">
        <f>IF('ORDENES'!$A967="","",IF('ORDENES'!$AB967="","-",'ORDENES'!$AB967))</f>
        <v/>
      </c>
      <c r="H989" s="3">
        <f>IF('ORDENES'!$A967="","",IF('ORDENES'!$AN967="","-",'ORDENES'!$AN967))</f>
        <v/>
      </c>
      <c r="I989" s="3">
        <f>IF('ORDENES'!$A967="","",IF('ORDENES'!$D967="","-",'ORDENES'!$D967))</f>
        <v/>
      </c>
      <c r="J989" s="3">
        <f>IF('ORDENES'!$A967="","",IF('ORDENES'!$E967="","-",'ORDENES'!$E967))</f>
        <v/>
      </c>
      <c r="K989" s="12">
        <f>IF('ORDENES'!$A967="","",IF('ORDENES'!$M967="",0,'ORDENES'!$M967))</f>
        <v/>
      </c>
      <c r="L989" s="3">
        <f>IF('ORDENES'!$A967="","",IF('ORDENES'!$N967="","-",'ORDENES'!$N967))</f>
        <v/>
      </c>
      <c r="M989" s="3">
        <f>IF('ORDENES'!$A967="","",'ORDENES'!$AA967)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IF('ORDENES'!$A968="","",IF('ORDENES'!$AC968="","-",'ORDENES'!$AC968))</f>
        <v/>
      </c>
      <c r="D990" s="3">
        <f>IF('ORDENES'!$A968="","",IF('ORDENES'!$V968="","-",'ORDENES'!$V968))</f>
        <v/>
      </c>
      <c r="E990" s="3">
        <f>IF('ORDENES'!$A968="","",IF('ORDENES'!$U968="","-",'ORDENES'!$U968))</f>
        <v/>
      </c>
      <c r="F990" s="3">
        <f>IF('ORDENES'!$A968="","",IF('ORDENES'!$W968="","-",'ORDENES'!$W968))</f>
        <v/>
      </c>
      <c r="G990" s="3">
        <f>IF('ORDENES'!$A968="","",IF('ORDENES'!$AB968="","-",'ORDENES'!$AB968))</f>
        <v/>
      </c>
      <c r="H990" s="3">
        <f>IF('ORDENES'!$A968="","",IF('ORDENES'!$AN968="","-",'ORDENES'!$AN968))</f>
        <v/>
      </c>
      <c r="I990" s="3">
        <f>IF('ORDENES'!$A968="","",IF('ORDENES'!$D968="","-",'ORDENES'!$D968))</f>
        <v/>
      </c>
      <c r="J990" s="3">
        <f>IF('ORDENES'!$A968="","",IF('ORDENES'!$E968="","-",'ORDENES'!$E968))</f>
        <v/>
      </c>
      <c r="K990" s="12">
        <f>IF('ORDENES'!$A968="","",IF('ORDENES'!$M968="",0,'ORDENES'!$M968))</f>
        <v/>
      </c>
      <c r="L990" s="3">
        <f>IF('ORDENES'!$A968="","",IF('ORDENES'!$N968="","-",'ORDENES'!$N968))</f>
        <v/>
      </c>
      <c r="M990" s="3">
        <f>IF('ORDENES'!$A968="","",'ORDENES'!$AA968)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IF('ORDENES'!$A969="","",IF('ORDENES'!$AC969="","-",'ORDENES'!$AC969))</f>
        <v/>
      </c>
      <c r="D991" s="3">
        <f>IF('ORDENES'!$A969="","",IF('ORDENES'!$V969="","-",'ORDENES'!$V969))</f>
        <v/>
      </c>
      <c r="E991" s="3">
        <f>IF('ORDENES'!$A969="","",IF('ORDENES'!$U969="","-",'ORDENES'!$U969))</f>
        <v/>
      </c>
      <c r="F991" s="3">
        <f>IF('ORDENES'!$A969="","",IF('ORDENES'!$W969="","-",'ORDENES'!$W969))</f>
        <v/>
      </c>
      <c r="G991" s="3">
        <f>IF('ORDENES'!$A969="","",IF('ORDENES'!$AB969="","-",'ORDENES'!$AB969))</f>
        <v/>
      </c>
      <c r="H991" s="3">
        <f>IF('ORDENES'!$A969="","",IF('ORDENES'!$AN969="","-",'ORDENES'!$AN969))</f>
        <v/>
      </c>
      <c r="I991" s="3">
        <f>IF('ORDENES'!$A969="","",IF('ORDENES'!$D969="","-",'ORDENES'!$D969))</f>
        <v/>
      </c>
      <c r="J991" s="3">
        <f>IF('ORDENES'!$A969="","",IF('ORDENES'!$E969="","-",'ORDENES'!$E969))</f>
        <v/>
      </c>
      <c r="K991" s="12">
        <f>IF('ORDENES'!$A969="","",IF('ORDENES'!$M969="",0,'ORDENES'!$M969))</f>
        <v/>
      </c>
      <c r="L991" s="3">
        <f>IF('ORDENES'!$A969="","",IF('ORDENES'!$N969="","-",'ORDENES'!$N969))</f>
        <v/>
      </c>
      <c r="M991" s="3">
        <f>IF('ORDENES'!$A969="","",'ORDENES'!$AA969)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IF('ORDENES'!$A970="","",IF('ORDENES'!$AC970="","-",'ORDENES'!$AC970))</f>
        <v/>
      </c>
      <c r="D992" s="3">
        <f>IF('ORDENES'!$A970="","",IF('ORDENES'!$V970="","-",'ORDENES'!$V970))</f>
        <v/>
      </c>
      <c r="E992" s="3">
        <f>IF('ORDENES'!$A970="","",IF('ORDENES'!$U970="","-",'ORDENES'!$U970))</f>
        <v/>
      </c>
      <c r="F992" s="3">
        <f>IF('ORDENES'!$A970="","",IF('ORDENES'!$W970="","-",'ORDENES'!$W970))</f>
        <v/>
      </c>
      <c r="G992" s="3">
        <f>IF('ORDENES'!$A970="","",IF('ORDENES'!$AB970="","-",'ORDENES'!$AB970))</f>
        <v/>
      </c>
      <c r="H992" s="3">
        <f>IF('ORDENES'!$A970="","",IF('ORDENES'!$AN970="","-",'ORDENES'!$AN970))</f>
        <v/>
      </c>
      <c r="I992" s="3">
        <f>IF('ORDENES'!$A970="","",IF('ORDENES'!$D970="","-",'ORDENES'!$D970))</f>
        <v/>
      </c>
      <c r="J992" s="3">
        <f>IF('ORDENES'!$A970="","",IF('ORDENES'!$E970="","-",'ORDENES'!$E970))</f>
        <v/>
      </c>
      <c r="K992" s="12">
        <f>IF('ORDENES'!$A970="","",IF('ORDENES'!$M970="",0,'ORDENES'!$M970))</f>
        <v/>
      </c>
      <c r="L992" s="3">
        <f>IF('ORDENES'!$A970="","",IF('ORDENES'!$N970="","-",'ORDENES'!$N970))</f>
        <v/>
      </c>
      <c r="M992" s="3">
        <f>IF('ORDENES'!$A970="","",'ORDENES'!$AA970)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IF('ORDENES'!$A971="","",IF('ORDENES'!$AC971="","-",'ORDENES'!$AC971))</f>
        <v/>
      </c>
      <c r="D993" s="3">
        <f>IF('ORDENES'!$A971="","",IF('ORDENES'!$V971="","-",'ORDENES'!$V971))</f>
        <v/>
      </c>
      <c r="E993" s="3">
        <f>IF('ORDENES'!$A971="","",IF('ORDENES'!$U971="","-",'ORDENES'!$U971))</f>
        <v/>
      </c>
      <c r="F993" s="3">
        <f>IF('ORDENES'!$A971="","",IF('ORDENES'!$W971="","-",'ORDENES'!$W971))</f>
        <v/>
      </c>
      <c r="G993" s="3">
        <f>IF('ORDENES'!$A971="","",IF('ORDENES'!$AB971="","-",'ORDENES'!$AB971))</f>
        <v/>
      </c>
      <c r="H993" s="3">
        <f>IF('ORDENES'!$A971="","",IF('ORDENES'!$AN971="","-",'ORDENES'!$AN971))</f>
        <v/>
      </c>
      <c r="I993" s="3">
        <f>IF('ORDENES'!$A971="","",IF('ORDENES'!$D971="","-",'ORDENES'!$D971))</f>
        <v/>
      </c>
      <c r="J993" s="3">
        <f>IF('ORDENES'!$A971="","",IF('ORDENES'!$E971="","-",'ORDENES'!$E971))</f>
        <v/>
      </c>
      <c r="K993" s="12">
        <f>IF('ORDENES'!$A971="","",IF('ORDENES'!$M971="",0,'ORDENES'!$M971))</f>
        <v/>
      </c>
      <c r="L993" s="3">
        <f>IF('ORDENES'!$A971="","",IF('ORDENES'!$N971="","-",'ORDENES'!$N971))</f>
        <v/>
      </c>
      <c r="M993" s="3">
        <f>IF('ORDENES'!$A971="","",'ORDENES'!$AA971)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IF('ORDENES'!$A972="","",IF('ORDENES'!$AC972="","-",'ORDENES'!$AC972))</f>
        <v/>
      </c>
      <c r="D994" s="3">
        <f>IF('ORDENES'!$A972="","",IF('ORDENES'!$V972="","-",'ORDENES'!$V972))</f>
        <v/>
      </c>
      <c r="E994" s="3">
        <f>IF('ORDENES'!$A972="","",IF('ORDENES'!$U972="","-",'ORDENES'!$U972))</f>
        <v/>
      </c>
      <c r="F994" s="3">
        <f>IF('ORDENES'!$A972="","",IF('ORDENES'!$W972="","-",'ORDENES'!$W972))</f>
        <v/>
      </c>
      <c r="G994" s="3">
        <f>IF('ORDENES'!$A972="","",IF('ORDENES'!$AB972="","-",'ORDENES'!$AB972))</f>
        <v/>
      </c>
      <c r="H994" s="3">
        <f>IF('ORDENES'!$A972="","",IF('ORDENES'!$AN972="","-",'ORDENES'!$AN972))</f>
        <v/>
      </c>
      <c r="I994" s="3">
        <f>IF('ORDENES'!$A972="","",IF('ORDENES'!$D972="","-",'ORDENES'!$D972))</f>
        <v/>
      </c>
      <c r="J994" s="3">
        <f>IF('ORDENES'!$A972="","",IF('ORDENES'!$E972="","-",'ORDENES'!$E972))</f>
        <v/>
      </c>
      <c r="K994" s="12">
        <f>IF('ORDENES'!$A972="","",IF('ORDENES'!$M972="",0,'ORDENES'!$M972))</f>
        <v/>
      </c>
      <c r="L994" s="3">
        <f>IF('ORDENES'!$A972="","",IF('ORDENES'!$N972="","-",'ORDENES'!$N972))</f>
        <v/>
      </c>
      <c r="M994" s="3">
        <f>IF('ORDENES'!$A972="","",'ORDENES'!$AA972)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IF('ORDENES'!$A973="","",IF('ORDENES'!$AC973="","-",'ORDENES'!$AC973))</f>
        <v/>
      </c>
      <c r="D995" s="3">
        <f>IF('ORDENES'!$A973="","",IF('ORDENES'!$V973="","-",'ORDENES'!$V973))</f>
        <v/>
      </c>
      <c r="E995" s="3">
        <f>IF('ORDENES'!$A973="","",IF('ORDENES'!$U973="","-",'ORDENES'!$U973))</f>
        <v/>
      </c>
      <c r="F995" s="3">
        <f>IF('ORDENES'!$A973="","",IF('ORDENES'!$W973="","-",'ORDENES'!$W973))</f>
        <v/>
      </c>
      <c r="G995" s="3">
        <f>IF('ORDENES'!$A973="","",IF('ORDENES'!$AB973="","-",'ORDENES'!$AB973))</f>
        <v/>
      </c>
      <c r="H995" s="3">
        <f>IF('ORDENES'!$A973="","",IF('ORDENES'!$AN973="","-",'ORDENES'!$AN973))</f>
        <v/>
      </c>
      <c r="I995" s="3">
        <f>IF('ORDENES'!$A973="","",IF('ORDENES'!$D973="","-",'ORDENES'!$D973))</f>
        <v/>
      </c>
      <c r="J995" s="3">
        <f>IF('ORDENES'!$A973="","",IF('ORDENES'!$E973="","-",'ORDENES'!$E973))</f>
        <v/>
      </c>
      <c r="K995" s="12">
        <f>IF('ORDENES'!$A973="","",IF('ORDENES'!$M973="",0,'ORDENES'!$M973))</f>
        <v/>
      </c>
      <c r="L995" s="3">
        <f>IF('ORDENES'!$A973="","",IF('ORDENES'!$N973="","-",'ORDENES'!$N973))</f>
        <v/>
      </c>
      <c r="M995" s="3">
        <f>IF('ORDENES'!$A973="","",'ORDENES'!$AA973)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IF('ORDENES'!$A974="","",IF('ORDENES'!$AC974="","-",'ORDENES'!$AC974))</f>
        <v/>
      </c>
      <c r="D996" s="3">
        <f>IF('ORDENES'!$A974="","",IF('ORDENES'!$V974="","-",'ORDENES'!$V974))</f>
        <v/>
      </c>
      <c r="E996" s="3">
        <f>IF('ORDENES'!$A974="","",IF('ORDENES'!$U974="","-",'ORDENES'!$U974))</f>
        <v/>
      </c>
      <c r="F996" s="3">
        <f>IF('ORDENES'!$A974="","",IF('ORDENES'!$W974="","-",'ORDENES'!$W974))</f>
        <v/>
      </c>
      <c r="G996" s="3">
        <f>IF('ORDENES'!$A974="","",IF('ORDENES'!$AB974="","-",'ORDENES'!$AB974))</f>
        <v/>
      </c>
      <c r="H996" s="3">
        <f>IF('ORDENES'!$A974="","",IF('ORDENES'!$AN974="","-",'ORDENES'!$AN974))</f>
        <v/>
      </c>
      <c r="I996" s="3">
        <f>IF('ORDENES'!$A974="","",IF('ORDENES'!$D974="","-",'ORDENES'!$D974))</f>
        <v/>
      </c>
      <c r="J996" s="3">
        <f>IF('ORDENES'!$A974="","",IF('ORDENES'!$E974="","-",'ORDENES'!$E974))</f>
        <v/>
      </c>
      <c r="K996" s="12">
        <f>IF('ORDENES'!$A974="","",IF('ORDENES'!$M974="",0,'ORDENES'!$M974))</f>
        <v/>
      </c>
      <c r="L996" s="3">
        <f>IF('ORDENES'!$A974="","",IF('ORDENES'!$N974="","-",'ORDENES'!$N974))</f>
        <v/>
      </c>
      <c r="M996" s="3">
        <f>IF('ORDENES'!$A974="","",'ORDENES'!$AA974)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IF('ORDENES'!$A975="","",IF('ORDENES'!$AC975="","-",'ORDENES'!$AC975))</f>
        <v/>
      </c>
      <c r="D997" s="3">
        <f>IF('ORDENES'!$A975="","",IF('ORDENES'!$V975="","-",'ORDENES'!$V975))</f>
        <v/>
      </c>
      <c r="E997" s="3">
        <f>IF('ORDENES'!$A975="","",IF('ORDENES'!$U975="","-",'ORDENES'!$U975))</f>
        <v/>
      </c>
      <c r="F997" s="3">
        <f>IF('ORDENES'!$A975="","",IF('ORDENES'!$W975="","-",'ORDENES'!$W975))</f>
        <v/>
      </c>
      <c r="G997" s="3">
        <f>IF('ORDENES'!$A975="","",IF('ORDENES'!$AB975="","-",'ORDENES'!$AB975))</f>
        <v/>
      </c>
      <c r="H997" s="3">
        <f>IF('ORDENES'!$A975="","",IF('ORDENES'!$AN975="","-",'ORDENES'!$AN975))</f>
        <v/>
      </c>
      <c r="I997" s="3">
        <f>IF('ORDENES'!$A975="","",IF('ORDENES'!$D975="","-",'ORDENES'!$D975))</f>
        <v/>
      </c>
      <c r="J997" s="3">
        <f>IF('ORDENES'!$A975="","",IF('ORDENES'!$E975="","-",'ORDENES'!$E975))</f>
        <v/>
      </c>
      <c r="K997" s="12">
        <f>IF('ORDENES'!$A975="","",IF('ORDENES'!$M975="",0,'ORDENES'!$M975))</f>
        <v/>
      </c>
      <c r="L997" s="3">
        <f>IF('ORDENES'!$A975="","",IF('ORDENES'!$N975="","-",'ORDENES'!$N975))</f>
        <v/>
      </c>
      <c r="M997" s="3">
        <f>IF('ORDENES'!$A975="","",'ORDENES'!$AA975)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IF('ORDENES'!$A976="","",IF('ORDENES'!$AC976="","-",'ORDENES'!$AC976))</f>
        <v/>
      </c>
      <c r="D998" s="3">
        <f>IF('ORDENES'!$A976="","",IF('ORDENES'!$V976="","-",'ORDENES'!$V976))</f>
        <v/>
      </c>
      <c r="E998" s="3">
        <f>IF('ORDENES'!$A976="","",IF('ORDENES'!$U976="","-",'ORDENES'!$U976))</f>
        <v/>
      </c>
      <c r="F998" s="3">
        <f>IF('ORDENES'!$A976="","",IF('ORDENES'!$W976="","-",'ORDENES'!$W976))</f>
        <v/>
      </c>
      <c r="G998" s="3">
        <f>IF('ORDENES'!$A976="","",IF('ORDENES'!$AB976="","-",'ORDENES'!$AB976))</f>
        <v/>
      </c>
      <c r="H998" s="3">
        <f>IF('ORDENES'!$A976="","",IF('ORDENES'!$AN976="","-",'ORDENES'!$AN976))</f>
        <v/>
      </c>
      <c r="I998" s="3">
        <f>IF('ORDENES'!$A976="","",IF('ORDENES'!$D976="","-",'ORDENES'!$D976))</f>
        <v/>
      </c>
      <c r="J998" s="3">
        <f>IF('ORDENES'!$A976="","",IF('ORDENES'!$E976="","-",'ORDENES'!$E976))</f>
        <v/>
      </c>
      <c r="K998" s="12">
        <f>IF('ORDENES'!$A976="","",IF('ORDENES'!$M976="",0,'ORDENES'!$M976))</f>
        <v/>
      </c>
      <c r="L998" s="3">
        <f>IF('ORDENES'!$A976="","",IF('ORDENES'!$N976="","-",'ORDENES'!$N976))</f>
        <v/>
      </c>
      <c r="M998" s="3">
        <f>IF('ORDENES'!$A976="","",'ORDENES'!$AA976)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IF('ORDENES'!$A977="","",IF('ORDENES'!$AC977="","-",'ORDENES'!$AC977))</f>
        <v/>
      </c>
      <c r="D999" s="3">
        <f>IF('ORDENES'!$A977="","",IF('ORDENES'!$V977="","-",'ORDENES'!$V977))</f>
        <v/>
      </c>
      <c r="E999" s="3">
        <f>IF('ORDENES'!$A977="","",IF('ORDENES'!$U977="","-",'ORDENES'!$U977))</f>
        <v/>
      </c>
      <c r="F999" s="3">
        <f>IF('ORDENES'!$A977="","",IF('ORDENES'!$W977="","-",'ORDENES'!$W977))</f>
        <v/>
      </c>
      <c r="G999" s="3">
        <f>IF('ORDENES'!$A977="","",IF('ORDENES'!$AB977="","-",'ORDENES'!$AB977))</f>
        <v/>
      </c>
      <c r="H999" s="3">
        <f>IF('ORDENES'!$A977="","",IF('ORDENES'!$AN977="","-",'ORDENES'!$AN977))</f>
        <v/>
      </c>
      <c r="I999" s="3">
        <f>IF('ORDENES'!$A977="","",IF('ORDENES'!$D977="","-",'ORDENES'!$D977))</f>
        <v/>
      </c>
      <c r="J999" s="3">
        <f>IF('ORDENES'!$A977="","",IF('ORDENES'!$E977="","-",'ORDENES'!$E977))</f>
        <v/>
      </c>
      <c r="K999" s="12">
        <f>IF('ORDENES'!$A977="","",IF('ORDENES'!$M977="",0,'ORDENES'!$M977))</f>
        <v/>
      </c>
      <c r="L999" s="3">
        <f>IF('ORDENES'!$A977="","",IF('ORDENES'!$N977="","-",'ORDENES'!$N977))</f>
        <v/>
      </c>
      <c r="M999" s="3">
        <f>IF('ORDENES'!$A977="","",'ORDENES'!$AA977)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IF('ORDENES'!$A978="","",IF('ORDENES'!$AC978="","-",'ORDENES'!$AC978))</f>
        <v/>
      </c>
      <c r="D1000" s="3">
        <f>IF('ORDENES'!$A978="","",IF('ORDENES'!$V978="","-",'ORDENES'!$V978))</f>
        <v/>
      </c>
      <c r="E1000" s="3">
        <f>IF('ORDENES'!$A978="","",IF('ORDENES'!$U978="","-",'ORDENES'!$U978))</f>
        <v/>
      </c>
      <c r="F1000" s="3">
        <f>IF('ORDENES'!$A978="","",IF('ORDENES'!$W978="","-",'ORDENES'!$W978))</f>
        <v/>
      </c>
      <c r="G1000" s="3">
        <f>IF('ORDENES'!$A978="","",IF('ORDENES'!$AB978="","-",'ORDENES'!$AB978))</f>
        <v/>
      </c>
      <c r="H1000" s="3">
        <f>IF('ORDENES'!$A978="","",IF('ORDENES'!$AN978="","-",'ORDENES'!$AN978))</f>
        <v/>
      </c>
      <c r="I1000" s="3">
        <f>IF('ORDENES'!$A978="","",IF('ORDENES'!$D978="","-",'ORDENES'!$D978))</f>
        <v/>
      </c>
      <c r="J1000" s="3">
        <f>IF('ORDENES'!$A978="","",IF('ORDENES'!$E978="","-",'ORDENES'!$E978))</f>
        <v/>
      </c>
      <c r="K1000" s="12">
        <f>IF('ORDENES'!$A978="","",IF('ORDENES'!$M978="",0,'ORDENES'!$M978))</f>
        <v/>
      </c>
      <c r="L1000" s="3">
        <f>IF('ORDENES'!$A978="","",IF('ORDENES'!$N978="","-",'ORDENES'!$N978))</f>
        <v/>
      </c>
      <c r="M1000" s="3">
        <f>IF('ORDENES'!$A978="","",'ORDENES'!$AA978)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IF('ORDENES'!$A979="","",IF('ORDENES'!$AC979="","-",'ORDENES'!$AC979))</f>
        <v/>
      </c>
      <c r="D1001" s="3">
        <f>IF('ORDENES'!$A979="","",IF('ORDENES'!$V979="","-",'ORDENES'!$V979))</f>
        <v/>
      </c>
      <c r="E1001" s="3">
        <f>IF('ORDENES'!$A979="","",IF('ORDENES'!$U979="","-",'ORDENES'!$U979))</f>
        <v/>
      </c>
      <c r="F1001" s="3">
        <f>IF('ORDENES'!$A979="","",IF('ORDENES'!$W979="","-",'ORDENES'!$W979))</f>
        <v/>
      </c>
      <c r="G1001" s="3">
        <f>IF('ORDENES'!$A979="","",IF('ORDENES'!$AB979="","-",'ORDENES'!$AB979))</f>
        <v/>
      </c>
      <c r="H1001" s="3">
        <f>IF('ORDENES'!$A979="","",IF('ORDENES'!$AN979="","-",'ORDENES'!$AN979))</f>
        <v/>
      </c>
      <c r="I1001" s="3">
        <f>IF('ORDENES'!$A979="","",IF('ORDENES'!$D979="","-",'ORDENES'!$D979))</f>
        <v/>
      </c>
      <c r="J1001" s="3">
        <f>IF('ORDENES'!$A979="","",IF('ORDENES'!$E979="","-",'ORDENES'!$E979))</f>
        <v/>
      </c>
      <c r="K1001" s="12">
        <f>IF('ORDENES'!$A979="","",IF('ORDENES'!$M979="",0,'ORDENES'!$M979))</f>
        <v/>
      </c>
      <c r="L1001" s="3">
        <f>IF('ORDENES'!$A979="","",IF('ORDENES'!$N979="","-",'ORDENES'!$N979))</f>
        <v/>
      </c>
      <c r="M1001" s="3">
        <f>IF('ORDENES'!$A979="","",'ORDENES'!$AA979)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IF('ORDENES'!$A980="","",IF('ORDENES'!$AC980="","-",'ORDENES'!$AC980))</f>
        <v/>
      </c>
      <c r="D1002" s="3">
        <f>IF('ORDENES'!$A980="","",IF('ORDENES'!$V980="","-",'ORDENES'!$V980))</f>
        <v/>
      </c>
      <c r="E1002" s="3">
        <f>IF('ORDENES'!$A980="","",IF('ORDENES'!$U980="","-",'ORDENES'!$U980))</f>
        <v/>
      </c>
      <c r="F1002" s="3">
        <f>IF('ORDENES'!$A980="","",IF('ORDENES'!$W980="","-",'ORDENES'!$W980))</f>
        <v/>
      </c>
      <c r="G1002" s="3">
        <f>IF('ORDENES'!$A980="","",IF('ORDENES'!$AB980="","-",'ORDENES'!$AB980))</f>
        <v/>
      </c>
      <c r="H1002" s="3">
        <f>IF('ORDENES'!$A980="","",IF('ORDENES'!$AN980="","-",'ORDENES'!$AN980))</f>
        <v/>
      </c>
      <c r="I1002" s="3">
        <f>IF('ORDENES'!$A980="","",IF('ORDENES'!$D980="","-",'ORDENES'!$D980))</f>
        <v/>
      </c>
      <c r="J1002" s="3">
        <f>IF('ORDENES'!$A980="","",IF('ORDENES'!$E980="","-",'ORDENES'!$E980))</f>
        <v/>
      </c>
      <c r="K1002" s="12">
        <f>IF('ORDENES'!$A980="","",IF('ORDENES'!$M980="",0,'ORDENES'!$M980))</f>
        <v/>
      </c>
      <c r="L1002" s="3">
        <f>IF('ORDENES'!$A980="","",IF('ORDENES'!$N980="","-",'ORDENES'!$N980))</f>
        <v/>
      </c>
      <c r="M1002" s="3">
        <f>IF('ORDENES'!$A980="","",'ORDENES'!$AA980)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IF('ORDENES'!$A981="","",IF('ORDENES'!$AC981="","-",'ORDENES'!$AC981))</f>
        <v/>
      </c>
      <c r="D1003" s="3">
        <f>IF('ORDENES'!$A981="","",IF('ORDENES'!$V981="","-",'ORDENES'!$V981))</f>
        <v/>
      </c>
      <c r="E1003" s="3">
        <f>IF('ORDENES'!$A981="","",IF('ORDENES'!$U981="","-",'ORDENES'!$U981))</f>
        <v/>
      </c>
      <c r="F1003" s="3">
        <f>IF('ORDENES'!$A981="","",IF('ORDENES'!$W981="","-",'ORDENES'!$W981))</f>
        <v/>
      </c>
      <c r="G1003" s="3">
        <f>IF('ORDENES'!$A981="","",IF('ORDENES'!$AB981="","-",'ORDENES'!$AB981))</f>
        <v/>
      </c>
      <c r="H1003" s="3">
        <f>IF('ORDENES'!$A981="","",IF('ORDENES'!$AN981="","-",'ORDENES'!$AN981))</f>
        <v/>
      </c>
      <c r="I1003" s="3">
        <f>IF('ORDENES'!$A981="","",IF('ORDENES'!$D981="","-",'ORDENES'!$D981))</f>
        <v/>
      </c>
      <c r="J1003" s="3">
        <f>IF('ORDENES'!$A981="","",IF('ORDENES'!$E981="","-",'ORDENES'!$E981))</f>
        <v/>
      </c>
      <c r="K1003" s="12">
        <f>IF('ORDENES'!$A981="","",IF('ORDENES'!$M981="",0,'ORDENES'!$M981))</f>
        <v/>
      </c>
      <c r="L1003" s="3">
        <f>IF('ORDENES'!$A981="","",IF('ORDENES'!$N981="","-",'ORDENES'!$N981))</f>
        <v/>
      </c>
      <c r="M1003" s="3">
        <f>IF('ORDENES'!$A981="","",'ORDENES'!$AA981)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IF('ORDENES'!$A982="","",IF('ORDENES'!$AC982="","-",'ORDENES'!$AC982))</f>
        <v/>
      </c>
      <c r="D1004" s="3">
        <f>IF('ORDENES'!$A982="","",IF('ORDENES'!$V982="","-",'ORDENES'!$V982))</f>
        <v/>
      </c>
      <c r="E1004" s="3">
        <f>IF('ORDENES'!$A982="","",IF('ORDENES'!$U982="","-",'ORDENES'!$U982))</f>
        <v/>
      </c>
      <c r="F1004" s="3">
        <f>IF('ORDENES'!$A982="","",IF('ORDENES'!$W982="","-",'ORDENES'!$W982))</f>
        <v/>
      </c>
      <c r="G1004" s="3">
        <f>IF('ORDENES'!$A982="","",IF('ORDENES'!$AB982="","-",'ORDENES'!$AB982))</f>
        <v/>
      </c>
      <c r="H1004" s="3">
        <f>IF('ORDENES'!$A982="","",IF('ORDENES'!$AN982="","-",'ORDENES'!$AN982))</f>
        <v/>
      </c>
      <c r="I1004" s="3">
        <f>IF('ORDENES'!$A982="","",IF('ORDENES'!$D982="","-",'ORDENES'!$D982))</f>
        <v/>
      </c>
      <c r="J1004" s="3">
        <f>IF('ORDENES'!$A982="","",IF('ORDENES'!$E982="","-",'ORDENES'!$E982))</f>
        <v/>
      </c>
      <c r="K1004" s="12">
        <f>IF('ORDENES'!$A982="","",IF('ORDENES'!$M982="",0,'ORDENES'!$M982))</f>
        <v/>
      </c>
      <c r="L1004" s="3">
        <f>IF('ORDENES'!$A982="","",IF('ORDENES'!$N982="","-",'ORDENES'!$N982))</f>
        <v/>
      </c>
      <c r="M1004" s="3">
        <f>IF('ORDENES'!$A982="","",'ORDENES'!$AA982)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IF('ORDENES'!$A983="","",IF('ORDENES'!$AC983="","-",'ORDENES'!$AC983))</f>
        <v/>
      </c>
      <c r="D1005" s="3">
        <f>IF('ORDENES'!$A983="","",IF('ORDENES'!$V983="","-",'ORDENES'!$V983))</f>
        <v/>
      </c>
      <c r="E1005" s="3">
        <f>IF('ORDENES'!$A983="","",IF('ORDENES'!$U983="","-",'ORDENES'!$U983))</f>
        <v/>
      </c>
      <c r="F1005" s="3">
        <f>IF('ORDENES'!$A983="","",IF('ORDENES'!$W983="","-",'ORDENES'!$W983))</f>
        <v/>
      </c>
      <c r="G1005" s="3">
        <f>IF('ORDENES'!$A983="","",IF('ORDENES'!$AB983="","-",'ORDENES'!$AB983))</f>
        <v/>
      </c>
      <c r="H1005" s="3">
        <f>IF('ORDENES'!$A983="","",IF('ORDENES'!$AN983="","-",'ORDENES'!$AN983))</f>
        <v/>
      </c>
      <c r="I1005" s="3">
        <f>IF('ORDENES'!$A983="","",IF('ORDENES'!$D983="","-",'ORDENES'!$D983))</f>
        <v/>
      </c>
      <c r="J1005" s="3">
        <f>IF('ORDENES'!$A983="","",IF('ORDENES'!$E983="","-",'ORDENES'!$E983))</f>
        <v/>
      </c>
      <c r="K1005" s="12">
        <f>IF('ORDENES'!$A983="","",IF('ORDENES'!$M983="",0,'ORDENES'!$M983))</f>
        <v/>
      </c>
      <c r="L1005" s="3">
        <f>IF('ORDENES'!$A983="","",IF('ORDENES'!$N983="","-",'ORDENES'!$N983))</f>
        <v/>
      </c>
      <c r="M1005" s="3">
        <f>IF('ORDENES'!$A983="","",'ORDENES'!$AA983)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IF('ORDENES'!$A984="","",IF('ORDENES'!$AC984="","-",'ORDENES'!$AC984))</f>
        <v/>
      </c>
      <c r="D1006" s="3">
        <f>IF('ORDENES'!$A984="","",IF('ORDENES'!$V984="","-",'ORDENES'!$V984))</f>
        <v/>
      </c>
      <c r="E1006" s="3">
        <f>IF('ORDENES'!$A984="","",IF('ORDENES'!$U984="","-",'ORDENES'!$U984))</f>
        <v/>
      </c>
      <c r="F1006" s="3">
        <f>IF('ORDENES'!$A984="","",IF('ORDENES'!$W984="","-",'ORDENES'!$W984))</f>
        <v/>
      </c>
      <c r="G1006" s="3">
        <f>IF('ORDENES'!$A984="","",IF('ORDENES'!$AB984="","-",'ORDENES'!$AB984))</f>
        <v/>
      </c>
      <c r="H1006" s="3">
        <f>IF('ORDENES'!$A984="","",IF('ORDENES'!$AN984="","-",'ORDENES'!$AN984))</f>
        <v/>
      </c>
      <c r="I1006" s="3">
        <f>IF('ORDENES'!$A984="","",IF('ORDENES'!$D984="","-",'ORDENES'!$D984))</f>
        <v/>
      </c>
      <c r="J1006" s="3">
        <f>IF('ORDENES'!$A984="","",IF('ORDENES'!$E984="","-",'ORDENES'!$E984))</f>
        <v/>
      </c>
      <c r="K1006" s="12">
        <f>IF('ORDENES'!$A984="","",IF('ORDENES'!$M984="",0,'ORDENES'!$M984))</f>
        <v/>
      </c>
      <c r="L1006" s="3">
        <f>IF('ORDENES'!$A984="","",IF('ORDENES'!$N984="","-",'ORDENES'!$N984))</f>
        <v/>
      </c>
      <c r="M1006" s="3">
        <f>IF('ORDENES'!$A984="","",'ORDENES'!$AA984)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IF('ORDENES'!$A985="","",IF('ORDENES'!$AC985="","-",'ORDENES'!$AC985))</f>
        <v/>
      </c>
      <c r="D1007" s="3">
        <f>IF('ORDENES'!$A985="","",IF('ORDENES'!$V985="","-",'ORDENES'!$V985))</f>
        <v/>
      </c>
      <c r="E1007" s="3">
        <f>IF('ORDENES'!$A985="","",IF('ORDENES'!$U985="","-",'ORDENES'!$U985))</f>
        <v/>
      </c>
      <c r="F1007" s="3">
        <f>IF('ORDENES'!$A985="","",IF('ORDENES'!$W985="","-",'ORDENES'!$W985))</f>
        <v/>
      </c>
      <c r="G1007" s="3">
        <f>IF('ORDENES'!$A985="","",IF('ORDENES'!$AB985="","-",'ORDENES'!$AB985))</f>
        <v/>
      </c>
      <c r="H1007" s="3">
        <f>IF('ORDENES'!$A985="","",IF('ORDENES'!$AN985="","-",'ORDENES'!$AN985))</f>
        <v/>
      </c>
      <c r="I1007" s="3">
        <f>IF('ORDENES'!$A985="","",IF('ORDENES'!$D985="","-",'ORDENES'!$D985))</f>
        <v/>
      </c>
      <c r="J1007" s="3">
        <f>IF('ORDENES'!$A985="","",IF('ORDENES'!$E985="","-",'ORDENES'!$E985))</f>
        <v/>
      </c>
      <c r="K1007" s="12">
        <f>IF('ORDENES'!$A985="","",IF('ORDENES'!$M985="",0,'ORDENES'!$M985))</f>
        <v/>
      </c>
      <c r="L1007" s="3">
        <f>IF('ORDENES'!$A985="","",IF('ORDENES'!$N985="","-",'ORDENES'!$N985))</f>
        <v/>
      </c>
      <c r="M1007" s="3">
        <f>IF('ORDENES'!$A985="","",'ORDENES'!$AA985)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IF('ORDENES'!$A986="","",IF('ORDENES'!$AC986="","-",'ORDENES'!$AC986))</f>
        <v/>
      </c>
      <c r="D1008" s="3">
        <f>IF('ORDENES'!$A986="","",IF('ORDENES'!$V986="","-",'ORDENES'!$V986))</f>
        <v/>
      </c>
      <c r="E1008" s="3">
        <f>IF('ORDENES'!$A986="","",IF('ORDENES'!$U986="","-",'ORDENES'!$U986))</f>
        <v/>
      </c>
      <c r="F1008" s="3">
        <f>IF('ORDENES'!$A986="","",IF('ORDENES'!$W986="","-",'ORDENES'!$W986))</f>
        <v/>
      </c>
      <c r="G1008" s="3">
        <f>IF('ORDENES'!$A986="","",IF('ORDENES'!$AB986="","-",'ORDENES'!$AB986))</f>
        <v/>
      </c>
      <c r="H1008" s="3">
        <f>IF('ORDENES'!$A986="","",IF('ORDENES'!$AN986="","-",'ORDENES'!$AN986))</f>
        <v/>
      </c>
      <c r="I1008" s="3">
        <f>IF('ORDENES'!$A986="","",IF('ORDENES'!$D986="","-",'ORDENES'!$D986))</f>
        <v/>
      </c>
      <c r="J1008" s="3">
        <f>IF('ORDENES'!$A986="","",IF('ORDENES'!$E986="","-",'ORDENES'!$E986))</f>
        <v/>
      </c>
      <c r="K1008" s="12">
        <f>IF('ORDENES'!$A986="","",IF('ORDENES'!$M986="",0,'ORDENES'!$M986))</f>
        <v/>
      </c>
      <c r="L1008" s="3">
        <f>IF('ORDENES'!$A986="","",IF('ORDENES'!$N986="","-",'ORDENES'!$N986))</f>
        <v/>
      </c>
      <c r="M1008" s="3">
        <f>IF('ORDENES'!$A986="","",'ORDENES'!$AA986)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IF('ORDENES'!$A987="","",IF('ORDENES'!$AC987="","-",'ORDENES'!$AC987))</f>
        <v/>
      </c>
      <c r="D1009" s="3">
        <f>IF('ORDENES'!$A987="","",IF('ORDENES'!$V987="","-",'ORDENES'!$V987))</f>
        <v/>
      </c>
      <c r="E1009" s="3">
        <f>IF('ORDENES'!$A987="","",IF('ORDENES'!$U987="","-",'ORDENES'!$U987))</f>
        <v/>
      </c>
      <c r="F1009" s="3">
        <f>IF('ORDENES'!$A987="","",IF('ORDENES'!$W987="","-",'ORDENES'!$W987))</f>
        <v/>
      </c>
      <c r="G1009" s="3">
        <f>IF('ORDENES'!$A987="","",IF('ORDENES'!$AB987="","-",'ORDENES'!$AB987))</f>
        <v/>
      </c>
      <c r="H1009" s="3">
        <f>IF('ORDENES'!$A987="","",IF('ORDENES'!$AN987="","-",'ORDENES'!$AN987))</f>
        <v/>
      </c>
      <c r="I1009" s="3">
        <f>IF('ORDENES'!$A987="","",IF('ORDENES'!$D987="","-",'ORDENES'!$D987))</f>
        <v/>
      </c>
      <c r="J1009" s="3">
        <f>IF('ORDENES'!$A987="","",IF('ORDENES'!$E987="","-",'ORDENES'!$E987))</f>
        <v/>
      </c>
      <c r="K1009" s="12">
        <f>IF('ORDENES'!$A987="","",IF('ORDENES'!$M987="",0,'ORDENES'!$M987))</f>
        <v/>
      </c>
      <c r="L1009" s="3">
        <f>IF('ORDENES'!$A987="","",IF('ORDENES'!$N987="","-",'ORDENES'!$N987))</f>
        <v/>
      </c>
      <c r="M1009" s="3">
        <f>IF('ORDENES'!$A987="","",'ORDENES'!$AA987)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IF('ORDENES'!$A988="","",IF('ORDENES'!$AC988="","-",'ORDENES'!$AC988))</f>
        <v/>
      </c>
      <c r="D1010" s="3">
        <f>IF('ORDENES'!$A988="","",IF('ORDENES'!$V988="","-",'ORDENES'!$V988))</f>
        <v/>
      </c>
      <c r="E1010" s="3">
        <f>IF('ORDENES'!$A988="","",IF('ORDENES'!$U988="","-",'ORDENES'!$U988))</f>
        <v/>
      </c>
      <c r="F1010" s="3">
        <f>IF('ORDENES'!$A988="","",IF('ORDENES'!$W988="","-",'ORDENES'!$W988))</f>
        <v/>
      </c>
      <c r="G1010" s="3">
        <f>IF('ORDENES'!$A988="","",IF('ORDENES'!$AB988="","-",'ORDENES'!$AB988))</f>
        <v/>
      </c>
      <c r="H1010" s="3">
        <f>IF('ORDENES'!$A988="","",IF('ORDENES'!$AN988="","-",'ORDENES'!$AN988))</f>
        <v/>
      </c>
      <c r="I1010" s="3">
        <f>IF('ORDENES'!$A988="","",IF('ORDENES'!$D988="","-",'ORDENES'!$D988))</f>
        <v/>
      </c>
      <c r="J1010" s="3">
        <f>IF('ORDENES'!$A988="","",IF('ORDENES'!$E988="","-",'ORDENES'!$E988))</f>
        <v/>
      </c>
      <c r="K1010" s="12">
        <f>IF('ORDENES'!$A988="","",IF('ORDENES'!$M988="",0,'ORDENES'!$M988))</f>
        <v/>
      </c>
      <c r="L1010" s="3">
        <f>IF('ORDENES'!$A988="","",IF('ORDENES'!$N988="","-",'ORDENES'!$N988))</f>
        <v/>
      </c>
      <c r="M1010" s="3">
        <f>IF('ORDENES'!$A988="","",'ORDENES'!$AA988)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IF('ORDENES'!$A989="","",IF('ORDENES'!$AC989="","-",'ORDENES'!$AC989))</f>
        <v/>
      </c>
      <c r="D1011" s="3">
        <f>IF('ORDENES'!$A989="","",IF('ORDENES'!$V989="","-",'ORDENES'!$V989))</f>
        <v/>
      </c>
      <c r="E1011" s="3">
        <f>IF('ORDENES'!$A989="","",IF('ORDENES'!$U989="","-",'ORDENES'!$U989))</f>
        <v/>
      </c>
      <c r="F1011" s="3">
        <f>IF('ORDENES'!$A989="","",IF('ORDENES'!$W989="","-",'ORDENES'!$W989))</f>
        <v/>
      </c>
      <c r="G1011" s="3">
        <f>IF('ORDENES'!$A989="","",IF('ORDENES'!$AB989="","-",'ORDENES'!$AB989))</f>
        <v/>
      </c>
      <c r="H1011" s="3">
        <f>IF('ORDENES'!$A989="","",IF('ORDENES'!$AN989="","-",'ORDENES'!$AN989))</f>
        <v/>
      </c>
      <c r="I1011" s="3">
        <f>IF('ORDENES'!$A989="","",IF('ORDENES'!$D989="","-",'ORDENES'!$D989))</f>
        <v/>
      </c>
      <c r="J1011" s="3">
        <f>IF('ORDENES'!$A989="","",IF('ORDENES'!$E989="","-",'ORDENES'!$E989))</f>
        <v/>
      </c>
      <c r="K1011" s="12">
        <f>IF('ORDENES'!$A989="","",IF('ORDENES'!$M989="",0,'ORDENES'!$M989))</f>
        <v/>
      </c>
      <c r="L1011" s="3">
        <f>IF('ORDENES'!$A989="","",IF('ORDENES'!$N989="","-",'ORDENES'!$N989))</f>
        <v/>
      </c>
      <c r="M1011" s="3">
        <f>IF('ORDENES'!$A989="","",'ORDENES'!$AA989)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IF('ORDENES'!$A990="","",IF('ORDENES'!$AC990="","-",'ORDENES'!$AC990))</f>
        <v/>
      </c>
      <c r="D1012" s="3">
        <f>IF('ORDENES'!$A990="","",IF('ORDENES'!$V990="","-",'ORDENES'!$V990))</f>
        <v/>
      </c>
      <c r="E1012" s="3">
        <f>IF('ORDENES'!$A990="","",IF('ORDENES'!$U990="","-",'ORDENES'!$U990))</f>
        <v/>
      </c>
      <c r="F1012" s="3">
        <f>IF('ORDENES'!$A990="","",IF('ORDENES'!$W990="","-",'ORDENES'!$W990))</f>
        <v/>
      </c>
      <c r="G1012" s="3">
        <f>IF('ORDENES'!$A990="","",IF('ORDENES'!$AB990="","-",'ORDENES'!$AB990))</f>
        <v/>
      </c>
      <c r="H1012" s="3">
        <f>IF('ORDENES'!$A990="","",IF('ORDENES'!$AN990="","-",'ORDENES'!$AN990))</f>
        <v/>
      </c>
      <c r="I1012" s="3">
        <f>IF('ORDENES'!$A990="","",IF('ORDENES'!$D990="","-",'ORDENES'!$D990))</f>
        <v/>
      </c>
      <c r="J1012" s="3">
        <f>IF('ORDENES'!$A990="","",IF('ORDENES'!$E990="","-",'ORDENES'!$E990))</f>
        <v/>
      </c>
      <c r="K1012" s="12">
        <f>IF('ORDENES'!$A990="","",IF('ORDENES'!$M990="",0,'ORDENES'!$M990))</f>
        <v/>
      </c>
      <c r="L1012" s="3">
        <f>IF('ORDENES'!$A990="","",IF('ORDENES'!$N990="","-",'ORDENES'!$N990))</f>
        <v/>
      </c>
      <c r="M1012" s="3">
        <f>IF('ORDENES'!$A990="","",'ORDENES'!$AA990)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IF('ORDENES'!$A991="","",IF('ORDENES'!$AC991="","-",'ORDENES'!$AC991))</f>
        <v/>
      </c>
      <c r="D1013" s="3">
        <f>IF('ORDENES'!$A991="","",IF('ORDENES'!$V991="","-",'ORDENES'!$V991))</f>
        <v/>
      </c>
      <c r="E1013" s="3">
        <f>IF('ORDENES'!$A991="","",IF('ORDENES'!$U991="","-",'ORDENES'!$U991))</f>
        <v/>
      </c>
      <c r="F1013" s="3">
        <f>IF('ORDENES'!$A991="","",IF('ORDENES'!$W991="","-",'ORDENES'!$W991))</f>
        <v/>
      </c>
      <c r="G1013" s="3">
        <f>IF('ORDENES'!$A991="","",IF('ORDENES'!$AB991="","-",'ORDENES'!$AB991))</f>
        <v/>
      </c>
      <c r="H1013" s="3">
        <f>IF('ORDENES'!$A991="","",IF('ORDENES'!$AN991="","-",'ORDENES'!$AN991))</f>
        <v/>
      </c>
      <c r="I1013" s="3">
        <f>IF('ORDENES'!$A991="","",IF('ORDENES'!$D991="","-",'ORDENES'!$D991))</f>
        <v/>
      </c>
      <c r="J1013" s="3">
        <f>IF('ORDENES'!$A991="","",IF('ORDENES'!$E991="","-",'ORDENES'!$E991))</f>
        <v/>
      </c>
      <c r="K1013" s="12">
        <f>IF('ORDENES'!$A991="","",IF('ORDENES'!$M991="",0,'ORDENES'!$M991))</f>
        <v/>
      </c>
      <c r="L1013" s="3">
        <f>IF('ORDENES'!$A991="","",IF('ORDENES'!$N991="","-",'ORDENES'!$N991))</f>
        <v/>
      </c>
      <c r="M1013" s="3">
        <f>IF('ORDENES'!$A991="","",'ORDENES'!$AA991)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IF('ORDENES'!$A992="","",IF('ORDENES'!$AC992="","-",'ORDENES'!$AC992))</f>
        <v/>
      </c>
      <c r="D1014" s="3">
        <f>IF('ORDENES'!$A992="","",IF('ORDENES'!$V992="","-",'ORDENES'!$V992))</f>
        <v/>
      </c>
      <c r="E1014" s="3">
        <f>IF('ORDENES'!$A992="","",IF('ORDENES'!$U992="","-",'ORDENES'!$U992))</f>
        <v/>
      </c>
      <c r="F1014" s="3">
        <f>IF('ORDENES'!$A992="","",IF('ORDENES'!$W992="","-",'ORDENES'!$W992))</f>
        <v/>
      </c>
      <c r="G1014" s="3">
        <f>IF('ORDENES'!$A992="","",IF('ORDENES'!$AB992="","-",'ORDENES'!$AB992))</f>
        <v/>
      </c>
      <c r="H1014" s="3">
        <f>IF('ORDENES'!$A992="","",IF('ORDENES'!$AN992="","-",'ORDENES'!$AN992))</f>
        <v/>
      </c>
      <c r="I1014" s="3">
        <f>IF('ORDENES'!$A992="","",IF('ORDENES'!$D992="","-",'ORDENES'!$D992))</f>
        <v/>
      </c>
      <c r="J1014" s="3">
        <f>IF('ORDENES'!$A992="","",IF('ORDENES'!$E992="","-",'ORDENES'!$E992))</f>
        <v/>
      </c>
      <c r="K1014" s="12">
        <f>IF('ORDENES'!$A992="","",IF('ORDENES'!$M992="",0,'ORDENES'!$M992))</f>
        <v/>
      </c>
      <c r="L1014" s="3">
        <f>IF('ORDENES'!$A992="","",IF('ORDENES'!$N992="","-",'ORDENES'!$N992))</f>
        <v/>
      </c>
      <c r="M1014" s="3">
        <f>IF('ORDENES'!$A992="","",'ORDENES'!$AA992)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IF('ORDENES'!$A993="","",IF('ORDENES'!$AC993="","-",'ORDENES'!$AC993))</f>
        <v/>
      </c>
      <c r="D1015" s="3">
        <f>IF('ORDENES'!$A993="","",IF('ORDENES'!$V993="","-",'ORDENES'!$V993))</f>
        <v/>
      </c>
      <c r="E1015" s="3">
        <f>IF('ORDENES'!$A993="","",IF('ORDENES'!$U993="","-",'ORDENES'!$U993))</f>
        <v/>
      </c>
      <c r="F1015" s="3">
        <f>IF('ORDENES'!$A993="","",IF('ORDENES'!$W993="","-",'ORDENES'!$W993))</f>
        <v/>
      </c>
      <c r="G1015" s="3">
        <f>IF('ORDENES'!$A993="","",IF('ORDENES'!$AB993="","-",'ORDENES'!$AB993))</f>
        <v/>
      </c>
      <c r="H1015" s="3">
        <f>IF('ORDENES'!$A993="","",IF('ORDENES'!$AN993="","-",'ORDENES'!$AN993))</f>
        <v/>
      </c>
      <c r="I1015" s="3">
        <f>IF('ORDENES'!$A993="","",IF('ORDENES'!$D993="","-",'ORDENES'!$D993))</f>
        <v/>
      </c>
      <c r="J1015" s="3">
        <f>IF('ORDENES'!$A993="","",IF('ORDENES'!$E993="","-",'ORDENES'!$E993))</f>
        <v/>
      </c>
      <c r="K1015" s="12">
        <f>IF('ORDENES'!$A993="","",IF('ORDENES'!$M993="",0,'ORDENES'!$M993))</f>
        <v/>
      </c>
      <c r="L1015" s="3">
        <f>IF('ORDENES'!$A993="","",IF('ORDENES'!$N993="","-",'ORDENES'!$N993))</f>
        <v/>
      </c>
      <c r="M1015" s="3">
        <f>IF('ORDENES'!$A993="","",'ORDENES'!$AA993)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IF('ORDENES'!$A994="","",IF('ORDENES'!$AC994="","-",'ORDENES'!$AC994))</f>
        <v/>
      </c>
      <c r="D1016" s="3">
        <f>IF('ORDENES'!$A994="","",IF('ORDENES'!$V994="","-",'ORDENES'!$V994))</f>
        <v/>
      </c>
      <c r="E1016" s="3">
        <f>IF('ORDENES'!$A994="","",IF('ORDENES'!$U994="","-",'ORDENES'!$U994))</f>
        <v/>
      </c>
      <c r="F1016" s="3">
        <f>IF('ORDENES'!$A994="","",IF('ORDENES'!$W994="","-",'ORDENES'!$W994))</f>
        <v/>
      </c>
      <c r="G1016" s="3">
        <f>IF('ORDENES'!$A994="","",IF('ORDENES'!$AB994="","-",'ORDENES'!$AB994))</f>
        <v/>
      </c>
      <c r="H1016" s="3">
        <f>IF('ORDENES'!$A994="","",IF('ORDENES'!$AN994="","-",'ORDENES'!$AN994))</f>
        <v/>
      </c>
      <c r="I1016" s="3">
        <f>IF('ORDENES'!$A994="","",IF('ORDENES'!$D994="","-",'ORDENES'!$D994))</f>
        <v/>
      </c>
      <c r="J1016" s="3">
        <f>IF('ORDENES'!$A994="","",IF('ORDENES'!$E994="","-",'ORDENES'!$E994))</f>
        <v/>
      </c>
      <c r="K1016" s="12">
        <f>IF('ORDENES'!$A994="","",IF('ORDENES'!$M994="",0,'ORDENES'!$M994))</f>
        <v/>
      </c>
      <c r="L1016" s="3">
        <f>IF('ORDENES'!$A994="","",IF('ORDENES'!$N994="","-",'ORDENES'!$N994))</f>
        <v/>
      </c>
      <c r="M1016" s="3">
        <f>IF('ORDENES'!$A994="","",'ORDENES'!$AA994)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IF('ORDENES'!$A995="","",IF('ORDENES'!$AC995="","-",'ORDENES'!$AC995))</f>
        <v/>
      </c>
      <c r="D1017" s="3">
        <f>IF('ORDENES'!$A995="","",IF('ORDENES'!$V995="","-",'ORDENES'!$V995))</f>
        <v/>
      </c>
      <c r="E1017" s="3">
        <f>IF('ORDENES'!$A995="","",IF('ORDENES'!$U995="","-",'ORDENES'!$U995))</f>
        <v/>
      </c>
      <c r="F1017" s="3">
        <f>IF('ORDENES'!$A995="","",IF('ORDENES'!$W995="","-",'ORDENES'!$W995))</f>
        <v/>
      </c>
      <c r="G1017" s="3">
        <f>IF('ORDENES'!$A995="","",IF('ORDENES'!$AB995="","-",'ORDENES'!$AB995))</f>
        <v/>
      </c>
      <c r="H1017" s="3">
        <f>IF('ORDENES'!$A995="","",IF('ORDENES'!$AN995="","-",'ORDENES'!$AN995))</f>
        <v/>
      </c>
      <c r="I1017" s="3">
        <f>IF('ORDENES'!$A995="","",IF('ORDENES'!$D995="","-",'ORDENES'!$D995))</f>
        <v/>
      </c>
      <c r="J1017" s="3">
        <f>IF('ORDENES'!$A995="","",IF('ORDENES'!$E995="","-",'ORDENES'!$E995))</f>
        <v/>
      </c>
      <c r="K1017" s="12">
        <f>IF('ORDENES'!$A995="","",IF('ORDENES'!$M995="",0,'ORDENES'!$M995))</f>
        <v/>
      </c>
      <c r="L1017" s="3">
        <f>IF('ORDENES'!$A995="","",IF('ORDENES'!$N995="","-",'ORDENES'!$N995))</f>
        <v/>
      </c>
      <c r="M1017" s="3">
        <f>IF('ORDENES'!$A995="","",'ORDENES'!$AA995)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IF('ORDENES'!$A996="","",IF('ORDENES'!$AC996="","-",'ORDENES'!$AC996))</f>
        <v/>
      </c>
      <c r="D1018" s="3">
        <f>IF('ORDENES'!$A996="","",IF('ORDENES'!$V996="","-",'ORDENES'!$V996))</f>
        <v/>
      </c>
      <c r="E1018" s="3">
        <f>IF('ORDENES'!$A996="","",IF('ORDENES'!$U996="","-",'ORDENES'!$U996))</f>
        <v/>
      </c>
      <c r="F1018" s="3">
        <f>IF('ORDENES'!$A996="","",IF('ORDENES'!$W996="","-",'ORDENES'!$W996))</f>
        <v/>
      </c>
      <c r="G1018" s="3">
        <f>IF('ORDENES'!$A996="","",IF('ORDENES'!$AB996="","-",'ORDENES'!$AB996))</f>
        <v/>
      </c>
      <c r="H1018" s="3">
        <f>IF('ORDENES'!$A996="","",IF('ORDENES'!$AN996="","-",'ORDENES'!$AN996))</f>
        <v/>
      </c>
      <c r="I1018" s="3">
        <f>IF('ORDENES'!$A996="","",IF('ORDENES'!$D996="","-",'ORDENES'!$D996))</f>
        <v/>
      </c>
      <c r="J1018" s="3">
        <f>IF('ORDENES'!$A996="","",IF('ORDENES'!$E996="","-",'ORDENES'!$E996))</f>
        <v/>
      </c>
      <c r="K1018" s="12">
        <f>IF('ORDENES'!$A996="","",IF('ORDENES'!$M996="",0,'ORDENES'!$M996))</f>
        <v/>
      </c>
      <c r="L1018" s="3">
        <f>IF('ORDENES'!$A996="","",IF('ORDENES'!$N996="","-",'ORDENES'!$N996))</f>
        <v/>
      </c>
      <c r="M1018" s="3">
        <f>IF('ORDENES'!$A996="","",'ORDENES'!$AA996)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IF('ORDENES'!$A997="","",IF('ORDENES'!$AC997="","-",'ORDENES'!$AC997))</f>
        <v/>
      </c>
      <c r="D1019" s="3">
        <f>IF('ORDENES'!$A997="","",IF('ORDENES'!$V997="","-",'ORDENES'!$V997))</f>
        <v/>
      </c>
      <c r="E1019" s="3">
        <f>IF('ORDENES'!$A997="","",IF('ORDENES'!$U997="","-",'ORDENES'!$U997))</f>
        <v/>
      </c>
      <c r="F1019" s="3">
        <f>IF('ORDENES'!$A997="","",IF('ORDENES'!$W997="","-",'ORDENES'!$W997))</f>
        <v/>
      </c>
      <c r="G1019" s="3">
        <f>IF('ORDENES'!$A997="","",IF('ORDENES'!$AB997="","-",'ORDENES'!$AB997))</f>
        <v/>
      </c>
      <c r="H1019" s="3">
        <f>IF('ORDENES'!$A997="","",IF('ORDENES'!$AN997="","-",'ORDENES'!$AN997))</f>
        <v/>
      </c>
      <c r="I1019" s="3">
        <f>IF('ORDENES'!$A997="","",IF('ORDENES'!$D997="","-",'ORDENES'!$D997))</f>
        <v/>
      </c>
      <c r="J1019" s="3">
        <f>IF('ORDENES'!$A997="","",IF('ORDENES'!$E997="","-",'ORDENES'!$E997))</f>
        <v/>
      </c>
      <c r="K1019" s="12">
        <f>IF('ORDENES'!$A997="","",IF('ORDENES'!$M997="",0,'ORDENES'!$M997))</f>
        <v/>
      </c>
      <c r="L1019" s="3">
        <f>IF('ORDENES'!$A997="","",IF('ORDENES'!$N997="","-",'ORDENES'!$N997))</f>
        <v/>
      </c>
      <c r="M1019" s="3">
        <f>IF('ORDENES'!$A997="","",'ORDENES'!$AA997)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IF('ORDENES'!$A998="","",IF('ORDENES'!$AC998="","-",'ORDENES'!$AC998))</f>
        <v/>
      </c>
      <c r="D1020" s="3">
        <f>IF('ORDENES'!$A998="","",IF('ORDENES'!$V998="","-",'ORDENES'!$V998))</f>
        <v/>
      </c>
      <c r="E1020" s="3">
        <f>IF('ORDENES'!$A998="","",IF('ORDENES'!$U998="","-",'ORDENES'!$U998))</f>
        <v/>
      </c>
      <c r="F1020" s="3">
        <f>IF('ORDENES'!$A998="","",IF('ORDENES'!$W998="","-",'ORDENES'!$W998))</f>
        <v/>
      </c>
      <c r="G1020" s="3">
        <f>IF('ORDENES'!$A998="","",IF('ORDENES'!$AB998="","-",'ORDENES'!$AB998))</f>
        <v/>
      </c>
      <c r="H1020" s="3">
        <f>IF('ORDENES'!$A998="","",IF('ORDENES'!$AN998="","-",'ORDENES'!$AN998))</f>
        <v/>
      </c>
      <c r="I1020" s="3">
        <f>IF('ORDENES'!$A998="","",IF('ORDENES'!$D998="","-",'ORDENES'!$D998))</f>
        <v/>
      </c>
      <c r="J1020" s="3">
        <f>IF('ORDENES'!$A998="","",IF('ORDENES'!$E998="","-",'ORDENES'!$E998))</f>
        <v/>
      </c>
      <c r="K1020" s="12">
        <f>IF('ORDENES'!$A998="","",IF('ORDENES'!$M998="",0,'ORDENES'!$M998))</f>
        <v/>
      </c>
      <c r="L1020" s="3">
        <f>IF('ORDENES'!$A998="","",IF('ORDENES'!$N998="","-",'ORDENES'!$N998))</f>
        <v/>
      </c>
      <c r="M1020" s="3">
        <f>IF('ORDENES'!$A998="","",'ORDENES'!$AA998)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IF('ORDENES'!$A999="","",IF('ORDENES'!$AC999="","-",'ORDENES'!$AC999))</f>
        <v/>
      </c>
      <c r="D1021" s="3">
        <f>IF('ORDENES'!$A999="","",IF('ORDENES'!$V999="","-",'ORDENES'!$V999))</f>
        <v/>
      </c>
      <c r="E1021" s="3">
        <f>IF('ORDENES'!$A999="","",IF('ORDENES'!$U999="","-",'ORDENES'!$U999))</f>
        <v/>
      </c>
      <c r="F1021" s="3">
        <f>IF('ORDENES'!$A999="","",IF('ORDENES'!$W999="","-",'ORDENES'!$W999))</f>
        <v/>
      </c>
      <c r="G1021" s="3">
        <f>IF('ORDENES'!$A999="","",IF('ORDENES'!$AB999="","-",'ORDENES'!$AB999))</f>
        <v/>
      </c>
      <c r="H1021" s="3">
        <f>IF('ORDENES'!$A999="","",IF('ORDENES'!$AN999="","-",'ORDENES'!$AN999))</f>
        <v/>
      </c>
      <c r="I1021" s="3">
        <f>IF('ORDENES'!$A999="","",IF('ORDENES'!$D999="","-",'ORDENES'!$D999))</f>
        <v/>
      </c>
      <c r="J1021" s="3">
        <f>IF('ORDENES'!$A999="","",IF('ORDENES'!$E999="","-",'ORDENES'!$E999))</f>
        <v/>
      </c>
      <c r="K1021" s="12">
        <f>IF('ORDENES'!$A999="","",IF('ORDENES'!$M999="",0,'ORDENES'!$M999))</f>
        <v/>
      </c>
      <c r="L1021" s="3">
        <f>IF('ORDENES'!$A999="","",IF('ORDENES'!$N999="","-",'ORDENES'!$N999))</f>
        <v/>
      </c>
      <c r="M1021" s="3">
        <f>IF('ORDENES'!$A999="","",'ORDENES'!$AA999)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IF('ORDENES'!$A1000="","",IF('ORDENES'!$AC1000="","-",'ORDENES'!$AC1000))</f>
        <v/>
      </c>
      <c r="D1022" s="3">
        <f>IF('ORDENES'!$A1000="","",IF('ORDENES'!$V1000="","-",'ORDENES'!$V1000))</f>
        <v/>
      </c>
      <c r="E1022" s="3">
        <f>IF('ORDENES'!$A1000="","",IF('ORDENES'!$U1000="","-",'ORDENES'!$U1000))</f>
        <v/>
      </c>
      <c r="F1022" s="3">
        <f>IF('ORDENES'!$A1000="","",IF('ORDENES'!$W1000="","-",'ORDENES'!$W1000))</f>
        <v/>
      </c>
      <c r="G1022" s="3">
        <f>IF('ORDENES'!$A1000="","",IF('ORDENES'!$AB1000="","-",'ORDENES'!$AB1000))</f>
        <v/>
      </c>
      <c r="H1022" s="3">
        <f>IF('ORDENES'!$A1000="","",IF('ORDENES'!$AN1000="","-",'ORDENES'!$AN1000))</f>
        <v/>
      </c>
      <c r="I1022" s="3">
        <f>IF('ORDENES'!$A1000="","",IF('ORDENES'!$D1000="","-",'ORDENES'!$D1000))</f>
        <v/>
      </c>
      <c r="J1022" s="3">
        <f>IF('ORDENES'!$A1000="","",IF('ORDENES'!$E1000="","-",'ORDENES'!$E1000))</f>
        <v/>
      </c>
      <c r="K1022" s="12">
        <f>IF('ORDENES'!$A1000="","",IF('ORDENES'!$M1000="",0,'ORDENES'!$M1000))</f>
        <v/>
      </c>
      <c r="L1022" s="3">
        <f>IF('ORDENES'!$A1000="","",IF('ORDENES'!$N1000="","-",'ORDENES'!$N1000))</f>
        <v/>
      </c>
      <c r="M1022" s="3">
        <f>IF('ORDENES'!$A1000="","",'ORDENES'!$AA1000)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IF('ORDENES'!$A1001="","",IF('ORDENES'!$AC1001="","-",'ORDENES'!$AC1001))</f>
        <v/>
      </c>
      <c r="D1023" s="3">
        <f>IF('ORDENES'!$A1001="","",IF('ORDENES'!$V1001="","-",'ORDENES'!$V1001))</f>
        <v/>
      </c>
      <c r="E1023" s="3">
        <f>IF('ORDENES'!$A1001="","",IF('ORDENES'!$U1001="","-",'ORDENES'!$U1001))</f>
        <v/>
      </c>
      <c r="F1023" s="3">
        <f>IF('ORDENES'!$A1001="","",IF('ORDENES'!$W1001="","-",'ORDENES'!$W1001))</f>
        <v/>
      </c>
      <c r="G1023" s="3">
        <f>IF('ORDENES'!$A1001="","",IF('ORDENES'!$AB1001="","-",'ORDENES'!$AB1001))</f>
        <v/>
      </c>
      <c r="H1023" s="3">
        <f>IF('ORDENES'!$A1001="","",IF('ORDENES'!$AN1001="","-",'ORDENES'!$AN1001))</f>
        <v/>
      </c>
      <c r="I1023" s="3">
        <f>IF('ORDENES'!$A1001="","",IF('ORDENES'!$D1001="","-",'ORDENES'!$D1001))</f>
        <v/>
      </c>
      <c r="J1023" s="3">
        <f>IF('ORDENES'!$A1001="","",IF('ORDENES'!$E1001="","-",'ORDENES'!$E1001))</f>
        <v/>
      </c>
      <c r="K1023" s="12">
        <f>IF('ORDENES'!$A1001="","",IF('ORDENES'!$M1001="",0,'ORDENES'!$M1001))</f>
        <v/>
      </c>
      <c r="L1023" s="3">
        <f>IF('ORDENES'!$A1001="","",IF('ORDENES'!$N1001="","-",'ORDENES'!$N1001))</f>
        <v/>
      </c>
      <c r="M1023" s="3">
        <f>IF('ORDENES'!$A1001="","",'ORDENES'!$AA1001)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IF('ORDENES'!$A1002="","",IF('ORDENES'!$AC1002="","-",'ORDENES'!$AC1002))</f>
        <v/>
      </c>
      <c r="D1024" s="3">
        <f>IF('ORDENES'!$A1002="","",IF('ORDENES'!$V1002="","-",'ORDENES'!$V1002))</f>
        <v/>
      </c>
      <c r="E1024" s="3">
        <f>IF('ORDENES'!$A1002="","",IF('ORDENES'!$U1002="","-",'ORDENES'!$U1002))</f>
        <v/>
      </c>
      <c r="F1024" s="3">
        <f>IF('ORDENES'!$A1002="","",IF('ORDENES'!$W1002="","-",'ORDENES'!$W1002))</f>
        <v/>
      </c>
      <c r="G1024" s="3">
        <f>IF('ORDENES'!$A1002="","",IF('ORDENES'!$AB1002="","-",'ORDENES'!$AB1002))</f>
        <v/>
      </c>
      <c r="H1024" s="3">
        <f>IF('ORDENES'!$A1002="","",IF('ORDENES'!$AN1002="","-",'ORDENES'!$AN1002))</f>
        <v/>
      </c>
      <c r="I1024" s="3">
        <f>IF('ORDENES'!$A1002="","",IF('ORDENES'!$D1002="","-",'ORDENES'!$D1002))</f>
        <v/>
      </c>
      <c r="J1024" s="3">
        <f>IF('ORDENES'!$A1002="","",IF('ORDENES'!$E1002="","-",'ORDENES'!$E1002))</f>
        <v/>
      </c>
      <c r="K1024" s="12">
        <f>IF('ORDENES'!$A1002="","",IF('ORDENES'!$M1002="",0,'ORDENES'!$M1002))</f>
        <v/>
      </c>
      <c r="L1024" s="3">
        <f>IF('ORDENES'!$A1002="","",IF('ORDENES'!$N1002="","-",'ORDENES'!$N1002))</f>
        <v/>
      </c>
      <c r="M1024" s="3">
        <f>IF('ORDENES'!$A1002="","",'ORDENES'!$AA1002)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IF('ORDENES'!$A1003="","",IF('ORDENES'!$AC1003="","-",'ORDENES'!$AC1003))</f>
        <v/>
      </c>
      <c r="D1025" s="3">
        <f>IF('ORDENES'!$A1003="","",IF('ORDENES'!$V1003="","-",'ORDENES'!$V1003))</f>
        <v/>
      </c>
      <c r="E1025" s="3">
        <f>IF('ORDENES'!$A1003="","",IF('ORDENES'!$U1003="","-",'ORDENES'!$U1003))</f>
        <v/>
      </c>
      <c r="F1025" s="3">
        <f>IF('ORDENES'!$A1003="","",IF('ORDENES'!$W1003="","-",'ORDENES'!$W1003))</f>
        <v/>
      </c>
      <c r="G1025" s="3">
        <f>IF('ORDENES'!$A1003="","",IF('ORDENES'!$AB1003="","-",'ORDENES'!$AB1003))</f>
        <v/>
      </c>
      <c r="H1025" s="3">
        <f>IF('ORDENES'!$A1003="","",IF('ORDENES'!$AN1003="","-",'ORDENES'!$AN1003))</f>
        <v/>
      </c>
      <c r="I1025" s="3">
        <f>IF('ORDENES'!$A1003="","",IF('ORDENES'!$D1003="","-",'ORDENES'!$D1003))</f>
        <v/>
      </c>
      <c r="J1025" s="3">
        <f>IF('ORDENES'!$A1003="","",IF('ORDENES'!$E1003="","-",'ORDENES'!$E1003))</f>
        <v/>
      </c>
      <c r="K1025" s="12">
        <f>IF('ORDENES'!$A1003="","",IF('ORDENES'!$M1003="",0,'ORDENES'!$M1003))</f>
        <v/>
      </c>
      <c r="L1025" s="3">
        <f>IF('ORDENES'!$A1003="","",IF('ORDENES'!$N1003="","-",'ORDENES'!$N1003))</f>
        <v/>
      </c>
      <c r="M1025" s="3">
        <f>IF('ORDENES'!$A1003="","",'ORDENES'!$AA1003)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IF('ORDENES'!$A1004="","",IF('ORDENES'!$AC1004="","-",'ORDENES'!$AC1004))</f>
        <v/>
      </c>
      <c r="D1026" s="3">
        <f>IF('ORDENES'!$A1004="","",IF('ORDENES'!$V1004="","-",'ORDENES'!$V1004))</f>
        <v/>
      </c>
      <c r="E1026" s="3">
        <f>IF('ORDENES'!$A1004="","",IF('ORDENES'!$U1004="","-",'ORDENES'!$U1004))</f>
        <v/>
      </c>
      <c r="F1026" s="3">
        <f>IF('ORDENES'!$A1004="","",IF('ORDENES'!$W1004="","-",'ORDENES'!$W1004))</f>
        <v/>
      </c>
      <c r="G1026" s="3">
        <f>IF('ORDENES'!$A1004="","",IF('ORDENES'!$AB1004="","-",'ORDENES'!$AB1004))</f>
        <v/>
      </c>
      <c r="H1026" s="3">
        <f>IF('ORDENES'!$A1004="","",IF('ORDENES'!$AN1004="","-",'ORDENES'!$AN1004))</f>
        <v/>
      </c>
      <c r="I1026" s="3">
        <f>IF('ORDENES'!$A1004="","",IF('ORDENES'!$D1004="","-",'ORDENES'!$D1004))</f>
        <v/>
      </c>
      <c r="J1026" s="3">
        <f>IF('ORDENES'!$A1004="","",IF('ORDENES'!$E1004="","-",'ORDENES'!$E1004))</f>
        <v/>
      </c>
      <c r="K1026" s="12">
        <f>IF('ORDENES'!$A1004="","",IF('ORDENES'!$M1004="",0,'ORDENES'!$M1004))</f>
        <v/>
      </c>
      <c r="L1026" s="3">
        <f>IF('ORDENES'!$A1004="","",IF('ORDENES'!$N1004="","-",'ORDENES'!$N1004))</f>
        <v/>
      </c>
      <c r="M1026" s="3">
        <f>IF('ORDENES'!$A1004="","",'ORDENES'!$AA1004)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IF('ORDENES'!$A1005="","",IF('ORDENES'!$AC1005="","-",'ORDENES'!$AC1005))</f>
        <v/>
      </c>
      <c r="D1027" s="3">
        <f>IF('ORDENES'!$A1005="","",IF('ORDENES'!$V1005="","-",'ORDENES'!$V1005))</f>
        <v/>
      </c>
      <c r="E1027" s="3">
        <f>IF('ORDENES'!$A1005="","",IF('ORDENES'!$U1005="","-",'ORDENES'!$U1005))</f>
        <v/>
      </c>
      <c r="F1027" s="3">
        <f>IF('ORDENES'!$A1005="","",IF('ORDENES'!$W1005="","-",'ORDENES'!$W1005))</f>
        <v/>
      </c>
      <c r="G1027" s="3">
        <f>IF('ORDENES'!$A1005="","",IF('ORDENES'!$AB1005="","-",'ORDENES'!$AB1005))</f>
        <v/>
      </c>
      <c r="H1027" s="3">
        <f>IF('ORDENES'!$A1005="","",IF('ORDENES'!$AN1005="","-",'ORDENES'!$AN1005))</f>
        <v/>
      </c>
      <c r="I1027" s="3">
        <f>IF('ORDENES'!$A1005="","",IF('ORDENES'!$D1005="","-",'ORDENES'!$D1005))</f>
        <v/>
      </c>
      <c r="J1027" s="3">
        <f>IF('ORDENES'!$A1005="","",IF('ORDENES'!$E1005="","-",'ORDENES'!$E1005))</f>
        <v/>
      </c>
      <c r="K1027" s="12">
        <f>IF('ORDENES'!$A1005="","",IF('ORDENES'!$M1005="",0,'ORDENES'!$M1005))</f>
        <v/>
      </c>
      <c r="L1027" s="3">
        <f>IF('ORDENES'!$A1005="","",IF('ORDENES'!$N1005="","-",'ORDENES'!$N1005))</f>
        <v/>
      </c>
      <c r="M1027" s="3">
        <f>IF('ORDENES'!$A1005="","",'ORDENES'!$AA1005)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IF('ORDENES'!$A1006="","",IF('ORDENES'!$AC1006="","-",'ORDENES'!$AC1006))</f>
        <v/>
      </c>
      <c r="D1028" s="3">
        <f>IF('ORDENES'!$A1006="","",IF('ORDENES'!$V1006="","-",'ORDENES'!$V1006))</f>
        <v/>
      </c>
      <c r="E1028" s="3">
        <f>IF('ORDENES'!$A1006="","",IF('ORDENES'!$U1006="","-",'ORDENES'!$U1006))</f>
        <v/>
      </c>
      <c r="F1028" s="3">
        <f>IF('ORDENES'!$A1006="","",IF('ORDENES'!$W1006="","-",'ORDENES'!$W1006))</f>
        <v/>
      </c>
      <c r="G1028" s="3">
        <f>IF('ORDENES'!$A1006="","",IF('ORDENES'!$AB1006="","-",'ORDENES'!$AB1006))</f>
        <v/>
      </c>
      <c r="H1028" s="3">
        <f>IF('ORDENES'!$A1006="","",IF('ORDENES'!$AN1006="","-",'ORDENES'!$AN1006))</f>
        <v/>
      </c>
      <c r="I1028" s="3">
        <f>IF('ORDENES'!$A1006="","",IF('ORDENES'!$D1006="","-",'ORDENES'!$D1006))</f>
        <v/>
      </c>
      <c r="J1028" s="3">
        <f>IF('ORDENES'!$A1006="","",IF('ORDENES'!$E1006="","-",'ORDENES'!$E1006))</f>
        <v/>
      </c>
      <c r="K1028" s="12">
        <f>IF('ORDENES'!$A1006="","",IF('ORDENES'!$M1006="",0,'ORDENES'!$M1006))</f>
        <v/>
      </c>
      <c r="L1028" s="3">
        <f>IF('ORDENES'!$A1006="","",IF('ORDENES'!$N1006="","-",'ORDENES'!$N1006))</f>
        <v/>
      </c>
      <c r="M1028" s="3">
        <f>IF('ORDENES'!$A1006="","",'ORDENES'!$AA1006)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IF('ORDENES'!$A1007="","",IF('ORDENES'!$AC1007="","-",'ORDENES'!$AC1007))</f>
        <v/>
      </c>
      <c r="D1029" s="3">
        <f>IF('ORDENES'!$A1007="","",IF('ORDENES'!$V1007="","-",'ORDENES'!$V1007))</f>
        <v/>
      </c>
      <c r="E1029" s="3">
        <f>IF('ORDENES'!$A1007="","",IF('ORDENES'!$U1007="","-",'ORDENES'!$U1007))</f>
        <v/>
      </c>
      <c r="F1029" s="3">
        <f>IF('ORDENES'!$A1007="","",IF('ORDENES'!$W1007="","-",'ORDENES'!$W1007))</f>
        <v/>
      </c>
      <c r="G1029" s="3">
        <f>IF('ORDENES'!$A1007="","",IF('ORDENES'!$AB1007="","-",'ORDENES'!$AB1007))</f>
        <v/>
      </c>
      <c r="H1029" s="3">
        <f>IF('ORDENES'!$A1007="","",IF('ORDENES'!$AN1007="","-",'ORDENES'!$AN1007))</f>
        <v/>
      </c>
      <c r="I1029" s="3">
        <f>IF('ORDENES'!$A1007="","",IF('ORDENES'!$D1007="","-",'ORDENES'!$D1007))</f>
        <v/>
      </c>
      <c r="J1029" s="3">
        <f>IF('ORDENES'!$A1007="","",IF('ORDENES'!$E1007="","-",'ORDENES'!$E1007))</f>
        <v/>
      </c>
      <c r="K1029" s="12">
        <f>IF('ORDENES'!$A1007="","",IF('ORDENES'!$M1007="",0,'ORDENES'!$M1007))</f>
        <v/>
      </c>
      <c r="L1029" s="3">
        <f>IF('ORDENES'!$A1007="","",IF('ORDENES'!$N1007="","-",'ORDENES'!$N1007))</f>
        <v/>
      </c>
      <c r="M1029" s="3">
        <f>IF('ORDENES'!$A1007="","",'ORDENES'!$AA1007)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IF('ORDENES'!$A1008="","",IF('ORDENES'!$AC1008="","-",'ORDENES'!$AC1008))</f>
        <v/>
      </c>
      <c r="D1030" s="3">
        <f>IF('ORDENES'!$A1008="","",IF('ORDENES'!$V1008="","-",'ORDENES'!$V1008))</f>
        <v/>
      </c>
      <c r="E1030" s="3">
        <f>IF('ORDENES'!$A1008="","",IF('ORDENES'!$U1008="","-",'ORDENES'!$U1008))</f>
        <v/>
      </c>
      <c r="F1030" s="3">
        <f>IF('ORDENES'!$A1008="","",IF('ORDENES'!$W1008="","-",'ORDENES'!$W1008))</f>
        <v/>
      </c>
      <c r="G1030" s="3">
        <f>IF('ORDENES'!$A1008="","",IF('ORDENES'!$AB1008="","-",'ORDENES'!$AB1008))</f>
        <v/>
      </c>
      <c r="H1030" s="3">
        <f>IF('ORDENES'!$A1008="","",IF('ORDENES'!$AN1008="","-",'ORDENES'!$AN1008))</f>
        <v/>
      </c>
      <c r="I1030" s="3">
        <f>IF('ORDENES'!$A1008="","",IF('ORDENES'!$D1008="","-",'ORDENES'!$D1008))</f>
        <v/>
      </c>
      <c r="J1030" s="3">
        <f>IF('ORDENES'!$A1008="","",IF('ORDENES'!$E1008="","-",'ORDENES'!$E1008))</f>
        <v/>
      </c>
      <c r="K1030" s="12">
        <f>IF('ORDENES'!$A1008="","",IF('ORDENES'!$M1008="",0,'ORDENES'!$M1008))</f>
        <v/>
      </c>
      <c r="L1030" s="3">
        <f>IF('ORDENES'!$A1008="","",IF('ORDENES'!$N1008="","-",'ORDENES'!$N1008))</f>
        <v/>
      </c>
      <c r="M1030" s="3">
        <f>IF('ORDENES'!$A1008="","",'ORDENES'!$AA1008)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IF('ORDENES'!$A1009="","",IF('ORDENES'!$AC1009="","-",'ORDENES'!$AC1009))</f>
        <v/>
      </c>
      <c r="D1031" s="3">
        <f>IF('ORDENES'!$A1009="","",IF('ORDENES'!$V1009="","-",'ORDENES'!$V1009))</f>
        <v/>
      </c>
      <c r="E1031" s="3">
        <f>IF('ORDENES'!$A1009="","",IF('ORDENES'!$U1009="","-",'ORDENES'!$U1009))</f>
        <v/>
      </c>
      <c r="F1031" s="3">
        <f>IF('ORDENES'!$A1009="","",IF('ORDENES'!$W1009="","-",'ORDENES'!$W1009))</f>
        <v/>
      </c>
      <c r="G1031" s="3">
        <f>IF('ORDENES'!$A1009="","",IF('ORDENES'!$AB1009="","-",'ORDENES'!$AB1009))</f>
        <v/>
      </c>
      <c r="H1031" s="3">
        <f>IF('ORDENES'!$A1009="","",IF('ORDENES'!$AN1009="","-",'ORDENES'!$AN1009))</f>
        <v/>
      </c>
      <c r="I1031" s="3">
        <f>IF('ORDENES'!$A1009="","",IF('ORDENES'!$D1009="","-",'ORDENES'!$D1009))</f>
        <v/>
      </c>
      <c r="J1031" s="3">
        <f>IF('ORDENES'!$A1009="","",IF('ORDENES'!$E1009="","-",'ORDENES'!$E1009))</f>
        <v/>
      </c>
      <c r="K1031" s="12">
        <f>IF('ORDENES'!$A1009="","",IF('ORDENES'!$M1009="",0,'ORDENES'!$M1009))</f>
        <v/>
      </c>
      <c r="L1031" s="3">
        <f>IF('ORDENES'!$A1009="","",IF('ORDENES'!$N1009="","-",'ORDENES'!$N1009))</f>
        <v/>
      </c>
      <c r="M1031" s="3">
        <f>IF('ORDENES'!$A1009="","",'ORDENES'!$AA1009)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IF('ORDENES'!$A1010="","",IF('ORDENES'!$AC1010="","-",'ORDENES'!$AC1010))</f>
        <v/>
      </c>
      <c r="D1032" s="3">
        <f>IF('ORDENES'!$A1010="","",IF('ORDENES'!$V1010="","-",'ORDENES'!$V1010))</f>
        <v/>
      </c>
      <c r="E1032" s="3">
        <f>IF('ORDENES'!$A1010="","",IF('ORDENES'!$U1010="","-",'ORDENES'!$U1010))</f>
        <v/>
      </c>
      <c r="F1032" s="3">
        <f>IF('ORDENES'!$A1010="","",IF('ORDENES'!$W1010="","-",'ORDENES'!$W1010))</f>
        <v/>
      </c>
      <c r="G1032" s="3">
        <f>IF('ORDENES'!$A1010="","",IF('ORDENES'!$AB1010="","-",'ORDENES'!$AB1010))</f>
        <v/>
      </c>
      <c r="H1032" s="3">
        <f>IF('ORDENES'!$A1010="","",IF('ORDENES'!$AN1010="","-",'ORDENES'!$AN1010))</f>
        <v/>
      </c>
      <c r="I1032" s="3">
        <f>IF('ORDENES'!$A1010="","",IF('ORDENES'!$D1010="","-",'ORDENES'!$D1010))</f>
        <v/>
      </c>
      <c r="J1032" s="3">
        <f>IF('ORDENES'!$A1010="","",IF('ORDENES'!$E1010="","-",'ORDENES'!$E1010))</f>
        <v/>
      </c>
      <c r="K1032" s="12">
        <f>IF('ORDENES'!$A1010="","",IF('ORDENES'!$M1010="",0,'ORDENES'!$M1010))</f>
        <v/>
      </c>
      <c r="L1032" s="3">
        <f>IF('ORDENES'!$A1010="","",IF('ORDENES'!$N1010="","-",'ORDENES'!$N1010))</f>
        <v/>
      </c>
      <c r="M1032" s="3">
        <f>IF('ORDENES'!$A1010="","",'ORDENES'!$AA1010)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IF('ORDENES'!$A1011="","",IF('ORDENES'!$AC1011="","-",'ORDENES'!$AC1011))</f>
        <v/>
      </c>
      <c r="D1033" s="3">
        <f>IF('ORDENES'!$A1011="","",IF('ORDENES'!$V1011="","-",'ORDENES'!$V1011))</f>
        <v/>
      </c>
      <c r="E1033" s="3">
        <f>IF('ORDENES'!$A1011="","",IF('ORDENES'!$U1011="","-",'ORDENES'!$U1011))</f>
        <v/>
      </c>
      <c r="F1033" s="3">
        <f>IF('ORDENES'!$A1011="","",IF('ORDENES'!$W1011="","-",'ORDENES'!$W1011))</f>
        <v/>
      </c>
      <c r="G1033" s="3">
        <f>IF('ORDENES'!$A1011="","",IF('ORDENES'!$AB1011="","-",'ORDENES'!$AB1011))</f>
        <v/>
      </c>
      <c r="H1033" s="3">
        <f>IF('ORDENES'!$A1011="","",IF('ORDENES'!$AN1011="","-",'ORDENES'!$AN1011))</f>
        <v/>
      </c>
      <c r="I1033" s="3">
        <f>IF('ORDENES'!$A1011="","",IF('ORDENES'!$D1011="","-",'ORDENES'!$D1011))</f>
        <v/>
      </c>
      <c r="J1033" s="3">
        <f>IF('ORDENES'!$A1011="","",IF('ORDENES'!$E1011="","-",'ORDENES'!$E1011))</f>
        <v/>
      </c>
      <c r="K1033" s="12">
        <f>IF('ORDENES'!$A1011="","",IF('ORDENES'!$M1011="",0,'ORDENES'!$M1011))</f>
        <v/>
      </c>
      <c r="L1033" s="3">
        <f>IF('ORDENES'!$A1011="","",IF('ORDENES'!$N1011="","-",'ORDENES'!$N1011))</f>
        <v/>
      </c>
      <c r="M1033" s="3">
        <f>IF('ORDENES'!$A1011="","",'ORDENES'!$AA1011)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IF('ORDENES'!$A1012="","",IF('ORDENES'!$AC1012="","-",'ORDENES'!$AC1012))</f>
        <v/>
      </c>
      <c r="D1034" s="3">
        <f>IF('ORDENES'!$A1012="","",IF('ORDENES'!$V1012="","-",'ORDENES'!$V1012))</f>
        <v/>
      </c>
      <c r="E1034" s="3">
        <f>IF('ORDENES'!$A1012="","",IF('ORDENES'!$U1012="","-",'ORDENES'!$U1012))</f>
        <v/>
      </c>
      <c r="F1034" s="3">
        <f>IF('ORDENES'!$A1012="","",IF('ORDENES'!$W1012="","-",'ORDENES'!$W1012))</f>
        <v/>
      </c>
      <c r="G1034" s="3">
        <f>IF('ORDENES'!$A1012="","",IF('ORDENES'!$AB1012="","-",'ORDENES'!$AB1012))</f>
        <v/>
      </c>
      <c r="H1034" s="3">
        <f>IF('ORDENES'!$A1012="","",IF('ORDENES'!$AN1012="","-",'ORDENES'!$AN1012))</f>
        <v/>
      </c>
      <c r="I1034" s="3">
        <f>IF('ORDENES'!$A1012="","",IF('ORDENES'!$D1012="","-",'ORDENES'!$D1012))</f>
        <v/>
      </c>
      <c r="J1034" s="3">
        <f>IF('ORDENES'!$A1012="","",IF('ORDENES'!$E1012="","-",'ORDENES'!$E1012))</f>
        <v/>
      </c>
      <c r="K1034" s="12">
        <f>IF('ORDENES'!$A1012="","",IF('ORDENES'!$M1012="",0,'ORDENES'!$M1012))</f>
        <v/>
      </c>
      <c r="L1034" s="3">
        <f>IF('ORDENES'!$A1012="","",IF('ORDENES'!$N1012="","-",'ORDENES'!$N1012))</f>
        <v/>
      </c>
      <c r="M1034" s="3">
        <f>IF('ORDENES'!$A1012="","",'ORDENES'!$AA1012)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IF('ORDENES'!$A1013="","",IF('ORDENES'!$AC1013="","-",'ORDENES'!$AC1013))</f>
        <v/>
      </c>
      <c r="D1035" s="3">
        <f>IF('ORDENES'!$A1013="","",IF('ORDENES'!$V1013="","-",'ORDENES'!$V1013))</f>
        <v/>
      </c>
      <c r="E1035" s="3">
        <f>IF('ORDENES'!$A1013="","",IF('ORDENES'!$U1013="","-",'ORDENES'!$U1013))</f>
        <v/>
      </c>
      <c r="F1035" s="3">
        <f>IF('ORDENES'!$A1013="","",IF('ORDENES'!$W1013="","-",'ORDENES'!$W1013))</f>
        <v/>
      </c>
      <c r="G1035" s="3">
        <f>IF('ORDENES'!$A1013="","",IF('ORDENES'!$AB1013="","-",'ORDENES'!$AB1013))</f>
        <v/>
      </c>
      <c r="H1035" s="3">
        <f>IF('ORDENES'!$A1013="","",IF('ORDENES'!$AN1013="","-",'ORDENES'!$AN1013))</f>
        <v/>
      </c>
      <c r="I1035" s="3">
        <f>IF('ORDENES'!$A1013="","",IF('ORDENES'!$D1013="","-",'ORDENES'!$D1013))</f>
        <v/>
      </c>
      <c r="J1035" s="3">
        <f>IF('ORDENES'!$A1013="","",IF('ORDENES'!$E1013="","-",'ORDENES'!$E1013))</f>
        <v/>
      </c>
      <c r="K1035" s="12">
        <f>IF('ORDENES'!$A1013="","",IF('ORDENES'!$M1013="",0,'ORDENES'!$M1013))</f>
        <v/>
      </c>
      <c r="L1035" s="3">
        <f>IF('ORDENES'!$A1013="","",IF('ORDENES'!$N1013="","-",'ORDENES'!$N1013))</f>
        <v/>
      </c>
      <c r="M1035" s="3">
        <f>IF('ORDENES'!$A1013="","",'ORDENES'!$AA1013)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IF('ORDENES'!$A1014="","",IF('ORDENES'!$AC1014="","-",'ORDENES'!$AC1014))</f>
        <v/>
      </c>
      <c r="D1036" s="3">
        <f>IF('ORDENES'!$A1014="","",IF('ORDENES'!$V1014="","-",'ORDENES'!$V1014))</f>
        <v/>
      </c>
      <c r="E1036" s="3">
        <f>IF('ORDENES'!$A1014="","",IF('ORDENES'!$U1014="","-",'ORDENES'!$U1014))</f>
        <v/>
      </c>
      <c r="F1036" s="3">
        <f>IF('ORDENES'!$A1014="","",IF('ORDENES'!$W1014="","-",'ORDENES'!$W1014))</f>
        <v/>
      </c>
      <c r="G1036" s="3">
        <f>IF('ORDENES'!$A1014="","",IF('ORDENES'!$AB1014="","-",'ORDENES'!$AB1014))</f>
        <v/>
      </c>
      <c r="H1036" s="3">
        <f>IF('ORDENES'!$A1014="","",IF('ORDENES'!$AN1014="","-",'ORDENES'!$AN1014))</f>
        <v/>
      </c>
      <c r="I1036" s="3">
        <f>IF('ORDENES'!$A1014="","",IF('ORDENES'!$D1014="","-",'ORDENES'!$D1014))</f>
        <v/>
      </c>
      <c r="J1036" s="3">
        <f>IF('ORDENES'!$A1014="","",IF('ORDENES'!$E1014="","-",'ORDENES'!$E1014))</f>
        <v/>
      </c>
      <c r="K1036" s="12">
        <f>IF('ORDENES'!$A1014="","",IF('ORDENES'!$M1014="",0,'ORDENES'!$M1014))</f>
        <v/>
      </c>
      <c r="L1036" s="3">
        <f>IF('ORDENES'!$A1014="","",IF('ORDENES'!$N1014="","-",'ORDENES'!$N1014))</f>
        <v/>
      </c>
      <c r="M1036" s="3">
        <f>IF('ORDENES'!$A1014="","",'ORDENES'!$AA1014)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IF('ORDENES'!$A1015="","",IF('ORDENES'!$AC1015="","-",'ORDENES'!$AC1015))</f>
        <v/>
      </c>
      <c r="D1037" s="3">
        <f>IF('ORDENES'!$A1015="","",IF('ORDENES'!$V1015="","-",'ORDENES'!$V1015))</f>
        <v/>
      </c>
      <c r="E1037" s="3">
        <f>IF('ORDENES'!$A1015="","",IF('ORDENES'!$U1015="","-",'ORDENES'!$U1015))</f>
        <v/>
      </c>
      <c r="F1037" s="3">
        <f>IF('ORDENES'!$A1015="","",IF('ORDENES'!$W1015="","-",'ORDENES'!$W1015))</f>
        <v/>
      </c>
      <c r="G1037" s="3">
        <f>IF('ORDENES'!$A1015="","",IF('ORDENES'!$AB1015="","-",'ORDENES'!$AB1015))</f>
        <v/>
      </c>
      <c r="H1037" s="3">
        <f>IF('ORDENES'!$A1015="","",IF('ORDENES'!$AN1015="","-",'ORDENES'!$AN1015))</f>
        <v/>
      </c>
      <c r="I1037" s="3">
        <f>IF('ORDENES'!$A1015="","",IF('ORDENES'!$D1015="","-",'ORDENES'!$D1015))</f>
        <v/>
      </c>
      <c r="J1037" s="3">
        <f>IF('ORDENES'!$A1015="","",IF('ORDENES'!$E1015="","-",'ORDENES'!$E1015))</f>
        <v/>
      </c>
      <c r="K1037" s="12">
        <f>IF('ORDENES'!$A1015="","",IF('ORDENES'!$M1015="",0,'ORDENES'!$M1015))</f>
        <v/>
      </c>
      <c r="L1037" s="3">
        <f>IF('ORDENES'!$A1015="","",IF('ORDENES'!$N1015="","-",'ORDENES'!$N1015))</f>
        <v/>
      </c>
      <c r="M1037" s="3">
        <f>IF('ORDENES'!$A1015="","",'ORDENES'!$AA1015)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IF('ORDENES'!$A1016="","",IF('ORDENES'!$AC1016="","-",'ORDENES'!$AC1016))</f>
        <v/>
      </c>
      <c r="D1038" s="3">
        <f>IF('ORDENES'!$A1016="","",IF('ORDENES'!$V1016="","-",'ORDENES'!$V1016))</f>
        <v/>
      </c>
      <c r="E1038" s="3">
        <f>IF('ORDENES'!$A1016="","",IF('ORDENES'!$U1016="","-",'ORDENES'!$U1016))</f>
        <v/>
      </c>
      <c r="F1038" s="3">
        <f>IF('ORDENES'!$A1016="","",IF('ORDENES'!$W1016="","-",'ORDENES'!$W1016))</f>
        <v/>
      </c>
      <c r="G1038" s="3">
        <f>IF('ORDENES'!$A1016="","",IF('ORDENES'!$AB1016="","-",'ORDENES'!$AB1016))</f>
        <v/>
      </c>
      <c r="H1038" s="3">
        <f>IF('ORDENES'!$A1016="","",IF('ORDENES'!$AN1016="","-",'ORDENES'!$AN1016))</f>
        <v/>
      </c>
      <c r="I1038" s="3">
        <f>IF('ORDENES'!$A1016="","",IF('ORDENES'!$D1016="","-",'ORDENES'!$D1016))</f>
        <v/>
      </c>
      <c r="J1038" s="3">
        <f>IF('ORDENES'!$A1016="","",IF('ORDENES'!$E1016="","-",'ORDENES'!$E1016))</f>
        <v/>
      </c>
      <c r="K1038" s="12">
        <f>IF('ORDENES'!$A1016="","",IF('ORDENES'!$M1016="",0,'ORDENES'!$M1016))</f>
        <v/>
      </c>
      <c r="L1038" s="3">
        <f>IF('ORDENES'!$A1016="","",IF('ORDENES'!$N1016="","-",'ORDENES'!$N1016))</f>
        <v/>
      </c>
      <c r="M1038" s="3">
        <f>IF('ORDENES'!$A1016="","",'ORDENES'!$AA1016)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IF('ORDENES'!$A1017="","",IF('ORDENES'!$AC1017="","-",'ORDENES'!$AC1017))</f>
        <v/>
      </c>
      <c r="D1039" s="3">
        <f>IF('ORDENES'!$A1017="","",IF('ORDENES'!$V1017="","-",'ORDENES'!$V1017))</f>
        <v/>
      </c>
      <c r="E1039" s="3">
        <f>IF('ORDENES'!$A1017="","",IF('ORDENES'!$U1017="","-",'ORDENES'!$U1017))</f>
        <v/>
      </c>
      <c r="F1039" s="3">
        <f>IF('ORDENES'!$A1017="","",IF('ORDENES'!$W1017="","-",'ORDENES'!$W1017))</f>
        <v/>
      </c>
      <c r="G1039" s="3">
        <f>IF('ORDENES'!$A1017="","",IF('ORDENES'!$AB1017="","-",'ORDENES'!$AB1017))</f>
        <v/>
      </c>
      <c r="H1039" s="3">
        <f>IF('ORDENES'!$A1017="","",IF('ORDENES'!$AN1017="","-",'ORDENES'!$AN1017))</f>
        <v/>
      </c>
      <c r="I1039" s="3">
        <f>IF('ORDENES'!$A1017="","",IF('ORDENES'!$D1017="","-",'ORDENES'!$D1017))</f>
        <v/>
      </c>
      <c r="J1039" s="3">
        <f>IF('ORDENES'!$A1017="","",IF('ORDENES'!$E1017="","-",'ORDENES'!$E1017))</f>
        <v/>
      </c>
      <c r="K1039" s="12">
        <f>IF('ORDENES'!$A1017="","",IF('ORDENES'!$M1017="",0,'ORDENES'!$M1017))</f>
        <v/>
      </c>
      <c r="L1039" s="3">
        <f>IF('ORDENES'!$A1017="","",IF('ORDENES'!$N1017="","-",'ORDENES'!$N1017))</f>
        <v/>
      </c>
      <c r="M1039" s="3">
        <f>IF('ORDENES'!$A1017="","",'ORDENES'!$AA1017)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IF('ORDENES'!$A1018="","",IF('ORDENES'!$AC1018="","-",'ORDENES'!$AC1018))</f>
        <v/>
      </c>
      <c r="D1040" s="3">
        <f>IF('ORDENES'!$A1018="","",IF('ORDENES'!$V1018="","-",'ORDENES'!$V1018))</f>
        <v/>
      </c>
      <c r="E1040" s="3">
        <f>IF('ORDENES'!$A1018="","",IF('ORDENES'!$U1018="","-",'ORDENES'!$U1018))</f>
        <v/>
      </c>
      <c r="F1040" s="3">
        <f>IF('ORDENES'!$A1018="","",IF('ORDENES'!$W1018="","-",'ORDENES'!$W1018))</f>
        <v/>
      </c>
      <c r="G1040" s="3">
        <f>IF('ORDENES'!$A1018="","",IF('ORDENES'!$AB1018="","-",'ORDENES'!$AB1018))</f>
        <v/>
      </c>
      <c r="H1040" s="3">
        <f>IF('ORDENES'!$A1018="","",IF('ORDENES'!$AN1018="","-",'ORDENES'!$AN1018))</f>
        <v/>
      </c>
      <c r="I1040" s="3">
        <f>IF('ORDENES'!$A1018="","",IF('ORDENES'!$D1018="","-",'ORDENES'!$D1018))</f>
        <v/>
      </c>
      <c r="J1040" s="3">
        <f>IF('ORDENES'!$A1018="","",IF('ORDENES'!$E1018="","-",'ORDENES'!$E1018))</f>
        <v/>
      </c>
      <c r="K1040" s="12">
        <f>IF('ORDENES'!$A1018="","",IF('ORDENES'!$M1018="",0,'ORDENES'!$M1018))</f>
        <v/>
      </c>
      <c r="L1040" s="3">
        <f>IF('ORDENES'!$A1018="","",IF('ORDENES'!$N1018="","-",'ORDENES'!$N1018))</f>
        <v/>
      </c>
      <c r="M1040" s="3">
        <f>IF('ORDENES'!$A1018="","",'ORDENES'!$AA1018)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IF('ORDENES'!$A1019="","",IF('ORDENES'!$AC1019="","-",'ORDENES'!$AC1019))</f>
        <v/>
      </c>
      <c r="D1041" s="3">
        <f>IF('ORDENES'!$A1019="","",IF('ORDENES'!$V1019="","-",'ORDENES'!$V1019))</f>
        <v/>
      </c>
      <c r="E1041" s="3">
        <f>IF('ORDENES'!$A1019="","",IF('ORDENES'!$U1019="","-",'ORDENES'!$U1019))</f>
        <v/>
      </c>
      <c r="F1041" s="3">
        <f>IF('ORDENES'!$A1019="","",IF('ORDENES'!$W1019="","-",'ORDENES'!$W1019))</f>
        <v/>
      </c>
      <c r="G1041" s="3">
        <f>IF('ORDENES'!$A1019="","",IF('ORDENES'!$AB1019="","-",'ORDENES'!$AB1019))</f>
        <v/>
      </c>
      <c r="H1041" s="3">
        <f>IF('ORDENES'!$A1019="","",IF('ORDENES'!$AN1019="","-",'ORDENES'!$AN1019))</f>
        <v/>
      </c>
      <c r="I1041" s="3">
        <f>IF('ORDENES'!$A1019="","",IF('ORDENES'!$D1019="","-",'ORDENES'!$D1019))</f>
        <v/>
      </c>
      <c r="J1041" s="3">
        <f>IF('ORDENES'!$A1019="","",IF('ORDENES'!$E1019="","-",'ORDENES'!$E1019))</f>
        <v/>
      </c>
      <c r="K1041" s="12">
        <f>IF('ORDENES'!$A1019="","",IF('ORDENES'!$M1019="",0,'ORDENES'!$M1019))</f>
        <v/>
      </c>
      <c r="L1041" s="3">
        <f>IF('ORDENES'!$A1019="","",IF('ORDENES'!$N1019="","-",'ORDENES'!$N1019))</f>
        <v/>
      </c>
      <c r="M1041" s="3">
        <f>IF('ORDENES'!$A1019="","",'ORDENES'!$AA1019)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IF('ORDENES'!$A1020="","",IF('ORDENES'!$AC1020="","-",'ORDENES'!$AC1020))</f>
        <v/>
      </c>
      <c r="D1042" s="3">
        <f>IF('ORDENES'!$A1020="","",IF('ORDENES'!$V1020="","-",'ORDENES'!$V1020))</f>
        <v/>
      </c>
      <c r="E1042" s="3">
        <f>IF('ORDENES'!$A1020="","",IF('ORDENES'!$U1020="","-",'ORDENES'!$U1020))</f>
        <v/>
      </c>
      <c r="F1042" s="3">
        <f>IF('ORDENES'!$A1020="","",IF('ORDENES'!$W1020="","-",'ORDENES'!$W1020))</f>
        <v/>
      </c>
      <c r="G1042" s="3">
        <f>IF('ORDENES'!$A1020="","",IF('ORDENES'!$AB1020="","-",'ORDENES'!$AB1020))</f>
        <v/>
      </c>
      <c r="H1042" s="3">
        <f>IF('ORDENES'!$A1020="","",IF('ORDENES'!$AN1020="","-",'ORDENES'!$AN1020))</f>
        <v/>
      </c>
      <c r="I1042" s="3">
        <f>IF('ORDENES'!$A1020="","",IF('ORDENES'!$D1020="","-",'ORDENES'!$D1020))</f>
        <v/>
      </c>
      <c r="J1042" s="3">
        <f>IF('ORDENES'!$A1020="","",IF('ORDENES'!$E1020="","-",'ORDENES'!$E1020))</f>
        <v/>
      </c>
      <c r="K1042" s="12">
        <f>IF('ORDENES'!$A1020="","",IF('ORDENES'!$M1020="",0,'ORDENES'!$M1020))</f>
        <v/>
      </c>
      <c r="L1042" s="3">
        <f>IF('ORDENES'!$A1020="","",IF('ORDENES'!$N1020="","-",'ORDENES'!$N1020))</f>
        <v/>
      </c>
      <c r="M1042" s="3">
        <f>IF('ORDENES'!$A1020="","",'ORDENES'!$AA1020)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IF('ORDENES'!$A1021="","",IF('ORDENES'!$AC1021="","-",'ORDENES'!$AC1021))</f>
        <v/>
      </c>
      <c r="D1043" s="3">
        <f>IF('ORDENES'!$A1021="","",IF('ORDENES'!$V1021="","-",'ORDENES'!$V1021))</f>
        <v/>
      </c>
      <c r="E1043" s="3">
        <f>IF('ORDENES'!$A1021="","",IF('ORDENES'!$U1021="","-",'ORDENES'!$U1021))</f>
        <v/>
      </c>
      <c r="F1043" s="3">
        <f>IF('ORDENES'!$A1021="","",IF('ORDENES'!$W1021="","-",'ORDENES'!$W1021))</f>
        <v/>
      </c>
      <c r="G1043" s="3">
        <f>IF('ORDENES'!$A1021="","",IF('ORDENES'!$AB1021="","-",'ORDENES'!$AB1021))</f>
        <v/>
      </c>
      <c r="H1043" s="3">
        <f>IF('ORDENES'!$A1021="","",IF('ORDENES'!$AN1021="","-",'ORDENES'!$AN1021))</f>
        <v/>
      </c>
      <c r="I1043" s="3">
        <f>IF('ORDENES'!$A1021="","",IF('ORDENES'!$D1021="","-",'ORDENES'!$D1021))</f>
        <v/>
      </c>
      <c r="J1043" s="3">
        <f>IF('ORDENES'!$A1021="","",IF('ORDENES'!$E1021="","-",'ORDENES'!$E1021))</f>
        <v/>
      </c>
      <c r="K1043" s="12">
        <f>IF('ORDENES'!$A1021="","",IF('ORDENES'!$M1021="",0,'ORDENES'!$M1021))</f>
        <v/>
      </c>
      <c r="L1043" s="3">
        <f>IF('ORDENES'!$A1021="","",IF('ORDENES'!$N1021="","-",'ORDENES'!$N1021))</f>
        <v/>
      </c>
      <c r="M1043" s="3">
        <f>IF('ORDENES'!$A1021="","",'ORDENES'!$AA1021)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IF('ORDENES'!$A1022="","",IF('ORDENES'!$AC1022="","-",'ORDENES'!$AC1022))</f>
        <v/>
      </c>
      <c r="D1044" s="3">
        <f>IF('ORDENES'!$A1022="","",IF('ORDENES'!$V1022="","-",'ORDENES'!$V1022))</f>
        <v/>
      </c>
      <c r="E1044" s="3">
        <f>IF('ORDENES'!$A1022="","",IF('ORDENES'!$U1022="","-",'ORDENES'!$U1022))</f>
        <v/>
      </c>
      <c r="F1044" s="3">
        <f>IF('ORDENES'!$A1022="","",IF('ORDENES'!$W1022="","-",'ORDENES'!$W1022))</f>
        <v/>
      </c>
      <c r="G1044" s="3">
        <f>IF('ORDENES'!$A1022="","",IF('ORDENES'!$AB1022="","-",'ORDENES'!$AB1022))</f>
        <v/>
      </c>
      <c r="H1044" s="3">
        <f>IF('ORDENES'!$A1022="","",IF('ORDENES'!$AN1022="","-",'ORDENES'!$AN1022))</f>
        <v/>
      </c>
      <c r="I1044" s="3">
        <f>IF('ORDENES'!$A1022="","",IF('ORDENES'!$D1022="","-",'ORDENES'!$D1022))</f>
        <v/>
      </c>
      <c r="J1044" s="3">
        <f>IF('ORDENES'!$A1022="","",IF('ORDENES'!$E1022="","-",'ORDENES'!$E1022))</f>
        <v/>
      </c>
      <c r="K1044" s="12">
        <f>IF('ORDENES'!$A1022="","",IF('ORDENES'!$M1022="",0,'ORDENES'!$M1022))</f>
        <v/>
      </c>
      <c r="L1044" s="3">
        <f>IF('ORDENES'!$A1022="","",IF('ORDENES'!$N1022="","-",'ORDENES'!$N1022))</f>
        <v/>
      </c>
      <c r="M1044" s="3">
        <f>IF('ORDENES'!$A1022="","",'ORDENES'!$AA1022)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IF('ORDENES'!$A1023="","",IF('ORDENES'!$AC1023="","-",'ORDENES'!$AC1023))</f>
        <v/>
      </c>
      <c r="D1045" s="3">
        <f>IF('ORDENES'!$A1023="","",IF('ORDENES'!$V1023="","-",'ORDENES'!$V1023))</f>
        <v/>
      </c>
      <c r="E1045" s="3">
        <f>IF('ORDENES'!$A1023="","",IF('ORDENES'!$U1023="","-",'ORDENES'!$U1023))</f>
        <v/>
      </c>
      <c r="F1045" s="3">
        <f>IF('ORDENES'!$A1023="","",IF('ORDENES'!$W1023="","-",'ORDENES'!$W1023))</f>
        <v/>
      </c>
      <c r="G1045" s="3">
        <f>IF('ORDENES'!$A1023="","",IF('ORDENES'!$AB1023="","-",'ORDENES'!$AB1023))</f>
        <v/>
      </c>
      <c r="H1045" s="3">
        <f>IF('ORDENES'!$A1023="","",IF('ORDENES'!$AN1023="","-",'ORDENES'!$AN1023))</f>
        <v/>
      </c>
      <c r="I1045" s="3">
        <f>IF('ORDENES'!$A1023="","",IF('ORDENES'!$D1023="","-",'ORDENES'!$D1023))</f>
        <v/>
      </c>
      <c r="J1045" s="3">
        <f>IF('ORDENES'!$A1023="","",IF('ORDENES'!$E1023="","-",'ORDENES'!$E1023))</f>
        <v/>
      </c>
      <c r="K1045" s="12">
        <f>IF('ORDENES'!$A1023="","",IF('ORDENES'!$M1023="",0,'ORDENES'!$M1023))</f>
        <v/>
      </c>
      <c r="L1045" s="3">
        <f>IF('ORDENES'!$A1023="","",IF('ORDENES'!$N1023="","-",'ORDENES'!$N1023))</f>
        <v/>
      </c>
      <c r="M1045" s="3">
        <f>IF('ORDENES'!$A1023="","",'ORDENES'!$AA1023)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IF('ORDENES'!$A1024="","",IF('ORDENES'!$AC1024="","-",'ORDENES'!$AC1024))</f>
        <v/>
      </c>
      <c r="D1046" s="3">
        <f>IF('ORDENES'!$A1024="","",IF('ORDENES'!$V1024="","-",'ORDENES'!$V1024))</f>
        <v/>
      </c>
      <c r="E1046" s="3">
        <f>IF('ORDENES'!$A1024="","",IF('ORDENES'!$U1024="","-",'ORDENES'!$U1024))</f>
        <v/>
      </c>
      <c r="F1046" s="3">
        <f>IF('ORDENES'!$A1024="","",IF('ORDENES'!$W1024="","-",'ORDENES'!$W1024))</f>
        <v/>
      </c>
      <c r="G1046" s="3">
        <f>IF('ORDENES'!$A1024="","",IF('ORDENES'!$AB1024="","-",'ORDENES'!$AB1024))</f>
        <v/>
      </c>
      <c r="H1046" s="3">
        <f>IF('ORDENES'!$A1024="","",IF('ORDENES'!$AN1024="","-",'ORDENES'!$AN1024))</f>
        <v/>
      </c>
      <c r="I1046" s="3">
        <f>IF('ORDENES'!$A1024="","",IF('ORDENES'!$D1024="","-",'ORDENES'!$D1024))</f>
        <v/>
      </c>
      <c r="J1046" s="3">
        <f>IF('ORDENES'!$A1024="","",IF('ORDENES'!$E1024="","-",'ORDENES'!$E1024))</f>
        <v/>
      </c>
      <c r="K1046" s="12">
        <f>IF('ORDENES'!$A1024="","",IF('ORDENES'!$M1024="",0,'ORDENES'!$M1024))</f>
        <v/>
      </c>
      <c r="L1046" s="3">
        <f>IF('ORDENES'!$A1024="","",IF('ORDENES'!$N1024="","-",'ORDENES'!$N1024))</f>
        <v/>
      </c>
      <c r="M1046" s="3">
        <f>IF('ORDENES'!$A1024="","",'ORDENES'!$AA1024)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IF('ORDENES'!$A1025="","",IF('ORDENES'!$AC1025="","-",'ORDENES'!$AC1025))</f>
        <v/>
      </c>
      <c r="D1047" s="3">
        <f>IF('ORDENES'!$A1025="","",IF('ORDENES'!$V1025="","-",'ORDENES'!$V1025))</f>
        <v/>
      </c>
      <c r="E1047" s="3">
        <f>IF('ORDENES'!$A1025="","",IF('ORDENES'!$U1025="","-",'ORDENES'!$U1025))</f>
        <v/>
      </c>
      <c r="F1047" s="3">
        <f>IF('ORDENES'!$A1025="","",IF('ORDENES'!$W1025="","-",'ORDENES'!$W1025))</f>
        <v/>
      </c>
      <c r="G1047" s="3">
        <f>IF('ORDENES'!$A1025="","",IF('ORDENES'!$AB1025="","-",'ORDENES'!$AB1025))</f>
        <v/>
      </c>
      <c r="H1047" s="3">
        <f>IF('ORDENES'!$A1025="","",IF('ORDENES'!$AN1025="","-",'ORDENES'!$AN1025))</f>
        <v/>
      </c>
      <c r="I1047" s="3">
        <f>IF('ORDENES'!$A1025="","",IF('ORDENES'!$D1025="","-",'ORDENES'!$D1025))</f>
        <v/>
      </c>
      <c r="J1047" s="3">
        <f>IF('ORDENES'!$A1025="","",IF('ORDENES'!$E1025="","-",'ORDENES'!$E1025))</f>
        <v/>
      </c>
      <c r="K1047" s="12">
        <f>IF('ORDENES'!$A1025="","",IF('ORDENES'!$M1025="",0,'ORDENES'!$M1025))</f>
        <v/>
      </c>
      <c r="L1047" s="3">
        <f>IF('ORDENES'!$A1025="","",IF('ORDENES'!$N1025="","-",'ORDENES'!$N1025))</f>
        <v/>
      </c>
      <c r="M1047" s="3">
        <f>IF('ORDENES'!$A1025="","",'ORDENES'!$AA1025)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IF('ORDENES'!$A1026="","",IF('ORDENES'!$AC1026="","-",'ORDENES'!$AC1026))</f>
        <v/>
      </c>
      <c r="D1048" s="3">
        <f>IF('ORDENES'!$A1026="","",IF('ORDENES'!$V1026="","-",'ORDENES'!$V1026))</f>
        <v/>
      </c>
      <c r="E1048" s="3">
        <f>IF('ORDENES'!$A1026="","",IF('ORDENES'!$U1026="","-",'ORDENES'!$U1026))</f>
        <v/>
      </c>
      <c r="F1048" s="3">
        <f>IF('ORDENES'!$A1026="","",IF('ORDENES'!$W1026="","-",'ORDENES'!$W1026))</f>
        <v/>
      </c>
      <c r="G1048" s="3">
        <f>IF('ORDENES'!$A1026="","",IF('ORDENES'!$AB1026="","-",'ORDENES'!$AB1026))</f>
        <v/>
      </c>
      <c r="H1048" s="3">
        <f>IF('ORDENES'!$A1026="","",IF('ORDENES'!$AN1026="","-",'ORDENES'!$AN1026))</f>
        <v/>
      </c>
      <c r="I1048" s="3">
        <f>IF('ORDENES'!$A1026="","",IF('ORDENES'!$D1026="","-",'ORDENES'!$D1026))</f>
        <v/>
      </c>
      <c r="J1048" s="3">
        <f>IF('ORDENES'!$A1026="","",IF('ORDENES'!$E1026="","-",'ORDENES'!$E1026))</f>
        <v/>
      </c>
      <c r="K1048" s="12">
        <f>IF('ORDENES'!$A1026="","",IF('ORDENES'!$M1026="",0,'ORDENES'!$M1026))</f>
        <v/>
      </c>
      <c r="L1048" s="3">
        <f>IF('ORDENES'!$A1026="","",IF('ORDENES'!$N1026="","-",'ORDENES'!$N1026))</f>
        <v/>
      </c>
      <c r="M1048" s="3">
        <f>IF('ORDENES'!$A1026="","",'ORDENES'!$AA1026)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IF('ORDENES'!$A1027="","",IF('ORDENES'!$AC1027="","-",'ORDENES'!$AC1027))</f>
        <v/>
      </c>
      <c r="D1049" s="3">
        <f>IF('ORDENES'!$A1027="","",IF('ORDENES'!$V1027="","-",'ORDENES'!$V1027))</f>
        <v/>
      </c>
      <c r="E1049" s="3">
        <f>IF('ORDENES'!$A1027="","",IF('ORDENES'!$U1027="","-",'ORDENES'!$U1027))</f>
        <v/>
      </c>
      <c r="F1049" s="3">
        <f>IF('ORDENES'!$A1027="","",IF('ORDENES'!$W1027="","-",'ORDENES'!$W1027))</f>
        <v/>
      </c>
      <c r="G1049" s="3">
        <f>IF('ORDENES'!$A1027="","",IF('ORDENES'!$AB1027="","-",'ORDENES'!$AB1027))</f>
        <v/>
      </c>
      <c r="H1049" s="3">
        <f>IF('ORDENES'!$A1027="","",IF('ORDENES'!$AN1027="","-",'ORDENES'!$AN1027))</f>
        <v/>
      </c>
      <c r="I1049" s="3">
        <f>IF('ORDENES'!$A1027="","",IF('ORDENES'!$D1027="","-",'ORDENES'!$D1027))</f>
        <v/>
      </c>
      <c r="J1049" s="3">
        <f>IF('ORDENES'!$A1027="","",IF('ORDENES'!$E1027="","-",'ORDENES'!$E1027))</f>
        <v/>
      </c>
      <c r="K1049" s="12">
        <f>IF('ORDENES'!$A1027="","",IF('ORDENES'!$M1027="",0,'ORDENES'!$M1027))</f>
        <v/>
      </c>
      <c r="L1049" s="3">
        <f>IF('ORDENES'!$A1027="","",IF('ORDENES'!$N1027="","-",'ORDENES'!$N1027))</f>
        <v/>
      </c>
      <c r="M1049" s="3">
        <f>IF('ORDENES'!$A1027="","",'ORDENES'!$AA1027)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IF('ORDENES'!$A1028="","",IF('ORDENES'!$AC1028="","-",'ORDENES'!$AC1028))</f>
        <v/>
      </c>
      <c r="D1050" s="3">
        <f>IF('ORDENES'!$A1028="","",IF('ORDENES'!$V1028="","-",'ORDENES'!$V1028))</f>
        <v/>
      </c>
      <c r="E1050" s="3">
        <f>IF('ORDENES'!$A1028="","",IF('ORDENES'!$U1028="","-",'ORDENES'!$U1028))</f>
        <v/>
      </c>
      <c r="F1050" s="3">
        <f>IF('ORDENES'!$A1028="","",IF('ORDENES'!$W1028="","-",'ORDENES'!$W1028))</f>
        <v/>
      </c>
      <c r="G1050" s="3">
        <f>IF('ORDENES'!$A1028="","",IF('ORDENES'!$AB1028="","-",'ORDENES'!$AB1028))</f>
        <v/>
      </c>
      <c r="H1050" s="3">
        <f>IF('ORDENES'!$A1028="","",IF('ORDENES'!$AN1028="","-",'ORDENES'!$AN1028))</f>
        <v/>
      </c>
      <c r="I1050" s="3">
        <f>IF('ORDENES'!$A1028="","",IF('ORDENES'!$D1028="","-",'ORDENES'!$D1028))</f>
        <v/>
      </c>
      <c r="J1050" s="3">
        <f>IF('ORDENES'!$A1028="","",IF('ORDENES'!$E1028="","-",'ORDENES'!$E1028))</f>
        <v/>
      </c>
      <c r="K1050" s="12">
        <f>IF('ORDENES'!$A1028="","",IF('ORDENES'!$M1028="",0,'ORDENES'!$M1028))</f>
        <v/>
      </c>
      <c r="L1050" s="3">
        <f>IF('ORDENES'!$A1028="","",IF('ORDENES'!$N1028="","-",'ORDENES'!$N1028))</f>
        <v/>
      </c>
      <c r="M1050" s="3">
        <f>IF('ORDENES'!$A1028="","",'ORDENES'!$AA1028)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IF('ORDENES'!$A1029="","",IF('ORDENES'!$AC1029="","-",'ORDENES'!$AC1029))</f>
        <v/>
      </c>
      <c r="D1051" s="3">
        <f>IF('ORDENES'!$A1029="","",IF('ORDENES'!$V1029="","-",'ORDENES'!$V1029))</f>
        <v/>
      </c>
      <c r="E1051" s="3">
        <f>IF('ORDENES'!$A1029="","",IF('ORDENES'!$U1029="","-",'ORDENES'!$U1029))</f>
        <v/>
      </c>
      <c r="F1051" s="3">
        <f>IF('ORDENES'!$A1029="","",IF('ORDENES'!$W1029="","-",'ORDENES'!$W1029))</f>
        <v/>
      </c>
      <c r="G1051" s="3">
        <f>IF('ORDENES'!$A1029="","",IF('ORDENES'!$AB1029="","-",'ORDENES'!$AB1029))</f>
        <v/>
      </c>
      <c r="H1051" s="3">
        <f>IF('ORDENES'!$A1029="","",IF('ORDENES'!$AN1029="","-",'ORDENES'!$AN1029))</f>
        <v/>
      </c>
      <c r="I1051" s="3">
        <f>IF('ORDENES'!$A1029="","",IF('ORDENES'!$D1029="","-",'ORDENES'!$D1029))</f>
        <v/>
      </c>
      <c r="J1051" s="3">
        <f>IF('ORDENES'!$A1029="","",IF('ORDENES'!$E1029="","-",'ORDENES'!$E1029))</f>
        <v/>
      </c>
      <c r="K1051" s="12">
        <f>IF('ORDENES'!$A1029="","",IF('ORDENES'!$M1029="",0,'ORDENES'!$M1029))</f>
        <v/>
      </c>
      <c r="L1051" s="3">
        <f>IF('ORDENES'!$A1029="","",IF('ORDENES'!$N1029="","-",'ORDENES'!$N1029))</f>
        <v/>
      </c>
      <c r="M1051" s="3">
        <f>IF('ORDENES'!$A1029="","",'ORDENES'!$AA1029)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IF('ORDENES'!$A1030="","",IF('ORDENES'!$AC1030="","-",'ORDENES'!$AC1030))</f>
        <v/>
      </c>
      <c r="D1052" s="3">
        <f>IF('ORDENES'!$A1030="","",IF('ORDENES'!$V1030="","-",'ORDENES'!$V1030))</f>
        <v/>
      </c>
      <c r="E1052" s="3">
        <f>IF('ORDENES'!$A1030="","",IF('ORDENES'!$U1030="","-",'ORDENES'!$U1030))</f>
        <v/>
      </c>
      <c r="F1052" s="3">
        <f>IF('ORDENES'!$A1030="","",IF('ORDENES'!$W1030="","-",'ORDENES'!$W1030))</f>
        <v/>
      </c>
      <c r="G1052" s="3">
        <f>IF('ORDENES'!$A1030="","",IF('ORDENES'!$AB1030="","-",'ORDENES'!$AB1030))</f>
        <v/>
      </c>
      <c r="H1052" s="3">
        <f>IF('ORDENES'!$A1030="","",IF('ORDENES'!$AN1030="","-",'ORDENES'!$AN1030))</f>
        <v/>
      </c>
      <c r="I1052" s="3">
        <f>IF('ORDENES'!$A1030="","",IF('ORDENES'!$D1030="","-",'ORDENES'!$D1030))</f>
        <v/>
      </c>
      <c r="J1052" s="3">
        <f>IF('ORDENES'!$A1030="","",IF('ORDENES'!$E1030="","-",'ORDENES'!$E1030))</f>
        <v/>
      </c>
      <c r="K1052" s="12">
        <f>IF('ORDENES'!$A1030="","",IF('ORDENES'!$M1030="",0,'ORDENES'!$M1030))</f>
        <v/>
      </c>
      <c r="L1052" s="3">
        <f>IF('ORDENES'!$A1030="","",IF('ORDENES'!$N1030="","-",'ORDENES'!$N1030))</f>
        <v/>
      </c>
      <c r="M1052" s="3">
        <f>IF('ORDENES'!$A1030="","",'ORDENES'!$AA1030)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IF('ORDENES'!$A1031="","",IF('ORDENES'!$AC1031="","-",'ORDENES'!$AC1031))</f>
        <v/>
      </c>
      <c r="D1053" s="3">
        <f>IF('ORDENES'!$A1031="","",IF('ORDENES'!$V1031="","-",'ORDENES'!$V1031))</f>
        <v/>
      </c>
      <c r="E1053" s="3">
        <f>IF('ORDENES'!$A1031="","",IF('ORDENES'!$U1031="","-",'ORDENES'!$U1031))</f>
        <v/>
      </c>
      <c r="F1053" s="3">
        <f>IF('ORDENES'!$A1031="","",IF('ORDENES'!$W1031="","-",'ORDENES'!$W1031))</f>
        <v/>
      </c>
      <c r="G1053" s="3">
        <f>IF('ORDENES'!$A1031="","",IF('ORDENES'!$AB1031="","-",'ORDENES'!$AB1031))</f>
        <v/>
      </c>
      <c r="H1053" s="3">
        <f>IF('ORDENES'!$A1031="","",IF('ORDENES'!$AN1031="","-",'ORDENES'!$AN1031))</f>
        <v/>
      </c>
      <c r="I1053" s="3">
        <f>IF('ORDENES'!$A1031="","",IF('ORDENES'!$D1031="","-",'ORDENES'!$D1031))</f>
        <v/>
      </c>
      <c r="J1053" s="3">
        <f>IF('ORDENES'!$A1031="","",IF('ORDENES'!$E1031="","-",'ORDENES'!$E1031))</f>
        <v/>
      </c>
      <c r="K1053" s="12">
        <f>IF('ORDENES'!$A1031="","",IF('ORDENES'!$M1031="",0,'ORDENES'!$M1031))</f>
        <v/>
      </c>
      <c r="L1053" s="3">
        <f>IF('ORDENES'!$A1031="","",IF('ORDENES'!$N1031="","-",'ORDENES'!$N1031))</f>
        <v/>
      </c>
      <c r="M1053" s="3">
        <f>IF('ORDENES'!$A1031="","",'ORDENES'!$AA1031)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IF('ORDENES'!$A1032="","",IF('ORDENES'!$AC1032="","-",'ORDENES'!$AC1032))</f>
        <v/>
      </c>
      <c r="D1054" s="3">
        <f>IF('ORDENES'!$A1032="","",IF('ORDENES'!$V1032="","-",'ORDENES'!$V1032))</f>
        <v/>
      </c>
      <c r="E1054" s="3">
        <f>IF('ORDENES'!$A1032="","",IF('ORDENES'!$U1032="","-",'ORDENES'!$U1032))</f>
        <v/>
      </c>
      <c r="F1054" s="3">
        <f>IF('ORDENES'!$A1032="","",IF('ORDENES'!$W1032="","-",'ORDENES'!$W1032))</f>
        <v/>
      </c>
      <c r="G1054" s="3">
        <f>IF('ORDENES'!$A1032="","",IF('ORDENES'!$AB1032="","-",'ORDENES'!$AB1032))</f>
        <v/>
      </c>
      <c r="H1054" s="3">
        <f>IF('ORDENES'!$A1032="","",IF('ORDENES'!$AN1032="","-",'ORDENES'!$AN1032))</f>
        <v/>
      </c>
      <c r="I1054" s="3">
        <f>IF('ORDENES'!$A1032="","",IF('ORDENES'!$D1032="","-",'ORDENES'!$D1032))</f>
        <v/>
      </c>
      <c r="J1054" s="3">
        <f>IF('ORDENES'!$A1032="","",IF('ORDENES'!$E1032="","-",'ORDENES'!$E1032))</f>
        <v/>
      </c>
      <c r="K1054" s="12">
        <f>IF('ORDENES'!$A1032="","",IF('ORDENES'!$M1032="",0,'ORDENES'!$M1032))</f>
        <v/>
      </c>
      <c r="L1054" s="3">
        <f>IF('ORDENES'!$A1032="","",IF('ORDENES'!$N1032="","-",'ORDENES'!$N1032))</f>
        <v/>
      </c>
      <c r="M1054" s="3">
        <f>IF('ORDENES'!$A1032="","",'ORDENES'!$AA1032)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IF('ORDENES'!$A1033="","",IF('ORDENES'!$AC1033="","-",'ORDENES'!$AC1033))</f>
        <v/>
      </c>
      <c r="D1055" s="3">
        <f>IF('ORDENES'!$A1033="","",IF('ORDENES'!$V1033="","-",'ORDENES'!$V1033))</f>
        <v/>
      </c>
      <c r="E1055" s="3">
        <f>IF('ORDENES'!$A1033="","",IF('ORDENES'!$U1033="","-",'ORDENES'!$U1033))</f>
        <v/>
      </c>
      <c r="F1055" s="3">
        <f>IF('ORDENES'!$A1033="","",IF('ORDENES'!$W1033="","-",'ORDENES'!$W1033))</f>
        <v/>
      </c>
      <c r="G1055" s="3">
        <f>IF('ORDENES'!$A1033="","",IF('ORDENES'!$AB1033="","-",'ORDENES'!$AB1033))</f>
        <v/>
      </c>
      <c r="H1055" s="3">
        <f>IF('ORDENES'!$A1033="","",IF('ORDENES'!$AN1033="","-",'ORDENES'!$AN1033))</f>
        <v/>
      </c>
      <c r="I1055" s="3">
        <f>IF('ORDENES'!$A1033="","",IF('ORDENES'!$D1033="","-",'ORDENES'!$D1033))</f>
        <v/>
      </c>
      <c r="J1055" s="3">
        <f>IF('ORDENES'!$A1033="","",IF('ORDENES'!$E1033="","-",'ORDENES'!$E1033))</f>
        <v/>
      </c>
      <c r="K1055" s="12">
        <f>IF('ORDENES'!$A1033="","",IF('ORDENES'!$M1033="",0,'ORDENES'!$M1033))</f>
        <v/>
      </c>
      <c r="L1055" s="3">
        <f>IF('ORDENES'!$A1033="","",IF('ORDENES'!$N1033="","-",'ORDENES'!$N1033))</f>
        <v/>
      </c>
      <c r="M1055" s="3">
        <f>IF('ORDENES'!$A1033="","",'ORDENES'!$AA1033)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IF('ORDENES'!$A1034="","",IF('ORDENES'!$AC1034="","-",'ORDENES'!$AC1034))</f>
        <v/>
      </c>
      <c r="D1056" s="3">
        <f>IF('ORDENES'!$A1034="","",IF('ORDENES'!$V1034="","-",'ORDENES'!$V1034))</f>
        <v/>
      </c>
      <c r="E1056" s="3">
        <f>IF('ORDENES'!$A1034="","",IF('ORDENES'!$U1034="","-",'ORDENES'!$U1034))</f>
        <v/>
      </c>
      <c r="F1056" s="3">
        <f>IF('ORDENES'!$A1034="","",IF('ORDENES'!$W1034="","-",'ORDENES'!$W1034))</f>
        <v/>
      </c>
      <c r="G1056" s="3">
        <f>IF('ORDENES'!$A1034="","",IF('ORDENES'!$AB1034="","-",'ORDENES'!$AB1034))</f>
        <v/>
      </c>
      <c r="H1056" s="3">
        <f>IF('ORDENES'!$A1034="","",IF('ORDENES'!$AN1034="","-",'ORDENES'!$AN1034))</f>
        <v/>
      </c>
      <c r="I1056" s="3">
        <f>IF('ORDENES'!$A1034="","",IF('ORDENES'!$D1034="","-",'ORDENES'!$D1034))</f>
        <v/>
      </c>
      <c r="J1056" s="3">
        <f>IF('ORDENES'!$A1034="","",IF('ORDENES'!$E1034="","-",'ORDENES'!$E1034))</f>
        <v/>
      </c>
      <c r="K1056" s="12">
        <f>IF('ORDENES'!$A1034="","",IF('ORDENES'!$M1034="",0,'ORDENES'!$M1034))</f>
        <v/>
      </c>
      <c r="L1056" s="3">
        <f>IF('ORDENES'!$A1034="","",IF('ORDENES'!$N1034="","-",'ORDENES'!$N1034))</f>
        <v/>
      </c>
      <c r="M1056" s="3">
        <f>IF('ORDENES'!$A1034="","",'ORDENES'!$AA1034)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IF('ORDENES'!$A1035="","",IF('ORDENES'!$AC1035="","-",'ORDENES'!$AC1035))</f>
        <v/>
      </c>
      <c r="D1057" s="3">
        <f>IF('ORDENES'!$A1035="","",IF('ORDENES'!$V1035="","-",'ORDENES'!$V1035))</f>
        <v/>
      </c>
      <c r="E1057" s="3">
        <f>IF('ORDENES'!$A1035="","",IF('ORDENES'!$U1035="","-",'ORDENES'!$U1035))</f>
        <v/>
      </c>
      <c r="F1057" s="3">
        <f>IF('ORDENES'!$A1035="","",IF('ORDENES'!$W1035="","-",'ORDENES'!$W1035))</f>
        <v/>
      </c>
      <c r="G1057" s="3">
        <f>IF('ORDENES'!$A1035="","",IF('ORDENES'!$AB1035="","-",'ORDENES'!$AB1035))</f>
        <v/>
      </c>
      <c r="H1057" s="3">
        <f>IF('ORDENES'!$A1035="","",IF('ORDENES'!$AN1035="","-",'ORDENES'!$AN1035))</f>
        <v/>
      </c>
      <c r="I1057" s="3">
        <f>IF('ORDENES'!$A1035="","",IF('ORDENES'!$D1035="","-",'ORDENES'!$D1035))</f>
        <v/>
      </c>
      <c r="J1057" s="3">
        <f>IF('ORDENES'!$A1035="","",IF('ORDENES'!$E1035="","-",'ORDENES'!$E1035))</f>
        <v/>
      </c>
      <c r="K1057" s="12">
        <f>IF('ORDENES'!$A1035="","",IF('ORDENES'!$M1035="",0,'ORDENES'!$M1035))</f>
        <v/>
      </c>
      <c r="L1057" s="3">
        <f>IF('ORDENES'!$A1035="","",IF('ORDENES'!$N1035="","-",'ORDENES'!$N1035))</f>
        <v/>
      </c>
      <c r="M1057" s="3">
        <f>IF('ORDENES'!$A1035="","",'ORDENES'!$AA1035)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IF('ORDENES'!$A1036="","",IF('ORDENES'!$AC1036="","-",'ORDENES'!$AC1036))</f>
        <v/>
      </c>
      <c r="D1058" s="3">
        <f>IF('ORDENES'!$A1036="","",IF('ORDENES'!$V1036="","-",'ORDENES'!$V1036))</f>
        <v/>
      </c>
      <c r="E1058" s="3">
        <f>IF('ORDENES'!$A1036="","",IF('ORDENES'!$U1036="","-",'ORDENES'!$U1036))</f>
        <v/>
      </c>
      <c r="F1058" s="3">
        <f>IF('ORDENES'!$A1036="","",IF('ORDENES'!$W1036="","-",'ORDENES'!$W1036))</f>
        <v/>
      </c>
      <c r="G1058" s="3">
        <f>IF('ORDENES'!$A1036="","",IF('ORDENES'!$AB1036="","-",'ORDENES'!$AB1036))</f>
        <v/>
      </c>
      <c r="H1058" s="3">
        <f>IF('ORDENES'!$A1036="","",IF('ORDENES'!$AN1036="","-",'ORDENES'!$AN1036))</f>
        <v/>
      </c>
      <c r="I1058" s="3">
        <f>IF('ORDENES'!$A1036="","",IF('ORDENES'!$D1036="","-",'ORDENES'!$D1036))</f>
        <v/>
      </c>
      <c r="J1058" s="3">
        <f>IF('ORDENES'!$A1036="","",IF('ORDENES'!$E1036="","-",'ORDENES'!$E1036))</f>
        <v/>
      </c>
      <c r="K1058" s="12">
        <f>IF('ORDENES'!$A1036="","",IF('ORDENES'!$M1036="",0,'ORDENES'!$M1036))</f>
        <v/>
      </c>
      <c r="L1058" s="3">
        <f>IF('ORDENES'!$A1036="","",IF('ORDENES'!$N1036="","-",'ORDENES'!$N1036))</f>
        <v/>
      </c>
      <c r="M1058" s="3">
        <f>IF('ORDENES'!$A1036="","",'ORDENES'!$AA1036)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IF('ORDENES'!$A1037="","",IF('ORDENES'!$AC1037="","-",'ORDENES'!$AC1037))</f>
        <v/>
      </c>
      <c r="D1059" s="3">
        <f>IF('ORDENES'!$A1037="","",IF('ORDENES'!$V1037="","-",'ORDENES'!$V1037))</f>
        <v/>
      </c>
      <c r="E1059" s="3">
        <f>IF('ORDENES'!$A1037="","",IF('ORDENES'!$U1037="","-",'ORDENES'!$U1037))</f>
        <v/>
      </c>
      <c r="F1059" s="3">
        <f>IF('ORDENES'!$A1037="","",IF('ORDENES'!$W1037="","-",'ORDENES'!$W1037))</f>
        <v/>
      </c>
      <c r="G1059" s="3">
        <f>IF('ORDENES'!$A1037="","",IF('ORDENES'!$AB1037="","-",'ORDENES'!$AB1037))</f>
        <v/>
      </c>
      <c r="H1059" s="3">
        <f>IF('ORDENES'!$A1037="","",IF('ORDENES'!$AN1037="","-",'ORDENES'!$AN1037))</f>
        <v/>
      </c>
      <c r="I1059" s="3">
        <f>IF('ORDENES'!$A1037="","",IF('ORDENES'!$D1037="","-",'ORDENES'!$D1037))</f>
        <v/>
      </c>
      <c r="J1059" s="3">
        <f>IF('ORDENES'!$A1037="","",IF('ORDENES'!$E1037="","-",'ORDENES'!$E1037))</f>
        <v/>
      </c>
      <c r="K1059" s="12">
        <f>IF('ORDENES'!$A1037="","",IF('ORDENES'!$M1037="",0,'ORDENES'!$M1037))</f>
        <v/>
      </c>
      <c r="L1059" s="3">
        <f>IF('ORDENES'!$A1037="","",IF('ORDENES'!$N1037="","-",'ORDENES'!$N1037))</f>
        <v/>
      </c>
      <c r="M1059" s="3">
        <f>IF('ORDENES'!$A1037="","",'ORDENES'!$AA1037)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IF('ORDENES'!$A1038="","",IF('ORDENES'!$AC1038="","-",'ORDENES'!$AC1038))</f>
        <v/>
      </c>
      <c r="D1060" s="3">
        <f>IF('ORDENES'!$A1038="","",IF('ORDENES'!$V1038="","-",'ORDENES'!$V1038))</f>
        <v/>
      </c>
      <c r="E1060" s="3">
        <f>IF('ORDENES'!$A1038="","",IF('ORDENES'!$U1038="","-",'ORDENES'!$U1038))</f>
        <v/>
      </c>
      <c r="F1060" s="3">
        <f>IF('ORDENES'!$A1038="","",IF('ORDENES'!$W1038="","-",'ORDENES'!$W1038))</f>
        <v/>
      </c>
      <c r="G1060" s="3">
        <f>IF('ORDENES'!$A1038="","",IF('ORDENES'!$AB1038="","-",'ORDENES'!$AB1038))</f>
        <v/>
      </c>
      <c r="H1060" s="3">
        <f>IF('ORDENES'!$A1038="","",IF('ORDENES'!$AN1038="","-",'ORDENES'!$AN1038))</f>
        <v/>
      </c>
      <c r="I1060" s="3">
        <f>IF('ORDENES'!$A1038="","",IF('ORDENES'!$D1038="","-",'ORDENES'!$D1038))</f>
        <v/>
      </c>
      <c r="J1060" s="3">
        <f>IF('ORDENES'!$A1038="","",IF('ORDENES'!$E1038="","-",'ORDENES'!$E1038))</f>
        <v/>
      </c>
      <c r="K1060" s="12">
        <f>IF('ORDENES'!$A1038="","",IF('ORDENES'!$M1038="",0,'ORDENES'!$M1038))</f>
        <v/>
      </c>
      <c r="L1060" s="3">
        <f>IF('ORDENES'!$A1038="","",IF('ORDENES'!$N1038="","-",'ORDENES'!$N1038))</f>
        <v/>
      </c>
      <c r="M1060" s="3">
        <f>IF('ORDENES'!$A1038="","",'ORDENES'!$AA1038)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IF('ORDENES'!$A1039="","",IF('ORDENES'!$AC1039="","-",'ORDENES'!$AC1039))</f>
        <v/>
      </c>
      <c r="D1061" s="3">
        <f>IF('ORDENES'!$A1039="","",IF('ORDENES'!$V1039="","-",'ORDENES'!$V1039))</f>
        <v/>
      </c>
      <c r="E1061" s="3">
        <f>IF('ORDENES'!$A1039="","",IF('ORDENES'!$U1039="","-",'ORDENES'!$U1039))</f>
        <v/>
      </c>
      <c r="F1061" s="3">
        <f>IF('ORDENES'!$A1039="","",IF('ORDENES'!$W1039="","-",'ORDENES'!$W1039))</f>
        <v/>
      </c>
      <c r="G1061" s="3">
        <f>IF('ORDENES'!$A1039="","",IF('ORDENES'!$AB1039="","-",'ORDENES'!$AB1039))</f>
        <v/>
      </c>
      <c r="H1061" s="3">
        <f>IF('ORDENES'!$A1039="","",IF('ORDENES'!$AN1039="","-",'ORDENES'!$AN1039))</f>
        <v/>
      </c>
      <c r="I1061" s="3">
        <f>IF('ORDENES'!$A1039="","",IF('ORDENES'!$D1039="","-",'ORDENES'!$D1039))</f>
        <v/>
      </c>
      <c r="J1061" s="3">
        <f>IF('ORDENES'!$A1039="","",IF('ORDENES'!$E1039="","-",'ORDENES'!$E1039))</f>
        <v/>
      </c>
      <c r="K1061" s="12">
        <f>IF('ORDENES'!$A1039="","",IF('ORDENES'!$M1039="",0,'ORDENES'!$M1039))</f>
        <v/>
      </c>
      <c r="L1061" s="3">
        <f>IF('ORDENES'!$A1039="","",IF('ORDENES'!$N1039="","-",'ORDENES'!$N1039))</f>
        <v/>
      </c>
      <c r="M1061" s="3">
        <f>IF('ORDENES'!$A1039="","",'ORDENES'!$AA1039)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IF('ORDENES'!$A1040="","",IF('ORDENES'!$AC1040="","-",'ORDENES'!$AC1040))</f>
        <v/>
      </c>
      <c r="D1062" s="3">
        <f>IF('ORDENES'!$A1040="","",IF('ORDENES'!$V1040="","-",'ORDENES'!$V1040))</f>
        <v/>
      </c>
      <c r="E1062" s="3">
        <f>IF('ORDENES'!$A1040="","",IF('ORDENES'!$U1040="","-",'ORDENES'!$U1040))</f>
        <v/>
      </c>
      <c r="F1062" s="3">
        <f>IF('ORDENES'!$A1040="","",IF('ORDENES'!$W1040="","-",'ORDENES'!$W1040))</f>
        <v/>
      </c>
      <c r="G1062" s="3">
        <f>IF('ORDENES'!$A1040="","",IF('ORDENES'!$AB1040="","-",'ORDENES'!$AB1040))</f>
        <v/>
      </c>
      <c r="H1062" s="3">
        <f>IF('ORDENES'!$A1040="","",IF('ORDENES'!$AN1040="","-",'ORDENES'!$AN1040))</f>
        <v/>
      </c>
      <c r="I1062" s="3">
        <f>IF('ORDENES'!$A1040="","",IF('ORDENES'!$D1040="","-",'ORDENES'!$D1040))</f>
        <v/>
      </c>
      <c r="J1062" s="3">
        <f>IF('ORDENES'!$A1040="","",IF('ORDENES'!$E1040="","-",'ORDENES'!$E1040))</f>
        <v/>
      </c>
      <c r="K1062" s="12">
        <f>IF('ORDENES'!$A1040="","",IF('ORDENES'!$M1040="",0,'ORDENES'!$M1040))</f>
        <v/>
      </c>
      <c r="L1062" s="3">
        <f>IF('ORDENES'!$A1040="","",IF('ORDENES'!$N1040="","-",'ORDENES'!$N1040))</f>
        <v/>
      </c>
      <c r="M1062" s="3">
        <f>IF('ORDENES'!$A1040="","",'ORDENES'!$AA1040)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IF('ORDENES'!$A1041="","",IF('ORDENES'!$AC1041="","-",'ORDENES'!$AC1041))</f>
        <v/>
      </c>
      <c r="D1063" s="3">
        <f>IF('ORDENES'!$A1041="","",IF('ORDENES'!$V1041="","-",'ORDENES'!$V1041))</f>
        <v/>
      </c>
      <c r="E1063" s="3">
        <f>IF('ORDENES'!$A1041="","",IF('ORDENES'!$U1041="","-",'ORDENES'!$U1041))</f>
        <v/>
      </c>
      <c r="F1063" s="3">
        <f>IF('ORDENES'!$A1041="","",IF('ORDENES'!$W1041="","-",'ORDENES'!$W1041))</f>
        <v/>
      </c>
      <c r="G1063" s="3">
        <f>IF('ORDENES'!$A1041="","",IF('ORDENES'!$AB1041="","-",'ORDENES'!$AB1041))</f>
        <v/>
      </c>
      <c r="H1063" s="3">
        <f>IF('ORDENES'!$A1041="","",IF('ORDENES'!$AN1041="","-",'ORDENES'!$AN1041))</f>
        <v/>
      </c>
      <c r="I1063" s="3">
        <f>IF('ORDENES'!$A1041="","",IF('ORDENES'!$D1041="","-",'ORDENES'!$D1041))</f>
        <v/>
      </c>
      <c r="J1063" s="3">
        <f>IF('ORDENES'!$A1041="","",IF('ORDENES'!$E1041="","-",'ORDENES'!$E1041))</f>
        <v/>
      </c>
      <c r="K1063" s="12">
        <f>IF('ORDENES'!$A1041="","",IF('ORDENES'!$M1041="",0,'ORDENES'!$M1041))</f>
        <v/>
      </c>
      <c r="L1063" s="3">
        <f>IF('ORDENES'!$A1041="","",IF('ORDENES'!$N1041="","-",'ORDENES'!$N1041))</f>
        <v/>
      </c>
      <c r="M1063" s="3">
        <f>IF('ORDENES'!$A1041="","",'ORDENES'!$AA1041)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IF('ORDENES'!$A1042="","",IF('ORDENES'!$AC1042="","-",'ORDENES'!$AC1042))</f>
        <v/>
      </c>
      <c r="D1064" s="3">
        <f>IF('ORDENES'!$A1042="","",IF('ORDENES'!$V1042="","-",'ORDENES'!$V1042))</f>
        <v/>
      </c>
      <c r="E1064" s="3">
        <f>IF('ORDENES'!$A1042="","",IF('ORDENES'!$U1042="","-",'ORDENES'!$U1042))</f>
        <v/>
      </c>
      <c r="F1064" s="3">
        <f>IF('ORDENES'!$A1042="","",IF('ORDENES'!$W1042="","-",'ORDENES'!$W1042))</f>
        <v/>
      </c>
      <c r="G1064" s="3">
        <f>IF('ORDENES'!$A1042="","",IF('ORDENES'!$AB1042="","-",'ORDENES'!$AB1042))</f>
        <v/>
      </c>
      <c r="H1064" s="3">
        <f>IF('ORDENES'!$A1042="","",IF('ORDENES'!$AN1042="","-",'ORDENES'!$AN1042))</f>
        <v/>
      </c>
      <c r="I1064" s="3">
        <f>IF('ORDENES'!$A1042="","",IF('ORDENES'!$D1042="","-",'ORDENES'!$D1042))</f>
        <v/>
      </c>
      <c r="J1064" s="3">
        <f>IF('ORDENES'!$A1042="","",IF('ORDENES'!$E1042="","-",'ORDENES'!$E1042))</f>
        <v/>
      </c>
      <c r="K1064" s="12">
        <f>IF('ORDENES'!$A1042="","",IF('ORDENES'!$M1042="",0,'ORDENES'!$M1042))</f>
        <v/>
      </c>
      <c r="L1064" s="3">
        <f>IF('ORDENES'!$A1042="","",IF('ORDENES'!$N1042="","-",'ORDENES'!$N1042))</f>
        <v/>
      </c>
      <c r="M1064" s="3">
        <f>IF('ORDENES'!$A1042="","",'ORDENES'!$AA1042)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IF('ORDENES'!$A1043="","",IF('ORDENES'!$AC1043="","-",'ORDENES'!$AC1043))</f>
        <v/>
      </c>
      <c r="D1065" s="3">
        <f>IF('ORDENES'!$A1043="","",IF('ORDENES'!$V1043="","-",'ORDENES'!$V1043))</f>
        <v/>
      </c>
      <c r="E1065" s="3">
        <f>IF('ORDENES'!$A1043="","",IF('ORDENES'!$U1043="","-",'ORDENES'!$U1043))</f>
        <v/>
      </c>
      <c r="F1065" s="3">
        <f>IF('ORDENES'!$A1043="","",IF('ORDENES'!$W1043="","-",'ORDENES'!$W1043))</f>
        <v/>
      </c>
      <c r="G1065" s="3">
        <f>IF('ORDENES'!$A1043="","",IF('ORDENES'!$AB1043="","-",'ORDENES'!$AB1043))</f>
        <v/>
      </c>
      <c r="H1065" s="3">
        <f>IF('ORDENES'!$A1043="","",IF('ORDENES'!$AN1043="","-",'ORDENES'!$AN1043))</f>
        <v/>
      </c>
      <c r="I1065" s="3">
        <f>IF('ORDENES'!$A1043="","",IF('ORDENES'!$D1043="","-",'ORDENES'!$D1043))</f>
        <v/>
      </c>
      <c r="J1065" s="3">
        <f>IF('ORDENES'!$A1043="","",IF('ORDENES'!$E1043="","-",'ORDENES'!$E1043))</f>
        <v/>
      </c>
      <c r="K1065" s="12">
        <f>IF('ORDENES'!$A1043="","",IF('ORDENES'!$M1043="",0,'ORDENES'!$M1043))</f>
        <v/>
      </c>
      <c r="L1065" s="3">
        <f>IF('ORDENES'!$A1043="","",IF('ORDENES'!$N1043="","-",'ORDENES'!$N1043))</f>
        <v/>
      </c>
      <c r="M1065" s="3">
        <f>IF('ORDENES'!$A1043="","",'ORDENES'!$AA1043)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IF('ORDENES'!$A1044="","",IF('ORDENES'!$AC1044="","-",'ORDENES'!$AC1044))</f>
        <v/>
      </c>
      <c r="D1066" s="3">
        <f>IF('ORDENES'!$A1044="","",IF('ORDENES'!$V1044="","-",'ORDENES'!$V1044))</f>
        <v/>
      </c>
      <c r="E1066" s="3">
        <f>IF('ORDENES'!$A1044="","",IF('ORDENES'!$U1044="","-",'ORDENES'!$U1044))</f>
        <v/>
      </c>
      <c r="F1066" s="3">
        <f>IF('ORDENES'!$A1044="","",IF('ORDENES'!$W1044="","-",'ORDENES'!$W1044))</f>
        <v/>
      </c>
      <c r="G1066" s="3">
        <f>IF('ORDENES'!$A1044="","",IF('ORDENES'!$AB1044="","-",'ORDENES'!$AB1044))</f>
        <v/>
      </c>
      <c r="H1066" s="3">
        <f>IF('ORDENES'!$A1044="","",IF('ORDENES'!$AN1044="","-",'ORDENES'!$AN1044))</f>
        <v/>
      </c>
      <c r="I1066" s="3">
        <f>IF('ORDENES'!$A1044="","",IF('ORDENES'!$D1044="","-",'ORDENES'!$D1044))</f>
        <v/>
      </c>
      <c r="J1066" s="3">
        <f>IF('ORDENES'!$A1044="","",IF('ORDENES'!$E1044="","-",'ORDENES'!$E1044))</f>
        <v/>
      </c>
      <c r="K1066" s="12">
        <f>IF('ORDENES'!$A1044="","",IF('ORDENES'!$M1044="",0,'ORDENES'!$M1044))</f>
        <v/>
      </c>
      <c r="L1066" s="3">
        <f>IF('ORDENES'!$A1044="","",IF('ORDENES'!$N1044="","-",'ORDENES'!$N1044))</f>
        <v/>
      </c>
      <c r="M1066" s="3">
        <f>IF('ORDENES'!$A1044="","",'ORDENES'!$AA1044)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IF('ORDENES'!$A1045="","",IF('ORDENES'!$AC1045="","-",'ORDENES'!$AC1045))</f>
        <v/>
      </c>
      <c r="D1067" s="3">
        <f>IF('ORDENES'!$A1045="","",IF('ORDENES'!$V1045="","-",'ORDENES'!$V1045))</f>
        <v/>
      </c>
      <c r="E1067" s="3">
        <f>IF('ORDENES'!$A1045="","",IF('ORDENES'!$U1045="","-",'ORDENES'!$U1045))</f>
        <v/>
      </c>
      <c r="F1067" s="3">
        <f>IF('ORDENES'!$A1045="","",IF('ORDENES'!$W1045="","-",'ORDENES'!$W1045))</f>
        <v/>
      </c>
      <c r="G1067" s="3">
        <f>IF('ORDENES'!$A1045="","",IF('ORDENES'!$AB1045="","-",'ORDENES'!$AB1045))</f>
        <v/>
      </c>
      <c r="H1067" s="3">
        <f>IF('ORDENES'!$A1045="","",IF('ORDENES'!$AN1045="","-",'ORDENES'!$AN1045))</f>
        <v/>
      </c>
      <c r="I1067" s="3">
        <f>IF('ORDENES'!$A1045="","",IF('ORDENES'!$D1045="","-",'ORDENES'!$D1045))</f>
        <v/>
      </c>
      <c r="J1067" s="3">
        <f>IF('ORDENES'!$A1045="","",IF('ORDENES'!$E1045="","-",'ORDENES'!$E1045))</f>
        <v/>
      </c>
      <c r="K1067" s="12">
        <f>IF('ORDENES'!$A1045="","",IF('ORDENES'!$M1045="",0,'ORDENES'!$M1045))</f>
        <v/>
      </c>
      <c r="L1067" s="3">
        <f>IF('ORDENES'!$A1045="","",IF('ORDENES'!$N1045="","-",'ORDENES'!$N1045))</f>
        <v/>
      </c>
      <c r="M1067" s="3">
        <f>IF('ORDENES'!$A1045="","",'ORDENES'!$AA1045)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IF('ORDENES'!$A1046="","",IF('ORDENES'!$AC1046="","-",'ORDENES'!$AC1046))</f>
        <v/>
      </c>
      <c r="D1068" s="3">
        <f>IF('ORDENES'!$A1046="","",IF('ORDENES'!$V1046="","-",'ORDENES'!$V1046))</f>
        <v/>
      </c>
      <c r="E1068" s="3">
        <f>IF('ORDENES'!$A1046="","",IF('ORDENES'!$U1046="","-",'ORDENES'!$U1046))</f>
        <v/>
      </c>
      <c r="F1068" s="3">
        <f>IF('ORDENES'!$A1046="","",IF('ORDENES'!$W1046="","-",'ORDENES'!$W1046))</f>
        <v/>
      </c>
      <c r="G1068" s="3">
        <f>IF('ORDENES'!$A1046="","",IF('ORDENES'!$AB1046="","-",'ORDENES'!$AB1046))</f>
        <v/>
      </c>
      <c r="H1068" s="3">
        <f>IF('ORDENES'!$A1046="","",IF('ORDENES'!$AN1046="","-",'ORDENES'!$AN1046))</f>
        <v/>
      </c>
      <c r="I1068" s="3">
        <f>IF('ORDENES'!$A1046="","",IF('ORDENES'!$D1046="","-",'ORDENES'!$D1046))</f>
        <v/>
      </c>
      <c r="J1068" s="3">
        <f>IF('ORDENES'!$A1046="","",IF('ORDENES'!$E1046="","-",'ORDENES'!$E1046))</f>
        <v/>
      </c>
      <c r="K1068" s="12">
        <f>IF('ORDENES'!$A1046="","",IF('ORDENES'!$M1046="",0,'ORDENES'!$M1046))</f>
        <v/>
      </c>
      <c r="L1068" s="3">
        <f>IF('ORDENES'!$A1046="","",IF('ORDENES'!$N1046="","-",'ORDENES'!$N1046))</f>
        <v/>
      </c>
      <c r="M1068" s="3">
        <f>IF('ORDENES'!$A1046="","",'ORDENES'!$AA1046)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IF('ORDENES'!$A1047="","",IF('ORDENES'!$AC1047="","-",'ORDENES'!$AC1047))</f>
        <v/>
      </c>
      <c r="D1069" s="3">
        <f>IF('ORDENES'!$A1047="","",IF('ORDENES'!$V1047="","-",'ORDENES'!$V1047))</f>
        <v/>
      </c>
      <c r="E1069" s="3">
        <f>IF('ORDENES'!$A1047="","",IF('ORDENES'!$U1047="","-",'ORDENES'!$U1047))</f>
        <v/>
      </c>
      <c r="F1069" s="3">
        <f>IF('ORDENES'!$A1047="","",IF('ORDENES'!$W1047="","-",'ORDENES'!$W1047))</f>
        <v/>
      </c>
      <c r="G1069" s="3">
        <f>IF('ORDENES'!$A1047="","",IF('ORDENES'!$AB1047="","-",'ORDENES'!$AB1047))</f>
        <v/>
      </c>
      <c r="H1069" s="3">
        <f>IF('ORDENES'!$A1047="","",IF('ORDENES'!$AN1047="","-",'ORDENES'!$AN1047))</f>
        <v/>
      </c>
      <c r="I1069" s="3">
        <f>IF('ORDENES'!$A1047="","",IF('ORDENES'!$D1047="","-",'ORDENES'!$D1047))</f>
        <v/>
      </c>
      <c r="J1069" s="3">
        <f>IF('ORDENES'!$A1047="","",IF('ORDENES'!$E1047="","-",'ORDENES'!$E1047))</f>
        <v/>
      </c>
      <c r="K1069" s="12">
        <f>IF('ORDENES'!$A1047="","",IF('ORDENES'!$M1047="",0,'ORDENES'!$M1047))</f>
        <v/>
      </c>
      <c r="L1069" s="3">
        <f>IF('ORDENES'!$A1047="","",IF('ORDENES'!$N1047="","-",'ORDENES'!$N1047))</f>
        <v/>
      </c>
      <c r="M1069" s="3">
        <f>IF('ORDENES'!$A1047="","",'ORDENES'!$AA1047)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IF('ORDENES'!$A1048="","",IF('ORDENES'!$AC1048="","-",'ORDENES'!$AC1048))</f>
        <v/>
      </c>
      <c r="D1070" s="3">
        <f>IF('ORDENES'!$A1048="","",IF('ORDENES'!$V1048="","-",'ORDENES'!$V1048))</f>
        <v/>
      </c>
      <c r="E1070" s="3">
        <f>IF('ORDENES'!$A1048="","",IF('ORDENES'!$U1048="","-",'ORDENES'!$U1048))</f>
        <v/>
      </c>
      <c r="F1070" s="3">
        <f>IF('ORDENES'!$A1048="","",IF('ORDENES'!$W1048="","-",'ORDENES'!$W1048))</f>
        <v/>
      </c>
      <c r="G1070" s="3">
        <f>IF('ORDENES'!$A1048="","",IF('ORDENES'!$AB1048="","-",'ORDENES'!$AB1048))</f>
        <v/>
      </c>
      <c r="H1070" s="3">
        <f>IF('ORDENES'!$A1048="","",IF('ORDENES'!$AN1048="","-",'ORDENES'!$AN1048))</f>
        <v/>
      </c>
      <c r="I1070" s="3">
        <f>IF('ORDENES'!$A1048="","",IF('ORDENES'!$D1048="","-",'ORDENES'!$D1048))</f>
        <v/>
      </c>
      <c r="J1070" s="3">
        <f>IF('ORDENES'!$A1048="","",IF('ORDENES'!$E1048="","-",'ORDENES'!$E1048))</f>
        <v/>
      </c>
      <c r="K1070" s="12">
        <f>IF('ORDENES'!$A1048="","",IF('ORDENES'!$M1048="",0,'ORDENES'!$M1048))</f>
        <v/>
      </c>
      <c r="L1070" s="3">
        <f>IF('ORDENES'!$A1048="","",IF('ORDENES'!$N1048="","-",'ORDENES'!$N1048))</f>
        <v/>
      </c>
      <c r="M1070" s="3">
        <f>IF('ORDENES'!$A1048="","",'ORDENES'!$AA1048)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IF('ORDENES'!$A1049="","",IF('ORDENES'!$AC1049="","-",'ORDENES'!$AC1049))</f>
        <v/>
      </c>
      <c r="D1071" s="3">
        <f>IF('ORDENES'!$A1049="","",IF('ORDENES'!$V1049="","-",'ORDENES'!$V1049))</f>
        <v/>
      </c>
      <c r="E1071" s="3">
        <f>IF('ORDENES'!$A1049="","",IF('ORDENES'!$U1049="","-",'ORDENES'!$U1049))</f>
        <v/>
      </c>
      <c r="F1071" s="3">
        <f>IF('ORDENES'!$A1049="","",IF('ORDENES'!$W1049="","-",'ORDENES'!$W1049))</f>
        <v/>
      </c>
      <c r="G1071" s="3">
        <f>IF('ORDENES'!$A1049="","",IF('ORDENES'!$AB1049="","-",'ORDENES'!$AB1049))</f>
        <v/>
      </c>
      <c r="H1071" s="3">
        <f>IF('ORDENES'!$A1049="","",IF('ORDENES'!$AN1049="","-",'ORDENES'!$AN1049))</f>
        <v/>
      </c>
      <c r="I1071" s="3">
        <f>IF('ORDENES'!$A1049="","",IF('ORDENES'!$D1049="","-",'ORDENES'!$D1049))</f>
        <v/>
      </c>
      <c r="J1071" s="3">
        <f>IF('ORDENES'!$A1049="","",IF('ORDENES'!$E1049="","-",'ORDENES'!$E1049))</f>
        <v/>
      </c>
      <c r="K1071" s="12">
        <f>IF('ORDENES'!$A1049="","",IF('ORDENES'!$M1049="",0,'ORDENES'!$M1049))</f>
        <v/>
      </c>
      <c r="L1071" s="3">
        <f>IF('ORDENES'!$A1049="","",IF('ORDENES'!$N1049="","-",'ORDENES'!$N1049))</f>
        <v/>
      </c>
      <c r="M1071" s="3">
        <f>IF('ORDENES'!$A1049="","",'ORDENES'!$AA1049)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IF('ORDENES'!$A1050="","",IF('ORDENES'!$AC1050="","-",'ORDENES'!$AC1050))</f>
        <v/>
      </c>
      <c r="D1072" s="3">
        <f>IF('ORDENES'!$A1050="","",IF('ORDENES'!$V1050="","-",'ORDENES'!$V1050))</f>
        <v/>
      </c>
      <c r="E1072" s="3">
        <f>IF('ORDENES'!$A1050="","",IF('ORDENES'!$U1050="","-",'ORDENES'!$U1050))</f>
        <v/>
      </c>
      <c r="F1072" s="3">
        <f>IF('ORDENES'!$A1050="","",IF('ORDENES'!$W1050="","-",'ORDENES'!$W1050))</f>
        <v/>
      </c>
      <c r="G1072" s="3">
        <f>IF('ORDENES'!$A1050="","",IF('ORDENES'!$AB1050="","-",'ORDENES'!$AB1050))</f>
        <v/>
      </c>
      <c r="H1072" s="3">
        <f>IF('ORDENES'!$A1050="","",IF('ORDENES'!$AN1050="","-",'ORDENES'!$AN1050))</f>
        <v/>
      </c>
      <c r="I1072" s="3">
        <f>IF('ORDENES'!$A1050="","",IF('ORDENES'!$D1050="","-",'ORDENES'!$D1050))</f>
        <v/>
      </c>
      <c r="J1072" s="3">
        <f>IF('ORDENES'!$A1050="","",IF('ORDENES'!$E1050="","-",'ORDENES'!$E1050))</f>
        <v/>
      </c>
      <c r="K1072" s="12">
        <f>IF('ORDENES'!$A1050="","",IF('ORDENES'!$M1050="",0,'ORDENES'!$M1050))</f>
        <v/>
      </c>
      <c r="L1072" s="3">
        <f>IF('ORDENES'!$A1050="","",IF('ORDENES'!$N1050="","-",'ORDENES'!$N1050))</f>
        <v/>
      </c>
      <c r="M1072" s="3">
        <f>IF('ORDENES'!$A1050="","",'ORDENES'!$AA1050)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IF('ORDENES'!$A1051="","",IF('ORDENES'!$AC1051="","-",'ORDENES'!$AC1051))</f>
        <v/>
      </c>
      <c r="D1073" s="3">
        <f>IF('ORDENES'!$A1051="","",IF('ORDENES'!$V1051="","-",'ORDENES'!$V1051))</f>
        <v/>
      </c>
      <c r="E1073" s="3">
        <f>IF('ORDENES'!$A1051="","",IF('ORDENES'!$U1051="","-",'ORDENES'!$U1051))</f>
        <v/>
      </c>
      <c r="F1073" s="3">
        <f>IF('ORDENES'!$A1051="","",IF('ORDENES'!$W1051="","-",'ORDENES'!$W1051))</f>
        <v/>
      </c>
      <c r="G1073" s="3">
        <f>IF('ORDENES'!$A1051="","",IF('ORDENES'!$AB1051="","-",'ORDENES'!$AB1051))</f>
        <v/>
      </c>
      <c r="H1073" s="3">
        <f>IF('ORDENES'!$A1051="","",IF('ORDENES'!$AN1051="","-",'ORDENES'!$AN1051))</f>
        <v/>
      </c>
      <c r="I1073" s="3">
        <f>IF('ORDENES'!$A1051="","",IF('ORDENES'!$D1051="","-",'ORDENES'!$D1051))</f>
        <v/>
      </c>
      <c r="J1073" s="3">
        <f>IF('ORDENES'!$A1051="","",IF('ORDENES'!$E1051="","-",'ORDENES'!$E1051))</f>
        <v/>
      </c>
      <c r="K1073" s="12">
        <f>IF('ORDENES'!$A1051="","",IF('ORDENES'!$M1051="",0,'ORDENES'!$M1051))</f>
        <v/>
      </c>
      <c r="L1073" s="3">
        <f>IF('ORDENES'!$A1051="","",IF('ORDENES'!$N1051="","-",'ORDENES'!$N1051))</f>
        <v/>
      </c>
      <c r="M1073" s="3">
        <f>IF('ORDENES'!$A1051="","",'ORDENES'!$AA1051)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IF('ORDENES'!$A1052="","",IF('ORDENES'!$AC1052="","-",'ORDENES'!$AC1052))</f>
        <v/>
      </c>
      <c r="D1074" s="3">
        <f>IF('ORDENES'!$A1052="","",IF('ORDENES'!$V1052="","-",'ORDENES'!$V1052))</f>
        <v/>
      </c>
      <c r="E1074" s="3">
        <f>IF('ORDENES'!$A1052="","",IF('ORDENES'!$U1052="","-",'ORDENES'!$U1052))</f>
        <v/>
      </c>
      <c r="F1074" s="3">
        <f>IF('ORDENES'!$A1052="","",IF('ORDENES'!$W1052="","-",'ORDENES'!$W1052))</f>
        <v/>
      </c>
      <c r="G1074" s="3">
        <f>IF('ORDENES'!$A1052="","",IF('ORDENES'!$AB1052="","-",'ORDENES'!$AB1052))</f>
        <v/>
      </c>
      <c r="H1074" s="3">
        <f>IF('ORDENES'!$A1052="","",IF('ORDENES'!$AN1052="","-",'ORDENES'!$AN1052))</f>
        <v/>
      </c>
      <c r="I1074" s="3">
        <f>IF('ORDENES'!$A1052="","",IF('ORDENES'!$D1052="","-",'ORDENES'!$D1052))</f>
        <v/>
      </c>
      <c r="J1074" s="3">
        <f>IF('ORDENES'!$A1052="","",IF('ORDENES'!$E1052="","-",'ORDENES'!$E1052))</f>
        <v/>
      </c>
      <c r="K1074" s="12">
        <f>IF('ORDENES'!$A1052="","",IF('ORDENES'!$M1052="",0,'ORDENES'!$M1052))</f>
        <v/>
      </c>
      <c r="L1074" s="3">
        <f>IF('ORDENES'!$A1052="","",IF('ORDENES'!$N1052="","-",'ORDENES'!$N1052))</f>
        <v/>
      </c>
      <c r="M1074" s="3">
        <f>IF('ORDENES'!$A1052="","",'ORDENES'!$AA1052)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IF('ORDENES'!$A1053="","",IF('ORDENES'!$AC1053="","-",'ORDENES'!$AC1053))</f>
        <v/>
      </c>
      <c r="D1075" s="3">
        <f>IF('ORDENES'!$A1053="","",IF('ORDENES'!$V1053="","-",'ORDENES'!$V1053))</f>
        <v/>
      </c>
      <c r="E1075" s="3">
        <f>IF('ORDENES'!$A1053="","",IF('ORDENES'!$U1053="","-",'ORDENES'!$U1053))</f>
        <v/>
      </c>
      <c r="F1075" s="3">
        <f>IF('ORDENES'!$A1053="","",IF('ORDENES'!$W1053="","-",'ORDENES'!$W1053))</f>
        <v/>
      </c>
      <c r="G1075" s="3">
        <f>IF('ORDENES'!$A1053="","",IF('ORDENES'!$AB1053="","-",'ORDENES'!$AB1053))</f>
        <v/>
      </c>
      <c r="H1075" s="3">
        <f>IF('ORDENES'!$A1053="","",IF('ORDENES'!$AN1053="","-",'ORDENES'!$AN1053))</f>
        <v/>
      </c>
      <c r="I1075" s="3">
        <f>IF('ORDENES'!$A1053="","",IF('ORDENES'!$D1053="","-",'ORDENES'!$D1053))</f>
        <v/>
      </c>
      <c r="J1075" s="3">
        <f>IF('ORDENES'!$A1053="","",IF('ORDENES'!$E1053="","-",'ORDENES'!$E1053))</f>
        <v/>
      </c>
      <c r="K1075" s="12">
        <f>IF('ORDENES'!$A1053="","",IF('ORDENES'!$M1053="",0,'ORDENES'!$M1053))</f>
        <v/>
      </c>
      <c r="L1075" s="3">
        <f>IF('ORDENES'!$A1053="","",IF('ORDENES'!$N1053="","-",'ORDENES'!$N1053))</f>
        <v/>
      </c>
      <c r="M1075" s="3">
        <f>IF('ORDENES'!$A1053="","",'ORDENES'!$AA1053)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IF('ORDENES'!$A1054="","",IF('ORDENES'!$AC1054="","-",'ORDENES'!$AC1054))</f>
        <v/>
      </c>
      <c r="D1076" s="3">
        <f>IF('ORDENES'!$A1054="","",IF('ORDENES'!$V1054="","-",'ORDENES'!$V1054))</f>
        <v/>
      </c>
      <c r="E1076" s="3">
        <f>IF('ORDENES'!$A1054="","",IF('ORDENES'!$U1054="","-",'ORDENES'!$U1054))</f>
        <v/>
      </c>
      <c r="F1076" s="3">
        <f>IF('ORDENES'!$A1054="","",IF('ORDENES'!$W1054="","-",'ORDENES'!$W1054))</f>
        <v/>
      </c>
      <c r="G1076" s="3">
        <f>IF('ORDENES'!$A1054="","",IF('ORDENES'!$AB1054="","-",'ORDENES'!$AB1054))</f>
        <v/>
      </c>
      <c r="H1076" s="3">
        <f>IF('ORDENES'!$A1054="","",IF('ORDENES'!$AN1054="","-",'ORDENES'!$AN1054))</f>
        <v/>
      </c>
      <c r="I1076" s="3">
        <f>IF('ORDENES'!$A1054="","",IF('ORDENES'!$D1054="","-",'ORDENES'!$D1054))</f>
        <v/>
      </c>
      <c r="J1076" s="3">
        <f>IF('ORDENES'!$A1054="","",IF('ORDENES'!$E1054="","-",'ORDENES'!$E1054))</f>
        <v/>
      </c>
      <c r="K1076" s="12">
        <f>IF('ORDENES'!$A1054="","",IF('ORDENES'!$M1054="",0,'ORDENES'!$M1054))</f>
        <v/>
      </c>
      <c r="L1076" s="3">
        <f>IF('ORDENES'!$A1054="","",IF('ORDENES'!$N1054="","-",'ORDENES'!$N1054))</f>
        <v/>
      </c>
      <c r="M1076" s="3">
        <f>IF('ORDENES'!$A1054="","",'ORDENES'!$AA1054)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IF('ORDENES'!$A1055="","",IF('ORDENES'!$AC1055="","-",'ORDENES'!$AC1055))</f>
        <v/>
      </c>
      <c r="D1077" s="3">
        <f>IF('ORDENES'!$A1055="","",IF('ORDENES'!$V1055="","-",'ORDENES'!$V1055))</f>
        <v/>
      </c>
      <c r="E1077" s="3">
        <f>IF('ORDENES'!$A1055="","",IF('ORDENES'!$U1055="","-",'ORDENES'!$U1055))</f>
        <v/>
      </c>
      <c r="F1077" s="3">
        <f>IF('ORDENES'!$A1055="","",IF('ORDENES'!$W1055="","-",'ORDENES'!$W1055))</f>
        <v/>
      </c>
      <c r="G1077" s="3">
        <f>IF('ORDENES'!$A1055="","",IF('ORDENES'!$AB1055="","-",'ORDENES'!$AB1055))</f>
        <v/>
      </c>
      <c r="H1077" s="3">
        <f>IF('ORDENES'!$A1055="","",IF('ORDENES'!$AN1055="","-",'ORDENES'!$AN1055))</f>
        <v/>
      </c>
      <c r="I1077" s="3">
        <f>IF('ORDENES'!$A1055="","",IF('ORDENES'!$D1055="","-",'ORDENES'!$D1055))</f>
        <v/>
      </c>
      <c r="J1077" s="3">
        <f>IF('ORDENES'!$A1055="","",IF('ORDENES'!$E1055="","-",'ORDENES'!$E1055))</f>
        <v/>
      </c>
      <c r="K1077" s="12">
        <f>IF('ORDENES'!$A1055="","",IF('ORDENES'!$M1055="",0,'ORDENES'!$M1055))</f>
        <v/>
      </c>
      <c r="L1077" s="3">
        <f>IF('ORDENES'!$A1055="","",IF('ORDENES'!$N1055="","-",'ORDENES'!$N1055))</f>
        <v/>
      </c>
      <c r="M1077" s="3">
        <f>IF('ORDENES'!$A1055="","",'ORDENES'!$AA1055)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IF('ORDENES'!$A1056="","",IF('ORDENES'!$AC1056="","-",'ORDENES'!$AC1056))</f>
        <v/>
      </c>
      <c r="D1078" s="3">
        <f>IF('ORDENES'!$A1056="","",IF('ORDENES'!$V1056="","-",'ORDENES'!$V1056))</f>
        <v/>
      </c>
      <c r="E1078" s="3">
        <f>IF('ORDENES'!$A1056="","",IF('ORDENES'!$U1056="","-",'ORDENES'!$U1056))</f>
        <v/>
      </c>
      <c r="F1078" s="3">
        <f>IF('ORDENES'!$A1056="","",IF('ORDENES'!$W1056="","-",'ORDENES'!$W1056))</f>
        <v/>
      </c>
      <c r="G1078" s="3">
        <f>IF('ORDENES'!$A1056="","",IF('ORDENES'!$AB1056="","-",'ORDENES'!$AB1056))</f>
        <v/>
      </c>
      <c r="H1078" s="3">
        <f>IF('ORDENES'!$A1056="","",IF('ORDENES'!$AN1056="","-",'ORDENES'!$AN1056))</f>
        <v/>
      </c>
      <c r="I1078" s="3">
        <f>IF('ORDENES'!$A1056="","",IF('ORDENES'!$D1056="","-",'ORDENES'!$D1056))</f>
        <v/>
      </c>
      <c r="J1078" s="3">
        <f>IF('ORDENES'!$A1056="","",IF('ORDENES'!$E1056="","-",'ORDENES'!$E1056))</f>
        <v/>
      </c>
      <c r="K1078" s="12">
        <f>IF('ORDENES'!$A1056="","",IF('ORDENES'!$M1056="",0,'ORDENES'!$M1056))</f>
        <v/>
      </c>
      <c r="L1078" s="3">
        <f>IF('ORDENES'!$A1056="","",IF('ORDENES'!$N1056="","-",'ORDENES'!$N1056))</f>
        <v/>
      </c>
      <c r="M1078" s="3">
        <f>IF('ORDENES'!$A1056="","",'ORDENES'!$AA1056)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IF('ORDENES'!$A1057="","",IF('ORDENES'!$AC1057="","-",'ORDENES'!$AC1057))</f>
        <v/>
      </c>
      <c r="D1079" s="3">
        <f>IF('ORDENES'!$A1057="","",IF('ORDENES'!$V1057="","-",'ORDENES'!$V1057))</f>
        <v/>
      </c>
      <c r="E1079" s="3">
        <f>IF('ORDENES'!$A1057="","",IF('ORDENES'!$U1057="","-",'ORDENES'!$U1057))</f>
        <v/>
      </c>
      <c r="F1079" s="3">
        <f>IF('ORDENES'!$A1057="","",IF('ORDENES'!$W1057="","-",'ORDENES'!$W1057))</f>
        <v/>
      </c>
      <c r="G1079" s="3">
        <f>IF('ORDENES'!$A1057="","",IF('ORDENES'!$AB1057="","-",'ORDENES'!$AB1057))</f>
        <v/>
      </c>
      <c r="H1079" s="3">
        <f>IF('ORDENES'!$A1057="","",IF('ORDENES'!$AN1057="","-",'ORDENES'!$AN1057))</f>
        <v/>
      </c>
      <c r="I1079" s="3">
        <f>IF('ORDENES'!$A1057="","",IF('ORDENES'!$D1057="","-",'ORDENES'!$D1057))</f>
        <v/>
      </c>
      <c r="J1079" s="3">
        <f>IF('ORDENES'!$A1057="","",IF('ORDENES'!$E1057="","-",'ORDENES'!$E1057))</f>
        <v/>
      </c>
      <c r="K1079" s="12">
        <f>IF('ORDENES'!$A1057="","",IF('ORDENES'!$M1057="",0,'ORDENES'!$M1057))</f>
        <v/>
      </c>
      <c r="L1079" s="3">
        <f>IF('ORDENES'!$A1057="","",IF('ORDENES'!$N1057="","-",'ORDENES'!$N1057))</f>
        <v/>
      </c>
      <c r="M1079" s="3">
        <f>IF('ORDENES'!$A1057="","",'ORDENES'!$AA1057)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IF('ORDENES'!$A1058="","",IF('ORDENES'!$AC1058="","-",'ORDENES'!$AC1058))</f>
        <v/>
      </c>
      <c r="D1080" s="3">
        <f>IF('ORDENES'!$A1058="","",IF('ORDENES'!$V1058="","-",'ORDENES'!$V1058))</f>
        <v/>
      </c>
      <c r="E1080" s="3">
        <f>IF('ORDENES'!$A1058="","",IF('ORDENES'!$U1058="","-",'ORDENES'!$U1058))</f>
        <v/>
      </c>
      <c r="F1080" s="3">
        <f>IF('ORDENES'!$A1058="","",IF('ORDENES'!$W1058="","-",'ORDENES'!$W1058))</f>
        <v/>
      </c>
      <c r="G1080" s="3">
        <f>IF('ORDENES'!$A1058="","",IF('ORDENES'!$AB1058="","-",'ORDENES'!$AB1058))</f>
        <v/>
      </c>
      <c r="H1080" s="3">
        <f>IF('ORDENES'!$A1058="","",IF('ORDENES'!$AN1058="","-",'ORDENES'!$AN1058))</f>
        <v/>
      </c>
      <c r="I1080" s="3">
        <f>IF('ORDENES'!$A1058="","",IF('ORDENES'!$D1058="","-",'ORDENES'!$D1058))</f>
        <v/>
      </c>
      <c r="J1080" s="3">
        <f>IF('ORDENES'!$A1058="","",IF('ORDENES'!$E1058="","-",'ORDENES'!$E1058))</f>
        <v/>
      </c>
      <c r="K1080" s="12">
        <f>IF('ORDENES'!$A1058="","",IF('ORDENES'!$M1058="",0,'ORDENES'!$M1058))</f>
        <v/>
      </c>
      <c r="L1080" s="3">
        <f>IF('ORDENES'!$A1058="","",IF('ORDENES'!$N1058="","-",'ORDENES'!$N1058))</f>
        <v/>
      </c>
      <c r="M1080" s="3">
        <f>IF('ORDENES'!$A1058="","",'ORDENES'!$AA1058)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IF('ORDENES'!$A1059="","",IF('ORDENES'!$AC1059="","-",'ORDENES'!$AC1059))</f>
        <v/>
      </c>
      <c r="D1081" s="3">
        <f>IF('ORDENES'!$A1059="","",IF('ORDENES'!$V1059="","-",'ORDENES'!$V1059))</f>
        <v/>
      </c>
      <c r="E1081" s="3">
        <f>IF('ORDENES'!$A1059="","",IF('ORDENES'!$U1059="","-",'ORDENES'!$U1059))</f>
        <v/>
      </c>
      <c r="F1081" s="3">
        <f>IF('ORDENES'!$A1059="","",IF('ORDENES'!$W1059="","-",'ORDENES'!$W1059))</f>
        <v/>
      </c>
      <c r="G1081" s="3">
        <f>IF('ORDENES'!$A1059="","",IF('ORDENES'!$AB1059="","-",'ORDENES'!$AB1059))</f>
        <v/>
      </c>
      <c r="H1081" s="3">
        <f>IF('ORDENES'!$A1059="","",IF('ORDENES'!$AN1059="","-",'ORDENES'!$AN1059))</f>
        <v/>
      </c>
      <c r="I1081" s="3">
        <f>IF('ORDENES'!$A1059="","",IF('ORDENES'!$D1059="","-",'ORDENES'!$D1059))</f>
        <v/>
      </c>
      <c r="J1081" s="3">
        <f>IF('ORDENES'!$A1059="","",IF('ORDENES'!$E1059="","-",'ORDENES'!$E1059))</f>
        <v/>
      </c>
      <c r="K1081" s="12">
        <f>IF('ORDENES'!$A1059="","",IF('ORDENES'!$M1059="",0,'ORDENES'!$M1059))</f>
        <v/>
      </c>
      <c r="L1081" s="3">
        <f>IF('ORDENES'!$A1059="","",IF('ORDENES'!$N1059="","-",'ORDENES'!$N1059))</f>
        <v/>
      </c>
      <c r="M1081" s="3">
        <f>IF('ORDENES'!$A1059="","",'ORDENES'!$AA1059)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IF('ORDENES'!$A1060="","",IF('ORDENES'!$AC1060="","-",'ORDENES'!$AC1060))</f>
        <v/>
      </c>
      <c r="D1082" s="3">
        <f>IF('ORDENES'!$A1060="","",IF('ORDENES'!$V1060="","-",'ORDENES'!$V1060))</f>
        <v/>
      </c>
      <c r="E1082" s="3">
        <f>IF('ORDENES'!$A1060="","",IF('ORDENES'!$U1060="","-",'ORDENES'!$U1060))</f>
        <v/>
      </c>
      <c r="F1082" s="3">
        <f>IF('ORDENES'!$A1060="","",IF('ORDENES'!$W1060="","-",'ORDENES'!$W1060))</f>
        <v/>
      </c>
      <c r="G1082" s="3">
        <f>IF('ORDENES'!$A1060="","",IF('ORDENES'!$AB1060="","-",'ORDENES'!$AB1060))</f>
        <v/>
      </c>
      <c r="H1082" s="3">
        <f>IF('ORDENES'!$A1060="","",IF('ORDENES'!$AN1060="","-",'ORDENES'!$AN1060))</f>
        <v/>
      </c>
      <c r="I1082" s="3">
        <f>IF('ORDENES'!$A1060="","",IF('ORDENES'!$D1060="","-",'ORDENES'!$D1060))</f>
        <v/>
      </c>
      <c r="J1082" s="3">
        <f>IF('ORDENES'!$A1060="","",IF('ORDENES'!$E1060="","-",'ORDENES'!$E1060))</f>
        <v/>
      </c>
      <c r="K1082" s="12">
        <f>IF('ORDENES'!$A1060="","",IF('ORDENES'!$M1060="",0,'ORDENES'!$M1060))</f>
        <v/>
      </c>
      <c r="L1082" s="3">
        <f>IF('ORDENES'!$A1060="","",IF('ORDENES'!$N1060="","-",'ORDENES'!$N1060))</f>
        <v/>
      </c>
      <c r="M1082" s="3">
        <f>IF('ORDENES'!$A1060="","",'ORDENES'!$AA1060)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IF('ORDENES'!$A1061="","",IF('ORDENES'!$AC1061="","-",'ORDENES'!$AC1061))</f>
        <v/>
      </c>
      <c r="D1083" s="3">
        <f>IF('ORDENES'!$A1061="","",IF('ORDENES'!$V1061="","-",'ORDENES'!$V1061))</f>
        <v/>
      </c>
      <c r="E1083" s="3">
        <f>IF('ORDENES'!$A1061="","",IF('ORDENES'!$U1061="","-",'ORDENES'!$U1061))</f>
        <v/>
      </c>
      <c r="F1083" s="3">
        <f>IF('ORDENES'!$A1061="","",IF('ORDENES'!$W1061="","-",'ORDENES'!$W1061))</f>
        <v/>
      </c>
      <c r="G1083" s="3">
        <f>IF('ORDENES'!$A1061="","",IF('ORDENES'!$AB1061="","-",'ORDENES'!$AB1061))</f>
        <v/>
      </c>
      <c r="H1083" s="3">
        <f>IF('ORDENES'!$A1061="","",IF('ORDENES'!$AN1061="","-",'ORDENES'!$AN1061))</f>
        <v/>
      </c>
      <c r="I1083" s="3">
        <f>IF('ORDENES'!$A1061="","",IF('ORDENES'!$D1061="","-",'ORDENES'!$D1061))</f>
        <v/>
      </c>
      <c r="J1083" s="3">
        <f>IF('ORDENES'!$A1061="","",IF('ORDENES'!$E1061="","-",'ORDENES'!$E1061))</f>
        <v/>
      </c>
      <c r="K1083" s="12">
        <f>IF('ORDENES'!$A1061="","",IF('ORDENES'!$M1061="",0,'ORDENES'!$M1061))</f>
        <v/>
      </c>
      <c r="L1083" s="3">
        <f>IF('ORDENES'!$A1061="","",IF('ORDENES'!$N1061="","-",'ORDENES'!$N1061))</f>
        <v/>
      </c>
      <c r="M1083" s="3">
        <f>IF('ORDENES'!$A1061="","",'ORDENES'!$AA1061)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IF('ORDENES'!$A1062="","",IF('ORDENES'!$AC1062="","-",'ORDENES'!$AC1062))</f>
        <v/>
      </c>
      <c r="D1084" s="3">
        <f>IF('ORDENES'!$A1062="","",IF('ORDENES'!$V1062="","-",'ORDENES'!$V1062))</f>
        <v/>
      </c>
      <c r="E1084" s="3">
        <f>IF('ORDENES'!$A1062="","",IF('ORDENES'!$U1062="","-",'ORDENES'!$U1062))</f>
        <v/>
      </c>
      <c r="F1084" s="3">
        <f>IF('ORDENES'!$A1062="","",IF('ORDENES'!$W1062="","-",'ORDENES'!$W1062))</f>
        <v/>
      </c>
      <c r="G1084" s="3">
        <f>IF('ORDENES'!$A1062="","",IF('ORDENES'!$AB1062="","-",'ORDENES'!$AB1062))</f>
        <v/>
      </c>
      <c r="H1084" s="3">
        <f>IF('ORDENES'!$A1062="","",IF('ORDENES'!$AN1062="","-",'ORDENES'!$AN1062))</f>
        <v/>
      </c>
      <c r="I1084" s="3">
        <f>IF('ORDENES'!$A1062="","",IF('ORDENES'!$D1062="","-",'ORDENES'!$D1062))</f>
        <v/>
      </c>
      <c r="J1084" s="3">
        <f>IF('ORDENES'!$A1062="","",IF('ORDENES'!$E1062="","-",'ORDENES'!$E1062))</f>
        <v/>
      </c>
      <c r="K1084" s="12">
        <f>IF('ORDENES'!$A1062="","",IF('ORDENES'!$M1062="",0,'ORDENES'!$M1062))</f>
        <v/>
      </c>
      <c r="L1084" s="3">
        <f>IF('ORDENES'!$A1062="","",IF('ORDENES'!$N1062="","-",'ORDENES'!$N1062))</f>
        <v/>
      </c>
      <c r="M1084" s="3">
        <f>IF('ORDENES'!$A1062="","",'ORDENES'!$AA1062)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IF('ORDENES'!$A1063="","",IF('ORDENES'!$AC1063="","-",'ORDENES'!$AC1063))</f>
        <v/>
      </c>
      <c r="D1085" s="3">
        <f>IF('ORDENES'!$A1063="","",IF('ORDENES'!$V1063="","-",'ORDENES'!$V1063))</f>
        <v/>
      </c>
      <c r="E1085" s="3">
        <f>IF('ORDENES'!$A1063="","",IF('ORDENES'!$U1063="","-",'ORDENES'!$U1063))</f>
        <v/>
      </c>
      <c r="F1085" s="3">
        <f>IF('ORDENES'!$A1063="","",IF('ORDENES'!$W1063="","-",'ORDENES'!$W1063))</f>
        <v/>
      </c>
      <c r="G1085" s="3">
        <f>IF('ORDENES'!$A1063="","",IF('ORDENES'!$AB1063="","-",'ORDENES'!$AB1063))</f>
        <v/>
      </c>
      <c r="H1085" s="3">
        <f>IF('ORDENES'!$A1063="","",IF('ORDENES'!$AN1063="","-",'ORDENES'!$AN1063))</f>
        <v/>
      </c>
      <c r="I1085" s="3">
        <f>IF('ORDENES'!$A1063="","",IF('ORDENES'!$D1063="","-",'ORDENES'!$D1063))</f>
        <v/>
      </c>
      <c r="J1085" s="3">
        <f>IF('ORDENES'!$A1063="","",IF('ORDENES'!$E1063="","-",'ORDENES'!$E1063))</f>
        <v/>
      </c>
      <c r="K1085" s="12">
        <f>IF('ORDENES'!$A1063="","",IF('ORDENES'!$M1063="",0,'ORDENES'!$M1063))</f>
        <v/>
      </c>
      <c r="L1085" s="3">
        <f>IF('ORDENES'!$A1063="","",IF('ORDENES'!$N1063="","-",'ORDENES'!$N1063))</f>
        <v/>
      </c>
      <c r="M1085" s="3">
        <f>IF('ORDENES'!$A1063="","",'ORDENES'!$AA1063)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IF('ORDENES'!$A1064="","",IF('ORDENES'!$AC1064="","-",'ORDENES'!$AC1064))</f>
        <v/>
      </c>
      <c r="D1086" s="3">
        <f>IF('ORDENES'!$A1064="","",IF('ORDENES'!$V1064="","-",'ORDENES'!$V1064))</f>
        <v/>
      </c>
      <c r="E1086" s="3">
        <f>IF('ORDENES'!$A1064="","",IF('ORDENES'!$U1064="","-",'ORDENES'!$U1064))</f>
        <v/>
      </c>
      <c r="F1086" s="3">
        <f>IF('ORDENES'!$A1064="","",IF('ORDENES'!$W1064="","-",'ORDENES'!$W1064))</f>
        <v/>
      </c>
      <c r="G1086" s="3">
        <f>IF('ORDENES'!$A1064="","",IF('ORDENES'!$AB1064="","-",'ORDENES'!$AB1064))</f>
        <v/>
      </c>
      <c r="H1086" s="3">
        <f>IF('ORDENES'!$A1064="","",IF('ORDENES'!$AN1064="","-",'ORDENES'!$AN1064))</f>
        <v/>
      </c>
      <c r="I1086" s="3">
        <f>IF('ORDENES'!$A1064="","",IF('ORDENES'!$D1064="","-",'ORDENES'!$D1064))</f>
        <v/>
      </c>
      <c r="J1086" s="3">
        <f>IF('ORDENES'!$A1064="","",IF('ORDENES'!$E1064="","-",'ORDENES'!$E1064))</f>
        <v/>
      </c>
      <c r="K1086" s="12">
        <f>IF('ORDENES'!$A1064="","",IF('ORDENES'!$M1064="",0,'ORDENES'!$M1064))</f>
        <v/>
      </c>
      <c r="L1086" s="3">
        <f>IF('ORDENES'!$A1064="","",IF('ORDENES'!$N1064="","-",'ORDENES'!$N1064))</f>
        <v/>
      </c>
      <c r="M1086" s="3">
        <f>IF('ORDENES'!$A1064="","",'ORDENES'!$AA1064)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IF('ORDENES'!$A1065="","",IF('ORDENES'!$AC1065="","-",'ORDENES'!$AC1065))</f>
        <v/>
      </c>
      <c r="D1087" s="3">
        <f>IF('ORDENES'!$A1065="","",IF('ORDENES'!$V1065="","-",'ORDENES'!$V1065))</f>
        <v/>
      </c>
      <c r="E1087" s="3">
        <f>IF('ORDENES'!$A1065="","",IF('ORDENES'!$U1065="","-",'ORDENES'!$U1065))</f>
        <v/>
      </c>
      <c r="F1087" s="3">
        <f>IF('ORDENES'!$A1065="","",IF('ORDENES'!$W1065="","-",'ORDENES'!$W1065))</f>
        <v/>
      </c>
      <c r="G1087" s="3">
        <f>IF('ORDENES'!$A1065="","",IF('ORDENES'!$AB1065="","-",'ORDENES'!$AB1065))</f>
        <v/>
      </c>
      <c r="H1087" s="3">
        <f>IF('ORDENES'!$A1065="","",IF('ORDENES'!$AN1065="","-",'ORDENES'!$AN1065))</f>
        <v/>
      </c>
      <c r="I1087" s="3">
        <f>IF('ORDENES'!$A1065="","",IF('ORDENES'!$D1065="","-",'ORDENES'!$D1065))</f>
        <v/>
      </c>
      <c r="J1087" s="3">
        <f>IF('ORDENES'!$A1065="","",IF('ORDENES'!$E1065="","-",'ORDENES'!$E1065))</f>
        <v/>
      </c>
      <c r="K1087" s="12">
        <f>IF('ORDENES'!$A1065="","",IF('ORDENES'!$M1065="",0,'ORDENES'!$M1065))</f>
        <v/>
      </c>
      <c r="L1087" s="3">
        <f>IF('ORDENES'!$A1065="","",IF('ORDENES'!$N1065="","-",'ORDENES'!$N1065))</f>
        <v/>
      </c>
      <c r="M1087" s="3">
        <f>IF('ORDENES'!$A1065="","",'ORDENES'!$AA1065)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IF('ORDENES'!$A1066="","",IF('ORDENES'!$AC1066="","-",'ORDENES'!$AC1066))</f>
        <v/>
      </c>
      <c r="D1088" s="3">
        <f>IF('ORDENES'!$A1066="","",IF('ORDENES'!$V1066="","-",'ORDENES'!$V1066))</f>
        <v/>
      </c>
      <c r="E1088" s="3">
        <f>IF('ORDENES'!$A1066="","",IF('ORDENES'!$U1066="","-",'ORDENES'!$U1066))</f>
        <v/>
      </c>
      <c r="F1088" s="3">
        <f>IF('ORDENES'!$A1066="","",IF('ORDENES'!$W1066="","-",'ORDENES'!$W1066))</f>
        <v/>
      </c>
      <c r="G1088" s="3">
        <f>IF('ORDENES'!$A1066="","",IF('ORDENES'!$AB1066="","-",'ORDENES'!$AB1066))</f>
        <v/>
      </c>
      <c r="H1088" s="3">
        <f>IF('ORDENES'!$A1066="","",IF('ORDENES'!$AN1066="","-",'ORDENES'!$AN1066))</f>
        <v/>
      </c>
      <c r="I1088" s="3">
        <f>IF('ORDENES'!$A1066="","",IF('ORDENES'!$D1066="","-",'ORDENES'!$D1066))</f>
        <v/>
      </c>
      <c r="J1088" s="3">
        <f>IF('ORDENES'!$A1066="","",IF('ORDENES'!$E1066="","-",'ORDENES'!$E1066))</f>
        <v/>
      </c>
      <c r="K1088" s="12">
        <f>IF('ORDENES'!$A1066="","",IF('ORDENES'!$M1066="",0,'ORDENES'!$M1066))</f>
        <v/>
      </c>
      <c r="L1088" s="3">
        <f>IF('ORDENES'!$A1066="","",IF('ORDENES'!$N1066="","-",'ORDENES'!$N1066))</f>
        <v/>
      </c>
      <c r="M1088" s="3">
        <f>IF('ORDENES'!$A1066="","",'ORDENES'!$AA1066)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IF('ORDENES'!$A1067="","",IF('ORDENES'!$AC1067="","-",'ORDENES'!$AC1067))</f>
        <v/>
      </c>
      <c r="D1089" s="3">
        <f>IF('ORDENES'!$A1067="","",IF('ORDENES'!$V1067="","-",'ORDENES'!$V1067))</f>
        <v/>
      </c>
      <c r="E1089" s="3">
        <f>IF('ORDENES'!$A1067="","",IF('ORDENES'!$U1067="","-",'ORDENES'!$U1067))</f>
        <v/>
      </c>
      <c r="F1089" s="3">
        <f>IF('ORDENES'!$A1067="","",IF('ORDENES'!$W1067="","-",'ORDENES'!$W1067))</f>
        <v/>
      </c>
      <c r="G1089" s="3">
        <f>IF('ORDENES'!$A1067="","",IF('ORDENES'!$AB1067="","-",'ORDENES'!$AB1067))</f>
        <v/>
      </c>
      <c r="H1089" s="3">
        <f>IF('ORDENES'!$A1067="","",IF('ORDENES'!$AN1067="","-",'ORDENES'!$AN1067))</f>
        <v/>
      </c>
      <c r="I1089" s="3">
        <f>IF('ORDENES'!$A1067="","",IF('ORDENES'!$D1067="","-",'ORDENES'!$D1067))</f>
        <v/>
      </c>
      <c r="J1089" s="3">
        <f>IF('ORDENES'!$A1067="","",IF('ORDENES'!$E1067="","-",'ORDENES'!$E1067))</f>
        <v/>
      </c>
      <c r="K1089" s="12">
        <f>IF('ORDENES'!$A1067="","",IF('ORDENES'!$M1067="",0,'ORDENES'!$M1067))</f>
        <v/>
      </c>
      <c r="L1089" s="3">
        <f>IF('ORDENES'!$A1067="","",IF('ORDENES'!$N1067="","-",'ORDENES'!$N1067))</f>
        <v/>
      </c>
      <c r="M1089" s="3">
        <f>IF('ORDENES'!$A1067="","",'ORDENES'!$AA1067)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IF('ORDENES'!$A1068="","",IF('ORDENES'!$AC1068="","-",'ORDENES'!$AC1068))</f>
        <v/>
      </c>
      <c r="D1090" s="3">
        <f>IF('ORDENES'!$A1068="","",IF('ORDENES'!$V1068="","-",'ORDENES'!$V1068))</f>
        <v/>
      </c>
      <c r="E1090" s="3">
        <f>IF('ORDENES'!$A1068="","",IF('ORDENES'!$U1068="","-",'ORDENES'!$U1068))</f>
        <v/>
      </c>
      <c r="F1090" s="3">
        <f>IF('ORDENES'!$A1068="","",IF('ORDENES'!$W1068="","-",'ORDENES'!$W1068))</f>
        <v/>
      </c>
      <c r="G1090" s="3">
        <f>IF('ORDENES'!$A1068="","",IF('ORDENES'!$AB1068="","-",'ORDENES'!$AB1068))</f>
        <v/>
      </c>
      <c r="H1090" s="3">
        <f>IF('ORDENES'!$A1068="","",IF('ORDENES'!$AN1068="","-",'ORDENES'!$AN1068))</f>
        <v/>
      </c>
      <c r="I1090" s="3">
        <f>IF('ORDENES'!$A1068="","",IF('ORDENES'!$D1068="","-",'ORDENES'!$D1068))</f>
        <v/>
      </c>
      <c r="J1090" s="3">
        <f>IF('ORDENES'!$A1068="","",IF('ORDENES'!$E1068="","-",'ORDENES'!$E1068))</f>
        <v/>
      </c>
      <c r="K1090" s="12">
        <f>IF('ORDENES'!$A1068="","",IF('ORDENES'!$M1068="",0,'ORDENES'!$M1068))</f>
        <v/>
      </c>
      <c r="L1090" s="3">
        <f>IF('ORDENES'!$A1068="","",IF('ORDENES'!$N1068="","-",'ORDENES'!$N1068))</f>
        <v/>
      </c>
      <c r="M1090" s="3">
        <f>IF('ORDENES'!$A1068="","",'ORDENES'!$AA1068)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IF('ORDENES'!$A1069="","",IF('ORDENES'!$AC1069="","-",'ORDENES'!$AC1069))</f>
        <v/>
      </c>
      <c r="D1091" s="3">
        <f>IF('ORDENES'!$A1069="","",IF('ORDENES'!$V1069="","-",'ORDENES'!$V1069))</f>
        <v/>
      </c>
      <c r="E1091" s="3">
        <f>IF('ORDENES'!$A1069="","",IF('ORDENES'!$U1069="","-",'ORDENES'!$U1069))</f>
        <v/>
      </c>
      <c r="F1091" s="3">
        <f>IF('ORDENES'!$A1069="","",IF('ORDENES'!$W1069="","-",'ORDENES'!$W1069))</f>
        <v/>
      </c>
      <c r="G1091" s="3">
        <f>IF('ORDENES'!$A1069="","",IF('ORDENES'!$AB1069="","-",'ORDENES'!$AB1069))</f>
        <v/>
      </c>
      <c r="H1091" s="3">
        <f>IF('ORDENES'!$A1069="","",IF('ORDENES'!$AN1069="","-",'ORDENES'!$AN1069))</f>
        <v/>
      </c>
      <c r="I1091" s="3">
        <f>IF('ORDENES'!$A1069="","",IF('ORDENES'!$D1069="","-",'ORDENES'!$D1069))</f>
        <v/>
      </c>
      <c r="J1091" s="3">
        <f>IF('ORDENES'!$A1069="","",IF('ORDENES'!$E1069="","-",'ORDENES'!$E1069))</f>
        <v/>
      </c>
      <c r="K1091" s="12">
        <f>IF('ORDENES'!$A1069="","",IF('ORDENES'!$M1069="",0,'ORDENES'!$M1069))</f>
        <v/>
      </c>
      <c r="L1091" s="3">
        <f>IF('ORDENES'!$A1069="","",IF('ORDENES'!$N1069="","-",'ORDENES'!$N1069))</f>
        <v/>
      </c>
      <c r="M1091" s="3">
        <f>IF('ORDENES'!$A1069="","",'ORDENES'!$AA1069)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IF('ORDENES'!$A1070="","",IF('ORDENES'!$AC1070="","-",'ORDENES'!$AC1070))</f>
        <v/>
      </c>
      <c r="D1092" s="3">
        <f>IF('ORDENES'!$A1070="","",IF('ORDENES'!$V1070="","-",'ORDENES'!$V1070))</f>
        <v/>
      </c>
      <c r="E1092" s="3">
        <f>IF('ORDENES'!$A1070="","",IF('ORDENES'!$U1070="","-",'ORDENES'!$U1070))</f>
        <v/>
      </c>
      <c r="F1092" s="3">
        <f>IF('ORDENES'!$A1070="","",IF('ORDENES'!$W1070="","-",'ORDENES'!$W1070))</f>
        <v/>
      </c>
      <c r="G1092" s="3">
        <f>IF('ORDENES'!$A1070="","",IF('ORDENES'!$AB1070="","-",'ORDENES'!$AB1070))</f>
        <v/>
      </c>
      <c r="H1092" s="3">
        <f>IF('ORDENES'!$A1070="","",IF('ORDENES'!$AN1070="","-",'ORDENES'!$AN1070))</f>
        <v/>
      </c>
      <c r="I1092" s="3">
        <f>IF('ORDENES'!$A1070="","",IF('ORDENES'!$D1070="","-",'ORDENES'!$D1070))</f>
        <v/>
      </c>
      <c r="J1092" s="3">
        <f>IF('ORDENES'!$A1070="","",IF('ORDENES'!$E1070="","-",'ORDENES'!$E1070))</f>
        <v/>
      </c>
      <c r="K1092" s="12">
        <f>IF('ORDENES'!$A1070="","",IF('ORDENES'!$M1070="",0,'ORDENES'!$M1070))</f>
        <v/>
      </c>
      <c r="L1092" s="3">
        <f>IF('ORDENES'!$A1070="","",IF('ORDENES'!$N1070="","-",'ORDENES'!$N1070))</f>
        <v/>
      </c>
      <c r="M1092" s="3">
        <f>IF('ORDENES'!$A1070="","",'ORDENES'!$AA1070)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IF('ORDENES'!$A1071="","",IF('ORDENES'!$AC1071="","-",'ORDENES'!$AC1071))</f>
        <v/>
      </c>
      <c r="D1093" s="3">
        <f>IF('ORDENES'!$A1071="","",IF('ORDENES'!$V1071="","-",'ORDENES'!$V1071))</f>
        <v/>
      </c>
      <c r="E1093" s="3">
        <f>IF('ORDENES'!$A1071="","",IF('ORDENES'!$U1071="","-",'ORDENES'!$U1071))</f>
        <v/>
      </c>
      <c r="F1093" s="3">
        <f>IF('ORDENES'!$A1071="","",IF('ORDENES'!$W1071="","-",'ORDENES'!$W1071))</f>
        <v/>
      </c>
      <c r="G1093" s="3">
        <f>IF('ORDENES'!$A1071="","",IF('ORDENES'!$AB1071="","-",'ORDENES'!$AB1071))</f>
        <v/>
      </c>
      <c r="H1093" s="3">
        <f>IF('ORDENES'!$A1071="","",IF('ORDENES'!$AN1071="","-",'ORDENES'!$AN1071))</f>
        <v/>
      </c>
      <c r="I1093" s="3">
        <f>IF('ORDENES'!$A1071="","",IF('ORDENES'!$D1071="","-",'ORDENES'!$D1071))</f>
        <v/>
      </c>
      <c r="J1093" s="3">
        <f>IF('ORDENES'!$A1071="","",IF('ORDENES'!$E1071="","-",'ORDENES'!$E1071))</f>
        <v/>
      </c>
      <c r="K1093" s="12">
        <f>IF('ORDENES'!$A1071="","",IF('ORDENES'!$M1071="",0,'ORDENES'!$M1071))</f>
        <v/>
      </c>
      <c r="L1093" s="3">
        <f>IF('ORDENES'!$A1071="","",IF('ORDENES'!$N1071="","-",'ORDENES'!$N1071))</f>
        <v/>
      </c>
      <c r="M1093" s="3">
        <f>IF('ORDENES'!$A1071="","",'ORDENES'!$AA1071)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IF('ORDENES'!$A1072="","",IF('ORDENES'!$AC1072="","-",'ORDENES'!$AC1072))</f>
        <v/>
      </c>
      <c r="D1094" s="3">
        <f>IF('ORDENES'!$A1072="","",IF('ORDENES'!$V1072="","-",'ORDENES'!$V1072))</f>
        <v/>
      </c>
      <c r="E1094" s="3">
        <f>IF('ORDENES'!$A1072="","",IF('ORDENES'!$U1072="","-",'ORDENES'!$U1072))</f>
        <v/>
      </c>
      <c r="F1094" s="3">
        <f>IF('ORDENES'!$A1072="","",IF('ORDENES'!$W1072="","-",'ORDENES'!$W1072))</f>
        <v/>
      </c>
      <c r="G1094" s="3">
        <f>IF('ORDENES'!$A1072="","",IF('ORDENES'!$AB1072="","-",'ORDENES'!$AB1072))</f>
        <v/>
      </c>
      <c r="H1094" s="3">
        <f>IF('ORDENES'!$A1072="","",IF('ORDENES'!$AN1072="","-",'ORDENES'!$AN1072))</f>
        <v/>
      </c>
      <c r="I1094" s="3">
        <f>IF('ORDENES'!$A1072="","",IF('ORDENES'!$D1072="","-",'ORDENES'!$D1072))</f>
        <v/>
      </c>
      <c r="J1094" s="3">
        <f>IF('ORDENES'!$A1072="","",IF('ORDENES'!$E1072="","-",'ORDENES'!$E1072))</f>
        <v/>
      </c>
      <c r="K1094" s="12">
        <f>IF('ORDENES'!$A1072="","",IF('ORDENES'!$M1072="",0,'ORDENES'!$M1072))</f>
        <v/>
      </c>
      <c r="L1094" s="3">
        <f>IF('ORDENES'!$A1072="","",IF('ORDENES'!$N1072="","-",'ORDENES'!$N1072))</f>
        <v/>
      </c>
      <c r="M1094" s="3">
        <f>IF('ORDENES'!$A1072="","",'ORDENES'!$AA1072)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IF('ORDENES'!$A1073="","",IF('ORDENES'!$AC1073="","-",'ORDENES'!$AC1073))</f>
        <v/>
      </c>
      <c r="D1095" s="3">
        <f>IF('ORDENES'!$A1073="","",IF('ORDENES'!$V1073="","-",'ORDENES'!$V1073))</f>
        <v/>
      </c>
      <c r="E1095" s="3">
        <f>IF('ORDENES'!$A1073="","",IF('ORDENES'!$U1073="","-",'ORDENES'!$U1073))</f>
        <v/>
      </c>
      <c r="F1095" s="3">
        <f>IF('ORDENES'!$A1073="","",IF('ORDENES'!$W1073="","-",'ORDENES'!$W1073))</f>
        <v/>
      </c>
      <c r="G1095" s="3">
        <f>IF('ORDENES'!$A1073="","",IF('ORDENES'!$AB1073="","-",'ORDENES'!$AB1073))</f>
        <v/>
      </c>
      <c r="H1095" s="3">
        <f>IF('ORDENES'!$A1073="","",IF('ORDENES'!$AN1073="","-",'ORDENES'!$AN1073))</f>
        <v/>
      </c>
      <c r="I1095" s="3">
        <f>IF('ORDENES'!$A1073="","",IF('ORDENES'!$D1073="","-",'ORDENES'!$D1073))</f>
        <v/>
      </c>
      <c r="J1095" s="3">
        <f>IF('ORDENES'!$A1073="","",IF('ORDENES'!$E1073="","-",'ORDENES'!$E1073))</f>
        <v/>
      </c>
      <c r="K1095" s="12">
        <f>IF('ORDENES'!$A1073="","",IF('ORDENES'!$M1073="",0,'ORDENES'!$M1073))</f>
        <v/>
      </c>
      <c r="L1095" s="3">
        <f>IF('ORDENES'!$A1073="","",IF('ORDENES'!$N1073="","-",'ORDENES'!$N1073))</f>
        <v/>
      </c>
      <c r="M1095" s="3">
        <f>IF('ORDENES'!$A1073="","",'ORDENES'!$AA1073)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IF('ORDENES'!$A1074="","",IF('ORDENES'!$AC1074="","-",'ORDENES'!$AC1074))</f>
        <v/>
      </c>
      <c r="D1096" s="3">
        <f>IF('ORDENES'!$A1074="","",IF('ORDENES'!$V1074="","-",'ORDENES'!$V1074))</f>
        <v/>
      </c>
      <c r="E1096" s="3">
        <f>IF('ORDENES'!$A1074="","",IF('ORDENES'!$U1074="","-",'ORDENES'!$U1074))</f>
        <v/>
      </c>
      <c r="F1096" s="3">
        <f>IF('ORDENES'!$A1074="","",IF('ORDENES'!$W1074="","-",'ORDENES'!$W1074))</f>
        <v/>
      </c>
      <c r="G1096" s="3">
        <f>IF('ORDENES'!$A1074="","",IF('ORDENES'!$AB1074="","-",'ORDENES'!$AB1074))</f>
        <v/>
      </c>
      <c r="H1096" s="3">
        <f>IF('ORDENES'!$A1074="","",IF('ORDENES'!$AN1074="","-",'ORDENES'!$AN1074))</f>
        <v/>
      </c>
      <c r="I1096" s="3">
        <f>IF('ORDENES'!$A1074="","",IF('ORDENES'!$D1074="","-",'ORDENES'!$D1074))</f>
        <v/>
      </c>
      <c r="J1096" s="3">
        <f>IF('ORDENES'!$A1074="","",IF('ORDENES'!$E1074="","-",'ORDENES'!$E1074))</f>
        <v/>
      </c>
      <c r="K1096" s="12">
        <f>IF('ORDENES'!$A1074="","",IF('ORDENES'!$M1074="",0,'ORDENES'!$M1074))</f>
        <v/>
      </c>
      <c r="L1096" s="3">
        <f>IF('ORDENES'!$A1074="","",IF('ORDENES'!$N1074="","-",'ORDENES'!$N1074))</f>
        <v/>
      </c>
      <c r="M1096" s="3">
        <f>IF('ORDENES'!$A1074="","",'ORDENES'!$AA1074)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IF('ORDENES'!$A1075="","",IF('ORDENES'!$AC1075="","-",'ORDENES'!$AC1075))</f>
        <v/>
      </c>
      <c r="D1097" s="3">
        <f>IF('ORDENES'!$A1075="","",IF('ORDENES'!$V1075="","-",'ORDENES'!$V1075))</f>
        <v/>
      </c>
      <c r="E1097" s="3">
        <f>IF('ORDENES'!$A1075="","",IF('ORDENES'!$U1075="","-",'ORDENES'!$U1075))</f>
        <v/>
      </c>
      <c r="F1097" s="3">
        <f>IF('ORDENES'!$A1075="","",IF('ORDENES'!$W1075="","-",'ORDENES'!$W1075))</f>
        <v/>
      </c>
      <c r="G1097" s="3">
        <f>IF('ORDENES'!$A1075="","",IF('ORDENES'!$AB1075="","-",'ORDENES'!$AB1075))</f>
        <v/>
      </c>
      <c r="H1097" s="3">
        <f>IF('ORDENES'!$A1075="","",IF('ORDENES'!$AN1075="","-",'ORDENES'!$AN1075))</f>
        <v/>
      </c>
      <c r="I1097" s="3">
        <f>IF('ORDENES'!$A1075="","",IF('ORDENES'!$D1075="","-",'ORDENES'!$D1075))</f>
        <v/>
      </c>
      <c r="J1097" s="3">
        <f>IF('ORDENES'!$A1075="","",IF('ORDENES'!$E1075="","-",'ORDENES'!$E1075))</f>
        <v/>
      </c>
      <c r="K1097" s="12">
        <f>IF('ORDENES'!$A1075="","",IF('ORDENES'!$M1075="",0,'ORDENES'!$M1075))</f>
        <v/>
      </c>
      <c r="L1097" s="3">
        <f>IF('ORDENES'!$A1075="","",IF('ORDENES'!$N1075="","-",'ORDENES'!$N1075))</f>
        <v/>
      </c>
      <c r="M1097" s="3">
        <f>IF('ORDENES'!$A1075="","",'ORDENES'!$AA1075)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IF('ORDENES'!$A1076="","",IF('ORDENES'!$AC1076="","-",'ORDENES'!$AC1076))</f>
        <v/>
      </c>
      <c r="D1098" s="3">
        <f>IF('ORDENES'!$A1076="","",IF('ORDENES'!$V1076="","-",'ORDENES'!$V1076))</f>
        <v/>
      </c>
      <c r="E1098" s="3">
        <f>IF('ORDENES'!$A1076="","",IF('ORDENES'!$U1076="","-",'ORDENES'!$U1076))</f>
        <v/>
      </c>
      <c r="F1098" s="3">
        <f>IF('ORDENES'!$A1076="","",IF('ORDENES'!$W1076="","-",'ORDENES'!$W1076))</f>
        <v/>
      </c>
      <c r="G1098" s="3">
        <f>IF('ORDENES'!$A1076="","",IF('ORDENES'!$AB1076="","-",'ORDENES'!$AB1076))</f>
        <v/>
      </c>
      <c r="H1098" s="3">
        <f>IF('ORDENES'!$A1076="","",IF('ORDENES'!$AN1076="","-",'ORDENES'!$AN1076))</f>
        <v/>
      </c>
      <c r="I1098" s="3">
        <f>IF('ORDENES'!$A1076="","",IF('ORDENES'!$D1076="","-",'ORDENES'!$D1076))</f>
        <v/>
      </c>
      <c r="J1098" s="3">
        <f>IF('ORDENES'!$A1076="","",IF('ORDENES'!$E1076="","-",'ORDENES'!$E1076))</f>
        <v/>
      </c>
      <c r="K1098" s="12">
        <f>IF('ORDENES'!$A1076="","",IF('ORDENES'!$M1076="",0,'ORDENES'!$M1076))</f>
        <v/>
      </c>
      <c r="L1098" s="3">
        <f>IF('ORDENES'!$A1076="","",IF('ORDENES'!$N1076="","-",'ORDENES'!$N1076))</f>
        <v/>
      </c>
      <c r="M1098" s="3">
        <f>IF('ORDENES'!$A1076="","",'ORDENES'!$AA1076)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IF('ORDENES'!$A1077="","",IF('ORDENES'!$AC1077="","-",'ORDENES'!$AC1077))</f>
        <v/>
      </c>
      <c r="D1099" s="3">
        <f>IF('ORDENES'!$A1077="","",IF('ORDENES'!$V1077="","-",'ORDENES'!$V1077))</f>
        <v/>
      </c>
      <c r="E1099" s="3">
        <f>IF('ORDENES'!$A1077="","",IF('ORDENES'!$U1077="","-",'ORDENES'!$U1077))</f>
        <v/>
      </c>
      <c r="F1099" s="3">
        <f>IF('ORDENES'!$A1077="","",IF('ORDENES'!$W1077="","-",'ORDENES'!$W1077))</f>
        <v/>
      </c>
      <c r="G1099" s="3">
        <f>IF('ORDENES'!$A1077="","",IF('ORDENES'!$AB1077="","-",'ORDENES'!$AB1077))</f>
        <v/>
      </c>
      <c r="H1099" s="3">
        <f>IF('ORDENES'!$A1077="","",IF('ORDENES'!$AN1077="","-",'ORDENES'!$AN1077))</f>
        <v/>
      </c>
      <c r="I1099" s="3">
        <f>IF('ORDENES'!$A1077="","",IF('ORDENES'!$D1077="","-",'ORDENES'!$D1077))</f>
        <v/>
      </c>
      <c r="J1099" s="3">
        <f>IF('ORDENES'!$A1077="","",IF('ORDENES'!$E1077="","-",'ORDENES'!$E1077))</f>
        <v/>
      </c>
      <c r="K1099" s="12">
        <f>IF('ORDENES'!$A1077="","",IF('ORDENES'!$M1077="",0,'ORDENES'!$M1077))</f>
        <v/>
      </c>
      <c r="L1099" s="3">
        <f>IF('ORDENES'!$A1077="","",IF('ORDENES'!$N1077="","-",'ORDENES'!$N1077))</f>
        <v/>
      </c>
      <c r="M1099" s="3">
        <f>IF('ORDENES'!$A1077="","",'ORDENES'!$AA1077)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IF('ORDENES'!$A1078="","",IF('ORDENES'!$AC1078="","-",'ORDENES'!$AC1078))</f>
        <v/>
      </c>
      <c r="D1100" s="3">
        <f>IF('ORDENES'!$A1078="","",IF('ORDENES'!$V1078="","-",'ORDENES'!$V1078))</f>
        <v/>
      </c>
      <c r="E1100" s="3">
        <f>IF('ORDENES'!$A1078="","",IF('ORDENES'!$U1078="","-",'ORDENES'!$U1078))</f>
        <v/>
      </c>
      <c r="F1100" s="3">
        <f>IF('ORDENES'!$A1078="","",IF('ORDENES'!$W1078="","-",'ORDENES'!$W1078))</f>
        <v/>
      </c>
      <c r="G1100" s="3">
        <f>IF('ORDENES'!$A1078="","",IF('ORDENES'!$AB1078="","-",'ORDENES'!$AB1078))</f>
        <v/>
      </c>
      <c r="H1100" s="3">
        <f>IF('ORDENES'!$A1078="","",IF('ORDENES'!$AN1078="","-",'ORDENES'!$AN1078))</f>
        <v/>
      </c>
      <c r="I1100" s="3">
        <f>IF('ORDENES'!$A1078="","",IF('ORDENES'!$D1078="","-",'ORDENES'!$D1078))</f>
        <v/>
      </c>
      <c r="J1100" s="3">
        <f>IF('ORDENES'!$A1078="","",IF('ORDENES'!$E1078="","-",'ORDENES'!$E1078))</f>
        <v/>
      </c>
      <c r="K1100" s="12">
        <f>IF('ORDENES'!$A1078="","",IF('ORDENES'!$M1078="",0,'ORDENES'!$M1078))</f>
        <v/>
      </c>
      <c r="L1100" s="3">
        <f>IF('ORDENES'!$A1078="","",IF('ORDENES'!$N1078="","-",'ORDENES'!$N1078))</f>
        <v/>
      </c>
      <c r="M1100" s="3">
        <f>IF('ORDENES'!$A1078="","",'ORDENES'!$AA1078)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IF('ORDENES'!$A1079="","",IF('ORDENES'!$AC1079="","-",'ORDENES'!$AC1079))</f>
        <v/>
      </c>
      <c r="D1101" s="3">
        <f>IF('ORDENES'!$A1079="","",IF('ORDENES'!$V1079="","-",'ORDENES'!$V1079))</f>
        <v/>
      </c>
      <c r="E1101" s="3">
        <f>IF('ORDENES'!$A1079="","",IF('ORDENES'!$U1079="","-",'ORDENES'!$U1079))</f>
        <v/>
      </c>
      <c r="F1101" s="3">
        <f>IF('ORDENES'!$A1079="","",IF('ORDENES'!$W1079="","-",'ORDENES'!$W1079))</f>
        <v/>
      </c>
      <c r="G1101" s="3">
        <f>IF('ORDENES'!$A1079="","",IF('ORDENES'!$AB1079="","-",'ORDENES'!$AB1079))</f>
        <v/>
      </c>
      <c r="H1101" s="3">
        <f>IF('ORDENES'!$A1079="","",IF('ORDENES'!$AN1079="","-",'ORDENES'!$AN1079))</f>
        <v/>
      </c>
      <c r="I1101" s="3">
        <f>IF('ORDENES'!$A1079="","",IF('ORDENES'!$D1079="","-",'ORDENES'!$D1079))</f>
        <v/>
      </c>
      <c r="J1101" s="3">
        <f>IF('ORDENES'!$A1079="","",IF('ORDENES'!$E1079="","-",'ORDENES'!$E1079))</f>
        <v/>
      </c>
      <c r="K1101" s="12">
        <f>IF('ORDENES'!$A1079="","",IF('ORDENES'!$M1079="",0,'ORDENES'!$M1079))</f>
        <v/>
      </c>
      <c r="L1101" s="3">
        <f>IF('ORDENES'!$A1079="","",IF('ORDENES'!$N1079="","-",'ORDENES'!$N1079))</f>
        <v/>
      </c>
      <c r="M1101" s="3">
        <f>IF('ORDENES'!$A1079="","",'ORDENES'!$AA1079)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IF('ORDENES'!$A1080="","",IF('ORDENES'!$AC1080="","-",'ORDENES'!$AC1080))</f>
        <v/>
      </c>
      <c r="D1102" s="3">
        <f>IF('ORDENES'!$A1080="","",IF('ORDENES'!$V1080="","-",'ORDENES'!$V1080))</f>
        <v/>
      </c>
      <c r="E1102" s="3">
        <f>IF('ORDENES'!$A1080="","",IF('ORDENES'!$U1080="","-",'ORDENES'!$U1080))</f>
        <v/>
      </c>
      <c r="F1102" s="3">
        <f>IF('ORDENES'!$A1080="","",IF('ORDENES'!$W1080="","-",'ORDENES'!$W1080))</f>
        <v/>
      </c>
      <c r="G1102" s="3">
        <f>IF('ORDENES'!$A1080="","",IF('ORDENES'!$AB1080="","-",'ORDENES'!$AB1080))</f>
        <v/>
      </c>
      <c r="H1102" s="3">
        <f>IF('ORDENES'!$A1080="","",IF('ORDENES'!$AN1080="","-",'ORDENES'!$AN1080))</f>
        <v/>
      </c>
      <c r="I1102" s="3">
        <f>IF('ORDENES'!$A1080="","",IF('ORDENES'!$D1080="","-",'ORDENES'!$D1080))</f>
        <v/>
      </c>
      <c r="J1102" s="3">
        <f>IF('ORDENES'!$A1080="","",IF('ORDENES'!$E1080="","-",'ORDENES'!$E1080))</f>
        <v/>
      </c>
      <c r="K1102" s="12">
        <f>IF('ORDENES'!$A1080="","",IF('ORDENES'!$M1080="",0,'ORDENES'!$M1080))</f>
        <v/>
      </c>
      <c r="L1102" s="3">
        <f>IF('ORDENES'!$A1080="","",IF('ORDENES'!$N1080="","-",'ORDENES'!$N1080))</f>
        <v/>
      </c>
      <c r="M1102" s="3">
        <f>IF('ORDENES'!$A1080="","",'ORDENES'!$AA1080)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IF('ORDENES'!$A1081="","",IF('ORDENES'!$AC1081="","-",'ORDENES'!$AC1081))</f>
        <v/>
      </c>
      <c r="D1103" s="3">
        <f>IF('ORDENES'!$A1081="","",IF('ORDENES'!$V1081="","-",'ORDENES'!$V1081))</f>
        <v/>
      </c>
      <c r="E1103" s="3">
        <f>IF('ORDENES'!$A1081="","",IF('ORDENES'!$U1081="","-",'ORDENES'!$U1081))</f>
        <v/>
      </c>
      <c r="F1103" s="3">
        <f>IF('ORDENES'!$A1081="","",IF('ORDENES'!$W1081="","-",'ORDENES'!$W1081))</f>
        <v/>
      </c>
      <c r="G1103" s="3">
        <f>IF('ORDENES'!$A1081="","",IF('ORDENES'!$AB1081="","-",'ORDENES'!$AB1081))</f>
        <v/>
      </c>
      <c r="H1103" s="3">
        <f>IF('ORDENES'!$A1081="","",IF('ORDENES'!$AN1081="","-",'ORDENES'!$AN1081))</f>
        <v/>
      </c>
      <c r="I1103" s="3">
        <f>IF('ORDENES'!$A1081="","",IF('ORDENES'!$D1081="","-",'ORDENES'!$D1081))</f>
        <v/>
      </c>
      <c r="J1103" s="3">
        <f>IF('ORDENES'!$A1081="","",IF('ORDENES'!$E1081="","-",'ORDENES'!$E1081))</f>
        <v/>
      </c>
      <c r="K1103" s="12">
        <f>IF('ORDENES'!$A1081="","",IF('ORDENES'!$M1081="",0,'ORDENES'!$M1081))</f>
        <v/>
      </c>
      <c r="L1103" s="3">
        <f>IF('ORDENES'!$A1081="","",IF('ORDENES'!$N1081="","-",'ORDENES'!$N1081))</f>
        <v/>
      </c>
      <c r="M1103" s="3">
        <f>IF('ORDENES'!$A1081="","",'ORDENES'!$AA1081)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IF('ORDENES'!$A1082="","",IF('ORDENES'!$AC1082="","-",'ORDENES'!$AC1082))</f>
        <v/>
      </c>
      <c r="D1104" s="3">
        <f>IF('ORDENES'!$A1082="","",IF('ORDENES'!$V1082="","-",'ORDENES'!$V1082))</f>
        <v/>
      </c>
      <c r="E1104" s="3">
        <f>IF('ORDENES'!$A1082="","",IF('ORDENES'!$U1082="","-",'ORDENES'!$U1082))</f>
        <v/>
      </c>
      <c r="F1104" s="3">
        <f>IF('ORDENES'!$A1082="","",IF('ORDENES'!$W1082="","-",'ORDENES'!$W1082))</f>
        <v/>
      </c>
      <c r="G1104" s="3">
        <f>IF('ORDENES'!$A1082="","",IF('ORDENES'!$AB1082="","-",'ORDENES'!$AB1082))</f>
        <v/>
      </c>
      <c r="H1104" s="3">
        <f>IF('ORDENES'!$A1082="","",IF('ORDENES'!$AN1082="","-",'ORDENES'!$AN1082))</f>
        <v/>
      </c>
      <c r="I1104" s="3">
        <f>IF('ORDENES'!$A1082="","",IF('ORDENES'!$D1082="","-",'ORDENES'!$D1082))</f>
        <v/>
      </c>
      <c r="J1104" s="3">
        <f>IF('ORDENES'!$A1082="","",IF('ORDENES'!$E1082="","-",'ORDENES'!$E1082))</f>
        <v/>
      </c>
      <c r="K1104" s="12">
        <f>IF('ORDENES'!$A1082="","",IF('ORDENES'!$M1082="",0,'ORDENES'!$M1082))</f>
        <v/>
      </c>
      <c r="L1104" s="3">
        <f>IF('ORDENES'!$A1082="","",IF('ORDENES'!$N1082="","-",'ORDENES'!$N1082))</f>
        <v/>
      </c>
      <c r="M1104" s="3">
        <f>IF('ORDENES'!$A1082="","",'ORDENES'!$AA1082)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IF('ORDENES'!$A1083="","",IF('ORDENES'!$AC1083="","-",'ORDENES'!$AC1083))</f>
        <v/>
      </c>
      <c r="D1105" s="3">
        <f>IF('ORDENES'!$A1083="","",IF('ORDENES'!$V1083="","-",'ORDENES'!$V1083))</f>
        <v/>
      </c>
      <c r="E1105" s="3">
        <f>IF('ORDENES'!$A1083="","",IF('ORDENES'!$U1083="","-",'ORDENES'!$U1083))</f>
        <v/>
      </c>
      <c r="F1105" s="3">
        <f>IF('ORDENES'!$A1083="","",IF('ORDENES'!$W1083="","-",'ORDENES'!$W1083))</f>
        <v/>
      </c>
      <c r="G1105" s="3">
        <f>IF('ORDENES'!$A1083="","",IF('ORDENES'!$AB1083="","-",'ORDENES'!$AB1083))</f>
        <v/>
      </c>
      <c r="H1105" s="3">
        <f>IF('ORDENES'!$A1083="","",IF('ORDENES'!$AN1083="","-",'ORDENES'!$AN1083))</f>
        <v/>
      </c>
      <c r="I1105" s="3">
        <f>IF('ORDENES'!$A1083="","",IF('ORDENES'!$D1083="","-",'ORDENES'!$D1083))</f>
        <v/>
      </c>
      <c r="J1105" s="3">
        <f>IF('ORDENES'!$A1083="","",IF('ORDENES'!$E1083="","-",'ORDENES'!$E1083))</f>
        <v/>
      </c>
      <c r="K1105" s="12">
        <f>IF('ORDENES'!$A1083="","",IF('ORDENES'!$M1083="",0,'ORDENES'!$M1083))</f>
        <v/>
      </c>
      <c r="L1105" s="3">
        <f>IF('ORDENES'!$A1083="","",IF('ORDENES'!$N1083="","-",'ORDENES'!$N1083))</f>
        <v/>
      </c>
      <c r="M1105" s="3">
        <f>IF('ORDENES'!$A1083="","",'ORDENES'!$AA1083)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IF('ORDENES'!$A1084="","",IF('ORDENES'!$AC1084="","-",'ORDENES'!$AC1084))</f>
        <v/>
      </c>
      <c r="D1106" s="3">
        <f>IF('ORDENES'!$A1084="","",IF('ORDENES'!$V1084="","-",'ORDENES'!$V1084))</f>
        <v/>
      </c>
      <c r="E1106" s="3">
        <f>IF('ORDENES'!$A1084="","",IF('ORDENES'!$U1084="","-",'ORDENES'!$U1084))</f>
        <v/>
      </c>
      <c r="F1106" s="3">
        <f>IF('ORDENES'!$A1084="","",IF('ORDENES'!$W1084="","-",'ORDENES'!$W1084))</f>
        <v/>
      </c>
      <c r="G1106" s="3">
        <f>IF('ORDENES'!$A1084="","",IF('ORDENES'!$AB1084="","-",'ORDENES'!$AB1084))</f>
        <v/>
      </c>
      <c r="H1106" s="3">
        <f>IF('ORDENES'!$A1084="","",IF('ORDENES'!$AN1084="","-",'ORDENES'!$AN1084))</f>
        <v/>
      </c>
      <c r="I1106" s="3">
        <f>IF('ORDENES'!$A1084="","",IF('ORDENES'!$D1084="","-",'ORDENES'!$D1084))</f>
        <v/>
      </c>
      <c r="J1106" s="3">
        <f>IF('ORDENES'!$A1084="","",IF('ORDENES'!$E1084="","-",'ORDENES'!$E1084))</f>
        <v/>
      </c>
      <c r="K1106" s="12">
        <f>IF('ORDENES'!$A1084="","",IF('ORDENES'!$M1084="",0,'ORDENES'!$M1084))</f>
        <v/>
      </c>
      <c r="L1106" s="3">
        <f>IF('ORDENES'!$A1084="","",IF('ORDENES'!$N1084="","-",'ORDENES'!$N1084))</f>
        <v/>
      </c>
      <c r="M1106" s="3">
        <f>IF('ORDENES'!$A1084="","",'ORDENES'!$AA1084)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IF('ORDENES'!$A1085="","",IF('ORDENES'!$AC1085="","-",'ORDENES'!$AC1085))</f>
        <v/>
      </c>
      <c r="D1107" s="3">
        <f>IF('ORDENES'!$A1085="","",IF('ORDENES'!$V1085="","-",'ORDENES'!$V1085))</f>
        <v/>
      </c>
      <c r="E1107" s="3">
        <f>IF('ORDENES'!$A1085="","",IF('ORDENES'!$U1085="","-",'ORDENES'!$U1085))</f>
        <v/>
      </c>
      <c r="F1107" s="3">
        <f>IF('ORDENES'!$A1085="","",IF('ORDENES'!$W1085="","-",'ORDENES'!$W1085))</f>
        <v/>
      </c>
      <c r="G1107" s="3">
        <f>IF('ORDENES'!$A1085="","",IF('ORDENES'!$AB1085="","-",'ORDENES'!$AB1085))</f>
        <v/>
      </c>
      <c r="H1107" s="3">
        <f>IF('ORDENES'!$A1085="","",IF('ORDENES'!$AN1085="","-",'ORDENES'!$AN1085))</f>
        <v/>
      </c>
      <c r="I1107" s="3">
        <f>IF('ORDENES'!$A1085="","",IF('ORDENES'!$D1085="","-",'ORDENES'!$D1085))</f>
        <v/>
      </c>
      <c r="J1107" s="3">
        <f>IF('ORDENES'!$A1085="","",IF('ORDENES'!$E1085="","-",'ORDENES'!$E1085))</f>
        <v/>
      </c>
      <c r="K1107" s="12">
        <f>IF('ORDENES'!$A1085="","",IF('ORDENES'!$M1085="",0,'ORDENES'!$M1085))</f>
        <v/>
      </c>
      <c r="L1107" s="3">
        <f>IF('ORDENES'!$A1085="","",IF('ORDENES'!$N1085="","-",'ORDENES'!$N1085))</f>
        <v/>
      </c>
      <c r="M1107" s="3">
        <f>IF('ORDENES'!$A1085="","",'ORDENES'!$AA1085)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IF('ORDENES'!$A1086="","",IF('ORDENES'!$AC1086="","-",'ORDENES'!$AC1086))</f>
        <v/>
      </c>
      <c r="D1108" s="3">
        <f>IF('ORDENES'!$A1086="","",IF('ORDENES'!$V1086="","-",'ORDENES'!$V1086))</f>
        <v/>
      </c>
      <c r="E1108" s="3">
        <f>IF('ORDENES'!$A1086="","",IF('ORDENES'!$U1086="","-",'ORDENES'!$U1086))</f>
        <v/>
      </c>
      <c r="F1108" s="3">
        <f>IF('ORDENES'!$A1086="","",IF('ORDENES'!$W1086="","-",'ORDENES'!$W1086))</f>
        <v/>
      </c>
      <c r="G1108" s="3">
        <f>IF('ORDENES'!$A1086="","",IF('ORDENES'!$AB1086="","-",'ORDENES'!$AB1086))</f>
        <v/>
      </c>
      <c r="H1108" s="3">
        <f>IF('ORDENES'!$A1086="","",IF('ORDENES'!$AN1086="","-",'ORDENES'!$AN1086))</f>
        <v/>
      </c>
      <c r="I1108" s="3">
        <f>IF('ORDENES'!$A1086="","",IF('ORDENES'!$D1086="","-",'ORDENES'!$D1086))</f>
        <v/>
      </c>
      <c r="J1108" s="3">
        <f>IF('ORDENES'!$A1086="","",IF('ORDENES'!$E1086="","-",'ORDENES'!$E1086))</f>
        <v/>
      </c>
      <c r="K1108" s="12">
        <f>IF('ORDENES'!$A1086="","",IF('ORDENES'!$M1086="",0,'ORDENES'!$M1086))</f>
        <v/>
      </c>
      <c r="L1108" s="3">
        <f>IF('ORDENES'!$A1086="","",IF('ORDENES'!$N1086="","-",'ORDENES'!$N1086))</f>
        <v/>
      </c>
      <c r="M1108" s="3">
        <f>IF('ORDENES'!$A1086="","",'ORDENES'!$AA1086)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IF('ORDENES'!$A1087="","",IF('ORDENES'!$AC1087="","-",'ORDENES'!$AC1087))</f>
        <v/>
      </c>
      <c r="D1109" s="3">
        <f>IF('ORDENES'!$A1087="","",IF('ORDENES'!$V1087="","-",'ORDENES'!$V1087))</f>
        <v/>
      </c>
      <c r="E1109" s="3">
        <f>IF('ORDENES'!$A1087="","",IF('ORDENES'!$U1087="","-",'ORDENES'!$U1087))</f>
        <v/>
      </c>
      <c r="F1109" s="3">
        <f>IF('ORDENES'!$A1087="","",IF('ORDENES'!$W1087="","-",'ORDENES'!$W1087))</f>
        <v/>
      </c>
      <c r="G1109" s="3">
        <f>IF('ORDENES'!$A1087="","",IF('ORDENES'!$AB1087="","-",'ORDENES'!$AB1087))</f>
        <v/>
      </c>
      <c r="H1109" s="3">
        <f>IF('ORDENES'!$A1087="","",IF('ORDENES'!$AN1087="","-",'ORDENES'!$AN1087))</f>
        <v/>
      </c>
      <c r="I1109" s="3">
        <f>IF('ORDENES'!$A1087="","",IF('ORDENES'!$D1087="","-",'ORDENES'!$D1087))</f>
        <v/>
      </c>
      <c r="J1109" s="3">
        <f>IF('ORDENES'!$A1087="","",IF('ORDENES'!$E1087="","-",'ORDENES'!$E1087))</f>
        <v/>
      </c>
      <c r="K1109" s="12">
        <f>IF('ORDENES'!$A1087="","",IF('ORDENES'!$M1087="",0,'ORDENES'!$M1087))</f>
        <v/>
      </c>
      <c r="L1109" s="3">
        <f>IF('ORDENES'!$A1087="","",IF('ORDENES'!$N1087="","-",'ORDENES'!$N1087))</f>
        <v/>
      </c>
      <c r="M1109" s="3">
        <f>IF('ORDENES'!$A1087="","",'ORDENES'!$AA1087)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IF('ORDENES'!$A1088="","",IF('ORDENES'!$AC1088="","-",'ORDENES'!$AC1088))</f>
        <v/>
      </c>
      <c r="D1110" s="3">
        <f>IF('ORDENES'!$A1088="","",IF('ORDENES'!$V1088="","-",'ORDENES'!$V1088))</f>
        <v/>
      </c>
      <c r="E1110" s="3">
        <f>IF('ORDENES'!$A1088="","",IF('ORDENES'!$U1088="","-",'ORDENES'!$U1088))</f>
        <v/>
      </c>
      <c r="F1110" s="3">
        <f>IF('ORDENES'!$A1088="","",IF('ORDENES'!$W1088="","-",'ORDENES'!$W1088))</f>
        <v/>
      </c>
      <c r="G1110" s="3">
        <f>IF('ORDENES'!$A1088="","",IF('ORDENES'!$AB1088="","-",'ORDENES'!$AB1088))</f>
        <v/>
      </c>
      <c r="H1110" s="3">
        <f>IF('ORDENES'!$A1088="","",IF('ORDENES'!$AN1088="","-",'ORDENES'!$AN1088))</f>
        <v/>
      </c>
      <c r="I1110" s="3">
        <f>IF('ORDENES'!$A1088="","",IF('ORDENES'!$D1088="","-",'ORDENES'!$D1088))</f>
        <v/>
      </c>
      <c r="J1110" s="3">
        <f>IF('ORDENES'!$A1088="","",IF('ORDENES'!$E1088="","-",'ORDENES'!$E1088))</f>
        <v/>
      </c>
      <c r="K1110" s="12">
        <f>IF('ORDENES'!$A1088="","",IF('ORDENES'!$M1088="",0,'ORDENES'!$M1088))</f>
        <v/>
      </c>
      <c r="L1110" s="3">
        <f>IF('ORDENES'!$A1088="","",IF('ORDENES'!$N1088="","-",'ORDENES'!$N1088))</f>
        <v/>
      </c>
      <c r="M1110" s="3">
        <f>IF('ORDENES'!$A1088="","",'ORDENES'!$AA1088)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IF('ORDENES'!$A1089="","",IF('ORDENES'!$AC1089="","-",'ORDENES'!$AC1089))</f>
        <v/>
      </c>
      <c r="D1111" s="3">
        <f>IF('ORDENES'!$A1089="","",IF('ORDENES'!$V1089="","-",'ORDENES'!$V1089))</f>
        <v/>
      </c>
      <c r="E1111" s="3">
        <f>IF('ORDENES'!$A1089="","",IF('ORDENES'!$U1089="","-",'ORDENES'!$U1089))</f>
        <v/>
      </c>
      <c r="F1111" s="3">
        <f>IF('ORDENES'!$A1089="","",IF('ORDENES'!$W1089="","-",'ORDENES'!$W1089))</f>
        <v/>
      </c>
      <c r="G1111" s="3">
        <f>IF('ORDENES'!$A1089="","",IF('ORDENES'!$AB1089="","-",'ORDENES'!$AB1089))</f>
        <v/>
      </c>
      <c r="H1111" s="3">
        <f>IF('ORDENES'!$A1089="","",IF('ORDENES'!$AN1089="","-",'ORDENES'!$AN1089))</f>
        <v/>
      </c>
      <c r="I1111" s="3">
        <f>IF('ORDENES'!$A1089="","",IF('ORDENES'!$D1089="","-",'ORDENES'!$D1089))</f>
        <v/>
      </c>
      <c r="J1111" s="3">
        <f>IF('ORDENES'!$A1089="","",IF('ORDENES'!$E1089="","-",'ORDENES'!$E1089))</f>
        <v/>
      </c>
      <c r="K1111" s="12">
        <f>IF('ORDENES'!$A1089="","",IF('ORDENES'!$M1089="",0,'ORDENES'!$M1089))</f>
        <v/>
      </c>
      <c r="L1111" s="3">
        <f>IF('ORDENES'!$A1089="","",IF('ORDENES'!$N1089="","-",'ORDENES'!$N1089))</f>
        <v/>
      </c>
      <c r="M1111" s="3">
        <f>IF('ORDENES'!$A1089="","",'ORDENES'!$AA1089)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IF('ORDENES'!$A1090="","",IF('ORDENES'!$AC1090="","-",'ORDENES'!$AC1090))</f>
        <v/>
      </c>
      <c r="D1112" s="3">
        <f>IF('ORDENES'!$A1090="","",IF('ORDENES'!$V1090="","-",'ORDENES'!$V1090))</f>
        <v/>
      </c>
      <c r="E1112" s="3">
        <f>IF('ORDENES'!$A1090="","",IF('ORDENES'!$U1090="","-",'ORDENES'!$U1090))</f>
        <v/>
      </c>
      <c r="F1112" s="3">
        <f>IF('ORDENES'!$A1090="","",IF('ORDENES'!$W1090="","-",'ORDENES'!$W1090))</f>
        <v/>
      </c>
      <c r="G1112" s="3">
        <f>IF('ORDENES'!$A1090="","",IF('ORDENES'!$AB1090="","-",'ORDENES'!$AB1090))</f>
        <v/>
      </c>
      <c r="H1112" s="3">
        <f>IF('ORDENES'!$A1090="","",IF('ORDENES'!$AN1090="","-",'ORDENES'!$AN1090))</f>
        <v/>
      </c>
      <c r="I1112" s="3">
        <f>IF('ORDENES'!$A1090="","",IF('ORDENES'!$D1090="","-",'ORDENES'!$D1090))</f>
        <v/>
      </c>
      <c r="J1112" s="3">
        <f>IF('ORDENES'!$A1090="","",IF('ORDENES'!$E1090="","-",'ORDENES'!$E1090))</f>
        <v/>
      </c>
      <c r="K1112" s="12">
        <f>IF('ORDENES'!$A1090="","",IF('ORDENES'!$M1090="",0,'ORDENES'!$M1090))</f>
        <v/>
      </c>
      <c r="L1112" s="3">
        <f>IF('ORDENES'!$A1090="","",IF('ORDENES'!$N1090="","-",'ORDENES'!$N1090))</f>
        <v/>
      </c>
      <c r="M1112" s="3">
        <f>IF('ORDENES'!$A1090="","",'ORDENES'!$AA1090)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IF('ORDENES'!$A1091="","",IF('ORDENES'!$AC1091="","-",'ORDENES'!$AC1091))</f>
        <v/>
      </c>
      <c r="D1113" s="3">
        <f>IF('ORDENES'!$A1091="","",IF('ORDENES'!$V1091="","-",'ORDENES'!$V1091))</f>
        <v/>
      </c>
      <c r="E1113" s="3">
        <f>IF('ORDENES'!$A1091="","",IF('ORDENES'!$U1091="","-",'ORDENES'!$U1091))</f>
        <v/>
      </c>
      <c r="F1113" s="3">
        <f>IF('ORDENES'!$A1091="","",IF('ORDENES'!$W1091="","-",'ORDENES'!$W1091))</f>
        <v/>
      </c>
      <c r="G1113" s="3">
        <f>IF('ORDENES'!$A1091="","",IF('ORDENES'!$AB1091="","-",'ORDENES'!$AB1091))</f>
        <v/>
      </c>
      <c r="H1113" s="3">
        <f>IF('ORDENES'!$A1091="","",IF('ORDENES'!$AN1091="","-",'ORDENES'!$AN1091))</f>
        <v/>
      </c>
      <c r="I1113" s="3">
        <f>IF('ORDENES'!$A1091="","",IF('ORDENES'!$D1091="","-",'ORDENES'!$D1091))</f>
        <v/>
      </c>
      <c r="J1113" s="3">
        <f>IF('ORDENES'!$A1091="","",IF('ORDENES'!$E1091="","-",'ORDENES'!$E1091))</f>
        <v/>
      </c>
      <c r="K1113" s="12">
        <f>IF('ORDENES'!$A1091="","",IF('ORDENES'!$M1091="",0,'ORDENES'!$M1091))</f>
        <v/>
      </c>
      <c r="L1113" s="3">
        <f>IF('ORDENES'!$A1091="","",IF('ORDENES'!$N1091="","-",'ORDENES'!$N1091))</f>
        <v/>
      </c>
      <c r="M1113" s="3">
        <f>IF('ORDENES'!$A1091="","",'ORDENES'!$AA1091)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IF('ORDENES'!$A1092="","",IF('ORDENES'!$AC1092="","-",'ORDENES'!$AC1092))</f>
        <v/>
      </c>
      <c r="D1114" s="3">
        <f>IF('ORDENES'!$A1092="","",IF('ORDENES'!$V1092="","-",'ORDENES'!$V1092))</f>
        <v/>
      </c>
      <c r="E1114" s="3">
        <f>IF('ORDENES'!$A1092="","",IF('ORDENES'!$U1092="","-",'ORDENES'!$U1092))</f>
        <v/>
      </c>
      <c r="F1114" s="3">
        <f>IF('ORDENES'!$A1092="","",IF('ORDENES'!$W1092="","-",'ORDENES'!$W1092))</f>
        <v/>
      </c>
      <c r="G1114" s="3">
        <f>IF('ORDENES'!$A1092="","",IF('ORDENES'!$AB1092="","-",'ORDENES'!$AB1092))</f>
        <v/>
      </c>
      <c r="H1114" s="3">
        <f>IF('ORDENES'!$A1092="","",IF('ORDENES'!$AN1092="","-",'ORDENES'!$AN1092))</f>
        <v/>
      </c>
      <c r="I1114" s="3">
        <f>IF('ORDENES'!$A1092="","",IF('ORDENES'!$D1092="","-",'ORDENES'!$D1092))</f>
        <v/>
      </c>
      <c r="J1114" s="3">
        <f>IF('ORDENES'!$A1092="","",IF('ORDENES'!$E1092="","-",'ORDENES'!$E1092))</f>
        <v/>
      </c>
      <c r="K1114" s="12">
        <f>IF('ORDENES'!$A1092="","",IF('ORDENES'!$M1092="",0,'ORDENES'!$M1092))</f>
        <v/>
      </c>
      <c r="L1114" s="3">
        <f>IF('ORDENES'!$A1092="","",IF('ORDENES'!$N1092="","-",'ORDENES'!$N1092))</f>
        <v/>
      </c>
      <c r="M1114" s="3">
        <f>IF('ORDENES'!$A1092="","",'ORDENES'!$AA1092)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IF('ORDENES'!$A1093="","",IF('ORDENES'!$AC1093="","-",'ORDENES'!$AC1093))</f>
        <v/>
      </c>
      <c r="D1115" s="3">
        <f>IF('ORDENES'!$A1093="","",IF('ORDENES'!$V1093="","-",'ORDENES'!$V1093))</f>
        <v/>
      </c>
      <c r="E1115" s="3">
        <f>IF('ORDENES'!$A1093="","",IF('ORDENES'!$U1093="","-",'ORDENES'!$U1093))</f>
        <v/>
      </c>
      <c r="F1115" s="3">
        <f>IF('ORDENES'!$A1093="","",IF('ORDENES'!$W1093="","-",'ORDENES'!$W1093))</f>
        <v/>
      </c>
      <c r="G1115" s="3">
        <f>IF('ORDENES'!$A1093="","",IF('ORDENES'!$AB1093="","-",'ORDENES'!$AB1093))</f>
        <v/>
      </c>
      <c r="H1115" s="3">
        <f>IF('ORDENES'!$A1093="","",IF('ORDENES'!$AN1093="","-",'ORDENES'!$AN1093))</f>
        <v/>
      </c>
      <c r="I1115" s="3">
        <f>IF('ORDENES'!$A1093="","",IF('ORDENES'!$D1093="","-",'ORDENES'!$D1093))</f>
        <v/>
      </c>
      <c r="J1115" s="3">
        <f>IF('ORDENES'!$A1093="","",IF('ORDENES'!$E1093="","-",'ORDENES'!$E1093))</f>
        <v/>
      </c>
      <c r="K1115" s="12">
        <f>IF('ORDENES'!$A1093="","",IF('ORDENES'!$M1093="",0,'ORDENES'!$M1093))</f>
        <v/>
      </c>
      <c r="L1115" s="3">
        <f>IF('ORDENES'!$A1093="","",IF('ORDENES'!$N1093="","-",'ORDENES'!$N1093))</f>
        <v/>
      </c>
      <c r="M1115" s="3">
        <f>IF('ORDENES'!$A1093="","",'ORDENES'!$AA1093)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IF('ORDENES'!$A1094="","",IF('ORDENES'!$AC1094="","-",'ORDENES'!$AC1094))</f>
        <v/>
      </c>
      <c r="D1116" s="3">
        <f>IF('ORDENES'!$A1094="","",IF('ORDENES'!$V1094="","-",'ORDENES'!$V1094))</f>
        <v/>
      </c>
      <c r="E1116" s="3">
        <f>IF('ORDENES'!$A1094="","",IF('ORDENES'!$U1094="","-",'ORDENES'!$U1094))</f>
        <v/>
      </c>
      <c r="F1116" s="3">
        <f>IF('ORDENES'!$A1094="","",IF('ORDENES'!$W1094="","-",'ORDENES'!$W1094))</f>
        <v/>
      </c>
      <c r="G1116" s="3">
        <f>IF('ORDENES'!$A1094="","",IF('ORDENES'!$AB1094="","-",'ORDENES'!$AB1094))</f>
        <v/>
      </c>
      <c r="H1116" s="3">
        <f>IF('ORDENES'!$A1094="","",IF('ORDENES'!$AN1094="","-",'ORDENES'!$AN1094))</f>
        <v/>
      </c>
      <c r="I1116" s="3">
        <f>IF('ORDENES'!$A1094="","",IF('ORDENES'!$D1094="","-",'ORDENES'!$D1094))</f>
        <v/>
      </c>
      <c r="J1116" s="3">
        <f>IF('ORDENES'!$A1094="","",IF('ORDENES'!$E1094="","-",'ORDENES'!$E1094))</f>
        <v/>
      </c>
      <c r="K1116" s="12">
        <f>IF('ORDENES'!$A1094="","",IF('ORDENES'!$M1094="",0,'ORDENES'!$M1094))</f>
        <v/>
      </c>
      <c r="L1116" s="3">
        <f>IF('ORDENES'!$A1094="","",IF('ORDENES'!$N1094="","-",'ORDENES'!$N1094))</f>
        <v/>
      </c>
      <c r="M1116" s="3">
        <f>IF('ORDENES'!$A1094="","",'ORDENES'!$AA1094)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IF('ORDENES'!$A1095="","",IF('ORDENES'!$AC1095="","-",'ORDENES'!$AC1095))</f>
        <v/>
      </c>
      <c r="D1117" s="3">
        <f>IF('ORDENES'!$A1095="","",IF('ORDENES'!$V1095="","-",'ORDENES'!$V1095))</f>
        <v/>
      </c>
      <c r="E1117" s="3">
        <f>IF('ORDENES'!$A1095="","",IF('ORDENES'!$U1095="","-",'ORDENES'!$U1095))</f>
        <v/>
      </c>
      <c r="F1117" s="3">
        <f>IF('ORDENES'!$A1095="","",IF('ORDENES'!$W1095="","-",'ORDENES'!$W1095))</f>
        <v/>
      </c>
      <c r="G1117" s="3">
        <f>IF('ORDENES'!$A1095="","",IF('ORDENES'!$AB1095="","-",'ORDENES'!$AB1095))</f>
        <v/>
      </c>
      <c r="H1117" s="3">
        <f>IF('ORDENES'!$A1095="","",IF('ORDENES'!$AN1095="","-",'ORDENES'!$AN1095))</f>
        <v/>
      </c>
      <c r="I1117" s="3">
        <f>IF('ORDENES'!$A1095="","",IF('ORDENES'!$D1095="","-",'ORDENES'!$D1095))</f>
        <v/>
      </c>
      <c r="J1117" s="3">
        <f>IF('ORDENES'!$A1095="","",IF('ORDENES'!$E1095="","-",'ORDENES'!$E1095))</f>
        <v/>
      </c>
      <c r="K1117" s="12">
        <f>IF('ORDENES'!$A1095="","",IF('ORDENES'!$M1095="",0,'ORDENES'!$M1095))</f>
        <v/>
      </c>
      <c r="L1117" s="3">
        <f>IF('ORDENES'!$A1095="","",IF('ORDENES'!$N1095="","-",'ORDENES'!$N1095))</f>
        <v/>
      </c>
      <c r="M1117" s="3">
        <f>IF('ORDENES'!$A1095="","",'ORDENES'!$AA1095)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IF('ORDENES'!$A1096="","",IF('ORDENES'!$AC1096="","-",'ORDENES'!$AC1096))</f>
        <v/>
      </c>
      <c r="D1118" s="3">
        <f>IF('ORDENES'!$A1096="","",IF('ORDENES'!$V1096="","-",'ORDENES'!$V1096))</f>
        <v/>
      </c>
      <c r="E1118" s="3">
        <f>IF('ORDENES'!$A1096="","",IF('ORDENES'!$U1096="","-",'ORDENES'!$U1096))</f>
        <v/>
      </c>
      <c r="F1118" s="3">
        <f>IF('ORDENES'!$A1096="","",IF('ORDENES'!$W1096="","-",'ORDENES'!$W1096))</f>
        <v/>
      </c>
      <c r="G1118" s="3">
        <f>IF('ORDENES'!$A1096="","",IF('ORDENES'!$AB1096="","-",'ORDENES'!$AB1096))</f>
        <v/>
      </c>
      <c r="H1118" s="3">
        <f>IF('ORDENES'!$A1096="","",IF('ORDENES'!$AN1096="","-",'ORDENES'!$AN1096))</f>
        <v/>
      </c>
      <c r="I1118" s="3">
        <f>IF('ORDENES'!$A1096="","",IF('ORDENES'!$D1096="","-",'ORDENES'!$D1096))</f>
        <v/>
      </c>
      <c r="J1118" s="3">
        <f>IF('ORDENES'!$A1096="","",IF('ORDENES'!$E1096="","-",'ORDENES'!$E1096))</f>
        <v/>
      </c>
      <c r="K1118" s="12">
        <f>IF('ORDENES'!$A1096="","",IF('ORDENES'!$M1096="",0,'ORDENES'!$M1096))</f>
        <v/>
      </c>
      <c r="L1118" s="3">
        <f>IF('ORDENES'!$A1096="","",IF('ORDENES'!$N1096="","-",'ORDENES'!$N1096))</f>
        <v/>
      </c>
      <c r="M1118" s="3">
        <f>IF('ORDENES'!$A1096="","",'ORDENES'!$AA1096)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IF('ORDENES'!$A1097="","",IF('ORDENES'!$AC1097="","-",'ORDENES'!$AC1097))</f>
        <v/>
      </c>
      <c r="D1119" s="3">
        <f>IF('ORDENES'!$A1097="","",IF('ORDENES'!$V1097="","-",'ORDENES'!$V1097))</f>
        <v/>
      </c>
      <c r="E1119" s="3">
        <f>IF('ORDENES'!$A1097="","",IF('ORDENES'!$U1097="","-",'ORDENES'!$U1097))</f>
        <v/>
      </c>
      <c r="F1119" s="3">
        <f>IF('ORDENES'!$A1097="","",IF('ORDENES'!$W1097="","-",'ORDENES'!$W1097))</f>
        <v/>
      </c>
      <c r="G1119" s="3">
        <f>IF('ORDENES'!$A1097="","",IF('ORDENES'!$AB1097="","-",'ORDENES'!$AB1097))</f>
        <v/>
      </c>
      <c r="H1119" s="3">
        <f>IF('ORDENES'!$A1097="","",IF('ORDENES'!$AN1097="","-",'ORDENES'!$AN1097))</f>
        <v/>
      </c>
      <c r="I1119" s="3">
        <f>IF('ORDENES'!$A1097="","",IF('ORDENES'!$D1097="","-",'ORDENES'!$D1097))</f>
        <v/>
      </c>
      <c r="J1119" s="3">
        <f>IF('ORDENES'!$A1097="","",IF('ORDENES'!$E1097="","-",'ORDENES'!$E1097))</f>
        <v/>
      </c>
      <c r="K1119" s="12">
        <f>IF('ORDENES'!$A1097="","",IF('ORDENES'!$M1097="",0,'ORDENES'!$M1097))</f>
        <v/>
      </c>
      <c r="L1119" s="3">
        <f>IF('ORDENES'!$A1097="","",IF('ORDENES'!$N1097="","-",'ORDENES'!$N1097))</f>
        <v/>
      </c>
      <c r="M1119" s="3">
        <f>IF('ORDENES'!$A1097="","",'ORDENES'!$AA1097)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IF('ORDENES'!$A1098="","",IF('ORDENES'!$AC1098="","-",'ORDENES'!$AC1098))</f>
        <v/>
      </c>
      <c r="D1120" s="3">
        <f>IF('ORDENES'!$A1098="","",IF('ORDENES'!$V1098="","-",'ORDENES'!$V1098))</f>
        <v/>
      </c>
      <c r="E1120" s="3">
        <f>IF('ORDENES'!$A1098="","",IF('ORDENES'!$U1098="","-",'ORDENES'!$U1098))</f>
        <v/>
      </c>
      <c r="F1120" s="3">
        <f>IF('ORDENES'!$A1098="","",IF('ORDENES'!$W1098="","-",'ORDENES'!$W1098))</f>
        <v/>
      </c>
      <c r="G1120" s="3">
        <f>IF('ORDENES'!$A1098="","",IF('ORDENES'!$AB1098="","-",'ORDENES'!$AB1098))</f>
        <v/>
      </c>
      <c r="H1120" s="3">
        <f>IF('ORDENES'!$A1098="","",IF('ORDENES'!$AN1098="","-",'ORDENES'!$AN1098))</f>
        <v/>
      </c>
      <c r="I1120" s="3">
        <f>IF('ORDENES'!$A1098="","",IF('ORDENES'!$D1098="","-",'ORDENES'!$D1098))</f>
        <v/>
      </c>
      <c r="J1120" s="3">
        <f>IF('ORDENES'!$A1098="","",IF('ORDENES'!$E1098="","-",'ORDENES'!$E1098))</f>
        <v/>
      </c>
      <c r="K1120" s="12">
        <f>IF('ORDENES'!$A1098="","",IF('ORDENES'!$M1098="",0,'ORDENES'!$M1098))</f>
        <v/>
      </c>
      <c r="L1120" s="3">
        <f>IF('ORDENES'!$A1098="","",IF('ORDENES'!$N1098="","-",'ORDENES'!$N1098))</f>
        <v/>
      </c>
      <c r="M1120" s="3">
        <f>IF('ORDENES'!$A1098="","",'ORDENES'!$AA1098)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IF('ORDENES'!$A1099="","",IF('ORDENES'!$AC1099="","-",'ORDENES'!$AC1099))</f>
        <v/>
      </c>
      <c r="D1121" s="3">
        <f>IF('ORDENES'!$A1099="","",IF('ORDENES'!$V1099="","-",'ORDENES'!$V1099))</f>
        <v/>
      </c>
      <c r="E1121" s="3">
        <f>IF('ORDENES'!$A1099="","",IF('ORDENES'!$U1099="","-",'ORDENES'!$U1099))</f>
        <v/>
      </c>
      <c r="F1121" s="3">
        <f>IF('ORDENES'!$A1099="","",IF('ORDENES'!$W1099="","-",'ORDENES'!$W1099))</f>
        <v/>
      </c>
      <c r="G1121" s="3">
        <f>IF('ORDENES'!$A1099="","",IF('ORDENES'!$AB1099="","-",'ORDENES'!$AB1099))</f>
        <v/>
      </c>
      <c r="H1121" s="3">
        <f>IF('ORDENES'!$A1099="","",IF('ORDENES'!$AN1099="","-",'ORDENES'!$AN1099))</f>
        <v/>
      </c>
      <c r="I1121" s="3">
        <f>IF('ORDENES'!$A1099="","",IF('ORDENES'!$D1099="","-",'ORDENES'!$D1099))</f>
        <v/>
      </c>
      <c r="J1121" s="3">
        <f>IF('ORDENES'!$A1099="","",IF('ORDENES'!$E1099="","-",'ORDENES'!$E1099))</f>
        <v/>
      </c>
      <c r="K1121" s="12">
        <f>IF('ORDENES'!$A1099="","",IF('ORDENES'!$M1099="",0,'ORDENES'!$M1099))</f>
        <v/>
      </c>
      <c r="L1121" s="3">
        <f>IF('ORDENES'!$A1099="","",IF('ORDENES'!$N1099="","-",'ORDENES'!$N1099))</f>
        <v/>
      </c>
      <c r="M1121" s="3">
        <f>IF('ORDENES'!$A1099="","",'ORDENES'!$AA1099)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IF('ORDENES'!$A1100="","",IF('ORDENES'!$AC1100="","-",'ORDENES'!$AC1100))</f>
        <v/>
      </c>
      <c r="D1122" s="3">
        <f>IF('ORDENES'!$A1100="","",IF('ORDENES'!$V1100="","-",'ORDENES'!$V1100))</f>
        <v/>
      </c>
      <c r="E1122" s="3">
        <f>IF('ORDENES'!$A1100="","",IF('ORDENES'!$U1100="","-",'ORDENES'!$U1100))</f>
        <v/>
      </c>
      <c r="F1122" s="3">
        <f>IF('ORDENES'!$A1100="","",IF('ORDENES'!$W1100="","-",'ORDENES'!$W1100))</f>
        <v/>
      </c>
      <c r="G1122" s="3">
        <f>IF('ORDENES'!$A1100="","",IF('ORDENES'!$AB1100="","-",'ORDENES'!$AB1100))</f>
        <v/>
      </c>
      <c r="H1122" s="3">
        <f>IF('ORDENES'!$A1100="","",IF('ORDENES'!$AN1100="","-",'ORDENES'!$AN1100))</f>
        <v/>
      </c>
      <c r="I1122" s="3">
        <f>IF('ORDENES'!$A1100="","",IF('ORDENES'!$D1100="","-",'ORDENES'!$D1100))</f>
        <v/>
      </c>
      <c r="J1122" s="3">
        <f>IF('ORDENES'!$A1100="","",IF('ORDENES'!$E1100="","-",'ORDENES'!$E1100))</f>
        <v/>
      </c>
      <c r="K1122" s="12">
        <f>IF('ORDENES'!$A1100="","",IF('ORDENES'!$M1100="",0,'ORDENES'!$M1100))</f>
        <v/>
      </c>
      <c r="L1122" s="3">
        <f>IF('ORDENES'!$A1100="","",IF('ORDENES'!$N1100="","-",'ORDENES'!$N1100))</f>
        <v/>
      </c>
      <c r="M1122" s="3">
        <f>IF('ORDENES'!$A1100="","",'ORDENES'!$AA1100)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IF('ORDENES'!$A1101="","",IF('ORDENES'!$AC1101="","-",'ORDENES'!$AC1101))</f>
        <v/>
      </c>
      <c r="D1123" s="3">
        <f>IF('ORDENES'!$A1101="","",IF('ORDENES'!$V1101="","-",'ORDENES'!$V1101))</f>
        <v/>
      </c>
      <c r="E1123" s="3">
        <f>IF('ORDENES'!$A1101="","",IF('ORDENES'!$U1101="","-",'ORDENES'!$U1101))</f>
        <v/>
      </c>
      <c r="F1123" s="3">
        <f>IF('ORDENES'!$A1101="","",IF('ORDENES'!$W1101="","-",'ORDENES'!$W1101))</f>
        <v/>
      </c>
      <c r="G1123" s="3">
        <f>IF('ORDENES'!$A1101="","",IF('ORDENES'!$AB1101="","-",'ORDENES'!$AB1101))</f>
        <v/>
      </c>
      <c r="H1123" s="3">
        <f>IF('ORDENES'!$A1101="","",IF('ORDENES'!$AN1101="","-",'ORDENES'!$AN1101))</f>
        <v/>
      </c>
      <c r="I1123" s="3">
        <f>IF('ORDENES'!$A1101="","",IF('ORDENES'!$D1101="","-",'ORDENES'!$D1101))</f>
        <v/>
      </c>
      <c r="J1123" s="3">
        <f>IF('ORDENES'!$A1101="","",IF('ORDENES'!$E1101="","-",'ORDENES'!$E1101))</f>
        <v/>
      </c>
      <c r="K1123" s="12">
        <f>IF('ORDENES'!$A1101="","",IF('ORDENES'!$M1101="",0,'ORDENES'!$M1101))</f>
        <v/>
      </c>
      <c r="L1123" s="3">
        <f>IF('ORDENES'!$A1101="","",IF('ORDENES'!$N1101="","-",'ORDENES'!$N1101))</f>
        <v/>
      </c>
      <c r="M1123" s="3">
        <f>IF('ORDENES'!$A1101="","",'ORDENES'!$AA1101)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IF('ORDENES'!$A1102="","",IF('ORDENES'!$AC1102="","-",'ORDENES'!$AC1102))</f>
        <v/>
      </c>
      <c r="D1124" s="3">
        <f>IF('ORDENES'!$A1102="","",IF('ORDENES'!$V1102="","-",'ORDENES'!$V1102))</f>
        <v/>
      </c>
      <c r="E1124" s="3">
        <f>IF('ORDENES'!$A1102="","",IF('ORDENES'!$U1102="","-",'ORDENES'!$U1102))</f>
        <v/>
      </c>
      <c r="F1124" s="3">
        <f>IF('ORDENES'!$A1102="","",IF('ORDENES'!$W1102="","-",'ORDENES'!$W1102))</f>
        <v/>
      </c>
      <c r="G1124" s="3">
        <f>IF('ORDENES'!$A1102="","",IF('ORDENES'!$AB1102="","-",'ORDENES'!$AB1102))</f>
        <v/>
      </c>
      <c r="H1124" s="3">
        <f>IF('ORDENES'!$A1102="","",IF('ORDENES'!$AN1102="","-",'ORDENES'!$AN1102))</f>
        <v/>
      </c>
      <c r="I1124" s="3">
        <f>IF('ORDENES'!$A1102="","",IF('ORDENES'!$D1102="","-",'ORDENES'!$D1102))</f>
        <v/>
      </c>
      <c r="J1124" s="3">
        <f>IF('ORDENES'!$A1102="","",IF('ORDENES'!$E1102="","-",'ORDENES'!$E1102))</f>
        <v/>
      </c>
      <c r="K1124" s="12">
        <f>IF('ORDENES'!$A1102="","",IF('ORDENES'!$M1102="",0,'ORDENES'!$M1102))</f>
        <v/>
      </c>
      <c r="L1124" s="3">
        <f>IF('ORDENES'!$A1102="","",IF('ORDENES'!$N1102="","-",'ORDENES'!$N1102))</f>
        <v/>
      </c>
      <c r="M1124" s="3">
        <f>IF('ORDENES'!$A1102="","",'ORDENES'!$AA1102)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IF('ORDENES'!$A1103="","",IF('ORDENES'!$AC1103="","-",'ORDENES'!$AC1103))</f>
        <v/>
      </c>
      <c r="D1125" s="3">
        <f>IF('ORDENES'!$A1103="","",IF('ORDENES'!$V1103="","-",'ORDENES'!$V1103))</f>
        <v/>
      </c>
      <c r="E1125" s="3">
        <f>IF('ORDENES'!$A1103="","",IF('ORDENES'!$U1103="","-",'ORDENES'!$U1103))</f>
        <v/>
      </c>
      <c r="F1125" s="3">
        <f>IF('ORDENES'!$A1103="","",IF('ORDENES'!$W1103="","-",'ORDENES'!$W1103))</f>
        <v/>
      </c>
      <c r="G1125" s="3">
        <f>IF('ORDENES'!$A1103="","",IF('ORDENES'!$AB1103="","-",'ORDENES'!$AB1103))</f>
        <v/>
      </c>
      <c r="H1125" s="3">
        <f>IF('ORDENES'!$A1103="","",IF('ORDENES'!$AN1103="","-",'ORDENES'!$AN1103))</f>
        <v/>
      </c>
      <c r="I1125" s="3">
        <f>IF('ORDENES'!$A1103="","",IF('ORDENES'!$D1103="","-",'ORDENES'!$D1103))</f>
        <v/>
      </c>
      <c r="J1125" s="3">
        <f>IF('ORDENES'!$A1103="","",IF('ORDENES'!$E1103="","-",'ORDENES'!$E1103))</f>
        <v/>
      </c>
      <c r="K1125" s="12">
        <f>IF('ORDENES'!$A1103="","",IF('ORDENES'!$M1103="",0,'ORDENES'!$M1103))</f>
        <v/>
      </c>
      <c r="L1125" s="3">
        <f>IF('ORDENES'!$A1103="","",IF('ORDENES'!$N1103="","-",'ORDENES'!$N1103))</f>
        <v/>
      </c>
      <c r="M1125" s="3">
        <f>IF('ORDENES'!$A1103="","",'ORDENES'!$AA1103)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IF('ORDENES'!$A1104="","",IF('ORDENES'!$AC1104="","-",'ORDENES'!$AC1104))</f>
        <v/>
      </c>
      <c r="D1126" s="3">
        <f>IF('ORDENES'!$A1104="","",IF('ORDENES'!$V1104="","-",'ORDENES'!$V1104))</f>
        <v/>
      </c>
      <c r="E1126" s="3">
        <f>IF('ORDENES'!$A1104="","",IF('ORDENES'!$U1104="","-",'ORDENES'!$U1104))</f>
        <v/>
      </c>
      <c r="F1126" s="3">
        <f>IF('ORDENES'!$A1104="","",IF('ORDENES'!$W1104="","-",'ORDENES'!$W1104))</f>
        <v/>
      </c>
      <c r="G1126" s="3">
        <f>IF('ORDENES'!$A1104="","",IF('ORDENES'!$AB1104="","-",'ORDENES'!$AB1104))</f>
        <v/>
      </c>
      <c r="H1126" s="3">
        <f>IF('ORDENES'!$A1104="","",IF('ORDENES'!$AN1104="","-",'ORDENES'!$AN1104))</f>
        <v/>
      </c>
      <c r="I1126" s="3">
        <f>IF('ORDENES'!$A1104="","",IF('ORDENES'!$D1104="","-",'ORDENES'!$D1104))</f>
        <v/>
      </c>
      <c r="J1126" s="3">
        <f>IF('ORDENES'!$A1104="","",IF('ORDENES'!$E1104="","-",'ORDENES'!$E1104))</f>
        <v/>
      </c>
      <c r="K1126" s="12">
        <f>IF('ORDENES'!$A1104="","",IF('ORDENES'!$M1104="",0,'ORDENES'!$M1104))</f>
        <v/>
      </c>
      <c r="L1126" s="3">
        <f>IF('ORDENES'!$A1104="","",IF('ORDENES'!$N1104="","-",'ORDENES'!$N1104))</f>
        <v/>
      </c>
      <c r="M1126" s="3">
        <f>IF('ORDENES'!$A1104="","",'ORDENES'!$AA1104)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IF('ORDENES'!$A1105="","",IF('ORDENES'!$AC1105="","-",'ORDENES'!$AC1105))</f>
        <v/>
      </c>
      <c r="D1127" s="3">
        <f>IF('ORDENES'!$A1105="","",IF('ORDENES'!$V1105="","-",'ORDENES'!$V1105))</f>
        <v/>
      </c>
      <c r="E1127" s="3">
        <f>IF('ORDENES'!$A1105="","",IF('ORDENES'!$U1105="","-",'ORDENES'!$U1105))</f>
        <v/>
      </c>
      <c r="F1127" s="3">
        <f>IF('ORDENES'!$A1105="","",IF('ORDENES'!$W1105="","-",'ORDENES'!$W1105))</f>
        <v/>
      </c>
      <c r="G1127" s="3">
        <f>IF('ORDENES'!$A1105="","",IF('ORDENES'!$AB1105="","-",'ORDENES'!$AB1105))</f>
        <v/>
      </c>
      <c r="H1127" s="3">
        <f>IF('ORDENES'!$A1105="","",IF('ORDENES'!$AN1105="","-",'ORDENES'!$AN1105))</f>
        <v/>
      </c>
      <c r="I1127" s="3">
        <f>IF('ORDENES'!$A1105="","",IF('ORDENES'!$D1105="","-",'ORDENES'!$D1105))</f>
        <v/>
      </c>
      <c r="J1127" s="3">
        <f>IF('ORDENES'!$A1105="","",IF('ORDENES'!$E1105="","-",'ORDENES'!$E1105))</f>
        <v/>
      </c>
      <c r="K1127" s="12">
        <f>IF('ORDENES'!$A1105="","",IF('ORDENES'!$M1105="",0,'ORDENES'!$M1105))</f>
        <v/>
      </c>
      <c r="L1127" s="3">
        <f>IF('ORDENES'!$A1105="","",IF('ORDENES'!$N1105="","-",'ORDENES'!$N1105))</f>
        <v/>
      </c>
      <c r="M1127" s="3">
        <f>IF('ORDENES'!$A1105="","",'ORDENES'!$AA1105)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IF('ORDENES'!$A1106="","",IF('ORDENES'!$AC1106="","-",'ORDENES'!$AC1106))</f>
        <v/>
      </c>
      <c r="D1128" s="3">
        <f>IF('ORDENES'!$A1106="","",IF('ORDENES'!$V1106="","-",'ORDENES'!$V1106))</f>
        <v/>
      </c>
      <c r="E1128" s="3">
        <f>IF('ORDENES'!$A1106="","",IF('ORDENES'!$U1106="","-",'ORDENES'!$U1106))</f>
        <v/>
      </c>
      <c r="F1128" s="3">
        <f>IF('ORDENES'!$A1106="","",IF('ORDENES'!$W1106="","-",'ORDENES'!$W1106))</f>
        <v/>
      </c>
      <c r="G1128" s="3">
        <f>IF('ORDENES'!$A1106="","",IF('ORDENES'!$AB1106="","-",'ORDENES'!$AB1106))</f>
        <v/>
      </c>
      <c r="H1128" s="3">
        <f>IF('ORDENES'!$A1106="","",IF('ORDENES'!$AN1106="","-",'ORDENES'!$AN1106))</f>
        <v/>
      </c>
      <c r="I1128" s="3">
        <f>IF('ORDENES'!$A1106="","",IF('ORDENES'!$D1106="","-",'ORDENES'!$D1106))</f>
        <v/>
      </c>
      <c r="J1128" s="3">
        <f>IF('ORDENES'!$A1106="","",IF('ORDENES'!$E1106="","-",'ORDENES'!$E1106))</f>
        <v/>
      </c>
      <c r="K1128" s="12">
        <f>IF('ORDENES'!$A1106="","",IF('ORDENES'!$M1106="",0,'ORDENES'!$M1106))</f>
        <v/>
      </c>
      <c r="L1128" s="3">
        <f>IF('ORDENES'!$A1106="","",IF('ORDENES'!$N1106="","-",'ORDENES'!$N1106))</f>
        <v/>
      </c>
      <c r="M1128" s="3">
        <f>IF('ORDENES'!$A1106="","",'ORDENES'!$AA1106)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IF('ORDENES'!$A1107="","",IF('ORDENES'!$AC1107="","-",'ORDENES'!$AC1107))</f>
        <v/>
      </c>
      <c r="D1129" s="3">
        <f>IF('ORDENES'!$A1107="","",IF('ORDENES'!$V1107="","-",'ORDENES'!$V1107))</f>
        <v/>
      </c>
      <c r="E1129" s="3">
        <f>IF('ORDENES'!$A1107="","",IF('ORDENES'!$U1107="","-",'ORDENES'!$U1107))</f>
        <v/>
      </c>
      <c r="F1129" s="3">
        <f>IF('ORDENES'!$A1107="","",IF('ORDENES'!$W1107="","-",'ORDENES'!$W1107))</f>
        <v/>
      </c>
      <c r="G1129" s="3">
        <f>IF('ORDENES'!$A1107="","",IF('ORDENES'!$AB1107="","-",'ORDENES'!$AB1107))</f>
        <v/>
      </c>
      <c r="H1129" s="3">
        <f>IF('ORDENES'!$A1107="","",IF('ORDENES'!$AN1107="","-",'ORDENES'!$AN1107))</f>
        <v/>
      </c>
      <c r="I1129" s="3">
        <f>IF('ORDENES'!$A1107="","",IF('ORDENES'!$D1107="","-",'ORDENES'!$D1107))</f>
        <v/>
      </c>
      <c r="J1129" s="3">
        <f>IF('ORDENES'!$A1107="","",IF('ORDENES'!$E1107="","-",'ORDENES'!$E1107))</f>
        <v/>
      </c>
      <c r="K1129" s="12">
        <f>IF('ORDENES'!$A1107="","",IF('ORDENES'!$M1107="",0,'ORDENES'!$M1107))</f>
        <v/>
      </c>
      <c r="L1129" s="3">
        <f>IF('ORDENES'!$A1107="","",IF('ORDENES'!$N1107="","-",'ORDENES'!$N1107))</f>
        <v/>
      </c>
      <c r="M1129" s="3">
        <f>IF('ORDENES'!$A1107="","",'ORDENES'!$AA1107)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IF('ORDENES'!$A1108="","",IF('ORDENES'!$AC1108="","-",'ORDENES'!$AC1108))</f>
        <v/>
      </c>
      <c r="D1130" s="3">
        <f>IF('ORDENES'!$A1108="","",IF('ORDENES'!$V1108="","-",'ORDENES'!$V1108))</f>
        <v/>
      </c>
      <c r="E1130" s="3">
        <f>IF('ORDENES'!$A1108="","",IF('ORDENES'!$U1108="","-",'ORDENES'!$U1108))</f>
        <v/>
      </c>
      <c r="F1130" s="3">
        <f>IF('ORDENES'!$A1108="","",IF('ORDENES'!$W1108="","-",'ORDENES'!$W1108))</f>
        <v/>
      </c>
      <c r="G1130" s="3">
        <f>IF('ORDENES'!$A1108="","",IF('ORDENES'!$AB1108="","-",'ORDENES'!$AB1108))</f>
        <v/>
      </c>
      <c r="H1130" s="3">
        <f>IF('ORDENES'!$A1108="","",IF('ORDENES'!$AN1108="","-",'ORDENES'!$AN1108))</f>
        <v/>
      </c>
      <c r="I1130" s="3">
        <f>IF('ORDENES'!$A1108="","",IF('ORDENES'!$D1108="","-",'ORDENES'!$D1108))</f>
        <v/>
      </c>
      <c r="J1130" s="3">
        <f>IF('ORDENES'!$A1108="","",IF('ORDENES'!$E1108="","-",'ORDENES'!$E1108))</f>
        <v/>
      </c>
      <c r="K1130" s="12">
        <f>IF('ORDENES'!$A1108="","",IF('ORDENES'!$M1108="",0,'ORDENES'!$M1108))</f>
        <v/>
      </c>
      <c r="L1130" s="3">
        <f>IF('ORDENES'!$A1108="","",IF('ORDENES'!$N1108="","-",'ORDENES'!$N1108))</f>
        <v/>
      </c>
      <c r="M1130" s="3">
        <f>IF('ORDENES'!$A1108="","",'ORDENES'!$AA1108)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IF('ORDENES'!$A1109="","",IF('ORDENES'!$AC1109="","-",'ORDENES'!$AC1109))</f>
        <v/>
      </c>
      <c r="D1131" s="3">
        <f>IF('ORDENES'!$A1109="","",IF('ORDENES'!$V1109="","-",'ORDENES'!$V1109))</f>
        <v/>
      </c>
      <c r="E1131" s="3">
        <f>IF('ORDENES'!$A1109="","",IF('ORDENES'!$U1109="","-",'ORDENES'!$U1109))</f>
        <v/>
      </c>
      <c r="F1131" s="3">
        <f>IF('ORDENES'!$A1109="","",IF('ORDENES'!$W1109="","-",'ORDENES'!$W1109))</f>
        <v/>
      </c>
      <c r="G1131" s="3">
        <f>IF('ORDENES'!$A1109="","",IF('ORDENES'!$AB1109="","-",'ORDENES'!$AB1109))</f>
        <v/>
      </c>
      <c r="H1131" s="3">
        <f>IF('ORDENES'!$A1109="","",IF('ORDENES'!$AN1109="","-",'ORDENES'!$AN1109))</f>
        <v/>
      </c>
      <c r="I1131" s="3">
        <f>IF('ORDENES'!$A1109="","",IF('ORDENES'!$D1109="","-",'ORDENES'!$D1109))</f>
        <v/>
      </c>
      <c r="J1131" s="3">
        <f>IF('ORDENES'!$A1109="","",IF('ORDENES'!$E1109="","-",'ORDENES'!$E1109))</f>
        <v/>
      </c>
      <c r="K1131" s="12">
        <f>IF('ORDENES'!$A1109="","",IF('ORDENES'!$M1109="",0,'ORDENES'!$M1109))</f>
        <v/>
      </c>
      <c r="L1131" s="3">
        <f>IF('ORDENES'!$A1109="","",IF('ORDENES'!$N1109="","-",'ORDENES'!$N1109))</f>
        <v/>
      </c>
      <c r="M1131" s="3">
        <f>IF('ORDENES'!$A1109="","",'ORDENES'!$AA1109)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IF('ORDENES'!$A1110="","",IF('ORDENES'!$AC1110="","-",'ORDENES'!$AC1110))</f>
        <v/>
      </c>
      <c r="D1132" s="3">
        <f>IF('ORDENES'!$A1110="","",IF('ORDENES'!$V1110="","-",'ORDENES'!$V1110))</f>
        <v/>
      </c>
      <c r="E1132" s="3">
        <f>IF('ORDENES'!$A1110="","",IF('ORDENES'!$U1110="","-",'ORDENES'!$U1110))</f>
        <v/>
      </c>
      <c r="F1132" s="3">
        <f>IF('ORDENES'!$A1110="","",IF('ORDENES'!$W1110="","-",'ORDENES'!$W1110))</f>
        <v/>
      </c>
      <c r="G1132" s="3">
        <f>IF('ORDENES'!$A1110="","",IF('ORDENES'!$AB1110="","-",'ORDENES'!$AB1110))</f>
        <v/>
      </c>
      <c r="H1132" s="3">
        <f>IF('ORDENES'!$A1110="","",IF('ORDENES'!$AN1110="","-",'ORDENES'!$AN1110))</f>
        <v/>
      </c>
      <c r="I1132" s="3">
        <f>IF('ORDENES'!$A1110="","",IF('ORDENES'!$D1110="","-",'ORDENES'!$D1110))</f>
        <v/>
      </c>
      <c r="J1132" s="3">
        <f>IF('ORDENES'!$A1110="","",IF('ORDENES'!$E1110="","-",'ORDENES'!$E1110))</f>
        <v/>
      </c>
      <c r="K1132" s="12">
        <f>IF('ORDENES'!$A1110="","",IF('ORDENES'!$M1110="",0,'ORDENES'!$M1110))</f>
        <v/>
      </c>
      <c r="L1132" s="3">
        <f>IF('ORDENES'!$A1110="","",IF('ORDENES'!$N1110="","-",'ORDENES'!$N1110))</f>
        <v/>
      </c>
      <c r="M1132" s="3">
        <f>IF('ORDENES'!$A1110="","",'ORDENES'!$AA1110)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IF('ORDENES'!$A1111="","",IF('ORDENES'!$AC1111="","-",'ORDENES'!$AC1111))</f>
        <v/>
      </c>
      <c r="D1133" s="3">
        <f>IF('ORDENES'!$A1111="","",IF('ORDENES'!$V1111="","-",'ORDENES'!$V1111))</f>
        <v/>
      </c>
      <c r="E1133" s="3">
        <f>IF('ORDENES'!$A1111="","",IF('ORDENES'!$U1111="","-",'ORDENES'!$U1111))</f>
        <v/>
      </c>
      <c r="F1133" s="3">
        <f>IF('ORDENES'!$A1111="","",IF('ORDENES'!$W1111="","-",'ORDENES'!$W1111))</f>
        <v/>
      </c>
      <c r="G1133" s="3">
        <f>IF('ORDENES'!$A1111="","",IF('ORDENES'!$AB1111="","-",'ORDENES'!$AB1111))</f>
        <v/>
      </c>
      <c r="H1133" s="3">
        <f>IF('ORDENES'!$A1111="","",IF('ORDENES'!$AN1111="","-",'ORDENES'!$AN1111))</f>
        <v/>
      </c>
      <c r="I1133" s="3">
        <f>IF('ORDENES'!$A1111="","",IF('ORDENES'!$D1111="","-",'ORDENES'!$D1111))</f>
        <v/>
      </c>
      <c r="J1133" s="3">
        <f>IF('ORDENES'!$A1111="","",IF('ORDENES'!$E1111="","-",'ORDENES'!$E1111))</f>
        <v/>
      </c>
      <c r="K1133" s="12">
        <f>IF('ORDENES'!$A1111="","",IF('ORDENES'!$M1111="",0,'ORDENES'!$M1111))</f>
        <v/>
      </c>
      <c r="L1133" s="3">
        <f>IF('ORDENES'!$A1111="","",IF('ORDENES'!$N1111="","-",'ORDENES'!$N1111))</f>
        <v/>
      </c>
      <c r="M1133" s="3">
        <f>IF('ORDENES'!$A1111="","",'ORDENES'!$AA1111)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IF('ORDENES'!$A1112="","",IF('ORDENES'!$AC1112="","-",'ORDENES'!$AC1112))</f>
        <v/>
      </c>
      <c r="D1134" s="3">
        <f>IF('ORDENES'!$A1112="","",IF('ORDENES'!$V1112="","-",'ORDENES'!$V1112))</f>
        <v/>
      </c>
      <c r="E1134" s="3">
        <f>IF('ORDENES'!$A1112="","",IF('ORDENES'!$U1112="","-",'ORDENES'!$U1112))</f>
        <v/>
      </c>
      <c r="F1134" s="3">
        <f>IF('ORDENES'!$A1112="","",IF('ORDENES'!$W1112="","-",'ORDENES'!$W1112))</f>
        <v/>
      </c>
      <c r="G1134" s="3">
        <f>IF('ORDENES'!$A1112="","",IF('ORDENES'!$AB1112="","-",'ORDENES'!$AB1112))</f>
        <v/>
      </c>
      <c r="H1134" s="3">
        <f>IF('ORDENES'!$A1112="","",IF('ORDENES'!$AN1112="","-",'ORDENES'!$AN1112))</f>
        <v/>
      </c>
      <c r="I1134" s="3">
        <f>IF('ORDENES'!$A1112="","",IF('ORDENES'!$D1112="","-",'ORDENES'!$D1112))</f>
        <v/>
      </c>
      <c r="J1134" s="3">
        <f>IF('ORDENES'!$A1112="","",IF('ORDENES'!$E1112="","-",'ORDENES'!$E1112))</f>
        <v/>
      </c>
      <c r="K1134" s="12">
        <f>IF('ORDENES'!$A1112="","",IF('ORDENES'!$M1112="",0,'ORDENES'!$M1112))</f>
        <v/>
      </c>
      <c r="L1134" s="3">
        <f>IF('ORDENES'!$A1112="","",IF('ORDENES'!$N1112="","-",'ORDENES'!$N1112))</f>
        <v/>
      </c>
      <c r="M1134" s="3">
        <f>IF('ORDENES'!$A1112="","",'ORDENES'!$AA1112)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IF('ORDENES'!$A1113="","",IF('ORDENES'!$AC1113="","-",'ORDENES'!$AC1113))</f>
        <v/>
      </c>
      <c r="D1135" s="3">
        <f>IF('ORDENES'!$A1113="","",IF('ORDENES'!$V1113="","-",'ORDENES'!$V1113))</f>
        <v/>
      </c>
      <c r="E1135" s="3">
        <f>IF('ORDENES'!$A1113="","",IF('ORDENES'!$U1113="","-",'ORDENES'!$U1113))</f>
        <v/>
      </c>
      <c r="F1135" s="3">
        <f>IF('ORDENES'!$A1113="","",IF('ORDENES'!$W1113="","-",'ORDENES'!$W1113))</f>
        <v/>
      </c>
      <c r="G1135" s="3">
        <f>IF('ORDENES'!$A1113="","",IF('ORDENES'!$AB1113="","-",'ORDENES'!$AB1113))</f>
        <v/>
      </c>
      <c r="H1135" s="3">
        <f>IF('ORDENES'!$A1113="","",IF('ORDENES'!$AN1113="","-",'ORDENES'!$AN1113))</f>
        <v/>
      </c>
      <c r="I1135" s="3">
        <f>IF('ORDENES'!$A1113="","",IF('ORDENES'!$D1113="","-",'ORDENES'!$D1113))</f>
        <v/>
      </c>
      <c r="J1135" s="3">
        <f>IF('ORDENES'!$A1113="","",IF('ORDENES'!$E1113="","-",'ORDENES'!$E1113))</f>
        <v/>
      </c>
      <c r="K1135" s="12">
        <f>IF('ORDENES'!$A1113="","",IF('ORDENES'!$M1113="",0,'ORDENES'!$M1113))</f>
        <v/>
      </c>
      <c r="L1135" s="3">
        <f>IF('ORDENES'!$A1113="","",IF('ORDENES'!$N1113="","-",'ORDENES'!$N1113))</f>
        <v/>
      </c>
      <c r="M1135" s="3">
        <f>IF('ORDENES'!$A1113="","",'ORDENES'!$AA1113)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IF('ORDENES'!$A1114="","",IF('ORDENES'!$AC1114="","-",'ORDENES'!$AC1114))</f>
        <v/>
      </c>
      <c r="D1136" s="3">
        <f>IF('ORDENES'!$A1114="","",IF('ORDENES'!$V1114="","-",'ORDENES'!$V1114))</f>
        <v/>
      </c>
      <c r="E1136" s="3">
        <f>IF('ORDENES'!$A1114="","",IF('ORDENES'!$U1114="","-",'ORDENES'!$U1114))</f>
        <v/>
      </c>
      <c r="F1136" s="3">
        <f>IF('ORDENES'!$A1114="","",IF('ORDENES'!$W1114="","-",'ORDENES'!$W1114))</f>
        <v/>
      </c>
      <c r="G1136" s="3">
        <f>IF('ORDENES'!$A1114="","",IF('ORDENES'!$AB1114="","-",'ORDENES'!$AB1114))</f>
        <v/>
      </c>
      <c r="H1136" s="3">
        <f>IF('ORDENES'!$A1114="","",IF('ORDENES'!$AN1114="","-",'ORDENES'!$AN1114))</f>
        <v/>
      </c>
      <c r="I1136" s="3">
        <f>IF('ORDENES'!$A1114="","",IF('ORDENES'!$D1114="","-",'ORDENES'!$D1114))</f>
        <v/>
      </c>
      <c r="J1136" s="3">
        <f>IF('ORDENES'!$A1114="","",IF('ORDENES'!$E1114="","-",'ORDENES'!$E1114))</f>
        <v/>
      </c>
      <c r="K1136" s="12">
        <f>IF('ORDENES'!$A1114="","",IF('ORDENES'!$M1114="",0,'ORDENES'!$M1114))</f>
        <v/>
      </c>
      <c r="L1136" s="3">
        <f>IF('ORDENES'!$A1114="","",IF('ORDENES'!$N1114="","-",'ORDENES'!$N1114))</f>
        <v/>
      </c>
      <c r="M1136" s="3">
        <f>IF('ORDENES'!$A1114="","",'ORDENES'!$AA1114)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IF('ORDENES'!$A1115="","",IF('ORDENES'!$AC1115="","-",'ORDENES'!$AC1115))</f>
        <v/>
      </c>
      <c r="D1137" s="3">
        <f>IF('ORDENES'!$A1115="","",IF('ORDENES'!$V1115="","-",'ORDENES'!$V1115))</f>
        <v/>
      </c>
      <c r="E1137" s="3">
        <f>IF('ORDENES'!$A1115="","",IF('ORDENES'!$U1115="","-",'ORDENES'!$U1115))</f>
        <v/>
      </c>
      <c r="F1137" s="3">
        <f>IF('ORDENES'!$A1115="","",IF('ORDENES'!$W1115="","-",'ORDENES'!$W1115))</f>
        <v/>
      </c>
      <c r="G1137" s="3">
        <f>IF('ORDENES'!$A1115="","",IF('ORDENES'!$AB1115="","-",'ORDENES'!$AB1115))</f>
        <v/>
      </c>
      <c r="H1137" s="3">
        <f>IF('ORDENES'!$A1115="","",IF('ORDENES'!$AN1115="","-",'ORDENES'!$AN1115))</f>
        <v/>
      </c>
      <c r="I1137" s="3">
        <f>IF('ORDENES'!$A1115="","",IF('ORDENES'!$D1115="","-",'ORDENES'!$D1115))</f>
        <v/>
      </c>
      <c r="J1137" s="3">
        <f>IF('ORDENES'!$A1115="","",IF('ORDENES'!$E1115="","-",'ORDENES'!$E1115))</f>
        <v/>
      </c>
      <c r="K1137" s="12">
        <f>IF('ORDENES'!$A1115="","",IF('ORDENES'!$M1115="",0,'ORDENES'!$M1115))</f>
        <v/>
      </c>
      <c r="L1137" s="3">
        <f>IF('ORDENES'!$A1115="","",IF('ORDENES'!$N1115="","-",'ORDENES'!$N1115))</f>
        <v/>
      </c>
      <c r="M1137" s="3">
        <f>IF('ORDENES'!$A1115="","",'ORDENES'!$AA1115)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IF('ORDENES'!$A1116="","",IF('ORDENES'!$AC1116="","-",'ORDENES'!$AC1116))</f>
        <v/>
      </c>
      <c r="D1138" s="3">
        <f>IF('ORDENES'!$A1116="","",IF('ORDENES'!$V1116="","-",'ORDENES'!$V1116))</f>
        <v/>
      </c>
      <c r="E1138" s="3">
        <f>IF('ORDENES'!$A1116="","",IF('ORDENES'!$U1116="","-",'ORDENES'!$U1116))</f>
        <v/>
      </c>
      <c r="F1138" s="3">
        <f>IF('ORDENES'!$A1116="","",IF('ORDENES'!$W1116="","-",'ORDENES'!$W1116))</f>
        <v/>
      </c>
      <c r="G1138" s="3">
        <f>IF('ORDENES'!$A1116="","",IF('ORDENES'!$AB1116="","-",'ORDENES'!$AB1116))</f>
        <v/>
      </c>
      <c r="H1138" s="3">
        <f>IF('ORDENES'!$A1116="","",IF('ORDENES'!$AN1116="","-",'ORDENES'!$AN1116))</f>
        <v/>
      </c>
      <c r="I1138" s="3">
        <f>IF('ORDENES'!$A1116="","",IF('ORDENES'!$D1116="","-",'ORDENES'!$D1116))</f>
        <v/>
      </c>
      <c r="J1138" s="3">
        <f>IF('ORDENES'!$A1116="","",IF('ORDENES'!$E1116="","-",'ORDENES'!$E1116))</f>
        <v/>
      </c>
      <c r="K1138" s="12">
        <f>IF('ORDENES'!$A1116="","",IF('ORDENES'!$M1116="",0,'ORDENES'!$M1116))</f>
        <v/>
      </c>
      <c r="L1138" s="3">
        <f>IF('ORDENES'!$A1116="","",IF('ORDENES'!$N1116="","-",'ORDENES'!$N1116))</f>
        <v/>
      </c>
      <c r="M1138" s="3">
        <f>IF('ORDENES'!$A1116="","",'ORDENES'!$AA1116)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IF('ORDENES'!$A1117="","",IF('ORDENES'!$AC1117="","-",'ORDENES'!$AC1117))</f>
        <v/>
      </c>
      <c r="D1139" s="3">
        <f>IF('ORDENES'!$A1117="","",IF('ORDENES'!$V1117="","-",'ORDENES'!$V1117))</f>
        <v/>
      </c>
      <c r="E1139" s="3">
        <f>IF('ORDENES'!$A1117="","",IF('ORDENES'!$U1117="","-",'ORDENES'!$U1117))</f>
        <v/>
      </c>
      <c r="F1139" s="3">
        <f>IF('ORDENES'!$A1117="","",IF('ORDENES'!$W1117="","-",'ORDENES'!$W1117))</f>
        <v/>
      </c>
      <c r="G1139" s="3">
        <f>IF('ORDENES'!$A1117="","",IF('ORDENES'!$AB1117="","-",'ORDENES'!$AB1117))</f>
        <v/>
      </c>
      <c r="H1139" s="3">
        <f>IF('ORDENES'!$A1117="","",IF('ORDENES'!$AN1117="","-",'ORDENES'!$AN1117))</f>
        <v/>
      </c>
      <c r="I1139" s="3">
        <f>IF('ORDENES'!$A1117="","",IF('ORDENES'!$D1117="","-",'ORDENES'!$D1117))</f>
        <v/>
      </c>
      <c r="J1139" s="3">
        <f>IF('ORDENES'!$A1117="","",IF('ORDENES'!$E1117="","-",'ORDENES'!$E1117))</f>
        <v/>
      </c>
      <c r="K1139" s="12">
        <f>IF('ORDENES'!$A1117="","",IF('ORDENES'!$M1117="",0,'ORDENES'!$M1117))</f>
        <v/>
      </c>
      <c r="L1139" s="3">
        <f>IF('ORDENES'!$A1117="","",IF('ORDENES'!$N1117="","-",'ORDENES'!$N1117))</f>
        <v/>
      </c>
      <c r="M1139" s="3">
        <f>IF('ORDENES'!$A1117="","",'ORDENES'!$AA1117)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IF('ORDENES'!$A1118="","",IF('ORDENES'!$AC1118="","-",'ORDENES'!$AC1118))</f>
        <v/>
      </c>
      <c r="D1140" s="3">
        <f>IF('ORDENES'!$A1118="","",IF('ORDENES'!$V1118="","-",'ORDENES'!$V1118))</f>
        <v/>
      </c>
      <c r="E1140" s="3">
        <f>IF('ORDENES'!$A1118="","",IF('ORDENES'!$U1118="","-",'ORDENES'!$U1118))</f>
        <v/>
      </c>
      <c r="F1140" s="3">
        <f>IF('ORDENES'!$A1118="","",IF('ORDENES'!$W1118="","-",'ORDENES'!$W1118))</f>
        <v/>
      </c>
      <c r="G1140" s="3">
        <f>IF('ORDENES'!$A1118="","",IF('ORDENES'!$AB1118="","-",'ORDENES'!$AB1118))</f>
        <v/>
      </c>
      <c r="H1140" s="3">
        <f>IF('ORDENES'!$A1118="","",IF('ORDENES'!$AN1118="","-",'ORDENES'!$AN1118))</f>
        <v/>
      </c>
      <c r="I1140" s="3">
        <f>IF('ORDENES'!$A1118="","",IF('ORDENES'!$D1118="","-",'ORDENES'!$D1118))</f>
        <v/>
      </c>
      <c r="J1140" s="3">
        <f>IF('ORDENES'!$A1118="","",IF('ORDENES'!$E1118="","-",'ORDENES'!$E1118))</f>
        <v/>
      </c>
      <c r="K1140" s="12">
        <f>IF('ORDENES'!$A1118="","",IF('ORDENES'!$M1118="",0,'ORDENES'!$M1118))</f>
        <v/>
      </c>
      <c r="L1140" s="3">
        <f>IF('ORDENES'!$A1118="","",IF('ORDENES'!$N1118="","-",'ORDENES'!$N1118))</f>
        <v/>
      </c>
      <c r="M1140" s="3">
        <f>IF('ORDENES'!$A1118="","",'ORDENES'!$AA1118)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IF('ORDENES'!$A1119="","",IF('ORDENES'!$AC1119="","-",'ORDENES'!$AC1119))</f>
        <v/>
      </c>
      <c r="D1141" s="3">
        <f>IF('ORDENES'!$A1119="","",IF('ORDENES'!$V1119="","-",'ORDENES'!$V1119))</f>
        <v/>
      </c>
      <c r="E1141" s="3">
        <f>IF('ORDENES'!$A1119="","",IF('ORDENES'!$U1119="","-",'ORDENES'!$U1119))</f>
        <v/>
      </c>
      <c r="F1141" s="3">
        <f>IF('ORDENES'!$A1119="","",IF('ORDENES'!$W1119="","-",'ORDENES'!$W1119))</f>
        <v/>
      </c>
      <c r="G1141" s="3">
        <f>IF('ORDENES'!$A1119="","",IF('ORDENES'!$AB1119="","-",'ORDENES'!$AB1119))</f>
        <v/>
      </c>
      <c r="H1141" s="3">
        <f>IF('ORDENES'!$A1119="","",IF('ORDENES'!$AN1119="","-",'ORDENES'!$AN1119))</f>
        <v/>
      </c>
      <c r="I1141" s="3">
        <f>IF('ORDENES'!$A1119="","",IF('ORDENES'!$D1119="","-",'ORDENES'!$D1119))</f>
        <v/>
      </c>
      <c r="J1141" s="3">
        <f>IF('ORDENES'!$A1119="","",IF('ORDENES'!$E1119="","-",'ORDENES'!$E1119))</f>
        <v/>
      </c>
      <c r="K1141" s="12">
        <f>IF('ORDENES'!$A1119="","",IF('ORDENES'!$M1119="",0,'ORDENES'!$M1119))</f>
        <v/>
      </c>
      <c r="L1141" s="3">
        <f>IF('ORDENES'!$A1119="","",IF('ORDENES'!$N1119="","-",'ORDENES'!$N1119))</f>
        <v/>
      </c>
      <c r="M1141" s="3">
        <f>IF('ORDENES'!$A1119="","",'ORDENES'!$AA1119)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IF('ORDENES'!$A1120="","",IF('ORDENES'!$AC1120="","-",'ORDENES'!$AC1120))</f>
        <v/>
      </c>
      <c r="D1142" s="3">
        <f>IF('ORDENES'!$A1120="","",IF('ORDENES'!$V1120="","-",'ORDENES'!$V1120))</f>
        <v/>
      </c>
      <c r="E1142" s="3">
        <f>IF('ORDENES'!$A1120="","",IF('ORDENES'!$U1120="","-",'ORDENES'!$U1120))</f>
        <v/>
      </c>
      <c r="F1142" s="3">
        <f>IF('ORDENES'!$A1120="","",IF('ORDENES'!$W1120="","-",'ORDENES'!$W1120))</f>
        <v/>
      </c>
      <c r="G1142" s="3">
        <f>IF('ORDENES'!$A1120="","",IF('ORDENES'!$AB1120="","-",'ORDENES'!$AB1120))</f>
        <v/>
      </c>
      <c r="H1142" s="3">
        <f>IF('ORDENES'!$A1120="","",IF('ORDENES'!$AN1120="","-",'ORDENES'!$AN1120))</f>
        <v/>
      </c>
      <c r="I1142" s="3">
        <f>IF('ORDENES'!$A1120="","",IF('ORDENES'!$D1120="","-",'ORDENES'!$D1120))</f>
        <v/>
      </c>
      <c r="J1142" s="3">
        <f>IF('ORDENES'!$A1120="","",IF('ORDENES'!$E1120="","-",'ORDENES'!$E1120))</f>
        <v/>
      </c>
      <c r="K1142" s="12">
        <f>IF('ORDENES'!$A1120="","",IF('ORDENES'!$M1120="",0,'ORDENES'!$M1120))</f>
        <v/>
      </c>
      <c r="L1142" s="3">
        <f>IF('ORDENES'!$A1120="","",IF('ORDENES'!$N1120="","-",'ORDENES'!$N1120))</f>
        <v/>
      </c>
      <c r="M1142" s="3">
        <f>IF('ORDENES'!$A1120="","",'ORDENES'!$AA1120)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IF('ORDENES'!$A1121="","",IF('ORDENES'!$AC1121="","-",'ORDENES'!$AC1121))</f>
        <v/>
      </c>
      <c r="D1143" s="3">
        <f>IF('ORDENES'!$A1121="","",IF('ORDENES'!$V1121="","-",'ORDENES'!$V1121))</f>
        <v/>
      </c>
      <c r="E1143" s="3">
        <f>IF('ORDENES'!$A1121="","",IF('ORDENES'!$U1121="","-",'ORDENES'!$U1121))</f>
        <v/>
      </c>
      <c r="F1143" s="3">
        <f>IF('ORDENES'!$A1121="","",IF('ORDENES'!$W1121="","-",'ORDENES'!$W1121))</f>
        <v/>
      </c>
      <c r="G1143" s="3">
        <f>IF('ORDENES'!$A1121="","",IF('ORDENES'!$AB1121="","-",'ORDENES'!$AB1121))</f>
        <v/>
      </c>
      <c r="H1143" s="3">
        <f>IF('ORDENES'!$A1121="","",IF('ORDENES'!$AN1121="","-",'ORDENES'!$AN1121))</f>
        <v/>
      </c>
      <c r="I1143" s="3">
        <f>IF('ORDENES'!$A1121="","",IF('ORDENES'!$D1121="","-",'ORDENES'!$D1121))</f>
        <v/>
      </c>
      <c r="J1143" s="3">
        <f>IF('ORDENES'!$A1121="","",IF('ORDENES'!$E1121="","-",'ORDENES'!$E1121))</f>
        <v/>
      </c>
      <c r="K1143" s="12">
        <f>IF('ORDENES'!$A1121="","",IF('ORDENES'!$M1121="",0,'ORDENES'!$M1121))</f>
        <v/>
      </c>
      <c r="L1143" s="3">
        <f>IF('ORDENES'!$A1121="","",IF('ORDENES'!$N1121="","-",'ORDENES'!$N1121))</f>
        <v/>
      </c>
      <c r="M1143" s="3">
        <f>IF('ORDENES'!$A1121="","",'ORDENES'!$AA1121)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IF('ORDENES'!$A1122="","",IF('ORDENES'!$AC1122="","-",'ORDENES'!$AC1122))</f>
        <v/>
      </c>
      <c r="D1144" s="3">
        <f>IF('ORDENES'!$A1122="","",IF('ORDENES'!$V1122="","-",'ORDENES'!$V1122))</f>
        <v/>
      </c>
      <c r="E1144" s="3">
        <f>IF('ORDENES'!$A1122="","",IF('ORDENES'!$U1122="","-",'ORDENES'!$U1122))</f>
        <v/>
      </c>
      <c r="F1144" s="3">
        <f>IF('ORDENES'!$A1122="","",IF('ORDENES'!$W1122="","-",'ORDENES'!$W1122))</f>
        <v/>
      </c>
      <c r="G1144" s="3">
        <f>IF('ORDENES'!$A1122="","",IF('ORDENES'!$AB1122="","-",'ORDENES'!$AB1122))</f>
        <v/>
      </c>
      <c r="H1144" s="3">
        <f>IF('ORDENES'!$A1122="","",IF('ORDENES'!$AN1122="","-",'ORDENES'!$AN1122))</f>
        <v/>
      </c>
      <c r="I1144" s="3">
        <f>IF('ORDENES'!$A1122="","",IF('ORDENES'!$D1122="","-",'ORDENES'!$D1122))</f>
        <v/>
      </c>
      <c r="J1144" s="3">
        <f>IF('ORDENES'!$A1122="","",IF('ORDENES'!$E1122="","-",'ORDENES'!$E1122))</f>
        <v/>
      </c>
      <c r="K1144" s="12">
        <f>IF('ORDENES'!$A1122="","",IF('ORDENES'!$M1122="",0,'ORDENES'!$M1122))</f>
        <v/>
      </c>
      <c r="L1144" s="3">
        <f>IF('ORDENES'!$A1122="","",IF('ORDENES'!$N1122="","-",'ORDENES'!$N1122))</f>
        <v/>
      </c>
      <c r="M1144" s="3">
        <f>IF('ORDENES'!$A1122="","",'ORDENES'!$AA1122)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IF('ORDENES'!$A1123="","",IF('ORDENES'!$AC1123="","-",'ORDENES'!$AC1123))</f>
        <v/>
      </c>
      <c r="D1145" s="3">
        <f>IF('ORDENES'!$A1123="","",IF('ORDENES'!$V1123="","-",'ORDENES'!$V1123))</f>
        <v/>
      </c>
      <c r="E1145" s="3">
        <f>IF('ORDENES'!$A1123="","",IF('ORDENES'!$U1123="","-",'ORDENES'!$U1123))</f>
        <v/>
      </c>
      <c r="F1145" s="3">
        <f>IF('ORDENES'!$A1123="","",IF('ORDENES'!$W1123="","-",'ORDENES'!$W1123))</f>
        <v/>
      </c>
      <c r="G1145" s="3">
        <f>IF('ORDENES'!$A1123="","",IF('ORDENES'!$AB1123="","-",'ORDENES'!$AB1123))</f>
        <v/>
      </c>
      <c r="H1145" s="3">
        <f>IF('ORDENES'!$A1123="","",IF('ORDENES'!$AN1123="","-",'ORDENES'!$AN1123))</f>
        <v/>
      </c>
      <c r="I1145" s="3">
        <f>IF('ORDENES'!$A1123="","",IF('ORDENES'!$D1123="","-",'ORDENES'!$D1123))</f>
        <v/>
      </c>
      <c r="J1145" s="3">
        <f>IF('ORDENES'!$A1123="","",IF('ORDENES'!$E1123="","-",'ORDENES'!$E1123))</f>
        <v/>
      </c>
      <c r="K1145" s="12">
        <f>IF('ORDENES'!$A1123="","",IF('ORDENES'!$M1123="",0,'ORDENES'!$M1123))</f>
        <v/>
      </c>
      <c r="L1145" s="3">
        <f>IF('ORDENES'!$A1123="","",IF('ORDENES'!$N1123="","-",'ORDENES'!$N1123))</f>
        <v/>
      </c>
      <c r="M1145" s="3">
        <f>IF('ORDENES'!$A1123="","",'ORDENES'!$AA1123)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IF('ORDENES'!$A1124="","",IF('ORDENES'!$AC1124="","-",'ORDENES'!$AC1124))</f>
        <v/>
      </c>
      <c r="D1146" s="3">
        <f>IF('ORDENES'!$A1124="","",IF('ORDENES'!$V1124="","-",'ORDENES'!$V1124))</f>
        <v/>
      </c>
      <c r="E1146" s="3">
        <f>IF('ORDENES'!$A1124="","",IF('ORDENES'!$U1124="","-",'ORDENES'!$U1124))</f>
        <v/>
      </c>
      <c r="F1146" s="3">
        <f>IF('ORDENES'!$A1124="","",IF('ORDENES'!$W1124="","-",'ORDENES'!$W1124))</f>
        <v/>
      </c>
      <c r="G1146" s="3">
        <f>IF('ORDENES'!$A1124="","",IF('ORDENES'!$AB1124="","-",'ORDENES'!$AB1124))</f>
        <v/>
      </c>
      <c r="H1146" s="3">
        <f>IF('ORDENES'!$A1124="","",IF('ORDENES'!$AN1124="","-",'ORDENES'!$AN1124))</f>
        <v/>
      </c>
      <c r="I1146" s="3">
        <f>IF('ORDENES'!$A1124="","",IF('ORDENES'!$D1124="","-",'ORDENES'!$D1124))</f>
        <v/>
      </c>
      <c r="J1146" s="3">
        <f>IF('ORDENES'!$A1124="","",IF('ORDENES'!$E1124="","-",'ORDENES'!$E1124))</f>
        <v/>
      </c>
      <c r="K1146" s="12">
        <f>IF('ORDENES'!$A1124="","",IF('ORDENES'!$M1124="",0,'ORDENES'!$M1124))</f>
        <v/>
      </c>
      <c r="L1146" s="3">
        <f>IF('ORDENES'!$A1124="","",IF('ORDENES'!$N1124="","-",'ORDENES'!$N1124))</f>
        <v/>
      </c>
      <c r="M1146" s="3">
        <f>IF('ORDENES'!$A1124="","",'ORDENES'!$AA1124)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IF('ORDENES'!$A1125="","",IF('ORDENES'!$AC1125="","-",'ORDENES'!$AC1125))</f>
        <v/>
      </c>
      <c r="D1147" s="3">
        <f>IF('ORDENES'!$A1125="","",IF('ORDENES'!$V1125="","-",'ORDENES'!$V1125))</f>
        <v/>
      </c>
      <c r="E1147" s="3">
        <f>IF('ORDENES'!$A1125="","",IF('ORDENES'!$U1125="","-",'ORDENES'!$U1125))</f>
        <v/>
      </c>
      <c r="F1147" s="3">
        <f>IF('ORDENES'!$A1125="","",IF('ORDENES'!$W1125="","-",'ORDENES'!$W1125))</f>
        <v/>
      </c>
      <c r="G1147" s="3">
        <f>IF('ORDENES'!$A1125="","",IF('ORDENES'!$AB1125="","-",'ORDENES'!$AB1125))</f>
        <v/>
      </c>
      <c r="H1147" s="3">
        <f>IF('ORDENES'!$A1125="","",IF('ORDENES'!$AN1125="","-",'ORDENES'!$AN1125))</f>
        <v/>
      </c>
      <c r="I1147" s="3">
        <f>IF('ORDENES'!$A1125="","",IF('ORDENES'!$D1125="","-",'ORDENES'!$D1125))</f>
        <v/>
      </c>
      <c r="J1147" s="3">
        <f>IF('ORDENES'!$A1125="","",IF('ORDENES'!$E1125="","-",'ORDENES'!$E1125))</f>
        <v/>
      </c>
      <c r="K1147" s="12">
        <f>IF('ORDENES'!$A1125="","",IF('ORDENES'!$M1125="",0,'ORDENES'!$M1125))</f>
        <v/>
      </c>
      <c r="L1147" s="3">
        <f>IF('ORDENES'!$A1125="","",IF('ORDENES'!$N1125="","-",'ORDENES'!$N1125))</f>
        <v/>
      </c>
      <c r="M1147" s="3">
        <f>IF('ORDENES'!$A1125="","",'ORDENES'!$AA1125)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IF('ORDENES'!$A1126="","",IF('ORDENES'!$AC1126="","-",'ORDENES'!$AC1126))</f>
        <v/>
      </c>
      <c r="D1148" s="3">
        <f>IF('ORDENES'!$A1126="","",IF('ORDENES'!$V1126="","-",'ORDENES'!$V1126))</f>
        <v/>
      </c>
      <c r="E1148" s="3">
        <f>IF('ORDENES'!$A1126="","",IF('ORDENES'!$U1126="","-",'ORDENES'!$U1126))</f>
        <v/>
      </c>
      <c r="F1148" s="3">
        <f>IF('ORDENES'!$A1126="","",IF('ORDENES'!$W1126="","-",'ORDENES'!$W1126))</f>
        <v/>
      </c>
      <c r="G1148" s="3">
        <f>IF('ORDENES'!$A1126="","",IF('ORDENES'!$AB1126="","-",'ORDENES'!$AB1126))</f>
        <v/>
      </c>
      <c r="H1148" s="3">
        <f>IF('ORDENES'!$A1126="","",IF('ORDENES'!$AN1126="","-",'ORDENES'!$AN1126))</f>
        <v/>
      </c>
      <c r="I1148" s="3">
        <f>IF('ORDENES'!$A1126="","",IF('ORDENES'!$D1126="","-",'ORDENES'!$D1126))</f>
        <v/>
      </c>
      <c r="J1148" s="3">
        <f>IF('ORDENES'!$A1126="","",IF('ORDENES'!$E1126="","-",'ORDENES'!$E1126))</f>
        <v/>
      </c>
      <c r="K1148" s="12">
        <f>IF('ORDENES'!$A1126="","",IF('ORDENES'!$M1126="",0,'ORDENES'!$M1126))</f>
        <v/>
      </c>
      <c r="L1148" s="3">
        <f>IF('ORDENES'!$A1126="","",IF('ORDENES'!$N1126="","-",'ORDENES'!$N1126))</f>
        <v/>
      </c>
      <c r="M1148" s="3">
        <f>IF('ORDENES'!$A1126="","",'ORDENES'!$AA1126)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IF('ORDENES'!$A1127="","",IF('ORDENES'!$AC1127="","-",'ORDENES'!$AC1127))</f>
        <v/>
      </c>
      <c r="D1149" s="3">
        <f>IF('ORDENES'!$A1127="","",IF('ORDENES'!$V1127="","-",'ORDENES'!$V1127))</f>
        <v/>
      </c>
      <c r="E1149" s="3">
        <f>IF('ORDENES'!$A1127="","",IF('ORDENES'!$U1127="","-",'ORDENES'!$U1127))</f>
        <v/>
      </c>
      <c r="F1149" s="3">
        <f>IF('ORDENES'!$A1127="","",IF('ORDENES'!$W1127="","-",'ORDENES'!$W1127))</f>
        <v/>
      </c>
      <c r="G1149" s="3">
        <f>IF('ORDENES'!$A1127="","",IF('ORDENES'!$AB1127="","-",'ORDENES'!$AB1127))</f>
        <v/>
      </c>
      <c r="H1149" s="3">
        <f>IF('ORDENES'!$A1127="","",IF('ORDENES'!$AN1127="","-",'ORDENES'!$AN1127))</f>
        <v/>
      </c>
      <c r="I1149" s="3">
        <f>IF('ORDENES'!$A1127="","",IF('ORDENES'!$D1127="","-",'ORDENES'!$D1127))</f>
        <v/>
      </c>
      <c r="J1149" s="3">
        <f>IF('ORDENES'!$A1127="","",IF('ORDENES'!$E1127="","-",'ORDENES'!$E1127))</f>
        <v/>
      </c>
      <c r="K1149" s="12">
        <f>IF('ORDENES'!$A1127="","",IF('ORDENES'!$M1127="",0,'ORDENES'!$M1127))</f>
        <v/>
      </c>
      <c r="L1149" s="3">
        <f>IF('ORDENES'!$A1127="","",IF('ORDENES'!$N1127="","-",'ORDENES'!$N1127))</f>
        <v/>
      </c>
      <c r="M1149" s="3">
        <f>IF('ORDENES'!$A1127="","",'ORDENES'!$AA1127)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IF('ORDENES'!$A1128="","",IF('ORDENES'!$AC1128="","-",'ORDENES'!$AC1128))</f>
        <v/>
      </c>
      <c r="D1150" s="3">
        <f>IF('ORDENES'!$A1128="","",IF('ORDENES'!$V1128="","-",'ORDENES'!$V1128))</f>
        <v/>
      </c>
      <c r="E1150" s="3">
        <f>IF('ORDENES'!$A1128="","",IF('ORDENES'!$U1128="","-",'ORDENES'!$U1128))</f>
        <v/>
      </c>
      <c r="F1150" s="3">
        <f>IF('ORDENES'!$A1128="","",IF('ORDENES'!$W1128="","-",'ORDENES'!$W1128))</f>
        <v/>
      </c>
      <c r="G1150" s="3">
        <f>IF('ORDENES'!$A1128="","",IF('ORDENES'!$AB1128="","-",'ORDENES'!$AB1128))</f>
        <v/>
      </c>
      <c r="H1150" s="3">
        <f>IF('ORDENES'!$A1128="","",IF('ORDENES'!$AN1128="","-",'ORDENES'!$AN1128))</f>
        <v/>
      </c>
      <c r="I1150" s="3">
        <f>IF('ORDENES'!$A1128="","",IF('ORDENES'!$D1128="","-",'ORDENES'!$D1128))</f>
        <v/>
      </c>
      <c r="J1150" s="3">
        <f>IF('ORDENES'!$A1128="","",IF('ORDENES'!$E1128="","-",'ORDENES'!$E1128))</f>
        <v/>
      </c>
      <c r="K1150" s="12">
        <f>IF('ORDENES'!$A1128="","",IF('ORDENES'!$M1128="",0,'ORDENES'!$M1128))</f>
        <v/>
      </c>
      <c r="L1150" s="3">
        <f>IF('ORDENES'!$A1128="","",IF('ORDENES'!$N1128="","-",'ORDENES'!$N1128))</f>
        <v/>
      </c>
      <c r="M1150" s="3">
        <f>IF('ORDENES'!$A1128="","",'ORDENES'!$AA1128)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IF('ORDENES'!$A1129="","",IF('ORDENES'!$AC1129="","-",'ORDENES'!$AC1129))</f>
        <v/>
      </c>
      <c r="D1151" s="3">
        <f>IF('ORDENES'!$A1129="","",IF('ORDENES'!$V1129="","-",'ORDENES'!$V1129))</f>
        <v/>
      </c>
      <c r="E1151" s="3">
        <f>IF('ORDENES'!$A1129="","",IF('ORDENES'!$U1129="","-",'ORDENES'!$U1129))</f>
        <v/>
      </c>
      <c r="F1151" s="3">
        <f>IF('ORDENES'!$A1129="","",IF('ORDENES'!$W1129="","-",'ORDENES'!$W1129))</f>
        <v/>
      </c>
      <c r="G1151" s="3">
        <f>IF('ORDENES'!$A1129="","",IF('ORDENES'!$AB1129="","-",'ORDENES'!$AB1129))</f>
        <v/>
      </c>
      <c r="H1151" s="3">
        <f>IF('ORDENES'!$A1129="","",IF('ORDENES'!$AN1129="","-",'ORDENES'!$AN1129))</f>
        <v/>
      </c>
      <c r="I1151" s="3">
        <f>IF('ORDENES'!$A1129="","",IF('ORDENES'!$D1129="","-",'ORDENES'!$D1129))</f>
        <v/>
      </c>
      <c r="J1151" s="3">
        <f>IF('ORDENES'!$A1129="","",IF('ORDENES'!$E1129="","-",'ORDENES'!$E1129))</f>
        <v/>
      </c>
      <c r="K1151" s="12">
        <f>IF('ORDENES'!$A1129="","",IF('ORDENES'!$M1129="",0,'ORDENES'!$M1129))</f>
        <v/>
      </c>
      <c r="L1151" s="3">
        <f>IF('ORDENES'!$A1129="","",IF('ORDENES'!$N1129="","-",'ORDENES'!$N1129))</f>
        <v/>
      </c>
      <c r="M1151" s="3">
        <f>IF('ORDENES'!$A1129="","",'ORDENES'!$AA1129)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IF('ORDENES'!$A1130="","",IF('ORDENES'!$AC1130="","-",'ORDENES'!$AC1130))</f>
        <v/>
      </c>
      <c r="D1152" s="3">
        <f>IF('ORDENES'!$A1130="","",IF('ORDENES'!$V1130="","-",'ORDENES'!$V1130))</f>
        <v/>
      </c>
      <c r="E1152" s="3">
        <f>IF('ORDENES'!$A1130="","",IF('ORDENES'!$U1130="","-",'ORDENES'!$U1130))</f>
        <v/>
      </c>
      <c r="F1152" s="3">
        <f>IF('ORDENES'!$A1130="","",IF('ORDENES'!$W1130="","-",'ORDENES'!$W1130))</f>
        <v/>
      </c>
      <c r="G1152" s="3">
        <f>IF('ORDENES'!$A1130="","",IF('ORDENES'!$AB1130="","-",'ORDENES'!$AB1130))</f>
        <v/>
      </c>
      <c r="H1152" s="3">
        <f>IF('ORDENES'!$A1130="","",IF('ORDENES'!$AN1130="","-",'ORDENES'!$AN1130))</f>
        <v/>
      </c>
      <c r="I1152" s="3">
        <f>IF('ORDENES'!$A1130="","",IF('ORDENES'!$D1130="","-",'ORDENES'!$D1130))</f>
        <v/>
      </c>
      <c r="J1152" s="3">
        <f>IF('ORDENES'!$A1130="","",IF('ORDENES'!$E1130="","-",'ORDENES'!$E1130))</f>
        <v/>
      </c>
      <c r="K1152" s="12">
        <f>IF('ORDENES'!$A1130="","",IF('ORDENES'!$M1130="",0,'ORDENES'!$M1130))</f>
        <v/>
      </c>
      <c r="L1152" s="3">
        <f>IF('ORDENES'!$A1130="","",IF('ORDENES'!$N1130="","-",'ORDENES'!$N1130))</f>
        <v/>
      </c>
      <c r="M1152" s="3">
        <f>IF('ORDENES'!$A1130="","",'ORDENES'!$AA1130)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IF('ORDENES'!$A1131="","",IF('ORDENES'!$AC1131="","-",'ORDENES'!$AC1131))</f>
        <v/>
      </c>
      <c r="D1153" s="3">
        <f>IF('ORDENES'!$A1131="","",IF('ORDENES'!$V1131="","-",'ORDENES'!$V1131))</f>
        <v/>
      </c>
      <c r="E1153" s="3">
        <f>IF('ORDENES'!$A1131="","",IF('ORDENES'!$U1131="","-",'ORDENES'!$U1131))</f>
        <v/>
      </c>
      <c r="F1153" s="3">
        <f>IF('ORDENES'!$A1131="","",IF('ORDENES'!$W1131="","-",'ORDENES'!$W1131))</f>
        <v/>
      </c>
      <c r="G1153" s="3">
        <f>IF('ORDENES'!$A1131="","",IF('ORDENES'!$AB1131="","-",'ORDENES'!$AB1131))</f>
        <v/>
      </c>
      <c r="H1153" s="3">
        <f>IF('ORDENES'!$A1131="","",IF('ORDENES'!$AN1131="","-",'ORDENES'!$AN1131))</f>
        <v/>
      </c>
      <c r="I1153" s="3">
        <f>IF('ORDENES'!$A1131="","",IF('ORDENES'!$D1131="","-",'ORDENES'!$D1131))</f>
        <v/>
      </c>
      <c r="J1153" s="3">
        <f>IF('ORDENES'!$A1131="","",IF('ORDENES'!$E1131="","-",'ORDENES'!$E1131))</f>
        <v/>
      </c>
      <c r="K1153" s="12">
        <f>IF('ORDENES'!$A1131="","",IF('ORDENES'!$M1131="",0,'ORDENES'!$M1131))</f>
        <v/>
      </c>
      <c r="L1153" s="3">
        <f>IF('ORDENES'!$A1131="","",IF('ORDENES'!$N1131="","-",'ORDENES'!$N1131))</f>
        <v/>
      </c>
      <c r="M1153" s="3">
        <f>IF('ORDENES'!$A1131="","",'ORDENES'!$AA1131)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IF('ORDENES'!$A1132="","",IF('ORDENES'!$AC1132="","-",'ORDENES'!$AC1132))</f>
        <v/>
      </c>
      <c r="D1154" s="3">
        <f>IF('ORDENES'!$A1132="","",IF('ORDENES'!$V1132="","-",'ORDENES'!$V1132))</f>
        <v/>
      </c>
      <c r="E1154" s="3">
        <f>IF('ORDENES'!$A1132="","",IF('ORDENES'!$U1132="","-",'ORDENES'!$U1132))</f>
        <v/>
      </c>
      <c r="F1154" s="3">
        <f>IF('ORDENES'!$A1132="","",IF('ORDENES'!$W1132="","-",'ORDENES'!$W1132))</f>
        <v/>
      </c>
      <c r="G1154" s="3">
        <f>IF('ORDENES'!$A1132="","",IF('ORDENES'!$AB1132="","-",'ORDENES'!$AB1132))</f>
        <v/>
      </c>
      <c r="H1154" s="3">
        <f>IF('ORDENES'!$A1132="","",IF('ORDENES'!$AN1132="","-",'ORDENES'!$AN1132))</f>
        <v/>
      </c>
      <c r="I1154" s="3">
        <f>IF('ORDENES'!$A1132="","",IF('ORDENES'!$D1132="","-",'ORDENES'!$D1132))</f>
        <v/>
      </c>
      <c r="J1154" s="3">
        <f>IF('ORDENES'!$A1132="","",IF('ORDENES'!$E1132="","-",'ORDENES'!$E1132))</f>
        <v/>
      </c>
      <c r="K1154" s="12">
        <f>IF('ORDENES'!$A1132="","",IF('ORDENES'!$M1132="",0,'ORDENES'!$M1132))</f>
        <v/>
      </c>
      <c r="L1154" s="3">
        <f>IF('ORDENES'!$A1132="","",IF('ORDENES'!$N1132="","-",'ORDENES'!$N1132))</f>
        <v/>
      </c>
      <c r="M1154" s="3">
        <f>IF('ORDENES'!$A1132="","",'ORDENES'!$AA1132)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IF('ORDENES'!$A1133="","",IF('ORDENES'!$AC1133="","-",'ORDENES'!$AC1133))</f>
        <v/>
      </c>
      <c r="D1155" s="3">
        <f>IF('ORDENES'!$A1133="","",IF('ORDENES'!$V1133="","-",'ORDENES'!$V1133))</f>
        <v/>
      </c>
      <c r="E1155" s="3">
        <f>IF('ORDENES'!$A1133="","",IF('ORDENES'!$U1133="","-",'ORDENES'!$U1133))</f>
        <v/>
      </c>
      <c r="F1155" s="3">
        <f>IF('ORDENES'!$A1133="","",IF('ORDENES'!$W1133="","-",'ORDENES'!$W1133))</f>
        <v/>
      </c>
      <c r="G1155" s="3">
        <f>IF('ORDENES'!$A1133="","",IF('ORDENES'!$AB1133="","-",'ORDENES'!$AB1133))</f>
        <v/>
      </c>
      <c r="H1155" s="3">
        <f>IF('ORDENES'!$A1133="","",IF('ORDENES'!$AN1133="","-",'ORDENES'!$AN1133))</f>
        <v/>
      </c>
      <c r="I1155" s="3">
        <f>IF('ORDENES'!$A1133="","",IF('ORDENES'!$D1133="","-",'ORDENES'!$D1133))</f>
        <v/>
      </c>
      <c r="J1155" s="3">
        <f>IF('ORDENES'!$A1133="","",IF('ORDENES'!$E1133="","-",'ORDENES'!$E1133))</f>
        <v/>
      </c>
      <c r="K1155" s="12">
        <f>IF('ORDENES'!$A1133="","",IF('ORDENES'!$M1133="",0,'ORDENES'!$M1133))</f>
        <v/>
      </c>
      <c r="L1155" s="3">
        <f>IF('ORDENES'!$A1133="","",IF('ORDENES'!$N1133="","-",'ORDENES'!$N1133))</f>
        <v/>
      </c>
      <c r="M1155" s="3">
        <f>IF('ORDENES'!$A1133="","",'ORDENES'!$AA1133)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IF('ORDENES'!$A1134="","",IF('ORDENES'!$AC1134="","-",'ORDENES'!$AC1134))</f>
        <v/>
      </c>
      <c r="D1156" s="3">
        <f>IF('ORDENES'!$A1134="","",IF('ORDENES'!$V1134="","-",'ORDENES'!$V1134))</f>
        <v/>
      </c>
      <c r="E1156" s="3">
        <f>IF('ORDENES'!$A1134="","",IF('ORDENES'!$U1134="","-",'ORDENES'!$U1134))</f>
        <v/>
      </c>
      <c r="F1156" s="3">
        <f>IF('ORDENES'!$A1134="","",IF('ORDENES'!$W1134="","-",'ORDENES'!$W1134))</f>
        <v/>
      </c>
      <c r="G1156" s="3">
        <f>IF('ORDENES'!$A1134="","",IF('ORDENES'!$AB1134="","-",'ORDENES'!$AB1134))</f>
        <v/>
      </c>
      <c r="H1156" s="3">
        <f>IF('ORDENES'!$A1134="","",IF('ORDENES'!$AN1134="","-",'ORDENES'!$AN1134))</f>
        <v/>
      </c>
      <c r="I1156" s="3">
        <f>IF('ORDENES'!$A1134="","",IF('ORDENES'!$D1134="","-",'ORDENES'!$D1134))</f>
        <v/>
      </c>
      <c r="J1156" s="3">
        <f>IF('ORDENES'!$A1134="","",IF('ORDENES'!$E1134="","-",'ORDENES'!$E1134))</f>
        <v/>
      </c>
      <c r="K1156" s="12">
        <f>IF('ORDENES'!$A1134="","",IF('ORDENES'!$M1134="",0,'ORDENES'!$M1134))</f>
        <v/>
      </c>
      <c r="L1156" s="3">
        <f>IF('ORDENES'!$A1134="","",IF('ORDENES'!$N1134="","-",'ORDENES'!$N1134))</f>
        <v/>
      </c>
      <c r="M1156" s="3">
        <f>IF('ORDENES'!$A1134="","",'ORDENES'!$AA1134)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IF('ORDENES'!$A1135="","",IF('ORDENES'!$AC1135="","-",'ORDENES'!$AC1135))</f>
        <v/>
      </c>
      <c r="D1157" s="3">
        <f>IF('ORDENES'!$A1135="","",IF('ORDENES'!$V1135="","-",'ORDENES'!$V1135))</f>
        <v/>
      </c>
      <c r="E1157" s="3">
        <f>IF('ORDENES'!$A1135="","",IF('ORDENES'!$U1135="","-",'ORDENES'!$U1135))</f>
        <v/>
      </c>
      <c r="F1157" s="3">
        <f>IF('ORDENES'!$A1135="","",IF('ORDENES'!$W1135="","-",'ORDENES'!$W1135))</f>
        <v/>
      </c>
      <c r="G1157" s="3">
        <f>IF('ORDENES'!$A1135="","",IF('ORDENES'!$AB1135="","-",'ORDENES'!$AB1135))</f>
        <v/>
      </c>
      <c r="H1157" s="3">
        <f>IF('ORDENES'!$A1135="","",IF('ORDENES'!$AN1135="","-",'ORDENES'!$AN1135))</f>
        <v/>
      </c>
      <c r="I1157" s="3">
        <f>IF('ORDENES'!$A1135="","",IF('ORDENES'!$D1135="","-",'ORDENES'!$D1135))</f>
        <v/>
      </c>
      <c r="J1157" s="3">
        <f>IF('ORDENES'!$A1135="","",IF('ORDENES'!$E1135="","-",'ORDENES'!$E1135))</f>
        <v/>
      </c>
      <c r="K1157" s="12">
        <f>IF('ORDENES'!$A1135="","",IF('ORDENES'!$M1135="",0,'ORDENES'!$M1135))</f>
        <v/>
      </c>
      <c r="L1157" s="3">
        <f>IF('ORDENES'!$A1135="","",IF('ORDENES'!$N1135="","-",'ORDENES'!$N1135))</f>
        <v/>
      </c>
      <c r="M1157" s="3">
        <f>IF('ORDENES'!$A1135="","",'ORDENES'!$AA1135)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IF('ORDENES'!$A1136="","",IF('ORDENES'!$AC1136="","-",'ORDENES'!$AC1136))</f>
        <v/>
      </c>
      <c r="D1158" s="3">
        <f>IF('ORDENES'!$A1136="","",IF('ORDENES'!$V1136="","-",'ORDENES'!$V1136))</f>
        <v/>
      </c>
      <c r="E1158" s="3">
        <f>IF('ORDENES'!$A1136="","",IF('ORDENES'!$U1136="","-",'ORDENES'!$U1136))</f>
        <v/>
      </c>
      <c r="F1158" s="3">
        <f>IF('ORDENES'!$A1136="","",IF('ORDENES'!$W1136="","-",'ORDENES'!$W1136))</f>
        <v/>
      </c>
      <c r="G1158" s="3">
        <f>IF('ORDENES'!$A1136="","",IF('ORDENES'!$AB1136="","-",'ORDENES'!$AB1136))</f>
        <v/>
      </c>
      <c r="H1158" s="3">
        <f>IF('ORDENES'!$A1136="","",IF('ORDENES'!$AN1136="","-",'ORDENES'!$AN1136))</f>
        <v/>
      </c>
      <c r="I1158" s="3">
        <f>IF('ORDENES'!$A1136="","",IF('ORDENES'!$D1136="","-",'ORDENES'!$D1136))</f>
        <v/>
      </c>
      <c r="J1158" s="3">
        <f>IF('ORDENES'!$A1136="","",IF('ORDENES'!$E1136="","-",'ORDENES'!$E1136))</f>
        <v/>
      </c>
      <c r="K1158" s="12">
        <f>IF('ORDENES'!$A1136="","",IF('ORDENES'!$M1136="",0,'ORDENES'!$M1136))</f>
        <v/>
      </c>
      <c r="L1158" s="3">
        <f>IF('ORDENES'!$A1136="","",IF('ORDENES'!$N1136="","-",'ORDENES'!$N1136))</f>
        <v/>
      </c>
      <c r="M1158" s="3">
        <f>IF('ORDENES'!$A1136="","",'ORDENES'!$AA1136)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IF('ORDENES'!$A1137="","",IF('ORDENES'!$AC1137="","-",'ORDENES'!$AC1137))</f>
        <v/>
      </c>
      <c r="D1159" s="3">
        <f>IF('ORDENES'!$A1137="","",IF('ORDENES'!$V1137="","-",'ORDENES'!$V1137))</f>
        <v/>
      </c>
      <c r="E1159" s="3">
        <f>IF('ORDENES'!$A1137="","",IF('ORDENES'!$U1137="","-",'ORDENES'!$U1137))</f>
        <v/>
      </c>
      <c r="F1159" s="3">
        <f>IF('ORDENES'!$A1137="","",IF('ORDENES'!$W1137="","-",'ORDENES'!$W1137))</f>
        <v/>
      </c>
      <c r="G1159" s="3">
        <f>IF('ORDENES'!$A1137="","",IF('ORDENES'!$AB1137="","-",'ORDENES'!$AB1137))</f>
        <v/>
      </c>
      <c r="H1159" s="3">
        <f>IF('ORDENES'!$A1137="","",IF('ORDENES'!$AN1137="","-",'ORDENES'!$AN1137))</f>
        <v/>
      </c>
      <c r="I1159" s="3">
        <f>IF('ORDENES'!$A1137="","",IF('ORDENES'!$D1137="","-",'ORDENES'!$D1137))</f>
        <v/>
      </c>
      <c r="J1159" s="3">
        <f>IF('ORDENES'!$A1137="","",IF('ORDENES'!$E1137="","-",'ORDENES'!$E1137))</f>
        <v/>
      </c>
      <c r="K1159" s="12">
        <f>IF('ORDENES'!$A1137="","",IF('ORDENES'!$M1137="",0,'ORDENES'!$M1137))</f>
        <v/>
      </c>
      <c r="L1159" s="3">
        <f>IF('ORDENES'!$A1137="","",IF('ORDENES'!$N1137="","-",'ORDENES'!$N1137))</f>
        <v/>
      </c>
      <c r="M1159" s="3">
        <f>IF('ORDENES'!$A1137="","",'ORDENES'!$AA1137)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IF('ORDENES'!$A1138="","",IF('ORDENES'!$AC1138="","-",'ORDENES'!$AC1138))</f>
        <v/>
      </c>
      <c r="D1160" s="3">
        <f>IF('ORDENES'!$A1138="","",IF('ORDENES'!$V1138="","-",'ORDENES'!$V1138))</f>
        <v/>
      </c>
      <c r="E1160" s="3">
        <f>IF('ORDENES'!$A1138="","",IF('ORDENES'!$U1138="","-",'ORDENES'!$U1138))</f>
        <v/>
      </c>
      <c r="F1160" s="3">
        <f>IF('ORDENES'!$A1138="","",IF('ORDENES'!$W1138="","-",'ORDENES'!$W1138))</f>
        <v/>
      </c>
      <c r="G1160" s="3">
        <f>IF('ORDENES'!$A1138="","",IF('ORDENES'!$AB1138="","-",'ORDENES'!$AB1138))</f>
        <v/>
      </c>
      <c r="H1160" s="3">
        <f>IF('ORDENES'!$A1138="","",IF('ORDENES'!$AN1138="","-",'ORDENES'!$AN1138))</f>
        <v/>
      </c>
      <c r="I1160" s="3">
        <f>IF('ORDENES'!$A1138="","",IF('ORDENES'!$D1138="","-",'ORDENES'!$D1138))</f>
        <v/>
      </c>
      <c r="J1160" s="3">
        <f>IF('ORDENES'!$A1138="","",IF('ORDENES'!$E1138="","-",'ORDENES'!$E1138))</f>
        <v/>
      </c>
      <c r="K1160" s="12">
        <f>IF('ORDENES'!$A1138="","",IF('ORDENES'!$M1138="",0,'ORDENES'!$M1138))</f>
        <v/>
      </c>
      <c r="L1160" s="3">
        <f>IF('ORDENES'!$A1138="","",IF('ORDENES'!$N1138="","-",'ORDENES'!$N1138))</f>
        <v/>
      </c>
      <c r="M1160" s="3">
        <f>IF('ORDENES'!$A1138="","",'ORDENES'!$AA1138)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IF('ORDENES'!$A1139="","",IF('ORDENES'!$AC1139="","-",'ORDENES'!$AC1139))</f>
        <v/>
      </c>
      <c r="D1161" s="3">
        <f>IF('ORDENES'!$A1139="","",IF('ORDENES'!$V1139="","-",'ORDENES'!$V1139))</f>
        <v/>
      </c>
      <c r="E1161" s="3">
        <f>IF('ORDENES'!$A1139="","",IF('ORDENES'!$U1139="","-",'ORDENES'!$U1139))</f>
        <v/>
      </c>
      <c r="F1161" s="3">
        <f>IF('ORDENES'!$A1139="","",IF('ORDENES'!$W1139="","-",'ORDENES'!$W1139))</f>
        <v/>
      </c>
      <c r="G1161" s="3">
        <f>IF('ORDENES'!$A1139="","",IF('ORDENES'!$AB1139="","-",'ORDENES'!$AB1139))</f>
        <v/>
      </c>
      <c r="H1161" s="3">
        <f>IF('ORDENES'!$A1139="","",IF('ORDENES'!$AN1139="","-",'ORDENES'!$AN1139))</f>
        <v/>
      </c>
      <c r="I1161" s="3">
        <f>IF('ORDENES'!$A1139="","",IF('ORDENES'!$D1139="","-",'ORDENES'!$D1139))</f>
        <v/>
      </c>
      <c r="J1161" s="3">
        <f>IF('ORDENES'!$A1139="","",IF('ORDENES'!$E1139="","-",'ORDENES'!$E1139))</f>
        <v/>
      </c>
      <c r="K1161" s="12">
        <f>IF('ORDENES'!$A1139="","",IF('ORDENES'!$M1139="",0,'ORDENES'!$M1139))</f>
        <v/>
      </c>
      <c r="L1161" s="3">
        <f>IF('ORDENES'!$A1139="","",IF('ORDENES'!$N1139="","-",'ORDENES'!$N1139))</f>
        <v/>
      </c>
      <c r="M1161" s="3">
        <f>IF('ORDENES'!$A1139="","",'ORDENES'!$AA1139)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IF('ORDENES'!$A1140="","",IF('ORDENES'!$AC1140="","-",'ORDENES'!$AC1140))</f>
        <v/>
      </c>
      <c r="D1162" s="3">
        <f>IF('ORDENES'!$A1140="","",IF('ORDENES'!$V1140="","-",'ORDENES'!$V1140))</f>
        <v/>
      </c>
      <c r="E1162" s="3">
        <f>IF('ORDENES'!$A1140="","",IF('ORDENES'!$U1140="","-",'ORDENES'!$U1140))</f>
        <v/>
      </c>
      <c r="F1162" s="3">
        <f>IF('ORDENES'!$A1140="","",IF('ORDENES'!$W1140="","-",'ORDENES'!$W1140))</f>
        <v/>
      </c>
      <c r="G1162" s="3">
        <f>IF('ORDENES'!$A1140="","",IF('ORDENES'!$AB1140="","-",'ORDENES'!$AB1140))</f>
        <v/>
      </c>
      <c r="H1162" s="3">
        <f>IF('ORDENES'!$A1140="","",IF('ORDENES'!$AN1140="","-",'ORDENES'!$AN1140))</f>
        <v/>
      </c>
      <c r="I1162" s="3">
        <f>IF('ORDENES'!$A1140="","",IF('ORDENES'!$D1140="","-",'ORDENES'!$D1140))</f>
        <v/>
      </c>
      <c r="J1162" s="3">
        <f>IF('ORDENES'!$A1140="","",IF('ORDENES'!$E1140="","-",'ORDENES'!$E1140))</f>
        <v/>
      </c>
      <c r="K1162" s="12">
        <f>IF('ORDENES'!$A1140="","",IF('ORDENES'!$M1140="",0,'ORDENES'!$M1140))</f>
        <v/>
      </c>
      <c r="L1162" s="3">
        <f>IF('ORDENES'!$A1140="","",IF('ORDENES'!$N1140="","-",'ORDENES'!$N1140))</f>
        <v/>
      </c>
      <c r="M1162" s="3">
        <f>IF('ORDENES'!$A1140="","",'ORDENES'!$AA1140)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IF('ORDENES'!$A1141="","",IF('ORDENES'!$AC1141="","-",'ORDENES'!$AC1141))</f>
        <v/>
      </c>
      <c r="D1163" s="3">
        <f>IF('ORDENES'!$A1141="","",IF('ORDENES'!$V1141="","-",'ORDENES'!$V1141))</f>
        <v/>
      </c>
      <c r="E1163" s="3">
        <f>IF('ORDENES'!$A1141="","",IF('ORDENES'!$U1141="","-",'ORDENES'!$U1141))</f>
        <v/>
      </c>
      <c r="F1163" s="3">
        <f>IF('ORDENES'!$A1141="","",IF('ORDENES'!$W1141="","-",'ORDENES'!$W1141))</f>
        <v/>
      </c>
      <c r="G1163" s="3">
        <f>IF('ORDENES'!$A1141="","",IF('ORDENES'!$AB1141="","-",'ORDENES'!$AB1141))</f>
        <v/>
      </c>
      <c r="H1163" s="3">
        <f>IF('ORDENES'!$A1141="","",IF('ORDENES'!$AN1141="","-",'ORDENES'!$AN1141))</f>
        <v/>
      </c>
      <c r="I1163" s="3">
        <f>IF('ORDENES'!$A1141="","",IF('ORDENES'!$D1141="","-",'ORDENES'!$D1141))</f>
        <v/>
      </c>
      <c r="J1163" s="3">
        <f>IF('ORDENES'!$A1141="","",IF('ORDENES'!$E1141="","-",'ORDENES'!$E1141))</f>
        <v/>
      </c>
      <c r="K1163" s="12">
        <f>IF('ORDENES'!$A1141="","",IF('ORDENES'!$M1141="",0,'ORDENES'!$M1141))</f>
        <v/>
      </c>
      <c r="L1163" s="3">
        <f>IF('ORDENES'!$A1141="","",IF('ORDENES'!$N1141="","-",'ORDENES'!$N1141))</f>
        <v/>
      </c>
      <c r="M1163" s="3">
        <f>IF('ORDENES'!$A1141="","",'ORDENES'!$AA1141)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IF('ORDENES'!$A1142="","",IF('ORDENES'!$AC1142="","-",'ORDENES'!$AC1142))</f>
        <v/>
      </c>
      <c r="D1164" s="3">
        <f>IF('ORDENES'!$A1142="","",IF('ORDENES'!$V1142="","-",'ORDENES'!$V1142))</f>
        <v/>
      </c>
      <c r="E1164" s="3">
        <f>IF('ORDENES'!$A1142="","",IF('ORDENES'!$U1142="","-",'ORDENES'!$U1142))</f>
        <v/>
      </c>
      <c r="F1164" s="3">
        <f>IF('ORDENES'!$A1142="","",IF('ORDENES'!$W1142="","-",'ORDENES'!$W1142))</f>
        <v/>
      </c>
      <c r="G1164" s="3">
        <f>IF('ORDENES'!$A1142="","",IF('ORDENES'!$AB1142="","-",'ORDENES'!$AB1142))</f>
        <v/>
      </c>
      <c r="H1164" s="3">
        <f>IF('ORDENES'!$A1142="","",IF('ORDENES'!$AN1142="","-",'ORDENES'!$AN1142))</f>
        <v/>
      </c>
      <c r="I1164" s="3">
        <f>IF('ORDENES'!$A1142="","",IF('ORDENES'!$D1142="","-",'ORDENES'!$D1142))</f>
        <v/>
      </c>
      <c r="J1164" s="3">
        <f>IF('ORDENES'!$A1142="","",IF('ORDENES'!$E1142="","-",'ORDENES'!$E1142))</f>
        <v/>
      </c>
      <c r="K1164" s="12">
        <f>IF('ORDENES'!$A1142="","",IF('ORDENES'!$M1142="",0,'ORDENES'!$M1142))</f>
        <v/>
      </c>
      <c r="L1164" s="3">
        <f>IF('ORDENES'!$A1142="","",IF('ORDENES'!$N1142="","-",'ORDENES'!$N1142))</f>
        <v/>
      </c>
      <c r="M1164" s="3">
        <f>IF('ORDENES'!$A1142="","",'ORDENES'!$AA1142)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IF('ORDENES'!$A1143="","",IF('ORDENES'!$AC1143="","-",'ORDENES'!$AC1143))</f>
        <v/>
      </c>
      <c r="D1165" s="3">
        <f>IF('ORDENES'!$A1143="","",IF('ORDENES'!$V1143="","-",'ORDENES'!$V1143))</f>
        <v/>
      </c>
      <c r="E1165" s="3">
        <f>IF('ORDENES'!$A1143="","",IF('ORDENES'!$U1143="","-",'ORDENES'!$U1143))</f>
        <v/>
      </c>
      <c r="F1165" s="3">
        <f>IF('ORDENES'!$A1143="","",IF('ORDENES'!$W1143="","-",'ORDENES'!$W1143))</f>
        <v/>
      </c>
      <c r="G1165" s="3">
        <f>IF('ORDENES'!$A1143="","",IF('ORDENES'!$AB1143="","-",'ORDENES'!$AB1143))</f>
        <v/>
      </c>
      <c r="H1165" s="3">
        <f>IF('ORDENES'!$A1143="","",IF('ORDENES'!$AN1143="","-",'ORDENES'!$AN1143))</f>
        <v/>
      </c>
      <c r="I1165" s="3">
        <f>IF('ORDENES'!$A1143="","",IF('ORDENES'!$D1143="","-",'ORDENES'!$D1143))</f>
        <v/>
      </c>
      <c r="J1165" s="3">
        <f>IF('ORDENES'!$A1143="","",IF('ORDENES'!$E1143="","-",'ORDENES'!$E1143))</f>
        <v/>
      </c>
      <c r="K1165" s="12">
        <f>IF('ORDENES'!$A1143="","",IF('ORDENES'!$M1143="",0,'ORDENES'!$M1143))</f>
        <v/>
      </c>
      <c r="L1165" s="3">
        <f>IF('ORDENES'!$A1143="","",IF('ORDENES'!$N1143="","-",'ORDENES'!$N1143))</f>
        <v/>
      </c>
      <c r="M1165" s="3">
        <f>IF('ORDENES'!$A1143="","",'ORDENES'!$AA1143)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IF('ORDENES'!$A1144="","",IF('ORDENES'!$AC1144="","-",'ORDENES'!$AC1144))</f>
        <v/>
      </c>
      <c r="D1166" s="3">
        <f>IF('ORDENES'!$A1144="","",IF('ORDENES'!$V1144="","-",'ORDENES'!$V1144))</f>
        <v/>
      </c>
      <c r="E1166" s="3">
        <f>IF('ORDENES'!$A1144="","",IF('ORDENES'!$U1144="","-",'ORDENES'!$U1144))</f>
        <v/>
      </c>
      <c r="F1166" s="3">
        <f>IF('ORDENES'!$A1144="","",IF('ORDENES'!$W1144="","-",'ORDENES'!$W1144))</f>
        <v/>
      </c>
      <c r="G1166" s="3">
        <f>IF('ORDENES'!$A1144="","",IF('ORDENES'!$AB1144="","-",'ORDENES'!$AB1144))</f>
        <v/>
      </c>
      <c r="H1166" s="3">
        <f>IF('ORDENES'!$A1144="","",IF('ORDENES'!$AN1144="","-",'ORDENES'!$AN1144))</f>
        <v/>
      </c>
      <c r="I1166" s="3">
        <f>IF('ORDENES'!$A1144="","",IF('ORDENES'!$D1144="","-",'ORDENES'!$D1144))</f>
        <v/>
      </c>
      <c r="J1166" s="3">
        <f>IF('ORDENES'!$A1144="","",IF('ORDENES'!$E1144="","-",'ORDENES'!$E1144))</f>
        <v/>
      </c>
      <c r="K1166" s="12">
        <f>IF('ORDENES'!$A1144="","",IF('ORDENES'!$M1144="",0,'ORDENES'!$M1144))</f>
        <v/>
      </c>
      <c r="L1166" s="3">
        <f>IF('ORDENES'!$A1144="","",IF('ORDENES'!$N1144="","-",'ORDENES'!$N1144))</f>
        <v/>
      </c>
      <c r="M1166" s="3">
        <f>IF('ORDENES'!$A1144="","",'ORDENES'!$AA1144)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IF('ORDENES'!$A1145="","",IF('ORDENES'!$AC1145="","-",'ORDENES'!$AC1145))</f>
        <v/>
      </c>
      <c r="D1167" s="3">
        <f>IF('ORDENES'!$A1145="","",IF('ORDENES'!$V1145="","-",'ORDENES'!$V1145))</f>
        <v/>
      </c>
      <c r="E1167" s="3">
        <f>IF('ORDENES'!$A1145="","",IF('ORDENES'!$U1145="","-",'ORDENES'!$U1145))</f>
        <v/>
      </c>
      <c r="F1167" s="3">
        <f>IF('ORDENES'!$A1145="","",IF('ORDENES'!$W1145="","-",'ORDENES'!$W1145))</f>
        <v/>
      </c>
      <c r="G1167" s="3">
        <f>IF('ORDENES'!$A1145="","",IF('ORDENES'!$AB1145="","-",'ORDENES'!$AB1145))</f>
        <v/>
      </c>
      <c r="H1167" s="3">
        <f>IF('ORDENES'!$A1145="","",IF('ORDENES'!$AN1145="","-",'ORDENES'!$AN1145))</f>
        <v/>
      </c>
      <c r="I1167" s="3">
        <f>IF('ORDENES'!$A1145="","",IF('ORDENES'!$D1145="","-",'ORDENES'!$D1145))</f>
        <v/>
      </c>
      <c r="J1167" s="3">
        <f>IF('ORDENES'!$A1145="","",IF('ORDENES'!$E1145="","-",'ORDENES'!$E1145))</f>
        <v/>
      </c>
      <c r="K1167" s="12">
        <f>IF('ORDENES'!$A1145="","",IF('ORDENES'!$M1145="",0,'ORDENES'!$M1145))</f>
        <v/>
      </c>
      <c r="L1167" s="3">
        <f>IF('ORDENES'!$A1145="","",IF('ORDENES'!$N1145="","-",'ORDENES'!$N1145))</f>
        <v/>
      </c>
      <c r="M1167" s="3">
        <f>IF('ORDENES'!$A1145="","",'ORDENES'!$AA1145)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IF('ORDENES'!$A1146="","",IF('ORDENES'!$AC1146="","-",'ORDENES'!$AC1146))</f>
        <v/>
      </c>
      <c r="D1168" s="3">
        <f>IF('ORDENES'!$A1146="","",IF('ORDENES'!$V1146="","-",'ORDENES'!$V1146))</f>
        <v/>
      </c>
      <c r="E1168" s="3">
        <f>IF('ORDENES'!$A1146="","",IF('ORDENES'!$U1146="","-",'ORDENES'!$U1146))</f>
        <v/>
      </c>
      <c r="F1168" s="3">
        <f>IF('ORDENES'!$A1146="","",IF('ORDENES'!$W1146="","-",'ORDENES'!$W1146))</f>
        <v/>
      </c>
      <c r="G1168" s="3">
        <f>IF('ORDENES'!$A1146="","",IF('ORDENES'!$AB1146="","-",'ORDENES'!$AB1146))</f>
        <v/>
      </c>
      <c r="H1168" s="3">
        <f>IF('ORDENES'!$A1146="","",IF('ORDENES'!$AN1146="","-",'ORDENES'!$AN1146))</f>
        <v/>
      </c>
      <c r="I1168" s="3">
        <f>IF('ORDENES'!$A1146="","",IF('ORDENES'!$D1146="","-",'ORDENES'!$D1146))</f>
        <v/>
      </c>
      <c r="J1168" s="3">
        <f>IF('ORDENES'!$A1146="","",IF('ORDENES'!$E1146="","-",'ORDENES'!$E1146))</f>
        <v/>
      </c>
      <c r="K1168" s="12">
        <f>IF('ORDENES'!$A1146="","",IF('ORDENES'!$M1146="",0,'ORDENES'!$M1146))</f>
        <v/>
      </c>
      <c r="L1168" s="3">
        <f>IF('ORDENES'!$A1146="","",IF('ORDENES'!$N1146="","-",'ORDENES'!$N1146))</f>
        <v/>
      </c>
      <c r="M1168" s="3">
        <f>IF('ORDENES'!$A1146="","",'ORDENES'!$AA1146)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IF('ORDENES'!$A1147="","",IF('ORDENES'!$AC1147="","-",'ORDENES'!$AC1147))</f>
        <v/>
      </c>
      <c r="D1169" s="3">
        <f>IF('ORDENES'!$A1147="","",IF('ORDENES'!$V1147="","-",'ORDENES'!$V1147))</f>
        <v/>
      </c>
      <c r="E1169" s="3">
        <f>IF('ORDENES'!$A1147="","",IF('ORDENES'!$U1147="","-",'ORDENES'!$U1147))</f>
        <v/>
      </c>
      <c r="F1169" s="3">
        <f>IF('ORDENES'!$A1147="","",IF('ORDENES'!$W1147="","-",'ORDENES'!$W1147))</f>
        <v/>
      </c>
      <c r="G1169" s="3">
        <f>IF('ORDENES'!$A1147="","",IF('ORDENES'!$AB1147="","-",'ORDENES'!$AB1147))</f>
        <v/>
      </c>
      <c r="H1169" s="3">
        <f>IF('ORDENES'!$A1147="","",IF('ORDENES'!$AN1147="","-",'ORDENES'!$AN1147))</f>
        <v/>
      </c>
      <c r="I1169" s="3">
        <f>IF('ORDENES'!$A1147="","",IF('ORDENES'!$D1147="","-",'ORDENES'!$D1147))</f>
        <v/>
      </c>
      <c r="J1169" s="3">
        <f>IF('ORDENES'!$A1147="","",IF('ORDENES'!$E1147="","-",'ORDENES'!$E1147))</f>
        <v/>
      </c>
      <c r="K1169" s="12">
        <f>IF('ORDENES'!$A1147="","",IF('ORDENES'!$M1147="",0,'ORDENES'!$M1147))</f>
        <v/>
      </c>
      <c r="L1169" s="3">
        <f>IF('ORDENES'!$A1147="","",IF('ORDENES'!$N1147="","-",'ORDENES'!$N1147))</f>
        <v/>
      </c>
      <c r="M1169" s="3">
        <f>IF('ORDENES'!$A1147="","",'ORDENES'!$AA1147)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IF('ORDENES'!$A1148="","",IF('ORDENES'!$AC1148="","-",'ORDENES'!$AC1148))</f>
        <v/>
      </c>
      <c r="D1170" s="3">
        <f>IF('ORDENES'!$A1148="","",IF('ORDENES'!$V1148="","-",'ORDENES'!$V1148))</f>
        <v/>
      </c>
      <c r="E1170" s="3">
        <f>IF('ORDENES'!$A1148="","",IF('ORDENES'!$U1148="","-",'ORDENES'!$U1148))</f>
        <v/>
      </c>
      <c r="F1170" s="3">
        <f>IF('ORDENES'!$A1148="","",IF('ORDENES'!$W1148="","-",'ORDENES'!$W1148))</f>
        <v/>
      </c>
      <c r="G1170" s="3">
        <f>IF('ORDENES'!$A1148="","",IF('ORDENES'!$AB1148="","-",'ORDENES'!$AB1148))</f>
        <v/>
      </c>
      <c r="H1170" s="3">
        <f>IF('ORDENES'!$A1148="","",IF('ORDENES'!$AN1148="","-",'ORDENES'!$AN1148))</f>
        <v/>
      </c>
      <c r="I1170" s="3">
        <f>IF('ORDENES'!$A1148="","",IF('ORDENES'!$D1148="","-",'ORDENES'!$D1148))</f>
        <v/>
      </c>
      <c r="J1170" s="3">
        <f>IF('ORDENES'!$A1148="","",IF('ORDENES'!$E1148="","-",'ORDENES'!$E1148))</f>
        <v/>
      </c>
      <c r="K1170" s="12">
        <f>IF('ORDENES'!$A1148="","",IF('ORDENES'!$M1148="",0,'ORDENES'!$M1148))</f>
        <v/>
      </c>
      <c r="L1170" s="3">
        <f>IF('ORDENES'!$A1148="","",IF('ORDENES'!$N1148="","-",'ORDENES'!$N1148))</f>
        <v/>
      </c>
      <c r="M1170" s="3">
        <f>IF('ORDENES'!$A1148="","",'ORDENES'!$AA1148)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IF('ORDENES'!$A1149="","",IF('ORDENES'!$AC1149="","-",'ORDENES'!$AC1149))</f>
        <v/>
      </c>
      <c r="D1171" s="3">
        <f>IF('ORDENES'!$A1149="","",IF('ORDENES'!$V1149="","-",'ORDENES'!$V1149))</f>
        <v/>
      </c>
      <c r="E1171" s="3">
        <f>IF('ORDENES'!$A1149="","",IF('ORDENES'!$U1149="","-",'ORDENES'!$U1149))</f>
        <v/>
      </c>
      <c r="F1171" s="3">
        <f>IF('ORDENES'!$A1149="","",IF('ORDENES'!$W1149="","-",'ORDENES'!$W1149))</f>
        <v/>
      </c>
      <c r="G1171" s="3">
        <f>IF('ORDENES'!$A1149="","",IF('ORDENES'!$AB1149="","-",'ORDENES'!$AB1149))</f>
        <v/>
      </c>
      <c r="H1171" s="3">
        <f>IF('ORDENES'!$A1149="","",IF('ORDENES'!$AN1149="","-",'ORDENES'!$AN1149))</f>
        <v/>
      </c>
      <c r="I1171" s="3">
        <f>IF('ORDENES'!$A1149="","",IF('ORDENES'!$D1149="","-",'ORDENES'!$D1149))</f>
        <v/>
      </c>
      <c r="J1171" s="3">
        <f>IF('ORDENES'!$A1149="","",IF('ORDENES'!$E1149="","-",'ORDENES'!$E1149))</f>
        <v/>
      </c>
      <c r="K1171" s="12">
        <f>IF('ORDENES'!$A1149="","",IF('ORDENES'!$M1149="",0,'ORDENES'!$M1149))</f>
        <v/>
      </c>
      <c r="L1171" s="3">
        <f>IF('ORDENES'!$A1149="","",IF('ORDENES'!$N1149="","-",'ORDENES'!$N1149))</f>
        <v/>
      </c>
      <c r="M1171" s="3">
        <f>IF('ORDENES'!$A1149="","",'ORDENES'!$AA1149)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IF('ORDENES'!$A1150="","",IF('ORDENES'!$AC1150="","-",'ORDENES'!$AC1150))</f>
        <v/>
      </c>
      <c r="D1172" s="3">
        <f>IF('ORDENES'!$A1150="","",IF('ORDENES'!$V1150="","-",'ORDENES'!$V1150))</f>
        <v/>
      </c>
      <c r="E1172" s="3">
        <f>IF('ORDENES'!$A1150="","",IF('ORDENES'!$U1150="","-",'ORDENES'!$U1150))</f>
        <v/>
      </c>
      <c r="F1172" s="3">
        <f>IF('ORDENES'!$A1150="","",IF('ORDENES'!$W1150="","-",'ORDENES'!$W1150))</f>
        <v/>
      </c>
      <c r="G1172" s="3">
        <f>IF('ORDENES'!$A1150="","",IF('ORDENES'!$AB1150="","-",'ORDENES'!$AB1150))</f>
        <v/>
      </c>
      <c r="H1172" s="3">
        <f>IF('ORDENES'!$A1150="","",IF('ORDENES'!$AN1150="","-",'ORDENES'!$AN1150))</f>
        <v/>
      </c>
      <c r="I1172" s="3">
        <f>IF('ORDENES'!$A1150="","",IF('ORDENES'!$D1150="","-",'ORDENES'!$D1150))</f>
        <v/>
      </c>
      <c r="J1172" s="3">
        <f>IF('ORDENES'!$A1150="","",IF('ORDENES'!$E1150="","-",'ORDENES'!$E1150))</f>
        <v/>
      </c>
      <c r="K1172" s="12">
        <f>IF('ORDENES'!$A1150="","",IF('ORDENES'!$M1150="",0,'ORDENES'!$M1150))</f>
        <v/>
      </c>
      <c r="L1172" s="3">
        <f>IF('ORDENES'!$A1150="","",IF('ORDENES'!$N1150="","-",'ORDENES'!$N1150))</f>
        <v/>
      </c>
      <c r="M1172" s="3">
        <f>IF('ORDENES'!$A1150="","",'ORDENES'!$AA1150)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IF('ORDENES'!$A1151="","",IF('ORDENES'!$AC1151="","-",'ORDENES'!$AC1151))</f>
        <v/>
      </c>
      <c r="D1173" s="3">
        <f>IF('ORDENES'!$A1151="","",IF('ORDENES'!$V1151="","-",'ORDENES'!$V1151))</f>
        <v/>
      </c>
      <c r="E1173" s="3">
        <f>IF('ORDENES'!$A1151="","",IF('ORDENES'!$U1151="","-",'ORDENES'!$U1151))</f>
        <v/>
      </c>
      <c r="F1173" s="3">
        <f>IF('ORDENES'!$A1151="","",IF('ORDENES'!$W1151="","-",'ORDENES'!$W1151))</f>
        <v/>
      </c>
      <c r="G1173" s="3">
        <f>IF('ORDENES'!$A1151="","",IF('ORDENES'!$AB1151="","-",'ORDENES'!$AB1151))</f>
        <v/>
      </c>
      <c r="H1173" s="3">
        <f>IF('ORDENES'!$A1151="","",IF('ORDENES'!$AN1151="","-",'ORDENES'!$AN1151))</f>
        <v/>
      </c>
      <c r="I1173" s="3">
        <f>IF('ORDENES'!$A1151="","",IF('ORDENES'!$D1151="","-",'ORDENES'!$D1151))</f>
        <v/>
      </c>
      <c r="J1173" s="3">
        <f>IF('ORDENES'!$A1151="","",IF('ORDENES'!$E1151="","-",'ORDENES'!$E1151))</f>
        <v/>
      </c>
      <c r="K1173" s="12">
        <f>IF('ORDENES'!$A1151="","",IF('ORDENES'!$M1151="",0,'ORDENES'!$M1151))</f>
        <v/>
      </c>
      <c r="L1173" s="3">
        <f>IF('ORDENES'!$A1151="","",IF('ORDENES'!$N1151="","-",'ORDENES'!$N1151))</f>
        <v/>
      </c>
      <c r="M1173" s="3">
        <f>IF('ORDENES'!$A1151="","",'ORDENES'!$AA1151)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IF('ORDENES'!$A1152="","",IF('ORDENES'!$AC1152="","-",'ORDENES'!$AC1152))</f>
        <v/>
      </c>
      <c r="D1174" s="3">
        <f>IF('ORDENES'!$A1152="","",IF('ORDENES'!$V1152="","-",'ORDENES'!$V1152))</f>
        <v/>
      </c>
      <c r="E1174" s="3">
        <f>IF('ORDENES'!$A1152="","",IF('ORDENES'!$U1152="","-",'ORDENES'!$U1152))</f>
        <v/>
      </c>
      <c r="F1174" s="3">
        <f>IF('ORDENES'!$A1152="","",IF('ORDENES'!$W1152="","-",'ORDENES'!$W1152))</f>
        <v/>
      </c>
      <c r="G1174" s="3">
        <f>IF('ORDENES'!$A1152="","",IF('ORDENES'!$AB1152="","-",'ORDENES'!$AB1152))</f>
        <v/>
      </c>
      <c r="H1174" s="3">
        <f>IF('ORDENES'!$A1152="","",IF('ORDENES'!$AN1152="","-",'ORDENES'!$AN1152))</f>
        <v/>
      </c>
      <c r="I1174" s="3">
        <f>IF('ORDENES'!$A1152="","",IF('ORDENES'!$D1152="","-",'ORDENES'!$D1152))</f>
        <v/>
      </c>
      <c r="J1174" s="3">
        <f>IF('ORDENES'!$A1152="","",IF('ORDENES'!$E1152="","-",'ORDENES'!$E1152))</f>
        <v/>
      </c>
      <c r="K1174" s="12">
        <f>IF('ORDENES'!$A1152="","",IF('ORDENES'!$M1152="",0,'ORDENES'!$M1152))</f>
        <v/>
      </c>
      <c r="L1174" s="3">
        <f>IF('ORDENES'!$A1152="","",IF('ORDENES'!$N1152="","-",'ORDENES'!$N1152))</f>
        <v/>
      </c>
      <c r="M1174" s="3">
        <f>IF('ORDENES'!$A1152="","",'ORDENES'!$AA1152)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IF('ORDENES'!$A1153="","",IF('ORDENES'!$AC1153="","-",'ORDENES'!$AC1153))</f>
        <v/>
      </c>
      <c r="D1175" s="3">
        <f>IF('ORDENES'!$A1153="","",IF('ORDENES'!$V1153="","-",'ORDENES'!$V1153))</f>
        <v/>
      </c>
      <c r="E1175" s="3">
        <f>IF('ORDENES'!$A1153="","",IF('ORDENES'!$U1153="","-",'ORDENES'!$U1153))</f>
        <v/>
      </c>
      <c r="F1175" s="3">
        <f>IF('ORDENES'!$A1153="","",IF('ORDENES'!$W1153="","-",'ORDENES'!$W1153))</f>
        <v/>
      </c>
      <c r="G1175" s="3">
        <f>IF('ORDENES'!$A1153="","",IF('ORDENES'!$AB1153="","-",'ORDENES'!$AB1153))</f>
        <v/>
      </c>
      <c r="H1175" s="3">
        <f>IF('ORDENES'!$A1153="","",IF('ORDENES'!$AN1153="","-",'ORDENES'!$AN1153))</f>
        <v/>
      </c>
      <c r="I1175" s="3">
        <f>IF('ORDENES'!$A1153="","",IF('ORDENES'!$D1153="","-",'ORDENES'!$D1153))</f>
        <v/>
      </c>
      <c r="J1175" s="3">
        <f>IF('ORDENES'!$A1153="","",IF('ORDENES'!$E1153="","-",'ORDENES'!$E1153))</f>
        <v/>
      </c>
      <c r="K1175" s="12">
        <f>IF('ORDENES'!$A1153="","",IF('ORDENES'!$M1153="",0,'ORDENES'!$M1153))</f>
        <v/>
      </c>
      <c r="L1175" s="3">
        <f>IF('ORDENES'!$A1153="","",IF('ORDENES'!$N1153="","-",'ORDENES'!$N1153))</f>
        <v/>
      </c>
      <c r="M1175" s="3">
        <f>IF('ORDENES'!$A1153="","",'ORDENES'!$AA1153)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IF('ORDENES'!$A1154="","",IF('ORDENES'!$AC1154="","-",'ORDENES'!$AC1154))</f>
        <v/>
      </c>
      <c r="D1176" s="3">
        <f>IF('ORDENES'!$A1154="","",IF('ORDENES'!$V1154="","-",'ORDENES'!$V1154))</f>
        <v/>
      </c>
      <c r="E1176" s="3">
        <f>IF('ORDENES'!$A1154="","",IF('ORDENES'!$U1154="","-",'ORDENES'!$U1154))</f>
        <v/>
      </c>
      <c r="F1176" s="3">
        <f>IF('ORDENES'!$A1154="","",IF('ORDENES'!$W1154="","-",'ORDENES'!$W1154))</f>
        <v/>
      </c>
      <c r="G1176" s="3">
        <f>IF('ORDENES'!$A1154="","",IF('ORDENES'!$AB1154="","-",'ORDENES'!$AB1154))</f>
        <v/>
      </c>
      <c r="H1176" s="3">
        <f>IF('ORDENES'!$A1154="","",IF('ORDENES'!$AN1154="","-",'ORDENES'!$AN1154))</f>
        <v/>
      </c>
      <c r="I1176" s="3">
        <f>IF('ORDENES'!$A1154="","",IF('ORDENES'!$D1154="","-",'ORDENES'!$D1154))</f>
        <v/>
      </c>
      <c r="J1176" s="3">
        <f>IF('ORDENES'!$A1154="","",IF('ORDENES'!$E1154="","-",'ORDENES'!$E1154))</f>
        <v/>
      </c>
      <c r="K1176" s="12">
        <f>IF('ORDENES'!$A1154="","",IF('ORDENES'!$M1154="",0,'ORDENES'!$M1154))</f>
        <v/>
      </c>
      <c r="L1176" s="3">
        <f>IF('ORDENES'!$A1154="","",IF('ORDENES'!$N1154="","-",'ORDENES'!$N1154))</f>
        <v/>
      </c>
      <c r="M1176" s="3">
        <f>IF('ORDENES'!$A1154="","",'ORDENES'!$AA1154)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IF('ORDENES'!$A1155="","",IF('ORDENES'!$AC1155="","-",'ORDENES'!$AC1155))</f>
        <v/>
      </c>
      <c r="D1177" s="3">
        <f>IF('ORDENES'!$A1155="","",IF('ORDENES'!$V1155="","-",'ORDENES'!$V1155))</f>
        <v/>
      </c>
      <c r="E1177" s="3">
        <f>IF('ORDENES'!$A1155="","",IF('ORDENES'!$U1155="","-",'ORDENES'!$U1155))</f>
        <v/>
      </c>
      <c r="F1177" s="3">
        <f>IF('ORDENES'!$A1155="","",IF('ORDENES'!$W1155="","-",'ORDENES'!$W1155))</f>
        <v/>
      </c>
      <c r="G1177" s="3">
        <f>IF('ORDENES'!$A1155="","",IF('ORDENES'!$AB1155="","-",'ORDENES'!$AB1155))</f>
        <v/>
      </c>
      <c r="H1177" s="3">
        <f>IF('ORDENES'!$A1155="","",IF('ORDENES'!$AN1155="","-",'ORDENES'!$AN1155))</f>
        <v/>
      </c>
      <c r="I1177" s="3">
        <f>IF('ORDENES'!$A1155="","",IF('ORDENES'!$D1155="","-",'ORDENES'!$D1155))</f>
        <v/>
      </c>
      <c r="J1177" s="3">
        <f>IF('ORDENES'!$A1155="","",IF('ORDENES'!$E1155="","-",'ORDENES'!$E1155))</f>
        <v/>
      </c>
      <c r="K1177" s="12">
        <f>IF('ORDENES'!$A1155="","",IF('ORDENES'!$M1155="",0,'ORDENES'!$M1155))</f>
        <v/>
      </c>
      <c r="L1177" s="3">
        <f>IF('ORDENES'!$A1155="","",IF('ORDENES'!$N1155="","-",'ORDENES'!$N1155))</f>
        <v/>
      </c>
      <c r="M1177" s="3">
        <f>IF('ORDENES'!$A1155="","",'ORDENES'!$AA1155)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IF('ORDENES'!$A1156="","",IF('ORDENES'!$AC1156="","-",'ORDENES'!$AC1156))</f>
        <v/>
      </c>
      <c r="D1178" s="3">
        <f>IF('ORDENES'!$A1156="","",IF('ORDENES'!$V1156="","-",'ORDENES'!$V1156))</f>
        <v/>
      </c>
      <c r="E1178" s="3">
        <f>IF('ORDENES'!$A1156="","",IF('ORDENES'!$U1156="","-",'ORDENES'!$U1156))</f>
        <v/>
      </c>
      <c r="F1178" s="3">
        <f>IF('ORDENES'!$A1156="","",IF('ORDENES'!$W1156="","-",'ORDENES'!$W1156))</f>
        <v/>
      </c>
      <c r="G1178" s="3">
        <f>IF('ORDENES'!$A1156="","",IF('ORDENES'!$AB1156="","-",'ORDENES'!$AB1156))</f>
        <v/>
      </c>
      <c r="H1178" s="3">
        <f>IF('ORDENES'!$A1156="","",IF('ORDENES'!$AN1156="","-",'ORDENES'!$AN1156))</f>
        <v/>
      </c>
      <c r="I1178" s="3">
        <f>IF('ORDENES'!$A1156="","",IF('ORDENES'!$D1156="","-",'ORDENES'!$D1156))</f>
        <v/>
      </c>
      <c r="J1178" s="3">
        <f>IF('ORDENES'!$A1156="","",IF('ORDENES'!$E1156="","-",'ORDENES'!$E1156))</f>
        <v/>
      </c>
      <c r="K1178" s="12">
        <f>IF('ORDENES'!$A1156="","",IF('ORDENES'!$M1156="",0,'ORDENES'!$M1156))</f>
        <v/>
      </c>
      <c r="L1178" s="3">
        <f>IF('ORDENES'!$A1156="","",IF('ORDENES'!$N1156="","-",'ORDENES'!$N1156))</f>
        <v/>
      </c>
      <c r="M1178" s="3">
        <f>IF('ORDENES'!$A1156="","",'ORDENES'!$AA1156)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IF('ORDENES'!$A1157="","",IF('ORDENES'!$AC1157="","-",'ORDENES'!$AC1157))</f>
        <v/>
      </c>
      <c r="D1179" s="3">
        <f>IF('ORDENES'!$A1157="","",IF('ORDENES'!$V1157="","-",'ORDENES'!$V1157))</f>
        <v/>
      </c>
      <c r="E1179" s="3">
        <f>IF('ORDENES'!$A1157="","",IF('ORDENES'!$U1157="","-",'ORDENES'!$U1157))</f>
        <v/>
      </c>
      <c r="F1179" s="3">
        <f>IF('ORDENES'!$A1157="","",IF('ORDENES'!$W1157="","-",'ORDENES'!$W1157))</f>
        <v/>
      </c>
      <c r="G1179" s="3">
        <f>IF('ORDENES'!$A1157="","",IF('ORDENES'!$AB1157="","-",'ORDENES'!$AB1157))</f>
        <v/>
      </c>
      <c r="H1179" s="3">
        <f>IF('ORDENES'!$A1157="","",IF('ORDENES'!$AN1157="","-",'ORDENES'!$AN1157))</f>
        <v/>
      </c>
      <c r="I1179" s="3">
        <f>IF('ORDENES'!$A1157="","",IF('ORDENES'!$D1157="","-",'ORDENES'!$D1157))</f>
        <v/>
      </c>
      <c r="J1179" s="3">
        <f>IF('ORDENES'!$A1157="","",IF('ORDENES'!$E1157="","-",'ORDENES'!$E1157))</f>
        <v/>
      </c>
      <c r="K1179" s="12">
        <f>IF('ORDENES'!$A1157="","",IF('ORDENES'!$M1157="",0,'ORDENES'!$M1157))</f>
        <v/>
      </c>
      <c r="L1179" s="3">
        <f>IF('ORDENES'!$A1157="","",IF('ORDENES'!$N1157="","-",'ORDENES'!$N1157))</f>
        <v/>
      </c>
      <c r="M1179" s="3">
        <f>IF('ORDENES'!$A1157="","",'ORDENES'!$AA1157)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IF('ORDENES'!$A1158="","",IF('ORDENES'!$AC1158="","-",'ORDENES'!$AC1158))</f>
        <v/>
      </c>
      <c r="D1180" s="3">
        <f>IF('ORDENES'!$A1158="","",IF('ORDENES'!$V1158="","-",'ORDENES'!$V1158))</f>
        <v/>
      </c>
      <c r="E1180" s="3">
        <f>IF('ORDENES'!$A1158="","",IF('ORDENES'!$U1158="","-",'ORDENES'!$U1158))</f>
        <v/>
      </c>
      <c r="F1180" s="3">
        <f>IF('ORDENES'!$A1158="","",IF('ORDENES'!$W1158="","-",'ORDENES'!$W1158))</f>
        <v/>
      </c>
      <c r="G1180" s="3">
        <f>IF('ORDENES'!$A1158="","",IF('ORDENES'!$AB1158="","-",'ORDENES'!$AB1158))</f>
        <v/>
      </c>
      <c r="H1180" s="3">
        <f>IF('ORDENES'!$A1158="","",IF('ORDENES'!$AN1158="","-",'ORDENES'!$AN1158))</f>
        <v/>
      </c>
      <c r="I1180" s="3">
        <f>IF('ORDENES'!$A1158="","",IF('ORDENES'!$D1158="","-",'ORDENES'!$D1158))</f>
        <v/>
      </c>
      <c r="J1180" s="3">
        <f>IF('ORDENES'!$A1158="","",IF('ORDENES'!$E1158="","-",'ORDENES'!$E1158))</f>
        <v/>
      </c>
      <c r="K1180" s="12">
        <f>IF('ORDENES'!$A1158="","",IF('ORDENES'!$M1158="",0,'ORDENES'!$M1158))</f>
        <v/>
      </c>
      <c r="L1180" s="3">
        <f>IF('ORDENES'!$A1158="","",IF('ORDENES'!$N1158="","-",'ORDENES'!$N1158))</f>
        <v/>
      </c>
      <c r="M1180" s="3">
        <f>IF('ORDENES'!$A1158="","",'ORDENES'!$AA1158)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IF('ORDENES'!$A1159="","",IF('ORDENES'!$AC1159="","-",'ORDENES'!$AC1159))</f>
        <v/>
      </c>
      <c r="D1181" s="3">
        <f>IF('ORDENES'!$A1159="","",IF('ORDENES'!$V1159="","-",'ORDENES'!$V1159))</f>
        <v/>
      </c>
      <c r="E1181" s="3">
        <f>IF('ORDENES'!$A1159="","",IF('ORDENES'!$U1159="","-",'ORDENES'!$U1159))</f>
        <v/>
      </c>
      <c r="F1181" s="3">
        <f>IF('ORDENES'!$A1159="","",IF('ORDENES'!$W1159="","-",'ORDENES'!$W1159))</f>
        <v/>
      </c>
      <c r="G1181" s="3">
        <f>IF('ORDENES'!$A1159="","",IF('ORDENES'!$AB1159="","-",'ORDENES'!$AB1159))</f>
        <v/>
      </c>
      <c r="H1181" s="3">
        <f>IF('ORDENES'!$A1159="","",IF('ORDENES'!$AN1159="","-",'ORDENES'!$AN1159))</f>
        <v/>
      </c>
      <c r="I1181" s="3">
        <f>IF('ORDENES'!$A1159="","",IF('ORDENES'!$D1159="","-",'ORDENES'!$D1159))</f>
        <v/>
      </c>
      <c r="J1181" s="3">
        <f>IF('ORDENES'!$A1159="","",IF('ORDENES'!$E1159="","-",'ORDENES'!$E1159))</f>
        <v/>
      </c>
      <c r="K1181" s="12">
        <f>IF('ORDENES'!$A1159="","",IF('ORDENES'!$M1159="",0,'ORDENES'!$M1159))</f>
        <v/>
      </c>
      <c r="L1181" s="3">
        <f>IF('ORDENES'!$A1159="","",IF('ORDENES'!$N1159="","-",'ORDENES'!$N1159))</f>
        <v/>
      </c>
      <c r="M1181" s="3">
        <f>IF('ORDENES'!$A1159="","",'ORDENES'!$AA1159)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IF('ORDENES'!$A1160="","",IF('ORDENES'!$AC1160="","-",'ORDENES'!$AC1160))</f>
        <v/>
      </c>
      <c r="D1182" s="3">
        <f>IF('ORDENES'!$A1160="","",IF('ORDENES'!$V1160="","-",'ORDENES'!$V1160))</f>
        <v/>
      </c>
      <c r="E1182" s="3">
        <f>IF('ORDENES'!$A1160="","",IF('ORDENES'!$U1160="","-",'ORDENES'!$U1160))</f>
        <v/>
      </c>
      <c r="F1182" s="3">
        <f>IF('ORDENES'!$A1160="","",IF('ORDENES'!$W1160="","-",'ORDENES'!$W1160))</f>
        <v/>
      </c>
      <c r="G1182" s="3">
        <f>IF('ORDENES'!$A1160="","",IF('ORDENES'!$AB1160="","-",'ORDENES'!$AB1160))</f>
        <v/>
      </c>
      <c r="H1182" s="3">
        <f>IF('ORDENES'!$A1160="","",IF('ORDENES'!$AN1160="","-",'ORDENES'!$AN1160))</f>
        <v/>
      </c>
      <c r="I1182" s="3">
        <f>IF('ORDENES'!$A1160="","",IF('ORDENES'!$D1160="","-",'ORDENES'!$D1160))</f>
        <v/>
      </c>
      <c r="J1182" s="3">
        <f>IF('ORDENES'!$A1160="","",IF('ORDENES'!$E1160="","-",'ORDENES'!$E1160))</f>
        <v/>
      </c>
      <c r="K1182" s="12">
        <f>IF('ORDENES'!$A1160="","",IF('ORDENES'!$M1160="",0,'ORDENES'!$M1160))</f>
        <v/>
      </c>
      <c r="L1182" s="3">
        <f>IF('ORDENES'!$A1160="","",IF('ORDENES'!$N1160="","-",'ORDENES'!$N1160))</f>
        <v/>
      </c>
      <c r="M1182" s="3">
        <f>IF('ORDENES'!$A1160="","",'ORDENES'!$AA1160)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IF('ORDENES'!$A1161="","",IF('ORDENES'!$AC1161="","-",'ORDENES'!$AC1161))</f>
        <v/>
      </c>
      <c r="D1183" s="3">
        <f>IF('ORDENES'!$A1161="","",IF('ORDENES'!$V1161="","-",'ORDENES'!$V1161))</f>
        <v/>
      </c>
      <c r="E1183" s="3">
        <f>IF('ORDENES'!$A1161="","",IF('ORDENES'!$U1161="","-",'ORDENES'!$U1161))</f>
        <v/>
      </c>
      <c r="F1183" s="3">
        <f>IF('ORDENES'!$A1161="","",IF('ORDENES'!$W1161="","-",'ORDENES'!$W1161))</f>
        <v/>
      </c>
      <c r="G1183" s="3">
        <f>IF('ORDENES'!$A1161="","",IF('ORDENES'!$AB1161="","-",'ORDENES'!$AB1161))</f>
        <v/>
      </c>
      <c r="H1183" s="3">
        <f>IF('ORDENES'!$A1161="","",IF('ORDENES'!$AN1161="","-",'ORDENES'!$AN1161))</f>
        <v/>
      </c>
      <c r="I1183" s="3">
        <f>IF('ORDENES'!$A1161="","",IF('ORDENES'!$D1161="","-",'ORDENES'!$D1161))</f>
        <v/>
      </c>
      <c r="J1183" s="3">
        <f>IF('ORDENES'!$A1161="","",IF('ORDENES'!$E1161="","-",'ORDENES'!$E1161))</f>
        <v/>
      </c>
      <c r="K1183" s="12">
        <f>IF('ORDENES'!$A1161="","",IF('ORDENES'!$M1161="",0,'ORDENES'!$M1161))</f>
        <v/>
      </c>
      <c r="L1183" s="3">
        <f>IF('ORDENES'!$A1161="","",IF('ORDENES'!$N1161="","-",'ORDENES'!$N1161))</f>
        <v/>
      </c>
      <c r="M1183" s="3">
        <f>IF('ORDENES'!$A1161="","",'ORDENES'!$AA1161)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IF('ORDENES'!$A1162="","",IF('ORDENES'!$AC1162="","-",'ORDENES'!$AC1162))</f>
        <v/>
      </c>
      <c r="D1184" s="3">
        <f>IF('ORDENES'!$A1162="","",IF('ORDENES'!$V1162="","-",'ORDENES'!$V1162))</f>
        <v/>
      </c>
      <c r="E1184" s="3">
        <f>IF('ORDENES'!$A1162="","",IF('ORDENES'!$U1162="","-",'ORDENES'!$U1162))</f>
        <v/>
      </c>
      <c r="F1184" s="3">
        <f>IF('ORDENES'!$A1162="","",IF('ORDENES'!$W1162="","-",'ORDENES'!$W1162))</f>
        <v/>
      </c>
      <c r="G1184" s="3">
        <f>IF('ORDENES'!$A1162="","",IF('ORDENES'!$AB1162="","-",'ORDENES'!$AB1162))</f>
        <v/>
      </c>
      <c r="H1184" s="3">
        <f>IF('ORDENES'!$A1162="","",IF('ORDENES'!$AN1162="","-",'ORDENES'!$AN1162))</f>
        <v/>
      </c>
      <c r="I1184" s="3">
        <f>IF('ORDENES'!$A1162="","",IF('ORDENES'!$D1162="","-",'ORDENES'!$D1162))</f>
        <v/>
      </c>
      <c r="J1184" s="3">
        <f>IF('ORDENES'!$A1162="","",IF('ORDENES'!$E1162="","-",'ORDENES'!$E1162))</f>
        <v/>
      </c>
      <c r="K1184" s="12">
        <f>IF('ORDENES'!$A1162="","",IF('ORDENES'!$M1162="",0,'ORDENES'!$M1162))</f>
        <v/>
      </c>
      <c r="L1184" s="3">
        <f>IF('ORDENES'!$A1162="","",IF('ORDENES'!$N1162="","-",'ORDENES'!$N1162))</f>
        <v/>
      </c>
      <c r="M1184" s="3">
        <f>IF('ORDENES'!$A1162="","",'ORDENES'!$AA1162)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IF('ORDENES'!$A1163="","",IF('ORDENES'!$AC1163="","-",'ORDENES'!$AC1163))</f>
        <v/>
      </c>
      <c r="D1185" s="3">
        <f>IF('ORDENES'!$A1163="","",IF('ORDENES'!$V1163="","-",'ORDENES'!$V1163))</f>
        <v/>
      </c>
      <c r="E1185" s="3">
        <f>IF('ORDENES'!$A1163="","",IF('ORDENES'!$U1163="","-",'ORDENES'!$U1163))</f>
        <v/>
      </c>
      <c r="F1185" s="3">
        <f>IF('ORDENES'!$A1163="","",IF('ORDENES'!$W1163="","-",'ORDENES'!$W1163))</f>
        <v/>
      </c>
      <c r="G1185" s="3">
        <f>IF('ORDENES'!$A1163="","",IF('ORDENES'!$AB1163="","-",'ORDENES'!$AB1163))</f>
        <v/>
      </c>
      <c r="H1185" s="3">
        <f>IF('ORDENES'!$A1163="","",IF('ORDENES'!$AN1163="","-",'ORDENES'!$AN1163))</f>
        <v/>
      </c>
      <c r="I1185" s="3">
        <f>IF('ORDENES'!$A1163="","",IF('ORDENES'!$D1163="","-",'ORDENES'!$D1163))</f>
        <v/>
      </c>
      <c r="J1185" s="3">
        <f>IF('ORDENES'!$A1163="","",IF('ORDENES'!$E1163="","-",'ORDENES'!$E1163))</f>
        <v/>
      </c>
      <c r="K1185" s="12">
        <f>IF('ORDENES'!$A1163="","",IF('ORDENES'!$M1163="",0,'ORDENES'!$M1163))</f>
        <v/>
      </c>
      <c r="L1185" s="3">
        <f>IF('ORDENES'!$A1163="","",IF('ORDENES'!$N1163="","-",'ORDENES'!$N1163))</f>
        <v/>
      </c>
      <c r="M1185" s="3">
        <f>IF('ORDENES'!$A1163="","",'ORDENES'!$AA1163)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IF('ORDENES'!$A1164="","",IF('ORDENES'!$AC1164="","-",'ORDENES'!$AC1164))</f>
        <v/>
      </c>
      <c r="D1186" s="3">
        <f>IF('ORDENES'!$A1164="","",IF('ORDENES'!$V1164="","-",'ORDENES'!$V1164))</f>
        <v/>
      </c>
      <c r="E1186" s="3">
        <f>IF('ORDENES'!$A1164="","",IF('ORDENES'!$U1164="","-",'ORDENES'!$U1164))</f>
        <v/>
      </c>
      <c r="F1186" s="3">
        <f>IF('ORDENES'!$A1164="","",IF('ORDENES'!$W1164="","-",'ORDENES'!$W1164))</f>
        <v/>
      </c>
      <c r="G1186" s="3">
        <f>IF('ORDENES'!$A1164="","",IF('ORDENES'!$AB1164="","-",'ORDENES'!$AB1164))</f>
        <v/>
      </c>
      <c r="H1186" s="3">
        <f>IF('ORDENES'!$A1164="","",IF('ORDENES'!$AN1164="","-",'ORDENES'!$AN1164))</f>
        <v/>
      </c>
      <c r="I1186" s="3">
        <f>IF('ORDENES'!$A1164="","",IF('ORDENES'!$D1164="","-",'ORDENES'!$D1164))</f>
        <v/>
      </c>
      <c r="J1186" s="3">
        <f>IF('ORDENES'!$A1164="","",IF('ORDENES'!$E1164="","-",'ORDENES'!$E1164))</f>
        <v/>
      </c>
      <c r="K1186" s="12">
        <f>IF('ORDENES'!$A1164="","",IF('ORDENES'!$M1164="",0,'ORDENES'!$M1164))</f>
        <v/>
      </c>
      <c r="L1186" s="3">
        <f>IF('ORDENES'!$A1164="","",IF('ORDENES'!$N1164="","-",'ORDENES'!$N1164))</f>
        <v/>
      </c>
      <c r="M1186" s="3">
        <f>IF('ORDENES'!$A1164="","",'ORDENES'!$AA1164)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IF('ORDENES'!$A1165="","",IF('ORDENES'!$AC1165="","-",'ORDENES'!$AC1165))</f>
        <v/>
      </c>
      <c r="D1187" s="3">
        <f>IF('ORDENES'!$A1165="","",IF('ORDENES'!$V1165="","-",'ORDENES'!$V1165))</f>
        <v/>
      </c>
      <c r="E1187" s="3">
        <f>IF('ORDENES'!$A1165="","",IF('ORDENES'!$U1165="","-",'ORDENES'!$U1165))</f>
        <v/>
      </c>
      <c r="F1187" s="3">
        <f>IF('ORDENES'!$A1165="","",IF('ORDENES'!$W1165="","-",'ORDENES'!$W1165))</f>
        <v/>
      </c>
      <c r="G1187" s="3">
        <f>IF('ORDENES'!$A1165="","",IF('ORDENES'!$AB1165="","-",'ORDENES'!$AB1165))</f>
        <v/>
      </c>
      <c r="H1187" s="3">
        <f>IF('ORDENES'!$A1165="","",IF('ORDENES'!$AN1165="","-",'ORDENES'!$AN1165))</f>
        <v/>
      </c>
      <c r="I1187" s="3">
        <f>IF('ORDENES'!$A1165="","",IF('ORDENES'!$D1165="","-",'ORDENES'!$D1165))</f>
        <v/>
      </c>
      <c r="J1187" s="3">
        <f>IF('ORDENES'!$A1165="","",IF('ORDENES'!$E1165="","-",'ORDENES'!$E1165))</f>
        <v/>
      </c>
      <c r="K1187" s="12">
        <f>IF('ORDENES'!$A1165="","",IF('ORDENES'!$M1165="",0,'ORDENES'!$M1165))</f>
        <v/>
      </c>
      <c r="L1187" s="3">
        <f>IF('ORDENES'!$A1165="","",IF('ORDENES'!$N1165="","-",'ORDENES'!$N1165))</f>
        <v/>
      </c>
      <c r="M1187" s="3">
        <f>IF('ORDENES'!$A1165="","",'ORDENES'!$AA1165)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IF('ORDENES'!$A1166="","",IF('ORDENES'!$AC1166="","-",'ORDENES'!$AC1166))</f>
        <v/>
      </c>
      <c r="D1188" s="3">
        <f>IF('ORDENES'!$A1166="","",IF('ORDENES'!$V1166="","-",'ORDENES'!$V1166))</f>
        <v/>
      </c>
      <c r="E1188" s="3">
        <f>IF('ORDENES'!$A1166="","",IF('ORDENES'!$U1166="","-",'ORDENES'!$U1166))</f>
        <v/>
      </c>
      <c r="F1188" s="3">
        <f>IF('ORDENES'!$A1166="","",IF('ORDENES'!$W1166="","-",'ORDENES'!$W1166))</f>
        <v/>
      </c>
      <c r="G1188" s="3">
        <f>IF('ORDENES'!$A1166="","",IF('ORDENES'!$AB1166="","-",'ORDENES'!$AB1166))</f>
        <v/>
      </c>
      <c r="H1188" s="3">
        <f>IF('ORDENES'!$A1166="","",IF('ORDENES'!$AN1166="","-",'ORDENES'!$AN1166))</f>
        <v/>
      </c>
      <c r="I1188" s="3">
        <f>IF('ORDENES'!$A1166="","",IF('ORDENES'!$D1166="","-",'ORDENES'!$D1166))</f>
        <v/>
      </c>
      <c r="J1188" s="3">
        <f>IF('ORDENES'!$A1166="","",IF('ORDENES'!$E1166="","-",'ORDENES'!$E1166))</f>
        <v/>
      </c>
      <c r="K1188" s="12">
        <f>IF('ORDENES'!$A1166="","",IF('ORDENES'!$M1166="",0,'ORDENES'!$M1166))</f>
        <v/>
      </c>
      <c r="L1188" s="3">
        <f>IF('ORDENES'!$A1166="","",IF('ORDENES'!$N1166="","-",'ORDENES'!$N1166))</f>
        <v/>
      </c>
      <c r="M1188" s="3">
        <f>IF('ORDENES'!$A1166="","",'ORDENES'!$AA1166)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IF('ORDENES'!$A1167="","",IF('ORDENES'!$AC1167="","-",'ORDENES'!$AC1167))</f>
        <v/>
      </c>
      <c r="D1189" s="3">
        <f>IF('ORDENES'!$A1167="","",IF('ORDENES'!$V1167="","-",'ORDENES'!$V1167))</f>
        <v/>
      </c>
      <c r="E1189" s="3">
        <f>IF('ORDENES'!$A1167="","",IF('ORDENES'!$U1167="","-",'ORDENES'!$U1167))</f>
        <v/>
      </c>
      <c r="F1189" s="3">
        <f>IF('ORDENES'!$A1167="","",IF('ORDENES'!$W1167="","-",'ORDENES'!$W1167))</f>
        <v/>
      </c>
      <c r="G1189" s="3">
        <f>IF('ORDENES'!$A1167="","",IF('ORDENES'!$AB1167="","-",'ORDENES'!$AB1167))</f>
        <v/>
      </c>
      <c r="H1189" s="3">
        <f>IF('ORDENES'!$A1167="","",IF('ORDENES'!$AN1167="","-",'ORDENES'!$AN1167))</f>
        <v/>
      </c>
      <c r="I1189" s="3">
        <f>IF('ORDENES'!$A1167="","",IF('ORDENES'!$D1167="","-",'ORDENES'!$D1167))</f>
        <v/>
      </c>
      <c r="J1189" s="3">
        <f>IF('ORDENES'!$A1167="","",IF('ORDENES'!$E1167="","-",'ORDENES'!$E1167))</f>
        <v/>
      </c>
      <c r="K1189" s="12">
        <f>IF('ORDENES'!$A1167="","",IF('ORDENES'!$M1167="",0,'ORDENES'!$M1167))</f>
        <v/>
      </c>
      <c r="L1189" s="3">
        <f>IF('ORDENES'!$A1167="","",IF('ORDENES'!$N1167="","-",'ORDENES'!$N1167))</f>
        <v/>
      </c>
      <c r="M1189" s="3">
        <f>IF('ORDENES'!$A1167="","",'ORDENES'!$AA1167)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IF('ORDENES'!$A1168="","",IF('ORDENES'!$AC1168="","-",'ORDENES'!$AC1168))</f>
        <v/>
      </c>
      <c r="D1190" s="3">
        <f>IF('ORDENES'!$A1168="","",IF('ORDENES'!$V1168="","-",'ORDENES'!$V1168))</f>
        <v/>
      </c>
      <c r="E1190" s="3">
        <f>IF('ORDENES'!$A1168="","",IF('ORDENES'!$U1168="","-",'ORDENES'!$U1168))</f>
        <v/>
      </c>
      <c r="F1190" s="3">
        <f>IF('ORDENES'!$A1168="","",IF('ORDENES'!$W1168="","-",'ORDENES'!$W1168))</f>
        <v/>
      </c>
      <c r="G1190" s="3">
        <f>IF('ORDENES'!$A1168="","",IF('ORDENES'!$AB1168="","-",'ORDENES'!$AB1168))</f>
        <v/>
      </c>
      <c r="H1190" s="3">
        <f>IF('ORDENES'!$A1168="","",IF('ORDENES'!$AN1168="","-",'ORDENES'!$AN1168))</f>
        <v/>
      </c>
      <c r="I1190" s="3">
        <f>IF('ORDENES'!$A1168="","",IF('ORDENES'!$D1168="","-",'ORDENES'!$D1168))</f>
        <v/>
      </c>
      <c r="J1190" s="3">
        <f>IF('ORDENES'!$A1168="","",IF('ORDENES'!$E1168="","-",'ORDENES'!$E1168))</f>
        <v/>
      </c>
      <c r="K1190" s="12">
        <f>IF('ORDENES'!$A1168="","",IF('ORDENES'!$M1168="",0,'ORDENES'!$M1168))</f>
        <v/>
      </c>
      <c r="L1190" s="3">
        <f>IF('ORDENES'!$A1168="","",IF('ORDENES'!$N1168="","-",'ORDENES'!$N1168))</f>
        <v/>
      </c>
      <c r="M1190" s="3">
        <f>IF('ORDENES'!$A1168="","",'ORDENES'!$AA1168)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IF('ORDENES'!$A1169="","",IF('ORDENES'!$AC1169="","-",'ORDENES'!$AC1169))</f>
        <v/>
      </c>
      <c r="D1191" s="3">
        <f>IF('ORDENES'!$A1169="","",IF('ORDENES'!$V1169="","-",'ORDENES'!$V1169))</f>
        <v/>
      </c>
      <c r="E1191" s="3">
        <f>IF('ORDENES'!$A1169="","",IF('ORDENES'!$U1169="","-",'ORDENES'!$U1169))</f>
        <v/>
      </c>
      <c r="F1191" s="3">
        <f>IF('ORDENES'!$A1169="","",IF('ORDENES'!$W1169="","-",'ORDENES'!$W1169))</f>
        <v/>
      </c>
      <c r="G1191" s="3">
        <f>IF('ORDENES'!$A1169="","",IF('ORDENES'!$AB1169="","-",'ORDENES'!$AB1169))</f>
        <v/>
      </c>
      <c r="H1191" s="3">
        <f>IF('ORDENES'!$A1169="","",IF('ORDENES'!$AN1169="","-",'ORDENES'!$AN1169))</f>
        <v/>
      </c>
      <c r="I1191" s="3">
        <f>IF('ORDENES'!$A1169="","",IF('ORDENES'!$D1169="","-",'ORDENES'!$D1169))</f>
        <v/>
      </c>
      <c r="J1191" s="3">
        <f>IF('ORDENES'!$A1169="","",IF('ORDENES'!$E1169="","-",'ORDENES'!$E1169))</f>
        <v/>
      </c>
      <c r="K1191" s="12">
        <f>IF('ORDENES'!$A1169="","",IF('ORDENES'!$M1169="",0,'ORDENES'!$M1169))</f>
        <v/>
      </c>
      <c r="L1191" s="3">
        <f>IF('ORDENES'!$A1169="","",IF('ORDENES'!$N1169="","-",'ORDENES'!$N1169))</f>
        <v/>
      </c>
      <c r="M1191" s="3">
        <f>IF('ORDENES'!$A1169="","",'ORDENES'!$AA1169)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IF('ORDENES'!$A1170="","",IF('ORDENES'!$AC1170="","-",'ORDENES'!$AC1170))</f>
        <v/>
      </c>
      <c r="D1192" s="3">
        <f>IF('ORDENES'!$A1170="","",IF('ORDENES'!$V1170="","-",'ORDENES'!$V1170))</f>
        <v/>
      </c>
      <c r="E1192" s="3">
        <f>IF('ORDENES'!$A1170="","",IF('ORDENES'!$U1170="","-",'ORDENES'!$U1170))</f>
        <v/>
      </c>
      <c r="F1192" s="3">
        <f>IF('ORDENES'!$A1170="","",IF('ORDENES'!$W1170="","-",'ORDENES'!$W1170))</f>
        <v/>
      </c>
      <c r="G1192" s="3">
        <f>IF('ORDENES'!$A1170="","",IF('ORDENES'!$AB1170="","-",'ORDENES'!$AB1170))</f>
        <v/>
      </c>
      <c r="H1192" s="3">
        <f>IF('ORDENES'!$A1170="","",IF('ORDENES'!$AN1170="","-",'ORDENES'!$AN1170))</f>
        <v/>
      </c>
      <c r="I1192" s="3">
        <f>IF('ORDENES'!$A1170="","",IF('ORDENES'!$D1170="","-",'ORDENES'!$D1170))</f>
        <v/>
      </c>
      <c r="J1192" s="3">
        <f>IF('ORDENES'!$A1170="","",IF('ORDENES'!$E1170="","-",'ORDENES'!$E1170))</f>
        <v/>
      </c>
      <c r="K1192" s="12">
        <f>IF('ORDENES'!$A1170="","",IF('ORDENES'!$M1170="",0,'ORDENES'!$M1170))</f>
        <v/>
      </c>
      <c r="L1192" s="3">
        <f>IF('ORDENES'!$A1170="","",IF('ORDENES'!$N1170="","-",'ORDENES'!$N1170))</f>
        <v/>
      </c>
      <c r="M1192" s="3">
        <f>IF('ORDENES'!$A1170="","",'ORDENES'!$AA1170)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IF('ORDENES'!$A1171="","",IF('ORDENES'!$AC1171="","-",'ORDENES'!$AC1171))</f>
        <v/>
      </c>
      <c r="D1193" s="3">
        <f>IF('ORDENES'!$A1171="","",IF('ORDENES'!$V1171="","-",'ORDENES'!$V1171))</f>
        <v/>
      </c>
      <c r="E1193" s="3">
        <f>IF('ORDENES'!$A1171="","",IF('ORDENES'!$U1171="","-",'ORDENES'!$U1171))</f>
        <v/>
      </c>
      <c r="F1193" s="3">
        <f>IF('ORDENES'!$A1171="","",IF('ORDENES'!$W1171="","-",'ORDENES'!$W1171))</f>
        <v/>
      </c>
      <c r="G1193" s="3">
        <f>IF('ORDENES'!$A1171="","",IF('ORDENES'!$AB1171="","-",'ORDENES'!$AB1171))</f>
        <v/>
      </c>
      <c r="H1193" s="3">
        <f>IF('ORDENES'!$A1171="","",IF('ORDENES'!$AN1171="","-",'ORDENES'!$AN1171))</f>
        <v/>
      </c>
      <c r="I1193" s="3">
        <f>IF('ORDENES'!$A1171="","",IF('ORDENES'!$D1171="","-",'ORDENES'!$D1171))</f>
        <v/>
      </c>
      <c r="J1193" s="3">
        <f>IF('ORDENES'!$A1171="","",IF('ORDENES'!$E1171="","-",'ORDENES'!$E1171))</f>
        <v/>
      </c>
      <c r="K1193" s="12">
        <f>IF('ORDENES'!$A1171="","",IF('ORDENES'!$M1171="",0,'ORDENES'!$M1171))</f>
        <v/>
      </c>
      <c r="L1193" s="3">
        <f>IF('ORDENES'!$A1171="","",IF('ORDENES'!$N1171="","-",'ORDENES'!$N1171))</f>
        <v/>
      </c>
      <c r="M1193" s="3">
        <f>IF('ORDENES'!$A1171="","",'ORDENES'!$AA1171)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IF('ORDENES'!$A1172="","",IF('ORDENES'!$AC1172="","-",'ORDENES'!$AC1172))</f>
        <v/>
      </c>
      <c r="D1194" s="3">
        <f>IF('ORDENES'!$A1172="","",IF('ORDENES'!$V1172="","-",'ORDENES'!$V1172))</f>
        <v/>
      </c>
      <c r="E1194" s="3">
        <f>IF('ORDENES'!$A1172="","",IF('ORDENES'!$U1172="","-",'ORDENES'!$U1172))</f>
        <v/>
      </c>
      <c r="F1194" s="3">
        <f>IF('ORDENES'!$A1172="","",IF('ORDENES'!$W1172="","-",'ORDENES'!$W1172))</f>
        <v/>
      </c>
      <c r="G1194" s="3">
        <f>IF('ORDENES'!$A1172="","",IF('ORDENES'!$AB1172="","-",'ORDENES'!$AB1172))</f>
        <v/>
      </c>
      <c r="H1194" s="3">
        <f>IF('ORDENES'!$A1172="","",IF('ORDENES'!$AN1172="","-",'ORDENES'!$AN1172))</f>
        <v/>
      </c>
      <c r="I1194" s="3">
        <f>IF('ORDENES'!$A1172="","",IF('ORDENES'!$D1172="","-",'ORDENES'!$D1172))</f>
        <v/>
      </c>
      <c r="J1194" s="3">
        <f>IF('ORDENES'!$A1172="","",IF('ORDENES'!$E1172="","-",'ORDENES'!$E1172))</f>
        <v/>
      </c>
      <c r="K1194" s="12">
        <f>IF('ORDENES'!$A1172="","",IF('ORDENES'!$M1172="",0,'ORDENES'!$M1172))</f>
        <v/>
      </c>
      <c r="L1194" s="3">
        <f>IF('ORDENES'!$A1172="","",IF('ORDENES'!$N1172="","-",'ORDENES'!$N1172))</f>
        <v/>
      </c>
      <c r="M1194" s="3">
        <f>IF('ORDENES'!$A1172="","",'ORDENES'!$AA1172)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IF('ORDENES'!$A1173="","",IF('ORDENES'!$AC1173="","-",'ORDENES'!$AC1173))</f>
        <v/>
      </c>
      <c r="D1195" s="3">
        <f>IF('ORDENES'!$A1173="","",IF('ORDENES'!$V1173="","-",'ORDENES'!$V1173))</f>
        <v/>
      </c>
      <c r="E1195" s="3">
        <f>IF('ORDENES'!$A1173="","",IF('ORDENES'!$U1173="","-",'ORDENES'!$U1173))</f>
        <v/>
      </c>
      <c r="F1195" s="3">
        <f>IF('ORDENES'!$A1173="","",IF('ORDENES'!$W1173="","-",'ORDENES'!$W1173))</f>
        <v/>
      </c>
      <c r="G1195" s="3">
        <f>IF('ORDENES'!$A1173="","",IF('ORDENES'!$AB1173="","-",'ORDENES'!$AB1173))</f>
        <v/>
      </c>
      <c r="H1195" s="3">
        <f>IF('ORDENES'!$A1173="","",IF('ORDENES'!$AN1173="","-",'ORDENES'!$AN1173))</f>
        <v/>
      </c>
      <c r="I1195" s="3">
        <f>IF('ORDENES'!$A1173="","",IF('ORDENES'!$D1173="","-",'ORDENES'!$D1173))</f>
        <v/>
      </c>
      <c r="J1195" s="3">
        <f>IF('ORDENES'!$A1173="","",IF('ORDENES'!$E1173="","-",'ORDENES'!$E1173))</f>
        <v/>
      </c>
      <c r="K1195" s="12">
        <f>IF('ORDENES'!$A1173="","",IF('ORDENES'!$M1173="",0,'ORDENES'!$M1173))</f>
        <v/>
      </c>
      <c r="L1195" s="3">
        <f>IF('ORDENES'!$A1173="","",IF('ORDENES'!$N1173="","-",'ORDENES'!$N1173))</f>
        <v/>
      </c>
      <c r="M1195" s="3">
        <f>IF('ORDENES'!$A1173="","",'ORDENES'!$AA1173)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IF('ORDENES'!$A1174="","",IF('ORDENES'!$AC1174="","-",'ORDENES'!$AC1174))</f>
        <v/>
      </c>
      <c r="D1196" s="3">
        <f>IF('ORDENES'!$A1174="","",IF('ORDENES'!$V1174="","-",'ORDENES'!$V1174))</f>
        <v/>
      </c>
      <c r="E1196" s="3">
        <f>IF('ORDENES'!$A1174="","",IF('ORDENES'!$U1174="","-",'ORDENES'!$U1174))</f>
        <v/>
      </c>
      <c r="F1196" s="3">
        <f>IF('ORDENES'!$A1174="","",IF('ORDENES'!$W1174="","-",'ORDENES'!$W1174))</f>
        <v/>
      </c>
      <c r="G1196" s="3">
        <f>IF('ORDENES'!$A1174="","",IF('ORDENES'!$AB1174="","-",'ORDENES'!$AB1174))</f>
        <v/>
      </c>
      <c r="H1196" s="3">
        <f>IF('ORDENES'!$A1174="","",IF('ORDENES'!$AN1174="","-",'ORDENES'!$AN1174))</f>
        <v/>
      </c>
      <c r="I1196" s="3">
        <f>IF('ORDENES'!$A1174="","",IF('ORDENES'!$D1174="","-",'ORDENES'!$D1174))</f>
        <v/>
      </c>
      <c r="J1196" s="3">
        <f>IF('ORDENES'!$A1174="","",IF('ORDENES'!$E1174="","-",'ORDENES'!$E1174))</f>
        <v/>
      </c>
      <c r="K1196" s="12">
        <f>IF('ORDENES'!$A1174="","",IF('ORDENES'!$M1174="",0,'ORDENES'!$M1174))</f>
        <v/>
      </c>
      <c r="L1196" s="3">
        <f>IF('ORDENES'!$A1174="","",IF('ORDENES'!$N1174="","-",'ORDENES'!$N1174))</f>
        <v/>
      </c>
      <c r="M1196" s="3">
        <f>IF('ORDENES'!$A1174="","",'ORDENES'!$AA1174)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IF('ORDENES'!$A1175="","",IF('ORDENES'!$AC1175="","-",'ORDENES'!$AC1175))</f>
        <v/>
      </c>
      <c r="D1197" s="3">
        <f>IF('ORDENES'!$A1175="","",IF('ORDENES'!$V1175="","-",'ORDENES'!$V1175))</f>
        <v/>
      </c>
      <c r="E1197" s="3">
        <f>IF('ORDENES'!$A1175="","",IF('ORDENES'!$U1175="","-",'ORDENES'!$U1175))</f>
        <v/>
      </c>
      <c r="F1197" s="3">
        <f>IF('ORDENES'!$A1175="","",IF('ORDENES'!$W1175="","-",'ORDENES'!$W1175))</f>
        <v/>
      </c>
      <c r="G1197" s="3">
        <f>IF('ORDENES'!$A1175="","",IF('ORDENES'!$AB1175="","-",'ORDENES'!$AB1175))</f>
        <v/>
      </c>
      <c r="H1197" s="3">
        <f>IF('ORDENES'!$A1175="","",IF('ORDENES'!$AN1175="","-",'ORDENES'!$AN1175))</f>
        <v/>
      </c>
      <c r="I1197" s="3">
        <f>IF('ORDENES'!$A1175="","",IF('ORDENES'!$D1175="","-",'ORDENES'!$D1175))</f>
        <v/>
      </c>
      <c r="J1197" s="3">
        <f>IF('ORDENES'!$A1175="","",IF('ORDENES'!$E1175="","-",'ORDENES'!$E1175))</f>
        <v/>
      </c>
      <c r="K1197" s="12">
        <f>IF('ORDENES'!$A1175="","",IF('ORDENES'!$M1175="",0,'ORDENES'!$M1175))</f>
        <v/>
      </c>
      <c r="L1197" s="3">
        <f>IF('ORDENES'!$A1175="","",IF('ORDENES'!$N1175="","-",'ORDENES'!$N1175))</f>
        <v/>
      </c>
      <c r="M1197" s="3">
        <f>IF('ORDENES'!$A1175="","",'ORDENES'!$AA1175)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IF('ORDENES'!$A1176="","",IF('ORDENES'!$AC1176="","-",'ORDENES'!$AC1176))</f>
        <v/>
      </c>
      <c r="D1198" s="3">
        <f>IF('ORDENES'!$A1176="","",IF('ORDENES'!$V1176="","-",'ORDENES'!$V1176))</f>
        <v/>
      </c>
      <c r="E1198" s="3">
        <f>IF('ORDENES'!$A1176="","",IF('ORDENES'!$U1176="","-",'ORDENES'!$U1176))</f>
        <v/>
      </c>
      <c r="F1198" s="3">
        <f>IF('ORDENES'!$A1176="","",IF('ORDENES'!$W1176="","-",'ORDENES'!$W1176))</f>
        <v/>
      </c>
      <c r="G1198" s="3">
        <f>IF('ORDENES'!$A1176="","",IF('ORDENES'!$AB1176="","-",'ORDENES'!$AB1176))</f>
        <v/>
      </c>
      <c r="H1198" s="3">
        <f>IF('ORDENES'!$A1176="","",IF('ORDENES'!$AN1176="","-",'ORDENES'!$AN1176))</f>
        <v/>
      </c>
      <c r="I1198" s="3">
        <f>IF('ORDENES'!$A1176="","",IF('ORDENES'!$D1176="","-",'ORDENES'!$D1176))</f>
        <v/>
      </c>
      <c r="J1198" s="3">
        <f>IF('ORDENES'!$A1176="","",IF('ORDENES'!$E1176="","-",'ORDENES'!$E1176))</f>
        <v/>
      </c>
      <c r="K1198" s="12">
        <f>IF('ORDENES'!$A1176="","",IF('ORDENES'!$M1176="",0,'ORDENES'!$M1176))</f>
        <v/>
      </c>
      <c r="L1198" s="3">
        <f>IF('ORDENES'!$A1176="","",IF('ORDENES'!$N1176="","-",'ORDENES'!$N1176))</f>
        <v/>
      </c>
      <c r="M1198" s="3">
        <f>IF('ORDENES'!$A1176="","",'ORDENES'!$AA1176)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IF('ORDENES'!$A1177="","",IF('ORDENES'!$AC1177="","-",'ORDENES'!$AC1177))</f>
        <v/>
      </c>
      <c r="D1199" s="3">
        <f>IF('ORDENES'!$A1177="","",IF('ORDENES'!$V1177="","-",'ORDENES'!$V1177))</f>
        <v/>
      </c>
      <c r="E1199" s="3">
        <f>IF('ORDENES'!$A1177="","",IF('ORDENES'!$U1177="","-",'ORDENES'!$U1177))</f>
        <v/>
      </c>
      <c r="F1199" s="3">
        <f>IF('ORDENES'!$A1177="","",IF('ORDENES'!$W1177="","-",'ORDENES'!$W1177))</f>
        <v/>
      </c>
      <c r="G1199" s="3">
        <f>IF('ORDENES'!$A1177="","",IF('ORDENES'!$AB1177="","-",'ORDENES'!$AB1177))</f>
        <v/>
      </c>
      <c r="H1199" s="3">
        <f>IF('ORDENES'!$A1177="","",IF('ORDENES'!$AN1177="","-",'ORDENES'!$AN1177))</f>
        <v/>
      </c>
      <c r="I1199" s="3">
        <f>IF('ORDENES'!$A1177="","",IF('ORDENES'!$D1177="","-",'ORDENES'!$D1177))</f>
        <v/>
      </c>
      <c r="J1199" s="3">
        <f>IF('ORDENES'!$A1177="","",IF('ORDENES'!$E1177="","-",'ORDENES'!$E1177))</f>
        <v/>
      </c>
      <c r="K1199" s="12">
        <f>IF('ORDENES'!$A1177="","",IF('ORDENES'!$M1177="",0,'ORDENES'!$M1177))</f>
        <v/>
      </c>
      <c r="L1199" s="3">
        <f>IF('ORDENES'!$A1177="","",IF('ORDENES'!$N1177="","-",'ORDENES'!$N1177))</f>
        <v/>
      </c>
      <c r="M1199" s="3">
        <f>IF('ORDENES'!$A1177="","",'ORDENES'!$AA1177)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IF('ORDENES'!$A1178="","",IF('ORDENES'!$AC1178="","-",'ORDENES'!$AC1178))</f>
        <v/>
      </c>
      <c r="D1200" s="3">
        <f>IF('ORDENES'!$A1178="","",IF('ORDENES'!$V1178="","-",'ORDENES'!$V1178))</f>
        <v/>
      </c>
      <c r="E1200" s="3">
        <f>IF('ORDENES'!$A1178="","",IF('ORDENES'!$U1178="","-",'ORDENES'!$U1178))</f>
        <v/>
      </c>
      <c r="F1200" s="3">
        <f>IF('ORDENES'!$A1178="","",IF('ORDENES'!$W1178="","-",'ORDENES'!$W1178))</f>
        <v/>
      </c>
      <c r="G1200" s="3">
        <f>IF('ORDENES'!$A1178="","",IF('ORDENES'!$AB1178="","-",'ORDENES'!$AB1178))</f>
        <v/>
      </c>
      <c r="H1200" s="3">
        <f>IF('ORDENES'!$A1178="","",IF('ORDENES'!$AN1178="","-",'ORDENES'!$AN1178))</f>
        <v/>
      </c>
      <c r="I1200" s="3">
        <f>IF('ORDENES'!$A1178="","",IF('ORDENES'!$D1178="","-",'ORDENES'!$D1178))</f>
        <v/>
      </c>
      <c r="J1200" s="3">
        <f>IF('ORDENES'!$A1178="","",IF('ORDENES'!$E1178="","-",'ORDENES'!$E1178))</f>
        <v/>
      </c>
      <c r="K1200" s="12">
        <f>IF('ORDENES'!$A1178="","",IF('ORDENES'!$M1178="",0,'ORDENES'!$M1178))</f>
        <v/>
      </c>
      <c r="L1200" s="3">
        <f>IF('ORDENES'!$A1178="","",IF('ORDENES'!$N1178="","-",'ORDENES'!$N1178))</f>
        <v/>
      </c>
      <c r="M1200" s="3">
        <f>IF('ORDENES'!$A1178="","",'ORDENES'!$AA1178)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IF('ORDENES'!$A1179="","",IF('ORDENES'!$AC1179="","-",'ORDENES'!$AC1179))</f>
        <v/>
      </c>
      <c r="D1201" s="3">
        <f>IF('ORDENES'!$A1179="","",IF('ORDENES'!$V1179="","-",'ORDENES'!$V1179))</f>
        <v/>
      </c>
      <c r="E1201" s="3">
        <f>IF('ORDENES'!$A1179="","",IF('ORDENES'!$U1179="","-",'ORDENES'!$U1179))</f>
        <v/>
      </c>
      <c r="F1201" s="3">
        <f>IF('ORDENES'!$A1179="","",IF('ORDENES'!$W1179="","-",'ORDENES'!$W1179))</f>
        <v/>
      </c>
      <c r="G1201" s="3">
        <f>IF('ORDENES'!$A1179="","",IF('ORDENES'!$AB1179="","-",'ORDENES'!$AB1179))</f>
        <v/>
      </c>
      <c r="H1201" s="3">
        <f>IF('ORDENES'!$A1179="","",IF('ORDENES'!$AN1179="","-",'ORDENES'!$AN1179))</f>
        <v/>
      </c>
      <c r="I1201" s="3">
        <f>IF('ORDENES'!$A1179="","",IF('ORDENES'!$D1179="","-",'ORDENES'!$D1179))</f>
        <v/>
      </c>
      <c r="J1201" s="3">
        <f>IF('ORDENES'!$A1179="","",IF('ORDENES'!$E1179="","-",'ORDENES'!$E1179))</f>
        <v/>
      </c>
      <c r="K1201" s="12">
        <f>IF('ORDENES'!$A1179="","",IF('ORDENES'!$M1179="",0,'ORDENES'!$M1179))</f>
        <v/>
      </c>
      <c r="L1201" s="3">
        <f>IF('ORDENES'!$A1179="","",IF('ORDENES'!$N1179="","-",'ORDENES'!$N1179))</f>
        <v/>
      </c>
      <c r="M1201" s="3">
        <f>IF('ORDENES'!$A1179="","",'ORDENES'!$AA1179)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IF('ORDENES'!$A1180="","",IF('ORDENES'!$AC1180="","-",'ORDENES'!$AC1180))</f>
        <v/>
      </c>
      <c r="D1202" s="3">
        <f>IF('ORDENES'!$A1180="","",IF('ORDENES'!$V1180="","-",'ORDENES'!$V1180))</f>
        <v/>
      </c>
      <c r="E1202" s="3">
        <f>IF('ORDENES'!$A1180="","",IF('ORDENES'!$U1180="","-",'ORDENES'!$U1180))</f>
        <v/>
      </c>
      <c r="F1202" s="3">
        <f>IF('ORDENES'!$A1180="","",IF('ORDENES'!$W1180="","-",'ORDENES'!$W1180))</f>
        <v/>
      </c>
      <c r="G1202" s="3">
        <f>IF('ORDENES'!$A1180="","",IF('ORDENES'!$AB1180="","-",'ORDENES'!$AB1180))</f>
        <v/>
      </c>
      <c r="H1202" s="3">
        <f>IF('ORDENES'!$A1180="","",IF('ORDENES'!$AN1180="","-",'ORDENES'!$AN1180))</f>
        <v/>
      </c>
      <c r="I1202" s="3">
        <f>IF('ORDENES'!$A1180="","",IF('ORDENES'!$D1180="","-",'ORDENES'!$D1180))</f>
        <v/>
      </c>
      <c r="J1202" s="3">
        <f>IF('ORDENES'!$A1180="","",IF('ORDENES'!$E1180="","-",'ORDENES'!$E1180))</f>
        <v/>
      </c>
      <c r="K1202" s="12">
        <f>IF('ORDENES'!$A1180="","",IF('ORDENES'!$M1180="",0,'ORDENES'!$M1180))</f>
        <v/>
      </c>
      <c r="L1202" s="3">
        <f>IF('ORDENES'!$A1180="","",IF('ORDENES'!$N1180="","-",'ORDENES'!$N1180))</f>
        <v/>
      </c>
      <c r="M1202" s="3">
        <f>IF('ORDENES'!$A1180="","",'ORDENES'!$AA1180)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IF('ORDENES'!$A1181="","",IF('ORDENES'!$AC1181="","-",'ORDENES'!$AC1181))</f>
        <v/>
      </c>
      <c r="D1203" s="3">
        <f>IF('ORDENES'!$A1181="","",IF('ORDENES'!$V1181="","-",'ORDENES'!$V1181))</f>
        <v/>
      </c>
      <c r="E1203" s="3">
        <f>IF('ORDENES'!$A1181="","",IF('ORDENES'!$U1181="","-",'ORDENES'!$U1181))</f>
        <v/>
      </c>
      <c r="F1203" s="3">
        <f>IF('ORDENES'!$A1181="","",IF('ORDENES'!$W1181="","-",'ORDENES'!$W1181))</f>
        <v/>
      </c>
      <c r="G1203" s="3">
        <f>IF('ORDENES'!$A1181="","",IF('ORDENES'!$AB1181="","-",'ORDENES'!$AB1181))</f>
        <v/>
      </c>
      <c r="H1203" s="3">
        <f>IF('ORDENES'!$A1181="","",IF('ORDENES'!$AN1181="","-",'ORDENES'!$AN1181))</f>
        <v/>
      </c>
      <c r="I1203" s="3">
        <f>IF('ORDENES'!$A1181="","",IF('ORDENES'!$D1181="","-",'ORDENES'!$D1181))</f>
        <v/>
      </c>
      <c r="J1203" s="3">
        <f>IF('ORDENES'!$A1181="","",IF('ORDENES'!$E1181="","-",'ORDENES'!$E1181))</f>
        <v/>
      </c>
      <c r="K1203" s="12">
        <f>IF('ORDENES'!$A1181="","",IF('ORDENES'!$M1181="",0,'ORDENES'!$M1181))</f>
        <v/>
      </c>
      <c r="L1203" s="3">
        <f>IF('ORDENES'!$A1181="","",IF('ORDENES'!$N1181="","-",'ORDENES'!$N1181))</f>
        <v/>
      </c>
      <c r="M1203" s="3">
        <f>IF('ORDENES'!$A1181="","",'ORDENES'!$AA1181)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IF('ORDENES'!$A1182="","",IF('ORDENES'!$AC1182="","-",'ORDENES'!$AC1182))</f>
        <v/>
      </c>
      <c r="D1204" s="3">
        <f>IF('ORDENES'!$A1182="","",IF('ORDENES'!$V1182="","-",'ORDENES'!$V1182))</f>
        <v/>
      </c>
      <c r="E1204" s="3">
        <f>IF('ORDENES'!$A1182="","",IF('ORDENES'!$U1182="","-",'ORDENES'!$U1182))</f>
        <v/>
      </c>
      <c r="F1204" s="3">
        <f>IF('ORDENES'!$A1182="","",IF('ORDENES'!$W1182="","-",'ORDENES'!$W1182))</f>
        <v/>
      </c>
      <c r="G1204" s="3">
        <f>IF('ORDENES'!$A1182="","",IF('ORDENES'!$AB1182="","-",'ORDENES'!$AB1182))</f>
        <v/>
      </c>
      <c r="H1204" s="3">
        <f>IF('ORDENES'!$A1182="","",IF('ORDENES'!$AN1182="","-",'ORDENES'!$AN1182))</f>
        <v/>
      </c>
      <c r="I1204" s="3">
        <f>IF('ORDENES'!$A1182="","",IF('ORDENES'!$D1182="","-",'ORDENES'!$D1182))</f>
        <v/>
      </c>
      <c r="J1204" s="3">
        <f>IF('ORDENES'!$A1182="","",IF('ORDENES'!$E1182="","-",'ORDENES'!$E1182))</f>
        <v/>
      </c>
      <c r="K1204" s="12">
        <f>IF('ORDENES'!$A1182="","",IF('ORDENES'!$M1182="",0,'ORDENES'!$M1182))</f>
        <v/>
      </c>
      <c r="L1204" s="3">
        <f>IF('ORDENES'!$A1182="","",IF('ORDENES'!$N1182="","-",'ORDENES'!$N1182))</f>
        <v/>
      </c>
      <c r="M1204" s="3">
        <f>IF('ORDENES'!$A1182="","",'ORDENES'!$AA1182)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IF('ORDENES'!$A1183="","",IF('ORDENES'!$AC1183="","-",'ORDENES'!$AC1183))</f>
        <v/>
      </c>
      <c r="D1205" s="3">
        <f>IF('ORDENES'!$A1183="","",IF('ORDENES'!$V1183="","-",'ORDENES'!$V1183))</f>
        <v/>
      </c>
      <c r="E1205" s="3">
        <f>IF('ORDENES'!$A1183="","",IF('ORDENES'!$U1183="","-",'ORDENES'!$U1183))</f>
        <v/>
      </c>
      <c r="F1205" s="3">
        <f>IF('ORDENES'!$A1183="","",IF('ORDENES'!$W1183="","-",'ORDENES'!$W1183))</f>
        <v/>
      </c>
      <c r="G1205" s="3">
        <f>IF('ORDENES'!$A1183="","",IF('ORDENES'!$AB1183="","-",'ORDENES'!$AB1183))</f>
        <v/>
      </c>
      <c r="H1205" s="3">
        <f>IF('ORDENES'!$A1183="","",IF('ORDENES'!$AN1183="","-",'ORDENES'!$AN1183))</f>
        <v/>
      </c>
      <c r="I1205" s="3">
        <f>IF('ORDENES'!$A1183="","",IF('ORDENES'!$D1183="","-",'ORDENES'!$D1183))</f>
        <v/>
      </c>
      <c r="J1205" s="3">
        <f>IF('ORDENES'!$A1183="","",IF('ORDENES'!$E1183="","-",'ORDENES'!$E1183))</f>
        <v/>
      </c>
      <c r="K1205" s="12">
        <f>IF('ORDENES'!$A1183="","",IF('ORDENES'!$M1183="",0,'ORDENES'!$M1183))</f>
        <v/>
      </c>
      <c r="L1205" s="3">
        <f>IF('ORDENES'!$A1183="","",IF('ORDENES'!$N1183="","-",'ORDENES'!$N1183))</f>
        <v/>
      </c>
      <c r="M1205" s="3">
        <f>IF('ORDENES'!$A1183="","",'ORDENES'!$AA1183)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IF('ORDENES'!$A1184="","",IF('ORDENES'!$AC1184="","-",'ORDENES'!$AC1184))</f>
        <v/>
      </c>
      <c r="D1206" s="3">
        <f>IF('ORDENES'!$A1184="","",IF('ORDENES'!$V1184="","-",'ORDENES'!$V1184))</f>
        <v/>
      </c>
      <c r="E1206" s="3">
        <f>IF('ORDENES'!$A1184="","",IF('ORDENES'!$U1184="","-",'ORDENES'!$U1184))</f>
        <v/>
      </c>
      <c r="F1206" s="3">
        <f>IF('ORDENES'!$A1184="","",IF('ORDENES'!$W1184="","-",'ORDENES'!$W1184))</f>
        <v/>
      </c>
      <c r="G1206" s="3">
        <f>IF('ORDENES'!$A1184="","",IF('ORDENES'!$AB1184="","-",'ORDENES'!$AB1184))</f>
        <v/>
      </c>
      <c r="H1206" s="3">
        <f>IF('ORDENES'!$A1184="","",IF('ORDENES'!$AN1184="","-",'ORDENES'!$AN1184))</f>
        <v/>
      </c>
      <c r="I1206" s="3">
        <f>IF('ORDENES'!$A1184="","",IF('ORDENES'!$D1184="","-",'ORDENES'!$D1184))</f>
        <v/>
      </c>
      <c r="J1206" s="3">
        <f>IF('ORDENES'!$A1184="","",IF('ORDENES'!$E1184="","-",'ORDENES'!$E1184))</f>
        <v/>
      </c>
      <c r="K1206" s="12">
        <f>IF('ORDENES'!$A1184="","",IF('ORDENES'!$M1184="",0,'ORDENES'!$M1184))</f>
        <v/>
      </c>
      <c r="L1206" s="3">
        <f>IF('ORDENES'!$A1184="","",IF('ORDENES'!$N1184="","-",'ORDENES'!$N1184))</f>
        <v/>
      </c>
      <c r="M1206" s="3">
        <f>IF('ORDENES'!$A1184="","",'ORDENES'!$AA1184)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IF('ORDENES'!$A1185="","",IF('ORDENES'!$AC1185="","-",'ORDENES'!$AC1185))</f>
        <v/>
      </c>
      <c r="D1207" s="3">
        <f>IF('ORDENES'!$A1185="","",IF('ORDENES'!$V1185="","-",'ORDENES'!$V1185))</f>
        <v/>
      </c>
      <c r="E1207" s="3">
        <f>IF('ORDENES'!$A1185="","",IF('ORDENES'!$U1185="","-",'ORDENES'!$U1185))</f>
        <v/>
      </c>
      <c r="F1207" s="3">
        <f>IF('ORDENES'!$A1185="","",IF('ORDENES'!$W1185="","-",'ORDENES'!$W1185))</f>
        <v/>
      </c>
      <c r="G1207" s="3">
        <f>IF('ORDENES'!$A1185="","",IF('ORDENES'!$AB1185="","-",'ORDENES'!$AB1185))</f>
        <v/>
      </c>
      <c r="H1207" s="3">
        <f>IF('ORDENES'!$A1185="","",IF('ORDENES'!$AN1185="","-",'ORDENES'!$AN1185))</f>
        <v/>
      </c>
      <c r="I1207" s="3">
        <f>IF('ORDENES'!$A1185="","",IF('ORDENES'!$D1185="","-",'ORDENES'!$D1185))</f>
        <v/>
      </c>
      <c r="J1207" s="3">
        <f>IF('ORDENES'!$A1185="","",IF('ORDENES'!$E1185="","-",'ORDENES'!$E1185))</f>
        <v/>
      </c>
      <c r="K1207" s="12">
        <f>IF('ORDENES'!$A1185="","",IF('ORDENES'!$M1185="",0,'ORDENES'!$M1185))</f>
        <v/>
      </c>
      <c r="L1207" s="3">
        <f>IF('ORDENES'!$A1185="","",IF('ORDENES'!$N1185="","-",'ORDENES'!$N1185))</f>
        <v/>
      </c>
      <c r="M1207" s="3">
        <f>IF('ORDENES'!$A1185="","",'ORDENES'!$AA1185)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IF('ORDENES'!$A1186="","",IF('ORDENES'!$AC1186="","-",'ORDENES'!$AC1186))</f>
        <v/>
      </c>
      <c r="D1208" s="3">
        <f>IF('ORDENES'!$A1186="","",IF('ORDENES'!$V1186="","-",'ORDENES'!$V1186))</f>
        <v/>
      </c>
      <c r="E1208" s="3">
        <f>IF('ORDENES'!$A1186="","",IF('ORDENES'!$U1186="","-",'ORDENES'!$U1186))</f>
        <v/>
      </c>
      <c r="F1208" s="3">
        <f>IF('ORDENES'!$A1186="","",IF('ORDENES'!$W1186="","-",'ORDENES'!$W1186))</f>
        <v/>
      </c>
      <c r="G1208" s="3">
        <f>IF('ORDENES'!$A1186="","",IF('ORDENES'!$AB1186="","-",'ORDENES'!$AB1186))</f>
        <v/>
      </c>
      <c r="H1208" s="3">
        <f>IF('ORDENES'!$A1186="","",IF('ORDENES'!$AN1186="","-",'ORDENES'!$AN1186))</f>
        <v/>
      </c>
      <c r="I1208" s="3">
        <f>IF('ORDENES'!$A1186="","",IF('ORDENES'!$D1186="","-",'ORDENES'!$D1186))</f>
        <v/>
      </c>
      <c r="J1208" s="3">
        <f>IF('ORDENES'!$A1186="","",IF('ORDENES'!$E1186="","-",'ORDENES'!$E1186))</f>
        <v/>
      </c>
      <c r="K1208" s="12">
        <f>IF('ORDENES'!$A1186="","",IF('ORDENES'!$M1186="",0,'ORDENES'!$M1186))</f>
        <v/>
      </c>
      <c r="L1208" s="3">
        <f>IF('ORDENES'!$A1186="","",IF('ORDENES'!$N1186="","-",'ORDENES'!$N1186))</f>
        <v/>
      </c>
      <c r="M1208" s="3">
        <f>IF('ORDENES'!$A1186="","",'ORDENES'!$AA1186)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IF('ORDENES'!$A1187="","",IF('ORDENES'!$AC1187="","-",'ORDENES'!$AC1187))</f>
        <v/>
      </c>
      <c r="D1209" s="3">
        <f>IF('ORDENES'!$A1187="","",IF('ORDENES'!$V1187="","-",'ORDENES'!$V1187))</f>
        <v/>
      </c>
      <c r="E1209" s="3">
        <f>IF('ORDENES'!$A1187="","",IF('ORDENES'!$U1187="","-",'ORDENES'!$U1187))</f>
        <v/>
      </c>
      <c r="F1209" s="3">
        <f>IF('ORDENES'!$A1187="","",IF('ORDENES'!$W1187="","-",'ORDENES'!$W1187))</f>
        <v/>
      </c>
      <c r="G1209" s="3">
        <f>IF('ORDENES'!$A1187="","",IF('ORDENES'!$AB1187="","-",'ORDENES'!$AB1187))</f>
        <v/>
      </c>
      <c r="H1209" s="3">
        <f>IF('ORDENES'!$A1187="","",IF('ORDENES'!$AN1187="","-",'ORDENES'!$AN1187))</f>
        <v/>
      </c>
      <c r="I1209" s="3">
        <f>IF('ORDENES'!$A1187="","",IF('ORDENES'!$D1187="","-",'ORDENES'!$D1187))</f>
        <v/>
      </c>
      <c r="J1209" s="3">
        <f>IF('ORDENES'!$A1187="","",IF('ORDENES'!$E1187="","-",'ORDENES'!$E1187))</f>
        <v/>
      </c>
      <c r="K1209" s="12">
        <f>IF('ORDENES'!$A1187="","",IF('ORDENES'!$M1187="",0,'ORDENES'!$M1187))</f>
        <v/>
      </c>
      <c r="L1209" s="3">
        <f>IF('ORDENES'!$A1187="","",IF('ORDENES'!$N1187="","-",'ORDENES'!$N1187))</f>
        <v/>
      </c>
      <c r="M1209" s="3">
        <f>IF('ORDENES'!$A1187="","",'ORDENES'!$AA1187)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IF('ORDENES'!$A1188="","",IF('ORDENES'!$AC1188="","-",'ORDENES'!$AC1188))</f>
        <v/>
      </c>
      <c r="D1210" s="3">
        <f>IF('ORDENES'!$A1188="","",IF('ORDENES'!$V1188="","-",'ORDENES'!$V1188))</f>
        <v/>
      </c>
      <c r="E1210" s="3">
        <f>IF('ORDENES'!$A1188="","",IF('ORDENES'!$U1188="","-",'ORDENES'!$U1188))</f>
        <v/>
      </c>
      <c r="F1210" s="3">
        <f>IF('ORDENES'!$A1188="","",IF('ORDENES'!$W1188="","-",'ORDENES'!$W1188))</f>
        <v/>
      </c>
      <c r="G1210" s="3">
        <f>IF('ORDENES'!$A1188="","",IF('ORDENES'!$AB1188="","-",'ORDENES'!$AB1188))</f>
        <v/>
      </c>
      <c r="H1210" s="3">
        <f>IF('ORDENES'!$A1188="","",IF('ORDENES'!$AN1188="","-",'ORDENES'!$AN1188))</f>
        <v/>
      </c>
      <c r="I1210" s="3">
        <f>IF('ORDENES'!$A1188="","",IF('ORDENES'!$D1188="","-",'ORDENES'!$D1188))</f>
        <v/>
      </c>
      <c r="J1210" s="3">
        <f>IF('ORDENES'!$A1188="","",IF('ORDENES'!$E1188="","-",'ORDENES'!$E1188))</f>
        <v/>
      </c>
      <c r="K1210" s="12">
        <f>IF('ORDENES'!$A1188="","",IF('ORDENES'!$M1188="",0,'ORDENES'!$M1188))</f>
        <v/>
      </c>
      <c r="L1210" s="3">
        <f>IF('ORDENES'!$A1188="","",IF('ORDENES'!$N1188="","-",'ORDENES'!$N1188))</f>
        <v/>
      </c>
      <c r="M1210" s="3">
        <f>IF('ORDENES'!$A1188="","",'ORDENES'!$AA1188)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IF('ORDENES'!$A1189="","",IF('ORDENES'!$AC1189="","-",'ORDENES'!$AC1189))</f>
        <v/>
      </c>
      <c r="D1211" s="3">
        <f>IF('ORDENES'!$A1189="","",IF('ORDENES'!$V1189="","-",'ORDENES'!$V1189))</f>
        <v/>
      </c>
      <c r="E1211" s="3">
        <f>IF('ORDENES'!$A1189="","",IF('ORDENES'!$U1189="","-",'ORDENES'!$U1189))</f>
        <v/>
      </c>
      <c r="F1211" s="3">
        <f>IF('ORDENES'!$A1189="","",IF('ORDENES'!$W1189="","-",'ORDENES'!$W1189))</f>
        <v/>
      </c>
      <c r="G1211" s="3">
        <f>IF('ORDENES'!$A1189="","",IF('ORDENES'!$AB1189="","-",'ORDENES'!$AB1189))</f>
        <v/>
      </c>
      <c r="H1211" s="3">
        <f>IF('ORDENES'!$A1189="","",IF('ORDENES'!$AN1189="","-",'ORDENES'!$AN1189))</f>
        <v/>
      </c>
      <c r="I1211" s="3">
        <f>IF('ORDENES'!$A1189="","",IF('ORDENES'!$D1189="","-",'ORDENES'!$D1189))</f>
        <v/>
      </c>
      <c r="J1211" s="3">
        <f>IF('ORDENES'!$A1189="","",IF('ORDENES'!$E1189="","-",'ORDENES'!$E1189))</f>
        <v/>
      </c>
      <c r="K1211" s="12">
        <f>IF('ORDENES'!$A1189="","",IF('ORDENES'!$M1189="",0,'ORDENES'!$M1189))</f>
        <v/>
      </c>
      <c r="L1211" s="3">
        <f>IF('ORDENES'!$A1189="","",IF('ORDENES'!$N1189="","-",'ORDENES'!$N1189))</f>
        <v/>
      </c>
      <c r="M1211" s="3">
        <f>IF('ORDENES'!$A1189="","",'ORDENES'!$AA1189)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IF('ORDENES'!$A1190="","",IF('ORDENES'!$AC1190="","-",'ORDENES'!$AC1190))</f>
        <v/>
      </c>
      <c r="D1212" s="3">
        <f>IF('ORDENES'!$A1190="","",IF('ORDENES'!$V1190="","-",'ORDENES'!$V1190))</f>
        <v/>
      </c>
      <c r="E1212" s="3">
        <f>IF('ORDENES'!$A1190="","",IF('ORDENES'!$U1190="","-",'ORDENES'!$U1190))</f>
        <v/>
      </c>
      <c r="F1212" s="3">
        <f>IF('ORDENES'!$A1190="","",IF('ORDENES'!$W1190="","-",'ORDENES'!$W1190))</f>
        <v/>
      </c>
      <c r="G1212" s="3">
        <f>IF('ORDENES'!$A1190="","",IF('ORDENES'!$AB1190="","-",'ORDENES'!$AB1190))</f>
        <v/>
      </c>
      <c r="H1212" s="3">
        <f>IF('ORDENES'!$A1190="","",IF('ORDENES'!$AN1190="","-",'ORDENES'!$AN1190))</f>
        <v/>
      </c>
      <c r="I1212" s="3">
        <f>IF('ORDENES'!$A1190="","",IF('ORDENES'!$D1190="","-",'ORDENES'!$D1190))</f>
        <v/>
      </c>
      <c r="J1212" s="3">
        <f>IF('ORDENES'!$A1190="","",IF('ORDENES'!$E1190="","-",'ORDENES'!$E1190))</f>
        <v/>
      </c>
      <c r="K1212" s="12">
        <f>IF('ORDENES'!$A1190="","",IF('ORDENES'!$M1190="",0,'ORDENES'!$M1190))</f>
        <v/>
      </c>
      <c r="L1212" s="3">
        <f>IF('ORDENES'!$A1190="","",IF('ORDENES'!$N1190="","-",'ORDENES'!$N1190))</f>
        <v/>
      </c>
      <c r="M1212" s="3">
        <f>IF('ORDENES'!$A1190="","",'ORDENES'!$AA1190)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IF('ORDENES'!$A1191="","",IF('ORDENES'!$AC1191="","-",'ORDENES'!$AC1191))</f>
        <v/>
      </c>
      <c r="D1213" s="3">
        <f>IF('ORDENES'!$A1191="","",IF('ORDENES'!$V1191="","-",'ORDENES'!$V1191))</f>
        <v/>
      </c>
      <c r="E1213" s="3">
        <f>IF('ORDENES'!$A1191="","",IF('ORDENES'!$U1191="","-",'ORDENES'!$U1191))</f>
        <v/>
      </c>
      <c r="F1213" s="3">
        <f>IF('ORDENES'!$A1191="","",IF('ORDENES'!$W1191="","-",'ORDENES'!$W1191))</f>
        <v/>
      </c>
      <c r="G1213" s="3">
        <f>IF('ORDENES'!$A1191="","",IF('ORDENES'!$AB1191="","-",'ORDENES'!$AB1191))</f>
        <v/>
      </c>
      <c r="H1213" s="3">
        <f>IF('ORDENES'!$A1191="","",IF('ORDENES'!$AN1191="","-",'ORDENES'!$AN1191))</f>
        <v/>
      </c>
      <c r="I1213" s="3">
        <f>IF('ORDENES'!$A1191="","",IF('ORDENES'!$D1191="","-",'ORDENES'!$D1191))</f>
        <v/>
      </c>
      <c r="J1213" s="3">
        <f>IF('ORDENES'!$A1191="","",IF('ORDENES'!$E1191="","-",'ORDENES'!$E1191))</f>
        <v/>
      </c>
      <c r="K1213" s="12">
        <f>IF('ORDENES'!$A1191="","",IF('ORDENES'!$M1191="",0,'ORDENES'!$M1191))</f>
        <v/>
      </c>
      <c r="L1213" s="3">
        <f>IF('ORDENES'!$A1191="","",IF('ORDENES'!$N1191="","-",'ORDENES'!$N1191))</f>
        <v/>
      </c>
      <c r="M1213" s="3">
        <f>IF('ORDENES'!$A1191="","",'ORDENES'!$AA1191)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IF('ORDENES'!$A1192="","",IF('ORDENES'!$AC1192="","-",'ORDENES'!$AC1192))</f>
        <v/>
      </c>
      <c r="D1214" s="3">
        <f>IF('ORDENES'!$A1192="","",IF('ORDENES'!$V1192="","-",'ORDENES'!$V1192))</f>
        <v/>
      </c>
      <c r="E1214" s="3">
        <f>IF('ORDENES'!$A1192="","",IF('ORDENES'!$U1192="","-",'ORDENES'!$U1192))</f>
        <v/>
      </c>
      <c r="F1214" s="3">
        <f>IF('ORDENES'!$A1192="","",IF('ORDENES'!$W1192="","-",'ORDENES'!$W1192))</f>
        <v/>
      </c>
      <c r="G1214" s="3">
        <f>IF('ORDENES'!$A1192="","",IF('ORDENES'!$AB1192="","-",'ORDENES'!$AB1192))</f>
        <v/>
      </c>
      <c r="H1214" s="3">
        <f>IF('ORDENES'!$A1192="","",IF('ORDENES'!$AN1192="","-",'ORDENES'!$AN1192))</f>
        <v/>
      </c>
      <c r="I1214" s="3">
        <f>IF('ORDENES'!$A1192="","",IF('ORDENES'!$D1192="","-",'ORDENES'!$D1192))</f>
        <v/>
      </c>
      <c r="J1214" s="3">
        <f>IF('ORDENES'!$A1192="","",IF('ORDENES'!$E1192="","-",'ORDENES'!$E1192))</f>
        <v/>
      </c>
      <c r="K1214" s="12">
        <f>IF('ORDENES'!$A1192="","",IF('ORDENES'!$M1192="",0,'ORDENES'!$M1192))</f>
        <v/>
      </c>
      <c r="L1214" s="3">
        <f>IF('ORDENES'!$A1192="","",IF('ORDENES'!$N1192="","-",'ORDENES'!$N1192))</f>
        <v/>
      </c>
      <c r="M1214" s="3">
        <f>IF('ORDENES'!$A1192="","",'ORDENES'!$AA1192)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IF('ORDENES'!$A1193="","",IF('ORDENES'!$AC1193="","-",'ORDENES'!$AC1193))</f>
        <v/>
      </c>
      <c r="D1215" s="3">
        <f>IF('ORDENES'!$A1193="","",IF('ORDENES'!$V1193="","-",'ORDENES'!$V1193))</f>
        <v/>
      </c>
      <c r="E1215" s="3">
        <f>IF('ORDENES'!$A1193="","",IF('ORDENES'!$U1193="","-",'ORDENES'!$U1193))</f>
        <v/>
      </c>
      <c r="F1215" s="3">
        <f>IF('ORDENES'!$A1193="","",IF('ORDENES'!$W1193="","-",'ORDENES'!$W1193))</f>
        <v/>
      </c>
      <c r="G1215" s="3">
        <f>IF('ORDENES'!$A1193="","",IF('ORDENES'!$AB1193="","-",'ORDENES'!$AB1193))</f>
        <v/>
      </c>
      <c r="H1215" s="3">
        <f>IF('ORDENES'!$A1193="","",IF('ORDENES'!$AN1193="","-",'ORDENES'!$AN1193))</f>
        <v/>
      </c>
      <c r="I1215" s="3">
        <f>IF('ORDENES'!$A1193="","",IF('ORDENES'!$D1193="","-",'ORDENES'!$D1193))</f>
        <v/>
      </c>
      <c r="J1215" s="3">
        <f>IF('ORDENES'!$A1193="","",IF('ORDENES'!$E1193="","-",'ORDENES'!$E1193))</f>
        <v/>
      </c>
      <c r="K1215" s="12">
        <f>IF('ORDENES'!$A1193="","",IF('ORDENES'!$M1193="",0,'ORDENES'!$M1193))</f>
        <v/>
      </c>
      <c r="L1215" s="3">
        <f>IF('ORDENES'!$A1193="","",IF('ORDENES'!$N1193="","-",'ORDENES'!$N1193))</f>
        <v/>
      </c>
      <c r="M1215" s="3">
        <f>IF('ORDENES'!$A1193="","",'ORDENES'!$AA1193)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IF('ORDENES'!$A1194="","",IF('ORDENES'!$AC1194="","-",'ORDENES'!$AC1194))</f>
        <v/>
      </c>
      <c r="D1216" s="3">
        <f>IF('ORDENES'!$A1194="","",IF('ORDENES'!$V1194="","-",'ORDENES'!$V1194))</f>
        <v/>
      </c>
      <c r="E1216" s="3">
        <f>IF('ORDENES'!$A1194="","",IF('ORDENES'!$U1194="","-",'ORDENES'!$U1194))</f>
        <v/>
      </c>
      <c r="F1216" s="3">
        <f>IF('ORDENES'!$A1194="","",IF('ORDENES'!$W1194="","-",'ORDENES'!$W1194))</f>
        <v/>
      </c>
      <c r="G1216" s="3">
        <f>IF('ORDENES'!$A1194="","",IF('ORDENES'!$AB1194="","-",'ORDENES'!$AB1194))</f>
        <v/>
      </c>
      <c r="H1216" s="3">
        <f>IF('ORDENES'!$A1194="","",IF('ORDENES'!$AN1194="","-",'ORDENES'!$AN1194))</f>
        <v/>
      </c>
      <c r="I1216" s="3">
        <f>IF('ORDENES'!$A1194="","",IF('ORDENES'!$D1194="","-",'ORDENES'!$D1194))</f>
        <v/>
      </c>
      <c r="J1216" s="3">
        <f>IF('ORDENES'!$A1194="","",IF('ORDENES'!$E1194="","-",'ORDENES'!$E1194))</f>
        <v/>
      </c>
      <c r="K1216" s="12">
        <f>IF('ORDENES'!$A1194="","",IF('ORDENES'!$M1194="",0,'ORDENES'!$M1194))</f>
        <v/>
      </c>
      <c r="L1216" s="3">
        <f>IF('ORDENES'!$A1194="","",IF('ORDENES'!$N1194="","-",'ORDENES'!$N1194))</f>
        <v/>
      </c>
      <c r="M1216" s="3">
        <f>IF('ORDENES'!$A1194="","",'ORDENES'!$AA1194)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IF('ORDENES'!$A1195="","",IF('ORDENES'!$AC1195="","-",'ORDENES'!$AC1195))</f>
        <v/>
      </c>
      <c r="D1217" s="3">
        <f>IF('ORDENES'!$A1195="","",IF('ORDENES'!$V1195="","-",'ORDENES'!$V1195))</f>
        <v/>
      </c>
      <c r="E1217" s="3">
        <f>IF('ORDENES'!$A1195="","",IF('ORDENES'!$U1195="","-",'ORDENES'!$U1195))</f>
        <v/>
      </c>
      <c r="F1217" s="3">
        <f>IF('ORDENES'!$A1195="","",IF('ORDENES'!$W1195="","-",'ORDENES'!$W1195))</f>
        <v/>
      </c>
      <c r="G1217" s="3">
        <f>IF('ORDENES'!$A1195="","",IF('ORDENES'!$AB1195="","-",'ORDENES'!$AB1195))</f>
        <v/>
      </c>
      <c r="H1217" s="3">
        <f>IF('ORDENES'!$A1195="","",IF('ORDENES'!$AN1195="","-",'ORDENES'!$AN1195))</f>
        <v/>
      </c>
      <c r="I1217" s="3">
        <f>IF('ORDENES'!$A1195="","",IF('ORDENES'!$D1195="","-",'ORDENES'!$D1195))</f>
        <v/>
      </c>
      <c r="J1217" s="3">
        <f>IF('ORDENES'!$A1195="","",IF('ORDENES'!$E1195="","-",'ORDENES'!$E1195))</f>
        <v/>
      </c>
      <c r="K1217" s="12">
        <f>IF('ORDENES'!$A1195="","",IF('ORDENES'!$M1195="",0,'ORDENES'!$M1195))</f>
        <v/>
      </c>
      <c r="L1217" s="3">
        <f>IF('ORDENES'!$A1195="","",IF('ORDENES'!$N1195="","-",'ORDENES'!$N1195))</f>
        <v/>
      </c>
      <c r="M1217" s="3">
        <f>IF('ORDENES'!$A1195="","",'ORDENES'!$AA1195)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IF('ORDENES'!$A1196="","",IF('ORDENES'!$AC1196="","-",'ORDENES'!$AC1196))</f>
        <v/>
      </c>
      <c r="D1218" s="3">
        <f>IF('ORDENES'!$A1196="","",IF('ORDENES'!$V1196="","-",'ORDENES'!$V1196))</f>
        <v/>
      </c>
      <c r="E1218" s="3">
        <f>IF('ORDENES'!$A1196="","",IF('ORDENES'!$U1196="","-",'ORDENES'!$U1196))</f>
        <v/>
      </c>
      <c r="F1218" s="3">
        <f>IF('ORDENES'!$A1196="","",IF('ORDENES'!$W1196="","-",'ORDENES'!$W1196))</f>
        <v/>
      </c>
      <c r="G1218" s="3">
        <f>IF('ORDENES'!$A1196="","",IF('ORDENES'!$AB1196="","-",'ORDENES'!$AB1196))</f>
        <v/>
      </c>
      <c r="H1218" s="3">
        <f>IF('ORDENES'!$A1196="","",IF('ORDENES'!$AN1196="","-",'ORDENES'!$AN1196))</f>
        <v/>
      </c>
      <c r="I1218" s="3">
        <f>IF('ORDENES'!$A1196="","",IF('ORDENES'!$D1196="","-",'ORDENES'!$D1196))</f>
        <v/>
      </c>
      <c r="J1218" s="3">
        <f>IF('ORDENES'!$A1196="","",IF('ORDENES'!$E1196="","-",'ORDENES'!$E1196))</f>
        <v/>
      </c>
      <c r="K1218" s="12">
        <f>IF('ORDENES'!$A1196="","",IF('ORDENES'!$M1196="",0,'ORDENES'!$M1196))</f>
        <v/>
      </c>
      <c r="L1218" s="3">
        <f>IF('ORDENES'!$A1196="","",IF('ORDENES'!$N1196="","-",'ORDENES'!$N1196))</f>
        <v/>
      </c>
      <c r="M1218" s="3">
        <f>IF('ORDENES'!$A1196="","",'ORDENES'!$AA1196)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IF('ORDENES'!$A1197="","",IF('ORDENES'!$AC1197="","-",'ORDENES'!$AC1197))</f>
        <v/>
      </c>
      <c r="D1219" s="3">
        <f>IF('ORDENES'!$A1197="","",IF('ORDENES'!$V1197="","-",'ORDENES'!$V1197))</f>
        <v/>
      </c>
      <c r="E1219" s="3">
        <f>IF('ORDENES'!$A1197="","",IF('ORDENES'!$U1197="","-",'ORDENES'!$U1197))</f>
        <v/>
      </c>
      <c r="F1219" s="3">
        <f>IF('ORDENES'!$A1197="","",IF('ORDENES'!$W1197="","-",'ORDENES'!$W1197))</f>
        <v/>
      </c>
      <c r="G1219" s="3">
        <f>IF('ORDENES'!$A1197="","",IF('ORDENES'!$AB1197="","-",'ORDENES'!$AB1197))</f>
        <v/>
      </c>
      <c r="H1219" s="3">
        <f>IF('ORDENES'!$A1197="","",IF('ORDENES'!$AN1197="","-",'ORDENES'!$AN1197))</f>
        <v/>
      </c>
      <c r="I1219" s="3">
        <f>IF('ORDENES'!$A1197="","",IF('ORDENES'!$D1197="","-",'ORDENES'!$D1197))</f>
        <v/>
      </c>
      <c r="J1219" s="3">
        <f>IF('ORDENES'!$A1197="","",IF('ORDENES'!$E1197="","-",'ORDENES'!$E1197))</f>
        <v/>
      </c>
      <c r="K1219" s="12">
        <f>IF('ORDENES'!$A1197="","",IF('ORDENES'!$M1197="",0,'ORDENES'!$M1197))</f>
        <v/>
      </c>
      <c r="L1219" s="3">
        <f>IF('ORDENES'!$A1197="","",IF('ORDENES'!$N1197="","-",'ORDENES'!$N1197))</f>
        <v/>
      </c>
      <c r="M1219" s="3">
        <f>IF('ORDENES'!$A1197="","",'ORDENES'!$AA1197)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IF('ORDENES'!$A1198="","",IF('ORDENES'!$AC1198="","-",'ORDENES'!$AC1198))</f>
        <v/>
      </c>
      <c r="D1220" s="3">
        <f>IF('ORDENES'!$A1198="","",IF('ORDENES'!$V1198="","-",'ORDENES'!$V1198))</f>
        <v/>
      </c>
      <c r="E1220" s="3">
        <f>IF('ORDENES'!$A1198="","",IF('ORDENES'!$U1198="","-",'ORDENES'!$U1198))</f>
        <v/>
      </c>
      <c r="F1220" s="3">
        <f>IF('ORDENES'!$A1198="","",IF('ORDENES'!$W1198="","-",'ORDENES'!$W1198))</f>
        <v/>
      </c>
      <c r="G1220" s="3">
        <f>IF('ORDENES'!$A1198="","",IF('ORDENES'!$AB1198="","-",'ORDENES'!$AB1198))</f>
        <v/>
      </c>
      <c r="H1220" s="3">
        <f>IF('ORDENES'!$A1198="","",IF('ORDENES'!$AN1198="","-",'ORDENES'!$AN1198))</f>
        <v/>
      </c>
      <c r="I1220" s="3">
        <f>IF('ORDENES'!$A1198="","",IF('ORDENES'!$D1198="","-",'ORDENES'!$D1198))</f>
        <v/>
      </c>
      <c r="J1220" s="3">
        <f>IF('ORDENES'!$A1198="","",IF('ORDENES'!$E1198="","-",'ORDENES'!$E1198))</f>
        <v/>
      </c>
      <c r="K1220" s="12">
        <f>IF('ORDENES'!$A1198="","",IF('ORDENES'!$M1198="",0,'ORDENES'!$M1198))</f>
        <v/>
      </c>
      <c r="L1220" s="3">
        <f>IF('ORDENES'!$A1198="","",IF('ORDENES'!$N1198="","-",'ORDENES'!$N1198))</f>
        <v/>
      </c>
      <c r="M1220" s="3">
        <f>IF('ORDENES'!$A1198="","",'ORDENES'!$AA1198)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IF('ORDENES'!$A1199="","",IF('ORDENES'!$AC1199="","-",'ORDENES'!$AC1199))</f>
        <v/>
      </c>
      <c r="D1221" s="3">
        <f>IF('ORDENES'!$A1199="","",IF('ORDENES'!$V1199="","-",'ORDENES'!$V1199))</f>
        <v/>
      </c>
      <c r="E1221" s="3">
        <f>IF('ORDENES'!$A1199="","",IF('ORDENES'!$U1199="","-",'ORDENES'!$U1199))</f>
        <v/>
      </c>
      <c r="F1221" s="3">
        <f>IF('ORDENES'!$A1199="","",IF('ORDENES'!$W1199="","-",'ORDENES'!$W1199))</f>
        <v/>
      </c>
      <c r="G1221" s="3">
        <f>IF('ORDENES'!$A1199="","",IF('ORDENES'!$AB1199="","-",'ORDENES'!$AB1199))</f>
        <v/>
      </c>
      <c r="H1221" s="3">
        <f>IF('ORDENES'!$A1199="","",IF('ORDENES'!$AN1199="","-",'ORDENES'!$AN1199))</f>
        <v/>
      </c>
      <c r="I1221" s="3">
        <f>IF('ORDENES'!$A1199="","",IF('ORDENES'!$D1199="","-",'ORDENES'!$D1199))</f>
        <v/>
      </c>
      <c r="J1221" s="3">
        <f>IF('ORDENES'!$A1199="","",IF('ORDENES'!$E1199="","-",'ORDENES'!$E1199))</f>
        <v/>
      </c>
      <c r="K1221" s="12">
        <f>IF('ORDENES'!$A1199="","",IF('ORDENES'!$M1199="",0,'ORDENES'!$M1199))</f>
        <v/>
      </c>
      <c r="L1221" s="3">
        <f>IF('ORDENES'!$A1199="","",IF('ORDENES'!$N1199="","-",'ORDENES'!$N1199))</f>
        <v/>
      </c>
      <c r="M1221" s="3">
        <f>IF('ORDENES'!$A1199="","",'ORDENES'!$AA1199)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IF('ORDENES'!$A1200="","",IF('ORDENES'!$AC1200="","-",'ORDENES'!$AC1200))</f>
        <v/>
      </c>
      <c r="D1222" s="3">
        <f>IF('ORDENES'!$A1200="","",IF('ORDENES'!$V1200="","-",'ORDENES'!$V1200))</f>
        <v/>
      </c>
      <c r="E1222" s="3">
        <f>IF('ORDENES'!$A1200="","",IF('ORDENES'!$U1200="","-",'ORDENES'!$U1200))</f>
        <v/>
      </c>
      <c r="F1222" s="3">
        <f>IF('ORDENES'!$A1200="","",IF('ORDENES'!$W1200="","-",'ORDENES'!$W1200))</f>
        <v/>
      </c>
      <c r="G1222" s="3">
        <f>IF('ORDENES'!$A1200="","",IF('ORDENES'!$AB1200="","-",'ORDENES'!$AB1200))</f>
        <v/>
      </c>
      <c r="H1222" s="3">
        <f>IF('ORDENES'!$A1200="","",IF('ORDENES'!$AN1200="","-",'ORDENES'!$AN1200))</f>
        <v/>
      </c>
      <c r="I1222" s="3">
        <f>IF('ORDENES'!$A1200="","",IF('ORDENES'!$D1200="","-",'ORDENES'!$D1200))</f>
        <v/>
      </c>
      <c r="J1222" s="3">
        <f>IF('ORDENES'!$A1200="","",IF('ORDENES'!$E1200="","-",'ORDENES'!$E1200))</f>
        <v/>
      </c>
      <c r="K1222" s="12">
        <f>IF('ORDENES'!$A1200="","",IF('ORDENES'!$M1200="",0,'ORDENES'!$M1200))</f>
        <v/>
      </c>
      <c r="L1222" s="3">
        <f>IF('ORDENES'!$A1200="","",IF('ORDENES'!$N1200="","-",'ORDENES'!$N1200))</f>
        <v/>
      </c>
      <c r="M1222" s="3">
        <f>IF('ORDENES'!$A1200="","",'ORDENES'!$AA1200)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IF('ORDENES'!$A1201="","",IF('ORDENES'!$AC1201="","-",'ORDENES'!$AC1201))</f>
        <v/>
      </c>
      <c r="D1223" s="3">
        <f>IF('ORDENES'!$A1201="","",IF('ORDENES'!$V1201="","-",'ORDENES'!$V1201))</f>
        <v/>
      </c>
      <c r="E1223" s="3">
        <f>IF('ORDENES'!$A1201="","",IF('ORDENES'!$U1201="","-",'ORDENES'!$U1201))</f>
        <v/>
      </c>
      <c r="F1223" s="3">
        <f>IF('ORDENES'!$A1201="","",IF('ORDENES'!$W1201="","-",'ORDENES'!$W1201))</f>
        <v/>
      </c>
      <c r="G1223" s="3">
        <f>IF('ORDENES'!$A1201="","",IF('ORDENES'!$AB1201="","-",'ORDENES'!$AB1201))</f>
        <v/>
      </c>
      <c r="H1223" s="3">
        <f>IF('ORDENES'!$A1201="","",IF('ORDENES'!$AN1201="","-",'ORDENES'!$AN1201))</f>
        <v/>
      </c>
      <c r="I1223" s="3">
        <f>IF('ORDENES'!$A1201="","",IF('ORDENES'!$D1201="","-",'ORDENES'!$D1201))</f>
        <v/>
      </c>
      <c r="J1223" s="3">
        <f>IF('ORDENES'!$A1201="","",IF('ORDENES'!$E1201="","-",'ORDENES'!$E1201))</f>
        <v/>
      </c>
      <c r="K1223" s="12">
        <f>IF('ORDENES'!$A1201="","",IF('ORDENES'!$M1201="",0,'ORDENES'!$M1201))</f>
        <v/>
      </c>
      <c r="L1223" s="3">
        <f>IF('ORDENES'!$A1201="","",IF('ORDENES'!$N1201="","-",'ORDENES'!$N1201))</f>
        <v/>
      </c>
      <c r="M1223" s="3">
        <f>IF('ORDENES'!$A1201="","",'ORDENES'!$AA1201)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IF('ORDENES'!$A1202="","",IF('ORDENES'!$AC1202="","-",'ORDENES'!$AC1202))</f>
        <v/>
      </c>
      <c r="D1224" s="3">
        <f>IF('ORDENES'!$A1202="","",IF('ORDENES'!$V1202="","-",'ORDENES'!$V1202))</f>
        <v/>
      </c>
      <c r="E1224" s="3">
        <f>IF('ORDENES'!$A1202="","",IF('ORDENES'!$U1202="","-",'ORDENES'!$U1202))</f>
        <v/>
      </c>
      <c r="F1224" s="3">
        <f>IF('ORDENES'!$A1202="","",IF('ORDENES'!$W1202="","-",'ORDENES'!$W1202))</f>
        <v/>
      </c>
      <c r="G1224" s="3">
        <f>IF('ORDENES'!$A1202="","",IF('ORDENES'!$AB1202="","-",'ORDENES'!$AB1202))</f>
        <v/>
      </c>
      <c r="H1224" s="3">
        <f>IF('ORDENES'!$A1202="","",IF('ORDENES'!$AN1202="","-",'ORDENES'!$AN1202))</f>
        <v/>
      </c>
      <c r="I1224" s="3">
        <f>IF('ORDENES'!$A1202="","",IF('ORDENES'!$D1202="","-",'ORDENES'!$D1202))</f>
        <v/>
      </c>
      <c r="J1224" s="3">
        <f>IF('ORDENES'!$A1202="","",IF('ORDENES'!$E1202="","-",'ORDENES'!$E1202))</f>
        <v/>
      </c>
      <c r="K1224" s="12">
        <f>IF('ORDENES'!$A1202="","",IF('ORDENES'!$M1202="",0,'ORDENES'!$M1202))</f>
        <v/>
      </c>
      <c r="L1224" s="3">
        <f>IF('ORDENES'!$A1202="","",IF('ORDENES'!$N1202="","-",'ORDENES'!$N1202))</f>
        <v/>
      </c>
      <c r="M1224" s="3">
        <f>IF('ORDENES'!$A1202="","",'ORDENES'!$AA1202)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IF('ORDENES'!$A1203="","",IF('ORDENES'!$AC1203="","-",'ORDENES'!$AC1203))</f>
        <v/>
      </c>
      <c r="D1225" s="3">
        <f>IF('ORDENES'!$A1203="","",IF('ORDENES'!$V1203="","-",'ORDENES'!$V1203))</f>
        <v/>
      </c>
      <c r="E1225" s="3">
        <f>IF('ORDENES'!$A1203="","",IF('ORDENES'!$U1203="","-",'ORDENES'!$U1203))</f>
        <v/>
      </c>
      <c r="F1225" s="3">
        <f>IF('ORDENES'!$A1203="","",IF('ORDENES'!$W1203="","-",'ORDENES'!$W1203))</f>
        <v/>
      </c>
      <c r="G1225" s="3">
        <f>IF('ORDENES'!$A1203="","",IF('ORDENES'!$AB1203="","-",'ORDENES'!$AB1203))</f>
        <v/>
      </c>
      <c r="H1225" s="3">
        <f>IF('ORDENES'!$A1203="","",IF('ORDENES'!$AN1203="","-",'ORDENES'!$AN1203))</f>
        <v/>
      </c>
      <c r="I1225" s="3">
        <f>IF('ORDENES'!$A1203="","",IF('ORDENES'!$D1203="","-",'ORDENES'!$D1203))</f>
        <v/>
      </c>
      <c r="J1225" s="3">
        <f>IF('ORDENES'!$A1203="","",IF('ORDENES'!$E1203="","-",'ORDENES'!$E1203))</f>
        <v/>
      </c>
      <c r="K1225" s="12">
        <f>IF('ORDENES'!$A1203="","",IF('ORDENES'!$M1203="",0,'ORDENES'!$M1203))</f>
        <v/>
      </c>
      <c r="L1225" s="3">
        <f>IF('ORDENES'!$A1203="","",IF('ORDENES'!$N1203="","-",'ORDENES'!$N1203))</f>
        <v/>
      </c>
      <c r="M1225" s="3">
        <f>IF('ORDENES'!$A1203="","",'ORDENES'!$AA1203)</f>
        <v/>
      </c>
    </row>
  </sheetData>
  <autoFilter ref="A25:M1225"/>
  <dataValidations count="6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"(todos),B1,T1,T2,T3"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"(todos),MEC,ELE,AUT,OP,TERCERO"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H105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</cols>
  <sheetData>
    <row r="1">
      <c r="A1" s="1" t="inlineStr">
        <is>
          <t>ADHERENCIA (REGLA-7) — rojo &lt; 90 %, amarillo 90–95 %, verde &gt; 95 %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COUNTIFS('ORDENES'!$O$4:$O$1203,$A5)</f>
        <v/>
      </c>
      <c r="C5" s="3">
        <f>COUNTIFS('ORDENES'!$O$4:$O$1203,$A5,'ORDENES'!$N$4:$N$1203,"Cerrada")</f>
        <v/>
      </c>
      <c r="D5" s="18">
        <f>IF(B5=0,"",C5/B5)</f>
        <v/>
      </c>
      <c r="E5" s="17">
        <f>SUMIFS('ORDENES'!$M$4:$M$1203,'ORDENES'!$O$4:$O$1203,$A5)</f>
        <v/>
      </c>
      <c r="F5" s="17">
        <f>SUMIFS('ORDENES'!$M$4:$M$1203,'ORDENES'!$O$4:$O$1203,$A5,'ORDENES'!$N$4:$N$1203,"Cerrada")</f>
        <v/>
      </c>
      <c r="G5" s="18">
        <f>IF(E5=0,"",F5/E5)</f>
        <v/>
      </c>
      <c r="H5" s="20">
        <f>p_meta_adherencia</f>
        <v/>
      </c>
    </row>
    <row r="6" hidden="1">
      <c r="A6" s="3">
        <f>'PERFIL_HH'!$O$5</f>
        <v/>
      </c>
      <c r="B6" s="3">
        <f>COUNTIFS('ORDENES'!$O$4:$O$1203,$A6)</f>
        <v/>
      </c>
      <c r="C6" s="3">
        <f>COUNTIFS('ORDENES'!$O$4:$O$1203,$A6,'ORDENES'!$N$4:$N$1203,"Cerrada")</f>
        <v/>
      </c>
      <c r="D6" s="18">
        <f>IF(B6=0,"",C6/B6)</f>
        <v/>
      </c>
      <c r="E6" s="17">
        <f>SUMIFS('ORDENES'!$M$4:$M$1203,'ORDENES'!$O$4:$O$1203,$A6)</f>
        <v/>
      </c>
      <c r="F6" s="17">
        <f>SUMIFS('ORDENES'!$M$4:$M$1203,'ORDENES'!$O$4:$O$1203,$A6,'ORDENES'!$N$4:$N$1203,"Cerrada")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COUNTIFS('ORDENES'!$O$4:$O$1203,$A7)</f>
        <v/>
      </c>
      <c r="C7" s="3">
        <f>COUNTIFS('ORDENES'!$O$4:$O$1203,$A7,'ORDENES'!$N$4:$N$1203,"Cerrada")</f>
        <v/>
      </c>
      <c r="D7" s="18">
        <f>IF(B7=0,"",C7/B7)</f>
        <v/>
      </c>
      <c r="E7" s="17">
        <f>SUMIFS('ORDENES'!$M$4:$M$1203,'ORDENES'!$O$4:$O$1203,$A7)</f>
        <v/>
      </c>
      <c r="F7" s="17">
        <f>SUMIFS('ORDENES'!$M$4:$M$1203,'ORDENES'!$O$4:$O$1203,$A7,'ORDENES'!$N$4:$N$1203,"Cerrada")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COUNTIFS('ORDENES'!$O$4:$O$1203,$A8)</f>
        <v/>
      </c>
      <c r="C8" s="3">
        <f>COUNTIFS('ORDENES'!$O$4:$O$1203,$A8,'ORDENES'!$N$4:$N$1203,"Cerrada")</f>
        <v/>
      </c>
      <c r="D8" s="18">
        <f>IF(B8=0,"",C8/B8)</f>
        <v/>
      </c>
      <c r="E8" s="17">
        <f>SUMIFS('ORDENES'!$M$4:$M$1203,'ORDENES'!$O$4:$O$1203,$A8)</f>
        <v/>
      </c>
      <c r="F8" s="17">
        <f>SUMIFS('ORDENES'!$M$4:$M$1203,'ORDENES'!$O$4:$O$1203,$A8,'ORDENES'!$N$4:$N$1203,"Cerrada")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COUNTIFS('ORDENES'!$O$4:$O$1203,$A9)</f>
        <v/>
      </c>
      <c r="C9" s="3">
        <f>COUNTIFS('ORDENES'!$O$4:$O$1203,$A9,'ORDENES'!$N$4:$N$1203,"Cerrada")</f>
        <v/>
      </c>
      <c r="D9" s="18">
        <f>IF(B9=0,"",C9/B9)</f>
        <v/>
      </c>
      <c r="E9" s="17">
        <f>SUMIFS('ORDENES'!$M$4:$M$1203,'ORDENES'!$O$4:$O$1203,$A9)</f>
        <v/>
      </c>
      <c r="F9" s="17">
        <f>SUMIFS('ORDENES'!$M$4:$M$1203,'ORDENES'!$O$4:$O$1203,$A9,'ORDENES'!$N$4:$N$1203,"Cerrada")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COUNTIFS('ORDENES'!$O$4:$O$1203,$A10)</f>
        <v/>
      </c>
      <c r="C10" s="3">
        <f>COUNTIFS('ORDENES'!$O$4:$O$1203,$A10,'ORDENES'!$N$4:$N$1203,"Cerrada")</f>
        <v/>
      </c>
      <c r="D10" s="18">
        <f>IF(B10=0,"",C10/B10)</f>
        <v/>
      </c>
      <c r="E10" s="17">
        <f>SUMIFS('ORDENES'!$M$4:$M$1203,'ORDENES'!$O$4:$O$1203,$A10)</f>
        <v/>
      </c>
      <c r="F10" s="17">
        <f>SUMIFS('ORDENES'!$M$4:$M$1203,'ORDENES'!$O$4:$O$1203,$A10,'ORDENES'!$N$4:$N$1203,"Cerrada")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COUNTIFS('ORDENES'!$O$4:$O$1203,$A11)</f>
        <v/>
      </c>
      <c r="C11" s="3">
        <f>COUNTIFS('ORDENES'!$O$4:$O$1203,$A11,'ORDENES'!$N$4:$N$1203,"Cerrada")</f>
        <v/>
      </c>
      <c r="D11" s="18">
        <f>IF(B11=0,"",C11/B11)</f>
        <v/>
      </c>
      <c r="E11" s="17">
        <f>SUMIFS('ORDENES'!$M$4:$M$1203,'ORDENES'!$O$4:$O$1203,$A11)</f>
        <v/>
      </c>
      <c r="F11" s="17">
        <f>SUMIFS('ORDENES'!$M$4:$M$1203,'ORDENES'!$O$4:$O$1203,$A11,'ORDENES'!$N$4:$N$1203,"Cerrada")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COUNTIFS('ORDENES'!$O$4:$O$1203,$A12)</f>
        <v/>
      </c>
      <c r="C12" s="3">
        <f>COUNTIFS('ORDENES'!$O$4:$O$1203,$A12,'ORDENES'!$N$4:$N$1203,"Cerrada")</f>
        <v/>
      </c>
      <c r="D12" s="18">
        <f>IF(B12=0,"",C12/B12)</f>
        <v/>
      </c>
      <c r="E12" s="17">
        <f>SUMIFS('ORDENES'!$M$4:$M$1203,'ORDENES'!$O$4:$O$1203,$A12)</f>
        <v/>
      </c>
      <c r="F12" s="17">
        <f>SUMIFS('ORDENES'!$M$4:$M$1203,'ORDENES'!$O$4:$O$1203,$A12,'ORDENES'!$N$4:$N$1203,"Cerrada")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COUNTIFS('ORDENES'!$O$4:$O$1203,$A13)</f>
        <v/>
      </c>
      <c r="C13" s="3">
        <f>COUNTIFS('ORDENES'!$O$4:$O$1203,$A13,'ORDENES'!$N$4:$N$1203,"Cerrada")</f>
        <v/>
      </c>
      <c r="D13" s="18">
        <f>IF(B13=0,"",C13/B13)</f>
        <v/>
      </c>
      <c r="E13" s="17">
        <f>SUMIFS('ORDENES'!$M$4:$M$1203,'ORDENES'!$O$4:$O$1203,$A13)</f>
        <v/>
      </c>
      <c r="F13" s="17">
        <f>SUMIFS('ORDENES'!$M$4:$M$1203,'ORDENES'!$O$4:$O$1203,$A13,'ORDENES'!$N$4:$N$1203,"Cerrada")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COUNTIFS('ORDENES'!$O$4:$O$1203,$A14)</f>
        <v/>
      </c>
      <c r="C14" s="3">
        <f>COUNTIFS('ORDENES'!$O$4:$O$1203,$A14,'ORDENES'!$N$4:$N$1203,"Cerrada")</f>
        <v/>
      </c>
      <c r="D14" s="18">
        <f>IF(B14=0,"",C14/B14)</f>
        <v/>
      </c>
      <c r="E14" s="17">
        <f>SUMIFS('ORDENES'!$M$4:$M$1203,'ORDENES'!$O$4:$O$1203,$A14)</f>
        <v/>
      </c>
      <c r="F14" s="17">
        <f>SUMIFS('ORDENES'!$M$4:$M$1203,'ORDENES'!$O$4:$O$1203,$A14,'ORDENES'!$N$4:$N$1203,"Cerrada")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COUNTIFS('ORDENES'!$O$4:$O$1203,$A15)</f>
        <v/>
      </c>
      <c r="C15" s="3">
        <f>COUNTIFS('ORDENES'!$O$4:$O$1203,$A15,'ORDENES'!$N$4:$N$1203,"Cerrada")</f>
        <v/>
      </c>
      <c r="D15" s="18">
        <f>IF(B15=0,"",C15/B15)</f>
        <v/>
      </c>
      <c r="E15" s="17">
        <f>SUMIFS('ORDENES'!$M$4:$M$1203,'ORDENES'!$O$4:$O$1203,$A15)</f>
        <v/>
      </c>
      <c r="F15" s="17">
        <f>SUMIFS('ORDENES'!$M$4:$M$1203,'ORDENES'!$O$4:$O$1203,$A15,'ORDENES'!$N$4:$N$1203,"Cerrada")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COUNTIFS('ORDENES'!$O$4:$O$1203,$A16)</f>
        <v/>
      </c>
      <c r="C16" s="3">
        <f>COUNTIFS('ORDENES'!$O$4:$O$1203,$A16,'ORDENES'!$N$4:$N$1203,"Cerrada")</f>
        <v/>
      </c>
      <c r="D16" s="18">
        <f>IF(B16=0,"",C16/B16)</f>
        <v/>
      </c>
      <c r="E16" s="17">
        <f>SUMIFS('ORDENES'!$M$4:$M$1203,'ORDENES'!$O$4:$O$1203,$A16)</f>
        <v/>
      </c>
      <c r="F16" s="17">
        <f>SUMIFS('ORDENES'!$M$4:$M$1203,'ORDENES'!$O$4:$O$1203,$A16,'ORDENES'!$N$4:$N$1203,"Cerrada")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COUNTIFS('ORDENES'!$O$4:$O$1203,$A17)</f>
        <v/>
      </c>
      <c r="C17" s="3">
        <f>COUNTIFS('ORDENES'!$O$4:$O$1203,$A17,'ORDENES'!$N$4:$N$1203,"Cerrada")</f>
        <v/>
      </c>
      <c r="D17" s="18">
        <f>IF(B17=0,"",C17/B17)</f>
        <v/>
      </c>
      <c r="E17" s="17">
        <f>SUMIFS('ORDENES'!$M$4:$M$1203,'ORDENES'!$O$4:$O$1203,$A17)</f>
        <v/>
      </c>
      <c r="F17" s="17">
        <f>SUMIFS('ORDENES'!$M$4:$M$1203,'ORDENES'!$O$4:$O$1203,$A17,'ORDENES'!$N$4:$N$1203,"Cerrada")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COUNTIFS('ORDENES'!$O$4:$O$1203,$A18)</f>
        <v/>
      </c>
      <c r="C18" s="3">
        <f>COUNTIFS('ORDENES'!$O$4:$O$1203,$A18,'ORDENES'!$N$4:$N$1203,"Cerrada")</f>
        <v/>
      </c>
      <c r="D18" s="18">
        <f>IF(B18=0,"",C18/B18)</f>
        <v/>
      </c>
      <c r="E18" s="17">
        <f>SUMIFS('ORDENES'!$M$4:$M$1203,'ORDENES'!$O$4:$O$1203,$A18)</f>
        <v/>
      </c>
      <c r="F18" s="17">
        <f>SUMIFS('ORDENES'!$M$4:$M$1203,'ORDENES'!$O$4:$O$1203,$A18,'ORDENES'!$N$4:$N$1203,"Cerrada")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COUNTIFS('ORDENES'!$O$4:$O$1203,$A19)</f>
        <v/>
      </c>
      <c r="C19" s="3">
        <f>COUNTIFS('ORDENES'!$O$4:$O$1203,$A19,'ORDENES'!$N$4:$N$1203,"Cerrada")</f>
        <v/>
      </c>
      <c r="D19" s="18">
        <f>IF(B19=0,"",C19/B19)</f>
        <v/>
      </c>
      <c r="E19" s="17">
        <f>SUMIFS('ORDENES'!$M$4:$M$1203,'ORDENES'!$O$4:$O$1203,$A19)</f>
        <v/>
      </c>
      <c r="F19" s="17">
        <f>SUMIFS('ORDENES'!$M$4:$M$1203,'ORDENES'!$O$4:$O$1203,$A19,'ORDENES'!$N$4:$N$1203,"Cerrada")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COUNTIFS('ORDENES'!$O$4:$O$1203,$A20)</f>
        <v/>
      </c>
      <c r="C20" s="3">
        <f>COUNTIFS('ORDENES'!$O$4:$O$1203,$A20,'ORDENES'!$N$4:$N$1203,"Cerrada")</f>
        <v/>
      </c>
      <c r="D20" s="18">
        <f>IF(B20=0,"",C20/B20)</f>
        <v/>
      </c>
      <c r="E20" s="17">
        <f>SUMIFS('ORDENES'!$M$4:$M$1203,'ORDENES'!$O$4:$O$1203,$A20)</f>
        <v/>
      </c>
      <c r="F20" s="17">
        <f>SUMIFS('ORDENES'!$M$4:$M$1203,'ORDENES'!$O$4:$O$1203,$A20,'ORDENES'!$N$4:$N$1203,"Cerrada")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COUNTIFS('ORDENES'!$O$4:$O$1203,$A21)</f>
        <v/>
      </c>
      <c r="C21" s="3">
        <f>COUNTIFS('ORDENES'!$O$4:$O$1203,$A21,'ORDENES'!$N$4:$N$1203,"Cerrada")</f>
        <v/>
      </c>
      <c r="D21" s="18">
        <f>IF(B21=0,"",C21/B21)</f>
        <v/>
      </c>
      <c r="E21" s="17">
        <f>SUMIFS('ORDENES'!$M$4:$M$1203,'ORDENES'!$O$4:$O$1203,$A21)</f>
        <v/>
      </c>
      <c r="F21" s="17">
        <f>SUMIFS('ORDENES'!$M$4:$M$1203,'ORDENES'!$O$4:$O$1203,$A21,'ORDENES'!$N$4:$N$1203,"Cerrada")</f>
        <v/>
      </c>
      <c r="G21" s="18">
        <f>IF(E21=0,"",F21/E21)</f>
        <v/>
      </c>
      <c r="H21" s="20">
        <f>p_meta_adherencia</f>
        <v/>
      </c>
    </row>
    <row r="22">
      <c r="A22" s="3">
        <f>'PERFIL_HH'!$O$21</f>
        <v/>
      </c>
      <c r="B22" s="3">
        <f>COUNTIFS('ORDENES'!$O$4:$O$1203,$A22)</f>
        <v/>
      </c>
      <c r="C22" s="3">
        <f>COUNTIFS('ORDENES'!$O$4:$O$1203,$A22,'ORDENES'!$N$4:$N$1203,"Cerrada")</f>
        <v/>
      </c>
      <c r="D22" s="18">
        <f>IF(B22=0,"",C22/B22)</f>
        <v/>
      </c>
      <c r="E22" s="17">
        <f>SUMIFS('ORDENES'!$M$4:$M$1203,'ORDENES'!$O$4:$O$1203,$A22)</f>
        <v/>
      </c>
      <c r="F22" s="17">
        <f>SUMIFS('ORDENES'!$M$4:$M$1203,'ORDENES'!$O$4:$O$1203,$A22,'ORDENES'!$N$4:$N$1203,"Cerrada")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COUNTIFS('ORDENES'!$O$4:$O$1203,$A23)</f>
        <v/>
      </c>
      <c r="C23" s="3">
        <f>COUNTIFS('ORDENES'!$O$4:$O$1203,$A23,'ORDENES'!$N$4:$N$1203,"Cerrada")</f>
        <v/>
      </c>
      <c r="D23" s="18">
        <f>IF(B23=0,"",C23/B23)</f>
        <v/>
      </c>
      <c r="E23" s="17">
        <f>SUMIFS('ORDENES'!$M$4:$M$1203,'ORDENES'!$O$4:$O$1203,$A23)</f>
        <v/>
      </c>
      <c r="F23" s="17">
        <f>SUMIFS('ORDENES'!$M$4:$M$1203,'ORDENES'!$O$4:$O$1203,$A23,'ORDENES'!$N$4:$N$1203,"Cerrada")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COUNTIFS('ORDENES'!$O$4:$O$1203,$A24)</f>
        <v/>
      </c>
      <c r="C24" s="3">
        <f>COUNTIFS('ORDENES'!$O$4:$O$1203,$A24,'ORDENES'!$N$4:$N$1203,"Cerrada")</f>
        <v/>
      </c>
      <c r="D24" s="18">
        <f>IF(B24=0,"",C24/B24)</f>
        <v/>
      </c>
      <c r="E24" s="17">
        <f>SUMIFS('ORDENES'!$M$4:$M$1203,'ORDENES'!$O$4:$O$1203,$A24)</f>
        <v/>
      </c>
      <c r="F24" s="17">
        <f>SUMIFS('ORDENES'!$M$4:$M$1203,'ORDENES'!$O$4:$O$1203,$A24,'ORDENES'!$N$4:$N$1203,"Cerrada")</f>
        <v/>
      </c>
      <c r="G24" s="18">
        <f>IF(E24=0,"",F24/E24)</f>
        <v/>
      </c>
      <c r="H24" s="20">
        <f>p_meta_adherencia</f>
        <v/>
      </c>
    </row>
    <row r="25" hidden="1">
      <c r="A25" s="3">
        <f>'PERFIL_HH'!$O$24</f>
        <v/>
      </c>
      <c r="B25" s="3">
        <f>COUNTIFS('ORDENES'!$O$4:$O$1203,$A25)</f>
        <v/>
      </c>
      <c r="C25" s="3">
        <f>COUNTIFS('ORDENES'!$O$4:$O$1203,$A25,'ORDENES'!$N$4:$N$1203,"Cerrada")</f>
        <v/>
      </c>
      <c r="D25" s="18">
        <f>IF(B25=0,"",C25/B25)</f>
        <v/>
      </c>
      <c r="E25" s="17">
        <f>SUMIFS('ORDENES'!$M$4:$M$1203,'ORDENES'!$O$4:$O$1203,$A25)</f>
        <v/>
      </c>
      <c r="F25" s="17">
        <f>SUMIFS('ORDENES'!$M$4:$M$1203,'ORDENES'!$O$4:$O$1203,$A25,'ORDENES'!$N$4:$N$1203,"Cerrada")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COUNTIFS('ORDENES'!$O$4:$O$1203,$A26)</f>
        <v/>
      </c>
      <c r="C26" s="3">
        <f>COUNTIFS('ORDENES'!$O$4:$O$1203,$A26,'ORDENES'!$N$4:$N$1203,"Cerrada")</f>
        <v/>
      </c>
      <c r="D26" s="18">
        <f>IF(B26=0,"",C26/B26)</f>
        <v/>
      </c>
      <c r="E26" s="17">
        <f>SUMIFS('ORDENES'!$M$4:$M$1203,'ORDENES'!$O$4:$O$1203,$A26)</f>
        <v/>
      </c>
      <c r="F26" s="17">
        <f>SUMIFS('ORDENES'!$M$4:$M$1203,'ORDENES'!$O$4:$O$1203,$A26,'ORDENES'!$N$4:$N$1203,"Cerrada")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COUNTIFS('ORDENES'!$O$4:$O$1203,$A27)</f>
        <v/>
      </c>
      <c r="C27" s="3">
        <f>COUNTIFS('ORDENES'!$O$4:$O$1203,$A27,'ORDENES'!$N$4:$N$1203,"Cerrada")</f>
        <v/>
      </c>
      <c r="D27" s="18">
        <f>IF(B27=0,"",C27/B27)</f>
        <v/>
      </c>
      <c r="E27" s="17">
        <f>SUMIFS('ORDENES'!$M$4:$M$1203,'ORDENES'!$O$4:$O$1203,$A27)</f>
        <v/>
      </c>
      <c r="F27" s="17">
        <f>SUMIFS('ORDENES'!$M$4:$M$1203,'ORDENES'!$O$4:$O$1203,$A27,'ORDENES'!$N$4:$N$1203,"Cerrada")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COUNTIFS('ORDENES'!$O$4:$O$1203,$A28)</f>
        <v/>
      </c>
      <c r="C28" s="3">
        <f>COUNTIFS('ORDENES'!$O$4:$O$1203,$A28,'ORDENES'!$N$4:$N$1203,"Cerrada")</f>
        <v/>
      </c>
      <c r="D28" s="18">
        <f>IF(B28=0,"",C28/B28)</f>
        <v/>
      </c>
      <c r="E28" s="17">
        <f>SUMIFS('ORDENES'!$M$4:$M$1203,'ORDENES'!$O$4:$O$1203,$A28)</f>
        <v/>
      </c>
      <c r="F28" s="17">
        <f>SUMIFS('ORDENES'!$M$4:$M$1203,'ORDENES'!$O$4:$O$1203,$A28,'ORDENES'!$N$4:$N$1203,"Cerrada")</f>
        <v/>
      </c>
      <c r="G28" s="18">
        <f>IF(E28=0,"",F28/E28)</f>
        <v/>
      </c>
      <c r="H28" s="20">
        <f>p_meta_adherencia</f>
        <v/>
      </c>
    </row>
    <row r="29">
      <c r="A29" s="3">
        <f>'PERFIL_HH'!$O$28</f>
        <v/>
      </c>
      <c r="B29" s="3">
        <f>COUNTIFS('ORDENES'!$O$4:$O$1203,$A29)</f>
        <v/>
      </c>
      <c r="C29" s="3">
        <f>COUNTIFS('ORDENES'!$O$4:$O$1203,$A29,'ORDENES'!$N$4:$N$1203,"Cerrada")</f>
        <v/>
      </c>
      <c r="D29" s="18">
        <f>IF(B29=0,"",C29/B29)</f>
        <v/>
      </c>
      <c r="E29" s="17">
        <f>SUMIFS('ORDENES'!$M$4:$M$1203,'ORDENES'!$O$4:$O$1203,$A29)</f>
        <v/>
      </c>
      <c r="F29" s="17">
        <f>SUMIFS('ORDENES'!$M$4:$M$1203,'ORDENES'!$O$4:$O$1203,$A29,'ORDENES'!$N$4:$N$1203,"Cerrada")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COUNTIFS('ORDENES'!$O$4:$O$1203,$A30)</f>
        <v/>
      </c>
      <c r="C30" s="3">
        <f>COUNTIFS('ORDENES'!$O$4:$O$1203,$A30,'ORDENES'!$N$4:$N$1203,"Cerrada")</f>
        <v/>
      </c>
      <c r="D30" s="18">
        <f>IF(B30=0,"",C30/B30)</f>
        <v/>
      </c>
      <c r="E30" s="17">
        <f>SUMIFS('ORDENES'!$M$4:$M$1203,'ORDENES'!$O$4:$O$1203,$A30)</f>
        <v/>
      </c>
      <c r="F30" s="17">
        <f>SUMIFS('ORDENES'!$M$4:$M$1203,'ORDENES'!$O$4:$O$1203,$A30,'ORDENES'!$N$4:$N$1203,"Cerrada")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COUNTIFS('ORDENES'!$O$4:$O$1203,$A31)</f>
        <v/>
      </c>
      <c r="C31" s="3">
        <f>COUNTIFS('ORDENES'!$O$4:$O$1203,$A31,'ORDENES'!$N$4:$N$1203,"Cerrada")</f>
        <v/>
      </c>
      <c r="D31" s="18">
        <f>IF(B31=0,"",C31/B31)</f>
        <v/>
      </c>
      <c r="E31" s="17">
        <f>SUMIFS('ORDENES'!$M$4:$M$1203,'ORDENES'!$O$4:$O$1203,$A31)</f>
        <v/>
      </c>
      <c r="F31" s="17">
        <f>SUMIFS('ORDENES'!$M$4:$M$1203,'ORDENES'!$O$4:$O$1203,$A31,'ORDENES'!$N$4:$N$1203,"Cerrada")</f>
        <v/>
      </c>
      <c r="G31" s="18">
        <f>IF(E31=0,"",F31/E31)</f>
        <v/>
      </c>
      <c r="H31" s="20">
        <f>p_meta_adherencia</f>
        <v/>
      </c>
    </row>
    <row r="32">
      <c r="A32" s="3">
        <f>'PERFIL_HH'!$O$31</f>
        <v/>
      </c>
      <c r="B32" s="3">
        <f>COUNTIFS('ORDENES'!$O$4:$O$1203,$A32)</f>
        <v/>
      </c>
      <c r="C32" s="3">
        <f>COUNTIFS('ORDENES'!$O$4:$O$1203,$A32,'ORDENES'!$N$4:$N$1203,"Cerrada")</f>
        <v/>
      </c>
      <c r="D32" s="18">
        <f>IF(B32=0,"",C32/B32)</f>
        <v/>
      </c>
      <c r="E32" s="17">
        <f>SUMIFS('ORDENES'!$M$4:$M$1203,'ORDENES'!$O$4:$O$1203,$A32)</f>
        <v/>
      </c>
      <c r="F32" s="17">
        <f>SUMIFS('ORDENES'!$M$4:$M$1203,'ORDENES'!$O$4:$O$1203,$A32,'ORDENES'!$N$4:$N$1203,"Cerrada")</f>
        <v/>
      </c>
      <c r="G32" s="18">
        <f>IF(E32=0,"",F32/E32)</f>
        <v/>
      </c>
      <c r="H32" s="20">
        <f>p_meta_adherencia</f>
        <v/>
      </c>
    </row>
    <row r="33" hidden="1">
      <c r="A33" s="3">
        <f>'PERFIL_HH'!$O$32</f>
        <v/>
      </c>
      <c r="B33" s="3">
        <f>COUNTIFS('ORDENES'!$O$4:$O$1203,$A33)</f>
        <v/>
      </c>
      <c r="C33" s="3">
        <f>COUNTIFS('ORDENES'!$O$4:$O$1203,$A33,'ORDENES'!$N$4:$N$1203,"Cerrada")</f>
        <v/>
      </c>
      <c r="D33" s="18">
        <f>IF(B33=0,"",C33/B33)</f>
        <v/>
      </c>
      <c r="E33" s="17">
        <f>SUMIFS('ORDENES'!$M$4:$M$1203,'ORDENES'!$O$4:$O$1203,$A33)</f>
        <v/>
      </c>
      <c r="F33" s="17">
        <f>SUMIFS('ORDENES'!$M$4:$M$1203,'ORDENES'!$O$4:$O$1203,$A33,'ORDENES'!$N$4:$N$1203,"Cerrada")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COUNTIFS('ORDENES'!$O$4:$O$1203,$A34)</f>
        <v/>
      </c>
      <c r="C34" s="3">
        <f>COUNTIFS('ORDENES'!$O$4:$O$1203,$A34,'ORDENES'!$N$4:$N$1203,"Cerrada")</f>
        <v/>
      </c>
      <c r="D34" s="18">
        <f>IF(B34=0,"",C34/B34)</f>
        <v/>
      </c>
      <c r="E34" s="17">
        <f>SUMIFS('ORDENES'!$M$4:$M$1203,'ORDENES'!$O$4:$O$1203,$A34)</f>
        <v/>
      </c>
      <c r="F34" s="17">
        <f>SUMIFS('ORDENES'!$M$4:$M$1203,'ORDENES'!$O$4:$O$1203,$A34,'ORDENES'!$N$4:$N$1203,"Cerrada")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COUNTIFS('ORDENES'!$O$4:$O$1203,$A35)</f>
        <v/>
      </c>
      <c r="C35" s="3">
        <f>COUNTIFS('ORDENES'!$O$4:$O$1203,$A35,'ORDENES'!$N$4:$N$1203,"Cerrada")</f>
        <v/>
      </c>
      <c r="D35" s="18">
        <f>IF(B35=0,"",C35/B35)</f>
        <v/>
      </c>
      <c r="E35" s="17">
        <f>SUMIFS('ORDENES'!$M$4:$M$1203,'ORDENES'!$O$4:$O$1203,$A35)</f>
        <v/>
      </c>
      <c r="F35" s="17">
        <f>SUMIFS('ORDENES'!$M$4:$M$1203,'ORDENES'!$O$4:$O$1203,$A35,'ORDENES'!$N$4:$N$1203,"Cerrada")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COUNTIFS('ORDENES'!$O$4:$O$1203,$A36)</f>
        <v/>
      </c>
      <c r="C36" s="3">
        <f>COUNTIFS('ORDENES'!$O$4:$O$1203,$A36,'ORDENES'!$N$4:$N$1203,"Cerrada")</f>
        <v/>
      </c>
      <c r="D36" s="18">
        <f>IF(B36=0,"",C36/B36)</f>
        <v/>
      </c>
      <c r="E36" s="17">
        <f>SUMIFS('ORDENES'!$M$4:$M$1203,'ORDENES'!$O$4:$O$1203,$A36)</f>
        <v/>
      </c>
      <c r="F36" s="17">
        <f>SUMIFS('ORDENES'!$M$4:$M$1203,'ORDENES'!$O$4:$O$1203,$A36,'ORDENES'!$N$4:$N$1203,"Cerrada")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COUNTIFS('ORDENES'!$O$4:$O$1203,$A37)</f>
        <v/>
      </c>
      <c r="C37" s="3">
        <f>COUNTIFS('ORDENES'!$O$4:$O$1203,$A37,'ORDENES'!$N$4:$N$1203,"Cerrada")</f>
        <v/>
      </c>
      <c r="D37" s="18">
        <f>IF(B37=0,"",C37/B37)</f>
        <v/>
      </c>
      <c r="E37" s="17">
        <f>SUMIFS('ORDENES'!$M$4:$M$1203,'ORDENES'!$O$4:$O$1203,$A37)</f>
        <v/>
      </c>
      <c r="F37" s="17">
        <f>SUMIFS('ORDENES'!$M$4:$M$1203,'ORDENES'!$O$4:$O$1203,$A37,'ORDENES'!$N$4:$N$1203,"Cerrada")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COUNTIFS('ORDENES'!$O$4:$O$1203,$A38)</f>
        <v/>
      </c>
      <c r="C38" s="3">
        <f>COUNTIFS('ORDENES'!$O$4:$O$1203,$A38,'ORDENES'!$N$4:$N$1203,"Cerrada")</f>
        <v/>
      </c>
      <c r="D38" s="18">
        <f>IF(B38=0,"",C38/B38)</f>
        <v/>
      </c>
      <c r="E38" s="17">
        <f>SUMIFS('ORDENES'!$M$4:$M$1203,'ORDENES'!$O$4:$O$1203,$A38)</f>
        <v/>
      </c>
      <c r="F38" s="17">
        <f>SUMIFS('ORDENES'!$M$4:$M$1203,'ORDENES'!$O$4:$O$1203,$A38,'ORDENES'!$N$4:$N$1203,"Cerrada")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COUNTIFS('ORDENES'!$O$4:$O$1203,$A39)</f>
        <v/>
      </c>
      <c r="C39" s="3">
        <f>COUNTIFS('ORDENES'!$O$4:$O$1203,$A39,'ORDENES'!$N$4:$N$1203,"Cerrada")</f>
        <v/>
      </c>
      <c r="D39" s="18">
        <f>IF(B39=0,"",C39/B39)</f>
        <v/>
      </c>
      <c r="E39" s="17">
        <f>SUMIFS('ORDENES'!$M$4:$M$1203,'ORDENES'!$O$4:$O$1203,$A39)</f>
        <v/>
      </c>
      <c r="F39" s="17">
        <f>SUMIFS('ORDENES'!$M$4:$M$1203,'ORDENES'!$O$4:$O$1203,$A39,'ORDENES'!$N$4:$N$1203,"Cerrada")</f>
        <v/>
      </c>
      <c r="G39" s="18">
        <f>IF(E39=0,"",F39/E39)</f>
        <v/>
      </c>
      <c r="H39" s="20">
        <f>p_meta_adherencia</f>
        <v/>
      </c>
    </row>
    <row r="40" hidden="1">
      <c r="A40" s="3">
        <f>'PERFIL_HH'!$O$39</f>
        <v/>
      </c>
      <c r="B40" s="3">
        <f>COUNTIFS('ORDENES'!$O$4:$O$1203,$A40)</f>
        <v/>
      </c>
      <c r="C40" s="3">
        <f>COUNTIFS('ORDENES'!$O$4:$O$1203,$A40,'ORDENES'!$N$4:$N$1203,"Cerrada")</f>
        <v/>
      </c>
      <c r="D40" s="18">
        <f>IF(B40=0,"",C40/B40)</f>
        <v/>
      </c>
      <c r="E40" s="17">
        <f>SUMIFS('ORDENES'!$M$4:$M$1203,'ORDENES'!$O$4:$O$1203,$A40)</f>
        <v/>
      </c>
      <c r="F40" s="17">
        <f>SUMIFS('ORDENES'!$M$4:$M$1203,'ORDENES'!$O$4:$O$1203,$A40,'ORDENES'!$N$4:$N$1203,"Cerrada")</f>
        <v/>
      </c>
      <c r="G40" s="18">
        <f>IF(E40=0,"",F40/E40)</f>
        <v/>
      </c>
      <c r="H40" s="20">
        <f>p_meta_adherencia</f>
        <v/>
      </c>
    </row>
    <row r="41">
      <c r="A41" s="3">
        <f>'PERFIL_HH'!$O$40</f>
        <v/>
      </c>
      <c r="B41" s="3">
        <f>COUNTIFS('ORDENES'!$O$4:$O$1203,$A41)</f>
        <v/>
      </c>
      <c r="C41" s="3">
        <f>COUNTIFS('ORDENES'!$O$4:$O$1203,$A41,'ORDENES'!$N$4:$N$1203,"Cerrada")</f>
        <v/>
      </c>
      <c r="D41" s="18">
        <f>IF(B41=0,"",C41/B41)</f>
        <v/>
      </c>
      <c r="E41" s="17">
        <f>SUMIFS('ORDENES'!$M$4:$M$1203,'ORDENES'!$O$4:$O$1203,$A41)</f>
        <v/>
      </c>
      <c r="F41" s="17">
        <f>SUMIFS('ORDENES'!$M$4:$M$1203,'ORDENES'!$O$4:$O$1203,$A41,'ORDENES'!$N$4:$N$1203,"Cerrada")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COUNTIFS('ORDENES'!$O$4:$O$1203,$A42)</f>
        <v/>
      </c>
      <c r="C42" s="3">
        <f>COUNTIFS('ORDENES'!$O$4:$O$1203,$A42,'ORDENES'!$N$4:$N$1203,"Cerrada")</f>
        <v/>
      </c>
      <c r="D42" s="18">
        <f>IF(B42=0,"",C42/B42)</f>
        <v/>
      </c>
      <c r="E42" s="17">
        <f>SUMIFS('ORDENES'!$M$4:$M$1203,'ORDENES'!$O$4:$O$1203,$A42)</f>
        <v/>
      </c>
      <c r="F42" s="17">
        <f>SUMIFS('ORDENES'!$M$4:$M$1203,'ORDENES'!$O$4:$O$1203,$A42,'ORDENES'!$N$4:$N$1203,"Cerrada")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COUNTIFS('ORDENES'!$O$4:$O$1203,$A43)</f>
        <v/>
      </c>
      <c r="C43" s="3">
        <f>COUNTIFS('ORDENES'!$O$4:$O$1203,$A43,'ORDENES'!$N$4:$N$1203,"Cerrada")</f>
        <v/>
      </c>
      <c r="D43" s="18">
        <f>IF(B43=0,"",C43/B43)</f>
        <v/>
      </c>
      <c r="E43" s="17">
        <f>SUMIFS('ORDENES'!$M$4:$M$1203,'ORDENES'!$O$4:$O$1203,$A43)</f>
        <v/>
      </c>
      <c r="F43" s="17">
        <f>SUMIFS('ORDENES'!$M$4:$M$1203,'ORDENES'!$O$4:$O$1203,$A43,'ORDENES'!$N$4:$N$1203,"Cerrada")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COUNTIFS('ORDENES'!$O$4:$O$1203,$A44)</f>
        <v/>
      </c>
      <c r="C44" s="3">
        <f>COUNTIFS('ORDENES'!$O$4:$O$1203,$A44,'ORDENES'!$N$4:$N$1203,"Cerrada")</f>
        <v/>
      </c>
      <c r="D44" s="18">
        <f>IF(B44=0,"",C44/B44)</f>
        <v/>
      </c>
      <c r="E44" s="17">
        <f>SUMIFS('ORDENES'!$M$4:$M$1203,'ORDENES'!$O$4:$O$1203,$A44)</f>
        <v/>
      </c>
      <c r="F44" s="17">
        <f>SUMIFS('ORDENES'!$M$4:$M$1203,'ORDENES'!$O$4:$O$1203,$A44,'ORDENES'!$N$4:$N$1203,"Cerrada")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COUNTIFS('ORDENES'!$O$4:$O$1203,$A45)</f>
        <v/>
      </c>
      <c r="C45" s="3">
        <f>COUNTIFS('ORDENES'!$O$4:$O$1203,$A45,'ORDENES'!$N$4:$N$1203,"Cerrada")</f>
        <v/>
      </c>
      <c r="D45" s="18">
        <f>IF(B45=0,"",C45/B45)</f>
        <v/>
      </c>
      <c r="E45" s="17">
        <f>SUMIFS('ORDENES'!$M$4:$M$1203,'ORDENES'!$O$4:$O$1203,$A45)</f>
        <v/>
      </c>
      <c r="F45" s="17">
        <f>SUMIFS('ORDENES'!$M$4:$M$1203,'ORDENES'!$O$4:$O$1203,$A45,'ORDENES'!$N$4:$N$1203,"Cerrada")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COUNTIFS('ORDENES'!$O$4:$O$1203,$A46)</f>
        <v/>
      </c>
      <c r="C46" s="3">
        <f>COUNTIFS('ORDENES'!$O$4:$O$1203,$A46,'ORDENES'!$N$4:$N$1203,"Cerrada")</f>
        <v/>
      </c>
      <c r="D46" s="18">
        <f>IF(B46=0,"",C46/B46)</f>
        <v/>
      </c>
      <c r="E46" s="17">
        <f>SUMIFS('ORDENES'!$M$4:$M$1203,'ORDENES'!$O$4:$O$1203,$A46)</f>
        <v/>
      </c>
      <c r="F46" s="17">
        <f>SUMIFS('ORDENES'!$M$4:$M$1203,'ORDENES'!$O$4:$O$1203,$A46,'ORDENES'!$N$4:$N$1203,"Cerrada")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COUNTIFS('ORDENES'!$O$4:$O$1203,$A47)</f>
        <v/>
      </c>
      <c r="C47" s="3">
        <f>COUNTIFS('ORDENES'!$O$4:$O$1203,$A47,'ORDENES'!$N$4:$N$1203,"Cerrada")</f>
        <v/>
      </c>
      <c r="D47" s="18">
        <f>IF(B47=0,"",C47/B47)</f>
        <v/>
      </c>
      <c r="E47" s="17">
        <f>SUMIFS('ORDENES'!$M$4:$M$1203,'ORDENES'!$O$4:$O$1203,$A47)</f>
        <v/>
      </c>
      <c r="F47" s="17">
        <f>SUMIFS('ORDENES'!$M$4:$M$1203,'ORDENES'!$O$4:$O$1203,$A47,'ORDENES'!$N$4:$N$1203,"Cerrada")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COUNTIFS('ORDENES'!$O$4:$O$1203,$A48)</f>
        <v/>
      </c>
      <c r="C48" s="3">
        <f>COUNTIFS('ORDENES'!$O$4:$O$1203,$A48,'ORDENES'!$N$4:$N$1203,"Cerrada")</f>
        <v/>
      </c>
      <c r="D48" s="18">
        <f>IF(B48=0,"",C48/B48)</f>
        <v/>
      </c>
      <c r="E48" s="17">
        <f>SUMIFS('ORDENES'!$M$4:$M$1203,'ORDENES'!$O$4:$O$1203,$A48)</f>
        <v/>
      </c>
      <c r="F48" s="17">
        <f>SUMIFS('ORDENES'!$M$4:$M$1203,'ORDENES'!$O$4:$O$1203,$A48,'ORDENES'!$N$4:$N$1203,"Cerrada")</f>
        <v/>
      </c>
      <c r="G48" s="18">
        <f>IF(E48=0,"",F48/E48)</f>
        <v/>
      </c>
      <c r="H48" s="20">
        <f>p_meta_adherencia</f>
        <v/>
      </c>
    </row>
    <row r="49" hidden="1">
      <c r="A49" s="3">
        <f>'PERFIL_HH'!$O$48</f>
        <v/>
      </c>
      <c r="B49" s="3">
        <f>COUNTIFS('ORDENES'!$O$4:$O$1203,$A49)</f>
        <v/>
      </c>
      <c r="C49" s="3">
        <f>COUNTIFS('ORDENES'!$O$4:$O$1203,$A49,'ORDENES'!$N$4:$N$1203,"Cerrada")</f>
        <v/>
      </c>
      <c r="D49" s="18">
        <f>IF(B49=0,"",C49/B49)</f>
        <v/>
      </c>
      <c r="E49" s="17">
        <f>SUMIFS('ORDENES'!$M$4:$M$1203,'ORDENES'!$O$4:$O$1203,$A49)</f>
        <v/>
      </c>
      <c r="F49" s="17">
        <f>SUMIFS('ORDENES'!$M$4:$M$1203,'ORDENES'!$O$4:$O$1203,$A49,'ORDENES'!$N$4:$N$1203,"Cerrada")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COUNTIFS('ORDENES'!$O$4:$O$1203,$A50)</f>
        <v/>
      </c>
      <c r="C50" s="3">
        <f>COUNTIFS('ORDENES'!$O$4:$O$1203,$A50,'ORDENES'!$N$4:$N$1203,"Cerrada")</f>
        <v/>
      </c>
      <c r="D50" s="18">
        <f>IF(B50=0,"",C50/B50)</f>
        <v/>
      </c>
      <c r="E50" s="17">
        <f>SUMIFS('ORDENES'!$M$4:$M$1203,'ORDENES'!$O$4:$O$1203,$A50)</f>
        <v/>
      </c>
      <c r="F50" s="17">
        <f>SUMIFS('ORDENES'!$M$4:$M$1203,'ORDENES'!$O$4:$O$1203,$A50,'ORDENES'!$N$4:$N$1203,"Cerrada")</f>
        <v/>
      </c>
      <c r="G50" s="18">
        <f>IF(E50=0,"",F50/E50)</f>
        <v/>
      </c>
      <c r="H50" s="20">
        <f>p_meta_adherencia</f>
        <v/>
      </c>
    </row>
    <row r="51">
      <c r="A51" s="3">
        <f>'PERFIL_HH'!$O$50</f>
        <v/>
      </c>
      <c r="B51" s="3">
        <f>COUNTIFS('ORDENES'!$O$4:$O$1203,$A51)</f>
        <v/>
      </c>
      <c r="C51" s="3">
        <f>COUNTIFS('ORDENES'!$O$4:$O$1203,$A51,'ORDENES'!$N$4:$N$1203,"Cerrada")</f>
        <v/>
      </c>
      <c r="D51" s="18">
        <f>IF(B51=0,"",C51/B51)</f>
        <v/>
      </c>
      <c r="E51" s="17">
        <f>SUMIFS('ORDENES'!$M$4:$M$1203,'ORDENES'!$O$4:$O$1203,$A51)</f>
        <v/>
      </c>
      <c r="F51" s="17">
        <f>SUMIFS('ORDENES'!$M$4:$M$1203,'ORDENES'!$O$4:$O$1203,$A51,'ORDENES'!$N$4:$N$1203,"Cerrada")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COUNTIFS('ORDENES'!$O$4:$O$1203,$A52)</f>
        <v/>
      </c>
      <c r="C52" s="3">
        <f>COUNTIFS('ORDENES'!$O$4:$O$1203,$A52,'ORDENES'!$N$4:$N$1203,"Cerrada")</f>
        <v/>
      </c>
      <c r="D52" s="18">
        <f>IF(B52=0,"",C52/B52)</f>
        <v/>
      </c>
      <c r="E52" s="17">
        <f>SUMIFS('ORDENES'!$M$4:$M$1203,'ORDENES'!$O$4:$O$1203,$A52)</f>
        <v/>
      </c>
      <c r="F52" s="17">
        <f>SUMIFS('ORDENES'!$M$4:$M$1203,'ORDENES'!$O$4:$O$1203,$A52,'ORDENES'!$N$4:$N$1203,"Cerrada")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COUNTIFS('ORDENES'!$O$4:$O$1203,$A53)</f>
        <v/>
      </c>
      <c r="C53" s="3">
        <f>COUNTIFS('ORDENES'!$O$4:$O$1203,$A53,'ORDENES'!$N$4:$N$1203,"Cerrada")</f>
        <v/>
      </c>
      <c r="D53" s="18">
        <f>IF(B53=0,"",C53/B53)</f>
        <v/>
      </c>
      <c r="E53" s="17">
        <f>SUMIFS('ORDENES'!$M$4:$M$1203,'ORDENES'!$O$4:$O$1203,$A53)</f>
        <v/>
      </c>
      <c r="F53" s="17">
        <f>SUMIFS('ORDENES'!$M$4:$M$1203,'ORDENES'!$O$4:$O$1203,$A53,'ORDENES'!$N$4:$N$1203,"Cerrada")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COUNTIFS('ORDENES'!$O$4:$O$1203,$A54)</f>
        <v/>
      </c>
      <c r="C54" s="3">
        <f>COUNTIFS('ORDENES'!$O$4:$O$1203,$A54,'ORDENES'!$N$4:$N$1203,"Cerrada")</f>
        <v/>
      </c>
      <c r="D54" s="18">
        <f>IF(B54=0,"",C54/B54)</f>
        <v/>
      </c>
      <c r="E54" s="17">
        <f>SUMIFS('ORDENES'!$M$4:$M$1203,'ORDENES'!$O$4:$O$1203,$A54)</f>
        <v/>
      </c>
      <c r="F54" s="17">
        <f>SUMIFS('ORDENES'!$M$4:$M$1203,'ORDENES'!$O$4:$O$1203,$A54,'ORDENES'!$N$4:$N$1203,"Cerrada")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COUNTIFS('ORDENES'!$O$4:$O$1203,$A55)</f>
        <v/>
      </c>
      <c r="C55" s="3">
        <f>COUNTIFS('ORDENES'!$O$4:$O$1203,$A55,'ORDENES'!$N$4:$N$1203,"Cerrada")</f>
        <v/>
      </c>
      <c r="D55" s="18">
        <f>IF(B55=0,"",C55/B55)</f>
        <v/>
      </c>
      <c r="E55" s="17">
        <f>SUMIFS('ORDENES'!$M$4:$M$1203,'ORDENES'!$O$4:$O$1203,$A55)</f>
        <v/>
      </c>
      <c r="F55" s="17">
        <f>SUMIFS('ORDENES'!$M$4:$M$1203,'ORDENES'!$O$4:$O$1203,$A55,'ORDENES'!$N$4:$N$1203,"Cerrada")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COUNTIFS('ORDENES'!$O$4:$O$1203,$A56)</f>
        <v/>
      </c>
      <c r="C56" s="3">
        <f>COUNTIFS('ORDENES'!$O$4:$O$1203,$A56,'ORDENES'!$N$4:$N$1203,"Cerrada")</f>
        <v/>
      </c>
      <c r="D56" s="18">
        <f>IF(B56=0,"",C56/B56)</f>
        <v/>
      </c>
      <c r="E56" s="17">
        <f>SUMIFS('ORDENES'!$M$4:$M$1203,'ORDENES'!$O$4:$O$1203,$A56)</f>
        <v/>
      </c>
      <c r="F56" s="17">
        <f>SUMIFS('ORDENES'!$M$4:$M$1203,'ORDENES'!$O$4:$O$1203,$A56,'ORDENES'!$N$4:$N$1203,"Cerrada")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COUNTIFS('ORDENES'!$O$4:$O$1203,$A57)</f>
        <v/>
      </c>
      <c r="C57" s="3">
        <f>COUNTIFS('ORDENES'!$O$4:$O$1203,$A57,'ORDENES'!$N$4:$N$1203,"Cerrada")</f>
        <v/>
      </c>
      <c r="D57" s="18">
        <f>IF(B57=0,"",C57/B57)</f>
        <v/>
      </c>
      <c r="E57" s="17">
        <f>SUMIFS('ORDENES'!$M$4:$M$1203,'ORDENES'!$O$4:$O$1203,$A57)</f>
        <v/>
      </c>
      <c r="F57" s="17">
        <f>SUMIFS('ORDENES'!$M$4:$M$1203,'ORDENES'!$O$4:$O$1203,$A57,'ORDENES'!$N$4:$N$1203,"Cerrada")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COUNTIFS('ORDENES'!$O$4:$O$1203,$A58)</f>
        <v/>
      </c>
      <c r="C58" s="3">
        <f>COUNTIFS('ORDENES'!$O$4:$O$1203,$A58,'ORDENES'!$N$4:$N$1203,"Cerrada")</f>
        <v/>
      </c>
      <c r="D58" s="18">
        <f>IF(B58=0,"",C58/B58)</f>
        <v/>
      </c>
      <c r="E58" s="17">
        <f>SUMIFS('ORDENES'!$M$4:$M$1203,'ORDENES'!$O$4:$O$1203,$A58)</f>
        <v/>
      </c>
      <c r="F58" s="17">
        <f>SUMIFS('ORDENES'!$M$4:$M$1203,'ORDENES'!$O$4:$O$1203,$A58,'ORDENES'!$N$4:$N$1203,"Cerrada")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COUNTIFS('ORDENES'!$O$4:$O$1203,$A59)</f>
        <v/>
      </c>
      <c r="C59" s="3">
        <f>COUNTIFS('ORDENES'!$O$4:$O$1203,$A59,'ORDENES'!$N$4:$N$1203,"Cerrada")</f>
        <v/>
      </c>
      <c r="D59" s="18">
        <f>IF(B59=0,"",C59/B59)</f>
        <v/>
      </c>
      <c r="E59" s="17">
        <f>SUMIFS('ORDENES'!$M$4:$M$1203,'ORDENES'!$O$4:$O$1203,$A59)</f>
        <v/>
      </c>
      <c r="F59" s="17">
        <f>SUMIFS('ORDENES'!$M$4:$M$1203,'ORDENES'!$O$4:$O$1203,$A59,'ORDENES'!$N$4:$N$1203,"Cerrada")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COUNTIFS('ORDENES'!$O$4:$O$1203,$A60)</f>
        <v/>
      </c>
      <c r="C60" s="3">
        <f>COUNTIFS('ORDENES'!$O$4:$O$1203,$A60,'ORDENES'!$N$4:$N$1203,"Cerrada")</f>
        <v/>
      </c>
      <c r="D60" s="18">
        <f>IF(B60=0,"",C60/B60)</f>
        <v/>
      </c>
      <c r="E60" s="17">
        <f>SUMIFS('ORDENES'!$M$4:$M$1203,'ORDENES'!$O$4:$O$1203,$A60)</f>
        <v/>
      </c>
      <c r="F60" s="17">
        <f>SUMIFS('ORDENES'!$M$4:$M$1203,'ORDENES'!$O$4:$O$1203,$A60,'ORDENES'!$N$4:$N$1203,"Cerrada")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COUNTIFS('ORDENES'!$O$4:$O$1203,$A61)</f>
        <v/>
      </c>
      <c r="C61" s="3">
        <f>COUNTIFS('ORDENES'!$O$4:$O$1203,$A61,'ORDENES'!$N$4:$N$1203,"Cerrada")</f>
        <v/>
      </c>
      <c r="D61" s="18">
        <f>IF(B61=0,"",C61/B61)</f>
        <v/>
      </c>
      <c r="E61" s="17">
        <f>SUMIFS('ORDENES'!$M$4:$M$1203,'ORDENES'!$O$4:$O$1203,$A61)</f>
        <v/>
      </c>
      <c r="F61" s="17">
        <f>SUMIFS('ORDENES'!$M$4:$M$1203,'ORDENES'!$O$4:$O$1203,$A61,'ORDENES'!$N$4:$N$1203,"Cerrada")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COUNTIFS('ORDENES'!$O$4:$O$1203,$A62)</f>
        <v/>
      </c>
      <c r="C62" s="3">
        <f>COUNTIFS('ORDENES'!$O$4:$O$1203,$A62,'ORDENES'!$N$4:$N$1203,"Cerrada")</f>
        <v/>
      </c>
      <c r="D62" s="18">
        <f>IF(B62=0,"",C62/B62)</f>
        <v/>
      </c>
      <c r="E62" s="17">
        <f>SUMIFS('ORDENES'!$M$4:$M$1203,'ORDENES'!$O$4:$O$1203,$A62)</f>
        <v/>
      </c>
      <c r="F62" s="17">
        <f>SUMIFS('ORDENES'!$M$4:$M$1203,'ORDENES'!$O$4:$O$1203,$A62,'ORDENES'!$N$4:$N$1203,"Cerrada")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COUNTIFS('ORDENES'!$O$4:$O$1203,$A63)</f>
        <v/>
      </c>
      <c r="C63" s="3">
        <f>COUNTIFS('ORDENES'!$O$4:$O$1203,$A63,'ORDENES'!$N$4:$N$1203,"Cerrada")</f>
        <v/>
      </c>
      <c r="D63" s="18">
        <f>IF(B63=0,"",C63/B63)</f>
        <v/>
      </c>
      <c r="E63" s="17">
        <f>SUMIFS('ORDENES'!$M$4:$M$1203,'ORDENES'!$O$4:$O$1203,$A63)</f>
        <v/>
      </c>
      <c r="F63" s="17">
        <f>SUMIFS('ORDENES'!$M$4:$M$1203,'ORDENES'!$O$4:$O$1203,$A63,'ORDENES'!$N$4:$N$1203,"Cerrada")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COUNTIFS('ORDENES'!$O$4:$O$1203,$A64)</f>
        <v/>
      </c>
      <c r="C64" s="3">
        <f>COUNTIFS('ORDENES'!$O$4:$O$1203,$A64,'ORDENES'!$N$4:$N$1203,"Cerrada")</f>
        <v/>
      </c>
      <c r="D64" s="18">
        <f>IF(B64=0,"",C64/B64)</f>
        <v/>
      </c>
      <c r="E64" s="17">
        <f>SUMIFS('ORDENES'!$M$4:$M$1203,'ORDENES'!$O$4:$O$1203,$A64)</f>
        <v/>
      </c>
      <c r="F64" s="17">
        <f>SUMIFS('ORDENES'!$M$4:$M$1203,'ORDENES'!$O$4:$O$1203,$A64,'ORDENES'!$N$4:$N$1203,"Cerrada")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COUNTIFS('ORDENES'!$U$4:$U$1203,$A68)</f>
        <v/>
      </c>
      <c r="C68" s="3">
        <f>COUNTIFS('ORDENES'!$U$4:$U$1203,$A68,'ORDENES'!$N$4:$N$1203,"Cerrada")</f>
        <v/>
      </c>
      <c r="D68" s="18">
        <f>IF(B68=0,"",C68/B68)</f>
        <v/>
      </c>
      <c r="E68" s="17">
        <f>SUMIFS('ORDENES'!$M$4:$M$1203,'ORDENES'!$U$4:$U$1203,$A68)</f>
        <v/>
      </c>
      <c r="F68" s="17">
        <f>SUMIFS('ORDENES'!$M$4:$M$1203,'ORDENES'!$U$4:$U$1203,$A68,'ORDENES'!$N$4:$N$1203,"Cerrada")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COUNTIFS('ORDENES'!$U$4:$U$1203,$A69)</f>
        <v/>
      </c>
      <c r="C69" s="3">
        <f>COUNTIFS('ORDENES'!$U$4:$U$1203,$A69,'ORDENES'!$N$4:$N$1203,"Cerrada")</f>
        <v/>
      </c>
      <c r="D69" s="18">
        <f>IF(B69=0,"",C69/B69)</f>
        <v/>
      </c>
      <c r="E69" s="17">
        <f>SUMIFS('ORDENES'!$M$4:$M$1203,'ORDENES'!$U$4:$U$1203,$A69)</f>
        <v/>
      </c>
      <c r="F69" s="17">
        <f>SUMIFS('ORDENES'!$M$4:$M$1203,'ORDENES'!$U$4:$U$1203,$A69,'ORDENES'!$N$4:$N$1203,"Cerrada")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COUNTIFS('ORDENES'!$U$4:$U$1203,$A70)</f>
        <v/>
      </c>
      <c r="C70" s="3">
        <f>COUNTIFS('ORDENES'!$U$4:$U$1203,$A70,'ORDENES'!$N$4:$N$1203,"Cerrada")</f>
        <v/>
      </c>
      <c r="D70" s="18">
        <f>IF(B70=0,"",C70/B70)</f>
        <v/>
      </c>
      <c r="E70" s="17">
        <f>SUMIFS('ORDENES'!$M$4:$M$1203,'ORDENES'!$U$4:$U$1203,$A70)</f>
        <v/>
      </c>
      <c r="F70" s="17">
        <f>SUMIFS('ORDENES'!$M$4:$M$1203,'ORDENES'!$U$4:$U$1203,$A70,'ORDENES'!$N$4:$N$1203,"Cerrada")</f>
        <v/>
      </c>
      <c r="G70" s="18">
        <f>IF(E70=0,"",F70/E70)</f>
        <v/>
      </c>
    </row>
    <row r="72">
      <c r="A72" s="4" t="inlineStr">
        <is>
          <t>POR ESPECIALIDAD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</row>
    <row r="74">
      <c r="A74" s="3" t="inlineStr">
        <is>
          <t>MEC</t>
        </is>
      </c>
      <c r="B74" s="3">
        <f>COUNTIFS('ORDENES'!$W$4:$W$1203,$A74)</f>
        <v/>
      </c>
      <c r="C74" s="3">
        <f>COUNTIFS('ORDENES'!$W$4:$W$1203,$A74,'ORDENES'!$N$4:$N$1203,"Cerrada")</f>
        <v/>
      </c>
      <c r="D74" s="18">
        <f>IF(B74=0,"",C74/B74)</f>
        <v/>
      </c>
      <c r="E74" s="17">
        <f>SUMIFS('ORDENES'!$M$4:$M$1203,'ORDENES'!$W$4:$W$1203,$A74)</f>
        <v/>
      </c>
      <c r="F74" s="17">
        <f>SUMIFS('ORDENES'!$M$4:$M$1203,'ORDENES'!$W$4:$W$1203,$A74,'ORDENES'!$N$4:$N$1203,"Cerrada")</f>
        <v/>
      </c>
      <c r="G74" s="18">
        <f>IF(E74=0,"",F74/E74)</f>
        <v/>
      </c>
    </row>
    <row r="75">
      <c r="A75" s="3" t="inlineStr">
        <is>
          <t>ELE</t>
        </is>
      </c>
      <c r="B75" s="3">
        <f>COUNTIFS('ORDENES'!$W$4:$W$1203,$A75)</f>
        <v/>
      </c>
      <c r="C75" s="3">
        <f>COUNTIFS('ORDENES'!$W$4:$W$1203,$A75,'ORDENES'!$N$4:$N$1203,"Cerrada")</f>
        <v/>
      </c>
      <c r="D75" s="18">
        <f>IF(B75=0,"",C75/B75)</f>
        <v/>
      </c>
      <c r="E75" s="17">
        <f>SUMIFS('ORDENES'!$M$4:$M$1203,'ORDENES'!$W$4:$W$1203,$A75)</f>
        <v/>
      </c>
      <c r="F75" s="17">
        <f>SUMIFS('ORDENES'!$M$4:$M$1203,'ORDENES'!$W$4:$W$1203,$A75,'ORDENES'!$N$4:$N$1203,"Cerrada")</f>
        <v/>
      </c>
      <c r="G75" s="18">
        <f>IF(E75=0,"",F75/E75)</f>
        <v/>
      </c>
    </row>
    <row r="76">
      <c r="A76" s="3" t="inlineStr">
        <is>
          <t>AUT</t>
        </is>
      </c>
      <c r="B76" s="3">
        <f>COUNTIFS('ORDENES'!$W$4:$W$1203,$A76)</f>
        <v/>
      </c>
      <c r="C76" s="3">
        <f>COUNTIFS('ORDENES'!$W$4:$W$1203,$A76,'ORDENES'!$N$4:$N$1203,"Cerrada")</f>
        <v/>
      </c>
      <c r="D76" s="18">
        <f>IF(B76=0,"",C76/B76)</f>
        <v/>
      </c>
      <c r="E76" s="17">
        <f>SUMIFS('ORDENES'!$M$4:$M$1203,'ORDENES'!$W$4:$W$1203,$A76)</f>
        <v/>
      </c>
      <c r="F76" s="17">
        <f>SUMIFS('ORDENES'!$M$4:$M$1203,'ORDENES'!$W$4:$W$1203,$A76,'ORDENES'!$N$4:$N$1203,"Cerrada")</f>
        <v/>
      </c>
      <c r="G76" s="18">
        <f>IF(E76=0,"",F76/E76)</f>
        <v/>
      </c>
    </row>
    <row r="77">
      <c r="A77" s="3" t="inlineStr">
        <is>
          <t>OP</t>
        </is>
      </c>
      <c r="B77" s="3">
        <f>COUNTIFS('ORDENES'!$W$4:$W$1203,$A77)</f>
        <v/>
      </c>
      <c r="C77" s="3">
        <f>COUNTIFS('ORDENES'!$W$4:$W$1203,$A77,'ORDENES'!$N$4:$N$1203,"Cerrada")</f>
        <v/>
      </c>
      <c r="D77" s="18">
        <f>IF(B77=0,"",C77/B77)</f>
        <v/>
      </c>
      <c r="E77" s="17">
        <f>SUMIFS('ORDENES'!$M$4:$M$1203,'ORDENES'!$W$4:$W$1203,$A77)</f>
        <v/>
      </c>
      <c r="F77" s="17">
        <f>SUMIFS('ORDENES'!$M$4:$M$1203,'ORDENES'!$W$4:$W$1203,$A77,'ORDENES'!$N$4:$N$1203,"Cerrada")</f>
        <v/>
      </c>
      <c r="G77" s="18">
        <f>IF(E77=0,"",F77/E77)</f>
        <v/>
      </c>
    </row>
    <row r="78">
      <c r="A78" s="3" t="inlineStr">
        <is>
          <t>TERCERO</t>
        </is>
      </c>
      <c r="B78" s="3">
        <f>COUNTIFS('ORDENES'!$W$4:$W$1203,$A78)</f>
        <v/>
      </c>
      <c r="C78" s="3">
        <f>COUNTIFS('ORDENES'!$W$4:$W$1203,$A78,'ORDENES'!$N$4:$N$1203,"Cerrada")</f>
        <v/>
      </c>
      <c r="D78" s="18">
        <f>IF(B78=0,"",C78/B78)</f>
        <v/>
      </c>
      <c r="E78" s="17">
        <f>SUMIFS('ORDENES'!$M$4:$M$1203,'ORDENES'!$W$4:$W$1203,$A78)</f>
        <v/>
      </c>
      <c r="F78" s="17">
        <f>SUMIFS('ORDENES'!$M$4:$M$1203,'ORDENES'!$W$4:$W$1203,$A78,'ORDENES'!$N$4:$N$1203,"Cerrada")</f>
        <v/>
      </c>
      <c r="G78" s="18">
        <f>IF(E78=0,"",F78/E78)</f>
        <v/>
      </c>
    </row>
    <row r="80">
      <c r="A80" s="4" t="inlineStr">
        <is>
          <t>POR COORDINADOR</t>
        </is>
      </c>
    </row>
    <row r="81">
      <c r="A81" s="5" t="inlineStr">
        <is>
          <t>valor</t>
        </is>
      </c>
      <c r="B81" s="5" t="inlineStr">
        <is>
          <t>total_ot</t>
        </is>
      </c>
      <c r="C81" s="5" t="inlineStr">
        <is>
          <t>cerradas</t>
        </is>
      </c>
      <c r="D81" s="5" t="inlineStr">
        <is>
          <t>adherencia_conteo</t>
        </is>
      </c>
      <c r="E81" s="5" t="inlineStr">
        <is>
          <t>hh_total</t>
        </is>
      </c>
      <c r="F81" s="5" t="inlineStr">
        <is>
          <t>hh_cerradas</t>
        </is>
      </c>
      <c r="G81" s="5" t="inlineStr">
        <is>
          <t>adherencia_horas</t>
        </is>
      </c>
    </row>
    <row r="82">
      <c r="A82" s="3" t="inlineStr">
        <is>
          <t>Coordinador A</t>
        </is>
      </c>
      <c r="B82" s="3">
        <f>COUNTIFS('ORDENES'!$V$4:$V$1203,$A82)</f>
        <v/>
      </c>
      <c r="C82" s="3">
        <f>COUNTIFS('ORDENES'!$V$4:$V$1203,$A82,'ORDENES'!$N$4:$N$1203,"Cerrada")</f>
        <v/>
      </c>
      <c r="D82" s="18">
        <f>IF(B82=0,"",C82/B82)</f>
        <v/>
      </c>
      <c r="E82" s="17">
        <f>SUMIFS('ORDENES'!$M$4:$M$1203,'ORDENES'!$V$4:$V$1203,$A82)</f>
        <v/>
      </c>
      <c r="F82" s="17">
        <f>SUMIFS('ORDENES'!$M$4:$M$1203,'ORDENES'!$V$4:$V$1203,$A82,'ORDENES'!$N$4:$N$1203,"Cerrada")</f>
        <v/>
      </c>
      <c r="G82" s="18">
        <f>IF(E82=0,"",F82/E82)</f>
        <v/>
      </c>
    </row>
    <row r="83">
      <c r="A83" s="3" t="inlineStr">
        <is>
          <t>Coordinador B</t>
        </is>
      </c>
      <c r="B83" s="3">
        <f>COUNTIFS('ORDENES'!$V$4:$V$1203,$A83)</f>
        <v/>
      </c>
      <c r="C83" s="3">
        <f>COUNTIFS('ORDENES'!$V$4:$V$1203,$A83,'ORDENES'!$N$4:$N$1203,"Cerrada")</f>
        <v/>
      </c>
      <c r="D83" s="18">
        <f>IF(B83=0,"",C83/B83)</f>
        <v/>
      </c>
      <c r="E83" s="17">
        <f>SUMIFS('ORDENES'!$M$4:$M$1203,'ORDENES'!$V$4:$V$1203,$A83)</f>
        <v/>
      </c>
      <c r="F83" s="17">
        <f>SUMIFS('ORDENES'!$M$4:$M$1203,'ORDENES'!$V$4:$V$1203,$A83,'ORDENES'!$N$4:$N$1203,"Cerrada")</f>
        <v/>
      </c>
      <c r="G83" s="18">
        <f>IF(E83=0,"",F83/E83)</f>
        <v/>
      </c>
    </row>
    <row r="84">
      <c r="A84" s="3" t="inlineStr">
        <is>
          <t>Coordinador C</t>
        </is>
      </c>
      <c r="B84" s="3">
        <f>COUNTIFS('ORDENES'!$V$4:$V$1203,$A84)</f>
        <v/>
      </c>
      <c r="C84" s="3">
        <f>COUNTIFS('ORDENES'!$V$4:$V$1203,$A84,'ORDENES'!$N$4:$N$1203,"Cerrada")</f>
        <v/>
      </c>
      <c r="D84" s="18">
        <f>IF(B84=0,"",C84/B84)</f>
        <v/>
      </c>
      <c r="E84" s="17">
        <f>SUMIFS('ORDENES'!$M$4:$M$1203,'ORDENES'!$V$4:$V$1203,$A84)</f>
        <v/>
      </c>
      <c r="F84" s="17">
        <f>SUMIFS('ORDENES'!$M$4:$M$1203,'ORDENES'!$V$4:$V$1203,$A84,'ORDENES'!$N$4:$N$1203,"Cerrada")</f>
        <v/>
      </c>
      <c r="G84" s="18">
        <f>IF(E84=0,"",F84/E84)</f>
        <v/>
      </c>
    </row>
    <row r="86">
      <c r="A86" s="4" t="inlineStr">
        <is>
          <t>POR CLASIFICACIÓN</t>
        </is>
      </c>
    </row>
    <row r="87">
      <c r="A87" s="5" t="inlineStr">
        <is>
          <t>valor</t>
        </is>
      </c>
      <c r="B87" s="5" t="inlineStr">
        <is>
          <t>total_ot</t>
        </is>
      </c>
      <c r="C87" s="5" t="inlineStr">
        <is>
          <t>cerradas</t>
        </is>
      </c>
      <c r="D87" s="5" t="inlineStr">
        <is>
          <t>adherencia_conteo</t>
        </is>
      </c>
      <c r="E87" s="5" t="inlineStr">
        <is>
          <t>hh_total</t>
        </is>
      </c>
      <c r="F87" s="5" t="inlineStr">
        <is>
          <t>hh_cerradas</t>
        </is>
      </c>
      <c r="G87" s="5" t="inlineStr">
        <is>
          <t>adherencia_horas</t>
        </is>
      </c>
    </row>
    <row r="88">
      <c r="A88" s="3" t="inlineStr">
        <is>
          <t>preventiva</t>
        </is>
      </c>
      <c r="B88" s="3">
        <f>COUNTIFS('ORDENES'!$S$4:$S$1203,$A88)</f>
        <v/>
      </c>
      <c r="C88" s="3">
        <f>COUNTIFS('ORDENES'!$S$4:$S$1203,$A88,'ORDENES'!$N$4:$N$1203,"Cerrada")</f>
        <v/>
      </c>
      <c r="D88" s="18">
        <f>IF(B88=0,"",C88/B88)</f>
        <v/>
      </c>
      <c r="E88" s="17">
        <f>SUMIFS('ORDENES'!$M$4:$M$1203,'ORDENES'!$S$4:$S$1203,$A88)</f>
        <v/>
      </c>
      <c r="F88" s="17">
        <f>SUMIFS('ORDENES'!$M$4:$M$1203,'ORDENES'!$S$4:$S$1203,$A88,'ORDENES'!$N$4:$N$1203,"Cerrada")</f>
        <v/>
      </c>
      <c r="G88" s="18">
        <f>IF(E88=0,"",F88/E88)</f>
        <v/>
      </c>
    </row>
    <row r="89">
      <c r="A89" s="3" t="inlineStr">
        <is>
          <t>correctiva</t>
        </is>
      </c>
      <c r="B89" s="3">
        <f>COUNTIFS('ORDENES'!$S$4:$S$1203,$A89)</f>
        <v/>
      </c>
      <c r="C89" s="3">
        <f>COUNTIFS('ORDENES'!$S$4:$S$1203,$A89,'ORDENES'!$N$4:$N$1203,"Cerrada")</f>
        <v/>
      </c>
      <c r="D89" s="18">
        <f>IF(B89=0,"",C89/B89)</f>
        <v/>
      </c>
      <c r="E89" s="17">
        <f>SUMIFS('ORDENES'!$M$4:$M$1203,'ORDENES'!$S$4:$S$1203,$A89)</f>
        <v/>
      </c>
      <c r="F89" s="17">
        <f>SUMIFS('ORDENES'!$M$4:$M$1203,'ORDENES'!$S$4:$S$1203,$A89,'ORDENES'!$N$4:$N$1203,"Cerrada")</f>
        <v/>
      </c>
      <c r="G89" s="18">
        <f>IF(E89=0,"",F89/E89)</f>
        <v/>
      </c>
    </row>
    <row r="90">
      <c r="A90" s="3" t="inlineStr">
        <is>
          <t>sin_clasificar</t>
        </is>
      </c>
      <c r="B90" s="3">
        <f>COUNTIFS('ORDENES'!$S$4:$S$1203,$A90)</f>
        <v/>
      </c>
      <c r="C90" s="3">
        <f>COUNTIFS('ORDENES'!$S$4:$S$1203,$A90,'ORDENES'!$N$4:$N$1203,"Cerrada")</f>
        <v/>
      </c>
      <c r="D90" s="18">
        <f>IF(B90=0,"",C90/B90)</f>
        <v/>
      </c>
      <c r="E90" s="17">
        <f>SUMIFS('ORDENES'!$M$4:$M$1203,'ORDENES'!$S$4:$S$1203,$A90)</f>
        <v/>
      </c>
      <c r="F90" s="17">
        <f>SUMIFS('ORDENES'!$M$4:$M$1203,'ORDENES'!$S$4:$S$1203,$A90,'ORDENES'!$N$4:$N$1203,"Cerrada")</f>
        <v/>
      </c>
      <c r="G90" s="18">
        <f>IF(E90=0,"",F90/E90)</f>
        <v/>
      </c>
    </row>
    <row r="92">
      <c r="A92" s="4" t="inlineStr">
        <is>
          <t>POR TÉCNICO</t>
        </is>
      </c>
    </row>
    <row r="93">
      <c r="A93" s="5" t="inlineStr">
        <is>
          <t>valor</t>
        </is>
      </c>
      <c r="B93" s="5" t="inlineStr">
        <is>
          <t>total_ot</t>
        </is>
      </c>
      <c r="C93" s="5" t="inlineStr">
        <is>
          <t>cerradas</t>
        </is>
      </c>
      <c r="D93" s="5" t="inlineStr">
        <is>
          <t>adherencia_conteo</t>
        </is>
      </c>
      <c r="E93" s="5" t="inlineStr">
        <is>
          <t>hh_total</t>
        </is>
      </c>
      <c r="F93" s="5" t="inlineStr">
        <is>
          <t>hh_cerradas</t>
        </is>
      </c>
      <c r="G93" s="5" t="inlineStr">
        <is>
          <t>adherencia_horas</t>
        </is>
      </c>
    </row>
    <row r="94">
      <c r="A94" s="3" t="inlineStr">
        <is>
          <t>Técnico 01</t>
        </is>
      </c>
      <c r="B94" s="3">
        <f>COUNTIFS('ORDENES'!$AB$4:$AB$1203,$A94)</f>
        <v/>
      </c>
      <c r="C94" s="3">
        <f>COUNTIFS('ORDENES'!$AB$4:$AB$1203,$A94,'ORDENES'!$N$4:$N$1203,"Cerrada")</f>
        <v/>
      </c>
      <c r="D94" s="18">
        <f>IF(B94=0,"",C94/B94)</f>
        <v/>
      </c>
      <c r="E94" s="17">
        <f>SUMIFS('ORDENES'!$M$4:$M$1203,'ORDENES'!$AB$4:$AB$1203,$A94)</f>
        <v/>
      </c>
      <c r="F94" s="17">
        <f>SUMIFS('ORDENES'!$M$4:$M$1203,'ORDENES'!$AB$4:$AB$1203,$A94,'ORDENES'!$N$4:$N$1203,"Cerrada")</f>
        <v/>
      </c>
      <c r="G94" s="18">
        <f>IF(E94=0,"",F94/E94)</f>
        <v/>
      </c>
    </row>
    <row r="95">
      <c r="A95" s="3" t="inlineStr">
        <is>
          <t>Técnico 02</t>
        </is>
      </c>
      <c r="B95" s="3">
        <f>COUNTIFS('ORDENES'!$AB$4:$AB$1203,$A95)</f>
        <v/>
      </c>
      <c r="C95" s="3">
        <f>COUNTIFS('ORDENES'!$AB$4:$AB$1203,$A95,'ORDENES'!$N$4:$N$1203,"Cerrada")</f>
        <v/>
      </c>
      <c r="D95" s="18">
        <f>IF(B95=0,"",C95/B95)</f>
        <v/>
      </c>
      <c r="E95" s="17">
        <f>SUMIFS('ORDENES'!$M$4:$M$1203,'ORDENES'!$AB$4:$AB$1203,$A95)</f>
        <v/>
      </c>
      <c r="F95" s="17">
        <f>SUMIFS('ORDENES'!$M$4:$M$1203,'ORDENES'!$AB$4:$AB$1203,$A95,'ORDENES'!$N$4:$N$1203,"Cerrada")</f>
        <v/>
      </c>
      <c r="G95" s="18">
        <f>IF(E95=0,"",F95/E95)</f>
        <v/>
      </c>
    </row>
    <row r="96">
      <c r="A96" s="3" t="inlineStr">
        <is>
          <t>Técnico 03</t>
        </is>
      </c>
      <c r="B96" s="3">
        <f>COUNTIFS('ORDENES'!$AB$4:$AB$1203,$A96)</f>
        <v/>
      </c>
      <c r="C96" s="3">
        <f>COUNTIFS('ORDENES'!$AB$4:$AB$1203,$A96,'ORDENES'!$N$4:$N$1203,"Cerrada")</f>
        <v/>
      </c>
      <c r="D96" s="18">
        <f>IF(B96=0,"",C96/B96)</f>
        <v/>
      </c>
      <c r="E96" s="17">
        <f>SUMIFS('ORDENES'!$M$4:$M$1203,'ORDENES'!$AB$4:$AB$1203,$A96)</f>
        <v/>
      </c>
      <c r="F96" s="17">
        <f>SUMIFS('ORDENES'!$M$4:$M$1203,'ORDENES'!$AB$4:$AB$1203,$A96,'ORDENES'!$N$4:$N$1203,"Cerrada")</f>
        <v/>
      </c>
      <c r="G96" s="18">
        <f>IF(E96=0,"",F96/E96)</f>
        <v/>
      </c>
    </row>
    <row r="97">
      <c r="A97" s="3" t="inlineStr">
        <is>
          <t>Técnico 04</t>
        </is>
      </c>
      <c r="B97" s="3">
        <f>COUNTIFS('ORDENES'!$AB$4:$AB$1203,$A97)</f>
        <v/>
      </c>
      <c r="C97" s="3">
        <f>COUNTIFS('ORDENES'!$AB$4:$AB$1203,$A97,'ORDENES'!$N$4:$N$1203,"Cerrada")</f>
        <v/>
      </c>
      <c r="D97" s="18">
        <f>IF(B97=0,"",C97/B97)</f>
        <v/>
      </c>
      <c r="E97" s="17">
        <f>SUMIFS('ORDENES'!$M$4:$M$1203,'ORDENES'!$AB$4:$AB$1203,$A97)</f>
        <v/>
      </c>
      <c r="F97" s="17">
        <f>SUMIFS('ORDENES'!$M$4:$M$1203,'ORDENES'!$AB$4:$AB$1203,$A97,'ORDENES'!$N$4:$N$1203,"Cerrada")</f>
        <v/>
      </c>
      <c r="G97" s="18">
        <f>IF(E97=0,"",F97/E97)</f>
        <v/>
      </c>
    </row>
    <row r="98">
      <c r="A98" s="3" t="inlineStr">
        <is>
          <t>Técnico 05</t>
        </is>
      </c>
      <c r="B98" s="3">
        <f>COUNTIFS('ORDENES'!$AB$4:$AB$1203,$A98)</f>
        <v/>
      </c>
      <c r="C98" s="3">
        <f>COUNTIFS('ORDENES'!$AB$4:$AB$1203,$A98,'ORDENES'!$N$4:$N$1203,"Cerrada")</f>
        <v/>
      </c>
      <c r="D98" s="18">
        <f>IF(B98=0,"",C98/B98)</f>
        <v/>
      </c>
      <c r="E98" s="17">
        <f>SUMIFS('ORDENES'!$M$4:$M$1203,'ORDENES'!$AB$4:$AB$1203,$A98)</f>
        <v/>
      </c>
      <c r="F98" s="17">
        <f>SUMIFS('ORDENES'!$M$4:$M$1203,'ORDENES'!$AB$4:$AB$1203,$A98,'ORDENES'!$N$4:$N$1203,"Cerrada")</f>
        <v/>
      </c>
      <c r="G98" s="18">
        <f>IF(E98=0,"",F98/E98)</f>
        <v/>
      </c>
    </row>
    <row r="99">
      <c r="A99" s="3" t="inlineStr">
        <is>
          <t>Técnico 06</t>
        </is>
      </c>
      <c r="B99" s="3">
        <f>COUNTIFS('ORDENES'!$AB$4:$AB$1203,$A99)</f>
        <v/>
      </c>
      <c r="C99" s="3">
        <f>COUNTIFS('ORDENES'!$AB$4:$AB$1203,$A99,'ORDENES'!$N$4:$N$1203,"Cerrada")</f>
        <v/>
      </c>
      <c r="D99" s="18">
        <f>IF(B99=0,"",C99/B99)</f>
        <v/>
      </c>
      <c r="E99" s="17">
        <f>SUMIFS('ORDENES'!$M$4:$M$1203,'ORDENES'!$AB$4:$AB$1203,$A99)</f>
        <v/>
      </c>
      <c r="F99" s="17">
        <f>SUMIFS('ORDENES'!$M$4:$M$1203,'ORDENES'!$AB$4:$AB$1203,$A99,'ORDENES'!$N$4:$N$1203,"Cerrada")</f>
        <v/>
      </c>
      <c r="G99" s="18">
        <f>IF(E99=0,"",F99/E99)</f>
        <v/>
      </c>
    </row>
    <row r="100">
      <c r="A100" s="3" t="inlineStr">
        <is>
          <t>Técnico 07</t>
        </is>
      </c>
      <c r="B100" s="3">
        <f>COUNTIFS('ORDENES'!$AB$4:$AB$1203,$A100)</f>
        <v/>
      </c>
      <c r="C100" s="3">
        <f>COUNTIFS('ORDENES'!$AB$4:$AB$1203,$A100,'ORDENES'!$N$4:$N$1203,"Cerrada")</f>
        <v/>
      </c>
      <c r="D100" s="18">
        <f>IF(B100=0,"",C100/B100)</f>
        <v/>
      </c>
      <c r="E100" s="17">
        <f>SUMIFS('ORDENES'!$M$4:$M$1203,'ORDENES'!$AB$4:$AB$1203,$A100)</f>
        <v/>
      </c>
      <c r="F100" s="17">
        <f>SUMIFS('ORDENES'!$M$4:$M$1203,'ORDENES'!$AB$4:$AB$1203,$A100,'ORDENES'!$N$4:$N$1203,"Cerrada")</f>
        <v/>
      </c>
      <c r="G100" s="18">
        <f>IF(E100=0,"",F100/E100)</f>
        <v/>
      </c>
    </row>
    <row r="101">
      <c r="A101" s="3" t="inlineStr">
        <is>
          <t>Técnico 08</t>
        </is>
      </c>
      <c r="B101" s="3">
        <f>COUNTIFS('ORDENES'!$AB$4:$AB$1203,$A101)</f>
        <v/>
      </c>
      <c r="C101" s="3">
        <f>COUNTIFS('ORDENES'!$AB$4:$AB$1203,$A101,'ORDENES'!$N$4:$N$1203,"Cerrada")</f>
        <v/>
      </c>
      <c r="D101" s="18">
        <f>IF(B101=0,"",C101/B101)</f>
        <v/>
      </c>
      <c r="E101" s="17">
        <f>SUMIFS('ORDENES'!$M$4:$M$1203,'ORDENES'!$AB$4:$AB$1203,$A101)</f>
        <v/>
      </c>
      <c r="F101" s="17">
        <f>SUMIFS('ORDENES'!$M$4:$M$1203,'ORDENES'!$AB$4:$AB$1203,$A101,'ORDENES'!$N$4:$N$1203,"Cerrada")</f>
        <v/>
      </c>
      <c r="G101" s="18">
        <f>IF(E101=0,"",F101/E101)</f>
        <v/>
      </c>
    </row>
    <row r="102">
      <c r="A102" s="3" t="inlineStr">
        <is>
          <t>Técnico 09</t>
        </is>
      </c>
      <c r="B102" s="3">
        <f>COUNTIFS('ORDENES'!$AB$4:$AB$1203,$A102)</f>
        <v/>
      </c>
      <c r="C102" s="3">
        <f>COUNTIFS('ORDENES'!$AB$4:$AB$1203,$A102,'ORDENES'!$N$4:$N$1203,"Cerrada")</f>
        <v/>
      </c>
      <c r="D102" s="18">
        <f>IF(B102=0,"",C102/B102)</f>
        <v/>
      </c>
      <c r="E102" s="17">
        <f>SUMIFS('ORDENES'!$M$4:$M$1203,'ORDENES'!$AB$4:$AB$1203,$A102)</f>
        <v/>
      </c>
      <c r="F102" s="17">
        <f>SUMIFS('ORDENES'!$M$4:$M$1203,'ORDENES'!$AB$4:$AB$1203,$A102,'ORDENES'!$N$4:$N$1203,"Cerrada")</f>
        <v/>
      </c>
      <c r="G102" s="18">
        <f>IF(E102=0,"",F102/E102)</f>
        <v/>
      </c>
    </row>
    <row r="103">
      <c r="A103" s="3" t="inlineStr">
        <is>
          <t>Técnico 10</t>
        </is>
      </c>
      <c r="B103" s="3">
        <f>COUNTIFS('ORDENES'!$AB$4:$AB$1203,$A103)</f>
        <v/>
      </c>
      <c r="C103" s="3">
        <f>COUNTIFS('ORDENES'!$AB$4:$AB$1203,$A103,'ORDENES'!$N$4:$N$1203,"Cerrada")</f>
        <v/>
      </c>
      <c r="D103" s="18">
        <f>IF(B103=0,"",C103/B103)</f>
        <v/>
      </c>
      <c r="E103" s="17">
        <f>SUMIFS('ORDENES'!$M$4:$M$1203,'ORDENES'!$AB$4:$AB$1203,$A103)</f>
        <v/>
      </c>
      <c r="F103" s="17">
        <f>SUMIFS('ORDENES'!$M$4:$M$1203,'ORDENES'!$AB$4:$AB$1203,$A103,'ORDENES'!$N$4:$N$1203,"Cerrada")</f>
        <v/>
      </c>
      <c r="G103" s="18">
        <f>IF(E103=0,"",F103/E103)</f>
        <v/>
      </c>
    </row>
    <row r="104">
      <c r="A104" s="3" t="inlineStr">
        <is>
          <t>Técnico 11</t>
        </is>
      </c>
      <c r="B104" s="3">
        <f>COUNTIFS('ORDENES'!$AB$4:$AB$1203,$A104)</f>
        <v/>
      </c>
      <c r="C104" s="3">
        <f>COUNTIFS('ORDENES'!$AB$4:$AB$1203,$A104,'ORDENES'!$N$4:$N$1203,"Cerrada")</f>
        <v/>
      </c>
      <c r="D104" s="18">
        <f>IF(B104=0,"",C104/B104)</f>
        <v/>
      </c>
      <c r="E104" s="17">
        <f>SUMIFS('ORDENES'!$M$4:$M$1203,'ORDENES'!$AB$4:$AB$1203,$A104)</f>
        <v/>
      </c>
      <c r="F104" s="17">
        <f>SUMIFS('ORDENES'!$M$4:$M$1203,'ORDENES'!$AB$4:$AB$1203,$A104,'ORDENES'!$N$4:$N$1203,"Cerrada")</f>
        <v/>
      </c>
      <c r="G104" s="18">
        <f>IF(E104=0,"",F104/E104)</f>
        <v/>
      </c>
    </row>
    <row r="105">
      <c r="A105" s="3" t="inlineStr">
        <is>
          <t>Técnico 12</t>
        </is>
      </c>
      <c r="B105" s="3">
        <f>COUNTIFS('ORDENES'!$AB$4:$AB$1203,$A105)</f>
        <v/>
      </c>
      <c r="C105" s="3">
        <f>COUNTIFS('ORDENES'!$AB$4:$AB$1203,$A105,'ORDENES'!$N$4:$N$1203,"Cerrada")</f>
        <v/>
      </c>
      <c r="D105" s="18">
        <f>IF(B105=0,"",C105/B105)</f>
        <v/>
      </c>
      <c r="E105" s="17">
        <f>SUMIFS('ORDENES'!$M$4:$M$1203,'ORDENES'!$AB$4:$AB$1203,$A105)</f>
        <v/>
      </c>
      <c r="F105" s="17">
        <f>SUMIFS('ORDENES'!$M$4:$M$1203,'ORDENES'!$AB$4:$AB$1203,$A105,'ORDENES'!$N$4:$N$1203,"Cerrada")</f>
        <v/>
      </c>
      <c r="G105" s="18">
        <f>IF(E105=0,"",F105/E105)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8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8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2:D84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2:G84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88:D90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88:G90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4:D105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4:G105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10</v>
      </c>
      <c r="J5" s="5" t="n">
        <v>12</v>
      </c>
      <c r="K5" s="5" t="n">
        <v>1</v>
      </c>
      <c r="L5" s="5" t="inlineStr">
        <is>
          <t>TOTAL</t>
        </is>
      </c>
    </row>
    <row r="6">
      <c r="A6" s="3" t="inlineStr">
        <is>
          <t>PRODUCCION</t>
        </is>
      </c>
      <c r="B6" s="10">
        <f>SUMIFS('ORDENES'!$L$4:$L$1203,'ORDENES'!$U$4:$U$1203,$A6,'ORDENES'!$P$4:$P$1203,B$4,'ORDENES'!$Q$4:$Q$1203,B$5)</f>
        <v/>
      </c>
      <c r="C6" s="10">
        <f>SUMIFS('ORDENES'!$L$4:$L$1203,'ORDENES'!$U$4:$U$1203,$A6,'ORDENES'!$P$4:$P$1203,C$4,'ORDENES'!$Q$4:$Q$1203,C$5)</f>
        <v/>
      </c>
      <c r="D6" s="10">
        <f>SUMIFS('ORDENES'!$L$4:$L$1203,'ORDENES'!$U$4:$U$1203,$A6,'ORDENES'!$P$4:$P$1203,D$4,'ORDENES'!$Q$4:$Q$1203,D$5)</f>
        <v/>
      </c>
      <c r="E6" s="10">
        <f>SUMIFS('ORDENES'!$L$4:$L$1203,'ORDENES'!$U$4:$U$1203,$A6,'ORDENES'!$P$4:$P$1203,E$4,'ORDENES'!$Q$4:$Q$1203,E$5)</f>
        <v/>
      </c>
      <c r="F6" s="10">
        <f>SUMIFS('ORDENES'!$L$4:$L$1203,'ORDENES'!$U$4:$U$1203,$A6,'ORDENES'!$P$4:$P$1203,F$4,'ORDENES'!$Q$4:$Q$1203,F$5)</f>
        <v/>
      </c>
      <c r="G6" s="10">
        <f>SUMIFS('ORDENES'!$L$4:$L$1203,'ORDENES'!$U$4:$U$1203,$A6,'ORDENES'!$P$4:$P$1203,G$4,'ORDENES'!$Q$4:$Q$1203,G$5)</f>
        <v/>
      </c>
      <c r="H6" s="10">
        <f>SUMIFS('ORDENES'!$L$4:$L$1203,'ORDENES'!$U$4:$U$1203,$A6,'ORDENES'!$P$4:$P$1203,H$4,'ORDENES'!$Q$4:$Q$1203,H$5)</f>
        <v/>
      </c>
      <c r="I6" s="10">
        <f>SUMIFS('ORDENES'!$L$4:$L$1203,'ORDENES'!$U$4:$U$1203,$A6,'ORDENES'!$P$4:$P$1203,I$4,'ORDENES'!$Q$4:$Q$1203,I$5)</f>
        <v/>
      </c>
      <c r="J6" s="10">
        <f>SUMIFS('ORDENES'!$L$4:$L$1203,'ORDENES'!$U$4:$U$1203,$A6,'ORDENES'!$P$4:$P$1203,J$4,'ORDENES'!$Q$4:$Q$1203,J$5)</f>
        <v/>
      </c>
      <c r="K6" s="10">
        <f>SUMIFS('ORDENES'!$L$4:$L$1203,'ORDENES'!$U$4:$U$1203,$A6,'ORDENES'!$P$4:$P$1203,K$4,'ORDENES'!$Q$4:$Q$1203,K$5)</f>
        <v/>
      </c>
      <c r="L6" s="10">
        <f>SUM(B6:K6)</f>
        <v/>
      </c>
    </row>
    <row r="7">
      <c r="A7" s="3" t="inlineStr">
        <is>
          <t>EMPAQUE</t>
        </is>
      </c>
      <c r="B7" s="10">
        <f>SUMIFS('ORDENES'!$L$4:$L$1203,'ORDENES'!$U$4:$U$1203,$A7,'ORDENES'!$P$4:$P$1203,B$4,'ORDENES'!$Q$4:$Q$1203,B$5)</f>
        <v/>
      </c>
      <c r="C7" s="10">
        <f>SUMIFS('ORDENES'!$L$4:$L$1203,'ORDENES'!$U$4:$U$1203,$A7,'ORDENES'!$P$4:$P$1203,C$4,'ORDENES'!$Q$4:$Q$1203,C$5)</f>
        <v/>
      </c>
      <c r="D7" s="10">
        <f>SUMIFS('ORDENES'!$L$4:$L$1203,'ORDENES'!$U$4:$U$1203,$A7,'ORDENES'!$P$4:$P$1203,D$4,'ORDENES'!$Q$4:$Q$1203,D$5)</f>
        <v/>
      </c>
      <c r="E7" s="10">
        <f>SUMIFS('ORDENES'!$L$4:$L$1203,'ORDENES'!$U$4:$U$1203,$A7,'ORDENES'!$P$4:$P$1203,E$4,'ORDENES'!$Q$4:$Q$1203,E$5)</f>
        <v/>
      </c>
      <c r="F7" s="10">
        <f>SUMIFS('ORDENES'!$L$4:$L$1203,'ORDENES'!$U$4:$U$1203,$A7,'ORDENES'!$P$4:$P$1203,F$4,'ORDENES'!$Q$4:$Q$1203,F$5)</f>
        <v/>
      </c>
      <c r="G7" s="10">
        <f>SUMIFS('ORDENES'!$L$4:$L$1203,'ORDENES'!$U$4:$U$1203,$A7,'ORDENES'!$P$4:$P$1203,G$4,'ORDENES'!$Q$4:$Q$1203,G$5)</f>
        <v/>
      </c>
      <c r="H7" s="10">
        <f>SUMIFS('ORDENES'!$L$4:$L$1203,'ORDENES'!$U$4:$U$1203,$A7,'ORDENES'!$P$4:$P$1203,H$4,'ORDENES'!$Q$4:$Q$1203,H$5)</f>
        <v/>
      </c>
      <c r="I7" s="10">
        <f>SUMIFS('ORDENES'!$L$4:$L$1203,'ORDENES'!$U$4:$U$1203,$A7,'ORDENES'!$P$4:$P$1203,I$4,'ORDENES'!$Q$4:$Q$1203,I$5)</f>
        <v/>
      </c>
      <c r="J7" s="10">
        <f>SUMIFS('ORDENES'!$L$4:$L$1203,'ORDENES'!$U$4:$U$1203,$A7,'ORDENES'!$P$4:$P$1203,J$4,'ORDENES'!$Q$4:$Q$1203,J$5)</f>
        <v/>
      </c>
      <c r="K7" s="10">
        <f>SUMIFS('ORDENES'!$L$4:$L$1203,'ORDENES'!$U$4:$U$1203,$A7,'ORDENES'!$P$4:$P$1203,K$4,'ORDENES'!$Q$4:$Q$1203,K$5)</f>
        <v/>
      </c>
      <c r="L7" s="10">
        <f>SUM(B7:K7)</f>
        <v/>
      </c>
    </row>
    <row r="8">
      <c r="A8" s="3" t="inlineStr">
        <is>
          <t>SERVICIOS</t>
        </is>
      </c>
      <c r="B8" s="10">
        <f>SUMIFS('ORDENES'!$L$4:$L$1203,'ORDENES'!$U$4:$U$1203,$A8,'ORDENES'!$P$4:$P$1203,B$4,'ORDENES'!$Q$4:$Q$1203,B$5)</f>
        <v/>
      </c>
      <c r="C8" s="10">
        <f>SUMIFS('ORDENES'!$L$4:$L$1203,'ORDENES'!$U$4:$U$1203,$A8,'ORDENES'!$P$4:$P$1203,C$4,'ORDENES'!$Q$4:$Q$1203,C$5)</f>
        <v/>
      </c>
      <c r="D8" s="10">
        <f>SUMIFS('ORDENES'!$L$4:$L$1203,'ORDENES'!$U$4:$U$1203,$A8,'ORDENES'!$P$4:$P$1203,D$4,'ORDENES'!$Q$4:$Q$1203,D$5)</f>
        <v/>
      </c>
      <c r="E8" s="10">
        <f>SUMIFS('ORDENES'!$L$4:$L$1203,'ORDENES'!$U$4:$U$1203,$A8,'ORDENES'!$P$4:$P$1203,E$4,'ORDENES'!$Q$4:$Q$1203,E$5)</f>
        <v/>
      </c>
      <c r="F8" s="10">
        <f>SUMIFS('ORDENES'!$L$4:$L$1203,'ORDENES'!$U$4:$U$1203,$A8,'ORDENES'!$P$4:$P$1203,F$4,'ORDENES'!$Q$4:$Q$1203,F$5)</f>
        <v/>
      </c>
      <c r="G8" s="10">
        <f>SUMIFS('ORDENES'!$L$4:$L$1203,'ORDENES'!$U$4:$U$1203,$A8,'ORDENES'!$P$4:$P$1203,G$4,'ORDENES'!$Q$4:$Q$1203,G$5)</f>
        <v/>
      </c>
      <c r="H8" s="10">
        <f>SUMIFS('ORDENES'!$L$4:$L$1203,'ORDENES'!$U$4:$U$1203,$A8,'ORDENES'!$P$4:$P$1203,H$4,'ORDENES'!$Q$4:$Q$1203,H$5)</f>
        <v/>
      </c>
      <c r="I8" s="10">
        <f>SUMIFS('ORDENES'!$L$4:$L$1203,'ORDENES'!$U$4:$U$1203,$A8,'ORDENES'!$P$4:$P$1203,I$4,'ORDENES'!$Q$4:$Q$1203,I$5)</f>
        <v/>
      </c>
      <c r="J8" s="10">
        <f>SUMIFS('ORDENES'!$L$4:$L$1203,'ORDENES'!$U$4:$U$1203,$A8,'ORDENES'!$P$4:$P$1203,J$4,'ORDENES'!$Q$4:$Q$1203,J$5)</f>
        <v/>
      </c>
      <c r="K8" s="10">
        <f>SUMIFS('ORDENES'!$L$4:$L$1203,'ORDENES'!$U$4:$U$1203,$A8,'ORDENES'!$P$4:$P$1203,K$4,'ORDENES'!$Q$4:$Q$1203,K$5)</f>
        <v/>
      </c>
      <c r="L8" s="10">
        <f>SUM(B8:K8)</f>
        <v/>
      </c>
    </row>
    <row r="9">
      <c r="A9" s="4" t="inlineStr">
        <is>
          <t>TOTAL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  <c r="L9" s="10">
        <f>SUM(L6:L8)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10</v>
      </c>
      <c r="J13" s="5" t="n">
        <v>12</v>
      </c>
      <c r="K13" s="5" t="n">
        <v>1</v>
      </c>
      <c r="L13" s="5" t="inlineStr">
        <is>
          <t>TOTAL</t>
        </is>
      </c>
    </row>
    <row r="14">
      <c r="A14" s="3" t="inlineStr">
        <is>
          <t>PRODUCCION</t>
        </is>
      </c>
      <c r="B14" s="10">
        <f>SUMIFS('ORDENES'!$AH$4:$AH$1203,'ORDENES'!$U$4:$U$1203,$A14,'ORDENES'!$P$4:$P$1203,B$12,'ORDENES'!$Q$4:$Q$1203,B$13)</f>
        <v/>
      </c>
      <c r="C14" s="10">
        <f>SUMIFS('ORDENES'!$AH$4:$AH$1203,'ORDENES'!$U$4:$U$1203,$A14,'ORDENES'!$P$4:$P$1203,C$12,'ORDENES'!$Q$4:$Q$1203,C$13)</f>
        <v/>
      </c>
      <c r="D14" s="10">
        <f>SUMIFS('ORDENES'!$AH$4:$AH$1203,'ORDENES'!$U$4:$U$1203,$A14,'ORDENES'!$P$4:$P$1203,D$12,'ORDENES'!$Q$4:$Q$1203,D$13)</f>
        <v/>
      </c>
      <c r="E14" s="10">
        <f>SUMIFS('ORDENES'!$AH$4:$AH$1203,'ORDENES'!$U$4:$U$1203,$A14,'ORDENES'!$P$4:$P$1203,E$12,'ORDENES'!$Q$4:$Q$1203,E$13)</f>
        <v/>
      </c>
      <c r="F14" s="10">
        <f>SUMIFS('ORDENES'!$AH$4:$AH$1203,'ORDENES'!$U$4:$U$1203,$A14,'ORDENES'!$P$4:$P$1203,F$12,'ORDENES'!$Q$4:$Q$1203,F$13)</f>
        <v/>
      </c>
      <c r="G14" s="10">
        <f>SUMIFS('ORDENES'!$AH$4:$AH$1203,'ORDENES'!$U$4:$U$1203,$A14,'ORDENES'!$P$4:$P$1203,G$12,'ORDENES'!$Q$4:$Q$1203,G$13)</f>
        <v/>
      </c>
      <c r="H14" s="10">
        <f>SUMIFS('ORDENES'!$AH$4:$AH$1203,'ORDENES'!$U$4:$U$1203,$A14,'ORDENES'!$P$4:$P$1203,H$12,'ORDENES'!$Q$4:$Q$1203,H$13)</f>
        <v/>
      </c>
      <c r="I14" s="10">
        <f>SUMIFS('ORDENES'!$AH$4:$AH$1203,'ORDENES'!$U$4:$U$1203,$A14,'ORDENES'!$P$4:$P$1203,I$12,'ORDENES'!$Q$4:$Q$1203,I$13)</f>
        <v/>
      </c>
      <c r="J14" s="10">
        <f>SUMIFS('ORDENES'!$AH$4:$AH$1203,'ORDENES'!$U$4:$U$1203,$A14,'ORDENES'!$P$4:$P$1203,J$12,'ORDENES'!$Q$4:$Q$1203,J$13)</f>
        <v/>
      </c>
      <c r="K14" s="10">
        <f>SUMIFS('ORDENES'!$AH$4:$AH$1203,'ORDENES'!$U$4:$U$1203,$A14,'ORDENES'!$P$4:$P$1203,K$12,'ORDENES'!$Q$4:$Q$1203,K$13)</f>
        <v/>
      </c>
      <c r="L14" s="10">
        <f>SUM(B14:K14)</f>
        <v/>
      </c>
    </row>
    <row r="15">
      <c r="A15" s="3" t="inlineStr">
        <is>
          <t>EMPAQUE</t>
        </is>
      </c>
      <c r="B15" s="10">
        <f>SUMIFS('ORDENES'!$AH$4:$AH$1203,'ORDENES'!$U$4:$U$1203,$A15,'ORDENES'!$P$4:$P$1203,B$12,'ORDENES'!$Q$4:$Q$1203,B$13)</f>
        <v/>
      </c>
      <c r="C15" s="10">
        <f>SUMIFS('ORDENES'!$AH$4:$AH$1203,'ORDENES'!$U$4:$U$1203,$A15,'ORDENES'!$P$4:$P$1203,C$12,'ORDENES'!$Q$4:$Q$1203,C$13)</f>
        <v/>
      </c>
      <c r="D15" s="10">
        <f>SUMIFS('ORDENES'!$AH$4:$AH$1203,'ORDENES'!$U$4:$U$1203,$A15,'ORDENES'!$P$4:$P$1203,D$12,'ORDENES'!$Q$4:$Q$1203,D$13)</f>
        <v/>
      </c>
      <c r="E15" s="10">
        <f>SUMIFS('ORDENES'!$AH$4:$AH$1203,'ORDENES'!$U$4:$U$1203,$A15,'ORDENES'!$P$4:$P$1203,E$12,'ORDENES'!$Q$4:$Q$1203,E$13)</f>
        <v/>
      </c>
      <c r="F15" s="10">
        <f>SUMIFS('ORDENES'!$AH$4:$AH$1203,'ORDENES'!$U$4:$U$1203,$A15,'ORDENES'!$P$4:$P$1203,F$12,'ORDENES'!$Q$4:$Q$1203,F$13)</f>
        <v/>
      </c>
      <c r="G15" s="10">
        <f>SUMIFS('ORDENES'!$AH$4:$AH$1203,'ORDENES'!$U$4:$U$1203,$A15,'ORDENES'!$P$4:$P$1203,G$12,'ORDENES'!$Q$4:$Q$1203,G$13)</f>
        <v/>
      </c>
      <c r="H15" s="10">
        <f>SUMIFS('ORDENES'!$AH$4:$AH$1203,'ORDENES'!$U$4:$U$1203,$A15,'ORDENES'!$P$4:$P$1203,H$12,'ORDENES'!$Q$4:$Q$1203,H$13)</f>
        <v/>
      </c>
      <c r="I15" s="10">
        <f>SUMIFS('ORDENES'!$AH$4:$AH$1203,'ORDENES'!$U$4:$U$1203,$A15,'ORDENES'!$P$4:$P$1203,I$12,'ORDENES'!$Q$4:$Q$1203,I$13)</f>
        <v/>
      </c>
      <c r="J15" s="10">
        <f>SUMIFS('ORDENES'!$AH$4:$AH$1203,'ORDENES'!$U$4:$U$1203,$A15,'ORDENES'!$P$4:$P$1203,J$12,'ORDENES'!$Q$4:$Q$1203,J$13)</f>
        <v/>
      </c>
      <c r="K15" s="10">
        <f>SUMIFS('ORDENES'!$AH$4:$AH$1203,'ORDENES'!$U$4:$U$1203,$A15,'ORDENES'!$P$4:$P$1203,K$12,'ORDENES'!$Q$4:$Q$1203,K$13)</f>
        <v/>
      </c>
      <c r="L15" s="10">
        <f>SUM(B15:K15)</f>
        <v/>
      </c>
    </row>
    <row r="16">
      <c r="A16" s="3" t="inlineStr">
        <is>
          <t>SERVICIOS</t>
        </is>
      </c>
      <c r="B16" s="10">
        <f>SUMIFS('ORDENES'!$AH$4:$AH$1203,'ORDENES'!$U$4:$U$1203,$A16,'ORDENES'!$P$4:$P$1203,B$12,'ORDENES'!$Q$4:$Q$1203,B$13)</f>
        <v/>
      </c>
      <c r="C16" s="10">
        <f>SUMIFS('ORDENES'!$AH$4:$AH$1203,'ORDENES'!$U$4:$U$1203,$A16,'ORDENES'!$P$4:$P$1203,C$12,'ORDENES'!$Q$4:$Q$1203,C$13)</f>
        <v/>
      </c>
      <c r="D16" s="10">
        <f>SUMIFS('ORDENES'!$AH$4:$AH$1203,'ORDENES'!$U$4:$U$1203,$A16,'ORDENES'!$P$4:$P$1203,D$12,'ORDENES'!$Q$4:$Q$1203,D$13)</f>
        <v/>
      </c>
      <c r="E16" s="10">
        <f>SUMIFS('ORDENES'!$AH$4:$AH$1203,'ORDENES'!$U$4:$U$1203,$A16,'ORDENES'!$P$4:$P$1203,E$12,'ORDENES'!$Q$4:$Q$1203,E$13)</f>
        <v/>
      </c>
      <c r="F16" s="10">
        <f>SUMIFS('ORDENES'!$AH$4:$AH$1203,'ORDENES'!$U$4:$U$1203,$A16,'ORDENES'!$P$4:$P$1203,F$12,'ORDENES'!$Q$4:$Q$1203,F$13)</f>
        <v/>
      </c>
      <c r="G16" s="10">
        <f>SUMIFS('ORDENES'!$AH$4:$AH$1203,'ORDENES'!$U$4:$U$1203,$A16,'ORDENES'!$P$4:$P$1203,G$12,'ORDENES'!$Q$4:$Q$1203,G$13)</f>
        <v/>
      </c>
      <c r="H16" s="10">
        <f>SUMIFS('ORDENES'!$AH$4:$AH$1203,'ORDENES'!$U$4:$U$1203,$A16,'ORDENES'!$P$4:$P$1203,H$12,'ORDENES'!$Q$4:$Q$1203,H$13)</f>
        <v/>
      </c>
      <c r="I16" s="10">
        <f>SUMIFS('ORDENES'!$AH$4:$AH$1203,'ORDENES'!$U$4:$U$1203,$A16,'ORDENES'!$P$4:$P$1203,I$12,'ORDENES'!$Q$4:$Q$1203,I$13)</f>
        <v/>
      </c>
      <c r="J16" s="10">
        <f>SUMIFS('ORDENES'!$AH$4:$AH$1203,'ORDENES'!$U$4:$U$1203,$A16,'ORDENES'!$P$4:$P$1203,J$12,'ORDENES'!$Q$4:$Q$1203,J$13)</f>
        <v/>
      </c>
      <c r="K16" s="10">
        <f>SUMIFS('ORDENES'!$AH$4:$AH$1203,'ORDENES'!$U$4:$U$1203,$A16,'ORDENES'!$P$4:$P$1203,K$12,'ORDENES'!$Q$4:$Q$1203,K$13)</f>
        <v/>
      </c>
      <c r="L16" s="10">
        <f>SUM(B16:K16)</f>
        <v/>
      </c>
    </row>
    <row r="17">
      <c r="A17" s="4" t="inlineStr">
        <is>
          <t>TOTAL</t>
        </is>
      </c>
      <c r="B17" s="10">
        <f>SUM(B14:B16)</f>
        <v/>
      </c>
      <c r="C17" s="10">
        <f>SUM(C14:C16)</f>
        <v/>
      </c>
      <c r="D17" s="10">
        <f>SUM(D14:D16)</f>
        <v/>
      </c>
      <c r="E17" s="10">
        <f>SUM(E14:E16)</f>
        <v/>
      </c>
      <c r="F17" s="10">
        <f>SUM(F14:F16)</f>
        <v/>
      </c>
      <c r="G17" s="10">
        <f>SUM(G14:G16)</f>
        <v/>
      </c>
      <c r="H17" s="10">
        <f>SUM(H14:H16)</f>
        <v/>
      </c>
      <c r="I17" s="10">
        <f>SUM(I14:I16)</f>
        <v/>
      </c>
      <c r="J17" s="10">
        <f>SUM(J14:J16)</f>
        <v/>
      </c>
      <c r="K17" s="10">
        <f>SUM(K14:K16)</f>
        <v/>
      </c>
      <c r="L17" s="10">
        <f>SUM(L14:L16)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0">
        <f>B14-B6</f>
        <v/>
      </c>
      <c r="C20" s="10">
        <f>C14-C6</f>
        <v/>
      </c>
      <c r="D20" s="10">
        <f>D14-D6</f>
        <v/>
      </c>
      <c r="E20" s="10">
        <f>E14-E6</f>
        <v/>
      </c>
      <c r="F20" s="10">
        <f>F14-F6</f>
        <v/>
      </c>
      <c r="G20" s="10">
        <f>G14-G6</f>
        <v/>
      </c>
      <c r="H20" s="10">
        <f>H14-H6</f>
        <v/>
      </c>
      <c r="I20" s="10">
        <f>I14-I6</f>
        <v/>
      </c>
      <c r="J20" s="10">
        <f>J14-J6</f>
        <v/>
      </c>
      <c r="K20" s="10">
        <f>K14-K6</f>
        <v/>
      </c>
      <c r="L20" s="10">
        <f>L14-L6</f>
        <v/>
      </c>
    </row>
    <row r="21">
      <c r="A21" s="3" t="inlineStr">
        <is>
          <t>EMPAQUE</t>
        </is>
      </c>
      <c r="B21" s="10">
        <f>B15-B7</f>
        <v/>
      </c>
      <c r="C21" s="10">
        <f>C15-C7</f>
        <v/>
      </c>
      <c r="D21" s="10">
        <f>D15-D7</f>
        <v/>
      </c>
      <c r="E21" s="10">
        <f>E15-E7</f>
        <v/>
      </c>
      <c r="F21" s="10">
        <f>F15-F7</f>
        <v/>
      </c>
      <c r="G21" s="10">
        <f>G15-G7</f>
        <v/>
      </c>
      <c r="H21" s="10">
        <f>H15-H7</f>
        <v/>
      </c>
      <c r="I21" s="10">
        <f>I15-I7</f>
        <v/>
      </c>
      <c r="J21" s="10">
        <f>J15-J7</f>
        <v/>
      </c>
      <c r="K21" s="10">
        <f>K15-K7</f>
        <v/>
      </c>
      <c r="L21" s="10">
        <f>L15-L7</f>
        <v/>
      </c>
    </row>
    <row r="22">
      <c r="A22" s="3" t="inlineStr">
        <is>
          <t>SERVICIOS</t>
        </is>
      </c>
      <c r="B22" s="10">
        <f>B16-B8</f>
        <v/>
      </c>
      <c r="C22" s="10">
        <f>C16-C8</f>
        <v/>
      </c>
      <c r="D22" s="10">
        <f>D16-D8</f>
        <v/>
      </c>
      <c r="E22" s="10">
        <f>E16-E8</f>
        <v/>
      </c>
      <c r="F22" s="10">
        <f>F16-F8</f>
        <v/>
      </c>
      <c r="G22" s="10">
        <f>G16-G8</f>
        <v/>
      </c>
      <c r="H22" s="10">
        <f>H16-H8</f>
        <v/>
      </c>
      <c r="I22" s="10">
        <f>I16-I8</f>
        <v/>
      </c>
      <c r="J22" s="10">
        <f>J16-J8</f>
        <v/>
      </c>
      <c r="K22" s="10">
        <f>K16-K8</f>
        <v/>
      </c>
      <c r="L22" s="10">
        <f>L16-L8</f>
        <v/>
      </c>
    </row>
    <row r="23">
      <c r="A23" s="4" t="inlineStr">
        <is>
          <t>TOTAL</t>
        </is>
      </c>
      <c r="B23" s="10">
        <f>B17-B9</f>
        <v/>
      </c>
      <c r="C23" s="10">
        <f>C17-C9</f>
        <v/>
      </c>
      <c r="D23" s="10">
        <f>D17-D9</f>
        <v/>
      </c>
      <c r="E23" s="10">
        <f>E17-E9</f>
        <v/>
      </c>
      <c r="F23" s="10">
        <f>F17-F9</f>
        <v/>
      </c>
      <c r="G23" s="10">
        <f>G17-G9</f>
        <v/>
      </c>
      <c r="H23" s="10">
        <f>H17-H9</f>
        <v/>
      </c>
      <c r="I23" s="10">
        <f>I17-I9</f>
        <v/>
      </c>
      <c r="J23" s="10">
        <f>J17-J9</f>
        <v/>
      </c>
      <c r="K23" s="10">
        <f>K17-K9</f>
        <v/>
      </c>
      <c r="L23" s="10">
        <f>L17-L9</f>
        <v/>
      </c>
    </row>
    <row r="25">
      <c r="A25" s="4" t="inlineStr">
        <is>
          <t>REAL por línea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10</v>
      </c>
      <c r="J27" s="5" t="n">
        <v>12</v>
      </c>
      <c r="K27" s="5" t="n">
        <v>1</v>
      </c>
      <c r="L27" s="5" t="inlineStr">
        <is>
          <t>TOTAL</t>
        </is>
      </c>
    </row>
    <row r="28">
      <c r="A28" s="3" t="inlineStr">
        <is>
          <t>L1</t>
        </is>
      </c>
      <c r="B28" s="10">
        <f>SUMIFS('ORDENES'!$AH$4:$AH$1203,'ORDENES'!$T$4:$T$1203,$A28,'ORDENES'!$P$4:$P$1203,B$26,'ORDENES'!$Q$4:$Q$1203,B$27)</f>
        <v/>
      </c>
      <c r="C28" s="10">
        <f>SUMIFS('ORDENES'!$AH$4:$AH$1203,'ORDENES'!$T$4:$T$1203,$A28,'ORDENES'!$P$4:$P$1203,C$26,'ORDENES'!$Q$4:$Q$1203,C$27)</f>
        <v/>
      </c>
      <c r="D28" s="10">
        <f>SUMIFS('ORDENES'!$AH$4:$AH$1203,'ORDENES'!$T$4:$T$1203,$A28,'ORDENES'!$P$4:$P$1203,D$26,'ORDENES'!$Q$4:$Q$1203,D$27)</f>
        <v/>
      </c>
      <c r="E28" s="10">
        <f>SUMIFS('ORDENES'!$AH$4:$AH$1203,'ORDENES'!$T$4:$T$1203,$A28,'ORDENES'!$P$4:$P$1203,E$26,'ORDENES'!$Q$4:$Q$1203,E$27)</f>
        <v/>
      </c>
      <c r="F28" s="10">
        <f>SUMIFS('ORDENES'!$AH$4:$AH$1203,'ORDENES'!$T$4:$T$1203,$A28,'ORDENES'!$P$4:$P$1203,F$26,'ORDENES'!$Q$4:$Q$1203,F$27)</f>
        <v/>
      </c>
      <c r="G28" s="10">
        <f>SUMIFS('ORDENES'!$AH$4:$AH$1203,'ORDENES'!$T$4:$T$1203,$A28,'ORDENES'!$P$4:$P$1203,G$26,'ORDENES'!$Q$4:$Q$1203,G$27)</f>
        <v/>
      </c>
      <c r="H28" s="10">
        <f>SUMIFS('ORDENES'!$AH$4:$AH$1203,'ORDENES'!$T$4:$T$1203,$A28,'ORDENES'!$P$4:$P$1203,H$26,'ORDENES'!$Q$4:$Q$1203,H$27)</f>
        <v/>
      </c>
      <c r="I28" s="10">
        <f>SUMIFS('ORDENES'!$AH$4:$AH$1203,'ORDENES'!$T$4:$T$1203,$A28,'ORDENES'!$P$4:$P$1203,I$26,'ORDENES'!$Q$4:$Q$1203,I$27)</f>
        <v/>
      </c>
      <c r="J28" s="10">
        <f>SUMIFS('ORDENES'!$AH$4:$AH$1203,'ORDENES'!$T$4:$T$1203,$A28,'ORDENES'!$P$4:$P$1203,J$26,'ORDENES'!$Q$4:$Q$1203,J$27)</f>
        <v/>
      </c>
      <c r="K28" s="10">
        <f>SUMIFS('ORDENES'!$AH$4:$AH$1203,'ORDENES'!$T$4:$T$1203,$A28,'ORDENES'!$P$4:$P$1203,K$26,'ORDENES'!$Q$4:$Q$1203,K$27)</f>
        <v/>
      </c>
      <c r="L28" s="10">
        <f>SUM(B28:K28)</f>
        <v/>
      </c>
    </row>
    <row r="29">
      <c r="A29" s="3" t="inlineStr">
        <is>
          <t>L2</t>
        </is>
      </c>
      <c r="B29" s="10">
        <f>SUMIFS('ORDENES'!$AH$4:$AH$1203,'ORDENES'!$T$4:$T$1203,$A29,'ORDENES'!$P$4:$P$1203,B$26,'ORDENES'!$Q$4:$Q$1203,B$27)</f>
        <v/>
      </c>
      <c r="C29" s="10">
        <f>SUMIFS('ORDENES'!$AH$4:$AH$1203,'ORDENES'!$T$4:$T$1203,$A29,'ORDENES'!$P$4:$P$1203,C$26,'ORDENES'!$Q$4:$Q$1203,C$27)</f>
        <v/>
      </c>
      <c r="D29" s="10">
        <f>SUMIFS('ORDENES'!$AH$4:$AH$1203,'ORDENES'!$T$4:$T$1203,$A29,'ORDENES'!$P$4:$P$1203,D$26,'ORDENES'!$Q$4:$Q$1203,D$27)</f>
        <v/>
      </c>
      <c r="E29" s="10">
        <f>SUMIFS('ORDENES'!$AH$4:$AH$1203,'ORDENES'!$T$4:$T$1203,$A29,'ORDENES'!$P$4:$P$1203,E$26,'ORDENES'!$Q$4:$Q$1203,E$27)</f>
        <v/>
      </c>
      <c r="F29" s="10">
        <f>SUMIFS('ORDENES'!$AH$4:$AH$1203,'ORDENES'!$T$4:$T$1203,$A29,'ORDENES'!$P$4:$P$1203,F$26,'ORDENES'!$Q$4:$Q$1203,F$27)</f>
        <v/>
      </c>
      <c r="G29" s="10">
        <f>SUMIFS('ORDENES'!$AH$4:$AH$1203,'ORDENES'!$T$4:$T$1203,$A29,'ORDENES'!$P$4:$P$1203,G$26,'ORDENES'!$Q$4:$Q$1203,G$27)</f>
        <v/>
      </c>
      <c r="H29" s="10">
        <f>SUMIFS('ORDENES'!$AH$4:$AH$1203,'ORDENES'!$T$4:$T$1203,$A29,'ORDENES'!$P$4:$P$1203,H$26,'ORDENES'!$Q$4:$Q$1203,H$27)</f>
        <v/>
      </c>
      <c r="I29" s="10">
        <f>SUMIFS('ORDENES'!$AH$4:$AH$1203,'ORDENES'!$T$4:$T$1203,$A29,'ORDENES'!$P$4:$P$1203,I$26,'ORDENES'!$Q$4:$Q$1203,I$27)</f>
        <v/>
      </c>
      <c r="J29" s="10">
        <f>SUMIFS('ORDENES'!$AH$4:$AH$1203,'ORDENES'!$T$4:$T$1203,$A29,'ORDENES'!$P$4:$P$1203,J$26,'ORDENES'!$Q$4:$Q$1203,J$27)</f>
        <v/>
      </c>
      <c r="K29" s="10">
        <f>SUMIFS('ORDENES'!$AH$4:$AH$1203,'ORDENES'!$T$4:$T$1203,$A29,'ORDENES'!$P$4:$P$1203,K$26,'ORDENES'!$Q$4:$Q$1203,K$27)</f>
        <v/>
      </c>
      <c r="L29" s="10">
        <f>SUM(B29:K29)</f>
        <v/>
      </c>
    </row>
    <row r="30">
      <c r="A30" s="3" t="inlineStr">
        <is>
          <t>L3</t>
        </is>
      </c>
      <c r="B30" s="10">
        <f>SUMIFS('ORDENES'!$AH$4:$AH$1203,'ORDENES'!$T$4:$T$1203,$A30,'ORDENES'!$P$4:$P$1203,B$26,'ORDENES'!$Q$4:$Q$1203,B$27)</f>
        <v/>
      </c>
      <c r="C30" s="10">
        <f>SUMIFS('ORDENES'!$AH$4:$AH$1203,'ORDENES'!$T$4:$T$1203,$A30,'ORDENES'!$P$4:$P$1203,C$26,'ORDENES'!$Q$4:$Q$1203,C$27)</f>
        <v/>
      </c>
      <c r="D30" s="10">
        <f>SUMIFS('ORDENES'!$AH$4:$AH$1203,'ORDENES'!$T$4:$T$1203,$A30,'ORDENES'!$P$4:$P$1203,D$26,'ORDENES'!$Q$4:$Q$1203,D$27)</f>
        <v/>
      </c>
      <c r="E30" s="10">
        <f>SUMIFS('ORDENES'!$AH$4:$AH$1203,'ORDENES'!$T$4:$T$1203,$A30,'ORDENES'!$P$4:$P$1203,E$26,'ORDENES'!$Q$4:$Q$1203,E$27)</f>
        <v/>
      </c>
      <c r="F30" s="10">
        <f>SUMIFS('ORDENES'!$AH$4:$AH$1203,'ORDENES'!$T$4:$T$1203,$A30,'ORDENES'!$P$4:$P$1203,F$26,'ORDENES'!$Q$4:$Q$1203,F$27)</f>
        <v/>
      </c>
      <c r="G30" s="10">
        <f>SUMIFS('ORDENES'!$AH$4:$AH$1203,'ORDENES'!$T$4:$T$1203,$A30,'ORDENES'!$P$4:$P$1203,G$26,'ORDENES'!$Q$4:$Q$1203,G$27)</f>
        <v/>
      </c>
      <c r="H30" s="10">
        <f>SUMIFS('ORDENES'!$AH$4:$AH$1203,'ORDENES'!$T$4:$T$1203,$A30,'ORDENES'!$P$4:$P$1203,H$26,'ORDENES'!$Q$4:$Q$1203,H$27)</f>
        <v/>
      </c>
      <c r="I30" s="10">
        <f>SUMIFS('ORDENES'!$AH$4:$AH$1203,'ORDENES'!$T$4:$T$1203,$A30,'ORDENES'!$P$4:$P$1203,I$26,'ORDENES'!$Q$4:$Q$1203,I$27)</f>
        <v/>
      </c>
      <c r="J30" s="10">
        <f>SUMIFS('ORDENES'!$AH$4:$AH$1203,'ORDENES'!$T$4:$T$1203,$A30,'ORDENES'!$P$4:$P$1203,J$26,'ORDENES'!$Q$4:$Q$1203,J$27)</f>
        <v/>
      </c>
      <c r="K30" s="10">
        <f>SUMIFS('ORDENES'!$AH$4:$AH$1203,'ORDENES'!$T$4:$T$1203,$A30,'ORDENES'!$P$4:$P$1203,K$26,'ORDENES'!$Q$4:$Q$1203,K$27)</f>
        <v/>
      </c>
      <c r="L30" s="10">
        <f>SUM(B30:K30)</f>
        <v/>
      </c>
    </row>
    <row r="31">
      <c r="A31" s="3" t="inlineStr">
        <is>
          <t>L4</t>
        </is>
      </c>
      <c r="B31" s="10">
        <f>SUMIFS('ORDENES'!$AH$4:$AH$1203,'ORDENES'!$T$4:$T$1203,$A31,'ORDENES'!$P$4:$P$1203,B$26,'ORDENES'!$Q$4:$Q$1203,B$27)</f>
        <v/>
      </c>
      <c r="C31" s="10">
        <f>SUMIFS('ORDENES'!$AH$4:$AH$1203,'ORDENES'!$T$4:$T$1203,$A31,'ORDENES'!$P$4:$P$1203,C$26,'ORDENES'!$Q$4:$Q$1203,C$27)</f>
        <v/>
      </c>
      <c r="D31" s="10">
        <f>SUMIFS('ORDENES'!$AH$4:$AH$1203,'ORDENES'!$T$4:$T$1203,$A31,'ORDENES'!$P$4:$P$1203,D$26,'ORDENES'!$Q$4:$Q$1203,D$27)</f>
        <v/>
      </c>
      <c r="E31" s="10">
        <f>SUMIFS('ORDENES'!$AH$4:$AH$1203,'ORDENES'!$T$4:$T$1203,$A31,'ORDENES'!$P$4:$P$1203,E$26,'ORDENES'!$Q$4:$Q$1203,E$27)</f>
        <v/>
      </c>
      <c r="F31" s="10">
        <f>SUMIFS('ORDENES'!$AH$4:$AH$1203,'ORDENES'!$T$4:$T$1203,$A31,'ORDENES'!$P$4:$P$1203,F$26,'ORDENES'!$Q$4:$Q$1203,F$27)</f>
        <v/>
      </c>
      <c r="G31" s="10">
        <f>SUMIFS('ORDENES'!$AH$4:$AH$1203,'ORDENES'!$T$4:$T$1203,$A31,'ORDENES'!$P$4:$P$1203,G$26,'ORDENES'!$Q$4:$Q$1203,G$27)</f>
        <v/>
      </c>
      <c r="H31" s="10">
        <f>SUMIFS('ORDENES'!$AH$4:$AH$1203,'ORDENES'!$T$4:$T$1203,$A31,'ORDENES'!$P$4:$P$1203,H$26,'ORDENES'!$Q$4:$Q$1203,H$27)</f>
        <v/>
      </c>
      <c r="I31" s="10">
        <f>SUMIFS('ORDENES'!$AH$4:$AH$1203,'ORDENES'!$T$4:$T$1203,$A31,'ORDENES'!$P$4:$P$1203,I$26,'ORDENES'!$Q$4:$Q$1203,I$27)</f>
        <v/>
      </c>
      <c r="J31" s="10">
        <f>SUMIFS('ORDENES'!$AH$4:$AH$1203,'ORDENES'!$T$4:$T$1203,$A31,'ORDENES'!$P$4:$P$1203,J$26,'ORDENES'!$Q$4:$Q$1203,J$27)</f>
        <v/>
      </c>
      <c r="K31" s="10">
        <f>SUMIFS('ORDENES'!$AH$4:$AH$1203,'ORDENES'!$T$4:$T$1203,$A31,'ORDENES'!$P$4:$P$1203,K$26,'ORDENES'!$Q$4:$Q$1203,K$27)</f>
        <v/>
      </c>
      <c r="L31" s="10">
        <f>SUM(B31:K31)</f>
        <v/>
      </c>
    </row>
    <row r="32">
      <c r="A32" s="3" t="inlineStr">
        <is>
          <t>SG</t>
        </is>
      </c>
      <c r="B32" s="10">
        <f>SUMIFS('ORDENES'!$AH$4:$AH$1203,'ORDENES'!$T$4:$T$1203,$A32,'ORDENES'!$P$4:$P$1203,B$26,'ORDENES'!$Q$4:$Q$1203,B$27)</f>
        <v/>
      </c>
      <c r="C32" s="10">
        <f>SUMIFS('ORDENES'!$AH$4:$AH$1203,'ORDENES'!$T$4:$T$1203,$A32,'ORDENES'!$P$4:$P$1203,C$26,'ORDENES'!$Q$4:$Q$1203,C$27)</f>
        <v/>
      </c>
      <c r="D32" s="10">
        <f>SUMIFS('ORDENES'!$AH$4:$AH$1203,'ORDENES'!$T$4:$T$1203,$A32,'ORDENES'!$P$4:$P$1203,D$26,'ORDENES'!$Q$4:$Q$1203,D$27)</f>
        <v/>
      </c>
      <c r="E32" s="10">
        <f>SUMIFS('ORDENES'!$AH$4:$AH$1203,'ORDENES'!$T$4:$T$1203,$A32,'ORDENES'!$P$4:$P$1203,E$26,'ORDENES'!$Q$4:$Q$1203,E$27)</f>
        <v/>
      </c>
      <c r="F32" s="10">
        <f>SUMIFS('ORDENES'!$AH$4:$AH$1203,'ORDENES'!$T$4:$T$1203,$A32,'ORDENES'!$P$4:$P$1203,F$26,'ORDENES'!$Q$4:$Q$1203,F$27)</f>
        <v/>
      </c>
      <c r="G32" s="10">
        <f>SUMIFS('ORDENES'!$AH$4:$AH$1203,'ORDENES'!$T$4:$T$1203,$A32,'ORDENES'!$P$4:$P$1203,G$26,'ORDENES'!$Q$4:$Q$1203,G$27)</f>
        <v/>
      </c>
      <c r="H32" s="10">
        <f>SUMIFS('ORDENES'!$AH$4:$AH$1203,'ORDENES'!$T$4:$T$1203,$A32,'ORDENES'!$P$4:$P$1203,H$26,'ORDENES'!$Q$4:$Q$1203,H$27)</f>
        <v/>
      </c>
      <c r="I32" s="10">
        <f>SUMIFS('ORDENES'!$AH$4:$AH$1203,'ORDENES'!$T$4:$T$1203,$A32,'ORDENES'!$P$4:$P$1203,I$26,'ORDENES'!$Q$4:$Q$1203,I$27)</f>
        <v/>
      </c>
      <c r="J32" s="10">
        <f>SUMIFS('ORDENES'!$AH$4:$AH$1203,'ORDENES'!$T$4:$T$1203,$A32,'ORDENES'!$P$4:$P$1203,J$26,'ORDENES'!$Q$4:$Q$1203,J$27)</f>
        <v/>
      </c>
      <c r="K32" s="10">
        <f>SUMIFS('ORDENES'!$AH$4:$AH$1203,'ORDENES'!$T$4:$T$1203,$A32,'ORDENES'!$P$4:$P$1203,K$26,'ORDENES'!$Q$4:$Q$1203,K$27)</f>
        <v/>
      </c>
      <c r="L32" s="10">
        <f>SUM(B32:K32)</f>
        <v/>
      </c>
    </row>
    <row r="33">
      <c r="A33" s="3" t="inlineStr">
        <is>
          <t>TC</t>
        </is>
      </c>
      <c r="B33" s="10">
        <f>SUMIFS('ORDENES'!$AH$4:$AH$1203,'ORDENES'!$T$4:$T$1203,$A33,'ORDENES'!$P$4:$P$1203,B$26,'ORDENES'!$Q$4:$Q$1203,B$27)</f>
        <v/>
      </c>
      <c r="C33" s="10">
        <f>SUMIFS('ORDENES'!$AH$4:$AH$1203,'ORDENES'!$T$4:$T$1203,$A33,'ORDENES'!$P$4:$P$1203,C$26,'ORDENES'!$Q$4:$Q$1203,C$27)</f>
        <v/>
      </c>
      <c r="D33" s="10">
        <f>SUMIFS('ORDENES'!$AH$4:$AH$1203,'ORDENES'!$T$4:$T$1203,$A33,'ORDENES'!$P$4:$P$1203,D$26,'ORDENES'!$Q$4:$Q$1203,D$27)</f>
        <v/>
      </c>
      <c r="E33" s="10">
        <f>SUMIFS('ORDENES'!$AH$4:$AH$1203,'ORDENES'!$T$4:$T$1203,$A33,'ORDENES'!$P$4:$P$1203,E$26,'ORDENES'!$Q$4:$Q$1203,E$27)</f>
        <v/>
      </c>
      <c r="F33" s="10">
        <f>SUMIFS('ORDENES'!$AH$4:$AH$1203,'ORDENES'!$T$4:$T$1203,$A33,'ORDENES'!$P$4:$P$1203,F$26,'ORDENES'!$Q$4:$Q$1203,F$27)</f>
        <v/>
      </c>
      <c r="G33" s="10">
        <f>SUMIFS('ORDENES'!$AH$4:$AH$1203,'ORDENES'!$T$4:$T$1203,$A33,'ORDENES'!$P$4:$P$1203,G$26,'ORDENES'!$Q$4:$Q$1203,G$27)</f>
        <v/>
      </c>
      <c r="H33" s="10">
        <f>SUMIFS('ORDENES'!$AH$4:$AH$1203,'ORDENES'!$T$4:$T$1203,$A33,'ORDENES'!$P$4:$P$1203,H$26,'ORDENES'!$Q$4:$Q$1203,H$27)</f>
        <v/>
      </c>
      <c r="I33" s="10">
        <f>SUMIFS('ORDENES'!$AH$4:$AH$1203,'ORDENES'!$T$4:$T$1203,$A33,'ORDENES'!$P$4:$P$1203,I$26,'ORDENES'!$Q$4:$Q$1203,I$27)</f>
        <v/>
      </c>
      <c r="J33" s="10">
        <f>SUMIFS('ORDENES'!$AH$4:$AH$1203,'ORDENES'!$T$4:$T$1203,$A33,'ORDENES'!$P$4:$P$1203,J$26,'ORDENES'!$Q$4:$Q$1203,J$27)</f>
        <v/>
      </c>
      <c r="K33" s="10">
        <f>SUMIFS('ORDENES'!$AH$4:$AH$1203,'ORDENES'!$T$4:$T$1203,$A33,'ORDENES'!$P$4:$P$1203,K$26,'ORDENES'!$Q$4:$Q$1203,K$27)</f>
        <v/>
      </c>
      <c r="L33" s="10">
        <f>SUM(B33:K33)</f>
        <v/>
      </c>
    </row>
    <row r="34">
      <c r="A34" s="4" t="inlineStr">
        <is>
          <t>TOTAL</t>
        </is>
      </c>
      <c r="B34" s="10">
        <f>SUM(B28:B33)</f>
        <v/>
      </c>
      <c r="C34" s="10">
        <f>SUM(C28:C33)</f>
        <v/>
      </c>
      <c r="D34" s="10">
        <f>SUM(D28:D33)</f>
        <v/>
      </c>
      <c r="E34" s="10">
        <f>SUM(E28:E33)</f>
        <v/>
      </c>
      <c r="F34" s="10">
        <f>SUM(F28:F33)</f>
        <v/>
      </c>
      <c r="G34" s="10">
        <f>SUM(G28:G33)</f>
        <v/>
      </c>
      <c r="H34" s="10">
        <f>SUM(H28:H33)</f>
        <v/>
      </c>
      <c r="I34" s="10">
        <f>SUM(I28:I33)</f>
        <v/>
      </c>
      <c r="J34" s="10">
        <f>SUM(J28:J33)</f>
        <v/>
      </c>
      <c r="K34" s="10">
        <f>SUM(K28:K33)</f>
        <v/>
      </c>
      <c r="L34" s="10">
        <f>SUM(L28:L33)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COUNTIFS('ORDENES'!$N$4:$N$1203,"Pendiente",'ORDENES'!$Y$4:$Y$1203,"&gt;=0",'ORDENES'!$Y$4:$Y$1203,"&lt;=30")</f>
        <v/>
      </c>
      <c r="C4" s="17">
        <f>SUMIFS('ORDENES'!$M$4:$M$1203,'ORDENES'!$N$4:$N$1203,"Pendiente",'ORDENES'!$Y$4:$Y$1203,"&gt;=0",'ORDENES'!$Y$4:$Y$1203,"&lt;=30")</f>
        <v/>
      </c>
    </row>
    <row r="5">
      <c r="A5" s="3" t="inlineStr">
        <is>
          <t>31-60</t>
        </is>
      </c>
      <c r="B5" s="3">
        <f>COUNTIFS('ORDENES'!$N$4:$N$1203,"Pendiente",'ORDENES'!$Y$4:$Y$1203,"&gt;=31",'ORDENES'!$Y$4:$Y$1203,"&lt;=60")</f>
        <v/>
      </c>
      <c r="C5" s="17">
        <f>SUMIFS('ORDENES'!$M$4:$M$1203,'ORDENES'!$N$4:$N$1203,"Pendiente",'ORDENES'!$Y$4:$Y$1203,"&gt;=31",'ORDENES'!$Y$4:$Y$1203,"&lt;=60")</f>
        <v/>
      </c>
    </row>
    <row r="6">
      <c r="A6" s="3" t="inlineStr">
        <is>
          <t>61-90</t>
        </is>
      </c>
      <c r="B6" s="3">
        <f>COUNTIFS('ORDENES'!$N$4:$N$1203,"Pendiente",'ORDENES'!$Y$4:$Y$1203,"&gt;=61",'ORDENES'!$Y$4:$Y$1203,"&lt;=90")</f>
        <v/>
      </c>
      <c r="C6" s="17">
        <f>SUMIFS('ORDENES'!$M$4:$M$1203,'ORDENES'!$N$4:$N$1203,"Pendiente",'ORDENES'!$Y$4:$Y$1203,"&gt;=61",'ORDENES'!$Y$4:$Y$1203,"&lt;=90")</f>
        <v/>
      </c>
    </row>
    <row r="7">
      <c r="A7" s="3" t="inlineStr">
        <is>
          <t>&gt;90</t>
        </is>
      </c>
      <c r="B7" s="3">
        <f>COUNTIFS('ORDENES'!$N$4:$N$1203,"Pendiente",'ORDENES'!$Y$4:$Y$1203,"&gt;90")</f>
        <v/>
      </c>
      <c r="C7" s="17">
        <f>SUMIFS('ORDENES'!$M$4:$M$1203,'ORDENES'!$N$4:$N$1203,"Pendiente",'ORDENES'!$Y$4:$Y$1203,"&gt;90")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COUNTIFS('ORDENES'!$N$4:$N$1203,"Pendiente",'ORDENES'!$Y$4:$Y$1203,"&gt;=0",'ORDENES'!$Y$4:$Y$1203,"&lt;=30",'ORDENES'!$W$4:$W$1203,$A12)</f>
        <v/>
      </c>
      <c r="C12" s="3">
        <f>COUNTIFS('ORDENES'!$N$4:$N$1203,"Pendiente",'ORDENES'!$Y$4:$Y$1203,"&gt;=31",'ORDENES'!$Y$4:$Y$1203,"&lt;=60",'ORDENES'!$W$4:$W$1203,$A12)</f>
        <v/>
      </c>
      <c r="D12" s="3">
        <f>COUNTIFS('ORDENES'!$N$4:$N$1203,"Pendiente",'ORDENES'!$Y$4:$Y$1203,"&gt;=61",'ORDENES'!$Y$4:$Y$1203,"&lt;=90",'ORDENES'!$W$4:$W$1203,$A12)</f>
        <v/>
      </c>
      <c r="E12" s="3">
        <f>COUNTIFS('ORDENES'!$N$4:$N$1203,"Pendiente",'ORDENES'!$Y$4:$Y$1203,"&gt;90",'ORDENES'!$W$4:$W$1203,$A12)</f>
        <v/>
      </c>
    </row>
    <row r="13">
      <c r="A13" s="3" t="inlineStr">
        <is>
          <t>ELE</t>
        </is>
      </c>
      <c r="B13" s="3">
        <f>COUNTIFS('ORDENES'!$N$4:$N$1203,"Pendiente",'ORDENES'!$Y$4:$Y$1203,"&gt;=0",'ORDENES'!$Y$4:$Y$1203,"&lt;=30",'ORDENES'!$W$4:$W$1203,$A13)</f>
        <v/>
      </c>
      <c r="C13" s="3">
        <f>COUNTIFS('ORDENES'!$N$4:$N$1203,"Pendiente",'ORDENES'!$Y$4:$Y$1203,"&gt;=31",'ORDENES'!$Y$4:$Y$1203,"&lt;=60",'ORDENES'!$W$4:$W$1203,$A13)</f>
        <v/>
      </c>
      <c r="D13" s="3">
        <f>COUNTIFS('ORDENES'!$N$4:$N$1203,"Pendiente",'ORDENES'!$Y$4:$Y$1203,"&gt;=61",'ORDENES'!$Y$4:$Y$1203,"&lt;=90",'ORDENES'!$W$4:$W$1203,$A13)</f>
        <v/>
      </c>
      <c r="E13" s="3">
        <f>COUNTIFS('ORDENES'!$N$4:$N$1203,"Pendiente",'ORDENES'!$Y$4:$Y$1203,"&gt;90",'ORDENES'!$W$4:$W$1203,$A13)</f>
        <v/>
      </c>
    </row>
    <row r="14">
      <c r="A14" s="3" t="inlineStr">
        <is>
          <t>AUT</t>
        </is>
      </c>
      <c r="B14" s="3">
        <f>COUNTIFS('ORDENES'!$N$4:$N$1203,"Pendiente",'ORDENES'!$Y$4:$Y$1203,"&gt;=0",'ORDENES'!$Y$4:$Y$1203,"&lt;=30",'ORDENES'!$W$4:$W$1203,$A14)</f>
        <v/>
      </c>
      <c r="C14" s="3">
        <f>COUNTIFS('ORDENES'!$N$4:$N$1203,"Pendiente",'ORDENES'!$Y$4:$Y$1203,"&gt;=31",'ORDENES'!$Y$4:$Y$1203,"&lt;=60",'ORDENES'!$W$4:$W$1203,$A14)</f>
        <v/>
      </c>
      <c r="D14" s="3">
        <f>COUNTIFS('ORDENES'!$N$4:$N$1203,"Pendiente",'ORDENES'!$Y$4:$Y$1203,"&gt;=61",'ORDENES'!$Y$4:$Y$1203,"&lt;=90",'ORDENES'!$W$4:$W$1203,$A14)</f>
        <v/>
      </c>
      <c r="E14" s="3">
        <f>COUNTIFS('ORDENES'!$N$4:$N$1203,"Pendiente",'ORDENES'!$Y$4:$Y$1203,"&gt;90",'ORDENES'!$W$4:$W$1203,$A14)</f>
        <v/>
      </c>
    </row>
    <row r="15">
      <c r="A15" s="3" t="inlineStr">
        <is>
          <t>OP</t>
        </is>
      </c>
      <c r="B15" s="3">
        <f>COUNTIFS('ORDENES'!$N$4:$N$1203,"Pendiente",'ORDENES'!$Y$4:$Y$1203,"&gt;=0",'ORDENES'!$Y$4:$Y$1203,"&lt;=30",'ORDENES'!$W$4:$W$1203,$A15)</f>
        <v/>
      </c>
      <c r="C15" s="3">
        <f>COUNTIFS('ORDENES'!$N$4:$N$1203,"Pendiente",'ORDENES'!$Y$4:$Y$1203,"&gt;=31",'ORDENES'!$Y$4:$Y$1203,"&lt;=60",'ORDENES'!$W$4:$W$1203,$A15)</f>
        <v/>
      </c>
      <c r="D15" s="3">
        <f>COUNTIFS('ORDENES'!$N$4:$N$1203,"Pendiente",'ORDENES'!$Y$4:$Y$1203,"&gt;=61",'ORDENES'!$Y$4:$Y$1203,"&lt;=90",'ORDENES'!$W$4:$W$1203,$A15)</f>
        <v/>
      </c>
      <c r="E15" s="3">
        <f>COUNTIFS('ORDENES'!$N$4:$N$1203,"Pendiente",'ORDENES'!$Y$4:$Y$1203,"&gt;90",'ORDENES'!$W$4:$W$1203,$A15)</f>
        <v/>
      </c>
    </row>
    <row r="16">
      <c r="A16" s="3" t="inlineStr">
        <is>
          <t>TERCERO</t>
        </is>
      </c>
      <c r="B16" s="3">
        <f>COUNTIFS('ORDENES'!$N$4:$N$1203,"Pendiente",'ORDENES'!$Y$4:$Y$1203,"&gt;=0",'ORDENES'!$Y$4:$Y$1203,"&lt;=30",'ORDENES'!$W$4:$W$1203,$A16)</f>
        <v/>
      </c>
      <c r="C16" s="3">
        <f>COUNTIFS('ORDENES'!$N$4:$N$1203,"Pendiente",'ORDENES'!$Y$4:$Y$1203,"&gt;=31",'ORDENES'!$Y$4:$Y$1203,"&lt;=60",'ORDENES'!$W$4:$W$1203,$A16)</f>
        <v/>
      </c>
      <c r="D16" s="3">
        <f>COUNTIFS('ORDENES'!$N$4:$N$1203,"Pendiente",'ORDENES'!$Y$4:$Y$1203,"&gt;=61",'ORDENES'!$Y$4:$Y$1203,"&lt;=90",'ORDENES'!$W$4:$W$1203,$A16)</f>
        <v/>
      </c>
      <c r="E16" s="3">
        <f>COUNTIFS('ORDENES'!$N$4:$N$1203,"Pendiente",'ORDENES'!$Y$4:$Y$1203,"&gt;90",'ORDENES'!$W$4:$W$1203,$A16)</f>
        <v/>
      </c>
    </row>
    <row r="18">
      <c r="A18" s="4" t="inlineStr">
        <is>
          <t>POR ÁREA</t>
        </is>
      </c>
    </row>
    <row r="19">
      <c r="A19" s="5" t="inlineStr">
        <is>
          <t>area</t>
        </is>
      </c>
      <c r="B19" s="5" t="inlineStr">
        <is>
          <t>0-30</t>
        </is>
      </c>
      <c r="C19" s="5" t="inlineStr">
        <is>
          <t>31-60</t>
        </is>
      </c>
      <c r="D19" s="5" t="inlineStr">
        <is>
          <t>61-90</t>
        </is>
      </c>
      <c r="E19" s="5" t="inlineStr">
        <is>
          <t>&gt;90</t>
        </is>
      </c>
    </row>
    <row r="20">
      <c r="A20" s="3" t="inlineStr">
        <is>
          <t>PRODUCCION</t>
        </is>
      </c>
      <c r="B20" s="3">
        <f>COUNTIFS('ORDENES'!$N$4:$N$1203,"Pendiente",'ORDENES'!$Y$4:$Y$1203,"&gt;=0",'ORDENES'!$Y$4:$Y$1203,"&lt;=30",'ORDENES'!$U$4:$U$1203,$A20)</f>
        <v/>
      </c>
      <c r="C20" s="3">
        <f>COUNTIFS('ORDENES'!$N$4:$N$1203,"Pendiente",'ORDENES'!$Y$4:$Y$1203,"&gt;=31",'ORDENES'!$Y$4:$Y$1203,"&lt;=60",'ORDENES'!$U$4:$U$1203,$A20)</f>
        <v/>
      </c>
      <c r="D20" s="3">
        <f>COUNTIFS('ORDENES'!$N$4:$N$1203,"Pendiente",'ORDENES'!$Y$4:$Y$1203,"&gt;=61",'ORDENES'!$Y$4:$Y$1203,"&lt;=90",'ORDENES'!$U$4:$U$1203,$A20)</f>
        <v/>
      </c>
      <c r="E20" s="3">
        <f>COUNTIFS('ORDENES'!$N$4:$N$1203,"Pendiente",'ORDENES'!$Y$4:$Y$1203,"&gt;90",'ORDENES'!$U$4:$U$1203,$A20)</f>
        <v/>
      </c>
    </row>
    <row r="21">
      <c r="A21" s="3" t="inlineStr">
        <is>
          <t>EMPAQUE</t>
        </is>
      </c>
      <c r="B21" s="3">
        <f>COUNTIFS('ORDENES'!$N$4:$N$1203,"Pendiente",'ORDENES'!$Y$4:$Y$1203,"&gt;=0",'ORDENES'!$Y$4:$Y$1203,"&lt;=30",'ORDENES'!$U$4:$U$1203,$A21)</f>
        <v/>
      </c>
      <c r="C21" s="3">
        <f>COUNTIFS('ORDENES'!$N$4:$N$1203,"Pendiente",'ORDENES'!$Y$4:$Y$1203,"&gt;=31",'ORDENES'!$Y$4:$Y$1203,"&lt;=60",'ORDENES'!$U$4:$U$1203,$A21)</f>
        <v/>
      </c>
      <c r="D21" s="3">
        <f>COUNTIFS('ORDENES'!$N$4:$N$1203,"Pendiente",'ORDENES'!$Y$4:$Y$1203,"&gt;=61",'ORDENES'!$Y$4:$Y$1203,"&lt;=90",'ORDENES'!$U$4:$U$1203,$A21)</f>
        <v/>
      </c>
      <c r="E21" s="3">
        <f>COUNTIFS('ORDENES'!$N$4:$N$1203,"Pendiente",'ORDENES'!$Y$4:$Y$1203,"&gt;90",'ORDENES'!$U$4:$U$1203,$A21)</f>
        <v/>
      </c>
    </row>
    <row r="22">
      <c r="A22" s="3" t="inlineStr">
        <is>
          <t>SERVICIOS</t>
        </is>
      </c>
      <c r="B22" s="3">
        <f>COUNTIFS('ORDENES'!$N$4:$N$1203,"Pendiente",'ORDENES'!$Y$4:$Y$1203,"&gt;=0",'ORDENES'!$Y$4:$Y$1203,"&lt;=30",'ORDENES'!$U$4:$U$1203,$A22)</f>
        <v/>
      </c>
      <c r="C22" s="3">
        <f>COUNTIFS('ORDENES'!$N$4:$N$1203,"Pendiente",'ORDENES'!$Y$4:$Y$1203,"&gt;=31",'ORDENES'!$Y$4:$Y$1203,"&lt;=60",'ORDENES'!$U$4:$U$1203,$A22)</f>
        <v/>
      </c>
      <c r="D22" s="3">
        <f>COUNTIFS('ORDENES'!$N$4:$N$1203,"Pendiente",'ORDENES'!$Y$4:$Y$1203,"&gt;=61",'ORDENES'!$Y$4:$Y$1203,"&lt;=90",'ORDENES'!$U$4:$U$1203,$A22)</f>
        <v/>
      </c>
      <c r="E22" s="3">
        <f>COUNTIFS('ORDENES'!$N$4:$N$1203,"Pendiente",'ORDENES'!$Y$4:$Y$1203,"&gt;90",'ORDENES'!$U$4:$U$1203,$A22)</f>
        <v/>
      </c>
    </row>
  </sheetData>
  <conditionalFormatting sqref="B7:C7">
    <cfRule type="cellIs" priority="1" operator="greaterThan" dxfId="0">
      <formula>0</formula>
    </cfRule>
  </conditionalFormatting>
  <conditionalFormatting sqref="E12:E16">
    <cfRule type="cellIs" priority="2" operator="greaterThan" dxfId="0">
      <formula>0</formula>
    </cfRule>
  </conditionalFormatting>
  <conditionalFormatting sqref="E20:E22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10</v>
      </c>
      <c r="J4" s="5" t="n">
        <v>12</v>
      </c>
      <c r="K4" s="5" t="n">
        <v>1</v>
      </c>
      <c r="L4" s="5" t="inlineStr">
        <is>
          <t>TOTAL</t>
        </is>
      </c>
    </row>
    <row r="5">
      <c r="A5" s="3" t="inlineStr">
        <is>
          <t>EQ-110</t>
        </is>
      </c>
      <c r="B5" s="10">
        <f>SUMIFS('ORDENES'!$AH$4:$AH$1203,'ORDENES'!$E$4:$E$1203,$A5,'ORDENES'!$P$4:$P$1203,B$3,'ORDENES'!$Q$4:$Q$1203,B$4)</f>
        <v/>
      </c>
      <c r="C5" s="10">
        <f>SUMIFS('ORDENES'!$AH$4:$AH$1203,'ORDENES'!$E$4:$E$1203,$A5,'ORDENES'!$P$4:$P$1203,C$3,'ORDENES'!$Q$4:$Q$1203,C$4)</f>
        <v/>
      </c>
      <c r="D5" s="10">
        <f>SUMIFS('ORDENES'!$AH$4:$AH$1203,'ORDENES'!$E$4:$E$1203,$A5,'ORDENES'!$P$4:$P$1203,D$3,'ORDENES'!$Q$4:$Q$1203,D$4)</f>
        <v/>
      </c>
      <c r="E5" s="10">
        <f>SUMIFS('ORDENES'!$AH$4:$AH$1203,'ORDENES'!$E$4:$E$1203,$A5,'ORDENES'!$P$4:$P$1203,E$3,'ORDENES'!$Q$4:$Q$1203,E$4)</f>
        <v/>
      </c>
      <c r="F5" s="10">
        <f>SUMIFS('ORDENES'!$AH$4:$AH$1203,'ORDENES'!$E$4:$E$1203,$A5,'ORDENES'!$P$4:$P$1203,F$3,'ORDENES'!$Q$4:$Q$1203,F$4)</f>
        <v/>
      </c>
      <c r="G5" s="10">
        <f>SUMIFS('ORDENES'!$AH$4:$AH$1203,'ORDENES'!$E$4:$E$1203,$A5,'ORDENES'!$P$4:$P$1203,G$3,'ORDENES'!$Q$4:$Q$1203,G$4)</f>
        <v/>
      </c>
      <c r="H5" s="10">
        <f>SUMIFS('ORDENES'!$AH$4:$AH$1203,'ORDENES'!$E$4:$E$1203,$A5,'ORDENES'!$P$4:$P$1203,H$3,'ORDENES'!$Q$4:$Q$1203,H$4)</f>
        <v/>
      </c>
      <c r="I5" s="10">
        <f>SUMIFS('ORDENES'!$AH$4:$AH$1203,'ORDENES'!$E$4:$E$1203,$A5,'ORDENES'!$P$4:$P$1203,I$3,'ORDENES'!$Q$4:$Q$1203,I$4)</f>
        <v/>
      </c>
      <c r="J5" s="10">
        <f>SUMIFS('ORDENES'!$AH$4:$AH$1203,'ORDENES'!$E$4:$E$1203,$A5,'ORDENES'!$P$4:$P$1203,J$3,'ORDENES'!$Q$4:$Q$1203,J$4)</f>
        <v/>
      </c>
      <c r="K5" s="10">
        <f>SUMIFS('ORDENES'!$AH$4:$AH$1203,'ORDENES'!$E$4:$E$1203,$A5,'ORDENES'!$P$4:$P$1203,K$3,'ORDENES'!$Q$4:$Q$1203,K$4)</f>
        <v/>
      </c>
      <c r="L5" s="10">
        <f>SUM(B5:K5)</f>
        <v/>
      </c>
    </row>
    <row r="6">
      <c r="A6" s="3" t="inlineStr">
        <is>
          <t>EQ-103</t>
        </is>
      </c>
      <c r="B6" s="10">
        <f>SUMIFS('ORDENES'!$AH$4:$AH$1203,'ORDENES'!$E$4:$E$1203,$A6,'ORDENES'!$P$4:$P$1203,B$3,'ORDENES'!$Q$4:$Q$1203,B$4)</f>
        <v/>
      </c>
      <c r="C6" s="10">
        <f>SUMIFS('ORDENES'!$AH$4:$AH$1203,'ORDENES'!$E$4:$E$1203,$A6,'ORDENES'!$P$4:$P$1203,C$3,'ORDENES'!$Q$4:$Q$1203,C$4)</f>
        <v/>
      </c>
      <c r="D6" s="10">
        <f>SUMIFS('ORDENES'!$AH$4:$AH$1203,'ORDENES'!$E$4:$E$1203,$A6,'ORDENES'!$P$4:$P$1203,D$3,'ORDENES'!$Q$4:$Q$1203,D$4)</f>
        <v/>
      </c>
      <c r="E6" s="10">
        <f>SUMIFS('ORDENES'!$AH$4:$AH$1203,'ORDENES'!$E$4:$E$1203,$A6,'ORDENES'!$P$4:$P$1203,E$3,'ORDENES'!$Q$4:$Q$1203,E$4)</f>
        <v/>
      </c>
      <c r="F6" s="10">
        <f>SUMIFS('ORDENES'!$AH$4:$AH$1203,'ORDENES'!$E$4:$E$1203,$A6,'ORDENES'!$P$4:$P$1203,F$3,'ORDENES'!$Q$4:$Q$1203,F$4)</f>
        <v/>
      </c>
      <c r="G6" s="10">
        <f>SUMIFS('ORDENES'!$AH$4:$AH$1203,'ORDENES'!$E$4:$E$1203,$A6,'ORDENES'!$P$4:$P$1203,G$3,'ORDENES'!$Q$4:$Q$1203,G$4)</f>
        <v/>
      </c>
      <c r="H6" s="10">
        <f>SUMIFS('ORDENES'!$AH$4:$AH$1203,'ORDENES'!$E$4:$E$1203,$A6,'ORDENES'!$P$4:$P$1203,H$3,'ORDENES'!$Q$4:$Q$1203,H$4)</f>
        <v/>
      </c>
      <c r="I6" s="10">
        <f>SUMIFS('ORDENES'!$AH$4:$AH$1203,'ORDENES'!$E$4:$E$1203,$A6,'ORDENES'!$P$4:$P$1203,I$3,'ORDENES'!$Q$4:$Q$1203,I$4)</f>
        <v/>
      </c>
      <c r="J6" s="10">
        <f>SUMIFS('ORDENES'!$AH$4:$AH$1203,'ORDENES'!$E$4:$E$1203,$A6,'ORDENES'!$P$4:$P$1203,J$3,'ORDENES'!$Q$4:$Q$1203,J$4)</f>
        <v/>
      </c>
      <c r="K6" s="10">
        <f>SUMIFS('ORDENES'!$AH$4:$AH$1203,'ORDENES'!$E$4:$E$1203,$A6,'ORDENES'!$P$4:$P$1203,K$3,'ORDENES'!$Q$4:$Q$1203,K$4)</f>
        <v/>
      </c>
      <c r="L6" s="10">
        <f>SUM(B6:K6)</f>
        <v/>
      </c>
    </row>
    <row r="7">
      <c r="A7" s="3" t="inlineStr">
        <is>
          <t>EQ-101</t>
        </is>
      </c>
      <c r="B7" s="10">
        <f>SUMIFS('ORDENES'!$AH$4:$AH$1203,'ORDENES'!$E$4:$E$1203,$A7,'ORDENES'!$P$4:$P$1203,B$3,'ORDENES'!$Q$4:$Q$1203,B$4)</f>
        <v/>
      </c>
      <c r="C7" s="10">
        <f>SUMIFS('ORDENES'!$AH$4:$AH$1203,'ORDENES'!$E$4:$E$1203,$A7,'ORDENES'!$P$4:$P$1203,C$3,'ORDENES'!$Q$4:$Q$1203,C$4)</f>
        <v/>
      </c>
      <c r="D7" s="10">
        <f>SUMIFS('ORDENES'!$AH$4:$AH$1203,'ORDENES'!$E$4:$E$1203,$A7,'ORDENES'!$P$4:$P$1203,D$3,'ORDENES'!$Q$4:$Q$1203,D$4)</f>
        <v/>
      </c>
      <c r="E7" s="10">
        <f>SUMIFS('ORDENES'!$AH$4:$AH$1203,'ORDENES'!$E$4:$E$1203,$A7,'ORDENES'!$P$4:$P$1203,E$3,'ORDENES'!$Q$4:$Q$1203,E$4)</f>
        <v/>
      </c>
      <c r="F7" s="10">
        <f>SUMIFS('ORDENES'!$AH$4:$AH$1203,'ORDENES'!$E$4:$E$1203,$A7,'ORDENES'!$P$4:$P$1203,F$3,'ORDENES'!$Q$4:$Q$1203,F$4)</f>
        <v/>
      </c>
      <c r="G7" s="10">
        <f>SUMIFS('ORDENES'!$AH$4:$AH$1203,'ORDENES'!$E$4:$E$1203,$A7,'ORDENES'!$P$4:$P$1203,G$3,'ORDENES'!$Q$4:$Q$1203,G$4)</f>
        <v/>
      </c>
      <c r="H7" s="10">
        <f>SUMIFS('ORDENES'!$AH$4:$AH$1203,'ORDENES'!$E$4:$E$1203,$A7,'ORDENES'!$P$4:$P$1203,H$3,'ORDENES'!$Q$4:$Q$1203,H$4)</f>
        <v/>
      </c>
      <c r="I7" s="10">
        <f>SUMIFS('ORDENES'!$AH$4:$AH$1203,'ORDENES'!$E$4:$E$1203,$A7,'ORDENES'!$P$4:$P$1203,I$3,'ORDENES'!$Q$4:$Q$1203,I$4)</f>
        <v/>
      </c>
      <c r="J7" s="10">
        <f>SUMIFS('ORDENES'!$AH$4:$AH$1203,'ORDENES'!$E$4:$E$1203,$A7,'ORDENES'!$P$4:$P$1203,J$3,'ORDENES'!$Q$4:$Q$1203,J$4)</f>
        <v/>
      </c>
      <c r="K7" s="10">
        <f>SUMIFS('ORDENES'!$AH$4:$AH$1203,'ORDENES'!$E$4:$E$1203,$A7,'ORDENES'!$P$4:$P$1203,K$3,'ORDENES'!$Q$4:$Q$1203,K$4)</f>
        <v/>
      </c>
      <c r="L7" s="10">
        <f>SUM(B7:K7)</f>
        <v/>
      </c>
    </row>
    <row r="8">
      <c r="A8" s="3" t="inlineStr">
        <is>
          <t>EQ-106</t>
        </is>
      </c>
      <c r="B8" s="10">
        <f>SUMIFS('ORDENES'!$AH$4:$AH$1203,'ORDENES'!$E$4:$E$1203,$A8,'ORDENES'!$P$4:$P$1203,B$3,'ORDENES'!$Q$4:$Q$1203,B$4)</f>
        <v/>
      </c>
      <c r="C8" s="10">
        <f>SUMIFS('ORDENES'!$AH$4:$AH$1203,'ORDENES'!$E$4:$E$1203,$A8,'ORDENES'!$P$4:$P$1203,C$3,'ORDENES'!$Q$4:$Q$1203,C$4)</f>
        <v/>
      </c>
      <c r="D8" s="10">
        <f>SUMIFS('ORDENES'!$AH$4:$AH$1203,'ORDENES'!$E$4:$E$1203,$A8,'ORDENES'!$P$4:$P$1203,D$3,'ORDENES'!$Q$4:$Q$1203,D$4)</f>
        <v/>
      </c>
      <c r="E8" s="10">
        <f>SUMIFS('ORDENES'!$AH$4:$AH$1203,'ORDENES'!$E$4:$E$1203,$A8,'ORDENES'!$P$4:$P$1203,E$3,'ORDENES'!$Q$4:$Q$1203,E$4)</f>
        <v/>
      </c>
      <c r="F8" s="10">
        <f>SUMIFS('ORDENES'!$AH$4:$AH$1203,'ORDENES'!$E$4:$E$1203,$A8,'ORDENES'!$P$4:$P$1203,F$3,'ORDENES'!$Q$4:$Q$1203,F$4)</f>
        <v/>
      </c>
      <c r="G8" s="10">
        <f>SUMIFS('ORDENES'!$AH$4:$AH$1203,'ORDENES'!$E$4:$E$1203,$A8,'ORDENES'!$P$4:$P$1203,G$3,'ORDENES'!$Q$4:$Q$1203,G$4)</f>
        <v/>
      </c>
      <c r="H8" s="10">
        <f>SUMIFS('ORDENES'!$AH$4:$AH$1203,'ORDENES'!$E$4:$E$1203,$A8,'ORDENES'!$P$4:$P$1203,H$3,'ORDENES'!$Q$4:$Q$1203,H$4)</f>
        <v/>
      </c>
      <c r="I8" s="10">
        <f>SUMIFS('ORDENES'!$AH$4:$AH$1203,'ORDENES'!$E$4:$E$1203,$A8,'ORDENES'!$P$4:$P$1203,I$3,'ORDENES'!$Q$4:$Q$1203,I$4)</f>
        <v/>
      </c>
      <c r="J8" s="10">
        <f>SUMIFS('ORDENES'!$AH$4:$AH$1203,'ORDENES'!$E$4:$E$1203,$A8,'ORDENES'!$P$4:$P$1203,J$3,'ORDENES'!$Q$4:$Q$1203,J$4)</f>
        <v/>
      </c>
      <c r="K8" s="10">
        <f>SUMIFS('ORDENES'!$AH$4:$AH$1203,'ORDENES'!$E$4:$E$1203,$A8,'ORDENES'!$P$4:$P$1203,K$3,'ORDENES'!$Q$4:$Q$1203,K$4)</f>
        <v/>
      </c>
      <c r="L8" s="10">
        <f>SUM(B8:K8)</f>
        <v/>
      </c>
    </row>
    <row r="9">
      <c r="A9" s="3" t="inlineStr">
        <is>
          <t>EQ-108</t>
        </is>
      </c>
      <c r="B9" s="10">
        <f>SUMIFS('ORDENES'!$AH$4:$AH$1203,'ORDENES'!$E$4:$E$1203,$A9,'ORDENES'!$P$4:$P$1203,B$3,'ORDENES'!$Q$4:$Q$1203,B$4)</f>
        <v/>
      </c>
      <c r="C9" s="10">
        <f>SUMIFS('ORDENES'!$AH$4:$AH$1203,'ORDENES'!$E$4:$E$1203,$A9,'ORDENES'!$P$4:$P$1203,C$3,'ORDENES'!$Q$4:$Q$1203,C$4)</f>
        <v/>
      </c>
      <c r="D9" s="10">
        <f>SUMIFS('ORDENES'!$AH$4:$AH$1203,'ORDENES'!$E$4:$E$1203,$A9,'ORDENES'!$P$4:$P$1203,D$3,'ORDENES'!$Q$4:$Q$1203,D$4)</f>
        <v/>
      </c>
      <c r="E9" s="10">
        <f>SUMIFS('ORDENES'!$AH$4:$AH$1203,'ORDENES'!$E$4:$E$1203,$A9,'ORDENES'!$P$4:$P$1203,E$3,'ORDENES'!$Q$4:$Q$1203,E$4)</f>
        <v/>
      </c>
      <c r="F9" s="10">
        <f>SUMIFS('ORDENES'!$AH$4:$AH$1203,'ORDENES'!$E$4:$E$1203,$A9,'ORDENES'!$P$4:$P$1203,F$3,'ORDENES'!$Q$4:$Q$1203,F$4)</f>
        <v/>
      </c>
      <c r="G9" s="10">
        <f>SUMIFS('ORDENES'!$AH$4:$AH$1203,'ORDENES'!$E$4:$E$1203,$A9,'ORDENES'!$P$4:$P$1203,G$3,'ORDENES'!$Q$4:$Q$1203,G$4)</f>
        <v/>
      </c>
      <c r="H9" s="10">
        <f>SUMIFS('ORDENES'!$AH$4:$AH$1203,'ORDENES'!$E$4:$E$1203,$A9,'ORDENES'!$P$4:$P$1203,H$3,'ORDENES'!$Q$4:$Q$1203,H$4)</f>
        <v/>
      </c>
      <c r="I9" s="10">
        <f>SUMIFS('ORDENES'!$AH$4:$AH$1203,'ORDENES'!$E$4:$E$1203,$A9,'ORDENES'!$P$4:$P$1203,I$3,'ORDENES'!$Q$4:$Q$1203,I$4)</f>
        <v/>
      </c>
      <c r="J9" s="10">
        <f>SUMIFS('ORDENES'!$AH$4:$AH$1203,'ORDENES'!$E$4:$E$1203,$A9,'ORDENES'!$P$4:$P$1203,J$3,'ORDENES'!$Q$4:$Q$1203,J$4)</f>
        <v/>
      </c>
      <c r="K9" s="10">
        <f>SUMIFS('ORDENES'!$AH$4:$AH$1203,'ORDENES'!$E$4:$E$1203,$A9,'ORDENES'!$P$4:$P$1203,K$3,'ORDENES'!$Q$4:$Q$1203,K$4)</f>
        <v/>
      </c>
      <c r="L9" s="10">
        <f>SUM(B9:K9)</f>
        <v/>
      </c>
    </row>
    <row r="10">
      <c r="A10" s="3" t="inlineStr">
        <is>
          <t>EQ-102</t>
        </is>
      </c>
      <c r="B10" s="10">
        <f>SUMIFS('ORDENES'!$AH$4:$AH$1203,'ORDENES'!$E$4:$E$1203,$A10,'ORDENES'!$P$4:$P$1203,B$3,'ORDENES'!$Q$4:$Q$1203,B$4)</f>
        <v/>
      </c>
      <c r="C10" s="10">
        <f>SUMIFS('ORDENES'!$AH$4:$AH$1203,'ORDENES'!$E$4:$E$1203,$A10,'ORDENES'!$P$4:$P$1203,C$3,'ORDENES'!$Q$4:$Q$1203,C$4)</f>
        <v/>
      </c>
      <c r="D10" s="10">
        <f>SUMIFS('ORDENES'!$AH$4:$AH$1203,'ORDENES'!$E$4:$E$1203,$A10,'ORDENES'!$P$4:$P$1203,D$3,'ORDENES'!$Q$4:$Q$1203,D$4)</f>
        <v/>
      </c>
      <c r="E10" s="10">
        <f>SUMIFS('ORDENES'!$AH$4:$AH$1203,'ORDENES'!$E$4:$E$1203,$A10,'ORDENES'!$P$4:$P$1203,E$3,'ORDENES'!$Q$4:$Q$1203,E$4)</f>
        <v/>
      </c>
      <c r="F10" s="10">
        <f>SUMIFS('ORDENES'!$AH$4:$AH$1203,'ORDENES'!$E$4:$E$1203,$A10,'ORDENES'!$P$4:$P$1203,F$3,'ORDENES'!$Q$4:$Q$1203,F$4)</f>
        <v/>
      </c>
      <c r="G10" s="10">
        <f>SUMIFS('ORDENES'!$AH$4:$AH$1203,'ORDENES'!$E$4:$E$1203,$A10,'ORDENES'!$P$4:$P$1203,G$3,'ORDENES'!$Q$4:$Q$1203,G$4)</f>
        <v/>
      </c>
      <c r="H10" s="10">
        <f>SUMIFS('ORDENES'!$AH$4:$AH$1203,'ORDENES'!$E$4:$E$1203,$A10,'ORDENES'!$P$4:$P$1203,H$3,'ORDENES'!$Q$4:$Q$1203,H$4)</f>
        <v/>
      </c>
      <c r="I10" s="10">
        <f>SUMIFS('ORDENES'!$AH$4:$AH$1203,'ORDENES'!$E$4:$E$1203,$A10,'ORDENES'!$P$4:$P$1203,I$3,'ORDENES'!$Q$4:$Q$1203,I$4)</f>
        <v/>
      </c>
      <c r="J10" s="10">
        <f>SUMIFS('ORDENES'!$AH$4:$AH$1203,'ORDENES'!$E$4:$E$1203,$A10,'ORDENES'!$P$4:$P$1203,J$3,'ORDENES'!$Q$4:$Q$1203,J$4)</f>
        <v/>
      </c>
      <c r="K10" s="10">
        <f>SUMIFS('ORDENES'!$AH$4:$AH$1203,'ORDENES'!$E$4:$E$1203,$A10,'ORDENES'!$P$4:$P$1203,K$3,'ORDENES'!$Q$4:$Q$1203,K$4)</f>
        <v/>
      </c>
      <c r="L10" s="10">
        <f>SUM(B10:K10)</f>
        <v/>
      </c>
    </row>
    <row r="11">
      <c r="A11" s="3" t="inlineStr">
        <is>
          <t>EQ-105</t>
        </is>
      </c>
      <c r="B11" s="10">
        <f>SUMIFS('ORDENES'!$AH$4:$AH$1203,'ORDENES'!$E$4:$E$1203,$A11,'ORDENES'!$P$4:$P$1203,B$3,'ORDENES'!$Q$4:$Q$1203,B$4)</f>
        <v/>
      </c>
      <c r="C11" s="10">
        <f>SUMIFS('ORDENES'!$AH$4:$AH$1203,'ORDENES'!$E$4:$E$1203,$A11,'ORDENES'!$P$4:$P$1203,C$3,'ORDENES'!$Q$4:$Q$1203,C$4)</f>
        <v/>
      </c>
      <c r="D11" s="10">
        <f>SUMIFS('ORDENES'!$AH$4:$AH$1203,'ORDENES'!$E$4:$E$1203,$A11,'ORDENES'!$P$4:$P$1203,D$3,'ORDENES'!$Q$4:$Q$1203,D$4)</f>
        <v/>
      </c>
      <c r="E11" s="10">
        <f>SUMIFS('ORDENES'!$AH$4:$AH$1203,'ORDENES'!$E$4:$E$1203,$A11,'ORDENES'!$P$4:$P$1203,E$3,'ORDENES'!$Q$4:$Q$1203,E$4)</f>
        <v/>
      </c>
      <c r="F11" s="10">
        <f>SUMIFS('ORDENES'!$AH$4:$AH$1203,'ORDENES'!$E$4:$E$1203,$A11,'ORDENES'!$P$4:$P$1203,F$3,'ORDENES'!$Q$4:$Q$1203,F$4)</f>
        <v/>
      </c>
      <c r="G11" s="10">
        <f>SUMIFS('ORDENES'!$AH$4:$AH$1203,'ORDENES'!$E$4:$E$1203,$A11,'ORDENES'!$P$4:$P$1203,G$3,'ORDENES'!$Q$4:$Q$1203,G$4)</f>
        <v/>
      </c>
      <c r="H11" s="10">
        <f>SUMIFS('ORDENES'!$AH$4:$AH$1203,'ORDENES'!$E$4:$E$1203,$A11,'ORDENES'!$P$4:$P$1203,H$3,'ORDENES'!$Q$4:$Q$1203,H$4)</f>
        <v/>
      </c>
      <c r="I11" s="10">
        <f>SUMIFS('ORDENES'!$AH$4:$AH$1203,'ORDENES'!$E$4:$E$1203,$A11,'ORDENES'!$P$4:$P$1203,I$3,'ORDENES'!$Q$4:$Q$1203,I$4)</f>
        <v/>
      </c>
      <c r="J11" s="10">
        <f>SUMIFS('ORDENES'!$AH$4:$AH$1203,'ORDENES'!$E$4:$E$1203,$A11,'ORDENES'!$P$4:$P$1203,J$3,'ORDENES'!$Q$4:$Q$1203,J$4)</f>
        <v/>
      </c>
      <c r="K11" s="10">
        <f>SUMIFS('ORDENES'!$AH$4:$AH$1203,'ORDENES'!$E$4:$E$1203,$A11,'ORDENES'!$P$4:$P$1203,K$3,'ORDENES'!$Q$4:$Q$1203,K$4)</f>
        <v/>
      </c>
      <c r="L11" s="10">
        <f>SUM(B11:K11)</f>
        <v/>
      </c>
    </row>
    <row r="12">
      <c r="A12" s="3" t="inlineStr">
        <is>
          <t>EQ-104</t>
        </is>
      </c>
      <c r="B12" s="10">
        <f>SUMIFS('ORDENES'!$AH$4:$AH$1203,'ORDENES'!$E$4:$E$1203,$A12,'ORDENES'!$P$4:$P$1203,B$3,'ORDENES'!$Q$4:$Q$1203,B$4)</f>
        <v/>
      </c>
      <c r="C12" s="10">
        <f>SUMIFS('ORDENES'!$AH$4:$AH$1203,'ORDENES'!$E$4:$E$1203,$A12,'ORDENES'!$P$4:$P$1203,C$3,'ORDENES'!$Q$4:$Q$1203,C$4)</f>
        <v/>
      </c>
      <c r="D12" s="10">
        <f>SUMIFS('ORDENES'!$AH$4:$AH$1203,'ORDENES'!$E$4:$E$1203,$A12,'ORDENES'!$P$4:$P$1203,D$3,'ORDENES'!$Q$4:$Q$1203,D$4)</f>
        <v/>
      </c>
      <c r="E12" s="10">
        <f>SUMIFS('ORDENES'!$AH$4:$AH$1203,'ORDENES'!$E$4:$E$1203,$A12,'ORDENES'!$P$4:$P$1203,E$3,'ORDENES'!$Q$4:$Q$1203,E$4)</f>
        <v/>
      </c>
      <c r="F12" s="10">
        <f>SUMIFS('ORDENES'!$AH$4:$AH$1203,'ORDENES'!$E$4:$E$1203,$A12,'ORDENES'!$P$4:$P$1203,F$3,'ORDENES'!$Q$4:$Q$1203,F$4)</f>
        <v/>
      </c>
      <c r="G12" s="10">
        <f>SUMIFS('ORDENES'!$AH$4:$AH$1203,'ORDENES'!$E$4:$E$1203,$A12,'ORDENES'!$P$4:$P$1203,G$3,'ORDENES'!$Q$4:$Q$1203,G$4)</f>
        <v/>
      </c>
      <c r="H12" s="10">
        <f>SUMIFS('ORDENES'!$AH$4:$AH$1203,'ORDENES'!$E$4:$E$1203,$A12,'ORDENES'!$P$4:$P$1203,H$3,'ORDENES'!$Q$4:$Q$1203,H$4)</f>
        <v/>
      </c>
      <c r="I12" s="10">
        <f>SUMIFS('ORDENES'!$AH$4:$AH$1203,'ORDENES'!$E$4:$E$1203,$A12,'ORDENES'!$P$4:$P$1203,I$3,'ORDENES'!$Q$4:$Q$1203,I$4)</f>
        <v/>
      </c>
      <c r="J12" s="10">
        <f>SUMIFS('ORDENES'!$AH$4:$AH$1203,'ORDENES'!$E$4:$E$1203,$A12,'ORDENES'!$P$4:$P$1203,J$3,'ORDENES'!$Q$4:$Q$1203,J$4)</f>
        <v/>
      </c>
      <c r="K12" s="10">
        <f>SUMIFS('ORDENES'!$AH$4:$AH$1203,'ORDENES'!$E$4:$E$1203,$A12,'ORDENES'!$P$4:$P$1203,K$3,'ORDENES'!$Q$4:$Q$1203,K$4)</f>
        <v/>
      </c>
      <c r="L12" s="10">
        <f>SUM(B12:K12)</f>
        <v/>
      </c>
    </row>
    <row r="13">
      <c r="A13" s="3" t="inlineStr">
        <is>
          <t>EQ-109</t>
        </is>
      </c>
      <c r="B13" s="10">
        <f>SUMIFS('ORDENES'!$AH$4:$AH$1203,'ORDENES'!$E$4:$E$1203,$A13,'ORDENES'!$P$4:$P$1203,B$3,'ORDENES'!$Q$4:$Q$1203,B$4)</f>
        <v/>
      </c>
      <c r="C13" s="10">
        <f>SUMIFS('ORDENES'!$AH$4:$AH$1203,'ORDENES'!$E$4:$E$1203,$A13,'ORDENES'!$P$4:$P$1203,C$3,'ORDENES'!$Q$4:$Q$1203,C$4)</f>
        <v/>
      </c>
      <c r="D13" s="10">
        <f>SUMIFS('ORDENES'!$AH$4:$AH$1203,'ORDENES'!$E$4:$E$1203,$A13,'ORDENES'!$P$4:$P$1203,D$3,'ORDENES'!$Q$4:$Q$1203,D$4)</f>
        <v/>
      </c>
      <c r="E13" s="10">
        <f>SUMIFS('ORDENES'!$AH$4:$AH$1203,'ORDENES'!$E$4:$E$1203,$A13,'ORDENES'!$P$4:$P$1203,E$3,'ORDENES'!$Q$4:$Q$1203,E$4)</f>
        <v/>
      </c>
      <c r="F13" s="10">
        <f>SUMIFS('ORDENES'!$AH$4:$AH$1203,'ORDENES'!$E$4:$E$1203,$A13,'ORDENES'!$P$4:$P$1203,F$3,'ORDENES'!$Q$4:$Q$1203,F$4)</f>
        <v/>
      </c>
      <c r="G13" s="10">
        <f>SUMIFS('ORDENES'!$AH$4:$AH$1203,'ORDENES'!$E$4:$E$1203,$A13,'ORDENES'!$P$4:$P$1203,G$3,'ORDENES'!$Q$4:$Q$1203,G$4)</f>
        <v/>
      </c>
      <c r="H13" s="10">
        <f>SUMIFS('ORDENES'!$AH$4:$AH$1203,'ORDENES'!$E$4:$E$1203,$A13,'ORDENES'!$P$4:$P$1203,H$3,'ORDENES'!$Q$4:$Q$1203,H$4)</f>
        <v/>
      </c>
      <c r="I13" s="10">
        <f>SUMIFS('ORDENES'!$AH$4:$AH$1203,'ORDENES'!$E$4:$E$1203,$A13,'ORDENES'!$P$4:$P$1203,I$3,'ORDENES'!$Q$4:$Q$1203,I$4)</f>
        <v/>
      </c>
      <c r="J13" s="10">
        <f>SUMIFS('ORDENES'!$AH$4:$AH$1203,'ORDENES'!$E$4:$E$1203,$A13,'ORDENES'!$P$4:$P$1203,J$3,'ORDENES'!$Q$4:$Q$1203,J$4)</f>
        <v/>
      </c>
      <c r="K13" s="10">
        <f>SUMIFS('ORDENES'!$AH$4:$AH$1203,'ORDENES'!$E$4:$E$1203,$A13,'ORDENES'!$P$4:$P$1203,K$3,'ORDENES'!$Q$4:$Q$1203,K$4)</f>
        <v/>
      </c>
      <c r="L13" s="10">
        <f>SUM(B13:K13)</f>
        <v/>
      </c>
    </row>
    <row r="14">
      <c r="A14" s="3" t="inlineStr">
        <is>
          <t>EQ-107</t>
        </is>
      </c>
      <c r="B14" s="10">
        <f>SUMIFS('ORDENES'!$AH$4:$AH$1203,'ORDENES'!$E$4:$E$1203,$A14,'ORDENES'!$P$4:$P$1203,B$3,'ORDENES'!$Q$4:$Q$1203,B$4)</f>
        <v/>
      </c>
      <c r="C14" s="10">
        <f>SUMIFS('ORDENES'!$AH$4:$AH$1203,'ORDENES'!$E$4:$E$1203,$A14,'ORDENES'!$P$4:$P$1203,C$3,'ORDENES'!$Q$4:$Q$1203,C$4)</f>
        <v/>
      </c>
      <c r="D14" s="10">
        <f>SUMIFS('ORDENES'!$AH$4:$AH$1203,'ORDENES'!$E$4:$E$1203,$A14,'ORDENES'!$P$4:$P$1203,D$3,'ORDENES'!$Q$4:$Q$1203,D$4)</f>
        <v/>
      </c>
      <c r="E14" s="10">
        <f>SUMIFS('ORDENES'!$AH$4:$AH$1203,'ORDENES'!$E$4:$E$1203,$A14,'ORDENES'!$P$4:$P$1203,E$3,'ORDENES'!$Q$4:$Q$1203,E$4)</f>
        <v/>
      </c>
      <c r="F14" s="10">
        <f>SUMIFS('ORDENES'!$AH$4:$AH$1203,'ORDENES'!$E$4:$E$1203,$A14,'ORDENES'!$P$4:$P$1203,F$3,'ORDENES'!$Q$4:$Q$1203,F$4)</f>
        <v/>
      </c>
      <c r="G14" s="10">
        <f>SUMIFS('ORDENES'!$AH$4:$AH$1203,'ORDENES'!$E$4:$E$1203,$A14,'ORDENES'!$P$4:$P$1203,G$3,'ORDENES'!$Q$4:$Q$1203,G$4)</f>
        <v/>
      </c>
      <c r="H14" s="10">
        <f>SUMIFS('ORDENES'!$AH$4:$AH$1203,'ORDENES'!$E$4:$E$1203,$A14,'ORDENES'!$P$4:$P$1203,H$3,'ORDENES'!$Q$4:$Q$1203,H$4)</f>
        <v/>
      </c>
      <c r="I14" s="10">
        <f>SUMIFS('ORDENES'!$AH$4:$AH$1203,'ORDENES'!$E$4:$E$1203,$A14,'ORDENES'!$P$4:$P$1203,I$3,'ORDENES'!$Q$4:$Q$1203,I$4)</f>
        <v/>
      </c>
      <c r="J14" s="10">
        <f>SUMIFS('ORDENES'!$AH$4:$AH$1203,'ORDENES'!$E$4:$E$1203,$A14,'ORDENES'!$P$4:$P$1203,J$3,'ORDENES'!$Q$4:$Q$1203,J$4)</f>
        <v/>
      </c>
      <c r="K14" s="10">
        <f>SUMIFS('ORDENES'!$AH$4:$AH$1203,'ORDENES'!$E$4:$E$1203,$A14,'ORDENES'!$P$4:$P$1203,K$3,'ORDENES'!$Q$4:$Q$1203,K$4)</f>
        <v/>
      </c>
      <c r="L14" s="10">
        <f>SUM(B14:K14)</f>
        <v/>
      </c>
    </row>
    <row r="15">
      <c r="A15" s="3" t="inlineStr">
        <is>
          <t>EQ-112</t>
        </is>
      </c>
      <c r="B15" s="10">
        <f>SUMIFS('ORDENES'!$AH$4:$AH$1203,'ORDENES'!$E$4:$E$1203,$A15,'ORDENES'!$P$4:$P$1203,B$3,'ORDENES'!$Q$4:$Q$1203,B$4)</f>
        <v/>
      </c>
      <c r="C15" s="10">
        <f>SUMIFS('ORDENES'!$AH$4:$AH$1203,'ORDENES'!$E$4:$E$1203,$A15,'ORDENES'!$P$4:$P$1203,C$3,'ORDENES'!$Q$4:$Q$1203,C$4)</f>
        <v/>
      </c>
      <c r="D15" s="10">
        <f>SUMIFS('ORDENES'!$AH$4:$AH$1203,'ORDENES'!$E$4:$E$1203,$A15,'ORDENES'!$P$4:$P$1203,D$3,'ORDENES'!$Q$4:$Q$1203,D$4)</f>
        <v/>
      </c>
      <c r="E15" s="10">
        <f>SUMIFS('ORDENES'!$AH$4:$AH$1203,'ORDENES'!$E$4:$E$1203,$A15,'ORDENES'!$P$4:$P$1203,E$3,'ORDENES'!$Q$4:$Q$1203,E$4)</f>
        <v/>
      </c>
      <c r="F15" s="10">
        <f>SUMIFS('ORDENES'!$AH$4:$AH$1203,'ORDENES'!$E$4:$E$1203,$A15,'ORDENES'!$P$4:$P$1203,F$3,'ORDENES'!$Q$4:$Q$1203,F$4)</f>
        <v/>
      </c>
      <c r="G15" s="10">
        <f>SUMIFS('ORDENES'!$AH$4:$AH$1203,'ORDENES'!$E$4:$E$1203,$A15,'ORDENES'!$P$4:$P$1203,G$3,'ORDENES'!$Q$4:$Q$1203,G$4)</f>
        <v/>
      </c>
      <c r="H15" s="10">
        <f>SUMIFS('ORDENES'!$AH$4:$AH$1203,'ORDENES'!$E$4:$E$1203,$A15,'ORDENES'!$P$4:$P$1203,H$3,'ORDENES'!$Q$4:$Q$1203,H$4)</f>
        <v/>
      </c>
      <c r="I15" s="10">
        <f>SUMIFS('ORDENES'!$AH$4:$AH$1203,'ORDENES'!$E$4:$E$1203,$A15,'ORDENES'!$P$4:$P$1203,I$3,'ORDENES'!$Q$4:$Q$1203,I$4)</f>
        <v/>
      </c>
      <c r="J15" s="10">
        <f>SUMIFS('ORDENES'!$AH$4:$AH$1203,'ORDENES'!$E$4:$E$1203,$A15,'ORDENES'!$P$4:$P$1203,J$3,'ORDENES'!$Q$4:$Q$1203,J$4)</f>
        <v/>
      </c>
      <c r="K15" s="10">
        <f>SUMIFS('ORDENES'!$AH$4:$AH$1203,'ORDENES'!$E$4:$E$1203,$A15,'ORDENES'!$P$4:$P$1203,K$3,'ORDENES'!$Q$4:$Q$1203,K$4)</f>
        <v/>
      </c>
      <c r="L15" s="10">
        <f>SUM(B15:K15)</f>
        <v/>
      </c>
    </row>
    <row r="16">
      <c r="A16" s="3" t="inlineStr">
        <is>
          <t>EQ-111</t>
        </is>
      </c>
      <c r="B16" s="10">
        <f>SUMIFS('ORDENES'!$AH$4:$AH$1203,'ORDENES'!$E$4:$E$1203,$A16,'ORDENES'!$P$4:$P$1203,B$3,'ORDENES'!$Q$4:$Q$1203,B$4)</f>
        <v/>
      </c>
      <c r="C16" s="10">
        <f>SUMIFS('ORDENES'!$AH$4:$AH$1203,'ORDENES'!$E$4:$E$1203,$A16,'ORDENES'!$P$4:$P$1203,C$3,'ORDENES'!$Q$4:$Q$1203,C$4)</f>
        <v/>
      </c>
      <c r="D16" s="10">
        <f>SUMIFS('ORDENES'!$AH$4:$AH$1203,'ORDENES'!$E$4:$E$1203,$A16,'ORDENES'!$P$4:$P$1203,D$3,'ORDENES'!$Q$4:$Q$1203,D$4)</f>
        <v/>
      </c>
      <c r="E16" s="10">
        <f>SUMIFS('ORDENES'!$AH$4:$AH$1203,'ORDENES'!$E$4:$E$1203,$A16,'ORDENES'!$P$4:$P$1203,E$3,'ORDENES'!$Q$4:$Q$1203,E$4)</f>
        <v/>
      </c>
      <c r="F16" s="10">
        <f>SUMIFS('ORDENES'!$AH$4:$AH$1203,'ORDENES'!$E$4:$E$1203,$A16,'ORDENES'!$P$4:$P$1203,F$3,'ORDENES'!$Q$4:$Q$1203,F$4)</f>
        <v/>
      </c>
      <c r="G16" s="10">
        <f>SUMIFS('ORDENES'!$AH$4:$AH$1203,'ORDENES'!$E$4:$E$1203,$A16,'ORDENES'!$P$4:$P$1203,G$3,'ORDENES'!$Q$4:$Q$1203,G$4)</f>
        <v/>
      </c>
      <c r="H16" s="10">
        <f>SUMIFS('ORDENES'!$AH$4:$AH$1203,'ORDENES'!$E$4:$E$1203,$A16,'ORDENES'!$P$4:$P$1203,H$3,'ORDENES'!$Q$4:$Q$1203,H$4)</f>
        <v/>
      </c>
      <c r="I16" s="10">
        <f>SUMIFS('ORDENES'!$AH$4:$AH$1203,'ORDENES'!$E$4:$E$1203,$A16,'ORDENES'!$P$4:$P$1203,I$3,'ORDENES'!$Q$4:$Q$1203,I$4)</f>
        <v/>
      </c>
      <c r="J16" s="10">
        <f>SUMIFS('ORDENES'!$AH$4:$AH$1203,'ORDENES'!$E$4:$E$1203,$A16,'ORDENES'!$P$4:$P$1203,J$3,'ORDENES'!$Q$4:$Q$1203,J$4)</f>
        <v/>
      </c>
      <c r="K16" s="10">
        <f>SUMIFS('ORDENES'!$AH$4:$AH$1203,'ORDENES'!$E$4:$E$1203,$A16,'ORDENES'!$P$4:$P$1203,K$3,'ORDENES'!$Q$4:$Q$1203,K$4)</f>
        <v/>
      </c>
      <c r="L16" s="10">
        <f>SUM(B16:K16)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K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SUMPRODUCT(--('ORDENES'!$AN$4:$AN$1203&lt;&gt;""),--(COUNTIF('ORDENES'!$AN$4:$AN$1203,'ORDENES'!$AN$4:$AN$1203)&gt;1))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SUMPRODUCT(--('ORDENES'!$F$4:$F$1203&lt;&gt;""),--ISNA(MATCH('ORDENES'!$F$4:$F$1203,'CAT_CENTROS_COSTO'!$A$4:$A$9,0)))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SUMPRODUCT(--('ORDENES'!$G$4:$G$1203&lt;&gt;""),--ISNA(MATCH('ORDENES'!$G$4:$G$1203,'CAT_PUESTOS'!$A$4:$A$8,0)))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SUMPRODUCT(--('ORDENES'!$H$4:$H$1203&lt;&gt;""),--ISNA(MATCH('ORDENES'!$H$4:$H$1203,'CAT_ACTIVIDADES'!$A$4:$A$8,0)))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SUMPRODUCT(--('ORDENES'!$I$4:$I$1203&lt;&gt;""),--ISNA(MATCH('ORDENES'!$I$4:$I$1203,'CAT_TIPOS_OT'!$A$4:$A$7,0)))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SUMPRODUCT(--('2_IMPORTAR_EJECUCION'!$J$9:$J$1208&lt;&gt;""),--ISNA(MATCH('2_IMPORTAR_EJECUCION'!$J$9:$J$1208,'ORDENES'!$AN$4:$AN$1203,0)))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SUMPRODUCT(--('ORDENES'!$AN$4:$AN$1203&lt;&gt;""),--ISNA(MATCH('ORDENES'!$AN$4:$AN$1203,'2_IMPORTAR_EJECUCION'!$J$9:$J$1208,0)))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SUMPRODUCT(--('ORDENES'!$AN$4:$AN$1203&lt;&gt;""),--ISNUMBER(MATCH('ORDENES'!$AN$4:$AN$1203,'AJUSTES'!$A$4:$A$303,0)))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SUM('AJUSTES'!$G$4:$G$303)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SUMPRODUCT(--('AJUSTES'!$A$4:$A$303&lt;&gt;""),--ISNA(MATCH('AJUSTES'!$A$4:$A$303,'ORDENES'!$AN$4:$AN$1203,0)))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SUMPRODUCT(--('AJUSTES'!$A$4:$A$303&lt;&gt;""),--(COUNTIF('AJUSTES'!$A$4:$A$303,'AJUSTES'!$A$4:$A$303)&gt;1))</f>
        <v/>
      </c>
      <c r="C16" s="2" t="inlineStr">
        <is>
          <t>Se aplica la primera fila; las demás se ignoran (ver estado_ajuste).</t>
        </is>
      </c>
    </row>
    <row r="18">
      <c r="A18" s="2" t="inlineStr">
        <is>
          <t>La validación no bloquea: todo se importa y aquí se reporta (REGLA-10).</t>
        </is>
      </c>
    </row>
  </sheetData>
  <conditionalFormatting sqref="B4:B16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0808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linea</t>
        </is>
      </c>
      <c r="F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>
        <is>
          <t>L1</t>
        </is>
      </c>
      <c r="F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>
        <is>
          <t>L2</t>
        </is>
      </c>
      <c r="F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>
        <is>
          <t>L3</t>
        </is>
      </c>
      <c r="F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>
        <is>
          <t>L4</t>
        </is>
      </c>
      <c r="F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Servicios generales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SG</t>
        </is>
      </c>
      <c r="F8" s="6" t="inlineStr">
        <is>
          <t>Coordinador C</t>
        </is>
      </c>
    </row>
    <row r="9">
      <c r="A9" s="6" t="inlineStr">
        <is>
          <t>CC-320</t>
        </is>
      </c>
      <c r="B9" s="6" t="inlineStr">
        <is>
          <t>Taller central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TC</t>
        </is>
      </c>
      <c r="F9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</row>
    <row r="5">
      <c r="A5" s="4" t="inlineStr">
        <is>
          <t>correo (seleccione A6, copie y pegue en el cuerpo del mensaje):</t>
        </is>
      </c>
    </row>
    <row r="6">
      <c r="A6" s="21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3">
        <f>IF(AND(IF($B$3="(todos)",TRUE,'ORDENES'!$O4=$B$3),IF($D$3="(todos)",TRUE,'ORDENES'!$AC4=$D$3),IF($F$3="(todos)",TRUE,'ORDENES'!$V4=$F$3),'ORDENES'!$AA4=TRUE,'ORDENES'!$A4&lt;&gt;""),1,0)</f>
        <v/>
      </c>
      <c r="L8" s="3">
        <f>IF(K8=1,IFERROR(MATCH('ORDENES'!$R4,lista_dias,0),9)*1000000000+IFERROR(MATCH('ORDENES'!$AC4,lista_turnos,0),9)*10000000+IFERROR(MATCH('ORDENES'!$AB4,'TECNICOS'!$B$4:$B$15,0),99)*100000+1,9000000000000+1)</f>
        <v/>
      </c>
      <c r="M8" s="3">
        <f>IF(K8=1,SUMPRODUCT(--($L$8:$L$1207&lt;L8))+1,"")</f>
        <v/>
      </c>
      <c r="N8" s="17">
        <f>IF(K8=1,N('ORDENES'!$M4),0)</f>
        <v/>
      </c>
      <c r="O8" s="17">
        <f>IF('ORDENES'!$S4="preventiva",N8,0)</f>
        <v/>
      </c>
      <c r="P8" s="17">
        <f>IF('ORDENES'!$S4="correctiva",N8,0)</f>
        <v/>
      </c>
      <c r="Q8" s="3">
        <f>IF(AND(K8=1,'ORDENES'!$N4="Pendiente"),1,0)</f>
        <v/>
      </c>
      <c r="R8" s="3">
        <f>IF(Q8=1,100000-N8*1000+1*0.01,9000000000000+1)</f>
        <v/>
      </c>
      <c r="S8" s="3">
        <f>IF(Q8=1,SUMPRODUCT(--($R$8:$R$1207&lt;R8))+1,"")</f>
        <v/>
      </c>
      <c r="T8" s="11">
        <f>IF(K8=1,'ORDENES'!$J4,"")</f>
        <v/>
      </c>
      <c r="U8" s="3">
        <f>IFERROR(MATCH(1,$M$8:$M$1207,0),"")</f>
        <v/>
      </c>
      <c r="V8" s="3">
        <f>IF(U8="","",INDEX('ORDENES'!$R$4:$R$1203,U8))</f>
        <v/>
      </c>
      <c r="W8" s="3">
        <f>IF(U8="","",IF(V8&lt;&gt;V7,CHAR(10)&amp;UPPER(LEFT(V8,1))&amp;MID(V8,2,20)&amp;":"&amp;CHAR(10),"")&amp;"   "&amp;IF(INDEX('ORDENES'!$AC$4:$AC$1203,U8)="","(s/t)",INDEX('ORDENES'!$AC$4:$AC$1203,U8))&amp;" · "&amp;IF(INDEX('ORDENES'!$AB$4:$AB$1203,U8)="","(sin técnico)",INDEX('ORDENES'!$AB$4:$AB$1203,U8))&amp;" · "&amp;INDEX('ORDENES'!$AN$4:$AN$1203,U8)&amp;" — "&amp;INDEX('ORDENES'!$D$4:$D$1203,U8)&amp;" ("&amp;TEXT(INDEX('ORDENES'!$M$4:$M$1203,U8),"0.#")&amp;" h)")</f>
        <v/>
      </c>
      <c r="Y8" s="3">
        <f>IFERROR(MATCH(1,$S$8:$S$1207,0),"")</f>
        <v/>
      </c>
      <c r="Z8" s="3">
        <f>IF(OR(Y8="",1&gt;p_top_tareas),"","   • "&amp;INDEX('ORDENES'!$E$4:$E$1203,Y8)&amp;" — "&amp;INDEX('ORDENES'!$D$4:$D$1203,Y8)&amp;" · "&amp;TEXT(INDEX('ORDENES'!$M$4:$M$1203,Y8),"0.#")&amp;" h · "&amp;IF(INDEX('ORDENES'!$AB$4:$AB$1203,Y8)="","(sin técnico)",INDEX('ORDENES'!$AB$4:$AB$1203,Y8))&amp;IF(INDEX('ORDENES'!$AI$4:$AI$1203,Y8)&lt;&gt;""," · permiso de trabajo","")&amp;IF(INDEX('ORDENES'!$AJ$4:$AJ$1203,Y8)&lt;&gt;""," · bloqueo de energía (LOTO)",""))</f>
        <v/>
      </c>
      <c r="AB8" s="3">
        <f>'TECNICOS'!$B$4</f>
        <v/>
      </c>
      <c r="AC8" s="17">
        <f>SUMPRODUCT($N$8:$N$1207,--('ORDENES'!$AB$4:$AB$1203=AB8))</f>
        <v/>
      </c>
      <c r="AD8" s="17">
        <f>p_factor_productividad*SUMIFS('ASIGNACIONES'!$H$4:$H$339,'ASIGNACIONES'!$C$4:$C$339,AB8,'ASIGNACIONES'!$A$4:$A$339,IF($B$3="(todos)","*",$B$3))</f>
        <v/>
      </c>
      <c r="AE8" s="3">
        <f>IF(AC8&gt;AD8+0.0001,1,0)</f>
        <v/>
      </c>
      <c r="AF8" s="3">
        <f>IF(AE8=1,"   • "&amp;AB8&amp;": "&amp;TEXT(AC8,"0.0")&amp;" h asignadas vs "&amp;TEXT(AD8,"0.0")&amp;" h de capacidad","")</f>
        <v/>
      </c>
      <c r="AG8" s="3">
        <f>IF(SUMPRODUCT($K$8:$K$1207,--('ORDENES'!$AB$4:$AB$1203=AB8))&gt;0,1,0)</f>
        <v/>
      </c>
      <c r="AI8" s="2" t="inlineStr">
        <is>
          <t>órdenes programadas</t>
        </is>
      </c>
      <c r="AJ8" s="3">
        <f>SUM($K$8:$K$1207)</f>
        <v/>
      </c>
      <c r="AL8" s="3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"&amp;TEXT($AJ$15,"dd/mm/yyyy")&amp;".")&amp;IF(AND($D$3="(todos)",$F$3="(todos)"),"",CHAR(10)&amp;"(Filtro aplicado — turno: "&amp;$D$3&amp;", coordinador: "&amp;$F$3&amp;")")</f>
        <v/>
      </c>
    </row>
    <row r="9">
      <c r="K9" s="3">
        <f>IF(AND(IF($B$3="(todos)",TRUE,'ORDENES'!$O5=$B$3),IF($D$3="(todos)",TRUE,'ORDENES'!$AC5=$D$3),IF($F$3="(todos)",TRUE,'ORDENES'!$V5=$F$3),'ORDENES'!$AA5=TRUE,'ORDENES'!$A5&lt;&gt;""),1,0)</f>
        <v/>
      </c>
      <c r="L9" s="3">
        <f>IF(K9=1,IFERROR(MATCH('ORDENES'!$R5,lista_dias,0),9)*1000000000+IFERROR(MATCH('ORDENES'!$AC5,lista_turnos,0),9)*10000000+IFERROR(MATCH('ORDENES'!$AB5,'TECNICOS'!$B$4:$B$15,0),99)*100000+2,9000000000000+2)</f>
        <v/>
      </c>
      <c r="M9" s="3">
        <f>IF(K9=1,SUMPRODUCT(--($L$8:$L$1207&lt;L9))+1,"")</f>
        <v/>
      </c>
      <c r="N9" s="17">
        <f>IF(K9=1,N('ORDENES'!$M5),0)</f>
        <v/>
      </c>
      <c r="O9" s="17">
        <f>IF('ORDENES'!$S5="preventiva",N9,0)</f>
        <v/>
      </c>
      <c r="P9" s="17">
        <f>IF('ORDENES'!$S5="correctiva",N9,0)</f>
        <v/>
      </c>
      <c r="Q9" s="3">
        <f>IF(AND(K9=1,'ORDENES'!$N5="Pendiente"),1,0)</f>
        <v/>
      </c>
      <c r="R9" s="3">
        <f>IF(Q9=1,100000-N9*1000+2*0.01,9000000000000+2)</f>
        <v/>
      </c>
      <c r="S9" s="3">
        <f>IF(Q9=1,SUMPRODUCT(--($R$8:$R$1207&lt;R9))+1,"")</f>
        <v/>
      </c>
      <c r="T9" s="11">
        <f>IF(K9=1,'ORDENES'!$J5,"")</f>
        <v/>
      </c>
      <c r="U9" s="3">
        <f>IFERROR(MATCH(2,$M$8:$M$1207,0),"")</f>
        <v/>
      </c>
      <c r="V9" s="3">
        <f>IF(U9="","",INDEX('ORDENES'!$R$4:$R$1203,U9))</f>
        <v/>
      </c>
      <c r="W9" s="3">
        <f>IF(U9="","",IF(V9&lt;&gt;V8,CHAR(10)&amp;UPPER(LEFT(V9,1))&amp;MID(V9,2,20)&amp;":"&amp;CHAR(10),"")&amp;"   "&amp;IF(INDEX('ORDENES'!$AC$4:$AC$1203,U9)="","(s/t)",INDEX('ORDENES'!$AC$4:$AC$1203,U9))&amp;" · "&amp;IF(INDEX('ORDENES'!$AB$4:$AB$1203,U9)="","(sin técnico)",INDEX('ORDENES'!$AB$4:$AB$1203,U9))&amp;" · "&amp;INDEX('ORDENES'!$AN$4:$AN$1203,U9)&amp;" — "&amp;INDEX('ORDENES'!$D$4:$D$1203,U9)&amp;" ("&amp;TEXT(INDEX('ORDENES'!$M$4:$M$1203,U9),"0.#")&amp;" h)")</f>
        <v/>
      </c>
      <c r="Y9" s="3">
        <f>IFERROR(MATCH(2,$S$8:$S$1207,0),"")</f>
        <v/>
      </c>
      <c r="Z9" s="3">
        <f>IF(OR(Y9="",2&gt;p_top_tareas),"","   • "&amp;INDEX('ORDENES'!$E$4:$E$1203,Y9)&amp;" — "&amp;INDEX('ORDENES'!$D$4:$D$1203,Y9)&amp;" · "&amp;TEXT(INDEX('ORDENES'!$M$4:$M$1203,Y9),"0.#")&amp;" h · "&amp;IF(INDEX('ORDENES'!$AB$4:$AB$1203,Y9)="","(sin técnico)",INDEX('ORDENES'!$AB$4:$AB$1203,Y9))&amp;IF(INDEX('ORDENES'!$AI$4:$AI$1203,Y9)&lt;&gt;""," · permiso de trabajo","")&amp;IF(INDEX('ORDENES'!$AJ$4:$AJ$1203,Y9)&lt;&gt;""," · bloqueo de energía (LOTO)",""))</f>
        <v/>
      </c>
      <c r="AB9" s="3">
        <f>'TECNICOS'!$B$5</f>
        <v/>
      </c>
      <c r="AC9" s="17">
        <f>SUMPRODUCT($N$8:$N$1207,--('ORDENES'!$AB$4:$AB$1203=AB9))</f>
        <v/>
      </c>
      <c r="AD9" s="17">
        <f>p_factor_productividad*SUMIFS('ASIGNACIONES'!$H$4:$H$339,'ASIGNACIONES'!$C$4:$C$339,AB9,'ASIGNACIONES'!$A$4:$A$339,IF($B$3="(todos)","*",$B$3))</f>
        <v/>
      </c>
      <c r="AE9" s="3">
        <f>IF(AC9&gt;AD9+0.0001,1,0)</f>
        <v/>
      </c>
      <c r="AF9" s="3">
        <f>IF(AE9=1,"   • "&amp;AB9&amp;": "&amp;TEXT(AC9,"0.0")&amp;" h asignadas vs "&amp;TEXT(AD9,"0.0")&amp;" h de capacidad","")</f>
        <v/>
      </c>
      <c r="AG9" s="3">
        <f>IF(SUMPRODUCT($K$8:$K$1207,--('ORDENES'!$AB$4:$AB$1203=AB9))&gt;0,1,0)</f>
        <v/>
      </c>
      <c r="AI9" s="2" t="inlineStr">
        <is>
          <t>hh_total</t>
        </is>
      </c>
      <c r="AJ9" s="3">
        <f>SUM($N$8:$N$1207)</f>
        <v/>
      </c>
      <c r="AL9" s="3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3">
        <f>IF(AND(IF($B$3="(todos)",TRUE,'ORDENES'!$O6=$B$3),IF($D$3="(todos)",TRUE,'ORDENES'!$AC6=$D$3),IF($F$3="(todos)",TRUE,'ORDENES'!$V6=$F$3),'ORDENES'!$AA6=TRUE,'ORDENES'!$A6&lt;&gt;""),1,0)</f>
        <v/>
      </c>
      <c r="L10" s="3">
        <f>IF(K10=1,IFERROR(MATCH('ORDENES'!$R6,lista_dias,0),9)*1000000000+IFERROR(MATCH('ORDENES'!$AC6,lista_turnos,0),9)*10000000+IFERROR(MATCH('ORDENES'!$AB6,'TECNICOS'!$B$4:$B$15,0),99)*100000+3,9000000000000+3)</f>
        <v/>
      </c>
      <c r="M10" s="3">
        <f>IF(K10=1,SUMPRODUCT(--($L$8:$L$1207&lt;L10))+1,"")</f>
        <v/>
      </c>
      <c r="N10" s="17">
        <f>IF(K10=1,N('ORDENES'!$M6),0)</f>
        <v/>
      </c>
      <c r="O10" s="17">
        <f>IF('ORDENES'!$S6="preventiva",N10,0)</f>
        <v/>
      </c>
      <c r="P10" s="17">
        <f>IF('ORDENES'!$S6="correctiva",N10,0)</f>
        <v/>
      </c>
      <c r="Q10" s="3">
        <f>IF(AND(K10=1,'ORDENES'!$N6="Pendiente"),1,0)</f>
        <v/>
      </c>
      <c r="R10" s="3">
        <f>IF(Q10=1,100000-N10*1000+3*0.01,9000000000000+3)</f>
        <v/>
      </c>
      <c r="S10" s="3">
        <f>IF(Q10=1,SUMPRODUCT(--($R$8:$R$1207&lt;R10))+1,"")</f>
        <v/>
      </c>
      <c r="T10" s="11">
        <f>IF(K10=1,'ORDENES'!$J6,"")</f>
        <v/>
      </c>
      <c r="U10" s="3">
        <f>IFERROR(MATCH(3,$M$8:$M$1207,0),"")</f>
        <v/>
      </c>
      <c r="V10" s="3">
        <f>IF(U10="","",INDEX('ORDENES'!$R$4:$R$1203,U10))</f>
        <v/>
      </c>
      <c r="W10" s="3">
        <f>IF(U10="","",IF(V10&lt;&gt;V9,CHAR(10)&amp;UPPER(LEFT(V10,1))&amp;MID(V10,2,20)&amp;":"&amp;CHAR(10),"")&amp;"   "&amp;IF(INDEX('ORDENES'!$AC$4:$AC$1203,U10)="","(s/t)",INDEX('ORDENES'!$AC$4:$AC$1203,U10))&amp;" · "&amp;IF(INDEX('ORDENES'!$AB$4:$AB$1203,U10)="","(sin técnico)",INDEX('ORDENES'!$AB$4:$AB$1203,U10))&amp;" · "&amp;INDEX('ORDENES'!$AN$4:$AN$1203,U10)&amp;" — "&amp;INDEX('ORDENES'!$D$4:$D$1203,U10)&amp;" ("&amp;TEXT(INDEX('ORDENES'!$M$4:$M$1203,U10),"0.#")&amp;" h)")</f>
        <v/>
      </c>
      <c r="Y10" s="3">
        <f>IFERROR(MATCH(3,$S$8:$S$1207,0),"")</f>
        <v/>
      </c>
      <c r="Z10" s="3">
        <f>IF(OR(Y10="",3&gt;p_top_tareas),"","   • "&amp;INDEX('ORDENES'!$E$4:$E$1203,Y10)&amp;" — "&amp;INDEX('ORDENES'!$D$4:$D$1203,Y10)&amp;" · "&amp;TEXT(INDEX('ORDENES'!$M$4:$M$1203,Y10),"0.#")&amp;" h · "&amp;IF(INDEX('ORDENES'!$AB$4:$AB$1203,Y10)="","(sin técnico)",INDEX('ORDENES'!$AB$4:$AB$1203,Y10))&amp;IF(INDEX('ORDENES'!$AI$4:$AI$1203,Y10)&lt;&gt;""," · permiso de trabajo","")&amp;IF(INDEX('ORDENES'!$AJ$4:$AJ$1203,Y10)&lt;&gt;""," · bloqueo de energía (LOTO)",""))</f>
        <v/>
      </c>
      <c r="AB10" s="3">
        <f>'TECNICOS'!$B$6</f>
        <v/>
      </c>
      <c r="AC10" s="17">
        <f>SUMPRODUCT($N$8:$N$1207,--('ORDENES'!$AB$4:$AB$1203=AB10))</f>
        <v/>
      </c>
      <c r="AD10" s="17">
        <f>p_factor_productividad*SUMIFS('ASIGNACIONES'!$H$4:$H$339,'ASIGNACIONES'!$C$4:$C$339,AB10,'ASIGNACIONES'!$A$4:$A$339,IF($B$3="(todos)","*",$B$3))</f>
        <v/>
      </c>
      <c r="AE10" s="3">
        <f>IF(AC10&gt;AD10+0.0001,1,0)</f>
        <v/>
      </c>
      <c r="AF10" s="3">
        <f>IF(AE10=1,"   • "&amp;AB10&amp;": "&amp;TEXT(AC10,"0.0")&amp;" h asignadas vs "&amp;TEXT(AD10,"0.0")&amp;" h de capacidad","")</f>
        <v/>
      </c>
      <c r="AG10" s="3">
        <f>IF(SUMPRODUCT($K$8:$K$1207,--('ORDENES'!$AB$4:$AB$1203=AB10))&gt;0,1,0)</f>
        <v/>
      </c>
      <c r="AI10" s="2" t="inlineStr">
        <is>
          <t>hh_preventiva</t>
        </is>
      </c>
      <c r="AJ10" s="3">
        <f>SUM($O$8:$O$1207)</f>
        <v/>
      </c>
      <c r="AL10" s="3">
        <f>IF($AJ$13=0,"","Alerta de capacidad — técnicos sobreasignados:"&amp;CHAR(10)&amp;_xlfn.TEXTJOIN(CHAR(10),TRUE,$AF$8:$AF$19))</f>
        <v/>
      </c>
    </row>
    <row r="11">
      <c r="K11" s="3">
        <f>IF(AND(IF($B$3="(todos)",TRUE,'ORDENES'!$O7=$B$3),IF($D$3="(todos)",TRUE,'ORDENES'!$AC7=$D$3),IF($F$3="(todos)",TRUE,'ORDENES'!$V7=$F$3),'ORDENES'!$AA7=TRUE,'ORDENES'!$A7&lt;&gt;""),1,0)</f>
        <v/>
      </c>
      <c r="L11" s="3">
        <f>IF(K11=1,IFERROR(MATCH('ORDENES'!$R7,lista_dias,0),9)*1000000000+IFERROR(MATCH('ORDENES'!$AC7,lista_turnos,0),9)*10000000+IFERROR(MATCH('ORDENES'!$AB7,'TECNICOS'!$B$4:$B$15,0),99)*100000+4,9000000000000+4)</f>
        <v/>
      </c>
      <c r="M11" s="3">
        <f>IF(K11=1,SUMPRODUCT(--($L$8:$L$1207&lt;L11))+1,"")</f>
        <v/>
      </c>
      <c r="N11" s="17">
        <f>IF(K11=1,N('ORDENES'!$M7),0)</f>
        <v/>
      </c>
      <c r="O11" s="17">
        <f>IF('ORDENES'!$S7="preventiva",N11,0)</f>
        <v/>
      </c>
      <c r="P11" s="17">
        <f>IF('ORDENES'!$S7="correctiva",N11,0)</f>
        <v/>
      </c>
      <c r="Q11" s="3">
        <f>IF(AND(K11=1,'ORDENES'!$N7="Pendiente"),1,0)</f>
        <v/>
      </c>
      <c r="R11" s="3">
        <f>IF(Q11=1,100000-N11*1000+4*0.01,9000000000000+4)</f>
        <v/>
      </c>
      <c r="S11" s="3">
        <f>IF(Q11=1,SUMPRODUCT(--($R$8:$R$1207&lt;R11))+1,"")</f>
        <v/>
      </c>
      <c r="T11" s="11">
        <f>IF(K11=1,'ORDENES'!$J7,"")</f>
        <v/>
      </c>
      <c r="U11" s="3">
        <f>IFERROR(MATCH(4,$M$8:$M$1207,0),"")</f>
        <v/>
      </c>
      <c r="V11" s="3">
        <f>IF(U11="","",INDEX('ORDENES'!$R$4:$R$1203,U11))</f>
        <v/>
      </c>
      <c r="W11" s="3">
        <f>IF(U11="","",IF(V11&lt;&gt;V10,CHAR(10)&amp;UPPER(LEFT(V11,1))&amp;MID(V11,2,20)&amp;":"&amp;CHAR(10),"")&amp;"   "&amp;IF(INDEX('ORDENES'!$AC$4:$AC$1203,U11)="","(s/t)",INDEX('ORDENES'!$AC$4:$AC$1203,U11))&amp;" · "&amp;IF(INDEX('ORDENES'!$AB$4:$AB$1203,U11)="","(sin técnico)",INDEX('ORDENES'!$AB$4:$AB$1203,U11))&amp;" · "&amp;INDEX('ORDENES'!$AN$4:$AN$1203,U11)&amp;" — "&amp;INDEX('ORDENES'!$D$4:$D$1203,U11)&amp;" ("&amp;TEXT(INDEX('ORDENES'!$M$4:$M$1203,U11),"0.#")&amp;" h)")</f>
        <v/>
      </c>
      <c r="Y11" s="3">
        <f>IFERROR(MATCH(4,$S$8:$S$1207,0),"")</f>
        <v/>
      </c>
      <c r="Z11" s="3">
        <f>IF(OR(Y11="",4&gt;p_top_tareas),"","   • "&amp;INDEX('ORDENES'!$E$4:$E$1203,Y11)&amp;" — "&amp;INDEX('ORDENES'!$D$4:$D$1203,Y11)&amp;" · "&amp;TEXT(INDEX('ORDENES'!$M$4:$M$1203,Y11),"0.#")&amp;" h · "&amp;IF(INDEX('ORDENES'!$AB$4:$AB$1203,Y11)="","(sin técnico)",INDEX('ORDENES'!$AB$4:$AB$1203,Y11))&amp;IF(INDEX('ORDENES'!$AI$4:$AI$1203,Y11)&lt;&gt;""," · permiso de trabajo","")&amp;IF(INDEX('ORDENES'!$AJ$4:$AJ$1203,Y11)&lt;&gt;""," · bloqueo de energía (LOTO)",""))</f>
        <v/>
      </c>
      <c r="AB11" s="3">
        <f>'TECNICOS'!$B$7</f>
        <v/>
      </c>
      <c r="AC11" s="17">
        <f>SUMPRODUCT($N$8:$N$1207,--('ORDENES'!$AB$4:$AB$1203=AB11))</f>
        <v/>
      </c>
      <c r="AD11" s="17">
        <f>p_factor_productividad*SUMIFS('ASIGNACIONES'!$H$4:$H$339,'ASIGNACIONES'!$C$4:$C$339,AB11,'ASIGNACIONES'!$A$4:$A$339,IF($B$3="(todos)","*",$B$3))</f>
        <v/>
      </c>
      <c r="AE11" s="3">
        <f>IF(AC11&gt;AD11+0.0001,1,0)</f>
        <v/>
      </c>
      <c r="AF11" s="3">
        <f>IF(AE11=1,"   • "&amp;AB11&amp;": "&amp;TEXT(AC11,"0.0")&amp;" h asignadas vs "&amp;TEXT(AD11,"0.0")&amp;" h de capacidad","")</f>
        <v/>
      </c>
      <c r="AG11" s="3">
        <f>IF(SUMPRODUCT($K$8:$K$1207,--('ORDENES'!$AB$4:$AB$1203=AB11))&gt;0,1,0)</f>
        <v/>
      </c>
      <c r="AI11" s="2" t="inlineStr">
        <is>
          <t>hh_correctiva</t>
        </is>
      </c>
      <c r="AJ11" s="3">
        <f>SUM($P$8:$P$1207)</f>
        <v/>
      </c>
      <c r="AL11" s="3">
        <f>IF($AJ$16=0,"","Tareas relevantes (top "&amp;MIN(p_top_tareas,$AJ$16)&amp;" por horas):"&amp;CHAR(10)&amp;_xlfn.TEXTJOIN(CHAR(10),TRUE,$Z$8:$Z$27))</f>
        <v/>
      </c>
    </row>
    <row r="12">
      <c r="K12" s="3">
        <f>IF(AND(IF($B$3="(todos)",TRUE,'ORDENES'!$O8=$B$3),IF($D$3="(todos)",TRUE,'ORDENES'!$AC8=$D$3),IF($F$3="(todos)",TRUE,'ORDENES'!$V8=$F$3),'ORDENES'!$AA8=TRUE,'ORDENES'!$A8&lt;&gt;""),1,0)</f>
        <v/>
      </c>
      <c r="L12" s="3">
        <f>IF(K12=1,IFERROR(MATCH('ORDENES'!$R8,lista_dias,0),9)*1000000000+IFERROR(MATCH('ORDENES'!$AC8,lista_turnos,0),9)*10000000+IFERROR(MATCH('ORDENES'!$AB8,'TECNICOS'!$B$4:$B$15,0),99)*100000+5,9000000000000+5)</f>
        <v/>
      </c>
      <c r="M12" s="3">
        <f>IF(K12=1,SUMPRODUCT(--($L$8:$L$1207&lt;L12))+1,"")</f>
        <v/>
      </c>
      <c r="N12" s="17">
        <f>IF(K12=1,N('ORDENES'!$M8),0)</f>
        <v/>
      </c>
      <c r="O12" s="17">
        <f>IF('ORDENES'!$S8="preventiva",N12,0)</f>
        <v/>
      </c>
      <c r="P12" s="17">
        <f>IF('ORDENES'!$S8="correctiva",N12,0)</f>
        <v/>
      </c>
      <c r="Q12" s="3">
        <f>IF(AND(K12=1,'ORDENES'!$N8="Pendiente"),1,0)</f>
        <v/>
      </c>
      <c r="R12" s="3">
        <f>IF(Q12=1,100000-N12*1000+5*0.01,9000000000000+5)</f>
        <v/>
      </c>
      <c r="S12" s="3">
        <f>IF(Q12=1,SUMPRODUCT(--($R$8:$R$1207&lt;R12))+1,"")</f>
        <v/>
      </c>
      <c r="T12" s="11">
        <f>IF(K12=1,'ORDENES'!$J8,"")</f>
        <v/>
      </c>
      <c r="U12" s="3">
        <f>IFERROR(MATCH(5,$M$8:$M$1207,0),"")</f>
        <v/>
      </c>
      <c r="V12" s="3">
        <f>IF(U12="","",INDEX('ORDENES'!$R$4:$R$1203,U12))</f>
        <v/>
      </c>
      <c r="W12" s="3">
        <f>IF(U12="","",IF(V12&lt;&gt;V11,CHAR(10)&amp;UPPER(LEFT(V12,1))&amp;MID(V12,2,20)&amp;":"&amp;CHAR(10),"")&amp;"   "&amp;IF(INDEX('ORDENES'!$AC$4:$AC$1203,U12)="","(s/t)",INDEX('ORDENES'!$AC$4:$AC$1203,U12))&amp;" · "&amp;IF(INDEX('ORDENES'!$AB$4:$AB$1203,U12)="","(sin técnico)",INDEX('ORDENES'!$AB$4:$AB$1203,U12))&amp;" · "&amp;INDEX('ORDENES'!$AN$4:$AN$1203,U12)&amp;" — "&amp;INDEX('ORDENES'!$D$4:$D$1203,U12)&amp;" ("&amp;TEXT(INDEX('ORDENES'!$M$4:$M$1203,U12),"0.#")&amp;" h)")</f>
        <v/>
      </c>
      <c r="Y12" s="3">
        <f>IFERROR(MATCH(5,$S$8:$S$1207,0),"")</f>
        <v/>
      </c>
      <c r="Z12" s="3">
        <f>IF(OR(Y12="",5&gt;p_top_tareas),"","   • "&amp;INDEX('ORDENES'!$E$4:$E$1203,Y12)&amp;" — "&amp;INDEX('ORDENES'!$D$4:$D$1203,Y12)&amp;" · "&amp;TEXT(INDEX('ORDENES'!$M$4:$M$1203,Y12),"0.#")&amp;" h · "&amp;IF(INDEX('ORDENES'!$AB$4:$AB$1203,Y12)="","(sin técnico)",INDEX('ORDENES'!$AB$4:$AB$1203,Y12))&amp;IF(INDEX('ORDENES'!$AI$4:$AI$1203,Y12)&lt;&gt;""," · permiso de trabajo","")&amp;IF(INDEX('ORDENES'!$AJ$4:$AJ$1203,Y12)&lt;&gt;""," · bloqueo de energía (LOTO)",""))</f>
        <v/>
      </c>
      <c r="AB12" s="3">
        <f>'TECNICOS'!$B$8</f>
        <v/>
      </c>
      <c r="AC12" s="17">
        <f>SUMPRODUCT($N$8:$N$1207,--('ORDENES'!$AB$4:$AB$1203=AB12))</f>
        <v/>
      </c>
      <c r="AD12" s="17">
        <f>p_factor_productividad*SUMIFS('ASIGNACIONES'!$H$4:$H$339,'ASIGNACIONES'!$C$4:$C$339,AB12,'ASIGNACIONES'!$A$4:$A$339,IF($B$3="(todos)","*",$B$3))</f>
        <v/>
      </c>
      <c r="AE12" s="3">
        <f>IF(AC12&gt;AD12+0.0001,1,0)</f>
        <v/>
      </c>
      <c r="AF12" s="3">
        <f>IF(AE12=1,"   • "&amp;AB12&amp;": "&amp;TEXT(AC12,"0.0")&amp;" h asignadas vs "&amp;TEXT(AD12,"0.0")&amp;" h de capacidad","")</f>
        <v/>
      </c>
      <c r="AG12" s="3">
        <f>IF(SUMPRODUCT($K$8:$K$1207,--('ORDENES'!$AB$4:$AB$1203=AB12))&gt;0,1,0)</f>
        <v/>
      </c>
      <c r="AI12" s="2" t="inlineStr">
        <is>
          <t>técnicos involucrados</t>
        </is>
      </c>
      <c r="AJ12" s="3">
        <f>SUM($AG$8:$AG$19)</f>
        <v/>
      </c>
      <c r="AL12" s="3">
        <f>IF($AJ$8=0,"(Sin órdenes en el filtro seleccionado.)","Programa completo:"&amp;CHAR(10)&amp;_xlfn.TEXTJOIN(CHAR(10),TRUE,$W$8:$W$207))</f>
        <v/>
      </c>
    </row>
    <row r="13">
      <c r="K13" s="3">
        <f>IF(AND(IF($B$3="(todos)",TRUE,'ORDENES'!$O9=$B$3),IF($D$3="(todos)",TRUE,'ORDENES'!$AC9=$D$3),IF($F$3="(todos)",TRUE,'ORDENES'!$V9=$F$3),'ORDENES'!$AA9=TRUE,'ORDENES'!$A9&lt;&gt;""),1,0)</f>
        <v/>
      </c>
      <c r="L13" s="3">
        <f>IF(K13=1,IFERROR(MATCH('ORDENES'!$R9,lista_dias,0),9)*1000000000+IFERROR(MATCH('ORDENES'!$AC9,lista_turnos,0),9)*10000000+IFERROR(MATCH('ORDENES'!$AB9,'TECNICOS'!$B$4:$B$15,0),99)*100000+6,9000000000000+6)</f>
        <v/>
      </c>
      <c r="M13" s="3">
        <f>IF(K13=1,SUMPRODUCT(--($L$8:$L$1207&lt;L13))+1,"")</f>
        <v/>
      </c>
      <c r="N13" s="17">
        <f>IF(K13=1,N('ORDENES'!$M9),0)</f>
        <v/>
      </c>
      <c r="O13" s="17">
        <f>IF('ORDENES'!$S9="preventiva",N13,0)</f>
        <v/>
      </c>
      <c r="P13" s="17">
        <f>IF('ORDENES'!$S9="correctiva",N13,0)</f>
        <v/>
      </c>
      <c r="Q13" s="3">
        <f>IF(AND(K13=1,'ORDENES'!$N9="Pendiente"),1,0)</f>
        <v/>
      </c>
      <c r="R13" s="3">
        <f>IF(Q13=1,100000-N13*1000+6*0.01,9000000000000+6)</f>
        <v/>
      </c>
      <c r="S13" s="3">
        <f>IF(Q13=1,SUMPRODUCT(--($R$8:$R$1207&lt;R13))+1,"")</f>
        <v/>
      </c>
      <c r="T13" s="11">
        <f>IF(K13=1,'ORDENES'!$J9,"")</f>
        <v/>
      </c>
      <c r="U13" s="3">
        <f>IFERROR(MATCH(6,$M$8:$M$1207,0),"")</f>
        <v/>
      </c>
      <c r="V13" s="3">
        <f>IF(U13="","",INDEX('ORDENES'!$R$4:$R$1203,U13))</f>
        <v/>
      </c>
      <c r="W13" s="3">
        <f>IF(U13="","",IF(V13&lt;&gt;V12,CHAR(10)&amp;UPPER(LEFT(V13,1))&amp;MID(V13,2,20)&amp;":"&amp;CHAR(10),"")&amp;"   "&amp;IF(INDEX('ORDENES'!$AC$4:$AC$1203,U13)="","(s/t)",INDEX('ORDENES'!$AC$4:$AC$1203,U13))&amp;" · "&amp;IF(INDEX('ORDENES'!$AB$4:$AB$1203,U13)="","(sin técnico)",INDEX('ORDENES'!$AB$4:$AB$1203,U13))&amp;" · "&amp;INDEX('ORDENES'!$AN$4:$AN$1203,U13)&amp;" — "&amp;INDEX('ORDENES'!$D$4:$D$1203,U13)&amp;" ("&amp;TEXT(INDEX('ORDENES'!$M$4:$M$1203,U13),"0.#")&amp;" h)")</f>
        <v/>
      </c>
      <c r="Y13" s="3">
        <f>IFERROR(MATCH(6,$S$8:$S$1207,0),"")</f>
        <v/>
      </c>
      <c r="Z13" s="3">
        <f>IF(OR(Y13="",6&gt;p_top_tareas),"","   • "&amp;INDEX('ORDENES'!$E$4:$E$1203,Y13)&amp;" — "&amp;INDEX('ORDENES'!$D$4:$D$1203,Y13)&amp;" · "&amp;TEXT(INDEX('ORDENES'!$M$4:$M$1203,Y13),"0.#")&amp;" h · "&amp;IF(INDEX('ORDENES'!$AB$4:$AB$1203,Y13)="","(sin técnico)",INDEX('ORDENES'!$AB$4:$AB$1203,Y13))&amp;IF(INDEX('ORDENES'!$AI$4:$AI$1203,Y13)&lt;&gt;""," · permiso de trabajo","")&amp;IF(INDEX('ORDENES'!$AJ$4:$AJ$1203,Y13)&lt;&gt;""," · bloqueo de energía (LOTO)",""))</f>
        <v/>
      </c>
      <c r="AB13" s="3">
        <f>'TECNICOS'!$B$9</f>
        <v/>
      </c>
      <c r="AC13" s="17">
        <f>SUMPRODUCT($N$8:$N$1207,--('ORDENES'!$AB$4:$AB$1203=AB13))</f>
        <v/>
      </c>
      <c r="AD13" s="17">
        <f>p_factor_productividad*SUMIFS('ASIGNACIONES'!$H$4:$H$339,'ASIGNACIONES'!$C$4:$C$339,AB13,'ASIGNACIONES'!$A$4:$A$339,IF($B$3="(todos)","*",$B$3))</f>
        <v/>
      </c>
      <c r="AE13" s="3">
        <f>IF(AC13&gt;AD13+0.0001,1,0)</f>
        <v/>
      </c>
      <c r="AF13" s="3">
        <f>IF(AE13=1,"   • "&amp;AB13&amp;": "&amp;TEXT(AC13,"0.0")&amp;" h asignadas vs "&amp;TEXT(AD13,"0.0")&amp;" h de capacidad","")</f>
        <v/>
      </c>
      <c r="AG13" s="3">
        <f>IF(SUMPRODUCT($K$8:$K$1207,--('ORDENES'!$AB$4:$AB$1203=AB13))&gt;0,1,0)</f>
        <v/>
      </c>
      <c r="AI13" s="2" t="inlineStr">
        <is>
          <t>técnicos sobreasignados</t>
        </is>
      </c>
      <c r="AJ13" s="3">
        <f>SUM($AE$8:$AE$19)</f>
        <v/>
      </c>
      <c r="AL13" s="3">
        <f>"Cualquier ajuste, favor comunicarlo antes del inicio del turno."</f>
        <v/>
      </c>
    </row>
    <row r="14">
      <c r="K14" s="3">
        <f>IF(AND(IF($B$3="(todos)",TRUE,'ORDENES'!$O10=$B$3),IF($D$3="(todos)",TRUE,'ORDENES'!$AC10=$D$3),IF($F$3="(todos)",TRUE,'ORDENES'!$V10=$F$3),'ORDENES'!$AA10=TRUE,'ORDENES'!$A10&lt;&gt;""),1,0)</f>
        <v/>
      </c>
      <c r="L14" s="3">
        <f>IF(K14=1,IFERROR(MATCH('ORDENES'!$R10,lista_dias,0),9)*1000000000+IFERROR(MATCH('ORDENES'!$AC10,lista_turnos,0),9)*10000000+IFERROR(MATCH('ORDENES'!$AB10,'TECNICOS'!$B$4:$B$15,0),99)*100000+7,9000000000000+7)</f>
        <v/>
      </c>
      <c r="M14" s="3">
        <f>IF(K14=1,SUMPRODUCT(--($L$8:$L$1207&lt;L14))+1,"")</f>
        <v/>
      </c>
      <c r="N14" s="17">
        <f>IF(K14=1,N('ORDENES'!$M10),0)</f>
        <v/>
      </c>
      <c r="O14" s="17">
        <f>IF('ORDENES'!$S10="preventiva",N14,0)</f>
        <v/>
      </c>
      <c r="P14" s="17">
        <f>IF('ORDENES'!$S10="correctiva",N14,0)</f>
        <v/>
      </c>
      <c r="Q14" s="3">
        <f>IF(AND(K14=1,'ORDENES'!$N10="Pendiente"),1,0)</f>
        <v/>
      </c>
      <c r="R14" s="3">
        <f>IF(Q14=1,100000-N14*1000+7*0.01,9000000000000+7)</f>
        <v/>
      </c>
      <c r="S14" s="3">
        <f>IF(Q14=1,SUMPRODUCT(--($R$8:$R$1207&lt;R14))+1,"")</f>
        <v/>
      </c>
      <c r="T14" s="11">
        <f>IF(K14=1,'ORDENES'!$J10,"")</f>
        <v/>
      </c>
      <c r="U14" s="3">
        <f>IFERROR(MATCH(7,$M$8:$M$1207,0),"")</f>
        <v/>
      </c>
      <c r="V14" s="3">
        <f>IF(U14="","",INDEX('ORDENES'!$R$4:$R$1203,U14))</f>
        <v/>
      </c>
      <c r="W14" s="3">
        <f>IF(U14="","",IF(V14&lt;&gt;V13,CHAR(10)&amp;UPPER(LEFT(V14,1))&amp;MID(V14,2,20)&amp;":"&amp;CHAR(10),"")&amp;"   "&amp;IF(INDEX('ORDENES'!$AC$4:$AC$1203,U14)="","(s/t)",INDEX('ORDENES'!$AC$4:$AC$1203,U14))&amp;" · "&amp;IF(INDEX('ORDENES'!$AB$4:$AB$1203,U14)="","(sin técnico)",INDEX('ORDENES'!$AB$4:$AB$1203,U14))&amp;" · "&amp;INDEX('ORDENES'!$AN$4:$AN$1203,U14)&amp;" — "&amp;INDEX('ORDENES'!$D$4:$D$1203,U14)&amp;" ("&amp;TEXT(INDEX('ORDENES'!$M$4:$M$1203,U14),"0.#")&amp;" h)")</f>
        <v/>
      </c>
      <c r="Y14" s="3">
        <f>IFERROR(MATCH(7,$S$8:$S$1207,0),"")</f>
        <v/>
      </c>
      <c r="Z14" s="3">
        <f>IF(OR(Y14="",7&gt;p_top_tareas),"","   • "&amp;INDEX('ORDENES'!$E$4:$E$1203,Y14)&amp;" — "&amp;INDEX('ORDENES'!$D$4:$D$1203,Y14)&amp;" · "&amp;TEXT(INDEX('ORDENES'!$M$4:$M$1203,Y14),"0.#")&amp;" h · "&amp;IF(INDEX('ORDENES'!$AB$4:$AB$1203,Y14)="","(sin técnico)",INDEX('ORDENES'!$AB$4:$AB$1203,Y14))&amp;IF(INDEX('ORDENES'!$AI$4:$AI$1203,Y14)&lt;&gt;""," · permiso de trabajo","")&amp;IF(INDEX('ORDENES'!$AJ$4:$AJ$1203,Y14)&lt;&gt;""," · bloqueo de energía (LOTO)",""))</f>
        <v/>
      </c>
      <c r="AB14" s="3">
        <f>'TECNICOS'!$B$10</f>
        <v/>
      </c>
      <c r="AC14" s="17">
        <f>SUMPRODUCT($N$8:$N$1207,--('ORDENES'!$AB$4:$AB$1203=AB14))</f>
        <v/>
      </c>
      <c r="AD14" s="17">
        <f>p_factor_productividad*SUMIFS('ASIGNACIONES'!$H$4:$H$339,'ASIGNACIONES'!$C$4:$C$339,AB14,'ASIGNACIONES'!$A$4:$A$339,IF($B$3="(todos)","*",$B$3))</f>
        <v/>
      </c>
      <c r="AE14" s="3">
        <f>IF(AC14&gt;AD14+0.0001,1,0)</f>
        <v/>
      </c>
      <c r="AF14" s="3">
        <f>IF(AE14=1,"   • "&amp;AB14&amp;": "&amp;TEXT(AC14,"0.0")&amp;" h asignadas vs "&amp;TEXT(AD14,"0.0")&amp;" h de capacidad","")</f>
        <v/>
      </c>
      <c r="AG14" s="3">
        <f>IF(SUMPRODUCT($K$8:$K$1207,--('ORDENES'!$AB$4:$AB$1203=AB14))&gt;0,1,0)</f>
        <v/>
      </c>
      <c r="AI14" s="2" t="inlineStr">
        <is>
          <t>lunes_sel</t>
        </is>
      </c>
      <c r="AJ14" s="11">
        <f>IF($B$3="(todos)",IF(AJ8=0,"",MIN($T$8:$T$1207)),DATE(VALUE(LEFT($B$3,4)),1,4)-WEEKDAY(DATE(VALUE(LEFT($B$3,4)),1,4),2)+1+(VALUE(MID($B$3,7,2))-1)*7)</f>
        <v/>
      </c>
    </row>
    <row r="15">
      <c r="K15" s="3">
        <f>IF(AND(IF($B$3="(todos)",TRUE,'ORDENES'!$O11=$B$3),IF($D$3="(todos)",TRUE,'ORDENES'!$AC11=$D$3),IF($F$3="(todos)",TRUE,'ORDENES'!$V11=$F$3),'ORDENES'!$AA11=TRUE,'ORDENES'!$A11&lt;&gt;""),1,0)</f>
        <v/>
      </c>
      <c r="L15" s="3">
        <f>IF(K15=1,IFERROR(MATCH('ORDENES'!$R11,lista_dias,0),9)*1000000000+IFERROR(MATCH('ORDENES'!$AC11,lista_turnos,0),9)*10000000+IFERROR(MATCH('ORDENES'!$AB11,'TECNICOS'!$B$4:$B$15,0),99)*100000+8,9000000000000+8)</f>
        <v/>
      </c>
      <c r="M15" s="3">
        <f>IF(K15=1,SUMPRODUCT(--($L$8:$L$1207&lt;L15))+1,"")</f>
        <v/>
      </c>
      <c r="N15" s="17">
        <f>IF(K15=1,N('ORDENES'!$M11),0)</f>
        <v/>
      </c>
      <c r="O15" s="17">
        <f>IF('ORDENES'!$S11="preventiva",N15,0)</f>
        <v/>
      </c>
      <c r="P15" s="17">
        <f>IF('ORDENES'!$S11="correctiva",N15,0)</f>
        <v/>
      </c>
      <c r="Q15" s="3">
        <f>IF(AND(K15=1,'ORDENES'!$N11="Pendiente"),1,0)</f>
        <v/>
      </c>
      <c r="R15" s="3">
        <f>IF(Q15=1,100000-N15*1000+8*0.01,9000000000000+8)</f>
        <v/>
      </c>
      <c r="S15" s="3">
        <f>IF(Q15=1,SUMPRODUCT(--($R$8:$R$1207&lt;R15))+1,"")</f>
        <v/>
      </c>
      <c r="T15" s="11">
        <f>IF(K15=1,'ORDENES'!$J11,"")</f>
        <v/>
      </c>
      <c r="U15" s="3">
        <f>IFERROR(MATCH(8,$M$8:$M$1207,0),"")</f>
        <v/>
      </c>
      <c r="V15" s="3">
        <f>IF(U15="","",INDEX('ORDENES'!$R$4:$R$1203,U15))</f>
        <v/>
      </c>
      <c r="W15" s="3">
        <f>IF(U15="","",IF(V15&lt;&gt;V14,CHAR(10)&amp;UPPER(LEFT(V15,1))&amp;MID(V15,2,20)&amp;":"&amp;CHAR(10),"")&amp;"   "&amp;IF(INDEX('ORDENES'!$AC$4:$AC$1203,U15)="","(s/t)",INDEX('ORDENES'!$AC$4:$AC$1203,U15))&amp;" · "&amp;IF(INDEX('ORDENES'!$AB$4:$AB$1203,U15)="","(sin técnico)",INDEX('ORDENES'!$AB$4:$AB$1203,U15))&amp;" · "&amp;INDEX('ORDENES'!$AN$4:$AN$1203,U15)&amp;" — "&amp;INDEX('ORDENES'!$D$4:$D$1203,U15)&amp;" ("&amp;TEXT(INDEX('ORDENES'!$M$4:$M$1203,U15),"0.#")&amp;" h)")</f>
        <v/>
      </c>
      <c r="Y15" s="3">
        <f>IFERROR(MATCH(8,$S$8:$S$1207,0),"")</f>
        <v/>
      </c>
      <c r="Z15" s="3">
        <f>IF(OR(Y15="",8&gt;p_top_tareas),"","   • "&amp;INDEX('ORDENES'!$E$4:$E$1203,Y15)&amp;" — "&amp;INDEX('ORDENES'!$D$4:$D$1203,Y15)&amp;" · "&amp;TEXT(INDEX('ORDENES'!$M$4:$M$1203,Y15),"0.#")&amp;" h · "&amp;IF(INDEX('ORDENES'!$AB$4:$AB$1203,Y15)="","(sin técnico)",INDEX('ORDENES'!$AB$4:$AB$1203,Y15))&amp;IF(INDEX('ORDENES'!$AI$4:$AI$1203,Y15)&lt;&gt;""," · permiso de trabajo","")&amp;IF(INDEX('ORDENES'!$AJ$4:$AJ$1203,Y15)&lt;&gt;""," · bloqueo de energía (LOTO)",""))</f>
        <v/>
      </c>
      <c r="AB15" s="3">
        <f>'TECNICOS'!$B$11</f>
        <v/>
      </c>
      <c r="AC15" s="17">
        <f>SUMPRODUCT($N$8:$N$1207,--('ORDENES'!$AB$4:$AB$1203=AB15))</f>
        <v/>
      </c>
      <c r="AD15" s="17">
        <f>p_factor_productividad*SUMIFS('ASIGNACIONES'!$H$4:$H$339,'ASIGNACIONES'!$C$4:$C$339,AB15,'ASIGNACIONES'!$A$4:$A$339,IF($B$3="(todos)","*",$B$3))</f>
        <v/>
      </c>
      <c r="AE15" s="3">
        <f>IF(AC15&gt;AD15+0.0001,1,0)</f>
        <v/>
      </c>
      <c r="AF15" s="3">
        <f>IF(AE15=1,"   • "&amp;AB15&amp;": "&amp;TEXT(AC15,"0.0")&amp;" h asignadas vs "&amp;TEXT(AD15,"0.0")&amp;" h de capacidad","")</f>
        <v/>
      </c>
      <c r="AG15" s="3">
        <f>IF(SUMPRODUCT($K$8:$K$1207,--('ORDENES'!$AB$4:$AB$1203=AB15))&gt;0,1,0)</f>
        <v/>
      </c>
      <c r="AI15" s="2" t="inlineStr">
        <is>
          <t>domingo_sel</t>
        </is>
      </c>
      <c r="AJ15" s="11">
        <f>IF($B$3="(todos)",IF(AJ8=0,"",MAX($T$8:$T$1207)),AJ14+6)</f>
        <v/>
      </c>
    </row>
    <row r="16">
      <c r="K16" s="3">
        <f>IF(AND(IF($B$3="(todos)",TRUE,'ORDENES'!$O12=$B$3),IF($D$3="(todos)",TRUE,'ORDENES'!$AC12=$D$3),IF($F$3="(todos)",TRUE,'ORDENES'!$V12=$F$3),'ORDENES'!$AA12=TRUE,'ORDENES'!$A12&lt;&gt;""),1,0)</f>
        <v/>
      </c>
      <c r="L16" s="3">
        <f>IF(K16=1,IFERROR(MATCH('ORDENES'!$R12,lista_dias,0),9)*1000000000+IFERROR(MATCH('ORDENES'!$AC12,lista_turnos,0),9)*10000000+IFERROR(MATCH('ORDENES'!$AB12,'TECNICOS'!$B$4:$B$15,0),99)*100000+9,9000000000000+9)</f>
        <v/>
      </c>
      <c r="M16" s="3">
        <f>IF(K16=1,SUMPRODUCT(--($L$8:$L$1207&lt;L16))+1,"")</f>
        <v/>
      </c>
      <c r="N16" s="17">
        <f>IF(K16=1,N('ORDENES'!$M12),0)</f>
        <v/>
      </c>
      <c r="O16" s="17">
        <f>IF('ORDENES'!$S12="preventiva",N16,0)</f>
        <v/>
      </c>
      <c r="P16" s="17">
        <f>IF('ORDENES'!$S12="correctiva",N16,0)</f>
        <v/>
      </c>
      <c r="Q16" s="3">
        <f>IF(AND(K16=1,'ORDENES'!$N12="Pendiente"),1,0)</f>
        <v/>
      </c>
      <c r="R16" s="3">
        <f>IF(Q16=1,100000-N16*1000+9*0.01,9000000000000+9)</f>
        <v/>
      </c>
      <c r="S16" s="3">
        <f>IF(Q16=1,SUMPRODUCT(--($R$8:$R$1207&lt;R16))+1,"")</f>
        <v/>
      </c>
      <c r="T16" s="11">
        <f>IF(K16=1,'ORDENES'!$J12,"")</f>
        <v/>
      </c>
      <c r="U16" s="3">
        <f>IFERROR(MATCH(9,$M$8:$M$1207,0),"")</f>
        <v/>
      </c>
      <c r="V16" s="3">
        <f>IF(U16="","",INDEX('ORDENES'!$R$4:$R$1203,U16))</f>
        <v/>
      </c>
      <c r="W16" s="3">
        <f>IF(U16="","",IF(V16&lt;&gt;V15,CHAR(10)&amp;UPPER(LEFT(V16,1))&amp;MID(V16,2,20)&amp;":"&amp;CHAR(10),"")&amp;"   "&amp;IF(INDEX('ORDENES'!$AC$4:$AC$1203,U16)="","(s/t)",INDEX('ORDENES'!$AC$4:$AC$1203,U16))&amp;" · "&amp;IF(INDEX('ORDENES'!$AB$4:$AB$1203,U16)="","(sin técnico)",INDEX('ORDENES'!$AB$4:$AB$1203,U16))&amp;" · "&amp;INDEX('ORDENES'!$AN$4:$AN$1203,U16)&amp;" — "&amp;INDEX('ORDENES'!$D$4:$D$1203,U16)&amp;" ("&amp;TEXT(INDEX('ORDENES'!$M$4:$M$1203,U16),"0.#")&amp;" h)")</f>
        <v/>
      </c>
      <c r="Y16" s="3">
        <f>IFERROR(MATCH(9,$S$8:$S$1207,0),"")</f>
        <v/>
      </c>
      <c r="Z16" s="3">
        <f>IF(OR(Y16="",9&gt;p_top_tareas),"","   • "&amp;INDEX('ORDENES'!$E$4:$E$1203,Y16)&amp;" — "&amp;INDEX('ORDENES'!$D$4:$D$1203,Y16)&amp;" · "&amp;TEXT(INDEX('ORDENES'!$M$4:$M$1203,Y16),"0.#")&amp;" h · "&amp;IF(INDEX('ORDENES'!$AB$4:$AB$1203,Y16)="","(sin técnico)",INDEX('ORDENES'!$AB$4:$AB$1203,Y16))&amp;IF(INDEX('ORDENES'!$AI$4:$AI$1203,Y16)&lt;&gt;""," · permiso de trabajo","")&amp;IF(INDEX('ORDENES'!$AJ$4:$AJ$1203,Y16)&lt;&gt;""," · bloqueo de energía (LOTO)",""))</f>
        <v/>
      </c>
      <c r="AB16" s="3">
        <f>'TECNICOS'!$B$12</f>
        <v/>
      </c>
      <c r="AC16" s="17">
        <f>SUMPRODUCT($N$8:$N$1207,--('ORDENES'!$AB$4:$AB$1203=AB16))</f>
        <v/>
      </c>
      <c r="AD16" s="17">
        <f>p_factor_productividad*SUMIFS('ASIGNACIONES'!$H$4:$H$339,'ASIGNACIONES'!$C$4:$C$339,AB16,'ASIGNACIONES'!$A$4:$A$339,IF($B$3="(todos)","*",$B$3))</f>
        <v/>
      </c>
      <c r="AE16" s="3">
        <f>IF(AC16&gt;AD16+0.0001,1,0)</f>
        <v/>
      </c>
      <c r="AF16" s="3">
        <f>IF(AE16=1,"   • "&amp;AB16&amp;": "&amp;TEXT(AC16,"0.0")&amp;" h asignadas vs "&amp;TEXT(AD16,"0.0")&amp;" h de capacidad","")</f>
        <v/>
      </c>
      <c r="AG16" s="3">
        <f>IF(SUMPRODUCT($K$8:$K$1207,--('ORDENES'!$AB$4:$AB$1203=AB16))&gt;0,1,0)</f>
        <v/>
      </c>
      <c r="AI16" s="2" t="inlineStr">
        <is>
          <t>órdenes pendientes en plan</t>
        </is>
      </c>
      <c r="AJ16" s="3">
        <f>SUM($Q$8:$Q$1207)</f>
        <v/>
      </c>
    </row>
    <row r="17">
      <c r="K17" s="3">
        <f>IF(AND(IF($B$3="(todos)",TRUE,'ORDENES'!$O13=$B$3),IF($D$3="(todos)",TRUE,'ORDENES'!$AC13=$D$3),IF($F$3="(todos)",TRUE,'ORDENES'!$V13=$F$3),'ORDENES'!$AA13=TRUE,'ORDENES'!$A13&lt;&gt;""),1,0)</f>
        <v/>
      </c>
      <c r="L17" s="3">
        <f>IF(K17=1,IFERROR(MATCH('ORDENES'!$R13,lista_dias,0),9)*1000000000+IFERROR(MATCH('ORDENES'!$AC13,lista_turnos,0),9)*10000000+IFERROR(MATCH('ORDENES'!$AB13,'TECNICOS'!$B$4:$B$15,0),99)*100000+10,9000000000000+10)</f>
        <v/>
      </c>
      <c r="M17" s="3">
        <f>IF(K17=1,SUMPRODUCT(--($L$8:$L$1207&lt;L17))+1,"")</f>
        <v/>
      </c>
      <c r="N17" s="17">
        <f>IF(K17=1,N('ORDENES'!$M13),0)</f>
        <v/>
      </c>
      <c r="O17" s="17">
        <f>IF('ORDENES'!$S13="preventiva",N17,0)</f>
        <v/>
      </c>
      <c r="P17" s="17">
        <f>IF('ORDENES'!$S13="correctiva",N17,0)</f>
        <v/>
      </c>
      <c r="Q17" s="3">
        <f>IF(AND(K17=1,'ORDENES'!$N13="Pendiente"),1,0)</f>
        <v/>
      </c>
      <c r="R17" s="3">
        <f>IF(Q17=1,100000-N17*1000+10*0.01,9000000000000+10)</f>
        <v/>
      </c>
      <c r="S17" s="3">
        <f>IF(Q17=1,SUMPRODUCT(--($R$8:$R$1207&lt;R17))+1,"")</f>
        <v/>
      </c>
      <c r="T17" s="11">
        <f>IF(K17=1,'ORDENES'!$J13,"")</f>
        <v/>
      </c>
      <c r="U17" s="3">
        <f>IFERROR(MATCH(10,$M$8:$M$1207,0),"")</f>
        <v/>
      </c>
      <c r="V17" s="3">
        <f>IF(U17="","",INDEX('ORDENES'!$R$4:$R$1203,U17))</f>
        <v/>
      </c>
      <c r="W17" s="3">
        <f>IF(U17="","",IF(V17&lt;&gt;V16,CHAR(10)&amp;UPPER(LEFT(V17,1))&amp;MID(V17,2,20)&amp;":"&amp;CHAR(10),"")&amp;"   "&amp;IF(INDEX('ORDENES'!$AC$4:$AC$1203,U17)="","(s/t)",INDEX('ORDENES'!$AC$4:$AC$1203,U17))&amp;" · "&amp;IF(INDEX('ORDENES'!$AB$4:$AB$1203,U17)="","(sin técnico)",INDEX('ORDENES'!$AB$4:$AB$1203,U17))&amp;" · "&amp;INDEX('ORDENES'!$AN$4:$AN$1203,U17)&amp;" — "&amp;INDEX('ORDENES'!$D$4:$D$1203,U17)&amp;" ("&amp;TEXT(INDEX('ORDENES'!$M$4:$M$1203,U17),"0.#")&amp;" h)")</f>
        <v/>
      </c>
      <c r="Y17" s="3">
        <f>IFERROR(MATCH(10,$S$8:$S$1207,0),"")</f>
        <v/>
      </c>
      <c r="Z17" s="3">
        <f>IF(OR(Y17="",10&gt;p_top_tareas),"","   • "&amp;INDEX('ORDENES'!$E$4:$E$1203,Y17)&amp;" — "&amp;INDEX('ORDENES'!$D$4:$D$1203,Y17)&amp;" · "&amp;TEXT(INDEX('ORDENES'!$M$4:$M$1203,Y17),"0.#")&amp;" h · "&amp;IF(INDEX('ORDENES'!$AB$4:$AB$1203,Y17)="","(sin técnico)",INDEX('ORDENES'!$AB$4:$AB$1203,Y17))&amp;IF(INDEX('ORDENES'!$AI$4:$AI$1203,Y17)&lt;&gt;""," · permiso de trabajo","")&amp;IF(INDEX('ORDENES'!$AJ$4:$AJ$1203,Y17)&lt;&gt;""," · bloqueo de energía (LOTO)",""))</f>
        <v/>
      </c>
      <c r="AB17" s="3">
        <f>'TECNICOS'!$B$13</f>
        <v/>
      </c>
      <c r="AC17" s="17">
        <f>SUMPRODUCT($N$8:$N$1207,--('ORDENES'!$AB$4:$AB$1203=AB17))</f>
        <v/>
      </c>
      <c r="AD17" s="17">
        <f>p_factor_productividad*SUMIFS('ASIGNACIONES'!$H$4:$H$339,'ASIGNACIONES'!$C$4:$C$339,AB17,'ASIGNACIONES'!$A$4:$A$339,IF($B$3="(todos)","*",$B$3))</f>
        <v/>
      </c>
      <c r="AE17" s="3">
        <f>IF(AC17&gt;AD17+0.0001,1,0)</f>
        <v/>
      </c>
      <c r="AF17" s="3">
        <f>IF(AE17=1,"   • "&amp;AB17&amp;": "&amp;TEXT(AC17,"0.0")&amp;" h asignadas vs "&amp;TEXT(AD17,"0.0")&amp;" h de capacidad","")</f>
        <v/>
      </c>
      <c r="AG17" s="3">
        <f>IF(SUMPRODUCT($K$8:$K$1207,--('ORDENES'!$AB$4:$AB$1203=AB17))&gt;0,1,0)</f>
        <v/>
      </c>
    </row>
    <row r="18">
      <c r="K18" s="3">
        <f>IF(AND(IF($B$3="(todos)",TRUE,'ORDENES'!$O14=$B$3),IF($D$3="(todos)",TRUE,'ORDENES'!$AC14=$D$3),IF($F$3="(todos)",TRUE,'ORDENES'!$V14=$F$3),'ORDENES'!$AA14=TRUE,'ORDENES'!$A14&lt;&gt;""),1,0)</f>
        <v/>
      </c>
      <c r="L18" s="3">
        <f>IF(K18=1,IFERROR(MATCH('ORDENES'!$R14,lista_dias,0),9)*1000000000+IFERROR(MATCH('ORDENES'!$AC14,lista_turnos,0),9)*10000000+IFERROR(MATCH('ORDENES'!$AB14,'TECNICOS'!$B$4:$B$15,0),99)*100000+11,9000000000000+11)</f>
        <v/>
      </c>
      <c r="M18" s="3">
        <f>IF(K18=1,SUMPRODUCT(--($L$8:$L$1207&lt;L18))+1,"")</f>
        <v/>
      </c>
      <c r="N18" s="17">
        <f>IF(K18=1,N('ORDENES'!$M14),0)</f>
        <v/>
      </c>
      <c r="O18" s="17">
        <f>IF('ORDENES'!$S14="preventiva",N18,0)</f>
        <v/>
      </c>
      <c r="P18" s="17">
        <f>IF('ORDENES'!$S14="correctiva",N18,0)</f>
        <v/>
      </c>
      <c r="Q18" s="3">
        <f>IF(AND(K18=1,'ORDENES'!$N14="Pendiente"),1,0)</f>
        <v/>
      </c>
      <c r="R18" s="3">
        <f>IF(Q18=1,100000-N18*1000+11*0.01,9000000000000+11)</f>
        <v/>
      </c>
      <c r="S18" s="3">
        <f>IF(Q18=1,SUMPRODUCT(--($R$8:$R$1207&lt;R18))+1,"")</f>
        <v/>
      </c>
      <c r="T18" s="11">
        <f>IF(K18=1,'ORDENES'!$J14,"")</f>
        <v/>
      </c>
      <c r="U18" s="3">
        <f>IFERROR(MATCH(11,$M$8:$M$1207,0),"")</f>
        <v/>
      </c>
      <c r="V18" s="3">
        <f>IF(U18="","",INDEX('ORDENES'!$R$4:$R$1203,U18))</f>
        <v/>
      </c>
      <c r="W18" s="3">
        <f>IF(U18="","",IF(V18&lt;&gt;V17,CHAR(10)&amp;UPPER(LEFT(V18,1))&amp;MID(V18,2,20)&amp;":"&amp;CHAR(10),"")&amp;"   "&amp;IF(INDEX('ORDENES'!$AC$4:$AC$1203,U18)="","(s/t)",INDEX('ORDENES'!$AC$4:$AC$1203,U18))&amp;" · "&amp;IF(INDEX('ORDENES'!$AB$4:$AB$1203,U18)="","(sin técnico)",INDEX('ORDENES'!$AB$4:$AB$1203,U18))&amp;" · "&amp;INDEX('ORDENES'!$AN$4:$AN$1203,U18)&amp;" — "&amp;INDEX('ORDENES'!$D$4:$D$1203,U18)&amp;" ("&amp;TEXT(INDEX('ORDENES'!$M$4:$M$1203,U18),"0.#")&amp;" h)")</f>
        <v/>
      </c>
      <c r="Y18" s="3">
        <f>IFERROR(MATCH(11,$S$8:$S$1207,0),"")</f>
        <v/>
      </c>
      <c r="Z18" s="3">
        <f>IF(OR(Y18="",11&gt;p_top_tareas),"","   • "&amp;INDEX('ORDENES'!$E$4:$E$1203,Y18)&amp;" — "&amp;INDEX('ORDENES'!$D$4:$D$1203,Y18)&amp;" · "&amp;TEXT(INDEX('ORDENES'!$M$4:$M$1203,Y18),"0.#")&amp;" h · "&amp;IF(INDEX('ORDENES'!$AB$4:$AB$1203,Y18)="","(sin técnico)",INDEX('ORDENES'!$AB$4:$AB$1203,Y18))&amp;IF(INDEX('ORDENES'!$AI$4:$AI$1203,Y18)&lt;&gt;""," · permiso de trabajo","")&amp;IF(INDEX('ORDENES'!$AJ$4:$AJ$1203,Y18)&lt;&gt;""," · bloqueo de energía (LOTO)",""))</f>
        <v/>
      </c>
      <c r="AB18" s="3">
        <f>'TECNICOS'!$B$14</f>
        <v/>
      </c>
      <c r="AC18" s="17">
        <f>SUMPRODUCT($N$8:$N$1207,--('ORDENES'!$AB$4:$AB$1203=AB18))</f>
        <v/>
      </c>
      <c r="AD18" s="17">
        <f>p_factor_productividad*SUMIFS('ASIGNACIONES'!$H$4:$H$339,'ASIGNACIONES'!$C$4:$C$339,AB18,'ASIGNACIONES'!$A$4:$A$339,IF($B$3="(todos)","*",$B$3))</f>
        <v/>
      </c>
      <c r="AE18" s="3">
        <f>IF(AC18&gt;AD18+0.0001,1,0)</f>
        <v/>
      </c>
      <c r="AF18" s="3">
        <f>IF(AE18=1,"   • "&amp;AB18&amp;": "&amp;TEXT(AC18,"0.0")&amp;" h asignadas vs "&amp;TEXT(AD18,"0.0")&amp;" h de capacidad","")</f>
        <v/>
      </c>
      <c r="AG18" s="3">
        <f>IF(SUMPRODUCT($K$8:$K$1207,--('ORDENES'!$AB$4:$AB$1203=AB18))&gt;0,1,0)</f>
        <v/>
      </c>
    </row>
    <row r="19">
      <c r="K19" s="3">
        <f>IF(AND(IF($B$3="(todos)",TRUE,'ORDENES'!$O15=$B$3),IF($D$3="(todos)",TRUE,'ORDENES'!$AC15=$D$3),IF($F$3="(todos)",TRUE,'ORDENES'!$V15=$F$3),'ORDENES'!$AA15=TRUE,'ORDENES'!$A15&lt;&gt;""),1,0)</f>
        <v/>
      </c>
      <c r="L19" s="3">
        <f>IF(K19=1,IFERROR(MATCH('ORDENES'!$R15,lista_dias,0),9)*1000000000+IFERROR(MATCH('ORDENES'!$AC15,lista_turnos,0),9)*10000000+IFERROR(MATCH('ORDENES'!$AB15,'TECNICOS'!$B$4:$B$15,0),99)*100000+12,9000000000000+12)</f>
        <v/>
      </c>
      <c r="M19" s="3">
        <f>IF(K19=1,SUMPRODUCT(--($L$8:$L$1207&lt;L19))+1,"")</f>
        <v/>
      </c>
      <c r="N19" s="17">
        <f>IF(K19=1,N('ORDENES'!$M15),0)</f>
        <v/>
      </c>
      <c r="O19" s="17">
        <f>IF('ORDENES'!$S15="preventiva",N19,0)</f>
        <v/>
      </c>
      <c r="P19" s="17">
        <f>IF('ORDENES'!$S15="correctiva",N19,0)</f>
        <v/>
      </c>
      <c r="Q19" s="3">
        <f>IF(AND(K19=1,'ORDENES'!$N15="Pendiente"),1,0)</f>
        <v/>
      </c>
      <c r="R19" s="3">
        <f>IF(Q19=1,100000-N19*1000+12*0.01,9000000000000+12)</f>
        <v/>
      </c>
      <c r="S19" s="3">
        <f>IF(Q19=1,SUMPRODUCT(--($R$8:$R$1207&lt;R19))+1,"")</f>
        <v/>
      </c>
      <c r="T19" s="11">
        <f>IF(K19=1,'ORDENES'!$J15,"")</f>
        <v/>
      </c>
      <c r="U19" s="3">
        <f>IFERROR(MATCH(12,$M$8:$M$1207,0),"")</f>
        <v/>
      </c>
      <c r="V19" s="3">
        <f>IF(U19="","",INDEX('ORDENES'!$R$4:$R$1203,U19))</f>
        <v/>
      </c>
      <c r="W19" s="3">
        <f>IF(U19="","",IF(V19&lt;&gt;V18,CHAR(10)&amp;UPPER(LEFT(V19,1))&amp;MID(V19,2,20)&amp;":"&amp;CHAR(10),"")&amp;"   "&amp;IF(INDEX('ORDENES'!$AC$4:$AC$1203,U19)="","(s/t)",INDEX('ORDENES'!$AC$4:$AC$1203,U19))&amp;" · "&amp;IF(INDEX('ORDENES'!$AB$4:$AB$1203,U19)="","(sin técnico)",INDEX('ORDENES'!$AB$4:$AB$1203,U19))&amp;" · "&amp;INDEX('ORDENES'!$AN$4:$AN$1203,U19)&amp;" — "&amp;INDEX('ORDENES'!$D$4:$D$1203,U19)&amp;" ("&amp;TEXT(INDEX('ORDENES'!$M$4:$M$1203,U19),"0.#")&amp;" h)")</f>
        <v/>
      </c>
      <c r="Y19" s="3">
        <f>IFERROR(MATCH(12,$S$8:$S$1207,0),"")</f>
        <v/>
      </c>
      <c r="Z19" s="3">
        <f>IF(OR(Y19="",12&gt;p_top_tareas),"","   • "&amp;INDEX('ORDENES'!$E$4:$E$1203,Y19)&amp;" — "&amp;INDEX('ORDENES'!$D$4:$D$1203,Y19)&amp;" · "&amp;TEXT(INDEX('ORDENES'!$M$4:$M$1203,Y19),"0.#")&amp;" h · "&amp;IF(INDEX('ORDENES'!$AB$4:$AB$1203,Y19)="","(sin técnico)",INDEX('ORDENES'!$AB$4:$AB$1203,Y19))&amp;IF(INDEX('ORDENES'!$AI$4:$AI$1203,Y19)&lt;&gt;""," · permiso de trabajo","")&amp;IF(INDEX('ORDENES'!$AJ$4:$AJ$1203,Y19)&lt;&gt;""," · bloqueo de energía (LOTO)",""))</f>
        <v/>
      </c>
      <c r="AB19" s="3">
        <f>'TECNICOS'!$B$15</f>
        <v/>
      </c>
      <c r="AC19" s="17">
        <f>SUMPRODUCT($N$8:$N$1207,--('ORDENES'!$AB$4:$AB$1203=AB19))</f>
        <v/>
      </c>
      <c r="AD19" s="17">
        <f>p_factor_productividad*SUMIFS('ASIGNACIONES'!$H$4:$H$339,'ASIGNACIONES'!$C$4:$C$339,AB19,'ASIGNACIONES'!$A$4:$A$339,IF($B$3="(todos)","*",$B$3))</f>
        <v/>
      </c>
      <c r="AE19" s="3">
        <f>IF(AC19&gt;AD19+0.0001,1,0)</f>
        <v/>
      </c>
      <c r="AF19" s="3">
        <f>IF(AE19=1,"   • "&amp;AB19&amp;": "&amp;TEXT(AC19,"0.0")&amp;" h asignadas vs "&amp;TEXT(AD19,"0.0")&amp;" h de capacidad","")</f>
        <v/>
      </c>
      <c r="AG19" s="3">
        <f>IF(SUMPRODUCT($K$8:$K$1207,--('ORDENES'!$AB$4:$AB$1203=AB19))&gt;0,1,0)</f>
        <v/>
      </c>
    </row>
    <row r="20">
      <c r="K20" s="3">
        <f>IF(AND(IF($B$3="(todos)",TRUE,'ORDENES'!$O16=$B$3),IF($D$3="(todos)",TRUE,'ORDENES'!$AC16=$D$3),IF($F$3="(todos)",TRUE,'ORDENES'!$V16=$F$3),'ORDENES'!$AA16=TRUE,'ORDENES'!$A16&lt;&gt;""),1,0)</f>
        <v/>
      </c>
      <c r="L20" s="3">
        <f>IF(K20=1,IFERROR(MATCH('ORDENES'!$R16,lista_dias,0),9)*1000000000+IFERROR(MATCH('ORDENES'!$AC16,lista_turnos,0),9)*10000000+IFERROR(MATCH('ORDENES'!$AB16,'TECNICOS'!$B$4:$B$15,0),99)*100000+13,9000000000000+13)</f>
        <v/>
      </c>
      <c r="M20" s="3">
        <f>IF(K20=1,SUMPRODUCT(--($L$8:$L$1207&lt;L20))+1,"")</f>
        <v/>
      </c>
      <c r="N20" s="17">
        <f>IF(K20=1,N('ORDENES'!$M16),0)</f>
        <v/>
      </c>
      <c r="O20" s="17">
        <f>IF('ORDENES'!$S16="preventiva",N20,0)</f>
        <v/>
      </c>
      <c r="P20" s="17">
        <f>IF('ORDENES'!$S16="correctiva",N20,0)</f>
        <v/>
      </c>
      <c r="Q20" s="3">
        <f>IF(AND(K20=1,'ORDENES'!$N16="Pendiente"),1,0)</f>
        <v/>
      </c>
      <c r="R20" s="3">
        <f>IF(Q20=1,100000-N20*1000+13*0.01,9000000000000+13)</f>
        <v/>
      </c>
      <c r="S20" s="3">
        <f>IF(Q20=1,SUMPRODUCT(--($R$8:$R$1207&lt;R20))+1,"")</f>
        <v/>
      </c>
      <c r="T20" s="11">
        <f>IF(K20=1,'ORDENES'!$J16,"")</f>
        <v/>
      </c>
      <c r="U20" s="3">
        <f>IFERROR(MATCH(13,$M$8:$M$1207,0),"")</f>
        <v/>
      </c>
      <c r="V20" s="3">
        <f>IF(U20="","",INDEX('ORDENES'!$R$4:$R$1203,U20))</f>
        <v/>
      </c>
      <c r="W20" s="3">
        <f>IF(U20="","",IF(V20&lt;&gt;V19,CHAR(10)&amp;UPPER(LEFT(V20,1))&amp;MID(V20,2,20)&amp;":"&amp;CHAR(10),"")&amp;"   "&amp;IF(INDEX('ORDENES'!$AC$4:$AC$1203,U20)="","(s/t)",INDEX('ORDENES'!$AC$4:$AC$1203,U20))&amp;" · "&amp;IF(INDEX('ORDENES'!$AB$4:$AB$1203,U20)="","(sin técnico)",INDEX('ORDENES'!$AB$4:$AB$1203,U20))&amp;" · "&amp;INDEX('ORDENES'!$AN$4:$AN$1203,U20)&amp;" — "&amp;INDEX('ORDENES'!$D$4:$D$1203,U20)&amp;" ("&amp;TEXT(INDEX('ORDENES'!$M$4:$M$1203,U20),"0.#")&amp;" h)")</f>
        <v/>
      </c>
      <c r="Y20" s="3">
        <f>IFERROR(MATCH(13,$S$8:$S$1207,0),"")</f>
        <v/>
      </c>
      <c r="Z20" s="3">
        <f>IF(OR(Y20="",13&gt;p_top_tareas),"","   • "&amp;INDEX('ORDENES'!$E$4:$E$1203,Y20)&amp;" — "&amp;INDEX('ORDENES'!$D$4:$D$1203,Y20)&amp;" · "&amp;TEXT(INDEX('ORDENES'!$M$4:$M$1203,Y20),"0.#")&amp;" h · "&amp;IF(INDEX('ORDENES'!$AB$4:$AB$1203,Y20)="","(sin técnico)",INDEX('ORDENES'!$AB$4:$AB$1203,Y20))&amp;IF(INDEX('ORDENES'!$AI$4:$AI$1203,Y20)&lt;&gt;""," · permiso de trabajo","")&amp;IF(INDEX('ORDENES'!$AJ$4:$AJ$1203,Y20)&lt;&gt;""," · bloqueo de energía (LOTO)",""))</f>
        <v/>
      </c>
    </row>
    <row r="21">
      <c r="K21" s="3">
        <f>IF(AND(IF($B$3="(todos)",TRUE,'ORDENES'!$O17=$B$3),IF($D$3="(todos)",TRUE,'ORDENES'!$AC17=$D$3),IF($F$3="(todos)",TRUE,'ORDENES'!$V17=$F$3),'ORDENES'!$AA17=TRUE,'ORDENES'!$A17&lt;&gt;""),1,0)</f>
        <v/>
      </c>
      <c r="L21" s="3">
        <f>IF(K21=1,IFERROR(MATCH('ORDENES'!$R17,lista_dias,0),9)*1000000000+IFERROR(MATCH('ORDENES'!$AC17,lista_turnos,0),9)*10000000+IFERROR(MATCH('ORDENES'!$AB17,'TECNICOS'!$B$4:$B$15,0),99)*100000+14,9000000000000+14)</f>
        <v/>
      </c>
      <c r="M21" s="3">
        <f>IF(K21=1,SUMPRODUCT(--($L$8:$L$1207&lt;L21))+1,"")</f>
        <v/>
      </c>
      <c r="N21" s="17">
        <f>IF(K21=1,N('ORDENES'!$M17),0)</f>
        <v/>
      </c>
      <c r="O21" s="17">
        <f>IF('ORDENES'!$S17="preventiva",N21,0)</f>
        <v/>
      </c>
      <c r="P21" s="17">
        <f>IF('ORDENES'!$S17="correctiva",N21,0)</f>
        <v/>
      </c>
      <c r="Q21" s="3">
        <f>IF(AND(K21=1,'ORDENES'!$N17="Pendiente"),1,0)</f>
        <v/>
      </c>
      <c r="R21" s="3">
        <f>IF(Q21=1,100000-N21*1000+14*0.01,9000000000000+14)</f>
        <v/>
      </c>
      <c r="S21" s="3">
        <f>IF(Q21=1,SUMPRODUCT(--($R$8:$R$1207&lt;R21))+1,"")</f>
        <v/>
      </c>
      <c r="T21" s="11">
        <f>IF(K21=1,'ORDENES'!$J17,"")</f>
        <v/>
      </c>
      <c r="U21" s="3">
        <f>IFERROR(MATCH(14,$M$8:$M$1207,0),"")</f>
        <v/>
      </c>
      <c r="V21" s="3">
        <f>IF(U21="","",INDEX('ORDENES'!$R$4:$R$1203,U21))</f>
        <v/>
      </c>
      <c r="W21" s="3">
        <f>IF(U21="","",IF(V21&lt;&gt;V20,CHAR(10)&amp;UPPER(LEFT(V21,1))&amp;MID(V21,2,20)&amp;":"&amp;CHAR(10),"")&amp;"   "&amp;IF(INDEX('ORDENES'!$AC$4:$AC$1203,U21)="","(s/t)",INDEX('ORDENES'!$AC$4:$AC$1203,U21))&amp;" · "&amp;IF(INDEX('ORDENES'!$AB$4:$AB$1203,U21)="","(sin técnico)",INDEX('ORDENES'!$AB$4:$AB$1203,U21))&amp;" · "&amp;INDEX('ORDENES'!$AN$4:$AN$1203,U21)&amp;" — "&amp;INDEX('ORDENES'!$D$4:$D$1203,U21)&amp;" ("&amp;TEXT(INDEX('ORDENES'!$M$4:$M$1203,U21),"0.#")&amp;" h)")</f>
        <v/>
      </c>
      <c r="Y21" s="3">
        <f>IFERROR(MATCH(14,$S$8:$S$1207,0),"")</f>
        <v/>
      </c>
      <c r="Z21" s="3">
        <f>IF(OR(Y21="",14&gt;p_top_tareas),"","   • "&amp;INDEX('ORDENES'!$E$4:$E$1203,Y21)&amp;" — "&amp;INDEX('ORDENES'!$D$4:$D$1203,Y21)&amp;" · "&amp;TEXT(INDEX('ORDENES'!$M$4:$M$1203,Y21),"0.#")&amp;" h · "&amp;IF(INDEX('ORDENES'!$AB$4:$AB$1203,Y21)="","(sin técnico)",INDEX('ORDENES'!$AB$4:$AB$1203,Y21))&amp;IF(INDEX('ORDENES'!$AI$4:$AI$1203,Y21)&lt;&gt;""," · permiso de trabajo","")&amp;IF(INDEX('ORDENES'!$AJ$4:$AJ$1203,Y21)&lt;&gt;""," · bloqueo de energía (LOTO)",""))</f>
        <v/>
      </c>
    </row>
    <row r="22">
      <c r="K22" s="3">
        <f>IF(AND(IF($B$3="(todos)",TRUE,'ORDENES'!$O18=$B$3),IF($D$3="(todos)",TRUE,'ORDENES'!$AC18=$D$3),IF($F$3="(todos)",TRUE,'ORDENES'!$V18=$F$3),'ORDENES'!$AA18=TRUE,'ORDENES'!$A18&lt;&gt;""),1,0)</f>
        <v/>
      </c>
      <c r="L22" s="3">
        <f>IF(K22=1,IFERROR(MATCH('ORDENES'!$R18,lista_dias,0),9)*1000000000+IFERROR(MATCH('ORDENES'!$AC18,lista_turnos,0),9)*10000000+IFERROR(MATCH('ORDENES'!$AB18,'TECNICOS'!$B$4:$B$15,0),99)*100000+15,9000000000000+15)</f>
        <v/>
      </c>
      <c r="M22" s="3">
        <f>IF(K22=1,SUMPRODUCT(--($L$8:$L$1207&lt;L22))+1,"")</f>
        <v/>
      </c>
      <c r="N22" s="17">
        <f>IF(K22=1,N('ORDENES'!$M18),0)</f>
        <v/>
      </c>
      <c r="O22" s="17">
        <f>IF('ORDENES'!$S18="preventiva",N22,0)</f>
        <v/>
      </c>
      <c r="P22" s="17">
        <f>IF('ORDENES'!$S18="correctiva",N22,0)</f>
        <v/>
      </c>
      <c r="Q22" s="3">
        <f>IF(AND(K22=1,'ORDENES'!$N18="Pendiente"),1,0)</f>
        <v/>
      </c>
      <c r="R22" s="3">
        <f>IF(Q22=1,100000-N22*1000+15*0.01,9000000000000+15)</f>
        <v/>
      </c>
      <c r="S22" s="3">
        <f>IF(Q22=1,SUMPRODUCT(--($R$8:$R$1207&lt;R22))+1,"")</f>
        <v/>
      </c>
      <c r="T22" s="11">
        <f>IF(K22=1,'ORDENES'!$J18,"")</f>
        <v/>
      </c>
      <c r="U22" s="3">
        <f>IFERROR(MATCH(15,$M$8:$M$1207,0),"")</f>
        <v/>
      </c>
      <c r="V22" s="3">
        <f>IF(U22="","",INDEX('ORDENES'!$R$4:$R$1203,U22))</f>
        <v/>
      </c>
      <c r="W22" s="3">
        <f>IF(U22="","",IF(V22&lt;&gt;V21,CHAR(10)&amp;UPPER(LEFT(V22,1))&amp;MID(V22,2,20)&amp;":"&amp;CHAR(10),"")&amp;"   "&amp;IF(INDEX('ORDENES'!$AC$4:$AC$1203,U22)="","(s/t)",INDEX('ORDENES'!$AC$4:$AC$1203,U22))&amp;" · "&amp;IF(INDEX('ORDENES'!$AB$4:$AB$1203,U22)="","(sin técnico)",INDEX('ORDENES'!$AB$4:$AB$1203,U22))&amp;" · "&amp;INDEX('ORDENES'!$AN$4:$AN$1203,U22)&amp;" — "&amp;INDEX('ORDENES'!$D$4:$D$1203,U22)&amp;" ("&amp;TEXT(INDEX('ORDENES'!$M$4:$M$1203,U22),"0.#")&amp;" h)")</f>
        <v/>
      </c>
      <c r="Y22" s="3">
        <f>IFERROR(MATCH(15,$S$8:$S$1207,0),"")</f>
        <v/>
      </c>
      <c r="Z22" s="3">
        <f>IF(OR(Y22="",15&gt;p_top_tareas),"","   • "&amp;INDEX('ORDENES'!$E$4:$E$1203,Y22)&amp;" — "&amp;INDEX('ORDENES'!$D$4:$D$1203,Y22)&amp;" · "&amp;TEXT(INDEX('ORDENES'!$M$4:$M$1203,Y22),"0.#")&amp;" h · "&amp;IF(INDEX('ORDENES'!$AB$4:$AB$1203,Y22)="","(sin técnico)",INDEX('ORDENES'!$AB$4:$AB$1203,Y22))&amp;IF(INDEX('ORDENES'!$AI$4:$AI$1203,Y22)&lt;&gt;""," · permiso de trabajo","")&amp;IF(INDEX('ORDENES'!$AJ$4:$AJ$1203,Y22)&lt;&gt;""," · bloqueo de energía (LOTO)",""))</f>
        <v/>
      </c>
    </row>
    <row r="23">
      <c r="K23" s="3">
        <f>IF(AND(IF($B$3="(todos)",TRUE,'ORDENES'!$O19=$B$3),IF($D$3="(todos)",TRUE,'ORDENES'!$AC19=$D$3),IF($F$3="(todos)",TRUE,'ORDENES'!$V19=$F$3),'ORDENES'!$AA19=TRUE,'ORDENES'!$A19&lt;&gt;""),1,0)</f>
        <v/>
      </c>
      <c r="L23" s="3">
        <f>IF(K23=1,IFERROR(MATCH('ORDENES'!$R19,lista_dias,0),9)*1000000000+IFERROR(MATCH('ORDENES'!$AC19,lista_turnos,0),9)*10000000+IFERROR(MATCH('ORDENES'!$AB19,'TECNICOS'!$B$4:$B$15,0),99)*100000+16,9000000000000+16)</f>
        <v/>
      </c>
      <c r="M23" s="3">
        <f>IF(K23=1,SUMPRODUCT(--($L$8:$L$1207&lt;L23))+1,"")</f>
        <v/>
      </c>
      <c r="N23" s="17">
        <f>IF(K23=1,N('ORDENES'!$M19),0)</f>
        <v/>
      </c>
      <c r="O23" s="17">
        <f>IF('ORDENES'!$S19="preventiva",N23,0)</f>
        <v/>
      </c>
      <c r="P23" s="17">
        <f>IF('ORDENES'!$S19="correctiva",N23,0)</f>
        <v/>
      </c>
      <c r="Q23" s="3">
        <f>IF(AND(K23=1,'ORDENES'!$N19="Pendiente"),1,0)</f>
        <v/>
      </c>
      <c r="R23" s="3">
        <f>IF(Q23=1,100000-N23*1000+16*0.01,9000000000000+16)</f>
        <v/>
      </c>
      <c r="S23" s="3">
        <f>IF(Q23=1,SUMPRODUCT(--($R$8:$R$1207&lt;R23))+1,"")</f>
        <v/>
      </c>
      <c r="T23" s="11">
        <f>IF(K23=1,'ORDENES'!$J19,"")</f>
        <v/>
      </c>
      <c r="U23" s="3">
        <f>IFERROR(MATCH(16,$M$8:$M$1207,0),"")</f>
        <v/>
      </c>
      <c r="V23" s="3">
        <f>IF(U23="","",INDEX('ORDENES'!$R$4:$R$1203,U23))</f>
        <v/>
      </c>
      <c r="W23" s="3">
        <f>IF(U23="","",IF(V23&lt;&gt;V22,CHAR(10)&amp;UPPER(LEFT(V23,1))&amp;MID(V23,2,20)&amp;":"&amp;CHAR(10),"")&amp;"   "&amp;IF(INDEX('ORDENES'!$AC$4:$AC$1203,U23)="","(s/t)",INDEX('ORDENES'!$AC$4:$AC$1203,U23))&amp;" · "&amp;IF(INDEX('ORDENES'!$AB$4:$AB$1203,U23)="","(sin técnico)",INDEX('ORDENES'!$AB$4:$AB$1203,U23))&amp;" · "&amp;INDEX('ORDENES'!$AN$4:$AN$1203,U23)&amp;" — "&amp;INDEX('ORDENES'!$D$4:$D$1203,U23)&amp;" ("&amp;TEXT(INDEX('ORDENES'!$M$4:$M$1203,U23),"0.#")&amp;" h)")</f>
        <v/>
      </c>
      <c r="Y23" s="3">
        <f>IFERROR(MATCH(16,$S$8:$S$1207,0),"")</f>
        <v/>
      </c>
      <c r="Z23" s="3">
        <f>IF(OR(Y23="",16&gt;p_top_tareas),"","   • "&amp;INDEX('ORDENES'!$E$4:$E$1203,Y23)&amp;" — "&amp;INDEX('ORDENES'!$D$4:$D$1203,Y23)&amp;" · "&amp;TEXT(INDEX('ORDENES'!$M$4:$M$1203,Y23),"0.#")&amp;" h · "&amp;IF(INDEX('ORDENES'!$AB$4:$AB$1203,Y23)="","(sin técnico)",INDEX('ORDENES'!$AB$4:$AB$1203,Y23))&amp;IF(INDEX('ORDENES'!$AI$4:$AI$1203,Y23)&lt;&gt;""," · permiso de trabajo","")&amp;IF(INDEX('ORDENES'!$AJ$4:$AJ$1203,Y23)&lt;&gt;""," · bloqueo de energía (LOTO)",""))</f>
        <v/>
      </c>
    </row>
    <row r="24">
      <c r="K24" s="3">
        <f>IF(AND(IF($B$3="(todos)",TRUE,'ORDENES'!$O20=$B$3),IF($D$3="(todos)",TRUE,'ORDENES'!$AC20=$D$3),IF($F$3="(todos)",TRUE,'ORDENES'!$V20=$F$3),'ORDENES'!$AA20=TRUE,'ORDENES'!$A20&lt;&gt;""),1,0)</f>
        <v/>
      </c>
      <c r="L24" s="3">
        <f>IF(K24=1,IFERROR(MATCH('ORDENES'!$R20,lista_dias,0),9)*1000000000+IFERROR(MATCH('ORDENES'!$AC20,lista_turnos,0),9)*10000000+IFERROR(MATCH('ORDENES'!$AB20,'TECNICOS'!$B$4:$B$15,0),99)*100000+17,9000000000000+17)</f>
        <v/>
      </c>
      <c r="M24" s="3">
        <f>IF(K24=1,SUMPRODUCT(--($L$8:$L$1207&lt;L24))+1,"")</f>
        <v/>
      </c>
      <c r="N24" s="17">
        <f>IF(K24=1,N('ORDENES'!$M20),0)</f>
        <v/>
      </c>
      <c r="O24" s="17">
        <f>IF('ORDENES'!$S20="preventiva",N24,0)</f>
        <v/>
      </c>
      <c r="P24" s="17">
        <f>IF('ORDENES'!$S20="correctiva",N24,0)</f>
        <v/>
      </c>
      <c r="Q24" s="3">
        <f>IF(AND(K24=1,'ORDENES'!$N20="Pendiente"),1,0)</f>
        <v/>
      </c>
      <c r="R24" s="3">
        <f>IF(Q24=1,100000-N24*1000+17*0.01,9000000000000+17)</f>
        <v/>
      </c>
      <c r="S24" s="3">
        <f>IF(Q24=1,SUMPRODUCT(--($R$8:$R$1207&lt;R24))+1,"")</f>
        <v/>
      </c>
      <c r="T24" s="11">
        <f>IF(K24=1,'ORDENES'!$J20,"")</f>
        <v/>
      </c>
      <c r="U24" s="3">
        <f>IFERROR(MATCH(17,$M$8:$M$1207,0),"")</f>
        <v/>
      </c>
      <c r="V24" s="3">
        <f>IF(U24="","",INDEX('ORDENES'!$R$4:$R$1203,U24))</f>
        <v/>
      </c>
      <c r="W24" s="3">
        <f>IF(U24="","",IF(V24&lt;&gt;V23,CHAR(10)&amp;UPPER(LEFT(V24,1))&amp;MID(V24,2,20)&amp;":"&amp;CHAR(10),"")&amp;"   "&amp;IF(INDEX('ORDENES'!$AC$4:$AC$1203,U24)="","(s/t)",INDEX('ORDENES'!$AC$4:$AC$1203,U24))&amp;" · "&amp;IF(INDEX('ORDENES'!$AB$4:$AB$1203,U24)="","(sin técnico)",INDEX('ORDENES'!$AB$4:$AB$1203,U24))&amp;" · "&amp;INDEX('ORDENES'!$AN$4:$AN$1203,U24)&amp;" — "&amp;INDEX('ORDENES'!$D$4:$D$1203,U24)&amp;" ("&amp;TEXT(INDEX('ORDENES'!$M$4:$M$1203,U24),"0.#")&amp;" h)")</f>
        <v/>
      </c>
      <c r="Y24" s="3">
        <f>IFERROR(MATCH(17,$S$8:$S$1207,0),"")</f>
        <v/>
      </c>
      <c r="Z24" s="3">
        <f>IF(OR(Y24="",17&gt;p_top_tareas),"","   • "&amp;INDEX('ORDENES'!$E$4:$E$1203,Y24)&amp;" — "&amp;INDEX('ORDENES'!$D$4:$D$1203,Y24)&amp;" · "&amp;TEXT(INDEX('ORDENES'!$M$4:$M$1203,Y24),"0.#")&amp;" h · "&amp;IF(INDEX('ORDENES'!$AB$4:$AB$1203,Y24)="","(sin técnico)",INDEX('ORDENES'!$AB$4:$AB$1203,Y24))&amp;IF(INDEX('ORDENES'!$AI$4:$AI$1203,Y24)&lt;&gt;""," · permiso de trabajo","")&amp;IF(INDEX('ORDENES'!$AJ$4:$AJ$1203,Y24)&lt;&gt;""," · bloqueo de energía (LOTO)",""))</f>
        <v/>
      </c>
    </row>
    <row r="25">
      <c r="K25" s="3">
        <f>IF(AND(IF($B$3="(todos)",TRUE,'ORDENES'!$O21=$B$3),IF($D$3="(todos)",TRUE,'ORDENES'!$AC21=$D$3),IF($F$3="(todos)",TRUE,'ORDENES'!$V21=$F$3),'ORDENES'!$AA21=TRUE,'ORDENES'!$A21&lt;&gt;""),1,0)</f>
        <v/>
      </c>
      <c r="L25" s="3">
        <f>IF(K25=1,IFERROR(MATCH('ORDENES'!$R21,lista_dias,0),9)*1000000000+IFERROR(MATCH('ORDENES'!$AC21,lista_turnos,0),9)*10000000+IFERROR(MATCH('ORDENES'!$AB21,'TECNICOS'!$B$4:$B$15,0),99)*100000+18,9000000000000+18)</f>
        <v/>
      </c>
      <c r="M25" s="3">
        <f>IF(K25=1,SUMPRODUCT(--($L$8:$L$1207&lt;L25))+1,"")</f>
        <v/>
      </c>
      <c r="N25" s="17">
        <f>IF(K25=1,N('ORDENES'!$M21),0)</f>
        <v/>
      </c>
      <c r="O25" s="17">
        <f>IF('ORDENES'!$S21="preventiva",N25,0)</f>
        <v/>
      </c>
      <c r="P25" s="17">
        <f>IF('ORDENES'!$S21="correctiva",N25,0)</f>
        <v/>
      </c>
      <c r="Q25" s="3">
        <f>IF(AND(K25=1,'ORDENES'!$N21="Pendiente"),1,0)</f>
        <v/>
      </c>
      <c r="R25" s="3">
        <f>IF(Q25=1,100000-N25*1000+18*0.01,9000000000000+18)</f>
        <v/>
      </c>
      <c r="S25" s="3">
        <f>IF(Q25=1,SUMPRODUCT(--($R$8:$R$1207&lt;R25))+1,"")</f>
        <v/>
      </c>
      <c r="T25" s="11">
        <f>IF(K25=1,'ORDENES'!$J21,"")</f>
        <v/>
      </c>
      <c r="U25" s="3">
        <f>IFERROR(MATCH(18,$M$8:$M$1207,0),"")</f>
        <v/>
      </c>
      <c r="V25" s="3">
        <f>IF(U25="","",INDEX('ORDENES'!$R$4:$R$1203,U25))</f>
        <v/>
      </c>
      <c r="W25" s="3">
        <f>IF(U25="","",IF(V25&lt;&gt;V24,CHAR(10)&amp;UPPER(LEFT(V25,1))&amp;MID(V25,2,20)&amp;":"&amp;CHAR(10),"")&amp;"   "&amp;IF(INDEX('ORDENES'!$AC$4:$AC$1203,U25)="","(s/t)",INDEX('ORDENES'!$AC$4:$AC$1203,U25))&amp;" · "&amp;IF(INDEX('ORDENES'!$AB$4:$AB$1203,U25)="","(sin técnico)",INDEX('ORDENES'!$AB$4:$AB$1203,U25))&amp;" · "&amp;INDEX('ORDENES'!$AN$4:$AN$1203,U25)&amp;" — "&amp;INDEX('ORDENES'!$D$4:$D$1203,U25)&amp;" ("&amp;TEXT(INDEX('ORDENES'!$M$4:$M$1203,U25),"0.#")&amp;" h)")</f>
        <v/>
      </c>
      <c r="Y25" s="3">
        <f>IFERROR(MATCH(18,$S$8:$S$1207,0),"")</f>
        <v/>
      </c>
      <c r="Z25" s="3">
        <f>IF(OR(Y25="",18&gt;p_top_tareas),"","   • "&amp;INDEX('ORDENES'!$E$4:$E$1203,Y25)&amp;" — "&amp;INDEX('ORDENES'!$D$4:$D$1203,Y25)&amp;" · "&amp;TEXT(INDEX('ORDENES'!$M$4:$M$1203,Y25),"0.#")&amp;" h · "&amp;IF(INDEX('ORDENES'!$AB$4:$AB$1203,Y25)="","(sin técnico)",INDEX('ORDENES'!$AB$4:$AB$1203,Y25))&amp;IF(INDEX('ORDENES'!$AI$4:$AI$1203,Y25)&lt;&gt;""," · permiso de trabajo","")&amp;IF(INDEX('ORDENES'!$AJ$4:$AJ$1203,Y25)&lt;&gt;""," · bloqueo de energía (LOTO)",""))</f>
        <v/>
      </c>
    </row>
    <row r="26">
      <c r="K26" s="3">
        <f>IF(AND(IF($B$3="(todos)",TRUE,'ORDENES'!$O22=$B$3),IF($D$3="(todos)",TRUE,'ORDENES'!$AC22=$D$3),IF($F$3="(todos)",TRUE,'ORDENES'!$V22=$F$3),'ORDENES'!$AA22=TRUE,'ORDENES'!$A22&lt;&gt;""),1,0)</f>
        <v/>
      </c>
      <c r="L26" s="3">
        <f>IF(K26=1,IFERROR(MATCH('ORDENES'!$R22,lista_dias,0),9)*1000000000+IFERROR(MATCH('ORDENES'!$AC22,lista_turnos,0),9)*10000000+IFERROR(MATCH('ORDENES'!$AB22,'TECNICOS'!$B$4:$B$15,0),99)*100000+19,9000000000000+19)</f>
        <v/>
      </c>
      <c r="M26" s="3">
        <f>IF(K26=1,SUMPRODUCT(--($L$8:$L$1207&lt;L26))+1,"")</f>
        <v/>
      </c>
      <c r="N26" s="17">
        <f>IF(K26=1,N('ORDENES'!$M22),0)</f>
        <v/>
      </c>
      <c r="O26" s="17">
        <f>IF('ORDENES'!$S22="preventiva",N26,0)</f>
        <v/>
      </c>
      <c r="P26" s="17">
        <f>IF('ORDENES'!$S22="correctiva",N26,0)</f>
        <v/>
      </c>
      <c r="Q26" s="3">
        <f>IF(AND(K26=1,'ORDENES'!$N22="Pendiente"),1,0)</f>
        <v/>
      </c>
      <c r="R26" s="3">
        <f>IF(Q26=1,100000-N26*1000+19*0.01,9000000000000+19)</f>
        <v/>
      </c>
      <c r="S26" s="3">
        <f>IF(Q26=1,SUMPRODUCT(--($R$8:$R$1207&lt;R26))+1,"")</f>
        <v/>
      </c>
      <c r="T26" s="11">
        <f>IF(K26=1,'ORDENES'!$J22,"")</f>
        <v/>
      </c>
      <c r="U26" s="3">
        <f>IFERROR(MATCH(19,$M$8:$M$1207,0),"")</f>
        <v/>
      </c>
      <c r="V26" s="3">
        <f>IF(U26="","",INDEX('ORDENES'!$R$4:$R$1203,U26))</f>
        <v/>
      </c>
      <c r="W26" s="3">
        <f>IF(U26="","",IF(V26&lt;&gt;V25,CHAR(10)&amp;UPPER(LEFT(V26,1))&amp;MID(V26,2,20)&amp;":"&amp;CHAR(10),"")&amp;"   "&amp;IF(INDEX('ORDENES'!$AC$4:$AC$1203,U26)="","(s/t)",INDEX('ORDENES'!$AC$4:$AC$1203,U26))&amp;" · "&amp;IF(INDEX('ORDENES'!$AB$4:$AB$1203,U26)="","(sin técnico)",INDEX('ORDENES'!$AB$4:$AB$1203,U26))&amp;" · "&amp;INDEX('ORDENES'!$AN$4:$AN$1203,U26)&amp;" — "&amp;INDEX('ORDENES'!$D$4:$D$1203,U26)&amp;" ("&amp;TEXT(INDEX('ORDENES'!$M$4:$M$1203,U26),"0.#")&amp;" h)")</f>
        <v/>
      </c>
      <c r="Y26" s="3">
        <f>IFERROR(MATCH(19,$S$8:$S$1207,0),"")</f>
        <v/>
      </c>
      <c r="Z26" s="3">
        <f>IF(OR(Y26="",19&gt;p_top_tareas),"","   • "&amp;INDEX('ORDENES'!$E$4:$E$1203,Y26)&amp;" — "&amp;INDEX('ORDENES'!$D$4:$D$1203,Y26)&amp;" · "&amp;TEXT(INDEX('ORDENES'!$M$4:$M$1203,Y26),"0.#")&amp;" h · "&amp;IF(INDEX('ORDENES'!$AB$4:$AB$1203,Y26)="","(sin técnico)",INDEX('ORDENES'!$AB$4:$AB$1203,Y26))&amp;IF(INDEX('ORDENES'!$AI$4:$AI$1203,Y26)&lt;&gt;""," · permiso de trabajo","")&amp;IF(INDEX('ORDENES'!$AJ$4:$AJ$1203,Y26)&lt;&gt;""," · bloqueo de energía (LOTO)",""))</f>
        <v/>
      </c>
    </row>
    <row r="27">
      <c r="K27" s="3">
        <f>IF(AND(IF($B$3="(todos)",TRUE,'ORDENES'!$O23=$B$3),IF($D$3="(todos)",TRUE,'ORDENES'!$AC23=$D$3),IF($F$3="(todos)",TRUE,'ORDENES'!$V23=$F$3),'ORDENES'!$AA23=TRUE,'ORDENES'!$A23&lt;&gt;""),1,0)</f>
        <v/>
      </c>
      <c r="L27" s="3">
        <f>IF(K27=1,IFERROR(MATCH('ORDENES'!$R23,lista_dias,0),9)*1000000000+IFERROR(MATCH('ORDENES'!$AC23,lista_turnos,0),9)*10000000+IFERROR(MATCH('ORDENES'!$AB23,'TECNICOS'!$B$4:$B$15,0),99)*100000+20,9000000000000+20)</f>
        <v/>
      </c>
      <c r="M27" s="3">
        <f>IF(K27=1,SUMPRODUCT(--($L$8:$L$1207&lt;L27))+1,"")</f>
        <v/>
      </c>
      <c r="N27" s="17">
        <f>IF(K27=1,N('ORDENES'!$M23),0)</f>
        <v/>
      </c>
      <c r="O27" s="17">
        <f>IF('ORDENES'!$S23="preventiva",N27,0)</f>
        <v/>
      </c>
      <c r="P27" s="17">
        <f>IF('ORDENES'!$S23="correctiva",N27,0)</f>
        <v/>
      </c>
      <c r="Q27" s="3">
        <f>IF(AND(K27=1,'ORDENES'!$N23="Pendiente"),1,0)</f>
        <v/>
      </c>
      <c r="R27" s="3">
        <f>IF(Q27=1,100000-N27*1000+20*0.01,9000000000000+20)</f>
        <v/>
      </c>
      <c r="S27" s="3">
        <f>IF(Q27=1,SUMPRODUCT(--($R$8:$R$1207&lt;R27))+1,"")</f>
        <v/>
      </c>
      <c r="T27" s="11">
        <f>IF(K27=1,'ORDENES'!$J23,"")</f>
        <v/>
      </c>
      <c r="U27" s="3">
        <f>IFERROR(MATCH(20,$M$8:$M$1207,0),"")</f>
        <v/>
      </c>
      <c r="V27" s="3">
        <f>IF(U27="","",INDEX('ORDENES'!$R$4:$R$1203,U27))</f>
        <v/>
      </c>
      <c r="W27" s="3">
        <f>IF(U27="","",IF(V27&lt;&gt;V26,CHAR(10)&amp;UPPER(LEFT(V27,1))&amp;MID(V27,2,20)&amp;":"&amp;CHAR(10),"")&amp;"   "&amp;IF(INDEX('ORDENES'!$AC$4:$AC$1203,U27)="","(s/t)",INDEX('ORDENES'!$AC$4:$AC$1203,U27))&amp;" · "&amp;IF(INDEX('ORDENES'!$AB$4:$AB$1203,U27)="","(sin técnico)",INDEX('ORDENES'!$AB$4:$AB$1203,U27))&amp;" · "&amp;INDEX('ORDENES'!$AN$4:$AN$1203,U27)&amp;" — "&amp;INDEX('ORDENES'!$D$4:$D$1203,U27)&amp;" ("&amp;TEXT(INDEX('ORDENES'!$M$4:$M$1203,U27),"0.#")&amp;" h)")</f>
        <v/>
      </c>
      <c r="Y27" s="3">
        <f>IFERROR(MATCH(20,$S$8:$S$1207,0),"")</f>
        <v/>
      </c>
      <c r="Z27" s="3">
        <f>IF(OR(Y27="",20&gt;p_top_tareas),"","   • "&amp;INDEX('ORDENES'!$E$4:$E$1203,Y27)&amp;" — "&amp;INDEX('ORDENES'!$D$4:$D$1203,Y27)&amp;" · "&amp;TEXT(INDEX('ORDENES'!$M$4:$M$1203,Y27),"0.#")&amp;" h · "&amp;IF(INDEX('ORDENES'!$AB$4:$AB$1203,Y27)="","(sin técnico)",INDEX('ORDENES'!$AB$4:$AB$1203,Y27))&amp;IF(INDEX('ORDENES'!$AI$4:$AI$1203,Y27)&lt;&gt;""," · permiso de trabajo","")&amp;IF(INDEX('ORDENES'!$AJ$4:$AJ$1203,Y27)&lt;&gt;""," · bloqueo de energía (LOTO)",""))</f>
        <v/>
      </c>
    </row>
    <row r="28">
      <c r="K28" s="3">
        <f>IF(AND(IF($B$3="(todos)",TRUE,'ORDENES'!$O24=$B$3),IF($D$3="(todos)",TRUE,'ORDENES'!$AC24=$D$3),IF($F$3="(todos)",TRUE,'ORDENES'!$V24=$F$3),'ORDENES'!$AA24=TRUE,'ORDENES'!$A24&lt;&gt;""),1,0)</f>
        <v/>
      </c>
      <c r="L28" s="3">
        <f>IF(K28=1,IFERROR(MATCH('ORDENES'!$R24,lista_dias,0),9)*1000000000+IFERROR(MATCH('ORDENES'!$AC24,lista_turnos,0),9)*10000000+IFERROR(MATCH('ORDENES'!$AB24,'TECNICOS'!$B$4:$B$15,0),99)*100000+21,9000000000000+21)</f>
        <v/>
      </c>
      <c r="M28" s="3">
        <f>IF(K28=1,SUMPRODUCT(--($L$8:$L$1207&lt;L28))+1,"")</f>
        <v/>
      </c>
      <c r="N28" s="17">
        <f>IF(K28=1,N('ORDENES'!$M24),0)</f>
        <v/>
      </c>
      <c r="O28" s="17">
        <f>IF('ORDENES'!$S24="preventiva",N28,0)</f>
        <v/>
      </c>
      <c r="P28" s="17">
        <f>IF('ORDENES'!$S24="correctiva",N28,0)</f>
        <v/>
      </c>
      <c r="Q28" s="3">
        <f>IF(AND(K28=1,'ORDENES'!$N24="Pendiente"),1,0)</f>
        <v/>
      </c>
      <c r="R28" s="3">
        <f>IF(Q28=1,100000-N28*1000+21*0.01,9000000000000+21)</f>
        <v/>
      </c>
      <c r="S28" s="3">
        <f>IF(Q28=1,SUMPRODUCT(--($R$8:$R$1207&lt;R28))+1,"")</f>
        <v/>
      </c>
      <c r="T28" s="11">
        <f>IF(K28=1,'ORDENES'!$J24,"")</f>
        <v/>
      </c>
      <c r="U28" s="3">
        <f>IFERROR(MATCH(21,$M$8:$M$1207,0),"")</f>
        <v/>
      </c>
      <c r="V28" s="3">
        <f>IF(U28="","",INDEX('ORDENES'!$R$4:$R$1203,U28))</f>
        <v/>
      </c>
      <c r="W28" s="3">
        <f>IF(U28="","",IF(V28&lt;&gt;V27,CHAR(10)&amp;UPPER(LEFT(V28,1))&amp;MID(V28,2,20)&amp;":"&amp;CHAR(10),"")&amp;"   "&amp;IF(INDEX('ORDENES'!$AC$4:$AC$1203,U28)="","(s/t)",INDEX('ORDENES'!$AC$4:$AC$1203,U28))&amp;" · "&amp;IF(INDEX('ORDENES'!$AB$4:$AB$1203,U28)="","(sin técnico)",INDEX('ORDENES'!$AB$4:$AB$1203,U28))&amp;" · "&amp;INDEX('ORDENES'!$AN$4:$AN$1203,U28)&amp;" — "&amp;INDEX('ORDENES'!$D$4:$D$1203,U28)&amp;" ("&amp;TEXT(INDEX('ORDENES'!$M$4:$M$1203,U28),"0.#")&amp;" h)")</f>
        <v/>
      </c>
    </row>
    <row r="29">
      <c r="K29" s="3">
        <f>IF(AND(IF($B$3="(todos)",TRUE,'ORDENES'!$O25=$B$3),IF($D$3="(todos)",TRUE,'ORDENES'!$AC25=$D$3),IF($F$3="(todos)",TRUE,'ORDENES'!$V25=$F$3),'ORDENES'!$AA25=TRUE,'ORDENES'!$A25&lt;&gt;""),1,0)</f>
        <v/>
      </c>
      <c r="L29" s="3">
        <f>IF(K29=1,IFERROR(MATCH('ORDENES'!$R25,lista_dias,0),9)*1000000000+IFERROR(MATCH('ORDENES'!$AC25,lista_turnos,0),9)*10000000+IFERROR(MATCH('ORDENES'!$AB25,'TECNICOS'!$B$4:$B$15,0),99)*100000+22,9000000000000+22)</f>
        <v/>
      </c>
      <c r="M29" s="3">
        <f>IF(K29=1,SUMPRODUCT(--($L$8:$L$1207&lt;L29))+1,"")</f>
        <v/>
      </c>
      <c r="N29" s="17">
        <f>IF(K29=1,N('ORDENES'!$M25),0)</f>
        <v/>
      </c>
      <c r="O29" s="17">
        <f>IF('ORDENES'!$S25="preventiva",N29,0)</f>
        <v/>
      </c>
      <c r="P29" s="17">
        <f>IF('ORDENES'!$S25="correctiva",N29,0)</f>
        <v/>
      </c>
      <c r="Q29" s="3">
        <f>IF(AND(K29=1,'ORDENES'!$N25="Pendiente"),1,0)</f>
        <v/>
      </c>
      <c r="R29" s="3">
        <f>IF(Q29=1,100000-N29*1000+22*0.01,9000000000000+22)</f>
        <v/>
      </c>
      <c r="S29" s="3">
        <f>IF(Q29=1,SUMPRODUCT(--($R$8:$R$1207&lt;R29))+1,"")</f>
        <v/>
      </c>
      <c r="T29" s="11">
        <f>IF(K29=1,'ORDENES'!$J25,"")</f>
        <v/>
      </c>
      <c r="U29" s="3">
        <f>IFERROR(MATCH(22,$M$8:$M$1207,0),"")</f>
        <v/>
      </c>
      <c r="V29" s="3">
        <f>IF(U29="","",INDEX('ORDENES'!$R$4:$R$1203,U29))</f>
        <v/>
      </c>
      <c r="W29" s="3">
        <f>IF(U29="","",IF(V29&lt;&gt;V28,CHAR(10)&amp;UPPER(LEFT(V29,1))&amp;MID(V29,2,20)&amp;":"&amp;CHAR(10),"")&amp;"   "&amp;IF(INDEX('ORDENES'!$AC$4:$AC$1203,U29)="","(s/t)",INDEX('ORDENES'!$AC$4:$AC$1203,U29))&amp;" · "&amp;IF(INDEX('ORDENES'!$AB$4:$AB$1203,U29)="","(sin técnico)",INDEX('ORDENES'!$AB$4:$AB$1203,U29))&amp;" · "&amp;INDEX('ORDENES'!$AN$4:$AN$1203,U29)&amp;" — "&amp;INDEX('ORDENES'!$D$4:$D$1203,U29)&amp;" ("&amp;TEXT(INDEX('ORDENES'!$M$4:$M$1203,U29),"0.#")&amp;" h)")</f>
        <v/>
      </c>
    </row>
    <row r="30">
      <c r="K30" s="3">
        <f>IF(AND(IF($B$3="(todos)",TRUE,'ORDENES'!$O26=$B$3),IF($D$3="(todos)",TRUE,'ORDENES'!$AC26=$D$3),IF($F$3="(todos)",TRUE,'ORDENES'!$V26=$F$3),'ORDENES'!$AA26=TRUE,'ORDENES'!$A26&lt;&gt;""),1,0)</f>
        <v/>
      </c>
      <c r="L30" s="3">
        <f>IF(K30=1,IFERROR(MATCH('ORDENES'!$R26,lista_dias,0),9)*1000000000+IFERROR(MATCH('ORDENES'!$AC26,lista_turnos,0),9)*10000000+IFERROR(MATCH('ORDENES'!$AB26,'TECNICOS'!$B$4:$B$15,0),99)*100000+23,9000000000000+23)</f>
        <v/>
      </c>
      <c r="M30" s="3">
        <f>IF(K30=1,SUMPRODUCT(--($L$8:$L$1207&lt;L30))+1,"")</f>
        <v/>
      </c>
      <c r="N30" s="17">
        <f>IF(K30=1,N('ORDENES'!$M26),0)</f>
        <v/>
      </c>
      <c r="O30" s="17">
        <f>IF('ORDENES'!$S26="preventiva",N30,0)</f>
        <v/>
      </c>
      <c r="P30" s="17">
        <f>IF('ORDENES'!$S26="correctiva",N30,0)</f>
        <v/>
      </c>
      <c r="Q30" s="3">
        <f>IF(AND(K30=1,'ORDENES'!$N26="Pendiente"),1,0)</f>
        <v/>
      </c>
      <c r="R30" s="3">
        <f>IF(Q30=1,100000-N30*1000+23*0.01,9000000000000+23)</f>
        <v/>
      </c>
      <c r="S30" s="3">
        <f>IF(Q30=1,SUMPRODUCT(--($R$8:$R$1207&lt;R30))+1,"")</f>
        <v/>
      </c>
      <c r="T30" s="11">
        <f>IF(K30=1,'ORDENES'!$J26,"")</f>
        <v/>
      </c>
      <c r="U30" s="3">
        <f>IFERROR(MATCH(23,$M$8:$M$1207,0),"")</f>
        <v/>
      </c>
      <c r="V30" s="3">
        <f>IF(U30="","",INDEX('ORDENES'!$R$4:$R$1203,U30))</f>
        <v/>
      </c>
      <c r="W30" s="3">
        <f>IF(U30="","",IF(V30&lt;&gt;V29,CHAR(10)&amp;UPPER(LEFT(V30,1))&amp;MID(V30,2,20)&amp;":"&amp;CHAR(10),"")&amp;"   "&amp;IF(INDEX('ORDENES'!$AC$4:$AC$1203,U30)="","(s/t)",INDEX('ORDENES'!$AC$4:$AC$1203,U30))&amp;" · "&amp;IF(INDEX('ORDENES'!$AB$4:$AB$1203,U30)="","(sin técnico)",INDEX('ORDENES'!$AB$4:$AB$1203,U30))&amp;" · "&amp;INDEX('ORDENES'!$AN$4:$AN$1203,U30)&amp;" — "&amp;INDEX('ORDENES'!$D$4:$D$1203,U30)&amp;" ("&amp;TEXT(INDEX('ORDENES'!$M$4:$M$1203,U30),"0.#")&amp;" h)")</f>
        <v/>
      </c>
    </row>
    <row r="31">
      <c r="K31" s="3">
        <f>IF(AND(IF($B$3="(todos)",TRUE,'ORDENES'!$O27=$B$3),IF($D$3="(todos)",TRUE,'ORDENES'!$AC27=$D$3),IF($F$3="(todos)",TRUE,'ORDENES'!$V27=$F$3),'ORDENES'!$AA27=TRUE,'ORDENES'!$A27&lt;&gt;""),1,0)</f>
        <v/>
      </c>
      <c r="L31" s="3">
        <f>IF(K31=1,IFERROR(MATCH('ORDENES'!$R27,lista_dias,0),9)*1000000000+IFERROR(MATCH('ORDENES'!$AC27,lista_turnos,0),9)*10000000+IFERROR(MATCH('ORDENES'!$AB27,'TECNICOS'!$B$4:$B$15,0),99)*100000+24,9000000000000+24)</f>
        <v/>
      </c>
      <c r="M31" s="3">
        <f>IF(K31=1,SUMPRODUCT(--($L$8:$L$1207&lt;L31))+1,"")</f>
        <v/>
      </c>
      <c r="N31" s="17">
        <f>IF(K31=1,N('ORDENES'!$M27),0)</f>
        <v/>
      </c>
      <c r="O31" s="17">
        <f>IF('ORDENES'!$S27="preventiva",N31,0)</f>
        <v/>
      </c>
      <c r="P31" s="17">
        <f>IF('ORDENES'!$S27="correctiva",N31,0)</f>
        <v/>
      </c>
      <c r="Q31" s="3">
        <f>IF(AND(K31=1,'ORDENES'!$N27="Pendiente"),1,0)</f>
        <v/>
      </c>
      <c r="R31" s="3">
        <f>IF(Q31=1,100000-N31*1000+24*0.01,9000000000000+24)</f>
        <v/>
      </c>
      <c r="S31" s="3">
        <f>IF(Q31=1,SUMPRODUCT(--($R$8:$R$1207&lt;R31))+1,"")</f>
        <v/>
      </c>
      <c r="T31" s="11">
        <f>IF(K31=1,'ORDENES'!$J27,"")</f>
        <v/>
      </c>
      <c r="U31" s="3">
        <f>IFERROR(MATCH(24,$M$8:$M$1207,0),"")</f>
        <v/>
      </c>
      <c r="V31" s="3">
        <f>IF(U31="","",INDEX('ORDENES'!$R$4:$R$1203,U31))</f>
        <v/>
      </c>
      <c r="W31" s="3">
        <f>IF(U31="","",IF(V31&lt;&gt;V30,CHAR(10)&amp;UPPER(LEFT(V31,1))&amp;MID(V31,2,20)&amp;":"&amp;CHAR(10),"")&amp;"   "&amp;IF(INDEX('ORDENES'!$AC$4:$AC$1203,U31)="","(s/t)",INDEX('ORDENES'!$AC$4:$AC$1203,U31))&amp;" · "&amp;IF(INDEX('ORDENES'!$AB$4:$AB$1203,U31)="","(sin técnico)",INDEX('ORDENES'!$AB$4:$AB$1203,U31))&amp;" · "&amp;INDEX('ORDENES'!$AN$4:$AN$1203,U31)&amp;" — "&amp;INDEX('ORDENES'!$D$4:$D$1203,U31)&amp;" ("&amp;TEXT(INDEX('ORDENES'!$M$4:$M$1203,U31),"0.#")&amp;" h)")</f>
        <v/>
      </c>
    </row>
    <row r="32">
      <c r="K32" s="3">
        <f>IF(AND(IF($B$3="(todos)",TRUE,'ORDENES'!$O28=$B$3),IF($D$3="(todos)",TRUE,'ORDENES'!$AC28=$D$3),IF($F$3="(todos)",TRUE,'ORDENES'!$V28=$F$3),'ORDENES'!$AA28=TRUE,'ORDENES'!$A28&lt;&gt;""),1,0)</f>
        <v/>
      </c>
      <c r="L32" s="3">
        <f>IF(K32=1,IFERROR(MATCH('ORDENES'!$R28,lista_dias,0),9)*1000000000+IFERROR(MATCH('ORDENES'!$AC28,lista_turnos,0),9)*10000000+IFERROR(MATCH('ORDENES'!$AB28,'TECNICOS'!$B$4:$B$15,0),99)*100000+25,9000000000000+25)</f>
        <v/>
      </c>
      <c r="M32" s="3">
        <f>IF(K32=1,SUMPRODUCT(--($L$8:$L$1207&lt;L32))+1,"")</f>
        <v/>
      </c>
      <c r="N32" s="17">
        <f>IF(K32=1,N('ORDENES'!$M28),0)</f>
        <v/>
      </c>
      <c r="O32" s="17">
        <f>IF('ORDENES'!$S28="preventiva",N32,0)</f>
        <v/>
      </c>
      <c r="P32" s="17">
        <f>IF('ORDENES'!$S28="correctiva",N32,0)</f>
        <v/>
      </c>
      <c r="Q32" s="3">
        <f>IF(AND(K32=1,'ORDENES'!$N28="Pendiente"),1,0)</f>
        <v/>
      </c>
      <c r="R32" s="3">
        <f>IF(Q32=1,100000-N32*1000+25*0.01,9000000000000+25)</f>
        <v/>
      </c>
      <c r="S32" s="3">
        <f>IF(Q32=1,SUMPRODUCT(--($R$8:$R$1207&lt;R32))+1,"")</f>
        <v/>
      </c>
      <c r="T32" s="11">
        <f>IF(K32=1,'ORDENES'!$J28,"")</f>
        <v/>
      </c>
      <c r="U32" s="3">
        <f>IFERROR(MATCH(25,$M$8:$M$1207,0),"")</f>
        <v/>
      </c>
      <c r="V32" s="3">
        <f>IF(U32="","",INDEX('ORDENES'!$R$4:$R$1203,U32))</f>
        <v/>
      </c>
      <c r="W32" s="3">
        <f>IF(U32="","",IF(V32&lt;&gt;V31,CHAR(10)&amp;UPPER(LEFT(V32,1))&amp;MID(V32,2,20)&amp;":"&amp;CHAR(10),"")&amp;"   "&amp;IF(INDEX('ORDENES'!$AC$4:$AC$1203,U32)="","(s/t)",INDEX('ORDENES'!$AC$4:$AC$1203,U32))&amp;" · "&amp;IF(INDEX('ORDENES'!$AB$4:$AB$1203,U32)="","(sin técnico)",INDEX('ORDENES'!$AB$4:$AB$1203,U32))&amp;" · "&amp;INDEX('ORDENES'!$AN$4:$AN$1203,U32)&amp;" — "&amp;INDEX('ORDENES'!$D$4:$D$1203,U32)&amp;" ("&amp;TEXT(INDEX('ORDENES'!$M$4:$M$1203,U32),"0.#")&amp;" h)")</f>
        <v/>
      </c>
    </row>
    <row r="33">
      <c r="K33" s="3">
        <f>IF(AND(IF($B$3="(todos)",TRUE,'ORDENES'!$O29=$B$3),IF($D$3="(todos)",TRUE,'ORDENES'!$AC29=$D$3),IF($F$3="(todos)",TRUE,'ORDENES'!$V29=$F$3),'ORDENES'!$AA29=TRUE,'ORDENES'!$A29&lt;&gt;""),1,0)</f>
        <v/>
      </c>
      <c r="L33" s="3">
        <f>IF(K33=1,IFERROR(MATCH('ORDENES'!$R29,lista_dias,0),9)*1000000000+IFERROR(MATCH('ORDENES'!$AC29,lista_turnos,0),9)*10000000+IFERROR(MATCH('ORDENES'!$AB29,'TECNICOS'!$B$4:$B$15,0),99)*100000+26,9000000000000+26)</f>
        <v/>
      </c>
      <c r="M33" s="3">
        <f>IF(K33=1,SUMPRODUCT(--($L$8:$L$1207&lt;L33))+1,"")</f>
        <v/>
      </c>
      <c r="N33" s="17">
        <f>IF(K33=1,N('ORDENES'!$M29),0)</f>
        <v/>
      </c>
      <c r="O33" s="17">
        <f>IF('ORDENES'!$S29="preventiva",N33,0)</f>
        <v/>
      </c>
      <c r="P33" s="17">
        <f>IF('ORDENES'!$S29="correctiva",N33,0)</f>
        <v/>
      </c>
      <c r="Q33" s="3">
        <f>IF(AND(K33=1,'ORDENES'!$N29="Pendiente"),1,0)</f>
        <v/>
      </c>
      <c r="R33" s="3">
        <f>IF(Q33=1,100000-N33*1000+26*0.01,9000000000000+26)</f>
        <v/>
      </c>
      <c r="S33" s="3">
        <f>IF(Q33=1,SUMPRODUCT(--($R$8:$R$1207&lt;R33))+1,"")</f>
        <v/>
      </c>
      <c r="T33" s="11">
        <f>IF(K33=1,'ORDENES'!$J29,"")</f>
        <v/>
      </c>
      <c r="U33" s="3">
        <f>IFERROR(MATCH(26,$M$8:$M$1207,0),"")</f>
        <v/>
      </c>
      <c r="V33" s="3">
        <f>IF(U33="","",INDEX('ORDENES'!$R$4:$R$1203,U33))</f>
        <v/>
      </c>
      <c r="W33" s="3">
        <f>IF(U33="","",IF(V33&lt;&gt;V32,CHAR(10)&amp;UPPER(LEFT(V33,1))&amp;MID(V33,2,20)&amp;":"&amp;CHAR(10),"")&amp;"   "&amp;IF(INDEX('ORDENES'!$AC$4:$AC$1203,U33)="","(s/t)",INDEX('ORDENES'!$AC$4:$AC$1203,U33))&amp;" · "&amp;IF(INDEX('ORDENES'!$AB$4:$AB$1203,U33)="","(sin técnico)",INDEX('ORDENES'!$AB$4:$AB$1203,U33))&amp;" · "&amp;INDEX('ORDENES'!$AN$4:$AN$1203,U33)&amp;" — "&amp;INDEX('ORDENES'!$D$4:$D$1203,U33)&amp;" ("&amp;TEXT(INDEX('ORDENES'!$M$4:$M$1203,U33),"0.#")&amp;" h)")</f>
        <v/>
      </c>
    </row>
    <row r="34">
      <c r="K34" s="3">
        <f>IF(AND(IF($B$3="(todos)",TRUE,'ORDENES'!$O30=$B$3),IF($D$3="(todos)",TRUE,'ORDENES'!$AC30=$D$3),IF($F$3="(todos)",TRUE,'ORDENES'!$V30=$F$3),'ORDENES'!$AA30=TRUE,'ORDENES'!$A30&lt;&gt;""),1,0)</f>
        <v/>
      </c>
      <c r="L34" s="3">
        <f>IF(K34=1,IFERROR(MATCH('ORDENES'!$R30,lista_dias,0),9)*1000000000+IFERROR(MATCH('ORDENES'!$AC30,lista_turnos,0),9)*10000000+IFERROR(MATCH('ORDENES'!$AB30,'TECNICOS'!$B$4:$B$15,0),99)*100000+27,9000000000000+27)</f>
        <v/>
      </c>
      <c r="M34" s="3">
        <f>IF(K34=1,SUMPRODUCT(--($L$8:$L$1207&lt;L34))+1,"")</f>
        <v/>
      </c>
      <c r="N34" s="17">
        <f>IF(K34=1,N('ORDENES'!$M30),0)</f>
        <v/>
      </c>
      <c r="O34" s="17">
        <f>IF('ORDENES'!$S30="preventiva",N34,0)</f>
        <v/>
      </c>
      <c r="P34" s="17">
        <f>IF('ORDENES'!$S30="correctiva",N34,0)</f>
        <v/>
      </c>
      <c r="Q34" s="3">
        <f>IF(AND(K34=1,'ORDENES'!$N30="Pendiente"),1,0)</f>
        <v/>
      </c>
      <c r="R34" s="3">
        <f>IF(Q34=1,100000-N34*1000+27*0.01,9000000000000+27)</f>
        <v/>
      </c>
      <c r="S34" s="3">
        <f>IF(Q34=1,SUMPRODUCT(--($R$8:$R$1207&lt;R34))+1,"")</f>
        <v/>
      </c>
      <c r="T34" s="11">
        <f>IF(K34=1,'ORDENES'!$J30,"")</f>
        <v/>
      </c>
      <c r="U34" s="3">
        <f>IFERROR(MATCH(27,$M$8:$M$1207,0),"")</f>
        <v/>
      </c>
      <c r="V34" s="3">
        <f>IF(U34="","",INDEX('ORDENES'!$R$4:$R$1203,U34))</f>
        <v/>
      </c>
      <c r="W34" s="3">
        <f>IF(U34="","",IF(V34&lt;&gt;V33,CHAR(10)&amp;UPPER(LEFT(V34,1))&amp;MID(V34,2,20)&amp;":"&amp;CHAR(10),"")&amp;"   "&amp;IF(INDEX('ORDENES'!$AC$4:$AC$1203,U34)="","(s/t)",INDEX('ORDENES'!$AC$4:$AC$1203,U34))&amp;" · "&amp;IF(INDEX('ORDENES'!$AB$4:$AB$1203,U34)="","(sin técnico)",INDEX('ORDENES'!$AB$4:$AB$1203,U34))&amp;" · "&amp;INDEX('ORDENES'!$AN$4:$AN$1203,U34)&amp;" — "&amp;INDEX('ORDENES'!$D$4:$D$1203,U34)&amp;" ("&amp;TEXT(INDEX('ORDENES'!$M$4:$M$1203,U34),"0.#")&amp;" h)")</f>
        <v/>
      </c>
    </row>
    <row r="35">
      <c r="K35" s="3">
        <f>IF(AND(IF($B$3="(todos)",TRUE,'ORDENES'!$O31=$B$3),IF($D$3="(todos)",TRUE,'ORDENES'!$AC31=$D$3),IF($F$3="(todos)",TRUE,'ORDENES'!$V31=$F$3),'ORDENES'!$AA31=TRUE,'ORDENES'!$A31&lt;&gt;""),1,0)</f>
        <v/>
      </c>
      <c r="L35" s="3">
        <f>IF(K35=1,IFERROR(MATCH('ORDENES'!$R31,lista_dias,0),9)*1000000000+IFERROR(MATCH('ORDENES'!$AC31,lista_turnos,0),9)*10000000+IFERROR(MATCH('ORDENES'!$AB31,'TECNICOS'!$B$4:$B$15,0),99)*100000+28,9000000000000+28)</f>
        <v/>
      </c>
      <c r="M35" s="3">
        <f>IF(K35=1,SUMPRODUCT(--($L$8:$L$1207&lt;L35))+1,"")</f>
        <v/>
      </c>
      <c r="N35" s="17">
        <f>IF(K35=1,N('ORDENES'!$M31),0)</f>
        <v/>
      </c>
      <c r="O35" s="17">
        <f>IF('ORDENES'!$S31="preventiva",N35,0)</f>
        <v/>
      </c>
      <c r="P35" s="17">
        <f>IF('ORDENES'!$S31="correctiva",N35,0)</f>
        <v/>
      </c>
      <c r="Q35" s="3">
        <f>IF(AND(K35=1,'ORDENES'!$N31="Pendiente"),1,0)</f>
        <v/>
      </c>
      <c r="R35" s="3">
        <f>IF(Q35=1,100000-N35*1000+28*0.01,9000000000000+28)</f>
        <v/>
      </c>
      <c r="S35" s="3">
        <f>IF(Q35=1,SUMPRODUCT(--($R$8:$R$1207&lt;R35))+1,"")</f>
        <v/>
      </c>
      <c r="T35" s="11">
        <f>IF(K35=1,'ORDENES'!$J31,"")</f>
        <v/>
      </c>
      <c r="U35" s="3">
        <f>IFERROR(MATCH(28,$M$8:$M$1207,0),"")</f>
        <v/>
      </c>
      <c r="V35" s="3">
        <f>IF(U35="","",INDEX('ORDENES'!$R$4:$R$1203,U35))</f>
        <v/>
      </c>
      <c r="W35" s="3">
        <f>IF(U35="","",IF(V35&lt;&gt;V34,CHAR(10)&amp;UPPER(LEFT(V35,1))&amp;MID(V35,2,20)&amp;":"&amp;CHAR(10),"")&amp;"   "&amp;IF(INDEX('ORDENES'!$AC$4:$AC$1203,U35)="","(s/t)",INDEX('ORDENES'!$AC$4:$AC$1203,U35))&amp;" · "&amp;IF(INDEX('ORDENES'!$AB$4:$AB$1203,U35)="","(sin técnico)",INDEX('ORDENES'!$AB$4:$AB$1203,U35))&amp;" · "&amp;INDEX('ORDENES'!$AN$4:$AN$1203,U35)&amp;" — "&amp;INDEX('ORDENES'!$D$4:$D$1203,U35)&amp;" ("&amp;TEXT(INDEX('ORDENES'!$M$4:$M$1203,U35),"0.#")&amp;" h)")</f>
        <v/>
      </c>
    </row>
    <row r="36">
      <c r="K36" s="3">
        <f>IF(AND(IF($B$3="(todos)",TRUE,'ORDENES'!$O32=$B$3),IF($D$3="(todos)",TRUE,'ORDENES'!$AC32=$D$3),IF($F$3="(todos)",TRUE,'ORDENES'!$V32=$F$3),'ORDENES'!$AA32=TRUE,'ORDENES'!$A32&lt;&gt;""),1,0)</f>
        <v/>
      </c>
      <c r="L36" s="3">
        <f>IF(K36=1,IFERROR(MATCH('ORDENES'!$R32,lista_dias,0),9)*1000000000+IFERROR(MATCH('ORDENES'!$AC32,lista_turnos,0),9)*10000000+IFERROR(MATCH('ORDENES'!$AB32,'TECNICOS'!$B$4:$B$15,0),99)*100000+29,9000000000000+29)</f>
        <v/>
      </c>
      <c r="M36" s="3">
        <f>IF(K36=1,SUMPRODUCT(--($L$8:$L$1207&lt;L36))+1,"")</f>
        <v/>
      </c>
      <c r="N36" s="17">
        <f>IF(K36=1,N('ORDENES'!$M32),0)</f>
        <v/>
      </c>
      <c r="O36" s="17">
        <f>IF('ORDENES'!$S32="preventiva",N36,0)</f>
        <v/>
      </c>
      <c r="P36" s="17">
        <f>IF('ORDENES'!$S32="correctiva",N36,0)</f>
        <v/>
      </c>
      <c r="Q36" s="3">
        <f>IF(AND(K36=1,'ORDENES'!$N32="Pendiente"),1,0)</f>
        <v/>
      </c>
      <c r="R36" s="3">
        <f>IF(Q36=1,100000-N36*1000+29*0.01,9000000000000+29)</f>
        <v/>
      </c>
      <c r="S36" s="3">
        <f>IF(Q36=1,SUMPRODUCT(--($R$8:$R$1207&lt;R36))+1,"")</f>
        <v/>
      </c>
      <c r="T36" s="11">
        <f>IF(K36=1,'ORDENES'!$J32,"")</f>
        <v/>
      </c>
      <c r="U36" s="3">
        <f>IFERROR(MATCH(29,$M$8:$M$1207,0),"")</f>
        <v/>
      </c>
      <c r="V36" s="3">
        <f>IF(U36="","",INDEX('ORDENES'!$R$4:$R$1203,U36))</f>
        <v/>
      </c>
      <c r="W36" s="3">
        <f>IF(U36="","",IF(V36&lt;&gt;V35,CHAR(10)&amp;UPPER(LEFT(V36,1))&amp;MID(V36,2,20)&amp;":"&amp;CHAR(10),"")&amp;"   "&amp;IF(INDEX('ORDENES'!$AC$4:$AC$1203,U36)="","(s/t)",INDEX('ORDENES'!$AC$4:$AC$1203,U36))&amp;" · "&amp;IF(INDEX('ORDENES'!$AB$4:$AB$1203,U36)="","(sin técnico)",INDEX('ORDENES'!$AB$4:$AB$1203,U36))&amp;" · "&amp;INDEX('ORDENES'!$AN$4:$AN$1203,U36)&amp;" — "&amp;INDEX('ORDENES'!$D$4:$D$1203,U36)&amp;" ("&amp;TEXT(INDEX('ORDENES'!$M$4:$M$1203,U36),"0.#")&amp;" h)")</f>
        <v/>
      </c>
    </row>
    <row r="37">
      <c r="K37" s="3">
        <f>IF(AND(IF($B$3="(todos)",TRUE,'ORDENES'!$O33=$B$3),IF($D$3="(todos)",TRUE,'ORDENES'!$AC33=$D$3),IF($F$3="(todos)",TRUE,'ORDENES'!$V33=$F$3),'ORDENES'!$AA33=TRUE,'ORDENES'!$A33&lt;&gt;""),1,0)</f>
        <v/>
      </c>
      <c r="L37" s="3">
        <f>IF(K37=1,IFERROR(MATCH('ORDENES'!$R33,lista_dias,0),9)*1000000000+IFERROR(MATCH('ORDENES'!$AC33,lista_turnos,0),9)*10000000+IFERROR(MATCH('ORDENES'!$AB33,'TECNICOS'!$B$4:$B$15,0),99)*100000+30,9000000000000+30)</f>
        <v/>
      </c>
      <c r="M37" s="3">
        <f>IF(K37=1,SUMPRODUCT(--($L$8:$L$1207&lt;L37))+1,"")</f>
        <v/>
      </c>
      <c r="N37" s="17">
        <f>IF(K37=1,N('ORDENES'!$M33),0)</f>
        <v/>
      </c>
      <c r="O37" s="17">
        <f>IF('ORDENES'!$S33="preventiva",N37,0)</f>
        <v/>
      </c>
      <c r="P37" s="17">
        <f>IF('ORDENES'!$S33="correctiva",N37,0)</f>
        <v/>
      </c>
      <c r="Q37" s="3">
        <f>IF(AND(K37=1,'ORDENES'!$N33="Pendiente"),1,0)</f>
        <v/>
      </c>
      <c r="R37" s="3">
        <f>IF(Q37=1,100000-N37*1000+30*0.01,9000000000000+30)</f>
        <v/>
      </c>
      <c r="S37" s="3">
        <f>IF(Q37=1,SUMPRODUCT(--($R$8:$R$1207&lt;R37))+1,"")</f>
        <v/>
      </c>
      <c r="T37" s="11">
        <f>IF(K37=1,'ORDENES'!$J33,"")</f>
        <v/>
      </c>
      <c r="U37" s="3">
        <f>IFERROR(MATCH(30,$M$8:$M$1207,0),"")</f>
        <v/>
      </c>
      <c r="V37" s="3">
        <f>IF(U37="","",INDEX('ORDENES'!$R$4:$R$1203,U37))</f>
        <v/>
      </c>
      <c r="W37" s="3">
        <f>IF(U37="","",IF(V37&lt;&gt;V36,CHAR(10)&amp;UPPER(LEFT(V37,1))&amp;MID(V37,2,20)&amp;":"&amp;CHAR(10),"")&amp;"   "&amp;IF(INDEX('ORDENES'!$AC$4:$AC$1203,U37)="","(s/t)",INDEX('ORDENES'!$AC$4:$AC$1203,U37))&amp;" · "&amp;IF(INDEX('ORDENES'!$AB$4:$AB$1203,U37)="","(sin técnico)",INDEX('ORDENES'!$AB$4:$AB$1203,U37))&amp;" · "&amp;INDEX('ORDENES'!$AN$4:$AN$1203,U37)&amp;" — "&amp;INDEX('ORDENES'!$D$4:$D$1203,U37)&amp;" ("&amp;TEXT(INDEX('ORDENES'!$M$4:$M$1203,U37),"0.#")&amp;" h)")</f>
        <v/>
      </c>
    </row>
    <row r="38">
      <c r="K38" s="3">
        <f>IF(AND(IF($B$3="(todos)",TRUE,'ORDENES'!$O34=$B$3),IF($D$3="(todos)",TRUE,'ORDENES'!$AC34=$D$3),IF($F$3="(todos)",TRUE,'ORDENES'!$V34=$F$3),'ORDENES'!$AA34=TRUE,'ORDENES'!$A34&lt;&gt;""),1,0)</f>
        <v/>
      </c>
      <c r="L38" s="3">
        <f>IF(K38=1,IFERROR(MATCH('ORDENES'!$R34,lista_dias,0),9)*1000000000+IFERROR(MATCH('ORDENES'!$AC34,lista_turnos,0),9)*10000000+IFERROR(MATCH('ORDENES'!$AB34,'TECNICOS'!$B$4:$B$15,0),99)*100000+31,9000000000000+31)</f>
        <v/>
      </c>
      <c r="M38" s="3">
        <f>IF(K38=1,SUMPRODUCT(--($L$8:$L$1207&lt;L38))+1,"")</f>
        <v/>
      </c>
      <c r="N38" s="17">
        <f>IF(K38=1,N('ORDENES'!$M34),0)</f>
        <v/>
      </c>
      <c r="O38" s="17">
        <f>IF('ORDENES'!$S34="preventiva",N38,0)</f>
        <v/>
      </c>
      <c r="P38" s="17">
        <f>IF('ORDENES'!$S34="correctiva",N38,0)</f>
        <v/>
      </c>
      <c r="Q38" s="3">
        <f>IF(AND(K38=1,'ORDENES'!$N34="Pendiente"),1,0)</f>
        <v/>
      </c>
      <c r="R38" s="3">
        <f>IF(Q38=1,100000-N38*1000+31*0.01,9000000000000+31)</f>
        <v/>
      </c>
      <c r="S38" s="3">
        <f>IF(Q38=1,SUMPRODUCT(--($R$8:$R$1207&lt;R38))+1,"")</f>
        <v/>
      </c>
      <c r="T38" s="11">
        <f>IF(K38=1,'ORDENES'!$J34,"")</f>
        <v/>
      </c>
      <c r="U38" s="3">
        <f>IFERROR(MATCH(31,$M$8:$M$1207,0),"")</f>
        <v/>
      </c>
      <c r="V38" s="3">
        <f>IF(U38="","",INDEX('ORDENES'!$R$4:$R$1203,U38))</f>
        <v/>
      </c>
      <c r="W38" s="3">
        <f>IF(U38="","",IF(V38&lt;&gt;V37,CHAR(10)&amp;UPPER(LEFT(V38,1))&amp;MID(V38,2,20)&amp;":"&amp;CHAR(10),"")&amp;"   "&amp;IF(INDEX('ORDENES'!$AC$4:$AC$1203,U38)="","(s/t)",INDEX('ORDENES'!$AC$4:$AC$1203,U38))&amp;" · "&amp;IF(INDEX('ORDENES'!$AB$4:$AB$1203,U38)="","(sin técnico)",INDEX('ORDENES'!$AB$4:$AB$1203,U38))&amp;" · "&amp;INDEX('ORDENES'!$AN$4:$AN$1203,U38)&amp;" — "&amp;INDEX('ORDENES'!$D$4:$D$1203,U38)&amp;" ("&amp;TEXT(INDEX('ORDENES'!$M$4:$M$1203,U38),"0.#")&amp;" h)")</f>
        <v/>
      </c>
    </row>
    <row r="39">
      <c r="K39" s="3">
        <f>IF(AND(IF($B$3="(todos)",TRUE,'ORDENES'!$O35=$B$3),IF($D$3="(todos)",TRUE,'ORDENES'!$AC35=$D$3),IF($F$3="(todos)",TRUE,'ORDENES'!$V35=$F$3),'ORDENES'!$AA35=TRUE,'ORDENES'!$A35&lt;&gt;""),1,0)</f>
        <v/>
      </c>
      <c r="L39" s="3">
        <f>IF(K39=1,IFERROR(MATCH('ORDENES'!$R35,lista_dias,0),9)*1000000000+IFERROR(MATCH('ORDENES'!$AC35,lista_turnos,0),9)*10000000+IFERROR(MATCH('ORDENES'!$AB35,'TECNICOS'!$B$4:$B$15,0),99)*100000+32,9000000000000+32)</f>
        <v/>
      </c>
      <c r="M39" s="3">
        <f>IF(K39=1,SUMPRODUCT(--($L$8:$L$1207&lt;L39))+1,"")</f>
        <v/>
      </c>
      <c r="N39" s="17">
        <f>IF(K39=1,N('ORDENES'!$M35),0)</f>
        <v/>
      </c>
      <c r="O39" s="17">
        <f>IF('ORDENES'!$S35="preventiva",N39,0)</f>
        <v/>
      </c>
      <c r="P39" s="17">
        <f>IF('ORDENES'!$S35="correctiva",N39,0)</f>
        <v/>
      </c>
      <c r="Q39" s="3">
        <f>IF(AND(K39=1,'ORDENES'!$N35="Pendiente"),1,0)</f>
        <v/>
      </c>
      <c r="R39" s="3">
        <f>IF(Q39=1,100000-N39*1000+32*0.01,9000000000000+32)</f>
        <v/>
      </c>
      <c r="S39" s="3">
        <f>IF(Q39=1,SUMPRODUCT(--($R$8:$R$1207&lt;R39))+1,"")</f>
        <v/>
      </c>
      <c r="T39" s="11">
        <f>IF(K39=1,'ORDENES'!$J35,"")</f>
        <v/>
      </c>
      <c r="U39" s="3">
        <f>IFERROR(MATCH(32,$M$8:$M$1207,0),"")</f>
        <v/>
      </c>
      <c r="V39" s="3">
        <f>IF(U39="","",INDEX('ORDENES'!$R$4:$R$1203,U39))</f>
        <v/>
      </c>
      <c r="W39" s="3">
        <f>IF(U39="","",IF(V39&lt;&gt;V38,CHAR(10)&amp;UPPER(LEFT(V39,1))&amp;MID(V39,2,20)&amp;":"&amp;CHAR(10),"")&amp;"   "&amp;IF(INDEX('ORDENES'!$AC$4:$AC$1203,U39)="","(s/t)",INDEX('ORDENES'!$AC$4:$AC$1203,U39))&amp;" · "&amp;IF(INDEX('ORDENES'!$AB$4:$AB$1203,U39)="","(sin técnico)",INDEX('ORDENES'!$AB$4:$AB$1203,U39))&amp;" · "&amp;INDEX('ORDENES'!$AN$4:$AN$1203,U39)&amp;" — "&amp;INDEX('ORDENES'!$D$4:$D$1203,U39)&amp;" ("&amp;TEXT(INDEX('ORDENES'!$M$4:$M$1203,U39),"0.#")&amp;" h)")</f>
        <v/>
      </c>
    </row>
    <row r="40">
      <c r="K40" s="3">
        <f>IF(AND(IF($B$3="(todos)",TRUE,'ORDENES'!$O36=$B$3),IF($D$3="(todos)",TRUE,'ORDENES'!$AC36=$D$3),IF($F$3="(todos)",TRUE,'ORDENES'!$V36=$F$3),'ORDENES'!$AA36=TRUE,'ORDENES'!$A36&lt;&gt;""),1,0)</f>
        <v/>
      </c>
      <c r="L40" s="3">
        <f>IF(K40=1,IFERROR(MATCH('ORDENES'!$R36,lista_dias,0),9)*1000000000+IFERROR(MATCH('ORDENES'!$AC36,lista_turnos,0),9)*10000000+IFERROR(MATCH('ORDENES'!$AB36,'TECNICOS'!$B$4:$B$15,0),99)*100000+33,9000000000000+33)</f>
        <v/>
      </c>
      <c r="M40" s="3">
        <f>IF(K40=1,SUMPRODUCT(--($L$8:$L$1207&lt;L40))+1,"")</f>
        <v/>
      </c>
      <c r="N40" s="17">
        <f>IF(K40=1,N('ORDENES'!$M36),0)</f>
        <v/>
      </c>
      <c r="O40" s="17">
        <f>IF('ORDENES'!$S36="preventiva",N40,0)</f>
        <v/>
      </c>
      <c r="P40" s="17">
        <f>IF('ORDENES'!$S36="correctiva",N40,0)</f>
        <v/>
      </c>
      <c r="Q40" s="3">
        <f>IF(AND(K40=1,'ORDENES'!$N36="Pendiente"),1,0)</f>
        <v/>
      </c>
      <c r="R40" s="3">
        <f>IF(Q40=1,100000-N40*1000+33*0.01,9000000000000+33)</f>
        <v/>
      </c>
      <c r="S40" s="3">
        <f>IF(Q40=1,SUMPRODUCT(--($R$8:$R$1207&lt;R40))+1,"")</f>
        <v/>
      </c>
      <c r="T40" s="11">
        <f>IF(K40=1,'ORDENES'!$J36,"")</f>
        <v/>
      </c>
      <c r="U40" s="3">
        <f>IFERROR(MATCH(33,$M$8:$M$1207,0),"")</f>
        <v/>
      </c>
      <c r="V40" s="3">
        <f>IF(U40="","",INDEX('ORDENES'!$R$4:$R$1203,U40))</f>
        <v/>
      </c>
      <c r="W40" s="3">
        <f>IF(U40="","",IF(V40&lt;&gt;V39,CHAR(10)&amp;UPPER(LEFT(V40,1))&amp;MID(V40,2,20)&amp;":"&amp;CHAR(10),"")&amp;"   "&amp;IF(INDEX('ORDENES'!$AC$4:$AC$1203,U40)="","(s/t)",INDEX('ORDENES'!$AC$4:$AC$1203,U40))&amp;" · "&amp;IF(INDEX('ORDENES'!$AB$4:$AB$1203,U40)="","(sin técnico)",INDEX('ORDENES'!$AB$4:$AB$1203,U40))&amp;" · "&amp;INDEX('ORDENES'!$AN$4:$AN$1203,U40)&amp;" — "&amp;INDEX('ORDENES'!$D$4:$D$1203,U40)&amp;" ("&amp;TEXT(INDEX('ORDENES'!$M$4:$M$1203,U40),"0.#")&amp;" h)")</f>
        <v/>
      </c>
    </row>
    <row r="41">
      <c r="K41" s="3">
        <f>IF(AND(IF($B$3="(todos)",TRUE,'ORDENES'!$O37=$B$3),IF($D$3="(todos)",TRUE,'ORDENES'!$AC37=$D$3),IF($F$3="(todos)",TRUE,'ORDENES'!$V37=$F$3),'ORDENES'!$AA37=TRUE,'ORDENES'!$A37&lt;&gt;""),1,0)</f>
        <v/>
      </c>
      <c r="L41" s="3">
        <f>IF(K41=1,IFERROR(MATCH('ORDENES'!$R37,lista_dias,0),9)*1000000000+IFERROR(MATCH('ORDENES'!$AC37,lista_turnos,0),9)*10000000+IFERROR(MATCH('ORDENES'!$AB37,'TECNICOS'!$B$4:$B$15,0),99)*100000+34,9000000000000+34)</f>
        <v/>
      </c>
      <c r="M41" s="3">
        <f>IF(K41=1,SUMPRODUCT(--($L$8:$L$1207&lt;L41))+1,"")</f>
        <v/>
      </c>
      <c r="N41" s="17">
        <f>IF(K41=1,N('ORDENES'!$M37),0)</f>
        <v/>
      </c>
      <c r="O41" s="17">
        <f>IF('ORDENES'!$S37="preventiva",N41,0)</f>
        <v/>
      </c>
      <c r="P41" s="17">
        <f>IF('ORDENES'!$S37="correctiva",N41,0)</f>
        <v/>
      </c>
      <c r="Q41" s="3">
        <f>IF(AND(K41=1,'ORDENES'!$N37="Pendiente"),1,0)</f>
        <v/>
      </c>
      <c r="R41" s="3">
        <f>IF(Q41=1,100000-N41*1000+34*0.01,9000000000000+34)</f>
        <v/>
      </c>
      <c r="S41" s="3">
        <f>IF(Q41=1,SUMPRODUCT(--($R$8:$R$1207&lt;R41))+1,"")</f>
        <v/>
      </c>
      <c r="T41" s="11">
        <f>IF(K41=1,'ORDENES'!$J37,"")</f>
        <v/>
      </c>
      <c r="U41" s="3">
        <f>IFERROR(MATCH(34,$M$8:$M$1207,0),"")</f>
        <v/>
      </c>
      <c r="V41" s="3">
        <f>IF(U41="","",INDEX('ORDENES'!$R$4:$R$1203,U41))</f>
        <v/>
      </c>
      <c r="W41" s="3">
        <f>IF(U41="","",IF(V41&lt;&gt;V40,CHAR(10)&amp;UPPER(LEFT(V41,1))&amp;MID(V41,2,20)&amp;":"&amp;CHAR(10),"")&amp;"   "&amp;IF(INDEX('ORDENES'!$AC$4:$AC$1203,U41)="","(s/t)",INDEX('ORDENES'!$AC$4:$AC$1203,U41))&amp;" · "&amp;IF(INDEX('ORDENES'!$AB$4:$AB$1203,U41)="","(sin técnico)",INDEX('ORDENES'!$AB$4:$AB$1203,U41))&amp;" · "&amp;INDEX('ORDENES'!$AN$4:$AN$1203,U41)&amp;" — "&amp;INDEX('ORDENES'!$D$4:$D$1203,U41)&amp;" ("&amp;TEXT(INDEX('ORDENES'!$M$4:$M$1203,U41),"0.#")&amp;" h)")</f>
        <v/>
      </c>
    </row>
    <row r="42">
      <c r="K42" s="3">
        <f>IF(AND(IF($B$3="(todos)",TRUE,'ORDENES'!$O38=$B$3),IF($D$3="(todos)",TRUE,'ORDENES'!$AC38=$D$3),IF($F$3="(todos)",TRUE,'ORDENES'!$V38=$F$3),'ORDENES'!$AA38=TRUE,'ORDENES'!$A38&lt;&gt;""),1,0)</f>
        <v/>
      </c>
      <c r="L42" s="3">
        <f>IF(K42=1,IFERROR(MATCH('ORDENES'!$R38,lista_dias,0),9)*1000000000+IFERROR(MATCH('ORDENES'!$AC38,lista_turnos,0),9)*10000000+IFERROR(MATCH('ORDENES'!$AB38,'TECNICOS'!$B$4:$B$15,0),99)*100000+35,9000000000000+35)</f>
        <v/>
      </c>
      <c r="M42" s="3">
        <f>IF(K42=1,SUMPRODUCT(--($L$8:$L$1207&lt;L42))+1,"")</f>
        <v/>
      </c>
      <c r="N42" s="17">
        <f>IF(K42=1,N('ORDENES'!$M38),0)</f>
        <v/>
      </c>
      <c r="O42" s="17">
        <f>IF('ORDENES'!$S38="preventiva",N42,0)</f>
        <v/>
      </c>
      <c r="P42" s="17">
        <f>IF('ORDENES'!$S38="correctiva",N42,0)</f>
        <v/>
      </c>
      <c r="Q42" s="3">
        <f>IF(AND(K42=1,'ORDENES'!$N38="Pendiente"),1,0)</f>
        <v/>
      </c>
      <c r="R42" s="3">
        <f>IF(Q42=1,100000-N42*1000+35*0.01,9000000000000+35)</f>
        <v/>
      </c>
      <c r="S42" s="3">
        <f>IF(Q42=1,SUMPRODUCT(--($R$8:$R$1207&lt;R42))+1,"")</f>
        <v/>
      </c>
      <c r="T42" s="11">
        <f>IF(K42=1,'ORDENES'!$J38,"")</f>
        <v/>
      </c>
      <c r="U42" s="3">
        <f>IFERROR(MATCH(35,$M$8:$M$1207,0),"")</f>
        <v/>
      </c>
      <c r="V42" s="3">
        <f>IF(U42="","",INDEX('ORDENES'!$R$4:$R$1203,U42))</f>
        <v/>
      </c>
      <c r="W42" s="3">
        <f>IF(U42="","",IF(V42&lt;&gt;V41,CHAR(10)&amp;UPPER(LEFT(V42,1))&amp;MID(V42,2,20)&amp;":"&amp;CHAR(10),"")&amp;"   "&amp;IF(INDEX('ORDENES'!$AC$4:$AC$1203,U42)="","(s/t)",INDEX('ORDENES'!$AC$4:$AC$1203,U42))&amp;" · "&amp;IF(INDEX('ORDENES'!$AB$4:$AB$1203,U42)="","(sin técnico)",INDEX('ORDENES'!$AB$4:$AB$1203,U42))&amp;" · "&amp;INDEX('ORDENES'!$AN$4:$AN$1203,U42)&amp;" — "&amp;INDEX('ORDENES'!$D$4:$D$1203,U42)&amp;" ("&amp;TEXT(INDEX('ORDENES'!$M$4:$M$1203,U42),"0.#")&amp;" h)")</f>
        <v/>
      </c>
    </row>
    <row r="43">
      <c r="K43" s="3">
        <f>IF(AND(IF($B$3="(todos)",TRUE,'ORDENES'!$O39=$B$3),IF($D$3="(todos)",TRUE,'ORDENES'!$AC39=$D$3),IF($F$3="(todos)",TRUE,'ORDENES'!$V39=$F$3),'ORDENES'!$AA39=TRUE,'ORDENES'!$A39&lt;&gt;""),1,0)</f>
        <v/>
      </c>
      <c r="L43" s="3">
        <f>IF(K43=1,IFERROR(MATCH('ORDENES'!$R39,lista_dias,0),9)*1000000000+IFERROR(MATCH('ORDENES'!$AC39,lista_turnos,0),9)*10000000+IFERROR(MATCH('ORDENES'!$AB39,'TECNICOS'!$B$4:$B$15,0),99)*100000+36,9000000000000+36)</f>
        <v/>
      </c>
      <c r="M43" s="3">
        <f>IF(K43=1,SUMPRODUCT(--($L$8:$L$1207&lt;L43))+1,"")</f>
        <v/>
      </c>
      <c r="N43" s="17">
        <f>IF(K43=1,N('ORDENES'!$M39),0)</f>
        <v/>
      </c>
      <c r="O43" s="17">
        <f>IF('ORDENES'!$S39="preventiva",N43,0)</f>
        <v/>
      </c>
      <c r="P43" s="17">
        <f>IF('ORDENES'!$S39="correctiva",N43,0)</f>
        <v/>
      </c>
      <c r="Q43" s="3">
        <f>IF(AND(K43=1,'ORDENES'!$N39="Pendiente"),1,0)</f>
        <v/>
      </c>
      <c r="R43" s="3">
        <f>IF(Q43=1,100000-N43*1000+36*0.01,9000000000000+36)</f>
        <v/>
      </c>
      <c r="S43" s="3">
        <f>IF(Q43=1,SUMPRODUCT(--($R$8:$R$1207&lt;R43))+1,"")</f>
        <v/>
      </c>
      <c r="T43" s="11">
        <f>IF(K43=1,'ORDENES'!$J39,"")</f>
        <v/>
      </c>
      <c r="U43" s="3">
        <f>IFERROR(MATCH(36,$M$8:$M$1207,0),"")</f>
        <v/>
      </c>
      <c r="V43" s="3">
        <f>IF(U43="","",INDEX('ORDENES'!$R$4:$R$1203,U43))</f>
        <v/>
      </c>
      <c r="W43" s="3">
        <f>IF(U43="","",IF(V43&lt;&gt;V42,CHAR(10)&amp;UPPER(LEFT(V43,1))&amp;MID(V43,2,20)&amp;":"&amp;CHAR(10),"")&amp;"   "&amp;IF(INDEX('ORDENES'!$AC$4:$AC$1203,U43)="","(s/t)",INDEX('ORDENES'!$AC$4:$AC$1203,U43))&amp;" · "&amp;IF(INDEX('ORDENES'!$AB$4:$AB$1203,U43)="","(sin técnico)",INDEX('ORDENES'!$AB$4:$AB$1203,U43))&amp;" · "&amp;INDEX('ORDENES'!$AN$4:$AN$1203,U43)&amp;" — "&amp;INDEX('ORDENES'!$D$4:$D$1203,U43)&amp;" ("&amp;TEXT(INDEX('ORDENES'!$M$4:$M$1203,U43),"0.#")&amp;" h)")</f>
        <v/>
      </c>
    </row>
    <row r="44">
      <c r="K44" s="3">
        <f>IF(AND(IF($B$3="(todos)",TRUE,'ORDENES'!$O40=$B$3),IF($D$3="(todos)",TRUE,'ORDENES'!$AC40=$D$3),IF($F$3="(todos)",TRUE,'ORDENES'!$V40=$F$3),'ORDENES'!$AA40=TRUE,'ORDENES'!$A40&lt;&gt;""),1,0)</f>
        <v/>
      </c>
      <c r="L44" s="3">
        <f>IF(K44=1,IFERROR(MATCH('ORDENES'!$R40,lista_dias,0),9)*1000000000+IFERROR(MATCH('ORDENES'!$AC40,lista_turnos,0),9)*10000000+IFERROR(MATCH('ORDENES'!$AB40,'TECNICOS'!$B$4:$B$15,0),99)*100000+37,9000000000000+37)</f>
        <v/>
      </c>
      <c r="M44" s="3">
        <f>IF(K44=1,SUMPRODUCT(--($L$8:$L$1207&lt;L44))+1,"")</f>
        <v/>
      </c>
      <c r="N44" s="17">
        <f>IF(K44=1,N('ORDENES'!$M40),0)</f>
        <v/>
      </c>
      <c r="O44" s="17">
        <f>IF('ORDENES'!$S40="preventiva",N44,0)</f>
        <v/>
      </c>
      <c r="P44" s="17">
        <f>IF('ORDENES'!$S40="correctiva",N44,0)</f>
        <v/>
      </c>
      <c r="Q44" s="3">
        <f>IF(AND(K44=1,'ORDENES'!$N40="Pendiente"),1,0)</f>
        <v/>
      </c>
      <c r="R44" s="3">
        <f>IF(Q44=1,100000-N44*1000+37*0.01,9000000000000+37)</f>
        <v/>
      </c>
      <c r="S44" s="3">
        <f>IF(Q44=1,SUMPRODUCT(--($R$8:$R$1207&lt;R44))+1,"")</f>
        <v/>
      </c>
      <c r="T44" s="11">
        <f>IF(K44=1,'ORDENES'!$J40,"")</f>
        <v/>
      </c>
      <c r="U44" s="3">
        <f>IFERROR(MATCH(37,$M$8:$M$1207,0),"")</f>
        <v/>
      </c>
      <c r="V44" s="3">
        <f>IF(U44="","",INDEX('ORDENES'!$R$4:$R$1203,U44))</f>
        <v/>
      </c>
      <c r="W44" s="3">
        <f>IF(U44="","",IF(V44&lt;&gt;V43,CHAR(10)&amp;UPPER(LEFT(V44,1))&amp;MID(V44,2,20)&amp;":"&amp;CHAR(10),"")&amp;"   "&amp;IF(INDEX('ORDENES'!$AC$4:$AC$1203,U44)="","(s/t)",INDEX('ORDENES'!$AC$4:$AC$1203,U44))&amp;" · "&amp;IF(INDEX('ORDENES'!$AB$4:$AB$1203,U44)="","(sin técnico)",INDEX('ORDENES'!$AB$4:$AB$1203,U44))&amp;" · "&amp;INDEX('ORDENES'!$AN$4:$AN$1203,U44)&amp;" — "&amp;INDEX('ORDENES'!$D$4:$D$1203,U44)&amp;" ("&amp;TEXT(INDEX('ORDENES'!$M$4:$M$1203,U44),"0.#")&amp;" h)")</f>
        <v/>
      </c>
    </row>
    <row r="45">
      <c r="K45" s="3">
        <f>IF(AND(IF($B$3="(todos)",TRUE,'ORDENES'!$O41=$B$3),IF($D$3="(todos)",TRUE,'ORDENES'!$AC41=$D$3),IF($F$3="(todos)",TRUE,'ORDENES'!$V41=$F$3),'ORDENES'!$AA41=TRUE,'ORDENES'!$A41&lt;&gt;""),1,0)</f>
        <v/>
      </c>
      <c r="L45" s="3">
        <f>IF(K45=1,IFERROR(MATCH('ORDENES'!$R41,lista_dias,0),9)*1000000000+IFERROR(MATCH('ORDENES'!$AC41,lista_turnos,0),9)*10000000+IFERROR(MATCH('ORDENES'!$AB41,'TECNICOS'!$B$4:$B$15,0),99)*100000+38,9000000000000+38)</f>
        <v/>
      </c>
      <c r="M45" s="3">
        <f>IF(K45=1,SUMPRODUCT(--($L$8:$L$1207&lt;L45))+1,"")</f>
        <v/>
      </c>
      <c r="N45" s="17">
        <f>IF(K45=1,N('ORDENES'!$M41),0)</f>
        <v/>
      </c>
      <c r="O45" s="17">
        <f>IF('ORDENES'!$S41="preventiva",N45,0)</f>
        <v/>
      </c>
      <c r="P45" s="17">
        <f>IF('ORDENES'!$S41="correctiva",N45,0)</f>
        <v/>
      </c>
      <c r="Q45" s="3">
        <f>IF(AND(K45=1,'ORDENES'!$N41="Pendiente"),1,0)</f>
        <v/>
      </c>
      <c r="R45" s="3">
        <f>IF(Q45=1,100000-N45*1000+38*0.01,9000000000000+38)</f>
        <v/>
      </c>
      <c r="S45" s="3">
        <f>IF(Q45=1,SUMPRODUCT(--($R$8:$R$1207&lt;R45))+1,"")</f>
        <v/>
      </c>
      <c r="T45" s="11">
        <f>IF(K45=1,'ORDENES'!$J41,"")</f>
        <v/>
      </c>
      <c r="U45" s="3">
        <f>IFERROR(MATCH(38,$M$8:$M$1207,0),"")</f>
        <v/>
      </c>
      <c r="V45" s="3">
        <f>IF(U45="","",INDEX('ORDENES'!$R$4:$R$1203,U45))</f>
        <v/>
      </c>
      <c r="W45" s="3">
        <f>IF(U45="","",IF(V45&lt;&gt;V44,CHAR(10)&amp;UPPER(LEFT(V45,1))&amp;MID(V45,2,20)&amp;":"&amp;CHAR(10),"")&amp;"   "&amp;IF(INDEX('ORDENES'!$AC$4:$AC$1203,U45)="","(s/t)",INDEX('ORDENES'!$AC$4:$AC$1203,U45))&amp;" · "&amp;IF(INDEX('ORDENES'!$AB$4:$AB$1203,U45)="","(sin técnico)",INDEX('ORDENES'!$AB$4:$AB$1203,U45))&amp;" · "&amp;INDEX('ORDENES'!$AN$4:$AN$1203,U45)&amp;" — "&amp;INDEX('ORDENES'!$D$4:$D$1203,U45)&amp;" ("&amp;TEXT(INDEX('ORDENES'!$M$4:$M$1203,U45),"0.#")&amp;" h)")</f>
        <v/>
      </c>
    </row>
    <row r="46">
      <c r="K46" s="3">
        <f>IF(AND(IF($B$3="(todos)",TRUE,'ORDENES'!$O42=$B$3),IF($D$3="(todos)",TRUE,'ORDENES'!$AC42=$D$3),IF($F$3="(todos)",TRUE,'ORDENES'!$V42=$F$3),'ORDENES'!$AA42=TRUE,'ORDENES'!$A42&lt;&gt;""),1,0)</f>
        <v/>
      </c>
      <c r="L46" s="3">
        <f>IF(K46=1,IFERROR(MATCH('ORDENES'!$R42,lista_dias,0),9)*1000000000+IFERROR(MATCH('ORDENES'!$AC42,lista_turnos,0),9)*10000000+IFERROR(MATCH('ORDENES'!$AB42,'TECNICOS'!$B$4:$B$15,0),99)*100000+39,9000000000000+39)</f>
        <v/>
      </c>
      <c r="M46" s="3">
        <f>IF(K46=1,SUMPRODUCT(--($L$8:$L$1207&lt;L46))+1,"")</f>
        <v/>
      </c>
      <c r="N46" s="17">
        <f>IF(K46=1,N('ORDENES'!$M42),0)</f>
        <v/>
      </c>
      <c r="O46" s="17">
        <f>IF('ORDENES'!$S42="preventiva",N46,0)</f>
        <v/>
      </c>
      <c r="P46" s="17">
        <f>IF('ORDENES'!$S42="correctiva",N46,0)</f>
        <v/>
      </c>
      <c r="Q46" s="3">
        <f>IF(AND(K46=1,'ORDENES'!$N42="Pendiente"),1,0)</f>
        <v/>
      </c>
      <c r="R46" s="3">
        <f>IF(Q46=1,100000-N46*1000+39*0.01,9000000000000+39)</f>
        <v/>
      </c>
      <c r="S46" s="3">
        <f>IF(Q46=1,SUMPRODUCT(--($R$8:$R$1207&lt;R46))+1,"")</f>
        <v/>
      </c>
      <c r="T46" s="11">
        <f>IF(K46=1,'ORDENES'!$J42,"")</f>
        <v/>
      </c>
      <c r="U46" s="3">
        <f>IFERROR(MATCH(39,$M$8:$M$1207,0),"")</f>
        <v/>
      </c>
      <c r="V46" s="3">
        <f>IF(U46="","",INDEX('ORDENES'!$R$4:$R$1203,U46))</f>
        <v/>
      </c>
      <c r="W46" s="3">
        <f>IF(U46="","",IF(V46&lt;&gt;V45,CHAR(10)&amp;UPPER(LEFT(V46,1))&amp;MID(V46,2,20)&amp;":"&amp;CHAR(10),"")&amp;"   "&amp;IF(INDEX('ORDENES'!$AC$4:$AC$1203,U46)="","(s/t)",INDEX('ORDENES'!$AC$4:$AC$1203,U46))&amp;" · "&amp;IF(INDEX('ORDENES'!$AB$4:$AB$1203,U46)="","(sin técnico)",INDEX('ORDENES'!$AB$4:$AB$1203,U46))&amp;" · "&amp;INDEX('ORDENES'!$AN$4:$AN$1203,U46)&amp;" — "&amp;INDEX('ORDENES'!$D$4:$D$1203,U46)&amp;" ("&amp;TEXT(INDEX('ORDENES'!$M$4:$M$1203,U46),"0.#")&amp;" h)")</f>
        <v/>
      </c>
    </row>
    <row r="47">
      <c r="K47" s="3">
        <f>IF(AND(IF($B$3="(todos)",TRUE,'ORDENES'!$O43=$B$3),IF($D$3="(todos)",TRUE,'ORDENES'!$AC43=$D$3),IF($F$3="(todos)",TRUE,'ORDENES'!$V43=$F$3),'ORDENES'!$AA43=TRUE,'ORDENES'!$A43&lt;&gt;""),1,0)</f>
        <v/>
      </c>
      <c r="L47" s="3">
        <f>IF(K47=1,IFERROR(MATCH('ORDENES'!$R43,lista_dias,0),9)*1000000000+IFERROR(MATCH('ORDENES'!$AC43,lista_turnos,0),9)*10000000+IFERROR(MATCH('ORDENES'!$AB43,'TECNICOS'!$B$4:$B$15,0),99)*100000+40,9000000000000+40)</f>
        <v/>
      </c>
      <c r="M47" s="3">
        <f>IF(K47=1,SUMPRODUCT(--($L$8:$L$1207&lt;L47))+1,"")</f>
        <v/>
      </c>
      <c r="N47" s="17">
        <f>IF(K47=1,N('ORDENES'!$M43),0)</f>
        <v/>
      </c>
      <c r="O47" s="17">
        <f>IF('ORDENES'!$S43="preventiva",N47,0)</f>
        <v/>
      </c>
      <c r="P47" s="17">
        <f>IF('ORDENES'!$S43="correctiva",N47,0)</f>
        <v/>
      </c>
      <c r="Q47" s="3">
        <f>IF(AND(K47=1,'ORDENES'!$N43="Pendiente"),1,0)</f>
        <v/>
      </c>
      <c r="R47" s="3">
        <f>IF(Q47=1,100000-N47*1000+40*0.01,9000000000000+40)</f>
        <v/>
      </c>
      <c r="S47" s="3">
        <f>IF(Q47=1,SUMPRODUCT(--($R$8:$R$1207&lt;R47))+1,"")</f>
        <v/>
      </c>
      <c r="T47" s="11">
        <f>IF(K47=1,'ORDENES'!$J43,"")</f>
        <v/>
      </c>
      <c r="U47" s="3">
        <f>IFERROR(MATCH(40,$M$8:$M$1207,0),"")</f>
        <v/>
      </c>
      <c r="V47" s="3">
        <f>IF(U47="","",INDEX('ORDENES'!$R$4:$R$1203,U47))</f>
        <v/>
      </c>
      <c r="W47" s="3">
        <f>IF(U47="","",IF(V47&lt;&gt;V46,CHAR(10)&amp;UPPER(LEFT(V47,1))&amp;MID(V47,2,20)&amp;":"&amp;CHAR(10),"")&amp;"   "&amp;IF(INDEX('ORDENES'!$AC$4:$AC$1203,U47)="","(s/t)",INDEX('ORDENES'!$AC$4:$AC$1203,U47))&amp;" · "&amp;IF(INDEX('ORDENES'!$AB$4:$AB$1203,U47)="","(sin técnico)",INDEX('ORDENES'!$AB$4:$AB$1203,U47))&amp;" · "&amp;INDEX('ORDENES'!$AN$4:$AN$1203,U47)&amp;" — "&amp;INDEX('ORDENES'!$D$4:$D$1203,U47)&amp;" ("&amp;TEXT(INDEX('ORDENES'!$M$4:$M$1203,U47),"0.#")&amp;" h)")</f>
        <v/>
      </c>
    </row>
    <row r="48">
      <c r="K48" s="3">
        <f>IF(AND(IF($B$3="(todos)",TRUE,'ORDENES'!$O44=$B$3),IF($D$3="(todos)",TRUE,'ORDENES'!$AC44=$D$3),IF($F$3="(todos)",TRUE,'ORDENES'!$V44=$F$3),'ORDENES'!$AA44=TRUE,'ORDENES'!$A44&lt;&gt;""),1,0)</f>
        <v/>
      </c>
      <c r="L48" s="3">
        <f>IF(K48=1,IFERROR(MATCH('ORDENES'!$R44,lista_dias,0),9)*1000000000+IFERROR(MATCH('ORDENES'!$AC44,lista_turnos,0),9)*10000000+IFERROR(MATCH('ORDENES'!$AB44,'TECNICOS'!$B$4:$B$15,0),99)*100000+41,9000000000000+41)</f>
        <v/>
      </c>
      <c r="M48" s="3">
        <f>IF(K48=1,SUMPRODUCT(--($L$8:$L$1207&lt;L48))+1,"")</f>
        <v/>
      </c>
      <c r="N48" s="17">
        <f>IF(K48=1,N('ORDENES'!$M44),0)</f>
        <v/>
      </c>
      <c r="O48" s="17">
        <f>IF('ORDENES'!$S44="preventiva",N48,0)</f>
        <v/>
      </c>
      <c r="P48" s="17">
        <f>IF('ORDENES'!$S44="correctiva",N48,0)</f>
        <v/>
      </c>
      <c r="Q48" s="3">
        <f>IF(AND(K48=1,'ORDENES'!$N44="Pendiente"),1,0)</f>
        <v/>
      </c>
      <c r="R48" s="3">
        <f>IF(Q48=1,100000-N48*1000+41*0.01,9000000000000+41)</f>
        <v/>
      </c>
      <c r="S48" s="3">
        <f>IF(Q48=1,SUMPRODUCT(--($R$8:$R$1207&lt;R48))+1,"")</f>
        <v/>
      </c>
      <c r="T48" s="11">
        <f>IF(K48=1,'ORDENES'!$J44,"")</f>
        <v/>
      </c>
      <c r="U48" s="3">
        <f>IFERROR(MATCH(41,$M$8:$M$1207,0),"")</f>
        <v/>
      </c>
      <c r="V48" s="3">
        <f>IF(U48="","",INDEX('ORDENES'!$R$4:$R$1203,U48))</f>
        <v/>
      </c>
      <c r="W48" s="3">
        <f>IF(U48="","",IF(V48&lt;&gt;V47,CHAR(10)&amp;UPPER(LEFT(V48,1))&amp;MID(V48,2,20)&amp;":"&amp;CHAR(10),"")&amp;"   "&amp;IF(INDEX('ORDENES'!$AC$4:$AC$1203,U48)="","(s/t)",INDEX('ORDENES'!$AC$4:$AC$1203,U48))&amp;" · "&amp;IF(INDEX('ORDENES'!$AB$4:$AB$1203,U48)="","(sin técnico)",INDEX('ORDENES'!$AB$4:$AB$1203,U48))&amp;" · "&amp;INDEX('ORDENES'!$AN$4:$AN$1203,U48)&amp;" — "&amp;INDEX('ORDENES'!$D$4:$D$1203,U48)&amp;" ("&amp;TEXT(INDEX('ORDENES'!$M$4:$M$1203,U48),"0.#")&amp;" h)")</f>
        <v/>
      </c>
    </row>
    <row r="49">
      <c r="K49" s="3">
        <f>IF(AND(IF($B$3="(todos)",TRUE,'ORDENES'!$O45=$B$3),IF($D$3="(todos)",TRUE,'ORDENES'!$AC45=$D$3),IF($F$3="(todos)",TRUE,'ORDENES'!$V45=$F$3),'ORDENES'!$AA45=TRUE,'ORDENES'!$A45&lt;&gt;""),1,0)</f>
        <v/>
      </c>
      <c r="L49" s="3">
        <f>IF(K49=1,IFERROR(MATCH('ORDENES'!$R45,lista_dias,0),9)*1000000000+IFERROR(MATCH('ORDENES'!$AC45,lista_turnos,0),9)*10000000+IFERROR(MATCH('ORDENES'!$AB45,'TECNICOS'!$B$4:$B$15,0),99)*100000+42,9000000000000+42)</f>
        <v/>
      </c>
      <c r="M49" s="3">
        <f>IF(K49=1,SUMPRODUCT(--($L$8:$L$1207&lt;L49))+1,"")</f>
        <v/>
      </c>
      <c r="N49" s="17">
        <f>IF(K49=1,N('ORDENES'!$M45),0)</f>
        <v/>
      </c>
      <c r="O49" s="17">
        <f>IF('ORDENES'!$S45="preventiva",N49,0)</f>
        <v/>
      </c>
      <c r="P49" s="17">
        <f>IF('ORDENES'!$S45="correctiva",N49,0)</f>
        <v/>
      </c>
      <c r="Q49" s="3">
        <f>IF(AND(K49=1,'ORDENES'!$N45="Pendiente"),1,0)</f>
        <v/>
      </c>
      <c r="R49" s="3">
        <f>IF(Q49=1,100000-N49*1000+42*0.01,9000000000000+42)</f>
        <v/>
      </c>
      <c r="S49" s="3">
        <f>IF(Q49=1,SUMPRODUCT(--($R$8:$R$1207&lt;R49))+1,"")</f>
        <v/>
      </c>
      <c r="T49" s="11">
        <f>IF(K49=1,'ORDENES'!$J45,"")</f>
        <v/>
      </c>
      <c r="U49" s="3">
        <f>IFERROR(MATCH(42,$M$8:$M$1207,0),"")</f>
        <v/>
      </c>
      <c r="V49" s="3">
        <f>IF(U49="","",INDEX('ORDENES'!$R$4:$R$1203,U49))</f>
        <v/>
      </c>
      <c r="W49" s="3">
        <f>IF(U49="","",IF(V49&lt;&gt;V48,CHAR(10)&amp;UPPER(LEFT(V49,1))&amp;MID(V49,2,20)&amp;":"&amp;CHAR(10),"")&amp;"   "&amp;IF(INDEX('ORDENES'!$AC$4:$AC$1203,U49)="","(s/t)",INDEX('ORDENES'!$AC$4:$AC$1203,U49))&amp;" · "&amp;IF(INDEX('ORDENES'!$AB$4:$AB$1203,U49)="","(sin técnico)",INDEX('ORDENES'!$AB$4:$AB$1203,U49))&amp;" · "&amp;INDEX('ORDENES'!$AN$4:$AN$1203,U49)&amp;" — "&amp;INDEX('ORDENES'!$D$4:$D$1203,U49)&amp;" ("&amp;TEXT(INDEX('ORDENES'!$M$4:$M$1203,U49),"0.#")&amp;" h)")</f>
        <v/>
      </c>
    </row>
    <row r="50">
      <c r="K50" s="3">
        <f>IF(AND(IF($B$3="(todos)",TRUE,'ORDENES'!$O46=$B$3),IF($D$3="(todos)",TRUE,'ORDENES'!$AC46=$D$3),IF($F$3="(todos)",TRUE,'ORDENES'!$V46=$F$3),'ORDENES'!$AA46=TRUE,'ORDENES'!$A46&lt;&gt;""),1,0)</f>
        <v/>
      </c>
      <c r="L50" s="3">
        <f>IF(K50=1,IFERROR(MATCH('ORDENES'!$R46,lista_dias,0),9)*1000000000+IFERROR(MATCH('ORDENES'!$AC46,lista_turnos,0),9)*10000000+IFERROR(MATCH('ORDENES'!$AB46,'TECNICOS'!$B$4:$B$15,0),99)*100000+43,9000000000000+43)</f>
        <v/>
      </c>
      <c r="M50" s="3">
        <f>IF(K50=1,SUMPRODUCT(--($L$8:$L$1207&lt;L50))+1,"")</f>
        <v/>
      </c>
      <c r="N50" s="17">
        <f>IF(K50=1,N('ORDENES'!$M46),0)</f>
        <v/>
      </c>
      <c r="O50" s="17">
        <f>IF('ORDENES'!$S46="preventiva",N50,0)</f>
        <v/>
      </c>
      <c r="P50" s="17">
        <f>IF('ORDENES'!$S46="correctiva",N50,0)</f>
        <v/>
      </c>
      <c r="Q50" s="3">
        <f>IF(AND(K50=1,'ORDENES'!$N46="Pendiente"),1,0)</f>
        <v/>
      </c>
      <c r="R50" s="3">
        <f>IF(Q50=1,100000-N50*1000+43*0.01,9000000000000+43)</f>
        <v/>
      </c>
      <c r="S50" s="3">
        <f>IF(Q50=1,SUMPRODUCT(--($R$8:$R$1207&lt;R50))+1,"")</f>
        <v/>
      </c>
      <c r="T50" s="11">
        <f>IF(K50=1,'ORDENES'!$J46,"")</f>
        <v/>
      </c>
      <c r="U50" s="3">
        <f>IFERROR(MATCH(43,$M$8:$M$1207,0),"")</f>
        <v/>
      </c>
      <c r="V50" s="3">
        <f>IF(U50="","",INDEX('ORDENES'!$R$4:$R$1203,U50))</f>
        <v/>
      </c>
      <c r="W50" s="3">
        <f>IF(U50="","",IF(V50&lt;&gt;V49,CHAR(10)&amp;UPPER(LEFT(V50,1))&amp;MID(V50,2,20)&amp;":"&amp;CHAR(10),"")&amp;"   "&amp;IF(INDEX('ORDENES'!$AC$4:$AC$1203,U50)="","(s/t)",INDEX('ORDENES'!$AC$4:$AC$1203,U50))&amp;" · "&amp;IF(INDEX('ORDENES'!$AB$4:$AB$1203,U50)="","(sin técnico)",INDEX('ORDENES'!$AB$4:$AB$1203,U50))&amp;" · "&amp;INDEX('ORDENES'!$AN$4:$AN$1203,U50)&amp;" — "&amp;INDEX('ORDENES'!$D$4:$D$1203,U50)&amp;" ("&amp;TEXT(INDEX('ORDENES'!$M$4:$M$1203,U50),"0.#")&amp;" h)")</f>
        <v/>
      </c>
    </row>
    <row r="51">
      <c r="K51" s="3">
        <f>IF(AND(IF($B$3="(todos)",TRUE,'ORDENES'!$O47=$B$3),IF($D$3="(todos)",TRUE,'ORDENES'!$AC47=$D$3),IF($F$3="(todos)",TRUE,'ORDENES'!$V47=$F$3),'ORDENES'!$AA47=TRUE,'ORDENES'!$A47&lt;&gt;""),1,0)</f>
        <v/>
      </c>
      <c r="L51" s="3">
        <f>IF(K51=1,IFERROR(MATCH('ORDENES'!$R47,lista_dias,0),9)*1000000000+IFERROR(MATCH('ORDENES'!$AC47,lista_turnos,0),9)*10000000+IFERROR(MATCH('ORDENES'!$AB47,'TECNICOS'!$B$4:$B$15,0),99)*100000+44,9000000000000+44)</f>
        <v/>
      </c>
      <c r="M51" s="3">
        <f>IF(K51=1,SUMPRODUCT(--($L$8:$L$1207&lt;L51))+1,"")</f>
        <v/>
      </c>
      <c r="N51" s="17">
        <f>IF(K51=1,N('ORDENES'!$M47),0)</f>
        <v/>
      </c>
      <c r="O51" s="17">
        <f>IF('ORDENES'!$S47="preventiva",N51,0)</f>
        <v/>
      </c>
      <c r="P51" s="17">
        <f>IF('ORDENES'!$S47="correctiva",N51,0)</f>
        <v/>
      </c>
      <c r="Q51" s="3">
        <f>IF(AND(K51=1,'ORDENES'!$N47="Pendiente"),1,0)</f>
        <v/>
      </c>
      <c r="R51" s="3">
        <f>IF(Q51=1,100000-N51*1000+44*0.01,9000000000000+44)</f>
        <v/>
      </c>
      <c r="S51" s="3">
        <f>IF(Q51=1,SUMPRODUCT(--($R$8:$R$1207&lt;R51))+1,"")</f>
        <v/>
      </c>
      <c r="T51" s="11">
        <f>IF(K51=1,'ORDENES'!$J47,"")</f>
        <v/>
      </c>
      <c r="U51" s="3">
        <f>IFERROR(MATCH(44,$M$8:$M$1207,0),"")</f>
        <v/>
      </c>
      <c r="V51" s="3">
        <f>IF(U51="","",INDEX('ORDENES'!$R$4:$R$1203,U51))</f>
        <v/>
      </c>
      <c r="W51" s="3">
        <f>IF(U51="","",IF(V51&lt;&gt;V50,CHAR(10)&amp;UPPER(LEFT(V51,1))&amp;MID(V51,2,20)&amp;":"&amp;CHAR(10),"")&amp;"   "&amp;IF(INDEX('ORDENES'!$AC$4:$AC$1203,U51)="","(s/t)",INDEX('ORDENES'!$AC$4:$AC$1203,U51))&amp;" · "&amp;IF(INDEX('ORDENES'!$AB$4:$AB$1203,U51)="","(sin técnico)",INDEX('ORDENES'!$AB$4:$AB$1203,U51))&amp;" · "&amp;INDEX('ORDENES'!$AN$4:$AN$1203,U51)&amp;" — "&amp;INDEX('ORDENES'!$D$4:$D$1203,U51)&amp;" ("&amp;TEXT(INDEX('ORDENES'!$M$4:$M$1203,U51),"0.#")&amp;" h)")</f>
        <v/>
      </c>
    </row>
    <row r="52">
      <c r="K52" s="3">
        <f>IF(AND(IF($B$3="(todos)",TRUE,'ORDENES'!$O48=$B$3),IF($D$3="(todos)",TRUE,'ORDENES'!$AC48=$D$3),IF($F$3="(todos)",TRUE,'ORDENES'!$V48=$F$3),'ORDENES'!$AA48=TRUE,'ORDENES'!$A48&lt;&gt;""),1,0)</f>
        <v/>
      </c>
      <c r="L52" s="3">
        <f>IF(K52=1,IFERROR(MATCH('ORDENES'!$R48,lista_dias,0),9)*1000000000+IFERROR(MATCH('ORDENES'!$AC48,lista_turnos,0),9)*10000000+IFERROR(MATCH('ORDENES'!$AB48,'TECNICOS'!$B$4:$B$15,0),99)*100000+45,9000000000000+45)</f>
        <v/>
      </c>
      <c r="M52" s="3">
        <f>IF(K52=1,SUMPRODUCT(--($L$8:$L$1207&lt;L52))+1,"")</f>
        <v/>
      </c>
      <c r="N52" s="17">
        <f>IF(K52=1,N('ORDENES'!$M48),0)</f>
        <v/>
      </c>
      <c r="O52" s="17">
        <f>IF('ORDENES'!$S48="preventiva",N52,0)</f>
        <v/>
      </c>
      <c r="P52" s="17">
        <f>IF('ORDENES'!$S48="correctiva",N52,0)</f>
        <v/>
      </c>
      <c r="Q52" s="3">
        <f>IF(AND(K52=1,'ORDENES'!$N48="Pendiente"),1,0)</f>
        <v/>
      </c>
      <c r="R52" s="3">
        <f>IF(Q52=1,100000-N52*1000+45*0.01,9000000000000+45)</f>
        <v/>
      </c>
      <c r="S52" s="3">
        <f>IF(Q52=1,SUMPRODUCT(--($R$8:$R$1207&lt;R52))+1,"")</f>
        <v/>
      </c>
      <c r="T52" s="11">
        <f>IF(K52=1,'ORDENES'!$J48,"")</f>
        <v/>
      </c>
      <c r="U52" s="3">
        <f>IFERROR(MATCH(45,$M$8:$M$1207,0),"")</f>
        <v/>
      </c>
      <c r="V52" s="3">
        <f>IF(U52="","",INDEX('ORDENES'!$R$4:$R$1203,U52))</f>
        <v/>
      </c>
      <c r="W52" s="3">
        <f>IF(U52="","",IF(V52&lt;&gt;V51,CHAR(10)&amp;UPPER(LEFT(V52,1))&amp;MID(V52,2,20)&amp;":"&amp;CHAR(10),"")&amp;"   "&amp;IF(INDEX('ORDENES'!$AC$4:$AC$1203,U52)="","(s/t)",INDEX('ORDENES'!$AC$4:$AC$1203,U52))&amp;" · "&amp;IF(INDEX('ORDENES'!$AB$4:$AB$1203,U52)="","(sin técnico)",INDEX('ORDENES'!$AB$4:$AB$1203,U52))&amp;" · "&amp;INDEX('ORDENES'!$AN$4:$AN$1203,U52)&amp;" — "&amp;INDEX('ORDENES'!$D$4:$D$1203,U52)&amp;" ("&amp;TEXT(INDEX('ORDENES'!$M$4:$M$1203,U52),"0.#")&amp;" h)")</f>
        <v/>
      </c>
    </row>
    <row r="53">
      <c r="K53" s="3">
        <f>IF(AND(IF($B$3="(todos)",TRUE,'ORDENES'!$O49=$B$3),IF($D$3="(todos)",TRUE,'ORDENES'!$AC49=$D$3),IF($F$3="(todos)",TRUE,'ORDENES'!$V49=$F$3),'ORDENES'!$AA49=TRUE,'ORDENES'!$A49&lt;&gt;""),1,0)</f>
        <v/>
      </c>
      <c r="L53" s="3">
        <f>IF(K53=1,IFERROR(MATCH('ORDENES'!$R49,lista_dias,0),9)*1000000000+IFERROR(MATCH('ORDENES'!$AC49,lista_turnos,0),9)*10000000+IFERROR(MATCH('ORDENES'!$AB49,'TECNICOS'!$B$4:$B$15,0),99)*100000+46,9000000000000+46)</f>
        <v/>
      </c>
      <c r="M53" s="3">
        <f>IF(K53=1,SUMPRODUCT(--($L$8:$L$1207&lt;L53))+1,"")</f>
        <v/>
      </c>
      <c r="N53" s="17">
        <f>IF(K53=1,N('ORDENES'!$M49),0)</f>
        <v/>
      </c>
      <c r="O53" s="17">
        <f>IF('ORDENES'!$S49="preventiva",N53,0)</f>
        <v/>
      </c>
      <c r="P53" s="17">
        <f>IF('ORDENES'!$S49="correctiva",N53,0)</f>
        <v/>
      </c>
      <c r="Q53" s="3">
        <f>IF(AND(K53=1,'ORDENES'!$N49="Pendiente"),1,0)</f>
        <v/>
      </c>
      <c r="R53" s="3">
        <f>IF(Q53=1,100000-N53*1000+46*0.01,9000000000000+46)</f>
        <v/>
      </c>
      <c r="S53" s="3">
        <f>IF(Q53=1,SUMPRODUCT(--($R$8:$R$1207&lt;R53))+1,"")</f>
        <v/>
      </c>
      <c r="T53" s="11">
        <f>IF(K53=1,'ORDENES'!$J49,"")</f>
        <v/>
      </c>
      <c r="U53" s="3">
        <f>IFERROR(MATCH(46,$M$8:$M$1207,0),"")</f>
        <v/>
      </c>
      <c r="V53" s="3">
        <f>IF(U53="","",INDEX('ORDENES'!$R$4:$R$1203,U53))</f>
        <v/>
      </c>
      <c r="W53" s="3">
        <f>IF(U53="","",IF(V53&lt;&gt;V52,CHAR(10)&amp;UPPER(LEFT(V53,1))&amp;MID(V53,2,20)&amp;":"&amp;CHAR(10),"")&amp;"   "&amp;IF(INDEX('ORDENES'!$AC$4:$AC$1203,U53)="","(s/t)",INDEX('ORDENES'!$AC$4:$AC$1203,U53))&amp;" · "&amp;IF(INDEX('ORDENES'!$AB$4:$AB$1203,U53)="","(sin técnico)",INDEX('ORDENES'!$AB$4:$AB$1203,U53))&amp;" · "&amp;INDEX('ORDENES'!$AN$4:$AN$1203,U53)&amp;" — "&amp;INDEX('ORDENES'!$D$4:$D$1203,U53)&amp;" ("&amp;TEXT(INDEX('ORDENES'!$M$4:$M$1203,U53),"0.#")&amp;" h)")</f>
        <v/>
      </c>
    </row>
    <row r="54">
      <c r="K54" s="3">
        <f>IF(AND(IF($B$3="(todos)",TRUE,'ORDENES'!$O50=$B$3),IF($D$3="(todos)",TRUE,'ORDENES'!$AC50=$D$3),IF($F$3="(todos)",TRUE,'ORDENES'!$V50=$F$3),'ORDENES'!$AA50=TRUE,'ORDENES'!$A50&lt;&gt;""),1,0)</f>
        <v/>
      </c>
      <c r="L54" s="3">
        <f>IF(K54=1,IFERROR(MATCH('ORDENES'!$R50,lista_dias,0),9)*1000000000+IFERROR(MATCH('ORDENES'!$AC50,lista_turnos,0),9)*10000000+IFERROR(MATCH('ORDENES'!$AB50,'TECNICOS'!$B$4:$B$15,0),99)*100000+47,9000000000000+47)</f>
        <v/>
      </c>
      <c r="M54" s="3">
        <f>IF(K54=1,SUMPRODUCT(--($L$8:$L$1207&lt;L54))+1,"")</f>
        <v/>
      </c>
      <c r="N54" s="17">
        <f>IF(K54=1,N('ORDENES'!$M50),0)</f>
        <v/>
      </c>
      <c r="O54" s="17">
        <f>IF('ORDENES'!$S50="preventiva",N54,0)</f>
        <v/>
      </c>
      <c r="P54" s="17">
        <f>IF('ORDENES'!$S50="correctiva",N54,0)</f>
        <v/>
      </c>
      <c r="Q54" s="3">
        <f>IF(AND(K54=1,'ORDENES'!$N50="Pendiente"),1,0)</f>
        <v/>
      </c>
      <c r="R54" s="3">
        <f>IF(Q54=1,100000-N54*1000+47*0.01,9000000000000+47)</f>
        <v/>
      </c>
      <c r="S54" s="3">
        <f>IF(Q54=1,SUMPRODUCT(--($R$8:$R$1207&lt;R54))+1,"")</f>
        <v/>
      </c>
      <c r="T54" s="11">
        <f>IF(K54=1,'ORDENES'!$J50,"")</f>
        <v/>
      </c>
      <c r="U54" s="3">
        <f>IFERROR(MATCH(47,$M$8:$M$1207,0),"")</f>
        <v/>
      </c>
      <c r="V54" s="3">
        <f>IF(U54="","",INDEX('ORDENES'!$R$4:$R$1203,U54))</f>
        <v/>
      </c>
      <c r="W54" s="3">
        <f>IF(U54="","",IF(V54&lt;&gt;V53,CHAR(10)&amp;UPPER(LEFT(V54,1))&amp;MID(V54,2,20)&amp;":"&amp;CHAR(10),"")&amp;"   "&amp;IF(INDEX('ORDENES'!$AC$4:$AC$1203,U54)="","(s/t)",INDEX('ORDENES'!$AC$4:$AC$1203,U54))&amp;" · "&amp;IF(INDEX('ORDENES'!$AB$4:$AB$1203,U54)="","(sin técnico)",INDEX('ORDENES'!$AB$4:$AB$1203,U54))&amp;" · "&amp;INDEX('ORDENES'!$AN$4:$AN$1203,U54)&amp;" — "&amp;INDEX('ORDENES'!$D$4:$D$1203,U54)&amp;" ("&amp;TEXT(INDEX('ORDENES'!$M$4:$M$1203,U54),"0.#")&amp;" h)")</f>
        <v/>
      </c>
    </row>
    <row r="55">
      <c r="K55" s="3">
        <f>IF(AND(IF($B$3="(todos)",TRUE,'ORDENES'!$O51=$B$3),IF($D$3="(todos)",TRUE,'ORDENES'!$AC51=$D$3),IF($F$3="(todos)",TRUE,'ORDENES'!$V51=$F$3),'ORDENES'!$AA51=TRUE,'ORDENES'!$A51&lt;&gt;""),1,0)</f>
        <v/>
      </c>
      <c r="L55" s="3">
        <f>IF(K55=1,IFERROR(MATCH('ORDENES'!$R51,lista_dias,0),9)*1000000000+IFERROR(MATCH('ORDENES'!$AC51,lista_turnos,0),9)*10000000+IFERROR(MATCH('ORDENES'!$AB51,'TECNICOS'!$B$4:$B$15,0),99)*100000+48,9000000000000+48)</f>
        <v/>
      </c>
      <c r="M55" s="3">
        <f>IF(K55=1,SUMPRODUCT(--($L$8:$L$1207&lt;L55))+1,"")</f>
        <v/>
      </c>
      <c r="N55" s="17">
        <f>IF(K55=1,N('ORDENES'!$M51),0)</f>
        <v/>
      </c>
      <c r="O55" s="17">
        <f>IF('ORDENES'!$S51="preventiva",N55,0)</f>
        <v/>
      </c>
      <c r="P55" s="17">
        <f>IF('ORDENES'!$S51="correctiva",N55,0)</f>
        <v/>
      </c>
      <c r="Q55" s="3">
        <f>IF(AND(K55=1,'ORDENES'!$N51="Pendiente"),1,0)</f>
        <v/>
      </c>
      <c r="R55" s="3">
        <f>IF(Q55=1,100000-N55*1000+48*0.01,9000000000000+48)</f>
        <v/>
      </c>
      <c r="S55" s="3">
        <f>IF(Q55=1,SUMPRODUCT(--($R$8:$R$1207&lt;R55))+1,"")</f>
        <v/>
      </c>
      <c r="T55" s="11">
        <f>IF(K55=1,'ORDENES'!$J51,"")</f>
        <v/>
      </c>
      <c r="U55" s="3">
        <f>IFERROR(MATCH(48,$M$8:$M$1207,0),"")</f>
        <v/>
      </c>
      <c r="V55" s="3">
        <f>IF(U55="","",INDEX('ORDENES'!$R$4:$R$1203,U55))</f>
        <v/>
      </c>
      <c r="W55" s="3">
        <f>IF(U55="","",IF(V55&lt;&gt;V54,CHAR(10)&amp;UPPER(LEFT(V55,1))&amp;MID(V55,2,20)&amp;":"&amp;CHAR(10),"")&amp;"   "&amp;IF(INDEX('ORDENES'!$AC$4:$AC$1203,U55)="","(s/t)",INDEX('ORDENES'!$AC$4:$AC$1203,U55))&amp;" · "&amp;IF(INDEX('ORDENES'!$AB$4:$AB$1203,U55)="","(sin técnico)",INDEX('ORDENES'!$AB$4:$AB$1203,U55))&amp;" · "&amp;INDEX('ORDENES'!$AN$4:$AN$1203,U55)&amp;" — "&amp;INDEX('ORDENES'!$D$4:$D$1203,U55)&amp;" ("&amp;TEXT(INDEX('ORDENES'!$M$4:$M$1203,U55),"0.#")&amp;" h)")</f>
        <v/>
      </c>
    </row>
    <row r="56">
      <c r="K56" s="3">
        <f>IF(AND(IF($B$3="(todos)",TRUE,'ORDENES'!$O52=$B$3),IF($D$3="(todos)",TRUE,'ORDENES'!$AC52=$D$3),IF($F$3="(todos)",TRUE,'ORDENES'!$V52=$F$3),'ORDENES'!$AA52=TRUE,'ORDENES'!$A52&lt;&gt;""),1,0)</f>
        <v/>
      </c>
      <c r="L56" s="3">
        <f>IF(K56=1,IFERROR(MATCH('ORDENES'!$R52,lista_dias,0),9)*1000000000+IFERROR(MATCH('ORDENES'!$AC52,lista_turnos,0),9)*10000000+IFERROR(MATCH('ORDENES'!$AB52,'TECNICOS'!$B$4:$B$15,0),99)*100000+49,9000000000000+49)</f>
        <v/>
      </c>
      <c r="M56" s="3">
        <f>IF(K56=1,SUMPRODUCT(--($L$8:$L$1207&lt;L56))+1,"")</f>
        <v/>
      </c>
      <c r="N56" s="17">
        <f>IF(K56=1,N('ORDENES'!$M52),0)</f>
        <v/>
      </c>
      <c r="O56" s="17">
        <f>IF('ORDENES'!$S52="preventiva",N56,0)</f>
        <v/>
      </c>
      <c r="P56" s="17">
        <f>IF('ORDENES'!$S52="correctiva",N56,0)</f>
        <v/>
      </c>
      <c r="Q56" s="3">
        <f>IF(AND(K56=1,'ORDENES'!$N52="Pendiente"),1,0)</f>
        <v/>
      </c>
      <c r="R56" s="3">
        <f>IF(Q56=1,100000-N56*1000+49*0.01,9000000000000+49)</f>
        <v/>
      </c>
      <c r="S56" s="3">
        <f>IF(Q56=1,SUMPRODUCT(--($R$8:$R$1207&lt;R56))+1,"")</f>
        <v/>
      </c>
      <c r="T56" s="11">
        <f>IF(K56=1,'ORDENES'!$J52,"")</f>
        <v/>
      </c>
      <c r="U56" s="3">
        <f>IFERROR(MATCH(49,$M$8:$M$1207,0),"")</f>
        <v/>
      </c>
      <c r="V56" s="3">
        <f>IF(U56="","",INDEX('ORDENES'!$R$4:$R$1203,U56))</f>
        <v/>
      </c>
      <c r="W56" s="3">
        <f>IF(U56="","",IF(V56&lt;&gt;V55,CHAR(10)&amp;UPPER(LEFT(V56,1))&amp;MID(V56,2,20)&amp;":"&amp;CHAR(10),"")&amp;"   "&amp;IF(INDEX('ORDENES'!$AC$4:$AC$1203,U56)="","(s/t)",INDEX('ORDENES'!$AC$4:$AC$1203,U56))&amp;" · "&amp;IF(INDEX('ORDENES'!$AB$4:$AB$1203,U56)="","(sin técnico)",INDEX('ORDENES'!$AB$4:$AB$1203,U56))&amp;" · "&amp;INDEX('ORDENES'!$AN$4:$AN$1203,U56)&amp;" — "&amp;INDEX('ORDENES'!$D$4:$D$1203,U56)&amp;" ("&amp;TEXT(INDEX('ORDENES'!$M$4:$M$1203,U56),"0.#")&amp;" h)")</f>
        <v/>
      </c>
    </row>
    <row r="57">
      <c r="K57" s="3">
        <f>IF(AND(IF($B$3="(todos)",TRUE,'ORDENES'!$O53=$B$3),IF($D$3="(todos)",TRUE,'ORDENES'!$AC53=$D$3),IF($F$3="(todos)",TRUE,'ORDENES'!$V53=$F$3),'ORDENES'!$AA53=TRUE,'ORDENES'!$A53&lt;&gt;""),1,0)</f>
        <v/>
      </c>
      <c r="L57" s="3">
        <f>IF(K57=1,IFERROR(MATCH('ORDENES'!$R53,lista_dias,0),9)*1000000000+IFERROR(MATCH('ORDENES'!$AC53,lista_turnos,0),9)*10000000+IFERROR(MATCH('ORDENES'!$AB53,'TECNICOS'!$B$4:$B$15,0),99)*100000+50,9000000000000+50)</f>
        <v/>
      </c>
      <c r="M57" s="3">
        <f>IF(K57=1,SUMPRODUCT(--($L$8:$L$1207&lt;L57))+1,"")</f>
        <v/>
      </c>
      <c r="N57" s="17">
        <f>IF(K57=1,N('ORDENES'!$M53),0)</f>
        <v/>
      </c>
      <c r="O57" s="17">
        <f>IF('ORDENES'!$S53="preventiva",N57,0)</f>
        <v/>
      </c>
      <c r="P57" s="17">
        <f>IF('ORDENES'!$S53="correctiva",N57,0)</f>
        <v/>
      </c>
      <c r="Q57" s="3">
        <f>IF(AND(K57=1,'ORDENES'!$N53="Pendiente"),1,0)</f>
        <v/>
      </c>
      <c r="R57" s="3">
        <f>IF(Q57=1,100000-N57*1000+50*0.01,9000000000000+50)</f>
        <v/>
      </c>
      <c r="S57" s="3">
        <f>IF(Q57=1,SUMPRODUCT(--($R$8:$R$1207&lt;R57))+1,"")</f>
        <v/>
      </c>
      <c r="T57" s="11">
        <f>IF(K57=1,'ORDENES'!$J53,"")</f>
        <v/>
      </c>
      <c r="U57" s="3">
        <f>IFERROR(MATCH(50,$M$8:$M$1207,0),"")</f>
        <v/>
      </c>
      <c r="V57" s="3">
        <f>IF(U57="","",INDEX('ORDENES'!$R$4:$R$1203,U57))</f>
        <v/>
      </c>
      <c r="W57" s="3">
        <f>IF(U57="","",IF(V57&lt;&gt;V56,CHAR(10)&amp;UPPER(LEFT(V57,1))&amp;MID(V57,2,20)&amp;":"&amp;CHAR(10),"")&amp;"   "&amp;IF(INDEX('ORDENES'!$AC$4:$AC$1203,U57)="","(s/t)",INDEX('ORDENES'!$AC$4:$AC$1203,U57))&amp;" · "&amp;IF(INDEX('ORDENES'!$AB$4:$AB$1203,U57)="","(sin técnico)",INDEX('ORDENES'!$AB$4:$AB$1203,U57))&amp;" · "&amp;INDEX('ORDENES'!$AN$4:$AN$1203,U57)&amp;" — "&amp;INDEX('ORDENES'!$D$4:$D$1203,U57)&amp;" ("&amp;TEXT(INDEX('ORDENES'!$M$4:$M$1203,U57),"0.#")&amp;" h)")</f>
        <v/>
      </c>
    </row>
    <row r="58">
      <c r="K58" s="3">
        <f>IF(AND(IF($B$3="(todos)",TRUE,'ORDENES'!$O54=$B$3),IF($D$3="(todos)",TRUE,'ORDENES'!$AC54=$D$3),IF($F$3="(todos)",TRUE,'ORDENES'!$V54=$F$3),'ORDENES'!$AA54=TRUE,'ORDENES'!$A54&lt;&gt;""),1,0)</f>
        <v/>
      </c>
      <c r="L58" s="3">
        <f>IF(K58=1,IFERROR(MATCH('ORDENES'!$R54,lista_dias,0),9)*1000000000+IFERROR(MATCH('ORDENES'!$AC54,lista_turnos,0),9)*10000000+IFERROR(MATCH('ORDENES'!$AB54,'TECNICOS'!$B$4:$B$15,0),99)*100000+51,9000000000000+51)</f>
        <v/>
      </c>
      <c r="M58" s="3">
        <f>IF(K58=1,SUMPRODUCT(--($L$8:$L$1207&lt;L58))+1,"")</f>
        <v/>
      </c>
      <c r="N58" s="17">
        <f>IF(K58=1,N('ORDENES'!$M54),0)</f>
        <v/>
      </c>
      <c r="O58" s="17">
        <f>IF('ORDENES'!$S54="preventiva",N58,0)</f>
        <v/>
      </c>
      <c r="P58" s="17">
        <f>IF('ORDENES'!$S54="correctiva",N58,0)</f>
        <v/>
      </c>
      <c r="Q58" s="3">
        <f>IF(AND(K58=1,'ORDENES'!$N54="Pendiente"),1,0)</f>
        <v/>
      </c>
      <c r="R58" s="3">
        <f>IF(Q58=1,100000-N58*1000+51*0.01,9000000000000+51)</f>
        <v/>
      </c>
      <c r="S58" s="3">
        <f>IF(Q58=1,SUMPRODUCT(--($R$8:$R$1207&lt;R58))+1,"")</f>
        <v/>
      </c>
      <c r="T58" s="11">
        <f>IF(K58=1,'ORDENES'!$J54,"")</f>
        <v/>
      </c>
      <c r="U58" s="3">
        <f>IFERROR(MATCH(51,$M$8:$M$1207,0),"")</f>
        <v/>
      </c>
      <c r="V58" s="3">
        <f>IF(U58="","",INDEX('ORDENES'!$R$4:$R$1203,U58))</f>
        <v/>
      </c>
      <c r="W58" s="3">
        <f>IF(U58="","",IF(V58&lt;&gt;V57,CHAR(10)&amp;UPPER(LEFT(V58,1))&amp;MID(V58,2,20)&amp;":"&amp;CHAR(10),"")&amp;"   "&amp;IF(INDEX('ORDENES'!$AC$4:$AC$1203,U58)="","(s/t)",INDEX('ORDENES'!$AC$4:$AC$1203,U58))&amp;" · "&amp;IF(INDEX('ORDENES'!$AB$4:$AB$1203,U58)="","(sin técnico)",INDEX('ORDENES'!$AB$4:$AB$1203,U58))&amp;" · "&amp;INDEX('ORDENES'!$AN$4:$AN$1203,U58)&amp;" — "&amp;INDEX('ORDENES'!$D$4:$D$1203,U58)&amp;" ("&amp;TEXT(INDEX('ORDENES'!$M$4:$M$1203,U58),"0.#")&amp;" h)")</f>
        <v/>
      </c>
    </row>
    <row r="59">
      <c r="K59" s="3">
        <f>IF(AND(IF($B$3="(todos)",TRUE,'ORDENES'!$O55=$B$3),IF($D$3="(todos)",TRUE,'ORDENES'!$AC55=$D$3),IF($F$3="(todos)",TRUE,'ORDENES'!$V55=$F$3),'ORDENES'!$AA55=TRUE,'ORDENES'!$A55&lt;&gt;""),1,0)</f>
        <v/>
      </c>
      <c r="L59" s="3">
        <f>IF(K59=1,IFERROR(MATCH('ORDENES'!$R55,lista_dias,0),9)*1000000000+IFERROR(MATCH('ORDENES'!$AC55,lista_turnos,0),9)*10000000+IFERROR(MATCH('ORDENES'!$AB55,'TECNICOS'!$B$4:$B$15,0),99)*100000+52,9000000000000+52)</f>
        <v/>
      </c>
      <c r="M59" s="3">
        <f>IF(K59=1,SUMPRODUCT(--($L$8:$L$1207&lt;L59))+1,"")</f>
        <v/>
      </c>
      <c r="N59" s="17">
        <f>IF(K59=1,N('ORDENES'!$M55),0)</f>
        <v/>
      </c>
      <c r="O59" s="17">
        <f>IF('ORDENES'!$S55="preventiva",N59,0)</f>
        <v/>
      </c>
      <c r="P59" s="17">
        <f>IF('ORDENES'!$S55="correctiva",N59,0)</f>
        <v/>
      </c>
      <c r="Q59" s="3">
        <f>IF(AND(K59=1,'ORDENES'!$N55="Pendiente"),1,0)</f>
        <v/>
      </c>
      <c r="R59" s="3">
        <f>IF(Q59=1,100000-N59*1000+52*0.01,9000000000000+52)</f>
        <v/>
      </c>
      <c r="S59" s="3">
        <f>IF(Q59=1,SUMPRODUCT(--($R$8:$R$1207&lt;R59))+1,"")</f>
        <v/>
      </c>
      <c r="T59" s="11">
        <f>IF(K59=1,'ORDENES'!$J55,"")</f>
        <v/>
      </c>
      <c r="U59" s="3">
        <f>IFERROR(MATCH(52,$M$8:$M$1207,0),"")</f>
        <v/>
      </c>
      <c r="V59" s="3">
        <f>IF(U59="","",INDEX('ORDENES'!$R$4:$R$1203,U59))</f>
        <v/>
      </c>
      <c r="W59" s="3">
        <f>IF(U59="","",IF(V59&lt;&gt;V58,CHAR(10)&amp;UPPER(LEFT(V59,1))&amp;MID(V59,2,20)&amp;":"&amp;CHAR(10),"")&amp;"   "&amp;IF(INDEX('ORDENES'!$AC$4:$AC$1203,U59)="","(s/t)",INDEX('ORDENES'!$AC$4:$AC$1203,U59))&amp;" · "&amp;IF(INDEX('ORDENES'!$AB$4:$AB$1203,U59)="","(sin técnico)",INDEX('ORDENES'!$AB$4:$AB$1203,U59))&amp;" · "&amp;INDEX('ORDENES'!$AN$4:$AN$1203,U59)&amp;" — "&amp;INDEX('ORDENES'!$D$4:$D$1203,U59)&amp;" ("&amp;TEXT(INDEX('ORDENES'!$M$4:$M$1203,U59),"0.#")&amp;" h)")</f>
        <v/>
      </c>
    </row>
    <row r="60">
      <c r="K60" s="3">
        <f>IF(AND(IF($B$3="(todos)",TRUE,'ORDENES'!$O56=$B$3),IF($D$3="(todos)",TRUE,'ORDENES'!$AC56=$D$3),IF($F$3="(todos)",TRUE,'ORDENES'!$V56=$F$3),'ORDENES'!$AA56=TRUE,'ORDENES'!$A56&lt;&gt;""),1,0)</f>
        <v/>
      </c>
      <c r="L60" s="3">
        <f>IF(K60=1,IFERROR(MATCH('ORDENES'!$R56,lista_dias,0),9)*1000000000+IFERROR(MATCH('ORDENES'!$AC56,lista_turnos,0),9)*10000000+IFERROR(MATCH('ORDENES'!$AB56,'TECNICOS'!$B$4:$B$15,0),99)*100000+53,9000000000000+53)</f>
        <v/>
      </c>
      <c r="M60" s="3">
        <f>IF(K60=1,SUMPRODUCT(--($L$8:$L$1207&lt;L60))+1,"")</f>
        <v/>
      </c>
      <c r="N60" s="17">
        <f>IF(K60=1,N('ORDENES'!$M56),0)</f>
        <v/>
      </c>
      <c r="O60" s="17">
        <f>IF('ORDENES'!$S56="preventiva",N60,0)</f>
        <v/>
      </c>
      <c r="P60" s="17">
        <f>IF('ORDENES'!$S56="correctiva",N60,0)</f>
        <v/>
      </c>
      <c r="Q60" s="3">
        <f>IF(AND(K60=1,'ORDENES'!$N56="Pendiente"),1,0)</f>
        <v/>
      </c>
      <c r="R60" s="3">
        <f>IF(Q60=1,100000-N60*1000+53*0.01,9000000000000+53)</f>
        <v/>
      </c>
      <c r="S60" s="3">
        <f>IF(Q60=1,SUMPRODUCT(--($R$8:$R$1207&lt;R60))+1,"")</f>
        <v/>
      </c>
      <c r="T60" s="11">
        <f>IF(K60=1,'ORDENES'!$J56,"")</f>
        <v/>
      </c>
      <c r="U60" s="3">
        <f>IFERROR(MATCH(53,$M$8:$M$1207,0),"")</f>
        <v/>
      </c>
      <c r="V60" s="3">
        <f>IF(U60="","",INDEX('ORDENES'!$R$4:$R$1203,U60))</f>
        <v/>
      </c>
      <c r="W60" s="3">
        <f>IF(U60="","",IF(V60&lt;&gt;V59,CHAR(10)&amp;UPPER(LEFT(V60,1))&amp;MID(V60,2,20)&amp;":"&amp;CHAR(10),"")&amp;"   "&amp;IF(INDEX('ORDENES'!$AC$4:$AC$1203,U60)="","(s/t)",INDEX('ORDENES'!$AC$4:$AC$1203,U60))&amp;" · "&amp;IF(INDEX('ORDENES'!$AB$4:$AB$1203,U60)="","(sin técnico)",INDEX('ORDENES'!$AB$4:$AB$1203,U60))&amp;" · "&amp;INDEX('ORDENES'!$AN$4:$AN$1203,U60)&amp;" — "&amp;INDEX('ORDENES'!$D$4:$D$1203,U60)&amp;" ("&amp;TEXT(INDEX('ORDENES'!$M$4:$M$1203,U60),"0.#")&amp;" h)")</f>
        <v/>
      </c>
    </row>
    <row r="61">
      <c r="K61" s="3">
        <f>IF(AND(IF($B$3="(todos)",TRUE,'ORDENES'!$O57=$B$3),IF($D$3="(todos)",TRUE,'ORDENES'!$AC57=$D$3),IF($F$3="(todos)",TRUE,'ORDENES'!$V57=$F$3),'ORDENES'!$AA57=TRUE,'ORDENES'!$A57&lt;&gt;""),1,0)</f>
        <v/>
      </c>
      <c r="L61" s="3">
        <f>IF(K61=1,IFERROR(MATCH('ORDENES'!$R57,lista_dias,0),9)*1000000000+IFERROR(MATCH('ORDENES'!$AC57,lista_turnos,0),9)*10000000+IFERROR(MATCH('ORDENES'!$AB57,'TECNICOS'!$B$4:$B$15,0),99)*100000+54,9000000000000+54)</f>
        <v/>
      </c>
      <c r="M61" s="3">
        <f>IF(K61=1,SUMPRODUCT(--($L$8:$L$1207&lt;L61))+1,"")</f>
        <v/>
      </c>
      <c r="N61" s="17">
        <f>IF(K61=1,N('ORDENES'!$M57),0)</f>
        <v/>
      </c>
      <c r="O61" s="17">
        <f>IF('ORDENES'!$S57="preventiva",N61,0)</f>
        <v/>
      </c>
      <c r="P61" s="17">
        <f>IF('ORDENES'!$S57="correctiva",N61,0)</f>
        <v/>
      </c>
      <c r="Q61" s="3">
        <f>IF(AND(K61=1,'ORDENES'!$N57="Pendiente"),1,0)</f>
        <v/>
      </c>
      <c r="R61" s="3">
        <f>IF(Q61=1,100000-N61*1000+54*0.01,9000000000000+54)</f>
        <v/>
      </c>
      <c r="S61" s="3">
        <f>IF(Q61=1,SUMPRODUCT(--($R$8:$R$1207&lt;R61))+1,"")</f>
        <v/>
      </c>
      <c r="T61" s="11">
        <f>IF(K61=1,'ORDENES'!$J57,"")</f>
        <v/>
      </c>
      <c r="U61" s="3">
        <f>IFERROR(MATCH(54,$M$8:$M$1207,0),"")</f>
        <v/>
      </c>
      <c r="V61" s="3">
        <f>IF(U61="","",INDEX('ORDENES'!$R$4:$R$1203,U61))</f>
        <v/>
      </c>
      <c r="W61" s="3">
        <f>IF(U61="","",IF(V61&lt;&gt;V60,CHAR(10)&amp;UPPER(LEFT(V61,1))&amp;MID(V61,2,20)&amp;":"&amp;CHAR(10),"")&amp;"   "&amp;IF(INDEX('ORDENES'!$AC$4:$AC$1203,U61)="","(s/t)",INDEX('ORDENES'!$AC$4:$AC$1203,U61))&amp;" · "&amp;IF(INDEX('ORDENES'!$AB$4:$AB$1203,U61)="","(sin técnico)",INDEX('ORDENES'!$AB$4:$AB$1203,U61))&amp;" · "&amp;INDEX('ORDENES'!$AN$4:$AN$1203,U61)&amp;" — "&amp;INDEX('ORDENES'!$D$4:$D$1203,U61)&amp;" ("&amp;TEXT(INDEX('ORDENES'!$M$4:$M$1203,U61),"0.#")&amp;" h)")</f>
        <v/>
      </c>
    </row>
    <row r="62">
      <c r="K62" s="3">
        <f>IF(AND(IF($B$3="(todos)",TRUE,'ORDENES'!$O58=$B$3),IF($D$3="(todos)",TRUE,'ORDENES'!$AC58=$D$3),IF($F$3="(todos)",TRUE,'ORDENES'!$V58=$F$3),'ORDENES'!$AA58=TRUE,'ORDENES'!$A58&lt;&gt;""),1,0)</f>
        <v/>
      </c>
      <c r="L62" s="3">
        <f>IF(K62=1,IFERROR(MATCH('ORDENES'!$R58,lista_dias,0),9)*1000000000+IFERROR(MATCH('ORDENES'!$AC58,lista_turnos,0),9)*10000000+IFERROR(MATCH('ORDENES'!$AB58,'TECNICOS'!$B$4:$B$15,0),99)*100000+55,9000000000000+55)</f>
        <v/>
      </c>
      <c r="M62" s="3">
        <f>IF(K62=1,SUMPRODUCT(--($L$8:$L$1207&lt;L62))+1,"")</f>
        <v/>
      </c>
      <c r="N62" s="17">
        <f>IF(K62=1,N('ORDENES'!$M58),0)</f>
        <v/>
      </c>
      <c r="O62" s="17">
        <f>IF('ORDENES'!$S58="preventiva",N62,0)</f>
        <v/>
      </c>
      <c r="P62" s="17">
        <f>IF('ORDENES'!$S58="correctiva",N62,0)</f>
        <v/>
      </c>
      <c r="Q62" s="3">
        <f>IF(AND(K62=1,'ORDENES'!$N58="Pendiente"),1,0)</f>
        <v/>
      </c>
      <c r="R62" s="3">
        <f>IF(Q62=1,100000-N62*1000+55*0.01,9000000000000+55)</f>
        <v/>
      </c>
      <c r="S62" s="3">
        <f>IF(Q62=1,SUMPRODUCT(--($R$8:$R$1207&lt;R62))+1,"")</f>
        <v/>
      </c>
      <c r="T62" s="11">
        <f>IF(K62=1,'ORDENES'!$J58,"")</f>
        <v/>
      </c>
      <c r="U62" s="3">
        <f>IFERROR(MATCH(55,$M$8:$M$1207,0),"")</f>
        <v/>
      </c>
      <c r="V62" s="3">
        <f>IF(U62="","",INDEX('ORDENES'!$R$4:$R$1203,U62))</f>
        <v/>
      </c>
      <c r="W62" s="3">
        <f>IF(U62="","",IF(V62&lt;&gt;V61,CHAR(10)&amp;UPPER(LEFT(V62,1))&amp;MID(V62,2,20)&amp;":"&amp;CHAR(10),"")&amp;"   "&amp;IF(INDEX('ORDENES'!$AC$4:$AC$1203,U62)="","(s/t)",INDEX('ORDENES'!$AC$4:$AC$1203,U62))&amp;" · "&amp;IF(INDEX('ORDENES'!$AB$4:$AB$1203,U62)="","(sin técnico)",INDEX('ORDENES'!$AB$4:$AB$1203,U62))&amp;" · "&amp;INDEX('ORDENES'!$AN$4:$AN$1203,U62)&amp;" — "&amp;INDEX('ORDENES'!$D$4:$D$1203,U62)&amp;" ("&amp;TEXT(INDEX('ORDENES'!$M$4:$M$1203,U62),"0.#")&amp;" h)")</f>
        <v/>
      </c>
    </row>
    <row r="63">
      <c r="K63" s="3">
        <f>IF(AND(IF($B$3="(todos)",TRUE,'ORDENES'!$O59=$B$3),IF($D$3="(todos)",TRUE,'ORDENES'!$AC59=$D$3),IF($F$3="(todos)",TRUE,'ORDENES'!$V59=$F$3),'ORDENES'!$AA59=TRUE,'ORDENES'!$A59&lt;&gt;""),1,0)</f>
        <v/>
      </c>
      <c r="L63" s="3">
        <f>IF(K63=1,IFERROR(MATCH('ORDENES'!$R59,lista_dias,0),9)*1000000000+IFERROR(MATCH('ORDENES'!$AC59,lista_turnos,0),9)*10000000+IFERROR(MATCH('ORDENES'!$AB59,'TECNICOS'!$B$4:$B$15,0),99)*100000+56,9000000000000+56)</f>
        <v/>
      </c>
      <c r="M63" s="3">
        <f>IF(K63=1,SUMPRODUCT(--($L$8:$L$1207&lt;L63))+1,"")</f>
        <v/>
      </c>
      <c r="N63" s="17">
        <f>IF(K63=1,N('ORDENES'!$M59),0)</f>
        <v/>
      </c>
      <c r="O63" s="17">
        <f>IF('ORDENES'!$S59="preventiva",N63,0)</f>
        <v/>
      </c>
      <c r="P63" s="17">
        <f>IF('ORDENES'!$S59="correctiva",N63,0)</f>
        <v/>
      </c>
      <c r="Q63" s="3">
        <f>IF(AND(K63=1,'ORDENES'!$N59="Pendiente"),1,0)</f>
        <v/>
      </c>
      <c r="R63" s="3">
        <f>IF(Q63=1,100000-N63*1000+56*0.01,9000000000000+56)</f>
        <v/>
      </c>
      <c r="S63" s="3">
        <f>IF(Q63=1,SUMPRODUCT(--($R$8:$R$1207&lt;R63))+1,"")</f>
        <v/>
      </c>
      <c r="T63" s="11">
        <f>IF(K63=1,'ORDENES'!$J59,"")</f>
        <v/>
      </c>
      <c r="U63" s="3">
        <f>IFERROR(MATCH(56,$M$8:$M$1207,0),"")</f>
        <v/>
      </c>
      <c r="V63" s="3">
        <f>IF(U63="","",INDEX('ORDENES'!$R$4:$R$1203,U63))</f>
        <v/>
      </c>
      <c r="W63" s="3">
        <f>IF(U63="","",IF(V63&lt;&gt;V62,CHAR(10)&amp;UPPER(LEFT(V63,1))&amp;MID(V63,2,20)&amp;":"&amp;CHAR(10),"")&amp;"   "&amp;IF(INDEX('ORDENES'!$AC$4:$AC$1203,U63)="","(s/t)",INDEX('ORDENES'!$AC$4:$AC$1203,U63))&amp;" · "&amp;IF(INDEX('ORDENES'!$AB$4:$AB$1203,U63)="","(sin técnico)",INDEX('ORDENES'!$AB$4:$AB$1203,U63))&amp;" · "&amp;INDEX('ORDENES'!$AN$4:$AN$1203,U63)&amp;" — "&amp;INDEX('ORDENES'!$D$4:$D$1203,U63)&amp;" ("&amp;TEXT(INDEX('ORDENES'!$M$4:$M$1203,U63),"0.#")&amp;" h)")</f>
        <v/>
      </c>
    </row>
    <row r="64">
      <c r="K64" s="3">
        <f>IF(AND(IF($B$3="(todos)",TRUE,'ORDENES'!$O60=$B$3),IF($D$3="(todos)",TRUE,'ORDENES'!$AC60=$D$3),IF($F$3="(todos)",TRUE,'ORDENES'!$V60=$F$3),'ORDENES'!$AA60=TRUE,'ORDENES'!$A60&lt;&gt;""),1,0)</f>
        <v/>
      </c>
      <c r="L64" s="3">
        <f>IF(K64=1,IFERROR(MATCH('ORDENES'!$R60,lista_dias,0),9)*1000000000+IFERROR(MATCH('ORDENES'!$AC60,lista_turnos,0),9)*10000000+IFERROR(MATCH('ORDENES'!$AB60,'TECNICOS'!$B$4:$B$15,0),99)*100000+57,9000000000000+57)</f>
        <v/>
      </c>
      <c r="M64" s="3">
        <f>IF(K64=1,SUMPRODUCT(--($L$8:$L$1207&lt;L64))+1,"")</f>
        <v/>
      </c>
      <c r="N64" s="17">
        <f>IF(K64=1,N('ORDENES'!$M60),0)</f>
        <v/>
      </c>
      <c r="O64" s="17">
        <f>IF('ORDENES'!$S60="preventiva",N64,0)</f>
        <v/>
      </c>
      <c r="P64" s="17">
        <f>IF('ORDENES'!$S60="correctiva",N64,0)</f>
        <v/>
      </c>
      <c r="Q64" s="3">
        <f>IF(AND(K64=1,'ORDENES'!$N60="Pendiente"),1,0)</f>
        <v/>
      </c>
      <c r="R64" s="3">
        <f>IF(Q64=1,100000-N64*1000+57*0.01,9000000000000+57)</f>
        <v/>
      </c>
      <c r="S64" s="3">
        <f>IF(Q64=1,SUMPRODUCT(--($R$8:$R$1207&lt;R64))+1,"")</f>
        <v/>
      </c>
      <c r="T64" s="11">
        <f>IF(K64=1,'ORDENES'!$J60,"")</f>
        <v/>
      </c>
      <c r="U64" s="3">
        <f>IFERROR(MATCH(57,$M$8:$M$1207,0),"")</f>
        <v/>
      </c>
      <c r="V64" s="3">
        <f>IF(U64="","",INDEX('ORDENES'!$R$4:$R$1203,U64))</f>
        <v/>
      </c>
      <c r="W64" s="3">
        <f>IF(U64="","",IF(V64&lt;&gt;V63,CHAR(10)&amp;UPPER(LEFT(V64,1))&amp;MID(V64,2,20)&amp;":"&amp;CHAR(10),"")&amp;"   "&amp;IF(INDEX('ORDENES'!$AC$4:$AC$1203,U64)="","(s/t)",INDEX('ORDENES'!$AC$4:$AC$1203,U64))&amp;" · "&amp;IF(INDEX('ORDENES'!$AB$4:$AB$1203,U64)="","(sin técnico)",INDEX('ORDENES'!$AB$4:$AB$1203,U64))&amp;" · "&amp;INDEX('ORDENES'!$AN$4:$AN$1203,U64)&amp;" — "&amp;INDEX('ORDENES'!$D$4:$D$1203,U64)&amp;" ("&amp;TEXT(INDEX('ORDENES'!$M$4:$M$1203,U64),"0.#")&amp;" h)")</f>
        <v/>
      </c>
    </row>
    <row r="65">
      <c r="K65" s="3">
        <f>IF(AND(IF($B$3="(todos)",TRUE,'ORDENES'!$O61=$B$3),IF($D$3="(todos)",TRUE,'ORDENES'!$AC61=$D$3),IF($F$3="(todos)",TRUE,'ORDENES'!$V61=$F$3),'ORDENES'!$AA61=TRUE,'ORDENES'!$A61&lt;&gt;""),1,0)</f>
        <v/>
      </c>
      <c r="L65" s="3">
        <f>IF(K65=1,IFERROR(MATCH('ORDENES'!$R61,lista_dias,0),9)*1000000000+IFERROR(MATCH('ORDENES'!$AC61,lista_turnos,0),9)*10000000+IFERROR(MATCH('ORDENES'!$AB61,'TECNICOS'!$B$4:$B$15,0),99)*100000+58,9000000000000+58)</f>
        <v/>
      </c>
      <c r="M65" s="3">
        <f>IF(K65=1,SUMPRODUCT(--($L$8:$L$1207&lt;L65))+1,"")</f>
        <v/>
      </c>
      <c r="N65" s="17">
        <f>IF(K65=1,N('ORDENES'!$M61),0)</f>
        <v/>
      </c>
      <c r="O65" s="17">
        <f>IF('ORDENES'!$S61="preventiva",N65,0)</f>
        <v/>
      </c>
      <c r="P65" s="17">
        <f>IF('ORDENES'!$S61="correctiva",N65,0)</f>
        <v/>
      </c>
      <c r="Q65" s="3">
        <f>IF(AND(K65=1,'ORDENES'!$N61="Pendiente"),1,0)</f>
        <v/>
      </c>
      <c r="R65" s="3">
        <f>IF(Q65=1,100000-N65*1000+58*0.01,9000000000000+58)</f>
        <v/>
      </c>
      <c r="S65" s="3">
        <f>IF(Q65=1,SUMPRODUCT(--($R$8:$R$1207&lt;R65))+1,"")</f>
        <v/>
      </c>
      <c r="T65" s="11">
        <f>IF(K65=1,'ORDENES'!$J61,"")</f>
        <v/>
      </c>
      <c r="U65" s="3">
        <f>IFERROR(MATCH(58,$M$8:$M$1207,0),"")</f>
        <v/>
      </c>
      <c r="V65" s="3">
        <f>IF(U65="","",INDEX('ORDENES'!$R$4:$R$1203,U65))</f>
        <v/>
      </c>
      <c r="W65" s="3">
        <f>IF(U65="","",IF(V65&lt;&gt;V64,CHAR(10)&amp;UPPER(LEFT(V65,1))&amp;MID(V65,2,20)&amp;":"&amp;CHAR(10),"")&amp;"   "&amp;IF(INDEX('ORDENES'!$AC$4:$AC$1203,U65)="","(s/t)",INDEX('ORDENES'!$AC$4:$AC$1203,U65))&amp;" · "&amp;IF(INDEX('ORDENES'!$AB$4:$AB$1203,U65)="","(sin técnico)",INDEX('ORDENES'!$AB$4:$AB$1203,U65))&amp;" · "&amp;INDEX('ORDENES'!$AN$4:$AN$1203,U65)&amp;" — "&amp;INDEX('ORDENES'!$D$4:$D$1203,U65)&amp;" ("&amp;TEXT(INDEX('ORDENES'!$M$4:$M$1203,U65),"0.#")&amp;" h)")</f>
        <v/>
      </c>
    </row>
    <row r="66">
      <c r="K66" s="3">
        <f>IF(AND(IF($B$3="(todos)",TRUE,'ORDENES'!$O62=$B$3),IF($D$3="(todos)",TRUE,'ORDENES'!$AC62=$D$3),IF($F$3="(todos)",TRUE,'ORDENES'!$V62=$F$3),'ORDENES'!$AA62=TRUE,'ORDENES'!$A62&lt;&gt;""),1,0)</f>
        <v/>
      </c>
      <c r="L66" s="3">
        <f>IF(K66=1,IFERROR(MATCH('ORDENES'!$R62,lista_dias,0),9)*1000000000+IFERROR(MATCH('ORDENES'!$AC62,lista_turnos,0),9)*10000000+IFERROR(MATCH('ORDENES'!$AB62,'TECNICOS'!$B$4:$B$15,0),99)*100000+59,9000000000000+59)</f>
        <v/>
      </c>
      <c r="M66" s="3">
        <f>IF(K66=1,SUMPRODUCT(--($L$8:$L$1207&lt;L66))+1,"")</f>
        <v/>
      </c>
      <c r="N66" s="17">
        <f>IF(K66=1,N('ORDENES'!$M62),0)</f>
        <v/>
      </c>
      <c r="O66" s="17">
        <f>IF('ORDENES'!$S62="preventiva",N66,0)</f>
        <v/>
      </c>
      <c r="P66" s="17">
        <f>IF('ORDENES'!$S62="correctiva",N66,0)</f>
        <v/>
      </c>
      <c r="Q66" s="3">
        <f>IF(AND(K66=1,'ORDENES'!$N62="Pendiente"),1,0)</f>
        <v/>
      </c>
      <c r="R66" s="3">
        <f>IF(Q66=1,100000-N66*1000+59*0.01,9000000000000+59)</f>
        <v/>
      </c>
      <c r="S66" s="3">
        <f>IF(Q66=1,SUMPRODUCT(--($R$8:$R$1207&lt;R66))+1,"")</f>
        <v/>
      </c>
      <c r="T66" s="11">
        <f>IF(K66=1,'ORDENES'!$J62,"")</f>
        <v/>
      </c>
      <c r="U66" s="3">
        <f>IFERROR(MATCH(59,$M$8:$M$1207,0),"")</f>
        <v/>
      </c>
      <c r="V66" s="3">
        <f>IF(U66="","",INDEX('ORDENES'!$R$4:$R$1203,U66))</f>
        <v/>
      </c>
      <c r="W66" s="3">
        <f>IF(U66="","",IF(V66&lt;&gt;V65,CHAR(10)&amp;UPPER(LEFT(V66,1))&amp;MID(V66,2,20)&amp;":"&amp;CHAR(10),"")&amp;"   "&amp;IF(INDEX('ORDENES'!$AC$4:$AC$1203,U66)="","(s/t)",INDEX('ORDENES'!$AC$4:$AC$1203,U66))&amp;" · "&amp;IF(INDEX('ORDENES'!$AB$4:$AB$1203,U66)="","(sin técnico)",INDEX('ORDENES'!$AB$4:$AB$1203,U66))&amp;" · "&amp;INDEX('ORDENES'!$AN$4:$AN$1203,U66)&amp;" — "&amp;INDEX('ORDENES'!$D$4:$D$1203,U66)&amp;" ("&amp;TEXT(INDEX('ORDENES'!$M$4:$M$1203,U66),"0.#")&amp;" h)")</f>
        <v/>
      </c>
    </row>
    <row r="67">
      <c r="K67" s="3">
        <f>IF(AND(IF($B$3="(todos)",TRUE,'ORDENES'!$O63=$B$3),IF($D$3="(todos)",TRUE,'ORDENES'!$AC63=$D$3),IF($F$3="(todos)",TRUE,'ORDENES'!$V63=$F$3),'ORDENES'!$AA63=TRUE,'ORDENES'!$A63&lt;&gt;""),1,0)</f>
        <v/>
      </c>
      <c r="L67" s="3">
        <f>IF(K67=1,IFERROR(MATCH('ORDENES'!$R63,lista_dias,0),9)*1000000000+IFERROR(MATCH('ORDENES'!$AC63,lista_turnos,0),9)*10000000+IFERROR(MATCH('ORDENES'!$AB63,'TECNICOS'!$B$4:$B$15,0),99)*100000+60,9000000000000+60)</f>
        <v/>
      </c>
      <c r="M67" s="3">
        <f>IF(K67=1,SUMPRODUCT(--($L$8:$L$1207&lt;L67))+1,"")</f>
        <v/>
      </c>
      <c r="N67" s="17">
        <f>IF(K67=1,N('ORDENES'!$M63),0)</f>
        <v/>
      </c>
      <c r="O67" s="17">
        <f>IF('ORDENES'!$S63="preventiva",N67,0)</f>
        <v/>
      </c>
      <c r="P67" s="17">
        <f>IF('ORDENES'!$S63="correctiva",N67,0)</f>
        <v/>
      </c>
      <c r="Q67" s="3">
        <f>IF(AND(K67=1,'ORDENES'!$N63="Pendiente"),1,0)</f>
        <v/>
      </c>
      <c r="R67" s="3">
        <f>IF(Q67=1,100000-N67*1000+60*0.01,9000000000000+60)</f>
        <v/>
      </c>
      <c r="S67" s="3">
        <f>IF(Q67=1,SUMPRODUCT(--($R$8:$R$1207&lt;R67))+1,"")</f>
        <v/>
      </c>
      <c r="T67" s="11">
        <f>IF(K67=1,'ORDENES'!$J63,"")</f>
        <v/>
      </c>
      <c r="U67" s="3">
        <f>IFERROR(MATCH(60,$M$8:$M$1207,0),"")</f>
        <v/>
      </c>
      <c r="V67" s="3">
        <f>IF(U67="","",INDEX('ORDENES'!$R$4:$R$1203,U67))</f>
        <v/>
      </c>
      <c r="W67" s="3">
        <f>IF(U67="","",IF(V67&lt;&gt;V66,CHAR(10)&amp;UPPER(LEFT(V67,1))&amp;MID(V67,2,20)&amp;":"&amp;CHAR(10),"")&amp;"   "&amp;IF(INDEX('ORDENES'!$AC$4:$AC$1203,U67)="","(s/t)",INDEX('ORDENES'!$AC$4:$AC$1203,U67))&amp;" · "&amp;IF(INDEX('ORDENES'!$AB$4:$AB$1203,U67)="","(sin técnico)",INDEX('ORDENES'!$AB$4:$AB$1203,U67))&amp;" · "&amp;INDEX('ORDENES'!$AN$4:$AN$1203,U67)&amp;" — "&amp;INDEX('ORDENES'!$D$4:$D$1203,U67)&amp;" ("&amp;TEXT(INDEX('ORDENES'!$M$4:$M$1203,U67),"0.#")&amp;" h)")</f>
        <v/>
      </c>
    </row>
    <row r="68">
      <c r="K68" s="3">
        <f>IF(AND(IF($B$3="(todos)",TRUE,'ORDENES'!$O64=$B$3),IF($D$3="(todos)",TRUE,'ORDENES'!$AC64=$D$3),IF($F$3="(todos)",TRUE,'ORDENES'!$V64=$F$3),'ORDENES'!$AA64=TRUE,'ORDENES'!$A64&lt;&gt;""),1,0)</f>
        <v/>
      </c>
      <c r="L68" s="3">
        <f>IF(K68=1,IFERROR(MATCH('ORDENES'!$R64,lista_dias,0),9)*1000000000+IFERROR(MATCH('ORDENES'!$AC64,lista_turnos,0),9)*10000000+IFERROR(MATCH('ORDENES'!$AB64,'TECNICOS'!$B$4:$B$15,0),99)*100000+61,9000000000000+61)</f>
        <v/>
      </c>
      <c r="M68" s="3">
        <f>IF(K68=1,SUMPRODUCT(--($L$8:$L$1207&lt;L68))+1,"")</f>
        <v/>
      </c>
      <c r="N68" s="17">
        <f>IF(K68=1,N('ORDENES'!$M64),0)</f>
        <v/>
      </c>
      <c r="O68" s="17">
        <f>IF('ORDENES'!$S64="preventiva",N68,0)</f>
        <v/>
      </c>
      <c r="P68" s="17">
        <f>IF('ORDENES'!$S64="correctiva",N68,0)</f>
        <v/>
      </c>
      <c r="Q68" s="3">
        <f>IF(AND(K68=1,'ORDENES'!$N64="Pendiente"),1,0)</f>
        <v/>
      </c>
      <c r="R68" s="3">
        <f>IF(Q68=1,100000-N68*1000+61*0.01,9000000000000+61)</f>
        <v/>
      </c>
      <c r="S68" s="3">
        <f>IF(Q68=1,SUMPRODUCT(--($R$8:$R$1207&lt;R68))+1,"")</f>
        <v/>
      </c>
      <c r="T68" s="11">
        <f>IF(K68=1,'ORDENES'!$J64,"")</f>
        <v/>
      </c>
      <c r="U68" s="3">
        <f>IFERROR(MATCH(61,$M$8:$M$1207,0),"")</f>
        <v/>
      </c>
      <c r="V68" s="3">
        <f>IF(U68="","",INDEX('ORDENES'!$R$4:$R$1203,U68))</f>
        <v/>
      </c>
      <c r="W68" s="3">
        <f>IF(U68="","",IF(V68&lt;&gt;V67,CHAR(10)&amp;UPPER(LEFT(V68,1))&amp;MID(V68,2,20)&amp;":"&amp;CHAR(10),"")&amp;"   "&amp;IF(INDEX('ORDENES'!$AC$4:$AC$1203,U68)="","(s/t)",INDEX('ORDENES'!$AC$4:$AC$1203,U68))&amp;" · "&amp;IF(INDEX('ORDENES'!$AB$4:$AB$1203,U68)="","(sin técnico)",INDEX('ORDENES'!$AB$4:$AB$1203,U68))&amp;" · "&amp;INDEX('ORDENES'!$AN$4:$AN$1203,U68)&amp;" — "&amp;INDEX('ORDENES'!$D$4:$D$1203,U68)&amp;" ("&amp;TEXT(INDEX('ORDENES'!$M$4:$M$1203,U68),"0.#")&amp;" h)")</f>
        <v/>
      </c>
    </row>
    <row r="69">
      <c r="K69" s="3">
        <f>IF(AND(IF($B$3="(todos)",TRUE,'ORDENES'!$O65=$B$3),IF($D$3="(todos)",TRUE,'ORDENES'!$AC65=$D$3),IF($F$3="(todos)",TRUE,'ORDENES'!$V65=$F$3),'ORDENES'!$AA65=TRUE,'ORDENES'!$A65&lt;&gt;""),1,0)</f>
        <v/>
      </c>
      <c r="L69" s="3">
        <f>IF(K69=1,IFERROR(MATCH('ORDENES'!$R65,lista_dias,0),9)*1000000000+IFERROR(MATCH('ORDENES'!$AC65,lista_turnos,0),9)*10000000+IFERROR(MATCH('ORDENES'!$AB65,'TECNICOS'!$B$4:$B$15,0),99)*100000+62,9000000000000+62)</f>
        <v/>
      </c>
      <c r="M69" s="3">
        <f>IF(K69=1,SUMPRODUCT(--($L$8:$L$1207&lt;L69))+1,"")</f>
        <v/>
      </c>
      <c r="N69" s="17">
        <f>IF(K69=1,N('ORDENES'!$M65),0)</f>
        <v/>
      </c>
      <c r="O69" s="17">
        <f>IF('ORDENES'!$S65="preventiva",N69,0)</f>
        <v/>
      </c>
      <c r="P69" s="17">
        <f>IF('ORDENES'!$S65="correctiva",N69,0)</f>
        <v/>
      </c>
      <c r="Q69" s="3">
        <f>IF(AND(K69=1,'ORDENES'!$N65="Pendiente"),1,0)</f>
        <v/>
      </c>
      <c r="R69" s="3">
        <f>IF(Q69=1,100000-N69*1000+62*0.01,9000000000000+62)</f>
        <v/>
      </c>
      <c r="S69" s="3">
        <f>IF(Q69=1,SUMPRODUCT(--($R$8:$R$1207&lt;R69))+1,"")</f>
        <v/>
      </c>
      <c r="T69" s="11">
        <f>IF(K69=1,'ORDENES'!$J65,"")</f>
        <v/>
      </c>
      <c r="U69" s="3">
        <f>IFERROR(MATCH(62,$M$8:$M$1207,0),"")</f>
        <v/>
      </c>
      <c r="V69" s="3">
        <f>IF(U69="","",INDEX('ORDENES'!$R$4:$R$1203,U69))</f>
        <v/>
      </c>
      <c r="W69" s="3">
        <f>IF(U69="","",IF(V69&lt;&gt;V68,CHAR(10)&amp;UPPER(LEFT(V69,1))&amp;MID(V69,2,20)&amp;":"&amp;CHAR(10),"")&amp;"   "&amp;IF(INDEX('ORDENES'!$AC$4:$AC$1203,U69)="","(s/t)",INDEX('ORDENES'!$AC$4:$AC$1203,U69))&amp;" · "&amp;IF(INDEX('ORDENES'!$AB$4:$AB$1203,U69)="","(sin técnico)",INDEX('ORDENES'!$AB$4:$AB$1203,U69))&amp;" · "&amp;INDEX('ORDENES'!$AN$4:$AN$1203,U69)&amp;" — "&amp;INDEX('ORDENES'!$D$4:$D$1203,U69)&amp;" ("&amp;TEXT(INDEX('ORDENES'!$M$4:$M$1203,U69),"0.#")&amp;" h)")</f>
        <v/>
      </c>
    </row>
    <row r="70">
      <c r="K70" s="3">
        <f>IF(AND(IF($B$3="(todos)",TRUE,'ORDENES'!$O66=$B$3),IF($D$3="(todos)",TRUE,'ORDENES'!$AC66=$D$3),IF($F$3="(todos)",TRUE,'ORDENES'!$V66=$F$3),'ORDENES'!$AA66=TRUE,'ORDENES'!$A66&lt;&gt;""),1,0)</f>
        <v/>
      </c>
      <c r="L70" s="3">
        <f>IF(K70=1,IFERROR(MATCH('ORDENES'!$R66,lista_dias,0),9)*1000000000+IFERROR(MATCH('ORDENES'!$AC66,lista_turnos,0),9)*10000000+IFERROR(MATCH('ORDENES'!$AB66,'TECNICOS'!$B$4:$B$15,0),99)*100000+63,9000000000000+63)</f>
        <v/>
      </c>
      <c r="M70" s="3">
        <f>IF(K70=1,SUMPRODUCT(--($L$8:$L$1207&lt;L70))+1,"")</f>
        <v/>
      </c>
      <c r="N70" s="17">
        <f>IF(K70=1,N('ORDENES'!$M66),0)</f>
        <v/>
      </c>
      <c r="O70" s="17">
        <f>IF('ORDENES'!$S66="preventiva",N70,0)</f>
        <v/>
      </c>
      <c r="P70" s="17">
        <f>IF('ORDENES'!$S66="correctiva",N70,0)</f>
        <v/>
      </c>
      <c r="Q70" s="3">
        <f>IF(AND(K70=1,'ORDENES'!$N66="Pendiente"),1,0)</f>
        <v/>
      </c>
      <c r="R70" s="3">
        <f>IF(Q70=1,100000-N70*1000+63*0.01,9000000000000+63)</f>
        <v/>
      </c>
      <c r="S70" s="3">
        <f>IF(Q70=1,SUMPRODUCT(--($R$8:$R$1207&lt;R70))+1,"")</f>
        <v/>
      </c>
      <c r="T70" s="11">
        <f>IF(K70=1,'ORDENES'!$J66,"")</f>
        <v/>
      </c>
      <c r="U70" s="3">
        <f>IFERROR(MATCH(63,$M$8:$M$1207,0),"")</f>
        <v/>
      </c>
      <c r="V70" s="3">
        <f>IF(U70="","",INDEX('ORDENES'!$R$4:$R$1203,U70))</f>
        <v/>
      </c>
      <c r="W70" s="3">
        <f>IF(U70="","",IF(V70&lt;&gt;V69,CHAR(10)&amp;UPPER(LEFT(V70,1))&amp;MID(V70,2,20)&amp;":"&amp;CHAR(10),"")&amp;"   "&amp;IF(INDEX('ORDENES'!$AC$4:$AC$1203,U70)="","(s/t)",INDEX('ORDENES'!$AC$4:$AC$1203,U70))&amp;" · "&amp;IF(INDEX('ORDENES'!$AB$4:$AB$1203,U70)="","(sin técnico)",INDEX('ORDENES'!$AB$4:$AB$1203,U70))&amp;" · "&amp;INDEX('ORDENES'!$AN$4:$AN$1203,U70)&amp;" — "&amp;INDEX('ORDENES'!$D$4:$D$1203,U70)&amp;" ("&amp;TEXT(INDEX('ORDENES'!$M$4:$M$1203,U70),"0.#")&amp;" h)")</f>
        <v/>
      </c>
    </row>
    <row r="71">
      <c r="K71" s="3">
        <f>IF(AND(IF($B$3="(todos)",TRUE,'ORDENES'!$O67=$B$3),IF($D$3="(todos)",TRUE,'ORDENES'!$AC67=$D$3),IF($F$3="(todos)",TRUE,'ORDENES'!$V67=$F$3),'ORDENES'!$AA67=TRUE,'ORDENES'!$A67&lt;&gt;""),1,0)</f>
        <v/>
      </c>
      <c r="L71" s="3">
        <f>IF(K71=1,IFERROR(MATCH('ORDENES'!$R67,lista_dias,0),9)*1000000000+IFERROR(MATCH('ORDENES'!$AC67,lista_turnos,0),9)*10000000+IFERROR(MATCH('ORDENES'!$AB67,'TECNICOS'!$B$4:$B$15,0),99)*100000+64,9000000000000+64)</f>
        <v/>
      </c>
      <c r="M71" s="3">
        <f>IF(K71=1,SUMPRODUCT(--($L$8:$L$1207&lt;L71))+1,"")</f>
        <v/>
      </c>
      <c r="N71" s="17">
        <f>IF(K71=1,N('ORDENES'!$M67),0)</f>
        <v/>
      </c>
      <c r="O71" s="17">
        <f>IF('ORDENES'!$S67="preventiva",N71,0)</f>
        <v/>
      </c>
      <c r="P71" s="17">
        <f>IF('ORDENES'!$S67="correctiva",N71,0)</f>
        <v/>
      </c>
      <c r="Q71" s="3">
        <f>IF(AND(K71=1,'ORDENES'!$N67="Pendiente"),1,0)</f>
        <v/>
      </c>
      <c r="R71" s="3">
        <f>IF(Q71=1,100000-N71*1000+64*0.01,9000000000000+64)</f>
        <v/>
      </c>
      <c r="S71" s="3">
        <f>IF(Q71=1,SUMPRODUCT(--($R$8:$R$1207&lt;R71))+1,"")</f>
        <v/>
      </c>
      <c r="T71" s="11">
        <f>IF(K71=1,'ORDENES'!$J67,"")</f>
        <v/>
      </c>
      <c r="U71" s="3">
        <f>IFERROR(MATCH(64,$M$8:$M$1207,0),"")</f>
        <v/>
      </c>
      <c r="V71" s="3">
        <f>IF(U71="","",INDEX('ORDENES'!$R$4:$R$1203,U71))</f>
        <v/>
      </c>
      <c r="W71" s="3">
        <f>IF(U71="","",IF(V71&lt;&gt;V70,CHAR(10)&amp;UPPER(LEFT(V71,1))&amp;MID(V71,2,20)&amp;":"&amp;CHAR(10),"")&amp;"   "&amp;IF(INDEX('ORDENES'!$AC$4:$AC$1203,U71)="","(s/t)",INDEX('ORDENES'!$AC$4:$AC$1203,U71))&amp;" · "&amp;IF(INDEX('ORDENES'!$AB$4:$AB$1203,U71)="","(sin técnico)",INDEX('ORDENES'!$AB$4:$AB$1203,U71))&amp;" · "&amp;INDEX('ORDENES'!$AN$4:$AN$1203,U71)&amp;" — "&amp;INDEX('ORDENES'!$D$4:$D$1203,U71)&amp;" ("&amp;TEXT(INDEX('ORDENES'!$M$4:$M$1203,U71),"0.#")&amp;" h)")</f>
        <v/>
      </c>
    </row>
    <row r="72">
      <c r="K72" s="3">
        <f>IF(AND(IF($B$3="(todos)",TRUE,'ORDENES'!$O68=$B$3),IF($D$3="(todos)",TRUE,'ORDENES'!$AC68=$D$3),IF($F$3="(todos)",TRUE,'ORDENES'!$V68=$F$3),'ORDENES'!$AA68=TRUE,'ORDENES'!$A68&lt;&gt;""),1,0)</f>
        <v/>
      </c>
      <c r="L72" s="3">
        <f>IF(K72=1,IFERROR(MATCH('ORDENES'!$R68,lista_dias,0),9)*1000000000+IFERROR(MATCH('ORDENES'!$AC68,lista_turnos,0),9)*10000000+IFERROR(MATCH('ORDENES'!$AB68,'TECNICOS'!$B$4:$B$15,0),99)*100000+65,9000000000000+65)</f>
        <v/>
      </c>
      <c r="M72" s="3">
        <f>IF(K72=1,SUMPRODUCT(--($L$8:$L$1207&lt;L72))+1,"")</f>
        <v/>
      </c>
      <c r="N72" s="17">
        <f>IF(K72=1,N('ORDENES'!$M68),0)</f>
        <v/>
      </c>
      <c r="O72" s="17">
        <f>IF('ORDENES'!$S68="preventiva",N72,0)</f>
        <v/>
      </c>
      <c r="P72" s="17">
        <f>IF('ORDENES'!$S68="correctiva",N72,0)</f>
        <v/>
      </c>
      <c r="Q72" s="3">
        <f>IF(AND(K72=1,'ORDENES'!$N68="Pendiente"),1,0)</f>
        <v/>
      </c>
      <c r="R72" s="3">
        <f>IF(Q72=1,100000-N72*1000+65*0.01,9000000000000+65)</f>
        <v/>
      </c>
      <c r="S72" s="3">
        <f>IF(Q72=1,SUMPRODUCT(--($R$8:$R$1207&lt;R72))+1,"")</f>
        <v/>
      </c>
      <c r="T72" s="11">
        <f>IF(K72=1,'ORDENES'!$J68,"")</f>
        <v/>
      </c>
      <c r="U72" s="3">
        <f>IFERROR(MATCH(65,$M$8:$M$1207,0),"")</f>
        <v/>
      </c>
      <c r="V72" s="3">
        <f>IF(U72="","",INDEX('ORDENES'!$R$4:$R$1203,U72))</f>
        <v/>
      </c>
      <c r="W72" s="3">
        <f>IF(U72="","",IF(V72&lt;&gt;V71,CHAR(10)&amp;UPPER(LEFT(V72,1))&amp;MID(V72,2,20)&amp;":"&amp;CHAR(10),"")&amp;"   "&amp;IF(INDEX('ORDENES'!$AC$4:$AC$1203,U72)="","(s/t)",INDEX('ORDENES'!$AC$4:$AC$1203,U72))&amp;" · "&amp;IF(INDEX('ORDENES'!$AB$4:$AB$1203,U72)="","(sin técnico)",INDEX('ORDENES'!$AB$4:$AB$1203,U72))&amp;" · "&amp;INDEX('ORDENES'!$AN$4:$AN$1203,U72)&amp;" — "&amp;INDEX('ORDENES'!$D$4:$D$1203,U72)&amp;" ("&amp;TEXT(INDEX('ORDENES'!$M$4:$M$1203,U72),"0.#")&amp;" h)")</f>
        <v/>
      </c>
    </row>
    <row r="73">
      <c r="K73" s="3">
        <f>IF(AND(IF($B$3="(todos)",TRUE,'ORDENES'!$O69=$B$3),IF($D$3="(todos)",TRUE,'ORDENES'!$AC69=$D$3),IF($F$3="(todos)",TRUE,'ORDENES'!$V69=$F$3),'ORDENES'!$AA69=TRUE,'ORDENES'!$A69&lt;&gt;""),1,0)</f>
        <v/>
      </c>
      <c r="L73" s="3">
        <f>IF(K73=1,IFERROR(MATCH('ORDENES'!$R69,lista_dias,0),9)*1000000000+IFERROR(MATCH('ORDENES'!$AC69,lista_turnos,0),9)*10000000+IFERROR(MATCH('ORDENES'!$AB69,'TECNICOS'!$B$4:$B$15,0),99)*100000+66,9000000000000+66)</f>
        <v/>
      </c>
      <c r="M73" s="3">
        <f>IF(K73=1,SUMPRODUCT(--($L$8:$L$1207&lt;L73))+1,"")</f>
        <v/>
      </c>
      <c r="N73" s="17">
        <f>IF(K73=1,N('ORDENES'!$M69),0)</f>
        <v/>
      </c>
      <c r="O73" s="17">
        <f>IF('ORDENES'!$S69="preventiva",N73,0)</f>
        <v/>
      </c>
      <c r="P73" s="17">
        <f>IF('ORDENES'!$S69="correctiva",N73,0)</f>
        <v/>
      </c>
      <c r="Q73" s="3">
        <f>IF(AND(K73=1,'ORDENES'!$N69="Pendiente"),1,0)</f>
        <v/>
      </c>
      <c r="R73" s="3">
        <f>IF(Q73=1,100000-N73*1000+66*0.01,9000000000000+66)</f>
        <v/>
      </c>
      <c r="S73" s="3">
        <f>IF(Q73=1,SUMPRODUCT(--($R$8:$R$1207&lt;R73))+1,"")</f>
        <v/>
      </c>
      <c r="T73" s="11">
        <f>IF(K73=1,'ORDENES'!$J69,"")</f>
        <v/>
      </c>
      <c r="U73" s="3">
        <f>IFERROR(MATCH(66,$M$8:$M$1207,0),"")</f>
        <v/>
      </c>
      <c r="V73" s="3">
        <f>IF(U73="","",INDEX('ORDENES'!$R$4:$R$1203,U73))</f>
        <v/>
      </c>
      <c r="W73" s="3">
        <f>IF(U73="","",IF(V73&lt;&gt;V72,CHAR(10)&amp;UPPER(LEFT(V73,1))&amp;MID(V73,2,20)&amp;":"&amp;CHAR(10),"")&amp;"   "&amp;IF(INDEX('ORDENES'!$AC$4:$AC$1203,U73)="","(s/t)",INDEX('ORDENES'!$AC$4:$AC$1203,U73))&amp;" · "&amp;IF(INDEX('ORDENES'!$AB$4:$AB$1203,U73)="","(sin técnico)",INDEX('ORDENES'!$AB$4:$AB$1203,U73))&amp;" · "&amp;INDEX('ORDENES'!$AN$4:$AN$1203,U73)&amp;" — "&amp;INDEX('ORDENES'!$D$4:$D$1203,U73)&amp;" ("&amp;TEXT(INDEX('ORDENES'!$M$4:$M$1203,U73),"0.#")&amp;" h)")</f>
        <v/>
      </c>
    </row>
    <row r="74">
      <c r="K74" s="3">
        <f>IF(AND(IF($B$3="(todos)",TRUE,'ORDENES'!$O70=$B$3),IF($D$3="(todos)",TRUE,'ORDENES'!$AC70=$D$3),IF($F$3="(todos)",TRUE,'ORDENES'!$V70=$F$3),'ORDENES'!$AA70=TRUE,'ORDENES'!$A70&lt;&gt;""),1,0)</f>
        <v/>
      </c>
      <c r="L74" s="3">
        <f>IF(K74=1,IFERROR(MATCH('ORDENES'!$R70,lista_dias,0),9)*1000000000+IFERROR(MATCH('ORDENES'!$AC70,lista_turnos,0),9)*10000000+IFERROR(MATCH('ORDENES'!$AB70,'TECNICOS'!$B$4:$B$15,0),99)*100000+67,9000000000000+67)</f>
        <v/>
      </c>
      <c r="M74" s="3">
        <f>IF(K74=1,SUMPRODUCT(--($L$8:$L$1207&lt;L74))+1,"")</f>
        <v/>
      </c>
      <c r="N74" s="17">
        <f>IF(K74=1,N('ORDENES'!$M70),0)</f>
        <v/>
      </c>
      <c r="O74" s="17">
        <f>IF('ORDENES'!$S70="preventiva",N74,0)</f>
        <v/>
      </c>
      <c r="P74" s="17">
        <f>IF('ORDENES'!$S70="correctiva",N74,0)</f>
        <v/>
      </c>
      <c r="Q74" s="3">
        <f>IF(AND(K74=1,'ORDENES'!$N70="Pendiente"),1,0)</f>
        <v/>
      </c>
      <c r="R74" s="3">
        <f>IF(Q74=1,100000-N74*1000+67*0.01,9000000000000+67)</f>
        <v/>
      </c>
      <c r="S74" s="3">
        <f>IF(Q74=1,SUMPRODUCT(--($R$8:$R$1207&lt;R74))+1,"")</f>
        <v/>
      </c>
      <c r="T74" s="11">
        <f>IF(K74=1,'ORDENES'!$J70,"")</f>
        <v/>
      </c>
      <c r="U74" s="3">
        <f>IFERROR(MATCH(67,$M$8:$M$1207,0),"")</f>
        <v/>
      </c>
      <c r="V74" s="3">
        <f>IF(U74="","",INDEX('ORDENES'!$R$4:$R$1203,U74))</f>
        <v/>
      </c>
      <c r="W74" s="3">
        <f>IF(U74="","",IF(V74&lt;&gt;V73,CHAR(10)&amp;UPPER(LEFT(V74,1))&amp;MID(V74,2,20)&amp;":"&amp;CHAR(10),"")&amp;"   "&amp;IF(INDEX('ORDENES'!$AC$4:$AC$1203,U74)="","(s/t)",INDEX('ORDENES'!$AC$4:$AC$1203,U74))&amp;" · "&amp;IF(INDEX('ORDENES'!$AB$4:$AB$1203,U74)="","(sin técnico)",INDEX('ORDENES'!$AB$4:$AB$1203,U74))&amp;" · "&amp;INDEX('ORDENES'!$AN$4:$AN$1203,U74)&amp;" — "&amp;INDEX('ORDENES'!$D$4:$D$1203,U74)&amp;" ("&amp;TEXT(INDEX('ORDENES'!$M$4:$M$1203,U74),"0.#")&amp;" h)")</f>
        <v/>
      </c>
    </row>
    <row r="75">
      <c r="K75" s="3">
        <f>IF(AND(IF($B$3="(todos)",TRUE,'ORDENES'!$O71=$B$3),IF($D$3="(todos)",TRUE,'ORDENES'!$AC71=$D$3),IF($F$3="(todos)",TRUE,'ORDENES'!$V71=$F$3),'ORDENES'!$AA71=TRUE,'ORDENES'!$A71&lt;&gt;""),1,0)</f>
        <v/>
      </c>
      <c r="L75" s="3">
        <f>IF(K75=1,IFERROR(MATCH('ORDENES'!$R71,lista_dias,0),9)*1000000000+IFERROR(MATCH('ORDENES'!$AC71,lista_turnos,0),9)*10000000+IFERROR(MATCH('ORDENES'!$AB71,'TECNICOS'!$B$4:$B$15,0),99)*100000+68,9000000000000+68)</f>
        <v/>
      </c>
      <c r="M75" s="3">
        <f>IF(K75=1,SUMPRODUCT(--($L$8:$L$1207&lt;L75))+1,"")</f>
        <v/>
      </c>
      <c r="N75" s="17">
        <f>IF(K75=1,N('ORDENES'!$M71),0)</f>
        <v/>
      </c>
      <c r="O75" s="17">
        <f>IF('ORDENES'!$S71="preventiva",N75,0)</f>
        <v/>
      </c>
      <c r="P75" s="17">
        <f>IF('ORDENES'!$S71="correctiva",N75,0)</f>
        <v/>
      </c>
      <c r="Q75" s="3">
        <f>IF(AND(K75=1,'ORDENES'!$N71="Pendiente"),1,0)</f>
        <v/>
      </c>
      <c r="R75" s="3">
        <f>IF(Q75=1,100000-N75*1000+68*0.01,9000000000000+68)</f>
        <v/>
      </c>
      <c r="S75" s="3">
        <f>IF(Q75=1,SUMPRODUCT(--($R$8:$R$1207&lt;R75))+1,"")</f>
        <v/>
      </c>
      <c r="T75" s="11">
        <f>IF(K75=1,'ORDENES'!$J71,"")</f>
        <v/>
      </c>
      <c r="U75" s="3">
        <f>IFERROR(MATCH(68,$M$8:$M$1207,0),"")</f>
        <v/>
      </c>
      <c r="V75" s="3">
        <f>IF(U75="","",INDEX('ORDENES'!$R$4:$R$1203,U75))</f>
        <v/>
      </c>
      <c r="W75" s="3">
        <f>IF(U75="","",IF(V75&lt;&gt;V74,CHAR(10)&amp;UPPER(LEFT(V75,1))&amp;MID(V75,2,20)&amp;":"&amp;CHAR(10),"")&amp;"   "&amp;IF(INDEX('ORDENES'!$AC$4:$AC$1203,U75)="","(s/t)",INDEX('ORDENES'!$AC$4:$AC$1203,U75))&amp;" · "&amp;IF(INDEX('ORDENES'!$AB$4:$AB$1203,U75)="","(sin técnico)",INDEX('ORDENES'!$AB$4:$AB$1203,U75))&amp;" · "&amp;INDEX('ORDENES'!$AN$4:$AN$1203,U75)&amp;" — "&amp;INDEX('ORDENES'!$D$4:$D$1203,U75)&amp;" ("&amp;TEXT(INDEX('ORDENES'!$M$4:$M$1203,U75),"0.#")&amp;" h)")</f>
        <v/>
      </c>
    </row>
    <row r="76">
      <c r="K76" s="3">
        <f>IF(AND(IF($B$3="(todos)",TRUE,'ORDENES'!$O72=$B$3),IF($D$3="(todos)",TRUE,'ORDENES'!$AC72=$D$3),IF($F$3="(todos)",TRUE,'ORDENES'!$V72=$F$3),'ORDENES'!$AA72=TRUE,'ORDENES'!$A72&lt;&gt;""),1,0)</f>
        <v/>
      </c>
      <c r="L76" s="3">
        <f>IF(K76=1,IFERROR(MATCH('ORDENES'!$R72,lista_dias,0),9)*1000000000+IFERROR(MATCH('ORDENES'!$AC72,lista_turnos,0),9)*10000000+IFERROR(MATCH('ORDENES'!$AB72,'TECNICOS'!$B$4:$B$15,0),99)*100000+69,9000000000000+69)</f>
        <v/>
      </c>
      <c r="M76" s="3">
        <f>IF(K76=1,SUMPRODUCT(--($L$8:$L$1207&lt;L76))+1,"")</f>
        <v/>
      </c>
      <c r="N76" s="17">
        <f>IF(K76=1,N('ORDENES'!$M72),0)</f>
        <v/>
      </c>
      <c r="O76" s="17">
        <f>IF('ORDENES'!$S72="preventiva",N76,0)</f>
        <v/>
      </c>
      <c r="P76" s="17">
        <f>IF('ORDENES'!$S72="correctiva",N76,0)</f>
        <v/>
      </c>
      <c r="Q76" s="3">
        <f>IF(AND(K76=1,'ORDENES'!$N72="Pendiente"),1,0)</f>
        <v/>
      </c>
      <c r="R76" s="3">
        <f>IF(Q76=1,100000-N76*1000+69*0.01,9000000000000+69)</f>
        <v/>
      </c>
      <c r="S76" s="3">
        <f>IF(Q76=1,SUMPRODUCT(--($R$8:$R$1207&lt;R76))+1,"")</f>
        <v/>
      </c>
      <c r="T76" s="11">
        <f>IF(K76=1,'ORDENES'!$J72,"")</f>
        <v/>
      </c>
      <c r="U76" s="3">
        <f>IFERROR(MATCH(69,$M$8:$M$1207,0),"")</f>
        <v/>
      </c>
      <c r="V76" s="3">
        <f>IF(U76="","",INDEX('ORDENES'!$R$4:$R$1203,U76))</f>
        <v/>
      </c>
      <c r="W76" s="3">
        <f>IF(U76="","",IF(V76&lt;&gt;V75,CHAR(10)&amp;UPPER(LEFT(V76,1))&amp;MID(V76,2,20)&amp;":"&amp;CHAR(10),"")&amp;"   "&amp;IF(INDEX('ORDENES'!$AC$4:$AC$1203,U76)="","(s/t)",INDEX('ORDENES'!$AC$4:$AC$1203,U76))&amp;" · "&amp;IF(INDEX('ORDENES'!$AB$4:$AB$1203,U76)="","(sin técnico)",INDEX('ORDENES'!$AB$4:$AB$1203,U76))&amp;" · "&amp;INDEX('ORDENES'!$AN$4:$AN$1203,U76)&amp;" — "&amp;INDEX('ORDENES'!$D$4:$D$1203,U76)&amp;" ("&amp;TEXT(INDEX('ORDENES'!$M$4:$M$1203,U76),"0.#")&amp;" h)")</f>
        <v/>
      </c>
    </row>
    <row r="77">
      <c r="K77" s="3">
        <f>IF(AND(IF($B$3="(todos)",TRUE,'ORDENES'!$O73=$B$3),IF($D$3="(todos)",TRUE,'ORDENES'!$AC73=$D$3),IF($F$3="(todos)",TRUE,'ORDENES'!$V73=$F$3),'ORDENES'!$AA73=TRUE,'ORDENES'!$A73&lt;&gt;""),1,0)</f>
        <v/>
      </c>
      <c r="L77" s="3">
        <f>IF(K77=1,IFERROR(MATCH('ORDENES'!$R73,lista_dias,0),9)*1000000000+IFERROR(MATCH('ORDENES'!$AC73,lista_turnos,0),9)*10000000+IFERROR(MATCH('ORDENES'!$AB73,'TECNICOS'!$B$4:$B$15,0),99)*100000+70,9000000000000+70)</f>
        <v/>
      </c>
      <c r="M77" s="3">
        <f>IF(K77=1,SUMPRODUCT(--($L$8:$L$1207&lt;L77))+1,"")</f>
        <v/>
      </c>
      <c r="N77" s="17">
        <f>IF(K77=1,N('ORDENES'!$M73),0)</f>
        <v/>
      </c>
      <c r="O77" s="17">
        <f>IF('ORDENES'!$S73="preventiva",N77,0)</f>
        <v/>
      </c>
      <c r="P77" s="17">
        <f>IF('ORDENES'!$S73="correctiva",N77,0)</f>
        <v/>
      </c>
      <c r="Q77" s="3">
        <f>IF(AND(K77=1,'ORDENES'!$N73="Pendiente"),1,0)</f>
        <v/>
      </c>
      <c r="R77" s="3">
        <f>IF(Q77=1,100000-N77*1000+70*0.01,9000000000000+70)</f>
        <v/>
      </c>
      <c r="S77" s="3">
        <f>IF(Q77=1,SUMPRODUCT(--($R$8:$R$1207&lt;R77))+1,"")</f>
        <v/>
      </c>
      <c r="T77" s="11">
        <f>IF(K77=1,'ORDENES'!$J73,"")</f>
        <v/>
      </c>
      <c r="U77" s="3">
        <f>IFERROR(MATCH(70,$M$8:$M$1207,0),"")</f>
        <v/>
      </c>
      <c r="V77" s="3">
        <f>IF(U77="","",INDEX('ORDENES'!$R$4:$R$1203,U77))</f>
        <v/>
      </c>
      <c r="W77" s="3">
        <f>IF(U77="","",IF(V77&lt;&gt;V76,CHAR(10)&amp;UPPER(LEFT(V77,1))&amp;MID(V77,2,20)&amp;":"&amp;CHAR(10),"")&amp;"   "&amp;IF(INDEX('ORDENES'!$AC$4:$AC$1203,U77)="","(s/t)",INDEX('ORDENES'!$AC$4:$AC$1203,U77))&amp;" · "&amp;IF(INDEX('ORDENES'!$AB$4:$AB$1203,U77)="","(sin técnico)",INDEX('ORDENES'!$AB$4:$AB$1203,U77))&amp;" · "&amp;INDEX('ORDENES'!$AN$4:$AN$1203,U77)&amp;" — "&amp;INDEX('ORDENES'!$D$4:$D$1203,U77)&amp;" ("&amp;TEXT(INDEX('ORDENES'!$M$4:$M$1203,U77),"0.#")&amp;" h)")</f>
        <v/>
      </c>
    </row>
    <row r="78">
      <c r="K78" s="3">
        <f>IF(AND(IF($B$3="(todos)",TRUE,'ORDENES'!$O74=$B$3),IF($D$3="(todos)",TRUE,'ORDENES'!$AC74=$D$3),IF($F$3="(todos)",TRUE,'ORDENES'!$V74=$F$3),'ORDENES'!$AA74=TRUE,'ORDENES'!$A74&lt;&gt;""),1,0)</f>
        <v/>
      </c>
      <c r="L78" s="3">
        <f>IF(K78=1,IFERROR(MATCH('ORDENES'!$R74,lista_dias,0),9)*1000000000+IFERROR(MATCH('ORDENES'!$AC74,lista_turnos,0),9)*10000000+IFERROR(MATCH('ORDENES'!$AB74,'TECNICOS'!$B$4:$B$15,0),99)*100000+71,9000000000000+71)</f>
        <v/>
      </c>
      <c r="M78" s="3">
        <f>IF(K78=1,SUMPRODUCT(--($L$8:$L$1207&lt;L78))+1,"")</f>
        <v/>
      </c>
      <c r="N78" s="17">
        <f>IF(K78=1,N('ORDENES'!$M74),0)</f>
        <v/>
      </c>
      <c r="O78" s="17">
        <f>IF('ORDENES'!$S74="preventiva",N78,0)</f>
        <v/>
      </c>
      <c r="P78" s="17">
        <f>IF('ORDENES'!$S74="correctiva",N78,0)</f>
        <v/>
      </c>
      <c r="Q78" s="3">
        <f>IF(AND(K78=1,'ORDENES'!$N74="Pendiente"),1,0)</f>
        <v/>
      </c>
      <c r="R78" s="3">
        <f>IF(Q78=1,100000-N78*1000+71*0.01,9000000000000+71)</f>
        <v/>
      </c>
      <c r="S78" s="3">
        <f>IF(Q78=1,SUMPRODUCT(--($R$8:$R$1207&lt;R78))+1,"")</f>
        <v/>
      </c>
      <c r="T78" s="11">
        <f>IF(K78=1,'ORDENES'!$J74,"")</f>
        <v/>
      </c>
      <c r="U78" s="3">
        <f>IFERROR(MATCH(71,$M$8:$M$1207,0),"")</f>
        <v/>
      </c>
      <c r="V78" s="3">
        <f>IF(U78="","",INDEX('ORDENES'!$R$4:$R$1203,U78))</f>
        <v/>
      </c>
      <c r="W78" s="3">
        <f>IF(U78="","",IF(V78&lt;&gt;V77,CHAR(10)&amp;UPPER(LEFT(V78,1))&amp;MID(V78,2,20)&amp;":"&amp;CHAR(10),"")&amp;"   "&amp;IF(INDEX('ORDENES'!$AC$4:$AC$1203,U78)="","(s/t)",INDEX('ORDENES'!$AC$4:$AC$1203,U78))&amp;" · "&amp;IF(INDEX('ORDENES'!$AB$4:$AB$1203,U78)="","(sin técnico)",INDEX('ORDENES'!$AB$4:$AB$1203,U78))&amp;" · "&amp;INDEX('ORDENES'!$AN$4:$AN$1203,U78)&amp;" — "&amp;INDEX('ORDENES'!$D$4:$D$1203,U78)&amp;" ("&amp;TEXT(INDEX('ORDENES'!$M$4:$M$1203,U78),"0.#")&amp;" h)")</f>
        <v/>
      </c>
    </row>
    <row r="79">
      <c r="K79" s="3">
        <f>IF(AND(IF($B$3="(todos)",TRUE,'ORDENES'!$O75=$B$3),IF($D$3="(todos)",TRUE,'ORDENES'!$AC75=$D$3),IF($F$3="(todos)",TRUE,'ORDENES'!$V75=$F$3),'ORDENES'!$AA75=TRUE,'ORDENES'!$A75&lt;&gt;""),1,0)</f>
        <v/>
      </c>
      <c r="L79" s="3">
        <f>IF(K79=1,IFERROR(MATCH('ORDENES'!$R75,lista_dias,0),9)*1000000000+IFERROR(MATCH('ORDENES'!$AC75,lista_turnos,0),9)*10000000+IFERROR(MATCH('ORDENES'!$AB75,'TECNICOS'!$B$4:$B$15,0),99)*100000+72,9000000000000+72)</f>
        <v/>
      </c>
      <c r="M79" s="3">
        <f>IF(K79=1,SUMPRODUCT(--($L$8:$L$1207&lt;L79))+1,"")</f>
        <v/>
      </c>
      <c r="N79" s="17">
        <f>IF(K79=1,N('ORDENES'!$M75),0)</f>
        <v/>
      </c>
      <c r="O79" s="17">
        <f>IF('ORDENES'!$S75="preventiva",N79,0)</f>
        <v/>
      </c>
      <c r="P79" s="17">
        <f>IF('ORDENES'!$S75="correctiva",N79,0)</f>
        <v/>
      </c>
      <c r="Q79" s="3">
        <f>IF(AND(K79=1,'ORDENES'!$N75="Pendiente"),1,0)</f>
        <v/>
      </c>
      <c r="R79" s="3">
        <f>IF(Q79=1,100000-N79*1000+72*0.01,9000000000000+72)</f>
        <v/>
      </c>
      <c r="S79" s="3">
        <f>IF(Q79=1,SUMPRODUCT(--($R$8:$R$1207&lt;R79))+1,"")</f>
        <v/>
      </c>
      <c r="T79" s="11">
        <f>IF(K79=1,'ORDENES'!$J75,"")</f>
        <v/>
      </c>
      <c r="U79" s="3">
        <f>IFERROR(MATCH(72,$M$8:$M$1207,0),"")</f>
        <v/>
      </c>
      <c r="V79" s="3">
        <f>IF(U79="","",INDEX('ORDENES'!$R$4:$R$1203,U79))</f>
        <v/>
      </c>
      <c r="W79" s="3">
        <f>IF(U79="","",IF(V79&lt;&gt;V78,CHAR(10)&amp;UPPER(LEFT(V79,1))&amp;MID(V79,2,20)&amp;":"&amp;CHAR(10),"")&amp;"   "&amp;IF(INDEX('ORDENES'!$AC$4:$AC$1203,U79)="","(s/t)",INDEX('ORDENES'!$AC$4:$AC$1203,U79))&amp;" · "&amp;IF(INDEX('ORDENES'!$AB$4:$AB$1203,U79)="","(sin técnico)",INDEX('ORDENES'!$AB$4:$AB$1203,U79))&amp;" · "&amp;INDEX('ORDENES'!$AN$4:$AN$1203,U79)&amp;" — "&amp;INDEX('ORDENES'!$D$4:$D$1203,U79)&amp;" ("&amp;TEXT(INDEX('ORDENES'!$M$4:$M$1203,U79),"0.#")&amp;" h)")</f>
        <v/>
      </c>
    </row>
    <row r="80">
      <c r="K80" s="3">
        <f>IF(AND(IF($B$3="(todos)",TRUE,'ORDENES'!$O76=$B$3),IF($D$3="(todos)",TRUE,'ORDENES'!$AC76=$D$3),IF($F$3="(todos)",TRUE,'ORDENES'!$V76=$F$3),'ORDENES'!$AA76=TRUE,'ORDENES'!$A76&lt;&gt;""),1,0)</f>
        <v/>
      </c>
      <c r="L80" s="3">
        <f>IF(K80=1,IFERROR(MATCH('ORDENES'!$R76,lista_dias,0),9)*1000000000+IFERROR(MATCH('ORDENES'!$AC76,lista_turnos,0),9)*10000000+IFERROR(MATCH('ORDENES'!$AB76,'TECNICOS'!$B$4:$B$15,0),99)*100000+73,9000000000000+73)</f>
        <v/>
      </c>
      <c r="M80" s="3">
        <f>IF(K80=1,SUMPRODUCT(--($L$8:$L$1207&lt;L80))+1,"")</f>
        <v/>
      </c>
      <c r="N80" s="17">
        <f>IF(K80=1,N('ORDENES'!$M76),0)</f>
        <v/>
      </c>
      <c r="O80" s="17">
        <f>IF('ORDENES'!$S76="preventiva",N80,0)</f>
        <v/>
      </c>
      <c r="P80" s="17">
        <f>IF('ORDENES'!$S76="correctiva",N80,0)</f>
        <v/>
      </c>
      <c r="Q80" s="3">
        <f>IF(AND(K80=1,'ORDENES'!$N76="Pendiente"),1,0)</f>
        <v/>
      </c>
      <c r="R80" s="3">
        <f>IF(Q80=1,100000-N80*1000+73*0.01,9000000000000+73)</f>
        <v/>
      </c>
      <c r="S80" s="3">
        <f>IF(Q80=1,SUMPRODUCT(--($R$8:$R$1207&lt;R80))+1,"")</f>
        <v/>
      </c>
      <c r="T80" s="11">
        <f>IF(K80=1,'ORDENES'!$J76,"")</f>
        <v/>
      </c>
      <c r="U80" s="3">
        <f>IFERROR(MATCH(73,$M$8:$M$1207,0),"")</f>
        <v/>
      </c>
      <c r="V80" s="3">
        <f>IF(U80="","",INDEX('ORDENES'!$R$4:$R$1203,U80))</f>
        <v/>
      </c>
      <c r="W80" s="3">
        <f>IF(U80="","",IF(V80&lt;&gt;V79,CHAR(10)&amp;UPPER(LEFT(V80,1))&amp;MID(V80,2,20)&amp;":"&amp;CHAR(10),"")&amp;"   "&amp;IF(INDEX('ORDENES'!$AC$4:$AC$1203,U80)="","(s/t)",INDEX('ORDENES'!$AC$4:$AC$1203,U80))&amp;" · "&amp;IF(INDEX('ORDENES'!$AB$4:$AB$1203,U80)="","(sin técnico)",INDEX('ORDENES'!$AB$4:$AB$1203,U80))&amp;" · "&amp;INDEX('ORDENES'!$AN$4:$AN$1203,U80)&amp;" — "&amp;INDEX('ORDENES'!$D$4:$D$1203,U80)&amp;" ("&amp;TEXT(INDEX('ORDENES'!$M$4:$M$1203,U80),"0.#")&amp;" h)")</f>
        <v/>
      </c>
    </row>
    <row r="81">
      <c r="K81" s="3">
        <f>IF(AND(IF($B$3="(todos)",TRUE,'ORDENES'!$O77=$B$3),IF($D$3="(todos)",TRUE,'ORDENES'!$AC77=$D$3),IF($F$3="(todos)",TRUE,'ORDENES'!$V77=$F$3),'ORDENES'!$AA77=TRUE,'ORDENES'!$A77&lt;&gt;""),1,0)</f>
        <v/>
      </c>
      <c r="L81" s="3">
        <f>IF(K81=1,IFERROR(MATCH('ORDENES'!$R77,lista_dias,0),9)*1000000000+IFERROR(MATCH('ORDENES'!$AC77,lista_turnos,0),9)*10000000+IFERROR(MATCH('ORDENES'!$AB77,'TECNICOS'!$B$4:$B$15,0),99)*100000+74,9000000000000+74)</f>
        <v/>
      </c>
      <c r="M81" s="3">
        <f>IF(K81=1,SUMPRODUCT(--($L$8:$L$1207&lt;L81))+1,"")</f>
        <v/>
      </c>
      <c r="N81" s="17">
        <f>IF(K81=1,N('ORDENES'!$M77),0)</f>
        <v/>
      </c>
      <c r="O81" s="17">
        <f>IF('ORDENES'!$S77="preventiva",N81,0)</f>
        <v/>
      </c>
      <c r="P81" s="17">
        <f>IF('ORDENES'!$S77="correctiva",N81,0)</f>
        <v/>
      </c>
      <c r="Q81" s="3">
        <f>IF(AND(K81=1,'ORDENES'!$N77="Pendiente"),1,0)</f>
        <v/>
      </c>
      <c r="R81" s="3">
        <f>IF(Q81=1,100000-N81*1000+74*0.01,9000000000000+74)</f>
        <v/>
      </c>
      <c r="S81" s="3">
        <f>IF(Q81=1,SUMPRODUCT(--($R$8:$R$1207&lt;R81))+1,"")</f>
        <v/>
      </c>
      <c r="T81" s="11">
        <f>IF(K81=1,'ORDENES'!$J77,"")</f>
        <v/>
      </c>
      <c r="U81" s="3">
        <f>IFERROR(MATCH(74,$M$8:$M$1207,0),"")</f>
        <v/>
      </c>
      <c r="V81" s="3">
        <f>IF(U81="","",INDEX('ORDENES'!$R$4:$R$1203,U81))</f>
        <v/>
      </c>
      <c r="W81" s="3">
        <f>IF(U81="","",IF(V81&lt;&gt;V80,CHAR(10)&amp;UPPER(LEFT(V81,1))&amp;MID(V81,2,20)&amp;":"&amp;CHAR(10),"")&amp;"   "&amp;IF(INDEX('ORDENES'!$AC$4:$AC$1203,U81)="","(s/t)",INDEX('ORDENES'!$AC$4:$AC$1203,U81))&amp;" · "&amp;IF(INDEX('ORDENES'!$AB$4:$AB$1203,U81)="","(sin técnico)",INDEX('ORDENES'!$AB$4:$AB$1203,U81))&amp;" · "&amp;INDEX('ORDENES'!$AN$4:$AN$1203,U81)&amp;" — "&amp;INDEX('ORDENES'!$D$4:$D$1203,U81)&amp;" ("&amp;TEXT(INDEX('ORDENES'!$M$4:$M$1203,U81),"0.#")&amp;" h)")</f>
        <v/>
      </c>
    </row>
    <row r="82">
      <c r="K82" s="3">
        <f>IF(AND(IF($B$3="(todos)",TRUE,'ORDENES'!$O78=$B$3),IF($D$3="(todos)",TRUE,'ORDENES'!$AC78=$D$3),IF($F$3="(todos)",TRUE,'ORDENES'!$V78=$F$3),'ORDENES'!$AA78=TRUE,'ORDENES'!$A78&lt;&gt;""),1,0)</f>
        <v/>
      </c>
      <c r="L82" s="3">
        <f>IF(K82=1,IFERROR(MATCH('ORDENES'!$R78,lista_dias,0),9)*1000000000+IFERROR(MATCH('ORDENES'!$AC78,lista_turnos,0),9)*10000000+IFERROR(MATCH('ORDENES'!$AB78,'TECNICOS'!$B$4:$B$15,0),99)*100000+75,9000000000000+75)</f>
        <v/>
      </c>
      <c r="M82" s="3">
        <f>IF(K82=1,SUMPRODUCT(--($L$8:$L$1207&lt;L82))+1,"")</f>
        <v/>
      </c>
      <c r="N82" s="17">
        <f>IF(K82=1,N('ORDENES'!$M78),0)</f>
        <v/>
      </c>
      <c r="O82" s="17">
        <f>IF('ORDENES'!$S78="preventiva",N82,0)</f>
        <v/>
      </c>
      <c r="P82" s="17">
        <f>IF('ORDENES'!$S78="correctiva",N82,0)</f>
        <v/>
      </c>
      <c r="Q82" s="3">
        <f>IF(AND(K82=1,'ORDENES'!$N78="Pendiente"),1,0)</f>
        <v/>
      </c>
      <c r="R82" s="3">
        <f>IF(Q82=1,100000-N82*1000+75*0.01,9000000000000+75)</f>
        <v/>
      </c>
      <c r="S82" s="3">
        <f>IF(Q82=1,SUMPRODUCT(--($R$8:$R$1207&lt;R82))+1,"")</f>
        <v/>
      </c>
      <c r="T82" s="11">
        <f>IF(K82=1,'ORDENES'!$J78,"")</f>
        <v/>
      </c>
      <c r="U82" s="3">
        <f>IFERROR(MATCH(75,$M$8:$M$1207,0),"")</f>
        <v/>
      </c>
      <c r="V82" s="3">
        <f>IF(U82="","",INDEX('ORDENES'!$R$4:$R$1203,U82))</f>
        <v/>
      </c>
      <c r="W82" s="3">
        <f>IF(U82="","",IF(V82&lt;&gt;V81,CHAR(10)&amp;UPPER(LEFT(V82,1))&amp;MID(V82,2,20)&amp;":"&amp;CHAR(10),"")&amp;"   "&amp;IF(INDEX('ORDENES'!$AC$4:$AC$1203,U82)="","(s/t)",INDEX('ORDENES'!$AC$4:$AC$1203,U82))&amp;" · "&amp;IF(INDEX('ORDENES'!$AB$4:$AB$1203,U82)="","(sin técnico)",INDEX('ORDENES'!$AB$4:$AB$1203,U82))&amp;" · "&amp;INDEX('ORDENES'!$AN$4:$AN$1203,U82)&amp;" — "&amp;INDEX('ORDENES'!$D$4:$D$1203,U82)&amp;" ("&amp;TEXT(INDEX('ORDENES'!$M$4:$M$1203,U82),"0.#")&amp;" h)")</f>
        <v/>
      </c>
    </row>
    <row r="83">
      <c r="K83" s="3">
        <f>IF(AND(IF($B$3="(todos)",TRUE,'ORDENES'!$O79=$B$3),IF($D$3="(todos)",TRUE,'ORDENES'!$AC79=$D$3),IF($F$3="(todos)",TRUE,'ORDENES'!$V79=$F$3),'ORDENES'!$AA79=TRUE,'ORDENES'!$A79&lt;&gt;""),1,0)</f>
        <v/>
      </c>
      <c r="L83" s="3">
        <f>IF(K83=1,IFERROR(MATCH('ORDENES'!$R79,lista_dias,0),9)*1000000000+IFERROR(MATCH('ORDENES'!$AC79,lista_turnos,0),9)*10000000+IFERROR(MATCH('ORDENES'!$AB79,'TECNICOS'!$B$4:$B$15,0),99)*100000+76,9000000000000+76)</f>
        <v/>
      </c>
      <c r="M83" s="3">
        <f>IF(K83=1,SUMPRODUCT(--($L$8:$L$1207&lt;L83))+1,"")</f>
        <v/>
      </c>
      <c r="N83" s="17">
        <f>IF(K83=1,N('ORDENES'!$M79),0)</f>
        <v/>
      </c>
      <c r="O83" s="17">
        <f>IF('ORDENES'!$S79="preventiva",N83,0)</f>
        <v/>
      </c>
      <c r="P83" s="17">
        <f>IF('ORDENES'!$S79="correctiva",N83,0)</f>
        <v/>
      </c>
      <c r="Q83" s="3">
        <f>IF(AND(K83=1,'ORDENES'!$N79="Pendiente"),1,0)</f>
        <v/>
      </c>
      <c r="R83" s="3">
        <f>IF(Q83=1,100000-N83*1000+76*0.01,9000000000000+76)</f>
        <v/>
      </c>
      <c r="S83" s="3">
        <f>IF(Q83=1,SUMPRODUCT(--($R$8:$R$1207&lt;R83))+1,"")</f>
        <v/>
      </c>
      <c r="T83" s="11">
        <f>IF(K83=1,'ORDENES'!$J79,"")</f>
        <v/>
      </c>
      <c r="U83" s="3">
        <f>IFERROR(MATCH(76,$M$8:$M$1207,0),"")</f>
        <v/>
      </c>
      <c r="V83" s="3">
        <f>IF(U83="","",INDEX('ORDENES'!$R$4:$R$1203,U83))</f>
        <v/>
      </c>
      <c r="W83" s="3">
        <f>IF(U83="","",IF(V83&lt;&gt;V82,CHAR(10)&amp;UPPER(LEFT(V83,1))&amp;MID(V83,2,20)&amp;":"&amp;CHAR(10),"")&amp;"   "&amp;IF(INDEX('ORDENES'!$AC$4:$AC$1203,U83)="","(s/t)",INDEX('ORDENES'!$AC$4:$AC$1203,U83))&amp;" · "&amp;IF(INDEX('ORDENES'!$AB$4:$AB$1203,U83)="","(sin técnico)",INDEX('ORDENES'!$AB$4:$AB$1203,U83))&amp;" · "&amp;INDEX('ORDENES'!$AN$4:$AN$1203,U83)&amp;" — "&amp;INDEX('ORDENES'!$D$4:$D$1203,U83)&amp;" ("&amp;TEXT(INDEX('ORDENES'!$M$4:$M$1203,U83),"0.#")&amp;" h)")</f>
        <v/>
      </c>
    </row>
    <row r="84">
      <c r="K84" s="3">
        <f>IF(AND(IF($B$3="(todos)",TRUE,'ORDENES'!$O80=$B$3),IF($D$3="(todos)",TRUE,'ORDENES'!$AC80=$D$3),IF($F$3="(todos)",TRUE,'ORDENES'!$V80=$F$3),'ORDENES'!$AA80=TRUE,'ORDENES'!$A80&lt;&gt;""),1,0)</f>
        <v/>
      </c>
      <c r="L84" s="3">
        <f>IF(K84=1,IFERROR(MATCH('ORDENES'!$R80,lista_dias,0),9)*1000000000+IFERROR(MATCH('ORDENES'!$AC80,lista_turnos,0),9)*10000000+IFERROR(MATCH('ORDENES'!$AB80,'TECNICOS'!$B$4:$B$15,0),99)*100000+77,9000000000000+77)</f>
        <v/>
      </c>
      <c r="M84" s="3">
        <f>IF(K84=1,SUMPRODUCT(--($L$8:$L$1207&lt;L84))+1,"")</f>
        <v/>
      </c>
      <c r="N84" s="17">
        <f>IF(K84=1,N('ORDENES'!$M80),0)</f>
        <v/>
      </c>
      <c r="O84" s="17">
        <f>IF('ORDENES'!$S80="preventiva",N84,0)</f>
        <v/>
      </c>
      <c r="P84" s="17">
        <f>IF('ORDENES'!$S80="correctiva",N84,0)</f>
        <v/>
      </c>
      <c r="Q84" s="3">
        <f>IF(AND(K84=1,'ORDENES'!$N80="Pendiente"),1,0)</f>
        <v/>
      </c>
      <c r="R84" s="3">
        <f>IF(Q84=1,100000-N84*1000+77*0.01,9000000000000+77)</f>
        <v/>
      </c>
      <c r="S84" s="3">
        <f>IF(Q84=1,SUMPRODUCT(--($R$8:$R$1207&lt;R84))+1,"")</f>
        <v/>
      </c>
      <c r="T84" s="11">
        <f>IF(K84=1,'ORDENES'!$J80,"")</f>
        <v/>
      </c>
      <c r="U84" s="3">
        <f>IFERROR(MATCH(77,$M$8:$M$1207,0),"")</f>
        <v/>
      </c>
      <c r="V84" s="3">
        <f>IF(U84="","",INDEX('ORDENES'!$R$4:$R$1203,U84))</f>
        <v/>
      </c>
      <c r="W84" s="3">
        <f>IF(U84="","",IF(V84&lt;&gt;V83,CHAR(10)&amp;UPPER(LEFT(V84,1))&amp;MID(V84,2,20)&amp;":"&amp;CHAR(10),"")&amp;"   "&amp;IF(INDEX('ORDENES'!$AC$4:$AC$1203,U84)="","(s/t)",INDEX('ORDENES'!$AC$4:$AC$1203,U84))&amp;" · "&amp;IF(INDEX('ORDENES'!$AB$4:$AB$1203,U84)="","(sin técnico)",INDEX('ORDENES'!$AB$4:$AB$1203,U84))&amp;" · "&amp;INDEX('ORDENES'!$AN$4:$AN$1203,U84)&amp;" — "&amp;INDEX('ORDENES'!$D$4:$D$1203,U84)&amp;" ("&amp;TEXT(INDEX('ORDENES'!$M$4:$M$1203,U84),"0.#")&amp;" h)")</f>
        <v/>
      </c>
    </row>
    <row r="85">
      <c r="K85" s="3">
        <f>IF(AND(IF($B$3="(todos)",TRUE,'ORDENES'!$O81=$B$3),IF($D$3="(todos)",TRUE,'ORDENES'!$AC81=$D$3),IF($F$3="(todos)",TRUE,'ORDENES'!$V81=$F$3),'ORDENES'!$AA81=TRUE,'ORDENES'!$A81&lt;&gt;""),1,0)</f>
        <v/>
      </c>
      <c r="L85" s="3">
        <f>IF(K85=1,IFERROR(MATCH('ORDENES'!$R81,lista_dias,0),9)*1000000000+IFERROR(MATCH('ORDENES'!$AC81,lista_turnos,0),9)*10000000+IFERROR(MATCH('ORDENES'!$AB81,'TECNICOS'!$B$4:$B$15,0),99)*100000+78,9000000000000+78)</f>
        <v/>
      </c>
      <c r="M85" s="3">
        <f>IF(K85=1,SUMPRODUCT(--($L$8:$L$1207&lt;L85))+1,"")</f>
        <v/>
      </c>
      <c r="N85" s="17">
        <f>IF(K85=1,N('ORDENES'!$M81),0)</f>
        <v/>
      </c>
      <c r="O85" s="17">
        <f>IF('ORDENES'!$S81="preventiva",N85,0)</f>
        <v/>
      </c>
      <c r="P85" s="17">
        <f>IF('ORDENES'!$S81="correctiva",N85,0)</f>
        <v/>
      </c>
      <c r="Q85" s="3">
        <f>IF(AND(K85=1,'ORDENES'!$N81="Pendiente"),1,0)</f>
        <v/>
      </c>
      <c r="R85" s="3">
        <f>IF(Q85=1,100000-N85*1000+78*0.01,9000000000000+78)</f>
        <v/>
      </c>
      <c r="S85" s="3">
        <f>IF(Q85=1,SUMPRODUCT(--($R$8:$R$1207&lt;R85))+1,"")</f>
        <v/>
      </c>
      <c r="T85" s="11">
        <f>IF(K85=1,'ORDENES'!$J81,"")</f>
        <v/>
      </c>
      <c r="U85" s="3">
        <f>IFERROR(MATCH(78,$M$8:$M$1207,0),"")</f>
        <v/>
      </c>
      <c r="V85" s="3">
        <f>IF(U85="","",INDEX('ORDENES'!$R$4:$R$1203,U85))</f>
        <v/>
      </c>
      <c r="W85" s="3">
        <f>IF(U85="","",IF(V85&lt;&gt;V84,CHAR(10)&amp;UPPER(LEFT(V85,1))&amp;MID(V85,2,20)&amp;":"&amp;CHAR(10),"")&amp;"   "&amp;IF(INDEX('ORDENES'!$AC$4:$AC$1203,U85)="","(s/t)",INDEX('ORDENES'!$AC$4:$AC$1203,U85))&amp;" · "&amp;IF(INDEX('ORDENES'!$AB$4:$AB$1203,U85)="","(sin técnico)",INDEX('ORDENES'!$AB$4:$AB$1203,U85))&amp;" · "&amp;INDEX('ORDENES'!$AN$4:$AN$1203,U85)&amp;" — "&amp;INDEX('ORDENES'!$D$4:$D$1203,U85)&amp;" ("&amp;TEXT(INDEX('ORDENES'!$M$4:$M$1203,U85),"0.#")&amp;" h)")</f>
        <v/>
      </c>
    </row>
    <row r="86">
      <c r="K86" s="3">
        <f>IF(AND(IF($B$3="(todos)",TRUE,'ORDENES'!$O82=$B$3),IF($D$3="(todos)",TRUE,'ORDENES'!$AC82=$D$3),IF($F$3="(todos)",TRUE,'ORDENES'!$V82=$F$3),'ORDENES'!$AA82=TRUE,'ORDENES'!$A82&lt;&gt;""),1,0)</f>
        <v/>
      </c>
      <c r="L86" s="3">
        <f>IF(K86=1,IFERROR(MATCH('ORDENES'!$R82,lista_dias,0),9)*1000000000+IFERROR(MATCH('ORDENES'!$AC82,lista_turnos,0),9)*10000000+IFERROR(MATCH('ORDENES'!$AB82,'TECNICOS'!$B$4:$B$15,0),99)*100000+79,9000000000000+79)</f>
        <v/>
      </c>
      <c r="M86" s="3">
        <f>IF(K86=1,SUMPRODUCT(--($L$8:$L$1207&lt;L86))+1,"")</f>
        <v/>
      </c>
      <c r="N86" s="17">
        <f>IF(K86=1,N('ORDENES'!$M82),0)</f>
        <v/>
      </c>
      <c r="O86" s="17">
        <f>IF('ORDENES'!$S82="preventiva",N86,0)</f>
        <v/>
      </c>
      <c r="P86" s="17">
        <f>IF('ORDENES'!$S82="correctiva",N86,0)</f>
        <v/>
      </c>
      <c r="Q86" s="3">
        <f>IF(AND(K86=1,'ORDENES'!$N82="Pendiente"),1,0)</f>
        <v/>
      </c>
      <c r="R86" s="3">
        <f>IF(Q86=1,100000-N86*1000+79*0.01,9000000000000+79)</f>
        <v/>
      </c>
      <c r="S86" s="3">
        <f>IF(Q86=1,SUMPRODUCT(--($R$8:$R$1207&lt;R86))+1,"")</f>
        <v/>
      </c>
      <c r="T86" s="11">
        <f>IF(K86=1,'ORDENES'!$J82,"")</f>
        <v/>
      </c>
      <c r="U86" s="3">
        <f>IFERROR(MATCH(79,$M$8:$M$1207,0),"")</f>
        <v/>
      </c>
      <c r="V86" s="3">
        <f>IF(U86="","",INDEX('ORDENES'!$R$4:$R$1203,U86))</f>
        <v/>
      </c>
      <c r="W86" s="3">
        <f>IF(U86="","",IF(V86&lt;&gt;V85,CHAR(10)&amp;UPPER(LEFT(V86,1))&amp;MID(V86,2,20)&amp;":"&amp;CHAR(10),"")&amp;"   "&amp;IF(INDEX('ORDENES'!$AC$4:$AC$1203,U86)="","(s/t)",INDEX('ORDENES'!$AC$4:$AC$1203,U86))&amp;" · "&amp;IF(INDEX('ORDENES'!$AB$4:$AB$1203,U86)="","(sin técnico)",INDEX('ORDENES'!$AB$4:$AB$1203,U86))&amp;" · "&amp;INDEX('ORDENES'!$AN$4:$AN$1203,U86)&amp;" — "&amp;INDEX('ORDENES'!$D$4:$D$1203,U86)&amp;" ("&amp;TEXT(INDEX('ORDENES'!$M$4:$M$1203,U86),"0.#")&amp;" h)")</f>
        <v/>
      </c>
    </row>
    <row r="87">
      <c r="K87" s="3">
        <f>IF(AND(IF($B$3="(todos)",TRUE,'ORDENES'!$O83=$B$3),IF($D$3="(todos)",TRUE,'ORDENES'!$AC83=$D$3),IF($F$3="(todos)",TRUE,'ORDENES'!$V83=$F$3),'ORDENES'!$AA83=TRUE,'ORDENES'!$A83&lt;&gt;""),1,0)</f>
        <v/>
      </c>
      <c r="L87" s="3">
        <f>IF(K87=1,IFERROR(MATCH('ORDENES'!$R83,lista_dias,0),9)*1000000000+IFERROR(MATCH('ORDENES'!$AC83,lista_turnos,0),9)*10000000+IFERROR(MATCH('ORDENES'!$AB83,'TECNICOS'!$B$4:$B$15,0),99)*100000+80,9000000000000+80)</f>
        <v/>
      </c>
      <c r="M87" s="3">
        <f>IF(K87=1,SUMPRODUCT(--($L$8:$L$1207&lt;L87))+1,"")</f>
        <v/>
      </c>
      <c r="N87" s="17">
        <f>IF(K87=1,N('ORDENES'!$M83),0)</f>
        <v/>
      </c>
      <c r="O87" s="17">
        <f>IF('ORDENES'!$S83="preventiva",N87,0)</f>
        <v/>
      </c>
      <c r="P87" s="17">
        <f>IF('ORDENES'!$S83="correctiva",N87,0)</f>
        <v/>
      </c>
      <c r="Q87" s="3">
        <f>IF(AND(K87=1,'ORDENES'!$N83="Pendiente"),1,0)</f>
        <v/>
      </c>
      <c r="R87" s="3">
        <f>IF(Q87=1,100000-N87*1000+80*0.01,9000000000000+80)</f>
        <v/>
      </c>
      <c r="S87" s="3">
        <f>IF(Q87=1,SUMPRODUCT(--($R$8:$R$1207&lt;R87))+1,"")</f>
        <v/>
      </c>
      <c r="T87" s="11">
        <f>IF(K87=1,'ORDENES'!$J83,"")</f>
        <v/>
      </c>
      <c r="U87" s="3">
        <f>IFERROR(MATCH(80,$M$8:$M$1207,0),"")</f>
        <v/>
      </c>
      <c r="V87" s="3">
        <f>IF(U87="","",INDEX('ORDENES'!$R$4:$R$1203,U87))</f>
        <v/>
      </c>
      <c r="W87" s="3">
        <f>IF(U87="","",IF(V87&lt;&gt;V86,CHAR(10)&amp;UPPER(LEFT(V87,1))&amp;MID(V87,2,20)&amp;":"&amp;CHAR(10),"")&amp;"   "&amp;IF(INDEX('ORDENES'!$AC$4:$AC$1203,U87)="","(s/t)",INDEX('ORDENES'!$AC$4:$AC$1203,U87))&amp;" · "&amp;IF(INDEX('ORDENES'!$AB$4:$AB$1203,U87)="","(sin técnico)",INDEX('ORDENES'!$AB$4:$AB$1203,U87))&amp;" · "&amp;INDEX('ORDENES'!$AN$4:$AN$1203,U87)&amp;" — "&amp;INDEX('ORDENES'!$D$4:$D$1203,U87)&amp;" ("&amp;TEXT(INDEX('ORDENES'!$M$4:$M$1203,U87),"0.#")&amp;" h)")</f>
        <v/>
      </c>
    </row>
    <row r="88">
      <c r="K88" s="3">
        <f>IF(AND(IF($B$3="(todos)",TRUE,'ORDENES'!$O84=$B$3),IF($D$3="(todos)",TRUE,'ORDENES'!$AC84=$D$3),IF($F$3="(todos)",TRUE,'ORDENES'!$V84=$F$3),'ORDENES'!$AA84=TRUE,'ORDENES'!$A84&lt;&gt;""),1,0)</f>
        <v/>
      </c>
      <c r="L88" s="3">
        <f>IF(K88=1,IFERROR(MATCH('ORDENES'!$R84,lista_dias,0),9)*1000000000+IFERROR(MATCH('ORDENES'!$AC84,lista_turnos,0),9)*10000000+IFERROR(MATCH('ORDENES'!$AB84,'TECNICOS'!$B$4:$B$15,0),99)*100000+81,9000000000000+81)</f>
        <v/>
      </c>
      <c r="M88" s="3">
        <f>IF(K88=1,SUMPRODUCT(--($L$8:$L$1207&lt;L88))+1,"")</f>
        <v/>
      </c>
      <c r="N88" s="17">
        <f>IF(K88=1,N('ORDENES'!$M84),0)</f>
        <v/>
      </c>
      <c r="O88" s="17">
        <f>IF('ORDENES'!$S84="preventiva",N88,0)</f>
        <v/>
      </c>
      <c r="P88" s="17">
        <f>IF('ORDENES'!$S84="correctiva",N88,0)</f>
        <v/>
      </c>
      <c r="Q88" s="3">
        <f>IF(AND(K88=1,'ORDENES'!$N84="Pendiente"),1,0)</f>
        <v/>
      </c>
      <c r="R88" s="3">
        <f>IF(Q88=1,100000-N88*1000+81*0.01,9000000000000+81)</f>
        <v/>
      </c>
      <c r="S88" s="3">
        <f>IF(Q88=1,SUMPRODUCT(--($R$8:$R$1207&lt;R88))+1,"")</f>
        <v/>
      </c>
      <c r="T88" s="11">
        <f>IF(K88=1,'ORDENES'!$J84,"")</f>
        <v/>
      </c>
      <c r="U88" s="3">
        <f>IFERROR(MATCH(81,$M$8:$M$1207,0),"")</f>
        <v/>
      </c>
      <c r="V88" s="3">
        <f>IF(U88="","",INDEX('ORDENES'!$R$4:$R$1203,U88))</f>
        <v/>
      </c>
      <c r="W88" s="3">
        <f>IF(U88="","",IF(V88&lt;&gt;V87,CHAR(10)&amp;UPPER(LEFT(V88,1))&amp;MID(V88,2,20)&amp;":"&amp;CHAR(10),"")&amp;"   "&amp;IF(INDEX('ORDENES'!$AC$4:$AC$1203,U88)="","(s/t)",INDEX('ORDENES'!$AC$4:$AC$1203,U88))&amp;" · "&amp;IF(INDEX('ORDENES'!$AB$4:$AB$1203,U88)="","(sin técnico)",INDEX('ORDENES'!$AB$4:$AB$1203,U88))&amp;" · "&amp;INDEX('ORDENES'!$AN$4:$AN$1203,U88)&amp;" — "&amp;INDEX('ORDENES'!$D$4:$D$1203,U88)&amp;" ("&amp;TEXT(INDEX('ORDENES'!$M$4:$M$1203,U88),"0.#")&amp;" h)")</f>
        <v/>
      </c>
    </row>
    <row r="89">
      <c r="K89" s="3">
        <f>IF(AND(IF($B$3="(todos)",TRUE,'ORDENES'!$O85=$B$3),IF($D$3="(todos)",TRUE,'ORDENES'!$AC85=$D$3),IF($F$3="(todos)",TRUE,'ORDENES'!$V85=$F$3),'ORDENES'!$AA85=TRUE,'ORDENES'!$A85&lt;&gt;""),1,0)</f>
        <v/>
      </c>
      <c r="L89" s="3">
        <f>IF(K89=1,IFERROR(MATCH('ORDENES'!$R85,lista_dias,0),9)*1000000000+IFERROR(MATCH('ORDENES'!$AC85,lista_turnos,0),9)*10000000+IFERROR(MATCH('ORDENES'!$AB85,'TECNICOS'!$B$4:$B$15,0),99)*100000+82,9000000000000+82)</f>
        <v/>
      </c>
      <c r="M89" s="3">
        <f>IF(K89=1,SUMPRODUCT(--($L$8:$L$1207&lt;L89))+1,"")</f>
        <v/>
      </c>
      <c r="N89" s="17">
        <f>IF(K89=1,N('ORDENES'!$M85),0)</f>
        <v/>
      </c>
      <c r="O89" s="17">
        <f>IF('ORDENES'!$S85="preventiva",N89,0)</f>
        <v/>
      </c>
      <c r="P89" s="17">
        <f>IF('ORDENES'!$S85="correctiva",N89,0)</f>
        <v/>
      </c>
      <c r="Q89" s="3">
        <f>IF(AND(K89=1,'ORDENES'!$N85="Pendiente"),1,0)</f>
        <v/>
      </c>
      <c r="R89" s="3">
        <f>IF(Q89=1,100000-N89*1000+82*0.01,9000000000000+82)</f>
        <v/>
      </c>
      <c r="S89" s="3">
        <f>IF(Q89=1,SUMPRODUCT(--($R$8:$R$1207&lt;R89))+1,"")</f>
        <v/>
      </c>
      <c r="T89" s="11">
        <f>IF(K89=1,'ORDENES'!$J85,"")</f>
        <v/>
      </c>
      <c r="U89" s="3">
        <f>IFERROR(MATCH(82,$M$8:$M$1207,0),"")</f>
        <v/>
      </c>
      <c r="V89" s="3">
        <f>IF(U89="","",INDEX('ORDENES'!$R$4:$R$1203,U89))</f>
        <v/>
      </c>
      <c r="W89" s="3">
        <f>IF(U89="","",IF(V89&lt;&gt;V88,CHAR(10)&amp;UPPER(LEFT(V89,1))&amp;MID(V89,2,20)&amp;":"&amp;CHAR(10),"")&amp;"   "&amp;IF(INDEX('ORDENES'!$AC$4:$AC$1203,U89)="","(s/t)",INDEX('ORDENES'!$AC$4:$AC$1203,U89))&amp;" · "&amp;IF(INDEX('ORDENES'!$AB$4:$AB$1203,U89)="","(sin técnico)",INDEX('ORDENES'!$AB$4:$AB$1203,U89))&amp;" · "&amp;INDEX('ORDENES'!$AN$4:$AN$1203,U89)&amp;" — "&amp;INDEX('ORDENES'!$D$4:$D$1203,U89)&amp;" ("&amp;TEXT(INDEX('ORDENES'!$M$4:$M$1203,U89),"0.#")&amp;" h)")</f>
        <v/>
      </c>
    </row>
    <row r="90">
      <c r="K90" s="3">
        <f>IF(AND(IF($B$3="(todos)",TRUE,'ORDENES'!$O86=$B$3),IF($D$3="(todos)",TRUE,'ORDENES'!$AC86=$D$3),IF($F$3="(todos)",TRUE,'ORDENES'!$V86=$F$3),'ORDENES'!$AA86=TRUE,'ORDENES'!$A86&lt;&gt;""),1,0)</f>
        <v/>
      </c>
      <c r="L90" s="3">
        <f>IF(K90=1,IFERROR(MATCH('ORDENES'!$R86,lista_dias,0),9)*1000000000+IFERROR(MATCH('ORDENES'!$AC86,lista_turnos,0),9)*10000000+IFERROR(MATCH('ORDENES'!$AB86,'TECNICOS'!$B$4:$B$15,0),99)*100000+83,9000000000000+83)</f>
        <v/>
      </c>
      <c r="M90" s="3">
        <f>IF(K90=1,SUMPRODUCT(--($L$8:$L$1207&lt;L90))+1,"")</f>
        <v/>
      </c>
      <c r="N90" s="17">
        <f>IF(K90=1,N('ORDENES'!$M86),0)</f>
        <v/>
      </c>
      <c r="O90" s="17">
        <f>IF('ORDENES'!$S86="preventiva",N90,0)</f>
        <v/>
      </c>
      <c r="P90" s="17">
        <f>IF('ORDENES'!$S86="correctiva",N90,0)</f>
        <v/>
      </c>
      <c r="Q90" s="3">
        <f>IF(AND(K90=1,'ORDENES'!$N86="Pendiente"),1,0)</f>
        <v/>
      </c>
      <c r="R90" s="3">
        <f>IF(Q90=1,100000-N90*1000+83*0.01,9000000000000+83)</f>
        <v/>
      </c>
      <c r="S90" s="3">
        <f>IF(Q90=1,SUMPRODUCT(--($R$8:$R$1207&lt;R90))+1,"")</f>
        <v/>
      </c>
      <c r="T90" s="11">
        <f>IF(K90=1,'ORDENES'!$J86,"")</f>
        <v/>
      </c>
      <c r="U90" s="3">
        <f>IFERROR(MATCH(83,$M$8:$M$1207,0),"")</f>
        <v/>
      </c>
      <c r="V90" s="3">
        <f>IF(U90="","",INDEX('ORDENES'!$R$4:$R$1203,U90))</f>
        <v/>
      </c>
      <c r="W90" s="3">
        <f>IF(U90="","",IF(V90&lt;&gt;V89,CHAR(10)&amp;UPPER(LEFT(V90,1))&amp;MID(V90,2,20)&amp;":"&amp;CHAR(10),"")&amp;"   "&amp;IF(INDEX('ORDENES'!$AC$4:$AC$1203,U90)="","(s/t)",INDEX('ORDENES'!$AC$4:$AC$1203,U90))&amp;" · "&amp;IF(INDEX('ORDENES'!$AB$4:$AB$1203,U90)="","(sin técnico)",INDEX('ORDENES'!$AB$4:$AB$1203,U90))&amp;" · "&amp;INDEX('ORDENES'!$AN$4:$AN$1203,U90)&amp;" — "&amp;INDEX('ORDENES'!$D$4:$D$1203,U90)&amp;" ("&amp;TEXT(INDEX('ORDENES'!$M$4:$M$1203,U90),"0.#")&amp;" h)")</f>
        <v/>
      </c>
    </row>
    <row r="91">
      <c r="K91" s="3">
        <f>IF(AND(IF($B$3="(todos)",TRUE,'ORDENES'!$O87=$B$3),IF($D$3="(todos)",TRUE,'ORDENES'!$AC87=$D$3),IF($F$3="(todos)",TRUE,'ORDENES'!$V87=$F$3),'ORDENES'!$AA87=TRUE,'ORDENES'!$A87&lt;&gt;""),1,0)</f>
        <v/>
      </c>
      <c r="L91" s="3">
        <f>IF(K91=1,IFERROR(MATCH('ORDENES'!$R87,lista_dias,0),9)*1000000000+IFERROR(MATCH('ORDENES'!$AC87,lista_turnos,0),9)*10000000+IFERROR(MATCH('ORDENES'!$AB87,'TECNICOS'!$B$4:$B$15,0),99)*100000+84,9000000000000+84)</f>
        <v/>
      </c>
      <c r="M91" s="3">
        <f>IF(K91=1,SUMPRODUCT(--($L$8:$L$1207&lt;L91))+1,"")</f>
        <v/>
      </c>
      <c r="N91" s="17">
        <f>IF(K91=1,N('ORDENES'!$M87),0)</f>
        <v/>
      </c>
      <c r="O91" s="17">
        <f>IF('ORDENES'!$S87="preventiva",N91,0)</f>
        <v/>
      </c>
      <c r="P91" s="17">
        <f>IF('ORDENES'!$S87="correctiva",N91,0)</f>
        <v/>
      </c>
      <c r="Q91" s="3">
        <f>IF(AND(K91=1,'ORDENES'!$N87="Pendiente"),1,0)</f>
        <v/>
      </c>
      <c r="R91" s="3">
        <f>IF(Q91=1,100000-N91*1000+84*0.01,9000000000000+84)</f>
        <v/>
      </c>
      <c r="S91" s="3">
        <f>IF(Q91=1,SUMPRODUCT(--($R$8:$R$1207&lt;R91))+1,"")</f>
        <v/>
      </c>
      <c r="T91" s="11">
        <f>IF(K91=1,'ORDENES'!$J87,"")</f>
        <v/>
      </c>
      <c r="U91" s="3">
        <f>IFERROR(MATCH(84,$M$8:$M$1207,0),"")</f>
        <v/>
      </c>
      <c r="V91" s="3">
        <f>IF(U91="","",INDEX('ORDENES'!$R$4:$R$1203,U91))</f>
        <v/>
      </c>
      <c r="W91" s="3">
        <f>IF(U91="","",IF(V91&lt;&gt;V90,CHAR(10)&amp;UPPER(LEFT(V91,1))&amp;MID(V91,2,20)&amp;":"&amp;CHAR(10),"")&amp;"   "&amp;IF(INDEX('ORDENES'!$AC$4:$AC$1203,U91)="","(s/t)",INDEX('ORDENES'!$AC$4:$AC$1203,U91))&amp;" · "&amp;IF(INDEX('ORDENES'!$AB$4:$AB$1203,U91)="","(sin técnico)",INDEX('ORDENES'!$AB$4:$AB$1203,U91))&amp;" · "&amp;INDEX('ORDENES'!$AN$4:$AN$1203,U91)&amp;" — "&amp;INDEX('ORDENES'!$D$4:$D$1203,U91)&amp;" ("&amp;TEXT(INDEX('ORDENES'!$M$4:$M$1203,U91),"0.#")&amp;" h)")</f>
        <v/>
      </c>
    </row>
    <row r="92">
      <c r="K92" s="3">
        <f>IF(AND(IF($B$3="(todos)",TRUE,'ORDENES'!$O88=$B$3),IF($D$3="(todos)",TRUE,'ORDENES'!$AC88=$D$3),IF($F$3="(todos)",TRUE,'ORDENES'!$V88=$F$3),'ORDENES'!$AA88=TRUE,'ORDENES'!$A88&lt;&gt;""),1,0)</f>
        <v/>
      </c>
      <c r="L92" s="3">
        <f>IF(K92=1,IFERROR(MATCH('ORDENES'!$R88,lista_dias,0),9)*1000000000+IFERROR(MATCH('ORDENES'!$AC88,lista_turnos,0),9)*10000000+IFERROR(MATCH('ORDENES'!$AB88,'TECNICOS'!$B$4:$B$15,0),99)*100000+85,9000000000000+85)</f>
        <v/>
      </c>
      <c r="M92" s="3">
        <f>IF(K92=1,SUMPRODUCT(--($L$8:$L$1207&lt;L92))+1,"")</f>
        <v/>
      </c>
      <c r="N92" s="17">
        <f>IF(K92=1,N('ORDENES'!$M88),0)</f>
        <v/>
      </c>
      <c r="O92" s="17">
        <f>IF('ORDENES'!$S88="preventiva",N92,0)</f>
        <v/>
      </c>
      <c r="P92" s="17">
        <f>IF('ORDENES'!$S88="correctiva",N92,0)</f>
        <v/>
      </c>
      <c r="Q92" s="3">
        <f>IF(AND(K92=1,'ORDENES'!$N88="Pendiente"),1,0)</f>
        <v/>
      </c>
      <c r="R92" s="3">
        <f>IF(Q92=1,100000-N92*1000+85*0.01,9000000000000+85)</f>
        <v/>
      </c>
      <c r="S92" s="3">
        <f>IF(Q92=1,SUMPRODUCT(--($R$8:$R$1207&lt;R92))+1,"")</f>
        <v/>
      </c>
      <c r="T92" s="11">
        <f>IF(K92=1,'ORDENES'!$J88,"")</f>
        <v/>
      </c>
      <c r="U92" s="3">
        <f>IFERROR(MATCH(85,$M$8:$M$1207,0),"")</f>
        <v/>
      </c>
      <c r="V92" s="3">
        <f>IF(U92="","",INDEX('ORDENES'!$R$4:$R$1203,U92))</f>
        <v/>
      </c>
      <c r="W92" s="3">
        <f>IF(U92="","",IF(V92&lt;&gt;V91,CHAR(10)&amp;UPPER(LEFT(V92,1))&amp;MID(V92,2,20)&amp;":"&amp;CHAR(10),"")&amp;"   "&amp;IF(INDEX('ORDENES'!$AC$4:$AC$1203,U92)="","(s/t)",INDEX('ORDENES'!$AC$4:$AC$1203,U92))&amp;" · "&amp;IF(INDEX('ORDENES'!$AB$4:$AB$1203,U92)="","(sin técnico)",INDEX('ORDENES'!$AB$4:$AB$1203,U92))&amp;" · "&amp;INDEX('ORDENES'!$AN$4:$AN$1203,U92)&amp;" — "&amp;INDEX('ORDENES'!$D$4:$D$1203,U92)&amp;" ("&amp;TEXT(INDEX('ORDENES'!$M$4:$M$1203,U92),"0.#")&amp;" h)")</f>
        <v/>
      </c>
    </row>
    <row r="93">
      <c r="K93" s="3">
        <f>IF(AND(IF($B$3="(todos)",TRUE,'ORDENES'!$O89=$B$3),IF($D$3="(todos)",TRUE,'ORDENES'!$AC89=$D$3),IF($F$3="(todos)",TRUE,'ORDENES'!$V89=$F$3),'ORDENES'!$AA89=TRUE,'ORDENES'!$A89&lt;&gt;""),1,0)</f>
        <v/>
      </c>
      <c r="L93" s="3">
        <f>IF(K93=1,IFERROR(MATCH('ORDENES'!$R89,lista_dias,0),9)*1000000000+IFERROR(MATCH('ORDENES'!$AC89,lista_turnos,0),9)*10000000+IFERROR(MATCH('ORDENES'!$AB89,'TECNICOS'!$B$4:$B$15,0),99)*100000+86,9000000000000+86)</f>
        <v/>
      </c>
      <c r="M93" s="3">
        <f>IF(K93=1,SUMPRODUCT(--($L$8:$L$1207&lt;L93))+1,"")</f>
        <v/>
      </c>
      <c r="N93" s="17">
        <f>IF(K93=1,N('ORDENES'!$M89),0)</f>
        <v/>
      </c>
      <c r="O93" s="17">
        <f>IF('ORDENES'!$S89="preventiva",N93,0)</f>
        <v/>
      </c>
      <c r="P93" s="17">
        <f>IF('ORDENES'!$S89="correctiva",N93,0)</f>
        <v/>
      </c>
      <c r="Q93" s="3">
        <f>IF(AND(K93=1,'ORDENES'!$N89="Pendiente"),1,0)</f>
        <v/>
      </c>
      <c r="R93" s="3">
        <f>IF(Q93=1,100000-N93*1000+86*0.01,9000000000000+86)</f>
        <v/>
      </c>
      <c r="S93" s="3">
        <f>IF(Q93=1,SUMPRODUCT(--($R$8:$R$1207&lt;R93))+1,"")</f>
        <v/>
      </c>
      <c r="T93" s="11">
        <f>IF(K93=1,'ORDENES'!$J89,"")</f>
        <v/>
      </c>
      <c r="U93" s="3">
        <f>IFERROR(MATCH(86,$M$8:$M$1207,0),"")</f>
        <v/>
      </c>
      <c r="V93" s="3">
        <f>IF(U93="","",INDEX('ORDENES'!$R$4:$R$1203,U93))</f>
        <v/>
      </c>
      <c r="W93" s="3">
        <f>IF(U93="","",IF(V93&lt;&gt;V92,CHAR(10)&amp;UPPER(LEFT(V93,1))&amp;MID(V93,2,20)&amp;":"&amp;CHAR(10),"")&amp;"   "&amp;IF(INDEX('ORDENES'!$AC$4:$AC$1203,U93)="","(s/t)",INDEX('ORDENES'!$AC$4:$AC$1203,U93))&amp;" · "&amp;IF(INDEX('ORDENES'!$AB$4:$AB$1203,U93)="","(sin técnico)",INDEX('ORDENES'!$AB$4:$AB$1203,U93))&amp;" · "&amp;INDEX('ORDENES'!$AN$4:$AN$1203,U93)&amp;" — "&amp;INDEX('ORDENES'!$D$4:$D$1203,U93)&amp;" ("&amp;TEXT(INDEX('ORDENES'!$M$4:$M$1203,U93),"0.#")&amp;" h)")</f>
        <v/>
      </c>
    </row>
    <row r="94">
      <c r="K94" s="3">
        <f>IF(AND(IF($B$3="(todos)",TRUE,'ORDENES'!$O90=$B$3),IF($D$3="(todos)",TRUE,'ORDENES'!$AC90=$D$3),IF($F$3="(todos)",TRUE,'ORDENES'!$V90=$F$3),'ORDENES'!$AA90=TRUE,'ORDENES'!$A90&lt;&gt;""),1,0)</f>
        <v/>
      </c>
      <c r="L94" s="3">
        <f>IF(K94=1,IFERROR(MATCH('ORDENES'!$R90,lista_dias,0),9)*1000000000+IFERROR(MATCH('ORDENES'!$AC90,lista_turnos,0),9)*10000000+IFERROR(MATCH('ORDENES'!$AB90,'TECNICOS'!$B$4:$B$15,0),99)*100000+87,9000000000000+87)</f>
        <v/>
      </c>
      <c r="M94" s="3">
        <f>IF(K94=1,SUMPRODUCT(--($L$8:$L$1207&lt;L94))+1,"")</f>
        <v/>
      </c>
      <c r="N94" s="17">
        <f>IF(K94=1,N('ORDENES'!$M90),0)</f>
        <v/>
      </c>
      <c r="O94" s="17">
        <f>IF('ORDENES'!$S90="preventiva",N94,0)</f>
        <v/>
      </c>
      <c r="P94" s="17">
        <f>IF('ORDENES'!$S90="correctiva",N94,0)</f>
        <v/>
      </c>
      <c r="Q94" s="3">
        <f>IF(AND(K94=1,'ORDENES'!$N90="Pendiente"),1,0)</f>
        <v/>
      </c>
      <c r="R94" s="3">
        <f>IF(Q94=1,100000-N94*1000+87*0.01,9000000000000+87)</f>
        <v/>
      </c>
      <c r="S94" s="3">
        <f>IF(Q94=1,SUMPRODUCT(--($R$8:$R$1207&lt;R94))+1,"")</f>
        <v/>
      </c>
      <c r="T94" s="11">
        <f>IF(K94=1,'ORDENES'!$J90,"")</f>
        <v/>
      </c>
      <c r="U94" s="3">
        <f>IFERROR(MATCH(87,$M$8:$M$1207,0),"")</f>
        <v/>
      </c>
      <c r="V94" s="3">
        <f>IF(U94="","",INDEX('ORDENES'!$R$4:$R$1203,U94))</f>
        <v/>
      </c>
      <c r="W94" s="3">
        <f>IF(U94="","",IF(V94&lt;&gt;V93,CHAR(10)&amp;UPPER(LEFT(V94,1))&amp;MID(V94,2,20)&amp;":"&amp;CHAR(10),"")&amp;"   "&amp;IF(INDEX('ORDENES'!$AC$4:$AC$1203,U94)="","(s/t)",INDEX('ORDENES'!$AC$4:$AC$1203,U94))&amp;" · "&amp;IF(INDEX('ORDENES'!$AB$4:$AB$1203,U94)="","(sin técnico)",INDEX('ORDENES'!$AB$4:$AB$1203,U94))&amp;" · "&amp;INDEX('ORDENES'!$AN$4:$AN$1203,U94)&amp;" — "&amp;INDEX('ORDENES'!$D$4:$D$1203,U94)&amp;" ("&amp;TEXT(INDEX('ORDENES'!$M$4:$M$1203,U94),"0.#")&amp;" h)")</f>
        <v/>
      </c>
    </row>
    <row r="95">
      <c r="K95" s="3">
        <f>IF(AND(IF($B$3="(todos)",TRUE,'ORDENES'!$O91=$B$3),IF($D$3="(todos)",TRUE,'ORDENES'!$AC91=$D$3),IF($F$3="(todos)",TRUE,'ORDENES'!$V91=$F$3),'ORDENES'!$AA91=TRUE,'ORDENES'!$A91&lt;&gt;""),1,0)</f>
        <v/>
      </c>
      <c r="L95" s="3">
        <f>IF(K95=1,IFERROR(MATCH('ORDENES'!$R91,lista_dias,0),9)*1000000000+IFERROR(MATCH('ORDENES'!$AC91,lista_turnos,0),9)*10000000+IFERROR(MATCH('ORDENES'!$AB91,'TECNICOS'!$B$4:$B$15,0),99)*100000+88,9000000000000+88)</f>
        <v/>
      </c>
      <c r="M95" s="3">
        <f>IF(K95=1,SUMPRODUCT(--($L$8:$L$1207&lt;L95))+1,"")</f>
        <v/>
      </c>
      <c r="N95" s="17">
        <f>IF(K95=1,N('ORDENES'!$M91),0)</f>
        <v/>
      </c>
      <c r="O95" s="17">
        <f>IF('ORDENES'!$S91="preventiva",N95,0)</f>
        <v/>
      </c>
      <c r="P95" s="17">
        <f>IF('ORDENES'!$S91="correctiva",N95,0)</f>
        <v/>
      </c>
      <c r="Q95" s="3">
        <f>IF(AND(K95=1,'ORDENES'!$N91="Pendiente"),1,0)</f>
        <v/>
      </c>
      <c r="R95" s="3">
        <f>IF(Q95=1,100000-N95*1000+88*0.01,9000000000000+88)</f>
        <v/>
      </c>
      <c r="S95" s="3">
        <f>IF(Q95=1,SUMPRODUCT(--($R$8:$R$1207&lt;R95))+1,"")</f>
        <v/>
      </c>
      <c r="T95" s="11">
        <f>IF(K95=1,'ORDENES'!$J91,"")</f>
        <v/>
      </c>
      <c r="U95" s="3">
        <f>IFERROR(MATCH(88,$M$8:$M$1207,0),"")</f>
        <v/>
      </c>
      <c r="V95" s="3">
        <f>IF(U95="","",INDEX('ORDENES'!$R$4:$R$1203,U95))</f>
        <v/>
      </c>
      <c r="W95" s="3">
        <f>IF(U95="","",IF(V95&lt;&gt;V94,CHAR(10)&amp;UPPER(LEFT(V95,1))&amp;MID(V95,2,20)&amp;":"&amp;CHAR(10),"")&amp;"   "&amp;IF(INDEX('ORDENES'!$AC$4:$AC$1203,U95)="","(s/t)",INDEX('ORDENES'!$AC$4:$AC$1203,U95))&amp;" · "&amp;IF(INDEX('ORDENES'!$AB$4:$AB$1203,U95)="","(sin técnico)",INDEX('ORDENES'!$AB$4:$AB$1203,U95))&amp;" · "&amp;INDEX('ORDENES'!$AN$4:$AN$1203,U95)&amp;" — "&amp;INDEX('ORDENES'!$D$4:$D$1203,U95)&amp;" ("&amp;TEXT(INDEX('ORDENES'!$M$4:$M$1203,U95),"0.#")&amp;" h)")</f>
        <v/>
      </c>
    </row>
    <row r="96">
      <c r="K96" s="3">
        <f>IF(AND(IF($B$3="(todos)",TRUE,'ORDENES'!$O92=$B$3),IF($D$3="(todos)",TRUE,'ORDENES'!$AC92=$D$3),IF($F$3="(todos)",TRUE,'ORDENES'!$V92=$F$3),'ORDENES'!$AA92=TRUE,'ORDENES'!$A92&lt;&gt;""),1,0)</f>
        <v/>
      </c>
      <c r="L96" s="3">
        <f>IF(K96=1,IFERROR(MATCH('ORDENES'!$R92,lista_dias,0),9)*1000000000+IFERROR(MATCH('ORDENES'!$AC92,lista_turnos,0),9)*10000000+IFERROR(MATCH('ORDENES'!$AB92,'TECNICOS'!$B$4:$B$15,0),99)*100000+89,9000000000000+89)</f>
        <v/>
      </c>
      <c r="M96" s="3">
        <f>IF(K96=1,SUMPRODUCT(--($L$8:$L$1207&lt;L96))+1,"")</f>
        <v/>
      </c>
      <c r="N96" s="17">
        <f>IF(K96=1,N('ORDENES'!$M92),0)</f>
        <v/>
      </c>
      <c r="O96" s="17">
        <f>IF('ORDENES'!$S92="preventiva",N96,0)</f>
        <v/>
      </c>
      <c r="P96" s="17">
        <f>IF('ORDENES'!$S92="correctiva",N96,0)</f>
        <v/>
      </c>
      <c r="Q96" s="3">
        <f>IF(AND(K96=1,'ORDENES'!$N92="Pendiente"),1,0)</f>
        <v/>
      </c>
      <c r="R96" s="3">
        <f>IF(Q96=1,100000-N96*1000+89*0.01,9000000000000+89)</f>
        <v/>
      </c>
      <c r="S96" s="3">
        <f>IF(Q96=1,SUMPRODUCT(--($R$8:$R$1207&lt;R96))+1,"")</f>
        <v/>
      </c>
      <c r="T96" s="11">
        <f>IF(K96=1,'ORDENES'!$J92,"")</f>
        <v/>
      </c>
      <c r="U96" s="3">
        <f>IFERROR(MATCH(89,$M$8:$M$1207,0),"")</f>
        <v/>
      </c>
      <c r="V96" s="3">
        <f>IF(U96="","",INDEX('ORDENES'!$R$4:$R$1203,U96))</f>
        <v/>
      </c>
      <c r="W96" s="3">
        <f>IF(U96="","",IF(V96&lt;&gt;V95,CHAR(10)&amp;UPPER(LEFT(V96,1))&amp;MID(V96,2,20)&amp;":"&amp;CHAR(10),"")&amp;"   "&amp;IF(INDEX('ORDENES'!$AC$4:$AC$1203,U96)="","(s/t)",INDEX('ORDENES'!$AC$4:$AC$1203,U96))&amp;" · "&amp;IF(INDEX('ORDENES'!$AB$4:$AB$1203,U96)="","(sin técnico)",INDEX('ORDENES'!$AB$4:$AB$1203,U96))&amp;" · "&amp;INDEX('ORDENES'!$AN$4:$AN$1203,U96)&amp;" — "&amp;INDEX('ORDENES'!$D$4:$D$1203,U96)&amp;" ("&amp;TEXT(INDEX('ORDENES'!$M$4:$M$1203,U96),"0.#")&amp;" h)")</f>
        <v/>
      </c>
    </row>
    <row r="97">
      <c r="K97" s="3">
        <f>IF(AND(IF($B$3="(todos)",TRUE,'ORDENES'!$O93=$B$3),IF($D$3="(todos)",TRUE,'ORDENES'!$AC93=$D$3),IF($F$3="(todos)",TRUE,'ORDENES'!$V93=$F$3),'ORDENES'!$AA93=TRUE,'ORDENES'!$A93&lt;&gt;""),1,0)</f>
        <v/>
      </c>
      <c r="L97" s="3">
        <f>IF(K97=1,IFERROR(MATCH('ORDENES'!$R93,lista_dias,0),9)*1000000000+IFERROR(MATCH('ORDENES'!$AC93,lista_turnos,0),9)*10000000+IFERROR(MATCH('ORDENES'!$AB93,'TECNICOS'!$B$4:$B$15,0),99)*100000+90,9000000000000+90)</f>
        <v/>
      </c>
      <c r="M97" s="3">
        <f>IF(K97=1,SUMPRODUCT(--($L$8:$L$1207&lt;L97))+1,"")</f>
        <v/>
      </c>
      <c r="N97" s="17">
        <f>IF(K97=1,N('ORDENES'!$M93),0)</f>
        <v/>
      </c>
      <c r="O97" s="17">
        <f>IF('ORDENES'!$S93="preventiva",N97,0)</f>
        <v/>
      </c>
      <c r="P97" s="17">
        <f>IF('ORDENES'!$S93="correctiva",N97,0)</f>
        <v/>
      </c>
      <c r="Q97" s="3">
        <f>IF(AND(K97=1,'ORDENES'!$N93="Pendiente"),1,0)</f>
        <v/>
      </c>
      <c r="R97" s="3">
        <f>IF(Q97=1,100000-N97*1000+90*0.01,9000000000000+90)</f>
        <v/>
      </c>
      <c r="S97" s="3">
        <f>IF(Q97=1,SUMPRODUCT(--($R$8:$R$1207&lt;R97))+1,"")</f>
        <v/>
      </c>
      <c r="T97" s="11">
        <f>IF(K97=1,'ORDENES'!$J93,"")</f>
        <v/>
      </c>
      <c r="U97" s="3">
        <f>IFERROR(MATCH(90,$M$8:$M$1207,0),"")</f>
        <v/>
      </c>
      <c r="V97" s="3">
        <f>IF(U97="","",INDEX('ORDENES'!$R$4:$R$1203,U97))</f>
        <v/>
      </c>
      <c r="W97" s="3">
        <f>IF(U97="","",IF(V97&lt;&gt;V96,CHAR(10)&amp;UPPER(LEFT(V97,1))&amp;MID(V97,2,20)&amp;":"&amp;CHAR(10),"")&amp;"   "&amp;IF(INDEX('ORDENES'!$AC$4:$AC$1203,U97)="","(s/t)",INDEX('ORDENES'!$AC$4:$AC$1203,U97))&amp;" · "&amp;IF(INDEX('ORDENES'!$AB$4:$AB$1203,U97)="","(sin técnico)",INDEX('ORDENES'!$AB$4:$AB$1203,U97))&amp;" · "&amp;INDEX('ORDENES'!$AN$4:$AN$1203,U97)&amp;" — "&amp;INDEX('ORDENES'!$D$4:$D$1203,U97)&amp;" ("&amp;TEXT(INDEX('ORDENES'!$M$4:$M$1203,U97),"0.#")&amp;" h)")</f>
        <v/>
      </c>
    </row>
    <row r="98">
      <c r="K98" s="3">
        <f>IF(AND(IF($B$3="(todos)",TRUE,'ORDENES'!$O94=$B$3),IF($D$3="(todos)",TRUE,'ORDENES'!$AC94=$D$3),IF($F$3="(todos)",TRUE,'ORDENES'!$V94=$F$3),'ORDENES'!$AA94=TRUE,'ORDENES'!$A94&lt;&gt;""),1,0)</f>
        <v/>
      </c>
      <c r="L98" s="3">
        <f>IF(K98=1,IFERROR(MATCH('ORDENES'!$R94,lista_dias,0),9)*1000000000+IFERROR(MATCH('ORDENES'!$AC94,lista_turnos,0),9)*10000000+IFERROR(MATCH('ORDENES'!$AB94,'TECNICOS'!$B$4:$B$15,0),99)*100000+91,9000000000000+91)</f>
        <v/>
      </c>
      <c r="M98" s="3">
        <f>IF(K98=1,SUMPRODUCT(--($L$8:$L$1207&lt;L98))+1,"")</f>
        <v/>
      </c>
      <c r="N98" s="17">
        <f>IF(K98=1,N('ORDENES'!$M94),0)</f>
        <v/>
      </c>
      <c r="O98" s="17">
        <f>IF('ORDENES'!$S94="preventiva",N98,0)</f>
        <v/>
      </c>
      <c r="P98" s="17">
        <f>IF('ORDENES'!$S94="correctiva",N98,0)</f>
        <v/>
      </c>
      <c r="Q98" s="3">
        <f>IF(AND(K98=1,'ORDENES'!$N94="Pendiente"),1,0)</f>
        <v/>
      </c>
      <c r="R98" s="3">
        <f>IF(Q98=1,100000-N98*1000+91*0.01,9000000000000+91)</f>
        <v/>
      </c>
      <c r="S98" s="3">
        <f>IF(Q98=1,SUMPRODUCT(--($R$8:$R$1207&lt;R98))+1,"")</f>
        <v/>
      </c>
      <c r="T98" s="11">
        <f>IF(K98=1,'ORDENES'!$J94,"")</f>
        <v/>
      </c>
      <c r="U98" s="3">
        <f>IFERROR(MATCH(91,$M$8:$M$1207,0),"")</f>
        <v/>
      </c>
      <c r="V98" s="3">
        <f>IF(U98="","",INDEX('ORDENES'!$R$4:$R$1203,U98))</f>
        <v/>
      </c>
      <c r="W98" s="3">
        <f>IF(U98="","",IF(V98&lt;&gt;V97,CHAR(10)&amp;UPPER(LEFT(V98,1))&amp;MID(V98,2,20)&amp;":"&amp;CHAR(10),"")&amp;"   "&amp;IF(INDEX('ORDENES'!$AC$4:$AC$1203,U98)="","(s/t)",INDEX('ORDENES'!$AC$4:$AC$1203,U98))&amp;" · "&amp;IF(INDEX('ORDENES'!$AB$4:$AB$1203,U98)="","(sin técnico)",INDEX('ORDENES'!$AB$4:$AB$1203,U98))&amp;" · "&amp;INDEX('ORDENES'!$AN$4:$AN$1203,U98)&amp;" — "&amp;INDEX('ORDENES'!$D$4:$D$1203,U98)&amp;" ("&amp;TEXT(INDEX('ORDENES'!$M$4:$M$1203,U98),"0.#")&amp;" h)")</f>
        <v/>
      </c>
    </row>
    <row r="99">
      <c r="K99" s="3">
        <f>IF(AND(IF($B$3="(todos)",TRUE,'ORDENES'!$O95=$B$3),IF($D$3="(todos)",TRUE,'ORDENES'!$AC95=$D$3),IF($F$3="(todos)",TRUE,'ORDENES'!$V95=$F$3),'ORDENES'!$AA95=TRUE,'ORDENES'!$A95&lt;&gt;""),1,0)</f>
        <v/>
      </c>
      <c r="L99" s="3">
        <f>IF(K99=1,IFERROR(MATCH('ORDENES'!$R95,lista_dias,0),9)*1000000000+IFERROR(MATCH('ORDENES'!$AC95,lista_turnos,0),9)*10000000+IFERROR(MATCH('ORDENES'!$AB95,'TECNICOS'!$B$4:$B$15,0),99)*100000+92,9000000000000+92)</f>
        <v/>
      </c>
      <c r="M99" s="3">
        <f>IF(K99=1,SUMPRODUCT(--($L$8:$L$1207&lt;L99))+1,"")</f>
        <v/>
      </c>
      <c r="N99" s="17">
        <f>IF(K99=1,N('ORDENES'!$M95),0)</f>
        <v/>
      </c>
      <c r="O99" s="17">
        <f>IF('ORDENES'!$S95="preventiva",N99,0)</f>
        <v/>
      </c>
      <c r="P99" s="17">
        <f>IF('ORDENES'!$S95="correctiva",N99,0)</f>
        <v/>
      </c>
      <c r="Q99" s="3">
        <f>IF(AND(K99=1,'ORDENES'!$N95="Pendiente"),1,0)</f>
        <v/>
      </c>
      <c r="R99" s="3">
        <f>IF(Q99=1,100000-N99*1000+92*0.01,9000000000000+92)</f>
        <v/>
      </c>
      <c r="S99" s="3">
        <f>IF(Q99=1,SUMPRODUCT(--($R$8:$R$1207&lt;R99))+1,"")</f>
        <v/>
      </c>
      <c r="T99" s="11">
        <f>IF(K99=1,'ORDENES'!$J95,"")</f>
        <v/>
      </c>
      <c r="U99" s="3">
        <f>IFERROR(MATCH(92,$M$8:$M$1207,0),"")</f>
        <v/>
      </c>
      <c r="V99" s="3">
        <f>IF(U99="","",INDEX('ORDENES'!$R$4:$R$1203,U99))</f>
        <v/>
      </c>
      <c r="W99" s="3">
        <f>IF(U99="","",IF(V99&lt;&gt;V98,CHAR(10)&amp;UPPER(LEFT(V99,1))&amp;MID(V99,2,20)&amp;":"&amp;CHAR(10),"")&amp;"   "&amp;IF(INDEX('ORDENES'!$AC$4:$AC$1203,U99)="","(s/t)",INDEX('ORDENES'!$AC$4:$AC$1203,U99))&amp;" · "&amp;IF(INDEX('ORDENES'!$AB$4:$AB$1203,U99)="","(sin técnico)",INDEX('ORDENES'!$AB$4:$AB$1203,U99))&amp;" · "&amp;INDEX('ORDENES'!$AN$4:$AN$1203,U99)&amp;" — "&amp;INDEX('ORDENES'!$D$4:$D$1203,U99)&amp;" ("&amp;TEXT(INDEX('ORDENES'!$M$4:$M$1203,U99),"0.#")&amp;" h)")</f>
        <v/>
      </c>
    </row>
    <row r="100">
      <c r="K100" s="3">
        <f>IF(AND(IF($B$3="(todos)",TRUE,'ORDENES'!$O96=$B$3),IF($D$3="(todos)",TRUE,'ORDENES'!$AC96=$D$3),IF($F$3="(todos)",TRUE,'ORDENES'!$V96=$F$3),'ORDENES'!$AA96=TRUE,'ORDENES'!$A96&lt;&gt;""),1,0)</f>
        <v/>
      </c>
      <c r="L100" s="3">
        <f>IF(K100=1,IFERROR(MATCH('ORDENES'!$R96,lista_dias,0),9)*1000000000+IFERROR(MATCH('ORDENES'!$AC96,lista_turnos,0),9)*10000000+IFERROR(MATCH('ORDENES'!$AB96,'TECNICOS'!$B$4:$B$15,0),99)*100000+93,9000000000000+93)</f>
        <v/>
      </c>
      <c r="M100" s="3">
        <f>IF(K100=1,SUMPRODUCT(--($L$8:$L$1207&lt;L100))+1,"")</f>
        <v/>
      </c>
      <c r="N100" s="17">
        <f>IF(K100=1,N('ORDENES'!$M96),0)</f>
        <v/>
      </c>
      <c r="O100" s="17">
        <f>IF('ORDENES'!$S96="preventiva",N100,0)</f>
        <v/>
      </c>
      <c r="P100" s="17">
        <f>IF('ORDENES'!$S96="correctiva",N100,0)</f>
        <v/>
      </c>
      <c r="Q100" s="3">
        <f>IF(AND(K100=1,'ORDENES'!$N96="Pendiente"),1,0)</f>
        <v/>
      </c>
      <c r="R100" s="3">
        <f>IF(Q100=1,100000-N100*1000+93*0.01,9000000000000+93)</f>
        <v/>
      </c>
      <c r="S100" s="3">
        <f>IF(Q100=1,SUMPRODUCT(--($R$8:$R$1207&lt;R100))+1,"")</f>
        <v/>
      </c>
      <c r="T100" s="11">
        <f>IF(K100=1,'ORDENES'!$J96,"")</f>
        <v/>
      </c>
      <c r="U100" s="3">
        <f>IFERROR(MATCH(93,$M$8:$M$1207,0),"")</f>
        <v/>
      </c>
      <c r="V100" s="3">
        <f>IF(U100="","",INDEX('ORDENES'!$R$4:$R$1203,U100))</f>
        <v/>
      </c>
      <c r="W100" s="3">
        <f>IF(U100="","",IF(V100&lt;&gt;V99,CHAR(10)&amp;UPPER(LEFT(V100,1))&amp;MID(V100,2,20)&amp;":"&amp;CHAR(10),"")&amp;"   "&amp;IF(INDEX('ORDENES'!$AC$4:$AC$1203,U100)="","(s/t)",INDEX('ORDENES'!$AC$4:$AC$1203,U100))&amp;" · "&amp;IF(INDEX('ORDENES'!$AB$4:$AB$1203,U100)="","(sin técnico)",INDEX('ORDENES'!$AB$4:$AB$1203,U100))&amp;" · "&amp;INDEX('ORDENES'!$AN$4:$AN$1203,U100)&amp;" — "&amp;INDEX('ORDENES'!$D$4:$D$1203,U100)&amp;" ("&amp;TEXT(INDEX('ORDENES'!$M$4:$M$1203,U100),"0.#")&amp;" h)")</f>
        <v/>
      </c>
    </row>
    <row r="101">
      <c r="K101" s="3">
        <f>IF(AND(IF($B$3="(todos)",TRUE,'ORDENES'!$O97=$B$3),IF($D$3="(todos)",TRUE,'ORDENES'!$AC97=$D$3),IF($F$3="(todos)",TRUE,'ORDENES'!$V97=$F$3),'ORDENES'!$AA97=TRUE,'ORDENES'!$A97&lt;&gt;""),1,0)</f>
        <v/>
      </c>
      <c r="L101" s="3">
        <f>IF(K101=1,IFERROR(MATCH('ORDENES'!$R97,lista_dias,0),9)*1000000000+IFERROR(MATCH('ORDENES'!$AC97,lista_turnos,0),9)*10000000+IFERROR(MATCH('ORDENES'!$AB97,'TECNICOS'!$B$4:$B$15,0),99)*100000+94,9000000000000+94)</f>
        <v/>
      </c>
      <c r="M101" s="3">
        <f>IF(K101=1,SUMPRODUCT(--($L$8:$L$1207&lt;L101))+1,"")</f>
        <v/>
      </c>
      <c r="N101" s="17">
        <f>IF(K101=1,N('ORDENES'!$M97),0)</f>
        <v/>
      </c>
      <c r="O101" s="17">
        <f>IF('ORDENES'!$S97="preventiva",N101,0)</f>
        <v/>
      </c>
      <c r="P101" s="17">
        <f>IF('ORDENES'!$S97="correctiva",N101,0)</f>
        <v/>
      </c>
      <c r="Q101" s="3">
        <f>IF(AND(K101=1,'ORDENES'!$N97="Pendiente"),1,0)</f>
        <v/>
      </c>
      <c r="R101" s="3">
        <f>IF(Q101=1,100000-N101*1000+94*0.01,9000000000000+94)</f>
        <v/>
      </c>
      <c r="S101" s="3">
        <f>IF(Q101=1,SUMPRODUCT(--($R$8:$R$1207&lt;R101))+1,"")</f>
        <v/>
      </c>
      <c r="T101" s="11">
        <f>IF(K101=1,'ORDENES'!$J97,"")</f>
        <v/>
      </c>
      <c r="U101" s="3">
        <f>IFERROR(MATCH(94,$M$8:$M$1207,0),"")</f>
        <v/>
      </c>
      <c r="V101" s="3">
        <f>IF(U101="","",INDEX('ORDENES'!$R$4:$R$1203,U101))</f>
        <v/>
      </c>
      <c r="W101" s="3">
        <f>IF(U101="","",IF(V101&lt;&gt;V100,CHAR(10)&amp;UPPER(LEFT(V101,1))&amp;MID(V101,2,20)&amp;":"&amp;CHAR(10),"")&amp;"   "&amp;IF(INDEX('ORDENES'!$AC$4:$AC$1203,U101)="","(s/t)",INDEX('ORDENES'!$AC$4:$AC$1203,U101))&amp;" · "&amp;IF(INDEX('ORDENES'!$AB$4:$AB$1203,U101)="","(sin técnico)",INDEX('ORDENES'!$AB$4:$AB$1203,U101))&amp;" · "&amp;INDEX('ORDENES'!$AN$4:$AN$1203,U101)&amp;" — "&amp;INDEX('ORDENES'!$D$4:$D$1203,U101)&amp;" ("&amp;TEXT(INDEX('ORDENES'!$M$4:$M$1203,U101),"0.#")&amp;" h)")</f>
        <v/>
      </c>
    </row>
    <row r="102">
      <c r="K102" s="3">
        <f>IF(AND(IF($B$3="(todos)",TRUE,'ORDENES'!$O98=$B$3),IF($D$3="(todos)",TRUE,'ORDENES'!$AC98=$D$3),IF($F$3="(todos)",TRUE,'ORDENES'!$V98=$F$3),'ORDENES'!$AA98=TRUE,'ORDENES'!$A98&lt;&gt;""),1,0)</f>
        <v/>
      </c>
      <c r="L102" s="3">
        <f>IF(K102=1,IFERROR(MATCH('ORDENES'!$R98,lista_dias,0),9)*1000000000+IFERROR(MATCH('ORDENES'!$AC98,lista_turnos,0),9)*10000000+IFERROR(MATCH('ORDENES'!$AB98,'TECNICOS'!$B$4:$B$15,0),99)*100000+95,9000000000000+95)</f>
        <v/>
      </c>
      <c r="M102" s="3">
        <f>IF(K102=1,SUMPRODUCT(--($L$8:$L$1207&lt;L102))+1,"")</f>
        <v/>
      </c>
      <c r="N102" s="17">
        <f>IF(K102=1,N('ORDENES'!$M98),0)</f>
        <v/>
      </c>
      <c r="O102" s="17">
        <f>IF('ORDENES'!$S98="preventiva",N102,0)</f>
        <v/>
      </c>
      <c r="P102" s="17">
        <f>IF('ORDENES'!$S98="correctiva",N102,0)</f>
        <v/>
      </c>
      <c r="Q102" s="3">
        <f>IF(AND(K102=1,'ORDENES'!$N98="Pendiente"),1,0)</f>
        <v/>
      </c>
      <c r="R102" s="3">
        <f>IF(Q102=1,100000-N102*1000+95*0.01,9000000000000+95)</f>
        <v/>
      </c>
      <c r="S102" s="3">
        <f>IF(Q102=1,SUMPRODUCT(--($R$8:$R$1207&lt;R102))+1,"")</f>
        <v/>
      </c>
      <c r="T102" s="11">
        <f>IF(K102=1,'ORDENES'!$J98,"")</f>
        <v/>
      </c>
      <c r="U102" s="3">
        <f>IFERROR(MATCH(95,$M$8:$M$1207,0),"")</f>
        <v/>
      </c>
      <c r="V102" s="3">
        <f>IF(U102="","",INDEX('ORDENES'!$R$4:$R$1203,U102))</f>
        <v/>
      </c>
      <c r="W102" s="3">
        <f>IF(U102="","",IF(V102&lt;&gt;V101,CHAR(10)&amp;UPPER(LEFT(V102,1))&amp;MID(V102,2,20)&amp;":"&amp;CHAR(10),"")&amp;"   "&amp;IF(INDEX('ORDENES'!$AC$4:$AC$1203,U102)="","(s/t)",INDEX('ORDENES'!$AC$4:$AC$1203,U102))&amp;" · "&amp;IF(INDEX('ORDENES'!$AB$4:$AB$1203,U102)="","(sin técnico)",INDEX('ORDENES'!$AB$4:$AB$1203,U102))&amp;" · "&amp;INDEX('ORDENES'!$AN$4:$AN$1203,U102)&amp;" — "&amp;INDEX('ORDENES'!$D$4:$D$1203,U102)&amp;" ("&amp;TEXT(INDEX('ORDENES'!$M$4:$M$1203,U102),"0.#")&amp;" h)")</f>
        <v/>
      </c>
    </row>
    <row r="103">
      <c r="K103" s="3">
        <f>IF(AND(IF($B$3="(todos)",TRUE,'ORDENES'!$O99=$B$3),IF($D$3="(todos)",TRUE,'ORDENES'!$AC99=$D$3),IF($F$3="(todos)",TRUE,'ORDENES'!$V99=$F$3),'ORDENES'!$AA99=TRUE,'ORDENES'!$A99&lt;&gt;""),1,0)</f>
        <v/>
      </c>
      <c r="L103" s="3">
        <f>IF(K103=1,IFERROR(MATCH('ORDENES'!$R99,lista_dias,0),9)*1000000000+IFERROR(MATCH('ORDENES'!$AC99,lista_turnos,0),9)*10000000+IFERROR(MATCH('ORDENES'!$AB99,'TECNICOS'!$B$4:$B$15,0),99)*100000+96,9000000000000+96)</f>
        <v/>
      </c>
      <c r="M103" s="3">
        <f>IF(K103=1,SUMPRODUCT(--($L$8:$L$1207&lt;L103))+1,"")</f>
        <v/>
      </c>
      <c r="N103" s="17">
        <f>IF(K103=1,N('ORDENES'!$M99),0)</f>
        <v/>
      </c>
      <c r="O103" s="17">
        <f>IF('ORDENES'!$S99="preventiva",N103,0)</f>
        <v/>
      </c>
      <c r="P103" s="17">
        <f>IF('ORDENES'!$S99="correctiva",N103,0)</f>
        <v/>
      </c>
      <c r="Q103" s="3">
        <f>IF(AND(K103=1,'ORDENES'!$N99="Pendiente"),1,0)</f>
        <v/>
      </c>
      <c r="R103" s="3">
        <f>IF(Q103=1,100000-N103*1000+96*0.01,9000000000000+96)</f>
        <v/>
      </c>
      <c r="S103" s="3">
        <f>IF(Q103=1,SUMPRODUCT(--($R$8:$R$1207&lt;R103))+1,"")</f>
        <v/>
      </c>
      <c r="T103" s="11">
        <f>IF(K103=1,'ORDENES'!$J99,"")</f>
        <v/>
      </c>
      <c r="U103" s="3">
        <f>IFERROR(MATCH(96,$M$8:$M$1207,0),"")</f>
        <v/>
      </c>
      <c r="V103" s="3">
        <f>IF(U103="","",INDEX('ORDENES'!$R$4:$R$1203,U103))</f>
        <v/>
      </c>
      <c r="W103" s="3">
        <f>IF(U103="","",IF(V103&lt;&gt;V102,CHAR(10)&amp;UPPER(LEFT(V103,1))&amp;MID(V103,2,20)&amp;":"&amp;CHAR(10),"")&amp;"   "&amp;IF(INDEX('ORDENES'!$AC$4:$AC$1203,U103)="","(s/t)",INDEX('ORDENES'!$AC$4:$AC$1203,U103))&amp;" · "&amp;IF(INDEX('ORDENES'!$AB$4:$AB$1203,U103)="","(sin técnico)",INDEX('ORDENES'!$AB$4:$AB$1203,U103))&amp;" · "&amp;INDEX('ORDENES'!$AN$4:$AN$1203,U103)&amp;" — "&amp;INDEX('ORDENES'!$D$4:$D$1203,U103)&amp;" ("&amp;TEXT(INDEX('ORDENES'!$M$4:$M$1203,U103),"0.#")&amp;" h)")</f>
        <v/>
      </c>
    </row>
    <row r="104">
      <c r="K104" s="3">
        <f>IF(AND(IF($B$3="(todos)",TRUE,'ORDENES'!$O100=$B$3),IF($D$3="(todos)",TRUE,'ORDENES'!$AC100=$D$3),IF($F$3="(todos)",TRUE,'ORDENES'!$V100=$F$3),'ORDENES'!$AA100=TRUE,'ORDENES'!$A100&lt;&gt;""),1,0)</f>
        <v/>
      </c>
      <c r="L104" s="3">
        <f>IF(K104=1,IFERROR(MATCH('ORDENES'!$R100,lista_dias,0),9)*1000000000+IFERROR(MATCH('ORDENES'!$AC100,lista_turnos,0),9)*10000000+IFERROR(MATCH('ORDENES'!$AB100,'TECNICOS'!$B$4:$B$15,0),99)*100000+97,9000000000000+97)</f>
        <v/>
      </c>
      <c r="M104" s="3">
        <f>IF(K104=1,SUMPRODUCT(--($L$8:$L$1207&lt;L104))+1,"")</f>
        <v/>
      </c>
      <c r="N104" s="17">
        <f>IF(K104=1,N('ORDENES'!$M100),0)</f>
        <v/>
      </c>
      <c r="O104" s="17">
        <f>IF('ORDENES'!$S100="preventiva",N104,0)</f>
        <v/>
      </c>
      <c r="P104" s="17">
        <f>IF('ORDENES'!$S100="correctiva",N104,0)</f>
        <v/>
      </c>
      <c r="Q104" s="3">
        <f>IF(AND(K104=1,'ORDENES'!$N100="Pendiente"),1,0)</f>
        <v/>
      </c>
      <c r="R104" s="3">
        <f>IF(Q104=1,100000-N104*1000+97*0.01,9000000000000+97)</f>
        <v/>
      </c>
      <c r="S104" s="3">
        <f>IF(Q104=1,SUMPRODUCT(--($R$8:$R$1207&lt;R104))+1,"")</f>
        <v/>
      </c>
      <c r="T104" s="11">
        <f>IF(K104=1,'ORDENES'!$J100,"")</f>
        <v/>
      </c>
      <c r="U104" s="3">
        <f>IFERROR(MATCH(97,$M$8:$M$1207,0),"")</f>
        <v/>
      </c>
      <c r="V104" s="3">
        <f>IF(U104="","",INDEX('ORDENES'!$R$4:$R$1203,U104))</f>
        <v/>
      </c>
      <c r="W104" s="3">
        <f>IF(U104="","",IF(V104&lt;&gt;V103,CHAR(10)&amp;UPPER(LEFT(V104,1))&amp;MID(V104,2,20)&amp;":"&amp;CHAR(10),"")&amp;"   "&amp;IF(INDEX('ORDENES'!$AC$4:$AC$1203,U104)="","(s/t)",INDEX('ORDENES'!$AC$4:$AC$1203,U104))&amp;" · "&amp;IF(INDEX('ORDENES'!$AB$4:$AB$1203,U104)="","(sin técnico)",INDEX('ORDENES'!$AB$4:$AB$1203,U104))&amp;" · "&amp;INDEX('ORDENES'!$AN$4:$AN$1203,U104)&amp;" — "&amp;INDEX('ORDENES'!$D$4:$D$1203,U104)&amp;" ("&amp;TEXT(INDEX('ORDENES'!$M$4:$M$1203,U104),"0.#")&amp;" h)")</f>
        <v/>
      </c>
    </row>
    <row r="105">
      <c r="K105" s="3">
        <f>IF(AND(IF($B$3="(todos)",TRUE,'ORDENES'!$O101=$B$3),IF($D$3="(todos)",TRUE,'ORDENES'!$AC101=$D$3),IF($F$3="(todos)",TRUE,'ORDENES'!$V101=$F$3),'ORDENES'!$AA101=TRUE,'ORDENES'!$A101&lt;&gt;""),1,0)</f>
        <v/>
      </c>
      <c r="L105" s="3">
        <f>IF(K105=1,IFERROR(MATCH('ORDENES'!$R101,lista_dias,0),9)*1000000000+IFERROR(MATCH('ORDENES'!$AC101,lista_turnos,0),9)*10000000+IFERROR(MATCH('ORDENES'!$AB101,'TECNICOS'!$B$4:$B$15,0),99)*100000+98,9000000000000+98)</f>
        <v/>
      </c>
      <c r="M105" s="3">
        <f>IF(K105=1,SUMPRODUCT(--($L$8:$L$1207&lt;L105))+1,"")</f>
        <v/>
      </c>
      <c r="N105" s="17">
        <f>IF(K105=1,N('ORDENES'!$M101),0)</f>
        <v/>
      </c>
      <c r="O105" s="17">
        <f>IF('ORDENES'!$S101="preventiva",N105,0)</f>
        <v/>
      </c>
      <c r="P105" s="17">
        <f>IF('ORDENES'!$S101="correctiva",N105,0)</f>
        <v/>
      </c>
      <c r="Q105" s="3">
        <f>IF(AND(K105=1,'ORDENES'!$N101="Pendiente"),1,0)</f>
        <v/>
      </c>
      <c r="R105" s="3">
        <f>IF(Q105=1,100000-N105*1000+98*0.01,9000000000000+98)</f>
        <v/>
      </c>
      <c r="S105" s="3">
        <f>IF(Q105=1,SUMPRODUCT(--($R$8:$R$1207&lt;R105))+1,"")</f>
        <v/>
      </c>
      <c r="T105" s="11">
        <f>IF(K105=1,'ORDENES'!$J101,"")</f>
        <v/>
      </c>
      <c r="U105" s="3">
        <f>IFERROR(MATCH(98,$M$8:$M$1207,0),"")</f>
        <v/>
      </c>
      <c r="V105" s="3">
        <f>IF(U105="","",INDEX('ORDENES'!$R$4:$R$1203,U105))</f>
        <v/>
      </c>
      <c r="W105" s="3">
        <f>IF(U105="","",IF(V105&lt;&gt;V104,CHAR(10)&amp;UPPER(LEFT(V105,1))&amp;MID(V105,2,20)&amp;":"&amp;CHAR(10),"")&amp;"   "&amp;IF(INDEX('ORDENES'!$AC$4:$AC$1203,U105)="","(s/t)",INDEX('ORDENES'!$AC$4:$AC$1203,U105))&amp;" · "&amp;IF(INDEX('ORDENES'!$AB$4:$AB$1203,U105)="","(sin técnico)",INDEX('ORDENES'!$AB$4:$AB$1203,U105))&amp;" · "&amp;INDEX('ORDENES'!$AN$4:$AN$1203,U105)&amp;" — "&amp;INDEX('ORDENES'!$D$4:$D$1203,U105)&amp;" ("&amp;TEXT(INDEX('ORDENES'!$M$4:$M$1203,U105),"0.#")&amp;" h)")</f>
        <v/>
      </c>
    </row>
    <row r="106">
      <c r="K106" s="3">
        <f>IF(AND(IF($B$3="(todos)",TRUE,'ORDENES'!$O102=$B$3),IF($D$3="(todos)",TRUE,'ORDENES'!$AC102=$D$3),IF($F$3="(todos)",TRUE,'ORDENES'!$V102=$F$3),'ORDENES'!$AA102=TRUE,'ORDENES'!$A102&lt;&gt;""),1,0)</f>
        <v/>
      </c>
      <c r="L106" s="3">
        <f>IF(K106=1,IFERROR(MATCH('ORDENES'!$R102,lista_dias,0),9)*1000000000+IFERROR(MATCH('ORDENES'!$AC102,lista_turnos,0),9)*10000000+IFERROR(MATCH('ORDENES'!$AB102,'TECNICOS'!$B$4:$B$15,0),99)*100000+99,9000000000000+99)</f>
        <v/>
      </c>
      <c r="M106" s="3">
        <f>IF(K106=1,SUMPRODUCT(--($L$8:$L$1207&lt;L106))+1,"")</f>
        <v/>
      </c>
      <c r="N106" s="17">
        <f>IF(K106=1,N('ORDENES'!$M102),0)</f>
        <v/>
      </c>
      <c r="O106" s="17">
        <f>IF('ORDENES'!$S102="preventiva",N106,0)</f>
        <v/>
      </c>
      <c r="P106" s="17">
        <f>IF('ORDENES'!$S102="correctiva",N106,0)</f>
        <v/>
      </c>
      <c r="Q106" s="3">
        <f>IF(AND(K106=1,'ORDENES'!$N102="Pendiente"),1,0)</f>
        <v/>
      </c>
      <c r="R106" s="3">
        <f>IF(Q106=1,100000-N106*1000+99*0.01,9000000000000+99)</f>
        <v/>
      </c>
      <c r="S106" s="3">
        <f>IF(Q106=1,SUMPRODUCT(--($R$8:$R$1207&lt;R106))+1,"")</f>
        <v/>
      </c>
      <c r="T106" s="11">
        <f>IF(K106=1,'ORDENES'!$J102,"")</f>
        <v/>
      </c>
      <c r="U106" s="3">
        <f>IFERROR(MATCH(99,$M$8:$M$1207,0),"")</f>
        <v/>
      </c>
      <c r="V106" s="3">
        <f>IF(U106="","",INDEX('ORDENES'!$R$4:$R$1203,U106))</f>
        <v/>
      </c>
      <c r="W106" s="3">
        <f>IF(U106="","",IF(V106&lt;&gt;V105,CHAR(10)&amp;UPPER(LEFT(V106,1))&amp;MID(V106,2,20)&amp;":"&amp;CHAR(10),"")&amp;"   "&amp;IF(INDEX('ORDENES'!$AC$4:$AC$1203,U106)="","(s/t)",INDEX('ORDENES'!$AC$4:$AC$1203,U106))&amp;" · "&amp;IF(INDEX('ORDENES'!$AB$4:$AB$1203,U106)="","(sin técnico)",INDEX('ORDENES'!$AB$4:$AB$1203,U106))&amp;" · "&amp;INDEX('ORDENES'!$AN$4:$AN$1203,U106)&amp;" — "&amp;INDEX('ORDENES'!$D$4:$D$1203,U106)&amp;" ("&amp;TEXT(INDEX('ORDENES'!$M$4:$M$1203,U106),"0.#")&amp;" h)")</f>
        <v/>
      </c>
    </row>
    <row r="107">
      <c r="K107" s="3">
        <f>IF(AND(IF($B$3="(todos)",TRUE,'ORDENES'!$O103=$B$3),IF($D$3="(todos)",TRUE,'ORDENES'!$AC103=$D$3),IF($F$3="(todos)",TRUE,'ORDENES'!$V103=$F$3),'ORDENES'!$AA103=TRUE,'ORDENES'!$A103&lt;&gt;""),1,0)</f>
        <v/>
      </c>
      <c r="L107" s="3">
        <f>IF(K107=1,IFERROR(MATCH('ORDENES'!$R103,lista_dias,0),9)*1000000000+IFERROR(MATCH('ORDENES'!$AC103,lista_turnos,0),9)*10000000+IFERROR(MATCH('ORDENES'!$AB103,'TECNICOS'!$B$4:$B$15,0),99)*100000+100,9000000000000+100)</f>
        <v/>
      </c>
      <c r="M107" s="3">
        <f>IF(K107=1,SUMPRODUCT(--($L$8:$L$1207&lt;L107))+1,"")</f>
        <v/>
      </c>
      <c r="N107" s="17">
        <f>IF(K107=1,N('ORDENES'!$M103),0)</f>
        <v/>
      </c>
      <c r="O107" s="17">
        <f>IF('ORDENES'!$S103="preventiva",N107,0)</f>
        <v/>
      </c>
      <c r="P107" s="17">
        <f>IF('ORDENES'!$S103="correctiva",N107,0)</f>
        <v/>
      </c>
      <c r="Q107" s="3">
        <f>IF(AND(K107=1,'ORDENES'!$N103="Pendiente"),1,0)</f>
        <v/>
      </c>
      <c r="R107" s="3">
        <f>IF(Q107=1,100000-N107*1000+100*0.01,9000000000000+100)</f>
        <v/>
      </c>
      <c r="S107" s="3">
        <f>IF(Q107=1,SUMPRODUCT(--($R$8:$R$1207&lt;R107))+1,"")</f>
        <v/>
      </c>
      <c r="T107" s="11">
        <f>IF(K107=1,'ORDENES'!$J103,"")</f>
        <v/>
      </c>
      <c r="U107" s="3">
        <f>IFERROR(MATCH(100,$M$8:$M$1207,0),"")</f>
        <v/>
      </c>
      <c r="V107" s="3">
        <f>IF(U107="","",INDEX('ORDENES'!$R$4:$R$1203,U107))</f>
        <v/>
      </c>
      <c r="W107" s="3">
        <f>IF(U107="","",IF(V107&lt;&gt;V106,CHAR(10)&amp;UPPER(LEFT(V107,1))&amp;MID(V107,2,20)&amp;":"&amp;CHAR(10),"")&amp;"   "&amp;IF(INDEX('ORDENES'!$AC$4:$AC$1203,U107)="","(s/t)",INDEX('ORDENES'!$AC$4:$AC$1203,U107))&amp;" · "&amp;IF(INDEX('ORDENES'!$AB$4:$AB$1203,U107)="","(sin técnico)",INDEX('ORDENES'!$AB$4:$AB$1203,U107))&amp;" · "&amp;INDEX('ORDENES'!$AN$4:$AN$1203,U107)&amp;" — "&amp;INDEX('ORDENES'!$D$4:$D$1203,U107)&amp;" ("&amp;TEXT(INDEX('ORDENES'!$M$4:$M$1203,U107),"0.#")&amp;" h)")</f>
        <v/>
      </c>
    </row>
    <row r="108">
      <c r="K108" s="3">
        <f>IF(AND(IF($B$3="(todos)",TRUE,'ORDENES'!$O104=$B$3),IF($D$3="(todos)",TRUE,'ORDENES'!$AC104=$D$3),IF($F$3="(todos)",TRUE,'ORDENES'!$V104=$F$3),'ORDENES'!$AA104=TRUE,'ORDENES'!$A104&lt;&gt;""),1,0)</f>
        <v/>
      </c>
      <c r="L108" s="3">
        <f>IF(K108=1,IFERROR(MATCH('ORDENES'!$R104,lista_dias,0),9)*1000000000+IFERROR(MATCH('ORDENES'!$AC104,lista_turnos,0),9)*10000000+IFERROR(MATCH('ORDENES'!$AB104,'TECNICOS'!$B$4:$B$15,0),99)*100000+101,9000000000000+101)</f>
        <v/>
      </c>
      <c r="M108" s="3">
        <f>IF(K108=1,SUMPRODUCT(--($L$8:$L$1207&lt;L108))+1,"")</f>
        <v/>
      </c>
      <c r="N108" s="17">
        <f>IF(K108=1,N('ORDENES'!$M104),0)</f>
        <v/>
      </c>
      <c r="O108" s="17">
        <f>IF('ORDENES'!$S104="preventiva",N108,0)</f>
        <v/>
      </c>
      <c r="P108" s="17">
        <f>IF('ORDENES'!$S104="correctiva",N108,0)</f>
        <v/>
      </c>
      <c r="Q108" s="3">
        <f>IF(AND(K108=1,'ORDENES'!$N104="Pendiente"),1,0)</f>
        <v/>
      </c>
      <c r="R108" s="3">
        <f>IF(Q108=1,100000-N108*1000+101*0.01,9000000000000+101)</f>
        <v/>
      </c>
      <c r="S108" s="3">
        <f>IF(Q108=1,SUMPRODUCT(--($R$8:$R$1207&lt;R108))+1,"")</f>
        <v/>
      </c>
      <c r="T108" s="11">
        <f>IF(K108=1,'ORDENES'!$J104,"")</f>
        <v/>
      </c>
      <c r="U108" s="3">
        <f>IFERROR(MATCH(101,$M$8:$M$1207,0),"")</f>
        <v/>
      </c>
      <c r="V108" s="3">
        <f>IF(U108="","",INDEX('ORDENES'!$R$4:$R$1203,U108))</f>
        <v/>
      </c>
      <c r="W108" s="3">
        <f>IF(U108="","",IF(V108&lt;&gt;V107,CHAR(10)&amp;UPPER(LEFT(V108,1))&amp;MID(V108,2,20)&amp;":"&amp;CHAR(10),"")&amp;"   "&amp;IF(INDEX('ORDENES'!$AC$4:$AC$1203,U108)="","(s/t)",INDEX('ORDENES'!$AC$4:$AC$1203,U108))&amp;" · "&amp;IF(INDEX('ORDENES'!$AB$4:$AB$1203,U108)="","(sin técnico)",INDEX('ORDENES'!$AB$4:$AB$1203,U108))&amp;" · "&amp;INDEX('ORDENES'!$AN$4:$AN$1203,U108)&amp;" — "&amp;INDEX('ORDENES'!$D$4:$D$1203,U108)&amp;" ("&amp;TEXT(INDEX('ORDENES'!$M$4:$M$1203,U108),"0.#")&amp;" h)")</f>
        <v/>
      </c>
    </row>
    <row r="109">
      <c r="K109" s="3">
        <f>IF(AND(IF($B$3="(todos)",TRUE,'ORDENES'!$O105=$B$3),IF($D$3="(todos)",TRUE,'ORDENES'!$AC105=$D$3),IF($F$3="(todos)",TRUE,'ORDENES'!$V105=$F$3),'ORDENES'!$AA105=TRUE,'ORDENES'!$A105&lt;&gt;""),1,0)</f>
        <v/>
      </c>
      <c r="L109" s="3">
        <f>IF(K109=1,IFERROR(MATCH('ORDENES'!$R105,lista_dias,0),9)*1000000000+IFERROR(MATCH('ORDENES'!$AC105,lista_turnos,0),9)*10000000+IFERROR(MATCH('ORDENES'!$AB105,'TECNICOS'!$B$4:$B$15,0),99)*100000+102,9000000000000+102)</f>
        <v/>
      </c>
      <c r="M109" s="3">
        <f>IF(K109=1,SUMPRODUCT(--($L$8:$L$1207&lt;L109))+1,"")</f>
        <v/>
      </c>
      <c r="N109" s="17">
        <f>IF(K109=1,N('ORDENES'!$M105),0)</f>
        <v/>
      </c>
      <c r="O109" s="17">
        <f>IF('ORDENES'!$S105="preventiva",N109,0)</f>
        <v/>
      </c>
      <c r="P109" s="17">
        <f>IF('ORDENES'!$S105="correctiva",N109,0)</f>
        <v/>
      </c>
      <c r="Q109" s="3">
        <f>IF(AND(K109=1,'ORDENES'!$N105="Pendiente"),1,0)</f>
        <v/>
      </c>
      <c r="R109" s="3">
        <f>IF(Q109=1,100000-N109*1000+102*0.01,9000000000000+102)</f>
        <v/>
      </c>
      <c r="S109" s="3">
        <f>IF(Q109=1,SUMPRODUCT(--($R$8:$R$1207&lt;R109))+1,"")</f>
        <v/>
      </c>
      <c r="T109" s="11">
        <f>IF(K109=1,'ORDENES'!$J105,"")</f>
        <v/>
      </c>
      <c r="U109" s="3">
        <f>IFERROR(MATCH(102,$M$8:$M$1207,0),"")</f>
        <v/>
      </c>
      <c r="V109" s="3">
        <f>IF(U109="","",INDEX('ORDENES'!$R$4:$R$1203,U109))</f>
        <v/>
      </c>
      <c r="W109" s="3">
        <f>IF(U109="","",IF(V109&lt;&gt;V108,CHAR(10)&amp;UPPER(LEFT(V109,1))&amp;MID(V109,2,20)&amp;":"&amp;CHAR(10),"")&amp;"   "&amp;IF(INDEX('ORDENES'!$AC$4:$AC$1203,U109)="","(s/t)",INDEX('ORDENES'!$AC$4:$AC$1203,U109))&amp;" · "&amp;IF(INDEX('ORDENES'!$AB$4:$AB$1203,U109)="","(sin técnico)",INDEX('ORDENES'!$AB$4:$AB$1203,U109))&amp;" · "&amp;INDEX('ORDENES'!$AN$4:$AN$1203,U109)&amp;" — "&amp;INDEX('ORDENES'!$D$4:$D$1203,U109)&amp;" ("&amp;TEXT(INDEX('ORDENES'!$M$4:$M$1203,U109),"0.#")&amp;" h)")</f>
        <v/>
      </c>
    </row>
    <row r="110">
      <c r="K110" s="3">
        <f>IF(AND(IF($B$3="(todos)",TRUE,'ORDENES'!$O106=$B$3),IF($D$3="(todos)",TRUE,'ORDENES'!$AC106=$D$3),IF($F$3="(todos)",TRUE,'ORDENES'!$V106=$F$3),'ORDENES'!$AA106=TRUE,'ORDENES'!$A106&lt;&gt;""),1,0)</f>
        <v/>
      </c>
      <c r="L110" s="3">
        <f>IF(K110=1,IFERROR(MATCH('ORDENES'!$R106,lista_dias,0),9)*1000000000+IFERROR(MATCH('ORDENES'!$AC106,lista_turnos,0),9)*10000000+IFERROR(MATCH('ORDENES'!$AB106,'TECNICOS'!$B$4:$B$15,0),99)*100000+103,9000000000000+103)</f>
        <v/>
      </c>
      <c r="M110" s="3">
        <f>IF(K110=1,SUMPRODUCT(--($L$8:$L$1207&lt;L110))+1,"")</f>
        <v/>
      </c>
      <c r="N110" s="17">
        <f>IF(K110=1,N('ORDENES'!$M106),0)</f>
        <v/>
      </c>
      <c r="O110" s="17">
        <f>IF('ORDENES'!$S106="preventiva",N110,0)</f>
        <v/>
      </c>
      <c r="P110" s="17">
        <f>IF('ORDENES'!$S106="correctiva",N110,0)</f>
        <v/>
      </c>
      <c r="Q110" s="3">
        <f>IF(AND(K110=1,'ORDENES'!$N106="Pendiente"),1,0)</f>
        <v/>
      </c>
      <c r="R110" s="3">
        <f>IF(Q110=1,100000-N110*1000+103*0.01,9000000000000+103)</f>
        <v/>
      </c>
      <c r="S110" s="3">
        <f>IF(Q110=1,SUMPRODUCT(--($R$8:$R$1207&lt;R110))+1,"")</f>
        <v/>
      </c>
      <c r="T110" s="11">
        <f>IF(K110=1,'ORDENES'!$J106,"")</f>
        <v/>
      </c>
      <c r="U110" s="3">
        <f>IFERROR(MATCH(103,$M$8:$M$1207,0),"")</f>
        <v/>
      </c>
      <c r="V110" s="3">
        <f>IF(U110="","",INDEX('ORDENES'!$R$4:$R$1203,U110))</f>
        <v/>
      </c>
      <c r="W110" s="3">
        <f>IF(U110="","",IF(V110&lt;&gt;V109,CHAR(10)&amp;UPPER(LEFT(V110,1))&amp;MID(V110,2,20)&amp;":"&amp;CHAR(10),"")&amp;"   "&amp;IF(INDEX('ORDENES'!$AC$4:$AC$1203,U110)="","(s/t)",INDEX('ORDENES'!$AC$4:$AC$1203,U110))&amp;" · "&amp;IF(INDEX('ORDENES'!$AB$4:$AB$1203,U110)="","(sin técnico)",INDEX('ORDENES'!$AB$4:$AB$1203,U110))&amp;" · "&amp;INDEX('ORDENES'!$AN$4:$AN$1203,U110)&amp;" — "&amp;INDEX('ORDENES'!$D$4:$D$1203,U110)&amp;" ("&amp;TEXT(INDEX('ORDENES'!$M$4:$M$1203,U110),"0.#")&amp;" h)")</f>
        <v/>
      </c>
    </row>
    <row r="111">
      <c r="K111" s="3">
        <f>IF(AND(IF($B$3="(todos)",TRUE,'ORDENES'!$O107=$B$3),IF($D$3="(todos)",TRUE,'ORDENES'!$AC107=$D$3),IF($F$3="(todos)",TRUE,'ORDENES'!$V107=$F$3),'ORDENES'!$AA107=TRUE,'ORDENES'!$A107&lt;&gt;""),1,0)</f>
        <v/>
      </c>
      <c r="L111" s="3">
        <f>IF(K111=1,IFERROR(MATCH('ORDENES'!$R107,lista_dias,0),9)*1000000000+IFERROR(MATCH('ORDENES'!$AC107,lista_turnos,0),9)*10000000+IFERROR(MATCH('ORDENES'!$AB107,'TECNICOS'!$B$4:$B$15,0),99)*100000+104,9000000000000+104)</f>
        <v/>
      </c>
      <c r="M111" s="3">
        <f>IF(K111=1,SUMPRODUCT(--($L$8:$L$1207&lt;L111))+1,"")</f>
        <v/>
      </c>
      <c r="N111" s="17">
        <f>IF(K111=1,N('ORDENES'!$M107),0)</f>
        <v/>
      </c>
      <c r="O111" s="17">
        <f>IF('ORDENES'!$S107="preventiva",N111,0)</f>
        <v/>
      </c>
      <c r="P111" s="17">
        <f>IF('ORDENES'!$S107="correctiva",N111,0)</f>
        <v/>
      </c>
      <c r="Q111" s="3">
        <f>IF(AND(K111=1,'ORDENES'!$N107="Pendiente"),1,0)</f>
        <v/>
      </c>
      <c r="R111" s="3">
        <f>IF(Q111=1,100000-N111*1000+104*0.01,9000000000000+104)</f>
        <v/>
      </c>
      <c r="S111" s="3">
        <f>IF(Q111=1,SUMPRODUCT(--($R$8:$R$1207&lt;R111))+1,"")</f>
        <v/>
      </c>
      <c r="T111" s="11">
        <f>IF(K111=1,'ORDENES'!$J107,"")</f>
        <v/>
      </c>
      <c r="U111" s="3">
        <f>IFERROR(MATCH(104,$M$8:$M$1207,0),"")</f>
        <v/>
      </c>
      <c r="V111" s="3">
        <f>IF(U111="","",INDEX('ORDENES'!$R$4:$R$1203,U111))</f>
        <v/>
      </c>
      <c r="W111" s="3">
        <f>IF(U111="","",IF(V111&lt;&gt;V110,CHAR(10)&amp;UPPER(LEFT(V111,1))&amp;MID(V111,2,20)&amp;":"&amp;CHAR(10),"")&amp;"   "&amp;IF(INDEX('ORDENES'!$AC$4:$AC$1203,U111)="","(s/t)",INDEX('ORDENES'!$AC$4:$AC$1203,U111))&amp;" · "&amp;IF(INDEX('ORDENES'!$AB$4:$AB$1203,U111)="","(sin técnico)",INDEX('ORDENES'!$AB$4:$AB$1203,U111))&amp;" · "&amp;INDEX('ORDENES'!$AN$4:$AN$1203,U111)&amp;" — "&amp;INDEX('ORDENES'!$D$4:$D$1203,U111)&amp;" ("&amp;TEXT(INDEX('ORDENES'!$M$4:$M$1203,U111),"0.#")&amp;" h)")</f>
        <v/>
      </c>
    </row>
    <row r="112">
      <c r="K112" s="3">
        <f>IF(AND(IF($B$3="(todos)",TRUE,'ORDENES'!$O108=$B$3),IF($D$3="(todos)",TRUE,'ORDENES'!$AC108=$D$3),IF($F$3="(todos)",TRUE,'ORDENES'!$V108=$F$3),'ORDENES'!$AA108=TRUE,'ORDENES'!$A108&lt;&gt;""),1,0)</f>
        <v/>
      </c>
      <c r="L112" s="3">
        <f>IF(K112=1,IFERROR(MATCH('ORDENES'!$R108,lista_dias,0),9)*1000000000+IFERROR(MATCH('ORDENES'!$AC108,lista_turnos,0),9)*10000000+IFERROR(MATCH('ORDENES'!$AB108,'TECNICOS'!$B$4:$B$15,0),99)*100000+105,9000000000000+105)</f>
        <v/>
      </c>
      <c r="M112" s="3">
        <f>IF(K112=1,SUMPRODUCT(--($L$8:$L$1207&lt;L112))+1,"")</f>
        <v/>
      </c>
      <c r="N112" s="17">
        <f>IF(K112=1,N('ORDENES'!$M108),0)</f>
        <v/>
      </c>
      <c r="O112" s="17">
        <f>IF('ORDENES'!$S108="preventiva",N112,0)</f>
        <v/>
      </c>
      <c r="P112" s="17">
        <f>IF('ORDENES'!$S108="correctiva",N112,0)</f>
        <v/>
      </c>
      <c r="Q112" s="3">
        <f>IF(AND(K112=1,'ORDENES'!$N108="Pendiente"),1,0)</f>
        <v/>
      </c>
      <c r="R112" s="3">
        <f>IF(Q112=1,100000-N112*1000+105*0.01,9000000000000+105)</f>
        <v/>
      </c>
      <c r="S112" s="3">
        <f>IF(Q112=1,SUMPRODUCT(--($R$8:$R$1207&lt;R112))+1,"")</f>
        <v/>
      </c>
      <c r="T112" s="11">
        <f>IF(K112=1,'ORDENES'!$J108,"")</f>
        <v/>
      </c>
      <c r="U112" s="3">
        <f>IFERROR(MATCH(105,$M$8:$M$1207,0),"")</f>
        <v/>
      </c>
      <c r="V112" s="3">
        <f>IF(U112="","",INDEX('ORDENES'!$R$4:$R$1203,U112))</f>
        <v/>
      </c>
      <c r="W112" s="3">
        <f>IF(U112="","",IF(V112&lt;&gt;V111,CHAR(10)&amp;UPPER(LEFT(V112,1))&amp;MID(V112,2,20)&amp;":"&amp;CHAR(10),"")&amp;"   "&amp;IF(INDEX('ORDENES'!$AC$4:$AC$1203,U112)="","(s/t)",INDEX('ORDENES'!$AC$4:$AC$1203,U112))&amp;" · "&amp;IF(INDEX('ORDENES'!$AB$4:$AB$1203,U112)="","(sin técnico)",INDEX('ORDENES'!$AB$4:$AB$1203,U112))&amp;" · "&amp;INDEX('ORDENES'!$AN$4:$AN$1203,U112)&amp;" — "&amp;INDEX('ORDENES'!$D$4:$D$1203,U112)&amp;" ("&amp;TEXT(INDEX('ORDENES'!$M$4:$M$1203,U112),"0.#")&amp;" h)")</f>
        <v/>
      </c>
    </row>
    <row r="113">
      <c r="K113" s="3">
        <f>IF(AND(IF($B$3="(todos)",TRUE,'ORDENES'!$O109=$B$3),IF($D$3="(todos)",TRUE,'ORDENES'!$AC109=$D$3),IF($F$3="(todos)",TRUE,'ORDENES'!$V109=$F$3),'ORDENES'!$AA109=TRUE,'ORDENES'!$A109&lt;&gt;""),1,0)</f>
        <v/>
      </c>
      <c r="L113" s="3">
        <f>IF(K113=1,IFERROR(MATCH('ORDENES'!$R109,lista_dias,0),9)*1000000000+IFERROR(MATCH('ORDENES'!$AC109,lista_turnos,0),9)*10000000+IFERROR(MATCH('ORDENES'!$AB109,'TECNICOS'!$B$4:$B$15,0),99)*100000+106,9000000000000+106)</f>
        <v/>
      </c>
      <c r="M113" s="3">
        <f>IF(K113=1,SUMPRODUCT(--($L$8:$L$1207&lt;L113))+1,"")</f>
        <v/>
      </c>
      <c r="N113" s="17">
        <f>IF(K113=1,N('ORDENES'!$M109),0)</f>
        <v/>
      </c>
      <c r="O113" s="17">
        <f>IF('ORDENES'!$S109="preventiva",N113,0)</f>
        <v/>
      </c>
      <c r="P113" s="17">
        <f>IF('ORDENES'!$S109="correctiva",N113,0)</f>
        <v/>
      </c>
      <c r="Q113" s="3">
        <f>IF(AND(K113=1,'ORDENES'!$N109="Pendiente"),1,0)</f>
        <v/>
      </c>
      <c r="R113" s="3">
        <f>IF(Q113=1,100000-N113*1000+106*0.01,9000000000000+106)</f>
        <v/>
      </c>
      <c r="S113" s="3">
        <f>IF(Q113=1,SUMPRODUCT(--($R$8:$R$1207&lt;R113))+1,"")</f>
        <v/>
      </c>
      <c r="T113" s="11">
        <f>IF(K113=1,'ORDENES'!$J109,"")</f>
        <v/>
      </c>
      <c r="U113" s="3">
        <f>IFERROR(MATCH(106,$M$8:$M$1207,0),"")</f>
        <v/>
      </c>
      <c r="V113" s="3">
        <f>IF(U113="","",INDEX('ORDENES'!$R$4:$R$1203,U113))</f>
        <v/>
      </c>
      <c r="W113" s="3">
        <f>IF(U113="","",IF(V113&lt;&gt;V112,CHAR(10)&amp;UPPER(LEFT(V113,1))&amp;MID(V113,2,20)&amp;":"&amp;CHAR(10),"")&amp;"   "&amp;IF(INDEX('ORDENES'!$AC$4:$AC$1203,U113)="","(s/t)",INDEX('ORDENES'!$AC$4:$AC$1203,U113))&amp;" · "&amp;IF(INDEX('ORDENES'!$AB$4:$AB$1203,U113)="","(sin técnico)",INDEX('ORDENES'!$AB$4:$AB$1203,U113))&amp;" · "&amp;INDEX('ORDENES'!$AN$4:$AN$1203,U113)&amp;" — "&amp;INDEX('ORDENES'!$D$4:$D$1203,U113)&amp;" ("&amp;TEXT(INDEX('ORDENES'!$M$4:$M$1203,U113),"0.#")&amp;" h)")</f>
        <v/>
      </c>
    </row>
    <row r="114">
      <c r="K114" s="3">
        <f>IF(AND(IF($B$3="(todos)",TRUE,'ORDENES'!$O110=$B$3),IF($D$3="(todos)",TRUE,'ORDENES'!$AC110=$D$3),IF($F$3="(todos)",TRUE,'ORDENES'!$V110=$F$3),'ORDENES'!$AA110=TRUE,'ORDENES'!$A110&lt;&gt;""),1,0)</f>
        <v/>
      </c>
      <c r="L114" s="3">
        <f>IF(K114=1,IFERROR(MATCH('ORDENES'!$R110,lista_dias,0),9)*1000000000+IFERROR(MATCH('ORDENES'!$AC110,lista_turnos,0),9)*10000000+IFERROR(MATCH('ORDENES'!$AB110,'TECNICOS'!$B$4:$B$15,0),99)*100000+107,9000000000000+107)</f>
        <v/>
      </c>
      <c r="M114" s="3">
        <f>IF(K114=1,SUMPRODUCT(--($L$8:$L$1207&lt;L114))+1,"")</f>
        <v/>
      </c>
      <c r="N114" s="17">
        <f>IF(K114=1,N('ORDENES'!$M110),0)</f>
        <v/>
      </c>
      <c r="O114" s="17">
        <f>IF('ORDENES'!$S110="preventiva",N114,0)</f>
        <v/>
      </c>
      <c r="P114" s="17">
        <f>IF('ORDENES'!$S110="correctiva",N114,0)</f>
        <v/>
      </c>
      <c r="Q114" s="3">
        <f>IF(AND(K114=1,'ORDENES'!$N110="Pendiente"),1,0)</f>
        <v/>
      </c>
      <c r="R114" s="3">
        <f>IF(Q114=1,100000-N114*1000+107*0.01,9000000000000+107)</f>
        <v/>
      </c>
      <c r="S114" s="3">
        <f>IF(Q114=1,SUMPRODUCT(--($R$8:$R$1207&lt;R114))+1,"")</f>
        <v/>
      </c>
      <c r="T114" s="11">
        <f>IF(K114=1,'ORDENES'!$J110,"")</f>
        <v/>
      </c>
      <c r="U114" s="3">
        <f>IFERROR(MATCH(107,$M$8:$M$1207,0),"")</f>
        <v/>
      </c>
      <c r="V114" s="3">
        <f>IF(U114="","",INDEX('ORDENES'!$R$4:$R$1203,U114))</f>
        <v/>
      </c>
      <c r="W114" s="3">
        <f>IF(U114="","",IF(V114&lt;&gt;V113,CHAR(10)&amp;UPPER(LEFT(V114,1))&amp;MID(V114,2,20)&amp;":"&amp;CHAR(10),"")&amp;"   "&amp;IF(INDEX('ORDENES'!$AC$4:$AC$1203,U114)="","(s/t)",INDEX('ORDENES'!$AC$4:$AC$1203,U114))&amp;" · "&amp;IF(INDEX('ORDENES'!$AB$4:$AB$1203,U114)="","(sin técnico)",INDEX('ORDENES'!$AB$4:$AB$1203,U114))&amp;" · "&amp;INDEX('ORDENES'!$AN$4:$AN$1203,U114)&amp;" — "&amp;INDEX('ORDENES'!$D$4:$D$1203,U114)&amp;" ("&amp;TEXT(INDEX('ORDENES'!$M$4:$M$1203,U114),"0.#")&amp;" h)")</f>
        <v/>
      </c>
    </row>
    <row r="115">
      <c r="K115" s="3">
        <f>IF(AND(IF($B$3="(todos)",TRUE,'ORDENES'!$O111=$B$3),IF($D$3="(todos)",TRUE,'ORDENES'!$AC111=$D$3),IF($F$3="(todos)",TRUE,'ORDENES'!$V111=$F$3),'ORDENES'!$AA111=TRUE,'ORDENES'!$A111&lt;&gt;""),1,0)</f>
        <v/>
      </c>
      <c r="L115" s="3">
        <f>IF(K115=1,IFERROR(MATCH('ORDENES'!$R111,lista_dias,0),9)*1000000000+IFERROR(MATCH('ORDENES'!$AC111,lista_turnos,0),9)*10000000+IFERROR(MATCH('ORDENES'!$AB111,'TECNICOS'!$B$4:$B$15,0),99)*100000+108,9000000000000+108)</f>
        <v/>
      </c>
      <c r="M115" s="3">
        <f>IF(K115=1,SUMPRODUCT(--($L$8:$L$1207&lt;L115))+1,"")</f>
        <v/>
      </c>
      <c r="N115" s="17">
        <f>IF(K115=1,N('ORDENES'!$M111),0)</f>
        <v/>
      </c>
      <c r="O115" s="17">
        <f>IF('ORDENES'!$S111="preventiva",N115,0)</f>
        <v/>
      </c>
      <c r="P115" s="17">
        <f>IF('ORDENES'!$S111="correctiva",N115,0)</f>
        <v/>
      </c>
      <c r="Q115" s="3">
        <f>IF(AND(K115=1,'ORDENES'!$N111="Pendiente"),1,0)</f>
        <v/>
      </c>
      <c r="R115" s="3">
        <f>IF(Q115=1,100000-N115*1000+108*0.01,9000000000000+108)</f>
        <v/>
      </c>
      <c r="S115" s="3">
        <f>IF(Q115=1,SUMPRODUCT(--($R$8:$R$1207&lt;R115))+1,"")</f>
        <v/>
      </c>
      <c r="T115" s="11">
        <f>IF(K115=1,'ORDENES'!$J111,"")</f>
        <v/>
      </c>
      <c r="U115" s="3">
        <f>IFERROR(MATCH(108,$M$8:$M$1207,0),"")</f>
        <v/>
      </c>
      <c r="V115" s="3">
        <f>IF(U115="","",INDEX('ORDENES'!$R$4:$R$1203,U115))</f>
        <v/>
      </c>
      <c r="W115" s="3">
        <f>IF(U115="","",IF(V115&lt;&gt;V114,CHAR(10)&amp;UPPER(LEFT(V115,1))&amp;MID(V115,2,20)&amp;":"&amp;CHAR(10),"")&amp;"   "&amp;IF(INDEX('ORDENES'!$AC$4:$AC$1203,U115)="","(s/t)",INDEX('ORDENES'!$AC$4:$AC$1203,U115))&amp;" · "&amp;IF(INDEX('ORDENES'!$AB$4:$AB$1203,U115)="","(sin técnico)",INDEX('ORDENES'!$AB$4:$AB$1203,U115))&amp;" · "&amp;INDEX('ORDENES'!$AN$4:$AN$1203,U115)&amp;" — "&amp;INDEX('ORDENES'!$D$4:$D$1203,U115)&amp;" ("&amp;TEXT(INDEX('ORDENES'!$M$4:$M$1203,U115),"0.#")&amp;" h)")</f>
        <v/>
      </c>
    </row>
    <row r="116">
      <c r="K116" s="3">
        <f>IF(AND(IF($B$3="(todos)",TRUE,'ORDENES'!$O112=$B$3),IF($D$3="(todos)",TRUE,'ORDENES'!$AC112=$D$3),IF($F$3="(todos)",TRUE,'ORDENES'!$V112=$F$3),'ORDENES'!$AA112=TRUE,'ORDENES'!$A112&lt;&gt;""),1,0)</f>
        <v/>
      </c>
      <c r="L116" s="3">
        <f>IF(K116=1,IFERROR(MATCH('ORDENES'!$R112,lista_dias,0),9)*1000000000+IFERROR(MATCH('ORDENES'!$AC112,lista_turnos,0),9)*10000000+IFERROR(MATCH('ORDENES'!$AB112,'TECNICOS'!$B$4:$B$15,0),99)*100000+109,9000000000000+109)</f>
        <v/>
      </c>
      <c r="M116" s="3">
        <f>IF(K116=1,SUMPRODUCT(--($L$8:$L$1207&lt;L116))+1,"")</f>
        <v/>
      </c>
      <c r="N116" s="17">
        <f>IF(K116=1,N('ORDENES'!$M112),0)</f>
        <v/>
      </c>
      <c r="O116" s="17">
        <f>IF('ORDENES'!$S112="preventiva",N116,0)</f>
        <v/>
      </c>
      <c r="P116" s="17">
        <f>IF('ORDENES'!$S112="correctiva",N116,0)</f>
        <v/>
      </c>
      <c r="Q116" s="3">
        <f>IF(AND(K116=1,'ORDENES'!$N112="Pendiente"),1,0)</f>
        <v/>
      </c>
      <c r="R116" s="3">
        <f>IF(Q116=1,100000-N116*1000+109*0.01,9000000000000+109)</f>
        <v/>
      </c>
      <c r="S116" s="3">
        <f>IF(Q116=1,SUMPRODUCT(--($R$8:$R$1207&lt;R116))+1,"")</f>
        <v/>
      </c>
      <c r="T116" s="11">
        <f>IF(K116=1,'ORDENES'!$J112,"")</f>
        <v/>
      </c>
      <c r="U116" s="3">
        <f>IFERROR(MATCH(109,$M$8:$M$1207,0),"")</f>
        <v/>
      </c>
      <c r="V116" s="3">
        <f>IF(U116="","",INDEX('ORDENES'!$R$4:$R$1203,U116))</f>
        <v/>
      </c>
      <c r="W116" s="3">
        <f>IF(U116="","",IF(V116&lt;&gt;V115,CHAR(10)&amp;UPPER(LEFT(V116,1))&amp;MID(V116,2,20)&amp;":"&amp;CHAR(10),"")&amp;"   "&amp;IF(INDEX('ORDENES'!$AC$4:$AC$1203,U116)="","(s/t)",INDEX('ORDENES'!$AC$4:$AC$1203,U116))&amp;" · "&amp;IF(INDEX('ORDENES'!$AB$4:$AB$1203,U116)="","(sin técnico)",INDEX('ORDENES'!$AB$4:$AB$1203,U116))&amp;" · "&amp;INDEX('ORDENES'!$AN$4:$AN$1203,U116)&amp;" — "&amp;INDEX('ORDENES'!$D$4:$D$1203,U116)&amp;" ("&amp;TEXT(INDEX('ORDENES'!$M$4:$M$1203,U116),"0.#")&amp;" h)")</f>
        <v/>
      </c>
    </row>
    <row r="117">
      <c r="K117" s="3">
        <f>IF(AND(IF($B$3="(todos)",TRUE,'ORDENES'!$O113=$B$3),IF($D$3="(todos)",TRUE,'ORDENES'!$AC113=$D$3),IF($F$3="(todos)",TRUE,'ORDENES'!$V113=$F$3),'ORDENES'!$AA113=TRUE,'ORDENES'!$A113&lt;&gt;""),1,0)</f>
        <v/>
      </c>
      <c r="L117" s="3">
        <f>IF(K117=1,IFERROR(MATCH('ORDENES'!$R113,lista_dias,0),9)*1000000000+IFERROR(MATCH('ORDENES'!$AC113,lista_turnos,0),9)*10000000+IFERROR(MATCH('ORDENES'!$AB113,'TECNICOS'!$B$4:$B$15,0),99)*100000+110,9000000000000+110)</f>
        <v/>
      </c>
      <c r="M117" s="3">
        <f>IF(K117=1,SUMPRODUCT(--($L$8:$L$1207&lt;L117))+1,"")</f>
        <v/>
      </c>
      <c r="N117" s="17">
        <f>IF(K117=1,N('ORDENES'!$M113),0)</f>
        <v/>
      </c>
      <c r="O117" s="17">
        <f>IF('ORDENES'!$S113="preventiva",N117,0)</f>
        <v/>
      </c>
      <c r="P117" s="17">
        <f>IF('ORDENES'!$S113="correctiva",N117,0)</f>
        <v/>
      </c>
      <c r="Q117" s="3">
        <f>IF(AND(K117=1,'ORDENES'!$N113="Pendiente"),1,0)</f>
        <v/>
      </c>
      <c r="R117" s="3">
        <f>IF(Q117=1,100000-N117*1000+110*0.01,9000000000000+110)</f>
        <v/>
      </c>
      <c r="S117" s="3">
        <f>IF(Q117=1,SUMPRODUCT(--($R$8:$R$1207&lt;R117))+1,"")</f>
        <v/>
      </c>
      <c r="T117" s="11">
        <f>IF(K117=1,'ORDENES'!$J113,"")</f>
        <v/>
      </c>
      <c r="U117" s="3">
        <f>IFERROR(MATCH(110,$M$8:$M$1207,0),"")</f>
        <v/>
      </c>
      <c r="V117" s="3">
        <f>IF(U117="","",INDEX('ORDENES'!$R$4:$R$1203,U117))</f>
        <v/>
      </c>
      <c r="W117" s="3">
        <f>IF(U117="","",IF(V117&lt;&gt;V116,CHAR(10)&amp;UPPER(LEFT(V117,1))&amp;MID(V117,2,20)&amp;":"&amp;CHAR(10),"")&amp;"   "&amp;IF(INDEX('ORDENES'!$AC$4:$AC$1203,U117)="","(s/t)",INDEX('ORDENES'!$AC$4:$AC$1203,U117))&amp;" · "&amp;IF(INDEX('ORDENES'!$AB$4:$AB$1203,U117)="","(sin técnico)",INDEX('ORDENES'!$AB$4:$AB$1203,U117))&amp;" · "&amp;INDEX('ORDENES'!$AN$4:$AN$1203,U117)&amp;" — "&amp;INDEX('ORDENES'!$D$4:$D$1203,U117)&amp;" ("&amp;TEXT(INDEX('ORDENES'!$M$4:$M$1203,U117),"0.#")&amp;" h)")</f>
        <v/>
      </c>
    </row>
    <row r="118">
      <c r="K118" s="3">
        <f>IF(AND(IF($B$3="(todos)",TRUE,'ORDENES'!$O114=$B$3),IF($D$3="(todos)",TRUE,'ORDENES'!$AC114=$D$3),IF($F$3="(todos)",TRUE,'ORDENES'!$V114=$F$3),'ORDENES'!$AA114=TRUE,'ORDENES'!$A114&lt;&gt;""),1,0)</f>
        <v/>
      </c>
      <c r="L118" s="3">
        <f>IF(K118=1,IFERROR(MATCH('ORDENES'!$R114,lista_dias,0),9)*1000000000+IFERROR(MATCH('ORDENES'!$AC114,lista_turnos,0),9)*10000000+IFERROR(MATCH('ORDENES'!$AB114,'TECNICOS'!$B$4:$B$15,0),99)*100000+111,9000000000000+111)</f>
        <v/>
      </c>
      <c r="M118" s="3">
        <f>IF(K118=1,SUMPRODUCT(--($L$8:$L$1207&lt;L118))+1,"")</f>
        <v/>
      </c>
      <c r="N118" s="17">
        <f>IF(K118=1,N('ORDENES'!$M114),0)</f>
        <v/>
      </c>
      <c r="O118" s="17">
        <f>IF('ORDENES'!$S114="preventiva",N118,0)</f>
        <v/>
      </c>
      <c r="P118" s="17">
        <f>IF('ORDENES'!$S114="correctiva",N118,0)</f>
        <v/>
      </c>
      <c r="Q118" s="3">
        <f>IF(AND(K118=1,'ORDENES'!$N114="Pendiente"),1,0)</f>
        <v/>
      </c>
      <c r="R118" s="3">
        <f>IF(Q118=1,100000-N118*1000+111*0.01,9000000000000+111)</f>
        <v/>
      </c>
      <c r="S118" s="3">
        <f>IF(Q118=1,SUMPRODUCT(--($R$8:$R$1207&lt;R118))+1,"")</f>
        <v/>
      </c>
      <c r="T118" s="11">
        <f>IF(K118=1,'ORDENES'!$J114,"")</f>
        <v/>
      </c>
      <c r="U118" s="3">
        <f>IFERROR(MATCH(111,$M$8:$M$1207,0),"")</f>
        <v/>
      </c>
      <c r="V118" s="3">
        <f>IF(U118="","",INDEX('ORDENES'!$R$4:$R$1203,U118))</f>
        <v/>
      </c>
      <c r="W118" s="3">
        <f>IF(U118="","",IF(V118&lt;&gt;V117,CHAR(10)&amp;UPPER(LEFT(V118,1))&amp;MID(V118,2,20)&amp;":"&amp;CHAR(10),"")&amp;"   "&amp;IF(INDEX('ORDENES'!$AC$4:$AC$1203,U118)="","(s/t)",INDEX('ORDENES'!$AC$4:$AC$1203,U118))&amp;" · "&amp;IF(INDEX('ORDENES'!$AB$4:$AB$1203,U118)="","(sin técnico)",INDEX('ORDENES'!$AB$4:$AB$1203,U118))&amp;" · "&amp;INDEX('ORDENES'!$AN$4:$AN$1203,U118)&amp;" — "&amp;INDEX('ORDENES'!$D$4:$D$1203,U118)&amp;" ("&amp;TEXT(INDEX('ORDENES'!$M$4:$M$1203,U118),"0.#")&amp;" h)")</f>
        <v/>
      </c>
    </row>
    <row r="119">
      <c r="K119" s="3">
        <f>IF(AND(IF($B$3="(todos)",TRUE,'ORDENES'!$O115=$B$3),IF($D$3="(todos)",TRUE,'ORDENES'!$AC115=$D$3),IF($F$3="(todos)",TRUE,'ORDENES'!$V115=$F$3),'ORDENES'!$AA115=TRUE,'ORDENES'!$A115&lt;&gt;""),1,0)</f>
        <v/>
      </c>
      <c r="L119" s="3">
        <f>IF(K119=1,IFERROR(MATCH('ORDENES'!$R115,lista_dias,0),9)*1000000000+IFERROR(MATCH('ORDENES'!$AC115,lista_turnos,0),9)*10000000+IFERROR(MATCH('ORDENES'!$AB115,'TECNICOS'!$B$4:$B$15,0),99)*100000+112,9000000000000+112)</f>
        <v/>
      </c>
      <c r="M119" s="3">
        <f>IF(K119=1,SUMPRODUCT(--($L$8:$L$1207&lt;L119))+1,"")</f>
        <v/>
      </c>
      <c r="N119" s="17">
        <f>IF(K119=1,N('ORDENES'!$M115),0)</f>
        <v/>
      </c>
      <c r="O119" s="17">
        <f>IF('ORDENES'!$S115="preventiva",N119,0)</f>
        <v/>
      </c>
      <c r="P119" s="17">
        <f>IF('ORDENES'!$S115="correctiva",N119,0)</f>
        <v/>
      </c>
      <c r="Q119" s="3">
        <f>IF(AND(K119=1,'ORDENES'!$N115="Pendiente"),1,0)</f>
        <v/>
      </c>
      <c r="R119" s="3">
        <f>IF(Q119=1,100000-N119*1000+112*0.01,9000000000000+112)</f>
        <v/>
      </c>
      <c r="S119" s="3">
        <f>IF(Q119=1,SUMPRODUCT(--($R$8:$R$1207&lt;R119))+1,"")</f>
        <v/>
      </c>
      <c r="T119" s="11">
        <f>IF(K119=1,'ORDENES'!$J115,"")</f>
        <v/>
      </c>
      <c r="U119" s="3">
        <f>IFERROR(MATCH(112,$M$8:$M$1207,0),"")</f>
        <v/>
      </c>
      <c r="V119" s="3">
        <f>IF(U119="","",INDEX('ORDENES'!$R$4:$R$1203,U119))</f>
        <v/>
      </c>
      <c r="W119" s="3">
        <f>IF(U119="","",IF(V119&lt;&gt;V118,CHAR(10)&amp;UPPER(LEFT(V119,1))&amp;MID(V119,2,20)&amp;":"&amp;CHAR(10),"")&amp;"   "&amp;IF(INDEX('ORDENES'!$AC$4:$AC$1203,U119)="","(s/t)",INDEX('ORDENES'!$AC$4:$AC$1203,U119))&amp;" · "&amp;IF(INDEX('ORDENES'!$AB$4:$AB$1203,U119)="","(sin técnico)",INDEX('ORDENES'!$AB$4:$AB$1203,U119))&amp;" · "&amp;INDEX('ORDENES'!$AN$4:$AN$1203,U119)&amp;" — "&amp;INDEX('ORDENES'!$D$4:$D$1203,U119)&amp;" ("&amp;TEXT(INDEX('ORDENES'!$M$4:$M$1203,U119),"0.#")&amp;" h)")</f>
        <v/>
      </c>
    </row>
    <row r="120">
      <c r="K120" s="3">
        <f>IF(AND(IF($B$3="(todos)",TRUE,'ORDENES'!$O116=$B$3),IF($D$3="(todos)",TRUE,'ORDENES'!$AC116=$D$3),IF($F$3="(todos)",TRUE,'ORDENES'!$V116=$F$3),'ORDENES'!$AA116=TRUE,'ORDENES'!$A116&lt;&gt;""),1,0)</f>
        <v/>
      </c>
      <c r="L120" s="3">
        <f>IF(K120=1,IFERROR(MATCH('ORDENES'!$R116,lista_dias,0),9)*1000000000+IFERROR(MATCH('ORDENES'!$AC116,lista_turnos,0),9)*10000000+IFERROR(MATCH('ORDENES'!$AB116,'TECNICOS'!$B$4:$B$15,0),99)*100000+113,9000000000000+113)</f>
        <v/>
      </c>
      <c r="M120" s="3">
        <f>IF(K120=1,SUMPRODUCT(--($L$8:$L$1207&lt;L120))+1,"")</f>
        <v/>
      </c>
      <c r="N120" s="17">
        <f>IF(K120=1,N('ORDENES'!$M116),0)</f>
        <v/>
      </c>
      <c r="O120" s="17">
        <f>IF('ORDENES'!$S116="preventiva",N120,0)</f>
        <v/>
      </c>
      <c r="P120" s="17">
        <f>IF('ORDENES'!$S116="correctiva",N120,0)</f>
        <v/>
      </c>
      <c r="Q120" s="3">
        <f>IF(AND(K120=1,'ORDENES'!$N116="Pendiente"),1,0)</f>
        <v/>
      </c>
      <c r="R120" s="3">
        <f>IF(Q120=1,100000-N120*1000+113*0.01,9000000000000+113)</f>
        <v/>
      </c>
      <c r="S120" s="3">
        <f>IF(Q120=1,SUMPRODUCT(--($R$8:$R$1207&lt;R120))+1,"")</f>
        <v/>
      </c>
      <c r="T120" s="11">
        <f>IF(K120=1,'ORDENES'!$J116,"")</f>
        <v/>
      </c>
      <c r="U120" s="3">
        <f>IFERROR(MATCH(113,$M$8:$M$1207,0),"")</f>
        <v/>
      </c>
      <c r="V120" s="3">
        <f>IF(U120="","",INDEX('ORDENES'!$R$4:$R$1203,U120))</f>
        <v/>
      </c>
      <c r="W120" s="3">
        <f>IF(U120="","",IF(V120&lt;&gt;V119,CHAR(10)&amp;UPPER(LEFT(V120,1))&amp;MID(V120,2,20)&amp;":"&amp;CHAR(10),"")&amp;"   "&amp;IF(INDEX('ORDENES'!$AC$4:$AC$1203,U120)="","(s/t)",INDEX('ORDENES'!$AC$4:$AC$1203,U120))&amp;" · "&amp;IF(INDEX('ORDENES'!$AB$4:$AB$1203,U120)="","(sin técnico)",INDEX('ORDENES'!$AB$4:$AB$1203,U120))&amp;" · "&amp;INDEX('ORDENES'!$AN$4:$AN$1203,U120)&amp;" — "&amp;INDEX('ORDENES'!$D$4:$D$1203,U120)&amp;" ("&amp;TEXT(INDEX('ORDENES'!$M$4:$M$1203,U120),"0.#")&amp;" h)")</f>
        <v/>
      </c>
    </row>
    <row r="121">
      <c r="K121" s="3">
        <f>IF(AND(IF($B$3="(todos)",TRUE,'ORDENES'!$O117=$B$3),IF($D$3="(todos)",TRUE,'ORDENES'!$AC117=$D$3),IF($F$3="(todos)",TRUE,'ORDENES'!$V117=$F$3),'ORDENES'!$AA117=TRUE,'ORDENES'!$A117&lt;&gt;""),1,0)</f>
        <v/>
      </c>
      <c r="L121" s="3">
        <f>IF(K121=1,IFERROR(MATCH('ORDENES'!$R117,lista_dias,0),9)*1000000000+IFERROR(MATCH('ORDENES'!$AC117,lista_turnos,0),9)*10000000+IFERROR(MATCH('ORDENES'!$AB117,'TECNICOS'!$B$4:$B$15,0),99)*100000+114,9000000000000+114)</f>
        <v/>
      </c>
      <c r="M121" s="3">
        <f>IF(K121=1,SUMPRODUCT(--($L$8:$L$1207&lt;L121))+1,"")</f>
        <v/>
      </c>
      <c r="N121" s="17">
        <f>IF(K121=1,N('ORDENES'!$M117),0)</f>
        <v/>
      </c>
      <c r="O121" s="17">
        <f>IF('ORDENES'!$S117="preventiva",N121,0)</f>
        <v/>
      </c>
      <c r="P121" s="17">
        <f>IF('ORDENES'!$S117="correctiva",N121,0)</f>
        <v/>
      </c>
      <c r="Q121" s="3">
        <f>IF(AND(K121=1,'ORDENES'!$N117="Pendiente"),1,0)</f>
        <v/>
      </c>
      <c r="R121" s="3">
        <f>IF(Q121=1,100000-N121*1000+114*0.01,9000000000000+114)</f>
        <v/>
      </c>
      <c r="S121" s="3">
        <f>IF(Q121=1,SUMPRODUCT(--($R$8:$R$1207&lt;R121))+1,"")</f>
        <v/>
      </c>
      <c r="T121" s="11">
        <f>IF(K121=1,'ORDENES'!$J117,"")</f>
        <v/>
      </c>
      <c r="U121" s="3">
        <f>IFERROR(MATCH(114,$M$8:$M$1207,0),"")</f>
        <v/>
      </c>
      <c r="V121" s="3">
        <f>IF(U121="","",INDEX('ORDENES'!$R$4:$R$1203,U121))</f>
        <v/>
      </c>
      <c r="W121" s="3">
        <f>IF(U121="","",IF(V121&lt;&gt;V120,CHAR(10)&amp;UPPER(LEFT(V121,1))&amp;MID(V121,2,20)&amp;":"&amp;CHAR(10),"")&amp;"   "&amp;IF(INDEX('ORDENES'!$AC$4:$AC$1203,U121)="","(s/t)",INDEX('ORDENES'!$AC$4:$AC$1203,U121))&amp;" · "&amp;IF(INDEX('ORDENES'!$AB$4:$AB$1203,U121)="","(sin técnico)",INDEX('ORDENES'!$AB$4:$AB$1203,U121))&amp;" · "&amp;INDEX('ORDENES'!$AN$4:$AN$1203,U121)&amp;" — "&amp;INDEX('ORDENES'!$D$4:$D$1203,U121)&amp;" ("&amp;TEXT(INDEX('ORDENES'!$M$4:$M$1203,U121),"0.#")&amp;" h)")</f>
        <v/>
      </c>
    </row>
    <row r="122">
      <c r="K122" s="3">
        <f>IF(AND(IF($B$3="(todos)",TRUE,'ORDENES'!$O118=$B$3),IF($D$3="(todos)",TRUE,'ORDENES'!$AC118=$D$3),IF($F$3="(todos)",TRUE,'ORDENES'!$V118=$F$3),'ORDENES'!$AA118=TRUE,'ORDENES'!$A118&lt;&gt;""),1,0)</f>
        <v/>
      </c>
      <c r="L122" s="3">
        <f>IF(K122=1,IFERROR(MATCH('ORDENES'!$R118,lista_dias,0),9)*1000000000+IFERROR(MATCH('ORDENES'!$AC118,lista_turnos,0),9)*10000000+IFERROR(MATCH('ORDENES'!$AB118,'TECNICOS'!$B$4:$B$15,0),99)*100000+115,9000000000000+115)</f>
        <v/>
      </c>
      <c r="M122" s="3">
        <f>IF(K122=1,SUMPRODUCT(--($L$8:$L$1207&lt;L122))+1,"")</f>
        <v/>
      </c>
      <c r="N122" s="17">
        <f>IF(K122=1,N('ORDENES'!$M118),0)</f>
        <v/>
      </c>
      <c r="O122" s="17">
        <f>IF('ORDENES'!$S118="preventiva",N122,0)</f>
        <v/>
      </c>
      <c r="P122" s="17">
        <f>IF('ORDENES'!$S118="correctiva",N122,0)</f>
        <v/>
      </c>
      <c r="Q122" s="3">
        <f>IF(AND(K122=1,'ORDENES'!$N118="Pendiente"),1,0)</f>
        <v/>
      </c>
      <c r="R122" s="3">
        <f>IF(Q122=1,100000-N122*1000+115*0.01,9000000000000+115)</f>
        <v/>
      </c>
      <c r="S122" s="3">
        <f>IF(Q122=1,SUMPRODUCT(--($R$8:$R$1207&lt;R122))+1,"")</f>
        <v/>
      </c>
      <c r="T122" s="11">
        <f>IF(K122=1,'ORDENES'!$J118,"")</f>
        <v/>
      </c>
      <c r="U122" s="3">
        <f>IFERROR(MATCH(115,$M$8:$M$1207,0),"")</f>
        <v/>
      </c>
      <c r="V122" s="3">
        <f>IF(U122="","",INDEX('ORDENES'!$R$4:$R$1203,U122))</f>
        <v/>
      </c>
      <c r="W122" s="3">
        <f>IF(U122="","",IF(V122&lt;&gt;V121,CHAR(10)&amp;UPPER(LEFT(V122,1))&amp;MID(V122,2,20)&amp;":"&amp;CHAR(10),"")&amp;"   "&amp;IF(INDEX('ORDENES'!$AC$4:$AC$1203,U122)="","(s/t)",INDEX('ORDENES'!$AC$4:$AC$1203,U122))&amp;" · "&amp;IF(INDEX('ORDENES'!$AB$4:$AB$1203,U122)="","(sin técnico)",INDEX('ORDENES'!$AB$4:$AB$1203,U122))&amp;" · "&amp;INDEX('ORDENES'!$AN$4:$AN$1203,U122)&amp;" — "&amp;INDEX('ORDENES'!$D$4:$D$1203,U122)&amp;" ("&amp;TEXT(INDEX('ORDENES'!$M$4:$M$1203,U122),"0.#")&amp;" h)")</f>
        <v/>
      </c>
    </row>
    <row r="123">
      <c r="K123" s="3">
        <f>IF(AND(IF($B$3="(todos)",TRUE,'ORDENES'!$O119=$B$3),IF($D$3="(todos)",TRUE,'ORDENES'!$AC119=$D$3),IF($F$3="(todos)",TRUE,'ORDENES'!$V119=$F$3),'ORDENES'!$AA119=TRUE,'ORDENES'!$A119&lt;&gt;""),1,0)</f>
        <v/>
      </c>
      <c r="L123" s="3">
        <f>IF(K123=1,IFERROR(MATCH('ORDENES'!$R119,lista_dias,0),9)*1000000000+IFERROR(MATCH('ORDENES'!$AC119,lista_turnos,0),9)*10000000+IFERROR(MATCH('ORDENES'!$AB119,'TECNICOS'!$B$4:$B$15,0),99)*100000+116,9000000000000+116)</f>
        <v/>
      </c>
      <c r="M123" s="3">
        <f>IF(K123=1,SUMPRODUCT(--($L$8:$L$1207&lt;L123))+1,"")</f>
        <v/>
      </c>
      <c r="N123" s="17">
        <f>IF(K123=1,N('ORDENES'!$M119),0)</f>
        <v/>
      </c>
      <c r="O123" s="17">
        <f>IF('ORDENES'!$S119="preventiva",N123,0)</f>
        <v/>
      </c>
      <c r="P123" s="17">
        <f>IF('ORDENES'!$S119="correctiva",N123,0)</f>
        <v/>
      </c>
      <c r="Q123" s="3">
        <f>IF(AND(K123=1,'ORDENES'!$N119="Pendiente"),1,0)</f>
        <v/>
      </c>
      <c r="R123" s="3">
        <f>IF(Q123=1,100000-N123*1000+116*0.01,9000000000000+116)</f>
        <v/>
      </c>
      <c r="S123" s="3">
        <f>IF(Q123=1,SUMPRODUCT(--($R$8:$R$1207&lt;R123))+1,"")</f>
        <v/>
      </c>
      <c r="T123" s="11">
        <f>IF(K123=1,'ORDENES'!$J119,"")</f>
        <v/>
      </c>
      <c r="U123" s="3">
        <f>IFERROR(MATCH(116,$M$8:$M$1207,0),"")</f>
        <v/>
      </c>
      <c r="V123" s="3">
        <f>IF(U123="","",INDEX('ORDENES'!$R$4:$R$1203,U123))</f>
        <v/>
      </c>
      <c r="W123" s="3">
        <f>IF(U123="","",IF(V123&lt;&gt;V122,CHAR(10)&amp;UPPER(LEFT(V123,1))&amp;MID(V123,2,20)&amp;":"&amp;CHAR(10),"")&amp;"   "&amp;IF(INDEX('ORDENES'!$AC$4:$AC$1203,U123)="","(s/t)",INDEX('ORDENES'!$AC$4:$AC$1203,U123))&amp;" · "&amp;IF(INDEX('ORDENES'!$AB$4:$AB$1203,U123)="","(sin técnico)",INDEX('ORDENES'!$AB$4:$AB$1203,U123))&amp;" · "&amp;INDEX('ORDENES'!$AN$4:$AN$1203,U123)&amp;" — "&amp;INDEX('ORDENES'!$D$4:$D$1203,U123)&amp;" ("&amp;TEXT(INDEX('ORDENES'!$M$4:$M$1203,U123),"0.#")&amp;" h)")</f>
        <v/>
      </c>
    </row>
    <row r="124">
      <c r="K124" s="3">
        <f>IF(AND(IF($B$3="(todos)",TRUE,'ORDENES'!$O120=$B$3),IF($D$3="(todos)",TRUE,'ORDENES'!$AC120=$D$3),IF($F$3="(todos)",TRUE,'ORDENES'!$V120=$F$3),'ORDENES'!$AA120=TRUE,'ORDENES'!$A120&lt;&gt;""),1,0)</f>
        <v/>
      </c>
      <c r="L124" s="3">
        <f>IF(K124=1,IFERROR(MATCH('ORDENES'!$R120,lista_dias,0),9)*1000000000+IFERROR(MATCH('ORDENES'!$AC120,lista_turnos,0),9)*10000000+IFERROR(MATCH('ORDENES'!$AB120,'TECNICOS'!$B$4:$B$15,0),99)*100000+117,9000000000000+117)</f>
        <v/>
      </c>
      <c r="M124" s="3">
        <f>IF(K124=1,SUMPRODUCT(--($L$8:$L$1207&lt;L124))+1,"")</f>
        <v/>
      </c>
      <c r="N124" s="17">
        <f>IF(K124=1,N('ORDENES'!$M120),0)</f>
        <v/>
      </c>
      <c r="O124" s="17">
        <f>IF('ORDENES'!$S120="preventiva",N124,0)</f>
        <v/>
      </c>
      <c r="P124" s="17">
        <f>IF('ORDENES'!$S120="correctiva",N124,0)</f>
        <v/>
      </c>
      <c r="Q124" s="3">
        <f>IF(AND(K124=1,'ORDENES'!$N120="Pendiente"),1,0)</f>
        <v/>
      </c>
      <c r="R124" s="3">
        <f>IF(Q124=1,100000-N124*1000+117*0.01,9000000000000+117)</f>
        <v/>
      </c>
      <c r="S124" s="3">
        <f>IF(Q124=1,SUMPRODUCT(--($R$8:$R$1207&lt;R124))+1,"")</f>
        <v/>
      </c>
      <c r="T124" s="11">
        <f>IF(K124=1,'ORDENES'!$J120,"")</f>
        <v/>
      </c>
      <c r="U124" s="3">
        <f>IFERROR(MATCH(117,$M$8:$M$1207,0),"")</f>
        <v/>
      </c>
      <c r="V124" s="3">
        <f>IF(U124="","",INDEX('ORDENES'!$R$4:$R$1203,U124))</f>
        <v/>
      </c>
      <c r="W124" s="3">
        <f>IF(U124="","",IF(V124&lt;&gt;V123,CHAR(10)&amp;UPPER(LEFT(V124,1))&amp;MID(V124,2,20)&amp;":"&amp;CHAR(10),"")&amp;"   "&amp;IF(INDEX('ORDENES'!$AC$4:$AC$1203,U124)="","(s/t)",INDEX('ORDENES'!$AC$4:$AC$1203,U124))&amp;" · "&amp;IF(INDEX('ORDENES'!$AB$4:$AB$1203,U124)="","(sin técnico)",INDEX('ORDENES'!$AB$4:$AB$1203,U124))&amp;" · "&amp;INDEX('ORDENES'!$AN$4:$AN$1203,U124)&amp;" — "&amp;INDEX('ORDENES'!$D$4:$D$1203,U124)&amp;" ("&amp;TEXT(INDEX('ORDENES'!$M$4:$M$1203,U124),"0.#")&amp;" h)")</f>
        <v/>
      </c>
    </row>
    <row r="125">
      <c r="K125" s="3">
        <f>IF(AND(IF($B$3="(todos)",TRUE,'ORDENES'!$O121=$B$3),IF($D$3="(todos)",TRUE,'ORDENES'!$AC121=$D$3),IF($F$3="(todos)",TRUE,'ORDENES'!$V121=$F$3),'ORDENES'!$AA121=TRUE,'ORDENES'!$A121&lt;&gt;""),1,0)</f>
        <v/>
      </c>
      <c r="L125" s="3">
        <f>IF(K125=1,IFERROR(MATCH('ORDENES'!$R121,lista_dias,0),9)*1000000000+IFERROR(MATCH('ORDENES'!$AC121,lista_turnos,0),9)*10000000+IFERROR(MATCH('ORDENES'!$AB121,'TECNICOS'!$B$4:$B$15,0),99)*100000+118,9000000000000+118)</f>
        <v/>
      </c>
      <c r="M125" s="3">
        <f>IF(K125=1,SUMPRODUCT(--($L$8:$L$1207&lt;L125))+1,"")</f>
        <v/>
      </c>
      <c r="N125" s="17">
        <f>IF(K125=1,N('ORDENES'!$M121),0)</f>
        <v/>
      </c>
      <c r="O125" s="17">
        <f>IF('ORDENES'!$S121="preventiva",N125,0)</f>
        <v/>
      </c>
      <c r="P125" s="17">
        <f>IF('ORDENES'!$S121="correctiva",N125,0)</f>
        <v/>
      </c>
      <c r="Q125" s="3">
        <f>IF(AND(K125=1,'ORDENES'!$N121="Pendiente"),1,0)</f>
        <v/>
      </c>
      <c r="R125" s="3">
        <f>IF(Q125=1,100000-N125*1000+118*0.01,9000000000000+118)</f>
        <v/>
      </c>
      <c r="S125" s="3">
        <f>IF(Q125=1,SUMPRODUCT(--($R$8:$R$1207&lt;R125))+1,"")</f>
        <v/>
      </c>
      <c r="T125" s="11">
        <f>IF(K125=1,'ORDENES'!$J121,"")</f>
        <v/>
      </c>
      <c r="U125" s="3">
        <f>IFERROR(MATCH(118,$M$8:$M$1207,0),"")</f>
        <v/>
      </c>
      <c r="V125" s="3">
        <f>IF(U125="","",INDEX('ORDENES'!$R$4:$R$1203,U125))</f>
        <v/>
      </c>
      <c r="W125" s="3">
        <f>IF(U125="","",IF(V125&lt;&gt;V124,CHAR(10)&amp;UPPER(LEFT(V125,1))&amp;MID(V125,2,20)&amp;":"&amp;CHAR(10),"")&amp;"   "&amp;IF(INDEX('ORDENES'!$AC$4:$AC$1203,U125)="","(s/t)",INDEX('ORDENES'!$AC$4:$AC$1203,U125))&amp;" · "&amp;IF(INDEX('ORDENES'!$AB$4:$AB$1203,U125)="","(sin técnico)",INDEX('ORDENES'!$AB$4:$AB$1203,U125))&amp;" · "&amp;INDEX('ORDENES'!$AN$4:$AN$1203,U125)&amp;" — "&amp;INDEX('ORDENES'!$D$4:$D$1203,U125)&amp;" ("&amp;TEXT(INDEX('ORDENES'!$M$4:$M$1203,U125),"0.#")&amp;" h)")</f>
        <v/>
      </c>
    </row>
    <row r="126">
      <c r="K126" s="3">
        <f>IF(AND(IF($B$3="(todos)",TRUE,'ORDENES'!$O122=$B$3),IF($D$3="(todos)",TRUE,'ORDENES'!$AC122=$D$3),IF($F$3="(todos)",TRUE,'ORDENES'!$V122=$F$3),'ORDENES'!$AA122=TRUE,'ORDENES'!$A122&lt;&gt;""),1,0)</f>
        <v/>
      </c>
      <c r="L126" s="3">
        <f>IF(K126=1,IFERROR(MATCH('ORDENES'!$R122,lista_dias,0),9)*1000000000+IFERROR(MATCH('ORDENES'!$AC122,lista_turnos,0),9)*10000000+IFERROR(MATCH('ORDENES'!$AB122,'TECNICOS'!$B$4:$B$15,0),99)*100000+119,9000000000000+119)</f>
        <v/>
      </c>
      <c r="M126" s="3">
        <f>IF(K126=1,SUMPRODUCT(--($L$8:$L$1207&lt;L126))+1,"")</f>
        <v/>
      </c>
      <c r="N126" s="17">
        <f>IF(K126=1,N('ORDENES'!$M122),0)</f>
        <v/>
      </c>
      <c r="O126" s="17">
        <f>IF('ORDENES'!$S122="preventiva",N126,0)</f>
        <v/>
      </c>
      <c r="P126" s="17">
        <f>IF('ORDENES'!$S122="correctiva",N126,0)</f>
        <v/>
      </c>
      <c r="Q126" s="3">
        <f>IF(AND(K126=1,'ORDENES'!$N122="Pendiente"),1,0)</f>
        <v/>
      </c>
      <c r="R126" s="3">
        <f>IF(Q126=1,100000-N126*1000+119*0.01,9000000000000+119)</f>
        <v/>
      </c>
      <c r="S126" s="3">
        <f>IF(Q126=1,SUMPRODUCT(--($R$8:$R$1207&lt;R126))+1,"")</f>
        <v/>
      </c>
      <c r="T126" s="11">
        <f>IF(K126=1,'ORDENES'!$J122,"")</f>
        <v/>
      </c>
      <c r="U126" s="3">
        <f>IFERROR(MATCH(119,$M$8:$M$1207,0),"")</f>
        <v/>
      </c>
      <c r="V126" s="3">
        <f>IF(U126="","",INDEX('ORDENES'!$R$4:$R$1203,U126))</f>
        <v/>
      </c>
      <c r="W126" s="3">
        <f>IF(U126="","",IF(V126&lt;&gt;V125,CHAR(10)&amp;UPPER(LEFT(V126,1))&amp;MID(V126,2,20)&amp;":"&amp;CHAR(10),"")&amp;"   "&amp;IF(INDEX('ORDENES'!$AC$4:$AC$1203,U126)="","(s/t)",INDEX('ORDENES'!$AC$4:$AC$1203,U126))&amp;" · "&amp;IF(INDEX('ORDENES'!$AB$4:$AB$1203,U126)="","(sin técnico)",INDEX('ORDENES'!$AB$4:$AB$1203,U126))&amp;" · "&amp;INDEX('ORDENES'!$AN$4:$AN$1203,U126)&amp;" — "&amp;INDEX('ORDENES'!$D$4:$D$1203,U126)&amp;" ("&amp;TEXT(INDEX('ORDENES'!$M$4:$M$1203,U126),"0.#")&amp;" h)")</f>
        <v/>
      </c>
    </row>
    <row r="127">
      <c r="K127" s="3">
        <f>IF(AND(IF($B$3="(todos)",TRUE,'ORDENES'!$O123=$B$3),IF($D$3="(todos)",TRUE,'ORDENES'!$AC123=$D$3),IF($F$3="(todos)",TRUE,'ORDENES'!$V123=$F$3),'ORDENES'!$AA123=TRUE,'ORDENES'!$A123&lt;&gt;""),1,0)</f>
        <v/>
      </c>
      <c r="L127" s="3">
        <f>IF(K127=1,IFERROR(MATCH('ORDENES'!$R123,lista_dias,0),9)*1000000000+IFERROR(MATCH('ORDENES'!$AC123,lista_turnos,0),9)*10000000+IFERROR(MATCH('ORDENES'!$AB123,'TECNICOS'!$B$4:$B$15,0),99)*100000+120,9000000000000+120)</f>
        <v/>
      </c>
      <c r="M127" s="3">
        <f>IF(K127=1,SUMPRODUCT(--($L$8:$L$1207&lt;L127))+1,"")</f>
        <v/>
      </c>
      <c r="N127" s="17">
        <f>IF(K127=1,N('ORDENES'!$M123),0)</f>
        <v/>
      </c>
      <c r="O127" s="17">
        <f>IF('ORDENES'!$S123="preventiva",N127,0)</f>
        <v/>
      </c>
      <c r="P127" s="17">
        <f>IF('ORDENES'!$S123="correctiva",N127,0)</f>
        <v/>
      </c>
      <c r="Q127" s="3">
        <f>IF(AND(K127=1,'ORDENES'!$N123="Pendiente"),1,0)</f>
        <v/>
      </c>
      <c r="R127" s="3">
        <f>IF(Q127=1,100000-N127*1000+120*0.01,9000000000000+120)</f>
        <v/>
      </c>
      <c r="S127" s="3">
        <f>IF(Q127=1,SUMPRODUCT(--($R$8:$R$1207&lt;R127))+1,"")</f>
        <v/>
      </c>
      <c r="T127" s="11">
        <f>IF(K127=1,'ORDENES'!$J123,"")</f>
        <v/>
      </c>
      <c r="U127" s="3">
        <f>IFERROR(MATCH(120,$M$8:$M$1207,0),"")</f>
        <v/>
      </c>
      <c r="V127" s="3">
        <f>IF(U127="","",INDEX('ORDENES'!$R$4:$R$1203,U127))</f>
        <v/>
      </c>
      <c r="W127" s="3">
        <f>IF(U127="","",IF(V127&lt;&gt;V126,CHAR(10)&amp;UPPER(LEFT(V127,1))&amp;MID(V127,2,20)&amp;":"&amp;CHAR(10),"")&amp;"   "&amp;IF(INDEX('ORDENES'!$AC$4:$AC$1203,U127)="","(s/t)",INDEX('ORDENES'!$AC$4:$AC$1203,U127))&amp;" · "&amp;IF(INDEX('ORDENES'!$AB$4:$AB$1203,U127)="","(sin técnico)",INDEX('ORDENES'!$AB$4:$AB$1203,U127))&amp;" · "&amp;INDEX('ORDENES'!$AN$4:$AN$1203,U127)&amp;" — "&amp;INDEX('ORDENES'!$D$4:$D$1203,U127)&amp;" ("&amp;TEXT(INDEX('ORDENES'!$M$4:$M$1203,U127),"0.#")&amp;" h)")</f>
        <v/>
      </c>
    </row>
    <row r="128">
      <c r="K128" s="3">
        <f>IF(AND(IF($B$3="(todos)",TRUE,'ORDENES'!$O124=$B$3),IF($D$3="(todos)",TRUE,'ORDENES'!$AC124=$D$3),IF($F$3="(todos)",TRUE,'ORDENES'!$V124=$F$3),'ORDENES'!$AA124=TRUE,'ORDENES'!$A124&lt;&gt;""),1,0)</f>
        <v/>
      </c>
      <c r="L128" s="3">
        <f>IF(K128=1,IFERROR(MATCH('ORDENES'!$R124,lista_dias,0),9)*1000000000+IFERROR(MATCH('ORDENES'!$AC124,lista_turnos,0),9)*10000000+IFERROR(MATCH('ORDENES'!$AB124,'TECNICOS'!$B$4:$B$15,0),99)*100000+121,9000000000000+121)</f>
        <v/>
      </c>
      <c r="M128" s="3">
        <f>IF(K128=1,SUMPRODUCT(--($L$8:$L$1207&lt;L128))+1,"")</f>
        <v/>
      </c>
      <c r="N128" s="17">
        <f>IF(K128=1,N('ORDENES'!$M124),0)</f>
        <v/>
      </c>
      <c r="O128" s="17">
        <f>IF('ORDENES'!$S124="preventiva",N128,0)</f>
        <v/>
      </c>
      <c r="P128" s="17">
        <f>IF('ORDENES'!$S124="correctiva",N128,0)</f>
        <v/>
      </c>
      <c r="Q128" s="3">
        <f>IF(AND(K128=1,'ORDENES'!$N124="Pendiente"),1,0)</f>
        <v/>
      </c>
      <c r="R128" s="3">
        <f>IF(Q128=1,100000-N128*1000+121*0.01,9000000000000+121)</f>
        <v/>
      </c>
      <c r="S128" s="3">
        <f>IF(Q128=1,SUMPRODUCT(--($R$8:$R$1207&lt;R128))+1,"")</f>
        <v/>
      </c>
      <c r="T128" s="11">
        <f>IF(K128=1,'ORDENES'!$J124,"")</f>
        <v/>
      </c>
      <c r="U128" s="3">
        <f>IFERROR(MATCH(121,$M$8:$M$1207,0),"")</f>
        <v/>
      </c>
      <c r="V128" s="3">
        <f>IF(U128="","",INDEX('ORDENES'!$R$4:$R$1203,U128))</f>
        <v/>
      </c>
      <c r="W128" s="3">
        <f>IF(U128="","",IF(V128&lt;&gt;V127,CHAR(10)&amp;UPPER(LEFT(V128,1))&amp;MID(V128,2,20)&amp;":"&amp;CHAR(10),"")&amp;"   "&amp;IF(INDEX('ORDENES'!$AC$4:$AC$1203,U128)="","(s/t)",INDEX('ORDENES'!$AC$4:$AC$1203,U128))&amp;" · "&amp;IF(INDEX('ORDENES'!$AB$4:$AB$1203,U128)="","(sin técnico)",INDEX('ORDENES'!$AB$4:$AB$1203,U128))&amp;" · "&amp;INDEX('ORDENES'!$AN$4:$AN$1203,U128)&amp;" — "&amp;INDEX('ORDENES'!$D$4:$D$1203,U128)&amp;" ("&amp;TEXT(INDEX('ORDENES'!$M$4:$M$1203,U128),"0.#")&amp;" h)")</f>
        <v/>
      </c>
    </row>
    <row r="129">
      <c r="K129" s="3">
        <f>IF(AND(IF($B$3="(todos)",TRUE,'ORDENES'!$O125=$B$3),IF($D$3="(todos)",TRUE,'ORDENES'!$AC125=$D$3),IF($F$3="(todos)",TRUE,'ORDENES'!$V125=$F$3),'ORDENES'!$AA125=TRUE,'ORDENES'!$A125&lt;&gt;""),1,0)</f>
        <v/>
      </c>
      <c r="L129" s="3">
        <f>IF(K129=1,IFERROR(MATCH('ORDENES'!$R125,lista_dias,0),9)*1000000000+IFERROR(MATCH('ORDENES'!$AC125,lista_turnos,0),9)*10000000+IFERROR(MATCH('ORDENES'!$AB125,'TECNICOS'!$B$4:$B$15,0),99)*100000+122,9000000000000+122)</f>
        <v/>
      </c>
      <c r="M129" s="3">
        <f>IF(K129=1,SUMPRODUCT(--($L$8:$L$1207&lt;L129))+1,"")</f>
        <v/>
      </c>
      <c r="N129" s="17">
        <f>IF(K129=1,N('ORDENES'!$M125),0)</f>
        <v/>
      </c>
      <c r="O129" s="17">
        <f>IF('ORDENES'!$S125="preventiva",N129,0)</f>
        <v/>
      </c>
      <c r="P129" s="17">
        <f>IF('ORDENES'!$S125="correctiva",N129,0)</f>
        <v/>
      </c>
      <c r="Q129" s="3">
        <f>IF(AND(K129=1,'ORDENES'!$N125="Pendiente"),1,0)</f>
        <v/>
      </c>
      <c r="R129" s="3">
        <f>IF(Q129=1,100000-N129*1000+122*0.01,9000000000000+122)</f>
        <v/>
      </c>
      <c r="S129" s="3">
        <f>IF(Q129=1,SUMPRODUCT(--($R$8:$R$1207&lt;R129))+1,"")</f>
        <v/>
      </c>
      <c r="T129" s="11">
        <f>IF(K129=1,'ORDENES'!$J125,"")</f>
        <v/>
      </c>
      <c r="U129" s="3">
        <f>IFERROR(MATCH(122,$M$8:$M$1207,0),"")</f>
        <v/>
      </c>
      <c r="V129" s="3">
        <f>IF(U129="","",INDEX('ORDENES'!$R$4:$R$1203,U129))</f>
        <v/>
      </c>
      <c r="W129" s="3">
        <f>IF(U129="","",IF(V129&lt;&gt;V128,CHAR(10)&amp;UPPER(LEFT(V129,1))&amp;MID(V129,2,20)&amp;":"&amp;CHAR(10),"")&amp;"   "&amp;IF(INDEX('ORDENES'!$AC$4:$AC$1203,U129)="","(s/t)",INDEX('ORDENES'!$AC$4:$AC$1203,U129))&amp;" · "&amp;IF(INDEX('ORDENES'!$AB$4:$AB$1203,U129)="","(sin técnico)",INDEX('ORDENES'!$AB$4:$AB$1203,U129))&amp;" · "&amp;INDEX('ORDENES'!$AN$4:$AN$1203,U129)&amp;" — "&amp;INDEX('ORDENES'!$D$4:$D$1203,U129)&amp;" ("&amp;TEXT(INDEX('ORDENES'!$M$4:$M$1203,U129),"0.#")&amp;" h)")</f>
        <v/>
      </c>
    </row>
    <row r="130">
      <c r="K130" s="3">
        <f>IF(AND(IF($B$3="(todos)",TRUE,'ORDENES'!$O126=$B$3),IF($D$3="(todos)",TRUE,'ORDENES'!$AC126=$D$3),IF($F$3="(todos)",TRUE,'ORDENES'!$V126=$F$3),'ORDENES'!$AA126=TRUE,'ORDENES'!$A126&lt;&gt;""),1,0)</f>
        <v/>
      </c>
      <c r="L130" s="3">
        <f>IF(K130=1,IFERROR(MATCH('ORDENES'!$R126,lista_dias,0),9)*1000000000+IFERROR(MATCH('ORDENES'!$AC126,lista_turnos,0),9)*10000000+IFERROR(MATCH('ORDENES'!$AB126,'TECNICOS'!$B$4:$B$15,0),99)*100000+123,9000000000000+123)</f>
        <v/>
      </c>
      <c r="M130" s="3">
        <f>IF(K130=1,SUMPRODUCT(--($L$8:$L$1207&lt;L130))+1,"")</f>
        <v/>
      </c>
      <c r="N130" s="17">
        <f>IF(K130=1,N('ORDENES'!$M126),0)</f>
        <v/>
      </c>
      <c r="O130" s="17">
        <f>IF('ORDENES'!$S126="preventiva",N130,0)</f>
        <v/>
      </c>
      <c r="P130" s="17">
        <f>IF('ORDENES'!$S126="correctiva",N130,0)</f>
        <v/>
      </c>
      <c r="Q130" s="3">
        <f>IF(AND(K130=1,'ORDENES'!$N126="Pendiente"),1,0)</f>
        <v/>
      </c>
      <c r="R130" s="3">
        <f>IF(Q130=1,100000-N130*1000+123*0.01,9000000000000+123)</f>
        <v/>
      </c>
      <c r="S130" s="3">
        <f>IF(Q130=1,SUMPRODUCT(--($R$8:$R$1207&lt;R130))+1,"")</f>
        <v/>
      </c>
      <c r="T130" s="11">
        <f>IF(K130=1,'ORDENES'!$J126,"")</f>
        <v/>
      </c>
      <c r="U130" s="3">
        <f>IFERROR(MATCH(123,$M$8:$M$1207,0),"")</f>
        <v/>
      </c>
      <c r="V130" s="3">
        <f>IF(U130="","",INDEX('ORDENES'!$R$4:$R$1203,U130))</f>
        <v/>
      </c>
      <c r="W130" s="3">
        <f>IF(U130="","",IF(V130&lt;&gt;V129,CHAR(10)&amp;UPPER(LEFT(V130,1))&amp;MID(V130,2,20)&amp;":"&amp;CHAR(10),"")&amp;"   "&amp;IF(INDEX('ORDENES'!$AC$4:$AC$1203,U130)="","(s/t)",INDEX('ORDENES'!$AC$4:$AC$1203,U130))&amp;" · "&amp;IF(INDEX('ORDENES'!$AB$4:$AB$1203,U130)="","(sin técnico)",INDEX('ORDENES'!$AB$4:$AB$1203,U130))&amp;" · "&amp;INDEX('ORDENES'!$AN$4:$AN$1203,U130)&amp;" — "&amp;INDEX('ORDENES'!$D$4:$D$1203,U130)&amp;" ("&amp;TEXT(INDEX('ORDENES'!$M$4:$M$1203,U130),"0.#")&amp;" h)")</f>
        <v/>
      </c>
    </row>
    <row r="131">
      <c r="K131" s="3">
        <f>IF(AND(IF($B$3="(todos)",TRUE,'ORDENES'!$O127=$B$3),IF($D$3="(todos)",TRUE,'ORDENES'!$AC127=$D$3),IF($F$3="(todos)",TRUE,'ORDENES'!$V127=$F$3),'ORDENES'!$AA127=TRUE,'ORDENES'!$A127&lt;&gt;""),1,0)</f>
        <v/>
      </c>
      <c r="L131" s="3">
        <f>IF(K131=1,IFERROR(MATCH('ORDENES'!$R127,lista_dias,0),9)*1000000000+IFERROR(MATCH('ORDENES'!$AC127,lista_turnos,0),9)*10000000+IFERROR(MATCH('ORDENES'!$AB127,'TECNICOS'!$B$4:$B$15,0),99)*100000+124,9000000000000+124)</f>
        <v/>
      </c>
      <c r="M131" s="3">
        <f>IF(K131=1,SUMPRODUCT(--($L$8:$L$1207&lt;L131))+1,"")</f>
        <v/>
      </c>
      <c r="N131" s="17">
        <f>IF(K131=1,N('ORDENES'!$M127),0)</f>
        <v/>
      </c>
      <c r="O131" s="17">
        <f>IF('ORDENES'!$S127="preventiva",N131,0)</f>
        <v/>
      </c>
      <c r="P131" s="17">
        <f>IF('ORDENES'!$S127="correctiva",N131,0)</f>
        <v/>
      </c>
      <c r="Q131" s="3">
        <f>IF(AND(K131=1,'ORDENES'!$N127="Pendiente"),1,0)</f>
        <v/>
      </c>
      <c r="R131" s="3">
        <f>IF(Q131=1,100000-N131*1000+124*0.01,9000000000000+124)</f>
        <v/>
      </c>
      <c r="S131" s="3">
        <f>IF(Q131=1,SUMPRODUCT(--($R$8:$R$1207&lt;R131))+1,"")</f>
        <v/>
      </c>
      <c r="T131" s="11">
        <f>IF(K131=1,'ORDENES'!$J127,"")</f>
        <v/>
      </c>
      <c r="U131" s="3">
        <f>IFERROR(MATCH(124,$M$8:$M$1207,0),"")</f>
        <v/>
      </c>
      <c r="V131" s="3">
        <f>IF(U131="","",INDEX('ORDENES'!$R$4:$R$1203,U131))</f>
        <v/>
      </c>
      <c r="W131" s="3">
        <f>IF(U131="","",IF(V131&lt;&gt;V130,CHAR(10)&amp;UPPER(LEFT(V131,1))&amp;MID(V131,2,20)&amp;":"&amp;CHAR(10),"")&amp;"   "&amp;IF(INDEX('ORDENES'!$AC$4:$AC$1203,U131)="","(s/t)",INDEX('ORDENES'!$AC$4:$AC$1203,U131))&amp;" · "&amp;IF(INDEX('ORDENES'!$AB$4:$AB$1203,U131)="","(sin técnico)",INDEX('ORDENES'!$AB$4:$AB$1203,U131))&amp;" · "&amp;INDEX('ORDENES'!$AN$4:$AN$1203,U131)&amp;" — "&amp;INDEX('ORDENES'!$D$4:$D$1203,U131)&amp;" ("&amp;TEXT(INDEX('ORDENES'!$M$4:$M$1203,U131),"0.#")&amp;" h)")</f>
        <v/>
      </c>
    </row>
    <row r="132">
      <c r="K132" s="3">
        <f>IF(AND(IF($B$3="(todos)",TRUE,'ORDENES'!$O128=$B$3),IF($D$3="(todos)",TRUE,'ORDENES'!$AC128=$D$3),IF($F$3="(todos)",TRUE,'ORDENES'!$V128=$F$3),'ORDENES'!$AA128=TRUE,'ORDENES'!$A128&lt;&gt;""),1,0)</f>
        <v/>
      </c>
      <c r="L132" s="3">
        <f>IF(K132=1,IFERROR(MATCH('ORDENES'!$R128,lista_dias,0),9)*1000000000+IFERROR(MATCH('ORDENES'!$AC128,lista_turnos,0),9)*10000000+IFERROR(MATCH('ORDENES'!$AB128,'TECNICOS'!$B$4:$B$15,0),99)*100000+125,9000000000000+125)</f>
        <v/>
      </c>
      <c r="M132" s="3">
        <f>IF(K132=1,SUMPRODUCT(--($L$8:$L$1207&lt;L132))+1,"")</f>
        <v/>
      </c>
      <c r="N132" s="17">
        <f>IF(K132=1,N('ORDENES'!$M128),0)</f>
        <v/>
      </c>
      <c r="O132" s="17">
        <f>IF('ORDENES'!$S128="preventiva",N132,0)</f>
        <v/>
      </c>
      <c r="P132" s="17">
        <f>IF('ORDENES'!$S128="correctiva",N132,0)</f>
        <v/>
      </c>
      <c r="Q132" s="3">
        <f>IF(AND(K132=1,'ORDENES'!$N128="Pendiente"),1,0)</f>
        <v/>
      </c>
      <c r="R132" s="3">
        <f>IF(Q132=1,100000-N132*1000+125*0.01,9000000000000+125)</f>
        <v/>
      </c>
      <c r="S132" s="3">
        <f>IF(Q132=1,SUMPRODUCT(--($R$8:$R$1207&lt;R132))+1,"")</f>
        <v/>
      </c>
      <c r="T132" s="11">
        <f>IF(K132=1,'ORDENES'!$J128,"")</f>
        <v/>
      </c>
      <c r="U132" s="3">
        <f>IFERROR(MATCH(125,$M$8:$M$1207,0),"")</f>
        <v/>
      </c>
      <c r="V132" s="3">
        <f>IF(U132="","",INDEX('ORDENES'!$R$4:$R$1203,U132))</f>
        <v/>
      </c>
      <c r="W132" s="3">
        <f>IF(U132="","",IF(V132&lt;&gt;V131,CHAR(10)&amp;UPPER(LEFT(V132,1))&amp;MID(V132,2,20)&amp;":"&amp;CHAR(10),"")&amp;"   "&amp;IF(INDEX('ORDENES'!$AC$4:$AC$1203,U132)="","(s/t)",INDEX('ORDENES'!$AC$4:$AC$1203,U132))&amp;" · "&amp;IF(INDEX('ORDENES'!$AB$4:$AB$1203,U132)="","(sin técnico)",INDEX('ORDENES'!$AB$4:$AB$1203,U132))&amp;" · "&amp;INDEX('ORDENES'!$AN$4:$AN$1203,U132)&amp;" — "&amp;INDEX('ORDENES'!$D$4:$D$1203,U132)&amp;" ("&amp;TEXT(INDEX('ORDENES'!$M$4:$M$1203,U132),"0.#")&amp;" h)")</f>
        <v/>
      </c>
    </row>
    <row r="133">
      <c r="K133" s="3">
        <f>IF(AND(IF($B$3="(todos)",TRUE,'ORDENES'!$O129=$B$3),IF($D$3="(todos)",TRUE,'ORDENES'!$AC129=$D$3),IF($F$3="(todos)",TRUE,'ORDENES'!$V129=$F$3),'ORDENES'!$AA129=TRUE,'ORDENES'!$A129&lt;&gt;""),1,0)</f>
        <v/>
      </c>
      <c r="L133" s="3">
        <f>IF(K133=1,IFERROR(MATCH('ORDENES'!$R129,lista_dias,0),9)*1000000000+IFERROR(MATCH('ORDENES'!$AC129,lista_turnos,0),9)*10000000+IFERROR(MATCH('ORDENES'!$AB129,'TECNICOS'!$B$4:$B$15,0),99)*100000+126,9000000000000+126)</f>
        <v/>
      </c>
      <c r="M133" s="3">
        <f>IF(K133=1,SUMPRODUCT(--($L$8:$L$1207&lt;L133))+1,"")</f>
        <v/>
      </c>
      <c r="N133" s="17">
        <f>IF(K133=1,N('ORDENES'!$M129),0)</f>
        <v/>
      </c>
      <c r="O133" s="17">
        <f>IF('ORDENES'!$S129="preventiva",N133,0)</f>
        <v/>
      </c>
      <c r="P133" s="17">
        <f>IF('ORDENES'!$S129="correctiva",N133,0)</f>
        <v/>
      </c>
      <c r="Q133" s="3">
        <f>IF(AND(K133=1,'ORDENES'!$N129="Pendiente"),1,0)</f>
        <v/>
      </c>
      <c r="R133" s="3">
        <f>IF(Q133=1,100000-N133*1000+126*0.01,9000000000000+126)</f>
        <v/>
      </c>
      <c r="S133" s="3">
        <f>IF(Q133=1,SUMPRODUCT(--($R$8:$R$1207&lt;R133))+1,"")</f>
        <v/>
      </c>
      <c r="T133" s="11">
        <f>IF(K133=1,'ORDENES'!$J129,"")</f>
        <v/>
      </c>
      <c r="U133" s="3">
        <f>IFERROR(MATCH(126,$M$8:$M$1207,0),"")</f>
        <v/>
      </c>
      <c r="V133" s="3">
        <f>IF(U133="","",INDEX('ORDENES'!$R$4:$R$1203,U133))</f>
        <v/>
      </c>
      <c r="W133" s="3">
        <f>IF(U133="","",IF(V133&lt;&gt;V132,CHAR(10)&amp;UPPER(LEFT(V133,1))&amp;MID(V133,2,20)&amp;":"&amp;CHAR(10),"")&amp;"   "&amp;IF(INDEX('ORDENES'!$AC$4:$AC$1203,U133)="","(s/t)",INDEX('ORDENES'!$AC$4:$AC$1203,U133))&amp;" · "&amp;IF(INDEX('ORDENES'!$AB$4:$AB$1203,U133)="","(sin técnico)",INDEX('ORDENES'!$AB$4:$AB$1203,U133))&amp;" · "&amp;INDEX('ORDENES'!$AN$4:$AN$1203,U133)&amp;" — "&amp;INDEX('ORDENES'!$D$4:$D$1203,U133)&amp;" ("&amp;TEXT(INDEX('ORDENES'!$M$4:$M$1203,U133),"0.#")&amp;" h)")</f>
        <v/>
      </c>
    </row>
    <row r="134">
      <c r="K134" s="3">
        <f>IF(AND(IF($B$3="(todos)",TRUE,'ORDENES'!$O130=$B$3),IF($D$3="(todos)",TRUE,'ORDENES'!$AC130=$D$3),IF($F$3="(todos)",TRUE,'ORDENES'!$V130=$F$3),'ORDENES'!$AA130=TRUE,'ORDENES'!$A130&lt;&gt;""),1,0)</f>
        <v/>
      </c>
      <c r="L134" s="3">
        <f>IF(K134=1,IFERROR(MATCH('ORDENES'!$R130,lista_dias,0),9)*1000000000+IFERROR(MATCH('ORDENES'!$AC130,lista_turnos,0),9)*10000000+IFERROR(MATCH('ORDENES'!$AB130,'TECNICOS'!$B$4:$B$15,0),99)*100000+127,9000000000000+127)</f>
        <v/>
      </c>
      <c r="M134" s="3">
        <f>IF(K134=1,SUMPRODUCT(--($L$8:$L$1207&lt;L134))+1,"")</f>
        <v/>
      </c>
      <c r="N134" s="17">
        <f>IF(K134=1,N('ORDENES'!$M130),0)</f>
        <v/>
      </c>
      <c r="O134" s="17">
        <f>IF('ORDENES'!$S130="preventiva",N134,0)</f>
        <v/>
      </c>
      <c r="P134" s="17">
        <f>IF('ORDENES'!$S130="correctiva",N134,0)</f>
        <v/>
      </c>
      <c r="Q134" s="3">
        <f>IF(AND(K134=1,'ORDENES'!$N130="Pendiente"),1,0)</f>
        <v/>
      </c>
      <c r="R134" s="3">
        <f>IF(Q134=1,100000-N134*1000+127*0.01,9000000000000+127)</f>
        <v/>
      </c>
      <c r="S134" s="3">
        <f>IF(Q134=1,SUMPRODUCT(--($R$8:$R$1207&lt;R134))+1,"")</f>
        <v/>
      </c>
      <c r="T134" s="11">
        <f>IF(K134=1,'ORDENES'!$J130,"")</f>
        <v/>
      </c>
      <c r="U134" s="3">
        <f>IFERROR(MATCH(127,$M$8:$M$1207,0),"")</f>
        <v/>
      </c>
      <c r="V134" s="3">
        <f>IF(U134="","",INDEX('ORDENES'!$R$4:$R$1203,U134))</f>
        <v/>
      </c>
      <c r="W134" s="3">
        <f>IF(U134="","",IF(V134&lt;&gt;V133,CHAR(10)&amp;UPPER(LEFT(V134,1))&amp;MID(V134,2,20)&amp;":"&amp;CHAR(10),"")&amp;"   "&amp;IF(INDEX('ORDENES'!$AC$4:$AC$1203,U134)="","(s/t)",INDEX('ORDENES'!$AC$4:$AC$1203,U134))&amp;" · "&amp;IF(INDEX('ORDENES'!$AB$4:$AB$1203,U134)="","(sin técnico)",INDEX('ORDENES'!$AB$4:$AB$1203,U134))&amp;" · "&amp;INDEX('ORDENES'!$AN$4:$AN$1203,U134)&amp;" — "&amp;INDEX('ORDENES'!$D$4:$D$1203,U134)&amp;" ("&amp;TEXT(INDEX('ORDENES'!$M$4:$M$1203,U134),"0.#")&amp;" h)")</f>
        <v/>
      </c>
    </row>
    <row r="135">
      <c r="K135" s="3">
        <f>IF(AND(IF($B$3="(todos)",TRUE,'ORDENES'!$O131=$B$3),IF($D$3="(todos)",TRUE,'ORDENES'!$AC131=$D$3),IF($F$3="(todos)",TRUE,'ORDENES'!$V131=$F$3),'ORDENES'!$AA131=TRUE,'ORDENES'!$A131&lt;&gt;""),1,0)</f>
        <v/>
      </c>
      <c r="L135" s="3">
        <f>IF(K135=1,IFERROR(MATCH('ORDENES'!$R131,lista_dias,0),9)*1000000000+IFERROR(MATCH('ORDENES'!$AC131,lista_turnos,0),9)*10000000+IFERROR(MATCH('ORDENES'!$AB131,'TECNICOS'!$B$4:$B$15,0),99)*100000+128,9000000000000+128)</f>
        <v/>
      </c>
      <c r="M135" s="3">
        <f>IF(K135=1,SUMPRODUCT(--($L$8:$L$1207&lt;L135))+1,"")</f>
        <v/>
      </c>
      <c r="N135" s="17">
        <f>IF(K135=1,N('ORDENES'!$M131),0)</f>
        <v/>
      </c>
      <c r="O135" s="17">
        <f>IF('ORDENES'!$S131="preventiva",N135,0)</f>
        <v/>
      </c>
      <c r="P135" s="17">
        <f>IF('ORDENES'!$S131="correctiva",N135,0)</f>
        <v/>
      </c>
      <c r="Q135" s="3">
        <f>IF(AND(K135=1,'ORDENES'!$N131="Pendiente"),1,0)</f>
        <v/>
      </c>
      <c r="R135" s="3">
        <f>IF(Q135=1,100000-N135*1000+128*0.01,9000000000000+128)</f>
        <v/>
      </c>
      <c r="S135" s="3">
        <f>IF(Q135=1,SUMPRODUCT(--($R$8:$R$1207&lt;R135))+1,"")</f>
        <v/>
      </c>
      <c r="T135" s="11">
        <f>IF(K135=1,'ORDENES'!$J131,"")</f>
        <v/>
      </c>
      <c r="U135" s="3">
        <f>IFERROR(MATCH(128,$M$8:$M$1207,0),"")</f>
        <v/>
      </c>
      <c r="V135" s="3">
        <f>IF(U135="","",INDEX('ORDENES'!$R$4:$R$1203,U135))</f>
        <v/>
      </c>
      <c r="W135" s="3">
        <f>IF(U135="","",IF(V135&lt;&gt;V134,CHAR(10)&amp;UPPER(LEFT(V135,1))&amp;MID(V135,2,20)&amp;":"&amp;CHAR(10),"")&amp;"   "&amp;IF(INDEX('ORDENES'!$AC$4:$AC$1203,U135)="","(s/t)",INDEX('ORDENES'!$AC$4:$AC$1203,U135))&amp;" · "&amp;IF(INDEX('ORDENES'!$AB$4:$AB$1203,U135)="","(sin técnico)",INDEX('ORDENES'!$AB$4:$AB$1203,U135))&amp;" · "&amp;INDEX('ORDENES'!$AN$4:$AN$1203,U135)&amp;" — "&amp;INDEX('ORDENES'!$D$4:$D$1203,U135)&amp;" ("&amp;TEXT(INDEX('ORDENES'!$M$4:$M$1203,U135),"0.#")&amp;" h)")</f>
        <v/>
      </c>
    </row>
    <row r="136">
      <c r="K136" s="3">
        <f>IF(AND(IF($B$3="(todos)",TRUE,'ORDENES'!$O132=$B$3),IF($D$3="(todos)",TRUE,'ORDENES'!$AC132=$D$3),IF($F$3="(todos)",TRUE,'ORDENES'!$V132=$F$3),'ORDENES'!$AA132=TRUE,'ORDENES'!$A132&lt;&gt;""),1,0)</f>
        <v/>
      </c>
      <c r="L136" s="3">
        <f>IF(K136=1,IFERROR(MATCH('ORDENES'!$R132,lista_dias,0),9)*1000000000+IFERROR(MATCH('ORDENES'!$AC132,lista_turnos,0),9)*10000000+IFERROR(MATCH('ORDENES'!$AB132,'TECNICOS'!$B$4:$B$15,0),99)*100000+129,9000000000000+129)</f>
        <v/>
      </c>
      <c r="M136" s="3">
        <f>IF(K136=1,SUMPRODUCT(--($L$8:$L$1207&lt;L136))+1,"")</f>
        <v/>
      </c>
      <c r="N136" s="17">
        <f>IF(K136=1,N('ORDENES'!$M132),0)</f>
        <v/>
      </c>
      <c r="O136" s="17">
        <f>IF('ORDENES'!$S132="preventiva",N136,0)</f>
        <v/>
      </c>
      <c r="P136" s="17">
        <f>IF('ORDENES'!$S132="correctiva",N136,0)</f>
        <v/>
      </c>
      <c r="Q136" s="3">
        <f>IF(AND(K136=1,'ORDENES'!$N132="Pendiente"),1,0)</f>
        <v/>
      </c>
      <c r="R136" s="3">
        <f>IF(Q136=1,100000-N136*1000+129*0.01,9000000000000+129)</f>
        <v/>
      </c>
      <c r="S136" s="3">
        <f>IF(Q136=1,SUMPRODUCT(--($R$8:$R$1207&lt;R136))+1,"")</f>
        <v/>
      </c>
      <c r="T136" s="11">
        <f>IF(K136=1,'ORDENES'!$J132,"")</f>
        <v/>
      </c>
      <c r="U136" s="3">
        <f>IFERROR(MATCH(129,$M$8:$M$1207,0),"")</f>
        <v/>
      </c>
      <c r="V136" s="3">
        <f>IF(U136="","",INDEX('ORDENES'!$R$4:$R$1203,U136))</f>
        <v/>
      </c>
      <c r="W136" s="3">
        <f>IF(U136="","",IF(V136&lt;&gt;V135,CHAR(10)&amp;UPPER(LEFT(V136,1))&amp;MID(V136,2,20)&amp;":"&amp;CHAR(10),"")&amp;"   "&amp;IF(INDEX('ORDENES'!$AC$4:$AC$1203,U136)="","(s/t)",INDEX('ORDENES'!$AC$4:$AC$1203,U136))&amp;" · "&amp;IF(INDEX('ORDENES'!$AB$4:$AB$1203,U136)="","(sin técnico)",INDEX('ORDENES'!$AB$4:$AB$1203,U136))&amp;" · "&amp;INDEX('ORDENES'!$AN$4:$AN$1203,U136)&amp;" — "&amp;INDEX('ORDENES'!$D$4:$D$1203,U136)&amp;" ("&amp;TEXT(INDEX('ORDENES'!$M$4:$M$1203,U136),"0.#")&amp;" h)")</f>
        <v/>
      </c>
    </row>
    <row r="137">
      <c r="K137" s="3">
        <f>IF(AND(IF($B$3="(todos)",TRUE,'ORDENES'!$O133=$B$3),IF($D$3="(todos)",TRUE,'ORDENES'!$AC133=$D$3),IF($F$3="(todos)",TRUE,'ORDENES'!$V133=$F$3),'ORDENES'!$AA133=TRUE,'ORDENES'!$A133&lt;&gt;""),1,0)</f>
        <v/>
      </c>
      <c r="L137" s="3">
        <f>IF(K137=1,IFERROR(MATCH('ORDENES'!$R133,lista_dias,0),9)*1000000000+IFERROR(MATCH('ORDENES'!$AC133,lista_turnos,0),9)*10000000+IFERROR(MATCH('ORDENES'!$AB133,'TECNICOS'!$B$4:$B$15,0),99)*100000+130,9000000000000+130)</f>
        <v/>
      </c>
      <c r="M137" s="3">
        <f>IF(K137=1,SUMPRODUCT(--($L$8:$L$1207&lt;L137))+1,"")</f>
        <v/>
      </c>
      <c r="N137" s="17">
        <f>IF(K137=1,N('ORDENES'!$M133),0)</f>
        <v/>
      </c>
      <c r="O137" s="17">
        <f>IF('ORDENES'!$S133="preventiva",N137,0)</f>
        <v/>
      </c>
      <c r="P137" s="17">
        <f>IF('ORDENES'!$S133="correctiva",N137,0)</f>
        <v/>
      </c>
      <c r="Q137" s="3">
        <f>IF(AND(K137=1,'ORDENES'!$N133="Pendiente"),1,0)</f>
        <v/>
      </c>
      <c r="R137" s="3">
        <f>IF(Q137=1,100000-N137*1000+130*0.01,9000000000000+130)</f>
        <v/>
      </c>
      <c r="S137" s="3">
        <f>IF(Q137=1,SUMPRODUCT(--($R$8:$R$1207&lt;R137))+1,"")</f>
        <v/>
      </c>
      <c r="T137" s="11">
        <f>IF(K137=1,'ORDENES'!$J133,"")</f>
        <v/>
      </c>
      <c r="U137" s="3">
        <f>IFERROR(MATCH(130,$M$8:$M$1207,0),"")</f>
        <v/>
      </c>
      <c r="V137" s="3">
        <f>IF(U137="","",INDEX('ORDENES'!$R$4:$R$1203,U137))</f>
        <v/>
      </c>
      <c r="W137" s="3">
        <f>IF(U137="","",IF(V137&lt;&gt;V136,CHAR(10)&amp;UPPER(LEFT(V137,1))&amp;MID(V137,2,20)&amp;":"&amp;CHAR(10),"")&amp;"   "&amp;IF(INDEX('ORDENES'!$AC$4:$AC$1203,U137)="","(s/t)",INDEX('ORDENES'!$AC$4:$AC$1203,U137))&amp;" · "&amp;IF(INDEX('ORDENES'!$AB$4:$AB$1203,U137)="","(sin técnico)",INDEX('ORDENES'!$AB$4:$AB$1203,U137))&amp;" · "&amp;INDEX('ORDENES'!$AN$4:$AN$1203,U137)&amp;" — "&amp;INDEX('ORDENES'!$D$4:$D$1203,U137)&amp;" ("&amp;TEXT(INDEX('ORDENES'!$M$4:$M$1203,U137),"0.#")&amp;" h)")</f>
        <v/>
      </c>
    </row>
    <row r="138">
      <c r="K138" s="3">
        <f>IF(AND(IF($B$3="(todos)",TRUE,'ORDENES'!$O134=$B$3),IF($D$3="(todos)",TRUE,'ORDENES'!$AC134=$D$3),IF($F$3="(todos)",TRUE,'ORDENES'!$V134=$F$3),'ORDENES'!$AA134=TRUE,'ORDENES'!$A134&lt;&gt;""),1,0)</f>
        <v/>
      </c>
      <c r="L138" s="3">
        <f>IF(K138=1,IFERROR(MATCH('ORDENES'!$R134,lista_dias,0),9)*1000000000+IFERROR(MATCH('ORDENES'!$AC134,lista_turnos,0),9)*10000000+IFERROR(MATCH('ORDENES'!$AB134,'TECNICOS'!$B$4:$B$15,0),99)*100000+131,9000000000000+131)</f>
        <v/>
      </c>
      <c r="M138" s="3">
        <f>IF(K138=1,SUMPRODUCT(--($L$8:$L$1207&lt;L138))+1,"")</f>
        <v/>
      </c>
      <c r="N138" s="17">
        <f>IF(K138=1,N('ORDENES'!$M134),0)</f>
        <v/>
      </c>
      <c r="O138" s="17">
        <f>IF('ORDENES'!$S134="preventiva",N138,0)</f>
        <v/>
      </c>
      <c r="P138" s="17">
        <f>IF('ORDENES'!$S134="correctiva",N138,0)</f>
        <v/>
      </c>
      <c r="Q138" s="3">
        <f>IF(AND(K138=1,'ORDENES'!$N134="Pendiente"),1,0)</f>
        <v/>
      </c>
      <c r="R138" s="3">
        <f>IF(Q138=1,100000-N138*1000+131*0.01,9000000000000+131)</f>
        <v/>
      </c>
      <c r="S138" s="3">
        <f>IF(Q138=1,SUMPRODUCT(--($R$8:$R$1207&lt;R138))+1,"")</f>
        <v/>
      </c>
      <c r="T138" s="11">
        <f>IF(K138=1,'ORDENES'!$J134,"")</f>
        <v/>
      </c>
      <c r="U138" s="3">
        <f>IFERROR(MATCH(131,$M$8:$M$1207,0),"")</f>
        <v/>
      </c>
      <c r="V138" s="3">
        <f>IF(U138="","",INDEX('ORDENES'!$R$4:$R$1203,U138))</f>
        <v/>
      </c>
      <c r="W138" s="3">
        <f>IF(U138="","",IF(V138&lt;&gt;V137,CHAR(10)&amp;UPPER(LEFT(V138,1))&amp;MID(V138,2,20)&amp;":"&amp;CHAR(10),"")&amp;"   "&amp;IF(INDEX('ORDENES'!$AC$4:$AC$1203,U138)="","(s/t)",INDEX('ORDENES'!$AC$4:$AC$1203,U138))&amp;" · "&amp;IF(INDEX('ORDENES'!$AB$4:$AB$1203,U138)="","(sin técnico)",INDEX('ORDENES'!$AB$4:$AB$1203,U138))&amp;" · "&amp;INDEX('ORDENES'!$AN$4:$AN$1203,U138)&amp;" — "&amp;INDEX('ORDENES'!$D$4:$D$1203,U138)&amp;" ("&amp;TEXT(INDEX('ORDENES'!$M$4:$M$1203,U138),"0.#")&amp;" h)")</f>
        <v/>
      </c>
    </row>
    <row r="139">
      <c r="K139" s="3">
        <f>IF(AND(IF($B$3="(todos)",TRUE,'ORDENES'!$O135=$B$3),IF($D$3="(todos)",TRUE,'ORDENES'!$AC135=$D$3),IF($F$3="(todos)",TRUE,'ORDENES'!$V135=$F$3),'ORDENES'!$AA135=TRUE,'ORDENES'!$A135&lt;&gt;""),1,0)</f>
        <v/>
      </c>
      <c r="L139" s="3">
        <f>IF(K139=1,IFERROR(MATCH('ORDENES'!$R135,lista_dias,0),9)*1000000000+IFERROR(MATCH('ORDENES'!$AC135,lista_turnos,0),9)*10000000+IFERROR(MATCH('ORDENES'!$AB135,'TECNICOS'!$B$4:$B$15,0),99)*100000+132,9000000000000+132)</f>
        <v/>
      </c>
      <c r="M139" s="3">
        <f>IF(K139=1,SUMPRODUCT(--($L$8:$L$1207&lt;L139))+1,"")</f>
        <v/>
      </c>
      <c r="N139" s="17">
        <f>IF(K139=1,N('ORDENES'!$M135),0)</f>
        <v/>
      </c>
      <c r="O139" s="17">
        <f>IF('ORDENES'!$S135="preventiva",N139,0)</f>
        <v/>
      </c>
      <c r="P139" s="17">
        <f>IF('ORDENES'!$S135="correctiva",N139,0)</f>
        <v/>
      </c>
      <c r="Q139" s="3">
        <f>IF(AND(K139=1,'ORDENES'!$N135="Pendiente"),1,0)</f>
        <v/>
      </c>
      <c r="R139" s="3">
        <f>IF(Q139=1,100000-N139*1000+132*0.01,9000000000000+132)</f>
        <v/>
      </c>
      <c r="S139" s="3">
        <f>IF(Q139=1,SUMPRODUCT(--($R$8:$R$1207&lt;R139))+1,"")</f>
        <v/>
      </c>
      <c r="T139" s="11">
        <f>IF(K139=1,'ORDENES'!$J135,"")</f>
        <v/>
      </c>
      <c r="U139" s="3">
        <f>IFERROR(MATCH(132,$M$8:$M$1207,0),"")</f>
        <v/>
      </c>
      <c r="V139" s="3">
        <f>IF(U139="","",INDEX('ORDENES'!$R$4:$R$1203,U139))</f>
        <v/>
      </c>
      <c r="W139" s="3">
        <f>IF(U139="","",IF(V139&lt;&gt;V138,CHAR(10)&amp;UPPER(LEFT(V139,1))&amp;MID(V139,2,20)&amp;":"&amp;CHAR(10),"")&amp;"   "&amp;IF(INDEX('ORDENES'!$AC$4:$AC$1203,U139)="","(s/t)",INDEX('ORDENES'!$AC$4:$AC$1203,U139))&amp;" · "&amp;IF(INDEX('ORDENES'!$AB$4:$AB$1203,U139)="","(sin técnico)",INDEX('ORDENES'!$AB$4:$AB$1203,U139))&amp;" · "&amp;INDEX('ORDENES'!$AN$4:$AN$1203,U139)&amp;" — "&amp;INDEX('ORDENES'!$D$4:$D$1203,U139)&amp;" ("&amp;TEXT(INDEX('ORDENES'!$M$4:$M$1203,U139),"0.#")&amp;" h)")</f>
        <v/>
      </c>
    </row>
    <row r="140">
      <c r="K140" s="3">
        <f>IF(AND(IF($B$3="(todos)",TRUE,'ORDENES'!$O136=$B$3),IF($D$3="(todos)",TRUE,'ORDENES'!$AC136=$D$3),IF($F$3="(todos)",TRUE,'ORDENES'!$V136=$F$3),'ORDENES'!$AA136=TRUE,'ORDENES'!$A136&lt;&gt;""),1,0)</f>
        <v/>
      </c>
      <c r="L140" s="3">
        <f>IF(K140=1,IFERROR(MATCH('ORDENES'!$R136,lista_dias,0),9)*1000000000+IFERROR(MATCH('ORDENES'!$AC136,lista_turnos,0),9)*10000000+IFERROR(MATCH('ORDENES'!$AB136,'TECNICOS'!$B$4:$B$15,0),99)*100000+133,9000000000000+133)</f>
        <v/>
      </c>
      <c r="M140" s="3">
        <f>IF(K140=1,SUMPRODUCT(--($L$8:$L$1207&lt;L140))+1,"")</f>
        <v/>
      </c>
      <c r="N140" s="17">
        <f>IF(K140=1,N('ORDENES'!$M136),0)</f>
        <v/>
      </c>
      <c r="O140" s="17">
        <f>IF('ORDENES'!$S136="preventiva",N140,0)</f>
        <v/>
      </c>
      <c r="P140" s="17">
        <f>IF('ORDENES'!$S136="correctiva",N140,0)</f>
        <v/>
      </c>
      <c r="Q140" s="3">
        <f>IF(AND(K140=1,'ORDENES'!$N136="Pendiente"),1,0)</f>
        <v/>
      </c>
      <c r="R140" s="3">
        <f>IF(Q140=1,100000-N140*1000+133*0.01,9000000000000+133)</f>
        <v/>
      </c>
      <c r="S140" s="3">
        <f>IF(Q140=1,SUMPRODUCT(--($R$8:$R$1207&lt;R140))+1,"")</f>
        <v/>
      </c>
      <c r="T140" s="11">
        <f>IF(K140=1,'ORDENES'!$J136,"")</f>
        <v/>
      </c>
      <c r="U140" s="3">
        <f>IFERROR(MATCH(133,$M$8:$M$1207,0),"")</f>
        <v/>
      </c>
      <c r="V140" s="3">
        <f>IF(U140="","",INDEX('ORDENES'!$R$4:$R$1203,U140))</f>
        <v/>
      </c>
      <c r="W140" s="3">
        <f>IF(U140="","",IF(V140&lt;&gt;V139,CHAR(10)&amp;UPPER(LEFT(V140,1))&amp;MID(V140,2,20)&amp;":"&amp;CHAR(10),"")&amp;"   "&amp;IF(INDEX('ORDENES'!$AC$4:$AC$1203,U140)="","(s/t)",INDEX('ORDENES'!$AC$4:$AC$1203,U140))&amp;" · "&amp;IF(INDEX('ORDENES'!$AB$4:$AB$1203,U140)="","(sin técnico)",INDEX('ORDENES'!$AB$4:$AB$1203,U140))&amp;" · "&amp;INDEX('ORDENES'!$AN$4:$AN$1203,U140)&amp;" — "&amp;INDEX('ORDENES'!$D$4:$D$1203,U140)&amp;" ("&amp;TEXT(INDEX('ORDENES'!$M$4:$M$1203,U140),"0.#")&amp;" h)")</f>
        <v/>
      </c>
    </row>
    <row r="141">
      <c r="K141" s="3">
        <f>IF(AND(IF($B$3="(todos)",TRUE,'ORDENES'!$O137=$B$3),IF($D$3="(todos)",TRUE,'ORDENES'!$AC137=$D$3),IF($F$3="(todos)",TRUE,'ORDENES'!$V137=$F$3),'ORDENES'!$AA137=TRUE,'ORDENES'!$A137&lt;&gt;""),1,0)</f>
        <v/>
      </c>
      <c r="L141" s="3">
        <f>IF(K141=1,IFERROR(MATCH('ORDENES'!$R137,lista_dias,0),9)*1000000000+IFERROR(MATCH('ORDENES'!$AC137,lista_turnos,0),9)*10000000+IFERROR(MATCH('ORDENES'!$AB137,'TECNICOS'!$B$4:$B$15,0),99)*100000+134,9000000000000+134)</f>
        <v/>
      </c>
      <c r="M141" s="3">
        <f>IF(K141=1,SUMPRODUCT(--($L$8:$L$1207&lt;L141))+1,"")</f>
        <v/>
      </c>
      <c r="N141" s="17">
        <f>IF(K141=1,N('ORDENES'!$M137),0)</f>
        <v/>
      </c>
      <c r="O141" s="17">
        <f>IF('ORDENES'!$S137="preventiva",N141,0)</f>
        <v/>
      </c>
      <c r="P141" s="17">
        <f>IF('ORDENES'!$S137="correctiva",N141,0)</f>
        <v/>
      </c>
      <c r="Q141" s="3">
        <f>IF(AND(K141=1,'ORDENES'!$N137="Pendiente"),1,0)</f>
        <v/>
      </c>
      <c r="R141" s="3">
        <f>IF(Q141=1,100000-N141*1000+134*0.01,9000000000000+134)</f>
        <v/>
      </c>
      <c r="S141" s="3">
        <f>IF(Q141=1,SUMPRODUCT(--($R$8:$R$1207&lt;R141))+1,"")</f>
        <v/>
      </c>
      <c r="T141" s="11">
        <f>IF(K141=1,'ORDENES'!$J137,"")</f>
        <v/>
      </c>
      <c r="U141" s="3">
        <f>IFERROR(MATCH(134,$M$8:$M$1207,0),"")</f>
        <v/>
      </c>
      <c r="V141" s="3">
        <f>IF(U141="","",INDEX('ORDENES'!$R$4:$R$1203,U141))</f>
        <v/>
      </c>
      <c r="W141" s="3">
        <f>IF(U141="","",IF(V141&lt;&gt;V140,CHAR(10)&amp;UPPER(LEFT(V141,1))&amp;MID(V141,2,20)&amp;":"&amp;CHAR(10),"")&amp;"   "&amp;IF(INDEX('ORDENES'!$AC$4:$AC$1203,U141)="","(s/t)",INDEX('ORDENES'!$AC$4:$AC$1203,U141))&amp;" · "&amp;IF(INDEX('ORDENES'!$AB$4:$AB$1203,U141)="","(sin técnico)",INDEX('ORDENES'!$AB$4:$AB$1203,U141))&amp;" · "&amp;INDEX('ORDENES'!$AN$4:$AN$1203,U141)&amp;" — "&amp;INDEX('ORDENES'!$D$4:$D$1203,U141)&amp;" ("&amp;TEXT(INDEX('ORDENES'!$M$4:$M$1203,U141),"0.#")&amp;" h)")</f>
        <v/>
      </c>
    </row>
    <row r="142">
      <c r="K142" s="3">
        <f>IF(AND(IF($B$3="(todos)",TRUE,'ORDENES'!$O138=$B$3),IF($D$3="(todos)",TRUE,'ORDENES'!$AC138=$D$3),IF($F$3="(todos)",TRUE,'ORDENES'!$V138=$F$3),'ORDENES'!$AA138=TRUE,'ORDENES'!$A138&lt;&gt;""),1,0)</f>
        <v/>
      </c>
      <c r="L142" s="3">
        <f>IF(K142=1,IFERROR(MATCH('ORDENES'!$R138,lista_dias,0),9)*1000000000+IFERROR(MATCH('ORDENES'!$AC138,lista_turnos,0),9)*10000000+IFERROR(MATCH('ORDENES'!$AB138,'TECNICOS'!$B$4:$B$15,0),99)*100000+135,9000000000000+135)</f>
        <v/>
      </c>
      <c r="M142" s="3">
        <f>IF(K142=1,SUMPRODUCT(--($L$8:$L$1207&lt;L142))+1,"")</f>
        <v/>
      </c>
      <c r="N142" s="17">
        <f>IF(K142=1,N('ORDENES'!$M138),0)</f>
        <v/>
      </c>
      <c r="O142" s="17">
        <f>IF('ORDENES'!$S138="preventiva",N142,0)</f>
        <v/>
      </c>
      <c r="P142" s="17">
        <f>IF('ORDENES'!$S138="correctiva",N142,0)</f>
        <v/>
      </c>
      <c r="Q142" s="3">
        <f>IF(AND(K142=1,'ORDENES'!$N138="Pendiente"),1,0)</f>
        <v/>
      </c>
      <c r="R142" s="3">
        <f>IF(Q142=1,100000-N142*1000+135*0.01,9000000000000+135)</f>
        <v/>
      </c>
      <c r="S142" s="3">
        <f>IF(Q142=1,SUMPRODUCT(--($R$8:$R$1207&lt;R142))+1,"")</f>
        <v/>
      </c>
      <c r="T142" s="11">
        <f>IF(K142=1,'ORDENES'!$J138,"")</f>
        <v/>
      </c>
      <c r="U142" s="3">
        <f>IFERROR(MATCH(135,$M$8:$M$1207,0),"")</f>
        <v/>
      </c>
      <c r="V142" s="3">
        <f>IF(U142="","",INDEX('ORDENES'!$R$4:$R$1203,U142))</f>
        <v/>
      </c>
      <c r="W142" s="3">
        <f>IF(U142="","",IF(V142&lt;&gt;V141,CHAR(10)&amp;UPPER(LEFT(V142,1))&amp;MID(V142,2,20)&amp;":"&amp;CHAR(10),"")&amp;"   "&amp;IF(INDEX('ORDENES'!$AC$4:$AC$1203,U142)="","(s/t)",INDEX('ORDENES'!$AC$4:$AC$1203,U142))&amp;" · "&amp;IF(INDEX('ORDENES'!$AB$4:$AB$1203,U142)="","(sin técnico)",INDEX('ORDENES'!$AB$4:$AB$1203,U142))&amp;" · "&amp;INDEX('ORDENES'!$AN$4:$AN$1203,U142)&amp;" — "&amp;INDEX('ORDENES'!$D$4:$D$1203,U142)&amp;" ("&amp;TEXT(INDEX('ORDENES'!$M$4:$M$1203,U142),"0.#")&amp;" h)")</f>
        <v/>
      </c>
    </row>
    <row r="143">
      <c r="K143" s="3">
        <f>IF(AND(IF($B$3="(todos)",TRUE,'ORDENES'!$O139=$B$3),IF($D$3="(todos)",TRUE,'ORDENES'!$AC139=$D$3),IF($F$3="(todos)",TRUE,'ORDENES'!$V139=$F$3),'ORDENES'!$AA139=TRUE,'ORDENES'!$A139&lt;&gt;""),1,0)</f>
        <v/>
      </c>
      <c r="L143" s="3">
        <f>IF(K143=1,IFERROR(MATCH('ORDENES'!$R139,lista_dias,0),9)*1000000000+IFERROR(MATCH('ORDENES'!$AC139,lista_turnos,0),9)*10000000+IFERROR(MATCH('ORDENES'!$AB139,'TECNICOS'!$B$4:$B$15,0),99)*100000+136,9000000000000+136)</f>
        <v/>
      </c>
      <c r="M143" s="3">
        <f>IF(K143=1,SUMPRODUCT(--($L$8:$L$1207&lt;L143))+1,"")</f>
        <v/>
      </c>
      <c r="N143" s="17">
        <f>IF(K143=1,N('ORDENES'!$M139),0)</f>
        <v/>
      </c>
      <c r="O143" s="17">
        <f>IF('ORDENES'!$S139="preventiva",N143,0)</f>
        <v/>
      </c>
      <c r="P143" s="17">
        <f>IF('ORDENES'!$S139="correctiva",N143,0)</f>
        <v/>
      </c>
      <c r="Q143" s="3">
        <f>IF(AND(K143=1,'ORDENES'!$N139="Pendiente"),1,0)</f>
        <v/>
      </c>
      <c r="R143" s="3">
        <f>IF(Q143=1,100000-N143*1000+136*0.01,9000000000000+136)</f>
        <v/>
      </c>
      <c r="S143" s="3">
        <f>IF(Q143=1,SUMPRODUCT(--($R$8:$R$1207&lt;R143))+1,"")</f>
        <v/>
      </c>
      <c r="T143" s="11">
        <f>IF(K143=1,'ORDENES'!$J139,"")</f>
        <v/>
      </c>
      <c r="U143" s="3">
        <f>IFERROR(MATCH(136,$M$8:$M$1207,0),"")</f>
        <v/>
      </c>
      <c r="V143" s="3">
        <f>IF(U143="","",INDEX('ORDENES'!$R$4:$R$1203,U143))</f>
        <v/>
      </c>
      <c r="W143" s="3">
        <f>IF(U143="","",IF(V143&lt;&gt;V142,CHAR(10)&amp;UPPER(LEFT(V143,1))&amp;MID(V143,2,20)&amp;":"&amp;CHAR(10),"")&amp;"   "&amp;IF(INDEX('ORDENES'!$AC$4:$AC$1203,U143)="","(s/t)",INDEX('ORDENES'!$AC$4:$AC$1203,U143))&amp;" · "&amp;IF(INDEX('ORDENES'!$AB$4:$AB$1203,U143)="","(sin técnico)",INDEX('ORDENES'!$AB$4:$AB$1203,U143))&amp;" · "&amp;INDEX('ORDENES'!$AN$4:$AN$1203,U143)&amp;" — "&amp;INDEX('ORDENES'!$D$4:$D$1203,U143)&amp;" ("&amp;TEXT(INDEX('ORDENES'!$M$4:$M$1203,U143),"0.#")&amp;" h)")</f>
        <v/>
      </c>
    </row>
    <row r="144">
      <c r="K144" s="3">
        <f>IF(AND(IF($B$3="(todos)",TRUE,'ORDENES'!$O140=$B$3),IF($D$3="(todos)",TRUE,'ORDENES'!$AC140=$D$3),IF($F$3="(todos)",TRUE,'ORDENES'!$V140=$F$3),'ORDENES'!$AA140=TRUE,'ORDENES'!$A140&lt;&gt;""),1,0)</f>
        <v/>
      </c>
      <c r="L144" s="3">
        <f>IF(K144=1,IFERROR(MATCH('ORDENES'!$R140,lista_dias,0),9)*1000000000+IFERROR(MATCH('ORDENES'!$AC140,lista_turnos,0),9)*10000000+IFERROR(MATCH('ORDENES'!$AB140,'TECNICOS'!$B$4:$B$15,0),99)*100000+137,9000000000000+137)</f>
        <v/>
      </c>
      <c r="M144" s="3">
        <f>IF(K144=1,SUMPRODUCT(--($L$8:$L$1207&lt;L144))+1,"")</f>
        <v/>
      </c>
      <c r="N144" s="17">
        <f>IF(K144=1,N('ORDENES'!$M140),0)</f>
        <v/>
      </c>
      <c r="O144" s="17">
        <f>IF('ORDENES'!$S140="preventiva",N144,0)</f>
        <v/>
      </c>
      <c r="P144" s="17">
        <f>IF('ORDENES'!$S140="correctiva",N144,0)</f>
        <v/>
      </c>
      <c r="Q144" s="3">
        <f>IF(AND(K144=1,'ORDENES'!$N140="Pendiente"),1,0)</f>
        <v/>
      </c>
      <c r="R144" s="3">
        <f>IF(Q144=1,100000-N144*1000+137*0.01,9000000000000+137)</f>
        <v/>
      </c>
      <c r="S144" s="3">
        <f>IF(Q144=1,SUMPRODUCT(--($R$8:$R$1207&lt;R144))+1,"")</f>
        <v/>
      </c>
      <c r="T144" s="11">
        <f>IF(K144=1,'ORDENES'!$J140,"")</f>
        <v/>
      </c>
      <c r="U144" s="3">
        <f>IFERROR(MATCH(137,$M$8:$M$1207,0),"")</f>
        <v/>
      </c>
      <c r="V144" s="3">
        <f>IF(U144="","",INDEX('ORDENES'!$R$4:$R$1203,U144))</f>
        <v/>
      </c>
      <c r="W144" s="3">
        <f>IF(U144="","",IF(V144&lt;&gt;V143,CHAR(10)&amp;UPPER(LEFT(V144,1))&amp;MID(V144,2,20)&amp;":"&amp;CHAR(10),"")&amp;"   "&amp;IF(INDEX('ORDENES'!$AC$4:$AC$1203,U144)="","(s/t)",INDEX('ORDENES'!$AC$4:$AC$1203,U144))&amp;" · "&amp;IF(INDEX('ORDENES'!$AB$4:$AB$1203,U144)="","(sin técnico)",INDEX('ORDENES'!$AB$4:$AB$1203,U144))&amp;" · "&amp;INDEX('ORDENES'!$AN$4:$AN$1203,U144)&amp;" — "&amp;INDEX('ORDENES'!$D$4:$D$1203,U144)&amp;" ("&amp;TEXT(INDEX('ORDENES'!$M$4:$M$1203,U144),"0.#")&amp;" h)")</f>
        <v/>
      </c>
    </row>
    <row r="145">
      <c r="K145" s="3">
        <f>IF(AND(IF($B$3="(todos)",TRUE,'ORDENES'!$O141=$B$3),IF($D$3="(todos)",TRUE,'ORDENES'!$AC141=$D$3),IF($F$3="(todos)",TRUE,'ORDENES'!$V141=$F$3),'ORDENES'!$AA141=TRUE,'ORDENES'!$A141&lt;&gt;""),1,0)</f>
        <v/>
      </c>
      <c r="L145" s="3">
        <f>IF(K145=1,IFERROR(MATCH('ORDENES'!$R141,lista_dias,0),9)*1000000000+IFERROR(MATCH('ORDENES'!$AC141,lista_turnos,0),9)*10000000+IFERROR(MATCH('ORDENES'!$AB141,'TECNICOS'!$B$4:$B$15,0),99)*100000+138,9000000000000+138)</f>
        <v/>
      </c>
      <c r="M145" s="3">
        <f>IF(K145=1,SUMPRODUCT(--($L$8:$L$1207&lt;L145))+1,"")</f>
        <v/>
      </c>
      <c r="N145" s="17">
        <f>IF(K145=1,N('ORDENES'!$M141),0)</f>
        <v/>
      </c>
      <c r="O145" s="17">
        <f>IF('ORDENES'!$S141="preventiva",N145,0)</f>
        <v/>
      </c>
      <c r="P145" s="17">
        <f>IF('ORDENES'!$S141="correctiva",N145,0)</f>
        <v/>
      </c>
      <c r="Q145" s="3">
        <f>IF(AND(K145=1,'ORDENES'!$N141="Pendiente"),1,0)</f>
        <v/>
      </c>
      <c r="R145" s="3">
        <f>IF(Q145=1,100000-N145*1000+138*0.01,9000000000000+138)</f>
        <v/>
      </c>
      <c r="S145" s="3">
        <f>IF(Q145=1,SUMPRODUCT(--($R$8:$R$1207&lt;R145))+1,"")</f>
        <v/>
      </c>
      <c r="T145" s="11">
        <f>IF(K145=1,'ORDENES'!$J141,"")</f>
        <v/>
      </c>
      <c r="U145" s="3">
        <f>IFERROR(MATCH(138,$M$8:$M$1207,0),"")</f>
        <v/>
      </c>
      <c r="V145" s="3">
        <f>IF(U145="","",INDEX('ORDENES'!$R$4:$R$1203,U145))</f>
        <v/>
      </c>
      <c r="W145" s="3">
        <f>IF(U145="","",IF(V145&lt;&gt;V144,CHAR(10)&amp;UPPER(LEFT(V145,1))&amp;MID(V145,2,20)&amp;":"&amp;CHAR(10),"")&amp;"   "&amp;IF(INDEX('ORDENES'!$AC$4:$AC$1203,U145)="","(s/t)",INDEX('ORDENES'!$AC$4:$AC$1203,U145))&amp;" · "&amp;IF(INDEX('ORDENES'!$AB$4:$AB$1203,U145)="","(sin técnico)",INDEX('ORDENES'!$AB$4:$AB$1203,U145))&amp;" · "&amp;INDEX('ORDENES'!$AN$4:$AN$1203,U145)&amp;" — "&amp;INDEX('ORDENES'!$D$4:$D$1203,U145)&amp;" ("&amp;TEXT(INDEX('ORDENES'!$M$4:$M$1203,U145),"0.#")&amp;" h)")</f>
        <v/>
      </c>
    </row>
    <row r="146">
      <c r="K146" s="3">
        <f>IF(AND(IF($B$3="(todos)",TRUE,'ORDENES'!$O142=$B$3),IF($D$3="(todos)",TRUE,'ORDENES'!$AC142=$D$3),IF($F$3="(todos)",TRUE,'ORDENES'!$V142=$F$3),'ORDENES'!$AA142=TRUE,'ORDENES'!$A142&lt;&gt;""),1,0)</f>
        <v/>
      </c>
      <c r="L146" s="3">
        <f>IF(K146=1,IFERROR(MATCH('ORDENES'!$R142,lista_dias,0),9)*1000000000+IFERROR(MATCH('ORDENES'!$AC142,lista_turnos,0),9)*10000000+IFERROR(MATCH('ORDENES'!$AB142,'TECNICOS'!$B$4:$B$15,0),99)*100000+139,9000000000000+139)</f>
        <v/>
      </c>
      <c r="M146" s="3">
        <f>IF(K146=1,SUMPRODUCT(--($L$8:$L$1207&lt;L146))+1,"")</f>
        <v/>
      </c>
      <c r="N146" s="17">
        <f>IF(K146=1,N('ORDENES'!$M142),0)</f>
        <v/>
      </c>
      <c r="O146" s="17">
        <f>IF('ORDENES'!$S142="preventiva",N146,0)</f>
        <v/>
      </c>
      <c r="P146" s="17">
        <f>IF('ORDENES'!$S142="correctiva",N146,0)</f>
        <v/>
      </c>
      <c r="Q146" s="3">
        <f>IF(AND(K146=1,'ORDENES'!$N142="Pendiente"),1,0)</f>
        <v/>
      </c>
      <c r="R146" s="3">
        <f>IF(Q146=1,100000-N146*1000+139*0.01,9000000000000+139)</f>
        <v/>
      </c>
      <c r="S146" s="3">
        <f>IF(Q146=1,SUMPRODUCT(--($R$8:$R$1207&lt;R146))+1,"")</f>
        <v/>
      </c>
      <c r="T146" s="11">
        <f>IF(K146=1,'ORDENES'!$J142,"")</f>
        <v/>
      </c>
      <c r="U146" s="3">
        <f>IFERROR(MATCH(139,$M$8:$M$1207,0),"")</f>
        <v/>
      </c>
      <c r="V146" s="3">
        <f>IF(U146="","",INDEX('ORDENES'!$R$4:$R$1203,U146))</f>
        <v/>
      </c>
      <c r="W146" s="3">
        <f>IF(U146="","",IF(V146&lt;&gt;V145,CHAR(10)&amp;UPPER(LEFT(V146,1))&amp;MID(V146,2,20)&amp;":"&amp;CHAR(10),"")&amp;"   "&amp;IF(INDEX('ORDENES'!$AC$4:$AC$1203,U146)="","(s/t)",INDEX('ORDENES'!$AC$4:$AC$1203,U146))&amp;" · "&amp;IF(INDEX('ORDENES'!$AB$4:$AB$1203,U146)="","(sin técnico)",INDEX('ORDENES'!$AB$4:$AB$1203,U146))&amp;" · "&amp;INDEX('ORDENES'!$AN$4:$AN$1203,U146)&amp;" — "&amp;INDEX('ORDENES'!$D$4:$D$1203,U146)&amp;" ("&amp;TEXT(INDEX('ORDENES'!$M$4:$M$1203,U146),"0.#")&amp;" h)")</f>
        <v/>
      </c>
    </row>
    <row r="147">
      <c r="K147" s="3">
        <f>IF(AND(IF($B$3="(todos)",TRUE,'ORDENES'!$O143=$B$3),IF($D$3="(todos)",TRUE,'ORDENES'!$AC143=$D$3),IF($F$3="(todos)",TRUE,'ORDENES'!$V143=$F$3),'ORDENES'!$AA143=TRUE,'ORDENES'!$A143&lt;&gt;""),1,0)</f>
        <v/>
      </c>
      <c r="L147" s="3">
        <f>IF(K147=1,IFERROR(MATCH('ORDENES'!$R143,lista_dias,0),9)*1000000000+IFERROR(MATCH('ORDENES'!$AC143,lista_turnos,0),9)*10000000+IFERROR(MATCH('ORDENES'!$AB143,'TECNICOS'!$B$4:$B$15,0),99)*100000+140,9000000000000+140)</f>
        <v/>
      </c>
      <c r="M147" s="3">
        <f>IF(K147=1,SUMPRODUCT(--($L$8:$L$1207&lt;L147))+1,"")</f>
        <v/>
      </c>
      <c r="N147" s="17">
        <f>IF(K147=1,N('ORDENES'!$M143),0)</f>
        <v/>
      </c>
      <c r="O147" s="17">
        <f>IF('ORDENES'!$S143="preventiva",N147,0)</f>
        <v/>
      </c>
      <c r="P147" s="17">
        <f>IF('ORDENES'!$S143="correctiva",N147,0)</f>
        <v/>
      </c>
      <c r="Q147" s="3">
        <f>IF(AND(K147=1,'ORDENES'!$N143="Pendiente"),1,0)</f>
        <v/>
      </c>
      <c r="R147" s="3">
        <f>IF(Q147=1,100000-N147*1000+140*0.01,9000000000000+140)</f>
        <v/>
      </c>
      <c r="S147" s="3">
        <f>IF(Q147=1,SUMPRODUCT(--($R$8:$R$1207&lt;R147))+1,"")</f>
        <v/>
      </c>
      <c r="T147" s="11">
        <f>IF(K147=1,'ORDENES'!$J143,"")</f>
        <v/>
      </c>
      <c r="U147" s="3">
        <f>IFERROR(MATCH(140,$M$8:$M$1207,0),"")</f>
        <v/>
      </c>
      <c r="V147" s="3">
        <f>IF(U147="","",INDEX('ORDENES'!$R$4:$R$1203,U147))</f>
        <v/>
      </c>
      <c r="W147" s="3">
        <f>IF(U147="","",IF(V147&lt;&gt;V146,CHAR(10)&amp;UPPER(LEFT(V147,1))&amp;MID(V147,2,20)&amp;":"&amp;CHAR(10),"")&amp;"   "&amp;IF(INDEX('ORDENES'!$AC$4:$AC$1203,U147)="","(s/t)",INDEX('ORDENES'!$AC$4:$AC$1203,U147))&amp;" · "&amp;IF(INDEX('ORDENES'!$AB$4:$AB$1203,U147)="","(sin técnico)",INDEX('ORDENES'!$AB$4:$AB$1203,U147))&amp;" · "&amp;INDEX('ORDENES'!$AN$4:$AN$1203,U147)&amp;" — "&amp;INDEX('ORDENES'!$D$4:$D$1203,U147)&amp;" ("&amp;TEXT(INDEX('ORDENES'!$M$4:$M$1203,U147),"0.#")&amp;" h)")</f>
        <v/>
      </c>
    </row>
    <row r="148">
      <c r="K148" s="3">
        <f>IF(AND(IF($B$3="(todos)",TRUE,'ORDENES'!$O144=$B$3),IF($D$3="(todos)",TRUE,'ORDENES'!$AC144=$D$3),IF($F$3="(todos)",TRUE,'ORDENES'!$V144=$F$3),'ORDENES'!$AA144=TRUE,'ORDENES'!$A144&lt;&gt;""),1,0)</f>
        <v/>
      </c>
      <c r="L148" s="3">
        <f>IF(K148=1,IFERROR(MATCH('ORDENES'!$R144,lista_dias,0),9)*1000000000+IFERROR(MATCH('ORDENES'!$AC144,lista_turnos,0),9)*10000000+IFERROR(MATCH('ORDENES'!$AB144,'TECNICOS'!$B$4:$B$15,0),99)*100000+141,9000000000000+141)</f>
        <v/>
      </c>
      <c r="M148" s="3">
        <f>IF(K148=1,SUMPRODUCT(--($L$8:$L$1207&lt;L148))+1,"")</f>
        <v/>
      </c>
      <c r="N148" s="17">
        <f>IF(K148=1,N('ORDENES'!$M144),0)</f>
        <v/>
      </c>
      <c r="O148" s="17">
        <f>IF('ORDENES'!$S144="preventiva",N148,0)</f>
        <v/>
      </c>
      <c r="P148" s="17">
        <f>IF('ORDENES'!$S144="correctiva",N148,0)</f>
        <v/>
      </c>
      <c r="Q148" s="3">
        <f>IF(AND(K148=1,'ORDENES'!$N144="Pendiente"),1,0)</f>
        <v/>
      </c>
      <c r="R148" s="3">
        <f>IF(Q148=1,100000-N148*1000+141*0.01,9000000000000+141)</f>
        <v/>
      </c>
      <c r="S148" s="3">
        <f>IF(Q148=1,SUMPRODUCT(--($R$8:$R$1207&lt;R148))+1,"")</f>
        <v/>
      </c>
      <c r="T148" s="11">
        <f>IF(K148=1,'ORDENES'!$J144,"")</f>
        <v/>
      </c>
      <c r="U148" s="3">
        <f>IFERROR(MATCH(141,$M$8:$M$1207,0),"")</f>
        <v/>
      </c>
      <c r="V148" s="3">
        <f>IF(U148="","",INDEX('ORDENES'!$R$4:$R$1203,U148))</f>
        <v/>
      </c>
      <c r="W148" s="3">
        <f>IF(U148="","",IF(V148&lt;&gt;V147,CHAR(10)&amp;UPPER(LEFT(V148,1))&amp;MID(V148,2,20)&amp;":"&amp;CHAR(10),"")&amp;"   "&amp;IF(INDEX('ORDENES'!$AC$4:$AC$1203,U148)="","(s/t)",INDEX('ORDENES'!$AC$4:$AC$1203,U148))&amp;" · "&amp;IF(INDEX('ORDENES'!$AB$4:$AB$1203,U148)="","(sin técnico)",INDEX('ORDENES'!$AB$4:$AB$1203,U148))&amp;" · "&amp;INDEX('ORDENES'!$AN$4:$AN$1203,U148)&amp;" — "&amp;INDEX('ORDENES'!$D$4:$D$1203,U148)&amp;" ("&amp;TEXT(INDEX('ORDENES'!$M$4:$M$1203,U148),"0.#")&amp;" h)")</f>
        <v/>
      </c>
    </row>
    <row r="149">
      <c r="K149" s="3">
        <f>IF(AND(IF($B$3="(todos)",TRUE,'ORDENES'!$O145=$B$3),IF($D$3="(todos)",TRUE,'ORDENES'!$AC145=$D$3),IF($F$3="(todos)",TRUE,'ORDENES'!$V145=$F$3),'ORDENES'!$AA145=TRUE,'ORDENES'!$A145&lt;&gt;""),1,0)</f>
        <v/>
      </c>
      <c r="L149" s="3">
        <f>IF(K149=1,IFERROR(MATCH('ORDENES'!$R145,lista_dias,0),9)*1000000000+IFERROR(MATCH('ORDENES'!$AC145,lista_turnos,0),9)*10000000+IFERROR(MATCH('ORDENES'!$AB145,'TECNICOS'!$B$4:$B$15,0),99)*100000+142,9000000000000+142)</f>
        <v/>
      </c>
      <c r="M149" s="3">
        <f>IF(K149=1,SUMPRODUCT(--($L$8:$L$1207&lt;L149))+1,"")</f>
        <v/>
      </c>
      <c r="N149" s="17">
        <f>IF(K149=1,N('ORDENES'!$M145),0)</f>
        <v/>
      </c>
      <c r="O149" s="17">
        <f>IF('ORDENES'!$S145="preventiva",N149,0)</f>
        <v/>
      </c>
      <c r="P149" s="17">
        <f>IF('ORDENES'!$S145="correctiva",N149,0)</f>
        <v/>
      </c>
      <c r="Q149" s="3">
        <f>IF(AND(K149=1,'ORDENES'!$N145="Pendiente"),1,0)</f>
        <v/>
      </c>
      <c r="R149" s="3">
        <f>IF(Q149=1,100000-N149*1000+142*0.01,9000000000000+142)</f>
        <v/>
      </c>
      <c r="S149" s="3">
        <f>IF(Q149=1,SUMPRODUCT(--($R$8:$R$1207&lt;R149))+1,"")</f>
        <v/>
      </c>
      <c r="T149" s="11">
        <f>IF(K149=1,'ORDENES'!$J145,"")</f>
        <v/>
      </c>
      <c r="U149" s="3">
        <f>IFERROR(MATCH(142,$M$8:$M$1207,0),"")</f>
        <v/>
      </c>
      <c r="V149" s="3">
        <f>IF(U149="","",INDEX('ORDENES'!$R$4:$R$1203,U149))</f>
        <v/>
      </c>
      <c r="W149" s="3">
        <f>IF(U149="","",IF(V149&lt;&gt;V148,CHAR(10)&amp;UPPER(LEFT(V149,1))&amp;MID(V149,2,20)&amp;":"&amp;CHAR(10),"")&amp;"   "&amp;IF(INDEX('ORDENES'!$AC$4:$AC$1203,U149)="","(s/t)",INDEX('ORDENES'!$AC$4:$AC$1203,U149))&amp;" · "&amp;IF(INDEX('ORDENES'!$AB$4:$AB$1203,U149)="","(sin técnico)",INDEX('ORDENES'!$AB$4:$AB$1203,U149))&amp;" · "&amp;INDEX('ORDENES'!$AN$4:$AN$1203,U149)&amp;" — "&amp;INDEX('ORDENES'!$D$4:$D$1203,U149)&amp;" ("&amp;TEXT(INDEX('ORDENES'!$M$4:$M$1203,U149),"0.#")&amp;" h)")</f>
        <v/>
      </c>
    </row>
    <row r="150">
      <c r="K150" s="3">
        <f>IF(AND(IF($B$3="(todos)",TRUE,'ORDENES'!$O146=$B$3),IF($D$3="(todos)",TRUE,'ORDENES'!$AC146=$D$3),IF($F$3="(todos)",TRUE,'ORDENES'!$V146=$F$3),'ORDENES'!$AA146=TRUE,'ORDENES'!$A146&lt;&gt;""),1,0)</f>
        <v/>
      </c>
      <c r="L150" s="3">
        <f>IF(K150=1,IFERROR(MATCH('ORDENES'!$R146,lista_dias,0),9)*1000000000+IFERROR(MATCH('ORDENES'!$AC146,lista_turnos,0),9)*10000000+IFERROR(MATCH('ORDENES'!$AB146,'TECNICOS'!$B$4:$B$15,0),99)*100000+143,9000000000000+143)</f>
        <v/>
      </c>
      <c r="M150" s="3">
        <f>IF(K150=1,SUMPRODUCT(--($L$8:$L$1207&lt;L150))+1,"")</f>
        <v/>
      </c>
      <c r="N150" s="17">
        <f>IF(K150=1,N('ORDENES'!$M146),0)</f>
        <v/>
      </c>
      <c r="O150" s="17">
        <f>IF('ORDENES'!$S146="preventiva",N150,0)</f>
        <v/>
      </c>
      <c r="P150" s="17">
        <f>IF('ORDENES'!$S146="correctiva",N150,0)</f>
        <v/>
      </c>
      <c r="Q150" s="3">
        <f>IF(AND(K150=1,'ORDENES'!$N146="Pendiente"),1,0)</f>
        <v/>
      </c>
      <c r="R150" s="3">
        <f>IF(Q150=1,100000-N150*1000+143*0.01,9000000000000+143)</f>
        <v/>
      </c>
      <c r="S150" s="3">
        <f>IF(Q150=1,SUMPRODUCT(--($R$8:$R$1207&lt;R150))+1,"")</f>
        <v/>
      </c>
      <c r="T150" s="11">
        <f>IF(K150=1,'ORDENES'!$J146,"")</f>
        <v/>
      </c>
      <c r="U150" s="3">
        <f>IFERROR(MATCH(143,$M$8:$M$1207,0),"")</f>
        <v/>
      </c>
      <c r="V150" s="3">
        <f>IF(U150="","",INDEX('ORDENES'!$R$4:$R$1203,U150))</f>
        <v/>
      </c>
      <c r="W150" s="3">
        <f>IF(U150="","",IF(V150&lt;&gt;V149,CHAR(10)&amp;UPPER(LEFT(V150,1))&amp;MID(V150,2,20)&amp;":"&amp;CHAR(10),"")&amp;"   "&amp;IF(INDEX('ORDENES'!$AC$4:$AC$1203,U150)="","(s/t)",INDEX('ORDENES'!$AC$4:$AC$1203,U150))&amp;" · "&amp;IF(INDEX('ORDENES'!$AB$4:$AB$1203,U150)="","(sin técnico)",INDEX('ORDENES'!$AB$4:$AB$1203,U150))&amp;" · "&amp;INDEX('ORDENES'!$AN$4:$AN$1203,U150)&amp;" — "&amp;INDEX('ORDENES'!$D$4:$D$1203,U150)&amp;" ("&amp;TEXT(INDEX('ORDENES'!$M$4:$M$1203,U150),"0.#")&amp;" h)")</f>
        <v/>
      </c>
    </row>
    <row r="151">
      <c r="K151" s="3">
        <f>IF(AND(IF($B$3="(todos)",TRUE,'ORDENES'!$O147=$B$3),IF($D$3="(todos)",TRUE,'ORDENES'!$AC147=$D$3),IF($F$3="(todos)",TRUE,'ORDENES'!$V147=$F$3),'ORDENES'!$AA147=TRUE,'ORDENES'!$A147&lt;&gt;""),1,0)</f>
        <v/>
      </c>
      <c r="L151" s="3">
        <f>IF(K151=1,IFERROR(MATCH('ORDENES'!$R147,lista_dias,0),9)*1000000000+IFERROR(MATCH('ORDENES'!$AC147,lista_turnos,0),9)*10000000+IFERROR(MATCH('ORDENES'!$AB147,'TECNICOS'!$B$4:$B$15,0),99)*100000+144,9000000000000+144)</f>
        <v/>
      </c>
      <c r="M151" s="3">
        <f>IF(K151=1,SUMPRODUCT(--($L$8:$L$1207&lt;L151))+1,"")</f>
        <v/>
      </c>
      <c r="N151" s="17">
        <f>IF(K151=1,N('ORDENES'!$M147),0)</f>
        <v/>
      </c>
      <c r="O151" s="17">
        <f>IF('ORDENES'!$S147="preventiva",N151,0)</f>
        <v/>
      </c>
      <c r="P151" s="17">
        <f>IF('ORDENES'!$S147="correctiva",N151,0)</f>
        <v/>
      </c>
      <c r="Q151" s="3">
        <f>IF(AND(K151=1,'ORDENES'!$N147="Pendiente"),1,0)</f>
        <v/>
      </c>
      <c r="R151" s="3">
        <f>IF(Q151=1,100000-N151*1000+144*0.01,9000000000000+144)</f>
        <v/>
      </c>
      <c r="S151" s="3">
        <f>IF(Q151=1,SUMPRODUCT(--($R$8:$R$1207&lt;R151))+1,"")</f>
        <v/>
      </c>
      <c r="T151" s="11">
        <f>IF(K151=1,'ORDENES'!$J147,"")</f>
        <v/>
      </c>
      <c r="U151" s="3">
        <f>IFERROR(MATCH(144,$M$8:$M$1207,0),"")</f>
        <v/>
      </c>
      <c r="V151" s="3">
        <f>IF(U151="","",INDEX('ORDENES'!$R$4:$R$1203,U151))</f>
        <v/>
      </c>
      <c r="W151" s="3">
        <f>IF(U151="","",IF(V151&lt;&gt;V150,CHAR(10)&amp;UPPER(LEFT(V151,1))&amp;MID(V151,2,20)&amp;":"&amp;CHAR(10),"")&amp;"   "&amp;IF(INDEX('ORDENES'!$AC$4:$AC$1203,U151)="","(s/t)",INDEX('ORDENES'!$AC$4:$AC$1203,U151))&amp;" · "&amp;IF(INDEX('ORDENES'!$AB$4:$AB$1203,U151)="","(sin técnico)",INDEX('ORDENES'!$AB$4:$AB$1203,U151))&amp;" · "&amp;INDEX('ORDENES'!$AN$4:$AN$1203,U151)&amp;" — "&amp;INDEX('ORDENES'!$D$4:$D$1203,U151)&amp;" ("&amp;TEXT(INDEX('ORDENES'!$M$4:$M$1203,U151),"0.#")&amp;" h)")</f>
        <v/>
      </c>
    </row>
    <row r="152">
      <c r="K152" s="3">
        <f>IF(AND(IF($B$3="(todos)",TRUE,'ORDENES'!$O148=$B$3),IF($D$3="(todos)",TRUE,'ORDENES'!$AC148=$D$3),IF($F$3="(todos)",TRUE,'ORDENES'!$V148=$F$3),'ORDENES'!$AA148=TRUE,'ORDENES'!$A148&lt;&gt;""),1,0)</f>
        <v/>
      </c>
      <c r="L152" s="3">
        <f>IF(K152=1,IFERROR(MATCH('ORDENES'!$R148,lista_dias,0),9)*1000000000+IFERROR(MATCH('ORDENES'!$AC148,lista_turnos,0),9)*10000000+IFERROR(MATCH('ORDENES'!$AB148,'TECNICOS'!$B$4:$B$15,0),99)*100000+145,9000000000000+145)</f>
        <v/>
      </c>
      <c r="M152" s="3">
        <f>IF(K152=1,SUMPRODUCT(--($L$8:$L$1207&lt;L152))+1,"")</f>
        <v/>
      </c>
      <c r="N152" s="17">
        <f>IF(K152=1,N('ORDENES'!$M148),0)</f>
        <v/>
      </c>
      <c r="O152" s="17">
        <f>IF('ORDENES'!$S148="preventiva",N152,0)</f>
        <v/>
      </c>
      <c r="P152" s="17">
        <f>IF('ORDENES'!$S148="correctiva",N152,0)</f>
        <v/>
      </c>
      <c r="Q152" s="3">
        <f>IF(AND(K152=1,'ORDENES'!$N148="Pendiente"),1,0)</f>
        <v/>
      </c>
      <c r="R152" s="3">
        <f>IF(Q152=1,100000-N152*1000+145*0.01,9000000000000+145)</f>
        <v/>
      </c>
      <c r="S152" s="3">
        <f>IF(Q152=1,SUMPRODUCT(--($R$8:$R$1207&lt;R152))+1,"")</f>
        <v/>
      </c>
      <c r="T152" s="11">
        <f>IF(K152=1,'ORDENES'!$J148,"")</f>
        <v/>
      </c>
      <c r="U152" s="3">
        <f>IFERROR(MATCH(145,$M$8:$M$1207,0),"")</f>
        <v/>
      </c>
      <c r="V152" s="3">
        <f>IF(U152="","",INDEX('ORDENES'!$R$4:$R$1203,U152))</f>
        <v/>
      </c>
      <c r="W152" s="3">
        <f>IF(U152="","",IF(V152&lt;&gt;V151,CHAR(10)&amp;UPPER(LEFT(V152,1))&amp;MID(V152,2,20)&amp;":"&amp;CHAR(10),"")&amp;"   "&amp;IF(INDEX('ORDENES'!$AC$4:$AC$1203,U152)="","(s/t)",INDEX('ORDENES'!$AC$4:$AC$1203,U152))&amp;" · "&amp;IF(INDEX('ORDENES'!$AB$4:$AB$1203,U152)="","(sin técnico)",INDEX('ORDENES'!$AB$4:$AB$1203,U152))&amp;" · "&amp;INDEX('ORDENES'!$AN$4:$AN$1203,U152)&amp;" — "&amp;INDEX('ORDENES'!$D$4:$D$1203,U152)&amp;" ("&amp;TEXT(INDEX('ORDENES'!$M$4:$M$1203,U152),"0.#")&amp;" h)")</f>
        <v/>
      </c>
    </row>
    <row r="153">
      <c r="K153" s="3">
        <f>IF(AND(IF($B$3="(todos)",TRUE,'ORDENES'!$O149=$B$3),IF($D$3="(todos)",TRUE,'ORDENES'!$AC149=$D$3),IF($F$3="(todos)",TRUE,'ORDENES'!$V149=$F$3),'ORDENES'!$AA149=TRUE,'ORDENES'!$A149&lt;&gt;""),1,0)</f>
        <v/>
      </c>
      <c r="L153" s="3">
        <f>IF(K153=1,IFERROR(MATCH('ORDENES'!$R149,lista_dias,0),9)*1000000000+IFERROR(MATCH('ORDENES'!$AC149,lista_turnos,0),9)*10000000+IFERROR(MATCH('ORDENES'!$AB149,'TECNICOS'!$B$4:$B$15,0),99)*100000+146,9000000000000+146)</f>
        <v/>
      </c>
      <c r="M153" s="3">
        <f>IF(K153=1,SUMPRODUCT(--($L$8:$L$1207&lt;L153))+1,"")</f>
        <v/>
      </c>
      <c r="N153" s="17">
        <f>IF(K153=1,N('ORDENES'!$M149),0)</f>
        <v/>
      </c>
      <c r="O153" s="17">
        <f>IF('ORDENES'!$S149="preventiva",N153,0)</f>
        <v/>
      </c>
      <c r="P153" s="17">
        <f>IF('ORDENES'!$S149="correctiva",N153,0)</f>
        <v/>
      </c>
      <c r="Q153" s="3">
        <f>IF(AND(K153=1,'ORDENES'!$N149="Pendiente"),1,0)</f>
        <v/>
      </c>
      <c r="R153" s="3">
        <f>IF(Q153=1,100000-N153*1000+146*0.01,9000000000000+146)</f>
        <v/>
      </c>
      <c r="S153" s="3">
        <f>IF(Q153=1,SUMPRODUCT(--($R$8:$R$1207&lt;R153))+1,"")</f>
        <v/>
      </c>
      <c r="T153" s="11">
        <f>IF(K153=1,'ORDENES'!$J149,"")</f>
        <v/>
      </c>
      <c r="U153" s="3">
        <f>IFERROR(MATCH(146,$M$8:$M$1207,0),"")</f>
        <v/>
      </c>
      <c r="V153" s="3">
        <f>IF(U153="","",INDEX('ORDENES'!$R$4:$R$1203,U153))</f>
        <v/>
      </c>
      <c r="W153" s="3">
        <f>IF(U153="","",IF(V153&lt;&gt;V152,CHAR(10)&amp;UPPER(LEFT(V153,1))&amp;MID(V153,2,20)&amp;":"&amp;CHAR(10),"")&amp;"   "&amp;IF(INDEX('ORDENES'!$AC$4:$AC$1203,U153)="","(s/t)",INDEX('ORDENES'!$AC$4:$AC$1203,U153))&amp;" · "&amp;IF(INDEX('ORDENES'!$AB$4:$AB$1203,U153)="","(sin técnico)",INDEX('ORDENES'!$AB$4:$AB$1203,U153))&amp;" · "&amp;INDEX('ORDENES'!$AN$4:$AN$1203,U153)&amp;" — "&amp;INDEX('ORDENES'!$D$4:$D$1203,U153)&amp;" ("&amp;TEXT(INDEX('ORDENES'!$M$4:$M$1203,U153),"0.#")&amp;" h)")</f>
        <v/>
      </c>
    </row>
    <row r="154">
      <c r="K154" s="3">
        <f>IF(AND(IF($B$3="(todos)",TRUE,'ORDENES'!$O150=$B$3),IF($D$3="(todos)",TRUE,'ORDENES'!$AC150=$D$3),IF($F$3="(todos)",TRUE,'ORDENES'!$V150=$F$3),'ORDENES'!$AA150=TRUE,'ORDENES'!$A150&lt;&gt;""),1,0)</f>
        <v/>
      </c>
      <c r="L154" s="3">
        <f>IF(K154=1,IFERROR(MATCH('ORDENES'!$R150,lista_dias,0),9)*1000000000+IFERROR(MATCH('ORDENES'!$AC150,lista_turnos,0),9)*10000000+IFERROR(MATCH('ORDENES'!$AB150,'TECNICOS'!$B$4:$B$15,0),99)*100000+147,9000000000000+147)</f>
        <v/>
      </c>
      <c r="M154" s="3">
        <f>IF(K154=1,SUMPRODUCT(--($L$8:$L$1207&lt;L154))+1,"")</f>
        <v/>
      </c>
      <c r="N154" s="17">
        <f>IF(K154=1,N('ORDENES'!$M150),0)</f>
        <v/>
      </c>
      <c r="O154" s="17">
        <f>IF('ORDENES'!$S150="preventiva",N154,0)</f>
        <v/>
      </c>
      <c r="P154" s="17">
        <f>IF('ORDENES'!$S150="correctiva",N154,0)</f>
        <v/>
      </c>
      <c r="Q154" s="3">
        <f>IF(AND(K154=1,'ORDENES'!$N150="Pendiente"),1,0)</f>
        <v/>
      </c>
      <c r="R154" s="3">
        <f>IF(Q154=1,100000-N154*1000+147*0.01,9000000000000+147)</f>
        <v/>
      </c>
      <c r="S154" s="3">
        <f>IF(Q154=1,SUMPRODUCT(--($R$8:$R$1207&lt;R154))+1,"")</f>
        <v/>
      </c>
      <c r="T154" s="11">
        <f>IF(K154=1,'ORDENES'!$J150,"")</f>
        <v/>
      </c>
      <c r="U154" s="3">
        <f>IFERROR(MATCH(147,$M$8:$M$1207,0),"")</f>
        <v/>
      </c>
      <c r="V154" s="3">
        <f>IF(U154="","",INDEX('ORDENES'!$R$4:$R$1203,U154))</f>
        <v/>
      </c>
      <c r="W154" s="3">
        <f>IF(U154="","",IF(V154&lt;&gt;V153,CHAR(10)&amp;UPPER(LEFT(V154,1))&amp;MID(V154,2,20)&amp;":"&amp;CHAR(10),"")&amp;"   "&amp;IF(INDEX('ORDENES'!$AC$4:$AC$1203,U154)="","(s/t)",INDEX('ORDENES'!$AC$4:$AC$1203,U154))&amp;" · "&amp;IF(INDEX('ORDENES'!$AB$4:$AB$1203,U154)="","(sin técnico)",INDEX('ORDENES'!$AB$4:$AB$1203,U154))&amp;" · "&amp;INDEX('ORDENES'!$AN$4:$AN$1203,U154)&amp;" — "&amp;INDEX('ORDENES'!$D$4:$D$1203,U154)&amp;" ("&amp;TEXT(INDEX('ORDENES'!$M$4:$M$1203,U154),"0.#")&amp;" h)")</f>
        <v/>
      </c>
    </row>
    <row r="155">
      <c r="K155" s="3">
        <f>IF(AND(IF($B$3="(todos)",TRUE,'ORDENES'!$O151=$B$3),IF($D$3="(todos)",TRUE,'ORDENES'!$AC151=$D$3),IF($F$3="(todos)",TRUE,'ORDENES'!$V151=$F$3),'ORDENES'!$AA151=TRUE,'ORDENES'!$A151&lt;&gt;""),1,0)</f>
        <v/>
      </c>
      <c r="L155" s="3">
        <f>IF(K155=1,IFERROR(MATCH('ORDENES'!$R151,lista_dias,0),9)*1000000000+IFERROR(MATCH('ORDENES'!$AC151,lista_turnos,0),9)*10000000+IFERROR(MATCH('ORDENES'!$AB151,'TECNICOS'!$B$4:$B$15,0),99)*100000+148,9000000000000+148)</f>
        <v/>
      </c>
      <c r="M155" s="3">
        <f>IF(K155=1,SUMPRODUCT(--($L$8:$L$1207&lt;L155))+1,"")</f>
        <v/>
      </c>
      <c r="N155" s="17">
        <f>IF(K155=1,N('ORDENES'!$M151),0)</f>
        <v/>
      </c>
      <c r="O155" s="17">
        <f>IF('ORDENES'!$S151="preventiva",N155,0)</f>
        <v/>
      </c>
      <c r="P155" s="17">
        <f>IF('ORDENES'!$S151="correctiva",N155,0)</f>
        <v/>
      </c>
      <c r="Q155" s="3">
        <f>IF(AND(K155=1,'ORDENES'!$N151="Pendiente"),1,0)</f>
        <v/>
      </c>
      <c r="R155" s="3">
        <f>IF(Q155=1,100000-N155*1000+148*0.01,9000000000000+148)</f>
        <v/>
      </c>
      <c r="S155" s="3">
        <f>IF(Q155=1,SUMPRODUCT(--($R$8:$R$1207&lt;R155))+1,"")</f>
        <v/>
      </c>
      <c r="T155" s="11">
        <f>IF(K155=1,'ORDENES'!$J151,"")</f>
        <v/>
      </c>
      <c r="U155" s="3">
        <f>IFERROR(MATCH(148,$M$8:$M$1207,0),"")</f>
        <v/>
      </c>
      <c r="V155" s="3">
        <f>IF(U155="","",INDEX('ORDENES'!$R$4:$R$1203,U155))</f>
        <v/>
      </c>
      <c r="W155" s="3">
        <f>IF(U155="","",IF(V155&lt;&gt;V154,CHAR(10)&amp;UPPER(LEFT(V155,1))&amp;MID(V155,2,20)&amp;":"&amp;CHAR(10),"")&amp;"   "&amp;IF(INDEX('ORDENES'!$AC$4:$AC$1203,U155)="","(s/t)",INDEX('ORDENES'!$AC$4:$AC$1203,U155))&amp;" · "&amp;IF(INDEX('ORDENES'!$AB$4:$AB$1203,U155)="","(sin técnico)",INDEX('ORDENES'!$AB$4:$AB$1203,U155))&amp;" · "&amp;INDEX('ORDENES'!$AN$4:$AN$1203,U155)&amp;" — "&amp;INDEX('ORDENES'!$D$4:$D$1203,U155)&amp;" ("&amp;TEXT(INDEX('ORDENES'!$M$4:$M$1203,U155),"0.#")&amp;" h)")</f>
        <v/>
      </c>
    </row>
    <row r="156">
      <c r="K156" s="3">
        <f>IF(AND(IF($B$3="(todos)",TRUE,'ORDENES'!$O152=$B$3),IF($D$3="(todos)",TRUE,'ORDENES'!$AC152=$D$3),IF($F$3="(todos)",TRUE,'ORDENES'!$V152=$F$3),'ORDENES'!$AA152=TRUE,'ORDENES'!$A152&lt;&gt;""),1,0)</f>
        <v/>
      </c>
      <c r="L156" s="3">
        <f>IF(K156=1,IFERROR(MATCH('ORDENES'!$R152,lista_dias,0),9)*1000000000+IFERROR(MATCH('ORDENES'!$AC152,lista_turnos,0),9)*10000000+IFERROR(MATCH('ORDENES'!$AB152,'TECNICOS'!$B$4:$B$15,0),99)*100000+149,9000000000000+149)</f>
        <v/>
      </c>
      <c r="M156" s="3">
        <f>IF(K156=1,SUMPRODUCT(--($L$8:$L$1207&lt;L156))+1,"")</f>
        <v/>
      </c>
      <c r="N156" s="17">
        <f>IF(K156=1,N('ORDENES'!$M152),0)</f>
        <v/>
      </c>
      <c r="O156" s="17">
        <f>IF('ORDENES'!$S152="preventiva",N156,0)</f>
        <v/>
      </c>
      <c r="P156" s="17">
        <f>IF('ORDENES'!$S152="correctiva",N156,0)</f>
        <v/>
      </c>
      <c r="Q156" s="3">
        <f>IF(AND(K156=1,'ORDENES'!$N152="Pendiente"),1,0)</f>
        <v/>
      </c>
      <c r="R156" s="3">
        <f>IF(Q156=1,100000-N156*1000+149*0.01,9000000000000+149)</f>
        <v/>
      </c>
      <c r="S156" s="3">
        <f>IF(Q156=1,SUMPRODUCT(--($R$8:$R$1207&lt;R156))+1,"")</f>
        <v/>
      </c>
      <c r="T156" s="11">
        <f>IF(K156=1,'ORDENES'!$J152,"")</f>
        <v/>
      </c>
      <c r="U156" s="3">
        <f>IFERROR(MATCH(149,$M$8:$M$1207,0),"")</f>
        <v/>
      </c>
      <c r="V156" s="3">
        <f>IF(U156="","",INDEX('ORDENES'!$R$4:$R$1203,U156))</f>
        <v/>
      </c>
      <c r="W156" s="3">
        <f>IF(U156="","",IF(V156&lt;&gt;V155,CHAR(10)&amp;UPPER(LEFT(V156,1))&amp;MID(V156,2,20)&amp;":"&amp;CHAR(10),"")&amp;"   "&amp;IF(INDEX('ORDENES'!$AC$4:$AC$1203,U156)="","(s/t)",INDEX('ORDENES'!$AC$4:$AC$1203,U156))&amp;" · "&amp;IF(INDEX('ORDENES'!$AB$4:$AB$1203,U156)="","(sin técnico)",INDEX('ORDENES'!$AB$4:$AB$1203,U156))&amp;" · "&amp;INDEX('ORDENES'!$AN$4:$AN$1203,U156)&amp;" — "&amp;INDEX('ORDENES'!$D$4:$D$1203,U156)&amp;" ("&amp;TEXT(INDEX('ORDENES'!$M$4:$M$1203,U156),"0.#")&amp;" h)")</f>
        <v/>
      </c>
    </row>
    <row r="157">
      <c r="K157" s="3">
        <f>IF(AND(IF($B$3="(todos)",TRUE,'ORDENES'!$O153=$B$3),IF($D$3="(todos)",TRUE,'ORDENES'!$AC153=$D$3),IF($F$3="(todos)",TRUE,'ORDENES'!$V153=$F$3),'ORDENES'!$AA153=TRUE,'ORDENES'!$A153&lt;&gt;""),1,0)</f>
        <v/>
      </c>
      <c r="L157" s="3">
        <f>IF(K157=1,IFERROR(MATCH('ORDENES'!$R153,lista_dias,0),9)*1000000000+IFERROR(MATCH('ORDENES'!$AC153,lista_turnos,0),9)*10000000+IFERROR(MATCH('ORDENES'!$AB153,'TECNICOS'!$B$4:$B$15,0),99)*100000+150,9000000000000+150)</f>
        <v/>
      </c>
      <c r="M157" s="3">
        <f>IF(K157=1,SUMPRODUCT(--($L$8:$L$1207&lt;L157))+1,"")</f>
        <v/>
      </c>
      <c r="N157" s="17">
        <f>IF(K157=1,N('ORDENES'!$M153),0)</f>
        <v/>
      </c>
      <c r="O157" s="17">
        <f>IF('ORDENES'!$S153="preventiva",N157,0)</f>
        <v/>
      </c>
      <c r="P157" s="17">
        <f>IF('ORDENES'!$S153="correctiva",N157,0)</f>
        <v/>
      </c>
      <c r="Q157" s="3">
        <f>IF(AND(K157=1,'ORDENES'!$N153="Pendiente"),1,0)</f>
        <v/>
      </c>
      <c r="R157" s="3">
        <f>IF(Q157=1,100000-N157*1000+150*0.01,9000000000000+150)</f>
        <v/>
      </c>
      <c r="S157" s="3">
        <f>IF(Q157=1,SUMPRODUCT(--($R$8:$R$1207&lt;R157))+1,"")</f>
        <v/>
      </c>
      <c r="T157" s="11">
        <f>IF(K157=1,'ORDENES'!$J153,"")</f>
        <v/>
      </c>
      <c r="U157" s="3">
        <f>IFERROR(MATCH(150,$M$8:$M$1207,0),"")</f>
        <v/>
      </c>
      <c r="V157" s="3">
        <f>IF(U157="","",INDEX('ORDENES'!$R$4:$R$1203,U157))</f>
        <v/>
      </c>
      <c r="W157" s="3">
        <f>IF(U157="","",IF(V157&lt;&gt;V156,CHAR(10)&amp;UPPER(LEFT(V157,1))&amp;MID(V157,2,20)&amp;":"&amp;CHAR(10),"")&amp;"   "&amp;IF(INDEX('ORDENES'!$AC$4:$AC$1203,U157)="","(s/t)",INDEX('ORDENES'!$AC$4:$AC$1203,U157))&amp;" · "&amp;IF(INDEX('ORDENES'!$AB$4:$AB$1203,U157)="","(sin técnico)",INDEX('ORDENES'!$AB$4:$AB$1203,U157))&amp;" · "&amp;INDEX('ORDENES'!$AN$4:$AN$1203,U157)&amp;" — "&amp;INDEX('ORDENES'!$D$4:$D$1203,U157)&amp;" ("&amp;TEXT(INDEX('ORDENES'!$M$4:$M$1203,U157),"0.#")&amp;" h)")</f>
        <v/>
      </c>
    </row>
    <row r="158">
      <c r="K158" s="3">
        <f>IF(AND(IF($B$3="(todos)",TRUE,'ORDENES'!$O154=$B$3),IF($D$3="(todos)",TRUE,'ORDENES'!$AC154=$D$3),IF($F$3="(todos)",TRUE,'ORDENES'!$V154=$F$3),'ORDENES'!$AA154=TRUE,'ORDENES'!$A154&lt;&gt;""),1,0)</f>
        <v/>
      </c>
      <c r="L158" s="3">
        <f>IF(K158=1,IFERROR(MATCH('ORDENES'!$R154,lista_dias,0),9)*1000000000+IFERROR(MATCH('ORDENES'!$AC154,lista_turnos,0),9)*10000000+IFERROR(MATCH('ORDENES'!$AB154,'TECNICOS'!$B$4:$B$15,0),99)*100000+151,9000000000000+151)</f>
        <v/>
      </c>
      <c r="M158" s="3">
        <f>IF(K158=1,SUMPRODUCT(--($L$8:$L$1207&lt;L158))+1,"")</f>
        <v/>
      </c>
      <c r="N158" s="17">
        <f>IF(K158=1,N('ORDENES'!$M154),0)</f>
        <v/>
      </c>
      <c r="O158" s="17">
        <f>IF('ORDENES'!$S154="preventiva",N158,0)</f>
        <v/>
      </c>
      <c r="P158" s="17">
        <f>IF('ORDENES'!$S154="correctiva",N158,0)</f>
        <v/>
      </c>
      <c r="Q158" s="3">
        <f>IF(AND(K158=1,'ORDENES'!$N154="Pendiente"),1,0)</f>
        <v/>
      </c>
      <c r="R158" s="3">
        <f>IF(Q158=1,100000-N158*1000+151*0.01,9000000000000+151)</f>
        <v/>
      </c>
      <c r="S158" s="3">
        <f>IF(Q158=1,SUMPRODUCT(--($R$8:$R$1207&lt;R158))+1,"")</f>
        <v/>
      </c>
      <c r="T158" s="11">
        <f>IF(K158=1,'ORDENES'!$J154,"")</f>
        <v/>
      </c>
      <c r="U158" s="3">
        <f>IFERROR(MATCH(151,$M$8:$M$1207,0),"")</f>
        <v/>
      </c>
      <c r="V158" s="3">
        <f>IF(U158="","",INDEX('ORDENES'!$R$4:$R$1203,U158))</f>
        <v/>
      </c>
      <c r="W158" s="3">
        <f>IF(U158="","",IF(V158&lt;&gt;V157,CHAR(10)&amp;UPPER(LEFT(V158,1))&amp;MID(V158,2,20)&amp;":"&amp;CHAR(10),"")&amp;"   "&amp;IF(INDEX('ORDENES'!$AC$4:$AC$1203,U158)="","(s/t)",INDEX('ORDENES'!$AC$4:$AC$1203,U158))&amp;" · "&amp;IF(INDEX('ORDENES'!$AB$4:$AB$1203,U158)="","(sin técnico)",INDEX('ORDENES'!$AB$4:$AB$1203,U158))&amp;" · "&amp;INDEX('ORDENES'!$AN$4:$AN$1203,U158)&amp;" — "&amp;INDEX('ORDENES'!$D$4:$D$1203,U158)&amp;" ("&amp;TEXT(INDEX('ORDENES'!$M$4:$M$1203,U158),"0.#")&amp;" h)")</f>
        <v/>
      </c>
    </row>
    <row r="159">
      <c r="K159" s="3">
        <f>IF(AND(IF($B$3="(todos)",TRUE,'ORDENES'!$O155=$B$3),IF($D$3="(todos)",TRUE,'ORDENES'!$AC155=$D$3),IF($F$3="(todos)",TRUE,'ORDENES'!$V155=$F$3),'ORDENES'!$AA155=TRUE,'ORDENES'!$A155&lt;&gt;""),1,0)</f>
        <v/>
      </c>
      <c r="L159" s="3">
        <f>IF(K159=1,IFERROR(MATCH('ORDENES'!$R155,lista_dias,0),9)*1000000000+IFERROR(MATCH('ORDENES'!$AC155,lista_turnos,0),9)*10000000+IFERROR(MATCH('ORDENES'!$AB155,'TECNICOS'!$B$4:$B$15,0),99)*100000+152,9000000000000+152)</f>
        <v/>
      </c>
      <c r="M159" s="3">
        <f>IF(K159=1,SUMPRODUCT(--($L$8:$L$1207&lt;L159))+1,"")</f>
        <v/>
      </c>
      <c r="N159" s="17">
        <f>IF(K159=1,N('ORDENES'!$M155),0)</f>
        <v/>
      </c>
      <c r="O159" s="17">
        <f>IF('ORDENES'!$S155="preventiva",N159,0)</f>
        <v/>
      </c>
      <c r="P159" s="17">
        <f>IF('ORDENES'!$S155="correctiva",N159,0)</f>
        <v/>
      </c>
      <c r="Q159" s="3">
        <f>IF(AND(K159=1,'ORDENES'!$N155="Pendiente"),1,0)</f>
        <v/>
      </c>
      <c r="R159" s="3">
        <f>IF(Q159=1,100000-N159*1000+152*0.01,9000000000000+152)</f>
        <v/>
      </c>
      <c r="S159" s="3">
        <f>IF(Q159=1,SUMPRODUCT(--($R$8:$R$1207&lt;R159))+1,"")</f>
        <v/>
      </c>
      <c r="T159" s="11">
        <f>IF(K159=1,'ORDENES'!$J155,"")</f>
        <v/>
      </c>
      <c r="U159" s="3">
        <f>IFERROR(MATCH(152,$M$8:$M$1207,0),"")</f>
        <v/>
      </c>
      <c r="V159" s="3">
        <f>IF(U159="","",INDEX('ORDENES'!$R$4:$R$1203,U159))</f>
        <v/>
      </c>
      <c r="W159" s="3">
        <f>IF(U159="","",IF(V159&lt;&gt;V158,CHAR(10)&amp;UPPER(LEFT(V159,1))&amp;MID(V159,2,20)&amp;":"&amp;CHAR(10),"")&amp;"   "&amp;IF(INDEX('ORDENES'!$AC$4:$AC$1203,U159)="","(s/t)",INDEX('ORDENES'!$AC$4:$AC$1203,U159))&amp;" · "&amp;IF(INDEX('ORDENES'!$AB$4:$AB$1203,U159)="","(sin técnico)",INDEX('ORDENES'!$AB$4:$AB$1203,U159))&amp;" · "&amp;INDEX('ORDENES'!$AN$4:$AN$1203,U159)&amp;" — "&amp;INDEX('ORDENES'!$D$4:$D$1203,U159)&amp;" ("&amp;TEXT(INDEX('ORDENES'!$M$4:$M$1203,U159),"0.#")&amp;" h)")</f>
        <v/>
      </c>
    </row>
    <row r="160">
      <c r="K160" s="3">
        <f>IF(AND(IF($B$3="(todos)",TRUE,'ORDENES'!$O156=$B$3),IF($D$3="(todos)",TRUE,'ORDENES'!$AC156=$D$3),IF($F$3="(todos)",TRUE,'ORDENES'!$V156=$F$3),'ORDENES'!$AA156=TRUE,'ORDENES'!$A156&lt;&gt;""),1,0)</f>
        <v/>
      </c>
      <c r="L160" s="3">
        <f>IF(K160=1,IFERROR(MATCH('ORDENES'!$R156,lista_dias,0),9)*1000000000+IFERROR(MATCH('ORDENES'!$AC156,lista_turnos,0),9)*10000000+IFERROR(MATCH('ORDENES'!$AB156,'TECNICOS'!$B$4:$B$15,0),99)*100000+153,9000000000000+153)</f>
        <v/>
      </c>
      <c r="M160" s="3">
        <f>IF(K160=1,SUMPRODUCT(--($L$8:$L$1207&lt;L160))+1,"")</f>
        <v/>
      </c>
      <c r="N160" s="17">
        <f>IF(K160=1,N('ORDENES'!$M156),0)</f>
        <v/>
      </c>
      <c r="O160" s="17">
        <f>IF('ORDENES'!$S156="preventiva",N160,0)</f>
        <v/>
      </c>
      <c r="P160" s="17">
        <f>IF('ORDENES'!$S156="correctiva",N160,0)</f>
        <v/>
      </c>
      <c r="Q160" s="3">
        <f>IF(AND(K160=1,'ORDENES'!$N156="Pendiente"),1,0)</f>
        <v/>
      </c>
      <c r="R160" s="3">
        <f>IF(Q160=1,100000-N160*1000+153*0.01,9000000000000+153)</f>
        <v/>
      </c>
      <c r="S160" s="3">
        <f>IF(Q160=1,SUMPRODUCT(--($R$8:$R$1207&lt;R160))+1,"")</f>
        <v/>
      </c>
      <c r="T160" s="11">
        <f>IF(K160=1,'ORDENES'!$J156,"")</f>
        <v/>
      </c>
      <c r="U160" s="3">
        <f>IFERROR(MATCH(153,$M$8:$M$1207,0),"")</f>
        <v/>
      </c>
      <c r="V160" s="3">
        <f>IF(U160="","",INDEX('ORDENES'!$R$4:$R$1203,U160))</f>
        <v/>
      </c>
      <c r="W160" s="3">
        <f>IF(U160="","",IF(V160&lt;&gt;V159,CHAR(10)&amp;UPPER(LEFT(V160,1))&amp;MID(V160,2,20)&amp;":"&amp;CHAR(10),"")&amp;"   "&amp;IF(INDEX('ORDENES'!$AC$4:$AC$1203,U160)="","(s/t)",INDEX('ORDENES'!$AC$4:$AC$1203,U160))&amp;" · "&amp;IF(INDEX('ORDENES'!$AB$4:$AB$1203,U160)="","(sin técnico)",INDEX('ORDENES'!$AB$4:$AB$1203,U160))&amp;" · "&amp;INDEX('ORDENES'!$AN$4:$AN$1203,U160)&amp;" — "&amp;INDEX('ORDENES'!$D$4:$D$1203,U160)&amp;" ("&amp;TEXT(INDEX('ORDENES'!$M$4:$M$1203,U160),"0.#")&amp;" h)")</f>
        <v/>
      </c>
    </row>
    <row r="161">
      <c r="K161" s="3">
        <f>IF(AND(IF($B$3="(todos)",TRUE,'ORDENES'!$O157=$B$3),IF($D$3="(todos)",TRUE,'ORDENES'!$AC157=$D$3),IF($F$3="(todos)",TRUE,'ORDENES'!$V157=$F$3),'ORDENES'!$AA157=TRUE,'ORDENES'!$A157&lt;&gt;""),1,0)</f>
        <v/>
      </c>
      <c r="L161" s="3">
        <f>IF(K161=1,IFERROR(MATCH('ORDENES'!$R157,lista_dias,0),9)*1000000000+IFERROR(MATCH('ORDENES'!$AC157,lista_turnos,0),9)*10000000+IFERROR(MATCH('ORDENES'!$AB157,'TECNICOS'!$B$4:$B$15,0),99)*100000+154,9000000000000+154)</f>
        <v/>
      </c>
      <c r="M161" s="3">
        <f>IF(K161=1,SUMPRODUCT(--($L$8:$L$1207&lt;L161))+1,"")</f>
        <v/>
      </c>
      <c r="N161" s="17">
        <f>IF(K161=1,N('ORDENES'!$M157),0)</f>
        <v/>
      </c>
      <c r="O161" s="17">
        <f>IF('ORDENES'!$S157="preventiva",N161,0)</f>
        <v/>
      </c>
      <c r="P161" s="17">
        <f>IF('ORDENES'!$S157="correctiva",N161,0)</f>
        <v/>
      </c>
      <c r="Q161" s="3">
        <f>IF(AND(K161=1,'ORDENES'!$N157="Pendiente"),1,0)</f>
        <v/>
      </c>
      <c r="R161" s="3">
        <f>IF(Q161=1,100000-N161*1000+154*0.01,9000000000000+154)</f>
        <v/>
      </c>
      <c r="S161" s="3">
        <f>IF(Q161=1,SUMPRODUCT(--($R$8:$R$1207&lt;R161))+1,"")</f>
        <v/>
      </c>
      <c r="T161" s="11">
        <f>IF(K161=1,'ORDENES'!$J157,"")</f>
        <v/>
      </c>
      <c r="U161" s="3">
        <f>IFERROR(MATCH(154,$M$8:$M$1207,0),"")</f>
        <v/>
      </c>
      <c r="V161" s="3">
        <f>IF(U161="","",INDEX('ORDENES'!$R$4:$R$1203,U161))</f>
        <v/>
      </c>
      <c r="W161" s="3">
        <f>IF(U161="","",IF(V161&lt;&gt;V160,CHAR(10)&amp;UPPER(LEFT(V161,1))&amp;MID(V161,2,20)&amp;":"&amp;CHAR(10),"")&amp;"   "&amp;IF(INDEX('ORDENES'!$AC$4:$AC$1203,U161)="","(s/t)",INDEX('ORDENES'!$AC$4:$AC$1203,U161))&amp;" · "&amp;IF(INDEX('ORDENES'!$AB$4:$AB$1203,U161)="","(sin técnico)",INDEX('ORDENES'!$AB$4:$AB$1203,U161))&amp;" · "&amp;INDEX('ORDENES'!$AN$4:$AN$1203,U161)&amp;" — "&amp;INDEX('ORDENES'!$D$4:$D$1203,U161)&amp;" ("&amp;TEXT(INDEX('ORDENES'!$M$4:$M$1203,U161),"0.#")&amp;" h)")</f>
        <v/>
      </c>
    </row>
    <row r="162">
      <c r="K162" s="3">
        <f>IF(AND(IF($B$3="(todos)",TRUE,'ORDENES'!$O158=$B$3),IF($D$3="(todos)",TRUE,'ORDENES'!$AC158=$D$3),IF($F$3="(todos)",TRUE,'ORDENES'!$V158=$F$3),'ORDENES'!$AA158=TRUE,'ORDENES'!$A158&lt;&gt;""),1,0)</f>
        <v/>
      </c>
      <c r="L162" s="3">
        <f>IF(K162=1,IFERROR(MATCH('ORDENES'!$R158,lista_dias,0),9)*1000000000+IFERROR(MATCH('ORDENES'!$AC158,lista_turnos,0),9)*10000000+IFERROR(MATCH('ORDENES'!$AB158,'TECNICOS'!$B$4:$B$15,0),99)*100000+155,9000000000000+155)</f>
        <v/>
      </c>
      <c r="M162" s="3">
        <f>IF(K162=1,SUMPRODUCT(--($L$8:$L$1207&lt;L162))+1,"")</f>
        <v/>
      </c>
      <c r="N162" s="17">
        <f>IF(K162=1,N('ORDENES'!$M158),0)</f>
        <v/>
      </c>
      <c r="O162" s="17">
        <f>IF('ORDENES'!$S158="preventiva",N162,0)</f>
        <v/>
      </c>
      <c r="P162" s="17">
        <f>IF('ORDENES'!$S158="correctiva",N162,0)</f>
        <v/>
      </c>
      <c r="Q162" s="3">
        <f>IF(AND(K162=1,'ORDENES'!$N158="Pendiente"),1,0)</f>
        <v/>
      </c>
      <c r="R162" s="3">
        <f>IF(Q162=1,100000-N162*1000+155*0.01,9000000000000+155)</f>
        <v/>
      </c>
      <c r="S162" s="3">
        <f>IF(Q162=1,SUMPRODUCT(--($R$8:$R$1207&lt;R162))+1,"")</f>
        <v/>
      </c>
      <c r="T162" s="11">
        <f>IF(K162=1,'ORDENES'!$J158,"")</f>
        <v/>
      </c>
      <c r="U162" s="3">
        <f>IFERROR(MATCH(155,$M$8:$M$1207,0),"")</f>
        <v/>
      </c>
      <c r="V162" s="3">
        <f>IF(U162="","",INDEX('ORDENES'!$R$4:$R$1203,U162))</f>
        <v/>
      </c>
      <c r="W162" s="3">
        <f>IF(U162="","",IF(V162&lt;&gt;V161,CHAR(10)&amp;UPPER(LEFT(V162,1))&amp;MID(V162,2,20)&amp;":"&amp;CHAR(10),"")&amp;"   "&amp;IF(INDEX('ORDENES'!$AC$4:$AC$1203,U162)="","(s/t)",INDEX('ORDENES'!$AC$4:$AC$1203,U162))&amp;" · "&amp;IF(INDEX('ORDENES'!$AB$4:$AB$1203,U162)="","(sin técnico)",INDEX('ORDENES'!$AB$4:$AB$1203,U162))&amp;" · "&amp;INDEX('ORDENES'!$AN$4:$AN$1203,U162)&amp;" — "&amp;INDEX('ORDENES'!$D$4:$D$1203,U162)&amp;" ("&amp;TEXT(INDEX('ORDENES'!$M$4:$M$1203,U162),"0.#")&amp;" h)")</f>
        <v/>
      </c>
    </row>
    <row r="163">
      <c r="K163" s="3">
        <f>IF(AND(IF($B$3="(todos)",TRUE,'ORDENES'!$O159=$B$3),IF($D$3="(todos)",TRUE,'ORDENES'!$AC159=$D$3),IF($F$3="(todos)",TRUE,'ORDENES'!$V159=$F$3),'ORDENES'!$AA159=TRUE,'ORDENES'!$A159&lt;&gt;""),1,0)</f>
        <v/>
      </c>
      <c r="L163" s="3">
        <f>IF(K163=1,IFERROR(MATCH('ORDENES'!$R159,lista_dias,0),9)*1000000000+IFERROR(MATCH('ORDENES'!$AC159,lista_turnos,0),9)*10000000+IFERROR(MATCH('ORDENES'!$AB159,'TECNICOS'!$B$4:$B$15,0),99)*100000+156,9000000000000+156)</f>
        <v/>
      </c>
      <c r="M163" s="3">
        <f>IF(K163=1,SUMPRODUCT(--($L$8:$L$1207&lt;L163))+1,"")</f>
        <v/>
      </c>
      <c r="N163" s="17">
        <f>IF(K163=1,N('ORDENES'!$M159),0)</f>
        <v/>
      </c>
      <c r="O163" s="17">
        <f>IF('ORDENES'!$S159="preventiva",N163,0)</f>
        <v/>
      </c>
      <c r="P163" s="17">
        <f>IF('ORDENES'!$S159="correctiva",N163,0)</f>
        <v/>
      </c>
      <c r="Q163" s="3">
        <f>IF(AND(K163=1,'ORDENES'!$N159="Pendiente"),1,0)</f>
        <v/>
      </c>
      <c r="R163" s="3">
        <f>IF(Q163=1,100000-N163*1000+156*0.01,9000000000000+156)</f>
        <v/>
      </c>
      <c r="S163" s="3">
        <f>IF(Q163=1,SUMPRODUCT(--($R$8:$R$1207&lt;R163))+1,"")</f>
        <v/>
      </c>
      <c r="T163" s="11">
        <f>IF(K163=1,'ORDENES'!$J159,"")</f>
        <v/>
      </c>
      <c r="U163" s="3">
        <f>IFERROR(MATCH(156,$M$8:$M$1207,0),"")</f>
        <v/>
      </c>
      <c r="V163" s="3">
        <f>IF(U163="","",INDEX('ORDENES'!$R$4:$R$1203,U163))</f>
        <v/>
      </c>
      <c r="W163" s="3">
        <f>IF(U163="","",IF(V163&lt;&gt;V162,CHAR(10)&amp;UPPER(LEFT(V163,1))&amp;MID(V163,2,20)&amp;":"&amp;CHAR(10),"")&amp;"   "&amp;IF(INDEX('ORDENES'!$AC$4:$AC$1203,U163)="","(s/t)",INDEX('ORDENES'!$AC$4:$AC$1203,U163))&amp;" · "&amp;IF(INDEX('ORDENES'!$AB$4:$AB$1203,U163)="","(sin técnico)",INDEX('ORDENES'!$AB$4:$AB$1203,U163))&amp;" · "&amp;INDEX('ORDENES'!$AN$4:$AN$1203,U163)&amp;" — "&amp;INDEX('ORDENES'!$D$4:$D$1203,U163)&amp;" ("&amp;TEXT(INDEX('ORDENES'!$M$4:$M$1203,U163),"0.#")&amp;" h)")</f>
        <v/>
      </c>
    </row>
    <row r="164">
      <c r="K164" s="3">
        <f>IF(AND(IF($B$3="(todos)",TRUE,'ORDENES'!$O160=$B$3),IF($D$3="(todos)",TRUE,'ORDENES'!$AC160=$D$3),IF($F$3="(todos)",TRUE,'ORDENES'!$V160=$F$3),'ORDENES'!$AA160=TRUE,'ORDENES'!$A160&lt;&gt;""),1,0)</f>
        <v/>
      </c>
      <c r="L164" s="3">
        <f>IF(K164=1,IFERROR(MATCH('ORDENES'!$R160,lista_dias,0),9)*1000000000+IFERROR(MATCH('ORDENES'!$AC160,lista_turnos,0),9)*10000000+IFERROR(MATCH('ORDENES'!$AB160,'TECNICOS'!$B$4:$B$15,0),99)*100000+157,9000000000000+157)</f>
        <v/>
      </c>
      <c r="M164" s="3">
        <f>IF(K164=1,SUMPRODUCT(--($L$8:$L$1207&lt;L164))+1,"")</f>
        <v/>
      </c>
      <c r="N164" s="17">
        <f>IF(K164=1,N('ORDENES'!$M160),0)</f>
        <v/>
      </c>
      <c r="O164" s="17">
        <f>IF('ORDENES'!$S160="preventiva",N164,0)</f>
        <v/>
      </c>
      <c r="P164" s="17">
        <f>IF('ORDENES'!$S160="correctiva",N164,0)</f>
        <v/>
      </c>
      <c r="Q164" s="3">
        <f>IF(AND(K164=1,'ORDENES'!$N160="Pendiente"),1,0)</f>
        <v/>
      </c>
      <c r="R164" s="3">
        <f>IF(Q164=1,100000-N164*1000+157*0.01,9000000000000+157)</f>
        <v/>
      </c>
      <c r="S164" s="3">
        <f>IF(Q164=1,SUMPRODUCT(--($R$8:$R$1207&lt;R164))+1,"")</f>
        <v/>
      </c>
      <c r="T164" s="11">
        <f>IF(K164=1,'ORDENES'!$J160,"")</f>
        <v/>
      </c>
      <c r="U164" s="3">
        <f>IFERROR(MATCH(157,$M$8:$M$1207,0),"")</f>
        <v/>
      </c>
      <c r="V164" s="3">
        <f>IF(U164="","",INDEX('ORDENES'!$R$4:$R$1203,U164))</f>
        <v/>
      </c>
      <c r="W164" s="3">
        <f>IF(U164="","",IF(V164&lt;&gt;V163,CHAR(10)&amp;UPPER(LEFT(V164,1))&amp;MID(V164,2,20)&amp;":"&amp;CHAR(10),"")&amp;"   "&amp;IF(INDEX('ORDENES'!$AC$4:$AC$1203,U164)="","(s/t)",INDEX('ORDENES'!$AC$4:$AC$1203,U164))&amp;" · "&amp;IF(INDEX('ORDENES'!$AB$4:$AB$1203,U164)="","(sin técnico)",INDEX('ORDENES'!$AB$4:$AB$1203,U164))&amp;" · "&amp;INDEX('ORDENES'!$AN$4:$AN$1203,U164)&amp;" — "&amp;INDEX('ORDENES'!$D$4:$D$1203,U164)&amp;" ("&amp;TEXT(INDEX('ORDENES'!$M$4:$M$1203,U164),"0.#")&amp;" h)")</f>
        <v/>
      </c>
    </row>
    <row r="165">
      <c r="K165" s="3">
        <f>IF(AND(IF($B$3="(todos)",TRUE,'ORDENES'!$O161=$B$3),IF($D$3="(todos)",TRUE,'ORDENES'!$AC161=$D$3),IF($F$3="(todos)",TRUE,'ORDENES'!$V161=$F$3),'ORDENES'!$AA161=TRUE,'ORDENES'!$A161&lt;&gt;""),1,0)</f>
        <v/>
      </c>
      <c r="L165" s="3">
        <f>IF(K165=1,IFERROR(MATCH('ORDENES'!$R161,lista_dias,0),9)*1000000000+IFERROR(MATCH('ORDENES'!$AC161,lista_turnos,0),9)*10000000+IFERROR(MATCH('ORDENES'!$AB161,'TECNICOS'!$B$4:$B$15,0),99)*100000+158,9000000000000+158)</f>
        <v/>
      </c>
      <c r="M165" s="3">
        <f>IF(K165=1,SUMPRODUCT(--($L$8:$L$1207&lt;L165))+1,"")</f>
        <v/>
      </c>
      <c r="N165" s="17">
        <f>IF(K165=1,N('ORDENES'!$M161),0)</f>
        <v/>
      </c>
      <c r="O165" s="17">
        <f>IF('ORDENES'!$S161="preventiva",N165,0)</f>
        <v/>
      </c>
      <c r="P165" s="17">
        <f>IF('ORDENES'!$S161="correctiva",N165,0)</f>
        <v/>
      </c>
      <c r="Q165" s="3">
        <f>IF(AND(K165=1,'ORDENES'!$N161="Pendiente"),1,0)</f>
        <v/>
      </c>
      <c r="R165" s="3">
        <f>IF(Q165=1,100000-N165*1000+158*0.01,9000000000000+158)</f>
        <v/>
      </c>
      <c r="S165" s="3">
        <f>IF(Q165=1,SUMPRODUCT(--($R$8:$R$1207&lt;R165))+1,"")</f>
        <v/>
      </c>
      <c r="T165" s="11">
        <f>IF(K165=1,'ORDENES'!$J161,"")</f>
        <v/>
      </c>
      <c r="U165" s="3">
        <f>IFERROR(MATCH(158,$M$8:$M$1207,0),"")</f>
        <v/>
      </c>
      <c r="V165" s="3">
        <f>IF(U165="","",INDEX('ORDENES'!$R$4:$R$1203,U165))</f>
        <v/>
      </c>
      <c r="W165" s="3">
        <f>IF(U165="","",IF(V165&lt;&gt;V164,CHAR(10)&amp;UPPER(LEFT(V165,1))&amp;MID(V165,2,20)&amp;":"&amp;CHAR(10),"")&amp;"   "&amp;IF(INDEX('ORDENES'!$AC$4:$AC$1203,U165)="","(s/t)",INDEX('ORDENES'!$AC$4:$AC$1203,U165))&amp;" · "&amp;IF(INDEX('ORDENES'!$AB$4:$AB$1203,U165)="","(sin técnico)",INDEX('ORDENES'!$AB$4:$AB$1203,U165))&amp;" · "&amp;INDEX('ORDENES'!$AN$4:$AN$1203,U165)&amp;" — "&amp;INDEX('ORDENES'!$D$4:$D$1203,U165)&amp;" ("&amp;TEXT(INDEX('ORDENES'!$M$4:$M$1203,U165),"0.#")&amp;" h)")</f>
        <v/>
      </c>
    </row>
    <row r="166">
      <c r="K166" s="3">
        <f>IF(AND(IF($B$3="(todos)",TRUE,'ORDENES'!$O162=$B$3),IF($D$3="(todos)",TRUE,'ORDENES'!$AC162=$D$3),IF($F$3="(todos)",TRUE,'ORDENES'!$V162=$F$3),'ORDENES'!$AA162=TRUE,'ORDENES'!$A162&lt;&gt;""),1,0)</f>
        <v/>
      </c>
      <c r="L166" s="3">
        <f>IF(K166=1,IFERROR(MATCH('ORDENES'!$R162,lista_dias,0),9)*1000000000+IFERROR(MATCH('ORDENES'!$AC162,lista_turnos,0),9)*10000000+IFERROR(MATCH('ORDENES'!$AB162,'TECNICOS'!$B$4:$B$15,0),99)*100000+159,9000000000000+159)</f>
        <v/>
      </c>
      <c r="M166" s="3">
        <f>IF(K166=1,SUMPRODUCT(--($L$8:$L$1207&lt;L166))+1,"")</f>
        <v/>
      </c>
      <c r="N166" s="17">
        <f>IF(K166=1,N('ORDENES'!$M162),0)</f>
        <v/>
      </c>
      <c r="O166" s="17">
        <f>IF('ORDENES'!$S162="preventiva",N166,0)</f>
        <v/>
      </c>
      <c r="P166" s="17">
        <f>IF('ORDENES'!$S162="correctiva",N166,0)</f>
        <v/>
      </c>
      <c r="Q166" s="3">
        <f>IF(AND(K166=1,'ORDENES'!$N162="Pendiente"),1,0)</f>
        <v/>
      </c>
      <c r="R166" s="3">
        <f>IF(Q166=1,100000-N166*1000+159*0.01,9000000000000+159)</f>
        <v/>
      </c>
      <c r="S166" s="3">
        <f>IF(Q166=1,SUMPRODUCT(--($R$8:$R$1207&lt;R166))+1,"")</f>
        <v/>
      </c>
      <c r="T166" s="11">
        <f>IF(K166=1,'ORDENES'!$J162,"")</f>
        <v/>
      </c>
      <c r="U166" s="3">
        <f>IFERROR(MATCH(159,$M$8:$M$1207,0),"")</f>
        <v/>
      </c>
      <c r="V166" s="3">
        <f>IF(U166="","",INDEX('ORDENES'!$R$4:$R$1203,U166))</f>
        <v/>
      </c>
      <c r="W166" s="3">
        <f>IF(U166="","",IF(V166&lt;&gt;V165,CHAR(10)&amp;UPPER(LEFT(V166,1))&amp;MID(V166,2,20)&amp;":"&amp;CHAR(10),"")&amp;"   "&amp;IF(INDEX('ORDENES'!$AC$4:$AC$1203,U166)="","(s/t)",INDEX('ORDENES'!$AC$4:$AC$1203,U166))&amp;" · "&amp;IF(INDEX('ORDENES'!$AB$4:$AB$1203,U166)="","(sin técnico)",INDEX('ORDENES'!$AB$4:$AB$1203,U166))&amp;" · "&amp;INDEX('ORDENES'!$AN$4:$AN$1203,U166)&amp;" — "&amp;INDEX('ORDENES'!$D$4:$D$1203,U166)&amp;" ("&amp;TEXT(INDEX('ORDENES'!$M$4:$M$1203,U166),"0.#")&amp;" h)")</f>
        <v/>
      </c>
    </row>
    <row r="167">
      <c r="K167" s="3">
        <f>IF(AND(IF($B$3="(todos)",TRUE,'ORDENES'!$O163=$B$3),IF($D$3="(todos)",TRUE,'ORDENES'!$AC163=$D$3),IF($F$3="(todos)",TRUE,'ORDENES'!$V163=$F$3),'ORDENES'!$AA163=TRUE,'ORDENES'!$A163&lt;&gt;""),1,0)</f>
        <v/>
      </c>
      <c r="L167" s="3">
        <f>IF(K167=1,IFERROR(MATCH('ORDENES'!$R163,lista_dias,0),9)*1000000000+IFERROR(MATCH('ORDENES'!$AC163,lista_turnos,0),9)*10000000+IFERROR(MATCH('ORDENES'!$AB163,'TECNICOS'!$B$4:$B$15,0),99)*100000+160,9000000000000+160)</f>
        <v/>
      </c>
      <c r="M167" s="3">
        <f>IF(K167=1,SUMPRODUCT(--($L$8:$L$1207&lt;L167))+1,"")</f>
        <v/>
      </c>
      <c r="N167" s="17">
        <f>IF(K167=1,N('ORDENES'!$M163),0)</f>
        <v/>
      </c>
      <c r="O167" s="17">
        <f>IF('ORDENES'!$S163="preventiva",N167,0)</f>
        <v/>
      </c>
      <c r="P167" s="17">
        <f>IF('ORDENES'!$S163="correctiva",N167,0)</f>
        <v/>
      </c>
      <c r="Q167" s="3">
        <f>IF(AND(K167=1,'ORDENES'!$N163="Pendiente"),1,0)</f>
        <v/>
      </c>
      <c r="R167" s="3">
        <f>IF(Q167=1,100000-N167*1000+160*0.01,9000000000000+160)</f>
        <v/>
      </c>
      <c r="S167" s="3">
        <f>IF(Q167=1,SUMPRODUCT(--($R$8:$R$1207&lt;R167))+1,"")</f>
        <v/>
      </c>
      <c r="T167" s="11">
        <f>IF(K167=1,'ORDENES'!$J163,"")</f>
        <v/>
      </c>
      <c r="U167" s="3">
        <f>IFERROR(MATCH(160,$M$8:$M$1207,0),"")</f>
        <v/>
      </c>
      <c r="V167" s="3">
        <f>IF(U167="","",INDEX('ORDENES'!$R$4:$R$1203,U167))</f>
        <v/>
      </c>
      <c r="W167" s="3">
        <f>IF(U167="","",IF(V167&lt;&gt;V166,CHAR(10)&amp;UPPER(LEFT(V167,1))&amp;MID(V167,2,20)&amp;":"&amp;CHAR(10),"")&amp;"   "&amp;IF(INDEX('ORDENES'!$AC$4:$AC$1203,U167)="","(s/t)",INDEX('ORDENES'!$AC$4:$AC$1203,U167))&amp;" · "&amp;IF(INDEX('ORDENES'!$AB$4:$AB$1203,U167)="","(sin técnico)",INDEX('ORDENES'!$AB$4:$AB$1203,U167))&amp;" · "&amp;INDEX('ORDENES'!$AN$4:$AN$1203,U167)&amp;" — "&amp;INDEX('ORDENES'!$D$4:$D$1203,U167)&amp;" ("&amp;TEXT(INDEX('ORDENES'!$M$4:$M$1203,U167),"0.#")&amp;" h)")</f>
        <v/>
      </c>
    </row>
    <row r="168">
      <c r="K168" s="3">
        <f>IF(AND(IF($B$3="(todos)",TRUE,'ORDENES'!$O164=$B$3),IF($D$3="(todos)",TRUE,'ORDENES'!$AC164=$D$3),IF($F$3="(todos)",TRUE,'ORDENES'!$V164=$F$3),'ORDENES'!$AA164=TRUE,'ORDENES'!$A164&lt;&gt;""),1,0)</f>
        <v/>
      </c>
      <c r="L168" s="3">
        <f>IF(K168=1,IFERROR(MATCH('ORDENES'!$R164,lista_dias,0),9)*1000000000+IFERROR(MATCH('ORDENES'!$AC164,lista_turnos,0),9)*10000000+IFERROR(MATCH('ORDENES'!$AB164,'TECNICOS'!$B$4:$B$15,0),99)*100000+161,9000000000000+161)</f>
        <v/>
      </c>
      <c r="M168" s="3">
        <f>IF(K168=1,SUMPRODUCT(--($L$8:$L$1207&lt;L168))+1,"")</f>
        <v/>
      </c>
      <c r="N168" s="17">
        <f>IF(K168=1,N('ORDENES'!$M164),0)</f>
        <v/>
      </c>
      <c r="O168" s="17">
        <f>IF('ORDENES'!$S164="preventiva",N168,0)</f>
        <v/>
      </c>
      <c r="P168" s="17">
        <f>IF('ORDENES'!$S164="correctiva",N168,0)</f>
        <v/>
      </c>
      <c r="Q168" s="3">
        <f>IF(AND(K168=1,'ORDENES'!$N164="Pendiente"),1,0)</f>
        <v/>
      </c>
      <c r="R168" s="3">
        <f>IF(Q168=1,100000-N168*1000+161*0.01,9000000000000+161)</f>
        <v/>
      </c>
      <c r="S168" s="3">
        <f>IF(Q168=1,SUMPRODUCT(--($R$8:$R$1207&lt;R168))+1,"")</f>
        <v/>
      </c>
      <c r="T168" s="11">
        <f>IF(K168=1,'ORDENES'!$J164,"")</f>
        <v/>
      </c>
      <c r="U168" s="3">
        <f>IFERROR(MATCH(161,$M$8:$M$1207,0),"")</f>
        <v/>
      </c>
      <c r="V168" s="3">
        <f>IF(U168="","",INDEX('ORDENES'!$R$4:$R$1203,U168))</f>
        <v/>
      </c>
      <c r="W168" s="3">
        <f>IF(U168="","",IF(V168&lt;&gt;V167,CHAR(10)&amp;UPPER(LEFT(V168,1))&amp;MID(V168,2,20)&amp;":"&amp;CHAR(10),"")&amp;"   "&amp;IF(INDEX('ORDENES'!$AC$4:$AC$1203,U168)="","(s/t)",INDEX('ORDENES'!$AC$4:$AC$1203,U168))&amp;" · "&amp;IF(INDEX('ORDENES'!$AB$4:$AB$1203,U168)="","(sin técnico)",INDEX('ORDENES'!$AB$4:$AB$1203,U168))&amp;" · "&amp;INDEX('ORDENES'!$AN$4:$AN$1203,U168)&amp;" — "&amp;INDEX('ORDENES'!$D$4:$D$1203,U168)&amp;" ("&amp;TEXT(INDEX('ORDENES'!$M$4:$M$1203,U168),"0.#")&amp;" h)")</f>
        <v/>
      </c>
    </row>
    <row r="169">
      <c r="K169" s="3">
        <f>IF(AND(IF($B$3="(todos)",TRUE,'ORDENES'!$O165=$B$3),IF($D$3="(todos)",TRUE,'ORDENES'!$AC165=$D$3),IF($F$3="(todos)",TRUE,'ORDENES'!$V165=$F$3),'ORDENES'!$AA165=TRUE,'ORDENES'!$A165&lt;&gt;""),1,0)</f>
        <v/>
      </c>
      <c r="L169" s="3">
        <f>IF(K169=1,IFERROR(MATCH('ORDENES'!$R165,lista_dias,0),9)*1000000000+IFERROR(MATCH('ORDENES'!$AC165,lista_turnos,0),9)*10000000+IFERROR(MATCH('ORDENES'!$AB165,'TECNICOS'!$B$4:$B$15,0),99)*100000+162,9000000000000+162)</f>
        <v/>
      </c>
      <c r="M169" s="3">
        <f>IF(K169=1,SUMPRODUCT(--($L$8:$L$1207&lt;L169))+1,"")</f>
        <v/>
      </c>
      <c r="N169" s="17">
        <f>IF(K169=1,N('ORDENES'!$M165),0)</f>
        <v/>
      </c>
      <c r="O169" s="17">
        <f>IF('ORDENES'!$S165="preventiva",N169,0)</f>
        <v/>
      </c>
      <c r="P169" s="17">
        <f>IF('ORDENES'!$S165="correctiva",N169,0)</f>
        <v/>
      </c>
      <c r="Q169" s="3">
        <f>IF(AND(K169=1,'ORDENES'!$N165="Pendiente"),1,0)</f>
        <v/>
      </c>
      <c r="R169" s="3">
        <f>IF(Q169=1,100000-N169*1000+162*0.01,9000000000000+162)</f>
        <v/>
      </c>
      <c r="S169" s="3">
        <f>IF(Q169=1,SUMPRODUCT(--($R$8:$R$1207&lt;R169))+1,"")</f>
        <v/>
      </c>
      <c r="T169" s="11">
        <f>IF(K169=1,'ORDENES'!$J165,"")</f>
        <v/>
      </c>
      <c r="U169" s="3">
        <f>IFERROR(MATCH(162,$M$8:$M$1207,0),"")</f>
        <v/>
      </c>
      <c r="V169" s="3">
        <f>IF(U169="","",INDEX('ORDENES'!$R$4:$R$1203,U169))</f>
        <v/>
      </c>
      <c r="W169" s="3">
        <f>IF(U169="","",IF(V169&lt;&gt;V168,CHAR(10)&amp;UPPER(LEFT(V169,1))&amp;MID(V169,2,20)&amp;":"&amp;CHAR(10),"")&amp;"   "&amp;IF(INDEX('ORDENES'!$AC$4:$AC$1203,U169)="","(s/t)",INDEX('ORDENES'!$AC$4:$AC$1203,U169))&amp;" · "&amp;IF(INDEX('ORDENES'!$AB$4:$AB$1203,U169)="","(sin técnico)",INDEX('ORDENES'!$AB$4:$AB$1203,U169))&amp;" · "&amp;INDEX('ORDENES'!$AN$4:$AN$1203,U169)&amp;" — "&amp;INDEX('ORDENES'!$D$4:$D$1203,U169)&amp;" ("&amp;TEXT(INDEX('ORDENES'!$M$4:$M$1203,U169),"0.#")&amp;" h)")</f>
        <v/>
      </c>
    </row>
    <row r="170">
      <c r="K170" s="3">
        <f>IF(AND(IF($B$3="(todos)",TRUE,'ORDENES'!$O166=$B$3),IF($D$3="(todos)",TRUE,'ORDENES'!$AC166=$D$3),IF($F$3="(todos)",TRUE,'ORDENES'!$V166=$F$3),'ORDENES'!$AA166=TRUE,'ORDENES'!$A166&lt;&gt;""),1,0)</f>
        <v/>
      </c>
      <c r="L170" s="3">
        <f>IF(K170=1,IFERROR(MATCH('ORDENES'!$R166,lista_dias,0),9)*1000000000+IFERROR(MATCH('ORDENES'!$AC166,lista_turnos,0),9)*10000000+IFERROR(MATCH('ORDENES'!$AB166,'TECNICOS'!$B$4:$B$15,0),99)*100000+163,9000000000000+163)</f>
        <v/>
      </c>
      <c r="M170" s="3">
        <f>IF(K170=1,SUMPRODUCT(--($L$8:$L$1207&lt;L170))+1,"")</f>
        <v/>
      </c>
      <c r="N170" s="17">
        <f>IF(K170=1,N('ORDENES'!$M166),0)</f>
        <v/>
      </c>
      <c r="O170" s="17">
        <f>IF('ORDENES'!$S166="preventiva",N170,0)</f>
        <v/>
      </c>
      <c r="P170" s="17">
        <f>IF('ORDENES'!$S166="correctiva",N170,0)</f>
        <v/>
      </c>
      <c r="Q170" s="3">
        <f>IF(AND(K170=1,'ORDENES'!$N166="Pendiente"),1,0)</f>
        <v/>
      </c>
      <c r="R170" s="3">
        <f>IF(Q170=1,100000-N170*1000+163*0.01,9000000000000+163)</f>
        <v/>
      </c>
      <c r="S170" s="3">
        <f>IF(Q170=1,SUMPRODUCT(--($R$8:$R$1207&lt;R170))+1,"")</f>
        <v/>
      </c>
      <c r="T170" s="11">
        <f>IF(K170=1,'ORDENES'!$J166,"")</f>
        <v/>
      </c>
      <c r="U170" s="3">
        <f>IFERROR(MATCH(163,$M$8:$M$1207,0),"")</f>
        <v/>
      </c>
      <c r="V170" s="3">
        <f>IF(U170="","",INDEX('ORDENES'!$R$4:$R$1203,U170))</f>
        <v/>
      </c>
      <c r="W170" s="3">
        <f>IF(U170="","",IF(V170&lt;&gt;V169,CHAR(10)&amp;UPPER(LEFT(V170,1))&amp;MID(V170,2,20)&amp;":"&amp;CHAR(10),"")&amp;"   "&amp;IF(INDEX('ORDENES'!$AC$4:$AC$1203,U170)="","(s/t)",INDEX('ORDENES'!$AC$4:$AC$1203,U170))&amp;" · "&amp;IF(INDEX('ORDENES'!$AB$4:$AB$1203,U170)="","(sin técnico)",INDEX('ORDENES'!$AB$4:$AB$1203,U170))&amp;" · "&amp;INDEX('ORDENES'!$AN$4:$AN$1203,U170)&amp;" — "&amp;INDEX('ORDENES'!$D$4:$D$1203,U170)&amp;" ("&amp;TEXT(INDEX('ORDENES'!$M$4:$M$1203,U170),"0.#")&amp;" h)")</f>
        <v/>
      </c>
    </row>
    <row r="171">
      <c r="K171" s="3">
        <f>IF(AND(IF($B$3="(todos)",TRUE,'ORDENES'!$O167=$B$3),IF($D$3="(todos)",TRUE,'ORDENES'!$AC167=$D$3),IF($F$3="(todos)",TRUE,'ORDENES'!$V167=$F$3),'ORDENES'!$AA167=TRUE,'ORDENES'!$A167&lt;&gt;""),1,0)</f>
        <v/>
      </c>
      <c r="L171" s="3">
        <f>IF(K171=1,IFERROR(MATCH('ORDENES'!$R167,lista_dias,0),9)*1000000000+IFERROR(MATCH('ORDENES'!$AC167,lista_turnos,0),9)*10000000+IFERROR(MATCH('ORDENES'!$AB167,'TECNICOS'!$B$4:$B$15,0),99)*100000+164,9000000000000+164)</f>
        <v/>
      </c>
      <c r="M171" s="3">
        <f>IF(K171=1,SUMPRODUCT(--($L$8:$L$1207&lt;L171))+1,"")</f>
        <v/>
      </c>
      <c r="N171" s="17">
        <f>IF(K171=1,N('ORDENES'!$M167),0)</f>
        <v/>
      </c>
      <c r="O171" s="17">
        <f>IF('ORDENES'!$S167="preventiva",N171,0)</f>
        <v/>
      </c>
      <c r="P171" s="17">
        <f>IF('ORDENES'!$S167="correctiva",N171,0)</f>
        <v/>
      </c>
      <c r="Q171" s="3">
        <f>IF(AND(K171=1,'ORDENES'!$N167="Pendiente"),1,0)</f>
        <v/>
      </c>
      <c r="R171" s="3">
        <f>IF(Q171=1,100000-N171*1000+164*0.01,9000000000000+164)</f>
        <v/>
      </c>
      <c r="S171" s="3">
        <f>IF(Q171=1,SUMPRODUCT(--($R$8:$R$1207&lt;R171))+1,"")</f>
        <v/>
      </c>
      <c r="T171" s="11">
        <f>IF(K171=1,'ORDENES'!$J167,"")</f>
        <v/>
      </c>
      <c r="U171" s="3">
        <f>IFERROR(MATCH(164,$M$8:$M$1207,0),"")</f>
        <v/>
      </c>
      <c r="V171" s="3">
        <f>IF(U171="","",INDEX('ORDENES'!$R$4:$R$1203,U171))</f>
        <v/>
      </c>
      <c r="W171" s="3">
        <f>IF(U171="","",IF(V171&lt;&gt;V170,CHAR(10)&amp;UPPER(LEFT(V171,1))&amp;MID(V171,2,20)&amp;":"&amp;CHAR(10),"")&amp;"   "&amp;IF(INDEX('ORDENES'!$AC$4:$AC$1203,U171)="","(s/t)",INDEX('ORDENES'!$AC$4:$AC$1203,U171))&amp;" · "&amp;IF(INDEX('ORDENES'!$AB$4:$AB$1203,U171)="","(sin técnico)",INDEX('ORDENES'!$AB$4:$AB$1203,U171))&amp;" · "&amp;INDEX('ORDENES'!$AN$4:$AN$1203,U171)&amp;" — "&amp;INDEX('ORDENES'!$D$4:$D$1203,U171)&amp;" ("&amp;TEXT(INDEX('ORDENES'!$M$4:$M$1203,U171),"0.#")&amp;" h)")</f>
        <v/>
      </c>
    </row>
    <row r="172">
      <c r="K172" s="3">
        <f>IF(AND(IF($B$3="(todos)",TRUE,'ORDENES'!$O168=$B$3),IF($D$3="(todos)",TRUE,'ORDENES'!$AC168=$D$3),IF($F$3="(todos)",TRUE,'ORDENES'!$V168=$F$3),'ORDENES'!$AA168=TRUE,'ORDENES'!$A168&lt;&gt;""),1,0)</f>
        <v/>
      </c>
      <c r="L172" s="3">
        <f>IF(K172=1,IFERROR(MATCH('ORDENES'!$R168,lista_dias,0),9)*1000000000+IFERROR(MATCH('ORDENES'!$AC168,lista_turnos,0),9)*10000000+IFERROR(MATCH('ORDENES'!$AB168,'TECNICOS'!$B$4:$B$15,0),99)*100000+165,9000000000000+165)</f>
        <v/>
      </c>
      <c r="M172" s="3">
        <f>IF(K172=1,SUMPRODUCT(--($L$8:$L$1207&lt;L172))+1,"")</f>
        <v/>
      </c>
      <c r="N172" s="17">
        <f>IF(K172=1,N('ORDENES'!$M168),0)</f>
        <v/>
      </c>
      <c r="O172" s="17">
        <f>IF('ORDENES'!$S168="preventiva",N172,0)</f>
        <v/>
      </c>
      <c r="P172" s="17">
        <f>IF('ORDENES'!$S168="correctiva",N172,0)</f>
        <v/>
      </c>
      <c r="Q172" s="3">
        <f>IF(AND(K172=1,'ORDENES'!$N168="Pendiente"),1,0)</f>
        <v/>
      </c>
      <c r="R172" s="3">
        <f>IF(Q172=1,100000-N172*1000+165*0.01,9000000000000+165)</f>
        <v/>
      </c>
      <c r="S172" s="3">
        <f>IF(Q172=1,SUMPRODUCT(--($R$8:$R$1207&lt;R172))+1,"")</f>
        <v/>
      </c>
      <c r="T172" s="11">
        <f>IF(K172=1,'ORDENES'!$J168,"")</f>
        <v/>
      </c>
      <c r="U172" s="3">
        <f>IFERROR(MATCH(165,$M$8:$M$1207,0),"")</f>
        <v/>
      </c>
      <c r="V172" s="3">
        <f>IF(U172="","",INDEX('ORDENES'!$R$4:$R$1203,U172))</f>
        <v/>
      </c>
      <c r="W172" s="3">
        <f>IF(U172="","",IF(V172&lt;&gt;V171,CHAR(10)&amp;UPPER(LEFT(V172,1))&amp;MID(V172,2,20)&amp;":"&amp;CHAR(10),"")&amp;"   "&amp;IF(INDEX('ORDENES'!$AC$4:$AC$1203,U172)="","(s/t)",INDEX('ORDENES'!$AC$4:$AC$1203,U172))&amp;" · "&amp;IF(INDEX('ORDENES'!$AB$4:$AB$1203,U172)="","(sin técnico)",INDEX('ORDENES'!$AB$4:$AB$1203,U172))&amp;" · "&amp;INDEX('ORDENES'!$AN$4:$AN$1203,U172)&amp;" — "&amp;INDEX('ORDENES'!$D$4:$D$1203,U172)&amp;" ("&amp;TEXT(INDEX('ORDENES'!$M$4:$M$1203,U172),"0.#")&amp;" h)")</f>
        <v/>
      </c>
    </row>
    <row r="173">
      <c r="K173" s="3">
        <f>IF(AND(IF($B$3="(todos)",TRUE,'ORDENES'!$O169=$B$3),IF($D$3="(todos)",TRUE,'ORDENES'!$AC169=$D$3),IF($F$3="(todos)",TRUE,'ORDENES'!$V169=$F$3),'ORDENES'!$AA169=TRUE,'ORDENES'!$A169&lt;&gt;""),1,0)</f>
        <v/>
      </c>
      <c r="L173" s="3">
        <f>IF(K173=1,IFERROR(MATCH('ORDENES'!$R169,lista_dias,0),9)*1000000000+IFERROR(MATCH('ORDENES'!$AC169,lista_turnos,0),9)*10000000+IFERROR(MATCH('ORDENES'!$AB169,'TECNICOS'!$B$4:$B$15,0),99)*100000+166,9000000000000+166)</f>
        <v/>
      </c>
      <c r="M173" s="3">
        <f>IF(K173=1,SUMPRODUCT(--($L$8:$L$1207&lt;L173))+1,"")</f>
        <v/>
      </c>
      <c r="N173" s="17">
        <f>IF(K173=1,N('ORDENES'!$M169),0)</f>
        <v/>
      </c>
      <c r="O173" s="17">
        <f>IF('ORDENES'!$S169="preventiva",N173,0)</f>
        <v/>
      </c>
      <c r="P173" s="17">
        <f>IF('ORDENES'!$S169="correctiva",N173,0)</f>
        <v/>
      </c>
      <c r="Q173" s="3">
        <f>IF(AND(K173=1,'ORDENES'!$N169="Pendiente"),1,0)</f>
        <v/>
      </c>
      <c r="R173" s="3">
        <f>IF(Q173=1,100000-N173*1000+166*0.01,9000000000000+166)</f>
        <v/>
      </c>
      <c r="S173" s="3">
        <f>IF(Q173=1,SUMPRODUCT(--($R$8:$R$1207&lt;R173))+1,"")</f>
        <v/>
      </c>
      <c r="T173" s="11">
        <f>IF(K173=1,'ORDENES'!$J169,"")</f>
        <v/>
      </c>
      <c r="U173" s="3">
        <f>IFERROR(MATCH(166,$M$8:$M$1207,0),"")</f>
        <v/>
      </c>
      <c r="V173" s="3">
        <f>IF(U173="","",INDEX('ORDENES'!$R$4:$R$1203,U173))</f>
        <v/>
      </c>
      <c r="W173" s="3">
        <f>IF(U173="","",IF(V173&lt;&gt;V172,CHAR(10)&amp;UPPER(LEFT(V173,1))&amp;MID(V173,2,20)&amp;":"&amp;CHAR(10),"")&amp;"   "&amp;IF(INDEX('ORDENES'!$AC$4:$AC$1203,U173)="","(s/t)",INDEX('ORDENES'!$AC$4:$AC$1203,U173))&amp;" · "&amp;IF(INDEX('ORDENES'!$AB$4:$AB$1203,U173)="","(sin técnico)",INDEX('ORDENES'!$AB$4:$AB$1203,U173))&amp;" · "&amp;INDEX('ORDENES'!$AN$4:$AN$1203,U173)&amp;" — "&amp;INDEX('ORDENES'!$D$4:$D$1203,U173)&amp;" ("&amp;TEXT(INDEX('ORDENES'!$M$4:$M$1203,U173),"0.#")&amp;" h)")</f>
        <v/>
      </c>
    </row>
    <row r="174">
      <c r="K174" s="3">
        <f>IF(AND(IF($B$3="(todos)",TRUE,'ORDENES'!$O170=$B$3),IF($D$3="(todos)",TRUE,'ORDENES'!$AC170=$D$3),IF($F$3="(todos)",TRUE,'ORDENES'!$V170=$F$3),'ORDENES'!$AA170=TRUE,'ORDENES'!$A170&lt;&gt;""),1,0)</f>
        <v/>
      </c>
      <c r="L174" s="3">
        <f>IF(K174=1,IFERROR(MATCH('ORDENES'!$R170,lista_dias,0),9)*1000000000+IFERROR(MATCH('ORDENES'!$AC170,lista_turnos,0),9)*10000000+IFERROR(MATCH('ORDENES'!$AB170,'TECNICOS'!$B$4:$B$15,0),99)*100000+167,9000000000000+167)</f>
        <v/>
      </c>
      <c r="M174" s="3">
        <f>IF(K174=1,SUMPRODUCT(--($L$8:$L$1207&lt;L174))+1,"")</f>
        <v/>
      </c>
      <c r="N174" s="17">
        <f>IF(K174=1,N('ORDENES'!$M170),0)</f>
        <v/>
      </c>
      <c r="O174" s="17">
        <f>IF('ORDENES'!$S170="preventiva",N174,0)</f>
        <v/>
      </c>
      <c r="P174" s="17">
        <f>IF('ORDENES'!$S170="correctiva",N174,0)</f>
        <v/>
      </c>
      <c r="Q174" s="3">
        <f>IF(AND(K174=1,'ORDENES'!$N170="Pendiente"),1,0)</f>
        <v/>
      </c>
      <c r="R174" s="3">
        <f>IF(Q174=1,100000-N174*1000+167*0.01,9000000000000+167)</f>
        <v/>
      </c>
      <c r="S174" s="3">
        <f>IF(Q174=1,SUMPRODUCT(--($R$8:$R$1207&lt;R174))+1,"")</f>
        <v/>
      </c>
      <c r="T174" s="11">
        <f>IF(K174=1,'ORDENES'!$J170,"")</f>
        <v/>
      </c>
      <c r="U174" s="3">
        <f>IFERROR(MATCH(167,$M$8:$M$1207,0),"")</f>
        <v/>
      </c>
      <c r="V174" s="3">
        <f>IF(U174="","",INDEX('ORDENES'!$R$4:$R$1203,U174))</f>
        <v/>
      </c>
      <c r="W174" s="3">
        <f>IF(U174="","",IF(V174&lt;&gt;V173,CHAR(10)&amp;UPPER(LEFT(V174,1))&amp;MID(V174,2,20)&amp;":"&amp;CHAR(10),"")&amp;"   "&amp;IF(INDEX('ORDENES'!$AC$4:$AC$1203,U174)="","(s/t)",INDEX('ORDENES'!$AC$4:$AC$1203,U174))&amp;" · "&amp;IF(INDEX('ORDENES'!$AB$4:$AB$1203,U174)="","(sin técnico)",INDEX('ORDENES'!$AB$4:$AB$1203,U174))&amp;" · "&amp;INDEX('ORDENES'!$AN$4:$AN$1203,U174)&amp;" — "&amp;INDEX('ORDENES'!$D$4:$D$1203,U174)&amp;" ("&amp;TEXT(INDEX('ORDENES'!$M$4:$M$1203,U174),"0.#")&amp;" h)")</f>
        <v/>
      </c>
    </row>
    <row r="175">
      <c r="K175" s="3">
        <f>IF(AND(IF($B$3="(todos)",TRUE,'ORDENES'!$O171=$B$3),IF($D$3="(todos)",TRUE,'ORDENES'!$AC171=$D$3),IF($F$3="(todos)",TRUE,'ORDENES'!$V171=$F$3),'ORDENES'!$AA171=TRUE,'ORDENES'!$A171&lt;&gt;""),1,0)</f>
        <v/>
      </c>
      <c r="L175" s="3">
        <f>IF(K175=1,IFERROR(MATCH('ORDENES'!$R171,lista_dias,0),9)*1000000000+IFERROR(MATCH('ORDENES'!$AC171,lista_turnos,0),9)*10000000+IFERROR(MATCH('ORDENES'!$AB171,'TECNICOS'!$B$4:$B$15,0),99)*100000+168,9000000000000+168)</f>
        <v/>
      </c>
      <c r="M175" s="3">
        <f>IF(K175=1,SUMPRODUCT(--($L$8:$L$1207&lt;L175))+1,"")</f>
        <v/>
      </c>
      <c r="N175" s="17">
        <f>IF(K175=1,N('ORDENES'!$M171),0)</f>
        <v/>
      </c>
      <c r="O175" s="17">
        <f>IF('ORDENES'!$S171="preventiva",N175,0)</f>
        <v/>
      </c>
      <c r="P175" s="17">
        <f>IF('ORDENES'!$S171="correctiva",N175,0)</f>
        <v/>
      </c>
      <c r="Q175" s="3">
        <f>IF(AND(K175=1,'ORDENES'!$N171="Pendiente"),1,0)</f>
        <v/>
      </c>
      <c r="R175" s="3">
        <f>IF(Q175=1,100000-N175*1000+168*0.01,9000000000000+168)</f>
        <v/>
      </c>
      <c r="S175" s="3">
        <f>IF(Q175=1,SUMPRODUCT(--($R$8:$R$1207&lt;R175))+1,"")</f>
        <v/>
      </c>
      <c r="T175" s="11">
        <f>IF(K175=1,'ORDENES'!$J171,"")</f>
        <v/>
      </c>
      <c r="U175" s="3">
        <f>IFERROR(MATCH(168,$M$8:$M$1207,0),"")</f>
        <v/>
      </c>
      <c r="V175" s="3">
        <f>IF(U175="","",INDEX('ORDENES'!$R$4:$R$1203,U175))</f>
        <v/>
      </c>
      <c r="W175" s="3">
        <f>IF(U175="","",IF(V175&lt;&gt;V174,CHAR(10)&amp;UPPER(LEFT(V175,1))&amp;MID(V175,2,20)&amp;":"&amp;CHAR(10),"")&amp;"   "&amp;IF(INDEX('ORDENES'!$AC$4:$AC$1203,U175)="","(s/t)",INDEX('ORDENES'!$AC$4:$AC$1203,U175))&amp;" · "&amp;IF(INDEX('ORDENES'!$AB$4:$AB$1203,U175)="","(sin técnico)",INDEX('ORDENES'!$AB$4:$AB$1203,U175))&amp;" · "&amp;INDEX('ORDENES'!$AN$4:$AN$1203,U175)&amp;" — "&amp;INDEX('ORDENES'!$D$4:$D$1203,U175)&amp;" ("&amp;TEXT(INDEX('ORDENES'!$M$4:$M$1203,U175),"0.#")&amp;" h)")</f>
        <v/>
      </c>
    </row>
    <row r="176">
      <c r="K176" s="3">
        <f>IF(AND(IF($B$3="(todos)",TRUE,'ORDENES'!$O172=$B$3),IF($D$3="(todos)",TRUE,'ORDENES'!$AC172=$D$3),IF($F$3="(todos)",TRUE,'ORDENES'!$V172=$F$3),'ORDENES'!$AA172=TRUE,'ORDENES'!$A172&lt;&gt;""),1,0)</f>
        <v/>
      </c>
      <c r="L176" s="3">
        <f>IF(K176=1,IFERROR(MATCH('ORDENES'!$R172,lista_dias,0),9)*1000000000+IFERROR(MATCH('ORDENES'!$AC172,lista_turnos,0),9)*10000000+IFERROR(MATCH('ORDENES'!$AB172,'TECNICOS'!$B$4:$B$15,0),99)*100000+169,9000000000000+169)</f>
        <v/>
      </c>
      <c r="M176" s="3">
        <f>IF(K176=1,SUMPRODUCT(--($L$8:$L$1207&lt;L176))+1,"")</f>
        <v/>
      </c>
      <c r="N176" s="17">
        <f>IF(K176=1,N('ORDENES'!$M172),0)</f>
        <v/>
      </c>
      <c r="O176" s="17">
        <f>IF('ORDENES'!$S172="preventiva",N176,0)</f>
        <v/>
      </c>
      <c r="P176" s="17">
        <f>IF('ORDENES'!$S172="correctiva",N176,0)</f>
        <v/>
      </c>
      <c r="Q176" s="3">
        <f>IF(AND(K176=1,'ORDENES'!$N172="Pendiente"),1,0)</f>
        <v/>
      </c>
      <c r="R176" s="3">
        <f>IF(Q176=1,100000-N176*1000+169*0.01,9000000000000+169)</f>
        <v/>
      </c>
      <c r="S176" s="3">
        <f>IF(Q176=1,SUMPRODUCT(--($R$8:$R$1207&lt;R176))+1,"")</f>
        <v/>
      </c>
      <c r="T176" s="11">
        <f>IF(K176=1,'ORDENES'!$J172,"")</f>
        <v/>
      </c>
      <c r="U176" s="3">
        <f>IFERROR(MATCH(169,$M$8:$M$1207,0),"")</f>
        <v/>
      </c>
      <c r="V176" s="3">
        <f>IF(U176="","",INDEX('ORDENES'!$R$4:$R$1203,U176))</f>
        <v/>
      </c>
      <c r="W176" s="3">
        <f>IF(U176="","",IF(V176&lt;&gt;V175,CHAR(10)&amp;UPPER(LEFT(V176,1))&amp;MID(V176,2,20)&amp;":"&amp;CHAR(10),"")&amp;"   "&amp;IF(INDEX('ORDENES'!$AC$4:$AC$1203,U176)="","(s/t)",INDEX('ORDENES'!$AC$4:$AC$1203,U176))&amp;" · "&amp;IF(INDEX('ORDENES'!$AB$4:$AB$1203,U176)="","(sin técnico)",INDEX('ORDENES'!$AB$4:$AB$1203,U176))&amp;" · "&amp;INDEX('ORDENES'!$AN$4:$AN$1203,U176)&amp;" — "&amp;INDEX('ORDENES'!$D$4:$D$1203,U176)&amp;" ("&amp;TEXT(INDEX('ORDENES'!$M$4:$M$1203,U176),"0.#")&amp;" h)")</f>
        <v/>
      </c>
    </row>
    <row r="177">
      <c r="K177" s="3">
        <f>IF(AND(IF($B$3="(todos)",TRUE,'ORDENES'!$O173=$B$3),IF($D$3="(todos)",TRUE,'ORDENES'!$AC173=$D$3),IF($F$3="(todos)",TRUE,'ORDENES'!$V173=$F$3),'ORDENES'!$AA173=TRUE,'ORDENES'!$A173&lt;&gt;""),1,0)</f>
        <v/>
      </c>
      <c r="L177" s="3">
        <f>IF(K177=1,IFERROR(MATCH('ORDENES'!$R173,lista_dias,0),9)*1000000000+IFERROR(MATCH('ORDENES'!$AC173,lista_turnos,0),9)*10000000+IFERROR(MATCH('ORDENES'!$AB173,'TECNICOS'!$B$4:$B$15,0),99)*100000+170,9000000000000+170)</f>
        <v/>
      </c>
      <c r="M177" s="3">
        <f>IF(K177=1,SUMPRODUCT(--($L$8:$L$1207&lt;L177))+1,"")</f>
        <v/>
      </c>
      <c r="N177" s="17">
        <f>IF(K177=1,N('ORDENES'!$M173),0)</f>
        <v/>
      </c>
      <c r="O177" s="17">
        <f>IF('ORDENES'!$S173="preventiva",N177,0)</f>
        <v/>
      </c>
      <c r="P177" s="17">
        <f>IF('ORDENES'!$S173="correctiva",N177,0)</f>
        <v/>
      </c>
      <c r="Q177" s="3">
        <f>IF(AND(K177=1,'ORDENES'!$N173="Pendiente"),1,0)</f>
        <v/>
      </c>
      <c r="R177" s="3">
        <f>IF(Q177=1,100000-N177*1000+170*0.01,9000000000000+170)</f>
        <v/>
      </c>
      <c r="S177" s="3">
        <f>IF(Q177=1,SUMPRODUCT(--($R$8:$R$1207&lt;R177))+1,"")</f>
        <v/>
      </c>
      <c r="T177" s="11">
        <f>IF(K177=1,'ORDENES'!$J173,"")</f>
        <v/>
      </c>
      <c r="U177" s="3">
        <f>IFERROR(MATCH(170,$M$8:$M$1207,0),"")</f>
        <v/>
      </c>
      <c r="V177" s="3">
        <f>IF(U177="","",INDEX('ORDENES'!$R$4:$R$1203,U177))</f>
        <v/>
      </c>
      <c r="W177" s="3">
        <f>IF(U177="","",IF(V177&lt;&gt;V176,CHAR(10)&amp;UPPER(LEFT(V177,1))&amp;MID(V177,2,20)&amp;":"&amp;CHAR(10),"")&amp;"   "&amp;IF(INDEX('ORDENES'!$AC$4:$AC$1203,U177)="","(s/t)",INDEX('ORDENES'!$AC$4:$AC$1203,U177))&amp;" · "&amp;IF(INDEX('ORDENES'!$AB$4:$AB$1203,U177)="","(sin técnico)",INDEX('ORDENES'!$AB$4:$AB$1203,U177))&amp;" · "&amp;INDEX('ORDENES'!$AN$4:$AN$1203,U177)&amp;" — "&amp;INDEX('ORDENES'!$D$4:$D$1203,U177)&amp;" ("&amp;TEXT(INDEX('ORDENES'!$M$4:$M$1203,U177),"0.#")&amp;" h)")</f>
        <v/>
      </c>
    </row>
    <row r="178">
      <c r="K178" s="3">
        <f>IF(AND(IF($B$3="(todos)",TRUE,'ORDENES'!$O174=$B$3),IF($D$3="(todos)",TRUE,'ORDENES'!$AC174=$D$3),IF($F$3="(todos)",TRUE,'ORDENES'!$V174=$F$3),'ORDENES'!$AA174=TRUE,'ORDENES'!$A174&lt;&gt;""),1,0)</f>
        <v/>
      </c>
      <c r="L178" s="3">
        <f>IF(K178=1,IFERROR(MATCH('ORDENES'!$R174,lista_dias,0),9)*1000000000+IFERROR(MATCH('ORDENES'!$AC174,lista_turnos,0),9)*10000000+IFERROR(MATCH('ORDENES'!$AB174,'TECNICOS'!$B$4:$B$15,0),99)*100000+171,9000000000000+171)</f>
        <v/>
      </c>
      <c r="M178" s="3">
        <f>IF(K178=1,SUMPRODUCT(--($L$8:$L$1207&lt;L178))+1,"")</f>
        <v/>
      </c>
      <c r="N178" s="17">
        <f>IF(K178=1,N('ORDENES'!$M174),0)</f>
        <v/>
      </c>
      <c r="O178" s="17">
        <f>IF('ORDENES'!$S174="preventiva",N178,0)</f>
        <v/>
      </c>
      <c r="P178" s="17">
        <f>IF('ORDENES'!$S174="correctiva",N178,0)</f>
        <v/>
      </c>
      <c r="Q178" s="3">
        <f>IF(AND(K178=1,'ORDENES'!$N174="Pendiente"),1,0)</f>
        <v/>
      </c>
      <c r="R178" s="3">
        <f>IF(Q178=1,100000-N178*1000+171*0.01,9000000000000+171)</f>
        <v/>
      </c>
      <c r="S178" s="3">
        <f>IF(Q178=1,SUMPRODUCT(--($R$8:$R$1207&lt;R178))+1,"")</f>
        <v/>
      </c>
      <c r="T178" s="11">
        <f>IF(K178=1,'ORDENES'!$J174,"")</f>
        <v/>
      </c>
      <c r="U178" s="3">
        <f>IFERROR(MATCH(171,$M$8:$M$1207,0),"")</f>
        <v/>
      </c>
      <c r="V178" s="3">
        <f>IF(U178="","",INDEX('ORDENES'!$R$4:$R$1203,U178))</f>
        <v/>
      </c>
      <c r="W178" s="3">
        <f>IF(U178="","",IF(V178&lt;&gt;V177,CHAR(10)&amp;UPPER(LEFT(V178,1))&amp;MID(V178,2,20)&amp;":"&amp;CHAR(10),"")&amp;"   "&amp;IF(INDEX('ORDENES'!$AC$4:$AC$1203,U178)="","(s/t)",INDEX('ORDENES'!$AC$4:$AC$1203,U178))&amp;" · "&amp;IF(INDEX('ORDENES'!$AB$4:$AB$1203,U178)="","(sin técnico)",INDEX('ORDENES'!$AB$4:$AB$1203,U178))&amp;" · "&amp;INDEX('ORDENES'!$AN$4:$AN$1203,U178)&amp;" — "&amp;INDEX('ORDENES'!$D$4:$D$1203,U178)&amp;" ("&amp;TEXT(INDEX('ORDENES'!$M$4:$M$1203,U178),"0.#")&amp;" h)")</f>
        <v/>
      </c>
    </row>
    <row r="179">
      <c r="K179" s="3">
        <f>IF(AND(IF($B$3="(todos)",TRUE,'ORDENES'!$O175=$B$3),IF($D$3="(todos)",TRUE,'ORDENES'!$AC175=$D$3),IF($F$3="(todos)",TRUE,'ORDENES'!$V175=$F$3),'ORDENES'!$AA175=TRUE,'ORDENES'!$A175&lt;&gt;""),1,0)</f>
        <v/>
      </c>
      <c r="L179" s="3">
        <f>IF(K179=1,IFERROR(MATCH('ORDENES'!$R175,lista_dias,0),9)*1000000000+IFERROR(MATCH('ORDENES'!$AC175,lista_turnos,0),9)*10000000+IFERROR(MATCH('ORDENES'!$AB175,'TECNICOS'!$B$4:$B$15,0),99)*100000+172,9000000000000+172)</f>
        <v/>
      </c>
      <c r="M179" s="3">
        <f>IF(K179=1,SUMPRODUCT(--($L$8:$L$1207&lt;L179))+1,"")</f>
        <v/>
      </c>
      <c r="N179" s="17">
        <f>IF(K179=1,N('ORDENES'!$M175),0)</f>
        <v/>
      </c>
      <c r="O179" s="17">
        <f>IF('ORDENES'!$S175="preventiva",N179,0)</f>
        <v/>
      </c>
      <c r="P179" s="17">
        <f>IF('ORDENES'!$S175="correctiva",N179,0)</f>
        <v/>
      </c>
      <c r="Q179" s="3">
        <f>IF(AND(K179=1,'ORDENES'!$N175="Pendiente"),1,0)</f>
        <v/>
      </c>
      <c r="R179" s="3">
        <f>IF(Q179=1,100000-N179*1000+172*0.01,9000000000000+172)</f>
        <v/>
      </c>
      <c r="S179" s="3">
        <f>IF(Q179=1,SUMPRODUCT(--($R$8:$R$1207&lt;R179))+1,"")</f>
        <v/>
      </c>
      <c r="T179" s="11">
        <f>IF(K179=1,'ORDENES'!$J175,"")</f>
        <v/>
      </c>
      <c r="U179" s="3">
        <f>IFERROR(MATCH(172,$M$8:$M$1207,0),"")</f>
        <v/>
      </c>
      <c r="V179" s="3">
        <f>IF(U179="","",INDEX('ORDENES'!$R$4:$R$1203,U179))</f>
        <v/>
      </c>
      <c r="W179" s="3">
        <f>IF(U179="","",IF(V179&lt;&gt;V178,CHAR(10)&amp;UPPER(LEFT(V179,1))&amp;MID(V179,2,20)&amp;":"&amp;CHAR(10),"")&amp;"   "&amp;IF(INDEX('ORDENES'!$AC$4:$AC$1203,U179)="","(s/t)",INDEX('ORDENES'!$AC$4:$AC$1203,U179))&amp;" · "&amp;IF(INDEX('ORDENES'!$AB$4:$AB$1203,U179)="","(sin técnico)",INDEX('ORDENES'!$AB$4:$AB$1203,U179))&amp;" · "&amp;INDEX('ORDENES'!$AN$4:$AN$1203,U179)&amp;" — "&amp;INDEX('ORDENES'!$D$4:$D$1203,U179)&amp;" ("&amp;TEXT(INDEX('ORDENES'!$M$4:$M$1203,U179),"0.#")&amp;" h)")</f>
        <v/>
      </c>
    </row>
    <row r="180">
      <c r="K180" s="3">
        <f>IF(AND(IF($B$3="(todos)",TRUE,'ORDENES'!$O176=$B$3),IF($D$3="(todos)",TRUE,'ORDENES'!$AC176=$D$3),IF($F$3="(todos)",TRUE,'ORDENES'!$V176=$F$3),'ORDENES'!$AA176=TRUE,'ORDENES'!$A176&lt;&gt;""),1,0)</f>
        <v/>
      </c>
      <c r="L180" s="3">
        <f>IF(K180=1,IFERROR(MATCH('ORDENES'!$R176,lista_dias,0),9)*1000000000+IFERROR(MATCH('ORDENES'!$AC176,lista_turnos,0),9)*10000000+IFERROR(MATCH('ORDENES'!$AB176,'TECNICOS'!$B$4:$B$15,0),99)*100000+173,9000000000000+173)</f>
        <v/>
      </c>
      <c r="M180" s="3">
        <f>IF(K180=1,SUMPRODUCT(--($L$8:$L$1207&lt;L180))+1,"")</f>
        <v/>
      </c>
      <c r="N180" s="17">
        <f>IF(K180=1,N('ORDENES'!$M176),0)</f>
        <v/>
      </c>
      <c r="O180" s="17">
        <f>IF('ORDENES'!$S176="preventiva",N180,0)</f>
        <v/>
      </c>
      <c r="P180" s="17">
        <f>IF('ORDENES'!$S176="correctiva",N180,0)</f>
        <v/>
      </c>
      <c r="Q180" s="3">
        <f>IF(AND(K180=1,'ORDENES'!$N176="Pendiente"),1,0)</f>
        <v/>
      </c>
      <c r="R180" s="3">
        <f>IF(Q180=1,100000-N180*1000+173*0.01,9000000000000+173)</f>
        <v/>
      </c>
      <c r="S180" s="3">
        <f>IF(Q180=1,SUMPRODUCT(--($R$8:$R$1207&lt;R180))+1,"")</f>
        <v/>
      </c>
      <c r="T180" s="11">
        <f>IF(K180=1,'ORDENES'!$J176,"")</f>
        <v/>
      </c>
      <c r="U180" s="3">
        <f>IFERROR(MATCH(173,$M$8:$M$1207,0),"")</f>
        <v/>
      </c>
      <c r="V180" s="3">
        <f>IF(U180="","",INDEX('ORDENES'!$R$4:$R$1203,U180))</f>
        <v/>
      </c>
      <c r="W180" s="3">
        <f>IF(U180="","",IF(V180&lt;&gt;V179,CHAR(10)&amp;UPPER(LEFT(V180,1))&amp;MID(V180,2,20)&amp;":"&amp;CHAR(10),"")&amp;"   "&amp;IF(INDEX('ORDENES'!$AC$4:$AC$1203,U180)="","(s/t)",INDEX('ORDENES'!$AC$4:$AC$1203,U180))&amp;" · "&amp;IF(INDEX('ORDENES'!$AB$4:$AB$1203,U180)="","(sin técnico)",INDEX('ORDENES'!$AB$4:$AB$1203,U180))&amp;" · "&amp;INDEX('ORDENES'!$AN$4:$AN$1203,U180)&amp;" — "&amp;INDEX('ORDENES'!$D$4:$D$1203,U180)&amp;" ("&amp;TEXT(INDEX('ORDENES'!$M$4:$M$1203,U180),"0.#")&amp;" h)")</f>
        <v/>
      </c>
    </row>
    <row r="181">
      <c r="K181" s="3">
        <f>IF(AND(IF($B$3="(todos)",TRUE,'ORDENES'!$O177=$B$3),IF($D$3="(todos)",TRUE,'ORDENES'!$AC177=$D$3),IF($F$3="(todos)",TRUE,'ORDENES'!$V177=$F$3),'ORDENES'!$AA177=TRUE,'ORDENES'!$A177&lt;&gt;""),1,0)</f>
        <v/>
      </c>
      <c r="L181" s="3">
        <f>IF(K181=1,IFERROR(MATCH('ORDENES'!$R177,lista_dias,0),9)*1000000000+IFERROR(MATCH('ORDENES'!$AC177,lista_turnos,0),9)*10000000+IFERROR(MATCH('ORDENES'!$AB177,'TECNICOS'!$B$4:$B$15,0),99)*100000+174,9000000000000+174)</f>
        <v/>
      </c>
      <c r="M181" s="3">
        <f>IF(K181=1,SUMPRODUCT(--($L$8:$L$1207&lt;L181))+1,"")</f>
        <v/>
      </c>
      <c r="N181" s="17">
        <f>IF(K181=1,N('ORDENES'!$M177),0)</f>
        <v/>
      </c>
      <c r="O181" s="17">
        <f>IF('ORDENES'!$S177="preventiva",N181,0)</f>
        <v/>
      </c>
      <c r="P181" s="17">
        <f>IF('ORDENES'!$S177="correctiva",N181,0)</f>
        <v/>
      </c>
      <c r="Q181" s="3">
        <f>IF(AND(K181=1,'ORDENES'!$N177="Pendiente"),1,0)</f>
        <v/>
      </c>
      <c r="R181" s="3">
        <f>IF(Q181=1,100000-N181*1000+174*0.01,9000000000000+174)</f>
        <v/>
      </c>
      <c r="S181" s="3">
        <f>IF(Q181=1,SUMPRODUCT(--($R$8:$R$1207&lt;R181))+1,"")</f>
        <v/>
      </c>
      <c r="T181" s="11">
        <f>IF(K181=1,'ORDENES'!$J177,"")</f>
        <v/>
      </c>
      <c r="U181" s="3">
        <f>IFERROR(MATCH(174,$M$8:$M$1207,0),"")</f>
        <v/>
      </c>
      <c r="V181" s="3">
        <f>IF(U181="","",INDEX('ORDENES'!$R$4:$R$1203,U181))</f>
        <v/>
      </c>
      <c r="W181" s="3">
        <f>IF(U181="","",IF(V181&lt;&gt;V180,CHAR(10)&amp;UPPER(LEFT(V181,1))&amp;MID(V181,2,20)&amp;":"&amp;CHAR(10),"")&amp;"   "&amp;IF(INDEX('ORDENES'!$AC$4:$AC$1203,U181)="","(s/t)",INDEX('ORDENES'!$AC$4:$AC$1203,U181))&amp;" · "&amp;IF(INDEX('ORDENES'!$AB$4:$AB$1203,U181)="","(sin técnico)",INDEX('ORDENES'!$AB$4:$AB$1203,U181))&amp;" · "&amp;INDEX('ORDENES'!$AN$4:$AN$1203,U181)&amp;" — "&amp;INDEX('ORDENES'!$D$4:$D$1203,U181)&amp;" ("&amp;TEXT(INDEX('ORDENES'!$M$4:$M$1203,U181),"0.#")&amp;" h)")</f>
        <v/>
      </c>
    </row>
    <row r="182">
      <c r="K182" s="3">
        <f>IF(AND(IF($B$3="(todos)",TRUE,'ORDENES'!$O178=$B$3),IF($D$3="(todos)",TRUE,'ORDENES'!$AC178=$D$3),IF($F$3="(todos)",TRUE,'ORDENES'!$V178=$F$3),'ORDENES'!$AA178=TRUE,'ORDENES'!$A178&lt;&gt;""),1,0)</f>
        <v/>
      </c>
      <c r="L182" s="3">
        <f>IF(K182=1,IFERROR(MATCH('ORDENES'!$R178,lista_dias,0),9)*1000000000+IFERROR(MATCH('ORDENES'!$AC178,lista_turnos,0),9)*10000000+IFERROR(MATCH('ORDENES'!$AB178,'TECNICOS'!$B$4:$B$15,0),99)*100000+175,9000000000000+175)</f>
        <v/>
      </c>
      <c r="M182" s="3">
        <f>IF(K182=1,SUMPRODUCT(--($L$8:$L$1207&lt;L182))+1,"")</f>
        <v/>
      </c>
      <c r="N182" s="17">
        <f>IF(K182=1,N('ORDENES'!$M178),0)</f>
        <v/>
      </c>
      <c r="O182" s="17">
        <f>IF('ORDENES'!$S178="preventiva",N182,0)</f>
        <v/>
      </c>
      <c r="P182" s="17">
        <f>IF('ORDENES'!$S178="correctiva",N182,0)</f>
        <v/>
      </c>
      <c r="Q182" s="3">
        <f>IF(AND(K182=1,'ORDENES'!$N178="Pendiente"),1,0)</f>
        <v/>
      </c>
      <c r="R182" s="3">
        <f>IF(Q182=1,100000-N182*1000+175*0.01,9000000000000+175)</f>
        <v/>
      </c>
      <c r="S182" s="3">
        <f>IF(Q182=1,SUMPRODUCT(--($R$8:$R$1207&lt;R182))+1,"")</f>
        <v/>
      </c>
      <c r="T182" s="11">
        <f>IF(K182=1,'ORDENES'!$J178,"")</f>
        <v/>
      </c>
      <c r="U182" s="3">
        <f>IFERROR(MATCH(175,$M$8:$M$1207,0),"")</f>
        <v/>
      </c>
      <c r="V182" s="3">
        <f>IF(U182="","",INDEX('ORDENES'!$R$4:$R$1203,U182))</f>
        <v/>
      </c>
      <c r="W182" s="3">
        <f>IF(U182="","",IF(V182&lt;&gt;V181,CHAR(10)&amp;UPPER(LEFT(V182,1))&amp;MID(V182,2,20)&amp;":"&amp;CHAR(10),"")&amp;"   "&amp;IF(INDEX('ORDENES'!$AC$4:$AC$1203,U182)="","(s/t)",INDEX('ORDENES'!$AC$4:$AC$1203,U182))&amp;" · "&amp;IF(INDEX('ORDENES'!$AB$4:$AB$1203,U182)="","(sin técnico)",INDEX('ORDENES'!$AB$4:$AB$1203,U182))&amp;" · "&amp;INDEX('ORDENES'!$AN$4:$AN$1203,U182)&amp;" — "&amp;INDEX('ORDENES'!$D$4:$D$1203,U182)&amp;" ("&amp;TEXT(INDEX('ORDENES'!$M$4:$M$1203,U182),"0.#")&amp;" h)")</f>
        <v/>
      </c>
    </row>
    <row r="183">
      <c r="K183" s="3">
        <f>IF(AND(IF($B$3="(todos)",TRUE,'ORDENES'!$O179=$B$3),IF($D$3="(todos)",TRUE,'ORDENES'!$AC179=$D$3),IF($F$3="(todos)",TRUE,'ORDENES'!$V179=$F$3),'ORDENES'!$AA179=TRUE,'ORDENES'!$A179&lt;&gt;""),1,0)</f>
        <v/>
      </c>
      <c r="L183" s="3">
        <f>IF(K183=1,IFERROR(MATCH('ORDENES'!$R179,lista_dias,0),9)*1000000000+IFERROR(MATCH('ORDENES'!$AC179,lista_turnos,0),9)*10000000+IFERROR(MATCH('ORDENES'!$AB179,'TECNICOS'!$B$4:$B$15,0),99)*100000+176,9000000000000+176)</f>
        <v/>
      </c>
      <c r="M183" s="3">
        <f>IF(K183=1,SUMPRODUCT(--($L$8:$L$1207&lt;L183))+1,"")</f>
        <v/>
      </c>
      <c r="N183" s="17">
        <f>IF(K183=1,N('ORDENES'!$M179),0)</f>
        <v/>
      </c>
      <c r="O183" s="17">
        <f>IF('ORDENES'!$S179="preventiva",N183,0)</f>
        <v/>
      </c>
      <c r="P183" s="17">
        <f>IF('ORDENES'!$S179="correctiva",N183,0)</f>
        <v/>
      </c>
      <c r="Q183" s="3">
        <f>IF(AND(K183=1,'ORDENES'!$N179="Pendiente"),1,0)</f>
        <v/>
      </c>
      <c r="R183" s="3">
        <f>IF(Q183=1,100000-N183*1000+176*0.01,9000000000000+176)</f>
        <v/>
      </c>
      <c r="S183" s="3">
        <f>IF(Q183=1,SUMPRODUCT(--($R$8:$R$1207&lt;R183))+1,"")</f>
        <v/>
      </c>
      <c r="T183" s="11">
        <f>IF(K183=1,'ORDENES'!$J179,"")</f>
        <v/>
      </c>
      <c r="U183" s="3">
        <f>IFERROR(MATCH(176,$M$8:$M$1207,0),"")</f>
        <v/>
      </c>
      <c r="V183" s="3">
        <f>IF(U183="","",INDEX('ORDENES'!$R$4:$R$1203,U183))</f>
        <v/>
      </c>
      <c r="W183" s="3">
        <f>IF(U183="","",IF(V183&lt;&gt;V182,CHAR(10)&amp;UPPER(LEFT(V183,1))&amp;MID(V183,2,20)&amp;":"&amp;CHAR(10),"")&amp;"   "&amp;IF(INDEX('ORDENES'!$AC$4:$AC$1203,U183)="","(s/t)",INDEX('ORDENES'!$AC$4:$AC$1203,U183))&amp;" · "&amp;IF(INDEX('ORDENES'!$AB$4:$AB$1203,U183)="","(sin técnico)",INDEX('ORDENES'!$AB$4:$AB$1203,U183))&amp;" · "&amp;INDEX('ORDENES'!$AN$4:$AN$1203,U183)&amp;" — "&amp;INDEX('ORDENES'!$D$4:$D$1203,U183)&amp;" ("&amp;TEXT(INDEX('ORDENES'!$M$4:$M$1203,U183),"0.#")&amp;" h)")</f>
        <v/>
      </c>
    </row>
    <row r="184">
      <c r="K184" s="3">
        <f>IF(AND(IF($B$3="(todos)",TRUE,'ORDENES'!$O180=$B$3),IF($D$3="(todos)",TRUE,'ORDENES'!$AC180=$D$3),IF($F$3="(todos)",TRUE,'ORDENES'!$V180=$F$3),'ORDENES'!$AA180=TRUE,'ORDENES'!$A180&lt;&gt;""),1,0)</f>
        <v/>
      </c>
      <c r="L184" s="3">
        <f>IF(K184=1,IFERROR(MATCH('ORDENES'!$R180,lista_dias,0),9)*1000000000+IFERROR(MATCH('ORDENES'!$AC180,lista_turnos,0),9)*10000000+IFERROR(MATCH('ORDENES'!$AB180,'TECNICOS'!$B$4:$B$15,0),99)*100000+177,9000000000000+177)</f>
        <v/>
      </c>
      <c r="M184" s="3">
        <f>IF(K184=1,SUMPRODUCT(--($L$8:$L$1207&lt;L184))+1,"")</f>
        <v/>
      </c>
      <c r="N184" s="17">
        <f>IF(K184=1,N('ORDENES'!$M180),0)</f>
        <v/>
      </c>
      <c r="O184" s="17">
        <f>IF('ORDENES'!$S180="preventiva",N184,0)</f>
        <v/>
      </c>
      <c r="P184" s="17">
        <f>IF('ORDENES'!$S180="correctiva",N184,0)</f>
        <v/>
      </c>
      <c r="Q184" s="3">
        <f>IF(AND(K184=1,'ORDENES'!$N180="Pendiente"),1,0)</f>
        <v/>
      </c>
      <c r="R184" s="3">
        <f>IF(Q184=1,100000-N184*1000+177*0.01,9000000000000+177)</f>
        <v/>
      </c>
      <c r="S184" s="3">
        <f>IF(Q184=1,SUMPRODUCT(--($R$8:$R$1207&lt;R184))+1,"")</f>
        <v/>
      </c>
      <c r="T184" s="11">
        <f>IF(K184=1,'ORDENES'!$J180,"")</f>
        <v/>
      </c>
      <c r="U184" s="3">
        <f>IFERROR(MATCH(177,$M$8:$M$1207,0),"")</f>
        <v/>
      </c>
      <c r="V184" s="3">
        <f>IF(U184="","",INDEX('ORDENES'!$R$4:$R$1203,U184))</f>
        <v/>
      </c>
      <c r="W184" s="3">
        <f>IF(U184="","",IF(V184&lt;&gt;V183,CHAR(10)&amp;UPPER(LEFT(V184,1))&amp;MID(V184,2,20)&amp;":"&amp;CHAR(10),"")&amp;"   "&amp;IF(INDEX('ORDENES'!$AC$4:$AC$1203,U184)="","(s/t)",INDEX('ORDENES'!$AC$4:$AC$1203,U184))&amp;" · "&amp;IF(INDEX('ORDENES'!$AB$4:$AB$1203,U184)="","(sin técnico)",INDEX('ORDENES'!$AB$4:$AB$1203,U184))&amp;" · "&amp;INDEX('ORDENES'!$AN$4:$AN$1203,U184)&amp;" — "&amp;INDEX('ORDENES'!$D$4:$D$1203,U184)&amp;" ("&amp;TEXT(INDEX('ORDENES'!$M$4:$M$1203,U184),"0.#")&amp;" h)")</f>
        <v/>
      </c>
    </row>
    <row r="185">
      <c r="K185" s="3">
        <f>IF(AND(IF($B$3="(todos)",TRUE,'ORDENES'!$O181=$B$3),IF($D$3="(todos)",TRUE,'ORDENES'!$AC181=$D$3),IF($F$3="(todos)",TRUE,'ORDENES'!$V181=$F$3),'ORDENES'!$AA181=TRUE,'ORDENES'!$A181&lt;&gt;""),1,0)</f>
        <v/>
      </c>
      <c r="L185" s="3">
        <f>IF(K185=1,IFERROR(MATCH('ORDENES'!$R181,lista_dias,0),9)*1000000000+IFERROR(MATCH('ORDENES'!$AC181,lista_turnos,0),9)*10000000+IFERROR(MATCH('ORDENES'!$AB181,'TECNICOS'!$B$4:$B$15,0),99)*100000+178,9000000000000+178)</f>
        <v/>
      </c>
      <c r="M185" s="3">
        <f>IF(K185=1,SUMPRODUCT(--($L$8:$L$1207&lt;L185))+1,"")</f>
        <v/>
      </c>
      <c r="N185" s="17">
        <f>IF(K185=1,N('ORDENES'!$M181),0)</f>
        <v/>
      </c>
      <c r="O185" s="17">
        <f>IF('ORDENES'!$S181="preventiva",N185,0)</f>
        <v/>
      </c>
      <c r="P185" s="17">
        <f>IF('ORDENES'!$S181="correctiva",N185,0)</f>
        <v/>
      </c>
      <c r="Q185" s="3">
        <f>IF(AND(K185=1,'ORDENES'!$N181="Pendiente"),1,0)</f>
        <v/>
      </c>
      <c r="R185" s="3">
        <f>IF(Q185=1,100000-N185*1000+178*0.01,9000000000000+178)</f>
        <v/>
      </c>
      <c r="S185" s="3">
        <f>IF(Q185=1,SUMPRODUCT(--($R$8:$R$1207&lt;R185))+1,"")</f>
        <v/>
      </c>
      <c r="T185" s="11">
        <f>IF(K185=1,'ORDENES'!$J181,"")</f>
        <v/>
      </c>
      <c r="U185" s="3">
        <f>IFERROR(MATCH(178,$M$8:$M$1207,0),"")</f>
        <v/>
      </c>
      <c r="V185" s="3">
        <f>IF(U185="","",INDEX('ORDENES'!$R$4:$R$1203,U185))</f>
        <v/>
      </c>
      <c r="W185" s="3">
        <f>IF(U185="","",IF(V185&lt;&gt;V184,CHAR(10)&amp;UPPER(LEFT(V185,1))&amp;MID(V185,2,20)&amp;":"&amp;CHAR(10),"")&amp;"   "&amp;IF(INDEX('ORDENES'!$AC$4:$AC$1203,U185)="","(s/t)",INDEX('ORDENES'!$AC$4:$AC$1203,U185))&amp;" · "&amp;IF(INDEX('ORDENES'!$AB$4:$AB$1203,U185)="","(sin técnico)",INDEX('ORDENES'!$AB$4:$AB$1203,U185))&amp;" · "&amp;INDEX('ORDENES'!$AN$4:$AN$1203,U185)&amp;" — "&amp;INDEX('ORDENES'!$D$4:$D$1203,U185)&amp;" ("&amp;TEXT(INDEX('ORDENES'!$M$4:$M$1203,U185),"0.#")&amp;" h)")</f>
        <v/>
      </c>
    </row>
    <row r="186">
      <c r="K186" s="3">
        <f>IF(AND(IF($B$3="(todos)",TRUE,'ORDENES'!$O182=$B$3),IF($D$3="(todos)",TRUE,'ORDENES'!$AC182=$D$3),IF($F$3="(todos)",TRUE,'ORDENES'!$V182=$F$3),'ORDENES'!$AA182=TRUE,'ORDENES'!$A182&lt;&gt;""),1,0)</f>
        <v/>
      </c>
      <c r="L186" s="3">
        <f>IF(K186=1,IFERROR(MATCH('ORDENES'!$R182,lista_dias,0),9)*1000000000+IFERROR(MATCH('ORDENES'!$AC182,lista_turnos,0),9)*10000000+IFERROR(MATCH('ORDENES'!$AB182,'TECNICOS'!$B$4:$B$15,0),99)*100000+179,9000000000000+179)</f>
        <v/>
      </c>
      <c r="M186" s="3">
        <f>IF(K186=1,SUMPRODUCT(--($L$8:$L$1207&lt;L186))+1,"")</f>
        <v/>
      </c>
      <c r="N186" s="17">
        <f>IF(K186=1,N('ORDENES'!$M182),0)</f>
        <v/>
      </c>
      <c r="O186" s="17">
        <f>IF('ORDENES'!$S182="preventiva",N186,0)</f>
        <v/>
      </c>
      <c r="P186" s="17">
        <f>IF('ORDENES'!$S182="correctiva",N186,0)</f>
        <v/>
      </c>
      <c r="Q186" s="3">
        <f>IF(AND(K186=1,'ORDENES'!$N182="Pendiente"),1,0)</f>
        <v/>
      </c>
      <c r="R186" s="3">
        <f>IF(Q186=1,100000-N186*1000+179*0.01,9000000000000+179)</f>
        <v/>
      </c>
      <c r="S186" s="3">
        <f>IF(Q186=1,SUMPRODUCT(--($R$8:$R$1207&lt;R186))+1,"")</f>
        <v/>
      </c>
      <c r="T186" s="11">
        <f>IF(K186=1,'ORDENES'!$J182,"")</f>
        <v/>
      </c>
      <c r="U186" s="3">
        <f>IFERROR(MATCH(179,$M$8:$M$1207,0),"")</f>
        <v/>
      </c>
      <c r="V186" s="3">
        <f>IF(U186="","",INDEX('ORDENES'!$R$4:$R$1203,U186))</f>
        <v/>
      </c>
      <c r="W186" s="3">
        <f>IF(U186="","",IF(V186&lt;&gt;V185,CHAR(10)&amp;UPPER(LEFT(V186,1))&amp;MID(V186,2,20)&amp;":"&amp;CHAR(10),"")&amp;"   "&amp;IF(INDEX('ORDENES'!$AC$4:$AC$1203,U186)="","(s/t)",INDEX('ORDENES'!$AC$4:$AC$1203,U186))&amp;" · "&amp;IF(INDEX('ORDENES'!$AB$4:$AB$1203,U186)="","(sin técnico)",INDEX('ORDENES'!$AB$4:$AB$1203,U186))&amp;" · "&amp;INDEX('ORDENES'!$AN$4:$AN$1203,U186)&amp;" — "&amp;INDEX('ORDENES'!$D$4:$D$1203,U186)&amp;" ("&amp;TEXT(INDEX('ORDENES'!$M$4:$M$1203,U186),"0.#")&amp;" h)")</f>
        <v/>
      </c>
    </row>
    <row r="187">
      <c r="K187" s="3">
        <f>IF(AND(IF($B$3="(todos)",TRUE,'ORDENES'!$O183=$B$3),IF($D$3="(todos)",TRUE,'ORDENES'!$AC183=$D$3),IF($F$3="(todos)",TRUE,'ORDENES'!$V183=$F$3),'ORDENES'!$AA183=TRUE,'ORDENES'!$A183&lt;&gt;""),1,0)</f>
        <v/>
      </c>
      <c r="L187" s="3">
        <f>IF(K187=1,IFERROR(MATCH('ORDENES'!$R183,lista_dias,0),9)*1000000000+IFERROR(MATCH('ORDENES'!$AC183,lista_turnos,0),9)*10000000+IFERROR(MATCH('ORDENES'!$AB183,'TECNICOS'!$B$4:$B$15,0),99)*100000+180,9000000000000+180)</f>
        <v/>
      </c>
      <c r="M187" s="3">
        <f>IF(K187=1,SUMPRODUCT(--($L$8:$L$1207&lt;L187))+1,"")</f>
        <v/>
      </c>
      <c r="N187" s="17">
        <f>IF(K187=1,N('ORDENES'!$M183),0)</f>
        <v/>
      </c>
      <c r="O187" s="17">
        <f>IF('ORDENES'!$S183="preventiva",N187,0)</f>
        <v/>
      </c>
      <c r="P187" s="17">
        <f>IF('ORDENES'!$S183="correctiva",N187,0)</f>
        <v/>
      </c>
      <c r="Q187" s="3">
        <f>IF(AND(K187=1,'ORDENES'!$N183="Pendiente"),1,0)</f>
        <v/>
      </c>
      <c r="R187" s="3">
        <f>IF(Q187=1,100000-N187*1000+180*0.01,9000000000000+180)</f>
        <v/>
      </c>
      <c r="S187" s="3">
        <f>IF(Q187=1,SUMPRODUCT(--($R$8:$R$1207&lt;R187))+1,"")</f>
        <v/>
      </c>
      <c r="T187" s="11">
        <f>IF(K187=1,'ORDENES'!$J183,"")</f>
        <v/>
      </c>
      <c r="U187" s="3">
        <f>IFERROR(MATCH(180,$M$8:$M$1207,0),"")</f>
        <v/>
      </c>
      <c r="V187" s="3">
        <f>IF(U187="","",INDEX('ORDENES'!$R$4:$R$1203,U187))</f>
        <v/>
      </c>
      <c r="W187" s="3">
        <f>IF(U187="","",IF(V187&lt;&gt;V186,CHAR(10)&amp;UPPER(LEFT(V187,1))&amp;MID(V187,2,20)&amp;":"&amp;CHAR(10),"")&amp;"   "&amp;IF(INDEX('ORDENES'!$AC$4:$AC$1203,U187)="","(s/t)",INDEX('ORDENES'!$AC$4:$AC$1203,U187))&amp;" · "&amp;IF(INDEX('ORDENES'!$AB$4:$AB$1203,U187)="","(sin técnico)",INDEX('ORDENES'!$AB$4:$AB$1203,U187))&amp;" · "&amp;INDEX('ORDENES'!$AN$4:$AN$1203,U187)&amp;" — "&amp;INDEX('ORDENES'!$D$4:$D$1203,U187)&amp;" ("&amp;TEXT(INDEX('ORDENES'!$M$4:$M$1203,U187),"0.#")&amp;" h)")</f>
        <v/>
      </c>
    </row>
    <row r="188">
      <c r="K188" s="3">
        <f>IF(AND(IF($B$3="(todos)",TRUE,'ORDENES'!$O184=$B$3),IF($D$3="(todos)",TRUE,'ORDENES'!$AC184=$D$3),IF($F$3="(todos)",TRUE,'ORDENES'!$V184=$F$3),'ORDENES'!$AA184=TRUE,'ORDENES'!$A184&lt;&gt;""),1,0)</f>
        <v/>
      </c>
      <c r="L188" s="3">
        <f>IF(K188=1,IFERROR(MATCH('ORDENES'!$R184,lista_dias,0),9)*1000000000+IFERROR(MATCH('ORDENES'!$AC184,lista_turnos,0),9)*10000000+IFERROR(MATCH('ORDENES'!$AB184,'TECNICOS'!$B$4:$B$15,0),99)*100000+181,9000000000000+181)</f>
        <v/>
      </c>
      <c r="M188" s="3">
        <f>IF(K188=1,SUMPRODUCT(--($L$8:$L$1207&lt;L188))+1,"")</f>
        <v/>
      </c>
      <c r="N188" s="17">
        <f>IF(K188=1,N('ORDENES'!$M184),0)</f>
        <v/>
      </c>
      <c r="O188" s="17">
        <f>IF('ORDENES'!$S184="preventiva",N188,0)</f>
        <v/>
      </c>
      <c r="P188" s="17">
        <f>IF('ORDENES'!$S184="correctiva",N188,0)</f>
        <v/>
      </c>
      <c r="Q188" s="3">
        <f>IF(AND(K188=1,'ORDENES'!$N184="Pendiente"),1,0)</f>
        <v/>
      </c>
      <c r="R188" s="3">
        <f>IF(Q188=1,100000-N188*1000+181*0.01,9000000000000+181)</f>
        <v/>
      </c>
      <c r="S188" s="3">
        <f>IF(Q188=1,SUMPRODUCT(--($R$8:$R$1207&lt;R188))+1,"")</f>
        <v/>
      </c>
      <c r="T188" s="11">
        <f>IF(K188=1,'ORDENES'!$J184,"")</f>
        <v/>
      </c>
      <c r="U188" s="3">
        <f>IFERROR(MATCH(181,$M$8:$M$1207,0),"")</f>
        <v/>
      </c>
      <c r="V188" s="3">
        <f>IF(U188="","",INDEX('ORDENES'!$R$4:$R$1203,U188))</f>
        <v/>
      </c>
      <c r="W188" s="3">
        <f>IF(U188="","",IF(V188&lt;&gt;V187,CHAR(10)&amp;UPPER(LEFT(V188,1))&amp;MID(V188,2,20)&amp;":"&amp;CHAR(10),"")&amp;"   "&amp;IF(INDEX('ORDENES'!$AC$4:$AC$1203,U188)="","(s/t)",INDEX('ORDENES'!$AC$4:$AC$1203,U188))&amp;" · "&amp;IF(INDEX('ORDENES'!$AB$4:$AB$1203,U188)="","(sin técnico)",INDEX('ORDENES'!$AB$4:$AB$1203,U188))&amp;" · "&amp;INDEX('ORDENES'!$AN$4:$AN$1203,U188)&amp;" — "&amp;INDEX('ORDENES'!$D$4:$D$1203,U188)&amp;" ("&amp;TEXT(INDEX('ORDENES'!$M$4:$M$1203,U188),"0.#")&amp;" h)")</f>
        <v/>
      </c>
    </row>
    <row r="189">
      <c r="K189" s="3">
        <f>IF(AND(IF($B$3="(todos)",TRUE,'ORDENES'!$O185=$B$3),IF($D$3="(todos)",TRUE,'ORDENES'!$AC185=$D$3),IF($F$3="(todos)",TRUE,'ORDENES'!$V185=$F$3),'ORDENES'!$AA185=TRUE,'ORDENES'!$A185&lt;&gt;""),1,0)</f>
        <v/>
      </c>
      <c r="L189" s="3">
        <f>IF(K189=1,IFERROR(MATCH('ORDENES'!$R185,lista_dias,0),9)*1000000000+IFERROR(MATCH('ORDENES'!$AC185,lista_turnos,0),9)*10000000+IFERROR(MATCH('ORDENES'!$AB185,'TECNICOS'!$B$4:$B$15,0),99)*100000+182,9000000000000+182)</f>
        <v/>
      </c>
      <c r="M189" s="3">
        <f>IF(K189=1,SUMPRODUCT(--($L$8:$L$1207&lt;L189))+1,"")</f>
        <v/>
      </c>
      <c r="N189" s="17">
        <f>IF(K189=1,N('ORDENES'!$M185),0)</f>
        <v/>
      </c>
      <c r="O189" s="17">
        <f>IF('ORDENES'!$S185="preventiva",N189,0)</f>
        <v/>
      </c>
      <c r="P189" s="17">
        <f>IF('ORDENES'!$S185="correctiva",N189,0)</f>
        <v/>
      </c>
      <c r="Q189" s="3">
        <f>IF(AND(K189=1,'ORDENES'!$N185="Pendiente"),1,0)</f>
        <v/>
      </c>
      <c r="R189" s="3">
        <f>IF(Q189=1,100000-N189*1000+182*0.01,9000000000000+182)</f>
        <v/>
      </c>
      <c r="S189" s="3">
        <f>IF(Q189=1,SUMPRODUCT(--($R$8:$R$1207&lt;R189))+1,"")</f>
        <v/>
      </c>
      <c r="T189" s="11">
        <f>IF(K189=1,'ORDENES'!$J185,"")</f>
        <v/>
      </c>
      <c r="U189" s="3">
        <f>IFERROR(MATCH(182,$M$8:$M$1207,0),"")</f>
        <v/>
      </c>
      <c r="V189" s="3">
        <f>IF(U189="","",INDEX('ORDENES'!$R$4:$R$1203,U189))</f>
        <v/>
      </c>
      <c r="W189" s="3">
        <f>IF(U189="","",IF(V189&lt;&gt;V188,CHAR(10)&amp;UPPER(LEFT(V189,1))&amp;MID(V189,2,20)&amp;":"&amp;CHAR(10),"")&amp;"   "&amp;IF(INDEX('ORDENES'!$AC$4:$AC$1203,U189)="","(s/t)",INDEX('ORDENES'!$AC$4:$AC$1203,U189))&amp;" · "&amp;IF(INDEX('ORDENES'!$AB$4:$AB$1203,U189)="","(sin técnico)",INDEX('ORDENES'!$AB$4:$AB$1203,U189))&amp;" · "&amp;INDEX('ORDENES'!$AN$4:$AN$1203,U189)&amp;" — "&amp;INDEX('ORDENES'!$D$4:$D$1203,U189)&amp;" ("&amp;TEXT(INDEX('ORDENES'!$M$4:$M$1203,U189),"0.#")&amp;" h)")</f>
        <v/>
      </c>
    </row>
    <row r="190">
      <c r="K190" s="3">
        <f>IF(AND(IF($B$3="(todos)",TRUE,'ORDENES'!$O186=$B$3),IF($D$3="(todos)",TRUE,'ORDENES'!$AC186=$D$3),IF($F$3="(todos)",TRUE,'ORDENES'!$V186=$F$3),'ORDENES'!$AA186=TRUE,'ORDENES'!$A186&lt;&gt;""),1,0)</f>
        <v/>
      </c>
      <c r="L190" s="3">
        <f>IF(K190=1,IFERROR(MATCH('ORDENES'!$R186,lista_dias,0),9)*1000000000+IFERROR(MATCH('ORDENES'!$AC186,lista_turnos,0),9)*10000000+IFERROR(MATCH('ORDENES'!$AB186,'TECNICOS'!$B$4:$B$15,0),99)*100000+183,9000000000000+183)</f>
        <v/>
      </c>
      <c r="M190" s="3">
        <f>IF(K190=1,SUMPRODUCT(--($L$8:$L$1207&lt;L190))+1,"")</f>
        <v/>
      </c>
      <c r="N190" s="17">
        <f>IF(K190=1,N('ORDENES'!$M186),0)</f>
        <v/>
      </c>
      <c r="O190" s="17">
        <f>IF('ORDENES'!$S186="preventiva",N190,0)</f>
        <v/>
      </c>
      <c r="P190" s="17">
        <f>IF('ORDENES'!$S186="correctiva",N190,0)</f>
        <v/>
      </c>
      <c r="Q190" s="3">
        <f>IF(AND(K190=1,'ORDENES'!$N186="Pendiente"),1,0)</f>
        <v/>
      </c>
      <c r="R190" s="3">
        <f>IF(Q190=1,100000-N190*1000+183*0.01,9000000000000+183)</f>
        <v/>
      </c>
      <c r="S190" s="3">
        <f>IF(Q190=1,SUMPRODUCT(--($R$8:$R$1207&lt;R190))+1,"")</f>
        <v/>
      </c>
      <c r="T190" s="11">
        <f>IF(K190=1,'ORDENES'!$J186,"")</f>
        <v/>
      </c>
      <c r="U190" s="3">
        <f>IFERROR(MATCH(183,$M$8:$M$1207,0),"")</f>
        <v/>
      </c>
      <c r="V190" s="3">
        <f>IF(U190="","",INDEX('ORDENES'!$R$4:$R$1203,U190))</f>
        <v/>
      </c>
      <c r="W190" s="3">
        <f>IF(U190="","",IF(V190&lt;&gt;V189,CHAR(10)&amp;UPPER(LEFT(V190,1))&amp;MID(V190,2,20)&amp;":"&amp;CHAR(10),"")&amp;"   "&amp;IF(INDEX('ORDENES'!$AC$4:$AC$1203,U190)="","(s/t)",INDEX('ORDENES'!$AC$4:$AC$1203,U190))&amp;" · "&amp;IF(INDEX('ORDENES'!$AB$4:$AB$1203,U190)="","(sin técnico)",INDEX('ORDENES'!$AB$4:$AB$1203,U190))&amp;" · "&amp;INDEX('ORDENES'!$AN$4:$AN$1203,U190)&amp;" — "&amp;INDEX('ORDENES'!$D$4:$D$1203,U190)&amp;" ("&amp;TEXT(INDEX('ORDENES'!$M$4:$M$1203,U190),"0.#")&amp;" h)")</f>
        <v/>
      </c>
    </row>
    <row r="191">
      <c r="K191" s="3">
        <f>IF(AND(IF($B$3="(todos)",TRUE,'ORDENES'!$O187=$B$3),IF($D$3="(todos)",TRUE,'ORDENES'!$AC187=$D$3),IF($F$3="(todos)",TRUE,'ORDENES'!$V187=$F$3),'ORDENES'!$AA187=TRUE,'ORDENES'!$A187&lt;&gt;""),1,0)</f>
        <v/>
      </c>
      <c r="L191" s="3">
        <f>IF(K191=1,IFERROR(MATCH('ORDENES'!$R187,lista_dias,0),9)*1000000000+IFERROR(MATCH('ORDENES'!$AC187,lista_turnos,0),9)*10000000+IFERROR(MATCH('ORDENES'!$AB187,'TECNICOS'!$B$4:$B$15,0),99)*100000+184,9000000000000+184)</f>
        <v/>
      </c>
      <c r="M191" s="3">
        <f>IF(K191=1,SUMPRODUCT(--($L$8:$L$1207&lt;L191))+1,"")</f>
        <v/>
      </c>
      <c r="N191" s="17">
        <f>IF(K191=1,N('ORDENES'!$M187),0)</f>
        <v/>
      </c>
      <c r="O191" s="17">
        <f>IF('ORDENES'!$S187="preventiva",N191,0)</f>
        <v/>
      </c>
      <c r="P191" s="17">
        <f>IF('ORDENES'!$S187="correctiva",N191,0)</f>
        <v/>
      </c>
      <c r="Q191" s="3">
        <f>IF(AND(K191=1,'ORDENES'!$N187="Pendiente"),1,0)</f>
        <v/>
      </c>
      <c r="R191" s="3">
        <f>IF(Q191=1,100000-N191*1000+184*0.01,9000000000000+184)</f>
        <v/>
      </c>
      <c r="S191" s="3">
        <f>IF(Q191=1,SUMPRODUCT(--($R$8:$R$1207&lt;R191))+1,"")</f>
        <v/>
      </c>
      <c r="T191" s="11">
        <f>IF(K191=1,'ORDENES'!$J187,"")</f>
        <v/>
      </c>
      <c r="U191" s="3">
        <f>IFERROR(MATCH(184,$M$8:$M$1207,0),"")</f>
        <v/>
      </c>
      <c r="V191" s="3">
        <f>IF(U191="","",INDEX('ORDENES'!$R$4:$R$1203,U191))</f>
        <v/>
      </c>
      <c r="W191" s="3">
        <f>IF(U191="","",IF(V191&lt;&gt;V190,CHAR(10)&amp;UPPER(LEFT(V191,1))&amp;MID(V191,2,20)&amp;":"&amp;CHAR(10),"")&amp;"   "&amp;IF(INDEX('ORDENES'!$AC$4:$AC$1203,U191)="","(s/t)",INDEX('ORDENES'!$AC$4:$AC$1203,U191))&amp;" · "&amp;IF(INDEX('ORDENES'!$AB$4:$AB$1203,U191)="","(sin técnico)",INDEX('ORDENES'!$AB$4:$AB$1203,U191))&amp;" · "&amp;INDEX('ORDENES'!$AN$4:$AN$1203,U191)&amp;" — "&amp;INDEX('ORDENES'!$D$4:$D$1203,U191)&amp;" ("&amp;TEXT(INDEX('ORDENES'!$M$4:$M$1203,U191),"0.#")&amp;" h)")</f>
        <v/>
      </c>
    </row>
    <row r="192">
      <c r="K192" s="3">
        <f>IF(AND(IF($B$3="(todos)",TRUE,'ORDENES'!$O188=$B$3),IF($D$3="(todos)",TRUE,'ORDENES'!$AC188=$D$3),IF($F$3="(todos)",TRUE,'ORDENES'!$V188=$F$3),'ORDENES'!$AA188=TRUE,'ORDENES'!$A188&lt;&gt;""),1,0)</f>
        <v/>
      </c>
      <c r="L192" s="3">
        <f>IF(K192=1,IFERROR(MATCH('ORDENES'!$R188,lista_dias,0),9)*1000000000+IFERROR(MATCH('ORDENES'!$AC188,lista_turnos,0),9)*10000000+IFERROR(MATCH('ORDENES'!$AB188,'TECNICOS'!$B$4:$B$15,0),99)*100000+185,9000000000000+185)</f>
        <v/>
      </c>
      <c r="M192" s="3">
        <f>IF(K192=1,SUMPRODUCT(--($L$8:$L$1207&lt;L192))+1,"")</f>
        <v/>
      </c>
      <c r="N192" s="17">
        <f>IF(K192=1,N('ORDENES'!$M188),0)</f>
        <v/>
      </c>
      <c r="O192" s="17">
        <f>IF('ORDENES'!$S188="preventiva",N192,0)</f>
        <v/>
      </c>
      <c r="P192" s="17">
        <f>IF('ORDENES'!$S188="correctiva",N192,0)</f>
        <v/>
      </c>
      <c r="Q192" s="3">
        <f>IF(AND(K192=1,'ORDENES'!$N188="Pendiente"),1,0)</f>
        <v/>
      </c>
      <c r="R192" s="3">
        <f>IF(Q192=1,100000-N192*1000+185*0.01,9000000000000+185)</f>
        <v/>
      </c>
      <c r="S192" s="3">
        <f>IF(Q192=1,SUMPRODUCT(--($R$8:$R$1207&lt;R192))+1,"")</f>
        <v/>
      </c>
      <c r="T192" s="11">
        <f>IF(K192=1,'ORDENES'!$J188,"")</f>
        <v/>
      </c>
      <c r="U192" s="3">
        <f>IFERROR(MATCH(185,$M$8:$M$1207,0),"")</f>
        <v/>
      </c>
      <c r="V192" s="3">
        <f>IF(U192="","",INDEX('ORDENES'!$R$4:$R$1203,U192))</f>
        <v/>
      </c>
      <c r="W192" s="3">
        <f>IF(U192="","",IF(V192&lt;&gt;V191,CHAR(10)&amp;UPPER(LEFT(V192,1))&amp;MID(V192,2,20)&amp;":"&amp;CHAR(10),"")&amp;"   "&amp;IF(INDEX('ORDENES'!$AC$4:$AC$1203,U192)="","(s/t)",INDEX('ORDENES'!$AC$4:$AC$1203,U192))&amp;" · "&amp;IF(INDEX('ORDENES'!$AB$4:$AB$1203,U192)="","(sin técnico)",INDEX('ORDENES'!$AB$4:$AB$1203,U192))&amp;" · "&amp;INDEX('ORDENES'!$AN$4:$AN$1203,U192)&amp;" — "&amp;INDEX('ORDENES'!$D$4:$D$1203,U192)&amp;" ("&amp;TEXT(INDEX('ORDENES'!$M$4:$M$1203,U192),"0.#")&amp;" h)")</f>
        <v/>
      </c>
    </row>
    <row r="193">
      <c r="K193" s="3">
        <f>IF(AND(IF($B$3="(todos)",TRUE,'ORDENES'!$O189=$B$3),IF($D$3="(todos)",TRUE,'ORDENES'!$AC189=$D$3),IF($F$3="(todos)",TRUE,'ORDENES'!$V189=$F$3),'ORDENES'!$AA189=TRUE,'ORDENES'!$A189&lt;&gt;""),1,0)</f>
        <v/>
      </c>
      <c r="L193" s="3">
        <f>IF(K193=1,IFERROR(MATCH('ORDENES'!$R189,lista_dias,0),9)*1000000000+IFERROR(MATCH('ORDENES'!$AC189,lista_turnos,0),9)*10000000+IFERROR(MATCH('ORDENES'!$AB189,'TECNICOS'!$B$4:$B$15,0),99)*100000+186,9000000000000+186)</f>
        <v/>
      </c>
      <c r="M193" s="3">
        <f>IF(K193=1,SUMPRODUCT(--($L$8:$L$1207&lt;L193))+1,"")</f>
        <v/>
      </c>
      <c r="N193" s="17">
        <f>IF(K193=1,N('ORDENES'!$M189),0)</f>
        <v/>
      </c>
      <c r="O193" s="17">
        <f>IF('ORDENES'!$S189="preventiva",N193,0)</f>
        <v/>
      </c>
      <c r="P193" s="17">
        <f>IF('ORDENES'!$S189="correctiva",N193,0)</f>
        <v/>
      </c>
      <c r="Q193" s="3">
        <f>IF(AND(K193=1,'ORDENES'!$N189="Pendiente"),1,0)</f>
        <v/>
      </c>
      <c r="R193" s="3">
        <f>IF(Q193=1,100000-N193*1000+186*0.01,9000000000000+186)</f>
        <v/>
      </c>
      <c r="S193" s="3">
        <f>IF(Q193=1,SUMPRODUCT(--($R$8:$R$1207&lt;R193))+1,"")</f>
        <v/>
      </c>
      <c r="T193" s="11">
        <f>IF(K193=1,'ORDENES'!$J189,"")</f>
        <v/>
      </c>
      <c r="U193" s="3">
        <f>IFERROR(MATCH(186,$M$8:$M$1207,0),"")</f>
        <v/>
      </c>
      <c r="V193" s="3">
        <f>IF(U193="","",INDEX('ORDENES'!$R$4:$R$1203,U193))</f>
        <v/>
      </c>
      <c r="W193" s="3">
        <f>IF(U193="","",IF(V193&lt;&gt;V192,CHAR(10)&amp;UPPER(LEFT(V193,1))&amp;MID(V193,2,20)&amp;":"&amp;CHAR(10),"")&amp;"   "&amp;IF(INDEX('ORDENES'!$AC$4:$AC$1203,U193)="","(s/t)",INDEX('ORDENES'!$AC$4:$AC$1203,U193))&amp;" · "&amp;IF(INDEX('ORDENES'!$AB$4:$AB$1203,U193)="","(sin técnico)",INDEX('ORDENES'!$AB$4:$AB$1203,U193))&amp;" · "&amp;INDEX('ORDENES'!$AN$4:$AN$1203,U193)&amp;" — "&amp;INDEX('ORDENES'!$D$4:$D$1203,U193)&amp;" ("&amp;TEXT(INDEX('ORDENES'!$M$4:$M$1203,U193),"0.#")&amp;" h)")</f>
        <v/>
      </c>
    </row>
    <row r="194">
      <c r="K194" s="3">
        <f>IF(AND(IF($B$3="(todos)",TRUE,'ORDENES'!$O190=$B$3),IF($D$3="(todos)",TRUE,'ORDENES'!$AC190=$D$3),IF($F$3="(todos)",TRUE,'ORDENES'!$V190=$F$3),'ORDENES'!$AA190=TRUE,'ORDENES'!$A190&lt;&gt;""),1,0)</f>
        <v/>
      </c>
      <c r="L194" s="3">
        <f>IF(K194=1,IFERROR(MATCH('ORDENES'!$R190,lista_dias,0),9)*1000000000+IFERROR(MATCH('ORDENES'!$AC190,lista_turnos,0),9)*10000000+IFERROR(MATCH('ORDENES'!$AB190,'TECNICOS'!$B$4:$B$15,0),99)*100000+187,9000000000000+187)</f>
        <v/>
      </c>
      <c r="M194" s="3">
        <f>IF(K194=1,SUMPRODUCT(--($L$8:$L$1207&lt;L194))+1,"")</f>
        <v/>
      </c>
      <c r="N194" s="17">
        <f>IF(K194=1,N('ORDENES'!$M190),0)</f>
        <v/>
      </c>
      <c r="O194" s="17">
        <f>IF('ORDENES'!$S190="preventiva",N194,0)</f>
        <v/>
      </c>
      <c r="P194" s="17">
        <f>IF('ORDENES'!$S190="correctiva",N194,0)</f>
        <v/>
      </c>
      <c r="Q194" s="3">
        <f>IF(AND(K194=1,'ORDENES'!$N190="Pendiente"),1,0)</f>
        <v/>
      </c>
      <c r="R194" s="3">
        <f>IF(Q194=1,100000-N194*1000+187*0.01,9000000000000+187)</f>
        <v/>
      </c>
      <c r="S194" s="3">
        <f>IF(Q194=1,SUMPRODUCT(--($R$8:$R$1207&lt;R194))+1,"")</f>
        <v/>
      </c>
      <c r="T194" s="11">
        <f>IF(K194=1,'ORDENES'!$J190,"")</f>
        <v/>
      </c>
      <c r="U194" s="3">
        <f>IFERROR(MATCH(187,$M$8:$M$1207,0),"")</f>
        <v/>
      </c>
      <c r="V194" s="3">
        <f>IF(U194="","",INDEX('ORDENES'!$R$4:$R$1203,U194))</f>
        <v/>
      </c>
      <c r="W194" s="3">
        <f>IF(U194="","",IF(V194&lt;&gt;V193,CHAR(10)&amp;UPPER(LEFT(V194,1))&amp;MID(V194,2,20)&amp;":"&amp;CHAR(10),"")&amp;"   "&amp;IF(INDEX('ORDENES'!$AC$4:$AC$1203,U194)="","(s/t)",INDEX('ORDENES'!$AC$4:$AC$1203,U194))&amp;" · "&amp;IF(INDEX('ORDENES'!$AB$4:$AB$1203,U194)="","(sin técnico)",INDEX('ORDENES'!$AB$4:$AB$1203,U194))&amp;" · "&amp;INDEX('ORDENES'!$AN$4:$AN$1203,U194)&amp;" — "&amp;INDEX('ORDENES'!$D$4:$D$1203,U194)&amp;" ("&amp;TEXT(INDEX('ORDENES'!$M$4:$M$1203,U194),"0.#")&amp;" h)")</f>
        <v/>
      </c>
    </row>
    <row r="195">
      <c r="K195" s="3">
        <f>IF(AND(IF($B$3="(todos)",TRUE,'ORDENES'!$O191=$B$3),IF($D$3="(todos)",TRUE,'ORDENES'!$AC191=$D$3),IF($F$3="(todos)",TRUE,'ORDENES'!$V191=$F$3),'ORDENES'!$AA191=TRUE,'ORDENES'!$A191&lt;&gt;""),1,0)</f>
        <v/>
      </c>
      <c r="L195" s="3">
        <f>IF(K195=1,IFERROR(MATCH('ORDENES'!$R191,lista_dias,0),9)*1000000000+IFERROR(MATCH('ORDENES'!$AC191,lista_turnos,0),9)*10000000+IFERROR(MATCH('ORDENES'!$AB191,'TECNICOS'!$B$4:$B$15,0),99)*100000+188,9000000000000+188)</f>
        <v/>
      </c>
      <c r="M195" s="3">
        <f>IF(K195=1,SUMPRODUCT(--($L$8:$L$1207&lt;L195))+1,"")</f>
        <v/>
      </c>
      <c r="N195" s="17">
        <f>IF(K195=1,N('ORDENES'!$M191),0)</f>
        <v/>
      </c>
      <c r="O195" s="17">
        <f>IF('ORDENES'!$S191="preventiva",N195,0)</f>
        <v/>
      </c>
      <c r="P195" s="17">
        <f>IF('ORDENES'!$S191="correctiva",N195,0)</f>
        <v/>
      </c>
      <c r="Q195" s="3">
        <f>IF(AND(K195=1,'ORDENES'!$N191="Pendiente"),1,0)</f>
        <v/>
      </c>
      <c r="R195" s="3">
        <f>IF(Q195=1,100000-N195*1000+188*0.01,9000000000000+188)</f>
        <v/>
      </c>
      <c r="S195" s="3">
        <f>IF(Q195=1,SUMPRODUCT(--($R$8:$R$1207&lt;R195))+1,"")</f>
        <v/>
      </c>
      <c r="T195" s="11">
        <f>IF(K195=1,'ORDENES'!$J191,"")</f>
        <v/>
      </c>
      <c r="U195" s="3">
        <f>IFERROR(MATCH(188,$M$8:$M$1207,0),"")</f>
        <v/>
      </c>
      <c r="V195" s="3">
        <f>IF(U195="","",INDEX('ORDENES'!$R$4:$R$1203,U195))</f>
        <v/>
      </c>
      <c r="W195" s="3">
        <f>IF(U195="","",IF(V195&lt;&gt;V194,CHAR(10)&amp;UPPER(LEFT(V195,1))&amp;MID(V195,2,20)&amp;":"&amp;CHAR(10),"")&amp;"   "&amp;IF(INDEX('ORDENES'!$AC$4:$AC$1203,U195)="","(s/t)",INDEX('ORDENES'!$AC$4:$AC$1203,U195))&amp;" · "&amp;IF(INDEX('ORDENES'!$AB$4:$AB$1203,U195)="","(sin técnico)",INDEX('ORDENES'!$AB$4:$AB$1203,U195))&amp;" · "&amp;INDEX('ORDENES'!$AN$4:$AN$1203,U195)&amp;" — "&amp;INDEX('ORDENES'!$D$4:$D$1203,U195)&amp;" ("&amp;TEXT(INDEX('ORDENES'!$M$4:$M$1203,U195),"0.#")&amp;" h)")</f>
        <v/>
      </c>
    </row>
    <row r="196">
      <c r="K196" s="3">
        <f>IF(AND(IF($B$3="(todos)",TRUE,'ORDENES'!$O192=$B$3),IF($D$3="(todos)",TRUE,'ORDENES'!$AC192=$D$3),IF($F$3="(todos)",TRUE,'ORDENES'!$V192=$F$3),'ORDENES'!$AA192=TRUE,'ORDENES'!$A192&lt;&gt;""),1,0)</f>
        <v/>
      </c>
      <c r="L196" s="3">
        <f>IF(K196=1,IFERROR(MATCH('ORDENES'!$R192,lista_dias,0),9)*1000000000+IFERROR(MATCH('ORDENES'!$AC192,lista_turnos,0),9)*10000000+IFERROR(MATCH('ORDENES'!$AB192,'TECNICOS'!$B$4:$B$15,0),99)*100000+189,9000000000000+189)</f>
        <v/>
      </c>
      <c r="M196" s="3">
        <f>IF(K196=1,SUMPRODUCT(--($L$8:$L$1207&lt;L196))+1,"")</f>
        <v/>
      </c>
      <c r="N196" s="17">
        <f>IF(K196=1,N('ORDENES'!$M192),0)</f>
        <v/>
      </c>
      <c r="O196" s="17">
        <f>IF('ORDENES'!$S192="preventiva",N196,0)</f>
        <v/>
      </c>
      <c r="P196" s="17">
        <f>IF('ORDENES'!$S192="correctiva",N196,0)</f>
        <v/>
      </c>
      <c r="Q196" s="3">
        <f>IF(AND(K196=1,'ORDENES'!$N192="Pendiente"),1,0)</f>
        <v/>
      </c>
      <c r="R196" s="3">
        <f>IF(Q196=1,100000-N196*1000+189*0.01,9000000000000+189)</f>
        <v/>
      </c>
      <c r="S196" s="3">
        <f>IF(Q196=1,SUMPRODUCT(--($R$8:$R$1207&lt;R196))+1,"")</f>
        <v/>
      </c>
      <c r="T196" s="11">
        <f>IF(K196=1,'ORDENES'!$J192,"")</f>
        <v/>
      </c>
      <c r="U196" s="3">
        <f>IFERROR(MATCH(189,$M$8:$M$1207,0),"")</f>
        <v/>
      </c>
      <c r="V196" s="3">
        <f>IF(U196="","",INDEX('ORDENES'!$R$4:$R$1203,U196))</f>
        <v/>
      </c>
      <c r="W196" s="3">
        <f>IF(U196="","",IF(V196&lt;&gt;V195,CHAR(10)&amp;UPPER(LEFT(V196,1))&amp;MID(V196,2,20)&amp;":"&amp;CHAR(10),"")&amp;"   "&amp;IF(INDEX('ORDENES'!$AC$4:$AC$1203,U196)="","(s/t)",INDEX('ORDENES'!$AC$4:$AC$1203,U196))&amp;" · "&amp;IF(INDEX('ORDENES'!$AB$4:$AB$1203,U196)="","(sin técnico)",INDEX('ORDENES'!$AB$4:$AB$1203,U196))&amp;" · "&amp;INDEX('ORDENES'!$AN$4:$AN$1203,U196)&amp;" — "&amp;INDEX('ORDENES'!$D$4:$D$1203,U196)&amp;" ("&amp;TEXT(INDEX('ORDENES'!$M$4:$M$1203,U196),"0.#")&amp;" h)")</f>
        <v/>
      </c>
    </row>
    <row r="197">
      <c r="K197" s="3">
        <f>IF(AND(IF($B$3="(todos)",TRUE,'ORDENES'!$O193=$B$3),IF($D$3="(todos)",TRUE,'ORDENES'!$AC193=$D$3),IF($F$3="(todos)",TRUE,'ORDENES'!$V193=$F$3),'ORDENES'!$AA193=TRUE,'ORDENES'!$A193&lt;&gt;""),1,0)</f>
        <v/>
      </c>
      <c r="L197" s="3">
        <f>IF(K197=1,IFERROR(MATCH('ORDENES'!$R193,lista_dias,0),9)*1000000000+IFERROR(MATCH('ORDENES'!$AC193,lista_turnos,0),9)*10000000+IFERROR(MATCH('ORDENES'!$AB193,'TECNICOS'!$B$4:$B$15,0),99)*100000+190,9000000000000+190)</f>
        <v/>
      </c>
      <c r="M197" s="3">
        <f>IF(K197=1,SUMPRODUCT(--($L$8:$L$1207&lt;L197))+1,"")</f>
        <v/>
      </c>
      <c r="N197" s="17">
        <f>IF(K197=1,N('ORDENES'!$M193),0)</f>
        <v/>
      </c>
      <c r="O197" s="17">
        <f>IF('ORDENES'!$S193="preventiva",N197,0)</f>
        <v/>
      </c>
      <c r="P197" s="17">
        <f>IF('ORDENES'!$S193="correctiva",N197,0)</f>
        <v/>
      </c>
      <c r="Q197" s="3">
        <f>IF(AND(K197=1,'ORDENES'!$N193="Pendiente"),1,0)</f>
        <v/>
      </c>
      <c r="R197" s="3">
        <f>IF(Q197=1,100000-N197*1000+190*0.01,9000000000000+190)</f>
        <v/>
      </c>
      <c r="S197" s="3">
        <f>IF(Q197=1,SUMPRODUCT(--($R$8:$R$1207&lt;R197))+1,"")</f>
        <v/>
      </c>
      <c r="T197" s="11">
        <f>IF(K197=1,'ORDENES'!$J193,"")</f>
        <v/>
      </c>
      <c r="U197" s="3">
        <f>IFERROR(MATCH(190,$M$8:$M$1207,0),"")</f>
        <v/>
      </c>
      <c r="V197" s="3">
        <f>IF(U197="","",INDEX('ORDENES'!$R$4:$R$1203,U197))</f>
        <v/>
      </c>
      <c r="W197" s="3">
        <f>IF(U197="","",IF(V197&lt;&gt;V196,CHAR(10)&amp;UPPER(LEFT(V197,1))&amp;MID(V197,2,20)&amp;":"&amp;CHAR(10),"")&amp;"   "&amp;IF(INDEX('ORDENES'!$AC$4:$AC$1203,U197)="","(s/t)",INDEX('ORDENES'!$AC$4:$AC$1203,U197))&amp;" · "&amp;IF(INDEX('ORDENES'!$AB$4:$AB$1203,U197)="","(sin técnico)",INDEX('ORDENES'!$AB$4:$AB$1203,U197))&amp;" · "&amp;INDEX('ORDENES'!$AN$4:$AN$1203,U197)&amp;" — "&amp;INDEX('ORDENES'!$D$4:$D$1203,U197)&amp;" ("&amp;TEXT(INDEX('ORDENES'!$M$4:$M$1203,U197),"0.#")&amp;" h)")</f>
        <v/>
      </c>
    </row>
    <row r="198">
      <c r="K198" s="3">
        <f>IF(AND(IF($B$3="(todos)",TRUE,'ORDENES'!$O194=$B$3),IF($D$3="(todos)",TRUE,'ORDENES'!$AC194=$D$3),IF($F$3="(todos)",TRUE,'ORDENES'!$V194=$F$3),'ORDENES'!$AA194=TRUE,'ORDENES'!$A194&lt;&gt;""),1,0)</f>
        <v/>
      </c>
      <c r="L198" s="3">
        <f>IF(K198=1,IFERROR(MATCH('ORDENES'!$R194,lista_dias,0),9)*1000000000+IFERROR(MATCH('ORDENES'!$AC194,lista_turnos,0),9)*10000000+IFERROR(MATCH('ORDENES'!$AB194,'TECNICOS'!$B$4:$B$15,0),99)*100000+191,9000000000000+191)</f>
        <v/>
      </c>
      <c r="M198" s="3">
        <f>IF(K198=1,SUMPRODUCT(--($L$8:$L$1207&lt;L198))+1,"")</f>
        <v/>
      </c>
      <c r="N198" s="17">
        <f>IF(K198=1,N('ORDENES'!$M194),0)</f>
        <v/>
      </c>
      <c r="O198" s="17">
        <f>IF('ORDENES'!$S194="preventiva",N198,0)</f>
        <v/>
      </c>
      <c r="P198" s="17">
        <f>IF('ORDENES'!$S194="correctiva",N198,0)</f>
        <v/>
      </c>
      <c r="Q198" s="3">
        <f>IF(AND(K198=1,'ORDENES'!$N194="Pendiente"),1,0)</f>
        <v/>
      </c>
      <c r="R198" s="3">
        <f>IF(Q198=1,100000-N198*1000+191*0.01,9000000000000+191)</f>
        <v/>
      </c>
      <c r="S198" s="3">
        <f>IF(Q198=1,SUMPRODUCT(--($R$8:$R$1207&lt;R198))+1,"")</f>
        <v/>
      </c>
      <c r="T198" s="11">
        <f>IF(K198=1,'ORDENES'!$J194,"")</f>
        <v/>
      </c>
      <c r="U198" s="3">
        <f>IFERROR(MATCH(191,$M$8:$M$1207,0),"")</f>
        <v/>
      </c>
      <c r="V198" s="3">
        <f>IF(U198="","",INDEX('ORDENES'!$R$4:$R$1203,U198))</f>
        <v/>
      </c>
      <c r="W198" s="3">
        <f>IF(U198="","",IF(V198&lt;&gt;V197,CHAR(10)&amp;UPPER(LEFT(V198,1))&amp;MID(V198,2,20)&amp;":"&amp;CHAR(10),"")&amp;"   "&amp;IF(INDEX('ORDENES'!$AC$4:$AC$1203,U198)="","(s/t)",INDEX('ORDENES'!$AC$4:$AC$1203,U198))&amp;" · "&amp;IF(INDEX('ORDENES'!$AB$4:$AB$1203,U198)="","(sin técnico)",INDEX('ORDENES'!$AB$4:$AB$1203,U198))&amp;" · "&amp;INDEX('ORDENES'!$AN$4:$AN$1203,U198)&amp;" — "&amp;INDEX('ORDENES'!$D$4:$D$1203,U198)&amp;" ("&amp;TEXT(INDEX('ORDENES'!$M$4:$M$1203,U198),"0.#")&amp;" h)")</f>
        <v/>
      </c>
    </row>
    <row r="199">
      <c r="K199" s="3">
        <f>IF(AND(IF($B$3="(todos)",TRUE,'ORDENES'!$O195=$B$3),IF($D$3="(todos)",TRUE,'ORDENES'!$AC195=$D$3),IF($F$3="(todos)",TRUE,'ORDENES'!$V195=$F$3),'ORDENES'!$AA195=TRUE,'ORDENES'!$A195&lt;&gt;""),1,0)</f>
        <v/>
      </c>
      <c r="L199" s="3">
        <f>IF(K199=1,IFERROR(MATCH('ORDENES'!$R195,lista_dias,0),9)*1000000000+IFERROR(MATCH('ORDENES'!$AC195,lista_turnos,0),9)*10000000+IFERROR(MATCH('ORDENES'!$AB195,'TECNICOS'!$B$4:$B$15,0),99)*100000+192,9000000000000+192)</f>
        <v/>
      </c>
      <c r="M199" s="3">
        <f>IF(K199=1,SUMPRODUCT(--($L$8:$L$1207&lt;L199))+1,"")</f>
        <v/>
      </c>
      <c r="N199" s="17">
        <f>IF(K199=1,N('ORDENES'!$M195),0)</f>
        <v/>
      </c>
      <c r="O199" s="17">
        <f>IF('ORDENES'!$S195="preventiva",N199,0)</f>
        <v/>
      </c>
      <c r="P199" s="17">
        <f>IF('ORDENES'!$S195="correctiva",N199,0)</f>
        <v/>
      </c>
      <c r="Q199" s="3">
        <f>IF(AND(K199=1,'ORDENES'!$N195="Pendiente"),1,0)</f>
        <v/>
      </c>
      <c r="R199" s="3">
        <f>IF(Q199=1,100000-N199*1000+192*0.01,9000000000000+192)</f>
        <v/>
      </c>
      <c r="S199" s="3">
        <f>IF(Q199=1,SUMPRODUCT(--($R$8:$R$1207&lt;R199))+1,"")</f>
        <v/>
      </c>
      <c r="T199" s="11">
        <f>IF(K199=1,'ORDENES'!$J195,"")</f>
        <v/>
      </c>
      <c r="U199" s="3">
        <f>IFERROR(MATCH(192,$M$8:$M$1207,0),"")</f>
        <v/>
      </c>
      <c r="V199" s="3">
        <f>IF(U199="","",INDEX('ORDENES'!$R$4:$R$1203,U199))</f>
        <v/>
      </c>
      <c r="W199" s="3">
        <f>IF(U199="","",IF(V199&lt;&gt;V198,CHAR(10)&amp;UPPER(LEFT(V199,1))&amp;MID(V199,2,20)&amp;":"&amp;CHAR(10),"")&amp;"   "&amp;IF(INDEX('ORDENES'!$AC$4:$AC$1203,U199)="","(s/t)",INDEX('ORDENES'!$AC$4:$AC$1203,U199))&amp;" · "&amp;IF(INDEX('ORDENES'!$AB$4:$AB$1203,U199)="","(sin técnico)",INDEX('ORDENES'!$AB$4:$AB$1203,U199))&amp;" · "&amp;INDEX('ORDENES'!$AN$4:$AN$1203,U199)&amp;" — "&amp;INDEX('ORDENES'!$D$4:$D$1203,U199)&amp;" ("&amp;TEXT(INDEX('ORDENES'!$M$4:$M$1203,U199),"0.#")&amp;" h)")</f>
        <v/>
      </c>
    </row>
    <row r="200">
      <c r="K200" s="3">
        <f>IF(AND(IF($B$3="(todos)",TRUE,'ORDENES'!$O196=$B$3),IF($D$3="(todos)",TRUE,'ORDENES'!$AC196=$D$3),IF($F$3="(todos)",TRUE,'ORDENES'!$V196=$F$3),'ORDENES'!$AA196=TRUE,'ORDENES'!$A196&lt;&gt;""),1,0)</f>
        <v/>
      </c>
      <c r="L200" s="3">
        <f>IF(K200=1,IFERROR(MATCH('ORDENES'!$R196,lista_dias,0),9)*1000000000+IFERROR(MATCH('ORDENES'!$AC196,lista_turnos,0),9)*10000000+IFERROR(MATCH('ORDENES'!$AB196,'TECNICOS'!$B$4:$B$15,0),99)*100000+193,9000000000000+193)</f>
        <v/>
      </c>
      <c r="M200" s="3">
        <f>IF(K200=1,SUMPRODUCT(--($L$8:$L$1207&lt;L200))+1,"")</f>
        <v/>
      </c>
      <c r="N200" s="17">
        <f>IF(K200=1,N('ORDENES'!$M196),0)</f>
        <v/>
      </c>
      <c r="O200" s="17">
        <f>IF('ORDENES'!$S196="preventiva",N200,0)</f>
        <v/>
      </c>
      <c r="P200" s="17">
        <f>IF('ORDENES'!$S196="correctiva",N200,0)</f>
        <v/>
      </c>
      <c r="Q200" s="3">
        <f>IF(AND(K200=1,'ORDENES'!$N196="Pendiente"),1,0)</f>
        <v/>
      </c>
      <c r="R200" s="3">
        <f>IF(Q200=1,100000-N200*1000+193*0.01,9000000000000+193)</f>
        <v/>
      </c>
      <c r="S200" s="3">
        <f>IF(Q200=1,SUMPRODUCT(--($R$8:$R$1207&lt;R200))+1,"")</f>
        <v/>
      </c>
      <c r="T200" s="11">
        <f>IF(K200=1,'ORDENES'!$J196,"")</f>
        <v/>
      </c>
      <c r="U200" s="3">
        <f>IFERROR(MATCH(193,$M$8:$M$1207,0),"")</f>
        <v/>
      </c>
      <c r="V200" s="3">
        <f>IF(U200="","",INDEX('ORDENES'!$R$4:$R$1203,U200))</f>
        <v/>
      </c>
      <c r="W200" s="3">
        <f>IF(U200="","",IF(V200&lt;&gt;V199,CHAR(10)&amp;UPPER(LEFT(V200,1))&amp;MID(V200,2,20)&amp;":"&amp;CHAR(10),"")&amp;"   "&amp;IF(INDEX('ORDENES'!$AC$4:$AC$1203,U200)="","(s/t)",INDEX('ORDENES'!$AC$4:$AC$1203,U200))&amp;" · "&amp;IF(INDEX('ORDENES'!$AB$4:$AB$1203,U200)="","(sin técnico)",INDEX('ORDENES'!$AB$4:$AB$1203,U200))&amp;" · "&amp;INDEX('ORDENES'!$AN$4:$AN$1203,U200)&amp;" — "&amp;INDEX('ORDENES'!$D$4:$D$1203,U200)&amp;" ("&amp;TEXT(INDEX('ORDENES'!$M$4:$M$1203,U200),"0.#")&amp;" h)")</f>
        <v/>
      </c>
    </row>
    <row r="201">
      <c r="K201" s="3">
        <f>IF(AND(IF($B$3="(todos)",TRUE,'ORDENES'!$O197=$B$3),IF($D$3="(todos)",TRUE,'ORDENES'!$AC197=$D$3),IF($F$3="(todos)",TRUE,'ORDENES'!$V197=$F$3),'ORDENES'!$AA197=TRUE,'ORDENES'!$A197&lt;&gt;""),1,0)</f>
        <v/>
      </c>
      <c r="L201" s="3">
        <f>IF(K201=1,IFERROR(MATCH('ORDENES'!$R197,lista_dias,0),9)*1000000000+IFERROR(MATCH('ORDENES'!$AC197,lista_turnos,0),9)*10000000+IFERROR(MATCH('ORDENES'!$AB197,'TECNICOS'!$B$4:$B$15,0),99)*100000+194,9000000000000+194)</f>
        <v/>
      </c>
      <c r="M201" s="3">
        <f>IF(K201=1,SUMPRODUCT(--($L$8:$L$1207&lt;L201))+1,"")</f>
        <v/>
      </c>
      <c r="N201" s="17">
        <f>IF(K201=1,N('ORDENES'!$M197),0)</f>
        <v/>
      </c>
      <c r="O201" s="17">
        <f>IF('ORDENES'!$S197="preventiva",N201,0)</f>
        <v/>
      </c>
      <c r="P201" s="17">
        <f>IF('ORDENES'!$S197="correctiva",N201,0)</f>
        <v/>
      </c>
      <c r="Q201" s="3">
        <f>IF(AND(K201=1,'ORDENES'!$N197="Pendiente"),1,0)</f>
        <v/>
      </c>
      <c r="R201" s="3">
        <f>IF(Q201=1,100000-N201*1000+194*0.01,9000000000000+194)</f>
        <v/>
      </c>
      <c r="S201" s="3">
        <f>IF(Q201=1,SUMPRODUCT(--($R$8:$R$1207&lt;R201))+1,"")</f>
        <v/>
      </c>
      <c r="T201" s="11">
        <f>IF(K201=1,'ORDENES'!$J197,"")</f>
        <v/>
      </c>
      <c r="U201" s="3">
        <f>IFERROR(MATCH(194,$M$8:$M$1207,0),"")</f>
        <v/>
      </c>
      <c r="V201" s="3">
        <f>IF(U201="","",INDEX('ORDENES'!$R$4:$R$1203,U201))</f>
        <v/>
      </c>
      <c r="W201" s="3">
        <f>IF(U201="","",IF(V201&lt;&gt;V200,CHAR(10)&amp;UPPER(LEFT(V201,1))&amp;MID(V201,2,20)&amp;":"&amp;CHAR(10),"")&amp;"   "&amp;IF(INDEX('ORDENES'!$AC$4:$AC$1203,U201)="","(s/t)",INDEX('ORDENES'!$AC$4:$AC$1203,U201))&amp;" · "&amp;IF(INDEX('ORDENES'!$AB$4:$AB$1203,U201)="","(sin técnico)",INDEX('ORDENES'!$AB$4:$AB$1203,U201))&amp;" · "&amp;INDEX('ORDENES'!$AN$4:$AN$1203,U201)&amp;" — "&amp;INDEX('ORDENES'!$D$4:$D$1203,U201)&amp;" ("&amp;TEXT(INDEX('ORDENES'!$M$4:$M$1203,U201),"0.#")&amp;" h)")</f>
        <v/>
      </c>
    </row>
    <row r="202">
      <c r="K202" s="3">
        <f>IF(AND(IF($B$3="(todos)",TRUE,'ORDENES'!$O198=$B$3),IF($D$3="(todos)",TRUE,'ORDENES'!$AC198=$D$3),IF($F$3="(todos)",TRUE,'ORDENES'!$V198=$F$3),'ORDENES'!$AA198=TRUE,'ORDENES'!$A198&lt;&gt;""),1,0)</f>
        <v/>
      </c>
      <c r="L202" s="3">
        <f>IF(K202=1,IFERROR(MATCH('ORDENES'!$R198,lista_dias,0),9)*1000000000+IFERROR(MATCH('ORDENES'!$AC198,lista_turnos,0),9)*10000000+IFERROR(MATCH('ORDENES'!$AB198,'TECNICOS'!$B$4:$B$15,0),99)*100000+195,9000000000000+195)</f>
        <v/>
      </c>
      <c r="M202" s="3">
        <f>IF(K202=1,SUMPRODUCT(--($L$8:$L$1207&lt;L202))+1,"")</f>
        <v/>
      </c>
      <c r="N202" s="17">
        <f>IF(K202=1,N('ORDENES'!$M198),0)</f>
        <v/>
      </c>
      <c r="O202" s="17">
        <f>IF('ORDENES'!$S198="preventiva",N202,0)</f>
        <v/>
      </c>
      <c r="P202" s="17">
        <f>IF('ORDENES'!$S198="correctiva",N202,0)</f>
        <v/>
      </c>
      <c r="Q202" s="3">
        <f>IF(AND(K202=1,'ORDENES'!$N198="Pendiente"),1,0)</f>
        <v/>
      </c>
      <c r="R202" s="3">
        <f>IF(Q202=1,100000-N202*1000+195*0.01,9000000000000+195)</f>
        <v/>
      </c>
      <c r="S202" s="3">
        <f>IF(Q202=1,SUMPRODUCT(--($R$8:$R$1207&lt;R202))+1,"")</f>
        <v/>
      </c>
      <c r="T202" s="11">
        <f>IF(K202=1,'ORDENES'!$J198,"")</f>
        <v/>
      </c>
      <c r="U202" s="3">
        <f>IFERROR(MATCH(195,$M$8:$M$1207,0),"")</f>
        <v/>
      </c>
      <c r="V202" s="3">
        <f>IF(U202="","",INDEX('ORDENES'!$R$4:$R$1203,U202))</f>
        <v/>
      </c>
      <c r="W202" s="3">
        <f>IF(U202="","",IF(V202&lt;&gt;V201,CHAR(10)&amp;UPPER(LEFT(V202,1))&amp;MID(V202,2,20)&amp;":"&amp;CHAR(10),"")&amp;"   "&amp;IF(INDEX('ORDENES'!$AC$4:$AC$1203,U202)="","(s/t)",INDEX('ORDENES'!$AC$4:$AC$1203,U202))&amp;" · "&amp;IF(INDEX('ORDENES'!$AB$4:$AB$1203,U202)="","(sin técnico)",INDEX('ORDENES'!$AB$4:$AB$1203,U202))&amp;" · "&amp;INDEX('ORDENES'!$AN$4:$AN$1203,U202)&amp;" — "&amp;INDEX('ORDENES'!$D$4:$D$1203,U202)&amp;" ("&amp;TEXT(INDEX('ORDENES'!$M$4:$M$1203,U202),"0.#")&amp;" h)")</f>
        <v/>
      </c>
    </row>
    <row r="203">
      <c r="K203" s="3">
        <f>IF(AND(IF($B$3="(todos)",TRUE,'ORDENES'!$O199=$B$3),IF($D$3="(todos)",TRUE,'ORDENES'!$AC199=$D$3),IF($F$3="(todos)",TRUE,'ORDENES'!$V199=$F$3),'ORDENES'!$AA199=TRUE,'ORDENES'!$A199&lt;&gt;""),1,0)</f>
        <v/>
      </c>
      <c r="L203" s="3">
        <f>IF(K203=1,IFERROR(MATCH('ORDENES'!$R199,lista_dias,0),9)*1000000000+IFERROR(MATCH('ORDENES'!$AC199,lista_turnos,0),9)*10000000+IFERROR(MATCH('ORDENES'!$AB199,'TECNICOS'!$B$4:$B$15,0),99)*100000+196,9000000000000+196)</f>
        <v/>
      </c>
      <c r="M203" s="3">
        <f>IF(K203=1,SUMPRODUCT(--($L$8:$L$1207&lt;L203))+1,"")</f>
        <v/>
      </c>
      <c r="N203" s="17">
        <f>IF(K203=1,N('ORDENES'!$M199),0)</f>
        <v/>
      </c>
      <c r="O203" s="17">
        <f>IF('ORDENES'!$S199="preventiva",N203,0)</f>
        <v/>
      </c>
      <c r="P203" s="17">
        <f>IF('ORDENES'!$S199="correctiva",N203,0)</f>
        <v/>
      </c>
      <c r="Q203" s="3">
        <f>IF(AND(K203=1,'ORDENES'!$N199="Pendiente"),1,0)</f>
        <v/>
      </c>
      <c r="R203" s="3">
        <f>IF(Q203=1,100000-N203*1000+196*0.01,9000000000000+196)</f>
        <v/>
      </c>
      <c r="S203" s="3">
        <f>IF(Q203=1,SUMPRODUCT(--($R$8:$R$1207&lt;R203))+1,"")</f>
        <v/>
      </c>
      <c r="T203" s="11">
        <f>IF(K203=1,'ORDENES'!$J199,"")</f>
        <v/>
      </c>
      <c r="U203" s="3">
        <f>IFERROR(MATCH(196,$M$8:$M$1207,0),"")</f>
        <v/>
      </c>
      <c r="V203" s="3">
        <f>IF(U203="","",INDEX('ORDENES'!$R$4:$R$1203,U203))</f>
        <v/>
      </c>
      <c r="W203" s="3">
        <f>IF(U203="","",IF(V203&lt;&gt;V202,CHAR(10)&amp;UPPER(LEFT(V203,1))&amp;MID(V203,2,20)&amp;":"&amp;CHAR(10),"")&amp;"   "&amp;IF(INDEX('ORDENES'!$AC$4:$AC$1203,U203)="","(s/t)",INDEX('ORDENES'!$AC$4:$AC$1203,U203))&amp;" · "&amp;IF(INDEX('ORDENES'!$AB$4:$AB$1203,U203)="","(sin técnico)",INDEX('ORDENES'!$AB$4:$AB$1203,U203))&amp;" · "&amp;INDEX('ORDENES'!$AN$4:$AN$1203,U203)&amp;" — "&amp;INDEX('ORDENES'!$D$4:$D$1203,U203)&amp;" ("&amp;TEXT(INDEX('ORDENES'!$M$4:$M$1203,U203),"0.#")&amp;" h)")</f>
        <v/>
      </c>
    </row>
    <row r="204">
      <c r="K204" s="3">
        <f>IF(AND(IF($B$3="(todos)",TRUE,'ORDENES'!$O200=$B$3),IF($D$3="(todos)",TRUE,'ORDENES'!$AC200=$D$3),IF($F$3="(todos)",TRUE,'ORDENES'!$V200=$F$3),'ORDENES'!$AA200=TRUE,'ORDENES'!$A200&lt;&gt;""),1,0)</f>
        <v/>
      </c>
      <c r="L204" s="3">
        <f>IF(K204=1,IFERROR(MATCH('ORDENES'!$R200,lista_dias,0),9)*1000000000+IFERROR(MATCH('ORDENES'!$AC200,lista_turnos,0),9)*10000000+IFERROR(MATCH('ORDENES'!$AB200,'TECNICOS'!$B$4:$B$15,0),99)*100000+197,9000000000000+197)</f>
        <v/>
      </c>
      <c r="M204" s="3">
        <f>IF(K204=1,SUMPRODUCT(--($L$8:$L$1207&lt;L204))+1,"")</f>
        <v/>
      </c>
      <c r="N204" s="17">
        <f>IF(K204=1,N('ORDENES'!$M200),0)</f>
        <v/>
      </c>
      <c r="O204" s="17">
        <f>IF('ORDENES'!$S200="preventiva",N204,0)</f>
        <v/>
      </c>
      <c r="P204" s="17">
        <f>IF('ORDENES'!$S200="correctiva",N204,0)</f>
        <v/>
      </c>
      <c r="Q204" s="3">
        <f>IF(AND(K204=1,'ORDENES'!$N200="Pendiente"),1,0)</f>
        <v/>
      </c>
      <c r="R204" s="3">
        <f>IF(Q204=1,100000-N204*1000+197*0.01,9000000000000+197)</f>
        <v/>
      </c>
      <c r="S204" s="3">
        <f>IF(Q204=1,SUMPRODUCT(--($R$8:$R$1207&lt;R204))+1,"")</f>
        <v/>
      </c>
      <c r="T204" s="11">
        <f>IF(K204=1,'ORDENES'!$J200,"")</f>
        <v/>
      </c>
      <c r="U204" s="3">
        <f>IFERROR(MATCH(197,$M$8:$M$1207,0),"")</f>
        <v/>
      </c>
      <c r="V204" s="3">
        <f>IF(U204="","",INDEX('ORDENES'!$R$4:$R$1203,U204))</f>
        <v/>
      </c>
      <c r="W204" s="3">
        <f>IF(U204="","",IF(V204&lt;&gt;V203,CHAR(10)&amp;UPPER(LEFT(V204,1))&amp;MID(V204,2,20)&amp;":"&amp;CHAR(10),"")&amp;"   "&amp;IF(INDEX('ORDENES'!$AC$4:$AC$1203,U204)="","(s/t)",INDEX('ORDENES'!$AC$4:$AC$1203,U204))&amp;" · "&amp;IF(INDEX('ORDENES'!$AB$4:$AB$1203,U204)="","(sin técnico)",INDEX('ORDENES'!$AB$4:$AB$1203,U204))&amp;" · "&amp;INDEX('ORDENES'!$AN$4:$AN$1203,U204)&amp;" — "&amp;INDEX('ORDENES'!$D$4:$D$1203,U204)&amp;" ("&amp;TEXT(INDEX('ORDENES'!$M$4:$M$1203,U204),"0.#")&amp;" h)")</f>
        <v/>
      </c>
    </row>
    <row r="205">
      <c r="K205" s="3">
        <f>IF(AND(IF($B$3="(todos)",TRUE,'ORDENES'!$O201=$B$3),IF($D$3="(todos)",TRUE,'ORDENES'!$AC201=$D$3),IF($F$3="(todos)",TRUE,'ORDENES'!$V201=$F$3),'ORDENES'!$AA201=TRUE,'ORDENES'!$A201&lt;&gt;""),1,0)</f>
        <v/>
      </c>
      <c r="L205" s="3">
        <f>IF(K205=1,IFERROR(MATCH('ORDENES'!$R201,lista_dias,0),9)*1000000000+IFERROR(MATCH('ORDENES'!$AC201,lista_turnos,0),9)*10000000+IFERROR(MATCH('ORDENES'!$AB201,'TECNICOS'!$B$4:$B$15,0),99)*100000+198,9000000000000+198)</f>
        <v/>
      </c>
      <c r="M205" s="3">
        <f>IF(K205=1,SUMPRODUCT(--($L$8:$L$1207&lt;L205))+1,"")</f>
        <v/>
      </c>
      <c r="N205" s="17">
        <f>IF(K205=1,N('ORDENES'!$M201),0)</f>
        <v/>
      </c>
      <c r="O205" s="17">
        <f>IF('ORDENES'!$S201="preventiva",N205,0)</f>
        <v/>
      </c>
      <c r="P205" s="17">
        <f>IF('ORDENES'!$S201="correctiva",N205,0)</f>
        <v/>
      </c>
      <c r="Q205" s="3">
        <f>IF(AND(K205=1,'ORDENES'!$N201="Pendiente"),1,0)</f>
        <v/>
      </c>
      <c r="R205" s="3">
        <f>IF(Q205=1,100000-N205*1000+198*0.01,9000000000000+198)</f>
        <v/>
      </c>
      <c r="S205" s="3">
        <f>IF(Q205=1,SUMPRODUCT(--($R$8:$R$1207&lt;R205))+1,"")</f>
        <v/>
      </c>
      <c r="T205" s="11">
        <f>IF(K205=1,'ORDENES'!$J201,"")</f>
        <v/>
      </c>
      <c r="U205" s="3">
        <f>IFERROR(MATCH(198,$M$8:$M$1207,0),"")</f>
        <v/>
      </c>
      <c r="V205" s="3">
        <f>IF(U205="","",INDEX('ORDENES'!$R$4:$R$1203,U205))</f>
        <v/>
      </c>
      <c r="W205" s="3">
        <f>IF(U205="","",IF(V205&lt;&gt;V204,CHAR(10)&amp;UPPER(LEFT(V205,1))&amp;MID(V205,2,20)&amp;":"&amp;CHAR(10),"")&amp;"   "&amp;IF(INDEX('ORDENES'!$AC$4:$AC$1203,U205)="","(s/t)",INDEX('ORDENES'!$AC$4:$AC$1203,U205))&amp;" · "&amp;IF(INDEX('ORDENES'!$AB$4:$AB$1203,U205)="","(sin técnico)",INDEX('ORDENES'!$AB$4:$AB$1203,U205))&amp;" · "&amp;INDEX('ORDENES'!$AN$4:$AN$1203,U205)&amp;" — "&amp;INDEX('ORDENES'!$D$4:$D$1203,U205)&amp;" ("&amp;TEXT(INDEX('ORDENES'!$M$4:$M$1203,U205),"0.#")&amp;" h)")</f>
        <v/>
      </c>
    </row>
    <row r="206">
      <c r="K206" s="3">
        <f>IF(AND(IF($B$3="(todos)",TRUE,'ORDENES'!$O202=$B$3),IF($D$3="(todos)",TRUE,'ORDENES'!$AC202=$D$3),IF($F$3="(todos)",TRUE,'ORDENES'!$V202=$F$3),'ORDENES'!$AA202=TRUE,'ORDENES'!$A202&lt;&gt;""),1,0)</f>
        <v/>
      </c>
      <c r="L206" s="3">
        <f>IF(K206=1,IFERROR(MATCH('ORDENES'!$R202,lista_dias,0),9)*1000000000+IFERROR(MATCH('ORDENES'!$AC202,lista_turnos,0),9)*10000000+IFERROR(MATCH('ORDENES'!$AB202,'TECNICOS'!$B$4:$B$15,0),99)*100000+199,9000000000000+199)</f>
        <v/>
      </c>
      <c r="M206" s="3">
        <f>IF(K206=1,SUMPRODUCT(--($L$8:$L$1207&lt;L206))+1,"")</f>
        <v/>
      </c>
      <c r="N206" s="17">
        <f>IF(K206=1,N('ORDENES'!$M202),0)</f>
        <v/>
      </c>
      <c r="O206" s="17">
        <f>IF('ORDENES'!$S202="preventiva",N206,0)</f>
        <v/>
      </c>
      <c r="P206" s="17">
        <f>IF('ORDENES'!$S202="correctiva",N206,0)</f>
        <v/>
      </c>
      <c r="Q206" s="3">
        <f>IF(AND(K206=1,'ORDENES'!$N202="Pendiente"),1,0)</f>
        <v/>
      </c>
      <c r="R206" s="3">
        <f>IF(Q206=1,100000-N206*1000+199*0.01,9000000000000+199)</f>
        <v/>
      </c>
      <c r="S206" s="3">
        <f>IF(Q206=1,SUMPRODUCT(--($R$8:$R$1207&lt;R206))+1,"")</f>
        <v/>
      </c>
      <c r="T206" s="11">
        <f>IF(K206=1,'ORDENES'!$J202,"")</f>
        <v/>
      </c>
      <c r="U206" s="3">
        <f>IFERROR(MATCH(199,$M$8:$M$1207,0),"")</f>
        <v/>
      </c>
      <c r="V206" s="3">
        <f>IF(U206="","",INDEX('ORDENES'!$R$4:$R$1203,U206))</f>
        <v/>
      </c>
      <c r="W206" s="3">
        <f>IF(U206="","",IF(V206&lt;&gt;V205,CHAR(10)&amp;UPPER(LEFT(V206,1))&amp;MID(V206,2,20)&amp;":"&amp;CHAR(10),"")&amp;"   "&amp;IF(INDEX('ORDENES'!$AC$4:$AC$1203,U206)="","(s/t)",INDEX('ORDENES'!$AC$4:$AC$1203,U206))&amp;" · "&amp;IF(INDEX('ORDENES'!$AB$4:$AB$1203,U206)="","(sin técnico)",INDEX('ORDENES'!$AB$4:$AB$1203,U206))&amp;" · "&amp;INDEX('ORDENES'!$AN$4:$AN$1203,U206)&amp;" — "&amp;INDEX('ORDENES'!$D$4:$D$1203,U206)&amp;" ("&amp;TEXT(INDEX('ORDENES'!$M$4:$M$1203,U206),"0.#")&amp;" h)")</f>
        <v/>
      </c>
    </row>
    <row r="207">
      <c r="K207" s="3">
        <f>IF(AND(IF($B$3="(todos)",TRUE,'ORDENES'!$O203=$B$3),IF($D$3="(todos)",TRUE,'ORDENES'!$AC203=$D$3),IF($F$3="(todos)",TRUE,'ORDENES'!$V203=$F$3),'ORDENES'!$AA203=TRUE,'ORDENES'!$A203&lt;&gt;""),1,0)</f>
        <v/>
      </c>
      <c r="L207" s="3">
        <f>IF(K207=1,IFERROR(MATCH('ORDENES'!$R203,lista_dias,0),9)*1000000000+IFERROR(MATCH('ORDENES'!$AC203,lista_turnos,0),9)*10000000+IFERROR(MATCH('ORDENES'!$AB203,'TECNICOS'!$B$4:$B$15,0),99)*100000+200,9000000000000+200)</f>
        <v/>
      </c>
      <c r="M207" s="3">
        <f>IF(K207=1,SUMPRODUCT(--($L$8:$L$1207&lt;L207))+1,"")</f>
        <v/>
      </c>
      <c r="N207" s="17">
        <f>IF(K207=1,N('ORDENES'!$M203),0)</f>
        <v/>
      </c>
      <c r="O207" s="17">
        <f>IF('ORDENES'!$S203="preventiva",N207,0)</f>
        <v/>
      </c>
      <c r="P207" s="17">
        <f>IF('ORDENES'!$S203="correctiva",N207,0)</f>
        <v/>
      </c>
      <c r="Q207" s="3">
        <f>IF(AND(K207=1,'ORDENES'!$N203="Pendiente"),1,0)</f>
        <v/>
      </c>
      <c r="R207" s="3">
        <f>IF(Q207=1,100000-N207*1000+200*0.01,9000000000000+200)</f>
        <v/>
      </c>
      <c r="S207" s="3">
        <f>IF(Q207=1,SUMPRODUCT(--($R$8:$R$1207&lt;R207))+1,"")</f>
        <v/>
      </c>
      <c r="T207" s="11">
        <f>IF(K207=1,'ORDENES'!$J203,"")</f>
        <v/>
      </c>
      <c r="U207" s="3">
        <f>IFERROR(MATCH(200,$M$8:$M$1207,0),"")</f>
        <v/>
      </c>
      <c r="V207" s="3">
        <f>IF(U207="","",INDEX('ORDENES'!$R$4:$R$1203,U207))</f>
        <v/>
      </c>
      <c r="W207" s="3">
        <f>IF(U207="","",IF(V207&lt;&gt;V206,CHAR(10)&amp;UPPER(LEFT(V207,1))&amp;MID(V207,2,20)&amp;":"&amp;CHAR(10),"")&amp;"   "&amp;IF(INDEX('ORDENES'!$AC$4:$AC$1203,U207)="","(s/t)",INDEX('ORDENES'!$AC$4:$AC$1203,U207))&amp;" · "&amp;IF(INDEX('ORDENES'!$AB$4:$AB$1203,U207)="","(sin técnico)",INDEX('ORDENES'!$AB$4:$AB$1203,U207))&amp;" · "&amp;INDEX('ORDENES'!$AN$4:$AN$1203,U207)&amp;" — "&amp;INDEX('ORDENES'!$D$4:$D$1203,U207)&amp;" ("&amp;TEXT(INDEX('ORDENES'!$M$4:$M$1203,U207),"0.#")&amp;" h)")</f>
        <v/>
      </c>
    </row>
    <row r="208">
      <c r="K208" s="3">
        <f>IF(AND(IF($B$3="(todos)",TRUE,'ORDENES'!$O204=$B$3),IF($D$3="(todos)",TRUE,'ORDENES'!$AC204=$D$3),IF($F$3="(todos)",TRUE,'ORDENES'!$V204=$F$3),'ORDENES'!$AA204=TRUE,'ORDENES'!$A204&lt;&gt;""),1,0)</f>
        <v/>
      </c>
      <c r="L208" s="3">
        <f>IF(K208=1,IFERROR(MATCH('ORDENES'!$R204,lista_dias,0),9)*1000000000+IFERROR(MATCH('ORDENES'!$AC204,lista_turnos,0),9)*10000000+IFERROR(MATCH('ORDENES'!$AB204,'TECNICOS'!$B$4:$B$15,0),99)*100000+201,9000000000000+201)</f>
        <v/>
      </c>
      <c r="M208" s="3">
        <f>IF(K208=1,SUMPRODUCT(--($L$8:$L$1207&lt;L208))+1,"")</f>
        <v/>
      </c>
      <c r="N208" s="17">
        <f>IF(K208=1,N('ORDENES'!$M204),0)</f>
        <v/>
      </c>
      <c r="O208" s="17">
        <f>IF('ORDENES'!$S204="preventiva",N208,0)</f>
        <v/>
      </c>
      <c r="P208" s="17">
        <f>IF('ORDENES'!$S204="correctiva",N208,0)</f>
        <v/>
      </c>
      <c r="Q208" s="3">
        <f>IF(AND(K208=1,'ORDENES'!$N204="Pendiente"),1,0)</f>
        <v/>
      </c>
      <c r="R208" s="3">
        <f>IF(Q208=1,100000-N208*1000+201*0.01,9000000000000+201)</f>
        <v/>
      </c>
      <c r="S208" s="3">
        <f>IF(Q208=1,SUMPRODUCT(--($R$8:$R$1207&lt;R208))+1,"")</f>
        <v/>
      </c>
      <c r="T208" s="11">
        <f>IF(K208=1,'ORDENES'!$J204,"")</f>
        <v/>
      </c>
    </row>
    <row r="209">
      <c r="K209" s="3">
        <f>IF(AND(IF($B$3="(todos)",TRUE,'ORDENES'!$O205=$B$3),IF($D$3="(todos)",TRUE,'ORDENES'!$AC205=$D$3),IF($F$3="(todos)",TRUE,'ORDENES'!$V205=$F$3),'ORDENES'!$AA205=TRUE,'ORDENES'!$A205&lt;&gt;""),1,0)</f>
        <v/>
      </c>
      <c r="L209" s="3">
        <f>IF(K209=1,IFERROR(MATCH('ORDENES'!$R205,lista_dias,0),9)*1000000000+IFERROR(MATCH('ORDENES'!$AC205,lista_turnos,0),9)*10000000+IFERROR(MATCH('ORDENES'!$AB205,'TECNICOS'!$B$4:$B$15,0),99)*100000+202,9000000000000+202)</f>
        <v/>
      </c>
      <c r="M209" s="3">
        <f>IF(K209=1,SUMPRODUCT(--($L$8:$L$1207&lt;L209))+1,"")</f>
        <v/>
      </c>
      <c r="N209" s="17">
        <f>IF(K209=1,N('ORDENES'!$M205),0)</f>
        <v/>
      </c>
      <c r="O209" s="17">
        <f>IF('ORDENES'!$S205="preventiva",N209,0)</f>
        <v/>
      </c>
      <c r="P209" s="17">
        <f>IF('ORDENES'!$S205="correctiva",N209,0)</f>
        <v/>
      </c>
      <c r="Q209" s="3">
        <f>IF(AND(K209=1,'ORDENES'!$N205="Pendiente"),1,0)</f>
        <v/>
      </c>
      <c r="R209" s="3">
        <f>IF(Q209=1,100000-N209*1000+202*0.01,9000000000000+202)</f>
        <v/>
      </c>
      <c r="S209" s="3">
        <f>IF(Q209=1,SUMPRODUCT(--($R$8:$R$1207&lt;R209))+1,"")</f>
        <v/>
      </c>
      <c r="T209" s="11">
        <f>IF(K209=1,'ORDENES'!$J205,"")</f>
        <v/>
      </c>
    </row>
    <row r="210">
      <c r="K210" s="3">
        <f>IF(AND(IF($B$3="(todos)",TRUE,'ORDENES'!$O206=$B$3),IF($D$3="(todos)",TRUE,'ORDENES'!$AC206=$D$3),IF($F$3="(todos)",TRUE,'ORDENES'!$V206=$F$3),'ORDENES'!$AA206=TRUE,'ORDENES'!$A206&lt;&gt;""),1,0)</f>
        <v/>
      </c>
      <c r="L210" s="3">
        <f>IF(K210=1,IFERROR(MATCH('ORDENES'!$R206,lista_dias,0),9)*1000000000+IFERROR(MATCH('ORDENES'!$AC206,lista_turnos,0),9)*10000000+IFERROR(MATCH('ORDENES'!$AB206,'TECNICOS'!$B$4:$B$15,0),99)*100000+203,9000000000000+203)</f>
        <v/>
      </c>
      <c r="M210" s="3">
        <f>IF(K210=1,SUMPRODUCT(--($L$8:$L$1207&lt;L210))+1,"")</f>
        <v/>
      </c>
      <c r="N210" s="17">
        <f>IF(K210=1,N('ORDENES'!$M206),0)</f>
        <v/>
      </c>
      <c r="O210" s="17">
        <f>IF('ORDENES'!$S206="preventiva",N210,0)</f>
        <v/>
      </c>
      <c r="P210" s="17">
        <f>IF('ORDENES'!$S206="correctiva",N210,0)</f>
        <v/>
      </c>
      <c r="Q210" s="3">
        <f>IF(AND(K210=1,'ORDENES'!$N206="Pendiente"),1,0)</f>
        <v/>
      </c>
      <c r="R210" s="3">
        <f>IF(Q210=1,100000-N210*1000+203*0.01,9000000000000+203)</f>
        <v/>
      </c>
      <c r="S210" s="3">
        <f>IF(Q210=1,SUMPRODUCT(--($R$8:$R$1207&lt;R210))+1,"")</f>
        <v/>
      </c>
      <c r="T210" s="11">
        <f>IF(K210=1,'ORDENES'!$J206,"")</f>
        <v/>
      </c>
    </row>
    <row r="211">
      <c r="K211" s="3">
        <f>IF(AND(IF($B$3="(todos)",TRUE,'ORDENES'!$O207=$B$3),IF($D$3="(todos)",TRUE,'ORDENES'!$AC207=$D$3),IF($F$3="(todos)",TRUE,'ORDENES'!$V207=$F$3),'ORDENES'!$AA207=TRUE,'ORDENES'!$A207&lt;&gt;""),1,0)</f>
        <v/>
      </c>
      <c r="L211" s="3">
        <f>IF(K211=1,IFERROR(MATCH('ORDENES'!$R207,lista_dias,0),9)*1000000000+IFERROR(MATCH('ORDENES'!$AC207,lista_turnos,0),9)*10000000+IFERROR(MATCH('ORDENES'!$AB207,'TECNICOS'!$B$4:$B$15,0),99)*100000+204,9000000000000+204)</f>
        <v/>
      </c>
      <c r="M211" s="3">
        <f>IF(K211=1,SUMPRODUCT(--($L$8:$L$1207&lt;L211))+1,"")</f>
        <v/>
      </c>
      <c r="N211" s="17">
        <f>IF(K211=1,N('ORDENES'!$M207),0)</f>
        <v/>
      </c>
      <c r="O211" s="17">
        <f>IF('ORDENES'!$S207="preventiva",N211,0)</f>
        <v/>
      </c>
      <c r="P211" s="17">
        <f>IF('ORDENES'!$S207="correctiva",N211,0)</f>
        <v/>
      </c>
      <c r="Q211" s="3">
        <f>IF(AND(K211=1,'ORDENES'!$N207="Pendiente"),1,0)</f>
        <v/>
      </c>
      <c r="R211" s="3">
        <f>IF(Q211=1,100000-N211*1000+204*0.01,9000000000000+204)</f>
        <v/>
      </c>
      <c r="S211" s="3">
        <f>IF(Q211=1,SUMPRODUCT(--($R$8:$R$1207&lt;R211))+1,"")</f>
        <v/>
      </c>
      <c r="T211" s="11">
        <f>IF(K211=1,'ORDENES'!$J207,"")</f>
        <v/>
      </c>
    </row>
    <row r="212">
      <c r="K212" s="3">
        <f>IF(AND(IF($B$3="(todos)",TRUE,'ORDENES'!$O208=$B$3),IF($D$3="(todos)",TRUE,'ORDENES'!$AC208=$D$3),IF($F$3="(todos)",TRUE,'ORDENES'!$V208=$F$3),'ORDENES'!$AA208=TRUE,'ORDENES'!$A208&lt;&gt;""),1,0)</f>
        <v/>
      </c>
      <c r="L212" s="3">
        <f>IF(K212=1,IFERROR(MATCH('ORDENES'!$R208,lista_dias,0),9)*1000000000+IFERROR(MATCH('ORDENES'!$AC208,lista_turnos,0),9)*10000000+IFERROR(MATCH('ORDENES'!$AB208,'TECNICOS'!$B$4:$B$15,0),99)*100000+205,9000000000000+205)</f>
        <v/>
      </c>
      <c r="M212" s="3">
        <f>IF(K212=1,SUMPRODUCT(--($L$8:$L$1207&lt;L212))+1,"")</f>
        <v/>
      </c>
      <c r="N212" s="17">
        <f>IF(K212=1,N('ORDENES'!$M208),0)</f>
        <v/>
      </c>
      <c r="O212" s="17">
        <f>IF('ORDENES'!$S208="preventiva",N212,0)</f>
        <v/>
      </c>
      <c r="P212" s="17">
        <f>IF('ORDENES'!$S208="correctiva",N212,0)</f>
        <v/>
      </c>
      <c r="Q212" s="3">
        <f>IF(AND(K212=1,'ORDENES'!$N208="Pendiente"),1,0)</f>
        <v/>
      </c>
      <c r="R212" s="3">
        <f>IF(Q212=1,100000-N212*1000+205*0.01,9000000000000+205)</f>
        <v/>
      </c>
      <c r="S212" s="3">
        <f>IF(Q212=1,SUMPRODUCT(--($R$8:$R$1207&lt;R212))+1,"")</f>
        <v/>
      </c>
      <c r="T212" s="11">
        <f>IF(K212=1,'ORDENES'!$J208,"")</f>
        <v/>
      </c>
    </row>
    <row r="213">
      <c r="K213" s="3">
        <f>IF(AND(IF($B$3="(todos)",TRUE,'ORDENES'!$O209=$B$3),IF($D$3="(todos)",TRUE,'ORDENES'!$AC209=$D$3),IF($F$3="(todos)",TRUE,'ORDENES'!$V209=$F$3),'ORDENES'!$AA209=TRUE,'ORDENES'!$A209&lt;&gt;""),1,0)</f>
        <v/>
      </c>
      <c r="L213" s="3">
        <f>IF(K213=1,IFERROR(MATCH('ORDENES'!$R209,lista_dias,0),9)*1000000000+IFERROR(MATCH('ORDENES'!$AC209,lista_turnos,0),9)*10000000+IFERROR(MATCH('ORDENES'!$AB209,'TECNICOS'!$B$4:$B$15,0),99)*100000+206,9000000000000+206)</f>
        <v/>
      </c>
      <c r="M213" s="3">
        <f>IF(K213=1,SUMPRODUCT(--($L$8:$L$1207&lt;L213))+1,"")</f>
        <v/>
      </c>
      <c r="N213" s="17">
        <f>IF(K213=1,N('ORDENES'!$M209),0)</f>
        <v/>
      </c>
      <c r="O213" s="17">
        <f>IF('ORDENES'!$S209="preventiva",N213,0)</f>
        <v/>
      </c>
      <c r="P213" s="17">
        <f>IF('ORDENES'!$S209="correctiva",N213,0)</f>
        <v/>
      </c>
      <c r="Q213" s="3">
        <f>IF(AND(K213=1,'ORDENES'!$N209="Pendiente"),1,0)</f>
        <v/>
      </c>
      <c r="R213" s="3">
        <f>IF(Q213=1,100000-N213*1000+206*0.01,9000000000000+206)</f>
        <v/>
      </c>
      <c r="S213" s="3">
        <f>IF(Q213=1,SUMPRODUCT(--($R$8:$R$1207&lt;R213))+1,"")</f>
        <v/>
      </c>
      <c r="T213" s="11">
        <f>IF(K213=1,'ORDENES'!$J209,"")</f>
        <v/>
      </c>
    </row>
    <row r="214">
      <c r="K214" s="3">
        <f>IF(AND(IF($B$3="(todos)",TRUE,'ORDENES'!$O210=$B$3),IF($D$3="(todos)",TRUE,'ORDENES'!$AC210=$D$3),IF($F$3="(todos)",TRUE,'ORDENES'!$V210=$F$3),'ORDENES'!$AA210=TRUE,'ORDENES'!$A210&lt;&gt;""),1,0)</f>
        <v/>
      </c>
      <c r="L214" s="3">
        <f>IF(K214=1,IFERROR(MATCH('ORDENES'!$R210,lista_dias,0),9)*1000000000+IFERROR(MATCH('ORDENES'!$AC210,lista_turnos,0),9)*10000000+IFERROR(MATCH('ORDENES'!$AB210,'TECNICOS'!$B$4:$B$15,0),99)*100000+207,9000000000000+207)</f>
        <v/>
      </c>
      <c r="M214" s="3">
        <f>IF(K214=1,SUMPRODUCT(--($L$8:$L$1207&lt;L214))+1,"")</f>
        <v/>
      </c>
      <c r="N214" s="17">
        <f>IF(K214=1,N('ORDENES'!$M210),0)</f>
        <v/>
      </c>
      <c r="O214" s="17">
        <f>IF('ORDENES'!$S210="preventiva",N214,0)</f>
        <v/>
      </c>
      <c r="P214" s="17">
        <f>IF('ORDENES'!$S210="correctiva",N214,0)</f>
        <v/>
      </c>
      <c r="Q214" s="3">
        <f>IF(AND(K214=1,'ORDENES'!$N210="Pendiente"),1,0)</f>
        <v/>
      </c>
      <c r="R214" s="3">
        <f>IF(Q214=1,100000-N214*1000+207*0.01,9000000000000+207)</f>
        <v/>
      </c>
      <c r="S214" s="3">
        <f>IF(Q214=1,SUMPRODUCT(--($R$8:$R$1207&lt;R214))+1,"")</f>
        <v/>
      </c>
      <c r="T214" s="11">
        <f>IF(K214=1,'ORDENES'!$J210,"")</f>
        <v/>
      </c>
    </row>
    <row r="215">
      <c r="K215" s="3">
        <f>IF(AND(IF($B$3="(todos)",TRUE,'ORDENES'!$O211=$B$3),IF($D$3="(todos)",TRUE,'ORDENES'!$AC211=$D$3),IF($F$3="(todos)",TRUE,'ORDENES'!$V211=$F$3),'ORDENES'!$AA211=TRUE,'ORDENES'!$A211&lt;&gt;""),1,0)</f>
        <v/>
      </c>
      <c r="L215" s="3">
        <f>IF(K215=1,IFERROR(MATCH('ORDENES'!$R211,lista_dias,0),9)*1000000000+IFERROR(MATCH('ORDENES'!$AC211,lista_turnos,0),9)*10000000+IFERROR(MATCH('ORDENES'!$AB211,'TECNICOS'!$B$4:$B$15,0),99)*100000+208,9000000000000+208)</f>
        <v/>
      </c>
      <c r="M215" s="3">
        <f>IF(K215=1,SUMPRODUCT(--($L$8:$L$1207&lt;L215))+1,"")</f>
        <v/>
      </c>
      <c r="N215" s="17">
        <f>IF(K215=1,N('ORDENES'!$M211),0)</f>
        <v/>
      </c>
      <c r="O215" s="17">
        <f>IF('ORDENES'!$S211="preventiva",N215,0)</f>
        <v/>
      </c>
      <c r="P215" s="17">
        <f>IF('ORDENES'!$S211="correctiva",N215,0)</f>
        <v/>
      </c>
      <c r="Q215" s="3">
        <f>IF(AND(K215=1,'ORDENES'!$N211="Pendiente"),1,0)</f>
        <v/>
      </c>
      <c r="R215" s="3">
        <f>IF(Q215=1,100000-N215*1000+208*0.01,9000000000000+208)</f>
        <v/>
      </c>
      <c r="S215" s="3">
        <f>IF(Q215=1,SUMPRODUCT(--($R$8:$R$1207&lt;R215))+1,"")</f>
        <v/>
      </c>
      <c r="T215" s="11">
        <f>IF(K215=1,'ORDENES'!$J211,"")</f>
        <v/>
      </c>
    </row>
    <row r="216">
      <c r="K216" s="3">
        <f>IF(AND(IF($B$3="(todos)",TRUE,'ORDENES'!$O212=$B$3),IF($D$3="(todos)",TRUE,'ORDENES'!$AC212=$D$3),IF($F$3="(todos)",TRUE,'ORDENES'!$V212=$F$3),'ORDENES'!$AA212=TRUE,'ORDENES'!$A212&lt;&gt;""),1,0)</f>
        <v/>
      </c>
      <c r="L216" s="3">
        <f>IF(K216=1,IFERROR(MATCH('ORDENES'!$R212,lista_dias,0),9)*1000000000+IFERROR(MATCH('ORDENES'!$AC212,lista_turnos,0),9)*10000000+IFERROR(MATCH('ORDENES'!$AB212,'TECNICOS'!$B$4:$B$15,0),99)*100000+209,9000000000000+209)</f>
        <v/>
      </c>
      <c r="M216" s="3">
        <f>IF(K216=1,SUMPRODUCT(--($L$8:$L$1207&lt;L216))+1,"")</f>
        <v/>
      </c>
      <c r="N216" s="17">
        <f>IF(K216=1,N('ORDENES'!$M212),0)</f>
        <v/>
      </c>
      <c r="O216" s="17">
        <f>IF('ORDENES'!$S212="preventiva",N216,0)</f>
        <v/>
      </c>
      <c r="P216" s="17">
        <f>IF('ORDENES'!$S212="correctiva",N216,0)</f>
        <v/>
      </c>
      <c r="Q216" s="3">
        <f>IF(AND(K216=1,'ORDENES'!$N212="Pendiente"),1,0)</f>
        <v/>
      </c>
      <c r="R216" s="3">
        <f>IF(Q216=1,100000-N216*1000+209*0.01,9000000000000+209)</f>
        <v/>
      </c>
      <c r="S216" s="3">
        <f>IF(Q216=1,SUMPRODUCT(--($R$8:$R$1207&lt;R216))+1,"")</f>
        <v/>
      </c>
      <c r="T216" s="11">
        <f>IF(K216=1,'ORDENES'!$J212,"")</f>
        <v/>
      </c>
    </row>
    <row r="217">
      <c r="K217" s="3">
        <f>IF(AND(IF($B$3="(todos)",TRUE,'ORDENES'!$O213=$B$3),IF($D$3="(todos)",TRUE,'ORDENES'!$AC213=$D$3),IF($F$3="(todos)",TRUE,'ORDENES'!$V213=$F$3),'ORDENES'!$AA213=TRUE,'ORDENES'!$A213&lt;&gt;""),1,0)</f>
        <v/>
      </c>
      <c r="L217" s="3">
        <f>IF(K217=1,IFERROR(MATCH('ORDENES'!$R213,lista_dias,0),9)*1000000000+IFERROR(MATCH('ORDENES'!$AC213,lista_turnos,0),9)*10000000+IFERROR(MATCH('ORDENES'!$AB213,'TECNICOS'!$B$4:$B$15,0),99)*100000+210,9000000000000+210)</f>
        <v/>
      </c>
      <c r="M217" s="3">
        <f>IF(K217=1,SUMPRODUCT(--($L$8:$L$1207&lt;L217))+1,"")</f>
        <v/>
      </c>
      <c r="N217" s="17">
        <f>IF(K217=1,N('ORDENES'!$M213),0)</f>
        <v/>
      </c>
      <c r="O217" s="17">
        <f>IF('ORDENES'!$S213="preventiva",N217,0)</f>
        <v/>
      </c>
      <c r="P217" s="17">
        <f>IF('ORDENES'!$S213="correctiva",N217,0)</f>
        <v/>
      </c>
      <c r="Q217" s="3">
        <f>IF(AND(K217=1,'ORDENES'!$N213="Pendiente"),1,0)</f>
        <v/>
      </c>
      <c r="R217" s="3">
        <f>IF(Q217=1,100000-N217*1000+210*0.01,9000000000000+210)</f>
        <v/>
      </c>
      <c r="S217" s="3">
        <f>IF(Q217=1,SUMPRODUCT(--($R$8:$R$1207&lt;R217))+1,"")</f>
        <v/>
      </c>
      <c r="T217" s="11">
        <f>IF(K217=1,'ORDENES'!$J213,"")</f>
        <v/>
      </c>
    </row>
    <row r="218">
      <c r="K218" s="3">
        <f>IF(AND(IF($B$3="(todos)",TRUE,'ORDENES'!$O214=$B$3),IF($D$3="(todos)",TRUE,'ORDENES'!$AC214=$D$3),IF($F$3="(todos)",TRUE,'ORDENES'!$V214=$F$3),'ORDENES'!$AA214=TRUE,'ORDENES'!$A214&lt;&gt;""),1,0)</f>
        <v/>
      </c>
      <c r="L218" s="3">
        <f>IF(K218=1,IFERROR(MATCH('ORDENES'!$R214,lista_dias,0),9)*1000000000+IFERROR(MATCH('ORDENES'!$AC214,lista_turnos,0),9)*10000000+IFERROR(MATCH('ORDENES'!$AB214,'TECNICOS'!$B$4:$B$15,0),99)*100000+211,9000000000000+211)</f>
        <v/>
      </c>
      <c r="M218" s="3">
        <f>IF(K218=1,SUMPRODUCT(--($L$8:$L$1207&lt;L218))+1,"")</f>
        <v/>
      </c>
      <c r="N218" s="17">
        <f>IF(K218=1,N('ORDENES'!$M214),0)</f>
        <v/>
      </c>
      <c r="O218" s="17">
        <f>IF('ORDENES'!$S214="preventiva",N218,0)</f>
        <v/>
      </c>
      <c r="P218" s="17">
        <f>IF('ORDENES'!$S214="correctiva",N218,0)</f>
        <v/>
      </c>
      <c r="Q218" s="3">
        <f>IF(AND(K218=1,'ORDENES'!$N214="Pendiente"),1,0)</f>
        <v/>
      </c>
      <c r="R218" s="3">
        <f>IF(Q218=1,100000-N218*1000+211*0.01,9000000000000+211)</f>
        <v/>
      </c>
      <c r="S218" s="3">
        <f>IF(Q218=1,SUMPRODUCT(--($R$8:$R$1207&lt;R218))+1,"")</f>
        <v/>
      </c>
      <c r="T218" s="11">
        <f>IF(K218=1,'ORDENES'!$J214,"")</f>
        <v/>
      </c>
    </row>
    <row r="219">
      <c r="K219" s="3">
        <f>IF(AND(IF($B$3="(todos)",TRUE,'ORDENES'!$O215=$B$3),IF($D$3="(todos)",TRUE,'ORDENES'!$AC215=$D$3),IF($F$3="(todos)",TRUE,'ORDENES'!$V215=$F$3),'ORDENES'!$AA215=TRUE,'ORDENES'!$A215&lt;&gt;""),1,0)</f>
        <v/>
      </c>
      <c r="L219" s="3">
        <f>IF(K219=1,IFERROR(MATCH('ORDENES'!$R215,lista_dias,0),9)*1000000000+IFERROR(MATCH('ORDENES'!$AC215,lista_turnos,0),9)*10000000+IFERROR(MATCH('ORDENES'!$AB215,'TECNICOS'!$B$4:$B$15,0),99)*100000+212,9000000000000+212)</f>
        <v/>
      </c>
      <c r="M219" s="3">
        <f>IF(K219=1,SUMPRODUCT(--($L$8:$L$1207&lt;L219))+1,"")</f>
        <v/>
      </c>
      <c r="N219" s="17">
        <f>IF(K219=1,N('ORDENES'!$M215),0)</f>
        <v/>
      </c>
      <c r="O219" s="17">
        <f>IF('ORDENES'!$S215="preventiva",N219,0)</f>
        <v/>
      </c>
      <c r="P219" s="17">
        <f>IF('ORDENES'!$S215="correctiva",N219,0)</f>
        <v/>
      </c>
      <c r="Q219" s="3">
        <f>IF(AND(K219=1,'ORDENES'!$N215="Pendiente"),1,0)</f>
        <v/>
      </c>
      <c r="R219" s="3">
        <f>IF(Q219=1,100000-N219*1000+212*0.01,9000000000000+212)</f>
        <v/>
      </c>
      <c r="S219" s="3">
        <f>IF(Q219=1,SUMPRODUCT(--($R$8:$R$1207&lt;R219))+1,"")</f>
        <v/>
      </c>
      <c r="T219" s="11">
        <f>IF(K219=1,'ORDENES'!$J215,"")</f>
        <v/>
      </c>
    </row>
    <row r="220">
      <c r="K220" s="3">
        <f>IF(AND(IF($B$3="(todos)",TRUE,'ORDENES'!$O216=$B$3),IF($D$3="(todos)",TRUE,'ORDENES'!$AC216=$D$3),IF($F$3="(todos)",TRUE,'ORDENES'!$V216=$F$3),'ORDENES'!$AA216=TRUE,'ORDENES'!$A216&lt;&gt;""),1,0)</f>
        <v/>
      </c>
      <c r="L220" s="3">
        <f>IF(K220=1,IFERROR(MATCH('ORDENES'!$R216,lista_dias,0),9)*1000000000+IFERROR(MATCH('ORDENES'!$AC216,lista_turnos,0),9)*10000000+IFERROR(MATCH('ORDENES'!$AB216,'TECNICOS'!$B$4:$B$15,0),99)*100000+213,9000000000000+213)</f>
        <v/>
      </c>
      <c r="M220" s="3">
        <f>IF(K220=1,SUMPRODUCT(--($L$8:$L$1207&lt;L220))+1,"")</f>
        <v/>
      </c>
      <c r="N220" s="17">
        <f>IF(K220=1,N('ORDENES'!$M216),0)</f>
        <v/>
      </c>
      <c r="O220" s="17">
        <f>IF('ORDENES'!$S216="preventiva",N220,0)</f>
        <v/>
      </c>
      <c r="P220" s="17">
        <f>IF('ORDENES'!$S216="correctiva",N220,0)</f>
        <v/>
      </c>
      <c r="Q220" s="3">
        <f>IF(AND(K220=1,'ORDENES'!$N216="Pendiente"),1,0)</f>
        <v/>
      </c>
      <c r="R220" s="3">
        <f>IF(Q220=1,100000-N220*1000+213*0.01,9000000000000+213)</f>
        <v/>
      </c>
      <c r="S220" s="3">
        <f>IF(Q220=1,SUMPRODUCT(--($R$8:$R$1207&lt;R220))+1,"")</f>
        <v/>
      </c>
      <c r="T220" s="11">
        <f>IF(K220=1,'ORDENES'!$J216,"")</f>
        <v/>
      </c>
    </row>
    <row r="221">
      <c r="K221" s="3">
        <f>IF(AND(IF($B$3="(todos)",TRUE,'ORDENES'!$O217=$B$3),IF($D$3="(todos)",TRUE,'ORDENES'!$AC217=$D$3),IF($F$3="(todos)",TRUE,'ORDENES'!$V217=$F$3),'ORDENES'!$AA217=TRUE,'ORDENES'!$A217&lt;&gt;""),1,0)</f>
        <v/>
      </c>
      <c r="L221" s="3">
        <f>IF(K221=1,IFERROR(MATCH('ORDENES'!$R217,lista_dias,0),9)*1000000000+IFERROR(MATCH('ORDENES'!$AC217,lista_turnos,0),9)*10000000+IFERROR(MATCH('ORDENES'!$AB217,'TECNICOS'!$B$4:$B$15,0),99)*100000+214,9000000000000+214)</f>
        <v/>
      </c>
      <c r="M221" s="3">
        <f>IF(K221=1,SUMPRODUCT(--($L$8:$L$1207&lt;L221))+1,"")</f>
        <v/>
      </c>
      <c r="N221" s="17">
        <f>IF(K221=1,N('ORDENES'!$M217),0)</f>
        <v/>
      </c>
      <c r="O221" s="17">
        <f>IF('ORDENES'!$S217="preventiva",N221,0)</f>
        <v/>
      </c>
      <c r="P221" s="17">
        <f>IF('ORDENES'!$S217="correctiva",N221,0)</f>
        <v/>
      </c>
      <c r="Q221" s="3">
        <f>IF(AND(K221=1,'ORDENES'!$N217="Pendiente"),1,0)</f>
        <v/>
      </c>
      <c r="R221" s="3">
        <f>IF(Q221=1,100000-N221*1000+214*0.01,9000000000000+214)</f>
        <v/>
      </c>
      <c r="S221" s="3">
        <f>IF(Q221=1,SUMPRODUCT(--($R$8:$R$1207&lt;R221))+1,"")</f>
        <v/>
      </c>
      <c r="T221" s="11">
        <f>IF(K221=1,'ORDENES'!$J217,"")</f>
        <v/>
      </c>
    </row>
    <row r="222">
      <c r="K222" s="3">
        <f>IF(AND(IF($B$3="(todos)",TRUE,'ORDENES'!$O218=$B$3),IF($D$3="(todos)",TRUE,'ORDENES'!$AC218=$D$3),IF($F$3="(todos)",TRUE,'ORDENES'!$V218=$F$3),'ORDENES'!$AA218=TRUE,'ORDENES'!$A218&lt;&gt;""),1,0)</f>
        <v/>
      </c>
      <c r="L222" s="3">
        <f>IF(K222=1,IFERROR(MATCH('ORDENES'!$R218,lista_dias,0),9)*1000000000+IFERROR(MATCH('ORDENES'!$AC218,lista_turnos,0),9)*10000000+IFERROR(MATCH('ORDENES'!$AB218,'TECNICOS'!$B$4:$B$15,0),99)*100000+215,9000000000000+215)</f>
        <v/>
      </c>
      <c r="M222" s="3">
        <f>IF(K222=1,SUMPRODUCT(--($L$8:$L$1207&lt;L222))+1,"")</f>
        <v/>
      </c>
      <c r="N222" s="17">
        <f>IF(K222=1,N('ORDENES'!$M218),0)</f>
        <v/>
      </c>
      <c r="O222" s="17">
        <f>IF('ORDENES'!$S218="preventiva",N222,0)</f>
        <v/>
      </c>
      <c r="P222" s="17">
        <f>IF('ORDENES'!$S218="correctiva",N222,0)</f>
        <v/>
      </c>
      <c r="Q222" s="3">
        <f>IF(AND(K222=1,'ORDENES'!$N218="Pendiente"),1,0)</f>
        <v/>
      </c>
      <c r="R222" s="3">
        <f>IF(Q222=1,100000-N222*1000+215*0.01,9000000000000+215)</f>
        <v/>
      </c>
      <c r="S222" s="3">
        <f>IF(Q222=1,SUMPRODUCT(--($R$8:$R$1207&lt;R222))+1,"")</f>
        <v/>
      </c>
      <c r="T222" s="11">
        <f>IF(K222=1,'ORDENES'!$J218,"")</f>
        <v/>
      </c>
    </row>
    <row r="223">
      <c r="K223" s="3">
        <f>IF(AND(IF($B$3="(todos)",TRUE,'ORDENES'!$O219=$B$3),IF($D$3="(todos)",TRUE,'ORDENES'!$AC219=$D$3),IF($F$3="(todos)",TRUE,'ORDENES'!$V219=$F$3),'ORDENES'!$AA219=TRUE,'ORDENES'!$A219&lt;&gt;""),1,0)</f>
        <v/>
      </c>
      <c r="L223" s="3">
        <f>IF(K223=1,IFERROR(MATCH('ORDENES'!$R219,lista_dias,0),9)*1000000000+IFERROR(MATCH('ORDENES'!$AC219,lista_turnos,0),9)*10000000+IFERROR(MATCH('ORDENES'!$AB219,'TECNICOS'!$B$4:$B$15,0),99)*100000+216,9000000000000+216)</f>
        <v/>
      </c>
      <c r="M223" s="3">
        <f>IF(K223=1,SUMPRODUCT(--($L$8:$L$1207&lt;L223))+1,"")</f>
        <v/>
      </c>
      <c r="N223" s="17">
        <f>IF(K223=1,N('ORDENES'!$M219),0)</f>
        <v/>
      </c>
      <c r="O223" s="17">
        <f>IF('ORDENES'!$S219="preventiva",N223,0)</f>
        <v/>
      </c>
      <c r="P223" s="17">
        <f>IF('ORDENES'!$S219="correctiva",N223,0)</f>
        <v/>
      </c>
      <c r="Q223" s="3">
        <f>IF(AND(K223=1,'ORDENES'!$N219="Pendiente"),1,0)</f>
        <v/>
      </c>
      <c r="R223" s="3">
        <f>IF(Q223=1,100000-N223*1000+216*0.01,9000000000000+216)</f>
        <v/>
      </c>
      <c r="S223" s="3">
        <f>IF(Q223=1,SUMPRODUCT(--($R$8:$R$1207&lt;R223))+1,"")</f>
        <v/>
      </c>
      <c r="T223" s="11">
        <f>IF(K223=1,'ORDENES'!$J219,"")</f>
        <v/>
      </c>
    </row>
    <row r="224">
      <c r="K224" s="3">
        <f>IF(AND(IF($B$3="(todos)",TRUE,'ORDENES'!$O220=$B$3),IF($D$3="(todos)",TRUE,'ORDENES'!$AC220=$D$3),IF($F$3="(todos)",TRUE,'ORDENES'!$V220=$F$3),'ORDENES'!$AA220=TRUE,'ORDENES'!$A220&lt;&gt;""),1,0)</f>
        <v/>
      </c>
      <c r="L224" s="3">
        <f>IF(K224=1,IFERROR(MATCH('ORDENES'!$R220,lista_dias,0),9)*1000000000+IFERROR(MATCH('ORDENES'!$AC220,lista_turnos,0),9)*10000000+IFERROR(MATCH('ORDENES'!$AB220,'TECNICOS'!$B$4:$B$15,0),99)*100000+217,9000000000000+217)</f>
        <v/>
      </c>
      <c r="M224" s="3">
        <f>IF(K224=1,SUMPRODUCT(--($L$8:$L$1207&lt;L224))+1,"")</f>
        <v/>
      </c>
      <c r="N224" s="17">
        <f>IF(K224=1,N('ORDENES'!$M220),0)</f>
        <v/>
      </c>
      <c r="O224" s="17">
        <f>IF('ORDENES'!$S220="preventiva",N224,0)</f>
        <v/>
      </c>
      <c r="P224" s="17">
        <f>IF('ORDENES'!$S220="correctiva",N224,0)</f>
        <v/>
      </c>
      <c r="Q224" s="3">
        <f>IF(AND(K224=1,'ORDENES'!$N220="Pendiente"),1,0)</f>
        <v/>
      </c>
      <c r="R224" s="3">
        <f>IF(Q224=1,100000-N224*1000+217*0.01,9000000000000+217)</f>
        <v/>
      </c>
      <c r="S224" s="3">
        <f>IF(Q224=1,SUMPRODUCT(--($R$8:$R$1207&lt;R224))+1,"")</f>
        <v/>
      </c>
      <c r="T224" s="11">
        <f>IF(K224=1,'ORDENES'!$J220,"")</f>
        <v/>
      </c>
    </row>
    <row r="225">
      <c r="K225" s="3">
        <f>IF(AND(IF($B$3="(todos)",TRUE,'ORDENES'!$O221=$B$3),IF($D$3="(todos)",TRUE,'ORDENES'!$AC221=$D$3),IF($F$3="(todos)",TRUE,'ORDENES'!$V221=$F$3),'ORDENES'!$AA221=TRUE,'ORDENES'!$A221&lt;&gt;""),1,0)</f>
        <v/>
      </c>
      <c r="L225" s="3">
        <f>IF(K225=1,IFERROR(MATCH('ORDENES'!$R221,lista_dias,0),9)*1000000000+IFERROR(MATCH('ORDENES'!$AC221,lista_turnos,0),9)*10000000+IFERROR(MATCH('ORDENES'!$AB221,'TECNICOS'!$B$4:$B$15,0),99)*100000+218,9000000000000+218)</f>
        <v/>
      </c>
      <c r="M225" s="3">
        <f>IF(K225=1,SUMPRODUCT(--($L$8:$L$1207&lt;L225))+1,"")</f>
        <v/>
      </c>
      <c r="N225" s="17">
        <f>IF(K225=1,N('ORDENES'!$M221),0)</f>
        <v/>
      </c>
      <c r="O225" s="17">
        <f>IF('ORDENES'!$S221="preventiva",N225,0)</f>
        <v/>
      </c>
      <c r="P225" s="17">
        <f>IF('ORDENES'!$S221="correctiva",N225,0)</f>
        <v/>
      </c>
      <c r="Q225" s="3">
        <f>IF(AND(K225=1,'ORDENES'!$N221="Pendiente"),1,0)</f>
        <v/>
      </c>
      <c r="R225" s="3">
        <f>IF(Q225=1,100000-N225*1000+218*0.01,9000000000000+218)</f>
        <v/>
      </c>
      <c r="S225" s="3">
        <f>IF(Q225=1,SUMPRODUCT(--($R$8:$R$1207&lt;R225))+1,"")</f>
        <v/>
      </c>
      <c r="T225" s="11">
        <f>IF(K225=1,'ORDENES'!$J221,"")</f>
        <v/>
      </c>
    </row>
    <row r="226">
      <c r="K226" s="3">
        <f>IF(AND(IF($B$3="(todos)",TRUE,'ORDENES'!$O222=$B$3),IF($D$3="(todos)",TRUE,'ORDENES'!$AC222=$D$3),IF($F$3="(todos)",TRUE,'ORDENES'!$V222=$F$3),'ORDENES'!$AA222=TRUE,'ORDENES'!$A222&lt;&gt;""),1,0)</f>
        <v/>
      </c>
      <c r="L226" s="3">
        <f>IF(K226=1,IFERROR(MATCH('ORDENES'!$R222,lista_dias,0),9)*1000000000+IFERROR(MATCH('ORDENES'!$AC222,lista_turnos,0),9)*10000000+IFERROR(MATCH('ORDENES'!$AB222,'TECNICOS'!$B$4:$B$15,0),99)*100000+219,9000000000000+219)</f>
        <v/>
      </c>
      <c r="M226" s="3">
        <f>IF(K226=1,SUMPRODUCT(--($L$8:$L$1207&lt;L226))+1,"")</f>
        <v/>
      </c>
      <c r="N226" s="17">
        <f>IF(K226=1,N('ORDENES'!$M222),0)</f>
        <v/>
      </c>
      <c r="O226" s="17">
        <f>IF('ORDENES'!$S222="preventiva",N226,0)</f>
        <v/>
      </c>
      <c r="P226" s="17">
        <f>IF('ORDENES'!$S222="correctiva",N226,0)</f>
        <v/>
      </c>
      <c r="Q226" s="3">
        <f>IF(AND(K226=1,'ORDENES'!$N222="Pendiente"),1,0)</f>
        <v/>
      </c>
      <c r="R226" s="3">
        <f>IF(Q226=1,100000-N226*1000+219*0.01,9000000000000+219)</f>
        <v/>
      </c>
      <c r="S226" s="3">
        <f>IF(Q226=1,SUMPRODUCT(--($R$8:$R$1207&lt;R226))+1,"")</f>
        <v/>
      </c>
      <c r="T226" s="11">
        <f>IF(K226=1,'ORDENES'!$J222,"")</f>
        <v/>
      </c>
    </row>
    <row r="227">
      <c r="K227" s="3">
        <f>IF(AND(IF($B$3="(todos)",TRUE,'ORDENES'!$O223=$B$3),IF($D$3="(todos)",TRUE,'ORDENES'!$AC223=$D$3),IF($F$3="(todos)",TRUE,'ORDENES'!$V223=$F$3),'ORDENES'!$AA223=TRUE,'ORDENES'!$A223&lt;&gt;""),1,0)</f>
        <v/>
      </c>
      <c r="L227" s="3">
        <f>IF(K227=1,IFERROR(MATCH('ORDENES'!$R223,lista_dias,0),9)*1000000000+IFERROR(MATCH('ORDENES'!$AC223,lista_turnos,0),9)*10000000+IFERROR(MATCH('ORDENES'!$AB223,'TECNICOS'!$B$4:$B$15,0),99)*100000+220,9000000000000+220)</f>
        <v/>
      </c>
      <c r="M227" s="3">
        <f>IF(K227=1,SUMPRODUCT(--($L$8:$L$1207&lt;L227))+1,"")</f>
        <v/>
      </c>
      <c r="N227" s="17">
        <f>IF(K227=1,N('ORDENES'!$M223),0)</f>
        <v/>
      </c>
      <c r="O227" s="17">
        <f>IF('ORDENES'!$S223="preventiva",N227,0)</f>
        <v/>
      </c>
      <c r="P227" s="17">
        <f>IF('ORDENES'!$S223="correctiva",N227,0)</f>
        <v/>
      </c>
      <c r="Q227" s="3">
        <f>IF(AND(K227=1,'ORDENES'!$N223="Pendiente"),1,0)</f>
        <v/>
      </c>
      <c r="R227" s="3">
        <f>IF(Q227=1,100000-N227*1000+220*0.01,9000000000000+220)</f>
        <v/>
      </c>
      <c r="S227" s="3">
        <f>IF(Q227=1,SUMPRODUCT(--($R$8:$R$1207&lt;R227))+1,"")</f>
        <v/>
      </c>
      <c r="T227" s="11">
        <f>IF(K227=1,'ORDENES'!$J223,"")</f>
        <v/>
      </c>
    </row>
    <row r="228">
      <c r="K228" s="3">
        <f>IF(AND(IF($B$3="(todos)",TRUE,'ORDENES'!$O224=$B$3),IF($D$3="(todos)",TRUE,'ORDENES'!$AC224=$D$3),IF($F$3="(todos)",TRUE,'ORDENES'!$V224=$F$3),'ORDENES'!$AA224=TRUE,'ORDENES'!$A224&lt;&gt;""),1,0)</f>
        <v/>
      </c>
      <c r="L228" s="3">
        <f>IF(K228=1,IFERROR(MATCH('ORDENES'!$R224,lista_dias,0),9)*1000000000+IFERROR(MATCH('ORDENES'!$AC224,lista_turnos,0),9)*10000000+IFERROR(MATCH('ORDENES'!$AB224,'TECNICOS'!$B$4:$B$15,0),99)*100000+221,9000000000000+221)</f>
        <v/>
      </c>
      <c r="M228" s="3">
        <f>IF(K228=1,SUMPRODUCT(--($L$8:$L$1207&lt;L228))+1,"")</f>
        <v/>
      </c>
      <c r="N228" s="17">
        <f>IF(K228=1,N('ORDENES'!$M224),0)</f>
        <v/>
      </c>
      <c r="O228" s="17">
        <f>IF('ORDENES'!$S224="preventiva",N228,0)</f>
        <v/>
      </c>
      <c r="P228" s="17">
        <f>IF('ORDENES'!$S224="correctiva",N228,0)</f>
        <v/>
      </c>
      <c r="Q228" s="3">
        <f>IF(AND(K228=1,'ORDENES'!$N224="Pendiente"),1,0)</f>
        <v/>
      </c>
      <c r="R228" s="3">
        <f>IF(Q228=1,100000-N228*1000+221*0.01,9000000000000+221)</f>
        <v/>
      </c>
      <c r="S228" s="3">
        <f>IF(Q228=1,SUMPRODUCT(--($R$8:$R$1207&lt;R228))+1,"")</f>
        <v/>
      </c>
      <c r="T228" s="11">
        <f>IF(K228=1,'ORDENES'!$J224,"")</f>
        <v/>
      </c>
    </row>
    <row r="229">
      <c r="K229" s="3">
        <f>IF(AND(IF($B$3="(todos)",TRUE,'ORDENES'!$O225=$B$3),IF($D$3="(todos)",TRUE,'ORDENES'!$AC225=$D$3),IF($F$3="(todos)",TRUE,'ORDENES'!$V225=$F$3),'ORDENES'!$AA225=TRUE,'ORDENES'!$A225&lt;&gt;""),1,0)</f>
        <v/>
      </c>
      <c r="L229" s="3">
        <f>IF(K229=1,IFERROR(MATCH('ORDENES'!$R225,lista_dias,0),9)*1000000000+IFERROR(MATCH('ORDENES'!$AC225,lista_turnos,0),9)*10000000+IFERROR(MATCH('ORDENES'!$AB225,'TECNICOS'!$B$4:$B$15,0),99)*100000+222,9000000000000+222)</f>
        <v/>
      </c>
      <c r="M229" s="3">
        <f>IF(K229=1,SUMPRODUCT(--($L$8:$L$1207&lt;L229))+1,"")</f>
        <v/>
      </c>
      <c r="N229" s="17">
        <f>IF(K229=1,N('ORDENES'!$M225),0)</f>
        <v/>
      </c>
      <c r="O229" s="17">
        <f>IF('ORDENES'!$S225="preventiva",N229,0)</f>
        <v/>
      </c>
      <c r="P229" s="17">
        <f>IF('ORDENES'!$S225="correctiva",N229,0)</f>
        <v/>
      </c>
      <c r="Q229" s="3">
        <f>IF(AND(K229=1,'ORDENES'!$N225="Pendiente"),1,0)</f>
        <v/>
      </c>
      <c r="R229" s="3">
        <f>IF(Q229=1,100000-N229*1000+222*0.01,9000000000000+222)</f>
        <v/>
      </c>
      <c r="S229" s="3">
        <f>IF(Q229=1,SUMPRODUCT(--($R$8:$R$1207&lt;R229))+1,"")</f>
        <v/>
      </c>
      <c r="T229" s="11">
        <f>IF(K229=1,'ORDENES'!$J225,"")</f>
        <v/>
      </c>
    </row>
    <row r="230">
      <c r="K230" s="3">
        <f>IF(AND(IF($B$3="(todos)",TRUE,'ORDENES'!$O226=$B$3),IF($D$3="(todos)",TRUE,'ORDENES'!$AC226=$D$3),IF($F$3="(todos)",TRUE,'ORDENES'!$V226=$F$3),'ORDENES'!$AA226=TRUE,'ORDENES'!$A226&lt;&gt;""),1,0)</f>
        <v/>
      </c>
      <c r="L230" s="3">
        <f>IF(K230=1,IFERROR(MATCH('ORDENES'!$R226,lista_dias,0),9)*1000000000+IFERROR(MATCH('ORDENES'!$AC226,lista_turnos,0),9)*10000000+IFERROR(MATCH('ORDENES'!$AB226,'TECNICOS'!$B$4:$B$15,0),99)*100000+223,9000000000000+223)</f>
        <v/>
      </c>
      <c r="M230" s="3">
        <f>IF(K230=1,SUMPRODUCT(--($L$8:$L$1207&lt;L230))+1,"")</f>
        <v/>
      </c>
      <c r="N230" s="17">
        <f>IF(K230=1,N('ORDENES'!$M226),0)</f>
        <v/>
      </c>
      <c r="O230" s="17">
        <f>IF('ORDENES'!$S226="preventiva",N230,0)</f>
        <v/>
      </c>
      <c r="P230" s="17">
        <f>IF('ORDENES'!$S226="correctiva",N230,0)</f>
        <v/>
      </c>
      <c r="Q230" s="3">
        <f>IF(AND(K230=1,'ORDENES'!$N226="Pendiente"),1,0)</f>
        <v/>
      </c>
      <c r="R230" s="3">
        <f>IF(Q230=1,100000-N230*1000+223*0.01,9000000000000+223)</f>
        <v/>
      </c>
      <c r="S230" s="3">
        <f>IF(Q230=1,SUMPRODUCT(--($R$8:$R$1207&lt;R230))+1,"")</f>
        <v/>
      </c>
      <c r="T230" s="11">
        <f>IF(K230=1,'ORDENES'!$J226,"")</f>
        <v/>
      </c>
    </row>
    <row r="231">
      <c r="K231" s="3">
        <f>IF(AND(IF($B$3="(todos)",TRUE,'ORDENES'!$O227=$B$3),IF($D$3="(todos)",TRUE,'ORDENES'!$AC227=$D$3),IF($F$3="(todos)",TRUE,'ORDENES'!$V227=$F$3),'ORDENES'!$AA227=TRUE,'ORDENES'!$A227&lt;&gt;""),1,0)</f>
        <v/>
      </c>
      <c r="L231" s="3">
        <f>IF(K231=1,IFERROR(MATCH('ORDENES'!$R227,lista_dias,0),9)*1000000000+IFERROR(MATCH('ORDENES'!$AC227,lista_turnos,0),9)*10000000+IFERROR(MATCH('ORDENES'!$AB227,'TECNICOS'!$B$4:$B$15,0),99)*100000+224,9000000000000+224)</f>
        <v/>
      </c>
      <c r="M231" s="3">
        <f>IF(K231=1,SUMPRODUCT(--($L$8:$L$1207&lt;L231))+1,"")</f>
        <v/>
      </c>
      <c r="N231" s="17">
        <f>IF(K231=1,N('ORDENES'!$M227),0)</f>
        <v/>
      </c>
      <c r="O231" s="17">
        <f>IF('ORDENES'!$S227="preventiva",N231,0)</f>
        <v/>
      </c>
      <c r="P231" s="17">
        <f>IF('ORDENES'!$S227="correctiva",N231,0)</f>
        <v/>
      </c>
      <c r="Q231" s="3">
        <f>IF(AND(K231=1,'ORDENES'!$N227="Pendiente"),1,0)</f>
        <v/>
      </c>
      <c r="R231" s="3">
        <f>IF(Q231=1,100000-N231*1000+224*0.01,9000000000000+224)</f>
        <v/>
      </c>
      <c r="S231" s="3">
        <f>IF(Q231=1,SUMPRODUCT(--($R$8:$R$1207&lt;R231))+1,"")</f>
        <v/>
      </c>
      <c r="T231" s="11">
        <f>IF(K231=1,'ORDENES'!$J227,"")</f>
        <v/>
      </c>
    </row>
    <row r="232">
      <c r="K232" s="3">
        <f>IF(AND(IF($B$3="(todos)",TRUE,'ORDENES'!$O228=$B$3),IF($D$3="(todos)",TRUE,'ORDENES'!$AC228=$D$3),IF($F$3="(todos)",TRUE,'ORDENES'!$V228=$F$3),'ORDENES'!$AA228=TRUE,'ORDENES'!$A228&lt;&gt;""),1,0)</f>
        <v/>
      </c>
      <c r="L232" s="3">
        <f>IF(K232=1,IFERROR(MATCH('ORDENES'!$R228,lista_dias,0),9)*1000000000+IFERROR(MATCH('ORDENES'!$AC228,lista_turnos,0),9)*10000000+IFERROR(MATCH('ORDENES'!$AB228,'TECNICOS'!$B$4:$B$15,0),99)*100000+225,9000000000000+225)</f>
        <v/>
      </c>
      <c r="M232" s="3">
        <f>IF(K232=1,SUMPRODUCT(--($L$8:$L$1207&lt;L232))+1,"")</f>
        <v/>
      </c>
      <c r="N232" s="17">
        <f>IF(K232=1,N('ORDENES'!$M228),0)</f>
        <v/>
      </c>
      <c r="O232" s="17">
        <f>IF('ORDENES'!$S228="preventiva",N232,0)</f>
        <v/>
      </c>
      <c r="P232" s="17">
        <f>IF('ORDENES'!$S228="correctiva",N232,0)</f>
        <v/>
      </c>
      <c r="Q232" s="3">
        <f>IF(AND(K232=1,'ORDENES'!$N228="Pendiente"),1,0)</f>
        <v/>
      </c>
      <c r="R232" s="3">
        <f>IF(Q232=1,100000-N232*1000+225*0.01,9000000000000+225)</f>
        <v/>
      </c>
      <c r="S232" s="3">
        <f>IF(Q232=1,SUMPRODUCT(--($R$8:$R$1207&lt;R232))+1,"")</f>
        <v/>
      </c>
      <c r="T232" s="11">
        <f>IF(K232=1,'ORDENES'!$J228,"")</f>
        <v/>
      </c>
    </row>
    <row r="233">
      <c r="K233" s="3">
        <f>IF(AND(IF($B$3="(todos)",TRUE,'ORDENES'!$O229=$B$3),IF($D$3="(todos)",TRUE,'ORDENES'!$AC229=$D$3),IF($F$3="(todos)",TRUE,'ORDENES'!$V229=$F$3),'ORDENES'!$AA229=TRUE,'ORDENES'!$A229&lt;&gt;""),1,0)</f>
        <v/>
      </c>
      <c r="L233" s="3">
        <f>IF(K233=1,IFERROR(MATCH('ORDENES'!$R229,lista_dias,0),9)*1000000000+IFERROR(MATCH('ORDENES'!$AC229,lista_turnos,0),9)*10000000+IFERROR(MATCH('ORDENES'!$AB229,'TECNICOS'!$B$4:$B$15,0),99)*100000+226,9000000000000+226)</f>
        <v/>
      </c>
      <c r="M233" s="3">
        <f>IF(K233=1,SUMPRODUCT(--($L$8:$L$1207&lt;L233))+1,"")</f>
        <v/>
      </c>
      <c r="N233" s="17">
        <f>IF(K233=1,N('ORDENES'!$M229),0)</f>
        <v/>
      </c>
      <c r="O233" s="17">
        <f>IF('ORDENES'!$S229="preventiva",N233,0)</f>
        <v/>
      </c>
      <c r="P233" s="17">
        <f>IF('ORDENES'!$S229="correctiva",N233,0)</f>
        <v/>
      </c>
      <c r="Q233" s="3">
        <f>IF(AND(K233=1,'ORDENES'!$N229="Pendiente"),1,0)</f>
        <v/>
      </c>
      <c r="R233" s="3">
        <f>IF(Q233=1,100000-N233*1000+226*0.01,9000000000000+226)</f>
        <v/>
      </c>
      <c r="S233" s="3">
        <f>IF(Q233=1,SUMPRODUCT(--($R$8:$R$1207&lt;R233))+1,"")</f>
        <v/>
      </c>
      <c r="T233" s="11">
        <f>IF(K233=1,'ORDENES'!$J229,"")</f>
        <v/>
      </c>
    </row>
    <row r="234">
      <c r="K234" s="3">
        <f>IF(AND(IF($B$3="(todos)",TRUE,'ORDENES'!$O230=$B$3),IF($D$3="(todos)",TRUE,'ORDENES'!$AC230=$D$3),IF($F$3="(todos)",TRUE,'ORDENES'!$V230=$F$3),'ORDENES'!$AA230=TRUE,'ORDENES'!$A230&lt;&gt;""),1,0)</f>
        <v/>
      </c>
      <c r="L234" s="3">
        <f>IF(K234=1,IFERROR(MATCH('ORDENES'!$R230,lista_dias,0),9)*1000000000+IFERROR(MATCH('ORDENES'!$AC230,lista_turnos,0),9)*10000000+IFERROR(MATCH('ORDENES'!$AB230,'TECNICOS'!$B$4:$B$15,0),99)*100000+227,9000000000000+227)</f>
        <v/>
      </c>
      <c r="M234" s="3">
        <f>IF(K234=1,SUMPRODUCT(--($L$8:$L$1207&lt;L234))+1,"")</f>
        <v/>
      </c>
      <c r="N234" s="17">
        <f>IF(K234=1,N('ORDENES'!$M230),0)</f>
        <v/>
      </c>
      <c r="O234" s="17">
        <f>IF('ORDENES'!$S230="preventiva",N234,0)</f>
        <v/>
      </c>
      <c r="P234" s="17">
        <f>IF('ORDENES'!$S230="correctiva",N234,0)</f>
        <v/>
      </c>
      <c r="Q234" s="3">
        <f>IF(AND(K234=1,'ORDENES'!$N230="Pendiente"),1,0)</f>
        <v/>
      </c>
      <c r="R234" s="3">
        <f>IF(Q234=1,100000-N234*1000+227*0.01,9000000000000+227)</f>
        <v/>
      </c>
      <c r="S234" s="3">
        <f>IF(Q234=1,SUMPRODUCT(--($R$8:$R$1207&lt;R234))+1,"")</f>
        <v/>
      </c>
      <c r="T234" s="11">
        <f>IF(K234=1,'ORDENES'!$J230,"")</f>
        <v/>
      </c>
    </row>
    <row r="235">
      <c r="K235" s="3">
        <f>IF(AND(IF($B$3="(todos)",TRUE,'ORDENES'!$O231=$B$3),IF($D$3="(todos)",TRUE,'ORDENES'!$AC231=$D$3),IF($F$3="(todos)",TRUE,'ORDENES'!$V231=$F$3),'ORDENES'!$AA231=TRUE,'ORDENES'!$A231&lt;&gt;""),1,0)</f>
        <v/>
      </c>
      <c r="L235" s="3">
        <f>IF(K235=1,IFERROR(MATCH('ORDENES'!$R231,lista_dias,0),9)*1000000000+IFERROR(MATCH('ORDENES'!$AC231,lista_turnos,0),9)*10000000+IFERROR(MATCH('ORDENES'!$AB231,'TECNICOS'!$B$4:$B$15,0),99)*100000+228,9000000000000+228)</f>
        <v/>
      </c>
      <c r="M235" s="3">
        <f>IF(K235=1,SUMPRODUCT(--($L$8:$L$1207&lt;L235))+1,"")</f>
        <v/>
      </c>
      <c r="N235" s="17">
        <f>IF(K235=1,N('ORDENES'!$M231),0)</f>
        <v/>
      </c>
      <c r="O235" s="17">
        <f>IF('ORDENES'!$S231="preventiva",N235,0)</f>
        <v/>
      </c>
      <c r="P235" s="17">
        <f>IF('ORDENES'!$S231="correctiva",N235,0)</f>
        <v/>
      </c>
      <c r="Q235" s="3">
        <f>IF(AND(K235=1,'ORDENES'!$N231="Pendiente"),1,0)</f>
        <v/>
      </c>
      <c r="R235" s="3">
        <f>IF(Q235=1,100000-N235*1000+228*0.01,9000000000000+228)</f>
        <v/>
      </c>
      <c r="S235" s="3">
        <f>IF(Q235=1,SUMPRODUCT(--($R$8:$R$1207&lt;R235))+1,"")</f>
        <v/>
      </c>
      <c r="T235" s="11">
        <f>IF(K235=1,'ORDENES'!$J231,"")</f>
        <v/>
      </c>
    </row>
    <row r="236">
      <c r="K236" s="3">
        <f>IF(AND(IF($B$3="(todos)",TRUE,'ORDENES'!$O232=$B$3),IF($D$3="(todos)",TRUE,'ORDENES'!$AC232=$D$3),IF($F$3="(todos)",TRUE,'ORDENES'!$V232=$F$3),'ORDENES'!$AA232=TRUE,'ORDENES'!$A232&lt;&gt;""),1,0)</f>
        <v/>
      </c>
      <c r="L236" s="3">
        <f>IF(K236=1,IFERROR(MATCH('ORDENES'!$R232,lista_dias,0),9)*1000000000+IFERROR(MATCH('ORDENES'!$AC232,lista_turnos,0),9)*10000000+IFERROR(MATCH('ORDENES'!$AB232,'TECNICOS'!$B$4:$B$15,0),99)*100000+229,9000000000000+229)</f>
        <v/>
      </c>
      <c r="M236" s="3">
        <f>IF(K236=1,SUMPRODUCT(--($L$8:$L$1207&lt;L236))+1,"")</f>
        <v/>
      </c>
      <c r="N236" s="17">
        <f>IF(K236=1,N('ORDENES'!$M232),0)</f>
        <v/>
      </c>
      <c r="O236" s="17">
        <f>IF('ORDENES'!$S232="preventiva",N236,0)</f>
        <v/>
      </c>
      <c r="P236" s="17">
        <f>IF('ORDENES'!$S232="correctiva",N236,0)</f>
        <v/>
      </c>
      <c r="Q236" s="3">
        <f>IF(AND(K236=1,'ORDENES'!$N232="Pendiente"),1,0)</f>
        <v/>
      </c>
      <c r="R236" s="3">
        <f>IF(Q236=1,100000-N236*1000+229*0.01,9000000000000+229)</f>
        <v/>
      </c>
      <c r="S236" s="3">
        <f>IF(Q236=1,SUMPRODUCT(--($R$8:$R$1207&lt;R236))+1,"")</f>
        <v/>
      </c>
      <c r="T236" s="11">
        <f>IF(K236=1,'ORDENES'!$J232,"")</f>
        <v/>
      </c>
    </row>
    <row r="237">
      <c r="K237" s="3">
        <f>IF(AND(IF($B$3="(todos)",TRUE,'ORDENES'!$O233=$B$3),IF($D$3="(todos)",TRUE,'ORDENES'!$AC233=$D$3),IF($F$3="(todos)",TRUE,'ORDENES'!$V233=$F$3),'ORDENES'!$AA233=TRUE,'ORDENES'!$A233&lt;&gt;""),1,0)</f>
        <v/>
      </c>
      <c r="L237" s="3">
        <f>IF(K237=1,IFERROR(MATCH('ORDENES'!$R233,lista_dias,0),9)*1000000000+IFERROR(MATCH('ORDENES'!$AC233,lista_turnos,0),9)*10000000+IFERROR(MATCH('ORDENES'!$AB233,'TECNICOS'!$B$4:$B$15,0),99)*100000+230,9000000000000+230)</f>
        <v/>
      </c>
      <c r="M237" s="3">
        <f>IF(K237=1,SUMPRODUCT(--($L$8:$L$1207&lt;L237))+1,"")</f>
        <v/>
      </c>
      <c r="N237" s="17">
        <f>IF(K237=1,N('ORDENES'!$M233),0)</f>
        <v/>
      </c>
      <c r="O237" s="17">
        <f>IF('ORDENES'!$S233="preventiva",N237,0)</f>
        <v/>
      </c>
      <c r="P237" s="17">
        <f>IF('ORDENES'!$S233="correctiva",N237,0)</f>
        <v/>
      </c>
      <c r="Q237" s="3">
        <f>IF(AND(K237=1,'ORDENES'!$N233="Pendiente"),1,0)</f>
        <v/>
      </c>
      <c r="R237" s="3">
        <f>IF(Q237=1,100000-N237*1000+230*0.01,9000000000000+230)</f>
        <v/>
      </c>
      <c r="S237" s="3">
        <f>IF(Q237=1,SUMPRODUCT(--($R$8:$R$1207&lt;R237))+1,"")</f>
        <v/>
      </c>
      <c r="T237" s="11">
        <f>IF(K237=1,'ORDENES'!$J233,"")</f>
        <v/>
      </c>
    </row>
    <row r="238">
      <c r="K238" s="3">
        <f>IF(AND(IF($B$3="(todos)",TRUE,'ORDENES'!$O234=$B$3),IF($D$3="(todos)",TRUE,'ORDENES'!$AC234=$D$3),IF($F$3="(todos)",TRUE,'ORDENES'!$V234=$F$3),'ORDENES'!$AA234=TRUE,'ORDENES'!$A234&lt;&gt;""),1,0)</f>
        <v/>
      </c>
      <c r="L238" s="3">
        <f>IF(K238=1,IFERROR(MATCH('ORDENES'!$R234,lista_dias,0),9)*1000000000+IFERROR(MATCH('ORDENES'!$AC234,lista_turnos,0),9)*10000000+IFERROR(MATCH('ORDENES'!$AB234,'TECNICOS'!$B$4:$B$15,0),99)*100000+231,9000000000000+231)</f>
        <v/>
      </c>
      <c r="M238" s="3">
        <f>IF(K238=1,SUMPRODUCT(--($L$8:$L$1207&lt;L238))+1,"")</f>
        <v/>
      </c>
      <c r="N238" s="17">
        <f>IF(K238=1,N('ORDENES'!$M234),0)</f>
        <v/>
      </c>
      <c r="O238" s="17">
        <f>IF('ORDENES'!$S234="preventiva",N238,0)</f>
        <v/>
      </c>
      <c r="P238" s="17">
        <f>IF('ORDENES'!$S234="correctiva",N238,0)</f>
        <v/>
      </c>
      <c r="Q238" s="3">
        <f>IF(AND(K238=1,'ORDENES'!$N234="Pendiente"),1,0)</f>
        <v/>
      </c>
      <c r="R238" s="3">
        <f>IF(Q238=1,100000-N238*1000+231*0.01,9000000000000+231)</f>
        <v/>
      </c>
      <c r="S238" s="3">
        <f>IF(Q238=1,SUMPRODUCT(--($R$8:$R$1207&lt;R238))+1,"")</f>
        <v/>
      </c>
      <c r="T238" s="11">
        <f>IF(K238=1,'ORDENES'!$J234,"")</f>
        <v/>
      </c>
    </row>
    <row r="239">
      <c r="K239" s="3">
        <f>IF(AND(IF($B$3="(todos)",TRUE,'ORDENES'!$O235=$B$3),IF($D$3="(todos)",TRUE,'ORDENES'!$AC235=$D$3),IF($F$3="(todos)",TRUE,'ORDENES'!$V235=$F$3),'ORDENES'!$AA235=TRUE,'ORDENES'!$A235&lt;&gt;""),1,0)</f>
        <v/>
      </c>
      <c r="L239" s="3">
        <f>IF(K239=1,IFERROR(MATCH('ORDENES'!$R235,lista_dias,0),9)*1000000000+IFERROR(MATCH('ORDENES'!$AC235,lista_turnos,0),9)*10000000+IFERROR(MATCH('ORDENES'!$AB235,'TECNICOS'!$B$4:$B$15,0),99)*100000+232,9000000000000+232)</f>
        <v/>
      </c>
      <c r="M239" s="3">
        <f>IF(K239=1,SUMPRODUCT(--($L$8:$L$1207&lt;L239))+1,"")</f>
        <v/>
      </c>
      <c r="N239" s="17">
        <f>IF(K239=1,N('ORDENES'!$M235),0)</f>
        <v/>
      </c>
      <c r="O239" s="17">
        <f>IF('ORDENES'!$S235="preventiva",N239,0)</f>
        <v/>
      </c>
      <c r="P239" s="17">
        <f>IF('ORDENES'!$S235="correctiva",N239,0)</f>
        <v/>
      </c>
      <c r="Q239" s="3">
        <f>IF(AND(K239=1,'ORDENES'!$N235="Pendiente"),1,0)</f>
        <v/>
      </c>
      <c r="R239" s="3">
        <f>IF(Q239=1,100000-N239*1000+232*0.01,9000000000000+232)</f>
        <v/>
      </c>
      <c r="S239" s="3">
        <f>IF(Q239=1,SUMPRODUCT(--($R$8:$R$1207&lt;R239))+1,"")</f>
        <v/>
      </c>
      <c r="T239" s="11">
        <f>IF(K239=1,'ORDENES'!$J235,"")</f>
        <v/>
      </c>
    </row>
    <row r="240">
      <c r="K240" s="3">
        <f>IF(AND(IF($B$3="(todos)",TRUE,'ORDENES'!$O236=$B$3),IF($D$3="(todos)",TRUE,'ORDENES'!$AC236=$D$3),IF($F$3="(todos)",TRUE,'ORDENES'!$V236=$F$3),'ORDENES'!$AA236=TRUE,'ORDENES'!$A236&lt;&gt;""),1,0)</f>
        <v/>
      </c>
      <c r="L240" s="3">
        <f>IF(K240=1,IFERROR(MATCH('ORDENES'!$R236,lista_dias,0),9)*1000000000+IFERROR(MATCH('ORDENES'!$AC236,lista_turnos,0),9)*10000000+IFERROR(MATCH('ORDENES'!$AB236,'TECNICOS'!$B$4:$B$15,0),99)*100000+233,9000000000000+233)</f>
        <v/>
      </c>
      <c r="M240" s="3">
        <f>IF(K240=1,SUMPRODUCT(--($L$8:$L$1207&lt;L240))+1,"")</f>
        <v/>
      </c>
      <c r="N240" s="17">
        <f>IF(K240=1,N('ORDENES'!$M236),0)</f>
        <v/>
      </c>
      <c r="O240" s="17">
        <f>IF('ORDENES'!$S236="preventiva",N240,0)</f>
        <v/>
      </c>
      <c r="P240" s="17">
        <f>IF('ORDENES'!$S236="correctiva",N240,0)</f>
        <v/>
      </c>
      <c r="Q240" s="3">
        <f>IF(AND(K240=1,'ORDENES'!$N236="Pendiente"),1,0)</f>
        <v/>
      </c>
      <c r="R240" s="3">
        <f>IF(Q240=1,100000-N240*1000+233*0.01,9000000000000+233)</f>
        <v/>
      </c>
      <c r="S240" s="3">
        <f>IF(Q240=1,SUMPRODUCT(--($R$8:$R$1207&lt;R240))+1,"")</f>
        <v/>
      </c>
      <c r="T240" s="11">
        <f>IF(K240=1,'ORDENES'!$J236,"")</f>
        <v/>
      </c>
    </row>
    <row r="241">
      <c r="K241" s="3">
        <f>IF(AND(IF($B$3="(todos)",TRUE,'ORDENES'!$O237=$B$3),IF($D$3="(todos)",TRUE,'ORDENES'!$AC237=$D$3),IF($F$3="(todos)",TRUE,'ORDENES'!$V237=$F$3),'ORDENES'!$AA237=TRUE,'ORDENES'!$A237&lt;&gt;""),1,0)</f>
        <v/>
      </c>
      <c r="L241" s="3">
        <f>IF(K241=1,IFERROR(MATCH('ORDENES'!$R237,lista_dias,0),9)*1000000000+IFERROR(MATCH('ORDENES'!$AC237,lista_turnos,0),9)*10000000+IFERROR(MATCH('ORDENES'!$AB237,'TECNICOS'!$B$4:$B$15,0),99)*100000+234,9000000000000+234)</f>
        <v/>
      </c>
      <c r="M241" s="3">
        <f>IF(K241=1,SUMPRODUCT(--($L$8:$L$1207&lt;L241))+1,"")</f>
        <v/>
      </c>
      <c r="N241" s="17">
        <f>IF(K241=1,N('ORDENES'!$M237),0)</f>
        <v/>
      </c>
      <c r="O241" s="17">
        <f>IF('ORDENES'!$S237="preventiva",N241,0)</f>
        <v/>
      </c>
      <c r="P241" s="17">
        <f>IF('ORDENES'!$S237="correctiva",N241,0)</f>
        <v/>
      </c>
      <c r="Q241" s="3">
        <f>IF(AND(K241=1,'ORDENES'!$N237="Pendiente"),1,0)</f>
        <v/>
      </c>
      <c r="R241" s="3">
        <f>IF(Q241=1,100000-N241*1000+234*0.01,9000000000000+234)</f>
        <v/>
      </c>
      <c r="S241" s="3">
        <f>IF(Q241=1,SUMPRODUCT(--($R$8:$R$1207&lt;R241))+1,"")</f>
        <v/>
      </c>
      <c r="T241" s="11">
        <f>IF(K241=1,'ORDENES'!$J237,"")</f>
        <v/>
      </c>
    </row>
    <row r="242">
      <c r="K242" s="3">
        <f>IF(AND(IF($B$3="(todos)",TRUE,'ORDENES'!$O238=$B$3),IF($D$3="(todos)",TRUE,'ORDENES'!$AC238=$D$3),IF($F$3="(todos)",TRUE,'ORDENES'!$V238=$F$3),'ORDENES'!$AA238=TRUE,'ORDENES'!$A238&lt;&gt;""),1,0)</f>
        <v/>
      </c>
      <c r="L242" s="3">
        <f>IF(K242=1,IFERROR(MATCH('ORDENES'!$R238,lista_dias,0),9)*1000000000+IFERROR(MATCH('ORDENES'!$AC238,lista_turnos,0),9)*10000000+IFERROR(MATCH('ORDENES'!$AB238,'TECNICOS'!$B$4:$B$15,0),99)*100000+235,9000000000000+235)</f>
        <v/>
      </c>
      <c r="M242" s="3">
        <f>IF(K242=1,SUMPRODUCT(--($L$8:$L$1207&lt;L242))+1,"")</f>
        <v/>
      </c>
      <c r="N242" s="17">
        <f>IF(K242=1,N('ORDENES'!$M238),0)</f>
        <v/>
      </c>
      <c r="O242" s="17">
        <f>IF('ORDENES'!$S238="preventiva",N242,0)</f>
        <v/>
      </c>
      <c r="P242" s="17">
        <f>IF('ORDENES'!$S238="correctiva",N242,0)</f>
        <v/>
      </c>
      <c r="Q242" s="3">
        <f>IF(AND(K242=1,'ORDENES'!$N238="Pendiente"),1,0)</f>
        <v/>
      </c>
      <c r="R242" s="3">
        <f>IF(Q242=1,100000-N242*1000+235*0.01,9000000000000+235)</f>
        <v/>
      </c>
      <c r="S242" s="3">
        <f>IF(Q242=1,SUMPRODUCT(--($R$8:$R$1207&lt;R242))+1,"")</f>
        <v/>
      </c>
      <c r="T242" s="11">
        <f>IF(K242=1,'ORDENES'!$J238,"")</f>
        <v/>
      </c>
    </row>
    <row r="243">
      <c r="K243" s="3">
        <f>IF(AND(IF($B$3="(todos)",TRUE,'ORDENES'!$O239=$B$3),IF($D$3="(todos)",TRUE,'ORDENES'!$AC239=$D$3),IF($F$3="(todos)",TRUE,'ORDENES'!$V239=$F$3),'ORDENES'!$AA239=TRUE,'ORDENES'!$A239&lt;&gt;""),1,0)</f>
        <v/>
      </c>
      <c r="L243" s="3">
        <f>IF(K243=1,IFERROR(MATCH('ORDENES'!$R239,lista_dias,0),9)*1000000000+IFERROR(MATCH('ORDENES'!$AC239,lista_turnos,0),9)*10000000+IFERROR(MATCH('ORDENES'!$AB239,'TECNICOS'!$B$4:$B$15,0),99)*100000+236,9000000000000+236)</f>
        <v/>
      </c>
      <c r="M243" s="3">
        <f>IF(K243=1,SUMPRODUCT(--($L$8:$L$1207&lt;L243))+1,"")</f>
        <v/>
      </c>
      <c r="N243" s="17">
        <f>IF(K243=1,N('ORDENES'!$M239),0)</f>
        <v/>
      </c>
      <c r="O243" s="17">
        <f>IF('ORDENES'!$S239="preventiva",N243,0)</f>
        <v/>
      </c>
      <c r="P243" s="17">
        <f>IF('ORDENES'!$S239="correctiva",N243,0)</f>
        <v/>
      </c>
      <c r="Q243" s="3">
        <f>IF(AND(K243=1,'ORDENES'!$N239="Pendiente"),1,0)</f>
        <v/>
      </c>
      <c r="R243" s="3">
        <f>IF(Q243=1,100000-N243*1000+236*0.01,9000000000000+236)</f>
        <v/>
      </c>
      <c r="S243" s="3">
        <f>IF(Q243=1,SUMPRODUCT(--($R$8:$R$1207&lt;R243))+1,"")</f>
        <v/>
      </c>
      <c r="T243" s="11">
        <f>IF(K243=1,'ORDENES'!$J239,"")</f>
        <v/>
      </c>
    </row>
    <row r="244">
      <c r="K244" s="3">
        <f>IF(AND(IF($B$3="(todos)",TRUE,'ORDENES'!$O240=$B$3),IF($D$3="(todos)",TRUE,'ORDENES'!$AC240=$D$3),IF($F$3="(todos)",TRUE,'ORDENES'!$V240=$F$3),'ORDENES'!$AA240=TRUE,'ORDENES'!$A240&lt;&gt;""),1,0)</f>
        <v/>
      </c>
      <c r="L244" s="3">
        <f>IF(K244=1,IFERROR(MATCH('ORDENES'!$R240,lista_dias,0),9)*1000000000+IFERROR(MATCH('ORDENES'!$AC240,lista_turnos,0),9)*10000000+IFERROR(MATCH('ORDENES'!$AB240,'TECNICOS'!$B$4:$B$15,0),99)*100000+237,9000000000000+237)</f>
        <v/>
      </c>
      <c r="M244" s="3">
        <f>IF(K244=1,SUMPRODUCT(--($L$8:$L$1207&lt;L244))+1,"")</f>
        <v/>
      </c>
      <c r="N244" s="17">
        <f>IF(K244=1,N('ORDENES'!$M240),0)</f>
        <v/>
      </c>
      <c r="O244" s="17">
        <f>IF('ORDENES'!$S240="preventiva",N244,0)</f>
        <v/>
      </c>
      <c r="P244" s="17">
        <f>IF('ORDENES'!$S240="correctiva",N244,0)</f>
        <v/>
      </c>
      <c r="Q244" s="3">
        <f>IF(AND(K244=1,'ORDENES'!$N240="Pendiente"),1,0)</f>
        <v/>
      </c>
      <c r="R244" s="3">
        <f>IF(Q244=1,100000-N244*1000+237*0.01,9000000000000+237)</f>
        <v/>
      </c>
      <c r="S244" s="3">
        <f>IF(Q244=1,SUMPRODUCT(--($R$8:$R$1207&lt;R244))+1,"")</f>
        <v/>
      </c>
      <c r="T244" s="11">
        <f>IF(K244=1,'ORDENES'!$J240,"")</f>
        <v/>
      </c>
    </row>
    <row r="245">
      <c r="K245" s="3">
        <f>IF(AND(IF($B$3="(todos)",TRUE,'ORDENES'!$O241=$B$3),IF($D$3="(todos)",TRUE,'ORDENES'!$AC241=$D$3),IF($F$3="(todos)",TRUE,'ORDENES'!$V241=$F$3),'ORDENES'!$AA241=TRUE,'ORDENES'!$A241&lt;&gt;""),1,0)</f>
        <v/>
      </c>
      <c r="L245" s="3">
        <f>IF(K245=1,IFERROR(MATCH('ORDENES'!$R241,lista_dias,0),9)*1000000000+IFERROR(MATCH('ORDENES'!$AC241,lista_turnos,0),9)*10000000+IFERROR(MATCH('ORDENES'!$AB241,'TECNICOS'!$B$4:$B$15,0),99)*100000+238,9000000000000+238)</f>
        <v/>
      </c>
      <c r="M245" s="3">
        <f>IF(K245=1,SUMPRODUCT(--($L$8:$L$1207&lt;L245))+1,"")</f>
        <v/>
      </c>
      <c r="N245" s="17">
        <f>IF(K245=1,N('ORDENES'!$M241),0)</f>
        <v/>
      </c>
      <c r="O245" s="17">
        <f>IF('ORDENES'!$S241="preventiva",N245,0)</f>
        <v/>
      </c>
      <c r="P245" s="17">
        <f>IF('ORDENES'!$S241="correctiva",N245,0)</f>
        <v/>
      </c>
      <c r="Q245" s="3">
        <f>IF(AND(K245=1,'ORDENES'!$N241="Pendiente"),1,0)</f>
        <v/>
      </c>
      <c r="R245" s="3">
        <f>IF(Q245=1,100000-N245*1000+238*0.01,9000000000000+238)</f>
        <v/>
      </c>
      <c r="S245" s="3">
        <f>IF(Q245=1,SUMPRODUCT(--($R$8:$R$1207&lt;R245))+1,"")</f>
        <v/>
      </c>
      <c r="T245" s="11">
        <f>IF(K245=1,'ORDENES'!$J241,"")</f>
        <v/>
      </c>
    </row>
    <row r="246">
      <c r="K246" s="3">
        <f>IF(AND(IF($B$3="(todos)",TRUE,'ORDENES'!$O242=$B$3),IF($D$3="(todos)",TRUE,'ORDENES'!$AC242=$D$3),IF($F$3="(todos)",TRUE,'ORDENES'!$V242=$F$3),'ORDENES'!$AA242=TRUE,'ORDENES'!$A242&lt;&gt;""),1,0)</f>
        <v/>
      </c>
      <c r="L246" s="3">
        <f>IF(K246=1,IFERROR(MATCH('ORDENES'!$R242,lista_dias,0),9)*1000000000+IFERROR(MATCH('ORDENES'!$AC242,lista_turnos,0),9)*10000000+IFERROR(MATCH('ORDENES'!$AB242,'TECNICOS'!$B$4:$B$15,0),99)*100000+239,9000000000000+239)</f>
        <v/>
      </c>
      <c r="M246" s="3">
        <f>IF(K246=1,SUMPRODUCT(--($L$8:$L$1207&lt;L246))+1,"")</f>
        <v/>
      </c>
      <c r="N246" s="17">
        <f>IF(K246=1,N('ORDENES'!$M242),0)</f>
        <v/>
      </c>
      <c r="O246" s="17">
        <f>IF('ORDENES'!$S242="preventiva",N246,0)</f>
        <v/>
      </c>
      <c r="P246" s="17">
        <f>IF('ORDENES'!$S242="correctiva",N246,0)</f>
        <v/>
      </c>
      <c r="Q246" s="3">
        <f>IF(AND(K246=1,'ORDENES'!$N242="Pendiente"),1,0)</f>
        <v/>
      </c>
      <c r="R246" s="3">
        <f>IF(Q246=1,100000-N246*1000+239*0.01,9000000000000+239)</f>
        <v/>
      </c>
      <c r="S246" s="3">
        <f>IF(Q246=1,SUMPRODUCT(--($R$8:$R$1207&lt;R246))+1,"")</f>
        <v/>
      </c>
      <c r="T246" s="11">
        <f>IF(K246=1,'ORDENES'!$J242,"")</f>
        <v/>
      </c>
    </row>
    <row r="247">
      <c r="K247" s="3">
        <f>IF(AND(IF($B$3="(todos)",TRUE,'ORDENES'!$O243=$B$3),IF($D$3="(todos)",TRUE,'ORDENES'!$AC243=$D$3),IF($F$3="(todos)",TRUE,'ORDENES'!$V243=$F$3),'ORDENES'!$AA243=TRUE,'ORDENES'!$A243&lt;&gt;""),1,0)</f>
        <v/>
      </c>
      <c r="L247" s="3">
        <f>IF(K247=1,IFERROR(MATCH('ORDENES'!$R243,lista_dias,0),9)*1000000000+IFERROR(MATCH('ORDENES'!$AC243,lista_turnos,0),9)*10000000+IFERROR(MATCH('ORDENES'!$AB243,'TECNICOS'!$B$4:$B$15,0),99)*100000+240,9000000000000+240)</f>
        <v/>
      </c>
      <c r="M247" s="3">
        <f>IF(K247=1,SUMPRODUCT(--($L$8:$L$1207&lt;L247))+1,"")</f>
        <v/>
      </c>
      <c r="N247" s="17">
        <f>IF(K247=1,N('ORDENES'!$M243),0)</f>
        <v/>
      </c>
      <c r="O247" s="17">
        <f>IF('ORDENES'!$S243="preventiva",N247,0)</f>
        <v/>
      </c>
      <c r="P247" s="17">
        <f>IF('ORDENES'!$S243="correctiva",N247,0)</f>
        <v/>
      </c>
      <c r="Q247" s="3">
        <f>IF(AND(K247=1,'ORDENES'!$N243="Pendiente"),1,0)</f>
        <v/>
      </c>
      <c r="R247" s="3">
        <f>IF(Q247=1,100000-N247*1000+240*0.01,9000000000000+240)</f>
        <v/>
      </c>
      <c r="S247" s="3">
        <f>IF(Q247=1,SUMPRODUCT(--($R$8:$R$1207&lt;R247))+1,"")</f>
        <v/>
      </c>
      <c r="T247" s="11">
        <f>IF(K247=1,'ORDENES'!$J243,"")</f>
        <v/>
      </c>
    </row>
    <row r="248">
      <c r="K248" s="3">
        <f>IF(AND(IF($B$3="(todos)",TRUE,'ORDENES'!$O244=$B$3),IF($D$3="(todos)",TRUE,'ORDENES'!$AC244=$D$3),IF($F$3="(todos)",TRUE,'ORDENES'!$V244=$F$3),'ORDENES'!$AA244=TRUE,'ORDENES'!$A244&lt;&gt;""),1,0)</f>
        <v/>
      </c>
      <c r="L248" s="3">
        <f>IF(K248=1,IFERROR(MATCH('ORDENES'!$R244,lista_dias,0),9)*1000000000+IFERROR(MATCH('ORDENES'!$AC244,lista_turnos,0),9)*10000000+IFERROR(MATCH('ORDENES'!$AB244,'TECNICOS'!$B$4:$B$15,0),99)*100000+241,9000000000000+241)</f>
        <v/>
      </c>
      <c r="M248" s="3">
        <f>IF(K248=1,SUMPRODUCT(--($L$8:$L$1207&lt;L248))+1,"")</f>
        <v/>
      </c>
      <c r="N248" s="17">
        <f>IF(K248=1,N('ORDENES'!$M244),0)</f>
        <v/>
      </c>
      <c r="O248" s="17">
        <f>IF('ORDENES'!$S244="preventiva",N248,0)</f>
        <v/>
      </c>
      <c r="P248" s="17">
        <f>IF('ORDENES'!$S244="correctiva",N248,0)</f>
        <v/>
      </c>
      <c r="Q248" s="3">
        <f>IF(AND(K248=1,'ORDENES'!$N244="Pendiente"),1,0)</f>
        <v/>
      </c>
      <c r="R248" s="3">
        <f>IF(Q248=1,100000-N248*1000+241*0.01,9000000000000+241)</f>
        <v/>
      </c>
      <c r="S248" s="3">
        <f>IF(Q248=1,SUMPRODUCT(--($R$8:$R$1207&lt;R248))+1,"")</f>
        <v/>
      </c>
      <c r="T248" s="11">
        <f>IF(K248=1,'ORDENES'!$J244,"")</f>
        <v/>
      </c>
    </row>
    <row r="249">
      <c r="K249" s="3">
        <f>IF(AND(IF($B$3="(todos)",TRUE,'ORDENES'!$O245=$B$3),IF($D$3="(todos)",TRUE,'ORDENES'!$AC245=$D$3),IF($F$3="(todos)",TRUE,'ORDENES'!$V245=$F$3),'ORDENES'!$AA245=TRUE,'ORDENES'!$A245&lt;&gt;""),1,0)</f>
        <v/>
      </c>
      <c r="L249" s="3">
        <f>IF(K249=1,IFERROR(MATCH('ORDENES'!$R245,lista_dias,0),9)*1000000000+IFERROR(MATCH('ORDENES'!$AC245,lista_turnos,0),9)*10000000+IFERROR(MATCH('ORDENES'!$AB245,'TECNICOS'!$B$4:$B$15,0),99)*100000+242,9000000000000+242)</f>
        <v/>
      </c>
      <c r="M249" s="3">
        <f>IF(K249=1,SUMPRODUCT(--($L$8:$L$1207&lt;L249))+1,"")</f>
        <v/>
      </c>
      <c r="N249" s="17">
        <f>IF(K249=1,N('ORDENES'!$M245),0)</f>
        <v/>
      </c>
      <c r="O249" s="17">
        <f>IF('ORDENES'!$S245="preventiva",N249,0)</f>
        <v/>
      </c>
      <c r="P249" s="17">
        <f>IF('ORDENES'!$S245="correctiva",N249,0)</f>
        <v/>
      </c>
      <c r="Q249" s="3">
        <f>IF(AND(K249=1,'ORDENES'!$N245="Pendiente"),1,0)</f>
        <v/>
      </c>
      <c r="R249" s="3">
        <f>IF(Q249=1,100000-N249*1000+242*0.01,9000000000000+242)</f>
        <v/>
      </c>
      <c r="S249" s="3">
        <f>IF(Q249=1,SUMPRODUCT(--($R$8:$R$1207&lt;R249))+1,"")</f>
        <v/>
      </c>
      <c r="T249" s="11">
        <f>IF(K249=1,'ORDENES'!$J245,"")</f>
        <v/>
      </c>
    </row>
    <row r="250">
      <c r="K250" s="3">
        <f>IF(AND(IF($B$3="(todos)",TRUE,'ORDENES'!$O246=$B$3),IF($D$3="(todos)",TRUE,'ORDENES'!$AC246=$D$3),IF($F$3="(todos)",TRUE,'ORDENES'!$V246=$F$3),'ORDENES'!$AA246=TRUE,'ORDENES'!$A246&lt;&gt;""),1,0)</f>
        <v/>
      </c>
      <c r="L250" s="3">
        <f>IF(K250=1,IFERROR(MATCH('ORDENES'!$R246,lista_dias,0),9)*1000000000+IFERROR(MATCH('ORDENES'!$AC246,lista_turnos,0),9)*10000000+IFERROR(MATCH('ORDENES'!$AB246,'TECNICOS'!$B$4:$B$15,0),99)*100000+243,9000000000000+243)</f>
        <v/>
      </c>
      <c r="M250" s="3">
        <f>IF(K250=1,SUMPRODUCT(--($L$8:$L$1207&lt;L250))+1,"")</f>
        <v/>
      </c>
      <c r="N250" s="17">
        <f>IF(K250=1,N('ORDENES'!$M246),0)</f>
        <v/>
      </c>
      <c r="O250" s="17">
        <f>IF('ORDENES'!$S246="preventiva",N250,0)</f>
        <v/>
      </c>
      <c r="P250" s="17">
        <f>IF('ORDENES'!$S246="correctiva",N250,0)</f>
        <v/>
      </c>
      <c r="Q250" s="3">
        <f>IF(AND(K250=1,'ORDENES'!$N246="Pendiente"),1,0)</f>
        <v/>
      </c>
      <c r="R250" s="3">
        <f>IF(Q250=1,100000-N250*1000+243*0.01,9000000000000+243)</f>
        <v/>
      </c>
      <c r="S250" s="3">
        <f>IF(Q250=1,SUMPRODUCT(--($R$8:$R$1207&lt;R250))+1,"")</f>
        <v/>
      </c>
      <c r="T250" s="11">
        <f>IF(K250=1,'ORDENES'!$J246,"")</f>
        <v/>
      </c>
    </row>
    <row r="251">
      <c r="K251" s="3">
        <f>IF(AND(IF($B$3="(todos)",TRUE,'ORDENES'!$O247=$B$3),IF($D$3="(todos)",TRUE,'ORDENES'!$AC247=$D$3),IF($F$3="(todos)",TRUE,'ORDENES'!$V247=$F$3),'ORDENES'!$AA247=TRUE,'ORDENES'!$A247&lt;&gt;""),1,0)</f>
        <v/>
      </c>
      <c r="L251" s="3">
        <f>IF(K251=1,IFERROR(MATCH('ORDENES'!$R247,lista_dias,0),9)*1000000000+IFERROR(MATCH('ORDENES'!$AC247,lista_turnos,0),9)*10000000+IFERROR(MATCH('ORDENES'!$AB247,'TECNICOS'!$B$4:$B$15,0),99)*100000+244,9000000000000+244)</f>
        <v/>
      </c>
      <c r="M251" s="3">
        <f>IF(K251=1,SUMPRODUCT(--($L$8:$L$1207&lt;L251))+1,"")</f>
        <v/>
      </c>
      <c r="N251" s="17">
        <f>IF(K251=1,N('ORDENES'!$M247),0)</f>
        <v/>
      </c>
      <c r="O251" s="17">
        <f>IF('ORDENES'!$S247="preventiva",N251,0)</f>
        <v/>
      </c>
      <c r="P251" s="17">
        <f>IF('ORDENES'!$S247="correctiva",N251,0)</f>
        <v/>
      </c>
      <c r="Q251" s="3">
        <f>IF(AND(K251=1,'ORDENES'!$N247="Pendiente"),1,0)</f>
        <v/>
      </c>
      <c r="R251" s="3">
        <f>IF(Q251=1,100000-N251*1000+244*0.01,9000000000000+244)</f>
        <v/>
      </c>
      <c r="S251" s="3">
        <f>IF(Q251=1,SUMPRODUCT(--($R$8:$R$1207&lt;R251))+1,"")</f>
        <v/>
      </c>
      <c r="T251" s="11">
        <f>IF(K251=1,'ORDENES'!$J247,"")</f>
        <v/>
      </c>
    </row>
    <row r="252">
      <c r="K252" s="3">
        <f>IF(AND(IF($B$3="(todos)",TRUE,'ORDENES'!$O248=$B$3),IF($D$3="(todos)",TRUE,'ORDENES'!$AC248=$D$3),IF($F$3="(todos)",TRUE,'ORDENES'!$V248=$F$3),'ORDENES'!$AA248=TRUE,'ORDENES'!$A248&lt;&gt;""),1,0)</f>
        <v/>
      </c>
      <c r="L252" s="3">
        <f>IF(K252=1,IFERROR(MATCH('ORDENES'!$R248,lista_dias,0),9)*1000000000+IFERROR(MATCH('ORDENES'!$AC248,lista_turnos,0),9)*10000000+IFERROR(MATCH('ORDENES'!$AB248,'TECNICOS'!$B$4:$B$15,0),99)*100000+245,9000000000000+245)</f>
        <v/>
      </c>
      <c r="M252" s="3">
        <f>IF(K252=1,SUMPRODUCT(--($L$8:$L$1207&lt;L252))+1,"")</f>
        <v/>
      </c>
      <c r="N252" s="17">
        <f>IF(K252=1,N('ORDENES'!$M248),0)</f>
        <v/>
      </c>
      <c r="O252" s="17">
        <f>IF('ORDENES'!$S248="preventiva",N252,0)</f>
        <v/>
      </c>
      <c r="P252" s="17">
        <f>IF('ORDENES'!$S248="correctiva",N252,0)</f>
        <v/>
      </c>
      <c r="Q252" s="3">
        <f>IF(AND(K252=1,'ORDENES'!$N248="Pendiente"),1,0)</f>
        <v/>
      </c>
      <c r="R252" s="3">
        <f>IF(Q252=1,100000-N252*1000+245*0.01,9000000000000+245)</f>
        <v/>
      </c>
      <c r="S252" s="3">
        <f>IF(Q252=1,SUMPRODUCT(--($R$8:$R$1207&lt;R252))+1,"")</f>
        <v/>
      </c>
      <c r="T252" s="11">
        <f>IF(K252=1,'ORDENES'!$J248,"")</f>
        <v/>
      </c>
    </row>
    <row r="253">
      <c r="K253" s="3">
        <f>IF(AND(IF($B$3="(todos)",TRUE,'ORDENES'!$O249=$B$3),IF($D$3="(todos)",TRUE,'ORDENES'!$AC249=$D$3),IF($F$3="(todos)",TRUE,'ORDENES'!$V249=$F$3),'ORDENES'!$AA249=TRUE,'ORDENES'!$A249&lt;&gt;""),1,0)</f>
        <v/>
      </c>
      <c r="L253" s="3">
        <f>IF(K253=1,IFERROR(MATCH('ORDENES'!$R249,lista_dias,0),9)*1000000000+IFERROR(MATCH('ORDENES'!$AC249,lista_turnos,0),9)*10000000+IFERROR(MATCH('ORDENES'!$AB249,'TECNICOS'!$B$4:$B$15,0),99)*100000+246,9000000000000+246)</f>
        <v/>
      </c>
      <c r="M253" s="3">
        <f>IF(K253=1,SUMPRODUCT(--($L$8:$L$1207&lt;L253))+1,"")</f>
        <v/>
      </c>
      <c r="N253" s="17">
        <f>IF(K253=1,N('ORDENES'!$M249),0)</f>
        <v/>
      </c>
      <c r="O253" s="17">
        <f>IF('ORDENES'!$S249="preventiva",N253,0)</f>
        <v/>
      </c>
      <c r="P253" s="17">
        <f>IF('ORDENES'!$S249="correctiva",N253,0)</f>
        <v/>
      </c>
      <c r="Q253" s="3">
        <f>IF(AND(K253=1,'ORDENES'!$N249="Pendiente"),1,0)</f>
        <v/>
      </c>
      <c r="R253" s="3">
        <f>IF(Q253=1,100000-N253*1000+246*0.01,9000000000000+246)</f>
        <v/>
      </c>
      <c r="S253" s="3">
        <f>IF(Q253=1,SUMPRODUCT(--($R$8:$R$1207&lt;R253))+1,"")</f>
        <v/>
      </c>
      <c r="T253" s="11">
        <f>IF(K253=1,'ORDENES'!$J249,"")</f>
        <v/>
      </c>
    </row>
    <row r="254">
      <c r="K254" s="3">
        <f>IF(AND(IF($B$3="(todos)",TRUE,'ORDENES'!$O250=$B$3),IF($D$3="(todos)",TRUE,'ORDENES'!$AC250=$D$3),IF($F$3="(todos)",TRUE,'ORDENES'!$V250=$F$3),'ORDENES'!$AA250=TRUE,'ORDENES'!$A250&lt;&gt;""),1,0)</f>
        <v/>
      </c>
      <c r="L254" s="3">
        <f>IF(K254=1,IFERROR(MATCH('ORDENES'!$R250,lista_dias,0),9)*1000000000+IFERROR(MATCH('ORDENES'!$AC250,lista_turnos,0),9)*10000000+IFERROR(MATCH('ORDENES'!$AB250,'TECNICOS'!$B$4:$B$15,0),99)*100000+247,9000000000000+247)</f>
        <v/>
      </c>
      <c r="M254" s="3">
        <f>IF(K254=1,SUMPRODUCT(--($L$8:$L$1207&lt;L254))+1,"")</f>
        <v/>
      </c>
      <c r="N254" s="17">
        <f>IF(K254=1,N('ORDENES'!$M250),0)</f>
        <v/>
      </c>
      <c r="O254" s="17">
        <f>IF('ORDENES'!$S250="preventiva",N254,0)</f>
        <v/>
      </c>
      <c r="P254" s="17">
        <f>IF('ORDENES'!$S250="correctiva",N254,0)</f>
        <v/>
      </c>
      <c r="Q254" s="3">
        <f>IF(AND(K254=1,'ORDENES'!$N250="Pendiente"),1,0)</f>
        <v/>
      </c>
      <c r="R254" s="3">
        <f>IF(Q254=1,100000-N254*1000+247*0.01,9000000000000+247)</f>
        <v/>
      </c>
      <c r="S254" s="3">
        <f>IF(Q254=1,SUMPRODUCT(--($R$8:$R$1207&lt;R254))+1,"")</f>
        <v/>
      </c>
      <c r="T254" s="11">
        <f>IF(K254=1,'ORDENES'!$J250,"")</f>
        <v/>
      </c>
    </row>
    <row r="255">
      <c r="K255" s="3">
        <f>IF(AND(IF($B$3="(todos)",TRUE,'ORDENES'!$O251=$B$3),IF($D$3="(todos)",TRUE,'ORDENES'!$AC251=$D$3),IF($F$3="(todos)",TRUE,'ORDENES'!$V251=$F$3),'ORDENES'!$AA251=TRUE,'ORDENES'!$A251&lt;&gt;""),1,0)</f>
        <v/>
      </c>
      <c r="L255" s="3">
        <f>IF(K255=1,IFERROR(MATCH('ORDENES'!$R251,lista_dias,0),9)*1000000000+IFERROR(MATCH('ORDENES'!$AC251,lista_turnos,0),9)*10000000+IFERROR(MATCH('ORDENES'!$AB251,'TECNICOS'!$B$4:$B$15,0),99)*100000+248,9000000000000+248)</f>
        <v/>
      </c>
      <c r="M255" s="3">
        <f>IF(K255=1,SUMPRODUCT(--($L$8:$L$1207&lt;L255))+1,"")</f>
        <v/>
      </c>
      <c r="N255" s="17">
        <f>IF(K255=1,N('ORDENES'!$M251),0)</f>
        <v/>
      </c>
      <c r="O255" s="17">
        <f>IF('ORDENES'!$S251="preventiva",N255,0)</f>
        <v/>
      </c>
      <c r="P255" s="17">
        <f>IF('ORDENES'!$S251="correctiva",N255,0)</f>
        <v/>
      </c>
      <c r="Q255" s="3">
        <f>IF(AND(K255=1,'ORDENES'!$N251="Pendiente"),1,0)</f>
        <v/>
      </c>
      <c r="R255" s="3">
        <f>IF(Q255=1,100000-N255*1000+248*0.01,9000000000000+248)</f>
        <v/>
      </c>
      <c r="S255" s="3">
        <f>IF(Q255=1,SUMPRODUCT(--($R$8:$R$1207&lt;R255))+1,"")</f>
        <v/>
      </c>
      <c r="T255" s="11">
        <f>IF(K255=1,'ORDENES'!$J251,"")</f>
        <v/>
      </c>
    </row>
    <row r="256">
      <c r="K256" s="3">
        <f>IF(AND(IF($B$3="(todos)",TRUE,'ORDENES'!$O252=$B$3),IF($D$3="(todos)",TRUE,'ORDENES'!$AC252=$D$3),IF($F$3="(todos)",TRUE,'ORDENES'!$V252=$F$3),'ORDENES'!$AA252=TRUE,'ORDENES'!$A252&lt;&gt;""),1,0)</f>
        <v/>
      </c>
      <c r="L256" s="3">
        <f>IF(K256=1,IFERROR(MATCH('ORDENES'!$R252,lista_dias,0),9)*1000000000+IFERROR(MATCH('ORDENES'!$AC252,lista_turnos,0),9)*10000000+IFERROR(MATCH('ORDENES'!$AB252,'TECNICOS'!$B$4:$B$15,0),99)*100000+249,9000000000000+249)</f>
        <v/>
      </c>
      <c r="M256" s="3">
        <f>IF(K256=1,SUMPRODUCT(--($L$8:$L$1207&lt;L256))+1,"")</f>
        <v/>
      </c>
      <c r="N256" s="17">
        <f>IF(K256=1,N('ORDENES'!$M252),0)</f>
        <v/>
      </c>
      <c r="O256" s="17">
        <f>IF('ORDENES'!$S252="preventiva",N256,0)</f>
        <v/>
      </c>
      <c r="P256" s="17">
        <f>IF('ORDENES'!$S252="correctiva",N256,0)</f>
        <v/>
      </c>
      <c r="Q256" s="3">
        <f>IF(AND(K256=1,'ORDENES'!$N252="Pendiente"),1,0)</f>
        <v/>
      </c>
      <c r="R256" s="3">
        <f>IF(Q256=1,100000-N256*1000+249*0.01,9000000000000+249)</f>
        <v/>
      </c>
      <c r="S256" s="3">
        <f>IF(Q256=1,SUMPRODUCT(--($R$8:$R$1207&lt;R256))+1,"")</f>
        <v/>
      </c>
      <c r="T256" s="11">
        <f>IF(K256=1,'ORDENES'!$J252,"")</f>
        <v/>
      </c>
    </row>
    <row r="257">
      <c r="K257" s="3">
        <f>IF(AND(IF($B$3="(todos)",TRUE,'ORDENES'!$O253=$B$3),IF($D$3="(todos)",TRUE,'ORDENES'!$AC253=$D$3),IF($F$3="(todos)",TRUE,'ORDENES'!$V253=$F$3),'ORDENES'!$AA253=TRUE,'ORDENES'!$A253&lt;&gt;""),1,0)</f>
        <v/>
      </c>
      <c r="L257" s="3">
        <f>IF(K257=1,IFERROR(MATCH('ORDENES'!$R253,lista_dias,0),9)*1000000000+IFERROR(MATCH('ORDENES'!$AC253,lista_turnos,0),9)*10000000+IFERROR(MATCH('ORDENES'!$AB253,'TECNICOS'!$B$4:$B$15,0),99)*100000+250,9000000000000+250)</f>
        <v/>
      </c>
      <c r="M257" s="3">
        <f>IF(K257=1,SUMPRODUCT(--($L$8:$L$1207&lt;L257))+1,"")</f>
        <v/>
      </c>
      <c r="N257" s="17">
        <f>IF(K257=1,N('ORDENES'!$M253),0)</f>
        <v/>
      </c>
      <c r="O257" s="17">
        <f>IF('ORDENES'!$S253="preventiva",N257,0)</f>
        <v/>
      </c>
      <c r="P257" s="17">
        <f>IF('ORDENES'!$S253="correctiva",N257,0)</f>
        <v/>
      </c>
      <c r="Q257" s="3">
        <f>IF(AND(K257=1,'ORDENES'!$N253="Pendiente"),1,0)</f>
        <v/>
      </c>
      <c r="R257" s="3">
        <f>IF(Q257=1,100000-N257*1000+250*0.01,9000000000000+250)</f>
        <v/>
      </c>
      <c r="S257" s="3">
        <f>IF(Q257=1,SUMPRODUCT(--($R$8:$R$1207&lt;R257))+1,"")</f>
        <v/>
      </c>
      <c r="T257" s="11">
        <f>IF(K257=1,'ORDENES'!$J253,"")</f>
        <v/>
      </c>
    </row>
    <row r="258">
      <c r="K258" s="3">
        <f>IF(AND(IF($B$3="(todos)",TRUE,'ORDENES'!$O254=$B$3),IF($D$3="(todos)",TRUE,'ORDENES'!$AC254=$D$3),IF($F$3="(todos)",TRUE,'ORDENES'!$V254=$F$3),'ORDENES'!$AA254=TRUE,'ORDENES'!$A254&lt;&gt;""),1,0)</f>
        <v/>
      </c>
      <c r="L258" s="3">
        <f>IF(K258=1,IFERROR(MATCH('ORDENES'!$R254,lista_dias,0),9)*1000000000+IFERROR(MATCH('ORDENES'!$AC254,lista_turnos,0),9)*10000000+IFERROR(MATCH('ORDENES'!$AB254,'TECNICOS'!$B$4:$B$15,0),99)*100000+251,9000000000000+251)</f>
        <v/>
      </c>
      <c r="M258" s="3">
        <f>IF(K258=1,SUMPRODUCT(--($L$8:$L$1207&lt;L258))+1,"")</f>
        <v/>
      </c>
      <c r="N258" s="17">
        <f>IF(K258=1,N('ORDENES'!$M254),0)</f>
        <v/>
      </c>
      <c r="O258" s="17">
        <f>IF('ORDENES'!$S254="preventiva",N258,0)</f>
        <v/>
      </c>
      <c r="P258" s="17">
        <f>IF('ORDENES'!$S254="correctiva",N258,0)</f>
        <v/>
      </c>
      <c r="Q258" s="3">
        <f>IF(AND(K258=1,'ORDENES'!$N254="Pendiente"),1,0)</f>
        <v/>
      </c>
      <c r="R258" s="3">
        <f>IF(Q258=1,100000-N258*1000+251*0.01,9000000000000+251)</f>
        <v/>
      </c>
      <c r="S258" s="3">
        <f>IF(Q258=1,SUMPRODUCT(--($R$8:$R$1207&lt;R258))+1,"")</f>
        <v/>
      </c>
      <c r="T258" s="11">
        <f>IF(K258=1,'ORDENES'!$J254,"")</f>
        <v/>
      </c>
    </row>
    <row r="259">
      <c r="K259" s="3">
        <f>IF(AND(IF($B$3="(todos)",TRUE,'ORDENES'!$O255=$B$3),IF($D$3="(todos)",TRUE,'ORDENES'!$AC255=$D$3),IF($F$3="(todos)",TRUE,'ORDENES'!$V255=$F$3),'ORDENES'!$AA255=TRUE,'ORDENES'!$A255&lt;&gt;""),1,0)</f>
        <v/>
      </c>
      <c r="L259" s="3">
        <f>IF(K259=1,IFERROR(MATCH('ORDENES'!$R255,lista_dias,0),9)*1000000000+IFERROR(MATCH('ORDENES'!$AC255,lista_turnos,0),9)*10000000+IFERROR(MATCH('ORDENES'!$AB255,'TECNICOS'!$B$4:$B$15,0),99)*100000+252,9000000000000+252)</f>
        <v/>
      </c>
      <c r="M259" s="3">
        <f>IF(K259=1,SUMPRODUCT(--($L$8:$L$1207&lt;L259))+1,"")</f>
        <v/>
      </c>
      <c r="N259" s="17">
        <f>IF(K259=1,N('ORDENES'!$M255),0)</f>
        <v/>
      </c>
      <c r="O259" s="17">
        <f>IF('ORDENES'!$S255="preventiva",N259,0)</f>
        <v/>
      </c>
      <c r="P259" s="17">
        <f>IF('ORDENES'!$S255="correctiva",N259,0)</f>
        <v/>
      </c>
      <c r="Q259" s="3">
        <f>IF(AND(K259=1,'ORDENES'!$N255="Pendiente"),1,0)</f>
        <v/>
      </c>
      <c r="R259" s="3">
        <f>IF(Q259=1,100000-N259*1000+252*0.01,9000000000000+252)</f>
        <v/>
      </c>
      <c r="S259" s="3">
        <f>IF(Q259=1,SUMPRODUCT(--($R$8:$R$1207&lt;R259))+1,"")</f>
        <v/>
      </c>
      <c r="T259" s="11">
        <f>IF(K259=1,'ORDENES'!$J255,"")</f>
        <v/>
      </c>
    </row>
    <row r="260">
      <c r="K260" s="3">
        <f>IF(AND(IF($B$3="(todos)",TRUE,'ORDENES'!$O256=$B$3),IF($D$3="(todos)",TRUE,'ORDENES'!$AC256=$D$3),IF($F$3="(todos)",TRUE,'ORDENES'!$V256=$F$3),'ORDENES'!$AA256=TRUE,'ORDENES'!$A256&lt;&gt;""),1,0)</f>
        <v/>
      </c>
      <c r="L260" s="3">
        <f>IF(K260=1,IFERROR(MATCH('ORDENES'!$R256,lista_dias,0),9)*1000000000+IFERROR(MATCH('ORDENES'!$AC256,lista_turnos,0),9)*10000000+IFERROR(MATCH('ORDENES'!$AB256,'TECNICOS'!$B$4:$B$15,0),99)*100000+253,9000000000000+253)</f>
        <v/>
      </c>
      <c r="M260" s="3">
        <f>IF(K260=1,SUMPRODUCT(--($L$8:$L$1207&lt;L260))+1,"")</f>
        <v/>
      </c>
      <c r="N260" s="17">
        <f>IF(K260=1,N('ORDENES'!$M256),0)</f>
        <v/>
      </c>
      <c r="O260" s="17">
        <f>IF('ORDENES'!$S256="preventiva",N260,0)</f>
        <v/>
      </c>
      <c r="P260" s="17">
        <f>IF('ORDENES'!$S256="correctiva",N260,0)</f>
        <v/>
      </c>
      <c r="Q260" s="3">
        <f>IF(AND(K260=1,'ORDENES'!$N256="Pendiente"),1,0)</f>
        <v/>
      </c>
      <c r="R260" s="3">
        <f>IF(Q260=1,100000-N260*1000+253*0.01,9000000000000+253)</f>
        <v/>
      </c>
      <c r="S260" s="3">
        <f>IF(Q260=1,SUMPRODUCT(--($R$8:$R$1207&lt;R260))+1,"")</f>
        <v/>
      </c>
      <c r="T260" s="11">
        <f>IF(K260=1,'ORDENES'!$J256,"")</f>
        <v/>
      </c>
    </row>
    <row r="261">
      <c r="K261" s="3">
        <f>IF(AND(IF($B$3="(todos)",TRUE,'ORDENES'!$O257=$B$3),IF($D$3="(todos)",TRUE,'ORDENES'!$AC257=$D$3),IF($F$3="(todos)",TRUE,'ORDENES'!$V257=$F$3),'ORDENES'!$AA257=TRUE,'ORDENES'!$A257&lt;&gt;""),1,0)</f>
        <v/>
      </c>
      <c r="L261" s="3">
        <f>IF(K261=1,IFERROR(MATCH('ORDENES'!$R257,lista_dias,0),9)*1000000000+IFERROR(MATCH('ORDENES'!$AC257,lista_turnos,0),9)*10000000+IFERROR(MATCH('ORDENES'!$AB257,'TECNICOS'!$B$4:$B$15,0),99)*100000+254,9000000000000+254)</f>
        <v/>
      </c>
      <c r="M261" s="3">
        <f>IF(K261=1,SUMPRODUCT(--($L$8:$L$1207&lt;L261))+1,"")</f>
        <v/>
      </c>
      <c r="N261" s="17">
        <f>IF(K261=1,N('ORDENES'!$M257),0)</f>
        <v/>
      </c>
      <c r="O261" s="17">
        <f>IF('ORDENES'!$S257="preventiva",N261,0)</f>
        <v/>
      </c>
      <c r="P261" s="17">
        <f>IF('ORDENES'!$S257="correctiva",N261,0)</f>
        <v/>
      </c>
      <c r="Q261" s="3">
        <f>IF(AND(K261=1,'ORDENES'!$N257="Pendiente"),1,0)</f>
        <v/>
      </c>
      <c r="R261" s="3">
        <f>IF(Q261=1,100000-N261*1000+254*0.01,9000000000000+254)</f>
        <v/>
      </c>
      <c r="S261" s="3">
        <f>IF(Q261=1,SUMPRODUCT(--($R$8:$R$1207&lt;R261))+1,"")</f>
        <v/>
      </c>
      <c r="T261" s="11">
        <f>IF(K261=1,'ORDENES'!$J257,"")</f>
        <v/>
      </c>
    </row>
    <row r="262">
      <c r="K262" s="3">
        <f>IF(AND(IF($B$3="(todos)",TRUE,'ORDENES'!$O258=$B$3),IF($D$3="(todos)",TRUE,'ORDENES'!$AC258=$D$3),IF($F$3="(todos)",TRUE,'ORDENES'!$V258=$F$3),'ORDENES'!$AA258=TRUE,'ORDENES'!$A258&lt;&gt;""),1,0)</f>
        <v/>
      </c>
      <c r="L262" s="3">
        <f>IF(K262=1,IFERROR(MATCH('ORDENES'!$R258,lista_dias,0),9)*1000000000+IFERROR(MATCH('ORDENES'!$AC258,lista_turnos,0),9)*10000000+IFERROR(MATCH('ORDENES'!$AB258,'TECNICOS'!$B$4:$B$15,0),99)*100000+255,9000000000000+255)</f>
        <v/>
      </c>
      <c r="M262" s="3">
        <f>IF(K262=1,SUMPRODUCT(--($L$8:$L$1207&lt;L262))+1,"")</f>
        <v/>
      </c>
      <c r="N262" s="17">
        <f>IF(K262=1,N('ORDENES'!$M258),0)</f>
        <v/>
      </c>
      <c r="O262" s="17">
        <f>IF('ORDENES'!$S258="preventiva",N262,0)</f>
        <v/>
      </c>
      <c r="P262" s="17">
        <f>IF('ORDENES'!$S258="correctiva",N262,0)</f>
        <v/>
      </c>
      <c r="Q262" s="3">
        <f>IF(AND(K262=1,'ORDENES'!$N258="Pendiente"),1,0)</f>
        <v/>
      </c>
      <c r="R262" s="3">
        <f>IF(Q262=1,100000-N262*1000+255*0.01,9000000000000+255)</f>
        <v/>
      </c>
      <c r="S262" s="3">
        <f>IF(Q262=1,SUMPRODUCT(--($R$8:$R$1207&lt;R262))+1,"")</f>
        <v/>
      </c>
      <c r="T262" s="11">
        <f>IF(K262=1,'ORDENES'!$J258,"")</f>
        <v/>
      </c>
    </row>
    <row r="263">
      <c r="K263" s="3">
        <f>IF(AND(IF($B$3="(todos)",TRUE,'ORDENES'!$O259=$B$3),IF($D$3="(todos)",TRUE,'ORDENES'!$AC259=$D$3),IF($F$3="(todos)",TRUE,'ORDENES'!$V259=$F$3),'ORDENES'!$AA259=TRUE,'ORDENES'!$A259&lt;&gt;""),1,0)</f>
        <v/>
      </c>
      <c r="L263" s="3">
        <f>IF(K263=1,IFERROR(MATCH('ORDENES'!$R259,lista_dias,0),9)*1000000000+IFERROR(MATCH('ORDENES'!$AC259,lista_turnos,0),9)*10000000+IFERROR(MATCH('ORDENES'!$AB259,'TECNICOS'!$B$4:$B$15,0),99)*100000+256,9000000000000+256)</f>
        <v/>
      </c>
      <c r="M263" s="3">
        <f>IF(K263=1,SUMPRODUCT(--($L$8:$L$1207&lt;L263))+1,"")</f>
        <v/>
      </c>
      <c r="N263" s="17">
        <f>IF(K263=1,N('ORDENES'!$M259),0)</f>
        <v/>
      </c>
      <c r="O263" s="17">
        <f>IF('ORDENES'!$S259="preventiva",N263,0)</f>
        <v/>
      </c>
      <c r="P263" s="17">
        <f>IF('ORDENES'!$S259="correctiva",N263,0)</f>
        <v/>
      </c>
      <c r="Q263" s="3">
        <f>IF(AND(K263=1,'ORDENES'!$N259="Pendiente"),1,0)</f>
        <v/>
      </c>
      <c r="R263" s="3">
        <f>IF(Q263=1,100000-N263*1000+256*0.01,9000000000000+256)</f>
        <v/>
      </c>
      <c r="S263" s="3">
        <f>IF(Q263=1,SUMPRODUCT(--($R$8:$R$1207&lt;R263))+1,"")</f>
        <v/>
      </c>
      <c r="T263" s="11">
        <f>IF(K263=1,'ORDENES'!$J259,"")</f>
        <v/>
      </c>
    </row>
    <row r="264">
      <c r="K264" s="3">
        <f>IF(AND(IF($B$3="(todos)",TRUE,'ORDENES'!$O260=$B$3),IF($D$3="(todos)",TRUE,'ORDENES'!$AC260=$D$3),IF($F$3="(todos)",TRUE,'ORDENES'!$V260=$F$3),'ORDENES'!$AA260=TRUE,'ORDENES'!$A260&lt;&gt;""),1,0)</f>
        <v/>
      </c>
      <c r="L264" s="3">
        <f>IF(K264=1,IFERROR(MATCH('ORDENES'!$R260,lista_dias,0),9)*1000000000+IFERROR(MATCH('ORDENES'!$AC260,lista_turnos,0),9)*10000000+IFERROR(MATCH('ORDENES'!$AB260,'TECNICOS'!$B$4:$B$15,0),99)*100000+257,9000000000000+257)</f>
        <v/>
      </c>
      <c r="M264" s="3">
        <f>IF(K264=1,SUMPRODUCT(--($L$8:$L$1207&lt;L264))+1,"")</f>
        <v/>
      </c>
      <c r="N264" s="17">
        <f>IF(K264=1,N('ORDENES'!$M260),0)</f>
        <v/>
      </c>
      <c r="O264" s="17">
        <f>IF('ORDENES'!$S260="preventiva",N264,0)</f>
        <v/>
      </c>
      <c r="P264" s="17">
        <f>IF('ORDENES'!$S260="correctiva",N264,0)</f>
        <v/>
      </c>
      <c r="Q264" s="3">
        <f>IF(AND(K264=1,'ORDENES'!$N260="Pendiente"),1,0)</f>
        <v/>
      </c>
      <c r="R264" s="3">
        <f>IF(Q264=1,100000-N264*1000+257*0.01,9000000000000+257)</f>
        <v/>
      </c>
      <c r="S264" s="3">
        <f>IF(Q264=1,SUMPRODUCT(--($R$8:$R$1207&lt;R264))+1,"")</f>
        <v/>
      </c>
      <c r="T264" s="11">
        <f>IF(K264=1,'ORDENES'!$J260,"")</f>
        <v/>
      </c>
    </row>
    <row r="265">
      <c r="K265" s="3">
        <f>IF(AND(IF($B$3="(todos)",TRUE,'ORDENES'!$O261=$B$3),IF($D$3="(todos)",TRUE,'ORDENES'!$AC261=$D$3),IF($F$3="(todos)",TRUE,'ORDENES'!$V261=$F$3),'ORDENES'!$AA261=TRUE,'ORDENES'!$A261&lt;&gt;""),1,0)</f>
        <v/>
      </c>
      <c r="L265" s="3">
        <f>IF(K265=1,IFERROR(MATCH('ORDENES'!$R261,lista_dias,0),9)*1000000000+IFERROR(MATCH('ORDENES'!$AC261,lista_turnos,0),9)*10000000+IFERROR(MATCH('ORDENES'!$AB261,'TECNICOS'!$B$4:$B$15,0),99)*100000+258,9000000000000+258)</f>
        <v/>
      </c>
      <c r="M265" s="3">
        <f>IF(K265=1,SUMPRODUCT(--($L$8:$L$1207&lt;L265))+1,"")</f>
        <v/>
      </c>
      <c r="N265" s="17">
        <f>IF(K265=1,N('ORDENES'!$M261),0)</f>
        <v/>
      </c>
      <c r="O265" s="17">
        <f>IF('ORDENES'!$S261="preventiva",N265,0)</f>
        <v/>
      </c>
      <c r="P265" s="17">
        <f>IF('ORDENES'!$S261="correctiva",N265,0)</f>
        <v/>
      </c>
      <c r="Q265" s="3">
        <f>IF(AND(K265=1,'ORDENES'!$N261="Pendiente"),1,0)</f>
        <v/>
      </c>
      <c r="R265" s="3">
        <f>IF(Q265=1,100000-N265*1000+258*0.01,9000000000000+258)</f>
        <v/>
      </c>
      <c r="S265" s="3">
        <f>IF(Q265=1,SUMPRODUCT(--($R$8:$R$1207&lt;R265))+1,"")</f>
        <v/>
      </c>
      <c r="T265" s="11">
        <f>IF(K265=1,'ORDENES'!$J261,"")</f>
        <v/>
      </c>
    </row>
    <row r="266">
      <c r="K266" s="3">
        <f>IF(AND(IF($B$3="(todos)",TRUE,'ORDENES'!$O262=$B$3),IF($D$3="(todos)",TRUE,'ORDENES'!$AC262=$D$3),IF($F$3="(todos)",TRUE,'ORDENES'!$V262=$F$3),'ORDENES'!$AA262=TRUE,'ORDENES'!$A262&lt;&gt;""),1,0)</f>
        <v/>
      </c>
      <c r="L266" s="3">
        <f>IF(K266=1,IFERROR(MATCH('ORDENES'!$R262,lista_dias,0),9)*1000000000+IFERROR(MATCH('ORDENES'!$AC262,lista_turnos,0),9)*10000000+IFERROR(MATCH('ORDENES'!$AB262,'TECNICOS'!$B$4:$B$15,0),99)*100000+259,9000000000000+259)</f>
        <v/>
      </c>
      <c r="M266" s="3">
        <f>IF(K266=1,SUMPRODUCT(--($L$8:$L$1207&lt;L266))+1,"")</f>
        <v/>
      </c>
      <c r="N266" s="17">
        <f>IF(K266=1,N('ORDENES'!$M262),0)</f>
        <v/>
      </c>
      <c r="O266" s="17">
        <f>IF('ORDENES'!$S262="preventiva",N266,0)</f>
        <v/>
      </c>
      <c r="P266" s="17">
        <f>IF('ORDENES'!$S262="correctiva",N266,0)</f>
        <v/>
      </c>
      <c r="Q266" s="3">
        <f>IF(AND(K266=1,'ORDENES'!$N262="Pendiente"),1,0)</f>
        <v/>
      </c>
      <c r="R266" s="3">
        <f>IF(Q266=1,100000-N266*1000+259*0.01,9000000000000+259)</f>
        <v/>
      </c>
      <c r="S266" s="3">
        <f>IF(Q266=1,SUMPRODUCT(--($R$8:$R$1207&lt;R266))+1,"")</f>
        <v/>
      </c>
      <c r="T266" s="11">
        <f>IF(K266=1,'ORDENES'!$J262,"")</f>
        <v/>
      </c>
    </row>
    <row r="267">
      <c r="K267" s="3">
        <f>IF(AND(IF($B$3="(todos)",TRUE,'ORDENES'!$O263=$B$3),IF($D$3="(todos)",TRUE,'ORDENES'!$AC263=$D$3),IF($F$3="(todos)",TRUE,'ORDENES'!$V263=$F$3),'ORDENES'!$AA263=TRUE,'ORDENES'!$A263&lt;&gt;""),1,0)</f>
        <v/>
      </c>
      <c r="L267" s="3">
        <f>IF(K267=1,IFERROR(MATCH('ORDENES'!$R263,lista_dias,0),9)*1000000000+IFERROR(MATCH('ORDENES'!$AC263,lista_turnos,0),9)*10000000+IFERROR(MATCH('ORDENES'!$AB263,'TECNICOS'!$B$4:$B$15,0),99)*100000+260,9000000000000+260)</f>
        <v/>
      </c>
      <c r="M267" s="3">
        <f>IF(K267=1,SUMPRODUCT(--($L$8:$L$1207&lt;L267))+1,"")</f>
        <v/>
      </c>
      <c r="N267" s="17">
        <f>IF(K267=1,N('ORDENES'!$M263),0)</f>
        <v/>
      </c>
      <c r="O267" s="17">
        <f>IF('ORDENES'!$S263="preventiva",N267,0)</f>
        <v/>
      </c>
      <c r="P267" s="17">
        <f>IF('ORDENES'!$S263="correctiva",N267,0)</f>
        <v/>
      </c>
      <c r="Q267" s="3">
        <f>IF(AND(K267=1,'ORDENES'!$N263="Pendiente"),1,0)</f>
        <v/>
      </c>
      <c r="R267" s="3">
        <f>IF(Q267=1,100000-N267*1000+260*0.01,9000000000000+260)</f>
        <v/>
      </c>
      <c r="S267" s="3">
        <f>IF(Q267=1,SUMPRODUCT(--($R$8:$R$1207&lt;R267))+1,"")</f>
        <v/>
      </c>
      <c r="T267" s="11">
        <f>IF(K267=1,'ORDENES'!$J263,"")</f>
        <v/>
      </c>
    </row>
    <row r="268">
      <c r="K268" s="3">
        <f>IF(AND(IF($B$3="(todos)",TRUE,'ORDENES'!$O264=$B$3),IF($D$3="(todos)",TRUE,'ORDENES'!$AC264=$D$3),IF($F$3="(todos)",TRUE,'ORDENES'!$V264=$F$3),'ORDENES'!$AA264=TRUE,'ORDENES'!$A264&lt;&gt;""),1,0)</f>
        <v/>
      </c>
      <c r="L268" s="3">
        <f>IF(K268=1,IFERROR(MATCH('ORDENES'!$R264,lista_dias,0),9)*1000000000+IFERROR(MATCH('ORDENES'!$AC264,lista_turnos,0),9)*10000000+IFERROR(MATCH('ORDENES'!$AB264,'TECNICOS'!$B$4:$B$15,0),99)*100000+261,9000000000000+261)</f>
        <v/>
      </c>
      <c r="M268" s="3">
        <f>IF(K268=1,SUMPRODUCT(--($L$8:$L$1207&lt;L268))+1,"")</f>
        <v/>
      </c>
      <c r="N268" s="17">
        <f>IF(K268=1,N('ORDENES'!$M264),0)</f>
        <v/>
      </c>
      <c r="O268" s="17">
        <f>IF('ORDENES'!$S264="preventiva",N268,0)</f>
        <v/>
      </c>
      <c r="P268" s="17">
        <f>IF('ORDENES'!$S264="correctiva",N268,0)</f>
        <v/>
      </c>
      <c r="Q268" s="3">
        <f>IF(AND(K268=1,'ORDENES'!$N264="Pendiente"),1,0)</f>
        <v/>
      </c>
      <c r="R268" s="3">
        <f>IF(Q268=1,100000-N268*1000+261*0.01,9000000000000+261)</f>
        <v/>
      </c>
      <c r="S268" s="3">
        <f>IF(Q268=1,SUMPRODUCT(--($R$8:$R$1207&lt;R268))+1,"")</f>
        <v/>
      </c>
      <c r="T268" s="11">
        <f>IF(K268=1,'ORDENES'!$J264,"")</f>
        <v/>
      </c>
    </row>
    <row r="269">
      <c r="K269" s="3">
        <f>IF(AND(IF($B$3="(todos)",TRUE,'ORDENES'!$O265=$B$3),IF($D$3="(todos)",TRUE,'ORDENES'!$AC265=$D$3),IF($F$3="(todos)",TRUE,'ORDENES'!$V265=$F$3),'ORDENES'!$AA265=TRUE,'ORDENES'!$A265&lt;&gt;""),1,0)</f>
        <v/>
      </c>
      <c r="L269" s="3">
        <f>IF(K269=1,IFERROR(MATCH('ORDENES'!$R265,lista_dias,0),9)*1000000000+IFERROR(MATCH('ORDENES'!$AC265,lista_turnos,0),9)*10000000+IFERROR(MATCH('ORDENES'!$AB265,'TECNICOS'!$B$4:$B$15,0),99)*100000+262,9000000000000+262)</f>
        <v/>
      </c>
      <c r="M269" s="3">
        <f>IF(K269=1,SUMPRODUCT(--($L$8:$L$1207&lt;L269))+1,"")</f>
        <v/>
      </c>
      <c r="N269" s="17">
        <f>IF(K269=1,N('ORDENES'!$M265),0)</f>
        <v/>
      </c>
      <c r="O269" s="17">
        <f>IF('ORDENES'!$S265="preventiva",N269,0)</f>
        <v/>
      </c>
      <c r="P269" s="17">
        <f>IF('ORDENES'!$S265="correctiva",N269,0)</f>
        <v/>
      </c>
      <c r="Q269" s="3">
        <f>IF(AND(K269=1,'ORDENES'!$N265="Pendiente"),1,0)</f>
        <v/>
      </c>
      <c r="R269" s="3">
        <f>IF(Q269=1,100000-N269*1000+262*0.01,9000000000000+262)</f>
        <v/>
      </c>
      <c r="S269" s="3">
        <f>IF(Q269=1,SUMPRODUCT(--($R$8:$R$1207&lt;R269))+1,"")</f>
        <v/>
      </c>
      <c r="T269" s="11">
        <f>IF(K269=1,'ORDENES'!$J265,"")</f>
        <v/>
      </c>
    </row>
    <row r="270">
      <c r="K270" s="3">
        <f>IF(AND(IF($B$3="(todos)",TRUE,'ORDENES'!$O266=$B$3),IF($D$3="(todos)",TRUE,'ORDENES'!$AC266=$D$3),IF($F$3="(todos)",TRUE,'ORDENES'!$V266=$F$3),'ORDENES'!$AA266=TRUE,'ORDENES'!$A266&lt;&gt;""),1,0)</f>
        <v/>
      </c>
      <c r="L270" s="3">
        <f>IF(K270=1,IFERROR(MATCH('ORDENES'!$R266,lista_dias,0),9)*1000000000+IFERROR(MATCH('ORDENES'!$AC266,lista_turnos,0),9)*10000000+IFERROR(MATCH('ORDENES'!$AB266,'TECNICOS'!$B$4:$B$15,0),99)*100000+263,9000000000000+263)</f>
        <v/>
      </c>
      <c r="M270" s="3">
        <f>IF(K270=1,SUMPRODUCT(--($L$8:$L$1207&lt;L270))+1,"")</f>
        <v/>
      </c>
      <c r="N270" s="17">
        <f>IF(K270=1,N('ORDENES'!$M266),0)</f>
        <v/>
      </c>
      <c r="O270" s="17">
        <f>IF('ORDENES'!$S266="preventiva",N270,0)</f>
        <v/>
      </c>
      <c r="P270" s="17">
        <f>IF('ORDENES'!$S266="correctiva",N270,0)</f>
        <v/>
      </c>
      <c r="Q270" s="3">
        <f>IF(AND(K270=1,'ORDENES'!$N266="Pendiente"),1,0)</f>
        <v/>
      </c>
      <c r="R270" s="3">
        <f>IF(Q270=1,100000-N270*1000+263*0.01,9000000000000+263)</f>
        <v/>
      </c>
      <c r="S270" s="3">
        <f>IF(Q270=1,SUMPRODUCT(--($R$8:$R$1207&lt;R270))+1,"")</f>
        <v/>
      </c>
      <c r="T270" s="11">
        <f>IF(K270=1,'ORDENES'!$J266,"")</f>
        <v/>
      </c>
    </row>
    <row r="271">
      <c r="K271" s="3">
        <f>IF(AND(IF($B$3="(todos)",TRUE,'ORDENES'!$O267=$B$3),IF($D$3="(todos)",TRUE,'ORDENES'!$AC267=$D$3),IF($F$3="(todos)",TRUE,'ORDENES'!$V267=$F$3),'ORDENES'!$AA267=TRUE,'ORDENES'!$A267&lt;&gt;""),1,0)</f>
        <v/>
      </c>
      <c r="L271" s="3">
        <f>IF(K271=1,IFERROR(MATCH('ORDENES'!$R267,lista_dias,0),9)*1000000000+IFERROR(MATCH('ORDENES'!$AC267,lista_turnos,0),9)*10000000+IFERROR(MATCH('ORDENES'!$AB267,'TECNICOS'!$B$4:$B$15,0),99)*100000+264,9000000000000+264)</f>
        <v/>
      </c>
      <c r="M271" s="3">
        <f>IF(K271=1,SUMPRODUCT(--($L$8:$L$1207&lt;L271))+1,"")</f>
        <v/>
      </c>
      <c r="N271" s="17">
        <f>IF(K271=1,N('ORDENES'!$M267),0)</f>
        <v/>
      </c>
      <c r="O271" s="17">
        <f>IF('ORDENES'!$S267="preventiva",N271,0)</f>
        <v/>
      </c>
      <c r="P271" s="17">
        <f>IF('ORDENES'!$S267="correctiva",N271,0)</f>
        <v/>
      </c>
      <c r="Q271" s="3">
        <f>IF(AND(K271=1,'ORDENES'!$N267="Pendiente"),1,0)</f>
        <v/>
      </c>
      <c r="R271" s="3">
        <f>IF(Q271=1,100000-N271*1000+264*0.01,9000000000000+264)</f>
        <v/>
      </c>
      <c r="S271" s="3">
        <f>IF(Q271=1,SUMPRODUCT(--($R$8:$R$1207&lt;R271))+1,"")</f>
        <v/>
      </c>
      <c r="T271" s="11">
        <f>IF(K271=1,'ORDENES'!$J267,"")</f>
        <v/>
      </c>
    </row>
    <row r="272">
      <c r="K272" s="3">
        <f>IF(AND(IF($B$3="(todos)",TRUE,'ORDENES'!$O268=$B$3),IF($D$3="(todos)",TRUE,'ORDENES'!$AC268=$D$3),IF($F$3="(todos)",TRUE,'ORDENES'!$V268=$F$3),'ORDENES'!$AA268=TRUE,'ORDENES'!$A268&lt;&gt;""),1,0)</f>
        <v/>
      </c>
      <c r="L272" s="3">
        <f>IF(K272=1,IFERROR(MATCH('ORDENES'!$R268,lista_dias,0),9)*1000000000+IFERROR(MATCH('ORDENES'!$AC268,lista_turnos,0),9)*10000000+IFERROR(MATCH('ORDENES'!$AB268,'TECNICOS'!$B$4:$B$15,0),99)*100000+265,9000000000000+265)</f>
        <v/>
      </c>
      <c r="M272" s="3">
        <f>IF(K272=1,SUMPRODUCT(--($L$8:$L$1207&lt;L272))+1,"")</f>
        <v/>
      </c>
      <c r="N272" s="17">
        <f>IF(K272=1,N('ORDENES'!$M268),0)</f>
        <v/>
      </c>
      <c r="O272" s="17">
        <f>IF('ORDENES'!$S268="preventiva",N272,0)</f>
        <v/>
      </c>
      <c r="P272" s="17">
        <f>IF('ORDENES'!$S268="correctiva",N272,0)</f>
        <v/>
      </c>
      <c r="Q272" s="3">
        <f>IF(AND(K272=1,'ORDENES'!$N268="Pendiente"),1,0)</f>
        <v/>
      </c>
      <c r="R272" s="3">
        <f>IF(Q272=1,100000-N272*1000+265*0.01,9000000000000+265)</f>
        <v/>
      </c>
      <c r="S272" s="3">
        <f>IF(Q272=1,SUMPRODUCT(--($R$8:$R$1207&lt;R272))+1,"")</f>
        <v/>
      </c>
      <c r="T272" s="11">
        <f>IF(K272=1,'ORDENES'!$J268,"")</f>
        <v/>
      </c>
    </row>
    <row r="273">
      <c r="K273" s="3">
        <f>IF(AND(IF($B$3="(todos)",TRUE,'ORDENES'!$O269=$B$3),IF($D$3="(todos)",TRUE,'ORDENES'!$AC269=$D$3),IF($F$3="(todos)",TRUE,'ORDENES'!$V269=$F$3),'ORDENES'!$AA269=TRUE,'ORDENES'!$A269&lt;&gt;""),1,0)</f>
        <v/>
      </c>
      <c r="L273" s="3">
        <f>IF(K273=1,IFERROR(MATCH('ORDENES'!$R269,lista_dias,0),9)*1000000000+IFERROR(MATCH('ORDENES'!$AC269,lista_turnos,0),9)*10000000+IFERROR(MATCH('ORDENES'!$AB269,'TECNICOS'!$B$4:$B$15,0),99)*100000+266,9000000000000+266)</f>
        <v/>
      </c>
      <c r="M273" s="3">
        <f>IF(K273=1,SUMPRODUCT(--($L$8:$L$1207&lt;L273))+1,"")</f>
        <v/>
      </c>
      <c r="N273" s="17">
        <f>IF(K273=1,N('ORDENES'!$M269),0)</f>
        <v/>
      </c>
      <c r="O273" s="17">
        <f>IF('ORDENES'!$S269="preventiva",N273,0)</f>
        <v/>
      </c>
      <c r="P273" s="17">
        <f>IF('ORDENES'!$S269="correctiva",N273,0)</f>
        <v/>
      </c>
      <c r="Q273" s="3">
        <f>IF(AND(K273=1,'ORDENES'!$N269="Pendiente"),1,0)</f>
        <v/>
      </c>
      <c r="R273" s="3">
        <f>IF(Q273=1,100000-N273*1000+266*0.01,9000000000000+266)</f>
        <v/>
      </c>
      <c r="S273" s="3">
        <f>IF(Q273=1,SUMPRODUCT(--($R$8:$R$1207&lt;R273))+1,"")</f>
        <v/>
      </c>
      <c r="T273" s="11">
        <f>IF(K273=1,'ORDENES'!$J269,"")</f>
        <v/>
      </c>
    </row>
    <row r="274">
      <c r="K274" s="3">
        <f>IF(AND(IF($B$3="(todos)",TRUE,'ORDENES'!$O270=$B$3),IF($D$3="(todos)",TRUE,'ORDENES'!$AC270=$D$3),IF($F$3="(todos)",TRUE,'ORDENES'!$V270=$F$3),'ORDENES'!$AA270=TRUE,'ORDENES'!$A270&lt;&gt;""),1,0)</f>
        <v/>
      </c>
      <c r="L274" s="3">
        <f>IF(K274=1,IFERROR(MATCH('ORDENES'!$R270,lista_dias,0),9)*1000000000+IFERROR(MATCH('ORDENES'!$AC270,lista_turnos,0),9)*10000000+IFERROR(MATCH('ORDENES'!$AB270,'TECNICOS'!$B$4:$B$15,0),99)*100000+267,9000000000000+267)</f>
        <v/>
      </c>
      <c r="M274" s="3">
        <f>IF(K274=1,SUMPRODUCT(--($L$8:$L$1207&lt;L274))+1,"")</f>
        <v/>
      </c>
      <c r="N274" s="17">
        <f>IF(K274=1,N('ORDENES'!$M270),0)</f>
        <v/>
      </c>
      <c r="O274" s="17">
        <f>IF('ORDENES'!$S270="preventiva",N274,0)</f>
        <v/>
      </c>
      <c r="P274" s="17">
        <f>IF('ORDENES'!$S270="correctiva",N274,0)</f>
        <v/>
      </c>
      <c r="Q274" s="3">
        <f>IF(AND(K274=1,'ORDENES'!$N270="Pendiente"),1,0)</f>
        <v/>
      </c>
      <c r="R274" s="3">
        <f>IF(Q274=1,100000-N274*1000+267*0.01,9000000000000+267)</f>
        <v/>
      </c>
      <c r="S274" s="3">
        <f>IF(Q274=1,SUMPRODUCT(--($R$8:$R$1207&lt;R274))+1,"")</f>
        <v/>
      </c>
      <c r="T274" s="11">
        <f>IF(K274=1,'ORDENES'!$J270,"")</f>
        <v/>
      </c>
    </row>
    <row r="275">
      <c r="K275" s="3">
        <f>IF(AND(IF($B$3="(todos)",TRUE,'ORDENES'!$O271=$B$3),IF($D$3="(todos)",TRUE,'ORDENES'!$AC271=$D$3),IF($F$3="(todos)",TRUE,'ORDENES'!$V271=$F$3),'ORDENES'!$AA271=TRUE,'ORDENES'!$A271&lt;&gt;""),1,0)</f>
        <v/>
      </c>
      <c r="L275" s="3">
        <f>IF(K275=1,IFERROR(MATCH('ORDENES'!$R271,lista_dias,0),9)*1000000000+IFERROR(MATCH('ORDENES'!$AC271,lista_turnos,0),9)*10000000+IFERROR(MATCH('ORDENES'!$AB271,'TECNICOS'!$B$4:$B$15,0),99)*100000+268,9000000000000+268)</f>
        <v/>
      </c>
      <c r="M275" s="3">
        <f>IF(K275=1,SUMPRODUCT(--($L$8:$L$1207&lt;L275))+1,"")</f>
        <v/>
      </c>
      <c r="N275" s="17">
        <f>IF(K275=1,N('ORDENES'!$M271),0)</f>
        <v/>
      </c>
      <c r="O275" s="17">
        <f>IF('ORDENES'!$S271="preventiva",N275,0)</f>
        <v/>
      </c>
      <c r="P275" s="17">
        <f>IF('ORDENES'!$S271="correctiva",N275,0)</f>
        <v/>
      </c>
      <c r="Q275" s="3">
        <f>IF(AND(K275=1,'ORDENES'!$N271="Pendiente"),1,0)</f>
        <v/>
      </c>
      <c r="R275" s="3">
        <f>IF(Q275=1,100000-N275*1000+268*0.01,9000000000000+268)</f>
        <v/>
      </c>
      <c r="S275" s="3">
        <f>IF(Q275=1,SUMPRODUCT(--($R$8:$R$1207&lt;R275))+1,"")</f>
        <v/>
      </c>
      <c r="T275" s="11">
        <f>IF(K275=1,'ORDENES'!$J271,"")</f>
        <v/>
      </c>
    </row>
    <row r="276">
      <c r="K276" s="3">
        <f>IF(AND(IF($B$3="(todos)",TRUE,'ORDENES'!$O272=$B$3),IF($D$3="(todos)",TRUE,'ORDENES'!$AC272=$D$3),IF($F$3="(todos)",TRUE,'ORDENES'!$V272=$F$3),'ORDENES'!$AA272=TRUE,'ORDENES'!$A272&lt;&gt;""),1,0)</f>
        <v/>
      </c>
      <c r="L276" s="3">
        <f>IF(K276=1,IFERROR(MATCH('ORDENES'!$R272,lista_dias,0),9)*1000000000+IFERROR(MATCH('ORDENES'!$AC272,lista_turnos,0),9)*10000000+IFERROR(MATCH('ORDENES'!$AB272,'TECNICOS'!$B$4:$B$15,0),99)*100000+269,9000000000000+269)</f>
        <v/>
      </c>
      <c r="M276" s="3">
        <f>IF(K276=1,SUMPRODUCT(--($L$8:$L$1207&lt;L276))+1,"")</f>
        <v/>
      </c>
      <c r="N276" s="17">
        <f>IF(K276=1,N('ORDENES'!$M272),0)</f>
        <v/>
      </c>
      <c r="O276" s="17">
        <f>IF('ORDENES'!$S272="preventiva",N276,0)</f>
        <v/>
      </c>
      <c r="P276" s="17">
        <f>IF('ORDENES'!$S272="correctiva",N276,0)</f>
        <v/>
      </c>
      <c r="Q276" s="3">
        <f>IF(AND(K276=1,'ORDENES'!$N272="Pendiente"),1,0)</f>
        <v/>
      </c>
      <c r="R276" s="3">
        <f>IF(Q276=1,100000-N276*1000+269*0.01,9000000000000+269)</f>
        <v/>
      </c>
      <c r="S276" s="3">
        <f>IF(Q276=1,SUMPRODUCT(--($R$8:$R$1207&lt;R276))+1,"")</f>
        <v/>
      </c>
      <c r="T276" s="11">
        <f>IF(K276=1,'ORDENES'!$J272,"")</f>
        <v/>
      </c>
    </row>
    <row r="277">
      <c r="K277" s="3">
        <f>IF(AND(IF($B$3="(todos)",TRUE,'ORDENES'!$O273=$B$3),IF($D$3="(todos)",TRUE,'ORDENES'!$AC273=$D$3),IF($F$3="(todos)",TRUE,'ORDENES'!$V273=$F$3),'ORDENES'!$AA273=TRUE,'ORDENES'!$A273&lt;&gt;""),1,0)</f>
        <v/>
      </c>
      <c r="L277" s="3">
        <f>IF(K277=1,IFERROR(MATCH('ORDENES'!$R273,lista_dias,0),9)*1000000000+IFERROR(MATCH('ORDENES'!$AC273,lista_turnos,0),9)*10000000+IFERROR(MATCH('ORDENES'!$AB273,'TECNICOS'!$B$4:$B$15,0),99)*100000+270,9000000000000+270)</f>
        <v/>
      </c>
      <c r="M277" s="3">
        <f>IF(K277=1,SUMPRODUCT(--($L$8:$L$1207&lt;L277))+1,"")</f>
        <v/>
      </c>
      <c r="N277" s="17">
        <f>IF(K277=1,N('ORDENES'!$M273),0)</f>
        <v/>
      </c>
      <c r="O277" s="17">
        <f>IF('ORDENES'!$S273="preventiva",N277,0)</f>
        <v/>
      </c>
      <c r="P277" s="17">
        <f>IF('ORDENES'!$S273="correctiva",N277,0)</f>
        <v/>
      </c>
      <c r="Q277" s="3">
        <f>IF(AND(K277=1,'ORDENES'!$N273="Pendiente"),1,0)</f>
        <v/>
      </c>
      <c r="R277" s="3">
        <f>IF(Q277=1,100000-N277*1000+270*0.01,9000000000000+270)</f>
        <v/>
      </c>
      <c r="S277" s="3">
        <f>IF(Q277=1,SUMPRODUCT(--($R$8:$R$1207&lt;R277))+1,"")</f>
        <v/>
      </c>
      <c r="T277" s="11">
        <f>IF(K277=1,'ORDENES'!$J273,"")</f>
        <v/>
      </c>
    </row>
    <row r="278">
      <c r="K278" s="3">
        <f>IF(AND(IF($B$3="(todos)",TRUE,'ORDENES'!$O274=$B$3),IF($D$3="(todos)",TRUE,'ORDENES'!$AC274=$D$3),IF($F$3="(todos)",TRUE,'ORDENES'!$V274=$F$3),'ORDENES'!$AA274=TRUE,'ORDENES'!$A274&lt;&gt;""),1,0)</f>
        <v/>
      </c>
      <c r="L278" s="3">
        <f>IF(K278=1,IFERROR(MATCH('ORDENES'!$R274,lista_dias,0),9)*1000000000+IFERROR(MATCH('ORDENES'!$AC274,lista_turnos,0),9)*10000000+IFERROR(MATCH('ORDENES'!$AB274,'TECNICOS'!$B$4:$B$15,0),99)*100000+271,9000000000000+271)</f>
        <v/>
      </c>
      <c r="M278" s="3">
        <f>IF(K278=1,SUMPRODUCT(--($L$8:$L$1207&lt;L278))+1,"")</f>
        <v/>
      </c>
      <c r="N278" s="17">
        <f>IF(K278=1,N('ORDENES'!$M274),0)</f>
        <v/>
      </c>
      <c r="O278" s="17">
        <f>IF('ORDENES'!$S274="preventiva",N278,0)</f>
        <v/>
      </c>
      <c r="P278" s="17">
        <f>IF('ORDENES'!$S274="correctiva",N278,0)</f>
        <v/>
      </c>
      <c r="Q278" s="3">
        <f>IF(AND(K278=1,'ORDENES'!$N274="Pendiente"),1,0)</f>
        <v/>
      </c>
      <c r="R278" s="3">
        <f>IF(Q278=1,100000-N278*1000+271*0.01,9000000000000+271)</f>
        <v/>
      </c>
      <c r="S278" s="3">
        <f>IF(Q278=1,SUMPRODUCT(--($R$8:$R$1207&lt;R278))+1,"")</f>
        <v/>
      </c>
      <c r="T278" s="11">
        <f>IF(K278=1,'ORDENES'!$J274,"")</f>
        <v/>
      </c>
    </row>
    <row r="279">
      <c r="K279" s="3">
        <f>IF(AND(IF($B$3="(todos)",TRUE,'ORDENES'!$O275=$B$3),IF($D$3="(todos)",TRUE,'ORDENES'!$AC275=$D$3),IF($F$3="(todos)",TRUE,'ORDENES'!$V275=$F$3),'ORDENES'!$AA275=TRUE,'ORDENES'!$A275&lt;&gt;""),1,0)</f>
        <v/>
      </c>
      <c r="L279" s="3">
        <f>IF(K279=1,IFERROR(MATCH('ORDENES'!$R275,lista_dias,0),9)*1000000000+IFERROR(MATCH('ORDENES'!$AC275,lista_turnos,0),9)*10000000+IFERROR(MATCH('ORDENES'!$AB275,'TECNICOS'!$B$4:$B$15,0),99)*100000+272,9000000000000+272)</f>
        <v/>
      </c>
      <c r="M279" s="3">
        <f>IF(K279=1,SUMPRODUCT(--($L$8:$L$1207&lt;L279))+1,"")</f>
        <v/>
      </c>
      <c r="N279" s="17">
        <f>IF(K279=1,N('ORDENES'!$M275),0)</f>
        <v/>
      </c>
      <c r="O279" s="17">
        <f>IF('ORDENES'!$S275="preventiva",N279,0)</f>
        <v/>
      </c>
      <c r="P279" s="17">
        <f>IF('ORDENES'!$S275="correctiva",N279,0)</f>
        <v/>
      </c>
      <c r="Q279" s="3">
        <f>IF(AND(K279=1,'ORDENES'!$N275="Pendiente"),1,0)</f>
        <v/>
      </c>
      <c r="R279" s="3">
        <f>IF(Q279=1,100000-N279*1000+272*0.01,9000000000000+272)</f>
        <v/>
      </c>
      <c r="S279" s="3">
        <f>IF(Q279=1,SUMPRODUCT(--($R$8:$R$1207&lt;R279))+1,"")</f>
        <v/>
      </c>
      <c r="T279" s="11">
        <f>IF(K279=1,'ORDENES'!$J275,"")</f>
        <v/>
      </c>
    </row>
    <row r="280">
      <c r="K280" s="3">
        <f>IF(AND(IF($B$3="(todos)",TRUE,'ORDENES'!$O276=$B$3),IF($D$3="(todos)",TRUE,'ORDENES'!$AC276=$D$3),IF($F$3="(todos)",TRUE,'ORDENES'!$V276=$F$3),'ORDENES'!$AA276=TRUE,'ORDENES'!$A276&lt;&gt;""),1,0)</f>
        <v/>
      </c>
      <c r="L280" s="3">
        <f>IF(K280=1,IFERROR(MATCH('ORDENES'!$R276,lista_dias,0),9)*1000000000+IFERROR(MATCH('ORDENES'!$AC276,lista_turnos,0),9)*10000000+IFERROR(MATCH('ORDENES'!$AB276,'TECNICOS'!$B$4:$B$15,0),99)*100000+273,9000000000000+273)</f>
        <v/>
      </c>
      <c r="M280" s="3">
        <f>IF(K280=1,SUMPRODUCT(--($L$8:$L$1207&lt;L280))+1,"")</f>
        <v/>
      </c>
      <c r="N280" s="17">
        <f>IF(K280=1,N('ORDENES'!$M276),0)</f>
        <v/>
      </c>
      <c r="O280" s="17">
        <f>IF('ORDENES'!$S276="preventiva",N280,0)</f>
        <v/>
      </c>
      <c r="P280" s="17">
        <f>IF('ORDENES'!$S276="correctiva",N280,0)</f>
        <v/>
      </c>
      <c r="Q280" s="3">
        <f>IF(AND(K280=1,'ORDENES'!$N276="Pendiente"),1,0)</f>
        <v/>
      </c>
      <c r="R280" s="3">
        <f>IF(Q280=1,100000-N280*1000+273*0.01,9000000000000+273)</f>
        <v/>
      </c>
      <c r="S280" s="3">
        <f>IF(Q280=1,SUMPRODUCT(--($R$8:$R$1207&lt;R280))+1,"")</f>
        <v/>
      </c>
      <c r="T280" s="11">
        <f>IF(K280=1,'ORDENES'!$J276,"")</f>
        <v/>
      </c>
    </row>
    <row r="281">
      <c r="K281" s="3">
        <f>IF(AND(IF($B$3="(todos)",TRUE,'ORDENES'!$O277=$B$3),IF($D$3="(todos)",TRUE,'ORDENES'!$AC277=$D$3),IF($F$3="(todos)",TRUE,'ORDENES'!$V277=$F$3),'ORDENES'!$AA277=TRUE,'ORDENES'!$A277&lt;&gt;""),1,0)</f>
        <v/>
      </c>
      <c r="L281" s="3">
        <f>IF(K281=1,IFERROR(MATCH('ORDENES'!$R277,lista_dias,0),9)*1000000000+IFERROR(MATCH('ORDENES'!$AC277,lista_turnos,0),9)*10000000+IFERROR(MATCH('ORDENES'!$AB277,'TECNICOS'!$B$4:$B$15,0),99)*100000+274,9000000000000+274)</f>
        <v/>
      </c>
      <c r="M281" s="3">
        <f>IF(K281=1,SUMPRODUCT(--($L$8:$L$1207&lt;L281))+1,"")</f>
        <v/>
      </c>
      <c r="N281" s="17">
        <f>IF(K281=1,N('ORDENES'!$M277),0)</f>
        <v/>
      </c>
      <c r="O281" s="17">
        <f>IF('ORDENES'!$S277="preventiva",N281,0)</f>
        <v/>
      </c>
      <c r="P281" s="17">
        <f>IF('ORDENES'!$S277="correctiva",N281,0)</f>
        <v/>
      </c>
      <c r="Q281" s="3">
        <f>IF(AND(K281=1,'ORDENES'!$N277="Pendiente"),1,0)</f>
        <v/>
      </c>
      <c r="R281" s="3">
        <f>IF(Q281=1,100000-N281*1000+274*0.01,9000000000000+274)</f>
        <v/>
      </c>
      <c r="S281" s="3">
        <f>IF(Q281=1,SUMPRODUCT(--($R$8:$R$1207&lt;R281))+1,"")</f>
        <v/>
      </c>
      <c r="T281" s="11">
        <f>IF(K281=1,'ORDENES'!$J277,"")</f>
        <v/>
      </c>
    </row>
    <row r="282">
      <c r="K282" s="3">
        <f>IF(AND(IF($B$3="(todos)",TRUE,'ORDENES'!$O278=$B$3),IF($D$3="(todos)",TRUE,'ORDENES'!$AC278=$D$3),IF($F$3="(todos)",TRUE,'ORDENES'!$V278=$F$3),'ORDENES'!$AA278=TRUE,'ORDENES'!$A278&lt;&gt;""),1,0)</f>
        <v/>
      </c>
      <c r="L282" s="3">
        <f>IF(K282=1,IFERROR(MATCH('ORDENES'!$R278,lista_dias,0),9)*1000000000+IFERROR(MATCH('ORDENES'!$AC278,lista_turnos,0),9)*10000000+IFERROR(MATCH('ORDENES'!$AB278,'TECNICOS'!$B$4:$B$15,0),99)*100000+275,9000000000000+275)</f>
        <v/>
      </c>
      <c r="M282" s="3">
        <f>IF(K282=1,SUMPRODUCT(--($L$8:$L$1207&lt;L282))+1,"")</f>
        <v/>
      </c>
      <c r="N282" s="17">
        <f>IF(K282=1,N('ORDENES'!$M278),0)</f>
        <v/>
      </c>
      <c r="O282" s="17">
        <f>IF('ORDENES'!$S278="preventiva",N282,0)</f>
        <v/>
      </c>
      <c r="P282" s="17">
        <f>IF('ORDENES'!$S278="correctiva",N282,0)</f>
        <v/>
      </c>
      <c r="Q282" s="3">
        <f>IF(AND(K282=1,'ORDENES'!$N278="Pendiente"),1,0)</f>
        <v/>
      </c>
      <c r="R282" s="3">
        <f>IF(Q282=1,100000-N282*1000+275*0.01,9000000000000+275)</f>
        <v/>
      </c>
      <c r="S282" s="3">
        <f>IF(Q282=1,SUMPRODUCT(--($R$8:$R$1207&lt;R282))+1,"")</f>
        <v/>
      </c>
      <c r="T282" s="11">
        <f>IF(K282=1,'ORDENES'!$J278,"")</f>
        <v/>
      </c>
    </row>
    <row r="283">
      <c r="K283" s="3">
        <f>IF(AND(IF($B$3="(todos)",TRUE,'ORDENES'!$O279=$B$3),IF($D$3="(todos)",TRUE,'ORDENES'!$AC279=$D$3),IF($F$3="(todos)",TRUE,'ORDENES'!$V279=$F$3),'ORDENES'!$AA279=TRUE,'ORDENES'!$A279&lt;&gt;""),1,0)</f>
        <v/>
      </c>
      <c r="L283" s="3">
        <f>IF(K283=1,IFERROR(MATCH('ORDENES'!$R279,lista_dias,0),9)*1000000000+IFERROR(MATCH('ORDENES'!$AC279,lista_turnos,0),9)*10000000+IFERROR(MATCH('ORDENES'!$AB279,'TECNICOS'!$B$4:$B$15,0),99)*100000+276,9000000000000+276)</f>
        <v/>
      </c>
      <c r="M283" s="3">
        <f>IF(K283=1,SUMPRODUCT(--($L$8:$L$1207&lt;L283))+1,"")</f>
        <v/>
      </c>
      <c r="N283" s="17">
        <f>IF(K283=1,N('ORDENES'!$M279),0)</f>
        <v/>
      </c>
      <c r="O283" s="17">
        <f>IF('ORDENES'!$S279="preventiva",N283,0)</f>
        <v/>
      </c>
      <c r="P283" s="17">
        <f>IF('ORDENES'!$S279="correctiva",N283,0)</f>
        <v/>
      </c>
      <c r="Q283" s="3">
        <f>IF(AND(K283=1,'ORDENES'!$N279="Pendiente"),1,0)</f>
        <v/>
      </c>
      <c r="R283" s="3">
        <f>IF(Q283=1,100000-N283*1000+276*0.01,9000000000000+276)</f>
        <v/>
      </c>
      <c r="S283" s="3">
        <f>IF(Q283=1,SUMPRODUCT(--($R$8:$R$1207&lt;R283))+1,"")</f>
        <v/>
      </c>
      <c r="T283" s="11">
        <f>IF(K283=1,'ORDENES'!$J279,"")</f>
        <v/>
      </c>
    </row>
    <row r="284">
      <c r="K284" s="3">
        <f>IF(AND(IF($B$3="(todos)",TRUE,'ORDENES'!$O280=$B$3),IF($D$3="(todos)",TRUE,'ORDENES'!$AC280=$D$3),IF($F$3="(todos)",TRUE,'ORDENES'!$V280=$F$3),'ORDENES'!$AA280=TRUE,'ORDENES'!$A280&lt;&gt;""),1,0)</f>
        <v/>
      </c>
      <c r="L284" s="3">
        <f>IF(K284=1,IFERROR(MATCH('ORDENES'!$R280,lista_dias,0),9)*1000000000+IFERROR(MATCH('ORDENES'!$AC280,lista_turnos,0),9)*10000000+IFERROR(MATCH('ORDENES'!$AB280,'TECNICOS'!$B$4:$B$15,0),99)*100000+277,9000000000000+277)</f>
        <v/>
      </c>
      <c r="M284" s="3">
        <f>IF(K284=1,SUMPRODUCT(--($L$8:$L$1207&lt;L284))+1,"")</f>
        <v/>
      </c>
      <c r="N284" s="17">
        <f>IF(K284=1,N('ORDENES'!$M280),0)</f>
        <v/>
      </c>
      <c r="O284" s="17">
        <f>IF('ORDENES'!$S280="preventiva",N284,0)</f>
        <v/>
      </c>
      <c r="P284" s="17">
        <f>IF('ORDENES'!$S280="correctiva",N284,0)</f>
        <v/>
      </c>
      <c r="Q284" s="3">
        <f>IF(AND(K284=1,'ORDENES'!$N280="Pendiente"),1,0)</f>
        <v/>
      </c>
      <c r="R284" s="3">
        <f>IF(Q284=1,100000-N284*1000+277*0.01,9000000000000+277)</f>
        <v/>
      </c>
      <c r="S284" s="3">
        <f>IF(Q284=1,SUMPRODUCT(--($R$8:$R$1207&lt;R284))+1,"")</f>
        <v/>
      </c>
      <c r="T284" s="11">
        <f>IF(K284=1,'ORDENES'!$J280,"")</f>
        <v/>
      </c>
    </row>
    <row r="285">
      <c r="K285" s="3">
        <f>IF(AND(IF($B$3="(todos)",TRUE,'ORDENES'!$O281=$B$3),IF($D$3="(todos)",TRUE,'ORDENES'!$AC281=$D$3),IF($F$3="(todos)",TRUE,'ORDENES'!$V281=$F$3),'ORDENES'!$AA281=TRUE,'ORDENES'!$A281&lt;&gt;""),1,0)</f>
        <v/>
      </c>
      <c r="L285" s="3">
        <f>IF(K285=1,IFERROR(MATCH('ORDENES'!$R281,lista_dias,0),9)*1000000000+IFERROR(MATCH('ORDENES'!$AC281,lista_turnos,0),9)*10000000+IFERROR(MATCH('ORDENES'!$AB281,'TECNICOS'!$B$4:$B$15,0),99)*100000+278,9000000000000+278)</f>
        <v/>
      </c>
      <c r="M285" s="3">
        <f>IF(K285=1,SUMPRODUCT(--($L$8:$L$1207&lt;L285))+1,"")</f>
        <v/>
      </c>
      <c r="N285" s="17">
        <f>IF(K285=1,N('ORDENES'!$M281),0)</f>
        <v/>
      </c>
      <c r="O285" s="17">
        <f>IF('ORDENES'!$S281="preventiva",N285,0)</f>
        <v/>
      </c>
      <c r="P285" s="17">
        <f>IF('ORDENES'!$S281="correctiva",N285,0)</f>
        <v/>
      </c>
      <c r="Q285" s="3">
        <f>IF(AND(K285=1,'ORDENES'!$N281="Pendiente"),1,0)</f>
        <v/>
      </c>
      <c r="R285" s="3">
        <f>IF(Q285=1,100000-N285*1000+278*0.01,9000000000000+278)</f>
        <v/>
      </c>
      <c r="S285" s="3">
        <f>IF(Q285=1,SUMPRODUCT(--($R$8:$R$1207&lt;R285))+1,"")</f>
        <v/>
      </c>
      <c r="T285" s="11">
        <f>IF(K285=1,'ORDENES'!$J281,"")</f>
        <v/>
      </c>
    </row>
    <row r="286">
      <c r="K286" s="3">
        <f>IF(AND(IF($B$3="(todos)",TRUE,'ORDENES'!$O282=$B$3),IF($D$3="(todos)",TRUE,'ORDENES'!$AC282=$D$3),IF($F$3="(todos)",TRUE,'ORDENES'!$V282=$F$3),'ORDENES'!$AA282=TRUE,'ORDENES'!$A282&lt;&gt;""),1,0)</f>
        <v/>
      </c>
      <c r="L286" s="3">
        <f>IF(K286=1,IFERROR(MATCH('ORDENES'!$R282,lista_dias,0),9)*1000000000+IFERROR(MATCH('ORDENES'!$AC282,lista_turnos,0),9)*10000000+IFERROR(MATCH('ORDENES'!$AB282,'TECNICOS'!$B$4:$B$15,0),99)*100000+279,9000000000000+279)</f>
        <v/>
      </c>
      <c r="M286" s="3">
        <f>IF(K286=1,SUMPRODUCT(--($L$8:$L$1207&lt;L286))+1,"")</f>
        <v/>
      </c>
      <c r="N286" s="17">
        <f>IF(K286=1,N('ORDENES'!$M282),0)</f>
        <v/>
      </c>
      <c r="O286" s="17">
        <f>IF('ORDENES'!$S282="preventiva",N286,0)</f>
        <v/>
      </c>
      <c r="P286" s="17">
        <f>IF('ORDENES'!$S282="correctiva",N286,0)</f>
        <v/>
      </c>
      <c r="Q286" s="3">
        <f>IF(AND(K286=1,'ORDENES'!$N282="Pendiente"),1,0)</f>
        <v/>
      </c>
      <c r="R286" s="3">
        <f>IF(Q286=1,100000-N286*1000+279*0.01,9000000000000+279)</f>
        <v/>
      </c>
      <c r="S286" s="3">
        <f>IF(Q286=1,SUMPRODUCT(--($R$8:$R$1207&lt;R286))+1,"")</f>
        <v/>
      </c>
      <c r="T286" s="11">
        <f>IF(K286=1,'ORDENES'!$J282,"")</f>
        <v/>
      </c>
    </row>
    <row r="287">
      <c r="K287" s="3">
        <f>IF(AND(IF($B$3="(todos)",TRUE,'ORDENES'!$O283=$B$3),IF($D$3="(todos)",TRUE,'ORDENES'!$AC283=$D$3),IF($F$3="(todos)",TRUE,'ORDENES'!$V283=$F$3),'ORDENES'!$AA283=TRUE,'ORDENES'!$A283&lt;&gt;""),1,0)</f>
        <v/>
      </c>
      <c r="L287" s="3">
        <f>IF(K287=1,IFERROR(MATCH('ORDENES'!$R283,lista_dias,0),9)*1000000000+IFERROR(MATCH('ORDENES'!$AC283,lista_turnos,0),9)*10000000+IFERROR(MATCH('ORDENES'!$AB283,'TECNICOS'!$B$4:$B$15,0),99)*100000+280,9000000000000+280)</f>
        <v/>
      </c>
      <c r="M287" s="3">
        <f>IF(K287=1,SUMPRODUCT(--($L$8:$L$1207&lt;L287))+1,"")</f>
        <v/>
      </c>
      <c r="N287" s="17">
        <f>IF(K287=1,N('ORDENES'!$M283),0)</f>
        <v/>
      </c>
      <c r="O287" s="17">
        <f>IF('ORDENES'!$S283="preventiva",N287,0)</f>
        <v/>
      </c>
      <c r="P287" s="17">
        <f>IF('ORDENES'!$S283="correctiva",N287,0)</f>
        <v/>
      </c>
      <c r="Q287" s="3">
        <f>IF(AND(K287=1,'ORDENES'!$N283="Pendiente"),1,0)</f>
        <v/>
      </c>
      <c r="R287" s="3">
        <f>IF(Q287=1,100000-N287*1000+280*0.01,9000000000000+280)</f>
        <v/>
      </c>
      <c r="S287" s="3">
        <f>IF(Q287=1,SUMPRODUCT(--($R$8:$R$1207&lt;R287))+1,"")</f>
        <v/>
      </c>
      <c r="T287" s="11">
        <f>IF(K287=1,'ORDENES'!$J283,"")</f>
        <v/>
      </c>
    </row>
    <row r="288">
      <c r="K288" s="3">
        <f>IF(AND(IF($B$3="(todos)",TRUE,'ORDENES'!$O284=$B$3),IF($D$3="(todos)",TRUE,'ORDENES'!$AC284=$D$3),IF($F$3="(todos)",TRUE,'ORDENES'!$V284=$F$3),'ORDENES'!$AA284=TRUE,'ORDENES'!$A284&lt;&gt;""),1,0)</f>
        <v/>
      </c>
      <c r="L288" s="3">
        <f>IF(K288=1,IFERROR(MATCH('ORDENES'!$R284,lista_dias,0),9)*1000000000+IFERROR(MATCH('ORDENES'!$AC284,lista_turnos,0),9)*10000000+IFERROR(MATCH('ORDENES'!$AB284,'TECNICOS'!$B$4:$B$15,0),99)*100000+281,9000000000000+281)</f>
        <v/>
      </c>
      <c r="M288" s="3">
        <f>IF(K288=1,SUMPRODUCT(--($L$8:$L$1207&lt;L288))+1,"")</f>
        <v/>
      </c>
      <c r="N288" s="17">
        <f>IF(K288=1,N('ORDENES'!$M284),0)</f>
        <v/>
      </c>
      <c r="O288" s="17">
        <f>IF('ORDENES'!$S284="preventiva",N288,0)</f>
        <v/>
      </c>
      <c r="P288" s="17">
        <f>IF('ORDENES'!$S284="correctiva",N288,0)</f>
        <v/>
      </c>
      <c r="Q288" s="3">
        <f>IF(AND(K288=1,'ORDENES'!$N284="Pendiente"),1,0)</f>
        <v/>
      </c>
      <c r="R288" s="3">
        <f>IF(Q288=1,100000-N288*1000+281*0.01,9000000000000+281)</f>
        <v/>
      </c>
      <c r="S288" s="3">
        <f>IF(Q288=1,SUMPRODUCT(--($R$8:$R$1207&lt;R288))+1,"")</f>
        <v/>
      </c>
      <c r="T288" s="11">
        <f>IF(K288=1,'ORDENES'!$J284,"")</f>
        <v/>
      </c>
    </row>
    <row r="289">
      <c r="K289" s="3">
        <f>IF(AND(IF($B$3="(todos)",TRUE,'ORDENES'!$O285=$B$3),IF($D$3="(todos)",TRUE,'ORDENES'!$AC285=$D$3),IF($F$3="(todos)",TRUE,'ORDENES'!$V285=$F$3),'ORDENES'!$AA285=TRUE,'ORDENES'!$A285&lt;&gt;""),1,0)</f>
        <v/>
      </c>
      <c r="L289" s="3">
        <f>IF(K289=1,IFERROR(MATCH('ORDENES'!$R285,lista_dias,0),9)*1000000000+IFERROR(MATCH('ORDENES'!$AC285,lista_turnos,0),9)*10000000+IFERROR(MATCH('ORDENES'!$AB285,'TECNICOS'!$B$4:$B$15,0),99)*100000+282,9000000000000+282)</f>
        <v/>
      </c>
      <c r="M289" s="3">
        <f>IF(K289=1,SUMPRODUCT(--($L$8:$L$1207&lt;L289))+1,"")</f>
        <v/>
      </c>
      <c r="N289" s="17">
        <f>IF(K289=1,N('ORDENES'!$M285),0)</f>
        <v/>
      </c>
      <c r="O289" s="17">
        <f>IF('ORDENES'!$S285="preventiva",N289,0)</f>
        <v/>
      </c>
      <c r="P289" s="17">
        <f>IF('ORDENES'!$S285="correctiva",N289,0)</f>
        <v/>
      </c>
      <c r="Q289" s="3">
        <f>IF(AND(K289=1,'ORDENES'!$N285="Pendiente"),1,0)</f>
        <v/>
      </c>
      <c r="R289" s="3">
        <f>IF(Q289=1,100000-N289*1000+282*0.01,9000000000000+282)</f>
        <v/>
      </c>
      <c r="S289" s="3">
        <f>IF(Q289=1,SUMPRODUCT(--($R$8:$R$1207&lt;R289))+1,"")</f>
        <v/>
      </c>
      <c r="T289" s="11">
        <f>IF(K289=1,'ORDENES'!$J285,"")</f>
        <v/>
      </c>
    </row>
    <row r="290">
      <c r="K290" s="3">
        <f>IF(AND(IF($B$3="(todos)",TRUE,'ORDENES'!$O286=$B$3),IF($D$3="(todos)",TRUE,'ORDENES'!$AC286=$D$3),IF($F$3="(todos)",TRUE,'ORDENES'!$V286=$F$3),'ORDENES'!$AA286=TRUE,'ORDENES'!$A286&lt;&gt;""),1,0)</f>
        <v/>
      </c>
      <c r="L290" s="3">
        <f>IF(K290=1,IFERROR(MATCH('ORDENES'!$R286,lista_dias,0),9)*1000000000+IFERROR(MATCH('ORDENES'!$AC286,lista_turnos,0),9)*10000000+IFERROR(MATCH('ORDENES'!$AB286,'TECNICOS'!$B$4:$B$15,0),99)*100000+283,9000000000000+283)</f>
        <v/>
      </c>
      <c r="M290" s="3">
        <f>IF(K290=1,SUMPRODUCT(--($L$8:$L$1207&lt;L290))+1,"")</f>
        <v/>
      </c>
      <c r="N290" s="17">
        <f>IF(K290=1,N('ORDENES'!$M286),0)</f>
        <v/>
      </c>
      <c r="O290" s="17">
        <f>IF('ORDENES'!$S286="preventiva",N290,0)</f>
        <v/>
      </c>
      <c r="P290" s="17">
        <f>IF('ORDENES'!$S286="correctiva",N290,0)</f>
        <v/>
      </c>
      <c r="Q290" s="3">
        <f>IF(AND(K290=1,'ORDENES'!$N286="Pendiente"),1,0)</f>
        <v/>
      </c>
      <c r="R290" s="3">
        <f>IF(Q290=1,100000-N290*1000+283*0.01,9000000000000+283)</f>
        <v/>
      </c>
      <c r="S290" s="3">
        <f>IF(Q290=1,SUMPRODUCT(--($R$8:$R$1207&lt;R290))+1,"")</f>
        <v/>
      </c>
      <c r="T290" s="11">
        <f>IF(K290=1,'ORDENES'!$J286,"")</f>
        <v/>
      </c>
    </row>
    <row r="291">
      <c r="K291" s="3">
        <f>IF(AND(IF($B$3="(todos)",TRUE,'ORDENES'!$O287=$B$3),IF($D$3="(todos)",TRUE,'ORDENES'!$AC287=$D$3),IF($F$3="(todos)",TRUE,'ORDENES'!$V287=$F$3),'ORDENES'!$AA287=TRUE,'ORDENES'!$A287&lt;&gt;""),1,0)</f>
        <v/>
      </c>
      <c r="L291" s="3">
        <f>IF(K291=1,IFERROR(MATCH('ORDENES'!$R287,lista_dias,0),9)*1000000000+IFERROR(MATCH('ORDENES'!$AC287,lista_turnos,0),9)*10000000+IFERROR(MATCH('ORDENES'!$AB287,'TECNICOS'!$B$4:$B$15,0),99)*100000+284,9000000000000+284)</f>
        <v/>
      </c>
      <c r="M291" s="3">
        <f>IF(K291=1,SUMPRODUCT(--($L$8:$L$1207&lt;L291))+1,"")</f>
        <v/>
      </c>
      <c r="N291" s="17">
        <f>IF(K291=1,N('ORDENES'!$M287),0)</f>
        <v/>
      </c>
      <c r="O291" s="17">
        <f>IF('ORDENES'!$S287="preventiva",N291,0)</f>
        <v/>
      </c>
      <c r="P291" s="17">
        <f>IF('ORDENES'!$S287="correctiva",N291,0)</f>
        <v/>
      </c>
      <c r="Q291" s="3">
        <f>IF(AND(K291=1,'ORDENES'!$N287="Pendiente"),1,0)</f>
        <v/>
      </c>
      <c r="R291" s="3">
        <f>IF(Q291=1,100000-N291*1000+284*0.01,9000000000000+284)</f>
        <v/>
      </c>
      <c r="S291" s="3">
        <f>IF(Q291=1,SUMPRODUCT(--($R$8:$R$1207&lt;R291))+1,"")</f>
        <v/>
      </c>
      <c r="T291" s="11">
        <f>IF(K291=1,'ORDENES'!$J287,"")</f>
        <v/>
      </c>
    </row>
    <row r="292">
      <c r="K292" s="3">
        <f>IF(AND(IF($B$3="(todos)",TRUE,'ORDENES'!$O288=$B$3),IF($D$3="(todos)",TRUE,'ORDENES'!$AC288=$D$3),IF($F$3="(todos)",TRUE,'ORDENES'!$V288=$F$3),'ORDENES'!$AA288=TRUE,'ORDENES'!$A288&lt;&gt;""),1,0)</f>
        <v/>
      </c>
      <c r="L292" s="3">
        <f>IF(K292=1,IFERROR(MATCH('ORDENES'!$R288,lista_dias,0),9)*1000000000+IFERROR(MATCH('ORDENES'!$AC288,lista_turnos,0),9)*10000000+IFERROR(MATCH('ORDENES'!$AB288,'TECNICOS'!$B$4:$B$15,0),99)*100000+285,9000000000000+285)</f>
        <v/>
      </c>
      <c r="M292" s="3">
        <f>IF(K292=1,SUMPRODUCT(--($L$8:$L$1207&lt;L292))+1,"")</f>
        <v/>
      </c>
      <c r="N292" s="17">
        <f>IF(K292=1,N('ORDENES'!$M288),0)</f>
        <v/>
      </c>
      <c r="O292" s="17">
        <f>IF('ORDENES'!$S288="preventiva",N292,0)</f>
        <v/>
      </c>
      <c r="P292" s="17">
        <f>IF('ORDENES'!$S288="correctiva",N292,0)</f>
        <v/>
      </c>
      <c r="Q292" s="3">
        <f>IF(AND(K292=1,'ORDENES'!$N288="Pendiente"),1,0)</f>
        <v/>
      </c>
      <c r="R292" s="3">
        <f>IF(Q292=1,100000-N292*1000+285*0.01,9000000000000+285)</f>
        <v/>
      </c>
      <c r="S292" s="3">
        <f>IF(Q292=1,SUMPRODUCT(--($R$8:$R$1207&lt;R292))+1,"")</f>
        <v/>
      </c>
      <c r="T292" s="11">
        <f>IF(K292=1,'ORDENES'!$J288,"")</f>
        <v/>
      </c>
    </row>
    <row r="293">
      <c r="K293" s="3">
        <f>IF(AND(IF($B$3="(todos)",TRUE,'ORDENES'!$O289=$B$3),IF($D$3="(todos)",TRUE,'ORDENES'!$AC289=$D$3),IF($F$3="(todos)",TRUE,'ORDENES'!$V289=$F$3),'ORDENES'!$AA289=TRUE,'ORDENES'!$A289&lt;&gt;""),1,0)</f>
        <v/>
      </c>
      <c r="L293" s="3">
        <f>IF(K293=1,IFERROR(MATCH('ORDENES'!$R289,lista_dias,0),9)*1000000000+IFERROR(MATCH('ORDENES'!$AC289,lista_turnos,0),9)*10000000+IFERROR(MATCH('ORDENES'!$AB289,'TECNICOS'!$B$4:$B$15,0),99)*100000+286,9000000000000+286)</f>
        <v/>
      </c>
      <c r="M293" s="3">
        <f>IF(K293=1,SUMPRODUCT(--($L$8:$L$1207&lt;L293))+1,"")</f>
        <v/>
      </c>
      <c r="N293" s="17">
        <f>IF(K293=1,N('ORDENES'!$M289),0)</f>
        <v/>
      </c>
      <c r="O293" s="17">
        <f>IF('ORDENES'!$S289="preventiva",N293,0)</f>
        <v/>
      </c>
      <c r="P293" s="17">
        <f>IF('ORDENES'!$S289="correctiva",N293,0)</f>
        <v/>
      </c>
      <c r="Q293" s="3">
        <f>IF(AND(K293=1,'ORDENES'!$N289="Pendiente"),1,0)</f>
        <v/>
      </c>
      <c r="R293" s="3">
        <f>IF(Q293=1,100000-N293*1000+286*0.01,9000000000000+286)</f>
        <v/>
      </c>
      <c r="S293" s="3">
        <f>IF(Q293=1,SUMPRODUCT(--($R$8:$R$1207&lt;R293))+1,"")</f>
        <v/>
      </c>
      <c r="T293" s="11">
        <f>IF(K293=1,'ORDENES'!$J289,"")</f>
        <v/>
      </c>
    </row>
    <row r="294">
      <c r="K294" s="3">
        <f>IF(AND(IF($B$3="(todos)",TRUE,'ORDENES'!$O290=$B$3),IF($D$3="(todos)",TRUE,'ORDENES'!$AC290=$D$3),IF($F$3="(todos)",TRUE,'ORDENES'!$V290=$F$3),'ORDENES'!$AA290=TRUE,'ORDENES'!$A290&lt;&gt;""),1,0)</f>
        <v/>
      </c>
      <c r="L294" s="3">
        <f>IF(K294=1,IFERROR(MATCH('ORDENES'!$R290,lista_dias,0),9)*1000000000+IFERROR(MATCH('ORDENES'!$AC290,lista_turnos,0),9)*10000000+IFERROR(MATCH('ORDENES'!$AB290,'TECNICOS'!$B$4:$B$15,0),99)*100000+287,9000000000000+287)</f>
        <v/>
      </c>
      <c r="M294" s="3">
        <f>IF(K294=1,SUMPRODUCT(--($L$8:$L$1207&lt;L294))+1,"")</f>
        <v/>
      </c>
      <c r="N294" s="17">
        <f>IF(K294=1,N('ORDENES'!$M290),0)</f>
        <v/>
      </c>
      <c r="O294" s="17">
        <f>IF('ORDENES'!$S290="preventiva",N294,0)</f>
        <v/>
      </c>
      <c r="P294" s="17">
        <f>IF('ORDENES'!$S290="correctiva",N294,0)</f>
        <v/>
      </c>
      <c r="Q294" s="3">
        <f>IF(AND(K294=1,'ORDENES'!$N290="Pendiente"),1,0)</f>
        <v/>
      </c>
      <c r="R294" s="3">
        <f>IF(Q294=1,100000-N294*1000+287*0.01,9000000000000+287)</f>
        <v/>
      </c>
      <c r="S294" s="3">
        <f>IF(Q294=1,SUMPRODUCT(--($R$8:$R$1207&lt;R294))+1,"")</f>
        <v/>
      </c>
      <c r="T294" s="11">
        <f>IF(K294=1,'ORDENES'!$J290,"")</f>
        <v/>
      </c>
    </row>
    <row r="295">
      <c r="K295" s="3">
        <f>IF(AND(IF($B$3="(todos)",TRUE,'ORDENES'!$O291=$B$3),IF($D$3="(todos)",TRUE,'ORDENES'!$AC291=$D$3),IF($F$3="(todos)",TRUE,'ORDENES'!$V291=$F$3),'ORDENES'!$AA291=TRUE,'ORDENES'!$A291&lt;&gt;""),1,0)</f>
        <v/>
      </c>
      <c r="L295" s="3">
        <f>IF(K295=1,IFERROR(MATCH('ORDENES'!$R291,lista_dias,0),9)*1000000000+IFERROR(MATCH('ORDENES'!$AC291,lista_turnos,0),9)*10000000+IFERROR(MATCH('ORDENES'!$AB291,'TECNICOS'!$B$4:$B$15,0),99)*100000+288,9000000000000+288)</f>
        <v/>
      </c>
      <c r="M295" s="3">
        <f>IF(K295=1,SUMPRODUCT(--($L$8:$L$1207&lt;L295))+1,"")</f>
        <v/>
      </c>
      <c r="N295" s="17">
        <f>IF(K295=1,N('ORDENES'!$M291),0)</f>
        <v/>
      </c>
      <c r="O295" s="17">
        <f>IF('ORDENES'!$S291="preventiva",N295,0)</f>
        <v/>
      </c>
      <c r="P295" s="17">
        <f>IF('ORDENES'!$S291="correctiva",N295,0)</f>
        <v/>
      </c>
      <c r="Q295" s="3">
        <f>IF(AND(K295=1,'ORDENES'!$N291="Pendiente"),1,0)</f>
        <v/>
      </c>
      <c r="R295" s="3">
        <f>IF(Q295=1,100000-N295*1000+288*0.01,9000000000000+288)</f>
        <v/>
      </c>
      <c r="S295" s="3">
        <f>IF(Q295=1,SUMPRODUCT(--($R$8:$R$1207&lt;R295))+1,"")</f>
        <v/>
      </c>
      <c r="T295" s="11">
        <f>IF(K295=1,'ORDENES'!$J291,"")</f>
        <v/>
      </c>
    </row>
    <row r="296">
      <c r="K296" s="3">
        <f>IF(AND(IF($B$3="(todos)",TRUE,'ORDENES'!$O292=$B$3),IF($D$3="(todos)",TRUE,'ORDENES'!$AC292=$D$3),IF($F$3="(todos)",TRUE,'ORDENES'!$V292=$F$3),'ORDENES'!$AA292=TRUE,'ORDENES'!$A292&lt;&gt;""),1,0)</f>
        <v/>
      </c>
      <c r="L296" s="3">
        <f>IF(K296=1,IFERROR(MATCH('ORDENES'!$R292,lista_dias,0),9)*1000000000+IFERROR(MATCH('ORDENES'!$AC292,lista_turnos,0),9)*10000000+IFERROR(MATCH('ORDENES'!$AB292,'TECNICOS'!$B$4:$B$15,0),99)*100000+289,9000000000000+289)</f>
        <v/>
      </c>
      <c r="M296" s="3">
        <f>IF(K296=1,SUMPRODUCT(--($L$8:$L$1207&lt;L296))+1,"")</f>
        <v/>
      </c>
      <c r="N296" s="17">
        <f>IF(K296=1,N('ORDENES'!$M292),0)</f>
        <v/>
      </c>
      <c r="O296" s="17">
        <f>IF('ORDENES'!$S292="preventiva",N296,0)</f>
        <v/>
      </c>
      <c r="P296" s="17">
        <f>IF('ORDENES'!$S292="correctiva",N296,0)</f>
        <v/>
      </c>
      <c r="Q296" s="3">
        <f>IF(AND(K296=1,'ORDENES'!$N292="Pendiente"),1,0)</f>
        <v/>
      </c>
      <c r="R296" s="3">
        <f>IF(Q296=1,100000-N296*1000+289*0.01,9000000000000+289)</f>
        <v/>
      </c>
      <c r="S296" s="3">
        <f>IF(Q296=1,SUMPRODUCT(--($R$8:$R$1207&lt;R296))+1,"")</f>
        <v/>
      </c>
      <c r="T296" s="11">
        <f>IF(K296=1,'ORDENES'!$J292,"")</f>
        <v/>
      </c>
    </row>
    <row r="297">
      <c r="K297" s="3">
        <f>IF(AND(IF($B$3="(todos)",TRUE,'ORDENES'!$O293=$B$3),IF($D$3="(todos)",TRUE,'ORDENES'!$AC293=$D$3),IF($F$3="(todos)",TRUE,'ORDENES'!$V293=$F$3),'ORDENES'!$AA293=TRUE,'ORDENES'!$A293&lt;&gt;""),1,0)</f>
        <v/>
      </c>
      <c r="L297" s="3">
        <f>IF(K297=1,IFERROR(MATCH('ORDENES'!$R293,lista_dias,0),9)*1000000000+IFERROR(MATCH('ORDENES'!$AC293,lista_turnos,0),9)*10000000+IFERROR(MATCH('ORDENES'!$AB293,'TECNICOS'!$B$4:$B$15,0),99)*100000+290,9000000000000+290)</f>
        <v/>
      </c>
      <c r="M297" s="3">
        <f>IF(K297=1,SUMPRODUCT(--($L$8:$L$1207&lt;L297))+1,"")</f>
        <v/>
      </c>
      <c r="N297" s="17">
        <f>IF(K297=1,N('ORDENES'!$M293),0)</f>
        <v/>
      </c>
      <c r="O297" s="17">
        <f>IF('ORDENES'!$S293="preventiva",N297,0)</f>
        <v/>
      </c>
      <c r="P297" s="17">
        <f>IF('ORDENES'!$S293="correctiva",N297,0)</f>
        <v/>
      </c>
      <c r="Q297" s="3">
        <f>IF(AND(K297=1,'ORDENES'!$N293="Pendiente"),1,0)</f>
        <v/>
      </c>
      <c r="R297" s="3">
        <f>IF(Q297=1,100000-N297*1000+290*0.01,9000000000000+290)</f>
        <v/>
      </c>
      <c r="S297" s="3">
        <f>IF(Q297=1,SUMPRODUCT(--($R$8:$R$1207&lt;R297))+1,"")</f>
        <v/>
      </c>
      <c r="T297" s="11">
        <f>IF(K297=1,'ORDENES'!$J293,"")</f>
        <v/>
      </c>
    </row>
    <row r="298">
      <c r="K298" s="3">
        <f>IF(AND(IF($B$3="(todos)",TRUE,'ORDENES'!$O294=$B$3),IF($D$3="(todos)",TRUE,'ORDENES'!$AC294=$D$3),IF($F$3="(todos)",TRUE,'ORDENES'!$V294=$F$3),'ORDENES'!$AA294=TRUE,'ORDENES'!$A294&lt;&gt;""),1,0)</f>
        <v/>
      </c>
      <c r="L298" s="3">
        <f>IF(K298=1,IFERROR(MATCH('ORDENES'!$R294,lista_dias,0),9)*1000000000+IFERROR(MATCH('ORDENES'!$AC294,lista_turnos,0),9)*10000000+IFERROR(MATCH('ORDENES'!$AB294,'TECNICOS'!$B$4:$B$15,0),99)*100000+291,9000000000000+291)</f>
        <v/>
      </c>
      <c r="M298" s="3">
        <f>IF(K298=1,SUMPRODUCT(--($L$8:$L$1207&lt;L298))+1,"")</f>
        <v/>
      </c>
      <c r="N298" s="17">
        <f>IF(K298=1,N('ORDENES'!$M294),0)</f>
        <v/>
      </c>
      <c r="O298" s="17">
        <f>IF('ORDENES'!$S294="preventiva",N298,0)</f>
        <v/>
      </c>
      <c r="P298" s="17">
        <f>IF('ORDENES'!$S294="correctiva",N298,0)</f>
        <v/>
      </c>
      <c r="Q298" s="3">
        <f>IF(AND(K298=1,'ORDENES'!$N294="Pendiente"),1,0)</f>
        <v/>
      </c>
      <c r="R298" s="3">
        <f>IF(Q298=1,100000-N298*1000+291*0.01,9000000000000+291)</f>
        <v/>
      </c>
      <c r="S298" s="3">
        <f>IF(Q298=1,SUMPRODUCT(--($R$8:$R$1207&lt;R298))+1,"")</f>
        <v/>
      </c>
      <c r="T298" s="11">
        <f>IF(K298=1,'ORDENES'!$J294,"")</f>
        <v/>
      </c>
    </row>
    <row r="299">
      <c r="K299" s="3">
        <f>IF(AND(IF($B$3="(todos)",TRUE,'ORDENES'!$O295=$B$3),IF($D$3="(todos)",TRUE,'ORDENES'!$AC295=$D$3),IF($F$3="(todos)",TRUE,'ORDENES'!$V295=$F$3),'ORDENES'!$AA295=TRUE,'ORDENES'!$A295&lt;&gt;""),1,0)</f>
        <v/>
      </c>
      <c r="L299" s="3">
        <f>IF(K299=1,IFERROR(MATCH('ORDENES'!$R295,lista_dias,0),9)*1000000000+IFERROR(MATCH('ORDENES'!$AC295,lista_turnos,0),9)*10000000+IFERROR(MATCH('ORDENES'!$AB295,'TECNICOS'!$B$4:$B$15,0),99)*100000+292,9000000000000+292)</f>
        <v/>
      </c>
      <c r="M299" s="3">
        <f>IF(K299=1,SUMPRODUCT(--($L$8:$L$1207&lt;L299))+1,"")</f>
        <v/>
      </c>
      <c r="N299" s="17">
        <f>IF(K299=1,N('ORDENES'!$M295),0)</f>
        <v/>
      </c>
      <c r="O299" s="17">
        <f>IF('ORDENES'!$S295="preventiva",N299,0)</f>
        <v/>
      </c>
      <c r="P299" s="17">
        <f>IF('ORDENES'!$S295="correctiva",N299,0)</f>
        <v/>
      </c>
      <c r="Q299" s="3">
        <f>IF(AND(K299=1,'ORDENES'!$N295="Pendiente"),1,0)</f>
        <v/>
      </c>
      <c r="R299" s="3">
        <f>IF(Q299=1,100000-N299*1000+292*0.01,9000000000000+292)</f>
        <v/>
      </c>
      <c r="S299" s="3">
        <f>IF(Q299=1,SUMPRODUCT(--($R$8:$R$1207&lt;R299))+1,"")</f>
        <v/>
      </c>
      <c r="T299" s="11">
        <f>IF(K299=1,'ORDENES'!$J295,"")</f>
        <v/>
      </c>
    </row>
    <row r="300">
      <c r="K300" s="3">
        <f>IF(AND(IF($B$3="(todos)",TRUE,'ORDENES'!$O296=$B$3),IF($D$3="(todos)",TRUE,'ORDENES'!$AC296=$D$3),IF($F$3="(todos)",TRUE,'ORDENES'!$V296=$F$3),'ORDENES'!$AA296=TRUE,'ORDENES'!$A296&lt;&gt;""),1,0)</f>
        <v/>
      </c>
      <c r="L300" s="3">
        <f>IF(K300=1,IFERROR(MATCH('ORDENES'!$R296,lista_dias,0),9)*1000000000+IFERROR(MATCH('ORDENES'!$AC296,lista_turnos,0),9)*10000000+IFERROR(MATCH('ORDENES'!$AB296,'TECNICOS'!$B$4:$B$15,0),99)*100000+293,9000000000000+293)</f>
        <v/>
      </c>
      <c r="M300" s="3">
        <f>IF(K300=1,SUMPRODUCT(--($L$8:$L$1207&lt;L300))+1,"")</f>
        <v/>
      </c>
      <c r="N300" s="17">
        <f>IF(K300=1,N('ORDENES'!$M296),0)</f>
        <v/>
      </c>
      <c r="O300" s="17">
        <f>IF('ORDENES'!$S296="preventiva",N300,0)</f>
        <v/>
      </c>
      <c r="P300" s="17">
        <f>IF('ORDENES'!$S296="correctiva",N300,0)</f>
        <v/>
      </c>
      <c r="Q300" s="3">
        <f>IF(AND(K300=1,'ORDENES'!$N296="Pendiente"),1,0)</f>
        <v/>
      </c>
      <c r="R300" s="3">
        <f>IF(Q300=1,100000-N300*1000+293*0.01,9000000000000+293)</f>
        <v/>
      </c>
      <c r="S300" s="3">
        <f>IF(Q300=1,SUMPRODUCT(--($R$8:$R$1207&lt;R300))+1,"")</f>
        <v/>
      </c>
      <c r="T300" s="11">
        <f>IF(K300=1,'ORDENES'!$J296,"")</f>
        <v/>
      </c>
    </row>
    <row r="301">
      <c r="K301" s="3">
        <f>IF(AND(IF($B$3="(todos)",TRUE,'ORDENES'!$O297=$B$3),IF($D$3="(todos)",TRUE,'ORDENES'!$AC297=$D$3),IF($F$3="(todos)",TRUE,'ORDENES'!$V297=$F$3),'ORDENES'!$AA297=TRUE,'ORDENES'!$A297&lt;&gt;""),1,0)</f>
        <v/>
      </c>
      <c r="L301" s="3">
        <f>IF(K301=1,IFERROR(MATCH('ORDENES'!$R297,lista_dias,0),9)*1000000000+IFERROR(MATCH('ORDENES'!$AC297,lista_turnos,0),9)*10000000+IFERROR(MATCH('ORDENES'!$AB297,'TECNICOS'!$B$4:$B$15,0),99)*100000+294,9000000000000+294)</f>
        <v/>
      </c>
      <c r="M301" s="3">
        <f>IF(K301=1,SUMPRODUCT(--($L$8:$L$1207&lt;L301))+1,"")</f>
        <v/>
      </c>
      <c r="N301" s="17">
        <f>IF(K301=1,N('ORDENES'!$M297),0)</f>
        <v/>
      </c>
      <c r="O301" s="17">
        <f>IF('ORDENES'!$S297="preventiva",N301,0)</f>
        <v/>
      </c>
      <c r="P301" s="17">
        <f>IF('ORDENES'!$S297="correctiva",N301,0)</f>
        <v/>
      </c>
      <c r="Q301" s="3">
        <f>IF(AND(K301=1,'ORDENES'!$N297="Pendiente"),1,0)</f>
        <v/>
      </c>
      <c r="R301" s="3">
        <f>IF(Q301=1,100000-N301*1000+294*0.01,9000000000000+294)</f>
        <v/>
      </c>
      <c r="S301" s="3">
        <f>IF(Q301=1,SUMPRODUCT(--($R$8:$R$1207&lt;R301))+1,"")</f>
        <v/>
      </c>
      <c r="T301" s="11">
        <f>IF(K301=1,'ORDENES'!$J297,"")</f>
        <v/>
      </c>
    </row>
    <row r="302">
      <c r="K302" s="3">
        <f>IF(AND(IF($B$3="(todos)",TRUE,'ORDENES'!$O298=$B$3),IF($D$3="(todos)",TRUE,'ORDENES'!$AC298=$D$3),IF($F$3="(todos)",TRUE,'ORDENES'!$V298=$F$3),'ORDENES'!$AA298=TRUE,'ORDENES'!$A298&lt;&gt;""),1,0)</f>
        <v/>
      </c>
      <c r="L302" s="3">
        <f>IF(K302=1,IFERROR(MATCH('ORDENES'!$R298,lista_dias,0),9)*1000000000+IFERROR(MATCH('ORDENES'!$AC298,lista_turnos,0),9)*10000000+IFERROR(MATCH('ORDENES'!$AB298,'TECNICOS'!$B$4:$B$15,0),99)*100000+295,9000000000000+295)</f>
        <v/>
      </c>
      <c r="M302" s="3">
        <f>IF(K302=1,SUMPRODUCT(--($L$8:$L$1207&lt;L302))+1,"")</f>
        <v/>
      </c>
      <c r="N302" s="17">
        <f>IF(K302=1,N('ORDENES'!$M298),0)</f>
        <v/>
      </c>
      <c r="O302" s="17">
        <f>IF('ORDENES'!$S298="preventiva",N302,0)</f>
        <v/>
      </c>
      <c r="P302" s="17">
        <f>IF('ORDENES'!$S298="correctiva",N302,0)</f>
        <v/>
      </c>
      <c r="Q302" s="3">
        <f>IF(AND(K302=1,'ORDENES'!$N298="Pendiente"),1,0)</f>
        <v/>
      </c>
      <c r="R302" s="3">
        <f>IF(Q302=1,100000-N302*1000+295*0.01,9000000000000+295)</f>
        <v/>
      </c>
      <c r="S302" s="3">
        <f>IF(Q302=1,SUMPRODUCT(--($R$8:$R$1207&lt;R302))+1,"")</f>
        <v/>
      </c>
      <c r="T302" s="11">
        <f>IF(K302=1,'ORDENES'!$J298,"")</f>
        <v/>
      </c>
    </row>
    <row r="303">
      <c r="K303" s="3">
        <f>IF(AND(IF($B$3="(todos)",TRUE,'ORDENES'!$O299=$B$3),IF($D$3="(todos)",TRUE,'ORDENES'!$AC299=$D$3),IF($F$3="(todos)",TRUE,'ORDENES'!$V299=$F$3),'ORDENES'!$AA299=TRUE,'ORDENES'!$A299&lt;&gt;""),1,0)</f>
        <v/>
      </c>
      <c r="L303" s="3">
        <f>IF(K303=1,IFERROR(MATCH('ORDENES'!$R299,lista_dias,0),9)*1000000000+IFERROR(MATCH('ORDENES'!$AC299,lista_turnos,0),9)*10000000+IFERROR(MATCH('ORDENES'!$AB299,'TECNICOS'!$B$4:$B$15,0),99)*100000+296,9000000000000+296)</f>
        <v/>
      </c>
      <c r="M303" s="3">
        <f>IF(K303=1,SUMPRODUCT(--($L$8:$L$1207&lt;L303))+1,"")</f>
        <v/>
      </c>
      <c r="N303" s="17">
        <f>IF(K303=1,N('ORDENES'!$M299),0)</f>
        <v/>
      </c>
      <c r="O303" s="17">
        <f>IF('ORDENES'!$S299="preventiva",N303,0)</f>
        <v/>
      </c>
      <c r="P303" s="17">
        <f>IF('ORDENES'!$S299="correctiva",N303,0)</f>
        <v/>
      </c>
      <c r="Q303" s="3">
        <f>IF(AND(K303=1,'ORDENES'!$N299="Pendiente"),1,0)</f>
        <v/>
      </c>
      <c r="R303" s="3">
        <f>IF(Q303=1,100000-N303*1000+296*0.01,9000000000000+296)</f>
        <v/>
      </c>
      <c r="S303" s="3">
        <f>IF(Q303=1,SUMPRODUCT(--($R$8:$R$1207&lt;R303))+1,"")</f>
        <v/>
      </c>
      <c r="T303" s="11">
        <f>IF(K303=1,'ORDENES'!$J299,"")</f>
        <v/>
      </c>
    </row>
    <row r="304">
      <c r="K304" s="3">
        <f>IF(AND(IF($B$3="(todos)",TRUE,'ORDENES'!$O300=$B$3),IF($D$3="(todos)",TRUE,'ORDENES'!$AC300=$D$3),IF($F$3="(todos)",TRUE,'ORDENES'!$V300=$F$3),'ORDENES'!$AA300=TRUE,'ORDENES'!$A300&lt;&gt;""),1,0)</f>
        <v/>
      </c>
      <c r="L304" s="3">
        <f>IF(K304=1,IFERROR(MATCH('ORDENES'!$R300,lista_dias,0),9)*1000000000+IFERROR(MATCH('ORDENES'!$AC300,lista_turnos,0),9)*10000000+IFERROR(MATCH('ORDENES'!$AB300,'TECNICOS'!$B$4:$B$15,0),99)*100000+297,9000000000000+297)</f>
        <v/>
      </c>
      <c r="M304" s="3">
        <f>IF(K304=1,SUMPRODUCT(--($L$8:$L$1207&lt;L304))+1,"")</f>
        <v/>
      </c>
      <c r="N304" s="17">
        <f>IF(K304=1,N('ORDENES'!$M300),0)</f>
        <v/>
      </c>
      <c r="O304" s="17">
        <f>IF('ORDENES'!$S300="preventiva",N304,0)</f>
        <v/>
      </c>
      <c r="P304" s="17">
        <f>IF('ORDENES'!$S300="correctiva",N304,0)</f>
        <v/>
      </c>
      <c r="Q304" s="3">
        <f>IF(AND(K304=1,'ORDENES'!$N300="Pendiente"),1,0)</f>
        <v/>
      </c>
      <c r="R304" s="3">
        <f>IF(Q304=1,100000-N304*1000+297*0.01,9000000000000+297)</f>
        <v/>
      </c>
      <c r="S304" s="3">
        <f>IF(Q304=1,SUMPRODUCT(--($R$8:$R$1207&lt;R304))+1,"")</f>
        <v/>
      </c>
      <c r="T304" s="11">
        <f>IF(K304=1,'ORDENES'!$J300,"")</f>
        <v/>
      </c>
    </row>
    <row r="305">
      <c r="K305" s="3">
        <f>IF(AND(IF($B$3="(todos)",TRUE,'ORDENES'!$O301=$B$3),IF($D$3="(todos)",TRUE,'ORDENES'!$AC301=$D$3),IF($F$3="(todos)",TRUE,'ORDENES'!$V301=$F$3),'ORDENES'!$AA301=TRUE,'ORDENES'!$A301&lt;&gt;""),1,0)</f>
        <v/>
      </c>
      <c r="L305" s="3">
        <f>IF(K305=1,IFERROR(MATCH('ORDENES'!$R301,lista_dias,0),9)*1000000000+IFERROR(MATCH('ORDENES'!$AC301,lista_turnos,0),9)*10000000+IFERROR(MATCH('ORDENES'!$AB301,'TECNICOS'!$B$4:$B$15,0),99)*100000+298,9000000000000+298)</f>
        <v/>
      </c>
      <c r="M305" s="3">
        <f>IF(K305=1,SUMPRODUCT(--($L$8:$L$1207&lt;L305))+1,"")</f>
        <v/>
      </c>
      <c r="N305" s="17">
        <f>IF(K305=1,N('ORDENES'!$M301),0)</f>
        <v/>
      </c>
      <c r="O305" s="17">
        <f>IF('ORDENES'!$S301="preventiva",N305,0)</f>
        <v/>
      </c>
      <c r="P305" s="17">
        <f>IF('ORDENES'!$S301="correctiva",N305,0)</f>
        <v/>
      </c>
      <c r="Q305" s="3">
        <f>IF(AND(K305=1,'ORDENES'!$N301="Pendiente"),1,0)</f>
        <v/>
      </c>
      <c r="R305" s="3">
        <f>IF(Q305=1,100000-N305*1000+298*0.01,9000000000000+298)</f>
        <v/>
      </c>
      <c r="S305" s="3">
        <f>IF(Q305=1,SUMPRODUCT(--($R$8:$R$1207&lt;R305))+1,"")</f>
        <v/>
      </c>
      <c r="T305" s="11">
        <f>IF(K305=1,'ORDENES'!$J301,"")</f>
        <v/>
      </c>
    </row>
    <row r="306">
      <c r="K306" s="3">
        <f>IF(AND(IF($B$3="(todos)",TRUE,'ORDENES'!$O302=$B$3),IF($D$3="(todos)",TRUE,'ORDENES'!$AC302=$D$3),IF($F$3="(todos)",TRUE,'ORDENES'!$V302=$F$3),'ORDENES'!$AA302=TRUE,'ORDENES'!$A302&lt;&gt;""),1,0)</f>
        <v/>
      </c>
      <c r="L306" s="3">
        <f>IF(K306=1,IFERROR(MATCH('ORDENES'!$R302,lista_dias,0),9)*1000000000+IFERROR(MATCH('ORDENES'!$AC302,lista_turnos,0),9)*10000000+IFERROR(MATCH('ORDENES'!$AB302,'TECNICOS'!$B$4:$B$15,0),99)*100000+299,9000000000000+299)</f>
        <v/>
      </c>
      <c r="M306" s="3">
        <f>IF(K306=1,SUMPRODUCT(--($L$8:$L$1207&lt;L306))+1,"")</f>
        <v/>
      </c>
      <c r="N306" s="17">
        <f>IF(K306=1,N('ORDENES'!$M302),0)</f>
        <v/>
      </c>
      <c r="O306" s="17">
        <f>IF('ORDENES'!$S302="preventiva",N306,0)</f>
        <v/>
      </c>
      <c r="P306" s="17">
        <f>IF('ORDENES'!$S302="correctiva",N306,0)</f>
        <v/>
      </c>
      <c r="Q306" s="3">
        <f>IF(AND(K306=1,'ORDENES'!$N302="Pendiente"),1,0)</f>
        <v/>
      </c>
      <c r="R306" s="3">
        <f>IF(Q306=1,100000-N306*1000+299*0.01,9000000000000+299)</f>
        <v/>
      </c>
      <c r="S306" s="3">
        <f>IF(Q306=1,SUMPRODUCT(--($R$8:$R$1207&lt;R306))+1,"")</f>
        <v/>
      </c>
      <c r="T306" s="11">
        <f>IF(K306=1,'ORDENES'!$J302,"")</f>
        <v/>
      </c>
    </row>
    <row r="307">
      <c r="K307" s="3">
        <f>IF(AND(IF($B$3="(todos)",TRUE,'ORDENES'!$O303=$B$3),IF($D$3="(todos)",TRUE,'ORDENES'!$AC303=$D$3),IF($F$3="(todos)",TRUE,'ORDENES'!$V303=$F$3),'ORDENES'!$AA303=TRUE,'ORDENES'!$A303&lt;&gt;""),1,0)</f>
        <v/>
      </c>
      <c r="L307" s="3">
        <f>IF(K307=1,IFERROR(MATCH('ORDENES'!$R303,lista_dias,0),9)*1000000000+IFERROR(MATCH('ORDENES'!$AC303,lista_turnos,0),9)*10000000+IFERROR(MATCH('ORDENES'!$AB303,'TECNICOS'!$B$4:$B$15,0),99)*100000+300,9000000000000+300)</f>
        <v/>
      </c>
      <c r="M307" s="3">
        <f>IF(K307=1,SUMPRODUCT(--($L$8:$L$1207&lt;L307))+1,"")</f>
        <v/>
      </c>
      <c r="N307" s="17">
        <f>IF(K307=1,N('ORDENES'!$M303),0)</f>
        <v/>
      </c>
      <c r="O307" s="17">
        <f>IF('ORDENES'!$S303="preventiva",N307,0)</f>
        <v/>
      </c>
      <c r="P307" s="17">
        <f>IF('ORDENES'!$S303="correctiva",N307,0)</f>
        <v/>
      </c>
      <c r="Q307" s="3">
        <f>IF(AND(K307=1,'ORDENES'!$N303="Pendiente"),1,0)</f>
        <v/>
      </c>
      <c r="R307" s="3">
        <f>IF(Q307=1,100000-N307*1000+300*0.01,9000000000000+300)</f>
        <v/>
      </c>
      <c r="S307" s="3">
        <f>IF(Q307=1,SUMPRODUCT(--($R$8:$R$1207&lt;R307))+1,"")</f>
        <v/>
      </c>
      <c r="T307" s="11">
        <f>IF(K307=1,'ORDENES'!$J303,"")</f>
        <v/>
      </c>
    </row>
    <row r="308">
      <c r="K308" s="3">
        <f>IF(AND(IF($B$3="(todos)",TRUE,'ORDENES'!$O304=$B$3),IF($D$3="(todos)",TRUE,'ORDENES'!$AC304=$D$3),IF($F$3="(todos)",TRUE,'ORDENES'!$V304=$F$3),'ORDENES'!$AA304=TRUE,'ORDENES'!$A304&lt;&gt;""),1,0)</f>
        <v/>
      </c>
      <c r="L308" s="3">
        <f>IF(K308=1,IFERROR(MATCH('ORDENES'!$R304,lista_dias,0),9)*1000000000+IFERROR(MATCH('ORDENES'!$AC304,lista_turnos,0),9)*10000000+IFERROR(MATCH('ORDENES'!$AB304,'TECNICOS'!$B$4:$B$15,0),99)*100000+301,9000000000000+301)</f>
        <v/>
      </c>
      <c r="M308" s="3">
        <f>IF(K308=1,SUMPRODUCT(--($L$8:$L$1207&lt;L308))+1,"")</f>
        <v/>
      </c>
      <c r="N308" s="17">
        <f>IF(K308=1,N('ORDENES'!$M304),0)</f>
        <v/>
      </c>
      <c r="O308" s="17">
        <f>IF('ORDENES'!$S304="preventiva",N308,0)</f>
        <v/>
      </c>
      <c r="P308" s="17">
        <f>IF('ORDENES'!$S304="correctiva",N308,0)</f>
        <v/>
      </c>
      <c r="Q308" s="3">
        <f>IF(AND(K308=1,'ORDENES'!$N304="Pendiente"),1,0)</f>
        <v/>
      </c>
      <c r="R308" s="3">
        <f>IF(Q308=1,100000-N308*1000+301*0.01,9000000000000+301)</f>
        <v/>
      </c>
      <c r="S308" s="3">
        <f>IF(Q308=1,SUMPRODUCT(--($R$8:$R$1207&lt;R308))+1,"")</f>
        <v/>
      </c>
      <c r="T308" s="11">
        <f>IF(K308=1,'ORDENES'!$J304,"")</f>
        <v/>
      </c>
    </row>
    <row r="309">
      <c r="K309" s="3">
        <f>IF(AND(IF($B$3="(todos)",TRUE,'ORDENES'!$O305=$B$3),IF($D$3="(todos)",TRUE,'ORDENES'!$AC305=$D$3),IF($F$3="(todos)",TRUE,'ORDENES'!$V305=$F$3),'ORDENES'!$AA305=TRUE,'ORDENES'!$A305&lt;&gt;""),1,0)</f>
        <v/>
      </c>
      <c r="L309" s="3">
        <f>IF(K309=1,IFERROR(MATCH('ORDENES'!$R305,lista_dias,0),9)*1000000000+IFERROR(MATCH('ORDENES'!$AC305,lista_turnos,0),9)*10000000+IFERROR(MATCH('ORDENES'!$AB305,'TECNICOS'!$B$4:$B$15,0),99)*100000+302,9000000000000+302)</f>
        <v/>
      </c>
      <c r="M309" s="3">
        <f>IF(K309=1,SUMPRODUCT(--($L$8:$L$1207&lt;L309))+1,"")</f>
        <v/>
      </c>
      <c r="N309" s="17">
        <f>IF(K309=1,N('ORDENES'!$M305),0)</f>
        <v/>
      </c>
      <c r="O309" s="17">
        <f>IF('ORDENES'!$S305="preventiva",N309,0)</f>
        <v/>
      </c>
      <c r="P309" s="17">
        <f>IF('ORDENES'!$S305="correctiva",N309,0)</f>
        <v/>
      </c>
      <c r="Q309" s="3">
        <f>IF(AND(K309=1,'ORDENES'!$N305="Pendiente"),1,0)</f>
        <v/>
      </c>
      <c r="R309" s="3">
        <f>IF(Q309=1,100000-N309*1000+302*0.01,9000000000000+302)</f>
        <v/>
      </c>
      <c r="S309" s="3">
        <f>IF(Q309=1,SUMPRODUCT(--($R$8:$R$1207&lt;R309))+1,"")</f>
        <v/>
      </c>
      <c r="T309" s="11">
        <f>IF(K309=1,'ORDENES'!$J305,"")</f>
        <v/>
      </c>
    </row>
    <row r="310">
      <c r="K310" s="3">
        <f>IF(AND(IF($B$3="(todos)",TRUE,'ORDENES'!$O306=$B$3),IF($D$3="(todos)",TRUE,'ORDENES'!$AC306=$D$3),IF($F$3="(todos)",TRUE,'ORDENES'!$V306=$F$3),'ORDENES'!$AA306=TRUE,'ORDENES'!$A306&lt;&gt;""),1,0)</f>
        <v/>
      </c>
      <c r="L310" s="3">
        <f>IF(K310=1,IFERROR(MATCH('ORDENES'!$R306,lista_dias,0),9)*1000000000+IFERROR(MATCH('ORDENES'!$AC306,lista_turnos,0),9)*10000000+IFERROR(MATCH('ORDENES'!$AB306,'TECNICOS'!$B$4:$B$15,0),99)*100000+303,9000000000000+303)</f>
        <v/>
      </c>
      <c r="M310" s="3">
        <f>IF(K310=1,SUMPRODUCT(--($L$8:$L$1207&lt;L310))+1,"")</f>
        <v/>
      </c>
      <c r="N310" s="17">
        <f>IF(K310=1,N('ORDENES'!$M306),0)</f>
        <v/>
      </c>
      <c r="O310" s="17">
        <f>IF('ORDENES'!$S306="preventiva",N310,0)</f>
        <v/>
      </c>
      <c r="P310" s="17">
        <f>IF('ORDENES'!$S306="correctiva",N310,0)</f>
        <v/>
      </c>
      <c r="Q310" s="3">
        <f>IF(AND(K310=1,'ORDENES'!$N306="Pendiente"),1,0)</f>
        <v/>
      </c>
      <c r="R310" s="3">
        <f>IF(Q310=1,100000-N310*1000+303*0.01,9000000000000+303)</f>
        <v/>
      </c>
      <c r="S310" s="3">
        <f>IF(Q310=1,SUMPRODUCT(--($R$8:$R$1207&lt;R310))+1,"")</f>
        <v/>
      </c>
      <c r="T310" s="11">
        <f>IF(K310=1,'ORDENES'!$J306,"")</f>
        <v/>
      </c>
    </row>
    <row r="311">
      <c r="K311" s="3">
        <f>IF(AND(IF($B$3="(todos)",TRUE,'ORDENES'!$O307=$B$3),IF($D$3="(todos)",TRUE,'ORDENES'!$AC307=$D$3),IF($F$3="(todos)",TRUE,'ORDENES'!$V307=$F$3),'ORDENES'!$AA307=TRUE,'ORDENES'!$A307&lt;&gt;""),1,0)</f>
        <v/>
      </c>
      <c r="L311" s="3">
        <f>IF(K311=1,IFERROR(MATCH('ORDENES'!$R307,lista_dias,0),9)*1000000000+IFERROR(MATCH('ORDENES'!$AC307,lista_turnos,0),9)*10000000+IFERROR(MATCH('ORDENES'!$AB307,'TECNICOS'!$B$4:$B$15,0),99)*100000+304,9000000000000+304)</f>
        <v/>
      </c>
      <c r="M311" s="3">
        <f>IF(K311=1,SUMPRODUCT(--($L$8:$L$1207&lt;L311))+1,"")</f>
        <v/>
      </c>
      <c r="N311" s="17">
        <f>IF(K311=1,N('ORDENES'!$M307),0)</f>
        <v/>
      </c>
      <c r="O311" s="17">
        <f>IF('ORDENES'!$S307="preventiva",N311,0)</f>
        <v/>
      </c>
      <c r="P311" s="17">
        <f>IF('ORDENES'!$S307="correctiva",N311,0)</f>
        <v/>
      </c>
      <c r="Q311" s="3">
        <f>IF(AND(K311=1,'ORDENES'!$N307="Pendiente"),1,0)</f>
        <v/>
      </c>
      <c r="R311" s="3">
        <f>IF(Q311=1,100000-N311*1000+304*0.01,9000000000000+304)</f>
        <v/>
      </c>
      <c r="S311" s="3">
        <f>IF(Q311=1,SUMPRODUCT(--($R$8:$R$1207&lt;R311))+1,"")</f>
        <v/>
      </c>
      <c r="T311" s="11">
        <f>IF(K311=1,'ORDENES'!$J307,"")</f>
        <v/>
      </c>
    </row>
    <row r="312">
      <c r="K312" s="3">
        <f>IF(AND(IF($B$3="(todos)",TRUE,'ORDENES'!$O308=$B$3),IF($D$3="(todos)",TRUE,'ORDENES'!$AC308=$D$3),IF($F$3="(todos)",TRUE,'ORDENES'!$V308=$F$3),'ORDENES'!$AA308=TRUE,'ORDENES'!$A308&lt;&gt;""),1,0)</f>
        <v/>
      </c>
      <c r="L312" s="3">
        <f>IF(K312=1,IFERROR(MATCH('ORDENES'!$R308,lista_dias,0),9)*1000000000+IFERROR(MATCH('ORDENES'!$AC308,lista_turnos,0),9)*10000000+IFERROR(MATCH('ORDENES'!$AB308,'TECNICOS'!$B$4:$B$15,0),99)*100000+305,9000000000000+305)</f>
        <v/>
      </c>
      <c r="M312" s="3">
        <f>IF(K312=1,SUMPRODUCT(--($L$8:$L$1207&lt;L312))+1,"")</f>
        <v/>
      </c>
      <c r="N312" s="17">
        <f>IF(K312=1,N('ORDENES'!$M308),0)</f>
        <v/>
      </c>
      <c r="O312" s="17">
        <f>IF('ORDENES'!$S308="preventiva",N312,0)</f>
        <v/>
      </c>
      <c r="P312" s="17">
        <f>IF('ORDENES'!$S308="correctiva",N312,0)</f>
        <v/>
      </c>
      <c r="Q312" s="3">
        <f>IF(AND(K312=1,'ORDENES'!$N308="Pendiente"),1,0)</f>
        <v/>
      </c>
      <c r="R312" s="3">
        <f>IF(Q312=1,100000-N312*1000+305*0.01,9000000000000+305)</f>
        <v/>
      </c>
      <c r="S312" s="3">
        <f>IF(Q312=1,SUMPRODUCT(--($R$8:$R$1207&lt;R312))+1,"")</f>
        <v/>
      </c>
      <c r="T312" s="11">
        <f>IF(K312=1,'ORDENES'!$J308,"")</f>
        <v/>
      </c>
    </row>
    <row r="313">
      <c r="K313" s="3">
        <f>IF(AND(IF($B$3="(todos)",TRUE,'ORDENES'!$O309=$B$3),IF($D$3="(todos)",TRUE,'ORDENES'!$AC309=$D$3),IF($F$3="(todos)",TRUE,'ORDENES'!$V309=$F$3),'ORDENES'!$AA309=TRUE,'ORDENES'!$A309&lt;&gt;""),1,0)</f>
        <v/>
      </c>
      <c r="L313" s="3">
        <f>IF(K313=1,IFERROR(MATCH('ORDENES'!$R309,lista_dias,0),9)*1000000000+IFERROR(MATCH('ORDENES'!$AC309,lista_turnos,0),9)*10000000+IFERROR(MATCH('ORDENES'!$AB309,'TECNICOS'!$B$4:$B$15,0),99)*100000+306,9000000000000+306)</f>
        <v/>
      </c>
      <c r="M313" s="3">
        <f>IF(K313=1,SUMPRODUCT(--($L$8:$L$1207&lt;L313))+1,"")</f>
        <v/>
      </c>
      <c r="N313" s="17">
        <f>IF(K313=1,N('ORDENES'!$M309),0)</f>
        <v/>
      </c>
      <c r="O313" s="17">
        <f>IF('ORDENES'!$S309="preventiva",N313,0)</f>
        <v/>
      </c>
      <c r="P313" s="17">
        <f>IF('ORDENES'!$S309="correctiva",N313,0)</f>
        <v/>
      </c>
      <c r="Q313" s="3">
        <f>IF(AND(K313=1,'ORDENES'!$N309="Pendiente"),1,0)</f>
        <v/>
      </c>
      <c r="R313" s="3">
        <f>IF(Q313=1,100000-N313*1000+306*0.01,9000000000000+306)</f>
        <v/>
      </c>
      <c r="S313" s="3">
        <f>IF(Q313=1,SUMPRODUCT(--($R$8:$R$1207&lt;R313))+1,"")</f>
        <v/>
      </c>
      <c r="T313" s="11">
        <f>IF(K313=1,'ORDENES'!$J309,"")</f>
        <v/>
      </c>
    </row>
    <row r="314">
      <c r="K314" s="3">
        <f>IF(AND(IF($B$3="(todos)",TRUE,'ORDENES'!$O310=$B$3),IF($D$3="(todos)",TRUE,'ORDENES'!$AC310=$D$3),IF($F$3="(todos)",TRUE,'ORDENES'!$V310=$F$3),'ORDENES'!$AA310=TRUE,'ORDENES'!$A310&lt;&gt;""),1,0)</f>
        <v/>
      </c>
      <c r="L314" s="3">
        <f>IF(K314=1,IFERROR(MATCH('ORDENES'!$R310,lista_dias,0),9)*1000000000+IFERROR(MATCH('ORDENES'!$AC310,lista_turnos,0),9)*10000000+IFERROR(MATCH('ORDENES'!$AB310,'TECNICOS'!$B$4:$B$15,0),99)*100000+307,9000000000000+307)</f>
        <v/>
      </c>
      <c r="M314" s="3">
        <f>IF(K314=1,SUMPRODUCT(--($L$8:$L$1207&lt;L314))+1,"")</f>
        <v/>
      </c>
      <c r="N314" s="17">
        <f>IF(K314=1,N('ORDENES'!$M310),0)</f>
        <v/>
      </c>
      <c r="O314" s="17">
        <f>IF('ORDENES'!$S310="preventiva",N314,0)</f>
        <v/>
      </c>
      <c r="P314" s="17">
        <f>IF('ORDENES'!$S310="correctiva",N314,0)</f>
        <v/>
      </c>
      <c r="Q314" s="3">
        <f>IF(AND(K314=1,'ORDENES'!$N310="Pendiente"),1,0)</f>
        <v/>
      </c>
      <c r="R314" s="3">
        <f>IF(Q314=1,100000-N314*1000+307*0.01,9000000000000+307)</f>
        <v/>
      </c>
      <c r="S314" s="3">
        <f>IF(Q314=1,SUMPRODUCT(--($R$8:$R$1207&lt;R314))+1,"")</f>
        <v/>
      </c>
      <c r="T314" s="11">
        <f>IF(K314=1,'ORDENES'!$J310,"")</f>
        <v/>
      </c>
    </row>
    <row r="315">
      <c r="K315" s="3">
        <f>IF(AND(IF($B$3="(todos)",TRUE,'ORDENES'!$O311=$B$3),IF($D$3="(todos)",TRUE,'ORDENES'!$AC311=$D$3),IF($F$3="(todos)",TRUE,'ORDENES'!$V311=$F$3),'ORDENES'!$AA311=TRUE,'ORDENES'!$A311&lt;&gt;""),1,0)</f>
        <v/>
      </c>
      <c r="L315" s="3">
        <f>IF(K315=1,IFERROR(MATCH('ORDENES'!$R311,lista_dias,0),9)*1000000000+IFERROR(MATCH('ORDENES'!$AC311,lista_turnos,0),9)*10000000+IFERROR(MATCH('ORDENES'!$AB311,'TECNICOS'!$B$4:$B$15,0),99)*100000+308,9000000000000+308)</f>
        <v/>
      </c>
      <c r="M315" s="3">
        <f>IF(K315=1,SUMPRODUCT(--($L$8:$L$1207&lt;L315))+1,"")</f>
        <v/>
      </c>
      <c r="N315" s="17">
        <f>IF(K315=1,N('ORDENES'!$M311),0)</f>
        <v/>
      </c>
      <c r="O315" s="17">
        <f>IF('ORDENES'!$S311="preventiva",N315,0)</f>
        <v/>
      </c>
      <c r="P315" s="17">
        <f>IF('ORDENES'!$S311="correctiva",N315,0)</f>
        <v/>
      </c>
      <c r="Q315" s="3">
        <f>IF(AND(K315=1,'ORDENES'!$N311="Pendiente"),1,0)</f>
        <v/>
      </c>
      <c r="R315" s="3">
        <f>IF(Q315=1,100000-N315*1000+308*0.01,9000000000000+308)</f>
        <v/>
      </c>
      <c r="S315" s="3">
        <f>IF(Q315=1,SUMPRODUCT(--($R$8:$R$1207&lt;R315))+1,"")</f>
        <v/>
      </c>
      <c r="T315" s="11">
        <f>IF(K315=1,'ORDENES'!$J311,"")</f>
        <v/>
      </c>
    </row>
    <row r="316">
      <c r="K316" s="3">
        <f>IF(AND(IF($B$3="(todos)",TRUE,'ORDENES'!$O312=$B$3),IF($D$3="(todos)",TRUE,'ORDENES'!$AC312=$D$3),IF($F$3="(todos)",TRUE,'ORDENES'!$V312=$F$3),'ORDENES'!$AA312=TRUE,'ORDENES'!$A312&lt;&gt;""),1,0)</f>
        <v/>
      </c>
      <c r="L316" s="3">
        <f>IF(K316=1,IFERROR(MATCH('ORDENES'!$R312,lista_dias,0),9)*1000000000+IFERROR(MATCH('ORDENES'!$AC312,lista_turnos,0),9)*10000000+IFERROR(MATCH('ORDENES'!$AB312,'TECNICOS'!$B$4:$B$15,0),99)*100000+309,9000000000000+309)</f>
        <v/>
      </c>
      <c r="M316" s="3">
        <f>IF(K316=1,SUMPRODUCT(--($L$8:$L$1207&lt;L316))+1,"")</f>
        <v/>
      </c>
      <c r="N316" s="17">
        <f>IF(K316=1,N('ORDENES'!$M312),0)</f>
        <v/>
      </c>
      <c r="O316" s="17">
        <f>IF('ORDENES'!$S312="preventiva",N316,0)</f>
        <v/>
      </c>
      <c r="P316" s="17">
        <f>IF('ORDENES'!$S312="correctiva",N316,0)</f>
        <v/>
      </c>
      <c r="Q316" s="3">
        <f>IF(AND(K316=1,'ORDENES'!$N312="Pendiente"),1,0)</f>
        <v/>
      </c>
      <c r="R316" s="3">
        <f>IF(Q316=1,100000-N316*1000+309*0.01,9000000000000+309)</f>
        <v/>
      </c>
      <c r="S316" s="3">
        <f>IF(Q316=1,SUMPRODUCT(--($R$8:$R$1207&lt;R316))+1,"")</f>
        <v/>
      </c>
      <c r="T316" s="11">
        <f>IF(K316=1,'ORDENES'!$J312,"")</f>
        <v/>
      </c>
    </row>
    <row r="317">
      <c r="K317" s="3">
        <f>IF(AND(IF($B$3="(todos)",TRUE,'ORDENES'!$O313=$B$3),IF($D$3="(todos)",TRUE,'ORDENES'!$AC313=$D$3),IF($F$3="(todos)",TRUE,'ORDENES'!$V313=$F$3),'ORDENES'!$AA313=TRUE,'ORDENES'!$A313&lt;&gt;""),1,0)</f>
        <v/>
      </c>
      <c r="L317" s="3">
        <f>IF(K317=1,IFERROR(MATCH('ORDENES'!$R313,lista_dias,0),9)*1000000000+IFERROR(MATCH('ORDENES'!$AC313,lista_turnos,0),9)*10000000+IFERROR(MATCH('ORDENES'!$AB313,'TECNICOS'!$B$4:$B$15,0),99)*100000+310,9000000000000+310)</f>
        <v/>
      </c>
      <c r="M317" s="3">
        <f>IF(K317=1,SUMPRODUCT(--($L$8:$L$1207&lt;L317))+1,"")</f>
        <v/>
      </c>
      <c r="N317" s="17">
        <f>IF(K317=1,N('ORDENES'!$M313),0)</f>
        <v/>
      </c>
      <c r="O317" s="17">
        <f>IF('ORDENES'!$S313="preventiva",N317,0)</f>
        <v/>
      </c>
      <c r="P317" s="17">
        <f>IF('ORDENES'!$S313="correctiva",N317,0)</f>
        <v/>
      </c>
      <c r="Q317" s="3">
        <f>IF(AND(K317=1,'ORDENES'!$N313="Pendiente"),1,0)</f>
        <v/>
      </c>
      <c r="R317" s="3">
        <f>IF(Q317=1,100000-N317*1000+310*0.01,9000000000000+310)</f>
        <v/>
      </c>
      <c r="S317" s="3">
        <f>IF(Q317=1,SUMPRODUCT(--($R$8:$R$1207&lt;R317))+1,"")</f>
        <v/>
      </c>
      <c r="T317" s="11">
        <f>IF(K317=1,'ORDENES'!$J313,"")</f>
        <v/>
      </c>
    </row>
    <row r="318">
      <c r="K318" s="3">
        <f>IF(AND(IF($B$3="(todos)",TRUE,'ORDENES'!$O314=$B$3),IF($D$3="(todos)",TRUE,'ORDENES'!$AC314=$D$3),IF($F$3="(todos)",TRUE,'ORDENES'!$V314=$F$3),'ORDENES'!$AA314=TRUE,'ORDENES'!$A314&lt;&gt;""),1,0)</f>
        <v/>
      </c>
      <c r="L318" s="3">
        <f>IF(K318=1,IFERROR(MATCH('ORDENES'!$R314,lista_dias,0),9)*1000000000+IFERROR(MATCH('ORDENES'!$AC314,lista_turnos,0),9)*10000000+IFERROR(MATCH('ORDENES'!$AB314,'TECNICOS'!$B$4:$B$15,0),99)*100000+311,9000000000000+311)</f>
        <v/>
      </c>
      <c r="M318" s="3">
        <f>IF(K318=1,SUMPRODUCT(--($L$8:$L$1207&lt;L318))+1,"")</f>
        <v/>
      </c>
      <c r="N318" s="17">
        <f>IF(K318=1,N('ORDENES'!$M314),0)</f>
        <v/>
      </c>
      <c r="O318" s="17">
        <f>IF('ORDENES'!$S314="preventiva",N318,0)</f>
        <v/>
      </c>
      <c r="P318" s="17">
        <f>IF('ORDENES'!$S314="correctiva",N318,0)</f>
        <v/>
      </c>
      <c r="Q318" s="3">
        <f>IF(AND(K318=1,'ORDENES'!$N314="Pendiente"),1,0)</f>
        <v/>
      </c>
      <c r="R318" s="3">
        <f>IF(Q318=1,100000-N318*1000+311*0.01,9000000000000+311)</f>
        <v/>
      </c>
      <c r="S318" s="3">
        <f>IF(Q318=1,SUMPRODUCT(--($R$8:$R$1207&lt;R318))+1,"")</f>
        <v/>
      </c>
      <c r="T318" s="11">
        <f>IF(K318=1,'ORDENES'!$J314,"")</f>
        <v/>
      </c>
    </row>
    <row r="319">
      <c r="K319" s="3">
        <f>IF(AND(IF($B$3="(todos)",TRUE,'ORDENES'!$O315=$B$3),IF($D$3="(todos)",TRUE,'ORDENES'!$AC315=$D$3),IF($F$3="(todos)",TRUE,'ORDENES'!$V315=$F$3),'ORDENES'!$AA315=TRUE,'ORDENES'!$A315&lt;&gt;""),1,0)</f>
        <v/>
      </c>
      <c r="L319" s="3">
        <f>IF(K319=1,IFERROR(MATCH('ORDENES'!$R315,lista_dias,0),9)*1000000000+IFERROR(MATCH('ORDENES'!$AC315,lista_turnos,0),9)*10000000+IFERROR(MATCH('ORDENES'!$AB315,'TECNICOS'!$B$4:$B$15,0),99)*100000+312,9000000000000+312)</f>
        <v/>
      </c>
      <c r="M319" s="3">
        <f>IF(K319=1,SUMPRODUCT(--($L$8:$L$1207&lt;L319))+1,"")</f>
        <v/>
      </c>
      <c r="N319" s="17">
        <f>IF(K319=1,N('ORDENES'!$M315),0)</f>
        <v/>
      </c>
      <c r="O319" s="17">
        <f>IF('ORDENES'!$S315="preventiva",N319,0)</f>
        <v/>
      </c>
      <c r="P319" s="17">
        <f>IF('ORDENES'!$S315="correctiva",N319,0)</f>
        <v/>
      </c>
      <c r="Q319" s="3">
        <f>IF(AND(K319=1,'ORDENES'!$N315="Pendiente"),1,0)</f>
        <v/>
      </c>
      <c r="R319" s="3">
        <f>IF(Q319=1,100000-N319*1000+312*0.01,9000000000000+312)</f>
        <v/>
      </c>
      <c r="S319" s="3">
        <f>IF(Q319=1,SUMPRODUCT(--($R$8:$R$1207&lt;R319))+1,"")</f>
        <v/>
      </c>
      <c r="T319" s="11">
        <f>IF(K319=1,'ORDENES'!$J315,"")</f>
        <v/>
      </c>
    </row>
    <row r="320">
      <c r="K320" s="3">
        <f>IF(AND(IF($B$3="(todos)",TRUE,'ORDENES'!$O316=$B$3),IF($D$3="(todos)",TRUE,'ORDENES'!$AC316=$D$3),IF($F$3="(todos)",TRUE,'ORDENES'!$V316=$F$3),'ORDENES'!$AA316=TRUE,'ORDENES'!$A316&lt;&gt;""),1,0)</f>
        <v/>
      </c>
      <c r="L320" s="3">
        <f>IF(K320=1,IFERROR(MATCH('ORDENES'!$R316,lista_dias,0),9)*1000000000+IFERROR(MATCH('ORDENES'!$AC316,lista_turnos,0),9)*10000000+IFERROR(MATCH('ORDENES'!$AB316,'TECNICOS'!$B$4:$B$15,0),99)*100000+313,9000000000000+313)</f>
        <v/>
      </c>
      <c r="M320" s="3">
        <f>IF(K320=1,SUMPRODUCT(--($L$8:$L$1207&lt;L320))+1,"")</f>
        <v/>
      </c>
      <c r="N320" s="17">
        <f>IF(K320=1,N('ORDENES'!$M316),0)</f>
        <v/>
      </c>
      <c r="O320" s="17">
        <f>IF('ORDENES'!$S316="preventiva",N320,0)</f>
        <v/>
      </c>
      <c r="P320" s="17">
        <f>IF('ORDENES'!$S316="correctiva",N320,0)</f>
        <v/>
      </c>
      <c r="Q320" s="3">
        <f>IF(AND(K320=1,'ORDENES'!$N316="Pendiente"),1,0)</f>
        <v/>
      </c>
      <c r="R320" s="3">
        <f>IF(Q320=1,100000-N320*1000+313*0.01,9000000000000+313)</f>
        <v/>
      </c>
      <c r="S320" s="3">
        <f>IF(Q320=1,SUMPRODUCT(--($R$8:$R$1207&lt;R320))+1,"")</f>
        <v/>
      </c>
      <c r="T320" s="11">
        <f>IF(K320=1,'ORDENES'!$J316,"")</f>
        <v/>
      </c>
    </row>
    <row r="321">
      <c r="K321" s="3">
        <f>IF(AND(IF($B$3="(todos)",TRUE,'ORDENES'!$O317=$B$3),IF($D$3="(todos)",TRUE,'ORDENES'!$AC317=$D$3),IF($F$3="(todos)",TRUE,'ORDENES'!$V317=$F$3),'ORDENES'!$AA317=TRUE,'ORDENES'!$A317&lt;&gt;""),1,0)</f>
        <v/>
      </c>
      <c r="L321" s="3">
        <f>IF(K321=1,IFERROR(MATCH('ORDENES'!$R317,lista_dias,0),9)*1000000000+IFERROR(MATCH('ORDENES'!$AC317,lista_turnos,0),9)*10000000+IFERROR(MATCH('ORDENES'!$AB317,'TECNICOS'!$B$4:$B$15,0),99)*100000+314,9000000000000+314)</f>
        <v/>
      </c>
      <c r="M321" s="3">
        <f>IF(K321=1,SUMPRODUCT(--($L$8:$L$1207&lt;L321))+1,"")</f>
        <v/>
      </c>
      <c r="N321" s="17">
        <f>IF(K321=1,N('ORDENES'!$M317),0)</f>
        <v/>
      </c>
      <c r="O321" s="17">
        <f>IF('ORDENES'!$S317="preventiva",N321,0)</f>
        <v/>
      </c>
      <c r="P321" s="17">
        <f>IF('ORDENES'!$S317="correctiva",N321,0)</f>
        <v/>
      </c>
      <c r="Q321" s="3">
        <f>IF(AND(K321=1,'ORDENES'!$N317="Pendiente"),1,0)</f>
        <v/>
      </c>
      <c r="R321" s="3">
        <f>IF(Q321=1,100000-N321*1000+314*0.01,9000000000000+314)</f>
        <v/>
      </c>
      <c r="S321" s="3">
        <f>IF(Q321=1,SUMPRODUCT(--($R$8:$R$1207&lt;R321))+1,"")</f>
        <v/>
      </c>
      <c r="T321" s="11">
        <f>IF(K321=1,'ORDENES'!$J317,"")</f>
        <v/>
      </c>
    </row>
    <row r="322">
      <c r="K322" s="3">
        <f>IF(AND(IF($B$3="(todos)",TRUE,'ORDENES'!$O318=$B$3),IF($D$3="(todos)",TRUE,'ORDENES'!$AC318=$D$3),IF($F$3="(todos)",TRUE,'ORDENES'!$V318=$F$3),'ORDENES'!$AA318=TRUE,'ORDENES'!$A318&lt;&gt;""),1,0)</f>
        <v/>
      </c>
      <c r="L322" s="3">
        <f>IF(K322=1,IFERROR(MATCH('ORDENES'!$R318,lista_dias,0),9)*1000000000+IFERROR(MATCH('ORDENES'!$AC318,lista_turnos,0),9)*10000000+IFERROR(MATCH('ORDENES'!$AB318,'TECNICOS'!$B$4:$B$15,0),99)*100000+315,9000000000000+315)</f>
        <v/>
      </c>
      <c r="M322" s="3">
        <f>IF(K322=1,SUMPRODUCT(--($L$8:$L$1207&lt;L322))+1,"")</f>
        <v/>
      </c>
      <c r="N322" s="17">
        <f>IF(K322=1,N('ORDENES'!$M318),0)</f>
        <v/>
      </c>
      <c r="O322" s="17">
        <f>IF('ORDENES'!$S318="preventiva",N322,0)</f>
        <v/>
      </c>
      <c r="P322" s="17">
        <f>IF('ORDENES'!$S318="correctiva",N322,0)</f>
        <v/>
      </c>
      <c r="Q322" s="3">
        <f>IF(AND(K322=1,'ORDENES'!$N318="Pendiente"),1,0)</f>
        <v/>
      </c>
      <c r="R322" s="3">
        <f>IF(Q322=1,100000-N322*1000+315*0.01,9000000000000+315)</f>
        <v/>
      </c>
      <c r="S322" s="3">
        <f>IF(Q322=1,SUMPRODUCT(--($R$8:$R$1207&lt;R322))+1,"")</f>
        <v/>
      </c>
      <c r="T322" s="11">
        <f>IF(K322=1,'ORDENES'!$J318,"")</f>
        <v/>
      </c>
    </row>
    <row r="323">
      <c r="K323" s="3">
        <f>IF(AND(IF($B$3="(todos)",TRUE,'ORDENES'!$O319=$B$3),IF($D$3="(todos)",TRUE,'ORDENES'!$AC319=$D$3),IF($F$3="(todos)",TRUE,'ORDENES'!$V319=$F$3),'ORDENES'!$AA319=TRUE,'ORDENES'!$A319&lt;&gt;""),1,0)</f>
        <v/>
      </c>
      <c r="L323" s="3">
        <f>IF(K323=1,IFERROR(MATCH('ORDENES'!$R319,lista_dias,0),9)*1000000000+IFERROR(MATCH('ORDENES'!$AC319,lista_turnos,0),9)*10000000+IFERROR(MATCH('ORDENES'!$AB319,'TECNICOS'!$B$4:$B$15,0),99)*100000+316,9000000000000+316)</f>
        <v/>
      </c>
      <c r="M323" s="3">
        <f>IF(K323=1,SUMPRODUCT(--($L$8:$L$1207&lt;L323))+1,"")</f>
        <v/>
      </c>
      <c r="N323" s="17">
        <f>IF(K323=1,N('ORDENES'!$M319),0)</f>
        <v/>
      </c>
      <c r="O323" s="17">
        <f>IF('ORDENES'!$S319="preventiva",N323,0)</f>
        <v/>
      </c>
      <c r="P323" s="17">
        <f>IF('ORDENES'!$S319="correctiva",N323,0)</f>
        <v/>
      </c>
      <c r="Q323" s="3">
        <f>IF(AND(K323=1,'ORDENES'!$N319="Pendiente"),1,0)</f>
        <v/>
      </c>
      <c r="R323" s="3">
        <f>IF(Q323=1,100000-N323*1000+316*0.01,9000000000000+316)</f>
        <v/>
      </c>
      <c r="S323" s="3">
        <f>IF(Q323=1,SUMPRODUCT(--($R$8:$R$1207&lt;R323))+1,"")</f>
        <v/>
      </c>
      <c r="T323" s="11">
        <f>IF(K323=1,'ORDENES'!$J319,"")</f>
        <v/>
      </c>
    </row>
    <row r="324">
      <c r="K324" s="3">
        <f>IF(AND(IF($B$3="(todos)",TRUE,'ORDENES'!$O320=$B$3),IF($D$3="(todos)",TRUE,'ORDENES'!$AC320=$D$3),IF($F$3="(todos)",TRUE,'ORDENES'!$V320=$F$3),'ORDENES'!$AA320=TRUE,'ORDENES'!$A320&lt;&gt;""),1,0)</f>
        <v/>
      </c>
      <c r="L324" s="3">
        <f>IF(K324=1,IFERROR(MATCH('ORDENES'!$R320,lista_dias,0),9)*1000000000+IFERROR(MATCH('ORDENES'!$AC320,lista_turnos,0),9)*10000000+IFERROR(MATCH('ORDENES'!$AB320,'TECNICOS'!$B$4:$B$15,0),99)*100000+317,9000000000000+317)</f>
        <v/>
      </c>
      <c r="M324" s="3">
        <f>IF(K324=1,SUMPRODUCT(--($L$8:$L$1207&lt;L324))+1,"")</f>
        <v/>
      </c>
      <c r="N324" s="17">
        <f>IF(K324=1,N('ORDENES'!$M320),0)</f>
        <v/>
      </c>
      <c r="O324" s="17">
        <f>IF('ORDENES'!$S320="preventiva",N324,0)</f>
        <v/>
      </c>
      <c r="P324" s="17">
        <f>IF('ORDENES'!$S320="correctiva",N324,0)</f>
        <v/>
      </c>
      <c r="Q324" s="3">
        <f>IF(AND(K324=1,'ORDENES'!$N320="Pendiente"),1,0)</f>
        <v/>
      </c>
      <c r="R324" s="3">
        <f>IF(Q324=1,100000-N324*1000+317*0.01,9000000000000+317)</f>
        <v/>
      </c>
      <c r="S324" s="3">
        <f>IF(Q324=1,SUMPRODUCT(--($R$8:$R$1207&lt;R324))+1,"")</f>
        <v/>
      </c>
      <c r="T324" s="11">
        <f>IF(K324=1,'ORDENES'!$J320,"")</f>
        <v/>
      </c>
    </row>
    <row r="325">
      <c r="K325" s="3">
        <f>IF(AND(IF($B$3="(todos)",TRUE,'ORDENES'!$O321=$B$3),IF($D$3="(todos)",TRUE,'ORDENES'!$AC321=$D$3),IF($F$3="(todos)",TRUE,'ORDENES'!$V321=$F$3),'ORDENES'!$AA321=TRUE,'ORDENES'!$A321&lt;&gt;""),1,0)</f>
        <v/>
      </c>
      <c r="L325" s="3">
        <f>IF(K325=1,IFERROR(MATCH('ORDENES'!$R321,lista_dias,0),9)*1000000000+IFERROR(MATCH('ORDENES'!$AC321,lista_turnos,0),9)*10000000+IFERROR(MATCH('ORDENES'!$AB321,'TECNICOS'!$B$4:$B$15,0),99)*100000+318,9000000000000+318)</f>
        <v/>
      </c>
      <c r="M325" s="3">
        <f>IF(K325=1,SUMPRODUCT(--($L$8:$L$1207&lt;L325))+1,"")</f>
        <v/>
      </c>
      <c r="N325" s="17">
        <f>IF(K325=1,N('ORDENES'!$M321),0)</f>
        <v/>
      </c>
      <c r="O325" s="17">
        <f>IF('ORDENES'!$S321="preventiva",N325,0)</f>
        <v/>
      </c>
      <c r="P325" s="17">
        <f>IF('ORDENES'!$S321="correctiva",N325,0)</f>
        <v/>
      </c>
      <c r="Q325" s="3">
        <f>IF(AND(K325=1,'ORDENES'!$N321="Pendiente"),1,0)</f>
        <v/>
      </c>
      <c r="R325" s="3">
        <f>IF(Q325=1,100000-N325*1000+318*0.01,9000000000000+318)</f>
        <v/>
      </c>
      <c r="S325" s="3">
        <f>IF(Q325=1,SUMPRODUCT(--($R$8:$R$1207&lt;R325))+1,"")</f>
        <v/>
      </c>
      <c r="T325" s="11">
        <f>IF(K325=1,'ORDENES'!$J321,"")</f>
        <v/>
      </c>
    </row>
    <row r="326">
      <c r="K326" s="3">
        <f>IF(AND(IF($B$3="(todos)",TRUE,'ORDENES'!$O322=$B$3),IF($D$3="(todos)",TRUE,'ORDENES'!$AC322=$D$3),IF($F$3="(todos)",TRUE,'ORDENES'!$V322=$F$3),'ORDENES'!$AA322=TRUE,'ORDENES'!$A322&lt;&gt;""),1,0)</f>
        <v/>
      </c>
      <c r="L326" s="3">
        <f>IF(K326=1,IFERROR(MATCH('ORDENES'!$R322,lista_dias,0),9)*1000000000+IFERROR(MATCH('ORDENES'!$AC322,lista_turnos,0),9)*10000000+IFERROR(MATCH('ORDENES'!$AB322,'TECNICOS'!$B$4:$B$15,0),99)*100000+319,9000000000000+319)</f>
        <v/>
      </c>
      <c r="M326" s="3">
        <f>IF(K326=1,SUMPRODUCT(--($L$8:$L$1207&lt;L326))+1,"")</f>
        <v/>
      </c>
      <c r="N326" s="17">
        <f>IF(K326=1,N('ORDENES'!$M322),0)</f>
        <v/>
      </c>
      <c r="O326" s="17">
        <f>IF('ORDENES'!$S322="preventiva",N326,0)</f>
        <v/>
      </c>
      <c r="P326" s="17">
        <f>IF('ORDENES'!$S322="correctiva",N326,0)</f>
        <v/>
      </c>
      <c r="Q326" s="3">
        <f>IF(AND(K326=1,'ORDENES'!$N322="Pendiente"),1,0)</f>
        <v/>
      </c>
      <c r="R326" s="3">
        <f>IF(Q326=1,100000-N326*1000+319*0.01,9000000000000+319)</f>
        <v/>
      </c>
      <c r="S326" s="3">
        <f>IF(Q326=1,SUMPRODUCT(--($R$8:$R$1207&lt;R326))+1,"")</f>
        <v/>
      </c>
      <c r="T326" s="11">
        <f>IF(K326=1,'ORDENES'!$J322,"")</f>
        <v/>
      </c>
    </row>
    <row r="327">
      <c r="K327" s="3">
        <f>IF(AND(IF($B$3="(todos)",TRUE,'ORDENES'!$O323=$B$3),IF($D$3="(todos)",TRUE,'ORDENES'!$AC323=$D$3),IF($F$3="(todos)",TRUE,'ORDENES'!$V323=$F$3),'ORDENES'!$AA323=TRUE,'ORDENES'!$A323&lt;&gt;""),1,0)</f>
        <v/>
      </c>
      <c r="L327" s="3">
        <f>IF(K327=1,IFERROR(MATCH('ORDENES'!$R323,lista_dias,0),9)*1000000000+IFERROR(MATCH('ORDENES'!$AC323,lista_turnos,0),9)*10000000+IFERROR(MATCH('ORDENES'!$AB323,'TECNICOS'!$B$4:$B$15,0),99)*100000+320,9000000000000+320)</f>
        <v/>
      </c>
      <c r="M327" s="3">
        <f>IF(K327=1,SUMPRODUCT(--($L$8:$L$1207&lt;L327))+1,"")</f>
        <v/>
      </c>
      <c r="N327" s="17">
        <f>IF(K327=1,N('ORDENES'!$M323),0)</f>
        <v/>
      </c>
      <c r="O327" s="17">
        <f>IF('ORDENES'!$S323="preventiva",N327,0)</f>
        <v/>
      </c>
      <c r="P327" s="17">
        <f>IF('ORDENES'!$S323="correctiva",N327,0)</f>
        <v/>
      </c>
      <c r="Q327" s="3">
        <f>IF(AND(K327=1,'ORDENES'!$N323="Pendiente"),1,0)</f>
        <v/>
      </c>
      <c r="R327" s="3">
        <f>IF(Q327=1,100000-N327*1000+320*0.01,9000000000000+320)</f>
        <v/>
      </c>
      <c r="S327" s="3">
        <f>IF(Q327=1,SUMPRODUCT(--($R$8:$R$1207&lt;R327))+1,"")</f>
        <v/>
      </c>
      <c r="T327" s="11">
        <f>IF(K327=1,'ORDENES'!$J323,"")</f>
        <v/>
      </c>
    </row>
    <row r="328">
      <c r="K328" s="3">
        <f>IF(AND(IF($B$3="(todos)",TRUE,'ORDENES'!$O324=$B$3),IF($D$3="(todos)",TRUE,'ORDENES'!$AC324=$D$3),IF($F$3="(todos)",TRUE,'ORDENES'!$V324=$F$3),'ORDENES'!$AA324=TRUE,'ORDENES'!$A324&lt;&gt;""),1,0)</f>
        <v/>
      </c>
      <c r="L328" s="3">
        <f>IF(K328=1,IFERROR(MATCH('ORDENES'!$R324,lista_dias,0),9)*1000000000+IFERROR(MATCH('ORDENES'!$AC324,lista_turnos,0),9)*10000000+IFERROR(MATCH('ORDENES'!$AB324,'TECNICOS'!$B$4:$B$15,0),99)*100000+321,9000000000000+321)</f>
        <v/>
      </c>
      <c r="M328" s="3">
        <f>IF(K328=1,SUMPRODUCT(--($L$8:$L$1207&lt;L328))+1,"")</f>
        <v/>
      </c>
      <c r="N328" s="17">
        <f>IF(K328=1,N('ORDENES'!$M324),0)</f>
        <v/>
      </c>
      <c r="O328" s="17">
        <f>IF('ORDENES'!$S324="preventiva",N328,0)</f>
        <v/>
      </c>
      <c r="P328" s="17">
        <f>IF('ORDENES'!$S324="correctiva",N328,0)</f>
        <v/>
      </c>
      <c r="Q328" s="3">
        <f>IF(AND(K328=1,'ORDENES'!$N324="Pendiente"),1,0)</f>
        <v/>
      </c>
      <c r="R328" s="3">
        <f>IF(Q328=1,100000-N328*1000+321*0.01,9000000000000+321)</f>
        <v/>
      </c>
      <c r="S328" s="3">
        <f>IF(Q328=1,SUMPRODUCT(--($R$8:$R$1207&lt;R328))+1,"")</f>
        <v/>
      </c>
      <c r="T328" s="11">
        <f>IF(K328=1,'ORDENES'!$J324,"")</f>
        <v/>
      </c>
    </row>
    <row r="329">
      <c r="K329" s="3">
        <f>IF(AND(IF($B$3="(todos)",TRUE,'ORDENES'!$O325=$B$3),IF($D$3="(todos)",TRUE,'ORDENES'!$AC325=$D$3),IF($F$3="(todos)",TRUE,'ORDENES'!$V325=$F$3),'ORDENES'!$AA325=TRUE,'ORDENES'!$A325&lt;&gt;""),1,0)</f>
        <v/>
      </c>
      <c r="L329" s="3">
        <f>IF(K329=1,IFERROR(MATCH('ORDENES'!$R325,lista_dias,0),9)*1000000000+IFERROR(MATCH('ORDENES'!$AC325,lista_turnos,0),9)*10000000+IFERROR(MATCH('ORDENES'!$AB325,'TECNICOS'!$B$4:$B$15,0),99)*100000+322,9000000000000+322)</f>
        <v/>
      </c>
      <c r="M329" s="3">
        <f>IF(K329=1,SUMPRODUCT(--($L$8:$L$1207&lt;L329))+1,"")</f>
        <v/>
      </c>
      <c r="N329" s="17">
        <f>IF(K329=1,N('ORDENES'!$M325),0)</f>
        <v/>
      </c>
      <c r="O329" s="17">
        <f>IF('ORDENES'!$S325="preventiva",N329,0)</f>
        <v/>
      </c>
      <c r="P329" s="17">
        <f>IF('ORDENES'!$S325="correctiva",N329,0)</f>
        <v/>
      </c>
      <c r="Q329" s="3">
        <f>IF(AND(K329=1,'ORDENES'!$N325="Pendiente"),1,0)</f>
        <v/>
      </c>
      <c r="R329" s="3">
        <f>IF(Q329=1,100000-N329*1000+322*0.01,9000000000000+322)</f>
        <v/>
      </c>
      <c r="S329" s="3">
        <f>IF(Q329=1,SUMPRODUCT(--($R$8:$R$1207&lt;R329))+1,"")</f>
        <v/>
      </c>
      <c r="T329" s="11">
        <f>IF(K329=1,'ORDENES'!$J325,"")</f>
        <v/>
      </c>
    </row>
    <row r="330">
      <c r="K330" s="3">
        <f>IF(AND(IF($B$3="(todos)",TRUE,'ORDENES'!$O326=$B$3),IF($D$3="(todos)",TRUE,'ORDENES'!$AC326=$D$3),IF($F$3="(todos)",TRUE,'ORDENES'!$V326=$F$3),'ORDENES'!$AA326=TRUE,'ORDENES'!$A326&lt;&gt;""),1,0)</f>
        <v/>
      </c>
      <c r="L330" s="3">
        <f>IF(K330=1,IFERROR(MATCH('ORDENES'!$R326,lista_dias,0),9)*1000000000+IFERROR(MATCH('ORDENES'!$AC326,lista_turnos,0),9)*10000000+IFERROR(MATCH('ORDENES'!$AB326,'TECNICOS'!$B$4:$B$15,0),99)*100000+323,9000000000000+323)</f>
        <v/>
      </c>
      <c r="M330" s="3">
        <f>IF(K330=1,SUMPRODUCT(--($L$8:$L$1207&lt;L330))+1,"")</f>
        <v/>
      </c>
      <c r="N330" s="17">
        <f>IF(K330=1,N('ORDENES'!$M326),0)</f>
        <v/>
      </c>
      <c r="O330" s="17">
        <f>IF('ORDENES'!$S326="preventiva",N330,0)</f>
        <v/>
      </c>
      <c r="P330" s="17">
        <f>IF('ORDENES'!$S326="correctiva",N330,0)</f>
        <v/>
      </c>
      <c r="Q330" s="3">
        <f>IF(AND(K330=1,'ORDENES'!$N326="Pendiente"),1,0)</f>
        <v/>
      </c>
      <c r="R330" s="3">
        <f>IF(Q330=1,100000-N330*1000+323*0.01,9000000000000+323)</f>
        <v/>
      </c>
      <c r="S330" s="3">
        <f>IF(Q330=1,SUMPRODUCT(--($R$8:$R$1207&lt;R330))+1,"")</f>
        <v/>
      </c>
      <c r="T330" s="11">
        <f>IF(K330=1,'ORDENES'!$J326,"")</f>
        <v/>
      </c>
    </row>
    <row r="331">
      <c r="K331" s="3">
        <f>IF(AND(IF($B$3="(todos)",TRUE,'ORDENES'!$O327=$B$3),IF($D$3="(todos)",TRUE,'ORDENES'!$AC327=$D$3),IF($F$3="(todos)",TRUE,'ORDENES'!$V327=$F$3),'ORDENES'!$AA327=TRUE,'ORDENES'!$A327&lt;&gt;""),1,0)</f>
        <v/>
      </c>
      <c r="L331" s="3">
        <f>IF(K331=1,IFERROR(MATCH('ORDENES'!$R327,lista_dias,0),9)*1000000000+IFERROR(MATCH('ORDENES'!$AC327,lista_turnos,0),9)*10000000+IFERROR(MATCH('ORDENES'!$AB327,'TECNICOS'!$B$4:$B$15,0),99)*100000+324,9000000000000+324)</f>
        <v/>
      </c>
      <c r="M331" s="3">
        <f>IF(K331=1,SUMPRODUCT(--($L$8:$L$1207&lt;L331))+1,"")</f>
        <v/>
      </c>
      <c r="N331" s="17">
        <f>IF(K331=1,N('ORDENES'!$M327),0)</f>
        <v/>
      </c>
      <c r="O331" s="17">
        <f>IF('ORDENES'!$S327="preventiva",N331,0)</f>
        <v/>
      </c>
      <c r="P331" s="17">
        <f>IF('ORDENES'!$S327="correctiva",N331,0)</f>
        <v/>
      </c>
      <c r="Q331" s="3">
        <f>IF(AND(K331=1,'ORDENES'!$N327="Pendiente"),1,0)</f>
        <v/>
      </c>
      <c r="R331" s="3">
        <f>IF(Q331=1,100000-N331*1000+324*0.01,9000000000000+324)</f>
        <v/>
      </c>
      <c r="S331" s="3">
        <f>IF(Q331=1,SUMPRODUCT(--($R$8:$R$1207&lt;R331))+1,"")</f>
        <v/>
      </c>
      <c r="T331" s="11">
        <f>IF(K331=1,'ORDENES'!$J327,"")</f>
        <v/>
      </c>
    </row>
    <row r="332">
      <c r="K332" s="3">
        <f>IF(AND(IF($B$3="(todos)",TRUE,'ORDENES'!$O328=$B$3),IF($D$3="(todos)",TRUE,'ORDENES'!$AC328=$D$3),IF($F$3="(todos)",TRUE,'ORDENES'!$V328=$F$3),'ORDENES'!$AA328=TRUE,'ORDENES'!$A328&lt;&gt;""),1,0)</f>
        <v/>
      </c>
      <c r="L332" s="3">
        <f>IF(K332=1,IFERROR(MATCH('ORDENES'!$R328,lista_dias,0),9)*1000000000+IFERROR(MATCH('ORDENES'!$AC328,lista_turnos,0),9)*10000000+IFERROR(MATCH('ORDENES'!$AB328,'TECNICOS'!$B$4:$B$15,0),99)*100000+325,9000000000000+325)</f>
        <v/>
      </c>
      <c r="M332" s="3">
        <f>IF(K332=1,SUMPRODUCT(--($L$8:$L$1207&lt;L332))+1,"")</f>
        <v/>
      </c>
      <c r="N332" s="17">
        <f>IF(K332=1,N('ORDENES'!$M328),0)</f>
        <v/>
      </c>
      <c r="O332" s="17">
        <f>IF('ORDENES'!$S328="preventiva",N332,0)</f>
        <v/>
      </c>
      <c r="P332" s="17">
        <f>IF('ORDENES'!$S328="correctiva",N332,0)</f>
        <v/>
      </c>
      <c r="Q332" s="3">
        <f>IF(AND(K332=1,'ORDENES'!$N328="Pendiente"),1,0)</f>
        <v/>
      </c>
      <c r="R332" s="3">
        <f>IF(Q332=1,100000-N332*1000+325*0.01,9000000000000+325)</f>
        <v/>
      </c>
      <c r="S332" s="3">
        <f>IF(Q332=1,SUMPRODUCT(--($R$8:$R$1207&lt;R332))+1,"")</f>
        <v/>
      </c>
      <c r="T332" s="11">
        <f>IF(K332=1,'ORDENES'!$J328,"")</f>
        <v/>
      </c>
    </row>
    <row r="333">
      <c r="K333" s="3">
        <f>IF(AND(IF($B$3="(todos)",TRUE,'ORDENES'!$O329=$B$3),IF($D$3="(todos)",TRUE,'ORDENES'!$AC329=$D$3),IF($F$3="(todos)",TRUE,'ORDENES'!$V329=$F$3),'ORDENES'!$AA329=TRUE,'ORDENES'!$A329&lt;&gt;""),1,0)</f>
        <v/>
      </c>
      <c r="L333" s="3">
        <f>IF(K333=1,IFERROR(MATCH('ORDENES'!$R329,lista_dias,0),9)*1000000000+IFERROR(MATCH('ORDENES'!$AC329,lista_turnos,0),9)*10000000+IFERROR(MATCH('ORDENES'!$AB329,'TECNICOS'!$B$4:$B$15,0),99)*100000+326,9000000000000+326)</f>
        <v/>
      </c>
      <c r="M333" s="3">
        <f>IF(K333=1,SUMPRODUCT(--($L$8:$L$1207&lt;L333))+1,"")</f>
        <v/>
      </c>
      <c r="N333" s="17">
        <f>IF(K333=1,N('ORDENES'!$M329),0)</f>
        <v/>
      </c>
      <c r="O333" s="17">
        <f>IF('ORDENES'!$S329="preventiva",N333,0)</f>
        <v/>
      </c>
      <c r="P333" s="17">
        <f>IF('ORDENES'!$S329="correctiva",N333,0)</f>
        <v/>
      </c>
      <c r="Q333" s="3">
        <f>IF(AND(K333=1,'ORDENES'!$N329="Pendiente"),1,0)</f>
        <v/>
      </c>
      <c r="R333" s="3">
        <f>IF(Q333=1,100000-N333*1000+326*0.01,9000000000000+326)</f>
        <v/>
      </c>
      <c r="S333" s="3">
        <f>IF(Q333=1,SUMPRODUCT(--($R$8:$R$1207&lt;R333))+1,"")</f>
        <v/>
      </c>
      <c r="T333" s="11">
        <f>IF(K333=1,'ORDENES'!$J329,"")</f>
        <v/>
      </c>
    </row>
    <row r="334">
      <c r="K334" s="3">
        <f>IF(AND(IF($B$3="(todos)",TRUE,'ORDENES'!$O330=$B$3),IF($D$3="(todos)",TRUE,'ORDENES'!$AC330=$D$3),IF($F$3="(todos)",TRUE,'ORDENES'!$V330=$F$3),'ORDENES'!$AA330=TRUE,'ORDENES'!$A330&lt;&gt;""),1,0)</f>
        <v/>
      </c>
      <c r="L334" s="3">
        <f>IF(K334=1,IFERROR(MATCH('ORDENES'!$R330,lista_dias,0),9)*1000000000+IFERROR(MATCH('ORDENES'!$AC330,lista_turnos,0),9)*10000000+IFERROR(MATCH('ORDENES'!$AB330,'TECNICOS'!$B$4:$B$15,0),99)*100000+327,9000000000000+327)</f>
        <v/>
      </c>
      <c r="M334" s="3">
        <f>IF(K334=1,SUMPRODUCT(--($L$8:$L$1207&lt;L334))+1,"")</f>
        <v/>
      </c>
      <c r="N334" s="17">
        <f>IF(K334=1,N('ORDENES'!$M330),0)</f>
        <v/>
      </c>
      <c r="O334" s="17">
        <f>IF('ORDENES'!$S330="preventiva",N334,0)</f>
        <v/>
      </c>
      <c r="P334" s="17">
        <f>IF('ORDENES'!$S330="correctiva",N334,0)</f>
        <v/>
      </c>
      <c r="Q334" s="3">
        <f>IF(AND(K334=1,'ORDENES'!$N330="Pendiente"),1,0)</f>
        <v/>
      </c>
      <c r="R334" s="3">
        <f>IF(Q334=1,100000-N334*1000+327*0.01,9000000000000+327)</f>
        <v/>
      </c>
      <c r="S334" s="3">
        <f>IF(Q334=1,SUMPRODUCT(--($R$8:$R$1207&lt;R334))+1,"")</f>
        <v/>
      </c>
      <c r="T334" s="11">
        <f>IF(K334=1,'ORDENES'!$J330,"")</f>
        <v/>
      </c>
    </row>
    <row r="335">
      <c r="K335" s="3">
        <f>IF(AND(IF($B$3="(todos)",TRUE,'ORDENES'!$O331=$B$3),IF($D$3="(todos)",TRUE,'ORDENES'!$AC331=$D$3),IF($F$3="(todos)",TRUE,'ORDENES'!$V331=$F$3),'ORDENES'!$AA331=TRUE,'ORDENES'!$A331&lt;&gt;""),1,0)</f>
        <v/>
      </c>
      <c r="L335" s="3">
        <f>IF(K335=1,IFERROR(MATCH('ORDENES'!$R331,lista_dias,0),9)*1000000000+IFERROR(MATCH('ORDENES'!$AC331,lista_turnos,0),9)*10000000+IFERROR(MATCH('ORDENES'!$AB331,'TECNICOS'!$B$4:$B$15,0),99)*100000+328,9000000000000+328)</f>
        <v/>
      </c>
      <c r="M335" s="3">
        <f>IF(K335=1,SUMPRODUCT(--($L$8:$L$1207&lt;L335))+1,"")</f>
        <v/>
      </c>
      <c r="N335" s="17">
        <f>IF(K335=1,N('ORDENES'!$M331),0)</f>
        <v/>
      </c>
      <c r="O335" s="17">
        <f>IF('ORDENES'!$S331="preventiva",N335,0)</f>
        <v/>
      </c>
      <c r="P335" s="17">
        <f>IF('ORDENES'!$S331="correctiva",N335,0)</f>
        <v/>
      </c>
      <c r="Q335" s="3">
        <f>IF(AND(K335=1,'ORDENES'!$N331="Pendiente"),1,0)</f>
        <v/>
      </c>
      <c r="R335" s="3">
        <f>IF(Q335=1,100000-N335*1000+328*0.01,9000000000000+328)</f>
        <v/>
      </c>
      <c r="S335" s="3">
        <f>IF(Q335=1,SUMPRODUCT(--($R$8:$R$1207&lt;R335))+1,"")</f>
        <v/>
      </c>
      <c r="T335" s="11">
        <f>IF(K335=1,'ORDENES'!$J331,"")</f>
        <v/>
      </c>
    </row>
    <row r="336">
      <c r="K336" s="3">
        <f>IF(AND(IF($B$3="(todos)",TRUE,'ORDENES'!$O332=$B$3),IF($D$3="(todos)",TRUE,'ORDENES'!$AC332=$D$3),IF($F$3="(todos)",TRUE,'ORDENES'!$V332=$F$3),'ORDENES'!$AA332=TRUE,'ORDENES'!$A332&lt;&gt;""),1,0)</f>
        <v/>
      </c>
      <c r="L336" s="3">
        <f>IF(K336=1,IFERROR(MATCH('ORDENES'!$R332,lista_dias,0),9)*1000000000+IFERROR(MATCH('ORDENES'!$AC332,lista_turnos,0),9)*10000000+IFERROR(MATCH('ORDENES'!$AB332,'TECNICOS'!$B$4:$B$15,0),99)*100000+329,9000000000000+329)</f>
        <v/>
      </c>
      <c r="M336" s="3">
        <f>IF(K336=1,SUMPRODUCT(--($L$8:$L$1207&lt;L336))+1,"")</f>
        <v/>
      </c>
      <c r="N336" s="17">
        <f>IF(K336=1,N('ORDENES'!$M332),0)</f>
        <v/>
      </c>
      <c r="O336" s="17">
        <f>IF('ORDENES'!$S332="preventiva",N336,0)</f>
        <v/>
      </c>
      <c r="P336" s="17">
        <f>IF('ORDENES'!$S332="correctiva",N336,0)</f>
        <v/>
      </c>
      <c r="Q336" s="3">
        <f>IF(AND(K336=1,'ORDENES'!$N332="Pendiente"),1,0)</f>
        <v/>
      </c>
      <c r="R336" s="3">
        <f>IF(Q336=1,100000-N336*1000+329*0.01,9000000000000+329)</f>
        <v/>
      </c>
      <c r="S336" s="3">
        <f>IF(Q336=1,SUMPRODUCT(--($R$8:$R$1207&lt;R336))+1,"")</f>
        <v/>
      </c>
      <c r="T336" s="11">
        <f>IF(K336=1,'ORDENES'!$J332,"")</f>
        <v/>
      </c>
    </row>
    <row r="337">
      <c r="K337" s="3">
        <f>IF(AND(IF($B$3="(todos)",TRUE,'ORDENES'!$O333=$B$3),IF($D$3="(todos)",TRUE,'ORDENES'!$AC333=$D$3),IF($F$3="(todos)",TRUE,'ORDENES'!$V333=$F$3),'ORDENES'!$AA333=TRUE,'ORDENES'!$A333&lt;&gt;""),1,0)</f>
        <v/>
      </c>
      <c r="L337" s="3">
        <f>IF(K337=1,IFERROR(MATCH('ORDENES'!$R333,lista_dias,0),9)*1000000000+IFERROR(MATCH('ORDENES'!$AC333,lista_turnos,0),9)*10000000+IFERROR(MATCH('ORDENES'!$AB333,'TECNICOS'!$B$4:$B$15,0),99)*100000+330,9000000000000+330)</f>
        <v/>
      </c>
      <c r="M337" s="3">
        <f>IF(K337=1,SUMPRODUCT(--($L$8:$L$1207&lt;L337))+1,"")</f>
        <v/>
      </c>
      <c r="N337" s="17">
        <f>IF(K337=1,N('ORDENES'!$M333),0)</f>
        <v/>
      </c>
      <c r="O337" s="17">
        <f>IF('ORDENES'!$S333="preventiva",N337,0)</f>
        <v/>
      </c>
      <c r="P337" s="17">
        <f>IF('ORDENES'!$S333="correctiva",N337,0)</f>
        <v/>
      </c>
      <c r="Q337" s="3">
        <f>IF(AND(K337=1,'ORDENES'!$N333="Pendiente"),1,0)</f>
        <v/>
      </c>
      <c r="R337" s="3">
        <f>IF(Q337=1,100000-N337*1000+330*0.01,9000000000000+330)</f>
        <v/>
      </c>
      <c r="S337" s="3">
        <f>IF(Q337=1,SUMPRODUCT(--($R$8:$R$1207&lt;R337))+1,"")</f>
        <v/>
      </c>
      <c r="T337" s="11">
        <f>IF(K337=1,'ORDENES'!$J333,"")</f>
        <v/>
      </c>
    </row>
    <row r="338">
      <c r="K338" s="3">
        <f>IF(AND(IF($B$3="(todos)",TRUE,'ORDENES'!$O334=$B$3),IF($D$3="(todos)",TRUE,'ORDENES'!$AC334=$D$3),IF($F$3="(todos)",TRUE,'ORDENES'!$V334=$F$3),'ORDENES'!$AA334=TRUE,'ORDENES'!$A334&lt;&gt;""),1,0)</f>
        <v/>
      </c>
      <c r="L338" s="3">
        <f>IF(K338=1,IFERROR(MATCH('ORDENES'!$R334,lista_dias,0),9)*1000000000+IFERROR(MATCH('ORDENES'!$AC334,lista_turnos,0),9)*10000000+IFERROR(MATCH('ORDENES'!$AB334,'TECNICOS'!$B$4:$B$15,0),99)*100000+331,9000000000000+331)</f>
        <v/>
      </c>
      <c r="M338" s="3">
        <f>IF(K338=1,SUMPRODUCT(--($L$8:$L$1207&lt;L338))+1,"")</f>
        <v/>
      </c>
      <c r="N338" s="17">
        <f>IF(K338=1,N('ORDENES'!$M334),0)</f>
        <v/>
      </c>
      <c r="O338" s="17">
        <f>IF('ORDENES'!$S334="preventiva",N338,0)</f>
        <v/>
      </c>
      <c r="P338" s="17">
        <f>IF('ORDENES'!$S334="correctiva",N338,0)</f>
        <v/>
      </c>
      <c r="Q338" s="3">
        <f>IF(AND(K338=1,'ORDENES'!$N334="Pendiente"),1,0)</f>
        <v/>
      </c>
      <c r="R338" s="3">
        <f>IF(Q338=1,100000-N338*1000+331*0.01,9000000000000+331)</f>
        <v/>
      </c>
      <c r="S338" s="3">
        <f>IF(Q338=1,SUMPRODUCT(--($R$8:$R$1207&lt;R338))+1,"")</f>
        <v/>
      </c>
      <c r="T338" s="11">
        <f>IF(K338=1,'ORDENES'!$J334,"")</f>
        <v/>
      </c>
    </row>
    <row r="339">
      <c r="K339" s="3">
        <f>IF(AND(IF($B$3="(todos)",TRUE,'ORDENES'!$O335=$B$3),IF($D$3="(todos)",TRUE,'ORDENES'!$AC335=$D$3),IF($F$3="(todos)",TRUE,'ORDENES'!$V335=$F$3),'ORDENES'!$AA335=TRUE,'ORDENES'!$A335&lt;&gt;""),1,0)</f>
        <v/>
      </c>
      <c r="L339" s="3">
        <f>IF(K339=1,IFERROR(MATCH('ORDENES'!$R335,lista_dias,0),9)*1000000000+IFERROR(MATCH('ORDENES'!$AC335,lista_turnos,0),9)*10000000+IFERROR(MATCH('ORDENES'!$AB335,'TECNICOS'!$B$4:$B$15,0),99)*100000+332,9000000000000+332)</f>
        <v/>
      </c>
      <c r="M339" s="3">
        <f>IF(K339=1,SUMPRODUCT(--($L$8:$L$1207&lt;L339))+1,"")</f>
        <v/>
      </c>
      <c r="N339" s="17">
        <f>IF(K339=1,N('ORDENES'!$M335),0)</f>
        <v/>
      </c>
      <c r="O339" s="17">
        <f>IF('ORDENES'!$S335="preventiva",N339,0)</f>
        <v/>
      </c>
      <c r="P339" s="17">
        <f>IF('ORDENES'!$S335="correctiva",N339,0)</f>
        <v/>
      </c>
      <c r="Q339" s="3">
        <f>IF(AND(K339=1,'ORDENES'!$N335="Pendiente"),1,0)</f>
        <v/>
      </c>
      <c r="R339" s="3">
        <f>IF(Q339=1,100000-N339*1000+332*0.01,9000000000000+332)</f>
        <v/>
      </c>
      <c r="S339" s="3">
        <f>IF(Q339=1,SUMPRODUCT(--($R$8:$R$1207&lt;R339))+1,"")</f>
        <v/>
      </c>
      <c r="T339" s="11">
        <f>IF(K339=1,'ORDENES'!$J335,"")</f>
        <v/>
      </c>
    </row>
    <row r="340">
      <c r="K340" s="3">
        <f>IF(AND(IF($B$3="(todos)",TRUE,'ORDENES'!$O336=$B$3),IF($D$3="(todos)",TRUE,'ORDENES'!$AC336=$D$3),IF($F$3="(todos)",TRUE,'ORDENES'!$V336=$F$3),'ORDENES'!$AA336=TRUE,'ORDENES'!$A336&lt;&gt;""),1,0)</f>
        <v/>
      </c>
      <c r="L340" s="3">
        <f>IF(K340=1,IFERROR(MATCH('ORDENES'!$R336,lista_dias,0),9)*1000000000+IFERROR(MATCH('ORDENES'!$AC336,lista_turnos,0),9)*10000000+IFERROR(MATCH('ORDENES'!$AB336,'TECNICOS'!$B$4:$B$15,0),99)*100000+333,9000000000000+333)</f>
        <v/>
      </c>
      <c r="M340" s="3">
        <f>IF(K340=1,SUMPRODUCT(--($L$8:$L$1207&lt;L340))+1,"")</f>
        <v/>
      </c>
      <c r="N340" s="17">
        <f>IF(K340=1,N('ORDENES'!$M336),0)</f>
        <v/>
      </c>
      <c r="O340" s="17">
        <f>IF('ORDENES'!$S336="preventiva",N340,0)</f>
        <v/>
      </c>
      <c r="P340" s="17">
        <f>IF('ORDENES'!$S336="correctiva",N340,0)</f>
        <v/>
      </c>
      <c r="Q340" s="3">
        <f>IF(AND(K340=1,'ORDENES'!$N336="Pendiente"),1,0)</f>
        <v/>
      </c>
      <c r="R340" s="3">
        <f>IF(Q340=1,100000-N340*1000+333*0.01,9000000000000+333)</f>
        <v/>
      </c>
      <c r="S340" s="3">
        <f>IF(Q340=1,SUMPRODUCT(--($R$8:$R$1207&lt;R340))+1,"")</f>
        <v/>
      </c>
      <c r="T340" s="11">
        <f>IF(K340=1,'ORDENES'!$J336,"")</f>
        <v/>
      </c>
    </row>
    <row r="341">
      <c r="K341" s="3">
        <f>IF(AND(IF($B$3="(todos)",TRUE,'ORDENES'!$O337=$B$3),IF($D$3="(todos)",TRUE,'ORDENES'!$AC337=$D$3),IF($F$3="(todos)",TRUE,'ORDENES'!$V337=$F$3),'ORDENES'!$AA337=TRUE,'ORDENES'!$A337&lt;&gt;""),1,0)</f>
        <v/>
      </c>
      <c r="L341" s="3">
        <f>IF(K341=1,IFERROR(MATCH('ORDENES'!$R337,lista_dias,0),9)*1000000000+IFERROR(MATCH('ORDENES'!$AC337,lista_turnos,0),9)*10000000+IFERROR(MATCH('ORDENES'!$AB337,'TECNICOS'!$B$4:$B$15,0),99)*100000+334,9000000000000+334)</f>
        <v/>
      </c>
      <c r="M341" s="3">
        <f>IF(K341=1,SUMPRODUCT(--($L$8:$L$1207&lt;L341))+1,"")</f>
        <v/>
      </c>
      <c r="N341" s="17">
        <f>IF(K341=1,N('ORDENES'!$M337),0)</f>
        <v/>
      </c>
      <c r="O341" s="17">
        <f>IF('ORDENES'!$S337="preventiva",N341,0)</f>
        <v/>
      </c>
      <c r="P341" s="17">
        <f>IF('ORDENES'!$S337="correctiva",N341,0)</f>
        <v/>
      </c>
      <c r="Q341" s="3">
        <f>IF(AND(K341=1,'ORDENES'!$N337="Pendiente"),1,0)</f>
        <v/>
      </c>
      <c r="R341" s="3">
        <f>IF(Q341=1,100000-N341*1000+334*0.01,9000000000000+334)</f>
        <v/>
      </c>
      <c r="S341" s="3">
        <f>IF(Q341=1,SUMPRODUCT(--($R$8:$R$1207&lt;R341))+1,"")</f>
        <v/>
      </c>
      <c r="T341" s="11">
        <f>IF(K341=1,'ORDENES'!$J337,"")</f>
        <v/>
      </c>
    </row>
    <row r="342">
      <c r="K342" s="3">
        <f>IF(AND(IF($B$3="(todos)",TRUE,'ORDENES'!$O338=$B$3),IF($D$3="(todos)",TRUE,'ORDENES'!$AC338=$D$3),IF($F$3="(todos)",TRUE,'ORDENES'!$V338=$F$3),'ORDENES'!$AA338=TRUE,'ORDENES'!$A338&lt;&gt;""),1,0)</f>
        <v/>
      </c>
      <c r="L342" s="3">
        <f>IF(K342=1,IFERROR(MATCH('ORDENES'!$R338,lista_dias,0),9)*1000000000+IFERROR(MATCH('ORDENES'!$AC338,lista_turnos,0),9)*10000000+IFERROR(MATCH('ORDENES'!$AB338,'TECNICOS'!$B$4:$B$15,0),99)*100000+335,9000000000000+335)</f>
        <v/>
      </c>
      <c r="M342" s="3">
        <f>IF(K342=1,SUMPRODUCT(--($L$8:$L$1207&lt;L342))+1,"")</f>
        <v/>
      </c>
      <c r="N342" s="17">
        <f>IF(K342=1,N('ORDENES'!$M338),0)</f>
        <v/>
      </c>
      <c r="O342" s="17">
        <f>IF('ORDENES'!$S338="preventiva",N342,0)</f>
        <v/>
      </c>
      <c r="P342" s="17">
        <f>IF('ORDENES'!$S338="correctiva",N342,0)</f>
        <v/>
      </c>
      <c r="Q342" s="3">
        <f>IF(AND(K342=1,'ORDENES'!$N338="Pendiente"),1,0)</f>
        <v/>
      </c>
      <c r="R342" s="3">
        <f>IF(Q342=1,100000-N342*1000+335*0.01,9000000000000+335)</f>
        <v/>
      </c>
      <c r="S342" s="3">
        <f>IF(Q342=1,SUMPRODUCT(--($R$8:$R$1207&lt;R342))+1,"")</f>
        <v/>
      </c>
      <c r="T342" s="11">
        <f>IF(K342=1,'ORDENES'!$J338,"")</f>
        <v/>
      </c>
    </row>
    <row r="343">
      <c r="K343" s="3">
        <f>IF(AND(IF($B$3="(todos)",TRUE,'ORDENES'!$O339=$B$3),IF($D$3="(todos)",TRUE,'ORDENES'!$AC339=$D$3),IF($F$3="(todos)",TRUE,'ORDENES'!$V339=$F$3),'ORDENES'!$AA339=TRUE,'ORDENES'!$A339&lt;&gt;""),1,0)</f>
        <v/>
      </c>
      <c r="L343" s="3">
        <f>IF(K343=1,IFERROR(MATCH('ORDENES'!$R339,lista_dias,0),9)*1000000000+IFERROR(MATCH('ORDENES'!$AC339,lista_turnos,0),9)*10000000+IFERROR(MATCH('ORDENES'!$AB339,'TECNICOS'!$B$4:$B$15,0),99)*100000+336,9000000000000+336)</f>
        <v/>
      </c>
      <c r="M343" s="3">
        <f>IF(K343=1,SUMPRODUCT(--($L$8:$L$1207&lt;L343))+1,"")</f>
        <v/>
      </c>
      <c r="N343" s="17">
        <f>IF(K343=1,N('ORDENES'!$M339),0)</f>
        <v/>
      </c>
      <c r="O343" s="17">
        <f>IF('ORDENES'!$S339="preventiva",N343,0)</f>
        <v/>
      </c>
      <c r="P343" s="17">
        <f>IF('ORDENES'!$S339="correctiva",N343,0)</f>
        <v/>
      </c>
      <c r="Q343" s="3">
        <f>IF(AND(K343=1,'ORDENES'!$N339="Pendiente"),1,0)</f>
        <v/>
      </c>
      <c r="R343" s="3">
        <f>IF(Q343=1,100000-N343*1000+336*0.01,9000000000000+336)</f>
        <v/>
      </c>
      <c r="S343" s="3">
        <f>IF(Q343=1,SUMPRODUCT(--($R$8:$R$1207&lt;R343))+1,"")</f>
        <v/>
      </c>
      <c r="T343" s="11">
        <f>IF(K343=1,'ORDENES'!$J339,"")</f>
        <v/>
      </c>
    </row>
    <row r="344">
      <c r="K344" s="3">
        <f>IF(AND(IF($B$3="(todos)",TRUE,'ORDENES'!$O340=$B$3),IF($D$3="(todos)",TRUE,'ORDENES'!$AC340=$D$3),IF($F$3="(todos)",TRUE,'ORDENES'!$V340=$F$3),'ORDENES'!$AA340=TRUE,'ORDENES'!$A340&lt;&gt;""),1,0)</f>
        <v/>
      </c>
      <c r="L344" s="3">
        <f>IF(K344=1,IFERROR(MATCH('ORDENES'!$R340,lista_dias,0),9)*1000000000+IFERROR(MATCH('ORDENES'!$AC340,lista_turnos,0),9)*10000000+IFERROR(MATCH('ORDENES'!$AB340,'TECNICOS'!$B$4:$B$15,0),99)*100000+337,9000000000000+337)</f>
        <v/>
      </c>
      <c r="M344" s="3">
        <f>IF(K344=1,SUMPRODUCT(--($L$8:$L$1207&lt;L344))+1,"")</f>
        <v/>
      </c>
      <c r="N344" s="17">
        <f>IF(K344=1,N('ORDENES'!$M340),0)</f>
        <v/>
      </c>
      <c r="O344" s="17">
        <f>IF('ORDENES'!$S340="preventiva",N344,0)</f>
        <v/>
      </c>
      <c r="P344" s="17">
        <f>IF('ORDENES'!$S340="correctiva",N344,0)</f>
        <v/>
      </c>
      <c r="Q344" s="3">
        <f>IF(AND(K344=1,'ORDENES'!$N340="Pendiente"),1,0)</f>
        <v/>
      </c>
      <c r="R344" s="3">
        <f>IF(Q344=1,100000-N344*1000+337*0.01,9000000000000+337)</f>
        <v/>
      </c>
      <c r="S344" s="3">
        <f>IF(Q344=1,SUMPRODUCT(--($R$8:$R$1207&lt;R344))+1,"")</f>
        <v/>
      </c>
      <c r="T344" s="11">
        <f>IF(K344=1,'ORDENES'!$J340,"")</f>
        <v/>
      </c>
    </row>
    <row r="345">
      <c r="K345" s="3">
        <f>IF(AND(IF($B$3="(todos)",TRUE,'ORDENES'!$O341=$B$3),IF($D$3="(todos)",TRUE,'ORDENES'!$AC341=$D$3),IF($F$3="(todos)",TRUE,'ORDENES'!$V341=$F$3),'ORDENES'!$AA341=TRUE,'ORDENES'!$A341&lt;&gt;""),1,0)</f>
        <v/>
      </c>
      <c r="L345" s="3">
        <f>IF(K345=1,IFERROR(MATCH('ORDENES'!$R341,lista_dias,0),9)*1000000000+IFERROR(MATCH('ORDENES'!$AC341,lista_turnos,0),9)*10000000+IFERROR(MATCH('ORDENES'!$AB341,'TECNICOS'!$B$4:$B$15,0),99)*100000+338,9000000000000+338)</f>
        <v/>
      </c>
      <c r="M345" s="3">
        <f>IF(K345=1,SUMPRODUCT(--($L$8:$L$1207&lt;L345))+1,"")</f>
        <v/>
      </c>
      <c r="N345" s="17">
        <f>IF(K345=1,N('ORDENES'!$M341),0)</f>
        <v/>
      </c>
      <c r="O345" s="17">
        <f>IF('ORDENES'!$S341="preventiva",N345,0)</f>
        <v/>
      </c>
      <c r="P345" s="17">
        <f>IF('ORDENES'!$S341="correctiva",N345,0)</f>
        <v/>
      </c>
      <c r="Q345" s="3">
        <f>IF(AND(K345=1,'ORDENES'!$N341="Pendiente"),1,0)</f>
        <v/>
      </c>
      <c r="R345" s="3">
        <f>IF(Q345=1,100000-N345*1000+338*0.01,9000000000000+338)</f>
        <v/>
      </c>
      <c r="S345" s="3">
        <f>IF(Q345=1,SUMPRODUCT(--($R$8:$R$1207&lt;R345))+1,"")</f>
        <v/>
      </c>
      <c r="T345" s="11">
        <f>IF(K345=1,'ORDENES'!$J341,"")</f>
        <v/>
      </c>
    </row>
    <row r="346">
      <c r="K346" s="3">
        <f>IF(AND(IF($B$3="(todos)",TRUE,'ORDENES'!$O342=$B$3),IF($D$3="(todos)",TRUE,'ORDENES'!$AC342=$D$3),IF($F$3="(todos)",TRUE,'ORDENES'!$V342=$F$3),'ORDENES'!$AA342=TRUE,'ORDENES'!$A342&lt;&gt;""),1,0)</f>
        <v/>
      </c>
      <c r="L346" s="3">
        <f>IF(K346=1,IFERROR(MATCH('ORDENES'!$R342,lista_dias,0),9)*1000000000+IFERROR(MATCH('ORDENES'!$AC342,lista_turnos,0),9)*10000000+IFERROR(MATCH('ORDENES'!$AB342,'TECNICOS'!$B$4:$B$15,0),99)*100000+339,9000000000000+339)</f>
        <v/>
      </c>
      <c r="M346" s="3">
        <f>IF(K346=1,SUMPRODUCT(--($L$8:$L$1207&lt;L346))+1,"")</f>
        <v/>
      </c>
      <c r="N346" s="17">
        <f>IF(K346=1,N('ORDENES'!$M342),0)</f>
        <v/>
      </c>
      <c r="O346" s="17">
        <f>IF('ORDENES'!$S342="preventiva",N346,0)</f>
        <v/>
      </c>
      <c r="P346" s="17">
        <f>IF('ORDENES'!$S342="correctiva",N346,0)</f>
        <v/>
      </c>
      <c r="Q346" s="3">
        <f>IF(AND(K346=1,'ORDENES'!$N342="Pendiente"),1,0)</f>
        <v/>
      </c>
      <c r="R346" s="3">
        <f>IF(Q346=1,100000-N346*1000+339*0.01,9000000000000+339)</f>
        <v/>
      </c>
      <c r="S346" s="3">
        <f>IF(Q346=1,SUMPRODUCT(--($R$8:$R$1207&lt;R346))+1,"")</f>
        <v/>
      </c>
      <c r="T346" s="11">
        <f>IF(K346=1,'ORDENES'!$J342,"")</f>
        <v/>
      </c>
    </row>
    <row r="347">
      <c r="K347" s="3">
        <f>IF(AND(IF($B$3="(todos)",TRUE,'ORDENES'!$O343=$B$3),IF($D$3="(todos)",TRUE,'ORDENES'!$AC343=$D$3),IF($F$3="(todos)",TRUE,'ORDENES'!$V343=$F$3),'ORDENES'!$AA343=TRUE,'ORDENES'!$A343&lt;&gt;""),1,0)</f>
        <v/>
      </c>
      <c r="L347" s="3">
        <f>IF(K347=1,IFERROR(MATCH('ORDENES'!$R343,lista_dias,0),9)*1000000000+IFERROR(MATCH('ORDENES'!$AC343,lista_turnos,0),9)*10000000+IFERROR(MATCH('ORDENES'!$AB343,'TECNICOS'!$B$4:$B$15,0),99)*100000+340,9000000000000+340)</f>
        <v/>
      </c>
      <c r="M347" s="3">
        <f>IF(K347=1,SUMPRODUCT(--($L$8:$L$1207&lt;L347))+1,"")</f>
        <v/>
      </c>
      <c r="N347" s="17">
        <f>IF(K347=1,N('ORDENES'!$M343),0)</f>
        <v/>
      </c>
      <c r="O347" s="17">
        <f>IF('ORDENES'!$S343="preventiva",N347,0)</f>
        <v/>
      </c>
      <c r="P347" s="17">
        <f>IF('ORDENES'!$S343="correctiva",N347,0)</f>
        <v/>
      </c>
      <c r="Q347" s="3">
        <f>IF(AND(K347=1,'ORDENES'!$N343="Pendiente"),1,0)</f>
        <v/>
      </c>
      <c r="R347" s="3">
        <f>IF(Q347=1,100000-N347*1000+340*0.01,9000000000000+340)</f>
        <v/>
      </c>
      <c r="S347" s="3">
        <f>IF(Q347=1,SUMPRODUCT(--($R$8:$R$1207&lt;R347))+1,"")</f>
        <v/>
      </c>
      <c r="T347" s="11">
        <f>IF(K347=1,'ORDENES'!$J343,"")</f>
        <v/>
      </c>
    </row>
    <row r="348">
      <c r="K348" s="3">
        <f>IF(AND(IF($B$3="(todos)",TRUE,'ORDENES'!$O344=$B$3),IF($D$3="(todos)",TRUE,'ORDENES'!$AC344=$D$3),IF($F$3="(todos)",TRUE,'ORDENES'!$V344=$F$3),'ORDENES'!$AA344=TRUE,'ORDENES'!$A344&lt;&gt;""),1,0)</f>
        <v/>
      </c>
      <c r="L348" s="3">
        <f>IF(K348=1,IFERROR(MATCH('ORDENES'!$R344,lista_dias,0),9)*1000000000+IFERROR(MATCH('ORDENES'!$AC344,lista_turnos,0),9)*10000000+IFERROR(MATCH('ORDENES'!$AB344,'TECNICOS'!$B$4:$B$15,0),99)*100000+341,9000000000000+341)</f>
        <v/>
      </c>
      <c r="M348" s="3">
        <f>IF(K348=1,SUMPRODUCT(--($L$8:$L$1207&lt;L348))+1,"")</f>
        <v/>
      </c>
      <c r="N348" s="17">
        <f>IF(K348=1,N('ORDENES'!$M344),0)</f>
        <v/>
      </c>
      <c r="O348" s="17">
        <f>IF('ORDENES'!$S344="preventiva",N348,0)</f>
        <v/>
      </c>
      <c r="P348" s="17">
        <f>IF('ORDENES'!$S344="correctiva",N348,0)</f>
        <v/>
      </c>
      <c r="Q348" s="3">
        <f>IF(AND(K348=1,'ORDENES'!$N344="Pendiente"),1,0)</f>
        <v/>
      </c>
      <c r="R348" s="3">
        <f>IF(Q348=1,100000-N348*1000+341*0.01,9000000000000+341)</f>
        <v/>
      </c>
      <c r="S348" s="3">
        <f>IF(Q348=1,SUMPRODUCT(--($R$8:$R$1207&lt;R348))+1,"")</f>
        <v/>
      </c>
      <c r="T348" s="11">
        <f>IF(K348=1,'ORDENES'!$J344,"")</f>
        <v/>
      </c>
    </row>
    <row r="349">
      <c r="K349" s="3">
        <f>IF(AND(IF($B$3="(todos)",TRUE,'ORDENES'!$O345=$B$3),IF($D$3="(todos)",TRUE,'ORDENES'!$AC345=$D$3),IF($F$3="(todos)",TRUE,'ORDENES'!$V345=$F$3),'ORDENES'!$AA345=TRUE,'ORDENES'!$A345&lt;&gt;""),1,0)</f>
        <v/>
      </c>
      <c r="L349" s="3">
        <f>IF(K349=1,IFERROR(MATCH('ORDENES'!$R345,lista_dias,0),9)*1000000000+IFERROR(MATCH('ORDENES'!$AC345,lista_turnos,0),9)*10000000+IFERROR(MATCH('ORDENES'!$AB345,'TECNICOS'!$B$4:$B$15,0),99)*100000+342,9000000000000+342)</f>
        <v/>
      </c>
      <c r="M349" s="3">
        <f>IF(K349=1,SUMPRODUCT(--($L$8:$L$1207&lt;L349))+1,"")</f>
        <v/>
      </c>
      <c r="N349" s="17">
        <f>IF(K349=1,N('ORDENES'!$M345),0)</f>
        <v/>
      </c>
      <c r="O349" s="17">
        <f>IF('ORDENES'!$S345="preventiva",N349,0)</f>
        <v/>
      </c>
      <c r="P349" s="17">
        <f>IF('ORDENES'!$S345="correctiva",N349,0)</f>
        <v/>
      </c>
      <c r="Q349" s="3">
        <f>IF(AND(K349=1,'ORDENES'!$N345="Pendiente"),1,0)</f>
        <v/>
      </c>
      <c r="R349" s="3">
        <f>IF(Q349=1,100000-N349*1000+342*0.01,9000000000000+342)</f>
        <v/>
      </c>
      <c r="S349" s="3">
        <f>IF(Q349=1,SUMPRODUCT(--($R$8:$R$1207&lt;R349))+1,"")</f>
        <v/>
      </c>
      <c r="T349" s="11">
        <f>IF(K349=1,'ORDENES'!$J345,"")</f>
        <v/>
      </c>
    </row>
    <row r="350">
      <c r="K350" s="3">
        <f>IF(AND(IF($B$3="(todos)",TRUE,'ORDENES'!$O346=$B$3),IF($D$3="(todos)",TRUE,'ORDENES'!$AC346=$D$3),IF($F$3="(todos)",TRUE,'ORDENES'!$V346=$F$3),'ORDENES'!$AA346=TRUE,'ORDENES'!$A346&lt;&gt;""),1,0)</f>
        <v/>
      </c>
      <c r="L350" s="3">
        <f>IF(K350=1,IFERROR(MATCH('ORDENES'!$R346,lista_dias,0),9)*1000000000+IFERROR(MATCH('ORDENES'!$AC346,lista_turnos,0),9)*10000000+IFERROR(MATCH('ORDENES'!$AB346,'TECNICOS'!$B$4:$B$15,0),99)*100000+343,9000000000000+343)</f>
        <v/>
      </c>
      <c r="M350" s="3">
        <f>IF(K350=1,SUMPRODUCT(--($L$8:$L$1207&lt;L350))+1,"")</f>
        <v/>
      </c>
      <c r="N350" s="17">
        <f>IF(K350=1,N('ORDENES'!$M346),0)</f>
        <v/>
      </c>
      <c r="O350" s="17">
        <f>IF('ORDENES'!$S346="preventiva",N350,0)</f>
        <v/>
      </c>
      <c r="P350" s="17">
        <f>IF('ORDENES'!$S346="correctiva",N350,0)</f>
        <v/>
      </c>
      <c r="Q350" s="3">
        <f>IF(AND(K350=1,'ORDENES'!$N346="Pendiente"),1,0)</f>
        <v/>
      </c>
      <c r="R350" s="3">
        <f>IF(Q350=1,100000-N350*1000+343*0.01,9000000000000+343)</f>
        <v/>
      </c>
      <c r="S350" s="3">
        <f>IF(Q350=1,SUMPRODUCT(--($R$8:$R$1207&lt;R350))+1,"")</f>
        <v/>
      </c>
      <c r="T350" s="11">
        <f>IF(K350=1,'ORDENES'!$J346,"")</f>
        <v/>
      </c>
    </row>
    <row r="351">
      <c r="K351" s="3">
        <f>IF(AND(IF($B$3="(todos)",TRUE,'ORDENES'!$O347=$B$3),IF($D$3="(todos)",TRUE,'ORDENES'!$AC347=$D$3),IF($F$3="(todos)",TRUE,'ORDENES'!$V347=$F$3),'ORDENES'!$AA347=TRUE,'ORDENES'!$A347&lt;&gt;""),1,0)</f>
        <v/>
      </c>
      <c r="L351" s="3">
        <f>IF(K351=1,IFERROR(MATCH('ORDENES'!$R347,lista_dias,0),9)*1000000000+IFERROR(MATCH('ORDENES'!$AC347,lista_turnos,0),9)*10000000+IFERROR(MATCH('ORDENES'!$AB347,'TECNICOS'!$B$4:$B$15,0),99)*100000+344,9000000000000+344)</f>
        <v/>
      </c>
      <c r="M351" s="3">
        <f>IF(K351=1,SUMPRODUCT(--($L$8:$L$1207&lt;L351))+1,"")</f>
        <v/>
      </c>
      <c r="N351" s="17">
        <f>IF(K351=1,N('ORDENES'!$M347),0)</f>
        <v/>
      </c>
      <c r="O351" s="17">
        <f>IF('ORDENES'!$S347="preventiva",N351,0)</f>
        <v/>
      </c>
      <c r="P351" s="17">
        <f>IF('ORDENES'!$S347="correctiva",N351,0)</f>
        <v/>
      </c>
      <c r="Q351" s="3">
        <f>IF(AND(K351=1,'ORDENES'!$N347="Pendiente"),1,0)</f>
        <v/>
      </c>
      <c r="R351" s="3">
        <f>IF(Q351=1,100000-N351*1000+344*0.01,9000000000000+344)</f>
        <v/>
      </c>
      <c r="S351" s="3">
        <f>IF(Q351=1,SUMPRODUCT(--($R$8:$R$1207&lt;R351))+1,"")</f>
        <v/>
      </c>
      <c r="T351" s="11">
        <f>IF(K351=1,'ORDENES'!$J347,"")</f>
        <v/>
      </c>
    </row>
    <row r="352">
      <c r="K352" s="3">
        <f>IF(AND(IF($B$3="(todos)",TRUE,'ORDENES'!$O348=$B$3),IF($D$3="(todos)",TRUE,'ORDENES'!$AC348=$D$3),IF($F$3="(todos)",TRUE,'ORDENES'!$V348=$F$3),'ORDENES'!$AA348=TRUE,'ORDENES'!$A348&lt;&gt;""),1,0)</f>
        <v/>
      </c>
      <c r="L352" s="3">
        <f>IF(K352=1,IFERROR(MATCH('ORDENES'!$R348,lista_dias,0),9)*1000000000+IFERROR(MATCH('ORDENES'!$AC348,lista_turnos,0),9)*10000000+IFERROR(MATCH('ORDENES'!$AB348,'TECNICOS'!$B$4:$B$15,0),99)*100000+345,9000000000000+345)</f>
        <v/>
      </c>
      <c r="M352" s="3">
        <f>IF(K352=1,SUMPRODUCT(--($L$8:$L$1207&lt;L352))+1,"")</f>
        <v/>
      </c>
      <c r="N352" s="17">
        <f>IF(K352=1,N('ORDENES'!$M348),0)</f>
        <v/>
      </c>
      <c r="O352" s="17">
        <f>IF('ORDENES'!$S348="preventiva",N352,0)</f>
        <v/>
      </c>
      <c r="P352" s="17">
        <f>IF('ORDENES'!$S348="correctiva",N352,0)</f>
        <v/>
      </c>
      <c r="Q352" s="3">
        <f>IF(AND(K352=1,'ORDENES'!$N348="Pendiente"),1,0)</f>
        <v/>
      </c>
      <c r="R352" s="3">
        <f>IF(Q352=1,100000-N352*1000+345*0.01,9000000000000+345)</f>
        <v/>
      </c>
      <c r="S352" s="3">
        <f>IF(Q352=1,SUMPRODUCT(--($R$8:$R$1207&lt;R352))+1,"")</f>
        <v/>
      </c>
      <c r="T352" s="11">
        <f>IF(K352=1,'ORDENES'!$J348,"")</f>
        <v/>
      </c>
    </row>
    <row r="353">
      <c r="K353" s="3">
        <f>IF(AND(IF($B$3="(todos)",TRUE,'ORDENES'!$O349=$B$3),IF($D$3="(todos)",TRUE,'ORDENES'!$AC349=$D$3),IF($F$3="(todos)",TRUE,'ORDENES'!$V349=$F$3),'ORDENES'!$AA349=TRUE,'ORDENES'!$A349&lt;&gt;""),1,0)</f>
        <v/>
      </c>
      <c r="L353" s="3">
        <f>IF(K353=1,IFERROR(MATCH('ORDENES'!$R349,lista_dias,0),9)*1000000000+IFERROR(MATCH('ORDENES'!$AC349,lista_turnos,0),9)*10000000+IFERROR(MATCH('ORDENES'!$AB349,'TECNICOS'!$B$4:$B$15,0),99)*100000+346,9000000000000+346)</f>
        <v/>
      </c>
      <c r="M353" s="3">
        <f>IF(K353=1,SUMPRODUCT(--($L$8:$L$1207&lt;L353))+1,"")</f>
        <v/>
      </c>
      <c r="N353" s="17">
        <f>IF(K353=1,N('ORDENES'!$M349),0)</f>
        <v/>
      </c>
      <c r="O353" s="17">
        <f>IF('ORDENES'!$S349="preventiva",N353,0)</f>
        <v/>
      </c>
      <c r="P353" s="17">
        <f>IF('ORDENES'!$S349="correctiva",N353,0)</f>
        <v/>
      </c>
      <c r="Q353" s="3">
        <f>IF(AND(K353=1,'ORDENES'!$N349="Pendiente"),1,0)</f>
        <v/>
      </c>
      <c r="R353" s="3">
        <f>IF(Q353=1,100000-N353*1000+346*0.01,9000000000000+346)</f>
        <v/>
      </c>
      <c r="S353" s="3">
        <f>IF(Q353=1,SUMPRODUCT(--($R$8:$R$1207&lt;R353))+1,"")</f>
        <v/>
      </c>
      <c r="T353" s="11">
        <f>IF(K353=1,'ORDENES'!$J349,"")</f>
        <v/>
      </c>
    </row>
    <row r="354">
      <c r="K354" s="3">
        <f>IF(AND(IF($B$3="(todos)",TRUE,'ORDENES'!$O350=$B$3),IF($D$3="(todos)",TRUE,'ORDENES'!$AC350=$D$3),IF($F$3="(todos)",TRUE,'ORDENES'!$V350=$F$3),'ORDENES'!$AA350=TRUE,'ORDENES'!$A350&lt;&gt;""),1,0)</f>
        <v/>
      </c>
      <c r="L354" s="3">
        <f>IF(K354=1,IFERROR(MATCH('ORDENES'!$R350,lista_dias,0),9)*1000000000+IFERROR(MATCH('ORDENES'!$AC350,lista_turnos,0),9)*10000000+IFERROR(MATCH('ORDENES'!$AB350,'TECNICOS'!$B$4:$B$15,0),99)*100000+347,9000000000000+347)</f>
        <v/>
      </c>
      <c r="M354" s="3">
        <f>IF(K354=1,SUMPRODUCT(--($L$8:$L$1207&lt;L354))+1,"")</f>
        <v/>
      </c>
      <c r="N354" s="17">
        <f>IF(K354=1,N('ORDENES'!$M350),0)</f>
        <v/>
      </c>
      <c r="O354" s="17">
        <f>IF('ORDENES'!$S350="preventiva",N354,0)</f>
        <v/>
      </c>
      <c r="P354" s="17">
        <f>IF('ORDENES'!$S350="correctiva",N354,0)</f>
        <v/>
      </c>
      <c r="Q354" s="3">
        <f>IF(AND(K354=1,'ORDENES'!$N350="Pendiente"),1,0)</f>
        <v/>
      </c>
      <c r="R354" s="3">
        <f>IF(Q354=1,100000-N354*1000+347*0.01,9000000000000+347)</f>
        <v/>
      </c>
      <c r="S354" s="3">
        <f>IF(Q354=1,SUMPRODUCT(--($R$8:$R$1207&lt;R354))+1,"")</f>
        <v/>
      </c>
      <c r="T354" s="11">
        <f>IF(K354=1,'ORDENES'!$J350,"")</f>
        <v/>
      </c>
    </row>
    <row r="355">
      <c r="K355" s="3">
        <f>IF(AND(IF($B$3="(todos)",TRUE,'ORDENES'!$O351=$B$3),IF($D$3="(todos)",TRUE,'ORDENES'!$AC351=$D$3),IF($F$3="(todos)",TRUE,'ORDENES'!$V351=$F$3),'ORDENES'!$AA351=TRUE,'ORDENES'!$A351&lt;&gt;""),1,0)</f>
        <v/>
      </c>
      <c r="L355" s="3">
        <f>IF(K355=1,IFERROR(MATCH('ORDENES'!$R351,lista_dias,0),9)*1000000000+IFERROR(MATCH('ORDENES'!$AC351,lista_turnos,0),9)*10000000+IFERROR(MATCH('ORDENES'!$AB351,'TECNICOS'!$B$4:$B$15,0),99)*100000+348,9000000000000+348)</f>
        <v/>
      </c>
      <c r="M355" s="3">
        <f>IF(K355=1,SUMPRODUCT(--($L$8:$L$1207&lt;L355))+1,"")</f>
        <v/>
      </c>
      <c r="N355" s="17">
        <f>IF(K355=1,N('ORDENES'!$M351),0)</f>
        <v/>
      </c>
      <c r="O355" s="17">
        <f>IF('ORDENES'!$S351="preventiva",N355,0)</f>
        <v/>
      </c>
      <c r="P355" s="17">
        <f>IF('ORDENES'!$S351="correctiva",N355,0)</f>
        <v/>
      </c>
      <c r="Q355" s="3">
        <f>IF(AND(K355=1,'ORDENES'!$N351="Pendiente"),1,0)</f>
        <v/>
      </c>
      <c r="R355" s="3">
        <f>IF(Q355=1,100000-N355*1000+348*0.01,9000000000000+348)</f>
        <v/>
      </c>
      <c r="S355" s="3">
        <f>IF(Q355=1,SUMPRODUCT(--($R$8:$R$1207&lt;R355))+1,"")</f>
        <v/>
      </c>
      <c r="T355" s="11">
        <f>IF(K355=1,'ORDENES'!$J351,"")</f>
        <v/>
      </c>
    </row>
    <row r="356">
      <c r="K356" s="3">
        <f>IF(AND(IF($B$3="(todos)",TRUE,'ORDENES'!$O352=$B$3),IF($D$3="(todos)",TRUE,'ORDENES'!$AC352=$D$3),IF($F$3="(todos)",TRUE,'ORDENES'!$V352=$F$3),'ORDENES'!$AA352=TRUE,'ORDENES'!$A352&lt;&gt;""),1,0)</f>
        <v/>
      </c>
      <c r="L356" s="3">
        <f>IF(K356=1,IFERROR(MATCH('ORDENES'!$R352,lista_dias,0),9)*1000000000+IFERROR(MATCH('ORDENES'!$AC352,lista_turnos,0),9)*10000000+IFERROR(MATCH('ORDENES'!$AB352,'TECNICOS'!$B$4:$B$15,0),99)*100000+349,9000000000000+349)</f>
        <v/>
      </c>
      <c r="M356" s="3">
        <f>IF(K356=1,SUMPRODUCT(--($L$8:$L$1207&lt;L356))+1,"")</f>
        <v/>
      </c>
      <c r="N356" s="17">
        <f>IF(K356=1,N('ORDENES'!$M352),0)</f>
        <v/>
      </c>
      <c r="O356" s="17">
        <f>IF('ORDENES'!$S352="preventiva",N356,0)</f>
        <v/>
      </c>
      <c r="P356" s="17">
        <f>IF('ORDENES'!$S352="correctiva",N356,0)</f>
        <v/>
      </c>
      <c r="Q356" s="3">
        <f>IF(AND(K356=1,'ORDENES'!$N352="Pendiente"),1,0)</f>
        <v/>
      </c>
      <c r="R356" s="3">
        <f>IF(Q356=1,100000-N356*1000+349*0.01,9000000000000+349)</f>
        <v/>
      </c>
      <c r="S356" s="3">
        <f>IF(Q356=1,SUMPRODUCT(--($R$8:$R$1207&lt;R356))+1,"")</f>
        <v/>
      </c>
      <c r="T356" s="11">
        <f>IF(K356=1,'ORDENES'!$J352,"")</f>
        <v/>
      </c>
    </row>
    <row r="357">
      <c r="K357" s="3">
        <f>IF(AND(IF($B$3="(todos)",TRUE,'ORDENES'!$O353=$B$3),IF($D$3="(todos)",TRUE,'ORDENES'!$AC353=$D$3),IF($F$3="(todos)",TRUE,'ORDENES'!$V353=$F$3),'ORDENES'!$AA353=TRUE,'ORDENES'!$A353&lt;&gt;""),1,0)</f>
        <v/>
      </c>
      <c r="L357" s="3">
        <f>IF(K357=1,IFERROR(MATCH('ORDENES'!$R353,lista_dias,0),9)*1000000000+IFERROR(MATCH('ORDENES'!$AC353,lista_turnos,0),9)*10000000+IFERROR(MATCH('ORDENES'!$AB353,'TECNICOS'!$B$4:$B$15,0),99)*100000+350,9000000000000+350)</f>
        <v/>
      </c>
      <c r="M357" s="3">
        <f>IF(K357=1,SUMPRODUCT(--($L$8:$L$1207&lt;L357))+1,"")</f>
        <v/>
      </c>
      <c r="N357" s="17">
        <f>IF(K357=1,N('ORDENES'!$M353),0)</f>
        <v/>
      </c>
      <c r="O357" s="17">
        <f>IF('ORDENES'!$S353="preventiva",N357,0)</f>
        <v/>
      </c>
      <c r="P357" s="17">
        <f>IF('ORDENES'!$S353="correctiva",N357,0)</f>
        <v/>
      </c>
      <c r="Q357" s="3">
        <f>IF(AND(K357=1,'ORDENES'!$N353="Pendiente"),1,0)</f>
        <v/>
      </c>
      <c r="R357" s="3">
        <f>IF(Q357=1,100000-N357*1000+350*0.01,9000000000000+350)</f>
        <v/>
      </c>
      <c r="S357" s="3">
        <f>IF(Q357=1,SUMPRODUCT(--($R$8:$R$1207&lt;R357))+1,"")</f>
        <v/>
      </c>
      <c r="T357" s="11">
        <f>IF(K357=1,'ORDENES'!$J353,"")</f>
        <v/>
      </c>
    </row>
    <row r="358">
      <c r="K358" s="3">
        <f>IF(AND(IF($B$3="(todos)",TRUE,'ORDENES'!$O354=$B$3),IF($D$3="(todos)",TRUE,'ORDENES'!$AC354=$D$3),IF($F$3="(todos)",TRUE,'ORDENES'!$V354=$F$3),'ORDENES'!$AA354=TRUE,'ORDENES'!$A354&lt;&gt;""),1,0)</f>
        <v/>
      </c>
      <c r="L358" s="3">
        <f>IF(K358=1,IFERROR(MATCH('ORDENES'!$R354,lista_dias,0),9)*1000000000+IFERROR(MATCH('ORDENES'!$AC354,lista_turnos,0),9)*10000000+IFERROR(MATCH('ORDENES'!$AB354,'TECNICOS'!$B$4:$B$15,0),99)*100000+351,9000000000000+351)</f>
        <v/>
      </c>
      <c r="M358" s="3">
        <f>IF(K358=1,SUMPRODUCT(--($L$8:$L$1207&lt;L358))+1,"")</f>
        <v/>
      </c>
      <c r="N358" s="17">
        <f>IF(K358=1,N('ORDENES'!$M354),0)</f>
        <v/>
      </c>
      <c r="O358" s="17">
        <f>IF('ORDENES'!$S354="preventiva",N358,0)</f>
        <v/>
      </c>
      <c r="P358" s="17">
        <f>IF('ORDENES'!$S354="correctiva",N358,0)</f>
        <v/>
      </c>
      <c r="Q358" s="3">
        <f>IF(AND(K358=1,'ORDENES'!$N354="Pendiente"),1,0)</f>
        <v/>
      </c>
      <c r="R358" s="3">
        <f>IF(Q358=1,100000-N358*1000+351*0.01,9000000000000+351)</f>
        <v/>
      </c>
      <c r="S358" s="3">
        <f>IF(Q358=1,SUMPRODUCT(--($R$8:$R$1207&lt;R358))+1,"")</f>
        <v/>
      </c>
      <c r="T358" s="11">
        <f>IF(K358=1,'ORDENES'!$J354,"")</f>
        <v/>
      </c>
    </row>
    <row r="359">
      <c r="K359" s="3">
        <f>IF(AND(IF($B$3="(todos)",TRUE,'ORDENES'!$O355=$B$3),IF($D$3="(todos)",TRUE,'ORDENES'!$AC355=$D$3),IF($F$3="(todos)",TRUE,'ORDENES'!$V355=$F$3),'ORDENES'!$AA355=TRUE,'ORDENES'!$A355&lt;&gt;""),1,0)</f>
        <v/>
      </c>
      <c r="L359" s="3">
        <f>IF(K359=1,IFERROR(MATCH('ORDENES'!$R355,lista_dias,0),9)*1000000000+IFERROR(MATCH('ORDENES'!$AC355,lista_turnos,0),9)*10000000+IFERROR(MATCH('ORDENES'!$AB355,'TECNICOS'!$B$4:$B$15,0),99)*100000+352,9000000000000+352)</f>
        <v/>
      </c>
      <c r="M359" s="3">
        <f>IF(K359=1,SUMPRODUCT(--($L$8:$L$1207&lt;L359))+1,"")</f>
        <v/>
      </c>
      <c r="N359" s="17">
        <f>IF(K359=1,N('ORDENES'!$M355),0)</f>
        <v/>
      </c>
      <c r="O359" s="17">
        <f>IF('ORDENES'!$S355="preventiva",N359,0)</f>
        <v/>
      </c>
      <c r="P359" s="17">
        <f>IF('ORDENES'!$S355="correctiva",N359,0)</f>
        <v/>
      </c>
      <c r="Q359" s="3">
        <f>IF(AND(K359=1,'ORDENES'!$N355="Pendiente"),1,0)</f>
        <v/>
      </c>
      <c r="R359" s="3">
        <f>IF(Q359=1,100000-N359*1000+352*0.01,9000000000000+352)</f>
        <v/>
      </c>
      <c r="S359" s="3">
        <f>IF(Q359=1,SUMPRODUCT(--($R$8:$R$1207&lt;R359))+1,"")</f>
        <v/>
      </c>
      <c r="T359" s="11">
        <f>IF(K359=1,'ORDENES'!$J355,"")</f>
        <v/>
      </c>
    </row>
    <row r="360">
      <c r="K360" s="3">
        <f>IF(AND(IF($B$3="(todos)",TRUE,'ORDENES'!$O356=$B$3),IF($D$3="(todos)",TRUE,'ORDENES'!$AC356=$D$3),IF($F$3="(todos)",TRUE,'ORDENES'!$V356=$F$3),'ORDENES'!$AA356=TRUE,'ORDENES'!$A356&lt;&gt;""),1,0)</f>
        <v/>
      </c>
      <c r="L360" s="3">
        <f>IF(K360=1,IFERROR(MATCH('ORDENES'!$R356,lista_dias,0),9)*1000000000+IFERROR(MATCH('ORDENES'!$AC356,lista_turnos,0),9)*10000000+IFERROR(MATCH('ORDENES'!$AB356,'TECNICOS'!$B$4:$B$15,0),99)*100000+353,9000000000000+353)</f>
        <v/>
      </c>
      <c r="M360" s="3">
        <f>IF(K360=1,SUMPRODUCT(--($L$8:$L$1207&lt;L360))+1,"")</f>
        <v/>
      </c>
      <c r="N360" s="17">
        <f>IF(K360=1,N('ORDENES'!$M356),0)</f>
        <v/>
      </c>
      <c r="O360" s="17">
        <f>IF('ORDENES'!$S356="preventiva",N360,0)</f>
        <v/>
      </c>
      <c r="P360" s="17">
        <f>IF('ORDENES'!$S356="correctiva",N360,0)</f>
        <v/>
      </c>
      <c r="Q360" s="3">
        <f>IF(AND(K360=1,'ORDENES'!$N356="Pendiente"),1,0)</f>
        <v/>
      </c>
      <c r="R360" s="3">
        <f>IF(Q360=1,100000-N360*1000+353*0.01,9000000000000+353)</f>
        <v/>
      </c>
      <c r="S360" s="3">
        <f>IF(Q360=1,SUMPRODUCT(--($R$8:$R$1207&lt;R360))+1,"")</f>
        <v/>
      </c>
      <c r="T360" s="11">
        <f>IF(K360=1,'ORDENES'!$J356,"")</f>
        <v/>
      </c>
    </row>
    <row r="361">
      <c r="K361" s="3">
        <f>IF(AND(IF($B$3="(todos)",TRUE,'ORDENES'!$O357=$B$3),IF($D$3="(todos)",TRUE,'ORDENES'!$AC357=$D$3),IF($F$3="(todos)",TRUE,'ORDENES'!$V357=$F$3),'ORDENES'!$AA357=TRUE,'ORDENES'!$A357&lt;&gt;""),1,0)</f>
        <v/>
      </c>
      <c r="L361" s="3">
        <f>IF(K361=1,IFERROR(MATCH('ORDENES'!$R357,lista_dias,0),9)*1000000000+IFERROR(MATCH('ORDENES'!$AC357,lista_turnos,0),9)*10000000+IFERROR(MATCH('ORDENES'!$AB357,'TECNICOS'!$B$4:$B$15,0),99)*100000+354,9000000000000+354)</f>
        <v/>
      </c>
      <c r="M361" s="3">
        <f>IF(K361=1,SUMPRODUCT(--($L$8:$L$1207&lt;L361))+1,"")</f>
        <v/>
      </c>
      <c r="N361" s="17">
        <f>IF(K361=1,N('ORDENES'!$M357),0)</f>
        <v/>
      </c>
      <c r="O361" s="17">
        <f>IF('ORDENES'!$S357="preventiva",N361,0)</f>
        <v/>
      </c>
      <c r="P361" s="17">
        <f>IF('ORDENES'!$S357="correctiva",N361,0)</f>
        <v/>
      </c>
      <c r="Q361" s="3">
        <f>IF(AND(K361=1,'ORDENES'!$N357="Pendiente"),1,0)</f>
        <v/>
      </c>
      <c r="R361" s="3">
        <f>IF(Q361=1,100000-N361*1000+354*0.01,9000000000000+354)</f>
        <v/>
      </c>
      <c r="S361" s="3">
        <f>IF(Q361=1,SUMPRODUCT(--($R$8:$R$1207&lt;R361))+1,"")</f>
        <v/>
      </c>
      <c r="T361" s="11">
        <f>IF(K361=1,'ORDENES'!$J357,"")</f>
        <v/>
      </c>
    </row>
    <row r="362">
      <c r="K362" s="3">
        <f>IF(AND(IF($B$3="(todos)",TRUE,'ORDENES'!$O358=$B$3),IF($D$3="(todos)",TRUE,'ORDENES'!$AC358=$D$3),IF($F$3="(todos)",TRUE,'ORDENES'!$V358=$F$3),'ORDENES'!$AA358=TRUE,'ORDENES'!$A358&lt;&gt;""),1,0)</f>
        <v/>
      </c>
      <c r="L362" s="3">
        <f>IF(K362=1,IFERROR(MATCH('ORDENES'!$R358,lista_dias,0),9)*1000000000+IFERROR(MATCH('ORDENES'!$AC358,lista_turnos,0),9)*10000000+IFERROR(MATCH('ORDENES'!$AB358,'TECNICOS'!$B$4:$B$15,0),99)*100000+355,9000000000000+355)</f>
        <v/>
      </c>
      <c r="M362" s="3">
        <f>IF(K362=1,SUMPRODUCT(--($L$8:$L$1207&lt;L362))+1,"")</f>
        <v/>
      </c>
      <c r="N362" s="17">
        <f>IF(K362=1,N('ORDENES'!$M358),0)</f>
        <v/>
      </c>
      <c r="O362" s="17">
        <f>IF('ORDENES'!$S358="preventiva",N362,0)</f>
        <v/>
      </c>
      <c r="P362" s="17">
        <f>IF('ORDENES'!$S358="correctiva",N362,0)</f>
        <v/>
      </c>
      <c r="Q362" s="3">
        <f>IF(AND(K362=1,'ORDENES'!$N358="Pendiente"),1,0)</f>
        <v/>
      </c>
      <c r="R362" s="3">
        <f>IF(Q362=1,100000-N362*1000+355*0.01,9000000000000+355)</f>
        <v/>
      </c>
      <c r="S362" s="3">
        <f>IF(Q362=1,SUMPRODUCT(--($R$8:$R$1207&lt;R362))+1,"")</f>
        <v/>
      </c>
      <c r="T362" s="11">
        <f>IF(K362=1,'ORDENES'!$J358,"")</f>
        <v/>
      </c>
    </row>
    <row r="363">
      <c r="K363" s="3">
        <f>IF(AND(IF($B$3="(todos)",TRUE,'ORDENES'!$O359=$B$3),IF($D$3="(todos)",TRUE,'ORDENES'!$AC359=$D$3),IF($F$3="(todos)",TRUE,'ORDENES'!$V359=$F$3),'ORDENES'!$AA359=TRUE,'ORDENES'!$A359&lt;&gt;""),1,0)</f>
        <v/>
      </c>
      <c r="L363" s="3">
        <f>IF(K363=1,IFERROR(MATCH('ORDENES'!$R359,lista_dias,0),9)*1000000000+IFERROR(MATCH('ORDENES'!$AC359,lista_turnos,0),9)*10000000+IFERROR(MATCH('ORDENES'!$AB359,'TECNICOS'!$B$4:$B$15,0),99)*100000+356,9000000000000+356)</f>
        <v/>
      </c>
      <c r="M363" s="3">
        <f>IF(K363=1,SUMPRODUCT(--($L$8:$L$1207&lt;L363))+1,"")</f>
        <v/>
      </c>
      <c r="N363" s="17">
        <f>IF(K363=1,N('ORDENES'!$M359),0)</f>
        <v/>
      </c>
      <c r="O363" s="17">
        <f>IF('ORDENES'!$S359="preventiva",N363,0)</f>
        <v/>
      </c>
      <c r="P363" s="17">
        <f>IF('ORDENES'!$S359="correctiva",N363,0)</f>
        <v/>
      </c>
      <c r="Q363" s="3">
        <f>IF(AND(K363=1,'ORDENES'!$N359="Pendiente"),1,0)</f>
        <v/>
      </c>
      <c r="R363" s="3">
        <f>IF(Q363=1,100000-N363*1000+356*0.01,9000000000000+356)</f>
        <v/>
      </c>
      <c r="S363" s="3">
        <f>IF(Q363=1,SUMPRODUCT(--($R$8:$R$1207&lt;R363))+1,"")</f>
        <v/>
      </c>
      <c r="T363" s="11">
        <f>IF(K363=1,'ORDENES'!$J359,"")</f>
        <v/>
      </c>
    </row>
    <row r="364">
      <c r="K364" s="3">
        <f>IF(AND(IF($B$3="(todos)",TRUE,'ORDENES'!$O360=$B$3),IF($D$3="(todos)",TRUE,'ORDENES'!$AC360=$D$3),IF($F$3="(todos)",TRUE,'ORDENES'!$V360=$F$3),'ORDENES'!$AA360=TRUE,'ORDENES'!$A360&lt;&gt;""),1,0)</f>
        <v/>
      </c>
      <c r="L364" s="3">
        <f>IF(K364=1,IFERROR(MATCH('ORDENES'!$R360,lista_dias,0),9)*1000000000+IFERROR(MATCH('ORDENES'!$AC360,lista_turnos,0),9)*10000000+IFERROR(MATCH('ORDENES'!$AB360,'TECNICOS'!$B$4:$B$15,0),99)*100000+357,9000000000000+357)</f>
        <v/>
      </c>
      <c r="M364" s="3">
        <f>IF(K364=1,SUMPRODUCT(--($L$8:$L$1207&lt;L364))+1,"")</f>
        <v/>
      </c>
      <c r="N364" s="17">
        <f>IF(K364=1,N('ORDENES'!$M360),0)</f>
        <v/>
      </c>
      <c r="O364" s="17">
        <f>IF('ORDENES'!$S360="preventiva",N364,0)</f>
        <v/>
      </c>
      <c r="P364" s="17">
        <f>IF('ORDENES'!$S360="correctiva",N364,0)</f>
        <v/>
      </c>
      <c r="Q364" s="3">
        <f>IF(AND(K364=1,'ORDENES'!$N360="Pendiente"),1,0)</f>
        <v/>
      </c>
      <c r="R364" s="3">
        <f>IF(Q364=1,100000-N364*1000+357*0.01,9000000000000+357)</f>
        <v/>
      </c>
      <c r="S364" s="3">
        <f>IF(Q364=1,SUMPRODUCT(--($R$8:$R$1207&lt;R364))+1,"")</f>
        <v/>
      </c>
      <c r="T364" s="11">
        <f>IF(K364=1,'ORDENES'!$J360,"")</f>
        <v/>
      </c>
    </row>
    <row r="365">
      <c r="K365" s="3">
        <f>IF(AND(IF($B$3="(todos)",TRUE,'ORDENES'!$O361=$B$3),IF($D$3="(todos)",TRUE,'ORDENES'!$AC361=$D$3),IF($F$3="(todos)",TRUE,'ORDENES'!$V361=$F$3),'ORDENES'!$AA361=TRUE,'ORDENES'!$A361&lt;&gt;""),1,0)</f>
        <v/>
      </c>
      <c r="L365" s="3">
        <f>IF(K365=1,IFERROR(MATCH('ORDENES'!$R361,lista_dias,0),9)*1000000000+IFERROR(MATCH('ORDENES'!$AC361,lista_turnos,0),9)*10000000+IFERROR(MATCH('ORDENES'!$AB361,'TECNICOS'!$B$4:$B$15,0),99)*100000+358,9000000000000+358)</f>
        <v/>
      </c>
      <c r="M365" s="3">
        <f>IF(K365=1,SUMPRODUCT(--($L$8:$L$1207&lt;L365))+1,"")</f>
        <v/>
      </c>
      <c r="N365" s="17">
        <f>IF(K365=1,N('ORDENES'!$M361),0)</f>
        <v/>
      </c>
      <c r="O365" s="17">
        <f>IF('ORDENES'!$S361="preventiva",N365,0)</f>
        <v/>
      </c>
      <c r="P365" s="17">
        <f>IF('ORDENES'!$S361="correctiva",N365,0)</f>
        <v/>
      </c>
      <c r="Q365" s="3">
        <f>IF(AND(K365=1,'ORDENES'!$N361="Pendiente"),1,0)</f>
        <v/>
      </c>
      <c r="R365" s="3">
        <f>IF(Q365=1,100000-N365*1000+358*0.01,9000000000000+358)</f>
        <v/>
      </c>
      <c r="S365" s="3">
        <f>IF(Q365=1,SUMPRODUCT(--($R$8:$R$1207&lt;R365))+1,"")</f>
        <v/>
      </c>
      <c r="T365" s="11">
        <f>IF(K365=1,'ORDENES'!$J361,"")</f>
        <v/>
      </c>
    </row>
    <row r="366">
      <c r="K366" s="3">
        <f>IF(AND(IF($B$3="(todos)",TRUE,'ORDENES'!$O362=$B$3),IF($D$3="(todos)",TRUE,'ORDENES'!$AC362=$D$3),IF($F$3="(todos)",TRUE,'ORDENES'!$V362=$F$3),'ORDENES'!$AA362=TRUE,'ORDENES'!$A362&lt;&gt;""),1,0)</f>
        <v/>
      </c>
      <c r="L366" s="3">
        <f>IF(K366=1,IFERROR(MATCH('ORDENES'!$R362,lista_dias,0),9)*1000000000+IFERROR(MATCH('ORDENES'!$AC362,lista_turnos,0),9)*10000000+IFERROR(MATCH('ORDENES'!$AB362,'TECNICOS'!$B$4:$B$15,0),99)*100000+359,9000000000000+359)</f>
        <v/>
      </c>
      <c r="M366" s="3">
        <f>IF(K366=1,SUMPRODUCT(--($L$8:$L$1207&lt;L366))+1,"")</f>
        <v/>
      </c>
      <c r="N366" s="17">
        <f>IF(K366=1,N('ORDENES'!$M362),0)</f>
        <v/>
      </c>
      <c r="O366" s="17">
        <f>IF('ORDENES'!$S362="preventiva",N366,0)</f>
        <v/>
      </c>
      <c r="P366" s="17">
        <f>IF('ORDENES'!$S362="correctiva",N366,0)</f>
        <v/>
      </c>
      <c r="Q366" s="3">
        <f>IF(AND(K366=1,'ORDENES'!$N362="Pendiente"),1,0)</f>
        <v/>
      </c>
      <c r="R366" s="3">
        <f>IF(Q366=1,100000-N366*1000+359*0.01,9000000000000+359)</f>
        <v/>
      </c>
      <c r="S366" s="3">
        <f>IF(Q366=1,SUMPRODUCT(--($R$8:$R$1207&lt;R366))+1,"")</f>
        <v/>
      </c>
      <c r="T366" s="11">
        <f>IF(K366=1,'ORDENES'!$J362,"")</f>
        <v/>
      </c>
    </row>
    <row r="367">
      <c r="K367" s="3">
        <f>IF(AND(IF($B$3="(todos)",TRUE,'ORDENES'!$O363=$B$3),IF($D$3="(todos)",TRUE,'ORDENES'!$AC363=$D$3),IF($F$3="(todos)",TRUE,'ORDENES'!$V363=$F$3),'ORDENES'!$AA363=TRUE,'ORDENES'!$A363&lt;&gt;""),1,0)</f>
        <v/>
      </c>
      <c r="L367" s="3">
        <f>IF(K367=1,IFERROR(MATCH('ORDENES'!$R363,lista_dias,0),9)*1000000000+IFERROR(MATCH('ORDENES'!$AC363,lista_turnos,0),9)*10000000+IFERROR(MATCH('ORDENES'!$AB363,'TECNICOS'!$B$4:$B$15,0),99)*100000+360,9000000000000+360)</f>
        <v/>
      </c>
      <c r="M367" s="3">
        <f>IF(K367=1,SUMPRODUCT(--($L$8:$L$1207&lt;L367))+1,"")</f>
        <v/>
      </c>
      <c r="N367" s="17">
        <f>IF(K367=1,N('ORDENES'!$M363),0)</f>
        <v/>
      </c>
      <c r="O367" s="17">
        <f>IF('ORDENES'!$S363="preventiva",N367,0)</f>
        <v/>
      </c>
      <c r="P367" s="17">
        <f>IF('ORDENES'!$S363="correctiva",N367,0)</f>
        <v/>
      </c>
      <c r="Q367" s="3">
        <f>IF(AND(K367=1,'ORDENES'!$N363="Pendiente"),1,0)</f>
        <v/>
      </c>
      <c r="R367" s="3">
        <f>IF(Q367=1,100000-N367*1000+360*0.01,9000000000000+360)</f>
        <v/>
      </c>
      <c r="S367" s="3">
        <f>IF(Q367=1,SUMPRODUCT(--($R$8:$R$1207&lt;R367))+1,"")</f>
        <v/>
      </c>
      <c r="T367" s="11">
        <f>IF(K367=1,'ORDENES'!$J363,"")</f>
        <v/>
      </c>
    </row>
    <row r="368">
      <c r="K368" s="3">
        <f>IF(AND(IF($B$3="(todos)",TRUE,'ORDENES'!$O364=$B$3),IF($D$3="(todos)",TRUE,'ORDENES'!$AC364=$D$3),IF($F$3="(todos)",TRUE,'ORDENES'!$V364=$F$3),'ORDENES'!$AA364=TRUE,'ORDENES'!$A364&lt;&gt;""),1,0)</f>
        <v/>
      </c>
      <c r="L368" s="3">
        <f>IF(K368=1,IFERROR(MATCH('ORDENES'!$R364,lista_dias,0),9)*1000000000+IFERROR(MATCH('ORDENES'!$AC364,lista_turnos,0),9)*10000000+IFERROR(MATCH('ORDENES'!$AB364,'TECNICOS'!$B$4:$B$15,0),99)*100000+361,9000000000000+361)</f>
        <v/>
      </c>
      <c r="M368" s="3">
        <f>IF(K368=1,SUMPRODUCT(--($L$8:$L$1207&lt;L368))+1,"")</f>
        <v/>
      </c>
      <c r="N368" s="17">
        <f>IF(K368=1,N('ORDENES'!$M364),0)</f>
        <v/>
      </c>
      <c r="O368" s="17">
        <f>IF('ORDENES'!$S364="preventiva",N368,0)</f>
        <v/>
      </c>
      <c r="P368" s="17">
        <f>IF('ORDENES'!$S364="correctiva",N368,0)</f>
        <v/>
      </c>
      <c r="Q368" s="3">
        <f>IF(AND(K368=1,'ORDENES'!$N364="Pendiente"),1,0)</f>
        <v/>
      </c>
      <c r="R368" s="3">
        <f>IF(Q368=1,100000-N368*1000+361*0.01,9000000000000+361)</f>
        <v/>
      </c>
      <c r="S368" s="3">
        <f>IF(Q368=1,SUMPRODUCT(--($R$8:$R$1207&lt;R368))+1,"")</f>
        <v/>
      </c>
      <c r="T368" s="11">
        <f>IF(K368=1,'ORDENES'!$J364,"")</f>
        <v/>
      </c>
    </row>
    <row r="369">
      <c r="K369" s="3">
        <f>IF(AND(IF($B$3="(todos)",TRUE,'ORDENES'!$O365=$B$3),IF($D$3="(todos)",TRUE,'ORDENES'!$AC365=$D$3),IF($F$3="(todos)",TRUE,'ORDENES'!$V365=$F$3),'ORDENES'!$AA365=TRUE,'ORDENES'!$A365&lt;&gt;""),1,0)</f>
        <v/>
      </c>
      <c r="L369" s="3">
        <f>IF(K369=1,IFERROR(MATCH('ORDENES'!$R365,lista_dias,0),9)*1000000000+IFERROR(MATCH('ORDENES'!$AC365,lista_turnos,0),9)*10000000+IFERROR(MATCH('ORDENES'!$AB365,'TECNICOS'!$B$4:$B$15,0),99)*100000+362,9000000000000+362)</f>
        <v/>
      </c>
      <c r="M369" s="3">
        <f>IF(K369=1,SUMPRODUCT(--($L$8:$L$1207&lt;L369))+1,"")</f>
        <v/>
      </c>
      <c r="N369" s="17">
        <f>IF(K369=1,N('ORDENES'!$M365),0)</f>
        <v/>
      </c>
      <c r="O369" s="17">
        <f>IF('ORDENES'!$S365="preventiva",N369,0)</f>
        <v/>
      </c>
      <c r="P369" s="17">
        <f>IF('ORDENES'!$S365="correctiva",N369,0)</f>
        <v/>
      </c>
      <c r="Q369" s="3">
        <f>IF(AND(K369=1,'ORDENES'!$N365="Pendiente"),1,0)</f>
        <v/>
      </c>
      <c r="R369" s="3">
        <f>IF(Q369=1,100000-N369*1000+362*0.01,9000000000000+362)</f>
        <v/>
      </c>
      <c r="S369" s="3">
        <f>IF(Q369=1,SUMPRODUCT(--($R$8:$R$1207&lt;R369))+1,"")</f>
        <v/>
      </c>
      <c r="T369" s="11">
        <f>IF(K369=1,'ORDENES'!$J365,"")</f>
        <v/>
      </c>
    </row>
    <row r="370">
      <c r="K370" s="3">
        <f>IF(AND(IF($B$3="(todos)",TRUE,'ORDENES'!$O366=$B$3),IF($D$3="(todos)",TRUE,'ORDENES'!$AC366=$D$3),IF($F$3="(todos)",TRUE,'ORDENES'!$V366=$F$3),'ORDENES'!$AA366=TRUE,'ORDENES'!$A366&lt;&gt;""),1,0)</f>
        <v/>
      </c>
      <c r="L370" s="3">
        <f>IF(K370=1,IFERROR(MATCH('ORDENES'!$R366,lista_dias,0),9)*1000000000+IFERROR(MATCH('ORDENES'!$AC366,lista_turnos,0),9)*10000000+IFERROR(MATCH('ORDENES'!$AB366,'TECNICOS'!$B$4:$B$15,0),99)*100000+363,9000000000000+363)</f>
        <v/>
      </c>
      <c r="M370" s="3">
        <f>IF(K370=1,SUMPRODUCT(--($L$8:$L$1207&lt;L370))+1,"")</f>
        <v/>
      </c>
      <c r="N370" s="17">
        <f>IF(K370=1,N('ORDENES'!$M366),0)</f>
        <v/>
      </c>
      <c r="O370" s="17">
        <f>IF('ORDENES'!$S366="preventiva",N370,0)</f>
        <v/>
      </c>
      <c r="P370" s="17">
        <f>IF('ORDENES'!$S366="correctiva",N370,0)</f>
        <v/>
      </c>
      <c r="Q370" s="3">
        <f>IF(AND(K370=1,'ORDENES'!$N366="Pendiente"),1,0)</f>
        <v/>
      </c>
      <c r="R370" s="3">
        <f>IF(Q370=1,100000-N370*1000+363*0.01,9000000000000+363)</f>
        <v/>
      </c>
      <c r="S370" s="3">
        <f>IF(Q370=1,SUMPRODUCT(--($R$8:$R$1207&lt;R370))+1,"")</f>
        <v/>
      </c>
      <c r="T370" s="11">
        <f>IF(K370=1,'ORDENES'!$J366,"")</f>
        <v/>
      </c>
    </row>
    <row r="371">
      <c r="K371" s="3">
        <f>IF(AND(IF($B$3="(todos)",TRUE,'ORDENES'!$O367=$B$3),IF($D$3="(todos)",TRUE,'ORDENES'!$AC367=$D$3),IF($F$3="(todos)",TRUE,'ORDENES'!$V367=$F$3),'ORDENES'!$AA367=TRUE,'ORDENES'!$A367&lt;&gt;""),1,0)</f>
        <v/>
      </c>
      <c r="L371" s="3">
        <f>IF(K371=1,IFERROR(MATCH('ORDENES'!$R367,lista_dias,0),9)*1000000000+IFERROR(MATCH('ORDENES'!$AC367,lista_turnos,0),9)*10000000+IFERROR(MATCH('ORDENES'!$AB367,'TECNICOS'!$B$4:$B$15,0),99)*100000+364,9000000000000+364)</f>
        <v/>
      </c>
      <c r="M371" s="3">
        <f>IF(K371=1,SUMPRODUCT(--($L$8:$L$1207&lt;L371))+1,"")</f>
        <v/>
      </c>
      <c r="N371" s="17">
        <f>IF(K371=1,N('ORDENES'!$M367),0)</f>
        <v/>
      </c>
      <c r="O371" s="17">
        <f>IF('ORDENES'!$S367="preventiva",N371,0)</f>
        <v/>
      </c>
      <c r="P371" s="17">
        <f>IF('ORDENES'!$S367="correctiva",N371,0)</f>
        <v/>
      </c>
      <c r="Q371" s="3">
        <f>IF(AND(K371=1,'ORDENES'!$N367="Pendiente"),1,0)</f>
        <v/>
      </c>
      <c r="R371" s="3">
        <f>IF(Q371=1,100000-N371*1000+364*0.01,9000000000000+364)</f>
        <v/>
      </c>
      <c r="S371" s="3">
        <f>IF(Q371=1,SUMPRODUCT(--($R$8:$R$1207&lt;R371))+1,"")</f>
        <v/>
      </c>
      <c r="T371" s="11">
        <f>IF(K371=1,'ORDENES'!$J367,"")</f>
        <v/>
      </c>
    </row>
    <row r="372">
      <c r="K372" s="3">
        <f>IF(AND(IF($B$3="(todos)",TRUE,'ORDENES'!$O368=$B$3),IF($D$3="(todos)",TRUE,'ORDENES'!$AC368=$D$3),IF($F$3="(todos)",TRUE,'ORDENES'!$V368=$F$3),'ORDENES'!$AA368=TRUE,'ORDENES'!$A368&lt;&gt;""),1,0)</f>
        <v/>
      </c>
      <c r="L372" s="3">
        <f>IF(K372=1,IFERROR(MATCH('ORDENES'!$R368,lista_dias,0),9)*1000000000+IFERROR(MATCH('ORDENES'!$AC368,lista_turnos,0),9)*10000000+IFERROR(MATCH('ORDENES'!$AB368,'TECNICOS'!$B$4:$B$15,0),99)*100000+365,9000000000000+365)</f>
        <v/>
      </c>
      <c r="M372" s="3">
        <f>IF(K372=1,SUMPRODUCT(--($L$8:$L$1207&lt;L372))+1,"")</f>
        <v/>
      </c>
      <c r="N372" s="17">
        <f>IF(K372=1,N('ORDENES'!$M368),0)</f>
        <v/>
      </c>
      <c r="O372" s="17">
        <f>IF('ORDENES'!$S368="preventiva",N372,0)</f>
        <v/>
      </c>
      <c r="P372" s="17">
        <f>IF('ORDENES'!$S368="correctiva",N372,0)</f>
        <v/>
      </c>
      <c r="Q372" s="3">
        <f>IF(AND(K372=1,'ORDENES'!$N368="Pendiente"),1,0)</f>
        <v/>
      </c>
      <c r="R372" s="3">
        <f>IF(Q372=1,100000-N372*1000+365*0.01,9000000000000+365)</f>
        <v/>
      </c>
      <c r="S372" s="3">
        <f>IF(Q372=1,SUMPRODUCT(--($R$8:$R$1207&lt;R372))+1,"")</f>
        <v/>
      </c>
      <c r="T372" s="11">
        <f>IF(K372=1,'ORDENES'!$J368,"")</f>
        <v/>
      </c>
    </row>
    <row r="373">
      <c r="K373" s="3">
        <f>IF(AND(IF($B$3="(todos)",TRUE,'ORDENES'!$O369=$B$3),IF($D$3="(todos)",TRUE,'ORDENES'!$AC369=$D$3),IF($F$3="(todos)",TRUE,'ORDENES'!$V369=$F$3),'ORDENES'!$AA369=TRUE,'ORDENES'!$A369&lt;&gt;""),1,0)</f>
        <v/>
      </c>
      <c r="L373" s="3">
        <f>IF(K373=1,IFERROR(MATCH('ORDENES'!$R369,lista_dias,0),9)*1000000000+IFERROR(MATCH('ORDENES'!$AC369,lista_turnos,0),9)*10000000+IFERROR(MATCH('ORDENES'!$AB369,'TECNICOS'!$B$4:$B$15,0),99)*100000+366,9000000000000+366)</f>
        <v/>
      </c>
      <c r="M373" s="3">
        <f>IF(K373=1,SUMPRODUCT(--($L$8:$L$1207&lt;L373))+1,"")</f>
        <v/>
      </c>
      <c r="N373" s="17">
        <f>IF(K373=1,N('ORDENES'!$M369),0)</f>
        <v/>
      </c>
      <c r="O373" s="17">
        <f>IF('ORDENES'!$S369="preventiva",N373,0)</f>
        <v/>
      </c>
      <c r="P373" s="17">
        <f>IF('ORDENES'!$S369="correctiva",N373,0)</f>
        <v/>
      </c>
      <c r="Q373" s="3">
        <f>IF(AND(K373=1,'ORDENES'!$N369="Pendiente"),1,0)</f>
        <v/>
      </c>
      <c r="R373" s="3">
        <f>IF(Q373=1,100000-N373*1000+366*0.01,9000000000000+366)</f>
        <v/>
      </c>
      <c r="S373" s="3">
        <f>IF(Q373=1,SUMPRODUCT(--($R$8:$R$1207&lt;R373))+1,"")</f>
        <v/>
      </c>
      <c r="T373" s="11">
        <f>IF(K373=1,'ORDENES'!$J369,"")</f>
        <v/>
      </c>
    </row>
    <row r="374">
      <c r="K374" s="3">
        <f>IF(AND(IF($B$3="(todos)",TRUE,'ORDENES'!$O370=$B$3),IF($D$3="(todos)",TRUE,'ORDENES'!$AC370=$D$3),IF($F$3="(todos)",TRUE,'ORDENES'!$V370=$F$3),'ORDENES'!$AA370=TRUE,'ORDENES'!$A370&lt;&gt;""),1,0)</f>
        <v/>
      </c>
      <c r="L374" s="3">
        <f>IF(K374=1,IFERROR(MATCH('ORDENES'!$R370,lista_dias,0),9)*1000000000+IFERROR(MATCH('ORDENES'!$AC370,lista_turnos,0),9)*10000000+IFERROR(MATCH('ORDENES'!$AB370,'TECNICOS'!$B$4:$B$15,0),99)*100000+367,9000000000000+367)</f>
        <v/>
      </c>
      <c r="M374" s="3">
        <f>IF(K374=1,SUMPRODUCT(--($L$8:$L$1207&lt;L374))+1,"")</f>
        <v/>
      </c>
      <c r="N374" s="17">
        <f>IF(K374=1,N('ORDENES'!$M370),0)</f>
        <v/>
      </c>
      <c r="O374" s="17">
        <f>IF('ORDENES'!$S370="preventiva",N374,0)</f>
        <v/>
      </c>
      <c r="P374" s="17">
        <f>IF('ORDENES'!$S370="correctiva",N374,0)</f>
        <v/>
      </c>
      <c r="Q374" s="3">
        <f>IF(AND(K374=1,'ORDENES'!$N370="Pendiente"),1,0)</f>
        <v/>
      </c>
      <c r="R374" s="3">
        <f>IF(Q374=1,100000-N374*1000+367*0.01,9000000000000+367)</f>
        <v/>
      </c>
      <c r="S374" s="3">
        <f>IF(Q374=1,SUMPRODUCT(--($R$8:$R$1207&lt;R374))+1,"")</f>
        <v/>
      </c>
      <c r="T374" s="11">
        <f>IF(K374=1,'ORDENES'!$J370,"")</f>
        <v/>
      </c>
    </row>
    <row r="375">
      <c r="K375" s="3">
        <f>IF(AND(IF($B$3="(todos)",TRUE,'ORDENES'!$O371=$B$3),IF($D$3="(todos)",TRUE,'ORDENES'!$AC371=$D$3),IF($F$3="(todos)",TRUE,'ORDENES'!$V371=$F$3),'ORDENES'!$AA371=TRUE,'ORDENES'!$A371&lt;&gt;""),1,0)</f>
        <v/>
      </c>
      <c r="L375" s="3">
        <f>IF(K375=1,IFERROR(MATCH('ORDENES'!$R371,lista_dias,0),9)*1000000000+IFERROR(MATCH('ORDENES'!$AC371,lista_turnos,0),9)*10000000+IFERROR(MATCH('ORDENES'!$AB371,'TECNICOS'!$B$4:$B$15,0),99)*100000+368,9000000000000+368)</f>
        <v/>
      </c>
      <c r="M375" s="3">
        <f>IF(K375=1,SUMPRODUCT(--($L$8:$L$1207&lt;L375))+1,"")</f>
        <v/>
      </c>
      <c r="N375" s="17">
        <f>IF(K375=1,N('ORDENES'!$M371),0)</f>
        <v/>
      </c>
      <c r="O375" s="17">
        <f>IF('ORDENES'!$S371="preventiva",N375,0)</f>
        <v/>
      </c>
      <c r="P375" s="17">
        <f>IF('ORDENES'!$S371="correctiva",N375,0)</f>
        <v/>
      </c>
      <c r="Q375" s="3">
        <f>IF(AND(K375=1,'ORDENES'!$N371="Pendiente"),1,0)</f>
        <v/>
      </c>
      <c r="R375" s="3">
        <f>IF(Q375=1,100000-N375*1000+368*0.01,9000000000000+368)</f>
        <v/>
      </c>
      <c r="S375" s="3">
        <f>IF(Q375=1,SUMPRODUCT(--($R$8:$R$1207&lt;R375))+1,"")</f>
        <v/>
      </c>
      <c r="T375" s="11">
        <f>IF(K375=1,'ORDENES'!$J371,"")</f>
        <v/>
      </c>
    </row>
    <row r="376">
      <c r="K376" s="3">
        <f>IF(AND(IF($B$3="(todos)",TRUE,'ORDENES'!$O372=$B$3),IF($D$3="(todos)",TRUE,'ORDENES'!$AC372=$D$3),IF($F$3="(todos)",TRUE,'ORDENES'!$V372=$F$3),'ORDENES'!$AA372=TRUE,'ORDENES'!$A372&lt;&gt;""),1,0)</f>
        <v/>
      </c>
      <c r="L376" s="3">
        <f>IF(K376=1,IFERROR(MATCH('ORDENES'!$R372,lista_dias,0),9)*1000000000+IFERROR(MATCH('ORDENES'!$AC372,lista_turnos,0),9)*10000000+IFERROR(MATCH('ORDENES'!$AB372,'TECNICOS'!$B$4:$B$15,0),99)*100000+369,9000000000000+369)</f>
        <v/>
      </c>
      <c r="M376" s="3">
        <f>IF(K376=1,SUMPRODUCT(--($L$8:$L$1207&lt;L376))+1,"")</f>
        <v/>
      </c>
      <c r="N376" s="17">
        <f>IF(K376=1,N('ORDENES'!$M372),0)</f>
        <v/>
      </c>
      <c r="O376" s="17">
        <f>IF('ORDENES'!$S372="preventiva",N376,0)</f>
        <v/>
      </c>
      <c r="P376" s="17">
        <f>IF('ORDENES'!$S372="correctiva",N376,0)</f>
        <v/>
      </c>
      <c r="Q376" s="3">
        <f>IF(AND(K376=1,'ORDENES'!$N372="Pendiente"),1,0)</f>
        <v/>
      </c>
      <c r="R376" s="3">
        <f>IF(Q376=1,100000-N376*1000+369*0.01,9000000000000+369)</f>
        <v/>
      </c>
      <c r="S376" s="3">
        <f>IF(Q376=1,SUMPRODUCT(--($R$8:$R$1207&lt;R376))+1,"")</f>
        <v/>
      </c>
      <c r="T376" s="11">
        <f>IF(K376=1,'ORDENES'!$J372,"")</f>
        <v/>
      </c>
    </row>
    <row r="377">
      <c r="K377" s="3">
        <f>IF(AND(IF($B$3="(todos)",TRUE,'ORDENES'!$O373=$B$3),IF($D$3="(todos)",TRUE,'ORDENES'!$AC373=$D$3),IF($F$3="(todos)",TRUE,'ORDENES'!$V373=$F$3),'ORDENES'!$AA373=TRUE,'ORDENES'!$A373&lt;&gt;""),1,0)</f>
        <v/>
      </c>
      <c r="L377" s="3">
        <f>IF(K377=1,IFERROR(MATCH('ORDENES'!$R373,lista_dias,0),9)*1000000000+IFERROR(MATCH('ORDENES'!$AC373,lista_turnos,0),9)*10000000+IFERROR(MATCH('ORDENES'!$AB373,'TECNICOS'!$B$4:$B$15,0),99)*100000+370,9000000000000+370)</f>
        <v/>
      </c>
      <c r="M377" s="3">
        <f>IF(K377=1,SUMPRODUCT(--($L$8:$L$1207&lt;L377))+1,"")</f>
        <v/>
      </c>
      <c r="N377" s="17">
        <f>IF(K377=1,N('ORDENES'!$M373),0)</f>
        <v/>
      </c>
      <c r="O377" s="17">
        <f>IF('ORDENES'!$S373="preventiva",N377,0)</f>
        <v/>
      </c>
      <c r="P377" s="17">
        <f>IF('ORDENES'!$S373="correctiva",N377,0)</f>
        <v/>
      </c>
      <c r="Q377" s="3">
        <f>IF(AND(K377=1,'ORDENES'!$N373="Pendiente"),1,0)</f>
        <v/>
      </c>
      <c r="R377" s="3">
        <f>IF(Q377=1,100000-N377*1000+370*0.01,9000000000000+370)</f>
        <v/>
      </c>
      <c r="S377" s="3">
        <f>IF(Q377=1,SUMPRODUCT(--($R$8:$R$1207&lt;R377))+1,"")</f>
        <v/>
      </c>
      <c r="T377" s="11">
        <f>IF(K377=1,'ORDENES'!$J373,"")</f>
        <v/>
      </c>
    </row>
    <row r="378">
      <c r="K378" s="3">
        <f>IF(AND(IF($B$3="(todos)",TRUE,'ORDENES'!$O374=$B$3),IF($D$3="(todos)",TRUE,'ORDENES'!$AC374=$D$3),IF($F$3="(todos)",TRUE,'ORDENES'!$V374=$F$3),'ORDENES'!$AA374=TRUE,'ORDENES'!$A374&lt;&gt;""),1,0)</f>
        <v/>
      </c>
      <c r="L378" s="3">
        <f>IF(K378=1,IFERROR(MATCH('ORDENES'!$R374,lista_dias,0),9)*1000000000+IFERROR(MATCH('ORDENES'!$AC374,lista_turnos,0),9)*10000000+IFERROR(MATCH('ORDENES'!$AB374,'TECNICOS'!$B$4:$B$15,0),99)*100000+371,9000000000000+371)</f>
        <v/>
      </c>
      <c r="M378" s="3">
        <f>IF(K378=1,SUMPRODUCT(--($L$8:$L$1207&lt;L378))+1,"")</f>
        <v/>
      </c>
      <c r="N378" s="17">
        <f>IF(K378=1,N('ORDENES'!$M374),0)</f>
        <v/>
      </c>
      <c r="O378" s="17">
        <f>IF('ORDENES'!$S374="preventiva",N378,0)</f>
        <v/>
      </c>
      <c r="P378" s="17">
        <f>IF('ORDENES'!$S374="correctiva",N378,0)</f>
        <v/>
      </c>
      <c r="Q378" s="3">
        <f>IF(AND(K378=1,'ORDENES'!$N374="Pendiente"),1,0)</f>
        <v/>
      </c>
      <c r="R378" s="3">
        <f>IF(Q378=1,100000-N378*1000+371*0.01,9000000000000+371)</f>
        <v/>
      </c>
      <c r="S378" s="3">
        <f>IF(Q378=1,SUMPRODUCT(--($R$8:$R$1207&lt;R378))+1,"")</f>
        <v/>
      </c>
      <c r="T378" s="11">
        <f>IF(K378=1,'ORDENES'!$J374,"")</f>
        <v/>
      </c>
    </row>
    <row r="379">
      <c r="K379" s="3">
        <f>IF(AND(IF($B$3="(todos)",TRUE,'ORDENES'!$O375=$B$3),IF($D$3="(todos)",TRUE,'ORDENES'!$AC375=$D$3),IF($F$3="(todos)",TRUE,'ORDENES'!$V375=$F$3),'ORDENES'!$AA375=TRUE,'ORDENES'!$A375&lt;&gt;""),1,0)</f>
        <v/>
      </c>
      <c r="L379" s="3">
        <f>IF(K379=1,IFERROR(MATCH('ORDENES'!$R375,lista_dias,0),9)*1000000000+IFERROR(MATCH('ORDENES'!$AC375,lista_turnos,0),9)*10000000+IFERROR(MATCH('ORDENES'!$AB375,'TECNICOS'!$B$4:$B$15,0),99)*100000+372,9000000000000+372)</f>
        <v/>
      </c>
      <c r="M379" s="3">
        <f>IF(K379=1,SUMPRODUCT(--($L$8:$L$1207&lt;L379))+1,"")</f>
        <v/>
      </c>
      <c r="N379" s="17">
        <f>IF(K379=1,N('ORDENES'!$M375),0)</f>
        <v/>
      </c>
      <c r="O379" s="17">
        <f>IF('ORDENES'!$S375="preventiva",N379,0)</f>
        <v/>
      </c>
      <c r="P379" s="17">
        <f>IF('ORDENES'!$S375="correctiva",N379,0)</f>
        <v/>
      </c>
      <c r="Q379" s="3">
        <f>IF(AND(K379=1,'ORDENES'!$N375="Pendiente"),1,0)</f>
        <v/>
      </c>
      <c r="R379" s="3">
        <f>IF(Q379=1,100000-N379*1000+372*0.01,9000000000000+372)</f>
        <v/>
      </c>
      <c r="S379" s="3">
        <f>IF(Q379=1,SUMPRODUCT(--($R$8:$R$1207&lt;R379))+1,"")</f>
        <v/>
      </c>
      <c r="T379" s="11">
        <f>IF(K379=1,'ORDENES'!$J375,"")</f>
        <v/>
      </c>
    </row>
    <row r="380">
      <c r="K380" s="3">
        <f>IF(AND(IF($B$3="(todos)",TRUE,'ORDENES'!$O376=$B$3),IF($D$3="(todos)",TRUE,'ORDENES'!$AC376=$D$3),IF($F$3="(todos)",TRUE,'ORDENES'!$V376=$F$3),'ORDENES'!$AA376=TRUE,'ORDENES'!$A376&lt;&gt;""),1,0)</f>
        <v/>
      </c>
      <c r="L380" s="3">
        <f>IF(K380=1,IFERROR(MATCH('ORDENES'!$R376,lista_dias,0),9)*1000000000+IFERROR(MATCH('ORDENES'!$AC376,lista_turnos,0),9)*10000000+IFERROR(MATCH('ORDENES'!$AB376,'TECNICOS'!$B$4:$B$15,0),99)*100000+373,9000000000000+373)</f>
        <v/>
      </c>
      <c r="M380" s="3">
        <f>IF(K380=1,SUMPRODUCT(--($L$8:$L$1207&lt;L380))+1,"")</f>
        <v/>
      </c>
      <c r="N380" s="17">
        <f>IF(K380=1,N('ORDENES'!$M376),0)</f>
        <v/>
      </c>
      <c r="O380" s="17">
        <f>IF('ORDENES'!$S376="preventiva",N380,0)</f>
        <v/>
      </c>
      <c r="P380" s="17">
        <f>IF('ORDENES'!$S376="correctiva",N380,0)</f>
        <v/>
      </c>
      <c r="Q380" s="3">
        <f>IF(AND(K380=1,'ORDENES'!$N376="Pendiente"),1,0)</f>
        <v/>
      </c>
      <c r="R380" s="3">
        <f>IF(Q380=1,100000-N380*1000+373*0.01,9000000000000+373)</f>
        <v/>
      </c>
      <c r="S380" s="3">
        <f>IF(Q380=1,SUMPRODUCT(--($R$8:$R$1207&lt;R380))+1,"")</f>
        <v/>
      </c>
      <c r="T380" s="11">
        <f>IF(K380=1,'ORDENES'!$J376,"")</f>
        <v/>
      </c>
    </row>
    <row r="381">
      <c r="K381" s="3">
        <f>IF(AND(IF($B$3="(todos)",TRUE,'ORDENES'!$O377=$B$3),IF($D$3="(todos)",TRUE,'ORDENES'!$AC377=$D$3),IF($F$3="(todos)",TRUE,'ORDENES'!$V377=$F$3),'ORDENES'!$AA377=TRUE,'ORDENES'!$A377&lt;&gt;""),1,0)</f>
        <v/>
      </c>
      <c r="L381" s="3">
        <f>IF(K381=1,IFERROR(MATCH('ORDENES'!$R377,lista_dias,0),9)*1000000000+IFERROR(MATCH('ORDENES'!$AC377,lista_turnos,0),9)*10000000+IFERROR(MATCH('ORDENES'!$AB377,'TECNICOS'!$B$4:$B$15,0),99)*100000+374,9000000000000+374)</f>
        <v/>
      </c>
      <c r="M381" s="3">
        <f>IF(K381=1,SUMPRODUCT(--($L$8:$L$1207&lt;L381))+1,"")</f>
        <v/>
      </c>
      <c r="N381" s="17">
        <f>IF(K381=1,N('ORDENES'!$M377),0)</f>
        <v/>
      </c>
      <c r="O381" s="17">
        <f>IF('ORDENES'!$S377="preventiva",N381,0)</f>
        <v/>
      </c>
      <c r="P381" s="17">
        <f>IF('ORDENES'!$S377="correctiva",N381,0)</f>
        <v/>
      </c>
      <c r="Q381" s="3">
        <f>IF(AND(K381=1,'ORDENES'!$N377="Pendiente"),1,0)</f>
        <v/>
      </c>
      <c r="R381" s="3">
        <f>IF(Q381=1,100000-N381*1000+374*0.01,9000000000000+374)</f>
        <v/>
      </c>
      <c r="S381" s="3">
        <f>IF(Q381=1,SUMPRODUCT(--($R$8:$R$1207&lt;R381))+1,"")</f>
        <v/>
      </c>
      <c r="T381" s="11">
        <f>IF(K381=1,'ORDENES'!$J377,"")</f>
        <v/>
      </c>
    </row>
    <row r="382">
      <c r="K382" s="3">
        <f>IF(AND(IF($B$3="(todos)",TRUE,'ORDENES'!$O378=$B$3),IF($D$3="(todos)",TRUE,'ORDENES'!$AC378=$D$3),IF($F$3="(todos)",TRUE,'ORDENES'!$V378=$F$3),'ORDENES'!$AA378=TRUE,'ORDENES'!$A378&lt;&gt;""),1,0)</f>
        <v/>
      </c>
      <c r="L382" s="3">
        <f>IF(K382=1,IFERROR(MATCH('ORDENES'!$R378,lista_dias,0),9)*1000000000+IFERROR(MATCH('ORDENES'!$AC378,lista_turnos,0),9)*10000000+IFERROR(MATCH('ORDENES'!$AB378,'TECNICOS'!$B$4:$B$15,0),99)*100000+375,9000000000000+375)</f>
        <v/>
      </c>
      <c r="M382" s="3">
        <f>IF(K382=1,SUMPRODUCT(--($L$8:$L$1207&lt;L382))+1,"")</f>
        <v/>
      </c>
      <c r="N382" s="17">
        <f>IF(K382=1,N('ORDENES'!$M378),0)</f>
        <v/>
      </c>
      <c r="O382" s="17">
        <f>IF('ORDENES'!$S378="preventiva",N382,0)</f>
        <v/>
      </c>
      <c r="P382" s="17">
        <f>IF('ORDENES'!$S378="correctiva",N382,0)</f>
        <v/>
      </c>
      <c r="Q382" s="3">
        <f>IF(AND(K382=1,'ORDENES'!$N378="Pendiente"),1,0)</f>
        <v/>
      </c>
      <c r="R382" s="3">
        <f>IF(Q382=1,100000-N382*1000+375*0.01,9000000000000+375)</f>
        <v/>
      </c>
      <c r="S382" s="3">
        <f>IF(Q382=1,SUMPRODUCT(--($R$8:$R$1207&lt;R382))+1,"")</f>
        <v/>
      </c>
      <c r="T382" s="11">
        <f>IF(K382=1,'ORDENES'!$J378,"")</f>
        <v/>
      </c>
    </row>
    <row r="383">
      <c r="K383" s="3">
        <f>IF(AND(IF($B$3="(todos)",TRUE,'ORDENES'!$O379=$B$3),IF($D$3="(todos)",TRUE,'ORDENES'!$AC379=$D$3),IF($F$3="(todos)",TRUE,'ORDENES'!$V379=$F$3),'ORDENES'!$AA379=TRUE,'ORDENES'!$A379&lt;&gt;""),1,0)</f>
        <v/>
      </c>
      <c r="L383" s="3">
        <f>IF(K383=1,IFERROR(MATCH('ORDENES'!$R379,lista_dias,0),9)*1000000000+IFERROR(MATCH('ORDENES'!$AC379,lista_turnos,0),9)*10000000+IFERROR(MATCH('ORDENES'!$AB379,'TECNICOS'!$B$4:$B$15,0),99)*100000+376,9000000000000+376)</f>
        <v/>
      </c>
      <c r="M383" s="3">
        <f>IF(K383=1,SUMPRODUCT(--($L$8:$L$1207&lt;L383))+1,"")</f>
        <v/>
      </c>
      <c r="N383" s="17">
        <f>IF(K383=1,N('ORDENES'!$M379),0)</f>
        <v/>
      </c>
      <c r="O383" s="17">
        <f>IF('ORDENES'!$S379="preventiva",N383,0)</f>
        <v/>
      </c>
      <c r="P383" s="17">
        <f>IF('ORDENES'!$S379="correctiva",N383,0)</f>
        <v/>
      </c>
      <c r="Q383" s="3">
        <f>IF(AND(K383=1,'ORDENES'!$N379="Pendiente"),1,0)</f>
        <v/>
      </c>
      <c r="R383" s="3">
        <f>IF(Q383=1,100000-N383*1000+376*0.01,9000000000000+376)</f>
        <v/>
      </c>
      <c r="S383" s="3">
        <f>IF(Q383=1,SUMPRODUCT(--($R$8:$R$1207&lt;R383))+1,"")</f>
        <v/>
      </c>
      <c r="T383" s="11">
        <f>IF(K383=1,'ORDENES'!$J379,"")</f>
        <v/>
      </c>
    </row>
    <row r="384">
      <c r="K384" s="3">
        <f>IF(AND(IF($B$3="(todos)",TRUE,'ORDENES'!$O380=$B$3),IF($D$3="(todos)",TRUE,'ORDENES'!$AC380=$D$3),IF($F$3="(todos)",TRUE,'ORDENES'!$V380=$F$3),'ORDENES'!$AA380=TRUE,'ORDENES'!$A380&lt;&gt;""),1,0)</f>
        <v/>
      </c>
      <c r="L384" s="3">
        <f>IF(K384=1,IFERROR(MATCH('ORDENES'!$R380,lista_dias,0),9)*1000000000+IFERROR(MATCH('ORDENES'!$AC380,lista_turnos,0),9)*10000000+IFERROR(MATCH('ORDENES'!$AB380,'TECNICOS'!$B$4:$B$15,0),99)*100000+377,9000000000000+377)</f>
        <v/>
      </c>
      <c r="M384" s="3">
        <f>IF(K384=1,SUMPRODUCT(--($L$8:$L$1207&lt;L384))+1,"")</f>
        <v/>
      </c>
      <c r="N384" s="17">
        <f>IF(K384=1,N('ORDENES'!$M380),0)</f>
        <v/>
      </c>
      <c r="O384" s="17">
        <f>IF('ORDENES'!$S380="preventiva",N384,0)</f>
        <v/>
      </c>
      <c r="P384" s="17">
        <f>IF('ORDENES'!$S380="correctiva",N384,0)</f>
        <v/>
      </c>
      <c r="Q384" s="3">
        <f>IF(AND(K384=1,'ORDENES'!$N380="Pendiente"),1,0)</f>
        <v/>
      </c>
      <c r="R384" s="3">
        <f>IF(Q384=1,100000-N384*1000+377*0.01,9000000000000+377)</f>
        <v/>
      </c>
      <c r="S384" s="3">
        <f>IF(Q384=1,SUMPRODUCT(--($R$8:$R$1207&lt;R384))+1,"")</f>
        <v/>
      </c>
      <c r="T384" s="11">
        <f>IF(K384=1,'ORDENES'!$J380,"")</f>
        <v/>
      </c>
    </row>
    <row r="385">
      <c r="K385" s="3">
        <f>IF(AND(IF($B$3="(todos)",TRUE,'ORDENES'!$O381=$B$3),IF($D$3="(todos)",TRUE,'ORDENES'!$AC381=$D$3),IF($F$3="(todos)",TRUE,'ORDENES'!$V381=$F$3),'ORDENES'!$AA381=TRUE,'ORDENES'!$A381&lt;&gt;""),1,0)</f>
        <v/>
      </c>
      <c r="L385" s="3">
        <f>IF(K385=1,IFERROR(MATCH('ORDENES'!$R381,lista_dias,0),9)*1000000000+IFERROR(MATCH('ORDENES'!$AC381,lista_turnos,0),9)*10000000+IFERROR(MATCH('ORDENES'!$AB381,'TECNICOS'!$B$4:$B$15,0),99)*100000+378,9000000000000+378)</f>
        <v/>
      </c>
      <c r="M385" s="3">
        <f>IF(K385=1,SUMPRODUCT(--($L$8:$L$1207&lt;L385))+1,"")</f>
        <v/>
      </c>
      <c r="N385" s="17">
        <f>IF(K385=1,N('ORDENES'!$M381),0)</f>
        <v/>
      </c>
      <c r="O385" s="17">
        <f>IF('ORDENES'!$S381="preventiva",N385,0)</f>
        <v/>
      </c>
      <c r="P385" s="17">
        <f>IF('ORDENES'!$S381="correctiva",N385,0)</f>
        <v/>
      </c>
      <c r="Q385" s="3">
        <f>IF(AND(K385=1,'ORDENES'!$N381="Pendiente"),1,0)</f>
        <v/>
      </c>
      <c r="R385" s="3">
        <f>IF(Q385=1,100000-N385*1000+378*0.01,9000000000000+378)</f>
        <v/>
      </c>
      <c r="S385" s="3">
        <f>IF(Q385=1,SUMPRODUCT(--($R$8:$R$1207&lt;R385))+1,"")</f>
        <v/>
      </c>
      <c r="T385" s="11">
        <f>IF(K385=1,'ORDENES'!$J381,"")</f>
        <v/>
      </c>
    </row>
    <row r="386">
      <c r="K386" s="3">
        <f>IF(AND(IF($B$3="(todos)",TRUE,'ORDENES'!$O382=$B$3),IF($D$3="(todos)",TRUE,'ORDENES'!$AC382=$D$3),IF($F$3="(todos)",TRUE,'ORDENES'!$V382=$F$3),'ORDENES'!$AA382=TRUE,'ORDENES'!$A382&lt;&gt;""),1,0)</f>
        <v/>
      </c>
      <c r="L386" s="3">
        <f>IF(K386=1,IFERROR(MATCH('ORDENES'!$R382,lista_dias,0),9)*1000000000+IFERROR(MATCH('ORDENES'!$AC382,lista_turnos,0),9)*10000000+IFERROR(MATCH('ORDENES'!$AB382,'TECNICOS'!$B$4:$B$15,0),99)*100000+379,9000000000000+379)</f>
        <v/>
      </c>
      <c r="M386" s="3">
        <f>IF(K386=1,SUMPRODUCT(--($L$8:$L$1207&lt;L386))+1,"")</f>
        <v/>
      </c>
      <c r="N386" s="17">
        <f>IF(K386=1,N('ORDENES'!$M382),0)</f>
        <v/>
      </c>
      <c r="O386" s="17">
        <f>IF('ORDENES'!$S382="preventiva",N386,0)</f>
        <v/>
      </c>
      <c r="P386" s="17">
        <f>IF('ORDENES'!$S382="correctiva",N386,0)</f>
        <v/>
      </c>
      <c r="Q386" s="3">
        <f>IF(AND(K386=1,'ORDENES'!$N382="Pendiente"),1,0)</f>
        <v/>
      </c>
      <c r="R386" s="3">
        <f>IF(Q386=1,100000-N386*1000+379*0.01,9000000000000+379)</f>
        <v/>
      </c>
      <c r="S386" s="3">
        <f>IF(Q386=1,SUMPRODUCT(--($R$8:$R$1207&lt;R386))+1,"")</f>
        <v/>
      </c>
      <c r="T386" s="11">
        <f>IF(K386=1,'ORDENES'!$J382,"")</f>
        <v/>
      </c>
    </row>
    <row r="387">
      <c r="K387" s="3">
        <f>IF(AND(IF($B$3="(todos)",TRUE,'ORDENES'!$O383=$B$3),IF($D$3="(todos)",TRUE,'ORDENES'!$AC383=$D$3),IF($F$3="(todos)",TRUE,'ORDENES'!$V383=$F$3),'ORDENES'!$AA383=TRUE,'ORDENES'!$A383&lt;&gt;""),1,0)</f>
        <v/>
      </c>
      <c r="L387" s="3">
        <f>IF(K387=1,IFERROR(MATCH('ORDENES'!$R383,lista_dias,0),9)*1000000000+IFERROR(MATCH('ORDENES'!$AC383,lista_turnos,0),9)*10000000+IFERROR(MATCH('ORDENES'!$AB383,'TECNICOS'!$B$4:$B$15,0),99)*100000+380,9000000000000+380)</f>
        <v/>
      </c>
      <c r="M387" s="3">
        <f>IF(K387=1,SUMPRODUCT(--($L$8:$L$1207&lt;L387))+1,"")</f>
        <v/>
      </c>
      <c r="N387" s="17">
        <f>IF(K387=1,N('ORDENES'!$M383),0)</f>
        <v/>
      </c>
      <c r="O387" s="17">
        <f>IF('ORDENES'!$S383="preventiva",N387,0)</f>
        <v/>
      </c>
      <c r="P387" s="17">
        <f>IF('ORDENES'!$S383="correctiva",N387,0)</f>
        <v/>
      </c>
      <c r="Q387" s="3">
        <f>IF(AND(K387=1,'ORDENES'!$N383="Pendiente"),1,0)</f>
        <v/>
      </c>
      <c r="R387" s="3">
        <f>IF(Q387=1,100000-N387*1000+380*0.01,9000000000000+380)</f>
        <v/>
      </c>
      <c r="S387" s="3">
        <f>IF(Q387=1,SUMPRODUCT(--($R$8:$R$1207&lt;R387))+1,"")</f>
        <v/>
      </c>
      <c r="T387" s="11">
        <f>IF(K387=1,'ORDENES'!$J383,"")</f>
        <v/>
      </c>
    </row>
    <row r="388">
      <c r="K388" s="3">
        <f>IF(AND(IF($B$3="(todos)",TRUE,'ORDENES'!$O384=$B$3),IF($D$3="(todos)",TRUE,'ORDENES'!$AC384=$D$3),IF($F$3="(todos)",TRUE,'ORDENES'!$V384=$F$3),'ORDENES'!$AA384=TRUE,'ORDENES'!$A384&lt;&gt;""),1,0)</f>
        <v/>
      </c>
      <c r="L388" s="3">
        <f>IF(K388=1,IFERROR(MATCH('ORDENES'!$R384,lista_dias,0),9)*1000000000+IFERROR(MATCH('ORDENES'!$AC384,lista_turnos,0),9)*10000000+IFERROR(MATCH('ORDENES'!$AB384,'TECNICOS'!$B$4:$B$15,0),99)*100000+381,9000000000000+381)</f>
        <v/>
      </c>
      <c r="M388" s="3">
        <f>IF(K388=1,SUMPRODUCT(--($L$8:$L$1207&lt;L388))+1,"")</f>
        <v/>
      </c>
      <c r="N388" s="17">
        <f>IF(K388=1,N('ORDENES'!$M384),0)</f>
        <v/>
      </c>
      <c r="O388" s="17">
        <f>IF('ORDENES'!$S384="preventiva",N388,0)</f>
        <v/>
      </c>
      <c r="P388" s="17">
        <f>IF('ORDENES'!$S384="correctiva",N388,0)</f>
        <v/>
      </c>
      <c r="Q388" s="3">
        <f>IF(AND(K388=1,'ORDENES'!$N384="Pendiente"),1,0)</f>
        <v/>
      </c>
      <c r="R388" s="3">
        <f>IF(Q388=1,100000-N388*1000+381*0.01,9000000000000+381)</f>
        <v/>
      </c>
      <c r="S388" s="3">
        <f>IF(Q388=1,SUMPRODUCT(--($R$8:$R$1207&lt;R388))+1,"")</f>
        <v/>
      </c>
      <c r="T388" s="11">
        <f>IF(K388=1,'ORDENES'!$J384,"")</f>
        <v/>
      </c>
    </row>
    <row r="389">
      <c r="K389" s="3">
        <f>IF(AND(IF($B$3="(todos)",TRUE,'ORDENES'!$O385=$B$3),IF($D$3="(todos)",TRUE,'ORDENES'!$AC385=$D$3),IF($F$3="(todos)",TRUE,'ORDENES'!$V385=$F$3),'ORDENES'!$AA385=TRUE,'ORDENES'!$A385&lt;&gt;""),1,0)</f>
        <v/>
      </c>
      <c r="L389" s="3">
        <f>IF(K389=1,IFERROR(MATCH('ORDENES'!$R385,lista_dias,0),9)*1000000000+IFERROR(MATCH('ORDENES'!$AC385,lista_turnos,0),9)*10000000+IFERROR(MATCH('ORDENES'!$AB385,'TECNICOS'!$B$4:$B$15,0),99)*100000+382,9000000000000+382)</f>
        <v/>
      </c>
      <c r="M389" s="3">
        <f>IF(K389=1,SUMPRODUCT(--($L$8:$L$1207&lt;L389))+1,"")</f>
        <v/>
      </c>
      <c r="N389" s="17">
        <f>IF(K389=1,N('ORDENES'!$M385),0)</f>
        <v/>
      </c>
      <c r="O389" s="17">
        <f>IF('ORDENES'!$S385="preventiva",N389,0)</f>
        <v/>
      </c>
      <c r="P389" s="17">
        <f>IF('ORDENES'!$S385="correctiva",N389,0)</f>
        <v/>
      </c>
      <c r="Q389" s="3">
        <f>IF(AND(K389=1,'ORDENES'!$N385="Pendiente"),1,0)</f>
        <v/>
      </c>
      <c r="R389" s="3">
        <f>IF(Q389=1,100000-N389*1000+382*0.01,9000000000000+382)</f>
        <v/>
      </c>
      <c r="S389" s="3">
        <f>IF(Q389=1,SUMPRODUCT(--($R$8:$R$1207&lt;R389))+1,"")</f>
        <v/>
      </c>
      <c r="T389" s="11">
        <f>IF(K389=1,'ORDENES'!$J385,"")</f>
        <v/>
      </c>
    </row>
    <row r="390">
      <c r="K390" s="3">
        <f>IF(AND(IF($B$3="(todos)",TRUE,'ORDENES'!$O386=$B$3),IF($D$3="(todos)",TRUE,'ORDENES'!$AC386=$D$3),IF($F$3="(todos)",TRUE,'ORDENES'!$V386=$F$3),'ORDENES'!$AA386=TRUE,'ORDENES'!$A386&lt;&gt;""),1,0)</f>
        <v/>
      </c>
      <c r="L390" s="3">
        <f>IF(K390=1,IFERROR(MATCH('ORDENES'!$R386,lista_dias,0),9)*1000000000+IFERROR(MATCH('ORDENES'!$AC386,lista_turnos,0),9)*10000000+IFERROR(MATCH('ORDENES'!$AB386,'TECNICOS'!$B$4:$B$15,0),99)*100000+383,9000000000000+383)</f>
        <v/>
      </c>
      <c r="M390" s="3">
        <f>IF(K390=1,SUMPRODUCT(--($L$8:$L$1207&lt;L390))+1,"")</f>
        <v/>
      </c>
      <c r="N390" s="17">
        <f>IF(K390=1,N('ORDENES'!$M386),0)</f>
        <v/>
      </c>
      <c r="O390" s="17">
        <f>IF('ORDENES'!$S386="preventiva",N390,0)</f>
        <v/>
      </c>
      <c r="P390" s="17">
        <f>IF('ORDENES'!$S386="correctiva",N390,0)</f>
        <v/>
      </c>
      <c r="Q390" s="3">
        <f>IF(AND(K390=1,'ORDENES'!$N386="Pendiente"),1,0)</f>
        <v/>
      </c>
      <c r="R390" s="3">
        <f>IF(Q390=1,100000-N390*1000+383*0.01,9000000000000+383)</f>
        <v/>
      </c>
      <c r="S390" s="3">
        <f>IF(Q390=1,SUMPRODUCT(--($R$8:$R$1207&lt;R390))+1,"")</f>
        <v/>
      </c>
      <c r="T390" s="11">
        <f>IF(K390=1,'ORDENES'!$J386,"")</f>
        <v/>
      </c>
    </row>
    <row r="391">
      <c r="K391" s="3">
        <f>IF(AND(IF($B$3="(todos)",TRUE,'ORDENES'!$O387=$B$3),IF($D$3="(todos)",TRUE,'ORDENES'!$AC387=$D$3),IF($F$3="(todos)",TRUE,'ORDENES'!$V387=$F$3),'ORDENES'!$AA387=TRUE,'ORDENES'!$A387&lt;&gt;""),1,0)</f>
        <v/>
      </c>
      <c r="L391" s="3">
        <f>IF(K391=1,IFERROR(MATCH('ORDENES'!$R387,lista_dias,0),9)*1000000000+IFERROR(MATCH('ORDENES'!$AC387,lista_turnos,0),9)*10000000+IFERROR(MATCH('ORDENES'!$AB387,'TECNICOS'!$B$4:$B$15,0),99)*100000+384,9000000000000+384)</f>
        <v/>
      </c>
      <c r="M391" s="3">
        <f>IF(K391=1,SUMPRODUCT(--($L$8:$L$1207&lt;L391))+1,"")</f>
        <v/>
      </c>
      <c r="N391" s="17">
        <f>IF(K391=1,N('ORDENES'!$M387),0)</f>
        <v/>
      </c>
      <c r="O391" s="17">
        <f>IF('ORDENES'!$S387="preventiva",N391,0)</f>
        <v/>
      </c>
      <c r="P391" s="17">
        <f>IF('ORDENES'!$S387="correctiva",N391,0)</f>
        <v/>
      </c>
      <c r="Q391" s="3">
        <f>IF(AND(K391=1,'ORDENES'!$N387="Pendiente"),1,0)</f>
        <v/>
      </c>
      <c r="R391" s="3">
        <f>IF(Q391=1,100000-N391*1000+384*0.01,9000000000000+384)</f>
        <v/>
      </c>
      <c r="S391" s="3">
        <f>IF(Q391=1,SUMPRODUCT(--($R$8:$R$1207&lt;R391))+1,"")</f>
        <v/>
      </c>
      <c r="T391" s="11">
        <f>IF(K391=1,'ORDENES'!$J387,"")</f>
        <v/>
      </c>
    </row>
    <row r="392">
      <c r="K392" s="3">
        <f>IF(AND(IF($B$3="(todos)",TRUE,'ORDENES'!$O388=$B$3),IF($D$3="(todos)",TRUE,'ORDENES'!$AC388=$D$3),IF($F$3="(todos)",TRUE,'ORDENES'!$V388=$F$3),'ORDENES'!$AA388=TRUE,'ORDENES'!$A388&lt;&gt;""),1,0)</f>
        <v/>
      </c>
      <c r="L392" s="3">
        <f>IF(K392=1,IFERROR(MATCH('ORDENES'!$R388,lista_dias,0),9)*1000000000+IFERROR(MATCH('ORDENES'!$AC388,lista_turnos,0),9)*10000000+IFERROR(MATCH('ORDENES'!$AB388,'TECNICOS'!$B$4:$B$15,0),99)*100000+385,9000000000000+385)</f>
        <v/>
      </c>
      <c r="M392" s="3">
        <f>IF(K392=1,SUMPRODUCT(--($L$8:$L$1207&lt;L392))+1,"")</f>
        <v/>
      </c>
      <c r="N392" s="17">
        <f>IF(K392=1,N('ORDENES'!$M388),0)</f>
        <v/>
      </c>
      <c r="O392" s="17">
        <f>IF('ORDENES'!$S388="preventiva",N392,0)</f>
        <v/>
      </c>
      <c r="P392" s="17">
        <f>IF('ORDENES'!$S388="correctiva",N392,0)</f>
        <v/>
      </c>
      <c r="Q392" s="3">
        <f>IF(AND(K392=1,'ORDENES'!$N388="Pendiente"),1,0)</f>
        <v/>
      </c>
      <c r="R392" s="3">
        <f>IF(Q392=1,100000-N392*1000+385*0.01,9000000000000+385)</f>
        <v/>
      </c>
      <c r="S392" s="3">
        <f>IF(Q392=1,SUMPRODUCT(--($R$8:$R$1207&lt;R392))+1,"")</f>
        <v/>
      </c>
      <c r="T392" s="11">
        <f>IF(K392=1,'ORDENES'!$J388,"")</f>
        <v/>
      </c>
    </row>
    <row r="393">
      <c r="K393" s="3">
        <f>IF(AND(IF($B$3="(todos)",TRUE,'ORDENES'!$O389=$B$3),IF($D$3="(todos)",TRUE,'ORDENES'!$AC389=$D$3),IF($F$3="(todos)",TRUE,'ORDENES'!$V389=$F$3),'ORDENES'!$AA389=TRUE,'ORDENES'!$A389&lt;&gt;""),1,0)</f>
        <v/>
      </c>
      <c r="L393" s="3">
        <f>IF(K393=1,IFERROR(MATCH('ORDENES'!$R389,lista_dias,0),9)*1000000000+IFERROR(MATCH('ORDENES'!$AC389,lista_turnos,0),9)*10000000+IFERROR(MATCH('ORDENES'!$AB389,'TECNICOS'!$B$4:$B$15,0),99)*100000+386,9000000000000+386)</f>
        <v/>
      </c>
      <c r="M393" s="3">
        <f>IF(K393=1,SUMPRODUCT(--($L$8:$L$1207&lt;L393))+1,"")</f>
        <v/>
      </c>
      <c r="N393" s="17">
        <f>IF(K393=1,N('ORDENES'!$M389),0)</f>
        <v/>
      </c>
      <c r="O393" s="17">
        <f>IF('ORDENES'!$S389="preventiva",N393,0)</f>
        <v/>
      </c>
      <c r="P393" s="17">
        <f>IF('ORDENES'!$S389="correctiva",N393,0)</f>
        <v/>
      </c>
      <c r="Q393" s="3">
        <f>IF(AND(K393=1,'ORDENES'!$N389="Pendiente"),1,0)</f>
        <v/>
      </c>
      <c r="R393" s="3">
        <f>IF(Q393=1,100000-N393*1000+386*0.01,9000000000000+386)</f>
        <v/>
      </c>
      <c r="S393" s="3">
        <f>IF(Q393=1,SUMPRODUCT(--($R$8:$R$1207&lt;R393))+1,"")</f>
        <v/>
      </c>
      <c r="T393" s="11">
        <f>IF(K393=1,'ORDENES'!$J389,"")</f>
        <v/>
      </c>
    </row>
    <row r="394">
      <c r="K394" s="3">
        <f>IF(AND(IF($B$3="(todos)",TRUE,'ORDENES'!$O390=$B$3),IF($D$3="(todos)",TRUE,'ORDENES'!$AC390=$D$3),IF($F$3="(todos)",TRUE,'ORDENES'!$V390=$F$3),'ORDENES'!$AA390=TRUE,'ORDENES'!$A390&lt;&gt;""),1,0)</f>
        <v/>
      </c>
      <c r="L394" s="3">
        <f>IF(K394=1,IFERROR(MATCH('ORDENES'!$R390,lista_dias,0),9)*1000000000+IFERROR(MATCH('ORDENES'!$AC390,lista_turnos,0),9)*10000000+IFERROR(MATCH('ORDENES'!$AB390,'TECNICOS'!$B$4:$B$15,0),99)*100000+387,9000000000000+387)</f>
        <v/>
      </c>
      <c r="M394" s="3">
        <f>IF(K394=1,SUMPRODUCT(--($L$8:$L$1207&lt;L394))+1,"")</f>
        <v/>
      </c>
      <c r="N394" s="17">
        <f>IF(K394=1,N('ORDENES'!$M390),0)</f>
        <v/>
      </c>
      <c r="O394" s="17">
        <f>IF('ORDENES'!$S390="preventiva",N394,0)</f>
        <v/>
      </c>
      <c r="P394" s="17">
        <f>IF('ORDENES'!$S390="correctiva",N394,0)</f>
        <v/>
      </c>
      <c r="Q394" s="3">
        <f>IF(AND(K394=1,'ORDENES'!$N390="Pendiente"),1,0)</f>
        <v/>
      </c>
      <c r="R394" s="3">
        <f>IF(Q394=1,100000-N394*1000+387*0.01,9000000000000+387)</f>
        <v/>
      </c>
      <c r="S394" s="3">
        <f>IF(Q394=1,SUMPRODUCT(--($R$8:$R$1207&lt;R394))+1,"")</f>
        <v/>
      </c>
      <c r="T394" s="11">
        <f>IF(K394=1,'ORDENES'!$J390,"")</f>
        <v/>
      </c>
    </row>
    <row r="395">
      <c r="K395" s="3">
        <f>IF(AND(IF($B$3="(todos)",TRUE,'ORDENES'!$O391=$B$3),IF($D$3="(todos)",TRUE,'ORDENES'!$AC391=$D$3),IF($F$3="(todos)",TRUE,'ORDENES'!$V391=$F$3),'ORDENES'!$AA391=TRUE,'ORDENES'!$A391&lt;&gt;""),1,0)</f>
        <v/>
      </c>
      <c r="L395" s="3">
        <f>IF(K395=1,IFERROR(MATCH('ORDENES'!$R391,lista_dias,0),9)*1000000000+IFERROR(MATCH('ORDENES'!$AC391,lista_turnos,0),9)*10000000+IFERROR(MATCH('ORDENES'!$AB391,'TECNICOS'!$B$4:$B$15,0),99)*100000+388,9000000000000+388)</f>
        <v/>
      </c>
      <c r="M395" s="3">
        <f>IF(K395=1,SUMPRODUCT(--($L$8:$L$1207&lt;L395))+1,"")</f>
        <v/>
      </c>
      <c r="N395" s="17">
        <f>IF(K395=1,N('ORDENES'!$M391),0)</f>
        <v/>
      </c>
      <c r="O395" s="17">
        <f>IF('ORDENES'!$S391="preventiva",N395,0)</f>
        <v/>
      </c>
      <c r="P395" s="17">
        <f>IF('ORDENES'!$S391="correctiva",N395,0)</f>
        <v/>
      </c>
      <c r="Q395" s="3">
        <f>IF(AND(K395=1,'ORDENES'!$N391="Pendiente"),1,0)</f>
        <v/>
      </c>
      <c r="R395" s="3">
        <f>IF(Q395=1,100000-N395*1000+388*0.01,9000000000000+388)</f>
        <v/>
      </c>
      <c r="S395" s="3">
        <f>IF(Q395=1,SUMPRODUCT(--($R$8:$R$1207&lt;R395))+1,"")</f>
        <v/>
      </c>
      <c r="T395" s="11">
        <f>IF(K395=1,'ORDENES'!$J391,"")</f>
        <v/>
      </c>
    </row>
    <row r="396">
      <c r="K396" s="3">
        <f>IF(AND(IF($B$3="(todos)",TRUE,'ORDENES'!$O392=$B$3),IF($D$3="(todos)",TRUE,'ORDENES'!$AC392=$D$3),IF($F$3="(todos)",TRUE,'ORDENES'!$V392=$F$3),'ORDENES'!$AA392=TRUE,'ORDENES'!$A392&lt;&gt;""),1,0)</f>
        <v/>
      </c>
      <c r="L396" s="3">
        <f>IF(K396=1,IFERROR(MATCH('ORDENES'!$R392,lista_dias,0),9)*1000000000+IFERROR(MATCH('ORDENES'!$AC392,lista_turnos,0),9)*10000000+IFERROR(MATCH('ORDENES'!$AB392,'TECNICOS'!$B$4:$B$15,0),99)*100000+389,9000000000000+389)</f>
        <v/>
      </c>
      <c r="M396" s="3">
        <f>IF(K396=1,SUMPRODUCT(--($L$8:$L$1207&lt;L396))+1,"")</f>
        <v/>
      </c>
      <c r="N396" s="17">
        <f>IF(K396=1,N('ORDENES'!$M392),0)</f>
        <v/>
      </c>
      <c r="O396" s="17">
        <f>IF('ORDENES'!$S392="preventiva",N396,0)</f>
        <v/>
      </c>
      <c r="P396" s="17">
        <f>IF('ORDENES'!$S392="correctiva",N396,0)</f>
        <v/>
      </c>
      <c r="Q396" s="3">
        <f>IF(AND(K396=1,'ORDENES'!$N392="Pendiente"),1,0)</f>
        <v/>
      </c>
      <c r="R396" s="3">
        <f>IF(Q396=1,100000-N396*1000+389*0.01,9000000000000+389)</f>
        <v/>
      </c>
      <c r="S396" s="3">
        <f>IF(Q396=1,SUMPRODUCT(--($R$8:$R$1207&lt;R396))+1,"")</f>
        <v/>
      </c>
      <c r="T396" s="11">
        <f>IF(K396=1,'ORDENES'!$J392,"")</f>
        <v/>
      </c>
    </row>
    <row r="397">
      <c r="K397" s="3">
        <f>IF(AND(IF($B$3="(todos)",TRUE,'ORDENES'!$O393=$B$3),IF($D$3="(todos)",TRUE,'ORDENES'!$AC393=$D$3),IF($F$3="(todos)",TRUE,'ORDENES'!$V393=$F$3),'ORDENES'!$AA393=TRUE,'ORDENES'!$A393&lt;&gt;""),1,0)</f>
        <v/>
      </c>
      <c r="L397" s="3">
        <f>IF(K397=1,IFERROR(MATCH('ORDENES'!$R393,lista_dias,0),9)*1000000000+IFERROR(MATCH('ORDENES'!$AC393,lista_turnos,0),9)*10000000+IFERROR(MATCH('ORDENES'!$AB393,'TECNICOS'!$B$4:$B$15,0),99)*100000+390,9000000000000+390)</f>
        <v/>
      </c>
      <c r="M397" s="3">
        <f>IF(K397=1,SUMPRODUCT(--($L$8:$L$1207&lt;L397))+1,"")</f>
        <v/>
      </c>
      <c r="N397" s="17">
        <f>IF(K397=1,N('ORDENES'!$M393),0)</f>
        <v/>
      </c>
      <c r="O397" s="17">
        <f>IF('ORDENES'!$S393="preventiva",N397,0)</f>
        <v/>
      </c>
      <c r="P397" s="17">
        <f>IF('ORDENES'!$S393="correctiva",N397,0)</f>
        <v/>
      </c>
      <c r="Q397" s="3">
        <f>IF(AND(K397=1,'ORDENES'!$N393="Pendiente"),1,0)</f>
        <v/>
      </c>
      <c r="R397" s="3">
        <f>IF(Q397=1,100000-N397*1000+390*0.01,9000000000000+390)</f>
        <v/>
      </c>
      <c r="S397" s="3">
        <f>IF(Q397=1,SUMPRODUCT(--($R$8:$R$1207&lt;R397))+1,"")</f>
        <v/>
      </c>
      <c r="T397" s="11">
        <f>IF(K397=1,'ORDENES'!$J393,"")</f>
        <v/>
      </c>
    </row>
    <row r="398">
      <c r="K398" s="3">
        <f>IF(AND(IF($B$3="(todos)",TRUE,'ORDENES'!$O394=$B$3),IF($D$3="(todos)",TRUE,'ORDENES'!$AC394=$D$3),IF($F$3="(todos)",TRUE,'ORDENES'!$V394=$F$3),'ORDENES'!$AA394=TRUE,'ORDENES'!$A394&lt;&gt;""),1,0)</f>
        <v/>
      </c>
      <c r="L398" s="3">
        <f>IF(K398=1,IFERROR(MATCH('ORDENES'!$R394,lista_dias,0),9)*1000000000+IFERROR(MATCH('ORDENES'!$AC394,lista_turnos,0),9)*10000000+IFERROR(MATCH('ORDENES'!$AB394,'TECNICOS'!$B$4:$B$15,0),99)*100000+391,9000000000000+391)</f>
        <v/>
      </c>
      <c r="M398" s="3">
        <f>IF(K398=1,SUMPRODUCT(--($L$8:$L$1207&lt;L398))+1,"")</f>
        <v/>
      </c>
      <c r="N398" s="17">
        <f>IF(K398=1,N('ORDENES'!$M394),0)</f>
        <v/>
      </c>
      <c r="O398" s="17">
        <f>IF('ORDENES'!$S394="preventiva",N398,0)</f>
        <v/>
      </c>
      <c r="P398" s="17">
        <f>IF('ORDENES'!$S394="correctiva",N398,0)</f>
        <v/>
      </c>
      <c r="Q398" s="3">
        <f>IF(AND(K398=1,'ORDENES'!$N394="Pendiente"),1,0)</f>
        <v/>
      </c>
      <c r="R398" s="3">
        <f>IF(Q398=1,100000-N398*1000+391*0.01,9000000000000+391)</f>
        <v/>
      </c>
      <c r="S398" s="3">
        <f>IF(Q398=1,SUMPRODUCT(--($R$8:$R$1207&lt;R398))+1,"")</f>
        <v/>
      </c>
      <c r="T398" s="11">
        <f>IF(K398=1,'ORDENES'!$J394,"")</f>
        <v/>
      </c>
    </row>
    <row r="399">
      <c r="K399" s="3">
        <f>IF(AND(IF($B$3="(todos)",TRUE,'ORDENES'!$O395=$B$3),IF($D$3="(todos)",TRUE,'ORDENES'!$AC395=$D$3),IF($F$3="(todos)",TRUE,'ORDENES'!$V395=$F$3),'ORDENES'!$AA395=TRUE,'ORDENES'!$A395&lt;&gt;""),1,0)</f>
        <v/>
      </c>
      <c r="L399" s="3">
        <f>IF(K399=1,IFERROR(MATCH('ORDENES'!$R395,lista_dias,0),9)*1000000000+IFERROR(MATCH('ORDENES'!$AC395,lista_turnos,0),9)*10000000+IFERROR(MATCH('ORDENES'!$AB395,'TECNICOS'!$B$4:$B$15,0),99)*100000+392,9000000000000+392)</f>
        <v/>
      </c>
      <c r="M399" s="3">
        <f>IF(K399=1,SUMPRODUCT(--($L$8:$L$1207&lt;L399))+1,"")</f>
        <v/>
      </c>
      <c r="N399" s="17">
        <f>IF(K399=1,N('ORDENES'!$M395),0)</f>
        <v/>
      </c>
      <c r="O399" s="17">
        <f>IF('ORDENES'!$S395="preventiva",N399,0)</f>
        <v/>
      </c>
      <c r="P399" s="17">
        <f>IF('ORDENES'!$S395="correctiva",N399,0)</f>
        <v/>
      </c>
      <c r="Q399" s="3">
        <f>IF(AND(K399=1,'ORDENES'!$N395="Pendiente"),1,0)</f>
        <v/>
      </c>
      <c r="R399" s="3">
        <f>IF(Q399=1,100000-N399*1000+392*0.01,9000000000000+392)</f>
        <v/>
      </c>
      <c r="S399" s="3">
        <f>IF(Q399=1,SUMPRODUCT(--($R$8:$R$1207&lt;R399))+1,"")</f>
        <v/>
      </c>
      <c r="T399" s="11">
        <f>IF(K399=1,'ORDENES'!$J395,"")</f>
        <v/>
      </c>
    </row>
    <row r="400">
      <c r="K400" s="3">
        <f>IF(AND(IF($B$3="(todos)",TRUE,'ORDENES'!$O396=$B$3),IF($D$3="(todos)",TRUE,'ORDENES'!$AC396=$D$3),IF($F$3="(todos)",TRUE,'ORDENES'!$V396=$F$3),'ORDENES'!$AA396=TRUE,'ORDENES'!$A396&lt;&gt;""),1,0)</f>
        <v/>
      </c>
      <c r="L400" s="3">
        <f>IF(K400=1,IFERROR(MATCH('ORDENES'!$R396,lista_dias,0),9)*1000000000+IFERROR(MATCH('ORDENES'!$AC396,lista_turnos,0),9)*10000000+IFERROR(MATCH('ORDENES'!$AB396,'TECNICOS'!$B$4:$B$15,0),99)*100000+393,9000000000000+393)</f>
        <v/>
      </c>
      <c r="M400" s="3">
        <f>IF(K400=1,SUMPRODUCT(--($L$8:$L$1207&lt;L400))+1,"")</f>
        <v/>
      </c>
      <c r="N400" s="17">
        <f>IF(K400=1,N('ORDENES'!$M396),0)</f>
        <v/>
      </c>
      <c r="O400" s="17">
        <f>IF('ORDENES'!$S396="preventiva",N400,0)</f>
        <v/>
      </c>
      <c r="P400" s="17">
        <f>IF('ORDENES'!$S396="correctiva",N400,0)</f>
        <v/>
      </c>
      <c r="Q400" s="3">
        <f>IF(AND(K400=1,'ORDENES'!$N396="Pendiente"),1,0)</f>
        <v/>
      </c>
      <c r="R400" s="3">
        <f>IF(Q400=1,100000-N400*1000+393*0.01,9000000000000+393)</f>
        <v/>
      </c>
      <c r="S400" s="3">
        <f>IF(Q400=1,SUMPRODUCT(--($R$8:$R$1207&lt;R400))+1,"")</f>
        <v/>
      </c>
      <c r="T400" s="11">
        <f>IF(K400=1,'ORDENES'!$J396,"")</f>
        <v/>
      </c>
    </row>
    <row r="401">
      <c r="K401" s="3">
        <f>IF(AND(IF($B$3="(todos)",TRUE,'ORDENES'!$O397=$B$3),IF($D$3="(todos)",TRUE,'ORDENES'!$AC397=$D$3),IF($F$3="(todos)",TRUE,'ORDENES'!$V397=$F$3),'ORDENES'!$AA397=TRUE,'ORDENES'!$A397&lt;&gt;""),1,0)</f>
        <v/>
      </c>
      <c r="L401" s="3">
        <f>IF(K401=1,IFERROR(MATCH('ORDENES'!$R397,lista_dias,0),9)*1000000000+IFERROR(MATCH('ORDENES'!$AC397,lista_turnos,0),9)*10000000+IFERROR(MATCH('ORDENES'!$AB397,'TECNICOS'!$B$4:$B$15,0),99)*100000+394,9000000000000+394)</f>
        <v/>
      </c>
      <c r="M401" s="3">
        <f>IF(K401=1,SUMPRODUCT(--($L$8:$L$1207&lt;L401))+1,"")</f>
        <v/>
      </c>
      <c r="N401" s="17">
        <f>IF(K401=1,N('ORDENES'!$M397),0)</f>
        <v/>
      </c>
      <c r="O401" s="17">
        <f>IF('ORDENES'!$S397="preventiva",N401,0)</f>
        <v/>
      </c>
      <c r="P401" s="17">
        <f>IF('ORDENES'!$S397="correctiva",N401,0)</f>
        <v/>
      </c>
      <c r="Q401" s="3">
        <f>IF(AND(K401=1,'ORDENES'!$N397="Pendiente"),1,0)</f>
        <v/>
      </c>
      <c r="R401" s="3">
        <f>IF(Q401=1,100000-N401*1000+394*0.01,9000000000000+394)</f>
        <v/>
      </c>
      <c r="S401" s="3">
        <f>IF(Q401=1,SUMPRODUCT(--($R$8:$R$1207&lt;R401))+1,"")</f>
        <v/>
      </c>
      <c r="T401" s="11">
        <f>IF(K401=1,'ORDENES'!$J397,"")</f>
        <v/>
      </c>
    </row>
    <row r="402">
      <c r="K402" s="3">
        <f>IF(AND(IF($B$3="(todos)",TRUE,'ORDENES'!$O398=$B$3),IF($D$3="(todos)",TRUE,'ORDENES'!$AC398=$D$3),IF($F$3="(todos)",TRUE,'ORDENES'!$V398=$F$3),'ORDENES'!$AA398=TRUE,'ORDENES'!$A398&lt;&gt;""),1,0)</f>
        <v/>
      </c>
      <c r="L402" s="3">
        <f>IF(K402=1,IFERROR(MATCH('ORDENES'!$R398,lista_dias,0),9)*1000000000+IFERROR(MATCH('ORDENES'!$AC398,lista_turnos,0),9)*10000000+IFERROR(MATCH('ORDENES'!$AB398,'TECNICOS'!$B$4:$B$15,0),99)*100000+395,9000000000000+395)</f>
        <v/>
      </c>
      <c r="M402" s="3">
        <f>IF(K402=1,SUMPRODUCT(--($L$8:$L$1207&lt;L402))+1,"")</f>
        <v/>
      </c>
      <c r="N402" s="17">
        <f>IF(K402=1,N('ORDENES'!$M398),0)</f>
        <v/>
      </c>
      <c r="O402" s="17">
        <f>IF('ORDENES'!$S398="preventiva",N402,0)</f>
        <v/>
      </c>
      <c r="P402" s="17">
        <f>IF('ORDENES'!$S398="correctiva",N402,0)</f>
        <v/>
      </c>
      <c r="Q402" s="3">
        <f>IF(AND(K402=1,'ORDENES'!$N398="Pendiente"),1,0)</f>
        <v/>
      </c>
      <c r="R402" s="3">
        <f>IF(Q402=1,100000-N402*1000+395*0.01,9000000000000+395)</f>
        <v/>
      </c>
      <c r="S402" s="3">
        <f>IF(Q402=1,SUMPRODUCT(--($R$8:$R$1207&lt;R402))+1,"")</f>
        <v/>
      </c>
      <c r="T402" s="11">
        <f>IF(K402=1,'ORDENES'!$J398,"")</f>
        <v/>
      </c>
    </row>
    <row r="403">
      <c r="K403" s="3">
        <f>IF(AND(IF($B$3="(todos)",TRUE,'ORDENES'!$O399=$B$3),IF($D$3="(todos)",TRUE,'ORDENES'!$AC399=$D$3),IF($F$3="(todos)",TRUE,'ORDENES'!$V399=$F$3),'ORDENES'!$AA399=TRUE,'ORDENES'!$A399&lt;&gt;""),1,0)</f>
        <v/>
      </c>
      <c r="L403" s="3">
        <f>IF(K403=1,IFERROR(MATCH('ORDENES'!$R399,lista_dias,0),9)*1000000000+IFERROR(MATCH('ORDENES'!$AC399,lista_turnos,0),9)*10000000+IFERROR(MATCH('ORDENES'!$AB399,'TECNICOS'!$B$4:$B$15,0),99)*100000+396,9000000000000+396)</f>
        <v/>
      </c>
      <c r="M403" s="3">
        <f>IF(K403=1,SUMPRODUCT(--($L$8:$L$1207&lt;L403))+1,"")</f>
        <v/>
      </c>
      <c r="N403" s="17">
        <f>IF(K403=1,N('ORDENES'!$M399),0)</f>
        <v/>
      </c>
      <c r="O403" s="17">
        <f>IF('ORDENES'!$S399="preventiva",N403,0)</f>
        <v/>
      </c>
      <c r="P403" s="17">
        <f>IF('ORDENES'!$S399="correctiva",N403,0)</f>
        <v/>
      </c>
      <c r="Q403" s="3">
        <f>IF(AND(K403=1,'ORDENES'!$N399="Pendiente"),1,0)</f>
        <v/>
      </c>
      <c r="R403" s="3">
        <f>IF(Q403=1,100000-N403*1000+396*0.01,9000000000000+396)</f>
        <v/>
      </c>
      <c r="S403" s="3">
        <f>IF(Q403=1,SUMPRODUCT(--($R$8:$R$1207&lt;R403))+1,"")</f>
        <v/>
      </c>
      <c r="T403" s="11">
        <f>IF(K403=1,'ORDENES'!$J399,"")</f>
        <v/>
      </c>
    </row>
    <row r="404">
      <c r="K404" s="3">
        <f>IF(AND(IF($B$3="(todos)",TRUE,'ORDENES'!$O400=$B$3),IF($D$3="(todos)",TRUE,'ORDENES'!$AC400=$D$3),IF($F$3="(todos)",TRUE,'ORDENES'!$V400=$F$3),'ORDENES'!$AA400=TRUE,'ORDENES'!$A400&lt;&gt;""),1,0)</f>
        <v/>
      </c>
      <c r="L404" s="3">
        <f>IF(K404=1,IFERROR(MATCH('ORDENES'!$R400,lista_dias,0),9)*1000000000+IFERROR(MATCH('ORDENES'!$AC400,lista_turnos,0),9)*10000000+IFERROR(MATCH('ORDENES'!$AB400,'TECNICOS'!$B$4:$B$15,0),99)*100000+397,9000000000000+397)</f>
        <v/>
      </c>
      <c r="M404" s="3">
        <f>IF(K404=1,SUMPRODUCT(--($L$8:$L$1207&lt;L404))+1,"")</f>
        <v/>
      </c>
      <c r="N404" s="17">
        <f>IF(K404=1,N('ORDENES'!$M400),0)</f>
        <v/>
      </c>
      <c r="O404" s="17">
        <f>IF('ORDENES'!$S400="preventiva",N404,0)</f>
        <v/>
      </c>
      <c r="P404" s="17">
        <f>IF('ORDENES'!$S400="correctiva",N404,0)</f>
        <v/>
      </c>
      <c r="Q404" s="3">
        <f>IF(AND(K404=1,'ORDENES'!$N400="Pendiente"),1,0)</f>
        <v/>
      </c>
      <c r="R404" s="3">
        <f>IF(Q404=1,100000-N404*1000+397*0.01,9000000000000+397)</f>
        <v/>
      </c>
      <c r="S404" s="3">
        <f>IF(Q404=1,SUMPRODUCT(--($R$8:$R$1207&lt;R404))+1,"")</f>
        <v/>
      </c>
      <c r="T404" s="11">
        <f>IF(K404=1,'ORDENES'!$J400,"")</f>
        <v/>
      </c>
    </row>
    <row r="405">
      <c r="K405" s="3">
        <f>IF(AND(IF($B$3="(todos)",TRUE,'ORDENES'!$O401=$B$3),IF($D$3="(todos)",TRUE,'ORDENES'!$AC401=$D$3),IF($F$3="(todos)",TRUE,'ORDENES'!$V401=$F$3),'ORDENES'!$AA401=TRUE,'ORDENES'!$A401&lt;&gt;""),1,0)</f>
        <v/>
      </c>
      <c r="L405" s="3">
        <f>IF(K405=1,IFERROR(MATCH('ORDENES'!$R401,lista_dias,0),9)*1000000000+IFERROR(MATCH('ORDENES'!$AC401,lista_turnos,0),9)*10000000+IFERROR(MATCH('ORDENES'!$AB401,'TECNICOS'!$B$4:$B$15,0),99)*100000+398,9000000000000+398)</f>
        <v/>
      </c>
      <c r="M405" s="3">
        <f>IF(K405=1,SUMPRODUCT(--($L$8:$L$1207&lt;L405))+1,"")</f>
        <v/>
      </c>
      <c r="N405" s="17">
        <f>IF(K405=1,N('ORDENES'!$M401),0)</f>
        <v/>
      </c>
      <c r="O405" s="17">
        <f>IF('ORDENES'!$S401="preventiva",N405,0)</f>
        <v/>
      </c>
      <c r="P405" s="17">
        <f>IF('ORDENES'!$S401="correctiva",N405,0)</f>
        <v/>
      </c>
      <c r="Q405" s="3">
        <f>IF(AND(K405=1,'ORDENES'!$N401="Pendiente"),1,0)</f>
        <v/>
      </c>
      <c r="R405" s="3">
        <f>IF(Q405=1,100000-N405*1000+398*0.01,9000000000000+398)</f>
        <v/>
      </c>
      <c r="S405" s="3">
        <f>IF(Q405=1,SUMPRODUCT(--($R$8:$R$1207&lt;R405))+1,"")</f>
        <v/>
      </c>
      <c r="T405" s="11">
        <f>IF(K405=1,'ORDENES'!$J401,"")</f>
        <v/>
      </c>
    </row>
    <row r="406">
      <c r="K406" s="3">
        <f>IF(AND(IF($B$3="(todos)",TRUE,'ORDENES'!$O402=$B$3),IF($D$3="(todos)",TRUE,'ORDENES'!$AC402=$D$3),IF($F$3="(todos)",TRUE,'ORDENES'!$V402=$F$3),'ORDENES'!$AA402=TRUE,'ORDENES'!$A402&lt;&gt;""),1,0)</f>
        <v/>
      </c>
      <c r="L406" s="3">
        <f>IF(K406=1,IFERROR(MATCH('ORDENES'!$R402,lista_dias,0),9)*1000000000+IFERROR(MATCH('ORDENES'!$AC402,lista_turnos,0),9)*10000000+IFERROR(MATCH('ORDENES'!$AB402,'TECNICOS'!$B$4:$B$15,0),99)*100000+399,9000000000000+399)</f>
        <v/>
      </c>
      <c r="M406" s="3">
        <f>IF(K406=1,SUMPRODUCT(--($L$8:$L$1207&lt;L406))+1,"")</f>
        <v/>
      </c>
      <c r="N406" s="17">
        <f>IF(K406=1,N('ORDENES'!$M402),0)</f>
        <v/>
      </c>
      <c r="O406" s="17">
        <f>IF('ORDENES'!$S402="preventiva",N406,0)</f>
        <v/>
      </c>
      <c r="P406" s="17">
        <f>IF('ORDENES'!$S402="correctiva",N406,0)</f>
        <v/>
      </c>
      <c r="Q406" s="3">
        <f>IF(AND(K406=1,'ORDENES'!$N402="Pendiente"),1,0)</f>
        <v/>
      </c>
      <c r="R406" s="3">
        <f>IF(Q406=1,100000-N406*1000+399*0.01,9000000000000+399)</f>
        <v/>
      </c>
      <c r="S406" s="3">
        <f>IF(Q406=1,SUMPRODUCT(--($R$8:$R$1207&lt;R406))+1,"")</f>
        <v/>
      </c>
      <c r="T406" s="11">
        <f>IF(K406=1,'ORDENES'!$J402,"")</f>
        <v/>
      </c>
    </row>
    <row r="407">
      <c r="K407" s="3">
        <f>IF(AND(IF($B$3="(todos)",TRUE,'ORDENES'!$O403=$B$3),IF($D$3="(todos)",TRUE,'ORDENES'!$AC403=$D$3),IF($F$3="(todos)",TRUE,'ORDENES'!$V403=$F$3),'ORDENES'!$AA403=TRUE,'ORDENES'!$A403&lt;&gt;""),1,0)</f>
        <v/>
      </c>
      <c r="L407" s="3">
        <f>IF(K407=1,IFERROR(MATCH('ORDENES'!$R403,lista_dias,0),9)*1000000000+IFERROR(MATCH('ORDENES'!$AC403,lista_turnos,0),9)*10000000+IFERROR(MATCH('ORDENES'!$AB403,'TECNICOS'!$B$4:$B$15,0),99)*100000+400,9000000000000+400)</f>
        <v/>
      </c>
      <c r="M407" s="3">
        <f>IF(K407=1,SUMPRODUCT(--($L$8:$L$1207&lt;L407))+1,"")</f>
        <v/>
      </c>
      <c r="N407" s="17">
        <f>IF(K407=1,N('ORDENES'!$M403),0)</f>
        <v/>
      </c>
      <c r="O407" s="17">
        <f>IF('ORDENES'!$S403="preventiva",N407,0)</f>
        <v/>
      </c>
      <c r="P407" s="17">
        <f>IF('ORDENES'!$S403="correctiva",N407,0)</f>
        <v/>
      </c>
      <c r="Q407" s="3">
        <f>IF(AND(K407=1,'ORDENES'!$N403="Pendiente"),1,0)</f>
        <v/>
      </c>
      <c r="R407" s="3">
        <f>IF(Q407=1,100000-N407*1000+400*0.01,9000000000000+400)</f>
        <v/>
      </c>
      <c r="S407" s="3">
        <f>IF(Q407=1,SUMPRODUCT(--($R$8:$R$1207&lt;R407))+1,"")</f>
        <v/>
      </c>
      <c r="T407" s="11">
        <f>IF(K407=1,'ORDENES'!$J403,"")</f>
        <v/>
      </c>
    </row>
    <row r="408">
      <c r="K408" s="3">
        <f>IF(AND(IF($B$3="(todos)",TRUE,'ORDENES'!$O404=$B$3),IF($D$3="(todos)",TRUE,'ORDENES'!$AC404=$D$3),IF($F$3="(todos)",TRUE,'ORDENES'!$V404=$F$3),'ORDENES'!$AA404=TRUE,'ORDENES'!$A404&lt;&gt;""),1,0)</f>
        <v/>
      </c>
      <c r="L408" s="3">
        <f>IF(K408=1,IFERROR(MATCH('ORDENES'!$R404,lista_dias,0),9)*1000000000+IFERROR(MATCH('ORDENES'!$AC404,lista_turnos,0),9)*10000000+IFERROR(MATCH('ORDENES'!$AB404,'TECNICOS'!$B$4:$B$15,0),99)*100000+401,9000000000000+401)</f>
        <v/>
      </c>
      <c r="M408" s="3">
        <f>IF(K408=1,SUMPRODUCT(--($L$8:$L$1207&lt;L408))+1,"")</f>
        <v/>
      </c>
      <c r="N408" s="17">
        <f>IF(K408=1,N('ORDENES'!$M404),0)</f>
        <v/>
      </c>
      <c r="O408" s="17">
        <f>IF('ORDENES'!$S404="preventiva",N408,0)</f>
        <v/>
      </c>
      <c r="P408" s="17">
        <f>IF('ORDENES'!$S404="correctiva",N408,0)</f>
        <v/>
      </c>
      <c r="Q408" s="3">
        <f>IF(AND(K408=1,'ORDENES'!$N404="Pendiente"),1,0)</f>
        <v/>
      </c>
      <c r="R408" s="3">
        <f>IF(Q408=1,100000-N408*1000+401*0.01,9000000000000+401)</f>
        <v/>
      </c>
      <c r="S408" s="3">
        <f>IF(Q408=1,SUMPRODUCT(--($R$8:$R$1207&lt;R408))+1,"")</f>
        <v/>
      </c>
      <c r="T408" s="11">
        <f>IF(K408=1,'ORDENES'!$J404,"")</f>
        <v/>
      </c>
    </row>
    <row r="409">
      <c r="K409" s="3">
        <f>IF(AND(IF($B$3="(todos)",TRUE,'ORDENES'!$O405=$B$3),IF($D$3="(todos)",TRUE,'ORDENES'!$AC405=$D$3),IF($F$3="(todos)",TRUE,'ORDENES'!$V405=$F$3),'ORDENES'!$AA405=TRUE,'ORDENES'!$A405&lt;&gt;""),1,0)</f>
        <v/>
      </c>
      <c r="L409" s="3">
        <f>IF(K409=1,IFERROR(MATCH('ORDENES'!$R405,lista_dias,0),9)*1000000000+IFERROR(MATCH('ORDENES'!$AC405,lista_turnos,0),9)*10000000+IFERROR(MATCH('ORDENES'!$AB405,'TECNICOS'!$B$4:$B$15,0),99)*100000+402,9000000000000+402)</f>
        <v/>
      </c>
      <c r="M409" s="3">
        <f>IF(K409=1,SUMPRODUCT(--($L$8:$L$1207&lt;L409))+1,"")</f>
        <v/>
      </c>
      <c r="N409" s="17">
        <f>IF(K409=1,N('ORDENES'!$M405),0)</f>
        <v/>
      </c>
      <c r="O409" s="17">
        <f>IF('ORDENES'!$S405="preventiva",N409,0)</f>
        <v/>
      </c>
      <c r="P409" s="17">
        <f>IF('ORDENES'!$S405="correctiva",N409,0)</f>
        <v/>
      </c>
      <c r="Q409" s="3">
        <f>IF(AND(K409=1,'ORDENES'!$N405="Pendiente"),1,0)</f>
        <v/>
      </c>
      <c r="R409" s="3">
        <f>IF(Q409=1,100000-N409*1000+402*0.01,9000000000000+402)</f>
        <v/>
      </c>
      <c r="S409" s="3">
        <f>IF(Q409=1,SUMPRODUCT(--($R$8:$R$1207&lt;R409))+1,"")</f>
        <v/>
      </c>
      <c r="T409" s="11">
        <f>IF(K409=1,'ORDENES'!$J405,"")</f>
        <v/>
      </c>
    </row>
    <row r="410">
      <c r="K410" s="3">
        <f>IF(AND(IF($B$3="(todos)",TRUE,'ORDENES'!$O406=$B$3),IF($D$3="(todos)",TRUE,'ORDENES'!$AC406=$D$3),IF($F$3="(todos)",TRUE,'ORDENES'!$V406=$F$3),'ORDENES'!$AA406=TRUE,'ORDENES'!$A406&lt;&gt;""),1,0)</f>
        <v/>
      </c>
      <c r="L410" s="3">
        <f>IF(K410=1,IFERROR(MATCH('ORDENES'!$R406,lista_dias,0),9)*1000000000+IFERROR(MATCH('ORDENES'!$AC406,lista_turnos,0),9)*10000000+IFERROR(MATCH('ORDENES'!$AB406,'TECNICOS'!$B$4:$B$15,0),99)*100000+403,9000000000000+403)</f>
        <v/>
      </c>
      <c r="M410" s="3">
        <f>IF(K410=1,SUMPRODUCT(--($L$8:$L$1207&lt;L410))+1,"")</f>
        <v/>
      </c>
      <c r="N410" s="17">
        <f>IF(K410=1,N('ORDENES'!$M406),0)</f>
        <v/>
      </c>
      <c r="O410" s="17">
        <f>IF('ORDENES'!$S406="preventiva",N410,0)</f>
        <v/>
      </c>
      <c r="P410" s="17">
        <f>IF('ORDENES'!$S406="correctiva",N410,0)</f>
        <v/>
      </c>
      <c r="Q410" s="3">
        <f>IF(AND(K410=1,'ORDENES'!$N406="Pendiente"),1,0)</f>
        <v/>
      </c>
      <c r="R410" s="3">
        <f>IF(Q410=1,100000-N410*1000+403*0.01,9000000000000+403)</f>
        <v/>
      </c>
      <c r="S410" s="3">
        <f>IF(Q410=1,SUMPRODUCT(--($R$8:$R$1207&lt;R410))+1,"")</f>
        <v/>
      </c>
      <c r="T410" s="11">
        <f>IF(K410=1,'ORDENES'!$J406,"")</f>
        <v/>
      </c>
    </row>
    <row r="411">
      <c r="K411" s="3">
        <f>IF(AND(IF($B$3="(todos)",TRUE,'ORDENES'!$O407=$B$3),IF($D$3="(todos)",TRUE,'ORDENES'!$AC407=$D$3),IF($F$3="(todos)",TRUE,'ORDENES'!$V407=$F$3),'ORDENES'!$AA407=TRUE,'ORDENES'!$A407&lt;&gt;""),1,0)</f>
        <v/>
      </c>
      <c r="L411" s="3">
        <f>IF(K411=1,IFERROR(MATCH('ORDENES'!$R407,lista_dias,0),9)*1000000000+IFERROR(MATCH('ORDENES'!$AC407,lista_turnos,0),9)*10000000+IFERROR(MATCH('ORDENES'!$AB407,'TECNICOS'!$B$4:$B$15,0),99)*100000+404,9000000000000+404)</f>
        <v/>
      </c>
      <c r="M411" s="3">
        <f>IF(K411=1,SUMPRODUCT(--($L$8:$L$1207&lt;L411))+1,"")</f>
        <v/>
      </c>
      <c r="N411" s="17">
        <f>IF(K411=1,N('ORDENES'!$M407),0)</f>
        <v/>
      </c>
      <c r="O411" s="17">
        <f>IF('ORDENES'!$S407="preventiva",N411,0)</f>
        <v/>
      </c>
      <c r="P411" s="17">
        <f>IF('ORDENES'!$S407="correctiva",N411,0)</f>
        <v/>
      </c>
      <c r="Q411" s="3">
        <f>IF(AND(K411=1,'ORDENES'!$N407="Pendiente"),1,0)</f>
        <v/>
      </c>
      <c r="R411" s="3">
        <f>IF(Q411=1,100000-N411*1000+404*0.01,9000000000000+404)</f>
        <v/>
      </c>
      <c r="S411" s="3">
        <f>IF(Q411=1,SUMPRODUCT(--($R$8:$R$1207&lt;R411))+1,"")</f>
        <v/>
      </c>
      <c r="T411" s="11">
        <f>IF(K411=1,'ORDENES'!$J407,"")</f>
        <v/>
      </c>
    </row>
    <row r="412">
      <c r="K412" s="3">
        <f>IF(AND(IF($B$3="(todos)",TRUE,'ORDENES'!$O408=$B$3),IF($D$3="(todos)",TRUE,'ORDENES'!$AC408=$D$3),IF($F$3="(todos)",TRUE,'ORDENES'!$V408=$F$3),'ORDENES'!$AA408=TRUE,'ORDENES'!$A408&lt;&gt;""),1,0)</f>
        <v/>
      </c>
      <c r="L412" s="3">
        <f>IF(K412=1,IFERROR(MATCH('ORDENES'!$R408,lista_dias,0),9)*1000000000+IFERROR(MATCH('ORDENES'!$AC408,lista_turnos,0),9)*10000000+IFERROR(MATCH('ORDENES'!$AB408,'TECNICOS'!$B$4:$B$15,0),99)*100000+405,9000000000000+405)</f>
        <v/>
      </c>
      <c r="M412" s="3">
        <f>IF(K412=1,SUMPRODUCT(--($L$8:$L$1207&lt;L412))+1,"")</f>
        <v/>
      </c>
      <c r="N412" s="17">
        <f>IF(K412=1,N('ORDENES'!$M408),0)</f>
        <v/>
      </c>
      <c r="O412" s="17">
        <f>IF('ORDENES'!$S408="preventiva",N412,0)</f>
        <v/>
      </c>
      <c r="P412" s="17">
        <f>IF('ORDENES'!$S408="correctiva",N412,0)</f>
        <v/>
      </c>
      <c r="Q412" s="3">
        <f>IF(AND(K412=1,'ORDENES'!$N408="Pendiente"),1,0)</f>
        <v/>
      </c>
      <c r="R412" s="3">
        <f>IF(Q412=1,100000-N412*1000+405*0.01,9000000000000+405)</f>
        <v/>
      </c>
      <c r="S412" s="3">
        <f>IF(Q412=1,SUMPRODUCT(--($R$8:$R$1207&lt;R412))+1,"")</f>
        <v/>
      </c>
      <c r="T412" s="11">
        <f>IF(K412=1,'ORDENES'!$J408,"")</f>
        <v/>
      </c>
    </row>
    <row r="413">
      <c r="K413" s="3">
        <f>IF(AND(IF($B$3="(todos)",TRUE,'ORDENES'!$O409=$B$3),IF($D$3="(todos)",TRUE,'ORDENES'!$AC409=$D$3),IF($F$3="(todos)",TRUE,'ORDENES'!$V409=$F$3),'ORDENES'!$AA409=TRUE,'ORDENES'!$A409&lt;&gt;""),1,0)</f>
        <v/>
      </c>
      <c r="L413" s="3">
        <f>IF(K413=1,IFERROR(MATCH('ORDENES'!$R409,lista_dias,0),9)*1000000000+IFERROR(MATCH('ORDENES'!$AC409,lista_turnos,0),9)*10000000+IFERROR(MATCH('ORDENES'!$AB409,'TECNICOS'!$B$4:$B$15,0),99)*100000+406,9000000000000+406)</f>
        <v/>
      </c>
      <c r="M413" s="3">
        <f>IF(K413=1,SUMPRODUCT(--($L$8:$L$1207&lt;L413))+1,"")</f>
        <v/>
      </c>
      <c r="N413" s="17">
        <f>IF(K413=1,N('ORDENES'!$M409),0)</f>
        <v/>
      </c>
      <c r="O413" s="17">
        <f>IF('ORDENES'!$S409="preventiva",N413,0)</f>
        <v/>
      </c>
      <c r="P413" s="17">
        <f>IF('ORDENES'!$S409="correctiva",N413,0)</f>
        <v/>
      </c>
      <c r="Q413" s="3">
        <f>IF(AND(K413=1,'ORDENES'!$N409="Pendiente"),1,0)</f>
        <v/>
      </c>
      <c r="R413" s="3">
        <f>IF(Q413=1,100000-N413*1000+406*0.01,9000000000000+406)</f>
        <v/>
      </c>
      <c r="S413" s="3">
        <f>IF(Q413=1,SUMPRODUCT(--($R$8:$R$1207&lt;R413))+1,"")</f>
        <v/>
      </c>
      <c r="T413" s="11">
        <f>IF(K413=1,'ORDENES'!$J409,"")</f>
        <v/>
      </c>
    </row>
    <row r="414">
      <c r="K414" s="3">
        <f>IF(AND(IF($B$3="(todos)",TRUE,'ORDENES'!$O410=$B$3),IF($D$3="(todos)",TRUE,'ORDENES'!$AC410=$D$3),IF($F$3="(todos)",TRUE,'ORDENES'!$V410=$F$3),'ORDENES'!$AA410=TRUE,'ORDENES'!$A410&lt;&gt;""),1,0)</f>
        <v/>
      </c>
      <c r="L414" s="3">
        <f>IF(K414=1,IFERROR(MATCH('ORDENES'!$R410,lista_dias,0),9)*1000000000+IFERROR(MATCH('ORDENES'!$AC410,lista_turnos,0),9)*10000000+IFERROR(MATCH('ORDENES'!$AB410,'TECNICOS'!$B$4:$B$15,0),99)*100000+407,9000000000000+407)</f>
        <v/>
      </c>
      <c r="M414" s="3">
        <f>IF(K414=1,SUMPRODUCT(--($L$8:$L$1207&lt;L414))+1,"")</f>
        <v/>
      </c>
      <c r="N414" s="17">
        <f>IF(K414=1,N('ORDENES'!$M410),0)</f>
        <v/>
      </c>
      <c r="O414" s="17">
        <f>IF('ORDENES'!$S410="preventiva",N414,0)</f>
        <v/>
      </c>
      <c r="P414" s="17">
        <f>IF('ORDENES'!$S410="correctiva",N414,0)</f>
        <v/>
      </c>
      <c r="Q414" s="3">
        <f>IF(AND(K414=1,'ORDENES'!$N410="Pendiente"),1,0)</f>
        <v/>
      </c>
      <c r="R414" s="3">
        <f>IF(Q414=1,100000-N414*1000+407*0.01,9000000000000+407)</f>
        <v/>
      </c>
      <c r="S414" s="3">
        <f>IF(Q414=1,SUMPRODUCT(--($R$8:$R$1207&lt;R414))+1,"")</f>
        <v/>
      </c>
      <c r="T414" s="11">
        <f>IF(K414=1,'ORDENES'!$J410,"")</f>
        <v/>
      </c>
    </row>
    <row r="415">
      <c r="K415" s="3">
        <f>IF(AND(IF($B$3="(todos)",TRUE,'ORDENES'!$O411=$B$3),IF($D$3="(todos)",TRUE,'ORDENES'!$AC411=$D$3),IF($F$3="(todos)",TRUE,'ORDENES'!$V411=$F$3),'ORDENES'!$AA411=TRUE,'ORDENES'!$A411&lt;&gt;""),1,0)</f>
        <v/>
      </c>
      <c r="L415" s="3">
        <f>IF(K415=1,IFERROR(MATCH('ORDENES'!$R411,lista_dias,0),9)*1000000000+IFERROR(MATCH('ORDENES'!$AC411,lista_turnos,0),9)*10000000+IFERROR(MATCH('ORDENES'!$AB411,'TECNICOS'!$B$4:$B$15,0),99)*100000+408,9000000000000+408)</f>
        <v/>
      </c>
      <c r="M415" s="3">
        <f>IF(K415=1,SUMPRODUCT(--($L$8:$L$1207&lt;L415))+1,"")</f>
        <v/>
      </c>
      <c r="N415" s="17">
        <f>IF(K415=1,N('ORDENES'!$M411),0)</f>
        <v/>
      </c>
      <c r="O415" s="17">
        <f>IF('ORDENES'!$S411="preventiva",N415,0)</f>
        <v/>
      </c>
      <c r="P415" s="17">
        <f>IF('ORDENES'!$S411="correctiva",N415,0)</f>
        <v/>
      </c>
      <c r="Q415" s="3">
        <f>IF(AND(K415=1,'ORDENES'!$N411="Pendiente"),1,0)</f>
        <v/>
      </c>
      <c r="R415" s="3">
        <f>IF(Q415=1,100000-N415*1000+408*0.01,9000000000000+408)</f>
        <v/>
      </c>
      <c r="S415" s="3">
        <f>IF(Q415=1,SUMPRODUCT(--($R$8:$R$1207&lt;R415))+1,"")</f>
        <v/>
      </c>
      <c r="T415" s="11">
        <f>IF(K415=1,'ORDENES'!$J411,"")</f>
        <v/>
      </c>
    </row>
    <row r="416">
      <c r="K416" s="3">
        <f>IF(AND(IF($B$3="(todos)",TRUE,'ORDENES'!$O412=$B$3),IF($D$3="(todos)",TRUE,'ORDENES'!$AC412=$D$3),IF($F$3="(todos)",TRUE,'ORDENES'!$V412=$F$3),'ORDENES'!$AA412=TRUE,'ORDENES'!$A412&lt;&gt;""),1,0)</f>
        <v/>
      </c>
      <c r="L416" s="3">
        <f>IF(K416=1,IFERROR(MATCH('ORDENES'!$R412,lista_dias,0),9)*1000000000+IFERROR(MATCH('ORDENES'!$AC412,lista_turnos,0),9)*10000000+IFERROR(MATCH('ORDENES'!$AB412,'TECNICOS'!$B$4:$B$15,0),99)*100000+409,9000000000000+409)</f>
        <v/>
      </c>
      <c r="M416" s="3">
        <f>IF(K416=1,SUMPRODUCT(--($L$8:$L$1207&lt;L416))+1,"")</f>
        <v/>
      </c>
      <c r="N416" s="17">
        <f>IF(K416=1,N('ORDENES'!$M412),0)</f>
        <v/>
      </c>
      <c r="O416" s="17">
        <f>IF('ORDENES'!$S412="preventiva",N416,0)</f>
        <v/>
      </c>
      <c r="P416" s="17">
        <f>IF('ORDENES'!$S412="correctiva",N416,0)</f>
        <v/>
      </c>
      <c r="Q416" s="3">
        <f>IF(AND(K416=1,'ORDENES'!$N412="Pendiente"),1,0)</f>
        <v/>
      </c>
      <c r="R416" s="3">
        <f>IF(Q416=1,100000-N416*1000+409*0.01,9000000000000+409)</f>
        <v/>
      </c>
      <c r="S416" s="3">
        <f>IF(Q416=1,SUMPRODUCT(--($R$8:$R$1207&lt;R416))+1,"")</f>
        <v/>
      </c>
      <c r="T416" s="11">
        <f>IF(K416=1,'ORDENES'!$J412,"")</f>
        <v/>
      </c>
    </row>
    <row r="417">
      <c r="K417" s="3">
        <f>IF(AND(IF($B$3="(todos)",TRUE,'ORDENES'!$O413=$B$3),IF($D$3="(todos)",TRUE,'ORDENES'!$AC413=$D$3),IF($F$3="(todos)",TRUE,'ORDENES'!$V413=$F$3),'ORDENES'!$AA413=TRUE,'ORDENES'!$A413&lt;&gt;""),1,0)</f>
        <v/>
      </c>
      <c r="L417" s="3">
        <f>IF(K417=1,IFERROR(MATCH('ORDENES'!$R413,lista_dias,0),9)*1000000000+IFERROR(MATCH('ORDENES'!$AC413,lista_turnos,0),9)*10000000+IFERROR(MATCH('ORDENES'!$AB413,'TECNICOS'!$B$4:$B$15,0),99)*100000+410,9000000000000+410)</f>
        <v/>
      </c>
      <c r="M417" s="3">
        <f>IF(K417=1,SUMPRODUCT(--($L$8:$L$1207&lt;L417))+1,"")</f>
        <v/>
      </c>
      <c r="N417" s="17">
        <f>IF(K417=1,N('ORDENES'!$M413),0)</f>
        <v/>
      </c>
      <c r="O417" s="17">
        <f>IF('ORDENES'!$S413="preventiva",N417,0)</f>
        <v/>
      </c>
      <c r="P417" s="17">
        <f>IF('ORDENES'!$S413="correctiva",N417,0)</f>
        <v/>
      </c>
      <c r="Q417" s="3">
        <f>IF(AND(K417=1,'ORDENES'!$N413="Pendiente"),1,0)</f>
        <v/>
      </c>
      <c r="R417" s="3">
        <f>IF(Q417=1,100000-N417*1000+410*0.01,9000000000000+410)</f>
        <v/>
      </c>
      <c r="S417" s="3">
        <f>IF(Q417=1,SUMPRODUCT(--($R$8:$R$1207&lt;R417))+1,"")</f>
        <v/>
      </c>
      <c r="T417" s="11">
        <f>IF(K417=1,'ORDENES'!$J413,"")</f>
        <v/>
      </c>
    </row>
    <row r="418">
      <c r="K418" s="3">
        <f>IF(AND(IF($B$3="(todos)",TRUE,'ORDENES'!$O414=$B$3),IF($D$3="(todos)",TRUE,'ORDENES'!$AC414=$D$3),IF($F$3="(todos)",TRUE,'ORDENES'!$V414=$F$3),'ORDENES'!$AA414=TRUE,'ORDENES'!$A414&lt;&gt;""),1,0)</f>
        <v/>
      </c>
      <c r="L418" s="3">
        <f>IF(K418=1,IFERROR(MATCH('ORDENES'!$R414,lista_dias,0),9)*1000000000+IFERROR(MATCH('ORDENES'!$AC414,lista_turnos,0),9)*10000000+IFERROR(MATCH('ORDENES'!$AB414,'TECNICOS'!$B$4:$B$15,0),99)*100000+411,9000000000000+411)</f>
        <v/>
      </c>
      <c r="M418" s="3">
        <f>IF(K418=1,SUMPRODUCT(--($L$8:$L$1207&lt;L418))+1,"")</f>
        <v/>
      </c>
      <c r="N418" s="17">
        <f>IF(K418=1,N('ORDENES'!$M414),0)</f>
        <v/>
      </c>
      <c r="O418" s="17">
        <f>IF('ORDENES'!$S414="preventiva",N418,0)</f>
        <v/>
      </c>
      <c r="P418" s="17">
        <f>IF('ORDENES'!$S414="correctiva",N418,0)</f>
        <v/>
      </c>
      <c r="Q418" s="3">
        <f>IF(AND(K418=1,'ORDENES'!$N414="Pendiente"),1,0)</f>
        <v/>
      </c>
      <c r="R418" s="3">
        <f>IF(Q418=1,100000-N418*1000+411*0.01,9000000000000+411)</f>
        <v/>
      </c>
      <c r="S418" s="3">
        <f>IF(Q418=1,SUMPRODUCT(--($R$8:$R$1207&lt;R418))+1,"")</f>
        <v/>
      </c>
      <c r="T418" s="11">
        <f>IF(K418=1,'ORDENES'!$J414,"")</f>
        <v/>
      </c>
    </row>
    <row r="419">
      <c r="K419" s="3">
        <f>IF(AND(IF($B$3="(todos)",TRUE,'ORDENES'!$O415=$B$3),IF($D$3="(todos)",TRUE,'ORDENES'!$AC415=$D$3),IF($F$3="(todos)",TRUE,'ORDENES'!$V415=$F$3),'ORDENES'!$AA415=TRUE,'ORDENES'!$A415&lt;&gt;""),1,0)</f>
        <v/>
      </c>
      <c r="L419" s="3">
        <f>IF(K419=1,IFERROR(MATCH('ORDENES'!$R415,lista_dias,0),9)*1000000000+IFERROR(MATCH('ORDENES'!$AC415,lista_turnos,0),9)*10000000+IFERROR(MATCH('ORDENES'!$AB415,'TECNICOS'!$B$4:$B$15,0),99)*100000+412,9000000000000+412)</f>
        <v/>
      </c>
      <c r="M419" s="3">
        <f>IF(K419=1,SUMPRODUCT(--($L$8:$L$1207&lt;L419))+1,"")</f>
        <v/>
      </c>
      <c r="N419" s="17">
        <f>IF(K419=1,N('ORDENES'!$M415),0)</f>
        <v/>
      </c>
      <c r="O419" s="17">
        <f>IF('ORDENES'!$S415="preventiva",N419,0)</f>
        <v/>
      </c>
      <c r="P419" s="17">
        <f>IF('ORDENES'!$S415="correctiva",N419,0)</f>
        <v/>
      </c>
      <c r="Q419" s="3">
        <f>IF(AND(K419=1,'ORDENES'!$N415="Pendiente"),1,0)</f>
        <v/>
      </c>
      <c r="R419" s="3">
        <f>IF(Q419=1,100000-N419*1000+412*0.01,9000000000000+412)</f>
        <v/>
      </c>
      <c r="S419" s="3">
        <f>IF(Q419=1,SUMPRODUCT(--($R$8:$R$1207&lt;R419))+1,"")</f>
        <v/>
      </c>
      <c r="T419" s="11">
        <f>IF(K419=1,'ORDENES'!$J415,"")</f>
        <v/>
      </c>
    </row>
    <row r="420">
      <c r="K420" s="3">
        <f>IF(AND(IF($B$3="(todos)",TRUE,'ORDENES'!$O416=$B$3),IF($D$3="(todos)",TRUE,'ORDENES'!$AC416=$D$3),IF($F$3="(todos)",TRUE,'ORDENES'!$V416=$F$3),'ORDENES'!$AA416=TRUE,'ORDENES'!$A416&lt;&gt;""),1,0)</f>
        <v/>
      </c>
      <c r="L420" s="3">
        <f>IF(K420=1,IFERROR(MATCH('ORDENES'!$R416,lista_dias,0),9)*1000000000+IFERROR(MATCH('ORDENES'!$AC416,lista_turnos,0),9)*10000000+IFERROR(MATCH('ORDENES'!$AB416,'TECNICOS'!$B$4:$B$15,0),99)*100000+413,9000000000000+413)</f>
        <v/>
      </c>
      <c r="M420" s="3">
        <f>IF(K420=1,SUMPRODUCT(--($L$8:$L$1207&lt;L420))+1,"")</f>
        <v/>
      </c>
      <c r="N420" s="17">
        <f>IF(K420=1,N('ORDENES'!$M416),0)</f>
        <v/>
      </c>
      <c r="O420" s="17">
        <f>IF('ORDENES'!$S416="preventiva",N420,0)</f>
        <v/>
      </c>
      <c r="P420" s="17">
        <f>IF('ORDENES'!$S416="correctiva",N420,0)</f>
        <v/>
      </c>
      <c r="Q420" s="3">
        <f>IF(AND(K420=1,'ORDENES'!$N416="Pendiente"),1,0)</f>
        <v/>
      </c>
      <c r="R420" s="3">
        <f>IF(Q420=1,100000-N420*1000+413*0.01,9000000000000+413)</f>
        <v/>
      </c>
      <c r="S420" s="3">
        <f>IF(Q420=1,SUMPRODUCT(--($R$8:$R$1207&lt;R420))+1,"")</f>
        <v/>
      </c>
      <c r="T420" s="11">
        <f>IF(K420=1,'ORDENES'!$J416,"")</f>
        <v/>
      </c>
    </row>
    <row r="421">
      <c r="K421" s="3">
        <f>IF(AND(IF($B$3="(todos)",TRUE,'ORDENES'!$O417=$B$3),IF($D$3="(todos)",TRUE,'ORDENES'!$AC417=$D$3),IF($F$3="(todos)",TRUE,'ORDENES'!$V417=$F$3),'ORDENES'!$AA417=TRUE,'ORDENES'!$A417&lt;&gt;""),1,0)</f>
        <v/>
      </c>
      <c r="L421" s="3">
        <f>IF(K421=1,IFERROR(MATCH('ORDENES'!$R417,lista_dias,0),9)*1000000000+IFERROR(MATCH('ORDENES'!$AC417,lista_turnos,0),9)*10000000+IFERROR(MATCH('ORDENES'!$AB417,'TECNICOS'!$B$4:$B$15,0),99)*100000+414,9000000000000+414)</f>
        <v/>
      </c>
      <c r="M421" s="3">
        <f>IF(K421=1,SUMPRODUCT(--($L$8:$L$1207&lt;L421))+1,"")</f>
        <v/>
      </c>
      <c r="N421" s="17">
        <f>IF(K421=1,N('ORDENES'!$M417),0)</f>
        <v/>
      </c>
      <c r="O421" s="17">
        <f>IF('ORDENES'!$S417="preventiva",N421,0)</f>
        <v/>
      </c>
      <c r="P421" s="17">
        <f>IF('ORDENES'!$S417="correctiva",N421,0)</f>
        <v/>
      </c>
      <c r="Q421" s="3">
        <f>IF(AND(K421=1,'ORDENES'!$N417="Pendiente"),1,0)</f>
        <v/>
      </c>
      <c r="R421" s="3">
        <f>IF(Q421=1,100000-N421*1000+414*0.01,9000000000000+414)</f>
        <v/>
      </c>
      <c r="S421" s="3">
        <f>IF(Q421=1,SUMPRODUCT(--($R$8:$R$1207&lt;R421))+1,"")</f>
        <v/>
      </c>
      <c r="T421" s="11">
        <f>IF(K421=1,'ORDENES'!$J417,"")</f>
        <v/>
      </c>
    </row>
    <row r="422">
      <c r="K422" s="3">
        <f>IF(AND(IF($B$3="(todos)",TRUE,'ORDENES'!$O418=$B$3),IF($D$3="(todos)",TRUE,'ORDENES'!$AC418=$D$3),IF($F$3="(todos)",TRUE,'ORDENES'!$V418=$F$3),'ORDENES'!$AA418=TRUE,'ORDENES'!$A418&lt;&gt;""),1,0)</f>
        <v/>
      </c>
      <c r="L422" s="3">
        <f>IF(K422=1,IFERROR(MATCH('ORDENES'!$R418,lista_dias,0),9)*1000000000+IFERROR(MATCH('ORDENES'!$AC418,lista_turnos,0),9)*10000000+IFERROR(MATCH('ORDENES'!$AB418,'TECNICOS'!$B$4:$B$15,0),99)*100000+415,9000000000000+415)</f>
        <v/>
      </c>
      <c r="M422" s="3">
        <f>IF(K422=1,SUMPRODUCT(--($L$8:$L$1207&lt;L422))+1,"")</f>
        <v/>
      </c>
      <c r="N422" s="17">
        <f>IF(K422=1,N('ORDENES'!$M418),0)</f>
        <v/>
      </c>
      <c r="O422" s="17">
        <f>IF('ORDENES'!$S418="preventiva",N422,0)</f>
        <v/>
      </c>
      <c r="P422" s="17">
        <f>IF('ORDENES'!$S418="correctiva",N422,0)</f>
        <v/>
      </c>
      <c r="Q422" s="3">
        <f>IF(AND(K422=1,'ORDENES'!$N418="Pendiente"),1,0)</f>
        <v/>
      </c>
      <c r="R422" s="3">
        <f>IF(Q422=1,100000-N422*1000+415*0.01,9000000000000+415)</f>
        <v/>
      </c>
      <c r="S422" s="3">
        <f>IF(Q422=1,SUMPRODUCT(--($R$8:$R$1207&lt;R422))+1,"")</f>
        <v/>
      </c>
      <c r="T422" s="11">
        <f>IF(K422=1,'ORDENES'!$J418,"")</f>
        <v/>
      </c>
    </row>
    <row r="423">
      <c r="K423" s="3">
        <f>IF(AND(IF($B$3="(todos)",TRUE,'ORDENES'!$O419=$B$3),IF($D$3="(todos)",TRUE,'ORDENES'!$AC419=$D$3),IF($F$3="(todos)",TRUE,'ORDENES'!$V419=$F$3),'ORDENES'!$AA419=TRUE,'ORDENES'!$A419&lt;&gt;""),1,0)</f>
        <v/>
      </c>
      <c r="L423" s="3">
        <f>IF(K423=1,IFERROR(MATCH('ORDENES'!$R419,lista_dias,0),9)*1000000000+IFERROR(MATCH('ORDENES'!$AC419,lista_turnos,0),9)*10000000+IFERROR(MATCH('ORDENES'!$AB419,'TECNICOS'!$B$4:$B$15,0),99)*100000+416,9000000000000+416)</f>
        <v/>
      </c>
      <c r="M423" s="3">
        <f>IF(K423=1,SUMPRODUCT(--($L$8:$L$1207&lt;L423))+1,"")</f>
        <v/>
      </c>
      <c r="N423" s="17">
        <f>IF(K423=1,N('ORDENES'!$M419),0)</f>
        <v/>
      </c>
      <c r="O423" s="17">
        <f>IF('ORDENES'!$S419="preventiva",N423,0)</f>
        <v/>
      </c>
      <c r="P423" s="17">
        <f>IF('ORDENES'!$S419="correctiva",N423,0)</f>
        <v/>
      </c>
      <c r="Q423" s="3">
        <f>IF(AND(K423=1,'ORDENES'!$N419="Pendiente"),1,0)</f>
        <v/>
      </c>
      <c r="R423" s="3">
        <f>IF(Q423=1,100000-N423*1000+416*0.01,9000000000000+416)</f>
        <v/>
      </c>
      <c r="S423" s="3">
        <f>IF(Q423=1,SUMPRODUCT(--($R$8:$R$1207&lt;R423))+1,"")</f>
        <v/>
      </c>
      <c r="T423" s="11">
        <f>IF(K423=1,'ORDENES'!$J419,"")</f>
        <v/>
      </c>
    </row>
    <row r="424">
      <c r="K424" s="3">
        <f>IF(AND(IF($B$3="(todos)",TRUE,'ORDENES'!$O420=$B$3),IF($D$3="(todos)",TRUE,'ORDENES'!$AC420=$D$3),IF($F$3="(todos)",TRUE,'ORDENES'!$V420=$F$3),'ORDENES'!$AA420=TRUE,'ORDENES'!$A420&lt;&gt;""),1,0)</f>
        <v/>
      </c>
      <c r="L424" s="3">
        <f>IF(K424=1,IFERROR(MATCH('ORDENES'!$R420,lista_dias,0),9)*1000000000+IFERROR(MATCH('ORDENES'!$AC420,lista_turnos,0),9)*10000000+IFERROR(MATCH('ORDENES'!$AB420,'TECNICOS'!$B$4:$B$15,0),99)*100000+417,9000000000000+417)</f>
        <v/>
      </c>
      <c r="M424" s="3">
        <f>IF(K424=1,SUMPRODUCT(--($L$8:$L$1207&lt;L424))+1,"")</f>
        <v/>
      </c>
      <c r="N424" s="17">
        <f>IF(K424=1,N('ORDENES'!$M420),0)</f>
        <v/>
      </c>
      <c r="O424" s="17">
        <f>IF('ORDENES'!$S420="preventiva",N424,0)</f>
        <v/>
      </c>
      <c r="P424" s="17">
        <f>IF('ORDENES'!$S420="correctiva",N424,0)</f>
        <v/>
      </c>
      <c r="Q424" s="3">
        <f>IF(AND(K424=1,'ORDENES'!$N420="Pendiente"),1,0)</f>
        <v/>
      </c>
      <c r="R424" s="3">
        <f>IF(Q424=1,100000-N424*1000+417*0.01,9000000000000+417)</f>
        <v/>
      </c>
      <c r="S424" s="3">
        <f>IF(Q424=1,SUMPRODUCT(--($R$8:$R$1207&lt;R424))+1,"")</f>
        <v/>
      </c>
      <c r="T424" s="11">
        <f>IF(K424=1,'ORDENES'!$J420,"")</f>
        <v/>
      </c>
    </row>
    <row r="425">
      <c r="K425" s="3">
        <f>IF(AND(IF($B$3="(todos)",TRUE,'ORDENES'!$O421=$B$3),IF($D$3="(todos)",TRUE,'ORDENES'!$AC421=$D$3),IF($F$3="(todos)",TRUE,'ORDENES'!$V421=$F$3),'ORDENES'!$AA421=TRUE,'ORDENES'!$A421&lt;&gt;""),1,0)</f>
        <v/>
      </c>
      <c r="L425" s="3">
        <f>IF(K425=1,IFERROR(MATCH('ORDENES'!$R421,lista_dias,0),9)*1000000000+IFERROR(MATCH('ORDENES'!$AC421,lista_turnos,0),9)*10000000+IFERROR(MATCH('ORDENES'!$AB421,'TECNICOS'!$B$4:$B$15,0),99)*100000+418,9000000000000+418)</f>
        <v/>
      </c>
      <c r="M425" s="3">
        <f>IF(K425=1,SUMPRODUCT(--($L$8:$L$1207&lt;L425))+1,"")</f>
        <v/>
      </c>
      <c r="N425" s="17">
        <f>IF(K425=1,N('ORDENES'!$M421),0)</f>
        <v/>
      </c>
      <c r="O425" s="17">
        <f>IF('ORDENES'!$S421="preventiva",N425,0)</f>
        <v/>
      </c>
      <c r="P425" s="17">
        <f>IF('ORDENES'!$S421="correctiva",N425,0)</f>
        <v/>
      </c>
      <c r="Q425" s="3">
        <f>IF(AND(K425=1,'ORDENES'!$N421="Pendiente"),1,0)</f>
        <v/>
      </c>
      <c r="R425" s="3">
        <f>IF(Q425=1,100000-N425*1000+418*0.01,9000000000000+418)</f>
        <v/>
      </c>
      <c r="S425" s="3">
        <f>IF(Q425=1,SUMPRODUCT(--($R$8:$R$1207&lt;R425))+1,"")</f>
        <v/>
      </c>
      <c r="T425" s="11">
        <f>IF(K425=1,'ORDENES'!$J421,"")</f>
        <v/>
      </c>
    </row>
    <row r="426">
      <c r="K426" s="3">
        <f>IF(AND(IF($B$3="(todos)",TRUE,'ORDENES'!$O422=$B$3),IF($D$3="(todos)",TRUE,'ORDENES'!$AC422=$D$3),IF($F$3="(todos)",TRUE,'ORDENES'!$V422=$F$3),'ORDENES'!$AA422=TRUE,'ORDENES'!$A422&lt;&gt;""),1,0)</f>
        <v/>
      </c>
      <c r="L426" s="3">
        <f>IF(K426=1,IFERROR(MATCH('ORDENES'!$R422,lista_dias,0),9)*1000000000+IFERROR(MATCH('ORDENES'!$AC422,lista_turnos,0),9)*10000000+IFERROR(MATCH('ORDENES'!$AB422,'TECNICOS'!$B$4:$B$15,0),99)*100000+419,9000000000000+419)</f>
        <v/>
      </c>
      <c r="M426" s="3">
        <f>IF(K426=1,SUMPRODUCT(--($L$8:$L$1207&lt;L426))+1,"")</f>
        <v/>
      </c>
      <c r="N426" s="17">
        <f>IF(K426=1,N('ORDENES'!$M422),0)</f>
        <v/>
      </c>
      <c r="O426" s="17">
        <f>IF('ORDENES'!$S422="preventiva",N426,0)</f>
        <v/>
      </c>
      <c r="P426" s="17">
        <f>IF('ORDENES'!$S422="correctiva",N426,0)</f>
        <v/>
      </c>
      <c r="Q426" s="3">
        <f>IF(AND(K426=1,'ORDENES'!$N422="Pendiente"),1,0)</f>
        <v/>
      </c>
      <c r="R426" s="3">
        <f>IF(Q426=1,100000-N426*1000+419*0.01,9000000000000+419)</f>
        <v/>
      </c>
      <c r="S426" s="3">
        <f>IF(Q426=1,SUMPRODUCT(--($R$8:$R$1207&lt;R426))+1,"")</f>
        <v/>
      </c>
      <c r="T426" s="11">
        <f>IF(K426=1,'ORDENES'!$J422,"")</f>
        <v/>
      </c>
    </row>
    <row r="427">
      <c r="K427" s="3">
        <f>IF(AND(IF($B$3="(todos)",TRUE,'ORDENES'!$O423=$B$3),IF($D$3="(todos)",TRUE,'ORDENES'!$AC423=$D$3),IF($F$3="(todos)",TRUE,'ORDENES'!$V423=$F$3),'ORDENES'!$AA423=TRUE,'ORDENES'!$A423&lt;&gt;""),1,0)</f>
        <v/>
      </c>
      <c r="L427" s="3">
        <f>IF(K427=1,IFERROR(MATCH('ORDENES'!$R423,lista_dias,0),9)*1000000000+IFERROR(MATCH('ORDENES'!$AC423,lista_turnos,0),9)*10000000+IFERROR(MATCH('ORDENES'!$AB423,'TECNICOS'!$B$4:$B$15,0),99)*100000+420,9000000000000+420)</f>
        <v/>
      </c>
      <c r="M427" s="3">
        <f>IF(K427=1,SUMPRODUCT(--($L$8:$L$1207&lt;L427))+1,"")</f>
        <v/>
      </c>
      <c r="N427" s="17">
        <f>IF(K427=1,N('ORDENES'!$M423),0)</f>
        <v/>
      </c>
      <c r="O427" s="17">
        <f>IF('ORDENES'!$S423="preventiva",N427,0)</f>
        <v/>
      </c>
      <c r="P427" s="17">
        <f>IF('ORDENES'!$S423="correctiva",N427,0)</f>
        <v/>
      </c>
      <c r="Q427" s="3">
        <f>IF(AND(K427=1,'ORDENES'!$N423="Pendiente"),1,0)</f>
        <v/>
      </c>
      <c r="R427" s="3">
        <f>IF(Q427=1,100000-N427*1000+420*0.01,9000000000000+420)</f>
        <v/>
      </c>
      <c r="S427" s="3">
        <f>IF(Q427=1,SUMPRODUCT(--($R$8:$R$1207&lt;R427))+1,"")</f>
        <v/>
      </c>
      <c r="T427" s="11">
        <f>IF(K427=1,'ORDENES'!$J423,"")</f>
        <v/>
      </c>
    </row>
    <row r="428">
      <c r="K428" s="3">
        <f>IF(AND(IF($B$3="(todos)",TRUE,'ORDENES'!$O424=$B$3),IF($D$3="(todos)",TRUE,'ORDENES'!$AC424=$D$3),IF($F$3="(todos)",TRUE,'ORDENES'!$V424=$F$3),'ORDENES'!$AA424=TRUE,'ORDENES'!$A424&lt;&gt;""),1,0)</f>
        <v/>
      </c>
      <c r="L428" s="3">
        <f>IF(K428=1,IFERROR(MATCH('ORDENES'!$R424,lista_dias,0),9)*1000000000+IFERROR(MATCH('ORDENES'!$AC424,lista_turnos,0),9)*10000000+IFERROR(MATCH('ORDENES'!$AB424,'TECNICOS'!$B$4:$B$15,0),99)*100000+421,9000000000000+421)</f>
        <v/>
      </c>
      <c r="M428" s="3">
        <f>IF(K428=1,SUMPRODUCT(--($L$8:$L$1207&lt;L428))+1,"")</f>
        <v/>
      </c>
      <c r="N428" s="17">
        <f>IF(K428=1,N('ORDENES'!$M424),0)</f>
        <v/>
      </c>
      <c r="O428" s="17">
        <f>IF('ORDENES'!$S424="preventiva",N428,0)</f>
        <v/>
      </c>
      <c r="P428" s="17">
        <f>IF('ORDENES'!$S424="correctiva",N428,0)</f>
        <v/>
      </c>
      <c r="Q428" s="3">
        <f>IF(AND(K428=1,'ORDENES'!$N424="Pendiente"),1,0)</f>
        <v/>
      </c>
      <c r="R428" s="3">
        <f>IF(Q428=1,100000-N428*1000+421*0.01,9000000000000+421)</f>
        <v/>
      </c>
      <c r="S428" s="3">
        <f>IF(Q428=1,SUMPRODUCT(--($R$8:$R$1207&lt;R428))+1,"")</f>
        <v/>
      </c>
      <c r="T428" s="11">
        <f>IF(K428=1,'ORDENES'!$J424,"")</f>
        <v/>
      </c>
    </row>
    <row r="429">
      <c r="K429" s="3">
        <f>IF(AND(IF($B$3="(todos)",TRUE,'ORDENES'!$O425=$B$3),IF($D$3="(todos)",TRUE,'ORDENES'!$AC425=$D$3),IF($F$3="(todos)",TRUE,'ORDENES'!$V425=$F$3),'ORDENES'!$AA425=TRUE,'ORDENES'!$A425&lt;&gt;""),1,0)</f>
        <v/>
      </c>
      <c r="L429" s="3">
        <f>IF(K429=1,IFERROR(MATCH('ORDENES'!$R425,lista_dias,0),9)*1000000000+IFERROR(MATCH('ORDENES'!$AC425,lista_turnos,0),9)*10000000+IFERROR(MATCH('ORDENES'!$AB425,'TECNICOS'!$B$4:$B$15,0),99)*100000+422,9000000000000+422)</f>
        <v/>
      </c>
      <c r="M429" s="3">
        <f>IF(K429=1,SUMPRODUCT(--($L$8:$L$1207&lt;L429))+1,"")</f>
        <v/>
      </c>
      <c r="N429" s="17">
        <f>IF(K429=1,N('ORDENES'!$M425),0)</f>
        <v/>
      </c>
      <c r="O429" s="17">
        <f>IF('ORDENES'!$S425="preventiva",N429,0)</f>
        <v/>
      </c>
      <c r="P429" s="17">
        <f>IF('ORDENES'!$S425="correctiva",N429,0)</f>
        <v/>
      </c>
      <c r="Q429" s="3">
        <f>IF(AND(K429=1,'ORDENES'!$N425="Pendiente"),1,0)</f>
        <v/>
      </c>
      <c r="R429" s="3">
        <f>IF(Q429=1,100000-N429*1000+422*0.01,9000000000000+422)</f>
        <v/>
      </c>
      <c r="S429" s="3">
        <f>IF(Q429=1,SUMPRODUCT(--($R$8:$R$1207&lt;R429))+1,"")</f>
        <v/>
      </c>
      <c r="T429" s="11">
        <f>IF(K429=1,'ORDENES'!$J425,"")</f>
        <v/>
      </c>
    </row>
    <row r="430">
      <c r="K430" s="3">
        <f>IF(AND(IF($B$3="(todos)",TRUE,'ORDENES'!$O426=$B$3),IF($D$3="(todos)",TRUE,'ORDENES'!$AC426=$D$3),IF($F$3="(todos)",TRUE,'ORDENES'!$V426=$F$3),'ORDENES'!$AA426=TRUE,'ORDENES'!$A426&lt;&gt;""),1,0)</f>
        <v/>
      </c>
      <c r="L430" s="3">
        <f>IF(K430=1,IFERROR(MATCH('ORDENES'!$R426,lista_dias,0),9)*1000000000+IFERROR(MATCH('ORDENES'!$AC426,lista_turnos,0),9)*10000000+IFERROR(MATCH('ORDENES'!$AB426,'TECNICOS'!$B$4:$B$15,0),99)*100000+423,9000000000000+423)</f>
        <v/>
      </c>
      <c r="M430" s="3">
        <f>IF(K430=1,SUMPRODUCT(--($L$8:$L$1207&lt;L430))+1,"")</f>
        <v/>
      </c>
      <c r="N430" s="17">
        <f>IF(K430=1,N('ORDENES'!$M426),0)</f>
        <v/>
      </c>
      <c r="O430" s="17">
        <f>IF('ORDENES'!$S426="preventiva",N430,0)</f>
        <v/>
      </c>
      <c r="P430" s="17">
        <f>IF('ORDENES'!$S426="correctiva",N430,0)</f>
        <v/>
      </c>
      <c r="Q430" s="3">
        <f>IF(AND(K430=1,'ORDENES'!$N426="Pendiente"),1,0)</f>
        <v/>
      </c>
      <c r="R430" s="3">
        <f>IF(Q430=1,100000-N430*1000+423*0.01,9000000000000+423)</f>
        <v/>
      </c>
      <c r="S430" s="3">
        <f>IF(Q430=1,SUMPRODUCT(--($R$8:$R$1207&lt;R430))+1,"")</f>
        <v/>
      </c>
      <c r="T430" s="11">
        <f>IF(K430=1,'ORDENES'!$J426,"")</f>
        <v/>
      </c>
    </row>
    <row r="431">
      <c r="K431" s="3">
        <f>IF(AND(IF($B$3="(todos)",TRUE,'ORDENES'!$O427=$B$3),IF($D$3="(todos)",TRUE,'ORDENES'!$AC427=$D$3),IF($F$3="(todos)",TRUE,'ORDENES'!$V427=$F$3),'ORDENES'!$AA427=TRUE,'ORDENES'!$A427&lt;&gt;""),1,0)</f>
        <v/>
      </c>
      <c r="L431" s="3">
        <f>IF(K431=1,IFERROR(MATCH('ORDENES'!$R427,lista_dias,0),9)*1000000000+IFERROR(MATCH('ORDENES'!$AC427,lista_turnos,0),9)*10000000+IFERROR(MATCH('ORDENES'!$AB427,'TECNICOS'!$B$4:$B$15,0),99)*100000+424,9000000000000+424)</f>
        <v/>
      </c>
      <c r="M431" s="3">
        <f>IF(K431=1,SUMPRODUCT(--($L$8:$L$1207&lt;L431))+1,"")</f>
        <v/>
      </c>
      <c r="N431" s="17">
        <f>IF(K431=1,N('ORDENES'!$M427),0)</f>
        <v/>
      </c>
      <c r="O431" s="17">
        <f>IF('ORDENES'!$S427="preventiva",N431,0)</f>
        <v/>
      </c>
      <c r="P431" s="17">
        <f>IF('ORDENES'!$S427="correctiva",N431,0)</f>
        <v/>
      </c>
      <c r="Q431" s="3">
        <f>IF(AND(K431=1,'ORDENES'!$N427="Pendiente"),1,0)</f>
        <v/>
      </c>
      <c r="R431" s="3">
        <f>IF(Q431=1,100000-N431*1000+424*0.01,9000000000000+424)</f>
        <v/>
      </c>
      <c r="S431" s="3">
        <f>IF(Q431=1,SUMPRODUCT(--($R$8:$R$1207&lt;R431))+1,"")</f>
        <v/>
      </c>
      <c r="T431" s="11">
        <f>IF(K431=1,'ORDENES'!$J427,"")</f>
        <v/>
      </c>
    </row>
    <row r="432">
      <c r="K432" s="3">
        <f>IF(AND(IF($B$3="(todos)",TRUE,'ORDENES'!$O428=$B$3),IF($D$3="(todos)",TRUE,'ORDENES'!$AC428=$D$3),IF($F$3="(todos)",TRUE,'ORDENES'!$V428=$F$3),'ORDENES'!$AA428=TRUE,'ORDENES'!$A428&lt;&gt;""),1,0)</f>
        <v/>
      </c>
      <c r="L432" s="3">
        <f>IF(K432=1,IFERROR(MATCH('ORDENES'!$R428,lista_dias,0),9)*1000000000+IFERROR(MATCH('ORDENES'!$AC428,lista_turnos,0),9)*10000000+IFERROR(MATCH('ORDENES'!$AB428,'TECNICOS'!$B$4:$B$15,0),99)*100000+425,9000000000000+425)</f>
        <v/>
      </c>
      <c r="M432" s="3">
        <f>IF(K432=1,SUMPRODUCT(--($L$8:$L$1207&lt;L432))+1,"")</f>
        <v/>
      </c>
      <c r="N432" s="17">
        <f>IF(K432=1,N('ORDENES'!$M428),0)</f>
        <v/>
      </c>
      <c r="O432" s="17">
        <f>IF('ORDENES'!$S428="preventiva",N432,0)</f>
        <v/>
      </c>
      <c r="P432" s="17">
        <f>IF('ORDENES'!$S428="correctiva",N432,0)</f>
        <v/>
      </c>
      <c r="Q432" s="3">
        <f>IF(AND(K432=1,'ORDENES'!$N428="Pendiente"),1,0)</f>
        <v/>
      </c>
      <c r="R432" s="3">
        <f>IF(Q432=1,100000-N432*1000+425*0.01,9000000000000+425)</f>
        <v/>
      </c>
      <c r="S432" s="3">
        <f>IF(Q432=1,SUMPRODUCT(--($R$8:$R$1207&lt;R432))+1,"")</f>
        <v/>
      </c>
      <c r="T432" s="11">
        <f>IF(K432=1,'ORDENES'!$J428,"")</f>
        <v/>
      </c>
    </row>
    <row r="433">
      <c r="K433" s="3">
        <f>IF(AND(IF($B$3="(todos)",TRUE,'ORDENES'!$O429=$B$3),IF($D$3="(todos)",TRUE,'ORDENES'!$AC429=$D$3),IF($F$3="(todos)",TRUE,'ORDENES'!$V429=$F$3),'ORDENES'!$AA429=TRUE,'ORDENES'!$A429&lt;&gt;""),1,0)</f>
        <v/>
      </c>
      <c r="L433" s="3">
        <f>IF(K433=1,IFERROR(MATCH('ORDENES'!$R429,lista_dias,0),9)*1000000000+IFERROR(MATCH('ORDENES'!$AC429,lista_turnos,0),9)*10000000+IFERROR(MATCH('ORDENES'!$AB429,'TECNICOS'!$B$4:$B$15,0),99)*100000+426,9000000000000+426)</f>
        <v/>
      </c>
      <c r="M433" s="3">
        <f>IF(K433=1,SUMPRODUCT(--($L$8:$L$1207&lt;L433))+1,"")</f>
        <v/>
      </c>
      <c r="N433" s="17">
        <f>IF(K433=1,N('ORDENES'!$M429),0)</f>
        <v/>
      </c>
      <c r="O433" s="17">
        <f>IF('ORDENES'!$S429="preventiva",N433,0)</f>
        <v/>
      </c>
      <c r="P433" s="17">
        <f>IF('ORDENES'!$S429="correctiva",N433,0)</f>
        <v/>
      </c>
      <c r="Q433" s="3">
        <f>IF(AND(K433=1,'ORDENES'!$N429="Pendiente"),1,0)</f>
        <v/>
      </c>
      <c r="R433" s="3">
        <f>IF(Q433=1,100000-N433*1000+426*0.01,9000000000000+426)</f>
        <v/>
      </c>
      <c r="S433" s="3">
        <f>IF(Q433=1,SUMPRODUCT(--($R$8:$R$1207&lt;R433))+1,"")</f>
        <v/>
      </c>
      <c r="T433" s="11">
        <f>IF(K433=1,'ORDENES'!$J429,"")</f>
        <v/>
      </c>
    </row>
    <row r="434">
      <c r="K434" s="3">
        <f>IF(AND(IF($B$3="(todos)",TRUE,'ORDENES'!$O430=$B$3),IF($D$3="(todos)",TRUE,'ORDENES'!$AC430=$D$3),IF($F$3="(todos)",TRUE,'ORDENES'!$V430=$F$3),'ORDENES'!$AA430=TRUE,'ORDENES'!$A430&lt;&gt;""),1,0)</f>
        <v/>
      </c>
      <c r="L434" s="3">
        <f>IF(K434=1,IFERROR(MATCH('ORDENES'!$R430,lista_dias,0),9)*1000000000+IFERROR(MATCH('ORDENES'!$AC430,lista_turnos,0),9)*10000000+IFERROR(MATCH('ORDENES'!$AB430,'TECNICOS'!$B$4:$B$15,0),99)*100000+427,9000000000000+427)</f>
        <v/>
      </c>
      <c r="M434" s="3">
        <f>IF(K434=1,SUMPRODUCT(--($L$8:$L$1207&lt;L434))+1,"")</f>
        <v/>
      </c>
      <c r="N434" s="17">
        <f>IF(K434=1,N('ORDENES'!$M430),0)</f>
        <v/>
      </c>
      <c r="O434" s="17">
        <f>IF('ORDENES'!$S430="preventiva",N434,0)</f>
        <v/>
      </c>
      <c r="P434" s="17">
        <f>IF('ORDENES'!$S430="correctiva",N434,0)</f>
        <v/>
      </c>
      <c r="Q434" s="3">
        <f>IF(AND(K434=1,'ORDENES'!$N430="Pendiente"),1,0)</f>
        <v/>
      </c>
      <c r="R434" s="3">
        <f>IF(Q434=1,100000-N434*1000+427*0.01,9000000000000+427)</f>
        <v/>
      </c>
      <c r="S434" s="3">
        <f>IF(Q434=1,SUMPRODUCT(--($R$8:$R$1207&lt;R434))+1,"")</f>
        <v/>
      </c>
      <c r="T434" s="11">
        <f>IF(K434=1,'ORDENES'!$J430,"")</f>
        <v/>
      </c>
    </row>
    <row r="435">
      <c r="K435" s="3">
        <f>IF(AND(IF($B$3="(todos)",TRUE,'ORDENES'!$O431=$B$3),IF($D$3="(todos)",TRUE,'ORDENES'!$AC431=$D$3),IF($F$3="(todos)",TRUE,'ORDENES'!$V431=$F$3),'ORDENES'!$AA431=TRUE,'ORDENES'!$A431&lt;&gt;""),1,0)</f>
        <v/>
      </c>
      <c r="L435" s="3">
        <f>IF(K435=1,IFERROR(MATCH('ORDENES'!$R431,lista_dias,0),9)*1000000000+IFERROR(MATCH('ORDENES'!$AC431,lista_turnos,0),9)*10000000+IFERROR(MATCH('ORDENES'!$AB431,'TECNICOS'!$B$4:$B$15,0),99)*100000+428,9000000000000+428)</f>
        <v/>
      </c>
      <c r="M435" s="3">
        <f>IF(K435=1,SUMPRODUCT(--($L$8:$L$1207&lt;L435))+1,"")</f>
        <v/>
      </c>
      <c r="N435" s="17">
        <f>IF(K435=1,N('ORDENES'!$M431),0)</f>
        <v/>
      </c>
      <c r="O435" s="17">
        <f>IF('ORDENES'!$S431="preventiva",N435,0)</f>
        <v/>
      </c>
      <c r="P435" s="17">
        <f>IF('ORDENES'!$S431="correctiva",N435,0)</f>
        <v/>
      </c>
      <c r="Q435" s="3">
        <f>IF(AND(K435=1,'ORDENES'!$N431="Pendiente"),1,0)</f>
        <v/>
      </c>
      <c r="R435" s="3">
        <f>IF(Q435=1,100000-N435*1000+428*0.01,9000000000000+428)</f>
        <v/>
      </c>
      <c r="S435" s="3">
        <f>IF(Q435=1,SUMPRODUCT(--($R$8:$R$1207&lt;R435))+1,"")</f>
        <v/>
      </c>
      <c r="T435" s="11">
        <f>IF(K435=1,'ORDENES'!$J431,"")</f>
        <v/>
      </c>
    </row>
    <row r="436">
      <c r="K436" s="3">
        <f>IF(AND(IF($B$3="(todos)",TRUE,'ORDENES'!$O432=$B$3),IF($D$3="(todos)",TRUE,'ORDENES'!$AC432=$D$3),IF($F$3="(todos)",TRUE,'ORDENES'!$V432=$F$3),'ORDENES'!$AA432=TRUE,'ORDENES'!$A432&lt;&gt;""),1,0)</f>
        <v/>
      </c>
      <c r="L436" s="3">
        <f>IF(K436=1,IFERROR(MATCH('ORDENES'!$R432,lista_dias,0),9)*1000000000+IFERROR(MATCH('ORDENES'!$AC432,lista_turnos,0),9)*10000000+IFERROR(MATCH('ORDENES'!$AB432,'TECNICOS'!$B$4:$B$15,0),99)*100000+429,9000000000000+429)</f>
        <v/>
      </c>
      <c r="M436" s="3">
        <f>IF(K436=1,SUMPRODUCT(--($L$8:$L$1207&lt;L436))+1,"")</f>
        <v/>
      </c>
      <c r="N436" s="17">
        <f>IF(K436=1,N('ORDENES'!$M432),0)</f>
        <v/>
      </c>
      <c r="O436" s="17">
        <f>IF('ORDENES'!$S432="preventiva",N436,0)</f>
        <v/>
      </c>
      <c r="P436" s="17">
        <f>IF('ORDENES'!$S432="correctiva",N436,0)</f>
        <v/>
      </c>
      <c r="Q436" s="3">
        <f>IF(AND(K436=1,'ORDENES'!$N432="Pendiente"),1,0)</f>
        <v/>
      </c>
      <c r="R436" s="3">
        <f>IF(Q436=1,100000-N436*1000+429*0.01,9000000000000+429)</f>
        <v/>
      </c>
      <c r="S436" s="3">
        <f>IF(Q436=1,SUMPRODUCT(--($R$8:$R$1207&lt;R436))+1,"")</f>
        <v/>
      </c>
      <c r="T436" s="11">
        <f>IF(K436=1,'ORDENES'!$J432,"")</f>
        <v/>
      </c>
    </row>
    <row r="437">
      <c r="K437" s="3">
        <f>IF(AND(IF($B$3="(todos)",TRUE,'ORDENES'!$O433=$B$3),IF($D$3="(todos)",TRUE,'ORDENES'!$AC433=$D$3),IF($F$3="(todos)",TRUE,'ORDENES'!$V433=$F$3),'ORDENES'!$AA433=TRUE,'ORDENES'!$A433&lt;&gt;""),1,0)</f>
        <v/>
      </c>
      <c r="L437" s="3">
        <f>IF(K437=1,IFERROR(MATCH('ORDENES'!$R433,lista_dias,0),9)*1000000000+IFERROR(MATCH('ORDENES'!$AC433,lista_turnos,0),9)*10000000+IFERROR(MATCH('ORDENES'!$AB433,'TECNICOS'!$B$4:$B$15,0),99)*100000+430,9000000000000+430)</f>
        <v/>
      </c>
      <c r="M437" s="3">
        <f>IF(K437=1,SUMPRODUCT(--($L$8:$L$1207&lt;L437))+1,"")</f>
        <v/>
      </c>
      <c r="N437" s="17">
        <f>IF(K437=1,N('ORDENES'!$M433),0)</f>
        <v/>
      </c>
      <c r="O437" s="17">
        <f>IF('ORDENES'!$S433="preventiva",N437,0)</f>
        <v/>
      </c>
      <c r="P437" s="17">
        <f>IF('ORDENES'!$S433="correctiva",N437,0)</f>
        <v/>
      </c>
      <c r="Q437" s="3">
        <f>IF(AND(K437=1,'ORDENES'!$N433="Pendiente"),1,0)</f>
        <v/>
      </c>
      <c r="R437" s="3">
        <f>IF(Q437=1,100000-N437*1000+430*0.01,9000000000000+430)</f>
        <v/>
      </c>
      <c r="S437" s="3">
        <f>IF(Q437=1,SUMPRODUCT(--($R$8:$R$1207&lt;R437))+1,"")</f>
        <v/>
      </c>
      <c r="T437" s="11">
        <f>IF(K437=1,'ORDENES'!$J433,"")</f>
        <v/>
      </c>
    </row>
    <row r="438">
      <c r="K438" s="3">
        <f>IF(AND(IF($B$3="(todos)",TRUE,'ORDENES'!$O434=$B$3),IF($D$3="(todos)",TRUE,'ORDENES'!$AC434=$D$3),IF($F$3="(todos)",TRUE,'ORDENES'!$V434=$F$3),'ORDENES'!$AA434=TRUE,'ORDENES'!$A434&lt;&gt;""),1,0)</f>
        <v/>
      </c>
      <c r="L438" s="3">
        <f>IF(K438=1,IFERROR(MATCH('ORDENES'!$R434,lista_dias,0),9)*1000000000+IFERROR(MATCH('ORDENES'!$AC434,lista_turnos,0),9)*10000000+IFERROR(MATCH('ORDENES'!$AB434,'TECNICOS'!$B$4:$B$15,0),99)*100000+431,9000000000000+431)</f>
        <v/>
      </c>
      <c r="M438" s="3">
        <f>IF(K438=1,SUMPRODUCT(--($L$8:$L$1207&lt;L438))+1,"")</f>
        <v/>
      </c>
      <c r="N438" s="17">
        <f>IF(K438=1,N('ORDENES'!$M434),0)</f>
        <v/>
      </c>
      <c r="O438" s="17">
        <f>IF('ORDENES'!$S434="preventiva",N438,0)</f>
        <v/>
      </c>
      <c r="P438" s="17">
        <f>IF('ORDENES'!$S434="correctiva",N438,0)</f>
        <v/>
      </c>
      <c r="Q438" s="3">
        <f>IF(AND(K438=1,'ORDENES'!$N434="Pendiente"),1,0)</f>
        <v/>
      </c>
      <c r="R438" s="3">
        <f>IF(Q438=1,100000-N438*1000+431*0.01,9000000000000+431)</f>
        <v/>
      </c>
      <c r="S438" s="3">
        <f>IF(Q438=1,SUMPRODUCT(--($R$8:$R$1207&lt;R438))+1,"")</f>
        <v/>
      </c>
      <c r="T438" s="11">
        <f>IF(K438=1,'ORDENES'!$J434,"")</f>
        <v/>
      </c>
    </row>
    <row r="439">
      <c r="K439" s="3">
        <f>IF(AND(IF($B$3="(todos)",TRUE,'ORDENES'!$O435=$B$3),IF($D$3="(todos)",TRUE,'ORDENES'!$AC435=$D$3),IF($F$3="(todos)",TRUE,'ORDENES'!$V435=$F$3),'ORDENES'!$AA435=TRUE,'ORDENES'!$A435&lt;&gt;""),1,0)</f>
        <v/>
      </c>
      <c r="L439" s="3">
        <f>IF(K439=1,IFERROR(MATCH('ORDENES'!$R435,lista_dias,0),9)*1000000000+IFERROR(MATCH('ORDENES'!$AC435,lista_turnos,0),9)*10000000+IFERROR(MATCH('ORDENES'!$AB435,'TECNICOS'!$B$4:$B$15,0),99)*100000+432,9000000000000+432)</f>
        <v/>
      </c>
      <c r="M439" s="3">
        <f>IF(K439=1,SUMPRODUCT(--($L$8:$L$1207&lt;L439))+1,"")</f>
        <v/>
      </c>
      <c r="N439" s="17">
        <f>IF(K439=1,N('ORDENES'!$M435),0)</f>
        <v/>
      </c>
      <c r="O439" s="17">
        <f>IF('ORDENES'!$S435="preventiva",N439,0)</f>
        <v/>
      </c>
      <c r="P439" s="17">
        <f>IF('ORDENES'!$S435="correctiva",N439,0)</f>
        <v/>
      </c>
      <c r="Q439" s="3">
        <f>IF(AND(K439=1,'ORDENES'!$N435="Pendiente"),1,0)</f>
        <v/>
      </c>
      <c r="R439" s="3">
        <f>IF(Q439=1,100000-N439*1000+432*0.01,9000000000000+432)</f>
        <v/>
      </c>
      <c r="S439" s="3">
        <f>IF(Q439=1,SUMPRODUCT(--($R$8:$R$1207&lt;R439))+1,"")</f>
        <v/>
      </c>
      <c r="T439" s="11">
        <f>IF(K439=1,'ORDENES'!$J435,"")</f>
        <v/>
      </c>
    </row>
    <row r="440">
      <c r="K440" s="3">
        <f>IF(AND(IF($B$3="(todos)",TRUE,'ORDENES'!$O436=$B$3),IF($D$3="(todos)",TRUE,'ORDENES'!$AC436=$D$3),IF($F$3="(todos)",TRUE,'ORDENES'!$V436=$F$3),'ORDENES'!$AA436=TRUE,'ORDENES'!$A436&lt;&gt;""),1,0)</f>
        <v/>
      </c>
      <c r="L440" s="3">
        <f>IF(K440=1,IFERROR(MATCH('ORDENES'!$R436,lista_dias,0),9)*1000000000+IFERROR(MATCH('ORDENES'!$AC436,lista_turnos,0),9)*10000000+IFERROR(MATCH('ORDENES'!$AB436,'TECNICOS'!$B$4:$B$15,0),99)*100000+433,9000000000000+433)</f>
        <v/>
      </c>
      <c r="M440" s="3">
        <f>IF(K440=1,SUMPRODUCT(--($L$8:$L$1207&lt;L440))+1,"")</f>
        <v/>
      </c>
      <c r="N440" s="17">
        <f>IF(K440=1,N('ORDENES'!$M436),0)</f>
        <v/>
      </c>
      <c r="O440" s="17">
        <f>IF('ORDENES'!$S436="preventiva",N440,0)</f>
        <v/>
      </c>
      <c r="P440" s="17">
        <f>IF('ORDENES'!$S436="correctiva",N440,0)</f>
        <v/>
      </c>
      <c r="Q440" s="3">
        <f>IF(AND(K440=1,'ORDENES'!$N436="Pendiente"),1,0)</f>
        <v/>
      </c>
      <c r="R440" s="3">
        <f>IF(Q440=1,100000-N440*1000+433*0.01,9000000000000+433)</f>
        <v/>
      </c>
      <c r="S440" s="3">
        <f>IF(Q440=1,SUMPRODUCT(--($R$8:$R$1207&lt;R440))+1,"")</f>
        <v/>
      </c>
      <c r="T440" s="11">
        <f>IF(K440=1,'ORDENES'!$J436,"")</f>
        <v/>
      </c>
    </row>
    <row r="441">
      <c r="K441" s="3">
        <f>IF(AND(IF($B$3="(todos)",TRUE,'ORDENES'!$O437=$B$3),IF($D$3="(todos)",TRUE,'ORDENES'!$AC437=$D$3),IF($F$3="(todos)",TRUE,'ORDENES'!$V437=$F$3),'ORDENES'!$AA437=TRUE,'ORDENES'!$A437&lt;&gt;""),1,0)</f>
        <v/>
      </c>
      <c r="L441" s="3">
        <f>IF(K441=1,IFERROR(MATCH('ORDENES'!$R437,lista_dias,0),9)*1000000000+IFERROR(MATCH('ORDENES'!$AC437,lista_turnos,0),9)*10000000+IFERROR(MATCH('ORDENES'!$AB437,'TECNICOS'!$B$4:$B$15,0),99)*100000+434,9000000000000+434)</f>
        <v/>
      </c>
      <c r="M441" s="3">
        <f>IF(K441=1,SUMPRODUCT(--($L$8:$L$1207&lt;L441))+1,"")</f>
        <v/>
      </c>
      <c r="N441" s="17">
        <f>IF(K441=1,N('ORDENES'!$M437),0)</f>
        <v/>
      </c>
      <c r="O441" s="17">
        <f>IF('ORDENES'!$S437="preventiva",N441,0)</f>
        <v/>
      </c>
      <c r="P441" s="17">
        <f>IF('ORDENES'!$S437="correctiva",N441,0)</f>
        <v/>
      </c>
      <c r="Q441" s="3">
        <f>IF(AND(K441=1,'ORDENES'!$N437="Pendiente"),1,0)</f>
        <v/>
      </c>
      <c r="R441" s="3">
        <f>IF(Q441=1,100000-N441*1000+434*0.01,9000000000000+434)</f>
        <v/>
      </c>
      <c r="S441" s="3">
        <f>IF(Q441=1,SUMPRODUCT(--($R$8:$R$1207&lt;R441))+1,"")</f>
        <v/>
      </c>
      <c r="T441" s="11">
        <f>IF(K441=1,'ORDENES'!$J437,"")</f>
        <v/>
      </c>
    </row>
    <row r="442">
      <c r="K442" s="3">
        <f>IF(AND(IF($B$3="(todos)",TRUE,'ORDENES'!$O438=$B$3),IF($D$3="(todos)",TRUE,'ORDENES'!$AC438=$D$3),IF($F$3="(todos)",TRUE,'ORDENES'!$V438=$F$3),'ORDENES'!$AA438=TRUE,'ORDENES'!$A438&lt;&gt;""),1,0)</f>
        <v/>
      </c>
      <c r="L442" s="3">
        <f>IF(K442=1,IFERROR(MATCH('ORDENES'!$R438,lista_dias,0),9)*1000000000+IFERROR(MATCH('ORDENES'!$AC438,lista_turnos,0),9)*10000000+IFERROR(MATCH('ORDENES'!$AB438,'TECNICOS'!$B$4:$B$15,0),99)*100000+435,9000000000000+435)</f>
        <v/>
      </c>
      <c r="M442" s="3">
        <f>IF(K442=1,SUMPRODUCT(--($L$8:$L$1207&lt;L442))+1,"")</f>
        <v/>
      </c>
      <c r="N442" s="17">
        <f>IF(K442=1,N('ORDENES'!$M438),0)</f>
        <v/>
      </c>
      <c r="O442" s="17">
        <f>IF('ORDENES'!$S438="preventiva",N442,0)</f>
        <v/>
      </c>
      <c r="P442" s="17">
        <f>IF('ORDENES'!$S438="correctiva",N442,0)</f>
        <v/>
      </c>
      <c r="Q442" s="3">
        <f>IF(AND(K442=1,'ORDENES'!$N438="Pendiente"),1,0)</f>
        <v/>
      </c>
      <c r="R442" s="3">
        <f>IF(Q442=1,100000-N442*1000+435*0.01,9000000000000+435)</f>
        <v/>
      </c>
      <c r="S442" s="3">
        <f>IF(Q442=1,SUMPRODUCT(--($R$8:$R$1207&lt;R442))+1,"")</f>
        <v/>
      </c>
      <c r="T442" s="11">
        <f>IF(K442=1,'ORDENES'!$J438,"")</f>
        <v/>
      </c>
    </row>
    <row r="443">
      <c r="K443" s="3">
        <f>IF(AND(IF($B$3="(todos)",TRUE,'ORDENES'!$O439=$B$3),IF($D$3="(todos)",TRUE,'ORDENES'!$AC439=$D$3),IF($F$3="(todos)",TRUE,'ORDENES'!$V439=$F$3),'ORDENES'!$AA439=TRUE,'ORDENES'!$A439&lt;&gt;""),1,0)</f>
        <v/>
      </c>
      <c r="L443" s="3">
        <f>IF(K443=1,IFERROR(MATCH('ORDENES'!$R439,lista_dias,0),9)*1000000000+IFERROR(MATCH('ORDENES'!$AC439,lista_turnos,0),9)*10000000+IFERROR(MATCH('ORDENES'!$AB439,'TECNICOS'!$B$4:$B$15,0),99)*100000+436,9000000000000+436)</f>
        <v/>
      </c>
      <c r="M443" s="3">
        <f>IF(K443=1,SUMPRODUCT(--($L$8:$L$1207&lt;L443))+1,"")</f>
        <v/>
      </c>
      <c r="N443" s="17">
        <f>IF(K443=1,N('ORDENES'!$M439),0)</f>
        <v/>
      </c>
      <c r="O443" s="17">
        <f>IF('ORDENES'!$S439="preventiva",N443,0)</f>
        <v/>
      </c>
      <c r="P443" s="17">
        <f>IF('ORDENES'!$S439="correctiva",N443,0)</f>
        <v/>
      </c>
      <c r="Q443" s="3">
        <f>IF(AND(K443=1,'ORDENES'!$N439="Pendiente"),1,0)</f>
        <v/>
      </c>
      <c r="R443" s="3">
        <f>IF(Q443=1,100000-N443*1000+436*0.01,9000000000000+436)</f>
        <v/>
      </c>
      <c r="S443" s="3">
        <f>IF(Q443=1,SUMPRODUCT(--($R$8:$R$1207&lt;R443))+1,"")</f>
        <v/>
      </c>
      <c r="T443" s="11">
        <f>IF(K443=1,'ORDENES'!$J439,"")</f>
        <v/>
      </c>
    </row>
    <row r="444">
      <c r="K444" s="3">
        <f>IF(AND(IF($B$3="(todos)",TRUE,'ORDENES'!$O440=$B$3),IF($D$3="(todos)",TRUE,'ORDENES'!$AC440=$D$3),IF($F$3="(todos)",TRUE,'ORDENES'!$V440=$F$3),'ORDENES'!$AA440=TRUE,'ORDENES'!$A440&lt;&gt;""),1,0)</f>
        <v/>
      </c>
      <c r="L444" s="3">
        <f>IF(K444=1,IFERROR(MATCH('ORDENES'!$R440,lista_dias,0),9)*1000000000+IFERROR(MATCH('ORDENES'!$AC440,lista_turnos,0),9)*10000000+IFERROR(MATCH('ORDENES'!$AB440,'TECNICOS'!$B$4:$B$15,0),99)*100000+437,9000000000000+437)</f>
        <v/>
      </c>
      <c r="M444" s="3">
        <f>IF(K444=1,SUMPRODUCT(--($L$8:$L$1207&lt;L444))+1,"")</f>
        <v/>
      </c>
      <c r="N444" s="17">
        <f>IF(K444=1,N('ORDENES'!$M440),0)</f>
        <v/>
      </c>
      <c r="O444" s="17">
        <f>IF('ORDENES'!$S440="preventiva",N444,0)</f>
        <v/>
      </c>
      <c r="P444" s="17">
        <f>IF('ORDENES'!$S440="correctiva",N444,0)</f>
        <v/>
      </c>
      <c r="Q444" s="3">
        <f>IF(AND(K444=1,'ORDENES'!$N440="Pendiente"),1,0)</f>
        <v/>
      </c>
      <c r="R444" s="3">
        <f>IF(Q444=1,100000-N444*1000+437*0.01,9000000000000+437)</f>
        <v/>
      </c>
      <c r="S444" s="3">
        <f>IF(Q444=1,SUMPRODUCT(--($R$8:$R$1207&lt;R444))+1,"")</f>
        <v/>
      </c>
      <c r="T444" s="11">
        <f>IF(K444=1,'ORDENES'!$J440,"")</f>
        <v/>
      </c>
    </row>
    <row r="445">
      <c r="K445" s="3">
        <f>IF(AND(IF($B$3="(todos)",TRUE,'ORDENES'!$O441=$B$3),IF($D$3="(todos)",TRUE,'ORDENES'!$AC441=$D$3),IF($F$3="(todos)",TRUE,'ORDENES'!$V441=$F$3),'ORDENES'!$AA441=TRUE,'ORDENES'!$A441&lt;&gt;""),1,0)</f>
        <v/>
      </c>
      <c r="L445" s="3">
        <f>IF(K445=1,IFERROR(MATCH('ORDENES'!$R441,lista_dias,0),9)*1000000000+IFERROR(MATCH('ORDENES'!$AC441,lista_turnos,0),9)*10000000+IFERROR(MATCH('ORDENES'!$AB441,'TECNICOS'!$B$4:$B$15,0),99)*100000+438,9000000000000+438)</f>
        <v/>
      </c>
      <c r="M445" s="3">
        <f>IF(K445=1,SUMPRODUCT(--($L$8:$L$1207&lt;L445))+1,"")</f>
        <v/>
      </c>
      <c r="N445" s="17">
        <f>IF(K445=1,N('ORDENES'!$M441),0)</f>
        <v/>
      </c>
      <c r="O445" s="17">
        <f>IF('ORDENES'!$S441="preventiva",N445,0)</f>
        <v/>
      </c>
      <c r="P445" s="17">
        <f>IF('ORDENES'!$S441="correctiva",N445,0)</f>
        <v/>
      </c>
      <c r="Q445" s="3">
        <f>IF(AND(K445=1,'ORDENES'!$N441="Pendiente"),1,0)</f>
        <v/>
      </c>
      <c r="R445" s="3">
        <f>IF(Q445=1,100000-N445*1000+438*0.01,9000000000000+438)</f>
        <v/>
      </c>
      <c r="S445" s="3">
        <f>IF(Q445=1,SUMPRODUCT(--($R$8:$R$1207&lt;R445))+1,"")</f>
        <v/>
      </c>
      <c r="T445" s="11">
        <f>IF(K445=1,'ORDENES'!$J441,"")</f>
        <v/>
      </c>
    </row>
    <row r="446">
      <c r="K446" s="3">
        <f>IF(AND(IF($B$3="(todos)",TRUE,'ORDENES'!$O442=$B$3),IF($D$3="(todos)",TRUE,'ORDENES'!$AC442=$D$3),IF($F$3="(todos)",TRUE,'ORDENES'!$V442=$F$3),'ORDENES'!$AA442=TRUE,'ORDENES'!$A442&lt;&gt;""),1,0)</f>
        <v/>
      </c>
      <c r="L446" s="3">
        <f>IF(K446=1,IFERROR(MATCH('ORDENES'!$R442,lista_dias,0),9)*1000000000+IFERROR(MATCH('ORDENES'!$AC442,lista_turnos,0),9)*10000000+IFERROR(MATCH('ORDENES'!$AB442,'TECNICOS'!$B$4:$B$15,0),99)*100000+439,9000000000000+439)</f>
        <v/>
      </c>
      <c r="M446" s="3">
        <f>IF(K446=1,SUMPRODUCT(--($L$8:$L$1207&lt;L446))+1,"")</f>
        <v/>
      </c>
      <c r="N446" s="17">
        <f>IF(K446=1,N('ORDENES'!$M442),0)</f>
        <v/>
      </c>
      <c r="O446" s="17">
        <f>IF('ORDENES'!$S442="preventiva",N446,0)</f>
        <v/>
      </c>
      <c r="P446" s="17">
        <f>IF('ORDENES'!$S442="correctiva",N446,0)</f>
        <v/>
      </c>
      <c r="Q446" s="3">
        <f>IF(AND(K446=1,'ORDENES'!$N442="Pendiente"),1,0)</f>
        <v/>
      </c>
      <c r="R446" s="3">
        <f>IF(Q446=1,100000-N446*1000+439*0.01,9000000000000+439)</f>
        <v/>
      </c>
      <c r="S446" s="3">
        <f>IF(Q446=1,SUMPRODUCT(--($R$8:$R$1207&lt;R446))+1,"")</f>
        <v/>
      </c>
      <c r="T446" s="11">
        <f>IF(K446=1,'ORDENES'!$J442,"")</f>
        <v/>
      </c>
    </row>
    <row r="447">
      <c r="K447" s="3">
        <f>IF(AND(IF($B$3="(todos)",TRUE,'ORDENES'!$O443=$B$3),IF($D$3="(todos)",TRUE,'ORDENES'!$AC443=$D$3),IF($F$3="(todos)",TRUE,'ORDENES'!$V443=$F$3),'ORDENES'!$AA443=TRUE,'ORDENES'!$A443&lt;&gt;""),1,0)</f>
        <v/>
      </c>
      <c r="L447" s="3">
        <f>IF(K447=1,IFERROR(MATCH('ORDENES'!$R443,lista_dias,0),9)*1000000000+IFERROR(MATCH('ORDENES'!$AC443,lista_turnos,0),9)*10000000+IFERROR(MATCH('ORDENES'!$AB443,'TECNICOS'!$B$4:$B$15,0),99)*100000+440,9000000000000+440)</f>
        <v/>
      </c>
      <c r="M447" s="3">
        <f>IF(K447=1,SUMPRODUCT(--($L$8:$L$1207&lt;L447))+1,"")</f>
        <v/>
      </c>
      <c r="N447" s="17">
        <f>IF(K447=1,N('ORDENES'!$M443),0)</f>
        <v/>
      </c>
      <c r="O447" s="17">
        <f>IF('ORDENES'!$S443="preventiva",N447,0)</f>
        <v/>
      </c>
      <c r="P447" s="17">
        <f>IF('ORDENES'!$S443="correctiva",N447,0)</f>
        <v/>
      </c>
      <c r="Q447" s="3">
        <f>IF(AND(K447=1,'ORDENES'!$N443="Pendiente"),1,0)</f>
        <v/>
      </c>
      <c r="R447" s="3">
        <f>IF(Q447=1,100000-N447*1000+440*0.01,9000000000000+440)</f>
        <v/>
      </c>
      <c r="S447" s="3">
        <f>IF(Q447=1,SUMPRODUCT(--($R$8:$R$1207&lt;R447))+1,"")</f>
        <v/>
      </c>
      <c r="T447" s="11">
        <f>IF(K447=1,'ORDENES'!$J443,"")</f>
        <v/>
      </c>
    </row>
    <row r="448">
      <c r="K448" s="3">
        <f>IF(AND(IF($B$3="(todos)",TRUE,'ORDENES'!$O444=$B$3),IF($D$3="(todos)",TRUE,'ORDENES'!$AC444=$D$3),IF($F$3="(todos)",TRUE,'ORDENES'!$V444=$F$3),'ORDENES'!$AA444=TRUE,'ORDENES'!$A444&lt;&gt;""),1,0)</f>
        <v/>
      </c>
      <c r="L448" s="3">
        <f>IF(K448=1,IFERROR(MATCH('ORDENES'!$R444,lista_dias,0),9)*1000000000+IFERROR(MATCH('ORDENES'!$AC444,lista_turnos,0),9)*10000000+IFERROR(MATCH('ORDENES'!$AB444,'TECNICOS'!$B$4:$B$15,0),99)*100000+441,9000000000000+441)</f>
        <v/>
      </c>
      <c r="M448" s="3">
        <f>IF(K448=1,SUMPRODUCT(--($L$8:$L$1207&lt;L448))+1,"")</f>
        <v/>
      </c>
      <c r="N448" s="17">
        <f>IF(K448=1,N('ORDENES'!$M444),0)</f>
        <v/>
      </c>
      <c r="O448" s="17">
        <f>IF('ORDENES'!$S444="preventiva",N448,0)</f>
        <v/>
      </c>
      <c r="P448" s="17">
        <f>IF('ORDENES'!$S444="correctiva",N448,0)</f>
        <v/>
      </c>
      <c r="Q448" s="3">
        <f>IF(AND(K448=1,'ORDENES'!$N444="Pendiente"),1,0)</f>
        <v/>
      </c>
      <c r="R448" s="3">
        <f>IF(Q448=1,100000-N448*1000+441*0.01,9000000000000+441)</f>
        <v/>
      </c>
      <c r="S448" s="3">
        <f>IF(Q448=1,SUMPRODUCT(--($R$8:$R$1207&lt;R448))+1,"")</f>
        <v/>
      </c>
      <c r="T448" s="11">
        <f>IF(K448=1,'ORDENES'!$J444,"")</f>
        <v/>
      </c>
    </row>
    <row r="449">
      <c r="K449" s="3">
        <f>IF(AND(IF($B$3="(todos)",TRUE,'ORDENES'!$O445=$B$3),IF($D$3="(todos)",TRUE,'ORDENES'!$AC445=$D$3),IF($F$3="(todos)",TRUE,'ORDENES'!$V445=$F$3),'ORDENES'!$AA445=TRUE,'ORDENES'!$A445&lt;&gt;""),1,0)</f>
        <v/>
      </c>
      <c r="L449" s="3">
        <f>IF(K449=1,IFERROR(MATCH('ORDENES'!$R445,lista_dias,0),9)*1000000000+IFERROR(MATCH('ORDENES'!$AC445,lista_turnos,0),9)*10000000+IFERROR(MATCH('ORDENES'!$AB445,'TECNICOS'!$B$4:$B$15,0),99)*100000+442,9000000000000+442)</f>
        <v/>
      </c>
      <c r="M449" s="3">
        <f>IF(K449=1,SUMPRODUCT(--($L$8:$L$1207&lt;L449))+1,"")</f>
        <v/>
      </c>
      <c r="N449" s="17">
        <f>IF(K449=1,N('ORDENES'!$M445),0)</f>
        <v/>
      </c>
      <c r="O449" s="17">
        <f>IF('ORDENES'!$S445="preventiva",N449,0)</f>
        <v/>
      </c>
      <c r="P449" s="17">
        <f>IF('ORDENES'!$S445="correctiva",N449,0)</f>
        <v/>
      </c>
      <c r="Q449" s="3">
        <f>IF(AND(K449=1,'ORDENES'!$N445="Pendiente"),1,0)</f>
        <v/>
      </c>
      <c r="R449" s="3">
        <f>IF(Q449=1,100000-N449*1000+442*0.01,9000000000000+442)</f>
        <v/>
      </c>
      <c r="S449" s="3">
        <f>IF(Q449=1,SUMPRODUCT(--($R$8:$R$1207&lt;R449))+1,"")</f>
        <v/>
      </c>
      <c r="T449" s="11">
        <f>IF(K449=1,'ORDENES'!$J445,"")</f>
        <v/>
      </c>
    </row>
    <row r="450">
      <c r="K450" s="3">
        <f>IF(AND(IF($B$3="(todos)",TRUE,'ORDENES'!$O446=$B$3),IF($D$3="(todos)",TRUE,'ORDENES'!$AC446=$D$3),IF($F$3="(todos)",TRUE,'ORDENES'!$V446=$F$3),'ORDENES'!$AA446=TRUE,'ORDENES'!$A446&lt;&gt;""),1,0)</f>
        <v/>
      </c>
      <c r="L450" s="3">
        <f>IF(K450=1,IFERROR(MATCH('ORDENES'!$R446,lista_dias,0),9)*1000000000+IFERROR(MATCH('ORDENES'!$AC446,lista_turnos,0),9)*10000000+IFERROR(MATCH('ORDENES'!$AB446,'TECNICOS'!$B$4:$B$15,0),99)*100000+443,9000000000000+443)</f>
        <v/>
      </c>
      <c r="M450" s="3">
        <f>IF(K450=1,SUMPRODUCT(--($L$8:$L$1207&lt;L450))+1,"")</f>
        <v/>
      </c>
      <c r="N450" s="17">
        <f>IF(K450=1,N('ORDENES'!$M446),0)</f>
        <v/>
      </c>
      <c r="O450" s="17">
        <f>IF('ORDENES'!$S446="preventiva",N450,0)</f>
        <v/>
      </c>
      <c r="P450" s="17">
        <f>IF('ORDENES'!$S446="correctiva",N450,0)</f>
        <v/>
      </c>
      <c r="Q450" s="3">
        <f>IF(AND(K450=1,'ORDENES'!$N446="Pendiente"),1,0)</f>
        <v/>
      </c>
      <c r="R450" s="3">
        <f>IF(Q450=1,100000-N450*1000+443*0.01,9000000000000+443)</f>
        <v/>
      </c>
      <c r="S450" s="3">
        <f>IF(Q450=1,SUMPRODUCT(--($R$8:$R$1207&lt;R450))+1,"")</f>
        <v/>
      </c>
      <c r="T450" s="11">
        <f>IF(K450=1,'ORDENES'!$J446,"")</f>
        <v/>
      </c>
    </row>
    <row r="451">
      <c r="K451" s="3">
        <f>IF(AND(IF($B$3="(todos)",TRUE,'ORDENES'!$O447=$B$3),IF($D$3="(todos)",TRUE,'ORDENES'!$AC447=$D$3),IF($F$3="(todos)",TRUE,'ORDENES'!$V447=$F$3),'ORDENES'!$AA447=TRUE,'ORDENES'!$A447&lt;&gt;""),1,0)</f>
        <v/>
      </c>
      <c r="L451" s="3">
        <f>IF(K451=1,IFERROR(MATCH('ORDENES'!$R447,lista_dias,0),9)*1000000000+IFERROR(MATCH('ORDENES'!$AC447,lista_turnos,0),9)*10000000+IFERROR(MATCH('ORDENES'!$AB447,'TECNICOS'!$B$4:$B$15,0),99)*100000+444,9000000000000+444)</f>
        <v/>
      </c>
      <c r="M451" s="3">
        <f>IF(K451=1,SUMPRODUCT(--($L$8:$L$1207&lt;L451))+1,"")</f>
        <v/>
      </c>
      <c r="N451" s="17">
        <f>IF(K451=1,N('ORDENES'!$M447),0)</f>
        <v/>
      </c>
      <c r="O451" s="17">
        <f>IF('ORDENES'!$S447="preventiva",N451,0)</f>
        <v/>
      </c>
      <c r="P451" s="17">
        <f>IF('ORDENES'!$S447="correctiva",N451,0)</f>
        <v/>
      </c>
      <c r="Q451" s="3">
        <f>IF(AND(K451=1,'ORDENES'!$N447="Pendiente"),1,0)</f>
        <v/>
      </c>
      <c r="R451" s="3">
        <f>IF(Q451=1,100000-N451*1000+444*0.01,9000000000000+444)</f>
        <v/>
      </c>
      <c r="S451" s="3">
        <f>IF(Q451=1,SUMPRODUCT(--($R$8:$R$1207&lt;R451))+1,"")</f>
        <v/>
      </c>
      <c r="T451" s="11">
        <f>IF(K451=1,'ORDENES'!$J447,"")</f>
        <v/>
      </c>
    </row>
    <row r="452">
      <c r="K452" s="3">
        <f>IF(AND(IF($B$3="(todos)",TRUE,'ORDENES'!$O448=$B$3),IF($D$3="(todos)",TRUE,'ORDENES'!$AC448=$D$3),IF($F$3="(todos)",TRUE,'ORDENES'!$V448=$F$3),'ORDENES'!$AA448=TRUE,'ORDENES'!$A448&lt;&gt;""),1,0)</f>
        <v/>
      </c>
      <c r="L452" s="3">
        <f>IF(K452=1,IFERROR(MATCH('ORDENES'!$R448,lista_dias,0),9)*1000000000+IFERROR(MATCH('ORDENES'!$AC448,lista_turnos,0),9)*10000000+IFERROR(MATCH('ORDENES'!$AB448,'TECNICOS'!$B$4:$B$15,0),99)*100000+445,9000000000000+445)</f>
        <v/>
      </c>
      <c r="M452" s="3">
        <f>IF(K452=1,SUMPRODUCT(--($L$8:$L$1207&lt;L452))+1,"")</f>
        <v/>
      </c>
      <c r="N452" s="17">
        <f>IF(K452=1,N('ORDENES'!$M448),0)</f>
        <v/>
      </c>
      <c r="O452" s="17">
        <f>IF('ORDENES'!$S448="preventiva",N452,0)</f>
        <v/>
      </c>
      <c r="P452" s="17">
        <f>IF('ORDENES'!$S448="correctiva",N452,0)</f>
        <v/>
      </c>
      <c r="Q452" s="3">
        <f>IF(AND(K452=1,'ORDENES'!$N448="Pendiente"),1,0)</f>
        <v/>
      </c>
      <c r="R452" s="3">
        <f>IF(Q452=1,100000-N452*1000+445*0.01,9000000000000+445)</f>
        <v/>
      </c>
      <c r="S452" s="3">
        <f>IF(Q452=1,SUMPRODUCT(--($R$8:$R$1207&lt;R452))+1,"")</f>
        <v/>
      </c>
      <c r="T452" s="11">
        <f>IF(K452=1,'ORDENES'!$J448,"")</f>
        <v/>
      </c>
    </row>
    <row r="453">
      <c r="K453" s="3">
        <f>IF(AND(IF($B$3="(todos)",TRUE,'ORDENES'!$O449=$B$3),IF($D$3="(todos)",TRUE,'ORDENES'!$AC449=$D$3),IF($F$3="(todos)",TRUE,'ORDENES'!$V449=$F$3),'ORDENES'!$AA449=TRUE,'ORDENES'!$A449&lt;&gt;""),1,0)</f>
        <v/>
      </c>
      <c r="L453" s="3">
        <f>IF(K453=1,IFERROR(MATCH('ORDENES'!$R449,lista_dias,0),9)*1000000000+IFERROR(MATCH('ORDENES'!$AC449,lista_turnos,0),9)*10000000+IFERROR(MATCH('ORDENES'!$AB449,'TECNICOS'!$B$4:$B$15,0),99)*100000+446,9000000000000+446)</f>
        <v/>
      </c>
      <c r="M453" s="3">
        <f>IF(K453=1,SUMPRODUCT(--($L$8:$L$1207&lt;L453))+1,"")</f>
        <v/>
      </c>
      <c r="N453" s="17">
        <f>IF(K453=1,N('ORDENES'!$M449),0)</f>
        <v/>
      </c>
      <c r="O453" s="17">
        <f>IF('ORDENES'!$S449="preventiva",N453,0)</f>
        <v/>
      </c>
      <c r="P453" s="17">
        <f>IF('ORDENES'!$S449="correctiva",N453,0)</f>
        <v/>
      </c>
      <c r="Q453" s="3">
        <f>IF(AND(K453=1,'ORDENES'!$N449="Pendiente"),1,0)</f>
        <v/>
      </c>
      <c r="R453" s="3">
        <f>IF(Q453=1,100000-N453*1000+446*0.01,9000000000000+446)</f>
        <v/>
      </c>
      <c r="S453" s="3">
        <f>IF(Q453=1,SUMPRODUCT(--($R$8:$R$1207&lt;R453))+1,"")</f>
        <v/>
      </c>
      <c r="T453" s="11">
        <f>IF(K453=1,'ORDENES'!$J449,"")</f>
        <v/>
      </c>
    </row>
    <row r="454">
      <c r="K454" s="3">
        <f>IF(AND(IF($B$3="(todos)",TRUE,'ORDENES'!$O450=$B$3),IF($D$3="(todos)",TRUE,'ORDENES'!$AC450=$D$3),IF($F$3="(todos)",TRUE,'ORDENES'!$V450=$F$3),'ORDENES'!$AA450=TRUE,'ORDENES'!$A450&lt;&gt;""),1,0)</f>
        <v/>
      </c>
      <c r="L454" s="3">
        <f>IF(K454=1,IFERROR(MATCH('ORDENES'!$R450,lista_dias,0),9)*1000000000+IFERROR(MATCH('ORDENES'!$AC450,lista_turnos,0),9)*10000000+IFERROR(MATCH('ORDENES'!$AB450,'TECNICOS'!$B$4:$B$15,0),99)*100000+447,9000000000000+447)</f>
        <v/>
      </c>
      <c r="M454" s="3">
        <f>IF(K454=1,SUMPRODUCT(--($L$8:$L$1207&lt;L454))+1,"")</f>
        <v/>
      </c>
      <c r="N454" s="17">
        <f>IF(K454=1,N('ORDENES'!$M450),0)</f>
        <v/>
      </c>
      <c r="O454" s="17">
        <f>IF('ORDENES'!$S450="preventiva",N454,0)</f>
        <v/>
      </c>
      <c r="P454" s="17">
        <f>IF('ORDENES'!$S450="correctiva",N454,0)</f>
        <v/>
      </c>
      <c r="Q454" s="3">
        <f>IF(AND(K454=1,'ORDENES'!$N450="Pendiente"),1,0)</f>
        <v/>
      </c>
      <c r="R454" s="3">
        <f>IF(Q454=1,100000-N454*1000+447*0.01,9000000000000+447)</f>
        <v/>
      </c>
      <c r="S454" s="3">
        <f>IF(Q454=1,SUMPRODUCT(--($R$8:$R$1207&lt;R454))+1,"")</f>
        <v/>
      </c>
      <c r="T454" s="11">
        <f>IF(K454=1,'ORDENES'!$J450,"")</f>
        <v/>
      </c>
    </row>
    <row r="455">
      <c r="K455" s="3">
        <f>IF(AND(IF($B$3="(todos)",TRUE,'ORDENES'!$O451=$B$3),IF($D$3="(todos)",TRUE,'ORDENES'!$AC451=$D$3),IF($F$3="(todos)",TRUE,'ORDENES'!$V451=$F$3),'ORDENES'!$AA451=TRUE,'ORDENES'!$A451&lt;&gt;""),1,0)</f>
        <v/>
      </c>
      <c r="L455" s="3">
        <f>IF(K455=1,IFERROR(MATCH('ORDENES'!$R451,lista_dias,0),9)*1000000000+IFERROR(MATCH('ORDENES'!$AC451,lista_turnos,0),9)*10000000+IFERROR(MATCH('ORDENES'!$AB451,'TECNICOS'!$B$4:$B$15,0),99)*100000+448,9000000000000+448)</f>
        <v/>
      </c>
      <c r="M455" s="3">
        <f>IF(K455=1,SUMPRODUCT(--($L$8:$L$1207&lt;L455))+1,"")</f>
        <v/>
      </c>
      <c r="N455" s="17">
        <f>IF(K455=1,N('ORDENES'!$M451),0)</f>
        <v/>
      </c>
      <c r="O455" s="17">
        <f>IF('ORDENES'!$S451="preventiva",N455,0)</f>
        <v/>
      </c>
      <c r="P455" s="17">
        <f>IF('ORDENES'!$S451="correctiva",N455,0)</f>
        <v/>
      </c>
      <c r="Q455" s="3">
        <f>IF(AND(K455=1,'ORDENES'!$N451="Pendiente"),1,0)</f>
        <v/>
      </c>
      <c r="R455" s="3">
        <f>IF(Q455=1,100000-N455*1000+448*0.01,9000000000000+448)</f>
        <v/>
      </c>
      <c r="S455" s="3">
        <f>IF(Q455=1,SUMPRODUCT(--($R$8:$R$1207&lt;R455))+1,"")</f>
        <v/>
      </c>
      <c r="T455" s="11">
        <f>IF(K455=1,'ORDENES'!$J451,"")</f>
        <v/>
      </c>
    </row>
    <row r="456">
      <c r="K456" s="3">
        <f>IF(AND(IF($B$3="(todos)",TRUE,'ORDENES'!$O452=$B$3),IF($D$3="(todos)",TRUE,'ORDENES'!$AC452=$D$3),IF($F$3="(todos)",TRUE,'ORDENES'!$V452=$F$3),'ORDENES'!$AA452=TRUE,'ORDENES'!$A452&lt;&gt;""),1,0)</f>
        <v/>
      </c>
      <c r="L456" s="3">
        <f>IF(K456=1,IFERROR(MATCH('ORDENES'!$R452,lista_dias,0),9)*1000000000+IFERROR(MATCH('ORDENES'!$AC452,lista_turnos,0),9)*10000000+IFERROR(MATCH('ORDENES'!$AB452,'TECNICOS'!$B$4:$B$15,0),99)*100000+449,9000000000000+449)</f>
        <v/>
      </c>
      <c r="M456" s="3">
        <f>IF(K456=1,SUMPRODUCT(--($L$8:$L$1207&lt;L456))+1,"")</f>
        <v/>
      </c>
      <c r="N456" s="17">
        <f>IF(K456=1,N('ORDENES'!$M452),0)</f>
        <v/>
      </c>
      <c r="O456" s="17">
        <f>IF('ORDENES'!$S452="preventiva",N456,0)</f>
        <v/>
      </c>
      <c r="P456" s="17">
        <f>IF('ORDENES'!$S452="correctiva",N456,0)</f>
        <v/>
      </c>
      <c r="Q456" s="3">
        <f>IF(AND(K456=1,'ORDENES'!$N452="Pendiente"),1,0)</f>
        <v/>
      </c>
      <c r="R456" s="3">
        <f>IF(Q456=1,100000-N456*1000+449*0.01,9000000000000+449)</f>
        <v/>
      </c>
      <c r="S456" s="3">
        <f>IF(Q456=1,SUMPRODUCT(--($R$8:$R$1207&lt;R456))+1,"")</f>
        <v/>
      </c>
      <c r="T456" s="11">
        <f>IF(K456=1,'ORDENES'!$J452,"")</f>
        <v/>
      </c>
    </row>
    <row r="457">
      <c r="K457" s="3">
        <f>IF(AND(IF($B$3="(todos)",TRUE,'ORDENES'!$O453=$B$3),IF($D$3="(todos)",TRUE,'ORDENES'!$AC453=$D$3),IF($F$3="(todos)",TRUE,'ORDENES'!$V453=$F$3),'ORDENES'!$AA453=TRUE,'ORDENES'!$A453&lt;&gt;""),1,0)</f>
        <v/>
      </c>
      <c r="L457" s="3">
        <f>IF(K457=1,IFERROR(MATCH('ORDENES'!$R453,lista_dias,0),9)*1000000000+IFERROR(MATCH('ORDENES'!$AC453,lista_turnos,0),9)*10000000+IFERROR(MATCH('ORDENES'!$AB453,'TECNICOS'!$B$4:$B$15,0),99)*100000+450,9000000000000+450)</f>
        <v/>
      </c>
      <c r="M457" s="3">
        <f>IF(K457=1,SUMPRODUCT(--($L$8:$L$1207&lt;L457))+1,"")</f>
        <v/>
      </c>
      <c r="N457" s="17">
        <f>IF(K457=1,N('ORDENES'!$M453),0)</f>
        <v/>
      </c>
      <c r="O457" s="17">
        <f>IF('ORDENES'!$S453="preventiva",N457,0)</f>
        <v/>
      </c>
      <c r="P457" s="17">
        <f>IF('ORDENES'!$S453="correctiva",N457,0)</f>
        <v/>
      </c>
      <c r="Q457" s="3">
        <f>IF(AND(K457=1,'ORDENES'!$N453="Pendiente"),1,0)</f>
        <v/>
      </c>
      <c r="R457" s="3">
        <f>IF(Q457=1,100000-N457*1000+450*0.01,9000000000000+450)</f>
        <v/>
      </c>
      <c r="S457" s="3">
        <f>IF(Q457=1,SUMPRODUCT(--($R$8:$R$1207&lt;R457))+1,"")</f>
        <v/>
      </c>
      <c r="T457" s="11">
        <f>IF(K457=1,'ORDENES'!$J453,"")</f>
        <v/>
      </c>
    </row>
    <row r="458">
      <c r="K458" s="3">
        <f>IF(AND(IF($B$3="(todos)",TRUE,'ORDENES'!$O454=$B$3),IF($D$3="(todos)",TRUE,'ORDENES'!$AC454=$D$3),IF($F$3="(todos)",TRUE,'ORDENES'!$V454=$F$3),'ORDENES'!$AA454=TRUE,'ORDENES'!$A454&lt;&gt;""),1,0)</f>
        <v/>
      </c>
      <c r="L458" s="3">
        <f>IF(K458=1,IFERROR(MATCH('ORDENES'!$R454,lista_dias,0),9)*1000000000+IFERROR(MATCH('ORDENES'!$AC454,lista_turnos,0),9)*10000000+IFERROR(MATCH('ORDENES'!$AB454,'TECNICOS'!$B$4:$B$15,0),99)*100000+451,9000000000000+451)</f>
        <v/>
      </c>
      <c r="M458" s="3">
        <f>IF(K458=1,SUMPRODUCT(--($L$8:$L$1207&lt;L458))+1,"")</f>
        <v/>
      </c>
      <c r="N458" s="17">
        <f>IF(K458=1,N('ORDENES'!$M454),0)</f>
        <v/>
      </c>
      <c r="O458" s="17">
        <f>IF('ORDENES'!$S454="preventiva",N458,0)</f>
        <v/>
      </c>
      <c r="P458" s="17">
        <f>IF('ORDENES'!$S454="correctiva",N458,0)</f>
        <v/>
      </c>
      <c r="Q458" s="3">
        <f>IF(AND(K458=1,'ORDENES'!$N454="Pendiente"),1,0)</f>
        <v/>
      </c>
      <c r="R458" s="3">
        <f>IF(Q458=1,100000-N458*1000+451*0.01,9000000000000+451)</f>
        <v/>
      </c>
      <c r="S458" s="3">
        <f>IF(Q458=1,SUMPRODUCT(--($R$8:$R$1207&lt;R458))+1,"")</f>
        <v/>
      </c>
      <c r="T458" s="11">
        <f>IF(K458=1,'ORDENES'!$J454,"")</f>
        <v/>
      </c>
    </row>
    <row r="459">
      <c r="K459" s="3">
        <f>IF(AND(IF($B$3="(todos)",TRUE,'ORDENES'!$O455=$B$3),IF($D$3="(todos)",TRUE,'ORDENES'!$AC455=$D$3),IF($F$3="(todos)",TRUE,'ORDENES'!$V455=$F$3),'ORDENES'!$AA455=TRUE,'ORDENES'!$A455&lt;&gt;""),1,0)</f>
        <v/>
      </c>
      <c r="L459" s="3">
        <f>IF(K459=1,IFERROR(MATCH('ORDENES'!$R455,lista_dias,0),9)*1000000000+IFERROR(MATCH('ORDENES'!$AC455,lista_turnos,0),9)*10000000+IFERROR(MATCH('ORDENES'!$AB455,'TECNICOS'!$B$4:$B$15,0),99)*100000+452,9000000000000+452)</f>
        <v/>
      </c>
      <c r="M459" s="3">
        <f>IF(K459=1,SUMPRODUCT(--($L$8:$L$1207&lt;L459))+1,"")</f>
        <v/>
      </c>
      <c r="N459" s="17">
        <f>IF(K459=1,N('ORDENES'!$M455),0)</f>
        <v/>
      </c>
      <c r="O459" s="17">
        <f>IF('ORDENES'!$S455="preventiva",N459,0)</f>
        <v/>
      </c>
      <c r="P459" s="17">
        <f>IF('ORDENES'!$S455="correctiva",N459,0)</f>
        <v/>
      </c>
      <c r="Q459" s="3">
        <f>IF(AND(K459=1,'ORDENES'!$N455="Pendiente"),1,0)</f>
        <v/>
      </c>
      <c r="R459" s="3">
        <f>IF(Q459=1,100000-N459*1000+452*0.01,9000000000000+452)</f>
        <v/>
      </c>
      <c r="S459" s="3">
        <f>IF(Q459=1,SUMPRODUCT(--($R$8:$R$1207&lt;R459))+1,"")</f>
        <v/>
      </c>
      <c r="T459" s="11">
        <f>IF(K459=1,'ORDENES'!$J455,"")</f>
        <v/>
      </c>
    </row>
    <row r="460">
      <c r="K460" s="3">
        <f>IF(AND(IF($B$3="(todos)",TRUE,'ORDENES'!$O456=$B$3),IF($D$3="(todos)",TRUE,'ORDENES'!$AC456=$D$3),IF($F$3="(todos)",TRUE,'ORDENES'!$V456=$F$3),'ORDENES'!$AA456=TRUE,'ORDENES'!$A456&lt;&gt;""),1,0)</f>
        <v/>
      </c>
      <c r="L460" s="3">
        <f>IF(K460=1,IFERROR(MATCH('ORDENES'!$R456,lista_dias,0),9)*1000000000+IFERROR(MATCH('ORDENES'!$AC456,lista_turnos,0),9)*10000000+IFERROR(MATCH('ORDENES'!$AB456,'TECNICOS'!$B$4:$B$15,0),99)*100000+453,9000000000000+453)</f>
        <v/>
      </c>
      <c r="M460" s="3">
        <f>IF(K460=1,SUMPRODUCT(--($L$8:$L$1207&lt;L460))+1,"")</f>
        <v/>
      </c>
      <c r="N460" s="17">
        <f>IF(K460=1,N('ORDENES'!$M456),0)</f>
        <v/>
      </c>
      <c r="O460" s="17">
        <f>IF('ORDENES'!$S456="preventiva",N460,0)</f>
        <v/>
      </c>
      <c r="P460" s="17">
        <f>IF('ORDENES'!$S456="correctiva",N460,0)</f>
        <v/>
      </c>
      <c r="Q460" s="3">
        <f>IF(AND(K460=1,'ORDENES'!$N456="Pendiente"),1,0)</f>
        <v/>
      </c>
      <c r="R460" s="3">
        <f>IF(Q460=1,100000-N460*1000+453*0.01,9000000000000+453)</f>
        <v/>
      </c>
      <c r="S460" s="3">
        <f>IF(Q460=1,SUMPRODUCT(--($R$8:$R$1207&lt;R460))+1,"")</f>
        <v/>
      </c>
      <c r="T460" s="11">
        <f>IF(K460=1,'ORDENES'!$J456,"")</f>
        <v/>
      </c>
    </row>
    <row r="461">
      <c r="K461" s="3">
        <f>IF(AND(IF($B$3="(todos)",TRUE,'ORDENES'!$O457=$B$3),IF($D$3="(todos)",TRUE,'ORDENES'!$AC457=$D$3),IF($F$3="(todos)",TRUE,'ORDENES'!$V457=$F$3),'ORDENES'!$AA457=TRUE,'ORDENES'!$A457&lt;&gt;""),1,0)</f>
        <v/>
      </c>
      <c r="L461" s="3">
        <f>IF(K461=1,IFERROR(MATCH('ORDENES'!$R457,lista_dias,0),9)*1000000000+IFERROR(MATCH('ORDENES'!$AC457,lista_turnos,0),9)*10000000+IFERROR(MATCH('ORDENES'!$AB457,'TECNICOS'!$B$4:$B$15,0),99)*100000+454,9000000000000+454)</f>
        <v/>
      </c>
      <c r="M461" s="3">
        <f>IF(K461=1,SUMPRODUCT(--($L$8:$L$1207&lt;L461))+1,"")</f>
        <v/>
      </c>
      <c r="N461" s="17">
        <f>IF(K461=1,N('ORDENES'!$M457),0)</f>
        <v/>
      </c>
      <c r="O461" s="17">
        <f>IF('ORDENES'!$S457="preventiva",N461,0)</f>
        <v/>
      </c>
      <c r="P461" s="17">
        <f>IF('ORDENES'!$S457="correctiva",N461,0)</f>
        <v/>
      </c>
      <c r="Q461" s="3">
        <f>IF(AND(K461=1,'ORDENES'!$N457="Pendiente"),1,0)</f>
        <v/>
      </c>
      <c r="R461" s="3">
        <f>IF(Q461=1,100000-N461*1000+454*0.01,9000000000000+454)</f>
        <v/>
      </c>
      <c r="S461" s="3">
        <f>IF(Q461=1,SUMPRODUCT(--($R$8:$R$1207&lt;R461))+1,"")</f>
        <v/>
      </c>
      <c r="T461" s="11">
        <f>IF(K461=1,'ORDENES'!$J457,"")</f>
        <v/>
      </c>
    </row>
    <row r="462">
      <c r="K462" s="3">
        <f>IF(AND(IF($B$3="(todos)",TRUE,'ORDENES'!$O458=$B$3),IF($D$3="(todos)",TRUE,'ORDENES'!$AC458=$D$3),IF($F$3="(todos)",TRUE,'ORDENES'!$V458=$F$3),'ORDENES'!$AA458=TRUE,'ORDENES'!$A458&lt;&gt;""),1,0)</f>
        <v/>
      </c>
      <c r="L462" s="3">
        <f>IF(K462=1,IFERROR(MATCH('ORDENES'!$R458,lista_dias,0),9)*1000000000+IFERROR(MATCH('ORDENES'!$AC458,lista_turnos,0),9)*10000000+IFERROR(MATCH('ORDENES'!$AB458,'TECNICOS'!$B$4:$B$15,0),99)*100000+455,9000000000000+455)</f>
        <v/>
      </c>
      <c r="M462" s="3">
        <f>IF(K462=1,SUMPRODUCT(--($L$8:$L$1207&lt;L462))+1,"")</f>
        <v/>
      </c>
      <c r="N462" s="17">
        <f>IF(K462=1,N('ORDENES'!$M458),0)</f>
        <v/>
      </c>
      <c r="O462" s="17">
        <f>IF('ORDENES'!$S458="preventiva",N462,0)</f>
        <v/>
      </c>
      <c r="P462" s="17">
        <f>IF('ORDENES'!$S458="correctiva",N462,0)</f>
        <v/>
      </c>
      <c r="Q462" s="3">
        <f>IF(AND(K462=1,'ORDENES'!$N458="Pendiente"),1,0)</f>
        <v/>
      </c>
      <c r="R462" s="3">
        <f>IF(Q462=1,100000-N462*1000+455*0.01,9000000000000+455)</f>
        <v/>
      </c>
      <c r="S462" s="3">
        <f>IF(Q462=1,SUMPRODUCT(--($R$8:$R$1207&lt;R462))+1,"")</f>
        <v/>
      </c>
      <c r="T462" s="11">
        <f>IF(K462=1,'ORDENES'!$J458,"")</f>
        <v/>
      </c>
    </row>
    <row r="463">
      <c r="K463" s="3">
        <f>IF(AND(IF($B$3="(todos)",TRUE,'ORDENES'!$O459=$B$3),IF($D$3="(todos)",TRUE,'ORDENES'!$AC459=$D$3),IF($F$3="(todos)",TRUE,'ORDENES'!$V459=$F$3),'ORDENES'!$AA459=TRUE,'ORDENES'!$A459&lt;&gt;""),1,0)</f>
        <v/>
      </c>
      <c r="L463" s="3">
        <f>IF(K463=1,IFERROR(MATCH('ORDENES'!$R459,lista_dias,0),9)*1000000000+IFERROR(MATCH('ORDENES'!$AC459,lista_turnos,0),9)*10000000+IFERROR(MATCH('ORDENES'!$AB459,'TECNICOS'!$B$4:$B$15,0),99)*100000+456,9000000000000+456)</f>
        <v/>
      </c>
      <c r="M463" s="3">
        <f>IF(K463=1,SUMPRODUCT(--($L$8:$L$1207&lt;L463))+1,"")</f>
        <v/>
      </c>
      <c r="N463" s="17">
        <f>IF(K463=1,N('ORDENES'!$M459),0)</f>
        <v/>
      </c>
      <c r="O463" s="17">
        <f>IF('ORDENES'!$S459="preventiva",N463,0)</f>
        <v/>
      </c>
      <c r="P463" s="17">
        <f>IF('ORDENES'!$S459="correctiva",N463,0)</f>
        <v/>
      </c>
      <c r="Q463" s="3">
        <f>IF(AND(K463=1,'ORDENES'!$N459="Pendiente"),1,0)</f>
        <v/>
      </c>
      <c r="R463" s="3">
        <f>IF(Q463=1,100000-N463*1000+456*0.01,9000000000000+456)</f>
        <v/>
      </c>
      <c r="S463" s="3">
        <f>IF(Q463=1,SUMPRODUCT(--($R$8:$R$1207&lt;R463))+1,"")</f>
        <v/>
      </c>
      <c r="T463" s="11">
        <f>IF(K463=1,'ORDENES'!$J459,"")</f>
        <v/>
      </c>
    </row>
    <row r="464">
      <c r="K464" s="3">
        <f>IF(AND(IF($B$3="(todos)",TRUE,'ORDENES'!$O460=$B$3),IF($D$3="(todos)",TRUE,'ORDENES'!$AC460=$D$3),IF($F$3="(todos)",TRUE,'ORDENES'!$V460=$F$3),'ORDENES'!$AA460=TRUE,'ORDENES'!$A460&lt;&gt;""),1,0)</f>
        <v/>
      </c>
      <c r="L464" s="3">
        <f>IF(K464=1,IFERROR(MATCH('ORDENES'!$R460,lista_dias,0),9)*1000000000+IFERROR(MATCH('ORDENES'!$AC460,lista_turnos,0),9)*10000000+IFERROR(MATCH('ORDENES'!$AB460,'TECNICOS'!$B$4:$B$15,0),99)*100000+457,9000000000000+457)</f>
        <v/>
      </c>
      <c r="M464" s="3">
        <f>IF(K464=1,SUMPRODUCT(--($L$8:$L$1207&lt;L464))+1,"")</f>
        <v/>
      </c>
      <c r="N464" s="17">
        <f>IF(K464=1,N('ORDENES'!$M460),0)</f>
        <v/>
      </c>
      <c r="O464" s="17">
        <f>IF('ORDENES'!$S460="preventiva",N464,0)</f>
        <v/>
      </c>
      <c r="P464" s="17">
        <f>IF('ORDENES'!$S460="correctiva",N464,0)</f>
        <v/>
      </c>
      <c r="Q464" s="3">
        <f>IF(AND(K464=1,'ORDENES'!$N460="Pendiente"),1,0)</f>
        <v/>
      </c>
      <c r="R464" s="3">
        <f>IF(Q464=1,100000-N464*1000+457*0.01,9000000000000+457)</f>
        <v/>
      </c>
      <c r="S464" s="3">
        <f>IF(Q464=1,SUMPRODUCT(--($R$8:$R$1207&lt;R464))+1,"")</f>
        <v/>
      </c>
      <c r="T464" s="11">
        <f>IF(K464=1,'ORDENES'!$J460,"")</f>
        <v/>
      </c>
    </row>
    <row r="465">
      <c r="K465" s="3">
        <f>IF(AND(IF($B$3="(todos)",TRUE,'ORDENES'!$O461=$B$3),IF($D$3="(todos)",TRUE,'ORDENES'!$AC461=$D$3),IF($F$3="(todos)",TRUE,'ORDENES'!$V461=$F$3),'ORDENES'!$AA461=TRUE,'ORDENES'!$A461&lt;&gt;""),1,0)</f>
        <v/>
      </c>
      <c r="L465" s="3">
        <f>IF(K465=1,IFERROR(MATCH('ORDENES'!$R461,lista_dias,0),9)*1000000000+IFERROR(MATCH('ORDENES'!$AC461,lista_turnos,0),9)*10000000+IFERROR(MATCH('ORDENES'!$AB461,'TECNICOS'!$B$4:$B$15,0),99)*100000+458,9000000000000+458)</f>
        <v/>
      </c>
      <c r="M465" s="3">
        <f>IF(K465=1,SUMPRODUCT(--($L$8:$L$1207&lt;L465))+1,"")</f>
        <v/>
      </c>
      <c r="N465" s="17">
        <f>IF(K465=1,N('ORDENES'!$M461),0)</f>
        <v/>
      </c>
      <c r="O465" s="17">
        <f>IF('ORDENES'!$S461="preventiva",N465,0)</f>
        <v/>
      </c>
      <c r="P465" s="17">
        <f>IF('ORDENES'!$S461="correctiva",N465,0)</f>
        <v/>
      </c>
      <c r="Q465" s="3">
        <f>IF(AND(K465=1,'ORDENES'!$N461="Pendiente"),1,0)</f>
        <v/>
      </c>
      <c r="R465" s="3">
        <f>IF(Q465=1,100000-N465*1000+458*0.01,9000000000000+458)</f>
        <v/>
      </c>
      <c r="S465" s="3">
        <f>IF(Q465=1,SUMPRODUCT(--($R$8:$R$1207&lt;R465))+1,"")</f>
        <v/>
      </c>
      <c r="T465" s="11">
        <f>IF(K465=1,'ORDENES'!$J461,"")</f>
        <v/>
      </c>
    </row>
    <row r="466">
      <c r="K466" s="3">
        <f>IF(AND(IF($B$3="(todos)",TRUE,'ORDENES'!$O462=$B$3),IF($D$3="(todos)",TRUE,'ORDENES'!$AC462=$D$3),IF($F$3="(todos)",TRUE,'ORDENES'!$V462=$F$3),'ORDENES'!$AA462=TRUE,'ORDENES'!$A462&lt;&gt;""),1,0)</f>
        <v/>
      </c>
      <c r="L466" s="3">
        <f>IF(K466=1,IFERROR(MATCH('ORDENES'!$R462,lista_dias,0),9)*1000000000+IFERROR(MATCH('ORDENES'!$AC462,lista_turnos,0),9)*10000000+IFERROR(MATCH('ORDENES'!$AB462,'TECNICOS'!$B$4:$B$15,0),99)*100000+459,9000000000000+459)</f>
        <v/>
      </c>
      <c r="M466" s="3">
        <f>IF(K466=1,SUMPRODUCT(--($L$8:$L$1207&lt;L466))+1,"")</f>
        <v/>
      </c>
      <c r="N466" s="17">
        <f>IF(K466=1,N('ORDENES'!$M462),0)</f>
        <v/>
      </c>
      <c r="O466" s="17">
        <f>IF('ORDENES'!$S462="preventiva",N466,0)</f>
        <v/>
      </c>
      <c r="P466" s="17">
        <f>IF('ORDENES'!$S462="correctiva",N466,0)</f>
        <v/>
      </c>
      <c r="Q466" s="3">
        <f>IF(AND(K466=1,'ORDENES'!$N462="Pendiente"),1,0)</f>
        <v/>
      </c>
      <c r="R466" s="3">
        <f>IF(Q466=1,100000-N466*1000+459*0.01,9000000000000+459)</f>
        <v/>
      </c>
      <c r="S466" s="3">
        <f>IF(Q466=1,SUMPRODUCT(--($R$8:$R$1207&lt;R466))+1,"")</f>
        <v/>
      </c>
      <c r="T466" s="11">
        <f>IF(K466=1,'ORDENES'!$J462,"")</f>
        <v/>
      </c>
    </row>
    <row r="467">
      <c r="K467" s="3">
        <f>IF(AND(IF($B$3="(todos)",TRUE,'ORDENES'!$O463=$B$3),IF($D$3="(todos)",TRUE,'ORDENES'!$AC463=$D$3),IF($F$3="(todos)",TRUE,'ORDENES'!$V463=$F$3),'ORDENES'!$AA463=TRUE,'ORDENES'!$A463&lt;&gt;""),1,0)</f>
        <v/>
      </c>
      <c r="L467" s="3">
        <f>IF(K467=1,IFERROR(MATCH('ORDENES'!$R463,lista_dias,0),9)*1000000000+IFERROR(MATCH('ORDENES'!$AC463,lista_turnos,0),9)*10000000+IFERROR(MATCH('ORDENES'!$AB463,'TECNICOS'!$B$4:$B$15,0),99)*100000+460,9000000000000+460)</f>
        <v/>
      </c>
      <c r="M467" s="3">
        <f>IF(K467=1,SUMPRODUCT(--($L$8:$L$1207&lt;L467))+1,"")</f>
        <v/>
      </c>
      <c r="N467" s="17">
        <f>IF(K467=1,N('ORDENES'!$M463),0)</f>
        <v/>
      </c>
      <c r="O467" s="17">
        <f>IF('ORDENES'!$S463="preventiva",N467,0)</f>
        <v/>
      </c>
      <c r="P467" s="17">
        <f>IF('ORDENES'!$S463="correctiva",N467,0)</f>
        <v/>
      </c>
      <c r="Q467" s="3">
        <f>IF(AND(K467=1,'ORDENES'!$N463="Pendiente"),1,0)</f>
        <v/>
      </c>
      <c r="R467" s="3">
        <f>IF(Q467=1,100000-N467*1000+460*0.01,9000000000000+460)</f>
        <v/>
      </c>
      <c r="S467" s="3">
        <f>IF(Q467=1,SUMPRODUCT(--($R$8:$R$1207&lt;R467))+1,"")</f>
        <v/>
      </c>
      <c r="T467" s="11">
        <f>IF(K467=1,'ORDENES'!$J463,"")</f>
        <v/>
      </c>
    </row>
    <row r="468">
      <c r="K468" s="3">
        <f>IF(AND(IF($B$3="(todos)",TRUE,'ORDENES'!$O464=$B$3),IF($D$3="(todos)",TRUE,'ORDENES'!$AC464=$D$3),IF($F$3="(todos)",TRUE,'ORDENES'!$V464=$F$3),'ORDENES'!$AA464=TRUE,'ORDENES'!$A464&lt;&gt;""),1,0)</f>
        <v/>
      </c>
      <c r="L468" s="3">
        <f>IF(K468=1,IFERROR(MATCH('ORDENES'!$R464,lista_dias,0),9)*1000000000+IFERROR(MATCH('ORDENES'!$AC464,lista_turnos,0),9)*10000000+IFERROR(MATCH('ORDENES'!$AB464,'TECNICOS'!$B$4:$B$15,0),99)*100000+461,9000000000000+461)</f>
        <v/>
      </c>
      <c r="M468" s="3">
        <f>IF(K468=1,SUMPRODUCT(--($L$8:$L$1207&lt;L468))+1,"")</f>
        <v/>
      </c>
      <c r="N468" s="17">
        <f>IF(K468=1,N('ORDENES'!$M464),0)</f>
        <v/>
      </c>
      <c r="O468" s="17">
        <f>IF('ORDENES'!$S464="preventiva",N468,0)</f>
        <v/>
      </c>
      <c r="P468" s="17">
        <f>IF('ORDENES'!$S464="correctiva",N468,0)</f>
        <v/>
      </c>
      <c r="Q468" s="3">
        <f>IF(AND(K468=1,'ORDENES'!$N464="Pendiente"),1,0)</f>
        <v/>
      </c>
      <c r="R468" s="3">
        <f>IF(Q468=1,100000-N468*1000+461*0.01,9000000000000+461)</f>
        <v/>
      </c>
      <c r="S468" s="3">
        <f>IF(Q468=1,SUMPRODUCT(--($R$8:$R$1207&lt;R468))+1,"")</f>
        <v/>
      </c>
      <c r="T468" s="11">
        <f>IF(K468=1,'ORDENES'!$J464,"")</f>
        <v/>
      </c>
    </row>
    <row r="469">
      <c r="K469" s="3">
        <f>IF(AND(IF($B$3="(todos)",TRUE,'ORDENES'!$O465=$B$3),IF($D$3="(todos)",TRUE,'ORDENES'!$AC465=$D$3),IF($F$3="(todos)",TRUE,'ORDENES'!$V465=$F$3),'ORDENES'!$AA465=TRUE,'ORDENES'!$A465&lt;&gt;""),1,0)</f>
        <v/>
      </c>
      <c r="L469" s="3">
        <f>IF(K469=1,IFERROR(MATCH('ORDENES'!$R465,lista_dias,0),9)*1000000000+IFERROR(MATCH('ORDENES'!$AC465,lista_turnos,0),9)*10000000+IFERROR(MATCH('ORDENES'!$AB465,'TECNICOS'!$B$4:$B$15,0),99)*100000+462,9000000000000+462)</f>
        <v/>
      </c>
      <c r="M469" s="3">
        <f>IF(K469=1,SUMPRODUCT(--($L$8:$L$1207&lt;L469))+1,"")</f>
        <v/>
      </c>
      <c r="N469" s="17">
        <f>IF(K469=1,N('ORDENES'!$M465),0)</f>
        <v/>
      </c>
      <c r="O469" s="17">
        <f>IF('ORDENES'!$S465="preventiva",N469,0)</f>
        <v/>
      </c>
      <c r="P469" s="17">
        <f>IF('ORDENES'!$S465="correctiva",N469,0)</f>
        <v/>
      </c>
      <c r="Q469" s="3">
        <f>IF(AND(K469=1,'ORDENES'!$N465="Pendiente"),1,0)</f>
        <v/>
      </c>
      <c r="R469" s="3">
        <f>IF(Q469=1,100000-N469*1000+462*0.01,9000000000000+462)</f>
        <v/>
      </c>
      <c r="S469" s="3">
        <f>IF(Q469=1,SUMPRODUCT(--($R$8:$R$1207&lt;R469))+1,"")</f>
        <v/>
      </c>
      <c r="T469" s="11">
        <f>IF(K469=1,'ORDENES'!$J465,"")</f>
        <v/>
      </c>
    </row>
    <row r="470">
      <c r="K470" s="3">
        <f>IF(AND(IF($B$3="(todos)",TRUE,'ORDENES'!$O466=$B$3),IF($D$3="(todos)",TRUE,'ORDENES'!$AC466=$D$3),IF($F$3="(todos)",TRUE,'ORDENES'!$V466=$F$3),'ORDENES'!$AA466=TRUE,'ORDENES'!$A466&lt;&gt;""),1,0)</f>
        <v/>
      </c>
      <c r="L470" s="3">
        <f>IF(K470=1,IFERROR(MATCH('ORDENES'!$R466,lista_dias,0),9)*1000000000+IFERROR(MATCH('ORDENES'!$AC466,lista_turnos,0),9)*10000000+IFERROR(MATCH('ORDENES'!$AB466,'TECNICOS'!$B$4:$B$15,0),99)*100000+463,9000000000000+463)</f>
        <v/>
      </c>
      <c r="M470" s="3">
        <f>IF(K470=1,SUMPRODUCT(--($L$8:$L$1207&lt;L470))+1,"")</f>
        <v/>
      </c>
      <c r="N470" s="17">
        <f>IF(K470=1,N('ORDENES'!$M466),0)</f>
        <v/>
      </c>
      <c r="O470" s="17">
        <f>IF('ORDENES'!$S466="preventiva",N470,0)</f>
        <v/>
      </c>
      <c r="P470" s="17">
        <f>IF('ORDENES'!$S466="correctiva",N470,0)</f>
        <v/>
      </c>
      <c r="Q470" s="3">
        <f>IF(AND(K470=1,'ORDENES'!$N466="Pendiente"),1,0)</f>
        <v/>
      </c>
      <c r="R470" s="3">
        <f>IF(Q470=1,100000-N470*1000+463*0.01,9000000000000+463)</f>
        <v/>
      </c>
      <c r="S470" s="3">
        <f>IF(Q470=1,SUMPRODUCT(--($R$8:$R$1207&lt;R470))+1,"")</f>
        <v/>
      </c>
      <c r="T470" s="11">
        <f>IF(K470=1,'ORDENES'!$J466,"")</f>
        <v/>
      </c>
    </row>
    <row r="471">
      <c r="K471" s="3">
        <f>IF(AND(IF($B$3="(todos)",TRUE,'ORDENES'!$O467=$B$3),IF($D$3="(todos)",TRUE,'ORDENES'!$AC467=$D$3),IF($F$3="(todos)",TRUE,'ORDENES'!$V467=$F$3),'ORDENES'!$AA467=TRUE,'ORDENES'!$A467&lt;&gt;""),1,0)</f>
        <v/>
      </c>
      <c r="L471" s="3">
        <f>IF(K471=1,IFERROR(MATCH('ORDENES'!$R467,lista_dias,0),9)*1000000000+IFERROR(MATCH('ORDENES'!$AC467,lista_turnos,0),9)*10000000+IFERROR(MATCH('ORDENES'!$AB467,'TECNICOS'!$B$4:$B$15,0),99)*100000+464,9000000000000+464)</f>
        <v/>
      </c>
      <c r="M471" s="3">
        <f>IF(K471=1,SUMPRODUCT(--($L$8:$L$1207&lt;L471))+1,"")</f>
        <v/>
      </c>
      <c r="N471" s="17">
        <f>IF(K471=1,N('ORDENES'!$M467),0)</f>
        <v/>
      </c>
      <c r="O471" s="17">
        <f>IF('ORDENES'!$S467="preventiva",N471,0)</f>
        <v/>
      </c>
      <c r="P471" s="17">
        <f>IF('ORDENES'!$S467="correctiva",N471,0)</f>
        <v/>
      </c>
      <c r="Q471" s="3">
        <f>IF(AND(K471=1,'ORDENES'!$N467="Pendiente"),1,0)</f>
        <v/>
      </c>
      <c r="R471" s="3">
        <f>IF(Q471=1,100000-N471*1000+464*0.01,9000000000000+464)</f>
        <v/>
      </c>
      <c r="S471" s="3">
        <f>IF(Q471=1,SUMPRODUCT(--($R$8:$R$1207&lt;R471))+1,"")</f>
        <v/>
      </c>
      <c r="T471" s="11">
        <f>IF(K471=1,'ORDENES'!$J467,"")</f>
        <v/>
      </c>
    </row>
    <row r="472">
      <c r="K472" s="3">
        <f>IF(AND(IF($B$3="(todos)",TRUE,'ORDENES'!$O468=$B$3),IF($D$3="(todos)",TRUE,'ORDENES'!$AC468=$D$3),IF($F$3="(todos)",TRUE,'ORDENES'!$V468=$F$3),'ORDENES'!$AA468=TRUE,'ORDENES'!$A468&lt;&gt;""),1,0)</f>
        <v/>
      </c>
      <c r="L472" s="3">
        <f>IF(K472=1,IFERROR(MATCH('ORDENES'!$R468,lista_dias,0),9)*1000000000+IFERROR(MATCH('ORDENES'!$AC468,lista_turnos,0),9)*10000000+IFERROR(MATCH('ORDENES'!$AB468,'TECNICOS'!$B$4:$B$15,0),99)*100000+465,9000000000000+465)</f>
        <v/>
      </c>
      <c r="M472" s="3">
        <f>IF(K472=1,SUMPRODUCT(--($L$8:$L$1207&lt;L472))+1,"")</f>
        <v/>
      </c>
      <c r="N472" s="17">
        <f>IF(K472=1,N('ORDENES'!$M468),0)</f>
        <v/>
      </c>
      <c r="O472" s="17">
        <f>IF('ORDENES'!$S468="preventiva",N472,0)</f>
        <v/>
      </c>
      <c r="P472" s="17">
        <f>IF('ORDENES'!$S468="correctiva",N472,0)</f>
        <v/>
      </c>
      <c r="Q472" s="3">
        <f>IF(AND(K472=1,'ORDENES'!$N468="Pendiente"),1,0)</f>
        <v/>
      </c>
      <c r="R472" s="3">
        <f>IF(Q472=1,100000-N472*1000+465*0.01,9000000000000+465)</f>
        <v/>
      </c>
      <c r="S472" s="3">
        <f>IF(Q472=1,SUMPRODUCT(--($R$8:$R$1207&lt;R472))+1,"")</f>
        <v/>
      </c>
      <c r="T472" s="11">
        <f>IF(K472=1,'ORDENES'!$J468,"")</f>
        <v/>
      </c>
    </row>
    <row r="473">
      <c r="K473" s="3">
        <f>IF(AND(IF($B$3="(todos)",TRUE,'ORDENES'!$O469=$B$3),IF($D$3="(todos)",TRUE,'ORDENES'!$AC469=$D$3),IF($F$3="(todos)",TRUE,'ORDENES'!$V469=$F$3),'ORDENES'!$AA469=TRUE,'ORDENES'!$A469&lt;&gt;""),1,0)</f>
        <v/>
      </c>
      <c r="L473" s="3">
        <f>IF(K473=1,IFERROR(MATCH('ORDENES'!$R469,lista_dias,0),9)*1000000000+IFERROR(MATCH('ORDENES'!$AC469,lista_turnos,0),9)*10000000+IFERROR(MATCH('ORDENES'!$AB469,'TECNICOS'!$B$4:$B$15,0),99)*100000+466,9000000000000+466)</f>
        <v/>
      </c>
      <c r="M473" s="3">
        <f>IF(K473=1,SUMPRODUCT(--($L$8:$L$1207&lt;L473))+1,"")</f>
        <v/>
      </c>
      <c r="N473" s="17">
        <f>IF(K473=1,N('ORDENES'!$M469),0)</f>
        <v/>
      </c>
      <c r="O473" s="17">
        <f>IF('ORDENES'!$S469="preventiva",N473,0)</f>
        <v/>
      </c>
      <c r="P473" s="17">
        <f>IF('ORDENES'!$S469="correctiva",N473,0)</f>
        <v/>
      </c>
      <c r="Q473" s="3">
        <f>IF(AND(K473=1,'ORDENES'!$N469="Pendiente"),1,0)</f>
        <v/>
      </c>
      <c r="R473" s="3">
        <f>IF(Q473=1,100000-N473*1000+466*0.01,9000000000000+466)</f>
        <v/>
      </c>
      <c r="S473" s="3">
        <f>IF(Q473=1,SUMPRODUCT(--($R$8:$R$1207&lt;R473))+1,"")</f>
        <v/>
      </c>
      <c r="T473" s="11">
        <f>IF(K473=1,'ORDENES'!$J469,"")</f>
        <v/>
      </c>
    </row>
    <row r="474">
      <c r="K474" s="3">
        <f>IF(AND(IF($B$3="(todos)",TRUE,'ORDENES'!$O470=$B$3),IF($D$3="(todos)",TRUE,'ORDENES'!$AC470=$D$3),IF($F$3="(todos)",TRUE,'ORDENES'!$V470=$F$3),'ORDENES'!$AA470=TRUE,'ORDENES'!$A470&lt;&gt;""),1,0)</f>
        <v/>
      </c>
      <c r="L474" s="3">
        <f>IF(K474=1,IFERROR(MATCH('ORDENES'!$R470,lista_dias,0),9)*1000000000+IFERROR(MATCH('ORDENES'!$AC470,lista_turnos,0),9)*10000000+IFERROR(MATCH('ORDENES'!$AB470,'TECNICOS'!$B$4:$B$15,0),99)*100000+467,9000000000000+467)</f>
        <v/>
      </c>
      <c r="M474" s="3">
        <f>IF(K474=1,SUMPRODUCT(--($L$8:$L$1207&lt;L474))+1,"")</f>
        <v/>
      </c>
      <c r="N474" s="17">
        <f>IF(K474=1,N('ORDENES'!$M470),0)</f>
        <v/>
      </c>
      <c r="O474" s="17">
        <f>IF('ORDENES'!$S470="preventiva",N474,0)</f>
        <v/>
      </c>
      <c r="P474" s="17">
        <f>IF('ORDENES'!$S470="correctiva",N474,0)</f>
        <v/>
      </c>
      <c r="Q474" s="3">
        <f>IF(AND(K474=1,'ORDENES'!$N470="Pendiente"),1,0)</f>
        <v/>
      </c>
      <c r="R474" s="3">
        <f>IF(Q474=1,100000-N474*1000+467*0.01,9000000000000+467)</f>
        <v/>
      </c>
      <c r="S474" s="3">
        <f>IF(Q474=1,SUMPRODUCT(--($R$8:$R$1207&lt;R474))+1,"")</f>
        <v/>
      </c>
      <c r="T474" s="11">
        <f>IF(K474=1,'ORDENES'!$J470,"")</f>
        <v/>
      </c>
    </row>
    <row r="475">
      <c r="K475" s="3">
        <f>IF(AND(IF($B$3="(todos)",TRUE,'ORDENES'!$O471=$B$3),IF($D$3="(todos)",TRUE,'ORDENES'!$AC471=$D$3),IF($F$3="(todos)",TRUE,'ORDENES'!$V471=$F$3),'ORDENES'!$AA471=TRUE,'ORDENES'!$A471&lt;&gt;""),1,0)</f>
        <v/>
      </c>
      <c r="L475" s="3">
        <f>IF(K475=1,IFERROR(MATCH('ORDENES'!$R471,lista_dias,0),9)*1000000000+IFERROR(MATCH('ORDENES'!$AC471,lista_turnos,0),9)*10000000+IFERROR(MATCH('ORDENES'!$AB471,'TECNICOS'!$B$4:$B$15,0),99)*100000+468,9000000000000+468)</f>
        <v/>
      </c>
      <c r="M475" s="3">
        <f>IF(K475=1,SUMPRODUCT(--($L$8:$L$1207&lt;L475))+1,"")</f>
        <v/>
      </c>
      <c r="N475" s="17">
        <f>IF(K475=1,N('ORDENES'!$M471),0)</f>
        <v/>
      </c>
      <c r="O475" s="17">
        <f>IF('ORDENES'!$S471="preventiva",N475,0)</f>
        <v/>
      </c>
      <c r="P475" s="17">
        <f>IF('ORDENES'!$S471="correctiva",N475,0)</f>
        <v/>
      </c>
      <c r="Q475" s="3">
        <f>IF(AND(K475=1,'ORDENES'!$N471="Pendiente"),1,0)</f>
        <v/>
      </c>
      <c r="R475" s="3">
        <f>IF(Q475=1,100000-N475*1000+468*0.01,9000000000000+468)</f>
        <v/>
      </c>
      <c r="S475" s="3">
        <f>IF(Q475=1,SUMPRODUCT(--($R$8:$R$1207&lt;R475))+1,"")</f>
        <v/>
      </c>
      <c r="T475" s="11">
        <f>IF(K475=1,'ORDENES'!$J471,"")</f>
        <v/>
      </c>
    </row>
    <row r="476">
      <c r="K476" s="3">
        <f>IF(AND(IF($B$3="(todos)",TRUE,'ORDENES'!$O472=$B$3),IF($D$3="(todos)",TRUE,'ORDENES'!$AC472=$D$3),IF($F$3="(todos)",TRUE,'ORDENES'!$V472=$F$3),'ORDENES'!$AA472=TRUE,'ORDENES'!$A472&lt;&gt;""),1,0)</f>
        <v/>
      </c>
      <c r="L476" s="3">
        <f>IF(K476=1,IFERROR(MATCH('ORDENES'!$R472,lista_dias,0),9)*1000000000+IFERROR(MATCH('ORDENES'!$AC472,lista_turnos,0),9)*10000000+IFERROR(MATCH('ORDENES'!$AB472,'TECNICOS'!$B$4:$B$15,0),99)*100000+469,9000000000000+469)</f>
        <v/>
      </c>
      <c r="M476" s="3">
        <f>IF(K476=1,SUMPRODUCT(--($L$8:$L$1207&lt;L476))+1,"")</f>
        <v/>
      </c>
      <c r="N476" s="17">
        <f>IF(K476=1,N('ORDENES'!$M472),0)</f>
        <v/>
      </c>
      <c r="O476" s="17">
        <f>IF('ORDENES'!$S472="preventiva",N476,0)</f>
        <v/>
      </c>
      <c r="P476" s="17">
        <f>IF('ORDENES'!$S472="correctiva",N476,0)</f>
        <v/>
      </c>
      <c r="Q476" s="3">
        <f>IF(AND(K476=1,'ORDENES'!$N472="Pendiente"),1,0)</f>
        <v/>
      </c>
      <c r="R476" s="3">
        <f>IF(Q476=1,100000-N476*1000+469*0.01,9000000000000+469)</f>
        <v/>
      </c>
      <c r="S476" s="3">
        <f>IF(Q476=1,SUMPRODUCT(--($R$8:$R$1207&lt;R476))+1,"")</f>
        <v/>
      </c>
      <c r="T476" s="11">
        <f>IF(K476=1,'ORDENES'!$J472,"")</f>
        <v/>
      </c>
    </row>
    <row r="477">
      <c r="K477" s="3">
        <f>IF(AND(IF($B$3="(todos)",TRUE,'ORDENES'!$O473=$B$3),IF($D$3="(todos)",TRUE,'ORDENES'!$AC473=$D$3),IF($F$3="(todos)",TRUE,'ORDENES'!$V473=$F$3),'ORDENES'!$AA473=TRUE,'ORDENES'!$A473&lt;&gt;""),1,0)</f>
        <v/>
      </c>
      <c r="L477" s="3">
        <f>IF(K477=1,IFERROR(MATCH('ORDENES'!$R473,lista_dias,0),9)*1000000000+IFERROR(MATCH('ORDENES'!$AC473,lista_turnos,0),9)*10000000+IFERROR(MATCH('ORDENES'!$AB473,'TECNICOS'!$B$4:$B$15,0),99)*100000+470,9000000000000+470)</f>
        <v/>
      </c>
      <c r="M477" s="3">
        <f>IF(K477=1,SUMPRODUCT(--($L$8:$L$1207&lt;L477))+1,"")</f>
        <v/>
      </c>
      <c r="N477" s="17">
        <f>IF(K477=1,N('ORDENES'!$M473),0)</f>
        <v/>
      </c>
      <c r="O477" s="17">
        <f>IF('ORDENES'!$S473="preventiva",N477,0)</f>
        <v/>
      </c>
      <c r="P477" s="17">
        <f>IF('ORDENES'!$S473="correctiva",N477,0)</f>
        <v/>
      </c>
      <c r="Q477" s="3">
        <f>IF(AND(K477=1,'ORDENES'!$N473="Pendiente"),1,0)</f>
        <v/>
      </c>
      <c r="R477" s="3">
        <f>IF(Q477=1,100000-N477*1000+470*0.01,9000000000000+470)</f>
        <v/>
      </c>
      <c r="S477" s="3">
        <f>IF(Q477=1,SUMPRODUCT(--($R$8:$R$1207&lt;R477))+1,"")</f>
        <v/>
      </c>
      <c r="T477" s="11">
        <f>IF(K477=1,'ORDENES'!$J473,"")</f>
        <v/>
      </c>
    </row>
    <row r="478">
      <c r="K478" s="3">
        <f>IF(AND(IF($B$3="(todos)",TRUE,'ORDENES'!$O474=$B$3),IF($D$3="(todos)",TRUE,'ORDENES'!$AC474=$D$3),IF($F$3="(todos)",TRUE,'ORDENES'!$V474=$F$3),'ORDENES'!$AA474=TRUE,'ORDENES'!$A474&lt;&gt;""),1,0)</f>
        <v/>
      </c>
      <c r="L478" s="3">
        <f>IF(K478=1,IFERROR(MATCH('ORDENES'!$R474,lista_dias,0),9)*1000000000+IFERROR(MATCH('ORDENES'!$AC474,lista_turnos,0),9)*10000000+IFERROR(MATCH('ORDENES'!$AB474,'TECNICOS'!$B$4:$B$15,0),99)*100000+471,9000000000000+471)</f>
        <v/>
      </c>
      <c r="M478" s="3">
        <f>IF(K478=1,SUMPRODUCT(--($L$8:$L$1207&lt;L478))+1,"")</f>
        <v/>
      </c>
      <c r="N478" s="17">
        <f>IF(K478=1,N('ORDENES'!$M474),0)</f>
        <v/>
      </c>
      <c r="O478" s="17">
        <f>IF('ORDENES'!$S474="preventiva",N478,0)</f>
        <v/>
      </c>
      <c r="P478" s="17">
        <f>IF('ORDENES'!$S474="correctiva",N478,0)</f>
        <v/>
      </c>
      <c r="Q478" s="3">
        <f>IF(AND(K478=1,'ORDENES'!$N474="Pendiente"),1,0)</f>
        <v/>
      </c>
      <c r="R478" s="3">
        <f>IF(Q478=1,100000-N478*1000+471*0.01,9000000000000+471)</f>
        <v/>
      </c>
      <c r="S478" s="3">
        <f>IF(Q478=1,SUMPRODUCT(--($R$8:$R$1207&lt;R478))+1,"")</f>
        <v/>
      </c>
      <c r="T478" s="11">
        <f>IF(K478=1,'ORDENES'!$J474,"")</f>
        <v/>
      </c>
    </row>
    <row r="479">
      <c r="K479" s="3">
        <f>IF(AND(IF($B$3="(todos)",TRUE,'ORDENES'!$O475=$B$3),IF($D$3="(todos)",TRUE,'ORDENES'!$AC475=$D$3),IF($F$3="(todos)",TRUE,'ORDENES'!$V475=$F$3),'ORDENES'!$AA475=TRUE,'ORDENES'!$A475&lt;&gt;""),1,0)</f>
        <v/>
      </c>
      <c r="L479" s="3">
        <f>IF(K479=1,IFERROR(MATCH('ORDENES'!$R475,lista_dias,0),9)*1000000000+IFERROR(MATCH('ORDENES'!$AC475,lista_turnos,0),9)*10000000+IFERROR(MATCH('ORDENES'!$AB475,'TECNICOS'!$B$4:$B$15,0),99)*100000+472,9000000000000+472)</f>
        <v/>
      </c>
      <c r="M479" s="3">
        <f>IF(K479=1,SUMPRODUCT(--($L$8:$L$1207&lt;L479))+1,"")</f>
        <v/>
      </c>
      <c r="N479" s="17">
        <f>IF(K479=1,N('ORDENES'!$M475),0)</f>
        <v/>
      </c>
      <c r="O479" s="17">
        <f>IF('ORDENES'!$S475="preventiva",N479,0)</f>
        <v/>
      </c>
      <c r="P479" s="17">
        <f>IF('ORDENES'!$S475="correctiva",N479,0)</f>
        <v/>
      </c>
      <c r="Q479" s="3">
        <f>IF(AND(K479=1,'ORDENES'!$N475="Pendiente"),1,0)</f>
        <v/>
      </c>
      <c r="R479" s="3">
        <f>IF(Q479=1,100000-N479*1000+472*0.01,9000000000000+472)</f>
        <v/>
      </c>
      <c r="S479" s="3">
        <f>IF(Q479=1,SUMPRODUCT(--($R$8:$R$1207&lt;R479))+1,"")</f>
        <v/>
      </c>
      <c r="T479" s="11">
        <f>IF(K479=1,'ORDENES'!$J475,"")</f>
        <v/>
      </c>
    </row>
    <row r="480">
      <c r="K480" s="3">
        <f>IF(AND(IF($B$3="(todos)",TRUE,'ORDENES'!$O476=$B$3),IF($D$3="(todos)",TRUE,'ORDENES'!$AC476=$D$3),IF($F$3="(todos)",TRUE,'ORDENES'!$V476=$F$3),'ORDENES'!$AA476=TRUE,'ORDENES'!$A476&lt;&gt;""),1,0)</f>
        <v/>
      </c>
      <c r="L480" s="3">
        <f>IF(K480=1,IFERROR(MATCH('ORDENES'!$R476,lista_dias,0),9)*1000000000+IFERROR(MATCH('ORDENES'!$AC476,lista_turnos,0),9)*10000000+IFERROR(MATCH('ORDENES'!$AB476,'TECNICOS'!$B$4:$B$15,0),99)*100000+473,9000000000000+473)</f>
        <v/>
      </c>
      <c r="M480" s="3">
        <f>IF(K480=1,SUMPRODUCT(--($L$8:$L$1207&lt;L480))+1,"")</f>
        <v/>
      </c>
      <c r="N480" s="17">
        <f>IF(K480=1,N('ORDENES'!$M476),0)</f>
        <v/>
      </c>
      <c r="O480" s="17">
        <f>IF('ORDENES'!$S476="preventiva",N480,0)</f>
        <v/>
      </c>
      <c r="P480" s="17">
        <f>IF('ORDENES'!$S476="correctiva",N480,0)</f>
        <v/>
      </c>
      <c r="Q480" s="3">
        <f>IF(AND(K480=1,'ORDENES'!$N476="Pendiente"),1,0)</f>
        <v/>
      </c>
      <c r="R480" s="3">
        <f>IF(Q480=1,100000-N480*1000+473*0.01,9000000000000+473)</f>
        <v/>
      </c>
      <c r="S480" s="3">
        <f>IF(Q480=1,SUMPRODUCT(--($R$8:$R$1207&lt;R480))+1,"")</f>
        <v/>
      </c>
      <c r="T480" s="11">
        <f>IF(K480=1,'ORDENES'!$J476,"")</f>
        <v/>
      </c>
    </row>
    <row r="481">
      <c r="K481" s="3">
        <f>IF(AND(IF($B$3="(todos)",TRUE,'ORDENES'!$O477=$B$3),IF($D$3="(todos)",TRUE,'ORDENES'!$AC477=$D$3),IF($F$3="(todos)",TRUE,'ORDENES'!$V477=$F$3),'ORDENES'!$AA477=TRUE,'ORDENES'!$A477&lt;&gt;""),1,0)</f>
        <v/>
      </c>
      <c r="L481" s="3">
        <f>IF(K481=1,IFERROR(MATCH('ORDENES'!$R477,lista_dias,0),9)*1000000000+IFERROR(MATCH('ORDENES'!$AC477,lista_turnos,0),9)*10000000+IFERROR(MATCH('ORDENES'!$AB477,'TECNICOS'!$B$4:$B$15,0),99)*100000+474,9000000000000+474)</f>
        <v/>
      </c>
      <c r="M481" s="3">
        <f>IF(K481=1,SUMPRODUCT(--($L$8:$L$1207&lt;L481))+1,"")</f>
        <v/>
      </c>
      <c r="N481" s="17">
        <f>IF(K481=1,N('ORDENES'!$M477),0)</f>
        <v/>
      </c>
      <c r="O481" s="17">
        <f>IF('ORDENES'!$S477="preventiva",N481,0)</f>
        <v/>
      </c>
      <c r="P481" s="17">
        <f>IF('ORDENES'!$S477="correctiva",N481,0)</f>
        <v/>
      </c>
      <c r="Q481" s="3">
        <f>IF(AND(K481=1,'ORDENES'!$N477="Pendiente"),1,0)</f>
        <v/>
      </c>
      <c r="R481" s="3">
        <f>IF(Q481=1,100000-N481*1000+474*0.01,9000000000000+474)</f>
        <v/>
      </c>
      <c r="S481" s="3">
        <f>IF(Q481=1,SUMPRODUCT(--($R$8:$R$1207&lt;R481))+1,"")</f>
        <v/>
      </c>
      <c r="T481" s="11">
        <f>IF(K481=1,'ORDENES'!$J477,"")</f>
        <v/>
      </c>
    </row>
    <row r="482">
      <c r="K482" s="3">
        <f>IF(AND(IF($B$3="(todos)",TRUE,'ORDENES'!$O478=$B$3),IF($D$3="(todos)",TRUE,'ORDENES'!$AC478=$D$3),IF($F$3="(todos)",TRUE,'ORDENES'!$V478=$F$3),'ORDENES'!$AA478=TRUE,'ORDENES'!$A478&lt;&gt;""),1,0)</f>
        <v/>
      </c>
      <c r="L482" s="3">
        <f>IF(K482=1,IFERROR(MATCH('ORDENES'!$R478,lista_dias,0),9)*1000000000+IFERROR(MATCH('ORDENES'!$AC478,lista_turnos,0),9)*10000000+IFERROR(MATCH('ORDENES'!$AB478,'TECNICOS'!$B$4:$B$15,0),99)*100000+475,9000000000000+475)</f>
        <v/>
      </c>
      <c r="M482" s="3">
        <f>IF(K482=1,SUMPRODUCT(--($L$8:$L$1207&lt;L482))+1,"")</f>
        <v/>
      </c>
      <c r="N482" s="17">
        <f>IF(K482=1,N('ORDENES'!$M478),0)</f>
        <v/>
      </c>
      <c r="O482" s="17">
        <f>IF('ORDENES'!$S478="preventiva",N482,0)</f>
        <v/>
      </c>
      <c r="P482" s="17">
        <f>IF('ORDENES'!$S478="correctiva",N482,0)</f>
        <v/>
      </c>
      <c r="Q482" s="3">
        <f>IF(AND(K482=1,'ORDENES'!$N478="Pendiente"),1,0)</f>
        <v/>
      </c>
      <c r="R482" s="3">
        <f>IF(Q482=1,100000-N482*1000+475*0.01,9000000000000+475)</f>
        <v/>
      </c>
      <c r="S482" s="3">
        <f>IF(Q482=1,SUMPRODUCT(--($R$8:$R$1207&lt;R482))+1,"")</f>
        <v/>
      </c>
      <c r="T482" s="11">
        <f>IF(K482=1,'ORDENES'!$J478,"")</f>
        <v/>
      </c>
    </row>
    <row r="483">
      <c r="K483" s="3">
        <f>IF(AND(IF($B$3="(todos)",TRUE,'ORDENES'!$O479=$B$3),IF($D$3="(todos)",TRUE,'ORDENES'!$AC479=$D$3),IF($F$3="(todos)",TRUE,'ORDENES'!$V479=$F$3),'ORDENES'!$AA479=TRUE,'ORDENES'!$A479&lt;&gt;""),1,0)</f>
        <v/>
      </c>
      <c r="L483" s="3">
        <f>IF(K483=1,IFERROR(MATCH('ORDENES'!$R479,lista_dias,0),9)*1000000000+IFERROR(MATCH('ORDENES'!$AC479,lista_turnos,0),9)*10000000+IFERROR(MATCH('ORDENES'!$AB479,'TECNICOS'!$B$4:$B$15,0),99)*100000+476,9000000000000+476)</f>
        <v/>
      </c>
      <c r="M483" s="3">
        <f>IF(K483=1,SUMPRODUCT(--($L$8:$L$1207&lt;L483))+1,"")</f>
        <v/>
      </c>
      <c r="N483" s="17">
        <f>IF(K483=1,N('ORDENES'!$M479),0)</f>
        <v/>
      </c>
      <c r="O483" s="17">
        <f>IF('ORDENES'!$S479="preventiva",N483,0)</f>
        <v/>
      </c>
      <c r="P483" s="17">
        <f>IF('ORDENES'!$S479="correctiva",N483,0)</f>
        <v/>
      </c>
      <c r="Q483" s="3">
        <f>IF(AND(K483=1,'ORDENES'!$N479="Pendiente"),1,0)</f>
        <v/>
      </c>
      <c r="R483" s="3">
        <f>IF(Q483=1,100000-N483*1000+476*0.01,9000000000000+476)</f>
        <v/>
      </c>
      <c r="S483" s="3">
        <f>IF(Q483=1,SUMPRODUCT(--($R$8:$R$1207&lt;R483))+1,"")</f>
        <v/>
      </c>
      <c r="T483" s="11">
        <f>IF(K483=1,'ORDENES'!$J479,"")</f>
        <v/>
      </c>
    </row>
    <row r="484">
      <c r="K484" s="3">
        <f>IF(AND(IF($B$3="(todos)",TRUE,'ORDENES'!$O480=$B$3),IF($D$3="(todos)",TRUE,'ORDENES'!$AC480=$D$3),IF($F$3="(todos)",TRUE,'ORDENES'!$V480=$F$3),'ORDENES'!$AA480=TRUE,'ORDENES'!$A480&lt;&gt;""),1,0)</f>
        <v/>
      </c>
      <c r="L484" s="3">
        <f>IF(K484=1,IFERROR(MATCH('ORDENES'!$R480,lista_dias,0),9)*1000000000+IFERROR(MATCH('ORDENES'!$AC480,lista_turnos,0),9)*10000000+IFERROR(MATCH('ORDENES'!$AB480,'TECNICOS'!$B$4:$B$15,0),99)*100000+477,9000000000000+477)</f>
        <v/>
      </c>
      <c r="M484" s="3">
        <f>IF(K484=1,SUMPRODUCT(--($L$8:$L$1207&lt;L484))+1,"")</f>
        <v/>
      </c>
      <c r="N484" s="17">
        <f>IF(K484=1,N('ORDENES'!$M480),0)</f>
        <v/>
      </c>
      <c r="O484" s="17">
        <f>IF('ORDENES'!$S480="preventiva",N484,0)</f>
        <v/>
      </c>
      <c r="P484" s="17">
        <f>IF('ORDENES'!$S480="correctiva",N484,0)</f>
        <v/>
      </c>
      <c r="Q484" s="3">
        <f>IF(AND(K484=1,'ORDENES'!$N480="Pendiente"),1,0)</f>
        <v/>
      </c>
      <c r="R484" s="3">
        <f>IF(Q484=1,100000-N484*1000+477*0.01,9000000000000+477)</f>
        <v/>
      </c>
      <c r="S484" s="3">
        <f>IF(Q484=1,SUMPRODUCT(--($R$8:$R$1207&lt;R484))+1,"")</f>
        <v/>
      </c>
      <c r="T484" s="11">
        <f>IF(K484=1,'ORDENES'!$J480,"")</f>
        <v/>
      </c>
    </row>
    <row r="485">
      <c r="K485" s="3">
        <f>IF(AND(IF($B$3="(todos)",TRUE,'ORDENES'!$O481=$B$3),IF($D$3="(todos)",TRUE,'ORDENES'!$AC481=$D$3),IF($F$3="(todos)",TRUE,'ORDENES'!$V481=$F$3),'ORDENES'!$AA481=TRUE,'ORDENES'!$A481&lt;&gt;""),1,0)</f>
        <v/>
      </c>
      <c r="L485" s="3">
        <f>IF(K485=1,IFERROR(MATCH('ORDENES'!$R481,lista_dias,0),9)*1000000000+IFERROR(MATCH('ORDENES'!$AC481,lista_turnos,0),9)*10000000+IFERROR(MATCH('ORDENES'!$AB481,'TECNICOS'!$B$4:$B$15,0),99)*100000+478,9000000000000+478)</f>
        <v/>
      </c>
      <c r="M485" s="3">
        <f>IF(K485=1,SUMPRODUCT(--($L$8:$L$1207&lt;L485))+1,"")</f>
        <v/>
      </c>
      <c r="N485" s="17">
        <f>IF(K485=1,N('ORDENES'!$M481),0)</f>
        <v/>
      </c>
      <c r="O485" s="17">
        <f>IF('ORDENES'!$S481="preventiva",N485,0)</f>
        <v/>
      </c>
      <c r="P485" s="17">
        <f>IF('ORDENES'!$S481="correctiva",N485,0)</f>
        <v/>
      </c>
      <c r="Q485" s="3">
        <f>IF(AND(K485=1,'ORDENES'!$N481="Pendiente"),1,0)</f>
        <v/>
      </c>
      <c r="R485" s="3">
        <f>IF(Q485=1,100000-N485*1000+478*0.01,9000000000000+478)</f>
        <v/>
      </c>
      <c r="S485" s="3">
        <f>IF(Q485=1,SUMPRODUCT(--($R$8:$R$1207&lt;R485))+1,"")</f>
        <v/>
      </c>
      <c r="T485" s="11">
        <f>IF(K485=1,'ORDENES'!$J481,"")</f>
        <v/>
      </c>
    </row>
    <row r="486">
      <c r="K486" s="3">
        <f>IF(AND(IF($B$3="(todos)",TRUE,'ORDENES'!$O482=$B$3),IF($D$3="(todos)",TRUE,'ORDENES'!$AC482=$D$3),IF($F$3="(todos)",TRUE,'ORDENES'!$V482=$F$3),'ORDENES'!$AA482=TRUE,'ORDENES'!$A482&lt;&gt;""),1,0)</f>
        <v/>
      </c>
      <c r="L486" s="3">
        <f>IF(K486=1,IFERROR(MATCH('ORDENES'!$R482,lista_dias,0),9)*1000000000+IFERROR(MATCH('ORDENES'!$AC482,lista_turnos,0),9)*10000000+IFERROR(MATCH('ORDENES'!$AB482,'TECNICOS'!$B$4:$B$15,0),99)*100000+479,9000000000000+479)</f>
        <v/>
      </c>
      <c r="M486" s="3">
        <f>IF(K486=1,SUMPRODUCT(--($L$8:$L$1207&lt;L486))+1,"")</f>
        <v/>
      </c>
      <c r="N486" s="17">
        <f>IF(K486=1,N('ORDENES'!$M482),0)</f>
        <v/>
      </c>
      <c r="O486" s="17">
        <f>IF('ORDENES'!$S482="preventiva",N486,0)</f>
        <v/>
      </c>
      <c r="P486" s="17">
        <f>IF('ORDENES'!$S482="correctiva",N486,0)</f>
        <v/>
      </c>
      <c r="Q486" s="3">
        <f>IF(AND(K486=1,'ORDENES'!$N482="Pendiente"),1,0)</f>
        <v/>
      </c>
      <c r="R486" s="3">
        <f>IF(Q486=1,100000-N486*1000+479*0.01,9000000000000+479)</f>
        <v/>
      </c>
      <c r="S486" s="3">
        <f>IF(Q486=1,SUMPRODUCT(--($R$8:$R$1207&lt;R486))+1,"")</f>
        <v/>
      </c>
      <c r="T486" s="11">
        <f>IF(K486=1,'ORDENES'!$J482,"")</f>
        <v/>
      </c>
    </row>
    <row r="487">
      <c r="K487" s="3">
        <f>IF(AND(IF($B$3="(todos)",TRUE,'ORDENES'!$O483=$B$3),IF($D$3="(todos)",TRUE,'ORDENES'!$AC483=$D$3),IF($F$3="(todos)",TRUE,'ORDENES'!$V483=$F$3),'ORDENES'!$AA483=TRUE,'ORDENES'!$A483&lt;&gt;""),1,0)</f>
        <v/>
      </c>
      <c r="L487" s="3">
        <f>IF(K487=1,IFERROR(MATCH('ORDENES'!$R483,lista_dias,0),9)*1000000000+IFERROR(MATCH('ORDENES'!$AC483,lista_turnos,0),9)*10000000+IFERROR(MATCH('ORDENES'!$AB483,'TECNICOS'!$B$4:$B$15,0),99)*100000+480,9000000000000+480)</f>
        <v/>
      </c>
      <c r="M487" s="3">
        <f>IF(K487=1,SUMPRODUCT(--($L$8:$L$1207&lt;L487))+1,"")</f>
        <v/>
      </c>
      <c r="N487" s="17">
        <f>IF(K487=1,N('ORDENES'!$M483),0)</f>
        <v/>
      </c>
      <c r="O487" s="17">
        <f>IF('ORDENES'!$S483="preventiva",N487,0)</f>
        <v/>
      </c>
      <c r="P487" s="17">
        <f>IF('ORDENES'!$S483="correctiva",N487,0)</f>
        <v/>
      </c>
      <c r="Q487" s="3">
        <f>IF(AND(K487=1,'ORDENES'!$N483="Pendiente"),1,0)</f>
        <v/>
      </c>
      <c r="R487" s="3">
        <f>IF(Q487=1,100000-N487*1000+480*0.01,9000000000000+480)</f>
        <v/>
      </c>
      <c r="S487" s="3">
        <f>IF(Q487=1,SUMPRODUCT(--($R$8:$R$1207&lt;R487))+1,"")</f>
        <v/>
      </c>
      <c r="T487" s="11">
        <f>IF(K487=1,'ORDENES'!$J483,"")</f>
        <v/>
      </c>
    </row>
    <row r="488">
      <c r="K488" s="3">
        <f>IF(AND(IF($B$3="(todos)",TRUE,'ORDENES'!$O484=$B$3),IF($D$3="(todos)",TRUE,'ORDENES'!$AC484=$D$3),IF($F$3="(todos)",TRUE,'ORDENES'!$V484=$F$3),'ORDENES'!$AA484=TRUE,'ORDENES'!$A484&lt;&gt;""),1,0)</f>
        <v/>
      </c>
      <c r="L488" s="3">
        <f>IF(K488=1,IFERROR(MATCH('ORDENES'!$R484,lista_dias,0),9)*1000000000+IFERROR(MATCH('ORDENES'!$AC484,lista_turnos,0),9)*10000000+IFERROR(MATCH('ORDENES'!$AB484,'TECNICOS'!$B$4:$B$15,0),99)*100000+481,9000000000000+481)</f>
        <v/>
      </c>
      <c r="M488" s="3">
        <f>IF(K488=1,SUMPRODUCT(--($L$8:$L$1207&lt;L488))+1,"")</f>
        <v/>
      </c>
      <c r="N488" s="17">
        <f>IF(K488=1,N('ORDENES'!$M484),0)</f>
        <v/>
      </c>
      <c r="O488" s="17">
        <f>IF('ORDENES'!$S484="preventiva",N488,0)</f>
        <v/>
      </c>
      <c r="P488" s="17">
        <f>IF('ORDENES'!$S484="correctiva",N488,0)</f>
        <v/>
      </c>
      <c r="Q488" s="3">
        <f>IF(AND(K488=1,'ORDENES'!$N484="Pendiente"),1,0)</f>
        <v/>
      </c>
      <c r="R488" s="3">
        <f>IF(Q488=1,100000-N488*1000+481*0.01,9000000000000+481)</f>
        <v/>
      </c>
      <c r="S488" s="3">
        <f>IF(Q488=1,SUMPRODUCT(--($R$8:$R$1207&lt;R488))+1,"")</f>
        <v/>
      </c>
      <c r="T488" s="11">
        <f>IF(K488=1,'ORDENES'!$J484,"")</f>
        <v/>
      </c>
    </row>
    <row r="489">
      <c r="K489" s="3">
        <f>IF(AND(IF($B$3="(todos)",TRUE,'ORDENES'!$O485=$B$3),IF($D$3="(todos)",TRUE,'ORDENES'!$AC485=$D$3),IF($F$3="(todos)",TRUE,'ORDENES'!$V485=$F$3),'ORDENES'!$AA485=TRUE,'ORDENES'!$A485&lt;&gt;""),1,0)</f>
        <v/>
      </c>
      <c r="L489" s="3">
        <f>IF(K489=1,IFERROR(MATCH('ORDENES'!$R485,lista_dias,0),9)*1000000000+IFERROR(MATCH('ORDENES'!$AC485,lista_turnos,0),9)*10000000+IFERROR(MATCH('ORDENES'!$AB485,'TECNICOS'!$B$4:$B$15,0),99)*100000+482,9000000000000+482)</f>
        <v/>
      </c>
      <c r="M489" s="3">
        <f>IF(K489=1,SUMPRODUCT(--($L$8:$L$1207&lt;L489))+1,"")</f>
        <v/>
      </c>
      <c r="N489" s="17">
        <f>IF(K489=1,N('ORDENES'!$M485),0)</f>
        <v/>
      </c>
      <c r="O489" s="17">
        <f>IF('ORDENES'!$S485="preventiva",N489,0)</f>
        <v/>
      </c>
      <c r="P489" s="17">
        <f>IF('ORDENES'!$S485="correctiva",N489,0)</f>
        <v/>
      </c>
      <c r="Q489" s="3">
        <f>IF(AND(K489=1,'ORDENES'!$N485="Pendiente"),1,0)</f>
        <v/>
      </c>
      <c r="R489" s="3">
        <f>IF(Q489=1,100000-N489*1000+482*0.01,9000000000000+482)</f>
        <v/>
      </c>
      <c r="S489" s="3">
        <f>IF(Q489=1,SUMPRODUCT(--($R$8:$R$1207&lt;R489))+1,"")</f>
        <v/>
      </c>
      <c r="T489" s="11">
        <f>IF(K489=1,'ORDENES'!$J485,"")</f>
        <v/>
      </c>
    </row>
    <row r="490">
      <c r="K490" s="3">
        <f>IF(AND(IF($B$3="(todos)",TRUE,'ORDENES'!$O486=$B$3),IF($D$3="(todos)",TRUE,'ORDENES'!$AC486=$D$3),IF($F$3="(todos)",TRUE,'ORDENES'!$V486=$F$3),'ORDENES'!$AA486=TRUE,'ORDENES'!$A486&lt;&gt;""),1,0)</f>
        <v/>
      </c>
      <c r="L490" s="3">
        <f>IF(K490=1,IFERROR(MATCH('ORDENES'!$R486,lista_dias,0),9)*1000000000+IFERROR(MATCH('ORDENES'!$AC486,lista_turnos,0),9)*10000000+IFERROR(MATCH('ORDENES'!$AB486,'TECNICOS'!$B$4:$B$15,0),99)*100000+483,9000000000000+483)</f>
        <v/>
      </c>
      <c r="M490" s="3">
        <f>IF(K490=1,SUMPRODUCT(--($L$8:$L$1207&lt;L490))+1,"")</f>
        <v/>
      </c>
      <c r="N490" s="17">
        <f>IF(K490=1,N('ORDENES'!$M486),0)</f>
        <v/>
      </c>
      <c r="O490" s="17">
        <f>IF('ORDENES'!$S486="preventiva",N490,0)</f>
        <v/>
      </c>
      <c r="P490" s="17">
        <f>IF('ORDENES'!$S486="correctiva",N490,0)</f>
        <v/>
      </c>
      <c r="Q490" s="3">
        <f>IF(AND(K490=1,'ORDENES'!$N486="Pendiente"),1,0)</f>
        <v/>
      </c>
      <c r="R490" s="3">
        <f>IF(Q490=1,100000-N490*1000+483*0.01,9000000000000+483)</f>
        <v/>
      </c>
      <c r="S490" s="3">
        <f>IF(Q490=1,SUMPRODUCT(--($R$8:$R$1207&lt;R490))+1,"")</f>
        <v/>
      </c>
      <c r="T490" s="11">
        <f>IF(K490=1,'ORDENES'!$J486,"")</f>
        <v/>
      </c>
    </row>
    <row r="491">
      <c r="K491" s="3">
        <f>IF(AND(IF($B$3="(todos)",TRUE,'ORDENES'!$O487=$B$3),IF($D$3="(todos)",TRUE,'ORDENES'!$AC487=$D$3),IF($F$3="(todos)",TRUE,'ORDENES'!$V487=$F$3),'ORDENES'!$AA487=TRUE,'ORDENES'!$A487&lt;&gt;""),1,0)</f>
        <v/>
      </c>
      <c r="L491" s="3">
        <f>IF(K491=1,IFERROR(MATCH('ORDENES'!$R487,lista_dias,0),9)*1000000000+IFERROR(MATCH('ORDENES'!$AC487,lista_turnos,0),9)*10000000+IFERROR(MATCH('ORDENES'!$AB487,'TECNICOS'!$B$4:$B$15,0),99)*100000+484,9000000000000+484)</f>
        <v/>
      </c>
      <c r="M491" s="3">
        <f>IF(K491=1,SUMPRODUCT(--($L$8:$L$1207&lt;L491))+1,"")</f>
        <v/>
      </c>
      <c r="N491" s="17">
        <f>IF(K491=1,N('ORDENES'!$M487),0)</f>
        <v/>
      </c>
      <c r="O491" s="17">
        <f>IF('ORDENES'!$S487="preventiva",N491,0)</f>
        <v/>
      </c>
      <c r="P491" s="17">
        <f>IF('ORDENES'!$S487="correctiva",N491,0)</f>
        <v/>
      </c>
      <c r="Q491" s="3">
        <f>IF(AND(K491=1,'ORDENES'!$N487="Pendiente"),1,0)</f>
        <v/>
      </c>
      <c r="R491" s="3">
        <f>IF(Q491=1,100000-N491*1000+484*0.01,9000000000000+484)</f>
        <v/>
      </c>
      <c r="S491" s="3">
        <f>IF(Q491=1,SUMPRODUCT(--($R$8:$R$1207&lt;R491))+1,"")</f>
        <v/>
      </c>
      <c r="T491" s="11">
        <f>IF(K491=1,'ORDENES'!$J487,"")</f>
        <v/>
      </c>
    </row>
    <row r="492">
      <c r="K492" s="3">
        <f>IF(AND(IF($B$3="(todos)",TRUE,'ORDENES'!$O488=$B$3),IF($D$3="(todos)",TRUE,'ORDENES'!$AC488=$D$3),IF($F$3="(todos)",TRUE,'ORDENES'!$V488=$F$3),'ORDENES'!$AA488=TRUE,'ORDENES'!$A488&lt;&gt;""),1,0)</f>
        <v/>
      </c>
      <c r="L492" s="3">
        <f>IF(K492=1,IFERROR(MATCH('ORDENES'!$R488,lista_dias,0),9)*1000000000+IFERROR(MATCH('ORDENES'!$AC488,lista_turnos,0),9)*10000000+IFERROR(MATCH('ORDENES'!$AB488,'TECNICOS'!$B$4:$B$15,0),99)*100000+485,9000000000000+485)</f>
        <v/>
      </c>
      <c r="M492" s="3">
        <f>IF(K492=1,SUMPRODUCT(--($L$8:$L$1207&lt;L492))+1,"")</f>
        <v/>
      </c>
      <c r="N492" s="17">
        <f>IF(K492=1,N('ORDENES'!$M488),0)</f>
        <v/>
      </c>
      <c r="O492" s="17">
        <f>IF('ORDENES'!$S488="preventiva",N492,0)</f>
        <v/>
      </c>
      <c r="P492" s="17">
        <f>IF('ORDENES'!$S488="correctiva",N492,0)</f>
        <v/>
      </c>
      <c r="Q492" s="3">
        <f>IF(AND(K492=1,'ORDENES'!$N488="Pendiente"),1,0)</f>
        <v/>
      </c>
      <c r="R492" s="3">
        <f>IF(Q492=1,100000-N492*1000+485*0.01,9000000000000+485)</f>
        <v/>
      </c>
      <c r="S492" s="3">
        <f>IF(Q492=1,SUMPRODUCT(--($R$8:$R$1207&lt;R492))+1,"")</f>
        <v/>
      </c>
      <c r="T492" s="11">
        <f>IF(K492=1,'ORDENES'!$J488,"")</f>
        <v/>
      </c>
    </row>
    <row r="493">
      <c r="K493" s="3">
        <f>IF(AND(IF($B$3="(todos)",TRUE,'ORDENES'!$O489=$B$3),IF($D$3="(todos)",TRUE,'ORDENES'!$AC489=$D$3),IF($F$3="(todos)",TRUE,'ORDENES'!$V489=$F$3),'ORDENES'!$AA489=TRUE,'ORDENES'!$A489&lt;&gt;""),1,0)</f>
        <v/>
      </c>
      <c r="L493" s="3">
        <f>IF(K493=1,IFERROR(MATCH('ORDENES'!$R489,lista_dias,0),9)*1000000000+IFERROR(MATCH('ORDENES'!$AC489,lista_turnos,0),9)*10000000+IFERROR(MATCH('ORDENES'!$AB489,'TECNICOS'!$B$4:$B$15,0),99)*100000+486,9000000000000+486)</f>
        <v/>
      </c>
      <c r="M493" s="3">
        <f>IF(K493=1,SUMPRODUCT(--($L$8:$L$1207&lt;L493))+1,"")</f>
        <v/>
      </c>
      <c r="N493" s="17">
        <f>IF(K493=1,N('ORDENES'!$M489),0)</f>
        <v/>
      </c>
      <c r="O493" s="17">
        <f>IF('ORDENES'!$S489="preventiva",N493,0)</f>
        <v/>
      </c>
      <c r="P493" s="17">
        <f>IF('ORDENES'!$S489="correctiva",N493,0)</f>
        <v/>
      </c>
      <c r="Q493" s="3">
        <f>IF(AND(K493=1,'ORDENES'!$N489="Pendiente"),1,0)</f>
        <v/>
      </c>
      <c r="R493" s="3">
        <f>IF(Q493=1,100000-N493*1000+486*0.01,9000000000000+486)</f>
        <v/>
      </c>
      <c r="S493" s="3">
        <f>IF(Q493=1,SUMPRODUCT(--($R$8:$R$1207&lt;R493))+1,"")</f>
        <v/>
      </c>
      <c r="T493" s="11">
        <f>IF(K493=1,'ORDENES'!$J489,"")</f>
        <v/>
      </c>
    </row>
    <row r="494">
      <c r="K494" s="3">
        <f>IF(AND(IF($B$3="(todos)",TRUE,'ORDENES'!$O490=$B$3),IF($D$3="(todos)",TRUE,'ORDENES'!$AC490=$D$3),IF($F$3="(todos)",TRUE,'ORDENES'!$V490=$F$3),'ORDENES'!$AA490=TRUE,'ORDENES'!$A490&lt;&gt;""),1,0)</f>
        <v/>
      </c>
      <c r="L494" s="3">
        <f>IF(K494=1,IFERROR(MATCH('ORDENES'!$R490,lista_dias,0),9)*1000000000+IFERROR(MATCH('ORDENES'!$AC490,lista_turnos,0),9)*10000000+IFERROR(MATCH('ORDENES'!$AB490,'TECNICOS'!$B$4:$B$15,0),99)*100000+487,9000000000000+487)</f>
        <v/>
      </c>
      <c r="M494" s="3">
        <f>IF(K494=1,SUMPRODUCT(--($L$8:$L$1207&lt;L494))+1,"")</f>
        <v/>
      </c>
      <c r="N494" s="17">
        <f>IF(K494=1,N('ORDENES'!$M490),0)</f>
        <v/>
      </c>
      <c r="O494" s="17">
        <f>IF('ORDENES'!$S490="preventiva",N494,0)</f>
        <v/>
      </c>
      <c r="P494" s="17">
        <f>IF('ORDENES'!$S490="correctiva",N494,0)</f>
        <v/>
      </c>
      <c r="Q494" s="3">
        <f>IF(AND(K494=1,'ORDENES'!$N490="Pendiente"),1,0)</f>
        <v/>
      </c>
      <c r="R494" s="3">
        <f>IF(Q494=1,100000-N494*1000+487*0.01,9000000000000+487)</f>
        <v/>
      </c>
      <c r="S494" s="3">
        <f>IF(Q494=1,SUMPRODUCT(--($R$8:$R$1207&lt;R494))+1,"")</f>
        <v/>
      </c>
      <c r="T494" s="11">
        <f>IF(K494=1,'ORDENES'!$J490,"")</f>
        <v/>
      </c>
    </row>
    <row r="495">
      <c r="K495" s="3">
        <f>IF(AND(IF($B$3="(todos)",TRUE,'ORDENES'!$O491=$B$3),IF($D$3="(todos)",TRUE,'ORDENES'!$AC491=$D$3),IF($F$3="(todos)",TRUE,'ORDENES'!$V491=$F$3),'ORDENES'!$AA491=TRUE,'ORDENES'!$A491&lt;&gt;""),1,0)</f>
        <v/>
      </c>
      <c r="L495" s="3">
        <f>IF(K495=1,IFERROR(MATCH('ORDENES'!$R491,lista_dias,0),9)*1000000000+IFERROR(MATCH('ORDENES'!$AC491,lista_turnos,0),9)*10000000+IFERROR(MATCH('ORDENES'!$AB491,'TECNICOS'!$B$4:$B$15,0),99)*100000+488,9000000000000+488)</f>
        <v/>
      </c>
      <c r="M495" s="3">
        <f>IF(K495=1,SUMPRODUCT(--($L$8:$L$1207&lt;L495))+1,"")</f>
        <v/>
      </c>
      <c r="N495" s="17">
        <f>IF(K495=1,N('ORDENES'!$M491),0)</f>
        <v/>
      </c>
      <c r="O495" s="17">
        <f>IF('ORDENES'!$S491="preventiva",N495,0)</f>
        <v/>
      </c>
      <c r="P495" s="17">
        <f>IF('ORDENES'!$S491="correctiva",N495,0)</f>
        <v/>
      </c>
      <c r="Q495" s="3">
        <f>IF(AND(K495=1,'ORDENES'!$N491="Pendiente"),1,0)</f>
        <v/>
      </c>
      <c r="R495" s="3">
        <f>IF(Q495=1,100000-N495*1000+488*0.01,9000000000000+488)</f>
        <v/>
      </c>
      <c r="S495" s="3">
        <f>IF(Q495=1,SUMPRODUCT(--($R$8:$R$1207&lt;R495))+1,"")</f>
        <v/>
      </c>
      <c r="T495" s="11">
        <f>IF(K495=1,'ORDENES'!$J491,"")</f>
        <v/>
      </c>
    </row>
    <row r="496">
      <c r="K496" s="3">
        <f>IF(AND(IF($B$3="(todos)",TRUE,'ORDENES'!$O492=$B$3),IF($D$3="(todos)",TRUE,'ORDENES'!$AC492=$D$3),IF($F$3="(todos)",TRUE,'ORDENES'!$V492=$F$3),'ORDENES'!$AA492=TRUE,'ORDENES'!$A492&lt;&gt;""),1,0)</f>
        <v/>
      </c>
      <c r="L496" s="3">
        <f>IF(K496=1,IFERROR(MATCH('ORDENES'!$R492,lista_dias,0),9)*1000000000+IFERROR(MATCH('ORDENES'!$AC492,lista_turnos,0),9)*10000000+IFERROR(MATCH('ORDENES'!$AB492,'TECNICOS'!$B$4:$B$15,0),99)*100000+489,9000000000000+489)</f>
        <v/>
      </c>
      <c r="M496" s="3">
        <f>IF(K496=1,SUMPRODUCT(--($L$8:$L$1207&lt;L496))+1,"")</f>
        <v/>
      </c>
      <c r="N496" s="17">
        <f>IF(K496=1,N('ORDENES'!$M492),0)</f>
        <v/>
      </c>
      <c r="O496" s="17">
        <f>IF('ORDENES'!$S492="preventiva",N496,0)</f>
        <v/>
      </c>
      <c r="P496" s="17">
        <f>IF('ORDENES'!$S492="correctiva",N496,0)</f>
        <v/>
      </c>
      <c r="Q496" s="3">
        <f>IF(AND(K496=1,'ORDENES'!$N492="Pendiente"),1,0)</f>
        <v/>
      </c>
      <c r="R496" s="3">
        <f>IF(Q496=1,100000-N496*1000+489*0.01,9000000000000+489)</f>
        <v/>
      </c>
      <c r="S496" s="3">
        <f>IF(Q496=1,SUMPRODUCT(--($R$8:$R$1207&lt;R496))+1,"")</f>
        <v/>
      </c>
      <c r="T496" s="11">
        <f>IF(K496=1,'ORDENES'!$J492,"")</f>
        <v/>
      </c>
    </row>
    <row r="497">
      <c r="K497" s="3">
        <f>IF(AND(IF($B$3="(todos)",TRUE,'ORDENES'!$O493=$B$3),IF($D$3="(todos)",TRUE,'ORDENES'!$AC493=$D$3),IF($F$3="(todos)",TRUE,'ORDENES'!$V493=$F$3),'ORDENES'!$AA493=TRUE,'ORDENES'!$A493&lt;&gt;""),1,0)</f>
        <v/>
      </c>
      <c r="L497" s="3">
        <f>IF(K497=1,IFERROR(MATCH('ORDENES'!$R493,lista_dias,0),9)*1000000000+IFERROR(MATCH('ORDENES'!$AC493,lista_turnos,0),9)*10000000+IFERROR(MATCH('ORDENES'!$AB493,'TECNICOS'!$B$4:$B$15,0),99)*100000+490,9000000000000+490)</f>
        <v/>
      </c>
      <c r="M497" s="3">
        <f>IF(K497=1,SUMPRODUCT(--($L$8:$L$1207&lt;L497))+1,"")</f>
        <v/>
      </c>
      <c r="N497" s="17">
        <f>IF(K497=1,N('ORDENES'!$M493),0)</f>
        <v/>
      </c>
      <c r="O497" s="17">
        <f>IF('ORDENES'!$S493="preventiva",N497,0)</f>
        <v/>
      </c>
      <c r="P497" s="17">
        <f>IF('ORDENES'!$S493="correctiva",N497,0)</f>
        <v/>
      </c>
      <c r="Q497" s="3">
        <f>IF(AND(K497=1,'ORDENES'!$N493="Pendiente"),1,0)</f>
        <v/>
      </c>
      <c r="R497" s="3">
        <f>IF(Q497=1,100000-N497*1000+490*0.01,9000000000000+490)</f>
        <v/>
      </c>
      <c r="S497" s="3">
        <f>IF(Q497=1,SUMPRODUCT(--($R$8:$R$1207&lt;R497))+1,"")</f>
        <v/>
      </c>
      <c r="T497" s="11">
        <f>IF(K497=1,'ORDENES'!$J493,"")</f>
        <v/>
      </c>
    </row>
    <row r="498">
      <c r="K498" s="3">
        <f>IF(AND(IF($B$3="(todos)",TRUE,'ORDENES'!$O494=$B$3),IF($D$3="(todos)",TRUE,'ORDENES'!$AC494=$D$3),IF($F$3="(todos)",TRUE,'ORDENES'!$V494=$F$3),'ORDENES'!$AA494=TRUE,'ORDENES'!$A494&lt;&gt;""),1,0)</f>
        <v/>
      </c>
      <c r="L498" s="3">
        <f>IF(K498=1,IFERROR(MATCH('ORDENES'!$R494,lista_dias,0),9)*1000000000+IFERROR(MATCH('ORDENES'!$AC494,lista_turnos,0),9)*10000000+IFERROR(MATCH('ORDENES'!$AB494,'TECNICOS'!$B$4:$B$15,0),99)*100000+491,9000000000000+491)</f>
        <v/>
      </c>
      <c r="M498" s="3">
        <f>IF(K498=1,SUMPRODUCT(--($L$8:$L$1207&lt;L498))+1,"")</f>
        <v/>
      </c>
      <c r="N498" s="17">
        <f>IF(K498=1,N('ORDENES'!$M494),0)</f>
        <v/>
      </c>
      <c r="O498" s="17">
        <f>IF('ORDENES'!$S494="preventiva",N498,0)</f>
        <v/>
      </c>
      <c r="P498" s="17">
        <f>IF('ORDENES'!$S494="correctiva",N498,0)</f>
        <v/>
      </c>
      <c r="Q498" s="3">
        <f>IF(AND(K498=1,'ORDENES'!$N494="Pendiente"),1,0)</f>
        <v/>
      </c>
      <c r="R498" s="3">
        <f>IF(Q498=1,100000-N498*1000+491*0.01,9000000000000+491)</f>
        <v/>
      </c>
      <c r="S498" s="3">
        <f>IF(Q498=1,SUMPRODUCT(--($R$8:$R$1207&lt;R498))+1,"")</f>
        <v/>
      </c>
      <c r="T498" s="11">
        <f>IF(K498=1,'ORDENES'!$J494,"")</f>
        <v/>
      </c>
    </row>
    <row r="499">
      <c r="K499" s="3">
        <f>IF(AND(IF($B$3="(todos)",TRUE,'ORDENES'!$O495=$B$3),IF($D$3="(todos)",TRUE,'ORDENES'!$AC495=$D$3),IF($F$3="(todos)",TRUE,'ORDENES'!$V495=$F$3),'ORDENES'!$AA495=TRUE,'ORDENES'!$A495&lt;&gt;""),1,0)</f>
        <v/>
      </c>
      <c r="L499" s="3">
        <f>IF(K499=1,IFERROR(MATCH('ORDENES'!$R495,lista_dias,0),9)*1000000000+IFERROR(MATCH('ORDENES'!$AC495,lista_turnos,0),9)*10000000+IFERROR(MATCH('ORDENES'!$AB495,'TECNICOS'!$B$4:$B$15,0),99)*100000+492,9000000000000+492)</f>
        <v/>
      </c>
      <c r="M499" s="3">
        <f>IF(K499=1,SUMPRODUCT(--($L$8:$L$1207&lt;L499))+1,"")</f>
        <v/>
      </c>
      <c r="N499" s="17">
        <f>IF(K499=1,N('ORDENES'!$M495),0)</f>
        <v/>
      </c>
      <c r="O499" s="17">
        <f>IF('ORDENES'!$S495="preventiva",N499,0)</f>
        <v/>
      </c>
      <c r="P499" s="17">
        <f>IF('ORDENES'!$S495="correctiva",N499,0)</f>
        <v/>
      </c>
      <c r="Q499" s="3">
        <f>IF(AND(K499=1,'ORDENES'!$N495="Pendiente"),1,0)</f>
        <v/>
      </c>
      <c r="R499" s="3">
        <f>IF(Q499=1,100000-N499*1000+492*0.01,9000000000000+492)</f>
        <v/>
      </c>
      <c r="S499" s="3">
        <f>IF(Q499=1,SUMPRODUCT(--($R$8:$R$1207&lt;R499))+1,"")</f>
        <v/>
      </c>
      <c r="T499" s="11">
        <f>IF(K499=1,'ORDENES'!$J495,"")</f>
        <v/>
      </c>
    </row>
    <row r="500">
      <c r="K500" s="3">
        <f>IF(AND(IF($B$3="(todos)",TRUE,'ORDENES'!$O496=$B$3),IF($D$3="(todos)",TRUE,'ORDENES'!$AC496=$D$3),IF($F$3="(todos)",TRUE,'ORDENES'!$V496=$F$3),'ORDENES'!$AA496=TRUE,'ORDENES'!$A496&lt;&gt;""),1,0)</f>
        <v/>
      </c>
      <c r="L500" s="3">
        <f>IF(K500=1,IFERROR(MATCH('ORDENES'!$R496,lista_dias,0),9)*1000000000+IFERROR(MATCH('ORDENES'!$AC496,lista_turnos,0),9)*10000000+IFERROR(MATCH('ORDENES'!$AB496,'TECNICOS'!$B$4:$B$15,0),99)*100000+493,9000000000000+493)</f>
        <v/>
      </c>
      <c r="M500" s="3">
        <f>IF(K500=1,SUMPRODUCT(--($L$8:$L$1207&lt;L500))+1,"")</f>
        <v/>
      </c>
      <c r="N500" s="17">
        <f>IF(K500=1,N('ORDENES'!$M496),0)</f>
        <v/>
      </c>
      <c r="O500" s="17">
        <f>IF('ORDENES'!$S496="preventiva",N500,0)</f>
        <v/>
      </c>
      <c r="P500" s="17">
        <f>IF('ORDENES'!$S496="correctiva",N500,0)</f>
        <v/>
      </c>
      <c r="Q500" s="3">
        <f>IF(AND(K500=1,'ORDENES'!$N496="Pendiente"),1,0)</f>
        <v/>
      </c>
      <c r="R500" s="3">
        <f>IF(Q500=1,100000-N500*1000+493*0.01,9000000000000+493)</f>
        <v/>
      </c>
      <c r="S500" s="3">
        <f>IF(Q500=1,SUMPRODUCT(--($R$8:$R$1207&lt;R500))+1,"")</f>
        <v/>
      </c>
      <c r="T500" s="11">
        <f>IF(K500=1,'ORDENES'!$J496,"")</f>
        <v/>
      </c>
    </row>
    <row r="501">
      <c r="K501" s="3">
        <f>IF(AND(IF($B$3="(todos)",TRUE,'ORDENES'!$O497=$B$3),IF($D$3="(todos)",TRUE,'ORDENES'!$AC497=$D$3),IF($F$3="(todos)",TRUE,'ORDENES'!$V497=$F$3),'ORDENES'!$AA497=TRUE,'ORDENES'!$A497&lt;&gt;""),1,0)</f>
        <v/>
      </c>
      <c r="L501" s="3">
        <f>IF(K501=1,IFERROR(MATCH('ORDENES'!$R497,lista_dias,0),9)*1000000000+IFERROR(MATCH('ORDENES'!$AC497,lista_turnos,0),9)*10000000+IFERROR(MATCH('ORDENES'!$AB497,'TECNICOS'!$B$4:$B$15,0),99)*100000+494,9000000000000+494)</f>
        <v/>
      </c>
      <c r="M501" s="3">
        <f>IF(K501=1,SUMPRODUCT(--($L$8:$L$1207&lt;L501))+1,"")</f>
        <v/>
      </c>
      <c r="N501" s="17">
        <f>IF(K501=1,N('ORDENES'!$M497),0)</f>
        <v/>
      </c>
      <c r="O501" s="17">
        <f>IF('ORDENES'!$S497="preventiva",N501,0)</f>
        <v/>
      </c>
      <c r="P501" s="17">
        <f>IF('ORDENES'!$S497="correctiva",N501,0)</f>
        <v/>
      </c>
      <c r="Q501" s="3">
        <f>IF(AND(K501=1,'ORDENES'!$N497="Pendiente"),1,0)</f>
        <v/>
      </c>
      <c r="R501" s="3">
        <f>IF(Q501=1,100000-N501*1000+494*0.01,9000000000000+494)</f>
        <v/>
      </c>
      <c r="S501" s="3">
        <f>IF(Q501=1,SUMPRODUCT(--($R$8:$R$1207&lt;R501))+1,"")</f>
        <v/>
      </c>
      <c r="T501" s="11">
        <f>IF(K501=1,'ORDENES'!$J497,"")</f>
        <v/>
      </c>
    </row>
    <row r="502">
      <c r="K502" s="3">
        <f>IF(AND(IF($B$3="(todos)",TRUE,'ORDENES'!$O498=$B$3),IF($D$3="(todos)",TRUE,'ORDENES'!$AC498=$D$3),IF($F$3="(todos)",TRUE,'ORDENES'!$V498=$F$3),'ORDENES'!$AA498=TRUE,'ORDENES'!$A498&lt;&gt;""),1,0)</f>
        <v/>
      </c>
      <c r="L502" s="3">
        <f>IF(K502=1,IFERROR(MATCH('ORDENES'!$R498,lista_dias,0),9)*1000000000+IFERROR(MATCH('ORDENES'!$AC498,lista_turnos,0),9)*10000000+IFERROR(MATCH('ORDENES'!$AB498,'TECNICOS'!$B$4:$B$15,0),99)*100000+495,9000000000000+495)</f>
        <v/>
      </c>
      <c r="M502" s="3">
        <f>IF(K502=1,SUMPRODUCT(--($L$8:$L$1207&lt;L502))+1,"")</f>
        <v/>
      </c>
      <c r="N502" s="17">
        <f>IF(K502=1,N('ORDENES'!$M498),0)</f>
        <v/>
      </c>
      <c r="O502" s="17">
        <f>IF('ORDENES'!$S498="preventiva",N502,0)</f>
        <v/>
      </c>
      <c r="P502" s="17">
        <f>IF('ORDENES'!$S498="correctiva",N502,0)</f>
        <v/>
      </c>
      <c r="Q502" s="3">
        <f>IF(AND(K502=1,'ORDENES'!$N498="Pendiente"),1,0)</f>
        <v/>
      </c>
      <c r="R502" s="3">
        <f>IF(Q502=1,100000-N502*1000+495*0.01,9000000000000+495)</f>
        <v/>
      </c>
      <c r="S502" s="3">
        <f>IF(Q502=1,SUMPRODUCT(--($R$8:$R$1207&lt;R502))+1,"")</f>
        <v/>
      </c>
      <c r="T502" s="11">
        <f>IF(K502=1,'ORDENES'!$J498,"")</f>
        <v/>
      </c>
    </row>
    <row r="503">
      <c r="K503" s="3">
        <f>IF(AND(IF($B$3="(todos)",TRUE,'ORDENES'!$O499=$B$3),IF($D$3="(todos)",TRUE,'ORDENES'!$AC499=$D$3),IF($F$3="(todos)",TRUE,'ORDENES'!$V499=$F$3),'ORDENES'!$AA499=TRUE,'ORDENES'!$A499&lt;&gt;""),1,0)</f>
        <v/>
      </c>
      <c r="L503" s="3">
        <f>IF(K503=1,IFERROR(MATCH('ORDENES'!$R499,lista_dias,0),9)*1000000000+IFERROR(MATCH('ORDENES'!$AC499,lista_turnos,0),9)*10000000+IFERROR(MATCH('ORDENES'!$AB499,'TECNICOS'!$B$4:$B$15,0),99)*100000+496,9000000000000+496)</f>
        <v/>
      </c>
      <c r="M503" s="3">
        <f>IF(K503=1,SUMPRODUCT(--($L$8:$L$1207&lt;L503))+1,"")</f>
        <v/>
      </c>
      <c r="N503" s="17">
        <f>IF(K503=1,N('ORDENES'!$M499),0)</f>
        <v/>
      </c>
      <c r="O503" s="17">
        <f>IF('ORDENES'!$S499="preventiva",N503,0)</f>
        <v/>
      </c>
      <c r="P503" s="17">
        <f>IF('ORDENES'!$S499="correctiva",N503,0)</f>
        <v/>
      </c>
      <c r="Q503" s="3">
        <f>IF(AND(K503=1,'ORDENES'!$N499="Pendiente"),1,0)</f>
        <v/>
      </c>
      <c r="R503" s="3">
        <f>IF(Q503=1,100000-N503*1000+496*0.01,9000000000000+496)</f>
        <v/>
      </c>
      <c r="S503" s="3">
        <f>IF(Q503=1,SUMPRODUCT(--($R$8:$R$1207&lt;R503))+1,"")</f>
        <v/>
      </c>
      <c r="T503" s="11">
        <f>IF(K503=1,'ORDENES'!$J499,"")</f>
        <v/>
      </c>
    </row>
    <row r="504">
      <c r="K504" s="3">
        <f>IF(AND(IF($B$3="(todos)",TRUE,'ORDENES'!$O500=$B$3),IF($D$3="(todos)",TRUE,'ORDENES'!$AC500=$D$3),IF($F$3="(todos)",TRUE,'ORDENES'!$V500=$F$3),'ORDENES'!$AA500=TRUE,'ORDENES'!$A500&lt;&gt;""),1,0)</f>
        <v/>
      </c>
      <c r="L504" s="3">
        <f>IF(K504=1,IFERROR(MATCH('ORDENES'!$R500,lista_dias,0),9)*1000000000+IFERROR(MATCH('ORDENES'!$AC500,lista_turnos,0),9)*10000000+IFERROR(MATCH('ORDENES'!$AB500,'TECNICOS'!$B$4:$B$15,0),99)*100000+497,9000000000000+497)</f>
        <v/>
      </c>
      <c r="M504" s="3">
        <f>IF(K504=1,SUMPRODUCT(--($L$8:$L$1207&lt;L504))+1,"")</f>
        <v/>
      </c>
      <c r="N504" s="17">
        <f>IF(K504=1,N('ORDENES'!$M500),0)</f>
        <v/>
      </c>
      <c r="O504" s="17">
        <f>IF('ORDENES'!$S500="preventiva",N504,0)</f>
        <v/>
      </c>
      <c r="P504" s="17">
        <f>IF('ORDENES'!$S500="correctiva",N504,0)</f>
        <v/>
      </c>
      <c r="Q504" s="3">
        <f>IF(AND(K504=1,'ORDENES'!$N500="Pendiente"),1,0)</f>
        <v/>
      </c>
      <c r="R504" s="3">
        <f>IF(Q504=1,100000-N504*1000+497*0.01,9000000000000+497)</f>
        <v/>
      </c>
      <c r="S504" s="3">
        <f>IF(Q504=1,SUMPRODUCT(--($R$8:$R$1207&lt;R504))+1,"")</f>
        <v/>
      </c>
      <c r="T504" s="11">
        <f>IF(K504=1,'ORDENES'!$J500,"")</f>
        <v/>
      </c>
    </row>
    <row r="505">
      <c r="K505" s="3">
        <f>IF(AND(IF($B$3="(todos)",TRUE,'ORDENES'!$O501=$B$3),IF($D$3="(todos)",TRUE,'ORDENES'!$AC501=$D$3),IF($F$3="(todos)",TRUE,'ORDENES'!$V501=$F$3),'ORDENES'!$AA501=TRUE,'ORDENES'!$A501&lt;&gt;""),1,0)</f>
        <v/>
      </c>
      <c r="L505" s="3">
        <f>IF(K505=1,IFERROR(MATCH('ORDENES'!$R501,lista_dias,0),9)*1000000000+IFERROR(MATCH('ORDENES'!$AC501,lista_turnos,0),9)*10000000+IFERROR(MATCH('ORDENES'!$AB501,'TECNICOS'!$B$4:$B$15,0),99)*100000+498,9000000000000+498)</f>
        <v/>
      </c>
      <c r="M505" s="3">
        <f>IF(K505=1,SUMPRODUCT(--($L$8:$L$1207&lt;L505))+1,"")</f>
        <v/>
      </c>
      <c r="N505" s="17">
        <f>IF(K505=1,N('ORDENES'!$M501),0)</f>
        <v/>
      </c>
      <c r="O505" s="17">
        <f>IF('ORDENES'!$S501="preventiva",N505,0)</f>
        <v/>
      </c>
      <c r="P505" s="17">
        <f>IF('ORDENES'!$S501="correctiva",N505,0)</f>
        <v/>
      </c>
      <c r="Q505" s="3">
        <f>IF(AND(K505=1,'ORDENES'!$N501="Pendiente"),1,0)</f>
        <v/>
      </c>
      <c r="R505" s="3">
        <f>IF(Q505=1,100000-N505*1000+498*0.01,9000000000000+498)</f>
        <v/>
      </c>
      <c r="S505" s="3">
        <f>IF(Q505=1,SUMPRODUCT(--($R$8:$R$1207&lt;R505))+1,"")</f>
        <v/>
      </c>
      <c r="T505" s="11">
        <f>IF(K505=1,'ORDENES'!$J501,"")</f>
        <v/>
      </c>
    </row>
    <row r="506">
      <c r="K506" s="3">
        <f>IF(AND(IF($B$3="(todos)",TRUE,'ORDENES'!$O502=$B$3),IF($D$3="(todos)",TRUE,'ORDENES'!$AC502=$D$3),IF($F$3="(todos)",TRUE,'ORDENES'!$V502=$F$3),'ORDENES'!$AA502=TRUE,'ORDENES'!$A502&lt;&gt;""),1,0)</f>
        <v/>
      </c>
      <c r="L506" s="3">
        <f>IF(K506=1,IFERROR(MATCH('ORDENES'!$R502,lista_dias,0),9)*1000000000+IFERROR(MATCH('ORDENES'!$AC502,lista_turnos,0),9)*10000000+IFERROR(MATCH('ORDENES'!$AB502,'TECNICOS'!$B$4:$B$15,0),99)*100000+499,9000000000000+499)</f>
        <v/>
      </c>
      <c r="M506" s="3">
        <f>IF(K506=1,SUMPRODUCT(--($L$8:$L$1207&lt;L506))+1,"")</f>
        <v/>
      </c>
      <c r="N506" s="17">
        <f>IF(K506=1,N('ORDENES'!$M502),0)</f>
        <v/>
      </c>
      <c r="O506" s="17">
        <f>IF('ORDENES'!$S502="preventiva",N506,0)</f>
        <v/>
      </c>
      <c r="P506" s="17">
        <f>IF('ORDENES'!$S502="correctiva",N506,0)</f>
        <v/>
      </c>
      <c r="Q506" s="3">
        <f>IF(AND(K506=1,'ORDENES'!$N502="Pendiente"),1,0)</f>
        <v/>
      </c>
      <c r="R506" s="3">
        <f>IF(Q506=1,100000-N506*1000+499*0.01,9000000000000+499)</f>
        <v/>
      </c>
      <c r="S506" s="3">
        <f>IF(Q506=1,SUMPRODUCT(--($R$8:$R$1207&lt;R506))+1,"")</f>
        <v/>
      </c>
      <c r="T506" s="11">
        <f>IF(K506=1,'ORDENES'!$J502,"")</f>
        <v/>
      </c>
    </row>
    <row r="507">
      <c r="K507" s="3">
        <f>IF(AND(IF($B$3="(todos)",TRUE,'ORDENES'!$O503=$B$3),IF($D$3="(todos)",TRUE,'ORDENES'!$AC503=$D$3),IF($F$3="(todos)",TRUE,'ORDENES'!$V503=$F$3),'ORDENES'!$AA503=TRUE,'ORDENES'!$A503&lt;&gt;""),1,0)</f>
        <v/>
      </c>
      <c r="L507" s="3">
        <f>IF(K507=1,IFERROR(MATCH('ORDENES'!$R503,lista_dias,0),9)*1000000000+IFERROR(MATCH('ORDENES'!$AC503,lista_turnos,0),9)*10000000+IFERROR(MATCH('ORDENES'!$AB503,'TECNICOS'!$B$4:$B$15,0),99)*100000+500,9000000000000+500)</f>
        <v/>
      </c>
      <c r="M507" s="3">
        <f>IF(K507=1,SUMPRODUCT(--($L$8:$L$1207&lt;L507))+1,"")</f>
        <v/>
      </c>
      <c r="N507" s="17">
        <f>IF(K507=1,N('ORDENES'!$M503),0)</f>
        <v/>
      </c>
      <c r="O507" s="17">
        <f>IF('ORDENES'!$S503="preventiva",N507,0)</f>
        <v/>
      </c>
      <c r="P507" s="17">
        <f>IF('ORDENES'!$S503="correctiva",N507,0)</f>
        <v/>
      </c>
      <c r="Q507" s="3">
        <f>IF(AND(K507=1,'ORDENES'!$N503="Pendiente"),1,0)</f>
        <v/>
      </c>
      <c r="R507" s="3">
        <f>IF(Q507=1,100000-N507*1000+500*0.01,9000000000000+500)</f>
        <v/>
      </c>
      <c r="S507" s="3">
        <f>IF(Q507=1,SUMPRODUCT(--($R$8:$R$1207&lt;R507))+1,"")</f>
        <v/>
      </c>
      <c r="T507" s="11">
        <f>IF(K507=1,'ORDENES'!$J503,"")</f>
        <v/>
      </c>
    </row>
    <row r="508">
      <c r="K508" s="3">
        <f>IF(AND(IF($B$3="(todos)",TRUE,'ORDENES'!$O504=$B$3),IF($D$3="(todos)",TRUE,'ORDENES'!$AC504=$D$3),IF($F$3="(todos)",TRUE,'ORDENES'!$V504=$F$3),'ORDENES'!$AA504=TRUE,'ORDENES'!$A504&lt;&gt;""),1,0)</f>
        <v/>
      </c>
      <c r="L508" s="3">
        <f>IF(K508=1,IFERROR(MATCH('ORDENES'!$R504,lista_dias,0),9)*1000000000+IFERROR(MATCH('ORDENES'!$AC504,lista_turnos,0),9)*10000000+IFERROR(MATCH('ORDENES'!$AB504,'TECNICOS'!$B$4:$B$15,0),99)*100000+501,9000000000000+501)</f>
        <v/>
      </c>
      <c r="M508" s="3">
        <f>IF(K508=1,SUMPRODUCT(--($L$8:$L$1207&lt;L508))+1,"")</f>
        <v/>
      </c>
      <c r="N508" s="17">
        <f>IF(K508=1,N('ORDENES'!$M504),0)</f>
        <v/>
      </c>
      <c r="O508" s="17">
        <f>IF('ORDENES'!$S504="preventiva",N508,0)</f>
        <v/>
      </c>
      <c r="P508" s="17">
        <f>IF('ORDENES'!$S504="correctiva",N508,0)</f>
        <v/>
      </c>
      <c r="Q508" s="3">
        <f>IF(AND(K508=1,'ORDENES'!$N504="Pendiente"),1,0)</f>
        <v/>
      </c>
      <c r="R508" s="3">
        <f>IF(Q508=1,100000-N508*1000+501*0.01,9000000000000+501)</f>
        <v/>
      </c>
      <c r="S508" s="3">
        <f>IF(Q508=1,SUMPRODUCT(--($R$8:$R$1207&lt;R508))+1,"")</f>
        <v/>
      </c>
      <c r="T508" s="11">
        <f>IF(K508=1,'ORDENES'!$J504,"")</f>
        <v/>
      </c>
    </row>
    <row r="509">
      <c r="K509" s="3">
        <f>IF(AND(IF($B$3="(todos)",TRUE,'ORDENES'!$O505=$B$3),IF($D$3="(todos)",TRUE,'ORDENES'!$AC505=$D$3),IF($F$3="(todos)",TRUE,'ORDENES'!$V505=$F$3),'ORDENES'!$AA505=TRUE,'ORDENES'!$A505&lt;&gt;""),1,0)</f>
        <v/>
      </c>
      <c r="L509" s="3">
        <f>IF(K509=1,IFERROR(MATCH('ORDENES'!$R505,lista_dias,0),9)*1000000000+IFERROR(MATCH('ORDENES'!$AC505,lista_turnos,0),9)*10000000+IFERROR(MATCH('ORDENES'!$AB505,'TECNICOS'!$B$4:$B$15,0),99)*100000+502,9000000000000+502)</f>
        <v/>
      </c>
      <c r="M509" s="3">
        <f>IF(K509=1,SUMPRODUCT(--($L$8:$L$1207&lt;L509))+1,"")</f>
        <v/>
      </c>
      <c r="N509" s="17">
        <f>IF(K509=1,N('ORDENES'!$M505),0)</f>
        <v/>
      </c>
      <c r="O509" s="17">
        <f>IF('ORDENES'!$S505="preventiva",N509,0)</f>
        <v/>
      </c>
      <c r="P509" s="17">
        <f>IF('ORDENES'!$S505="correctiva",N509,0)</f>
        <v/>
      </c>
      <c r="Q509" s="3">
        <f>IF(AND(K509=1,'ORDENES'!$N505="Pendiente"),1,0)</f>
        <v/>
      </c>
      <c r="R509" s="3">
        <f>IF(Q509=1,100000-N509*1000+502*0.01,9000000000000+502)</f>
        <v/>
      </c>
      <c r="S509" s="3">
        <f>IF(Q509=1,SUMPRODUCT(--($R$8:$R$1207&lt;R509))+1,"")</f>
        <v/>
      </c>
      <c r="T509" s="11">
        <f>IF(K509=1,'ORDENES'!$J505,"")</f>
        <v/>
      </c>
    </row>
    <row r="510">
      <c r="K510" s="3">
        <f>IF(AND(IF($B$3="(todos)",TRUE,'ORDENES'!$O506=$B$3),IF($D$3="(todos)",TRUE,'ORDENES'!$AC506=$D$3),IF($F$3="(todos)",TRUE,'ORDENES'!$V506=$F$3),'ORDENES'!$AA506=TRUE,'ORDENES'!$A506&lt;&gt;""),1,0)</f>
        <v/>
      </c>
      <c r="L510" s="3">
        <f>IF(K510=1,IFERROR(MATCH('ORDENES'!$R506,lista_dias,0),9)*1000000000+IFERROR(MATCH('ORDENES'!$AC506,lista_turnos,0),9)*10000000+IFERROR(MATCH('ORDENES'!$AB506,'TECNICOS'!$B$4:$B$15,0),99)*100000+503,9000000000000+503)</f>
        <v/>
      </c>
      <c r="M510" s="3">
        <f>IF(K510=1,SUMPRODUCT(--($L$8:$L$1207&lt;L510))+1,"")</f>
        <v/>
      </c>
      <c r="N510" s="17">
        <f>IF(K510=1,N('ORDENES'!$M506),0)</f>
        <v/>
      </c>
      <c r="O510" s="17">
        <f>IF('ORDENES'!$S506="preventiva",N510,0)</f>
        <v/>
      </c>
      <c r="P510" s="17">
        <f>IF('ORDENES'!$S506="correctiva",N510,0)</f>
        <v/>
      </c>
      <c r="Q510" s="3">
        <f>IF(AND(K510=1,'ORDENES'!$N506="Pendiente"),1,0)</f>
        <v/>
      </c>
      <c r="R510" s="3">
        <f>IF(Q510=1,100000-N510*1000+503*0.01,9000000000000+503)</f>
        <v/>
      </c>
      <c r="S510" s="3">
        <f>IF(Q510=1,SUMPRODUCT(--($R$8:$R$1207&lt;R510))+1,"")</f>
        <v/>
      </c>
      <c r="T510" s="11">
        <f>IF(K510=1,'ORDENES'!$J506,"")</f>
        <v/>
      </c>
    </row>
    <row r="511">
      <c r="K511" s="3">
        <f>IF(AND(IF($B$3="(todos)",TRUE,'ORDENES'!$O507=$B$3),IF($D$3="(todos)",TRUE,'ORDENES'!$AC507=$D$3),IF($F$3="(todos)",TRUE,'ORDENES'!$V507=$F$3),'ORDENES'!$AA507=TRUE,'ORDENES'!$A507&lt;&gt;""),1,0)</f>
        <v/>
      </c>
      <c r="L511" s="3">
        <f>IF(K511=1,IFERROR(MATCH('ORDENES'!$R507,lista_dias,0),9)*1000000000+IFERROR(MATCH('ORDENES'!$AC507,lista_turnos,0),9)*10000000+IFERROR(MATCH('ORDENES'!$AB507,'TECNICOS'!$B$4:$B$15,0),99)*100000+504,9000000000000+504)</f>
        <v/>
      </c>
      <c r="M511" s="3">
        <f>IF(K511=1,SUMPRODUCT(--($L$8:$L$1207&lt;L511))+1,"")</f>
        <v/>
      </c>
      <c r="N511" s="17">
        <f>IF(K511=1,N('ORDENES'!$M507),0)</f>
        <v/>
      </c>
      <c r="O511" s="17">
        <f>IF('ORDENES'!$S507="preventiva",N511,0)</f>
        <v/>
      </c>
      <c r="P511" s="17">
        <f>IF('ORDENES'!$S507="correctiva",N511,0)</f>
        <v/>
      </c>
      <c r="Q511" s="3">
        <f>IF(AND(K511=1,'ORDENES'!$N507="Pendiente"),1,0)</f>
        <v/>
      </c>
      <c r="R511" s="3">
        <f>IF(Q511=1,100000-N511*1000+504*0.01,9000000000000+504)</f>
        <v/>
      </c>
      <c r="S511" s="3">
        <f>IF(Q511=1,SUMPRODUCT(--($R$8:$R$1207&lt;R511))+1,"")</f>
        <v/>
      </c>
      <c r="T511" s="11">
        <f>IF(K511=1,'ORDENES'!$J507,"")</f>
        <v/>
      </c>
    </row>
    <row r="512">
      <c r="K512" s="3">
        <f>IF(AND(IF($B$3="(todos)",TRUE,'ORDENES'!$O508=$B$3),IF($D$3="(todos)",TRUE,'ORDENES'!$AC508=$D$3),IF($F$3="(todos)",TRUE,'ORDENES'!$V508=$F$3),'ORDENES'!$AA508=TRUE,'ORDENES'!$A508&lt;&gt;""),1,0)</f>
        <v/>
      </c>
      <c r="L512" s="3">
        <f>IF(K512=1,IFERROR(MATCH('ORDENES'!$R508,lista_dias,0),9)*1000000000+IFERROR(MATCH('ORDENES'!$AC508,lista_turnos,0),9)*10000000+IFERROR(MATCH('ORDENES'!$AB508,'TECNICOS'!$B$4:$B$15,0),99)*100000+505,9000000000000+505)</f>
        <v/>
      </c>
      <c r="M512" s="3">
        <f>IF(K512=1,SUMPRODUCT(--($L$8:$L$1207&lt;L512))+1,"")</f>
        <v/>
      </c>
      <c r="N512" s="17">
        <f>IF(K512=1,N('ORDENES'!$M508),0)</f>
        <v/>
      </c>
      <c r="O512" s="17">
        <f>IF('ORDENES'!$S508="preventiva",N512,0)</f>
        <v/>
      </c>
      <c r="P512" s="17">
        <f>IF('ORDENES'!$S508="correctiva",N512,0)</f>
        <v/>
      </c>
      <c r="Q512" s="3">
        <f>IF(AND(K512=1,'ORDENES'!$N508="Pendiente"),1,0)</f>
        <v/>
      </c>
      <c r="R512" s="3">
        <f>IF(Q512=1,100000-N512*1000+505*0.01,9000000000000+505)</f>
        <v/>
      </c>
      <c r="S512" s="3">
        <f>IF(Q512=1,SUMPRODUCT(--($R$8:$R$1207&lt;R512))+1,"")</f>
        <v/>
      </c>
      <c r="T512" s="11">
        <f>IF(K512=1,'ORDENES'!$J508,"")</f>
        <v/>
      </c>
    </row>
    <row r="513">
      <c r="K513" s="3">
        <f>IF(AND(IF($B$3="(todos)",TRUE,'ORDENES'!$O509=$B$3),IF($D$3="(todos)",TRUE,'ORDENES'!$AC509=$D$3),IF($F$3="(todos)",TRUE,'ORDENES'!$V509=$F$3),'ORDENES'!$AA509=TRUE,'ORDENES'!$A509&lt;&gt;""),1,0)</f>
        <v/>
      </c>
      <c r="L513" s="3">
        <f>IF(K513=1,IFERROR(MATCH('ORDENES'!$R509,lista_dias,0),9)*1000000000+IFERROR(MATCH('ORDENES'!$AC509,lista_turnos,0),9)*10000000+IFERROR(MATCH('ORDENES'!$AB509,'TECNICOS'!$B$4:$B$15,0),99)*100000+506,9000000000000+506)</f>
        <v/>
      </c>
      <c r="M513" s="3">
        <f>IF(K513=1,SUMPRODUCT(--($L$8:$L$1207&lt;L513))+1,"")</f>
        <v/>
      </c>
      <c r="N513" s="17">
        <f>IF(K513=1,N('ORDENES'!$M509),0)</f>
        <v/>
      </c>
      <c r="O513" s="17">
        <f>IF('ORDENES'!$S509="preventiva",N513,0)</f>
        <v/>
      </c>
      <c r="P513" s="17">
        <f>IF('ORDENES'!$S509="correctiva",N513,0)</f>
        <v/>
      </c>
      <c r="Q513" s="3">
        <f>IF(AND(K513=1,'ORDENES'!$N509="Pendiente"),1,0)</f>
        <v/>
      </c>
      <c r="R513" s="3">
        <f>IF(Q513=1,100000-N513*1000+506*0.01,9000000000000+506)</f>
        <v/>
      </c>
      <c r="S513" s="3">
        <f>IF(Q513=1,SUMPRODUCT(--($R$8:$R$1207&lt;R513))+1,"")</f>
        <v/>
      </c>
      <c r="T513" s="11">
        <f>IF(K513=1,'ORDENES'!$J509,"")</f>
        <v/>
      </c>
    </row>
    <row r="514">
      <c r="K514" s="3">
        <f>IF(AND(IF($B$3="(todos)",TRUE,'ORDENES'!$O510=$B$3),IF($D$3="(todos)",TRUE,'ORDENES'!$AC510=$D$3),IF($F$3="(todos)",TRUE,'ORDENES'!$V510=$F$3),'ORDENES'!$AA510=TRUE,'ORDENES'!$A510&lt;&gt;""),1,0)</f>
        <v/>
      </c>
      <c r="L514" s="3">
        <f>IF(K514=1,IFERROR(MATCH('ORDENES'!$R510,lista_dias,0),9)*1000000000+IFERROR(MATCH('ORDENES'!$AC510,lista_turnos,0),9)*10000000+IFERROR(MATCH('ORDENES'!$AB510,'TECNICOS'!$B$4:$B$15,0),99)*100000+507,9000000000000+507)</f>
        <v/>
      </c>
      <c r="M514" s="3">
        <f>IF(K514=1,SUMPRODUCT(--($L$8:$L$1207&lt;L514))+1,"")</f>
        <v/>
      </c>
      <c r="N514" s="17">
        <f>IF(K514=1,N('ORDENES'!$M510),0)</f>
        <v/>
      </c>
      <c r="O514" s="17">
        <f>IF('ORDENES'!$S510="preventiva",N514,0)</f>
        <v/>
      </c>
      <c r="P514" s="17">
        <f>IF('ORDENES'!$S510="correctiva",N514,0)</f>
        <v/>
      </c>
      <c r="Q514" s="3">
        <f>IF(AND(K514=1,'ORDENES'!$N510="Pendiente"),1,0)</f>
        <v/>
      </c>
      <c r="R514" s="3">
        <f>IF(Q514=1,100000-N514*1000+507*0.01,9000000000000+507)</f>
        <v/>
      </c>
      <c r="S514" s="3">
        <f>IF(Q514=1,SUMPRODUCT(--($R$8:$R$1207&lt;R514))+1,"")</f>
        <v/>
      </c>
      <c r="T514" s="11">
        <f>IF(K514=1,'ORDENES'!$J510,"")</f>
        <v/>
      </c>
    </row>
    <row r="515">
      <c r="K515" s="3">
        <f>IF(AND(IF($B$3="(todos)",TRUE,'ORDENES'!$O511=$B$3),IF($D$3="(todos)",TRUE,'ORDENES'!$AC511=$D$3),IF($F$3="(todos)",TRUE,'ORDENES'!$V511=$F$3),'ORDENES'!$AA511=TRUE,'ORDENES'!$A511&lt;&gt;""),1,0)</f>
        <v/>
      </c>
      <c r="L515" s="3">
        <f>IF(K515=1,IFERROR(MATCH('ORDENES'!$R511,lista_dias,0),9)*1000000000+IFERROR(MATCH('ORDENES'!$AC511,lista_turnos,0),9)*10000000+IFERROR(MATCH('ORDENES'!$AB511,'TECNICOS'!$B$4:$B$15,0),99)*100000+508,9000000000000+508)</f>
        <v/>
      </c>
      <c r="M515" s="3">
        <f>IF(K515=1,SUMPRODUCT(--($L$8:$L$1207&lt;L515))+1,"")</f>
        <v/>
      </c>
      <c r="N515" s="17">
        <f>IF(K515=1,N('ORDENES'!$M511),0)</f>
        <v/>
      </c>
      <c r="O515" s="17">
        <f>IF('ORDENES'!$S511="preventiva",N515,0)</f>
        <v/>
      </c>
      <c r="P515" s="17">
        <f>IF('ORDENES'!$S511="correctiva",N515,0)</f>
        <v/>
      </c>
      <c r="Q515" s="3">
        <f>IF(AND(K515=1,'ORDENES'!$N511="Pendiente"),1,0)</f>
        <v/>
      </c>
      <c r="R515" s="3">
        <f>IF(Q515=1,100000-N515*1000+508*0.01,9000000000000+508)</f>
        <v/>
      </c>
      <c r="S515" s="3">
        <f>IF(Q515=1,SUMPRODUCT(--($R$8:$R$1207&lt;R515))+1,"")</f>
        <v/>
      </c>
      <c r="T515" s="11">
        <f>IF(K515=1,'ORDENES'!$J511,"")</f>
        <v/>
      </c>
    </row>
    <row r="516">
      <c r="K516" s="3">
        <f>IF(AND(IF($B$3="(todos)",TRUE,'ORDENES'!$O512=$B$3),IF($D$3="(todos)",TRUE,'ORDENES'!$AC512=$D$3),IF($F$3="(todos)",TRUE,'ORDENES'!$V512=$F$3),'ORDENES'!$AA512=TRUE,'ORDENES'!$A512&lt;&gt;""),1,0)</f>
        <v/>
      </c>
      <c r="L516" s="3">
        <f>IF(K516=1,IFERROR(MATCH('ORDENES'!$R512,lista_dias,0),9)*1000000000+IFERROR(MATCH('ORDENES'!$AC512,lista_turnos,0),9)*10000000+IFERROR(MATCH('ORDENES'!$AB512,'TECNICOS'!$B$4:$B$15,0),99)*100000+509,9000000000000+509)</f>
        <v/>
      </c>
      <c r="M516" s="3">
        <f>IF(K516=1,SUMPRODUCT(--($L$8:$L$1207&lt;L516))+1,"")</f>
        <v/>
      </c>
      <c r="N516" s="17">
        <f>IF(K516=1,N('ORDENES'!$M512),0)</f>
        <v/>
      </c>
      <c r="O516" s="17">
        <f>IF('ORDENES'!$S512="preventiva",N516,0)</f>
        <v/>
      </c>
      <c r="P516" s="17">
        <f>IF('ORDENES'!$S512="correctiva",N516,0)</f>
        <v/>
      </c>
      <c r="Q516" s="3">
        <f>IF(AND(K516=1,'ORDENES'!$N512="Pendiente"),1,0)</f>
        <v/>
      </c>
      <c r="R516" s="3">
        <f>IF(Q516=1,100000-N516*1000+509*0.01,9000000000000+509)</f>
        <v/>
      </c>
      <c r="S516" s="3">
        <f>IF(Q516=1,SUMPRODUCT(--($R$8:$R$1207&lt;R516))+1,"")</f>
        <v/>
      </c>
      <c r="T516" s="11">
        <f>IF(K516=1,'ORDENES'!$J512,"")</f>
        <v/>
      </c>
    </row>
    <row r="517">
      <c r="K517" s="3">
        <f>IF(AND(IF($B$3="(todos)",TRUE,'ORDENES'!$O513=$B$3),IF($D$3="(todos)",TRUE,'ORDENES'!$AC513=$D$3),IF($F$3="(todos)",TRUE,'ORDENES'!$V513=$F$3),'ORDENES'!$AA513=TRUE,'ORDENES'!$A513&lt;&gt;""),1,0)</f>
        <v/>
      </c>
      <c r="L517" s="3">
        <f>IF(K517=1,IFERROR(MATCH('ORDENES'!$R513,lista_dias,0),9)*1000000000+IFERROR(MATCH('ORDENES'!$AC513,lista_turnos,0),9)*10000000+IFERROR(MATCH('ORDENES'!$AB513,'TECNICOS'!$B$4:$B$15,0),99)*100000+510,9000000000000+510)</f>
        <v/>
      </c>
      <c r="M517" s="3">
        <f>IF(K517=1,SUMPRODUCT(--($L$8:$L$1207&lt;L517))+1,"")</f>
        <v/>
      </c>
      <c r="N517" s="17">
        <f>IF(K517=1,N('ORDENES'!$M513),0)</f>
        <v/>
      </c>
      <c r="O517" s="17">
        <f>IF('ORDENES'!$S513="preventiva",N517,0)</f>
        <v/>
      </c>
      <c r="P517" s="17">
        <f>IF('ORDENES'!$S513="correctiva",N517,0)</f>
        <v/>
      </c>
      <c r="Q517" s="3">
        <f>IF(AND(K517=1,'ORDENES'!$N513="Pendiente"),1,0)</f>
        <v/>
      </c>
      <c r="R517" s="3">
        <f>IF(Q517=1,100000-N517*1000+510*0.01,9000000000000+510)</f>
        <v/>
      </c>
      <c r="S517" s="3">
        <f>IF(Q517=1,SUMPRODUCT(--($R$8:$R$1207&lt;R517))+1,"")</f>
        <v/>
      </c>
      <c r="T517" s="11">
        <f>IF(K517=1,'ORDENES'!$J513,"")</f>
        <v/>
      </c>
    </row>
    <row r="518">
      <c r="K518" s="3">
        <f>IF(AND(IF($B$3="(todos)",TRUE,'ORDENES'!$O514=$B$3),IF($D$3="(todos)",TRUE,'ORDENES'!$AC514=$D$3),IF($F$3="(todos)",TRUE,'ORDENES'!$V514=$F$3),'ORDENES'!$AA514=TRUE,'ORDENES'!$A514&lt;&gt;""),1,0)</f>
        <v/>
      </c>
      <c r="L518" s="3">
        <f>IF(K518=1,IFERROR(MATCH('ORDENES'!$R514,lista_dias,0),9)*1000000000+IFERROR(MATCH('ORDENES'!$AC514,lista_turnos,0),9)*10000000+IFERROR(MATCH('ORDENES'!$AB514,'TECNICOS'!$B$4:$B$15,0),99)*100000+511,9000000000000+511)</f>
        <v/>
      </c>
      <c r="M518" s="3">
        <f>IF(K518=1,SUMPRODUCT(--($L$8:$L$1207&lt;L518))+1,"")</f>
        <v/>
      </c>
      <c r="N518" s="17">
        <f>IF(K518=1,N('ORDENES'!$M514),0)</f>
        <v/>
      </c>
      <c r="O518" s="17">
        <f>IF('ORDENES'!$S514="preventiva",N518,0)</f>
        <v/>
      </c>
      <c r="P518" s="17">
        <f>IF('ORDENES'!$S514="correctiva",N518,0)</f>
        <v/>
      </c>
      <c r="Q518" s="3">
        <f>IF(AND(K518=1,'ORDENES'!$N514="Pendiente"),1,0)</f>
        <v/>
      </c>
      <c r="R518" s="3">
        <f>IF(Q518=1,100000-N518*1000+511*0.01,9000000000000+511)</f>
        <v/>
      </c>
      <c r="S518" s="3">
        <f>IF(Q518=1,SUMPRODUCT(--($R$8:$R$1207&lt;R518))+1,"")</f>
        <v/>
      </c>
      <c r="T518" s="11">
        <f>IF(K518=1,'ORDENES'!$J514,"")</f>
        <v/>
      </c>
    </row>
    <row r="519">
      <c r="K519" s="3">
        <f>IF(AND(IF($B$3="(todos)",TRUE,'ORDENES'!$O515=$B$3),IF($D$3="(todos)",TRUE,'ORDENES'!$AC515=$D$3),IF($F$3="(todos)",TRUE,'ORDENES'!$V515=$F$3),'ORDENES'!$AA515=TRUE,'ORDENES'!$A515&lt;&gt;""),1,0)</f>
        <v/>
      </c>
      <c r="L519" s="3">
        <f>IF(K519=1,IFERROR(MATCH('ORDENES'!$R515,lista_dias,0),9)*1000000000+IFERROR(MATCH('ORDENES'!$AC515,lista_turnos,0),9)*10000000+IFERROR(MATCH('ORDENES'!$AB515,'TECNICOS'!$B$4:$B$15,0),99)*100000+512,9000000000000+512)</f>
        <v/>
      </c>
      <c r="M519" s="3">
        <f>IF(K519=1,SUMPRODUCT(--($L$8:$L$1207&lt;L519))+1,"")</f>
        <v/>
      </c>
      <c r="N519" s="17">
        <f>IF(K519=1,N('ORDENES'!$M515),0)</f>
        <v/>
      </c>
      <c r="O519" s="17">
        <f>IF('ORDENES'!$S515="preventiva",N519,0)</f>
        <v/>
      </c>
      <c r="P519" s="17">
        <f>IF('ORDENES'!$S515="correctiva",N519,0)</f>
        <v/>
      </c>
      <c r="Q519" s="3">
        <f>IF(AND(K519=1,'ORDENES'!$N515="Pendiente"),1,0)</f>
        <v/>
      </c>
      <c r="R519" s="3">
        <f>IF(Q519=1,100000-N519*1000+512*0.01,9000000000000+512)</f>
        <v/>
      </c>
      <c r="S519" s="3">
        <f>IF(Q519=1,SUMPRODUCT(--($R$8:$R$1207&lt;R519))+1,"")</f>
        <v/>
      </c>
      <c r="T519" s="11">
        <f>IF(K519=1,'ORDENES'!$J515,"")</f>
        <v/>
      </c>
    </row>
    <row r="520">
      <c r="K520" s="3">
        <f>IF(AND(IF($B$3="(todos)",TRUE,'ORDENES'!$O516=$B$3),IF($D$3="(todos)",TRUE,'ORDENES'!$AC516=$D$3),IF($F$3="(todos)",TRUE,'ORDENES'!$V516=$F$3),'ORDENES'!$AA516=TRUE,'ORDENES'!$A516&lt;&gt;""),1,0)</f>
        <v/>
      </c>
      <c r="L520" s="3">
        <f>IF(K520=1,IFERROR(MATCH('ORDENES'!$R516,lista_dias,0),9)*1000000000+IFERROR(MATCH('ORDENES'!$AC516,lista_turnos,0),9)*10000000+IFERROR(MATCH('ORDENES'!$AB516,'TECNICOS'!$B$4:$B$15,0),99)*100000+513,9000000000000+513)</f>
        <v/>
      </c>
      <c r="M520" s="3">
        <f>IF(K520=1,SUMPRODUCT(--($L$8:$L$1207&lt;L520))+1,"")</f>
        <v/>
      </c>
      <c r="N520" s="17">
        <f>IF(K520=1,N('ORDENES'!$M516),0)</f>
        <v/>
      </c>
      <c r="O520" s="17">
        <f>IF('ORDENES'!$S516="preventiva",N520,0)</f>
        <v/>
      </c>
      <c r="P520" s="17">
        <f>IF('ORDENES'!$S516="correctiva",N520,0)</f>
        <v/>
      </c>
      <c r="Q520" s="3">
        <f>IF(AND(K520=1,'ORDENES'!$N516="Pendiente"),1,0)</f>
        <v/>
      </c>
      <c r="R520" s="3">
        <f>IF(Q520=1,100000-N520*1000+513*0.01,9000000000000+513)</f>
        <v/>
      </c>
      <c r="S520" s="3">
        <f>IF(Q520=1,SUMPRODUCT(--($R$8:$R$1207&lt;R520))+1,"")</f>
        <v/>
      </c>
      <c r="T520" s="11">
        <f>IF(K520=1,'ORDENES'!$J516,"")</f>
        <v/>
      </c>
    </row>
    <row r="521">
      <c r="K521" s="3">
        <f>IF(AND(IF($B$3="(todos)",TRUE,'ORDENES'!$O517=$B$3),IF($D$3="(todos)",TRUE,'ORDENES'!$AC517=$D$3),IF($F$3="(todos)",TRUE,'ORDENES'!$V517=$F$3),'ORDENES'!$AA517=TRUE,'ORDENES'!$A517&lt;&gt;""),1,0)</f>
        <v/>
      </c>
      <c r="L521" s="3">
        <f>IF(K521=1,IFERROR(MATCH('ORDENES'!$R517,lista_dias,0),9)*1000000000+IFERROR(MATCH('ORDENES'!$AC517,lista_turnos,0),9)*10000000+IFERROR(MATCH('ORDENES'!$AB517,'TECNICOS'!$B$4:$B$15,0),99)*100000+514,9000000000000+514)</f>
        <v/>
      </c>
      <c r="M521" s="3">
        <f>IF(K521=1,SUMPRODUCT(--($L$8:$L$1207&lt;L521))+1,"")</f>
        <v/>
      </c>
      <c r="N521" s="17">
        <f>IF(K521=1,N('ORDENES'!$M517),0)</f>
        <v/>
      </c>
      <c r="O521" s="17">
        <f>IF('ORDENES'!$S517="preventiva",N521,0)</f>
        <v/>
      </c>
      <c r="P521" s="17">
        <f>IF('ORDENES'!$S517="correctiva",N521,0)</f>
        <v/>
      </c>
      <c r="Q521" s="3">
        <f>IF(AND(K521=1,'ORDENES'!$N517="Pendiente"),1,0)</f>
        <v/>
      </c>
      <c r="R521" s="3">
        <f>IF(Q521=1,100000-N521*1000+514*0.01,9000000000000+514)</f>
        <v/>
      </c>
      <c r="S521" s="3">
        <f>IF(Q521=1,SUMPRODUCT(--($R$8:$R$1207&lt;R521))+1,"")</f>
        <v/>
      </c>
      <c r="T521" s="11">
        <f>IF(K521=1,'ORDENES'!$J517,"")</f>
        <v/>
      </c>
    </row>
    <row r="522">
      <c r="K522" s="3">
        <f>IF(AND(IF($B$3="(todos)",TRUE,'ORDENES'!$O518=$B$3),IF($D$3="(todos)",TRUE,'ORDENES'!$AC518=$D$3),IF($F$3="(todos)",TRUE,'ORDENES'!$V518=$F$3),'ORDENES'!$AA518=TRUE,'ORDENES'!$A518&lt;&gt;""),1,0)</f>
        <v/>
      </c>
      <c r="L522" s="3">
        <f>IF(K522=1,IFERROR(MATCH('ORDENES'!$R518,lista_dias,0),9)*1000000000+IFERROR(MATCH('ORDENES'!$AC518,lista_turnos,0),9)*10000000+IFERROR(MATCH('ORDENES'!$AB518,'TECNICOS'!$B$4:$B$15,0),99)*100000+515,9000000000000+515)</f>
        <v/>
      </c>
      <c r="M522" s="3">
        <f>IF(K522=1,SUMPRODUCT(--($L$8:$L$1207&lt;L522))+1,"")</f>
        <v/>
      </c>
      <c r="N522" s="17">
        <f>IF(K522=1,N('ORDENES'!$M518),0)</f>
        <v/>
      </c>
      <c r="O522" s="17">
        <f>IF('ORDENES'!$S518="preventiva",N522,0)</f>
        <v/>
      </c>
      <c r="P522" s="17">
        <f>IF('ORDENES'!$S518="correctiva",N522,0)</f>
        <v/>
      </c>
      <c r="Q522" s="3">
        <f>IF(AND(K522=1,'ORDENES'!$N518="Pendiente"),1,0)</f>
        <v/>
      </c>
      <c r="R522" s="3">
        <f>IF(Q522=1,100000-N522*1000+515*0.01,9000000000000+515)</f>
        <v/>
      </c>
      <c r="S522" s="3">
        <f>IF(Q522=1,SUMPRODUCT(--($R$8:$R$1207&lt;R522))+1,"")</f>
        <v/>
      </c>
      <c r="T522" s="11">
        <f>IF(K522=1,'ORDENES'!$J518,"")</f>
        <v/>
      </c>
    </row>
    <row r="523">
      <c r="K523" s="3">
        <f>IF(AND(IF($B$3="(todos)",TRUE,'ORDENES'!$O519=$B$3),IF($D$3="(todos)",TRUE,'ORDENES'!$AC519=$D$3),IF($F$3="(todos)",TRUE,'ORDENES'!$V519=$F$3),'ORDENES'!$AA519=TRUE,'ORDENES'!$A519&lt;&gt;""),1,0)</f>
        <v/>
      </c>
      <c r="L523" s="3">
        <f>IF(K523=1,IFERROR(MATCH('ORDENES'!$R519,lista_dias,0),9)*1000000000+IFERROR(MATCH('ORDENES'!$AC519,lista_turnos,0),9)*10000000+IFERROR(MATCH('ORDENES'!$AB519,'TECNICOS'!$B$4:$B$15,0),99)*100000+516,9000000000000+516)</f>
        <v/>
      </c>
      <c r="M523" s="3">
        <f>IF(K523=1,SUMPRODUCT(--($L$8:$L$1207&lt;L523))+1,"")</f>
        <v/>
      </c>
      <c r="N523" s="17">
        <f>IF(K523=1,N('ORDENES'!$M519),0)</f>
        <v/>
      </c>
      <c r="O523" s="17">
        <f>IF('ORDENES'!$S519="preventiva",N523,0)</f>
        <v/>
      </c>
      <c r="P523" s="17">
        <f>IF('ORDENES'!$S519="correctiva",N523,0)</f>
        <v/>
      </c>
      <c r="Q523" s="3">
        <f>IF(AND(K523=1,'ORDENES'!$N519="Pendiente"),1,0)</f>
        <v/>
      </c>
      <c r="R523" s="3">
        <f>IF(Q523=1,100000-N523*1000+516*0.01,9000000000000+516)</f>
        <v/>
      </c>
      <c r="S523" s="3">
        <f>IF(Q523=1,SUMPRODUCT(--($R$8:$R$1207&lt;R523))+1,"")</f>
        <v/>
      </c>
      <c r="T523" s="11">
        <f>IF(K523=1,'ORDENES'!$J519,"")</f>
        <v/>
      </c>
    </row>
    <row r="524">
      <c r="K524" s="3">
        <f>IF(AND(IF($B$3="(todos)",TRUE,'ORDENES'!$O520=$B$3),IF($D$3="(todos)",TRUE,'ORDENES'!$AC520=$D$3),IF($F$3="(todos)",TRUE,'ORDENES'!$V520=$F$3),'ORDENES'!$AA520=TRUE,'ORDENES'!$A520&lt;&gt;""),1,0)</f>
        <v/>
      </c>
      <c r="L524" s="3">
        <f>IF(K524=1,IFERROR(MATCH('ORDENES'!$R520,lista_dias,0),9)*1000000000+IFERROR(MATCH('ORDENES'!$AC520,lista_turnos,0),9)*10000000+IFERROR(MATCH('ORDENES'!$AB520,'TECNICOS'!$B$4:$B$15,0),99)*100000+517,9000000000000+517)</f>
        <v/>
      </c>
      <c r="M524" s="3">
        <f>IF(K524=1,SUMPRODUCT(--($L$8:$L$1207&lt;L524))+1,"")</f>
        <v/>
      </c>
      <c r="N524" s="17">
        <f>IF(K524=1,N('ORDENES'!$M520),0)</f>
        <v/>
      </c>
      <c r="O524" s="17">
        <f>IF('ORDENES'!$S520="preventiva",N524,0)</f>
        <v/>
      </c>
      <c r="P524" s="17">
        <f>IF('ORDENES'!$S520="correctiva",N524,0)</f>
        <v/>
      </c>
      <c r="Q524" s="3">
        <f>IF(AND(K524=1,'ORDENES'!$N520="Pendiente"),1,0)</f>
        <v/>
      </c>
      <c r="R524" s="3">
        <f>IF(Q524=1,100000-N524*1000+517*0.01,9000000000000+517)</f>
        <v/>
      </c>
      <c r="S524" s="3">
        <f>IF(Q524=1,SUMPRODUCT(--($R$8:$R$1207&lt;R524))+1,"")</f>
        <v/>
      </c>
      <c r="T524" s="11">
        <f>IF(K524=1,'ORDENES'!$J520,"")</f>
        <v/>
      </c>
    </row>
    <row r="525">
      <c r="K525" s="3">
        <f>IF(AND(IF($B$3="(todos)",TRUE,'ORDENES'!$O521=$B$3),IF($D$3="(todos)",TRUE,'ORDENES'!$AC521=$D$3),IF($F$3="(todos)",TRUE,'ORDENES'!$V521=$F$3),'ORDENES'!$AA521=TRUE,'ORDENES'!$A521&lt;&gt;""),1,0)</f>
        <v/>
      </c>
      <c r="L525" s="3">
        <f>IF(K525=1,IFERROR(MATCH('ORDENES'!$R521,lista_dias,0),9)*1000000000+IFERROR(MATCH('ORDENES'!$AC521,lista_turnos,0),9)*10000000+IFERROR(MATCH('ORDENES'!$AB521,'TECNICOS'!$B$4:$B$15,0),99)*100000+518,9000000000000+518)</f>
        <v/>
      </c>
      <c r="M525" s="3">
        <f>IF(K525=1,SUMPRODUCT(--($L$8:$L$1207&lt;L525))+1,"")</f>
        <v/>
      </c>
      <c r="N525" s="17">
        <f>IF(K525=1,N('ORDENES'!$M521),0)</f>
        <v/>
      </c>
      <c r="O525" s="17">
        <f>IF('ORDENES'!$S521="preventiva",N525,0)</f>
        <v/>
      </c>
      <c r="P525" s="17">
        <f>IF('ORDENES'!$S521="correctiva",N525,0)</f>
        <v/>
      </c>
      <c r="Q525" s="3">
        <f>IF(AND(K525=1,'ORDENES'!$N521="Pendiente"),1,0)</f>
        <v/>
      </c>
      <c r="R525" s="3">
        <f>IF(Q525=1,100000-N525*1000+518*0.01,9000000000000+518)</f>
        <v/>
      </c>
      <c r="S525" s="3">
        <f>IF(Q525=1,SUMPRODUCT(--($R$8:$R$1207&lt;R525))+1,"")</f>
        <v/>
      </c>
      <c r="T525" s="11">
        <f>IF(K525=1,'ORDENES'!$J521,"")</f>
        <v/>
      </c>
    </row>
    <row r="526">
      <c r="K526" s="3">
        <f>IF(AND(IF($B$3="(todos)",TRUE,'ORDENES'!$O522=$B$3),IF($D$3="(todos)",TRUE,'ORDENES'!$AC522=$D$3),IF($F$3="(todos)",TRUE,'ORDENES'!$V522=$F$3),'ORDENES'!$AA522=TRUE,'ORDENES'!$A522&lt;&gt;""),1,0)</f>
        <v/>
      </c>
      <c r="L526" s="3">
        <f>IF(K526=1,IFERROR(MATCH('ORDENES'!$R522,lista_dias,0),9)*1000000000+IFERROR(MATCH('ORDENES'!$AC522,lista_turnos,0),9)*10000000+IFERROR(MATCH('ORDENES'!$AB522,'TECNICOS'!$B$4:$B$15,0),99)*100000+519,9000000000000+519)</f>
        <v/>
      </c>
      <c r="M526" s="3">
        <f>IF(K526=1,SUMPRODUCT(--($L$8:$L$1207&lt;L526))+1,"")</f>
        <v/>
      </c>
      <c r="N526" s="17">
        <f>IF(K526=1,N('ORDENES'!$M522),0)</f>
        <v/>
      </c>
      <c r="O526" s="17">
        <f>IF('ORDENES'!$S522="preventiva",N526,0)</f>
        <v/>
      </c>
      <c r="P526" s="17">
        <f>IF('ORDENES'!$S522="correctiva",N526,0)</f>
        <v/>
      </c>
      <c r="Q526" s="3">
        <f>IF(AND(K526=1,'ORDENES'!$N522="Pendiente"),1,0)</f>
        <v/>
      </c>
      <c r="R526" s="3">
        <f>IF(Q526=1,100000-N526*1000+519*0.01,9000000000000+519)</f>
        <v/>
      </c>
      <c r="S526" s="3">
        <f>IF(Q526=1,SUMPRODUCT(--($R$8:$R$1207&lt;R526))+1,"")</f>
        <v/>
      </c>
      <c r="T526" s="11">
        <f>IF(K526=1,'ORDENES'!$J522,"")</f>
        <v/>
      </c>
    </row>
    <row r="527">
      <c r="K527" s="3">
        <f>IF(AND(IF($B$3="(todos)",TRUE,'ORDENES'!$O523=$B$3),IF($D$3="(todos)",TRUE,'ORDENES'!$AC523=$D$3),IF($F$3="(todos)",TRUE,'ORDENES'!$V523=$F$3),'ORDENES'!$AA523=TRUE,'ORDENES'!$A523&lt;&gt;""),1,0)</f>
        <v/>
      </c>
      <c r="L527" s="3">
        <f>IF(K527=1,IFERROR(MATCH('ORDENES'!$R523,lista_dias,0),9)*1000000000+IFERROR(MATCH('ORDENES'!$AC523,lista_turnos,0),9)*10000000+IFERROR(MATCH('ORDENES'!$AB523,'TECNICOS'!$B$4:$B$15,0),99)*100000+520,9000000000000+520)</f>
        <v/>
      </c>
      <c r="M527" s="3">
        <f>IF(K527=1,SUMPRODUCT(--($L$8:$L$1207&lt;L527))+1,"")</f>
        <v/>
      </c>
      <c r="N527" s="17">
        <f>IF(K527=1,N('ORDENES'!$M523),0)</f>
        <v/>
      </c>
      <c r="O527" s="17">
        <f>IF('ORDENES'!$S523="preventiva",N527,0)</f>
        <v/>
      </c>
      <c r="P527" s="17">
        <f>IF('ORDENES'!$S523="correctiva",N527,0)</f>
        <v/>
      </c>
      <c r="Q527" s="3">
        <f>IF(AND(K527=1,'ORDENES'!$N523="Pendiente"),1,0)</f>
        <v/>
      </c>
      <c r="R527" s="3">
        <f>IF(Q527=1,100000-N527*1000+520*0.01,9000000000000+520)</f>
        <v/>
      </c>
      <c r="S527" s="3">
        <f>IF(Q527=1,SUMPRODUCT(--($R$8:$R$1207&lt;R527))+1,"")</f>
        <v/>
      </c>
      <c r="T527" s="11">
        <f>IF(K527=1,'ORDENES'!$J523,"")</f>
        <v/>
      </c>
    </row>
    <row r="528">
      <c r="K528" s="3">
        <f>IF(AND(IF($B$3="(todos)",TRUE,'ORDENES'!$O524=$B$3),IF($D$3="(todos)",TRUE,'ORDENES'!$AC524=$D$3),IF($F$3="(todos)",TRUE,'ORDENES'!$V524=$F$3),'ORDENES'!$AA524=TRUE,'ORDENES'!$A524&lt;&gt;""),1,0)</f>
        <v/>
      </c>
      <c r="L528" s="3">
        <f>IF(K528=1,IFERROR(MATCH('ORDENES'!$R524,lista_dias,0),9)*1000000000+IFERROR(MATCH('ORDENES'!$AC524,lista_turnos,0),9)*10000000+IFERROR(MATCH('ORDENES'!$AB524,'TECNICOS'!$B$4:$B$15,0),99)*100000+521,9000000000000+521)</f>
        <v/>
      </c>
      <c r="M528" s="3">
        <f>IF(K528=1,SUMPRODUCT(--($L$8:$L$1207&lt;L528))+1,"")</f>
        <v/>
      </c>
      <c r="N528" s="17">
        <f>IF(K528=1,N('ORDENES'!$M524),0)</f>
        <v/>
      </c>
      <c r="O528" s="17">
        <f>IF('ORDENES'!$S524="preventiva",N528,0)</f>
        <v/>
      </c>
      <c r="P528" s="17">
        <f>IF('ORDENES'!$S524="correctiva",N528,0)</f>
        <v/>
      </c>
      <c r="Q528" s="3">
        <f>IF(AND(K528=1,'ORDENES'!$N524="Pendiente"),1,0)</f>
        <v/>
      </c>
      <c r="R528" s="3">
        <f>IF(Q528=1,100000-N528*1000+521*0.01,9000000000000+521)</f>
        <v/>
      </c>
      <c r="S528" s="3">
        <f>IF(Q528=1,SUMPRODUCT(--($R$8:$R$1207&lt;R528))+1,"")</f>
        <v/>
      </c>
      <c r="T528" s="11">
        <f>IF(K528=1,'ORDENES'!$J524,"")</f>
        <v/>
      </c>
    </row>
    <row r="529">
      <c r="K529" s="3">
        <f>IF(AND(IF($B$3="(todos)",TRUE,'ORDENES'!$O525=$B$3),IF($D$3="(todos)",TRUE,'ORDENES'!$AC525=$D$3),IF($F$3="(todos)",TRUE,'ORDENES'!$V525=$F$3),'ORDENES'!$AA525=TRUE,'ORDENES'!$A525&lt;&gt;""),1,0)</f>
        <v/>
      </c>
      <c r="L529" s="3">
        <f>IF(K529=1,IFERROR(MATCH('ORDENES'!$R525,lista_dias,0),9)*1000000000+IFERROR(MATCH('ORDENES'!$AC525,lista_turnos,0),9)*10000000+IFERROR(MATCH('ORDENES'!$AB525,'TECNICOS'!$B$4:$B$15,0),99)*100000+522,9000000000000+522)</f>
        <v/>
      </c>
      <c r="M529" s="3">
        <f>IF(K529=1,SUMPRODUCT(--($L$8:$L$1207&lt;L529))+1,"")</f>
        <v/>
      </c>
      <c r="N529" s="17">
        <f>IF(K529=1,N('ORDENES'!$M525),0)</f>
        <v/>
      </c>
      <c r="O529" s="17">
        <f>IF('ORDENES'!$S525="preventiva",N529,0)</f>
        <v/>
      </c>
      <c r="P529" s="17">
        <f>IF('ORDENES'!$S525="correctiva",N529,0)</f>
        <v/>
      </c>
      <c r="Q529" s="3">
        <f>IF(AND(K529=1,'ORDENES'!$N525="Pendiente"),1,0)</f>
        <v/>
      </c>
      <c r="R529" s="3">
        <f>IF(Q529=1,100000-N529*1000+522*0.01,9000000000000+522)</f>
        <v/>
      </c>
      <c r="S529" s="3">
        <f>IF(Q529=1,SUMPRODUCT(--($R$8:$R$1207&lt;R529))+1,"")</f>
        <v/>
      </c>
      <c r="T529" s="11">
        <f>IF(K529=1,'ORDENES'!$J525,"")</f>
        <v/>
      </c>
    </row>
    <row r="530">
      <c r="K530" s="3">
        <f>IF(AND(IF($B$3="(todos)",TRUE,'ORDENES'!$O526=$B$3),IF($D$3="(todos)",TRUE,'ORDENES'!$AC526=$D$3),IF($F$3="(todos)",TRUE,'ORDENES'!$V526=$F$3),'ORDENES'!$AA526=TRUE,'ORDENES'!$A526&lt;&gt;""),1,0)</f>
        <v/>
      </c>
      <c r="L530" s="3">
        <f>IF(K530=1,IFERROR(MATCH('ORDENES'!$R526,lista_dias,0),9)*1000000000+IFERROR(MATCH('ORDENES'!$AC526,lista_turnos,0),9)*10000000+IFERROR(MATCH('ORDENES'!$AB526,'TECNICOS'!$B$4:$B$15,0),99)*100000+523,9000000000000+523)</f>
        <v/>
      </c>
      <c r="M530" s="3">
        <f>IF(K530=1,SUMPRODUCT(--($L$8:$L$1207&lt;L530))+1,"")</f>
        <v/>
      </c>
      <c r="N530" s="17">
        <f>IF(K530=1,N('ORDENES'!$M526),0)</f>
        <v/>
      </c>
      <c r="O530" s="17">
        <f>IF('ORDENES'!$S526="preventiva",N530,0)</f>
        <v/>
      </c>
      <c r="P530" s="17">
        <f>IF('ORDENES'!$S526="correctiva",N530,0)</f>
        <v/>
      </c>
      <c r="Q530" s="3">
        <f>IF(AND(K530=1,'ORDENES'!$N526="Pendiente"),1,0)</f>
        <v/>
      </c>
      <c r="R530" s="3">
        <f>IF(Q530=1,100000-N530*1000+523*0.01,9000000000000+523)</f>
        <v/>
      </c>
      <c r="S530" s="3">
        <f>IF(Q530=1,SUMPRODUCT(--($R$8:$R$1207&lt;R530))+1,"")</f>
        <v/>
      </c>
      <c r="T530" s="11">
        <f>IF(K530=1,'ORDENES'!$J526,"")</f>
        <v/>
      </c>
    </row>
    <row r="531">
      <c r="K531" s="3">
        <f>IF(AND(IF($B$3="(todos)",TRUE,'ORDENES'!$O527=$B$3),IF($D$3="(todos)",TRUE,'ORDENES'!$AC527=$D$3),IF($F$3="(todos)",TRUE,'ORDENES'!$V527=$F$3),'ORDENES'!$AA527=TRUE,'ORDENES'!$A527&lt;&gt;""),1,0)</f>
        <v/>
      </c>
      <c r="L531" s="3">
        <f>IF(K531=1,IFERROR(MATCH('ORDENES'!$R527,lista_dias,0),9)*1000000000+IFERROR(MATCH('ORDENES'!$AC527,lista_turnos,0),9)*10000000+IFERROR(MATCH('ORDENES'!$AB527,'TECNICOS'!$B$4:$B$15,0),99)*100000+524,9000000000000+524)</f>
        <v/>
      </c>
      <c r="M531" s="3">
        <f>IF(K531=1,SUMPRODUCT(--($L$8:$L$1207&lt;L531))+1,"")</f>
        <v/>
      </c>
      <c r="N531" s="17">
        <f>IF(K531=1,N('ORDENES'!$M527),0)</f>
        <v/>
      </c>
      <c r="O531" s="17">
        <f>IF('ORDENES'!$S527="preventiva",N531,0)</f>
        <v/>
      </c>
      <c r="P531" s="17">
        <f>IF('ORDENES'!$S527="correctiva",N531,0)</f>
        <v/>
      </c>
      <c r="Q531" s="3">
        <f>IF(AND(K531=1,'ORDENES'!$N527="Pendiente"),1,0)</f>
        <v/>
      </c>
      <c r="R531" s="3">
        <f>IF(Q531=1,100000-N531*1000+524*0.01,9000000000000+524)</f>
        <v/>
      </c>
      <c r="S531" s="3">
        <f>IF(Q531=1,SUMPRODUCT(--($R$8:$R$1207&lt;R531))+1,"")</f>
        <v/>
      </c>
      <c r="T531" s="11">
        <f>IF(K531=1,'ORDENES'!$J527,"")</f>
        <v/>
      </c>
    </row>
    <row r="532">
      <c r="K532" s="3">
        <f>IF(AND(IF($B$3="(todos)",TRUE,'ORDENES'!$O528=$B$3),IF($D$3="(todos)",TRUE,'ORDENES'!$AC528=$D$3),IF($F$3="(todos)",TRUE,'ORDENES'!$V528=$F$3),'ORDENES'!$AA528=TRUE,'ORDENES'!$A528&lt;&gt;""),1,0)</f>
        <v/>
      </c>
      <c r="L532" s="3">
        <f>IF(K532=1,IFERROR(MATCH('ORDENES'!$R528,lista_dias,0),9)*1000000000+IFERROR(MATCH('ORDENES'!$AC528,lista_turnos,0),9)*10000000+IFERROR(MATCH('ORDENES'!$AB528,'TECNICOS'!$B$4:$B$15,0),99)*100000+525,9000000000000+525)</f>
        <v/>
      </c>
      <c r="M532" s="3">
        <f>IF(K532=1,SUMPRODUCT(--($L$8:$L$1207&lt;L532))+1,"")</f>
        <v/>
      </c>
      <c r="N532" s="17">
        <f>IF(K532=1,N('ORDENES'!$M528),0)</f>
        <v/>
      </c>
      <c r="O532" s="17">
        <f>IF('ORDENES'!$S528="preventiva",N532,0)</f>
        <v/>
      </c>
      <c r="P532" s="17">
        <f>IF('ORDENES'!$S528="correctiva",N532,0)</f>
        <v/>
      </c>
      <c r="Q532" s="3">
        <f>IF(AND(K532=1,'ORDENES'!$N528="Pendiente"),1,0)</f>
        <v/>
      </c>
      <c r="R532" s="3">
        <f>IF(Q532=1,100000-N532*1000+525*0.01,9000000000000+525)</f>
        <v/>
      </c>
      <c r="S532" s="3">
        <f>IF(Q532=1,SUMPRODUCT(--($R$8:$R$1207&lt;R532))+1,"")</f>
        <v/>
      </c>
      <c r="T532" s="11">
        <f>IF(K532=1,'ORDENES'!$J528,"")</f>
        <v/>
      </c>
    </row>
    <row r="533">
      <c r="K533" s="3">
        <f>IF(AND(IF($B$3="(todos)",TRUE,'ORDENES'!$O529=$B$3),IF($D$3="(todos)",TRUE,'ORDENES'!$AC529=$D$3),IF($F$3="(todos)",TRUE,'ORDENES'!$V529=$F$3),'ORDENES'!$AA529=TRUE,'ORDENES'!$A529&lt;&gt;""),1,0)</f>
        <v/>
      </c>
      <c r="L533" s="3">
        <f>IF(K533=1,IFERROR(MATCH('ORDENES'!$R529,lista_dias,0),9)*1000000000+IFERROR(MATCH('ORDENES'!$AC529,lista_turnos,0),9)*10000000+IFERROR(MATCH('ORDENES'!$AB529,'TECNICOS'!$B$4:$B$15,0),99)*100000+526,9000000000000+526)</f>
        <v/>
      </c>
      <c r="M533" s="3">
        <f>IF(K533=1,SUMPRODUCT(--($L$8:$L$1207&lt;L533))+1,"")</f>
        <v/>
      </c>
      <c r="N533" s="17">
        <f>IF(K533=1,N('ORDENES'!$M529),0)</f>
        <v/>
      </c>
      <c r="O533" s="17">
        <f>IF('ORDENES'!$S529="preventiva",N533,0)</f>
        <v/>
      </c>
      <c r="P533" s="17">
        <f>IF('ORDENES'!$S529="correctiva",N533,0)</f>
        <v/>
      </c>
      <c r="Q533" s="3">
        <f>IF(AND(K533=1,'ORDENES'!$N529="Pendiente"),1,0)</f>
        <v/>
      </c>
      <c r="R533" s="3">
        <f>IF(Q533=1,100000-N533*1000+526*0.01,9000000000000+526)</f>
        <v/>
      </c>
      <c r="S533" s="3">
        <f>IF(Q533=1,SUMPRODUCT(--($R$8:$R$1207&lt;R533))+1,"")</f>
        <v/>
      </c>
      <c r="T533" s="11">
        <f>IF(K533=1,'ORDENES'!$J529,"")</f>
        <v/>
      </c>
    </row>
    <row r="534">
      <c r="K534" s="3">
        <f>IF(AND(IF($B$3="(todos)",TRUE,'ORDENES'!$O530=$B$3),IF($D$3="(todos)",TRUE,'ORDENES'!$AC530=$D$3),IF($F$3="(todos)",TRUE,'ORDENES'!$V530=$F$3),'ORDENES'!$AA530=TRUE,'ORDENES'!$A530&lt;&gt;""),1,0)</f>
        <v/>
      </c>
      <c r="L534" s="3">
        <f>IF(K534=1,IFERROR(MATCH('ORDENES'!$R530,lista_dias,0),9)*1000000000+IFERROR(MATCH('ORDENES'!$AC530,lista_turnos,0),9)*10000000+IFERROR(MATCH('ORDENES'!$AB530,'TECNICOS'!$B$4:$B$15,0),99)*100000+527,9000000000000+527)</f>
        <v/>
      </c>
      <c r="M534" s="3">
        <f>IF(K534=1,SUMPRODUCT(--($L$8:$L$1207&lt;L534))+1,"")</f>
        <v/>
      </c>
      <c r="N534" s="17">
        <f>IF(K534=1,N('ORDENES'!$M530),0)</f>
        <v/>
      </c>
      <c r="O534" s="17">
        <f>IF('ORDENES'!$S530="preventiva",N534,0)</f>
        <v/>
      </c>
      <c r="P534" s="17">
        <f>IF('ORDENES'!$S530="correctiva",N534,0)</f>
        <v/>
      </c>
      <c r="Q534" s="3">
        <f>IF(AND(K534=1,'ORDENES'!$N530="Pendiente"),1,0)</f>
        <v/>
      </c>
      <c r="R534" s="3">
        <f>IF(Q534=1,100000-N534*1000+527*0.01,9000000000000+527)</f>
        <v/>
      </c>
      <c r="S534" s="3">
        <f>IF(Q534=1,SUMPRODUCT(--($R$8:$R$1207&lt;R534))+1,"")</f>
        <v/>
      </c>
      <c r="T534" s="11">
        <f>IF(K534=1,'ORDENES'!$J530,"")</f>
        <v/>
      </c>
    </row>
    <row r="535">
      <c r="K535" s="3">
        <f>IF(AND(IF($B$3="(todos)",TRUE,'ORDENES'!$O531=$B$3),IF($D$3="(todos)",TRUE,'ORDENES'!$AC531=$D$3),IF($F$3="(todos)",TRUE,'ORDENES'!$V531=$F$3),'ORDENES'!$AA531=TRUE,'ORDENES'!$A531&lt;&gt;""),1,0)</f>
        <v/>
      </c>
      <c r="L535" s="3">
        <f>IF(K535=1,IFERROR(MATCH('ORDENES'!$R531,lista_dias,0),9)*1000000000+IFERROR(MATCH('ORDENES'!$AC531,lista_turnos,0),9)*10000000+IFERROR(MATCH('ORDENES'!$AB531,'TECNICOS'!$B$4:$B$15,0),99)*100000+528,9000000000000+528)</f>
        <v/>
      </c>
      <c r="M535" s="3">
        <f>IF(K535=1,SUMPRODUCT(--($L$8:$L$1207&lt;L535))+1,"")</f>
        <v/>
      </c>
      <c r="N535" s="17">
        <f>IF(K535=1,N('ORDENES'!$M531),0)</f>
        <v/>
      </c>
      <c r="O535" s="17">
        <f>IF('ORDENES'!$S531="preventiva",N535,0)</f>
        <v/>
      </c>
      <c r="P535" s="17">
        <f>IF('ORDENES'!$S531="correctiva",N535,0)</f>
        <v/>
      </c>
      <c r="Q535" s="3">
        <f>IF(AND(K535=1,'ORDENES'!$N531="Pendiente"),1,0)</f>
        <v/>
      </c>
      <c r="R535" s="3">
        <f>IF(Q535=1,100000-N535*1000+528*0.01,9000000000000+528)</f>
        <v/>
      </c>
      <c r="S535" s="3">
        <f>IF(Q535=1,SUMPRODUCT(--($R$8:$R$1207&lt;R535))+1,"")</f>
        <v/>
      </c>
      <c r="T535" s="11">
        <f>IF(K535=1,'ORDENES'!$J531,"")</f>
        <v/>
      </c>
    </row>
    <row r="536">
      <c r="K536" s="3">
        <f>IF(AND(IF($B$3="(todos)",TRUE,'ORDENES'!$O532=$B$3),IF($D$3="(todos)",TRUE,'ORDENES'!$AC532=$D$3),IF($F$3="(todos)",TRUE,'ORDENES'!$V532=$F$3),'ORDENES'!$AA532=TRUE,'ORDENES'!$A532&lt;&gt;""),1,0)</f>
        <v/>
      </c>
      <c r="L536" s="3">
        <f>IF(K536=1,IFERROR(MATCH('ORDENES'!$R532,lista_dias,0),9)*1000000000+IFERROR(MATCH('ORDENES'!$AC532,lista_turnos,0),9)*10000000+IFERROR(MATCH('ORDENES'!$AB532,'TECNICOS'!$B$4:$B$15,0),99)*100000+529,9000000000000+529)</f>
        <v/>
      </c>
      <c r="M536" s="3">
        <f>IF(K536=1,SUMPRODUCT(--($L$8:$L$1207&lt;L536))+1,"")</f>
        <v/>
      </c>
      <c r="N536" s="17">
        <f>IF(K536=1,N('ORDENES'!$M532),0)</f>
        <v/>
      </c>
      <c r="O536" s="17">
        <f>IF('ORDENES'!$S532="preventiva",N536,0)</f>
        <v/>
      </c>
      <c r="P536" s="17">
        <f>IF('ORDENES'!$S532="correctiva",N536,0)</f>
        <v/>
      </c>
      <c r="Q536" s="3">
        <f>IF(AND(K536=1,'ORDENES'!$N532="Pendiente"),1,0)</f>
        <v/>
      </c>
      <c r="R536" s="3">
        <f>IF(Q536=1,100000-N536*1000+529*0.01,9000000000000+529)</f>
        <v/>
      </c>
      <c r="S536" s="3">
        <f>IF(Q536=1,SUMPRODUCT(--($R$8:$R$1207&lt;R536))+1,"")</f>
        <v/>
      </c>
      <c r="T536" s="11">
        <f>IF(K536=1,'ORDENES'!$J532,"")</f>
        <v/>
      </c>
    </row>
    <row r="537">
      <c r="K537" s="3">
        <f>IF(AND(IF($B$3="(todos)",TRUE,'ORDENES'!$O533=$B$3),IF($D$3="(todos)",TRUE,'ORDENES'!$AC533=$D$3),IF($F$3="(todos)",TRUE,'ORDENES'!$V533=$F$3),'ORDENES'!$AA533=TRUE,'ORDENES'!$A533&lt;&gt;""),1,0)</f>
        <v/>
      </c>
      <c r="L537" s="3">
        <f>IF(K537=1,IFERROR(MATCH('ORDENES'!$R533,lista_dias,0),9)*1000000000+IFERROR(MATCH('ORDENES'!$AC533,lista_turnos,0),9)*10000000+IFERROR(MATCH('ORDENES'!$AB533,'TECNICOS'!$B$4:$B$15,0),99)*100000+530,9000000000000+530)</f>
        <v/>
      </c>
      <c r="M537" s="3">
        <f>IF(K537=1,SUMPRODUCT(--($L$8:$L$1207&lt;L537))+1,"")</f>
        <v/>
      </c>
      <c r="N537" s="17">
        <f>IF(K537=1,N('ORDENES'!$M533),0)</f>
        <v/>
      </c>
      <c r="O537" s="17">
        <f>IF('ORDENES'!$S533="preventiva",N537,0)</f>
        <v/>
      </c>
      <c r="P537" s="17">
        <f>IF('ORDENES'!$S533="correctiva",N537,0)</f>
        <v/>
      </c>
      <c r="Q537" s="3">
        <f>IF(AND(K537=1,'ORDENES'!$N533="Pendiente"),1,0)</f>
        <v/>
      </c>
      <c r="R537" s="3">
        <f>IF(Q537=1,100000-N537*1000+530*0.01,9000000000000+530)</f>
        <v/>
      </c>
      <c r="S537" s="3">
        <f>IF(Q537=1,SUMPRODUCT(--($R$8:$R$1207&lt;R537))+1,"")</f>
        <v/>
      </c>
      <c r="T537" s="11">
        <f>IF(K537=1,'ORDENES'!$J533,"")</f>
        <v/>
      </c>
    </row>
    <row r="538">
      <c r="K538" s="3">
        <f>IF(AND(IF($B$3="(todos)",TRUE,'ORDENES'!$O534=$B$3),IF($D$3="(todos)",TRUE,'ORDENES'!$AC534=$D$3),IF($F$3="(todos)",TRUE,'ORDENES'!$V534=$F$3),'ORDENES'!$AA534=TRUE,'ORDENES'!$A534&lt;&gt;""),1,0)</f>
        <v/>
      </c>
      <c r="L538" s="3">
        <f>IF(K538=1,IFERROR(MATCH('ORDENES'!$R534,lista_dias,0),9)*1000000000+IFERROR(MATCH('ORDENES'!$AC534,lista_turnos,0),9)*10000000+IFERROR(MATCH('ORDENES'!$AB534,'TECNICOS'!$B$4:$B$15,0),99)*100000+531,9000000000000+531)</f>
        <v/>
      </c>
      <c r="M538" s="3">
        <f>IF(K538=1,SUMPRODUCT(--($L$8:$L$1207&lt;L538))+1,"")</f>
        <v/>
      </c>
      <c r="N538" s="17">
        <f>IF(K538=1,N('ORDENES'!$M534),0)</f>
        <v/>
      </c>
      <c r="O538" s="17">
        <f>IF('ORDENES'!$S534="preventiva",N538,0)</f>
        <v/>
      </c>
      <c r="P538" s="17">
        <f>IF('ORDENES'!$S534="correctiva",N538,0)</f>
        <v/>
      </c>
      <c r="Q538" s="3">
        <f>IF(AND(K538=1,'ORDENES'!$N534="Pendiente"),1,0)</f>
        <v/>
      </c>
      <c r="R538" s="3">
        <f>IF(Q538=1,100000-N538*1000+531*0.01,9000000000000+531)</f>
        <v/>
      </c>
      <c r="S538" s="3">
        <f>IF(Q538=1,SUMPRODUCT(--($R$8:$R$1207&lt;R538))+1,"")</f>
        <v/>
      </c>
      <c r="T538" s="11">
        <f>IF(K538=1,'ORDENES'!$J534,"")</f>
        <v/>
      </c>
    </row>
    <row r="539">
      <c r="K539" s="3">
        <f>IF(AND(IF($B$3="(todos)",TRUE,'ORDENES'!$O535=$B$3),IF($D$3="(todos)",TRUE,'ORDENES'!$AC535=$D$3),IF($F$3="(todos)",TRUE,'ORDENES'!$V535=$F$3),'ORDENES'!$AA535=TRUE,'ORDENES'!$A535&lt;&gt;""),1,0)</f>
        <v/>
      </c>
      <c r="L539" s="3">
        <f>IF(K539=1,IFERROR(MATCH('ORDENES'!$R535,lista_dias,0),9)*1000000000+IFERROR(MATCH('ORDENES'!$AC535,lista_turnos,0),9)*10000000+IFERROR(MATCH('ORDENES'!$AB535,'TECNICOS'!$B$4:$B$15,0),99)*100000+532,9000000000000+532)</f>
        <v/>
      </c>
      <c r="M539" s="3">
        <f>IF(K539=1,SUMPRODUCT(--($L$8:$L$1207&lt;L539))+1,"")</f>
        <v/>
      </c>
      <c r="N539" s="17">
        <f>IF(K539=1,N('ORDENES'!$M535),0)</f>
        <v/>
      </c>
      <c r="O539" s="17">
        <f>IF('ORDENES'!$S535="preventiva",N539,0)</f>
        <v/>
      </c>
      <c r="P539" s="17">
        <f>IF('ORDENES'!$S535="correctiva",N539,0)</f>
        <v/>
      </c>
      <c r="Q539" s="3">
        <f>IF(AND(K539=1,'ORDENES'!$N535="Pendiente"),1,0)</f>
        <v/>
      </c>
      <c r="R539" s="3">
        <f>IF(Q539=1,100000-N539*1000+532*0.01,9000000000000+532)</f>
        <v/>
      </c>
      <c r="S539" s="3">
        <f>IF(Q539=1,SUMPRODUCT(--($R$8:$R$1207&lt;R539))+1,"")</f>
        <v/>
      </c>
      <c r="T539" s="11">
        <f>IF(K539=1,'ORDENES'!$J535,"")</f>
        <v/>
      </c>
    </row>
    <row r="540">
      <c r="K540" s="3">
        <f>IF(AND(IF($B$3="(todos)",TRUE,'ORDENES'!$O536=$B$3),IF($D$3="(todos)",TRUE,'ORDENES'!$AC536=$D$3),IF($F$3="(todos)",TRUE,'ORDENES'!$V536=$F$3),'ORDENES'!$AA536=TRUE,'ORDENES'!$A536&lt;&gt;""),1,0)</f>
        <v/>
      </c>
      <c r="L540" s="3">
        <f>IF(K540=1,IFERROR(MATCH('ORDENES'!$R536,lista_dias,0),9)*1000000000+IFERROR(MATCH('ORDENES'!$AC536,lista_turnos,0),9)*10000000+IFERROR(MATCH('ORDENES'!$AB536,'TECNICOS'!$B$4:$B$15,0),99)*100000+533,9000000000000+533)</f>
        <v/>
      </c>
      <c r="M540" s="3">
        <f>IF(K540=1,SUMPRODUCT(--($L$8:$L$1207&lt;L540))+1,"")</f>
        <v/>
      </c>
      <c r="N540" s="17">
        <f>IF(K540=1,N('ORDENES'!$M536),0)</f>
        <v/>
      </c>
      <c r="O540" s="17">
        <f>IF('ORDENES'!$S536="preventiva",N540,0)</f>
        <v/>
      </c>
      <c r="P540" s="17">
        <f>IF('ORDENES'!$S536="correctiva",N540,0)</f>
        <v/>
      </c>
      <c r="Q540" s="3">
        <f>IF(AND(K540=1,'ORDENES'!$N536="Pendiente"),1,0)</f>
        <v/>
      </c>
      <c r="R540" s="3">
        <f>IF(Q540=1,100000-N540*1000+533*0.01,9000000000000+533)</f>
        <v/>
      </c>
      <c r="S540" s="3">
        <f>IF(Q540=1,SUMPRODUCT(--($R$8:$R$1207&lt;R540))+1,"")</f>
        <v/>
      </c>
      <c r="T540" s="11">
        <f>IF(K540=1,'ORDENES'!$J536,"")</f>
        <v/>
      </c>
    </row>
    <row r="541">
      <c r="K541" s="3">
        <f>IF(AND(IF($B$3="(todos)",TRUE,'ORDENES'!$O537=$B$3),IF($D$3="(todos)",TRUE,'ORDENES'!$AC537=$D$3),IF($F$3="(todos)",TRUE,'ORDENES'!$V537=$F$3),'ORDENES'!$AA537=TRUE,'ORDENES'!$A537&lt;&gt;""),1,0)</f>
        <v/>
      </c>
      <c r="L541" s="3">
        <f>IF(K541=1,IFERROR(MATCH('ORDENES'!$R537,lista_dias,0),9)*1000000000+IFERROR(MATCH('ORDENES'!$AC537,lista_turnos,0),9)*10000000+IFERROR(MATCH('ORDENES'!$AB537,'TECNICOS'!$B$4:$B$15,0),99)*100000+534,9000000000000+534)</f>
        <v/>
      </c>
      <c r="M541" s="3">
        <f>IF(K541=1,SUMPRODUCT(--($L$8:$L$1207&lt;L541))+1,"")</f>
        <v/>
      </c>
      <c r="N541" s="17">
        <f>IF(K541=1,N('ORDENES'!$M537),0)</f>
        <v/>
      </c>
      <c r="O541" s="17">
        <f>IF('ORDENES'!$S537="preventiva",N541,0)</f>
        <v/>
      </c>
      <c r="P541" s="17">
        <f>IF('ORDENES'!$S537="correctiva",N541,0)</f>
        <v/>
      </c>
      <c r="Q541" s="3">
        <f>IF(AND(K541=1,'ORDENES'!$N537="Pendiente"),1,0)</f>
        <v/>
      </c>
      <c r="R541" s="3">
        <f>IF(Q541=1,100000-N541*1000+534*0.01,9000000000000+534)</f>
        <v/>
      </c>
      <c r="S541" s="3">
        <f>IF(Q541=1,SUMPRODUCT(--($R$8:$R$1207&lt;R541))+1,"")</f>
        <v/>
      </c>
      <c r="T541" s="11">
        <f>IF(K541=1,'ORDENES'!$J537,"")</f>
        <v/>
      </c>
    </row>
    <row r="542">
      <c r="K542" s="3">
        <f>IF(AND(IF($B$3="(todos)",TRUE,'ORDENES'!$O538=$B$3),IF($D$3="(todos)",TRUE,'ORDENES'!$AC538=$D$3),IF($F$3="(todos)",TRUE,'ORDENES'!$V538=$F$3),'ORDENES'!$AA538=TRUE,'ORDENES'!$A538&lt;&gt;""),1,0)</f>
        <v/>
      </c>
      <c r="L542" s="3">
        <f>IF(K542=1,IFERROR(MATCH('ORDENES'!$R538,lista_dias,0),9)*1000000000+IFERROR(MATCH('ORDENES'!$AC538,lista_turnos,0),9)*10000000+IFERROR(MATCH('ORDENES'!$AB538,'TECNICOS'!$B$4:$B$15,0),99)*100000+535,9000000000000+535)</f>
        <v/>
      </c>
      <c r="M542" s="3">
        <f>IF(K542=1,SUMPRODUCT(--($L$8:$L$1207&lt;L542))+1,"")</f>
        <v/>
      </c>
      <c r="N542" s="17">
        <f>IF(K542=1,N('ORDENES'!$M538),0)</f>
        <v/>
      </c>
      <c r="O542" s="17">
        <f>IF('ORDENES'!$S538="preventiva",N542,0)</f>
        <v/>
      </c>
      <c r="P542" s="17">
        <f>IF('ORDENES'!$S538="correctiva",N542,0)</f>
        <v/>
      </c>
      <c r="Q542" s="3">
        <f>IF(AND(K542=1,'ORDENES'!$N538="Pendiente"),1,0)</f>
        <v/>
      </c>
      <c r="R542" s="3">
        <f>IF(Q542=1,100000-N542*1000+535*0.01,9000000000000+535)</f>
        <v/>
      </c>
      <c r="S542" s="3">
        <f>IF(Q542=1,SUMPRODUCT(--($R$8:$R$1207&lt;R542))+1,"")</f>
        <v/>
      </c>
      <c r="T542" s="11">
        <f>IF(K542=1,'ORDENES'!$J538,"")</f>
        <v/>
      </c>
    </row>
    <row r="543">
      <c r="K543" s="3">
        <f>IF(AND(IF($B$3="(todos)",TRUE,'ORDENES'!$O539=$B$3),IF($D$3="(todos)",TRUE,'ORDENES'!$AC539=$D$3),IF($F$3="(todos)",TRUE,'ORDENES'!$V539=$F$3),'ORDENES'!$AA539=TRUE,'ORDENES'!$A539&lt;&gt;""),1,0)</f>
        <v/>
      </c>
      <c r="L543" s="3">
        <f>IF(K543=1,IFERROR(MATCH('ORDENES'!$R539,lista_dias,0),9)*1000000000+IFERROR(MATCH('ORDENES'!$AC539,lista_turnos,0),9)*10000000+IFERROR(MATCH('ORDENES'!$AB539,'TECNICOS'!$B$4:$B$15,0),99)*100000+536,9000000000000+536)</f>
        <v/>
      </c>
      <c r="M543" s="3">
        <f>IF(K543=1,SUMPRODUCT(--($L$8:$L$1207&lt;L543))+1,"")</f>
        <v/>
      </c>
      <c r="N543" s="17">
        <f>IF(K543=1,N('ORDENES'!$M539),0)</f>
        <v/>
      </c>
      <c r="O543" s="17">
        <f>IF('ORDENES'!$S539="preventiva",N543,0)</f>
        <v/>
      </c>
      <c r="P543" s="17">
        <f>IF('ORDENES'!$S539="correctiva",N543,0)</f>
        <v/>
      </c>
      <c r="Q543" s="3">
        <f>IF(AND(K543=1,'ORDENES'!$N539="Pendiente"),1,0)</f>
        <v/>
      </c>
      <c r="R543" s="3">
        <f>IF(Q543=1,100000-N543*1000+536*0.01,9000000000000+536)</f>
        <v/>
      </c>
      <c r="S543" s="3">
        <f>IF(Q543=1,SUMPRODUCT(--($R$8:$R$1207&lt;R543))+1,"")</f>
        <v/>
      </c>
      <c r="T543" s="11">
        <f>IF(K543=1,'ORDENES'!$J539,"")</f>
        <v/>
      </c>
    </row>
    <row r="544">
      <c r="K544" s="3">
        <f>IF(AND(IF($B$3="(todos)",TRUE,'ORDENES'!$O540=$B$3),IF($D$3="(todos)",TRUE,'ORDENES'!$AC540=$D$3),IF($F$3="(todos)",TRUE,'ORDENES'!$V540=$F$3),'ORDENES'!$AA540=TRUE,'ORDENES'!$A540&lt;&gt;""),1,0)</f>
        <v/>
      </c>
      <c r="L544" s="3">
        <f>IF(K544=1,IFERROR(MATCH('ORDENES'!$R540,lista_dias,0),9)*1000000000+IFERROR(MATCH('ORDENES'!$AC540,lista_turnos,0),9)*10000000+IFERROR(MATCH('ORDENES'!$AB540,'TECNICOS'!$B$4:$B$15,0),99)*100000+537,9000000000000+537)</f>
        <v/>
      </c>
      <c r="M544" s="3">
        <f>IF(K544=1,SUMPRODUCT(--($L$8:$L$1207&lt;L544))+1,"")</f>
        <v/>
      </c>
      <c r="N544" s="17">
        <f>IF(K544=1,N('ORDENES'!$M540),0)</f>
        <v/>
      </c>
      <c r="O544" s="17">
        <f>IF('ORDENES'!$S540="preventiva",N544,0)</f>
        <v/>
      </c>
      <c r="P544" s="17">
        <f>IF('ORDENES'!$S540="correctiva",N544,0)</f>
        <v/>
      </c>
      <c r="Q544" s="3">
        <f>IF(AND(K544=1,'ORDENES'!$N540="Pendiente"),1,0)</f>
        <v/>
      </c>
      <c r="R544" s="3">
        <f>IF(Q544=1,100000-N544*1000+537*0.01,9000000000000+537)</f>
        <v/>
      </c>
      <c r="S544" s="3">
        <f>IF(Q544=1,SUMPRODUCT(--($R$8:$R$1207&lt;R544))+1,"")</f>
        <v/>
      </c>
      <c r="T544" s="11">
        <f>IF(K544=1,'ORDENES'!$J540,"")</f>
        <v/>
      </c>
    </row>
    <row r="545">
      <c r="K545" s="3">
        <f>IF(AND(IF($B$3="(todos)",TRUE,'ORDENES'!$O541=$B$3),IF($D$3="(todos)",TRUE,'ORDENES'!$AC541=$D$3),IF($F$3="(todos)",TRUE,'ORDENES'!$V541=$F$3),'ORDENES'!$AA541=TRUE,'ORDENES'!$A541&lt;&gt;""),1,0)</f>
        <v/>
      </c>
      <c r="L545" s="3">
        <f>IF(K545=1,IFERROR(MATCH('ORDENES'!$R541,lista_dias,0),9)*1000000000+IFERROR(MATCH('ORDENES'!$AC541,lista_turnos,0),9)*10000000+IFERROR(MATCH('ORDENES'!$AB541,'TECNICOS'!$B$4:$B$15,0),99)*100000+538,9000000000000+538)</f>
        <v/>
      </c>
      <c r="M545" s="3">
        <f>IF(K545=1,SUMPRODUCT(--($L$8:$L$1207&lt;L545))+1,"")</f>
        <v/>
      </c>
      <c r="N545" s="17">
        <f>IF(K545=1,N('ORDENES'!$M541),0)</f>
        <v/>
      </c>
      <c r="O545" s="17">
        <f>IF('ORDENES'!$S541="preventiva",N545,0)</f>
        <v/>
      </c>
      <c r="P545" s="17">
        <f>IF('ORDENES'!$S541="correctiva",N545,0)</f>
        <v/>
      </c>
      <c r="Q545" s="3">
        <f>IF(AND(K545=1,'ORDENES'!$N541="Pendiente"),1,0)</f>
        <v/>
      </c>
      <c r="R545" s="3">
        <f>IF(Q545=1,100000-N545*1000+538*0.01,9000000000000+538)</f>
        <v/>
      </c>
      <c r="S545" s="3">
        <f>IF(Q545=1,SUMPRODUCT(--($R$8:$R$1207&lt;R545))+1,"")</f>
        <v/>
      </c>
      <c r="T545" s="11">
        <f>IF(K545=1,'ORDENES'!$J541,"")</f>
        <v/>
      </c>
    </row>
    <row r="546">
      <c r="K546" s="3">
        <f>IF(AND(IF($B$3="(todos)",TRUE,'ORDENES'!$O542=$B$3),IF($D$3="(todos)",TRUE,'ORDENES'!$AC542=$D$3),IF($F$3="(todos)",TRUE,'ORDENES'!$V542=$F$3),'ORDENES'!$AA542=TRUE,'ORDENES'!$A542&lt;&gt;""),1,0)</f>
        <v/>
      </c>
      <c r="L546" s="3">
        <f>IF(K546=1,IFERROR(MATCH('ORDENES'!$R542,lista_dias,0),9)*1000000000+IFERROR(MATCH('ORDENES'!$AC542,lista_turnos,0),9)*10000000+IFERROR(MATCH('ORDENES'!$AB542,'TECNICOS'!$B$4:$B$15,0),99)*100000+539,9000000000000+539)</f>
        <v/>
      </c>
      <c r="M546" s="3">
        <f>IF(K546=1,SUMPRODUCT(--($L$8:$L$1207&lt;L546))+1,"")</f>
        <v/>
      </c>
      <c r="N546" s="17">
        <f>IF(K546=1,N('ORDENES'!$M542),0)</f>
        <v/>
      </c>
      <c r="O546" s="17">
        <f>IF('ORDENES'!$S542="preventiva",N546,0)</f>
        <v/>
      </c>
      <c r="P546" s="17">
        <f>IF('ORDENES'!$S542="correctiva",N546,0)</f>
        <v/>
      </c>
      <c r="Q546" s="3">
        <f>IF(AND(K546=1,'ORDENES'!$N542="Pendiente"),1,0)</f>
        <v/>
      </c>
      <c r="R546" s="3">
        <f>IF(Q546=1,100000-N546*1000+539*0.01,9000000000000+539)</f>
        <v/>
      </c>
      <c r="S546" s="3">
        <f>IF(Q546=1,SUMPRODUCT(--($R$8:$R$1207&lt;R546))+1,"")</f>
        <v/>
      </c>
      <c r="T546" s="11">
        <f>IF(K546=1,'ORDENES'!$J542,"")</f>
        <v/>
      </c>
    </row>
    <row r="547">
      <c r="K547" s="3">
        <f>IF(AND(IF($B$3="(todos)",TRUE,'ORDENES'!$O543=$B$3),IF($D$3="(todos)",TRUE,'ORDENES'!$AC543=$D$3),IF($F$3="(todos)",TRUE,'ORDENES'!$V543=$F$3),'ORDENES'!$AA543=TRUE,'ORDENES'!$A543&lt;&gt;""),1,0)</f>
        <v/>
      </c>
      <c r="L547" s="3">
        <f>IF(K547=1,IFERROR(MATCH('ORDENES'!$R543,lista_dias,0),9)*1000000000+IFERROR(MATCH('ORDENES'!$AC543,lista_turnos,0),9)*10000000+IFERROR(MATCH('ORDENES'!$AB543,'TECNICOS'!$B$4:$B$15,0),99)*100000+540,9000000000000+540)</f>
        <v/>
      </c>
      <c r="M547" s="3">
        <f>IF(K547=1,SUMPRODUCT(--($L$8:$L$1207&lt;L547))+1,"")</f>
        <v/>
      </c>
      <c r="N547" s="17">
        <f>IF(K547=1,N('ORDENES'!$M543),0)</f>
        <v/>
      </c>
      <c r="O547" s="17">
        <f>IF('ORDENES'!$S543="preventiva",N547,0)</f>
        <v/>
      </c>
      <c r="P547" s="17">
        <f>IF('ORDENES'!$S543="correctiva",N547,0)</f>
        <v/>
      </c>
      <c r="Q547" s="3">
        <f>IF(AND(K547=1,'ORDENES'!$N543="Pendiente"),1,0)</f>
        <v/>
      </c>
      <c r="R547" s="3">
        <f>IF(Q547=1,100000-N547*1000+540*0.01,9000000000000+540)</f>
        <v/>
      </c>
      <c r="S547" s="3">
        <f>IF(Q547=1,SUMPRODUCT(--($R$8:$R$1207&lt;R547))+1,"")</f>
        <v/>
      </c>
      <c r="T547" s="11">
        <f>IF(K547=1,'ORDENES'!$J543,"")</f>
        <v/>
      </c>
    </row>
    <row r="548">
      <c r="K548" s="3">
        <f>IF(AND(IF($B$3="(todos)",TRUE,'ORDENES'!$O544=$B$3),IF($D$3="(todos)",TRUE,'ORDENES'!$AC544=$D$3),IF($F$3="(todos)",TRUE,'ORDENES'!$V544=$F$3),'ORDENES'!$AA544=TRUE,'ORDENES'!$A544&lt;&gt;""),1,0)</f>
        <v/>
      </c>
      <c r="L548" s="3">
        <f>IF(K548=1,IFERROR(MATCH('ORDENES'!$R544,lista_dias,0),9)*1000000000+IFERROR(MATCH('ORDENES'!$AC544,lista_turnos,0),9)*10000000+IFERROR(MATCH('ORDENES'!$AB544,'TECNICOS'!$B$4:$B$15,0),99)*100000+541,9000000000000+541)</f>
        <v/>
      </c>
      <c r="M548" s="3">
        <f>IF(K548=1,SUMPRODUCT(--($L$8:$L$1207&lt;L548))+1,"")</f>
        <v/>
      </c>
      <c r="N548" s="17">
        <f>IF(K548=1,N('ORDENES'!$M544),0)</f>
        <v/>
      </c>
      <c r="O548" s="17">
        <f>IF('ORDENES'!$S544="preventiva",N548,0)</f>
        <v/>
      </c>
      <c r="P548" s="17">
        <f>IF('ORDENES'!$S544="correctiva",N548,0)</f>
        <v/>
      </c>
      <c r="Q548" s="3">
        <f>IF(AND(K548=1,'ORDENES'!$N544="Pendiente"),1,0)</f>
        <v/>
      </c>
      <c r="R548" s="3">
        <f>IF(Q548=1,100000-N548*1000+541*0.01,9000000000000+541)</f>
        <v/>
      </c>
      <c r="S548" s="3">
        <f>IF(Q548=1,SUMPRODUCT(--($R$8:$R$1207&lt;R548))+1,"")</f>
        <v/>
      </c>
      <c r="T548" s="11">
        <f>IF(K548=1,'ORDENES'!$J544,"")</f>
        <v/>
      </c>
    </row>
    <row r="549">
      <c r="K549" s="3">
        <f>IF(AND(IF($B$3="(todos)",TRUE,'ORDENES'!$O545=$B$3),IF($D$3="(todos)",TRUE,'ORDENES'!$AC545=$D$3),IF($F$3="(todos)",TRUE,'ORDENES'!$V545=$F$3),'ORDENES'!$AA545=TRUE,'ORDENES'!$A545&lt;&gt;""),1,0)</f>
        <v/>
      </c>
      <c r="L549" s="3">
        <f>IF(K549=1,IFERROR(MATCH('ORDENES'!$R545,lista_dias,0),9)*1000000000+IFERROR(MATCH('ORDENES'!$AC545,lista_turnos,0),9)*10000000+IFERROR(MATCH('ORDENES'!$AB545,'TECNICOS'!$B$4:$B$15,0),99)*100000+542,9000000000000+542)</f>
        <v/>
      </c>
      <c r="M549" s="3">
        <f>IF(K549=1,SUMPRODUCT(--($L$8:$L$1207&lt;L549))+1,"")</f>
        <v/>
      </c>
      <c r="N549" s="17">
        <f>IF(K549=1,N('ORDENES'!$M545),0)</f>
        <v/>
      </c>
      <c r="O549" s="17">
        <f>IF('ORDENES'!$S545="preventiva",N549,0)</f>
        <v/>
      </c>
      <c r="P549" s="17">
        <f>IF('ORDENES'!$S545="correctiva",N549,0)</f>
        <v/>
      </c>
      <c r="Q549" s="3">
        <f>IF(AND(K549=1,'ORDENES'!$N545="Pendiente"),1,0)</f>
        <v/>
      </c>
      <c r="R549" s="3">
        <f>IF(Q549=1,100000-N549*1000+542*0.01,9000000000000+542)</f>
        <v/>
      </c>
      <c r="S549" s="3">
        <f>IF(Q549=1,SUMPRODUCT(--($R$8:$R$1207&lt;R549))+1,"")</f>
        <v/>
      </c>
      <c r="T549" s="11">
        <f>IF(K549=1,'ORDENES'!$J545,"")</f>
        <v/>
      </c>
    </row>
    <row r="550">
      <c r="K550" s="3">
        <f>IF(AND(IF($B$3="(todos)",TRUE,'ORDENES'!$O546=$B$3),IF($D$3="(todos)",TRUE,'ORDENES'!$AC546=$D$3),IF($F$3="(todos)",TRUE,'ORDENES'!$V546=$F$3),'ORDENES'!$AA546=TRUE,'ORDENES'!$A546&lt;&gt;""),1,0)</f>
        <v/>
      </c>
      <c r="L550" s="3">
        <f>IF(K550=1,IFERROR(MATCH('ORDENES'!$R546,lista_dias,0),9)*1000000000+IFERROR(MATCH('ORDENES'!$AC546,lista_turnos,0),9)*10000000+IFERROR(MATCH('ORDENES'!$AB546,'TECNICOS'!$B$4:$B$15,0),99)*100000+543,9000000000000+543)</f>
        <v/>
      </c>
      <c r="M550" s="3">
        <f>IF(K550=1,SUMPRODUCT(--($L$8:$L$1207&lt;L550))+1,"")</f>
        <v/>
      </c>
      <c r="N550" s="17">
        <f>IF(K550=1,N('ORDENES'!$M546),0)</f>
        <v/>
      </c>
      <c r="O550" s="17">
        <f>IF('ORDENES'!$S546="preventiva",N550,0)</f>
        <v/>
      </c>
      <c r="P550" s="17">
        <f>IF('ORDENES'!$S546="correctiva",N550,0)</f>
        <v/>
      </c>
      <c r="Q550" s="3">
        <f>IF(AND(K550=1,'ORDENES'!$N546="Pendiente"),1,0)</f>
        <v/>
      </c>
      <c r="R550" s="3">
        <f>IF(Q550=1,100000-N550*1000+543*0.01,9000000000000+543)</f>
        <v/>
      </c>
      <c r="S550" s="3">
        <f>IF(Q550=1,SUMPRODUCT(--($R$8:$R$1207&lt;R550))+1,"")</f>
        <v/>
      </c>
      <c r="T550" s="11">
        <f>IF(K550=1,'ORDENES'!$J546,"")</f>
        <v/>
      </c>
    </row>
    <row r="551">
      <c r="K551" s="3">
        <f>IF(AND(IF($B$3="(todos)",TRUE,'ORDENES'!$O547=$B$3),IF($D$3="(todos)",TRUE,'ORDENES'!$AC547=$D$3),IF($F$3="(todos)",TRUE,'ORDENES'!$V547=$F$3),'ORDENES'!$AA547=TRUE,'ORDENES'!$A547&lt;&gt;""),1,0)</f>
        <v/>
      </c>
      <c r="L551" s="3">
        <f>IF(K551=1,IFERROR(MATCH('ORDENES'!$R547,lista_dias,0),9)*1000000000+IFERROR(MATCH('ORDENES'!$AC547,lista_turnos,0),9)*10000000+IFERROR(MATCH('ORDENES'!$AB547,'TECNICOS'!$B$4:$B$15,0),99)*100000+544,9000000000000+544)</f>
        <v/>
      </c>
      <c r="M551" s="3">
        <f>IF(K551=1,SUMPRODUCT(--($L$8:$L$1207&lt;L551))+1,"")</f>
        <v/>
      </c>
      <c r="N551" s="17">
        <f>IF(K551=1,N('ORDENES'!$M547),0)</f>
        <v/>
      </c>
      <c r="O551" s="17">
        <f>IF('ORDENES'!$S547="preventiva",N551,0)</f>
        <v/>
      </c>
      <c r="P551" s="17">
        <f>IF('ORDENES'!$S547="correctiva",N551,0)</f>
        <v/>
      </c>
      <c r="Q551" s="3">
        <f>IF(AND(K551=1,'ORDENES'!$N547="Pendiente"),1,0)</f>
        <v/>
      </c>
      <c r="R551" s="3">
        <f>IF(Q551=1,100000-N551*1000+544*0.01,9000000000000+544)</f>
        <v/>
      </c>
      <c r="S551" s="3">
        <f>IF(Q551=1,SUMPRODUCT(--($R$8:$R$1207&lt;R551))+1,"")</f>
        <v/>
      </c>
      <c r="T551" s="11">
        <f>IF(K551=1,'ORDENES'!$J547,"")</f>
        <v/>
      </c>
    </row>
    <row r="552">
      <c r="K552" s="3">
        <f>IF(AND(IF($B$3="(todos)",TRUE,'ORDENES'!$O548=$B$3),IF($D$3="(todos)",TRUE,'ORDENES'!$AC548=$D$3),IF($F$3="(todos)",TRUE,'ORDENES'!$V548=$F$3),'ORDENES'!$AA548=TRUE,'ORDENES'!$A548&lt;&gt;""),1,0)</f>
        <v/>
      </c>
      <c r="L552" s="3">
        <f>IF(K552=1,IFERROR(MATCH('ORDENES'!$R548,lista_dias,0),9)*1000000000+IFERROR(MATCH('ORDENES'!$AC548,lista_turnos,0),9)*10000000+IFERROR(MATCH('ORDENES'!$AB548,'TECNICOS'!$B$4:$B$15,0),99)*100000+545,9000000000000+545)</f>
        <v/>
      </c>
      <c r="M552" s="3">
        <f>IF(K552=1,SUMPRODUCT(--($L$8:$L$1207&lt;L552))+1,"")</f>
        <v/>
      </c>
      <c r="N552" s="17">
        <f>IF(K552=1,N('ORDENES'!$M548),0)</f>
        <v/>
      </c>
      <c r="O552" s="17">
        <f>IF('ORDENES'!$S548="preventiva",N552,0)</f>
        <v/>
      </c>
      <c r="P552" s="17">
        <f>IF('ORDENES'!$S548="correctiva",N552,0)</f>
        <v/>
      </c>
      <c r="Q552" s="3">
        <f>IF(AND(K552=1,'ORDENES'!$N548="Pendiente"),1,0)</f>
        <v/>
      </c>
      <c r="R552" s="3">
        <f>IF(Q552=1,100000-N552*1000+545*0.01,9000000000000+545)</f>
        <v/>
      </c>
      <c r="S552" s="3">
        <f>IF(Q552=1,SUMPRODUCT(--($R$8:$R$1207&lt;R552))+1,"")</f>
        <v/>
      </c>
      <c r="T552" s="11">
        <f>IF(K552=1,'ORDENES'!$J548,"")</f>
        <v/>
      </c>
    </row>
    <row r="553">
      <c r="K553" s="3">
        <f>IF(AND(IF($B$3="(todos)",TRUE,'ORDENES'!$O549=$B$3),IF($D$3="(todos)",TRUE,'ORDENES'!$AC549=$D$3),IF($F$3="(todos)",TRUE,'ORDENES'!$V549=$F$3),'ORDENES'!$AA549=TRUE,'ORDENES'!$A549&lt;&gt;""),1,0)</f>
        <v/>
      </c>
      <c r="L553" s="3">
        <f>IF(K553=1,IFERROR(MATCH('ORDENES'!$R549,lista_dias,0),9)*1000000000+IFERROR(MATCH('ORDENES'!$AC549,lista_turnos,0),9)*10000000+IFERROR(MATCH('ORDENES'!$AB549,'TECNICOS'!$B$4:$B$15,0),99)*100000+546,9000000000000+546)</f>
        <v/>
      </c>
      <c r="M553" s="3">
        <f>IF(K553=1,SUMPRODUCT(--($L$8:$L$1207&lt;L553))+1,"")</f>
        <v/>
      </c>
      <c r="N553" s="17">
        <f>IF(K553=1,N('ORDENES'!$M549),0)</f>
        <v/>
      </c>
      <c r="O553" s="17">
        <f>IF('ORDENES'!$S549="preventiva",N553,0)</f>
        <v/>
      </c>
      <c r="P553" s="17">
        <f>IF('ORDENES'!$S549="correctiva",N553,0)</f>
        <v/>
      </c>
      <c r="Q553" s="3">
        <f>IF(AND(K553=1,'ORDENES'!$N549="Pendiente"),1,0)</f>
        <v/>
      </c>
      <c r="R553" s="3">
        <f>IF(Q553=1,100000-N553*1000+546*0.01,9000000000000+546)</f>
        <v/>
      </c>
      <c r="S553" s="3">
        <f>IF(Q553=1,SUMPRODUCT(--($R$8:$R$1207&lt;R553))+1,"")</f>
        <v/>
      </c>
      <c r="T553" s="11">
        <f>IF(K553=1,'ORDENES'!$J549,"")</f>
        <v/>
      </c>
    </row>
    <row r="554">
      <c r="K554" s="3">
        <f>IF(AND(IF($B$3="(todos)",TRUE,'ORDENES'!$O550=$B$3),IF($D$3="(todos)",TRUE,'ORDENES'!$AC550=$D$3),IF($F$3="(todos)",TRUE,'ORDENES'!$V550=$F$3),'ORDENES'!$AA550=TRUE,'ORDENES'!$A550&lt;&gt;""),1,0)</f>
        <v/>
      </c>
      <c r="L554" s="3">
        <f>IF(K554=1,IFERROR(MATCH('ORDENES'!$R550,lista_dias,0),9)*1000000000+IFERROR(MATCH('ORDENES'!$AC550,lista_turnos,0),9)*10000000+IFERROR(MATCH('ORDENES'!$AB550,'TECNICOS'!$B$4:$B$15,0),99)*100000+547,9000000000000+547)</f>
        <v/>
      </c>
      <c r="M554" s="3">
        <f>IF(K554=1,SUMPRODUCT(--($L$8:$L$1207&lt;L554))+1,"")</f>
        <v/>
      </c>
      <c r="N554" s="17">
        <f>IF(K554=1,N('ORDENES'!$M550),0)</f>
        <v/>
      </c>
      <c r="O554" s="17">
        <f>IF('ORDENES'!$S550="preventiva",N554,0)</f>
        <v/>
      </c>
      <c r="P554" s="17">
        <f>IF('ORDENES'!$S550="correctiva",N554,0)</f>
        <v/>
      </c>
      <c r="Q554" s="3">
        <f>IF(AND(K554=1,'ORDENES'!$N550="Pendiente"),1,0)</f>
        <v/>
      </c>
      <c r="R554" s="3">
        <f>IF(Q554=1,100000-N554*1000+547*0.01,9000000000000+547)</f>
        <v/>
      </c>
      <c r="S554" s="3">
        <f>IF(Q554=1,SUMPRODUCT(--($R$8:$R$1207&lt;R554))+1,"")</f>
        <v/>
      </c>
      <c r="T554" s="11">
        <f>IF(K554=1,'ORDENES'!$J550,"")</f>
        <v/>
      </c>
    </row>
    <row r="555">
      <c r="K555" s="3">
        <f>IF(AND(IF($B$3="(todos)",TRUE,'ORDENES'!$O551=$B$3),IF($D$3="(todos)",TRUE,'ORDENES'!$AC551=$D$3),IF($F$3="(todos)",TRUE,'ORDENES'!$V551=$F$3),'ORDENES'!$AA551=TRUE,'ORDENES'!$A551&lt;&gt;""),1,0)</f>
        <v/>
      </c>
      <c r="L555" s="3">
        <f>IF(K555=1,IFERROR(MATCH('ORDENES'!$R551,lista_dias,0),9)*1000000000+IFERROR(MATCH('ORDENES'!$AC551,lista_turnos,0),9)*10000000+IFERROR(MATCH('ORDENES'!$AB551,'TECNICOS'!$B$4:$B$15,0),99)*100000+548,9000000000000+548)</f>
        <v/>
      </c>
      <c r="M555" s="3">
        <f>IF(K555=1,SUMPRODUCT(--($L$8:$L$1207&lt;L555))+1,"")</f>
        <v/>
      </c>
      <c r="N555" s="17">
        <f>IF(K555=1,N('ORDENES'!$M551),0)</f>
        <v/>
      </c>
      <c r="O555" s="17">
        <f>IF('ORDENES'!$S551="preventiva",N555,0)</f>
        <v/>
      </c>
      <c r="P555" s="17">
        <f>IF('ORDENES'!$S551="correctiva",N555,0)</f>
        <v/>
      </c>
      <c r="Q555" s="3">
        <f>IF(AND(K555=1,'ORDENES'!$N551="Pendiente"),1,0)</f>
        <v/>
      </c>
      <c r="R555" s="3">
        <f>IF(Q555=1,100000-N555*1000+548*0.01,9000000000000+548)</f>
        <v/>
      </c>
      <c r="S555" s="3">
        <f>IF(Q555=1,SUMPRODUCT(--($R$8:$R$1207&lt;R555))+1,"")</f>
        <v/>
      </c>
      <c r="T555" s="11">
        <f>IF(K555=1,'ORDENES'!$J551,"")</f>
        <v/>
      </c>
    </row>
    <row r="556">
      <c r="K556" s="3">
        <f>IF(AND(IF($B$3="(todos)",TRUE,'ORDENES'!$O552=$B$3),IF($D$3="(todos)",TRUE,'ORDENES'!$AC552=$D$3),IF($F$3="(todos)",TRUE,'ORDENES'!$V552=$F$3),'ORDENES'!$AA552=TRUE,'ORDENES'!$A552&lt;&gt;""),1,0)</f>
        <v/>
      </c>
      <c r="L556" s="3">
        <f>IF(K556=1,IFERROR(MATCH('ORDENES'!$R552,lista_dias,0),9)*1000000000+IFERROR(MATCH('ORDENES'!$AC552,lista_turnos,0),9)*10000000+IFERROR(MATCH('ORDENES'!$AB552,'TECNICOS'!$B$4:$B$15,0),99)*100000+549,9000000000000+549)</f>
        <v/>
      </c>
      <c r="M556" s="3">
        <f>IF(K556=1,SUMPRODUCT(--($L$8:$L$1207&lt;L556))+1,"")</f>
        <v/>
      </c>
      <c r="N556" s="17">
        <f>IF(K556=1,N('ORDENES'!$M552),0)</f>
        <v/>
      </c>
      <c r="O556" s="17">
        <f>IF('ORDENES'!$S552="preventiva",N556,0)</f>
        <v/>
      </c>
      <c r="P556" s="17">
        <f>IF('ORDENES'!$S552="correctiva",N556,0)</f>
        <v/>
      </c>
      <c r="Q556" s="3">
        <f>IF(AND(K556=1,'ORDENES'!$N552="Pendiente"),1,0)</f>
        <v/>
      </c>
      <c r="R556" s="3">
        <f>IF(Q556=1,100000-N556*1000+549*0.01,9000000000000+549)</f>
        <v/>
      </c>
      <c r="S556" s="3">
        <f>IF(Q556=1,SUMPRODUCT(--($R$8:$R$1207&lt;R556))+1,"")</f>
        <v/>
      </c>
      <c r="T556" s="11">
        <f>IF(K556=1,'ORDENES'!$J552,"")</f>
        <v/>
      </c>
    </row>
    <row r="557">
      <c r="K557" s="3">
        <f>IF(AND(IF($B$3="(todos)",TRUE,'ORDENES'!$O553=$B$3),IF($D$3="(todos)",TRUE,'ORDENES'!$AC553=$D$3),IF($F$3="(todos)",TRUE,'ORDENES'!$V553=$F$3),'ORDENES'!$AA553=TRUE,'ORDENES'!$A553&lt;&gt;""),1,0)</f>
        <v/>
      </c>
      <c r="L557" s="3">
        <f>IF(K557=1,IFERROR(MATCH('ORDENES'!$R553,lista_dias,0),9)*1000000000+IFERROR(MATCH('ORDENES'!$AC553,lista_turnos,0),9)*10000000+IFERROR(MATCH('ORDENES'!$AB553,'TECNICOS'!$B$4:$B$15,0),99)*100000+550,9000000000000+550)</f>
        <v/>
      </c>
      <c r="M557" s="3">
        <f>IF(K557=1,SUMPRODUCT(--($L$8:$L$1207&lt;L557))+1,"")</f>
        <v/>
      </c>
      <c r="N557" s="17">
        <f>IF(K557=1,N('ORDENES'!$M553),0)</f>
        <v/>
      </c>
      <c r="O557" s="17">
        <f>IF('ORDENES'!$S553="preventiva",N557,0)</f>
        <v/>
      </c>
      <c r="P557" s="17">
        <f>IF('ORDENES'!$S553="correctiva",N557,0)</f>
        <v/>
      </c>
      <c r="Q557" s="3">
        <f>IF(AND(K557=1,'ORDENES'!$N553="Pendiente"),1,0)</f>
        <v/>
      </c>
      <c r="R557" s="3">
        <f>IF(Q557=1,100000-N557*1000+550*0.01,9000000000000+550)</f>
        <v/>
      </c>
      <c r="S557" s="3">
        <f>IF(Q557=1,SUMPRODUCT(--($R$8:$R$1207&lt;R557))+1,"")</f>
        <v/>
      </c>
      <c r="T557" s="11">
        <f>IF(K557=1,'ORDENES'!$J553,"")</f>
        <v/>
      </c>
    </row>
    <row r="558">
      <c r="K558" s="3">
        <f>IF(AND(IF($B$3="(todos)",TRUE,'ORDENES'!$O554=$B$3),IF($D$3="(todos)",TRUE,'ORDENES'!$AC554=$D$3),IF($F$3="(todos)",TRUE,'ORDENES'!$V554=$F$3),'ORDENES'!$AA554=TRUE,'ORDENES'!$A554&lt;&gt;""),1,0)</f>
        <v/>
      </c>
      <c r="L558" s="3">
        <f>IF(K558=1,IFERROR(MATCH('ORDENES'!$R554,lista_dias,0),9)*1000000000+IFERROR(MATCH('ORDENES'!$AC554,lista_turnos,0),9)*10000000+IFERROR(MATCH('ORDENES'!$AB554,'TECNICOS'!$B$4:$B$15,0),99)*100000+551,9000000000000+551)</f>
        <v/>
      </c>
      <c r="M558" s="3">
        <f>IF(K558=1,SUMPRODUCT(--($L$8:$L$1207&lt;L558))+1,"")</f>
        <v/>
      </c>
      <c r="N558" s="17">
        <f>IF(K558=1,N('ORDENES'!$M554),0)</f>
        <v/>
      </c>
      <c r="O558" s="17">
        <f>IF('ORDENES'!$S554="preventiva",N558,0)</f>
        <v/>
      </c>
      <c r="P558" s="17">
        <f>IF('ORDENES'!$S554="correctiva",N558,0)</f>
        <v/>
      </c>
      <c r="Q558" s="3">
        <f>IF(AND(K558=1,'ORDENES'!$N554="Pendiente"),1,0)</f>
        <v/>
      </c>
      <c r="R558" s="3">
        <f>IF(Q558=1,100000-N558*1000+551*0.01,9000000000000+551)</f>
        <v/>
      </c>
      <c r="S558" s="3">
        <f>IF(Q558=1,SUMPRODUCT(--($R$8:$R$1207&lt;R558))+1,"")</f>
        <v/>
      </c>
      <c r="T558" s="11">
        <f>IF(K558=1,'ORDENES'!$J554,"")</f>
        <v/>
      </c>
    </row>
    <row r="559">
      <c r="K559" s="3">
        <f>IF(AND(IF($B$3="(todos)",TRUE,'ORDENES'!$O555=$B$3),IF($D$3="(todos)",TRUE,'ORDENES'!$AC555=$D$3),IF($F$3="(todos)",TRUE,'ORDENES'!$V555=$F$3),'ORDENES'!$AA555=TRUE,'ORDENES'!$A555&lt;&gt;""),1,0)</f>
        <v/>
      </c>
      <c r="L559" s="3">
        <f>IF(K559=1,IFERROR(MATCH('ORDENES'!$R555,lista_dias,0),9)*1000000000+IFERROR(MATCH('ORDENES'!$AC555,lista_turnos,0),9)*10000000+IFERROR(MATCH('ORDENES'!$AB555,'TECNICOS'!$B$4:$B$15,0),99)*100000+552,9000000000000+552)</f>
        <v/>
      </c>
      <c r="M559" s="3">
        <f>IF(K559=1,SUMPRODUCT(--($L$8:$L$1207&lt;L559))+1,"")</f>
        <v/>
      </c>
      <c r="N559" s="17">
        <f>IF(K559=1,N('ORDENES'!$M555),0)</f>
        <v/>
      </c>
      <c r="O559" s="17">
        <f>IF('ORDENES'!$S555="preventiva",N559,0)</f>
        <v/>
      </c>
      <c r="P559" s="17">
        <f>IF('ORDENES'!$S555="correctiva",N559,0)</f>
        <v/>
      </c>
      <c r="Q559" s="3">
        <f>IF(AND(K559=1,'ORDENES'!$N555="Pendiente"),1,0)</f>
        <v/>
      </c>
      <c r="R559" s="3">
        <f>IF(Q559=1,100000-N559*1000+552*0.01,9000000000000+552)</f>
        <v/>
      </c>
      <c r="S559" s="3">
        <f>IF(Q559=1,SUMPRODUCT(--($R$8:$R$1207&lt;R559))+1,"")</f>
        <v/>
      </c>
      <c r="T559" s="11">
        <f>IF(K559=1,'ORDENES'!$J555,"")</f>
        <v/>
      </c>
    </row>
    <row r="560">
      <c r="K560" s="3">
        <f>IF(AND(IF($B$3="(todos)",TRUE,'ORDENES'!$O556=$B$3),IF($D$3="(todos)",TRUE,'ORDENES'!$AC556=$D$3),IF($F$3="(todos)",TRUE,'ORDENES'!$V556=$F$3),'ORDENES'!$AA556=TRUE,'ORDENES'!$A556&lt;&gt;""),1,0)</f>
        <v/>
      </c>
      <c r="L560" s="3">
        <f>IF(K560=1,IFERROR(MATCH('ORDENES'!$R556,lista_dias,0),9)*1000000000+IFERROR(MATCH('ORDENES'!$AC556,lista_turnos,0),9)*10000000+IFERROR(MATCH('ORDENES'!$AB556,'TECNICOS'!$B$4:$B$15,0),99)*100000+553,9000000000000+553)</f>
        <v/>
      </c>
      <c r="M560" s="3">
        <f>IF(K560=1,SUMPRODUCT(--($L$8:$L$1207&lt;L560))+1,"")</f>
        <v/>
      </c>
      <c r="N560" s="17">
        <f>IF(K560=1,N('ORDENES'!$M556),0)</f>
        <v/>
      </c>
      <c r="O560" s="17">
        <f>IF('ORDENES'!$S556="preventiva",N560,0)</f>
        <v/>
      </c>
      <c r="P560" s="17">
        <f>IF('ORDENES'!$S556="correctiva",N560,0)</f>
        <v/>
      </c>
      <c r="Q560" s="3">
        <f>IF(AND(K560=1,'ORDENES'!$N556="Pendiente"),1,0)</f>
        <v/>
      </c>
      <c r="R560" s="3">
        <f>IF(Q560=1,100000-N560*1000+553*0.01,9000000000000+553)</f>
        <v/>
      </c>
      <c r="S560" s="3">
        <f>IF(Q560=1,SUMPRODUCT(--($R$8:$R$1207&lt;R560))+1,"")</f>
        <v/>
      </c>
      <c r="T560" s="11">
        <f>IF(K560=1,'ORDENES'!$J556,"")</f>
        <v/>
      </c>
    </row>
    <row r="561">
      <c r="K561" s="3">
        <f>IF(AND(IF($B$3="(todos)",TRUE,'ORDENES'!$O557=$B$3),IF($D$3="(todos)",TRUE,'ORDENES'!$AC557=$D$3),IF($F$3="(todos)",TRUE,'ORDENES'!$V557=$F$3),'ORDENES'!$AA557=TRUE,'ORDENES'!$A557&lt;&gt;""),1,0)</f>
        <v/>
      </c>
      <c r="L561" s="3">
        <f>IF(K561=1,IFERROR(MATCH('ORDENES'!$R557,lista_dias,0),9)*1000000000+IFERROR(MATCH('ORDENES'!$AC557,lista_turnos,0),9)*10000000+IFERROR(MATCH('ORDENES'!$AB557,'TECNICOS'!$B$4:$B$15,0),99)*100000+554,9000000000000+554)</f>
        <v/>
      </c>
      <c r="M561" s="3">
        <f>IF(K561=1,SUMPRODUCT(--($L$8:$L$1207&lt;L561))+1,"")</f>
        <v/>
      </c>
      <c r="N561" s="17">
        <f>IF(K561=1,N('ORDENES'!$M557),0)</f>
        <v/>
      </c>
      <c r="O561" s="17">
        <f>IF('ORDENES'!$S557="preventiva",N561,0)</f>
        <v/>
      </c>
      <c r="P561" s="17">
        <f>IF('ORDENES'!$S557="correctiva",N561,0)</f>
        <v/>
      </c>
      <c r="Q561" s="3">
        <f>IF(AND(K561=1,'ORDENES'!$N557="Pendiente"),1,0)</f>
        <v/>
      </c>
      <c r="R561" s="3">
        <f>IF(Q561=1,100000-N561*1000+554*0.01,9000000000000+554)</f>
        <v/>
      </c>
      <c r="S561" s="3">
        <f>IF(Q561=1,SUMPRODUCT(--($R$8:$R$1207&lt;R561))+1,"")</f>
        <v/>
      </c>
      <c r="T561" s="11">
        <f>IF(K561=1,'ORDENES'!$J557,"")</f>
        <v/>
      </c>
    </row>
    <row r="562">
      <c r="K562" s="3">
        <f>IF(AND(IF($B$3="(todos)",TRUE,'ORDENES'!$O558=$B$3),IF($D$3="(todos)",TRUE,'ORDENES'!$AC558=$D$3),IF($F$3="(todos)",TRUE,'ORDENES'!$V558=$F$3),'ORDENES'!$AA558=TRUE,'ORDENES'!$A558&lt;&gt;""),1,0)</f>
        <v/>
      </c>
      <c r="L562" s="3">
        <f>IF(K562=1,IFERROR(MATCH('ORDENES'!$R558,lista_dias,0),9)*1000000000+IFERROR(MATCH('ORDENES'!$AC558,lista_turnos,0),9)*10000000+IFERROR(MATCH('ORDENES'!$AB558,'TECNICOS'!$B$4:$B$15,0),99)*100000+555,9000000000000+555)</f>
        <v/>
      </c>
      <c r="M562" s="3">
        <f>IF(K562=1,SUMPRODUCT(--($L$8:$L$1207&lt;L562))+1,"")</f>
        <v/>
      </c>
      <c r="N562" s="17">
        <f>IF(K562=1,N('ORDENES'!$M558),0)</f>
        <v/>
      </c>
      <c r="O562" s="17">
        <f>IF('ORDENES'!$S558="preventiva",N562,0)</f>
        <v/>
      </c>
      <c r="P562" s="17">
        <f>IF('ORDENES'!$S558="correctiva",N562,0)</f>
        <v/>
      </c>
      <c r="Q562" s="3">
        <f>IF(AND(K562=1,'ORDENES'!$N558="Pendiente"),1,0)</f>
        <v/>
      </c>
      <c r="R562" s="3">
        <f>IF(Q562=1,100000-N562*1000+555*0.01,9000000000000+555)</f>
        <v/>
      </c>
      <c r="S562" s="3">
        <f>IF(Q562=1,SUMPRODUCT(--($R$8:$R$1207&lt;R562))+1,"")</f>
        <v/>
      </c>
      <c r="T562" s="11">
        <f>IF(K562=1,'ORDENES'!$J558,"")</f>
        <v/>
      </c>
    </row>
    <row r="563">
      <c r="K563" s="3">
        <f>IF(AND(IF($B$3="(todos)",TRUE,'ORDENES'!$O559=$B$3),IF($D$3="(todos)",TRUE,'ORDENES'!$AC559=$D$3),IF($F$3="(todos)",TRUE,'ORDENES'!$V559=$F$3),'ORDENES'!$AA559=TRUE,'ORDENES'!$A559&lt;&gt;""),1,0)</f>
        <v/>
      </c>
      <c r="L563" s="3">
        <f>IF(K563=1,IFERROR(MATCH('ORDENES'!$R559,lista_dias,0),9)*1000000000+IFERROR(MATCH('ORDENES'!$AC559,lista_turnos,0),9)*10000000+IFERROR(MATCH('ORDENES'!$AB559,'TECNICOS'!$B$4:$B$15,0),99)*100000+556,9000000000000+556)</f>
        <v/>
      </c>
      <c r="M563" s="3">
        <f>IF(K563=1,SUMPRODUCT(--($L$8:$L$1207&lt;L563))+1,"")</f>
        <v/>
      </c>
      <c r="N563" s="17">
        <f>IF(K563=1,N('ORDENES'!$M559),0)</f>
        <v/>
      </c>
      <c r="O563" s="17">
        <f>IF('ORDENES'!$S559="preventiva",N563,0)</f>
        <v/>
      </c>
      <c r="P563" s="17">
        <f>IF('ORDENES'!$S559="correctiva",N563,0)</f>
        <v/>
      </c>
      <c r="Q563" s="3">
        <f>IF(AND(K563=1,'ORDENES'!$N559="Pendiente"),1,0)</f>
        <v/>
      </c>
      <c r="R563" s="3">
        <f>IF(Q563=1,100000-N563*1000+556*0.01,9000000000000+556)</f>
        <v/>
      </c>
      <c r="S563" s="3">
        <f>IF(Q563=1,SUMPRODUCT(--($R$8:$R$1207&lt;R563))+1,"")</f>
        <v/>
      </c>
      <c r="T563" s="11">
        <f>IF(K563=1,'ORDENES'!$J559,"")</f>
        <v/>
      </c>
    </row>
    <row r="564">
      <c r="K564" s="3">
        <f>IF(AND(IF($B$3="(todos)",TRUE,'ORDENES'!$O560=$B$3),IF($D$3="(todos)",TRUE,'ORDENES'!$AC560=$D$3),IF($F$3="(todos)",TRUE,'ORDENES'!$V560=$F$3),'ORDENES'!$AA560=TRUE,'ORDENES'!$A560&lt;&gt;""),1,0)</f>
        <v/>
      </c>
      <c r="L564" s="3">
        <f>IF(K564=1,IFERROR(MATCH('ORDENES'!$R560,lista_dias,0),9)*1000000000+IFERROR(MATCH('ORDENES'!$AC560,lista_turnos,0),9)*10000000+IFERROR(MATCH('ORDENES'!$AB560,'TECNICOS'!$B$4:$B$15,0),99)*100000+557,9000000000000+557)</f>
        <v/>
      </c>
      <c r="M564" s="3">
        <f>IF(K564=1,SUMPRODUCT(--($L$8:$L$1207&lt;L564))+1,"")</f>
        <v/>
      </c>
      <c r="N564" s="17">
        <f>IF(K564=1,N('ORDENES'!$M560),0)</f>
        <v/>
      </c>
      <c r="O564" s="17">
        <f>IF('ORDENES'!$S560="preventiva",N564,0)</f>
        <v/>
      </c>
      <c r="P564" s="17">
        <f>IF('ORDENES'!$S560="correctiva",N564,0)</f>
        <v/>
      </c>
      <c r="Q564" s="3">
        <f>IF(AND(K564=1,'ORDENES'!$N560="Pendiente"),1,0)</f>
        <v/>
      </c>
      <c r="R564" s="3">
        <f>IF(Q564=1,100000-N564*1000+557*0.01,9000000000000+557)</f>
        <v/>
      </c>
      <c r="S564" s="3">
        <f>IF(Q564=1,SUMPRODUCT(--($R$8:$R$1207&lt;R564))+1,"")</f>
        <v/>
      </c>
      <c r="T564" s="11">
        <f>IF(K564=1,'ORDENES'!$J560,"")</f>
        <v/>
      </c>
    </row>
    <row r="565">
      <c r="K565" s="3">
        <f>IF(AND(IF($B$3="(todos)",TRUE,'ORDENES'!$O561=$B$3),IF($D$3="(todos)",TRUE,'ORDENES'!$AC561=$D$3),IF($F$3="(todos)",TRUE,'ORDENES'!$V561=$F$3),'ORDENES'!$AA561=TRUE,'ORDENES'!$A561&lt;&gt;""),1,0)</f>
        <v/>
      </c>
      <c r="L565" s="3">
        <f>IF(K565=1,IFERROR(MATCH('ORDENES'!$R561,lista_dias,0),9)*1000000000+IFERROR(MATCH('ORDENES'!$AC561,lista_turnos,0),9)*10000000+IFERROR(MATCH('ORDENES'!$AB561,'TECNICOS'!$B$4:$B$15,0),99)*100000+558,9000000000000+558)</f>
        <v/>
      </c>
      <c r="M565" s="3">
        <f>IF(K565=1,SUMPRODUCT(--($L$8:$L$1207&lt;L565))+1,"")</f>
        <v/>
      </c>
      <c r="N565" s="17">
        <f>IF(K565=1,N('ORDENES'!$M561),0)</f>
        <v/>
      </c>
      <c r="O565" s="17">
        <f>IF('ORDENES'!$S561="preventiva",N565,0)</f>
        <v/>
      </c>
      <c r="P565" s="17">
        <f>IF('ORDENES'!$S561="correctiva",N565,0)</f>
        <v/>
      </c>
      <c r="Q565" s="3">
        <f>IF(AND(K565=1,'ORDENES'!$N561="Pendiente"),1,0)</f>
        <v/>
      </c>
      <c r="R565" s="3">
        <f>IF(Q565=1,100000-N565*1000+558*0.01,9000000000000+558)</f>
        <v/>
      </c>
      <c r="S565" s="3">
        <f>IF(Q565=1,SUMPRODUCT(--($R$8:$R$1207&lt;R565))+1,"")</f>
        <v/>
      </c>
      <c r="T565" s="11">
        <f>IF(K565=1,'ORDENES'!$J561,"")</f>
        <v/>
      </c>
    </row>
    <row r="566">
      <c r="K566" s="3">
        <f>IF(AND(IF($B$3="(todos)",TRUE,'ORDENES'!$O562=$B$3),IF($D$3="(todos)",TRUE,'ORDENES'!$AC562=$D$3),IF($F$3="(todos)",TRUE,'ORDENES'!$V562=$F$3),'ORDENES'!$AA562=TRUE,'ORDENES'!$A562&lt;&gt;""),1,0)</f>
        <v/>
      </c>
      <c r="L566" s="3">
        <f>IF(K566=1,IFERROR(MATCH('ORDENES'!$R562,lista_dias,0),9)*1000000000+IFERROR(MATCH('ORDENES'!$AC562,lista_turnos,0),9)*10000000+IFERROR(MATCH('ORDENES'!$AB562,'TECNICOS'!$B$4:$B$15,0),99)*100000+559,9000000000000+559)</f>
        <v/>
      </c>
      <c r="M566" s="3">
        <f>IF(K566=1,SUMPRODUCT(--($L$8:$L$1207&lt;L566))+1,"")</f>
        <v/>
      </c>
      <c r="N566" s="17">
        <f>IF(K566=1,N('ORDENES'!$M562),0)</f>
        <v/>
      </c>
      <c r="O566" s="17">
        <f>IF('ORDENES'!$S562="preventiva",N566,0)</f>
        <v/>
      </c>
      <c r="P566" s="17">
        <f>IF('ORDENES'!$S562="correctiva",N566,0)</f>
        <v/>
      </c>
      <c r="Q566" s="3">
        <f>IF(AND(K566=1,'ORDENES'!$N562="Pendiente"),1,0)</f>
        <v/>
      </c>
      <c r="R566" s="3">
        <f>IF(Q566=1,100000-N566*1000+559*0.01,9000000000000+559)</f>
        <v/>
      </c>
      <c r="S566" s="3">
        <f>IF(Q566=1,SUMPRODUCT(--($R$8:$R$1207&lt;R566))+1,"")</f>
        <v/>
      </c>
      <c r="T566" s="11">
        <f>IF(K566=1,'ORDENES'!$J562,"")</f>
        <v/>
      </c>
    </row>
    <row r="567">
      <c r="K567" s="3">
        <f>IF(AND(IF($B$3="(todos)",TRUE,'ORDENES'!$O563=$B$3),IF($D$3="(todos)",TRUE,'ORDENES'!$AC563=$D$3),IF($F$3="(todos)",TRUE,'ORDENES'!$V563=$F$3),'ORDENES'!$AA563=TRUE,'ORDENES'!$A563&lt;&gt;""),1,0)</f>
        <v/>
      </c>
      <c r="L567" s="3">
        <f>IF(K567=1,IFERROR(MATCH('ORDENES'!$R563,lista_dias,0),9)*1000000000+IFERROR(MATCH('ORDENES'!$AC563,lista_turnos,0),9)*10000000+IFERROR(MATCH('ORDENES'!$AB563,'TECNICOS'!$B$4:$B$15,0),99)*100000+560,9000000000000+560)</f>
        <v/>
      </c>
      <c r="M567" s="3">
        <f>IF(K567=1,SUMPRODUCT(--($L$8:$L$1207&lt;L567))+1,"")</f>
        <v/>
      </c>
      <c r="N567" s="17">
        <f>IF(K567=1,N('ORDENES'!$M563),0)</f>
        <v/>
      </c>
      <c r="O567" s="17">
        <f>IF('ORDENES'!$S563="preventiva",N567,0)</f>
        <v/>
      </c>
      <c r="P567" s="17">
        <f>IF('ORDENES'!$S563="correctiva",N567,0)</f>
        <v/>
      </c>
      <c r="Q567" s="3">
        <f>IF(AND(K567=1,'ORDENES'!$N563="Pendiente"),1,0)</f>
        <v/>
      </c>
      <c r="R567" s="3">
        <f>IF(Q567=1,100000-N567*1000+560*0.01,9000000000000+560)</f>
        <v/>
      </c>
      <c r="S567" s="3">
        <f>IF(Q567=1,SUMPRODUCT(--($R$8:$R$1207&lt;R567))+1,"")</f>
        <v/>
      </c>
      <c r="T567" s="11">
        <f>IF(K567=1,'ORDENES'!$J563,"")</f>
        <v/>
      </c>
    </row>
    <row r="568">
      <c r="K568" s="3">
        <f>IF(AND(IF($B$3="(todos)",TRUE,'ORDENES'!$O564=$B$3),IF($D$3="(todos)",TRUE,'ORDENES'!$AC564=$D$3),IF($F$3="(todos)",TRUE,'ORDENES'!$V564=$F$3),'ORDENES'!$AA564=TRUE,'ORDENES'!$A564&lt;&gt;""),1,0)</f>
        <v/>
      </c>
      <c r="L568" s="3">
        <f>IF(K568=1,IFERROR(MATCH('ORDENES'!$R564,lista_dias,0),9)*1000000000+IFERROR(MATCH('ORDENES'!$AC564,lista_turnos,0),9)*10000000+IFERROR(MATCH('ORDENES'!$AB564,'TECNICOS'!$B$4:$B$15,0),99)*100000+561,9000000000000+561)</f>
        <v/>
      </c>
      <c r="M568" s="3">
        <f>IF(K568=1,SUMPRODUCT(--($L$8:$L$1207&lt;L568))+1,"")</f>
        <v/>
      </c>
      <c r="N568" s="17">
        <f>IF(K568=1,N('ORDENES'!$M564),0)</f>
        <v/>
      </c>
      <c r="O568" s="17">
        <f>IF('ORDENES'!$S564="preventiva",N568,0)</f>
        <v/>
      </c>
      <c r="P568" s="17">
        <f>IF('ORDENES'!$S564="correctiva",N568,0)</f>
        <v/>
      </c>
      <c r="Q568" s="3">
        <f>IF(AND(K568=1,'ORDENES'!$N564="Pendiente"),1,0)</f>
        <v/>
      </c>
      <c r="R568" s="3">
        <f>IF(Q568=1,100000-N568*1000+561*0.01,9000000000000+561)</f>
        <v/>
      </c>
      <c r="S568" s="3">
        <f>IF(Q568=1,SUMPRODUCT(--($R$8:$R$1207&lt;R568))+1,"")</f>
        <v/>
      </c>
      <c r="T568" s="11">
        <f>IF(K568=1,'ORDENES'!$J564,"")</f>
        <v/>
      </c>
    </row>
    <row r="569">
      <c r="K569" s="3">
        <f>IF(AND(IF($B$3="(todos)",TRUE,'ORDENES'!$O565=$B$3),IF($D$3="(todos)",TRUE,'ORDENES'!$AC565=$D$3),IF($F$3="(todos)",TRUE,'ORDENES'!$V565=$F$3),'ORDENES'!$AA565=TRUE,'ORDENES'!$A565&lt;&gt;""),1,0)</f>
        <v/>
      </c>
      <c r="L569" s="3">
        <f>IF(K569=1,IFERROR(MATCH('ORDENES'!$R565,lista_dias,0),9)*1000000000+IFERROR(MATCH('ORDENES'!$AC565,lista_turnos,0),9)*10000000+IFERROR(MATCH('ORDENES'!$AB565,'TECNICOS'!$B$4:$B$15,0),99)*100000+562,9000000000000+562)</f>
        <v/>
      </c>
      <c r="M569" s="3">
        <f>IF(K569=1,SUMPRODUCT(--($L$8:$L$1207&lt;L569))+1,"")</f>
        <v/>
      </c>
      <c r="N569" s="17">
        <f>IF(K569=1,N('ORDENES'!$M565),0)</f>
        <v/>
      </c>
      <c r="O569" s="17">
        <f>IF('ORDENES'!$S565="preventiva",N569,0)</f>
        <v/>
      </c>
      <c r="P569" s="17">
        <f>IF('ORDENES'!$S565="correctiva",N569,0)</f>
        <v/>
      </c>
      <c r="Q569" s="3">
        <f>IF(AND(K569=1,'ORDENES'!$N565="Pendiente"),1,0)</f>
        <v/>
      </c>
      <c r="R569" s="3">
        <f>IF(Q569=1,100000-N569*1000+562*0.01,9000000000000+562)</f>
        <v/>
      </c>
      <c r="S569" s="3">
        <f>IF(Q569=1,SUMPRODUCT(--($R$8:$R$1207&lt;R569))+1,"")</f>
        <v/>
      </c>
      <c r="T569" s="11">
        <f>IF(K569=1,'ORDENES'!$J565,"")</f>
        <v/>
      </c>
    </row>
    <row r="570">
      <c r="K570" s="3">
        <f>IF(AND(IF($B$3="(todos)",TRUE,'ORDENES'!$O566=$B$3),IF($D$3="(todos)",TRUE,'ORDENES'!$AC566=$D$3),IF($F$3="(todos)",TRUE,'ORDENES'!$V566=$F$3),'ORDENES'!$AA566=TRUE,'ORDENES'!$A566&lt;&gt;""),1,0)</f>
        <v/>
      </c>
      <c r="L570" s="3">
        <f>IF(K570=1,IFERROR(MATCH('ORDENES'!$R566,lista_dias,0),9)*1000000000+IFERROR(MATCH('ORDENES'!$AC566,lista_turnos,0),9)*10000000+IFERROR(MATCH('ORDENES'!$AB566,'TECNICOS'!$B$4:$B$15,0),99)*100000+563,9000000000000+563)</f>
        <v/>
      </c>
      <c r="M570" s="3">
        <f>IF(K570=1,SUMPRODUCT(--($L$8:$L$1207&lt;L570))+1,"")</f>
        <v/>
      </c>
      <c r="N570" s="17">
        <f>IF(K570=1,N('ORDENES'!$M566),0)</f>
        <v/>
      </c>
      <c r="O570" s="17">
        <f>IF('ORDENES'!$S566="preventiva",N570,0)</f>
        <v/>
      </c>
      <c r="P570" s="17">
        <f>IF('ORDENES'!$S566="correctiva",N570,0)</f>
        <v/>
      </c>
      <c r="Q570" s="3">
        <f>IF(AND(K570=1,'ORDENES'!$N566="Pendiente"),1,0)</f>
        <v/>
      </c>
      <c r="R570" s="3">
        <f>IF(Q570=1,100000-N570*1000+563*0.01,9000000000000+563)</f>
        <v/>
      </c>
      <c r="S570" s="3">
        <f>IF(Q570=1,SUMPRODUCT(--($R$8:$R$1207&lt;R570))+1,"")</f>
        <v/>
      </c>
      <c r="T570" s="11">
        <f>IF(K570=1,'ORDENES'!$J566,"")</f>
        <v/>
      </c>
    </row>
    <row r="571">
      <c r="K571" s="3">
        <f>IF(AND(IF($B$3="(todos)",TRUE,'ORDENES'!$O567=$B$3),IF($D$3="(todos)",TRUE,'ORDENES'!$AC567=$D$3),IF($F$3="(todos)",TRUE,'ORDENES'!$V567=$F$3),'ORDENES'!$AA567=TRUE,'ORDENES'!$A567&lt;&gt;""),1,0)</f>
        <v/>
      </c>
      <c r="L571" s="3">
        <f>IF(K571=1,IFERROR(MATCH('ORDENES'!$R567,lista_dias,0),9)*1000000000+IFERROR(MATCH('ORDENES'!$AC567,lista_turnos,0),9)*10000000+IFERROR(MATCH('ORDENES'!$AB567,'TECNICOS'!$B$4:$B$15,0),99)*100000+564,9000000000000+564)</f>
        <v/>
      </c>
      <c r="M571" s="3">
        <f>IF(K571=1,SUMPRODUCT(--($L$8:$L$1207&lt;L571))+1,"")</f>
        <v/>
      </c>
      <c r="N571" s="17">
        <f>IF(K571=1,N('ORDENES'!$M567),0)</f>
        <v/>
      </c>
      <c r="O571" s="17">
        <f>IF('ORDENES'!$S567="preventiva",N571,0)</f>
        <v/>
      </c>
      <c r="P571" s="17">
        <f>IF('ORDENES'!$S567="correctiva",N571,0)</f>
        <v/>
      </c>
      <c r="Q571" s="3">
        <f>IF(AND(K571=1,'ORDENES'!$N567="Pendiente"),1,0)</f>
        <v/>
      </c>
      <c r="R571" s="3">
        <f>IF(Q571=1,100000-N571*1000+564*0.01,9000000000000+564)</f>
        <v/>
      </c>
      <c r="S571" s="3">
        <f>IF(Q571=1,SUMPRODUCT(--($R$8:$R$1207&lt;R571))+1,"")</f>
        <v/>
      </c>
      <c r="T571" s="11">
        <f>IF(K571=1,'ORDENES'!$J567,"")</f>
        <v/>
      </c>
    </row>
    <row r="572">
      <c r="K572" s="3">
        <f>IF(AND(IF($B$3="(todos)",TRUE,'ORDENES'!$O568=$B$3),IF($D$3="(todos)",TRUE,'ORDENES'!$AC568=$D$3),IF($F$3="(todos)",TRUE,'ORDENES'!$V568=$F$3),'ORDENES'!$AA568=TRUE,'ORDENES'!$A568&lt;&gt;""),1,0)</f>
        <v/>
      </c>
      <c r="L572" s="3">
        <f>IF(K572=1,IFERROR(MATCH('ORDENES'!$R568,lista_dias,0),9)*1000000000+IFERROR(MATCH('ORDENES'!$AC568,lista_turnos,0),9)*10000000+IFERROR(MATCH('ORDENES'!$AB568,'TECNICOS'!$B$4:$B$15,0),99)*100000+565,9000000000000+565)</f>
        <v/>
      </c>
      <c r="M572" s="3">
        <f>IF(K572=1,SUMPRODUCT(--($L$8:$L$1207&lt;L572))+1,"")</f>
        <v/>
      </c>
      <c r="N572" s="17">
        <f>IF(K572=1,N('ORDENES'!$M568),0)</f>
        <v/>
      </c>
      <c r="O572" s="17">
        <f>IF('ORDENES'!$S568="preventiva",N572,0)</f>
        <v/>
      </c>
      <c r="P572" s="17">
        <f>IF('ORDENES'!$S568="correctiva",N572,0)</f>
        <v/>
      </c>
      <c r="Q572" s="3">
        <f>IF(AND(K572=1,'ORDENES'!$N568="Pendiente"),1,0)</f>
        <v/>
      </c>
      <c r="R572" s="3">
        <f>IF(Q572=1,100000-N572*1000+565*0.01,9000000000000+565)</f>
        <v/>
      </c>
      <c r="S572" s="3">
        <f>IF(Q572=1,SUMPRODUCT(--($R$8:$R$1207&lt;R572))+1,"")</f>
        <v/>
      </c>
      <c r="T572" s="11">
        <f>IF(K572=1,'ORDENES'!$J568,"")</f>
        <v/>
      </c>
    </row>
    <row r="573">
      <c r="K573" s="3">
        <f>IF(AND(IF($B$3="(todos)",TRUE,'ORDENES'!$O569=$B$3),IF($D$3="(todos)",TRUE,'ORDENES'!$AC569=$D$3),IF($F$3="(todos)",TRUE,'ORDENES'!$V569=$F$3),'ORDENES'!$AA569=TRUE,'ORDENES'!$A569&lt;&gt;""),1,0)</f>
        <v/>
      </c>
      <c r="L573" s="3">
        <f>IF(K573=1,IFERROR(MATCH('ORDENES'!$R569,lista_dias,0),9)*1000000000+IFERROR(MATCH('ORDENES'!$AC569,lista_turnos,0),9)*10000000+IFERROR(MATCH('ORDENES'!$AB569,'TECNICOS'!$B$4:$B$15,0),99)*100000+566,9000000000000+566)</f>
        <v/>
      </c>
      <c r="M573" s="3">
        <f>IF(K573=1,SUMPRODUCT(--($L$8:$L$1207&lt;L573))+1,"")</f>
        <v/>
      </c>
      <c r="N573" s="17">
        <f>IF(K573=1,N('ORDENES'!$M569),0)</f>
        <v/>
      </c>
      <c r="O573" s="17">
        <f>IF('ORDENES'!$S569="preventiva",N573,0)</f>
        <v/>
      </c>
      <c r="P573" s="17">
        <f>IF('ORDENES'!$S569="correctiva",N573,0)</f>
        <v/>
      </c>
      <c r="Q573" s="3">
        <f>IF(AND(K573=1,'ORDENES'!$N569="Pendiente"),1,0)</f>
        <v/>
      </c>
      <c r="R573" s="3">
        <f>IF(Q573=1,100000-N573*1000+566*0.01,9000000000000+566)</f>
        <v/>
      </c>
      <c r="S573" s="3">
        <f>IF(Q573=1,SUMPRODUCT(--($R$8:$R$1207&lt;R573))+1,"")</f>
        <v/>
      </c>
      <c r="T573" s="11">
        <f>IF(K573=1,'ORDENES'!$J569,"")</f>
        <v/>
      </c>
    </row>
    <row r="574">
      <c r="K574" s="3">
        <f>IF(AND(IF($B$3="(todos)",TRUE,'ORDENES'!$O570=$B$3),IF($D$3="(todos)",TRUE,'ORDENES'!$AC570=$D$3),IF($F$3="(todos)",TRUE,'ORDENES'!$V570=$F$3),'ORDENES'!$AA570=TRUE,'ORDENES'!$A570&lt;&gt;""),1,0)</f>
        <v/>
      </c>
      <c r="L574" s="3">
        <f>IF(K574=1,IFERROR(MATCH('ORDENES'!$R570,lista_dias,0),9)*1000000000+IFERROR(MATCH('ORDENES'!$AC570,lista_turnos,0),9)*10000000+IFERROR(MATCH('ORDENES'!$AB570,'TECNICOS'!$B$4:$B$15,0),99)*100000+567,9000000000000+567)</f>
        <v/>
      </c>
      <c r="M574" s="3">
        <f>IF(K574=1,SUMPRODUCT(--($L$8:$L$1207&lt;L574))+1,"")</f>
        <v/>
      </c>
      <c r="N574" s="17">
        <f>IF(K574=1,N('ORDENES'!$M570),0)</f>
        <v/>
      </c>
      <c r="O574" s="17">
        <f>IF('ORDENES'!$S570="preventiva",N574,0)</f>
        <v/>
      </c>
      <c r="P574" s="17">
        <f>IF('ORDENES'!$S570="correctiva",N574,0)</f>
        <v/>
      </c>
      <c r="Q574" s="3">
        <f>IF(AND(K574=1,'ORDENES'!$N570="Pendiente"),1,0)</f>
        <v/>
      </c>
      <c r="R574" s="3">
        <f>IF(Q574=1,100000-N574*1000+567*0.01,9000000000000+567)</f>
        <v/>
      </c>
      <c r="S574" s="3">
        <f>IF(Q574=1,SUMPRODUCT(--($R$8:$R$1207&lt;R574))+1,"")</f>
        <v/>
      </c>
      <c r="T574" s="11">
        <f>IF(K574=1,'ORDENES'!$J570,"")</f>
        <v/>
      </c>
    </row>
    <row r="575">
      <c r="K575" s="3">
        <f>IF(AND(IF($B$3="(todos)",TRUE,'ORDENES'!$O571=$B$3),IF($D$3="(todos)",TRUE,'ORDENES'!$AC571=$D$3),IF($F$3="(todos)",TRUE,'ORDENES'!$V571=$F$3),'ORDENES'!$AA571=TRUE,'ORDENES'!$A571&lt;&gt;""),1,0)</f>
        <v/>
      </c>
      <c r="L575" s="3">
        <f>IF(K575=1,IFERROR(MATCH('ORDENES'!$R571,lista_dias,0),9)*1000000000+IFERROR(MATCH('ORDENES'!$AC571,lista_turnos,0),9)*10000000+IFERROR(MATCH('ORDENES'!$AB571,'TECNICOS'!$B$4:$B$15,0),99)*100000+568,9000000000000+568)</f>
        <v/>
      </c>
      <c r="M575" s="3">
        <f>IF(K575=1,SUMPRODUCT(--($L$8:$L$1207&lt;L575))+1,"")</f>
        <v/>
      </c>
      <c r="N575" s="17">
        <f>IF(K575=1,N('ORDENES'!$M571),0)</f>
        <v/>
      </c>
      <c r="O575" s="17">
        <f>IF('ORDENES'!$S571="preventiva",N575,0)</f>
        <v/>
      </c>
      <c r="P575" s="17">
        <f>IF('ORDENES'!$S571="correctiva",N575,0)</f>
        <v/>
      </c>
      <c r="Q575" s="3">
        <f>IF(AND(K575=1,'ORDENES'!$N571="Pendiente"),1,0)</f>
        <v/>
      </c>
      <c r="R575" s="3">
        <f>IF(Q575=1,100000-N575*1000+568*0.01,9000000000000+568)</f>
        <v/>
      </c>
      <c r="S575" s="3">
        <f>IF(Q575=1,SUMPRODUCT(--($R$8:$R$1207&lt;R575))+1,"")</f>
        <v/>
      </c>
      <c r="T575" s="11">
        <f>IF(K575=1,'ORDENES'!$J571,"")</f>
        <v/>
      </c>
    </row>
    <row r="576">
      <c r="K576" s="3">
        <f>IF(AND(IF($B$3="(todos)",TRUE,'ORDENES'!$O572=$B$3),IF($D$3="(todos)",TRUE,'ORDENES'!$AC572=$D$3),IF($F$3="(todos)",TRUE,'ORDENES'!$V572=$F$3),'ORDENES'!$AA572=TRUE,'ORDENES'!$A572&lt;&gt;""),1,0)</f>
        <v/>
      </c>
      <c r="L576" s="3">
        <f>IF(K576=1,IFERROR(MATCH('ORDENES'!$R572,lista_dias,0),9)*1000000000+IFERROR(MATCH('ORDENES'!$AC572,lista_turnos,0),9)*10000000+IFERROR(MATCH('ORDENES'!$AB572,'TECNICOS'!$B$4:$B$15,0),99)*100000+569,9000000000000+569)</f>
        <v/>
      </c>
      <c r="M576" s="3">
        <f>IF(K576=1,SUMPRODUCT(--($L$8:$L$1207&lt;L576))+1,"")</f>
        <v/>
      </c>
      <c r="N576" s="17">
        <f>IF(K576=1,N('ORDENES'!$M572),0)</f>
        <v/>
      </c>
      <c r="O576" s="17">
        <f>IF('ORDENES'!$S572="preventiva",N576,0)</f>
        <v/>
      </c>
      <c r="P576" s="17">
        <f>IF('ORDENES'!$S572="correctiva",N576,0)</f>
        <v/>
      </c>
      <c r="Q576" s="3">
        <f>IF(AND(K576=1,'ORDENES'!$N572="Pendiente"),1,0)</f>
        <v/>
      </c>
      <c r="R576" s="3">
        <f>IF(Q576=1,100000-N576*1000+569*0.01,9000000000000+569)</f>
        <v/>
      </c>
      <c r="S576" s="3">
        <f>IF(Q576=1,SUMPRODUCT(--($R$8:$R$1207&lt;R576))+1,"")</f>
        <v/>
      </c>
      <c r="T576" s="11">
        <f>IF(K576=1,'ORDENES'!$J572,"")</f>
        <v/>
      </c>
    </row>
    <row r="577">
      <c r="K577" s="3">
        <f>IF(AND(IF($B$3="(todos)",TRUE,'ORDENES'!$O573=$B$3),IF($D$3="(todos)",TRUE,'ORDENES'!$AC573=$D$3),IF($F$3="(todos)",TRUE,'ORDENES'!$V573=$F$3),'ORDENES'!$AA573=TRUE,'ORDENES'!$A573&lt;&gt;""),1,0)</f>
        <v/>
      </c>
      <c r="L577" s="3">
        <f>IF(K577=1,IFERROR(MATCH('ORDENES'!$R573,lista_dias,0),9)*1000000000+IFERROR(MATCH('ORDENES'!$AC573,lista_turnos,0),9)*10000000+IFERROR(MATCH('ORDENES'!$AB573,'TECNICOS'!$B$4:$B$15,0),99)*100000+570,9000000000000+570)</f>
        <v/>
      </c>
      <c r="M577" s="3">
        <f>IF(K577=1,SUMPRODUCT(--($L$8:$L$1207&lt;L577))+1,"")</f>
        <v/>
      </c>
      <c r="N577" s="17">
        <f>IF(K577=1,N('ORDENES'!$M573),0)</f>
        <v/>
      </c>
      <c r="O577" s="17">
        <f>IF('ORDENES'!$S573="preventiva",N577,0)</f>
        <v/>
      </c>
      <c r="P577" s="17">
        <f>IF('ORDENES'!$S573="correctiva",N577,0)</f>
        <v/>
      </c>
      <c r="Q577" s="3">
        <f>IF(AND(K577=1,'ORDENES'!$N573="Pendiente"),1,0)</f>
        <v/>
      </c>
      <c r="R577" s="3">
        <f>IF(Q577=1,100000-N577*1000+570*0.01,9000000000000+570)</f>
        <v/>
      </c>
      <c r="S577" s="3">
        <f>IF(Q577=1,SUMPRODUCT(--($R$8:$R$1207&lt;R577))+1,"")</f>
        <v/>
      </c>
      <c r="T577" s="11">
        <f>IF(K577=1,'ORDENES'!$J573,"")</f>
        <v/>
      </c>
    </row>
    <row r="578">
      <c r="K578" s="3">
        <f>IF(AND(IF($B$3="(todos)",TRUE,'ORDENES'!$O574=$B$3),IF($D$3="(todos)",TRUE,'ORDENES'!$AC574=$D$3),IF($F$3="(todos)",TRUE,'ORDENES'!$V574=$F$3),'ORDENES'!$AA574=TRUE,'ORDENES'!$A574&lt;&gt;""),1,0)</f>
        <v/>
      </c>
      <c r="L578" s="3">
        <f>IF(K578=1,IFERROR(MATCH('ORDENES'!$R574,lista_dias,0),9)*1000000000+IFERROR(MATCH('ORDENES'!$AC574,lista_turnos,0),9)*10000000+IFERROR(MATCH('ORDENES'!$AB574,'TECNICOS'!$B$4:$B$15,0),99)*100000+571,9000000000000+571)</f>
        <v/>
      </c>
      <c r="M578" s="3">
        <f>IF(K578=1,SUMPRODUCT(--($L$8:$L$1207&lt;L578))+1,"")</f>
        <v/>
      </c>
      <c r="N578" s="17">
        <f>IF(K578=1,N('ORDENES'!$M574),0)</f>
        <v/>
      </c>
      <c r="O578" s="17">
        <f>IF('ORDENES'!$S574="preventiva",N578,0)</f>
        <v/>
      </c>
      <c r="P578" s="17">
        <f>IF('ORDENES'!$S574="correctiva",N578,0)</f>
        <v/>
      </c>
      <c r="Q578" s="3">
        <f>IF(AND(K578=1,'ORDENES'!$N574="Pendiente"),1,0)</f>
        <v/>
      </c>
      <c r="R578" s="3">
        <f>IF(Q578=1,100000-N578*1000+571*0.01,9000000000000+571)</f>
        <v/>
      </c>
      <c r="S578" s="3">
        <f>IF(Q578=1,SUMPRODUCT(--($R$8:$R$1207&lt;R578))+1,"")</f>
        <v/>
      </c>
      <c r="T578" s="11">
        <f>IF(K578=1,'ORDENES'!$J574,"")</f>
        <v/>
      </c>
    </row>
    <row r="579">
      <c r="K579" s="3">
        <f>IF(AND(IF($B$3="(todos)",TRUE,'ORDENES'!$O575=$B$3),IF($D$3="(todos)",TRUE,'ORDENES'!$AC575=$D$3),IF($F$3="(todos)",TRUE,'ORDENES'!$V575=$F$3),'ORDENES'!$AA575=TRUE,'ORDENES'!$A575&lt;&gt;""),1,0)</f>
        <v/>
      </c>
      <c r="L579" s="3">
        <f>IF(K579=1,IFERROR(MATCH('ORDENES'!$R575,lista_dias,0),9)*1000000000+IFERROR(MATCH('ORDENES'!$AC575,lista_turnos,0),9)*10000000+IFERROR(MATCH('ORDENES'!$AB575,'TECNICOS'!$B$4:$B$15,0),99)*100000+572,9000000000000+572)</f>
        <v/>
      </c>
      <c r="M579" s="3">
        <f>IF(K579=1,SUMPRODUCT(--($L$8:$L$1207&lt;L579))+1,"")</f>
        <v/>
      </c>
      <c r="N579" s="17">
        <f>IF(K579=1,N('ORDENES'!$M575),0)</f>
        <v/>
      </c>
      <c r="O579" s="17">
        <f>IF('ORDENES'!$S575="preventiva",N579,0)</f>
        <v/>
      </c>
      <c r="P579" s="17">
        <f>IF('ORDENES'!$S575="correctiva",N579,0)</f>
        <v/>
      </c>
      <c r="Q579" s="3">
        <f>IF(AND(K579=1,'ORDENES'!$N575="Pendiente"),1,0)</f>
        <v/>
      </c>
      <c r="R579" s="3">
        <f>IF(Q579=1,100000-N579*1000+572*0.01,9000000000000+572)</f>
        <v/>
      </c>
      <c r="S579" s="3">
        <f>IF(Q579=1,SUMPRODUCT(--($R$8:$R$1207&lt;R579))+1,"")</f>
        <v/>
      </c>
      <c r="T579" s="11">
        <f>IF(K579=1,'ORDENES'!$J575,"")</f>
        <v/>
      </c>
    </row>
    <row r="580">
      <c r="K580" s="3">
        <f>IF(AND(IF($B$3="(todos)",TRUE,'ORDENES'!$O576=$B$3),IF($D$3="(todos)",TRUE,'ORDENES'!$AC576=$D$3),IF($F$3="(todos)",TRUE,'ORDENES'!$V576=$F$3),'ORDENES'!$AA576=TRUE,'ORDENES'!$A576&lt;&gt;""),1,0)</f>
        <v/>
      </c>
      <c r="L580" s="3">
        <f>IF(K580=1,IFERROR(MATCH('ORDENES'!$R576,lista_dias,0),9)*1000000000+IFERROR(MATCH('ORDENES'!$AC576,lista_turnos,0),9)*10000000+IFERROR(MATCH('ORDENES'!$AB576,'TECNICOS'!$B$4:$B$15,0),99)*100000+573,9000000000000+573)</f>
        <v/>
      </c>
      <c r="M580" s="3">
        <f>IF(K580=1,SUMPRODUCT(--($L$8:$L$1207&lt;L580))+1,"")</f>
        <v/>
      </c>
      <c r="N580" s="17">
        <f>IF(K580=1,N('ORDENES'!$M576),0)</f>
        <v/>
      </c>
      <c r="O580" s="17">
        <f>IF('ORDENES'!$S576="preventiva",N580,0)</f>
        <v/>
      </c>
      <c r="P580" s="17">
        <f>IF('ORDENES'!$S576="correctiva",N580,0)</f>
        <v/>
      </c>
      <c r="Q580" s="3">
        <f>IF(AND(K580=1,'ORDENES'!$N576="Pendiente"),1,0)</f>
        <v/>
      </c>
      <c r="R580" s="3">
        <f>IF(Q580=1,100000-N580*1000+573*0.01,9000000000000+573)</f>
        <v/>
      </c>
      <c r="S580" s="3">
        <f>IF(Q580=1,SUMPRODUCT(--($R$8:$R$1207&lt;R580))+1,"")</f>
        <v/>
      </c>
      <c r="T580" s="11">
        <f>IF(K580=1,'ORDENES'!$J576,"")</f>
        <v/>
      </c>
    </row>
    <row r="581">
      <c r="K581" s="3">
        <f>IF(AND(IF($B$3="(todos)",TRUE,'ORDENES'!$O577=$B$3),IF($D$3="(todos)",TRUE,'ORDENES'!$AC577=$D$3),IF($F$3="(todos)",TRUE,'ORDENES'!$V577=$F$3),'ORDENES'!$AA577=TRUE,'ORDENES'!$A577&lt;&gt;""),1,0)</f>
        <v/>
      </c>
      <c r="L581" s="3">
        <f>IF(K581=1,IFERROR(MATCH('ORDENES'!$R577,lista_dias,0),9)*1000000000+IFERROR(MATCH('ORDENES'!$AC577,lista_turnos,0),9)*10000000+IFERROR(MATCH('ORDENES'!$AB577,'TECNICOS'!$B$4:$B$15,0),99)*100000+574,9000000000000+574)</f>
        <v/>
      </c>
      <c r="M581" s="3">
        <f>IF(K581=1,SUMPRODUCT(--($L$8:$L$1207&lt;L581))+1,"")</f>
        <v/>
      </c>
      <c r="N581" s="17">
        <f>IF(K581=1,N('ORDENES'!$M577),0)</f>
        <v/>
      </c>
      <c r="O581" s="17">
        <f>IF('ORDENES'!$S577="preventiva",N581,0)</f>
        <v/>
      </c>
      <c r="P581" s="17">
        <f>IF('ORDENES'!$S577="correctiva",N581,0)</f>
        <v/>
      </c>
      <c r="Q581" s="3">
        <f>IF(AND(K581=1,'ORDENES'!$N577="Pendiente"),1,0)</f>
        <v/>
      </c>
      <c r="R581" s="3">
        <f>IF(Q581=1,100000-N581*1000+574*0.01,9000000000000+574)</f>
        <v/>
      </c>
      <c r="S581" s="3">
        <f>IF(Q581=1,SUMPRODUCT(--($R$8:$R$1207&lt;R581))+1,"")</f>
        <v/>
      </c>
      <c r="T581" s="11">
        <f>IF(K581=1,'ORDENES'!$J577,"")</f>
        <v/>
      </c>
    </row>
    <row r="582">
      <c r="K582" s="3">
        <f>IF(AND(IF($B$3="(todos)",TRUE,'ORDENES'!$O578=$B$3),IF($D$3="(todos)",TRUE,'ORDENES'!$AC578=$D$3),IF($F$3="(todos)",TRUE,'ORDENES'!$V578=$F$3),'ORDENES'!$AA578=TRUE,'ORDENES'!$A578&lt;&gt;""),1,0)</f>
        <v/>
      </c>
      <c r="L582" s="3">
        <f>IF(K582=1,IFERROR(MATCH('ORDENES'!$R578,lista_dias,0),9)*1000000000+IFERROR(MATCH('ORDENES'!$AC578,lista_turnos,0),9)*10000000+IFERROR(MATCH('ORDENES'!$AB578,'TECNICOS'!$B$4:$B$15,0),99)*100000+575,9000000000000+575)</f>
        <v/>
      </c>
      <c r="M582" s="3">
        <f>IF(K582=1,SUMPRODUCT(--($L$8:$L$1207&lt;L582))+1,"")</f>
        <v/>
      </c>
      <c r="N582" s="17">
        <f>IF(K582=1,N('ORDENES'!$M578),0)</f>
        <v/>
      </c>
      <c r="O582" s="17">
        <f>IF('ORDENES'!$S578="preventiva",N582,0)</f>
        <v/>
      </c>
      <c r="P582" s="17">
        <f>IF('ORDENES'!$S578="correctiva",N582,0)</f>
        <v/>
      </c>
      <c r="Q582" s="3">
        <f>IF(AND(K582=1,'ORDENES'!$N578="Pendiente"),1,0)</f>
        <v/>
      </c>
      <c r="R582" s="3">
        <f>IF(Q582=1,100000-N582*1000+575*0.01,9000000000000+575)</f>
        <v/>
      </c>
      <c r="S582" s="3">
        <f>IF(Q582=1,SUMPRODUCT(--($R$8:$R$1207&lt;R582))+1,"")</f>
        <v/>
      </c>
      <c r="T582" s="11">
        <f>IF(K582=1,'ORDENES'!$J578,"")</f>
        <v/>
      </c>
    </row>
    <row r="583">
      <c r="K583" s="3">
        <f>IF(AND(IF($B$3="(todos)",TRUE,'ORDENES'!$O579=$B$3),IF($D$3="(todos)",TRUE,'ORDENES'!$AC579=$D$3),IF($F$3="(todos)",TRUE,'ORDENES'!$V579=$F$3),'ORDENES'!$AA579=TRUE,'ORDENES'!$A579&lt;&gt;""),1,0)</f>
        <v/>
      </c>
      <c r="L583" s="3">
        <f>IF(K583=1,IFERROR(MATCH('ORDENES'!$R579,lista_dias,0),9)*1000000000+IFERROR(MATCH('ORDENES'!$AC579,lista_turnos,0),9)*10000000+IFERROR(MATCH('ORDENES'!$AB579,'TECNICOS'!$B$4:$B$15,0),99)*100000+576,9000000000000+576)</f>
        <v/>
      </c>
      <c r="M583" s="3">
        <f>IF(K583=1,SUMPRODUCT(--($L$8:$L$1207&lt;L583))+1,"")</f>
        <v/>
      </c>
      <c r="N583" s="17">
        <f>IF(K583=1,N('ORDENES'!$M579),0)</f>
        <v/>
      </c>
      <c r="O583" s="17">
        <f>IF('ORDENES'!$S579="preventiva",N583,0)</f>
        <v/>
      </c>
      <c r="P583" s="17">
        <f>IF('ORDENES'!$S579="correctiva",N583,0)</f>
        <v/>
      </c>
      <c r="Q583" s="3">
        <f>IF(AND(K583=1,'ORDENES'!$N579="Pendiente"),1,0)</f>
        <v/>
      </c>
      <c r="R583" s="3">
        <f>IF(Q583=1,100000-N583*1000+576*0.01,9000000000000+576)</f>
        <v/>
      </c>
      <c r="S583" s="3">
        <f>IF(Q583=1,SUMPRODUCT(--($R$8:$R$1207&lt;R583))+1,"")</f>
        <v/>
      </c>
      <c r="T583" s="11">
        <f>IF(K583=1,'ORDENES'!$J579,"")</f>
        <v/>
      </c>
    </row>
    <row r="584">
      <c r="K584" s="3">
        <f>IF(AND(IF($B$3="(todos)",TRUE,'ORDENES'!$O580=$B$3),IF($D$3="(todos)",TRUE,'ORDENES'!$AC580=$D$3),IF($F$3="(todos)",TRUE,'ORDENES'!$V580=$F$3),'ORDENES'!$AA580=TRUE,'ORDENES'!$A580&lt;&gt;""),1,0)</f>
        <v/>
      </c>
      <c r="L584" s="3">
        <f>IF(K584=1,IFERROR(MATCH('ORDENES'!$R580,lista_dias,0),9)*1000000000+IFERROR(MATCH('ORDENES'!$AC580,lista_turnos,0),9)*10000000+IFERROR(MATCH('ORDENES'!$AB580,'TECNICOS'!$B$4:$B$15,0),99)*100000+577,9000000000000+577)</f>
        <v/>
      </c>
      <c r="M584" s="3">
        <f>IF(K584=1,SUMPRODUCT(--($L$8:$L$1207&lt;L584))+1,"")</f>
        <v/>
      </c>
      <c r="N584" s="17">
        <f>IF(K584=1,N('ORDENES'!$M580),0)</f>
        <v/>
      </c>
      <c r="O584" s="17">
        <f>IF('ORDENES'!$S580="preventiva",N584,0)</f>
        <v/>
      </c>
      <c r="P584" s="17">
        <f>IF('ORDENES'!$S580="correctiva",N584,0)</f>
        <v/>
      </c>
      <c r="Q584" s="3">
        <f>IF(AND(K584=1,'ORDENES'!$N580="Pendiente"),1,0)</f>
        <v/>
      </c>
      <c r="R584" s="3">
        <f>IF(Q584=1,100000-N584*1000+577*0.01,9000000000000+577)</f>
        <v/>
      </c>
      <c r="S584" s="3">
        <f>IF(Q584=1,SUMPRODUCT(--($R$8:$R$1207&lt;R584))+1,"")</f>
        <v/>
      </c>
      <c r="T584" s="11">
        <f>IF(K584=1,'ORDENES'!$J580,"")</f>
        <v/>
      </c>
    </row>
    <row r="585">
      <c r="K585" s="3">
        <f>IF(AND(IF($B$3="(todos)",TRUE,'ORDENES'!$O581=$B$3),IF($D$3="(todos)",TRUE,'ORDENES'!$AC581=$D$3),IF($F$3="(todos)",TRUE,'ORDENES'!$V581=$F$3),'ORDENES'!$AA581=TRUE,'ORDENES'!$A581&lt;&gt;""),1,0)</f>
        <v/>
      </c>
      <c r="L585" s="3">
        <f>IF(K585=1,IFERROR(MATCH('ORDENES'!$R581,lista_dias,0),9)*1000000000+IFERROR(MATCH('ORDENES'!$AC581,lista_turnos,0),9)*10000000+IFERROR(MATCH('ORDENES'!$AB581,'TECNICOS'!$B$4:$B$15,0),99)*100000+578,9000000000000+578)</f>
        <v/>
      </c>
      <c r="M585" s="3">
        <f>IF(K585=1,SUMPRODUCT(--($L$8:$L$1207&lt;L585))+1,"")</f>
        <v/>
      </c>
      <c r="N585" s="17">
        <f>IF(K585=1,N('ORDENES'!$M581),0)</f>
        <v/>
      </c>
      <c r="O585" s="17">
        <f>IF('ORDENES'!$S581="preventiva",N585,0)</f>
        <v/>
      </c>
      <c r="P585" s="17">
        <f>IF('ORDENES'!$S581="correctiva",N585,0)</f>
        <v/>
      </c>
      <c r="Q585" s="3">
        <f>IF(AND(K585=1,'ORDENES'!$N581="Pendiente"),1,0)</f>
        <v/>
      </c>
      <c r="R585" s="3">
        <f>IF(Q585=1,100000-N585*1000+578*0.01,9000000000000+578)</f>
        <v/>
      </c>
      <c r="S585" s="3">
        <f>IF(Q585=1,SUMPRODUCT(--($R$8:$R$1207&lt;R585))+1,"")</f>
        <v/>
      </c>
      <c r="T585" s="11">
        <f>IF(K585=1,'ORDENES'!$J581,"")</f>
        <v/>
      </c>
    </row>
    <row r="586">
      <c r="K586" s="3">
        <f>IF(AND(IF($B$3="(todos)",TRUE,'ORDENES'!$O582=$B$3),IF($D$3="(todos)",TRUE,'ORDENES'!$AC582=$D$3),IF($F$3="(todos)",TRUE,'ORDENES'!$V582=$F$3),'ORDENES'!$AA582=TRUE,'ORDENES'!$A582&lt;&gt;""),1,0)</f>
        <v/>
      </c>
      <c r="L586" s="3">
        <f>IF(K586=1,IFERROR(MATCH('ORDENES'!$R582,lista_dias,0),9)*1000000000+IFERROR(MATCH('ORDENES'!$AC582,lista_turnos,0),9)*10000000+IFERROR(MATCH('ORDENES'!$AB582,'TECNICOS'!$B$4:$B$15,0),99)*100000+579,9000000000000+579)</f>
        <v/>
      </c>
      <c r="M586" s="3">
        <f>IF(K586=1,SUMPRODUCT(--($L$8:$L$1207&lt;L586))+1,"")</f>
        <v/>
      </c>
      <c r="N586" s="17">
        <f>IF(K586=1,N('ORDENES'!$M582),0)</f>
        <v/>
      </c>
      <c r="O586" s="17">
        <f>IF('ORDENES'!$S582="preventiva",N586,0)</f>
        <v/>
      </c>
      <c r="P586" s="17">
        <f>IF('ORDENES'!$S582="correctiva",N586,0)</f>
        <v/>
      </c>
      <c r="Q586" s="3">
        <f>IF(AND(K586=1,'ORDENES'!$N582="Pendiente"),1,0)</f>
        <v/>
      </c>
      <c r="R586" s="3">
        <f>IF(Q586=1,100000-N586*1000+579*0.01,9000000000000+579)</f>
        <v/>
      </c>
      <c r="S586" s="3">
        <f>IF(Q586=1,SUMPRODUCT(--($R$8:$R$1207&lt;R586))+1,"")</f>
        <v/>
      </c>
      <c r="T586" s="11">
        <f>IF(K586=1,'ORDENES'!$J582,"")</f>
        <v/>
      </c>
    </row>
    <row r="587">
      <c r="K587" s="3">
        <f>IF(AND(IF($B$3="(todos)",TRUE,'ORDENES'!$O583=$B$3),IF($D$3="(todos)",TRUE,'ORDENES'!$AC583=$D$3),IF($F$3="(todos)",TRUE,'ORDENES'!$V583=$F$3),'ORDENES'!$AA583=TRUE,'ORDENES'!$A583&lt;&gt;""),1,0)</f>
        <v/>
      </c>
      <c r="L587" s="3">
        <f>IF(K587=1,IFERROR(MATCH('ORDENES'!$R583,lista_dias,0),9)*1000000000+IFERROR(MATCH('ORDENES'!$AC583,lista_turnos,0),9)*10000000+IFERROR(MATCH('ORDENES'!$AB583,'TECNICOS'!$B$4:$B$15,0),99)*100000+580,9000000000000+580)</f>
        <v/>
      </c>
      <c r="M587" s="3">
        <f>IF(K587=1,SUMPRODUCT(--($L$8:$L$1207&lt;L587))+1,"")</f>
        <v/>
      </c>
      <c r="N587" s="17">
        <f>IF(K587=1,N('ORDENES'!$M583),0)</f>
        <v/>
      </c>
      <c r="O587" s="17">
        <f>IF('ORDENES'!$S583="preventiva",N587,0)</f>
        <v/>
      </c>
      <c r="P587" s="17">
        <f>IF('ORDENES'!$S583="correctiva",N587,0)</f>
        <v/>
      </c>
      <c r="Q587" s="3">
        <f>IF(AND(K587=1,'ORDENES'!$N583="Pendiente"),1,0)</f>
        <v/>
      </c>
      <c r="R587" s="3">
        <f>IF(Q587=1,100000-N587*1000+580*0.01,9000000000000+580)</f>
        <v/>
      </c>
      <c r="S587" s="3">
        <f>IF(Q587=1,SUMPRODUCT(--($R$8:$R$1207&lt;R587))+1,"")</f>
        <v/>
      </c>
      <c r="T587" s="11">
        <f>IF(K587=1,'ORDENES'!$J583,"")</f>
        <v/>
      </c>
    </row>
    <row r="588">
      <c r="K588" s="3">
        <f>IF(AND(IF($B$3="(todos)",TRUE,'ORDENES'!$O584=$B$3),IF($D$3="(todos)",TRUE,'ORDENES'!$AC584=$D$3),IF($F$3="(todos)",TRUE,'ORDENES'!$V584=$F$3),'ORDENES'!$AA584=TRUE,'ORDENES'!$A584&lt;&gt;""),1,0)</f>
        <v/>
      </c>
      <c r="L588" s="3">
        <f>IF(K588=1,IFERROR(MATCH('ORDENES'!$R584,lista_dias,0),9)*1000000000+IFERROR(MATCH('ORDENES'!$AC584,lista_turnos,0),9)*10000000+IFERROR(MATCH('ORDENES'!$AB584,'TECNICOS'!$B$4:$B$15,0),99)*100000+581,9000000000000+581)</f>
        <v/>
      </c>
      <c r="M588" s="3">
        <f>IF(K588=1,SUMPRODUCT(--($L$8:$L$1207&lt;L588))+1,"")</f>
        <v/>
      </c>
      <c r="N588" s="17">
        <f>IF(K588=1,N('ORDENES'!$M584),0)</f>
        <v/>
      </c>
      <c r="O588" s="17">
        <f>IF('ORDENES'!$S584="preventiva",N588,0)</f>
        <v/>
      </c>
      <c r="P588" s="17">
        <f>IF('ORDENES'!$S584="correctiva",N588,0)</f>
        <v/>
      </c>
      <c r="Q588" s="3">
        <f>IF(AND(K588=1,'ORDENES'!$N584="Pendiente"),1,0)</f>
        <v/>
      </c>
      <c r="R588" s="3">
        <f>IF(Q588=1,100000-N588*1000+581*0.01,9000000000000+581)</f>
        <v/>
      </c>
      <c r="S588" s="3">
        <f>IF(Q588=1,SUMPRODUCT(--($R$8:$R$1207&lt;R588))+1,"")</f>
        <v/>
      </c>
      <c r="T588" s="11">
        <f>IF(K588=1,'ORDENES'!$J584,"")</f>
        <v/>
      </c>
    </row>
    <row r="589">
      <c r="K589" s="3">
        <f>IF(AND(IF($B$3="(todos)",TRUE,'ORDENES'!$O585=$B$3),IF($D$3="(todos)",TRUE,'ORDENES'!$AC585=$D$3),IF($F$3="(todos)",TRUE,'ORDENES'!$V585=$F$3),'ORDENES'!$AA585=TRUE,'ORDENES'!$A585&lt;&gt;""),1,0)</f>
        <v/>
      </c>
      <c r="L589" s="3">
        <f>IF(K589=1,IFERROR(MATCH('ORDENES'!$R585,lista_dias,0),9)*1000000000+IFERROR(MATCH('ORDENES'!$AC585,lista_turnos,0),9)*10000000+IFERROR(MATCH('ORDENES'!$AB585,'TECNICOS'!$B$4:$B$15,0),99)*100000+582,9000000000000+582)</f>
        <v/>
      </c>
      <c r="M589" s="3">
        <f>IF(K589=1,SUMPRODUCT(--($L$8:$L$1207&lt;L589))+1,"")</f>
        <v/>
      </c>
      <c r="N589" s="17">
        <f>IF(K589=1,N('ORDENES'!$M585),0)</f>
        <v/>
      </c>
      <c r="O589" s="17">
        <f>IF('ORDENES'!$S585="preventiva",N589,0)</f>
        <v/>
      </c>
      <c r="P589" s="17">
        <f>IF('ORDENES'!$S585="correctiva",N589,0)</f>
        <v/>
      </c>
      <c r="Q589" s="3">
        <f>IF(AND(K589=1,'ORDENES'!$N585="Pendiente"),1,0)</f>
        <v/>
      </c>
      <c r="R589" s="3">
        <f>IF(Q589=1,100000-N589*1000+582*0.01,9000000000000+582)</f>
        <v/>
      </c>
      <c r="S589" s="3">
        <f>IF(Q589=1,SUMPRODUCT(--($R$8:$R$1207&lt;R589))+1,"")</f>
        <v/>
      </c>
      <c r="T589" s="11">
        <f>IF(K589=1,'ORDENES'!$J585,"")</f>
        <v/>
      </c>
    </row>
    <row r="590">
      <c r="K590" s="3">
        <f>IF(AND(IF($B$3="(todos)",TRUE,'ORDENES'!$O586=$B$3),IF($D$3="(todos)",TRUE,'ORDENES'!$AC586=$D$3),IF($F$3="(todos)",TRUE,'ORDENES'!$V586=$F$3),'ORDENES'!$AA586=TRUE,'ORDENES'!$A586&lt;&gt;""),1,0)</f>
        <v/>
      </c>
      <c r="L590" s="3">
        <f>IF(K590=1,IFERROR(MATCH('ORDENES'!$R586,lista_dias,0),9)*1000000000+IFERROR(MATCH('ORDENES'!$AC586,lista_turnos,0),9)*10000000+IFERROR(MATCH('ORDENES'!$AB586,'TECNICOS'!$B$4:$B$15,0),99)*100000+583,9000000000000+583)</f>
        <v/>
      </c>
      <c r="M590" s="3">
        <f>IF(K590=1,SUMPRODUCT(--($L$8:$L$1207&lt;L590))+1,"")</f>
        <v/>
      </c>
      <c r="N590" s="17">
        <f>IF(K590=1,N('ORDENES'!$M586),0)</f>
        <v/>
      </c>
      <c r="O590" s="17">
        <f>IF('ORDENES'!$S586="preventiva",N590,0)</f>
        <v/>
      </c>
      <c r="P590" s="17">
        <f>IF('ORDENES'!$S586="correctiva",N590,0)</f>
        <v/>
      </c>
      <c r="Q590" s="3">
        <f>IF(AND(K590=1,'ORDENES'!$N586="Pendiente"),1,0)</f>
        <v/>
      </c>
      <c r="R590" s="3">
        <f>IF(Q590=1,100000-N590*1000+583*0.01,9000000000000+583)</f>
        <v/>
      </c>
      <c r="S590" s="3">
        <f>IF(Q590=1,SUMPRODUCT(--($R$8:$R$1207&lt;R590))+1,"")</f>
        <v/>
      </c>
      <c r="T590" s="11">
        <f>IF(K590=1,'ORDENES'!$J586,"")</f>
        <v/>
      </c>
    </row>
    <row r="591">
      <c r="K591" s="3">
        <f>IF(AND(IF($B$3="(todos)",TRUE,'ORDENES'!$O587=$B$3),IF($D$3="(todos)",TRUE,'ORDENES'!$AC587=$D$3),IF($F$3="(todos)",TRUE,'ORDENES'!$V587=$F$3),'ORDENES'!$AA587=TRUE,'ORDENES'!$A587&lt;&gt;""),1,0)</f>
        <v/>
      </c>
      <c r="L591" s="3">
        <f>IF(K591=1,IFERROR(MATCH('ORDENES'!$R587,lista_dias,0),9)*1000000000+IFERROR(MATCH('ORDENES'!$AC587,lista_turnos,0),9)*10000000+IFERROR(MATCH('ORDENES'!$AB587,'TECNICOS'!$B$4:$B$15,0),99)*100000+584,9000000000000+584)</f>
        <v/>
      </c>
      <c r="M591" s="3">
        <f>IF(K591=1,SUMPRODUCT(--($L$8:$L$1207&lt;L591))+1,"")</f>
        <v/>
      </c>
      <c r="N591" s="17">
        <f>IF(K591=1,N('ORDENES'!$M587),0)</f>
        <v/>
      </c>
      <c r="O591" s="17">
        <f>IF('ORDENES'!$S587="preventiva",N591,0)</f>
        <v/>
      </c>
      <c r="P591" s="17">
        <f>IF('ORDENES'!$S587="correctiva",N591,0)</f>
        <v/>
      </c>
      <c r="Q591" s="3">
        <f>IF(AND(K591=1,'ORDENES'!$N587="Pendiente"),1,0)</f>
        <v/>
      </c>
      <c r="R591" s="3">
        <f>IF(Q591=1,100000-N591*1000+584*0.01,9000000000000+584)</f>
        <v/>
      </c>
      <c r="S591" s="3">
        <f>IF(Q591=1,SUMPRODUCT(--($R$8:$R$1207&lt;R591))+1,"")</f>
        <v/>
      </c>
      <c r="T591" s="11">
        <f>IF(K591=1,'ORDENES'!$J587,"")</f>
        <v/>
      </c>
    </row>
    <row r="592">
      <c r="K592" s="3">
        <f>IF(AND(IF($B$3="(todos)",TRUE,'ORDENES'!$O588=$B$3),IF($D$3="(todos)",TRUE,'ORDENES'!$AC588=$D$3),IF($F$3="(todos)",TRUE,'ORDENES'!$V588=$F$3),'ORDENES'!$AA588=TRUE,'ORDENES'!$A588&lt;&gt;""),1,0)</f>
        <v/>
      </c>
      <c r="L592" s="3">
        <f>IF(K592=1,IFERROR(MATCH('ORDENES'!$R588,lista_dias,0),9)*1000000000+IFERROR(MATCH('ORDENES'!$AC588,lista_turnos,0),9)*10000000+IFERROR(MATCH('ORDENES'!$AB588,'TECNICOS'!$B$4:$B$15,0),99)*100000+585,9000000000000+585)</f>
        <v/>
      </c>
      <c r="M592" s="3">
        <f>IF(K592=1,SUMPRODUCT(--($L$8:$L$1207&lt;L592))+1,"")</f>
        <v/>
      </c>
      <c r="N592" s="17">
        <f>IF(K592=1,N('ORDENES'!$M588),0)</f>
        <v/>
      </c>
      <c r="O592" s="17">
        <f>IF('ORDENES'!$S588="preventiva",N592,0)</f>
        <v/>
      </c>
      <c r="P592" s="17">
        <f>IF('ORDENES'!$S588="correctiva",N592,0)</f>
        <v/>
      </c>
      <c r="Q592" s="3">
        <f>IF(AND(K592=1,'ORDENES'!$N588="Pendiente"),1,0)</f>
        <v/>
      </c>
      <c r="R592" s="3">
        <f>IF(Q592=1,100000-N592*1000+585*0.01,9000000000000+585)</f>
        <v/>
      </c>
      <c r="S592" s="3">
        <f>IF(Q592=1,SUMPRODUCT(--($R$8:$R$1207&lt;R592))+1,"")</f>
        <v/>
      </c>
      <c r="T592" s="11">
        <f>IF(K592=1,'ORDENES'!$J588,"")</f>
        <v/>
      </c>
    </row>
    <row r="593">
      <c r="K593" s="3">
        <f>IF(AND(IF($B$3="(todos)",TRUE,'ORDENES'!$O589=$B$3),IF($D$3="(todos)",TRUE,'ORDENES'!$AC589=$D$3),IF($F$3="(todos)",TRUE,'ORDENES'!$V589=$F$3),'ORDENES'!$AA589=TRUE,'ORDENES'!$A589&lt;&gt;""),1,0)</f>
        <v/>
      </c>
      <c r="L593" s="3">
        <f>IF(K593=1,IFERROR(MATCH('ORDENES'!$R589,lista_dias,0),9)*1000000000+IFERROR(MATCH('ORDENES'!$AC589,lista_turnos,0),9)*10000000+IFERROR(MATCH('ORDENES'!$AB589,'TECNICOS'!$B$4:$B$15,0),99)*100000+586,9000000000000+586)</f>
        <v/>
      </c>
      <c r="M593" s="3">
        <f>IF(K593=1,SUMPRODUCT(--($L$8:$L$1207&lt;L593))+1,"")</f>
        <v/>
      </c>
      <c r="N593" s="17">
        <f>IF(K593=1,N('ORDENES'!$M589),0)</f>
        <v/>
      </c>
      <c r="O593" s="17">
        <f>IF('ORDENES'!$S589="preventiva",N593,0)</f>
        <v/>
      </c>
      <c r="P593" s="17">
        <f>IF('ORDENES'!$S589="correctiva",N593,0)</f>
        <v/>
      </c>
      <c r="Q593" s="3">
        <f>IF(AND(K593=1,'ORDENES'!$N589="Pendiente"),1,0)</f>
        <v/>
      </c>
      <c r="R593" s="3">
        <f>IF(Q593=1,100000-N593*1000+586*0.01,9000000000000+586)</f>
        <v/>
      </c>
      <c r="S593" s="3">
        <f>IF(Q593=1,SUMPRODUCT(--($R$8:$R$1207&lt;R593))+1,"")</f>
        <v/>
      </c>
      <c r="T593" s="11">
        <f>IF(K593=1,'ORDENES'!$J589,"")</f>
        <v/>
      </c>
    </row>
    <row r="594">
      <c r="K594" s="3">
        <f>IF(AND(IF($B$3="(todos)",TRUE,'ORDENES'!$O590=$B$3),IF($D$3="(todos)",TRUE,'ORDENES'!$AC590=$D$3),IF($F$3="(todos)",TRUE,'ORDENES'!$V590=$F$3),'ORDENES'!$AA590=TRUE,'ORDENES'!$A590&lt;&gt;""),1,0)</f>
        <v/>
      </c>
      <c r="L594" s="3">
        <f>IF(K594=1,IFERROR(MATCH('ORDENES'!$R590,lista_dias,0),9)*1000000000+IFERROR(MATCH('ORDENES'!$AC590,lista_turnos,0),9)*10000000+IFERROR(MATCH('ORDENES'!$AB590,'TECNICOS'!$B$4:$B$15,0),99)*100000+587,9000000000000+587)</f>
        <v/>
      </c>
      <c r="M594" s="3">
        <f>IF(K594=1,SUMPRODUCT(--($L$8:$L$1207&lt;L594))+1,"")</f>
        <v/>
      </c>
      <c r="N594" s="17">
        <f>IF(K594=1,N('ORDENES'!$M590),0)</f>
        <v/>
      </c>
      <c r="O594" s="17">
        <f>IF('ORDENES'!$S590="preventiva",N594,0)</f>
        <v/>
      </c>
      <c r="P594" s="17">
        <f>IF('ORDENES'!$S590="correctiva",N594,0)</f>
        <v/>
      </c>
      <c r="Q594" s="3">
        <f>IF(AND(K594=1,'ORDENES'!$N590="Pendiente"),1,0)</f>
        <v/>
      </c>
      <c r="R594" s="3">
        <f>IF(Q594=1,100000-N594*1000+587*0.01,9000000000000+587)</f>
        <v/>
      </c>
      <c r="S594" s="3">
        <f>IF(Q594=1,SUMPRODUCT(--($R$8:$R$1207&lt;R594))+1,"")</f>
        <v/>
      </c>
      <c r="T594" s="11">
        <f>IF(K594=1,'ORDENES'!$J590,"")</f>
        <v/>
      </c>
    </row>
    <row r="595">
      <c r="K595" s="3">
        <f>IF(AND(IF($B$3="(todos)",TRUE,'ORDENES'!$O591=$B$3),IF($D$3="(todos)",TRUE,'ORDENES'!$AC591=$D$3),IF($F$3="(todos)",TRUE,'ORDENES'!$V591=$F$3),'ORDENES'!$AA591=TRUE,'ORDENES'!$A591&lt;&gt;""),1,0)</f>
        <v/>
      </c>
      <c r="L595" s="3">
        <f>IF(K595=1,IFERROR(MATCH('ORDENES'!$R591,lista_dias,0),9)*1000000000+IFERROR(MATCH('ORDENES'!$AC591,lista_turnos,0),9)*10000000+IFERROR(MATCH('ORDENES'!$AB591,'TECNICOS'!$B$4:$B$15,0),99)*100000+588,9000000000000+588)</f>
        <v/>
      </c>
      <c r="M595" s="3">
        <f>IF(K595=1,SUMPRODUCT(--($L$8:$L$1207&lt;L595))+1,"")</f>
        <v/>
      </c>
      <c r="N595" s="17">
        <f>IF(K595=1,N('ORDENES'!$M591),0)</f>
        <v/>
      </c>
      <c r="O595" s="17">
        <f>IF('ORDENES'!$S591="preventiva",N595,0)</f>
        <v/>
      </c>
      <c r="P595" s="17">
        <f>IF('ORDENES'!$S591="correctiva",N595,0)</f>
        <v/>
      </c>
      <c r="Q595" s="3">
        <f>IF(AND(K595=1,'ORDENES'!$N591="Pendiente"),1,0)</f>
        <v/>
      </c>
      <c r="R595" s="3">
        <f>IF(Q595=1,100000-N595*1000+588*0.01,9000000000000+588)</f>
        <v/>
      </c>
      <c r="S595" s="3">
        <f>IF(Q595=1,SUMPRODUCT(--($R$8:$R$1207&lt;R595))+1,"")</f>
        <v/>
      </c>
      <c r="T595" s="11">
        <f>IF(K595=1,'ORDENES'!$J591,"")</f>
        <v/>
      </c>
    </row>
    <row r="596">
      <c r="K596" s="3">
        <f>IF(AND(IF($B$3="(todos)",TRUE,'ORDENES'!$O592=$B$3),IF($D$3="(todos)",TRUE,'ORDENES'!$AC592=$D$3),IF($F$3="(todos)",TRUE,'ORDENES'!$V592=$F$3),'ORDENES'!$AA592=TRUE,'ORDENES'!$A592&lt;&gt;""),1,0)</f>
        <v/>
      </c>
      <c r="L596" s="3">
        <f>IF(K596=1,IFERROR(MATCH('ORDENES'!$R592,lista_dias,0),9)*1000000000+IFERROR(MATCH('ORDENES'!$AC592,lista_turnos,0),9)*10000000+IFERROR(MATCH('ORDENES'!$AB592,'TECNICOS'!$B$4:$B$15,0),99)*100000+589,9000000000000+589)</f>
        <v/>
      </c>
      <c r="M596" s="3">
        <f>IF(K596=1,SUMPRODUCT(--($L$8:$L$1207&lt;L596))+1,"")</f>
        <v/>
      </c>
      <c r="N596" s="17">
        <f>IF(K596=1,N('ORDENES'!$M592),0)</f>
        <v/>
      </c>
      <c r="O596" s="17">
        <f>IF('ORDENES'!$S592="preventiva",N596,0)</f>
        <v/>
      </c>
      <c r="P596" s="17">
        <f>IF('ORDENES'!$S592="correctiva",N596,0)</f>
        <v/>
      </c>
      <c r="Q596" s="3">
        <f>IF(AND(K596=1,'ORDENES'!$N592="Pendiente"),1,0)</f>
        <v/>
      </c>
      <c r="R596" s="3">
        <f>IF(Q596=1,100000-N596*1000+589*0.01,9000000000000+589)</f>
        <v/>
      </c>
      <c r="S596" s="3">
        <f>IF(Q596=1,SUMPRODUCT(--($R$8:$R$1207&lt;R596))+1,"")</f>
        <v/>
      </c>
      <c r="T596" s="11">
        <f>IF(K596=1,'ORDENES'!$J592,"")</f>
        <v/>
      </c>
    </row>
    <row r="597">
      <c r="K597" s="3">
        <f>IF(AND(IF($B$3="(todos)",TRUE,'ORDENES'!$O593=$B$3),IF($D$3="(todos)",TRUE,'ORDENES'!$AC593=$D$3),IF($F$3="(todos)",TRUE,'ORDENES'!$V593=$F$3),'ORDENES'!$AA593=TRUE,'ORDENES'!$A593&lt;&gt;""),1,0)</f>
        <v/>
      </c>
      <c r="L597" s="3">
        <f>IF(K597=1,IFERROR(MATCH('ORDENES'!$R593,lista_dias,0),9)*1000000000+IFERROR(MATCH('ORDENES'!$AC593,lista_turnos,0),9)*10000000+IFERROR(MATCH('ORDENES'!$AB593,'TECNICOS'!$B$4:$B$15,0),99)*100000+590,9000000000000+590)</f>
        <v/>
      </c>
      <c r="M597" s="3">
        <f>IF(K597=1,SUMPRODUCT(--($L$8:$L$1207&lt;L597))+1,"")</f>
        <v/>
      </c>
      <c r="N597" s="17">
        <f>IF(K597=1,N('ORDENES'!$M593),0)</f>
        <v/>
      </c>
      <c r="O597" s="17">
        <f>IF('ORDENES'!$S593="preventiva",N597,0)</f>
        <v/>
      </c>
      <c r="P597" s="17">
        <f>IF('ORDENES'!$S593="correctiva",N597,0)</f>
        <v/>
      </c>
      <c r="Q597" s="3">
        <f>IF(AND(K597=1,'ORDENES'!$N593="Pendiente"),1,0)</f>
        <v/>
      </c>
      <c r="R597" s="3">
        <f>IF(Q597=1,100000-N597*1000+590*0.01,9000000000000+590)</f>
        <v/>
      </c>
      <c r="S597" s="3">
        <f>IF(Q597=1,SUMPRODUCT(--($R$8:$R$1207&lt;R597))+1,"")</f>
        <v/>
      </c>
      <c r="T597" s="11">
        <f>IF(K597=1,'ORDENES'!$J593,"")</f>
        <v/>
      </c>
    </row>
    <row r="598">
      <c r="K598" s="3">
        <f>IF(AND(IF($B$3="(todos)",TRUE,'ORDENES'!$O594=$B$3),IF($D$3="(todos)",TRUE,'ORDENES'!$AC594=$D$3),IF($F$3="(todos)",TRUE,'ORDENES'!$V594=$F$3),'ORDENES'!$AA594=TRUE,'ORDENES'!$A594&lt;&gt;""),1,0)</f>
        <v/>
      </c>
      <c r="L598" s="3">
        <f>IF(K598=1,IFERROR(MATCH('ORDENES'!$R594,lista_dias,0),9)*1000000000+IFERROR(MATCH('ORDENES'!$AC594,lista_turnos,0),9)*10000000+IFERROR(MATCH('ORDENES'!$AB594,'TECNICOS'!$B$4:$B$15,0),99)*100000+591,9000000000000+591)</f>
        <v/>
      </c>
      <c r="M598" s="3">
        <f>IF(K598=1,SUMPRODUCT(--($L$8:$L$1207&lt;L598))+1,"")</f>
        <v/>
      </c>
      <c r="N598" s="17">
        <f>IF(K598=1,N('ORDENES'!$M594),0)</f>
        <v/>
      </c>
      <c r="O598" s="17">
        <f>IF('ORDENES'!$S594="preventiva",N598,0)</f>
        <v/>
      </c>
      <c r="P598" s="17">
        <f>IF('ORDENES'!$S594="correctiva",N598,0)</f>
        <v/>
      </c>
      <c r="Q598" s="3">
        <f>IF(AND(K598=1,'ORDENES'!$N594="Pendiente"),1,0)</f>
        <v/>
      </c>
      <c r="R598" s="3">
        <f>IF(Q598=1,100000-N598*1000+591*0.01,9000000000000+591)</f>
        <v/>
      </c>
      <c r="S598" s="3">
        <f>IF(Q598=1,SUMPRODUCT(--($R$8:$R$1207&lt;R598))+1,"")</f>
        <v/>
      </c>
      <c r="T598" s="11">
        <f>IF(K598=1,'ORDENES'!$J594,"")</f>
        <v/>
      </c>
    </row>
    <row r="599">
      <c r="K599" s="3">
        <f>IF(AND(IF($B$3="(todos)",TRUE,'ORDENES'!$O595=$B$3),IF($D$3="(todos)",TRUE,'ORDENES'!$AC595=$D$3),IF($F$3="(todos)",TRUE,'ORDENES'!$V595=$F$3),'ORDENES'!$AA595=TRUE,'ORDENES'!$A595&lt;&gt;""),1,0)</f>
        <v/>
      </c>
      <c r="L599" s="3">
        <f>IF(K599=1,IFERROR(MATCH('ORDENES'!$R595,lista_dias,0),9)*1000000000+IFERROR(MATCH('ORDENES'!$AC595,lista_turnos,0),9)*10000000+IFERROR(MATCH('ORDENES'!$AB595,'TECNICOS'!$B$4:$B$15,0),99)*100000+592,9000000000000+592)</f>
        <v/>
      </c>
      <c r="M599" s="3">
        <f>IF(K599=1,SUMPRODUCT(--($L$8:$L$1207&lt;L599))+1,"")</f>
        <v/>
      </c>
      <c r="N599" s="17">
        <f>IF(K599=1,N('ORDENES'!$M595),0)</f>
        <v/>
      </c>
      <c r="O599" s="17">
        <f>IF('ORDENES'!$S595="preventiva",N599,0)</f>
        <v/>
      </c>
      <c r="P599" s="17">
        <f>IF('ORDENES'!$S595="correctiva",N599,0)</f>
        <v/>
      </c>
      <c r="Q599" s="3">
        <f>IF(AND(K599=1,'ORDENES'!$N595="Pendiente"),1,0)</f>
        <v/>
      </c>
      <c r="R599" s="3">
        <f>IF(Q599=1,100000-N599*1000+592*0.01,9000000000000+592)</f>
        <v/>
      </c>
      <c r="S599" s="3">
        <f>IF(Q599=1,SUMPRODUCT(--($R$8:$R$1207&lt;R599))+1,"")</f>
        <v/>
      </c>
      <c r="T599" s="11">
        <f>IF(K599=1,'ORDENES'!$J595,"")</f>
        <v/>
      </c>
    </row>
    <row r="600">
      <c r="K600" s="3">
        <f>IF(AND(IF($B$3="(todos)",TRUE,'ORDENES'!$O596=$B$3),IF($D$3="(todos)",TRUE,'ORDENES'!$AC596=$D$3),IF($F$3="(todos)",TRUE,'ORDENES'!$V596=$F$3),'ORDENES'!$AA596=TRUE,'ORDENES'!$A596&lt;&gt;""),1,0)</f>
        <v/>
      </c>
      <c r="L600" s="3">
        <f>IF(K600=1,IFERROR(MATCH('ORDENES'!$R596,lista_dias,0),9)*1000000000+IFERROR(MATCH('ORDENES'!$AC596,lista_turnos,0),9)*10000000+IFERROR(MATCH('ORDENES'!$AB596,'TECNICOS'!$B$4:$B$15,0),99)*100000+593,9000000000000+593)</f>
        <v/>
      </c>
      <c r="M600" s="3">
        <f>IF(K600=1,SUMPRODUCT(--($L$8:$L$1207&lt;L600))+1,"")</f>
        <v/>
      </c>
      <c r="N600" s="17">
        <f>IF(K600=1,N('ORDENES'!$M596),0)</f>
        <v/>
      </c>
      <c r="O600" s="17">
        <f>IF('ORDENES'!$S596="preventiva",N600,0)</f>
        <v/>
      </c>
      <c r="P600" s="17">
        <f>IF('ORDENES'!$S596="correctiva",N600,0)</f>
        <v/>
      </c>
      <c r="Q600" s="3">
        <f>IF(AND(K600=1,'ORDENES'!$N596="Pendiente"),1,0)</f>
        <v/>
      </c>
      <c r="R600" s="3">
        <f>IF(Q600=1,100000-N600*1000+593*0.01,9000000000000+593)</f>
        <v/>
      </c>
      <c r="S600" s="3">
        <f>IF(Q600=1,SUMPRODUCT(--($R$8:$R$1207&lt;R600))+1,"")</f>
        <v/>
      </c>
      <c r="T600" s="11">
        <f>IF(K600=1,'ORDENES'!$J596,"")</f>
        <v/>
      </c>
    </row>
    <row r="601">
      <c r="K601" s="3">
        <f>IF(AND(IF($B$3="(todos)",TRUE,'ORDENES'!$O597=$B$3),IF($D$3="(todos)",TRUE,'ORDENES'!$AC597=$D$3),IF($F$3="(todos)",TRUE,'ORDENES'!$V597=$F$3),'ORDENES'!$AA597=TRUE,'ORDENES'!$A597&lt;&gt;""),1,0)</f>
        <v/>
      </c>
      <c r="L601" s="3">
        <f>IF(K601=1,IFERROR(MATCH('ORDENES'!$R597,lista_dias,0),9)*1000000000+IFERROR(MATCH('ORDENES'!$AC597,lista_turnos,0),9)*10000000+IFERROR(MATCH('ORDENES'!$AB597,'TECNICOS'!$B$4:$B$15,0),99)*100000+594,9000000000000+594)</f>
        <v/>
      </c>
      <c r="M601" s="3">
        <f>IF(K601=1,SUMPRODUCT(--($L$8:$L$1207&lt;L601))+1,"")</f>
        <v/>
      </c>
      <c r="N601" s="17">
        <f>IF(K601=1,N('ORDENES'!$M597),0)</f>
        <v/>
      </c>
      <c r="O601" s="17">
        <f>IF('ORDENES'!$S597="preventiva",N601,0)</f>
        <v/>
      </c>
      <c r="P601" s="17">
        <f>IF('ORDENES'!$S597="correctiva",N601,0)</f>
        <v/>
      </c>
      <c r="Q601" s="3">
        <f>IF(AND(K601=1,'ORDENES'!$N597="Pendiente"),1,0)</f>
        <v/>
      </c>
      <c r="R601" s="3">
        <f>IF(Q601=1,100000-N601*1000+594*0.01,9000000000000+594)</f>
        <v/>
      </c>
      <c r="S601" s="3">
        <f>IF(Q601=1,SUMPRODUCT(--($R$8:$R$1207&lt;R601))+1,"")</f>
        <v/>
      </c>
      <c r="T601" s="11">
        <f>IF(K601=1,'ORDENES'!$J597,"")</f>
        <v/>
      </c>
    </row>
    <row r="602">
      <c r="K602" s="3">
        <f>IF(AND(IF($B$3="(todos)",TRUE,'ORDENES'!$O598=$B$3),IF($D$3="(todos)",TRUE,'ORDENES'!$AC598=$D$3),IF($F$3="(todos)",TRUE,'ORDENES'!$V598=$F$3),'ORDENES'!$AA598=TRUE,'ORDENES'!$A598&lt;&gt;""),1,0)</f>
        <v/>
      </c>
      <c r="L602" s="3">
        <f>IF(K602=1,IFERROR(MATCH('ORDENES'!$R598,lista_dias,0),9)*1000000000+IFERROR(MATCH('ORDENES'!$AC598,lista_turnos,0),9)*10000000+IFERROR(MATCH('ORDENES'!$AB598,'TECNICOS'!$B$4:$B$15,0),99)*100000+595,9000000000000+595)</f>
        <v/>
      </c>
      <c r="M602" s="3">
        <f>IF(K602=1,SUMPRODUCT(--($L$8:$L$1207&lt;L602))+1,"")</f>
        <v/>
      </c>
      <c r="N602" s="17">
        <f>IF(K602=1,N('ORDENES'!$M598),0)</f>
        <v/>
      </c>
      <c r="O602" s="17">
        <f>IF('ORDENES'!$S598="preventiva",N602,0)</f>
        <v/>
      </c>
      <c r="P602" s="17">
        <f>IF('ORDENES'!$S598="correctiva",N602,0)</f>
        <v/>
      </c>
      <c r="Q602" s="3">
        <f>IF(AND(K602=1,'ORDENES'!$N598="Pendiente"),1,0)</f>
        <v/>
      </c>
      <c r="R602" s="3">
        <f>IF(Q602=1,100000-N602*1000+595*0.01,9000000000000+595)</f>
        <v/>
      </c>
      <c r="S602" s="3">
        <f>IF(Q602=1,SUMPRODUCT(--($R$8:$R$1207&lt;R602))+1,"")</f>
        <v/>
      </c>
      <c r="T602" s="11">
        <f>IF(K602=1,'ORDENES'!$J598,"")</f>
        <v/>
      </c>
    </row>
    <row r="603">
      <c r="K603" s="3">
        <f>IF(AND(IF($B$3="(todos)",TRUE,'ORDENES'!$O599=$B$3),IF($D$3="(todos)",TRUE,'ORDENES'!$AC599=$D$3),IF($F$3="(todos)",TRUE,'ORDENES'!$V599=$F$3),'ORDENES'!$AA599=TRUE,'ORDENES'!$A599&lt;&gt;""),1,0)</f>
        <v/>
      </c>
      <c r="L603" s="3">
        <f>IF(K603=1,IFERROR(MATCH('ORDENES'!$R599,lista_dias,0),9)*1000000000+IFERROR(MATCH('ORDENES'!$AC599,lista_turnos,0),9)*10000000+IFERROR(MATCH('ORDENES'!$AB599,'TECNICOS'!$B$4:$B$15,0),99)*100000+596,9000000000000+596)</f>
        <v/>
      </c>
      <c r="M603" s="3">
        <f>IF(K603=1,SUMPRODUCT(--($L$8:$L$1207&lt;L603))+1,"")</f>
        <v/>
      </c>
      <c r="N603" s="17">
        <f>IF(K603=1,N('ORDENES'!$M599),0)</f>
        <v/>
      </c>
      <c r="O603" s="17">
        <f>IF('ORDENES'!$S599="preventiva",N603,0)</f>
        <v/>
      </c>
      <c r="P603" s="17">
        <f>IF('ORDENES'!$S599="correctiva",N603,0)</f>
        <v/>
      </c>
      <c r="Q603" s="3">
        <f>IF(AND(K603=1,'ORDENES'!$N599="Pendiente"),1,0)</f>
        <v/>
      </c>
      <c r="R603" s="3">
        <f>IF(Q603=1,100000-N603*1000+596*0.01,9000000000000+596)</f>
        <v/>
      </c>
      <c r="S603" s="3">
        <f>IF(Q603=1,SUMPRODUCT(--($R$8:$R$1207&lt;R603))+1,"")</f>
        <v/>
      </c>
      <c r="T603" s="11">
        <f>IF(K603=1,'ORDENES'!$J599,"")</f>
        <v/>
      </c>
    </row>
    <row r="604">
      <c r="K604" s="3">
        <f>IF(AND(IF($B$3="(todos)",TRUE,'ORDENES'!$O600=$B$3),IF($D$3="(todos)",TRUE,'ORDENES'!$AC600=$D$3),IF($F$3="(todos)",TRUE,'ORDENES'!$V600=$F$3),'ORDENES'!$AA600=TRUE,'ORDENES'!$A600&lt;&gt;""),1,0)</f>
        <v/>
      </c>
      <c r="L604" s="3">
        <f>IF(K604=1,IFERROR(MATCH('ORDENES'!$R600,lista_dias,0),9)*1000000000+IFERROR(MATCH('ORDENES'!$AC600,lista_turnos,0),9)*10000000+IFERROR(MATCH('ORDENES'!$AB600,'TECNICOS'!$B$4:$B$15,0),99)*100000+597,9000000000000+597)</f>
        <v/>
      </c>
      <c r="M604" s="3">
        <f>IF(K604=1,SUMPRODUCT(--($L$8:$L$1207&lt;L604))+1,"")</f>
        <v/>
      </c>
      <c r="N604" s="17">
        <f>IF(K604=1,N('ORDENES'!$M600),0)</f>
        <v/>
      </c>
      <c r="O604" s="17">
        <f>IF('ORDENES'!$S600="preventiva",N604,0)</f>
        <v/>
      </c>
      <c r="P604" s="17">
        <f>IF('ORDENES'!$S600="correctiva",N604,0)</f>
        <v/>
      </c>
      <c r="Q604" s="3">
        <f>IF(AND(K604=1,'ORDENES'!$N600="Pendiente"),1,0)</f>
        <v/>
      </c>
      <c r="R604" s="3">
        <f>IF(Q604=1,100000-N604*1000+597*0.01,9000000000000+597)</f>
        <v/>
      </c>
      <c r="S604" s="3">
        <f>IF(Q604=1,SUMPRODUCT(--($R$8:$R$1207&lt;R604))+1,"")</f>
        <v/>
      </c>
      <c r="T604" s="11">
        <f>IF(K604=1,'ORDENES'!$J600,"")</f>
        <v/>
      </c>
    </row>
    <row r="605">
      <c r="K605" s="3">
        <f>IF(AND(IF($B$3="(todos)",TRUE,'ORDENES'!$O601=$B$3),IF($D$3="(todos)",TRUE,'ORDENES'!$AC601=$D$3),IF($F$3="(todos)",TRUE,'ORDENES'!$V601=$F$3),'ORDENES'!$AA601=TRUE,'ORDENES'!$A601&lt;&gt;""),1,0)</f>
        <v/>
      </c>
      <c r="L605" s="3">
        <f>IF(K605=1,IFERROR(MATCH('ORDENES'!$R601,lista_dias,0),9)*1000000000+IFERROR(MATCH('ORDENES'!$AC601,lista_turnos,0),9)*10000000+IFERROR(MATCH('ORDENES'!$AB601,'TECNICOS'!$B$4:$B$15,0),99)*100000+598,9000000000000+598)</f>
        <v/>
      </c>
      <c r="M605" s="3">
        <f>IF(K605=1,SUMPRODUCT(--($L$8:$L$1207&lt;L605))+1,"")</f>
        <v/>
      </c>
      <c r="N605" s="17">
        <f>IF(K605=1,N('ORDENES'!$M601),0)</f>
        <v/>
      </c>
      <c r="O605" s="17">
        <f>IF('ORDENES'!$S601="preventiva",N605,0)</f>
        <v/>
      </c>
      <c r="P605" s="17">
        <f>IF('ORDENES'!$S601="correctiva",N605,0)</f>
        <v/>
      </c>
      <c r="Q605" s="3">
        <f>IF(AND(K605=1,'ORDENES'!$N601="Pendiente"),1,0)</f>
        <v/>
      </c>
      <c r="R605" s="3">
        <f>IF(Q605=1,100000-N605*1000+598*0.01,9000000000000+598)</f>
        <v/>
      </c>
      <c r="S605" s="3">
        <f>IF(Q605=1,SUMPRODUCT(--($R$8:$R$1207&lt;R605))+1,"")</f>
        <v/>
      </c>
      <c r="T605" s="11">
        <f>IF(K605=1,'ORDENES'!$J601,"")</f>
        <v/>
      </c>
    </row>
    <row r="606">
      <c r="K606" s="3">
        <f>IF(AND(IF($B$3="(todos)",TRUE,'ORDENES'!$O602=$B$3),IF($D$3="(todos)",TRUE,'ORDENES'!$AC602=$D$3),IF($F$3="(todos)",TRUE,'ORDENES'!$V602=$F$3),'ORDENES'!$AA602=TRUE,'ORDENES'!$A602&lt;&gt;""),1,0)</f>
        <v/>
      </c>
      <c r="L606" s="3">
        <f>IF(K606=1,IFERROR(MATCH('ORDENES'!$R602,lista_dias,0),9)*1000000000+IFERROR(MATCH('ORDENES'!$AC602,lista_turnos,0),9)*10000000+IFERROR(MATCH('ORDENES'!$AB602,'TECNICOS'!$B$4:$B$15,0),99)*100000+599,9000000000000+599)</f>
        <v/>
      </c>
      <c r="M606" s="3">
        <f>IF(K606=1,SUMPRODUCT(--($L$8:$L$1207&lt;L606))+1,"")</f>
        <v/>
      </c>
      <c r="N606" s="17">
        <f>IF(K606=1,N('ORDENES'!$M602),0)</f>
        <v/>
      </c>
      <c r="O606" s="17">
        <f>IF('ORDENES'!$S602="preventiva",N606,0)</f>
        <v/>
      </c>
      <c r="P606" s="17">
        <f>IF('ORDENES'!$S602="correctiva",N606,0)</f>
        <v/>
      </c>
      <c r="Q606" s="3">
        <f>IF(AND(K606=1,'ORDENES'!$N602="Pendiente"),1,0)</f>
        <v/>
      </c>
      <c r="R606" s="3">
        <f>IF(Q606=1,100000-N606*1000+599*0.01,9000000000000+599)</f>
        <v/>
      </c>
      <c r="S606" s="3">
        <f>IF(Q606=1,SUMPRODUCT(--($R$8:$R$1207&lt;R606))+1,"")</f>
        <v/>
      </c>
      <c r="T606" s="11">
        <f>IF(K606=1,'ORDENES'!$J602,"")</f>
        <v/>
      </c>
    </row>
    <row r="607">
      <c r="K607" s="3">
        <f>IF(AND(IF($B$3="(todos)",TRUE,'ORDENES'!$O603=$B$3),IF($D$3="(todos)",TRUE,'ORDENES'!$AC603=$D$3),IF($F$3="(todos)",TRUE,'ORDENES'!$V603=$F$3),'ORDENES'!$AA603=TRUE,'ORDENES'!$A603&lt;&gt;""),1,0)</f>
        <v/>
      </c>
      <c r="L607" s="3">
        <f>IF(K607=1,IFERROR(MATCH('ORDENES'!$R603,lista_dias,0),9)*1000000000+IFERROR(MATCH('ORDENES'!$AC603,lista_turnos,0),9)*10000000+IFERROR(MATCH('ORDENES'!$AB603,'TECNICOS'!$B$4:$B$15,0),99)*100000+600,9000000000000+600)</f>
        <v/>
      </c>
      <c r="M607" s="3">
        <f>IF(K607=1,SUMPRODUCT(--($L$8:$L$1207&lt;L607))+1,"")</f>
        <v/>
      </c>
      <c r="N607" s="17">
        <f>IF(K607=1,N('ORDENES'!$M603),0)</f>
        <v/>
      </c>
      <c r="O607" s="17">
        <f>IF('ORDENES'!$S603="preventiva",N607,0)</f>
        <v/>
      </c>
      <c r="P607" s="17">
        <f>IF('ORDENES'!$S603="correctiva",N607,0)</f>
        <v/>
      </c>
      <c r="Q607" s="3">
        <f>IF(AND(K607=1,'ORDENES'!$N603="Pendiente"),1,0)</f>
        <v/>
      </c>
      <c r="R607" s="3">
        <f>IF(Q607=1,100000-N607*1000+600*0.01,9000000000000+600)</f>
        <v/>
      </c>
      <c r="S607" s="3">
        <f>IF(Q607=1,SUMPRODUCT(--($R$8:$R$1207&lt;R607))+1,"")</f>
        <v/>
      </c>
      <c r="T607" s="11">
        <f>IF(K607=1,'ORDENES'!$J603,"")</f>
        <v/>
      </c>
    </row>
    <row r="608">
      <c r="K608" s="3">
        <f>IF(AND(IF($B$3="(todos)",TRUE,'ORDENES'!$O604=$B$3),IF($D$3="(todos)",TRUE,'ORDENES'!$AC604=$D$3),IF($F$3="(todos)",TRUE,'ORDENES'!$V604=$F$3),'ORDENES'!$AA604=TRUE,'ORDENES'!$A604&lt;&gt;""),1,0)</f>
        <v/>
      </c>
      <c r="L608" s="3">
        <f>IF(K608=1,IFERROR(MATCH('ORDENES'!$R604,lista_dias,0),9)*1000000000+IFERROR(MATCH('ORDENES'!$AC604,lista_turnos,0),9)*10000000+IFERROR(MATCH('ORDENES'!$AB604,'TECNICOS'!$B$4:$B$15,0),99)*100000+601,9000000000000+601)</f>
        <v/>
      </c>
      <c r="M608" s="3">
        <f>IF(K608=1,SUMPRODUCT(--($L$8:$L$1207&lt;L608))+1,"")</f>
        <v/>
      </c>
      <c r="N608" s="17">
        <f>IF(K608=1,N('ORDENES'!$M604),0)</f>
        <v/>
      </c>
      <c r="O608" s="17">
        <f>IF('ORDENES'!$S604="preventiva",N608,0)</f>
        <v/>
      </c>
      <c r="P608" s="17">
        <f>IF('ORDENES'!$S604="correctiva",N608,0)</f>
        <v/>
      </c>
      <c r="Q608" s="3">
        <f>IF(AND(K608=1,'ORDENES'!$N604="Pendiente"),1,0)</f>
        <v/>
      </c>
      <c r="R608" s="3">
        <f>IF(Q608=1,100000-N608*1000+601*0.01,9000000000000+601)</f>
        <v/>
      </c>
      <c r="S608" s="3">
        <f>IF(Q608=1,SUMPRODUCT(--($R$8:$R$1207&lt;R608))+1,"")</f>
        <v/>
      </c>
      <c r="T608" s="11">
        <f>IF(K608=1,'ORDENES'!$J604,"")</f>
        <v/>
      </c>
    </row>
    <row r="609">
      <c r="K609" s="3">
        <f>IF(AND(IF($B$3="(todos)",TRUE,'ORDENES'!$O605=$B$3),IF($D$3="(todos)",TRUE,'ORDENES'!$AC605=$D$3),IF($F$3="(todos)",TRUE,'ORDENES'!$V605=$F$3),'ORDENES'!$AA605=TRUE,'ORDENES'!$A605&lt;&gt;""),1,0)</f>
        <v/>
      </c>
      <c r="L609" s="3">
        <f>IF(K609=1,IFERROR(MATCH('ORDENES'!$R605,lista_dias,0),9)*1000000000+IFERROR(MATCH('ORDENES'!$AC605,lista_turnos,0),9)*10000000+IFERROR(MATCH('ORDENES'!$AB605,'TECNICOS'!$B$4:$B$15,0),99)*100000+602,9000000000000+602)</f>
        <v/>
      </c>
      <c r="M609" s="3">
        <f>IF(K609=1,SUMPRODUCT(--($L$8:$L$1207&lt;L609))+1,"")</f>
        <v/>
      </c>
      <c r="N609" s="17">
        <f>IF(K609=1,N('ORDENES'!$M605),0)</f>
        <v/>
      </c>
      <c r="O609" s="17">
        <f>IF('ORDENES'!$S605="preventiva",N609,0)</f>
        <v/>
      </c>
      <c r="P609" s="17">
        <f>IF('ORDENES'!$S605="correctiva",N609,0)</f>
        <v/>
      </c>
      <c r="Q609" s="3">
        <f>IF(AND(K609=1,'ORDENES'!$N605="Pendiente"),1,0)</f>
        <v/>
      </c>
      <c r="R609" s="3">
        <f>IF(Q609=1,100000-N609*1000+602*0.01,9000000000000+602)</f>
        <v/>
      </c>
      <c r="S609" s="3">
        <f>IF(Q609=1,SUMPRODUCT(--($R$8:$R$1207&lt;R609))+1,"")</f>
        <v/>
      </c>
      <c r="T609" s="11">
        <f>IF(K609=1,'ORDENES'!$J605,"")</f>
        <v/>
      </c>
    </row>
    <row r="610">
      <c r="K610" s="3">
        <f>IF(AND(IF($B$3="(todos)",TRUE,'ORDENES'!$O606=$B$3),IF($D$3="(todos)",TRUE,'ORDENES'!$AC606=$D$3),IF($F$3="(todos)",TRUE,'ORDENES'!$V606=$F$3),'ORDENES'!$AA606=TRUE,'ORDENES'!$A606&lt;&gt;""),1,0)</f>
        <v/>
      </c>
      <c r="L610" s="3">
        <f>IF(K610=1,IFERROR(MATCH('ORDENES'!$R606,lista_dias,0),9)*1000000000+IFERROR(MATCH('ORDENES'!$AC606,lista_turnos,0),9)*10000000+IFERROR(MATCH('ORDENES'!$AB606,'TECNICOS'!$B$4:$B$15,0),99)*100000+603,9000000000000+603)</f>
        <v/>
      </c>
      <c r="M610" s="3">
        <f>IF(K610=1,SUMPRODUCT(--($L$8:$L$1207&lt;L610))+1,"")</f>
        <v/>
      </c>
      <c r="N610" s="17">
        <f>IF(K610=1,N('ORDENES'!$M606),0)</f>
        <v/>
      </c>
      <c r="O610" s="17">
        <f>IF('ORDENES'!$S606="preventiva",N610,0)</f>
        <v/>
      </c>
      <c r="P610" s="17">
        <f>IF('ORDENES'!$S606="correctiva",N610,0)</f>
        <v/>
      </c>
      <c r="Q610" s="3">
        <f>IF(AND(K610=1,'ORDENES'!$N606="Pendiente"),1,0)</f>
        <v/>
      </c>
      <c r="R610" s="3">
        <f>IF(Q610=1,100000-N610*1000+603*0.01,9000000000000+603)</f>
        <v/>
      </c>
      <c r="S610" s="3">
        <f>IF(Q610=1,SUMPRODUCT(--($R$8:$R$1207&lt;R610))+1,"")</f>
        <v/>
      </c>
      <c r="T610" s="11">
        <f>IF(K610=1,'ORDENES'!$J606,"")</f>
        <v/>
      </c>
    </row>
    <row r="611">
      <c r="K611" s="3">
        <f>IF(AND(IF($B$3="(todos)",TRUE,'ORDENES'!$O607=$B$3),IF($D$3="(todos)",TRUE,'ORDENES'!$AC607=$D$3),IF($F$3="(todos)",TRUE,'ORDENES'!$V607=$F$3),'ORDENES'!$AA607=TRUE,'ORDENES'!$A607&lt;&gt;""),1,0)</f>
        <v/>
      </c>
      <c r="L611" s="3">
        <f>IF(K611=1,IFERROR(MATCH('ORDENES'!$R607,lista_dias,0),9)*1000000000+IFERROR(MATCH('ORDENES'!$AC607,lista_turnos,0),9)*10000000+IFERROR(MATCH('ORDENES'!$AB607,'TECNICOS'!$B$4:$B$15,0),99)*100000+604,9000000000000+604)</f>
        <v/>
      </c>
      <c r="M611" s="3">
        <f>IF(K611=1,SUMPRODUCT(--($L$8:$L$1207&lt;L611))+1,"")</f>
        <v/>
      </c>
      <c r="N611" s="17">
        <f>IF(K611=1,N('ORDENES'!$M607),0)</f>
        <v/>
      </c>
      <c r="O611" s="17">
        <f>IF('ORDENES'!$S607="preventiva",N611,0)</f>
        <v/>
      </c>
      <c r="P611" s="17">
        <f>IF('ORDENES'!$S607="correctiva",N611,0)</f>
        <v/>
      </c>
      <c r="Q611" s="3">
        <f>IF(AND(K611=1,'ORDENES'!$N607="Pendiente"),1,0)</f>
        <v/>
      </c>
      <c r="R611" s="3">
        <f>IF(Q611=1,100000-N611*1000+604*0.01,9000000000000+604)</f>
        <v/>
      </c>
      <c r="S611" s="3">
        <f>IF(Q611=1,SUMPRODUCT(--($R$8:$R$1207&lt;R611))+1,"")</f>
        <v/>
      </c>
      <c r="T611" s="11">
        <f>IF(K611=1,'ORDENES'!$J607,"")</f>
        <v/>
      </c>
    </row>
    <row r="612">
      <c r="K612" s="3">
        <f>IF(AND(IF($B$3="(todos)",TRUE,'ORDENES'!$O608=$B$3),IF($D$3="(todos)",TRUE,'ORDENES'!$AC608=$D$3),IF($F$3="(todos)",TRUE,'ORDENES'!$V608=$F$3),'ORDENES'!$AA608=TRUE,'ORDENES'!$A608&lt;&gt;""),1,0)</f>
        <v/>
      </c>
      <c r="L612" s="3">
        <f>IF(K612=1,IFERROR(MATCH('ORDENES'!$R608,lista_dias,0),9)*1000000000+IFERROR(MATCH('ORDENES'!$AC608,lista_turnos,0),9)*10000000+IFERROR(MATCH('ORDENES'!$AB608,'TECNICOS'!$B$4:$B$15,0),99)*100000+605,9000000000000+605)</f>
        <v/>
      </c>
      <c r="M612" s="3">
        <f>IF(K612=1,SUMPRODUCT(--($L$8:$L$1207&lt;L612))+1,"")</f>
        <v/>
      </c>
      <c r="N612" s="17">
        <f>IF(K612=1,N('ORDENES'!$M608),0)</f>
        <v/>
      </c>
      <c r="O612" s="17">
        <f>IF('ORDENES'!$S608="preventiva",N612,0)</f>
        <v/>
      </c>
      <c r="P612" s="17">
        <f>IF('ORDENES'!$S608="correctiva",N612,0)</f>
        <v/>
      </c>
      <c r="Q612" s="3">
        <f>IF(AND(K612=1,'ORDENES'!$N608="Pendiente"),1,0)</f>
        <v/>
      </c>
      <c r="R612" s="3">
        <f>IF(Q612=1,100000-N612*1000+605*0.01,9000000000000+605)</f>
        <v/>
      </c>
      <c r="S612" s="3">
        <f>IF(Q612=1,SUMPRODUCT(--($R$8:$R$1207&lt;R612))+1,"")</f>
        <v/>
      </c>
      <c r="T612" s="11">
        <f>IF(K612=1,'ORDENES'!$J608,"")</f>
        <v/>
      </c>
    </row>
    <row r="613">
      <c r="K613" s="3">
        <f>IF(AND(IF($B$3="(todos)",TRUE,'ORDENES'!$O609=$B$3),IF($D$3="(todos)",TRUE,'ORDENES'!$AC609=$D$3),IF($F$3="(todos)",TRUE,'ORDENES'!$V609=$F$3),'ORDENES'!$AA609=TRUE,'ORDENES'!$A609&lt;&gt;""),1,0)</f>
        <v/>
      </c>
      <c r="L613" s="3">
        <f>IF(K613=1,IFERROR(MATCH('ORDENES'!$R609,lista_dias,0),9)*1000000000+IFERROR(MATCH('ORDENES'!$AC609,lista_turnos,0),9)*10000000+IFERROR(MATCH('ORDENES'!$AB609,'TECNICOS'!$B$4:$B$15,0),99)*100000+606,9000000000000+606)</f>
        <v/>
      </c>
      <c r="M613" s="3">
        <f>IF(K613=1,SUMPRODUCT(--($L$8:$L$1207&lt;L613))+1,"")</f>
        <v/>
      </c>
      <c r="N613" s="17">
        <f>IF(K613=1,N('ORDENES'!$M609),0)</f>
        <v/>
      </c>
      <c r="O613" s="17">
        <f>IF('ORDENES'!$S609="preventiva",N613,0)</f>
        <v/>
      </c>
      <c r="P613" s="17">
        <f>IF('ORDENES'!$S609="correctiva",N613,0)</f>
        <v/>
      </c>
      <c r="Q613" s="3">
        <f>IF(AND(K613=1,'ORDENES'!$N609="Pendiente"),1,0)</f>
        <v/>
      </c>
      <c r="R613" s="3">
        <f>IF(Q613=1,100000-N613*1000+606*0.01,9000000000000+606)</f>
        <v/>
      </c>
      <c r="S613" s="3">
        <f>IF(Q613=1,SUMPRODUCT(--($R$8:$R$1207&lt;R613))+1,"")</f>
        <v/>
      </c>
      <c r="T613" s="11">
        <f>IF(K613=1,'ORDENES'!$J609,"")</f>
        <v/>
      </c>
    </row>
    <row r="614">
      <c r="K614" s="3">
        <f>IF(AND(IF($B$3="(todos)",TRUE,'ORDENES'!$O610=$B$3),IF($D$3="(todos)",TRUE,'ORDENES'!$AC610=$D$3),IF($F$3="(todos)",TRUE,'ORDENES'!$V610=$F$3),'ORDENES'!$AA610=TRUE,'ORDENES'!$A610&lt;&gt;""),1,0)</f>
        <v/>
      </c>
      <c r="L614" s="3">
        <f>IF(K614=1,IFERROR(MATCH('ORDENES'!$R610,lista_dias,0),9)*1000000000+IFERROR(MATCH('ORDENES'!$AC610,lista_turnos,0),9)*10000000+IFERROR(MATCH('ORDENES'!$AB610,'TECNICOS'!$B$4:$B$15,0),99)*100000+607,9000000000000+607)</f>
        <v/>
      </c>
      <c r="M614" s="3">
        <f>IF(K614=1,SUMPRODUCT(--($L$8:$L$1207&lt;L614))+1,"")</f>
        <v/>
      </c>
      <c r="N614" s="17">
        <f>IF(K614=1,N('ORDENES'!$M610),0)</f>
        <v/>
      </c>
      <c r="O614" s="17">
        <f>IF('ORDENES'!$S610="preventiva",N614,0)</f>
        <v/>
      </c>
      <c r="P614" s="17">
        <f>IF('ORDENES'!$S610="correctiva",N614,0)</f>
        <v/>
      </c>
      <c r="Q614" s="3">
        <f>IF(AND(K614=1,'ORDENES'!$N610="Pendiente"),1,0)</f>
        <v/>
      </c>
      <c r="R614" s="3">
        <f>IF(Q614=1,100000-N614*1000+607*0.01,9000000000000+607)</f>
        <v/>
      </c>
      <c r="S614" s="3">
        <f>IF(Q614=1,SUMPRODUCT(--($R$8:$R$1207&lt;R614))+1,"")</f>
        <v/>
      </c>
      <c r="T614" s="11">
        <f>IF(K614=1,'ORDENES'!$J610,"")</f>
        <v/>
      </c>
    </row>
    <row r="615">
      <c r="K615" s="3">
        <f>IF(AND(IF($B$3="(todos)",TRUE,'ORDENES'!$O611=$B$3),IF($D$3="(todos)",TRUE,'ORDENES'!$AC611=$D$3),IF($F$3="(todos)",TRUE,'ORDENES'!$V611=$F$3),'ORDENES'!$AA611=TRUE,'ORDENES'!$A611&lt;&gt;""),1,0)</f>
        <v/>
      </c>
      <c r="L615" s="3">
        <f>IF(K615=1,IFERROR(MATCH('ORDENES'!$R611,lista_dias,0),9)*1000000000+IFERROR(MATCH('ORDENES'!$AC611,lista_turnos,0),9)*10000000+IFERROR(MATCH('ORDENES'!$AB611,'TECNICOS'!$B$4:$B$15,0),99)*100000+608,9000000000000+608)</f>
        <v/>
      </c>
      <c r="M615" s="3">
        <f>IF(K615=1,SUMPRODUCT(--($L$8:$L$1207&lt;L615))+1,"")</f>
        <v/>
      </c>
      <c r="N615" s="17">
        <f>IF(K615=1,N('ORDENES'!$M611),0)</f>
        <v/>
      </c>
      <c r="O615" s="17">
        <f>IF('ORDENES'!$S611="preventiva",N615,0)</f>
        <v/>
      </c>
      <c r="P615" s="17">
        <f>IF('ORDENES'!$S611="correctiva",N615,0)</f>
        <v/>
      </c>
      <c r="Q615" s="3">
        <f>IF(AND(K615=1,'ORDENES'!$N611="Pendiente"),1,0)</f>
        <v/>
      </c>
      <c r="R615" s="3">
        <f>IF(Q615=1,100000-N615*1000+608*0.01,9000000000000+608)</f>
        <v/>
      </c>
      <c r="S615" s="3">
        <f>IF(Q615=1,SUMPRODUCT(--($R$8:$R$1207&lt;R615))+1,"")</f>
        <v/>
      </c>
      <c r="T615" s="11">
        <f>IF(K615=1,'ORDENES'!$J611,"")</f>
        <v/>
      </c>
    </row>
    <row r="616">
      <c r="K616" s="3">
        <f>IF(AND(IF($B$3="(todos)",TRUE,'ORDENES'!$O612=$B$3),IF($D$3="(todos)",TRUE,'ORDENES'!$AC612=$D$3),IF($F$3="(todos)",TRUE,'ORDENES'!$V612=$F$3),'ORDENES'!$AA612=TRUE,'ORDENES'!$A612&lt;&gt;""),1,0)</f>
        <v/>
      </c>
      <c r="L616" s="3">
        <f>IF(K616=1,IFERROR(MATCH('ORDENES'!$R612,lista_dias,0),9)*1000000000+IFERROR(MATCH('ORDENES'!$AC612,lista_turnos,0),9)*10000000+IFERROR(MATCH('ORDENES'!$AB612,'TECNICOS'!$B$4:$B$15,0),99)*100000+609,9000000000000+609)</f>
        <v/>
      </c>
      <c r="M616" s="3">
        <f>IF(K616=1,SUMPRODUCT(--($L$8:$L$1207&lt;L616))+1,"")</f>
        <v/>
      </c>
      <c r="N616" s="17">
        <f>IF(K616=1,N('ORDENES'!$M612),0)</f>
        <v/>
      </c>
      <c r="O616" s="17">
        <f>IF('ORDENES'!$S612="preventiva",N616,0)</f>
        <v/>
      </c>
      <c r="P616" s="17">
        <f>IF('ORDENES'!$S612="correctiva",N616,0)</f>
        <v/>
      </c>
      <c r="Q616" s="3">
        <f>IF(AND(K616=1,'ORDENES'!$N612="Pendiente"),1,0)</f>
        <v/>
      </c>
      <c r="R616" s="3">
        <f>IF(Q616=1,100000-N616*1000+609*0.01,9000000000000+609)</f>
        <v/>
      </c>
      <c r="S616" s="3">
        <f>IF(Q616=1,SUMPRODUCT(--($R$8:$R$1207&lt;R616))+1,"")</f>
        <v/>
      </c>
      <c r="T616" s="11">
        <f>IF(K616=1,'ORDENES'!$J612,"")</f>
        <v/>
      </c>
    </row>
    <row r="617">
      <c r="K617" s="3">
        <f>IF(AND(IF($B$3="(todos)",TRUE,'ORDENES'!$O613=$B$3),IF($D$3="(todos)",TRUE,'ORDENES'!$AC613=$D$3),IF($F$3="(todos)",TRUE,'ORDENES'!$V613=$F$3),'ORDENES'!$AA613=TRUE,'ORDENES'!$A613&lt;&gt;""),1,0)</f>
        <v/>
      </c>
      <c r="L617" s="3">
        <f>IF(K617=1,IFERROR(MATCH('ORDENES'!$R613,lista_dias,0),9)*1000000000+IFERROR(MATCH('ORDENES'!$AC613,lista_turnos,0),9)*10000000+IFERROR(MATCH('ORDENES'!$AB613,'TECNICOS'!$B$4:$B$15,0),99)*100000+610,9000000000000+610)</f>
        <v/>
      </c>
      <c r="M617" s="3">
        <f>IF(K617=1,SUMPRODUCT(--($L$8:$L$1207&lt;L617))+1,"")</f>
        <v/>
      </c>
      <c r="N617" s="17">
        <f>IF(K617=1,N('ORDENES'!$M613),0)</f>
        <v/>
      </c>
      <c r="O617" s="17">
        <f>IF('ORDENES'!$S613="preventiva",N617,0)</f>
        <v/>
      </c>
      <c r="P617" s="17">
        <f>IF('ORDENES'!$S613="correctiva",N617,0)</f>
        <v/>
      </c>
      <c r="Q617" s="3">
        <f>IF(AND(K617=1,'ORDENES'!$N613="Pendiente"),1,0)</f>
        <v/>
      </c>
      <c r="R617" s="3">
        <f>IF(Q617=1,100000-N617*1000+610*0.01,9000000000000+610)</f>
        <v/>
      </c>
      <c r="S617" s="3">
        <f>IF(Q617=1,SUMPRODUCT(--($R$8:$R$1207&lt;R617))+1,"")</f>
        <v/>
      </c>
      <c r="T617" s="11">
        <f>IF(K617=1,'ORDENES'!$J613,"")</f>
        <v/>
      </c>
    </row>
    <row r="618">
      <c r="K618" s="3">
        <f>IF(AND(IF($B$3="(todos)",TRUE,'ORDENES'!$O614=$B$3),IF($D$3="(todos)",TRUE,'ORDENES'!$AC614=$D$3),IF($F$3="(todos)",TRUE,'ORDENES'!$V614=$F$3),'ORDENES'!$AA614=TRUE,'ORDENES'!$A614&lt;&gt;""),1,0)</f>
        <v/>
      </c>
      <c r="L618" s="3">
        <f>IF(K618=1,IFERROR(MATCH('ORDENES'!$R614,lista_dias,0),9)*1000000000+IFERROR(MATCH('ORDENES'!$AC614,lista_turnos,0),9)*10000000+IFERROR(MATCH('ORDENES'!$AB614,'TECNICOS'!$B$4:$B$15,0),99)*100000+611,9000000000000+611)</f>
        <v/>
      </c>
      <c r="M618" s="3">
        <f>IF(K618=1,SUMPRODUCT(--($L$8:$L$1207&lt;L618))+1,"")</f>
        <v/>
      </c>
      <c r="N618" s="17">
        <f>IF(K618=1,N('ORDENES'!$M614),0)</f>
        <v/>
      </c>
      <c r="O618" s="17">
        <f>IF('ORDENES'!$S614="preventiva",N618,0)</f>
        <v/>
      </c>
      <c r="P618" s="17">
        <f>IF('ORDENES'!$S614="correctiva",N618,0)</f>
        <v/>
      </c>
      <c r="Q618" s="3">
        <f>IF(AND(K618=1,'ORDENES'!$N614="Pendiente"),1,0)</f>
        <v/>
      </c>
      <c r="R618" s="3">
        <f>IF(Q618=1,100000-N618*1000+611*0.01,9000000000000+611)</f>
        <v/>
      </c>
      <c r="S618" s="3">
        <f>IF(Q618=1,SUMPRODUCT(--($R$8:$R$1207&lt;R618))+1,"")</f>
        <v/>
      </c>
      <c r="T618" s="11">
        <f>IF(K618=1,'ORDENES'!$J614,"")</f>
        <v/>
      </c>
    </row>
    <row r="619">
      <c r="K619" s="3">
        <f>IF(AND(IF($B$3="(todos)",TRUE,'ORDENES'!$O615=$B$3),IF($D$3="(todos)",TRUE,'ORDENES'!$AC615=$D$3),IF($F$3="(todos)",TRUE,'ORDENES'!$V615=$F$3),'ORDENES'!$AA615=TRUE,'ORDENES'!$A615&lt;&gt;""),1,0)</f>
        <v/>
      </c>
      <c r="L619" s="3">
        <f>IF(K619=1,IFERROR(MATCH('ORDENES'!$R615,lista_dias,0),9)*1000000000+IFERROR(MATCH('ORDENES'!$AC615,lista_turnos,0),9)*10000000+IFERROR(MATCH('ORDENES'!$AB615,'TECNICOS'!$B$4:$B$15,0),99)*100000+612,9000000000000+612)</f>
        <v/>
      </c>
      <c r="M619" s="3">
        <f>IF(K619=1,SUMPRODUCT(--($L$8:$L$1207&lt;L619))+1,"")</f>
        <v/>
      </c>
      <c r="N619" s="17">
        <f>IF(K619=1,N('ORDENES'!$M615),0)</f>
        <v/>
      </c>
      <c r="O619" s="17">
        <f>IF('ORDENES'!$S615="preventiva",N619,0)</f>
        <v/>
      </c>
      <c r="P619" s="17">
        <f>IF('ORDENES'!$S615="correctiva",N619,0)</f>
        <v/>
      </c>
      <c r="Q619" s="3">
        <f>IF(AND(K619=1,'ORDENES'!$N615="Pendiente"),1,0)</f>
        <v/>
      </c>
      <c r="R619" s="3">
        <f>IF(Q619=1,100000-N619*1000+612*0.01,9000000000000+612)</f>
        <v/>
      </c>
      <c r="S619" s="3">
        <f>IF(Q619=1,SUMPRODUCT(--($R$8:$R$1207&lt;R619))+1,"")</f>
        <v/>
      </c>
      <c r="T619" s="11">
        <f>IF(K619=1,'ORDENES'!$J615,"")</f>
        <v/>
      </c>
    </row>
    <row r="620">
      <c r="K620" s="3">
        <f>IF(AND(IF($B$3="(todos)",TRUE,'ORDENES'!$O616=$B$3),IF($D$3="(todos)",TRUE,'ORDENES'!$AC616=$D$3),IF($F$3="(todos)",TRUE,'ORDENES'!$V616=$F$3),'ORDENES'!$AA616=TRUE,'ORDENES'!$A616&lt;&gt;""),1,0)</f>
        <v/>
      </c>
      <c r="L620" s="3">
        <f>IF(K620=1,IFERROR(MATCH('ORDENES'!$R616,lista_dias,0),9)*1000000000+IFERROR(MATCH('ORDENES'!$AC616,lista_turnos,0),9)*10000000+IFERROR(MATCH('ORDENES'!$AB616,'TECNICOS'!$B$4:$B$15,0),99)*100000+613,9000000000000+613)</f>
        <v/>
      </c>
      <c r="M620" s="3">
        <f>IF(K620=1,SUMPRODUCT(--($L$8:$L$1207&lt;L620))+1,"")</f>
        <v/>
      </c>
      <c r="N620" s="17">
        <f>IF(K620=1,N('ORDENES'!$M616),0)</f>
        <v/>
      </c>
      <c r="O620" s="17">
        <f>IF('ORDENES'!$S616="preventiva",N620,0)</f>
        <v/>
      </c>
      <c r="P620" s="17">
        <f>IF('ORDENES'!$S616="correctiva",N620,0)</f>
        <v/>
      </c>
      <c r="Q620" s="3">
        <f>IF(AND(K620=1,'ORDENES'!$N616="Pendiente"),1,0)</f>
        <v/>
      </c>
      <c r="R620" s="3">
        <f>IF(Q620=1,100000-N620*1000+613*0.01,9000000000000+613)</f>
        <v/>
      </c>
      <c r="S620" s="3">
        <f>IF(Q620=1,SUMPRODUCT(--($R$8:$R$1207&lt;R620))+1,"")</f>
        <v/>
      </c>
      <c r="T620" s="11">
        <f>IF(K620=1,'ORDENES'!$J616,"")</f>
        <v/>
      </c>
    </row>
    <row r="621">
      <c r="K621" s="3">
        <f>IF(AND(IF($B$3="(todos)",TRUE,'ORDENES'!$O617=$B$3),IF($D$3="(todos)",TRUE,'ORDENES'!$AC617=$D$3),IF($F$3="(todos)",TRUE,'ORDENES'!$V617=$F$3),'ORDENES'!$AA617=TRUE,'ORDENES'!$A617&lt;&gt;""),1,0)</f>
        <v/>
      </c>
      <c r="L621" s="3">
        <f>IF(K621=1,IFERROR(MATCH('ORDENES'!$R617,lista_dias,0),9)*1000000000+IFERROR(MATCH('ORDENES'!$AC617,lista_turnos,0),9)*10000000+IFERROR(MATCH('ORDENES'!$AB617,'TECNICOS'!$B$4:$B$15,0),99)*100000+614,9000000000000+614)</f>
        <v/>
      </c>
      <c r="M621" s="3">
        <f>IF(K621=1,SUMPRODUCT(--($L$8:$L$1207&lt;L621))+1,"")</f>
        <v/>
      </c>
      <c r="N621" s="17">
        <f>IF(K621=1,N('ORDENES'!$M617),0)</f>
        <v/>
      </c>
      <c r="O621" s="17">
        <f>IF('ORDENES'!$S617="preventiva",N621,0)</f>
        <v/>
      </c>
      <c r="P621" s="17">
        <f>IF('ORDENES'!$S617="correctiva",N621,0)</f>
        <v/>
      </c>
      <c r="Q621" s="3">
        <f>IF(AND(K621=1,'ORDENES'!$N617="Pendiente"),1,0)</f>
        <v/>
      </c>
      <c r="R621" s="3">
        <f>IF(Q621=1,100000-N621*1000+614*0.01,9000000000000+614)</f>
        <v/>
      </c>
      <c r="S621" s="3">
        <f>IF(Q621=1,SUMPRODUCT(--($R$8:$R$1207&lt;R621))+1,"")</f>
        <v/>
      </c>
      <c r="T621" s="11">
        <f>IF(K621=1,'ORDENES'!$J617,"")</f>
        <v/>
      </c>
    </row>
    <row r="622">
      <c r="K622" s="3">
        <f>IF(AND(IF($B$3="(todos)",TRUE,'ORDENES'!$O618=$B$3),IF($D$3="(todos)",TRUE,'ORDENES'!$AC618=$D$3),IF($F$3="(todos)",TRUE,'ORDENES'!$V618=$F$3),'ORDENES'!$AA618=TRUE,'ORDENES'!$A618&lt;&gt;""),1,0)</f>
        <v/>
      </c>
      <c r="L622" s="3">
        <f>IF(K622=1,IFERROR(MATCH('ORDENES'!$R618,lista_dias,0),9)*1000000000+IFERROR(MATCH('ORDENES'!$AC618,lista_turnos,0),9)*10000000+IFERROR(MATCH('ORDENES'!$AB618,'TECNICOS'!$B$4:$B$15,0),99)*100000+615,9000000000000+615)</f>
        <v/>
      </c>
      <c r="M622" s="3">
        <f>IF(K622=1,SUMPRODUCT(--($L$8:$L$1207&lt;L622))+1,"")</f>
        <v/>
      </c>
      <c r="N622" s="17">
        <f>IF(K622=1,N('ORDENES'!$M618),0)</f>
        <v/>
      </c>
      <c r="O622" s="17">
        <f>IF('ORDENES'!$S618="preventiva",N622,0)</f>
        <v/>
      </c>
      <c r="P622" s="17">
        <f>IF('ORDENES'!$S618="correctiva",N622,0)</f>
        <v/>
      </c>
      <c r="Q622" s="3">
        <f>IF(AND(K622=1,'ORDENES'!$N618="Pendiente"),1,0)</f>
        <v/>
      </c>
      <c r="R622" s="3">
        <f>IF(Q622=1,100000-N622*1000+615*0.01,9000000000000+615)</f>
        <v/>
      </c>
      <c r="S622" s="3">
        <f>IF(Q622=1,SUMPRODUCT(--($R$8:$R$1207&lt;R622))+1,"")</f>
        <v/>
      </c>
      <c r="T622" s="11">
        <f>IF(K622=1,'ORDENES'!$J618,"")</f>
        <v/>
      </c>
    </row>
    <row r="623">
      <c r="K623" s="3">
        <f>IF(AND(IF($B$3="(todos)",TRUE,'ORDENES'!$O619=$B$3),IF($D$3="(todos)",TRUE,'ORDENES'!$AC619=$D$3),IF($F$3="(todos)",TRUE,'ORDENES'!$V619=$F$3),'ORDENES'!$AA619=TRUE,'ORDENES'!$A619&lt;&gt;""),1,0)</f>
        <v/>
      </c>
      <c r="L623" s="3">
        <f>IF(K623=1,IFERROR(MATCH('ORDENES'!$R619,lista_dias,0),9)*1000000000+IFERROR(MATCH('ORDENES'!$AC619,lista_turnos,0),9)*10000000+IFERROR(MATCH('ORDENES'!$AB619,'TECNICOS'!$B$4:$B$15,0),99)*100000+616,9000000000000+616)</f>
        <v/>
      </c>
      <c r="M623" s="3">
        <f>IF(K623=1,SUMPRODUCT(--($L$8:$L$1207&lt;L623))+1,"")</f>
        <v/>
      </c>
      <c r="N623" s="17">
        <f>IF(K623=1,N('ORDENES'!$M619),0)</f>
        <v/>
      </c>
      <c r="O623" s="17">
        <f>IF('ORDENES'!$S619="preventiva",N623,0)</f>
        <v/>
      </c>
      <c r="P623" s="17">
        <f>IF('ORDENES'!$S619="correctiva",N623,0)</f>
        <v/>
      </c>
      <c r="Q623" s="3">
        <f>IF(AND(K623=1,'ORDENES'!$N619="Pendiente"),1,0)</f>
        <v/>
      </c>
      <c r="R623" s="3">
        <f>IF(Q623=1,100000-N623*1000+616*0.01,9000000000000+616)</f>
        <v/>
      </c>
      <c r="S623" s="3">
        <f>IF(Q623=1,SUMPRODUCT(--($R$8:$R$1207&lt;R623))+1,"")</f>
        <v/>
      </c>
      <c r="T623" s="11">
        <f>IF(K623=1,'ORDENES'!$J619,"")</f>
        <v/>
      </c>
    </row>
    <row r="624">
      <c r="K624" s="3">
        <f>IF(AND(IF($B$3="(todos)",TRUE,'ORDENES'!$O620=$B$3),IF($D$3="(todos)",TRUE,'ORDENES'!$AC620=$D$3),IF($F$3="(todos)",TRUE,'ORDENES'!$V620=$F$3),'ORDENES'!$AA620=TRUE,'ORDENES'!$A620&lt;&gt;""),1,0)</f>
        <v/>
      </c>
      <c r="L624" s="3">
        <f>IF(K624=1,IFERROR(MATCH('ORDENES'!$R620,lista_dias,0),9)*1000000000+IFERROR(MATCH('ORDENES'!$AC620,lista_turnos,0),9)*10000000+IFERROR(MATCH('ORDENES'!$AB620,'TECNICOS'!$B$4:$B$15,0),99)*100000+617,9000000000000+617)</f>
        <v/>
      </c>
      <c r="M624" s="3">
        <f>IF(K624=1,SUMPRODUCT(--($L$8:$L$1207&lt;L624))+1,"")</f>
        <v/>
      </c>
      <c r="N624" s="17">
        <f>IF(K624=1,N('ORDENES'!$M620),0)</f>
        <v/>
      </c>
      <c r="O624" s="17">
        <f>IF('ORDENES'!$S620="preventiva",N624,0)</f>
        <v/>
      </c>
      <c r="P624" s="17">
        <f>IF('ORDENES'!$S620="correctiva",N624,0)</f>
        <v/>
      </c>
      <c r="Q624" s="3">
        <f>IF(AND(K624=1,'ORDENES'!$N620="Pendiente"),1,0)</f>
        <v/>
      </c>
      <c r="R624" s="3">
        <f>IF(Q624=1,100000-N624*1000+617*0.01,9000000000000+617)</f>
        <v/>
      </c>
      <c r="S624" s="3">
        <f>IF(Q624=1,SUMPRODUCT(--($R$8:$R$1207&lt;R624))+1,"")</f>
        <v/>
      </c>
      <c r="T624" s="11">
        <f>IF(K624=1,'ORDENES'!$J620,"")</f>
        <v/>
      </c>
    </row>
    <row r="625">
      <c r="K625" s="3">
        <f>IF(AND(IF($B$3="(todos)",TRUE,'ORDENES'!$O621=$B$3),IF($D$3="(todos)",TRUE,'ORDENES'!$AC621=$D$3),IF($F$3="(todos)",TRUE,'ORDENES'!$V621=$F$3),'ORDENES'!$AA621=TRUE,'ORDENES'!$A621&lt;&gt;""),1,0)</f>
        <v/>
      </c>
      <c r="L625" s="3">
        <f>IF(K625=1,IFERROR(MATCH('ORDENES'!$R621,lista_dias,0),9)*1000000000+IFERROR(MATCH('ORDENES'!$AC621,lista_turnos,0),9)*10000000+IFERROR(MATCH('ORDENES'!$AB621,'TECNICOS'!$B$4:$B$15,0),99)*100000+618,9000000000000+618)</f>
        <v/>
      </c>
      <c r="M625" s="3">
        <f>IF(K625=1,SUMPRODUCT(--($L$8:$L$1207&lt;L625))+1,"")</f>
        <v/>
      </c>
      <c r="N625" s="17">
        <f>IF(K625=1,N('ORDENES'!$M621),0)</f>
        <v/>
      </c>
      <c r="O625" s="17">
        <f>IF('ORDENES'!$S621="preventiva",N625,0)</f>
        <v/>
      </c>
      <c r="P625" s="17">
        <f>IF('ORDENES'!$S621="correctiva",N625,0)</f>
        <v/>
      </c>
      <c r="Q625" s="3">
        <f>IF(AND(K625=1,'ORDENES'!$N621="Pendiente"),1,0)</f>
        <v/>
      </c>
      <c r="R625" s="3">
        <f>IF(Q625=1,100000-N625*1000+618*0.01,9000000000000+618)</f>
        <v/>
      </c>
      <c r="S625" s="3">
        <f>IF(Q625=1,SUMPRODUCT(--($R$8:$R$1207&lt;R625))+1,"")</f>
        <v/>
      </c>
      <c r="T625" s="11">
        <f>IF(K625=1,'ORDENES'!$J621,"")</f>
        <v/>
      </c>
    </row>
    <row r="626">
      <c r="K626" s="3">
        <f>IF(AND(IF($B$3="(todos)",TRUE,'ORDENES'!$O622=$B$3),IF($D$3="(todos)",TRUE,'ORDENES'!$AC622=$D$3),IF($F$3="(todos)",TRUE,'ORDENES'!$V622=$F$3),'ORDENES'!$AA622=TRUE,'ORDENES'!$A622&lt;&gt;""),1,0)</f>
        <v/>
      </c>
      <c r="L626" s="3">
        <f>IF(K626=1,IFERROR(MATCH('ORDENES'!$R622,lista_dias,0),9)*1000000000+IFERROR(MATCH('ORDENES'!$AC622,lista_turnos,0),9)*10000000+IFERROR(MATCH('ORDENES'!$AB622,'TECNICOS'!$B$4:$B$15,0),99)*100000+619,9000000000000+619)</f>
        <v/>
      </c>
      <c r="M626" s="3">
        <f>IF(K626=1,SUMPRODUCT(--($L$8:$L$1207&lt;L626))+1,"")</f>
        <v/>
      </c>
      <c r="N626" s="17">
        <f>IF(K626=1,N('ORDENES'!$M622),0)</f>
        <v/>
      </c>
      <c r="O626" s="17">
        <f>IF('ORDENES'!$S622="preventiva",N626,0)</f>
        <v/>
      </c>
      <c r="P626" s="17">
        <f>IF('ORDENES'!$S622="correctiva",N626,0)</f>
        <v/>
      </c>
      <c r="Q626" s="3">
        <f>IF(AND(K626=1,'ORDENES'!$N622="Pendiente"),1,0)</f>
        <v/>
      </c>
      <c r="R626" s="3">
        <f>IF(Q626=1,100000-N626*1000+619*0.01,9000000000000+619)</f>
        <v/>
      </c>
      <c r="S626" s="3">
        <f>IF(Q626=1,SUMPRODUCT(--($R$8:$R$1207&lt;R626))+1,"")</f>
        <v/>
      </c>
      <c r="T626" s="11">
        <f>IF(K626=1,'ORDENES'!$J622,"")</f>
        <v/>
      </c>
    </row>
    <row r="627">
      <c r="K627" s="3">
        <f>IF(AND(IF($B$3="(todos)",TRUE,'ORDENES'!$O623=$B$3),IF($D$3="(todos)",TRUE,'ORDENES'!$AC623=$D$3),IF($F$3="(todos)",TRUE,'ORDENES'!$V623=$F$3),'ORDENES'!$AA623=TRUE,'ORDENES'!$A623&lt;&gt;""),1,0)</f>
        <v/>
      </c>
      <c r="L627" s="3">
        <f>IF(K627=1,IFERROR(MATCH('ORDENES'!$R623,lista_dias,0),9)*1000000000+IFERROR(MATCH('ORDENES'!$AC623,lista_turnos,0),9)*10000000+IFERROR(MATCH('ORDENES'!$AB623,'TECNICOS'!$B$4:$B$15,0),99)*100000+620,9000000000000+620)</f>
        <v/>
      </c>
      <c r="M627" s="3">
        <f>IF(K627=1,SUMPRODUCT(--($L$8:$L$1207&lt;L627))+1,"")</f>
        <v/>
      </c>
      <c r="N627" s="17">
        <f>IF(K627=1,N('ORDENES'!$M623),0)</f>
        <v/>
      </c>
      <c r="O627" s="17">
        <f>IF('ORDENES'!$S623="preventiva",N627,0)</f>
        <v/>
      </c>
      <c r="P627" s="17">
        <f>IF('ORDENES'!$S623="correctiva",N627,0)</f>
        <v/>
      </c>
      <c r="Q627" s="3">
        <f>IF(AND(K627=1,'ORDENES'!$N623="Pendiente"),1,0)</f>
        <v/>
      </c>
      <c r="R627" s="3">
        <f>IF(Q627=1,100000-N627*1000+620*0.01,9000000000000+620)</f>
        <v/>
      </c>
      <c r="S627" s="3">
        <f>IF(Q627=1,SUMPRODUCT(--($R$8:$R$1207&lt;R627))+1,"")</f>
        <v/>
      </c>
      <c r="T627" s="11">
        <f>IF(K627=1,'ORDENES'!$J623,"")</f>
        <v/>
      </c>
    </row>
    <row r="628">
      <c r="K628" s="3">
        <f>IF(AND(IF($B$3="(todos)",TRUE,'ORDENES'!$O624=$B$3),IF($D$3="(todos)",TRUE,'ORDENES'!$AC624=$D$3),IF($F$3="(todos)",TRUE,'ORDENES'!$V624=$F$3),'ORDENES'!$AA624=TRUE,'ORDENES'!$A624&lt;&gt;""),1,0)</f>
        <v/>
      </c>
      <c r="L628" s="3">
        <f>IF(K628=1,IFERROR(MATCH('ORDENES'!$R624,lista_dias,0),9)*1000000000+IFERROR(MATCH('ORDENES'!$AC624,lista_turnos,0),9)*10000000+IFERROR(MATCH('ORDENES'!$AB624,'TECNICOS'!$B$4:$B$15,0),99)*100000+621,9000000000000+621)</f>
        <v/>
      </c>
      <c r="M628" s="3">
        <f>IF(K628=1,SUMPRODUCT(--($L$8:$L$1207&lt;L628))+1,"")</f>
        <v/>
      </c>
      <c r="N628" s="17">
        <f>IF(K628=1,N('ORDENES'!$M624),0)</f>
        <v/>
      </c>
      <c r="O628" s="17">
        <f>IF('ORDENES'!$S624="preventiva",N628,0)</f>
        <v/>
      </c>
      <c r="P628" s="17">
        <f>IF('ORDENES'!$S624="correctiva",N628,0)</f>
        <v/>
      </c>
      <c r="Q628" s="3">
        <f>IF(AND(K628=1,'ORDENES'!$N624="Pendiente"),1,0)</f>
        <v/>
      </c>
      <c r="R628" s="3">
        <f>IF(Q628=1,100000-N628*1000+621*0.01,9000000000000+621)</f>
        <v/>
      </c>
      <c r="S628" s="3">
        <f>IF(Q628=1,SUMPRODUCT(--($R$8:$R$1207&lt;R628))+1,"")</f>
        <v/>
      </c>
      <c r="T628" s="11">
        <f>IF(K628=1,'ORDENES'!$J624,"")</f>
        <v/>
      </c>
    </row>
    <row r="629">
      <c r="K629" s="3">
        <f>IF(AND(IF($B$3="(todos)",TRUE,'ORDENES'!$O625=$B$3),IF($D$3="(todos)",TRUE,'ORDENES'!$AC625=$D$3),IF($F$3="(todos)",TRUE,'ORDENES'!$V625=$F$3),'ORDENES'!$AA625=TRUE,'ORDENES'!$A625&lt;&gt;""),1,0)</f>
        <v/>
      </c>
      <c r="L629" s="3">
        <f>IF(K629=1,IFERROR(MATCH('ORDENES'!$R625,lista_dias,0),9)*1000000000+IFERROR(MATCH('ORDENES'!$AC625,lista_turnos,0),9)*10000000+IFERROR(MATCH('ORDENES'!$AB625,'TECNICOS'!$B$4:$B$15,0),99)*100000+622,9000000000000+622)</f>
        <v/>
      </c>
      <c r="M629" s="3">
        <f>IF(K629=1,SUMPRODUCT(--($L$8:$L$1207&lt;L629))+1,"")</f>
        <v/>
      </c>
      <c r="N629" s="17">
        <f>IF(K629=1,N('ORDENES'!$M625),0)</f>
        <v/>
      </c>
      <c r="O629" s="17">
        <f>IF('ORDENES'!$S625="preventiva",N629,0)</f>
        <v/>
      </c>
      <c r="P629" s="17">
        <f>IF('ORDENES'!$S625="correctiva",N629,0)</f>
        <v/>
      </c>
      <c r="Q629" s="3">
        <f>IF(AND(K629=1,'ORDENES'!$N625="Pendiente"),1,0)</f>
        <v/>
      </c>
      <c r="R629" s="3">
        <f>IF(Q629=1,100000-N629*1000+622*0.01,9000000000000+622)</f>
        <v/>
      </c>
      <c r="S629" s="3">
        <f>IF(Q629=1,SUMPRODUCT(--($R$8:$R$1207&lt;R629))+1,"")</f>
        <v/>
      </c>
      <c r="T629" s="11">
        <f>IF(K629=1,'ORDENES'!$J625,"")</f>
        <v/>
      </c>
    </row>
    <row r="630">
      <c r="K630" s="3">
        <f>IF(AND(IF($B$3="(todos)",TRUE,'ORDENES'!$O626=$B$3),IF($D$3="(todos)",TRUE,'ORDENES'!$AC626=$D$3),IF($F$3="(todos)",TRUE,'ORDENES'!$V626=$F$3),'ORDENES'!$AA626=TRUE,'ORDENES'!$A626&lt;&gt;""),1,0)</f>
        <v/>
      </c>
      <c r="L630" s="3">
        <f>IF(K630=1,IFERROR(MATCH('ORDENES'!$R626,lista_dias,0),9)*1000000000+IFERROR(MATCH('ORDENES'!$AC626,lista_turnos,0),9)*10000000+IFERROR(MATCH('ORDENES'!$AB626,'TECNICOS'!$B$4:$B$15,0),99)*100000+623,9000000000000+623)</f>
        <v/>
      </c>
      <c r="M630" s="3">
        <f>IF(K630=1,SUMPRODUCT(--($L$8:$L$1207&lt;L630))+1,"")</f>
        <v/>
      </c>
      <c r="N630" s="17">
        <f>IF(K630=1,N('ORDENES'!$M626),0)</f>
        <v/>
      </c>
      <c r="O630" s="17">
        <f>IF('ORDENES'!$S626="preventiva",N630,0)</f>
        <v/>
      </c>
      <c r="P630" s="17">
        <f>IF('ORDENES'!$S626="correctiva",N630,0)</f>
        <v/>
      </c>
      <c r="Q630" s="3">
        <f>IF(AND(K630=1,'ORDENES'!$N626="Pendiente"),1,0)</f>
        <v/>
      </c>
      <c r="R630" s="3">
        <f>IF(Q630=1,100000-N630*1000+623*0.01,9000000000000+623)</f>
        <v/>
      </c>
      <c r="S630" s="3">
        <f>IF(Q630=1,SUMPRODUCT(--($R$8:$R$1207&lt;R630))+1,"")</f>
        <v/>
      </c>
      <c r="T630" s="11">
        <f>IF(K630=1,'ORDENES'!$J626,"")</f>
        <v/>
      </c>
    </row>
    <row r="631">
      <c r="K631" s="3">
        <f>IF(AND(IF($B$3="(todos)",TRUE,'ORDENES'!$O627=$B$3),IF($D$3="(todos)",TRUE,'ORDENES'!$AC627=$D$3),IF($F$3="(todos)",TRUE,'ORDENES'!$V627=$F$3),'ORDENES'!$AA627=TRUE,'ORDENES'!$A627&lt;&gt;""),1,0)</f>
        <v/>
      </c>
      <c r="L631" s="3">
        <f>IF(K631=1,IFERROR(MATCH('ORDENES'!$R627,lista_dias,0),9)*1000000000+IFERROR(MATCH('ORDENES'!$AC627,lista_turnos,0),9)*10000000+IFERROR(MATCH('ORDENES'!$AB627,'TECNICOS'!$B$4:$B$15,0),99)*100000+624,9000000000000+624)</f>
        <v/>
      </c>
      <c r="M631" s="3">
        <f>IF(K631=1,SUMPRODUCT(--($L$8:$L$1207&lt;L631))+1,"")</f>
        <v/>
      </c>
      <c r="N631" s="17">
        <f>IF(K631=1,N('ORDENES'!$M627),0)</f>
        <v/>
      </c>
      <c r="O631" s="17">
        <f>IF('ORDENES'!$S627="preventiva",N631,0)</f>
        <v/>
      </c>
      <c r="P631" s="17">
        <f>IF('ORDENES'!$S627="correctiva",N631,0)</f>
        <v/>
      </c>
      <c r="Q631" s="3">
        <f>IF(AND(K631=1,'ORDENES'!$N627="Pendiente"),1,0)</f>
        <v/>
      </c>
      <c r="R631" s="3">
        <f>IF(Q631=1,100000-N631*1000+624*0.01,9000000000000+624)</f>
        <v/>
      </c>
      <c r="S631" s="3">
        <f>IF(Q631=1,SUMPRODUCT(--($R$8:$R$1207&lt;R631))+1,"")</f>
        <v/>
      </c>
      <c r="T631" s="11">
        <f>IF(K631=1,'ORDENES'!$J627,"")</f>
        <v/>
      </c>
    </row>
    <row r="632">
      <c r="K632" s="3">
        <f>IF(AND(IF($B$3="(todos)",TRUE,'ORDENES'!$O628=$B$3),IF($D$3="(todos)",TRUE,'ORDENES'!$AC628=$D$3),IF($F$3="(todos)",TRUE,'ORDENES'!$V628=$F$3),'ORDENES'!$AA628=TRUE,'ORDENES'!$A628&lt;&gt;""),1,0)</f>
        <v/>
      </c>
      <c r="L632" s="3">
        <f>IF(K632=1,IFERROR(MATCH('ORDENES'!$R628,lista_dias,0),9)*1000000000+IFERROR(MATCH('ORDENES'!$AC628,lista_turnos,0),9)*10000000+IFERROR(MATCH('ORDENES'!$AB628,'TECNICOS'!$B$4:$B$15,0),99)*100000+625,9000000000000+625)</f>
        <v/>
      </c>
      <c r="M632" s="3">
        <f>IF(K632=1,SUMPRODUCT(--($L$8:$L$1207&lt;L632))+1,"")</f>
        <v/>
      </c>
      <c r="N632" s="17">
        <f>IF(K632=1,N('ORDENES'!$M628),0)</f>
        <v/>
      </c>
      <c r="O632" s="17">
        <f>IF('ORDENES'!$S628="preventiva",N632,0)</f>
        <v/>
      </c>
      <c r="P632" s="17">
        <f>IF('ORDENES'!$S628="correctiva",N632,0)</f>
        <v/>
      </c>
      <c r="Q632" s="3">
        <f>IF(AND(K632=1,'ORDENES'!$N628="Pendiente"),1,0)</f>
        <v/>
      </c>
      <c r="R632" s="3">
        <f>IF(Q632=1,100000-N632*1000+625*0.01,9000000000000+625)</f>
        <v/>
      </c>
      <c r="S632" s="3">
        <f>IF(Q632=1,SUMPRODUCT(--($R$8:$R$1207&lt;R632))+1,"")</f>
        <v/>
      </c>
      <c r="T632" s="11">
        <f>IF(K632=1,'ORDENES'!$J628,"")</f>
        <v/>
      </c>
    </row>
    <row r="633">
      <c r="K633" s="3">
        <f>IF(AND(IF($B$3="(todos)",TRUE,'ORDENES'!$O629=$B$3),IF($D$3="(todos)",TRUE,'ORDENES'!$AC629=$D$3),IF($F$3="(todos)",TRUE,'ORDENES'!$V629=$F$3),'ORDENES'!$AA629=TRUE,'ORDENES'!$A629&lt;&gt;""),1,0)</f>
        <v/>
      </c>
      <c r="L633" s="3">
        <f>IF(K633=1,IFERROR(MATCH('ORDENES'!$R629,lista_dias,0),9)*1000000000+IFERROR(MATCH('ORDENES'!$AC629,lista_turnos,0),9)*10000000+IFERROR(MATCH('ORDENES'!$AB629,'TECNICOS'!$B$4:$B$15,0),99)*100000+626,9000000000000+626)</f>
        <v/>
      </c>
      <c r="M633" s="3">
        <f>IF(K633=1,SUMPRODUCT(--($L$8:$L$1207&lt;L633))+1,"")</f>
        <v/>
      </c>
      <c r="N633" s="17">
        <f>IF(K633=1,N('ORDENES'!$M629),0)</f>
        <v/>
      </c>
      <c r="O633" s="17">
        <f>IF('ORDENES'!$S629="preventiva",N633,0)</f>
        <v/>
      </c>
      <c r="P633" s="17">
        <f>IF('ORDENES'!$S629="correctiva",N633,0)</f>
        <v/>
      </c>
      <c r="Q633" s="3">
        <f>IF(AND(K633=1,'ORDENES'!$N629="Pendiente"),1,0)</f>
        <v/>
      </c>
      <c r="R633" s="3">
        <f>IF(Q633=1,100000-N633*1000+626*0.01,9000000000000+626)</f>
        <v/>
      </c>
      <c r="S633" s="3">
        <f>IF(Q633=1,SUMPRODUCT(--($R$8:$R$1207&lt;R633))+1,"")</f>
        <v/>
      </c>
      <c r="T633" s="11">
        <f>IF(K633=1,'ORDENES'!$J629,"")</f>
        <v/>
      </c>
    </row>
    <row r="634">
      <c r="K634" s="3">
        <f>IF(AND(IF($B$3="(todos)",TRUE,'ORDENES'!$O630=$B$3),IF($D$3="(todos)",TRUE,'ORDENES'!$AC630=$D$3),IF($F$3="(todos)",TRUE,'ORDENES'!$V630=$F$3),'ORDENES'!$AA630=TRUE,'ORDENES'!$A630&lt;&gt;""),1,0)</f>
        <v/>
      </c>
      <c r="L634" s="3">
        <f>IF(K634=1,IFERROR(MATCH('ORDENES'!$R630,lista_dias,0),9)*1000000000+IFERROR(MATCH('ORDENES'!$AC630,lista_turnos,0),9)*10000000+IFERROR(MATCH('ORDENES'!$AB630,'TECNICOS'!$B$4:$B$15,0),99)*100000+627,9000000000000+627)</f>
        <v/>
      </c>
      <c r="M634" s="3">
        <f>IF(K634=1,SUMPRODUCT(--($L$8:$L$1207&lt;L634))+1,"")</f>
        <v/>
      </c>
      <c r="N634" s="17">
        <f>IF(K634=1,N('ORDENES'!$M630),0)</f>
        <v/>
      </c>
      <c r="O634" s="17">
        <f>IF('ORDENES'!$S630="preventiva",N634,0)</f>
        <v/>
      </c>
      <c r="P634" s="17">
        <f>IF('ORDENES'!$S630="correctiva",N634,0)</f>
        <v/>
      </c>
      <c r="Q634" s="3">
        <f>IF(AND(K634=1,'ORDENES'!$N630="Pendiente"),1,0)</f>
        <v/>
      </c>
      <c r="R634" s="3">
        <f>IF(Q634=1,100000-N634*1000+627*0.01,9000000000000+627)</f>
        <v/>
      </c>
      <c r="S634" s="3">
        <f>IF(Q634=1,SUMPRODUCT(--($R$8:$R$1207&lt;R634))+1,"")</f>
        <v/>
      </c>
      <c r="T634" s="11">
        <f>IF(K634=1,'ORDENES'!$J630,"")</f>
        <v/>
      </c>
    </row>
    <row r="635">
      <c r="K635" s="3">
        <f>IF(AND(IF($B$3="(todos)",TRUE,'ORDENES'!$O631=$B$3),IF($D$3="(todos)",TRUE,'ORDENES'!$AC631=$D$3),IF($F$3="(todos)",TRUE,'ORDENES'!$V631=$F$3),'ORDENES'!$AA631=TRUE,'ORDENES'!$A631&lt;&gt;""),1,0)</f>
        <v/>
      </c>
      <c r="L635" s="3">
        <f>IF(K635=1,IFERROR(MATCH('ORDENES'!$R631,lista_dias,0),9)*1000000000+IFERROR(MATCH('ORDENES'!$AC631,lista_turnos,0),9)*10000000+IFERROR(MATCH('ORDENES'!$AB631,'TECNICOS'!$B$4:$B$15,0),99)*100000+628,9000000000000+628)</f>
        <v/>
      </c>
      <c r="M635" s="3">
        <f>IF(K635=1,SUMPRODUCT(--($L$8:$L$1207&lt;L635))+1,"")</f>
        <v/>
      </c>
      <c r="N635" s="17">
        <f>IF(K635=1,N('ORDENES'!$M631),0)</f>
        <v/>
      </c>
      <c r="O635" s="17">
        <f>IF('ORDENES'!$S631="preventiva",N635,0)</f>
        <v/>
      </c>
      <c r="P635" s="17">
        <f>IF('ORDENES'!$S631="correctiva",N635,0)</f>
        <v/>
      </c>
      <c r="Q635" s="3">
        <f>IF(AND(K635=1,'ORDENES'!$N631="Pendiente"),1,0)</f>
        <v/>
      </c>
      <c r="R635" s="3">
        <f>IF(Q635=1,100000-N635*1000+628*0.01,9000000000000+628)</f>
        <v/>
      </c>
      <c r="S635" s="3">
        <f>IF(Q635=1,SUMPRODUCT(--($R$8:$R$1207&lt;R635))+1,"")</f>
        <v/>
      </c>
      <c r="T635" s="11">
        <f>IF(K635=1,'ORDENES'!$J631,"")</f>
        <v/>
      </c>
    </row>
    <row r="636">
      <c r="K636" s="3">
        <f>IF(AND(IF($B$3="(todos)",TRUE,'ORDENES'!$O632=$B$3),IF($D$3="(todos)",TRUE,'ORDENES'!$AC632=$D$3),IF($F$3="(todos)",TRUE,'ORDENES'!$V632=$F$3),'ORDENES'!$AA632=TRUE,'ORDENES'!$A632&lt;&gt;""),1,0)</f>
        <v/>
      </c>
      <c r="L636" s="3">
        <f>IF(K636=1,IFERROR(MATCH('ORDENES'!$R632,lista_dias,0),9)*1000000000+IFERROR(MATCH('ORDENES'!$AC632,lista_turnos,0),9)*10000000+IFERROR(MATCH('ORDENES'!$AB632,'TECNICOS'!$B$4:$B$15,0),99)*100000+629,9000000000000+629)</f>
        <v/>
      </c>
      <c r="M636" s="3">
        <f>IF(K636=1,SUMPRODUCT(--($L$8:$L$1207&lt;L636))+1,"")</f>
        <v/>
      </c>
      <c r="N636" s="17">
        <f>IF(K636=1,N('ORDENES'!$M632),0)</f>
        <v/>
      </c>
      <c r="O636" s="17">
        <f>IF('ORDENES'!$S632="preventiva",N636,0)</f>
        <v/>
      </c>
      <c r="P636" s="17">
        <f>IF('ORDENES'!$S632="correctiva",N636,0)</f>
        <v/>
      </c>
      <c r="Q636" s="3">
        <f>IF(AND(K636=1,'ORDENES'!$N632="Pendiente"),1,0)</f>
        <v/>
      </c>
      <c r="R636" s="3">
        <f>IF(Q636=1,100000-N636*1000+629*0.01,9000000000000+629)</f>
        <v/>
      </c>
      <c r="S636" s="3">
        <f>IF(Q636=1,SUMPRODUCT(--($R$8:$R$1207&lt;R636))+1,"")</f>
        <v/>
      </c>
      <c r="T636" s="11">
        <f>IF(K636=1,'ORDENES'!$J632,"")</f>
        <v/>
      </c>
    </row>
    <row r="637">
      <c r="K637" s="3">
        <f>IF(AND(IF($B$3="(todos)",TRUE,'ORDENES'!$O633=$B$3),IF($D$3="(todos)",TRUE,'ORDENES'!$AC633=$D$3),IF($F$3="(todos)",TRUE,'ORDENES'!$V633=$F$3),'ORDENES'!$AA633=TRUE,'ORDENES'!$A633&lt;&gt;""),1,0)</f>
        <v/>
      </c>
      <c r="L637" s="3">
        <f>IF(K637=1,IFERROR(MATCH('ORDENES'!$R633,lista_dias,0),9)*1000000000+IFERROR(MATCH('ORDENES'!$AC633,lista_turnos,0),9)*10000000+IFERROR(MATCH('ORDENES'!$AB633,'TECNICOS'!$B$4:$B$15,0),99)*100000+630,9000000000000+630)</f>
        <v/>
      </c>
      <c r="M637" s="3">
        <f>IF(K637=1,SUMPRODUCT(--($L$8:$L$1207&lt;L637))+1,"")</f>
        <v/>
      </c>
      <c r="N637" s="17">
        <f>IF(K637=1,N('ORDENES'!$M633),0)</f>
        <v/>
      </c>
      <c r="O637" s="17">
        <f>IF('ORDENES'!$S633="preventiva",N637,0)</f>
        <v/>
      </c>
      <c r="P637" s="17">
        <f>IF('ORDENES'!$S633="correctiva",N637,0)</f>
        <v/>
      </c>
      <c r="Q637" s="3">
        <f>IF(AND(K637=1,'ORDENES'!$N633="Pendiente"),1,0)</f>
        <v/>
      </c>
      <c r="R637" s="3">
        <f>IF(Q637=1,100000-N637*1000+630*0.01,9000000000000+630)</f>
        <v/>
      </c>
      <c r="S637" s="3">
        <f>IF(Q637=1,SUMPRODUCT(--($R$8:$R$1207&lt;R637))+1,"")</f>
        <v/>
      </c>
      <c r="T637" s="11">
        <f>IF(K637=1,'ORDENES'!$J633,"")</f>
        <v/>
      </c>
    </row>
    <row r="638">
      <c r="K638" s="3">
        <f>IF(AND(IF($B$3="(todos)",TRUE,'ORDENES'!$O634=$B$3),IF($D$3="(todos)",TRUE,'ORDENES'!$AC634=$D$3),IF($F$3="(todos)",TRUE,'ORDENES'!$V634=$F$3),'ORDENES'!$AA634=TRUE,'ORDENES'!$A634&lt;&gt;""),1,0)</f>
        <v/>
      </c>
      <c r="L638" s="3">
        <f>IF(K638=1,IFERROR(MATCH('ORDENES'!$R634,lista_dias,0),9)*1000000000+IFERROR(MATCH('ORDENES'!$AC634,lista_turnos,0),9)*10000000+IFERROR(MATCH('ORDENES'!$AB634,'TECNICOS'!$B$4:$B$15,0),99)*100000+631,9000000000000+631)</f>
        <v/>
      </c>
      <c r="M638" s="3">
        <f>IF(K638=1,SUMPRODUCT(--($L$8:$L$1207&lt;L638))+1,"")</f>
        <v/>
      </c>
      <c r="N638" s="17">
        <f>IF(K638=1,N('ORDENES'!$M634),0)</f>
        <v/>
      </c>
      <c r="O638" s="17">
        <f>IF('ORDENES'!$S634="preventiva",N638,0)</f>
        <v/>
      </c>
      <c r="P638" s="17">
        <f>IF('ORDENES'!$S634="correctiva",N638,0)</f>
        <v/>
      </c>
      <c r="Q638" s="3">
        <f>IF(AND(K638=1,'ORDENES'!$N634="Pendiente"),1,0)</f>
        <v/>
      </c>
      <c r="R638" s="3">
        <f>IF(Q638=1,100000-N638*1000+631*0.01,9000000000000+631)</f>
        <v/>
      </c>
      <c r="S638" s="3">
        <f>IF(Q638=1,SUMPRODUCT(--($R$8:$R$1207&lt;R638))+1,"")</f>
        <v/>
      </c>
      <c r="T638" s="11">
        <f>IF(K638=1,'ORDENES'!$J634,"")</f>
        <v/>
      </c>
    </row>
    <row r="639">
      <c r="K639" s="3">
        <f>IF(AND(IF($B$3="(todos)",TRUE,'ORDENES'!$O635=$B$3),IF($D$3="(todos)",TRUE,'ORDENES'!$AC635=$D$3),IF($F$3="(todos)",TRUE,'ORDENES'!$V635=$F$3),'ORDENES'!$AA635=TRUE,'ORDENES'!$A635&lt;&gt;""),1,0)</f>
        <v/>
      </c>
      <c r="L639" s="3">
        <f>IF(K639=1,IFERROR(MATCH('ORDENES'!$R635,lista_dias,0),9)*1000000000+IFERROR(MATCH('ORDENES'!$AC635,lista_turnos,0),9)*10000000+IFERROR(MATCH('ORDENES'!$AB635,'TECNICOS'!$B$4:$B$15,0),99)*100000+632,9000000000000+632)</f>
        <v/>
      </c>
      <c r="M639" s="3">
        <f>IF(K639=1,SUMPRODUCT(--($L$8:$L$1207&lt;L639))+1,"")</f>
        <v/>
      </c>
      <c r="N639" s="17">
        <f>IF(K639=1,N('ORDENES'!$M635),0)</f>
        <v/>
      </c>
      <c r="O639" s="17">
        <f>IF('ORDENES'!$S635="preventiva",N639,0)</f>
        <v/>
      </c>
      <c r="P639" s="17">
        <f>IF('ORDENES'!$S635="correctiva",N639,0)</f>
        <v/>
      </c>
      <c r="Q639" s="3">
        <f>IF(AND(K639=1,'ORDENES'!$N635="Pendiente"),1,0)</f>
        <v/>
      </c>
      <c r="R639" s="3">
        <f>IF(Q639=1,100000-N639*1000+632*0.01,9000000000000+632)</f>
        <v/>
      </c>
      <c r="S639" s="3">
        <f>IF(Q639=1,SUMPRODUCT(--($R$8:$R$1207&lt;R639))+1,"")</f>
        <v/>
      </c>
      <c r="T639" s="11">
        <f>IF(K639=1,'ORDENES'!$J635,"")</f>
        <v/>
      </c>
    </row>
    <row r="640">
      <c r="K640" s="3">
        <f>IF(AND(IF($B$3="(todos)",TRUE,'ORDENES'!$O636=$B$3),IF($D$3="(todos)",TRUE,'ORDENES'!$AC636=$D$3),IF($F$3="(todos)",TRUE,'ORDENES'!$V636=$F$3),'ORDENES'!$AA636=TRUE,'ORDENES'!$A636&lt;&gt;""),1,0)</f>
        <v/>
      </c>
      <c r="L640" s="3">
        <f>IF(K640=1,IFERROR(MATCH('ORDENES'!$R636,lista_dias,0),9)*1000000000+IFERROR(MATCH('ORDENES'!$AC636,lista_turnos,0),9)*10000000+IFERROR(MATCH('ORDENES'!$AB636,'TECNICOS'!$B$4:$B$15,0),99)*100000+633,9000000000000+633)</f>
        <v/>
      </c>
      <c r="M640" s="3">
        <f>IF(K640=1,SUMPRODUCT(--($L$8:$L$1207&lt;L640))+1,"")</f>
        <v/>
      </c>
      <c r="N640" s="17">
        <f>IF(K640=1,N('ORDENES'!$M636),0)</f>
        <v/>
      </c>
      <c r="O640" s="17">
        <f>IF('ORDENES'!$S636="preventiva",N640,0)</f>
        <v/>
      </c>
      <c r="P640" s="17">
        <f>IF('ORDENES'!$S636="correctiva",N640,0)</f>
        <v/>
      </c>
      <c r="Q640" s="3">
        <f>IF(AND(K640=1,'ORDENES'!$N636="Pendiente"),1,0)</f>
        <v/>
      </c>
      <c r="R640" s="3">
        <f>IF(Q640=1,100000-N640*1000+633*0.01,9000000000000+633)</f>
        <v/>
      </c>
      <c r="S640" s="3">
        <f>IF(Q640=1,SUMPRODUCT(--($R$8:$R$1207&lt;R640))+1,"")</f>
        <v/>
      </c>
      <c r="T640" s="11">
        <f>IF(K640=1,'ORDENES'!$J636,"")</f>
        <v/>
      </c>
    </row>
    <row r="641">
      <c r="K641" s="3">
        <f>IF(AND(IF($B$3="(todos)",TRUE,'ORDENES'!$O637=$B$3),IF($D$3="(todos)",TRUE,'ORDENES'!$AC637=$D$3),IF($F$3="(todos)",TRUE,'ORDENES'!$V637=$F$3),'ORDENES'!$AA637=TRUE,'ORDENES'!$A637&lt;&gt;""),1,0)</f>
        <v/>
      </c>
      <c r="L641" s="3">
        <f>IF(K641=1,IFERROR(MATCH('ORDENES'!$R637,lista_dias,0),9)*1000000000+IFERROR(MATCH('ORDENES'!$AC637,lista_turnos,0),9)*10000000+IFERROR(MATCH('ORDENES'!$AB637,'TECNICOS'!$B$4:$B$15,0),99)*100000+634,9000000000000+634)</f>
        <v/>
      </c>
      <c r="M641" s="3">
        <f>IF(K641=1,SUMPRODUCT(--($L$8:$L$1207&lt;L641))+1,"")</f>
        <v/>
      </c>
      <c r="N641" s="17">
        <f>IF(K641=1,N('ORDENES'!$M637),0)</f>
        <v/>
      </c>
      <c r="O641" s="17">
        <f>IF('ORDENES'!$S637="preventiva",N641,0)</f>
        <v/>
      </c>
      <c r="P641" s="17">
        <f>IF('ORDENES'!$S637="correctiva",N641,0)</f>
        <v/>
      </c>
      <c r="Q641" s="3">
        <f>IF(AND(K641=1,'ORDENES'!$N637="Pendiente"),1,0)</f>
        <v/>
      </c>
      <c r="R641" s="3">
        <f>IF(Q641=1,100000-N641*1000+634*0.01,9000000000000+634)</f>
        <v/>
      </c>
      <c r="S641" s="3">
        <f>IF(Q641=1,SUMPRODUCT(--($R$8:$R$1207&lt;R641))+1,"")</f>
        <v/>
      </c>
      <c r="T641" s="11">
        <f>IF(K641=1,'ORDENES'!$J637,"")</f>
        <v/>
      </c>
    </row>
    <row r="642">
      <c r="K642" s="3">
        <f>IF(AND(IF($B$3="(todos)",TRUE,'ORDENES'!$O638=$B$3),IF($D$3="(todos)",TRUE,'ORDENES'!$AC638=$D$3),IF($F$3="(todos)",TRUE,'ORDENES'!$V638=$F$3),'ORDENES'!$AA638=TRUE,'ORDENES'!$A638&lt;&gt;""),1,0)</f>
        <v/>
      </c>
      <c r="L642" s="3">
        <f>IF(K642=1,IFERROR(MATCH('ORDENES'!$R638,lista_dias,0),9)*1000000000+IFERROR(MATCH('ORDENES'!$AC638,lista_turnos,0),9)*10000000+IFERROR(MATCH('ORDENES'!$AB638,'TECNICOS'!$B$4:$B$15,0),99)*100000+635,9000000000000+635)</f>
        <v/>
      </c>
      <c r="M642" s="3">
        <f>IF(K642=1,SUMPRODUCT(--($L$8:$L$1207&lt;L642))+1,"")</f>
        <v/>
      </c>
      <c r="N642" s="17">
        <f>IF(K642=1,N('ORDENES'!$M638),0)</f>
        <v/>
      </c>
      <c r="O642" s="17">
        <f>IF('ORDENES'!$S638="preventiva",N642,0)</f>
        <v/>
      </c>
      <c r="P642" s="17">
        <f>IF('ORDENES'!$S638="correctiva",N642,0)</f>
        <v/>
      </c>
      <c r="Q642" s="3">
        <f>IF(AND(K642=1,'ORDENES'!$N638="Pendiente"),1,0)</f>
        <v/>
      </c>
      <c r="R642" s="3">
        <f>IF(Q642=1,100000-N642*1000+635*0.01,9000000000000+635)</f>
        <v/>
      </c>
      <c r="S642" s="3">
        <f>IF(Q642=1,SUMPRODUCT(--($R$8:$R$1207&lt;R642))+1,"")</f>
        <v/>
      </c>
      <c r="T642" s="11">
        <f>IF(K642=1,'ORDENES'!$J638,"")</f>
        <v/>
      </c>
    </row>
    <row r="643">
      <c r="K643" s="3">
        <f>IF(AND(IF($B$3="(todos)",TRUE,'ORDENES'!$O639=$B$3),IF($D$3="(todos)",TRUE,'ORDENES'!$AC639=$D$3),IF($F$3="(todos)",TRUE,'ORDENES'!$V639=$F$3),'ORDENES'!$AA639=TRUE,'ORDENES'!$A639&lt;&gt;""),1,0)</f>
        <v/>
      </c>
      <c r="L643" s="3">
        <f>IF(K643=1,IFERROR(MATCH('ORDENES'!$R639,lista_dias,0),9)*1000000000+IFERROR(MATCH('ORDENES'!$AC639,lista_turnos,0),9)*10000000+IFERROR(MATCH('ORDENES'!$AB639,'TECNICOS'!$B$4:$B$15,0),99)*100000+636,9000000000000+636)</f>
        <v/>
      </c>
      <c r="M643" s="3">
        <f>IF(K643=1,SUMPRODUCT(--($L$8:$L$1207&lt;L643))+1,"")</f>
        <v/>
      </c>
      <c r="N643" s="17">
        <f>IF(K643=1,N('ORDENES'!$M639),0)</f>
        <v/>
      </c>
      <c r="O643" s="17">
        <f>IF('ORDENES'!$S639="preventiva",N643,0)</f>
        <v/>
      </c>
      <c r="P643" s="17">
        <f>IF('ORDENES'!$S639="correctiva",N643,0)</f>
        <v/>
      </c>
      <c r="Q643" s="3">
        <f>IF(AND(K643=1,'ORDENES'!$N639="Pendiente"),1,0)</f>
        <v/>
      </c>
      <c r="R643" s="3">
        <f>IF(Q643=1,100000-N643*1000+636*0.01,9000000000000+636)</f>
        <v/>
      </c>
      <c r="S643" s="3">
        <f>IF(Q643=1,SUMPRODUCT(--($R$8:$R$1207&lt;R643))+1,"")</f>
        <v/>
      </c>
      <c r="T643" s="11">
        <f>IF(K643=1,'ORDENES'!$J639,"")</f>
        <v/>
      </c>
    </row>
    <row r="644">
      <c r="K644" s="3">
        <f>IF(AND(IF($B$3="(todos)",TRUE,'ORDENES'!$O640=$B$3),IF($D$3="(todos)",TRUE,'ORDENES'!$AC640=$D$3),IF($F$3="(todos)",TRUE,'ORDENES'!$V640=$F$3),'ORDENES'!$AA640=TRUE,'ORDENES'!$A640&lt;&gt;""),1,0)</f>
        <v/>
      </c>
      <c r="L644" s="3">
        <f>IF(K644=1,IFERROR(MATCH('ORDENES'!$R640,lista_dias,0),9)*1000000000+IFERROR(MATCH('ORDENES'!$AC640,lista_turnos,0),9)*10000000+IFERROR(MATCH('ORDENES'!$AB640,'TECNICOS'!$B$4:$B$15,0),99)*100000+637,9000000000000+637)</f>
        <v/>
      </c>
      <c r="M644" s="3">
        <f>IF(K644=1,SUMPRODUCT(--($L$8:$L$1207&lt;L644))+1,"")</f>
        <v/>
      </c>
      <c r="N644" s="17">
        <f>IF(K644=1,N('ORDENES'!$M640),0)</f>
        <v/>
      </c>
      <c r="O644" s="17">
        <f>IF('ORDENES'!$S640="preventiva",N644,0)</f>
        <v/>
      </c>
      <c r="P644" s="17">
        <f>IF('ORDENES'!$S640="correctiva",N644,0)</f>
        <v/>
      </c>
      <c r="Q644" s="3">
        <f>IF(AND(K644=1,'ORDENES'!$N640="Pendiente"),1,0)</f>
        <v/>
      </c>
      <c r="R644" s="3">
        <f>IF(Q644=1,100000-N644*1000+637*0.01,9000000000000+637)</f>
        <v/>
      </c>
      <c r="S644" s="3">
        <f>IF(Q644=1,SUMPRODUCT(--($R$8:$R$1207&lt;R644))+1,"")</f>
        <v/>
      </c>
      <c r="T644" s="11">
        <f>IF(K644=1,'ORDENES'!$J640,"")</f>
        <v/>
      </c>
    </row>
    <row r="645">
      <c r="K645" s="3">
        <f>IF(AND(IF($B$3="(todos)",TRUE,'ORDENES'!$O641=$B$3),IF($D$3="(todos)",TRUE,'ORDENES'!$AC641=$D$3),IF($F$3="(todos)",TRUE,'ORDENES'!$V641=$F$3),'ORDENES'!$AA641=TRUE,'ORDENES'!$A641&lt;&gt;""),1,0)</f>
        <v/>
      </c>
      <c r="L645" s="3">
        <f>IF(K645=1,IFERROR(MATCH('ORDENES'!$R641,lista_dias,0),9)*1000000000+IFERROR(MATCH('ORDENES'!$AC641,lista_turnos,0),9)*10000000+IFERROR(MATCH('ORDENES'!$AB641,'TECNICOS'!$B$4:$B$15,0),99)*100000+638,9000000000000+638)</f>
        <v/>
      </c>
      <c r="M645" s="3">
        <f>IF(K645=1,SUMPRODUCT(--($L$8:$L$1207&lt;L645))+1,"")</f>
        <v/>
      </c>
      <c r="N645" s="17">
        <f>IF(K645=1,N('ORDENES'!$M641),0)</f>
        <v/>
      </c>
      <c r="O645" s="17">
        <f>IF('ORDENES'!$S641="preventiva",N645,0)</f>
        <v/>
      </c>
      <c r="P645" s="17">
        <f>IF('ORDENES'!$S641="correctiva",N645,0)</f>
        <v/>
      </c>
      <c r="Q645" s="3">
        <f>IF(AND(K645=1,'ORDENES'!$N641="Pendiente"),1,0)</f>
        <v/>
      </c>
      <c r="R645" s="3">
        <f>IF(Q645=1,100000-N645*1000+638*0.01,9000000000000+638)</f>
        <v/>
      </c>
      <c r="S645" s="3">
        <f>IF(Q645=1,SUMPRODUCT(--($R$8:$R$1207&lt;R645))+1,"")</f>
        <v/>
      </c>
      <c r="T645" s="11">
        <f>IF(K645=1,'ORDENES'!$J641,"")</f>
        <v/>
      </c>
    </row>
    <row r="646">
      <c r="K646" s="3">
        <f>IF(AND(IF($B$3="(todos)",TRUE,'ORDENES'!$O642=$B$3),IF($D$3="(todos)",TRUE,'ORDENES'!$AC642=$D$3),IF($F$3="(todos)",TRUE,'ORDENES'!$V642=$F$3),'ORDENES'!$AA642=TRUE,'ORDENES'!$A642&lt;&gt;""),1,0)</f>
        <v/>
      </c>
      <c r="L646" s="3">
        <f>IF(K646=1,IFERROR(MATCH('ORDENES'!$R642,lista_dias,0),9)*1000000000+IFERROR(MATCH('ORDENES'!$AC642,lista_turnos,0),9)*10000000+IFERROR(MATCH('ORDENES'!$AB642,'TECNICOS'!$B$4:$B$15,0),99)*100000+639,9000000000000+639)</f>
        <v/>
      </c>
      <c r="M646" s="3">
        <f>IF(K646=1,SUMPRODUCT(--($L$8:$L$1207&lt;L646))+1,"")</f>
        <v/>
      </c>
      <c r="N646" s="17">
        <f>IF(K646=1,N('ORDENES'!$M642),0)</f>
        <v/>
      </c>
      <c r="O646" s="17">
        <f>IF('ORDENES'!$S642="preventiva",N646,0)</f>
        <v/>
      </c>
      <c r="P646" s="17">
        <f>IF('ORDENES'!$S642="correctiva",N646,0)</f>
        <v/>
      </c>
      <c r="Q646" s="3">
        <f>IF(AND(K646=1,'ORDENES'!$N642="Pendiente"),1,0)</f>
        <v/>
      </c>
      <c r="R646" s="3">
        <f>IF(Q646=1,100000-N646*1000+639*0.01,9000000000000+639)</f>
        <v/>
      </c>
      <c r="S646" s="3">
        <f>IF(Q646=1,SUMPRODUCT(--($R$8:$R$1207&lt;R646))+1,"")</f>
        <v/>
      </c>
      <c r="T646" s="11">
        <f>IF(K646=1,'ORDENES'!$J642,"")</f>
        <v/>
      </c>
    </row>
    <row r="647">
      <c r="K647" s="3">
        <f>IF(AND(IF($B$3="(todos)",TRUE,'ORDENES'!$O643=$B$3),IF($D$3="(todos)",TRUE,'ORDENES'!$AC643=$D$3),IF($F$3="(todos)",TRUE,'ORDENES'!$V643=$F$3),'ORDENES'!$AA643=TRUE,'ORDENES'!$A643&lt;&gt;""),1,0)</f>
        <v/>
      </c>
      <c r="L647" s="3">
        <f>IF(K647=1,IFERROR(MATCH('ORDENES'!$R643,lista_dias,0),9)*1000000000+IFERROR(MATCH('ORDENES'!$AC643,lista_turnos,0),9)*10000000+IFERROR(MATCH('ORDENES'!$AB643,'TECNICOS'!$B$4:$B$15,0),99)*100000+640,9000000000000+640)</f>
        <v/>
      </c>
      <c r="M647" s="3">
        <f>IF(K647=1,SUMPRODUCT(--($L$8:$L$1207&lt;L647))+1,"")</f>
        <v/>
      </c>
      <c r="N647" s="17">
        <f>IF(K647=1,N('ORDENES'!$M643),0)</f>
        <v/>
      </c>
      <c r="O647" s="17">
        <f>IF('ORDENES'!$S643="preventiva",N647,0)</f>
        <v/>
      </c>
      <c r="P647" s="17">
        <f>IF('ORDENES'!$S643="correctiva",N647,0)</f>
        <v/>
      </c>
      <c r="Q647" s="3">
        <f>IF(AND(K647=1,'ORDENES'!$N643="Pendiente"),1,0)</f>
        <v/>
      </c>
      <c r="R647" s="3">
        <f>IF(Q647=1,100000-N647*1000+640*0.01,9000000000000+640)</f>
        <v/>
      </c>
      <c r="S647" s="3">
        <f>IF(Q647=1,SUMPRODUCT(--($R$8:$R$1207&lt;R647))+1,"")</f>
        <v/>
      </c>
      <c r="T647" s="11">
        <f>IF(K647=1,'ORDENES'!$J643,"")</f>
        <v/>
      </c>
    </row>
    <row r="648">
      <c r="K648" s="3">
        <f>IF(AND(IF($B$3="(todos)",TRUE,'ORDENES'!$O644=$B$3),IF($D$3="(todos)",TRUE,'ORDENES'!$AC644=$D$3),IF($F$3="(todos)",TRUE,'ORDENES'!$V644=$F$3),'ORDENES'!$AA644=TRUE,'ORDENES'!$A644&lt;&gt;""),1,0)</f>
        <v/>
      </c>
      <c r="L648" s="3">
        <f>IF(K648=1,IFERROR(MATCH('ORDENES'!$R644,lista_dias,0),9)*1000000000+IFERROR(MATCH('ORDENES'!$AC644,lista_turnos,0),9)*10000000+IFERROR(MATCH('ORDENES'!$AB644,'TECNICOS'!$B$4:$B$15,0),99)*100000+641,9000000000000+641)</f>
        <v/>
      </c>
      <c r="M648" s="3">
        <f>IF(K648=1,SUMPRODUCT(--($L$8:$L$1207&lt;L648))+1,"")</f>
        <v/>
      </c>
      <c r="N648" s="17">
        <f>IF(K648=1,N('ORDENES'!$M644),0)</f>
        <v/>
      </c>
      <c r="O648" s="17">
        <f>IF('ORDENES'!$S644="preventiva",N648,0)</f>
        <v/>
      </c>
      <c r="P648" s="17">
        <f>IF('ORDENES'!$S644="correctiva",N648,0)</f>
        <v/>
      </c>
      <c r="Q648" s="3">
        <f>IF(AND(K648=1,'ORDENES'!$N644="Pendiente"),1,0)</f>
        <v/>
      </c>
      <c r="R648" s="3">
        <f>IF(Q648=1,100000-N648*1000+641*0.01,9000000000000+641)</f>
        <v/>
      </c>
      <c r="S648" s="3">
        <f>IF(Q648=1,SUMPRODUCT(--($R$8:$R$1207&lt;R648))+1,"")</f>
        <v/>
      </c>
      <c r="T648" s="11">
        <f>IF(K648=1,'ORDENES'!$J644,"")</f>
        <v/>
      </c>
    </row>
    <row r="649">
      <c r="K649" s="3">
        <f>IF(AND(IF($B$3="(todos)",TRUE,'ORDENES'!$O645=$B$3),IF($D$3="(todos)",TRUE,'ORDENES'!$AC645=$D$3),IF($F$3="(todos)",TRUE,'ORDENES'!$V645=$F$3),'ORDENES'!$AA645=TRUE,'ORDENES'!$A645&lt;&gt;""),1,0)</f>
        <v/>
      </c>
      <c r="L649" s="3">
        <f>IF(K649=1,IFERROR(MATCH('ORDENES'!$R645,lista_dias,0),9)*1000000000+IFERROR(MATCH('ORDENES'!$AC645,lista_turnos,0),9)*10000000+IFERROR(MATCH('ORDENES'!$AB645,'TECNICOS'!$B$4:$B$15,0),99)*100000+642,9000000000000+642)</f>
        <v/>
      </c>
      <c r="M649" s="3">
        <f>IF(K649=1,SUMPRODUCT(--($L$8:$L$1207&lt;L649))+1,"")</f>
        <v/>
      </c>
      <c r="N649" s="17">
        <f>IF(K649=1,N('ORDENES'!$M645),0)</f>
        <v/>
      </c>
      <c r="O649" s="17">
        <f>IF('ORDENES'!$S645="preventiva",N649,0)</f>
        <v/>
      </c>
      <c r="P649" s="17">
        <f>IF('ORDENES'!$S645="correctiva",N649,0)</f>
        <v/>
      </c>
      <c r="Q649" s="3">
        <f>IF(AND(K649=1,'ORDENES'!$N645="Pendiente"),1,0)</f>
        <v/>
      </c>
      <c r="R649" s="3">
        <f>IF(Q649=1,100000-N649*1000+642*0.01,9000000000000+642)</f>
        <v/>
      </c>
      <c r="S649" s="3">
        <f>IF(Q649=1,SUMPRODUCT(--($R$8:$R$1207&lt;R649))+1,"")</f>
        <v/>
      </c>
      <c r="T649" s="11">
        <f>IF(K649=1,'ORDENES'!$J645,"")</f>
        <v/>
      </c>
    </row>
    <row r="650">
      <c r="K650" s="3">
        <f>IF(AND(IF($B$3="(todos)",TRUE,'ORDENES'!$O646=$B$3),IF($D$3="(todos)",TRUE,'ORDENES'!$AC646=$D$3),IF($F$3="(todos)",TRUE,'ORDENES'!$V646=$F$3),'ORDENES'!$AA646=TRUE,'ORDENES'!$A646&lt;&gt;""),1,0)</f>
        <v/>
      </c>
      <c r="L650" s="3">
        <f>IF(K650=1,IFERROR(MATCH('ORDENES'!$R646,lista_dias,0),9)*1000000000+IFERROR(MATCH('ORDENES'!$AC646,lista_turnos,0),9)*10000000+IFERROR(MATCH('ORDENES'!$AB646,'TECNICOS'!$B$4:$B$15,0),99)*100000+643,9000000000000+643)</f>
        <v/>
      </c>
      <c r="M650" s="3">
        <f>IF(K650=1,SUMPRODUCT(--($L$8:$L$1207&lt;L650))+1,"")</f>
        <v/>
      </c>
      <c r="N650" s="17">
        <f>IF(K650=1,N('ORDENES'!$M646),0)</f>
        <v/>
      </c>
      <c r="O650" s="17">
        <f>IF('ORDENES'!$S646="preventiva",N650,0)</f>
        <v/>
      </c>
      <c r="P650" s="17">
        <f>IF('ORDENES'!$S646="correctiva",N650,0)</f>
        <v/>
      </c>
      <c r="Q650" s="3">
        <f>IF(AND(K650=1,'ORDENES'!$N646="Pendiente"),1,0)</f>
        <v/>
      </c>
      <c r="R650" s="3">
        <f>IF(Q650=1,100000-N650*1000+643*0.01,9000000000000+643)</f>
        <v/>
      </c>
      <c r="S650" s="3">
        <f>IF(Q650=1,SUMPRODUCT(--($R$8:$R$1207&lt;R650))+1,"")</f>
        <v/>
      </c>
      <c r="T650" s="11">
        <f>IF(K650=1,'ORDENES'!$J646,"")</f>
        <v/>
      </c>
    </row>
    <row r="651">
      <c r="K651" s="3">
        <f>IF(AND(IF($B$3="(todos)",TRUE,'ORDENES'!$O647=$B$3),IF($D$3="(todos)",TRUE,'ORDENES'!$AC647=$D$3),IF($F$3="(todos)",TRUE,'ORDENES'!$V647=$F$3),'ORDENES'!$AA647=TRUE,'ORDENES'!$A647&lt;&gt;""),1,0)</f>
        <v/>
      </c>
      <c r="L651" s="3">
        <f>IF(K651=1,IFERROR(MATCH('ORDENES'!$R647,lista_dias,0),9)*1000000000+IFERROR(MATCH('ORDENES'!$AC647,lista_turnos,0),9)*10000000+IFERROR(MATCH('ORDENES'!$AB647,'TECNICOS'!$B$4:$B$15,0),99)*100000+644,9000000000000+644)</f>
        <v/>
      </c>
      <c r="M651" s="3">
        <f>IF(K651=1,SUMPRODUCT(--($L$8:$L$1207&lt;L651))+1,"")</f>
        <v/>
      </c>
      <c r="N651" s="17">
        <f>IF(K651=1,N('ORDENES'!$M647),0)</f>
        <v/>
      </c>
      <c r="O651" s="17">
        <f>IF('ORDENES'!$S647="preventiva",N651,0)</f>
        <v/>
      </c>
      <c r="P651" s="17">
        <f>IF('ORDENES'!$S647="correctiva",N651,0)</f>
        <v/>
      </c>
      <c r="Q651" s="3">
        <f>IF(AND(K651=1,'ORDENES'!$N647="Pendiente"),1,0)</f>
        <v/>
      </c>
      <c r="R651" s="3">
        <f>IF(Q651=1,100000-N651*1000+644*0.01,9000000000000+644)</f>
        <v/>
      </c>
      <c r="S651" s="3">
        <f>IF(Q651=1,SUMPRODUCT(--($R$8:$R$1207&lt;R651))+1,"")</f>
        <v/>
      </c>
      <c r="T651" s="11">
        <f>IF(K651=1,'ORDENES'!$J647,"")</f>
        <v/>
      </c>
    </row>
    <row r="652">
      <c r="K652" s="3">
        <f>IF(AND(IF($B$3="(todos)",TRUE,'ORDENES'!$O648=$B$3),IF($D$3="(todos)",TRUE,'ORDENES'!$AC648=$D$3),IF($F$3="(todos)",TRUE,'ORDENES'!$V648=$F$3),'ORDENES'!$AA648=TRUE,'ORDENES'!$A648&lt;&gt;""),1,0)</f>
        <v/>
      </c>
      <c r="L652" s="3">
        <f>IF(K652=1,IFERROR(MATCH('ORDENES'!$R648,lista_dias,0),9)*1000000000+IFERROR(MATCH('ORDENES'!$AC648,lista_turnos,0),9)*10000000+IFERROR(MATCH('ORDENES'!$AB648,'TECNICOS'!$B$4:$B$15,0),99)*100000+645,9000000000000+645)</f>
        <v/>
      </c>
      <c r="M652" s="3">
        <f>IF(K652=1,SUMPRODUCT(--($L$8:$L$1207&lt;L652))+1,"")</f>
        <v/>
      </c>
      <c r="N652" s="17">
        <f>IF(K652=1,N('ORDENES'!$M648),0)</f>
        <v/>
      </c>
      <c r="O652" s="17">
        <f>IF('ORDENES'!$S648="preventiva",N652,0)</f>
        <v/>
      </c>
      <c r="P652" s="17">
        <f>IF('ORDENES'!$S648="correctiva",N652,0)</f>
        <v/>
      </c>
      <c r="Q652" s="3">
        <f>IF(AND(K652=1,'ORDENES'!$N648="Pendiente"),1,0)</f>
        <v/>
      </c>
      <c r="R652" s="3">
        <f>IF(Q652=1,100000-N652*1000+645*0.01,9000000000000+645)</f>
        <v/>
      </c>
      <c r="S652" s="3">
        <f>IF(Q652=1,SUMPRODUCT(--($R$8:$R$1207&lt;R652))+1,"")</f>
        <v/>
      </c>
      <c r="T652" s="11">
        <f>IF(K652=1,'ORDENES'!$J648,"")</f>
        <v/>
      </c>
    </row>
    <row r="653">
      <c r="K653" s="3">
        <f>IF(AND(IF($B$3="(todos)",TRUE,'ORDENES'!$O649=$B$3),IF($D$3="(todos)",TRUE,'ORDENES'!$AC649=$D$3),IF($F$3="(todos)",TRUE,'ORDENES'!$V649=$F$3),'ORDENES'!$AA649=TRUE,'ORDENES'!$A649&lt;&gt;""),1,0)</f>
        <v/>
      </c>
      <c r="L653" s="3">
        <f>IF(K653=1,IFERROR(MATCH('ORDENES'!$R649,lista_dias,0),9)*1000000000+IFERROR(MATCH('ORDENES'!$AC649,lista_turnos,0),9)*10000000+IFERROR(MATCH('ORDENES'!$AB649,'TECNICOS'!$B$4:$B$15,0),99)*100000+646,9000000000000+646)</f>
        <v/>
      </c>
      <c r="M653" s="3">
        <f>IF(K653=1,SUMPRODUCT(--($L$8:$L$1207&lt;L653))+1,"")</f>
        <v/>
      </c>
      <c r="N653" s="17">
        <f>IF(K653=1,N('ORDENES'!$M649),0)</f>
        <v/>
      </c>
      <c r="O653" s="17">
        <f>IF('ORDENES'!$S649="preventiva",N653,0)</f>
        <v/>
      </c>
      <c r="P653" s="17">
        <f>IF('ORDENES'!$S649="correctiva",N653,0)</f>
        <v/>
      </c>
      <c r="Q653" s="3">
        <f>IF(AND(K653=1,'ORDENES'!$N649="Pendiente"),1,0)</f>
        <v/>
      </c>
      <c r="R653" s="3">
        <f>IF(Q653=1,100000-N653*1000+646*0.01,9000000000000+646)</f>
        <v/>
      </c>
      <c r="S653" s="3">
        <f>IF(Q653=1,SUMPRODUCT(--($R$8:$R$1207&lt;R653))+1,"")</f>
        <v/>
      </c>
      <c r="T653" s="11">
        <f>IF(K653=1,'ORDENES'!$J649,"")</f>
        <v/>
      </c>
    </row>
    <row r="654">
      <c r="K654" s="3">
        <f>IF(AND(IF($B$3="(todos)",TRUE,'ORDENES'!$O650=$B$3),IF($D$3="(todos)",TRUE,'ORDENES'!$AC650=$D$3),IF($F$3="(todos)",TRUE,'ORDENES'!$V650=$F$3),'ORDENES'!$AA650=TRUE,'ORDENES'!$A650&lt;&gt;""),1,0)</f>
        <v/>
      </c>
      <c r="L654" s="3">
        <f>IF(K654=1,IFERROR(MATCH('ORDENES'!$R650,lista_dias,0),9)*1000000000+IFERROR(MATCH('ORDENES'!$AC650,lista_turnos,0),9)*10000000+IFERROR(MATCH('ORDENES'!$AB650,'TECNICOS'!$B$4:$B$15,0),99)*100000+647,9000000000000+647)</f>
        <v/>
      </c>
      <c r="M654" s="3">
        <f>IF(K654=1,SUMPRODUCT(--($L$8:$L$1207&lt;L654))+1,"")</f>
        <v/>
      </c>
      <c r="N654" s="17">
        <f>IF(K654=1,N('ORDENES'!$M650),0)</f>
        <v/>
      </c>
      <c r="O654" s="17">
        <f>IF('ORDENES'!$S650="preventiva",N654,0)</f>
        <v/>
      </c>
      <c r="P654" s="17">
        <f>IF('ORDENES'!$S650="correctiva",N654,0)</f>
        <v/>
      </c>
      <c r="Q654" s="3">
        <f>IF(AND(K654=1,'ORDENES'!$N650="Pendiente"),1,0)</f>
        <v/>
      </c>
      <c r="R654" s="3">
        <f>IF(Q654=1,100000-N654*1000+647*0.01,9000000000000+647)</f>
        <v/>
      </c>
      <c r="S654" s="3">
        <f>IF(Q654=1,SUMPRODUCT(--($R$8:$R$1207&lt;R654))+1,"")</f>
        <v/>
      </c>
      <c r="T654" s="11">
        <f>IF(K654=1,'ORDENES'!$J650,"")</f>
        <v/>
      </c>
    </row>
    <row r="655">
      <c r="K655" s="3">
        <f>IF(AND(IF($B$3="(todos)",TRUE,'ORDENES'!$O651=$B$3),IF($D$3="(todos)",TRUE,'ORDENES'!$AC651=$D$3),IF($F$3="(todos)",TRUE,'ORDENES'!$V651=$F$3),'ORDENES'!$AA651=TRUE,'ORDENES'!$A651&lt;&gt;""),1,0)</f>
        <v/>
      </c>
      <c r="L655" s="3">
        <f>IF(K655=1,IFERROR(MATCH('ORDENES'!$R651,lista_dias,0),9)*1000000000+IFERROR(MATCH('ORDENES'!$AC651,lista_turnos,0),9)*10000000+IFERROR(MATCH('ORDENES'!$AB651,'TECNICOS'!$B$4:$B$15,0),99)*100000+648,9000000000000+648)</f>
        <v/>
      </c>
      <c r="M655" s="3">
        <f>IF(K655=1,SUMPRODUCT(--($L$8:$L$1207&lt;L655))+1,"")</f>
        <v/>
      </c>
      <c r="N655" s="17">
        <f>IF(K655=1,N('ORDENES'!$M651),0)</f>
        <v/>
      </c>
      <c r="O655" s="17">
        <f>IF('ORDENES'!$S651="preventiva",N655,0)</f>
        <v/>
      </c>
      <c r="P655" s="17">
        <f>IF('ORDENES'!$S651="correctiva",N655,0)</f>
        <v/>
      </c>
      <c r="Q655" s="3">
        <f>IF(AND(K655=1,'ORDENES'!$N651="Pendiente"),1,0)</f>
        <v/>
      </c>
      <c r="R655" s="3">
        <f>IF(Q655=1,100000-N655*1000+648*0.01,9000000000000+648)</f>
        <v/>
      </c>
      <c r="S655" s="3">
        <f>IF(Q655=1,SUMPRODUCT(--($R$8:$R$1207&lt;R655))+1,"")</f>
        <v/>
      </c>
      <c r="T655" s="11">
        <f>IF(K655=1,'ORDENES'!$J651,"")</f>
        <v/>
      </c>
    </row>
    <row r="656">
      <c r="K656" s="3">
        <f>IF(AND(IF($B$3="(todos)",TRUE,'ORDENES'!$O652=$B$3),IF($D$3="(todos)",TRUE,'ORDENES'!$AC652=$D$3),IF($F$3="(todos)",TRUE,'ORDENES'!$V652=$F$3),'ORDENES'!$AA652=TRUE,'ORDENES'!$A652&lt;&gt;""),1,0)</f>
        <v/>
      </c>
      <c r="L656" s="3">
        <f>IF(K656=1,IFERROR(MATCH('ORDENES'!$R652,lista_dias,0),9)*1000000000+IFERROR(MATCH('ORDENES'!$AC652,lista_turnos,0),9)*10000000+IFERROR(MATCH('ORDENES'!$AB652,'TECNICOS'!$B$4:$B$15,0),99)*100000+649,9000000000000+649)</f>
        <v/>
      </c>
      <c r="M656" s="3">
        <f>IF(K656=1,SUMPRODUCT(--($L$8:$L$1207&lt;L656))+1,"")</f>
        <v/>
      </c>
      <c r="N656" s="17">
        <f>IF(K656=1,N('ORDENES'!$M652),0)</f>
        <v/>
      </c>
      <c r="O656" s="17">
        <f>IF('ORDENES'!$S652="preventiva",N656,0)</f>
        <v/>
      </c>
      <c r="P656" s="17">
        <f>IF('ORDENES'!$S652="correctiva",N656,0)</f>
        <v/>
      </c>
      <c r="Q656" s="3">
        <f>IF(AND(K656=1,'ORDENES'!$N652="Pendiente"),1,0)</f>
        <v/>
      </c>
      <c r="R656" s="3">
        <f>IF(Q656=1,100000-N656*1000+649*0.01,9000000000000+649)</f>
        <v/>
      </c>
      <c r="S656" s="3">
        <f>IF(Q656=1,SUMPRODUCT(--($R$8:$R$1207&lt;R656))+1,"")</f>
        <v/>
      </c>
      <c r="T656" s="11">
        <f>IF(K656=1,'ORDENES'!$J652,"")</f>
        <v/>
      </c>
    </row>
    <row r="657">
      <c r="K657" s="3">
        <f>IF(AND(IF($B$3="(todos)",TRUE,'ORDENES'!$O653=$B$3),IF($D$3="(todos)",TRUE,'ORDENES'!$AC653=$D$3),IF($F$3="(todos)",TRUE,'ORDENES'!$V653=$F$3),'ORDENES'!$AA653=TRUE,'ORDENES'!$A653&lt;&gt;""),1,0)</f>
        <v/>
      </c>
      <c r="L657" s="3">
        <f>IF(K657=1,IFERROR(MATCH('ORDENES'!$R653,lista_dias,0),9)*1000000000+IFERROR(MATCH('ORDENES'!$AC653,lista_turnos,0),9)*10000000+IFERROR(MATCH('ORDENES'!$AB653,'TECNICOS'!$B$4:$B$15,0),99)*100000+650,9000000000000+650)</f>
        <v/>
      </c>
      <c r="M657" s="3">
        <f>IF(K657=1,SUMPRODUCT(--($L$8:$L$1207&lt;L657))+1,"")</f>
        <v/>
      </c>
      <c r="N657" s="17">
        <f>IF(K657=1,N('ORDENES'!$M653),0)</f>
        <v/>
      </c>
      <c r="O657" s="17">
        <f>IF('ORDENES'!$S653="preventiva",N657,0)</f>
        <v/>
      </c>
      <c r="P657" s="17">
        <f>IF('ORDENES'!$S653="correctiva",N657,0)</f>
        <v/>
      </c>
      <c r="Q657" s="3">
        <f>IF(AND(K657=1,'ORDENES'!$N653="Pendiente"),1,0)</f>
        <v/>
      </c>
      <c r="R657" s="3">
        <f>IF(Q657=1,100000-N657*1000+650*0.01,9000000000000+650)</f>
        <v/>
      </c>
      <c r="S657" s="3">
        <f>IF(Q657=1,SUMPRODUCT(--($R$8:$R$1207&lt;R657))+1,"")</f>
        <v/>
      </c>
      <c r="T657" s="11">
        <f>IF(K657=1,'ORDENES'!$J653,"")</f>
        <v/>
      </c>
    </row>
    <row r="658">
      <c r="K658" s="3">
        <f>IF(AND(IF($B$3="(todos)",TRUE,'ORDENES'!$O654=$B$3),IF($D$3="(todos)",TRUE,'ORDENES'!$AC654=$D$3),IF($F$3="(todos)",TRUE,'ORDENES'!$V654=$F$3),'ORDENES'!$AA654=TRUE,'ORDENES'!$A654&lt;&gt;""),1,0)</f>
        <v/>
      </c>
      <c r="L658" s="3">
        <f>IF(K658=1,IFERROR(MATCH('ORDENES'!$R654,lista_dias,0),9)*1000000000+IFERROR(MATCH('ORDENES'!$AC654,lista_turnos,0),9)*10000000+IFERROR(MATCH('ORDENES'!$AB654,'TECNICOS'!$B$4:$B$15,0),99)*100000+651,9000000000000+651)</f>
        <v/>
      </c>
      <c r="M658" s="3">
        <f>IF(K658=1,SUMPRODUCT(--($L$8:$L$1207&lt;L658))+1,"")</f>
        <v/>
      </c>
      <c r="N658" s="17">
        <f>IF(K658=1,N('ORDENES'!$M654),0)</f>
        <v/>
      </c>
      <c r="O658" s="17">
        <f>IF('ORDENES'!$S654="preventiva",N658,0)</f>
        <v/>
      </c>
      <c r="P658" s="17">
        <f>IF('ORDENES'!$S654="correctiva",N658,0)</f>
        <v/>
      </c>
      <c r="Q658" s="3">
        <f>IF(AND(K658=1,'ORDENES'!$N654="Pendiente"),1,0)</f>
        <v/>
      </c>
      <c r="R658" s="3">
        <f>IF(Q658=1,100000-N658*1000+651*0.01,9000000000000+651)</f>
        <v/>
      </c>
      <c r="S658" s="3">
        <f>IF(Q658=1,SUMPRODUCT(--($R$8:$R$1207&lt;R658))+1,"")</f>
        <v/>
      </c>
      <c r="T658" s="11">
        <f>IF(K658=1,'ORDENES'!$J654,"")</f>
        <v/>
      </c>
    </row>
    <row r="659">
      <c r="K659" s="3">
        <f>IF(AND(IF($B$3="(todos)",TRUE,'ORDENES'!$O655=$B$3),IF($D$3="(todos)",TRUE,'ORDENES'!$AC655=$D$3),IF($F$3="(todos)",TRUE,'ORDENES'!$V655=$F$3),'ORDENES'!$AA655=TRUE,'ORDENES'!$A655&lt;&gt;""),1,0)</f>
        <v/>
      </c>
      <c r="L659" s="3">
        <f>IF(K659=1,IFERROR(MATCH('ORDENES'!$R655,lista_dias,0),9)*1000000000+IFERROR(MATCH('ORDENES'!$AC655,lista_turnos,0),9)*10000000+IFERROR(MATCH('ORDENES'!$AB655,'TECNICOS'!$B$4:$B$15,0),99)*100000+652,9000000000000+652)</f>
        <v/>
      </c>
      <c r="M659" s="3">
        <f>IF(K659=1,SUMPRODUCT(--($L$8:$L$1207&lt;L659))+1,"")</f>
        <v/>
      </c>
      <c r="N659" s="17">
        <f>IF(K659=1,N('ORDENES'!$M655),0)</f>
        <v/>
      </c>
      <c r="O659" s="17">
        <f>IF('ORDENES'!$S655="preventiva",N659,0)</f>
        <v/>
      </c>
      <c r="P659" s="17">
        <f>IF('ORDENES'!$S655="correctiva",N659,0)</f>
        <v/>
      </c>
      <c r="Q659" s="3">
        <f>IF(AND(K659=1,'ORDENES'!$N655="Pendiente"),1,0)</f>
        <v/>
      </c>
      <c r="R659" s="3">
        <f>IF(Q659=1,100000-N659*1000+652*0.01,9000000000000+652)</f>
        <v/>
      </c>
      <c r="S659" s="3">
        <f>IF(Q659=1,SUMPRODUCT(--($R$8:$R$1207&lt;R659))+1,"")</f>
        <v/>
      </c>
      <c r="T659" s="11">
        <f>IF(K659=1,'ORDENES'!$J655,"")</f>
        <v/>
      </c>
    </row>
    <row r="660">
      <c r="K660" s="3">
        <f>IF(AND(IF($B$3="(todos)",TRUE,'ORDENES'!$O656=$B$3),IF($D$3="(todos)",TRUE,'ORDENES'!$AC656=$D$3),IF($F$3="(todos)",TRUE,'ORDENES'!$V656=$F$3),'ORDENES'!$AA656=TRUE,'ORDENES'!$A656&lt;&gt;""),1,0)</f>
        <v/>
      </c>
      <c r="L660" s="3">
        <f>IF(K660=1,IFERROR(MATCH('ORDENES'!$R656,lista_dias,0),9)*1000000000+IFERROR(MATCH('ORDENES'!$AC656,lista_turnos,0),9)*10000000+IFERROR(MATCH('ORDENES'!$AB656,'TECNICOS'!$B$4:$B$15,0),99)*100000+653,9000000000000+653)</f>
        <v/>
      </c>
      <c r="M660" s="3">
        <f>IF(K660=1,SUMPRODUCT(--($L$8:$L$1207&lt;L660))+1,"")</f>
        <v/>
      </c>
      <c r="N660" s="17">
        <f>IF(K660=1,N('ORDENES'!$M656),0)</f>
        <v/>
      </c>
      <c r="O660" s="17">
        <f>IF('ORDENES'!$S656="preventiva",N660,0)</f>
        <v/>
      </c>
      <c r="P660" s="17">
        <f>IF('ORDENES'!$S656="correctiva",N660,0)</f>
        <v/>
      </c>
      <c r="Q660" s="3">
        <f>IF(AND(K660=1,'ORDENES'!$N656="Pendiente"),1,0)</f>
        <v/>
      </c>
      <c r="R660" s="3">
        <f>IF(Q660=1,100000-N660*1000+653*0.01,9000000000000+653)</f>
        <v/>
      </c>
      <c r="S660" s="3">
        <f>IF(Q660=1,SUMPRODUCT(--($R$8:$R$1207&lt;R660))+1,"")</f>
        <v/>
      </c>
      <c r="T660" s="11">
        <f>IF(K660=1,'ORDENES'!$J656,"")</f>
        <v/>
      </c>
    </row>
    <row r="661">
      <c r="K661" s="3">
        <f>IF(AND(IF($B$3="(todos)",TRUE,'ORDENES'!$O657=$B$3),IF($D$3="(todos)",TRUE,'ORDENES'!$AC657=$D$3),IF($F$3="(todos)",TRUE,'ORDENES'!$V657=$F$3),'ORDENES'!$AA657=TRUE,'ORDENES'!$A657&lt;&gt;""),1,0)</f>
        <v/>
      </c>
      <c r="L661" s="3">
        <f>IF(K661=1,IFERROR(MATCH('ORDENES'!$R657,lista_dias,0),9)*1000000000+IFERROR(MATCH('ORDENES'!$AC657,lista_turnos,0),9)*10000000+IFERROR(MATCH('ORDENES'!$AB657,'TECNICOS'!$B$4:$B$15,0),99)*100000+654,9000000000000+654)</f>
        <v/>
      </c>
      <c r="M661" s="3">
        <f>IF(K661=1,SUMPRODUCT(--($L$8:$L$1207&lt;L661))+1,"")</f>
        <v/>
      </c>
      <c r="N661" s="17">
        <f>IF(K661=1,N('ORDENES'!$M657),0)</f>
        <v/>
      </c>
      <c r="O661" s="17">
        <f>IF('ORDENES'!$S657="preventiva",N661,0)</f>
        <v/>
      </c>
      <c r="P661" s="17">
        <f>IF('ORDENES'!$S657="correctiva",N661,0)</f>
        <v/>
      </c>
      <c r="Q661" s="3">
        <f>IF(AND(K661=1,'ORDENES'!$N657="Pendiente"),1,0)</f>
        <v/>
      </c>
      <c r="R661" s="3">
        <f>IF(Q661=1,100000-N661*1000+654*0.01,9000000000000+654)</f>
        <v/>
      </c>
      <c r="S661" s="3">
        <f>IF(Q661=1,SUMPRODUCT(--($R$8:$R$1207&lt;R661))+1,"")</f>
        <v/>
      </c>
      <c r="T661" s="11">
        <f>IF(K661=1,'ORDENES'!$J657,"")</f>
        <v/>
      </c>
    </row>
    <row r="662">
      <c r="K662" s="3">
        <f>IF(AND(IF($B$3="(todos)",TRUE,'ORDENES'!$O658=$B$3),IF($D$3="(todos)",TRUE,'ORDENES'!$AC658=$D$3),IF($F$3="(todos)",TRUE,'ORDENES'!$V658=$F$3),'ORDENES'!$AA658=TRUE,'ORDENES'!$A658&lt;&gt;""),1,0)</f>
        <v/>
      </c>
      <c r="L662" s="3">
        <f>IF(K662=1,IFERROR(MATCH('ORDENES'!$R658,lista_dias,0),9)*1000000000+IFERROR(MATCH('ORDENES'!$AC658,lista_turnos,0),9)*10000000+IFERROR(MATCH('ORDENES'!$AB658,'TECNICOS'!$B$4:$B$15,0),99)*100000+655,9000000000000+655)</f>
        <v/>
      </c>
      <c r="M662" s="3">
        <f>IF(K662=1,SUMPRODUCT(--($L$8:$L$1207&lt;L662))+1,"")</f>
        <v/>
      </c>
      <c r="N662" s="17">
        <f>IF(K662=1,N('ORDENES'!$M658),0)</f>
        <v/>
      </c>
      <c r="O662" s="17">
        <f>IF('ORDENES'!$S658="preventiva",N662,0)</f>
        <v/>
      </c>
      <c r="P662" s="17">
        <f>IF('ORDENES'!$S658="correctiva",N662,0)</f>
        <v/>
      </c>
      <c r="Q662" s="3">
        <f>IF(AND(K662=1,'ORDENES'!$N658="Pendiente"),1,0)</f>
        <v/>
      </c>
      <c r="R662" s="3">
        <f>IF(Q662=1,100000-N662*1000+655*0.01,9000000000000+655)</f>
        <v/>
      </c>
      <c r="S662" s="3">
        <f>IF(Q662=1,SUMPRODUCT(--($R$8:$R$1207&lt;R662))+1,"")</f>
        <v/>
      </c>
      <c r="T662" s="11">
        <f>IF(K662=1,'ORDENES'!$J658,"")</f>
        <v/>
      </c>
    </row>
    <row r="663">
      <c r="K663" s="3">
        <f>IF(AND(IF($B$3="(todos)",TRUE,'ORDENES'!$O659=$B$3),IF($D$3="(todos)",TRUE,'ORDENES'!$AC659=$D$3),IF($F$3="(todos)",TRUE,'ORDENES'!$V659=$F$3),'ORDENES'!$AA659=TRUE,'ORDENES'!$A659&lt;&gt;""),1,0)</f>
        <v/>
      </c>
      <c r="L663" s="3">
        <f>IF(K663=1,IFERROR(MATCH('ORDENES'!$R659,lista_dias,0),9)*1000000000+IFERROR(MATCH('ORDENES'!$AC659,lista_turnos,0),9)*10000000+IFERROR(MATCH('ORDENES'!$AB659,'TECNICOS'!$B$4:$B$15,0),99)*100000+656,9000000000000+656)</f>
        <v/>
      </c>
      <c r="M663" s="3">
        <f>IF(K663=1,SUMPRODUCT(--($L$8:$L$1207&lt;L663))+1,"")</f>
        <v/>
      </c>
      <c r="N663" s="17">
        <f>IF(K663=1,N('ORDENES'!$M659),0)</f>
        <v/>
      </c>
      <c r="O663" s="17">
        <f>IF('ORDENES'!$S659="preventiva",N663,0)</f>
        <v/>
      </c>
      <c r="P663" s="17">
        <f>IF('ORDENES'!$S659="correctiva",N663,0)</f>
        <v/>
      </c>
      <c r="Q663" s="3">
        <f>IF(AND(K663=1,'ORDENES'!$N659="Pendiente"),1,0)</f>
        <v/>
      </c>
      <c r="R663" s="3">
        <f>IF(Q663=1,100000-N663*1000+656*0.01,9000000000000+656)</f>
        <v/>
      </c>
      <c r="S663" s="3">
        <f>IF(Q663=1,SUMPRODUCT(--($R$8:$R$1207&lt;R663))+1,"")</f>
        <v/>
      </c>
      <c r="T663" s="11">
        <f>IF(K663=1,'ORDENES'!$J659,"")</f>
        <v/>
      </c>
    </row>
    <row r="664">
      <c r="K664" s="3">
        <f>IF(AND(IF($B$3="(todos)",TRUE,'ORDENES'!$O660=$B$3),IF($D$3="(todos)",TRUE,'ORDENES'!$AC660=$D$3),IF($F$3="(todos)",TRUE,'ORDENES'!$V660=$F$3),'ORDENES'!$AA660=TRUE,'ORDENES'!$A660&lt;&gt;""),1,0)</f>
        <v/>
      </c>
      <c r="L664" s="3">
        <f>IF(K664=1,IFERROR(MATCH('ORDENES'!$R660,lista_dias,0),9)*1000000000+IFERROR(MATCH('ORDENES'!$AC660,lista_turnos,0),9)*10000000+IFERROR(MATCH('ORDENES'!$AB660,'TECNICOS'!$B$4:$B$15,0),99)*100000+657,9000000000000+657)</f>
        <v/>
      </c>
      <c r="M664" s="3">
        <f>IF(K664=1,SUMPRODUCT(--($L$8:$L$1207&lt;L664))+1,"")</f>
        <v/>
      </c>
      <c r="N664" s="17">
        <f>IF(K664=1,N('ORDENES'!$M660),0)</f>
        <v/>
      </c>
      <c r="O664" s="17">
        <f>IF('ORDENES'!$S660="preventiva",N664,0)</f>
        <v/>
      </c>
      <c r="P664" s="17">
        <f>IF('ORDENES'!$S660="correctiva",N664,0)</f>
        <v/>
      </c>
      <c r="Q664" s="3">
        <f>IF(AND(K664=1,'ORDENES'!$N660="Pendiente"),1,0)</f>
        <v/>
      </c>
      <c r="R664" s="3">
        <f>IF(Q664=1,100000-N664*1000+657*0.01,9000000000000+657)</f>
        <v/>
      </c>
      <c r="S664" s="3">
        <f>IF(Q664=1,SUMPRODUCT(--($R$8:$R$1207&lt;R664))+1,"")</f>
        <v/>
      </c>
      <c r="T664" s="11">
        <f>IF(K664=1,'ORDENES'!$J660,"")</f>
        <v/>
      </c>
    </row>
    <row r="665">
      <c r="K665" s="3">
        <f>IF(AND(IF($B$3="(todos)",TRUE,'ORDENES'!$O661=$B$3),IF($D$3="(todos)",TRUE,'ORDENES'!$AC661=$D$3),IF($F$3="(todos)",TRUE,'ORDENES'!$V661=$F$3),'ORDENES'!$AA661=TRUE,'ORDENES'!$A661&lt;&gt;""),1,0)</f>
        <v/>
      </c>
      <c r="L665" s="3">
        <f>IF(K665=1,IFERROR(MATCH('ORDENES'!$R661,lista_dias,0),9)*1000000000+IFERROR(MATCH('ORDENES'!$AC661,lista_turnos,0),9)*10000000+IFERROR(MATCH('ORDENES'!$AB661,'TECNICOS'!$B$4:$B$15,0),99)*100000+658,9000000000000+658)</f>
        <v/>
      </c>
      <c r="M665" s="3">
        <f>IF(K665=1,SUMPRODUCT(--($L$8:$L$1207&lt;L665))+1,"")</f>
        <v/>
      </c>
      <c r="N665" s="17">
        <f>IF(K665=1,N('ORDENES'!$M661),0)</f>
        <v/>
      </c>
      <c r="O665" s="17">
        <f>IF('ORDENES'!$S661="preventiva",N665,0)</f>
        <v/>
      </c>
      <c r="P665" s="17">
        <f>IF('ORDENES'!$S661="correctiva",N665,0)</f>
        <v/>
      </c>
      <c r="Q665" s="3">
        <f>IF(AND(K665=1,'ORDENES'!$N661="Pendiente"),1,0)</f>
        <v/>
      </c>
      <c r="R665" s="3">
        <f>IF(Q665=1,100000-N665*1000+658*0.01,9000000000000+658)</f>
        <v/>
      </c>
      <c r="S665" s="3">
        <f>IF(Q665=1,SUMPRODUCT(--($R$8:$R$1207&lt;R665))+1,"")</f>
        <v/>
      </c>
      <c r="T665" s="11">
        <f>IF(K665=1,'ORDENES'!$J661,"")</f>
        <v/>
      </c>
    </row>
    <row r="666">
      <c r="K666" s="3">
        <f>IF(AND(IF($B$3="(todos)",TRUE,'ORDENES'!$O662=$B$3),IF($D$3="(todos)",TRUE,'ORDENES'!$AC662=$D$3),IF($F$3="(todos)",TRUE,'ORDENES'!$V662=$F$3),'ORDENES'!$AA662=TRUE,'ORDENES'!$A662&lt;&gt;""),1,0)</f>
        <v/>
      </c>
      <c r="L666" s="3">
        <f>IF(K666=1,IFERROR(MATCH('ORDENES'!$R662,lista_dias,0),9)*1000000000+IFERROR(MATCH('ORDENES'!$AC662,lista_turnos,0),9)*10000000+IFERROR(MATCH('ORDENES'!$AB662,'TECNICOS'!$B$4:$B$15,0),99)*100000+659,9000000000000+659)</f>
        <v/>
      </c>
      <c r="M666" s="3">
        <f>IF(K666=1,SUMPRODUCT(--($L$8:$L$1207&lt;L666))+1,"")</f>
        <v/>
      </c>
      <c r="N666" s="17">
        <f>IF(K666=1,N('ORDENES'!$M662),0)</f>
        <v/>
      </c>
      <c r="O666" s="17">
        <f>IF('ORDENES'!$S662="preventiva",N666,0)</f>
        <v/>
      </c>
      <c r="P666" s="17">
        <f>IF('ORDENES'!$S662="correctiva",N666,0)</f>
        <v/>
      </c>
      <c r="Q666" s="3">
        <f>IF(AND(K666=1,'ORDENES'!$N662="Pendiente"),1,0)</f>
        <v/>
      </c>
      <c r="R666" s="3">
        <f>IF(Q666=1,100000-N666*1000+659*0.01,9000000000000+659)</f>
        <v/>
      </c>
      <c r="S666" s="3">
        <f>IF(Q666=1,SUMPRODUCT(--($R$8:$R$1207&lt;R666))+1,"")</f>
        <v/>
      </c>
      <c r="T666" s="11">
        <f>IF(K666=1,'ORDENES'!$J662,"")</f>
        <v/>
      </c>
    </row>
    <row r="667">
      <c r="K667" s="3">
        <f>IF(AND(IF($B$3="(todos)",TRUE,'ORDENES'!$O663=$B$3),IF($D$3="(todos)",TRUE,'ORDENES'!$AC663=$D$3),IF($F$3="(todos)",TRUE,'ORDENES'!$V663=$F$3),'ORDENES'!$AA663=TRUE,'ORDENES'!$A663&lt;&gt;""),1,0)</f>
        <v/>
      </c>
      <c r="L667" s="3">
        <f>IF(K667=1,IFERROR(MATCH('ORDENES'!$R663,lista_dias,0),9)*1000000000+IFERROR(MATCH('ORDENES'!$AC663,lista_turnos,0),9)*10000000+IFERROR(MATCH('ORDENES'!$AB663,'TECNICOS'!$B$4:$B$15,0),99)*100000+660,9000000000000+660)</f>
        <v/>
      </c>
      <c r="M667" s="3">
        <f>IF(K667=1,SUMPRODUCT(--($L$8:$L$1207&lt;L667))+1,"")</f>
        <v/>
      </c>
      <c r="N667" s="17">
        <f>IF(K667=1,N('ORDENES'!$M663),0)</f>
        <v/>
      </c>
      <c r="O667" s="17">
        <f>IF('ORDENES'!$S663="preventiva",N667,0)</f>
        <v/>
      </c>
      <c r="P667" s="17">
        <f>IF('ORDENES'!$S663="correctiva",N667,0)</f>
        <v/>
      </c>
      <c r="Q667" s="3">
        <f>IF(AND(K667=1,'ORDENES'!$N663="Pendiente"),1,0)</f>
        <v/>
      </c>
      <c r="R667" s="3">
        <f>IF(Q667=1,100000-N667*1000+660*0.01,9000000000000+660)</f>
        <v/>
      </c>
      <c r="S667" s="3">
        <f>IF(Q667=1,SUMPRODUCT(--($R$8:$R$1207&lt;R667))+1,"")</f>
        <v/>
      </c>
      <c r="T667" s="11">
        <f>IF(K667=1,'ORDENES'!$J663,"")</f>
        <v/>
      </c>
    </row>
    <row r="668">
      <c r="K668" s="3">
        <f>IF(AND(IF($B$3="(todos)",TRUE,'ORDENES'!$O664=$B$3),IF($D$3="(todos)",TRUE,'ORDENES'!$AC664=$D$3),IF($F$3="(todos)",TRUE,'ORDENES'!$V664=$F$3),'ORDENES'!$AA664=TRUE,'ORDENES'!$A664&lt;&gt;""),1,0)</f>
        <v/>
      </c>
      <c r="L668" s="3">
        <f>IF(K668=1,IFERROR(MATCH('ORDENES'!$R664,lista_dias,0),9)*1000000000+IFERROR(MATCH('ORDENES'!$AC664,lista_turnos,0),9)*10000000+IFERROR(MATCH('ORDENES'!$AB664,'TECNICOS'!$B$4:$B$15,0),99)*100000+661,9000000000000+661)</f>
        <v/>
      </c>
      <c r="M668" s="3">
        <f>IF(K668=1,SUMPRODUCT(--($L$8:$L$1207&lt;L668))+1,"")</f>
        <v/>
      </c>
      <c r="N668" s="17">
        <f>IF(K668=1,N('ORDENES'!$M664),0)</f>
        <v/>
      </c>
      <c r="O668" s="17">
        <f>IF('ORDENES'!$S664="preventiva",N668,0)</f>
        <v/>
      </c>
      <c r="P668" s="17">
        <f>IF('ORDENES'!$S664="correctiva",N668,0)</f>
        <v/>
      </c>
      <c r="Q668" s="3">
        <f>IF(AND(K668=1,'ORDENES'!$N664="Pendiente"),1,0)</f>
        <v/>
      </c>
      <c r="R668" s="3">
        <f>IF(Q668=1,100000-N668*1000+661*0.01,9000000000000+661)</f>
        <v/>
      </c>
      <c r="S668" s="3">
        <f>IF(Q668=1,SUMPRODUCT(--($R$8:$R$1207&lt;R668))+1,"")</f>
        <v/>
      </c>
      <c r="T668" s="11">
        <f>IF(K668=1,'ORDENES'!$J664,"")</f>
        <v/>
      </c>
    </row>
    <row r="669">
      <c r="K669" s="3">
        <f>IF(AND(IF($B$3="(todos)",TRUE,'ORDENES'!$O665=$B$3),IF($D$3="(todos)",TRUE,'ORDENES'!$AC665=$D$3),IF($F$3="(todos)",TRUE,'ORDENES'!$V665=$F$3),'ORDENES'!$AA665=TRUE,'ORDENES'!$A665&lt;&gt;""),1,0)</f>
        <v/>
      </c>
      <c r="L669" s="3">
        <f>IF(K669=1,IFERROR(MATCH('ORDENES'!$R665,lista_dias,0),9)*1000000000+IFERROR(MATCH('ORDENES'!$AC665,lista_turnos,0),9)*10000000+IFERROR(MATCH('ORDENES'!$AB665,'TECNICOS'!$B$4:$B$15,0),99)*100000+662,9000000000000+662)</f>
        <v/>
      </c>
      <c r="M669" s="3">
        <f>IF(K669=1,SUMPRODUCT(--($L$8:$L$1207&lt;L669))+1,"")</f>
        <v/>
      </c>
      <c r="N669" s="17">
        <f>IF(K669=1,N('ORDENES'!$M665),0)</f>
        <v/>
      </c>
      <c r="O669" s="17">
        <f>IF('ORDENES'!$S665="preventiva",N669,0)</f>
        <v/>
      </c>
      <c r="P669" s="17">
        <f>IF('ORDENES'!$S665="correctiva",N669,0)</f>
        <v/>
      </c>
      <c r="Q669" s="3">
        <f>IF(AND(K669=1,'ORDENES'!$N665="Pendiente"),1,0)</f>
        <v/>
      </c>
      <c r="R669" s="3">
        <f>IF(Q669=1,100000-N669*1000+662*0.01,9000000000000+662)</f>
        <v/>
      </c>
      <c r="S669" s="3">
        <f>IF(Q669=1,SUMPRODUCT(--($R$8:$R$1207&lt;R669))+1,"")</f>
        <v/>
      </c>
      <c r="T669" s="11">
        <f>IF(K669=1,'ORDENES'!$J665,"")</f>
        <v/>
      </c>
    </row>
    <row r="670">
      <c r="K670" s="3">
        <f>IF(AND(IF($B$3="(todos)",TRUE,'ORDENES'!$O666=$B$3),IF($D$3="(todos)",TRUE,'ORDENES'!$AC666=$D$3),IF($F$3="(todos)",TRUE,'ORDENES'!$V666=$F$3),'ORDENES'!$AA666=TRUE,'ORDENES'!$A666&lt;&gt;""),1,0)</f>
        <v/>
      </c>
      <c r="L670" s="3">
        <f>IF(K670=1,IFERROR(MATCH('ORDENES'!$R666,lista_dias,0),9)*1000000000+IFERROR(MATCH('ORDENES'!$AC666,lista_turnos,0),9)*10000000+IFERROR(MATCH('ORDENES'!$AB666,'TECNICOS'!$B$4:$B$15,0),99)*100000+663,9000000000000+663)</f>
        <v/>
      </c>
      <c r="M670" s="3">
        <f>IF(K670=1,SUMPRODUCT(--($L$8:$L$1207&lt;L670))+1,"")</f>
        <v/>
      </c>
      <c r="N670" s="17">
        <f>IF(K670=1,N('ORDENES'!$M666),0)</f>
        <v/>
      </c>
      <c r="O670" s="17">
        <f>IF('ORDENES'!$S666="preventiva",N670,0)</f>
        <v/>
      </c>
      <c r="P670" s="17">
        <f>IF('ORDENES'!$S666="correctiva",N670,0)</f>
        <v/>
      </c>
      <c r="Q670" s="3">
        <f>IF(AND(K670=1,'ORDENES'!$N666="Pendiente"),1,0)</f>
        <v/>
      </c>
      <c r="R670" s="3">
        <f>IF(Q670=1,100000-N670*1000+663*0.01,9000000000000+663)</f>
        <v/>
      </c>
      <c r="S670" s="3">
        <f>IF(Q670=1,SUMPRODUCT(--($R$8:$R$1207&lt;R670))+1,"")</f>
        <v/>
      </c>
      <c r="T670" s="11">
        <f>IF(K670=1,'ORDENES'!$J666,"")</f>
        <v/>
      </c>
    </row>
    <row r="671">
      <c r="K671" s="3">
        <f>IF(AND(IF($B$3="(todos)",TRUE,'ORDENES'!$O667=$B$3),IF($D$3="(todos)",TRUE,'ORDENES'!$AC667=$D$3),IF($F$3="(todos)",TRUE,'ORDENES'!$V667=$F$3),'ORDENES'!$AA667=TRUE,'ORDENES'!$A667&lt;&gt;""),1,0)</f>
        <v/>
      </c>
      <c r="L671" s="3">
        <f>IF(K671=1,IFERROR(MATCH('ORDENES'!$R667,lista_dias,0),9)*1000000000+IFERROR(MATCH('ORDENES'!$AC667,lista_turnos,0),9)*10000000+IFERROR(MATCH('ORDENES'!$AB667,'TECNICOS'!$B$4:$B$15,0),99)*100000+664,9000000000000+664)</f>
        <v/>
      </c>
      <c r="M671" s="3">
        <f>IF(K671=1,SUMPRODUCT(--($L$8:$L$1207&lt;L671))+1,"")</f>
        <v/>
      </c>
      <c r="N671" s="17">
        <f>IF(K671=1,N('ORDENES'!$M667),0)</f>
        <v/>
      </c>
      <c r="O671" s="17">
        <f>IF('ORDENES'!$S667="preventiva",N671,0)</f>
        <v/>
      </c>
      <c r="P671" s="17">
        <f>IF('ORDENES'!$S667="correctiva",N671,0)</f>
        <v/>
      </c>
      <c r="Q671" s="3">
        <f>IF(AND(K671=1,'ORDENES'!$N667="Pendiente"),1,0)</f>
        <v/>
      </c>
      <c r="R671" s="3">
        <f>IF(Q671=1,100000-N671*1000+664*0.01,9000000000000+664)</f>
        <v/>
      </c>
      <c r="S671" s="3">
        <f>IF(Q671=1,SUMPRODUCT(--($R$8:$R$1207&lt;R671))+1,"")</f>
        <v/>
      </c>
      <c r="T671" s="11">
        <f>IF(K671=1,'ORDENES'!$J667,"")</f>
        <v/>
      </c>
    </row>
    <row r="672">
      <c r="K672" s="3">
        <f>IF(AND(IF($B$3="(todos)",TRUE,'ORDENES'!$O668=$B$3),IF($D$3="(todos)",TRUE,'ORDENES'!$AC668=$D$3),IF($F$3="(todos)",TRUE,'ORDENES'!$V668=$F$3),'ORDENES'!$AA668=TRUE,'ORDENES'!$A668&lt;&gt;""),1,0)</f>
        <v/>
      </c>
      <c r="L672" s="3">
        <f>IF(K672=1,IFERROR(MATCH('ORDENES'!$R668,lista_dias,0),9)*1000000000+IFERROR(MATCH('ORDENES'!$AC668,lista_turnos,0),9)*10000000+IFERROR(MATCH('ORDENES'!$AB668,'TECNICOS'!$B$4:$B$15,0),99)*100000+665,9000000000000+665)</f>
        <v/>
      </c>
      <c r="M672" s="3">
        <f>IF(K672=1,SUMPRODUCT(--($L$8:$L$1207&lt;L672))+1,"")</f>
        <v/>
      </c>
      <c r="N672" s="17">
        <f>IF(K672=1,N('ORDENES'!$M668),0)</f>
        <v/>
      </c>
      <c r="O672" s="17">
        <f>IF('ORDENES'!$S668="preventiva",N672,0)</f>
        <v/>
      </c>
      <c r="P672" s="17">
        <f>IF('ORDENES'!$S668="correctiva",N672,0)</f>
        <v/>
      </c>
      <c r="Q672" s="3">
        <f>IF(AND(K672=1,'ORDENES'!$N668="Pendiente"),1,0)</f>
        <v/>
      </c>
      <c r="R672" s="3">
        <f>IF(Q672=1,100000-N672*1000+665*0.01,9000000000000+665)</f>
        <v/>
      </c>
      <c r="S672" s="3">
        <f>IF(Q672=1,SUMPRODUCT(--($R$8:$R$1207&lt;R672))+1,"")</f>
        <v/>
      </c>
      <c r="T672" s="11">
        <f>IF(K672=1,'ORDENES'!$J668,"")</f>
        <v/>
      </c>
    </row>
    <row r="673">
      <c r="K673" s="3">
        <f>IF(AND(IF($B$3="(todos)",TRUE,'ORDENES'!$O669=$B$3),IF($D$3="(todos)",TRUE,'ORDENES'!$AC669=$D$3),IF($F$3="(todos)",TRUE,'ORDENES'!$V669=$F$3),'ORDENES'!$AA669=TRUE,'ORDENES'!$A669&lt;&gt;""),1,0)</f>
        <v/>
      </c>
      <c r="L673" s="3">
        <f>IF(K673=1,IFERROR(MATCH('ORDENES'!$R669,lista_dias,0),9)*1000000000+IFERROR(MATCH('ORDENES'!$AC669,lista_turnos,0),9)*10000000+IFERROR(MATCH('ORDENES'!$AB669,'TECNICOS'!$B$4:$B$15,0),99)*100000+666,9000000000000+666)</f>
        <v/>
      </c>
      <c r="M673" s="3">
        <f>IF(K673=1,SUMPRODUCT(--($L$8:$L$1207&lt;L673))+1,"")</f>
        <v/>
      </c>
      <c r="N673" s="17">
        <f>IF(K673=1,N('ORDENES'!$M669),0)</f>
        <v/>
      </c>
      <c r="O673" s="17">
        <f>IF('ORDENES'!$S669="preventiva",N673,0)</f>
        <v/>
      </c>
      <c r="P673" s="17">
        <f>IF('ORDENES'!$S669="correctiva",N673,0)</f>
        <v/>
      </c>
      <c r="Q673" s="3">
        <f>IF(AND(K673=1,'ORDENES'!$N669="Pendiente"),1,0)</f>
        <v/>
      </c>
      <c r="R673" s="3">
        <f>IF(Q673=1,100000-N673*1000+666*0.01,9000000000000+666)</f>
        <v/>
      </c>
      <c r="S673" s="3">
        <f>IF(Q673=1,SUMPRODUCT(--($R$8:$R$1207&lt;R673))+1,"")</f>
        <v/>
      </c>
      <c r="T673" s="11">
        <f>IF(K673=1,'ORDENES'!$J669,"")</f>
        <v/>
      </c>
    </row>
    <row r="674">
      <c r="K674" s="3">
        <f>IF(AND(IF($B$3="(todos)",TRUE,'ORDENES'!$O670=$B$3),IF($D$3="(todos)",TRUE,'ORDENES'!$AC670=$D$3),IF($F$3="(todos)",TRUE,'ORDENES'!$V670=$F$3),'ORDENES'!$AA670=TRUE,'ORDENES'!$A670&lt;&gt;""),1,0)</f>
        <v/>
      </c>
      <c r="L674" s="3">
        <f>IF(K674=1,IFERROR(MATCH('ORDENES'!$R670,lista_dias,0),9)*1000000000+IFERROR(MATCH('ORDENES'!$AC670,lista_turnos,0),9)*10000000+IFERROR(MATCH('ORDENES'!$AB670,'TECNICOS'!$B$4:$B$15,0),99)*100000+667,9000000000000+667)</f>
        <v/>
      </c>
      <c r="M674" s="3">
        <f>IF(K674=1,SUMPRODUCT(--($L$8:$L$1207&lt;L674))+1,"")</f>
        <v/>
      </c>
      <c r="N674" s="17">
        <f>IF(K674=1,N('ORDENES'!$M670),0)</f>
        <v/>
      </c>
      <c r="O674" s="17">
        <f>IF('ORDENES'!$S670="preventiva",N674,0)</f>
        <v/>
      </c>
      <c r="P674" s="17">
        <f>IF('ORDENES'!$S670="correctiva",N674,0)</f>
        <v/>
      </c>
      <c r="Q674" s="3">
        <f>IF(AND(K674=1,'ORDENES'!$N670="Pendiente"),1,0)</f>
        <v/>
      </c>
      <c r="R674" s="3">
        <f>IF(Q674=1,100000-N674*1000+667*0.01,9000000000000+667)</f>
        <v/>
      </c>
      <c r="S674" s="3">
        <f>IF(Q674=1,SUMPRODUCT(--($R$8:$R$1207&lt;R674))+1,"")</f>
        <v/>
      </c>
      <c r="T674" s="11">
        <f>IF(K674=1,'ORDENES'!$J670,"")</f>
        <v/>
      </c>
    </row>
    <row r="675">
      <c r="K675" s="3">
        <f>IF(AND(IF($B$3="(todos)",TRUE,'ORDENES'!$O671=$B$3),IF($D$3="(todos)",TRUE,'ORDENES'!$AC671=$D$3),IF($F$3="(todos)",TRUE,'ORDENES'!$V671=$F$3),'ORDENES'!$AA671=TRUE,'ORDENES'!$A671&lt;&gt;""),1,0)</f>
        <v/>
      </c>
      <c r="L675" s="3">
        <f>IF(K675=1,IFERROR(MATCH('ORDENES'!$R671,lista_dias,0),9)*1000000000+IFERROR(MATCH('ORDENES'!$AC671,lista_turnos,0),9)*10000000+IFERROR(MATCH('ORDENES'!$AB671,'TECNICOS'!$B$4:$B$15,0),99)*100000+668,9000000000000+668)</f>
        <v/>
      </c>
      <c r="M675" s="3">
        <f>IF(K675=1,SUMPRODUCT(--($L$8:$L$1207&lt;L675))+1,"")</f>
        <v/>
      </c>
      <c r="N675" s="17">
        <f>IF(K675=1,N('ORDENES'!$M671),0)</f>
        <v/>
      </c>
      <c r="O675" s="17">
        <f>IF('ORDENES'!$S671="preventiva",N675,0)</f>
        <v/>
      </c>
      <c r="P675" s="17">
        <f>IF('ORDENES'!$S671="correctiva",N675,0)</f>
        <v/>
      </c>
      <c r="Q675" s="3">
        <f>IF(AND(K675=1,'ORDENES'!$N671="Pendiente"),1,0)</f>
        <v/>
      </c>
      <c r="R675" s="3">
        <f>IF(Q675=1,100000-N675*1000+668*0.01,9000000000000+668)</f>
        <v/>
      </c>
      <c r="S675" s="3">
        <f>IF(Q675=1,SUMPRODUCT(--($R$8:$R$1207&lt;R675))+1,"")</f>
        <v/>
      </c>
      <c r="T675" s="11">
        <f>IF(K675=1,'ORDENES'!$J671,"")</f>
        <v/>
      </c>
    </row>
    <row r="676">
      <c r="K676" s="3">
        <f>IF(AND(IF($B$3="(todos)",TRUE,'ORDENES'!$O672=$B$3),IF($D$3="(todos)",TRUE,'ORDENES'!$AC672=$D$3),IF($F$3="(todos)",TRUE,'ORDENES'!$V672=$F$3),'ORDENES'!$AA672=TRUE,'ORDENES'!$A672&lt;&gt;""),1,0)</f>
        <v/>
      </c>
      <c r="L676" s="3">
        <f>IF(K676=1,IFERROR(MATCH('ORDENES'!$R672,lista_dias,0),9)*1000000000+IFERROR(MATCH('ORDENES'!$AC672,lista_turnos,0),9)*10000000+IFERROR(MATCH('ORDENES'!$AB672,'TECNICOS'!$B$4:$B$15,0),99)*100000+669,9000000000000+669)</f>
        <v/>
      </c>
      <c r="M676" s="3">
        <f>IF(K676=1,SUMPRODUCT(--($L$8:$L$1207&lt;L676))+1,"")</f>
        <v/>
      </c>
      <c r="N676" s="17">
        <f>IF(K676=1,N('ORDENES'!$M672),0)</f>
        <v/>
      </c>
      <c r="O676" s="17">
        <f>IF('ORDENES'!$S672="preventiva",N676,0)</f>
        <v/>
      </c>
      <c r="P676" s="17">
        <f>IF('ORDENES'!$S672="correctiva",N676,0)</f>
        <v/>
      </c>
      <c r="Q676" s="3">
        <f>IF(AND(K676=1,'ORDENES'!$N672="Pendiente"),1,0)</f>
        <v/>
      </c>
      <c r="R676" s="3">
        <f>IF(Q676=1,100000-N676*1000+669*0.01,9000000000000+669)</f>
        <v/>
      </c>
      <c r="S676" s="3">
        <f>IF(Q676=1,SUMPRODUCT(--($R$8:$R$1207&lt;R676))+1,"")</f>
        <v/>
      </c>
      <c r="T676" s="11">
        <f>IF(K676=1,'ORDENES'!$J672,"")</f>
        <v/>
      </c>
    </row>
    <row r="677">
      <c r="K677" s="3">
        <f>IF(AND(IF($B$3="(todos)",TRUE,'ORDENES'!$O673=$B$3),IF($D$3="(todos)",TRUE,'ORDENES'!$AC673=$D$3),IF($F$3="(todos)",TRUE,'ORDENES'!$V673=$F$3),'ORDENES'!$AA673=TRUE,'ORDENES'!$A673&lt;&gt;""),1,0)</f>
        <v/>
      </c>
      <c r="L677" s="3">
        <f>IF(K677=1,IFERROR(MATCH('ORDENES'!$R673,lista_dias,0),9)*1000000000+IFERROR(MATCH('ORDENES'!$AC673,lista_turnos,0),9)*10000000+IFERROR(MATCH('ORDENES'!$AB673,'TECNICOS'!$B$4:$B$15,0),99)*100000+670,9000000000000+670)</f>
        <v/>
      </c>
      <c r="M677" s="3">
        <f>IF(K677=1,SUMPRODUCT(--($L$8:$L$1207&lt;L677))+1,"")</f>
        <v/>
      </c>
      <c r="N677" s="17">
        <f>IF(K677=1,N('ORDENES'!$M673),0)</f>
        <v/>
      </c>
      <c r="O677" s="17">
        <f>IF('ORDENES'!$S673="preventiva",N677,0)</f>
        <v/>
      </c>
      <c r="P677" s="17">
        <f>IF('ORDENES'!$S673="correctiva",N677,0)</f>
        <v/>
      </c>
      <c r="Q677" s="3">
        <f>IF(AND(K677=1,'ORDENES'!$N673="Pendiente"),1,0)</f>
        <v/>
      </c>
      <c r="R677" s="3">
        <f>IF(Q677=1,100000-N677*1000+670*0.01,9000000000000+670)</f>
        <v/>
      </c>
      <c r="S677" s="3">
        <f>IF(Q677=1,SUMPRODUCT(--($R$8:$R$1207&lt;R677))+1,"")</f>
        <v/>
      </c>
      <c r="T677" s="11">
        <f>IF(K677=1,'ORDENES'!$J673,"")</f>
        <v/>
      </c>
    </row>
    <row r="678">
      <c r="K678" s="3">
        <f>IF(AND(IF($B$3="(todos)",TRUE,'ORDENES'!$O674=$B$3),IF($D$3="(todos)",TRUE,'ORDENES'!$AC674=$D$3),IF($F$3="(todos)",TRUE,'ORDENES'!$V674=$F$3),'ORDENES'!$AA674=TRUE,'ORDENES'!$A674&lt;&gt;""),1,0)</f>
        <v/>
      </c>
      <c r="L678" s="3">
        <f>IF(K678=1,IFERROR(MATCH('ORDENES'!$R674,lista_dias,0),9)*1000000000+IFERROR(MATCH('ORDENES'!$AC674,lista_turnos,0),9)*10000000+IFERROR(MATCH('ORDENES'!$AB674,'TECNICOS'!$B$4:$B$15,0),99)*100000+671,9000000000000+671)</f>
        <v/>
      </c>
      <c r="M678" s="3">
        <f>IF(K678=1,SUMPRODUCT(--($L$8:$L$1207&lt;L678))+1,"")</f>
        <v/>
      </c>
      <c r="N678" s="17">
        <f>IF(K678=1,N('ORDENES'!$M674),0)</f>
        <v/>
      </c>
      <c r="O678" s="17">
        <f>IF('ORDENES'!$S674="preventiva",N678,0)</f>
        <v/>
      </c>
      <c r="P678" s="17">
        <f>IF('ORDENES'!$S674="correctiva",N678,0)</f>
        <v/>
      </c>
      <c r="Q678" s="3">
        <f>IF(AND(K678=1,'ORDENES'!$N674="Pendiente"),1,0)</f>
        <v/>
      </c>
      <c r="R678" s="3">
        <f>IF(Q678=1,100000-N678*1000+671*0.01,9000000000000+671)</f>
        <v/>
      </c>
      <c r="S678" s="3">
        <f>IF(Q678=1,SUMPRODUCT(--($R$8:$R$1207&lt;R678))+1,"")</f>
        <v/>
      </c>
      <c r="T678" s="11">
        <f>IF(K678=1,'ORDENES'!$J674,"")</f>
        <v/>
      </c>
    </row>
    <row r="679">
      <c r="K679" s="3">
        <f>IF(AND(IF($B$3="(todos)",TRUE,'ORDENES'!$O675=$B$3),IF($D$3="(todos)",TRUE,'ORDENES'!$AC675=$D$3),IF($F$3="(todos)",TRUE,'ORDENES'!$V675=$F$3),'ORDENES'!$AA675=TRUE,'ORDENES'!$A675&lt;&gt;""),1,0)</f>
        <v/>
      </c>
      <c r="L679" s="3">
        <f>IF(K679=1,IFERROR(MATCH('ORDENES'!$R675,lista_dias,0),9)*1000000000+IFERROR(MATCH('ORDENES'!$AC675,lista_turnos,0),9)*10000000+IFERROR(MATCH('ORDENES'!$AB675,'TECNICOS'!$B$4:$B$15,0),99)*100000+672,9000000000000+672)</f>
        <v/>
      </c>
      <c r="M679" s="3">
        <f>IF(K679=1,SUMPRODUCT(--($L$8:$L$1207&lt;L679))+1,"")</f>
        <v/>
      </c>
      <c r="N679" s="17">
        <f>IF(K679=1,N('ORDENES'!$M675),0)</f>
        <v/>
      </c>
      <c r="O679" s="17">
        <f>IF('ORDENES'!$S675="preventiva",N679,0)</f>
        <v/>
      </c>
      <c r="P679" s="17">
        <f>IF('ORDENES'!$S675="correctiva",N679,0)</f>
        <v/>
      </c>
      <c r="Q679" s="3">
        <f>IF(AND(K679=1,'ORDENES'!$N675="Pendiente"),1,0)</f>
        <v/>
      </c>
      <c r="R679" s="3">
        <f>IF(Q679=1,100000-N679*1000+672*0.01,9000000000000+672)</f>
        <v/>
      </c>
      <c r="S679" s="3">
        <f>IF(Q679=1,SUMPRODUCT(--($R$8:$R$1207&lt;R679))+1,"")</f>
        <v/>
      </c>
      <c r="T679" s="11">
        <f>IF(K679=1,'ORDENES'!$J675,"")</f>
        <v/>
      </c>
    </row>
    <row r="680">
      <c r="K680" s="3">
        <f>IF(AND(IF($B$3="(todos)",TRUE,'ORDENES'!$O676=$B$3),IF($D$3="(todos)",TRUE,'ORDENES'!$AC676=$D$3),IF($F$3="(todos)",TRUE,'ORDENES'!$V676=$F$3),'ORDENES'!$AA676=TRUE,'ORDENES'!$A676&lt;&gt;""),1,0)</f>
        <v/>
      </c>
      <c r="L680" s="3">
        <f>IF(K680=1,IFERROR(MATCH('ORDENES'!$R676,lista_dias,0),9)*1000000000+IFERROR(MATCH('ORDENES'!$AC676,lista_turnos,0),9)*10000000+IFERROR(MATCH('ORDENES'!$AB676,'TECNICOS'!$B$4:$B$15,0),99)*100000+673,9000000000000+673)</f>
        <v/>
      </c>
      <c r="M680" s="3">
        <f>IF(K680=1,SUMPRODUCT(--($L$8:$L$1207&lt;L680))+1,"")</f>
        <v/>
      </c>
      <c r="N680" s="17">
        <f>IF(K680=1,N('ORDENES'!$M676),0)</f>
        <v/>
      </c>
      <c r="O680" s="17">
        <f>IF('ORDENES'!$S676="preventiva",N680,0)</f>
        <v/>
      </c>
      <c r="P680" s="17">
        <f>IF('ORDENES'!$S676="correctiva",N680,0)</f>
        <v/>
      </c>
      <c r="Q680" s="3">
        <f>IF(AND(K680=1,'ORDENES'!$N676="Pendiente"),1,0)</f>
        <v/>
      </c>
      <c r="R680" s="3">
        <f>IF(Q680=1,100000-N680*1000+673*0.01,9000000000000+673)</f>
        <v/>
      </c>
      <c r="S680" s="3">
        <f>IF(Q680=1,SUMPRODUCT(--($R$8:$R$1207&lt;R680))+1,"")</f>
        <v/>
      </c>
      <c r="T680" s="11">
        <f>IF(K680=1,'ORDENES'!$J676,"")</f>
        <v/>
      </c>
    </row>
    <row r="681">
      <c r="K681" s="3">
        <f>IF(AND(IF($B$3="(todos)",TRUE,'ORDENES'!$O677=$B$3),IF($D$3="(todos)",TRUE,'ORDENES'!$AC677=$D$3),IF($F$3="(todos)",TRUE,'ORDENES'!$V677=$F$3),'ORDENES'!$AA677=TRUE,'ORDENES'!$A677&lt;&gt;""),1,0)</f>
        <v/>
      </c>
      <c r="L681" s="3">
        <f>IF(K681=1,IFERROR(MATCH('ORDENES'!$R677,lista_dias,0),9)*1000000000+IFERROR(MATCH('ORDENES'!$AC677,lista_turnos,0),9)*10000000+IFERROR(MATCH('ORDENES'!$AB677,'TECNICOS'!$B$4:$B$15,0),99)*100000+674,9000000000000+674)</f>
        <v/>
      </c>
      <c r="M681" s="3">
        <f>IF(K681=1,SUMPRODUCT(--($L$8:$L$1207&lt;L681))+1,"")</f>
        <v/>
      </c>
      <c r="N681" s="17">
        <f>IF(K681=1,N('ORDENES'!$M677),0)</f>
        <v/>
      </c>
      <c r="O681" s="17">
        <f>IF('ORDENES'!$S677="preventiva",N681,0)</f>
        <v/>
      </c>
      <c r="P681" s="17">
        <f>IF('ORDENES'!$S677="correctiva",N681,0)</f>
        <v/>
      </c>
      <c r="Q681" s="3">
        <f>IF(AND(K681=1,'ORDENES'!$N677="Pendiente"),1,0)</f>
        <v/>
      </c>
      <c r="R681" s="3">
        <f>IF(Q681=1,100000-N681*1000+674*0.01,9000000000000+674)</f>
        <v/>
      </c>
      <c r="S681" s="3">
        <f>IF(Q681=1,SUMPRODUCT(--($R$8:$R$1207&lt;R681))+1,"")</f>
        <v/>
      </c>
      <c r="T681" s="11">
        <f>IF(K681=1,'ORDENES'!$J677,"")</f>
        <v/>
      </c>
    </row>
    <row r="682">
      <c r="K682" s="3">
        <f>IF(AND(IF($B$3="(todos)",TRUE,'ORDENES'!$O678=$B$3),IF($D$3="(todos)",TRUE,'ORDENES'!$AC678=$D$3),IF($F$3="(todos)",TRUE,'ORDENES'!$V678=$F$3),'ORDENES'!$AA678=TRUE,'ORDENES'!$A678&lt;&gt;""),1,0)</f>
        <v/>
      </c>
      <c r="L682" s="3">
        <f>IF(K682=1,IFERROR(MATCH('ORDENES'!$R678,lista_dias,0),9)*1000000000+IFERROR(MATCH('ORDENES'!$AC678,lista_turnos,0),9)*10000000+IFERROR(MATCH('ORDENES'!$AB678,'TECNICOS'!$B$4:$B$15,0),99)*100000+675,9000000000000+675)</f>
        <v/>
      </c>
      <c r="M682" s="3">
        <f>IF(K682=1,SUMPRODUCT(--($L$8:$L$1207&lt;L682))+1,"")</f>
        <v/>
      </c>
      <c r="N682" s="17">
        <f>IF(K682=1,N('ORDENES'!$M678),0)</f>
        <v/>
      </c>
      <c r="O682" s="17">
        <f>IF('ORDENES'!$S678="preventiva",N682,0)</f>
        <v/>
      </c>
      <c r="P682" s="17">
        <f>IF('ORDENES'!$S678="correctiva",N682,0)</f>
        <v/>
      </c>
      <c r="Q682" s="3">
        <f>IF(AND(K682=1,'ORDENES'!$N678="Pendiente"),1,0)</f>
        <v/>
      </c>
      <c r="R682" s="3">
        <f>IF(Q682=1,100000-N682*1000+675*0.01,9000000000000+675)</f>
        <v/>
      </c>
      <c r="S682" s="3">
        <f>IF(Q682=1,SUMPRODUCT(--($R$8:$R$1207&lt;R682))+1,"")</f>
        <v/>
      </c>
      <c r="T682" s="11">
        <f>IF(K682=1,'ORDENES'!$J678,"")</f>
        <v/>
      </c>
    </row>
    <row r="683">
      <c r="K683" s="3">
        <f>IF(AND(IF($B$3="(todos)",TRUE,'ORDENES'!$O679=$B$3),IF($D$3="(todos)",TRUE,'ORDENES'!$AC679=$D$3),IF($F$3="(todos)",TRUE,'ORDENES'!$V679=$F$3),'ORDENES'!$AA679=TRUE,'ORDENES'!$A679&lt;&gt;""),1,0)</f>
        <v/>
      </c>
      <c r="L683" s="3">
        <f>IF(K683=1,IFERROR(MATCH('ORDENES'!$R679,lista_dias,0),9)*1000000000+IFERROR(MATCH('ORDENES'!$AC679,lista_turnos,0),9)*10000000+IFERROR(MATCH('ORDENES'!$AB679,'TECNICOS'!$B$4:$B$15,0),99)*100000+676,9000000000000+676)</f>
        <v/>
      </c>
      <c r="M683" s="3">
        <f>IF(K683=1,SUMPRODUCT(--($L$8:$L$1207&lt;L683))+1,"")</f>
        <v/>
      </c>
      <c r="N683" s="17">
        <f>IF(K683=1,N('ORDENES'!$M679),0)</f>
        <v/>
      </c>
      <c r="O683" s="17">
        <f>IF('ORDENES'!$S679="preventiva",N683,0)</f>
        <v/>
      </c>
      <c r="P683" s="17">
        <f>IF('ORDENES'!$S679="correctiva",N683,0)</f>
        <v/>
      </c>
      <c r="Q683" s="3">
        <f>IF(AND(K683=1,'ORDENES'!$N679="Pendiente"),1,0)</f>
        <v/>
      </c>
      <c r="R683" s="3">
        <f>IF(Q683=1,100000-N683*1000+676*0.01,9000000000000+676)</f>
        <v/>
      </c>
      <c r="S683" s="3">
        <f>IF(Q683=1,SUMPRODUCT(--($R$8:$R$1207&lt;R683))+1,"")</f>
        <v/>
      </c>
      <c r="T683" s="11">
        <f>IF(K683=1,'ORDENES'!$J679,"")</f>
        <v/>
      </c>
    </row>
    <row r="684">
      <c r="K684" s="3">
        <f>IF(AND(IF($B$3="(todos)",TRUE,'ORDENES'!$O680=$B$3),IF($D$3="(todos)",TRUE,'ORDENES'!$AC680=$D$3),IF($F$3="(todos)",TRUE,'ORDENES'!$V680=$F$3),'ORDENES'!$AA680=TRUE,'ORDENES'!$A680&lt;&gt;""),1,0)</f>
        <v/>
      </c>
      <c r="L684" s="3">
        <f>IF(K684=1,IFERROR(MATCH('ORDENES'!$R680,lista_dias,0),9)*1000000000+IFERROR(MATCH('ORDENES'!$AC680,lista_turnos,0),9)*10000000+IFERROR(MATCH('ORDENES'!$AB680,'TECNICOS'!$B$4:$B$15,0),99)*100000+677,9000000000000+677)</f>
        <v/>
      </c>
      <c r="M684" s="3">
        <f>IF(K684=1,SUMPRODUCT(--($L$8:$L$1207&lt;L684))+1,"")</f>
        <v/>
      </c>
      <c r="N684" s="17">
        <f>IF(K684=1,N('ORDENES'!$M680),0)</f>
        <v/>
      </c>
      <c r="O684" s="17">
        <f>IF('ORDENES'!$S680="preventiva",N684,0)</f>
        <v/>
      </c>
      <c r="P684" s="17">
        <f>IF('ORDENES'!$S680="correctiva",N684,0)</f>
        <v/>
      </c>
      <c r="Q684" s="3">
        <f>IF(AND(K684=1,'ORDENES'!$N680="Pendiente"),1,0)</f>
        <v/>
      </c>
      <c r="R684" s="3">
        <f>IF(Q684=1,100000-N684*1000+677*0.01,9000000000000+677)</f>
        <v/>
      </c>
      <c r="S684" s="3">
        <f>IF(Q684=1,SUMPRODUCT(--($R$8:$R$1207&lt;R684))+1,"")</f>
        <v/>
      </c>
      <c r="T684" s="11">
        <f>IF(K684=1,'ORDENES'!$J680,"")</f>
        <v/>
      </c>
    </row>
    <row r="685">
      <c r="K685" s="3">
        <f>IF(AND(IF($B$3="(todos)",TRUE,'ORDENES'!$O681=$B$3),IF($D$3="(todos)",TRUE,'ORDENES'!$AC681=$D$3),IF($F$3="(todos)",TRUE,'ORDENES'!$V681=$F$3),'ORDENES'!$AA681=TRUE,'ORDENES'!$A681&lt;&gt;""),1,0)</f>
        <v/>
      </c>
      <c r="L685" s="3">
        <f>IF(K685=1,IFERROR(MATCH('ORDENES'!$R681,lista_dias,0),9)*1000000000+IFERROR(MATCH('ORDENES'!$AC681,lista_turnos,0),9)*10000000+IFERROR(MATCH('ORDENES'!$AB681,'TECNICOS'!$B$4:$B$15,0),99)*100000+678,9000000000000+678)</f>
        <v/>
      </c>
      <c r="M685" s="3">
        <f>IF(K685=1,SUMPRODUCT(--($L$8:$L$1207&lt;L685))+1,"")</f>
        <v/>
      </c>
      <c r="N685" s="17">
        <f>IF(K685=1,N('ORDENES'!$M681),0)</f>
        <v/>
      </c>
      <c r="O685" s="17">
        <f>IF('ORDENES'!$S681="preventiva",N685,0)</f>
        <v/>
      </c>
      <c r="P685" s="17">
        <f>IF('ORDENES'!$S681="correctiva",N685,0)</f>
        <v/>
      </c>
      <c r="Q685" s="3">
        <f>IF(AND(K685=1,'ORDENES'!$N681="Pendiente"),1,0)</f>
        <v/>
      </c>
      <c r="R685" s="3">
        <f>IF(Q685=1,100000-N685*1000+678*0.01,9000000000000+678)</f>
        <v/>
      </c>
      <c r="S685" s="3">
        <f>IF(Q685=1,SUMPRODUCT(--($R$8:$R$1207&lt;R685))+1,"")</f>
        <v/>
      </c>
      <c r="T685" s="11">
        <f>IF(K685=1,'ORDENES'!$J681,"")</f>
        <v/>
      </c>
    </row>
    <row r="686">
      <c r="K686" s="3">
        <f>IF(AND(IF($B$3="(todos)",TRUE,'ORDENES'!$O682=$B$3),IF($D$3="(todos)",TRUE,'ORDENES'!$AC682=$D$3),IF($F$3="(todos)",TRUE,'ORDENES'!$V682=$F$3),'ORDENES'!$AA682=TRUE,'ORDENES'!$A682&lt;&gt;""),1,0)</f>
        <v/>
      </c>
      <c r="L686" s="3">
        <f>IF(K686=1,IFERROR(MATCH('ORDENES'!$R682,lista_dias,0),9)*1000000000+IFERROR(MATCH('ORDENES'!$AC682,lista_turnos,0),9)*10000000+IFERROR(MATCH('ORDENES'!$AB682,'TECNICOS'!$B$4:$B$15,0),99)*100000+679,9000000000000+679)</f>
        <v/>
      </c>
      <c r="M686" s="3">
        <f>IF(K686=1,SUMPRODUCT(--($L$8:$L$1207&lt;L686))+1,"")</f>
        <v/>
      </c>
      <c r="N686" s="17">
        <f>IF(K686=1,N('ORDENES'!$M682),0)</f>
        <v/>
      </c>
      <c r="O686" s="17">
        <f>IF('ORDENES'!$S682="preventiva",N686,0)</f>
        <v/>
      </c>
      <c r="P686" s="17">
        <f>IF('ORDENES'!$S682="correctiva",N686,0)</f>
        <v/>
      </c>
      <c r="Q686" s="3">
        <f>IF(AND(K686=1,'ORDENES'!$N682="Pendiente"),1,0)</f>
        <v/>
      </c>
      <c r="R686" s="3">
        <f>IF(Q686=1,100000-N686*1000+679*0.01,9000000000000+679)</f>
        <v/>
      </c>
      <c r="S686" s="3">
        <f>IF(Q686=1,SUMPRODUCT(--($R$8:$R$1207&lt;R686))+1,"")</f>
        <v/>
      </c>
      <c r="T686" s="11">
        <f>IF(K686=1,'ORDENES'!$J682,"")</f>
        <v/>
      </c>
    </row>
    <row r="687">
      <c r="K687" s="3">
        <f>IF(AND(IF($B$3="(todos)",TRUE,'ORDENES'!$O683=$B$3),IF($D$3="(todos)",TRUE,'ORDENES'!$AC683=$D$3),IF($F$3="(todos)",TRUE,'ORDENES'!$V683=$F$3),'ORDENES'!$AA683=TRUE,'ORDENES'!$A683&lt;&gt;""),1,0)</f>
        <v/>
      </c>
      <c r="L687" s="3">
        <f>IF(K687=1,IFERROR(MATCH('ORDENES'!$R683,lista_dias,0),9)*1000000000+IFERROR(MATCH('ORDENES'!$AC683,lista_turnos,0),9)*10000000+IFERROR(MATCH('ORDENES'!$AB683,'TECNICOS'!$B$4:$B$15,0),99)*100000+680,9000000000000+680)</f>
        <v/>
      </c>
      <c r="M687" s="3">
        <f>IF(K687=1,SUMPRODUCT(--($L$8:$L$1207&lt;L687))+1,"")</f>
        <v/>
      </c>
      <c r="N687" s="17">
        <f>IF(K687=1,N('ORDENES'!$M683),0)</f>
        <v/>
      </c>
      <c r="O687" s="17">
        <f>IF('ORDENES'!$S683="preventiva",N687,0)</f>
        <v/>
      </c>
      <c r="P687" s="17">
        <f>IF('ORDENES'!$S683="correctiva",N687,0)</f>
        <v/>
      </c>
      <c r="Q687" s="3">
        <f>IF(AND(K687=1,'ORDENES'!$N683="Pendiente"),1,0)</f>
        <v/>
      </c>
      <c r="R687" s="3">
        <f>IF(Q687=1,100000-N687*1000+680*0.01,9000000000000+680)</f>
        <v/>
      </c>
      <c r="S687" s="3">
        <f>IF(Q687=1,SUMPRODUCT(--($R$8:$R$1207&lt;R687))+1,"")</f>
        <v/>
      </c>
      <c r="T687" s="11">
        <f>IF(K687=1,'ORDENES'!$J683,"")</f>
        <v/>
      </c>
    </row>
    <row r="688">
      <c r="K688" s="3">
        <f>IF(AND(IF($B$3="(todos)",TRUE,'ORDENES'!$O684=$B$3),IF($D$3="(todos)",TRUE,'ORDENES'!$AC684=$D$3),IF($F$3="(todos)",TRUE,'ORDENES'!$V684=$F$3),'ORDENES'!$AA684=TRUE,'ORDENES'!$A684&lt;&gt;""),1,0)</f>
        <v/>
      </c>
      <c r="L688" s="3">
        <f>IF(K688=1,IFERROR(MATCH('ORDENES'!$R684,lista_dias,0),9)*1000000000+IFERROR(MATCH('ORDENES'!$AC684,lista_turnos,0),9)*10000000+IFERROR(MATCH('ORDENES'!$AB684,'TECNICOS'!$B$4:$B$15,0),99)*100000+681,9000000000000+681)</f>
        <v/>
      </c>
      <c r="M688" s="3">
        <f>IF(K688=1,SUMPRODUCT(--($L$8:$L$1207&lt;L688))+1,"")</f>
        <v/>
      </c>
      <c r="N688" s="17">
        <f>IF(K688=1,N('ORDENES'!$M684),0)</f>
        <v/>
      </c>
      <c r="O688" s="17">
        <f>IF('ORDENES'!$S684="preventiva",N688,0)</f>
        <v/>
      </c>
      <c r="P688" s="17">
        <f>IF('ORDENES'!$S684="correctiva",N688,0)</f>
        <v/>
      </c>
      <c r="Q688" s="3">
        <f>IF(AND(K688=1,'ORDENES'!$N684="Pendiente"),1,0)</f>
        <v/>
      </c>
      <c r="R688" s="3">
        <f>IF(Q688=1,100000-N688*1000+681*0.01,9000000000000+681)</f>
        <v/>
      </c>
      <c r="S688" s="3">
        <f>IF(Q688=1,SUMPRODUCT(--($R$8:$R$1207&lt;R688))+1,"")</f>
        <v/>
      </c>
      <c r="T688" s="11">
        <f>IF(K688=1,'ORDENES'!$J684,"")</f>
        <v/>
      </c>
    </row>
    <row r="689">
      <c r="K689" s="3">
        <f>IF(AND(IF($B$3="(todos)",TRUE,'ORDENES'!$O685=$B$3),IF($D$3="(todos)",TRUE,'ORDENES'!$AC685=$D$3),IF($F$3="(todos)",TRUE,'ORDENES'!$V685=$F$3),'ORDENES'!$AA685=TRUE,'ORDENES'!$A685&lt;&gt;""),1,0)</f>
        <v/>
      </c>
      <c r="L689" s="3">
        <f>IF(K689=1,IFERROR(MATCH('ORDENES'!$R685,lista_dias,0),9)*1000000000+IFERROR(MATCH('ORDENES'!$AC685,lista_turnos,0),9)*10000000+IFERROR(MATCH('ORDENES'!$AB685,'TECNICOS'!$B$4:$B$15,0),99)*100000+682,9000000000000+682)</f>
        <v/>
      </c>
      <c r="M689" s="3">
        <f>IF(K689=1,SUMPRODUCT(--($L$8:$L$1207&lt;L689))+1,"")</f>
        <v/>
      </c>
      <c r="N689" s="17">
        <f>IF(K689=1,N('ORDENES'!$M685),0)</f>
        <v/>
      </c>
      <c r="O689" s="17">
        <f>IF('ORDENES'!$S685="preventiva",N689,0)</f>
        <v/>
      </c>
      <c r="P689" s="17">
        <f>IF('ORDENES'!$S685="correctiva",N689,0)</f>
        <v/>
      </c>
      <c r="Q689" s="3">
        <f>IF(AND(K689=1,'ORDENES'!$N685="Pendiente"),1,0)</f>
        <v/>
      </c>
      <c r="R689" s="3">
        <f>IF(Q689=1,100000-N689*1000+682*0.01,9000000000000+682)</f>
        <v/>
      </c>
      <c r="S689" s="3">
        <f>IF(Q689=1,SUMPRODUCT(--($R$8:$R$1207&lt;R689))+1,"")</f>
        <v/>
      </c>
      <c r="T689" s="11">
        <f>IF(K689=1,'ORDENES'!$J685,"")</f>
        <v/>
      </c>
    </row>
    <row r="690">
      <c r="K690" s="3">
        <f>IF(AND(IF($B$3="(todos)",TRUE,'ORDENES'!$O686=$B$3),IF($D$3="(todos)",TRUE,'ORDENES'!$AC686=$D$3),IF($F$3="(todos)",TRUE,'ORDENES'!$V686=$F$3),'ORDENES'!$AA686=TRUE,'ORDENES'!$A686&lt;&gt;""),1,0)</f>
        <v/>
      </c>
      <c r="L690" s="3">
        <f>IF(K690=1,IFERROR(MATCH('ORDENES'!$R686,lista_dias,0),9)*1000000000+IFERROR(MATCH('ORDENES'!$AC686,lista_turnos,0),9)*10000000+IFERROR(MATCH('ORDENES'!$AB686,'TECNICOS'!$B$4:$B$15,0),99)*100000+683,9000000000000+683)</f>
        <v/>
      </c>
      <c r="M690" s="3">
        <f>IF(K690=1,SUMPRODUCT(--($L$8:$L$1207&lt;L690))+1,"")</f>
        <v/>
      </c>
      <c r="N690" s="17">
        <f>IF(K690=1,N('ORDENES'!$M686),0)</f>
        <v/>
      </c>
      <c r="O690" s="17">
        <f>IF('ORDENES'!$S686="preventiva",N690,0)</f>
        <v/>
      </c>
      <c r="P690" s="17">
        <f>IF('ORDENES'!$S686="correctiva",N690,0)</f>
        <v/>
      </c>
      <c r="Q690" s="3">
        <f>IF(AND(K690=1,'ORDENES'!$N686="Pendiente"),1,0)</f>
        <v/>
      </c>
      <c r="R690" s="3">
        <f>IF(Q690=1,100000-N690*1000+683*0.01,9000000000000+683)</f>
        <v/>
      </c>
      <c r="S690" s="3">
        <f>IF(Q690=1,SUMPRODUCT(--($R$8:$R$1207&lt;R690))+1,"")</f>
        <v/>
      </c>
      <c r="T690" s="11">
        <f>IF(K690=1,'ORDENES'!$J686,"")</f>
        <v/>
      </c>
    </row>
    <row r="691">
      <c r="K691" s="3">
        <f>IF(AND(IF($B$3="(todos)",TRUE,'ORDENES'!$O687=$B$3),IF($D$3="(todos)",TRUE,'ORDENES'!$AC687=$D$3),IF($F$3="(todos)",TRUE,'ORDENES'!$V687=$F$3),'ORDENES'!$AA687=TRUE,'ORDENES'!$A687&lt;&gt;""),1,0)</f>
        <v/>
      </c>
      <c r="L691" s="3">
        <f>IF(K691=1,IFERROR(MATCH('ORDENES'!$R687,lista_dias,0),9)*1000000000+IFERROR(MATCH('ORDENES'!$AC687,lista_turnos,0),9)*10000000+IFERROR(MATCH('ORDENES'!$AB687,'TECNICOS'!$B$4:$B$15,0),99)*100000+684,9000000000000+684)</f>
        <v/>
      </c>
      <c r="M691" s="3">
        <f>IF(K691=1,SUMPRODUCT(--($L$8:$L$1207&lt;L691))+1,"")</f>
        <v/>
      </c>
      <c r="N691" s="17">
        <f>IF(K691=1,N('ORDENES'!$M687),0)</f>
        <v/>
      </c>
      <c r="O691" s="17">
        <f>IF('ORDENES'!$S687="preventiva",N691,0)</f>
        <v/>
      </c>
      <c r="P691" s="17">
        <f>IF('ORDENES'!$S687="correctiva",N691,0)</f>
        <v/>
      </c>
      <c r="Q691" s="3">
        <f>IF(AND(K691=1,'ORDENES'!$N687="Pendiente"),1,0)</f>
        <v/>
      </c>
      <c r="R691" s="3">
        <f>IF(Q691=1,100000-N691*1000+684*0.01,9000000000000+684)</f>
        <v/>
      </c>
      <c r="S691" s="3">
        <f>IF(Q691=1,SUMPRODUCT(--($R$8:$R$1207&lt;R691))+1,"")</f>
        <v/>
      </c>
      <c r="T691" s="11">
        <f>IF(K691=1,'ORDENES'!$J687,"")</f>
        <v/>
      </c>
    </row>
    <row r="692">
      <c r="K692" s="3">
        <f>IF(AND(IF($B$3="(todos)",TRUE,'ORDENES'!$O688=$B$3),IF($D$3="(todos)",TRUE,'ORDENES'!$AC688=$D$3),IF($F$3="(todos)",TRUE,'ORDENES'!$V688=$F$3),'ORDENES'!$AA688=TRUE,'ORDENES'!$A688&lt;&gt;""),1,0)</f>
        <v/>
      </c>
      <c r="L692" s="3">
        <f>IF(K692=1,IFERROR(MATCH('ORDENES'!$R688,lista_dias,0),9)*1000000000+IFERROR(MATCH('ORDENES'!$AC688,lista_turnos,0),9)*10000000+IFERROR(MATCH('ORDENES'!$AB688,'TECNICOS'!$B$4:$B$15,0),99)*100000+685,9000000000000+685)</f>
        <v/>
      </c>
      <c r="M692" s="3">
        <f>IF(K692=1,SUMPRODUCT(--($L$8:$L$1207&lt;L692))+1,"")</f>
        <v/>
      </c>
      <c r="N692" s="17">
        <f>IF(K692=1,N('ORDENES'!$M688),0)</f>
        <v/>
      </c>
      <c r="O692" s="17">
        <f>IF('ORDENES'!$S688="preventiva",N692,0)</f>
        <v/>
      </c>
      <c r="P692" s="17">
        <f>IF('ORDENES'!$S688="correctiva",N692,0)</f>
        <v/>
      </c>
      <c r="Q692" s="3">
        <f>IF(AND(K692=1,'ORDENES'!$N688="Pendiente"),1,0)</f>
        <v/>
      </c>
      <c r="R692" s="3">
        <f>IF(Q692=1,100000-N692*1000+685*0.01,9000000000000+685)</f>
        <v/>
      </c>
      <c r="S692" s="3">
        <f>IF(Q692=1,SUMPRODUCT(--($R$8:$R$1207&lt;R692))+1,"")</f>
        <v/>
      </c>
      <c r="T692" s="11">
        <f>IF(K692=1,'ORDENES'!$J688,"")</f>
        <v/>
      </c>
    </row>
    <row r="693">
      <c r="K693" s="3">
        <f>IF(AND(IF($B$3="(todos)",TRUE,'ORDENES'!$O689=$B$3),IF($D$3="(todos)",TRUE,'ORDENES'!$AC689=$D$3),IF($F$3="(todos)",TRUE,'ORDENES'!$V689=$F$3),'ORDENES'!$AA689=TRUE,'ORDENES'!$A689&lt;&gt;""),1,0)</f>
        <v/>
      </c>
      <c r="L693" s="3">
        <f>IF(K693=1,IFERROR(MATCH('ORDENES'!$R689,lista_dias,0),9)*1000000000+IFERROR(MATCH('ORDENES'!$AC689,lista_turnos,0),9)*10000000+IFERROR(MATCH('ORDENES'!$AB689,'TECNICOS'!$B$4:$B$15,0),99)*100000+686,9000000000000+686)</f>
        <v/>
      </c>
      <c r="M693" s="3">
        <f>IF(K693=1,SUMPRODUCT(--($L$8:$L$1207&lt;L693))+1,"")</f>
        <v/>
      </c>
      <c r="N693" s="17">
        <f>IF(K693=1,N('ORDENES'!$M689),0)</f>
        <v/>
      </c>
      <c r="O693" s="17">
        <f>IF('ORDENES'!$S689="preventiva",N693,0)</f>
        <v/>
      </c>
      <c r="P693" s="17">
        <f>IF('ORDENES'!$S689="correctiva",N693,0)</f>
        <v/>
      </c>
      <c r="Q693" s="3">
        <f>IF(AND(K693=1,'ORDENES'!$N689="Pendiente"),1,0)</f>
        <v/>
      </c>
      <c r="R693" s="3">
        <f>IF(Q693=1,100000-N693*1000+686*0.01,9000000000000+686)</f>
        <v/>
      </c>
      <c r="S693" s="3">
        <f>IF(Q693=1,SUMPRODUCT(--($R$8:$R$1207&lt;R693))+1,"")</f>
        <v/>
      </c>
      <c r="T693" s="11">
        <f>IF(K693=1,'ORDENES'!$J689,"")</f>
        <v/>
      </c>
    </row>
    <row r="694">
      <c r="K694" s="3">
        <f>IF(AND(IF($B$3="(todos)",TRUE,'ORDENES'!$O690=$B$3),IF($D$3="(todos)",TRUE,'ORDENES'!$AC690=$D$3),IF($F$3="(todos)",TRUE,'ORDENES'!$V690=$F$3),'ORDENES'!$AA690=TRUE,'ORDENES'!$A690&lt;&gt;""),1,0)</f>
        <v/>
      </c>
      <c r="L694" s="3">
        <f>IF(K694=1,IFERROR(MATCH('ORDENES'!$R690,lista_dias,0),9)*1000000000+IFERROR(MATCH('ORDENES'!$AC690,lista_turnos,0),9)*10000000+IFERROR(MATCH('ORDENES'!$AB690,'TECNICOS'!$B$4:$B$15,0),99)*100000+687,9000000000000+687)</f>
        <v/>
      </c>
      <c r="M694" s="3">
        <f>IF(K694=1,SUMPRODUCT(--($L$8:$L$1207&lt;L694))+1,"")</f>
        <v/>
      </c>
      <c r="N694" s="17">
        <f>IF(K694=1,N('ORDENES'!$M690),0)</f>
        <v/>
      </c>
      <c r="O694" s="17">
        <f>IF('ORDENES'!$S690="preventiva",N694,0)</f>
        <v/>
      </c>
      <c r="P694" s="17">
        <f>IF('ORDENES'!$S690="correctiva",N694,0)</f>
        <v/>
      </c>
      <c r="Q694" s="3">
        <f>IF(AND(K694=1,'ORDENES'!$N690="Pendiente"),1,0)</f>
        <v/>
      </c>
      <c r="R694" s="3">
        <f>IF(Q694=1,100000-N694*1000+687*0.01,9000000000000+687)</f>
        <v/>
      </c>
      <c r="S694" s="3">
        <f>IF(Q694=1,SUMPRODUCT(--($R$8:$R$1207&lt;R694))+1,"")</f>
        <v/>
      </c>
      <c r="T694" s="11">
        <f>IF(K694=1,'ORDENES'!$J690,"")</f>
        <v/>
      </c>
    </row>
    <row r="695">
      <c r="K695" s="3">
        <f>IF(AND(IF($B$3="(todos)",TRUE,'ORDENES'!$O691=$B$3),IF($D$3="(todos)",TRUE,'ORDENES'!$AC691=$D$3),IF($F$3="(todos)",TRUE,'ORDENES'!$V691=$F$3),'ORDENES'!$AA691=TRUE,'ORDENES'!$A691&lt;&gt;""),1,0)</f>
        <v/>
      </c>
      <c r="L695" s="3">
        <f>IF(K695=1,IFERROR(MATCH('ORDENES'!$R691,lista_dias,0),9)*1000000000+IFERROR(MATCH('ORDENES'!$AC691,lista_turnos,0),9)*10000000+IFERROR(MATCH('ORDENES'!$AB691,'TECNICOS'!$B$4:$B$15,0),99)*100000+688,9000000000000+688)</f>
        <v/>
      </c>
      <c r="M695" s="3">
        <f>IF(K695=1,SUMPRODUCT(--($L$8:$L$1207&lt;L695))+1,"")</f>
        <v/>
      </c>
      <c r="N695" s="17">
        <f>IF(K695=1,N('ORDENES'!$M691),0)</f>
        <v/>
      </c>
      <c r="O695" s="17">
        <f>IF('ORDENES'!$S691="preventiva",N695,0)</f>
        <v/>
      </c>
      <c r="P695" s="17">
        <f>IF('ORDENES'!$S691="correctiva",N695,0)</f>
        <v/>
      </c>
      <c r="Q695" s="3">
        <f>IF(AND(K695=1,'ORDENES'!$N691="Pendiente"),1,0)</f>
        <v/>
      </c>
      <c r="R695" s="3">
        <f>IF(Q695=1,100000-N695*1000+688*0.01,9000000000000+688)</f>
        <v/>
      </c>
      <c r="S695" s="3">
        <f>IF(Q695=1,SUMPRODUCT(--($R$8:$R$1207&lt;R695))+1,"")</f>
        <v/>
      </c>
      <c r="T695" s="11">
        <f>IF(K695=1,'ORDENES'!$J691,"")</f>
        <v/>
      </c>
    </row>
    <row r="696">
      <c r="K696" s="3">
        <f>IF(AND(IF($B$3="(todos)",TRUE,'ORDENES'!$O692=$B$3),IF($D$3="(todos)",TRUE,'ORDENES'!$AC692=$D$3),IF($F$3="(todos)",TRUE,'ORDENES'!$V692=$F$3),'ORDENES'!$AA692=TRUE,'ORDENES'!$A692&lt;&gt;""),1,0)</f>
        <v/>
      </c>
      <c r="L696" s="3">
        <f>IF(K696=1,IFERROR(MATCH('ORDENES'!$R692,lista_dias,0),9)*1000000000+IFERROR(MATCH('ORDENES'!$AC692,lista_turnos,0),9)*10000000+IFERROR(MATCH('ORDENES'!$AB692,'TECNICOS'!$B$4:$B$15,0),99)*100000+689,9000000000000+689)</f>
        <v/>
      </c>
      <c r="M696" s="3">
        <f>IF(K696=1,SUMPRODUCT(--($L$8:$L$1207&lt;L696))+1,"")</f>
        <v/>
      </c>
      <c r="N696" s="17">
        <f>IF(K696=1,N('ORDENES'!$M692),0)</f>
        <v/>
      </c>
      <c r="O696" s="17">
        <f>IF('ORDENES'!$S692="preventiva",N696,0)</f>
        <v/>
      </c>
      <c r="P696" s="17">
        <f>IF('ORDENES'!$S692="correctiva",N696,0)</f>
        <v/>
      </c>
      <c r="Q696" s="3">
        <f>IF(AND(K696=1,'ORDENES'!$N692="Pendiente"),1,0)</f>
        <v/>
      </c>
      <c r="R696" s="3">
        <f>IF(Q696=1,100000-N696*1000+689*0.01,9000000000000+689)</f>
        <v/>
      </c>
      <c r="S696" s="3">
        <f>IF(Q696=1,SUMPRODUCT(--($R$8:$R$1207&lt;R696))+1,"")</f>
        <v/>
      </c>
      <c r="T696" s="11">
        <f>IF(K696=1,'ORDENES'!$J692,"")</f>
        <v/>
      </c>
    </row>
    <row r="697">
      <c r="K697" s="3">
        <f>IF(AND(IF($B$3="(todos)",TRUE,'ORDENES'!$O693=$B$3),IF($D$3="(todos)",TRUE,'ORDENES'!$AC693=$D$3),IF($F$3="(todos)",TRUE,'ORDENES'!$V693=$F$3),'ORDENES'!$AA693=TRUE,'ORDENES'!$A693&lt;&gt;""),1,0)</f>
        <v/>
      </c>
      <c r="L697" s="3">
        <f>IF(K697=1,IFERROR(MATCH('ORDENES'!$R693,lista_dias,0),9)*1000000000+IFERROR(MATCH('ORDENES'!$AC693,lista_turnos,0),9)*10000000+IFERROR(MATCH('ORDENES'!$AB693,'TECNICOS'!$B$4:$B$15,0),99)*100000+690,9000000000000+690)</f>
        <v/>
      </c>
      <c r="M697" s="3">
        <f>IF(K697=1,SUMPRODUCT(--($L$8:$L$1207&lt;L697))+1,"")</f>
        <v/>
      </c>
      <c r="N697" s="17">
        <f>IF(K697=1,N('ORDENES'!$M693),0)</f>
        <v/>
      </c>
      <c r="O697" s="17">
        <f>IF('ORDENES'!$S693="preventiva",N697,0)</f>
        <v/>
      </c>
      <c r="P697" s="17">
        <f>IF('ORDENES'!$S693="correctiva",N697,0)</f>
        <v/>
      </c>
      <c r="Q697" s="3">
        <f>IF(AND(K697=1,'ORDENES'!$N693="Pendiente"),1,0)</f>
        <v/>
      </c>
      <c r="R697" s="3">
        <f>IF(Q697=1,100000-N697*1000+690*0.01,9000000000000+690)</f>
        <v/>
      </c>
      <c r="S697" s="3">
        <f>IF(Q697=1,SUMPRODUCT(--($R$8:$R$1207&lt;R697))+1,"")</f>
        <v/>
      </c>
      <c r="T697" s="11">
        <f>IF(K697=1,'ORDENES'!$J693,"")</f>
        <v/>
      </c>
    </row>
    <row r="698">
      <c r="K698" s="3">
        <f>IF(AND(IF($B$3="(todos)",TRUE,'ORDENES'!$O694=$B$3),IF($D$3="(todos)",TRUE,'ORDENES'!$AC694=$D$3),IF($F$3="(todos)",TRUE,'ORDENES'!$V694=$F$3),'ORDENES'!$AA694=TRUE,'ORDENES'!$A694&lt;&gt;""),1,0)</f>
        <v/>
      </c>
      <c r="L698" s="3">
        <f>IF(K698=1,IFERROR(MATCH('ORDENES'!$R694,lista_dias,0),9)*1000000000+IFERROR(MATCH('ORDENES'!$AC694,lista_turnos,0),9)*10000000+IFERROR(MATCH('ORDENES'!$AB694,'TECNICOS'!$B$4:$B$15,0),99)*100000+691,9000000000000+691)</f>
        <v/>
      </c>
      <c r="M698" s="3">
        <f>IF(K698=1,SUMPRODUCT(--($L$8:$L$1207&lt;L698))+1,"")</f>
        <v/>
      </c>
      <c r="N698" s="17">
        <f>IF(K698=1,N('ORDENES'!$M694),0)</f>
        <v/>
      </c>
      <c r="O698" s="17">
        <f>IF('ORDENES'!$S694="preventiva",N698,0)</f>
        <v/>
      </c>
      <c r="P698" s="17">
        <f>IF('ORDENES'!$S694="correctiva",N698,0)</f>
        <v/>
      </c>
      <c r="Q698" s="3">
        <f>IF(AND(K698=1,'ORDENES'!$N694="Pendiente"),1,0)</f>
        <v/>
      </c>
      <c r="R698" s="3">
        <f>IF(Q698=1,100000-N698*1000+691*0.01,9000000000000+691)</f>
        <v/>
      </c>
      <c r="S698" s="3">
        <f>IF(Q698=1,SUMPRODUCT(--($R$8:$R$1207&lt;R698))+1,"")</f>
        <v/>
      </c>
      <c r="T698" s="11">
        <f>IF(K698=1,'ORDENES'!$J694,"")</f>
        <v/>
      </c>
    </row>
    <row r="699">
      <c r="K699" s="3">
        <f>IF(AND(IF($B$3="(todos)",TRUE,'ORDENES'!$O695=$B$3),IF($D$3="(todos)",TRUE,'ORDENES'!$AC695=$D$3),IF($F$3="(todos)",TRUE,'ORDENES'!$V695=$F$3),'ORDENES'!$AA695=TRUE,'ORDENES'!$A695&lt;&gt;""),1,0)</f>
        <v/>
      </c>
      <c r="L699" s="3">
        <f>IF(K699=1,IFERROR(MATCH('ORDENES'!$R695,lista_dias,0),9)*1000000000+IFERROR(MATCH('ORDENES'!$AC695,lista_turnos,0),9)*10000000+IFERROR(MATCH('ORDENES'!$AB695,'TECNICOS'!$B$4:$B$15,0),99)*100000+692,9000000000000+692)</f>
        <v/>
      </c>
      <c r="M699" s="3">
        <f>IF(K699=1,SUMPRODUCT(--($L$8:$L$1207&lt;L699))+1,"")</f>
        <v/>
      </c>
      <c r="N699" s="17">
        <f>IF(K699=1,N('ORDENES'!$M695),0)</f>
        <v/>
      </c>
      <c r="O699" s="17">
        <f>IF('ORDENES'!$S695="preventiva",N699,0)</f>
        <v/>
      </c>
      <c r="P699" s="17">
        <f>IF('ORDENES'!$S695="correctiva",N699,0)</f>
        <v/>
      </c>
      <c r="Q699" s="3">
        <f>IF(AND(K699=1,'ORDENES'!$N695="Pendiente"),1,0)</f>
        <v/>
      </c>
      <c r="R699" s="3">
        <f>IF(Q699=1,100000-N699*1000+692*0.01,9000000000000+692)</f>
        <v/>
      </c>
      <c r="S699" s="3">
        <f>IF(Q699=1,SUMPRODUCT(--($R$8:$R$1207&lt;R699))+1,"")</f>
        <v/>
      </c>
      <c r="T699" s="11">
        <f>IF(K699=1,'ORDENES'!$J695,"")</f>
        <v/>
      </c>
    </row>
    <row r="700">
      <c r="K700" s="3">
        <f>IF(AND(IF($B$3="(todos)",TRUE,'ORDENES'!$O696=$B$3),IF($D$3="(todos)",TRUE,'ORDENES'!$AC696=$D$3),IF($F$3="(todos)",TRUE,'ORDENES'!$V696=$F$3),'ORDENES'!$AA696=TRUE,'ORDENES'!$A696&lt;&gt;""),1,0)</f>
        <v/>
      </c>
      <c r="L700" s="3">
        <f>IF(K700=1,IFERROR(MATCH('ORDENES'!$R696,lista_dias,0),9)*1000000000+IFERROR(MATCH('ORDENES'!$AC696,lista_turnos,0),9)*10000000+IFERROR(MATCH('ORDENES'!$AB696,'TECNICOS'!$B$4:$B$15,0),99)*100000+693,9000000000000+693)</f>
        <v/>
      </c>
      <c r="M700" s="3">
        <f>IF(K700=1,SUMPRODUCT(--($L$8:$L$1207&lt;L700))+1,"")</f>
        <v/>
      </c>
      <c r="N700" s="17">
        <f>IF(K700=1,N('ORDENES'!$M696),0)</f>
        <v/>
      </c>
      <c r="O700" s="17">
        <f>IF('ORDENES'!$S696="preventiva",N700,0)</f>
        <v/>
      </c>
      <c r="P700" s="17">
        <f>IF('ORDENES'!$S696="correctiva",N700,0)</f>
        <v/>
      </c>
      <c r="Q700" s="3">
        <f>IF(AND(K700=1,'ORDENES'!$N696="Pendiente"),1,0)</f>
        <v/>
      </c>
      <c r="R700" s="3">
        <f>IF(Q700=1,100000-N700*1000+693*0.01,9000000000000+693)</f>
        <v/>
      </c>
      <c r="S700" s="3">
        <f>IF(Q700=1,SUMPRODUCT(--($R$8:$R$1207&lt;R700))+1,"")</f>
        <v/>
      </c>
      <c r="T700" s="11">
        <f>IF(K700=1,'ORDENES'!$J696,"")</f>
        <v/>
      </c>
    </row>
    <row r="701">
      <c r="K701" s="3">
        <f>IF(AND(IF($B$3="(todos)",TRUE,'ORDENES'!$O697=$B$3),IF($D$3="(todos)",TRUE,'ORDENES'!$AC697=$D$3),IF($F$3="(todos)",TRUE,'ORDENES'!$V697=$F$3),'ORDENES'!$AA697=TRUE,'ORDENES'!$A697&lt;&gt;""),1,0)</f>
        <v/>
      </c>
      <c r="L701" s="3">
        <f>IF(K701=1,IFERROR(MATCH('ORDENES'!$R697,lista_dias,0),9)*1000000000+IFERROR(MATCH('ORDENES'!$AC697,lista_turnos,0),9)*10000000+IFERROR(MATCH('ORDENES'!$AB697,'TECNICOS'!$B$4:$B$15,0),99)*100000+694,9000000000000+694)</f>
        <v/>
      </c>
      <c r="M701" s="3">
        <f>IF(K701=1,SUMPRODUCT(--($L$8:$L$1207&lt;L701))+1,"")</f>
        <v/>
      </c>
      <c r="N701" s="17">
        <f>IF(K701=1,N('ORDENES'!$M697),0)</f>
        <v/>
      </c>
      <c r="O701" s="17">
        <f>IF('ORDENES'!$S697="preventiva",N701,0)</f>
        <v/>
      </c>
      <c r="P701" s="17">
        <f>IF('ORDENES'!$S697="correctiva",N701,0)</f>
        <v/>
      </c>
      <c r="Q701" s="3">
        <f>IF(AND(K701=1,'ORDENES'!$N697="Pendiente"),1,0)</f>
        <v/>
      </c>
      <c r="R701" s="3">
        <f>IF(Q701=1,100000-N701*1000+694*0.01,9000000000000+694)</f>
        <v/>
      </c>
      <c r="S701" s="3">
        <f>IF(Q701=1,SUMPRODUCT(--($R$8:$R$1207&lt;R701))+1,"")</f>
        <v/>
      </c>
      <c r="T701" s="11">
        <f>IF(K701=1,'ORDENES'!$J697,"")</f>
        <v/>
      </c>
    </row>
    <row r="702">
      <c r="K702" s="3">
        <f>IF(AND(IF($B$3="(todos)",TRUE,'ORDENES'!$O698=$B$3),IF($D$3="(todos)",TRUE,'ORDENES'!$AC698=$D$3),IF($F$3="(todos)",TRUE,'ORDENES'!$V698=$F$3),'ORDENES'!$AA698=TRUE,'ORDENES'!$A698&lt;&gt;""),1,0)</f>
        <v/>
      </c>
      <c r="L702" s="3">
        <f>IF(K702=1,IFERROR(MATCH('ORDENES'!$R698,lista_dias,0),9)*1000000000+IFERROR(MATCH('ORDENES'!$AC698,lista_turnos,0),9)*10000000+IFERROR(MATCH('ORDENES'!$AB698,'TECNICOS'!$B$4:$B$15,0),99)*100000+695,9000000000000+695)</f>
        <v/>
      </c>
      <c r="M702" s="3">
        <f>IF(K702=1,SUMPRODUCT(--($L$8:$L$1207&lt;L702))+1,"")</f>
        <v/>
      </c>
      <c r="N702" s="17">
        <f>IF(K702=1,N('ORDENES'!$M698),0)</f>
        <v/>
      </c>
      <c r="O702" s="17">
        <f>IF('ORDENES'!$S698="preventiva",N702,0)</f>
        <v/>
      </c>
      <c r="P702" s="17">
        <f>IF('ORDENES'!$S698="correctiva",N702,0)</f>
        <v/>
      </c>
      <c r="Q702" s="3">
        <f>IF(AND(K702=1,'ORDENES'!$N698="Pendiente"),1,0)</f>
        <v/>
      </c>
      <c r="R702" s="3">
        <f>IF(Q702=1,100000-N702*1000+695*0.01,9000000000000+695)</f>
        <v/>
      </c>
      <c r="S702" s="3">
        <f>IF(Q702=1,SUMPRODUCT(--($R$8:$R$1207&lt;R702))+1,"")</f>
        <v/>
      </c>
      <c r="T702" s="11">
        <f>IF(K702=1,'ORDENES'!$J698,"")</f>
        <v/>
      </c>
    </row>
    <row r="703">
      <c r="K703" s="3">
        <f>IF(AND(IF($B$3="(todos)",TRUE,'ORDENES'!$O699=$B$3),IF($D$3="(todos)",TRUE,'ORDENES'!$AC699=$D$3),IF($F$3="(todos)",TRUE,'ORDENES'!$V699=$F$3),'ORDENES'!$AA699=TRUE,'ORDENES'!$A699&lt;&gt;""),1,0)</f>
        <v/>
      </c>
      <c r="L703" s="3">
        <f>IF(K703=1,IFERROR(MATCH('ORDENES'!$R699,lista_dias,0),9)*1000000000+IFERROR(MATCH('ORDENES'!$AC699,lista_turnos,0),9)*10000000+IFERROR(MATCH('ORDENES'!$AB699,'TECNICOS'!$B$4:$B$15,0),99)*100000+696,9000000000000+696)</f>
        <v/>
      </c>
      <c r="M703" s="3">
        <f>IF(K703=1,SUMPRODUCT(--($L$8:$L$1207&lt;L703))+1,"")</f>
        <v/>
      </c>
      <c r="N703" s="17">
        <f>IF(K703=1,N('ORDENES'!$M699),0)</f>
        <v/>
      </c>
      <c r="O703" s="17">
        <f>IF('ORDENES'!$S699="preventiva",N703,0)</f>
        <v/>
      </c>
      <c r="P703" s="17">
        <f>IF('ORDENES'!$S699="correctiva",N703,0)</f>
        <v/>
      </c>
      <c r="Q703" s="3">
        <f>IF(AND(K703=1,'ORDENES'!$N699="Pendiente"),1,0)</f>
        <v/>
      </c>
      <c r="R703" s="3">
        <f>IF(Q703=1,100000-N703*1000+696*0.01,9000000000000+696)</f>
        <v/>
      </c>
      <c r="S703" s="3">
        <f>IF(Q703=1,SUMPRODUCT(--($R$8:$R$1207&lt;R703))+1,"")</f>
        <v/>
      </c>
      <c r="T703" s="11">
        <f>IF(K703=1,'ORDENES'!$J699,"")</f>
        <v/>
      </c>
    </row>
    <row r="704">
      <c r="K704" s="3">
        <f>IF(AND(IF($B$3="(todos)",TRUE,'ORDENES'!$O700=$B$3),IF($D$3="(todos)",TRUE,'ORDENES'!$AC700=$D$3),IF($F$3="(todos)",TRUE,'ORDENES'!$V700=$F$3),'ORDENES'!$AA700=TRUE,'ORDENES'!$A700&lt;&gt;""),1,0)</f>
        <v/>
      </c>
      <c r="L704" s="3">
        <f>IF(K704=1,IFERROR(MATCH('ORDENES'!$R700,lista_dias,0),9)*1000000000+IFERROR(MATCH('ORDENES'!$AC700,lista_turnos,0),9)*10000000+IFERROR(MATCH('ORDENES'!$AB700,'TECNICOS'!$B$4:$B$15,0),99)*100000+697,9000000000000+697)</f>
        <v/>
      </c>
      <c r="M704" s="3">
        <f>IF(K704=1,SUMPRODUCT(--($L$8:$L$1207&lt;L704))+1,"")</f>
        <v/>
      </c>
      <c r="N704" s="17">
        <f>IF(K704=1,N('ORDENES'!$M700),0)</f>
        <v/>
      </c>
      <c r="O704" s="17">
        <f>IF('ORDENES'!$S700="preventiva",N704,0)</f>
        <v/>
      </c>
      <c r="P704" s="17">
        <f>IF('ORDENES'!$S700="correctiva",N704,0)</f>
        <v/>
      </c>
      <c r="Q704" s="3">
        <f>IF(AND(K704=1,'ORDENES'!$N700="Pendiente"),1,0)</f>
        <v/>
      </c>
      <c r="R704" s="3">
        <f>IF(Q704=1,100000-N704*1000+697*0.01,9000000000000+697)</f>
        <v/>
      </c>
      <c r="S704" s="3">
        <f>IF(Q704=1,SUMPRODUCT(--($R$8:$R$1207&lt;R704))+1,"")</f>
        <v/>
      </c>
      <c r="T704" s="11">
        <f>IF(K704=1,'ORDENES'!$J700,"")</f>
        <v/>
      </c>
    </row>
    <row r="705">
      <c r="K705" s="3">
        <f>IF(AND(IF($B$3="(todos)",TRUE,'ORDENES'!$O701=$B$3),IF($D$3="(todos)",TRUE,'ORDENES'!$AC701=$D$3),IF($F$3="(todos)",TRUE,'ORDENES'!$V701=$F$3),'ORDENES'!$AA701=TRUE,'ORDENES'!$A701&lt;&gt;""),1,0)</f>
        <v/>
      </c>
      <c r="L705" s="3">
        <f>IF(K705=1,IFERROR(MATCH('ORDENES'!$R701,lista_dias,0),9)*1000000000+IFERROR(MATCH('ORDENES'!$AC701,lista_turnos,0),9)*10000000+IFERROR(MATCH('ORDENES'!$AB701,'TECNICOS'!$B$4:$B$15,0),99)*100000+698,9000000000000+698)</f>
        <v/>
      </c>
      <c r="M705" s="3">
        <f>IF(K705=1,SUMPRODUCT(--($L$8:$L$1207&lt;L705))+1,"")</f>
        <v/>
      </c>
      <c r="N705" s="17">
        <f>IF(K705=1,N('ORDENES'!$M701),0)</f>
        <v/>
      </c>
      <c r="O705" s="17">
        <f>IF('ORDENES'!$S701="preventiva",N705,0)</f>
        <v/>
      </c>
      <c r="P705" s="17">
        <f>IF('ORDENES'!$S701="correctiva",N705,0)</f>
        <v/>
      </c>
      <c r="Q705" s="3">
        <f>IF(AND(K705=1,'ORDENES'!$N701="Pendiente"),1,0)</f>
        <v/>
      </c>
      <c r="R705" s="3">
        <f>IF(Q705=1,100000-N705*1000+698*0.01,9000000000000+698)</f>
        <v/>
      </c>
      <c r="S705" s="3">
        <f>IF(Q705=1,SUMPRODUCT(--($R$8:$R$1207&lt;R705))+1,"")</f>
        <v/>
      </c>
      <c r="T705" s="11">
        <f>IF(K705=1,'ORDENES'!$J701,"")</f>
        <v/>
      </c>
    </row>
    <row r="706">
      <c r="K706" s="3">
        <f>IF(AND(IF($B$3="(todos)",TRUE,'ORDENES'!$O702=$B$3),IF($D$3="(todos)",TRUE,'ORDENES'!$AC702=$D$3),IF($F$3="(todos)",TRUE,'ORDENES'!$V702=$F$3),'ORDENES'!$AA702=TRUE,'ORDENES'!$A702&lt;&gt;""),1,0)</f>
        <v/>
      </c>
      <c r="L706" s="3">
        <f>IF(K706=1,IFERROR(MATCH('ORDENES'!$R702,lista_dias,0),9)*1000000000+IFERROR(MATCH('ORDENES'!$AC702,lista_turnos,0),9)*10000000+IFERROR(MATCH('ORDENES'!$AB702,'TECNICOS'!$B$4:$B$15,0),99)*100000+699,9000000000000+699)</f>
        <v/>
      </c>
      <c r="M706" s="3">
        <f>IF(K706=1,SUMPRODUCT(--($L$8:$L$1207&lt;L706))+1,"")</f>
        <v/>
      </c>
      <c r="N706" s="17">
        <f>IF(K706=1,N('ORDENES'!$M702),0)</f>
        <v/>
      </c>
      <c r="O706" s="17">
        <f>IF('ORDENES'!$S702="preventiva",N706,0)</f>
        <v/>
      </c>
      <c r="P706" s="17">
        <f>IF('ORDENES'!$S702="correctiva",N706,0)</f>
        <v/>
      </c>
      <c r="Q706" s="3">
        <f>IF(AND(K706=1,'ORDENES'!$N702="Pendiente"),1,0)</f>
        <v/>
      </c>
      <c r="R706" s="3">
        <f>IF(Q706=1,100000-N706*1000+699*0.01,9000000000000+699)</f>
        <v/>
      </c>
      <c r="S706" s="3">
        <f>IF(Q706=1,SUMPRODUCT(--($R$8:$R$1207&lt;R706))+1,"")</f>
        <v/>
      </c>
      <c r="T706" s="11">
        <f>IF(K706=1,'ORDENES'!$J702,"")</f>
        <v/>
      </c>
    </row>
    <row r="707">
      <c r="K707" s="3">
        <f>IF(AND(IF($B$3="(todos)",TRUE,'ORDENES'!$O703=$B$3),IF($D$3="(todos)",TRUE,'ORDENES'!$AC703=$D$3),IF($F$3="(todos)",TRUE,'ORDENES'!$V703=$F$3),'ORDENES'!$AA703=TRUE,'ORDENES'!$A703&lt;&gt;""),1,0)</f>
        <v/>
      </c>
      <c r="L707" s="3">
        <f>IF(K707=1,IFERROR(MATCH('ORDENES'!$R703,lista_dias,0),9)*1000000000+IFERROR(MATCH('ORDENES'!$AC703,lista_turnos,0),9)*10000000+IFERROR(MATCH('ORDENES'!$AB703,'TECNICOS'!$B$4:$B$15,0),99)*100000+700,9000000000000+700)</f>
        <v/>
      </c>
      <c r="M707" s="3">
        <f>IF(K707=1,SUMPRODUCT(--($L$8:$L$1207&lt;L707))+1,"")</f>
        <v/>
      </c>
      <c r="N707" s="17">
        <f>IF(K707=1,N('ORDENES'!$M703),0)</f>
        <v/>
      </c>
      <c r="O707" s="17">
        <f>IF('ORDENES'!$S703="preventiva",N707,0)</f>
        <v/>
      </c>
      <c r="P707" s="17">
        <f>IF('ORDENES'!$S703="correctiva",N707,0)</f>
        <v/>
      </c>
      <c r="Q707" s="3">
        <f>IF(AND(K707=1,'ORDENES'!$N703="Pendiente"),1,0)</f>
        <v/>
      </c>
      <c r="R707" s="3">
        <f>IF(Q707=1,100000-N707*1000+700*0.01,9000000000000+700)</f>
        <v/>
      </c>
      <c r="S707" s="3">
        <f>IF(Q707=1,SUMPRODUCT(--($R$8:$R$1207&lt;R707))+1,"")</f>
        <v/>
      </c>
      <c r="T707" s="11">
        <f>IF(K707=1,'ORDENES'!$J703,"")</f>
        <v/>
      </c>
    </row>
    <row r="708">
      <c r="K708" s="3">
        <f>IF(AND(IF($B$3="(todos)",TRUE,'ORDENES'!$O704=$B$3),IF($D$3="(todos)",TRUE,'ORDENES'!$AC704=$D$3),IF($F$3="(todos)",TRUE,'ORDENES'!$V704=$F$3),'ORDENES'!$AA704=TRUE,'ORDENES'!$A704&lt;&gt;""),1,0)</f>
        <v/>
      </c>
      <c r="L708" s="3">
        <f>IF(K708=1,IFERROR(MATCH('ORDENES'!$R704,lista_dias,0),9)*1000000000+IFERROR(MATCH('ORDENES'!$AC704,lista_turnos,0),9)*10000000+IFERROR(MATCH('ORDENES'!$AB704,'TECNICOS'!$B$4:$B$15,0),99)*100000+701,9000000000000+701)</f>
        <v/>
      </c>
      <c r="M708" s="3">
        <f>IF(K708=1,SUMPRODUCT(--($L$8:$L$1207&lt;L708))+1,"")</f>
        <v/>
      </c>
      <c r="N708" s="17">
        <f>IF(K708=1,N('ORDENES'!$M704),0)</f>
        <v/>
      </c>
      <c r="O708" s="17">
        <f>IF('ORDENES'!$S704="preventiva",N708,0)</f>
        <v/>
      </c>
      <c r="P708" s="17">
        <f>IF('ORDENES'!$S704="correctiva",N708,0)</f>
        <v/>
      </c>
      <c r="Q708" s="3">
        <f>IF(AND(K708=1,'ORDENES'!$N704="Pendiente"),1,0)</f>
        <v/>
      </c>
      <c r="R708" s="3">
        <f>IF(Q708=1,100000-N708*1000+701*0.01,9000000000000+701)</f>
        <v/>
      </c>
      <c r="S708" s="3">
        <f>IF(Q708=1,SUMPRODUCT(--($R$8:$R$1207&lt;R708))+1,"")</f>
        <v/>
      </c>
      <c r="T708" s="11">
        <f>IF(K708=1,'ORDENES'!$J704,"")</f>
        <v/>
      </c>
    </row>
    <row r="709">
      <c r="K709" s="3">
        <f>IF(AND(IF($B$3="(todos)",TRUE,'ORDENES'!$O705=$B$3),IF($D$3="(todos)",TRUE,'ORDENES'!$AC705=$D$3),IF($F$3="(todos)",TRUE,'ORDENES'!$V705=$F$3),'ORDENES'!$AA705=TRUE,'ORDENES'!$A705&lt;&gt;""),1,0)</f>
        <v/>
      </c>
      <c r="L709" s="3">
        <f>IF(K709=1,IFERROR(MATCH('ORDENES'!$R705,lista_dias,0),9)*1000000000+IFERROR(MATCH('ORDENES'!$AC705,lista_turnos,0),9)*10000000+IFERROR(MATCH('ORDENES'!$AB705,'TECNICOS'!$B$4:$B$15,0),99)*100000+702,9000000000000+702)</f>
        <v/>
      </c>
      <c r="M709" s="3">
        <f>IF(K709=1,SUMPRODUCT(--($L$8:$L$1207&lt;L709))+1,"")</f>
        <v/>
      </c>
      <c r="N709" s="17">
        <f>IF(K709=1,N('ORDENES'!$M705),0)</f>
        <v/>
      </c>
      <c r="O709" s="17">
        <f>IF('ORDENES'!$S705="preventiva",N709,0)</f>
        <v/>
      </c>
      <c r="P709" s="17">
        <f>IF('ORDENES'!$S705="correctiva",N709,0)</f>
        <v/>
      </c>
      <c r="Q709" s="3">
        <f>IF(AND(K709=1,'ORDENES'!$N705="Pendiente"),1,0)</f>
        <v/>
      </c>
      <c r="R709" s="3">
        <f>IF(Q709=1,100000-N709*1000+702*0.01,9000000000000+702)</f>
        <v/>
      </c>
      <c r="S709" s="3">
        <f>IF(Q709=1,SUMPRODUCT(--($R$8:$R$1207&lt;R709))+1,"")</f>
        <v/>
      </c>
      <c r="T709" s="11">
        <f>IF(K709=1,'ORDENES'!$J705,"")</f>
        <v/>
      </c>
    </row>
    <row r="710">
      <c r="K710" s="3">
        <f>IF(AND(IF($B$3="(todos)",TRUE,'ORDENES'!$O706=$B$3),IF($D$3="(todos)",TRUE,'ORDENES'!$AC706=$D$3),IF($F$3="(todos)",TRUE,'ORDENES'!$V706=$F$3),'ORDENES'!$AA706=TRUE,'ORDENES'!$A706&lt;&gt;""),1,0)</f>
        <v/>
      </c>
      <c r="L710" s="3">
        <f>IF(K710=1,IFERROR(MATCH('ORDENES'!$R706,lista_dias,0),9)*1000000000+IFERROR(MATCH('ORDENES'!$AC706,lista_turnos,0),9)*10000000+IFERROR(MATCH('ORDENES'!$AB706,'TECNICOS'!$B$4:$B$15,0),99)*100000+703,9000000000000+703)</f>
        <v/>
      </c>
      <c r="M710" s="3">
        <f>IF(K710=1,SUMPRODUCT(--($L$8:$L$1207&lt;L710))+1,"")</f>
        <v/>
      </c>
      <c r="N710" s="17">
        <f>IF(K710=1,N('ORDENES'!$M706),0)</f>
        <v/>
      </c>
      <c r="O710" s="17">
        <f>IF('ORDENES'!$S706="preventiva",N710,0)</f>
        <v/>
      </c>
      <c r="P710" s="17">
        <f>IF('ORDENES'!$S706="correctiva",N710,0)</f>
        <v/>
      </c>
      <c r="Q710" s="3">
        <f>IF(AND(K710=1,'ORDENES'!$N706="Pendiente"),1,0)</f>
        <v/>
      </c>
      <c r="R710" s="3">
        <f>IF(Q710=1,100000-N710*1000+703*0.01,9000000000000+703)</f>
        <v/>
      </c>
      <c r="S710" s="3">
        <f>IF(Q710=1,SUMPRODUCT(--($R$8:$R$1207&lt;R710))+1,"")</f>
        <v/>
      </c>
      <c r="T710" s="11">
        <f>IF(K710=1,'ORDENES'!$J706,"")</f>
        <v/>
      </c>
    </row>
    <row r="711">
      <c r="K711" s="3">
        <f>IF(AND(IF($B$3="(todos)",TRUE,'ORDENES'!$O707=$B$3),IF($D$3="(todos)",TRUE,'ORDENES'!$AC707=$D$3),IF($F$3="(todos)",TRUE,'ORDENES'!$V707=$F$3),'ORDENES'!$AA707=TRUE,'ORDENES'!$A707&lt;&gt;""),1,0)</f>
        <v/>
      </c>
      <c r="L711" s="3">
        <f>IF(K711=1,IFERROR(MATCH('ORDENES'!$R707,lista_dias,0),9)*1000000000+IFERROR(MATCH('ORDENES'!$AC707,lista_turnos,0),9)*10000000+IFERROR(MATCH('ORDENES'!$AB707,'TECNICOS'!$B$4:$B$15,0),99)*100000+704,9000000000000+704)</f>
        <v/>
      </c>
      <c r="M711" s="3">
        <f>IF(K711=1,SUMPRODUCT(--($L$8:$L$1207&lt;L711))+1,"")</f>
        <v/>
      </c>
      <c r="N711" s="17">
        <f>IF(K711=1,N('ORDENES'!$M707),0)</f>
        <v/>
      </c>
      <c r="O711" s="17">
        <f>IF('ORDENES'!$S707="preventiva",N711,0)</f>
        <v/>
      </c>
      <c r="P711" s="17">
        <f>IF('ORDENES'!$S707="correctiva",N711,0)</f>
        <v/>
      </c>
      <c r="Q711" s="3">
        <f>IF(AND(K711=1,'ORDENES'!$N707="Pendiente"),1,0)</f>
        <v/>
      </c>
      <c r="R711" s="3">
        <f>IF(Q711=1,100000-N711*1000+704*0.01,9000000000000+704)</f>
        <v/>
      </c>
      <c r="S711" s="3">
        <f>IF(Q711=1,SUMPRODUCT(--($R$8:$R$1207&lt;R711))+1,"")</f>
        <v/>
      </c>
      <c r="T711" s="11">
        <f>IF(K711=1,'ORDENES'!$J707,"")</f>
        <v/>
      </c>
    </row>
    <row r="712">
      <c r="K712" s="3">
        <f>IF(AND(IF($B$3="(todos)",TRUE,'ORDENES'!$O708=$B$3),IF($D$3="(todos)",TRUE,'ORDENES'!$AC708=$D$3),IF($F$3="(todos)",TRUE,'ORDENES'!$V708=$F$3),'ORDENES'!$AA708=TRUE,'ORDENES'!$A708&lt;&gt;""),1,0)</f>
        <v/>
      </c>
      <c r="L712" s="3">
        <f>IF(K712=1,IFERROR(MATCH('ORDENES'!$R708,lista_dias,0),9)*1000000000+IFERROR(MATCH('ORDENES'!$AC708,lista_turnos,0),9)*10000000+IFERROR(MATCH('ORDENES'!$AB708,'TECNICOS'!$B$4:$B$15,0),99)*100000+705,9000000000000+705)</f>
        <v/>
      </c>
      <c r="M712" s="3">
        <f>IF(K712=1,SUMPRODUCT(--($L$8:$L$1207&lt;L712))+1,"")</f>
        <v/>
      </c>
      <c r="N712" s="17">
        <f>IF(K712=1,N('ORDENES'!$M708),0)</f>
        <v/>
      </c>
      <c r="O712" s="17">
        <f>IF('ORDENES'!$S708="preventiva",N712,0)</f>
        <v/>
      </c>
      <c r="P712" s="17">
        <f>IF('ORDENES'!$S708="correctiva",N712,0)</f>
        <v/>
      </c>
      <c r="Q712" s="3">
        <f>IF(AND(K712=1,'ORDENES'!$N708="Pendiente"),1,0)</f>
        <v/>
      </c>
      <c r="R712" s="3">
        <f>IF(Q712=1,100000-N712*1000+705*0.01,9000000000000+705)</f>
        <v/>
      </c>
      <c r="S712" s="3">
        <f>IF(Q712=1,SUMPRODUCT(--($R$8:$R$1207&lt;R712))+1,"")</f>
        <v/>
      </c>
      <c r="T712" s="11">
        <f>IF(K712=1,'ORDENES'!$J708,"")</f>
        <v/>
      </c>
    </row>
    <row r="713">
      <c r="K713" s="3">
        <f>IF(AND(IF($B$3="(todos)",TRUE,'ORDENES'!$O709=$B$3),IF($D$3="(todos)",TRUE,'ORDENES'!$AC709=$D$3),IF($F$3="(todos)",TRUE,'ORDENES'!$V709=$F$3),'ORDENES'!$AA709=TRUE,'ORDENES'!$A709&lt;&gt;""),1,0)</f>
        <v/>
      </c>
      <c r="L713" s="3">
        <f>IF(K713=1,IFERROR(MATCH('ORDENES'!$R709,lista_dias,0),9)*1000000000+IFERROR(MATCH('ORDENES'!$AC709,lista_turnos,0),9)*10000000+IFERROR(MATCH('ORDENES'!$AB709,'TECNICOS'!$B$4:$B$15,0),99)*100000+706,9000000000000+706)</f>
        <v/>
      </c>
      <c r="M713" s="3">
        <f>IF(K713=1,SUMPRODUCT(--($L$8:$L$1207&lt;L713))+1,"")</f>
        <v/>
      </c>
      <c r="N713" s="17">
        <f>IF(K713=1,N('ORDENES'!$M709),0)</f>
        <v/>
      </c>
      <c r="O713" s="17">
        <f>IF('ORDENES'!$S709="preventiva",N713,0)</f>
        <v/>
      </c>
      <c r="P713" s="17">
        <f>IF('ORDENES'!$S709="correctiva",N713,0)</f>
        <v/>
      </c>
      <c r="Q713" s="3">
        <f>IF(AND(K713=1,'ORDENES'!$N709="Pendiente"),1,0)</f>
        <v/>
      </c>
      <c r="R713" s="3">
        <f>IF(Q713=1,100000-N713*1000+706*0.01,9000000000000+706)</f>
        <v/>
      </c>
      <c r="S713" s="3">
        <f>IF(Q713=1,SUMPRODUCT(--($R$8:$R$1207&lt;R713))+1,"")</f>
        <v/>
      </c>
      <c r="T713" s="11">
        <f>IF(K713=1,'ORDENES'!$J709,"")</f>
        <v/>
      </c>
    </row>
    <row r="714">
      <c r="K714" s="3">
        <f>IF(AND(IF($B$3="(todos)",TRUE,'ORDENES'!$O710=$B$3),IF($D$3="(todos)",TRUE,'ORDENES'!$AC710=$D$3),IF($F$3="(todos)",TRUE,'ORDENES'!$V710=$F$3),'ORDENES'!$AA710=TRUE,'ORDENES'!$A710&lt;&gt;""),1,0)</f>
        <v/>
      </c>
      <c r="L714" s="3">
        <f>IF(K714=1,IFERROR(MATCH('ORDENES'!$R710,lista_dias,0),9)*1000000000+IFERROR(MATCH('ORDENES'!$AC710,lista_turnos,0),9)*10000000+IFERROR(MATCH('ORDENES'!$AB710,'TECNICOS'!$B$4:$B$15,0),99)*100000+707,9000000000000+707)</f>
        <v/>
      </c>
      <c r="M714" s="3">
        <f>IF(K714=1,SUMPRODUCT(--($L$8:$L$1207&lt;L714))+1,"")</f>
        <v/>
      </c>
      <c r="N714" s="17">
        <f>IF(K714=1,N('ORDENES'!$M710),0)</f>
        <v/>
      </c>
      <c r="O714" s="17">
        <f>IF('ORDENES'!$S710="preventiva",N714,0)</f>
        <v/>
      </c>
      <c r="P714" s="17">
        <f>IF('ORDENES'!$S710="correctiva",N714,0)</f>
        <v/>
      </c>
      <c r="Q714" s="3">
        <f>IF(AND(K714=1,'ORDENES'!$N710="Pendiente"),1,0)</f>
        <v/>
      </c>
      <c r="R714" s="3">
        <f>IF(Q714=1,100000-N714*1000+707*0.01,9000000000000+707)</f>
        <v/>
      </c>
      <c r="S714" s="3">
        <f>IF(Q714=1,SUMPRODUCT(--($R$8:$R$1207&lt;R714))+1,"")</f>
        <v/>
      </c>
      <c r="T714" s="11">
        <f>IF(K714=1,'ORDENES'!$J710,"")</f>
        <v/>
      </c>
    </row>
    <row r="715">
      <c r="K715" s="3">
        <f>IF(AND(IF($B$3="(todos)",TRUE,'ORDENES'!$O711=$B$3),IF($D$3="(todos)",TRUE,'ORDENES'!$AC711=$D$3),IF($F$3="(todos)",TRUE,'ORDENES'!$V711=$F$3),'ORDENES'!$AA711=TRUE,'ORDENES'!$A711&lt;&gt;""),1,0)</f>
        <v/>
      </c>
      <c r="L715" s="3">
        <f>IF(K715=1,IFERROR(MATCH('ORDENES'!$R711,lista_dias,0),9)*1000000000+IFERROR(MATCH('ORDENES'!$AC711,lista_turnos,0),9)*10000000+IFERROR(MATCH('ORDENES'!$AB711,'TECNICOS'!$B$4:$B$15,0),99)*100000+708,9000000000000+708)</f>
        <v/>
      </c>
      <c r="M715" s="3">
        <f>IF(K715=1,SUMPRODUCT(--($L$8:$L$1207&lt;L715))+1,"")</f>
        <v/>
      </c>
      <c r="N715" s="17">
        <f>IF(K715=1,N('ORDENES'!$M711),0)</f>
        <v/>
      </c>
      <c r="O715" s="17">
        <f>IF('ORDENES'!$S711="preventiva",N715,0)</f>
        <v/>
      </c>
      <c r="P715" s="17">
        <f>IF('ORDENES'!$S711="correctiva",N715,0)</f>
        <v/>
      </c>
      <c r="Q715" s="3">
        <f>IF(AND(K715=1,'ORDENES'!$N711="Pendiente"),1,0)</f>
        <v/>
      </c>
      <c r="R715" s="3">
        <f>IF(Q715=1,100000-N715*1000+708*0.01,9000000000000+708)</f>
        <v/>
      </c>
      <c r="S715" s="3">
        <f>IF(Q715=1,SUMPRODUCT(--($R$8:$R$1207&lt;R715))+1,"")</f>
        <v/>
      </c>
      <c r="T715" s="11">
        <f>IF(K715=1,'ORDENES'!$J711,"")</f>
        <v/>
      </c>
    </row>
    <row r="716">
      <c r="K716" s="3">
        <f>IF(AND(IF($B$3="(todos)",TRUE,'ORDENES'!$O712=$B$3),IF($D$3="(todos)",TRUE,'ORDENES'!$AC712=$D$3),IF($F$3="(todos)",TRUE,'ORDENES'!$V712=$F$3),'ORDENES'!$AA712=TRUE,'ORDENES'!$A712&lt;&gt;""),1,0)</f>
        <v/>
      </c>
      <c r="L716" s="3">
        <f>IF(K716=1,IFERROR(MATCH('ORDENES'!$R712,lista_dias,0),9)*1000000000+IFERROR(MATCH('ORDENES'!$AC712,lista_turnos,0),9)*10000000+IFERROR(MATCH('ORDENES'!$AB712,'TECNICOS'!$B$4:$B$15,0),99)*100000+709,9000000000000+709)</f>
        <v/>
      </c>
      <c r="M716" s="3">
        <f>IF(K716=1,SUMPRODUCT(--($L$8:$L$1207&lt;L716))+1,"")</f>
        <v/>
      </c>
      <c r="N716" s="17">
        <f>IF(K716=1,N('ORDENES'!$M712),0)</f>
        <v/>
      </c>
      <c r="O716" s="17">
        <f>IF('ORDENES'!$S712="preventiva",N716,0)</f>
        <v/>
      </c>
      <c r="P716" s="17">
        <f>IF('ORDENES'!$S712="correctiva",N716,0)</f>
        <v/>
      </c>
      <c r="Q716" s="3">
        <f>IF(AND(K716=1,'ORDENES'!$N712="Pendiente"),1,0)</f>
        <v/>
      </c>
      <c r="R716" s="3">
        <f>IF(Q716=1,100000-N716*1000+709*0.01,9000000000000+709)</f>
        <v/>
      </c>
      <c r="S716" s="3">
        <f>IF(Q716=1,SUMPRODUCT(--($R$8:$R$1207&lt;R716))+1,"")</f>
        <v/>
      </c>
      <c r="T716" s="11">
        <f>IF(K716=1,'ORDENES'!$J712,"")</f>
        <v/>
      </c>
    </row>
    <row r="717">
      <c r="K717" s="3">
        <f>IF(AND(IF($B$3="(todos)",TRUE,'ORDENES'!$O713=$B$3),IF($D$3="(todos)",TRUE,'ORDENES'!$AC713=$D$3),IF($F$3="(todos)",TRUE,'ORDENES'!$V713=$F$3),'ORDENES'!$AA713=TRUE,'ORDENES'!$A713&lt;&gt;""),1,0)</f>
        <v/>
      </c>
      <c r="L717" s="3">
        <f>IF(K717=1,IFERROR(MATCH('ORDENES'!$R713,lista_dias,0),9)*1000000000+IFERROR(MATCH('ORDENES'!$AC713,lista_turnos,0),9)*10000000+IFERROR(MATCH('ORDENES'!$AB713,'TECNICOS'!$B$4:$B$15,0),99)*100000+710,9000000000000+710)</f>
        <v/>
      </c>
      <c r="M717" s="3">
        <f>IF(K717=1,SUMPRODUCT(--($L$8:$L$1207&lt;L717))+1,"")</f>
        <v/>
      </c>
      <c r="N717" s="17">
        <f>IF(K717=1,N('ORDENES'!$M713),0)</f>
        <v/>
      </c>
      <c r="O717" s="17">
        <f>IF('ORDENES'!$S713="preventiva",N717,0)</f>
        <v/>
      </c>
      <c r="P717" s="17">
        <f>IF('ORDENES'!$S713="correctiva",N717,0)</f>
        <v/>
      </c>
      <c r="Q717" s="3">
        <f>IF(AND(K717=1,'ORDENES'!$N713="Pendiente"),1,0)</f>
        <v/>
      </c>
      <c r="R717" s="3">
        <f>IF(Q717=1,100000-N717*1000+710*0.01,9000000000000+710)</f>
        <v/>
      </c>
      <c r="S717" s="3">
        <f>IF(Q717=1,SUMPRODUCT(--($R$8:$R$1207&lt;R717))+1,"")</f>
        <v/>
      </c>
      <c r="T717" s="11">
        <f>IF(K717=1,'ORDENES'!$J713,"")</f>
        <v/>
      </c>
    </row>
    <row r="718">
      <c r="K718" s="3">
        <f>IF(AND(IF($B$3="(todos)",TRUE,'ORDENES'!$O714=$B$3),IF($D$3="(todos)",TRUE,'ORDENES'!$AC714=$D$3),IF($F$3="(todos)",TRUE,'ORDENES'!$V714=$F$3),'ORDENES'!$AA714=TRUE,'ORDENES'!$A714&lt;&gt;""),1,0)</f>
        <v/>
      </c>
      <c r="L718" s="3">
        <f>IF(K718=1,IFERROR(MATCH('ORDENES'!$R714,lista_dias,0),9)*1000000000+IFERROR(MATCH('ORDENES'!$AC714,lista_turnos,0),9)*10000000+IFERROR(MATCH('ORDENES'!$AB714,'TECNICOS'!$B$4:$B$15,0),99)*100000+711,9000000000000+711)</f>
        <v/>
      </c>
      <c r="M718" s="3">
        <f>IF(K718=1,SUMPRODUCT(--($L$8:$L$1207&lt;L718))+1,"")</f>
        <v/>
      </c>
      <c r="N718" s="17">
        <f>IF(K718=1,N('ORDENES'!$M714),0)</f>
        <v/>
      </c>
      <c r="O718" s="17">
        <f>IF('ORDENES'!$S714="preventiva",N718,0)</f>
        <v/>
      </c>
      <c r="P718" s="17">
        <f>IF('ORDENES'!$S714="correctiva",N718,0)</f>
        <v/>
      </c>
      <c r="Q718" s="3">
        <f>IF(AND(K718=1,'ORDENES'!$N714="Pendiente"),1,0)</f>
        <v/>
      </c>
      <c r="R718" s="3">
        <f>IF(Q718=1,100000-N718*1000+711*0.01,9000000000000+711)</f>
        <v/>
      </c>
      <c r="S718" s="3">
        <f>IF(Q718=1,SUMPRODUCT(--($R$8:$R$1207&lt;R718))+1,"")</f>
        <v/>
      </c>
      <c r="T718" s="11">
        <f>IF(K718=1,'ORDENES'!$J714,"")</f>
        <v/>
      </c>
    </row>
    <row r="719">
      <c r="K719" s="3">
        <f>IF(AND(IF($B$3="(todos)",TRUE,'ORDENES'!$O715=$B$3),IF($D$3="(todos)",TRUE,'ORDENES'!$AC715=$D$3),IF($F$3="(todos)",TRUE,'ORDENES'!$V715=$F$3),'ORDENES'!$AA715=TRUE,'ORDENES'!$A715&lt;&gt;""),1,0)</f>
        <v/>
      </c>
      <c r="L719" s="3">
        <f>IF(K719=1,IFERROR(MATCH('ORDENES'!$R715,lista_dias,0),9)*1000000000+IFERROR(MATCH('ORDENES'!$AC715,lista_turnos,0),9)*10000000+IFERROR(MATCH('ORDENES'!$AB715,'TECNICOS'!$B$4:$B$15,0),99)*100000+712,9000000000000+712)</f>
        <v/>
      </c>
      <c r="M719" s="3">
        <f>IF(K719=1,SUMPRODUCT(--($L$8:$L$1207&lt;L719))+1,"")</f>
        <v/>
      </c>
      <c r="N719" s="17">
        <f>IF(K719=1,N('ORDENES'!$M715),0)</f>
        <v/>
      </c>
      <c r="O719" s="17">
        <f>IF('ORDENES'!$S715="preventiva",N719,0)</f>
        <v/>
      </c>
      <c r="P719" s="17">
        <f>IF('ORDENES'!$S715="correctiva",N719,0)</f>
        <v/>
      </c>
      <c r="Q719" s="3">
        <f>IF(AND(K719=1,'ORDENES'!$N715="Pendiente"),1,0)</f>
        <v/>
      </c>
      <c r="R719" s="3">
        <f>IF(Q719=1,100000-N719*1000+712*0.01,9000000000000+712)</f>
        <v/>
      </c>
      <c r="S719" s="3">
        <f>IF(Q719=1,SUMPRODUCT(--($R$8:$R$1207&lt;R719))+1,"")</f>
        <v/>
      </c>
      <c r="T719" s="11">
        <f>IF(K719=1,'ORDENES'!$J715,"")</f>
        <v/>
      </c>
    </row>
    <row r="720">
      <c r="K720" s="3">
        <f>IF(AND(IF($B$3="(todos)",TRUE,'ORDENES'!$O716=$B$3),IF($D$3="(todos)",TRUE,'ORDENES'!$AC716=$D$3),IF($F$3="(todos)",TRUE,'ORDENES'!$V716=$F$3),'ORDENES'!$AA716=TRUE,'ORDENES'!$A716&lt;&gt;""),1,0)</f>
        <v/>
      </c>
      <c r="L720" s="3">
        <f>IF(K720=1,IFERROR(MATCH('ORDENES'!$R716,lista_dias,0),9)*1000000000+IFERROR(MATCH('ORDENES'!$AC716,lista_turnos,0),9)*10000000+IFERROR(MATCH('ORDENES'!$AB716,'TECNICOS'!$B$4:$B$15,0),99)*100000+713,9000000000000+713)</f>
        <v/>
      </c>
      <c r="M720" s="3">
        <f>IF(K720=1,SUMPRODUCT(--($L$8:$L$1207&lt;L720))+1,"")</f>
        <v/>
      </c>
      <c r="N720" s="17">
        <f>IF(K720=1,N('ORDENES'!$M716),0)</f>
        <v/>
      </c>
      <c r="O720" s="17">
        <f>IF('ORDENES'!$S716="preventiva",N720,0)</f>
        <v/>
      </c>
      <c r="P720" s="17">
        <f>IF('ORDENES'!$S716="correctiva",N720,0)</f>
        <v/>
      </c>
      <c r="Q720" s="3">
        <f>IF(AND(K720=1,'ORDENES'!$N716="Pendiente"),1,0)</f>
        <v/>
      </c>
      <c r="R720" s="3">
        <f>IF(Q720=1,100000-N720*1000+713*0.01,9000000000000+713)</f>
        <v/>
      </c>
      <c r="S720" s="3">
        <f>IF(Q720=1,SUMPRODUCT(--($R$8:$R$1207&lt;R720))+1,"")</f>
        <v/>
      </c>
      <c r="T720" s="11">
        <f>IF(K720=1,'ORDENES'!$J716,"")</f>
        <v/>
      </c>
    </row>
    <row r="721">
      <c r="K721" s="3">
        <f>IF(AND(IF($B$3="(todos)",TRUE,'ORDENES'!$O717=$B$3),IF($D$3="(todos)",TRUE,'ORDENES'!$AC717=$D$3),IF($F$3="(todos)",TRUE,'ORDENES'!$V717=$F$3),'ORDENES'!$AA717=TRUE,'ORDENES'!$A717&lt;&gt;""),1,0)</f>
        <v/>
      </c>
      <c r="L721" s="3">
        <f>IF(K721=1,IFERROR(MATCH('ORDENES'!$R717,lista_dias,0),9)*1000000000+IFERROR(MATCH('ORDENES'!$AC717,lista_turnos,0),9)*10000000+IFERROR(MATCH('ORDENES'!$AB717,'TECNICOS'!$B$4:$B$15,0),99)*100000+714,9000000000000+714)</f>
        <v/>
      </c>
      <c r="M721" s="3">
        <f>IF(K721=1,SUMPRODUCT(--($L$8:$L$1207&lt;L721))+1,"")</f>
        <v/>
      </c>
      <c r="N721" s="17">
        <f>IF(K721=1,N('ORDENES'!$M717),0)</f>
        <v/>
      </c>
      <c r="O721" s="17">
        <f>IF('ORDENES'!$S717="preventiva",N721,0)</f>
        <v/>
      </c>
      <c r="P721" s="17">
        <f>IF('ORDENES'!$S717="correctiva",N721,0)</f>
        <v/>
      </c>
      <c r="Q721" s="3">
        <f>IF(AND(K721=1,'ORDENES'!$N717="Pendiente"),1,0)</f>
        <v/>
      </c>
      <c r="R721" s="3">
        <f>IF(Q721=1,100000-N721*1000+714*0.01,9000000000000+714)</f>
        <v/>
      </c>
      <c r="S721" s="3">
        <f>IF(Q721=1,SUMPRODUCT(--($R$8:$R$1207&lt;R721))+1,"")</f>
        <v/>
      </c>
      <c r="T721" s="11">
        <f>IF(K721=1,'ORDENES'!$J717,"")</f>
        <v/>
      </c>
    </row>
    <row r="722">
      <c r="K722" s="3">
        <f>IF(AND(IF($B$3="(todos)",TRUE,'ORDENES'!$O718=$B$3),IF($D$3="(todos)",TRUE,'ORDENES'!$AC718=$D$3),IF($F$3="(todos)",TRUE,'ORDENES'!$V718=$F$3),'ORDENES'!$AA718=TRUE,'ORDENES'!$A718&lt;&gt;""),1,0)</f>
        <v/>
      </c>
      <c r="L722" s="3">
        <f>IF(K722=1,IFERROR(MATCH('ORDENES'!$R718,lista_dias,0),9)*1000000000+IFERROR(MATCH('ORDENES'!$AC718,lista_turnos,0),9)*10000000+IFERROR(MATCH('ORDENES'!$AB718,'TECNICOS'!$B$4:$B$15,0),99)*100000+715,9000000000000+715)</f>
        <v/>
      </c>
      <c r="M722" s="3">
        <f>IF(K722=1,SUMPRODUCT(--($L$8:$L$1207&lt;L722))+1,"")</f>
        <v/>
      </c>
      <c r="N722" s="17">
        <f>IF(K722=1,N('ORDENES'!$M718),0)</f>
        <v/>
      </c>
      <c r="O722" s="17">
        <f>IF('ORDENES'!$S718="preventiva",N722,0)</f>
        <v/>
      </c>
      <c r="P722" s="17">
        <f>IF('ORDENES'!$S718="correctiva",N722,0)</f>
        <v/>
      </c>
      <c r="Q722" s="3">
        <f>IF(AND(K722=1,'ORDENES'!$N718="Pendiente"),1,0)</f>
        <v/>
      </c>
      <c r="R722" s="3">
        <f>IF(Q722=1,100000-N722*1000+715*0.01,9000000000000+715)</f>
        <v/>
      </c>
      <c r="S722" s="3">
        <f>IF(Q722=1,SUMPRODUCT(--($R$8:$R$1207&lt;R722))+1,"")</f>
        <v/>
      </c>
      <c r="T722" s="11">
        <f>IF(K722=1,'ORDENES'!$J718,"")</f>
        <v/>
      </c>
    </row>
    <row r="723">
      <c r="K723" s="3">
        <f>IF(AND(IF($B$3="(todos)",TRUE,'ORDENES'!$O719=$B$3),IF($D$3="(todos)",TRUE,'ORDENES'!$AC719=$D$3),IF($F$3="(todos)",TRUE,'ORDENES'!$V719=$F$3),'ORDENES'!$AA719=TRUE,'ORDENES'!$A719&lt;&gt;""),1,0)</f>
        <v/>
      </c>
      <c r="L723" s="3">
        <f>IF(K723=1,IFERROR(MATCH('ORDENES'!$R719,lista_dias,0),9)*1000000000+IFERROR(MATCH('ORDENES'!$AC719,lista_turnos,0),9)*10000000+IFERROR(MATCH('ORDENES'!$AB719,'TECNICOS'!$B$4:$B$15,0),99)*100000+716,9000000000000+716)</f>
        <v/>
      </c>
      <c r="M723" s="3">
        <f>IF(K723=1,SUMPRODUCT(--($L$8:$L$1207&lt;L723))+1,"")</f>
        <v/>
      </c>
      <c r="N723" s="17">
        <f>IF(K723=1,N('ORDENES'!$M719),0)</f>
        <v/>
      </c>
      <c r="O723" s="17">
        <f>IF('ORDENES'!$S719="preventiva",N723,0)</f>
        <v/>
      </c>
      <c r="P723" s="17">
        <f>IF('ORDENES'!$S719="correctiva",N723,0)</f>
        <v/>
      </c>
      <c r="Q723" s="3">
        <f>IF(AND(K723=1,'ORDENES'!$N719="Pendiente"),1,0)</f>
        <v/>
      </c>
      <c r="R723" s="3">
        <f>IF(Q723=1,100000-N723*1000+716*0.01,9000000000000+716)</f>
        <v/>
      </c>
      <c r="S723" s="3">
        <f>IF(Q723=1,SUMPRODUCT(--($R$8:$R$1207&lt;R723))+1,"")</f>
        <v/>
      </c>
      <c r="T723" s="11">
        <f>IF(K723=1,'ORDENES'!$J719,"")</f>
        <v/>
      </c>
    </row>
    <row r="724">
      <c r="K724" s="3">
        <f>IF(AND(IF($B$3="(todos)",TRUE,'ORDENES'!$O720=$B$3),IF($D$3="(todos)",TRUE,'ORDENES'!$AC720=$D$3),IF($F$3="(todos)",TRUE,'ORDENES'!$V720=$F$3),'ORDENES'!$AA720=TRUE,'ORDENES'!$A720&lt;&gt;""),1,0)</f>
        <v/>
      </c>
      <c r="L724" s="3">
        <f>IF(K724=1,IFERROR(MATCH('ORDENES'!$R720,lista_dias,0),9)*1000000000+IFERROR(MATCH('ORDENES'!$AC720,lista_turnos,0),9)*10000000+IFERROR(MATCH('ORDENES'!$AB720,'TECNICOS'!$B$4:$B$15,0),99)*100000+717,9000000000000+717)</f>
        <v/>
      </c>
      <c r="M724" s="3">
        <f>IF(K724=1,SUMPRODUCT(--($L$8:$L$1207&lt;L724))+1,"")</f>
        <v/>
      </c>
      <c r="N724" s="17">
        <f>IF(K724=1,N('ORDENES'!$M720),0)</f>
        <v/>
      </c>
      <c r="O724" s="17">
        <f>IF('ORDENES'!$S720="preventiva",N724,0)</f>
        <v/>
      </c>
      <c r="P724" s="17">
        <f>IF('ORDENES'!$S720="correctiva",N724,0)</f>
        <v/>
      </c>
      <c r="Q724" s="3">
        <f>IF(AND(K724=1,'ORDENES'!$N720="Pendiente"),1,0)</f>
        <v/>
      </c>
      <c r="R724" s="3">
        <f>IF(Q724=1,100000-N724*1000+717*0.01,9000000000000+717)</f>
        <v/>
      </c>
      <c r="S724" s="3">
        <f>IF(Q724=1,SUMPRODUCT(--($R$8:$R$1207&lt;R724))+1,"")</f>
        <v/>
      </c>
      <c r="T724" s="11">
        <f>IF(K724=1,'ORDENES'!$J720,"")</f>
        <v/>
      </c>
    </row>
    <row r="725">
      <c r="K725" s="3">
        <f>IF(AND(IF($B$3="(todos)",TRUE,'ORDENES'!$O721=$B$3),IF($D$3="(todos)",TRUE,'ORDENES'!$AC721=$D$3),IF($F$3="(todos)",TRUE,'ORDENES'!$V721=$F$3),'ORDENES'!$AA721=TRUE,'ORDENES'!$A721&lt;&gt;""),1,0)</f>
        <v/>
      </c>
      <c r="L725" s="3">
        <f>IF(K725=1,IFERROR(MATCH('ORDENES'!$R721,lista_dias,0),9)*1000000000+IFERROR(MATCH('ORDENES'!$AC721,lista_turnos,0),9)*10000000+IFERROR(MATCH('ORDENES'!$AB721,'TECNICOS'!$B$4:$B$15,0),99)*100000+718,9000000000000+718)</f>
        <v/>
      </c>
      <c r="M725" s="3">
        <f>IF(K725=1,SUMPRODUCT(--($L$8:$L$1207&lt;L725))+1,"")</f>
        <v/>
      </c>
      <c r="N725" s="17">
        <f>IF(K725=1,N('ORDENES'!$M721),0)</f>
        <v/>
      </c>
      <c r="O725" s="17">
        <f>IF('ORDENES'!$S721="preventiva",N725,0)</f>
        <v/>
      </c>
      <c r="P725" s="17">
        <f>IF('ORDENES'!$S721="correctiva",N725,0)</f>
        <v/>
      </c>
      <c r="Q725" s="3">
        <f>IF(AND(K725=1,'ORDENES'!$N721="Pendiente"),1,0)</f>
        <v/>
      </c>
      <c r="R725" s="3">
        <f>IF(Q725=1,100000-N725*1000+718*0.01,9000000000000+718)</f>
        <v/>
      </c>
      <c r="S725" s="3">
        <f>IF(Q725=1,SUMPRODUCT(--($R$8:$R$1207&lt;R725))+1,"")</f>
        <v/>
      </c>
      <c r="T725" s="11">
        <f>IF(K725=1,'ORDENES'!$J721,"")</f>
        <v/>
      </c>
    </row>
    <row r="726">
      <c r="K726" s="3">
        <f>IF(AND(IF($B$3="(todos)",TRUE,'ORDENES'!$O722=$B$3),IF($D$3="(todos)",TRUE,'ORDENES'!$AC722=$D$3),IF($F$3="(todos)",TRUE,'ORDENES'!$V722=$F$3),'ORDENES'!$AA722=TRUE,'ORDENES'!$A722&lt;&gt;""),1,0)</f>
        <v/>
      </c>
      <c r="L726" s="3">
        <f>IF(K726=1,IFERROR(MATCH('ORDENES'!$R722,lista_dias,0),9)*1000000000+IFERROR(MATCH('ORDENES'!$AC722,lista_turnos,0),9)*10000000+IFERROR(MATCH('ORDENES'!$AB722,'TECNICOS'!$B$4:$B$15,0),99)*100000+719,9000000000000+719)</f>
        <v/>
      </c>
      <c r="M726" s="3">
        <f>IF(K726=1,SUMPRODUCT(--($L$8:$L$1207&lt;L726))+1,"")</f>
        <v/>
      </c>
      <c r="N726" s="17">
        <f>IF(K726=1,N('ORDENES'!$M722),0)</f>
        <v/>
      </c>
      <c r="O726" s="17">
        <f>IF('ORDENES'!$S722="preventiva",N726,0)</f>
        <v/>
      </c>
      <c r="P726" s="17">
        <f>IF('ORDENES'!$S722="correctiva",N726,0)</f>
        <v/>
      </c>
      <c r="Q726" s="3">
        <f>IF(AND(K726=1,'ORDENES'!$N722="Pendiente"),1,0)</f>
        <v/>
      </c>
      <c r="R726" s="3">
        <f>IF(Q726=1,100000-N726*1000+719*0.01,9000000000000+719)</f>
        <v/>
      </c>
      <c r="S726" s="3">
        <f>IF(Q726=1,SUMPRODUCT(--($R$8:$R$1207&lt;R726))+1,"")</f>
        <v/>
      </c>
      <c r="T726" s="11">
        <f>IF(K726=1,'ORDENES'!$J722,"")</f>
        <v/>
      </c>
    </row>
    <row r="727">
      <c r="K727" s="3">
        <f>IF(AND(IF($B$3="(todos)",TRUE,'ORDENES'!$O723=$B$3),IF($D$3="(todos)",TRUE,'ORDENES'!$AC723=$D$3),IF($F$3="(todos)",TRUE,'ORDENES'!$V723=$F$3),'ORDENES'!$AA723=TRUE,'ORDENES'!$A723&lt;&gt;""),1,0)</f>
        <v/>
      </c>
      <c r="L727" s="3">
        <f>IF(K727=1,IFERROR(MATCH('ORDENES'!$R723,lista_dias,0),9)*1000000000+IFERROR(MATCH('ORDENES'!$AC723,lista_turnos,0),9)*10000000+IFERROR(MATCH('ORDENES'!$AB723,'TECNICOS'!$B$4:$B$15,0),99)*100000+720,9000000000000+720)</f>
        <v/>
      </c>
      <c r="M727" s="3">
        <f>IF(K727=1,SUMPRODUCT(--($L$8:$L$1207&lt;L727))+1,"")</f>
        <v/>
      </c>
      <c r="N727" s="17">
        <f>IF(K727=1,N('ORDENES'!$M723),0)</f>
        <v/>
      </c>
      <c r="O727" s="17">
        <f>IF('ORDENES'!$S723="preventiva",N727,0)</f>
        <v/>
      </c>
      <c r="P727" s="17">
        <f>IF('ORDENES'!$S723="correctiva",N727,0)</f>
        <v/>
      </c>
      <c r="Q727" s="3">
        <f>IF(AND(K727=1,'ORDENES'!$N723="Pendiente"),1,0)</f>
        <v/>
      </c>
      <c r="R727" s="3">
        <f>IF(Q727=1,100000-N727*1000+720*0.01,9000000000000+720)</f>
        <v/>
      </c>
      <c r="S727" s="3">
        <f>IF(Q727=1,SUMPRODUCT(--($R$8:$R$1207&lt;R727))+1,"")</f>
        <v/>
      </c>
      <c r="T727" s="11">
        <f>IF(K727=1,'ORDENES'!$J723,"")</f>
        <v/>
      </c>
    </row>
    <row r="728">
      <c r="K728" s="3">
        <f>IF(AND(IF($B$3="(todos)",TRUE,'ORDENES'!$O724=$B$3),IF($D$3="(todos)",TRUE,'ORDENES'!$AC724=$D$3),IF($F$3="(todos)",TRUE,'ORDENES'!$V724=$F$3),'ORDENES'!$AA724=TRUE,'ORDENES'!$A724&lt;&gt;""),1,0)</f>
        <v/>
      </c>
      <c r="L728" s="3">
        <f>IF(K728=1,IFERROR(MATCH('ORDENES'!$R724,lista_dias,0),9)*1000000000+IFERROR(MATCH('ORDENES'!$AC724,lista_turnos,0),9)*10000000+IFERROR(MATCH('ORDENES'!$AB724,'TECNICOS'!$B$4:$B$15,0),99)*100000+721,9000000000000+721)</f>
        <v/>
      </c>
      <c r="M728" s="3">
        <f>IF(K728=1,SUMPRODUCT(--($L$8:$L$1207&lt;L728))+1,"")</f>
        <v/>
      </c>
      <c r="N728" s="17">
        <f>IF(K728=1,N('ORDENES'!$M724),0)</f>
        <v/>
      </c>
      <c r="O728" s="17">
        <f>IF('ORDENES'!$S724="preventiva",N728,0)</f>
        <v/>
      </c>
      <c r="P728" s="17">
        <f>IF('ORDENES'!$S724="correctiva",N728,0)</f>
        <v/>
      </c>
      <c r="Q728" s="3">
        <f>IF(AND(K728=1,'ORDENES'!$N724="Pendiente"),1,0)</f>
        <v/>
      </c>
      <c r="R728" s="3">
        <f>IF(Q728=1,100000-N728*1000+721*0.01,9000000000000+721)</f>
        <v/>
      </c>
      <c r="S728" s="3">
        <f>IF(Q728=1,SUMPRODUCT(--($R$8:$R$1207&lt;R728))+1,"")</f>
        <v/>
      </c>
      <c r="T728" s="11">
        <f>IF(K728=1,'ORDENES'!$J724,"")</f>
        <v/>
      </c>
    </row>
    <row r="729">
      <c r="K729" s="3">
        <f>IF(AND(IF($B$3="(todos)",TRUE,'ORDENES'!$O725=$B$3),IF($D$3="(todos)",TRUE,'ORDENES'!$AC725=$D$3),IF($F$3="(todos)",TRUE,'ORDENES'!$V725=$F$3),'ORDENES'!$AA725=TRUE,'ORDENES'!$A725&lt;&gt;""),1,0)</f>
        <v/>
      </c>
      <c r="L729" s="3">
        <f>IF(K729=1,IFERROR(MATCH('ORDENES'!$R725,lista_dias,0),9)*1000000000+IFERROR(MATCH('ORDENES'!$AC725,lista_turnos,0),9)*10000000+IFERROR(MATCH('ORDENES'!$AB725,'TECNICOS'!$B$4:$B$15,0),99)*100000+722,9000000000000+722)</f>
        <v/>
      </c>
      <c r="M729" s="3">
        <f>IF(K729=1,SUMPRODUCT(--($L$8:$L$1207&lt;L729))+1,"")</f>
        <v/>
      </c>
      <c r="N729" s="17">
        <f>IF(K729=1,N('ORDENES'!$M725),0)</f>
        <v/>
      </c>
      <c r="O729" s="17">
        <f>IF('ORDENES'!$S725="preventiva",N729,0)</f>
        <v/>
      </c>
      <c r="P729" s="17">
        <f>IF('ORDENES'!$S725="correctiva",N729,0)</f>
        <v/>
      </c>
      <c r="Q729" s="3">
        <f>IF(AND(K729=1,'ORDENES'!$N725="Pendiente"),1,0)</f>
        <v/>
      </c>
      <c r="R729" s="3">
        <f>IF(Q729=1,100000-N729*1000+722*0.01,9000000000000+722)</f>
        <v/>
      </c>
      <c r="S729" s="3">
        <f>IF(Q729=1,SUMPRODUCT(--($R$8:$R$1207&lt;R729))+1,"")</f>
        <v/>
      </c>
      <c r="T729" s="11">
        <f>IF(K729=1,'ORDENES'!$J725,"")</f>
        <v/>
      </c>
    </row>
    <row r="730">
      <c r="K730" s="3">
        <f>IF(AND(IF($B$3="(todos)",TRUE,'ORDENES'!$O726=$B$3),IF($D$3="(todos)",TRUE,'ORDENES'!$AC726=$D$3),IF($F$3="(todos)",TRUE,'ORDENES'!$V726=$F$3),'ORDENES'!$AA726=TRUE,'ORDENES'!$A726&lt;&gt;""),1,0)</f>
        <v/>
      </c>
      <c r="L730" s="3">
        <f>IF(K730=1,IFERROR(MATCH('ORDENES'!$R726,lista_dias,0),9)*1000000000+IFERROR(MATCH('ORDENES'!$AC726,lista_turnos,0),9)*10000000+IFERROR(MATCH('ORDENES'!$AB726,'TECNICOS'!$B$4:$B$15,0),99)*100000+723,9000000000000+723)</f>
        <v/>
      </c>
      <c r="M730" s="3">
        <f>IF(K730=1,SUMPRODUCT(--($L$8:$L$1207&lt;L730))+1,"")</f>
        <v/>
      </c>
      <c r="N730" s="17">
        <f>IF(K730=1,N('ORDENES'!$M726),0)</f>
        <v/>
      </c>
      <c r="O730" s="17">
        <f>IF('ORDENES'!$S726="preventiva",N730,0)</f>
        <v/>
      </c>
      <c r="P730" s="17">
        <f>IF('ORDENES'!$S726="correctiva",N730,0)</f>
        <v/>
      </c>
      <c r="Q730" s="3">
        <f>IF(AND(K730=1,'ORDENES'!$N726="Pendiente"),1,0)</f>
        <v/>
      </c>
      <c r="R730" s="3">
        <f>IF(Q730=1,100000-N730*1000+723*0.01,9000000000000+723)</f>
        <v/>
      </c>
      <c r="S730" s="3">
        <f>IF(Q730=1,SUMPRODUCT(--($R$8:$R$1207&lt;R730))+1,"")</f>
        <v/>
      </c>
      <c r="T730" s="11">
        <f>IF(K730=1,'ORDENES'!$J726,"")</f>
        <v/>
      </c>
    </row>
    <row r="731">
      <c r="K731" s="3">
        <f>IF(AND(IF($B$3="(todos)",TRUE,'ORDENES'!$O727=$B$3),IF($D$3="(todos)",TRUE,'ORDENES'!$AC727=$D$3),IF($F$3="(todos)",TRUE,'ORDENES'!$V727=$F$3),'ORDENES'!$AA727=TRUE,'ORDENES'!$A727&lt;&gt;""),1,0)</f>
        <v/>
      </c>
      <c r="L731" s="3">
        <f>IF(K731=1,IFERROR(MATCH('ORDENES'!$R727,lista_dias,0),9)*1000000000+IFERROR(MATCH('ORDENES'!$AC727,lista_turnos,0),9)*10000000+IFERROR(MATCH('ORDENES'!$AB727,'TECNICOS'!$B$4:$B$15,0),99)*100000+724,9000000000000+724)</f>
        <v/>
      </c>
      <c r="M731" s="3">
        <f>IF(K731=1,SUMPRODUCT(--($L$8:$L$1207&lt;L731))+1,"")</f>
        <v/>
      </c>
      <c r="N731" s="17">
        <f>IF(K731=1,N('ORDENES'!$M727),0)</f>
        <v/>
      </c>
      <c r="O731" s="17">
        <f>IF('ORDENES'!$S727="preventiva",N731,0)</f>
        <v/>
      </c>
      <c r="P731" s="17">
        <f>IF('ORDENES'!$S727="correctiva",N731,0)</f>
        <v/>
      </c>
      <c r="Q731" s="3">
        <f>IF(AND(K731=1,'ORDENES'!$N727="Pendiente"),1,0)</f>
        <v/>
      </c>
      <c r="R731" s="3">
        <f>IF(Q731=1,100000-N731*1000+724*0.01,9000000000000+724)</f>
        <v/>
      </c>
      <c r="S731" s="3">
        <f>IF(Q731=1,SUMPRODUCT(--($R$8:$R$1207&lt;R731))+1,"")</f>
        <v/>
      </c>
      <c r="T731" s="11">
        <f>IF(K731=1,'ORDENES'!$J727,"")</f>
        <v/>
      </c>
    </row>
    <row r="732">
      <c r="K732" s="3">
        <f>IF(AND(IF($B$3="(todos)",TRUE,'ORDENES'!$O728=$B$3),IF($D$3="(todos)",TRUE,'ORDENES'!$AC728=$D$3),IF($F$3="(todos)",TRUE,'ORDENES'!$V728=$F$3),'ORDENES'!$AA728=TRUE,'ORDENES'!$A728&lt;&gt;""),1,0)</f>
        <v/>
      </c>
      <c r="L732" s="3">
        <f>IF(K732=1,IFERROR(MATCH('ORDENES'!$R728,lista_dias,0),9)*1000000000+IFERROR(MATCH('ORDENES'!$AC728,lista_turnos,0),9)*10000000+IFERROR(MATCH('ORDENES'!$AB728,'TECNICOS'!$B$4:$B$15,0),99)*100000+725,9000000000000+725)</f>
        <v/>
      </c>
      <c r="M732" s="3">
        <f>IF(K732=1,SUMPRODUCT(--($L$8:$L$1207&lt;L732))+1,"")</f>
        <v/>
      </c>
      <c r="N732" s="17">
        <f>IF(K732=1,N('ORDENES'!$M728),0)</f>
        <v/>
      </c>
      <c r="O732" s="17">
        <f>IF('ORDENES'!$S728="preventiva",N732,0)</f>
        <v/>
      </c>
      <c r="P732" s="17">
        <f>IF('ORDENES'!$S728="correctiva",N732,0)</f>
        <v/>
      </c>
      <c r="Q732" s="3">
        <f>IF(AND(K732=1,'ORDENES'!$N728="Pendiente"),1,0)</f>
        <v/>
      </c>
      <c r="R732" s="3">
        <f>IF(Q732=1,100000-N732*1000+725*0.01,9000000000000+725)</f>
        <v/>
      </c>
      <c r="S732" s="3">
        <f>IF(Q732=1,SUMPRODUCT(--($R$8:$R$1207&lt;R732))+1,"")</f>
        <v/>
      </c>
      <c r="T732" s="11">
        <f>IF(K732=1,'ORDENES'!$J728,"")</f>
        <v/>
      </c>
    </row>
    <row r="733">
      <c r="K733" s="3">
        <f>IF(AND(IF($B$3="(todos)",TRUE,'ORDENES'!$O729=$B$3),IF($D$3="(todos)",TRUE,'ORDENES'!$AC729=$D$3),IF($F$3="(todos)",TRUE,'ORDENES'!$V729=$F$3),'ORDENES'!$AA729=TRUE,'ORDENES'!$A729&lt;&gt;""),1,0)</f>
        <v/>
      </c>
      <c r="L733" s="3">
        <f>IF(K733=1,IFERROR(MATCH('ORDENES'!$R729,lista_dias,0),9)*1000000000+IFERROR(MATCH('ORDENES'!$AC729,lista_turnos,0),9)*10000000+IFERROR(MATCH('ORDENES'!$AB729,'TECNICOS'!$B$4:$B$15,0),99)*100000+726,9000000000000+726)</f>
        <v/>
      </c>
      <c r="M733" s="3">
        <f>IF(K733=1,SUMPRODUCT(--($L$8:$L$1207&lt;L733))+1,"")</f>
        <v/>
      </c>
      <c r="N733" s="17">
        <f>IF(K733=1,N('ORDENES'!$M729),0)</f>
        <v/>
      </c>
      <c r="O733" s="17">
        <f>IF('ORDENES'!$S729="preventiva",N733,0)</f>
        <v/>
      </c>
      <c r="P733" s="17">
        <f>IF('ORDENES'!$S729="correctiva",N733,0)</f>
        <v/>
      </c>
      <c r="Q733" s="3">
        <f>IF(AND(K733=1,'ORDENES'!$N729="Pendiente"),1,0)</f>
        <v/>
      </c>
      <c r="R733" s="3">
        <f>IF(Q733=1,100000-N733*1000+726*0.01,9000000000000+726)</f>
        <v/>
      </c>
      <c r="S733" s="3">
        <f>IF(Q733=1,SUMPRODUCT(--($R$8:$R$1207&lt;R733))+1,"")</f>
        <v/>
      </c>
      <c r="T733" s="11">
        <f>IF(K733=1,'ORDENES'!$J729,"")</f>
        <v/>
      </c>
    </row>
    <row r="734">
      <c r="K734" s="3">
        <f>IF(AND(IF($B$3="(todos)",TRUE,'ORDENES'!$O730=$B$3),IF($D$3="(todos)",TRUE,'ORDENES'!$AC730=$D$3),IF($F$3="(todos)",TRUE,'ORDENES'!$V730=$F$3),'ORDENES'!$AA730=TRUE,'ORDENES'!$A730&lt;&gt;""),1,0)</f>
        <v/>
      </c>
      <c r="L734" s="3">
        <f>IF(K734=1,IFERROR(MATCH('ORDENES'!$R730,lista_dias,0),9)*1000000000+IFERROR(MATCH('ORDENES'!$AC730,lista_turnos,0),9)*10000000+IFERROR(MATCH('ORDENES'!$AB730,'TECNICOS'!$B$4:$B$15,0),99)*100000+727,9000000000000+727)</f>
        <v/>
      </c>
      <c r="M734" s="3">
        <f>IF(K734=1,SUMPRODUCT(--($L$8:$L$1207&lt;L734))+1,"")</f>
        <v/>
      </c>
      <c r="N734" s="17">
        <f>IF(K734=1,N('ORDENES'!$M730),0)</f>
        <v/>
      </c>
      <c r="O734" s="17">
        <f>IF('ORDENES'!$S730="preventiva",N734,0)</f>
        <v/>
      </c>
      <c r="P734" s="17">
        <f>IF('ORDENES'!$S730="correctiva",N734,0)</f>
        <v/>
      </c>
      <c r="Q734" s="3">
        <f>IF(AND(K734=1,'ORDENES'!$N730="Pendiente"),1,0)</f>
        <v/>
      </c>
      <c r="R734" s="3">
        <f>IF(Q734=1,100000-N734*1000+727*0.01,9000000000000+727)</f>
        <v/>
      </c>
      <c r="S734" s="3">
        <f>IF(Q734=1,SUMPRODUCT(--($R$8:$R$1207&lt;R734))+1,"")</f>
        <v/>
      </c>
      <c r="T734" s="11">
        <f>IF(K734=1,'ORDENES'!$J730,"")</f>
        <v/>
      </c>
    </row>
    <row r="735">
      <c r="K735" s="3">
        <f>IF(AND(IF($B$3="(todos)",TRUE,'ORDENES'!$O731=$B$3),IF($D$3="(todos)",TRUE,'ORDENES'!$AC731=$D$3),IF($F$3="(todos)",TRUE,'ORDENES'!$V731=$F$3),'ORDENES'!$AA731=TRUE,'ORDENES'!$A731&lt;&gt;""),1,0)</f>
        <v/>
      </c>
      <c r="L735" s="3">
        <f>IF(K735=1,IFERROR(MATCH('ORDENES'!$R731,lista_dias,0),9)*1000000000+IFERROR(MATCH('ORDENES'!$AC731,lista_turnos,0),9)*10000000+IFERROR(MATCH('ORDENES'!$AB731,'TECNICOS'!$B$4:$B$15,0),99)*100000+728,9000000000000+728)</f>
        <v/>
      </c>
      <c r="M735" s="3">
        <f>IF(K735=1,SUMPRODUCT(--($L$8:$L$1207&lt;L735))+1,"")</f>
        <v/>
      </c>
      <c r="N735" s="17">
        <f>IF(K735=1,N('ORDENES'!$M731),0)</f>
        <v/>
      </c>
      <c r="O735" s="17">
        <f>IF('ORDENES'!$S731="preventiva",N735,0)</f>
        <v/>
      </c>
      <c r="P735" s="17">
        <f>IF('ORDENES'!$S731="correctiva",N735,0)</f>
        <v/>
      </c>
      <c r="Q735" s="3">
        <f>IF(AND(K735=1,'ORDENES'!$N731="Pendiente"),1,0)</f>
        <v/>
      </c>
      <c r="R735" s="3">
        <f>IF(Q735=1,100000-N735*1000+728*0.01,9000000000000+728)</f>
        <v/>
      </c>
      <c r="S735" s="3">
        <f>IF(Q735=1,SUMPRODUCT(--($R$8:$R$1207&lt;R735))+1,"")</f>
        <v/>
      </c>
      <c r="T735" s="11">
        <f>IF(K735=1,'ORDENES'!$J731,"")</f>
        <v/>
      </c>
    </row>
    <row r="736">
      <c r="K736" s="3">
        <f>IF(AND(IF($B$3="(todos)",TRUE,'ORDENES'!$O732=$B$3),IF($D$3="(todos)",TRUE,'ORDENES'!$AC732=$D$3),IF($F$3="(todos)",TRUE,'ORDENES'!$V732=$F$3),'ORDENES'!$AA732=TRUE,'ORDENES'!$A732&lt;&gt;""),1,0)</f>
        <v/>
      </c>
      <c r="L736" s="3">
        <f>IF(K736=1,IFERROR(MATCH('ORDENES'!$R732,lista_dias,0),9)*1000000000+IFERROR(MATCH('ORDENES'!$AC732,lista_turnos,0),9)*10000000+IFERROR(MATCH('ORDENES'!$AB732,'TECNICOS'!$B$4:$B$15,0),99)*100000+729,9000000000000+729)</f>
        <v/>
      </c>
      <c r="M736" s="3">
        <f>IF(K736=1,SUMPRODUCT(--($L$8:$L$1207&lt;L736))+1,"")</f>
        <v/>
      </c>
      <c r="N736" s="17">
        <f>IF(K736=1,N('ORDENES'!$M732),0)</f>
        <v/>
      </c>
      <c r="O736" s="17">
        <f>IF('ORDENES'!$S732="preventiva",N736,0)</f>
        <v/>
      </c>
      <c r="P736" s="17">
        <f>IF('ORDENES'!$S732="correctiva",N736,0)</f>
        <v/>
      </c>
      <c r="Q736" s="3">
        <f>IF(AND(K736=1,'ORDENES'!$N732="Pendiente"),1,0)</f>
        <v/>
      </c>
      <c r="R736" s="3">
        <f>IF(Q736=1,100000-N736*1000+729*0.01,9000000000000+729)</f>
        <v/>
      </c>
      <c r="S736" s="3">
        <f>IF(Q736=1,SUMPRODUCT(--($R$8:$R$1207&lt;R736))+1,"")</f>
        <v/>
      </c>
      <c r="T736" s="11">
        <f>IF(K736=1,'ORDENES'!$J732,"")</f>
        <v/>
      </c>
    </row>
    <row r="737">
      <c r="K737" s="3">
        <f>IF(AND(IF($B$3="(todos)",TRUE,'ORDENES'!$O733=$B$3),IF($D$3="(todos)",TRUE,'ORDENES'!$AC733=$D$3),IF($F$3="(todos)",TRUE,'ORDENES'!$V733=$F$3),'ORDENES'!$AA733=TRUE,'ORDENES'!$A733&lt;&gt;""),1,0)</f>
        <v/>
      </c>
      <c r="L737" s="3">
        <f>IF(K737=1,IFERROR(MATCH('ORDENES'!$R733,lista_dias,0),9)*1000000000+IFERROR(MATCH('ORDENES'!$AC733,lista_turnos,0),9)*10000000+IFERROR(MATCH('ORDENES'!$AB733,'TECNICOS'!$B$4:$B$15,0),99)*100000+730,9000000000000+730)</f>
        <v/>
      </c>
      <c r="M737" s="3">
        <f>IF(K737=1,SUMPRODUCT(--($L$8:$L$1207&lt;L737))+1,"")</f>
        <v/>
      </c>
      <c r="N737" s="17">
        <f>IF(K737=1,N('ORDENES'!$M733),0)</f>
        <v/>
      </c>
      <c r="O737" s="17">
        <f>IF('ORDENES'!$S733="preventiva",N737,0)</f>
        <v/>
      </c>
      <c r="P737" s="17">
        <f>IF('ORDENES'!$S733="correctiva",N737,0)</f>
        <v/>
      </c>
      <c r="Q737" s="3">
        <f>IF(AND(K737=1,'ORDENES'!$N733="Pendiente"),1,0)</f>
        <v/>
      </c>
      <c r="R737" s="3">
        <f>IF(Q737=1,100000-N737*1000+730*0.01,9000000000000+730)</f>
        <v/>
      </c>
      <c r="S737" s="3">
        <f>IF(Q737=1,SUMPRODUCT(--($R$8:$R$1207&lt;R737))+1,"")</f>
        <v/>
      </c>
      <c r="T737" s="11">
        <f>IF(K737=1,'ORDENES'!$J733,"")</f>
        <v/>
      </c>
    </row>
    <row r="738">
      <c r="K738" s="3">
        <f>IF(AND(IF($B$3="(todos)",TRUE,'ORDENES'!$O734=$B$3),IF($D$3="(todos)",TRUE,'ORDENES'!$AC734=$D$3),IF($F$3="(todos)",TRUE,'ORDENES'!$V734=$F$3),'ORDENES'!$AA734=TRUE,'ORDENES'!$A734&lt;&gt;""),1,0)</f>
        <v/>
      </c>
      <c r="L738" s="3">
        <f>IF(K738=1,IFERROR(MATCH('ORDENES'!$R734,lista_dias,0),9)*1000000000+IFERROR(MATCH('ORDENES'!$AC734,lista_turnos,0),9)*10000000+IFERROR(MATCH('ORDENES'!$AB734,'TECNICOS'!$B$4:$B$15,0),99)*100000+731,9000000000000+731)</f>
        <v/>
      </c>
      <c r="M738" s="3">
        <f>IF(K738=1,SUMPRODUCT(--($L$8:$L$1207&lt;L738))+1,"")</f>
        <v/>
      </c>
      <c r="N738" s="17">
        <f>IF(K738=1,N('ORDENES'!$M734),0)</f>
        <v/>
      </c>
      <c r="O738" s="17">
        <f>IF('ORDENES'!$S734="preventiva",N738,0)</f>
        <v/>
      </c>
      <c r="P738" s="17">
        <f>IF('ORDENES'!$S734="correctiva",N738,0)</f>
        <v/>
      </c>
      <c r="Q738" s="3">
        <f>IF(AND(K738=1,'ORDENES'!$N734="Pendiente"),1,0)</f>
        <v/>
      </c>
      <c r="R738" s="3">
        <f>IF(Q738=1,100000-N738*1000+731*0.01,9000000000000+731)</f>
        <v/>
      </c>
      <c r="S738" s="3">
        <f>IF(Q738=1,SUMPRODUCT(--($R$8:$R$1207&lt;R738))+1,"")</f>
        <v/>
      </c>
      <c r="T738" s="11">
        <f>IF(K738=1,'ORDENES'!$J734,"")</f>
        <v/>
      </c>
    </row>
    <row r="739">
      <c r="K739" s="3">
        <f>IF(AND(IF($B$3="(todos)",TRUE,'ORDENES'!$O735=$B$3),IF($D$3="(todos)",TRUE,'ORDENES'!$AC735=$D$3),IF($F$3="(todos)",TRUE,'ORDENES'!$V735=$F$3),'ORDENES'!$AA735=TRUE,'ORDENES'!$A735&lt;&gt;""),1,0)</f>
        <v/>
      </c>
      <c r="L739" s="3">
        <f>IF(K739=1,IFERROR(MATCH('ORDENES'!$R735,lista_dias,0),9)*1000000000+IFERROR(MATCH('ORDENES'!$AC735,lista_turnos,0),9)*10000000+IFERROR(MATCH('ORDENES'!$AB735,'TECNICOS'!$B$4:$B$15,0),99)*100000+732,9000000000000+732)</f>
        <v/>
      </c>
      <c r="M739" s="3">
        <f>IF(K739=1,SUMPRODUCT(--($L$8:$L$1207&lt;L739))+1,"")</f>
        <v/>
      </c>
      <c r="N739" s="17">
        <f>IF(K739=1,N('ORDENES'!$M735),0)</f>
        <v/>
      </c>
      <c r="O739" s="17">
        <f>IF('ORDENES'!$S735="preventiva",N739,0)</f>
        <v/>
      </c>
      <c r="P739" s="17">
        <f>IF('ORDENES'!$S735="correctiva",N739,0)</f>
        <v/>
      </c>
      <c r="Q739" s="3">
        <f>IF(AND(K739=1,'ORDENES'!$N735="Pendiente"),1,0)</f>
        <v/>
      </c>
      <c r="R739" s="3">
        <f>IF(Q739=1,100000-N739*1000+732*0.01,9000000000000+732)</f>
        <v/>
      </c>
      <c r="S739" s="3">
        <f>IF(Q739=1,SUMPRODUCT(--($R$8:$R$1207&lt;R739))+1,"")</f>
        <v/>
      </c>
      <c r="T739" s="11">
        <f>IF(K739=1,'ORDENES'!$J735,"")</f>
        <v/>
      </c>
    </row>
    <row r="740">
      <c r="K740" s="3">
        <f>IF(AND(IF($B$3="(todos)",TRUE,'ORDENES'!$O736=$B$3),IF($D$3="(todos)",TRUE,'ORDENES'!$AC736=$D$3),IF($F$3="(todos)",TRUE,'ORDENES'!$V736=$F$3),'ORDENES'!$AA736=TRUE,'ORDENES'!$A736&lt;&gt;""),1,0)</f>
        <v/>
      </c>
      <c r="L740" s="3">
        <f>IF(K740=1,IFERROR(MATCH('ORDENES'!$R736,lista_dias,0),9)*1000000000+IFERROR(MATCH('ORDENES'!$AC736,lista_turnos,0),9)*10000000+IFERROR(MATCH('ORDENES'!$AB736,'TECNICOS'!$B$4:$B$15,0),99)*100000+733,9000000000000+733)</f>
        <v/>
      </c>
      <c r="M740" s="3">
        <f>IF(K740=1,SUMPRODUCT(--($L$8:$L$1207&lt;L740))+1,"")</f>
        <v/>
      </c>
      <c r="N740" s="17">
        <f>IF(K740=1,N('ORDENES'!$M736),0)</f>
        <v/>
      </c>
      <c r="O740" s="17">
        <f>IF('ORDENES'!$S736="preventiva",N740,0)</f>
        <v/>
      </c>
      <c r="P740" s="17">
        <f>IF('ORDENES'!$S736="correctiva",N740,0)</f>
        <v/>
      </c>
      <c r="Q740" s="3">
        <f>IF(AND(K740=1,'ORDENES'!$N736="Pendiente"),1,0)</f>
        <v/>
      </c>
      <c r="R740" s="3">
        <f>IF(Q740=1,100000-N740*1000+733*0.01,9000000000000+733)</f>
        <v/>
      </c>
      <c r="S740" s="3">
        <f>IF(Q740=1,SUMPRODUCT(--($R$8:$R$1207&lt;R740))+1,"")</f>
        <v/>
      </c>
      <c r="T740" s="11">
        <f>IF(K740=1,'ORDENES'!$J736,"")</f>
        <v/>
      </c>
    </row>
    <row r="741">
      <c r="K741" s="3">
        <f>IF(AND(IF($B$3="(todos)",TRUE,'ORDENES'!$O737=$B$3),IF($D$3="(todos)",TRUE,'ORDENES'!$AC737=$D$3),IF($F$3="(todos)",TRUE,'ORDENES'!$V737=$F$3),'ORDENES'!$AA737=TRUE,'ORDENES'!$A737&lt;&gt;""),1,0)</f>
        <v/>
      </c>
      <c r="L741" s="3">
        <f>IF(K741=1,IFERROR(MATCH('ORDENES'!$R737,lista_dias,0),9)*1000000000+IFERROR(MATCH('ORDENES'!$AC737,lista_turnos,0),9)*10000000+IFERROR(MATCH('ORDENES'!$AB737,'TECNICOS'!$B$4:$B$15,0),99)*100000+734,9000000000000+734)</f>
        <v/>
      </c>
      <c r="M741" s="3">
        <f>IF(K741=1,SUMPRODUCT(--($L$8:$L$1207&lt;L741))+1,"")</f>
        <v/>
      </c>
      <c r="N741" s="17">
        <f>IF(K741=1,N('ORDENES'!$M737),0)</f>
        <v/>
      </c>
      <c r="O741" s="17">
        <f>IF('ORDENES'!$S737="preventiva",N741,0)</f>
        <v/>
      </c>
      <c r="P741" s="17">
        <f>IF('ORDENES'!$S737="correctiva",N741,0)</f>
        <v/>
      </c>
      <c r="Q741" s="3">
        <f>IF(AND(K741=1,'ORDENES'!$N737="Pendiente"),1,0)</f>
        <v/>
      </c>
      <c r="R741" s="3">
        <f>IF(Q741=1,100000-N741*1000+734*0.01,9000000000000+734)</f>
        <v/>
      </c>
      <c r="S741" s="3">
        <f>IF(Q741=1,SUMPRODUCT(--($R$8:$R$1207&lt;R741))+1,"")</f>
        <v/>
      </c>
      <c r="T741" s="11">
        <f>IF(K741=1,'ORDENES'!$J737,"")</f>
        <v/>
      </c>
    </row>
    <row r="742">
      <c r="K742" s="3">
        <f>IF(AND(IF($B$3="(todos)",TRUE,'ORDENES'!$O738=$B$3),IF($D$3="(todos)",TRUE,'ORDENES'!$AC738=$D$3),IF($F$3="(todos)",TRUE,'ORDENES'!$V738=$F$3),'ORDENES'!$AA738=TRUE,'ORDENES'!$A738&lt;&gt;""),1,0)</f>
        <v/>
      </c>
      <c r="L742" s="3">
        <f>IF(K742=1,IFERROR(MATCH('ORDENES'!$R738,lista_dias,0),9)*1000000000+IFERROR(MATCH('ORDENES'!$AC738,lista_turnos,0),9)*10000000+IFERROR(MATCH('ORDENES'!$AB738,'TECNICOS'!$B$4:$B$15,0),99)*100000+735,9000000000000+735)</f>
        <v/>
      </c>
      <c r="M742" s="3">
        <f>IF(K742=1,SUMPRODUCT(--($L$8:$L$1207&lt;L742))+1,"")</f>
        <v/>
      </c>
      <c r="N742" s="17">
        <f>IF(K742=1,N('ORDENES'!$M738),0)</f>
        <v/>
      </c>
      <c r="O742" s="17">
        <f>IF('ORDENES'!$S738="preventiva",N742,0)</f>
        <v/>
      </c>
      <c r="P742" s="17">
        <f>IF('ORDENES'!$S738="correctiva",N742,0)</f>
        <v/>
      </c>
      <c r="Q742" s="3">
        <f>IF(AND(K742=1,'ORDENES'!$N738="Pendiente"),1,0)</f>
        <v/>
      </c>
      <c r="R742" s="3">
        <f>IF(Q742=1,100000-N742*1000+735*0.01,9000000000000+735)</f>
        <v/>
      </c>
      <c r="S742" s="3">
        <f>IF(Q742=1,SUMPRODUCT(--($R$8:$R$1207&lt;R742))+1,"")</f>
        <v/>
      </c>
      <c r="T742" s="11">
        <f>IF(K742=1,'ORDENES'!$J738,"")</f>
        <v/>
      </c>
    </row>
    <row r="743">
      <c r="K743" s="3">
        <f>IF(AND(IF($B$3="(todos)",TRUE,'ORDENES'!$O739=$B$3),IF($D$3="(todos)",TRUE,'ORDENES'!$AC739=$D$3),IF($F$3="(todos)",TRUE,'ORDENES'!$V739=$F$3),'ORDENES'!$AA739=TRUE,'ORDENES'!$A739&lt;&gt;""),1,0)</f>
        <v/>
      </c>
      <c r="L743" s="3">
        <f>IF(K743=1,IFERROR(MATCH('ORDENES'!$R739,lista_dias,0),9)*1000000000+IFERROR(MATCH('ORDENES'!$AC739,lista_turnos,0),9)*10000000+IFERROR(MATCH('ORDENES'!$AB739,'TECNICOS'!$B$4:$B$15,0),99)*100000+736,9000000000000+736)</f>
        <v/>
      </c>
      <c r="M743" s="3">
        <f>IF(K743=1,SUMPRODUCT(--($L$8:$L$1207&lt;L743))+1,"")</f>
        <v/>
      </c>
      <c r="N743" s="17">
        <f>IF(K743=1,N('ORDENES'!$M739),0)</f>
        <v/>
      </c>
      <c r="O743" s="17">
        <f>IF('ORDENES'!$S739="preventiva",N743,0)</f>
        <v/>
      </c>
      <c r="P743" s="17">
        <f>IF('ORDENES'!$S739="correctiva",N743,0)</f>
        <v/>
      </c>
      <c r="Q743" s="3">
        <f>IF(AND(K743=1,'ORDENES'!$N739="Pendiente"),1,0)</f>
        <v/>
      </c>
      <c r="R743" s="3">
        <f>IF(Q743=1,100000-N743*1000+736*0.01,9000000000000+736)</f>
        <v/>
      </c>
      <c r="S743" s="3">
        <f>IF(Q743=1,SUMPRODUCT(--($R$8:$R$1207&lt;R743))+1,"")</f>
        <v/>
      </c>
      <c r="T743" s="11">
        <f>IF(K743=1,'ORDENES'!$J739,"")</f>
        <v/>
      </c>
    </row>
    <row r="744">
      <c r="K744" s="3">
        <f>IF(AND(IF($B$3="(todos)",TRUE,'ORDENES'!$O740=$B$3),IF($D$3="(todos)",TRUE,'ORDENES'!$AC740=$D$3),IF($F$3="(todos)",TRUE,'ORDENES'!$V740=$F$3),'ORDENES'!$AA740=TRUE,'ORDENES'!$A740&lt;&gt;""),1,0)</f>
        <v/>
      </c>
      <c r="L744" s="3">
        <f>IF(K744=1,IFERROR(MATCH('ORDENES'!$R740,lista_dias,0),9)*1000000000+IFERROR(MATCH('ORDENES'!$AC740,lista_turnos,0),9)*10000000+IFERROR(MATCH('ORDENES'!$AB740,'TECNICOS'!$B$4:$B$15,0),99)*100000+737,9000000000000+737)</f>
        <v/>
      </c>
      <c r="M744" s="3">
        <f>IF(K744=1,SUMPRODUCT(--($L$8:$L$1207&lt;L744))+1,"")</f>
        <v/>
      </c>
      <c r="N744" s="17">
        <f>IF(K744=1,N('ORDENES'!$M740),0)</f>
        <v/>
      </c>
      <c r="O744" s="17">
        <f>IF('ORDENES'!$S740="preventiva",N744,0)</f>
        <v/>
      </c>
      <c r="P744" s="17">
        <f>IF('ORDENES'!$S740="correctiva",N744,0)</f>
        <v/>
      </c>
      <c r="Q744" s="3">
        <f>IF(AND(K744=1,'ORDENES'!$N740="Pendiente"),1,0)</f>
        <v/>
      </c>
      <c r="R744" s="3">
        <f>IF(Q744=1,100000-N744*1000+737*0.01,9000000000000+737)</f>
        <v/>
      </c>
      <c r="S744" s="3">
        <f>IF(Q744=1,SUMPRODUCT(--($R$8:$R$1207&lt;R744))+1,"")</f>
        <v/>
      </c>
      <c r="T744" s="11">
        <f>IF(K744=1,'ORDENES'!$J740,"")</f>
        <v/>
      </c>
    </row>
    <row r="745">
      <c r="K745" s="3">
        <f>IF(AND(IF($B$3="(todos)",TRUE,'ORDENES'!$O741=$B$3),IF($D$3="(todos)",TRUE,'ORDENES'!$AC741=$D$3),IF($F$3="(todos)",TRUE,'ORDENES'!$V741=$F$3),'ORDENES'!$AA741=TRUE,'ORDENES'!$A741&lt;&gt;""),1,0)</f>
        <v/>
      </c>
      <c r="L745" s="3">
        <f>IF(K745=1,IFERROR(MATCH('ORDENES'!$R741,lista_dias,0),9)*1000000000+IFERROR(MATCH('ORDENES'!$AC741,lista_turnos,0),9)*10000000+IFERROR(MATCH('ORDENES'!$AB741,'TECNICOS'!$B$4:$B$15,0),99)*100000+738,9000000000000+738)</f>
        <v/>
      </c>
      <c r="M745" s="3">
        <f>IF(K745=1,SUMPRODUCT(--($L$8:$L$1207&lt;L745))+1,"")</f>
        <v/>
      </c>
      <c r="N745" s="17">
        <f>IF(K745=1,N('ORDENES'!$M741),0)</f>
        <v/>
      </c>
      <c r="O745" s="17">
        <f>IF('ORDENES'!$S741="preventiva",N745,0)</f>
        <v/>
      </c>
      <c r="P745" s="17">
        <f>IF('ORDENES'!$S741="correctiva",N745,0)</f>
        <v/>
      </c>
      <c r="Q745" s="3">
        <f>IF(AND(K745=1,'ORDENES'!$N741="Pendiente"),1,0)</f>
        <v/>
      </c>
      <c r="R745" s="3">
        <f>IF(Q745=1,100000-N745*1000+738*0.01,9000000000000+738)</f>
        <v/>
      </c>
      <c r="S745" s="3">
        <f>IF(Q745=1,SUMPRODUCT(--($R$8:$R$1207&lt;R745))+1,"")</f>
        <v/>
      </c>
      <c r="T745" s="11">
        <f>IF(K745=1,'ORDENES'!$J741,"")</f>
        <v/>
      </c>
    </row>
    <row r="746">
      <c r="K746" s="3">
        <f>IF(AND(IF($B$3="(todos)",TRUE,'ORDENES'!$O742=$B$3),IF($D$3="(todos)",TRUE,'ORDENES'!$AC742=$D$3),IF($F$3="(todos)",TRUE,'ORDENES'!$V742=$F$3),'ORDENES'!$AA742=TRUE,'ORDENES'!$A742&lt;&gt;""),1,0)</f>
        <v/>
      </c>
      <c r="L746" s="3">
        <f>IF(K746=1,IFERROR(MATCH('ORDENES'!$R742,lista_dias,0),9)*1000000000+IFERROR(MATCH('ORDENES'!$AC742,lista_turnos,0),9)*10000000+IFERROR(MATCH('ORDENES'!$AB742,'TECNICOS'!$B$4:$B$15,0),99)*100000+739,9000000000000+739)</f>
        <v/>
      </c>
      <c r="M746" s="3">
        <f>IF(K746=1,SUMPRODUCT(--($L$8:$L$1207&lt;L746))+1,"")</f>
        <v/>
      </c>
      <c r="N746" s="17">
        <f>IF(K746=1,N('ORDENES'!$M742),0)</f>
        <v/>
      </c>
      <c r="O746" s="17">
        <f>IF('ORDENES'!$S742="preventiva",N746,0)</f>
        <v/>
      </c>
      <c r="P746" s="17">
        <f>IF('ORDENES'!$S742="correctiva",N746,0)</f>
        <v/>
      </c>
      <c r="Q746" s="3">
        <f>IF(AND(K746=1,'ORDENES'!$N742="Pendiente"),1,0)</f>
        <v/>
      </c>
      <c r="R746" s="3">
        <f>IF(Q746=1,100000-N746*1000+739*0.01,9000000000000+739)</f>
        <v/>
      </c>
      <c r="S746" s="3">
        <f>IF(Q746=1,SUMPRODUCT(--($R$8:$R$1207&lt;R746))+1,"")</f>
        <v/>
      </c>
      <c r="T746" s="11">
        <f>IF(K746=1,'ORDENES'!$J742,"")</f>
        <v/>
      </c>
    </row>
    <row r="747">
      <c r="K747" s="3">
        <f>IF(AND(IF($B$3="(todos)",TRUE,'ORDENES'!$O743=$B$3),IF($D$3="(todos)",TRUE,'ORDENES'!$AC743=$D$3),IF($F$3="(todos)",TRUE,'ORDENES'!$V743=$F$3),'ORDENES'!$AA743=TRUE,'ORDENES'!$A743&lt;&gt;""),1,0)</f>
        <v/>
      </c>
      <c r="L747" s="3">
        <f>IF(K747=1,IFERROR(MATCH('ORDENES'!$R743,lista_dias,0),9)*1000000000+IFERROR(MATCH('ORDENES'!$AC743,lista_turnos,0),9)*10000000+IFERROR(MATCH('ORDENES'!$AB743,'TECNICOS'!$B$4:$B$15,0),99)*100000+740,9000000000000+740)</f>
        <v/>
      </c>
      <c r="M747" s="3">
        <f>IF(K747=1,SUMPRODUCT(--($L$8:$L$1207&lt;L747))+1,"")</f>
        <v/>
      </c>
      <c r="N747" s="17">
        <f>IF(K747=1,N('ORDENES'!$M743),0)</f>
        <v/>
      </c>
      <c r="O747" s="17">
        <f>IF('ORDENES'!$S743="preventiva",N747,0)</f>
        <v/>
      </c>
      <c r="P747" s="17">
        <f>IF('ORDENES'!$S743="correctiva",N747,0)</f>
        <v/>
      </c>
      <c r="Q747" s="3">
        <f>IF(AND(K747=1,'ORDENES'!$N743="Pendiente"),1,0)</f>
        <v/>
      </c>
      <c r="R747" s="3">
        <f>IF(Q747=1,100000-N747*1000+740*0.01,9000000000000+740)</f>
        <v/>
      </c>
      <c r="S747" s="3">
        <f>IF(Q747=1,SUMPRODUCT(--($R$8:$R$1207&lt;R747))+1,"")</f>
        <v/>
      </c>
      <c r="T747" s="11">
        <f>IF(K747=1,'ORDENES'!$J743,"")</f>
        <v/>
      </c>
    </row>
    <row r="748">
      <c r="K748" s="3">
        <f>IF(AND(IF($B$3="(todos)",TRUE,'ORDENES'!$O744=$B$3),IF($D$3="(todos)",TRUE,'ORDENES'!$AC744=$D$3),IF($F$3="(todos)",TRUE,'ORDENES'!$V744=$F$3),'ORDENES'!$AA744=TRUE,'ORDENES'!$A744&lt;&gt;""),1,0)</f>
        <v/>
      </c>
      <c r="L748" s="3">
        <f>IF(K748=1,IFERROR(MATCH('ORDENES'!$R744,lista_dias,0),9)*1000000000+IFERROR(MATCH('ORDENES'!$AC744,lista_turnos,0),9)*10000000+IFERROR(MATCH('ORDENES'!$AB744,'TECNICOS'!$B$4:$B$15,0),99)*100000+741,9000000000000+741)</f>
        <v/>
      </c>
      <c r="M748" s="3">
        <f>IF(K748=1,SUMPRODUCT(--($L$8:$L$1207&lt;L748))+1,"")</f>
        <v/>
      </c>
      <c r="N748" s="17">
        <f>IF(K748=1,N('ORDENES'!$M744),0)</f>
        <v/>
      </c>
      <c r="O748" s="17">
        <f>IF('ORDENES'!$S744="preventiva",N748,0)</f>
        <v/>
      </c>
      <c r="P748" s="17">
        <f>IF('ORDENES'!$S744="correctiva",N748,0)</f>
        <v/>
      </c>
      <c r="Q748" s="3">
        <f>IF(AND(K748=1,'ORDENES'!$N744="Pendiente"),1,0)</f>
        <v/>
      </c>
      <c r="R748" s="3">
        <f>IF(Q748=1,100000-N748*1000+741*0.01,9000000000000+741)</f>
        <v/>
      </c>
      <c r="S748" s="3">
        <f>IF(Q748=1,SUMPRODUCT(--($R$8:$R$1207&lt;R748))+1,"")</f>
        <v/>
      </c>
      <c r="T748" s="11">
        <f>IF(K748=1,'ORDENES'!$J744,"")</f>
        <v/>
      </c>
    </row>
    <row r="749">
      <c r="K749" s="3">
        <f>IF(AND(IF($B$3="(todos)",TRUE,'ORDENES'!$O745=$B$3),IF($D$3="(todos)",TRUE,'ORDENES'!$AC745=$D$3),IF($F$3="(todos)",TRUE,'ORDENES'!$V745=$F$3),'ORDENES'!$AA745=TRUE,'ORDENES'!$A745&lt;&gt;""),1,0)</f>
        <v/>
      </c>
      <c r="L749" s="3">
        <f>IF(K749=1,IFERROR(MATCH('ORDENES'!$R745,lista_dias,0),9)*1000000000+IFERROR(MATCH('ORDENES'!$AC745,lista_turnos,0),9)*10000000+IFERROR(MATCH('ORDENES'!$AB745,'TECNICOS'!$B$4:$B$15,0),99)*100000+742,9000000000000+742)</f>
        <v/>
      </c>
      <c r="M749" s="3">
        <f>IF(K749=1,SUMPRODUCT(--($L$8:$L$1207&lt;L749))+1,"")</f>
        <v/>
      </c>
      <c r="N749" s="17">
        <f>IF(K749=1,N('ORDENES'!$M745),0)</f>
        <v/>
      </c>
      <c r="O749" s="17">
        <f>IF('ORDENES'!$S745="preventiva",N749,0)</f>
        <v/>
      </c>
      <c r="P749" s="17">
        <f>IF('ORDENES'!$S745="correctiva",N749,0)</f>
        <v/>
      </c>
      <c r="Q749" s="3">
        <f>IF(AND(K749=1,'ORDENES'!$N745="Pendiente"),1,0)</f>
        <v/>
      </c>
      <c r="R749" s="3">
        <f>IF(Q749=1,100000-N749*1000+742*0.01,9000000000000+742)</f>
        <v/>
      </c>
      <c r="S749" s="3">
        <f>IF(Q749=1,SUMPRODUCT(--($R$8:$R$1207&lt;R749))+1,"")</f>
        <v/>
      </c>
      <c r="T749" s="11">
        <f>IF(K749=1,'ORDENES'!$J745,"")</f>
        <v/>
      </c>
    </row>
    <row r="750">
      <c r="K750" s="3">
        <f>IF(AND(IF($B$3="(todos)",TRUE,'ORDENES'!$O746=$B$3),IF($D$3="(todos)",TRUE,'ORDENES'!$AC746=$D$3),IF($F$3="(todos)",TRUE,'ORDENES'!$V746=$F$3),'ORDENES'!$AA746=TRUE,'ORDENES'!$A746&lt;&gt;""),1,0)</f>
        <v/>
      </c>
      <c r="L750" s="3">
        <f>IF(K750=1,IFERROR(MATCH('ORDENES'!$R746,lista_dias,0),9)*1000000000+IFERROR(MATCH('ORDENES'!$AC746,lista_turnos,0),9)*10000000+IFERROR(MATCH('ORDENES'!$AB746,'TECNICOS'!$B$4:$B$15,0),99)*100000+743,9000000000000+743)</f>
        <v/>
      </c>
      <c r="M750" s="3">
        <f>IF(K750=1,SUMPRODUCT(--($L$8:$L$1207&lt;L750))+1,"")</f>
        <v/>
      </c>
      <c r="N750" s="17">
        <f>IF(K750=1,N('ORDENES'!$M746),0)</f>
        <v/>
      </c>
      <c r="O750" s="17">
        <f>IF('ORDENES'!$S746="preventiva",N750,0)</f>
        <v/>
      </c>
      <c r="P750" s="17">
        <f>IF('ORDENES'!$S746="correctiva",N750,0)</f>
        <v/>
      </c>
      <c r="Q750" s="3">
        <f>IF(AND(K750=1,'ORDENES'!$N746="Pendiente"),1,0)</f>
        <v/>
      </c>
      <c r="R750" s="3">
        <f>IF(Q750=1,100000-N750*1000+743*0.01,9000000000000+743)</f>
        <v/>
      </c>
      <c r="S750" s="3">
        <f>IF(Q750=1,SUMPRODUCT(--($R$8:$R$1207&lt;R750))+1,"")</f>
        <v/>
      </c>
      <c r="T750" s="11">
        <f>IF(K750=1,'ORDENES'!$J746,"")</f>
        <v/>
      </c>
    </row>
    <row r="751">
      <c r="K751" s="3">
        <f>IF(AND(IF($B$3="(todos)",TRUE,'ORDENES'!$O747=$B$3),IF($D$3="(todos)",TRUE,'ORDENES'!$AC747=$D$3),IF($F$3="(todos)",TRUE,'ORDENES'!$V747=$F$3),'ORDENES'!$AA747=TRUE,'ORDENES'!$A747&lt;&gt;""),1,0)</f>
        <v/>
      </c>
      <c r="L751" s="3">
        <f>IF(K751=1,IFERROR(MATCH('ORDENES'!$R747,lista_dias,0),9)*1000000000+IFERROR(MATCH('ORDENES'!$AC747,lista_turnos,0),9)*10000000+IFERROR(MATCH('ORDENES'!$AB747,'TECNICOS'!$B$4:$B$15,0),99)*100000+744,9000000000000+744)</f>
        <v/>
      </c>
      <c r="M751" s="3">
        <f>IF(K751=1,SUMPRODUCT(--($L$8:$L$1207&lt;L751))+1,"")</f>
        <v/>
      </c>
      <c r="N751" s="17">
        <f>IF(K751=1,N('ORDENES'!$M747),0)</f>
        <v/>
      </c>
      <c r="O751" s="17">
        <f>IF('ORDENES'!$S747="preventiva",N751,0)</f>
        <v/>
      </c>
      <c r="P751" s="17">
        <f>IF('ORDENES'!$S747="correctiva",N751,0)</f>
        <v/>
      </c>
      <c r="Q751" s="3">
        <f>IF(AND(K751=1,'ORDENES'!$N747="Pendiente"),1,0)</f>
        <v/>
      </c>
      <c r="R751" s="3">
        <f>IF(Q751=1,100000-N751*1000+744*0.01,9000000000000+744)</f>
        <v/>
      </c>
      <c r="S751" s="3">
        <f>IF(Q751=1,SUMPRODUCT(--($R$8:$R$1207&lt;R751))+1,"")</f>
        <v/>
      </c>
      <c r="T751" s="11">
        <f>IF(K751=1,'ORDENES'!$J747,"")</f>
        <v/>
      </c>
    </row>
    <row r="752">
      <c r="K752" s="3">
        <f>IF(AND(IF($B$3="(todos)",TRUE,'ORDENES'!$O748=$B$3),IF($D$3="(todos)",TRUE,'ORDENES'!$AC748=$D$3),IF($F$3="(todos)",TRUE,'ORDENES'!$V748=$F$3),'ORDENES'!$AA748=TRUE,'ORDENES'!$A748&lt;&gt;""),1,0)</f>
        <v/>
      </c>
      <c r="L752" s="3">
        <f>IF(K752=1,IFERROR(MATCH('ORDENES'!$R748,lista_dias,0),9)*1000000000+IFERROR(MATCH('ORDENES'!$AC748,lista_turnos,0),9)*10000000+IFERROR(MATCH('ORDENES'!$AB748,'TECNICOS'!$B$4:$B$15,0),99)*100000+745,9000000000000+745)</f>
        <v/>
      </c>
      <c r="M752" s="3">
        <f>IF(K752=1,SUMPRODUCT(--($L$8:$L$1207&lt;L752))+1,"")</f>
        <v/>
      </c>
      <c r="N752" s="17">
        <f>IF(K752=1,N('ORDENES'!$M748),0)</f>
        <v/>
      </c>
      <c r="O752" s="17">
        <f>IF('ORDENES'!$S748="preventiva",N752,0)</f>
        <v/>
      </c>
      <c r="P752" s="17">
        <f>IF('ORDENES'!$S748="correctiva",N752,0)</f>
        <v/>
      </c>
      <c r="Q752" s="3">
        <f>IF(AND(K752=1,'ORDENES'!$N748="Pendiente"),1,0)</f>
        <v/>
      </c>
      <c r="R752" s="3">
        <f>IF(Q752=1,100000-N752*1000+745*0.01,9000000000000+745)</f>
        <v/>
      </c>
      <c r="S752" s="3">
        <f>IF(Q752=1,SUMPRODUCT(--($R$8:$R$1207&lt;R752))+1,"")</f>
        <v/>
      </c>
      <c r="T752" s="11">
        <f>IF(K752=1,'ORDENES'!$J748,"")</f>
        <v/>
      </c>
    </row>
    <row r="753">
      <c r="K753" s="3">
        <f>IF(AND(IF($B$3="(todos)",TRUE,'ORDENES'!$O749=$B$3),IF($D$3="(todos)",TRUE,'ORDENES'!$AC749=$D$3),IF($F$3="(todos)",TRUE,'ORDENES'!$V749=$F$3),'ORDENES'!$AA749=TRUE,'ORDENES'!$A749&lt;&gt;""),1,0)</f>
        <v/>
      </c>
      <c r="L753" s="3">
        <f>IF(K753=1,IFERROR(MATCH('ORDENES'!$R749,lista_dias,0),9)*1000000000+IFERROR(MATCH('ORDENES'!$AC749,lista_turnos,0),9)*10000000+IFERROR(MATCH('ORDENES'!$AB749,'TECNICOS'!$B$4:$B$15,0),99)*100000+746,9000000000000+746)</f>
        <v/>
      </c>
      <c r="M753" s="3">
        <f>IF(K753=1,SUMPRODUCT(--($L$8:$L$1207&lt;L753))+1,"")</f>
        <v/>
      </c>
      <c r="N753" s="17">
        <f>IF(K753=1,N('ORDENES'!$M749),0)</f>
        <v/>
      </c>
      <c r="O753" s="17">
        <f>IF('ORDENES'!$S749="preventiva",N753,0)</f>
        <v/>
      </c>
      <c r="P753" s="17">
        <f>IF('ORDENES'!$S749="correctiva",N753,0)</f>
        <v/>
      </c>
      <c r="Q753" s="3">
        <f>IF(AND(K753=1,'ORDENES'!$N749="Pendiente"),1,0)</f>
        <v/>
      </c>
      <c r="R753" s="3">
        <f>IF(Q753=1,100000-N753*1000+746*0.01,9000000000000+746)</f>
        <v/>
      </c>
      <c r="S753" s="3">
        <f>IF(Q753=1,SUMPRODUCT(--($R$8:$R$1207&lt;R753))+1,"")</f>
        <v/>
      </c>
      <c r="T753" s="11">
        <f>IF(K753=1,'ORDENES'!$J749,"")</f>
        <v/>
      </c>
    </row>
    <row r="754">
      <c r="K754" s="3">
        <f>IF(AND(IF($B$3="(todos)",TRUE,'ORDENES'!$O750=$B$3),IF($D$3="(todos)",TRUE,'ORDENES'!$AC750=$D$3),IF($F$3="(todos)",TRUE,'ORDENES'!$V750=$F$3),'ORDENES'!$AA750=TRUE,'ORDENES'!$A750&lt;&gt;""),1,0)</f>
        <v/>
      </c>
      <c r="L754" s="3">
        <f>IF(K754=1,IFERROR(MATCH('ORDENES'!$R750,lista_dias,0),9)*1000000000+IFERROR(MATCH('ORDENES'!$AC750,lista_turnos,0),9)*10000000+IFERROR(MATCH('ORDENES'!$AB750,'TECNICOS'!$B$4:$B$15,0),99)*100000+747,9000000000000+747)</f>
        <v/>
      </c>
      <c r="M754" s="3">
        <f>IF(K754=1,SUMPRODUCT(--($L$8:$L$1207&lt;L754))+1,"")</f>
        <v/>
      </c>
      <c r="N754" s="17">
        <f>IF(K754=1,N('ORDENES'!$M750),0)</f>
        <v/>
      </c>
      <c r="O754" s="17">
        <f>IF('ORDENES'!$S750="preventiva",N754,0)</f>
        <v/>
      </c>
      <c r="P754" s="17">
        <f>IF('ORDENES'!$S750="correctiva",N754,0)</f>
        <v/>
      </c>
      <c r="Q754" s="3">
        <f>IF(AND(K754=1,'ORDENES'!$N750="Pendiente"),1,0)</f>
        <v/>
      </c>
      <c r="R754" s="3">
        <f>IF(Q754=1,100000-N754*1000+747*0.01,9000000000000+747)</f>
        <v/>
      </c>
      <c r="S754" s="3">
        <f>IF(Q754=1,SUMPRODUCT(--($R$8:$R$1207&lt;R754))+1,"")</f>
        <v/>
      </c>
      <c r="T754" s="11">
        <f>IF(K754=1,'ORDENES'!$J750,"")</f>
        <v/>
      </c>
    </row>
    <row r="755">
      <c r="K755" s="3">
        <f>IF(AND(IF($B$3="(todos)",TRUE,'ORDENES'!$O751=$B$3),IF($D$3="(todos)",TRUE,'ORDENES'!$AC751=$D$3),IF($F$3="(todos)",TRUE,'ORDENES'!$V751=$F$3),'ORDENES'!$AA751=TRUE,'ORDENES'!$A751&lt;&gt;""),1,0)</f>
        <v/>
      </c>
      <c r="L755" s="3">
        <f>IF(K755=1,IFERROR(MATCH('ORDENES'!$R751,lista_dias,0),9)*1000000000+IFERROR(MATCH('ORDENES'!$AC751,lista_turnos,0),9)*10000000+IFERROR(MATCH('ORDENES'!$AB751,'TECNICOS'!$B$4:$B$15,0),99)*100000+748,9000000000000+748)</f>
        <v/>
      </c>
      <c r="M755" s="3">
        <f>IF(K755=1,SUMPRODUCT(--($L$8:$L$1207&lt;L755))+1,"")</f>
        <v/>
      </c>
      <c r="N755" s="17">
        <f>IF(K755=1,N('ORDENES'!$M751),0)</f>
        <v/>
      </c>
      <c r="O755" s="17">
        <f>IF('ORDENES'!$S751="preventiva",N755,0)</f>
        <v/>
      </c>
      <c r="P755" s="17">
        <f>IF('ORDENES'!$S751="correctiva",N755,0)</f>
        <v/>
      </c>
      <c r="Q755" s="3">
        <f>IF(AND(K755=1,'ORDENES'!$N751="Pendiente"),1,0)</f>
        <v/>
      </c>
      <c r="R755" s="3">
        <f>IF(Q755=1,100000-N755*1000+748*0.01,9000000000000+748)</f>
        <v/>
      </c>
      <c r="S755" s="3">
        <f>IF(Q755=1,SUMPRODUCT(--($R$8:$R$1207&lt;R755))+1,"")</f>
        <v/>
      </c>
      <c r="T755" s="11">
        <f>IF(K755=1,'ORDENES'!$J751,"")</f>
        <v/>
      </c>
    </row>
    <row r="756">
      <c r="K756" s="3">
        <f>IF(AND(IF($B$3="(todos)",TRUE,'ORDENES'!$O752=$B$3),IF($D$3="(todos)",TRUE,'ORDENES'!$AC752=$D$3),IF($F$3="(todos)",TRUE,'ORDENES'!$V752=$F$3),'ORDENES'!$AA752=TRUE,'ORDENES'!$A752&lt;&gt;""),1,0)</f>
        <v/>
      </c>
      <c r="L756" s="3">
        <f>IF(K756=1,IFERROR(MATCH('ORDENES'!$R752,lista_dias,0),9)*1000000000+IFERROR(MATCH('ORDENES'!$AC752,lista_turnos,0),9)*10000000+IFERROR(MATCH('ORDENES'!$AB752,'TECNICOS'!$B$4:$B$15,0),99)*100000+749,9000000000000+749)</f>
        <v/>
      </c>
      <c r="M756" s="3">
        <f>IF(K756=1,SUMPRODUCT(--($L$8:$L$1207&lt;L756))+1,"")</f>
        <v/>
      </c>
      <c r="N756" s="17">
        <f>IF(K756=1,N('ORDENES'!$M752),0)</f>
        <v/>
      </c>
      <c r="O756" s="17">
        <f>IF('ORDENES'!$S752="preventiva",N756,0)</f>
        <v/>
      </c>
      <c r="P756" s="17">
        <f>IF('ORDENES'!$S752="correctiva",N756,0)</f>
        <v/>
      </c>
      <c r="Q756" s="3">
        <f>IF(AND(K756=1,'ORDENES'!$N752="Pendiente"),1,0)</f>
        <v/>
      </c>
      <c r="R756" s="3">
        <f>IF(Q756=1,100000-N756*1000+749*0.01,9000000000000+749)</f>
        <v/>
      </c>
      <c r="S756" s="3">
        <f>IF(Q756=1,SUMPRODUCT(--($R$8:$R$1207&lt;R756))+1,"")</f>
        <v/>
      </c>
      <c r="T756" s="11">
        <f>IF(K756=1,'ORDENES'!$J752,"")</f>
        <v/>
      </c>
    </row>
    <row r="757">
      <c r="K757" s="3">
        <f>IF(AND(IF($B$3="(todos)",TRUE,'ORDENES'!$O753=$B$3),IF($D$3="(todos)",TRUE,'ORDENES'!$AC753=$D$3),IF($F$3="(todos)",TRUE,'ORDENES'!$V753=$F$3),'ORDENES'!$AA753=TRUE,'ORDENES'!$A753&lt;&gt;""),1,0)</f>
        <v/>
      </c>
      <c r="L757" s="3">
        <f>IF(K757=1,IFERROR(MATCH('ORDENES'!$R753,lista_dias,0),9)*1000000000+IFERROR(MATCH('ORDENES'!$AC753,lista_turnos,0),9)*10000000+IFERROR(MATCH('ORDENES'!$AB753,'TECNICOS'!$B$4:$B$15,0),99)*100000+750,9000000000000+750)</f>
        <v/>
      </c>
      <c r="M757" s="3">
        <f>IF(K757=1,SUMPRODUCT(--($L$8:$L$1207&lt;L757))+1,"")</f>
        <v/>
      </c>
      <c r="N757" s="17">
        <f>IF(K757=1,N('ORDENES'!$M753),0)</f>
        <v/>
      </c>
      <c r="O757" s="17">
        <f>IF('ORDENES'!$S753="preventiva",N757,0)</f>
        <v/>
      </c>
      <c r="P757" s="17">
        <f>IF('ORDENES'!$S753="correctiva",N757,0)</f>
        <v/>
      </c>
      <c r="Q757" s="3">
        <f>IF(AND(K757=1,'ORDENES'!$N753="Pendiente"),1,0)</f>
        <v/>
      </c>
      <c r="R757" s="3">
        <f>IF(Q757=1,100000-N757*1000+750*0.01,9000000000000+750)</f>
        <v/>
      </c>
      <c r="S757" s="3">
        <f>IF(Q757=1,SUMPRODUCT(--($R$8:$R$1207&lt;R757))+1,"")</f>
        <v/>
      </c>
      <c r="T757" s="11">
        <f>IF(K757=1,'ORDENES'!$J753,"")</f>
        <v/>
      </c>
    </row>
    <row r="758">
      <c r="K758" s="3">
        <f>IF(AND(IF($B$3="(todos)",TRUE,'ORDENES'!$O754=$B$3),IF($D$3="(todos)",TRUE,'ORDENES'!$AC754=$D$3),IF($F$3="(todos)",TRUE,'ORDENES'!$V754=$F$3),'ORDENES'!$AA754=TRUE,'ORDENES'!$A754&lt;&gt;""),1,0)</f>
        <v/>
      </c>
      <c r="L758" s="3">
        <f>IF(K758=1,IFERROR(MATCH('ORDENES'!$R754,lista_dias,0),9)*1000000000+IFERROR(MATCH('ORDENES'!$AC754,lista_turnos,0),9)*10000000+IFERROR(MATCH('ORDENES'!$AB754,'TECNICOS'!$B$4:$B$15,0),99)*100000+751,9000000000000+751)</f>
        <v/>
      </c>
      <c r="M758" s="3">
        <f>IF(K758=1,SUMPRODUCT(--($L$8:$L$1207&lt;L758))+1,"")</f>
        <v/>
      </c>
      <c r="N758" s="17">
        <f>IF(K758=1,N('ORDENES'!$M754),0)</f>
        <v/>
      </c>
      <c r="O758" s="17">
        <f>IF('ORDENES'!$S754="preventiva",N758,0)</f>
        <v/>
      </c>
      <c r="P758" s="17">
        <f>IF('ORDENES'!$S754="correctiva",N758,0)</f>
        <v/>
      </c>
      <c r="Q758" s="3">
        <f>IF(AND(K758=1,'ORDENES'!$N754="Pendiente"),1,0)</f>
        <v/>
      </c>
      <c r="R758" s="3">
        <f>IF(Q758=1,100000-N758*1000+751*0.01,9000000000000+751)</f>
        <v/>
      </c>
      <c r="S758" s="3">
        <f>IF(Q758=1,SUMPRODUCT(--($R$8:$R$1207&lt;R758))+1,"")</f>
        <v/>
      </c>
      <c r="T758" s="11">
        <f>IF(K758=1,'ORDENES'!$J754,"")</f>
        <v/>
      </c>
    </row>
    <row r="759">
      <c r="K759" s="3">
        <f>IF(AND(IF($B$3="(todos)",TRUE,'ORDENES'!$O755=$B$3),IF($D$3="(todos)",TRUE,'ORDENES'!$AC755=$D$3),IF($F$3="(todos)",TRUE,'ORDENES'!$V755=$F$3),'ORDENES'!$AA755=TRUE,'ORDENES'!$A755&lt;&gt;""),1,0)</f>
        <v/>
      </c>
      <c r="L759" s="3">
        <f>IF(K759=1,IFERROR(MATCH('ORDENES'!$R755,lista_dias,0),9)*1000000000+IFERROR(MATCH('ORDENES'!$AC755,lista_turnos,0),9)*10000000+IFERROR(MATCH('ORDENES'!$AB755,'TECNICOS'!$B$4:$B$15,0),99)*100000+752,9000000000000+752)</f>
        <v/>
      </c>
      <c r="M759" s="3">
        <f>IF(K759=1,SUMPRODUCT(--($L$8:$L$1207&lt;L759))+1,"")</f>
        <v/>
      </c>
      <c r="N759" s="17">
        <f>IF(K759=1,N('ORDENES'!$M755),0)</f>
        <v/>
      </c>
      <c r="O759" s="17">
        <f>IF('ORDENES'!$S755="preventiva",N759,0)</f>
        <v/>
      </c>
      <c r="P759" s="17">
        <f>IF('ORDENES'!$S755="correctiva",N759,0)</f>
        <v/>
      </c>
      <c r="Q759" s="3">
        <f>IF(AND(K759=1,'ORDENES'!$N755="Pendiente"),1,0)</f>
        <v/>
      </c>
      <c r="R759" s="3">
        <f>IF(Q759=1,100000-N759*1000+752*0.01,9000000000000+752)</f>
        <v/>
      </c>
      <c r="S759" s="3">
        <f>IF(Q759=1,SUMPRODUCT(--($R$8:$R$1207&lt;R759))+1,"")</f>
        <v/>
      </c>
      <c r="T759" s="11">
        <f>IF(K759=1,'ORDENES'!$J755,"")</f>
        <v/>
      </c>
    </row>
    <row r="760">
      <c r="K760" s="3">
        <f>IF(AND(IF($B$3="(todos)",TRUE,'ORDENES'!$O756=$B$3),IF($D$3="(todos)",TRUE,'ORDENES'!$AC756=$D$3),IF($F$3="(todos)",TRUE,'ORDENES'!$V756=$F$3),'ORDENES'!$AA756=TRUE,'ORDENES'!$A756&lt;&gt;""),1,0)</f>
        <v/>
      </c>
      <c r="L760" s="3">
        <f>IF(K760=1,IFERROR(MATCH('ORDENES'!$R756,lista_dias,0),9)*1000000000+IFERROR(MATCH('ORDENES'!$AC756,lista_turnos,0),9)*10000000+IFERROR(MATCH('ORDENES'!$AB756,'TECNICOS'!$B$4:$B$15,0),99)*100000+753,9000000000000+753)</f>
        <v/>
      </c>
      <c r="M760" s="3">
        <f>IF(K760=1,SUMPRODUCT(--($L$8:$L$1207&lt;L760))+1,"")</f>
        <v/>
      </c>
      <c r="N760" s="17">
        <f>IF(K760=1,N('ORDENES'!$M756),0)</f>
        <v/>
      </c>
      <c r="O760" s="17">
        <f>IF('ORDENES'!$S756="preventiva",N760,0)</f>
        <v/>
      </c>
      <c r="P760" s="17">
        <f>IF('ORDENES'!$S756="correctiva",N760,0)</f>
        <v/>
      </c>
      <c r="Q760" s="3">
        <f>IF(AND(K760=1,'ORDENES'!$N756="Pendiente"),1,0)</f>
        <v/>
      </c>
      <c r="R760" s="3">
        <f>IF(Q760=1,100000-N760*1000+753*0.01,9000000000000+753)</f>
        <v/>
      </c>
      <c r="S760" s="3">
        <f>IF(Q760=1,SUMPRODUCT(--($R$8:$R$1207&lt;R760))+1,"")</f>
        <v/>
      </c>
      <c r="T760" s="11">
        <f>IF(K760=1,'ORDENES'!$J756,"")</f>
        <v/>
      </c>
    </row>
    <row r="761">
      <c r="K761" s="3">
        <f>IF(AND(IF($B$3="(todos)",TRUE,'ORDENES'!$O757=$B$3),IF($D$3="(todos)",TRUE,'ORDENES'!$AC757=$D$3),IF($F$3="(todos)",TRUE,'ORDENES'!$V757=$F$3),'ORDENES'!$AA757=TRUE,'ORDENES'!$A757&lt;&gt;""),1,0)</f>
        <v/>
      </c>
      <c r="L761" s="3">
        <f>IF(K761=1,IFERROR(MATCH('ORDENES'!$R757,lista_dias,0),9)*1000000000+IFERROR(MATCH('ORDENES'!$AC757,lista_turnos,0),9)*10000000+IFERROR(MATCH('ORDENES'!$AB757,'TECNICOS'!$B$4:$B$15,0),99)*100000+754,9000000000000+754)</f>
        <v/>
      </c>
      <c r="M761" s="3">
        <f>IF(K761=1,SUMPRODUCT(--($L$8:$L$1207&lt;L761))+1,"")</f>
        <v/>
      </c>
      <c r="N761" s="17">
        <f>IF(K761=1,N('ORDENES'!$M757),0)</f>
        <v/>
      </c>
      <c r="O761" s="17">
        <f>IF('ORDENES'!$S757="preventiva",N761,0)</f>
        <v/>
      </c>
      <c r="P761" s="17">
        <f>IF('ORDENES'!$S757="correctiva",N761,0)</f>
        <v/>
      </c>
      <c r="Q761" s="3">
        <f>IF(AND(K761=1,'ORDENES'!$N757="Pendiente"),1,0)</f>
        <v/>
      </c>
      <c r="R761" s="3">
        <f>IF(Q761=1,100000-N761*1000+754*0.01,9000000000000+754)</f>
        <v/>
      </c>
      <c r="S761" s="3">
        <f>IF(Q761=1,SUMPRODUCT(--($R$8:$R$1207&lt;R761))+1,"")</f>
        <v/>
      </c>
      <c r="T761" s="11">
        <f>IF(K761=1,'ORDENES'!$J757,"")</f>
        <v/>
      </c>
    </row>
    <row r="762">
      <c r="K762" s="3">
        <f>IF(AND(IF($B$3="(todos)",TRUE,'ORDENES'!$O758=$B$3),IF($D$3="(todos)",TRUE,'ORDENES'!$AC758=$D$3),IF($F$3="(todos)",TRUE,'ORDENES'!$V758=$F$3),'ORDENES'!$AA758=TRUE,'ORDENES'!$A758&lt;&gt;""),1,0)</f>
        <v/>
      </c>
      <c r="L762" s="3">
        <f>IF(K762=1,IFERROR(MATCH('ORDENES'!$R758,lista_dias,0),9)*1000000000+IFERROR(MATCH('ORDENES'!$AC758,lista_turnos,0),9)*10000000+IFERROR(MATCH('ORDENES'!$AB758,'TECNICOS'!$B$4:$B$15,0),99)*100000+755,9000000000000+755)</f>
        <v/>
      </c>
      <c r="M762" s="3">
        <f>IF(K762=1,SUMPRODUCT(--($L$8:$L$1207&lt;L762))+1,"")</f>
        <v/>
      </c>
      <c r="N762" s="17">
        <f>IF(K762=1,N('ORDENES'!$M758),0)</f>
        <v/>
      </c>
      <c r="O762" s="17">
        <f>IF('ORDENES'!$S758="preventiva",N762,0)</f>
        <v/>
      </c>
      <c r="P762" s="17">
        <f>IF('ORDENES'!$S758="correctiva",N762,0)</f>
        <v/>
      </c>
      <c r="Q762" s="3">
        <f>IF(AND(K762=1,'ORDENES'!$N758="Pendiente"),1,0)</f>
        <v/>
      </c>
      <c r="R762" s="3">
        <f>IF(Q762=1,100000-N762*1000+755*0.01,9000000000000+755)</f>
        <v/>
      </c>
      <c r="S762" s="3">
        <f>IF(Q762=1,SUMPRODUCT(--($R$8:$R$1207&lt;R762))+1,"")</f>
        <v/>
      </c>
      <c r="T762" s="11">
        <f>IF(K762=1,'ORDENES'!$J758,"")</f>
        <v/>
      </c>
    </row>
    <row r="763">
      <c r="K763" s="3">
        <f>IF(AND(IF($B$3="(todos)",TRUE,'ORDENES'!$O759=$B$3),IF($D$3="(todos)",TRUE,'ORDENES'!$AC759=$D$3),IF($F$3="(todos)",TRUE,'ORDENES'!$V759=$F$3),'ORDENES'!$AA759=TRUE,'ORDENES'!$A759&lt;&gt;""),1,0)</f>
        <v/>
      </c>
      <c r="L763" s="3">
        <f>IF(K763=1,IFERROR(MATCH('ORDENES'!$R759,lista_dias,0),9)*1000000000+IFERROR(MATCH('ORDENES'!$AC759,lista_turnos,0),9)*10000000+IFERROR(MATCH('ORDENES'!$AB759,'TECNICOS'!$B$4:$B$15,0),99)*100000+756,9000000000000+756)</f>
        <v/>
      </c>
      <c r="M763" s="3">
        <f>IF(K763=1,SUMPRODUCT(--($L$8:$L$1207&lt;L763))+1,"")</f>
        <v/>
      </c>
      <c r="N763" s="17">
        <f>IF(K763=1,N('ORDENES'!$M759),0)</f>
        <v/>
      </c>
      <c r="O763" s="17">
        <f>IF('ORDENES'!$S759="preventiva",N763,0)</f>
        <v/>
      </c>
      <c r="P763" s="17">
        <f>IF('ORDENES'!$S759="correctiva",N763,0)</f>
        <v/>
      </c>
      <c r="Q763" s="3">
        <f>IF(AND(K763=1,'ORDENES'!$N759="Pendiente"),1,0)</f>
        <v/>
      </c>
      <c r="R763" s="3">
        <f>IF(Q763=1,100000-N763*1000+756*0.01,9000000000000+756)</f>
        <v/>
      </c>
      <c r="S763" s="3">
        <f>IF(Q763=1,SUMPRODUCT(--($R$8:$R$1207&lt;R763))+1,"")</f>
        <v/>
      </c>
      <c r="T763" s="11">
        <f>IF(K763=1,'ORDENES'!$J759,"")</f>
        <v/>
      </c>
    </row>
    <row r="764">
      <c r="K764" s="3">
        <f>IF(AND(IF($B$3="(todos)",TRUE,'ORDENES'!$O760=$B$3),IF($D$3="(todos)",TRUE,'ORDENES'!$AC760=$D$3),IF($F$3="(todos)",TRUE,'ORDENES'!$V760=$F$3),'ORDENES'!$AA760=TRUE,'ORDENES'!$A760&lt;&gt;""),1,0)</f>
        <v/>
      </c>
      <c r="L764" s="3">
        <f>IF(K764=1,IFERROR(MATCH('ORDENES'!$R760,lista_dias,0),9)*1000000000+IFERROR(MATCH('ORDENES'!$AC760,lista_turnos,0),9)*10000000+IFERROR(MATCH('ORDENES'!$AB760,'TECNICOS'!$B$4:$B$15,0),99)*100000+757,9000000000000+757)</f>
        <v/>
      </c>
      <c r="M764" s="3">
        <f>IF(K764=1,SUMPRODUCT(--($L$8:$L$1207&lt;L764))+1,"")</f>
        <v/>
      </c>
      <c r="N764" s="17">
        <f>IF(K764=1,N('ORDENES'!$M760),0)</f>
        <v/>
      </c>
      <c r="O764" s="17">
        <f>IF('ORDENES'!$S760="preventiva",N764,0)</f>
        <v/>
      </c>
      <c r="P764" s="17">
        <f>IF('ORDENES'!$S760="correctiva",N764,0)</f>
        <v/>
      </c>
      <c r="Q764" s="3">
        <f>IF(AND(K764=1,'ORDENES'!$N760="Pendiente"),1,0)</f>
        <v/>
      </c>
      <c r="R764" s="3">
        <f>IF(Q764=1,100000-N764*1000+757*0.01,9000000000000+757)</f>
        <v/>
      </c>
      <c r="S764" s="3">
        <f>IF(Q764=1,SUMPRODUCT(--($R$8:$R$1207&lt;R764))+1,"")</f>
        <v/>
      </c>
      <c r="T764" s="11">
        <f>IF(K764=1,'ORDENES'!$J760,"")</f>
        <v/>
      </c>
    </row>
    <row r="765">
      <c r="K765" s="3">
        <f>IF(AND(IF($B$3="(todos)",TRUE,'ORDENES'!$O761=$B$3),IF($D$3="(todos)",TRUE,'ORDENES'!$AC761=$D$3),IF($F$3="(todos)",TRUE,'ORDENES'!$V761=$F$3),'ORDENES'!$AA761=TRUE,'ORDENES'!$A761&lt;&gt;""),1,0)</f>
        <v/>
      </c>
      <c r="L765" s="3">
        <f>IF(K765=1,IFERROR(MATCH('ORDENES'!$R761,lista_dias,0),9)*1000000000+IFERROR(MATCH('ORDENES'!$AC761,lista_turnos,0),9)*10000000+IFERROR(MATCH('ORDENES'!$AB761,'TECNICOS'!$B$4:$B$15,0),99)*100000+758,9000000000000+758)</f>
        <v/>
      </c>
      <c r="M765" s="3">
        <f>IF(K765=1,SUMPRODUCT(--($L$8:$L$1207&lt;L765))+1,"")</f>
        <v/>
      </c>
      <c r="N765" s="17">
        <f>IF(K765=1,N('ORDENES'!$M761),0)</f>
        <v/>
      </c>
      <c r="O765" s="17">
        <f>IF('ORDENES'!$S761="preventiva",N765,0)</f>
        <v/>
      </c>
      <c r="P765" s="17">
        <f>IF('ORDENES'!$S761="correctiva",N765,0)</f>
        <v/>
      </c>
      <c r="Q765" s="3">
        <f>IF(AND(K765=1,'ORDENES'!$N761="Pendiente"),1,0)</f>
        <v/>
      </c>
      <c r="R765" s="3">
        <f>IF(Q765=1,100000-N765*1000+758*0.01,9000000000000+758)</f>
        <v/>
      </c>
      <c r="S765" s="3">
        <f>IF(Q765=1,SUMPRODUCT(--($R$8:$R$1207&lt;R765))+1,"")</f>
        <v/>
      </c>
      <c r="T765" s="11">
        <f>IF(K765=1,'ORDENES'!$J761,"")</f>
        <v/>
      </c>
    </row>
    <row r="766">
      <c r="K766" s="3">
        <f>IF(AND(IF($B$3="(todos)",TRUE,'ORDENES'!$O762=$B$3),IF($D$3="(todos)",TRUE,'ORDENES'!$AC762=$D$3),IF($F$3="(todos)",TRUE,'ORDENES'!$V762=$F$3),'ORDENES'!$AA762=TRUE,'ORDENES'!$A762&lt;&gt;""),1,0)</f>
        <v/>
      </c>
      <c r="L766" s="3">
        <f>IF(K766=1,IFERROR(MATCH('ORDENES'!$R762,lista_dias,0),9)*1000000000+IFERROR(MATCH('ORDENES'!$AC762,lista_turnos,0),9)*10000000+IFERROR(MATCH('ORDENES'!$AB762,'TECNICOS'!$B$4:$B$15,0),99)*100000+759,9000000000000+759)</f>
        <v/>
      </c>
      <c r="M766" s="3">
        <f>IF(K766=1,SUMPRODUCT(--($L$8:$L$1207&lt;L766))+1,"")</f>
        <v/>
      </c>
      <c r="N766" s="17">
        <f>IF(K766=1,N('ORDENES'!$M762),0)</f>
        <v/>
      </c>
      <c r="O766" s="17">
        <f>IF('ORDENES'!$S762="preventiva",N766,0)</f>
        <v/>
      </c>
      <c r="P766" s="17">
        <f>IF('ORDENES'!$S762="correctiva",N766,0)</f>
        <v/>
      </c>
      <c r="Q766" s="3">
        <f>IF(AND(K766=1,'ORDENES'!$N762="Pendiente"),1,0)</f>
        <v/>
      </c>
      <c r="R766" s="3">
        <f>IF(Q766=1,100000-N766*1000+759*0.01,9000000000000+759)</f>
        <v/>
      </c>
      <c r="S766" s="3">
        <f>IF(Q766=1,SUMPRODUCT(--($R$8:$R$1207&lt;R766))+1,"")</f>
        <v/>
      </c>
      <c r="T766" s="11">
        <f>IF(K766=1,'ORDENES'!$J762,"")</f>
        <v/>
      </c>
    </row>
    <row r="767">
      <c r="K767" s="3">
        <f>IF(AND(IF($B$3="(todos)",TRUE,'ORDENES'!$O763=$B$3),IF($D$3="(todos)",TRUE,'ORDENES'!$AC763=$D$3),IF($F$3="(todos)",TRUE,'ORDENES'!$V763=$F$3),'ORDENES'!$AA763=TRUE,'ORDENES'!$A763&lt;&gt;""),1,0)</f>
        <v/>
      </c>
      <c r="L767" s="3">
        <f>IF(K767=1,IFERROR(MATCH('ORDENES'!$R763,lista_dias,0),9)*1000000000+IFERROR(MATCH('ORDENES'!$AC763,lista_turnos,0),9)*10000000+IFERROR(MATCH('ORDENES'!$AB763,'TECNICOS'!$B$4:$B$15,0),99)*100000+760,9000000000000+760)</f>
        <v/>
      </c>
      <c r="M767" s="3">
        <f>IF(K767=1,SUMPRODUCT(--($L$8:$L$1207&lt;L767))+1,"")</f>
        <v/>
      </c>
      <c r="N767" s="17">
        <f>IF(K767=1,N('ORDENES'!$M763),0)</f>
        <v/>
      </c>
      <c r="O767" s="17">
        <f>IF('ORDENES'!$S763="preventiva",N767,0)</f>
        <v/>
      </c>
      <c r="P767" s="17">
        <f>IF('ORDENES'!$S763="correctiva",N767,0)</f>
        <v/>
      </c>
      <c r="Q767" s="3">
        <f>IF(AND(K767=1,'ORDENES'!$N763="Pendiente"),1,0)</f>
        <v/>
      </c>
      <c r="R767" s="3">
        <f>IF(Q767=1,100000-N767*1000+760*0.01,9000000000000+760)</f>
        <v/>
      </c>
      <c r="S767" s="3">
        <f>IF(Q767=1,SUMPRODUCT(--($R$8:$R$1207&lt;R767))+1,"")</f>
        <v/>
      </c>
      <c r="T767" s="11">
        <f>IF(K767=1,'ORDENES'!$J763,"")</f>
        <v/>
      </c>
    </row>
    <row r="768">
      <c r="K768" s="3">
        <f>IF(AND(IF($B$3="(todos)",TRUE,'ORDENES'!$O764=$B$3),IF($D$3="(todos)",TRUE,'ORDENES'!$AC764=$D$3),IF($F$3="(todos)",TRUE,'ORDENES'!$V764=$F$3),'ORDENES'!$AA764=TRUE,'ORDENES'!$A764&lt;&gt;""),1,0)</f>
        <v/>
      </c>
      <c r="L768" s="3">
        <f>IF(K768=1,IFERROR(MATCH('ORDENES'!$R764,lista_dias,0),9)*1000000000+IFERROR(MATCH('ORDENES'!$AC764,lista_turnos,0),9)*10000000+IFERROR(MATCH('ORDENES'!$AB764,'TECNICOS'!$B$4:$B$15,0),99)*100000+761,9000000000000+761)</f>
        <v/>
      </c>
      <c r="M768" s="3">
        <f>IF(K768=1,SUMPRODUCT(--($L$8:$L$1207&lt;L768))+1,"")</f>
        <v/>
      </c>
      <c r="N768" s="17">
        <f>IF(K768=1,N('ORDENES'!$M764),0)</f>
        <v/>
      </c>
      <c r="O768" s="17">
        <f>IF('ORDENES'!$S764="preventiva",N768,0)</f>
        <v/>
      </c>
      <c r="P768" s="17">
        <f>IF('ORDENES'!$S764="correctiva",N768,0)</f>
        <v/>
      </c>
      <c r="Q768" s="3">
        <f>IF(AND(K768=1,'ORDENES'!$N764="Pendiente"),1,0)</f>
        <v/>
      </c>
      <c r="R768" s="3">
        <f>IF(Q768=1,100000-N768*1000+761*0.01,9000000000000+761)</f>
        <v/>
      </c>
      <c r="S768" s="3">
        <f>IF(Q768=1,SUMPRODUCT(--($R$8:$R$1207&lt;R768))+1,"")</f>
        <v/>
      </c>
      <c r="T768" s="11">
        <f>IF(K768=1,'ORDENES'!$J764,"")</f>
        <v/>
      </c>
    </row>
    <row r="769">
      <c r="K769" s="3">
        <f>IF(AND(IF($B$3="(todos)",TRUE,'ORDENES'!$O765=$B$3),IF($D$3="(todos)",TRUE,'ORDENES'!$AC765=$D$3),IF($F$3="(todos)",TRUE,'ORDENES'!$V765=$F$3),'ORDENES'!$AA765=TRUE,'ORDENES'!$A765&lt;&gt;""),1,0)</f>
        <v/>
      </c>
      <c r="L769" s="3">
        <f>IF(K769=1,IFERROR(MATCH('ORDENES'!$R765,lista_dias,0),9)*1000000000+IFERROR(MATCH('ORDENES'!$AC765,lista_turnos,0),9)*10000000+IFERROR(MATCH('ORDENES'!$AB765,'TECNICOS'!$B$4:$B$15,0),99)*100000+762,9000000000000+762)</f>
        <v/>
      </c>
      <c r="M769" s="3">
        <f>IF(K769=1,SUMPRODUCT(--($L$8:$L$1207&lt;L769))+1,"")</f>
        <v/>
      </c>
      <c r="N769" s="17">
        <f>IF(K769=1,N('ORDENES'!$M765),0)</f>
        <v/>
      </c>
      <c r="O769" s="17">
        <f>IF('ORDENES'!$S765="preventiva",N769,0)</f>
        <v/>
      </c>
      <c r="P769" s="17">
        <f>IF('ORDENES'!$S765="correctiva",N769,0)</f>
        <v/>
      </c>
      <c r="Q769" s="3">
        <f>IF(AND(K769=1,'ORDENES'!$N765="Pendiente"),1,0)</f>
        <v/>
      </c>
      <c r="R769" s="3">
        <f>IF(Q769=1,100000-N769*1000+762*0.01,9000000000000+762)</f>
        <v/>
      </c>
      <c r="S769" s="3">
        <f>IF(Q769=1,SUMPRODUCT(--($R$8:$R$1207&lt;R769))+1,"")</f>
        <v/>
      </c>
      <c r="T769" s="11">
        <f>IF(K769=1,'ORDENES'!$J765,"")</f>
        <v/>
      </c>
    </row>
    <row r="770">
      <c r="K770" s="3">
        <f>IF(AND(IF($B$3="(todos)",TRUE,'ORDENES'!$O766=$B$3),IF($D$3="(todos)",TRUE,'ORDENES'!$AC766=$D$3),IF($F$3="(todos)",TRUE,'ORDENES'!$V766=$F$3),'ORDENES'!$AA766=TRUE,'ORDENES'!$A766&lt;&gt;""),1,0)</f>
        <v/>
      </c>
      <c r="L770" s="3">
        <f>IF(K770=1,IFERROR(MATCH('ORDENES'!$R766,lista_dias,0),9)*1000000000+IFERROR(MATCH('ORDENES'!$AC766,lista_turnos,0),9)*10000000+IFERROR(MATCH('ORDENES'!$AB766,'TECNICOS'!$B$4:$B$15,0),99)*100000+763,9000000000000+763)</f>
        <v/>
      </c>
      <c r="M770" s="3">
        <f>IF(K770=1,SUMPRODUCT(--($L$8:$L$1207&lt;L770))+1,"")</f>
        <v/>
      </c>
      <c r="N770" s="17">
        <f>IF(K770=1,N('ORDENES'!$M766),0)</f>
        <v/>
      </c>
      <c r="O770" s="17">
        <f>IF('ORDENES'!$S766="preventiva",N770,0)</f>
        <v/>
      </c>
      <c r="P770" s="17">
        <f>IF('ORDENES'!$S766="correctiva",N770,0)</f>
        <v/>
      </c>
      <c r="Q770" s="3">
        <f>IF(AND(K770=1,'ORDENES'!$N766="Pendiente"),1,0)</f>
        <v/>
      </c>
      <c r="R770" s="3">
        <f>IF(Q770=1,100000-N770*1000+763*0.01,9000000000000+763)</f>
        <v/>
      </c>
      <c r="S770" s="3">
        <f>IF(Q770=1,SUMPRODUCT(--($R$8:$R$1207&lt;R770))+1,"")</f>
        <v/>
      </c>
      <c r="T770" s="11">
        <f>IF(K770=1,'ORDENES'!$J766,"")</f>
        <v/>
      </c>
    </row>
    <row r="771">
      <c r="K771" s="3">
        <f>IF(AND(IF($B$3="(todos)",TRUE,'ORDENES'!$O767=$B$3),IF($D$3="(todos)",TRUE,'ORDENES'!$AC767=$D$3),IF($F$3="(todos)",TRUE,'ORDENES'!$V767=$F$3),'ORDENES'!$AA767=TRUE,'ORDENES'!$A767&lt;&gt;""),1,0)</f>
        <v/>
      </c>
      <c r="L771" s="3">
        <f>IF(K771=1,IFERROR(MATCH('ORDENES'!$R767,lista_dias,0),9)*1000000000+IFERROR(MATCH('ORDENES'!$AC767,lista_turnos,0),9)*10000000+IFERROR(MATCH('ORDENES'!$AB767,'TECNICOS'!$B$4:$B$15,0),99)*100000+764,9000000000000+764)</f>
        <v/>
      </c>
      <c r="M771" s="3">
        <f>IF(K771=1,SUMPRODUCT(--($L$8:$L$1207&lt;L771))+1,"")</f>
        <v/>
      </c>
      <c r="N771" s="17">
        <f>IF(K771=1,N('ORDENES'!$M767),0)</f>
        <v/>
      </c>
      <c r="O771" s="17">
        <f>IF('ORDENES'!$S767="preventiva",N771,0)</f>
        <v/>
      </c>
      <c r="P771" s="17">
        <f>IF('ORDENES'!$S767="correctiva",N771,0)</f>
        <v/>
      </c>
      <c r="Q771" s="3">
        <f>IF(AND(K771=1,'ORDENES'!$N767="Pendiente"),1,0)</f>
        <v/>
      </c>
      <c r="R771" s="3">
        <f>IF(Q771=1,100000-N771*1000+764*0.01,9000000000000+764)</f>
        <v/>
      </c>
      <c r="S771" s="3">
        <f>IF(Q771=1,SUMPRODUCT(--($R$8:$R$1207&lt;R771))+1,"")</f>
        <v/>
      </c>
      <c r="T771" s="11">
        <f>IF(K771=1,'ORDENES'!$J767,"")</f>
        <v/>
      </c>
    </row>
    <row r="772">
      <c r="K772" s="3">
        <f>IF(AND(IF($B$3="(todos)",TRUE,'ORDENES'!$O768=$B$3),IF($D$3="(todos)",TRUE,'ORDENES'!$AC768=$D$3),IF($F$3="(todos)",TRUE,'ORDENES'!$V768=$F$3),'ORDENES'!$AA768=TRUE,'ORDENES'!$A768&lt;&gt;""),1,0)</f>
        <v/>
      </c>
      <c r="L772" s="3">
        <f>IF(K772=1,IFERROR(MATCH('ORDENES'!$R768,lista_dias,0),9)*1000000000+IFERROR(MATCH('ORDENES'!$AC768,lista_turnos,0),9)*10000000+IFERROR(MATCH('ORDENES'!$AB768,'TECNICOS'!$B$4:$B$15,0),99)*100000+765,9000000000000+765)</f>
        <v/>
      </c>
      <c r="M772" s="3">
        <f>IF(K772=1,SUMPRODUCT(--($L$8:$L$1207&lt;L772))+1,"")</f>
        <v/>
      </c>
      <c r="N772" s="17">
        <f>IF(K772=1,N('ORDENES'!$M768),0)</f>
        <v/>
      </c>
      <c r="O772" s="17">
        <f>IF('ORDENES'!$S768="preventiva",N772,0)</f>
        <v/>
      </c>
      <c r="P772" s="17">
        <f>IF('ORDENES'!$S768="correctiva",N772,0)</f>
        <v/>
      </c>
      <c r="Q772" s="3">
        <f>IF(AND(K772=1,'ORDENES'!$N768="Pendiente"),1,0)</f>
        <v/>
      </c>
      <c r="R772" s="3">
        <f>IF(Q772=1,100000-N772*1000+765*0.01,9000000000000+765)</f>
        <v/>
      </c>
      <c r="S772" s="3">
        <f>IF(Q772=1,SUMPRODUCT(--($R$8:$R$1207&lt;R772))+1,"")</f>
        <v/>
      </c>
      <c r="T772" s="11">
        <f>IF(K772=1,'ORDENES'!$J768,"")</f>
        <v/>
      </c>
    </row>
    <row r="773">
      <c r="K773" s="3">
        <f>IF(AND(IF($B$3="(todos)",TRUE,'ORDENES'!$O769=$B$3),IF($D$3="(todos)",TRUE,'ORDENES'!$AC769=$D$3),IF($F$3="(todos)",TRUE,'ORDENES'!$V769=$F$3),'ORDENES'!$AA769=TRUE,'ORDENES'!$A769&lt;&gt;""),1,0)</f>
        <v/>
      </c>
      <c r="L773" s="3">
        <f>IF(K773=1,IFERROR(MATCH('ORDENES'!$R769,lista_dias,0),9)*1000000000+IFERROR(MATCH('ORDENES'!$AC769,lista_turnos,0),9)*10000000+IFERROR(MATCH('ORDENES'!$AB769,'TECNICOS'!$B$4:$B$15,0),99)*100000+766,9000000000000+766)</f>
        <v/>
      </c>
      <c r="M773" s="3">
        <f>IF(K773=1,SUMPRODUCT(--($L$8:$L$1207&lt;L773))+1,"")</f>
        <v/>
      </c>
      <c r="N773" s="17">
        <f>IF(K773=1,N('ORDENES'!$M769),0)</f>
        <v/>
      </c>
      <c r="O773" s="17">
        <f>IF('ORDENES'!$S769="preventiva",N773,0)</f>
        <v/>
      </c>
      <c r="P773" s="17">
        <f>IF('ORDENES'!$S769="correctiva",N773,0)</f>
        <v/>
      </c>
      <c r="Q773" s="3">
        <f>IF(AND(K773=1,'ORDENES'!$N769="Pendiente"),1,0)</f>
        <v/>
      </c>
      <c r="R773" s="3">
        <f>IF(Q773=1,100000-N773*1000+766*0.01,9000000000000+766)</f>
        <v/>
      </c>
      <c r="S773" s="3">
        <f>IF(Q773=1,SUMPRODUCT(--($R$8:$R$1207&lt;R773))+1,"")</f>
        <v/>
      </c>
      <c r="T773" s="11">
        <f>IF(K773=1,'ORDENES'!$J769,"")</f>
        <v/>
      </c>
    </row>
    <row r="774">
      <c r="K774" s="3">
        <f>IF(AND(IF($B$3="(todos)",TRUE,'ORDENES'!$O770=$B$3),IF($D$3="(todos)",TRUE,'ORDENES'!$AC770=$D$3),IF($F$3="(todos)",TRUE,'ORDENES'!$V770=$F$3),'ORDENES'!$AA770=TRUE,'ORDENES'!$A770&lt;&gt;""),1,0)</f>
        <v/>
      </c>
      <c r="L774" s="3">
        <f>IF(K774=1,IFERROR(MATCH('ORDENES'!$R770,lista_dias,0),9)*1000000000+IFERROR(MATCH('ORDENES'!$AC770,lista_turnos,0),9)*10000000+IFERROR(MATCH('ORDENES'!$AB770,'TECNICOS'!$B$4:$B$15,0),99)*100000+767,9000000000000+767)</f>
        <v/>
      </c>
      <c r="M774" s="3">
        <f>IF(K774=1,SUMPRODUCT(--($L$8:$L$1207&lt;L774))+1,"")</f>
        <v/>
      </c>
      <c r="N774" s="17">
        <f>IF(K774=1,N('ORDENES'!$M770),0)</f>
        <v/>
      </c>
      <c r="O774" s="17">
        <f>IF('ORDENES'!$S770="preventiva",N774,0)</f>
        <v/>
      </c>
      <c r="P774" s="17">
        <f>IF('ORDENES'!$S770="correctiva",N774,0)</f>
        <v/>
      </c>
      <c r="Q774" s="3">
        <f>IF(AND(K774=1,'ORDENES'!$N770="Pendiente"),1,0)</f>
        <v/>
      </c>
      <c r="R774" s="3">
        <f>IF(Q774=1,100000-N774*1000+767*0.01,9000000000000+767)</f>
        <v/>
      </c>
      <c r="S774" s="3">
        <f>IF(Q774=1,SUMPRODUCT(--($R$8:$R$1207&lt;R774))+1,"")</f>
        <v/>
      </c>
      <c r="T774" s="11">
        <f>IF(K774=1,'ORDENES'!$J770,"")</f>
        <v/>
      </c>
    </row>
    <row r="775">
      <c r="K775" s="3">
        <f>IF(AND(IF($B$3="(todos)",TRUE,'ORDENES'!$O771=$B$3),IF($D$3="(todos)",TRUE,'ORDENES'!$AC771=$D$3),IF($F$3="(todos)",TRUE,'ORDENES'!$V771=$F$3),'ORDENES'!$AA771=TRUE,'ORDENES'!$A771&lt;&gt;""),1,0)</f>
        <v/>
      </c>
      <c r="L775" s="3">
        <f>IF(K775=1,IFERROR(MATCH('ORDENES'!$R771,lista_dias,0),9)*1000000000+IFERROR(MATCH('ORDENES'!$AC771,lista_turnos,0),9)*10000000+IFERROR(MATCH('ORDENES'!$AB771,'TECNICOS'!$B$4:$B$15,0),99)*100000+768,9000000000000+768)</f>
        <v/>
      </c>
      <c r="M775" s="3">
        <f>IF(K775=1,SUMPRODUCT(--($L$8:$L$1207&lt;L775))+1,"")</f>
        <v/>
      </c>
      <c r="N775" s="17">
        <f>IF(K775=1,N('ORDENES'!$M771),0)</f>
        <v/>
      </c>
      <c r="O775" s="17">
        <f>IF('ORDENES'!$S771="preventiva",N775,0)</f>
        <v/>
      </c>
      <c r="P775" s="17">
        <f>IF('ORDENES'!$S771="correctiva",N775,0)</f>
        <v/>
      </c>
      <c r="Q775" s="3">
        <f>IF(AND(K775=1,'ORDENES'!$N771="Pendiente"),1,0)</f>
        <v/>
      </c>
      <c r="R775" s="3">
        <f>IF(Q775=1,100000-N775*1000+768*0.01,9000000000000+768)</f>
        <v/>
      </c>
      <c r="S775" s="3">
        <f>IF(Q775=1,SUMPRODUCT(--($R$8:$R$1207&lt;R775))+1,"")</f>
        <v/>
      </c>
      <c r="T775" s="11">
        <f>IF(K775=1,'ORDENES'!$J771,"")</f>
        <v/>
      </c>
    </row>
    <row r="776">
      <c r="K776" s="3">
        <f>IF(AND(IF($B$3="(todos)",TRUE,'ORDENES'!$O772=$B$3),IF($D$3="(todos)",TRUE,'ORDENES'!$AC772=$D$3),IF($F$3="(todos)",TRUE,'ORDENES'!$V772=$F$3),'ORDENES'!$AA772=TRUE,'ORDENES'!$A772&lt;&gt;""),1,0)</f>
        <v/>
      </c>
      <c r="L776" s="3">
        <f>IF(K776=1,IFERROR(MATCH('ORDENES'!$R772,lista_dias,0),9)*1000000000+IFERROR(MATCH('ORDENES'!$AC772,lista_turnos,0),9)*10000000+IFERROR(MATCH('ORDENES'!$AB772,'TECNICOS'!$B$4:$B$15,0),99)*100000+769,9000000000000+769)</f>
        <v/>
      </c>
      <c r="M776" s="3">
        <f>IF(K776=1,SUMPRODUCT(--($L$8:$L$1207&lt;L776))+1,"")</f>
        <v/>
      </c>
      <c r="N776" s="17">
        <f>IF(K776=1,N('ORDENES'!$M772),0)</f>
        <v/>
      </c>
      <c r="O776" s="17">
        <f>IF('ORDENES'!$S772="preventiva",N776,0)</f>
        <v/>
      </c>
      <c r="P776" s="17">
        <f>IF('ORDENES'!$S772="correctiva",N776,0)</f>
        <v/>
      </c>
      <c r="Q776" s="3">
        <f>IF(AND(K776=1,'ORDENES'!$N772="Pendiente"),1,0)</f>
        <v/>
      </c>
      <c r="R776" s="3">
        <f>IF(Q776=1,100000-N776*1000+769*0.01,9000000000000+769)</f>
        <v/>
      </c>
      <c r="S776" s="3">
        <f>IF(Q776=1,SUMPRODUCT(--($R$8:$R$1207&lt;R776))+1,"")</f>
        <v/>
      </c>
      <c r="T776" s="11">
        <f>IF(K776=1,'ORDENES'!$J772,"")</f>
        <v/>
      </c>
    </row>
    <row r="777">
      <c r="K777" s="3">
        <f>IF(AND(IF($B$3="(todos)",TRUE,'ORDENES'!$O773=$B$3),IF($D$3="(todos)",TRUE,'ORDENES'!$AC773=$D$3),IF($F$3="(todos)",TRUE,'ORDENES'!$V773=$F$3),'ORDENES'!$AA773=TRUE,'ORDENES'!$A773&lt;&gt;""),1,0)</f>
        <v/>
      </c>
      <c r="L777" s="3">
        <f>IF(K777=1,IFERROR(MATCH('ORDENES'!$R773,lista_dias,0),9)*1000000000+IFERROR(MATCH('ORDENES'!$AC773,lista_turnos,0),9)*10000000+IFERROR(MATCH('ORDENES'!$AB773,'TECNICOS'!$B$4:$B$15,0),99)*100000+770,9000000000000+770)</f>
        <v/>
      </c>
      <c r="M777" s="3">
        <f>IF(K777=1,SUMPRODUCT(--($L$8:$L$1207&lt;L777))+1,"")</f>
        <v/>
      </c>
      <c r="N777" s="17">
        <f>IF(K777=1,N('ORDENES'!$M773),0)</f>
        <v/>
      </c>
      <c r="O777" s="17">
        <f>IF('ORDENES'!$S773="preventiva",N777,0)</f>
        <v/>
      </c>
      <c r="P777" s="17">
        <f>IF('ORDENES'!$S773="correctiva",N777,0)</f>
        <v/>
      </c>
      <c r="Q777" s="3">
        <f>IF(AND(K777=1,'ORDENES'!$N773="Pendiente"),1,0)</f>
        <v/>
      </c>
      <c r="R777" s="3">
        <f>IF(Q777=1,100000-N777*1000+770*0.01,9000000000000+770)</f>
        <v/>
      </c>
      <c r="S777" s="3">
        <f>IF(Q777=1,SUMPRODUCT(--($R$8:$R$1207&lt;R777))+1,"")</f>
        <v/>
      </c>
      <c r="T777" s="11">
        <f>IF(K777=1,'ORDENES'!$J773,"")</f>
        <v/>
      </c>
    </row>
    <row r="778">
      <c r="K778" s="3">
        <f>IF(AND(IF($B$3="(todos)",TRUE,'ORDENES'!$O774=$B$3),IF($D$3="(todos)",TRUE,'ORDENES'!$AC774=$D$3),IF($F$3="(todos)",TRUE,'ORDENES'!$V774=$F$3),'ORDENES'!$AA774=TRUE,'ORDENES'!$A774&lt;&gt;""),1,0)</f>
        <v/>
      </c>
      <c r="L778" s="3">
        <f>IF(K778=1,IFERROR(MATCH('ORDENES'!$R774,lista_dias,0),9)*1000000000+IFERROR(MATCH('ORDENES'!$AC774,lista_turnos,0),9)*10000000+IFERROR(MATCH('ORDENES'!$AB774,'TECNICOS'!$B$4:$B$15,0),99)*100000+771,9000000000000+771)</f>
        <v/>
      </c>
      <c r="M778" s="3">
        <f>IF(K778=1,SUMPRODUCT(--($L$8:$L$1207&lt;L778))+1,"")</f>
        <v/>
      </c>
      <c r="N778" s="17">
        <f>IF(K778=1,N('ORDENES'!$M774),0)</f>
        <v/>
      </c>
      <c r="O778" s="17">
        <f>IF('ORDENES'!$S774="preventiva",N778,0)</f>
        <v/>
      </c>
      <c r="P778" s="17">
        <f>IF('ORDENES'!$S774="correctiva",N778,0)</f>
        <v/>
      </c>
      <c r="Q778" s="3">
        <f>IF(AND(K778=1,'ORDENES'!$N774="Pendiente"),1,0)</f>
        <v/>
      </c>
      <c r="R778" s="3">
        <f>IF(Q778=1,100000-N778*1000+771*0.01,9000000000000+771)</f>
        <v/>
      </c>
      <c r="S778" s="3">
        <f>IF(Q778=1,SUMPRODUCT(--($R$8:$R$1207&lt;R778))+1,"")</f>
        <v/>
      </c>
      <c r="T778" s="11">
        <f>IF(K778=1,'ORDENES'!$J774,"")</f>
        <v/>
      </c>
    </row>
    <row r="779">
      <c r="K779" s="3">
        <f>IF(AND(IF($B$3="(todos)",TRUE,'ORDENES'!$O775=$B$3),IF($D$3="(todos)",TRUE,'ORDENES'!$AC775=$D$3),IF($F$3="(todos)",TRUE,'ORDENES'!$V775=$F$3),'ORDENES'!$AA775=TRUE,'ORDENES'!$A775&lt;&gt;""),1,0)</f>
        <v/>
      </c>
      <c r="L779" s="3">
        <f>IF(K779=1,IFERROR(MATCH('ORDENES'!$R775,lista_dias,0),9)*1000000000+IFERROR(MATCH('ORDENES'!$AC775,lista_turnos,0),9)*10000000+IFERROR(MATCH('ORDENES'!$AB775,'TECNICOS'!$B$4:$B$15,0),99)*100000+772,9000000000000+772)</f>
        <v/>
      </c>
      <c r="M779" s="3">
        <f>IF(K779=1,SUMPRODUCT(--($L$8:$L$1207&lt;L779))+1,"")</f>
        <v/>
      </c>
      <c r="N779" s="17">
        <f>IF(K779=1,N('ORDENES'!$M775),0)</f>
        <v/>
      </c>
      <c r="O779" s="17">
        <f>IF('ORDENES'!$S775="preventiva",N779,0)</f>
        <v/>
      </c>
      <c r="P779" s="17">
        <f>IF('ORDENES'!$S775="correctiva",N779,0)</f>
        <v/>
      </c>
      <c r="Q779" s="3">
        <f>IF(AND(K779=1,'ORDENES'!$N775="Pendiente"),1,0)</f>
        <v/>
      </c>
      <c r="R779" s="3">
        <f>IF(Q779=1,100000-N779*1000+772*0.01,9000000000000+772)</f>
        <v/>
      </c>
      <c r="S779" s="3">
        <f>IF(Q779=1,SUMPRODUCT(--($R$8:$R$1207&lt;R779))+1,"")</f>
        <v/>
      </c>
      <c r="T779" s="11">
        <f>IF(K779=1,'ORDENES'!$J775,"")</f>
        <v/>
      </c>
    </row>
    <row r="780">
      <c r="K780" s="3">
        <f>IF(AND(IF($B$3="(todos)",TRUE,'ORDENES'!$O776=$B$3),IF($D$3="(todos)",TRUE,'ORDENES'!$AC776=$D$3),IF($F$3="(todos)",TRUE,'ORDENES'!$V776=$F$3),'ORDENES'!$AA776=TRUE,'ORDENES'!$A776&lt;&gt;""),1,0)</f>
        <v/>
      </c>
      <c r="L780" s="3">
        <f>IF(K780=1,IFERROR(MATCH('ORDENES'!$R776,lista_dias,0),9)*1000000000+IFERROR(MATCH('ORDENES'!$AC776,lista_turnos,0),9)*10000000+IFERROR(MATCH('ORDENES'!$AB776,'TECNICOS'!$B$4:$B$15,0),99)*100000+773,9000000000000+773)</f>
        <v/>
      </c>
      <c r="M780" s="3">
        <f>IF(K780=1,SUMPRODUCT(--($L$8:$L$1207&lt;L780))+1,"")</f>
        <v/>
      </c>
      <c r="N780" s="17">
        <f>IF(K780=1,N('ORDENES'!$M776),0)</f>
        <v/>
      </c>
      <c r="O780" s="17">
        <f>IF('ORDENES'!$S776="preventiva",N780,0)</f>
        <v/>
      </c>
      <c r="P780" s="17">
        <f>IF('ORDENES'!$S776="correctiva",N780,0)</f>
        <v/>
      </c>
      <c r="Q780" s="3">
        <f>IF(AND(K780=1,'ORDENES'!$N776="Pendiente"),1,0)</f>
        <v/>
      </c>
      <c r="R780" s="3">
        <f>IF(Q780=1,100000-N780*1000+773*0.01,9000000000000+773)</f>
        <v/>
      </c>
      <c r="S780" s="3">
        <f>IF(Q780=1,SUMPRODUCT(--($R$8:$R$1207&lt;R780))+1,"")</f>
        <v/>
      </c>
      <c r="T780" s="11">
        <f>IF(K780=1,'ORDENES'!$J776,"")</f>
        <v/>
      </c>
    </row>
    <row r="781">
      <c r="K781" s="3">
        <f>IF(AND(IF($B$3="(todos)",TRUE,'ORDENES'!$O777=$B$3),IF($D$3="(todos)",TRUE,'ORDENES'!$AC777=$D$3),IF($F$3="(todos)",TRUE,'ORDENES'!$V777=$F$3),'ORDENES'!$AA777=TRUE,'ORDENES'!$A777&lt;&gt;""),1,0)</f>
        <v/>
      </c>
      <c r="L781" s="3">
        <f>IF(K781=1,IFERROR(MATCH('ORDENES'!$R777,lista_dias,0),9)*1000000000+IFERROR(MATCH('ORDENES'!$AC777,lista_turnos,0),9)*10000000+IFERROR(MATCH('ORDENES'!$AB777,'TECNICOS'!$B$4:$B$15,0),99)*100000+774,9000000000000+774)</f>
        <v/>
      </c>
      <c r="M781" s="3">
        <f>IF(K781=1,SUMPRODUCT(--($L$8:$L$1207&lt;L781))+1,"")</f>
        <v/>
      </c>
      <c r="N781" s="17">
        <f>IF(K781=1,N('ORDENES'!$M777),0)</f>
        <v/>
      </c>
      <c r="O781" s="17">
        <f>IF('ORDENES'!$S777="preventiva",N781,0)</f>
        <v/>
      </c>
      <c r="P781" s="17">
        <f>IF('ORDENES'!$S777="correctiva",N781,0)</f>
        <v/>
      </c>
      <c r="Q781" s="3">
        <f>IF(AND(K781=1,'ORDENES'!$N777="Pendiente"),1,0)</f>
        <v/>
      </c>
      <c r="R781" s="3">
        <f>IF(Q781=1,100000-N781*1000+774*0.01,9000000000000+774)</f>
        <v/>
      </c>
      <c r="S781" s="3">
        <f>IF(Q781=1,SUMPRODUCT(--($R$8:$R$1207&lt;R781))+1,"")</f>
        <v/>
      </c>
      <c r="T781" s="11">
        <f>IF(K781=1,'ORDENES'!$J777,"")</f>
        <v/>
      </c>
    </row>
    <row r="782">
      <c r="K782" s="3">
        <f>IF(AND(IF($B$3="(todos)",TRUE,'ORDENES'!$O778=$B$3),IF($D$3="(todos)",TRUE,'ORDENES'!$AC778=$D$3),IF($F$3="(todos)",TRUE,'ORDENES'!$V778=$F$3),'ORDENES'!$AA778=TRUE,'ORDENES'!$A778&lt;&gt;""),1,0)</f>
        <v/>
      </c>
      <c r="L782" s="3">
        <f>IF(K782=1,IFERROR(MATCH('ORDENES'!$R778,lista_dias,0),9)*1000000000+IFERROR(MATCH('ORDENES'!$AC778,lista_turnos,0),9)*10000000+IFERROR(MATCH('ORDENES'!$AB778,'TECNICOS'!$B$4:$B$15,0),99)*100000+775,9000000000000+775)</f>
        <v/>
      </c>
      <c r="M782" s="3">
        <f>IF(K782=1,SUMPRODUCT(--($L$8:$L$1207&lt;L782))+1,"")</f>
        <v/>
      </c>
      <c r="N782" s="17">
        <f>IF(K782=1,N('ORDENES'!$M778),0)</f>
        <v/>
      </c>
      <c r="O782" s="17">
        <f>IF('ORDENES'!$S778="preventiva",N782,0)</f>
        <v/>
      </c>
      <c r="P782" s="17">
        <f>IF('ORDENES'!$S778="correctiva",N782,0)</f>
        <v/>
      </c>
      <c r="Q782" s="3">
        <f>IF(AND(K782=1,'ORDENES'!$N778="Pendiente"),1,0)</f>
        <v/>
      </c>
      <c r="R782" s="3">
        <f>IF(Q782=1,100000-N782*1000+775*0.01,9000000000000+775)</f>
        <v/>
      </c>
      <c r="S782" s="3">
        <f>IF(Q782=1,SUMPRODUCT(--($R$8:$R$1207&lt;R782))+1,"")</f>
        <v/>
      </c>
      <c r="T782" s="11">
        <f>IF(K782=1,'ORDENES'!$J778,"")</f>
        <v/>
      </c>
    </row>
    <row r="783">
      <c r="K783" s="3">
        <f>IF(AND(IF($B$3="(todos)",TRUE,'ORDENES'!$O779=$B$3),IF($D$3="(todos)",TRUE,'ORDENES'!$AC779=$D$3),IF($F$3="(todos)",TRUE,'ORDENES'!$V779=$F$3),'ORDENES'!$AA779=TRUE,'ORDENES'!$A779&lt;&gt;""),1,0)</f>
        <v/>
      </c>
      <c r="L783" s="3">
        <f>IF(K783=1,IFERROR(MATCH('ORDENES'!$R779,lista_dias,0),9)*1000000000+IFERROR(MATCH('ORDENES'!$AC779,lista_turnos,0),9)*10000000+IFERROR(MATCH('ORDENES'!$AB779,'TECNICOS'!$B$4:$B$15,0),99)*100000+776,9000000000000+776)</f>
        <v/>
      </c>
      <c r="M783" s="3">
        <f>IF(K783=1,SUMPRODUCT(--($L$8:$L$1207&lt;L783))+1,"")</f>
        <v/>
      </c>
      <c r="N783" s="17">
        <f>IF(K783=1,N('ORDENES'!$M779),0)</f>
        <v/>
      </c>
      <c r="O783" s="17">
        <f>IF('ORDENES'!$S779="preventiva",N783,0)</f>
        <v/>
      </c>
      <c r="P783" s="17">
        <f>IF('ORDENES'!$S779="correctiva",N783,0)</f>
        <v/>
      </c>
      <c r="Q783" s="3">
        <f>IF(AND(K783=1,'ORDENES'!$N779="Pendiente"),1,0)</f>
        <v/>
      </c>
      <c r="R783" s="3">
        <f>IF(Q783=1,100000-N783*1000+776*0.01,9000000000000+776)</f>
        <v/>
      </c>
      <c r="S783" s="3">
        <f>IF(Q783=1,SUMPRODUCT(--($R$8:$R$1207&lt;R783))+1,"")</f>
        <v/>
      </c>
      <c r="T783" s="11">
        <f>IF(K783=1,'ORDENES'!$J779,"")</f>
        <v/>
      </c>
    </row>
    <row r="784">
      <c r="K784" s="3">
        <f>IF(AND(IF($B$3="(todos)",TRUE,'ORDENES'!$O780=$B$3),IF($D$3="(todos)",TRUE,'ORDENES'!$AC780=$D$3),IF($F$3="(todos)",TRUE,'ORDENES'!$V780=$F$3),'ORDENES'!$AA780=TRUE,'ORDENES'!$A780&lt;&gt;""),1,0)</f>
        <v/>
      </c>
      <c r="L784" s="3">
        <f>IF(K784=1,IFERROR(MATCH('ORDENES'!$R780,lista_dias,0),9)*1000000000+IFERROR(MATCH('ORDENES'!$AC780,lista_turnos,0),9)*10000000+IFERROR(MATCH('ORDENES'!$AB780,'TECNICOS'!$B$4:$B$15,0),99)*100000+777,9000000000000+777)</f>
        <v/>
      </c>
      <c r="M784" s="3">
        <f>IF(K784=1,SUMPRODUCT(--($L$8:$L$1207&lt;L784))+1,"")</f>
        <v/>
      </c>
      <c r="N784" s="17">
        <f>IF(K784=1,N('ORDENES'!$M780),0)</f>
        <v/>
      </c>
      <c r="O784" s="17">
        <f>IF('ORDENES'!$S780="preventiva",N784,0)</f>
        <v/>
      </c>
      <c r="P784" s="17">
        <f>IF('ORDENES'!$S780="correctiva",N784,0)</f>
        <v/>
      </c>
      <c r="Q784" s="3">
        <f>IF(AND(K784=1,'ORDENES'!$N780="Pendiente"),1,0)</f>
        <v/>
      </c>
      <c r="R784" s="3">
        <f>IF(Q784=1,100000-N784*1000+777*0.01,9000000000000+777)</f>
        <v/>
      </c>
      <c r="S784" s="3">
        <f>IF(Q784=1,SUMPRODUCT(--($R$8:$R$1207&lt;R784))+1,"")</f>
        <v/>
      </c>
      <c r="T784" s="11">
        <f>IF(K784=1,'ORDENES'!$J780,"")</f>
        <v/>
      </c>
    </row>
    <row r="785">
      <c r="K785" s="3">
        <f>IF(AND(IF($B$3="(todos)",TRUE,'ORDENES'!$O781=$B$3),IF($D$3="(todos)",TRUE,'ORDENES'!$AC781=$D$3),IF($F$3="(todos)",TRUE,'ORDENES'!$V781=$F$3),'ORDENES'!$AA781=TRUE,'ORDENES'!$A781&lt;&gt;""),1,0)</f>
        <v/>
      </c>
      <c r="L785" s="3">
        <f>IF(K785=1,IFERROR(MATCH('ORDENES'!$R781,lista_dias,0),9)*1000000000+IFERROR(MATCH('ORDENES'!$AC781,lista_turnos,0),9)*10000000+IFERROR(MATCH('ORDENES'!$AB781,'TECNICOS'!$B$4:$B$15,0),99)*100000+778,9000000000000+778)</f>
        <v/>
      </c>
      <c r="M785" s="3">
        <f>IF(K785=1,SUMPRODUCT(--($L$8:$L$1207&lt;L785))+1,"")</f>
        <v/>
      </c>
      <c r="N785" s="17">
        <f>IF(K785=1,N('ORDENES'!$M781),0)</f>
        <v/>
      </c>
      <c r="O785" s="17">
        <f>IF('ORDENES'!$S781="preventiva",N785,0)</f>
        <v/>
      </c>
      <c r="P785" s="17">
        <f>IF('ORDENES'!$S781="correctiva",N785,0)</f>
        <v/>
      </c>
      <c r="Q785" s="3">
        <f>IF(AND(K785=1,'ORDENES'!$N781="Pendiente"),1,0)</f>
        <v/>
      </c>
      <c r="R785" s="3">
        <f>IF(Q785=1,100000-N785*1000+778*0.01,9000000000000+778)</f>
        <v/>
      </c>
      <c r="S785" s="3">
        <f>IF(Q785=1,SUMPRODUCT(--($R$8:$R$1207&lt;R785))+1,"")</f>
        <v/>
      </c>
      <c r="T785" s="11">
        <f>IF(K785=1,'ORDENES'!$J781,"")</f>
        <v/>
      </c>
    </row>
    <row r="786">
      <c r="K786" s="3">
        <f>IF(AND(IF($B$3="(todos)",TRUE,'ORDENES'!$O782=$B$3),IF($D$3="(todos)",TRUE,'ORDENES'!$AC782=$D$3),IF($F$3="(todos)",TRUE,'ORDENES'!$V782=$F$3),'ORDENES'!$AA782=TRUE,'ORDENES'!$A782&lt;&gt;""),1,0)</f>
        <v/>
      </c>
      <c r="L786" s="3">
        <f>IF(K786=1,IFERROR(MATCH('ORDENES'!$R782,lista_dias,0),9)*1000000000+IFERROR(MATCH('ORDENES'!$AC782,lista_turnos,0),9)*10000000+IFERROR(MATCH('ORDENES'!$AB782,'TECNICOS'!$B$4:$B$15,0),99)*100000+779,9000000000000+779)</f>
        <v/>
      </c>
      <c r="M786" s="3">
        <f>IF(K786=1,SUMPRODUCT(--($L$8:$L$1207&lt;L786))+1,"")</f>
        <v/>
      </c>
      <c r="N786" s="17">
        <f>IF(K786=1,N('ORDENES'!$M782),0)</f>
        <v/>
      </c>
      <c r="O786" s="17">
        <f>IF('ORDENES'!$S782="preventiva",N786,0)</f>
        <v/>
      </c>
      <c r="P786" s="17">
        <f>IF('ORDENES'!$S782="correctiva",N786,0)</f>
        <v/>
      </c>
      <c r="Q786" s="3">
        <f>IF(AND(K786=1,'ORDENES'!$N782="Pendiente"),1,0)</f>
        <v/>
      </c>
      <c r="R786" s="3">
        <f>IF(Q786=1,100000-N786*1000+779*0.01,9000000000000+779)</f>
        <v/>
      </c>
      <c r="S786" s="3">
        <f>IF(Q786=1,SUMPRODUCT(--($R$8:$R$1207&lt;R786))+1,"")</f>
        <v/>
      </c>
      <c r="T786" s="11">
        <f>IF(K786=1,'ORDENES'!$J782,"")</f>
        <v/>
      </c>
    </row>
    <row r="787">
      <c r="K787" s="3">
        <f>IF(AND(IF($B$3="(todos)",TRUE,'ORDENES'!$O783=$B$3),IF($D$3="(todos)",TRUE,'ORDENES'!$AC783=$D$3),IF($F$3="(todos)",TRUE,'ORDENES'!$V783=$F$3),'ORDENES'!$AA783=TRUE,'ORDENES'!$A783&lt;&gt;""),1,0)</f>
        <v/>
      </c>
      <c r="L787" s="3">
        <f>IF(K787=1,IFERROR(MATCH('ORDENES'!$R783,lista_dias,0),9)*1000000000+IFERROR(MATCH('ORDENES'!$AC783,lista_turnos,0),9)*10000000+IFERROR(MATCH('ORDENES'!$AB783,'TECNICOS'!$B$4:$B$15,0),99)*100000+780,9000000000000+780)</f>
        <v/>
      </c>
      <c r="M787" s="3">
        <f>IF(K787=1,SUMPRODUCT(--($L$8:$L$1207&lt;L787))+1,"")</f>
        <v/>
      </c>
      <c r="N787" s="17">
        <f>IF(K787=1,N('ORDENES'!$M783),0)</f>
        <v/>
      </c>
      <c r="O787" s="17">
        <f>IF('ORDENES'!$S783="preventiva",N787,0)</f>
        <v/>
      </c>
      <c r="P787" s="17">
        <f>IF('ORDENES'!$S783="correctiva",N787,0)</f>
        <v/>
      </c>
      <c r="Q787" s="3">
        <f>IF(AND(K787=1,'ORDENES'!$N783="Pendiente"),1,0)</f>
        <v/>
      </c>
      <c r="R787" s="3">
        <f>IF(Q787=1,100000-N787*1000+780*0.01,9000000000000+780)</f>
        <v/>
      </c>
      <c r="S787" s="3">
        <f>IF(Q787=1,SUMPRODUCT(--($R$8:$R$1207&lt;R787))+1,"")</f>
        <v/>
      </c>
      <c r="T787" s="11">
        <f>IF(K787=1,'ORDENES'!$J783,"")</f>
        <v/>
      </c>
    </row>
    <row r="788">
      <c r="K788" s="3">
        <f>IF(AND(IF($B$3="(todos)",TRUE,'ORDENES'!$O784=$B$3),IF($D$3="(todos)",TRUE,'ORDENES'!$AC784=$D$3),IF($F$3="(todos)",TRUE,'ORDENES'!$V784=$F$3),'ORDENES'!$AA784=TRUE,'ORDENES'!$A784&lt;&gt;""),1,0)</f>
        <v/>
      </c>
      <c r="L788" s="3">
        <f>IF(K788=1,IFERROR(MATCH('ORDENES'!$R784,lista_dias,0),9)*1000000000+IFERROR(MATCH('ORDENES'!$AC784,lista_turnos,0),9)*10000000+IFERROR(MATCH('ORDENES'!$AB784,'TECNICOS'!$B$4:$B$15,0),99)*100000+781,9000000000000+781)</f>
        <v/>
      </c>
      <c r="M788" s="3">
        <f>IF(K788=1,SUMPRODUCT(--($L$8:$L$1207&lt;L788))+1,"")</f>
        <v/>
      </c>
      <c r="N788" s="17">
        <f>IF(K788=1,N('ORDENES'!$M784),0)</f>
        <v/>
      </c>
      <c r="O788" s="17">
        <f>IF('ORDENES'!$S784="preventiva",N788,0)</f>
        <v/>
      </c>
      <c r="P788" s="17">
        <f>IF('ORDENES'!$S784="correctiva",N788,0)</f>
        <v/>
      </c>
      <c r="Q788" s="3">
        <f>IF(AND(K788=1,'ORDENES'!$N784="Pendiente"),1,0)</f>
        <v/>
      </c>
      <c r="R788" s="3">
        <f>IF(Q788=1,100000-N788*1000+781*0.01,9000000000000+781)</f>
        <v/>
      </c>
      <c r="S788" s="3">
        <f>IF(Q788=1,SUMPRODUCT(--($R$8:$R$1207&lt;R788))+1,"")</f>
        <v/>
      </c>
      <c r="T788" s="11">
        <f>IF(K788=1,'ORDENES'!$J784,"")</f>
        <v/>
      </c>
    </row>
    <row r="789">
      <c r="K789" s="3">
        <f>IF(AND(IF($B$3="(todos)",TRUE,'ORDENES'!$O785=$B$3),IF($D$3="(todos)",TRUE,'ORDENES'!$AC785=$D$3),IF($F$3="(todos)",TRUE,'ORDENES'!$V785=$F$3),'ORDENES'!$AA785=TRUE,'ORDENES'!$A785&lt;&gt;""),1,0)</f>
        <v/>
      </c>
      <c r="L789" s="3">
        <f>IF(K789=1,IFERROR(MATCH('ORDENES'!$R785,lista_dias,0),9)*1000000000+IFERROR(MATCH('ORDENES'!$AC785,lista_turnos,0),9)*10000000+IFERROR(MATCH('ORDENES'!$AB785,'TECNICOS'!$B$4:$B$15,0),99)*100000+782,9000000000000+782)</f>
        <v/>
      </c>
      <c r="M789" s="3">
        <f>IF(K789=1,SUMPRODUCT(--($L$8:$L$1207&lt;L789))+1,"")</f>
        <v/>
      </c>
      <c r="N789" s="17">
        <f>IF(K789=1,N('ORDENES'!$M785),0)</f>
        <v/>
      </c>
      <c r="O789" s="17">
        <f>IF('ORDENES'!$S785="preventiva",N789,0)</f>
        <v/>
      </c>
      <c r="P789" s="17">
        <f>IF('ORDENES'!$S785="correctiva",N789,0)</f>
        <v/>
      </c>
      <c r="Q789" s="3">
        <f>IF(AND(K789=1,'ORDENES'!$N785="Pendiente"),1,0)</f>
        <v/>
      </c>
      <c r="R789" s="3">
        <f>IF(Q789=1,100000-N789*1000+782*0.01,9000000000000+782)</f>
        <v/>
      </c>
      <c r="S789" s="3">
        <f>IF(Q789=1,SUMPRODUCT(--($R$8:$R$1207&lt;R789))+1,"")</f>
        <v/>
      </c>
      <c r="T789" s="11">
        <f>IF(K789=1,'ORDENES'!$J785,"")</f>
        <v/>
      </c>
    </row>
    <row r="790">
      <c r="K790" s="3">
        <f>IF(AND(IF($B$3="(todos)",TRUE,'ORDENES'!$O786=$B$3),IF($D$3="(todos)",TRUE,'ORDENES'!$AC786=$D$3),IF($F$3="(todos)",TRUE,'ORDENES'!$V786=$F$3),'ORDENES'!$AA786=TRUE,'ORDENES'!$A786&lt;&gt;""),1,0)</f>
        <v/>
      </c>
      <c r="L790" s="3">
        <f>IF(K790=1,IFERROR(MATCH('ORDENES'!$R786,lista_dias,0),9)*1000000000+IFERROR(MATCH('ORDENES'!$AC786,lista_turnos,0),9)*10000000+IFERROR(MATCH('ORDENES'!$AB786,'TECNICOS'!$B$4:$B$15,0),99)*100000+783,9000000000000+783)</f>
        <v/>
      </c>
      <c r="M790" s="3">
        <f>IF(K790=1,SUMPRODUCT(--($L$8:$L$1207&lt;L790))+1,"")</f>
        <v/>
      </c>
      <c r="N790" s="17">
        <f>IF(K790=1,N('ORDENES'!$M786),0)</f>
        <v/>
      </c>
      <c r="O790" s="17">
        <f>IF('ORDENES'!$S786="preventiva",N790,0)</f>
        <v/>
      </c>
      <c r="P790" s="17">
        <f>IF('ORDENES'!$S786="correctiva",N790,0)</f>
        <v/>
      </c>
      <c r="Q790" s="3">
        <f>IF(AND(K790=1,'ORDENES'!$N786="Pendiente"),1,0)</f>
        <v/>
      </c>
      <c r="R790" s="3">
        <f>IF(Q790=1,100000-N790*1000+783*0.01,9000000000000+783)</f>
        <v/>
      </c>
      <c r="S790" s="3">
        <f>IF(Q790=1,SUMPRODUCT(--($R$8:$R$1207&lt;R790))+1,"")</f>
        <v/>
      </c>
      <c r="T790" s="11">
        <f>IF(K790=1,'ORDENES'!$J786,"")</f>
        <v/>
      </c>
    </row>
    <row r="791">
      <c r="K791" s="3">
        <f>IF(AND(IF($B$3="(todos)",TRUE,'ORDENES'!$O787=$B$3),IF($D$3="(todos)",TRUE,'ORDENES'!$AC787=$D$3),IF($F$3="(todos)",TRUE,'ORDENES'!$V787=$F$3),'ORDENES'!$AA787=TRUE,'ORDENES'!$A787&lt;&gt;""),1,0)</f>
        <v/>
      </c>
      <c r="L791" s="3">
        <f>IF(K791=1,IFERROR(MATCH('ORDENES'!$R787,lista_dias,0),9)*1000000000+IFERROR(MATCH('ORDENES'!$AC787,lista_turnos,0),9)*10000000+IFERROR(MATCH('ORDENES'!$AB787,'TECNICOS'!$B$4:$B$15,0),99)*100000+784,9000000000000+784)</f>
        <v/>
      </c>
      <c r="M791" s="3">
        <f>IF(K791=1,SUMPRODUCT(--($L$8:$L$1207&lt;L791))+1,"")</f>
        <v/>
      </c>
      <c r="N791" s="17">
        <f>IF(K791=1,N('ORDENES'!$M787),0)</f>
        <v/>
      </c>
      <c r="O791" s="17">
        <f>IF('ORDENES'!$S787="preventiva",N791,0)</f>
        <v/>
      </c>
      <c r="P791" s="17">
        <f>IF('ORDENES'!$S787="correctiva",N791,0)</f>
        <v/>
      </c>
      <c r="Q791" s="3">
        <f>IF(AND(K791=1,'ORDENES'!$N787="Pendiente"),1,0)</f>
        <v/>
      </c>
      <c r="R791" s="3">
        <f>IF(Q791=1,100000-N791*1000+784*0.01,9000000000000+784)</f>
        <v/>
      </c>
      <c r="S791" s="3">
        <f>IF(Q791=1,SUMPRODUCT(--($R$8:$R$1207&lt;R791))+1,"")</f>
        <v/>
      </c>
      <c r="T791" s="11">
        <f>IF(K791=1,'ORDENES'!$J787,"")</f>
        <v/>
      </c>
    </row>
    <row r="792">
      <c r="K792" s="3">
        <f>IF(AND(IF($B$3="(todos)",TRUE,'ORDENES'!$O788=$B$3),IF($D$3="(todos)",TRUE,'ORDENES'!$AC788=$D$3),IF($F$3="(todos)",TRUE,'ORDENES'!$V788=$F$3),'ORDENES'!$AA788=TRUE,'ORDENES'!$A788&lt;&gt;""),1,0)</f>
        <v/>
      </c>
      <c r="L792" s="3">
        <f>IF(K792=1,IFERROR(MATCH('ORDENES'!$R788,lista_dias,0),9)*1000000000+IFERROR(MATCH('ORDENES'!$AC788,lista_turnos,0),9)*10000000+IFERROR(MATCH('ORDENES'!$AB788,'TECNICOS'!$B$4:$B$15,0),99)*100000+785,9000000000000+785)</f>
        <v/>
      </c>
      <c r="M792" s="3">
        <f>IF(K792=1,SUMPRODUCT(--($L$8:$L$1207&lt;L792))+1,"")</f>
        <v/>
      </c>
      <c r="N792" s="17">
        <f>IF(K792=1,N('ORDENES'!$M788),0)</f>
        <v/>
      </c>
      <c r="O792" s="17">
        <f>IF('ORDENES'!$S788="preventiva",N792,0)</f>
        <v/>
      </c>
      <c r="P792" s="17">
        <f>IF('ORDENES'!$S788="correctiva",N792,0)</f>
        <v/>
      </c>
      <c r="Q792" s="3">
        <f>IF(AND(K792=1,'ORDENES'!$N788="Pendiente"),1,0)</f>
        <v/>
      </c>
      <c r="R792" s="3">
        <f>IF(Q792=1,100000-N792*1000+785*0.01,9000000000000+785)</f>
        <v/>
      </c>
      <c r="S792" s="3">
        <f>IF(Q792=1,SUMPRODUCT(--($R$8:$R$1207&lt;R792))+1,"")</f>
        <v/>
      </c>
      <c r="T792" s="11">
        <f>IF(K792=1,'ORDENES'!$J788,"")</f>
        <v/>
      </c>
    </row>
    <row r="793">
      <c r="K793" s="3">
        <f>IF(AND(IF($B$3="(todos)",TRUE,'ORDENES'!$O789=$B$3),IF($D$3="(todos)",TRUE,'ORDENES'!$AC789=$D$3),IF($F$3="(todos)",TRUE,'ORDENES'!$V789=$F$3),'ORDENES'!$AA789=TRUE,'ORDENES'!$A789&lt;&gt;""),1,0)</f>
        <v/>
      </c>
      <c r="L793" s="3">
        <f>IF(K793=1,IFERROR(MATCH('ORDENES'!$R789,lista_dias,0),9)*1000000000+IFERROR(MATCH('ORDENES'!$AC789,lista_turnos,0),9)*10000000+IFERROR(MATCH('ORDENES'!$AB789,'TECNICOS'!$B$4:$B$15,0),99)*100000+786,9000000000000+786)</f>
        <v/>
      </c>
      <c r="M793" s="3">
        <f>IF(K793=1,SUMPRODUCT(--($L$8:$L$1207&lt;L793))+1,"")</f>
        <v/>
      </c>
      <c r="N793" s="17">
        <f>IF(K793=1,N('ORDENES'!$M789),0)</f>
        <v/>
      </c>
      <c r="O793" s="17">
        <f>IF('ORDENES'!$S789="preventiva",N793,0)</f>
        <v/>
      </c>
      <c r="P793" s="17">
        <f>IF('ORDENES'!$S789="correctiva",N793,0)</f>
        <v/>
      </c>
      <c r="Q793" s="3">
        <f>IF(AND(K793=1,'ORDENES'!$N789="Pendiente"),1,0)</f>
        <v/>
      </c>
      <c r="R793" s="3">
        <f>IF(Q793=1,100000-N793*1000+786*0.01,9000000000000+786)</f>
        <v/>
      </c>
      <c r="S793" s="3">
        <f>IF(Q793=1,SUMPRODUCT(--($R$8:$R$1207&lt;R793))+1,"")</f>
        <v/>
      </c>
      <c r="T793" s="11">
        <f>IF(K793=1,'ORDENES'!$J789,"")</f>
        <v/>
      </c>
    </row>
    <row r="794">
      <c r="K794" s="3">
        <f>IF(AND(IF($B$3="(todos)",TRUE,'ORDENES'!$O790=$B$3),IF($D$3="(todos)",TRUE,'ORDENES'!$AC790=$D$3),IF($F$3="(todos)",TRUE,'ORDENES'!$V790=$F$3),'ORDENES'!$AA790=TRUE,'ORDENES'!$A790&lt;&gt;""),1,0)</f>
        <v/>
      </c>
      <c r="L794" s="3">
        <f>IF(K794=1,IFERROR(MATCH('ORDENES'!$R790,lista_dias,0),9)*1000000000+IFERROR(MATCH('ORDENES'!$AC790,lista_turnos,0),9)*10000000+IFERROR(MATCH('ORDENES'!$AB790,'TECNICOS'!$B$4:$B$15,0),99)*100000+787,9000000000000+787)</f>
        <v/>
      </c>
      <c r="M794" s="3">
        <f>IF(K794=1,SUMPRODUCT(--($L$8:$L$1207&lt;L794))+1,"")</f>
        <v/>
      </c>
      <c r="N794" s="17">
        <f>IF(K794=1,N('ORDENES'!$M790),0)</f>
        <v/>
      </c>
      <c r="O794" s="17">
        <f>IF('ORDENES'!$S790="preventiva",N794,0)</f>
        <v/>
      </c>
      <c r="P794" s="17">
        <f>IF('ORDENES'!$S790="correctiva",N794,0)</f>
        <v/>
      </c>
      <c r="Q794" s="3">
        <f>IF(AND(K794=1,'ORDENES'!$N790="Pendiente"),1,0)</f>
        <v/>
      </c>
      <c r="R794" s="3">
        <f>IF(Q794=1,100000-N794*1000+787*0.01,9000000000000+787)</f>
        <v/>
      </c>
      <c r="S794" s="3">
        <f>IF(Q794=1,SUMPRODUCT(--($R$8:$R$1207&lt;R794))+1,"")</f>
        <v/>
      </c>
      <c r="T794" s="11">
        <f>IF(K794=1,'ORDENES'!$J790,"")</f>
        <v/>
      </c>
    </row>
    <row r="795">
      <c r="K795" s="3">
        <f>IF(AND(IF($B$3="(todos)",TRUE,'ORDENES'!$O791=$B$3),IF($D$3="(todos)",TRUE,'ORDENES'!$AC791=$D$3),IF($F$3="(todos)",TRUE,'ORDENES'!$V791=$F$3),'ORDENES'!$AA791=TRUE,'ORDENES'!$A791&lt;&gt;""),1,0)</f>
        <v/>
      </c>
      <c r="L795" s="3">
        <f>IF(K795=1,IFERROR(MATCH('ORDENES'!$R791,lista_dias,0),9)*1000000000+IFERROR(MATCH('ORDENES'!$AC791,lista_turnos,0),9)*10000000+IFERROR(MATCH('ORDENES'!$AB791,'TECNICOS'!$B$4:$B$15,0),99)*100000+788,9000000000000+788)</f>
        <v/>
      </c>
      <c r="M795" s="3">
        <f>IF(K795=1,SUMPRODUCT(--($L$8:$L$1207&lt;L795))+1,"")</f>
        <v/>
      </c>
      <c r="N795" s="17">
        <f>IF(K795=1,N('ORDENES'!$M791),0)</f>
        <v/>
      </c>
      <c r="O795" s="17">
        <f>IF('ORDENES'!$S791="preventiva",N795,0)</f>
        <v/>
      </c>
      <c r="P795" s="17">
        <f>IF('ORDENES'!$S791="correctiva",N795,0)</f>
        <v/>
      </c>
      <c r="Q795" s="3">
        <f>IF(AND(K795=1,'ORDENES'!$N791="Pendiente"),1,0)</f>
        <v/>
      </c>
      <c r="R795" s="3">
        <f>IF(Q795=1,100000-N795*1000+788*0.01,9000000000000+788)</f>
        <v/>
      </c>
      <c r="S795" s="3">
        <f>IF(Q795=1,SUMPRODUCT(--($R$8:$R$1207&lt;R795))+1,"")</f>
        <v/>
      </c>
      <c r="T795" s="11">
        <f>IF(K795=1,'ORDENES'!$J791,"")</f>
        <v/>
      </c>
    </row>
    <row r="796">
      <c r="K796" s="3">
        <f>IF(AND(IF($B$3="(todos)",TRUE,'ORDENES'!$O792=$B$3),IF($D$3="(todos)",TRUE,'ORDENES'!$AC792=$D$3),IF($F$3="(todos)",TRUE,'ORDENES'!$V792=$F$3),'ORDENES'!$AA792=TRUE,'ORDENES'!$A792&lt;&gt;""),1,0)</f>
        <v/>
      </c>
      <c r="L796" s="3">
        <f>IF(K796=1,IFERROR(MATCH('ORDENES'!$R792,lista_dias,0),9)*1000000000+IFERROR(MATCH('ORDENES'!$AC792,lista_turnos,0),9)*10000000+IFERROR(MATCH('ORDENES'!$AB792,'TECNICOS'!$B$4:$B$15,0),99)*100000+789,9000000000000+789)</f>
        <v/>
      </c>
      <c r="M796" s="3">
        <f>IF(K796=1,SUMPRODUCT(--($L$8:$L$1207&lt;L796))+1,"")</f>
        <v/>
      </c>
      <c r="N796" s="17">
        <f>IF(K796=1,N('ORDENES'!$M792),0)</f>
        <v/>
      </c>
      <c r="O796" s="17">
        <f>IF('ORDENES'!$S792="preventiva",N796,0)</f>
        <v/>
      </c>
      <c r="P796" s="17">
        <f>IF('ORDENES'!$S792="correctiva",N796,0)</f>
        <v/>
      </c>
      <c r="Q796" s="3">
        <f>IF(AND(K796=1,'ORDENES'!$N792="Pendiente"),1,0)</f>
        <v/>
      </c>
      <c r="R796" s="3">
        <f>IF(Q796=1,100000-N796*1000+789*0.01,9000000000000+789)</f>
        <v/>
      </c>
      <c r="S796" s="3">
        <f>IF(Q796=1,SUMPRODUCT(--($R$8:$R$1207&lt;R796))+1,"")</f>
        <v/>
      </c>
      <c r="T796" s="11">
        <f>IF(K796=1,'ORDENES'!$J792,"")</f>
        <v/>
      </c>
    </row>
    <row r="797">
      <c r="K797" s="3">
        <f>IF(AND(IF($B$3="(todos)",TRUE,'ORDENES'!$O793=$B$3),IF($D$3="(todos)",TRUE,'ORDENES'!$AC793=$D$3),IF($F$3="(todos)",TRUE,'ORDENES'!$V793=$F$3),'ORDENES'!$AA793=TRUE,'ORDENES'!$A793&lt;&gt;""),1,0)</f>
        <v/>
      </c>
      <c r="L797" s="3">
        <f>IF(K797=1,IFERROR(MATCH('ORDENES'!$R793,lista_dias,0),9)*1000000000+IFERROR(MATCH('ORDENES'!$AC793,lista_turnos,0),9)*10000000+IFERROR(MATCH('ORDENES'!$AB793,'TECNICOS'!$B$4:$B$15,0),99)*100000+790,9000000000000+790)</f>
        <v/>
      </c>
      <c r="M797" s="3">
        <f>IF(K797=1,SUMPRODUCT(--($L$8:$L$1207&lt;L797))+1,"")</f>
        <v/>
      </c>
      <c r="N797" s="17">
        <f>IF(K797=1,N('ORDENES'!$M793),0)</f>
        <v/>
      </c>
      <c r="O797" s="17">
        <f>IF('ORDENES'!$S793="preventiva",N797,0)</f>
        <v/>
      </c>
      <c r="P797" s="17">
        <f>IF('ORDENES'!$S793="correctiva",N797,0)</f>
        <v/>
      </c>
      <c r="Q797" s="3">
        <f>IF(AND(K797=1,'ORDENES'!$N793="Pendiente"),1,0)</f>
        <v/>
      </c>
      <c r="R797" s="3">
        <f>IF(Q797=1,100000-N797*1000+790*0.01,9000000000000+790)</f>
        <v/>
      </c>
      <c r="S797" s="3">
        <f>IF(Q797=1,SUMPRODUCT(--($R$8:$R$1207&lt;R797))+1,"")</f>
        <v/>
      </c>
      <c r="T797" s="11">
        <f>IF(K797=1,'ORDENES'!$J793,"")</f>
        <v/>
      </c>
    </row>
    <row r="798">
      <c r="K798" s="3">
        <f>IF(AND(IF($B$3="(todos)",TRUE,'ORDENES'!$O794=$B$3),IF($D$3="(todos)",TRUE,'ORDENES'!$AC794=$D$3),IF($F$3="(todos)",TRUE,'ORDENES'!$V794=$F$3),'ORDENES'!$AA794=TRUE,'ORDENES'!$A794&lt;&gt;""),1,0)</f>
        <v/>
      </c>
      <c r="L798" s="3">
        <f>IF(K798=1,IFERROR(MATCH('ORDENES'!$R794,lista_dias,0),9)*1000000000+IFERROR(MATCH('ORDENES'!$AC794,lista_turnos,0),9)*10000000+IFERROR(MATCH('ORDENES'!$AB794,'TECNICOS'!$B$4:$B$15,0),99)*100000+791,9000000000000+791)</f>
        <v/>
      </c>
      <c r="M798" s="3">
        <f>IF(K798=1,SUMPRODUCT(--($L$8:$L$1207&lt;L798))+1,"")</f>
        <v/>
      </c>
      <c r="N798" s="17">
        <f>IF(K798=1,N('ORDENES'!$M794),0)</f>
        <v/>
      </c>
      <c r="O798" s="17">
        <f>IF('ORDENES'!$S794="preventiva",N798,0)</f>
        <v/>
      </c>
      <c r="P798" s="17">
        <f>IF('ORDENES'!$S794="correctiva",N798,0)</f>
        <v/>
      </c>
      <c r="Q798" s="3">
        <f>IF(AND(K798=1,'ORDENES'!$N794="Pendiente"),1,0)</f>
        <v/>
      </c>
      <c r="R798" s="3">
        <f>IF(Q798=1,100000-N798*1000+791*0.01,9000000000000+791)</f>
        <v/>
      </c>
      <c r="S798" s="3">
        <f>IF(Q798=1,SUMPRODUCT(--($R$8:$R$1207&lt;R798))+1,"")</f>
        <v/>
      </c>
      <c r="T798" s="11">
        <f>IF(K798=1,'ORDENES'!$J794,"")</f>
        <v/>
      </c>
    </row>
    <row r="799">
      <c r="K799" s="3">
        <f>IF(AND(IF($B$3="(todos)",TRUE,'ORDENES'!$O795=$B$3),IF($D$3="(todos)",TRUE,'ORDENES'!$AC795=$D$3),IF($F$3="(todos)",TRUE,'ORDENES'!$V795=$F$3),'ORDENES'!$AA795=TRUE,'ORDENES'!$A795&lt;&gt;""),1,0)</f>
        <v/>
      </c>
      <c r="L799" s="3">
        <f>IF(K799=1,IFERROR(MATCH('ORDENES'!$R795,lista_dias,0),9)*1000000000+IFERROR(MATCH('ORDENES'!$AC795,lista_turnos,0),9)*10000000+IFERROR(MATCH('ORDENES'!$AB795,'TECNICOS'!$B$4:$B$15,0),99)*100000+792,9000000000000+792)</f>
        <v/>
      </c>
      <c r="M799" s="3">
        <f>IF(K799=1,SUMPRODUCT(--($L$8:$L$1207&lt;L799))+1,"")</f>
        <v/>
      </c>
      <c r="N799" s="17">
        <f>IF(K799=1,N('ORDENES'!$M795),0)</f>
        <v/>
      </c>
      <c r="O799" s="17">
        <f>IF('ORDENES'!$S795="preventiva",N799,0)</f>
        <v/>
      </c>
      <c r="P799" s="17">
        <f>IF('ORDENES'!$S795="correctiva",N799,0)</f>
        <v/>
      </c>
      <c r="Q799" s="3">
        <f>IF(AND(K799=1,'ORDENES'!$N795="Pendiente"),1,0)</f>
        <v/>
      </c>
      <c r="R799" s="3">
        <f>IF(Q799=1,100000-N799*1000+792*0.01,9000000000000+792)</f>
        <v/>
      </c>
      <c r="S799" s="3">
        <f>IF(Q799=1,SUMPRODUCT(--($R$8:$R$1207&lt;R799))+1,"")</f>
        <v/>
      </c>
      <c r="T799" s="11">
        <f>IF(K799=1,'ORDENES'!$J795,"")</f>
        <v/>
      </c>
    </row>
    <row r="800">
      <c r="K800" s="3">
        <f>IF(AND(IF($B$3="(todos)",TRUE,'ORDENES'!$O796=$B$3),IF($D$3="(todos)",TRUE,'ORDENES'!$AC796=$D$3),IF($F$3="(todos)",TRUE,'ORDENES'!$V796=$F$3),'ORDENES'!$AA796=TRUE,'ORDENES'!$A796&lt;&gt;""),1,0)</f>
        <v/>
      </c>
      <c r="L800" s="3">
        <f>IF(K800=1,IFERROR(MATCH('ORDENES'!$R796,lista_dias,0),9)*1000000000+IFERROR(MATCH('ORDENES'!$AC796,lista_turnos,0),9)*10000000+IFERROR(MATCH('ORDENES'!$AB796,'TECNICOS'!$B$4:$B$15,0),99)*100000+793,9000000000000+793)</f>
        <v/>
      </c>
      <c r="M800" s="3">
        <f>IF(K800=1,SUMPRODUCT(--($L$8:$L$1207&lt;L800))+1,"")</f>
        <v/>
      </c>
      <c r="N800" s="17">
        <f>IF(K800=1,N('ORDENES'!$M796),0)</f>
        <v/>
      </c>
      <c r="O800" s="17">
        <f>IF('ORDENES'!$S796="preventiva",N800,0)</f>
        <v/>
      </c>
      <c r="P800" s="17">
        <f>IF('ORDENES'!$S796="correctiva",N800,0)</f>
        <v/>
      </c>
      <c r="Q800" s="3">
        <f>IF(AND(K800=1,'ORDENES'!$N796="Pendiente"),1,0)</f>
        <v/>
      </c>
      <c r="R800" s="3">
        <f>IF(Q800=1,100000-N800*1000+793*0.01,9000000000000+793)</f>
        <v/>
      </c>
      <c r="S800" s="3">
        <f>IF(Q800=1,SUMPRODUCT(--($R$8:$R$1207&lt;R800))+1,"")</f>
        <v/>
      </c>
      <c r="T800" s="11">
        <f>IF(K800=1,'ORDENES'!$J796,"")</f>
        <v/>
      </c>
    </row>
    <row r="801">
      <c r="K801" s="3">
        <f>IF(AND(IF($B$3="(todos)",TRUE,'ORDENES'!$O797=$B$3),IF($D$3="(todos)",TRUE,'ORDENES'!$AC797=$D$3),IF($F$3="(todos)",TRUE,'ORDENES'!$V797=$F$3),'ORDENES'!$AA797=TRUE,'ORDENES'!$A797&lt;&gt;""),1,0)</f>
        <v/>
      </c>
      <c r="L801" s="3">
        <f>IF(K801=1,IFERROR(MATCH('ORDENES'!$R797,lista_dias,0),9)*1000000000+IFERROR(MATCH('ORDENES'!$AC797,lista_turnos,0),9)*10000000+IFERROR(MATCH('ORDENES'!$AB797,'TECNICOS'!$B$4:$B$15,0),99)*100000+794,9000000000000+794)</f>
        <v/>
      </c>
      <c r="M801" s="3">
        <f>IF(K801=1,SUMPRODUCT(--($L$8:$L$1207&lt;L801))+1,"")</f>
        <v/>
      </c>
      <c r="N801" s="17">
        <f>IF(K801=1,N('ORDENES'!$M797),0)</f>
        <v/>
      </c>
      <c r="O801" s="17">
        <f>IF('ORDENES'!$S797="preventiva",N801,0)</f>
        <v/>
      </c>
      <c r="P801" s="17">
        <f>IF('ORDENES'!$S797="correctiva",N801,0)</f>
        <v/>
      </c>
      <c r="Q801" s="3">
        <f>IF(AND(K801=1,'ORDENES'!$N797="Pendiente"),1,0)</f>
        <v/>
      </c>
      <c r="R801" s="3">
        <f>IF(Q801=1,100000-N801*1000+794*0.01,9000000000000+794)</f>
        <v/>
      </c>
      <c r="S801" s="3">
        <f>IF(Q801=1,SUMPRODUCT(--($R$8:$R$1207&lt;R801))+1,"")</f>
        <v/>
      </c>
      <c r="T801" s="11">
        <f>IF(K801=1,'ORDENES'!$J797,"")</f>
        <v/>
      </c>
    </row>
    <row r="802">
      <c r="K802" s="3">
        <f>IF(AND(IF($B$3="(todos)",TRUE,'ORDENES'!$O798=$B$3),IF($D$3="(todos)",TRUE,'ORDENES'!$AC798=$D$3),IF($F$3="(todos)",TRUE,'ORDENES'!$V798=$F$3),'ORDENES'!$AA798=TRUE,'ORDENES'!$A798&lt;&gt;""),1,0)</f>
        <v/>
      </c>
      <c r="L802" s="3">
        <f>IF(K802=1,IFERROR(MATCH('ORDENES'!$R798,lista_dias,0),9)*1000000000+IFERROR(MATCH('ORDENES'!$AC798,lista_turnos,0),9)*10000000+IFERROR(MATCH('ORDENES'!$AB798,'TECNICOS'!$B$4:$B$15,0),99)*100000+795,9000000000000+795)</f>
        <v/>
      </c>
      <c r="M802" s="3">
        <f>IF(K802=1,SUMPRODUCT(--($L$8:$L$1207&lt;L802))+1,"")</f>
        <v/>
      </c>
      <c r="N802" s="17">
        <f>IF(K802=1,N('ORDENES'!$M798),0)</f>
        <v/>
      </c>
      <c r="O802" s="17">
        <f>IF('ORDENES'!$S798="preventiva",N802,0)</f>
        <v/>
      </c>
      <c r="P802" s="17">
        <f>IF('ORDENES'!$S798="correctiva",N802,0)</f>
        <v/>
      </c>
      <c r="Q802" s="3">
        <f>IF(AND(K802=1,'ORDENES'!$N798="Pendiente"),1,0)</f>
        <v/>
      </c>
      <c r="R802" s="3">
        <f>IF(Q802=1,100000-N802*1000+795*0.01,9000000000000+795)</f>
        <v/>
      </c>
      <c r="S802" s="3">
        <f>IF(Q802=1,SUMPRODUCT(--($R$8:$R$1207&lt;R802))+1,"")</f>
        <v/>
      </c>
      <c r="T802" s="11">
        <f>IF(K802=1,'ORDENES'!$J798,"")</f>
        <v/>
      </c>
    </row>
    <row r="803">
      <c r="K803" s="3">
        <f>IF(AND(IF($B$3="(todos)",TRUE,'ORDENES'!$O799=$B$3),IF($D$3="(todos)",TRUE,'ORDENES'!$AC799=$D$3),IF($F$3="(todos)",TRUE,'ORDENES'!$V799=$F$3),'ORDENES'!$AA799=TRUE,'ORDENES'!$A799&lt;&gt;""),1,0)</f>
        <v/>
      </c>
      <c r="L803" s="3">
        <f>IF(K803=1,IFERROR(MATCH('ORDENES'!$R799,lista_dias,0),9)*1000000000+IFERROR(MATCH('ORDENES'!$AC799,lista_turnos,0),9)*10000000+IFERROR(MATCH('ORDENES'!$AB799,'TECNICOS'!$B$4:$B$15,0),99)*100000+796,9000000000000+796)</f>
        <v/>
      </c>
      <c r="M803" s="3">
        <f>IF(K803=1,SUMPRODUCT(--($L$8:$L$1207&lt;L803))+1,"")</f>
        <v/>
      </c>
      <c r="N803" s="17">
        <f>IF(K803=1,N('ORDENES'!$M799),0)</f>
        <v/>
      </c>
      <c r="O803" s="17">
        <f>IF('ORDENES'!$S799="preventiva",N803,0)</f>
        <v/>
      </c>
      <c r="P803" s="17">
        <f>IF('ORDENES'!$S799="correctiva",N803,0)</f>
        <v/>
      </c>
      <c r="Q803" s="3">
        <f>IF(AND(K803=1,'ORDENES'!$N799="Pendiente"),1,0)</f>
        <v/>
      </c>
      <c r="R803" s="3">
        <f>IF(Q803=1,100000-N803*1000+796*0.01,9000000000000+796)</f>
        <v/>
      </c>
      <c r="S803" s="3">
        <f>IF(Q803=1,SUMPRODUCT(--($R$8:$R$1207&lt;R803))+1,"")</f>
        <v/>
      </c>
      <c r="T803" s="11">
        <f>IF(K803=1,'ORDENES'!$J799,"")</f>
        <v/>
      </c>
    </row>
    <row r="804">
      <c r="K804" s="3">
        <f>IF(AND(IF($B$3="(todos)",TRUE,'ORDENES'!$O800=$B$3),IF($D$3="(todos)",TRUE,'ORDENES'!$AC800=$D$3),IF($F$3="(todos)",TRUE,'ORDENES'!$V800=$F$3),'ORDENES'!$AA800=TRUE,'ORDENES'!$A800&lt;&gt;""),1,0)</f>
        <v/>
      </c>
      <c r="L804" s="3">
        <f>IF(K804=1,IFERROR(MATCH('ORDENES'!$R800,lista_dias,0),9)*1000000000+IFERROR(MATCH('ORDENES'!$AC800,lista_turnos,0),9)*10000000+IFERROR(MATCH('ORDENES'!$AB800,'TECNICOS'!$B$4:$B$15,0),99)*100000+797,9000000000000+797)</f>
        <v/>
      </c>
      <c r="M804" s="3">
        <f>IF(K804=1,SUMPRODUCT(--($L$8:$L$1207&lt;L804))+1,"")</f>
        <v/>
      </c>
      <c r="N804" s="17">
        <f>IF(K804=1,N('ORDENES'!$M800),0)</f>
        <v/>
      </c>
      <c r="O804" s="17">
        <f>IF('ORDENES'!$S800="preventiva",N804,0)</f>
        <v/>
      </c>
      <c r="P804" s="17">
        <f>IF('ORDENES'!$S800="correctiva",N804,0)</f>
        <v/>
      </c>
      <c r="Q804" s="3">
        <f>IF(AND(K804=1,'ORDENES'!$N800="Pendiente"),1,0)</f>
        <v/>
      </c>
      <c r="R804" s="3">
        <f>IF(Q804=1,100000-N804*1000+797*0.01,9000000000000+797)</f>
        <v/>
      </c>
      <c r="S804" s="3">
        <f>IF(Q804=1,SUMPRODUCT(--($R$8:$R$1207&lt;R804))+1,"")</f>
        <v/>
      </c>
      <c r="T804" s="11">
        <f>IF(K804=1,'ORDENES'!$J800,"")</f>
        <v/>
      </c>
    </row>
    <row r="805">
      <c r="K805" s="3">
        <f>IF(AND(IF($B$3="(todos)",TRUE,'ORDENES'!$O801=$B$3),IF($D$3="(todos)",TRUE,'ORDENES'!$AC801=$D$3),IF($F$3="(todos)",TRUE,'ORDENES'!$V801=$F$3),'ORDENES'!$AA801=TRUE,'ORDENES'!$A801&lt;&gt;""),1,0)</f>
        <v/>
      </c>
      <c r="L805" s="3">
        <f>IF(K805=1,IFERROR(MATCH('ORDENES'!$R801,lista_dias,0),9)*1000000000+IFERROR(MATCH('ORDENES'!$AC801,lista_turnos,0),9)*10000000+IFERROR(MATCH('ORDENES'!$AB801,'TECNICOS'!$B$4:$B$15,0),99)*100000+798,9000000000000+798)</f>
        <v/>
      </c>
      <c r="M805" s="3">
        <f>IF(K805=1,SUMPRODUCT(--($L$8:$L$1207&lt;L805))+1,"")</f>
        <v/>
      </c>
      <c r="N805" s="17">
        <f>IF(K805=1,N('ORDENES'!$M801),0)</f>
        <v/>
      </c>
      <c r="O805" s="17">
        <f>IF('ORDENES'!$S801="preventiva",N805,0)</f>
        <v/>
      </c>
      <c r="P805" s="17">
        <f>IF('ORDENES'!$S801="correctiva",N805,0)</f>
        <v/>
      </c>
      <c r="Q805" s="3">
        <f>IF(AND(K805=1,'ORDENES'!$N801="Pendiente"),1,0)</f>
        <v/>
      </c>
      <c r="R805" s="3">
        <f>IF(Q805=1,100000-N805*1000+798*0.01,9000000000000+798)</f>
        <v/>
      </c>
      <c r="S805" s="3">
        <f>IF(Q805=1,SUMPRODUCT(--($R$8:$R$1207&lt;R805))+1,"")</f>
        <v/>
      </c>
      <c r="T805" s="11">
        <f>IF(K805=1,'ORDENES'!$J801,"")</f>
        <v/>
      </c>
    </row>
    <row r="806">
      <c r="K806" s="3">
        <f>IF(AND(IF($B$3="(todos)",TRUE,'ORDENES'!$O802=$B$3),IF($D$3="(todos)",TRUE,'ORDENES'!$AC802=$D$3),IF($F$3="(todos)",TRUE,'ORDENES'!$V802=$F$3),'ORDENES'!$AA802=TRUE,'ORDENES'!$A802&lt;&gt;""),1,0)</f>
        <v/>
      </c>
      <c r="L806" s="3">
        <f>IF(K806=1,IFERROR(MATCH('ORDENES'!$R802,lista_dias,0),9)*1000000000+IFERROR(MATCH('ORDENES'!$AC802,lista_turnos,0),9)*10000000+IFERROR(MATCH('ORDENES'!$AB802,'TECNICOS'!$B$4:$B$15,0),99)*100000+799,9000000000000+799)</f>
        <v/>
      </c>
      <c r="M806" s="3">
        <f>IF(K806=1,SUMPRODUCT(--($L$8:$L$1207&lt;L806))+1,"")</f>
        <v/>
      </c>
      <c r="N806" s="17">
        <f>IF(K806=1,N('ORDENES'!$M802),0)</f>
        <v/>
      </c>
      <c r="O806" s="17">
        <f>IF('ORDENES'!$S802="preventiva",N806,0)</f>
        <v/>
      </c>
      <c r="P806" s="17">
        <f>IF('ORDENES'!$S802="correctiva",N806,0)</f>
        <v/>
      </c>
      <c r="Q806" s="3">
        <f>IF(AND(K806=1,'ORDENES'!$N802="Pendiente"),1,0)</f>
        <v/>
      </c>
      <c r="R806" s="3">
        <f>IF(Q806=1,100000-N806*1000+799*0.01,9000000000000+799)</f>
        <v/>
      </c>
      <c r="S806" s="3">
        <f>IF(Q806=1,SUMPRODUCT(--($R$8:$R$1207&lt;R806))+1,"")</f>
        <v/>
      </c>
      <c r="T806" s="11">
        <f>IF(K806=1,'ORDENES'!$J802,"")</f>
        <v/>
      </c>
    </row>
    <row r="807">
      <c r="K807" s="3">
        <f>IF(AND(IF($B$3="(todos)",TRUE,'ORDENES'!$O803=$B$3),IF($D$3="(todos)",TRUE,'ORDENES'!$AC803=$D$3),IF($F$3="(todos)",TRUE,'ORDENES'!$V803=$F$3),'ORDENES'!$AA803=TRUE,'ORDENES'!$A803&lt;&gt;""),1,0)</f>
        <v/>
      </c>
      <c r="L807" s="3">
        <f>IF(K807=1,IFERROR(MATCH('ORDENES'!$R803,lista_dias,0),9)*1000000000+IFERROR(MATCH('ORDENES'!$AC803,lista_turnos,0),9)*10000000+IFERROR(MATCH('ORDENES'!$AB803,'TECNICOS'!$B$4:$B$15,0),99)*100000+800,9000000000000+800)</f>
        <v/>
      </c>
      <c r="M807" s="3">
        <f>IF(K807=1,SUMPRODUCT(--($L$8:$L$1207&lt;L807))+1,"")</f>
        <v/>
      </c>
      <c r="N807" s="17">
        <f>IF(K807=1,N('ORDENES'!$M803),0)</f>
        <v/>
      </c>
      <c r="O807" s="17">
        <f>IF('ORDENES'!$S803="preventiva",N807,0)</f>
        <v/>
      </c>
      <c r="P807" s="17">
        <f>IF('ORDENES'!$S803="correctiva",N807,0)</f>
        <v/>
      </c>
      <c r="Q807" s="3">
        <f>IF(AND(K807=1,'ORDENES'!$N803="Pendiente"),1,0)</f>
        <v/>
      </c>
      <c r="R807" s="3">
        <f>IF(Q807=1,100000-N807*1000+800*0.01,9000000000000+800)</f>
        <v/>
      </c>
      <c r="S807" s="3">
        <f>IF(Q807=1,SUMPRODUCT(--($R$8:$R$1207&lt;R807))+1,"")</f>
        <v/>
      </c>
      <c r="T807" s="11">
        <f>IF(K807=1,'ORDENES'!$J803,"")</f>
        <v/>
      </c>
    </row>
    <row r="808">
      <c r="K808" s="3">
        <f>IF(AND(IF($B$3="(todos)",TRUE,'ORDENES'!$O804=$B$3),IF($D$3="(todos)",TRUE,'ORDENES'!$AC804=$D$3),IF($F$3="(todos)",TRUE,'ORDENES'!$V804=$F$3),'ORDENES'!$AA804=TRUE,'ORDENES'!$A804&lt;&gt;""),1,0)</f>
        <v/>
      </c>
      <c r="L808" s="3">
        <f>IF(K808=1,IFERROR(MATCH('ORDENES'!$R804,lista_dias,0),9)*1000000000+IFERROR(MATCH('ORDENES'!$AC804,lista_turnos,0),9)*10000000+IFERROR(MATCH('ORDENES'!$AB804,'TECNICOS'!$B$4:$B$15,0),99)*100000+801,9000000000000+801)</f>
        <v/>
      </c>
      <c r="M808" s="3">
        <f>IF(K808=1,SUMPRODUCT(--($L$8:$L$1207&lt;L808))+1,"")</f>
        <v/>
      </c>
      <c r="N808" s="17">
        <f>IF(K808=1,N('ORDENES'!$M804),0)</f>
        <v/>
      </c>
      <c r="O808" s="17">
        <f>IF('ORDENES'!$S804="preventiva",N808,0)</f>
        <v/>
      </c>
      <c r="P808" s="17">
        <f>IF('ORDENES'!$S804="correctiva",N808,0)</f>
        <v/>
      </c>
      <c r="Q808" s="3">
        <f>IF(AND(K808=1,'ORDENES'!$N804="Pendiente"),1,0)</f>
        <v/>
      </c>
      <c r="R808" s="3">
        <f>IF(Q808=1,100000-N808*1000+801*0.01,9000000000000+801)</f>
        <v/>
      </c>
      <c r="S808" s="3">
        <f>IF(Q808=1,SUMPRODUCT(--($R$8:$R$1207&lt;R808))+1,"")</f>
        <v/>
      </c>
      <c r="T808" s="11">
        <f>IF(K808=1,'ORDENES'!$J804,"")</f>
        <v/>
      </c>
    </row>
    <row r="809">
      <c r="K809" s="3">
        <f>IF(AND(IF($B$3="(todos)",TRUE,'ORDENES'!$O805=$B$3),IF($D$3="(todos)",TRUE,'ORDENES'!$AC805=$D$3),IF($F$3="(todos)",TRUE,'ORDENES'!$V805=$F$3),'ORDENES'!$AA805=TRUE,'ORDENES'!$A805&lt;&gt;""),1,0)</f>
        <v/>
      </c>
      <c r="L809" s="3">
        <f>IF(K809=1,IFERROR(MATCH('ORDENES'!$R805,lista_dias,0),9)*1000000000+IFERROR(MATCH('ORDENES'!$AC805,lista_turnos,0),9)*10000000+IFERROR(MATCH('ORDENES'!$AB805,'TECNICOS'!$B$4:$B$15,0),99)*100000+802,9000000000000+802)</f>
        <v/>
      </c>
      <c r="M809" s="3">
        <f>IF(K809=1,SUMPRODUCT(--($L$8:$L$1207&lt;L809))+1,"")</f>
        <v/>
      </c>
      <c r="N809" s="17">
        <f>IF(K809=1,N('ORDENES'!$M805),0)</f>
        <v/>
      </c>
      <c r="O809" s="17">
        <f>IF('ORDENES'!$S805="preventiva",N809,0)</f>
        <v/>
      </c>
      <c r="P809" s="17">
        <f>IF('ORDENES'!$S805="correctiva",N809,0)</f>
        <v/>
      </c>
      <c r="Q809" s="3">
        <f>IF(AND(K809=1,'ORDENES'!$N805="Pendiente"),1,0)</f>
        <v/>
      </c>
      <c r="R809" s="3">
        <f>IF(Q809=1,100000-N809*1000+802*0.01,9000000000000+802)</f>
        <v/>
      </c>
      <c r="S809" s="3">
        <f>IF(Q809=1,SUMPRODUCT(--($R$8:$R$1207&lt;R809))+1,"")</f>
        <v/>
      </c>
      <c r="T809" s="11">
        <f>IF(K809=1,'ORDENES'!$J805,"")</f>
        <v/>
      </c>
    </row>
    <row r="810">
      <c r="K810" s="3">
        <f>IF(AND(IF($B$3="(todos)",TRUE,'ORDENES'!$O806=$B$3),IF($D$3="(todos)",TRUE,'ORDENES'!$AC806=$D$3),IF($F$3="(todos)",TRUE,'ORDENES'!$V806=$F$3),'ORDENES'!$AA806=TRUE,'ORDENES'!$A806&lt;&gt;""),1,0)</f>
        <v/>
      </c>
      <c r="L810" s="3">
        <f>IF(K810=1,IFERROR(MATCH('ORDENES'!$R806,lista_dias,0),9)*1000000000+IFERROR(MATCH('ORDENES'!$AC806,lista_turnos,0),9)*10000000+IFERROR(MATCH('ORDENES'!$AB806,'TECNICOS'!$B$4:$B$15,0),99)*100000+803,9000000000000+803)</f>
        <v/>
      </c>
      <c r="M810" s="3">
        <f>IF(K810=1,SUMPRODUCT(--($L$8:$L$1207&lt;L810))+1,"")</f>
        <v/>
      </c>
      <c r="N810" s="17">
        <f>IF(K810=1,N('ORDENES'!$M806),0)</f>
        <v/>
      </c>
      <c r="O810" s="17">
        <f>IF('ORDENES'!$S806="preventiva",N810,0)</f>
        <v/>
      </c>
      <c r="P810" s="17">
        <f>IF('ORDENES'!$S806="correctiva",N810,0)</f>
        <v/>
      </c>
      <c r="Q810" s="3">
        <f>IF(AND(K810=1,'ORDENES'!$N806="Pendiente"),1,0)</f>
        <v/>
      </c>
      <c r="R810" s="3">
        <f>IF(Q810=1,100000-N810*1000+803*0.01,9000000000000+803)</f>
        <v/>
      </c>
      <c r="S810" s="3">
        <f>IF(Q810=1,SUMPRODUCT(--($R$8:$R$1207&lt;R810))+1,"")</f>
        <v/>
      </c>
      <c r="T810" s="11">
        <f>IF(K810=1,'ORDENES'!$J806,"")</f>
        <v/>
      </c>
    </row>
    <row r="811">
      <c r="K811" s="3">
        <f>IF(AND(IF($B$3="(todos)",TRUE,'ORDENES'!$O807=$B$3),IF($D$3="(todos)",TRUE,'ORDENES'!$AC807=$D$3),IF($F$3="(todos)",TRUE,'ORDENES'!$V807=$F$3),'ORDENES'!$AA807=TRUE,'ORDENES'!$A807&lt;&gt;""),1,0)</f>
        <v/>
      </c>
      <c r="L811" s="3">
        <f>IF(K811=1,IFERROR(MATCH('ORDENES'!$R807,lista_dias,0),9)*1000000000+IFERROR(MATCH('ORDENES'!$AC807,lista_turnos,0),9)*10000000+IFERROR(MATCH('ORDENES'!$AB807,'TECNICOS'!$B$4:$B$15,0),99)*100000+804,9000000000000+804)</f>
        <v/>
      </c>
      <c r="M811" s="3">
        <f>IF(K811=1,SUMPRODUCT(--($L$8:$L$1207&lt;L811))+1,"")</f>
        <v/>
      </c>
      <c r="N811" s="17">
        <f>IF(K811=1,N('ORDENES'!$M807),0)</f>
        <v/>
      </c>
      <c r="O811" s="17">
        <f>IF('ORDENES'!$S807="preventiva",N811,0)</f>
        <v/>
      </c>
      <c r="P811" s="17">
        <f>IF('ORDENES'!$S807="correctiva",N811,0)</f>
        <v/>
      </c>
      <c r="Q811" s="3">
        <f>IF(AND(K811=1,'ORDENES'!$N807="Pendiente"),1,0)</f>
        <v/>
      </c>
      <c r="R811" s="3">
        <f>IF(Q811=1,100000-N811*1000+804*0.01,9000000000000+804)</f>
        <v/>
      </c>
      <c r="S811" s="3">
        <f>IF(Q811=1,SUMPRODUCT(--($R$8:$R$1207&lt;R811))+1,"")</f>
        <v/>
      </c>
      <c r="T811" s="11">
        <f>IF(K811=1,'ORDENES'!$J807,"")</f>
        <v/>
      </c>
    </row>
    <row r="812">
      <c r="K812" s="3">
        <f>IF(AND(IF($B$3="(todos)",TRUE,'ORDENES'!$O808=$B$3),IF($D$3="(todos)",TRUE,'ORDENES'!$AC808=$D$3),IF($F$3="(todos)",TRUE,'ORDENES'!$V808=$F$3),'ORDENES'!$AA808=TRUE,'ORDENES'!$A808&lt;&gt;""),1,0)</f>
        <v/>
      </c>
      <c r="L812" s="3">
        <f>IF(K812=1,IFERROR(MATCH('ORDENES'!$R808,lista_dias,0),9)*1000000000+IFERROR(MATCH('ORDENES'!$AC808,lista_turnos,0),9)*10000000+IFERROR(MATCH('ORDENES'!$AB808,'TECNICOS'!$B$4:$B$15,0),99)*100000+805,9000000000000+805)</f>
        <v/>
      </c>
      <c r="M812" s="3">
        <f>IF(K812=1,SUMPRODUCT(--($L$8:$L$1207&lt;L812))+1,"")</f>
        <v/>
      </c>
      <c r="N812" s="17">
        <f>IF(K812=1,N('ORDENES'!$M808),0)</f>
        <v/>
      </c>
      <c r="O812" s="17">
        <f>IF('ORDENES'!$S808="preventiva",N812,0)</f>
        <v/>
      </c>
      <c r="P812" s="17">
        <f>IF('ORDENES'!$S808="correctiva",N812,0)</f>
        <v/>
      </c>
      <c r="Q812" s="3">
        <f>IF(AND(K812=1,'ORDENES'!$N808="Pendiente"),1,0)</f>
        <v/>
      </c>
      <c r="R812" s="3">
        <f>IF(Q812=1,100000-N812*1000+805*0.01,9000000000000+805)</f>
        <v/>
      </c>
      <c r="S812" s="3">
        <f>IF(Q812=1,SUMPRODUCT(--($R$8:$R$1207&lt;R812))+1,"")</f>
        <v/>
      </c>
      <c r="T812" s="11">
        <f>IF(K812=1,'ORDENES'!$J808,"")</f>
        <v/>
      </c>
    </row>
    <row r="813">
      <c r="K813" s="3">
        <f>IF(AND(IF($B$3="(todos)",TRUE,'ORDENES'!$O809=$B$3),IF($D$3="(todos)",TRUE,'ORDENES'!$AC809=$D$3),IF($F$3="(todos)",TRUE,'ORDENES'!$V809=$F$3),'ORDENES'!$AA809=TRUE,'ORDENES'!$A809&lt;&gt;""),1,0)</f>
        <v/>
      </c>
      <c r="L813" s="3">
        <f>IF(K813=1,IFERROR(MATCH('ORDENES'!$R809,lista_dias,0),9)*1000000000+IFERROR(MATCH('ORDENES'!$AC809,lista_turnos,0),9)*10000000+IFERROR(MATCH('ORDENES'!$AB809,'TECNICOS'!$B$4:$B$15,0),99)*100000+806,9000000000000+806)</f>
        <v/>
      </c>
      <c r="M813" s="3">
        <f>IF(K813=1,SUMPRODUCT(--($L$8:$L$1207&lt;L813))+1,"")</f>
        <v/>
      </c>
      <c r="N813" s="17">
        <f>IF(K813=1,N('ORDENES'!$M809),0)</f>
        <v/>
      </c>
      <c r="O813" s="17">
        <f>IF('ORDENES'!$S809="preventiva",N813,0)</f>
        <v/>
      </c>
      <c r="P813" s="17">
        <f>IF('ORDENES'!$S809="correctiva",N813,0)</f>
        <v/>
      </c>
      <c r="Q813" s="3">
        <f>IF(AND(K813=1,'ORDENES'!$N809="Pendiente"),1,0)</f>
        <v/>
      </c>
      <c r="R813" s="3">
        <f>IF(Q813=1,100000-N813*1000+806*0.01,9000000000000+806)</f>
        <v/>
      </c>
      <c r="S813" s="3">
        <f>IF(Q813=1,SUMPRODUCT(--($R$8:$R$1207&lt;R813))+1,"")</f>
        <v/>
      </c>
      <c r="T813" s="11">
        <f>IF(K813=1,'ORDENES'!$J809,"")</f>
        <v/>
      </c>
    </row>
    <row r="814">
      <c r="K814" s="3">
        <f>IF(AND(IF($B$3="(todos)",TRUE,'ORDENES'!$O810=$B$3),IF($D$3="(todos)",TRUE,'ORDENES'!$AC810=$D$3),IF($F$3="(todos)",TRUE,'ORDENES'!$V810=$F$3),'ORDENES'!$AA810=TRUE,'ORDENES'!$A810&lt;&gt;""),1,0)</f>
        <v/>
      </c>
      <c r="L814" s="3">
        <f>IF(K814=1,IFERROR(MATCH('ORDENES'!$R810,lista_dias,0),9)*1000000000+IFERROR(MATCH('ORDENES'!$AC810,lista_turnos,0),9)*10000000+IFERROR(MATCH('ORDENES'!$AB810,'TECNICOS'!$B$4:$B$15,0),99)*100000+807,9000000000000+807)</f>
        <v/>
      </c>
      <c r="M814" s="3">
        <f>IF(K814=1,SUMPRODUCT(--($L$8:$L$1207&lt;L814))+1,"")</f>
        <v/>
      </c>
      <c r="N814" s="17">
        <f>IF(K814=1,N('ORDENES'!$M810),0)</f>
        <v/>
      </c>
      <c r="O814" s="17">
        <f>IF('ORDENES'!$S810="preventiva",N814,0)</f>
        <v/>
      </c>
      <c r="P814" s="17">
        <f>IF('ORDENES'!$S810="correctiva",N814,0)</f>
        <v/>
      </c>
      <c r="Q814" s="3">
        <f>IF(AND(K814=1,'ORDENES'!$N810="Pendiente"),1,0)</f>
        <v/>
      </c>
      <c r="R814" s="3">
        <f>IF(Q814=1,100000-N814*1000+807*0.01,9000000000000+807)</f>
        <v/>
      </c>
      <c r="S814" s="3">
        <f>IF(Q814=1,SUMPRODUCT(--($R$8:$R$1207&lt;R814))+1,"")</f>
        <v/>
      </c>
      <c r="T814" s="11">
        <f>IF(K814=1,'ORDENES'!$J810,"")</f>
        <v/>
      </c>
    </row>
    <row r="815">
      <c r="K815" s="3">
        <f>IF(AND(IF($B$3="(todos)",TRUE,'ORDENES'!$O811=$B$3),IF($D$3="(todos)",TRUE,'ORDENES'!$AC811=$D$3),IF($F$3="(todos)",TRUE,'ORDENES'!$V811=$F$3),'ORDENES'!$AA811=TRUE,'ORDENES'!$A811&lt;&gt;""),1,0)</f>
        <v/>
      </c>
      <c r="L815" s="3">
        <f>IF(K815=1,IFERROR(MATCH('ORDENES'!$R811,lista_dias,0),9)*1000000000+IFERROR(MATCH('ORDENES'!$AC811,lista_turnos,0),9)*10000000+IFERROR(MATCH('ORDENES'!$AB811,'TECNICOS'!$B$4:$B$15,0),99)*100000+808,9000000000000+808)</f>
        <v/>
      </c>
      <c r="M815" s="3">
        <f>IF(K815=1,SUMPRODUCT(--($L$8:$L$1207&lt;L815))+1,"")</f>
        <v/>
      </c>
      <c r="N815" s="17">
        <f>IF(K815=1,N('ORDENES'!$M811),0)</f>
        <v/>
      </c>
      <c r="O815" s="17">
        <f>IF('ORDENES'!$S811="preventiva",N815,0)</f>
        <v/>
      </c>
      <c r="P815" s="17">
        <f>IF('ORDENES'!$S811="correctiva",N815,0)</f>
        <v/>
      </c>
      <c r="Q815" s="3">
        <f>IF(AND(K815=1,'ORDENES'!$N811="Pendiente"),1,0)</f>
        <v/>
      </c>
      <c r="R815" s="3">
        <f>IF(Q815=1,100000-N815*1000+808*0.01,9000000000000+808)</f>
        <v/>
      </c>
      <c r="S815" s="3">
        <f>IF(Q815=1,SUMPRODUCT(--($R$8:$R$1207&lt;R815))+1,"")</f>
        <v/>
      </c>
      <c r="T815" s="11">
        <f>IF(K815=1,'ORDENES'!$J811,"")</f>
        <v/>
      </c>
    </row>
    <row r="816">
      <c r="K816" s="3">
        <f>IF(AND(IF($B$3="(todos)",TRUE,'ORDENES'!$O812=$B$3),IF($D$3="(todos)",TRUE,'ORDENES'!$AC812=$D$3),IF($F$3="(todos)",TRUE,'ORDENES'!$V812=$F$3),'ORDENES'!$AA812=TRUE,'ORDENES'!$A812&lt;&gt;""),1,0)</f>
        <v/>
      </c>
      <c r="L816" s="3">
        <f>IF(K816=1,IFERROR(MATCH('ORDENES'!$R812,lista_dias,0),9)*1000000000+IFERROR(MATCH('ORDENES'!$AC812,lista_turnos,0),9)*10000000+IFERROR(MATCH('ORDENES'!$AB812,'TECNICOS'!$B$4:$B$15,0),99)*100000+809,9000000000000+809)</f>
        <v/>
      </c>
      <c r="M816" s="3">
        <f>IF(K816=1,SUMPRODUCT(--($L$8:$L$1207&lt;L816))+1,"")</f>
        <v/>
      </c>
      <c r="N816" s="17">
        <f>IF(K816=1,N('ORDENES'!$M812),0)</f>
        <v/>
      </c>
      <c r="O816" s="17">
        <f>IF('ORDENES'!$S812="preventiva",N816,0)</f>
        <v/>
      </c>
      <c r="P816" s="17">
        <f>IF('ORDENES'!$S812="correctiva",N816,0)</f>
        <v/>
      </c>
      <c r="Q816" s="3">
        <f>IF(AND(K816=1,'ORDENES'!$N812="Pendiente"),1,0)</f>
        <v/>
      </c>
      <c r="R816" s="3">
        <f>IF(Q816=1,100000-N816*1000+809*0.01,9000000000000+809)</f>
        <v/>
      </c>
      <c r="S816" s="3">
        <f>IF(Q816=1,SUMPRODUCT(--($R$8:$R$1207&lt;R816))+1,"")</f>
        <v/>
      </c>
      <c r="T816" s="11">
        <f>IF(K816=1,'ORDENES'!$J812,"")</f>
        <v/>
      </c>
    </row>
    <row r="817">
      <c r="K817" s="3">
        <f>IF(AND(IF($B$3="(todos)",TRUE,'ORDENES'!$O813=$B$3),IF($D$3="(todos)",TRUE,'ORDENES'!$AC813=$D$3),IF($F$3="(todos)",TRUE,'ORDENES'!$V813=$F$3),'ORDENES'!$AA813=TRUE,'ORDENES'!$A813&lt;&gt;""),1,0)</f>
        <v/>
      </c>
      <c r="L817" s="3">
        <f>IF(K817=1,IFERROR(MATCH('ORDENES'!$R813,lista_dias,0),9)*1000000000+IFERROR(MATCH('ORDENES'!$AC813,lista_turnos,0),9)*10000000+IFERROR(MATCH('ORDENES'!$AB813,'TECNICOS'!$B$4:$B$15,0),99)*100000+810,9000000000000+810)</f>
        <v/>
      </c>
      <c r="M817" s="3">
        <f>IF(K817=1,SUMPRODUCT(--($L$8:$L$1207&lt;L817))+1,"")</f>
        <v/>
      </c>
      <c r="N817" s="17">
        <f>IF(K817=1,N('ORDENES'!$M813),0)</f>
        <v/>
      </c>
      <c r="O817" s="17">
        <f>IF('ORDENES'!$S813="preventiva",N817,0)</f>
        <v/>
      </c>
      <c r="P817" s="17">
        <f>IF('ORDENES'!$S813="correctiva",N817,0)</f>
        <v/>
      </c>
      <c r="Q817" s="3">
        <f>IF(AND(K817=1,'ORDENES'!$N813="Pendiente"),1,0)</f>
        <v/>
      </c>
      <c r="R817" s="3">
        <f>IF(Q817=1,100000-N817*1000+810*0.01,9000000000000+810)</f>
        <v/>
      </c>
      <c r="S817" s="3">
        <f>IF(Q817=1,SUMPRODUCT(--($R$8:$R$1207&lt;R817))+1,"")</f>
        <v/>
      </c>
      <c r="T817" s="11">
        <f>IF(K817=1,'ORDENES'!$J813,"")</f>
        <v/>
      </c>
    </row>
    <row r="818">
      <c r="K818" s="3">
        <f>IF(AND(IF($B$3="(todos)",TRUE,'ORDENES'!$O814=$B$3),IF($D$3="(todos)",TRUE,'ORDENES'!$AC814=$D$3),IF($F$3="(todos)",TRUE,'ORDENES'!$V814=$F$3),'ORDENES'!$AA814=TRUE,'ORDENES'!$A814&lt;&gt;""),1,0)</f>
        <v/>
      </c>
      <c r="L818" s="3">
        <f>IF(K818=1,IFERROR(MATCH('ORDENES'!$R814,lista_dias,0),9)*1000000000+IFERROR(MATCH('ORDENES'!$AC814,lista_turnos,0),9)*10000000+IFERROR(MATCH('ORDENES'!$AB814,'TECNICOS'!$B$4:$B$15,0),99)*100000+811,9000000000000+811)</f>
        <v/>
      </c>
      <c r="M818" s="3">
        <f>IF(K818=1,SUMPRODUCT(--($L$8:$L$1207&lt;L818))+1,"")</f>
        <v/>
      </c>
      <c r="N818" s="17">
        <f>IF(K818=1,N('ORDENES'!$M814),0)</f>
        <v/>
      </c>
      <c r="O818" s="17">
        <f>IF('ORDENES'!$S814="preventiva",N818,0)</f>
        <v/>
      </c>
      <c r="P818" s="17">
        <f>IF('ORDENES'!$S814="correctiva",N818,0)</f>
        <v/>
      </c>
      <c r="Q818" s="3">
        <f>IF(AND(K818=1,'ORDENES'!$N814="Pendiente"),1,0)</f>
        <v/>
      </c>
      <c r="R818" s="3">
        <f>IF(Q818=1,100000-N818*1000+811*0.01,9000000000000+811)</f>
        <v/>
      </c>
      <c r="S818" s="3">
        <f>IF(Q818=1,SUMPRODUCT(--($R$8:$R$1207&lt;R818))+1,"")</f>
        <v/>
      </c>
      <c r="T818" s="11">
        <f>IF(K818=1,'ORDENES'!$J814,"")</f>
        <v/>
      </c>
    </row>
    <row r="819">
      <c r="K819" s="3">
        <f>IF(AND(IF($B$3="(todos)",TRUE,'ORDENES'!$O815=$B$3),IF($D$3="(todos)",TRUE,'ORDENES'!$AC815=$D$3),IF($F$3="(todos)",TRUE,'ORDENES'!$V815=$F$3),'ORDENES'!$AA815=TRUE,'ORDENES'!$A815&lt;&gt;""),1,0)</f>
        <v/>
      </c>
      <c r="L819" s="3">
        <f>IF(K819=1,IFERROR(MATCH('ORDENES'!$R815,lista_dias,0),9)*1000000000+IFERROR(MATCH('ORDENES'!$AC815,lista_turnos,0),9)*10000000+IFERROR(MATCH('ORDENES'!$AB815,'TECNICOS'!$B$4:$B$15,0),99)*100000+812,9000000000000+812)</f>
        <v/>
      </c>
      <c r="M819" s="3">
        <f>IF(K819=1,SUMPRODUCT(--($L$8:$L$1207&lt;L819))+1,"")</f>
        <v/>
      </c>
      <c r="N819" s="17">
        <f>IF(K819=1,N('ORDENES'!$M815),0)</f>
        <v/>
      </c>
      <c r="O819" s="17">
        <f>IF('ORDENES'!$S815="preventiva",N819,0)</f>
        <v/>
      </c>
      <c r="P819" s="17">
        <f>IF('ORDENES'!$S815="correctiva",N819,0)</f>
        <v/>
      </c>
      <c r="Q819" s="3">
        <f>IF(AND(K819=1,'ORDENES'!$N815="Pendiente"),1,0)</f>
        <v/>
      </c>
      <c r="R819" s="3">
        <f>IF(Q819=1,100000-N819*1000+812*0.01,9000000000000+812)</f>
        <v/>
      </c>
      <c r="S819" s="3">
        <f>IF(Q819=1,SUMPRODUCT(--($R$8:$R$1207&lt;R819))+1,"")</f>
        <v/>
      </c>
      <c r="T819" s="11">
        <f>IF(K819=1,'ORDENES'!$J815,"")</f>
        <v/>
      </c>
    </row>
    <row r="820">
      <c r="K820" s="3">
        <f>IF(AND(IF($B$3="(todos)",TRUE,'ORDENES'!$O816=$B$3),IF($D$3="(todos)",TRUE,'ORDENES'!$AC816=$D$3),IF($F$3="(todos)",TRUE,'ORDENES'!$V816=$F$3),'ORDENES'!$AA816=TRUE,'ORDENES'!$A816&lt;&gt;""),1,0)</f>
        <v/>
      </c>
      <c r="L820" s="3">
        <f>IF(K820=1,IFERROR(MATCH('ORDENES'!$R816,lista_dias,0),9)*1000000000+IFERROR(MATCH('ORDENES'!$AC816,lista_turnos,0),9)*10000000+IFERROR(MATCH('ORDENES'!$AB816,'TECNICOS'!$B$4:$B$15,0),99)*100000+813,9000000000000+813)</f>
        <v/>
      </c>
      <c r="M820" s="3">
        <f>IF(K820=1,SUMPRODUCT(--($L$8:$L$1207&lt;L820))+1,"")</f>
        <v/>
      </c>
      <c r="N820" s="17">
        <f>IF(K820=1,N('ORDENES'!$M816),0)</f>
        <v/>
      </c>
      <c r="O820" s="17">
        <f>IF('ORDENES'!$S816="preventiva",N820,0)</f>
        <v/>
      </c>
      <c r="P820" s="17">
        <f>IF('ORDENES'!$S816="correctiva",N820,0)</f>
        <v/>
      </c>
      <c r="Q820" s="3">
        <f>IF(AND(K820=1,'ORDENES'!$N816="Pendiente"),1,0)</f>
        <v/>
      </c>
      <c r="R820" s="3">
        <f>IF(Q820=1,100000-N820*1000+813*0.01,9000000000000+813)</f>
        <v/>
      </c>
      <c r="S820" s="3">
        <f>IF(Q820=1,SUMPRODUCT(--($R$8:$R$1207&lt;R820))+1,"")</f>
        <v/>
      </c>
      <c r="T820" s="11">
        <f>IF(K820=1,'ORDENES'!$J816,"")</f>
        <v/>
      </c>
    </row>
    <row r="821">
      <c r="K821" s="3">
        <f>IF(AND(IF($B$3="(todos)",TRUE,'ORDENES'!$O817=$B$3),IF($D$3="(todos)",TRUE,'ORDENES'!$AC817=$D$3),IF($F$3="(todos)",TRUE,'ORDENES'!$V817=$F$3),'ORDENES'!$AA817=TRUE,'ORDENES'!$A817&lt;&gt;""),1,0)</f>
        <v/>
      </c>
      <c r="L821" s="3">
        <f>IF(K821=1,IFERROR(MATCH('ORDENES'!$R817,lista_dias,0),9)*1000000000+IFERROR(MATCH('ORDENES'!$AC817,lista_turnos,0),9)*10000000+IFERROR(MATCH('ORDENES'!$AB817,'TECNICOS'!$B$4:$B$15,0),99)*100000+814,9000000000000+814)</f>
        <v/>
      </c>
      <c r="M821" s="3">
        <f>IF(K821=1,SUMPRODUCT(--($L$8:$L$1207&lt;L821))+1,"")</f>
        <v/>
      </c>
      <c r="N821" s="17">
        <f>IF(K821=1,N('ORDENES'!$M817),0)</f>
        <v/>
      </c>
      <c r="O821" s="17">
        <f>IF('ORDENES'!$S817="preventiva",N821,0)</f>
        <v/>
      </c>
      <c r="P821" s="17">
        <f>IF('ORDENES'!$S817="correctiva",N821,0)</f>
        <v/>
      </c>
      <c r="Q821" s="3">
        <f>IF(AND(K821=1,'ORDENES'!$N817="Pendiente"),1,0)</f>
        <v/>
      </c>
      <c r="R821" s="3">
        <f>IF(Q821=1,100000-N821*1000+814*0.01,9000000000000+814)</f>
        <v/>
      </c>
      <c r="S821" s="3">
        <f>IF(Q821=1,SUMPRODUCT(--($R$8:$R$1207&lt;R821))+1,"")</f>
        <v/>
      </c>
      <c r="T821" s="11">
        <f>IF(K821=1,'ORDENES'!$J817,"")</f>
        <v/>
      </c>
    </row>
    <row r="822">
      <c r="K822" s="3">
        <f>IF(AND(IF($B$3="(todos)",TRUE,'ORDENES'!$O818=$B$3),IF($D$3="(todos)",TRUE,'ORDENES'!$AC818=$D$3),IF($F$3="(todos)",TRUE,'ORDENES'!$V818=$F$3),'ORDENES'!$AA818=TRUE,'ORDENES'!$A818&lt;&gt;""),1,0)</f>
        <v/>
      </c>
      <c r="L822" s="3">
        <f>IF(K822=1,IFERROR(MATCH('ORDENES'!$R818,lista_dias,0),9)*1000000000+IFERROR(MATCH('ORDENES'!$AC818,lista_turnos,0),9)*10000000+IFERROR(MATCH('ORDENES'!$AB818,'TECNICOS'!$B$4:$B$15,0),99)*100000+815,9000000000000+815)</f>
        <v/>
      </c>
      <c r="M822" s="3">
        <f>IF(K822=1,SUMPRODUCT(--($L$8:$L$1207&lt;L822))+1,"")</f>
        <v/>
      </c>
      <c r="N822" s="17">
        <f>IF(K822=1,N('ORDENES'!$M818),0)</f>
        <v/>
      </c>
      <c r="O822" s="17">
        <f>IF('ORDENES'!$S818="preventiva",N822,0)</f>
        <v/>
      </c>
      <c r="P822" s="17">
        <f>IF('ORDENES'!$S818="correctiva",N822,0)</f>
        <v/>
      </c>
      <c r="Q822" s="3">
        <f>IF(AND(K822=1,'ORDENES'!$N818="Pendiente"),1,0)</f>
        <v/>
      </c>
      <c r="R822" s="3">
        <f>IF(Q822=1,100000-N822*1000+815*0.01,9000000000000+815)</f>
        <v/>
      </c>
      <c r="S822" s="3">
        <f>IF(Q822=1,SUMPRODUCT(--($R$8:$R$1207&lt;R822))+1,"")</f>
        <v/>
      </c>
      <c r="T822" s="11">
        <f>IF(K822=1,'ORDENES'!$J818,"")</f>
        <v/>
      </c>
    </row>
    <row r="823">
      <c r="K823" s="3">
        <f>IF(AND(IF($B$3="(todos)",TRUE,'ORDENES'!$O819=$B$3),IF($D$3="(todos)",TRUE,'ORDENES'!$AC819=$D$3),IF($F$3="(todos)",TRUE,'ORDENES'!$V819=$F$3),'ORDENES'!$AA819=TRUE,'ORDENES'!$A819&lt;&gt;""),1,0)</f>
        <v/>
      </c>
      <c r="L823" s="3">
        <f>IF(K823=1,IFERROR(MATCH('ORDENES'!$R819,lista_dias,0),9)*1000000000+IFERROR(MATCH('ORDENES'!$AC819,lista_turnos,0),9)*10000000+IFERROR(MATCH('ORDENES'!$AB819,'TECNICOS'!$B$4:$B$15,0),99)*100000+816,9000000000000+816)</f>
        <v/>
      </c>
      <c r="M823" s="3">
        <f>IF(K823=1,SUMPRODUCT(--($L$8:$L$1207&lt;L823))+1,"")</f>
        <v/>
      </c>
      <c r="N823" s="17">
        <f>IF(K823=1,N('ORDENES'!$M819),0)</f>
        <v/>
      </c>
      <c r="O823" s="17">
        <f>IF('ORDENES'!$S819="preventiva",N823,0)</f>
        <v/>
      </c>
      <c r="P823" s="17">
        <f>IF('ORDENES'!$S819="correctiva",N823,0)</f>
        <v/>
      </c>
      <c r="Q823" s="3">
        <f>IF(AND(K823=1,'ORDENES'!$N819="Pendiente"),1,0)</f>
        <v/>
      </c>
      <c r="R823" s="3">
        <f>IF(Q823=1,100000-N823*1000+816*0.01,9000000000000+816)</f>
        <v/>
      </c>
      <c r="S823" s="3">
        <f>IF(Q823=1,SUMPRODUCT(--($R$8:$R$1207&lt;R823))+1,"")</f>
        <v/>
      </c>
      <c r="T823" s="11">
        <f>IF(K823=1,'ORDENES'!$J819,"")</f>
        <v/>
      </c>
    </row>
    <row r="824">
      <c r="K824" s="3">
        <f>IF(AND(IF($B$3="(todos)",TRUE,'ORDENES'!$O820=$B$3),IF($D$3="(todos)",TRUE,'ORDENES'!$AC820=$D$3),IF($F$3="(todos)",TRUE,'ORDENES'!$V820=$F$3),'ORDENES'!$AA820=TRUE,'ORDENES'!$A820&lt;&gt;""),1,0)</f>
        <v/>
      </c>
      <c r="L824" s="3">
        <f>IF(K824=1,IFERROR(MATCH('ORDENES'!$R820,lista_dias,0),9)*1000000000+IFERROR(MATCH('ORDENES'!$AC820,lista_turnos,0),9)*10000000+IFERROR(MATCH('ORDENES'!$AB820,'TECNICOS'!$B$4:$B$15,0),99)*100000+817,9000000000000+817)</f>
        <v/>
      </c>
      <c r="M824" s="3">
        <f>IF(K824=1,SUMPRODUCT(--($L$8:$L$1207&lt;L824))+1,"")</f>
        <v/>
      </c>
      <c r="N824" s="17">
        <f>IF(K824=1,N('ORDENES'!$M820),0)</f>
        <v/>
      </c>
      <c r="O824" s="17">
        <f>IF('ORDENES'!$S820="preventiva",N824,0)</f>
        <v/>
      </c>
      <c r="P824" s="17">
        <f>IF('ORDENES'!$S820="correctiva",N824,0)</f>
        <v/>
      </c>
      <c r="Q824" s="3">
        <f>IF(AND(K824=1,'ORDENES'!$N820="Pendiente"),1,0)</f>
        <v/>
      </c>
      <c r="R824" s="3">
        <f>IF(Q824=1,100000-N824*1000+817*0.01,9000000000000+817)</f>
        <v/>
      </c>
      <c r="S824" s="3">
        <f>IF(Q824=1,SUMPRODUCT(--($R$8:$R$1207&lt;R824))+1,"")</f>
        <v/>
      </c>
      <c r="T824" s="11">
        <f>IF(K824=1,'ORDENES'!$J820,"")</f>
        <v/>
      </c>
    </row>
    <row r="825">
      <c r="K825" s="3">
        <f>IF(AND(IF($B$3="(todos)",TRUE,'ORDENES'!$O821=$B$3),IF($D$3="(todos)",TRUE,'ORDENES'!$AC821=$D$3),IF($F$3="(todos)",TRUE,'ORDENES'!$V821=$F$3),'ORDENES'!$AA821=TRUE,'ORDENES'!$A821&lt;&gt;""),1,0)</f>
        <v/>
      </c>
      <c r="L825" s="3">
        <f>IF(K825=1,IFERROR(MATCH('ORDENES'!$R821,lista_dias,0),9)*1000000000+IFERROR(MATCH('ORDENES'!$AC821,lista_turnos,0),9)*10000000+IFERROR(MATCH('ORDENES'!$AB821,'TECNICOS'!$B$4:$B$15,0),99)*100000+818,9000000000000+818)</f>
        <v/>
      </c>
      <c r="M825" s="3">
        <f>IF(K825=1,SUMPRODUCT(--($L$8:$L$1207&lt;L825))+1,"")</f>
        <v/>
      </c>
      <c r="N825" s="17">
        <f>IF(K825=1,N('ORDENES'!$M821),0)</f>
        <v/>
      </c>
      <c r="O825" s="17">
        <f>IF('ORDENES'!$S821="preventiva",N825,0)</f>
        <v/>
      </c>
      <c r="P825" s="17">
        <f>IF('ORDENES'!$S821="correctiva",N825,0)</f>
        <v/>
      </c>
      <c r="Q825" s="3">
        <f>IF(AND(K825=1,'ORDENES'!$N821="Pendiente"),1,0)</f>
        <v/>
      </c>
      <c r="R825" s="3">
        <f>IF(Q825=1,100000-N825*1000+818*0.01,9000000000000+818)</f>
        <v/>
      </c>
      <c r="S825" s="3">
        <f>IF(Q825=1,SUMPRODUCT(--($R$8:$R$1207&lt;R825))+1,"")</f>
        <v/>
      </c>
      <c r="T825" s="11">
        <f>IF(K825=1,'ORDENES'!$J821,"")</f>
        <v/>
      </c>
    </row>
    <row r="826">
      <c r="K826" s="3">
        <f>IF(AND(IF($B$3="(todos)",TRUE,'ORDENES'!$O822=$B$3),IF($D$3="(todos)",TRUE,'ORDENES'!$AC822=$D$3),IF($F$3="(todos)",TRUE,'ORDENES'!$V822=$F$3),'ORDENES'!$AA822=TRUE,'ORDENES'!$A822&lt;&gt;""),1,0)</f>
        <v/>
      </c>
      <c r="L826" s="3">
        <f>IF(K826=1,IFERROR(MATCH('ORDENES'!$R822,lista_dias,0),9)*1000000000+IFERROR(MATCH('ORDENES'!$AC822,lista_turnos,0),9)*10000000+IFERROR(MATCH('ORDENES'!$AB822,'TECNICOS'!$B$4:$B$15,0),99)*100000+819,9000000000000+819)</f>
        <v/>
      </c>
      <c r="M826" s="3">
        <f>IF(K826=1,SUMPRODUCT(--($L$8:$L$1207&lt;L826))+1,"")</f>
        <v/>
      </c>
      <c r="N826" s="17">
        <f>IF(K826=1,N('ORDENES'!$M822),0)</f>
        <v/>
      </c>
      <c r="O826" s="17">
        <f>IF('ORDENES'!$S822="preventiva",N826,0)</f>
        <v/>
      </c>
      <c r="P826" s="17">
        <f>IF('ORDENES'!$S822="correctiva",N826,0)</f>
        <v/>
      </c>
      <c r="Q826" s="3">
        <f>IF(AND(K826=1,'ORDENES'!$N822="Pendiente"),1,0)</f>
        <v/>
      </c>
      <c r="R826" s="3">
        <f>IF(Q826=1,100000-N826*1000+819*0.01,9000000000000+819)</f>
        <v/>
      </c>
      <c r="S826" s="3">
        <f>IF(Q826=1,SUMPRODUCT(--($R$8:$R$1207&lt;R826))+1,"")</f>
        <v/>
      </c>
      <c r="T826" s="11">
        <f>IF(K826=1,'ORDENES'!$J822,"")</f>
        <v/>
      </c>
    </row>
    <row r="827">
      <c r="K827" s="3">
        <f>IF(AND(IF($B$3="(todos)",TRUE,'ORDENES'!$O823=$B$3),IF($D$3="(todos)",TRUE,'ORDENES'!$AC823=$D$3),IF($F$3="(todos)",TRUE,'ORDENES'!$V823=$F$3),'ORDENES'!$AA823=TRUE,'ORDENES'!$A823&lt;&gt;""),1,0)</f>
        <v/>
      </c>
      <c r="L827" s="3">
        <f>IF(K827=1,IFERROR(MATCH('ORDENES'!$R823,lista_dias,0),9)*1000000000+IFERROR(MATCH('ORDENES'!$AC823,lista_turnos,0),9)*10000000+IFERROR(MATCH('ORDENES'!$AB823,'TECNICOS'!$B$4:$B$15,0),99)*100000+820,9000000000000+820)</f>
        <v/>
      </c>
      <c r="M827" s="3">
        <f>IF(K827=1,SUMPRODUCT(--($L$8:$L$1207&lt;L827))+1,"")</f>
        <v/>
      </c>
      <c r="N827" s="17">
        <f>IF(K827=1,N('ORDENES'!$M823),0)</f>
        <v/>
      </c>
      <c r="O827" s="17">
        <f>IF('ORDENES'!$S823="preventiva",N827,0)</f>
        <v/>
      </c>
      <c r="P827" s="17">
        <f>IF('ORDENES'!$S823="correctiva",N827,0)</f>
        <v/>
      </c>
      <c r="Q827" s="3">
        <f>IF(AND(K827=1,'ORDENES'!$N823="Pendiente"),1,0)</f>
        <v/>
      </c>
      <c r="R827" s="3">
        <f>IF(Q827=1,100000-N827*1000+820*0.01,9000000000000+820)</f>
        <v/>
      </c>
      <c r="S827" s="3">
        <f>IF(Q827=1,SUMPRODUCT(--($R$8:$R$1207&lt;R827))+1,"")</f>
        <v/>
      </c>
      <c r="T827" s="11">
        <f>IF(K827=1,'ORDENES'!$J823,"")</f>
        <v/>
      </c>
    </row>
    <row r="828">
      <c r="K828" s="3">
        <f>IF(AND(IF($B$3="(todos)",TRUE,'ORDENES'!$O824=$B$3),IF($D$3="(todos)",TRUE,'ORDENES'!$AC824=$D$3),IF($F$3="(todos)",TRUE,'ORDENES'!$V824=$F$3),'ORDENES'!$AA824=TRUE,'ORDENES'!$A824&lt;&gt;""),1,0)</f>
        <v/>
      </c>
      <c r="L828" s="3">
        <f>IF(K828=1,IFERROR(MATCH('ORDENES'!$R824,lista_dias,0),9)*1000000000+IFERROR(MATCH('ORDENES'!$AC824,lista_turnos,0),9)*10000000+IFERROR(MATCH('ORDENES'!$AB824,'TECNICOS'!$B$4:$B$15,0),99)*100000+821,9000000000000+821)</f>
        <v/>
      </c>
      <c r="M828" s="3">
        <f>IF(K828=1,SUMPRODUCT(--($L$8:$L$1207&lt;L828))+1,"")</f>
        <v/>
      </c>
      <c r="N828" s="17">
        <f>IF(K828=1,N('ORDENES'!$M824),0)</f>
        <v/>
      </c>
      <c r="O828" s="17">
        <f>IF('ORDENES'!$S824="preventiva",N828,0)</f>
        <v/>
      </c>
      <c r="P828" s="17">
        <f>IF('ORDENES'!$S824="correctiva",N828,0)</f>
        <v/>
      </c>
      <c r="Q828" s="3">
        <f>IF(AND(K828=1,'ORDENES'!$N824="Pendiente"),1,0)</f>
        <v/>
      </c>
      <c r="R828" s="3">
        <f>IF(Q828=1,100000-N828*1000+821*0.01,9000000000000+821)</f>
        <v/>
      </c>
      <c r="S828" s="3">
        <f>IF(Q828=1,SUMPRODUCT(--($R$8:$R$1207&lt;R828))+1,"")</f>
        <v/>
      </c>
      <c r="T828" s="11">
        <f>IF(K828=1,'ORDENES'!$J824,"")</f>
        <v/>
      </c>
    </row>
    <row r="829">
      <c r="K829" s="3">
        <f>IF(AND(IF($B$3="(todos)",TRUE,'ORDENES'!$O825=$B$3),IF($D$3="(todos)",TRUE,'ORDENES'!$AC825=$D$3),IF($F$3="(todos)",TRUE,'ORDENES'!$V825=$F$3),'ORDENES'!$AA825=TRUE,'ORDENES'!$A825&lt;&gt;""),1,0)</f>
        <v/>
      </c>
      <c r="L829" s="3">
        <f>IF(K829=1,IFERROR(MATCH('ORDENES'!$R825,lista_dias,0),9)*1000000000+IFERROR(MATCH('ORDENES'!$AC825,lista_turnos,0),9)*10000000+IFERROR(MATCH('ORDENES'!$AB825,'TECNICOS'!$B$4:$B$15,0),99)*100000+822,9000000000000+822)</f>
        <v/>
      </c>
      <c r="M829" s="3">
        <f>IF(K829=1,SUMPRODUCT(--($L$8:$L$1207&lt;L829))+1,"")</f>
        <v/>
      </c>
      <c r="N829" s="17">
        <f>IF(K829=1,N('ORDENES'!$M825),0)</f>
        <v/>
      </c>
      <c r="O829" s="17">
        <f>IF('ORDENES'!$S825="preventiva",N829,0)</f>
        <v/>
      </c>
      <c r="P829" s="17">
        <f>IF('ORDENES'!$S825="correctiva",N829,0)</f>
        <v/>
      </c>
      <c r="Q829" s="3">
        <f>IF(AND(K829=1,'ORDENES'!$N825="Pendiente"),1,0)</f>
        <v/>
      </c>
      <c r="R829" s="3">
        <f>IF(Q829=1,100000-N829*1000+822*0.01,9000000000000+822)</f>
        <v/>
      </c>
      <c r="S829" s="3">
        <f>IF(Q829=1,SUMPRODUCT(--($R$8:$R$1207&lt;R829))+1,"")</f>
        <v/>
      </c>
      <c r="T829" s="11">
        <f>IF(K829=1,'ORDENES'!$J825,"")</f>
        <v/>
      </c>
    </row>
    <row r="830">
      <c r="K830" s="3">
        <f>IF(AND(IF($B$3="(todos)",TRUE,'ORDENES'!$O826=$B$3),IF($D$3="(todos)",TRUE,'ORDENES'!$AC826=$D$3),IF($F$3="(todos)",TRUE,'ORDENES'!$V826=$F$3),'ORDENES'!$AA826=TRUE,'ORDENES'!$A826&lt;&gt;""),1,0)</f>
        <v/>
      </c>
      <c r="L830" s="3">
        <f>IF(K830=1,IFERROR(MATCH('ORDENES'!$R826,lista_dias,0),9)*1000000000+IFERROR(MATCH('ORDENES'!$AC826,lista_turnos,0),9)*10000000+IFERROR(MATCH('ORDENES'!$AB826,'TECNICOS'!$B$4:$B$15,0),99)*100000+823,9000000000000+823)</f>
        <v/>
      </c>
      <c r="M830" s="3">
        <f>IF(K830=1,SUMPRODUCT(--($L$8:$L$1207&lt;L830))+1,"")</f>
        <v/>
      </c>
      <c r="N830" s="17">
        <f>IF(K830=1,N('ORDENES'!$M826),0)</f>
        <v/>
      </c>
      <c r="O830" s="17">
        <f>IF('ORDENES'!$S826="preventiva",N830,0)</f>
        <v/>
      </c>
      <c r="P830" s="17">
        <f>IF('ORDENES'!$S826="correctiva",N830,0)</f>
        <v/>
      </c>
      <c r="Q830" s="3">
        <f>IF(AND(K830=1,'ORDENES'!$N826="Pendiente"),1,0)</f>
        <v/>
      </c>
      <c r="R830" s="3">
        <f>IF(Q830=1,100000-N830*1000+823*0.01,9000000000000+823)</f>
        <v/>
      </c>
      <c r="S830" s="3">
        <f>IF(Q830=1,SUMPRODUCT(--($R$8:$R$1207&lt;R830))+1,"")</f>
        <v/>
      </c>
      <c r="T830" s="11">
        <f>IF(K830=1,'ORDENES'!$J826,"")</f>
        <v/>
      </c>
    </row>
    <row r="831">
      <c r="K831" s="3">
        <f>IF(AND(IF($B$3="(todos)",TRUE,'ORDENES'!$O827=$B$3),IF($D$3="(todos)",TRUE,'ORDENES'!$AC827=$D$3),IF($F$3="(todos)",TRUE,'ORDENES'!$V827=$F$3),'ORDENES'!$AA827=TRUE,'ORDENES'!$A827&lt;&gt;""),1,0)</f>
        <v/>
      </c>
      <c r="L831" s="3">
        <f>IF(K831=1,IFERROR(MATCH('ORDENES'!$R827,lista_dias,0),9)*1000000000+IFERROR(MATCH('ORDENES'!$AC827,lista_turnos,0),9)*10000000+IFERROR(MATCH('ORDENES'!$AB827,'TECNICOS'!$B$4:$B$15,0),99)*100000+824,9000000000000+824)</f>
        <v/>
      </c>
      <c r="M831" s="3">
        <f>IF(K831=1,SUMPRODUCT(--($L$8:$L$1207&lt;L831))+1,"")</f>
        <v/>
      </c>
      <c r="N831" s="17">
        <f>IF(K831=1,N('ORDENES'!$M827),0)</f>
        <v/>
      </c>
      <c r="O831" s="17">
        <f>IF('ORDENES'!$S827="preventiva",N831,0)</f>
        <v/>
      </c>
      <c r="P831" s="17">
        <f>IF('ORDENES'!$S827="correctiva",N831,0)</f>
        <v/>
      </c>
      <c r="Q831" s="3">
        <f>IF(AND(K831=1,'ORDENES'!$N827="Pendiente"),1,0)</f>
        <v/>
      </c>
      <c r="R831" s="3">
        <f>IF(Q831=1,100000-N831*1000+824*0.01,9000000000000+824)</f>
        <v/>
      </c>
      <c r="S831" s="3">
        <f>IF(Q831=1,SUMPRODUCT(--($R$8:$R$1207&lt;R831))+1,"")</f>
        <v/>
      </c>
      <c r="T831" s="11">
        <f>IF(K831=1,'ORDENES'!$J827,"")</f>
        <v/>
      </c>
    </row>
    <row r="832">
      <c r="K832" s="3">
        <f>IF(AND(IF($B$3="(todos)",TRUE,'ORDENES'!$O828=$B$3),IF($D$3="(todos)",TRUE,'ORDENES'!$AC828=$D$3),IF($F$3="(todos)",TRUE,'ORDENES'!$V828=$F$3),'ORDENES'!$AA828=TRUE,'ORDENES'!$A828&lt;&gt;""),1,0)</f>
        <v/>
      </c>
      <c r="L832" s="3">
        <f>IF(K832=1,IFERROR(MATCH('ORDENES'!$R828,lista_dias,0),9)*1000000000+IFERROR(MATCH('ORDENES'!$AC828,lista_turnos,0),9)*10000000+IFERROR(MATCH('ORDENES'!$AB828,'TECNICOS'!$B$4:$B$15,0),99)*100000+825,9000000000000+825)</f>
        <v/>
      </c>
      <c r="M832" s="3">
        <f>IF(K832=1,SUMPRODUCT(--($L$8:$L$1207&lt;L832))+1,"")</f>
        <v/>
      </c>
      <c r="N832" s="17">
        <f>IF(K832=1,N('ORDENES'!$M828),0)</f>
        <v/>
      </c>
      <c r="O832" s="17">
        <f>IF('ORDENES'!$S828="preventiva",N832,0)</f>
        <v/>
      </c>
      <c r="P832" s="17">
        <f>IF('ORDENES'!$S828="correctiva",N832,0)</f>
        <v/>
      </c>
      <c r="Q832" s="3">
        <f>IF(AND(K832=1,'ORDENES'!$N828="Pendiente"),1,0)</f>
        <v/>
      </c>
      <c r="R832" s="3">
        <f>IF(Q832=1,100000-N832*1000+825*0.01,9000000000000+825)</f>
        <v/>
      </c>
      <c r="S832" s="3">
        <f>IF(Q832=1,SUMPRODUCT(--($R$8:$R$1207&lt;R832))+1,"")</f>
        <v/>
      </c>
      <c r="T832" s="11">
        <f>IF(K832=1,'ORDENES'!$J828,"")</f>
        <v/>
      </c>
    </row>
    <row r="833">
      <c r="K833" s="3">
        <f>IF(AND(IF($B$3="(todos)",TRUE,'ORDENES'!$O829=$B$3),IF($D$3="(todos)",TRUE,'ORDENES'!$AC829=$D$3),IF($F$3="(todos)",TRUE,'ORDENES'!$V829=$F$3),'ORDENES'!$AA829=TRUE,'ORDENES'!$A829&lt;&gt;""),1,0)</f>
        <v/>
      </c>
      <c r="L833" s="3">
        <f>IF(K833=1,IFERROR(MATCH('ORDENES'!$R829,lista_dias,0),9)*1000000000+IFERROR(MATCH('ORDENES'!$AC829,lista_turnos,0),9)*10000000+IFERROR(MATCH('ORDENES'!$AB829,'TECNICOS'!$B$4:$B$15,0),99)*100000+826,9000000000000+826)</f>
        <v/>
      </c>
      <c r="M833" s="3">
        <f>IF(K833=1,SUMPRODUCT(--($L$8:$L$1207&lt;L833))+1,"")</f>
        <v/>
      </c>
      <c r="N833" s="17">
        <f>IF(K833=1,N('ORDENES'!$M829),0)</f>
        <v/>
      </c>
      <c r="O833" s="17">
        <f>IF('ORDENES'!$S829="preventiva",N833,0)</f>
        <v/>
      </c>
      <c r="P833" s="17">
        <f>IF('ORDENES'!$S829="correctiva",N833,0)</f>
        <v/>
      </c>
      <c r="Q833" s="3">
        <f>IF(AND(K833=1,'ORDENES'!$N829="Pendiente"),1,0)</f>
        <v/>
      </c>
      <c r="R833" s="3">
        <f>IF(Q833=1,100000-N833*1000+826*0.01,9000000000000+826)</f>
        <v/>
      </c>
      <c r="S833" s="3">
        <f>IF(Q833=1,SUMPRODUCT(--($R$8:$R$1207&lt;R833))+1,"")</f>
        <v/>
      </c>
      <c r="T833" s="11">
        <f>IF(K833=1,'ORDENES'!$J829,"")</f>
        <v/>
      </c>
    </row>
    <row r="834">
      <c r="K834" s="3">
        <f>IF(AND(IF($B$3="(todos)",TRUE,'ORDENES'!$O830=$B$3),IF($D$3="(todos)",TRUE,'ORDENES'!$AC830=$D$3),IF($F$3="(todos)",TRUE,'ORDENES'!$V830=$F$3),'ORDENES'!$AA830=TRUE,'ORDENES'!$A830&lt;&gt;""),1,0)</f>
        <v/>
      </c>
      <c r="L834" s="3">
        <f>IF(K834=1,IFERROR(MATCH('ORDENES'!$R830,lista_dias,0),9)*1000000000+IFERROR(MATCH('ORDENES'!$AC830,lista_turnos,0),9)*10000000+IFERROR(MATCH('ORDENES'!$AB830,'TECNICOS'!$B$4:$B$15,0),99)*100000+827,9000000000000+827)</f>
        <v/>
      </c>
      <c r="M834" s="3">
        <f>IF(K834=1,SUMPRODUCT(--($L$8:$L$1207&lt;L834))+1,"")</f>
        <v/>
      </c>
      <c r="N834" s="17">
        <f>IF(K834=1,N('ORDENES'!$M830),0)</f>
        <v/>
      </c>
      <c r="O834" s="17">
        <f>IF('ORDENES'!$S830="preventiva",N834,0)</f>
        <v/>
      </c>
      <c r="P834" s="17">
        <f>IF('ORDENES'!$S830="correctiva",N834,0)</f>
        <v/>
      </c>
      <c r="Q834" s="3">
        <f>IF(AND(K834=1,'ORDENES'!$N830="Pendiente"),1,0)</f>
        <v/>
      </c>
      <c r="R834" s="3">
        <f>IF(Q834=1,100000-N834*1000+827*0.01,9000000000000+827)</f>
        <v/>
      </c>
      <c r="S834" s="3">
        <f>IF(Q834=1,SUMPRODUCT(--($R$8:$R$1207&lt;R834))+1,"")</f>
        <v/>
      </c>
      <c r="T834" s="11">
        <f>IF(K834=1,'ORDENES'!$J830,"")</f>
        <v/>
      </c>
    </row>
    <row r="835">
      <c r="K835" s="3">
        <f>IF(AND(IF($B$3="(todos)",TRUE,'ORDENES'!$O831=$B$3),IF($D$3="(todos)",TRUE,'ORDENES'!$AC831=$D$3),IF($F$3="(todos)",TRUE,'ORDENES'!$V831=$F$3),'ORDENES'!$AA831=TRUE,'ORDENES'!$A831&lt;&gt;""),1,0)</f>
        <v/>
      </c>
      <c r="L835" s="3">
        <f>IF(K835=1,IFERROR(MATCH('ORDENES'!$R831,lista_dias,0),9)*1000000000+IFERROR(MATCH('ORDENES'!$AC831,lista_turnos,0),9)*10000000+IFERROR(MATCH('ORDENES'!$AB831,'TECNICOS'!$B$4:$B$15,0),99)*100000+828,9000000000000+828)</f>
        <v/>
      </c>
      <c r="M835" s="3">
        <f>IF(K835=1,SUMPRODUCT(--($L$8:$L$1207&lt;L835))+1,"")</f>
        <v/>
      </c>
      <c r="N835" s="17">
        <f>IF(K835=1,N('ORDENES'!$M831),0)</f>
        <v/>
      </c>
      <c r="O835" s="17">
        <f>IF('ORDENES'!$S831="preventiva",N835,0)</f>
        <v/>
      </c>
      <c r="P835" s="17">
        <f>IF('ORDENES'!$S831="correctiva",N835,0)</f>
        <v/>
      </c>
      <c r="Q835" s="3">
        <f>IF(AND(K835=1,'ORDENES'!$N831="Pendiente"),1,0)</f>
        <v/>
      </c>
      <c r="R835" s="3">
        <f>IF(Q835=1,100000-N835*1000+828*0.01,9000000000000+828)</f>
        <v/>
      </c>
      <c r="S835" s="3">
        <f>IF(Q835=1,SUMPRODUCT(--($R$8:$R$1207&lt;R835))+1,"")</f>
        <v/>
      </c>
      <c r="T835" s="11">
        <f>IF(K835=1,'ORDENES'!$J831,"")</f>
        <v/>
      </c>
    </row>
    <row r="836">
      <c r="K836" s="3">
        <f>IF(AND(IF($B$3="(todos)",TRUE,'ORDENES'!$O832=$B$3),IF($D$3="(todos)",TRUE,'ORDENES'!$AC832=$D$3),IF($F$3="(todos)",TRUE,'ORDENES'!$V832=$F$3),'ORDENES'!$AA832=TRUE,'ORDENES'!$A832&lt;&gt;""),1,0)</f>
        <v/>
      </c>
      <c r="L836" s="3">
        <f>IF(K836=1,IFERROR(MATCH('ORDENES'!$R832,lista_dias,0),9)*1000000000+IFERROR(MATCH('ORDENES'!$AC832,lista_turnos,0),9)*10000000+IFERROR(MATCH('ORDENES'!$AB832,'TECNICOS'!$B$4:$B$15,0),99)*100000+829,9000000000000+829)</f>
        <v/>
      </c>
      <c r="M836" s="3">
        <f>IF(K836=1,SUMPRODUCT(--($L$8:$L$1207&lt;L836))+1,"")</f>
        <v/>
      </c>
      <c r="N836" s="17">
        <f>IF(K836=1,N('ORDENES'!$M832),0)</f>
        <v/>
      </c>
      <c r="O836" s="17">
        <f>IF('ORDENES'!$S832="preventiva",N836,0)</f>
        <v/>
      </c>
      <c r="P836" s="17">
        <f>IF('ORDENES'!$S832="correctiva",N836,0)</f>
        <v/>
      </c>
      <c r="Q836" s="3">
        <f>IF(AND(K836=1,'ORDENES'!$N832="Pendiente"),1,0)</f>
        <v/>
      </c>
      <c r="R836" s="3">
        <f>IF(Q836=1,100000-N836*1000+829*0.01,9000000000000+829)</f>
        <v/>
      </c>
      <c r="S836" s="3">
        <f>IF(Q836=1,SUMPRODUCT(--($R$8:$R$1207&lt;R836))+1,"")</f>
        <v/>
      </c>
      <c r="T836" s="11">
        <f>IF(K836=1,'ORDENES'!$J832,"")</f>
        <v/>
      </c>
    </row>
    <row r="837">
      <c r="K837" s="3">
        <f>IF(AND(IF($B$3="(todos)",TRUE,'ORDENES'!$O833=$B$3),IF($D$3="(todos)",TRUE,'ORDENES'!$AC833=$D$3),IF($F$3="(todos)",TRUE,'ORDENES'!$V833=$F$3),'ORDENES'!$AA833=TRUE,'ORDENES'!$A833&lt;&gt;""),1,0)</f>
        <v/>
      </c>
      <c r="L837" s="3">
        <f>IF(K837=1,IFERROR(MATCH('ORDENES'!$R833,lista_dias,0),9)*1000000000+IFERROR(MATCH('ORDENES'!$AC833,lista_turnos,0),9)*10000000+IFERROR(MATCH('ORDENES'!$AB833,'TECNICOS'!$B$4:$B$15,0),99)*100000+830,9000000000000+830)</f>
        <v/>
      </c>
      <c r="M837" s="3">
        <f>IF(K837=1,SUMPRODUCT(--($L$8:$L$1207&lt;L837))+1,"")</f>
        <v/>
      </c>
      <c r="N837" s="17">
        <f>IF(K837=1,N('ORDENES'!$M833),0)</f>
        <v/>
      </c>
      <c r="O837" s="17">
        <f>IF('ORDENES'!$S833="preventiva",N837,0)</f>
        <v/>
      </c>
      <c r="P837" s="17">
        <f>IF('ORDENES'!$S833="correctiva",N837,0)</f>
        <v/>
      </c>
      <c r="Q837" s="3">
        <f>IF(AND(K837=1,'ORDENES'!$N833="Pendiente"),1,0)</f>
        <v/>
      </c>
      <c r="R837" s="3">
        <f>IF(Q837=1,100000-N837*1000+830*0.01,9000000000000+830)</f>
        <v/>
      </c>
      <c r="S837" s="3">
        <f>IF(Q837=1,SUMPRODUCT(--($R$8:$R$1207&lt;R837))+1,"")</f>
        <v/>
      </c>
      <c r="T837" s="11">
        <f>IF(K837=1,'ORDENES'!$J833,"")</f>
        <v/>
      </c>
    </row>
    <row r="838">
      <c r="K838" s="3">
        <f>IF(AND(IF($B$3="(todos)",TRUE,'ORDENES'!$O834=$B$3),IF($D$3="(todos)",TRUE,'ORDENES'!$AC834=$D$3),IF($F$3="(todos)",TRUE,'ORDENES'!$V834=$F$3),'ORDENES'!$AA834=TRUE,'ORDENES'!$A834&lt;&gt;""),1,0)</f>
        <v/>
      </c>
      <c r="L838" s="3">
        <f>IF(K838=1,IFERROR(MATCH('ORDENES'!$R834,lista_dias,0),9)*1000000000+IFERROR(MATCH('ORDENES'!$AC834,lista_turnos,0),9)*10000000+IFERROR(MATCH('ORDENES'!$AB834,'TECNICOS'!$B$4:$B$15,0),99)*100000+831,9000000000000+831)</f>
        <v/>
      </c>
      <c r="M838" s="3">
        <f>IF(K838=1,SUMPRODUCT(--($L$8:$L$1207&lt;L838))+1,"")</f>
        <v/>
      </c>
      <c r="N838" s="17">
        <f>IF(K838=1,N('ORDENES'!$M834),0)</f>
        <v/>
      </c>
      <c r="O838" s="17">
        <f>IF('ORDENES'!$S834="preventiva",N838,0)</f>
        <v/>
      </c>
      <c r="P838" s="17">
        <f>IF('ORDENES'!$S834="correctiva",N838,0)</f>
        <v/>
      </c>
      <c r="Q838" s="3">
        <f>IF(AND(K838=1,'ORDENES'!$N834="Pendiente"),1,0)</f>
        <v/>
      </c>
      <c r="R838" s="3">
        <f>IF(Q838=1,100000-N838*1000+831*0.01,9000000000000+831)</f>
        <v/>
      </c>
      <c r="S838" s="3">
        <f>IF(Q838=1,SUMPRODUCT(--($R$8:$R$1207&lt;R838))+1,"")</f>
        <v/>
      </c>
      <c r="T838" s="11">
        <f>IF(K838=1,'ORDENES'!$J834,"")</f>
        <v/>
      </c>
    </row>
    <row r="839">
      <c r="K839" s="3">
        <f>IF(AND(IF($B$3="(todos)",TRUE,'ORDENES'!$O835=$B$3),IF($D$3="(todos)",TRUE,'ORDENES'!$AC835=$D$3),IF($F$3="(todos)",TRUE,'ORDENES'!$V835=$F$3),'ORDENES'!$AA835=TRUE,'ORDENES'!$A835&lt;&gt;""),1,0)</f>
        <v/>
      </c>
      <c r="L839" s="3">
        <f>IF(K839=1,IFERROR(MATCH('ORDENES'!$R835,lista_dias,0),9)*1000000000+IFERROR(MATCH('ORDENES'!$AC835,lista_turnos,0),9)*10000000+IFERROR(MATCH('ORDENES'!$AB835,'TECNICOS'!$B$4:$B$15,0),99)*100000+832,9000000000000+832)</f>
        <v/>
      </c>
      <c r="M839" s="3">
        <f>IF(K839=1,SUMPRODUCT(--($L$8:$L$1207&lt;L839))+1,"")</f>
        <v/>
      </c>
      <c r="N839" s="17">
        <f>IF(K839=1,N('ORDENES'!$M835),0)</f>
        <v/>
      </c>
      <c r="O839" s="17">
        <f>IF('ORDENES'!$S835="preventiva",N839,0)</f>
        <v/>
      </c>
      <c r="P839" s="17">
        <f>IF('ORDENES'!$S835="correctiva",N839,0)</f>
        <v/>
      </c>
      <c r="Q839" s="3">
        <f>IF(AND(K839=1,'ORDENES'!$N835="Pendiente"),1,0)</f>
        <v/>
      </c>
      <c r="R839" s="3">
        <f>IF(Q839=1,100000-N839*1000+832*0.01,9000000000000+832)</f>
        <v/>
      </c>
      <c r="S839" s="3">
        <f>IF(Q839=1,SUMPRODUCT(--($R$8:$R$1207&lt;R839))+1,"")</f>
        <v/>
      </c>
      <c r="T839" s="11">
        <f>IF(K839=1,'ORDENES'!$J835,"")</f>
        <v/>
      </c>
    </row>
    <row r="840">
      <c r="K840" s="3">
        <f>IF(AND(IF($B$3="(todos)",TRUE,'ORDENES'!$O836=$B$3),IF($D$3="(todos)",TRUE,'ORDENES'!$AC836=$D$3),IF($F$3="(todos)",TRUE,'ORDENES'!$V836=$F$3),'ORDENES'!$AA836=TRUE,'ORDENES'!$A836&lt;&gt;""),1,0)</f>
        <v/>
      </c>
      <c r="L840" s="3">
        <f>IF(K840=1,IFERROR(MATCH('ORDENES'!$R836,lista_dias,0),9)*1000000000+IFERROR(MATCH('ORDENES'!$AC836,lista_turnos,0),9)*10000000+IFERROR(MATCH('ORDENES'!$AB836,'TECNICOS'!$B$4:$B$15,0),99)*100000+833,9000000000000+833)</f>
        <v/>
      </c>
      <c r="M840" s="3">
        <f>IF(K840=1,SUMPRODUCT(--($L$8:$L$1207&lt;L840))+1,"")</f>
        <v/>
      </c>
      <c r="N840" s="17">
        <f>IF(K840=1,N('ORDENES'!$M836),0)</f>
        <v/>
      </c>
      <c r="O840" s="17">
        <f>IF('ORDENES'!$S836="preventiva",N840,0)</f>
        <v/>
      </c>
      <c r="P840" s="17">
        <f>IF('ORDENES'!$S836="correctiva",N840,0)</f>
        <v/>
      </c>
      <c r="Q840" s="3">
        <f>IF(AND(K840=1,'ORDENES'!$N836="Pendiente"),1,0)</f>
        <v/>
      </c>
      <c r="R840" s="3">
        <f>IF(Q840=1,100000-N840*1000+833*0.01,9000000000000+833)</f>
        <v/>
      </c>
      <c r="S840" s="3">
        <f>IF(Q840=1,SUMPRODUCT(--($R$8:$R$1207&lt;R840))+1,"")</f>
        <v/>
      </c>
      <c r="T840" s="11">
        <f>IF(K840=1,'ORDENES'!$J836,"")</f>
        <v/>
      </c>
    </row>
    <row r="841">
      <c r="K841" s="3">
        <f>IF(AND(IF($B$3="(todos)",TRUE,'ORDENES'!$O837=$B$3),IF($D$3="(todos)",TRUE,'ORDENES'!$AC837=$D$3),IF($F$3="(todos)",TRUE,'ORDENES'!$V837=$F$3),'ORDENES'!$AA837=TRUE,'ORDENES'!$A837&lt;&gt;""),1,0)</f>
        <v/>
      </c>
      <c r="L841" s="3">
        <f>IF(K841=1,IFERROR(MATCH('ORDENES'!$R837,lista_dias,0),9)*1000000000+IFERROR(MATCH('ORDENES'!$AC837,lista_turnos,0),9)*10000000+IFERROR(MATCH('ORDENES'!$AB837,'TECNICOS'!$B$4:$B$15,0),99)*100000+834,9000000000000+834)</f>
        <v/>
      </c>
      <c r="M841" s="3">
        <f>IF(K841=1,SUMPRODUCT(--($L$8:$L$1207&lt;L841))+1,"")</f>
        <v/>
      </c>
      <c r="N841" s="17">
        <f>IF(K841=1,N('ORDENES'!$M837),0)</f>
        <v/>
      </c>
      <c r="O841" s="17">
        <f>IF('ORDENES'!$S837="preventiva",N841,0)</f>
        <v/>
      </c>
      <c r="P841" s="17">
        <f>IF('ORDENES'!$S837="correctiva",N841,0)</f>
        <v/>
      </c>
      <c r="Q841" s="3">
        <f>IF(AND(K841=1,'ORDENES'!$N837="Pendiente"),1,0)</f>
        <v/>
      </c>
      <c r="R841" s="3">
        <f>IF(Q841=1,100000-N841*1000+834*0.01,9000000000000+834)</f>
        <v/>
      </c>
      <c r="S841" s="3">
        <f>IF(Q841=1,SUMPRODUCT(--($R$8:$R$1207&lt;R841))+1,"")</f>
        <v/>
      </c>
      <c r="T841" s="11">
        <f>IF(K841=1,'ORDENES'!$J837,"")</f>
        <v/>
      </c>
    </row>
    <row r="842">
      <c r="K842" s="3">
        <f>IF(AND(IF($B$3="(todos)",TRUE,'ORDENES'!$O838=$B$3),IF($D$3="(todos)",TRUE,'ORDENES'!$AC838=$D$3),IF($F$3="(todos)",TRUE,'ORDENES'!$V838=$F$3),'ORDENES'!$AA838=TRUE,'ORDENES'!$A838&lt;&gt;""),1,0)</f>
        <v/>
      </c>
      <c r="L842" s="3">
        <f>IF(K842=1,IFERROR(MATCH('ORDENES'!$R838,lista_dias,0),9)*1000000000+IFERROR(MATCH('ORDENES'!$AC838,lista_turnos,0),9)*10000000+IFERROR(MATCH('ORDENES'!$AB838,'TECNICOS'!$B$4:$B$15,0),99)*100000+835,9000000000000+835)</f>
        <v/>
      </c>
      <c r="M842" s="3">
        <f>IF(K842=1,SUMPRODUCT(--($L$8:$L$1207&lt;L842))+1,"")</f>
        <v/>
      </c>
      <c r="N842" s="17">
        <f>IF(K842=1,N('ORDENES'!$M838),0)</f>
        <v/>
      </c>
      <c r="O842" s="17">
        <f>IF('ORDENES'!$S838="preventiva",N842,0)</f>
        <v/>
      </c>
      <c r="P842" s="17">
        <f>IF('ORDENES'!$S838="correctiva",N842,0)</f>
        <v/>
      </c>
      <c r="Q842" s="3">
        <f>IF(AND(K842=1,'ORDENES'!$N838="Pendiente"),1,0)</f>
        <v/>
      </c>
      <c r="R842" s="3">
        <f>IF(Q842=1,100000-N842*1000+835*0.01,9000000000000+835)</f>
        <v/>
      </c>
      <c r="S842" s="3">
        <f>IF(Q842=1,SUMPRODUCT(--($R$8:$R$1207&lt;R842))+1,"")</f>
        <v/>
      </c>
      <c r="T842" s="11">
        <f>IF(K842=1,'ORDENES'!$J838,"")</f>
        <v/>
      </c>
    </row>
    <row r="843">
      <c r="K843" s="3">
        <f>IF(AND(IF($B$3="(todos)",TRUE,'ORDENES'!$O839=$B$3),IF($D$3="(todos)",TRUE,'ORDENES'!$AC839=$D$3),IF($F$3="(todos)",TRUE,'ORDENES'!$V839=$F$3),'ORDENES'!$AA839=TRUE,'ORDENES'!$A839&lt;&gt;""),1,0)</f>
        <v/>
      </c>
      <c r="L843" s="3">
        <f>IF(K843=1,IFERROR(MATCH('ORDENES'!$R839,lista_dias,0),9)*1000000000+IFERROR(MATCH('ORDENES'!$AC839,lista_turnos,0),9)*10000000+IFERROR(MATCH('ORDENES'!$AB839,'TECNICOS'!$B$4:$B$15,0),99)*100000+836,9000000000000+836)</f>
        <v/>
      </c>
      <c r="M843" s="3">
        <f>IF(K843=1,SUMPRODUCT(--($L$8:$L$1207&lt;L843))+1,"")</f>
        <v/>
      </c>
      <c r="N843" s="17">
        <f>IF(K843=1,N('ORDENES'!$M839),0)</f>
        <v/>
      </c>
      <c r="O843" s="17">
        <f>IF('ORDENES'!$S839="preventiva",N843,0)</f>
        <v/>
      </c>
      <c r="P843" s="17">
        <f>IF('ORDENES'!$S839="correctiva",N843,0)</f>
        <v/>
      </c>
      <c r="Q843" s="3">
        <f>IF(AND(K843=1,'ORDENES'!$N839="Pendiente"),1,0)</f>
        <v/>
      </c>
      <c r="R843" s="3">
        <f>IF(Q843=1,100000-N843*1000+836*0.01,9000000000000+836)</f>
        <v/>
      </c>
      <c r="S843" s="3">
        <f>IF(Q843=1,SUMPRODUCT(--($R$8:$R$1207&lt;R843))+1,"")</f>
        <v/>
      </c>
      <c r="T843" s="11">
        <f>IF(K843=1,'ORDENES'!$J839,"")</f>
        <v/>
      </c>
    </row>
    <row r="844">
      <c r="K844" s="3">
        <f>IF(AND(IF($B$3="(todos)",TRUE,'ORDENES'!$O840=$B$3),IF($D$3="(todos)",TRUE,'ORDENES'!$AC840=$D$3),IF($F$3="(todos)",TRUE,'ORDENES'!$V840=$F$3),'ORDENES'!$AA840=TRUE,'ORDENES'!$A840&lt;&gt;""),1,0)</f>
        <v/>
      </c>
      <c r="L844" s="3">
        <f>IF(K844=1,IFERROR(MATCH('ORDENES'!$R840,lista_dias,0),9)*1000000000+IFERROR(MATCH('ORDENES'!$AC840,lista_turnos,0),9)*10000000+IFERROR(MATCH('ORDENES'!$AB840,'TECNICOS'!$B$4:$B$15,0),99)*100000+837,9000000000000+837)</f>
        <v/>
      </c>
      <c r="M844" s="3">
        <f>IF(K844=1,SUMPRODUCT(--($L$8:$L$1207&lt;L844))+1,"")</f>
        <v/>
      </c>
      <c r="N844" s="17">
        <f>IF(K844=1,N('ORDENES'!$M840),0)</f>
        <v/>
      </c>
      <c r="O844" s="17">
        <f>IF('ORDENES'!$S840="preventiva",N844,0)</f>
        <v/>
      </c>
      <c r="P844" s="17">
        <f>IF('ORDENES'!$S840="correctiva",N844,0)</f>
        <v/>
      </c>
      <c r="Q844" s="3">
        <f>IF(AND(K844=1,'ORDENES'!$N840="Pendiente"),1,0)</f>
        <v/>
      </c>
      <c r="R844" s="3">
        <f>IF(Q844=1,100000-N844*1000+837*0.01,9000000000000+837)</f>
        <v/>
      </c>
      <c r="S844" s="3">
        <f>IF(Q844=1,SUMPRODUCT(--($R$8:$R$1207&lt;R844))+1,"")</f>
        <v/>
      </c>
      <c r="T844" s="11">
        <f>IF(K844=1,'ORDENES'!$J840,"")</f>
        <v/>
      </c>
    </row>
    <row r="845">
      <c r="K845" s="3">
        <f>IF(AND(IF($B$3="(todos)",TRUE,'ORDENES'!$O841=$B$3),IF($D$3="(todos)",TRUE,'ORDENES'!$AC841=$D$3),IF($F$3="(todos)",TRUE,'ORDENES'!$V841=$F$3),'ORDENES'!$AA841=TRUE,'ORDENES'!$A841&lt;&gt;""),1,0)</f>
        <v/>
      </c>
      <c r="L845" s="3">
        <f>IF(K845=1,IFERROR(MATCH('ORDENES'!$R841,lista_dias,0),9)*1000000000+IFERROR(MATCH('ORDENES'!$AC841,lista_turnos,0),9)*10000000+IFERROR(MATCH('ORDENES'!$AB841,'TECNICOS'!$B$4:$B$15,0),99)*100000+838,9000000000000+838)</f>
        <v/>
      </c>
      <c r="M845" s="3">
        <f>IF(K845=1,SUMPRODUCT(--($L$8:$L$1207&lt;L845))+1,"")</f>
        <v/>
      </c>
      <c r="N845" s="17">
        <f>IF(K845=1,N('ORDENES'!$M841),0)</f>
        <v/>
      </c>
      <c r="O845" s="17">
        <f>IF('ORDENES'!$S841="preventiva",N845,0)</f>
        <v/>
      </c>
      <c r="P845" s="17">
        <f>IF('ORDENES'!$S841="correctiva",N845,0)</f>
        <v/>
      </c>
      <c r="Q845" s="3">
        <f>IF(AND(K845=1,'ORDENES'!$N841="Pendiente"),1,0)</f>
        <v/>
      </c>
      <c r="R845" s="3">
        <f>IF(Q845=1,100000-N845*1000+838*0.01,9000000000000+838)</f>
        <v/>
      </c>
      <c r="S845" s="3">
        <f>IF(Q845=1,SUMPRODUCT(--($R$8:$R$1207&lt;R845))+1,"")</f>
        <v/>
      </c>
      <c r="T845" s="11">
        <f>IF(K845=1,'ORDENES'!$J841,"")</f>
        <v/>
      </c>
    </row>
    <row r="846">
      <c r="K846" s="3">
        <f>IF(AND(IF($B$3="(todos)",TRUE,'ORDENES'!$O842=$B$3),IF($D$3="(todos)",TRUE,'ORDENES'!$AC842=$D$3),IF($F$3="(todos)",TRUE,'ORDENES'!$V842=$F$3),'ORDENES'!$AA842=TRUE,'ORDENES'!$A842&lt;&gt;""),1,0)</f>
        <v/>
      </c>
      <c r="L846" s="3">
        <f>IF(K846=1,IFERROR(MATCH('ORDENES'!$R842,lista_dias,0),9)*1000000000+IFERROR(MATCH('ORDENES'!$AC842,lista_turnos,0),9)*10000000+IFERROR(MATCH('ORDENES'!$AB842,'TECNICOS'!$B$4:$B$15,0),99)*100000+839,9000000000000+839)</f>
        <v/>
      </c>
      <c r="M846" s="3">
        <f>IF(K846=1,SUMPRODUCT(--($L$8:$L$1207&lt;L846))+1,"")</f>
        <v/>
      </c>
      <c r="N846" s="17">
        <f>IF(K846=1,N('ORDENES'!$M842),0)</f>
        <v/>
      </c>
      <c r="O846" s="17">
        <f>IF('ORDENES'!$S842="preventiva",N846,0)</f>
        <v/>
      </c>
      <c r="P846" s="17">
        <f>IF('ORDENES'!$S842="correctiva",N846,0)</f>
        <v/>
      </c>
      <c r="Q846" s="3">
        <f>IF(AND(K846=1,'ORDENES'!$N842="Pendiente"),1,0)</f>
        <v/>
      </c>
      <c r="R846" s="3">
        <f>IF(Q846=1,100000-N846*1000+839*0.01,9000000000000+839)</f>
        <v/>
      </c>
      <c r="S846" s="3">
        <f>IF(Q846=1,SUMPRODUCT(--($R$8:$R$1207&lt;R846))+1,"")</f>
        <v/>
      </c>
      <c r="T846" s="11">
        <f>IF(K846=1,'ORDENES'!$J842,"")</f>
        <v/>
      </c>
    </row>
    <row r="847">
      <c r="K847" s="3">
        <f>IF(AND(IF($B$3="(todos)",TRUE,'ORDENES'!$O843=$B$3),IF($D$3="(todos)",TRUE,'ORDENES'!$AC843=$D$3),IF($F$3="(todos)",TRUE,'ORDENES'!$V843=$F$3),'ORDENES'!$AA843=TRUE,'ORDENES'!$A843&lt;&gt;""),1,0)</f>
        <v/>
      </c>
      <c r="L847" s="3">
        <f>IF(K847=1,IFERROR(MATCH('ORDENES'!$R843,lista_dias,0),9)*1000000000+IFERROR(MATCH('ORDENES'!$AC843,lista_turnos,0),9)*10000000+IFERROR(MATCH('ORDENES'!$AB843,'TECNICOS'!$B$4:$B$15,0),99)*100000+840,9000000000000+840)</f>
        <v/>
      </c>
      <c r="M847" s="3">
        <f>IF(K847=1,SUMPRODUCT(--($L$8:$L$1207&lt;L847))+1,"")</f>
        <v/>
      </c>
      <c r="N847" s="17">
        <f>IF(K847=1,N('ORDENES'!$M843),0)</f>
        <v/>
      </c>
      <c r="O847" s="17">
        <f>IF('ORDENES'!$S843="preventiva",N847,0)</f>
        <v/>
      </c>
      <c r="P847" s="17">
        <f>IF('ORDENES'!$S843="correctiva",N847,0)</f>
        <v/>
      </c>
      <c r="Q847" s="3">
        <f>IF(AND(K847=1,'ORDENES'!$N843="Pendiente"),1,0)</f>
        <v/>
      </c>
      <c r="R847" s="3">
        <f>IF(Q847=1,100000-N847*1000+840*0.01,9000000000000+840)</f>
        <v/>
      </c>
      <c r="S847" s="3">
        <f>IF(Q847=1,SUMPRODUCT(--($R$8:$R$1207&lt;R847))+1,"")</f>
        <v/>
      </c>
      <c r="T847" s="11">
        <f>IF(K847=1,'ORDENES'!$J843,"")</f>
        <v/>
      </c>
    </row>
    <row r="848">
      <c r="K848" s="3">
        <f>IF(AND(IF($B$3="(todos)",TRUE,'ORDENES'!$O844=$B$3),IF($D$3="(todos)",TRUE,'ORDENES'!$AC844=$D$3),IF($F$3="(todos)",TRUE,'ORDENES'!$V844=$F$3),'ORDENES'!$AA844=TRUE,'ORDENES'!$A844&lt;&gt;""),1,0)</f>
        <v/>
      </c>
      <c r="L848" s="3">
        <f>IF(K848=1,IFERROR(MATCH('ORDENES'!$R844,lista_dias,0),9)*1000000000+IFERROR(MATCH('ORDENES'!$AC844,lista_turnos,0),9)*10000000+IFERROR(MATCH('ORDENES'!$AB844,'TECNICOS'!$B$4:$B$15,0),99)*100000+841,9000000000000+841)</f>
        <v/>
      </c>
      <c r="M848" s="3">
        <f>IF(K848=1,SUMPRODUCT(--($L$8:$L$1207&lt;L848))+1,"")</f>
        <v/>
      </c>
      <c r="N848" s="17">
        <f>IF(K848=1,N('ORDENES'!$M844),0)</f>
        <v/>
      </c>
      <c r="O848" s="17">
        <f>IF('ORDENES'!$S844="preventiva",N848,0)</f>
        <v/>
      </c>
      <c r="P848" s="17">
        <f>IF('ORDENES'!$S844="correctiva",N848,0)</f>
        <v/>
      </c>
      <c r="Q848" s="3">
        <f>IF(AND(K848=1,'ORDENES'!$N844="Pendiente"),1,0)</f>
        <v/>
      </c>
      <c r="R848" s="3">
        <f>IF(Q848=1,100000-N848*1000+841*0.01,9000000000000+841)</f>
        <v/>
      </c>
      <c r="S848" s="3">
        <f>IF(Q848=1,SUMPRODUCT(--($R$8:$R$1207&lt;R848))+1,"")</f>
        <v/>
      </c>
      <c r="T848" s="11">
        <f>IF(K848=1,'ORDENES'!$J844,"")</f>
        <v/>
      </c>
    </row>
    <row r="849">
      <c r="K849" s="3">
        <f>IF(AND(IF($B$3="(todos)",TRUE,'ORDENES'!$O845=$B$3),IF($D$3="(todos)",TRUE,'ORDENES'!$AC845=$D$3),IF($F$3="(todos)",TRUE,'ORDENES'!$V845=$F$3),'ORDENES'!$AA845=TRUE,'ORDENES'!$A845&lt;&gt;""),1,0)</f>
        <v/>
      </c>
      <c r="L849" s="3">
        <f>IF(K849=1,IFERROR(MATCH('ORDENES'!$R845,lista_dias,0),9)*1000000000+IFERROR(MATCH('ORDENES'!$AC845,lista_turnos,0),9)*10000000+IFERROR(MATCH('ORDENES'!$AB845,'TECNICOS'!$B$4:$B$15,0),99)*100000+842,9000000000000+842)</f>
        <v/>
      </c>
      <c r="M849" s="3">
        <f>IF(K849=1,SUMPRODUCT(--($L$8:$L$1207&lt;L849))+1,"")</f>
        <v/>
      </c>
      <c r="N849" s="17">
        <f>IF(K849=1,N('ORDENES'!$M845),0)</f>
        <v/>
      </c>
      <c r="O849" s="17">
        <f>IF('ORDENES'!$S845="preventiva",N849,0)</f>
        <v/>
      </c>
      <c r="P849" s="17">
        <f>IF('ORDENES'!$S845="correctiva",N849,0)</f>
        <v/>
      </c>
      <c r="Q849" s="3">
        <f>IF(AND(K849=1,'ORDENES'!$N845="Pendiente"),1,0)</f>
        <v/>
      </c>
      <c r="R849" s="3">
        <f>IF(Q849=1,100000-N849*1000+842*0.01,9000000000000+842)</f>
        <v/>
      </c>
      <c r="S849" s="3">
        <f>IF(Q849=1,SUMPRODUCT(--($R$8:$R$1207&lt;R849))+1,"")</f>
        <v/>
      </c>
      <c r="T849" s="11">
        <f>IF(K849=1,'ORDENES'!$J845,"")</f>
        <v/>
      </c>
    </row>
    <row r="850">
      <c r="K850" s="3">
        <f>IF(AND(IF($B$3="(todos)",TRUE,'ORDENES'!$O846=$B$3),IF($D$3="(todos)",TRUE,'ORDENES'!$AC846=$D$3),IF($F$3="(todos)",TRUE,'ORDENES'!$V846=$F$3),'ORDENES'!$AA846=TRUE,'ORDENES'!$A846&lt;&gt;""),1,0)</f>
        <v/>
      </c>
      <c r="L850" s="3">
        <f>IF(K850=1,IFERROR(MATCH('ORDENES'!$R846,lista_dias,0),9)*1000000000+IFERROR(MATCH('ORDENES'!$AC846,lista_turnos,0),9)*10000000+IFERROR(MATCH('ORDENES'!$AB846,'TECNICOS'!$B$4:$B$15,0),99)*100000+843,9000000000000+843)</f>
        <v/>
      </c>
      <c r="M850" s="3">
        <f>IF(K850=1,SUMPRODUCT(--($L$8:$L$1207&lt;L850))+1,"")</f>
        <v/>
      </c>
      <c r="N850" s="17">
        <f>IF(K850=1,N('ORDENES'!$M846),0)</f>
        <v/>
      </c>
      <c r="O850" s="17">
        <f>IF('ORDENES'!$S846="preventiva",N850,0)</f>
        <v/>
      </c>
      <c r="P850" s="17">
        <f>IF('ORDENES'!$S846="correctiva",N850,0)</f>
        <v/>
      </c>
      <c r="Q850" s="3">
        <f>IF(AND(K850=1,'ORDENES'!$N846="Pendiente"),1,0)</f>
        <v/>
      </c>
      <c r="R850" s="3">
        <f>IF(Q850=1,100000-N850*1000+843*0.01,9000000000000+843)</f>
        <v/>
      </c>
      <c r="S850" s="3">
        <f>IF(Q850=1,SUMPRODUCT(--($R$8:$R$1207&lt;R850))+1,"")</f>
        <v/>
      </c>
      <c r="T850" s="11">
        <f>IF(K850=1,'ORDENES'!$J846,"")</f>
        <v/>
      </c>
    </row>
    <row r="851">
      <c r="K851" s="3">
        <f>IF(AND(IF($B$3="(todos)",TRUE,'ORDENES'!$O847=$B$3),IF($D$3="(todos)",TRUE,'ORDENES'!$AC847=$D$3),IF($F$3="(todos)",TRUE,'ORDENES'!$V847=$F$3),'ORDENES'!$AA847=TRUE,'ORDENES'!$A847&lt;&gt;""),1,0)</f>
        <v/>
      </c>
      <c r="L851" s="3">
        <f>IF(K851=1,IFERROR(MATCH('ORDENES'!$R847,lista_dias,0),9)*1000000000+IFERROR(MATCH('ORDENES'!$AC847,lista_turnos,0),9)*10000000+IFERROR(MATCH('ORDENES'!$AB847,'TECNICOS'!$B$4:$B$15,0),99)*100000+844,9000000000000+844)</f>
        <v/>
      </c>
      <c r="M851" s="3">
        <f>IF(K851=1,SUMPRODUCT(--($L$8:$L$1207&lt;L851))+1,"")</f>
        <v/>
      </c>
      <c r="N851" s="17">
        <f>IF(K851=1,N('ORDENES'!$M847),0)</f>
        <v/>
      </c>
      <c r="O851" s="17">
        <f>IF('ORDENES'!$S847="preventiva",N851,0)</f>
        <v/>
      </c>
      <c r="P851" s="17">
        <f>IF('ORDENES'!$S847="correctiva",N851,0)</f>
        <v/>
      </c>
      <c r="Q851" s="3">
        <f>IF(AND(K851=1,'ORDENES'!$N847="Pendiente"),1,0)</f>
        <v/>
      </c>
      <c r="R851" s="3">
        <f>IF(Q851=1,100000-N851*1000+844*0.01,9000000000000+844)</f>
        <v/>
      </c>
      <c r="S851" s="3">
        <f>IF(Q851=1,SUMPRODUCT(--($R$8:$R$1207&lt;R851))+1,"")</f>
        <v/>
      </c>
      <c r="T851" s="11">
        <f>IF(K851=1,'ORDENES'!$J847,"")</f>
        <v/>
      </c>
    </row>
    <row r="852">
      <c r="K852" s="3">
        <f>IF(AND(IF($B$3="(todos)",TRUE,'ORDENES'!$O848=$B$3),IF($D$3="(todos)",TRUE,'ORDENES'!$AC848=$D$3),IF($F$3="(todos)",TRUE,'ORDENES'!$V848=$F$3),'ORDENES'!$AA848=TRUE,'ORDENES'!$A848&lt;&gt;""),1,0)</f>
        <v/>
      </c>
      <c r="L852" s="3">
        <f>IF(K852=1,IFERROR(MATCH('ORDENES'!$R848,lista_dias,0),9)*1000000000+IFERROR(MATCH('ORDENES'!$AC848,lista_turnos,0),9)*10000000+IFERROR(MATCH('ORDENES'!$AB848,'TECNICOS'!$B$4:$B$15,0),99)*100000+845,9000000000000+845)</f>
        <v/>
      </c>
      <c r="M852" s="3">
        <f>IF(K852=1,SUMPRODUCT(--($L$8:$L$1207&lt;L852))+1,"")</f>
        <v/>
      </c>
      <c r="N852" s="17">
        <f>IF(K852=1,N('ORDENES'!$M848),0)</f>
        <v/>
      </c>
      <c r="O852" s="17">
        <f>IF('ORDENES'!$S848="preventiva",N852,0)</f>
        <v/>
      </c>
      <c r="P852" s="17">
        <f>IF('ORDENES'!$S848="correctiva",N852,0)</f>
        <v/>
      </c>
      <c r="Q852" s="3">
        <f>IF(AND(K852=1,'ORDENES'!$N848="Pendiente"),1,0)</f>
        <v/>
      </c>
      <c r="R852" s="3">
        <f>IF(Q852=1,100000-N852*1000+845*0.01,9000000000000+845)</f>
        <v/>
      </c>
      <c r="S852" s="3">
        <f>IF(Q852=1,SUMPRODUCT(--($R$8:$R$1207&lt;R852))+1,"")</f>
        <v/>
      </c>
      <c r="T852" s="11">
        <f>IF(K852=1,'ORDENES'!$J848,"")</f>
        <v/>
      </c>
    </row>
    <row r="853">
      <c r="K853" s="3">
        <f>IF(AND(IF($B$3="(todos)",TRUE,'ORDENES'!$O849=$B$3),IF($D$3="(todos)",TRUE,'ORDENES'!$AC849=$D$3),IF($F$3="(todos)",TRUE,'ORDENES'!$V849=$F$3),'ORDENES'!$AA849=TRUE,'ORDENES'!$A849&lt;&gt;""),1,0)</f>
        <v/>
      </c>
      <c r="L853" s="3">
        <f>IF(K853=1,IFERROR(MATCH('ORDENES'!$R849,lista_dias,0),9)*1000000000+IFERROR(MATCH('ORDENES'!$AC849,lista_turnos,0),9)*10000000+IFERROR(MATCH('ORDENES'!$AB849,'TECNICOS'!$B$4:$B$15,0),99)*100000+846,9000000000000+846)</f>
        <v/>
      </c>
      <c r="M853" s="3">
        <f>IF(K853=1,SUMPRODUCT(--($L$8:$L$1207&lt;L853))+1,"")</f>
        <v/>
      </c>
      <c r="N853" s="17">
        <f>IF(K853=1,N('ORDENES'!$M849),0)</f>
        <v/>
      </c>
      <c r="O853" s="17">
        <f>IF('ORDENES'!$S849="preventiva",N853,0)</f>
        <v/>
      </c>
      <c r="P853" s="17">
        <f>IF('ORDENES'!$S849="correctiva",N853,0)</f>
        <v/>
      </c>
      <c r="Q853" s="3">
        <f>IF(AND(K853=1,'ORDENES'!$N849="Pendiente"),1,0)</f>
        <v/>
      </c>
      <c r="R853" s="3">
        <f>IF(Q853=1,100000-N853*1000+846*0.01,9000000000000+846)</f>
        <v/>
      </c>
      <c r="S853" s="3">
        <f>IF(Q853=1,SUMPRODUCT(--($R$8:$R$1207&lt;R853))+1,"")</f>
        <v/>
      </c>
      <c r="T853" s="11">
        <f>IF(K853=1,'ORDENES'!$J849,"")</f>
        <v/>
      </c>
    </row>
    <row r="854">
      <c r="K854" s="3">
        <f>IF(AND(IF($B$3="(todos)",TRUE,'ORDENES'!$O850=$B$3),IF($D$3="(todos)",TRUE,'ORDENES'!$AC850=$D$3),IF($F$3="(todos)",TRUE,'ORDENES'!$V850=$F$3),'ORDENES'!$AA850=TRUE,'ORDENES'!$A850&lt;&gt;""),1,0)</f>
        <v/>
      </c>
      <c r="L854" s="3">
        <f>IF(K854=1,IFERROR(MATCH('ORDENES'!$R850,lista_dias,0),9)*1000000000+IFERROR(MATCH('ORDENES'!$AC850,lista_turnos,0),9)*10000000+IFERROR(MATCH('ORDENES'!$AB850,'TECNICOS'!$B$4:$B$15,0),99)*100000+847,9000000000000+847)</f>
        <v/>
      </c>
      <c r="M854" s="3">
        <f>IF(K854=1,SUMPRODUCT(--($L$8:$L$1207&lt;L854))+1,"")</f>
        <v/>
      </c>
      <c r="N854" s="17">
        <f>IF(K854=1,N('ORDENES'!$M850),0)</f>
        <v/>
      </c>
      <c r="O854" s="17">
        <f>IF('ORDENES'!$S850="preventiva",N854,0)</f>
        <v/>
      </c>
      <c r="P854" s="17">
        <f>IF('ORDENES'!$S850="correctiva",N854,0)</f>
        <v/>
      </c>
      <c r="Q854" s="3">
        <f>IF(AND(K854=1,'ORDENES'!$N850="Pendiente"),1,0)</f>
        <v/>
      </c>
      <c r="R854" s="3">
        <f>IF(Q854=1,100000-N854*1000+847*0.01,9000000000000+847)</f>
        <v/>
      </c>
      <c r="S854" s="3">
        <f>IF(Q854=1,SUMPRODUCT(--($R$8:$R$1207&lt;R854))+1,"")</f>
        <v/>
      </c>
      <c r="T854" s="11">
        <f>IF(K854=1,'ORDENES'!$J850,"")</f>
        <v/>
      </c>
    </row>
    <row r="855">
      <c r="K855" s="3">
        <f>IF(AND(IF($B$3="(todos)",TRUE,'ORDENES'!$O851=$B$3),IF($D$3="(todos)",TRUE,'ORDENES'!$AC851=$D$3),IF($F$3="(todos)",TRUE,'ORDENES'!$V851=$F$3),'ORDENES'!$AA851=TRUE,'ORDENES'!$A851&lt;&gt;""),1,0)</f>
        <v/>
      </c>
      <c r="L855" s="3">
        <f>IF(K855=1,IFERROR(MATCH('ORDENES'!$R851,lista_dias,0),9)*1000000000+IFERROR(MATCH('ORDENES'!$AC851,lista_turnos,0),9)*10000000+IFERROR(MATCH('ORDENES'!$AB851,'TECNICOS'!$B$4:$B$15,0),99)*100000+848,9000000000000+848)</f>
        <v/>
      </c>
      <c r="M855" s="3">
        <f>IF(K855=1,SUMPRODUCT(--($L$8:$L$1207&lt;L855))+1,"")</f>
        <v/>
      </c>
      <c r="N855" s="17">
        <f>IF(K855=1,N('ORDENES'!$M851),0)</f>
        <v/>
      </c>
      <c r="O855" s="17">
        <f>IF('ORDENES'!$S851="preventiva",N855,0)</f>
        <v/>
      </c>
      <c r="P855" s="17">
        <f>IF('ORDENES'!$S851="correctiva",N855,0)</f>
        <v/>
      </c>
      <c r="Q855" s="3">
        <f>IF(AND(K855=1,'ORDENES'!$N851="Pendiente"),1,0)</f>
        <v/>
      </c>
      <c r="R855" s="3">
        <f>IF(Q855=1,100000-N855*1000+848*0.01,9000000000000+848)</f>
        <v/>
      </c>
      <c r="S855" s="3">
        <f>IF(Q855=1,SUMPRODUCT(--($R$8:$R$1207&lt;R855))+1,"")</f>
        <v/>
      </c>
      <c r="T855" s="11">
        <f>IF(K855=1,'ORDENES'!$J851,"")</f>
        <v/>
      </c>
    </row>
    <row r="856">
      <c r="K856" s="3">
        <f>IF(AND(IF($B$3="(todos)",TRUE,'ORDENES'!$O852=$B$3),IF($D$3="(todos)",TRUE,'ORDENES'!$AC852=$D$3),IF($F$3="(todos)",TRUE,'ORDENES'!$V852=$F$3),'ORDENES'!$AA852=TRUE,'ORDENES'!$A852&lt;&gt;""),1,0)</f>
        <v/>
      </c>
      <c r="L856" s="3">
        <f>IF(K856=1,IFERROR(MATCH('ORDENES'!$R852,lista_dias,0),9)*1000000000+IFERROR(MATCH('ORDENES'!$AC852,lista_turnos,0),9)*10000000+IFERROR(MATCH('ORDENES'!$AB852,'TECNICOS'!$B$4:$B$15,0),99)*100000+849,9000000000000+849)</f>
        <v/>
      </c>
      <c r="M856" s="3">
        <f>IF(K856=1,SUMPRODUCT(--($L$8:$L$1207&lt;L856))+1,"")</f>
        <v/>
      </c>
      <c r="N856" s="17">
        <f>IF(K856=1,N('ORDENES'!$M852),0)</f>
        <v/>
      </c>
      <c r="O856" s="17">
        <f>IF('ORDENES'!$S852="preventiva",N856,0)</f>
        <v/>
      </c>
      <c r="P856" s="17">
        <f>IF('ORDENES'!$S852="correctiva",N856,0)</f>
        <v/>
      </c>
      <c r="Q856" s="3">
        <f>IF(AND(K856=1,'ORDENES'!$N852="Pendiente"),1,0)</f>
        <v/>
      </c>
      <c r="R856" s="3">
        <f>IF(Q856=1,100000-N856*1000+849*0.01,9000000000000+849)</f>
        <v/>
      </c>
      <c r="S856" s="3">
        <f>IF(Q856=1,SUMPRODUCT(--($R$8:$R$1207&lt;R856))+1,"")</f>
        <v/>
      </c>
      <c r="T856" s="11">
        <f>IF(K856=1,'ORDENES'!$J852,"")</f>
        <v/>
      </c>
    </row>
    <row r="857">
      <c r="K857" s="3">
        <f>IF(AND(IF($B$3="(todos)",TRUE,'ORDENES'!$O853=$B$3),IF($D$3="(todos)",TRUE,'ORDENES'!$AC853=$D$3),IF($F$3="(todos)",TRUE,'ORDENES'!$V853=$F$3),'ORDENES'!$AA853=TRUE,'ORDENES'!$A853&lt;&gt;""),1,0)</f>
        <v/>
      </c>
      <c r="L857" s="3">
        <f>IF(K857=1,IFERROR(MATCH('ORDENES'!$R853,lista_dias,0),9)*1000000000+IFERROR(MATCH('ORDENES'!$AC853,lista_turnos,0),9)*10000000+IFERROR(MATCH('ORDENES'!$AB853,'TECNICOS'!$B$4:$B$15,0),99)*100000+850,9000000000000+850)</f>
        <v/>
      </c>
      <c r="M857" s="3">
        <f>IF(K857=1,SUMPRODUCT(--($L$8:$L$1207&lt;L857))+1,"")</f>
        <v/>
      </c>
      <c r="N857" s="17">
        <f>IF(K857=1,N('ORDENES'!$M853),0)</f>
        <v/>
      </c>
      <c r="O857" s="17">
        <f>IF('ORDENES'!$S853="preventiva",N857,0)</f>
        <v/>
      </c>
      <c r="P857" s="17">
        <f>IF('ORDENES'!$S853="correctiva",N857,0)</f>
        <v/>
      </c>
      <c r="Q857" s="3">
        <f>IF(AND(K857=1,'ORDENES'!$N853="Pendiente"),1,0)</f>
        <v/>
      </c>
      <c r="R857" s="3">
        <f>IF(Q857=1,100000-N857*1000+850*0.01,9000000000000+850)</f>
        <v/>
      </c>
      <c r="S857" s="3">
        <f>IF(Q857=1,SUMPRODUCT(--($R$8:$R$1207&lt;R857))+1,"")</f>
        <v/>
      </c>
      <c r="T857" s="11">
        <f>IF(K857=1,'ORDENES'!$J853,"")</f>
        <v/>
      </c>
    </row>
    <row r="858">
      <c r="K858" s="3">
        <f>IF(AND(IF($B$3="(todos)",TRUE,'ORDENES'!$O854=$B$3),IF($D$3="(todos)",TRUE,'ORDENES'!$AC854=$D$3),IF($F$3="(todos)",TRUE,'ORDENES'!$V854=$F$3),'ORDENES'!$AA854=TRUE,'ORDENES'!$A854&lt;&gt;""),1,0)</f>
        <v/>
      </c>
      <c r="L858" s="3">
        <f>IF(K858=1,IFERROR(MATCH('ORDENES'!$R854,lista_dias,0),9)*1000000000+IFERROR(MATCH('ORDENES'!$AC854,lista_turnos,0),9)*10000000+IFERROR(MATCH('ORDENES'!$AB854,'TECNICOS'!$B$4:$B$15,0),99)*100000+851,9000000000000+851)</f>
        <v/>
      </c>
      <c r="M858" s="3">
        <f>IF(K858=1,SUMPRODUCT(--($L$8:$L$1207&lt;L858))+1,"")</f>
        <v/>
      </c>
      <c r="N858" s="17">
        <f>IF(K858=1,N('ORDENES'!$M854),0)</f>
        <v/>
      </c>
      <c r="O858" s="17">
        <f>IF('ORDENES'!$S854="preventiva",N858,0)</f>
        <v/>
      </c>
      <c r="P858" s="17">
        <f>IF('ORDENES'!$S854="correctiva",N858,0)</f>
        <v/>
      </c>
      <c r="Q858" s="3">
        <f>IF(AND(K858=1,'ORDENES'!$N854="Pendiente"),1,0)</f>
        <v/>
      </c>
      <c r="R858" s="3">
        <f>IF(Q858=1,100000-N858*1000+851*0.01,9000000000000+851)</f>
        <v/>
      </c>
      <c r="S858" s="3">
        <f>IF(Q858=1,SUMPRODUCT(--($R$8:$R$1207&lt;R858))+1,"")</f>
        <v/>
      </c>
      <c r="T858" s="11">
        <f>IF(K858=1,'ORDENES'!$J854,"")</f>
        <v/>
      </c>
    </row>
    <row r="859">
      <c r="K859" s="3">
        <f>IF(AND(IF($B$3="(todos)",TRUE,'ORDENES'!$O855=$B$3),IF($D$3="(todos)",TRUE,'ORDENES'!$AC855=$D$3),IF($F$3="(todos)",TRUE,'ORDENES'!$V855=$F$3),'ORDENES'!$AA855=TRUE,'ORDENES'!$A855&lt;&gt;""),1,0)</f>
        <v/>
      </c>
      <c r="L859" s="3">
        <f>IF(K859=1,IFERROR(MATCH('ORDENES'!$R855,lista_dias,0),9)*1000000000+IFERROR(MATCH('ORDENES'!$AC855,lista_turnos,0),9)*10000000+IFERROR(MATCH('ORDENES'!$AB855,'TECNICOS'!$B$4:$B$15,0),99)*100000+852,9000000000000+852)</f>
        <v/>
      </c>
      <c r="M859" s="3">
        <f>IF(K859=1,SUMPRODUCT(--($L$8:$L$1207&lt;L859))+1,"")</f>
        <v/>
      </c>
      <c r="N859" s="17">
        <f>IF(K859=1,N('ORDENES'!$M855),0)</f>
        <v/>
      </c>
      <c r="O859" s="17">
        <f>IF('ORDENES'!$S855="preventiva",N859,0)</f>
        <v/>
      </c>
      <c r="P859" s="17">
        <f>IF('ORDENES'!$S855="correctiva",N859,0)</f>
        <v/>
      </c>
      <c r="Q859" s="3">
        <f>IF(AND(K859=1,'ORDENES'!$N855="Pendiente"),1,0)</f>
        <v/>
      </c>
      <c r="R859" s="3">
        <f>IF(Q859=1,100000-N859*1000+852*0.01,9000000000000+852)</f>
        <v/>
      </c>
      <c r="S859" s="3">
        <f>IF(Q859=1,SUMPRODUCT(--($R$8:$R$1207&lt;R859))+1,"")</f>
        <v/>
      </c>
      <c r="T859" s="11">
        <f>IF(K859=1,'ORDENES'!$J855,"")</f>
        <v/>
      </c>
    </row>
    <row r="860">
      <c r="K860" s="3">
        <f>IF(AND(IF($B$3="(todos)",TRUE,'ORDENES'!$O856=$B$3),IF($D$3="(todos)",TRUE,'ORDENES'!$AC856=$D$3),IF($F$3="(todos)",TRUE,'ORDENES'!$V856=$F$3),'ORDENES'!$AA856=TRUE,'ORDENES'!$A856&lt;&gt;""),1,0)</f>
        <v/>
      </c>
      <c r="L860" s="3">
        <f>IF(K860=1,IFERROR(MATCH('ORDENES'!$R856,lista_dias,0),9)*1000000000+IFERROR(MATCH('ORDENES'!$AC856,lista_turnos,0),9)*10000000+IFERROR(MATCH('ORDENES'!$AB856,'TECNICOS'!$B$4:$B$15,0),99)*100000+853,9000000000000+853)</f>
        <v/>
      </c>
      <c r="M860" s="3">
        <f>IF(K860=1,SUMPRODUCT(--($L$8:$L$1207&lt;L860))+1,"")</f>
        <v/>
      </c>
      <c r="N860" s="17">
        <f>IF(K860=1,N('ORDENES'!$M856),0)</f>
        <v/>
      </c>
      <c r="O860" s="17">
        <f>IF('ORDENES'!$S856="preventiva",N860,0)</f>
        <v/>
      </c>
      <c r="P860" s="17">
        <f>IF('ORDENES'!$S856="correctiva",N860,0)</f>
        <v/>
      </c>
      <c r="Q860" s="3">
        <f>IF(AND(K860=1,'ORDENES'!$N856="Pendiente"),1,0)</f>
        <v/>
      </c>
      <c r="R860" s="3">
        <f>IF(Q860=1,100000-N860*1000+853*0.01,9000000000000+853)</f>
        <v/>
      </c>
      <c r="S860" s="3">
        <f>IF(Q860=1,SUMPRODUCT(--($R$8:$R$1207&lt;R860))+1,"")</f>
        <v/>
      </c>
      <c r="T860" s="11">
        <f>IF(K860=1,'ORDENES'!$J856,"")</f>
        <v/>
      </c>
    </row>
    <row r="861">
      <c r="K861" s="3">
        <f>IF(AND(IF($B$3="(todos)",TRUE,'ORDENES'!$O857=$B$3),IF($D$3="(todos)",TRUE,'ORDENES'!$AC857=$D$3),IF($F$3="(todos)",TRUE,'ORDENES'!$V857=$F$3),'ORDENES'!$AA857=TRUE,'ORDENES'!$A857&lt;&gt;""),1,0)</f>
        <v/>
      </c>
      <c r="L861" s="3">
        <f>IF(K861=1,IFERROR(MATCH('ORDENES'!$R857,lista_dias,0),9)*1000000000+IFERROR(MATCH('ORDENES'!$AC857,lista_turnos,0),9)*10000000+IFERROR(MATCH('ORDENES'!$AB857,'TECNICOS'!$B$4:$B$15,0),99)*100000+854,9000000000000+854)</f>
        <v/>
      </c>
      <c r="M861" s="3">
        <f>IF(K861=1,SUMPRODUCT(--($L$8:$L$1207&lt;L861))+1,"")</f>
        <v/>
      </c>
      <c r="N861" s="17">
        <f>IF(K861=1,N('ORDENES'!$M857),0)</f>
        <v/>
      </c>
      <c r="O861" s="17">
        <f>IF('ORDENES'!$S857="preventiva",N861,0)</f>
        <v/>
      </c>
      <c r="P861" s="17">
        <f>IF('ORDENES'!$S857="correctiva",N861,0)</f>
        <v/>
      </c>
      <c r="Q861" s="3">
        <f>IF(AND(K861=1,'ORDENES'!$N857="Pendiente"),1,0)</f>
        <v/>
      </c>
      <c r="R861" s="3">
        <f>IF(Q861=1,100000-N861*1000+854*0.01,9000000000000+854)</f>
        <v/>
      </c>
      <c r="S861" s="3">
        <f>IF(Q861=1,SUMPRODUCT(--($R$8:$R$1207&lt;R861))+1,"")</f>
        <v/>
      </c>
      <c r="T861" s="11">
        <f>IF(K861=1,'ORDENES'!$J857,"")</f>
        <v/>
      </c>
    </row>
    <row r="862">
      <c r="K862" s="3">
        <f>IF(AND(IF($B$3="(todos)",TRUE,'ORDENES'!$O858=$B$3),IF($D$3="(todos)",TRUE,'ORDENES'!$AC858=$D$3),IF($F$3="(todos)",TRUE,'ORDENES'!$V858=$F$3),'ORDENES'!$AA858=TRUE,'ORDENES'!$A858&lt;&gt;""),1,0)</f>
        <v/>
      </c>
      <c r="L862" s="3">
        <f>IF(K862=1,IFERROR(MATCH('ORDENES'!$R858,lista_dias,0),9)*1000000000+IFERROR(MATCH('ORDENES'!$AC858,lista_turnos,0),9)*10000000+IFERROR(MATCH('ORDENES'!$AB858,'TECNICOS'!$B$4:$B$15,0),99)*100000+855,9000000000000+855)</f>
        <v/>
      </c>
      <c r="M862" s="3">
        <f>IF(K862=1,SUMPRODUCT(--($L$8:$L$1207&lt;L862))+1,"")</f>
        <v/>
      </c>
      <c r="N862" s="17">
        <f>IF(K862=1,N('ORDENES'!$M858),0)</f>
        <v/>
      </c>
      <c r="O862" s="17">
        <f>IF('ORDENES'!$S858="preventiva",N862,0)</f>
        <v/>
      </c>
      <c r="P862" s="17">
        <f>IF('ORDENES'!$S858="correctiva",N862,0)</f>
        <v/>
      </c>
      <c r="Q862" s="3">
        <f>IF(AND(K862=1,'ORDENES'!$N858="Pendiente"),1,0)</f>
        <v/>
      </c>
      <c r="R862" s="3">
        <f>IF(Q862=1,100000-N862*1000+855*0.01,9000000000000+855)</f>
        <v/>
      </c>
      <c r="S862" s="3">
        <f>IF(Q862=1,SUMPRODUCT(--($R$8:$R$1207&lt;R862))+1,"")</f>
        <v/>
      </c>
      <c r="T862" s="11">
        <f>IF(K862=1,'ORDENES'!$J858,"")</f>
        <v/>
      </c>
    </row>
    <row r="863">
      <c r="K863" s="3">
        <f>IF(AND(IF($B$3="(todos)",TRUE,'ORDENES'!$O859=$B$3),IF($D$3="(todos)",TRUE,'ORDENES'!$AC859=$D$3),IF($F$3="(todos)",TRUE,'ORDENES'!$V859=$F$3),'ORDENES'!$AA859=TRUE,'ORDENES'!$A859&lt;&gt;""),1,0)</f>
        <v/>
      </c>
      <c r="L863" s="3">
        <f>IF(K863=1,IFERROR(MATCH('ORDENES'!$R859,lista_dias,0),9)*1000000000+IFERROR(MATCH('ORDENES'!$AC859,lista_turnos,0),9)*10000000+IFERROR(MATCH('ORDENES'!$AB859,'TECNICOS'!$B$4:$B$15,0),99)*100000+856,9000000000000+856)</f>
        <v/>
      </c>
      <c r="M863" s="3">
        <f>IF(K863=1,SUMPRODUCT(--($L$8:$L$1207&lt;L863))+1,"")</f>
        <v/>
      </c>
      <c r="N863" s="17">
        <f>IF(K863=1,N('ORDENES'!$M859),0)</f>
        <v/>
      </c>
      <c r="O863" s="17">
        <f>IF('ORDENES'!$S859="preventiva",N863,0)</f>
        <v/>
      </c>
      <c r="P863" s="17">
        <f>IF('ORDENES'!$S859="correctiva",N863,0)</f>
        <v/>
      </c>
      <c r="Q863" s="3">
        <f>IF(AND(K863=1,'ORDENES'!$N859="Pendiente"),1,0)</f>
        <v/>
      </c>
      <c r="R863" s="3">
        <f>IF(Q863=1,100000-N863*1000+856*0.01,9000000000000+856)</f>
        <v/>
      </c>
      <c r="S863" s="3">
        <f>IF(Q863=1,SUMPRODUCT(--($R$8:$R$1207&lt;R863))+1,"")</f>
        <v/>
      </c>
      <c r="T863" s="11">
        <f>IF(K863=1,'ORDENES'!$J859,"")</f>
        <v/>
      </c>
    </row>
    <row r="864">
      <c r="K864" s="3">
        <f>IF(AND(IF($B$3="(todos)",TRUE,'ORDENES'!$O860=$B$3),IF($D$3="(todos)",TRUE,'ORDENES'!$AC860=$D$3),IF($F$3="(todos)",TRUE,'ORDENES'!$V860=$F$3),'ORDENES'!$AA860=TRUE,'ORDENES'!$A860&lt;&gt;""),1,0)</f>
        <v/>
      </c>
      <c r="L864" s="3">
        <f>IF(K864=1,IFERROR(MATCH('ORDENES'!$R860,lista_dias,0),9)*1000000000+IFERROR(MATCH('ORDENES'!$AC860,lista_turnos,0),9)*10000000+IFERROR(MATCH('ORDENES'!$AB860,'TECNICOS'!$B$4:$B$15,0),99)*100000+857,9000000000000+857)</f>
        <v/>
      </c>
      <c r="M864" s="3">
        <f>IF(K864=1,SUMPRODUCT(--($L$8:$L$1207&lt;L864))+1,"")</f>
        <v/>
      </c>
      <c r="N864" s="17">
        <f>IF(K864=1,N('ORDENES'!$M860),0)</f>
        <v/>
      </c>
      <c r="O864" s="17">
        <f>IF('ORDENES'!$S860="preventiva",N864,0)</f>
        <v/>
      </c>
      <c r="P864" s="17">
        <f>IF('ORDENES'!$S860="correctiva",N864,0)</f>
        <v/>
      </c>
      <c r="Q864" s="3">
        <f>IF(AND(K864=1,'ORDENES'!$N860="Pendiente"),1,0)</f>
        <v/>
      </c>
      <c r="R864" s="3">
        <f>IF(Q864=1,100000-N864*1000+857*0.01,9000000000000+857)</f>
        <v/>
      </c>
      <c r="S864" s="3">
        <f>IF(Q864=1,SUMPRODUCT(--($R$8:$R$1207&lt;R864))+1,"")</f>
        <v/>
      </c>
      <c r="T864" s="11">
        <f>IF(K864=1,'ORDENES'!$J860,"")</f>
        <v/>
      </c>
    </row>
    <row r="865">
      <c r="K865" s="3">
        <f>IF(AND(IF($B$3="(todos)",TRUE,'ORDENES'!$O861=$B$3),IF($D$3="(todos)",TRUE,'ORDENES'!$AC861=$D$3),IF($F$3="(todos)",TRUE,'ORDENES'!$V861=$F$3),'ORDENES'!$AA861=TRUE,'ORDENES'!$A861&lt;&gt;""),1,0)</f>
        <v/>
      </c>
      <c r="L865" s="3">
        <f>IF(K865=1,IFERROR(MATCH('ORDENES'!$R861,lista_dias,0),9)*1000000000+IFERROR(MATCH('ORDENES'!$AC861,lista_turnos,0),9)*10000000+IFERROR(MATCH('ORDENES'!$AB861,'TECNICOS'!$B$4:$B$15,0),99)*100000+858,9000000000000+858)</f>
        <v/>
      </c>
      <c r="M865" s="3">
        <f>IF(K865=1,SUMPRODUCT(--($L$8:$L$1207&lt;L865))+1,"")</f>
        <v/>
      </c>
      <c r="N865" s="17">
        <f>IF(K865=1,N('ORDENES'!$M861),0)</f>
        <v/>
      </c>
      <c r="O865" s="17">
        <f>IF('ORDENES'!$S861="preventiva",N865,0)</f>
        <v/>
      </c>
      <c r="P865" s="17">
        <f>IF('ORDENES'!$S861="correctiva",N865,0)</f>
        <v/>
      </c>
      <c r="Q865" s="3">
        <f>IF(AND(K865=1,'ORDENES'!$N861="Pendiente"),1,0)</f>
        <v/>
      </c>
      <c r="R865" s="3">
        <f>IF(Q865=1,100000-N865*1000+858*0.01,9000000000000+858)</f>
        <v/>
      </c>
      <c r="S865" s="3">
        <f>IF(Q865=1,SUMPRODUCT(--($R$8:$R$1207&lt;R865))+1,"")</f>
        <v/>
      </c>
      <c r="T865" s="11">
        <f>IF(K865=1,'ORDENES'!$J861,"")</f>
        <v/>
      </c>
    </row>
    <row r="866">
      <c r="K866" s="3">
        <f>IF(AND(IF($B$3="(todos)",TRUE,'ORDENES'!$O862=$B$3),IF($D$3="(todos)",TRUE,'ORDENES'!$AC862=$D$3),IF($F$3="(todos)",TRUE,'ORDENES'!$V862=$F$3),'ORDENES'!$AA862=TRUE,'ORDENES'!$A862&lt;&gt;""),1,0)</f>
        <v/>
      </c>
      <c r="L866" s="3">
        <f>IF(K866=1,IFERROR(MATCH('ORDENES'!$R862,lista_dias,0),9)*1000000000+IFERROR(MATCH('ORDENES'!$AC862,lista_turnos,0),9)*10000000+IFERROR(MATCH('ORDENES'!$AB862,'TECNICOS'!$B$4:$B$15,0),99)*100000+859,9000000000000+859)</f>
        <v/>
      </c>
      <c r="M866" s="3">
        <f>IF(K866=1,SUMPRODUCT(--($L$8:$L$1207&lt;L866))+1,"")</f>
        <v/>
      </c>
      <c r="N866" s="17">
        <f>IF(K866=1,N('ORDENES'!$M862),0)</f>
        <v/>
      </c>
      <c r="O866" s="17">
        <f>IF('ORDENES'!$S862="preventiva",N866,0)</f>
        <v/>
      </c>
      <c r="P866" s="17">
        <f>IF('ORDENES'!$S862="correctiva",N866,0)</f>
        <v/>
      </c>
      <c r="Q866" s="3">
        <f>IF(AND(K866=1,'ORDENES'!$N862="Pendiente"),1,0)</f>
        <v/>
      </c>
      <c r="R866" s="3">
        <f>IF(Q866=1,100000-N866*1000+859*0.01,9000000000000+859)</f>
        <v/>
      </c>
      <c r="S866" s="3">
        <f>IF(Q866=1,SUMPRODUCT(--($R$8:$R$1207&lt;R866))+1,"")</f>
        <v/>
      </c>
      <c r="T866" s="11">
        <f>IF(K866=1,'ORDENES'!$J862,"")</f>
        <v/>
      </c>
    </row>
    <row r="867">
      <c r="K867" s="3">
        <f>IF(AND(IF($B$3="(todos)",TRUE,'ORDENES'!$O863=$B$3),IF($D$3="(todos)",TRUE,'ORDENES'!$AC863=$D$3),IF($F$3="(todos)",TRUE,'ORDENES'!$V863=$F$3),'ORDENES'!$AA863=TRUE,'ORDENES'!$A863&lt;&gt;""),1,0)</f>
        <v/>
      </c>
      <c r="L867" s="3">
        <f>IF(K867=1,IFERROR(MATCH('ORDENES'!$R863,lista_dias,0),9)*1000000000+IFERROR(MATCH('ORDENES'!$AC863,lista_turnos,0),9)*10000000+IFERROR(MATCH('ORDENES'!$AB863,'TECNICOS'!$B$4:$B$15,0),99)*100000+860,9000000000000+860)</f>
        <v/>
      </c>
      <c r="M867" s="3">
        <f>IF(K867=1,SUMPRODUCT(--($L$8:$L$1207&lt;L867))+1,"")</f>
        <v/>
      </c>
      <c r="N867" s="17">
        <f>IF(K867=1,N('ORDENES'!$M863),0)</f>
        <v/>
      </c>
      <c r="O867" s="17">
        <f>IF('ORDENES'!$S863="preventiva",N867,0)</f>
        <v/>
      </c>
      <c r="P867" s="17">
        <f>IF('ORDENES'!$S863="correctiva",N867,0)</f>
        <v/>
      </c>
      <c r="Q867" s="3">
        <f>IF(AND(K867=1,'ORDENES'!$N863="Pendiente"),1,0)</f>
        <v/>
      </c>
      <c r="R867" s="3">
        <f>IF(Q867=1,100000-N867*1000+860*0.01,9000000000000+860)</f>
        <v/>
      </c>
      <c r="S867" s="3">
        <f>IF(Q867=1,SUMPRODUCT(--($R$8:$R$1207&lt;R867))+1,"")</f>
        <v/>
      </c>
      <c r="T867" s="11">
        <f>IF(K867=1,'ORDENES'!$J863,"")</f>
        <v/>
      </c>
    </row>
    <row r="868">
      <c r="K868" s="3">
        <f>IF(AND(IF($B$3="(todos)",TRUE,'ORDENES'!$O864=$B$3),IF($D$3="(todos)",TRUE,'ORDENES'!$AC864=$D$3),IF($F$3="(todos)",TRUE,'ORDENES'!$V864=$F$3),'ORDENES'!$AA864=TRUE,'ORDENES'!$A864&lt;&gt;""),1,0)</f>
        <v/>
      </c>
      <c r="L868" s="3">
        <f>IF(K868=1,IFERROR(MATCH('ORDENES'!$R864,lista_dias,0),9)*1000000000+IFERROR(MATCH('ORDENES'!$AC864,lista_turnos,0),9)*10000000+IFERROR(MATCH('ORDENES'!$AB864,'TECNICOS'!$B$4:$B$15,0),99)*100000+861,9000000000000+861)</f>
        <v/>
      </c>
      <c r="M868" s="3">
        <f>IF(K868=1,SUMPRODUCT(--($L$8:$L$1207&lt;L868))+1,"")</f>
        <v/>
      </c>
      <c r="N868" s="17">
        <f>IF(K868=1,N('ORDENES'!$M864),0)</f>
        <v/>
      </c>
      <c r="O868" s="17">
        <f>IF('ORDENES'!$S864="preventiva",N868,0)</f>
        <v/>
      </c>
      <c r="P868" s="17">
        <f>IF('ORDENES'!$S864="correctiva",N868,0)</f>
        <v/>
      </c>
      <c r="Q868" s="3">
        <f>IF(AND(K868=1,'ORDENES'!$N864="Pendiente"),1,0)</f>
        <v/>
      </c>
      <c r="R868" s="3">
        <f>IF(Q868=1,100000-N868*1000+861*0.01,9000000000000+861)</f>
        <v/>
      </c>
      <c r="S868" s="3">
        <f>IF(Q868=1,SUMPRODUCT(--($R$8:$R$1207&lt;R868))+1,"")</f>
        <v/>
      </c>
      <c r="T868" s="11">
        <f>IF(K868=1,'ORDENES'!$J864,"")</f>
        <v/>
      </c>
    </row>
    <row r="869">
      <c r="K869" s="3">
        <f>IF(AND(IF($B$3="(todos)",TRUE,'ORDENES'!$O865=$B$3),IF($D$3="(todos)",TRUE,'ORDENES'!$AC865=$D$3),IF($F$3="(todos)",TRUE,'ORDENES'!$V865=$F$3),'ORDENES'!$AA865=TRUE,'ORDENES'!$A865&lt;&gt;""),1,0)</f>
        <v/>
      </c>
      <c r="L869" s="3">
        <f>IF(K869=1,IFERROR(MATCH('ORDENES'!$R865,lista_dias,0),9)*1000000000+IFERROR(MATCH('ORDENES'!$AC865,lista_turnos,0),9)*10000000+IFERROR(MATCH('ORDENES'!$AB865,'TECNICOS'!$B$4:$B$15,0),99)*100000+862,9000000000000+862)</f>
        <v/>
      </c>
      <c r="M869" s="3">
        <f>IF(K869=1,SUMPRODUCT(--($L$8:$L$1207&lt;L869))+1,"")</f>
        <v/>
      </c>
      <c r="N869" s="17">
        <f>IF(K869=1,N('ORDENES'!$M865),0)</f>
        <v/>
      </c>
      <c r="O869" s="17">
        <f>IF('ORDENES'!$S865="preventiva",N869,0)</f>
        <v/>
      </c>
      <c r="P869" s="17">
        <f>IF('ORDENES'!$S865="correctiva",N869,0)</f>
        <v/>
      </c>
      <c r="Q869" s="3">
        <f>IF(AND(K869=1,'ORDENES'!$N865="Pendiente"),1,0)</f>
        <v/>
      </c>
      <c r="R869" s="3">
        <f>IF(Q869=1,100000-N869*1000+862*0.01,9000000000000+862)</f>
        <v/>
      </c>
      <c r="S869" s="3">
        <f>IF(Q869=1,SUMPRODUCT(--($R$8:$R$1207&lt;R869))+1,"")</f>
        <v/>
      </c>
      <c r="T869" s="11">
        <f>IF(K869=1,'ORDENES'!$J865,"")</f>
        <v/>
      </c>
    </row>
    <row r="870">
      <c r="K870" s="3">
        <f>IF(AND(IF($B$3="(todos)",TRUE,'ORDENES'!$O866=$B$3),IF($D$3="(todos)",TRUE,'ORDENES'!$AC866=$D$3),IF($F$3="(todos)",TRUE,'ORDENES'!$V866=$F$3),'ORDENES'!$AA866=TRUE,'ORDENES'!$A866&lt;&gt;""),1,0)</f>
        <v/>
      </c>
      <c r="L870" s="3">
        <f>IF(K870=1,IFERROR(MATCH('ORDENES'!$R866,lista_dias,0),9)*1000000000+IFERROR(MATCH('ORDENES'!$AC866,lista_turnos,0),9)*10000000+IFERROR(MATCH('ORDENES'!$AB866,'TECNICOS'!$B$4:$B$15,0),99)*100000+863,9000000000000+863)</f>
        <v/>
      </c>
      <c r="M870" s="3">
        <f>IF(K870=1,SUMPRODUCT(--($L$8:$L$1207&lt;L870))+1,"")</f>
        <v/>
      </c>
      <c r="N870" s="17">
        <f>IF(K870=1,N('ORDENES'!$M866),0)</f>
        <v/>
      </c>
      <c r="O870" s="17">
        <f>IF('ORDENES'!$S866="preventiva",N870,0)</f>
        <v/>
      </c>
      <c r="P870" s="17">
        <f>IF('ORDENES'!$S866="correctiva",N870,0)</f>
        <v/>
      </c>
      <c r="Q870" s="3">
        <f>IF(AND(K870=1,'ORDENES'!$N866="Pendiente"),1,0)</f>
        <v/>
      </c>
      <c r="R870" s="3">
        <f>IF(Q870=1,100000-N870*1000+863*0.01,9000000000000+863)</f>
        <v/>
      </c>
      <c r="S870" s="3">
        <f>IF(Q870=1,SUMPRODUCT(--($R$8:$R$1207&lt;R870))+1,"")</f>
        <v/>
      </c>
      <c r="T870" s="11">
        <f>IF(K870=1,'ORDENES'!$J866,"")</f>
        <v/>
      </c>
    </row>
    <row r="871">
      <c r="K871" s="3">
        <f>IF(AND(IF($B$3="(todos)",TRUE,'ORDENES'!$O867=$B$3),IF($D$3="(todos)",TRUE,'ORDENES'!$AC867=$D$3),IF($F$3="(todos)",TRUE,'ORDENES'!$V867=$F$3),'ORDENES'!$AA867=TRUE,'ORDENES'!$A867&lt;&gt;""),1,0)</f>
        <v/>
      </c>
      <c r="L871" s="3">
        <f>IF(K871=1,IFERROR(MATCH('ORDENES'!$R867,lista_dias,0),9)*1000000000+IFERROR(MATCH('ORDENES'!$AC867,lista_turnos,0),9)*10000000+IFERROR(MATCH('ORDENES'!$AB867,'TECNICOS'!$B$4:$B$15,0),99)*100000+864,9000000000000+864)</f>
        <v/>
      </c>
      <c r="M871" s="3">
        <f>IF(K871=1,SUMPRODUCT(--($L$8:$L$1207&lt;L871))+1,"")</f>
        <v/>
      </c>
      <c r="N871" s="17">
        <f>IF(K871=1,N('ORDENES'!$M867),0)</f>
        <v/>
      </c>
      <c r="O871" s="17">
        <f>IF('ORDENES'!$S867="preventiva",N871,0)</f>
        <v/>
      </c>
      <c r="P871" s="17">
        <f>IF('ORDENES'!$S867="correctiva",N871,0)</f>
        <v/>
      </c>
      <c r="Q871" s="3">
        <f>IF(AND(K871=1,'ORDENES'!$N867="Pendiente"),1,0)</f>
        <v/>
      </c>
      <c r="R871" s="3">
        <f>IF(Q871=1,100000-N871*1000+864*0.01,9000000000000+864)</f>
        <v/>
      </c>
      <c r="S871" s="3">
        <f>IF(Q871=1,SUMPRODUCT(--($R$8:$R$1207&lt;R871))+1,"")</f>
        <v/>
      </c>
      <c r="T871" s="11">
        <f>IF(K871=1,'ORDENES'!$J867,"")</f>
        <v/>
      </c>
    </row>
    <row r="872">
      <c r="K872" s="3">
        <f>IF(AND(IF($B$3="(todos)",TRUE,'ORDENES'!$O868=$B$3),IF($D$3="(todos)",TRUE,'ORDENES'!$AC868=$D$3),IF($F$3="(todos)",TRUE,'ORDENES'!$V868=$F$3),'ORDENES'!$AA868=TRUE,'ORDENES'!$A868&lt;&gt;""),1,0)</f>
        <v/>
      </c>
      <c r="L872" s="3">
        <f>IF(K872=1,IFERROR(MATCH('ORDENES'!$R868,lista_dias,0),9)*1000000000+IFERROR(MATCH('ORDENES'!$AC868,lista_turnos,0),9)*10000000+IFERROR(MATCH('ORDENES'!$AB868,'TECNICOS'!$B$4:$B$15,0),99)*100000+865,9000000000000+865)</f>
        <v/>
      </c>
      <c r="M872" s="3">
        <f>IF(K872=1,SUMPRODUCT(--($L$8:$L$1207&lt;L872))+1,"")</f>
        <v/>
      </c>
      <c r="N872" s="17">
        <f>IF(K872=1,N('ORDENES'!$M868),0)</f>
        <v/>
      </c>
      <c r="O872" s="17">
        <f>IF('ORDENES'!$S868="preventiva",N872,0)</f>
        <v/>
      </c>
      <c r="P872" s="17">
        <f>IF('ORDENES'!$S868="correctiva",N872,0)</f>
        <v/>
      </c>
      <c r="Q872" s="3">
        <f>IF(AND(K872=1,'ORDENES'!$N868="Pendiente"),1,0)</f>
        <v/>
      </c>
      <c r="R872" s="3">
        <f>IF(Q872=1,100000-N872*1000+865*0.01,9000000000000+865)</f>
        <v/>
      </c>
      <c r="S872" s="3">
        <f>IF(Q872=1,SUMPRODUCT(--($R$8:$R$1207&lt;R872))+1,"")</f>
        <v/>
      </c>
      <c r="T872" s="11">
        <f>IF(K872=1,'ORDENES'!$J868,"")</f>
        <v/>
      </c>
    </row>
    <row r="873">
      <c r="K873" s="3">
        <f>IF(AND(IF($B$3="(todos)",TRUE,'ORDENES'!$O869=$B$3),IF($D$3="(todos)",TRUE,'ORDENES'!$AC869=$D$3),IF($F$3="(todos)",TRUE,'ORDENES'!$V869=$F$3),'ORDENES'!$AA869=TRUE,'ORDENES'!$A869&lt;&gt;""),1,0)</f>
        <v/>
      </c>
      <c r="L873" s="3">
        <f>IF(K873=1,IFERROR(MATCH('ORDENES'!$R869,lista_dias,0),9)*1000000000+IFERROR(MATCH('ORDENES'!$AC869,lista_turnos,0),9)*10000000+IFERROR(MATCH('ORDENES'!$AB869,'TECNICOS'!$B$4:$B$15,0),99)*100000+866,9000000000000+866)</f>
        <v/>
      </c>
      <c r="M873" s="3">
        <f>IF(K873=1,SUMPRODUCT(--($L$8:$L$1207&lt;L873))+1,"")</f>
        <v/>
      </c>
      <c r="N873" s="17">
        <f>IF(K873=1,N('ORDENES'!$M869),0)</f>
        <v/>
      </c>
      <c r="O873" s="17">
        <f>IF('ORDENES'!$S869="preventiva",N873,0)</f>
        <v/>
      </c>
      <c r="P873" s="17">
        <f>IF('ORDENES'!$S869="correctiva",N873,0)</f>
        <v/>
      </c>
      <c r="Q873" s="3">
        <f>IF(AND(K873=1,'ORDENES'!$N869="Pendiente"),1,0)</f>
        <v/>
      </c>
      <c r="R873" s="3">
        <f>IF(Q873=1,100000-N873*1000+866*0.01,9000000000000+866)</f>
        <v/>
      </c>
      <c r="S873" s="3">
        <f>IF(Q873=1,SUMPRODUCT(--($R$8:$R$1207&lt;R873))+1,"")</f>
        <v/>
      </c>
      <c r="T873" s="11">
        <f>IF(K873=1,'ORDENES'!$J869,"")</f>
        <v/>
      </c>
    </row>
    <row r="874">
      <c r="K874" s="3">
        <f>IF(AND(IF($B$3="(todos)",TRUE,'ORDENES'!$O870=$B$3),IF($D$3="(todos)",TRUE,'ORDENES'!$AC870=$D$3),IF($F$3="(todos)",TRUE,'ORDENES'!$V870=$F$3),'ORDENES'!$AA870=TRUE,'ORDENES'!$A870&lt;&gt;""),1,0)</f>
        <v/>
      </c>
      <c r="L874" s="3">
        <f>IF(K874=1,IFERROR(MATCH('ORDENES'!$R870,lista_dias,0),9)*1000000000+IFERROR(MATCH('ORDENES'!$AC870,lista_turnos,0),9)*10000000+IFERROR(MATCH('ORDENES'!$AB870,'TECNICOS'!$B$4:$B$15,0),99)*100000+867,9000000000000+867)</f>
        <v/>
      </c>
      <c r="M874" s="3">
        <f>IF(K874=1,SUMPRODUCT(--($L$8:$L$1207&lt;L874))+1,"")</f>
        <v/>
      </c>
      <c r="N874" s="17">
        <f>IF(K874=1,N('ORDENES'!$M870),0)</f>
        <v/>
      </c>
      <c r="O874" s="17">
        <f>IF('ORDENES'!$S870="preventiva",N874,0)</f>
        <v/>
      </c>
      <c r="P874" s="17">
        <f>IF('ORDENES'!$S870="correctiva",N874,0)</f>
        <v/>
      </c>
      <c r="Q874" s="3">
        <f>IF(AND(K874=1,'ORDENES'!$N870="Pendiente"),1,0)</f>
        <v/>
      </c>
      <c r="R874" s="3">
        <f>IF(Q874=1,100000-N874*1000+867*0.01,9000000000000+867)</f>
        <v/>
      </c>
      <c r="S874" s="3">
        <f>IF(Q874=1,SUMPRODUCT(--($R$8:$R$1207&lt;R874))+1,"")</f>
        <v/>
      </c>
      <c r="T874" s="11">
        <f>IF(K874=1,'ORDENES'!$J870,"")</f>
        <v/>
      </c>
    </row>
    <row r="875">
      <c r="K875" s="3">
        <f>IF(AND(IF($B$3="(todos)",TRUE,'ORDENES'!$O871=$B$3),IF($D$3="(todos)",TRUE,'ORDENES'!$AC871=$D$3),IF($F$3="(todos)",TRUE,'ORDENES'!$V871=$F$3),'ORDENES'!$AA871=TRUE,'ORDENES'!$A871&lt;&gt;""),1,0)</f>
        <v/>
      </c>
      <c r="L875" s="3">
        <f>IF(K875=1,IFERROR(MATCH('ORDENES'!$R871,lista_dias,0),9)*1000000000+IFERROR(MATCH('ORDENES'!$AC871,lista_turnos,0),9)*10000000+IFERROR(MATCH('ORDENES'!$AB871,'TECNICOS'!$B$4:$B$15,0),99)*100000+868,9000000000000+868)</f>
        <v/>
      </c>
      <c r="M875" s="3">
        <f>IF(K875=1,SUMPRODUCT(--($L$8:$L$1207&lt;L875))+1,"")</f>
        <v/>
      </c>
      <c r="N875" s="17">
        <f>IF(K875=1,N('ORDENES'!$M871),0)</f>
        <v/>
      </c>
      <c r="O875" s="17">
        <f>IF('ORDENES'!$S871="preventiva",N875,0)</f>
        <v/>
      </c>
      <c r="P875" s="17">
        <f>IF('ORDENES'!$S871="correctiva",N875,0)</f>
        <v/>
      </c>
      <c r="Q875" s="3">
        <f>IF(AND(K875=1,'ORDENES'!$N871="Pendiente"),1,0)</f>
        <v/>
      </c>
      <c r="R875" s="3">
        <f>IF(Q875=1,100000-N875*1000+868*0.01,9000000000000+868)</f>
        <v/>
      </c>
      <c r="S875" s="3">
        <f>IF(Q875=1,SUMPRODUCT(--($R$8:$R$1207&lt;R875))+1,"")</f>
        <v/>
      </c>
      <c r="T875" s="11">
        <f>IF(K875=1,'ORDENES'!$J871,"")</f>
        <v/>
      </c>
    </row>
    <row r="876">
      <c r="K876" s="3">
        <f>IF(AND(IF($B$3="(todos)",TRUE,'ORDENES'!$O872=$B$3),IF($D$3="(todos)",TRUE,'ORDENES'!$AC872=$D$3),IF($F$3="(todos)",TRUE,'ORDENES'!$V872=$F$3),'ORDENES'!$AA872=TRUE,'ORDENES'!$A872&lt;&gt;""),1,0)</f>
        <v/>
      </c>
      <c r="L876" s="3">
        <f>IF(K876=1,IFERROR(MATCH('ORDENES'!$R872,lista_dias,0),9)*1000000000+IFERROR(MATCH('ORDENES'!$AC872,lista_turnos,0),9)*10000000+IFERROR(MATCH('ORDENES'!$AB872,'TECNICOS'!$B$4:$B$15,0),99)*100000+869,9000000000000+869)</f>
        <v/>
      </c>
      <c r="M876" s="3">
        <f>IF(K876=1,SUMPRODUCT(--($L$8:$L$1207&lt;L876))+1,"")</f>
        <v/>
      </c>
      <c r="N876" s="17">
        <f>IF(K876=1,N('ORDENES'!$M872),0)</f>
        <v/>
      </c>
      <c r="O876" s="17">
        <f>IF('ORDENES'!$S872="preventiva",N876,0)</f>
        <v/>
      </c>
      <c r="P876" s="17">
        <f>IF('ORDENES'!$S872="correctiva",N876,0)</f>
        <v/>
      </c>
      <c r="Q876" s="3">
        <f>IF(AND(K876=1,'ORDENES'!$N872="Pendiente"),1,0)</f>
        <v/>
      </c>
      <c r="R876" s="3">
        <f>IF(Q876=1,100000-N876*1000+869*0.01,9000000000000+869)</f>
        <v/>
      </c>
      <c r="S876" s="3">
        <f>IF(Q876=1,SUMPRODUCT(--($R$8:$R$1207&lt;R876))+1,"")</f>
        <v/>
      </c>
      <c r="T876" s="11">
        <f>IF(K876=1,'ORDENES'!$J872,"")</f>
        <v/>
      </c>
    </row>
    <row r="877">
      <c r="K877" s="3">
        <f>IF(AND(IF($B$3="(todos)",TRUE,'ORDENES'!$O873=$B$3),IF($D$3="(todos)",TRUE,'ORDENES'!$AC873=$D$3),IF($F$3="(todos)",TRUE,'ORDENES'!$V873=$F$3),'ORDENES'!$AA873=TRUE,'ORDENES'!$A873&lt;&gt;""),1,0)</f>
        <v/>
      </c>
      <c r="L877" s="3">
        <f>IF(K877=1,IFERROR(MATCH('ORDENES'!$R873,lista_dias,0),9)*1000000000+IFERROR(MATCH('ORDENES'!$AC873,lista_turnos,0),9)*10000000+IFERROR(MATCH('ORDENES'!$AB873,'TECNICOS'!$B$4:$B$15,0),99)*100000+870,9000000000000+870)</f>
        <v/>
      </c>
      <c r="M877" s="3">
        <f>IF(K877=1,SUMPRODUCT(--($L$8:$L$1207&lt;L877))+1,"")</f>
        <v/>
      </c>
      <c r="N877" s="17">
        <f>IF(K877=1,N('ORDENES'!$M873),0)</f>
        <v/>
      </c>
      <c r="O877" s="17">
        <f>IF('ORDENES'!$S873="preventiva",N877,0)</f>
        <v/>
      </c>
      <c r="P877" s="17">
        <f>IF('ORDENES'!$S873="correctiva",N877,0)</f>
        <v/>
      </c>
      <c r="Q877" s="3">
        <f>IF(AND(K877=1,'ORDENES'!$N873="Pendiente"),1,0)</f>
        <v/>
      </c>
      <c r="R877" s="3">
        <f>IF(Q877=1,100000-N877*1000+870*0.01,9000000000000+870)</f>
        <v/>
      </c>
      <c r="S877" s="3">
        <f>IF(Q877=1,SUMPRODUCT(--($R$8:$R$1207&lt;R877))+1,"")</f>
        <v/>
      </c>
      <c r="T877" s="11">
        <f>IF(K877=1,'ORDENES'!$J873,"")</f>
        <v/>
      </c>
    </row>
    <row r="878">
      <c r="K878" s="3">
        <f>IF(AND(IF($B$3="(todos)",TRUE,'ORDENES'!$O874=$B$3),IF($D$3="(todos)",TRUE,'ORDENES'!$AC874=$D$3),IF($F$3="(todos)",TRUE,'ORDENES'!$V874=$F$3),'ORDENES'!$AA874=TRUE,'ORDENES'!$A874&lt;&gt;""),1,0)</f>
        <v/>
      </c>
      <c r="L878" s="3">
        <f>IF(K878=1,IFERROR(MATCH('ORDENES'!$R874,lista_dias,0),9)*1000000000+IFERROR(MATCH('ORDENES'!$AC874,lista_turnos,0),9)*10000000+IFERROR(MATCH('ORDENES'!$AB874,'TECNICOS'!$B$4:$B$15,0),99)*100000+871,9000000000000+871)</f>
        <v/>
      </c>
      <c r="M878" s="3">
        <f>IF(K878=1,SUMPRODUCT(--($L$8:$L$1207&lt;L878))+1,"")</f>
        <v/>
      </c>
      <c r="N878" s="17">
        <f>IF(K878=1,N('ORDENES'!$M874),0)</f>
        <v/>
      </c>
      <c r="O878" s="17">
        <f>IF('ORDENES'!$S874="preventiva",N878,0)</f>
        <v/>
      </c>
      <c r="P878" s="17">
        <f>IF('ORDENES'!$S874="correctiva",N878,0)</f>
        <v/>
      </c>
      <c r="Q878" s="3">
        <f>IF(AND(K878=1,'ORDENES'!$N874="Pendiente"),1,0)</f>
        <v/>
      </c>
      <c r="R878" s="3">
        <f>IF(Q878=1,100000-N878*1000+871*0.01,9000000000000+871)</f>
        <v/>
      </c>
      <c r="S878" s="3">
        <f>IF(Q878=1,SUMPRODUCT(--($R$8:$R$1207&lt;R878))+1,"")</f>
        <v/>
      </c>
      <c r="T878" s="11">
        <f>IF(K878=1,'ORDENES'!$J874,"")</f>
        <v/>
      </c>
    </row>
    <row r="879">
      <c r="K879" s="3">
        <f>IF(AND(IF($B$3="(todos)",TRUE,'ORDENES'!$O875=$B$3),IF($D$3="(todos)",TRUE,'ORDENES'!$AC875=$D$3),IF($F$3="(todos)",TRUE,'ORDENES'!$V875=$F$3),'ORDENES'!$AA875=TRUE,'ORDENES'!$A875&lt;&gt;""),1,0)</f>
        <v/>
      </c>
      <c r="L879" s="3">
        <f>IF(K879=1,IFERROR(MATCH('ORDENES'!$R875,lista_dias,0),9)*1000000000+IFERROR(MATCH('ORDENES'!$AC875,lista_turnos,0),9)*10000000+IFERROR(MATCH('ORDENES'!$AB875,'TECNICOS'!$B$4:$B$15,0),99)*100000+872,9000000000000+872)</f>
        <v/>
      </c>
      <c r="M879" s="3">
        <f>IF(K879=1,SUMPRODUCT(--($L$8:$L$1207&lt;L879))+1,"")</f>
        <v/>
      </c>
      <c r="N879" s="17">
        <f>IF(K879=1,N('ORDENES'!$M875),0)</f>
        <v/>
      </c>
      <c r="O879" s="17">
        <f>IF('ORDENES'!$S875="preventiva",N879,0)</f>
        <v/>
      </c>
      <c r="P879" s="17">
        <f>IF('ORDENES'!$S875="correctiva",N879,0)</f>
        <v/>
      </c>
      <c r="Q879" s="3">
        <f>IF(AND(K879=1,'ORDENES'!$N875="Pendiente"),1,0)</f>
        <v/>
      </c>
      <c r="R879" s="3">
        <f>IF(Q879=1,100000-N879*1000+872*0.01,9000000000000+872)</f>
        <v/>
      </c>
      <c r="S879" s="3">
        <f>IF(Q879=1,SUMPRODUCT(--($R$8:$R$1207&lt;R879))+1,"")</f>
        <v/>
      </c>
      <c r="T879" s="11">
        <f>IF(K879=1,'ORDENES'!$J875,"")</f>
        <v/>
      </c>
    </row>
    <row r="880">
      <c r="K880" s="3">
        <f>IF(AND(IF($B$3="(todos)",TRUE,'ORDENES'!$O876=$B$3),IF($D$3="(todos)",TRUE,'ORDENES'!$AC876=$D$3),IF($F$3="(todos)",TRUE,'ORDENES'!$V876=$F$3),'ORDENES'!$AA876=TRUE,'ORDENES'!$A876&lt;&gt;""),1,0)</f>
        <v/>
      </c>
      <c r="L880" s="3">
        <f>IF(K880=1,IFERROR(MATCH('ORDENES'!$R876,lista_dias,0),9)*1000000000+IFERROR(MATCH('ORDENES'!$AC876,lista_turnos,0),9)*10000000+IFERROR(MATCH('ORDENES'!$AB876,'TECNICOS'!$B$4:$B$15,0),99)*100000+873,9000000000000+873)</f>
        <v/>
      </c>
      <c r="M880" s="3">
        <f>IF(K880=1,SUMPRODUCT(--($L$8:$L$1207&lt;L880))+1,"")</f>
        <v/>
      </c>
      <c r="N880" s="17">
        <f>IF(K880=1,N('ORDENES'!$M876),0)</f>
        <v/>
      </c>
      <c r="O880" s="17">
        <f>IF('ORDENES'!$S876="preventiva",N880,0)</f>
        <v/>
      </c>
      <c r="P880" s="17">
        <f>IF('ORDENES'!$S876="correctiva",N880,0)</f>
        <v/>
      </c>
      <c r="Q880" s="3">
        <f>IF(AND(K880=1,'ORDENES'!$N876="Pendiente"),1,0)</f>
        <v/>
      </c>
      <c r="R880" s="3">
        <f>IF(Q880=1,100000-N880*1000+873*0.01,9000000000000+873)</f>
        <v/>
      </c>
      <c r="S880" s="3">
        <f>IF(Q880=1,SUMPRODUCT(--($R$8:$R$1207&lt;R880))+1,"")</f>
        <v/>
      </c>
      <c r="T880" s="11">
        <f>IF(K880=1,'ORDENES'!$J876,"")</f>
        <v/>
      </c>
    </row>
    <row r="881">
      <c r="K881" s="3">
        <f>IF(AND(IF($B$3="(todos)",TRUE,'ORDENES'!$O877=$B$3),IF($D$3="(todos)",TRUE,'ORDENES'!$AC877=$D$3),IF($F$3="(todos)",TRUE,'ORDENES'!$V877=$F$3),'ORDENES'!$AA877=TRUE,'ORDENES'!$A877&lt;&gt;""),1,0)</f>
        <v/>
      </c>
      <c r="L881" s="3">
        <f>IF(K881=1,IFERROR(MATCH('ORDENES'!$R877,lista_dias,0),9)*1000000000+IFERROR(MATCH('ORDENES'!$AC877,lista_turnos,0),9)*10000000+IFERROR(MATCH('ORDENES'!$AB877,'TECNICOS'!$B$4:$B$15,0),99)*100000+874,9000000000000+874)</f>
        <v/>
      </c>
      <c r="M881" s="3">
        <f>IF(K881=1,SUMPRODUCT(--($L$8:$L$1207&lt;L881))+1,"")</f>
        <v/>
      </c>
      <c r="N881" s="17">
        <f>IF(K881=1,N('ORDENES'!$M877),0)</f>
        <v/>
      </c>
      <c r="O881" s="17">
        <f>IF('ORDENES'!$S877="preventiva",N881,0)</f>
        <v/>
      </c>
      <c r="P881" s="17">
        <f>IF('ORDENES'!$S877="correctiva",N881,0)</f>
        <v/>
      </c>
      <c r="Q881" s="3">
        <f>IF(AND(K881=1,'ORDENES'!$N877="Pendiente"),1,0)</f>
        <v/>
      </c>
      <c r="R881" s="3">
        <f>IF(Q881=1,100000-N881*1000+874*0.01,9000000000000+874)</f>
        <v/>
      </c>
      <c r="S881" s="3">
        <f>IF(Q881=1,SUMPRODUCT(--($R$8:$R$1207&lt;R881))+1,"")</f>
        <v/>
      </c>
      <c r="T881" s="11">
        <f>IF(K881=1,'ORDENES'!$J877,"")</f>
        <v/>
      </c>
    </row>
    <row r="882">
      <c r="K882" s="3">
        <f>IF(AND(IF($B$3="(todos)",TRUE,'ORDENES'!$O878=$B$3),IF($D$3="(todos)",TRUE,'ORDENES'!$AC878=$D$3),IF($F$3="(todos)",TRUE,'ORDENES'!$V878=$F$3),'ORDENES'!$AA878=TRUE,'ORDENES'!$A878&lt;&gt;""),1,0)</f>
        <v/>
      </c>
      <c r="L882" s="3">
        <f>IF(K882=1,IFERROR(MATCH('ORDENES'!$R878,lista_dias,0),9)*1000000000+IFERROR(MATCH('ORDENES'!$AC878,lista_turnos,0),9)*10000000+IFERROR(MATCH('ORDENES'!$AB878,'TECNICOS'!$B$4:$B$15,0),99)*100000+875,9000000000000+875)</f>
        <v/>
      </c>
      <c r="M882" s="3">
        <f>IF(K882=1,SUMPRODUCT(--($L$8:$L$1207&lt;L882))+1,"")</f>
        <v/>
      </c>
      <c r="N882" s="17">
        <f>IF(K882=1,N('ORDENES'!$M878),0)</f>
        <v/>
      </c>
      <c r="O882" s="17">
        <f>IF('ORDENES'!$S878="preventiva",N882,0)</f>
        <v/>
      </c>
      <c r="P882" s="17">
        <f>IF('ORDENES'!$S878="correctiva",N882,0)</f>
        <v/>
      </c>
      <c r="Q882" s="3">
        <f>IF(AND(K882=1,'ORDENES'!$N878="Pendiente"),1,0)</f>
        <v/>
      </c>
      <c r="R882" s="3">
        <f>IF(Q882=1,100000-N882*1000+875*0.01,9000000000000+875)</f>
        <v/>
      </c>
      <c r="S882" s="3">
        <f>IF(Q882=1,SUMPRODUCT(--($R$8:$R$1207&lt;R882))+1,"")</f>
        <v/>
      </c>
      <c r="T882" s="11">
        <f>IF(K882=1,'ORDENES'!$J878,"")</f>
        <v/>
      </c>
    </row>
    <row r="883">
      <c r="K883" s="3">
        <f>IF(AND(IF($B$3="(todos)",TRUE,'ORDENES'!$O879=$B$3),IF($D$3="(todos)",TRUE,'ORDENES'!$AC879=$D$3),IF($F$3="(todos)",TRUE,'ORDENES'!$V879=$F$3),'ORDENES'!$AA879=TRUE,'ORDENES'!$A879&lt;&gt;""),1,0)</f>
        <v/>
      </c>
      <c r="L883" s="3">
        <f>IF(K883=1,IFERROR(MATCH('ORDENES'!$R879,lista_dias,0),9)*1000000000+IFERROR(MATCH('ORDENES'!$AC879,lista_turnos,0),9)*10000000+IFERROR(MATCH('ORDENES'!$AB879,'TECNICOS'!$B$4:$B$15,0),99)*100000+876,9000000000000+876)</f>
        <v/>
      </c>
      <c r="M883" s="3">
        <f>IF(K883=1,SUMPRODUCT(--($L$8:$L$1207&lt;L883))+1,"")</f>
        <v/>
      </c>
      <c r="N883" s="17">
        <f>IF(K883=1,N('ORDENES'!$M879),0)</f>
        <v/>
      </c>
      <c r="O883" s="17">
        <f>IF('ORDENES'!$S879="preventiva",N883,0)</f>
        <v/>
      </c>
      <c r="P883" s="17">
        <f>IF('ORDENES'!$S879="correctiva",N883,0)</f>
        <v/>
      </c>
      <c r="Q883" s="3">
        <f>IF(AND(K883=1,'ORDENES'!$N879="Pendiente"),1,0)</f>
        <v/>
      </c>
      <c r="R883" s="3">
        <f>IF(Q883=1,100000-N883*1000+876*0.01,9000000000000+876)</f>
        <v/>
      </c>
      <c r="S883" s="3">
        <f>IF(Q883=1,SUMPRODUCT(--($R$8:$R$1207&lt;R883))+1,"")</f>
        <v/>
      </c>
      <c r="T883" s="11">
        <f>IF(K883=1,'ORDENES'!$J879,"")</f>
        <v/>
      </c>
    </row>
    <row r="884">
      <c r="K884" s="3">
        <f>IF(AND(IF($B$3="(todos)",TRUE,'ORDENES'!$O880=$B$3),IF($D$3="(todos)",TRUE,'ORDENES'!$AC880=$D$3),IF($F$3="(todos)",TRUE,'ORDENES'!$V880=$F$3),'ORDENES'!$AA880=TRUE,'ORDENES'!$A880&lt;&gt;""),1,0)</f>
        <v/>
      </c>
      <c r="L884" s="3">
        <f>IF(K884=1,IFERROR(MATCH('ORDENES'!$R880,lista_dias,0),9)*1000000000+IFERROR(MATCH('ORDENES'!$AC880,lista_turnos,0),9)*10000000+IFERROR(MATCH('ORDENES'!$AB880,'TECNICOS'!$B$4:$B$15,0),99)*100000+877,9000000000000+877)</f>
        <v/>
      </c>
      <c r="M884" s="3">
        <f>IF(K884=1,SUMPRODUCT(--($L$8:$L$1207&lt;L884))+1,"")</f>
        <v/>
      </c>
      <c r="N884" s="17">
        <f>IF(K884=1,N('ORDENES'!$M880),0)</f>
        <v/>
      </c>
      <c r="O884" s="17">
        <f>IF('ORDENES'!$S880="preventiva",N884,0)</f>
        <v/>
      </c>
      <c r="P884" s="17">
        <f>IF('ORDENES'!$S880="correctiva",N884,0)</f>
        <v/>
      </c>
      <c r="Q884" s="3">
        <f>IF(AND(K884=1,'ORDENES'!$N880="Pendiente"),1,0)</f>
        <v/>
      </c>
      <c r="R884" s="3">
        <f>IF(Q884=1,100000-N884*1000+877*0.01,9000000000000+877)</f>
        <v/>
      </c>
      <c r="S884" s="3">
        <f>IF(Q884=1,SUMPRODUCT(--($R$8:$R$1207&lt;R884))+1,"")</f>
        <v/>
      </c>
      <c r="T884" s="11">
        <f>IF(K884=1,'ORDENES'!$J880,"")</f>
        <v/>
      </c>
    </row>
    <row r="885">
      <c r="K885" s="3">
        <f>IF(AND(IF($B$3="(todos)",TRUE,'ORDENES'!$O881=$B$3),IF($D$3="(todos)",TRUE,'ORDENES'!$AC881=$D$3),IF($F$3="(todos)",TRUE,'ORDENES'!$V881=$F$3),'ORDENES'!$AA881=TRUE,'ORDENES'!$A881&lt;&gt;""),1,0)</f>
        <v/>
      </c>
      <c r="L885" s="3">
        <f>IF(K885=1,IFERROR(MATCH('ORDENES'!$R881,lista_dias,0),9)*1000000000+IFERROR(MATCH('ORDENES'!$AC881,lista_turnos,0),9)*10000000+IFERROR(MATCH('ORDENES'!$AB881,'TECNICOS'!$B$4:$B$15,0),99)*100000+878,9000000000000+878)</f>
        <v/>
      </c>
      <c r="M885" s="3">
        <f>IF(K885=1,SUMPRODUCT(--($L$8:$L$1207&lt;L885))+1,"")</f>
        <v/>
      </c>
      <c r="N885" s="17">
        <f>IF(K885=1,N('ORDENES'!$M881),0)</f>
        <v/>
      </c>
      <c r="O885" s="17">
        <f>IF('ORDENES'!$S881="preventiva",N885,0)</f>
        <v/>
      </c>
      <c r="P885" s="17">
        <f>IF('ORDENES'!$S881="correctiva",N885,0)</f>
        <v/>
      </c>
      <c r="Q885" s="3">
        <f>IF(AND(K885=1,'ORDENES'!$N881="Pendiente"),1,0)</f>
        <v/>
      </c>
      <c r="R885" s="3">
        <f>IF(Q885=1,100000-N885*1000+878*0.01,9000000000000+878)</f>
        <v/>
      </c>
      <c r="S885" s="3">
        <f>IF(Q885=1,SUMPRODUCT(--($R$8:$R$1207&lt;R885))+1,"")</f>
        <v/>
      </c>
      <c r="T885" s="11">
        <f>IF(K885=1,'ORDENES'!$J881,"")</f>
        <v/>
      </c>
    </row>
    <row r="886">
      <c r="K886" s="3">
        <f>IF(AND(IF($B$3="(todos)",TRUE,'ORDENES'!$O882=$B$3),IF($D$3="(todos)",TRUE,'ORDENES'!$AC882=$D$3),IF($F$3="(todos)",TRUE,'ORDENES'!$V882=$F$3),'ORDENES'!$AA882=TRUE,'ORDENES'!$A882&lt;&gt;""),1,0)</f>
        <v/>
      </c>
      <c r="L886" s="3">
        <f>IF(K886=1,IFERROR(MATCH('ORDENES'!$R882,lista_dias,0),9)*1000000000+IFERROR(MATCH('ORDENES'!$AC882,lista_turnos,0),9)*10000000+IFERROR(MATCH('ORDENES'!$AB882,'TECNICOS'!$B$4:$B$15,0),99)*100000+879,9000000000000+879)</f>
        <v/>
      </c>
      <c r="M886" s="3">
        <f>IF(K886=1,SUMPRODUCT(--($L$8:$L$1207&lt;L886))+1,"")</f>
        <v/>
      </c>
      <c r="N886" s="17">
        <f>IF(K886=1,N('ORDENES'!$M882),0)</f>
        <v/>
      </c>
      <c r="O886" s="17">
        <f>IF('ORDENES'!$S882="preventiva",N886,0)</f>
        <v/>
      </c>
      <c r="P886" s="17">
        <f>IF('ORDENES'!$S882="correctiva",N886,0)</f>
        <v/>
      </c>
      <c r="Q886" s="3">
        <f>IF(AND(K886=1,'ORDENES'!$N882="Pendiente"),1,0)</f>
        <v/>
      </c>
      <c r="R886" s="3">
        <f>IF(Q886=1,100000-N886*1000+879*0.01,9000000000000+879)</f>
        <v/>
      </c>
      <c r="S886" s="3">
        <f>IF(Q886=1,SUMPRODUCT(--($R$8:$R$1207&lt;R886))+1,"")</f>
        <v/>
      </c>
      <c r="T886" s="11">
        <f>IF(K886=1,'ORDENES'!$J882,"")</f>
        <v/>
      </c>
    </row>
    <row r="887">
      <c r="K887" s="3">
        <f>IF(AND(IF($B$3="(todos)",TRUE,'ORDENES'!$O883=$B$3),IF($D$3="(todos)",TRUE,'ORDENES'!$AC883=$D$3),IF($F$3="(todos)",TRUE,'ORDENES'!$V883=$F$3),'ORDENES'!$AA883=TRUE,'ORDENES'!$A883&lt;&gt;""),1,0)</f>
        <v/>
      </c>
      <c r="L887" s="3">
        <f>IF(K887=1,IFERROR(MATCH('ORDENES'!$R883,lista_dias,0),9)*1000000000+IFERROR(MATCH('ORDENES'!$AC883,lista_turnos,0),9)*10000000+IFERROR(MATCH('ORDENES'!$AB883,'TECNICOS'!$B$4:$B$15,0),99)*100000+880,9000000000000+880)</f>
        <v/>
      </c>
      <c r="M887" s="3">
        <f>IF(K887=1,SUMPRODUCT(--($L$8:$L$1207&lt;L887))+1,"")</f>
        <v/>
      </c>
      <c r="N887" s="17">
        <f>IF(K887=1,N('ORDENES'!$M883),0)</f>
        <v/>
      </c>
      <c r="O887" s="17">
        <f>IF('ORDENES'!$S883="preventiva",N887,0)</f>
        <v/>
      </c>
      <c r="P887" s="17">
        <f>IF('ORDENES'!$S883="correctiva",N887,0)</f>
        <v/>
      </c>
      <c r="Q887" s="3">
        <f>IF(AND(K887=1,'ORDENES'!$N883="Pendiente"),1,0)</f>
        <v/>
      </c>
      <c r="R887" s="3">
        <f>IF(Q887=1,100000-N887*1000+880*0.01,9000000000000+880)</f>
        <v/>
      </c>
      <c r="S887" s="3">
        <f>IF(Q887=1,SUMPRODUCT(--($R$8:$R$1207&lt;R887))+1,"")</f>
        <v/>
      </c>
      <c r="T887" s="11">
        <f>IF(K887=1,'ORDENES'!$J883,"")</f>
        <v/>
      </c>
    </row>
    <row r="888">
      <c r="K888" s="3">
        <f>IF(AND(IF($B$3="(todos)",TRUE,'ORDENES'!$O884=$B$3),IF($D$3="(todos)",TRUE,'ORDENES'!$AC884=$D$3),IF($F$3="(todos)",TRUE,'ORDENES'!$V884=$F$3),'ORDENES'!$AA884=TRUE,'ORDENES'!$A884&lt;&gt;""),1,0)</f>
        <v/>
      </c>
      <c r="L888" s="3">
        <f>IF(K888=1,IFERROR(MATCH('ORDENES'!$R884,lista_dias,0),9)*1000000000+IFERROR(MATCH('ORDENES'!$AC884,lista_turnos,0),9)*10000000+IFERROR(MATCH('ORDENES'!$AB884,'TECNICOS'!$B$4:$B$15,0),99)*100000+881,9000000000000+881)</f>
        <v/>
      </c>
      <c r="M888" s="3">
        <f>IF(K888=1,SUMPRODUCT(--($L$8:$L$1207&lt;L888))+1,"")</f>
        <v/>
      </c>
      <c r="N888" s="17">
        <f>IF(K888=1,N('ORDENES'!$M884),0)</f>
        <v/>
      </c>
      <c r="O888" s="17">
        <f>IF('ORDENES'!$S884="preventiva",N888,0)</f>
        <v/>
      </c>
      <c r="P888" s="17">
        <f>IF('ORDENES'!$S884="correctiva",N888,0)</f>
        <v/>
      </c>
      <c r="Q888" s="3">
        <f>IF(AND(K888=1,'ORDENES'!$N884="Pendiente"),1,0)</f>
        <v/>
      </c>
      <c r="R888" s="3">
        <f>IF(Q888=1,100000-N888*1000+881*0.01,9000000000000+881)</f>
        <v/>
      </c>
      <c r="S888" s="3">
        <f>IF(Q888=1,SUMPRODUCT(--($R$8:$R$1207&lt;R888))+1,"")</f>
        <v/>
      </c>
      <c r="T888" s="11">
        <f>IF(K888=1,'ORDENES'!$J884,"")</f>
        <v/>
      </c>
    </row>
    <row r="889">
      <c r="K889" s="3">
        <f>IF(AND(IF($B$3="(todos)",TRUE,'ORDENES'!$O885=$B$3),IF($D$3="(todos)",TRUE,'ORDENES'!$AC885=$D$3),IF($F$3="(todos)",TRUE,'ORDENES'!$V885=$F$3),'ORDENES'!$AA885=TRUE,'ORDENES'!$A885&lt;&gt;""),1,0)</f>
        <v/>
      </c>
      <c r="L889" s="3">
        <f>IF(K889=1,IFERROR(MATCH('ORDENES'!$R885,lista_dias,0),9)*1000000000+IFERROR(MATCH('ORDENES'!$AC885,lista_turnos,0),9)*10000000+IFERROR(MATCH('ORDENES'!$AB885,'TECNICOS'!$B$4:$B$15,0),99)*100000+882,9000000000000+882)</f>
        <v/>
      </c>
      <c r="M889" s="3">
        <f>IF(K889=1,SUMPRODUCT(--($L$8:$L$1207&lt;L889))+1,"")</f>
        <v/>
      </c>
      <c r="N889" s="17">
        <f>IF(K889=1,N('ORDENES'!$M885),0)</f>
        <v/>
      </c>
      <c r="O889" s="17">
        <f>IF('ORDENES'!$S885="preventiva",N889,0)</f>
        <v/>
      </c>
      <c r="P889" s="17">
        <f>IF('ORDENES'!$S885="correctiva",N889,0)</f>
        <v/>
      </c>
      <c r="Q889" s="3">
        <f>IF(AND(K889=1,'ORDENES'!$N885="Pendiente"),1,0)</f>
        <v/>
      </c>
      <c r="R889" s="3">
        <f>IF(Q889=1,100000-N889*1000+882*0.01,9000000000000+882)</f>
        <v/>
      </c>
      <c r="S889" s="3">
        <f>IF(Q889=1,SUMPRODUCT(--($R$8:$R$1207&lt;R889))+1,"")</f>
        <v/>
      </c>
      <c r="T889" s="11">
        <f>IF(K889=1,'ORDENES'!$J885,"")</f>
        <v/>
      </c>
    </row>
    <row r="890">
      <c r="K890" s="3">
        <f>IF(AND(IF($B$3="(todos)",TRUE,'ORDENES'!$O886=$B$3),IF($D$3="(todos)",TRUE,'ORDENES'!$AC886=$D$3),IF($F$3="(todos)",TRUE,'ORDENES'!$V886=$F$3),'ORDENES'!$AA886=TRUE,'ORDENES'!$A886&lt;&gt;""),1,0)</f>
        <v/>
      </c>
      <c r="L890" s="3">
        <f>IF(K890=1,IFERROR(MATCH('ORDENES'!$R886,lista_dias,0),9)*1000000000+IFERROR(MATCH('ORDENES'!$AC886,lista_turnos,0),9)*10000000+IFERROR(MATCH('ORDENES'!$AB886,'TECNICOS'!$B$4:$B$15,0),99)*100000+883,9000000000000+883)</f>
        <v/>
      </c>
      <c r="M890" s="3">
        <f>IF(K890=1,SUMPRODUCT(--($L$8:$L$1207&lt;L890))+1,"")</f>
        <v/>
      </c>
      <c r="N890" s="17">
        <f>IF(K890=1,N('ORDENES'!$M886),0)</f>
        <v/>
      </c>
      <c r="O890" s="17">
        <f>IF('ORDENES'!$S886="preventiva",N890,0)</f>
        <v/>
      </c>
      <c r="P890" s="17">
        <f>IF('ORDENES'!$S886="correctiva",N890,0)</f>
        <v/>
      </c>
      <c r="Q890" s="3">
        <f>IF(AND(K890=1,'ORDENES'!$N886="Pendiente"),1,0)</f>
        <v/>
      </c>
      <c r="R890" s="3">
        <f>IF(Q890=1,100000-N890*1000+883*0.01,9000000000000+883)</f>
        <v/>
      </c>
      <c r="S890" s="3">
        <f>IF(Q890=1,SUMPRODUCT(--($R$8:$R$1207&lt;R890))+1,"")</f>
        <v/>
      </c>
      <c r="T890" s="11">
        <f>IF(K890=1,'ORDENES'!$J886,"")</f>
        <v/>
      </c>
    </row>
    <row r="891">
      <c r="K891" s="3">
        <f>IF(AND(IF($B$3="(todos)",TRUE,'ORDENES'!$O887=$B$3),IF($D$3="(todos)",TRUE,'ORDENES'!$AC887=$D$3),IF($F$3="(todos)",TRUE,'ORDENES'!$V887=$F$3),'ORDENES'!$AA887=TRUE,'ORDENES'!$A887&lt;&gt;""),1,0)</f>
        <v/>
      </c>
      <c r="L891" s="3">
        <f>IF(K891=1,IFERROR(MATCH('ORDENES'!$R887,lista_dias,0),9)*1000000000+IFERROR(MATCH('ORDENES'!$AC887,lista_turnos,0),9)*10000000+IFERROR(MATCH('ORDENES'!$AB887,'TECNICOS'!$B$4:$B$15,0),99)*100000+884,9000000000000+884)</f>
        <v/>
      </c>
      <c r="M891" s="3">
        <f>IF(K891=1,SUMPRODUCT(--($L$8:$L$1207&lt;L891))+1,"")</f>
        <v/>
      </c>
      <c r="N891" s="17">
        <f>IF(K891=1,N('ORDENES'!$M887),0)</f>
        <v/>
      </c>
      <c r="O891" s="17">
        <f>IF('ORDENES'!$S887="preventiva",N891,0)</f>
        <v/>
      </c>
      <c r="P891" s="17">
        <f>IF('ORDENES'!$S887="correctiva",N891,0)</f>
        <v/>
      </c>
      <c r="Q891" s="3">
        <f>IF(AND(K891=1,'ORDENES'!$N887="Pendiente"),1,0)</f>
        <v/>
      </c>
      <c r="R891" s="3">
        <f>IF(Q891=1,100000-N891*1000+884*0.01,9000000000000+884)</f>
        <v/>
      </c>
      <c r="S891" s="3">
        <f>IF(Q891=1,SUMPRODUCT(--($R$8:$R$1207&lt;R891))+1,"")</f>
        <v/>
      </c>
      <c r="T891" s="11">
        <f>IF(K891=1,'ORDENES'!$J887,"")</f>
        <v/>
      </c>
    </row>
    <row r="892">
      <c r="K892" s="3">
        <f>IF(AND(IF($B$3="(todos)",TRUE,'ORDENES'!$O888=$B$3),IF($D$3="(todos)",TRUE,'ORDENES'!$AC888=$D$3),IF($F$3="(todos)",TRUE,'ORDENES'!$V888=$F$3),'ORDENES'!$AA888=TRUE,'ORDENES'!$A888&lt;&gt;""),1,0)</f>
        <v/>
      </c>
      <c r="L892" s="3">
        <f>IF(K892=1,IFERROR(MATCH('ORDENES'!$R888,lista_dias,0),9)*1000000000+IFERROR(MATCH('ORDENES'!$AC888,lista_turnos,0),9)*10000000+IFERROR(MATCH('ORDENES'!$AB888,'TECNICOS'!$B$4:$B$15,0),99)*100000+885,9000000000000+885)</f>
        <v/>
      </c>
      <c r="M892" s="3">
        <f>IF(K892=1,SUMPRODUCT(--($L$8:$L$1207&lt;L892))+1,"")</f>
        <v/>
      </c>
      <c r="N892" s="17">
        <f>IF(K892=1,N('ORDENES'!$M888),0)</f>
        <v/>
      </c>
      <c r="O892" s="17">
        <f>IF('ORDENES'!$S888="preventiva",N892,0)</f>
        <v/>
      </c>
      <c r="P892" s="17">
        <f>IF('ORDENES'!$S888="correctiva",N892,0)</f>
        <v/>
      </c>
      <c r="Q892" s="3">
        <f>IF(AND(K892=1,'ORDENES'!$N888="Pendiente"),1,0)</f>
        <v/>
      </c>
      <c r="R892" s="3">
        <f>IF(Q892=1,100000-N892*1000+885*0.01,9000000000000+885)</f>
        <v/>
      </c>
      <c r="S892" s="3">
        <f>IF(Q892=1,SUMPRODUCT(--($R$8:$R$1207&lt;R892))+1,"")</f>
        <v/>
      </c>
      <c r="T892" s="11">
        <f>IF(K892=1,'ORDENES'!$J888,"")</f>
        <v/>
      </c>
    </row>
    <row r="893">
      <c r="K893" s="3">
        <f>IF(AND(IF($B$3="(todos)",TRUE,'ORDENES'!$O889=$B$3),IF($D$3="(todos)",TRUE,'ORDENES'!$AC889=$D$3),IF($F$3="(todos)",TRUE,'ORDENES'!$V889=$F$3),'ORDENES'!$AA889=TRUE,'ORDENES'!$A889&lt;&gt;""),1,0)</f>
        <v/>
      </c>
      <c r="L893" s="3">
        <f>IF(K893=1,IFERROR(MATCH('ORDENES'!$R889,lista_dias,0),9)*1000000000+IFERROR(MATCH('ORDENES'!$AC889,lista_turnos,0),9)*10000000+IFERROR(MATCH('ORDENES'!$AB889,'TECNICOS'!$B$4:$B$15,0),99)*100000+886,9000000000000+886)</f>
        <v/>
      </c>
      <c r="M893" s="3">
        <f>IF(K893=1,SUMPRODUCT(--($L$8:$L$1207&lt;L893))+1,"")</f>
        <v/>
      </c>
      <c r="N893" s="17">
        <f>IF(K893=1,N('ORDENES'!$M889),0)</f>
        <v/>
      </c>
      <c r="O893" s="17">
        <f>IF('ORDENES'!$S889="preventiva",N893,0)</f>
        <v/>
      </c>
      <c r="P893" s="17">
        <f>IF('ORDENES'!$S889="correctiva",N893,0)</f>
        <v/>
      </c>
      <c r="Q893" s="3">
        <f>IF(AND(K893=1,'ORDENES'!$N889="Pendiente"),1,0)</f>
        <v/>
      </c>
      <c r="R893" s="3">
        <f>IF(Q893=1,100000-N893*1000+886*0.01,9000000000000+886)</f>
        <v/>
      </c>
      <c r="S893" s="3">
        <f>IF(Q893=1,SUMPRODUCT(--($R$8:$R$1207&lt;R893))+1,"")</f>
        <v/>
      </c>
      <c r="T893" s="11">
        <f>IF(K893=1,'ORDENES'!$J889,"")</f>
        <v/>
      </c>
    </row>
    <row r="894">
      <c r="K894" s="3">
        <f>IF(AND(IF($B$3="(todos)",TRUE,'ORDENES'!$O890=$B$3),IF($D$3="(todos)",TRUE,'ORDENES'!$AC890=$D$3),IF($F$3="(todos)",TRUE,'ORDENES'!$V890=$F$3),'ORDENES'!$AA890=TRUE,'ORDENES'!$A890&lt;&gt;""),1,0)</f>
        <v/>
      </c>
      <c r="L894" s="3">
        <f>IF(K894=1,IFERROR(MATCH('ORDENES'!$R890,lista_dias,0),9)*1000000000+IFERROR(MATCH('ORDENES'!$AC890,lista_turnos,0),9)*10000000+IFERROR(MATCH('ORDENES'!$AB890,'TECNICOS'!$B$4:$B$15,0),99)*100000+887,9000000000000+887)</f>
        <v/>
      </c>
      <c r="M894" s="3">
        <f>IF(K894=1,SUMPRODUCT(--($L$8:$L$1207&lt;L894))+1,"")</f>
        <v/>
      </c>
      <c r="N894" s="17">
        <f>IF(K894=1,N('ORDENES'!$M890),0)</f>
        <v/>
      </c>
      <c r="O894" s="17">
        <f>IF('ORDENES'!$S890="preventiva",N894,0)</f>
        <v/>
      </c>
      <c r="P894" s="17">
        <f>IF('ORDENES'!$S890="correctiva",N894,0)</f>
        <v/>
      </c>
      <c r="Q894" s="3">
        <f>IF(AND(K894=1,'ORDENES'!$N890="Pendiente"),1,0)</f>
        <v/>
      </c>
      <c r="R894" s="3">
        <f>IF(Q894=1,100000-N894*1000+887*0.01,9000000000000+887)</f>
        <v/>
      </c>
      <c r="S894" s="3">
        <f>IF(Q894=1,SUMPRODUCT(--($R$8:$R$1207&lt;R894))+1,"")</f>
        <v/>
      </c>
      <c r="T894" s="11">
        <f>IF(K894=1,'ORDENES'!$J890,"")</f>
        <v/>
      </c>
    </row>
    <row r="895">
      <c r="K895" s="3">
        <f>IF(AND(IF($B$3="(todos)",TRUE,'ORDENES'!$O891=$B$3),IF($D$3="(todos)",TRUE,'ORDENES'!$AC891=$D$3),IF($F$3="(todos)",TRUE,'ORDENES'!$V891=$F$3),'ORDENES'!$AA891=TRUE,'ORDENES'!$A891&lt;&gt;""),1,0)</f>
        <v/>
      </c>
      <c r="L895" s="3">
        <f>IF(K895=1,IFERROR(MATCH('ORDENES'!$R891,lista_dias,0),9)*1000000000+IFERROR(MATCH('ORDENES'!$AC891,lista_turnos,0),9)*10000000+IFERROR(MATCH('ORDENES'!$AB891,'TECNICOS'!$B$4:$B$15,0),99)*100000+888,9000000000000+888)</f>
        <v/>
      </c>
      <c r="M895" s="3">
        <f>IF(K895=1,SUMPRODUCT(--($L$8:$L$1207&lt;L895))+1,"")</f>
        <v/>
      </c>
      <c r="N895" s="17">
        <f>IF(K895=1,N('ORDENES'!$M891),0)</f>
        <v/>
      </c>
      <c r="O895" s="17">
        <f>IF('ORDENES'!$S891="preventiva",N895,0)</f>
        <v/>
      </c>
      <c r="P895" s="17">
        <f>IF('ORDENES'!$S891="correctiva",N895,0)</f>
        <v/>
      </c>
      <c r="Q895" s="3">
        <f>IF(AND(K895=1,'ORDENES'!$N891="Pendiente"),1,0)</f>
        <v/>
      </c>
      <c r="R895" s="3">
        <f>IF(Q895=1,100000-N895*1000+888*0.01,9000000000000+888)</f>
        <v/>
      </c>
      <c r="S895" s="3">
        <f>IF(Q895=1,SUMPRODUCT(--($R$8:$R$1207&lt;R895))+1,"")</f>
        <v/>
      </c>
      <c r="T895" s="11">
        <f>IF(K895=1,'ORDENES'!$J891,"")</f>
        <v/>
      </c>
    </row>
    <row r="896">
      <c r="K896" s="3">
        <f>IF(AND(IF($B$3="(todos)",TRUE,'ORDENES'!$O892=$B$3),IF($D$3="(todos)",TRUE,'ORDENES'!$AC892=$D$3),IF($F$3="(todos)",TRUE,'ORDENES'!$V892=$F$3),'ORDENES'!$AA892=TRUE,'ORDENES'!$A892&lt;&gt;""),1,0)</f>
        <v/>
      </c>
      <c r="L896" s="3">
        <f>IF(K896=1,IFERROR(MATCH('ORDENES'!$R892,lista_dias,0),9)*1000000000+IFERROR(MATCH('ORDENES'!$AC892,lista_turnos,0),9)*10000000+IFERROR(MATCH('ORDENES'!$AB892,'TECNICOS'!$B$4:$B$15,0),99)*100000+889,9000000000000+889)</f>
        <v/>
      </c>
      <c r="M896" s="3">
        <f>IF(K896=1,SUMPRODUCT(--($L$8:$L$1207&lt;L896))+1,"")</f>
        <v/>
      </c>
      <c r="N896" s="17">
        <f>IF(K896=1,N('ORDENES'!$M892),0)</f>
        <v/>
      </c>
      <c r="O896" s="17">
        <f>IF('ORDENES'!$S892="preventiva",N896,0)</f>
        <v/>
      </c>
      <c r="P896" s="17">
        <f>IF('ORDENES'!$S892="correctiva",N896,0)</f>
        <v/>
      </c>
      <c r="Q896" s="3">
        <f>IF(AND(K896=1,'ORDENES'!$N892="Pendiente"),1,0)</f>
        <v/>
      </c>
      <c r="R896" s="3">
        <f>IF(Q896=1,100000-N896*1000+889*0.01,9000000000000+889)</f>
        <v/>
      </c>
      <c r="S896" s="3">
        <f>IF(Q896=1,SUMPRODUCT(--($R$8:$R$1207&lt;R896))+1,"")</f>
        <v/>
      </c>
      <c r="T896" s="11">
        <f>IF(K896=1,'ORDENES'!$J892,"")</f>
        <v/>
      </c>
    </row>
    <row r="897">
      <c r="K897" s="3">
        <f>IF(AND(IF($B$3="(todos)",TRUE,'ORDENES'!$O893=$B$3),IF($D$3="(todos)",TRUE,'ORDENES'!$AC893=$D$3),IF($F$3="(todos)",TRUE,'ORDENES'!$V893=$F$3),'ORDENES'!$AA893=TRUE,'ORDENES'!$A893&lt;&gt;""),1,0)</f>
        <v/>
      </c>
      <c r="L897" s="3">
        <f>IF(K897=1,IFERROR(MATCH('ORDENES'!$R893,lista_dias,0),9)*1000000000+IFERROR(MATCH('ORDENES'!$AC893,lista_turnos,0),9)*10000000+IFERROR(MATCH('ORDENES'!$AB893,'TECNICOS'!$B$4:$B$15,0),99)*100000+890,9000000000000+890)</f>
        <v/>
      </c>
      <c r="M897" s="3">
        <f>IF(K897=1,SUMPRODUCT(--($L$8:$L$1207&lt;L897))+1,"")</f>
        <v/>
      </c>
      <c r="N897" s="17">
        <f>IF(K897=1,N('ORDENES'!$M893),0)</f>
        <v/>
      </c>
      <c r="O897" s="17">
        <f>IF('ORDENES'!$S893="preventiva",N897,0)</f>
        <v/>
      </c>
      <c r="P897" s="17">
        <f>IF('ORDENES'!$S893="correctiva",N897,0)</f>
        <v/>
      </c>
      <c r="Q897" s="3">
        <f>IF(AND(K897=1,'ORDENES'!$N893="Pendiente"),1,0)</f>
        <v/>
      </c>
      <c r="R897" s="3">
        <f>IF(Q897=1,100000-N897*1000+890*0.01,9000000000000+890)</f>
        <v/>
      </c>
      <c r="S897" s="3">
        <f>IF(Q897=1,SUMPRODUCT(--($R$8:$R$1207&lt;R897))+1,"")</f>
        <v/>
      </c>
      <c r="T897" s="11">
        <f>IF(K897=1,'ORDENES'!$J893,"")</f>
        <v/>
      </c>
    </row>
    <row r="898">
      <c r="K898" s="3">
        <f>IF(AND(IF($B$3="(todos)",TRUE,'ORDENES'!$O894=$B$3),IF($D$3="(todos)",TRUE,'ORDENES'!$AC894=$D$3),IF($F$3="(todos)",TRUE,'ORDENES'!$V894=$F$3),'ORDENES'!$AA894=TRUE,'ORDENES'!$A894&lt;&gt;""),1,0)</f>
        <v/>
      </c>
      <c r="L898" s="3">
        <f>IF(K898=1,IFERROR(MATCH('ORDENES'!$R894,lista_dias,0),9)*1000000000+IFERROR(MATCH('ORDENES'!$AC894,lista_turnos,0),9)*10000000+IFERROR(MATCH('ORDENES'!$AB894,'TECNICOS'!$B$4:$B$15,0),99)*100000+891,9000000000000+891)</f>
        <v/>
      </c>
      <c r="M898" s="3">
        <f>IF(K898=1,SUMPRODUCT(--($L$8:$L$1207&lt;L898))+1,"")</f>
        <v/>
      </c>
      <c r="N898" s="17">
        <f>IF(K898=1,N('ORDENES'!$M894),0)</f>
        <v/>
      </c>
      <c r="O898" s="17">
        <f>IF('ORDENES'!$S894="preventiva",N898,0)</f>
        <v/>
      </c>
      <c r="P898" s="17">
        <f>IF('ORDENES'!$S894="correctiva",N898,0)</f>
        <v/>
      </c>
      <c r="Q898" s="3">
        <f>IF(AND(K898=1,'ORDENES'!$N894="Pendiente"),1,0)</f>
        <v/>
      </c>
      <c r="R898" s="3">
        <f>IF(Q898=1,100000-N898*1000+891*0.01,9000000000000+891)</f>
        <v/>
      </c>
      <c r="S898" s="3">
        <f>IF(Q898=1,SUMPRODUCT(--($R$8:$R$1207&lt;R898))+1,"")</f>
        <v/>
      </c>
      <c r="T898" s="11">
        <f>IF(K898=1,'ORDENES'!$J894,"")</f>
        <v/>
      </c>
    </row>
    <row r="899">
      <c r="K899" s="3">
        <f>IF(AND(IF($B$3="(todos)",TRUE,'ORDENES'!$O895=$B$3),IF($D$3="(todos)",TRUE,'ORDENES'!$AC895=$D$3),IF($F$3="(todos)",TRUE,'ORDENES'!$V895=$F$3),'ORDENES'!$AA895=TRUE,'ORDENES'!$A895&lt;&gt;""),1,0)</f>
        <v/>
      </c>
      <c r="L899" s="3">
        <f>IF(K899=1,IFERROR(MATCH('ORDENES'!$R895,lista_dias,0),9)*1000000000+IFERROR(MATCH('ORDENES'!$AC895,lista_turnos,0),9)*10000000+IFERROR(MATCH('ORDENES'!$AB895,'TECNICOS'!$B$4:$B$15,0),99)*100000+892,9000000000000+892)</f>
        <v/>
      </c>
      <c r="M899" s="3">
        <f>IF(K899=1,SUMPRODUCT(--($L$8:$L$1207&lt;L899))+1,"")</f>
        <v/>
      </c>
      <c r="N899" s="17">
        <f>IF(K899=1,N('ORDENES'!$M895),0)</f>
        <v/>
      </c>
      <c r="O899" s="17">
        <f>IF('ORDENES'!$S895="preventiva",N899,0)</f>
        <v/>
      </c>
      <c r="P899" s="17">
        <f>IF('ORDENES'!$S895="correctiva",N899,0)</f>
        <v/>
      </c>
      <c r="Q899" s="3">
        <f>IF(AND(K899=1,'ORDENES'!$N895="Pendiente"),1,0)</f>
        <v/>
      </c>
      <c r="R899" s="3">
        <f>IF(Q899=1,100000-N899*1000+892*0.01,9000000000000+892)</f>
        <v/>
      </c>
      <c r="S899" s="3">
        <f>IF(Q899=1,SUMPRODUCT(--($R$8:$R$1207&lt;R899))+1,"")</f>
        <v/>
      </c>
      <c r="T899" s="11">
        <f>IF(K899=1,'ORDENES'!$J895,"")</f>
        <v/>
      </c>
    </row>
    <row r="900">
      <c r="K900" s="3">
        <f>IF(AND(IF($B$3="(todos)",TRUE,'ORDENES'!$O896=$B$3),IF($D$3="(todos)",TRUE,'ORDENES'!$AC896=$D$3),IF($F$3="(todos)",TRUE,'ORDENES'!$V896=$F$3),'ORDENES'!$AA896=TRUE,'ORDENES'!$A896&lt;&gt;""),1,0)</f>
        <v/>
      </c>
      <c r="L900" s="3">
        <f>IF(K900=1,IFERROR(MATCH('ORDENES'!$R896,lista_dias,0),9)*1000000000+IFERROR(MATCH('ORDENES'!$AC896,lista_turnos,0),9)*10000000+IFERROR(MATCH('ORDENES'!$AB896,'TECNICOS'!$B$4:$B$15,0),99)*100000+893,9000000000000+893)</f>
        <v/>
      </c>
      <c r="M900" s="3">
        <f>IF(K900=1,SUMPRODUCT(--($L$8:$L$1207&lt;L900))+1,"")</f>
        <v/>
      </c>
      <c r="N900" s="17">
        <f>IF(K900=1,N('ORDENES'!$M896),0)</f>
        <v/>
      </c>
      <c r="O900" s="17">
        <f>IF('ORDENES'!$S896="preventiva",N900,0)</f>
        <v/>
      </c>
      <c r="P900" s="17">
        <f>IF('ORDENES'!$S896="correctiva",N900,0)</f>
        <v/>
      </c>
      <c r="Q900" s="3">
        <f>IF(AND(K900=1,'ORDENES'!$N896="Pendiente"),1,0)</f>
        <v/>
      </c>
      <c r="R900" s="3">
        <f>IF(Q900=1,100000-N900*1000+893*0.01,9000000000000+893)</f>
        <v/>
      </c>
      <c r="S900" s="3">
        <f>IF(Q900=1,SUMPRODUCT(--($R$8:$R$1207&lt;R900))+1,"")</f>
        <v/>
      </c>
      <c r="T900" s="11">
        <f>IF(K900=1,'ORDENES'!$J896,"")</f>
        <v/>
      </c>
    </row>
    <row r="901">
      <c r="K901" s="3">
        <f>IF(AND(IF($B$3="(todos)",TRUE,'ORDENES'!$O897=$B$3),IF($D$3="(todos)",TRUE,'ORDENES'!$AC897=$D$3),IF($F$3="(todos)",TRUE,'ORDENES'!$V897=$F$3),'ORDENES'!$AA897=TRUE,'ORDENES'!$A897&lt;&gt;""),1,0)</f>
        <v/>
      </c>
      <c r="L901" s="3">
        <f>IF(K901=1,IFERROR(MATCH('ORDENES'!$R897,lista_dias,0),9)*1000000000+IFERROR(MATCH('ORDENES'!$AC897,lista_turnos,0),9)*10000000+IFERROR(MATCH('ORDENES'!$AB897,'TECNICOS'!$B$4:$B$15,0),99)*100000+894,9000000000000+894)</f>
        <v/>
      </c>
      <c r="M901" s="3">
        <f>IF(K901=1,SUMPRODUCT(--($L$8:$L$1207&lt;L901))+1,"")</f>
        <v/>
      </c>
      <c r="N901" s="17">
        <f>IF(K901=1,N('ORDENES'!$M897),0)</f>
        <v/>
      </c>
      <c r="O901" s="17">
        <f>IF('ORDENES'!$S897="preventiva",N901,0)</f>
        <v/>
      </c>
      <c r="P901" s="17">
        <f>IF('ORDENES'!$S897="correctiva",N901,0)</f>
        <v/>
      </c>
      <c r="Q901" s="3">
        <f>IF(AND(K901=1,'ORDENES'!$N897="Pendiente"),1,0)</f>
        <v/>
      </c>
      <c r="R901" s="3">
        <f>IF(Q901=1,100000-N901*1000+894*0.01,9000000000000+894)</f>
        <v/>
      </c>
      <c r="S901" s="3">
        <f>IF(Q901=1,SUMPRODUCT(--($R$8:$R$1207&lt;R901))+1,"")</f>
        <v/>
      </c>
      <c r="T901" s="11">
        <f>IF(K901=1,'ORDENES'!$J897,"")</f>
        <v/>
      </c>
    </row>
    <row r="902">
      <c r="K902" s="3">
        <f>IF(AND(IF($B$3="(todos)",TRUE,'ORDENES'!$O898=$B$3),IF($D$3="(todos)",TRUE,'ORDENES'!$AC898=$D$3),IF($F$3="(todos)",TRUE,'ORDENES'!$V898=$F$3),'ORDENES'!$AA898=TRUE,'ORDENES'!$A898&lt;&gt;""),1,0)</f>
        <v/>
      </c>
      <c r="L902" s="3">
        <f>IF(K902=1,IFERROR(MATCH('ORDENES'!$R898,lista_dias,0),9)*1000000000+IFERROR(MATCH('ORDENES'!$AC898,lista_turnos,0),9)*10000000+IFERROR(MATCH('ORDENES'!$AB898,'TECNICOS'!$B$4:$B$15,0),99)*100000+895,9000000000000+895)</f>
        <v/>
      </c>
      <c r="M902" s="3">
        <f>IF(K902=1,SUMPRODUCT(--($L$8:$L$1207&lt;L902))+1,"")</f>
        <v/>
      </c>
      <c r="N902" s="17">
        <f>IF(K902=1,N('ORDENES'!$M898),0)</f>
        <v/>
      </c>
      <c r="O902" s="17">
        <f>IF('ORDENES'!$S898="preventiva",N902,0)</f>
        <v/>
      </c>
      <c r="P902" s="17">
        <f>IF('ORDENES'!$S898="correctiva",N902,0)</f>
        <v/>
      </c>
      <c r="Q902" s="3">
        <f>IF(AND(K902=1,'ORDENES'!$N898="Pendiente"),1,0)</f>
        <v/>
      </c>
      <c r="R902" s="3">
        <f>IF(Q902=1,100000-N902*1000+895*0.01,9000000000000+895)</f>
        <v/>
      </c>
      <c r="S902" s="3">
        <f>IF(Q902=1,SUMPRODUCT(--($R$8:$R$1207&lt;R902))+1,"")</f>
        <v/>
      </c>
      <c r="T902" s="11">
        <f>IF(K902=1,'ORDENES'!$J898,"")</f>
        <v/>
      </c>
    </row>
    <row r="903">
      <c r="K903" s="3">
        <f>IF(AND(IF($B$3="(todos)",TRUE,'ORDENES'!$O899=$B$3),IF($D$3="(todos)",TRUE,'ORDENES'!$AC899=$D$3),IF($F$3="(todos)",TRUE,'ORDENES'!$V899=$F$3),'ORDENES'!$AA899=TRUE,'ORDENES'!$A899&lt;&gt;""),1,0)</f>
        <v/>
      </c>
      <c r="L903" s="3">
        <f>IF(K903=1,IFERROR(MATCH('ORDENES'!$R899,lista_dias,0),9)*1000000000+IFERROR(MATCH('ORDENES'!$AC899,lista_turnos,0),9)*10000000+IFERROR(MATCH('ORDENES'!$AB899,'TECNICOS'!$B$4:$B$15,0),99)*100000+896,9000000000000+896)</f>
        <v/>
      </c>
      <c r="M903" s="3">
        <f>IF(K903=1,SUMPRODUCT(--($L$8:$L$1207&lt;L903))+1,"")</f>
        <v/>
      </c>
      <c r="N903" s="17">
        <f>IF(K903=1,N('ORDENES'!$M899),0)</f>
        <v/>
      </c>
      <c r="O903" s="17">
        <f>IF('ORDENES'!$S899="preventiva",N903,0)</f>
        <v/>
      </c>
      <c r="P903" s="17">
        <f>IF('ORDENES'!$S899="correctiva",N903,0)</f>
        <v/>
      </c>
      <c r="Q903" s="3">
        <f>IF(AND(K903=1,'ORDENES'!$N899="Pendiente"),1,0)</f>
        <v/>
      </c>
      <c r="R903" s="3">
        <f>IF(Q903=1,100000-N903*1000+896*0.01,9000000000000+896)</f>
        <v/>
      </c>
      <c r="S903" s="3">
        <f>IF(Q903=1,SUMPRODUCT(--($R$8:$R$1207&lt;R903))+1,"")</f>
        <v/>
      </c>
      <c r="T903" s="11">
        <f>IF(K903=1,'ORDENES'!$J899,"")</f>
        <v/>
      </c>
    </row>
    <row r="904">
      <c r="K904" s="3">
        <f>IF(AND(IF($B$3="(todos)",TRUE,'ORDENES'!$O900=$B$3),IF($D$3="(todos)",TRUE,'ORDENES'!$AC900=$D$3),IF($F$3="(todos)",TRUE,'ORDENES'!$V900=$F$3),'ORDENES'!$AA900=TRUE,'ORDENES'!$A900&lt;&gt;""),1,0)</f>
        <v/>
      </c>
      <c r="L904" s="3">
        <f>IF(K904=1,IFERROR(MATCH('ORDENES'!$R900,lista_dias,0),9)*1000000000+IFERROR(MATCH('ORDENES'!$AC900,lista_turnos,0),9)*10000000+IFERROR(MATCH('ORDENES'!$AB900,'TECNICOS'!$B$4:$B$15,0),99)*100000+897,9000000000000+897)</f>
        <v/>
      </c>
      <c r="M904" s="3">
        <f>IF(K904=1,SUMPRODUCT(--($L$8:$L$1207&lt;L904))+1,"")</f>
        <v/>
      </c>
      <c r="N904" s="17">
        <f>IF(K904=1,N('ORDENES'!$M900),0)</f>
        <v/>
      </c>
      <c r="O904" s="17">
        <f>IF('ORDENES'!$S900="preventiva",N904,0)</f>
        <v/>
      </c>
      <c r="P904" s="17">
        <f>IF('ORDENES'!$S900="correctiva",N904,0)</f>
        <v/>
      </c>
      <c r="Q904" s="3">
        <f>IF(AND(K904=1,'ORDENES'!$N900="Pendiente"),1,0)</f>
        <v/>
      </c>
      <c r="R904" s="3">
        <f>IF(Q904=1,100000-N904*1000+897*0.01,9000000000000+897)</f>
        <v/>
      </c>
      <c r="S904" s="3">
        <f>IF(Q904=1,SUMPRODUCT(--($R$8:$R$1207&lt;R904))+1,"")</f>
        <v/>
      </c>
      <c r="T904" s="11">
        <f>IF(K904=1,'ORDENES'!$J900,"")</f>
        <v/>
      </c>
    </row>
    <row r="905">
      <c r="K905" s="3">
        <f>IF(AND(IF($B$3="(todos)",TRUE,'ORDENES'!$O901=$B$3),IF($D$3="(todos)",TRUE,'ORDENES'!$AC901=$D$3),IF($F$3="(todos)",TRUE,'ORDENES'!$V901=$F$3),'ORDENES'!$AA901=TRUE,'ORDENES'!$A901&lt;&gt;""),1,0)</f>
        <v/>
      </c>
      <c r="L905" s="3">
        <f>IF(K905=1,IFERROR(MATCH('ORDENES'!$R901,lista_dias,0),9)*1000000000+IFERROR(MATCH('ORDENES'!$AC901,lista_turnos,0),9)*10000000+IFERROR(MATCH('ORDENES'!$AB901,'TECNICOS'!$B$4:$B$15,0),99)*100000+898,9000000000000+898)</f>
        <v/>
      </c>
      <c r="M905" s="3">
        <f>IF(K905=1,SUMPRODUCT(--($L$8:$L$1207&lt;L905))+1,"")</f>
        <v/>
      </c>
      <c r="N905" s="17">
        <f>IF(K905=1,N('ORDENES'!$M901),0)</f>
        <v/>
      </c>
      <c r="O905" s="17">
        <f>IF('ORDENES'!$S901="preventiva",N905,0)</f>
        <v/>
      </c>
      <c r="P905" s="17">
        <f>IF('ORDENES'!$S901="correctiva",N905,0)</f>
        <v/>
      </c>
      <c r="Q905" s="3">
        <f>IF(AND(K905=1,'ORDENES'!$N901="Pendiente"),1,0)</f>
        <v/>
      </c>
      <c r="R905" s="3">
        <f>IF(Q905=1,100000-N905*1000+898*0.01,9000000000000+898)</f>
        <v/>
      </c>
      <c r="S905" s="3">
        <f>IF(Q905=1,SUMPRODUCT(--($R$8:$R$1207&lt;R905))+1,"")</f>
        <v/>
      </c>
      <c r="T905" s="11">
        <f>IF(K905=1,'ORDENES'!$J901,"")</f>
        <v/>
      </c>
    </row>
    <row r="906">
      <c r="K906" s="3">
        <f>IF(AND(IF($B$3="(todos)",TRUE,'ORDENES'!$O902=$B$3),IF($D$3="(todos)",TRUE,'ORDENES'!$AC902=$D$3),IF($F$3="(todos)",TRUE,'ORDENES'!$V902=$F$3),'ORDENES'!$AA902=TRUE,'ORDENES'!$A902&lt;&gt;""),1,0)</f>
        <v/>
      </c>
      <c r="L906" s="3">
        <f>IF(K906=1,IFERROR(MATCH('ORDENES'!$R902,lista_dias,0),9)*1000000000+IFERROR(MATCH('ORDENES'!$AC902,lista_turnos,0),9)*10000000+IFERROR(MATCH('ORDENES'!$AB902,'TECNICOS'!$B$4:$B$15,0),99)*100000+899,9000000000000+899)</f>
        <v/>
      </c>
      <c r="M906" s="3">
        <f>IF(K906=1,SUMPRODUCT(--($L$8:$L$1207&lt;L906))+1,"")</f>
        <v/>
      </c>
      <c r="N906" s="17">
        <f>IF(K906=1,N('ORDENES'!$M902),0)</f>
        <v/>
      </c>
      <c r="O906" s="17">
        <f>IF('ORDENES'!$S902="preventiva",N906,0)</f>
        <v/>
      </c>
      <c r="P906" s="17">
        <f>IF('ORDENES'!$S902="correctiva",N906,0)</f>
        <v/>
      </c>
      <c r="Q906" s="3">
        <f>IF(AND(K906=1,'ORDENES'!$N902="Pendiente"),1,0)</f>
        <v/>
      </c>
      <c r="R906" s="3">
        <f>IF(Q906=1,100000-N906*1000+899*0.01,9000000000000+899)</f>
        <v/>
      </c>
      <c r="S906" s="3">
        <f>IF(Q906=1,SUMPRODUCT(--($R$8:$R$1207&lt;R906))+1,"")</f>
        <v/>
      </c>
      <c r="T906" s="11">
        <f>IF(K906=1,'ORDENES'!$J902,"")</f>
        <v/>
      </c>
    </row>
    <row r="907">
      <c r="K907" s="3">
        <f>IF(AND(IF($B$3="(todos)",TRUE,'ORDENES'!$O903=$B$3),IF($D$3="(todos)",TRUE,'ORDENES'!$AC903=$D$3),IF($F$3="(todos)",TRUE,'ORDENES'!$V903=$F$3),'ORDENES'!$AA903=TRUE,'ORDENES'!$A903&lt;&gt;""),1,0)</f>
        <v/>
      </c>
      <c r="L907" s="3">
        <f>IF(K907=1,IFERROR(MATCH('ORDENES'!$R903,lista_dias,0),9)*1000000000+IFERROR(MATCH('ORDENES'!$AC903,lista_turnos,0),9)*10000000+IFERROR(MATCH('ORDENES'!$AB903,'TECNICOS'!$B$4:$B$15,0),99)*100000+900,9000000000000+900)</f>
        <v/>
      </c>
      <c r="M907" s="3">
        <f>IF(K907=1,SUMPRODUCT(--($L$8:$L$1207&lt;L907))+1,"")</f>
        <v/>
      </c>
      <c r="N907" s="17">
        <f>IF(K907=1,N('ORDENES'!$M903),0)</f>
        <v/>
      </c>
      <c r="O907" s="17">
        <f>IF('ORDENES'!$S903="preventiva",N907,0)</f>
        <v/>
      </c>
      <c r="P907" s="17">
        <f>IF('ORDENES'!$S903="correctiva",N907,0)</f>
        <v/>
      </c>
      <c r="Q907" s="3">
        <f>IF(AND(K907=1,'ORDENES'!$N903="Pendiente"),1,0)</f>
        <v/>
      </c>
      <c r="R907" s="3">
        <f>IF(Q907=1,100000-N907*1000+900*0.01,9000000000000+900)</f>
        <v/>
      </c>
      <c r="S907" s="3">
        <f>IF(Q907=1,SUMPRODUCT(--($R$8:$R$1207&lt;R907))+1,"")</f>
        <v/>
      </c>
      <c r="T907" s="11">
        <f>IF(K907=1,'ORDENES'!$J903,"")</f>
        <v/>
      </c>
    </row>
    <row r="908">
      <c r="K908" s="3">
        <f>IF(AND(IF($B$3="(todos)",TRUE,'ORDENES'!$O904=$B$3),IF($D$3="(todos)",TRUE,'ORDENES'!$AC904=$D$3),IF($F$3="(todos)",TRUE,'ORDENES'!$V904=$F$3),'ORDENES'!$AA904=TRUE,'ORDENES'!$A904&lt;&gt;""),1,0)</f>
        <v/>
      </c>
      <c r="L908" s="3">
        <f>IF(K908=1,IFERROR(MATCH('ORDENES'!$R904,lista_dias,0),9)*1000000000+IFERROR(MATCH('ORDENES'!$AC904,lista_turnos,0),9)*10000000+IFERROR(MATCH('ORDENES'!$AB904,'TECNICOS'!$B$4:$B$15,0),99)*100000+901,9000000000000+901)</f>
        <v/>
      </c>
      <c r="M908" s="3">
        <f>IF(K908=1,SUMPRODUCT(--($L$8:$L$1207&lt;L908))+1,"")</f>
        <v/>
      </c>
      <c r="N908" s="17">
        <f>IF(K908=1,N('ORDENES'!$M904),0)</f>
        <v/>
      </c>
      <c r="O908" s="17">
        <f>IF('ORDENES'!$S904="preventiva",N908,0)</f>
        <v/>
      </c>
      <c r="P908" s="17">
        <f>IF('ORDENES'!$S904="correctiva",N908,0)</f>
        <v/>
      </c>
      <c r="Q908" s="3">
        <f>IF(AND(K908=1,'ORDENES'!$N904="Pendiente"),1,0)</f>
        <v/>
      </c>
      <c r="R908" s="3">
        <f>IF(Q908=1,100000-N908*1000+901*0.01,9000000000000+901)</f>
        <v/>
      </c>
      <c r="S908" s="3">
        <f>IF(Q908=1,SUMPRODUCT(--($R$8:$R$1207&lt;R908))+1,"")</f>
        <v/>
      </c>
      <c r="T908" s="11">
        <f>IF(K908=1,'ORDENES'!$J904,"")</f>
        <v/>
      </c>
    </row>
    <row r="909">
      <c r="K909" s="3">
        <f>IF(AND(IF($B$3="(todos)",TRUE,'ORDENES'!$O905=$B$3),IF($D$3="(todos)",TRUE,'ORDENES'!$AC905=$D$3),IF($F$3="(todos)",TRUE,'ORDENES'!$V905=$F$3),'ORDENES'!$AA905=TRUE,'ORDENES'!$A905&lt;&gt;""),1,0)</f>
        <v/>
      </c>
      <c r="L909" s="3">
        <f>IF(K909=1,IFERROR(MATCH('ORDENES'!$R905,lista_dias,0),9)*1000000000+IFERROR(MATCH('ORDENES'!$AC905,lista_turnos,0),9)*10000000+IFERROR(MATCH('ORDENES'!$AB905,'TECNICOS'!$B$4:$B$15,0),99)*100000+902,9000000000000+902)</f>
        <v/>
      </c>
      <c r="M909" s="3">
        <f>IF(K909=1,SUMPRODUCT(--($L$8:$L$1207&lt;L909))+1,"")</f>
        <v/>
      </c>
      <c r="N909" s="17">
        <f>IF(K909=1,N('ORDENES'!$M905),0)</f>
        <v/>
      </c>
      <c r="O909" s="17">
        <f>IF('ORDENES'!$S905="preventiva",N909,0)</f>
        <v/>
      </c>
      <c r="P909" s="17">
        <f>IF('ORDENES'!$S905="correctiva",N909,0)</f>
        <v/>
      </c>
      <c r="Q909" s="3">
        <f>IF(AND(K909=1,'ORDENES'!$N905="Pendiente"),1,0)</f>
        <v/>
      </c>
      <c r="R909" s="3">
        <f>IF(Q909=1,100000-N909*1000+902*0.01,9000000000000+902)</f>
        <v/>
      </c>
      <c r="S909" s="3">
        <f>IF(Q909=1,SUMPRODUCT(--($R$8:$R$1207&lt;R909))+1,"")</f>
        <v/>
      </c>
      <c r="T909" s="11">
        <f>IF(K909=1,'ORDENES'!$J905,"")</f>
        <v/>
      </c>
    </row>
    <row r="910">
      <c r="K910" s="3">
        <f>IF(AND(IF($B$3="(todos)",TRUE,'ORDENES'!$O906=$B$3),IF($D$3="(todos)",TRUE,'ORDENES'!$AC906=$D$3),IF($F$3="(todos)",TRUE,'ORDENES'!$V906=$F$3),'ORDENES'!$AA906=TRUE,'ORDENES'!$A906&lt;&gt;""),1,0)</f>
        <v/>
      </c>
      <c r="L910" s="3">
        <f>IF(K910=1,IFERROR(MATCH('ORDENES'!$R906,lista_dias,0),9)*1000000000+IFERROR(MATCH('ORDENES'!$AC906,lista_turnos,0),9)*10000000+IFERROR(MATCH('ORDENES'!$AB906,'TECNICOS'!$B$4:$B$15,0),99)*100000+903,9000000000000+903)</f>
        <v/>
      </c>
      <c r="M910" s="3">
        <f>IF(K910=1,SUMPRODUCT(--($L$8:$L$1207&lt;L910))+1,"")</f>
        <v/>
      </c>
      <c r="N910" s="17">
        <f>IF(K910=1,N('ORDENES'!$M906),0)</f>
        <v/>
      </c>
      <c r="O910" s="17">
        <f>IF('ORDENES'!$S906="preventiva",N910,0)</f>
        <v/>
      </c>
      <c r="P910" s="17">
        <f>IF('ORDENES'!$S906="correctiva",N910,0)</f>
        <v/>
      </c>
      <c r="Q910" s="3">
        <f>IF(AND(K910=1,'ORDENES'!$N906="Pendiente"),1,0)</f>
        <v/>
      </c>
      <c r="R910" s="3">
        <f>IF(Q910=1,100000-N910*1000+903*0.01,9000000000000+903)</f>
        <v/>
      </c>
      <c r="S910" s="3">
        <f>IF(Q910=1,SUMPRODUCT(--($R$8:$R$1207&lt;R910))+1,"")</f>
        <v/>
      </c>
      <c r="T910" s="11">
        <f>IF(K910=1,'ORDENES'!$J906,"")</f>
        <v/>
      </c>
    </row>
    <row r="911">
      <c r="K911" s="3">
        <f>IF(AND(IF($B$3="(todos)",TRUE,'ORDENES'!$O907=$B$3),IF($D$3="(todos)",TRUE,'ORDENES'!$AC907=$D$3),IF($F$3="(todos)",TRUE,'ORDENES'!$V907=$F$3),'ORDENES'!$AA907=TRUE,'ORDENES'!$A907&lt;&gt;""),1,0)</f>
        <v/>
      </c>
      <c r="L911" s="3">
        <f>IF(K911=1,IFERROR(MATCH('ORDENES'!$R907,lista_dias,0),9)*1000000000+IFERROR(MATCH('ORDENES'!$AC907,lista_turnos,0),9)*10000000+IFERROR(MATCH('ORDENES'!$AB907,'TECNICOS'!$B$4:$B$15,0),99)*100000+904,9000000000000+904)</f>
        <v/>
      </c>
      <c r="M911" s="3">
        <f>IF(K911=1,SUMPRODUCT(--($L$8:$L$1207&lt;L911))+1,"")</f>
        <v/>
      </c>
      <c r="N911" s="17">
        <f>IF(K911=1,N('ORDENES'!$M907),0)</f>
        <v/>
      </c>
      <c r="O911" s="17">
        <f>IF('ORDENES'!$S907="preventiva",N911,0)</f>
        <v/>
      </c>
      <c r="P911" s="17">
        <f>IF('ORDENES'!$S907="correctiva",N911,0)</f>
        <v/>
      </c>
      <c r="Q911" s="3">
        <f>IF(AND(K911=1,'ORDENES'!$N907="Pendiente"),1,0)</f>
        <v/>
      </c>
      <c r="R911" s="3">
        <f>IF(Q911=1,100000-N911*1000+904*0.01,9000000000000+904)</f>
        <v/>
      </c>
      <c r="S911" s="3">
        <f>IF(Q911=1,SUMPRODUCT(--($R$8:$R$1207&lt;R911))+1,"")</f>
        <v/>
      </c>
      <c r="T911" s="11">
        <f>IF(K911=1,'ORDENES'!$J907,"")</f>
        <v/>
      </c>
    </row>
    <row r="912">
      <c r="K912" s="3">
        <f>IF(AND(IF($B$3="(todos)",TRUE,'ORDENES'!$O908=$B$3),IF($D$3="(todos)",TRUE,'ORDENES'!$AC908=$D$3),IF($F$3="(todos)",TRUE,'ORDENES'!$V908=$F$3),'ORDENES'!$AA908=TRUE,'ORDENES'!$A908&lt;&gt;""),1,0)</f>
        <v/>
      </c>
      <c r="L912" s="3">
        <f>IF(K912=1,IFERROR(MATCH('ORDENES'!$R908,lista_dias,0),9)*1000000000+IFERROR(MATCH('ORDENES'!$AC908,lista_turnos,0),9)*10000000+IFERROR(MATCH('ORDENES'!$AB908,'TECNICOS'!$B$4:$B$15,0),99)*100000+905,9000000000000+905)</f>
        <v/>
      </c>
      <c r="M912" s="3">
        <f>IF(K912=1,SUMPRODUCT(--($L$8:$L$1207&lt;L912))+1,"")</f>
        <v/>
      </c>
      <c r="N912" s="17">
        <f>IF(K912=1,N('ORDENES'!$M908),0)</f>
        <v/>
      </c>
      <c r="O912" s="17">
        <f>IF('ORDENES'!$S908="preventiva",N912,0)</f>
        <v/>
      </c>
      <c r="P912" s="17">
        <f>IF('ORDENES'!$S908="correctiva",N912,0)</f>
        <v/>
      </c>
      <c r="Q912" s="3">
        <f>IF(AND(K912=1,'ORDENES'!$N908="Pendiente"),1,0)</f>
        <v/>
      </c>
      <c r="R912" s="3">
        <f>IF(Q912=1,100000-N912*1000+905*0.01,9000000000000+905)</f>
        <v/>
      </c>
      <c r="S912" s="3">
        <f>IF(Q912=1,SUMPRODUCT(--($R$8:$R$1207&lt;R912))+1,"")</f>
        <v/>
      </c>
      <c r="T912" s="11">
        <f>IF(K912=1,'ORDENES'!$J908,"")</f>
        <v/>
      </c>
    </row>
    <row r="913">
      <c r="K913" s="3">
        <f>IF(AND(IF($B$3="(todos)",TRUE,'ORDENES'!$O909=$B$3),IF($D$3="(todos)",TRUE,'ORDENES'!$AC909=$D$3),IF($F$3="(todos)",TRUE,'ORDENES'!$V909=$F$3),'ORDENES'!$AA909=TRUE,'ORDENES'!$A909&lt;&gt;""),1,0)</f>
        <v/>
      </c>
      <c r="L913" s="3">
        <f>IF(K913=1,IFERROR(MATCH('ORDENES'!$R909,lista_dias,0),9)*1000000000+IFERROR(MATCH('ORDENES'!$AC909,lista_turnos,0),9)*10000000+IFERROR(MATCH('ORDENES'!$AB909,'TECNICOS'!$B$4:$B$15,0),99)*100000+906,9000000000000+906)</f>
        <v/>
      </c>
      <c r="M913" s="3">
        <f>IF(K913=1,SUMPRODUCT(--($L$8:$L$1207&lt;L913))+1,"")</f>
        <v/>
      </c>
      <c r="N913" s="17">
        <f>IF(K913=1,N('ORDENES'!$M909),0)</f>
        <v/>
      </c>
      <c r="O913" s="17">
        <f>IF('ORDENES'!$S909="preventiva",N913,0)</f>
        <v/>
      </c>
      <c r="P913" s="17">
        <f>IF('ORDENES'!$S909="correctiva",N913,0)</f>
        <v/>
      </c>
      <c r="Q913" s="3">
        <f>IF(AND(K913=1,'ORDENES'!$N909="Pendiente"),1,0)</f>
        <v/>
      </c>
      <c r="R913" s="3">
        <f>IF(Q913=1,100000-N913*1000+906*0.01,9000000000000+906)</f>
        <v/>
      </c>
      <c r="S913" s="3">
        <f>IF(Q913=1,SUMPRODUCT(--($R$8:$R$1207&lt;R913))+1,"")</f>
        <v/>
      </c>
      <c r="T913" s="11">
        <f>IF(K913=1,'ORDENES'!$J909,"")</f>
        <v/>
      </c>
    </row>
    <row r="914">
      <c r="K914" s="3">
        <f>IF(AND(IF($B$3="(todos)",TRUE,'ORDENES'!$O910=$B$3),IF($D$3="(todos)",TRUE,'ORDENES'!$AC910=$D$3),IF($F$3="(todos)",TRUE,'ORDENES'!$V910=$F$3),'ORDENES'!$AA910=TRUE,'ORDENES'!$A910&lt;&gt;""),1,0)</f>
        <v/>
      </c>
      <c r="L914" s="3">
        <f>IF(K914=1,IFERROR(MATCH('ORDENES'!$R910,lista_dias,0),9)*1000000000+IFERROR(MATCH('ORDENES'!$AC910,lista_turnos,0),9)*10000000+IFERROR(MATCH('ORDENES'!$AB910,'TECNICOS'!$B$4:$B$15,0),99)*100000+907,9000000000000+907)</f>
        <v/>
      </c>
      <c r="M914" s="3">
        <f>IF(K914=1,SUMPRODUCT(--($L$8:$L$1207&lt;L914))+1,"")</f>
        <v/>
      </c>
      <c r="N914" s="17">
        <f>IF(K914=1,N('ORDENES'!$M910),0)</f>
        <v/>
      </c>
      <c r="O914" s="17">
        <f>IF('ORDENES'!$S910="preventiva",N914,0)</f>
        <v/>
      </c>
      <c r="P914" s="17">
        <f>IF('ORDENES'!$S910="correctiva",N914,0)</f>
        <v/>
      </c>
      <c r="Q914" s="3">
        <f>IF(AND(K914=1,'ORDENES'!$N910="Pendiente"),1,0)</f>
        <v/>
      </c>
      <c r="R914" s="3">
        <f>IF(Q914=1,100000-N914*1000+907*0.01,9000000000000+907)</f>
        <v/>
      </c>
      <c r="S914" s="3">
        <f>IF(Q914=1,SUMPRODUCT(--($R$8:$R$1207&lt;R914))+1,"")</f>
        <v/>
      </c>
      <c r="T914" s="11">
        <f>IF(K914=1,'ORDENES'!$J910,"")</f>
        <v/>
      </c>
    </row>
    <row r="915">
      <c r="K915" s="3">
        <f>IF(AND(IF($B$3="(todos)",TRUE,'ORDENES'!$O911=$B$3),IF($D$3="(todos)",TRUE,'ORDENES'!$AC911=$D$3),IF($F$3="(todos)",TRUE,'ORDENES'!$V911=$F$3),'ORDENES'!$AA911=TRUE,'ORDENES'!$A911&lt;&gt;""),1,0)</f>
        <v/>
      </c>
      <c r="L915" s="3">
        <f>IF(K915=1,IFERROR(MATCH('ORDENES'!$R911,lista_dias,0),9)*1000000000+IFERROR(MATCH('ORDENES'!$AC911,lista_turnos,0),9)*10000000+IFERROR(MATCH('ORDENES'!$AB911,'TECNICOS'!$B$4:$B$15,0),99)*100000+908,9000000000000+908)</f>
        <v/>
      </c>
      <c r="M915" s="3">
        <f>IF(K915=1,SUMPRODUCT(--($L$8:$L$1207&lt;L915))+1,"")</f>
        <v/>
      </c>
      <c r="N915" s="17">
        <f>IF(K915=1,N('ORDENES'!$M911),0)</f>
        <v/>
      </c>
      <c r="O915" s="17">
        <f>IF('ORDENES'!$S911="preventiva",N915,0)</f>
        <v/>
      </c>
      <c r="P915" s="17">
        <f>IF('ORDENES'!$S911="correctiva",N915,0)</f>
        <v/>
      </c>
      <c r="Q915" s="3">
        <f>IF(AND(K915=1,'ORDENES'!$N911="Pendiente"),1,0)</f>
        <v/>
      </c>
      <c r="R915" s="3">
        <f>IF(Q915=1,100000-N915*1000+908*0.01,9000000000000+908)</f>
        <v/>
      </c>
      <c r="S915" s="3">
        <f>IF(Q915=1,SUMPRODUCT(--($R$8:$R$1207&lt;R915))+1,"")</f>
        <v/>
      </c>
      <c r="T915" s="11">
        <f>IF(K915=1,'ORDENES'!$J911,"")</f>
        <v/>
      </c>
    </row>
    <row r="916">
      <c r="K916" s="3">
        <f>IF(AND(IF($B$3="(todos)",TRUE,'ORDENES'!$O912=$B$3),IF($D$3="(todos)",TRUE,'ORDENES'!$AC912=$D$3),IF($F$3="(todos)",TRUE,'ORDENES'!$V912=$F$3),'ORDENES'!$AA912=TRUE,'ORDENES'!$A912&lt;&gt;""),1,0)</f>
        <v/>
      </c>
      <c r="L916" s="3">
        <f>IF(K916=1,IFERROR(MATCH('ORDENES'!$R912,lista_dias,0),9)*1000000000+IFERROR(MATCH('ORDENES'!$AC912,lista_turnos,0),9)*10000000+IFERROR(MATCH('ORDENES'!$AB912,'TECNICOS'!$B$4:$B$15,0),99)*100000+909,9000000000000+909)</f>
        <v/>
      </c>
      <c r="M916" s="3">
        <f>IF(K916=1,SUMPRODUCT(--($L$8:$L$1207&lt;L916))+1,"")</f>
        <v/>
      </c>
      <c r="N916" s="17">
        <f>IF(K916=1,N('ORDENES'!$M912),0)</f>
        <v/>
      </c>
      <c r="O916" s="17">
        <f>IF('ORDENES'!$S912="preventiva",N916,0)</f>
        <v/>
      </c>
      <c r="P916" s="17">
        <f>IF('ORDENES'!$S912="correctiva",N916,0)</f>
        <v/>
      </c>
      <c r="Q916" s="3">
        <f>IF(AND(K916=1,'ORDENES'!$N912="Pendiente"),1,0)</f>
        <v/>
      </c>
      <c r="R916" s="3">
        <f>IF(Q916=1,100000-N916*1000+909*0.01,9000000000000+909)</f>
        <v/>
      </c>
      <c r="S916" s="3">
        <f>IF(Q916=1,SUMPRODUCT(--($R$8:$R$1207&lt;R916))+1,"")</f>
        <v/>
      </c>
      <c r="T916" s="11">
        <f>IF(K916=1,'ORDENES'!$J912,"")</f>
        <v/>
      </c>
    </row>
    <row r="917">
      <c r="K917" s="3">
        <f>IF(AND(IF($B$3="(todos)",TRUE,'ORDENES'!$O913=$B$3),IF($D$3="(todos)",TRUE,'ORDENES'!$AC913=$D$3),IF($F$3="(todos)",TRUE,'ORDENES'!$V913=$F$3),'ORDENES'!$AA913=TRUE,'ORDENES'!$A913&lt;&gt;""),1,0)</f>
        <v/>
      </c>
      <c r="L917" s="3">
        <f>IF(K917=1,IFERROR(MATCH('ORDENES'!$R913,lista_dias,0),9)*1000000000+IFERROR(MATCH('ORDENES'!$AC913,lista_turnos,0),9)*10000000+IFERROR(MATCH('ORDENES'!$AB913,'TECNICOS'!$B$4:$B$15,0),99)*100000+910,9000000000000+910)</f>
        <v/>
      </c>
      <c r="M917" s="3">
        <f>IF(K917=1,SUMPRODUCT(--($L$8:$L$1207&lt;L917))+1,"")</f>
        <v/>
      </c>
      <c r="N917" s="17">
        <f>IF(K917=1,N('ORDENES'!$M913),0)</f>
        <v/>
      </c>
      <c r="O917" s="17">
        <f>IF('ORDENES'!$S913="preventiva",N917,0)</f>
        <v/>
      </c>
      <c r="P917" s="17">
        <f>IF('ORDENES'!$S913="correctiva",N917,0)</f>
        <v/>
      </c>
      <c r="Q917" s="3">
        <f>IF(AND(K917=1,'ORDENES'!$N913="Pendiente"),1,0)</f>
        <v/>
      </c>
      <c r="R917" s="3">
        <f>IF(Q917=1,100000-N917*1000+910*0.01,9000000000000+910)</f>
        <v/>
      </c>
      <c r="S917" s="3">
        <f>IF(Q917=1,SUMPRODUCT(--($R$8:$R$1207&lt;R917))+1,"")</f>
        <v/>
      </c>
      <c r="T917" s="11">
        <f>IF(K917=1,'ORDENES'!$J913,"")</f>
        <v/>
      </c>
    </row>
    <row r="918">
      <c r="K918" s="3">
        <f>IF(AND(IF($B$3="(todos)",TRUE,'ORDENES'!$O914=$B$3),IF($D$3="(todos)",TRUE,'ORDENES'!$AC914=$D$3),IF($F$3="(todos)",TRUE,'ORDENES'!$V914=$F$3),'ORDENES'!$AA914=TRUE,'ORDENES'!$A914&lt;&gt;""),1,0)</f>
        <v/>
      </c>
      <c r="L918" s="3">
        <f>IF(K918=1,IFERROR(MATCH('ORDENES'!$R914,lista_dias,0),9)*1000000000+IFERROR(MATCH('ORDENES'!$AC914,lista_turnos,0),9)*10000000+IFERROR(MATCH('ORDENES'!$AB914,'TECNICOS'!$B$4:$B$15,0),99)*100000+911,9000000000000+911)</f>
        <v/>
      </c>
      <c r="M918" s="3">
        <f>IF(K918=1,SUMPRODUCT(--($L$8:$L$1207&lt;L918))+1,"")</f>
        <v/>
      </c>
      <c r="N918" s="17">
        <f>IF(K918=1,N('ORDENES'!$M914),0)</f>
        <v/>
      </c>
      <c r="O918" s="17">
        <f>IF('ORDENES'!$S914="preventiva",N918,0)</f>
        <v/>
      </c>
      <c r="P918" s="17">
        <f>IF('ORDENES'!$S914="correctiva",N918,0)</f>
        <v/>
      </c>
      <c r="Q918" s="3">
        <f>IF(AND(K918=1,'ORDENES'!$N914="Pendiente"),1,0)</f>
        <v/>
      </c>
      <c r="R918" s="3">
        <f>IF(Q918=1,100000-N918*1000+911*0.01,9000000000000+911)</f>
        <v/>
      </c>
      <c r="S918" s="3">
        <f>IF(Q918=1,SUMPRODUCT(--($R$8:$R$1207&lt;R918))+1,"")</f>
        <v/>
      </c>
      <c r="T918" s="11">
        <f>IF(K918=1,'ORDENES'!$J914,"")</f>
        <v/>
      </c>
    </row>
    <row r="919">
      <c r="K919" s="3">
        <f>IF(AND(IF($B$3="(todos)",TRUE,'ORDENES'!$O915=$B$3),IF($D$3="(todos)",TRUE,'ORDENES'!$AC915=$D$3),IF($F$3="(todos)",TRUE,'ORDENES'!$V915=$F$3),'ORDENES'!$AA915=TRUE,'ORDENES'!$A915&lt;&gt;""),1,0)</f>
        <v/>
      </c>
      <c r="L919" s="3">
        <f>IF(K919=1,IFERROR(MATCH('ORDENES'!$R915,lista_dias,0),9)*1000000000+IFERROR(MATCH('ORDENES'!$AC915,lista_turnos,0),9)*10000000+IFERROR(MATCH('ORDENES'!$AB915,'TECNICOS'!$B$4:$B$15,0),99)*100000+912,9000000000000+912)</f>
        <v/>
      </c>
      <c r="M919" s="3">
        <f>IF(K919=1,SUMPRODUCT(--($L$8:$L$1207&lt;L919))+1,"")</f>
        <v/>
      </c>
      <c r="N919" s="17">
        <f>IF(K919=1,N('ORDENES'!$M915),0)</f>
        <v/>
      </c>
      <c r="O919" s="17">
        <f>IF('ORDENES'!$S915="preventiva",N919,0)</f>
        <v/>
      </c>
      <c r="P919" s="17">
        <f>IF('ORDENES'!$S915="correctiva",N919,0)</f>
        <v/>
      </c>
      <c r="Q919" s="3">
        <f>IF(AND(K919=1,'ORDENES'!$N915="Pendiente"),1,0)</f>
        <v/>
      </c>
      <c r="R919" s="3">
        <f>IF(Q919=1,100000-N919*1000+912*0.01,9000000000000+912)</f>
        <v/>
      </c>
      <c r="S919" s="3">
        <f>IF(Q919=1,SUMPRODUCT(--($R$8:$R$1207&lt;R919))+1,"")</f>
        <v/>
      </c>
      <c r="T919" s="11">
        <f>IF(K919=1,'ORDENES'!$J915,"")</f>
        <v/>
      </c>
    </row>
    <row r="920">
      <c r="K920" s="3">
        <f>IF(AND(IF($B$3="(todos)",TRUE,'ORDENES'!$O916=$B$3),IF($D$3="(todos)",TRUE,'ORDENES'!$AC916=$D$3),IF($F$3="(todos)",TRUE,'ORDENES'!$V916=$F$3),'ORDENES'!$AA916=TRUE,'ORDENES'!$A916&lt;&gt;""),1,0)</f>
        <v/>
      </c>
      <c r="L920" s="3">
        <f>IF(K920=1,IFERROR(MATCH('ORDENES'!$R916,lista_dias,0),9)*1000000000+IFERROR(MATCH('ORDENES'!$AC916,lista_turnos,0),9)*10000000+IFERROR(MATCH('ORDENES'!$AB916,'TECNICOS'!$B$4:$B$15,0),99)*100000+913,9000000000000+913)</f>
        <v/>
      </c>
      <c r="M920" s="3">
        <f>IF(K920=1,SUMPRODUCT(--($L$8:$L$1207&lt;L920))+1,"")</f>
        <v/>
      </c>
      <c r="N920" s="17">
        <f>IF(K920=1,N('ORDENES'!$M916),0)</f>
        <v/>
      </c>
      <c r="O920" s="17">
        <f>IF('ORDENES'!$S916="preventiva",N920,0)</f>
        <v/>
      </c>
      <c r="P920" s="17">
        <f>IF('ORDENES'!$S916="correctiva",N920,0)</f>
        <v/>
      </c>
      <c r="Q920" s="3">
        <f>IF(AND(K920=1,'ORDENES'!$N916="Pendiente"),1,0)</f>
        <v/>
      </c>
      <c r="R920" s="3">
        <f>IF(Q920=1,100000-N920*1000+913*0.01,9000000000000+913)</f>
        <v/>
      </c>
      <c r="S920" s="3">
        <f>IF(Q920=1,SUMPRODUCT(--($R$8:$R$1207&lt;R920))+1,"")</f>
        <v/>
      </c>
      <c r="T920" s="11">
        <f>IF(K920=1,'ORDENES'!$J916,"")</f>
        <v/>
      </c>
    </row>
    <row r="921">
      <c r="K921" s="3">
        <f>IF(AND(IF($B$3="(todos)",TRUE,'ORDENES'!$O917=$B$3),IF($D$3="(todos)",TRUE,'ORDENES'!$AC917=$D$3),IF($F$3="(todos)",TRUE,'ORDENES'!$V917=$F$3),'ORDENES'!$AA917=TRUE,'ORDENES'!$A917&lt;&gt;""),1,0)</f>
        <v/>
      </c>
      <c r="L921" s="3">
        <f>IF(K921=1,IFERROR(MATCH('ORDENES'!$R917,lista_dias,0),9)*1000000000+IFERROR(MATCH('ORDENES'!$AC917,lista_turnos,0),9)*10000000+IFERROR(MATCH('ORDENES'!$AB917,'TECNICOS'!$B$4:$B$15,0),99)*100000+914,9000000000000+914)</f>
        <v/>
      </c>
      <c r="M921" s="3">
        <f>IF(K921=1,SUMPRODUCT(--($L$8:$L$1207&lt;L921))+1,"")</f>
        <v/>
      </c>
      <c r="N921" s="17">
        <f>IF(K921=1,N('ORDENES'!$M917),0)</f>
        <v/>
      </c>
      <c r="O921" s="17">
        <f>IF('ORDENES'!$S917="preventiva",N921,0)</f>
        <v/>
      </c>
      <c r="P921" s="17">
        <f>IF('ORDENES'!$S917="correctiva",N921,0)</f>
        <v/>
      </c>
      <c r="Q921" s="3">
        <f>IF(AND(K921=1,'ORDENES'!$N917="Pendiente"),1,0)</f>
        <v/>
      </c>
      <c r="R921" s="3">
        <f>IF(Q921=1,100000-N921*1000+914*0.01,9000000000000+914)</f>
        <v/>
      </c>
      <c r="S921" s="3">
        <f>IF(Q921=1,SUMPRODUCT(--($R$8:$R$1207&lt;R921))+1,"")</f>
        <v/>
      </c>
      <c r="T921" s="11">
        <f>IF(K921=1,'ORDENES'!$J917,"")</f>
        <v/>
      </c>
    </row>
    <row r="922">
      <c r="K922" s="3">
        <f>IF(AND(IF($B$3="(todos)",TRUE,'ORDENES'!$O918=$B$3),IF($D$3="(todos)",TRUE,'ORDENES'!$AC918=$D$3),IF($F$3="(todos)",TRUE,'ORDENES'!$V918=$F$3),'ORDENES'!$AA918=TRUE,'ORDENES'!$A918&lt;&gt;""),1,0)</f>
        <v/>
      </c>
      <c r="L922" s="3">
        <f>IF(K922=1,IFERROR(MATCH('ORDENES'!$R918,lista_dias,0),9)*1000000000+IFERROR(MATCH('ORDENES'!$AC918,lista_turnos,0),9)*10000000+IFERROR(MATCH('ORDENES'!$AB918,'TECNICOS'!$B$4:$B$15,0),99)*100000+915,9000000000000+915)</f>
        <v/>
      </c>
      <c r="M922" s="3">
        <f>IF(K922=1,SUMPRODUCT(--($L$8:$L$1207&lt;L922))+1,"")</f>
        <v/>
      </c>
      <c r="N922" s="17">
        <f>IF(K922=1,N('ORDENES'!$M918),0)</f>
        <v/>
      </c>
      <c r="O922" s="17">
        <f>IF('ORDENES'!$S918="preventiva",N922,0)</f>
        <v/>
      </c>
      <c r="P922" s="17">
        <f>IF('ORDENES'!$S918="correctiva",N922,0)</f>
        <v/>
      </c>
      <c r="Q922" s="3">
        <f>IF(AND(K922=1,'ORDENES'!$N918="Pendiente"),1,0)</f>
        <v/>
      </c>
      <c r="R922" s="3">
        <f>IF(Q922=1,100000-N922*1000+915*0.01,9000000000000+915)</f>
        <v/>
      </c>
      <c r="S922" s="3">
        <f>IF(Q922=1,SUMPRODUCT(--($R$8:$R$1207&lt;R922))+1,"")</f>
        <v/>
      </c>
      <c r="T922" s="11">
        <f>IF(K922=1,'ORDENES'!$J918,"")</f>
        <v/>
      </c>
    </row>
    <row r="923">
      <c r="K923" s="3">
        <f>IF(AND(IF($B$3="(todos)",TRUE,'ORDENES'!$O919=$B$3),IF($D$3="(todos)",TRUE,'ORDENES'!$AC919=$D$3),IF($F$3="(todos)",TRUE,'ORDENES'!$V919=$F$3),'ORDENES'!$AA919=TRUE,'ORDENES'!$A919&lt;&gt;""),1,0)</f>
        <v/>
      </c>
      <c r="L923" s="3">
        <f>IF(K923=1,IFERROR(MATCH('ORDENES'!$R919,lista_dias,0),9)*1000000000+IFERROR(MATCH('ORDENES'!$AC919,lista_turnos,0),9)*10000000+IFERROR(MATCH('ORDENES'!$AB919,'TECNICOS'!$B$4:$B$15,0),99)*100000+916,9000000000000+916)</f>
        <v/>
      </c>
      <c r="M923" s="3">
        <f>IF(K923=1,SUMPRODUCT(--($L$8:$L$1207&lt;L923))+1,"")</f>
        <v/>
      </c>
      <c r="N923" s="17">
        <f>IF(K923=1,N('ORDENES'!$M919),0)</f>
        <v/>
      </c>
      <c r="O923" s="17">
        <f>IF('ORDENES'!$S919="preventiva",N923,0)</f>
        <v/>
      </c>
      <c r="P923" s="17">
        <f>IF('ORDENES'!$S919="correctiva",N923,0)</f>
        <v/>
      </c>
      <c r="Q923" s="3">
        <f>IF(AND(K923=1,'ORDENES'!$N919="Pendiente"),1,0)</f>
        <v/>
      </c>
      <c r="R923" s="3">
        <f>IF(Q923=1,100000-N923*1000+916*0.01,9000000000000+916)</f>
        <v/>
      </c>
      <c r="S923" s="3">
        <f>IF(Q923=1,SUMPRODUCT(--($R$8:$R$1207&lt;R923))+1,"")</f>
        <v/>
      </c>
      <c r="T923" s="11">
        <f>IF(K923=1,'ORDENES'!$J919,"")</f>
        <v/>
      </c>
    </row>
    <row r="924">
      <c r="K924" s="3">
        <f>IF(AND(IF($B$3="(todos)",TRUE,'ORDENES'!$O920=$B$3),IF($D$3="(todos)",TRUE,'ORDENES'!$AC920=$D$3),IF($F$3="(todos)",TRUE,'ORDENES'!$V920=$F$3),'ORDENES'!$AA920=TRUE,'ORDENES'!$A920&lt;&gt;""),1,0)</f>
        <v/>
      </c>
      <c r="L924" s="3">
        <f>IF(K924=1,IFERROR(MATCH('ORDENES'!$R920,lista_dias,0),9)*1000000000+IFERROR(MATCH('ORDENES'!$AC920,lista_turnos,0),9)*10000000+IFERROR(MATCH('ORDENES'!$AB920,'TECNICOS'!$B$4:$B$15,0),99)*100000+917,9000000000000+917)</f>
        <v/>
      </c>
      <c r="M924" s="3">
        <f>IF(K924=1,SUMPRODUCT(--($L$8:$L$1207&lt;L924))+1,"")</f>
        <v/>
      </c>
      <c r="N924" s="17">
        <f>IF(K924=1,N('ORDENES'!$M920),0)</f>
        <v/>
      </c>
      <c r="O924" s="17">
        <f>IF('ORDENES'!$S920="preventiva",N924,0)</f>
        <v/>
      </c>
      <c r="P924" s="17">
        <f>IF('ORDENES'!$S920="correctiva",N924,0)</f>
        <v/>
      </c>
      <c r="Q924" s="3">
        <f>IF(AND(K924=1,'ORDENES'!$N920="Pendiente"),1,0)</f>
        <v/>
      </c>
      <c r="R924" s="3">
        <f>IF(Q924=1,100000-N924*1000+917*0.01,9000000000000+917)</f>
        <v/>
      </c>
      <c r="S924" s="3">
        <f>IF(Q924=1,SUMPRODUCT(--($R$8:$R$1207&lt;R924))+1,"")</f>
        <v/>
      </c>
      <c r="T924" s="11">
        <f>IF(K924=1,'ORDENES'!$J920,"")</f>
        <v/>
      </c>
    </row>
    <row r="925">
      <c r="K925" s="3">
        <f>IF(AND(IF($B$3="(todos)",TRUE,'ORDENES'!$O921=$B$3),IF($D$3="(todos)",TRUE,'ORDENES'!$AC921=$D$3),IF($F$3="(todos)",TRUE,'ORDENES'!$V921=$F$3),'ORDENES'!$AA921=TRUE,'ORDENES'!$A921&lt;&gt;""),1,0)</f>
        <v/>
      </c>
      <c r="L925" s="3">
        <f>IF(K925=1,IFERROR(MATCH('ORDENES'!$R921,lista_dias,0),9)*1000000000+IFERROR(MATCH('ORDENES'!$AC921,lista_turnos,0),9)*10000000+IFERROR(MATCH('ORDENES'!$AB921,'TECNICOS'!$B$4:$B$15,0),99)*100000+918,9000000000000+918)</f>
        <v/>
      </c>
      <c r="M925" s="3">
        <f>IF(K925=1,SUMPRODUCT(--($L$8:$L$1207&lt;L925))+1,"")</f>
        <v/>
      </c>
      <c r="N925" s="17">
        <f>IF(K925=1,N('ORDENES'!$M921),0)</f>
        <v/>
      </c>
      <c r="O925" s="17">
        <f>IF('ORDENES'!$S921="preventiva",N925,0)</f>
        <v/>
      </c>
      <c r="P925" s="17">
        <f>IF('ORDENES'!$S921="correctiva",N925,0)</f>
        <v/>
      </c>
      <c r="Q925" s="3">
        <f>IF(AND(K925=1,'ORDENES'!$N921="Pendiente"),1,0)</f>
        <v/>
      </c>
      <c r="R925" s="3">
        <f>IF(Q925=1,100000-N925*1000+918*0.01,9000000000000+918)</f>
        <v/>
      </c>
      <c r="S925" s="3">
        <f>IF(Q925=1,SUMPRODUCT(--($R$8:$R$1207&lt;R925))+1,"")</f>
        <v/>
      </c>
      <c r="T925" s="11">
        <f>IF(K925=1,'ORDENES'!$J921,"")</f>
        <v/>
      </c>
    </row>
    <row r="926">
      <c r="K926" s="3">
        <f>IF(AND(IF($B$3="(todos)",TRUE,'ORDENES'!$O922=$B$3),IF($D$3="(todos)",TRUE,'ORDENES'!$AC922=$D$3),IF($F$3="(todos)",TRUE,'ORDENES'!$V922=$F$3),'ORDENES'!$AA922=TRUE,'ORDENES'!$A922&lt;&gt;""),1,0)</f>
        <v/>
      </c>
      <c r="L926" s="3">
        <f>IF(K926=1,IFERROR(MATCH('ORDENES'!$R922,lista_dias,0),9)*1000000000+IFERROR(MATCH('ORDENES'!$AC922,lista_turnos,0),9)*10000000+IFERROR(MATCH('ORDENES'!$AB922,'TECNICOS'!$B$4:$B$15,0),99)*100000+919,9000000000000+919)</f>
        <v/>
      </c>
      <c r="M926" s="3">
        <f>IF(K926=1,SUMPRODUCT(--($L$8:$L$1207&lt;L926))+1,"")</f>
        <v/>
      </c>
      <c r="N926" s="17">
        <f>IF(K926=1,N('ORDENES'!$M922),0)</f>
        <v/>
      </c>
      <c r="O926" s="17">
        <f>IF('ORDENES'!$S922="preventiva",N926,0)</f>
        <v/>
      </c>
      <c r="P926" s="17">
        <f>IF('ORDENES'!$S922="correctiva",N926,0)</f>
        <v/>
      </c>
      <c r="Q926" s="3">
        <f>IF(AND(K926=1,'ORDENES'!$N922="Pendiente"),1,0)</f>
        <v/>
      </c>
      <c r="R926" s="3">
        <f>IF(Q926=1,100000-N926*1000+919*0.01,9000000000000+919)</f>
        <v/>
      </c>
      <c r="S926" s="3">
        <f>IF(Q926=1,SUMPRODUCT(--($R$8:$R$1207&lt;R926))+1,"")</f>
        <v/>
      </c>
      <c r="T926" s="11">
        <f>IF(K926=1,'ORDENES'!$J922,"")</f>
        <v/>
      </c>
    </row>
    <row r="927">
      <c r="K927" s="3">
        <f>IF(AND(IF($B$3="(todos)",TRUE,'ORDENES'!$O923=$B$3),IF($D$3="(todos)",TRUE,'ORDENES'!$AC923=$D$3),IF($F$3="(todos)",TRUE,'ORDENES'!$V923=$F$3),'ORDENES'!$AA923=TRUE,'ORDENES'!$A923&lt;&gt;""),1,0)</f>
        <v/>
      </c>
      <c r="L927" s="3">
        <f>IF(K927=1,IFERROR(MATCH('ORDENES'!$R923,lista_dias,0),9)*1000000000+IFERROR(MATCH('ORDENES'!$AC923,lista_turnos,0),9)*10000000+IFERROR(MATCH('ORDENES'!$AB923,'TECNICOS'!$B$4:$B$15,0),99)*100000+920,9000000000000+920)</f>
        <v/>
      </c>
      <c r="M927" s="3">
        <f>IF(K927=1,SUMPRODUCT(--($L$8:$L$1207&lt;L927))+1,"")</f>
        <v/>
      </c>
      <c r="N927" s="17">
        <f>IF(K927=1,N('ORDENES'!$M923),0)</f>
        <v/>
      </c>
      <c r="O927" s="17">
        <f>IF('ORDENES'!$S923="preventiva",N927,0)</f>
        <v/>
      </c>
      <c r="P927" s="17">
        <f>IF('ORDENES'!$S923="correctiva",N927,0)</f>
        <v/>
      </c>
      <c r="Q927" s="3">
        <f>IF(AND(K927=1,'ORDENES'!$N923="Pendiente"),1,0)</f>
        <v/>
      </c>
      <c r="R927" s="3">
        <f>IF(Q927=1,100000-N927*1000+920*0.01,9000000000000+920)</f>
        <v/>
      </c>
      <c r="S927" s="3">
        <f>IF(Q927=1,SUMPRODUCT(--($R$8:$R$1207&lt;R927))+1,"")</f>
        <v/>
      </c>
      <c r="T927" s="11">
        <f>IF(K927=1,'ORDENES'!$J923,"")</f>
        <v/>
      </c>
    </row>
    <row r="928">
      <c r="K928" s="3">
        <f>IF(AND(IF($B$3="(todos)",TRUE,'ORDENES'!$O924=$B$3),IF($D$3="(todos)",TRUE,'ORDENES'!$AC924=$D$3),IF($F$3="(todos)",TRUE,'ORDENES'!$V924=$F$3),'ORDENES'!$AA924=TRUE,'ORDENES'!$A924&lt;&gt;""),1,0)</f>
        <v/>
      </c>
      <c r="L928" s="3">
        <f>IF(K928=1,IFERROR(MATCH('ORDENES'!$R924,lista_dias,0),9)*1000000000+IFERROR(MATCH('ORDENES'!$AC924,lista_turnos,0),9)*10000000+IFERROR(MATCH('ORDENES'!$AB924,'TECNICOS'!$B$4:$B$15,0),99)*100000+921,9000000000000+921)</f>
        <v/>
      </c>
      <c r="M928" s="3">
        <f>IF(K928=1,SUMPRODUCT(--($L$8:$L$1207&lt;L928))+1,"")</f>
        <v/>
      </c>
      <c r="N928" s="17">
        <f>IF(K928=1,N('ORDENES'!$M924),0)</f>
        <v/>
      </c>
      <c r="O928" s="17">
        <f>IF('ORDENES'!$S924="preventiva",N928,0)</f>
        <v/>
      </c>
      <c r="P928" s="17">
        <f>IF('ORDENES'!$S924="correctiva",N928,0)</f>
        <v/>
      </c>
      <c r="Q928" s="3">
        <f>IF(AND(K928=1,'ORDENES'!$N924="Pendiente"),1,0)</f>
        <v/>
      </c>
      <c r="R928" s="3">
        <f>IF(Q928=1,100000-N928*1000+921*0.01,9000000000000+921)</f>
        <v/>
      </c>
      <c r="S928" s="3">
        <f>IF(Q928=1,SUMPRODUCT(--($R$8:$R$1207&lt;R928))+1,"")</f>
        <v/>
      </c>
      <c r="T928" s="11">
        <f>IF(K928=1,'ORDENES'!$J924,"")</f>
        <v/>
      </c>
    </row>
    <row r="929">
      <c r="K929" s="3">
        <f>IF(AND(IF($B$3="(todos)",TRUE,'ORDENES'!$O925=$B$3),IF($D$3="(todos)",TRUE,'ORDENES'!$AC925=$D$3),IF($F$3="(todos)",TRUE,'ORDENES'!$V925=$F$3),'ORDENES'!$AA925=TRUE,'ORDENES'!$A925&lt;&gt;""),1,0)</f>
        <v/>
      </c>
      <c r="L929" s="3">
        <f>IF(K929=1,IFERROR(MATCH('ORDENES'!$R925,lista_dias,0),9)*1000000000+IFERROR(MATCH('ORDENES'!$AC925,lista_turnos,0),9)*10000000+IFERROR(MATCH('ORDENES'!$AB925,'TECNICOS'!$B$4:$B$15,0),99)*100000+922,9000000000000+922)</f>
        <v/>
      </c>
      <c r="M929" s="3">
        <f>IF(K929=1,SUMPRODUCT(--($L$8:$L$1207&lt;L929))+1,"")</f>
        <v/>
      </c>
      <c r="N929" s="17">
        <f>IF(K929=1,N('ORDENES'!$M925),0)</f>
        <v/>
      </c>
      <c r="O929" s="17">
        <f>IF('ORDENES'!$S925="preventiva",N929,0)</f>
        <v/>
      </c>
      <c r="P929" s="17">
        <f>IF('ORDENES'!$S925="correctiva",N929,0)</f>
        <v/>
      </c>
      <c r="Q929" s="3">
        <f>IF(AND(K929=1,'ORDENES'!$N925="Pendiente"),1,0)</f>
        <v/>
      </c>
      <c r="R929" s="3">
        <f>IF(Q929=1,100000-N929*1000+922*0.01,9000000000000+922)</f>
        <v/>
      </c>
      <c r="S929" s="3">
        <f>IF(Q929=1,SUMPRODUCT(--($R$8:$R$1207&lt;R929))+1,"")</f>
        <v/>
      </c>
      <c r="T929" s="11">
        <f>IF(K929=1,'ORDENES'!$J925,"")</f>
        <v/>
      </c>
    </row>
    <row r="930">
      <c r="K930" s="3">
        <f>IF(AND(IF($B$3="(todos)",TRUE,'ORDENES'!$O926=$B$3),IF($D$3="(todos)",TRUE,'ORDENES'!$AC926=$D$3),IF($F$3="(todos)",TRUE,'ORDENES'!$V926=$F$3),'ORDENES'!$AA926=TRUE,'ORDENES'!$A926&lt;&gt;""),1,0)</f>
        <v/>
      </c>
      <c r="L930" s="3">
        <f>IF(K930=1,IFERROR(MATCH('ORDENES'!$R926,lista_dias,0),9)*1000000000+IFERROR(MATCH('ORDENES'!$AC926,lista_turnos,0),9)*10000000+IFERROR(MATCH('ORDENES'!$AB926,'TECNICOS'!$B$4:$B$15,0),99)*100000+923,9000000000000+923)</f>
        <v/>
      </c>
      <c r="M930" s="3">
        <f>IF(K930=1,SUMPRODUCT(--($L$8:$L$1207&lt;L930))+1,"")</f>
        <v/>
      </c>
      <c r="N930" s="17">
        <f>IF(K930=1,N('ORDENES'!$M926),0)</f>
        <v/>
      </c>
      <c r="O930" s="17">
        <f>IF('ORDENES'!$S926="preventiva",N930,0)</f>
        <v/>
      </c>
      <c r="P930" s="17">
        <f>IF('ORDENES'!$S926="correctiva",N930,0)</f>
        <v/>
      </c>
      <c r="Q930" s="3">
        <f>IF(AND(K930=1,'ORDENES'!$N926="Pendiente"),1,0)</f>
        <v/>
      </c>
      <c r="R930" s="3">
        <f>IF(Q930=1,100000-N930*1000+923*0.01,9000000000000+923)</f>
        <v/>
      </c>
      <c r="S930" s="3">
        <f>IF(Q930=1,SUMPRODUCT(--($R$8:$R$1207&lt;R930))+1,"")</f>
        <v/>
      </c>
      <c r="T930" s="11">
        <f>IF(K930=1,'ORDENES'!$J926,"")</f>
        <v/>
      </c>
    </row>
    <row r="931">
      <c r="K931" s="3">
        <f>IF(AND(IF($B$3="(todos)",TRUE,'ORDENES'!$O927=$B$3),IF($D$3="(todos)",TRUE,'ORDENES'!$AC927=$D$3),IF($F$3="(todos)",TRUE,'ORDENES'!$V927=$F$3),'ORDENES'!$AA927=TRUE,'ORDENES'!$A927&lt;&gt;""),1,0)</f>
        <v/>
      </c>
      <c r="L931" s="3">
        <f>IF(K931=1,IFERROR(MATCH('ORDENES'!$R927,lista_dias,0),9)*1000000000+IFERROR(MATCH('ORDENES'!$AC927,lista_turnos,0),9)*10000000+IFERROR(MATCH('ORDENES'!$AB927,'TECNICOS'!$B$4:$B$15,0),99)*100000+924,9000000000000+924)</f>
        <v/>
      </c>
      <c r="M931" s="3">
        <f>IF(K931=1,SUMPRODUCT(--($L$8:$L$1207&lt;L931))+1,"")</f>
        <v/>
      </c>
      <c r="N931" s="17">
        <f>IF(K931=1,N('ORDENES'!$M927),0)</f>
        <v/>
      </c>
      <c r="O931" s="17">
        <f>IF('ORDENES'!$S927="preventiva",N931,0)</f>
        <v/>
      </c>
      <c r="P931" s="17">
        <f>IF('ORDENES'!$S927="correctiva",N931,0)</f>
        <v/>
      </c>
      <c r="Q931" s="3">
        <f>IF(AND(K931=1,'ORDENES'!$N927="Pendiente"),1,0)</f>
        <v/>
      </c>
      <c r="R931" s="3">
        <f>IF(Q931=1,100000-N931*1000+924*0.01,9000000000000+924)</f>
        <v/>
      </c>
      <c r="S931" s="3">
        <f>IF(Q931=1,SUMPRODUCT(--($R$8:$R$1207&lt;R931))+1,"")</f>
        <v/>
      </c>
      <c r="T931" s="11">
        <f>IF(K931=1,'ORDENES'!$J927,"")</f>
        <v/>
      </c>
    </row>
    <row r="932">
      <c r="K932" s="3">
        <f>IF(AND(IF($B$3="(todos)",TRUE,'ORDENES'!$O928=$B$3),IF($D$3="(todos)",TRUE,'ORDENES'!$AC928=$D$3),IF($F$3="(todos)",TRUE,'ORDENES'!$V928=$F$3),'ORDENES'!$AA928=TRUE,'ORDENES'!$A928&lt;&gt;""),1,0)</f>
        <v/>
      </c>
      <c r="L932" s="3">
        <f>IF(K932=1,IFERROR(MATCH('ORDENES'!$R928,lista_dias,0),9)*1000000000+IFERROR(MATCH('ORDENES'!$AC928,lista_turnos,0),9)*10000000+IFERROR(MATCH('ORDENES'!$AB928,'TECNICOS'!$B$4:$B$15,0),99)*100000+925,9000000000000+925)</f>
        <v/>
      </c>
      <c r="M932" s="3">
        <f>IF(K932=1,SUMPRODUCT(--($L$8:$L$1207&lt;L932))+1,"")</f>
        <v/>
      </c>
      <c r="N932" s="17">
        <f>IF(K932=1,N('ORDENES'!$M928),0)</f>
        <v/>
      </c>
      <c r="O932" s="17">
        <f>IF('ORDENES'!$S928="preventiva",N932,0)</f>
        <v/>
      </c>
      <c r="P932" s="17">
        <f>IF('ORDENES'!$S928="correctiva",N932,0)</f>
        <v/>
      </c>
      <c r="Q932" s="3">
        <f>IF(AND(K932=1,'ORDENES'!$N928="Pendiente"),1,0)</f>
        <v/>
      </c>
      <c r="R932" s="3">
        <f>IF(Q932=1,100000-N932*1000+925*0.01,9000000000000+925)</f>
        <v/>
      </c>
      <c r="S932" s="3">
        <f>IF(Q932=1,SUMPRODUCT(--($R$8:$R$1207&lt;R932))+1,"")</f>
        <v/>
      </c>
      <c r="T932" s="11">
        <f>IF(K932=1,'ORDENES'!$J928,"")</f>
        <v/>
      </c>
    </row>
    <row r="933">
      <c r="K933" s="3">
        <f>IF(AND(IF($B$3="(todos)",TRUE,'ORDENES'!$O929=$B$3),IF($D$3="(todos)",TRUE,'ORDENES'!$AC929=$D$3),IF($F$3="(todos)",TRUE,'ORDENES'!$V929=$F$3),'ORDENES'!$AA929=TRUE,'ORDENES'!$A929&lt;&gt;""),1,0)</f>
        <v/>
      </c>
      <c r="L933" s="3">
        <f>IF(K933=1,IFERROR(MATCH('ORDENES'!$R929,lista_dias,0),9)*1000000000+IFERROR(MATCH('ORDENES'!$AC929,lista_turnos,0),9)*10000000+IFERROR(MATCH('ORDENES'!$AB929,'TECNICOS'!$B$4:$B$15,0),99)*100000+926,9000000000000+926)</f>
        <v/>
      </c>
      <c r="M933" s="3">
        <f>IF(K933=1,SUMPRODUCT(--($L$8:$L$1207&lt;L933))+1,"")</f>
        <v/>
      </c>
      <c r="N933" s="17">
        <f>IF(K933=1,N('ORDENES'!$M929),0)</f>
        <v/>
      </c>
      <c r="O933" s="17">
        <f>IF('ORDENES'!$S929="preventiva",N933,0)</f>
        <v/>
      </c>
      <c r="P933" s="17">
        <f>IF('ORDENES'!$S929="correctiva",N933,0)</f>
        <v/>
      </c>
      <c r="Q933" s="3">
        <f>IF(AND(K933=1,'ORDENES'!$N929="Pendiente"),1,0)</f>
        <v/>
      </c>
      <c r="R933" s="3">
        <f>IF(Q933=1,100000-N933*1000+926*0.01,9000000000000+926)</f>
        <v/>
      </c>
      <c r="S933" s="3">
        <f>IF(Q933=1,SUMPRODUCT(--($R$8:$R$1207&lt;R933))+1,"")</f>
        <v/>
      </c>
      <c r="T933" s="11">
        <f>IF(K933=1,'ORDENES'!$J929,"")</f>
        <v/>
      </c>
    </row>
    <row r="934">
      <c r="K934" s="3">
        <f>IF(AND(IF($B$3="(todos)",TRUE,'ORDENES'!$O930=$B$3),IF($D$3="(todos)",TRUE,'ORDENES'!$AC930=$D$3),IF($F$3="(todos)",TRUE,'ORDENES'!$V930=$F$3),'ORDENES'!$AA930=TRUE,'ORDENES'!$A930&lt;&gt;""),1,0)</f>
        <v/>
      </c>
      <c r="L934" s="3">
        <f>IF(K934=1,IFERROR(MATCH('ORDENES'!$R930,lista_dias,0),9)*1000000000+IFERROR(MATCH('ORDENES'!$AC930,lista_turnos,0),9)*10000000+IFERROR(MATCH('ORDENES'!$AB930,'TECNICOS'!$B$4:$B$15,0),99)*100000+927,9000000000000+927)</f>
        <v/>
      </c>
      <c r="M934" s="3">
        <f>IF(K934=1,SUMPRODUCT(--($L$8:$L$1207&lt;L934))+1,"")</f>
        <v/>
      </c>
      <c r="N934" s="17">
        <f>IF(K934=1,N('ORDENES'!$M930),0)</f>
        <v/>
      </c>
      <c r="O934" s="17">
        <f>IF('ORDENES'!$S930="preventiva",N934,0)</f>
        <v/>
      </c>
      <c r="P934" s="17">
        <f>IF('ORDENES'!$S930="correctiva",N934,0)</f>
        <v/>
      </c>
      <c r="Q934" s="3">
        <f>IF(AND(K934=1,'ORDENES'!$N930="Pendiente"),1,0)</f>
        <v/>
      </c>
      <c r="R934" s="3">
        <f>IF(Q934=1,100000-N934*1000+927*0.01,9000000000000+927)</f>
        <v/>
      </c>
      <c r="S934" s="3">
        <f>IF(Q934=1,SUMPRODUCT(--($R$8:$R$1207&lt;R934))+1,"")</f>
        <v/>
      </c>
      <c r="T934" s="11">
        <f>IF(K934=1,'ORDENES'!$J930,"")</f>
        <v/>
      </c>
    </row>
    <row r="935">
      <c r="K935" s="3">
        <f>IF(AND(IF($B$3="(todos)",TRUE,'ORDENES'!$O931=$B$3),IF($D$3="(todos)",TRUE,'ORDENES'!$AC931=$D$3),IF($F$3="(todos)",TRUE,'ORDENES'!$V931=$F$3),'ORDENES'!$AA931=TRUE,'ORDENES'!$A931&lt;&gt;""),1,0)</f>
        <v/>
      </c>
      <c r="L935" s="3">
        <f>IF(K935=1,IFERROR(MATCH('ORDENES'!$R931,lista_dias,0),9)*1000000000+IFERROR(MATCH('ORDENES'!$AC931,lista_turnos,0),9)*10000000+IFERROR(MATCH('ORDENES'!$AB931,'TECNICOS'!$B$4:$B$15,0),99)*100000+928,9000000000000+928)</f>
        <v/>
      </c>
      <c r="M935" s="3">
        <f>IF(K935=1,SUMPRODUCT(--($L$8:$L$1207&lt;L935))+1,"")</f>
        <v/>
      </c>
      <c r="N935" s="17">
        <f>IF(K935=1,N('ORDENES'!$M931),0)</f>
        <v/>
      </c>
      <c r="O935" s="17">
        <f>IF('ORDENES'!$S931="preventiva",N935,0)</f>
        <v/>
      </c>
      <c r="P935" s="17">
        <f>IF('ORDENES'!$S931="correctiva",N935,0)</f>
        <v/>
      </c>
      <c r="Q935" s="3">
        <f>IF(AND(K935=1,'ORDENES'!$N931="Pendiente"),1,0)</f>
        <v/>
      </c>
      <c r="R935" s="3">
        <f>IF(Q935=1,100000-N935*1000+928*0.01,9000000000000+928)</f>
        <v/>
      </c>
      <c r="S935" s="3">
        <f>IF(Q935=1,SUMPRODUCT(--($R$8:$R$1207&lt;R935))+1,"")</f>
        <v/>
      </c>
      <c r="T935" s="11">
        <f>IF(K935=1,'ORDENES'!$J931,"")</f>
        <v/>
      </c>
    </row>
    <row r="936">
      <c r="K936" s="3">
        <f>IF(AND(IF($B$3="(todos)",TRUE,'ORDENES'!$O932=$B$3),IF($D$3="(todos)",TRUE,'ORDENES'!$AC932=$D$3),IF($F$3="(todos)",TRUE,'ORDENES'!$V932=$F$3),'ORDENES'!$AA932=TRUE,'ORDENES'!$A932&lt;&gt;""),1,0)</f>
        <v/>
      </c>
      <c r="L936" s="3">
        <f>IF(K936=1,IFERROR(MATCH('ORDENES'!$R932,lista_dias,0),9)*1000000000+IFERROR(MATCH('ORDENES'!$AC932,lista_turnos,0),9)*10000000+IFERROR(MATCH('ORDENES'!$AB932,'TECNICOS'!$B$4:$B$15,0),99)*100000+929,9000000000000+929)</f>
        <v/>
      </c>
      <c r="M936" s="3">
        <f>IF(K936=1,SUMPRODUCT(--($L$8:$L$1207&lt;L936))+1,"")</f>
        <v/>
      </c>
      <c r="N936" s="17">
        <f>IF(K936=1,N('ORDENES'!$M932),0)</f>
        <v/>
      </c>
      <c r="O936" s="17">
        <f>IF('ORDENES'!$S932="preventiva",N936,0)</f>
        <v/>
      </c>
      <c r="P936" s="17">
        <f>IF('ORDENES'!$S932="correctiva",N936,0)</f>
        <v/>
      </c>
      <c r="Q936" s="3">
        <f>IF(AND(K936=1,'ORDENES'!$N932="Pendiente"),1,0)</f>
        <v/>
      </c>
      <c r="R936" s="3">
        <f>IF(Q936=1,100000-N936*1000+929*0.01,9000000000000+929)</f>
        <v/>
      </c>
      <c r="S936" s="3">
        <f>IF(Q936=1,SUMPRODUCT(--($R$8:$R$1207&lt;R936))+1,"")</f>
        <v/>
      </c>
      <c r="T936" s="11">
        <f>IF(K936=1,'ORDENES'!$J932,"")</f>
        <v/>
      </c>
    </row>
    <row r="937">
      <c r="K937" s="3">
        <f>IF(AND(IF($B$3="(todos)",TRUE,'ORDENES'!$O933=$B$3),IF($D$3="(todos)",TRUE,'ORDENES'!$AC933=$D$3),IF($F$3="(todos)",TRUE,'ORDENES'!$V933=$F$3),'ORDENES'!$AA933=TRUE,'ORDENES'!$A933&lt;&gt;""),1,0)</f>
        <v/>
      </c>
      <c r="L937" s="3">
        <f>IF(K937=1,IFERROR(MATCH('ORDENES'!$R933,lista_dias,0),9)*1000000000+IFERROR(MATCH('ORDENES'!$AC933,lista_turnos,0),9)*10000000+IFERROR(MATCH('ORDENES'!$AB933,'TECNICOS'!$B$4:$B$15,0),99)*100000+930,9000000000000+930)</f>
        <v/>
      </c>
      <c r="M937" s="3">
        <f>IF(K937=1,SUMPRODUCT(--($L$8:$L$1207&lt;L937))+1,"")</f>
        <v/>
      </c>
      <c r="N937" s="17">
        <f>IF(K937=1,N('ORDENES'!$M933),0)</f>
        <v/>
      </c>
      <c r="O937" s="17">
        <f>IF('ORDENES'!$S933="preventiva",N937,0)</f>
        <v/>
      </c>
      <c r="P937" s="17">
        <f>IF('ORDENES'!$S933="correctiva",N937,0)</f>
        <v/>
      </c>
      <c r="Q937" s="3">
        <f>IF(AND(K937=1,'ORDENES'!$N933="Pendiente"),1,0)</f>
        <v/>
      </c>
      <c r="R937" s="3">
        <f>IF(Q937=1,100000-N937*1000+930*0.01,9000000000000+930)</f>
        <v/>
      </c>
      <c r="S937" s="3">
        <f>IF(Q937=1,SUMPRODUCT(--($R$8:$R$1207&lt;R937))+1,"")</f>
        <v/>
      </c>
      <c r="T937" s="11">
        <f>IF(K937=1,'ORDENES'!$J933,"")</f>
        <v/>
      </c>
    </row>
    <row r="938">
      <c r="K938" s="3">
        <f>IF(AND(IF($B$3="(todos)",TRUE,'ORDENES'!$O934=$B$3),IF($D$3="(todos)",TRUE,'ORDENES'!$AC934=$D$3),IF($F$3="(todos)",TRUE,'ORDENES'!$V934=$F$3),'ORDENES'!$AA934=TRUE,'ORDENES'!$A934&lt;&gt;""),1,0)</f>
        <v/>
      </c>
      <c r="L938" s="3">
        <f>IF(K938=1,IFERROR(MATCH('ORDENES'!$R934,lista_dias,0),9)*1000000000+IFERROR(MATCH('ORDENES'!$AC934,lista_turnos,0),9)*10000000+IFERROR(MATCH('ORDENES'!$AB934,'TECNICOS'!$B$4:$B$15,0),99)*100000+931,9000000000000+931)</f>
        <v/>
      </c>
      <c r="M938" s="3">
        <f>IF(K938=1,SUMPRODUCT(--($L$8:$L$1207&lt;L938))+1,"")</f>
        <v/>
      </c>
      <c r="N938" s="17">
        <f>IF(K938=1,N('ORDENES'!$M934),0)</f>
        <v/>
      </c>
      <c r="O938" s="17">
        <f>IF('ORDENES'!$S934="preventiva",N938,0)</f>
        <v/>
      </c>
      <c r="P938" s="17">
        <f>IF('ORDENES'!$S934="correctiva",N938,0)</f>
        <v/>
      </c>
      <c r="Q938" s="3">
        <f>IF(AND(K938=1,'ORDENES'!$N934="Pendiente"),1,0)</f>
        <v/>
      </c>
      <c r="R938" s="3">
        <f>IF(Q938=1,100000-N938*1000+931*0.01,9000000000000+931)</f>
        <v/>
      </c>
      <c r="S938" s="3">
        <f>IF(Q938=1,SUMPRODUCT(--($R$8:$R$1207&lt;R938))+1,"")</f>
        <v/>
      </c>
      <c r="T938" s="11">
        <f>IF(K938=1,'ORDENES'!$J934,"")</f>
        <v/>
      </c>
    </row>
    <row r="939">
      <c r="K939" s="3">
        <f>IF(AND(IF($B$3="(todos)",TRUE,'ORDENES'!$O935=$B$3),IF($D$3="(todos)",TRUE,'ORDENES'!$AC935=$D$3),IF($F$3="(todos)",TRUE,'ORDENES'!$V935=$F$3),'ORDENES'!$AA935=TRUE,'ORDENES'!$A935&lt;&gt;""),1,0)</f>
        <v/>
      </c>
      <c r="L939" s="3">
        <f>IF(K939=1,IFERROR(MATCH('ORDENES'!$R935,lista_dias,0),9)*1000000000+IFERROR(MATCH('ORDENES'!$AC935,lista_turnos,0),9)*10000000+IFERROR(MATCH('ORDENES'!$AB935,'TECNICOS'!$B$4:$B$15,0),99)*100000+932,9000000000000+932)</f>
        <v/>
      </c>
      <c r="M939" s="3">
        <f>IF(K939=1,SUMPRODUCT(--($L$8:$L$1207&lt;L939))+1,"")</f>
        <v/>
      </c>
      <c r="N939" s="17">
        <f>IF(K939=1,N('ORDENES'!$M935),0)</f>
        <v/>
      </c>
      <c r="O939" s="17">
        <f>IF('ORDENES'!$S935="preventiva",N939,0)</f>
        <v/>
      </c>
      <c r="P939" s="17">
        <f>IF('ORDENES'!$S935="correctiva",N939,0)</f>
        <v/>
      </c>
      <c r="Q939" s="3">
        <f>IF(AND(K939=1,'ORDENES'!$N935="Pendiente"),1,0)</f>
        <v/>
      </c>
      <c r="R939" s="3">
        <f>IF(Q939=1,100000-N939*1000+932*0.01,9000000000000+932)</f>
        <v/>
      </c>
      <c r="S939" s="3">
        <f>IF(Q939=1,SUMPRODUCT(--($R$8:$R$1207&lt;R939))+1,"")</f>
        <v/>
      </c>
      <c r="T939" s="11">
        <f>IF(K939=1,'ORDENES'!$J935,"")</f>
        <v/>
      </c>
    </row>
    <row r="940">
      <c r="K940" s="3">
        <f>IF(AND(IF($B$3="(todos)",TRUE,'ORDENES'!$O936=$B$3),IF($D$3="(todos)",TRUE,'ORDENES'!$AC936=$D$3),IF($F$3="(todos)",TRUE,'ORDENES'!$V936=$F$3),'ORDENES'!$AA936=TRUE,'ORDENES'!$A936&lt;&gt;""),1,0)</f>
        <v/>
      </c>
      <c r="L940" s="3">
        <f>IF(K940=1,IFERROR(MATCH('ORDENES'!$R936,lista_dias,0),9)*1000000000+IFERROR(MATCH('ORDENES'!$AC936,lista_turnos,0),9)*10000000+IFERROR(MATCH('ORDENES'!$AB936,'TECNICOS'!$B$4:$B$15,0),99)*100000+933,9000000000000+933)</f>
        <v/>
      </c>
      <c r="M940" s="3">
        <f>IF(K940=1,SUMPRODUCT(--($L$8:$L$1207&lt;L940))+1,"")</f>
        <v/>
      </c>
      <c r="N940" s="17">
        <f>IF(K940=1,N('ORDENES'!$M936),0)</f>
        <v/>
      </c>
      <c r="O940" s="17">
        <f>IF('ORDENES'!$S936="preventiva",N940,0)</f>
        <v/>
      </c>
      <c r="P940" s="17">
        <f>IF('ORDENES'!$S936="correctiva",N940,0)</f>
        <v/>
      </c>
      <c r="Q940" s="3">
        <f>IF(AND(K940=1,'ORDENES'!$N936="Pendiente"),1,0)</f>
        <v/>
      </c>
      <c r="R940" s="3">
        <f>IF(Q940=1,100000-N940*1000+933*0.01,9000000000000+933)</f>
        <v/>
      </c>
      <c r="S940" s="3">
        <f>IF(Q940=1,SUMPRODUCT(--($R$8:$R$1207&lt;R940))+1,"")</f>
        <v/>
      </c>
      <c r="T940" s="11">
        <f>IF(K940=1,'ORDENES'!$J936,"")</f>
        <v/>
      </c>
    </row>
    <row r="941">
      <c r="K941" s="3">
        <f>IF(AND(IF($B$3="(todos)",TRUE,'ORDENES'!$O937=$B$3),IF($D$3="(todos)",TRUE,'ORDENES'!$AC937=$D$3),IF($F$3="(todos)",TRUE,'ORDENES'!$V937=$F$3),'ORDENES'!$AA937=TRUE,'ORDENES'!$A937&lt;&gt;""),1,0)</f>
        <v/>
      </c>
      <c r="L941" s="3">
        <f>IF(K941=1,IFERROR(MATCH('ORDENES'!$R937,lista_dias,0),9)*1000000000+IFERROR(MATCH('ORDENES'!$AC937,lista_turnos,0),9)*10000000+IFERROR(MATCH('ORDENES'!$AB937,'TECNICOS'!$B$4:$B$15,0),99)*100000+934,9000000000000+934)</f>
        <v/>
      </c>
      <c r="M941" s="3">
        <f>IF(K941=1,SUMPRODUCT(--($L$8:$L$1207&lt;L941))+1,"")</f>
        <v/>
      </c>
      <c r="N941" s="17">
        <f>IF(K941=1,N('ORDENES'!$M937),0)</f>
        <v/>
      </c>
      <c r="O941" s="17">
        <f>IF('ORDENES'!$S937="preventiva",N941,0)</f>
        <v/>
      </c>
      <c r="P941" s="17">
        <f>IF('ORDENES'!$S937="correctiva",N941,0)</f>
        <v/>
      </c>
      <c r="Q941" s="3">
        <f>IF(AND(K941=1,'ORDENES'!$N937="Pendiente"),1,0)</f>
        <v/>
      </c>
      <c r="R941" s="3">
        <f>IF(Q941=1,100000-N941*1000+934*0.01,9000000000000+934)</f>
        <v/>
      </c>
      <c r="S941" s="3">
        <f>IF(Q941=1,SUMPRODUCT(--($R$8:$R$1207&lt;R941))+1,"")</f>
        <v/>
      </c>
      <c r="T941" s="11">
        <f>IF(K941=1,'ORDENES'!$J937,"")</f>
        <v/>
      </c>
    </row>
    <row r="942">
      <c r="K942" s="3">
        <f>IF(AND(IF($B$3="(todos)",TRUE,'ORDENES'!$O938=$B$3),IF($D$3="(todos)",TRUE,'ORDENES'!$AC938=$D$3),IF($F$3="(todos)",TRUE,'ORDENES'!$V938=$F$3),'ORDENES'!$AA938=TRUE,'ORDENES'!$A938&lt;&gt;""),1,0)</f>
        <v/>
      </c>
      <c r="L942" s="3">
        <f>IF(K942=1,IFERROR(MATCH('ORDENES'!$R938,lista_dias,0),9)*1000000000+IFERROR(MATCH('ORDENES'!$AC938,lista_turnos,0),9)*10000000+IFERROR(MATCH('ORDENES'!$AB938,'TECNICOS'!$B$4:$B$15,0),99)*100000+935,9000000000000+935)</f>
        <v/>
      </c>
      <c r="M942" s="3">
        <f>IF(K942=1,SUMPRODUCT(--($L$8:$L$1207&lt;L942))+1,"")</f>
        <v/>
      </c>
      <c r="N942" s="17">
        <f>IF(K942=1,N('ORDENES'!$M938),0)</f>
        <v/>
      </c>
      <c r="O942" s="17">
        <f>IF('ORDENES'!$S938="preventiva",N942,0)</f>
        <v/>
      </c>
      <c r="P942" s="17">
        <f>IF('ORDENES'!$S938="correctiva",N942,0)</f>
        <v/>
      </c>
      <c r="Q942" s="3">
        <f>IF(AND(K942=1,'ORDENES'!$N938="Pendiente"),1,0)</f>
        <v/>
      </c>
      <c r="R942" s="3">
        <f>IF(Q942=1,100000-N942*1000+935*0.01,9000000000000+935)</f>
        <v/>
      </c>
      <c r="S942" s="3">
        <f>IF(Q942=1,SUMPRODUCT(--($R$8:$R$1207&lt;R942))+1,"")</f>
        <v/>
      </c>
      <c r="T942" s="11">
        <f>IF(K942=1,'ORDENES'!$J938,"")</f>
        <v/>
      </c>
    </row>
    <row r="943">
      <c r="K943" s="3">
        <f>IF(AND(IF($B$3="(todos)",TRUE,'ORDENES'!$O939=$B$3),IF($D$3="(todos)",TRUE,'ORDENES'!$AC939=$D$3),IF($F$3="(todos)",TRUE,'ORDENES'!$V939=$F$3),'ORDENES'!$AA939=TRUE,'ORDENES'!$A939&lt;&gt;""),1,0)</f>
        <v/>
      </c>
      <c r="L943" s="3">
        <f>IF(K943=1,IFERROR(MATCH('ORDENES'!$R939,lista_dias,0),9)*1000000000+IFERROR(MATCH('ORDENES'!$AC939,lista_turnos,0),9)*10000000+IFERROR(MATCH('ORDENES'!$AB939,'TECNICOS'!$B$4:$B$15,0),99)*100000+936,9000000000000+936)</f>
        <v/>
      </c>
      <c r="M943" s="3">
        <f>IF(K943=1,SUMPRODUCT(--($L$8:$L$1207&lt;L943))+1,"")</f>
        <v/>
      </c>
      <c r="N943" s="17">
        <f>IF(K943=1,N('ORDENES'!$M939),0)</f>
        <v/>
      </c>
      <c r="O943" s="17">
        <f>IF('ORDENES'!$S939="preventiva",N943,0)</f>
        <v/>
      </c>
      <c r="P943" s="17">
        <f>IF('ORDENES'!$S939="correctiva",N943,0)</f>
        <v/>
      </c>
      <c r="Q943" s="3">
        <f>IF(AND(K943=1,'ORDENES'!$N939="Pendiente"),1,0)</f>
        <v/>
      </c>
      <c r="R943" s="3">
        <f>IF(Q943=1,100000-N943*1000+936*0.01,9000000000000+936)</f>
        <v/>
      </c>
      <c r="S943" s="3">
        <f>IF(Q943=1,SUMPRODUCT(--($R$8:$R$1207&lt;R943))+1,"")</f>
        <v/>
      </c>
      <c r="T943" s="11">
        <f>IF(K943=1,'ORDENES'!$J939,"")</f>
        <v/>
      </c>
    </row>
    <row r="944">
      <c r="K944" s="3">
        <f>IF(AND(IF($B$3="(todos)",TRUE,'ORDENES'!$O940=$B$3),IF($D$3="(todos)",TRUE,'ORDENES'!$AC940=$D$3),IF($F$3="(todos)",TRUE,'ORDENES'!$V940=$F$3),'ORDENES'!$AA940=TRUE,'ORDENES'!$A940&lt;&gt;""),1,0)</f>
        <v/>
      </c>
      <c r="L944" s="3">
        <f>IF(K944=1,IFERROR(MATCH('ORDENES'!$R940,lista_dias,0),9)*1000000000+IFERROR(MATCH('ORDENES'!$AC940,lista_turnos,0),9)*10000000+IFERROR(MATCH('ORDENES'!$AB940,'TECNICOS'!$B$4:$B$15,0),99)*100000+937,9000000000000+937)</f>
        <v/>
      </c>
      <c r="M944" s="3">
        <f>IF(K944=1,SUMPRODUCT(--($L$8:$L$1207&lt;L944))+1,"")</f>
        <v/>
      </c>
      <c r="N944" s="17">
        <f>IF(K944=1,N('ORDENES'!$M940),0)</f>
        <v/>
      </c>
      <c r="O944" s="17">
        <f>IF('ORDENES'!$S940="preventiva",N944,0)</f>
        <v/>
      </c>
      <c r="P944" s="17">
        <f>IF('ORDENES'!$S940="correctiva",N944,0)</f>
        <v/>
      </c>
      <c r="Q944" s="3">
        <f>IF(AND(K944=1,'ORDENES'!$N940="Pendiente"),1,0)</f>
        <v/>
      </c>
      <c r="R944" s="3">
        <f>IF(Q944=1,100000-N944*1000+937*0.01,9000000000000+937)</f>
        <v/>
      </c>
      <c r="S944" s="3">
        <f>IF(Q944=1,SUMPRODUCT(--($R$8:$R$1207&lt;R944))+1,"")</f>
        <v/>
      </c>
      <c r="T944" s="11">
        <f>IF(K944=1,'ORDENES'!$J940,"")</f>
        <v/>
      </c>
    </row>
    <row r="945">
      <c r="K945" s="3">
        <f>IF(AND(IF($B$3="(todos)",TRUE,'ORDENES'!$O941=$B$3),IF($D$3="(todos)",TRUE,'ORDENES'!$AC941=$D$3),IF($F$3="(todos)",TRUE,'ORDENES'!$V941=$F$3),'ORDENES'!$AA941=TRUE,'ORDENES'!$A941&lt;&gt;""),1,0)</f>
        <v/>
      </c>
      <c r="L945" s="3">
        <f>IF(K945=1,IFERROR(MATCH('ORDENES'!$R941,lista_dias,0),9)*1000000000+IFERROR(MATCH('ORDENES'!$AC941,lista_turnos,0),9)*10000000+IFERROR(MATCH('ORDENES'!$AB941,'TECNICOS'!$B$4:$B$15,0),99)*100000+938,9000000000000+938)</f>
        <v/>
      </c>
      <c r="M945" s="3">
        <f>IF(K945=1,SUMPRODUCT(--($L$8:$L$1207&lt;L945))+1,"")</f>
        <v/>
      </c>
      <c r="N945" s="17">
        <f>IF(K945=1,N('ORDENES'!$M941),0)</f>
        <v/>
      </c>
      <c r="O945" s="17">
        <f>IF('ORDENES'!$S941="preventiva",N945,0)</f>
        <v/>
      </c>
      <c r="P945" s="17">
        <f>IF('ORDENES'!$S941="correctiva",N945,0)</f>
        <v/>
      </c>
      <c r="Q945" s="3">
        <f>IF(AND(K945=1,'ORDENES'!$N941="Pendiente"),1,0)</f>
        <v/>
      </c>
      <c r="R945" s="3">
        <f>IF(Q945=1,100000-N945*1000+938*0.01,9000000000000+938)</f>
        <v/>
      </c>
      <c r="S945" s="3">
        <f>IF(Q945=1,SUMPRODUCT(--($R$8:$R$1207&lt;R945))+1,"")</f>
        <v/>
      </c>
      <c r="T945" s="11">
        <f>IF(K945=1,'ORDENES'!$J941,"")</f>
        <v/>
      </c>
    </row>
    <row r="946">
      <c r="K946" s="3">
        <f>IF(AND(IF($B$3="(todos)",TRUE,'ORDENES'!$O942=$B$3),IF($D$3="(todos)",TRUE,'ORDENES'!$AC942=$D$3),IF($F$3="(todos)",TRUE,'ORDENES'!$V942=$F$3),'ORDENES'!$AA942=TRUE,'ORDENES'!$A942&lt;&gt;""),1,0)</f>
        <v/>
      </c>
      <c r="L946" s="3">
        <f>IF(K946=1,IFERROR(MATCH('ORDENES'!$R942,lista_dias,0),9)*1000000000+IFERROR(MATCH('ORDENES'!$AC942,lista_turnos,0),9)*10000000+IFERROR(MATCH('ORDENES'!$AB942,'TECNICOS'!$B$4:$B$15,0),99)*100000+939,9000000000000+939)</f>
        <v/>
      </c>
      <c r="M946" s="3">
        <f>IF(K946=1,SUMPRODUCT(--($L$8:$L$1207&lt;L946))+1,"")</f>
        <v/>
      </c>
      <c r="N946" s="17">
        <f>IF(K946=1,N('ORDENES'!$M942),0)</f>
        <v/>
      </c>
      <c r="O946" s="17">
        <f>IF('ORDENES'!$S942="preventiva",N946,0)</f>
        <v/>
      </c>
      <c r="P946" s="17">
        <f>IF('ORDENES'!$S942="correctiva",N946,0)</f>
        <v/>
      </c>
      <c r="Q946" s="3">
        <f>IF(AND(K946=1,'ORDENES'!$N942="Pendiente"),1,0)</f>
        <v/>
      </c>
      <c r="R946" s="3">
        <f>IF(Q946=1,100000-N946*1000+939*0.01,9000000000000+939)</f>
        <v/>
      </c>
      <c r="S946" s="3">
        <f>IF(Q946=1,SUMPRODUCT(--($R$8:$R$1207&lt;R946))+1,"")</f>
        <v/>
      </c>
      <c r="T946" s="11">
        <f>IF(K946=1,'ORDENES'!$J942,"")</f>
        <v/>
      </c>
    </row>
    <row r="947">
      <c r="K947" s="3">
        <f>IF(AND(IF($B$3="(todos)",TRUE,'ORDENES'!$O943=$B$3),IF($D$3="(todos)",TRUE,'ORDENES'!$AC943=$D$3),IF($F$3="(todos)",TRUE,'ORDENES'!$V943=$F$3),'ORDENES'!$AA943=TRUE,'ORDENES'!$A943&lt;&gt;""),1,0)</f>
        <v/>
      </c>
      <c r="L947" s="3">
        <f>IF(K947=1,IFERROR(MATCH('ORDENES'!$R943,lista_dias,0),9)*1000000000+IFERROR(MATCH('ORDENES'!$AC943,lista_turnos,0),9)*10000000+IFERROR(MATCH('ORDENES'!$AB943,'TECNICOS'!$B$4:$B$15,0),99)*100000+940,9000000000000+940)</f>
        <v/>
      </c>
      <c r="M947" s="3">
        <f>IF(K947=1,SUMPRODUCT(--($L$8:$L$1207&lt;L947))+1,"")</f>
        <v/>
      </c>
      <c r="N947" s="17">
        <f>IF(K947=1,N('ORDENES'!$M943),0)</f>
        <v/>
      </c>
      <c r="O947" s="17">
        <f>IF('ORDENES'!$S943="preventiva",N947,0)</f>
        <v/>
      </c>
      <c r="P947" s="17">
        <f>IF('ORDENES'!$S943="correctiva",N947,0)</f>
        <v/>
      </c>
      <c r="Q947" s="3">
        <f>IF(AND(K947=1,'ORDENES'!$N943="Pendiente"),1,0)</f>
        <v/>
      </c>
      <c r="R947" s="3">
        <f>IF(Q947=1,100000-N947*1000+940*0.01,9000000000000+940)</f>
        <v/>
      </c>
      <c r="S947" s="3">
        <f>IF(Q947=1,SUMPRODUCT(--($R$8:$R$1207&lt;R947))+1,"")</f>
        <v/>
      </c>
      <c r="T947" s="11">
        <f>IF(K947=1,'ORDENES'!$J943,"")</f>
        <v/>
      </c>
    </row>
    <row r="948">
      <c r="K948" s="3">
        <f>IF(AND(IF($B$3="(todos)",TRUE,'ORDENES'!$O944=$B$3),IF($D$3="(todos)",TRUE,'ORDENES'!$AC944=$D$3),IF($F$3="(todos)",TRUE,'ORDENES'!$V944=$F$3),'ORDENES'!$AA944=TRUE,'ORDENES'!$A944&lt;&gt;""),1,0)</f>
        <v/>
      </c>
      <c r="L948" s="3">
        <f>IF(K948=1,IFERROR(MATCH('ORDENES'!$R944,lista_dias,0),9)*1000000000+IFERROR(MATCH('ORDENES'!$AC944,lista_turnos,0),9)*10000000+IFERROR(MATCH('ORDENES'!$AB944,'TECNICOS'!$B$4:$B$15,0),99)*100000+941,9000000000000+941)</f>
        <v/>
      </c>
      <c r="M948" s="3">
        <f>IF(K948=1,SUMPRODUCT(--($L$8:$L$1207&lt;L948))+1,"")</f>
        <v/>
      </c>
      <c r="N948" s="17">
        <f>IF(K948=1,N('ORDENES'!$M944),0)</f>
        <v/>
      </c>
      <c r="O948" s="17">
        <f>IF('ORDENES'!$S944="preventiva",N948,0)</f>
        <v/>
      </c>
      <c r="P948" s="17">
        <f>IF('ORDENES'!$S944="correctiva",N948,0)</f>
        <v/>
      </c>
      <c r="Q948" s="3">
        <f>IF(AND(K948=1,'ORDENES'!$N944="Pendiente"),1,0)</f>
        <v/>
      </c>
      <c r="R948" s="3">
        <f>IF(Q948=1,100000-N948*1000+941*0.01,9000000000000+941)</f>
        <v/>
      </c>
      <c r="S948" s="3">
        <f>IF(Q948=1,SUMPRODUCT(--($R$8:$R$1207&lt;R948))+1,"")</f>
        <v/>
      </c>
      <c r="T948" s="11">
        <f>IF(K948=1,'ORDENES'!$J944,"")</f>
        <v/>
      </c>
    </row>
    <row r="949">
      <c r="K949" s="3">
        <f>IF(AND(IF($B$3="(todos)",TRUE,'ORDENES'!$O945=$B$3),IF($D$3="(todos)",TRUE,'ORDENES'!$AC945=$D$3),IF($F$3="(todos)",TRUE,'ORDENES'!$V945=$F$3),'ORDENES'!$AA945=TRUE,'ORDENES'!$A945&lt;&gt;""),1,0)</f>
        <v/>
      </c>
      <c r="L949" s="3">
        <f>IF(K949=1,IFERROR(MATCH('ORDENES'!$R945,lista_dias,0),9)*1000000000+IFERROR(MATCH('ORDENES'!$AC945,lista_turnos,0),9)*10000000+IFERROR(MATCH('ORDENES'!$AB945,'TECNICOS'!$B$4:$B$15,0),99)*100000+942,9000000000000+942)</f>
        <v/>
      </c>
      <c r="M949" s="3">
        <f>IF(K949=1,SUMPRODUCT(--($L$8:$L$1207&lt;L949))+1,"")</f>
        <v/>
      </c>
      <c r="N949" s="17">
        <f>IF(K949=1,N('ORDENES'!$M945),0)</f>
        <v/>
      </c>
      <c r="O949" s="17">
        <f>IF('ORDENES'!$S945="preventiva",N949,0)</f>
        <v/>
      </c>
      <c r="P949" s="17">
        <f>IF('ORDENES'!$S945="correctiva",N949,0)</f>
        <v/>
      </c>
      <c r="Q949" s="3">
        <f>IF(AND(K949=1,'ORDENES'!$N945="Pendiente"),1,0)</f>
        <v/>
      </c>
      <c r="R949" s="3">
        <f>IF(Q949=1,100000-N949*1000+942*0.01,9000000000000+942)</f>
        <v/>
      </c>
      <c r="S949" s="3">
        <f>IF(Q949=1,SUMPRODUCT(--($R$8:$R$1207&lt;R949))+1,"")</f>
        <v/>
      </c>
      <c r="T949" s="11">
        <f>IF(K949=1,'ORDENES'!$J945,"")</f>
        <v/>
      </c>
    </row>
    <row r="950">
      <c r="K950" s="3">
        <f>IF(AND(IF($B$3="(todos)",TRUE,'ORDENES'!$O946=$B$3),IF($D$3="(todos)",TRUE,'ORDENES'!$AC946=$D$3),IF($F$3="(todos)",TRUE,'ORDENES'!$V946=$F$3),'ORDENES'!$AA946=TRUE,'ORDENES'!$A946&lt;&gt;""),1,0)</f>
        <v/>
      </c>
      <c r="L950" s="3">
        <f>IF(K950=1,IFERROR(MATCH('ORDENES'!$R946,lista_dias,0),9)*1000000000+IFERROR(MATCH('ORDENES'!$AC946,lista_turnos,0),9)*10000000+IFERROR(MATCH('ORDENES'!$AB946,'TECNICOS'!$B$4:$B$15,0),99)*100000+943,9000000000000+943)</f>
        <v/>
      </c>
      <c r="M950" s="3">
        <f>IF(K950=1,SUMPRODUCT(--($L$8:$L$1207&lt;L950))+1,"")</f>
        <v/>
      </c>
      <c r="N950" s="17">
        <f>IF(K950=1,N('ORDENES'!$M946),0)</f>
        <v/>
      </c>
      <c r="O950" s="17">
        <f>IF('ORDENES'!$S946="preventiva",N950,0)</f>
        <v/>
      </c>
      <c r="P950" s="17">
        <f>IF('ORDENES'!$S946="correctiva",N950,0)</f>
        <v/>
      </c>
      <c r="Q950" s="3">
        <f>IF(AND(K950=1,'ORDENES'!$N946="Pendiente"),1,0)</f>
        <v/>
      </c>
      <c r="R950" s="3">
        <f>IF(Q950=1,100000-N950*1000+943*0.01,9000000000000+943)</f>
        <v/>
      </c>
      <c r="S950" s="3">
        <f>IF(Q950=1,SUMPRODUCT(--($R$8:$R$1207&lt;R950))+1,"")</f>
        <v/>
      </c>
      <c r="T950" s="11">
        <f>IF(K950=1,'ORDENES'!$J946,"")</f>
        <v/>
      </c>
    </row>
    <row r="951">
      <c r="K951" s="3">
        <f>IF(AND(IF($B$3="(todos)",TRUE,'ORDENES'!$O947=$B$3),IF($D$3="(todos)",TRUE,'ORDENES'!$AC947=$D$3),IF($F$3="(todos)",TRUE,'ORDENES'!$V947=$F$3),'ORDENES'!$AA947=TRUE,'ORDENES'!$A947&lt;&gt;""),1,0)</f>
        <v/>
      </c>
      <c r="L951" s="3">
        <f>IF(K951=1,IFERROR(MATCH('ORDENES'!$R947,lista_dias,0),9)*1000000000+IFERROR(MATCH('ORDENES'!$AC947,lista_turnos,0),9)*10000000+IFERROR(MATCH('ORDENES'!$AB947,'TECNICOS'!$B$4:$B$15,0),99)*100000+944,9000000000000+944)</f>
        <v/>
      </c>
      <c r="M951" s="3">
        <f>IF(K951=1,SUMPRODUCT(--($L$8:$L$1207&lt;L951))+1,"")</f>
        <v/>
      </c>
      <c r="N951" s="17">
        <f>IF(K951=1,N('ORDENES'!$M947),0)</f>
        <v/>
      </c>
      <c r="O951" s="17">
        <f>IF('ORDENES'!$S947="preventiva",N951,0)</f>
        <v/>
      </c>
      <c r="P951" s="17">
        <f>IF('ORDENES'!$S947="correctiva",N951,0)</f>
        <v/>
      </c>
      <c r="Q951" s="3">
        <f>IF(AND(K951=1,'ORDENES'!$N947="Pendiente"),1,0)</f>
        <v/>
      </c>
      <c r="R951" s="3">
        <f>IF(Q951=1,100000-N951*1000+944*0.01,9000000000000+944)</f>
        <v/>
      </c>
      <c r="S951" s="3">
        <f>IF(Q951=1,SUMPRODUCT(--($R$8:$R$1207&lt;R951))+1,"")</f>
        <v/>
      </c>
      <c r="T951" s="11">
        <f>IF(K951=1,'ORDENES'!$J947,"")</f>
        <v/>
      </c>
    </row>
    <row r="952">
      <c r="K952" s="3">
        <f>IF(AND(IF($B$3="(todos)",TRUE,'ORDENES'!$O948=$B$3),IF($D$3="(todos)",TRUE,'ORDENES'!$AC948=$D$3),IF($F$3="(todos)",TRUE,'ORDENES'!$V948=$F$3),'ORDENES'!$AA948=TRUE,'ORDENES'!$A948&lt;&gt;""),1,0)</f>
        <v/>
      </c>
      <c r="L952" s="3">
        <f>IF(K952=1,IFERROR(MATCH('ORDENES'!$R948,lista_dias,0),9)*1000000000+IFERROR(MATCH('ORDENES'!$AC948,lista_turnos,0),9)*10000000+IFERROR(MATCH('ORDENES'!$AB948,'TECNICOS'!$B$4:$B$15,0),99)*100000+945,9000000000000+945)</f>
        <v/>
      </c>
      <c r="M952" s="3">
        <f>IF(K952=1,SUMPRODUCT(--($L$8:$L$1207&lt;L952))+1,"")</f>
        <v/>
      </c>
      <c r="N952" s="17">
        <f>IF(K952=1,N('ORDENES'!$M948),0)</f>
        <v/>
      </c>
      <c r="O952" s="17">
        <f>IF('ORDENES'!$S948="preventiva",N952,0)</f>
        <v/>
      </c>
      <c r="P952" s="17">
        <f>IF('ORDENES'!$S948="correctiva",N952,0)</f>
        <v/>
      </c>
      <c r="Q952" s="3">
        <f>IF(AND(K952=1,'ORDENES'!$N948="Pendiente"),1,0)</f>
        <v/>
      </c>
      <c r="R952" s="3">
        <f>IF(Q952=1,100000-N952*1000+945*0.01,9000000000000+945)</f>
        <v/>
      </c>
      <c r="S952" s="3">
        <f>IF(Q952=1,SUMPRODUCT(--($R$8:$R$1207&lt;R952))+1,"")</f>
        <v/>
      </c>
      <c r="T952" s="11">
        <f>IF(K952=1,'ORDENES'!$J948,"")</f>
        <v/>
      </c>
    </row>
    <row r="953">
      <c r="K953" s="3">
        <f>IF(AND(IF($B$3="(todos)",TRUE,'ORDENES'!$O949=$B$3),IF($D$3="(todos)",TRUE,'ORDENES'!$AC949=$D$3),IF($F$3="(todos)",TRUE,'ORDENES'!$V949=$F$3),'ORDENES'!$AA949=TRUE,'ORDENES'!$A949&lt;&gt;""),1,0)</f>
        <v/>
      </c>
      <c r="L953" s="3">
        <f>IF(K953=1,IFERROR(MATCH('ORDENES'!$R949,lista_dias,0),9)*1000000000+IFERROR(MATCH('ORDENES'!$AC949,lista_turnos,0),9)*10000000+IFERROR(MATCH('ORDENES'!$AB949,'TECNICOS'!$B$4:$B$15,0),99)*100000+946,9000000000000+946)</f>
        <v/>
      </c>
      <c r="M953" s="3">
        <f>IF(K953=1,SUMPRODUCT(--($L$8:$L$1207&lt;L953))+1,"")</f>
        <v/>
      </c>
      <c r="N953" s="17">
        <f>IF(K953=1,N('ORDENES'!$M949),0)</f>
        <v/>
      </c>
      <c r="O953" s="17">
        <f>IF('ORDENES'!$S949="preventiva",N953,0)</f>
        <v/>
      </c>
      <c r="P953" s="17">
        <f>IF('ORDENES'!$S949="correctiva",N953,0)</f>
        <v/>
      </c>
      <c r="Q953" s="3">
        <f>IF(AND(K953=1,'ORDENES'!$N949="Pendiente"),1,0)</f>
        <v/>
      </c>
      <c r="R953" s="3">
        <f>IF(Q953=1,100000-N953*1000+946*0.01,9000000000000+946)</f>
        <v/>
      </c>
      <c r="S953" s="3">
        <f>IF(Q953=1,SUMPRODUCT(--($R$8:$R$1207&lt;R953))+1,"")</f>
        <v/>
      </c>
      <c r="T953" s="11">
        <f>IF(K953=1,'ORDENES'!$J949,"")</f>
        <v/>
      </c>
    </row>
    <row r="954">
      <c r="K954" s="3">
        <f>IF(AND(IF($B$3="(todos)",TRUE,'ORDENES'!$O950=$B$3),IF($D$3="(todos)",TRUE,'ORDENES'!$AC950=$D$3),IF($F$3="(todos)",TRUE,'ORDENES'!$V950=$F$3),'ORDENES'!$AA950=TRUE,'ORDENES'!$A950&lt;&gt;""),1,0)</f>
        <v/>
      </c>
      <c r="L954" s="3">
        <f>IF(K954=1,IFERROR(MATCH('ORDENES'!$R950,lista_dias,0),9)*1000000000+IFERROR(MATCH('ORDENES'!$AC950,lista_turnos,0),9)*10000000+IFERROR(MATCH('ORDENES'!$AB950,'TECNICOS'!$B$4:$B$15,0),99)*100000+947,9000000000000+947)</f>
        <v/>
      </c>
      <c r="M954" s="3">
        <f>IF(K954=1,SUMPRODUCT(--($L$8:$L$1207&lt;L954))+1,"")</f>
        <v/>
      </c>
      <c r="N954" s="17">
        <f>IF(K954=1,N('ORDENES'!$M950),0)</f>
        <v/>
      </c>
      <c r="O954" s="17">
        <f>IF('ORDENES'!$S950="preventiva",N954,0)</f>
        <v/>
      </c>
      <c r="P954" s="17">
        <f>IF('ORDENES'!$S950="correctiva",N954,0)</f>
        <v/>
      </c>
      <c r="Q954" s="3">
        <f>IF(AND(K954=1,'ORDENES'!$N950="Pendiente"),1,0)</f>
        <v/>
      </c>
      <c r="R954" s="3">
        <f>IF(Q954=1,100000-N954*1000+947*0.01,9000000000000+947)</f>
        <v/>
      </c>
      <c r="S954" s="3">
        <f>IF(Q954=1,SUMPRODUCT(--($R$8:$R$1207&lt;R954))+1,"")</f>
        <v/>
      </c>
      <c r="T954" s="11">
        <f>IF(K954=1,'ORDENES'!$J950,"")</f>
        <v/>
      </c>
    </row>
    <row r="955">
      <c r="K955" s="3">
        <f>IF(AND(IF($B$3="(todos)",TRUE,'ORDENES'!$O951=$B$3),IF($D$3="(todos)",TRUE,'ORDENES'!$AC951=$D$3),IF($F$3="(todos)",TRUE,'ORDENES'!$V951=$F$3),'ORDENES'!$AA951=TRUE,'ORDENES'!$A951&lt;&gt;""),1,0)</f>
        <v/>
      </c>
      <c r="L955" s="3">
        <f>IF(K955=1,IFERROR(MATCH('ORDENES'!$R951,lista_dias,0),9)*1000000000+IFERROR(MATCH('ORDENES'!$AC951,lista_turnos,0),9)*10000000+IFERROR(MATCH('ORDENES'!$AB951,'TECNICOS'!$B$4:$B$15,0),99)*100000+948,9000000000000+948)</f>
        <v/>
      </c>
      <c r="M955" s="3">
        <f>IF(K955=1,SUMPRODUCT(--($L$8:$L$1207&lt;L955))+1,"")</f>
        <v/>
      </c>
      <c r="N955" s="17">
        <f>IF(K955=1,N('ORDENES'!$M951),0)</f>
        <v/>
      </c>
      <c r="O955" s="17">
        <f>IF('ORDENES'!$S951="preventiva",N955,0)</f>
        <v/>
      </c>
      <c r="P955" s="17">
        <f>IF('ORDENES'!$S951="correctiva",N955,0)</f>
        <v/>
      </c>
      <c r="Q955" s="3">
        <f>IF(AND(K955=1,'ORDENES'!$N951="Pendiente"),1,0)</f>
        <v/>
      </c>
      <c r="R955" s="3">
        <f>IF(Q955=1,100000-N955*1000+948*0.01,9000000000000+948)</f>
        <v/>
      </c>
      <c r="S955" s="3">
        <f>IF(Q955=1,SUMPRODUCT(--($R$8:$R$1207&lt;R955))+1,"")</f>
        <v/>
      </c>
      <c r="T955" s="11">
        <f>IF(K955=1,'ORDENES'!$J951,"")</f>
        <v/>
      </c>
    </row>
    <row r="956">
      <c r="K956" s="3">
        <f>IF(AND(IF($B$3="(todos)",TRUE,'ORDENES'!$O952=$B$3),IF($D$3="(todos)",TRUE,'ORDENES'!$AC952=$D$3),IF($F$3="(todos)",TRUE,'ORDENES'!$V952=$F$3),'ORDENES'!$AA952=TRUE,'ORDENES'!$A952&lt;&gt;""),1,0)</f>
        <v/>
      </c>
      <c r="L956" s="3">
        <f>IF(K956=1,IFERROR(MATCH('ORDENES'!$R952,lista_dias,0),9)*1000000000+IFERROR(MATCH('ORDENES'!$AC952,lista_turnos,0),9)*10000000+IFERROR(MATCH('ORDENES'!$AB952,'TECNICOS'!$B$4:$B$15,0),99)*100000+949,9000000000000+949)</f>
        <v/>
      </c>
      <c r="M956" s="3">
        <f>IF(K956=1,SUMPRODUCT(--($L$8:$L$1207&lt;L956))+1,"")</f>
        <v/>
      </c>
      <c r="N956" s="17">
        <f>IF(K956=1,N('ORDENES'!$M952),0)</f>
        <v/>
      </c>
      <c r="O956" s="17">
        <f>IF('ORDENES'!$S952="preventiva",N956,0)</f>
        <v/>
      </c>
      <c r="P956" s="17">
        <f>IF('ORDENES'!$S952="correctiva",N956,0)</f>
        <v/>
      </c>
      <c r="Q956" s="3">
        <f>IF(AND(K956=1,'ORDENES'!$N952="Pendiente"),1,0)</f>
        <v/>
      </c>
      <c r="R956" s="3">
        <f>IF(Q956=1,100000-N956*1000+949*0.01,9000000000000+949)</f>
        <v/>
      </c>
      <c r="S956" s="3">
        <f>IF(Q956=1,SUMPRODUCT(--($R$8:$R$1207&lt;R956))+1,"")</f>
        <v/>
      </c>
      <c r="T956" s="11">
        <f>IF(K956=1,'ORDENES'!$J952,"")</f>
        <v/>
      </c>
    </row>
    <row r="957">
      <c r="K957" s="3">
        <f>IF(AND(IF($B$3="(todos)",TRUE,'ORDENES'!$O953=$B$3),IF($D$3="(todos)",TRUE,'ORDENES'!$AC953=$D$3),IF($F$3="(todos)",TRUE,'ORDENES'!$V953=$F$3),'ORDENES'!$AA953=TRUE,'ORDENES'!$A953&lt;&gt;""),1,0)</f>
        <v/>
      </c>
      <c r="L957" s="3">
        <f>IF(K957=1,IFERROR(MATCH('ORDENES'!$R953,lista_dias,0),9)*1000000000+IFERROR(MATCH('ORDENES'!$AC953,lista_turnos,0),9)*10000000+IFERROR(MATCH('ORDENES'!$AB953,'TECNICOS'!$B$4:$B$15,0),99)*100000+950,9000000000000+950)</f>
        <v/>
      </c>
      <c r="M957" s="3">
        <f>IF(K957=1,SUMPRODUCT(--($L$8:$L$1207&lt;L957))+1,"")</f>
        <v/>
      </c>
      <c r="N957" s="17">
        <f>IF(K957=1,N('ORDENES'!$M953),0)</f>
        <v/>
      </c>
      <c r="O957" s="17">
        <f>IF('ORDENES'!$S953="preventiva",N957,0)</f>
        <v/>
      </c>
      <c r="P957" s="17">
        <f>IF('ORDENES'!$S953="correctiva",N957,0)</f>
        <v/>
      </c>
      <c r="Q957" s="3">
        <f>IF(AND(K957=1,'ORDENES'!$N953="Pendiente"),1,0)</f>
        <v/>
      </c>
      <c r="R957" s="3">
        <f>IF(Q957=1,100000-N957*1000+950*0.01,9000000000000+950)</f>
        <v/>
      </c>
      <c r="S957" s="3">
        <f>IF(Q957=1,SUMPRODUCT(--($R$8:$R$1207&lt;R957))+1,"")</f>
        <v/>
      </c>
      <c r="T957" s="11">
        <f>IF(K957=1,'ORDENES'!$J953,"")</f>
        <v/>
      </c>
    </row>
    <row r="958">
      <c r="K958" s="3">
        <f>IF(AND(IF($B$3="(todos)",TRUE,'ORDENES'!$O954=$B$3),IF($D$3="(todos)",TRUE,'ORDENES'!$AC954=$D$3),IF($F$3="(todos)",TRUE,'ORDENES'!$V954=$F$3),'ORDENES'!$AA954=TRUE,'ORDENES'!$A954&lt;&gt;""),1,0)</f>
        <v/>
      </c>
      <c r="L958" s="3">
        <f>IF(K958=1,IFERROR(MATCH('ORDENES'!$R954,lista_dias,0),9)*1000000000+IFERROR(MATCH('ORDENES'!$AC954,lista_turnos,0),9)*10000000+IFERROR(MATCH('ORDENES'!$AB954,'TECNICOS'!$B$4:$B$15,0),99)*100000+951,9000000000000+951)</f>
        <v/>
      </c>
      <c r="M958" s="3">
        <f>IF(K958=1,SUMPRODUCT(--($L$8:$L$1207&lt;L958))+1,"")</f>
        <v/>
      </c>
      <c r="N958" s="17">
        <f>IF(K958=1,N('ORDENES'!$M954),0)</f>
        <v/>
      </c>
      <c r="O958" s="17">
        <f>IF('ORDENES'!$S954="preventiva",N958,0)</f>
        <v/>
      </c>
      <c r="P958" s="17">
        <f>IF('ORDENES'!$S954="correctiva",N958,0)</f>
        <v/>
      </c>
      <c r="Q958" s="3">
        <f>IF(AND(K958=1,'ORDENES'!$N954="Pendiente"),1,0)</f>
        <v/>
      </c>
      <c r="R958" s="3">
        <f>IF(Q958=1,100000-N958*1000+951*0.01,9000000000000+951)</f>
        <v/>
      </c>
      <c r="S958" s="3">
        <f>IF(Q958=1,SUMPRODUCT(--($R$8:$R$1207&lt;R958))+1,"")</f>
        <v/>
      </c>
      <c r="T958" s="11">
        <f>IF(K958=1,'ORDENES'!$J954,"")</f>
        <v/>
      </c>
    </row>
    <row r="959">
      <c r="K959" s="3">
        <f>IF(AND(IF($B$3="(todos)",TRUE,'ORDENES'!$O955=$B$3),IF($D$3="(todos)",TRUE,'ORDENES'!$AC955=$D$3),IF($F$3="(todos)",TRUE,'ORDENES'!$V955=$F$3),'ORDENES'!$AA955=TRUE,'ORDENES'!$A955&lt;&gt;""),1,0)</f>
        <v/>
      </c>
      <c r="L959" s="3">
        <f>IF(K959=1,IFERROR(MATCH('ORDENES'!$R955,lista_dias,0),9)*1000000000+IFERROR(MATCH('ORDENES'!$AC955,lista_turnos,0),9)*10000000+IFERROR(MATCH('ORDENES'!$AB955,'TECNICOS'!$B$4:$B$15,0),99)*100000+952,9000000000000+952)</f>
        <v/>
      </c>
      <c r="M959" s="3">
        <f>IF(K959=1,SUMPRODUCT(--($L$8:$L$1207&lt;L959))+1,"")</f>
        <v/>
      </c>
      <c r="N959" s="17">
        <f>IF(K959=1,N('ORDENES'!$M955),0)</f>
        <v/>
      </c>
      <c r="O959" s="17">
        <f>IF('ORDENES'!$S955="preventiva",N959,0)</f>
        <v/>
      </c>
      <c r="P959" s="17">
        <f>IF('ORDENES'!$S955="correctiva",N959,0)</f>
        <v/>
      </c>
      <c r="Q959" s="3">
        <f>IF(AND(K959=1,'ORDENES'!$N955="Pendiente"),1,0)</f>
        <v/>
      </c>
      <c r="R959" s="3">
        <f>IF(Q959=1,100000-N959*1000+952*0.01,9000000000000+952)</f>
        <v/>
      </c>
      <c r="S959" s="3">
        <f>IF(Q959=1,SUMPRODUCT(--($R$8:$R$1207&lt;R959))+1,"")</f>
        <v/>
      </c>
      <c r="T959" s="11">
        <f>IF(K959=1,'ORDENES'!$J955,"")</f>
        <v/>
      </c>
    </row>
    <row r="960">
      <c r="K960" s="3">
        <f>IF(AND(IF($B$3="(todos)",TRUE,'ORDENES'!$O956=$B$3),IF($D$3="(todos)",TRUE,'ORDENES'!$AC956=$D$3),IF($F$3="(todos)",TRUE,'ORDENES'!$V956=$F$3),'ORDENES'!$AA956=TRUE,'ORDENES'!$A956&lt;&gt;""),1,0)</f>
        <v/>
      </c>
      <c r="L960" s="3">
        <f>IF(K960=1,IFERROR(MATCH('ORDENES'!$R956,lista_dias,0),9)*1000000000+IFERROR(MATCH('ORDENES'!$AC956,lista_turnos,0),9)*10000000+IFERROR(MATCH('ORDENES'!$AB956,'TECNICOS'!$B$4:$B$15,0),99)*100000+953,9000000000000+953)</f>
        <v/>
      </c>
      <c r="M960" s="3">
        <f>IF(K960=1,SUMPRODUCT(--($L$8:$L$1207&lt;L960))+1,"")</f>
        <v/>
      </c>
      <c r="N960" s="17">
        <f>IF(K960=1,N('ORDENES'!$M956),0)</f>
        <v/>
      </c>
      <c r="O960" s="17">
        <f>IF('ORDENES'!$S956="preventiva",N960,0)</f>
        <v/>
      </c>
      <c r="P960" s="17">
        <f>IF('ORDENES'!$S956="correctiva",N960,0)</f>
        <v/>
      </c>
      <c r="Q960" s="3">
        <f>IF(AND(K960=1,'ORDENES'!$N956="Pendiente"),1,0)</f>
        <v/>
      </c>
      <c r="R960" s="3">
        <f>IF(Q960=1,100000-N960*1000+953*0.01,9000000000000+953)</f>
        <v/>
      </c>
      <c r="S960" s="3">
        <f>IF(Q960=1,SUMPRODUCT(--($R$8:$R$1207&lt;R960))+1,"")</f>
        <v/>
      </c>
      <c r="T960" s="11">
        <f>IF(K960=1,'ORDENES'!$J956,"")</f>
        <v/>
      </c>
    </row>
    <row r="961">
      <c r="K961" s="3">
        <f>IF(AND(IF($B$3="(todos)",TRUE,'ORDENES'!$O957=$B$3),IF($D$3="(todos)",TRUE,'ORDENES'!$AC957=$D$3),IF($F$3="(todos)",TRUE,'ORDENES'!$V957=$F$3),'ORDENES'!$AA957=TRUE,'ORDENES'!$A957&lt;&gt;""),1,0)</f>
        <v/>
      </c>
      <c r="L961" s="3">
        <f>IF(K961=1,IFERROR(MATCH('ORDENES'!$R957,lista_dias,0),9)*1000000000+IFERROR(MATCH('ORDENES'!$AC957,lista_turnos,0),9)*10000000+IFERROR(MATCH('ORDENES'!$AB957,'TECNICOS'!$B$4:$B$15,0),99)*100000+954,9000000000000+954)</f>
        <v/>
      </c>
      <c r="M961" s="3">
        <f>IF(K961=1,SUMPRODUCT(--($L$8:$L$1207&lt;L961))+1,"")</f>
        <v/>
      </c>
      <c r="N961" s="17">
        <f>IF(K961=1,N('ORDENES'!$M957),0)</f>
        <v/>
      </c>
      <c r="O961" s="17">
        <f>IF('ORDENES'!$S957="preventiva",N961,0)</f>
        <v/>
      </c>
      <c r="P961" s="17">
        <f>IF('ORDENES'!$S957="correctiva",N961,0)</f>
        <v/>
      </c>
      <c r="Q961" s="3">
        <f>IF(AND(K961=1,'ORDENES'!$N957="Pendiente"),1,0)</f>
        <v/>
      </c>
      <c r="R961" s="3">
        <f>IF(Q961=1,100000-N961*1000+954*0.01,9000000000000+954)</f>
        <v/>
      </c>
      <c r="S961" s="3">
        <f>IF(Q961=1,SUMPRODUCT(--($R$8:$R$1207&lt;R961))+1,"")</f>
        <v/>
      </c>
      <c r="T961" s="11">
        <f>IF(K961=1,'ORDENES'!$J957,"")</f>
        <v/>
      </c>
    </row>
    <row r="962">
      <c r="K962" s="3">
        <f>IF(AND(IF($B$3="(todos)",TRUE,'ORDENES'!$O958=$B$3),IF($D$3="(todos)",TRUE,'ORDENES'!$AC958=$D$3),IF($F$3="(todos)",TRUE,'ORDENES'!$V958=$F$3),'ORDENES'!$AA958=TRUE,'ORDENES'!$A958&lt;&gt;""),1,0)</f>
        <v/>
      </c>
      <c r="L962" s="3">
        <f>IF(K962=1,IFERROR(MATCH('ORDENES'!$R958,lista_dias,0),9)*1000000000+IFERROR(MATCH('ORDENES'!$AC958,lista_turnos,0),9)*10000000+IFERROR(MATCH('ORDENES'!$AB958,'TECNICOS'!$B$4:$B$15,0),99)*100000+955,9000000000000+955)</f>
        <v/>
      </c>
      <c r="M962" s="3">
        <f>IF(K962=1,SUMPRODUCT(--($L$8:$L$1207&lt;L962))+1,"")</f>
        <v/>
      </c>
      <c r="N962" s="17">
        <f>IF(K962=1,N('ORDENES'!$M958),0)</f>
        <v/>
      </c>
      <c r="O962" s="17">
        <f>IF('ORDENES'!$S958="preventiva",N962,0)</f>
        <v/>
      </c>
      <c r="P962" s="17">
        <f>IF('ORDENES'!$S958="correctiva",N962,0)</f>
        <v/>
      </c>
      <c r="Q962" s="3">
        <f>IF(AND(K962=1,'ORDENES'!$N958="Pendiente"),1,0)</f>
        <v/>
      </c>
      <c r="R962" s="3">
        <f>IF(Q962=1,100000-N962*1000+955*0.01,9000000000000+955)</f>
        <v/>
      </c>
      <c r="S962" s="3">
        <f>IF(Q962=1,SUMPRODUCT(--($R$8:$R$1207&lt;R962))+1,"")</f>
        <v/>
      </c>
      <c r="T962" s="11">
        <f>IF(K962=1,'ORDENES'!$J958,"")</f>
        <v/>
      </c>
    </row>
    <row r="963">
      <c r="K963" s="3">
        <f>IF(AND(IF($B$3="(todos)",TRUE,'ORDENES'!$O959=$B$3),IF($D$3="(todos)",TRUE,'ORDENES'!$AC959=$D$3),IF($F$3="(todos)",TRUE,'ORDENES'!$V959=$F$3),'ORDENES'!$AA959=TRUE,'ORDENES'!$A959&lt;&gt;""),1,0)</f>
        <v/>
      </c>
      <c r="L963" s="3">
        <f>IF(K963=1,IFERROR(MATCH('ORDENES'!$R959,lista_dias,0),9)*1000000000+IFERROR(MATCH('ORDENES'!$AC959,lista_turnos,0),9)*10000000+IFERROR(MATCH('ORDENES'!$AB959,'TECNICOS'!$B$4:$B$15,0),99)*100000+956,9000000000000+956)</f>
        <v/>
      </c>
      <c r="M963" s="3">
        <f>IF(K963=1,SUMPRODUCT(--($L$8:$L$1207&lt;L963))+1,"")</f>
        <v/>
      </c>
      <c r="N963" s="17">
        <f>IF(K963=1,N('ORDENES'!$M959),0)</f>
        <v/>
      </c>
      <c r="O963" s="17">
        <f>IF('ORDENES'!$S959="preventiva",N963,0)</f>
        <v/>
      </c>
      <c r="P963" s="17">
        <f>IF('ORDENES'!$S959="correctiva",N963,0)</f>
        <v/>
      </c>
      <c r="Q963" s="3">
        <f>IF(AND(K963=1,'ORDENES'!$N959="Pendiente"),1,0)</f>
        <v/>
      </c>
      <c r="R963" s="3">
        <f>IF(Q963=1,100000-N963*1000+956*0.01,9000000000000+956)</f>
        <v/>
      </c>
      <c r="S963" s="3">
        <f>IF(Q963=1,SUMPRODUCT(--($R$8:$R$1207&lt;R963))+1,"")</f>
        <v/>
      </c>
      <c r="T963" s="11">
        <f>IF(K963=1,'ORDENES'!$J959,"")</f>
        <v/>
      </c>
    </row>
    <row r="964">
      <c r="K964" s="3">
        <f>IF(AND(IF($B$3="(todos)",TRUE,'ORDENES'!$O960=$B$3),IF($D$3="(todos)",TRUE,'ORDENES'!$AC960=$D$3),IF($F$3="(todos)",TRUE,'ORDENES'!$V960=$F$3),'ORDENES'!$AA960=TRUE,'ORDENES'!$A960&lt;&gt;""),1,0)</f>
        <v/>
      </c>
      <c r="L964" s="3">
        <f>IF(K964=1,IFERROR(MATCH('ORDENES'!$R960,lista_dias,0),9)*1000000000+IFERROR(MATCH('ORDENES'!$AC960,lista_turnos,0),9)*10000000+IFERROR(MATCH('ORDENES'!$AB960,'TECNICOS'!$B$4:$B$15,0),99)*100000+957,9000000000000+957)</f>
        <v/>
      </c>
      <c r="M964" s="3">
        <f>IF(K964=1,SUMPRODUCT(--($L$8:$L$1207&lt;L964))+1,"")</f>
        <v/>
      </c>
      <c r="N964" s="17">
        <f>IF(K964=1,N('ORDENES'!$M960),0)</f>
        <v/>
      </c>
      <c r="O964" s="17">
        <f>IF('ORDENES'!$S960="preventiva",N964,0)</f>
        <v/>
      </c>
      <c r="P964" s="17">
        <f>IF('ORDENES'!$S960="correctiva",N964,0)</f>
        <v/>
      </c>
      <c r="Q964" s="3">
        <f>IF(AND(K964=1,'ORDENES'!$N960="Pendiente"),1,0)</f>
        <v/>
      </c>
      <c r="R964" s="3">
        <f>IF(Q964=1,100000-N964*1000+957*0.01,9000000000000+957)</f>
        <v/>
      </c>
      <c r="S964" s="3">
        <f>IF(Q964=1,SUMPRODUCT(--($R$8:$R$1207&lt;R964))+1,"")</f>
        <v/>
      </c>
      <c r="T964" s="11">
        <f>IF(K964=1,'ORDENES'!$J960,"")</f>
        <v/>
      </c>
    </row>
    <row r="965">
      <c r="K965" s="3">
        <f>IF(AND(IF($B$3="(todos)",TRUE,'ORDENES'!$O961=$B$3),IF($D$3="(todos)",TRUE,'ORDENES'!$AC961=$D$3),IF($F$3="(todos)",TRUE,'ORDENES'!$V961=$F$3),'ORDENES'!$AA961=TRUE,'ORDENES'!$A961&lt;&gt;""),1,0)</f>
        <v/>
      </c>
      <c r="L965" s="3">
        <f>IF(K965=1,IFERROR(MATCH('ORDENES'!$R961,lista_dias,0),9)*1000000000+IFERROR(MATCH('ORDENES'!$AC961,lista_turnos,0),9)*10000000+IFERROR(MATCH('ORDENES'!$AB961,'TECNICOS'!$B$4:$B$15,0),99)*100000+958,9000000000000+958)</f>
        <v/>
      </c>
      <c r="M965" s="3">
        <f>IF(K965=1,SUMPRODUCT(--($L$8:$L$1207&lt;L965))+1,"")</f>
        <v/>
      </c>
      <c r="N965" s="17">
        <f>IF(K965=1,N('ORDENES'!$M961),0)</f>
        <v/>
      </c>
      <c r="O965" s="17">
        <f>IF('ORDENES'!$S961="preventiva",N965,0)</f>
        <v/>
      </c>
      <c r="P965" s="17">
        <f>IF('ORDENES'!$S961="correctiva",N965,0)</f>
        <v/>
      </c>
      <c r="Q965" s="3">
        <f>IF(AND(K965=1,'ORDENES'!$N961="Pendiente"),1,0)</f>
        <v/>
      </c>
      <c r="R965" s="3">
        <f>IF(Q965=1,100000-N965*1000+958*0.01,9000000000000+958)</f>
        <v/>
      </c>
      <c r="S965" s="3">
        <f>IF(Q965=1,SUMPRODUCT(--($R$8:$R$1207&lt;R965))+1,"")</f>
        <v/>
      </c>
      <c r="T965" s="11">
        <f>IF(K965=1,'ORDENES'!$J961,"")</f>
        <v/>
      </c>
    </row>
    <row r="966">
      <c r="K966" s="3">
        <f>IF(AND(IF($B$3="(todos)",TRUE,'ORDENES'!$O962=$B$3),IF($D$3="(todos)",TRUE,'ORDENES'!$AC962=$D$3),IF($F$3="(todos)",TRUE,'ORDENES'!$V962=$F$3),'ORDENES'!$AA962=TRUE,'ORDENES'!$A962&lt;&gt;""),1,0)</f>
        <v/>
      </c>
      <c r="L966" s="3">
        <f>IF(K966=1,IFERROR(MATCH('ORDENES'!$R962,lista_dias,0),9)*1000000000+IFERROR(MATCH('ORDENES'!$AC962,lista_turnos,0),9)*10000000+IFERROR(MATCH('ORDENES'!$AB962,'TECNICOS'!$B$4:$B$15,0),99)*100000+959,9000000000000+959)</f>
        <v/>
      </c>
      <c r="M966" s="3">
        <f>IF(K966=1,SUMPRODUCT(--($L$8:$L$1207&lt;L966))+1,"")</f>
        <v/>
      </c>
      <c r="N966" s="17">
        <f>IF(K966=1,N('ORDENES'!$M962),0)</f>
        <v/>
      </c>
      <c r="O966" s="17">
        <f>IF('ORDENES'!$S962="preventiva",N966,0)</f>
        <v/>
      </c>
      <c r="P966" s="17">
        <f>IF('ORDENES'!$S962="correctiva",N966,0)</f>
        <v/>
      </c>
      <c r="Q966" s="3">
        <f>IF(AND(K966=1,'ORDENES'!$N962="Pendiente"),1,0)</f>
        <v/>
      </c>
      <c r="R966" s="3">
        <f>IF(Q966=1,100000-N966*1000+959*0.01,9000000000000+959)</f>
        <v/>
      </c>
      <c r="S966" s="3">
        <f>IF(Q966=1,SUMPRODUCT(--($R$8:$R$1207&lt;R966))+1,"")</f>
        <v/>
      </c>
      <c r="T966" s="11">
        <f>IF(K966=1,'ORDENES'!$J962,"")</f>
        <v/>
      </c>
    </row>
    <row r="967">
      <c r="K967" s="3">
        <f>IF(AND(IF($B$3="(todos)",TRUE,'ORDENES'!$O963=$B$3),IF($D$3="(todos)",TRUE,'ORDENES'!$AC963=$D$3),IF($F$3="(todos)",TRUE,'ORDENES'!$V963=$F$3),'ORDENES'!$AA963=TRUE,'ORDENES'!$A963&lt;&gt;""),1,0)</f>
        <v/>
      </c>
      <c r="L967" s="3">
        <f>IF(K967=1,IFERROR(MATCH('ORDENES'!$R963,lista_dias,0),9)*1000000000+IFERROR(MATCH('ORDENES'!$AC963,lista_turnos,0),9)*10000000+IFERROR(MATCH('ORDENES'!$AB963,'TECNICOS'!$B$4:$B$15,0),99)*100000+960,9000000000000+960)</f>
        <v/>
      </c>
      <c r="M967" s="3">
        <f>IF(K967=1,SUMPRODUCT(--($L$8:$L$1207&lt;L967))+1,"")</f>
        <v/>
      </c>
      <c r="N967" s="17">
        <f>IF(K967=1,N('ORDENES'!$M963),0)</f>
        <v/>
      </c>
      <c r="O967" s="17">
        <f>IF('ORDENES'!$S963="preventiva",N967,0)</f>
        <v/>
      </c>
      <c r="P967" s="17">
        <f>IF('ORDENES'!$S963="correctiva",N967,0)</f>
        <v/>
      </c>
      <c r="Q967" s="3">
        <f>IF(AND(K967=1,'ORDENES'!$N963="Pendiente"),1,0)</f>
        <v/>
      </c>
      <c r="R967" s="3">
        <f>IF(Q967=1,100000-N967*1000+960*0.01,9000000000000+960)</f>
        <v/>
      </c>
      <c r="S967" s="3">
        <f>IF(Q967=1,SUMPRODUCT(--($R$8:$R$1207&lt;R967))+1,"")</f>
        <v/>
      </c>
      <c r="T967" s="11">
        <f>IF(K967=1,'ORDENES'!$J963,"")</f>
        <v/>
      </c>
    </row>
    <row r="968">
      <c r="K968" s="3">
        <f>IF(AND(IF($B$3="(todos)",TRUE,'ORDENES'!$O964=$B$3),IF($D$3="(todos)",TRUE,'ORDENES'!$AC964=$D$3),IF($F$3="(todos)",TRUE,'ORDENES'!$V964=$F$3),'ORDENES'!$AA964=TRUE,'ORDENES'!$A964&lt;&gt;""),1,0)</f>
        <v/>
      </c>
      <c r="L968" s="3">
        <f>IF(K968=1,IFERROR(MATCH('ORDENES'!$R964,lista_dias,0),9)*1000000000+IFERROR(MATCH('ORDENES'!$AC964,lista_turnos,0),9)*10000000+IFERROR(MATCH('ORDENES'!$AB964,'TECNICOS'!$B$4:$B$15,0),99)*100000+961,9000000000000+961)</f>
        <v/>
      </c>
      <c r="M968" s="3">
        <f>IF(K968=1,SUMPRODUCT(--($L$8:$L$1207&lt;L968))+1,"")</f>
        <v/>
      </c>
      <c r="N968" s="17">
        <f>IF(K968=1,N('ORDENES'!$M964),0)</f>
        <v/>
      </c>
      <c r="O968" s="17">
        <f>IF('ORDENES'!$S964="preventiva",N968,0)</f>
        <v/>
      </c>
      <c r="P968" s="17">
        <f>IF('ORDENES'!$S964="correctiva",N968,0)</f>
        <v/>
      </c>
      <c r="Q968" s="3">
        <f>IF(AND(K968=1,'ORDENES'!$N964="Pendiente"),1,0)</f>
        <v/>
      </c>
      <c r="R968" s="3">
        <f>IF(Q968=1,100000-N968*1000+961*0.01,9000000000000+961)</f>
        <v/>
      </c>
      <c r="S968" s="3">
        <f>IF(Q968=1,SUMPRODUCT(--($R$8:$R$1207&lt;R968))+1,"")</f>
        <v/>
      </c>
      <c r="T968" s="11">
        <f>IF(K968=1,'ORDENES'!$J964,"")</f>
        <v/>
      </c>
    </row>
    <row r="969">
      <c r="K969" s="3">
        <f>IF(AND(IF($B$3="(todos)",TRUE,'ORDENES'!$O965=$B$3),IF($D$3="(todos)",TRUE,'ORDENES'!$AC965=$D$3),IF($F$3="(todos)",TRUE,'ORDENES'!$V965=$F$3),'ORDENES'!$AA965=TRUE,'ORDENES'!$A965&lt;&gt;""),1,0)</f>
        <v/>
      </c>
      <c r="L969" s="3">
        <f>IF(K969=1,IFERROR(MATCH('ORDENES'!$R965,lista_dias,0),9)*1000000000+IFERROR(MATCH('ORDENES'!$AC965,lista_turnos,0),9)*10000000+IFERROR(MATCH('ORDENES'!$AB965,'TECNICOS'!$B$4:$B$15,0),99)*100000+962,9000000000000+962)</f>
        <v/>
      </c>
      <c r="M969" s="3">
        <f>IF(K969=1,SUMPRODUCT(--($L$8:$L$1207&lt;L969))+1,"")</f>
        <v/>
      </c>
      <c r="N969" s="17">
        <f>IF(K969=1,N('ORDENES'!$M965),0)</f>
        <v/>
      </c>
      <c r="O969" s="17">
        <f>IF('ORDENES'!$S965="preventiva",N969,0)</f>
        <v/>
      </c>
      <c r="P969" s="17">
        <f>IF('ORDENES'!$S965="correctiva",N969,0)</f>
        <v/>
      </c>
      <c r="Q969" s="3">
        <f>IF(AND(K969=1,'ORDENES'!$N965="Pendiente"),1,0)</f>
        <v/>
      </c>
      <c r="R969" s="3">
        <f>IF(Q969=1,100000-N969*1000+962*0.01,9000000000000+962)</f>
        <v/>
      </c>
      <c r="S969" s="3">
        <f>IF(Q969=1,SUMPRODUCT(--($R$8:$R$1207&lt;R969))+1,"")</f>
        <v/>
      </c>
      <c r="T969" s="11">
        <f>IF(K969=1,'ORDENES'!$J965,"")</f>
        <v/>
      </c>
    </row>
    <row r="970">
      <c r="K970" s="3">
        <f>IF(AND(IF($B$3="(todos)",TRUE,'ORDENES'!$O966=$B$3),IF($D$3="(todos)",TRUE,'ORDENES'!$AC966=$D$3),IF($F$3="(todos)",TRUE,'ORDENES'!$V966=$F$3),'ORDENES'!$AA966=TRUE,'ORDENES'!$A966&lt;&gt;""),1,0)</f>
        <v/>
      </c>
      <c r="L970" s="3">
        <f>IF(K970=1,IFERROR(MATCH('ORDENES'!$R966,lista_dias,0),9)*1000000000+IFERROR(MATCH('ORDENES'!$AC966,lista_turnos,0),9)*10000000+IFERROR(MATCH('ORDENES'!$AB966,'TECNICOS'!$B$4:$B$15,0),99)*100000+963,9000000000000+963)</f>
        <v/>
      </c>
      <c r="M970" s="3">
        <f>IF(K970=1,SUMPRODUCT(--($L$8:$L$1207&lt;L970))+1,"")</f>
        <v/>
      </c>
      <c r="N970" s="17">
        <f>IF(K970=1,N('ORDENES'!$M966),0)</f>
        <v/>
      </c>
      <c r="O970" s="17">
        <f>IF('ORDENES'!$S966="preventiva",N970,0)</f>
        <v/>
      </c>
      <c r="P970" s="17">
        <f>IF('ORDENES'!$S966="correctiva",N970,0)</f>
        <v/>
      </c>
      <c r="Q970" s="3">
        <f>IF(AND(K970=1,'ORDENES'!$N966="Pendiente"),1,0)</f>
        <v/>
      </c>
      <c r="R970" s="3">
        <f>IF(Q970=1,100000-N970*1000+963*0.01,9000000000000+963)</f>
        <v/>
      </c>
      <c r="S970" s="3">
        <f>IF(Q970=1,SUMPRODUCT(--($R$8:$R$1207&lt;R970))+1,"")</f>
        <v/>
      </c>
      <c r="T970" s="11">
        <f>IF(K970=1,'ORDENES'!$J966,"")</f>
        <v/>
      </c>
    </row>
    <row r="971">
      <c r="K971" s="3">
        <f>IF(AND(IF($B$3="(todos)",TRUE,'ORDENES'!$O967=$B$3),IF($D$3="(todos)",TRUE,'ORDENES'!$AC967=$D$3),IF($F$3="(todos)",TRUE,'ORDENES'!$V967=$F$3),'ORDENES'!$AA967=TRUE,'ORDENES'!$A967&lt;&gt;""),1,0)</f>
        <v/>
      </c>
      <c r="L971" s="3">
        <f>IF(K971=1,IFERROR(MATCH('ORDENES'!$R967,lista_dias,0),9)*1000000000+IFERROR(MATCH('ORDENES'!$AC967,lista_turnos,0),9)*10000000+IFERROR(MATCH('ORDENES'!$AB967,'TECNICOS'!$B$4:$B$15,0),99)*100000+964,9000000000000+964)</f>
        <v/>
      </c>
      <c r="M971" s="3">
        <f>IF(K971=1,SUMPRODUCT(--($L$8:$L$1207&lt;L971))+1,"")</f>
        <v/>
      </c>
      <c r="N971" s="17">
        <f>IF(K971=1,N('ORDENES'!$M967),0)</f>
        <v/>
      </c>
      <c r="O971" s="17">
        <f>IF('ORDENES'!$S967="preventiva",N971,0)</f>
        <v/>
      </c>
      <c r="P971" s="17">
        <f>IF('ORDENES'!$S967="correctiva",N971,0)</f>
        <v/>
      </c>
      <c r="Q971" s="3">
        <f>IF(AND(K971=1,'ORDENES'!$N967="Pendiente"),1,0)</f>
        <v/>
      </c>
      <c r="R971" s="3">
        <f>IF(Q971=1,100000-N971*1000+964*0.01,9000000000000+964)</f>
        <v/>
      </c>
      <c r="S971" s="3">
        <f>IF(Q971=1,SUMPRODUCT(--($R$8:$R$1207&lt;R971))+1,"")</f>
        <v/>
      </c>
      <c r="T971" s="11">
        <f>IF(K971=1,'ORDENES'!$J967,"")</f>
        <v/>
      </c>
    </row>
    <row r="972">
      <c r="K972" s="3">
        <f>IF(AND(IF($B$3="(todos)",TRUE,'ORDENES'!$O968=$B$3),IF($D$3="(todos)",TRUE,'ORDENES'!$AC968=$D$3),IF($F$3="(todos)",TRUE,'ORDENES'!$V968=$F$3),'ORDENES'!$AA968=TRUE,'ORDENES'!$A968&lt;&gt;""),1,0)</f>
        <v/>
      </c>
      <c r="L972" s="3">
        <f>IF(K972=1,IFERROR(MATCH('ORDENES'!$R968,lista_dias,0),9)*1000000000+IFERROR(MATCH('ORDENES'!$AC968,lista_turnos,0),9)*10000000+IFERROR(MATCH('ORDENES'!$AB968,'TECNICOS'!$B$4:$B$15,0),99)*100000+965,9000000000000+965)</f>
        <v/>
      </c>
      <c r="M972" s="3">
        <f>IF(K972=1,SUMPRODUCT(--($L$8:$L$1207&lt;L972))+1,"")</f>
        <v/>
      </c>
      <c r="N972" s="17">
        <f>IF(K972=1,N('ORDENES'!$M968),0)</f>
        <v/>
      </c>
      <c r="O972" s="17">
        <f>IF('ORDENES'!$S968="preventiva",N972,0)</f>
        <v/>
      </c>
      <c r="P972" s="17">
        <f>IF('ORDENES'!$S968="correctiva",N972,0)</f>
        <v/>
      </c>
      <c r="Q972" s="3">
        <f>IF(AND(K972=1,'ORDENES'!$N968="Pendiente"),1,0)</f>
        <v/>
      </c>
      <c r="R972" s="3">
        <f>IF(Q972=1,100000-N972*1000+965*0.01,9000000000000+965)</f>
        <v/>
      </c>
      <c r="S972" s="3">
        <f>IF(Q972=1,SUMPRODUCT(--($R$8:$R$1207&lt;R972))+1,"")</f>
        <v/>
      </c>
      <c r="T972" s="11">
        <f>IF(K972=1,'ORDENES'!$J968,"")</f>
        <v/>
      </c>
    </row>
    <row r="973">
      <c r="K973" s="3">
        <f>IF(AND(IF($B$3="(todos)",TRUE,'ORDENES'!$O969=$B$3),IF($D$3="(todos)",TRUE,'ORDENES'!$AC969=$D$3),IF($F$3="(todos)",TRUE,'ORDENES'!$V969=$F$3),'ORDENES'!$AA969=TRUE,'ORDENES'!$A969&lt;&gt;""),1,0)</f>
        <v/>
      </c>
      <c r="L973" s="3">
        <f>IF(K973=1,IFERROR(MATCH('ORDENES'!$R969,lista_dias,0),9)*1000000000+IFERROR(MATCH('ORDENES'!$AC969,lista_turnos,0),9)*10000000+IFERROR(MATCH('ORDENES'!$AB969,'TECNICOS'!$B$4:$B$15,0),99)*100000+966,9000000000000+966)</f>
        <v/>
      </c>
      <c r="M973" s="3">
        <f>IF(K973=1,SUMPRODUCT(--($L$8:$L$1207&lt;L973))+1,"")</f>
        <v/>
      </c>
      <c r="N973" s="17">
        <f>IF(K973=1,N('ORDENES'!$M969),0)</f>
        <v/>
      </c>
      <c r="O973" s="17">
        <f>IF('ORDENES'!$S969="preventiva",N973,0)</f>
        <v/>
      </c>
      <c r="P973" s="17">
        <f>IF('ORDENES'!$S969="correctiva",N973,0)</f>
        <v/>
      </c>
      <c r="Q973" s="3">
        <f>IF(AND(K973=1,'ORDENES'!$N969="Pendiente"),1,0)</f>
        <v/>
      </c>
      <c r="R973" s="3">
        <f>IF(Q973=1,100000-N973*1000+966*0.01,9000000000000+966)</f>
        <v/>
      </c>
      <c r="S973" s="3">
        <f>IF(Q973=1,SUMPRODUCT(--($R$8:$R$1207&lt;R973))+1,"")</f>
        <v/>
      </c>
      <c r="T973" s="11">
        <f>IF(K973=1,'ORDENES'!$J969,"")</f>
        <v/>
      </c>
    </row>
    <row r="974">
      <c r="K974" s="3">
        <f>IF(AND(IF($B$3="(todos)",TRUE,'ORDENES'!$O970=$B$3),IF($D$3="(todos)",TRUE,'ORDENES'!$AC970=$D$3),IF($F$3="(todos)",TRUE,'ORDENES'!$V970=$F$3),'ORDENES'!$AA970=TRUE,'ORDENES'!$A970&lt;&gt;""),1,0)</f>
        <v/>
      </c>
      <c r="L974" s="3">
        <f>IF(K974=1,IFERROR(MATCH('ORDENES'!$R970,lista_dias,0),9)*1000000000+IFERROR(MATCH('ORDENES'!$AC970,lista_turnos,0),9)*10000000+IFERROR(MATCH('ORDENES'!$AB970,'TECNICOS'!$B$4:$B$15,0),99)*100000+967,9000000000000+967)</f>
        <v/>
      </c>
      <c r="M974" s="3">
        <f>IF(K974=1,SUMPRODUCT(--($L$8:$L$1207&lt;L974))+1,"")</f>
        <v/>
      </c>
      <c r="N974" s="17">
        <f>IF(K974=1,N('ORDENES'!$M970),0)</f>
        <v/>
      </c>
      <c r="O974" s="17">
        <f>IF('ORDENES'!$S970="preventiva",N974,0)</f>
        <v/>
      </c>
      <c r="P974" s="17">
        <f>IF('ORDENES'!$S970="correctiva",N974,0)</f>
        <v/>
      </c>
      <c r="Q974" s="3">
        <f>IF(AND(K974=1,'ORDENES'!$N970="Pendiente"),1,0)</f>
        <v/>
      </c>
      <c r="R974" s="3">
        <f>IF(Q974=1,100000-N974*1000+967*0.01,9000000000000+967)</f>
        <v/>
      </c>
      <c r="S974" s="3">
        <f>IF(Q974=1,SUMPRODUCT(--($R$8:$R$1207&lt;R974))+1,"")</f>
        <v/>
      </c>
      <c r="T974" s="11">
        <f>IF(K974=1,'ORDENES'!$J970,"")</f>
        <v/>
      </c>
    </row>
    <row r="975">
      <c r="K975" s="3">
        <f>IF(AND(IF($B$3="(todos)",TRUE,'ORDENES'!$O971=$B$3),IF($D$3="(todos)",TRUE,'ORDENES'!$AC971=$D$3),IF($F$3="(todos)",TRUE,'ORDENES'!$V971=$F$3),'ORDENES'!$AA971=TRUE,'ORDENES'!$A971&lt;&gt;""),1,0)</f>
        <v/>
      </c>
      <c r="L975" s="3">
        <f>IF(K975=1,IFERROR(MATCH('ORDENES'!$R971,lista_dias,0),9)*1000000000+IFERROR(MATCH('ORDENES'!$AC971,lista_turnos,0),9)*10000000+IFERROR(MATCH('ORDENES'!$AB971,'TECNICOS'!$B$4:$B$15,0),99)*100000+968,9000000000000+968)</f>
        <v/>
      </c>
      <c r="M975" s="3">
        <f>IF(K975=1,SUMPRODUCT(--($L$8:$L$1207&lt;L975))+1,"")</f>
        <v/>
      </c>
      <c r="N975" s="17">
        <f>IF(K975=1,N('ORDENES'!$M971),0)</f>
        <v/>
      </c>
      <c r="O975" s="17">
        <f>IF('ORDENES'!$S971="preventiva",N975,0)</f>
        <v/>
      </c>
      <c r="P975" s="17">
        <f>IF('ORDENES'!$S971="correctiva",N975,0)</f>
        <v/>
      </c>
      <c r="Q975" s="3">
        <f>IF(AND(K975=1,'ORDENES'!$N971="Pendiente"),1,0)</f>
        <v/>
      </c>
      <c r="R975" s="3">
        <f>IF(Q975=1,100000-N975*1000+968*0.01,9000000000000+968)</f>
        <v/>
      </c>
      <c r="S975" s="3">
        <f>IF(Q975=1,SUMPRODUCT(--($R$8:$R$1207&lt;R975))+1,"")</f>
        <v/>
      </c>
      <c r="T975" s="11">
        <f>IF(K975=1,'ORDENES'!$J971,"")</f>
        <v/>
      </c>
    </row>
    <row r="976">
      <c r="K976" s="3">
        <f>IF(AND(IF($B$3="(todos)",TRUE,'ORDENES'!$O972=$B$3),IF($D$3="(todos)",TRUE,'ORDENES'!$AC972=$D$3),IF($F$3="(todos)",TRUE,'ORDENES'!$V972=$F$3),'ORDENES'!$AA972=TRUE,'ORDENES'!$A972&lt;&gt;""),1,0)</f>
        <v/>
      </c>
      <c r="L976" s="3">
        <f>IF(K976=1,IFERROR(MATCH('ORDENES'!$R972,lista_dias,0),9)*1000000000+IFERROR(MATCH('ORDENES'!$AC972,lista_turnos,0),9)*10000000+IFERROR(MATCH('ORDENES'!$AB972,'TECNICOS'!$B$4:$B$15,0),99)*100000+969,9000000000000+969)</f>
        <v/>
      </c>
      <c r="M976" s="3">
        <f>IF(K976=1,SUMPRODUCT(--($L$8:$L$1207&lt;L976))+1,"")</f>
        <v/>
      </c>
      <c r="N976" s="17">
        <f>IF(K976=1,N('ORDENES'!$M972),0)</f>
        <v/>
      </c>
      <c r="O976" s="17">
        <f>IF('ORDENES'!$S972="preventiva",N976,0)</f>
        <v/>
      </c>
      <c r="P976" s="17">
        <f>IF('ORDENES'!$S972="correctiva",N976,0)</f>
        <v/>
      </c>
      <c r="Q976" s="3">
        <f>IF(AND(K976=1,'ORDENES'!$N972="Pendiente"),1,0)</f>
        <v/>
      </c>
      <c r="R976" s="3">
        <f>IF(Q976=1,100000-N976*1000+969*0.01,9000000000000+969)</f>
        <v/>
      </c>
      <c r="S976" s="3">
        <f>IF(Q976=1,SUMPRODUCT(--($R$8:$R$1207&lt;R976))+1,"")</f>
        <v/>
      </c>
      <c r="T976" s="11">
        <f>IF(K976=1,'ORDENES'!$J972,"")</f>
        <v/>
      </c>
    </row>
    <row r="977">
      <c r="K977" s="3">
        <f>IF(AND(IF($B$3="(todos)",TRUE,'ORDENES'!$O973=$B$3),IF($D$3="(todos)",TRUE,'ORDENES'!$AC973=$D$3),IF($F$3="(todos)",TRUE,'ORDENES'!$V973=$F$3),'ORDENES'!$AA973=TRUE,'ORDENES'!$A973&lt;&gt;""),1,0)</f>
        <v/>
      </c>
      <c r="L977" s="3">
        <f>IF(K977=1,IFERROR(MATCH('ORDENES'!$R973,lista_dias,0),9)*1000000000+IFERROR(MATCH('ORDENES'!$AC973,lista_turnos,0),9)*10000000+IFERROR(MATCH('ORDENES'!$AB973,'TECNICOS'!$B$4:$B$15,0),99)*100000+970,9000000000000+970)</f>
        <v/>
      </c>
      <c r="M977" s="3">
        <f>IF(K977=1,SUMPRODUCT(--($L$8:$L$1207&lt;L977))+1,"")</f>
        <v/>
      </c>
      <c r="N977" s="17">
        <f>IF(K977=1,N('ORDENES'!$M973),0)</f>
        <v/>
      </c>
      <c r="O977" s="17">
        <f>IF('ORDENES'!$S973="preventiva",N977,0)</f>
        <v/>
      </c>
      <c r="P977" s="17">
        <f>IF('ORDENES'!$S973="correctiva",N977,0)</f>
        <v/>
      </c>
      <c r="Q977" s="3">
        <f>IF(AND(K977=1,'ORDENES'!$N973="Pendiente"),1,0)</f>
        <v/>
      </c>
      <c r="R977" s="3">
        <f>IF(Q977=1,100000-N977*1000+970*0.01,9000000000000+970)</f>
        <v/>
      </c>
      <c r="S977" s="3">
        <f>IF(Q977=1,SUMPRODUCT(--($R$8:$R$1207&lt;R977))+1,"")</f>
        <v/>
      </c>
      <c r="T977" s="11">
        <f>IF(K977=1,'ORDENES'!$J973,"")</f>
        <v/>
      </c>
    </row>
    <row r="978">
      <c r="K978" s="3">
        <f>IF(AND(IF($B$3="(todos)",TRUE,'ORDENES'!$O974=$B$3),IF($D$3="(todos)",TRUE,'ORDENES'!$AC974=$D$3),IF($F$3="(todos)",TRUE,'ORDENES'!$V974=$F$3),'ORDENES'!$AA974=TRUE,'ORDENES'!$A974&lt;&gt;""),1,0)</f>
        <v/>
      </c>
      <c r="L978" s="3">
        <f>IF(K978=1,IFERROR(MATCH('ORDENES'!$R974,lista_dias,0),9)*1000000000+IFERROR(MATCH('ORDENES'!$AC974,lista_turnos,0),9)*10000000+IFERROR(MATCH('ORDENES'!$AB974,'TECNICOS'!$B$4:$B$15,0),99)*100000+971,9000000000000+971)</f>
        <v/>
      </c>
      <c r="M978" s="3">
        <f>IF(K978=1,SUMPRODUCT(--($L$8:$L$1207&lt;L978))+1,"")</f>
        <v/>
      </c>
      <c r="N978" s="17">
        <f>IF(K978=1,N('ORDENES'!$M974),0)</f>
        <v/>
      </c>
      <c r="O978" s="17">
        <f>IF('ORDENES'!$S974="preventiva",N978,0)</f>
        <v/>
      </c>
      <c r="P978" s="17">
        <f>IF('ORDENES'!$S974="correctiva",N978,0)</f>
        <v/>
      </c>
      <c r="Q978" s="3">
        <f>IF(AND(K978=1,'ORDENES'!$N974="Pendiente"),1,0)</f>
        <v/>
      </c>
      <c r="R978" s="3">
        <f>IF(Q978=1,100000-N978*1000+971*0.01,9000000000000+971)</f>
        <v/>
      </c>
      <c r="S978" s="3">
        <f>IF(Q978=1,SUMPRODUCT(--($R$8:$R$1207&lt;R978))+1,"")</f>
        <v/>
      </c>
      <c r="T978" s="11">
        <f>IF(K978=1,'ORDENES'!$J974,"")</f>
        <v/>
      </c>
    </row>
    <row r="979">
      <c r="K979" s="3">
        <f>IF(AND(IF($B$3="(todos)",TRUE,'ORDENES'!$O975=$B$3),IF($D$3="(todos)",TRUE,'ORDENES'!$AC975=$D$3),IF($F$3="(todos)",TRUE,'ORDENES'!$V975=$F$3),'ORDENES'!$AA975=TRUE,'ORDENES'!$A975&lt;&gt;""),1,0)</f>
        <v/>
      </c>
      <c r="L979" s="3">
        <f>IF(K979=1,IFERROR(MATCH('ORDENES'!$R975,lista_dias,0),9)*1000000000+IFERROR(MATCH('ORDENES'!$AC975,lista_turnos,0),9)*10000000+IFERROR(MATCH('ORDENES'!$AB975,'TECNICOS'!$B$4:$B$15,0),99)*100000+972,9000000000000+972)</f>
        <v/>
      </c>
      <c r="M979" s="3">
        <f>IF(K979=1,SUMPRODUCT(--($L$8:$L$1207&lt;L979))+1,"")</f>
        <v/>
      </c>
      <c r="N979" s="17">
        <f>IF(K979=1,N('ORDENES'!$M975),0)</f>
        <v/>
      </c>
      <c r="O979" s="17">
        <f>IF('ORDENES'!$S975="preventiva",N979,0)</f>
        <v/>
      </c>
      <c r="P979" s="17">
        <f>IF('ORDENES'!$S975="correctiva",N979,0)</f>
        <v/>
      </c>
      <c r="Q979" s="3">
        <f>IF(AND(K979=1,'ORDENES'!$N975="Pendiente"),1,0)</f>
        <v/>
      </c>
      <c r="R979" s="3">
        <f>IF(Q979=1,100000-N979*1000+972*0.01,9000000000000+972)</f>
        <v/>
      </c>
      <c r="S979" s="3">
        <f>IF(Q979=1,SUMPRODUCT(--($R$8:$R$1207&lt;R979))+1,"")</f>
        <v/>
      </c>
      <c r="T979" s="11">
        <f>IF(K979=1,'ORDENES'!$J975,"")</f>
        <v/>
      </c>
    </row>
    <row r="980">
      <c r="K980" s="3">
        <f>IF(AND(IF($B$3="(todos)",TRUE,'ORDENES'!$O976=$B$3),IF($D$3="(todos)",TRUE,'ORDENES'!$AC976=$D$3),IF($F$3="(todos)",TRUE,'ORDENES'!$V976=$F$3),'ORDENES'!$AA976=TRUE,'ORDENES'!$A976&lt;&gt;""),1,0)</f>
        <v/>
      </c>
      <c r="L980" s="3">
        <f>IF(K980=1,IFERROR(MATCH('ORDENES'!$R976,lista_dias,0),9)*1000000000+IFERROR(MATCH('ORDENES'!$AC976,lista_turnos,0),9)*10000000+IFERROR(MATCH('ORDENES'!$AB976,'TECNICOS'!$B$4:$B$15,0),99)*100000+973,9000000000000+973)</f>
        <v/>
      </c>
      <c r="M980" s="3">
        <f>IF(K980=1,SUMPRODUCT(--($L$8:$L$1207&lt;L980))+1,"")</f>
        <v/>
      </c>
      <c r="N980" s="17">
        <f>IF(K980=1,N('ORDENES'!$M976),0)</f>
        <v/>
      </c>
      <c r="O980" s="17">
        <f>IF('ORDENES'!$S976="preventiva",N980,0)</f>
        <v/>
      </c>
      <c r="P980" s="17">
        <f>IF('ORDENES'!$S976="correctiva",N980,0)</f>
        <v/>
      </c>
      <c r="Q980" s="3">
        <f>IF(AND(K980=1,'ORDENES'!$N976="Pendiente"),1,0)</f>
        <v/>
      </c>
      <c r="R980" s="3">
        <f>IF(Q980=1,100000-N980*1000+973*0.01,9000000000000+973)</f>
        <v/>
      </c>
      <c r="S980" s="3">
        <f>IF(Q980=1,SUMPRODUCT(--($R$8:$R$1207&lt;R980))+1,"")</f>
        <v/>
      </c>
      <c r="T980" s="11">
        <f>IF(K980=1,'ORDENES'!$J976,"")</f>
        <v/>
      </c>
    </row>
    <row r="981">
      <c r="K981" s="3">
        <f>IF(AND(IF($B$3="(todos)",TRUE,'ORDENES'!$O977=$B$3),IF($D$3="(todos)",TRUE,'ORDENES'!$AC977=$D$3),IF($F$3="(todos)",TRUE,'ORDENES'!$V977=$F$3),'ORDENES'!$AA977=TRUE,'ORDENES'!$A977&lt;&gt;""),1,0)</f>
        <v/>
      </c>
      <c r="L981" s="3">
        <f>IF(K981=1,IFERROR(MATCH('ORDENES'!$R977,lista_dias,0),9)*1000000000+IFERROR(MATCH('ORDENES'!$AC977,lista_turnos,0),9)*10000000+IFERROR(MATCH('ORDENES'!$AB977,'TECNICOS'!$B$4:$B$15,0),99)*100000+974,9000000000000+974)</f>
        <v/>
      </c>
      <c r="M981" s="3">
        <f>IF(K981=1,SUMPRODUCT(--($L$8:$L$1207&lt;L981))+1,"")</f>
        <v/>
      </c>
      <c r="N981" s="17">
        <f>IF(K981=1,N('ORDENES'!$M977),0)</f>
        <v/>
      </c>
      <c r="O981" s="17">
        <f>IF('ORDENES'!$S977="preventiva",N981,0)</f>
        <v/>
      </c>
      <c r="P981" s="17">
        <f>IF('ORDENES'!$S977="correctiva",N981,0)</f>
        <v/>
      </c>
      <c r="Q981" s="3">
        <f>IF(AND(K981=1,'ORDENES'!$N977="Pendiente"),1,0)</f>
        <v/>
      </c>
      <c r="R981" s="3">
        <f>IF(Q981=1,100000-N981*1000+974*0.01,9000000000000+974)</f>
        <v/>
      </c>
      <c r="S981" s="3">
        <f>IF(Q981=1,SUMPRODUCT(--($R$8:$R$1207&lt;R981))+1,"")</f>
        <v/>
      </c>
      <c r="T981" s="11">
        <f>IF(K981=1,'ORDENES'!$J977,"")</f>
        <v/>
      </c>
    </row>
    <row r="982">
      <c r="K982" s="3">
        <f>IF(AND(IF($B$3="(todos)",TRUE,'ORDENES'!$O978=$B$3),IF($D$3="(todos)",TRUE,'ORDENES'!$AC978=$D$3),IF($F$3="(todos)",TRUE,'ORDENES'!$V978=$F$3),'ORDENES'!$AA978=TRUE,'ORDENES'!$A978&lt;&gt;""),1,0)</f>
        <v/>
      </c>
      <c r="L982" s="3">
        <f>IF(K982=1,IFERROR(MATCH('ORDENES'!$R978,lista_dias,0),9)*1000000000+IFERROR(MATCH('ORDENES'!$AC978,lista_turnos,0),9)*10000000+IFERROR(MATCH('ORDENES'!$AB978,'TECNICOS'!$B$4:$B$15,0),99)*100000+975,9000000000000+975)</f>
        <v/>
      </c>
      <c r="M982" s="3">
        <f>IF(K982=1,SUMPRODUCT(--($L$8:$L$1207&lt;L982))+1,"")</f>
        <v/>
      </c>
      <c r="N982" s="17">
        <f>IF(K982=1,N('ORDENES'!$M978),0)</f>
        <v/>
      </c>
      <c r="O982" s="17">
        <f>IF('ORDENES'!$S978="preventiva",N982,0)</f>
        <v/>
      </c>
      <c r="P982" s="17">
        <f>IF('ORDENES'!$S978="correctiva",N982,0)</f>
        <v/>
      </c>
      <c r="Q982" s="3">
        <f>IF(AND(K982=1,'ORDENES'!$N978="Pendiente"),1,0)</f>
        <v/>
      </c>
      <c r="R982" s="3">
        <f>IF(Q982=1,100000-N982*1000+975*0.01,9000000000000+975)</f>
        <v/>
      </c>
      <c r="S982" s="3">
        <f>IF(Q982=1,SUMPRODUCT(--($R$8:$R$1207&lt;R982))+1,"")</f>
        <v/>
      </c>
      <c r="T982" s="11">
        <f>IF(K982=1,'ORDENES'!$J978,"")</f>
        <v/>
      </c>
    </row>
    <row r="983">
      <c r="K983" s="3">
        <f>IF(AND(IF($B$3="(todos)",TRUE,'ORDENES'!$O979=$B$3),IF($D$3="(todos)",TRUE,'ORDENES'!$AC979=$D$3),IF($F$3="(todos)",TRUE,'ORDENES'!$V979=$F$3),'ORDENES'!$AA979=TRUE,'ORDENES'!$A979&lt;&gt;""),1,0)</f>
        <v/>
      </c>
      <c r="L983" s="3">
        <f>IF(K983=1,IFERROR(MATCH('ORDENES'!$R979,lista_dias,0),9)*1000000000+IFERROR(MATCH('ORDENES'!$AC979,lista_turnos,0),9)*10000000+IFERROR(MATCH('ORDENES'!$AB979,'TECNICOS'!$B$4:$B$15,0),99)*100000+976,9000000000000+976)</f>
        <v/>
      </c>
      <c r="M983" s="3">
        <f>IF(K983=1,SUMPRODUCT(--($L$8:$L$1207&lt;L983))+1,"")</f>
        <v/>
      </c>
      <c r="N983" s="17">
        <f>IF(K983=1,N('ORDENES'!$M979),0)</f>
        <v/>
      </c>
      <c r="O983" s="17">
        <f>IF('ORDENES'!$S979="preventiva",N983,0)</f>
        <v/>
      </c>
      <c r="P983" s="17">
        <f>IF('ORDENES'!$S979="correctiva",N983,0)</f>
        <v/>
      </c>
      <c r="Q983" s="3">
        <f>IF(AND(K983=1,'ORDENES'!$N979="Pendiente"),1,0)</f>
        <v/>
      </c>
      <c r="R983" s="3">
        <f>IF(Q983=1,100000-N983*1000+976*0.01,9000000000000+976)</f>
        <v/>
      </c>
      <c r="S983" s="3">
        <f>IF(Q983=1,SUMPRODUCT(--($R$8:$R$1207&lt;R983))+1,"")</f>
        <v/>
      </c>
      <c r="T983" s="11">
        <f>IF(K983=1,'ORDENES'!$J979,"")</f>
        <v/>
      </c>
    </row>
    <row r="984">
      <c r="K984" s="3">
        <f>IF(AND(IF($B$3="(todos)",TRUE,'ORDENES'!$O980=$B$3),IF($D$3="(todos)",TRUE,'ORDENES'!$AC980=$D$3),IF($F$3="(todos)",TRUE,'ORDENES'!$V980=$F$3),'ORDENES'!$AA980=TRUE,'ORDENES'!$A980&lt;&gt;""),1,0)</f>
        <v/>
      </c>
      <c r="L984" s="3">
        <f>IF(K984=1,IFERROR(MATCH('ORDENES'!$R980,lista_dias,0),9)*1000000000+IFERROR(MATCH('ORDENES'!$AC980,lista_turnos,0),9)*10000000+IFERROR(MATCH('ORDENES'!$AB980,'TECNICOS'!$B$4:$B$15,0),99)*100000+977,9000000000000+977)</f>
        <v/>
      </c>
      <c r="M984" s="3">
        <f>IF(K984=1,SUMPRODUCT(--($L$8:$L$1207&lt;L984))+1,"")</f>
        <v/>
      </c>
      <c r="N984" s="17">
        <f>IF(K984=1,N('ORDENES'!$M980),0)</f>
        <v/>
      </c>
      <c r="O984" s="17">
        <f>IF('ORDENES'!$S980="preventiva",N984,0)</f>
        <v/>
      </c>
      <c r="P984" s="17">
        <f>IF('ORDENES'!$S980="correctiva",N984,0)</f>
        <v/>
      </c>
      <c r="Q984" s="3">
        <f>IF(AND(K984=1,'ORDENES'!$N980="Pendiente"),1,0)</f>
        <v/>
      </c>
      <c r="R984" s="3">
        <f>IF(Q984=1,100000-N984*1000+977*0.01,9000000000000+977)</f>
        <v/>
      </c>
      <c r="S984" s="3">
        <f>IF(Q984=1,SUMPRODUCT(--($R$8:$R$1207&lt;R984))+1,"")</f>
        <v/>
      </c>
      <c r="T984" s="11">
        <f>IF(K984=1,'ORDENES'!$J980,"")</f>
        <v/>
      </c>
    </row>
    <row r="985">
      <c r="K985" s="3">
        <f>IF(AND(IF($B$3="(todos)",TRUE,'ORDENES'!$O981=$B$3),IF($D$3="(todos)",TRUE,'ORDENES'!$AC981=$D$3),IF($F$3="(todos)",TRUE,'ORDENES'!$V981=$F$3),'ORDENES'!$AA981=TRUE,'ORDENES'!$A981&lt;&gt;""),1,0)</f>
        <v/>
      </c>
      <c r="L985" s="3">
        <f>IF(K985=1,IFERROR(MATCH('ORDENES'!$R981,lista_dias,0),9)*1000000000+IFERROR(MATCH('ORDENES'!$AC981,lista_turnos,0),9)*10000000+IFERROR(MATCH('ORDENES'!$AB981,'TECNICOS'!$B$4:$B$15,0),99)*100000+978,9000000000000+978)</f>
        <v/>
      </c>
      <c r="M985" s="3">
        <f>IF(K985=1,SUMPRODUCT(--($L$8:$L$1207&lt;L985))+1,"")</f>
        <v/>
      </c>
      <c r="N985" s="17">
        <f>IF(K985=1,N('ORDENES'!$M981),0)</f>
        <v/>
      </c>
      <c r="O985" s="17">
        <f>IF('ORDENES'!$S981="preventiva",N985,0)</f>
        <v/>
      </c>
      <c r="P985" s="17">
        <f>IF('ORDENES'!$S981="correctiva",N985,0)</f>
        <v/>
      </c>
      <c r="Q985" s="3">
        <f>IF(AND(K985=1,'ORDENES'!$N981="Pendiente"),1,0)</f>
        <v/>
      </c>
      <c r="R985" s="3">
        <f>IF(Q985=1,100000-N985*1000+978*0.01,9000000000000+978)</f>
        <v/>
      </c>
      <c r="S985" s="3">
        <f>IF(Q985=1,SUMPRODUCT(--($R$8:$R$1207&lt;R985))+1,"")</f>
        <v/>
      </c>
      <c r="T985" s="11">
        <f>IF(K985=1,'ORDENES'!$J981,"")</f>
        <v/>
      </c>
    </row>
    <row r="986">
      <c r="K986" s="3">
        <f>IF(AND(IF($B$3="(todos)",TRUE,'ORDENES'!$O982=$B$3),IF($D$3="(todos)",TRUE,'ORDENES'!$AC982=$D$3),IF($F$3="(todos)",TRUE,'ORDENES'!$V982=$F$3),'ORDENES'!$AA982=TRUE,'ORDENES'!$A982&lt;&gt;""),1,0)</f>
        <v/>
      </c>
      <c r="L986" s="3">
        <f>IF(K986=1,IFERROR(MATCH('ORDENES'!$R982,lista_dias,0),9)*1000000000+IFERROR(MATCH('ORDENES'!$AC982,lista_turnos,0),9)*10000000+IFERROR(MATCH('ORDENES'!$AB982,'TECNICOS'!$B$4:$B$15,0),99)*100000+979,9000000000000+979)</f>
        <v/>
      </c>
      <c r="M986" s="3">
        <f>IF(K986=1,SUMPRODUCT(--($L$8:$L$1207&lt;L986))+1,"")</f>
        <v/>
      </c>
      <c r="N986" s="17">
        <f>IF(K986=1,N('ORDENES'!$M982),0)</f>
        <v/>
      </c>
      <c r="O986" s="17">
        <f>IF('ORDENES'!$S982="preventiva",N986,0)</f>
        <v/>
      </c>
      <c r="P986" s="17">
        <f>IF('ORDENES'!$S982="correctiva",N986,0)</f>
        <v/>
      </c>
      <c r="Q986" s="3">
        <f>IF(AND(K986=1,'ORDENES'!$N982="Pendiente"),1,0)</f>
        <v/>
      </c>
      <c r="R986" s="3">
        <f>IF(Q986=1,100000-N986*1000+979*0.01,9000000000000+979)</f>
        <v/>
      </c>
      <c r="S986" s="3">
        <f>IF(Q986=1,SUMPRODUCT(--($R$8:$R$1207&lt;R986))+1,"")</f>
        <v/>
      </c>
      <c r="T986" s="11">
        <f>IF(K986=1,'ORDENES'!$J982,"")</f>
        <v/>
      </c>
    </row>
    <row r="987">
      <c r="K987" s="3">
        <f>IF(AND(IF($B$3="(todos)",TRUE,'ORDENES'!$O983=$B$3),IF($D$3="(todos)",TRUE,'ORDENES'!$AC983=$D$3),IF($F$3="(todos)",TRUE,'ORDENES'!$V983=$F$3),'ORDENES'!$AA983=TRUE,'ORDENES'!$A983&lt;&gt;""),1,0)</f>
        <v/>
      </c>
      <c r="L987" s="3">
        <f>IF(K987=1,IFERROR(MATCH('ORDENES'!$R983,lista_dias,0),9)*1000000000+IFERROR(MATCH('ORDENES'!$AC983,lista_turnos,0),9)*10000000+IFERROR(MATCH('ORDENES'!$AB983,'TECNICOS'!$B$4:$B$15,0),99)*100000+980,9000000000000+980)</f>
        <v/>
      </c>
      <c r="M987" s="3">
        <f>IF(K987=1,SUMPRODUCT(--($L$8:$L$1207&lt;L987))+1,"")</f>
        <v/>
      </c>
      <c r="N987" s="17">
        <f>IF(K987=1,N('ORDENES'!$M983),0)</f>
        <v/>
      </c>
      <c r="O987" s="17">
        <f>IF('ORDENES'!$S983="preventiva",N987,0)</f>
        <v/>
      </c>
      <c r="P987" s="17">
        <f>IF('ORDENES'!$S983="correctiva",N987,0)</f>
        <v/>
      </c>
      <c r="Q987" s="3">
        <f>IF(AND(K987=1,'ORDENES'!$N983="Pendiente"),1,0)</f>
        <v/>
      </c>
      <c r="R987" s="3">
        <f>IF(Q987=1,100000-N987*1000+980*0.01,9000000000000+980)</f>
        <v/>
      </c>
      <c r="S987" s="3">
        <f>IF(Q987=1,SUMPRODUCT(--($R$8:$R$1207&lt;R987))+1,"")</f>
        <v/>
      </c>
      <c r="T987" s="11">
        <f>IF(K987=1,'ORDENES'!$J983,"")</f>
        <v/>
      </c>
    </row>
    <row r="988">
      <c r="K988" s="3">
        <f>IF(AND(IF($B$3="(todos)",TRUE,'ORDENES'!$O984=$B$3),IF($D$3="(todos)",TRUE,'ORDENES'!$AC984=$D$3),IF($F$3="(todos)",TRUE,'ORDENES'!$V984=$F$3),'ORDENES'!$AA984=TRUE,'ORDENES'!$A984&lt;&gt;""),1,0)</f>
        <v/>
      </c>
      <c r="L988" s="3">
        <f>IF(K988=1,IFERROR(MATCH('ORDENES'!$R984,lista_dias,0),9)*1000000000+IFERROR(MATCH('ORDENES'!$AC984,lista_turnos,0),9)*10000000+IFERROR(MATCH('ORDENES'!$AB984,'TECNICOS'!$B$4:$B$15,0),99)*100000+981,9000000000000+981)</f>
        <v/>
      </c>
      <c r="M988" s="3">
        <f>IF(K988=1,SUMPRODUCT(--($L$8:$L$1207&lt;L988))+1,"")</f>
        <v/>
      </c>
      <c r="N988" s="17">
        <f>IF(K988=1,N('ORDENES'!$M984),0)</f>
        <v/>
      </c>
      <c r="O988" s="17">
        <f>IF('ORDENES'!$S984="preventiva",N988,0)</f>
        <v/>
      </c>
      <c r="P988" s="17">
        <f>IF('ORDENES'!$S984="correctiva",N988,0)</f>
        <v/>
      </c>
      <c r="Q988" s="3">
        <f>IF(AND(K988=1,'ORDENES'!$N984="Pendiente"),1,0)</f>
        <v/>
      </c>
      <c r="R988" s="3">
        <f>IF(Q988=1,100000-N988*1000+981*0.01,9000000000000+981)</f>
        <v/>
      </c>
      <c r="S988" s="3">
        <f>IF(Q988=1,SUMPRODUCT(--($R$8:$R$1207&lt;R988))+1,"")</f>
        <v/>
      </c>
      <c r="T988" s="11">
        <f>IF(K988=1,'ORDENES'!$J984,"")</f>
        <v/>
      </c>
    </row>
    <row r="989">
      <c r="K989" s="3">
        <f>IF(AND(IF($B$3="(todos)",TRUE,'ORDENES'!$O985=$B$3),IF($D$3="(todos)",TRUE,'ORDENES'!$AC985=$D$3),IF($F$3="(todos)",TRUE,'ORDENES'!$V985=$F$3),'ORDENES'!$AA985=TRUE,'ORDENES'!$A985&lt;&gt;""),1,0)</f>
        <v/>
      </c>
      <c r="L989" s="3">
        <f>IF(K989=1,IFERROR(MATCH('ORDENES'!$R985,lista_dias,0),9)*1000000000+IFERROR(MATCH('ORDENES'!$AC985,lista_turnos,0),9)*10000000+IFERROR(MATCH('ORDENES'!$AB985,'TECNICOS'!$B$4:$B$15,0),99)*100000+982,9000000000000+982)</f>
        <v/>
      </c>
      <c r="M989" s="3">
        <f>IF(K989=1,SUMPRODUCT(--($L$8:$L$1207&lt;L989))+1,"")</f>
        <v/>
      </c>
      <c r="N989" s="17">
        <f>IF(K989=1,N('ORDENES'!$M985),0)</f>
        <v/>
      </c>
      <c r="O989" s="17">
        <f>IF('ORDENES'!$S985="preventiva",N989,0)</f>
        <v/>
      </c>
      <c r="P989" s="17">
        <f>IF('ORDENES'!$S985="correctiva",N989,0)</f>
        <v/>
      </c>
      <c r="Q989" s="3">
        <f>IF(AND(K989=1,'ORDENES'!$N985="Pendiente"),1,0)</f>
        <v/>
      </c>
      <c r="R989" s="3">
        <f>IF(Q989=1,100000-N989*1000+982*0.01,9000000000000+982)</f>
        <v/>
      </c>
      <c r="S989" s="3">
        <f>IF(Q989=1,SUMPRODUCT(--($R$8:$R$1207&lt;R989))+1,"")</f>
        <v/>
      </c>
      <c r="T989" s="11">
        <f>IF(K989=1,'ORDENES'!$J985,"")</f>
        <v/>
      </c>
    </row>
    <row r="990">
      <c r="K990" s="3">
        <f>IF(AND(IF($B$3="(todos)",TRUE,'ORDENES'!$O986=$B$3),IF($D$3="(todos)",TRUE,'ORDENES'!$AC986=$D$3),IF($F$3="(todos)",TRUE,'ORDENES'!$V986=$F$3),'ORDENES'!$AA986=TRUE,'ORDENES'!$A986&lt;&gt;""),1,0)</f>
        <v/>
      </c>
      <c r="L990" s="3">
        <f>IF(K990=1,IFERROR(MATCH('ORDENES'!$R986,lista_dias,0),9)*1000000000+IFERROR(MATCH('ORDENES'!$AC986,lista_turnos,0),9)*10000000+IFERROR(MATCH('ORDENES'!$AB986,'TECNICOS'!$B$4:$B$15,0),99)*100000+983,9000000000000+983)</f>
        <v/>
      </c>
      <c r="M990" s="3">
        <f>IF(K990=1,SUMPRODUCT(--($L$8:$L$1207&lt;L990))+1,"")</f>
        <v/>
      </c>
      <c r="N990" s="17">
        <f>IF(K990=1,N('ORDENES'!$M986),0)</f>
        <v/>
      </c>
      <c r="O990" s="17">
        <f>IF('ORDENES'!$S986="preventiva",N990,0)</f>
        <v/>
      </c>
      <c r="P990" s="17">
        <f>IF('ORDENES'!$S986="correctiva",N990,0)</f>
        <v/>
      </c>
      <c r="Q990" s="3">
        <f>IF(AND(K990=1,'ORDENES'!$N986="Pendiente"),1,0)</f>
        <v/>
      </c>
      <c r="R990" s="3">
        <f>IF(Q990=1,100000-N990*1000+983*0.01,9000000000000+983)</f>
        <v/>
      </c>
      <c r="S990" s="3">
        <f>IF(Q990=1,SUMPRODUCT(--($R$8:$R$1207&lt;R990))+1,"")</f>
        <v/>
      </c>
      <c r="T990" s="11">
        <f>IF(K990=1,'ORDENES'!$J986,"")</f>
        <v/>
      </c>
    </row>
    <row r="991">
      <c r="K991" s="3">
        <f>IF(AND(IF($B$3="(todos)",TRUE,'ORDENES'!$O987=$B$3),IF($D$3="(todos)",TRUE,'ORDENES'!$AC987=$D$3),IF($F$3="(todos)",TRUE,'ORDENES'!$V987=$F$3),'ORDENES'!$AA987=TRUE,'ORDENES'!$A987&lt;&gt;""),1,0)</f>
        <v/>
      </c>
      <c r="L991" s="3">
        <f>IF(K991=1,IFERROR(MATCH('ORDENES'!$R987,lista_dias,0),9)*1000000000+IFERROR(MATCH('ORDENES'!$AC987,lista_turnos,0),9)*10000000+IFERROR(MATCH('ORDENES'!$AB987,'TECNICOS'!$B$4:$B$15,0),99)*100000+984,9000000000000+984)</f>
        <v/>
      </c>
      <c r="M991" s="3">
        <f>IF(K991=1,SUMPRODUCT(--($L$8:$L$1207&lt;L991))+1,"")</f>
        <v/>
      </c>
      <c r="N991" s="17">
        <f>IF(K991=1,N('ORDENES'!$M987),0)</f>
        <v/>
      </c>
      <c r="O991" s="17">
        <f>IF('ORDENES'!$S987="preventiva",N991,0)</f>
        <v/>
      </c>
      <c r="P991" s="17">
        <f>IF('ORDENES'!$S987="correctiva",N991,0)</f>
        <v/>
      </c>
      <c r="Q991" s="3">
        <f>IF(AND(K991=1,'ORDENES'!$N987="Pendiente"),1,0)</f>
        <v/>
      </c>
      <c r="R991" s="3">
        <f>IF(Q991=1,100000-N991*1000+984*0.01,9000000000000+984)</f>
        <v/>
      </c>
      <c r="S991" s="3">
        <f>IF(Q991=1,SUMPRODUCT(--($R$8:$R$1207&lt;R991))+1,"")</f>
        <v/>
      </c>
      <c r="T991" s="11">
        <f>IF(K991=1,'ORDENES'!$J987,"")</f>
        <v/>
      </c>
    </row>
    <row r="992">
      <c r="K992" s="3">
        <f>IF(AND(IF($B$3="(todos)",TRUE,'ORDENES'!$O988=$B$3),IF($D$3="(todos)",TRUE,'ORDENES'!$AC988=$D$3),IF($F$3="(todos)",TRUE,'ORDENES'!$V988=$F$3),'ORDENES'!$AA988=TRUE,'ORDENES'!$A988&lt;&gt;""),1,0)</f>
        <v/>
      </c>
      <c r="L992" s="3">
        <f>IF(K992=1,IFERROR(MATCH('ORDENES'!$R988,lista_dias,0),9)*1000000000+IFERROR(MATCH('ORDENES'!$AC988,lista_turnos,0),9)*10000000+IFERROR(MATCH('ORDENES'!$AB988,'TECNICOS'!$B$4:$B$15,0),99)*100000+985,9000000000000+985)</f>
        <v/>
      </c>
      <c r="M992" s="3">
        <f>IF(K992=1,SUMPRODUCT(--($L$8:$L$1207&lt;L992))+1,"")</f>
        <v/>
      </c>
      <c r="N992" s="17">
        <f>IF(K992=1,N('ORDENES'!$M988),0)</f>
        <v/>
      </c>
      <c r="O992" s="17">
        <f>IF('ORDENES'!$S988="preventiva",N992,0)</f>
        <v/>
      </c>
      <c r="P992" s="17">
        <f>IF('ORDENES'!$S988="correctiva",N992,0)</f>
        <v/>
      </c>
      <c r="Q992" s="3">
        <f>IF(AND(K992=1,'ORDENES'!$N988="Pendiente"),1,0)</f>
        <v/>
      </c>
      <c r="R992" s="3">
        <f>IF(Q992=1,100000-N992*1000+985*0.01,9000000000000+985)</f>
        <v/>
      </c>
      <c r="S992" s="3">
        <f>IF(Q992=1,SUMPRODUCT(--($R$8:$R$1207&lt;R992))+1,"")</f>
        <v/>
      </c>
      <c r="T992" s="11">
        <f>IF(K992=1,'ORDENES'!$J988,"")</f>
        <v/>
      </c>
    </row>
    <row r="993">
      <c r="K993" s="3">
        <f>IF(AND(IF($B$3="(todos)",TRUE,'ORDENES'!$O989=$B$3),IF($D$3="(todos)",TRUE,'ORDENES'!$AC989=$D$3),IF($F$3="(todos)",TRUE,'ORDENES'!$V989=$F$3),'ORDENES'!$AA989=TRUE,'ORDENES'!$A989&lt;&gt;""),1,0)</f>
        <v/>
      </c>
      <c r="L993" s="3">
        <f>IF(K993=1,IFERROR(MATCH('ORDENES'!$R989,lista_dias,0),9)*1000000000+IFERROR(MATCH('ORDENES'!$AC989,lista_turnos,0),9)*10000000+IFERROR(MATCH('ORDENES'!$AB989,'TECNICOS'!$B$4:$B$15,0),99)*100000+986,9000000000000+986)</f>
        <v/>
      </c>
      <c r="M993" s="3">
        <f>IF(K993=1,SUMPRODUCT(--($L$8:$L$1207&lt;L993))+1,"")</f>
        <v/>
      </c>
      <c r="N993" s="17">
        <f>IF(K993=1,N('ORDENES'!$M989),0)</f>
        <v/>
      </c>
      <c r="O993" s="17">
        <f>IF('ORDENES'!$S989="preventiva",N993,0)</f>
        <v/>
      </c>
      <c r="P993" s="17">
        <f>IF('ORDENES'!$S989="correctiva",N993,0)</f>
        <v/>
      </c>
      <c r="Q993" s="3">
        <f>IF(AND(K993=1,'ORDENES'!$N989="Pendiente"),1,0)</f>
        <v/>
      </c>
      <c r="R993" s="3">
        <f>IF(Q993=1,100000-N993*1000+986*0.01,9000000000000+986)</f>
        <v/>
      </c>
      <c r="S993" s="3">
        <f>IF(Q993=1,SUMPRODUCT(--($R$8:$R$1207&lt;R993))+1,"")</f>
        <v/>
      </c>
      <c r="T993" s="11">
        <f>IF(K993=1,'ORDENES'!$J989,"")</f>
        <v/>
      </c>
    </row>
    <row r="994">
      <c r="K994" s="3">
        <f>IF(AND(IF($B$3="(todos)",TRUE,'ORDENES'!$O990=$B$3),IF($D$3="(todos)",TRUE,'ORDENES'!$AC990=$D$3),IF($F$3="(todos)",TRUE,'ORDENES'!$V990=$F$3),'ORDENES'!$AA990=TRUE,'ORDENES'!$A990&lt;&gt;""),1,0)</f>
        <v/>
      </c>
      <c r="L994" s="3">
        <f>IF(K994=1,IFERROR(MATCH('ORDENES'!$R990,lista_dias,0),9)*1000000000+IFERROR(MATCH('ORDENES'!$AC990,lista_turnos,0),9)*10000000+IFERROR(MATCH('ORDENES'!$AB990,'TECNICOS'!$B$4:$B$15,0),99)*100000+987,9000000000000+987)</f>
        <v/>
      </c>
      <c r="M994" s="3">
        <f>IF(K994=1,SUMPRODUCT(--($L$8:$L$1207&lt;L994))+1,"")</f>
        <v/>
      </c>
      <c r="N994" s="17">
        <f>IF(K994=1,N('ORDENES'!$M990),0)</f>
        <v/>
      </c>
      <c r="O994" s="17">
        <f>IF('ORDENES'!$S990="preventiva",N994,0)</f>
        <v/>
      </c>
      <c r="P994" s="17">
        <f>IF('ORDENES'!$S990="correctiva",N994,0)</f>
        <v/>
      </c>
      <c r="Q994" s="3">
        <f>IF(AND(K994=1,'ORDENES'!$N990="Pendiente"),1,0)</f>
        <v/>
      </c>
      <c r="R994" s="3">
        <f>IF(Q994=1,100000-N994*1000+987*0.01,9000000000000+987)</f>
        <v/>
      </c>
      <c r="S994" s="3">
        <f>IF(Q994=1,SUMPRODUCT(--($R$8:$R$1207&lt;R994))+1,"")</f>
        <v/>
      </c>
      <c r="T994" s="11">
        <f>IF(K994=1,'ORDENES'!$J990,"")</f>
        <v/>
      </c>
    </row>
    <row r="995">
      <c r="K995" s="3">
        <f>IF(AND(IF($B$3="(todos)",TRUE,'ORDENES'!$O991=$B$3),IF($D$3="(todos)",TRUE,'ORDENES'!$AC991=$D$3),IF($F$3="(todos)",TRUE,'ORDENES'!$V991=$F$3),'ORDENES'!$AA991=TRUE,'ORDENES'!$A991&lt;&gt;""),1,0)</f>
        <v/>
      </c>
      <c r="L995" s="3">
        <f>IF(K995=1,IFERROR(MATCH('ORDENES'!$R991,lista_dias,0),9)*1000000000+IFERROR(MATCH('ORDENES'!$AC991,lista_turnos,0),9)*10000000+IFERROR(MATCH('ORDENES'!$AB991,'TECNICOS'!$B$4:$B$15,0),99)*100000+988,9000000000000+988)</f>
        <v/>
      </c>
      <c r="M995" s="3">
        <f>IF(K995=1,SUMPRODUCT(--($L$8:$L$1207&lt;L995))+1,"")</f>
        <v/>
      </c>
      <c r="N995" s="17">
        <f>IF(K995=1,N('ORDENES'!$M991),0)</f>
        <v/>
      </c>
      <c r="O995" s="17">
        <f>IF('ORDENES'!$S991="preventiva",N995,0)</f>
        <v/>
      </c>
      <c r="P995" s="17">
        <f>IF('ORDENES'!$S991="correctiva",N995,0)</f>
        <v/>
      </c>
      <c r="Q995" s="3">
        <f>IF(AND(K995=1,'ORDENES'!$N991="Pendiente"),1,0)</f>
        <v/>
      </c>
      <c r="R995" s="3">
        <f>IF(Q995=1,100000-N995*1000+988*0.01,9000000000000+988)</f>
        <v/>
      </c>
      <c r="S995" s="3">
        <f>IF(Q995=1,SUMPRODUCT(--($R$8:$R$1207&lt;R995))+1,"")</f>
        <v/>
      </c>
      <c r="T995" s="11">
        <f>IF(K995=1,'ORDENES'!$J991,"")</f>
        <v/>
      </c>
    </row>
    <row r="996">
      <c r="K996" s="3">
        <f>IF(AND(IF($B$3="(todos)",TRUE,'ORDENES'!$O992=$B$3),IF($D$3="(todos)",TRUE,'ORDENES'!$AC992=$D$3),IF($F$3="(todos)",TRUE,'ORDENES'!$V992=$F$3),'ORDENES'!$AA992=TRUE,'ORDENES'!$A992&lt;&gt;""),1,0)</f>
        <v/>
      </c>
      <c r="L996" s="3">
        <f>IF(K996=1,IFERROR(MATCH('ORDENES'!$R992,lista_dias,0),9)*1000000000+IFERROR(MATCH('ORDENES'!$AC992,lista_turnos,0),9)*10000000+IFERROR(MATCH('ORDENES'!$AB992,'TECNICOS'!$B$4:$B$15,0),99)*100000+989,9000000000000+989)</f>
        <v/>
      </c>
      <c r="M996" s="3">
        <f>IF(K996=1,SUMPRODUCT(--($L$8:$L$1207&lt;L996))+1,"")</f>
        <v/>
      </c>
      <c r="N996" s="17">
        <f>IF(K996=1,N('ORDENES'!$M992),0)</f>
        <v/>
      </c>
      <c r="O996" s="17">
        <f>IF('ORDENES'!$S992="preventiva",N996,0)</f>
        <v/>
      </c>
      <c r="P996" s="17">
        <f>IF('ORDENES'!$S992="correctiva",N996,0)</f>
        <v/>
      </c>
      <c r="Q996" s="3">
        <f>IF(AND(K996=1,'ORDENES'!$N992="Pendiente"),1,0)</f>
        <v/>
      </c>
      <c r="R996" s="3">
        <f>IF(Q996=1,100000-N996*1000+989*0.01,9000000000000+989)</f>
        <v/>
      </c>
      <c r="S996" s="3">
        <f>IF(Q996=1,SUMPRODUCT(--($R$8:$R$1207&lt;R996))+1,"")</f>
        <v/>
      </c>
      <c r="T996" s="11">
        <f>IF(K996=1,'ORDENES'!$J992,"")</f>
        <v/>
      </c>
    </row>
    <row r="997">
      <c r="K997" s="3">
        <f>IF(AND(IF($B$3="(todos)",TRUE,'ORDENES'!$O993=$B$3),IF($D$3="(todos)",TRUE,'ORDENES'!$AC993=$D$3),IF($F$3="(todos)",TRUE,'ORDENES'!$V993=$F$3),'ORDENES'!$AA993=TRUE,'ORDENES'!$A993&lt;&gt;""),1,0)</f>
        <v/>
      </c>
      <c r="L997" s="3">
        <f>IF(K997=1,IFERROR(MATCH('ORDENES'!$R993,lista_dias,0),9)*1000000000+IFERROR(MATCH('ORDENES'!$AC993,lista_turnos,0),9)*10000000+IFERROR(MATCH('ORDENES'!$AB993,'TECNICOS'!$B$4:$B$15,0),99)*100000+990,9000000000000+990)</f>
        <v/>
      </c>
      <c r="M997" s="3">
        <f>IF(K997=1,SUMPRODUCT(--($L$8:$L$1207&lt;L997))+1,"")</f>
        <v/>
      </c>
      <c r="N997" s="17">
        <f>IF(K997=1,N('ORDENES'!$M993),0)</f>
        <v/>
      </c>
      <c r="O997" s="17">
        <f>IF('ORDENES'!$S993="preventiva",N997,0)</f>
        <v/>
      </c>
      <c r="P997" s="17">
        <f>IF('ORDENES'!$S993="correctiva",N997,0)</f>
        <v/>
      </c>
      <c r="Q997" s="3">
        <f>IF(AND(K997=1,'ORDENES'!$N993="Pendiente"),1,0)</f>
        <v/>
      </c>
      <c r="R997" s="3">
        <f>IF(Q997=1,100000-N997*1000+990*0.01,9000000000000+990)</f>
        <v/>
      </c>
      <c r="S997" s="3">
        <f>IF(Q997=1,SUMPRODUCT(--($R$8:$R$1207&lt;R997))+1,"")</f>
        <v/>
      </c>
      <c r="T997" s="11">
        <f>IF(K997=1,'ORDENES'!$J993,"")</f>
        <v/>
      </c>
    </row>
    <row r="998">
      <c r="K998" s="3">
        <f>IF(AND(IF($B$3="(todos)",TRUE,'ORDENES'!$O994=$B$3),IF($D$3="(todos)",TRUE,'ORDENES'!$AC994=$D$3),IF($F$3="(todos)",TRUE,'ORDENES'!$V994=$F$3),'ORDENES'!$AA994=TRUE,'ORDENES'!$A994&lt;&gt;""),1,0)</f>
        <v/>
      </c>
      <c r="L998" s="3">
        <f>IF(K998=1,IFERROR(MATCH('ORDENES'!$R994,lista_dias,0),9)*1000000000+IFERROR(MATCH('ORDENES'!$AC994,lista_turnos,0),9)*10000000+IFERROR(MATCH('ORDENES'!$AB994,'TECNICOS'!$B$4:$B$15,0),99)*100000+991,9000000000000+991)</f>
        <v/>
      </c>
      <c r="M998" s="3">
        <f>IF(K998=1,SUMPRODUCT(--($L$8:$L$1207&lt;L998))+1,"")</f>
        <v/>
      </c>
      <c r="N998" s="17">
        <f>IF(K998=1,N('ORDENES'!$M994),0)</f>
        <v/>
      </c>
      <c r="O998" s="17">
        <f>IF('ORDENES'!$S994="preventiva",N998,0)</f>
        <v/>
      </c>
      <c r="P998" s="17">
        <f>IF('ORDENES'!$S994="correctiva",N998,0)</f>
        <v/>
      </c>
      <c r="Q998" s="3">
        <f>IF(AND(K998=1,'ORDENES'!$N994="Pendiente"),1,0)</f>
        <v/>
      </c>
      <c r="R998" s="3">
        <f>IF(Q998=1,100000-N998*1000+991*0.01,9000000000000+991)</f>
        <v/>
      </c>
      <c r="S998" s="3">
        <f>IF(Q998=1,SUMPRODUCT(--($R$8:$R$1207&lt;R998))+1,"")</f>
        <v/>
      </c>
      <c r="T998" s="11">
        <f>IF(K998=1,'ORDENES'!$J994,"")</f>
        <v/>
      </c>
    </row>
    <row r="999">
      <c r="K999" s="3">
        <f>IF(AND(IF($B$3="(todos)",TRUE,'ORDENES'!$O995=$B$3),IF($D$3="(todos)",TRUE,'ORDENES'!$AC995=$D$3),IF($F$3="(todos)",TRUE,'ORDENES'!$V995=$F$3),'ORDENES'!$AA995=TRUE,'ORDENES'!$A995&lt;&gt;""),1,0)</f>
        <v/>
      </c>
      <c r="L999" s="3">
        <f>IF(K999=1,IFERROR(MATCH('ORDENES'!$R995,lista_dias,0),9)*1000000000+IFERROR(MATCH('ORDENES'!$AC995,lista_turnos,0),9)*10000000+IFERROR(MATCH('ORDENES'!$AB995,'TECNICOS'!$B$4:$B$15,0),99)*100000+992,9000000000000+992)</f>
        <v/>
      </c>
      <c r="M999" s="3">
        <f>IF(K999=1,SUMPRODUCT(--($L$8:$L$1207&lt;L999))+1,"")</f>
        <v/>
      </c>
      <c r="N999" s="17">
        <f>IF(K999=1,N('ORDENES'!$M995),0)</f>
        <v/>
      </c>
      <c r="O999" s="17">
        <f>IF('ORDENES'!$S995="preventiva",N999,0)</f>
        <v/>
      </c>
      <c r="P999" s="17">
        <f>IF('ORDENES'!$S995="correctiva",N999,0)</f>
        <v/>
      </c>
      <c r="Q999" s="3">
        <f>IF(AND(K999=1,'ORDENES'!$N995="Pendiente"),1,0)</f>
        <v/>
      </c>
      <c r="R999" s="3">
        <f>IF(Q999=1,100000-N999*1000+992*0.01,9000000000000+992)</f>
        <v/>
      </c>
      <c r="S999" s="3">
        <f>IF(Q999=1,SUMPRODUCT(--($R$8:$R$1207&lt;R999))+1,"")</f>
        <v/>
      </c>
      <c r="T999" s="11">
        <f>IF(K999=1,'ORDENES'!$J995,"")</f>
        <v/>
      </c>
    </row>
    <row r="1000">
      <c r="K1000" s="3">
        <f>IF(AND(IF($B$3="(todos)",TRUE,'ORDENES'!$O996=$B$3),IF($D$3="(todos)",TRUE,'ORDENES'!$AC996=$D$3),IF($F$3="(todos)",TRUE,'ORDENES'!$V996=$F$3),'ORDENES'!$AA996=TRUE,'ORDENES'!$A996&lt;&gt;""),1,0)</f>
        <v/>
      </c>
      <c r="L1000" s="3">
        <f>IF(K1000=1,IFERROR(MATCH('ORDENES'!$R996,lista_dias,0),9)*1000000000+IFERROR(MATCH('ORDENES'!$AC996,lista_turnos,0),9)*10000000+IFERROR(MATCH('ORDENES'!$AB996,'TECNICOS'!$B$4:$B$15,0),99)*100000+993,9000000000000+993)</f>
        <v/>
      </c>
      <c r="M1000" s="3">
        <f>IF(K1000=1,SUMPRODUCT(--($L$8:$L$1207&lt;L1000))+1,"")</f>
        <v/>
      </c>
      <c r="N1000" s="17">
        <f>IF(K1000=1,N('ORDENES'!$M996),0)</f>
        <v/>
      </c>
      <c r="O1000" s="17">
        <f>IF('ORDENES'!$S996="preventiva",N1000,0)</f>
        <v/>
      </c>
      <c r="P1000" s="17">
        <f>IF('ORDENES'!$S996="correctiva",N1000,0)</f>
        <v/>
      </c>
      <c r="Q1000" s="3">
        <f>IF(AND(K1000=1,'ORDENES'!$N996="Pendiente"),1,0)</f>
        <v/>
      </c>
      <c r="R1000" s="3">
        <f>IF(Q1000=1,100000-N1000*1000+993*0.01,9000000000000+993)</f>
        <v/>
      </c>
      <c r="S1000" s="3">
        <f>IF(Q1000=1,SUMPRODUCT(--($R$8:$R$1207&lt;R1000))+1,"")</f>
        <v/>
      </c>
      <c r="T1000" s="11">
        <f>IF(K1000=1,'ORDENES'!$J996,"")</f>
        <v/>
      </c>
    </row>
    <row r="1001">
      <c r="K1001" s="3">
        <f>IF(AND(IF($B$3="(todos)",TRUE,'ORDENES'!$O997=$B$3),IF($D$3="(todos)",TRUE,'ORDENES'!$AC997=$D$3),IF($F$3="(todos)",TRUE,'ORDENES'!$V997=$F$3),'ORDENES'!$AA997=TRUE,'ORDENES'!$A997&lt;&gt;""),1,0)</f>
        <v/>
      </c>
      <c r="L1001" s="3">
        <f>IF(K1001=1,IFERROR(MATCH('ORDENES'!$R997,lista_dias,0),9)*1000000000+IFERROR(MATCH('ORDENES'!$AC997,lista_turnos,0),9)*10000000+IFERROR(MATCH('ORDENES'!$AB997,'TECNICOS'!$B$4:$B$15,0),99)*100000+994,9000000000000+994)</f>
        <v/>
      </c>
      <c r="M1001" s="3">
        <f>IF(K1001=1,SUMPRODUCT(--($L$8:$L$1207&lt;L1001))+1,"")</f>
        <v/>
      </c>
      <c r="N1001" s="17">
        <f>IF(K1001=1,N('ORDENES'!$M997),0)</f>
        <v/>
      </c>
      <c r="O1001" s="17">
        <f>IF('ORDENES'!$S997="preventiva",N1001,0)</f>
        <v/>
      </c>
      <c r="P1001" s="17">
        <f>IF('ORDENES'!$S997="correctiva",N1001,0)</f>
        <v/>
      </c>
      <c r="Q1001" s="3">
        <f>IF(AND(K1001=1,'ORDENES'!$N997="Pendiente"),1,0)</f>
        <v/>
      </c>
      <c r="R1001" s="3">
        <f>IF(Q1001=1,100000-N1001*1000+994*0.01,9000000000000+994)</f>
        <v/>
      </c>
      <c r="S1001" s="3">
        <f>IF(Q1001=1,SUMPRODUCT(--($R$8:$R$1207&lt;R1001))+1,"")</f>
        <v/>
      </c>
      <c r="T1001" s="11">
        <f>IF(K1001=1,'ORDENES'!$J997,"")</f>
        <v/>
      </c>
    </row>
    <row r="1002">
      <c r="K1002" s="3">
        <f>IF(AND(IF($B$3="(todos)",TRUE,'ORDENES'!$O998=$B$3),IF($D$3="(todos)",TRUE,'ORDENES'!$AC998=$D$3),IF($F$3="(todos)",TRUE,'ORDENES'!$V998=$F$3),'ORDENES'!$AA998=TRUE,'ORDENES'!$A998&lt;&gt;""),1,0)</f>
        <v/>
      </c>
      <c r="L1002" s="3">
        <f>IF(K1002=1,IFERROR(MATCH('ORDENES'!$R998,lista_dias,0),9)*1000000000+IFERROR(MATCH('ORDENES'!$AC998,lista_turnos,0),9)*10000000+IFERROR(MATCH('ORDENES'!$AB998,'TECNICOS'!$B$4:$B$15,0),99)*100000+995,9000000000000+995)</f>
        <v/>
      </c>
      <c r="M1002" s="3">
        <f>IF(K1002=1,SUMPRODUCT(--($L$8:$L$1207&lt;L1002))+1,"")</f>
        <v/>
      </c>
      <c r="N1002" s="17">
        <f>IF(K1002=1,N('ORDENES'!$M998),0)</f>
        <v/>
      </c>
      <c r="O1002" s="17">
        <f>IF('ORDENES'!$S998="preventiva",N1002,0)</f>
        <v/>
      </c>
      <c r="P1002" s="17">
        <f>IF('ORDENES'!$S998="correctiva",N1002,0)</f>
        <v/>
      </c>
      <c r="Q1002" s="3">
        <f>IF(AND(K1002=1,'ORDENES'!$N998="Pendiente"),1,0)</f>
        <v/>
      </c>
      <c r="R1002" s="3">
        <f>IF(Q1002=1,100000-N1002*1000+995*0.01,9000000000000+995)</f>
        <v/>
      </c>
      <c r="S1002" s="3">
        <f>IF(Q1002=1,SUMPRODUCT(--($R$8:$R$1207&lt;R1002))+1,"")</f>
        <v/>
      </c>
      <c r="T1002" s="11">
        <f>IF(K1002=1,'ORDENES'!$J998,"")</f>
        <v/>
      </c>
    </row>
    <row r="1003">
      <c r="K1003" s="3">
        <f>IF(AND(IF($B$3="(todos)",TRUE,'ORDENES'!$O999=$B$3),IF($D$3="(todos)",TRUE,'ORDENES'!$AC999=$D$3),IF($F$3="(todos)",TRUE,'ORDENES'!$V999=$F$3),'ORDENES'!$AA999=TRUE,'ORDENES'!$A999&lt;&gt;""),1,0)</f>
        <v/>
      </c>
      <c r="L1003" s="3">
        <f>IF(K1003=1,IFERROR(MATCH('ORDENES'!$R999,lista_dias,0),9)*1000000000+IFERROR(MATCH('ORDENES'!$AC999,lista_turnos,0),9)*10000000+IFERROR(MATCH('ORDENES'!$AB999,'TECNICOS'!$B$4:$B$15,0),99)*100000+996,9000000000000+996)</f>
        <v/>
      </c>
      <c r="M1003" s="3">
        <f>IF(K1003=1,SUMPRODUCT(--($L$8:$L$1207&lt;L1003))+1,"")</f>
        <v/>
      </c>
      <c r="N1003" s="17">
        <f>IF(K1003=1,N('ORDENES'!$M999),0)</f>
        <v/>
      </c>
      <c r="O1003" s="17">
        <f>IF('ORDENES'!$S999="preventiva",N1003,0)</f>
        <v/>
      </c>
      <c r="P1003" s="17">
        <f>IF('ORDENES'!$S999="correctiva",N1003,0)</f>
        <v/>
      </c>
      <c r="Q1003" s="3">
        <f>IF(AND(K1003=1,'ORDENES'!$N999="Pendiente"),1,0)</f>
        <v/>
      </c>
      <c r="R1003" s="3">
        <f>IF(Q1003=1,100000-N1003*1000+996*0.01,9000000000000+996)</f>
        <v/>
      </c>
      <c r="S1003" s="3">
        <f>IF(Q1003=1,SUMPRODUCT(--($R$8:$R$1207&lt;R1003))+1,"")</f>
        <v/>
      </c>
      <c r="T1003" s="11">
        <f>IF(K1003=1,'ORDENES'!$J999,"")</f>
        <v/>
      </c>
    </row>
    <row r="1004">
      <c r="K1004" s="3">
        <f>IF(AND(IF($B$3="(todos)",TRUE,'ORDENES'!$O1000=$B$3),IF($D$3="(todos)",TRUE,'ORDENES'!$AC1000=$D$3),IF($F$3="(todos)",TRUE,'ORDENES'!$V1000=$F$3),'ORDENES'!$AA1000=TRUE,'ORDENES'!$A1000&lt;&gt;""),1,0)</f>
        <v/>
      </c>
      <c r="L1004" s="3">
        <f>IF(K1004=1,IFERROR(MATCH('ORDENES'!$R1000,lista_dias,0),9)*1000000000+IFERROR(MATCH('ORDENES'!$AC1000,lista_turnos,0),9)*10000000+IFERROR(MATCH('ORDENES'!$AB1000,'TECNICOS'!$B$4:$B$15,0),99)*100000+997,9000000000000+997)</f>
        <v/>
      </c>
      <c r="M1004" s="3">
        <f>IF(K1004=1,SUMPRODUCT(--($L$8:$L$1207&lt;L1004))+1,"")</f>
        <v/>
      </c>
      <c r="N1004" s="17">
        <f>IF(K1004=1,N('ORDENES'!$M1000),0)</f>
        <v/>
      </c>
      <c r="O1004" s="17">
        <f>IF('ORDENES'!$S1000="preventiva",N1004,0)</f>
        <v/>
      </c>
      <c r="P1004" s="17">
        <f>IF('ORDENES'!$S1000="correctiva",N1004,0)</f>
        <v/>
      </c>
      <c r="Q1004" s="3">
        <f>IF(AND(K1004=1,'ORDENES'!$N1000="Pendiente"),1,0)</f>
        <v/>
      </c>
      <c r="R1004" s="3">
        <f>IF(Q1004=1,100000-N1004*1000+997*0.01,9000000000000+997)</f>
        <v/>
      </c>
      <c r="S1004" s="3">
        <f>IF(Q1004=1,SUMPRODUCT(--($R$8:$R$1207&lt;R1004))+1,"")</f>
        <v/>
      </c>
      <c r="T1004" s="11">
        <f>IF(K1004=1,'ORDENES'!$J1000,"")</f>
        <v/>
      </c>
    </row>
    <row r="1005">
      <c r="K1005" s="3">
        <f>IF(AND(IF($B$3="(todos)",TRUE,'ORDENES'!$O1001=$B$3),IF($D$3="(todos)",TRUE,'ORDENES'!$AC1001=$D$3),IF($F$3="(todos)",TRUE,'ORDENES'!$V1001=$F$3),'ORDENES'!$AA1001=TRUE,'ORDENES'!$A1001&lt;&gt;""),1,0)</f>
        <v/>
      </c>
      <c r="L1005" s="3">
        <f>IF(K1005=1,IFERROR(MATCH('ORDENES'!$R1001,lista_dias,0),9)*1000000000+IFERROR(MATCH('ORDENES'!$AC1001,lista_turnos,0),9)*10000000+IFERROR(MATCH('ORDENES'!$AB1001,'TECNICOS'!$B$4:$B$15,0),99)*100000+998,9000000000000+998)</f>
        <v/>
      </c>
      <c r="M1005" s="3">
        <f>IF(K1005=1,SUMPRODUCT(--($L$8:$L$1207&lt;L1005))+1,"")</f>
        <v/>
      </c>
      <c r="N1005" s="17">
        <f>IF(K1005=1,N('ORDENES'!$M1001),0)</f>
        <v/>
      </c>
      <c r="O1005" s="17">
        <f>IF('ORDENES'!$S1001="preventiva",N1005,0)</f>
        <v/>
      </c>
      <c r="P1005" s="17">
        <f>IF('ORDENES'!$S1001="correctiva",N1005,0)</f>
        <v/>
      </c>
      <c r="Q1005" s="3">
        <f>IF(AND(K1005=1,'ORDENES'!$N1001="Pendiente"),1,0)</f>
        <v/>
      </c>
      <c r="R1005" s="3">
        <f>IF(Q1005=1,100000-N1005*1000+998*0.01,9000000000000+998)</f>
        <v/>
      </c>
      <c r="S1005" s="3">
        <f>IF(Q1005=1,SUMPRODUCT(--($R$8:$R$1207&lt;R1005))+1,"")</f>
        <v/>
      </c>
      <c r="T1005" s="11">
        <f>IF(K1005=1,'ORDENES'!$J1001,"")</f>
        <v/>
      </c>
    </row>
    <row r="1006">
      <c r="K1006" s="3">
        <f>IF(AND(IF($B$3="(todos)",TRUE,'ORDENES'!$O1002=$B$3),IF($D$3="(todos)",TRUE,'ORDENES'!$AC1002=$D$3),IF($F$3="(todos)",TRUE,'ORDENES'!$V1002=$F$3),'ORDENES'!$AA1002=TRUE,'ORDENES'!$A1002&lt;&gt;""),1,0)</f>
        <v/>
      </c>
      <c r="L1006" s="3">
        <f>IF(K1006=1,IFERROR(MATCH('ORDENES'!$R1002,lista_dias,0),9)*1000000000+IFERROR(MATCH('ORDENES'!$AC1002,lista_turnos,0),9)*10000000+IFERROR(MATCH('ORDENES'!$AB1002,'TECNICOS'!$B$4:$B$15,0),99)*100000+999,9000000000000+999)</f>
        <v/>
      </c>
      <c r="M1006" s="3">
        <f>IF(K1006=1,SUMPRODUCT(--($L$8:$L$1207&lt;L1006))+1,"")</f>
        <v/>
      </c>
      <c r="N1006" s="17">
        <f>IF(K1006=1,N('ORDENES'!$M1002),0)</f>
        <v/>
      </c>
      <c r="O1006" s="17">
        <f>IF('ORDENES'!$S1002="preventiva",N1006,0)</f>
        <v/>
      </c>
      <c r="P1006" s="17">
        <f>IF('ORDENES'!$S1002="correctiva",N1006,0)</f>
        <v/>
      </c>
      <c r="Q1006" s="3">
        <f>IF(AND(K1006=1,'ORDENES'!$N1002="Pendiente"),1,0)</f>
        <v/>
      </c>
      <c r="R1006" s="3">
        <f>IF(Q1006=1,100000-N1006*1000+999*0.01,9000000000000+999)</f>
        <v/>
      </c>
      <c r="S1006" s="3">
        <f>IF(Q1006=1,SUMPRODUCT(--($R$8:$R$1207&lt;R1006))+1,"")</f>
        <v/>
      </c>
      <c r="T1006" s="11">
        <f>IF(K1006=1,'ORDENES'!$J1002,"")</f>
        <v/>
      </c>
    </row>
    <row r="1007">
      <c r="K1007" s="3">
        <f>IF(AND(IF($B$3="(todos)",TRUE,'ORDENES'!$O1003=$B$3),IF($D$3="(todos)",TRUE,'ORDENES'!$AC1003=$D$3),IF($F$3="(todos)",TRUE,'ORDENES'!$V1003=$F$3),'ORDENES'!$AA1003=TRUE,'ORDENES'!$A1003&lt;&gt;""),1,0)</f>
        <v/>
      </c>
      <c r="L1007" s="3">
        <f>IF(K1007=1,IFERROR(MATCH('ORDENES'!$R1003,lista_dias,0),9)*1000000000+IFERROR(MATCH('ORDENES'!$AC1003,lista_turnos,0),9)*10000000+IFERROR(MATCH('ORDENES'!$AB1003,'TECNICOS'!$B$4:$B$15,0),99)*100000+1000,9000000000000+1000)</f>
        <v/>
      </c>
      <c r="M1007" s="3">
        <f>IF(K1007=1,SUMPRODUCT(--($L$8:$L$1207&lt;L1007))+1,"")</f>
        <v/>
      </c>
      <c r="N1007" s="17">
        <f>IF(K1007=1,N('ORDENES'!$M1003),0)</f>
        <v/>
      </c>
      <c r="O1007" s="17">
        <f>IF('ORDENES'!$S1003="preventiva",N1007,0)</f>
        <v/>
      </c>
      <c r="P1007" s="17">
        <f>IF('ORDENES'!$S1003="correctiva",N1007,0)</f>
        <v/>
      </c>
      <c r="Q1007" s="3">
        <f>IF(AND(K1007=1,'ORDENES'!$N1003="Pendiente"),1,0)</f>
        <v/>
      </c>
      <c r="R1007" s="3">
        <f>IF(Q1007=1,100000-N1007*1000+1000*0.01,9000000000000+1000)</f>
        <v/>
      </c>
      <c r="S1007" s="3">
        <f>IF(Q1007=1,SUMPRODUCT(--($R$8:$R$1207&lt;R1007))+1,"")</f>
        <v/>
      </c>
      <c r="T1007" s="11">
        <f>IF(K1007=1,'ORDENES'!$J1003,"")</f>
        <v/>
      </c>
    </row>
    <row r="1008">
      <c r="K1008" s="3">
        <f>IF(AND(IF($B$3="(todos)",TRUE,'ORDENES'!$O1004=$B$3),IF($D$3="(todos)",TRUE,'ORDENES'!$AC1004=$D$3),IF($F$3="(todos)",TRUE,'ORDENES'!$V1004=$F$3),'ORDENES'!$AA1004=TRUE,'ORDENES'!$A1004&lt;&gt;""),1,0)</f>
        <v/>
      </c>
      <c r="L1008" s="3">
        <f>IF(K1008=1,IFERROR(MATCH('ORDENES'!$R1004,lista_dias,0),9)*1000000000+IFERROR(MATCH('ORDENES'!$AC1004,lista_turnos,0),9)*10000000+IFERROR(MATCH('ORDENES'!$AB1004,'TECNICOS'!$B$4:$B$15,0),99)*100000+1001,9000000000000+1001)</f>
        <v/>
      </c>
      <c r="M1008" s="3">
        <f>IF(K1008=1,SUMPRODUCT(--($L$8:$L$1207&lt;L1008))+1,"")</f>
        <v/>
      </c>
      <c r="N1008" s="17">
        <f>IF(K1008=1,N('ORDENES'!$M1004),0)</f>
        <v/>
      </c>
      <c r="O1008" s="17">
        <f>IF('ORDENES'!$S1004="preventiva",N1008,0)</f>
        <v/>
      </c>
      <c r="P1008" s="17">
        <f>IF('ORDENES'!$S1004="correctiva",N1008,0)</f>
        <v/>
      </c>
      <c r="Q1008" s="3">
        <f>IF(AND(K1008=1,'ORDENES'!$N1004="Pendiente"),1,0)</f>
        <v/>
      </c>
      <c r="R1008" s="3">
        <f>IF(Q1008=1,100000-N1008*1000+1001*0.01,9000000000000+1001)</f>
        <v/>
      </c>
      <c r="S1008" s="3">
        <f>IF(Q1008=1,SUMPRODUCT(--($R$8:$R$1207&lt;R1008))+1,"")</f>
        <v/>
      </c>
      <c r="T1008" s="11">
        <f>IF(K1008=1,'ORDENES'!$J1004,"")</f>
        <v/>
      </c>
    </row>
    <row r="1009">
      <c r="K1009" s="3">
        <f>IF(AND(IF($B$3="(todos)",TRUE,'ORDENES'!$O1005=$B$3),IF($D$3="(todos)",TRUE,'ORDENES'!$AC1005=$D$3),IF($F$3="(todos)",TRUE,'ORDENES'!$V1005=$F$3),'ORDENES'!$AA1005=TRUE,'ORDENES'!$A1005&lt;&gt;""),1,0)</f>
        <v/>
      </c>
      <c r="L1009" s="3">
        <f>IF(K1009=1,IFERROR(MATCH('ORDENES'!$R1005,lista_dias,0),9)*1000000000+IFERROR(MATCH('ORDENES'!$AC1005,lista_turnos,0),9)*10000000+IFERROR(MATCH('ORDENES'!$AB1005,'TECNICOS'!$B$4:$B$15,0),99)*100000+1002,9000000000000+1002)</f>
        <v/>
      </c>
      <c r="M1009" s="3">
        <f>IF(K1009=1,SUMPRODUCT(--($L$8:$L$1207&lt;L1009))+1,"")</f>
        <v/>
      </c>
      <c r="N1009" s="17">
        <f>IF(K1009=1,N('ORDENES'!$M1005),0)</f>
        <v/>
      </c>
      <c r="O1009" s="17">
        <f>IF('ORDENES'!$S1005="preventiva",N1009,0)</f>
        <v/>
      </c>
      <c r="P1009" s="17">
        <f>IF('ORDENES'!$S1005="correctiva",N1009,0)</f>
        <v/>
      </c>
      <c r="Q1009" s="3">
        <f>IF(AND(K1009=1,'ORDENES'!$N1005="Pendiente"),1,0)</f>
        <v/>
      </c>
      <c r="R1009" s="3">
        <f>IF(Q1009=1,100000-N1009*1000+1002*0.01,9000000000000+1002)</f>
        <v/>
      </c>
      <c r="S1009" s="3">
        <f>IF(Q1009=1,SUMPRODUCT(--($R$8:$R$1207&lt;R1009))+1,"")</f>
        <v/>
      </c>
      <c r="T1009" s="11">
        <f>IF(K1009=1,'ORDENES'!$J1005,"")</f>
        <v/>
      </c>
    </row>
    <row r="1010">
      <c r="K1010" s="3">
        <f>IF(AND(IF($B$3="(todos)",TRUE,'ORDENES'!$O1006=$B$3),IF($D$3="(todos)",TRUE,'ORDENES'!$AC1006=$D$3),IF($F$3="(todos)",TRUE,'ORDENES'!$V1006=$F$3),'ORDENES'!$AA1006=TRUE,'ORDENES'!$A1006&lt;&gt;""),1,0)</f>
        <v/>
      </c>
      <c r="L1010" s="3">
        <f>IF(K1010=1,IFERROR(MATCH('ORDENES'!$R1006,lista_dias,0),9)*1000000000+IFERROR(MATCH('ORDENES'!$AC1006,lista_turnos,0),9)*10000000+IFERROR(MATCH('ORDENES'!$AB1006,'TECNICOS'!$B$4:$B$15,0),99)*100000+1003,9000000000000+1003)</f>
        <v/>
      </c>
      <c r="M1010" s="3">
        <f>IF(K1010=1,SUMPRODUCT(--($L$8:$L$1207&lt;L1010))+1,"")</f>
        <v/>
      </c>
      <c r="N1010" s="17">
        <f>IF(K1010=1,N('ORDENES'!$M1006),0)</f>
        <v/>
      </c>
      <c r="O1010" s="17">
        <f>IF('ORDENES'!$S1006="preventiva",N1010,0)</f>
        <v/>
      </c>
      <c r="P1010" s="17">
        <f>IF('ORDENES'!$S1006="correctiva",N1010,0)</f>
        <v/>
      </c>
      <c r="Q1010" s="3">
        <f>IF(AND(K1010=1,'ORDENES'!$N1006="Pendiente"),1,0)</f>
        <v/>
      </c>
      <c r="R1010" s="3">
        <f>IF(Q1010=1,100000-N1010*1000+1003*0.01,9000000000000+1003)</f>
        <v/>
      </c>
      <c r="S1010" s="3">
        <f>IF(Q1010=1,SUMPRODUCT(--($R$8:$R$1207&lt;R1010))+1,"")</f>
        <v/>
      </c>
      <c r="T1010" s="11">
        <f>IF(K1010=1,'ORDENES'!$J1006,"")</f>
        <v/>
      </c>
    </row>
    <row r="1011">
      <c r="K1011" s="3">
        <f>IF(AND(IF($B$3="(todos)",TRUE,'ORDENES'!$O1007=$B$3),IF($D$3="(todos)",TRUE,'ORDENES'!$AC1007=$D$3),IF($F$3="(todos)",TRUE,'ORDENES'!$V1007=$F$3),'ORDENES'!$AA1007=TRUE,'ORDENES'!$A1007&lt;&gt;""),1,0)</f>
        <v/>
      </c>
      <c r="L1011" s="3">
        <f>IF(K1011=1,IFERROR(MATCH('ORDENES'!$R1007,lista_dias,0),9)*1000000000+IFERROR(MATCH('ORDENES'!$AC1007,lista_turnos,0),9)*10000000+IFERROR(MATCH('ORDENES'!$AB1007,'TECNICOS'!$B$4:$B$15,0),99)*100000+1004,9000000000000+1004)</f>
        <v/>
      </c>
      <c r="M1011" s="3">
        <f>IF(K1011=1,SUMPRODUCT(--($L$8:$L$1207&lt;L1011))+1,"")</f>
        <v/>
      </c>
      <c r="N1011" s="17">
        <f>IF(K1011=1,N('ORDENES'!$M1007),0)</f>
        <v/>
      </c>
      <c r="O1011" s="17">
        <f>IF('ORDENES'!$S1007="preventiva",N1011,0)</f>
        <v/>
      </c>
      <c r="P1011" s="17">
        <f>IF('ORDENES'!$S1007="correctiva",N1011,0)</f>
        <v/>
      </c>
      <c r="Q1011" s="3">
        <f>IF(AND(K1011=1,'ORDENES'!$N1007="Pendiente"),1,0)</f>
        <v/>
      </c>
      <c r="R1011" s="3">
        <f>IF(Q1011=1,100000-N1011*1000+1004*0.01,9000000000000+1004)</f>
        <v/>
      </c>
      <c r="S1011" s="3">
        <f>IF(Q1011=1,SUMPRODUCT(--($R$8:$R$1207&lt;R1011))+1,"")</f>
        <v/>
      </c>
      <c r="T1011" s="11">
        <f>IF(K1011=1,'ORDENES'!$J1007,"")</f>
        <v/>
      </c>
    </row>
    <row r="1012">
      <c r="K1012" s="3">
        <f>IF(AND(IF($B$3="(todos)",TRUE,'ORDENES'!$O1008=$B$3),IF($D$3="(todos)",TRUE,'ORDENES'!$AC1008=$D$3),IF($F$3="(todos)",TRUE,'ORDENES'!$V1008=$F$3),'ORDENES'!$AA1008=TRUE,'ORDENES'!$A1008&lt;&gt;""),1,0)</f>
        <v/>
      </c>
      <c r="L1012" s="3">
        <f>IF(K1012=1,IFERROR(MATCH('ORDENES'!$R1008,lista_dias,0),9)*1000000000+IFERROR(MATCH('ORDENES'!$AC1008,lista_turnos,0),9)*10000000+IFERROR(MATCH('ORDENES'!$AB1008,'TECNICOS'!$B$4:$B$15,0),99)*100000+1005,9000000000000+1005)</f>
        <v/>
      </c>
      <c r="M1012" s="3">
        <f>IF(K1012=1,SUMPRODUCT(--($L$8:$L$1207&lt;L1012))+1,"")</f>
        <v/>
      </c>
      <c r="N1012" s="17">
        <f>IF(K1012=1,N('ORDENES'!$M1008),0)</f>
        <v/>
      </c>
      <c r="O1012" s="17">
        <f>IF('ORDENES'!$S1008="preventiva",N1012,0)</f>
        <v/>
      </c>
      <c r="P1012" s="17">
        <f>IF('ORDENES'!$S1008="correctiva",N1012,0)</f>
        <v/>
      </c>
      <c r="Q1012" s="3">
        <f>IF(AND(K1012=1,'ORDENES'!$N1008="Pendiente"),1,0)</f>
        <v/>
      </c>
      <c r="R1012" s="3">
        <f>IF(Q1012=1,100000-N1012*1000+1005*0.01,9000000000000+1005)</f>
        <v/>
      </c>
      <c r="S1012" s="3">
        <f>IF(Q1012=1,SUMPRODUCT(--($R$8:$R$1207&lt;R1012))+1,"")</f>
        <v/>
      </c>
      <c r="T1012" s="11">
        <f>IF(K1012=1,'ORDENES'!$J1008,"")</f>
        <v/>
      </c>
    </row>
    <row r="1013">
      <c r="K1013" s="3">
        <f>IF(AND(IF($B$3="(todos)",TRUE,'ORDENES'!$O1009=$B$3),IF($D$3="(todos)",TRUE,'ORDENES'!$AC1009=$D$3),IF($F$3="(todos)",TRUE,'ORDENES'!$V1009=$F$3),'ORDENES'!$AA1009=TRUE,'ORDENES'!$A1009&lt;&gt;""),1,0)</f>
        <v/>
      </c>
      <c r="L1013" s="3">
        <f>IF(K1013=1,IFERROR(MATCH('ORDENES'!$R1009,lista_dias,0),9)*1000000000+IFERROR(MATCH('ORDENES'!$AC1009,lista_turnos,0),9)*10000000+IFERROR(MATCH('ORDENES'!$AB1009,'TECNICOS'!$B$4:$B$15,0),99)*100000+1006,9000000000000+1006)</f>
        <v/>
      </c>
      <c r="M1013" s="3">
        <f>IF(K1013=1,SUMPRODUCT(--($L$8:$L$1207&lt;L1013))+1,"")</f>
        <v/>
      </c>
      <c r="N1013" s="17">
        <f>IF(K1013=1,N('ORDENES'!$M1009),0)</f>
        <v/>
      </c>
      <c r="O1013" s="17">
        <f>IF('ORDENES'!$S1009="preventiva",N1013,0)</f>
        <v/>
      </c>
      <c r="P1013" s="17">
        <f>IF('ORDENES'!$S1009="correctiva",N1013,0)</f>
        <v/>
      </c>
      <c r="Q1013" s="3">
        <f>IF(AND(K1013=1,'ORDENES'!$N1009="Pendiente"),1,0)</f>
        <v/>
      </c>
      <c r="R1013" s="3">
        <f>IF(Q1013=1,100000-N1013*1000+1006*0.01,9000000000000+1006)</f>
        <v/>
      </c>
      <c r="S1013" s="3">
        <f>IF(Q1013=1,SUMPRODUCT(--($R$8:$R$1207&lt;R1013))+1,"")</f>
        <v/>
      </c>
      <c r="T1013" s="11">
        <f>IF(K1013=1,'ORDENES'!$J1009,"")</f>
        <v/>
      </c>
    </row>
    <row r="1014">
      <c r="K1014" s="3">
        <f>IF(AND(IF($B$3="(todos)",TRUE,'ORDENES'!$O1010=$B$3),IF($D$3="(todos)",TRUE,'ORDENES'!$AC1010=$D$3),IF($F$3="(todos)",TRUE,'ORDENES'!$V1010=$F$3),'ORDENES'!$AA1010=TRUE,'ORDENES'!$A1010&lt;&gt;""),1,0)</f>
        <v/>
      </c>
      <c r="L1014" s="3">
        <f>IF(K1014=1,IFERROR(MATCH('ORDENES'!$R1010,lista_dias,0),9)*1000000000+IFERROR(MATCH('ORDENES'!$AC1010,lista_turnos,0),9)*10000000+IFERROR(MATCH('ORDENES'!$AB1010,'TECNICOS'!$B$4:$B$15,0),99)*100000+1007,9000000000000+1007)</f>
        <v/>
      </c>
      <c r="M1014" s="3">
        <f>IF(K1014=1,SUMPRODUCT(--($L$8:$L$1207&lt;L1014))+1,"")</f>
        <v/>
      </c>
      <c r="N1014" s="17">
        <f>IF(K1014=1,N('ORDENES'!$M1010),0)</f>
        <v/>
      </c>
      <c r="O1014" s="17">
        <f>IF('ORDENES'!$S1010="preventiva",N1014,0)</f>
        <v/>
      </c>
      <c r="P1014" s="17">
        <f>IF('ORDENES'!$S1010="correctiva",N1014,0)</f>
        <v/>
      </c>
      <c r="Q1014" s="3">
        <f>IF(AND(K1014=1,'ORDENES'!$N1010="Pendiente"),1,0)</f>
        <v/>
      </c>
      <c r="R1014" s="3">
        <f>IF(Q1014=1,100000-N1014*1000+1007*0.01,9000000000000+1007)</f>
        <v/>
      </c>
      <c r="S1014" s="3">
        <f>IF(Q1014=1,SUMPRODUCT(--($R$8:$R$1207&lt;R1014))+1,"")</f>
        <v/>
      </c>
      <c r="T1014" s="11">
        <f>IF(K1014=1,'ORDENES'!$J1010,"")</f>
        <v/>
      </c>
    </row>
    <row r="1015">
      <c r="K1015" s="3">
        <f>IF(AND(IF($B$3="(todos)",TRUE,'ORDENES'!$O1011=$B$3),IF($D$3="(todos)",TRUE,'ORDENES'!$AC1011=$D$3),IF($F$3="(todos)",TRUE,'ORDENES'!$V1011=$F$3),'ORDENES'!$AA1011=TRUE,'ORDENES'!$A1011&lt;&gt;""),1,0)</f>
        <v/>
      </c>
      <c r="L1015" s="3">
        <f>IF(K1015=1,IFERROR(MATCH('ORDENES'!$R1011,lista_dias,0),9)*1000000000+IFERROR(MATCH('ORDENES'!$AC1011,lista_turnos,0),9)*10000000+IFERROR(MATCH('ORDENES'!$AB1011,'TECNICOS'!$B$4:$B$15,0),99)*100000+1008,9000000000000+1008)</f>
        <v/>
      </c>
      <c r="M1015" s="3">
        <f>IF(K1015=1,SUMPRODUCT(--($L$8:$L$1207&lt;L1015))+1,"")</f>
        <v/>
      </c>
      <c r="N1015" s="17">
        <f>IF(K1015=1,N('ORDENES'!$M1011),0)</f>
        <v/>
      </c>
      <c r="O1015" s="17">
        <f>IF('ORDENES'!$S1011="preventiva",N1015,0)</f>
        <v/>
      </c>
      <c r="P1015" s="17">
        <f>IF('ORDENES'!$S1011="correctiva",N1015,0)</f>
        <v/>
      </c>
      <c r="Q1015" s="3">
        <f>IF(AND(K1015=1,'ORDENES'!$N1011="Pendiente"),1,0)</f>
        <v/>
      </c>
      <c r="R1015" s="3">
        <f>IF(Q1015=1,100000-N1015*1000+1008*0.01,9000000000000+1008)</f>
        <v/>
      </c>
      <c r="S1015" s="3">
        <f>IF(Q1015=1,SUMPRODUCT(--($R$8:$R$1207&lt;R1015))+1,"")</f>
        <v/>
      </c>
      <c r="T1015" s="11">
        <f>IF(K1015=1,'ORDENES'!$J1011,"")</f>
        <v/>
      </c>
    </row>
    <row r="1016">
      <c r="K1016" s="3">
        <f>IF(AND(IF($B$3="(todos)",TRUE,'ORDENES'!$O1012=$B$3),IF($D$3="(todos)",TRUE,'ORDENES'!$AC1012=$D$3),IF($F$3="(todos)",TRUE,'ORDENES'!$V1012=$F$3),'ORDENES'!$AA1012=TRUE,'ORDENES'!$A1012&lt;&gt;""),1,0)</f>
        <v/>
      </c>
      <c r="L1016" s="3">
        <f>IF(K1016=1,IFERROR(MATCH('ORDENES'!$R1012,lista_dias,0),9)*1000000000+IFERROR(MATCH('ORDENES'!$AC1012,lista_turnos,0),9)*10000000+IFERROR(MATCH('ORDENES'!$AB1012,'TECNICOS'!$B$4:$B$15,0),99)*100000+1009,9000000000000+1009)</f>
        <v/>
      </c>
      <c r="M1016" s="3">
        <f>IF(K1016=1,SUMPRODUCT(--($L$8:$L$1207&lt;L1016))+1,"")</f>
        <v/>
      </c>
      <c r="N1016" s="17">
        <f>IF(K1016=1,N('ORDENES'!$M1012),0)</f>
        <v/>
      </c>
      <c r="O1016" s="17">
        <f>IF('ORDENES'!$S1012="preventiva",N1016,0)</f>
        <v/>
      </c>
      <c r="P1016" s="17">
        <f>IF('ORDENES'!$S1012="correctiva",N1016,0)</f>
        <v/>
      </c>
      <c r="Q1016" s="3">
        <f>IF(AND(K1016=1,'ORDENES'!$N1012="Pendiente"),1,0)</f>
        <v/>
      </c>
      <c r="R1016" s="3">
        <f>IF(Q1016=1,100000-N1016*1000+1009*0.01,9000000000000+1009)</f>
        <v/>
      </c>
      <c r="S1016" s="3">
        <f>IF(Q1016=1,SUMPRODUCT(--($R$8:$R$1207&lt;R1016))+1,"")</f>
        <v/>
      </c>
      <c r="T1016" s="11">
        <f>IF(K1016=1,'ORDENES'!$J1012,"")</f>
        <v/>
      </c>
    </row>
    <row r="1017">
      <c r="K1017" s="3">
        <f>IF(AND(IF($B$3="(todos)",TRUE,'ORDENES'!$O1013=$B$3),IF($D$3="(todos)",TRUE,'ORDENES'!$AC1013=$D$3),IF($F$3="(todos)",TRUE,'ORDENES'!$V1013=$F$3),'ORDENES'!$AA1013=TRUE,'ORDENES'!$A1013&lt;&gt;""),1,0)</f>
        <v/>
      </c>
      <c r="L1017" s="3">
        <f>IF(K1017=1,IFERROR(MATCH('ORDENES'!$R1013,lista_dias,0),9)*1000000000+IFERROR(MATCH('ORDENES'!$AC1013,lista_turnos,0),9)*10000000+IFERROR(MATCH('ORDENES'!$AB1013,'TECNICOS'!$B$4:$B$15,0),99)*100000+1010,9000000000000+1010)</f>
        <v/>
      </c>
      <c r="M1017" s="3">
        <f>IF(K1017=1,SUMPRODUCT(--($L$8:$L$1207&lt;L1017))+1,"")</f>
        <v/>
      </c>
      <c r="N1017" s="17">
        <f>IF(K1017=1,N('ORDENES'!$M1013),0)</f>
        <v/>
      </c>
      <c r="O1017" s="17">
        <f>IF('ORDENES'!$S1013="preventiva",N1017,0)</f>
        <v/>
      </c>
      <c r="P1017" s="17">
        <f>IF('ORDENES'!$S1013="correctiva",N1017,0)</f>
        <v/>
      </c>
      <c r="Q1017" s="3">
        <f>IF(AND(K1017=1,'ORDENES'!$N1013="Pendiente"),1,0)</f>
        <v/>
      </c>
      <c r="R1017" s="3">
        <f>IF(Q1017=1,100000-N1017*1000+1010*0.01,9000000000000+1010)</f>
        <v/>
      </c>
      <c r="S1017" s="3">
        <f>IF(Q1017=1,SUMPRODUCT(--($R$8:$R$1207&lt;R1017))+1,"")</f>
        <v/>
      </c>
      <c r="T1017" s="11">
        <f>IF(K1017=1,'ORDENES'!$J1013,"")</f>
        <v/>
      </c>
    </row>
    <row r="1018">
      <c r="K1018" s="3">
        <f>IF(AND(IF($B$3="(todos)",TRUE,'ORDENES'!$O1014=$B$3),IF($D$3="(todos)",TRUE,'ORDENES'!$AC1014=$D$3),IF($F$3="(todos)",TRUE,'ORDENES'!$V1014=$F$3),'ORDENES'!$AA1014=TRUE,'ORDENES'!$A1014&lt;&gt;""),1,0)</f>
        <v/>
      </c>
      <c r="L1018" s="3">
        <f>IF(K1018=1,IFERROR(MATCH('ORDENES'!$R1014,lista_dias,0),9)*1000000000+IFERROR(MATCH('ORDENES'!$AC1014,lista_turnos,0),9)*10000000+IFERROR(MATCH('ORDENES'!$AB1014,'TECNICOS'!$B$4:$B$15,0),99)*100000+1011,9000000000000+1011)</f>
        <v/>
      </c>
      <c r="M1018" s="3">
        <f>IF(K1018=1,SUMPRODUCT(--($L$8:$L$1207&lt;L1018))+1,"")</f>
        <v/>
      </c>
      <c r="N1018" s="17">
        <f>IF(K1018=1,N('ORDENES'!$M1014),0)</f>
        <v/>
      </c>
      <c r="O1018" s="17">
        <f>IF('ORDENES'!$S1014="preventiva",N1018,0)</f>
        <v/>
      </c>
      <c r="P1018" s="17">
        <f>IF('ORDENES'!$S1014="correctiva",N1018,0)</f>
        <v/>
      </c>
      <c r="Q1018" s="3">
        <f>IF(AND(K1018=1,'ORDENES'!$N1014="Pendiente"),1,0)</f>
        <v/>
      </c>
      <c r="R1018" s="3">
        <f>IF(Q1018=1,100000-N1018*1000+1011*0.01,9000000000000+1011)</f>
        <v/>
      </c>
      <c r="S1018" s="3">
        <f>IF(Q1018=1,SUMPRODUCT(--($R$8:$R$1207&lt;R1018))+1,"")</f>
        <v/>
      </c>
      <c r="T1018" s="11">
        <f>IF(K1018=1,'ORDENES'!$J1014,"")</f>
        <v/>
      </c>
    </row>
    <row r="1019">
      <c r="K1019" s="3">
        <f>IF(AND(IF($B$3="(todos)",TRUE,'ORDENES'!$O1015=$B$3),IF($D$3="(todos)",TRUE,'ORDENES'!$AC1015=$D$3),IF($F$3="(todos)",TRUE,'ORDENES'!$V1015=$F$3),'ORDENES'!$AA1015=TRUE,'ORDENES'!$A1015&lt;&gt;""),1,0)</f>
        <v/>
      </c>
      <c r="L1019" s="3">
        <f>IF(K1019=1,IFERROR(MATCH('ORDENES'!$R1015,lista_dias,0),9)*1000000000+IFERROR(MATCH('ORDENES'!$AC1015,lista_turnos,0),9)*10000000+IFERROR(MATCH('ORDENES'!$AB1015,'TECNICOS'!$B$4:$B$15,0),99)*100000+1012,9000000000000+1012)</f>
        <v/>
      </c>
      <c r="M1019" s="3">
        <f>IF(K1019=1,SUMPRODUCT(--($L$8:$L$1207&lt;L1019))+1,"")</f>
        <v/>
      </c>
      <c r="N1019" s="17">
        <f>IF(K1019=1,N('ORDENES'!$M1015),0)</f>
        <v/>
      </c>
      <c r="O1019" s="17">
        <f>IF('ORDENES'!$S1015="preventiva",N1019,0)</f>
        <v/>
      </c>
      <c r="P1019" s="17">
        <f>IF('ORDENES'!$S1015="correctiva",N1019,0)</f>
        <v/>
      </c>
      <c r="Q1019" s="3">
        <f>IF(AND(K1019=1,'ORDENES'!$N1015="Pendiente"),1,0)</f>
        <v/>
      </c>
      <c r="R1019" s="3">
        <f>IF(Q1019=1,100000-N1019*1000+1012*0.01,9000000000000+1012)</f>
        <v/>
      </c>
      <c r="S1019" s="3">
        <f>IF(Q1019=1,SUMPRODUCT(--($R$8:$R$1207&lt;R1019))+1,"")</f>
        <v/>
      </c>
      <c r="T1019" s="11">
        <f>IF(K1019=1,'ORDENES'!$J1015,"")</f>
        <v/>
      </c>
    </row>
    <row r="1020">
      <c r="K1020" s="3">
        <f>IF(AND(IF($B$3="(todos)",TRUE,'ORDENES'!$O1016=$B$3),IF($D$3="(todos)",TRUE,'ORDENES'!$AC1016=$D$3),IF($F$3="(todos)",TRUE,'ORDENES'!$V1016=$F$3),'ORDENES'!$AA1016=TRUE,'ORDENES'!$A1016&lt;&gt;""),1,0)</f>
        <v/>
      </c>
      <c r="L1020" s="3">
        <f>IF(K1020=1,IFERROR(MATCH('ORDENES'!$R1016,lista_dias,0),9)*1000000000+IFERROR(MATCH('ORDENES'!$AC1016,lista_turnos,0),9)*10000000+IFERROR(MATCH('ORDENES'!$AB1016,'TECNICOS'!$B$4:$B$15,0),99)*100000+1013,9000000000000+1013)</f>
        <v/>
      </c>
      <c r="M1020" s="3">
        <f>IF(K1020=1,SUMPRODUCT(--($L$8:$L$1207&lt;L1020))+1,"")</f>
        <v/>
      </c>
      <c r="N1020" s="17">
        <f>IF(K1020=1,N('ORDENES'!$M1016),0)</f>
        <v/>
      </c>
      <c r="O1020" s="17">
        <f>IF('ORDENES'!$S1016="preventiva",N1020,0)</f>
        <v/>
      </c>
      <c r="P1020" s="17">
        <f>IF('ORDENES'!$S1016="correctiva",N1020,0)</f>
        <v/>
      </c>
      <c r="Q1020" s="3">
        <f>IF(AND(K1020=1,'ORDENES'!$N1016="Pendiente"),1,0)</f>
        <v/>
      </c>
      <c r="R1020" s="3">
        <f>IF(Q1020=1,100000-N1020*1000+1013*0.01,9000000000000+1013)</f>
        <v/>
      </c>
      <c r="S1020" s="3">
        <f>IF(Q1020=1,SUMPRODUCT(--($R$8:$R$1207&lt;R1020))+1,"")</f>
        <v/>
      </c>
      <c r="T1020" s="11">
        <f>IF(K1020=1,'ORDENES'!$J1016,"")</f>
        <v/>
      </c>
    </row>
    <row r="1021">
      <c r="K1021" s="3">
        <f>IF(AND(IF($B$3="(todos)",TRUE,'ORDENES'!$O1017=$B$3),IF($D$3="(todos)",TRUE,'ORDENES'!$AC1017=$D$3),IF($F$3="(todos)",TRUE,'ORDENES'!$V1017=$F$3),'ORDENES'!$AA1017=TRUE,'ORDENES'!$A1017&lt;&gt;""),1,0)</f>
        <v/>
      </c>
      <c r="L1021" s="3">
        <f>IF(K1021=1,IFERROR(MATCH('ORDENES'!$R1017,lista_dias,0),9)*1000000000+IFERROR(MATCH('ORDENES'!$AC1017,lista_turnos,0),9)*10000000+IFERROR(MATCH('ORDENES'!$AB1017,'TECNICOS'!$B$4:$B$15,0),99)*100000+1014,9000000000000+1014)</f>
        <v/>
      </c>
      <c r="M1021" s="3">
        <f>IF(K1021=1,SUMPRODUCT(--($L$8:$L$1207&lt;L1021))+1,"")</f>
        <v/>
      </c>
      <c r="N1021" s="17">
        <f>IF(K1021=1,N('ORDENES'!$M1017),0)</f>
        <v/>
      </c>
      <c r="O1021" s="17">
        <f>IF('ORDENES'!$S1017="preventiva",N1021,0)</f>
        <v/>
      </c>
      <c r="P1021" s="17">
        <f>IF('ORDENES'!$S1017="correctiva",N1021,0)</f>
        <v/>
      </c>
      <c r="Q1021" s="3">
        <f>IF(AND(K1021=1,'ORDENES'!$N1017="Pendiente"),1,0)</f>
        <v/>
      </c>
      <c r="R1021" s="3">
        <f>IF(Q1021=1,100000-N1021*1000+1014*0.01,9000000000000+1014)</f>
        <v/>
      </c>
      <c r="S1021" s="3">
        <f>IF(Q1021=1,SUMPRODUCT(--($R$8:$R$1207&lt;R1021))+1,"")</f>
        <v/>
      </c>
      <c r="T1021" s="11">
        <f>IF(K1021=1,'ORDENES'!$J1017,"")</f>
        <v/>
      </c>
    </row>
    <row r="1022">
      <c r="K1022" s="3">
        <f>IF(AND(IF($B$3="(todos)",TRUE,'ORDENES'!$O1018=$B$3),IF($D$3="(todos)",TRUE,'ORDENES'!$AC1018=$D$3),IF($F$3="(todos)",TRUE,'ORDENES'!$V1018=$F$3),'ORDENES'!$AA1018=TRUE,'ORDENES'!$A1018&lt;&gt;""),1,0)</f>
        <v/>
      </c>
      <c r="L1022" s="3">
        <f>IF(K1022=1,IFERROR(MATCH('ORDENES'!$R1018,lista_dias,0),9)*1000000000+IFERROR(MATCH('ORDENES'!$AC1018,lista_turnos,0),9)*10000000+IFERROR(MATCH('ORDENES'!$AB1018,'TECNICOS'!$B$4:$B$15,0),99)*100000+1015,9000000000000+1015)</f>
        <v/>
      </c>
      <c r="M1022" s="3">
        <f>IF(K1022=1,SUMPRODUCT(--($L$8:$L$1207&lt;L1022))+1,"")</f>
        <v/>
      </c>
      <c r="N1022" s="17">
        <f>IF(K1022=1,N('ORDENES'!$M1018),0)</f>
        <v/>
      </c>
      <c r="O1022" s="17">
        <f>IF('ORDENES'!$S1018="preventiva",N1022,0)</f>
        <v/>
      </c>
      <c r="P1022" s="17">
        <f>IF('ORDENES'!$S1018="correctiva",N1022,0)</f>
        <v/>
      </c>
      <c r="Q1022" s="3">
        <f>IF(AND(K1022=1,'ORDENES'!$N1018="Pendiente"),1,0)</f>
        <v/>
      </c>
      <c r="R1022" s="3">
        <f>IF(Q1022=1,100000-N1022*1000+1015*0.01,9000000000000+1015)</f>
        <v/>
      </c>
      <c r="S1022" s="3">
        <f>IF(Q1022=1,SUMPRODUCT(--($R$8:$R$1207&lt;R1022))+1,"")</f>
        <v/>
      </c>
      <c r="T1022" s="11">
        <f>IF(K1022=1,'ORDENES'!$J1018,"")</f>
        <v/>
      </c>
    </row>
    <row r="1023">
      <c r="K1023" s="3">
        <f>IF(AND(IF($B$3="(todos)",TRUE,'ORDENES'!$O1019=$B$3),IF($D$3="(todos)",TRUE,'ORDENES'!$AC1019=$D$3),IF($F$3="(todos)",TRUE,'ORDENES'!$V1019=$F$3),'ORDENES'!$AA1019=TRUE,'ORDENES'!$A1019&lt;&gt;""),1,0)</f>
        <v/>
      </c>
      <c r="L1023" s="3">
        <f>IF(K1023=1,IFERROR(MATCH('ORDENES'!$R1019,lista_dias,0),9)*1000000000+IFERROR(MATCH('ORDENES'!$AC1019,lista_turnos,0),9)*10000000+IFERROR(MATCH('ORDENES'!$AB1019,'TECNICOS'!$B$4:$B$15,0),99)*100000+1016,9000000000000+1016)</f>
        <v/>
      </c>
      <c r="M1023" s="3">
        <f>IF(K1023=1,SUMPRODUCT(--($L$8:$L$1207&lt;L1023))+1,"")</f>
        <v/>
      </c>
      <c r="N1023" s="17">
        <f>IF(K1023=1,N('ORDENES'!$M1019),0)</f>
        <v/>
      </c>
      <c r="O1023" s="17">
        <f>IF('ORDENES'!$S1019="preventiva",N1023,0)</f>
        <v/>
      </c>
      <c r="P1023" s="17">
        <f>IF('ORDENES'!$S1019="correctiva",N1023,0)</f>
        <v/>
      </c>
      <c r="Q1023" s="3">
        <f>IF(AND(K1023=1,'ORDENES'!$N1019="Pendiente"),1,0)</f>
        <v/>
      </c>
      <c r="R1023" s="3">
        <f>IF(Q1023=1,100000-N1023*1000+1016*0.01,9000000000000+1016)</f>
        <v/>
      </c>
      <c r="S1023" s="3">
        <f>IF(Q1023=1,SUMPRODUCT(--($R$8:$R$1207&lt;R1023))+1,"")</f>
        <v/>
      </c>
      <c r="T1023" s="11">
        <f>IF(K1023=1,'ORDENES'!$J1019,"")</f>
        <v/>
      </c>
    </row>
    <row r="1024">
      <c r="K1024" s="3">
        <f>IF(AND(IF($B$3="(todos)",TRUE,'ORDENES'!$O1020=$B$3),IF($D$3="(todos)",TRUE,'ORDENES'!$AC1020=$D$3),IF($F$3="(todos)",TRUE,'ORDENES'!$V1020=$F$3),'ORDENES'!$AA1020=TRUE,'ORDENES'!$A1020&lt;&gt;""),1,0)</f>
        <v/>
      </c>
      <c r="L1024" s="3">
        <f>IF(K1024=1,IFERROR(MATCH('ORDENES'!$R1020,lista_dias,0),9)*1000000000+IFERROR(MATCH('ORDENES'!$AC1020,lista_turnos,0),9)*10000000+IFERROR(MATCH('ORDENES'!$AB1020,'TECNICOS'!$B$4:$B$15,0),99)*100000+1017,9000000000000+1017)</f>
        <v/>
      </c>
      <c r="M1024" s="3">
        <f>IF(K1024=1,SUMPRODUCT(--($L$8:$L$1207&lt;L1024))+1,"")</f>
        <v/>
      </c>
      <c r="N1024" s="17">
        <f>IF(K1024=1,N('ORDENES'!$M1020),0)</f>
        <v/>
      </c>
      <c r="O1024" s="17">
        <f>IF('ORDENES'!$S1020="preventiva",N1024,0)</f>
        <v/>
      </c>
      <c r="P1024" s="17">
        <f>IF('ORDENES'!$S1020="correctiva",N1024,0)</f>
        <v/>
      </c>
      <c r="Q1024" s="3">
        <f>IF(AND(K1024=1,'ORDENES'!$N1020="Pendiente"),1,0)</f>
        <v/>
      </c>
      <c r="R1024" s="3">
        <f>IF(Q1024=1,100000-N1024*1000+1017*0.01,9000000000000+1017)</f>
        <v/>
      </c>
      <c r="S1024" s="3">
        <f>IF(Q1024=1,SUMPRODUCT(--($R$8:$R$1207&lt;R1024))+1,"")</f>
        <v/>
      </c>
      <c r="T1024" s="11">
        <f>IF(K1024=1,'ORDENES'!$J1020,"")</f>
        <v/>
      </c>
    </row>
    <row r="1025">
      <c r="K1025" s="3">
        <f>IF(AND(IF($B$3="(todos)",TRUE,'ORDENES'!$O1021=$B$3),IF($D$3="(todos)",TRUE,'ORDENES'!$AC1021=$D$3),IF($F$3="(todos)",TRUE,'ORDENES'!$V1021=$F$3),'ORDENES'!$AA1021=TRUE,'ORDENES'!$A1021&lt;&gt;""),1,0)</f>
        <v/>
      </c>
      <c r="L1025" s="3">
        <f>IF(K1025=1,IFERROR(MATCH('ORDENES'!$R1021,lista_dias,0),9)*1000000000+IFERROR(MATCH('ORDENES'!$AC1021,lista_turnos,0),9)*10000000+IFERROR(MATCH('ORDENES'!$AB1021,'TECNICOS'!$B$4:$B$15,0),99)*100000+1018,9000000000000+1018)</f>
        <v/>
      </c>
      <c r="M1025" s="3">
        <f>IF(K1025=1,SUMPRODUCT(--($L$8:$L$1207&lt;L1025))+1,"")</f>
        <v/>
      </c>
      <c r="N1025" s="17">
        <f>IF(K1025=1,N('ORDENES'!$M1021),0)</f>
        <v/>
      </c>
      <c r="O1025" s="17">
        <f>IF('ORDENES'!$S1021="preventiva",N1025,0)</f>
        <v/>
      </c>
      <c r="P1025" s="17">
        <f>IF('ORDENES'!$S1021="correctiva",N1025,0)</f>
        <v/>
      </c>
      <c r="Q1025" s="3">
        <f>IF(AND(K1025=1,'ORDENES'!$N1021="Pendiente"),1,0)</f>
        <v/>
      </c>
      <c r="R1025" s="3">
        <f>IF(Q1025=1,100000-N1025*1000+1018*0.01,9000000000000+1018)</f>
        <v/>
      </c>
      <c r="S1025" s="3">
        <f>IF(Q1025=1,SUMPRODUCT(--($R$8:$R$1207&lt;R1025))+1,"")</f>
        <v/>
      </c>
      <c r="T1025" s="11">
        <f>IF(K1025=1,'ORDENES'!$J1021,"")</f>
        <v/>
      </c>
    </row>
    <row r="1026">
      <c r="K1026" s="3">
        <f>IF(AND(IF($B$3="(todos)",TRUE,'ORDENES'!$O1022=$B$3),IF($D$3="(todos)",TRUE,'ORDENES'!$AC1022=$D$3),IF($F$3="(todos)",TRUE,'ORDENES'!$V1022=$F$3),'ORDENES'!$AA1022=TRUE,'ORDENES'!$A1022&lt;&gt;""),1,0)</f>
        <v/>
      </c>
      <c r="L1026" s="3">
        <f>IF(K1026=1,IFERROR(MATCH('ORDENES'!$R1022,lista_dias,0),9)*1000000000+IFERROR(MATCH('ORDENES'!$AC1022,lista_turnos,0),9)*10000000+IFERROR(MATCH('ORDENES'!$AB1022,'TECNICOS'!$B$4:$B$15,0),99)*100000+1019,9000000000000+1019)</f>
        <v/>
      </c>
      <c r="M1026" s="3">
        <f>IF(K1026=1,SUMPRODUCT(--($L$8:$L$1207&lt;L1026))+1,"")</f>
        <v/>
      </c>
      <c r="N1026" s="17">
        <f>IF(K1026=1,N('ORDENES'!$M1022),0)</f>
        <v/>
      </c>
      <c r="O1026" s="17">
        <f>IF('ORDENES'!$S1022="preventiva",N1026,0)</f>
        <v/>
      </c>
      <c r="P1026" s="17">
        <f>IF('ORDENES'!$S1022="correctiva",N1026,0)</f>
        <v/>
      </c>
      <c r="Q1026" s="3">
        <f>IF(AND(K1026=1,'ORDENES'!$N1022="Pendiente"),1,0)</f>
        <v/>
      </c>
      <c r="R1026" s="3">
        <f>IF(Q1026=1,100000-N1026*1000+1019*0.01,9000000000000+1019)</f>
        <v/>
      </c>
      <c r="S1026" s="3">
        <f>IF(Q1026=1,SUMPRODUCT(--($R$8:$R$1207&lt;R1026))+1,"")</f>
        <v/>
      </c>
      <c r="T1026" s="11">
        <f>IF(K1026=1,'ORDENES'!$J1022,"")</f>
        <v/>
      </c>
    </row>
    <row r="1027">
      <c r="K1027" s="3">
        <f>IF(AND(IF($B$3="(todos)",TRUE,'ORDENES'!$O1023=$B$3),IF($D$3="(todos)",TRUE,'ORDENES'!$AC1023=$D$3),IF($F$3="(todos)",TRUE,'ORDENES'!$V1023=$F$3),'ORDENES'!$AA1023=TRUE,'ORDENES'!$A1023&lt;&gt;""),1,0)</f>
        <v/>
      </c>
      <c r="L1027" s="3">
        <f>IF(K1027=1,IFERROR(MATCH('ORDENES'!$R1023,lista_dias,0),9)*1000000000+IFERROR(MATCH('ORDENES'!$AC1023,lista_turnos,0),9)*10000000+IFERROR(MATCH('ORDENES'!$AB1023,'TECNICOS'!$B$4:$B$15,0),99)*100000+1020,9000000000000+1020)</f>
        <v/>
      </c>
      <c r="M1027" s="3">
        <f>IF(K1027=1,SUMPRODUCT(--($L$8:$L$1207&lt;L1027))+1,"")</f>
        <v/>
      </c>
      <c r="N1027" s="17">
        <f>IF(K1027=1,N('ORDENES'!$M1023),0)</f>
        <v/>
      </c>
      <c r="O1027" s="17">
        <f>IF('ORDENES'!$S1023="preventiva",N1027,0)</f>
        <v/>
      </c>
      <c r="P1027" s="17">
        <f>IF('ORDENES'!$S1023="correctiva",N1027,0)</f>
        <v/>
      </c>
      <c r="Q1027" s="3">
        <f>IF(AND(K1027=1,'ORDENES'!$N1023="Pendiente"),1,0)</f>
        <v/>
      </c>
      <c r="R1027" s="3">
        <f>IF(Q1027=1,100000-N1027*1000+1020*0.01,9000000000000+1020)</f>
        <v/>
      </c>
      <c r="S1027" s="3">
        <f>IF(Q1027=1,SUMPRODUCT(--($R$8:$R$1207&lt;R1027))+1,"")</f>
        <v/>
      </c>
      <c r="T1027" s="11">
        <f>IF(K1027=1,'ORDENES'!$J1023,"")</f>
        <v/>
      </c>
    </row>
    <row r="1028">
      <c r="K1028" s="3">
        <f>IF(AND(IF($B$3="(todos)",TRUE,'ORDENES'!$O1024=$B$3),IF($D$3="(todos)",TRUE,'ORDENES'!$AC1024=$D$3),IF($F$3="(todos)",TRUE,'ORDENES'!$V1024=$F$3),'ORDENES'!$AA1024=TRUE,'ORDENES'!$A1024&lt;&gt;""),1,0)</f>
        <v/>
      </c>
      <c r="L1028" s="3">
        <f>IF(K1028=1,IFERROR(MATCH('ORDENES'!$R1024,lista_dias,0),9)*1000000000+IFERROR(MATCH('ORDENES'!$AC1024,lista_turnos,0),9)*10000000+IFERROR(MATCH('ORDENES'!$AB1024,'TECNICOS'!$B$4:$B$15,0),99)*100000+1021,9000000000000+1021)</f>
        <v/>
      </c>
      <c r="M1028" s="3">
        <f>IF(K1028=1,SUMPRODUCT(--($L$8:$L$1207&lt;L1028))+1,"")</f>
        <v/>
      </c>
      <c r="N1028" s="17">
        <f>IF(K1028=1,N('ORDENES'!$M1024),0)</f>
        <v/>
      </c>
      <c r="O1028" s="17">
        <f>IF('ORDENES'!$S1024="preventiva",N1028,0)</f>
        <v/>
      </c>
      <c r="P1028" s="17">
        <f>IF('ORDENES'!$S1024="correctiva",N1028,0)</f>
        <v/>
      </c>
      <c r="Q1028" s="3">
        <f>IF(AND(K1028=1,'ORDENES'!$N1024="Pendiente"),1,0)</f>
        <v/>
      </c>
      <c r="R1028" s="3">
        <f>IF(Q1028=1,100000-N1028*1000+1021*0.01,9000000000000+1021)</f>
        <v/>
      </c>
      <c r="S1028" s="3">
        <f>IF(Q1028=1,SUMPRODUCT(--($R$8:$R$1207&lt;R1028))+1,"")</f>
        <v/>
      </c>
      <c r="T1028" s="11">
        <f>IF(K1028=1,'ORDENES'!$J1024,"")</f>
        <v/>
      </c>
    </row>
    <row r="1029">
      <c r="K1029" s="3">
        <f>IF(AND(IF($B$3="(todos)",TRUE,'ORDENES'!$O1025=$B$3),IF($D$3="(todos)",TRUE,'ORDENES'!$AC1025=$D$3),IF($F$3="(todos)",TRUE,'ORDENES'!$V1025=$F$3),'ORDENES'!$AA1025=TRUE,'ORDENES'!$A1025&lt;&gt;""),1,0)</f>
        <v/>
      </c>
      <c r="L1029" s="3">
        <f>IF(K1029=1,IFERROR(MATCH('ORDENES'!$R1025,lista_dias,0),9)*1000000000+IFERROR(MATCH('ORDENES'!$AC1025,lista_turnos,0),9)*10000000+IFERROR(MATCH('ORDENES'!$AB1025,'TECNICOS'!$B$4:$B$15,0),99)*100000+1022,9000000000000+1022)</f>
        <v/>
      </c>
      <c r="M1029" s="3">
        <f>IF(K1029=1,SUMPRODUCT(--($L$8:$L$1207&lt;L1029))+1,"")</f>
        <v/>
      </c>
      <c r="N1029" s="17">
        <f>IF(K1029=1,N('ORDENES'!$M1025),0)</f>
        <v/>
      </c>
      <c r="O1029" s="17">
        <f>IF('ORDENES'!$S1025="preventiva",N1029,0)</f>
        <v/>
      </c>
      <c r="P1029" s="17">
        <f>IF('ORDENES'!$S1025="correctiva",N1029,0)</f>
        <v/>
      </c>
      <c r="Q1029" s="3">
        <f>IF(AND(K1029=1,'ORDENES'!$N1025="Pendiente"),1,0)</f>
        <v/>
      </c>
      <c r="R1029" s="3">
        <f>IF(Q1029=1,100000-N1029*1000+1022*0.01,9000000000000+1022)</f>
        <v/>
      </c>
      <c r="S1029" s="3">
        <f>IF(Q1029=1,SUMPRODUCT(--($R$8:$R$1207&lt;R1029))+1,"")</f>
        <v/>
      </c>
      <c r="T1029" s="11">
        <f>IF(K1029=1,'ORDENES'!$J1025,"")</f>
        <v/>
      </c>
    </row>
    <row r="1030">
      <c r="K1030" s="3">
        <f>IF(AND(IF($B$3="(todos)",TRUE,'ORDENES'!$O1026=$B$3),IF($D$3="(todos)",TRUE,'ORDENES'!$AC1026=$D$3),IF($F$3="(todos)",TRUE,'ORDENES'!$V1026=$F$3),'ORDENES'!$AA1026=TRUE,'ORDENES'!$A1026&lt;&gt;""),1,0)</f>
        <v/>
      </c>
      <c r="L1030" s="3">
        <f>IF(K1030=1,IFERROR(MATCH('ORDENES'!$R1026,lista_dias,0),9)*1000000000+IFERROR(MATCH('ORDENES'!$AC1026,lista_turnos,0),9)*10000000+IFERROR(MATCH('ORDENES'!$AB1026,'TECNICOS'!$B$4:$B$15,0),99)*100000+1023,9000000000000+1023)</f>
        <v/>
      </c>
      <c r="M1030" s="3">
        <f>IF(K1030=1,SUMPRODUCT(--($L$8:$L$1207&lt;L1030))+1,"")</f>
        <v/>
      </c>
      <c r="N1030" s="17">
        <f>IF(K1030=1,N('ORDENES'!$M1026),0)</f>
        <v/>
      </c>
      <c r="O1030" s="17">
        <f>IF('ORDENES'!$S1026="preventiva",N1030,0)</f>
        <v/>
      </c>
      <c r="P1030" s="17">
        <f>IF('ORDENES'!$S1026="correctiva",N1030,0)</f>
        <v/>
      </c>
      <c r="Q1030" s="3">
        <f>IF(AND(K1030=1,'ORDENES'!$N1026="Pendiente"),1,0)</f>
        <v/>
      </c>
      <c r="R1030" s="3">
        <f>IF(Q1030=1,100000-N1030*1000+1023*0.01,9000000000000+1023)</f>
        <v/>
      </c>
      <c r="S1030" s="3">
        <f>IF(Q1030=1,SUMPRODUCT(--($R$8:$R$1207&lt;R1030))+1,"")</f>
        <v/>
      </c>
      <c r="T1030" s="11">
        <f>IF(K1030=1,'ORDENES'!$J1026,"")</f>
        <v/>
      </c>
    </row>
    <row r="1031">
      <c r="K1031" s="3">
        <f>IF(AND(IF($B$3="(todos)",TRUE,'ORDENES'!$O1027=$B$3),IF($D$3="(todos)",TRUE,'ORDENES'!$AC1027=$D$3),IF($F$3="(todos)",TRUE,'ORDENES'!$V1027=$F$3),'ORDENES'!$AA1027=TRUE,'ORDENES'!$A1027&lt;&gt;""),1,0)</f>
        <v/>
      </c>
      <c r="L1031" s="3">
        <f>IF(K1031=1,IFERROR(MATCH('ORDENES'!$R1027,lista_dias,0),9)*1000000000+IFERROR(MATCH('ORDENES'!$AC1027,lista_turnos,0),9)*10000000+IFERROR(MATCH('ORDENES'!$AB1027,'TECNICOS'!$B$4:$B$15,0),99)*100000+1024,9000000000000+1024)</f>
        <v/>
      </c>
      <c r="M1031" s="3">
        <f>IF(K1031=1,SUMPRODUCT(--($L$8:$L$1207&lt;L1031))+1,"")</f>
        <v/>
      </c>
      <c r="N1031" s="17">
        <f>IF(K1031=1,N('ORDENES'!$M1027),0)</f>
        <v/>
      </c>
      <c r="O1031" s="17">
        <f>IF('ORDENES'!$S1027="preventiva",N1031,0)</f>
        <v/>
      </c>
      <c r="P1031" s="17">
        <f>IF('ORDENES'!$S1027="correctiva",N1031,0)</f>
        <v/>
      </c>
      <c r="Q1031" s="3">
        <f>IF(AND(K1031=1,'ORDENES'!$N1027="Pendiente"),1,0)</f>
        <v/>
      </c>
      <c r="R1031" s="3">
        <f>IF(Q1031=1,100000-N1031*1000+1024*0.01,9000000000000+1024)</f>
        <v/>
      </c>
      <c r="S1031" s="3">
        <f>IF(Q1031=1,SUMPRODUCT(--($R$8:$R$1207&lt;R1031))+1,"")</f>
        <v/>
      </c>
      <c r="T1031" s="11">
        <f>IF(K1031=1,'ORDENES'!$J1027,"")</f>
        <v/>
      </c>
    </row>
    <row r="1032">
      <c r="K1032" s="3">
        <f>IF(AND(IF($B$3="(todos)",TRUE,'ORDENES'!$O1028=$B$3),IF($D$3="(todos)",TRUE,'ORDENES'!$AC1028=$D$3),IF($F$3="(todos)",TRUE,'ORDENES'!$V1028=$F$3),'ORDENES'!$AA1028=TRUE,'ORDENES'!$A1028&lt;&gt;""),1,0)</f>
        <v/>
      </c>
      <c r="L1032" s="3">
        <f>IF(K1032=1,IFERROR(MATCH('ORDENES'!$R1028,lista_dias,0),9)*1000000000+IFERROR(MATCH('ORDENES'!$AC1028,lista_turnos,0),9)*10000000+IFERROR(MATCH('ORDENES'!$AB1028,'TECNICOS'!$B$4:$B$15,0),99)*100000+1025,9000000000000+1025)</f>
        <v/>
      </c>
      <c r="M1032" s="3">
        <f>IF(K1032=1,SUMPRODUCT(--($L$8:$L$1207&lt;L1032))+1,"")</f>
        <v/>
      </c>
      <c r="N1032" s="17">
        <f>IF(K1032=1,N('ORDENES'!$M1028),0)</f>
        <v/>
      </c>
      <c r="O1032" s="17">
        <f>IF('ORDENES'!$S1028="preventiva",N1032,0)</f>
        <v/>
      </c>
      <c r="P1032" s="17">
        <f>IF('ORDENES'!$S1028="correctiva",N1032,0)</f>
        <v/>
      </c>
      <c r="Q1032" s="3">
        <f>IF(AND(K1032=1,'ORDENES'!$N1028="Pendiente"),1,0)</f>
        <v/>
      </c>
      <c r="R1032" s="3">
        <f>IF(Q1032=1,100000-N1032*1000+1025*0.01,9000000000000+1025)</f>
        <v/>
      </c>
      <c r="S1032" s="3">
        <f>IF(Q1032=1,SUMPRODUCT(--($R$8:$R$1207&lt;R1032))+1,"")</f>
        <v/>
      </c>
      <c r="T1032" s="11">
        <f>IF(K1032=1,'ORDENES'!$J1028,"")</f>
        <v/>
      </c>
    </row>
    <row r="1033">
      <c r="K1033" s="3">
        <f>IF(AND(IF($B$3="(todos)",TRUE,'ORDENES'!$O1029=$B$3),IF($D$3="(todos)",TRUE,'ORDENES'!$AC1029=$D$3),IF($F$3="(todos)",TRUE,'ORDENES'!$V1029=$F$3),'ORDENES'!$AA1029=TRUE,'ORDENES'!$A1029&lt;&gt;""),1,0)</f>
        <v/>
      </c>
      <c r="L1033" s="3">
        <f>IF(K1033=1,IFERROR(MATCH('ORDENES'!$R1029,lista_dias,0),9)*1000000000+IFERROR(MATCH('ORDENES'!$AC1029,lista_turnos,0),9)*10000000+IFERROR(MATCH('ORDENES'!$AB1029,'TECNICOS'!$B$4:$B$15,0),99)*100000+1026,9000000000000+1026)</f>
        <v/>
      </c>
      <c r="M1033" s="3">
        <f>IF(K1033=1,SUMPRODUCT(--($L$8:$L$1207&lt;L1033))+1,"")</f>
        <v/>
      </c>
      <c r="N1033" s="17">
        <f>IF(K1033=1,N('ORDENES'!$M1029),0)</f>
        <v/>
      </c>
      <c r="O1033" s="17">
        <f>IF('ORDENES'!$S1029="preventiva",N1033,0)</f>
        <v/>
      </c>
      <c r="P1033" s="17">
        <f>IF('ORDENES'!$S1029="correctiva",N1033,0)</f>
        <v/>
      </c>
      <c r="Q1033" s="3">
        <f>IF(AND(K1033=1,'ORDENES'!$N1029="Pendiente"),1,0)</f>
        <v/>
      </c>
      <c r="R1033" s="3">
        <f>IF(Q1033=1,100000-N1033*1000+1026*0.01,9000000000000+1026)</f>
        <v/>
      </c>
      <c r="S1033" s="3">
        <f>IF(Q1033=1,SUMPRODUCT(--($R$8:$R$1207&lt;R1033))+1,"")</f>
        <v/>
      </c>
      <c r="T1033" s="11">
        <f>IF(K1033=1,'ORDENES'!$J1029,"")</f>
        <v/>
      </c>
    </row>
    <row r="1034">
      <c r="K1034" s="3">
        <f>IF(AND(IF($B$3="(todos)",TRUE,'ORDENES'!$O1030=$B$3),IF($D$3="(todos)",TRUE,'ORDENES'!$AC1030=$D$3),IF($F$3="(todos)",TRUE,'ORDENES'!$V1030=$F$3),'ORDENES'!$AA1030=TRUE,'ORDENES'!$A1030&lt;&gt;""),1,0)</f>
        <v/>
      </c>
      <c r="L1034" s="3">
        <f>IF(K1034=1,IFERROR(MATCH('ORDENES'!$R1030,lista_dias,0),9)*1000000000+IFERROR(MATCH('ORDENES'!$AC1030,lista_turnos,0),9)*10000000+IFERROR(MATCH('ORDENES'!$AB1030,'TECNICOS'!$B$4:$B$15,0),99)*100000+1027,9000000000000+1027)</f>
        <v/>
      </c>
      <c r="M1034" s="3">
        <f>IF(K1034=1,SUMPRODUCT(--($L$8:$L$1207&lt;L1034))+1,"")</f>
        <v/>
      </c>
      <c r="N1034" s="17">
        <f>IF(K1034=1,N('ORDENES'!$M1030),0)</f>
        <v/>
      </c>
      <c r="O1034" s="17">
        <f>IF('ORDENES'!$S1030="preventiva",N1034,0)</f>
        <v/>
      </c>
      <c r="P1034" s="17">
        <f>IF('ORDENES'!$S1030="correctiva",N1034,0)</f>
        <v/>
      </c>
      <c r="Q1034" s="3">
        <f>IF(AND(K1034=1,'ORDENES'!$N1030="Pendiente"),1,0)</f>
        <v/>
      </c>
      <c r="R1034" s="3">
        <f>IF(Q1034=1,100000-N1034*1000+1027*0.01,9000000000000+1027)</f>
        <v/>
      </c>
      <c r="S1034" s="3">
        <f>IF(Q1034=1,SUMPRODUCT(--($R$8:$R$1207&lt;R1034))+1,"")</f>
        <v/>
      </c>
      <c r="T1034" s="11">
        <f>IF(K1034=1,'ORDENES'!$J1030,"")</f>
        <v/>
      </c>
    </row>
    <row r="1035">
      <c r="K1035" s="3">
        <f>IF(AND(IF($B$3="(todos)",TRUE,'ORDENES'!$O1031=$B$3),IF($D$3="(todos)",TRUE,'ORDENES'!$AC1031=$D$3),IF($F$3="(todos)",TRUE,'ORDENES'!$V1031=$F$3),'ORDENES'!$AA1031=TRUE,'ORDENES'!$A1031&lt;&gt;""),1,0)</f>
        <v/>
      </c>
      <c r="L1035" s="3">
        <f>IF(K1035=1,IFERROR(MATCH('ORDENES'!$R1031,lista_dias,0),9)*1000000000+IFERROR(MATCH('ORDENES'!$AC1031,lista_turnos,0),9)*10000000+IFERROR(MATCH('ORDENES'!$AB1031,'TECNICOS'!$B$4:$B$15,0),99)*100000+1028,9000000000000+1028)</f>
        <v/>
      </c>
      <c r="M1035" s="3">
        <f>IF(K1035=1,SUMPRODUCT(--($L$8:$L$1207&lt;L1035))+1,"")</f>
        <v/>
      </c>
      <c r="N1035" s="17">
        <f>IF(K1035=1,N('ORDENES'!$M1031),0)</f>
        <v/>
      </c>
      <c r="O1035" s="17">
        <f>IF('ORDENES'!$S1031="preventiva",N1035,0)</f>
        <v/>
      </c>
      <c r="P1035" s="17">
        <f>IF('ORDENES'!$S1031="correctiva",N1035,0)</f>
        <v/>
      </c>
      <c r="Q1035" s="3">
        <f>IF(AND(K1035=1,'ORDENES'!$N1031="Pendiente"),1,0)</f>
        <v/>
      </c>
      <c r="R1035" s="3">
        <f>IF(Q1035=1,100000-N1035*1000+1028*0.01,9000000000000+1028)</f>
        <v/>
      </c>
      <c r="S1035" s="3">
        <f>IF(Q1035=1,SUMPRODUCT(--($R$8:$R$1207&lt;R1035))+1,"")</f>
        <v/>
      </c>
      <c r="T1035" s="11">
        <f>IF(K1035=1,'ORDENES'!$J1031,"")</f>
        <v/>
      </c>
    </row>
    <row r="1036">
      <c r="K1036" s="3">
        <f>IF(AND(IF($B$3="(todos)",TRUE,'ORDENES'!$O1032=$B$3),IF($D$3="(todos)",TRUE,'ORDENES'!$AC1032=$D$3),IF($F$3="(todos)",TRUE,'ORDENES'!$V1032=$F$3),'ORDENES'!$AA1032=TRUE,'ORDENES'!$A1032&lt;&gt;""),1,0)</f>
        <v/>
      </c>
      <c r="L1036" s="3">
        <f>IF(K1036=1,IFERROR(MATCH('ORDENES'!$R1032,lista_dias,0),9)*1000000000+IFERROR(MATCH('ORDENES'!$AC1032,lista_turnos,0),9)*10000000+IFERROR(MATCH('ORDENES'!$AB1032,'TECNICOS'!$B$4:$B$15,0),99)*100000+1029,9000000000000+1029)</f>
        <v/>
      </c>
      <c r="M1036" s="3">
        <f>IF(K1036=1,SUMPRODUCT(--($L$8:$L$1207&lt;L1036))+1,"")</f>
        <v/>
      </c>
      <c r="N1036" s="17">
        <f>IF(K1036=1,N('ORDENES'!$M1032),0)</f>
        <v/>
      </c>
      <c r="O1036" s="17">
        <f>IF('ORDENES'!$S1032="preventiva",N1036,0)</f>
        <v/>
      </c>
      <c r="P1036" s="17">
        <f>IF('ORDENES'!$S1032="correctiva",N1036,0)</f>
        <v/>
      </c>
      <c r="Q1036" s="3">
        <f>IF(AND(K1036=1,'ORDENES'!$N1032="Pendiente"),1,0)</f>
        <v/>
      </c>
      <c r="R1036" s="3">
        <f>IF(Q1036=1,100000-N1036*1000+1029*0.01,9000000000000+1029)</f>
        <v/>
      </c>
      <c r="S1036" s="3">
        <f>IF(Q1036=1,SUMPRODUCT(--($R$8:$R$1207&lt;R1036))+1,"")</f>
        <v/>
      </c>
      <c r="T1036" s="11">
        <f>IF(K1036=1,'ORDENES'!$J1032,"")</f>
        <v/>
      </c>
    </row>
    <row r="1037">
      <c r="K1037" s="3">
        <f>IF(AND(IF($B$3="(todos)",TRUE,'ORDENES'!$O1033=$B$3),IF($D$3="(todos)",TRUE,'ORDENES'!$AC1033=$D$3),IF($F$3="(todos)",TRUE,'ORDENES'!$V1033=$F$3),'ORDENES'!$AA1033=TRUE,'ORDENES'!$A1033&lt;&gt;""),1,0)</f>
        <v/>
      </c>
      <c r="L1037" s="3">
        <f>IF(K1037=1,IFERROR(MATCH('ORDENES'!$R1033,lista_dias,0),9)*1000000000+IFERROR(MATCH('ORDENES'!$AC1033,lista_turnos,0),9)*10000000+IFERROR(MATCH('ORDENES'!$AB1033,'TECNICOS'!$B$4:$B$15,0),99)*100000+1030,9000000000000+1030)</f>
        <v/>
      </c>
      <c r="M1037" s="3">
        <f>IF(K1037=1,SUMPRODUCT(--($L$8:$L$1207&lt;L1037))+1,"")</f>
        <v/>
      </c>
      <c r="N1037" s="17">
        <f>IF(K1037=1,N('ORDENES'!$M1033),0)</f>
        <v/>
      </c>
      <c r="O1037" s="17">
        <f>IF('ORDENES'!$S1033="preventiva",N1037,0)</f>
        <v/>
      </c>
      <c r="P1037" s="17">
        <f>IF('ORDENES'!$S1033="correctiva",N1037,0)</f>
        <v/>
      </c>
      <c r="Q1037" s="3">
        <f>IF(AND(K1037=1,'ORDENES'!$N1033="Pendiente"),1,0)</f>
        <v/>
      </c>
      <c r="R1037" s="3">
        <f>IF(Q1037=1,100000-N1037*1000+1030*0.01,9000000000000+1030)</f>
        <v/>
      </c>
      <c r="S1037" s="3">
        <f>IF(Q1037=1,SUMPRODUCT(--($R$8:$R$1207&lt;R1037))+1,"")</f>
        <v/>
      </c>
      <c r="T1037" s="11">
        <f>IF(K1037=1,'ORDENES'!$J1033,"")</f>
        <v/>
      </c>
    </row>
    <row r="1038">
      <c r="K1038" s="3">
        <f>IF(AND(IF($B$3="(todos)",TRUE,'ORDENES'!$O1034=$B$3),IF($D$3="(todos)",TRUE,'ORDENES'!$AC1034=$D$3),IF($F$3="(todos)",TRUE,'ORDENES'!$V1034=$F$3),'ORDENES'!$AA1034=TRUE,'ORDENES'!$A1034&lt;&gt;""),1,0)</f>
        <v/>
      </c>
      <c r="L1038" s="3">
        <f>IF(K1038=1,IFERROR(MATCH('ORDENES'!$R1034,lista_dias,0),9)*1000000000+IFERROR(MATCH('ORDENES'!$AC1034,lista_turnos,0),9)*10000000+IFERROR(MATCH('ORDENES'!$AB1034,'TECNICOS'!$B$4:$B$15,0),99)*100000+1031,9000000000000+1031)</f>
        <v/>
      </c>
      <c r="M1038" s="3">
        <f>IF(K1038=1,SUMPRODUCT(--($L$8:$L$1207&lt;L1038))+1,"")</f>
        <v/>
      </c>
      <c r="N1038" s="17">
        <f>IF(K1038=1,N('ORDENES'!$M1034),0)</f>
        <v/>
      </c>
      <c r="O1038" s="17">
        <f>IF('ORDENES'!$S1034="preventiva",N1038,0)</f>
        <v/>
      </c>
      <c r="P1038" s="17">
        <f>IF('ORDENES'!$S1034="correctiva",N1038,0)</f>
        <v/>
      </c>
      <c r="Q1038" s="3">
        <f>IF(AND(K1038=1,'ORDENES'!$N1034="Pendiente"),1,0)</f>
        <v/>
      </c>
      <c r="R1038" s="3">
        <f>IF(Q1038=1,100000-N1038*1000+1031*0.01,9000000000000+1031)</f>
        <v/>
      </c>
      <c r="S1038" s="3">
        <f>IF(Q1038=1,SUMPRODUCT(--($R$8:$R$1207&lt;R1038))+1,"")</f>
        <v/>
      </c>
      <c r="T1038" s="11">
        <f>IF(K1038=1,'ORDENES'!$J1034,"")</f>
        <v/>
      </c>
    </row>
    <row r="1039">
      <c r="K1039" s="3">
        <f>IF(AND(IF($B$3="(todos)",TRUE,'ORDENES'!$O1035=$B$3),IF($D$3="(todos)",TRUE,'ORDENES'!$AC1035=$D$3),IF($F$3="(todos)",TRUE,'ORDENES'!$V1035=$F$3),'ORDENES'!$AA1035=TRUE,'ORDENES'!$A1035&lt;&gt;""),1,0)</f>
        <v/>
      </c>
      <c r="L1039" s="3">
        <f>IF(K1039=1,IFERROR(MATCH('ORDENES'!$R1035,lista_dias,0),9)*1000000000+IFERROR(MATCH('ORDENES'!$AC1035,lista_turnos,0),9)*10000000+IFERROR(MATCH('ORDENES'!$AB1035,'TECNICOS'!$B$4:$B$15,0),99)*100000+1032,9000000000000+1032)</f>
        <v/>
      </c>
      <c r="M1039" s="3">
        <f>IF(K1039=1,SUMPRODUCT(--($L$8:$L$1207&lt;L1039))+1,"")</f>
        <v/>
      </c>
      <c r="N1039" s="17">
        <f>IF(K1039=1,N('ORDENES'!$M1035),0)</f>
        <v/>
      </c>
      <c r="O1039" s="17">
        <f>IF('ORDENES'!$S1035="preventiva",N1039,0)</f>
        <v/>
      </c>
      <c r="P1039" s="17">
        <f>IF('ORDENES'!$S1035="correctiva",N1039,0)</f>
        <v/>
      </c>
      <c r="Q1039" s="3">
        <f>IF(AND(K1039=1,'ORDENES'!$N1035="Pendiente"),1,0)</f>
        <v/>
      </c>
      <c r="R1039" s="3">
        <f>IF(Q1039=1,100000-N1039*1000+1032*0.01,9000000000000+1032)</f>
        <v/>
      </c>
      <c r="S1039" s="3">
        <f>IF(Q1039=1,SUMPRODUCT(--($R$8:$R$1207&lt;R1039))+1,"")</f>
        <v/>
      </c>
      <c r="T1039" s="11">
        <f>IF(K1039=1,'ORDENES'!$J1035,"")</f>
        <v/>
      </c>
    </row>
    <row r="1040">
      <c r="K1040" s="3">
        <f>IF(AND(IF($B$3="(todos)",TRUE,'ORDENES'!$O1036=$B$3),IF($D$3="(todos)",TRUE,'ORDENES'!$AC1036=$D$3),IF($F$3="(todos)",TRUE,'ORDENES'!$V1036=$F$3),'ORDENES'!$AA1036=TRUE,'ORDENES'!$A1036&lt;&gt;""),1,0)</f>
        <v/>
      </c>
      <c r="L1040" s="3">
        <f>IF(K1040=1,IFERROR(MATCH('ORDENES'!$R1036,lista_dias,0),9)*1000000000+IFERROR(MATCH('ORDENES'!$AC1036,lista_turnos,0),9)*10000000+IFERROR(MATCH('ORDENES'!$AB1036,'TECNICOS'!$B$4:$B$15,0),99)*100000+1033,9000000000000+1033)</f>
        <v/>
      </c>
      <c r="M1040" s="3">
        <f>IF(K1040=1,SUMPRODUCT(--($L$8:$L$1207&lt;L1040))+1,"")</f>
        <v/>
      </c>
      <c r="N1040" s="17">
        <f>IF(K1040=1,N('ORDENES'!$M1036),0)</f>
        <v/>
      </c>
      <c r="O1040" s="17">
        <f>IF('ORDENES'!$S1036="preventiva",N1040,0)</f>
        <v/>
      </c>
      <c r="P1040" s="17">
        <f>IF('ORDENES'!$S1036="correctiva",N1040,0)</f>
        <v/>
      </c>
      <c r="Q1040" s="3">
        <f>IF(AND(K1040=1,'ORDENES'!$N1036="Pendiente"),1,0)</f>
        <v/>
      </c>
      <c r="R1040" s="3">
        <f>IF(Q1040=1,100000-N1040*1000+1033*0.01,9000000000000+1033)</f>
        <v/>
      </c>
      <c r="S1040" s="3">
        <f>IF(Q1040=1,SUMPRODUCT(--($R$8:$R$1207&lt;R1040))+1,"")</f>
        <v/>
      </c>
      <c r="T1040" s="11">
        <f>IF(K1040=1,'ORDENES'!$J1036,"")</f>
        <v/>
      </c>
    </row>
    <row r="1041">
      <c r="K1041" s="3">
        <f>IF(AND(IF($B$3="(todos)",TRUE,'ORDENES'!$O1037=$B$3),IF($D$3="(todos)",TRUE,'ORDENES'!$AC1037=$D$3),IF($F$3="(todos)",TRUE,'ORDENES'!$V1037=$F$3),'ORDENES'!$AA1037=TRUE,'ORDENES'!$A1037&lt;&gt;""),1,0)</f>
        <v/>
      </c>
      <c r="L1041" s="3">
        <f>IF(K1041=1,IFERROR(MATCH('ORDENES'!$R1037,lista_dias,0),9)*1000000000+IFERROR(MATCH('ORDENES'!$AC1037,lista_turnos,0),9)*10000000+IFERROR(MATCH('ORDENES'!$AB1037,'TECNICOS'!$B$4:$B$15,0),99)*100000+1034,9000000000000+1034)</f>
        <v/>
      </c>
      <c r="M1041" s="3">
        <f>IF(K1041=1,SUMPRODUCT(--($L$8:$L$1207&lt;L1041))+1,"")</f>
        <v/>
      </c>
      <c r="N1041" s="17">
        <f>IF(K1041=1,N('ORDENES'!$M1037),0)</f>
        <v/>
      </c>
      <c r="O1041" s="17">
        <f>IF('ORDENES'!$S1037="preventiva",N1041,0)</f>
        <v/>
      </c>
      <c r="P1041" s="17">
        <f>IF('ORDENES'!$S1037="correctiva",N1041,0)</f>
        <v/>
      </c>
      <c r="Q1041" s="3">
        <f>IF(AND(K1041=1,'ORDENES'!$N1037="Pendiente"),1,0)</f>
        <v/>
      </c>
      <c r="R1041" s="3">
        <f>IF(Q1041=1,100000-N1041*1000+1034*0.01,9000000000000+1034)</f>
        <v/>
      </c>
      <c r="S1041" s="3">
        <f>IF(Q1041=1,SUMPRODUCT(--($R$8:$R$1207&lt;R1041))+1,"")</f>
        <v/>
      </c>
      <c r="T1041" s="11">
        <f>IF(K1041=1,'ORDENES'!$J1037,"")</f>
        <v/>
      </c>
    </row>
    <row r="1042">
      <c r="K1042" s="3">
        <f>IF(AND(IF($B$3="(todos)",TRUE,'ORDENES'!$O1038=$B$3),IF($D$3="(todos)",TRUE,'ORDENES'!$AC1038=$D$3),IF($F$3="(todos)",TRUE,'ORDENES'!$V1038=$F$3),'ORDENES'!$AA1038=TRUE,'ORDENES'!$A1038&lt;&gt;""),1,0)</f>
        <v/>
      </c>
      <c r="L1042" s="3">
        <f>IF(K1042=1,IFERROR(MATCH('ORDENES'!$R1038,lista_dias,0),9)*1000000000+IFERROR(MATCH('ORDENES'!$AC1038,lista_turnos,0),9)*10000000+IFERROR(MATCH('ORDENES'!$AB1038,'TECNICOS'!$B$4:$B$15,0),99)*100000+1035,9000000000000+1035)</f>
        <v/>
      </c>
      <c r="M1042" s="3">
        <f>IF(K1042=1,SUMPRODUCT(--($L$8:$L$1207&lt;L1042))+1,"")</f>
        <v/>
      </c>
      <c r="N1042" s="17">
        <f>IF(K1042=1,N('ORDENES'!$M1038),0)</f>
        <v/>
      </c>
      <c r="O1042" s="17">
        <f>IF('ORDENES'!$S1038="preventiva",N1042,0)</f>
        <v/>
      </c>
      <c r="P1042" s="17">
        <f>IF('ORDENES'!$S1038="correctiva",N1042,0)</f>
        <v/>
      </c>
      <c r="Q1042" s="3">
        <f>IF(AND(K1042=1,'ORDENES'!$N1038="Pendiente"),1,0)</f>
        <v/>
      </c>
      <c r="R1042" s="3">
        <f>IF(Q1042=1,100000-N1042*1000+1035*0.01,9000000000000+1035)</f>
        <v/>
      </c>
      <c r="S1042" s="3">
        <f>IF(Q1042=1,SUMPRODUCT(--($R$8:$R$1207&lt;R1042))+1,"")</f>
        <v/>
      </c>
      <c r="T1042" s="11">
        <f>IF(K1042=1,'ORDENES'!$J1038,"")</f>
        <v/>
      </c>
    </row>
    <row r="1043">
      <c r="K1043" s="3">
        <f>IF(AND(IF($B$3="(todos)",TRUE,'ORDENES'!$O1039=$B$3),IF($D$3="(todos)",TRUE,'ORDENES'!$AC1039=$D$3),IF($F$3="(todos)",TRUE,'ORDENES'!$V1039=$F$3),'ORDENES'!$AA1039=TRUE,'ORDENES'!$A1039&lt;&gt;""),1,0)</f>
        <v/>
      </c>
      <c r="L1043" s="3">
        <f>IF(K1043=1,IFERROR(MATCH('ORDENES'!$R1039,lista_dias,0),9)*1000000000+IFERROR(MATCH('ORDENES'!$AC1039,lista_turnos,0),9)*10000000+IFERROR(MATCH('ORDENES'!$AB1039,'TECNICOS'!$B$4:$B$15,0),99)*100000+1036,9000000000000+1036)</f>
        <v/>
      </c>
      <c r="M1043" s="3">
        <f>IF(K1043=1,SUMPRODUCT(--($L$8:$L$1207&lt;L1043))+1,"")</f>
        <v/>
      </c>
      <c r="N1043" s="17">
        <f>IF(K1043=1,N('ORDENES'!$M1039),0)</f>
        <v/>
      </c>
      <c r="O1043" s="17">
        <f>IF('ORDENES'!$S1039="preventiva",N1043,0)</f>
        <v/>
      </c>
      <c r="P1043" s="17">
        <f>IF('ORDENES'!$S1039="correctiva",N1043,0)</f>
        <v/>
      </c>
      <c r="Q1043" s="3">
        <f>IF(AND(K1043=1,'ORDENES'!$N1039="Pendiente"),1,0)</f>
        <v/>
      </c>
      <c r="R1043" s="3">
        <f>IF(Q1043=1,100000-N1043*1000+1036*0.01,9000000000000+1036)</f>
        <v/>
      </c>
      <c r="S1043" s="3">
        <f>IF(Q1043=1,SUMPRODUCT(--($R$8:$R$1207&lt;R1043))+1,"")</f>
        <v/>
      </c>
      <c r="T1043" s="11">
        <f>IF(K1043=1,'ORDENES'!$J1039,"")</f>
        <v/>
      </c>
    </row>
    <row r="1044">
      <c r="K1044" s="3">
        <f>IF(AND(IF($B$3="(todos)",TRUE,'ORDENES'!$O1040=$B$3),IF($D$3="(todos)",TRUE,'ORDENES'!$AC1040=$D$3),IF($F$3="(todos)",TRUE,'ORDENES'!$V1040=$F$3),'ORDENES'!$AA1040=TRUE,'ORDENES'!$A1040&lt;&gt;""),1,0)</f>
        <v/>
      </c>
      <c r="L1044" s="3">
        <f>IF(K1044=1,IFERROR(MATCH('ORDENES'!$R1040,lista_dias,0),9)*1000000000+IFERROR(MATCH('ORDENES'!$AC1040,lista_turnos,0),9)*10000000+IFERROR(MATCH('ORDENES'!$AB1040,'TECNICOS'!$B$4:$B$15,0),99)*100000+1037,9000000000000+1037)</f>
        <v/>
      </c>
      <c r="M1044" s="3">
        <f>IF(K1044=1,SUMPRODUCT(--($L$8:$L$1207&lt;L1044))+1,"")</f>
        <v/>
      </c>
      <c r="N1044" s="17">
        <f>IF(K1044=1,N('ORDENES'!$M1040),0)</f>
        <v/>
      </c>
      <c r="O1044" s="17">
        <f>IF('ORDENES'!$S1040="preventiva",N1044,0)</f>
        <v/>
      </c>
      <c r="P1044" s="17">
        <f>IF('ORDENES'!$S1040="correctiva",N1044,0)</f>
        <v/>
      </c>
      <c r="Q1044" s="3">
        <f>IF(AND(K1044=1,'ORDENES'!$N1040="Pendiente"),1,0)</f>
        <v/>
      </c>
      <c r="R1044" s="3">
        <f>IF(Q1044=1,100000-N1044*1000+1037*0.01,9000000000000+1037)</f>
        <v/>
      </c>
      <c r="S1044" s="3">
        <f>IF(Q1044=1,SUMPRODUCT(--($R$8:$R$1207&lt;R1044))+1,"")</f>
        <v/>
      </c>
      <c r="T1044" s="11">
        <f>IF(K1044=1,'ORDENES'!$J1040,"")</f>
        <v/>
      </c>
    </row>
    <row r="1045">
      <c r="K1045" s="3">
        <f>IF(AND(IF($B$3="(todos)",TRUE,'ORDENES'!$O1041=$B$3),IF($D$3="(todos)",TRUE,'ORDENES'!$AC1041=$D$3),IF($F$3="(todos)",TRUE,'ORDENES'!$V1041=$F$3),'ORDENES'!$AA1041=TRUE,'ORDENES'!$A1041&lt;&gt;""),1,0)</f>
        <v/>
      </c>
      <c r="L1045" s="3">
        <f>IF(K1045=1,IFERROR(MATCH('ORDENES'!$R1041,lista_dias,0),9)*1000000000+IFERROR(MATCH('ORDENES'!$AC1041,lista_turnos,0),9)*10000000+IFERROR(MATCH('ORDENES'!$AB1041,'TECNICOS'!$B$4:$B$15,0),99)*100000+1038,9000000000000+1038)</f>
        <v/>
      </c>
      <c r="M1045" s="3">
        <f>IF(K1045=1,SUMPRODUCT(--($L$8:$L$1207&lt;L1045))+1,"")</f>
        <v/>
      </c>
      <c r="N1045" s="17">
        <f>IF(K1045=1,N('ORDENES'!$M1041),0)</f>
        <v/>
      </c>
      <c r="O1045" s="17">
        <f>IF('ORDENES'!$S1041="preventiva",N1045,0)</f>
        <v/>
      </c>
      <c r="P1045" s="17">
        <f>IF('ORDENES'!$S1041="correctiva",N1045,0)</f>
        <v/>
      </c>
      <c r="Q1045" s="3">
        <f>IF(AND(K1045=1,'ORDENES'!$N1041="Pendiente"),1,0)</f>
        <v/>
      </c>
      <c r="R1045" s="3">
        <f>IF(Q1045=1,100000-N1045*1000+1038*0.01,9000000000000+1038)</f>
        <v/>
      </c>
      <c r="S1045" s="3">
        <f>IF(Q1045=1,SUMPRODUCT(--($R$8:$R$1207&lt;R1045))+1,"")</f>
        <v/>
      </c>
      <c r="T1045" s="11">
        <f>IF(K1045=1,'ORDENES'!$J1041,"")</f>
        <v/>
      </c>
    </row>
    <row r="1046">
      <c r="K1046" s="3">
        <f>IF(AND(IF($B$3="(todos)",TRUE,'ORDENES'!$O1042=$B$3),IF($D$3="(todos)",TRUE,'ORDENES'!$AC1042=$D$3),IF($F$3="(todos)",TRUE,'ORDENES'!$V1042=$F$3),'ORDENES'!$AA1042=TRUE,'ORDENES'!$A1042&lt;&gt;""),1,0)</f>
        <v/>
      </c>
      <c r="L1046" s="3">
        <f>IF(K1046=1,IFERROR(MATCH('ORDENES'!$R1042,lista_dias,0),9)*1000000000+IFERROR(MATCH('ORDENES'!$AC1042,lista_turnos,0),9)*10000000+IFERROR(MATCH('ORDENES'!$AB1042,'TECNICOS'!$B$4:$B$15,0),99)*100000+1039,9000000000000+1039)</f>
        <v/>
      </c>
      <c r="M1046" s="3">
        <f>IF(K1046=1,SUMPRODUCT(--($L$8:$L$1207&lt;L1046))+1,"")</f>
        <v/>
      </c>
      <c r="N1046" s="17">
        <f>IF(K1046=1,N('ORDENES'!$M1042),0)</f>
        <v/>
      </c>
      <c r="O1046" s="17">
        <f>IF('ORDENES'!$S1042="preventiva",N1046,0)</f>
        <v/>
      </c>
      <c r="P1046" s="17">
        <f>IF('ORDENES'!$S1042="correctiva",N1046,0)</f>
        <v/>
      </c>
      <c r="Q1046" s="3">
        <f>IF(AND(K1046=1,'ORDENES'!$N1042="Pendiente"),1,0)</f>
        <v/>
      </c>
      <c r="R1046" s="3">
        <f>IF(Q1046=1,100000-N1046*1000+1039*0.01,9000000000000+1039)</f>
        <v/>
      </c>
      <c r="S1046" s="3">
        <f>IF(Q1046=1,SUMPRODUCT(--($R$8:$R$1207&lt;R1046))+1,"")</f>
        <v/>
      </c>
      <c r="T1046" s="11">
        <f>IF(K1046=1,'ORDENES'!$J1042,"")</f>
        <v/>
      </c>
    </row>
    <row r="1047">
      <c r="K1047" s="3">
        <f>IF(AND(IF($B$3="(todos)",TRUE,'ORDENES'!$O1043=$B$3),IF($D$3="(todos)",TRUE,'ORDENES'!$AC1043=$D$3),IF($F$3="(todos)",TRUE,'ORDENES'!$V1043=$F$3),'ORDENES'!$AA1043=TRUE,'ORDENES'!$A1043&lt;&gt;""),1,0)</f>
        <v/>
      </c>
      <c r="L1047" s="3">
        <f>IF(K1047=1,IFERROR(MATCH('ORDENES'!$R1043,lista_dias,0),9)*1000000000+IFERROR(MATCH('ORDENES'!$AC1043,lista_turnos,0),9)*10000000+IFERROR(MATCH('ORDENES'!$AB1043,'TECNICOS'!$B$4:$B$15,0),99)*100000+1040,9000000000000+1040)</f>
        <v/>
      </c>
      <c r="M1047" s="3">
        <f>IF(K1047=1,SUMPRODUCT(--($L$8:$L$1207&lt;L1047))+1,"")</f>
        <v/>
      </c>
      <c r="N1047" s="17">
        <f>IF(K1047=1,N('ORDENES'!$M1043),0)</f>
        <v/>
      </c>
      <c r="O1047" s="17">
        <f>IF('ORDENES'!$S1043="preventiva",N1047,0)</f>
        <v/>
      </c>
      <c r="P1047" s="17">
        <f>IF('ORDENES'!$S1043="correctiva",N1047,0)</f>
        <v/>
      </c>
      <c r="Q1047" s="3">
        <f>IF(AND(K1047=1,'ORDENES'!$N1043="Pendiente"),1,0)</f>
        <v/>
      </c>
      <c r="R1047" s="3">
        <f>IF(Q1047=1,100000-N1047*1000+1040*0.01,9000000000000+1040)</f>
        <v/>
      </c>
      <c r="S1047" s="3">
        <f>IF(Q1047=1,SUMPRODUCT(--($R$8:$R$1207&lt;R1047))+1,"")</f>
        <v/>
      </c>
      <c r="T1047" s="11">
        <f>IF(K1047=1,'ORDENES'!$J1043,"")</f>
        <v/>
      </c>
    </row>
    <row r="1048">
      <c r="K1048" s="3">
        <f>IF(AND(IF($B$3="(todos)",TRUE,'ORDENES'!$O1044=$B$3),IF($D$3="(todos)",TRUE,'ORDENES'!$AC1044=$D$3),IF($F$3="(todos)",TRUE,'ORDENES'!$V1044=$F$3),'ORDENES'!$AA1044=TRUE,'ORDENES'!$A1044&lt;&gt;""),1,0)</f>
        <v/>
      </c>
      <c r="L1048" s="3">
        <f>IF(K1048=1,IFERROR(MATCH('ORDENES'!$R1044,lista_dias,0),9)*1000000000+IFERROR(MATCH('ORDENES'!$AC1044,lista_turnos,0),9)*10000000+IFERROR(MATCH('ORDENES'!$AB1044,'TECNICOS'!$B$4:$B$15,0),99)*100000+1041,9000000000000+1041)</f>
        <v/>
      </c>
      <c r="M1048" s="3">
        <f>IF(K1048=1,SUMPRODUCT(--($L$8:$L$1207&lt;L1048))+1,"")</f>
        <v/>
      </c>
      <c r="N1048" s="17">
        <f>IF(K1048=1,N('ORDENES'!$M1044),0)</f>
        <v/>
      </c>
      <c r="O1048" s="17">
        <f>IF('ORDENES'!$S1044="preventiva",N1048,0)</f>
        <v/>
      </c>
      <c r="P1048" s="17">
        <f>IF('ORDENES'!$S1044="correctiva",N1048,0)</f>
        <v/>
      </c>
      <c r="Q1048" s="3">
        <f>IF(AND(K1048=1,'ORDENES'!$N1044="Pendiente"),1,0)</f>
        <v/>
      </c>
      <c r="R1048" s="3">
        <f>IF(Q1048=1,100000-N1048*1000+1041*0.01,9000000000000+1041)</f>
        <v/>
      </c>
      <c r="S1048" s="3">
        <f>IF(Q1048=1,SUMPRODUCT(--($R$8:$R$1207&lt;R1048))+1,"")</f>
        <v/>
      </c>
      <c r="T1048" s="11">
        <f>IF(K1048=1,'ORDENES'!$J1044,"")</f>
        <v/>
      </c>
    </row>
    <row r="1049">
      <c r="K1049" s="3">
        <f>IF(AND(IF($B$3="(todos)",TRUE,'ORDENES'!$O1045=$B$3),IF($D$3="(todos)",TRUE,'ORDENES'!$AC1045=$D$3),IF($F$3="(todos)",TRUE,'ORDENES'!$V1045=$F$3),'ORDENES'!$AA1045=TRUE,'ORDENES'!$A1045&lt;&gt;""),1,0)</f>
        <v/>
      </c>
      <c r="L1049" s="3">
        <f>IF(K1049=1,IFERROR(MATCH('ORDENES'!$R1045,lista_dias,0),9)*1000000000+IFERROR(MATCH('ORDENES'!$AC1045,lista_turnos,0),9)*10000000+IFERROR(MATCH('ORDENES'!$AB1045,'TECNICOS'!$B$4:$B$15,0),99)*100000+1042,9000000000000+1042)</f>
        <v/>
      </c>
      <c r="M1049" s="3">
        <f>IF(K1049=1,SUMPRODUCT(--($L$8:$L$1207&lt;L1049))+1,"")</f>
        <v/>
      </c>
      <c r="N1049" s="17">
        <f>IF(K1049=1,N('ORDENES'!$M1045),0)</f>
        <v/>
      </c>
      <c r="O1049" s="17">
        <f>IF('ORDENES'!$S1045="preventiva",N1049,0)</f>
        <v/>
      </c>
      <c r="P1049" s="17">
        <f>IF('ORDENES'!$S1045="correctiva",N1049,0)</f>
        <v/>
      </c>
      <c r="Q1049" s="3">
        <f>IF(AND(K1049=1,'ORDENES'!$N1045="Pendiente"),1,0)</f>
        <v/>
      </c>
      <c r="R1049" s="3">
        <f>IF(Q1049=1,100000-N1049*1000+1042*0.01,9000000000000+1042)</f>
        <v/>
      </c>
      <c r="S1049" s="3">
        <f>IF(Q1049=1,SUMPRODUCT(--($R$8:$R$1207&lt;R1049))+1,"")</f>
        <v/>
      </c>
      <c r="T1049" s="11">
        <f>IF(K1049=1,'ORDENES'!$J1045,"")</f>
        <v/>
      </c>
    </row>
    <row r="1050">
      <c r="K1050" s="3">
        <f>IF(AND(IF($B$3="(todos)",TRUE,'ORDENES'!$O1046=$B$3),IF($D$3="(todos)",TRUE,'ORDENES'!$AC1046=$D$3),IF($F$3="(todos)",TRUE,'ORDENES'!$V1046=$F$3),'ORDENES'!$AA1046=TRUE,'ORDENES'!$A1046&lt;&gt;""),1,0)</f>
        <v/>
      </c>
      <c r="L1050" s="3">
        <f>IF(K1050=1,IFERROR(MATCH('ORDENES'!$R1046,lista_dias,0),9)*1000000000+IFERROR(MATCH('ORDENES'!$AC1046,lista_turnos,0),9)*10000000+IFERROR(MATCH('ORDENES'!$AB1046,'TECNICOS'!$B$4:$B$15,0),99)*100000+1043,9000000000000+1043)</f>
        <v/>
      </c>
      <c r="M1050" s="3">
        <f>IF(K1050=1,SUMPRODUCT(--($L$8:$L$1207&lt;L1050))+1,"")</f>
        <v/>
      </c>
      <c r="N1050" s="17">
        <f>IF(K1050=1,N('ORDENES'!$M1046),0)</f>
        <v/>
      </c>
      <c r="O1050" s="17">
        <f>IF('ORDENES'!$S1046="preventiva",N1050,0)</f>
        <v/>
      </c>
      <c r="P1050" s="17">
        <f>IF('ORDENES'!$S1046="correctiva",N1050,0)</f>
        <v/>
      </c>
      <c r="Q1050" s="3">
        <f>IF(AND(K1050=1,'ORDENES'!$N1046="Pendiente"),1,0)</f>
        <v/>
      </c>
      <c r="R1050" s="3">
        <f>IF(Q1050=1,100000-N1050*1000+1043*0.01,9000000000000+1043)</f>
        <v/>
      </c>
      <c r="S1050" s="3">
        <f>IF(Q1050=1,SUMPRODUCT(--($R$8:$R$1207&lt;R1050))+1,"")</f>
        <v/>
      </c>
      <c r="T1050" s="11">
        <f>IF(K1050=1,'ORDENES'!$J1046,"")</f>
        <v/>
      </c>
    </row>
    <row r="1051">
      <c r="K1051" s="3">
        <f>IF(AND(IF($B$3="(todos)",TRUE,'ORDENES'!$O1047=$B$3),IF($D$3="(todos)",TRUE,'ORDENES'!$AC1047=$D$3),IF($F$3="(todos)",TRUE,'ORDENES'!$V1047=$F$3),'ORDENES'!$AA1047=TRUE,'ORDENES'!$A1047&lt;&gt;""),1,0)</f>
        <v/>
      </c>
      <c r="L1051" s="3">
        <f>IF(K1051=1,IFERROR(MATCH('ORDENES'!$R1047,lista_dias,0),9)*1000000000+IFERROR(MATCH('ORDENES'!$AC1047,lista_turnos,0),9)*10000000+IFERROR(MATCH('ORDENES'!$AB1047,'TECNICOS'!$B$4:$B$15,0),99)*100000+1044,9000000000000+1044)</f>
        <v/>
      </c>
      <c r="M1051" s="3">
        <f>IF(K1051=1,SUMPRODUCT(--($L$8:$L$1207&lt;L1051))+1,"")</f>
        <v/>
      </c>
      <c r="N1051" s="17">
        <f>IF(K1051=1,N('ORDENES'!$M1047),0)</f>
        <v/>
      </c>
      <c r="O1051" s="17">
        <f>IF('ORDENES'!$S1047="preventiva",N1051,0)</f>
        <v/>
      </c>
      <c r="P1051" s="17">
        <f>IF('ORDENES'!$S1047="correctiva",N1051,0)</f>
        <v/>
      </c>
      <c r="Q1051" s="3">
        <f>IF(AND(K1051=1,'ORDENES'!$N1047="Pendiente"),1,0)</f>
        <v/>
      </c>
      <c r="R1051" s="3">
        <f>IF(Q1051=1,100000-N1051*1000+1044*0.01,9000000000000+1044)</f>
        <v/>
      </c>
      <c r="S1051" s="3">
        <f>IF(Q1051=1,SUMPRODUCT(--($R$8:$R$1207&lt;R1051))+1,"")</f>
        <v/>
      </c>
      <c r="T1051" s="11">
        <f>IF(K1051=1,'ORDENES'!$J1047,"")</f>
        <v/>
      </c>
    </row>
    <row r="1052">
      <c r="K1052" s="3">
        <f>IF(AND(IF($B$3="(todos)",TRUE,'ORDENES'!$O1048=$B$3),IF($D$3="(todos)",TRUE,'ORDENES'!$AC1048=$D$3),IF($F$3="(todos)",TRUE,'ORDENES'!$V1048=$F$3),'ORDENES'!$AA1048=TRUE,'ORDENES'!$A1048&lt;&gt;""),1,0)</f>
        <v/>
      </c>
      <c r="L1052" s="3">
        <f>IF(K1052=1,IFERROR(MATCH('ORDENES'!$R1048,lista_dias,0),9)*1000000000+IFERROR(MATCH('ORDENES'!$AC1048,lista_turnos,0),9)*10000000+IFERROR(MATCH('ORDENES'!$AB1048,'TECNICOS'!$B$4:$B$15,0),99)*100000+1045,9000000000000+1045)</f>
        <v/>
      </c>
      <c r="M1052" s="3">
        <f>IF(K1052=1,SUMPRODUCT(--($L$8:$L$1207&lt;L1052))+1,"")</f>
        <v/>
      </c>
      <c r="N1052" s="17">
        <f>IF(K1052=1,N('ORDENES'!$M1048),0)</f>
        <v/>
      </c>
      <c r="O1052" s="17">
        <f>IF('ORDENES'!$S1048="preventiva",N1052,0)</f>
        <v/>
      </c>
      <c r="P1052" s="17">
        <f>IF('ORDENES'!$S1048="correctiva",N1052,0)</f>
        <v/>
      </c>
      <c r="Q1052" s="3">
        <f>IF(AND(K1052=1,'ORDENES'!$N1048="Pendiente"),1,0)</f>
        <v/>
      </c>
      <c r="R1052" s="3">
        <f>IF(Q1052=1,100000-N1052*1000+1045*0.01,9000000000000+1045)</f>
        <v/>
      </c>
      <c r="S1052" s="3">
        <f>IF(Q1052=1,SUMPRODUCT(--($R$8:$R$1207&lt;R1052))+1,"")</f>
        <v/>
      </c>
      <c r="T1052" s="11">
        <f>IF(K1052=1,'ORDENES'!$J1048,"")</f>
        <v/>
      </c>
    </row>
    <row r="1053">
      <c r="K1053" s="3">
        <f>IF(AND(IF($B$3="(todos)",TRUE,'ORDENES'!$O1049=$B$3),IF($D$3="(todos)",TRUE,'ORDENES'!$AC1049=$D$3),IF($F$3="(todos)",TRUE,'ORDENES'!$V1049=$F$3),'ORDENES'!$AA1049=TRUE,'ORDENES'!$A1049&lt;&gt;""),1,0)</f>
        <v/>
      </c>
      <c r="L1053" s="3">
        <f>IF(K1053=1,IFERROR(MATCH('ORDENES'!$R1049,lista_dias,0),9)*1000000000+IFERROR(MATCH('ORDENES'!$AC1049,lista_turnos,0),9)*10000000+IFERROR(MATCH('ORDENES'!$AB1049,'TECNICOS'!$B$4:$B$15,0),99)*100000+1046,9000000000000+1046)</f>
        <v/>
      </c>
      <c r="M1053" s="3">
        <f>IF(K1053=1,SUMPRODUCT(--($L$8:$L$1207&lt;L1053))+1,"")</f>
        <v/>
      </c>
      <c r="N1053" s="17">
        <f>IF(K1053=1,N('ORDENES'!$M1049),0)</f>
        <v/>
      </c>
      <c r="O1053" s="17">
        <f>IF('ORDENES'!$S1049="preventiva",N1053,0)</f>
        <v/>
      </c>
      <c r="P1053" s="17">
        <f>IF('ORDENES'!$S1049="correctiva",N1053,0)</f>
        <v/>
      </c>
      <c r="Q1053" s="3">
        <f>IF(AND(K1053=1,'ORDENES'!$N1049="Pendiente"),1,0)</f>
        <v/>
      </c>
      <c r="R1053" s="3">
        <f>IF(Q1053=1,100000-N1053*1000+1046*0.01,9000000000000+1046)</f>
        <v/>
      </c>
      <c r="S1053" s="3">
        <f>IF(Q1053=1,SUMPRODUCT(--($R$8:$R$1207&lt;R1053))+1,"")</f>
        <v/>
      </c>
      <c r="T1053" s="11">
        <f>IF(K1053=1,'ORDENES'!$J1049,"")</f>
        <v/>
      </c>
    </row>
    <row r="1054">
      <c r="K1054" s="3">
        <f>IF(AND(IF($B$3="(todos)",TRUE,'ORDENES'!$O1050=$B$3),IF($D$3="(todos)",TRUE,'ORDENES'!$AC1050=$D$3),IF($F$3="(todos)",TRUE,'ORDENES'!$V1050=$F$3),'ORDENES'!$AA1050=TRUE,'ORDENES'!$A1050&lt;&gt;""),1,0)</f>
        <v/>
      </c>
      <c r="L1054" s="3">
        <f>IF(K1054=1,IFERROR(MATCH('ORDENES'!$R1050,lista_dias,0),9)*1000000000+IFERROR(MATCH('ORDENES'!$AC1050,lista_turnos,0),9)*10000000+IFERROR(MATCH('ORDENES'!$AB1050,'TECNICOS'!$B$4:$B$15,0),99)*100000+1047,9000000000000+1047)</f>
        <v/>
      </c>
      <c r="M1054" s="3">
        <f>IF(K1054=1,SUMPRODUCT(--($L$8:$L$1207&lt;L1054))+1,"")</f>
        <v/>
      </c>
      <c r="N1054" s="17">
        <f>IF(K1054=1,N('ORDENES'!$M1050),0)</f>
        <v/>
      </c>
      <c r="O1054" s="17">
        <f>IF('ORDENES'!$S1050="preventiva",N1054,0)</f>
        <v/>
      </c>
      <c r="P1054" s="17">
        <f>IF('ORDENES'!$S1050="correctiva",N1054,0)</f>
        <v/>
      </c>
      <c r="Q1054" s="3">
        <f>IF(AND(K1054=1,'ORDENES'!$N1050="Pendiente"),1,0)</f>
        <v/>
      </c>
      <c r="R1054" s="3">
        <f>IF(Q1054=1,100000-N1054*1000+1047*0.01,9000000000000+1047)</f>
        <v/>
      </c>
      <c r="S1054" s="3">
        <f>IF(Q1054=1,SUMPRODUCT(--($R$8:$R$1207&lt;R1054))+1,"")</f>
        <v/>
      </c>
      <c r="T1054" s="11">
        <f>IF(K1054=1,'ORDENES'!$J1050,"")</f>
        <v/>
      </c>
    </row>
    <row r="1055">
      <c r="K1055" s="3">
        <f>IF(AND(IF($B$3="(todos)",TRUE,'ORDENES'!$O1051=$B$3),IF($D$3="(todos)",TRUE,'ORDENES'!$AC1051=$D$3),IF($F$3="(todos)",TRUE,'ORDENES'!$V1051=$F$3),'ORDENES'!$AA1051=TRUE,'ORDENES'!$A1051&lt;&gt;""),1,0)</f>
        <v/>
      </c>
      <c r="L1055" s="3">
        <f>IF(K1055=1,IFERROR(MATCH('ORDENES'!$R1051,lista_dias,0),9)*1000000000+IFERROR(MATCH('ORDENES'!$AC1051,lista_turnos,0),9)*10000000+IFERROR(MATCH('ORDENES'!$AB1051,'TECNICOS'!$B$4:$B$15,0),99)*100000+1048,9000000000000+1048)</f>
        <v/>
      </c>
      <c r="M1055" s="3">
        <f>IF(K1055=1,SUMPRODUCT(--($L$8:$L$1207&lt;L1055))+1,"")</f>
        <v/>
      </c>
      <c r="N1055" s="17">
        <f>IF(K1055=1,N('ORDENES'!$M1051),0)</f>
        <v/>
      </c>
      <c r="O1055" s="17">
        <f>IF('ORDENES'!$S1051="preventiva",N1055,0)</f>
        <v/>
      </c>
      <c r="P1055" s="17">
        <f>IF('ORDENES'!$S1051="correctiva",N1055,0)</f>
        <v/>
      </c>
      <c r="Q1055" s="3">
        <f>IF(AND(K1055=1,'ORDENES'!$N1051="Pendiente"),1,0)</f>
        <v/>
      </c>
      <c r="R1055" s="3">
        <f>IF(Q1055=1,100000-N1055*1000+1048*0.01,9000000000000+1048)</f>
        <v/>
      </c>
      <c r="S1055" s="3">
        <f>IF(Q1055=1,SUMPRODUCT(--($R$8:$R$1207&lt;R1055))+1,"")</f>
        <v/>
      </c>
      <c r="T1055" s="11">
        <f>IF(K1055=1,'ORDENES'!$J1051,"")</f>
        <v/>
      </c>
    </row>
    <row r="1056">
      <c r="K1056" s="3">
        <f>IF(AND(IF($B$3="(todos)",TRUE,'ORDENES'!$O1052=$B$3),IF($D$3="(todos)",TRUE,'ORDENES'!$AC1052=$D$3),IF($F$3="(todos)",TRUE,'ORDENES'!$V1052=$F$3),'ORDENES'!$AA1052=TRUE,'ORDENES'!$A1052&lt;&gt;""),1,0)</f>
        <v/>
      </c>
      <c r="L1056" s="3">
        <f>IF(K1056=1,IFERROR(MATCH('ORDENES'!$R1052,lista_dias,0),9)*1000000000+IFERROR(MATCH('ORDENES'!$AC1052,lista_turnos,0),9)*10000000+IFERROR(MATCH('ORDENES'!$AB1052,'TECNICOS'!$B$4:$B$15,0),99)*100000+1049,9000000000000+1049)</f>
        <v/>
      </c>
      <c r="M1056" s="3">
        <f>IF(K1056=1,SUMPRODUCT(--($L$8:$L$1207&lt;L1056))+1,"")</f>
        <v/>
      </c>
      <c r="N1056" s="17">
        <f>IF(K1056=1,N('ORDENES'!$M1052),0)</f>
        <v/>
      </c>
      <c r="O1056" s="17">
        <f>IF('ORDENES'!$S1052="preventiva",N1056,0)</f>
        <v/>
      </c>
      <c r="P1056" s="17">
        <f>IF('ORDENES'!$S1052="correctiva",N1056,0)</f>
        <v/>
      </c>
      <c r="Q1056" s="3">
        <f>IF(AND(K1056=1,'ORDENES'!$N1052="Pendiente"),1,0)</f>
        <v/>
      </c>
      <c r="R1056" s="3">
        <f>IF(Q1056=1,100000-N1056*1000+1049*0.01,9000000000000+1049)</f>
        <v/>
      </c>
      <c r="S1056" s="3">
        <f>IF(Q1056=1,SUMPRODUCT(--($R$8:$R$1207&lt;R1056))+1,"")</f>
        <v/>
      </c>
      <c r="T1056" s="11">
        <f>IF(K1056=1,'ORDENES'!$J1052,"")</f>
        <v/>
      </c>
    </row>
    <row r="1057">
      <c r="K1057" s="3">
        <f>IF(AND(IF($B$3="(todos)",TRUE,'ORDENES'!$O1053=$B$3),IF($D$3="(todos)",TRUE,'ORDENES'!$AC1053=$D$3),IF($F$3="(todos)",TRUE,'ORDENES'!$V1053=$F$3),'ORDENES'!$AA1053=TRUE,'ORDENES'!$A1053&lt;&gt;""),1,0)</f>
        <v/>
      </c>
      <c r="L1057" s="3">
        <f>IF(K1057=1,IFERROR(MATCH('ORDENES'!$R1053,lista_dias,0),9)*1000000000+IFERROR(MATCH('ORDENES'!$AC1053,lista_turnos,0),9)*10000000+IFERROR(MATCH('ORDENES'!$AB1053,'TECNICOS'!$B$4:$B$15,0),99)*100000+1050,9000000000000+1050)</f>
        <v/>
      </c>
      <c r="M1057" s="3">
        <f>IF(K1057=1,SUMPRODUCT(--($L$8:$L$1207&lt;L1057))+1,"")</f>
        <v/>
      </c>
      <c r="N1057" s="17">
        <f>IF(K1057=1,N('ORDENES'!$M1053),0)</f>
        <v/>
      </c>
      <c r="O1057" s="17">
        <f>IF('ORDENES'!$S1053="preventiva",N1057,0)</f>
        <v/>
      </c>
      <c r="P1057" s="17">
        <f>IF('ORDENES'!$S1053="correctiva",N1057,0)</f>
        <v/>
      </c>
      <c r="Q1057" s="3">
        <f>IF(AND(K1057=1,'ORDENES'!$N1053="Pendiente"),1,0)</f>
        <v/>
      </c>
      <c r="R1057" s="3">
        <f>IF(Q1057=1,100000-N1057*1000+1050*0.01,9000000000000+1050)</f>
        <v/>
      </c>
      <c r="S1057" s="3">
        <f>IF(Q1057=1,SUMPRODUCT(--($R$8:$R$1207&lt;R1057))+1,"")</f>
        <v/>
      </c>
      <c r="T1057" s="11">
        <f>IF(K1057=1,'ORDENES'!$J1053,"")</f>
        <v/>
      </c>
    </row>
    <row r="1058">
      <c r="K1058" s="3">
        <f>IF(AND(IF($B$3="(todos)",TRUE,'ORDENES'!$O1054=$B$3),IF($D$3="(todos)",TRUE,'ORDENES'!$AC1054=$D$3),IF($F$3="(todos)",TRUE,'ORDENES'!$V1054=$F$3),'ORDENES'!$AA1054=TRUE,'ORDENES'!$A1054&lt;&gt;""),1,0)</f>
        <v/>
      </c>
      <c r="L1058" s="3">
        <f>IF(K1058=1,IFERROR(MATCH('ORDENES'!$R1054,lista_dias,0),9)*1000000000+IFERROR(MATCH('ORDENES'!$AC1054,lista_turnos,0),9)*10000000+IFERROR(MATCH('ORDENES'!$AB1054,'TECNICOS'!$B$4:$B$15,0),99)*100000+1051,9000000000000+1051)</f>
        <v/>
      </c>
      <c r="M1058" s="3">
        <f>IF(K1058=1,SUMPRODUCT(--($L$8:$L$1207&lt;L1058))+1,"")</f>
        <v/>
      </c>
      <c r="N1058" s="17">
        <f>IF(K1058=1,N('ORDENES'!$M1054),0)</f>
        <v/>
      </c>
      <c r="O1058" s="17">
        <f>IF('ORDENES'!$S1054="preventiva",N1058,0)</f>
        <v/>
      </c>
      <c r="P1058" s="17">
        <f>IF('ORDENES'!$S1054="correctiva",N1058,0)</f>
        <v/>
      </c>
      <c r="Q1058" s="3">
        <f>IF(AND(K1058=1,'ORDENES'!$N1054="Pendiente"),1,0)</f>
        <v/>
      </c>
      <c r="R1058" s="3">
        <f>IF(Q1058=1,100000-N1058*1000+1051*0.01,9000000000000+1051)</f>
        <v/>
      </c>
      <c r="S1058" s="3">
        <f>IF(Q1058=1,SUMPRODUCT(--($R$8:$R$1207&lt;R1058))+1,"")</f>
        <v/>
      </c>
      <c r="T1058" s="11">
        <f>IF(K1058=1,'ORDENES'!$J1054,"")</f>
        <v/>
      </c>
    </row>
    <row r="1059">
      <c r="K1059" s="3">
        <f>IF(AND(IF($B$3="(todos)",TRUE,'ORDENES'!$O1055=$B$3),IF($D$3="(todos)",TRUE,'ORDENES'!$AC1055=$D$3),IF($F$3="(todos)",TRUE,'ORDENES'!$V1055=$F$3),'ORDENES'!$AA1055=TRUE,'ORDENES'!$A1055&lt;&gt;""),1,0)</f>
        <v/>
      </c>
      <c r="L1059" s="3">
        <f>IF(K1059=1,IFERROR(MATCH('ORDENES'!$R1055,lista_dias,0),9)*1000000000+IFERROR(MATCH('ORDENES'!$AC1055,lista_turnos,0),9)*10000000+IFERROR(MATCH('ORDENES'!$AB1055,'TECNICOS'!$B$4:$B$15,0),99)*100000+1052,9000000000000+1052)</f>
        <v/>
      </c>
      <c r="M1059" s="3">
        <f>IF(K1059=1,SUMPRODUCT(--($L$8:$L$1207&lt;L1059))+1,"")</f>
        <v/>
      </c>
      <c r="N1059" s="17">
        <f>IF(K1059=1,N('ORDENES'!$M1055),0)</f>
        <v/>
      </c>
      <c r="O1059" s="17">
        <f>IF('ORDENES'!$S1055="preventiva",N1059,0)</f>
        <v/>
      </c>
      <c r="P1059" s="17">
        <f>IF('ORDENES'!$S1055="correctiva",N1059,0)</f>
        <v/>
      </c>
      <c r="Q1059" s="3">
        <f>IF(AND(K1059=1,'ORDENES'!$N1055="Pendiente"),1,0)</f>
        <v/>
      </c>
      <c r="R1059" s="3">
        <f>IF(Q1059=1,100000-N1059*1000+1052*0.01,9000000000000+1052)</f>
        <v/>
      </c>
      <c r="S1059" s="3">
        <f>IF(Q1059=1,SUMPRODUCT(--($R$8:$R$1207&lt;R1059))+1,"")</f>
        <v/>
      </c>
      <c r="T1059" s="11">
        <f>IF(K1059=1,'ORDENES'!$J1055,"")</f>
        <v/>
      </c>
    </row>
    <row r="1060">
      <c r="K1060" s="3">
        <f>IF(AND(IF($B$3="(todos)",TRUE,'ORDENES'!$O1056=$B$3),IF($D$3="(todos)",TRUE,'ORDENES'!$AC1056=$D$3),IF($F$3="(todos)",TRUE,'ORDENES'!$V1056=$F$3),'ORDENES'!$AA1056=TRUE,'ORDENES'!$A1056&lt;&gt;""),1,0)</f>
        <v/>
      </c>
      <c r="L1060" s="3">
        <f>IF(K1060=1,IFERROR(MATCH('ORDENES'!$R1056,lista_dias,0),9)*1000000000+IFERROR(MATCH('ORDENES'!$AC1056,lista_turnos,0),9)*10000000+IFERROR(MATCH('ORDENES'!$AB1056,'TECNICOS'!$B$4:$B$15,0),99)*100000+1053,9000000000000+1053)</f>
        <v/>
      </c>
      <c r="M1060" s="3">
        <f>IF(K1060=1,SUMPRODUCT(--($L$8:$L$1207&lt;L1060))+1,"")</f>
        <v/>
      </c>
      <c r="N1060" s="17">
        <f>IF(K1060=1,N('ORDENES'!$M1056),0)</f>
        <v/>
      </c>
      <c r="O1060" s="17">
        <f>IF('ORDENES'!$S1056="preventiva",N1060,0)</f>
        <v/>
      </c>
      <c r="P1060" s="17">
        <f>IF('ORDENES'!$S1056="correctiva",N1060,0)</f>
        <v/>
      </c>
      <c r="Q1060" s="3">
        <f>IF(AND(K1060=1,'ORDENES'!$N1056="Pendiente"),1,0)</f>
        <v/>
      </c>
      <c r="R1060" s="3">
        <f>IF(Q1060=1,100000-N1060*1000+1053*0.01,9000000000000+1053)</f>
        <v/>
      </c>
      <c r="S1060" s="3">
        <f>IF(Q1060=1,SUMPRODUCT(--($R$8:$R$1207&lt;R1060))+1,"")</f>
        <v/>
      </c>
      <c r="T1060" s="11">
        <f>IF(K1060=1,'ORDENES'!$J1056,"")</f>
        <v/>
      </c>
    </row>
    <row r="1061">
      <c r="K1061" s="3">
        <f>IF(AND(IF($B$3="(todos)",TRUE,'ORDENES'!$O1057=$B$3),IF($D$3="(todos)",TRUE,'ORDENES'!$AC1057=$D$3),IF($F$3="(todos)",TRUE,'ORDENES'!$V1057=$F$3),'ORDENES'!$AA1057=TRUE,'ORDENES'!$A1057&lt;&gt;""),1,0)</f>
        <v/>
      </c>
      <c r="L1061" s="3">
        <f>IF(K1061=1,IFERROR(MATCH('ORDENES'!$R1057,lista_dias,0),9)*1000000000+IFERROR(MATCH('ORDENES'!$AC1057,lista_turnos,0),9)*10000000+IFERROR(MATCH('ORDENES'!$AB1057,'TECNICOS'!$B$4:$B$15,0),99)*100000+1054,9000000000000+1054)</f>
        <v/>
      </c>
      <c r="M1061" s="3">
        <f>IF(K1061=1,SUMPRODUCT(--($L$8:$L$1207&lt;L1061))+1,"")</f>
        <v/>
      </c>
      <c r="N1061" s="17">
        <f>IF(K1061=1,N('ORDENES'!$M1057),0)</f>
        <v/>
      </c>
      <c r="O1061" s="17">
        <f>IF('ORDENES'!$S1057="preventiva",N1061,0)</f>
        <v/>
      </c>
      <c r="P1061" s="17">
        <f>IF('ORDENES'!$S1057="correctiva",N1061,0)</f>
        <v/>
      </c>
      <c r="Q1061" s="3">
        <f>IF(AND(K1061=1,'ORDENES'!$N1057="Pendiente"),1,0)</f>
        <v/>
      </c>
      <c r="R1061" s="3">
        <f>IF(Q1061=1,100000-N1061*1000+1054*0.01,9000000000000+1054)</f>
        <v/>
      </c>
      <c r="S1061" s="3">
        <f>IF(Q1061=1,SUMPRODUCT(--($R$8:$R$1207&lt;R1061))+1,"")</f>
        <v/>
      </c>
      <c r="T1061" s="11">
        <f>IF(K1061=1,'ORDENES'!$J1057,"")</f>
        <v/>
      </c>
    </row>
    <row r="1062">
      <c r="K1062" s="3">
        <f>IF(AND(IF($B$3="(todos)",TRUE,'ORDENES'!$O1058=$B$3),IF($D$3="(todos)",TRUE,'ORDENES'!$AC1058=$D$3),IF($F$3="(todos)",TRUE,'ORDENES'!$V1058=$F$3),'ORDENES'!$AA1058=TRUE,'ORDENES'!$A1058&lt;&gt;""),1,0)</f>
        <v/>
      </c>
      <c r="L1062" s="3">
        <f>IF(K1062=1,IFERROR(MATCH('ORDENES'!$R1058,lista_dias,0),9)*1000000000+IFERROR(MATCH('ORDENES'!$AC1058,lista_turnos,0),9)*10000000+IFERROR(MATCH('ORDENES'!$AB1058,'TECNICOS'!$B$4:$B$15,0),99)*100000+1055,9000000000000+1055)</f>
        <v/>
      </c>
      <c r="M1062" s="3">
        <f>IF(K1062=1,SUMPRODUCT(--($L$8:$L$1207&lt;L1062))+1,"")</f>
        <v/>
      </c>
      <c r="N1062" s="17">
        <f>IF(K1062=1,N('ORDENES'!$M1058),0)</f>
        <v/>
      </c>
      <c r="O1062" s="17">
        <f>IF('ORDENES'!$S1058="preventiva",N1062,0)</f>
        <v/>
      </c>
      <c r="P1062" s="17">
        <f>IF('ORDENES'!$S1058="correctiva",N1062,0)</f>
        <v/>
      </c>
      <c r="Q1062" s="3">
        <f>IF(AND(K1062=1,'ORDENES'!$N1058="Pendiente"),1,0)</f>
        <v/>
      </c>
      <c r="R1062" s="3">
        <f>IF(Q1062=1,100000-N1062*1000+1055*0.01,9000000000000+1055)</f>
        <v/>
      </c>
      <c r="S1062" s="3">
        <f>IF(Q1062=1,SUMPRODUCT(--($R$8:$R$1207&lt;R1062))+1,"")</f>
        <v/>
      </c>
      <c r="T1062" s="11">
        <f>IF(K1062=1,'ORDENES'!$J1058,"")</f>
        <v/>
      </c>
    </row>
    <row r="1063">
      <c r="K1063" s="3">
        <f>IF(AND(IF($B$3="(todos)",TRUE,'ORDENES'!$O1059=$B$3),IF($D$3="(todos)",TRUE,'ORDENES'!$AC1059=$D$3),IF($F$3="(todos)",TRUE,'ORDENES'!$V1059=$F$3),'ORDENES'!$AA1059=TRUE,'ORDENES'!$A1059&lt;&gt;""),1,0)</f>
        <v/>
      </c>
      <c r="L1063" s="3">
        <f>IF(K1063=1,IFERROR(MATCH('ORDENES'!$R1059,lista_dias,0),9)*1000000000+IFERROR(MATCH('ORDENES'!$AC1059,lista_turnos,0),9)*10000000+IFERROR(MATCH('ORDENES'!$AB1059,'TECNICOS'!$B$4:$B$15,0),99)*100000+1056,9000000000000+1056)</f>
        <v/>
      </c>
      <c r="M1063" s="3">
        <f>IF(K1063=1,SUMPRODUCT(--($L$8:$L$1207&lt;L1063))+1,"")</f>
        <v/>
      </c>
      <c r="N1063" s="17">
        <f>IF(K1063=1,N('ORDENES'!$M1059),0)</f>
        <v/>
      </c>
      <c r="O1063" s="17">
        <f>IF('ORDENES'!$S1059="preventiva",N1063,0)</f>
        <v/>
      </c>
      <c r="P1063" s="17">
        <f>IF('ORDENES'!$S1059="correctiva",N1063,0)</f>
        <v/>
      </c>
      <c r="Q1063" s="3">
        <f>IF(AND(K1063=1,'ORDENES'!$N1059="Pendiente"),1,0)</f>
        <v/>
      </c>
      <c r="R1063" s="3">
        <f>IF(Q1063=1,100000-N1063*1000+1056*0.01,9000000000000+1056)</f>
        <v/>
      </c>
      <c r="S1063" s="3">
        <f>IF(Q1063=1,SUMPRODUCT(--($R$8:$R$1207&lt;R1063))+1,"")</f>
        <v/>
      </c>
      <c r="T1063" s="11">
        <f>IF(K1063=1,'ORDENES'!$J1059,"")</f>
        <v/>
      </c>
    </row>
    <row r="1064">
      <c r="K1064" s="3">
        <f>IF(AND(IF($B$3="(todos)",TRUE,'ORDENES'!$O1060=$B$3),IF($D$3="(todos)",TRUE,'ORDENES'!$AC1060=$D$3),IF($F$3="(todos)",TRUE,'ORDENES'!$V1060=$F$3),'ORDENES'!$AA1060=TRUE,'ORDENES'!$A1060&lt;&gt;""),1,0)</f>
        <v/>
      </c>
      <c r="L1064" s="3">
        <f>IF(K1064=1,IFERROR(MATCH('ORDENES'!$R1060,lista_dias,0),9)*1000000000+IFERROR(MATCH('ORDENES'!$AC1060,lista_turnos,0),9)*10000000+IFERROR(MATCH('ORDENES'!$AB1060,'TECNICOS'!$B$4:$B$15,0),99)*100000+1057,9000000000000+1057)</f>
        <v/>
      </c>
      <c r="M1064" s="3">
        <f>IF(K1064=1,SUMPRODUCT(--($L$8:$L$1207&lt;L1064))+1,"")</f>
        <v/>
      </c>
      <c r="N1064" s="17">
        <f>IF(K1064=1,N('ORDENES'!$M1060),0)</f>
        <v/>
      </c>
      <c r="O1064" s="17">
        <f>IF('ORDENES'!$S1060="preventiva",N1064,0)</f>
        <v/>
      </c>
      <c r="P1064" s="17">
        <f>IF('ORDENES'!$S1060="correctiva",N1064,0)</f>
        <v/>
      </c>
      <c r="Q1064" s="3">
        <f>IF(AND(K1064=1,'ORDENES'!$N1060="Pendiente"),1,0)</f>
        <v/>
      </c>
      <c r="R1064" s="3">
        <f>IF(Q1064=1,100000-N1064*1000+1057*0.01,9000000000000+1057)</f>
        <v/>
      </c>
      <c r="S1064" s="3">
        <f>IF(Q1064=1,SUMPRODUCT(--($R$8:$R$1207&lt;R1064))+1,"")</f>
        <v/>
      </c>
      <c r="T1064" s="11">
        <f>IF(K1064=1,'ORDENES'!$J1060,"")</f>
        <v/>
      </c>
    </row>
    <row r="1065">
      <c r="K1065" s="3">
        <f>IF(AND(IF($B$3="(todos)",TRUE,'ORDENES'!$O1061=$B$3),IF($D$3="(todos)",TRUE,'ORDENES'!$AC1061=$D$3),IF($F$3="(todos)",TRUE,'ORDENES'!$V1061=$F$3),'ORDENES'!$AA1061=TRUE,'ORDENES'!$A1061&lt;&gt;""),1,0)</f>
        <v/>
      </c>
      <c r="L1065" s="3">
        <f>IF(K1065=1,IFERROR(MATCH('ORDENES'!$R1061,lista_dias,0),9)*1000000000+IFERROR(MATCH('ORDENES'!$AC1061,lista_turnos,0),9)*10000000+IFERROR(MATCH('ORDENES'!$AB1061,'TECNICOS'!$B$4:$B$15,0),99)*100000+1058,9000000000000+1058)</f>
        <v/>
      </c>
      <c r="M1065" s="3">
        <f>IF(K1065=1,SUMPRODUCT(--($L$8:$L$1207&lt;L1065))+1,"")</f>
        <v/>
      </c>
      <c r="N1065" s="17">
        <f>IF(K1065=1,N('ORDENES'!$M1061),0)</f>
        <v/>
      </c>
      <c r="O1065" s="17">
        <f>IF('ORDENES'!$S1061="preventiva",N1065,0)</f>
        <v/>
      </c>
      <c r="P1065" s="17">
        <f>IF('ORDENES'!$S1061="correctiva",N1065,0)</f>
        <v/>
      </c>
      <c r="Q1065" s="3">
        <f>IF(AND(K1065=1,'ORDENES'!$N1061="Pendiente"),1,0)</f>
        <v/>
      </c>
      <c r="R1065" s="3">
        <f>IF(Q1065=1,100000-N1065*1000+1058*0.01,9000000000000+1058)</f>
        <v/>
      </c>
      <c r="S1065" s="3">
        <f>IF(Q1065=1,SUMPRODUCT(--($R$8:$R$1207&lt;R1065))+1,"")</f>
        <v/>
      </c>
      <c r="T1065" s="11">
        <f>IF(K1065=1,'ORDENES'!$J1061,"")</f>
        <v/>
      </c>
    </row>
    <row r="1066">
      <c r="K1066" s="3">
        <f>IF(AND(IF($B$3="(todos)",TRUE,'ORDENES'!$O1062=$B$3),IF($D$3="(todos)",TRUE,'ORDENES'!$AC1062=$D$3),IF($F$3="(todos)",TRUE,'ORDENES'!$V1062=$F$3),'ORDENES'!$AA1062=TRUE,'ORDENES'!$A1062&lt;&gt;""),1,0)</f>
        <v/>
      </c>
      <c r="L1066" s="3">
        <f>IF(K1066=1,IFERROR(MATCH('ORDENES'!$R1062,lista_dias,0),9)*1000000000+IFERROR(MATCH('ORDENES'!$AC1062,lista_turnos,0),9)*10000000+IFERROR(MATCH('ORDENES'!$AB1062,'TECNICOS'!$B$4:$B$15,0),99)*100000+1059,9000000000000+1059)</f>
        <v/>
      </c>
      <c r="M1066" s="3">
        <f>IF(K1066=1,SUMPRODUCT(--($L$8:$L$1207&lt;L1066))+1,"")</f>
        <v/>
      </c>
      <c r="N1066" s="17">
        <f>IF(K1066=1,N('ORDENES'!$M1062),0)</f>
        <v/>
      </c>
      <c r="O1066" s="17">
        <f>IF('ORDENES'!$S1062="preventiva",N1066,0)</f>
        <v/>
      </c>
      <c r="P1066" s="17">
        <f>IF('ORDENES'!$S1062="correctiva",N1066,0)</f>
        <v/>
      </c>
      <c r="Q1066" s="3">
        <f>IF(AND(K1066=1,'ORDENES'!$N1062="Pendiente"),1,0)</f>
        <v/>
      </c>
      <c r="R1066" s="3">
        <f>IF(Q1066=1,100000-N1066*1000+1059*0.01,9000000000000+1059)</f>
        <v/>
      </c>
      <c r="S1066" s="3">
        <f>IF(Q1066=1,SUMPRODUCT(--($R$8:$R$1207&lt;R1066))+1,"")</f>
        <v/>
      </c>
      <c r="T1066" s="11">
        <f>IF(K1066=1,'ORDENES'!$J1062,"")</f>
        <v/>
      </c>
    </row>
    <row r="1067">
      <c r="K1067" s="3">
        <f>IF(AND(IF($B$3="(todos)",TRUE,'ORDENES'!$O1063=$B$3),IF($D$3="(todos)",TRUE,'ORDENES'!$AC1063=$D$3),IF($F$3="(todos)",TRUE,'ORDENES'!$V1063=$F$3),'ORDENES'!$AA1063=TRUE,'ORDENES'!$A1063&lt;&gt;""),1,0)</f>
        <v/>
      </c>
      <c r="L1067" s="3">
        <f>IF(K1067=1,IFERROR(MATCH('ORDENES'!$R1063,lista_dias,0),9)*1000000000+IFERROR(MATCH('ORDENES'!$AC1063,lista_turnos,0),9)*10000000+IFERROR(MATCH('ORDENES'!$AB1063,'TECNICOS'!$B$4:$B$15,0),99)*100000+1060,9000000000000+1060)</f>
        <v/>
      </c>
      <c r="M1067" s="3">
        <f>IF(K1067=1,SUMPRODUCT(--($L$8:$L$1207&lt;L1067))+1,"")</f>
        <v/>
      </c>
      <c r="N1067" s="17">
        <f>IF(K1067=1,N('ORDENES'!$M1063),0)</f>
        <v/>
      </c>
      <c r="O1067" s="17">
        <f>IF('ORDENES'!$S1063="preventiva",N1067,0)</f>
        <v/>
      </c>
      <c r="P1067" s="17">
        <f>IF('ORDENES'!$S1063="correctiva",N1067,0)</f>
        <v/>
      </c>
      <c r="Q1067" s="3">
        <f>IF(AND(K1067=1,'ORDENES'!$N1063="Pendiente"),1,0)</f>
        <v/>
      </c>
      <c r="R1067" s="3">
        <f>IF(Q1067=1,100000-N1067*1000+1060*0.01,9000000000000+1060)</f>
        <v/>
      </c>
      <c r="S1067" s="3">
        <f>IF(Q1067=1,SUMPRODUCT(--($R$8:$R$1207&lt;R1067))+1,"")</f>
        <v/>
      </c>
      <c r="T1067" s="11">
        <f>IF(K1067=1,'ORDENES'!$J1063,"")</f>
        <v/>
      </c>
    </row>
    <row r="1068">
      <c r="K1068" s="3">
        <f>IF(AND(IF($B$3="(todos)",TRUE,'ORDENES'!$O1064=$B$3),IF($D$3="(todos)",TRUE,'ORDENES'!$AC1064=$D$3),IF($F$3="(todos)",TRUE,'ORDENES'!$V1064=$F$3),'ORDENES'!$AA1064=TRUE,'ORDENES'!$A1064&lt;&gt;""),1,0)</f>
        <v/>
      </c>
      <c r="L1068" s="3">
        <f>IF(K1068=1,IFERROR(MATCH('ORDENES'!$R1064,lista_dias,0),9)*1000000000+IFERROR(MATCH('ORDENES'!$AC1064,lista_turnos,0),9)*10000000+IFERROR(MATCH('ORDENES'!$AB1064,'TECNICOS'!$B$4:$B$15,0),99)*100000+1061,9000000000000+1061)</f>
        <v/>
      </c>
      <c r="M1068" s="3">
        <f>IF(K1068=1,SUMPRODUCT(--($L$8:$L$1207&lt;L1068))+1,"")</f>
        <v/>
      </c>
      <c r="N1068" s="17">
        <f>IF(K1068=1,N('ORDENES'!$M1064),0)</f>
        <v/>
      </c>
      <c r="O1068" s="17">
        <f>IF('ORDENES'!$S1064="preventiva",N1068,0)</f>
        <v/>
      </c>
      <c r="P1068" s="17">
        <f>IF('ORDENES'!$S1064="correctiva",N1068,0)</f>
        <v/>
      </c>
      <c r="Q1068" s="3">
        <f>IF(AND(K1068=1,'ORDENES'!$N1064="Pendiente"),1,0)</f>
        <v/>
      </c>
      <c r="R1068" s="3">
        <f>IF(Q1068=1,100000-N1068*1000+1061*0.01,9000000000000+1061)</f>
        <v/>
      </c>
      <c r="S1068" s="3">
        <f>IF(Q1068=1,SUMPRODUCT(--($R$8:$R$1207&lt;R1068))+1,"")</f>
        <v/>
      </c>
      <c r="T1068" s="11">
        <f>IF(K1068=1,'ORDENES'!$J1064,"")</f>
        <v/>
      </c>
    </row>
    <row r="1069">
      <c r="K1069" s="3">
        <f>IF(AND(IF($B$3="(todos)",TRUE,'ORDENES'!$O1065=$B$3),IF($D$3="(todos)",TRUE,'ORDENES'!$AC1065=$D$3),IF($F$3="(todos)",TRUE,'ORDENES'!$V1065=$F$3),'ORDENES'!$AA1065=TRUE,'ORDENES'!$A1065&lt;&gt;""),1,0)</f>
        <v/>
      </c>
      <c r="L1069" s="3">
        <f>IF(K1069=1,IFERROR(MATCH('ORDENES'!$R1065,lista_dias,0),9)*1000000000+IFERROR(MATCH('ORDENES'!$AC1065,lista_turnos,0),9)*10000000+IFERROR(MATCH('ORDENES'!$AB1065,'TECNICOS'!$B$4:$B$15,0),99)*100000+1062,9000000000000+1062)</f>
        <v/>
      </c>
      <c r="M1069" s="3">
        <f>IF(K1069=1,SUMPRODUCT(--($L$8:$L$1207&lt;L1069))+1,"")</f>
        <v/>
      </c>
      <c r="N1069" s="17">
        <f>IF(K1069=1,N('ORDENES'!$M1065),0)</f>
        <v/>
      </c>
      <c r="O1069" s="17">
        <f>IF('ORDENES'!$S1065="preventiva",N1069,0)</f>
        <v/>
      </c>
      <c r="P1069" s="17">
        <f>IF('ORDENES'!$S1065="correctiva",N1069,0)</f>
        <v/>
      </c>
      <c r="Q1069" s="3">
        <f>IF(AND(K1069=1,'ORDENES'!$N1065="Pendiente"),1,0)</f>
        <v/>
      </c>
      <c r="R1069" s="3">
        <f>IF(Q1069=1,100000-N1069*1000+1062*0.01,9000000000000+1062)</f>
        <v/>
      </c>
      <c r="S1069" s="3">
        <f>IF(Q1069=1,SUMPRODUCT(--($R$8:$R$1207&lt;R1069))+1,"")</f>
        <v/>
      </c>
      <c r="T1069" s="11">
        <f>IF(K1069=1,'ORDENES'!$J1065,"")</f>
        <v/>
      </c>
    </row>
    <row r="1070">
      <c r="K1070" s="3">
        <f>IF(AND(IF($B$3="(todos)",TRUE,'ORDENES'!$O1066=$B$3),IF($D$3="(todos)",TRUE,'ORDENES'!$AC1066=$D$3),IF($F$3="(todos)",TRUE,'ORDENES'!$V1066=$F$3),'ORDENES'!$AA1066=TRUE,'ORDENES'!$A1066&lt;&gt;""),1,0)</f>
        <v/>
      </c>
      <c r="L1070" s="3">
        <f>IF(K1070=1,IFERROR(MATCH('ORDENES'!$R1066,lista_dias,0),9)*1000000000+IFERROR(MATCH('ORDENES'!$AC1066,lista_turnos,0),9)*10000000+IFERROR(MATCH('ORDENES'!$AB1066,'TECNICOS'!$B$4:$B$15,0),99)*100000+1063,9000000000000+1063)</f>
        <v/>
      </c>
      <c r="M1070" s="3">
        <f>IF(K1070=1,SUMPRODUCT(--($L$8:$L$1207&lt;L1070))+1,"")</f>
        <v/>
      </c>
      <c r="N1070" s="17">
        <f>IF(K1070=1,N('ORDENES'!$M1066),0)</f>
        <v/>
      </c>
      <c r="O1070" s="17">
        <f>IF('ORDENES'!$S1066="preventiva",N1070,0)</f>
        <v/>
      </c>
      <c r="P1070" s="17">
        <f>IF('ORDENES'!$S1066="correctiva",N1070,0)</f>
        <v/>
      </c>
      <c r="Q1070" s="3">
        <f>IF(AND(K1070=1,'ORDENES'!$N1066="Pendiente"),1,0)</f>
        <v/>
      </c>
      <c r="R1070" s="3">
        <f>IF(Q1070=1,100000-N1070*1000+1063*0.01,9000000000000+1063)</f>
        <v/>
      </c>
      <c r="S1070" s="3">
        <f>IF(Q1070=1,SUMPRODUCT(--($R$8:$R$1207&lt;R1070))+1,"")</f>
        <v/>
      </c>
      <c r="T1070" s="11">
        <f>IF(K1070=1,'ORDENES'!$J1066,"")</f>
        <v/>
      </c>
    </row>
    <row r="1071">
      <c r="K1071" s="3">
        <f>IF(AND(IF($B$3="(todos)",TRUE,'ORDENES'!$O1067=$B$3),IF($D$3="(todos)",TRUE,'ORDENES'!$AC1067=$D$3),IF($F$3="(todos)",TRUE,'ORDENES'!$V1067=$F$3),'ORDENES'!$AA1067=TRUE,'ORDENES'!$A1067&lt;&gt;""),1,0)</f>
        <v/>
      </c>
      <c r="L1071" s="3">
        <f>IF(K1071=1,IFERROR(MATCH('ORDENES'!$R1067,lista_dias,0),9)*1000000000+IFERROR(MATCH('ORDENES'!$AC1067,lista_turnos,0),9)*10000000+IFERROR(MATCH('ORDENES'!$AB1067,'TECNICOS'!$B$4:$B$15,0),99)*100000+1064,9000000000000+1064)</f>
        <v/>
      </c>
      <c r="M1071" s="3">
        <f>IF(K1071=1,SUMPRODUCT(--($L$8:$L$1207&lt;L1071))+1,"")</f>
        <v/>
      </c>
      <c r="N1071" s="17">
        <f>IF(K1071=1,N('ORDENES'!$M1067),0)</f>
        <v/>
      </c>
      <c r="O1071" s="17">
        <f>IF('ORDENES'!$S1067="preventiva",N1071,0)</f>
        <v/>
      </c>
      <c r="P1071" s="17">
        <f>IF('ORDENES'!$S1067="correctiva",N1071,0)</f>
        <v/>
      </c>
      <c r="Q1071" s="3">
        <f>IF(AND(K1071=1,'ORDENES'!$N1067="Pendiente"),1,0)</f>
        <v/>
      </c>
      <c r="R1071" s="3">
        <f>IF(Q1071=1,100000-N1071*1000+1064*0.01,9000000000000+1064)</f>
        <v/>
      </c>
      <c r="S1071" s="3">
        <f>IF(Q1071=1,SUMPRODUCT(--($R$8:$R$1207&lt;R1071))+1,"")</f>
        <v/>
      </c>
      <c r="T1071" s="11">
        <f>IF(K1071=1,'ORDENES'!$J1067,"")</f>
        <v/>
      </c>
    </row>
    <row r="1072">
      <c r="K1072" s="3">
        <f>IF(AND(IF($B$3="(todos)",TRUE,'ORDENES'!$O1068=$B$3),IF($D$3="(todos)",TRUE,'ORDENES'!$AC1068=$D$3),IF($F$3="(todos)",TRUE,'ORDENES'!$V1068=$F$3),'ORDENES'!$AA1068=TRUE,'ORDENES'!$A1068&lt;&gt;""),1,0)</f>
        <v/>
      </c>
      <c r="L1072" s="3">
        <f>IF(K1072=1,IFERROR(MATCH('ORDENES'!$R1068,lista_dias,0),9)*1000000000+IFERROR(MATCH('ORDENES'!$AC1068,lista_turnos,0),9)*10000000+IFERROR(MATCH('ORDENES'!$AB1068,'TECNICOS'!$B$4:$B$15,0),99)*100000+1065,9000000000000+1065)</f>
        <v/>
      </c>
      <c r="M1072" s="3">
        <f>IF(K1072=1,SUMPRODUCT(--($L$8:$L$1207&lt;L1072))+1,"")</f>
        <v/>
      </c>
      <c r="N1072" s="17">
        <f>IF(K1072=1,N('ORDENES'!$M1068),0)</f>
        <v/>
      </c>
      <c r="O1072" s="17">
        <f>IF('ORDENES'!$S1068="preventiva",N1072,0)</f>
        <v/>
      </c>
      <c r="P1072" s="17">
        <f>IF('ORDENES'!$S1068="correctiva",N1072,0)</f>
        <v/>
      </c>
      <c r="Q1072" s="3">
        <f>IF(AND(K1072=1,'ORDENES'!$N1068="Pendiente"),1,0)</f>
        <v/>
      </c>
      <c r="R1072" s="3">
        <f>IF(Q1072=1,100000-N1072*1000+1065*0.01,9000000000000+1065)</f>
        <v/>
      </c>
      <c r="S1072" s="3">
        <f>IF(Q1072=1,SUMPRODUCT(--($R$8:$R$1207&lt;R1072))+1,"")</f>
        <v/>
      </c>
      <c r="T1072" s="11">
        <f>IF(K1072=1,'ORDENES'!$J1068,"")</f>
        <v/>
      </c>
    </row>
    <row r="1073">
      <c r="K1073" s="3">
        <f>IF(AND(IF($B$3="(todos)",TRUE,'ORDENES'!$O1069=$B$3),IF($D$3="(todos)",TRUE,'ORDENES'!$AC1069=$D$3),IF($F$3="(todos)",TRUE,'ORDENES'!$V1069=$F$3),'ORDENES'!$AA1069=TRUE,'ORDENES'!$A1069&lt;&gt;""),1,0)</f>
        <v/>
      </c>
      <c r="L1073" s="3">
        <f>IF(K1073=1,IFERROR(MATCH('ORDENES'!$R1069,lista_dias,0),9)*1000000000+IFERROR(MATCH('ORDENES'!$AC1069,lista_turnos,0),9)*10000000+IFERROR(MATCH('ORDENES'!$AB1069,'TECNICOS'!$B$4:$B$15,0),99)*100000+1066,9000000000000+1066)</f>
        <v/>
      </c>
      <c r="M1073" s="3">
        <f>IF(K1073=1,SUMPRODUCT(--($L$8:$L$1207&lt;L1073))+1,"")</f>
        <v/>
      </c>
      <c r="N1073" s="17">
        <f>IF(K1073=1,N('ORDENES'!$M1069),0)</f>
        <v/>
      </c>
      <c r="O1073" s="17">
        <f>IF('ORDENES'!$S1069="preventiva",N1073,0)</f>
        <v/>
      </c>
      <c r="P1073" s="17">
        <f>IF('ORDENES'!$S1069="correctiva",N1073,0)</f>
        <v/>
      </c>
      <c r="Q1073" s="3">
        <f>IF(AND(K1073=1,'ORDENES'!$N1069="Pendiente"),1,0)</f>
        <v/>
      </c>
      <c r="R1073" s="3">
        <f>IF(Q1073=1,100000-N1073*1000+1066*0.01,9000000000000+1066)</f>
        <v/>
      </c>
      <c r="S1073" s="3">
        <f>IF(Q1073=1,SUMPRODUCT(--($R$8:$R$1207&lt;R1073))+1,"")</f>
        <v/>
      </c>
      <c r="T1073" s="11">
        <f>IF(K1073=1,'ORDENES'!$J1069,"")</f>
        <v/>
      </c>
    </row>
    <row r="1074">
      <c r="K1074" s="3">
        <f>IF(AND(IF($B$3="(todos)",TRUE,'ORDENES'!$O1070=$B$3),IF($D$3="(todos)",TRUE,'ORDENES'!$AC1070=$D$3),IF($F$3="(todos)",TRUE,'ORDENES'!$V1070=$F$3),'ORDENES'!$AA1070=TRUE,'ORDENES'!$A1070&lt;&gt;""),1,0)</f>
        <v/>
      </c>
      <c r="L1074" s="3">
        <f>IF(K1074=1,IFERROR(MATCH('ORDENES'!$R1070,lista_dias,0),9)*1000000000+IFERROR(MATCH('ORDENES'!$AC1070,lista_turnos,0),9)*10000000+IFERROR(MATCH('ORDENES'!$AB1070,'TECNICOS'!$B$4:$B$15,0),99)*100000+1067,9000000000000+1067)</f>
        <v/>
      </c>
      <c r="M1074" s="3">
        <f>IF(K1074=1,SUMPRODUCT(--($L$8:$L$1207&lt;L1074))+1,"")</f>
        <v/>
      </c>
      <c r="N1074" s="17">
        <f>IF(K1074=1,N('ORDENES'!$M1070),0)</f>
        <v/>
      </c>
      <c r="O1074" s="17">
        <f>IF('ORDENES'!$S1070="preventiva",N1074,0)</f>
        <v/>
      </c>
      <c r="P1074" s="17">
        <f>IF('ORDENES'!$S1070="correctiva",N1074,0)</f>
        <v/>
      </c>
      <c r="Q1074" s="3">
        <f>IF(AND(K1074=1,'ORDENES'!$N1070="Pendiente"),1,0)</f>
        <v/>
      </c>
      <c r="R1074" s="3">
        <f>IF(Q1074=1,100000-N1074*1000+1067*0.01,9000000000000+1067)</f>
        <v/>
      </c>
      <c r="S1074" s="3">
        <f>IF(Q1074=1,SUMPRODUCT(--($R$8:$R$1207&lt;R1074))+1,"")</f>
        <v/>
      </c>
      <c r="T1074" s="11">
        <f>IF(K1074=1,'ORDENES'!$J1070,"")</f>
        <v/>
      </c>
    </row>
    <row r="1075">
      <c r="K1075" s="3">
        <f>IF(AND(IF($B$3="(todos)",TRUE,'ORDENES'!$O1071=$B$3),IF($D$3="(todos)",TRUE,'ORDENES'!$AC1071=$D$3),IF($F$3="(todos)",TRUE,'ORDENES'!$V1071=$F$3),'ORDENES'!$AA1071=TRUE,'ORDENES'!$A1071&lt;&gt;""),1,0)</f>
        <v/>
      </c>
      <c r="L1075" s="3">
        <f>IF(K1075=1,IFERROR(MATCH('ORDENES'!$R1071,lista_dias,0),9)*1000000000+IFERROR(MATCH('ORDENES'!$AC1071,lista_turnos,0),9)*10000000+IFERROR(MATCH('ORDENES'!$AB1071,'TECNICOS'!$B$4:$B$15,0),99)*100000+1068,9000000000000+1068)</f>
        <v/>
      </c>
      <c r="M1075" s="3">
        <f>IF(K1075=1,SUMPRODUCT(--($L$8:$L$1207&lt;L1075))+1,"")</f>
        <v/>
      </c>
      <c r="N1075" s="17">
        <f>IF(K1075=1,N('ORDENES'!$M1071),0)</f>
        <v/>
      </c>
      <c r="O1075" s="17">
        <f>IF('ORDENES'!$S1071="preventiva",N1075,0)</f>
        <v/>
      </c>
      <c r="P1075" s="17">
        <f>IF('ORDENES'!$S1071="correctiva",N1075,0)</f>
        <v/>
      </c>
      <c r="Q1075" s="3">
        <f>IF(AND(K1075=1,'ORDENES'!$N1071="Pendiente"),1,0)</f>
        <v/>
      </c>
      <c r="R1075" s="3">
        <f>IF(Q1075=1,100000-N1075*1000+1068*0.01,9000000000000+1068)</f>
        <v/>
      </c>
      <c r="S1075" s="3">
        <f>IF(Q1075=1,SUMPRODUCT(--($R$8:$R$1207&lt;R1075))+1,"")</f>
        <v/>
      </c>
      <c r="T1075" s="11">
        <f>IF(K1075=1,'ORDENES'!$J1071,"")</f>
        <v/>
      </c>
    </row>
    <row r="1076">
      <c r="K1076" s="3">
        <f>IF(AND(IF($B$3="(todos)",TRUE,'ORDENES'!$O1072=$B$3),IF($D$3="(todos)",TRUE,'ORDENES'!$AC1072=$D$3),IF($F$3="(todos)",TRUE,'ORDENES'!$V1072=$F$3),'ORDENES'!$AA1072=TRUE,'ORDENES'!$A1072&lt;&gt;""),1,0)</f>
        <v/>
      </c>
      <c r="L1076" s="3">
        <f>IF(K1076=1,IFERROR(MATCH('ORDENES'!$R1072,lista_dias,0),9)*1000000000+IFERROR(MATCH('ORDENES'!$AC1072,lista_turnos,0),9)*10000000+IFERROR(MATCH('ORDENES'!$AB1072,'TECNICOS'!$B$4:$B$15,0),99)*100000+1069,9000000000000+1069)</f>
        <v/>
      </c>
      <c r="M1076" s="3">
        <f>IF(K1076=1,SUMPRODUCT(--($L$8:$L$1207&lt;L1076))+1,"")</f>
        <v/>
      </c>
      <c r="N1076" s="17">
        <f>IF(K1076=1,N('ORDENES'!$M1072),0)</f>
        <v/>
      </c>
      <c r="O1076" s="17">
        <f>IF('ORDENES'!$S1072="preventiva",N1076,0)</f>
        <v/>
      </c>
      <c r="P1076" s="17">
        <f>IF('ORDENES'!$S1072="correctiva",N1076,0)</f>
        <v/>
      </c>
      <c r="Q1076" s="3">
        <f>IF(AND(K1076=1,'ORDENES'!$N1072="Pendiente"),1,0)</f>
        <v/>
      </c>
      <c r="R1076" s="3">
        <f>IF(Q1076=1,100000-N1076*1000+1069*0.01,9000000000000+1069)</f>
        <v/>
      </c>
      <c r="S1076" s="3">
        <f>IF(Q1076=1,SUMPRODUCT(--($R$8:$R$1207&lt;R1076))+1,"")</f>
        <v/>
      </c>
      <c r="T1076" s="11">
        <f>IF(K1076=1,'ORDENES'!$J1072,"")</f>
        <v/>
      </c>
    </row>
    <row r="1077">
      <c r="K1077" s="3">
        <f>IF(AND(IF($B$3="(todos)",TRUE,'ORDENES'!$O1073=$B$3),IF($D$3="(todos)",TRUE,'ORDENES'!$AC1073=$D$3),IF($F$3="(todos)",TRUE,'ORDENES'!$V1073=$F$3),'ORDENES'!$AA1073=TRUE,'ORDENES'!$A1073&lt;&gt;""),1,0)</f>
        <v/>
      </c>
      <c r="L1077" s="3">
        <f>IF(K1077=1,IFERROR(MATCH('ORDENES'!$R1073,lista_dias,0),9)*1000000000+IFERROR(MATCH('ORDENES'!$AC1073,lista_turnos,0),9)*10000000+IFERROR(MATCH('ORDENES'!$AB1073,'TECNICOS'!$B$4:$B$15,0),99)*100000+1070,9000000000000+1070)</f>
        <v/>
      </c>
      <c r="M1077" s="3">
        <f>IF(K1077=1,SUMPRODUCT(--($L$8:$L$1207&lt;L1077))+1,"")</f>
        <v/>
      </c>
      <c r="N1077" s="17">
        <f>IF(K1077=1,N('ORDENES'!$M1073),0)</f>
        <v/>
      </c>
      <c r="O1077" s="17">
        <f>IF('ORDENES'!$S1073="preventiva",N1077,0)</f>
        <v/>
      </c>
      <c r="P1077" s="17">
        <f>IF('ORDENES'!$S1073="correctiva",N1077,0)</f>
        <v/>
      </c>
      <c r="Q1077" s="3">
        <f>IF(AND(K1077=1,'ORDENES'!$N1073="Pendiente"),1,0)</f>
        <v/>
      </c>
      <c r="R1077" s="3">
        <f>IF(Q1077=1,100000-N1077*1000+1070*0.01,9000000000000+1070)</f>
        <v/>
      </c>
      <c r="S1077" s="3">
        <f>IF(Q1077=1,SUMPRODUCT(--($R$8:$R$1207&lt;R1077))+1,"")</f>
        <v/>
      </c>
      <c r="T1077" s="11">
        <f>IF(K1077=1,'ORDENES'!$J1073,"")</f>
        <v/>
      </c>
    </row>
    <row r="1078">
      <c r="K1078" s="3">
        <f>IF(AND(IF($B$3="(todos)",TRUE,'ORDENES'!$O1074=$B$3),IF($D$3="(todos)",TRUE,'ORDENES'!$AC1074=$D$3),IF($F$3="(todos)",TRUE,'ORDENES'!$V1074=$F$3),'ORDENES'!$AA1074=TRUE,'ORDENES'!$A1074&lt;&gt;""),1,0)</f>
        <v/>
      </c>
      <c r="L1078" s="3">
        <f>IF(K1078=1,IFERROR(MATCH('ORDENES'!$R1074,lista_dias,0),9)*1000000000+IFERROR(MATCH('ORDENES'!$AC1074,lista_turnos,0),9)*10000000+IFERROR(MATCH('ORDENES'!$AB1074,'TECNICOS'!$B$4:$B$15,0),99)*100000+1071,9000000000000+1071)</f>
        <v/>
      </c>
      <c r="M1078" s="3">
        <f>IF(K1078=1,SUMPRODUCT(--($L$8:$L$1207&lt;L1078))+1,"")</f>
        <v/>
      </c>
      <c r="N1078" s="17">
        <f>IF(K1078=1,N('ORDENES'!$M1074),0)</f>
        <v/>
      </c>
      <c r="O1078" s="17">
        <f>IF('ORDENES'!$S1074="preventiva",N1078,0)</f>
        <v/>
      </c>
      <c r="P1078" s="17">
        <f>IF('ORDENES'!$S1074="correctiva",N1078,0)</f>
        <v/>
      </c>
      <c r="Q1078" s="3">
        <f>IF(AND(K1078=1,'ORDENES'!$N1074="Pendiente"),1,0)</f>
        <v/>
      </c>
      <c r="R1078" s="3">
        <f>IF(Q1078=1,100000-N1078*1000+1071*0.01,9000000000000+1071)</f>
        <v/>
      </c>
      <c r="S1078" s="3">
        <f>IF(Q1078=1,SUMPRODUCT(--($R$8:$R$1207&lt;R1078))+1,"")</f>
        <v/>
      </c>
      <c r="T1078" s="11">
        <f>IF(K1078=1,'ORDENES'!$J1074,"")</f>
        <v/>
      </c>
    </row>
    <row r="1079">
      <c r="K1079" s="3">
        <f>IF(AND(IF($B$3="(todos)",TRUE,'ORDENES'!$O1075=$B$3),IF($D$3="(todos)",TRUE,'ORDENES'!$AC1075=$D$3),IF($F$3="(todos)",TRUE,'ORDENES'!$V1075=$F$3),'ORDENES'!$AA1075=TRUE,'ORDENES'!$A1075&lt;&gt;""),1,0)</f>
        <v/>
      </c>
      <c r="L1079" s="3">
        <f>IF(K1079=1,IFERROR(MATCH('ORDENES'!$R1075,lista_dias,0),9)*1000000000+IFERROR(MATCH('ORDENES'!$AC1075,lista_turnos,0),9)*10000000+IFERROR(MATCH('ORDENES'!$AB1075,'TECNICOS'!$B$4:$B$15,0),99)*100000+1072,9000000000000+1072)</f>
        <v/>
      </c>
      <c r="M1079" s="3">
        <f>IF(K1079=1,SUMPRODUCT(--($L$8:$L$1207&lt;L1079))+1,"")</f>
        <v/>
      </c>
      <c r="N1079" s="17">
        <f>IF(K1079=1,N('ORDENES'!$M1075),0)</f>
        <v/>
      </c>
      <c r="O1079" s="17">
        <f>IF('ORDENES'!$S1075="preventiva",N1079,0)</f>
        <v/>
      </c>
      <c r="P1079" s="17">
        <f>IF('ORDENES'!$S1075="correctiva",N1079,0)</f>
        <v/>
      </c>
      <c r="Q1079" s="3">
        <f>IF(AND(K1079=1,'ORDENES'!$N1075="Pendiente"),1,0)</f>
        <v/>
      </c>
      <c r="R1079" s="3">
        <f>IF(Q1079=1,100000-N1079*1000+1072*0.01,9000000000000+1072)</f>
        <v/>
      </c>
      <c r="S1079" s="3">
        <f>IF(Q1079=1,SUMPRODUCT(--($R$8:$R$1207&lt;R1079))+1,"")</f>
        <v/>
      </c>
      <c r="T1079" s="11">
        <f>IF(K1079=1,'ORDENES'!$J1075,"")</f>
        <v/>
      </c>
    </row>
    <row r="1080">
      <c r="K1080" s="3">
        <f>IF(AND(IF($B$3="(todos)",TRUE,'ORDENES'!$O1076=$B$3),IF($D$3="(todos)",TRUE,'ORDENES'!$AC1076=$D$3),IF($F$3="(todos)",TRUE,'ORDENES'!$V1076=$F$3),'ORDENES'!$AA1076=TRUE,'ORDENES'!$A1076&lt;&gt;""),1,0)</f>
        <v/>
      </c>
      <c r="L1080" s="3">
        <f>IF(K1080=1,IFERROR(MATCH('ORDENES'!$R1076,lista_dias,0),9)*1000000000+IFERROR(MATCH('ORDENES'!$AC1076,lista_turnos,0),9)*10000000+IFERROR(MATCH('ORDENES'!$AB1076,'TECNICOS'!$B$4:$B$15,0),99)*100000+1073,9000000000000+1073)</f>
        <v/>
      </c>
      <c r="M1080" s="3">
        <f>IF(K1080=1,SUMPRODUCT(--($L$8:$L$1207&lt;L1080))+1,"")</f>
        <v/>
      </c>
      <c r="N1080" s="17">
        <f>IF(K1080=1,N('ORDENES'!$M1076),0)</f>
        <v/>
      </c>
      <c r="O1080" s="17">
        <f>IF('ORDENES'!$S1076="preventiva",N1080,0)</f>
        <v/>
      </c>
      <c r="P1080" s="17">
        <f>IF('ORDENES'!$S1076="correctiva",N1080,0)</f>
        <v/>
      </c>
      <c r="Q1080" s="3">
        <f>IF(AND(K1080=1,'ORDENES'!$N1076="Pendiente"),1,0)</f>
        <v/>
      </c>
      <c r="R1080" s="3">
        <f>IF(Q1080=1,100000-N1080*1000+1073*0.01,9000000000000+1073)</f>
        <v/>
      </c>
      <c r="S1080" s="3">
        <f>IF(Q1080=1,SUMPRODUCT(--($R$8:$R$1207&lt;R1080))+1,"")</f>
        <v/>
      </c>
      <c r="T1080" s="11">
        <f>IF(K1080=1,'ORDENES'!$J1076,"")</f>
        <v/>
      </c>
    </row>
    <row r="1081">
      <c r="K1081" s="3">
        <f>IF(AND(IF($B$3="(todos)",TRUE,'ORDENES'!$O1077=$B$3),IF($D$3="(todos)",TRUE,'ORDENES'!$AC1077=$D$3),IF($F$3="(todos)",TRUE,'ORDENES'!$V1077=$F$3),'ORDENES'!$AA1077=TRUE,'ORDENES'!$A1077&lt;&gt;""),1,0)</f>
        <v/>
      </c>
      <c r="L1081" s="3">
        <f>IF(K1081=1,IFERROR(MATCH('ORDENES'!$R1077,lista_dias,0),9)*1000000000+IFERROR(MATCH('ORDENES'!$AC1077,lista_turnos,0),9)*10000000+IFERROR(MATCH('ORDENES'!$AB1077,'TECNICOS'!$B$4:$B$15,0),99)*100000+1074,9000000000000+1074)</f>
        <v/>
      </c>
      <c r="M1081" s="3">
        <f>IF(K1081=1,SUMPRODUCT(--($L$8:$L$1207&lt;L1081))+1,"")</f>
        <v/>
      </c>
      <c r="N1081" s="17">
        <f>IF(K1081=1,N('ORDENES'!$M1077),0)</f>
        <v/>
      </c>
      <c r="O1081" s="17">
        <f>IF('ORDENES'!$S1077="preventiva",N1081,0)</f>
        <v/>
      </c>
      <c r="P1081" s="17">
        <f>IF('ORDENES'!$S1077="correctiva",N1081,0)</f>
        <v/>
      </c>
      <c r="Q1081" s="3">
        <f>IF(AND(K1081=1,'ORDENES'!$N1077="Pendiente"),1,0)</f>
        <v/>
      </c>
      <c r="R1081" s="3">
        <f>IF(Q1081=1,100000-N1081*1000+1074*0.01,9000000000000+1074)</f>
        <v/>
      </c>
      <c r="S1081" s="3">
        <f>IF(Q1081=1,SUMPRODUCT(--($R$8:$R$1207&lt;R1081))+1,"")</f>
        <v/>
      </c>
      <c r="T1081" s="11">
        <f>IF(K1081=1,'ORDENES'!$J1077,"")</f>
        <v/>
      </c>
    </row>
    <row r="1082">
      <c r="K1082" s="3">
        <f>IF(AND(IF($B$3="(todos)",TRUE,'ORDENES'!$O1078=$B$3),IF($D$3="(todos)",TRUE,'ORDENES'!$AC1078=$D$3),IF($F$3="(todos)",TRUE,'ORDENES'!$V1078=$F$3),'ORDENES'!$AA1078=TRUE,'ORDENES'!$A1078&lt;&gt;""),1,0)</f>
        <v/>
      </c>
      <c r="L1082" s="3">
        <f>IF(K1082=1,IFERROR(MATCH('ORDENES'!$R1078,lista_dias,0),9)*1000000000+IFERROR(MATCH('ORDENES'!$AC1078,lista_turnos,0),9)*10000000+IFERROR(MATCH('ORDENES'!$AB1078,'TECNICOS'!$B$4:$B$15,0),99)*100000+1075,9000000000000+1075)</f>
        <v/>
      </c>
      <c r="M1082" s="3">
        <f>IF(K1082=1,SUMPRODUCT(--($L$8:$L$1207&lt;L1082))+1,"")</f>
        <v/>
      </c>
      <c r="N1082" s="17">
        <f>IF(K1082=1,N('ORDENES'!$M1078),0)</f>
        <v/>
      </c>
      <c r="O1082" s="17">
        <f>IF('ORDENES'!$S1078="preventiva",N1082,0)</f>
        <v/>
      </c>
      <c r="P1082" s="17">
        <f>IF('ORDENES'!$S1078="correctiva",N1082,0)</f>
        <v/>
      </c>
      <c r="Q1082" s="3">
        <f>IF(AND(K1082=1,'ORDENES'!$N1078="Pendiente"),1,0)</f>
        <v/>
      </c>
      <c r="R1082" s="3">
        <f>IF(Q1082=1,100000-N1082*1000+1075*0.01,9000000000000+1075)</f>
        <v/>
      </c>
      <c r="S1082" s="3">
        <f>IF(Q1082=1,SUMPRODUCT(--($R$8:$R$1207&lt;R1082))+1,"")</f>
        <v/>
      </c>
      <c r="T1082" s="11">
        <f>IF(K1082=1,'ORDENES'!$J1078,"")</f>
        <v/>
      </c>
    </row>
    <row r="1083">
      <c r="K1083" s="3">
        <f>IF(AND(IF($B$3="(todos)",TRUE,'ORDENES'!$O1079=$B$3),IF($D$3="(todos)",TRUE,'ORDENES'!$AC1079=$D$3),IF($F$3="(todos)",TRUE,'ORDENES'!$V1079=$F$3),'ORDENES'!$AA1079=TRUE,'ORDENES'!$A1079&lt;&gt;""),1,0)</f>
        <v/>
      </c>
      <c r="L1083" s="3">
        <f>IF(K1083=1,IFERROR(MATCH('ORDENES'!$R1079,lista_dias,0),9)*1000000000+IFERROR(MATCH('ORDENES'!$AC1079,lista_turnos,0),9)*10000000+IFERROR(MATCH('ORDENES'!$AB1079,'TECNICOS'!$B$4:$B$15,0),99)*100000+1076,9000000000000+1076)</f>
        <v/>
      </c>
      <c r="M1083" s="3">
        <f>IF(K1083=1,SUMPRODUCT(--($L$8:$L$1207&lt;L1083))+1,"")</f>
        <v/>
      </c>
      <c r="N1083" s="17">
        <f>IF(K1083=1,N('ORDENES'!$M1079),0)</f>
        <v/>
      </c>
      <c r="O1083" s="17">
        <f>IF('ORDENES'!$S1079="preventiva",N1083,0)</f>
        <v/>
      </c>
      <c r="P1083" s="17">
        <f>IF('ORDENES'!$S1079="correctiva",N1083,0)</f>
        <v/>
      </c>
      <c r="Q1083" s="3">
        <f>IF(AND(K1083=1,'ORDENES'!$N1079="Pendiente"),1,0)</f>
        <v/>
      </c>
      <c r="R1083" s="3">
        <f>IF(Q1083=1,100000-N1083*1000+1076*0.01,9000000000000+1076)</f>
        <v/>
      </c>
      <c r="S1083" s="3">
        <f>IF(Q1083=1,SUMPRODUCT(--($R$8:$R$1207&lt;R1083))+1,"")</f>
        <v/>
      </c>
      <c r="T1083" s="11">
        <f>IF(K1083=1,'ORDENES'!$J1079,"")</f>
        <v/>
      </c>
    </row>
    <row r="1084">
      <c r="K1084" s="3">
        <f>IF(AND(IF($B$3="(todos)",TRUE,'ORDENES'!$O1080=$B$3),IF($D$3="(todos)",TRUE,'ORDENES'!$AC1080=$D$3),IF($F$3="(todos)",TRUE,'ORDENES'!$V1080=$F$3),'ORDENES'!$AA1080=TRUE,'ORDENES'!$A1080&lt;&gt;""),1,0)</f>
        <v/>
      </c>
      <c r="L1084" s="3">
        <f>IF(K1084=1,IFERROR(MATCH('ORDENES'!$R1080,lista_dias,0),9)*1000000000+IFERROR(MATCH('ORDENES'!$AC1080,lista_turnos,0),9)*10000000+IFERROR(MATCH('ORDENES'!$AB1080,'TECNICOS'!$B$4:$B$15,0),99)*100000+1077,9000000000000+1077)</f>
        <v/>
      </c>
      <c r="M1084" s="3">
        <f>IF(K1084=1,SUMPRODUCT(--($L$8:$L$1207&lt;L1084))+1,"")</f>
        <v/>
      </c>
      <c r="N1084" s="17">
        <f>IF(K1084=1,N('ORDENES'!$M1080),0)</f>
        <v/>
      </c>
      <c r="O1084" s="17">
        <f>IF('ORDENES'!$S1080="preventiva",N1084,0)</f>
        <v/>
      </c>
      <c r="P1084" s="17">
        <f>IF('ORDENES'!$S1080="correctiva",N1084,0)</f>
        <v/>
      </c>
      <c r="Q1084" s="3">
        <f>IF(AND(K1084=1,'ORDENES'!$N1080="Pendiente"),1,0)</f>
        <v/>
      </c>
      <c r="R1084" s="3">
        <f>IF(Q1084=1,100000-N1084*1000+1077*0.01,9000000000000+1077)</f>
        <v/>
      </c>
      <c r="S1084" s="3">
        <f>IF(Q1084=1,SUMPRODUCT(--($R$8:$R$1207&lt;R1084))+1,"")</f>
        <v/>
      </c>
      <c r="T1084" s="11">
        <f>IF(K1084=1,'ORDENES'!$J1080,"")</f>
        <v/>
      </c>
    </row>
    <row r="1085">
      <c r="K1085" s="3">
        <f>IF(AND(IF($B$3="(todos)",TRUE,'ORDENES'!$O1081=$B$3),IF($D$3="(todos)",TRUE,'ORDENES'!$AC1081=$D$3),IF($F$3="(todos)",TRUE,'ORDENES'!$V1081=$F$3),'ORDENES'!$AA1081=TRUE,'ORDENES'!$A1081&lt;&gt;""),1,0)</f>
        <v/>
      </c>
      <c r="L1085" s="3">
        <f>IF(K1085=1,IFERROR(MATCH('ORDENES'!$R1081,lista_dias,0),9)*1000000000+IFERROR(MATCH('ORDENES'!$AC1081,lista_turnos,0),9)*10000000+IFERROR(MATCH('ORDENES'!$AB1081,'TECNICOS'!$B$4:$B$15,0),99)*100000+1078,9000000000000+1078)</f>
        <v/>
      </c>
      <c r="M1085" s="3">
        <f>IF(K1085=1,SUMPRODUCT(--($L$8:$L$1207&lt;L1085))+1,"")</f>
        <v/>
      </c>
      <c r="N1085" s="17">
        <f>IF(K1085=1,N('ORDENES'!$M1081),0)</f>
        <v/>
      </c>
      <c r="O1085" s="17">
        <f>IF('ORDENES'!$S1081="preventiva",N1085,0)</f>
        <v/>
      </c>
      <c r="P1085" s="17">
        <f>IF('ORDENES'!$S1081="correctiva",N1085,0)</f>
        <v/>
      </c>
      <c r="Q1085" s="3">
        <f>IF(AND(K1085=1,'ORDENES'!$N1081="Pendiente"),1,0)</f>
        <v/>
      </c>
      <c r="R1085" s="3">
        <f>IF(Q1085=1,100000-N1085*1000+1078*0.01,9000000000000+1078)</f>
        <v/>
      </c>
      <c r="S1085" s="3">
        <f>IF(Q1085=1,SUMPRODUCT(--($R$8:$R$1207&lt;R1085))+1,"")</f>
        <v/>
      </c>
      <c r="T1085" s="11">
        <f>IF(K1085=1,'ORDENES'!$J1081,"")</f>
        <v/>
      </c>
    </row>
    <row r="1086">
      <c r="K1086" s="3">
        <f>IF(AND(IF($B$3="(todos)",TRUE,'ORDENES'!$O1082=$B$3),IF($D$3="(todos)",TRUE,'ORDENES'!$AC1082=$D$3),IF($F$3="(todos)",TRUE,'ORDENES'!$V1082=$F$3),'ORDENES'!$AA1082=TRUE,'ORDENES'!$A1082&lt;&gt;""),1,0)</f>
        <v/>
      </c>
      <c r="L1086" s="3">
        <f>IF(K1086=1,IFERROR(MATCH('ORDENES'!$R1082,lista_dias,0),9)*1000000000+IFERROR(MATCH('ORDENES'!$AC1082,lista_turnos,0),9)*10000000+IFERROR(MATCH('ORDENES'!$AB1082,'TECNICOS'!$B$4:$B$15,0),99)*100000+1079,9000000000000+1079)</f>
        <v/>
      </c>
      <c r="M1086" s="3">
        <f>IF(K1086=1,SUMPRODUCT(--($L$8:$L$1207&lt;L1086))+1,"")</f>
        <v/>
      </c>
      <c r="N1086" s="17">
        <f>IF(K1086=1,N('ORDENES'!$M1082),0)</f>
        <v/>
      </c>
      <c r="O1086" s="17">
        <f>IF('ORDENES'!$S1082="preventiva",N1086,0)</f>
        <v/>
      </c>
      <c r="P1086" s="17">
        <f>IF('ORDENES'!$S1082="correctiva",N1086,0)</f>
        <v/>
      </c>
      <c r="Q1086" s="3">
        <f>IF(AND(K1086=1,'ORDENES'!$N1082="Pendiente"),1,0)</f>
        <v/>
      </c>
      <c r="R1086" s="3">
        <f>IF(Q1086=1,100000-N1086*1000+1079*0.01,9000000000000+1079)</f>
        <v/>
      </c>
      <c r="S1086" s="3">
        <f>IF(Q1086=1,SUMPRODUCT(--($R$8:$R$1207&lt;R1086))+1,"")</f>
        <v/>
      </c>
      <c r="T1086" s="11">
        <f>IF(K1086=1,'ORDENES'!$J1082,"")</f>
        <v/>
      </c>
    </row>
    <row r="1087">
      <c r="K1087" s="3">
        <f>IF(AND(IF($B$3="(todos)",TRUE,'ORDENES'!$O1083=$B$3),IF($D$3="(todos)",TRUE,'ORDENES'!$AC1083=$D$3),IF($F$3="(todos)",TRUE,'ORDENES'!$V1083=$F$3),'ORDENES'!$AA1083=TRUE,'ORDENES'!$A1083&lt;&gt;""),1,0)</f>
        <v/>
      </c>
      <c r="L1087" s="3">
        <f>IF(K1087=1,IFERROR(MATCH('ORDENES'!$R1083,lista_dias,0),9)*1000000000+IFERROR(MATCH('ORDENES'!$AC1083,lista_turnos,0),9)*10000000+IFERROR(MATCH('ORDENES'!$AB1083,'TECNICOS'!$B$4:$B$15,0),99)*100000+1080,9000000000000+1080)</f>
        <v/>
      </c>
      <c r="M1087" s="3">
        <f>IF(K1087=1,SUMPRODUCT(--($L$8:$L$1207&lt;L1087))+1,"")</f>
        <v/>
      </c>
      <c r="N1087" s="17">
        <f>IF(K1087=1,N('ORDENES'!$M1083),0)</f>
        <v/>
      </c>
      <c r="O1087" s="17">
        <f>IF('ORDENES'!$S1083="preventiva",N1087,0)</f>
        <v/>
      </c>
      <c r="P1087" s="17">
        <f>IF('ORDENES'!$S1083="correctiva",N1087,0)</f>
        <v/>
      </c>
      <c r="Q1087" s="3">
        <f>IF(AND(K1087=1,'ORDENES'!$N1083="Pendiente"),1,0)</f>
        <v/>
      </c>
      <c r="R1087" s="3">
        <f>IF(Q1087=1,100000-N1087*1000+1080*0.01,9000000000000+1080)</f>
        <v/>
      </c>
      <c r="S1087" s="3">
        <f>IF(Q1087=1,SUMPRODUCT(--($R$8:$R$1207&lt;R1087))+1,"")</f>
        <v/>
      </c>
      <c r="T1087" s="11">
        <f>IF(K1087=1,'ORDENES'!$J1083,"")</f>
        <v/>
      </c>
    </row>
    <row r="1088">
      <c r="K1088" s="3">
        <f>IF(AND(IF($B$3="(todos)",TRUE,'ORDENES'!$O1084=$B$3),IF($D$3="(todos)",TRUE,'ORDENES'!$AC1084=$D$3),IF($F$3="(todos)",TRUE,'ORDENES'!$V1084=$F$3),'ORDENES'!$AA1084=TRUE,'ORDENES'!$A1084&lt;&gt;""),1,0)</f>
        <v/>
      </c>
      <c r="L1088" s="3">
        <f>IF(K1088=1,IFERROR(MATCH('ORDENES'!$R1084,lista_dias,0),9)*1000000000+IFERROR(MATCH('ORDENES'!$AC1084,lista_turnos,0),9)*10000000+IFERROR(MATCH('ORDENES'!$AB1084,'TECNICOS'!$B$4:$B$15,0),99)*100000+1081,9000000000000+1081)</f>
        <v/>
      </c>
      <c r="M1088" s="3">
        <f>IF(K1088=1,SUMPRODUCT(--($L$8:$L$1207&lt;L1088))+1,"")</f>
        <v/>
      </c>
      <c r="N1088" s="17">
        <f>IF(K1088=1,N('ORDENES'!$M1084),0)</f>
        <v/>
      </c>
      <c r="O1088" s="17">
        <f>IF('ORDENES'!$S1084="preventiva",N1088,0)</f>
        <v/>
      </c>
      <c r="P1088" s="17">
        <f>IF('ORDENES'!$S1084="correctiva",N1088,0)</f>
        <v/>
      </c>
      <c r="Q1088" s="3">
        <f>IF(AND(K1088=1,'ORDENES'!$N1084="Pendiente"),1,0)</f>
        <v/>
      </c>
      <c r="R1088" s="3">
        <f>IF(Q1088=1,100000-N1088*1000+1081*0.01,9000000000000+1081)</f>
        <v/>
      </c>
      <c r="S1088" s="3">
        <f>IF(Q1088=1,SUMPRODUCT(--($R$8:$R$1207&lt;R1088))+1,"")</f>
        <v/>
      </c>
      <c r="T1088" s="11">
        <f>IF(K1088=1,'ORDENES'!$J1084,"")</f>
        <v/>
      </c>
    </row>
    <row r="1089">
      <c r="K1089" s="3">
        <f>IF(AND(IF($B$3="(todos)",TRUE,'ORDENES'!$O1085=$B$3),IF($D$3="(todos)",TRUE,'ORDENES'!$AC1085=$D$3),IF($F$3="(todos)",TRUE,'ORDENES'!$V1085=$F$3),'ORDENES'!$AA1085=TRUE,'ORDENES'!$A1085&lt;&gt;""),1,0)</f>
        <v/>
      </c>
      <c r="L1089" s="3">
        <f>IF(K1089=1,IFERROR(MATCH('ORDENES'!$R1085,lista_dias,0),9)*1000000000+IFERROR(MATCH('ORDENES'!$AC1085,lista_turnos,0),9)*10000000+IFERROR(MATCH('ORDENES'!$AB1085,'TECNICOS'!$B$4:$B$15,0),99)*100000+1082,9000000000000+1082)</f>
        <v/>
      </c>
      <c r="M1089" s="3">
        <f>IF(K1089=1,SUMPRODUCT(--($L$8:$L$1207&lt;L1089))+1,"")</f>
        <v/>
      </c>
      <c r="N1089" s="17">
        <f>IF(K1089=1,N('ORDENES'!$M1085),0)</f>
        <v/>
      </c>
      <c r="O1089" s="17">
        <f>IF('ORDENES'!$S1085="preventiva",N1089,0)</f>
        <v/>
      </c>
      <c r="P1089" s="17">
        <f>IF('ORDENES'!$S1085="correctiva",N1089,0)</f>
        <v/>
      </c>
      <c r="Q1089" s="3">
        <f>IF(AND(K1089=1,'ORDENES'!$N1085="Pendiente"),1,0)</f>
        <v/>
      </c>
      <c r="R1089" s="3">
        <f>IF(Q1089=1,100000-N1089*1000+1082*0.01,9000000000000+1082)</f>
        <v/>
      </c>
      <c r="S1089" s="3">
        <f>IF(Q1089=1,SUMPRODUCT(--($R$8:$R$1207&lt;R1089))+1,"")</f>
        <v/>
      </c>
      <c r="T1089" s="11">
        <f>IF(K1089=1,'ORDENES'!$J1085,"")</f>
        <v/>
      </c>
    </row>
    <row r="1090">
      <c r="K1090" s="3">
        <f>IF(AND(IF($B$3="(todos)",TRUE,'ORDENES'!$O1086=$B$3),IF($D$3="(todos)",TRUE,'ORDENES'!$AC1086=$D$3),IF($F$3="(todos)",TRUE,'ORDENES'!$V1086=$F$3),'ORDENES'!$AA1086=TRUE,'ORDENES'!$A1086&lt;&gt;""),1,0)</f>
        <v/>
      </c>
      <c r="L1090" s="3">
        <f>IF(K1090=1,IFERROR(MATCH('ORDENES'!$R1086,lista_dias,0),9)*1000000000+IFERROR(MATCH('ORDENES'!$AC1086,lista_turnos,0),9)*10000000+IFERROR(MATCH('ORDENES'!$AB1086,'TECNICOS'!$B$4:$B$15,0),99)*100000+1083,9000000000000+1083)</f>
        <v/>
      </c>
      <c r="M1090" s="3">
        <f>IF(K1090=1,SUMPRODUCT(--($L$8:$L$1207&lt;L1090))+1,"")</f>
        <v/>
      </c>
      <c r="N1090" s="17">
        <f>IF(K1090=1,N('ORDENES'!$M1086),0)</f>
        <v/>
      </c>
      <c r="O1090" s="17">
        <f>IF('ORDENES'!$S1086="preventiva",N1090,0)</f>
        <v/>
      </c>
      <c r="P1090" s="17">
        <f>IF('ORDENES'!$S1086="correctiva",N1090,0)</f>
        <v/>
      </c>
      <c r="Q1090" s="3">
        <f>IF(AND(K1090=1,'ORDENES'!$N1086="Pendiente"),1,0)</f>
        <v/>
      </c>
      <c r="R1090" s="3">
        <f>IF(Q1090=1,100000-N1090*1000+1083*0.01,9000000000000+1083)</f>
        <v/>
      </c>
      <c r="S1090" s="3">
        <f>IF(Q1090=1,SUMPRODUCT(--($R$8:$R$1207&lt;R1090))+1,"")</f>
        <v/>
      </c>
      <c r="T1090" s="11">
        <f>IF(K1090=1,'ORDENES'!$J1086,"")</f>
        <v/>
      </c>
    </row>
    <row r="1091">
      <c r="K1091" s="3">
        <f>IF(AND(IF($B$3="(todos)",TRUE,'ORDENES'!$O1087=$B$3),IF($D$3="(todos)",TRUE,'ORDENES'!$AC1087=$D$3),IF($F$3="(todos)",TRUE,'ORDENES'!$V1087=$F$3),'ORDENES'!$AA1087=TRUE,'ORDENES'!$A1087&lt;&gt;""),1,0)</f>
        <v/>
      </c>
      <c r="L1091" s="3">
        <f>IF(K1091=1,IFERROR(MATCH('ORDENES'!$R1087,lista_dias,0),9)*1000000000+IFERROR(MATCH('ORDENES'!$AC1087,lista_turnos,0),9)*10000000+IFERROR(MATCH('ORDENES'!$AB1087,'TECNICOS'!$B$4:$B$15,0),99)*100000+1084,9000000000000+1084)</f>
        <v/>
      </c>
      <c r="M1091" s="3">
        <f>IF(K1091=1,SUMPRODUCT(--($L$8:$L$1207&lt;L1091))+1,"")</f>
        <v/>
      </c>
      <c r="N1091" s="17">
        <f>IF(K1091=1,N('ORDENES'!$M1087),0)</f>
        <v/>
      </c>
      <c r="O1091" s="17">
        <f>IF('ORDENES'!$S1087="preventiva",N1091,0)</f>
        <v/>
      </c>
      <c r="P1091" s="17">
        <f>IF('ORDENES'!$S1087="correctiva",N1091,0)</f>
        <v/>
      </c>
      <c r="Q1091" s="3">
        <f>IF(AND(K1091=1,'ORDENES'!$N1087="Pendiente"),1,0)</f>
        <v/>
      </c>
      <c r="R1091" s="3">
        <f>IF(Q1091=1,100000-N1091*1000+1084*0.01,9000000000000+1084)</f>
        <v/>
      </c>
      <c r="S1091" s="3">
        <f>IF(Q1091=1,SUMPRODUCT(--($R$8:$R$1207&lt;R1091))+1,"")</f>
        <v/>
      </c>
      <c r="T1091" s="11">
        <f>IF(K1091=1,'ORDENES'!$J1087,"")</f>
        <v/>
      </c>
    </row>
    <row r="1092">
      <c r="K1092" s="3">
        <f>IF(AND(IF($B$3="(todos)",TRUE,'ORDENES'!$O1088=$B$3),IF($D$3="(todos)",TRUE,'ORDENES'!$AC1088=$D$3),IF($F$3="(todos)",TRUE,'ORDENES'!$V1088=$F$3),'ORDENES'!$AA1088=TRUE,'ORDENES'!$A1088&lt;&gt;""),1,0)</f>
        <v/>
      </c>
      <c r="L1092" s="3">
        <f>IF(K1092=1,IFERROR(MATCH('ORDENES'!$R1088,lista_dias,0),9)*1000000000+IFERROR(MATCH('ORDENES'!$AC1088,lista_turnos,0),9)*10000000+IFERROR(MATCH('ORDENES'!$AB1088,'TECNICOS'!$B$4:$B$15,0),99)*100000+1085,9000000000000+1085)</f>
        <v/>
      </c>
      <c r="M1092" s="3">
        <f>IF(K1092=1,SUMPRODUCT(--($L$8:$L$1207&lt;L1092))+1,"")</f>
        <v/>
      </c>
      <c r="N1092" s="17">
        <f>IF(K1092=1,N('ORDENES'!$M1088),0)</f>
        <v/>
      </c>
      <c r="O1092" s="17">
        <f>IF('ORDENES'!$S1088="preventiva",N1092,0)</f>
        <v/>
      </c>
      <c r="P1092" s="17">
        <f>IF('ORDENES'!$S1088="correctiva",N1092,0)</f>
        <v/>
      </c>
      <c r="Q1092" s="3">
        <f>IF(AND(K1092=1,'ORDENES'!$N1088="Pendiente"),1,0)</f>
        <v/>
      </c>
      <c r="R1092" s="3">
        <f>IF(Q1092=1,100000-N1092*1000+1085*0.01,9000000000000+1085)</f>
        <v/>
      </c>
      <c r="S1092" s="3">
        <f>IF(Q1092=1,SUMPRODUCT(--($R$8:$R$1207&lt;R1092))+1,"")</f>
        <v/>
      </c>
      <c r="T1092" s="11">
        <f>IF(K1092=1,'ORDENES'!$J1088,"")</f>
        <v/>
      </c>
    </row>
    <row r="1093">
      <c r="K1093" s="3">
        <f>IF(AND(IF($B$3="(todos)",TRUE,'ORDENES'!$O1089=$B$3),IF($D$3="(todos)",TRUE,'ORDENES'!$AC1089=$D$3),IF($F$3="(todos)",TRUE,'ORDENES'!$V1089=$F$3),'ORDENES'!$AA1089=TRUE,'ORDENES'!$A1089&lt;&gt;""),1,0)</f>
        <v/>
      </c>
      <c r="L1093" s="3">
        <f>IF(K1093=1,IFERROR(MATCH('ORDENES'!$R1089,lista_dias,0),9)*1000000000+IFERROR(MATCH('ORDENES'!$AC1089,lista_turnos,0),9)*10000000+IFERROR(MATCH('ORDENES'!$AB1089,'TECNICOS'!$B$4:$B$15,0),99)*100000+1086,9000000000000+1086)</f>
        <v/>
      </c>
      <c r="M1093" s="3">
        <f>IF(K1093=1,SUMPRODUCT(--($L$8:$L$1207&lt;L1093))+1,"")</f>
        <v/>
      </c>
      <c r="N1093" s="17">
        <f>IF(K1093=1,N('ORDENES'!$M1089),0)</f>
        <v/>
      </c>
      <c r="O1093" s="17">
        <f>IF('ORDENES'!$S1089="preventiva",N1093,0)</f>
        <v/>
      </c>
      <c r="P1093" s="17">
        <f>IF('ORDENES'!$S1089="correctiva",N1093,0)</f>
        <v/>
      </c>
      <c r="Q1093" s="3">
        <f>IF(AND(K1093=1,'ORDENES'!$N1089="Pendiente"),1,0)</f>
        <v/>
      </c>
      <c r="R1093" s="3">
        <f>IF(Q1093=1,100000-N1093*1000+1086*0.01,9000000000000+1086)</f>
        <v/>
      </c>
      <c r="S1093" s="3">
        <f>IF(Q1093=1,SUMPRODUCT(--($R$8:$R$1207&lt;R1093))+1,"")</f>
        <v/>
      </c>
      <c r="T1093" s="11">
        <f>IF(K1093=1,'ORDENES'!$J1089,"")</f>
        <v/>
      </c>
    </row>
    <row r="1094">
      <c r="K1094" s="3">
        <f>IF(AND(IF($B$3="(todos)",TRUE,'ORDENES'!$O1090=$B$3),IF($D$3="(todos)",TRUE,'ORDENES'!$AC1090=$D$3),IF($F$3="(todos)",TRUE,'ORDENES'!$V1090=$F$3),'ORDENES'!$AA1090=TRUE,'ORDENES'!$A1090&lt;&gt;""),1,0)</f>
        <v/>
      </c>
      <c r="L1094" s="3">
        <f>IF(K1094=1,IFERROR(MATCH('ORDENES'!$R1090,lista_dias,0),9)*1000000000+IFERROR(MATCH('ORDENES'!$AC1090,lista_turnos,0),9)*10000000+IFERROR(MATCH('ORDENES'!$AB1090,'TECNICOS'!$B$4:$B$15,0),99)*100000+1087,9000000000000+1087)</f>
        <v/>
      </c>
      <c r="M1094" s="3">
        <f>IF(K1094=1,SUMPRODUCT(--($L$8:$L$1207&lt;L1094))+1,"")</f>
        <v/>
      </c>
      <c r="N1094" s="17">
        <f>IF(K1094=1,N('ORDENES'!$M1090),0)</f>
        <v/>
      </c>
      <c r="O1094" s="17">
        <f>IF('ORDENES'!$S1090="preventiva",N1094,0)</f>
        <v/>
      </c>
      <c r="P1094" s="17">
        <f>IF('ORDENES'!$S1090="correctiva",N1094,0)</f>
        <v/>
      </c>
      <c r="Q1094" s="3">
        <f>IF(AND(K1094=1,'ORDENES'!$N1090="Pendiente"),1,0)</f>
        <v/>
      </c>
      <c r="R1094" s="3">
        <f>IF(Q1094=1,100000-N1094*1000+1087*0.01,9000000000000+1087)</f>
        <v/>
      </c>
      <c r="S1094" s="3">
        <f>IF(Q1094=1,SUMPRODUCT(--($R$8:$R$1207&lt;R1094))+1,"")</f>
        <v/>
      </c>
      <c r="T1094" s="11">
        <f>IF(K1094=1,'ORDENES'!$J1090,"")</f>
        <v/>
      </c>
    </row>
    <row r="1095">
      <c r="K1095" s="3">
        <f>IF(AND(IF($B$3="(todos)",TRUE,'ORDENES'!$O1091=$B$3),IF($D$3="(todos)",TRUE,'ORDENES'!$AC1091=$D$3),IF($F$3="(todos)",TRUE,'ORDENES'!$V1091=$F$3),'ORDENES'!$AA1091=TRUE,'ORDENES'!$A1091&lt;&gt;""),1,0)</f>
        <v/>
      </c>
      <c r="L1095" s="3">
        <f>IF(K1095=1,IFERROR(MATCH('ORDENES'!$R1091,lista_dias,0),9)*1000000000+IFERROR(MATCH('ORDENES'!$AC1091,lista_turnos,0),9)*10000000+IFERROR(MATCH('ORDENES'!$AB1091,'TECNICOS'!$B$4:$B$15,0),99)*100000+1088,9000000000000+1088)</f>
        <v/>
      </c>
      <c r="M1095" s="3">
        <f>IF(K1095=1,SUMPRODUCT(--($L$8:$L$1207&lt;L1095))+1,"")</f>
        <v/>
      </c>
      <c r="N1095" s="17">
        <f>IF(K1095=1,N('ORDENES'!$M1091),0)</f>
        <v/>
      </c>
      <c r="O1095" s="17">
        <f>IF('ORDENES'!$S1091="preventiva",N1095,0)</f>
        <v/>
      </c>
      <c r="P1095" s="17">
        <f>IF('ORDENES'!$S1091="correctiva",N1095,0)</f>
        <v/>
      </c>
      <c r="Q1095" s="3">
        <f>IF(AND(K1095=1,'ORDENES'!$N1091="Pendiente"),1,0)</f>
        <v/>
      </c>
      <c r="R1095" s="3">
        <f>IF(Q1095=1,100000-N1095*1000+1088*0.01,9000000000000+1088)</f>
        <v/>
      </c>
      <c r="S1095" s="3">
        <f>IF(Q1095=1,SUMPRODUCT(--($R$8:$R$1207&lt;R1095))+1,"")</f>
        <v/>
      </c>
      <c r="T1095" s="11">
        <f>IF(K1095=1,'ORDENES'!$J1091,"")</f>
        <v/>
      </c>
    </row>
    <row r="1096">
      <c r="K1096" s="3">
        <f>IF(AND(IF($B$3="(todos)",TRUE,'ORDENES'!$O1092=$B$3),IF($D$3="(todos)",TRUE,'ORDENES'!$AC1092=$D$3),IF($F$3="(todos)",TRUE,'ORDENES'!$V1092=$F$3),'ORDENES'!$AA1092=TRUE,'ORDENES'!$A1092&lt;&gt;""),1,0)</f>
        <v/>
      </c>
      <c r="L1096" s="3">
        <f>IF(K1096=1,IFERROR(MATCH('ORDENES'!$R1092,lista_dias,0),9)*1000000000+IFERROR(MATCH('ORDENES'!$AC1092,lista_turnos,0),9)*10000000+IFERROR(MATCH('ORDENES'!$AB1092,'TECNICOS'!$B$4:$B$15,0),99)*100000+1089,9000000000000+1089)</f>
        <v/>
      </c>
      <c r="M1096" s="3">
        <f>IF(K1096=1,SUMPRODUCT(--($L$8:$L$1207&lt;L1096))+1,"")</f>
        <v/>
      </c>
      <c r="N1096" s="17">
        <f>IF(K1096=1,N('ORDENES'!$M1092),0)</f>
        <v/>
      </c>
      <c r="O1096" s="17">
        <f>IF('ORDENES'!$S1092="preventiva",N1096,0)</f>
        <v/>
      </c>
      <c r="P1096" s="17">
        <f>IF('ORDENES'!$S1092="correctiva",N1096,0)</f>
        <v/>
      </c>
      <c r="Q1096" s="3">
        <f>IF(AND(K1096=1,'ORDENES'!$N1092="Pendiente"),1,0)</f>
        <v/>
      </c>
      <c r="R1096" s="3">
        <f>IF(Q1096=1,100000-N1096*1000+1089*0.01,9000000000000+1089)</f>
        <v/>
      </c>
      <c r="S1096" s="3">
        <f>IF(Q1096=1,SUMPRODUCT(--($R$8:$R$1207&lt;R1096))+1,"")</f>
        <v/>
      </c>
      <c r="T1096" s="11">
        <f>IF(K1096=1,'ORDENES'!$J1092,"")</f>
        <v/>
      </c>
    </row>
    <row r="1097">
      <c r="K1097" s="3">
        <f>IF(AND(IF($B$3="(todos)",TRUE,'ORDENES'!$O1093=$B$3),IF($D$3="(todos)",TRUE,'ORDENES'!$AC1093=$D$3),IF($F$3="(todos)",TRUE,'ORDENES'!$V1093=$F$3),'ORDENES'!$AA1093=TRUE,'ORDENES'!$A1093&lt;&gt;""),1,0)</f>
        <v/>
      </c>
      <c r="L1097" s="3">
        <f>IF(K1097=1,IFERROR(MATCH('ORDENES'!$R1093,lista_dias,0),9)*1000000000+IFERROR(MATCH('ORDENES'!$AC1093,lista_turnos,0),9)*10000000+IFERROR(MATCH('ORDENES'!$AB1093,'TECNICOS'!$B$4:$B$15,0),99)*100000+1090,9000000000000+1090)</f>
        <v/>
      </c>
      <c r="M1097" s="3">
        <f>IF(K1097=1,SUMPRODUCT(--($L$8:$L$1207&lt;L1097))+1,"")</f>
        <v/>
      </c>
      <c r="N1097" s="17">
        <f>IF(K1097=1,N('ORDENES'!$M1093),0)</f>
        <v/>
      </c>
      <c r="O1097" s="17">
        <f>IF('ORDENES'!$S1093="preventiva",N1097,0)</f>
        <v/>
      </c>
      <c r="P1097" s="17">
        <f>IF('ORDENES'!$S1093="correctiva",N1097,0)</f>
        <v/>
      </c>
      <c r="Q1097" s="3">
        <f>IF(AND(K1097=1,'ORDENES'!$N1093="Pendiente"),1,0)</f>
        <v/>
      </c>
      <c r="R1097" s="3">
        <f>IF(Q1097=1,100000-N1097*1000+1090*0.01,9000000000000+1090)</f>
        <v/>
      </c>
      <c r="S1097" s="3">
        <f>IF(Q1097=1,SUMPRODUCT(--($R$8:$R$1207&lt;R1097))+1,"")</f>
        <v/>
      </c>
      <c r="T1097" s="11">
        <f>IF(K1097=1,'ORDENES'!$J1093,"")</f>
        <v/>
      </c>
    </row>
    <row r="1098">
      <c r="K1098" s="3">
        <f>IF(AND(IF($B$3="(todos)",TRUE,'ORDENES'!$O1094=$B$3),IF($D$3="(todos)",TRUE,'ORDENES'!$AC1094=$D$3),IF($F$3="(todos)",TRUE,'ORDENES'!$V1094=$F$3),'ORDENES'!$AA1094=TRUE,'ORDENES'!$A1094&lt;&gt;""),1,0)</f>
        <v/>
      </c>
      <c r="L1098" s="3">
        <f>IF(K1098=1,IFERROR(MATCH('ORDENES'!$R1094,lista_dias,0),9)*1000000000+IFERROR(MATCH('ORDENES'!$AC1094,lista_turnos,0),9)*10000000+IFERROR(MATCH('ORDENES'!$AB1094,'TECNICOS'!$B$4:$B$15,0),99)*100000+1091,9000000000000+1091)</f>
        <v/>
      </c>
      <c r="M1098" s="3">
        <f>IF(K1098=1,SUMPRODUCT(--($L$8:$L$1207&lt;L1098))+1,"")</f>
        <v/>
      </c>
      <c r="N1098" s="17">
        <f>IF(K1098=1,N('ORDENES'!$M1094),0)</f>
        <v/>
      </c>
      <c r="O1098" s="17">
        <f>IF('ORDENES'!$S1094="preventiva",N1098,0)</f>
        <v/>
      </c>
      <c r="P1098" s="17">
        <f>IF('ORDENES'!$S1094="correctiva",N1098,0)</f>
        <v/>
      </c>
      <c r="Q1098" s="3">
        <f>IF(AND(K1098=1,'ORDENES'!$N1094="Pendiente"),1,0)</f>
        <v/>
      </c>
      <c r="R1098" s="3">
        <f>IF(Q1098=1,100000-N1098*1000+1091*0.01,9000000000000+1091)</f>
        <v/>
      </c>
      <c r="S1098" s="3">
        <f>IF(Q1098=1,SUMPRODUCT(--($R$8:$R$1207&lt;R1098))+1,"")</f>
        <v/>
      </c>
      <c r="T1098" s="11">
        <f>IF(K1098=1,'ORDENES'!$J1094,"")</f>
        <v/>
      </c>
    </row>
    <row r="1099">
      <c r="K1099" s="3">
        <f>IF(AND(IF($B$3="(todos)",TRUE,'ORDENES'!$O1095=$B$3),IF($D$3="(todos)",TRUE,'ORDENES'!$AC1095=$D$3),IF($F$3="(todos)",TRUE,'ORDENES'!$V1095=$F$3),'ORDENES'!$AA1095=TRUE,'ORDENES'!$A1095&lt;&gt;""),1,0)</f>
        <v/>
      </c>
      <c r="L1099" s="3">
        <f>IF(K1099=1,IFERROR(MATCH('ORDENES'!$R1095,lista_dias,0),9)*1000000000+IFERROR(MATCH('ORDENES'!$AC1095,lista_turnos,0),9)*10000000+IFERROR(MATCH('ORDENES'!$AB1095,'TECNICOS'!$B$4:$B$15,0),99)*100000+1092,9000000000000+1092)</f>
        <v/>
      </c>
      <c r="M1099" s="3">
        <f>IF(K1099=1,SUMPRODUCT(--($L$8:$L$1207&lt;L1099))+1,"")</f>
        <v/>
      </c>
      <c r="N1099" s="17">
        <f>IF(K1099=1,N('ORDENES'!$M1095),0)</f>
        <v/>
      </c>
      <c r="O1099" s="17">
        <f>IF('ORDENES'!$S1095="preventiva",N1099,0)</f>
        <v/>
      </c>
      <c r="P1099" s="17">
        <f>IF('ORDENES'!$S1095="correctiva",N1099,0)</f>
        <v/>
      </c>
      <c r="Q1099" s="3">
        <f>IF(AND(K1099=1,'ORDENES'!$N1095="Pendiente"),1,0)</f>
        <v/>
      </c>
      <c r="R1099" s="3">
        <f>IF(Q1099=1,100000-N1099*1000+1092*0.01,9000000000000+1092)</f>
        <v/>
      </c>
      <c r="S1099" s="3">
        <f>IF(Q1099=1,SUMPRODUCT(--($R$8:$R$1207&lt;R1099))+1,"")</f>
        <v/>
      </c>
      <c r="T1099" s="11">
        <f>IF(K1099=1,'ORDENES'!$J1095,"")</f>
        <v/>
      </c>
    </row>
    <row r="1100">
      <c r="K1100" s="3">
        <f>IF(AND(IF($B$3="(todos)",TRUE,'ORDENES'!$O1096=$B$3),IF($D$3="(todos)",TRUE,'ORDENES'!$AC1096=$D$3),IF($F$3="(todos)",TRUE,'ORDENES'!$V1096=$F$3),'ORDENES'!$AA1096=TRUE,'ORDENES'!$A1096&lt;&gt;""),1,0)</f>
        <v/>
      </c>
      <c r="L1100" s="3">
        <f>IF(K1100=1,IFERROR(MATCH('ORDENES'!$R1096,lista_dias,0),9)*1000000000+IFERROR(MATCH('ORDENES'!$AC1096,lista_turnos,0),9)*10000000+IFERROR(MATCH('ORDENES'!$AB1096,'TECNICOS'!$B$4:$B$15,0),99)*100000+1093,9000000000000+1093)</f>
        <v/>
      </c>
      <c r="M1100" s="3">
        <f>IF(K1100=1,SUMPRODUCT(--($L$8:$L$1207&lt;L1100))+1,"")</f>
        <v/>
      </c>
      <c r="N1100" s="17">
        <f>IF(K1100=1,N('ORDENES'!$M1096),0)</f>
        <v/>
      </c>
      <c r="O1100" s="17">
        <f>IF('ORDENES'!$S1096="preventiva",N1100,0)</f>
        <v/>
      </c>
      <c r="P1100" s="17">
        <f>IF('ORDENES'!$S1096="correctiva",N1100,0)</f>
        <v/>
      </c>
      <c r="Q1100" s="3">
        <f>IF(AND(K1100=1,'ORDENES'!$N1096="Pendiente"),1,0)</f>
        <v/>
      </c>
      <c r="R1100" s="3">
        <f>IF(Q1100=1,100000-N1100*1000+1093*0.01,9000000000000+1093)</f>
        <v/>
      </c>
      <c r="S1100" s="3">
        <f>IF(Q1100=1,SUMPRODUCT(--($R$8:$R$1207&lt;R1100))+1,"")</f>
        <v/>
      </c>
      <c r="T1100" s="11">
        <f>IF(K1100=1,'ORDENES'!$J1096,"")</f>
        <v/>
      </c>
    </row>
    <row r="1101">
      <c r="K1101" s="3">
        <f>IF(AND(IF($B$3="(todos)",TRUE,'ORDENES'!$O1097=$B$3),IF($D$3="(todos)",TRUE,'ORDENES'!$AC1097=$D$3),IF($F$3="(todos)",TRUE,'ORDENES'!$V1097=$F$3),'ORDENES'!$AA1097=TRUE,'ORDENES'!$A1097&lt;&gt;""),1,0)</f>
        <v/>
      </c>
      <c r="L1101" s="3">
        <f>IF(K1101=1,IFERROR(MATCH('ORDENES'!$R1097,lista_dias,0),9)*1000000000+IFERROR(MATCH('ORDENES'!$AC1097,lista_turnos,0),9)*10000000+IFERROR(MATCH('ORDENES'!$AB1097,'TECNICOS'!$B$4:$B$15,0),99)*100000+1094,9000000000000+1094)</f>
        <v/>
      </c>
      <c r="M1101" s="3">
        <f>IF(K1101=1,SUMPRODUCT(--($L$8:$L$1207&lt;L1101))+1,"")</f>
        <v/>
      </c>
      <c r="N1101" s="17">
        <f>IF(K1101=1,N('ORDENES'!$M1097),0)</f>
        <v/>
      </c>
      <c r="O1101" s="17">
        <f>IF('ORDENES'!$S1097="preventiva",N1101,0)</f>
        <v/>
      </c>
      <c r="P1101" s="17">
        <f>IF('ORDENES'!$S1097="correctiva",N1101,0)</f>
        <v/>
      </c>
      <c r="Q1101" s="3">
        <f>IF(AND(K1101=1,'ORDENES'!$N1097="Pendiente"),1,0)</f>
        <v/>
      </c>
      <c r="R1101" s="3">
        <f>IF(Q1101=1,100000-N1101*1000+1094*0.01,9000000000000+1094)</f>
        <v/>
      </c>
      <c r="S1101" s="3">
        <f>IF(Q1101=1,SUMPRODUCT(--($R$8:$R$1207&lt;R1101))+1,"")</f>
        <v/>
      </c>
      <c r="T1101" s="11">
        <f>IF(K1101=1,'ORDENES'!$J1097,"")</f>
        <v/>
      </c>
    </row>
    <row r="1102">
      <c r="K1102" s="3">
        <f>IF(AND(IF($B$3="(todos)",TRUE,'ORDENES'!$O1098=$B$3),IF($D$3="(todos)",TRUE,'ORDENES'!$AC1098=$D$3),IF($F$3="(todos)",TRUE,'ORDENES'!$V1098=$F$3),'ORDENES'!$AA1098=TRUE,'ORDENES'!$A1098&lt;&gt;""),1,0)</f>
        <v/>
      </c>
      <c r="L1102" s="3">
        <f>IF(K1102=1,IFERROR(MATCH('ORDENES'!$R1098,lista_dias,0),9)*1000000000+IFERROR(MATCH('ORDENES'!$AC1098,lista_turnos,0),9)*10000000+IFERROR(MATCH('ORDENES'!$AB1098,'TECNICOS'!$B$4:$B$15,0),99)*100000+1095,9000000000000+1095)</f>
        <v/>
      </c>
      <c r="M1102" s="3">
        <f>IF(K1102=1,SUMPRODUCT(--($L$8:$L$1207&lt;L1102))+1,"")</f>
        <v/>
      </c>
      <c r="N1102" s="17">
        <f>IF(K1102=1,N('ORDENES'!$M1098),0)</f>
        <v/>
      </c>
      <c r="O1102" s="17">
        <f>IF('ORDENES'!$S1098="preventiva",N1102,0)</f>
        <v/>
      </c>
      <c r="P1102" s="17">
        <f>IF('ORDENES'!$S1098="correctiva",N1102,0)</f>
        <v/>
      </c>
      <c r="Q1102" s="3">
        <f>IF(AND(K1102=1,'ORDENES'!$N1098="Pendiente"),1,0)</f>
        <v/>
      </c>
      <c r="R1102" s="3">
        <f>IF(Q1102=1,100000-N1102*1000+1095*0.01,9000000000000+1095)</f>
        <v/>
      </c>
      <c r="S1102" s="3">
        <f>IF(Q1102=1,SUMPRODUCT(--($R$8:$R$1207&lt;R1102))+1,"")</f>
        <v/>
      </c>
      <c r="T1102" s="11">
        <f>IF(K1102=1,'ORDENES'!$J1098,"")</f>
        <v/>
      </c>
    </row>
    <row r="1103">
      <c r="K1103" s="3">
        <f>IF(AND(IF($B$3="(todos)",TRUE,'ORDENES'!$O1099=$B$3),IF($D$3="(todos)",TRUE,'ORDENES'!$AC1099=$D$3),IF($F$3="(todos)",TRUE,'ORDENES'!$V1099=$F$3),'ORDENES'!$AA1099=TRUE,'ORDENES'!$A1099&lt;&gt;""),1,0)</f>
        <v/>
      </c>
      <c r="L1103" s="3">
        <f>IF(K1103=1,IFERROR(MATCH('ORDENES'!$R1099,lista_dias,0),9)*1000000000+IFERROR(MATCH('ORDENES'!$AC1099,lista_turnos,0),9)*10000000+IFERROR(MATCH('ORDENES'!$AB1099,'TECNICOS'!$B$4:$B$15,0),99)*100000+1096,9000000000000+1096)</f>
        <v/>
      </c>
      <c r="M1103" s="3">
        <f>IF(K1103=1,SUMPRODUCT(--($L$8:$L$1207&lt;L1103))+1,"")</f>
        <v/>
      </c>
      <c r="N1103" s="17">
        <f>IF(K1103=1,N('ORDENES'!$M1099),0)</f>
        <v/>
      </c>
      <c r="O1103" s="17">
        <f>IF('ORDENES'!$S1099="preventiva",N1103,0)</f>
        <v/>
      </c>
      <c r="P1103" s="17">
        <f>IF('ORDENES'!$S1099="correctiva",N1103,0)</f>
        <v/>
      </c>
      <c r="Q1103" s="3">
        <f>IF(AND(K1103=1,'ORDENES'!$N1099="Pendiente"),1,0)</f>
        <v/>
      </c>
      <c r="R1103" s="3">
        <f>IF(Q1103=1,100000-N1103*1000+1096*0.01,9000000000000+1096)</f>
        <v/>
      </c>
      <c r="S1103" s="3">
        <f>IF(Q1103=1,SUMPRODUCT(--($R$8:$R$1207&lt;R1103))+1,"")</f>
        <v/>
      </c>
      <c r="T1103" s="11">
        <f>IF(K1103=1,'ORDENES'!$J1099,"")</f>
        <v/>
      </c>
    </row>
    <row r="1104">
      <c r="K1104" s="3">
        <f>IF(AND(IF($B$3="(todos)",TRUE,'ORDENES'!$O1100=$B$3),IF($D$3="(todos)",TRUE,'ORDENES'!$AC1100=$D$3),IF($F$3="(todos)",TRUE,'ORDENES'!$V1100=$F$3),'ORDENES'!$AA1100=TRUE,'ORDENES'!$A1100&lt;&gt;""),1,0)</f>
        <v/>
      </c>
      <c r="L1104" s="3">
        <f>IF(K1104=1,IFERROR(MATCH('ORDENES'!$R1100,lista_dias,0),9)*1000000000+IFERROR(MATCH('ORDENES'!$AC1100,lista_turnos,0),9)*10000000+IFERROR(MATCH('ORDENES'!$AB1100,'TECNICOS'!$B$4:$B$15,0),99)*100000+1097,9000000000000+1097)</f>
        <v/>
      </c>
      <c r="M1104" s="3">
        <f>IF(K1104=1,SUMPRODUCT(--($L$8:$L$1207&lt;L1104))+1,"")</f>
        <v/>
      </c>
      <c r="N1104" s="17">
        <f>IF(K1104=1,N('ORDENES'!$M1100),0)</f>
        <v/>
      </c>
      <c r="O1104" s="17">
        <f>IF('ORDENES'!$S1100="preventiva",N1104,0)</f>
        <v/>
      </c>
      <c r="P1104" s="17">
        <f>IF('ORDENES'!$S1100="correctiva",N1104,0)</f>
        <v/>
      </c>
      <c r="Q1104" s="3">
        <f>IF(AND(K1104=1,'ORDENES'!$N1100="Pendiente"),1,0)</f>
        <v/>
      </c>
      <c r="R1104" s="3">
        <f>IF(Q1104=1,100000-N1104*1000+1097*0.01,9000000000000+1097)</f>
        <v/>
      </c>
      <c r="S1104" s="3">
        <f>IF(Q1104=1,SUMPRODUCT(--($R$8:$R$1207&lt;R1104))+1,"")</f>
        <v/>
      </c>
      <c r="T1104" s="11">
        <f>IF(K1104=1,'ORDENES'!$J1100,"")</f>
        <v/>
      </c>
    </row>
    <row r="1105">
      <c r="K1105" s="3">
        <f>IF(AND(IF($B$3="(todos)",TRUE,'ORDENES'!$O1101=$B$3),IF($D$3="(todos)",TRUE,'ORDENES'!$AC1101=$D$3),IF($F$3="(todos)",TRUE,'ORDENES'!$V1101=$F$3),'ORDENES'!$AA1101=TRUE,'ORDENES'!$A1101&lt;&gt;""),1,0)</f>
        <v/>
      </c>
      <c r="L1105" s="3">
        <f>IF(K1105=1,IFERROR(MATCH('ORDENES'!$R1101,lista_dias,0),9)*1000000000+IFERROR(MATCH('ORDENES'!$AC1101,lista_turnos,0),9)*10000000+IFERROR(MATCH('ORDENES'!$AB1101,'TECNICOS'!$B$4:$B$15,0),99)*100000+1098,9000000000000+1098)</f>
        <v/>
      </c>
      <c r="M1105" s="3">
        <f>IF(K1105=1,SUMPRODUCT(--($L$8:$L$1207&lt;L1105))+1,"")</f>
        <v/>
      </c>
      <c r="N1105" s="17">
        <f>IF(K1105=1,N('ORDENES'!$M1101),0)</f>
        <v/>
      </c>
      <c r="O1105" s="17">
        <f>IF('ORDENES'!$S1101="preventiva",N1105,0)</f>
        <v/>
      </c>
      <c r="P1105" s="17">
        <f>IF('ORDENES'!$S1101="correctiva",N1105,0)</f>
        <v/>
      </c>
      <c r="Q1105" s="3">
        <f>IF(AND(K1105=1,'ORDENES'!$N1101="Pendiente"),1,0)</f>
        <v/>
      </c>
      <c r="R1105" s="3">
        <f>IF(Q1105=1,100000-N1105*1000+1098*0.01,9000000000000+1098)</f>
        <v/>
      </c>
      <c r="S1105" s="3">
        <f>IF(Q1105=1,SUMPRODUCT(--($R$8:$R$1207&lt;R1105))+1,"")</f>
        <v/>
      </c>
      <c r="T1105" s="11">
        <f>IF(K1105=1,'ORDENES'!$J1101,"")</f>
        <v/>
      </c>
    </row>
    <row r="1106">
      <c r="K1106" s="3">
        <f>IF(AND(IF($B$3="(todos)",TRUE,'ORDENES'!$O1102=$B$3),IF($D$3="(todos)",TRUE,'ORDENES'!$AC1102=$D$3),IF($F$3="(todos)",TRUE,'ORDENES'!$V1102=$F$3),'ORDENES'!$AA1102=TRUE,'ORDENES'!$A1102&lt;&gt;""),1,0)</f>
        <v/>
      </c>
      <c r="L1106" s="3">
        <f>IF(K1106=1,IFERROR(MATCH('ORDENES'!$R1102,lista_dias,0),9)*1000000000+IFERROR(MATCH('ORDENES'!$AC1102,lista_turnos,0),9)*10000000+IFERROR(MATCH('ORDENES'!$AB1102,'TECNICOS'!$B$4:$B$15,0),99)*100000+1099,9000000000000+1099)</f>
        <v/>
      </c>
      <c r="M1106" s="3">
        <f>IF(K1106=1,SUMPRODUCT(--($L$8:$L$1207&lt;L1106))+1,"")</f>
        <v/>
      </c>
      <c r="N1106" s="17">
        <f>IF(K1106=1,N('ORDENES'!$M1102),0)</f>
        <v/>
      </c>
      <c r="O1106" s="17">
        <f>IF('ORDENES'!$S1102="preventiva",N1106,0)</f>
        <v/>
      </c>
      <c r="P1106" s="17">
        <f>IF('ORDENES'!$S1102="correctiva",N1106,0)</f>
        <v/>
      </c>
      <c r="Q1106" s="3">
        <f>IF(AND(K1106=1,'ORDENES'!$N1102="Pendiente"),1,0)</f>
        <v/>
      </c>
      <c r="R1106" s="3">
        <f>IF(Q1106=1,100000-N1106*1000+1099*0.01,9000000000000+1099)</f>
        <v/>
      </c>
      <c r="S1106" s="3">
        <f>IF(Q1106=1,SUMPRODUCT(--($R$8:$R$1207&lt;R1106))+1,"")</f>
        <v/>
      </c>
      <c r="T1106" s="11">
        <f>IF(K1106=1,'ORDENES'!$J1102,"")</f>
        <v/>
      </c>
    </row>
    <row r="1107">
      <c r="K1107" s="3">
        <f>IF(AND(IF($B$3="(todos)",TRUE,'ORDENES'!$O1103=$B$3),IF($D$3="(todos)",TRUE,'ORDENES'!$AC1103=$D$3),IF($F$3="(todos)",TRUE,'ORDENES'!$V1103=$F$3),'ORDENES'!$AA1103=TRUE,'ORDENES'!$A1103&lt;&gt;""),1,0)</f>
        <v/>
      </c>
      <c r="L1107" s="3">
        <f>IF(K1107=1,IFERROR(MATCH('ORDENES'!$R1103,lista_dias,0),9)*1000000000+IFERROR(MATCH('ORDENES'!$AC1103,lista_turnos,0),9)*10000000+IFERROR(MATCH('ORDENES'!$AB1103,'TECNICOS'!$B$4:$B$15,0),99)*100000+1100,9000000000000+1100)</f>
        <v/>
      </c>
      <c r="M1107" s="3">
        <f>IF(K1107=1,SUMPRODUCT(--($L$8:$L$1207&lt;L1107))+1,"")</f>
        <v/>
      </c>
      <c r="N1107" s="17">
        <f>IF(K1107=1,N('ORDENES'!$M1103),0)</f>
        <v/>
      </c>
      <c r="O1107" s="17">
        <f>IF('ORDENES'!$S1103="preventiva",N1107,0)</f>
        <v/>
      </c>
      <c r="P1107" s="17">
        <f>IF('ORDENES'!$S1103="correctiva",N1107,0)</f>
        <v/>
      </c>
      <c r="Q1107" s="3">
        <f>IF(AND(K1107=1,'ORDENES'!$N1103="Pendiente"),1,0)</f>
        <v/>
      </c>
      <c r="R1107" s="3">
        <f>IF(Q1107=1,100000-N1107*1000+1100*0.01,9000000000000+1100)</f>
        <v/>
      </c>
      <c r="S1107" s="3">
        <f>IF(Q1107=1,SUMPRODUCT(--($R$8:$R$1207&lt;R1107))+1,"")</f>
        <v/>
      </c>
      <c r="T1107" s="11">
        <f>IF(K1107=1,'ORDENES'!$J1103,"")</f>
        <v/>
      </c>
    </row>
    <row r="1108">
      <c r="K1108" s="3">
        <f>IF(AND(IF($B$3="(todos)",TRUE,'ORDENES'!$O1104=$B$3),IF($D$3="(todos)",TRUE,'ORDENES'!$AC1104=$D$3),IF($F$3="(todos)",TRUE,'ORDENES'!$V1104=$F$3),'ORDENES'!$AA1104=TRUE,'ORDENES'!$A1104&lt;&gt;""),1,0)</f>
        <v/>
      </c>
      <c r="L1108" s="3">
        <f>IF(K1108=1,IFERROR(MATCH('ORDENES'!$R1104,lista_dias,0),9)*1000000000+IFERROR(MATCH('ORDENES'!$AC1104,lista_turnos,0),9)*10000000+IFERROR(MATCH('ORDENES'!$AB1104,'TECNICOS'!$B$4:$B$15,0),99)*100000+1101,9000000000000+1101)</f>
        <v/>
      </c>
      <c r="M1108" s="3">
        <f>IF(K1108=1,SUMPRODUCT(--($L$8:$L$1207&lt;L1108))+1,"")</f>
        <v/>
      </c>
      <c r="N1108" s="17">
        <f>IF(K1108=1,N('ORDENES'!$M1104),0)</f>
        <v/>
      </c>
      <c r="O1108" s="17">
        <f>IF('ORDENES'!$S1104="preventiva",N1108,0)</f>
        <v/>
      </c>
      <c r="P1108" s="17">
        <f>IF('ORDENES'!$S1104="correctiva",N1108,0)</f>
        <v/>
      </c>
      <c r="Q1108" s="3">
        <f>IF(AND(K1108=1,'ORDENES'!$N1104="Pendiente"),1,0)</f>
        <v/>
      </c>
      <c r="R1108" s="3">
        <f>IF(Q1108=1,100000-N1108*1000+1101*0.01,9000000000000+1101)</f>
        <v/>
      </c>
      <c r="S1108" s="3">
        <f>IF(Q1108=1,SUMPRODUCT(--($R$8:$R$1207&lt;R1108))+1,"")</f>
        <v/>
      </c>
      <c r="T1108" s="11">
        <f>IF(K1108=1,'ORDENES'!$J1104,"")</f>
        <v/>
      </c>
    </row>
    <row r="1109">
      <c r="K1109" s="3">
        <f>IF(AND(IF($B$3="(todos)",TRUE,'ORDENES'!$O1105=$B$3),IF($D$3="(todos)",TRUE,'ORDENES'!$AC1105=$D$3),IF($F$3="(todos)",TRUE,'ORDENES'!$V1105=$F$3),'ORDENES'!$AA1105=TRUE,'ORDENES'!$A1105&lt;&gt;""),1,0)</f>
        <v/>
      </c>
      <c r="L1109" s="3">
        <f>IF(K1109=1,IFERROR(MATCH('ORDENES'!$R1105,lista_dias,0),9)*1000000000+IFERROR(MATCH('ORDENES'!$AC1105,lista_turnos,0),9)*10000000+IFERROR(MATCH('ORDENES'!$AB1105,'TECNICOS'!$B$4:$B$15,0),99)*100000+1102,9000000000000+1102)</f>
        <v/>
      </c>
      <c r="M1109" s="3">
        <f>IF(K1109=1,SUMPRODUCT(--($L$8:$L$1207&lt;L1109))+1,"")</f>
        <v/>
      </c>
      <c r="N1109" s="17">
        <f>IF(K1109=1,N('ORDENES'!$M1105),0)</f>
        <v/>
      </c>
      <c r="O1109" s="17">
        <f>IF('ORDENES'!$S1105="preventiva",N1109,0)</f>
        <v/>
      </c>
      <c r="P1109" s="17">
        <f>IF('ORDENES'!$S1105="correctiva",N1109,0)</f>
        <v/>
      </c>
      <c r="Q1109" s="3">
        <f>IF(AND(K1109=1,'ORDENES'!$N1105="Pendiente"),1,0)</f>
        <v/>
      </c>
      <c r="R1109" s="3">
        <f>IF(Q1109=1,100000-N1109*1000+1102*0.01,9000000000000+1102)</f>
        <v/>
      </c>
      <c r="S1109" s="3">
        <f>IF(Q1109=1,SUMPRODUCT(--($R$8:$R$1207&lt;R1109))+1,"")</f>
        <v/>
      </c>
      <c r="T1109" s="11">
        <f>IF(K1109=1,'ORDENES'!$J1105,"")</f>
        <v/>
      </c>
    </row>
    <row r="1110">
      <c r="K1110" s="3">
        <f>IF(AND(IF($B$3="(todos)",TRUE,'ORDENES'!$O1106=$B$3),IF($D$3="(todos)",TRUE,'ORDENES'!$AC1106=$D$3),IF($F$3="(todos)",TRUE,'ORDENES'!$V1106=$F$3),'ORDENES'!$AA1106=TRUE,'ORDENES'!$A1106&lt;&gt;""),1,0)</f>
        <v/>
      </c>
      <c r="L1110" s="3">
        <f>IF(K1110=1,IFERROR(MATCH('ORDENES'!$R1106,lista_dias,0),9)*1000000000+IFERROR(MATCH('ORDENES'!$AC1106,lista_turnos,0),9)*10000000+IFERROR(MATCH('ORDENES'!$AB1106,'TECNICOS'!$B$4:$B$15,0),99)*100000+1103,9000000000000+1103)</f>
        <v/>
      </c>
      <c r="M1110" s="3">
        <f>IF(K1110=1,SUMPRODUCT(--($L$8:$L$1207&lt;L1110))+1,"")</f>
        <v/>
      </c>
      <c r="N1110" s="17">
        <f>IF(K1110=1,N('ORDENES'!$M1106),0)</f>
        <v/>
      </c>
      <c r="O1110" s="17">
        <f>IF('ORDENES'!$S1106="preventiva",N1110,0)</f>
        <v/>
      </c>
      <c r="P1110" s="17">
        <f>IF('ORDENES'!$S1106="correctiva",N1110,0)</f>
        <v/>
      </c>
      <c r="Q1110" s="3">
        <f>IF(AND(K1110=1,'ORDENES'!$N1106="Pendiente"),1,0)</f>
        <v/>
      </c>
      <c r="R1110" s="3">
        <f>IF(Q1110=1,100000-N1110*1000+1103*0.01,9000000000000+1103)</f>
        <v/>
      </c>
      <c r="S1110" s="3">
        <f>IF(Q1110=1,SUMPRODUCT(--($R$8:$R$1207&lt;R1110))+1,"")</f>
        <v/>
      </c>
      <c r="T1110" s="11">
        <f>IF(K1110=1,'ORDENES'!$J1106,"")</f>
        <v/>
      </c>
    </row>
    <row r="1111">
      <c r="K1111" s="3">
        <f>IF(AND(IF($B$3="(todos)",TRUE,'ORDENES'!$O1107=$B$3),IF($D$3="(todos)",TRUE,'ORDENES'!$AC1107=$D$3),IF($F$3="(todos)",TRUE,'ORDENES'!$V1107=$F$3),'ORDENES'!$AA1107=TRUE,'ORDENES'!$A1107&lt;&gt;""),1,0)</f>
        <v/>
      </c>
      <c r="L1111" s="3">
        <f>IF(K1111=1,IFERROR(MATCH('ORDENES'!$R1107,lista_dias,0),9)*1000000000+IFERROR(MATCH('ORDENES'!$AC1107,lista_turnos,0),9)*10000000+IFERROR(MATCH('ORDENES'!$AB1107,'TECNICOS'!$B$4:$B$15,0),99)*100000+1104,9000000000000+1104)</f>
        <v/>
      </c>
      <c r="M1111" s="3">
        <f>IF(K1111=1,SUMPRODUCT(--($L$8:$L$1207&lt;L1111))+1,"")</f>
        <v/>
      </c>
      <c r="N1111" s="17">
        <f>IF(K1111=1,N('ORDENES'!$M1107),0)</f>
        <v/>
      </c>
      <c r="O1111" s="17">
        <f>IF('ORDENES'!$S1107="preventiva",N1111,0)</f>
        <v/>
      </c>
      <c r="P1111" s="17">
        <f>IF('ORDENES'!$S1107="correctiva",N1111,0)</f>
        <v/>
      </c>
      <c r="Q1111" s="3">
        <f>IF(AND(K1111=1,'ORDENES'!$N1107="Pendiente"),1,0)</f>
        <v/>
      </c>
      <c r="R1111" s="3">
        <f>IF(Q1111=1,100000-N1111*1000+1104*0.01,9000000000000+1104)</f>
        <v/>
      </c>
      <c r="S1111" s="3">
        <f>IF(Q1111=1,SUMPRODUCT(--($R$8:$R$1207&lt;R1111))+1,"")</f>
        <v/>
      </c>
      <c r="T1111" s="11">
        <f>IF(K1111=1,'ORDENES'!$J1107,"")</f>
        <v/>
      </c>
    </row>
    <row r="1112">
      <c r="K1112" s="3">
        <f>IF(AND(IF($B$3="(todos)",TRUE,'ORDENES'!$O1108=$B$3),IF($D$3="(todos)",TRUE,'ORDENES'!$AC1108=$D$3),IF($F$3="(todos)",TRUE,'ORDENES'!$V1108=$F$3),'ORDENES'!$AA1108=TRUE,'ORDENES'!$A1108&lt;&gt;""),1,0)</f>
        <v/>
      </c>
      <c r="L1112" s="3">
        <f>IF(K1112=1,IFERROR(MATCH('ORDENES'!$R1108,lista_dias,0),9)*1000000000+IFERROR(MATCH('ORDENES'!$AC1108,lista_turnos,0),9)*10000000+IFERROR(MATCH('ORDENES'!$AB1108,'TECNICOS'!$B$4:$B$15,0),99)*100000+1105,9000000000000+1105)</f>
        <v/>
      </c>
      <c r="M1112" s="3">
        <f>IF(K1112=1,SUMPRODUCT(--($L$8:$L$1207&lt;L1112))+1,"")</f>
        <v/>
      </c>
      <c r="N1112" s="17">
        <f>IF(K1112=1,N('ORDENES'!$M1108),0)</f>
        <v/>
      </c>
      <c r="O1112" s="17">
        <f>IF('ORDENES'!$S1108="preventiva",N1112,0)</f>
        <v/>
      </c>
      <c r="P1112" s="17">
        <f>IF('ORDENES'!$S1108="correctiva",N1112,0)</f>
        <v/>
      </c>
      <c r="Q1112" s="3">
        <f>IF(AND(K1112=1,'ORDENES'!$N1108="Pendiente"),1,0)</f>
        <v/>
      </c>
      <c r="R1112" s="3">
        <f>IF(Q1112=1,100000-N1112*1000+1105*0.01,9000000000000+1105)</f>
        <v/>
      </c>
      <c r="S1112" s="3">
        <f>IF(Q1112=1,SUMPRODUCT(--($R$8:$R$1207&lt;R1112))+1,"")</f>
        <v/>
      </c>
      <c r="T1112" s="11">
        <f>IF(K1112=1,'ORDENES'!$J1108,"")</f>
        <v/>
      </c>
    </row>
    <row r="1113">
      <c r="K1113" s="3">
        <f>IF(AND(IF($B$3="(todos)",TRUE,'ORDENES'!$O1109=$B$3),IF($D$3="(todos)",TRUE,'ORDENES'!$AC1109=$D$3),IF($F$3="(todos)",TRUE,'ORDENES'!$V1109=$F$3),'ORDENES'!$AA1109=TRUE,'ORDENES'!$A1109&lt;&gt;""),1,0)</f>
        <v/>
      </c>
      <c r="L1113" s="3">
        <f>IF(K1113=1,IFERROR(MATCH('ORDENES'!$R1109,lista_dias,0),9)*1000000000+IFERROR(MATCH('ORDENES'!$AC1109,lista_turnos,0),9)*10000000+IFERROR(MATCH('ORDENES'!$AB1109,'TECNICOS'!$B$4:$B$15,0),99)*100000+1106,9000000000000+1106)</f>
        <v/>
      </c>
      <c r="M1113" s="3">
        <f>IF(K1113=1,SUMPRODUCT(--($L$8:$L$1207&lt;L1113))+1,"")</f>
        <v/>
      </c>
      <c r="N1113" s="17">
        <f>IF(K1113=1,N('ORDENES'!$M1109),0)</f>
        <v/>
      </c>
      <c r="O1113" s="17">
        <f>IF('ORDENES'!$S1109="preventiva",N1113,0)</f>
        <v/>
      </c>
      <c r="P1113" s="17">
        <f>IF('ORDENES'!$S1109="correctiva",N1113,0)</f>
        <v/>
      </c>
      <c r="Q1113" s="3">
        <f>IF(AND(K1113=1,'ORDENES'!$N1109="Pendiente"),1,0)</f>
        <v/>
      </c>
      <c r="R1113" s="3">
        <f>IF(Q1113=1,100000-N1113*1000+1106*0.01,9000000000000+1106)</f>
        <v/>
      </c>
      <c r="S1113" s="3">
        <f>IF(Q1113=1,SUMPRODUCT(--($R$8:$R$1207&lt;R1113))+1,"")</f>
        <v/>
      </c>
      <c r="T1113" s="11">
        <f>IF(K1113=1,'ORDENES'!$J1109,"")</f>
        <v/>
      </c>
    </row>
    <row r="1114">
      <c r="K1114" s="3">
        <f>IF(AND(IF($B$3="(todos)",TRUE,'ORDENES'!$O1110=$B$3),IF($D$3="(todos)",TRUE,'ORDENES'!$AC1110=$D$3),IF($F$3="(todos)",TRUE,'ORDENES'!$V1110=$F$3),'ORDENES'!$AA1110=TRUE,'ORDENES'!$A1110&lt;&gt;""),1,0)</f>
        <v/>
      </c>
      <c r="L1114" s="3">
        <f>IF(K1114=1,IFERROR(MATCH('ORDENES'!$R1110,lista_dias,0),9)*1000000000+IFERROR(MATCH('ORDENES'!$AC1110,lista_turnos,0),9)*10000000+IFERROR(MATCH('ORDENES'!$AB1110,'TECNICOS'!$B$4:$B$15,0),99)*100000+1107,9000000000000+1107)</f>
        <v/>
      </c>
      <c r="M1114" s="3">
        <f>IF(K1114=1,SUMPRODUCT(--($L$8:$L$1207&lt;L1114))+1,"")</f>
        <v/>
      </c>
      <c r="N1114" s="17">
        <f>IF(K1114=1,N('ORDENES'!$M1110),0)</f>
        <v/>
      </c>
      <c r="O1114" s="17">
        <f>IF('ORDENES'!$S1110="preventiva",N1114,0)</f>
        <v/>
      </c>
      <c r="P1114" s="17">
        <f>IF('ORDENES'!$S1110="correctiva",N1114,0)</f>
        <v/>
      </c>
      <c r="Q1114" s="3">
        <f>IF(AND(K1114=1,'ORDENES'!$N1110="Pendiente"),1,0)</f>
        <v/>
      </c>
      <c r="R1114" s="3">
        <f>IF(Q1114=1,100000-N1114*1000+1107*0.01,9000000000000+1107)</f>
        <v/>
      </c>
      <c r="S1114" s="3">
        <f>IF(Q1114=1,SUMPRODUCT(--($R$8:$R$1207&lt;R1114))+1,"")</f>
        <v/>
      </c>
      <c r="T1114" s="11">
        <f>IF(K1114=1,'ORDENES'!$J1110,"")</f>
        <v/>
      </c>
    </row>
    <row r="1115">
      <c r="K1115" s="3">
        <f>IF(AND(IF($B$3="(todos)",TRUE,'ORDENES'!$O1111=$B$3),IF($D$3="(todos)",TRUE,'ORDENES'!$AC1111=$D$3),IF($F$3="(todos)",TRUE,'ORDENES'!$V1111=$F$3),'ORDENES'!$AA1111=TRUE,'ORDENES'!$A1111&lt;&gt;""),1,0)</f>
        <v/>
      </c>
      <c r="L1115" s="3">
        <f>IF(K1115=1,IFERROR(MATCH('ORDENES'!$R1111,lista_dias,0),9)*1000000000+IFERROR(MATCH('ORDENES'!$AC1111,lista_turnos,0),9)*10000000+IFERROR(MATCH('ORDENES'!$AB1111,'TECNICOS'!$B$4:$B$15,0),99)*100000+1108,9000000000000+1108)</f>
        <v/>
      </c>
      <c r="M1115" s="3">
        <f>IF(K1115=1,SUMPRODUCT(--($L$8:$L$1207&lt;L1115))+1,"")</f>
        <v/>
      </c>
      <c r="N1115" s="17">
        <f>IF(K1115=1,N('ORDENES'!$M1111),0)</f>
        <v/>
      </c>
      <c r="O1115" s="17">
        <f>IF('ORDENES'!$S1111="preventiva",N1115,0)</f>
        <v/>
      </c>
      <c r="P1115" s="17">
        <f>IF('ORDENES'!$S1111="correctiva",N1115,0)</f>
        <v/>
      </c>
      <c r="Q1115" s="3">
        <f>IF(AND(K1115=1,'ORDENES'!$N1111="Pendiente"),1,0)</f>
        <v/>
      </c>
      <c r="R1115" s="3">
        <f>IF(Q1115=1,100000-N1115*1000+1108*0.01,9000000000000+1108)</f>
        <v/>
      </c>
      <c r="S1115" s="3">
        <f>IF(Q1115=1,SUMPRODUCT(--($R$8:$R$1207&lt;R1115))+1,"")</f>
        <v/>
      </c>
      <c r="T1115" s="11">
        <f>IF(K1115=1,'ORDENES'!$J1111,"")</f>
        <v/>
      </c>
    </row>
    <row r="1116">
      <c r="K1116" s="3">
        <f>IF(AND(IF($B$3="(todos)",TRUE,'ORDENES'!$O1112=$B$3),IF($D$3="(todos)",TRUE,'ORDENES'!$AC1112=$D$3),IF($F$3="(todos)",TRUE,'ORDENES'!$V1112=$F$3),'ORDENES'!$AA1112=TRUE,'ORDENES'!$A1112&lt;&gt;""),1,0)</f>
        <v/>
      </c>
      <c r="L1116" s="3">
        <f>IF(K1116=1,IFERROR(MATCH('ORDENES'!$R1112,lista_dias,0),9)*1000000000+IFERROR(MATCH('ORDENES'!$AC1112,lista_turnos,0),9)*10000000+IFERROR(MATCH('ORDENES'!$AB1112,'TECNICOS'!$B$4:$B$15,0),99)*100000+1109,9000000000000+1109)</f>
        <v/>
      </c>
      <c r="M1116" s="3">
        <f>IF(K1116=1,SUMPRODUCT(--($L$8:$L$1207&lt;L1116))+1,"")</f>
        <v/>
      </c>
      <c r="N1116" s="17">
        <f>IF(K1116=1,N('ORDENES'!$M1112),0)</f>
        <v/>
      </c>
      <c r="O1116" s="17">
        <f>IF('ORDENES'!$S1112="preventiva",N1116,0)</f>
        <v/>
      </c>
      <c r="P1116" s="17">
        <f>IF('ORDENES'!$S1112="correctiva",N1116,0)</f>
        <v/>
      </c>
      <c r="Q1116" s="3">
        <f>IF(AND(K1116=1,'ORDENES'!$N1112="Pendiente"),1,0)</f>
        <v/>
      </c>
      <c r="R1116" s="3">
        <f>IF(Q1116=1,100000-N1116*1000+1109*0.01,9000000000000+1109)</f>
        <v/>
      </c>
      <c r="S1116" s="3">
        <f>IF(Q1116=1,SUMPRODUCT(--($R$8:$R$1207&lt;R1116))+1,"")</f>
        <v/>
      </c>
      <c r="T1116" s="11">
        <f>IF(K1116=1,'ORDENES'!$J1112,"")</f>
        <v/>
      </c>
    </row>
    <row r="1117">
      <c r="K1117" s="3">
        <f>IF(AND(IF($B$3="(todos)",TRUE,'ORDENES'!$O1113=$B$3),IF($D$3="(todos)",TRUE,'ORDENES'!$AC1113=$D$3),IF($F$3="(todos)",TRUE,'ORDENES'!$V1113=$F$3),'ORDENES'!$AA1113=TRUE,'ORDENES'!$A1113&lt;&gt;""),1,0)</f>
        <v/>
      </c>
      <c r="L1117" s="3">
        <f>IF(K1117=1,IFERROR(MATCH('ORDENES'!$R1113,lista_dias,0),9)*1000000000+IFERROR(MATCH('ORDENES'!$AC1113,lista_turnos,0),9)*10000000+IFERROR(MATCH('ORDENES'!$AB1113,'TECNICOS'!$B$4:$B$15,0),99)*100000+1110,9000000000000+1110)</f>
        <v/>
      </c>
      <c r="M1117" s="3">
        <f>IF(K1117=1,SUMPRODUCT(--($L$8:$L$1207&lt;L1117))+1,"")</f>
        <v/>
      </c>
      <c r="N1117" s="17">
        <f>IF(K1117=1,N('ORDENES'!$M1113),0)</f>
        <v/>
      </c>
      <c r="O1117" s="17">
        <f>IF('ORDENES'!$S1113="preventiva",N1117,0)</f>
        <v/>
      </c>
      <c r="P1117" s="17">
        <f>IF('ORDENES'!$S1113="correctiva",N1117,0)</f>
        <v/>
      </c>
      <c r="Q1117" s="3">
        <f>IF(AND(K1117=1,'ORDENES'!$N1113="Pendiente"),1,0)</f>
        <v/>
      </c>
      <c r="R1117" s="3">
        <f>IF(Q1117=1,100000-N1117*1000+1110*0.01,9000000000000+1110)</f>
        <v/>
      </c>
      <c r="S1117" s="3">
        <f>IF(Q1117=1,SUMPRODUCT(--($R$8:$R$1207&lt;R1117))+1,"")</f>
        <v/>
      </c>
      <c r="T1117" s="11">
        <f>IF(K1117=1,'ORDENES'!$J1113,"")</f>
        <v/>
      </c>
    </row>
    <row r="1118">
      <c r="K1118" s="3">
        <f>IF(AND(IF($B$3="(todos)",TRUE,'ORDENES'!$O1114=$B$3),IF($D$3="(todos)",TRUE,'ORDENES'!$AC1114=$D$3),IF($F$3="(todos)",TRUE,'ORDENES'!$V1114=$F$3),'ORDENES'!$AA1114=TRUE,'ORDENES'!$A1114&lt;&gt;""),1,0)</f>
        <v/>
      </c>
      <c r="L1118" s="3">
        <f>IF(K1118=1,IFERROR(MATCH('ORDENES'!$R1114,lista_dias,0),9)*1000000000+IFERROR(MATCH('ORDENES'!$AC1114,lista_turnos,0),9)*10000000+IFERROR(MATCH('ORDENES'!$AB1114,'TECNICOS'!$B$4:$B$15,0),99)*100000+1111,9000000000000+1111)</f>
        <v/>
      </c>
      <c r="M1118" s="3">
        <f>IF(K1118=1,SUMPRODUCT(--($L$8:$L$1207&lt;L1118))+1,"")</f>
        <v/>
      </c>
      <c r="N1118" s="17">
        <f>IF(K1118=1,N('ORDENES'!$M1114),0)</f>
        <v/>
      </c>
      <c r="O1118" s="17">
        <f>IF('ORDENES'!$S1114="preventiva",N1118,0)</f>
        <v/>
      </c>
      <c r="P1118" s="17">
        <f>IF('ORDENES'!$S1114="correctiva",N1118,0)</f>
        <v/>
      </c>
      <c r="Q1118" s="3">
        <f>IF(AND(K1118=1,'ORDENES'!$N1114="Pendiente"),1,0)</f>
        <v/>
      </c>
      <c r="R1118" s="3">
        <f>IF(Q1118=1,100000-N1118*1000+1111*0.01,9000000000000+1111)</f>
        <v/>
      </c>
      <c r="S1118" s="3">
        <f>IF(Q1118=1,SUMPRODUCT(--($R$8:$R$1207&lt;R1118))+1,"")</f>
        <v/>
      </c>
      <c r="T1118" s="11">
        <f>IF(K1118=1,'ORDENES'!$J1114,"")</f>
        <v/>
      </c>
    </row>
    <row r="1119">
      <c r="K1119" s="3">
        <f>IF(AND(IF($B$3="(todos)",TRUE,'ORDENES'!$O1115=$B$3),IF($D$3="(todos)",TRUE,'ORDENES'!$AC1115=$D$3),IF($F$3="(todos)",TRUE,'ORDENES'!$V1115=$F$3),'ORDENES'!$AA1115=TRUE,'ORDENES'!$A1115&lt;&gt;""),1,0)</f>
        <v/>
      </c>
      <c r="L1119" s="3">
        <f>IF(K1119=1,IFERROR(MATCH('ORDENES'!$R1115,lista_dias,0),9)*1000000000+IFERROR(MATCH('ORDENES'!$AC1115,lista_turnos,0),9)*10000000+IFERROR(MATCH('ORDENES'!$AB1115,'TECNICOS'!$B$4:$B$15,0),99)*100000+1112,9000000000000+1112)</f>
        <v/>
      </c>
      <c r="M1119" s="3">
        <f>IF(K1119=1,SUMPRODUCT(--($L$8:$L$1207&lt;L1119))+1,"")</f>
        <v/>
      </c>
      <c r="N1119" s="17">
        <f>IF(K1119=1,N('ORDENES'!$M1115),0)</f>
        <v/>
      </c>
      <c r="O1119" s="17">
        <f>IF('ORDENES'!$S1115="preventiva",N1119,0)</f>
        <v/>
      </c>
      <c r="P1119" s="17">
        <f>IF('ORDENES'!$S1115="correctiva",N1119,0)</f>
        <v/>
      </c>
      <c r="Q1119" s="3">
        <f>IF(AND(K1119=1,'ORDENES'!$N1115="Pendiente"),1,0)</f>
        <v/>
      </c>
      <c r="R1119" s="3">
        <f>IF(Q1119=1,100000-N1119*1000+1112*0.01,9000000000000+1112)</f>
        <v/>
      </c>
      <c r="S1119" s="3">
        <f>IF(Q1119=1,SUMPRODUCT(--($R$8:$R$1207&lt;R1119))+1,"")</f>
        <v/>
      </c>
      <c r="T1119" s="11">
        <f>IF(K1119=1,'ORDENES'!$J1115,"")</f>
        <v/>
      </c>
    </row>
    <row r="1120">
      <c r="K1120" s="3">
        <f>IF(AND(IF($B$3="(todos)",TRUE,'ORDENES'!$O1116=$B$3),IF($D$3="(todos)",TRUE,'ORDENES'!$AC1116=$D$3),IF($F$3="(todos)",TRUE,'ORDENES'!$V1116=$F$3),'ORDENES'!$AA1116=TRUE,'ORDENES'!$A1116&lt;&gt;""),1,0)</f>
        <v/>
      </c>
      <c r="L1120" s="3">
        <f>IF(K1120=1,IFERROR(MATCH('ORDENES'!$R1116,lista_dias,0),9)*1000000000+IFERROR(MATCH('ORDENES'!$AC1116,lista_turnos,0),9)*10000000+IFERROR(MATCH('ORDENES'!$AB1116,'TECNICOS'!$B$4:$B$15,0),99)*100000+1113,9000000000000+1113)</f>
        <v/>
      </c>
      <c r="M1120" s="3">
        <f>IF(K1120=1,SUMPRODUCT(--($L$8:$L$1207&lt;L1120))+1,"")</f>
        <v/>
      </c>
      <c r="N1120" s="17">
        <f>IF(K1120=1,N('ORDENES'!$M1116),0)</f>
        <v/>
      </c>
      <c r="O1120" s="17">
        <f>IF('ORDENES'!$S1116="preventiva",N1120,0)</f>
        <v/>
      </c>
      <c r="P1120" s="17">
        <f>IF('ORDENES'!$S1116="correctiva",N1120,0)</f>
        <v/>
      </c>
      <c r="Q1120" s="3">
        <f>IF(AND(K1120=1,'ORDENES'!$N1116="Pendiente"),1,0)</f>
        <v/>
      </c>
      <c r="R1120" s="3">
        <f>IF(Q1120=1,100000-N1120*1000+1113*0.01,9000000000000+1113)</f>
        <v/>
      </c>
      <c r="S1120" s="3">
        <f>IF(Q1120=1,SUMPRODUCT(--($R$8:$R$1207&lt;R1120))+1,"")</f>
        <v/>
      </c>
      <c r="T1120" s="11">
        <f>IF(K1120=1,'ORDENES'!$J1116,"")</f>
        <v/>
      </c>
    </row>
    <row r="1121">
      <c r="K1121" s="3">
        <f>IF(AND(IF($B$3="(todos)",TRUE,'ORDENES'!$O1117=$B$3),IF($D$3="(todos)",TRUE,'ORDENES'!$AC1117=$D$3),IF($F$3="(todos)",TRUE,'ORDENES'!$V1117=$F$3),'ORDENES'!$AA1117=TRUE,'ORDENES'!$A1117&lt;&gt;""),1,0)</f>
        <v/>
      </c>
      <c r="L1121" s="3">
        <f>IF(K1121=1,IFERROR(MATCH('ORDENES'!$R1117,lista_dias,0),9)*1000000000+IFERROR(MATCH('ORDENES'!$AC1117,lista_turnos,0),9)*10000000+IFERROR(MATCH('ORDENES'!$AB1117,'TECNICOS'!$B$4:$B$15,0),99)*100000+1114,9000000000000+1114)</f>
        <v/>
      </c>
      <c r="M1121" s="3">
        <f>IF(K1121=1,SUMPRODUCT(--($L$8:$L$1207&lt;L1121))+1,"")</f>
        <v/>
      </c>
      <c r="N1121" s="17">
        <f>IF(K1121=1,N('ORDENES'!$M1117),0)</f>
        <v/>
      </c>
      <c r="O1121" s="17">
        <f>IF('ORDENES'!$S1117="preventiva",N1121,0)</f>
        <v/>
      </c>
      <c r="P1121" s="17">
        <f>IF('ORDENES'!$S1117="correctiva",N1121,0)</f>
        <v/>
      </c>
      <c r="Q1121" s="3">
        <f>IF(AND(K1121=1,'ORDENES'!$N1117="Pendiente"),1,0)</f>
        <v/>
      </c>
      <c r="R1121" s="3">
        <f>IF(Q1121=1,100000-N1121*1000+1114*0.01,9000000000000+1114)</f>
        <v/>
      </c>
      <c r="S1121" s="3">
        <f>IF(Q1121=1,SUMPRODUCT(--($R$8:$R$1207&lt;R1121))+1,"")</f>
        <v/>
      </c>
      <c r="T1121" s="11">
        <f>IF(K1121=1,'ORDENES'!$J1117,"")</f>
        <v/>
      </c>
    </row>
    <row r="1122">
      <c r="K1122" s="3">
        <f>IF(AND(IF($B$3="(todos)",TRUE,'ORDENES'!$O1118=$B$3),IF($D$3="(todos)",TRUE,'ORDENES'!$AC1118=$D$3),IF($F$3="(todos)",TRUE,'ORDENES'!$V1118=$F$3),'ORDENES'!$AA1118=TRUE,'ORDENES'!$A1118&lt;&gt;""),1,0)</f>
        <v/>
      </c>
      <c r="L1122" s="3">
        <f>IF(K1122=1,IFERROR(MATCH('ORDENES'!$R1118,lista_dias,0),9)*1000000000+IFERROR(MATCH('ORDENES'!$AC1118,lista_turnos,0),9)*10000000+IFERROR(MATCH('ORDENES'!$AB1118,'TECNICOS'!$B$4:$B$15,0),99)*100000+1115,9000000000000+1115)</f>
        <v/>
      </c>
      <c r="M1122" s="3">
        <f>IF(K1122=1,SUMPRODUCT(--($L$8:$L$1207&lt;L1122))+1,"")</f>
        <v/>
      </c>
      <c r="N1122" s="17">
        <f>IF(K1122=1,N('ORDENES'!$M1118),0)</f>
        <v/>
      </c>
      <c r="O1122" s="17">
        <f>IF('ORDENES'!$S1118="preventiva",N1122,0)</f>
        <v/>
      </c>
      <c r="P1122" s="17">
        <f>IF('ORDENES'!$S1118="correctiva",N1122,0)</f>
        <v/>
      </c>
      <c r="Q1122" s="3">
        <f>IF(AND(K1122=1,'ORDENES'!$N1118="Pendiente"),1,0)</f>
        <v/>
      </c>
      <c r="R1122" s="3">
        <f>IF(Q1122=1,100000-N1122*1000+1115*0.01,9000000000000+1115)</f>
        <v/>
      </c>
      <c r="S1122" s="3">
        <f>IF(Q1122=1,SUMPRODUCT(--($R$8:$R$1207&lt;R1122))+1,"")</f>
        <v/>
      </c>
      <c r="T1122" s="11">
        <f>IF(K1122=1,'ORDENES'!$J1118,"")</f>
        <v/>
      </c>
    </row>
    <row r="1123">
      <c r="K1123" s="3">
        <f>IF(AND(IF($B$3="(todos)",TRUE,'ORDENES'!$O1119=$B$3),IF($D$3="(todos)",TRUE,'ORDENES'!$AC1119=$D$3),IF($F$3="(todos)",TRUE,'ORDENES'!$V1119=$F$3),'ORDENES'!$AA1119=TRUE,'ORDENES'!$A1119&lt;&gt;""),1,0)</f>
        <v/>
      </c>
      <c r="L1123" s="3">
        <f>IF(K1123=1,IFERROR(MATCH('ORDENES'!$R1119,lista_dias,0),9)*1000000000+IFERROR(MATCH('ORDENES'!$AC1119,lista_turnos,0),9)*10000000+IFERROR(MATCH('ORDENES'!$AB1119,'TECNICOS'!$B$4:$B$15,0),99)*100000+1116,9000000000000+1116)</f>
        <v/>
      </c>
      <c r="M1123" s="3">
        <f>IF(K1123=1,SUMPRODUCT(--($L$8:$L$1207&lt;L1123))+1,"")</f>
        <v/>
      </c>
      <c r="N1123" s="17">
        <f>IF(K1123=1,N('ORDENES'!$M1119),0)</f>
        <v/>
      </c>
      <c r="O1123" s="17">
        <f>IF('ORDENES'!$S1119="preventiva",N1123,0)</f>
        <v/>
      </c>
      <c r="P1123" s="17">
        <f>IF('ORDENES'!$S1119="correctiva",N1123,0)</f>
        <v/>
      </c>
      <c r="Q1123" s="3">
        <f>IF(AND(K1123=1,'ORDENES'!$N1119="Pendiente"),1,0)</f>
        <v/>
      </c>
      <c r="R1123" s="3">
        <f>IF(Q1123=1,100000-N1123*1000+1116*0.01,9000000000000+1116)</f>
        <v/>
      </c>
      <c r="S1123" s="3">
        <f>IF(Q1123=1,SUMPRODUCT(--($R$8:$R$1207&lt;R1123))+1,"")</f>
        <v/>
      </c>
      <c r="T1123" s="11">
        <f>IF(K1123=1,'ORDENES'!$J1119,"")</f>
        <v/>
      </c>
    </row>
    <row r="1124">
      <c r="K1124" s="3">
        <f>IF(AND(IF($B$3="(todos)",TRUE,'ORDENES'!$O1120=$B$3),IF($D$3="(todos)",TRUE,'ORDENES'!$AC1120=$D$3),IF($F$3="(todos)",TRUE,'ORDENES'!$V1120=$F$3),'ORDENES'!$AA1120=TRUE,'ORDENES'!$A1120&lt;&gt;""),1,0)</f>
        <v/>
      </c>
      <c r="L1124" s="3">
        <f>IF(K1124=1,IFERROR(MATCH('ORDENES'!$R1120,lista_dias,0),9)*1000000000+IFERROR(MATCH('ORDENES'!$AC1120,lista_turnos,0),9)*10000000+IFERROR(MATCH('ORDENES'!$AB1120,'TECNICOS'!$B$4:$B$15,0),99)*100000+1117,9000000000000+1117)</f>
        <v/>
      </c>
      <c r="M1124" s="3">
        <f>IF(K1124=1,SUMPRODUCT(--($L$8:$L$1207&lt;L1124))+1,"")</f>
        <v/>
      </c>
      <c r="N1124" s="17">
        <f>IF(K1124=1,N('ORDENES'!$M1120),0)</f>
        <v/>
      </c>
      <c r="O1124" s="17">
        <f>IF('ORDENES'!$S1120="preventiva",N1124,0)</f>
        <v/>
      </c>
      <c r="P1124" s="17">
        <f>IF('ORDENES'!$S1120="correctiva",N1124,0)</f>
        <v/>
      </c>
      <c r="Q1124" s="3">
        <f>IF(AND(K1124=1,'ORDENES'!$N1120="Pendiente"),1,0)</f>
        <v/>
      </c>
      <c r="R1124" s="3">
        <f>IF(Q1124=1,100000-N1124*1000+1117*0.01,9000000000000+1117)</f>
        <v/>
      </c>
      <c r="S1124" s="3">
        <f>IF(Q1124=1,SUMPRODUCT(--($R$8:$R$1207&lt;R1124))+1,"")</f>
        <v/>
      </c>
      <c r="T1124" s="11">
        <f>IF(K1124=1,'ORDENES'!$J1120,"")</f>
        <v/>
      </c>
    </row>
    <row r="1125">
      <c r="K1125" s="3">
        <f>IF(AND(IF($B$3="(todos)",TRUE,'ORDENES'!$O1121=$B$3),IF($D$3="(todos)",TRUE,'ORDENES'!$AC1121=$D$3),IF($F$3="(todos)",TRUE,'ORDENES'!$V1121=$F$3),'ORDENES'!$AA1121=TRUE,'ORDENES'!$A1121&lt;&gt;""),1,0)</f>
        <v/>
      </c>
      <c r="L1125" s="3">
        <f>IF(K1125=1,IFERROR(MATCH('ORDENES'!$R1121,lista_dias,0),9)*1000000000+IFERROR(MATCH('ORDENES'!$AC1121,lista_turnos,0),9)*10000000+IFERROR(MATCH('ORDENES'!$AB1121,'TECNICOS'!$B$4:$B$15,0),99)*100000+1118,9000000000000+1118)</f>
        <v/>
      </c>
      <c r="M1125" s="3">
        <f>IF(K1125=1,SUMPRODUCT(--($L$8:$L$1207&lt;L1125))+1,"")</f>
        <v/>
      </c>
      <c r="N1125" s="17">
        <f>IF(K1125=1,N('ORDENES'!$M1121),0)</f>
        <v/>
      </c>
      <c r="O1125" s="17">
        <f>IF('ORDENES'!$S1121="preventiva",N1125,0)</f>
        <v/>
      </c>
      <c r="P1125" s="17">
        <f>IF('ORDENES'!$S1121="correctiva",N1125,0)</f>
        <v/>
      </c>
      <c r="Q1125" s="3">
        <f>IF(AND(K1125=1,'ORDENES'!$N1121="Pendiente"),1,0)</f>
        <v/>
      </c>
      <c r="R1125" s="3">
        <f>IF(Q1125=1,100000-N1125*1000+1118*0.01,9000000000000+1118)</f>
        <v/>
      </c>
      <c r="S1125" s="3">
        <f>IF(Q1125=1,SUMPRODUCT(--($R$8:$R$1207&lt;R1125))+1,"")</f>
        <v/>
      </c>
      <c r="T1125" s="11">
        <f>IF(K1125=1,'ORDENES'!$J1121,"")</f>
        <v/>
      </c>
    </row>
    <row r="1126">
      <c r="K1126" s="3">
        <f>IF(AND(IF($B$3="(todos)",TRUE,'ORDENES'!$O1122=$B$3),IF($D$3="(todos)",TRUE,'ORDENES'!$AC1122=$D$3),IF($F$3="(todos)",TRUE,'ORDENES'!$V1122=$F$3),'ORDENES'!$AA1122=TRUE,'ORDENES'!$A1122&lt;&gt;""),1,0)</f>
        <v/>
      </c>
      <c r="L1126" s="3">
        <f>IF(K1126=1,IFERROR(MATCH('ORDENES'!$R1122,lista_dias,0),9)*1000000000+IFERROR(MATCH('ORDENES'!$AC1122,lista_turnos,0),9)*10000000+IFERROR(MATCH('ORDENES'!$AB1122,'TECNICOS'!$B$4:$B$15,0),99)*100000+1119,9000000000000+1119)</f>
        <v/>
      </c>
      <c r="M1126" s="3">
        <f>IF(K1126=1,SUMPRODUCT(--($L$8:$L$1207&lt;L1126))+1,"")</f>
        <v/>
      </c>
      <c r="N1126" s="17">
        <f>IF(K1126=1,N('ORDENES'!$M1122),0)</f>
        <v/>
      </c>
      <c r="O1126" s="17">
        <f>IF('ORDENES'!$S1122="preventiva",N1126,0)</f>
        <v/>
      </c>
      <c r="P1126" s="17">
        <f>IF('ORDENES'!$S1122="correctiva",N1126,0)</f>
        <v/>
      </c>
      <c r="Q1126" s="3">
        <f>IF(AND(K1126=1,'ORDENES'!$N1122="Pendiente"),1,0)</f>
        <v/>
      </c>
      <c r="R1126" s="3">
        <f>IF(Q1126=1,100000-N1126*1000+1119*0.01,9000000000000+1119)</f>
        <v/>
      </c>
      <c r="S1126" s="3">
        <f>IF(Q1126=1,SUMPRODUCT(--($R$8:$R$1207&lt;R1126))+1,"")</f>
        <v/>
      </c>
      <c r="T1126" s="11">
        <f>IF(K1126=1,'ORDENES'!$J1122,"")</f>
        <v/>
      </c>
    </row>
    <row r="1127">
      <c r="K1127" s="3">
        <f>IF(AND(IF($B$3="(todos)",TRUE,'ORDENES'!$O1123=$B$3),IF($D$3="(todos)",TRUE,'ORDENES'!$AC1123=$D$3),IF($F$3="(todos)",TRUE,'ORDENES'!$V1123=$F$3),'ORDENES'!$AA1123=TRUE,'ORDENES'!$A1123&lt;&gt;""),1,0)</f>
        <v/>
      </c>
      <c r="L1127" s="3">
        <f>IF(K1127=1,IFERROR(MATCH('ORDENES'!$R1123,lista_dias,0),9)*1000000000+IFERROR(MATCH('ORDENES'!$AC1123,lista_turnos,0),9)*10000000+IFERROR(MATCH('ORDENES'!$AB1123,'TECNICOS'!$B$4:$B$15,0),99)*100000+1120,9000000000000+1120)</f>
        <v/>
      </c>
      <c r="M1127" s="3">
        <f>IF(K1127=1,SUMPRODUCT(--($L$8:$L$1207&lt;L1127))+1,"")</f>
        <v/>
      </c>
      <c r="N1127" s="17">
        <f>IF(K1127=1,N('ORDENES'!$M1123),0)</f>
        <v/>
      </c>
      <c r="O1127" s="17">
        <f>IF('ORDENES'!$S1123="preventiva",N1127,0)</f>
        <v/>
      </c>
      <c r="P1127" s="17">
        <f>IF('ORDENES'!$S1123="correctiva",N1127,0)</f>
        <v/>
      </c>
      <c r="Q1127" s="3">
        <f>IF(AND(K1127=1,'ORDENES'!$N1123="Pendiente"),1,0)</f>
        <v/>
      </c>
      <c r="R1127" s="3">
        <f>IF(Q1127=1,100000-N1127*1000+1120*0.01,9000000000000+1120)</f>
        <v/>
      </c>
      <c r="S1127" s="3">
        <f>IF(Q1127=1,SUMPRODUCT(--($R$8:$R$1207&lt;R1127))+1,"")</f>
        <v/>
      </c>
      <c r="T1127" s="11">
        <f>IF(K1127=1,'ORDENES'!$J1123,"")</f>
        <v/>
      </c>
    </row>
    <row r="1128">
      <c r="K1128" s="3">
        <f>IF(AND(IF($B$3="(todos)",TRUE,'ORDENES'!$O1124=$B$3),IF($D$3="(todos)",TRUE,'ORDENES'!$AC1124=$D$3),IF($F$3="(todos)",TRUE,'ORDENES'!$V1124=$F$3),'ORDENES'!$AA1124=TRUE,'ORDENES'!$A1124&lt;&gt;""),1,0)</f>
        <v/>
      </c>
      <c r="L1128" s="3">
        <f>IF(K1128=1,IFERROR(MATCH('ORDENES'!$R1124,lista_dias,0),9)*1000000000+IFERROR(MATCH('ORDENES'!$AC1124,lista_turnos,0),9)*10000000+IFERROR(MATCH('ORDENES'!$AB1124,'TECNICOS'!$B$4:$B$15,0),99)*100000+1121,9000000000000+1121)</f>
        <v/>
      </c>
      <c r="M1128" s="3">
        <f>IF(K1128=1,SUMPRODUCT(--($L$8:$L$1207&lt;L1128))+1,"")</f>
        <v/>
      </c>
      <c r="N1128" s="17">
        <f>IF(K1128=1,N('ORDENES'!$M1124),0)</f>
        <v/>
      </c>
      <c r="O1128" s="17">
        <f>IF('ORDENES'!$S1124="preventiva",N1128,0)</f>
        <v/>
      </c>
      <c r="P1128" s="17">
        <f>IF('ORDENES'!$S1124="correctiva",N1128,0)</f>
        <v/>
      </c>
      <c r="Q1128" s="3">
        <f>IF(AND(K1128=1,'ORDENES'!$N1124="Pendiente"),1,0)</f>
        <v/>
      </c>
      <c r="R1128" s="3">
        <f>IF(Q1128=1,100000-N1128*1000+1121*0.01,9000000000000+1121)</f>
        <v/>
      </c>
      <c r="S1128" s="3">
        <f>IF(Q1128=1,SUMPRODUCT(--($R$8:$R$1207&lt;R1128))+1,"")</f>
        <v/>
      </c>
      <c r="T1128" s="11">
        <f>IF(K1128=1,'ORDENES'!$J1124,"")</f>
        <v/>
      </c>
    </row>
    <row r="1129">
      <c r="K1129" s="3">
        <f>IF(AND(IF($B$3="(todos)",TRUE,'ORDENES'!$O1125=$B$3),IF($D$3="(todos)",TRUE,'ORDENES'!$AC1125=$D$3),IF($F$3="(todos)",TRUE,'ORDENES'!$V1125=$F$3),'ORDENES'!$AA1125=TRUE,'ORDENES'!$A1125&lt;&gt;""),1,0)</f>
        <v/>
      </c>
      <c r="L1129" s="3">
        <f>IF(K1129=1,IFERROR(MATCH('ORDENES'!$R1125,lista_dias,0),9)*1000000000+IFERROR(MATCH('ORDENES'!$AC1125,lista_turnos,0),9)*10000000+IFERROR(MATCH('ORDENES'!$AB1125,'TECNICOS'!$B$4:$B$15,0),99)*100000+1122,9000000000000+1122)</f>
        <v/>
      </c>
      <c r="M1129" s="3">
        <f>IF(K1129=1,SUMPRODUCT(--($L$8:$L$1207&lt;L1129))+1,"")</f>
        <v/>
      </c>
      <c r="N1129" s="17">
        <f>IF(K1129=1,N('ORDENES'!$M1125),0)</f>
        <v/>
      </c>
      <c r="O1129" s="17">
        <f>IF('ORDENES'!$S1125="preventiva",N1129,0)</f>
        <v/>
      </c>
      <c r="P1129" s="17">
        <f>IF('ORDENES'!$S1125="correctiva",N1129,0)</f>
        <v/>
      </c>
      <c r="Q1129" s="3">
        <f>IF(AND(K1129=1,'ORDENES'!$N1125="Pendiente"),1,0)</f>
        <v/>
      </c>
      <c r="R1129" s="3">
        <f>IF(Q1129=1,100000-N1129*1000+1122*0.01,9000000000000+1122)</f>
        <v/>
      </c>
      <c r="S1129" s="3">
        <f>IF(Q1129=1,SUMPRODUCT(--($R$8:$R$1207&lt;R1129))+1,"")</f>
        <v/>
      </c>
      <c r="T1129" s="11">
        <f>IF(K1129=1,'ORDENES'!$J1125,"")</f>
        <v/>
      </c>
    </row>
    <row r="1130">
      <c r="K1130" s="3">
        <f>IF(AND(IF($B$3="(todos)",TRUE,'ORDENES'!$O1126=$B$3),IF($D$3="(todos)",TRUE,'ORDENES'!$AC1126=$D$3),IF($F$3="(todos)",TRUE,'ORDENES'!$V1126=$F$3),'ORDENES'!$AA1126=TRUE,'ORDENES'!$A1126&lt;&gt;""),1,0)</f>
        <v/>
      </c>
      <c r="L1130" s="3">
        <f>IF(K1130=1,IFERROR(MATCH('ORDENES'!$R1126,lista_dias,0),9)*1000000000+IFERROR(MATCH('ORDENES'!$AC1126,lista_turnos,0),9)*10000000+IFERROR(MATCH('ORDENES'!$AB1126,'TECNICOS'!$B$4:$B$15,0),99)*100000+1123,9000000000000+1123)</f>
        <v/>
      </c>
      <c r="M1130" s="3">
        <f>IF(K1130=1,SUMPRODUCT(--($L$8:$L$1207&lt;L1130))+1,"")</f>
        <v/>
      </c>
      <c r="N1130" s="17">
        <f>IF(K1130=1,N('ORDENES'!$M1126),0)</f>
        <v/>
      </c>
      <c r="O1130" s="17">
        <f>IF('ORDENES'!$S1126="preventiva",N1130,0)</f>
        <v/>
      </c>
      <c r="P1130" s="17">
        <f>IF('ORDENES'!$S1126="correctiva",N1130,0)</f>
        <v/>
      </c>
      <c r="Q1130" s="3">
        <f>IF(AND(K1130=1,'ORDENES'!$N1126="Pendiente"),1,0)</f>
        <v/>
      </c>
      <c r="R1130" s="3">
        <f>IF(Q1130=1,100000-N1130*1000+1123*0.01,9000000000000+1123)</f>
        <v/>
      </c>
      <c r="S1130" s="3">
        <f>IF(Q1130=1,SUMPRODUCT(--($R$8:$R$1207&lt;R1130))+1,"")</f>
        <v/>
      </c>
      <c r="T1130" s="11">
        <f>IF(K1130=1,'ORDENES'!$J1126,"")</f>
        <v/>
      </c>
    </row>
    <row r="1131">
      <c r="K1131" s="3">
        <f>IF(AND(IF($B$3="(todos)",TRUE,'ORDENES'!$O1127=$B$3),IF($D$3="(todos)",TRUE,'ORDENES'!$AC1127=$D$3),IF($F$3="(todos)",TRUE,'ORDENES'!$V1127=$F$3),'ORDENES'!$AA1127=TRUE,'ORDENES'!$A1127&lt;&gt;""),1,0)</f>
        <v/>
      </c>
      <c r="L1131" s="3">
        <f>IF(K1131=1,IFERROR(MATCH('ORDENES'!$R1127,lista_dias,0),9)*1000000000+IFERROR(MATCH('ORDENES'!$AC1127,lista_turnos,0),9)*10000000+IFERROR(MATCH('ORDENES'!$AB1127,'TECNICOS'!$B$4:$B$15,0),99)*100000+1124,9000000000000+1124)</f>
        <v/>
      </c>
      <c r="M1131" s="3">
        <f>IF(K1131=1,SUMPRODUCT(--($L$8:$L$1207&lt;L1131))+1,"")</f>
        <v/>
      </c>
      <c r="N1131" s="17">
        <f>IF(K1131=1,N('ORDENES'!$M1127),0)</f>
        <v/>
      </c>
      <c r="O1131" s="17">
        <f>IF('ORDENES'!$S1127="preventiva",N1131,0)</f>
        <v/>
      </c>
      <c r="P1131" s="17">
        <f>IF('ORDENES'!$S1127="correctiva",N1131,0)</f>
        <v/>
      </c>
      <c r="Q1131" s="3">
        <f>IF(AND(K1131=1,'ORDENES'!$N1127="Pendiente"),1,0)</f>
        <v/>
      </c>
      <c r="R1131" s="3">
        <f>IF(Q1131=1,100000-N1131*1000+1124*0.01,9000000000000+1124)</f>
        <v/>
      </c>
      <c r="S1131" s="3">
        <f>IF(Q1131=1,SUMPRODUCT(--($R$8:$R$1207&lt;R1131))+1,"")</f>
        <v/>
      </c>
      <c r="T1131" s="11">
        <f>IF(K1131=1,'ORDENES'!$J1127,"")</f>
        <v/>
      </c>
    </row>
    <row r="1132">
      <c r="K1132" s="3">
        <f>IF(AND(IF($B$3="(todos)",TRUE,'ORDENES'!$O1128=$B$3),IF($D$3="(todos)",TRUE,'ORDENES'!$AC1128=$D$3),IF($F$3="(todos)",TRUE,'ORDENES'!$V1128=$F$3),'ORDENES'!$AA1128=TRUE,'ORDENES'!$A1128&lt;&gt;""),1,0)</f>
        <v/>
      </c>
      <c r="L1132" s="3">
        <f>IF(K1132=1,IFERROR(MATCH('ORDENES'!$R1128,lista_dias,0),9)*1000000000+IFERROR(MATCH('ORDENES'!$AC1128,lista_turnos,0),9)*10000000+IFERROR(MATCH('ORDENES'!$AB1128,'TECNICOS'!$B$4:$B$15,0),99)*100000+1125,9000000000000+1125)</f>
        <v/>
      </c>
      <c r="M1132" s="3">
        <f>IF(K1132=1,SUMPRODUCT(--($L$8:$L$1207&lt;L1132))+1,"")</f>
        <v/>
      </c>
      <c r="N1132" s="17">
        <f>IF(K1132=1,N('ORDENES'!$M1128),0)</f>
        <v/>
      </c>
      <c r="O1132" s="17">
        <f>IF('ORDENES'!$S1128="preventiva",N1132,0)</f>
        <v/>
      </c>
      <c r="P1132" s="17">
        <f>IF('ORDENES'!$S1128="correctiva",N1132,0)</f>
        <v/>
      </c>
      <c r="Q1132" s="3">
        <f>IF(AND(K1132=1,'ORDENES'!$N1128="Pendiente"),1,0)</f>
        <v/>
      </c>
      <c r="R1132" s="3">
        <f>IF(Q1132=1,100000-N1132*1000+1125*0.01,9000000000000+1125)</f>
        <v/>
      </c>
      <c r="S1132" s="3">
        <f>IF(Q1132=1,SUMPRODUCT(--($R$8:$R$1207&lt;R1132))+1,"")</f>
        <v/>
      </c>
      <c r="T1132" s="11">
        <f>IF(K1132=1,'ORDENES'!$J1128,"")</f>
        <v/>
      </c>
    </row>
    <row r="1133">
      <c r="K1133" s="3">
        <f>IF(AND(IF($B$3="(todos)",TRUE,'ORDENES'!$O1129=$B$3),IF($D$3="(todos)",TRUE,'ORDENES'!$AC1129=$D$3),IF($F$3="(todos)",TRUE,'ORDENES'!$V1129=$F$3),'ORDENES'!$AA1129=TRUE,'ORDENES'!$A1129&lt;&gt;""),1,0)</f>
        <v/>
      </c>
      <c r="L1133" s="3">
        <f>IF(K1133=1,IFERROR(MATCH('ORDENES'!$R1129,lista_dias,0),9)*1000000000+IFERROR(MATCH('ORDENES'!$AC1129,lista_turnos,0),9)*10000000+IFERROR(MATCH('ORDENES'!$AB1129,'TECNICOS'!$B$4:$B$15,0),99)*100000+1126,9000000000000+1126)</f>
        <v/>
      </c>
      <c r="M1133" s="3">
        <f>IF(K1133=1,SUMPRODUCT(--($L$8:$L$1207&lt;L1133))+1,"")</f>
        <v/>
      </c>
      <c r="N1133" s="17">
        <f>IF(K1133=1,N('ORDENES'!$M1129),0)</f>
        <v/>
      </c>
      <c r="O1133" s="17">
        <f>IF('ORDENES'!$S1129="preventiva",N1133,0)</f>
        <v/>
      </c>
      <c r="P1133" s="17">
        <f>IF('ORDENES'!$S1129="correctiva",N1133,0)</f>
        <v/>
      </c>
      <c r="Q1133" s="3">
        <f>IF(AND(K1133=1,'ORDENES'!$N1129="Pendiente"),1,0)</f>
        <v/>
      </c>
      <c r="R1133" s="3">
        <f>IF(Q1133=1,100000-N1133*1000+1126*0.01,9000000000000+1126)</f>
        <v/>
      </c>
      <c r="S1133" s="3">
        <f>IF(Q1133=1,SUMPRODUCT(--($R$8:$R$1207&lt;R1133))+1,"")</f>
        <v/>
      </c>
      <c r="T1133" s="11">
        <f>IF(K1133=1,'ORDENES'!$J1129,"")</f>
        <v/>
      </c>
    </row>
    <row r="1134">
      <c r="K1134" s="3">
        <f>IF(AND(IF($B$3="(todos)",TRUE,'ORDENES'!$O1130=$B$3),IF($D$3="(todos)",TRUE,'ORDENES'!$AC1130=$D$3),IF($F$3="(todos)",TRUE,'ORDENES'!$V1130=$F$3),'ORDENES'!$AA1130=TRUE,'ORDENES'!$A1130&lt;&gt;""),1,0)</f>
        <v/>
      </c>
      <c r="L1134" s="3">
        <f>IF(K1134=1,IFERROR(MATCH('ORDENES'!$R1130,lista_dias,0),9)*1000000000+IFERROR(MATCH('ORDENES'!$AC1130,lista_turnos,0),9)*10000000+IFERROR(MATCH('ORDENES'!$AB1130,'TECNICOS'!$B$4:$B$15,0),99)*100000+1127,9000000000000+1127)</f>
        <v/>
      </c>
      <c r="M1134" s="3">
        <f>IF(K1134=1,SUMPRODUCT(--($L$8:$L$1207&lt;L1134))+1,"")</f>
        <v/>
      </c>
      <c r="N1134" s="17">
        <f>IF(K1134=1,N('ORDENES'!$M1130),0)</f>
        <v/>
      </c>
      <c r="O1134" s="17">
        <f>IF('ORDENES'!$S1130="preventiva",N1134,0)</f>
        <v/>
      </c>
      <c r="P1134" s="17">
        <f>IF('ORDENES'!$S1130="correctiva",N1134,0)</f>
        <v/>
      </c>
      <c r="Q1134" s="3">
        <f>IF(AND(K1134=1,'ORDENES'!$N1130="Pendiente"),1,0)</f>
        <v/>
      </c>
      <c r="R1134" s="3">
        <f>IF(Q1134=1,100000-N1134*1000+1127*0.01,9000000000000+1127)</f>
        <v/>
      </c>
      <c r="S1134" s="3">
        <f>IF(Q1134=1,SUMPRODUCT(--($R$8:$R$1207&lt;R1134))+1,"")</f>
        <v/>
      </c>
      <c r="T1134" s="11">
        <f>IF(K1134=1,'ORDENES'!$J1130,"")</f>
        <v/>
      </c>
    </row>
    <row r="1135">
      <c r="K1135" s="3">
        <f>IF(AND(IF($B$3="(todos)",TRUE,'ORDENES'!$O1131=$B$3),IF($D$3="(todos)",TRUE,'ORDENES'!$AC1131=$D$3),IF($F$3="(todos)",TRUE,'ORDENES'!$V1131=$F$3),'ORDENES'!$AA1131=TRUE,'ORDENES'!$A1131&lt;&gt;""),1,0)</f>
        <v/>
      </c>
      <c r="L1135" s="3">
        <f>IF(K1135=1,IFERROR(MATCH('ORDENES'!$R1131,lista_dias,0),9)*1000000000+IFERROR(MATCH('ORDENES'!$AC1131,lista_turnos,0),9)*10000000+IFERROR(MATCH('ORDENES'!$AB1131,'TECNICOS'!$B$4:$B$15,0),99)*100000+1128,9000000000000+1128)</f>
        <v/>
      </c>
      <c r="M1135" s="3">
        <f>IF(K1135=1,SUMPRODUCT(--($L$8:$L$1207&lt;L1135))+1,"")</f>
        <v/>
      </c>
      <c r="N1135" s="17">
        <f>IF(K1135=1,N('ORDENES'!$M1131),0)</f>
        <v/>
      </c>
      <c r="O1135" s="17">
        <f>IF('ORDENES'!$S1131="preventiva",N1135,0)</f>
        <v/>
      </c>
      <c r="P1135" s="17">
        <f>IF('ORDENES'!$S1131="correctiva",N1135,0)</f>
        <v/>
      </c>
      <c r="Q1135" s="3">
        <f>IF(AND(K1135=1,'ORDENES'!$N1131="Pendiente"),1,0)</f>
        <v/>
      </c>
      <c r="R1135" s="3">
        <f>IF(Q1135=1,100000-N1135*1000+1128*0.01,9000000000000+1128)</f>
        <v/>
      </c>
      <c r="S1135" s="3">
        <f>IF(Q1135=1,SUMPRODUCT(--($R$8:$R$1207&lt;R1135))+1,"")</f>
        <v/>
      </c>
      <c r="T1135" s="11">
        <f>IF(K1135=1,'ORDENES'!$J1131,"")</f>
        <v/>
      </c>
    </row>
    <row r="1136">
      <c r="K1136" s="3">
        <f>IF(AND(IF($B$3="(todos)",TRUE,'ORDENES'!$O1132=$B$3),IF($D$3="(todos)",TRUE,'ORDENES'!$AC1132=$D$3),IF($F$3="(todos)",TRUE,'ORDENES'!$V1132=$F$3),'ORDENES'!$AA1132=TRUE,'ORDENES'!$A1132&lt;&gt;""),1,0)</f>
        <v/>
      </c>
      <c r="L1136" s="3">
        <f>IF(K1136=1,IFERROR(MATCH('ORDENES'!$R1132,lista_dias,0),9)*1000000000+IFERROR(MATCH('ORDENES'!$AC1132,lista_turnos,0),9)*10000000+IFERROR(MATCH('ORDENES'!$AB1132,'TECNICOS'!$B$4:$B$15,0),99)*100000+1129,9000000000000+1129)</f>
        <v/>
      </c>
      <c r="M1136" s="3">
        <f>IF(K1136=1,SUMPRODUCT(--($L$8:$L$1207&lt;L1136))+1,"")</f>
        <v/>
      </c>
      <c r="N1136" s="17">
        <f>IF(K1136=1,N('ORDENES'!$M1132),0)</f>
        <v/>
      </c>
      <c r="O1136" s="17">
        <f>IF('ORDENES'!$S1132="preventiva",N1136,0)</f>
        <v/>
      </c>
      <c r="P1136" s="17">
        <f>IF('ORDENES'!$S1132="correctiva",N1136,0)</f>
        <v/>
      </c>
      <c r="Q1136" s="3">
        <f>IF(AND(K1136=1,'ORDENES'!$N1132="Pendiente"),1,0)</f>
        <v/>
      </c>
      <c r="R1136" s="3">
        <f>IF(Q1136=1,100000-N1136*1000+1129*0.01,9000000000000+1129)</f>
        <v/>
      </c>
      <c r="S1136" s="3">
        <f>IF(Q1136=1,SUMPRODUCT(--($R$8:$R$1207&lt;R1136))+1,"")</f>
        <v/>
      </c>
      <c r="T1136" s="11">
        <f>IF(K1136=1,'ORDENES'!$J1132,"")</f>
        <v/>
      </c>
    </row>
    <row r="1137">
      <c r="K1137" s="3">
        <f>IF(AND(IF($B$3="(todos)",TRUE,'ORDENES'!$O1133=$B$3),IF($D$3="(todos)",TRUE,'ORDENES'!$AC1133=$D$3),IF($F$3="(todos)",TRUE,'ORDENES'!$V1133=$F$3),'ORDENES'!$AA1133=TRUE,'ORDENES'!$A1133&lt;&gt;""),1,0)</f>
        <v/>
      </c>
      <c r="L1137" s="3">
        <f>IF(K1137=1,IFERROR(MATCH('ORDENES'!$R1133,lista_dias,0),9)*1000000000+IFERROR(MATCH('ORDENES'!$AC1133,lista_turnos,0),9)*10000000+IFERROR(MATCH('ORDENES'!$AB1133,'TECNICOS'!$B$4:$B$15,0),99)*100000+1130,9000000000000+1130)</f>
        <v/>
      </c>
      <c r="M1137" s="3">
        <f>IF(K1137=1,SUMPRODUCT(--($L$8:$L$1207&lt;L1137))+1,"")</f>
        <v/>
      </c>
      <c r="N1137" s="17">
        <f>IF(K1137=1,N('ORDENES'!$M1133),0)</f>
        <v/>
      </c>
      <c r="O1137" s="17">
        <f>IF('ORDENES'!$S1133="preventiva",N1137,0)</f>
        <v/>
      </c>
      <c r="P1137" s="17">
        <f>IF('ORDENES'!$S1133="correctiva",N1137,0)</f>
        <v/>
      </c>
      <c r="Q1137" s="3">
        <f>IF(AND(K1137=1,'ORDENES'!$N1133="Pendiente"),1,0)</f>
        <v/>
      </c>
      <c r="R1137" s="3">
        <f>IF(Q1137=1,100000-N1137*1000+1130*0.01,9000000000000+1130)</f>
        <v/>
      </c>
      <c r="S1137" s="3">
        <f>IF(Q1137=1,SUMPRODUCT(--($R$8:$R$1207&lt;R1137))+1,"")</f>
        <v/>
      </c>
      <c r="T1137" s="11">
        <f>IF(K1137=1,'ORDENES'!$J1133,"")</f>
        <v/>
      </c>
    </row>
    <row r="1138">
      <c r="K1138" s="3">
        <f>IF(AND(IF($B$3="(todos)",TRUE,'ORDENES'!$O1134=$B$3),IF($D$3="(todos)",TRUE,'ORDENES'!$AC1134=$D$3),IF($F$3="(todos)",TRUE,'ORDENES'!$V1134=$F$3),'ORDENES'!$AA1134=TRUE,'ORDENES'!$A1134&lt;&gt;""),1,0)</f>
        <v/>
      </c>
      <c r="L1138" s="3">
        <f>IF(K1138=1,IFERROR(MATCH('ORDENES'!$R1134,lista_dias,0),9)*1000000000+IFERROR(MATCH('ORDENES'!$AC1134,lista_turnos,0),9)*10000000+IFERROR(MATCH('ORDENES'!$AB1134,'TECNICOS'!$B$4:$B$15,0),99)*100000+1131,9000000000000+1131)</f>
        <v/>
      </c>
      <c r="M1138" s="3">
        <f>IF(K1138=1,SUMPRODUCT(--($L$8:$L$1207&lt;L1138))+1,"")</f>
        <v/>
      </c>
      <c r="N1138" s="17">
        <f>IF(K1138=1,N('ORDENES'!$M1134),0)</f>
        <v/>
      </c>
      <c r="O1138" s="17">
        <f>IF('ORDENES'!$S1134="preventiva",N1138,0)</f>
        <v/>
      </c>
      <c r="P1138" s="17">
        <f>IF('ORDENES'!$S1134="correctiva",N1138,0)</f>
        <v/>
      </c>
      <c r="Q1138" s="3">
        <f>IF(AND(K1138=1,'ORDENES'!$N1134="Pendiente"),1,0)</f>
        <v/>
      </c>
      <c r="R1138" s="3">
        <f>IF(Q1138=1,100000-N1138*1000+1131*0.01,9000000000000+1131)</f>
        <v/>
      </c>
      <c r="S1138" s="3">
        <f>IF(Q1138=1,SUMPRODUCT(--($R$8:$R$1207&lt;R1138))+1,"")</f>
        <v/>
      </c>
      <c r="T1138" s="11">
        <f>IF(K1138=1,'ORDENES'!$J1134,"")</f>
        <v/>
      </c>
    </row>
    <row r="1139">
      <c r="K1139" s="3">
        <f>IF(AND(IF($B$3="(todos)",TRUE,'ORDENES'!$O1135=$B$3),IF($D$3="(todos)",TRUE,'ORDENES'!$AC1135=$D$3),IF($F$3="(todos)",TRUE,'ORDENES'!$V1135=$F$3),'ORDENES'!$AA1135=TRUE,'ORDENES'!$A1135&lt;&gt;""),1,0)</f>
        <v/>
      </c>
      <c r="L1139" s="3">
        <f>IF(K1139=1,IFERROR(MATCH('ORDENES'!$R1135,lista_dias,0),9)*1000000000+IFERROR(MATCH('ORDENES'!$AC1135,lista_turnos,0),9)*10000000+IFERROR(MATCH('ORDENES'!$AB1135,'TECNICOS'!$B$4:$B$15,0),99)*100000+1132,9000000000000+1132)</f>
        <v/>
      </c>
      <c r="M1139" s="3">
        <f>IF(K1139=1,SUMPRODUCT(--($L$8:$L$1207&lt;L1139))+1,"")</f>
        <v/>
      </c>
      <c r="N1139" s="17">
        <f>IF(K1139=1,N('ORDENES'!$M1135),0)</f>
        <v/>
      </c>
      <c r="O1139" s="17">
        <f>IF('ORDENES'!$S1135="preventiva",N1139,0)</f>
        <v/>
      </c>
      <c r="P1139" s="17">
        <f>IF('ORDENES'!$S1135="correctiva",N1139,0)</f>
        <v/>
      </c>
      <c r="Q1139" s="3">
        <f>IF(AND(K1139=1,'ORDENES'!$N1135="Pendiente"),1,0)</f>
        <v/>
      </c>
      <c r="R1139" s="3">
        <f>IF(Q1139=1,100000-N1139*1000+1132*0.01,9000000000000+1132)</f>
        <v/>
      </c>
      <c r="S1139" s="3">
        <f>IF(Q1139=1,SUMPRODUCT(--($R$8:$R$1207&lt;R1139))+1,"")</f>
        <v/>
      </c>
      <c r="T1139" s="11">
        <f>IF(K1139=1,'ORDENES'!$J1135,"")</f>
        <v/>
      </c>
    </row>
    <row r="1140">
      <c r="K1140" s="3">
        <f>IF(AND(IF($B$3="(todos)",TRUE,'ORDENES'!$O1136=$B$3),IF($D$3="(todos)",TRUE,'ORDENES'!$AC1136=$D$3),IF($F$3="(todos)",TRUE,'ORDENES'!$V1136=$F$3),'ORDENES'!$AA1136=TRUE,'ORDENES'!$A1136&lt;&gt;""),1,0)</f>
        <v/>
      </c>
      <c r="L1140" s="3">
        <f>IF(K1140=1,IFERROR(MATCH('ORDENES'!$R1136,lista_dias,0),9)*1000000000+IFERROR(MATCH('ORDENES'!$AC1136,lista_turnos,0),9)*10000000+IFERROR(MATCH('ORDENES'!$AB1136,'TECNICOS'!$B$4:$B$15,0),99)*100000+1133,9000000000000+1133)</f>
        <v/>
      </c>
      <c r="M1140" s="3">
        <f>IF(K1140=1,SUMPRODUCT(--($L$8:$L$1207&lt;L1140))+1,"")</f>
        <v/>
      </c>
      <c r="N1140" s="17">
        <f>IF(K1140=1,N('ORDENES'!$M1136),0)</f>
        <v/>
      </c>
      <c r="O1140" s="17">
        <f>IF('ORDENES'!$S1136="preventiva",N1140,0)</f>
        <v/>
      </c>
      <c r="P1140" s="17">
        <f>IF('ORDENES'!$S1136="correctiva",N1140,0)</f>
        <v/>
      </c>
      <c r="Q1140" s="3">
        <f>IF(AND(K1140=1,'ORDENES'!$N1136="Pendiente"),1,0)</f>
        <v/>
      </c>
      <c r="R1140" s="3">
        <f>IF(Q1140=1,100000-N1140*1000+1133*0.01,9000000000000+1133)</f>
        <v/>
      </c>
      <c r="S1140" s="3">
        <f>IF(Q1140=1,SUMPRODUCT(--($R$8:$R$1207&lt;R1140))+1,"")</f>
        <v/>
      </c>
      <c r="T1140" s="11">
        <f>IF(K1140=1,'ORDENES'!$J1136,"")</f>
        <v/>
      </c>
    </row>
    <row r="1141">
      <c r="K1141" s="3">
        <f>IF(AND(IF($B$3="(todos)",TRUE,'ORDENES'!$O1137=$B$3),IF($D$3="(todos)",TRUE,'ORDENES'!$AC1137=$D$3),IF($F$3="(todos)",TRUE,'ORDENES'!$V1137=$F$3),'ORDENES'!$AA1137=TRUE,'ORDENES'!$A1137&lt;&gt;""),1,0)</f>
        <v/>
      </c>
      <c r="L1141" s="3">
        <f>IF(K1141=1,IFERROR(MATCH('ORDENES'!$R1137,lista_dias,0),9)*1000000000+IFERROR(MATCH('ORDENES'!$AC1137,lista_turnos,0),9)*10000000+IFERROR(MATCH('ORDENES'!$AB1137,'TECNICOS'!$B$4:$B$15,0),99)*100000+1134,9000000000000+1134)</f>
        <v/>
      </c>
      <c r="M1141" s="3">
        <f>IF(K1141=1,SUMPRODUCT(--($L$8:$L$1207&lt;L1141))+1,"")</f>
        <v/>
      </c>
      <c r="N1141" s="17">
        <f>IF(K1141=1,N('ORDENES'!$M1137),0)</f>
        <v/>
      </c>
      <c r="O1141" s="17">
        <f>IF('ORDENES'!$S1137="preventiva",N1141,0)</f>
        <v/>
      </c>
      <c r="P1141" s="17">
        <f>IF('ORDENES'!$S1137="correctiva",N1141,0)</f>
        <v/>
      </c>
      <c r="Q1141" s="3">
        <f>IF(AND(K1141=1,'ORDENES'!$N1137="Pendiente"),1,0)</f>
        <v/>
      </c>
      <c r="R1141" s="3">
        <f>IF(Q1141=1,100000-N1141*1000+1134*0.01,9000000000000+1134)</f>
        <v/>
      </c>
      <c r="S1141" s="3">
        <f>IF(Q1141=1,SUMPRODUCT(--($R$8:$R$1207&lt;R1141))+1,"")</f>
        <v/>
      </c>
      <c r="T1141" s="11">
        <f>IF(K1141=1,'ORDENES'!$J1137,"")</f>
        <v/>
      </c>
    </row>
    <row r="1142">
      <c r="K1142" s="3">
        <f>IF(AND(IF($B$3="(todos)",TRUE,'ORDENES'!$O1138=$B$3),IF($D$3="(todos)",TRUE,'ORDENES'!$AC1138=$D$3),IF($F$3="(todos)",TRUE,'ORDENES'!$V1138=$F$3),'ORDENES'!$AA1138=TRUE,'ORDENES'!$A1138&lt;&gt;""),1,0)</f>
        <v/>
      </c>
      <c r="L1142" s="3">
        <f>IF(K1142=1,IFERROR(MATCH('ORDENES'!$R1138,lista_dias,0),9)*1000000000+IFERROR(MATCH('ORDENES'!$AC1138,lista_turnos,0),9)*10000000+IFERROR(MATCH('ORDENES'!$AB1138,'TECNICOS'!$B$4:$B$15,0),99)*100000+1135,9000000000000+1135)</f>
        <v/>
      </c>
      <c r="M1142" s="3">
        <f>IF(K1142=1,SUMPRODUCT(--($L$8:$L$1207&lt;L1142))+1,"")</f>
        <v/>
      </c>
      <c r="N1142" s="17">
        <f>IF(K1142=1,N('ORDENES'!$M1138),0)</f>
        <v/>
      </c>
      <c r="O1142" s="17">
        <f>IF('ORDENES'!$S1138="preventiva",N1142,0)</f>
        <v/>
      </c>
      <c r="P1142" s="17">
        <f>IF('ORDENES'!$S1138="correctiva",N1142,0)</f>
        <v/>
      </c>
      <c r="Q1142" s="3">
        <f>IF(AND(K1142=1,'ORDENES'!$N1138="Pendiente"),1,0)</f>
        <v/>
      </c>
      <c r="R1142" s="3">
        <f>IF(Q1142=1,100000-N1142*1000+1135*0.01,9000000000000+1135)</f>
        <v/>
      </c>
      <c r="S1142" s="3">
        <f>IF(Q1142=1,SUMPRODUCT(--($R$8:$R$1207&lt;R1142))+1,"")</f>
        <v/>
      </c>
      <c r="T1142" s="11">
        <f>IF(K1142=1,'ORDENES'!$J1138,"")</f>
        <v/>
      </c>
    </row>
    <row r="1143">
      <c r="K1143" s="3">
        <f>IF(AND(IF($B$3="(todos)",TRUE,'ORDENES'!$O1139=$B$3),IF($D$3="(todos)",TRUE,'ORDENES'!$AC1139=$D$3),IF($F$3="(todos)",TRUE,'ORDENES'!$V1139=$F$3),'ORDENES'!$AA1139=TRUE,'ORDENES'!$A1139&lt;&gt;""),1,0)</f>
        <v/>
      </c>
      <c r="L1143" s="3">
        <f>IF(K1143=1,IFERROR(MATCH('ORDENES'!$R1139,lista_dias,0),9)*1000000000+IFERROR(MATCH('ORDENES'!$AC1139,lista_turnos,0),9)*10000000+IFERROR(MATCH('ORDENES'!$AB1139,'TECNICOS'!$B$4:$B$15,0),99)*100000+1136,9000000000000+1136)</f>
        <v/>
      </c>
      <c r="M1143" s="3">
        <f>IF(K1143=1,SUMPRODUCT(--($L$8:$L$1207&lt;L1143))+1,"")</f>
        <v/>
      </c>
      <c r="N1143" s="17">
        <f>IF(K1143=1,N('ORDENES'!$M1139),0)</f>
        <v/>
      </c>
      <c r="O1143" s="17">
        <f>IF('ORDENES'!$S1139="preventiva",N1143,0)</f>
        <v/>
      </c>
      <c r="P1143" s="17">
        <f>IF('ORDENES'!$S1139="correctiva",N1143,0)</f>
        <v/>
      </c>
      <c r="Q1143" s="3">
        <f>IF(AND(K1143=1,'ORDENES'!$N1139="Pendiente"),1,0)</f>
        <v/>
      </c>
      <c r="R1143" s="3">
        <f>IF(Q1143=1,100000-N1143*1000+1136*0.01,9000000000000+1136)</f>
        <v/>
      </c>
      <c r="S1143" s="3">
        <f>IF(Q1143=1,SUMPRODUCT(--($R$8:$R$1207&lt;R1143))+1,"")</f>
        <v/>
      </c>
      <c r="T1143" s="11">
        <f>IF(K1143=1,'ORDENES'!$J1139,"")</f>
        <v/>
      </c>
    </row>
    <row r="1144">
      <c r="K1144" s="3">
        <f>IF(AND(IF($B$3="(todos)",TRUE,'ORDENES'!$O1140=$B$3),IF($D$3="(todos)",TRUE,'ORDENES'!$AC1140=$D$3),IF($F$3="(todos)",TRUE,'ORDENES'!$V1140=$F$3),'ORDENES'!$AA1140=TRUE,'ORDENES'!$A1140&lt;&gt;""),1,0)</f>
        <v/>
      </c>
      <c r="L1144" s="3">
        <f>IF(K1144=1,IFERROR(MATCH('ORDENES'!$R1140,lista_dias,0),9)*1000000000+IFERROR(MATCH('ORDENES'!$AC1140,lista_turnos,0),9)*10000000+IFERROR(MATCH('ORDENES'!$AB1140,'TECNICOS'!$B$4:$B$15,0),99)*100000+1137,9000000000000+1137)</f>
        <v/>
      </c>
      <c r="M1144" s="3">
        <f>IF(K1144=1,SUMPRODUCT(--($L$8:$L$1207&lt;L1144))+1,"")</f>
        <v/>
      </c>
      <c r="N1144" s="17">
        <f>IF(K1144=1,N('ORDENES'!$M1140),0)</f>
        <v/>
      </c>
      <c r="O1144" s="17">
        <f>IF('ORDENES'!$S1140="preventiva",N1144,0)</f>
        <v/>
      </c>
      <c r="P1144" s="17">
        <f>IF('ORDENES'!$S1140="correctiva",N1144,0)</f>
        <v/>
      </c>
      <c r="Q1144" s="3">
        <f>IF(AND(K1144=1,'ORDENES'!$N1140="Pendiente"),1,0)</f>
        <v/>
      </c>
      <c r="R1144" s="3">
        <f>IF(Q1144=1,100000-N1144*1000+1137*0.01,9000000000000+1137)</f>
        <v/>
      </c>
      <c r="S1144" s="3">
        <f>IF(Q1144=1,SUMPRODUCT(--($R$8:$R$1207&lt;R1144))+1,"")</f>
        <v/>
      </c>
      <c r="T1144" s="11">
        <f>IF(K1144=1,'ORDENES'!$J1140,"")</f>
        <v/>
      </c>
    </row>
    <row r="1145">
      <c r="K1145" s="3">
        <f>IF(AND(IF($B$3="(todos)",TRUE,'ORDENES'!$O1141=$B$3),IF($D$3="(todos)",TRUE,'ORDENES'!$AC1141=$D$3),IF($F$3="(todos)",TRUE,'ORDENES'!$V1141=$F$3),'ORDENES'!$AA1141=TRUE,'ORDENES'!$A1141&lt;&gt;""),1,0)</f>
        <v/>
      </c>
      <c r="L1145" s="3">
        <f>IF(K1145=1,IFERROR(MATCH('ORDENES'!$R1141,lista_dias,0),9)*1000000000+IFERROR(MATCH('ORDENES'!$AC1141,lista_turnos,0),9)*10000000+IFERROR(MATCH('ORDENES'!$AB1141,'TECNICOS'!$B$4:$B$15,0),99)*100000+1138,9000000000000+1138)</f>
        <v/>
      </c>
      <c r="M1145" s="3">
        <f>IF(K1145=1,SUMPRODUCT(--($L$8:$L$1207&lt;L1145))+1,"")</f>
        <v/>
      </c>
      <c r="N1145" s="17">
        <f>IF(K1145=1,N('ORDENES'!$M1141),0)</f>
        <v/>
      </c>
      <c r="O1145" s="17">
        <f>IF('ORDENES'!$S1141="preventiva",N1145,0)</f>
        <v/>
      </c>
      <c r="P1145" s="17">
        <f>IF('ORDENES'!$S1141="correctiva",N1145,0)</f>
        <v/>
      </c>
      <c r="Q1145" s="3">
        <f>IF(AND(K1145=1,'ORDENES'!$N1141="Pendiente"),1,0)</f>
        <v/>
      </c>
      <c r="R1145" s="3">
        <f>IF(Q1145=1,100000-N1145*1000+1138*0.01,9000000000000+1138)</f>
        <v/>
      </c>
      <c r="S1145" s="3">
        <f>IF(Q1145=1,SUMPRODUCT(--($R$8:$R$1207&lt;R1145))+1,"")</f>
        <v/>
      </c>
      <c r="T1145" s="11">
        <f>IF(K1145=1,'ORDENES'!$J1141,"")</f>
        <v/>
      </c>
    </row>
    <row r="1146">
      <c r="K1146" s="3">
        <f>IF(AND(IF($B$3="(todos)",TRUE,'ORDENES'!$O1142=$B$3),IF($D$3="(todos)",TRUE,'ORDENES'!$AC1142=$D$3),IF($F$3="(todos)",TRUE,'ORDENES'!$V1142=$F$3),'ORDENES'!$AA1142=TRUE,'ORDENES'!$A1142&lt;&gt;""),1,0)</f>
        <v/>
      </c>
      <c r="L1146" s="3">
        <f>IF(K1146=1,IFERROR(MATCH('ORDENES'!$R1142,lista_dias,0),9)*1000000000+IFERROR(MATCH('ORDENES'!$AC1142,lista_turnos,0),9)*10000000+IFERROR(MATCH('ORDENES'!$AB1142,'TECNICOS'!$B$4:$B$15,0),99)*100000+1139,9000000000000+1139)</f>
        <v/>
      </c>
      <c r="M1146" s="3">
        <f>IF(K1146=1,SUMPRODUCT(--($L$8:$L$1207&lt;L1146))+1,"")</f>
        <v/>
      </c>
      <c r="N1146" s="17">
        <f>IF(K1146=1,N('ORDENES'!$M1142),0)</f>
        <v/>
      </c>
      <c r="O1146" s="17">
        <f>IF('ORDENES'!$S1142="preventiva",N1146,0)</f>
        <v/>
      </c>
      <c r="P1146" s="17">
        <f>IF('ORDENES'!$S1142="correctiva",N1146,0)</f>
        <v/>
      </c>
      <c r="Q1146" s="3">
        <f>IF(AND(K1146=1,'ORDENES'!$N1142="Pendiente"),1,0)</f>
        <v/>
      </c>
      <c r="R1146" s="3">
        <f>IF(Q1146=1,100000-N1146*1000+1139*0.01,9000000000000+1139)</f>
        <v/>
      </c>
      <c r="S1146" s="3">
        <f>IF(Q1146=1,SUMPRODUCT(--($R$8:$R$1207&lt;R1146))+1,"")</f>
        <v/>
      </c>
      <c r="T1146" s="11">
        <f>IF(K1146=1,'ORDENES'!$J1142,"")</f>
        <v/>
      </c>
    </row>
    <row r="1147">
      <c r="K1147" s="3">
        <f>IF(AND(IF($B$3="(todos)",TRUE,'ORDENES'!$O1143=$B$3),IF($D$3="(todos)",TRUE,'ORDENES'!$AC1143=$D$3),IF($F$3="(todos)",TRUE,'ORDENES'!$V1143=$F$3),'ORDENES'!$AA1143=TRUE,'ORDENES'!$A1143&lt;&gt;""),1,0)</f>
        <v/>
      </c>
      <c r="L1147" s="3">
        <f>IF(K1147=1,IFERROR(MATCH('ORDENES'!$R1143,lista_dias,0),9)*1000000000+IFERROR(MATCH('ORDENES'!$AC1143,lista_turnos,0),9)*10000000+IFERROR(MATCH('ORDENES'!$AB1143,'TECNICOS'!$B$4:$B$15,0),99)*100000+1140,9000000000000+1140)</f>
        <v/>
      </c>
      <c r="M1147" s="3">
        <f>IF(K1147=1,SUMPRODUCT(--($L$8:$L$1207&lt;L1147))+1,"")</f>
        <v/>
      </c>
      <c r="N1147" s="17">
        <f>IF(K1147=1,N('ORDENES'!$M1143),0)</f>
        <v/>
      </c>
      <c r="O1147" s="17">
        <f>IF('ORDENES'!$S1143="preventiva",N1147,0)</f>
        <v/>
      </c>
      <c r="P1147" s="17">
        <f>IF('ORDENES'!$S1143="correctiva",N1147,0)</f>
        <v/>
      </c>
      <c r="Q1147" s="3">
        <f>IF(AND(K1147=1,'ORDENES'!$N1143="Pendiente"),1,0)</f>
        <v/>
      </c>
      <c r="R1147" s="3">
        <f>IF(Q1147=1,100000-N1147*1000+1140*0.01,9000000000000+1140)</f>
        <v/>
      </c>
      <c r="S1147" s="3">
        <f>IF(Q1147=1,SUMPRODUCT(--($R$8:$R$1207&lt;R1147))+1,"")</f>
        <v/>
      </c>
      <c r="T1147" s="11">
        <f>IF(K1147=1,'ORDENES'!$J1143,"")</f>
        <v/>
      </c>
    </row>
    <row r="1148">
      <c r="K1148" s="3">
        <f>IF(AND(IF($B$3="(todos)",TRUE,'ORDENES'!$O1144=$B$3),IF($D$3="(todos)",TRUE,'ORDENES'!$AC1144=$D$3),IF($F$3="(todos)",TRUE,'ORDENES'!$V1144=$F$3),'ORDENES'!$AA1144=TRUE,'ORDENES'!$A1144&lt;&gt;""),1,0)</f>
        <v/>
      </c>
      <c r="L1148" s="3">
        <f>IF(K1148=1,IFERROR(MATCH('ORDENES'!$R1144,lista_dias,0),9)*1000000000+IFERROR(MATCH('ORDENES'!$AC1144,lista_turnos,0),9)*10000000+IFERROR(MATCH('ORDENES'!$AB1144,'TECNICOS'!$B$4:$B$15,0),99)*100000+1141,9000000000000+1141)</f>
        <v/>
      </c>
      <c r="M1148" s="3">
        <f>IF(K1148=1,SUMPRODUCT(--($L$8:$L$1207&lt;L1148))+1,"")</f>
        <v/>
      </c>
      <c r="N1148" s="17">
        <f>IF(K1148=1,N('ORDENES'!$M1144),0)</f>
        <v/>
      </c>
      <c r="O1148" s="17">
        <f>IF('ORDENES'!$S1144="preventiva",N1148,0)</f>
        <v/>
      </c>
      <c r="P1148" s="17">
        <f>IF('ORDENES'!$S1144="correctiva",N1148,0)</f>
        <v/>
      </c>
      <c r="Q1148" s="3">
        <f>IF(AND(K1148=1,'ORDENES'!$N1144="Pendiente"),1,0)</f>
        <v/>
      </c>
      <c r="R1148" s="3">
        <f>IF(Q1148=1,100000-N1148*1000+1141*0.01,9000000000000+1141)</f>
        <v/>
      </c>
      <c r="S1148" s="3">
        <f>IF(Q1148=1,SUMPRODUCT(--($R$8:$R$1207&lt;R1148))+1,"")</f>
        <v/>
      </c>
      <c r="T1148" s="11">
        <f>IF(K1148=1,'ORDENES'!$J1144,"")</f>
        <v/>
      </c>
    </row>
    <row r="1149">
      <c r="K1149" s="3">
        <f>IF(AND(IF($B$3="(todos)",TRUE,'ORDENES'!$O1145=$B$3),IF($D$3="(todos)",TRUE,'ORDENES'!$AC1145=$D$3),IF($F$3="(todos)",TRUE,'ORDENES'!$V1145=$F$3),'ORDENES'!$AA1145=TRUE,'ORDENES'!$A1145&lt;&gt;""),1,0)</f>
        <v/>
      </c>
      <c r="L1149" s="3">
        <f>IF(K1149=1,IFERROR(MATCH('ORDENES'!$R1145,lista_dias,0),9)*1000000000+IFERROR(MATCH('ORDENES'!$AC1145,lista_turnos,0),9)*10000000+IFERROR(MATCH('ORDENES'!$AB1145,'TECNICOS'!$B$4:$B$15,0),99)*100000+1142,9000000000000+1142)</f>
        <v/>
      </c>
      <c r="M1149" s="3">
        <f>IF(K1149=1,SUMPRODUCT(--($L$8:$L$1207&lt;L1149))+1,"")</f>
        <v/>
      </c>
      <c r="N1149" s="17">
        <f>IF(K1149=1,N('ORDENES'!$M1145),0)</f>
        <v/>
      </c>
      <c r="O1149" s="17">
        <f>IF('ORDENES'!$S1145="preventiva",N1149,0)</f>
        <v/>
      </c>
      <c r="P1149" s="17">
        <f>IF('ORDENES'!$S1145="correctiva",N1149,0)</f>
        <v/>
      </c>
      <c r="Q1149" s="3">
        <f>IF(AND(K1149=1,'ORDENES'!$N1145="Pendiente"),1,0)</f>
        <v/>
      </c>
      <c r="R1149" s="3">
        <f>IF(Q1149=1,100000-N1149*1000+1142*0.01,9000000000000+1142)</f>
        <v/>
      </c>
      <c r="S1149" s="3">
        <f>IF(Q1149=1,SUMPRODUCT(--($R$8:$R$1207&lt;R1149))+1,"")</f>
        <v/>
      </c>
      <c r="T1149" s="11">
        <f>IF(K1149=1,'ORDENES'!$J1145,"")</f>
        <v/>
      </c>
    </row>
    <row r="1150">
      <c r="K1150" s="3">
        <f>IF(AND(IF($B$3="(todos)",TRUE,'ORDENES'!$O1146=$B$3),IF($D$3="(todos)",TRUE,'ORDENES'!$AC1146=$D$3),IF($F$3="(todos)",TRUE,'ORDENES'!$V1146=$F$3),'ORDENES'!$AA1146=TRUE,'ORDENES'!$A1146&lt;&gt;""),1,0)</f>
        <v/>
      </c>
      <c r="L1150" s="3">
        <f>IF(K1150=1,IFERROR(MATCH('ORDENES'!$R1146,lista_dias,0),9)*1000000000+IFERROR(MATCH('ORDENES'!$AC1146,lista_turnos,0),9)*10000000+IFERROR(MATCH('ORDENES'!$AB1146,'TECNICOS'!$B$4:$B$15,0),99)*100000+1143,9000000000000+1143)</f>
        <v/>
      </c>
      <c r="M1150" s="3">
        <f>IF(K1150=1,SUMPRODUCT(--($L$8:$L$1207&lt;L1150))+1,"")</f>
        <v/>
      </c>
      <c r="N1150" s="17">
        <f>IF(K1150=1,N('ORDENES'!$M1146),0)</f>
        <v/>
      </c>
      <c r="O1150" s="17">
        <f>IF('ORDENES'!$S1146="preventiva",N1150,0)</f>
        <v/>
      </c>
      <c r="P1150" s="17">
        <f>IF('ORDENES'!$S1146="correctiva",N1150,0)</f>
        <v/>
      </c>
      <c r="Q1150" s="3">
        <f>IF(AND(K1150=1,'ORDENES'!$N1146="Pendiente"),1,0)</f>
        <v/>
      </c>
      <c r="R1150" s="3">
        <f>IF(Q1150=1,100000-N1150*1000+1143*0.01,9000000000000+1143)</f>
        <v/>
      </c>
      <c r="S1150" s="3">
        <f>IF(Q1150=1,SUMPRODUCT(--($R$8:$R$1207&lt;R1150))+1,"")</f>
        <v/>
      </c>
      <c r="T1150" s="11">
        <f>IF(K1150=1,'ORDENES'!$J1146,"")</f>
        <v/>
      </c>
    </row>
    <row r="1151">
      <c r="K1151" s="3">
        <f>IF(AND(IF($B$3="(todos)",TRUE,'ORDENES'!$O1147=$B$3),IF($D$3="(todos)",TRUE,'ORDENES'!$AC1147=$D$3),IF($F$3="(todos)",TRUE,'ORDENES'!$V1147=$F$3),'ORDENES'!$AA1147=TRUE,'ORDENES'!$A1147&lt;&gt;""),1,0)</f>
        <v/>
      </c>
      <c r="L1151" s="3">
        <f>IF(K1151=1,IFERROR(MATCH('ORDENES'!$R1147,lista_dias,0),9)*1000000000+IFERROR(MATCH('ORDENES'!$AC1147,lista_turnos,0),9)*10000000+IFERROR(MATCH('ORDENES'!$AB1147,'TECNICOS'!$B$4:$B$15,0),99)*100000+1144,9000000000000+1144)</f>
        <v/>
      </c>
      <c r="M1151" s="3">
        <f>IF(K1151=1,SUMPRODUCT(--($L$8:$L$1207&lt;L1151))+1,"")</f>
        <v/>
      </c>
      <c r="N1151" s="17">
        <f>IF(K1151=1,N('ORDENES'!$M1147),0)</f>
        <v/>
      </c>
      <c r="O1151" s="17">
        <f>IF('ORDENES'!$S1147="preventiva",N1151,0)</f>
        <v/>
      </c>
      <c r="P1151" s="17">
        <f>IF('ORDENES'!$S1147="correctiva",N1151,0)</f>
        <v/>
      </c>
      <c r="Q1151" s="3">
        <f>IF(AND(K1151=1,'ORDENES'!$N1147="Pendiente"),1,0)</f>
        <v/>
      </c>
      <c r="R1151" s="3">
        <f>IF(Q1151=1,100000-N1151*1000+1144*0.01,9000000000000+1144)</f>
        <v/>
      </c>
      <c r="S1151" s="3">
        <f>IF(Q1151=1,SUMPRODUCT(--($R$8:$R$1207&lt;R1151))+1,"")</f>
        <v/>
      </c>
      <c r="T1151" s="11">
        <f>IF(K1151=1,'ORDENES'!$J1147,"")</f>
        <v/>
      </c>
    </row>
    <row r="1152">
      <c r="K1152" s="3">
        <f>IF(AND(IF($B$3="(todos)",TRUE,'ORDENES'!$O1148=$B$3),IF($D$3="(todos)",TRUE,'ORDENES'!$AC1148=$D$3),IF($F$3="(todos)",TRUE,'ORDENES'!$V1148=$F$3),'ORDENES'!$AA1148=TRUE,'ORDENES'!$A1148&lt;&gt;""),1,0)</f>
        <v/>
      </c>
      <c r="L1152" s="3">
        <f>IF(K1152=1,IFERROR(MATCH('ORDENES'!$R1148,lista_dias,0),9)*1000000000+IFERROR(MATCH('ORDENES'!$AC1148,lista_turnos,0),9)*10000000+IFERROR(MATCH('ORDENES'!$AB1148,'TECNICOS'!$B$4:$B$15,0),99)*100000+1145,9000000000000+1145)</f>
        <v/>
      </c>
      <c r="M1152" s="3">
        <f>IF(K1152=1,SUMPRODUCT(--($L$8:$L$1207&lt;L1152))+1,"")</f>
        <v/>
      </c>
      <c r="N1152" s="17">
        <f>IF(K1152=1,N('ORDENES'!$M1148),0)</f>
        <v/>
      </c>
      <c r="O1152" s="17">
        <f>IF('ORDENES'!$S1148="preventiva",N1152,0)</f>
        <v/>
      </c>
      <c r="P1152" s="17">
        <f>IF('ORDENES'!$S1148="correctiva",N1152,0)</f>
        <v/>
      </c>
      <c r="Q1152" s="3">
        <f>IF(AND(K1152=1,'ORDENES'!$N1148="Pendiente"),1,0)</f>
        <v/>
      </c>
      <c r="R1152" s="3">
        <f>IF(Q1152=1,100000-N1152*1000+1145*0.01,9000000000000+1145)</f>
        <v/>
      </c>
      <c r="S1152" s="3">
        <f>IF(Q1152=1,SUMPRODUCT(--($R$8:$R$1207&lt;R1152))+1,"")</f>
        <v/>
      </c>
      <c r="T1152" s="11">
        <f>IF(K1152=1,'ORDENES'!$J1148,"")</f>
        <v/>
      </c>
    </row>
    <row r="1153">
      <c r="K1153" s="3">
        <f>IF(AND(IF($B$3="(todos)",TRUE,'ORDENES'!$O1149=$B$3),IF($D$3="(todos)",TRUE,'ORDENES'!$AC1149=$D$3),IF($F$3="(todos)",TRUE,'ORDENES'!$V1149=$F$3),'ORDENES'!$AA1149=TRUE,'ORDENES'!$A1149&lt;&gt;""),1,0)</f>
        <v/>
      </c>
      <c r="L1153" s="3">
        <f>IF(K1153=1,IFERROR(MATCH('ORDENES'!$R1149,lista_dias,0),9)*1000000000+IFERROR(MATCH('ORDENES'!$AC1149,lista_turnos,0),9)*10000000+IFERROR(MATCH('ORDENES'!$AB1149,'TECNICOS'!$B$4:$B$15,0),99)*100000+1146,9000000000000+1146)</f>
        <v/>
      </c>
      <c r="M1153" s="3">
        <f>IF(K1153=1,SUMPRODUCT(--($L$8:$L$1207&lt;L1153))+1,"")</f>
        <v/>
      </c>
      <c r="N1153" s="17">
        <f>IF(K1153=1,N('ORDENES'!$M1149),0)</f>
        <v/>
      </c>
      <c r="O1153" s="17">
        <f>IF('ORDENES'!$S1149="preventiva",N1153,0)</f>
        <v/>
      </c>
      <c r="P1153" s="17">
        <f>IF('ORDENES'!$S1149="correctiva",N1153,0)</f>
        <v/>
      </c>
      <c r="Q1153" s="3">
        <f>IF(AND(K1153=1,'ORDENES'!$N1149="Pendiente"),1,0)</f>
        <v/>
      </c>
      <c r="R1153" s="3">
        <f>IF(Q1153=1,100000-N1153*1000+1146*0.01,9000000000000+1146)</f>
        <v/>
      </c>
      <c r="S1153" s="3">
        <f>IF(Q1153=1,SUMPRODUCT(--($R$8:$R$1207&lt;R1153))+1,"")</f>
        <v/>
      </c>
      <c r="T1153" s="11">
        <f>IF(K1153=1,'ORDENES'!$J1149,"")</f>
        <v/>
      </c>
    </row>
    <row r="1154">
      <c r="K1154" s="3">
        <f>IF(AND(IF($B$3="(todos)",TRUE,'ORDENES'!$O1150=$B$3),IF($D$3="(todos)",TRUE,'ORDENES'!$AC1150=$D$3),IF($F$3="(todos)",TRUE,'ORDENES'!$V1150=$F$3),'ORDENES'!$AA1150=TRUE,'ORDENES'!$A1150&lt;&gt;""),1,0)</f>
        <v/>
      </c>
      <c r="L1154" s="3">
        <f>IF(K1154=1,IFERROR(MATCH('ORDENES'!$R1150,lista_dias,0),9)*1000000000+IFERROR(MATCH('ORDENES'!$AC1150,lista_turnos,0),9)*10000000+IFERROR(MATCH('ORDENES'!$AB1150,'TECNICOS'!$B$4:$B$15,0),99)*100000+1147,9000000000000+1147)</f>
        <v/>
      </c>
      <c r="M1154" s="3">
        <f>IF(K1154=1,SUMPRODUCT(--($L$8:$L$1207&lt;L1154))+1,"")</f>
        <v/>
      </c>
      <c r="N1154" s="17">
        <f>IF(K1154=1,N('ORDENES'!$M1150),0)</f>
        <v/>
      </c>
      <c r="O1154" s="17">
        <f>IF('ORDENES'!$S1150="preventiva",N1154,0)</f>
        <v/>
      </c>
      <c r="P1154" s="17">
        <f>IF('ORDENES'!$S1150="correctiva",N1154,0)</f>
        <v/>
      </c>
      <c r="Q1154" s="3">
        <f>IF(AND(K1154=1,'ORDENES'!$N1150="Pendiente"),1,0)</f>
        <v/>
      </c>
      <c r="R1154" s="3">
        <f>IF(Q1154=1,100000-N1154*1000+1147*0.01,9000000000000+1147)</f>
        <v/>
      </c>
      <c r="S1154" s="3">
        <f>IF(Q1154=1,SUMPRODUCT(--($R$8:$R$1207&lt;R1154))+1,"")</f>
        <v/>
      </c>
      <c r="T1154" s="11">
        <f>IF(K1154=1,'ORDENES'!$J1150,"")</f>
        <v/>
      </c>
    </row>
    <row r="1155">
      <c r="K1155" s="3">
        <f>IF(AND(IF($B$3="(todos)",TRUE,'ORDENES'!$O1151=$B$3),IF($D$3="(todos)",TRUE,'ORDENES'!$AC1151=$D$3),IF($F$3="(todos)",TRUE,'ORDENES'!$V1151=$F$3),'ORDENES'!$AA1151=TRUE,'ORDENES'!$A1151&lt;&gt;""),1,0)</f>
        <v/>
      </c>
      <c r="L1155" s="3">
        <f>IF(K1155=1,IFERROR(MATCH('ORDENES'!$R1151,lista_dias,0),9)*1000000000+IFERROR(MATCH('ORDENES'!$AC1151,lista_turnos,0),9)*10000000+IFERROR(MATCH('ORDENES'!$AB1151,'TECNICOS'!$B$4:$B$15,0),99)*100000+1148,9000000000000+1148)</f>
        <v/>
      </c>
      <c r="M1155" s="3">
        <f>IF(K1155=1,SUMPRODUCT(--($L$8:$L$1207&lt;L1155))+1,"")</f>
        <v/>
      </c>
      <c r="N1155" s="17">
        <f>IF(K1155=1,N('ORDENES'!$M1151),0)</f>
        <v/>
      </c>
      <c r="O1155" s="17">
        <f>IF('ORDENES'!$S1151="preventiva",N1155,0)</f>
        <v/>
      </c>
      <c r="P1155" s="17">
        <f>IF('ORDENES'!$S1151="correctiva",N1155,0)</f>
        <v/>
      </c>
      <c r="Q1155" s="3">
        <f>IF(AND(K1155=1,'ORDENES'!$N1151="Pendiente"),1,0)</f>
        <v/>
      </c>
      <c r="R1155" s="3">
        <f>IF(Q1155=1,100000-N1155*1000+1148*0.01,9000000000000+1148)</f>
        <v/>
      </c>
      <c r="S1155" s="3">
        <f>IF(Q1155=1,SUMPRODUCT(--($R$8:$R$1207&lt;R1155))+1,"")</f>
        <v/>
      </c>
      <c r="T1155" s="11">
        <f>IF(K1155=1,'ORDENES'!$J1151,"")</f>
        <v/>
      </c>
    </row>
    <row r="1156">
      <c r="K1156" s="3">
        <f>IF(AND(IF($B$3="(todos)",TRUE,'ORDENES'!$O1152=$B$3),IF($D$3="(todos)",TRUE,'ORDENES'!$AC1152=$D$3),IF($F$3="(todos)",TRUE,'ORDENES'!$V1152=$F$3),'ORDENES'!$AA1152=TRUE,'ORDENES'!$A1152&lt;&gt;""),1,0)</f>
        <v/>
      </c>
      <c r="L1156" s="3">
        <f>IF(K1156=1,IFERROR(MATCH('ORDENES'!$R1152,lista_dias,0),9)*1000000000+IFERROR(MATCH('ORDENES'!$AC1152,lista_turnos,0),9)*10000000+IFERROR(MATCH('ORDENES'!$AB1152,'TECNICOS'!$B$4:$B$15,0),99)*100000+1149,9000000000000+1149)</f>
        <v/>
      </c>
      <c r="M1156" s="3">
        <f>IF(K1156=1,SUMPRODUCT(--($L$8:$L$1207&lt;L1156))+1,"")</f>
        <v/>
      </c>
      <c r="N1156" s="17">
        <f>IF(K1156=1,N('ORDENES'!$M1152),0)</f>
        <v/>
      </c>
      <c r="O1156" s="17">
        <f>IF('ORDENES'!$S1152="preventiva",N1156,0)</f>
        <v/>
      </c>
      <c r="P1156" s="17">
        <f>IF('ORDENES'!$S1152="correctiva",N1156,0)</f>
        <v/>
      </c>
      <c r="Q1156" s="3">
        <f>IF(AND(K1156=1,'ORDENES'!$N1152="Pendiente"),1,0)</f>
        <v/>
      </c>
      <c r="R1156" s="3">
        <f>IF(Q1156=1,100000-N1156*1000+1149*0.01,9000000000000+1149)</f>
        <v/>
      </c>
      <c r="S1156" s="3">
        <f>IF(Q1156=1,SUMPRODUCT(--($R$8:$R$1207&lt;R1156))+1,"")</f>
        <v/>
      </c>
      <c r="T1156" s="11">
        <f>IF(K1156=1,'ORDENES'!$J1152,"")</f>
        <v/>
      </c>
    </row>
    <row r="1157">
      <c r="K1157" s="3">
        <f>IF(AND(IF($B$3="(todos)",TRUE,'ORDENES'!$O1153=$B$3),IF($D$3="(todos)",TRUE,'ORDENES'!$AC1153=$D$3),IF($F$3="(todos)",TRUE,'ORDENES'!$V1153=$F$3),'ORDENES'!$AA1153=TRUE,'ORDENES'!$A1153&lt;&gt;""),1,0)</f>
        <v/>
      </c>
      <c r="L1157" s="3">
        <f>IF(K1157=1,IFERROR(MATCH('ORDENES'!$R1153,lista_dias,0),9)*1000000000+IFERROR(MATCH('ORDENES'!$AC1153,lista_turnos,0),9)*10000000+IFERROR(MATCH('ORDENES'!$AB1153,'TECNICOS'!$B$4:$B$15,0),99)*100000+1150,9000000000000+1150)</f>
        <v/>
      </c>
      <c r="M1157" s="3">
        <f>IF(K1157=1,SUMPRODUCT(--($L$8:$L$1207&lt;L1157))+1,"")</f>
        <v/>
      </c>
      <c r="N1157" s="17">
        <f>IF(K1157=1,N('ORDENES'!$M1153),0)</f>
        <v/>
      </c>
      <c r="O1157" s="17">
        <f>IF('ORDENES'!$S1153="preventiva",N1157,0)</f>
        <v/>
      </c>
      <c r="P1157" s="17">
        <f>IF('ORDENES'!$S1153="correctiva",N1157,0)</f>
        <v/>
      </c>
      <c r="Q1157" s="3">
        <f>IF(AND(K1157=1,'ORDENES'!$N1153="Pendiente"),1,0)</f>
        <v/>
      </c>
      <c r="R1157" s="3">
        <f>IF(Q1157=1,100000-N1157*1000+1150*0.01,9000000000000+1150)</f>
        <v/>
      </c>
      <c r="S1157" s="3">
        <f>IF(Q1157=1,SUMPRODUCT(--($R$8:$R$1207&lt;R1157))+1,"")</f>
        <v/>
      </c>
      <c r="T1157" s="11">
        <f>IF(K1157=1,'ORDENES'!$J1153,"")</f>
        <v/>
      </c>
    </row>
    <row r="1158">
      <c r="K1158" s="3">
        <f>IF(AND(IF($B$3="(todos)",TRUE,'ORDENES'!$O1154=$B$3),IF($D$3="(todos)",TRUE,'ORDENES'!$AC1154=$D$3),IF($F$3="(todos)",TRUE,'ORDENES'!$V1154=$F$3),'ORDENES'!$AA1154=TRUE,'ORDENES'!$A1154&lt;&gt;""),1,0)</f>
        <v/>
      </c>
      <c r="L1158" s="3">
        <f>IF(K1158=1,IFERROR(MATCH('ORDENES'!$R1154,lista_dias,0),9)*1000000000+IFERROR(MATCH('ORDENES'!$AC1154,lista_turnos,0),9)*10000000+IFERROR(MATCH('ORDENES'!$AB1154,'TECNICOS'!$B$4:$B$15,0),99)*100000+1151,9000000000000+1151)</f>
        <v/>
      </c>
      <c r="M1158" s="3">
        <f>IF(K1158=1,SUMPRODUCT(--($L$8:$L$1207&lt;L1158))+1,"")</f>
        <v/>
      </c>
      <c r="N1158" s="17">
        <f>IF(K1158=1,N('ORDENES'!$M1154),0)</f>
        <v/>
      </c>
      <c r="O1158" s="17">
        <f>IF('ORDENES'!$S1154="preventiva",N1158,0)</f>
        <v/>
      </c>
      <c r="P1158" s="17">
        <f>IF('ORDENES'!$S1154="correctiva",N1158,0)</f>
        <v/>
      </c>
      <c r="Q1158" s="3">
        <f>IF(AND(K1158=1,'ORDENES'!$N1154="Pendiente"),1,0)</f>
        <v/>
      </c>
      <c r="R1158" s="3">
        <f>IF(Q1158=1,100000-N1158*1000+1151*0.01,9000000000000+1151)</f>
        <v/>
      </c>
      <c r="S1158" s="3">
        <f>IF(Q1158=1,SUMPRODUCT(--($R$8:$R$1207&lt;R1158))+1,"")</f>
        <v/>
      </c>
      <c r="T1158" s="11">
        <f>IF(K1158=1,'ORDENES'!$J1154,"")</f>
        <v/>
      </c>
    </row>
    <row r="1159">
      <c r="K1159" s="3">
        <f>IF(AND(IF($B$3="(todos)",TRUE,'ORDENES'!$O1155=$B$3),IF($D$3="(todos)",TRUE,'ORDENES'!$AC1155=$D$3),IF($F$3="(todos)",TRUE,'ORDENES'!$V1155=$F$3),'ORDENES'!$AA1155=TRUE,'ORDENES'!$A1155&lt;&gt;""),1,0)</f>
        <v/>
      </c>
      <c r="L1159" s="3">
        <f>IF(K1159=1,IFERROR(MATCH('ORDENES'!$R1155,lista_dias,0),9)*1000000000+IFERROR(MATCH('ORDENES'!$AC1155,lista_turnos,0),9)*10000000+IFERROR(MATCH('ORDENES'!$AB1155,'TECNICOS'!$B$4:$B$15,0),99)*100000+1152,9000000000000+1152)</f>
        <v/>
      </c>
      <c r="M1159" s="3">
        <f>IF(K1159=1,SUMPRODUCT(--($L$8:$L$1207&lt;L1159))+1,"")</f>
        <v/>
      </c>
      <c r="N1159" s="17">
        <f>IF(K1159=1,N('ORDENES'!$M1155),0)</f>
        <v/>
      </c>
      <c r="O1159" s="17">
        <f>IF('ORDENES'!$S1155="preventiva",N1159,0)</f>
        <v/>
      </c>
      <c r="P1159" s="17">
        <f>IF('ORDENES'!$S1155="correctiva",N1159,0)</f>
        <v/>
      </c>
      <c r="Q1159" s="3">
        <f>IF(AND(K1159=1,'ORDENES'!$N1155="Pendiente"),1,0)</f>
        <v/>
      </c>
      <c r="R1159" s="3">
        <f>IF(Q1159=1,100000-N1159*1000+1152*0.01,9000000000000+1152)</f>
        <v/>
      </c>
      <c r="S1159" s="3">
        <f>IF(Q1159=1,SUMPRODUCT(--($R$8:$R$1207&lt;R1159))+1,"")</f>
        <v/>
      </c>
      <c r="T1159" s="11">
        <f>IF(K1159=1,'ORDENES'!$J1155,"")</f>
        <v/>
      </c>
    </row>
    <row r="1160">
      <c r="K1160" s="3">
        <f>IF(AND(IF($B$3="(todos)",TRUE,'ORDENES'!$O1156=$B$3),IF($D$3="(todos)",TRUE,'ORDENES'!$AC1156=$D$3),IF($F$3="(todos)",TRUE,'ORDENES'!$V1156=$F$3),'ORDENES'!$AA1156=TRUE,'ORDENES'!$A1156&lt;&gt;""),1,0)</f>
        <v/>
      </c>
      <c r="L1160" s="3">
        <f>IF(K1160=1,IFERROR(MATCH('ORDENES'!$R1156,lista_dias,0),9)*1000000000+IFERROR(MATCH('ORDENES'!$AC1156,lista_turnos,0),9)*10000000+IFERROR(MATCH('ORDENES'!$AB1156,'TECNICOS'!$B$4:$B$15,0),99)*100000+1153,9000000000000+1153)</f>
        <v/>
      </c>
      <c r="M1160" s="3">
        <f>IF(K1160=1,SUMPRODUCT(--($L$8:$L$1207&lt;L1160))+1,"")</f>
        <v/>
      </c>
      <c r="N1160" s="17">
        <f>IF(K1160=1,N('ORDENES'!$M1156),0)</f>
        <v/>
      </c>
      <c r="O1160" s="17">
        <f>IF('ORDENES'!$S1156="preventiva",N1160,0)</f>
        <v/>
      </c>
      <c r="P1160" s="17">
        <f>IF('ORDENES'!$S1156="correctiva",N1160,0)</f>
        <v/>
      </c>
      <c r="Q1160" s="3">
        <f>IF(AND(K1160=1,'ORDENES'!$N1156="Pendiente"),1,0)</f>
        <v/>
      </c>
      <c r="R1160" s="3">
        <f>IF(Q1160=1,100000-N1160*1000+1153*0.01,9000000000000+1153)</f>
        <v/>
      </c>
      <c r="S1160" s="3">
        <f>IF(Q1160=1,SUMPRODUCT(--($R$8:$R$1207&lt;R1160))+1,"")</f>
        <v/>
      </c>
      <c r="T1160" s="11">
        <f>IF(K1160=1,'ORDENES'!$J1156,"")</f>
        <v/>
      </c>
    </row>
    <row r="1161">
      <c r="K1161" s="3">
        <f>IF(AND(IF($B$3="(todos)",TRUE,'ORDENES'!$O1157=$B$3),IF($D$3="(todos)",TRUE,'ORDENES'!$AC1157=$D$3),IF($F$3="(todos)",TRUE,'ORDENES'!$V1157=$F$3),'ORDENES'!$AA1157=TRUE,'ORDENES'!$A1157&lt;&gt;""),1,0)</f>
        <v/>
      </c>
      <c r="L1161" s="3">
        <f>IF(K1161=1,IFERROR(MATCH('ORDENES'!$R1157,lista_dias,0),9)*1000000000+IFERROR(MATCH('ORDENES'!$AC1157,lista_turnos,0),9)*10000000+IFERROR(MATCH('ORDENES'!$AB1157,'TECNICOS'!$B$4:$B$15,0),99)*100000+1154,9000000000000+1154)</f>
        <v/>
      </c>
      <c r="M1161" s="3">
        <f>IF(K1161=1,SUMPRODUCT(--($L$8:$L$1207&lt;L1161))+1,"")</f>
        <v/>
      </c>
      <c r="N1161" s="17">
        <f>IF(K1161=1,N('ORDENES'!$M1157),0)</f>
        <v/>
      </c>
      <c r="O1161" s="17">
        <f>IF('ORDENES'!$S1157="preventiva",N1161,0)</f>
        <v/>
      </c>
      <c r="P1161" s="17">
        <f>IF('ORDENES'!$S1157="correctiva",N1161,0)</f>
        <v/>
      </c>
      <c r="Q1161" s="3">
        <f>IF(AND(K1161=1,'ORDENES'!$N1157="Pendiente"),1,0)</f>
        <v/>
      </c>
      <c r="R1161" s="3">
        <f>IF(Q1161=1,100000-N1161*1000+1154*0.01,9000000000000+1154)</f>
        <v/>
      </c>
      <c r="S1161" s="3">
        <f>IF(Q1161=1,SUMPRODUCT(--($R$8:$R$1207&lt;R1161))+1,"")</f>
        <v/>
      </c>
      <c r="T1161" s="11">
        <f>IF(K1161=1,'ORDENES'!$J1157,"")</f>
        <v/>
      </c>
    </row>
    <row r="1162">
      <c r="K1162" s="3">
        <f>IF(AND(IF($B$3="(todos)",TRUE,'ORDENES'!$O1158=$B$3),IF($D$3="(todos)",TRUE,'ORDENES'!$AC1158=$D$3),IF($F$3="(todos)",TRUE,'ORDENES'!$V1158=$F$3),'ORDENES'!$AA1158=TRUE,'ORDENES'!$A1158&lt;&gt;""),1,0)</f>
        <v/>
      </c>
      <c r="L1162" s="3">
        <f>IF(K1162=1,IFERROR(MATCH('ORDENES'!$R1158,lista_dias,0),9)*1000000000+IFERROR(MATCH('ORDENES'!$AC1158,lista_turnos,0),9)*10000000+IFERROR(MATCH('ORDENES'!$AB1158,'TECNICOS'!$B$4:$B$15,0),99)*100000+1155,9000000000000+1155)</f>
        <v/>
      </c>
      <c r="M1162" s="3">
        <f>IF(K1162=1,SUMPRODUCT(--($L$8:$L$1207&lt;L1162))+1,"")</f>
        <v/>
      </c>
      <c r="N1162" s="17">
        <f>IF(K1162=1,N('ORDENES'!$M1158),0)</f>
        <v/>
      </c>
      <c r="O1162" s="17">
        <f>IF('ORDENES'!$S1158="preventiva",N1162,0)</f>
        <v/>
      </c>
      <c r="P1162" s="17">
        <f>IF('ORDENES'!$S1158="correctiva",N1162,0)</f>
        <v/>
      </c>
      <c r="Q1162" s="3">
        <f>IF(AND(K1162=1,'ORDENES'!$N1158="Pendiente"),1,0)</f>
        <v/>
      </c>
      <c r="R1162" s="3">
        <f>IF(Q1162=1,100000-N1162*1000+1155*0.01,9000000000000+1155)</f>
        <v/>
      </c>
      <c r="S1162" s="3">
        <f>IF(Q1162=1,SUMPRODUCT(--($R$8:$R$1207&lt;R1162))+1,"")</f>
        <v/>
      </c>
      <c r="T1162" s="11">
        <f>IF(K1162=1,'ORDENES'!$J1158,"")</f>
        <v/>
      </c>
    </row>
    <row r="1163">
      <c r="K1163" s="3">
        <f>IF(AND(IF($B$3="(todos)",TRUE,'ORDENES'!$O1159=$B$3),IF($D$3="(todos)",TRUE,'ORDENES'!$AC1159=$D$3),IF($F$3="(todos)",TRUE,'ORDENES'!$V1159=$F$3),'ORDENES'!$AA1159=TRUE,'ORDENES'!$A1159&lt;&gt;""),1,0)</f>
        <v/>
      </c>
      <c r="L1163" s="3">
        <f>IF(K1163=1,IFERROR(MATCH('ORDENES'!$R1159,lista_dias,0),9)*1000000000+IFERROR(MATCH('ORDENES'!$AC1159,lista_turnos,0),9)*10000000+IFERROR(MATCH('ORDENES'!$AB1159,'TECNICOS'!$B$4:$B$15,0),99)*100000+1156,9000000000000+1156)</f>
        <v/>
      </c>
      <c r="M1163" s="3">
        <f>IF(K1163=1,SUMPRODUCT(--($L$8:$L$1207&lt;L1163))+1,"")</f>
        <v/>
      </c>
      <c r="N1163" s="17">
        <f>IF(K1163=1,N('ORDENES'!$M1159),0)</f>
        <v/>
      </c>
      <c r="O1163" s="17">
        <f>IF('ORDENES'!$S1159="preventiva",N1163,0)</f>
        <v/>
      </c>
      <c r="P1163" s="17">
        <f>IF('ORDENES'!$S1159="correctiva",N1163,0)</f>
        <v/>
      </c>
      <c r="Q1163" s="3">
        <f>IF(AND(K1163=1,'ORDENES'!$N1159="Pendiente"),1,0)</f>
        <v/>
      </c>
      <c r="R1163" s="3">
        <f>IF(Q1163=1,100000-N1163*1000+1156*0.01,9000000000000+1156)</f>
        <v/>
      </c>
      <c r="S1163" s="3">
        <f>IF(Q1163=1,SUMPRODUCT(--($R$8:$R$1207&lt;R1163))+1,"")</f>
        <v/>
      </c>
      <c r="T1163" s="11">
        <f>IF(K1163=1,'ORDENES'!$J1159,"")</f>
        <v/>
      </c>
    </row>
    <row r="1164">
      <c r="K1164" s="3">
        <f>IF(AND(IF($B$3="(todos)",TRUE,'ORDENES'!$O1160=$B$3),IF($D$3="(todos)",TRUE,'ORDENES'!$AC1160=$D$3),IF($F$3="(todos)",TRUE,'ORDENES'!$V1160=$F$3),'ORDENES'!$AA1160=TRUE,'ORDENES'!$A1160&lt;&gt;""),1,0)</f>
        <v/>
      </c>
      <c r="L1164" s="3">
        <f>IF(K1164=1,IFERROR(MATCH('ORDENES'!$R1160,lista_dias,0),9)*1000000000+IFERROR(MATCH('ORDENES'!$AC1160,lista_turnos,0),9)*10000000+IFERROR(MATCH('ORDENES'!$AB1160,'TECNICOS'!$B$4:$B$15,0),99)*100000+1157,9000000000000+1157)</f>
        <v/>
      </c>
      <c r="M1164" s="3">
        <f>IF(K1164=1,SUMPRODUCT(--($L$8:$L$1207&lt;L1164))+1,"")</f>
        <v/>
      </c>
      <c r="N1164" s="17">
        <f>IF(K1164=1,N('ORDENES'!$M1160),0)</f>
        <v/>
      </c>
      <c r="O1164" s="17">
        <f>IF('ORDENES'!$S1160="preventiva",N1164,0)</f>
        <v/>
      </c>
      <c r="P1164" s="17">
        <f>IF('ORDENES'!$S1160="correctiva",N1164,0)</f>
        <v/>
      </c>
      <c r="Q1164" s="3">
        <f>IF(AND(K1164=1,'ORDENES'!$N1160="Pendiente"),1,0)</f>
        <v/>
      </c>
      <c r="R1164" s="3">
        <f>IF(Q1164=1,100000-N1164*1000+1157*0.01,9000000000000+1157)</f>
        <v/>
      </c>
      <c r="S1164" s="3">
        <f>IF(Q1164=1,SUMPRODUCT(--($R$8:$R$1207&lt;R1164))+1,"")</f>
        <v/>
      </c>
      <c r="T1164" s="11">
        <f>IF(K1164=1,'ORDENES'!$J1160,"")</f>
        <v/>
      </c>
    </row>
    <row r="1165">
      <c r="K1165" s="3">
        <f>IF(AND(IF($B$3="(todos)",TRUE,'ORDENES'!$O1161=$B$3),IF($D$3="(todos)",TRUE,'ORDENES'!$AC1161=$D$3),IF($F$3="(todos)",TRUE,'ORDENES'!$V1161=$F$3),'ORDENES'!$AA1161=TRUE,'ORDENES'!$A1161&lt;&gt;""),1,0)</f>
        <v/>
      </c>
      <c r="L1165" s="3">
        <f>IF(K1165=1,IFERROR(MATCH('ORDENES'!$R1161,lista_dias,0),9)*1000000000+IFERROR(MATCH('ORDENES'!$AC1161,lista_turnos,0),9)*10000000+IFERROR(MATCH('ORDENES'!$AB1161,'TECNICOS'!$B$4:$B$15,0),99)*100000+1158,9000000000000+1158)</f>
        <v/>
      </c>
      <c r="M1165" s="3">
        <f>IF(K1165=1,SUMPRODUCT(--($L$8:$L$1207&lt;L1165))+1,"")</f>
        <v/>
      </c>
      <c r="N1165" s="17">
        <f>IF(K1165=1,N('ORDENES'!$M1161),0)</f>
        <v/>
      </c>
      <c r="O1165" s="17">
        <f>IF('ORDENES'!$S1161="preventiva",N1165,0)</f>
        <v/>
      </c>
      <c r="P1165" s="17">
        <f>IF('ORDENES'!$S1161="correctiva",N1165,0)</f>
        <v/>
      </c>
      <c r="Q1165" s="3">
        <f>IF(AND(K1165=1,'ORDENES'!$N1161="Pendiente"),1,0)</f>
        <v/>
      </c>
      <c r="R1165" s="3">
        <f>IF(Q1165=1,100000-N1165*1000+1158*0.01,9000000000000+1158)</f>
        <v/>
      </c>
      <c r="S1165" s="3">
        <f>IF(Q1165=1,SUMPRODUCT(--($R$8:$R$1207&lt;R1165))+1,"")</f>
        <v/>
      </c>
      <c r="T1165" s="11">
        <f>IF(K1165=1,'ORDENES'!$J1161,"")</f>
        <v/>
      </c>
    </row>
    <row r="1166">
      <c r="K1166" s="3">
        <f>IF(AND(IF($B$3="(todos)",TRUE,'ORDENES'!$O1162=$B$3),IF($D$3="(todos)",TRUE,'ORDENES'!$AC1162=$D$3),IF($F$3="(todos)",TRUE,'ORDENES'!$V1162=$F$3),'ORDENES'!$AA1162=TRUE,'ORDENES'!$A1162&lt;&gt;""),1,0)</f>
        <v/>
      </c>
      <c r="L1166" s="3">
        <f>IF(K1166=1,IFERROR(MATCH('ORDENES'!$R1162,lista_dias,0),9)*1000000000+IFERROR(MATCH('ORDENES'!$AC1162,lista_turnos,0),9)*10000000+IFERROR(MATCH('ORDENES'!$AB1162,'TECNICOS'!$B$4:$B$15,0),99)*100000+1159,9000000000000+1159)</f>
        <v/>
      </c>
      <c r="M1166" s="3">
        <f>IF(K1166=1,SUMPRODUCT(--($L$8:$L$1207&lt;L1166))+1,"")</f>
        <v/>
      </c>
      <c r="N1166" s="17">
        <f>IF(K1166=1,N('ORDENES'!$M1162),0)</f>
        <v/>
      </c>
      <c r="O1166" s="17">
        <f>IF('ORDENES'!$S1162="preventiva",N1166,0)</f>
        <v/>
      </c>
      <c r="P1166" s="17">
        <f>IF('ORDENES'!$S1162="correctiva",N1166,0)</f>
        <v/>
      </c>
      <c r="Q1166" s="3">
        <f>IF(AND(K1166=1,'ORDENES'!$N1162="Pendiente"),1,0)</f>
        <v/>
      </c>
      <c r="R1166" s="3">
        <f>IF(Q1166=1,100000-N1166*1000+1159*0.01,9000000000000+1159)</f>
        <v/>
      </c>
      <c r="S1166" s="3">
        <f>IF(Q1166=1,SUMPRODUCT(--($R$8:$R$1207&lt;R1166))+1,"")</f>
        <v/>
      </c>
      <c r="T1166" s="11">
        <f>IF(K1166=1,'ORDENES'!$J1162,"")</f>
        <v/>
      </c>
    </row>
    <row r="1167">
      <c r="K1167" s="3">
        <f>IF(AND(IF($B$3="(todos)",TRUE,'ORDENES'!$O1163=$B$3),IF($D$3="(todos)",TRUE,'ORDENES'!$AC1163=$D$3),IF($F$3="(todos)",TRUE,'ORDENES'!$V1163=$F$3),'ORDENES'!$AA1163=TRUE,'ORDENES'!$A1163&lt;&gt;""),1,0)</f>
        <v/>
      </c>
      <c r="L1167" s="3">
        <f>IF(K1167=1,IFERROR(MATCH('ORDENES'!$R1163,lista_dias,0),9)*1000000000+IFERROR(MATCH('ORDENES'!$AC1163,lista_turnos,0),9)*10000000+IFERROR(MATCH('ORDENES'!$AB1163,'TECNICOS'!$B$4:$B$15,0),99)*100000+1160,9000000000000+1160)</f>
        <v/>
      </c>
      <c r="M1167" s="3">
        <f>IF(K1167=1,SUMPRODUCT(--($L$8:$L$1207&lt;L1167))+1,"")</f>
        <v/>
      </c>
      <c r="N1167" s="17">
        <f>IF(K1167=1,N('ORDENES'!$M1163),0)</f>
        <v/>
      </c>
      <c r="O1167" s="17">
        <f>IF('ORDENES'!$S1163="preventiva",N1167,0)</f>
        <v/>
      </c>
      <c r="P1167" s="17">
        <f>IF('ORDENES'!$S1163="correctiva",N1167,0)</f>
        <v/>
      </c>
      <c r="Q1167" s="3">
        <f>IF(AND(K1167=1,'ORDENES'!$N1163="Pendiente"),1,0)</f>
        <v/>
      </c>
      <c r="R1167" s="3">
        <f>IF(Q1167=1,100000-N1167*1000+1160*0.01,9000000000000+1160)</f>
        <v/>
      </c>
      <c r="S1167" s="3">
        <f>IF(Q1167=1,SUMPRODUCT(--($R$8:$R$1207&lt;R1167))+1,"")</f>
        <v/>
      </c>
      <c r="T1167" s="11">
        <f>IF(K1167=1,'ORDENES'!$J1163,"")</f>
        <v/>
      </c>
    </row>
    <row r="1168">
      <c r="K1168" s="3">
        <f>IF(AND(IF($B$3="(todos)",TRUE,'ORDENES'!$O1164=$B$3),IF($D$3="(todos)",TRUE,'ORDENES'!$AC1164=$D$3),IF($F$3="(todos)",TRUE,'ORDENES'!$V1164=$F$3),'ORDENES'!$AA1164=TRUE,'ORDENES'!$A1164&lt;&gt;""),1,0)</f>
        <v/>
      </c>
      <c r="L1168" s="3">
        <f>IF(K1168=1,IFERROR(MATCH('ORDENES'!$R1164,lista_dias,0),9)*1000000000+IFERROR(MATCH('ORDENES'!$AC1164,lista_turnos,0),9)*10000000+IFERROR(MATCH('ORDENES'!$AB1164,'TECNICOS'!$B$4:$B$15,0),99)*100000+1161,9000000000000+1161)</f>
        <v/>
      </c>
      <c r="M1168" s="3">
        <f>IF(K1168=1,SUMPRODUCT(--($L$8:$L$1207&lt;L1168))+1,"")</f>
        <v/>
      </c>
      <c r="N1168" s="17">
        <f>IF(K1168=1,N('ORDENES'!$M1164),0)</f>
        <v/>
      </c>
      <c r="O1168" s="17">
        <f>IF('ORDENES'!$S1164="preventiva",N1168,0)</f>
        <v/>
      </c>
      <c r="P1168" s="17">
        <f>IF('ORDENES'!$S1164="correctiva",N1168,0)</f>
        <v/>
      </c>
      <c r="Q1168" s="3">
        <f>IF(AND(K1168=1,'ORDENES'!$N1164="Pendiente"),1,0)</f>
        <v/>
      </c>
      <c r="R1168" s="3">
        <f>IF(Q1168=1,100000-N1168*1000+1161*0.01,9000000000000+1161)</f>
        <v/>
      </c>
      <c r="S1168" s="3">
        <f>IF(Q1168=1,SUMPRODUCT(--($R$8:$R$1207&lt;R1168))+1,"")</f>
        <v/>
      </c>
      <c r="T1168" s="11">
        <f>IF(K1168=1,'ORDENES'!$J1164,"")</f>
        <v/>
      </c>
    </row>
    <row r="1169">
      <c r="K1169" s="3">
        <f>IF(AND(IF($B$3="(todos)",TRUE,'ORDENES'!$O1165=$B$3),IF($D$3="(todos)",TRUE,'ORDENES'!$AC1165=$D$3),IF($F$3="(todos)",TRUE,'ORDENES'!$V1165=$F$3),'ORDENES'!$AA1165=TRUE,'ORDENES'!$A1165&lt;&gt;""),1,0)</f>
        <v/>
      </c>
      <c r="L1169" s="3">
        <f>IF(K1169=1,IFERROR(MATCH('ORDENES'!$R1165,lista_dias,0),9)*1000000000+IFERROR(MATCH('ORDENES'!$AC1165,lista_turnos,0),9)*10000000+IFERROR(MATCH('ORDENES'!$AB1165,'TECNICOS'!$B$4:$B$15,0),99)*100000+1162,9000000000000+1162)</f>
        <v/>
      </c>
      <c r="M1169" s="3">
        <f>IF(K1169=1,SUMPRODUCT(--($L$8:$L$1207&lt;L1169))+1,"")</f>
        <v/>
      </c>
      <c r="N1169" s="17">
        <f>IF(K1169=1,N('ORDENES'!$M1165),0)</f>
        <v/>
      </c>
      <c r="O1169" s="17">
        <f>IF('ORDENES'!$S1165="preventiva",N1169,0)</f>
        <v/>
      </c>
      <c r="P1169" s="17">
        <f>IF('ORDENES'!$S1165="correctiva",N1169,0)</f>
        <v/>
      </c>
      <c r="Q1169" s="3">
        <f>IF(AND(K1169=1,'ORDENES'!$N1165="Pendiente"),1,0)</f>
        <v/>
      </c>
      <c r="R1169" s="3">
        <f>IF(Q1169=1,100000-N1169*1000+1162*0.01,9000000000000+1162)</f>
        <v/>
      </c>
      <c r="S1169" s="3">
        <f>IF(Q1169=1,SUMPRODUCT(--($R$8:$R$1207&lt;R1169))+1,"")</f>
        <v/>
      </c>
      <c r="T1169" s="11">
        <f>IF(K1169=1,'ORDENES'!$J1165,"")</f>
        <v/>
      </c>
    </row>
    <row r="1170">
      <c r="K1170" s="3">
        <f>IF(AND(IF($B$3="(todos)",TRUE,'ORDENES'!$O1166=$B$3),IF($D$3="(todos)",TRUE,'ORDENES'!$AC1166=$D$3),IF($F$3="(todos)",TRUE,'ORDENES'!$V1166=$F$3),'ORDENES'!$AA1166=TRUE,'ORDENES'!$A1166&lt;&gt;""),1,0)</f>
        <v/>
      </c>
      <c r="L1170" s="3">
        <f>IF(K1170=1,IFERROR(MATCH('ORDENES'!$R1166,lista_dias,0),9)*1000000000+IFERROR(MATCH('ORDENES'!$AC1166,lista_turnos,0),9)*10000000+IFERROR(MATCH('ORDENES'!$AB1166,'TECNICOS'!$B$4:$B$15,0),99)*100000+1163,9000000000000+1163)</f>
        <v/>
      </c>
      <c r="M1170" s="3">
        <f>IF(K1170=1,SUMPRODUCT(--($L$8:$L$1207&lt;L1170))+1,"")</f>
        <v/>
      </c>
      <c r="N1170" s="17">
        <f>IF(K1170=1,N('ORDENES'!$M1166),0)</f>
        <v/>
      </c>
      <c r="O1170" s="17">
        <f>IF('ORDENES'!$S1166="preventiva",N1170,0)</f>
        <v/>
      </c>
      <c r="P1170" s="17">
        <f>IF('ORDENES'!$S1166="correctiva",N1170,0)</f>
        <v/>
      </c>
      <c r="Q1170" s="3">
        <f>IF(AND(K1170=1,'ORDENES'!$N1166="Pendiente"),1,0)</f>
        <v/>
      </c>
      <c r="R1170" s="3">
        <f>IF(Q1170=1,100000-N1170*1000+1163*0.01,9000000000000+1163)</f>
        <v/>
      </c>
      <c r="S1170" s="3">
        <f>IF(Q1170=1,SUMPRODUCT(--($R$8:$R$1207&lt;R1170))+1,"")</f>
        <v/>
      </c>
      <c r="T1170" s="11">
        <f>IF(K1170=1,'ORDENES'!$J1166,"")</f>
        <v/>
      </c>
    </row>
    <row r="1171">
      <c r="K1171" s="3">
        <f>IF(AND(IF($B$3="(todos)",TRUE,'ORDENES'!$O1167=$B$3),IF($D$3="(todos)",TRUE,'ORDENES'!$AC1167=$D$3),IF($F$3="(todos)",TRUE,'ORDENES'!$V1167=$F$3),'ORDENES'!$AA1167=TRUE,'ORDENES'!$A1167&lt;&gt;""),1,0)</f>
        <v/>
      </c>
      <c r="L1171" s="3">
        <f>IF(K1171=1,IFERROR(MATCH('ORDENES'!$R1167,lista_dias,0),9)*1000000000+IFERROR(MATCH('ORDENES'!$AC1167,lista_turnos,0),9)*10000000+IFERROR(MATCH('ORDENES'!$AB1167,'TECNICOS'!$B$4:$B$15,0),99)*100000+1164,9000000000000+1164)</f>
        <v/>
      </c>
      <c r="M1171" s="3">
        <f>IF(K1171=1,SUMPRODUCT(--($L$8:$L$1207&lt;L1171))+1,"")</f>
        <v/>
      </c>
      <c r="N1171" s="17">
        <f>IF(K1171=1,N('ORDENES'!$M1167),0)</f>
        <v/>
      </c>
      <c r="O1171" s="17">
        <f>IF('ORDENES'!$S1167="preventiva",N1171,0)</f>
        <v/>
      </c>
      <c r="P1171" s="17">
        <f>IF('ORDENES'!$S1167="correctiva",N1171,0)</f>
        <v/>
      </c>
      <c r="Q1171" s="3">
        <f>IF(AND(K1171=1,'ORDENES'!$N1167="Pendiente"),1,0)</f>
        <v/>
      </c>
      <c r="R1171" s="3">
        <f>IF(Q1171=1,100000-N1171*1000+1164*0.01,9000000000000+1164)</f>
        <v/>
      </c>
      <c r="S1171" s="3">
        <f>IF(Q1171=1,SUMPRODUCT(--($R$8:$R$1207&lt;R1171))+1,"")</f>
        <v/>
      </c>
      <c r="T1171" s="11">
        <f>IF(K1171=1,'ORDENES'!$J1167,"")</f>
        <v/>
      </c>
    </row>
    <row r="1172">
      <c r="K1172" s="3">
        <f>IF(AND(IF($B$3="(todos)",TRUE,'ORDENES'!$O1168=$B$3),IF($D$3="(todos)",TRUE,'ORDENES'!$AC1168=$D$3),IF($F$3="(todos)",TRUE,'ORDENES'!$V1168=$F$3),'ORDENES'!$AA1168=TRUE,'ORDENES'!$A1168&lt;&gt;""),1,0)</f>
        <v/>
      </c>
      <c r="L1172" s="3">
        <f>IF(K1172=1,IFERROR(MATCH('ORDENES'!$R1168,lista_dias,0),9)*1000000000+IFERROR(MATCH('ORDENES'!$AC1168,lista_turnos,0),9)*10000000+IFERROR(MATCH('ORDENES'!$AB1168,'TECNICOS'!$B$4:$B$15,0),99)*100000+1165,9000000000000+1165)</f>
        <v/>
      </c>
      <c r="M1172" s="3">
        <f>IF(K1172=1,SUMPRODUCT(--($L$8:$L$1207&lt;L1172))+1,"")</f>
        <v/>
      </c>
      <c r="N1172" s="17">
        <f>IF(K1172=1,N('ORDENES'!$M1168),0)</f>
        <v/>
      </c>
      <c r="O1172" s="17">
        <f>IF('ORDENES'!$S1168="preventiva",N1172,0)</f>
        <v/>
      </c>
      <c r="P1172" s="17">
        <f>IF('ORDENES'!$S1168="correctiva",N1172,0)</f>
        <v/>
      </c>
      <c r="Q1172" s="3">
        <f>IF(AND(K1172=1,'ORDENES'!$N1168="Pendiente"),1,0)</f>
        <v/>
      </c>
      <c r="R1172" s="3">
        <f>IF(Q1172=1,100000-N1172*1000+1165*0.01,9000000000000+1165)</f>
        <v/>
      </c>
      <c r="S1172" s="3">
        <f>IF(Q1172=1,SUMPRODUCT(--($R$8:$R$1207&lt;R1172))+1,"")</f>
        <v/>
      </c>
      <c r="T1172" s="11">
        <f>IF(K1172=1,'ORDENES'!$J1168,"")</f>
        <v/>
      </c>
    </row>
    <row r="1173">
      <c r="K1173" s="3">
        <f>IF(AND(IF($B$3="(todos)",TRUE,'ORDENES'!$O1169=$B$3),IF($D$3="(todos)",TRUE,'ORDENES'!$AC1169=$D$3),IF($F$3="(todos)",TRUE,'ORDENES'!$V1169=$F$3),'ORDENES'!$AA1169=TRUE,'ORDENES'!$A1169&lt;&gt;""),1,0)</f>
        <v/>
      </c>
      <c r="L1173" s="3">
        <f>IF(K1173=1,IFERROR(MATCH('ORDENES'!$R1169,lista_dias,0),9)*1000000000+IFERROR(MATCH('ORDENES'!$AC1169,lista_turnos,0),9)*10000000+IFERROR(MATCH('ORDENES'!$AB1169,'TECNICOS'!$B$4:$B$15,0),99)*100000+1166,9000000000000+1166)</f>
        <v/>
      </c>
      <c r="M1173" s="3">
        <f>IF(K1173=1,SUMPRODUCT(--($L$8:$L$1207&lt;L1173))+1,"")</f>
        <v/>
      </c>
      <c r="N1173" s="17">
        <f>IF(K1173=1,N('ORDENES'!$M1169),0)</f>
        <v/>
      </c>
      <c r="O1173" s="17">
        <f>IF('ORDENES'!$S1169="preventiva",N1173,0)</f>
        <v/>
      </c>
      <c r="P1173" s="17">
        <f>IF('ORDENES'!$S1169="correctiva",N1173,0)</f>
        <v/>
      </c>
      <c r="Q1173" s="3">
        <f>IF(AND(K1173=1,'ORDENES'!$N1169="Pendiente"),1,0)</f>
        <v/>
      </c>
      <c r="R1173" s="3">
        <f>IF(Q1173=1,100000-N1173*1000+1166*0.01,9000000000000+1166)</f>
        <v/>
      </c>
      <c r="S1173" s="3">
        <f>IF(Q1173=1,SUMPRODUCT(--($R$8:$R$1207&lt;R1173))+1,"")</f>
        <v/>
      </c>
      <c r="T1173" s="11">
        <f>IF(K1173=1,'ORDENES'!$J1169,"")</f>
        <v/>
      </c>
    </row>
    <row r="1174">
      <c r="K1174" s="3">
        <f>IF(AND(IF($B$3="(todos)",TRUE,'ORDENES'!$O1170=$B$3),IF($D$3="(todos)",TRUE,'ORDENES'!$AC1170=$D$3),IF($F$3="(todos)",TRUE,'ORDENES'!$V1170=$F$3),'ORDENES'!$AA1170=TRUE,'ORDENES'!$A1170&lt;&gt;""),1,0)</f>
        <v/>
      </c>
      <c r="L1174" s="3">
        <f>IF(K1174=1,IFERROR(MATCH('ORDENES'!$R1170,lista_dias,0),9)*1000000000+IFERROR(MATCH('ORDENES'!$AC1170,lista_turnos,0),9)*10000000+IFERROR(MATCH('ORDENES'!$AB1170,'TECNICOS'!$B$4:$B$15,0),99)*100000+1167,9000000000000+1167)</f>
        <v/>
      </c>
      <c r="M1174" s="3">
        <f>IF(K1174=1,SUMPRODUCT(--($L$8:$L$1207&lt;L1174))+1,"")</f>
        <v/>
      </c>
      <c r="N1174" s="17">
        <f>IF(K1174=1,N('ORDENES'!$M1170),0)</f>
        <v/>
      </c>
      <c r="O1174" s="17">
        <f>IF('ORDENES'!$S1170="preventiva",N1174,0)</f>
        <v/>
      </c>
      <c r="P1174" s="17">
        <f>IF('ORDENES'!$S1170="correctiva",N1174,0)</f>
        <v/>
      </c>
      <c r="Q1174" s="3">
        <f>IF(AND(K1174=1,'ORDENES'!$N1170="Pendiente"),1,0)</f>
        <v/>
      </c>
      <c r="R1174" s="3">
        <f>IF(Q1174=1,100000-N1174*1000+1167*0.01,9000000000000+1167)</f>
        <v/>
      </c>
      <c r="S1174" s="3">
        <f>IF(Q1174=1,SUMPRODUCT(--($R$8:$R$1207&lt;R1174))+1,"")</f>
        <v/>
      </c>
      <c r="T1174" s="11">
        <f>IF(K1174=1,'ORDENES'!$J1170,"")</f>
        <v/>
      </c>
    </row>
    <row r="1175">
      <c r="K1175" s="3">
        <f>IF(AND(IF($B$3="(todos)",TRUE,'ORDENES'!$O1171=$B$3),IF($D$3="(todos)",TRUE,'ORDENES'!$AC1171=$D$3),IF($F$3="(todos)",TRUE,'ORDENES'!$V1171=$F$3),'ORDENES'!$AA1171=TRUE,'ORDENES'!$A1171&lt;&gt;""),1,0)</f>
        <v/>
      </c>
      <c r="L1175" s="3">
        <f>IF(K1175=1,IFERROR(MATCH('ORDENES'!$R1171,lista_dias,0),9)*1000000000+IFERROR(MATCH('ORDENES'!$AC1171,lista_turnos,0),9)*10000000+IFERROR(MATCH('ORDENES'!$AB1171,'TECNICOS'!$B$4:$B$15,0),99)*100000+1168,9000000000000+1168)</f>
        <v/>
      </c>
      <c r="M1175" s="3">
        <f>IF(K1175=1,SUMPRODUCT(--($L$8:$L$1207&lt;L1175))+1,"")</f>
        <v/>
      </c>
      <c r="N1175" s="17">
        <f>IF(K1175=1,N('ORDENES'!$M1171),0)</f>
        <v/>
      </c>
      <c r="O1175" s="17">
        <f>IF('ORDENES'!$S1171="preventiva",N1175,0)</f>
        <v/>
      </c>
      <c r="P1175" s="17">
        <f>IF('ORDENES'!$S1171="correctiva",N1175,0)</f>
        <v/>
      </c>
      <c r="Q1175" s="3">
        <f>IF(AND(K1175=1,'ORDENES'!$N1171="Pendiente"),1,0)</f>
        <v/>
      </c>
      <c r="R1175" s="3">
        <f>IF(Q1175=1,100000-N1175*1000+1168*0.01,9000000000000+1168)</f>
        <v/>
      </c>
      <c r="S1175" s="3">
        <f>IF(Q1175=1,SUMPRODUCT(--($R$8:$R$1207&lt;R1175))+1,"")</f>
        <v/>
      </c>
      <c r="T1175" s="11">
        <f>IF(K1175=1,'ORDENES'!$J1171,"")</f>
        <v/>
      </c>
    </row>
    <row r="1176">
      <c r="K1176" s="3">
        <f>IF(AND(IF($B$3="(todos)",TRUE,'ORDENES'!$O1172=$B$3),IF($D$3="(todos)",TRUE,'ORDENES'!$AC1172=$D$3),IF($F$3="(todos)",TRUE,'ORDENES'!$V1172=$F$3),'ORDENES'!$AA1172=TRUE,'ORDENES'!$A1172&lt;&gt;""),1,0)</f>
        <v/>
      </c>
      <c r="L1176" s="3">
        <f>IF(K1176=1,IFERROR(MATCH('ORDENES'!$R1172,lista_dias,0),9)*1000000000+IFERROR(MATCH('ORDENES'!$AC1172,lista_turnos,0),9)*10000000+IFERROR(MATCH('ORDENES'!$AB1172,'TECNICOS'!$B$4:$B$15,0),99)*100000+1169,9000000000000+1169)</f>
        <v/>
      </c>
      <c r="M1176" s="3">
        <f>IF(K1176=1,SUMPRODUCT(--($L$8:$L$1207&lt;L1176))+1,"")</f>
        <v/>
      </c>
      <c r="N1176" s="17">
        <f>IF(K1176=1,N('ORDENES'!$M1172),0)</f>
        <v/>
      </c>
      <c r="O1176" s="17">
        <f>IF('ORDENES'!$S1172="preventiva",N1176,0)</f>
        <v/>
      </c>
      <c r="P1176" s="17">
        <f>IF('ORDENES'!$S1172="correctiva",N1176,0)</f>
        <v/>
      </c>
      <c r="Q1176" s="3">
        <f>IF(AND(K1176=1,'ORDENES'!$N1172="Pendiente"),1,0)</f>
        <v/>
      </c>
      <c r="R1176" s="3">
        <f>IF(Q1176=1,100000-N1176*1000+1169*0.01,9000000000000+1169)</f>
        <v/>
      </c>
      <c r="S1176" s="3">
        <f>IF(Q1176=1,SUMPRODUCT(--($R$8:$R$1207&lt;R1176))+1,"")</f>
        <v/>
      </c>
      <c r="T1176" s="11">
        <f>IF(K1176=1,'ORDENES'!$J1172,"")</f>
        <v/>
      </c>
    </row>
    <row r="1177">
      <c r="K1177" s="3">
        <f>IF(AND(IF($B$3="(todos)",TRUE,'ORDENES'!$O1173=$B$3),IF($D$3="(todos)",TRUE,'ORDENES'!$AC1173=$D$3),IF($F$3="(todos)",TRUE,'ORDENES'!$V1173=$F$3),'ORDENES'!$AA1173=TRUE,'ORDENES'!$A1173&lt;&gt;""),1,0)</f>
        <v/>
      </c>
      <c r="L1177" s="3">
        <f>IF(K1177=1,IFERROR(MATCH('ORDENES'!$R1173,lista_dias,0),9)*1000000000+IFERROR(MATCH('ORDENES'!$AC1173,lista_turnos,0),9)*10000000+IFERROR(MATCH('ORDENES'!$AB1173,'TECNICOS'!$B$4:$B$15,0),99)*100000+1170,9000000000000+1170)</f>
        <v/>
      </c>
      <c r="M1177" s="3">
        <f>IF(K1177=1,SUMPRODUCT(--($L$8:$L$1207&lt;L1177))+1,"")</f>
        <v/>
      </c>
      <c r="N1177" s="17">
        <f>IF(K1177=1,N('ORDENES'!$M1173),0)</f>
        <v/>
      </c>
      <c r="O1177" s="17">
        <f>IF('ORDENES'!$S1173="preventiva",N1177,0)</f>
        <v/>
      </c>
      <c r="P1177" s="17">
        <f>IF('ORDENES'!$S1173="correctiva",N1177,0)</f>
        <v/>
      </c>
      <c r="Q1177" s="3">
        <f>IF(AND(K1177=1,'ORDENES'!$N1173="Pendiente"),1,0)</f>
        <v/>
      </c>
      <c r="R1177" s="3">
        <f>IF(Q1177=1,100000-N1177*1000+1170*0.01,9000000000000+1170)</f>
        <v/>
      </c>
      <c r="S1177" s="3">
        <f>IF(Q1177=1,SUMPRODUCT(--($R$8:$R$1207&lt;R1177))+1,"")</f>
        <v/>
      </c>
      <c r="T1177" s="11">
        <f>IF(K1177=1,'ORDENES'!$J1173,"")</f>
        <v/>
      </c>
    </row>
    <row r="1178">
      <c r="K1178" s="3">
        <f>IF(AND(IF($B$3="(todos)",TRUE,'ORDENES'!$O1174=$B$3),IF($D$3="(todos)",TRUE,'ORDENES'!$AC1174=$D$3),IF($F$3="(todos)",TRUE,'ORDENES'!$V1174=$F$3),'ORDENES'!$AA1174=TRUE,'ORDENES'!$A1174&lt;&gt;""),1,0)</f>
        <v/>
      </c>
      <c r="L1178" s="3">
        <f>IF(K1178=1,IFERROR(MATCH('ORDENES'!$R1174,lista_dias,0),9)*1000000000+IFERROR(MATCH('ORDENES'!$AC1174,lista_turnos,0),9)*10000000+IFERROR(MATCH('ORDENES'!$AB1174,'TECNICOS'!$B$4:$B$15,0),99)*100000+1171,9000000000000+1171)</f>
        <v/>
      </c>
      <c r="M1178" s="3">
        <f>IF(K1178=1,SUMPRODUCT(--($L$8:$L$1207&lt;L1178))+1,"")</f>
        <v/>
      </c>
      <c r="N1178" s="17">
        <f>IF(K1178=1,N('ORDENES'!$M1174),0)</f>
        <v/>
      </c>
      <c r="O1178" s="17">
        <f>IF('ORDENES'!$S1174="preventiva",N1178,0)</f>
        <v/>
      </c>
      <c r="P1178" s="17">
        <f>IF('ORDENES'!$S1174="correctiva",N1178,0)</f>
        <v/>
      </c>
      <c r="Q1178" s="3">
        <f>IF(AND(K1178=1,'ORDENES'!$N1174="Pendiente"),1,0)</f>
        <v/>
      </c>
      <c r="R1178" s="3">
        <f>IF(Q1178=1,100000-N1178*1000+1171*0.01,9000000000000+1171)</f>
        <v/>
      </c>
      <c r="S1178" s="3">
        <f>IF(Q1178=1,SUMPRODUCT(--($R$8:$R$1207&lt;R1178))+1,"")</f>
        <v/>
      </c>
      <c r="T1178" s="11">
        <f>IF(K1178=1,'ORDENES'!$J1174,"")</f>
        <v/>
      </c>
    </row>
    <row r="1179">
      <c r="K1179" s="3">
        <f>IF(AND(IF($B$3="(todos)",TRUE,'ORDENES'!$O1175=$B$3),IF($D$3="(todos)",TRUE,'ORDENES'!$AC1175=$D$3),IF($F$3="(todos)",TRUE,'ORDENES'!$V1175=$F$3),'ORDENES'!$AA1175=TRUE,'ORDENES'!$A1175&lt;&gt;""),1,0)</f>
        <v/>
      </c>
      <c r="L1179" s="3">
        <f>IF(K1179=1,IFERROR(MATCH('ORDENES'!$R1175,lista_dias,0),9)*1000000000+IFERROR(MATCH('ORDENES'!$AC1175,lista_turnos,0),9)*10000000+IFERROR(MATCH('ORDENES'!$AB1175,'TECNICOS'!$B$4:$B$15,0),99)*100000+1172,9000000000000+1172)</f>
        <v/>
      </c>
      <c r="M1179" s="3">
        <f>IF(K1179=1,SUMPRODUCT(--($L$8:$L$1207&lt;L1179))+1,"")</f>
        <v/>
      </c>
      <c r="N1179" s="17">
        <f>IF(K1179=1,N('ORDENES'!$M1175),0)</f>
        <v/>
      </c>
      <c r="O1179" s="17">
        <f>IF('ORDENES'!$S1175="preventiva",N1179,0)</f>
        <v/>
      </c>
      <c r="P1179" s="17">
        <f>IF('ORDENES'!$S1175="correctiva",N1179,0)</f>
        <v/>
      </c>
      <c r="Q1179" s="3">
        <f>IF(AND(K1179=1,'ORDENES'!$N1175="Pendiente"),1,0)</f>
        <v/>
      </c>
      <c r="R1179" s="3">
        <f>IF(Q1179=1,100000-N1179*1000+1172*0.01,9000000000000+1172)</f>
        <v/>
      </c>
      <c r="S1179" s="3">
        <f>IF(Q1179=1,SUMPRODUCT(--($R$8:$R$1207&lt;R1179))+1,"")</f>
        <v/>
      </c>
      <c r="T1179" s="11">
        <f>IF(K1179=1,'ORDENES'!$J1175,"")</f>
        <v/>
      </c>
    </row>
    <row r="1180">
      <c r="K1180" s="3">
        <f>IF(AND(IF($B$3="(todos)",TRUE,'ORDENES'!$O1176=$B$3),IF($D$3="(todos)",TRUE,'ORDENES'!$AC1176=$D$3),IF($F$3="(todos)",TRUE,'ORDENES'!$V1176=$F$3),'ORDENES'!$AA1176=TRUE,'ORDENES'!$A1176&lt;&gt;""),1,0)</f>
        <v/>
      </c>
      <c r="L1180" s="3">
        <f>IF(K1180=1,IFERROR(MATCH('ORDENES'!$R1176,lista_dias,0),9)*1000000000+IFERROR(MATCH('ORDENES'!$AC1176,lista_turnos,0),9)*10000000+IFERROR(MATCH('ORDENES'!$AB1176,'TECNICOS'!$B$4:$B$15,0),99)*100000+1173,9000000000000+1173)</f>
        <v/>
      </c>
      <c r="M1180" s="3">
        <f>IF(K1180=1,SUMPRODUCT(--($L$8:$L$1207&lt;L1180))+1,"")</f>
        <v/>
      </c>
      <c r="N1180" s="17">
        <f>IF(K1180=1,N('ORDENES'!$M1176),0)</f>
        <v/>
      </c>
      <c r="O1180" s="17">
        <f>IF('ORDENES'!$S1176="preventiva",N1180,0)</f>
        <v/>
      </c>
      <c r="P1180" s="17">
        <f>IF('ORDENES'!$S1176="correctiva",N1180,0)</f>
        <v/>
      </c>
      <c r="Q1180" s="3">
        <f>IF(AND(K1180=1,'ORDENES'!$N1176="Pendiente"),1,0)</f>
        <v/>
      </c>
      <c r="R1180" s="3">
        <f>IF(Q1180=1,100000-N1180*1000+1173*0.01,9000000000000+1173)</f>
        <v/>
      </c>
      <c r="S1180" s="3">
        <f>IF(Q1180=1,SUMPRODUCT(--($R$8:$R$1207&lt;R1180))+1,"")</f>
        <v/>
      </c>
      <c r="T1180" s="11">
        <f>IF(K1180=1,'ORDENES'!$J1176,"")</f>
        <v/>
      </c>
    </row>
    <row r="1181">
      <c r="K1181" s="3">
        <f>IF(AND(IF($B$3="(todos)",TRUE,'ORDENES'!$O1177=$B$3),IF($D$3="(todos)",TRUE,'ORDENES'!$AC1177=$D$3),IF($F$3="(todos)",TRUE,'ORDENES'!$V1177=$F$3),'ORDENES'!$AA1177=TRUE,'ORDENES'!$A1177&lt;&gt;""),1,0)</f>
        <v/>
      </c>
      <c r="L1181" s="3">
        <f>IF(K1181=1,IFERROR(MATCH('ORDENES'!$R1177,lista_dias,0),9)*1000000000+IFERROR(MATCH('ORDENES'!$AC1177,lista_turnos,0),9)*10000000+IFERROR(MATCH('ORDENES'!$AB1177,'TECNICOS'!$B$4:$B$15,0),99)*100000+1174,9000000000000+1174)</f>
        <v/>
      </c>
      <c r="M1181" s="3">
        <f>IF(K1181=1,SUMPRODUCT(--($L$8:$L$1207&lt;L1181))+1,"")</f>
        <v/>
      </c>
      <c r="N1181" s="17">
        <f>IF(K1181=1,N('ORDENES'!$M1177),0)</f>
        <v/>
      </c>
      <c r="O1181" s="17">
        <f>IF('ORDENES'!$S1177="preventiva",N1181,0)</f>
        <v/>
      </c>
      <c r="P1181" s="17">
        <f>IF('ORDENES'!$S1177="correctiva",N1181,0)</f>
        <v/>
      </c>
      <c r="Q1181" s="3">
        <f>IF(AND(K1181=1,'ORDENES'!$N1177="Pendiente"),1,0)</f>
        <v/>
      </c>
      <c r="R1181" s="3">
        <f>IF(Q1181=1,100000-N1181*1000+1174*0.01,9000000000000+1174)</f>
        <v/>
      </c>
      <c r="S1181" s="3">
        <f>IF(Q1181=1,SUMPRODUCT(--($R$8:$R$1207&lt;R1181))+1,"")</f>
        <v/>
      </c>
      <c r="T1181" s="11">
        <f>IF(K1181=1,'ORDENES'!$J1177,"")</f>
        <v/>
      </c>
    </row>
    <row r="1182">
      <c r="K1182" s="3">
        <f>IF(AND(IF($B$3="(todos)",TRUE,'ORDENES'!$O1178=$B$3),IF($D$3="(todos)",TRUE,'ORDENES'!$AC1178=$D$3),IF($F$3="(todos)",TRUE,'ORDENES'!$V1178=$F$3),'ORDENES'!$AA1178=TRUE,'ORDENES'!$A1178&lt;&gt;""),1,0)</f>
        <v/>
      </c>
      <c r="L1182" s="3">
        <f>IF(K1182=1,IFERROR(MATCH('ORDENES'!$R1178,lista_dias,0),9)*1000000000+IFERROR(MATCH('ORDENES'!$AC1178,lista_turnos,0),9)*10000000+IFERROR(MATCH('ORDENES'!$AB1178,'TECNICOS'!$B$4:$B$15,0),99)*100000+1175,9000000000000+1175)</f>
        <v/>
      </c>
      <c r="M1182" s="3">
        <f>IF(K1182=1,SUMPRODUCT(--($L$8:$L$1207&lt;L1182))+1,"")</f>
        <v/>
      </c>
      <c r="N1182" s="17">
        <f>IF(K1182=1,N('ORDENES'!$M1178),0)</f>
        <v/>
      </c>
      <c r="O1182" s="17">
        <f>IF('ORDENES'!$S1178="preventiva",N1182,0)</f>
        <v/>
      </c>
      <c r="P1182" s="17">
        <f>IF('ORDENES'!$S1178="correctiva",N1182,0)</f>
        <v/>
      </c>
      <c r="Q1182" s="3">
        <f>IF(AND(K1182=1,'ORDENES'!$N1178="Pendiente"),1,0)</f>
        <v/>
      </c>
      <c r="R1182" s="3">
        <f>IF(Q1182=1,100000-N1182*1000+1175*0.01,9000000000000+1175)</f>
        <v/>
      </c>
      <c r="S1182" s="3">
        <f>IF(Q1182=1,SUMPRODUCT(--($R$8:$R$1207&lt;R1182))+1,"")</f>
        <v/>
      </c>
      <c r="T1182" s="11">
        <f>IF(K1182=1,'ORDENES'!$J1178,"")</f>
        <v/>
      </c>
    </row>
    <row r="1183">
      <c r="K1183" s="3">
        <f>IF(AND(IF($B$3="(todos)",TRUE,'ORDENES'!$O1179=$B$3),IF($D$3="(todos)",TRUE,'ORDENES'!$AC1179=$D$3),IF($F$3="(todos)",TRUE,'ORDENES'!$V1179=$F$3),'ORDENES'!$AA1179=TRUE,'ORDENES'!$A1179&lt;&gt;""),1,0)</f>
        <v/>
      </c>
      <c r="L1183" s="3">
        <f>IF(K1183=1,IFERROR(MATCH('ORDENES'!$R1179,lista_dias,0),9)*1000000000+IFERROR(MATCH('ORDENES'!$AC1179,lista_turnos,0),9)*10000000+IFERROR(MATCH('ORDENES'!$AB1179,'TECNICOS'!$B$4:$B$15,0),99)*100000+1176,9000000000000+1176)</f>
        <v/>
      </c>
      <c r="M1183" s="3">
        <f>IF(K1183=1,SUMPRODUCT(--($L$8:$L$1207&lt;L1183))+1,"")</f>
        <v/>
      </c>
      <c r="N1183" s="17">
        <f>IF(K1183=1,N('ORDENES'!$M1179),0)</f>
        <v/>
      </c>
      <c r="O1183" s="17">
        <f>IF('ORDENES'!$S1179="preventiva",N1183,0)</f>
        <v/>
      </c>
      <c r="P1183" s="17">
        <f>IF('ORDENES'!$S1179="correctiva",N1183,0)</f>
        <v/>
      </c>
      <c r="Q1183" s="3">
        <f>IF(AND(K1183=1,'ORDENES'!$N1179="Pendiente"),1,0)</f>
        <v/>
      </c>
      <c r="R1183" s="3">
        <f>IF(Q1183=1,100000-N1183*1000+1176*0.01,9000000000000+1176)</f>
        <v/>
      </c>
      <c r="S1183" s="3">
        <f>IF(Q1183=1,SUMPRODUCT(--($R$8:$R$1207&lt;R1183))+1,"")</f>
        <v/>
      </c>
      <c r="T1183" s="11">
        <f>IF(K1183=1,'ORDENES'!$J1179,"")</f>
        <v/>
      </c>
    </row>
    <row r="1184">
      <c r="K1184" s="3">
        <f>IF(AND(IF($B$3="(todos)",TRUE,'ORDENES'!$O1180=$B$3),IF($D$3="(todos)",TRUE,'ORDENES'!$AC1180=$D$3),IF($F$3="(todos)",TRUE,'ORDENES'!$V1180=$F$3),'ORDENES'!$AA1180=TRUE,'ORDENES'!$A1180&lt;&gt;""),1,0)</f>
        <v/>
      </c>
      <c r="L1184" s="3">
        <f>IF(K1184=1,IFERROR(MATCH('ORDENES'!$R1180,lista_dias,0),9)*1000000000+IFERROR(MATCH('ORDENES'!$AC1180,lista_turnos,0),9)*10000000+IFERROR(MATCH('ORDENES'!$AB1180,'TECNICOS'!$B$4:$B$15,0),99)*100000+1177,9000000000000+1177)</f>
        <v/>
      </c>
      <c r="M1184" s="3">
        <f>IF(K1184=1,SUMPRODUCT(--($L$8:$L$1207&lt;L1184))+1,"")</f>
        <v/>
      </c>
      <c r="N1184" s="17">
        <f>IF(K1184=1,N('ORDENES'!$M1180),0)</f>
        <v/>
      </c>
      <c r="O1184" s="17">
        <f>IF('ORDENES'!$S1180="preventiva",N1184,0)</f>
        <v/>
      </c>
      <c r="P1184" s="17">
        <f>IF('ORDENES'!$S1180="correctiva",N1184,0)</f>
        <v/>
      </c>
      <c r="Q1184" s="3">
        <f>IF(AND(K1184=1,'ORDENES'!$N1180="Pendiente"),1,0)</f>
        <v/>
      </c>
      <c r="R1184" s="3">
        <f>IF(Q1184=1,100000-N1184*1000+1177*0.01,9000000000000+1177)</f>
        <v/>
      </c>
      <c r="S1184" s="3">
        <f>IF(Q1184=1,SUMPRODUCT(--($R$8:$R$1207&lt;R1184))+1,"")</f>
        <v/>
      </c>
      <c r="T1184" s="11">
        <f>IF(K1184=1,'ORDENES'!$J1180,"")</f>
        <v/>
      </c>
    </row>
    <row r="1185">
      <c r="K1185" s="3">
        <f>IF(AND(IF($B$3="(todos)",TRUE,'ORDENES'!$O1181=$B$3),IF($D$3="(todos)",TRUE,'ORDENES'!$AC1181=$D$3),IF($F$3="(todos)",TRUE,'ORDENES'!$V1181=$F$3),'ORDENES'!$AA1181=TRUE,'ORDENES'!$A1181&lt;&gt;""),1,0)</f>
        <v/>
      </c>
      <c r="L1185" s="3">
        <f>IF(K1185=1,IFERROR(MATCH('ORDENES'!$R1181,lista_dias,0),9)*1000000000+IFERROR(MATCH('ORDENES'!$AC1181,lista_turnos,0),9)*10000000+IFERROR(MATCH('ORDENES'!$AB1181,'TECNICOS'!$B$4:$B$15,0),99)*100000+1178,9000000000000+1178)</f>
        <v/>
      </c>
      <c r="M1185" s="3">
        <f>IF(K1185=1,SUMPRODUCT(--($L$8:$L$1207&lt;L1185))+1,"")</f>
        <v/>
      </c>
      <c r="N1185" s="17">
        <f>IF(K1185=1,N('ORDENES'!$M1181),0)</f>
        <v/>
      </c>
      <c r="O1185" s="17">
        <f>IF('ORDENES'!$S1181="preventiva",N1185,0)</f>
        <v/>
      </c>
      <c r="P1185" s="17">
        <f>IF('ORDENES'!$S1181="correctiva",N1185,0)</f>
        <v/>
      </c>
      <c r="Q1185" s="3">
        <f>IF(AND(K1185=1,'ORDENES'!$N1181="Pendiente"),1,0)</f>
        <v/>
      </c>
      <c r="R1185" s="3">
        <f>IF(Q1185=1,100000-N1185*1000+1178*0.01,9000000000000+1178)</f>
        <v/>
      </c>
      <c r="S1185" s="3">
        <f>IF(Q1185=1,SUMPRODUCT(--($R$8:$R$1207&lt;R1185))+1,"")</f>
        <v/>
      </c>
      <c r="T1185" s="11">
        <f>IF(K1185=1,'ORDENES'!$J1181,"")</f>
        <v/>
      </c>
    </row>
    <row r="1186">
      <c r="K1186" s="3">
        <f>IF(AND(IF($B$3="(todos)",TRUE,'ORDENES'!$O1182=$B$3),IF($D$3="(todos)",TRUE,'ORDENES'!$AC1182=$D$3),IF($F$3="(todos)",TRUE,'ORDENES'!$V1182=$F$3),'ORDENES'!$AA1182=TRUE,'ORDENES'!$A1182&lt;&gt;""),1,0)</f>
        <v/>
      </c>
      <c r="L1186" s="3">
        <f>IF(K1186=1,IFERROR(MATCH('ORDENES'!$R1182,lista_dias,0),9)*1000000000+IFERROR(MATCH('ORDENES'!$AC1182,lista_turnos,0),9)*10000000+IFERROR(MATCH('ORDENES'!$AB1182,'TECNICOS'!$B$4:$B$15,0),99)*100000+1179,9000000000000+1179)</f>
        <v/>
      </c>
      <c r="M1186" s="3">
        <f>IF(K1186=1,SUMPRODUCT(--($L$8:$L$1207&lt;L1186))+1,"")</f>
        <v/>
      </c>
      <c r="N1186" s="17">
        <f>IF(K1186=1,N('ORDENES'!$M1182),0)</f>
        <v/>
      </c>
      <c r="O1186" s="17">
        <f>IF('ORDENES'!$S1182="preventiva",N1186,0)</f>
        <v/>
      </c>
      <c r="P1186" s="17">
        <f>IF('ORDENES'!$S1182="correctiva",N1186,0)</f>
        <v/>
      </c>
      <c r="Q1186" s="3">
        <f>IF(AND(K1186=1,'ORDENES'!$N1182="Pendiente"),1,0)</f>
        <v/>
      </c>
      <c r="R1186" s="3">
        <f>IF(Q1186=1,100000-N1186*1000+1179*0.01,9000000000000+1179)</f>
        <v/>
      </c>
      <c r="S1186" s="3">
        <f>IF(Q1186=1,SUMPRODUCT(--($R$8:$R$1207&lt;R1186))+1,"")</f>
        <v/>
      </c>
      <c r="T1186" s="11">
        <f>IF(K1186=1,'ORDENES'!$J1182,"")</f>
        <v/>
      </c>
    </row>
    <row r="1187">
      <c r="K1187" s="3">
        <f>IF(AND(IF($B$3="(todos)",TRUE,'ORDENES'!$O1183=$B$3),IF($D$3="(todos)",TRUE,'ORDENES'!$AC1183=$D$3),IF($F$3="(todos)",TRUE,'ORDENES'!$V1183=$F$3),'ORDENES'!$AA1183=TRUE,'ORDENES'!$A1183&lt;&gt;""),1,0)</f>
        <v/>
      </c>
      <c r="L1187" s="3">
        <f>IF(K1187=1,IFERROR(MATCH('ORDENES'!$R1183,lista_dias,0),9)*1000000000+IFERROR(MATCH('ORDENES'!$AC1183,lista_turnos,0),9)*10000000+IFERROR(MATCH('ORDENES'!$AB1183,'TECNICOS'!$B$4:$B$15,0),99)*100000+1180,9000000000000+1180)</f>
        <v/>
      </c>
      <c r="M1187" s="3">
        <f>IF(K1187=1,SUMPRODUCT(--($L$8:$L$1207&lt;L1187))+1,"")</f>
        <v/>
      </c>
      <c r="N1187" s="17">
        <f>IF(K1187=1,N('ORDENES'!$M1183),0)</f>
        <v/>
      </c>
      <c r="O1187" s="17">
        <f>IF('ORDENES'!$S1183="preventiva",N1187,0)</f>
        <v/>
      </c>
      <c r="P1187" s="17">
        <f>IF('ORDENES'!$S1183="correctiva",N1187,0)</f>
        <v/>
      </c>
      <c r="Q1187" s="3">
        <f>IF(AND(K1187=1,'ORDENES'!$N1183="Pendiente"),1,0)</f>
        <v/>
      </c>
      <c r="R1187" s="3">
        <f>IF(Q1187=1,100000-N1187*1000+1180*0.01,9000000000000+1180)</f>
        <v/>
      </c>
      <c r="S1187" s="3">
        <f>IF(Q1187=1,SUMPRODUCT(--($R$8:$R$1207&lt;R1187))+1,"")</f>
        <v/>
      </c>
      <c r="T1187" s="11">
        <f>IF(K1187=1,'ORDENES'!$J1183,"")</f>
        <v/>
      </c>
    </row>
    <row r="1188">
      <c r="K1188" s="3">
        <f>IF(AND(IF($B$3="(todos)",TRUE,'ORDENES'!$O1184=$B$3),IF($D$3="(todos)",TRUE,'ORDENES'!$AC1184=$D$3),IF($F$3="(todos)",TRUE,'ORDENES'!$V1184=$F$3),'ORDENES'!$AA1184=TRUE,'ORDENES'!$A1184&lt;&gt;""),1,0)</f>
        <v/>
      </c>
      <c r="L1188" s="3">
        <f>IF(K1188=1,IFERROR(MATCH('ORDENES'!$R1184,lista_dias,0),9)*1000000000+IFERROR(MATCH('ORDENES'!$AC1184,lista_turnos,0),9)*10000000+IFERROR(MATCH('ORDENES'!$AB1184,'TECNICOS'!$B$4:$B$15,0),99)*100000+1181,9000000000000+1181)</f>
        <v/>
      </c>
      <c r="M1188" s="3">
        <f>IF(K1188=1,SUMPRODUCT(--($L$8:$L$1207&lt;L1188))+1,"")</f>
        <v/>
      </c>
      <c r="N1188" s="17">
        <f>IF(K1188=1,N('ORDENES'!$M1184),0)</f>
        <v/>
      </c>
      <c r="O1188" s="17">
        <f>IF('ORDENES'!$S1184="preventiva",N1188,0)</f>
        <v/>
      </c>
      <c r="P1188" s="17">
        <f>IF('ORDENES'!$S1184="correctiva",N1188,0)</f>
        <v/>
      </c>
      <c r="Q1188" s="3">
        <f>IF(AND(K1188=1,'ORDENES'!$N1184="Pendiente"),1,0)</f>
        <v/>
      </c>
      <c r="R1188" s="3">
        <f>IF(Q1188=1,100000-N1188*1000+1181*0.01,9000000000000+1181)</f>
        <v/>
      </c>
      <c r="S1188" s="3">
        <f>IF(Q1188=1,SUMPRODUCT(--($R$8:$R$1207&lt;R1188))+1,"")</f>
        <v/>
      </c>
      <c r="T1188" s="11">
        <f>IF(K1188=1,'ORDENES'!$J1184,"")</f>
        <v/>
      </c>
    </row>
    <row r="1189">
      <c r="K1189" s="3">
        <f>IF(AND(IF($B$3="(todos)",TRUE,'ORDENES'!$O1185=$B$3),IF($D$3="(todos)",TRUE,'ORDENES'!$AC1185=$D$3),IF($F$3="(todos)",TRUE,'ORDENES'!$V1185=$F$3),'ORDENES'!$AA1185=TRUE,'ORDENES'!$A1185&lt;&gt;""),1,0)</f>
        <v/>
      </c>
      <c r="L1189" s="3">
        <f>IF(K1189=1,IFERROR(MATCH('ORDENES'!$R1185,lista_dias,0),9)*1000000000+IFERROR(MATCH('ORDENES'!$AC1185,lista_turnos,0),9)*10000000+IFERROR(MATCH('ORDENES'!$AB1185,'TECNICOS'!$B$4:$B$15,0),99)*100000+1182,9000000000000+1182)</f>
        <v/>
      </c>
      <c r="M1189" s="3">
        <f>IF(K1189=1,SUMPRODUCT(--($L$8:$L$1207&lt;L1189))+1,"")</f>
        <v/>
      </c>
      <c r="N1189" s="17">
        <f>IF(K1189=1,N('ORDENES'!$M1185),0)</f>
        <v/>
      </c>
      <c r="O1189" s="17">
        <f>IF('ORDENES'!$S1185="preventiva",N1189,0)</f>
        <v/>
      </c>
      <c r="P1189" s="17">
        <f>IF('ORDENES'!$S1185="correctiva",N1189,0)</f>
        <v/>
      </c>
      <c r="Q1189" s="3">
        <f>IF(AND(K1189=1,'ORDENES'!$N1185="Pendiente"),1,0)</f>
        <v/>
      </c>
      <c r="R1189" s="3">
        <f>IF(Q1189=1,100000-N1189*1000+1182*0.01,9000000000000+1182)</f>
        <v/>
      </c>
      <c r="S1189" s="3">
        <f>IF(Q1189=1,SUMPRODUCT(--($R$8:$R$1207&lt;R1189))+1,"")</f>
        <v/>
      </c>
      <c r="T1189" s="11">
        <f>IF(K1189=1,'ORDENES'!$J1185,"")</f>
        <v/>
      </c>
    </row>
    <row r="1190">
      <c r="K1190" s="3">
        <f>IF(AND(IF($B$3="(todos)",TRUE,'ORDENES'!$O1186=$B$3),IF($D$3="(todos)",TRUE,'ORDENES'!$AC1186=$D$3),IF($F$3="(todos)",TRUE,'ORDENES'!$V1186=$F$3),'ORDENES'!$AA1186=TRUE,'ORDENES'!$A1186&lt;&gt;""),1,0)</f>
        <v/>
      </c>
      <c r="L1190" s="3">
        <f>IF(K1190=1,IFERROR(MATCH('ORDENES'!$R1186,lista_dias,0),9)*1000000000+IFERROR(MATCH('ORDENES'!$AC1186,lista_turnos,0),9)*10000000+IFERROR(MATCH('ORDENES'!$AB1186,'TECNICOS'!$B$4:$B$15,0),99)*100000+1183,9000000000000+1183)</f>
        <v/>
      </c>
      <c r="M1190" s="3">
        <f>IF(K1190=1,SUMPRODUCT(--($L$8:$L$1207&lt;L1190))+1,"")</f>
        <v/>
      </c>
      <c r="N1190" s="17">
        <f>IF(K1190=1,N('ORDENES'!$M1186),0)</f>
        <v/>
      </c>
      <c r="O1190" s="17">
        <f>IF('ORDENES'!$S1186="preventiva",N1190,0)</f>
        <v/>
      </c>
      <c r="P1190" s="17">
        <f>IF('ORDENES'!$S1186="correctiva",N1190,0)</f>
        <v/>
      </c>
      <c r="Q1190" s="3">
        <f>IF(AND(K1190=1,'ORDENES'!$N1186="Pendiente"),1,0)</f>
        <v/>
      </c>
      <c r="R1190" s="3">
        <f>IF(Q1190=1,100000-N1190*1000+1183*0.01,9000000000000+1183)</f>
        <v/>
      </c>
      <c r="S1190" s="3">
        <f>IF(Q1190=1,SUMPRODUCT(--($R$8:$R$1207&lt;R1190))+1,"")</f>
        <v/>
      </c>
      <c r="T1190" s="11">
        <f>IF(K1190=1,'ORDENES'!$J1186,"")</f>
        <v/>
      </c>
    </row>
    <row r="1191">
      <c r="K1191" s="3">
        <f>IF(AND(IF($B$3="(todos)",TRUE,'ORDENES'!$O1187=$B$3),IF($D$3="(todos)",TRUE,'ORDENES'!$AC1187=$D$3),IF($F$3="(todos)",TRUE,'ORDENES'!$V1187=$F$3),'ORDENES'!$AA1187=TRUE,'ORDENES'!$A1187&lt;&gt;""),1,0)</f>
        <v/>
      </c>
      <c r="L1191" s="3">
        <f>IF(K1191=1,IFERROR(MATCH('ORDENES'!$R1187,lista_dias,0),9)*1000000000+IFERROR(MATCH('ORDENES'!$AC1187,lista_turnos,0),9)*10000000+IFERROR(MATCH('ORDENES'!$AB1187,'TECNICOS'!$B$4:$B$15,0),99)*100000+1184,9000000000000+1184)</f>
        <v/>
      </c>
      <c r="M1191" s="3">
        <f>IF(K1191=1,SUMPRODUCT(--($L$8:$L$1207&lt;L1191))+1,"")</f>
        <v/>
      </c>
      <c r="N1191" s="17">
        <f>IF(K1191=1,N('ORDENES'!$M1187),0)</f>
        <v/>
      </c>
      <c r="O1191" s="17">
        <f>IF('ORDENES'!$S1187="preventiva",N1191,0)</f>
        <v/>
      </c>
      <c r="P1191" s="17">
        <f>IF('ORDENES'!$S1187="correctiva",N1191,0)</f>
        <v/>
      </c>
      <c r="Q1191" s="3">
        <f>IF(AND(K1191=1,'ORDENES'!$N1187="Pendiente"),1,0)</f>
        <v/>
      </c>
      <c r="R1191" s="3">
        <f>IF(Q1191=1,100000-N1191*1000+1184*0.01,9000000000000+1184)</f>
        <v/>
      </c>
      <c r="S1191" s="3">
        <f>IF(Q1191=1,SUMPRODUCT(--($R$8:$R$1207&lt;R1191))+1,"")</f>
        <v/>
      </c>
      <c r="T1191" s="11">
        <f>IF(K1191=1,'ORDENES'!$J1187,"")</f>
        <v/>
      </c>
    </row>
    <row r="1192">
      <c r="K1192" s="3">
        <f>IF(AND(IF($B$3="(todos)",TRUE,'ORDENES'!$O1188=$B$3),IF($D$3="(todos)",TRUE,'ORDENES'!$AC1188=$D$3),IF($F$3="(todos)",TRUE,'ORDENES'!$V1188=$F$3),'ORDENES'!$AA1188=TRUE,'ORDENES'!$A1188&lt;&gt;""),1,0)</f>
        <v/>
      </c>
      <c r="L1192" s="3">
        <f>IF(K1192=1,IFERROR(MATCH('ORDENES'!$R1188,lista_dias,0),9)*1000000000+IFERROR(MATCH('ORDENES'!$AC1188,lista_turnos,0),9)*10000000+IFERROR(MATCH('ORDENES'!$AB1188,'TECNICOS'!$B$4:$B$15,0),99)*100000+1185,9000000000000+1185)</f>
        <v/>
      </c>
      <c r="M1192" s="3">
        <f>IF(K1192=1,SUMPRODUCT(--($L$8:$L$1207&lt;L1192))+1,"")</f>
        <v/>
      </c>
      <c r="N1192" s="17">
        <f>IF(K1192=1,N('ORDENES'!$M1188),0)</f>
        <v/>
      </c>
      <c r="O1192" s="17">
        <f>IF('ORDENES'!$S1188="preventiva",N1192,0)</f>
        <v/>
      </c>
      <c r="P1192" s="17">
        <f>IF('ORDENES'!$S1188="correctiva",N1192,0)</f>
        <v/>
      </c>
      <c r="Q1192" s="3">
        <f>IF(AND(K1192=1,'ORDENES'!$N1188="Pendiente"),1,0)</f>
        <v/>
      </c>
      <c r="R1192" s="3">
        <f>IF(Q1192=1,100000-N1192*1000+1185*0.01,9000000000000+1185)</f>
        <v/>
      </c>
      <c r="S1192" s="3">
        <f>IF(Q1192=1,SUMPRODUCT(--($R$8:$R$1207&lt;R1192))+1,"")</f>
        <v/>
      </c>
      <c r="T1192" s="11">
        <f>IF(K1192=1,'ORDENES'!$J1188,"")</f>
        <v/>
      </c>
    </row>
    <row r="1193">
      <c r="K1193" s="3">
        <f>IF(AND(IF($B$3="(todos)",TRUE,'ORDENES'!$O1189=$B$3),IF($D$3="(todos)",TRUE,'ORDENES'!$AC1189=$D$3),IF($F$3="(todos)",TRUE,'ORDENES'!$V1189=$F$3),'ORDENES'!$AA1189=TRUE,'ORDENES'!$A1189&lt;&gt;""),1,0)</f>
        <v/>
      </c>
      <c r="L1193" s="3">
        <f>IF(K1193=1,IFERROR(MATCH('ORDENES'!$R1189,lista_dias,0),9)*1000000000+IFERROR(MATCH('ORDENES'!$AC1189,lista_turnos,0),9)*10000000+IFERROR(MATCH('ORDENES'!$AB1189,'TECNICOS'!$B$4:$B$15,0),99)*100000+1186,9000000000000+1186)</f>
        <v/>
      </c>
      <c r="M1193" s="3">
        <f>IF(K1193=1,SUMPRODUCT(--($L$8:$L$1207&lt;L1193))+1,"")</f>
        <v/>
      </c>
      <c r="N1193" s="17">
        <f>IF(K1193=1,N('ORDENES'!$M1189),0)</f>
        <v/>
      </c>
      <c r="O1193" s="17">
        <f>IF('ORDENES'!$S1189="preventiva",N1193,0)</f>
        <v/>
      </c>
      <c r="P1193" s="17">
        <f>IF('ORDENES'!$S1189="correctiva",N1193,0)</f>
        <v/>
      </c>
      <c r="Q1193" s="3">
        <f>IF(AND(K1193=1,'ORDENES'!$N1189="Pendiente"),1,0)</f>
        <v/>
      </c>
      <c r="R1193" s="3">
        <f>IF(Q1193=1,100000-N1193*1000+1186*0.01,9000000000000+1186)</f>
        <v/>
      </c>
      <c r="S1193" s="3">
        <f>IF(Q1193=1,SUMPRODUCT(--($R$8:$R$1207&lt;R1193))+1,"")</f>
        <v/>
      </c>
      <c r="T1193" s="11">
        <f>IF(K1193=1,'ORDENES'!$J1189,"")</f>
        <v/>
      </c>
    </row>
    <row r="1194">
      <c r="K1194" s="3">
        <f>IF(AND(IF($B$3="(todos)",TRUE,'ORDENES'!$O1190=$B$3),IF($D$3="(todos)",TRUE,'ORDENES'!$AC1190=$D$3),IF($F$3="(todos)",TRUE,'ORDENES'!$V1190=$F$3),'ORDENES'!$AA1190=TRUE,'ORDENES'!$A1190&lt;&gt;""),1,0)</f>
        <v/>
      </c>
      <c r="L1194" s="3">
        <f>IF(K1194=1,IFERROR(MATCH('ORDENES'!$R1190,lista_dias,0),9)*1000000000+IFERROR(MATCH('ORDENES'!$AC1190,lista_turnos,0),9)*10000000+IFERROR(MATCH('ORDENES'!$AB1190,'TECNICOS'!$B$4:$B$15,0),99)*100000+1187,9000000000000+1187)</f>
        <v/>
      </c>
      <c r="M1194" s="3">
        <f>IF(K1194=1,SUMPRODUCT(--($L$8:$L$1207&lt;L1194))+1,"")</f>
        <v/>
      </c>
      <c r="N1194" s="17">
        <f>IF(K1194=1,N('ORDENES'!$M1190),0)</f>
        <v/>
      </c>
      <c r="O1194" s="17">
        <f>IF('ORDENES'!$S1190="preventiva",N1194,0)</f>
        <v/>
      </c>
      <c r="P1194" s="17">
        <f>IF('ORDENES'!$S1190="correctiva",N1194,0)</f>
        <v/>
      </c>
      <c r="Q1194" s="3">
        <f>IF(AND(K1194=1,'ORDENES'!$N1190="Pendiente"),1,0)</f>
        <v/>
      </c>
      <c r="R1194" s="3">
        <f>IF(Q1194=1,100000-N1194*1000+1187*0.01,9000000000000+1187)</f>
        <v/>
      </c>
      <c r="S1194" s="3">
        <f>IF(Q1194=1,SUMPRODUCT(--($R$8:$R$1207&lt;R1194))+1,"")</f>
        <v/>
      </c>
      <c r="T1194" s="11">
        <f>IF(K1194=1,'ORDENES'!$J1190,"")</f>
        <v/>
      </c>
    </row>
    <row r="1195">
      <c r="K1195" s="3">
        <f>IF(AND(IF($B$3="(todos)",TRUE,'ORDENES'!$O1191=$B$3),IF($D$3="(todos)",TRUE,'ORDENES'!$AC1191=$D$3),IF($F$3="(todos)",TRUE,'ORDENES'!$V1191=$F$3),'ORDENES'!$AA1191=TRUE,'ORDENES'!$A1191&lt;&gt;""),1,0)</f>
        <v/>
      </c>
      <c r="L1195" s="3">
        <f>IF(K1195=1,IFERROR(MATCH('ORDENES'!$R1191,lista_dias,0),9)*1000000000+IFERROR(MATCH('ORDENES'!$AC1191,lista_turnos,0),9)*10000000+IFERROR(MATCH('ORDENES'!$AB1191,'TECNICOS'!$B$4:$B$15,0),99)*100000+1188,9000000000000+1188)</f>
        <v/>
      </c>
      <c r="M1195" s="3">
        <f>IF(K1195=1,SUMPRODUCT(--($L$8:$L$1207&lt;L1195))+1,"")</f>
        <v/>
      </c>
      <c r="N1195" s="17">
        <f>IF(K1195=1,N('ORDENES'!$M1191),0)</f>
        <v/>
      </c>
      <c r="O1195" s="17">
        <f>IF('ORDENES'!$S1191="preventiva",N1195,0)</f>
        <v/>
      </c>
      <c r="P1195" s="17">
        <f>IF('ORDENES'!$S1191="correctiva",N1195,0)</f>
        <v/>
      </c>
      <c r="Q1195" s="3">
        <f>IF(AND(K1195=1,'ORDENES'!$N1191="Pendiente"),1,0)</f>
        <v/>
      </c>
      <c r="R1195" s="3">
        <f>IF(Q1195=1,100000-N1195*1000+1188*0.01,9000000000000+1188)</f>
        <v/>
      </c>
      <c r="S1195" s="3">
        <f>IF(Q1195=1,SUMPRODUCT(--($R$8:$R$1207&lt;R1195))+1,"")</f>
        <v/>
      </c>
      <c r="T1195" s="11">
        <f>IF(K1195=1,'ORDENES'!$J1191,"")</f>
        <v/>
      </c>
    </row>
    <row r="1196">
      <c r="K1196" s="3">
        <f>IF(AND(IF($B$3="(todos)",TRUE,'ORDENES'!$O1192=$B$3),IF($D$3="(todos)",TRUE,'ORDENES'!$AC1192=$D$3),IF($F$3="(todos)",TRUE,'ORDENES'!$V1192=$F$3),'ORDENES'!$AA1192=TRUE,'ORDENES'!$A1192&lt;&gt;""),1,0)</f>
        <v/>
      </c>
      <c r="L1196" s="3">
        <f>IF(K1196=1,IFERROR(MATCH('ORDENES'!$R1192,lista_dias,0),9)*1000000000+IFERROR(MATCH('ORDENES'!$AC1192,lista_turnos,0),9)*10000000+IFERROR(MATCH('ORDENES'!$AB1192,'TECNICOS'!$B$4:$B$15,0),99)*100000+1189,9000000000000+1189)</f>
        <v/>
      </c>
      <c r="M1196" s="3">
        <f>IF(K1196=1,SUMPRODUCT(--($L$8:$L$1207&lt;L1196))+1,"")</f>
        <v/>
      </c>
      <c r="N1196" s="17">
        <f>IF(K1196=1,N('ORDENES'!$M1192),0)</f>
        <v/>
      </c>
      <c r="O1196" s="17">
        <f>IF('ORDENES'!$S1192="preventiva",N1196,0)</f>
        <v/>
      </c>
      <c r="P1196" s="17">
        <f>IF('ORDENES'!$S1192="correctiva",N1196,0)</f>
        <v/>
      </c>
      <c r="Q1196" s="3">
        <f>IF(AND(K1196=1,'ORDENES'!$N1192="Pendiente"),1,0)</f>
        <v/>
      </c>
      <c r="R1196" s="3">
        <f>IF(Q1196=1,100000-N1196*1000+1189*0.01,9000000000000+1189)</f>
        <v/>
      </c>
      <c r="S1196" s="3">
        <f>IF(Q1196=1,SUMPRODUCT(--($R$8:$R$1207&lt;R1196))+1,"")</f>
        <v/>
      </c>
      <c r="T1196" s="11">
        <f>IF(K1196=1,'ORDENES'!$J1192,"")</f>
        <v/>
      </c>
    </row>
    <row r="1197">
      <c r="K1197" s="3">
        <f>IF(AND(IF($B$3="(todos)",TRUE,'ORDENES'!$O1193=$B$3),IF($D$3="(todos)",TRUE,'ORDENES'!$AC1193=$D$3),IF($F$3="(todos)",TRUE,'ORDENES'!$V1193=$F$3),'ORDENES'!$AA1193=TRUE,'ORDENES'!$A1193&lt;&gt;""),1,0)</f>
        <v/>
      </c>
      <c r="L1197" s="3">
        <f>IF(K1197=1,IFERROR(MATCH('ORDENES'!$R1193,lista_dias,0),9)*1000000000+IFERROR(MATCH('ORDENES'!$AC1193,lista_turnos,0),9)*10000000+IFERROR(MATCH('ORDENES'!$AB1193,'TECNICOS'!$B$4:$B$15,0),99)*100000+1190,9000000000000+1190)</f>
        <v/>
      </c>
      <c r="M1197" s="3">
        <f>IF(K1197=1,SUMPRODUCT(--($L$8:$L$1207&lt;L1197))+1,"")</f>
        <v/>
      </c>
      <c r="N1197" s="17">
        <f>IF(K1197=1,N('ORDENES'!$M1193),0)</f>
        <v/>
      </c>
      <c r="O1197" s="17">
        <f>IF('ORDENES'!$S1193="preventiva",N1197,0)</f>
        <v/>
      </c>
      <c r="P1197" s="17">
        <f>IF('ORDENES'!$S1193="correctiva",N1197,0)</f>
        <v/>
      </c>
      <c r="Q1197" s="3">
        <f>IF(AND(K1197=1,'ORDENES'!$N1193="Pendiente"),1,0)</f>
        <v/>
      </c>
      <c r="R1197" s="3">
        <f>IF(Q1197=1,100000-N1197*1000+1190*0.01,9000000000000+1190)</f>
        <v/>
      </c>
      <c r="S1197" s="3">
        <f>IF(Q1197=1,SUMPRODUCT(--($R$8:$R$1207&lt;R1197))+1,"")</f>
        <v/>
      </c>
      <c r="T1197" s="11">
        <f>IF(K1197=1,'ORDENES'!$J1193,"")</f>
        <v/>
      </c>
    </row>
    <row r="1198">
      <c r="K1198" s="3">
        <f>IF(AND(IF($B$3="(todos)",TRUE,'ORDENES'!$O1194=$B$3),IF($D$3="(todos)",TRUE,'ORDENES'!$AC1194=$D$3),IF($F$3="(todos)",TRUE,'ORDENES'!$V1194=$F$3),'ORDENES'!$AA1194=TRUE,'ORDENES'!$A1194&lt;&gt;""),1,0)</f>
        <v/>
      </c>
      <c r="L1198" s="3">
        <f>IF(K1198=1,IFERROR(MATCH('ORDENES'!$R1194,lista_dias,0),9)*1000000000+IFERROR(MATCH('ORDENES'!$AC1194,lista_turnos,0),9)*10000000+IFERROR(MATCH('ORDENES'!$AB1194,'TECNICOS'!$B$4:$B$15,0),99)*100000+1191,9000000000000+1191)</f>
        <v/>
      </c>
      <c r="M1198" s="3">
        <f>IF(K1198=1,SUMPRODUCT(--($L$8:$L$1207&lt;L1198))+1,"")</f>
        <v/>
      </c>
      <c r="N1198" s="17">
        <f>IF(K1198=1,N('ORDENES'!$M1194),0)</f>
        <v/>
      </c>
      <c r="O1198" s="17">
        <f>IF('ORDENES'!$S1194="preventiva",N1198,0)</f>
        <v/>
      </c>
      <c r="P1198" s="17">
        <f>IF('ORDENES'!$S1194="correctiva",N1198,0)</f>
        <v/>
      </c>
      <c r="Q1198" s="3">
        <f>IF(AND(K1198=1,'ORDENES'!$N1194="Pendiente"),1,0)</f>
        <v/>
      </c>
      <c r="R1198" s="3">
        <f>IF(Q1198=1,100000-N1198*1000+1191*0.01,9000000000000+1191)</f>
        <v/>
      </c>
      <c r="S1198" s="3">
        <f>IF(Q1198=1,SUMPRODUCT(--($R$8:$R$1207&lt;R1198))+1,"")</f>
        <v/>
      </c>
      <c r="T1198" s="11">
        <f>IF(K1198=1,'ORDENES'!$J1194,"")</f>
        <v/>
      </c>
    </row>
    <row r="1199">
      <c r="K1199" s="3">
        <f>IF(AND(IF($B$3="(todos)",TRUE,'ORDENES'!$O1195=$B$3),IF($D$3="(todos)",TRUE,'ORDENES'!$AC1195=$D$3),IF($F$3="(todos)",TRUE,'ORDENES'!$V1195=$F$3),'ORDENES'!$AA1195=TRUE,'ORDENES'!$A1195&lt;&gt;""),1,0)</f>
        <v/>
      </c>
      <c r="L1199" s="3">
        <f>IF(K1199=1,IFERROR(MATCH('ORDENES'!$R1195,lista_dias,0),9)*1000000000+IFERROR(MATCH('ORDENES'!$AC1195,lista_turnos,0),9)*10000000+IFERROR(MATCH('ORDENES'!$AB1195,'TECNICOS'!$B$4:$B$15,0),99)*100000+1192,9000000000000+1192)</f>
        <v/>
      </c>
      <c r="M1199" s="3">
        <f>IF(K1199=1,SUMPRODUCT(--($L$8:$L$1207&lt;L1199))+1,"")</f>
        <v/>
      </c>
      <c r="N1199" s="17">
        <f>IF(K1199=1,N('ORDENES'!$M1195),0)</f>
        <v/>
      </c>
      <c r="O1199" s="17">
        <f>IF('ORDENES'!$S1195="preventiva",N1199,0)</f>
        <v/>
      </c>
      <c r="P1199" s="17">
        <f>IF('ORDENES'!$S1195="correctiva",N1199,0)</f>
        <v/>
      </c>
      <c r="Q1199" s="3">
        <f>IF(AND(K1199=1,'ORDENES'!$N1195="Pendiente"),1,0)</f>
        <v/>
      </c>
      <c r="R1199" s="3">
        <f>IF(Q1199=1,100000-N1199*1000+1192*0.01,9000000000000+1192)</f>
        <v/>
      </c>
      <c r="S1199" s="3">
        <f>IF(Q1199=1,SUMPRODUCT(--($R$8:$R$1207&lt;R1199))+1,"")</f>
        <v/>
      </c>
      <c r="T1199" s="11">
        <f>IF(K1199=1,'ORDENES'!$J1195,"")</f>
        <v/>
      </c>
    </row>
    <row r="1200">
      <c r="K1200" s="3">
        <f>IF(AND(IF($B$3="(todos)",TRUE,'ORDENES'!$O1196=$B$3),IF($D$3="(todos)",TRUE,'ORDENES'!$AC1196=$D$3),IF($F$3="(todos)",TRUE,'ORDENES'!$V1196=$F$3),'ORDENES'!$AA1196=TRUE,'ORDENES'!$A1196&lt;&gt;""),1,0)</f>
        <v/>
      </c>
      <c r="L1200" s="3">
        <f>IF(K1200=1,IFERROR(MATCH('ORDENES'!$R1196,lista_dias,0),9)*1000000000+IFERROR(MATCH('ORDENES'!$AC1196,lista_turnos,0),9)*10000000+IFERROR(MATCH('ORDENES'!$AB1196,'TECNICOS'!$B$4:$B$15,0),99)*100000+1193,9000000000000+1193)</f>
        <v/>
      </c>
      <c r="M1200" s="3">
        <f>IF(K1200=1,SUMPRODUCT(--($L$8:$L$1207&lt;L1200))+1,"")</f>
        <v/>
      </c>
      <c r="N1200" s="17">
        <f>IF(K1200=1,N('ORDENES'!$M1196),0)</f>
        <v/>
      </c>
      <c r="O1200" s="17">
        <f>IF('ORDENES'!$S1196="preventiva",N1200,0)</f>
        <v/>
      </c>
      <c r="P1200" s="17">
        <f>IF('ORDENES'!$S1196="correctiva",N1200,0)</f>
        <v/>
      </c>
      <c r="Q1200" s="3">
        <f>IF(AND(K1200=1,'ORDENES'!$N1196="Pendiente"),1,0)</f>
        <v/>
      </c>
      <c r="R1200" s="3">
        <f>IF(Q1200=1,100000-N1200*1000+1193*0.01,9000000000000+1193)</f>
        <v/>
      </c>
      <c r="S1200" s="3">
        <f>IF(Q1200=1,SUMPRODUCT(--($R$8:$R$1207&lt;R1200))+1,"")</f>
        <v/>
      </c>
      <c r="T1200" s="11">
        <f>IF(K1200=1,'ORDENES'!$J1196,"")</f>
        <v/>
      </c>
    </row>
    <row r="1201">
      <c r="K1201" s="3">
        <f>IF(AND(IF($B$3="(todos)",TRUE,'ORDENES'!$O1197=$B$3),IF($D$3="(todos)",TRUE,'ORDENES'!$AC1197=$D$3),IF($F$3="(todos)",TRUE,'ORDENES'!$V1197=$F$3),'ORDENES'!$AA1197=TRUE,'ORDENES'!$A1197&lt;&gt;""),1,0)</f>
        <v/>
      </c>
      <c r="L1201" s="3">
        <f>IF(K1201=1,IFERROR(MATCH('ORDENES'!$R1197,lista_dias,0),9)*1000000000+IFERROR(MATCH('ORDENES'!$AC1197,lista_turnos,0),9)*10000000+IFERROR(MATCH('ORDENES'!$AB1197,'TECNICOS'!$B$4:$B$15,0),99)*100000+1194,9000000000000+1194)</f>
        <v/>
      </c>
      <c r="M1201" s="3">
        <f>IF(K1201=1,SUMPRODUCT(--($L$8:$L$1207&lt;L1201))+1,"")</f>
        <v/>
      </c>
      <c r="N1201" s="17">
        <f>IF(K1201=1,N('ORDENES'!$M1197),0)</f>
        <v/>
      </c>
      <c r="O1201" s="17">
        <f>IF('ORDENES'!$S1197="preventiva",N1201,0)</f>
        <v/>
      </c>
      <c r="P1201" s="17">
        <f>IF('ORDENES'!$S1197="correctiva",N1201,0)</f>
        <v/>
      </c>
      <c r="Q1201" s="3">
        <f>IF(AND(K1201=1,'ORDENES'!$N1197="Pendiente"),1,0)</f>
        <v/>
      </c>
      <c r="R1201" s="3">
        <f>IF(Q1201=1,100000-N1201*1000+1194*0.01,9000000000000+1194)</f>
        <v/>
      </c>
      <c r="S1201" s="3">
        <f>IF(Q1201=1,SUMPRODUCT(--($R$8:$R$1207&lt;R1201))+1,"")</f>
        <v/>
      </c>
      <c r="T1201" s="11">
        <f>IF(K1201=1,'ORDENES'!$J1197,"")</f>
        <v/>
      </c>
    </row>
    <row r="1202">
      <c r="K1202" s="3">
        <f>IF(AND(IF($B$3="(todos)",TRUE,'ORDENES'!$O1198=$B$3),IF($D$3="(todos)",TRUE,'ORDENES'!$AC1198=$D$3),IF($F$3="(todos)",TRUE,'ORDENES'!$V1198=$F$3),'ORDENES'!$AA1198=TRUE,'ORDENES'!$A1198&lt;&gt;""),1,0)</f>
        <v/>
      </c>
      <c r="L1202" s="3">
        <f>IF(K1202=1,IFERROR(MATCH('ORDENES'!$R1198,lista_dias,0),9)*1000000000+IFERROR(MATCH('ORDENES'!$AC1198,lista_turnos,0),9)*10000000+IFERROR(MATCH('ORDENES'!$AB1198,'TECNICOS'!$B$4:$B$15,0),99)*100000+1195,9000000000000+1195)</f>
        <v/>
      </c>
      <c r="M1202" s="3">
        <f>IF(K1202=1,SUMPRODUCT(--($L$8:$L$1207&lt;L1202))+1,"")</f>
        <v/>
      </c>
      <c r="N1202" s="17">
        <f>IF(K1202=1,N('ORDENES'!$M1198),0)</f>
        <v/>
      </c>
      <c r="O1202" s="17">
        <f>IF('ORDENES'!$S1198="preventiva",N1202,0)</f>
        <v/>
      </c>
      <c r="P1202" s="17">
        <f>IF('ORDENES'!$S1198="correctiva",N1202,0)</f>
        <v/>
      </c>
      <c r="Q1202" s="3">
        <f>IF(AND(K1202=1,'ORDENES'!$N1198="Pendiente"),1,0)</f>
        <v/>
      </c>
      <c r="R1202" s="3">
        <f>IF(Q1202=1,100000-N1202*1000+1195*0.01,9000000000000+1195)</f>
        <v/>
      </c>
      <c r="S1202" s="3">
        <f>IF(Q1202=1,SUMPRODUCT(--($R$8:$R$1207&lt;R1202))+1,"")</f>
        <v/>
      </c>
      <c r="T1202" s="11">
        <f>IF(K1202=1,'ORDENES'!$J1198,"")</f>
        <v/>
      </c>
    </row>
    <row r="1203">
      <c r="K1203" s="3">
        <f>IF(AND(IF($B$3="(todos)",TRUE,'ORDENES'!$O1199=$B$3),IF($D$3="(todos)",TRUE,'ORDENES'!$AC1199=$D$3),IF($F$3="(todos)",TRUE,'ORDENES'!$V1199=$F$3),'ORDENES'!$AA1199=TRUE,'ORDENES'!$A1199&lt;&gt;""),1,0)</f>
        <v/>
      </c>
      <c r="L1203" s="3">
        <f>IF(K1203=1,IFERROR(MATCH('ORDENES'!$R1199,lista_dias,0),9)*1000000000+IFERROR(MATCH('ORDENES'!$AC1199,lista_turnos,0),9)*10000000+IFERROR(MATCH('ORDENES'!$AB1199,'TECNICOS'!$B$4:$B$15,0),99)*100000+1196,9000000000000+1196)</f>
        <v/>
      </c>
      <c r="M1203" s="3">
        <f>IF(K1203=1,SUMPRODUCT(--($L$8:$L$1207&lt;L1203))+1,"")</f>
        <v/>
      </c>
      <c r="N1203" s="17">
        <f>IF(K1203=1,N('ORDENES'!$M1199),0)</f>
        <v/>
      </c>
      <c r="O1203" s="17">
        <f>IF('ORDENES'!$S1199="preventiva",N1203,0)</f>
        <v/>
      </c>
      <c r="P1203" s="17">
        <f>IF('ORDENES'!$S1199="correctiva",N1203,0)</f>
        <v/>
      </c>
      <c r="Q1203" s="3">
        <f>IF(AND(K1203=1,'ORDENES'!$N1199="Pendiente"),1,0)</f>
        <v/>
      </c>
      <c r="R1203" s="3">
        <f>IF(Q1203=1,100000-N1203*1000+1196*0.01,9000000000000+1196)</f>
        <v/>
      </c>
      <c r="S1203" s="3">
        <f>IF(Q1203=1,SUMPRODUCT(--($R$8:$R$1207&lt;R1203))+1,"")</f>
        <v/>
      </c>
      <c r="T1203" s="11">
        <f>IF(K1203=1,'ORDENES'!$J1199,"")</f>
        <v/>
      </c>
    </row>
    <row r="1204">
      <c r="K1204" s="3">
        <f>IF(AND(IF($B$3="(todos)",TRUE,'ORDENES'!$O1200=$B$3),IF($D$3="(todos)",TRUE,'ORDENES'!$AC1200=$D$3),IF($F$3="(todos)",TRUE,'ORDENES'!$V1200=$F$3),'ORDENES'!$AA1200=TRUE,'ORDENES'!$A1200&lt;&gt;""),1,0)</f>
        <v/>
      </c>
      <c r="L1204" s="3">
        <f>IF(K1204=1,IFERROR(MATCH('ORDENES'!$R1200,lista_dias,0),9)*1000000000+IFERROR(MATCH('ORDENES'!$AC1200,lista_turnos,0),9)*10000000+IFERROR(MATCH('ORDENES'!$AB1200,'TECNICOS'!$B$4:$B$15,0),99)*100000+1197,9000000000000+1197)</f>
        <v/>
      </c>
      <c r="M1204" s="3">
        <f>IF(K1204=1,SUMPRODUCT(--($L$8:$L$1207&lt;L1204))+1,"")</f>
        <v/>
      </c>
      <c r="N1204" s="17">
        <f>IF(K1204=1,N('ORDENES'!$M1200),0)</f>
        <v/>
      </c>
      <c r="O1204" s="17">
        <f>IF('ORDENES'!$S1200="preventiva",N1204,0)</f>
        <v/>
      </c>
      <c r="P1204" s="17">
        <f>IF('ORDENES'!$S1200="correctiva",N1204,0)</f>
        <v/>
      </c>
      <c r="Q1204" s="3">
        <f>IF(AND(K1204=1,'ORDENES'!$N1200="Pendiente"),1,0)</f>
        <v/>
      </c>
      <c r="R1204" s="3">
        <f>IF(Q1204=1,100000-N1204*1000+1197*0.01,9000000000000+1197)</f>
        <v/>
      </c>
      <c r="S1204" s="3">
        <f>IF(Q1204=1,SUMPRODUCT(--($R$8:$R$1207&lt;R1204))+1,"")</f>
        <v/>
      </c>
      <c r="T1204" s="11">
        <f>IF(K1204=1,'ORDENES'!$J1200,"")</f>
        <v/>
      </c>
    </row>
    <row r="1205">
      <c r="K1205" s="3">
        <f>IF(AND(IF($B$3="(todos)",TRUE,'ORDENES'!$O1201=$B$3),IF($D$3="(todos)",TRUE,'ORDENES'!$AC1201=$D$3),IF($F$3="(todos)",TRUE,'ORDENES'!$V1201=$F$3),'ORDENES'!$AA1201=TRUE,'ORDENES'!$A1201&lt;&gt;""),1,0)</f>
        <v/>
      </c>
      <c r="L1205" s="3">
        <f>IF(K1205=1,IFERROR(MATCH('ORDENES'!$R1201,lista_dias,0),9)*1000000000+IFERROR(MATCH('ORDENES'!$AC1201,lista_turnos,0),9)*10000000+IFERROR(MATCH('ORDENES'!$AB1201,'TECNICOS'!$B$4:$B$15,0),99)*100000+1198,9000000000000+1198)</f>
        <v/>
      </c>
      <c r="M1205" s="3">
        <f>IF(K1205=1,SUMPRODUCT(--($L$8:$L$1207&lt;L1205))+1,"")</f>
        <v/>
      </c>
      <c r="N1205" s="17">
        <f>IF(K1205=1,N('ORDENES'!$M1201),0)</f>
        <v/>
      </c>
      <c r="O1205" s="17">
        <f>IF('ORDENES'!$S1201="preventiva",N1205,0)</f>
        <v/>
      </c>
      <c r="P1205" s="17">
        <f>IF('ORDENES'!$S1201="correctiva",N1205,0)</f>
        <v/>
      </c>
      <c r="Q1205" s="3">
        <f>IF(AND(K1205=1,'ORDENES'!$N1201="Pendiente"),1,0)</f>
        <v/>
      </c>
      <c r="R1205" s="3">
        <f>IF(Q1205=1,100000-N1205*1000+1198*0.01,9000000000000+1198)</f>
        <v/>
      </c>
      <c r="S1205" s="3">
        <f>IF(Q1205=1,SUMPRODUCT(--($R$8:$R$1207&lt;R1205))+1,"")</f>
        <v/>
      </c>
      <c r="T1205" s="11">
        <f>IF(K1205=1,'ORDENES'!$J1201,"")</f>
        <v/>
      </c>
    </row>
    <row r="1206">
      <c r="K1206" s="3">
        <f>IF(AND(IF($B$3="(todos)",TRUE,'ORDENES'!$O1202=$B$3),IF($D$3="(todos)",TRUE,'ORDENES'!$AC1202=$D$3),IF($F$3="(todos)",TRUE,'ORDENES'!$V1202=$F$3),'ORDENES'!$AA1202=TRUE,'ORDENES'!$A1202&lt;&gt;""),1,0)</f>
        <v/>
      </c>
      <c r="L1206" s="3">
        <f>IF(K1206=1,IFERROR(MATCH('ORDENES'!$R1202,lista_dias,0),9)*1000000000+IFERROR(MATCH('ORDENES'!$AC1202,lista_turnos,0),9)*10000000+IFERROR(MATCH('ORDENES'!$AB1202,'TECNICOS'!$B$4:$B$15,0),99)*100000+1199,9000000000000+1199)</f>
        <v/>
      </c>
      <c r="M1206" s="3">
        <f>IF(K1206=1,SUMPRODUCT(--($L$8:$L$1207&lt;L1206))+1,"")</f>
        <v/>
      </c>
      <c r="N1206" s="17">
        <f>IF(K1206=1,N('ORDENES'!$M1202),0)</f>
        <v/>
      </c>
      <c r="O1206" s="17">
        <f>IF('ORDENES'!$S1202="preventiva",N1206,0)</f>
        <v/>
      </c>
      <c r="P1206" s="17">
        <f>IF('ORDENES'!$S1202="correctiva",N1206,0)</f>
        <v/>
      </c>
      <c r="Q1206" s="3">
        <f>IF(AND(K1206=1,'ORDENES'!$N1202="Pendiente"),1,0)</f>
        <v/>
      </c>
      <c r="R1206" s="3">
        <f>IF(Q1206=1,100000-N1206*1000+1199*0.01,9000000000000+1199)</f>
        <v/>
      </c>
      <c r="S1206" s="3">
        <f>IF(Q1206=1,SUMPRODUCT(--($R$8:$R$1207&lt;R1206))+1,"")</f>
        <v/>
      </c>
      <c r="T1206" s="11">
        <f>IF(K1206=1,'ORDENES'!$J1202,"")</f>
        <v/>
      </c>
    </row>
    <row r="1207">
      <c r="K1207" s="3">
        <f>IF(AND(IF($B$3="(todos)",TRUE,'ORDENES'!$O1203=$B$3),IF($D$3="(todos)",TRUE,'ORDENES'!$AC1203=$D$3),IF($F$3="(todos)",TRUE,'ORDENES'!$V1203=$F$3),'ORDENES'!$AA1203=TRUE,'ORDENES'!$A1203&lt;&gt;""),1,0)</f>
        <v/>
      </c>
      <c r="L1207" s="3">
        <f>IF(K1207=1,IFERROR(MATCH('ORDENES'!$R1203,lista_dias,0),9)*1000000000+IFERROR(MATCH('ORDENES'!$AC1203,lista_turnos,0),9)*10000000+IFERROR(MATCH('ORDENES'!$AB1203,'TECNICOS'!$B$4:$B$15,0),99)*100000+1200,9000000000000+1200)</f>
        <v/>
      </c>
      <c r="M1207" s="3">
        <f>IF(K1207=1,SUMPRODUCT(--($L$8:$L$1207&lt;L1207))+1,"")</f>
        <v/>
      </c>
      <c r="N1207" s="17">
        <f>IF(K1207=1,N('ORDENES'!$M1203),0)</f>
        <v/>
      </c>
      <c r="O1207" s="17">
        <f>IF('ORDENES'!$S1203="preventiva",N1207,0)</f>
        <v/>
      </c>
      <c r="P1207" s="17">
        <f>IF('ORDENES'!$S1203="correctiva",N1207,0)</f>
        <v/>
      </c>
      <c r="Q1207" s="3">
        <f>IF(AND(K1207=1,'ORDENES'!$N1203="Pendiente"),1,0)</f>
        <v/>
      </c>
      <c r="R1207" s="3">
        <f>IF(Q1207=1,100000-N1207*1000+1200*0.01,9000000000000+1200)</f>
        <v/>
      </c>
      <c r="S1207" s="3">
        <f>IF(Q1207=1,SUMPRODUCT(--($R$8:$R$1207&lt;R1207))+1,"")</f>
        <v/>
      </c>
      <c r="T1207" s="11">
        <f>IF(K1207=1,'ORDENES'!$J1203,"")</f>
        <v/>
      </c>
    </row>
  </sheetData>
  <mergeCells count="1">
    <mergeCell ref="A6:H110"/>
  </mergeCells>
  <dataValidations count="3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"(todos),B1,T1,T2,T3"</formula1>
    </dataValidation>
    <dataValidation sqref="F3" showDropDown="0" showInputMessage="0" showErrorMessage="0" allowBlank="0" type="list">
      <formula1>"(todos),Coordinador A,Coordinador B,Coordinador C"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IFERROR(INDEX('CAT_ESTADOS_ERP'!$B$4:$B$7,MATCH(IFERROR(INDEX('2_IMPORTAR_EJECUCION'!$C$9:$C$1208,MATCH('ORDENES'!$AN$4,'2_IMPORTAR_EJECUCION'!$J$9:$J$1208,0)),""),'CAT_ESTADOS_ERP'!$A$4:$A$7,0)),"Pendiente")</t>
        </is>
      </c>
      <c r="D5" s="3">
        <f>IFERROR(INDEX('CAT_ESTADOS_ERP'!$B$4:$B$7,MATCH(IFERROR(INDEX('2_IMPORTAR_EJECUCION'!$C$9:$C$1208,MATCH('ORDENES'!$AN$4,'2_IMPORTAR_EJECUCION'!$J$9:$J$1208,0)),""),'CAT_ESTADOS_ERP'!$A$4:$A$7,0)),"Pendiente")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IFERROR(INDEX('CAT_TIPOS_OT'!$C$4:$C$7,MATCH('ORDENES'!$I$4,'CAT_TIPOS_OT'!$A$4:$A$7,0)),"sin_clasificar")</t>
        </is>
      </c>
      <c r="D6" s="3">
        <f>IFERROR(INDEX('CAT_TIPOS_OT'!$C$4:$C$7,MATCH('ORDENES'!$I$4,'CAT_TIPOS_OT'!$A$4:$A$7,0)),"sin_clasificar")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IFERROR(INDEX('CAT_CENTROS_COSTO'!$E$4:$E$9,MATCH('ORDENES'!$F$4,'CAT_CENTROS_COSTO'!$A$4:$A$9,0)),"(sin catálogo)")</t>
        </is>
      </c>
      <c r="D7" s="3">
        <f>IFERROR(INDEX('CAT_CENTROS_COSTO'!$E$4:$E$9,MATCH('ORDENES'!$F$4,'CAT_CENTROS_COSTO'!$A$4:$A$9,0)),"(sin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IFERROR(INDEX('CAT_CENTROS_COSTO'!$D$4:$D$9,MATCH('ORDENES'!$F$4,'CAT_CENTROS_COSTO'!$A$4:$A$9,0)),"(sin catálogo)")</t>
        </is>
      </c>
      <c r="D8" s="3">
        <f>IFERROR(INDEX('CAT_CENTROS_COSTO'!$D$4:$D$9,MATCH('ORDENES'!$F$4,'CAT_CENTROS_COSTO'!$A$4:$A$9,0)),"(sin catálogo)")</f>
        <v/>
      </c>
    </row>
    <row r="9">
      <c r="A9" s="3" t="inlineStr">
        <is>
          <t>coordinador</t>
        </is>
      </c>
      <c r="B9" s="22" t="inlineStr">
        <is>
          <t>IF(tblOrdenes[[#This Row],[centro_costo]]="","",XLOOKUP(tblOrdenes[[#This Row],[centro_costo]],tblCECO[codigo],tblCECO[coordinador],"(sin catálogo)"))</t>
        </is>
      </c>
      <c r="C9" s="22" t="inlineStr">
        <is>
          <t>IFERROR(INDEX('CAT_CENTROS_COSTO'!$F$4:$F$9,MATCH('ORDENES'!$F$4,'CAT_CENTROS_COSTO'!$A$4:$A$9,0)),"(sin catálogo)")</t>
        </is>
      </c>
      <c r="D9" s="3">
        <f>IFERROR(INDEX('CAT_CENTROS_COSTO'!$F$4:$F$9,MATCH('ORDENES'!$F$4,'CAT_CENTROS_COSTO'!$A$4:$A$9,0)),"(sin catálogo)")</f>
        <v/>
      </c>
    </row>
    <row r="10">
      <c r="A10" s="3" t="inlineStr">
        <is>
          <t>especialidad</t>
        </is>
      </c>
      <c r="B10" s="22" t="inlineStr">
        <is>
          <t>IF(tblOrdenes[[#This Row],[puesto_trabajo]]="","",XLOOKUP(tblOrdenes[[#This Row],[puesto_trabajo]],tblPuestos[codigo],tblPuestos[especialidad],"(sin catálogo)"))</t>
        </is>
      </c>
      <c r="C10" s="22" t="inlineStr">
        <is>
          <t>IFERROR(INDEX('CAT_PUESTOS'!$B$4:$B$8,MATCH('ORDENES'!$G$4,'CAT_PUESTOS'!$A$4:$A$8,0)),"(sin catálogo)")</t>
        </is>
      </c>
      <c r="D10" s="3">
        <f>IFERROR(INDEX('CAT_PUESTOS'!$B$4:$B$8,MATCH('ORDENES'!$G$4,'CAT_PUESTOS'!$A$4:$A$8,0)),"(sin catálogo)")</f>
        <v/>
      </c>
    </row>
    <row r="11">
      <c r="A11" s="3" t="inlineStr">
        <is>
          <t>actividad</t>
        </is>
      </c>
      <c r="B11" s="22" t="inlineStr">
        <is>
          <t>IF(tblOrdenes[[#This Row],[cod_actividad]]="","",XLOOKUP(tblOrdenes[[#This Row],[cod_actividad]],tblActividades[codigo],tblActividades[descripcion],"(sin catálogo)"))</t>
        </is>
      </c>
      <c r="C11" s="22" t="inlineStr">
        <is>
          <t>IFERROR(INDEX('CAT_ACTIVIDADES'!$B$4:$B$8,MATCH('ORDENES'!$H$4,'CAT_ACTIVIDADES'!$A$4:$A$8,0)),"(sin catálogo)")</t>
        </is>
      </c>
      <c r="D11" s="3">
        <f>IFERROR(INDEX('CAT_ACTIVIDADES'!$B$4:$B$8,MATCH('ORDENES'!$H$4,'CAT_ACTIVIDADES'!$A$4:$A$8,0)),"(sin catálogo)")</f>
        <v/>
      </c>
    </row>
    <row r="12">
      <c r="A12" s="3" t="inlineStr">
        <is>
          <t>horas_efectivas</t>
        </is>
      </c>
      <c r="B12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2" s="22" t="inlineStr">
        <is>
          <t>IFERROR(INDEX('AJUSTES'!$B$4:$B$303,MATCH('ORDENES'!$AN$4,'AJUSTES'!$A$4:$A$303,0)),IF('ORDENES'!$K$4="","",'ORDENES'!$K$4))</t>
        </is>
      </c>
      <c r="D12" s="3">
        <f>IFERROR(INDEX('AJUSTES'!$B$4:$B$303,MATCH('ORDENES'!$AN$4,'AJUSTES'!$A$4:$A$303,0)),IF('ORDENES'!$K$4="","",'ORDENES'!$K$4))</f>
        <v/>
      </c>
    </row>
    <row r="13">
      <c r="A13" s="3" t="inlineStr">
        <is>
          <t>turno_asignado</t>
        </is>
      </c>
      <c r="B13" s="22" t="inlineStr">
        <is>
          <t>IF(tblOrdenes[[#This Row],[tecnico_asignado]]="","",XLOOKUP(tblOrdenes[[#This Row],[semana]]&amp;"|"&amp;tblOrdenes[[#This Row],[dia_semana]]&amp;"|"&amp;tblOrdenes[[#This Row],[tecnico_asignado]],tblAsignaciones[clave],tblAsignaciones[turno],""))</t>
        </is>
      </c>
      <c r="C13" s="22" t="inlineStr">
        <is>
          <t>IF('ORDENES'!$AB$4="","",IFERROR(INDEX('ASIGNACIONES'!$F$4:$F$339,MATCH('ORDENES'!$O$4&amp;"|"&amp;'ORDENES'!$R$4&amp;"|"&amp;'ORDENES'!$AB$4,'ASIGNACIONES'!$I$4:$I$339,0)),""))</t>
        </is>
      </c>
      <c r="D13" s="3">
        <f>IF('ORDENES'!$AB$4="","",IFERROR(INDEX('ASIGNACIONES'!$F$4:$F$339,MATCH('ORDENES'!$O$4&amp;"|"&amp;'ORDENES'!$R$4&amp;"|"&amp;'ORDENES'!$AB$4,'ASIGNACIONES'!$I$4:$I$339,0)),""))</f>
        <v/>
      </c>
    </row>
    <row r="14">
      <c r="A14" s="3" t="inlineStr">
        <is>
          <t>costo_servicio</t>
        </is>
      </c>
      <c r="B14" s="22" t="inlineStr">
        <is>
          <t>IF(tblOrdenes[[#This Row],[orden]]="","",XLOOKUP(tblOrdenes[[#This Row],[id_operacion]],tblEjecucion[id_operacion],tblEjecucion[precio],0))</t>
        </is>
      </c>
      <c r="C14" s="22" t="inlineStr">
        <is>
          <t>IFERROR(INDEX('2_IMPORTAR_EJECUCION'!$F$9:$F$1208,MATCH('ORDENES'!$AN$4,'2_IMPORTAR_EJECUCION'!$J$9:$J$1208,0)),0)</t>
        </is>
      </c>
      <c r="D14" s="3">
        <f>IFERROR(INDEX('2_IMPORTAR_EJECUCION'!$F$9:$F$1208,MATCH('ORDENES'!$AN$4,'2_IMPORTAR_EJECUCION'!$J$9:$J$1208,0)),0)</f>
        <v/>
      </c>
    </row>
    <row r="15">
      <c r="A15" s="3" t="inlineStr">
        <is>
          <t>costo_materiales</t>
        </is>
      </c>
      <c r="B15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5" s="22" t="inlineStr">
        <is>
          <t>MAX(0,IFERROR(INDEX('2_IMPORTAR_EJECUCION'!$H$9:$H$1208,MATCH('ORDENES'!$AN$4,'2_IMPORTAR_EJECUCION'!$J$9:$J$1208,0)),0)-'ORDENES'!$AF$4)</t>
        </is>
      </c>
      <c r="D15" s="3">
        <f>MAX(0,IFERROR(INDEX('2_IMPORTAR_EJECUCION'!$H$9:$H$1208,MATCH('ORDENES'!$AN$4,'2_IMPORTAR_EJECUCION'!$J$9:$J$1208,0)),0)-'ORDENES'!$AF$4)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2026-07-21T02:35:10Z</dcterms:created>
  <dcterms:modified xsi:type="dcterms:W3CDTF">2026-07-21T02:35:11Z</dcterms:modified>
</cp:coreProperties>
</file>